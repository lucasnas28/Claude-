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2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>
    <definedName name="aaa" hidden="1" function="0" vbProcedure="0">{#N/A,#N/A,FALSE,"Aging Summary";#N/A,#N/A,FALSE,"Ratio Analysis";#N/A,#N/A,FALSE,"Test 120 Day Accts";#N/A,#N/A,FALSE,"Tickmarks"}</definedName>
    <definedName name="AAAA" hidden="1" function="0" vbProcedure="0">{#N/A,#N/A,FALSE,"Aging Summary";#N/A,#N/A,FALSE,"Ratio Analysis";#N/A,#N/A,FALSE,"Test 120 Day Accts";#N/A,#N/A,FALSE,"Tickmarks"}</definedName>
    <definedName name="AS2DocOpenMode" hidden="1" function="0" vbProcedure="0">"AS2DocumentEdit"</definedName>
    <definedName name="AS2NamedRange" hidden="1" function="0" vbProcedure="0">15</definedName>
    <definedName name="AS2ReportLS" hidden="1" function="0" vbProcedure="0">1</definedName>
    <definedName name="AS2StaticLS" hidden="1" function="0" vbProcedure="0">#REF!</definedName>
    <definedName name="AS2SyncStepLS" hidden="1" function="0" vbProcedure="0">0</definedName>
    <definedName name="AS2TickmarkLS" hidden="1" function="0" vbProcedure="0">#REF!</definedName>
    <definedName name="AS2VersionLS" hidden="1" function="0" vbProcedure="0">300</definedName>
    <definedName name="BalType" hidden="1" function="0" vbProcedure="0">TRUE()</definedName>
    <definedName name="beta_observed" hidden="0" function="0" vbProcedure="0">Valuation!$D$93</definedName>
    <definedName name="beta_observed_unlevered" hidden="0" function="0" vbProcedure="0">#REF!</definedName>
    <definedName name="beta_unlev_comps" hidden="0" function="0" vbProcedure="0">#REF!</definedName>
    <definedName name="BG_Del" hidden="1" function="0" vbProcedure="0">15</definedName>
    <definedName name="BG_Ins" hidden="1" function="0" vbProcedure="0">4</definedName>
    <definedName name="BG_Mod" hidden="1" function="0" vbProcedure="0">6</definedName>
    <definedName name="cirkbreak" hidden="0" function="0" vbProcedure="0">#REF!</definedName>
    <definedName name="costdebtfirm" hidden="0" function="0" vbProcedure="0">#REF!</definedName>
    <definedName name="costequity" hidden="0" function="0" vbProcedure="0">#REF!</definedName>
    <definedName name="Debt" hidden="0" function="0" vbProcedure="0">#REF!</definedName>
    <definedName name="debt_weight" hidden="0" function="0" vbProcedure="0">#REF!</definedName>
    <definedName name="GrpAcct1" hidden="1" function="0" vbProcedure="0">"5611"</definedName>
    <definedName name="GrpAcct2" hidden="1" function="0" vbProcedure="0">"5612"</definedName>
    <definedName name="GrpLevel" hidden="1" function="0" vbProcedure="0">2</definedName>
    <definedName name="IQ_ACCOUNTS_PAY" hidden="1" function="0" vbProcedure="0">"c1343"</definedName>
    <definedName name="IQ_ACCOUNT_CHANGE" hidden="1" function="0" vbProcedure="0">"c1449"</definedName>
    <definedName name="IQ_ACCRUED_EXP" hidden="1" function="0" vbProcedure="0">"c1341"</definedName>
    <definedName name="IQ_ACCR_INT_PAY" hidden="1" function="0" vbProcedure="0">"c1"</definedName>
    <definedName name="IQ_ACCR_INT_PAY_CF" hidden="1" function="0" vbProcedure="0">"c2"</definedName>
    <definedName name="IQ_ACCR_INT_RECEIV" hidden="1" function="0" vbProcedure="0">"c3"</definedName>
    <definedName name="IQ_ACCR_INT_RECEIV_CF" hidden="1" function="0" vbProcedure="0">"c4"</definedName>
    <definedName name="IQ_ACCT_RECV_10YR_ANN_GROWTH" hidden="1" function="0" vbProcedure="0">"c1924"</definedName>
    <definedName name="IQ_ACCT_RECV_1YR_ANN_GROWTH" hidden="1" function="0" vbProcedure="0">"c1919"</definedName>
    <definedName name="IQ_ACCT_RECV_2YR_ANN_GROWTH" hidden="1" function="0" vbProcedure="0">"c1920"</definedName>
    <definedName name="IQ_ACCT_RECV_3YR_ANN_GROWTH" hidden="1" function="0" vbProcedure="0">"c1921"</definedName>
    <definedName name="IQ_ACCT_RECV_5YR_ANN_GROWTH" hidden="1" function="0" vbProcedure="0">"c1922"</definedName>
    <definedName name="IQ_ACCT_RECV_7YR_ANN_GROWTH" hidden="1" function="0" vbProcedure="0">"c1923"</definedName>
    <definedName name="IQ_ACCUMULATED_PENSION_OBLIGATION" hidden="1" function="0" vbProcedure="0">"c2108"</definedName>
    <definedName name="IQ_ACCUM_DEP" hidden="1" function="0" vbProcedure="0">"c1340"</definedName>
    <definedName name="IQ_ACQUIRE_REAL_ESTATE_CF" hidden="1" function="0" vbProcedure="0">"c6"</definedName>
    <definedName name="IQ_ACQUISITION_RE_ASSETS" hidden="1" function="0" vbProcedure="0">"c1628"</definedName>
    <definedName name="IQ_ACQ_COSTS_CAPITALIZED" hidden="1" function="0" vbProcedure="0">"c5"</definedName>
    <definedName name="IQ_ACQ_COST_SUB" hidden="1" function="0" vbProcedure="0">"c2125"</definedName>
    <definedName name="IQ_AD" hidden="1" function="0" vbProcedure="0">"c7"</definedName>
    <definedName name="IQ_ADD_PAID_IN" hidden="1" function="0" vbProcedure="0">"c1344"</definedName>
    <definedName name="IQ_ADVERTISING_MARKETING" hidden="1" function="0" vbProcedure="0">"c1566"</definedName>
    <definedName name="IQ_AE" hidden="1" function="0" vbProcedure="0">"c8"</definedName>
    <definedName name="IQ_AE_BNK" hidden="1" function="0" vbProcedure="0">"c9"</definedName>
    <definedName name="IQ_AE_BR" hidden="1" function="0" vbProcedure="0">"c10"</definedName>
    <definedName name="IQ_AE_FIN" hidden="1" function="0" vbProcedure="0">"c11"</definedName>
    <definedName name="IQ_AE_INS" hidden="1" function="0" vbProcedure="0">"c12"</definedName>
    <definedName name="IQ_AE_REIT" hidden="1" function="0" vbProcedure="0">"c13"</definedName>
    <definedName name="IQ_AE_UTI" hidden="1" function="0" vbProcedure="0">"c14"</definedName>
    <definedName name="IQ_ALLOWANCE_10YR_ANN_GROWTH" hidden="1" function="0" vbProcedure="0">"c18"</definedName>
    <definedName name="IQ_ALLOWANCE_1YR_ANN_GROWTH" hidden="1" function="0" vbProcedure="0">"c19"</definedName>
    <definedName name="IQ_ALLOWANCE_2YR_ANN_GROWTH" hidden="1" function="0" vbProcedure="0">"c20"</definedName>
    <definedName name="IQ_ALLOWANCE_3YR_ANN_GROWTH" hidden="1" function="0" vbProcedure="0">"c21"</definedName>
    <definedName name="IQ_ALLOWANCE_5YR_ANN_GROWTH" hidden="1" function="0" vbProcedure="0">"c22"</definedName>
    <definedName name="IQ_ALLOWANCE_7YR_ANN_GROWTH" hidden="1" function="0" vbProcedure="0">"c23"</definedName>
    <definedName name="IQ_ALLOWANCE_CHARGE_OFFS" hidden="1" function="0" vbProcedure="0">"c24"</definedName>
    <definedName name="IQ_ALLOWANCE_NON_PERF_LOANS" hidden="1" function="0" vbProcedure="0">"c25"</definedName>
    <definedName name="IQ_ALLOWANCE_TOTAL_LOANS" hidden="1" function="0" vbProcedure="0">"c26"</definedName>
    <definedName name="IQ_ALLOW_BORROW_CONST" hidden="1" function="0" vbProcedure="0">"c15"</definedName>
    <definedName name="IQ_ALLOW_CONST" hidden="1" function="0" vbProcedure="0">"c1342"</definedName>
    <definedName name="IQ_ALLOW_DOUBT_ACCT" hidden="1" function="0" vbProcedure="0">"c2092"</definedName>
    <definedName name="IQ_ALLOW_EQUITY_CONST" hidden="1" function="0" vbProcedure="0">"c16"</definedName>
    <definedName name="IQ_ALLOW_LL" hidden="1" function="0" vbProcedure="0">"c17"</definedName>
    <definedName name="IQ_AMORTIZATION" hidden="1" function="0" vbProcedure="0">"c1591"</definedName>
    <definedName name="IQ_ANNUALIZED_DIVIDEND" hidden="1" function="0" vbProcedure="0">"c1579"</definedName>
    <definedName name="IQ_ANNUITY_LIAB" hidden="1" function="0" vbProcedure="0">"c27"</definedName>
    <definedName name="IQ_ANNUITY_PAY" hidden="1" function="0" vbProcedure="0">"c28"</definedName>
    <definedName name="IQ_ANNUITY_POLICY_EXP" hidden="1" function="0" vbProcedure="0">"c29"</definedName>
    <definedName name="IQ_ANNUITY_REC" hidden="1" function="0" vbProcedure="0">"c30"</definedName>
    <definedName name="IQ_ANNUITY_REV" hidden="1" function="0" vbProcedure="0">"c31"</definedName>
    <definedName name="IQ_AP" hidden="1" function="0" vbProcedure="0">"c32"</definedName>
    <definedName name="IQ_APIC" hidden="1" function="0" vbProcedure="0">"c39"</definedName>
    <definedName name="IQ_AP_BNK" hidden="1" function="0" vbProcedure="0">"c33"</definedName>
    <definedName name="IQ_AP_BR" hidden="1" function="0" vbProcedure="0">"c34"</definedName>
    <definedName name="IQ_AP_FIN" hidden="1" function="0" vbProcedure="0">"c35"</definedName>
    <definedName name="IQ_AP_INS" hidden="1" function="0" vbProcedure="0">"c36"</definedName>
    <definedName name="IQ_AP_REIT" hidden="1" function="0" vbProcedure="0">"c37"</definedName>
    <definedName name="IQ_AP_UTI" hidden="1" function="0" vbProcedure="0">"c38"</definedName>
    <definedName name="IQ_AR" hidden="1" function="0" vbProcedure="0">"c40"</definedName>
    <definedName name="IQ_ARPU" hidden="1" function="0" vbProcedure="0">"c2126"</definedName>
    <definedName name="IQ_AR_BR" hidden="1" function="0" vbProcedure="0">"c41"</definedName>
    <definedName name="IQ_AR_LT" hidden="1" function="0" vbProcedure="0">"c42"</definedName>
    <definedName name="IQ_AR_REIT" hidden="1" function="0" vbProcedure="0">"c43"</definedName>
    <definedName name="IQ_AR_TURNS" hidden="1" function="0" vbProcedure="0">"c44"</definedName>
    <definedName name="IQ_AR_UTI" hidden="1" function="0" vbProcedure="0">"c45"</definedName>
    <definedName name="IQ_ASSETS_CAP_LEASE_DEPR" hidden="1" function="0" vbProcedure="0">"c2068"</definedName>
    <definedName name="IQ_ASSETS_CAP_LEASE_GROSS" hidden="1" function="0" vbProcedure="0">"c2069"</definedName>
    <definedName name="IQ_ASSETS_OPER_LEASE_DEPR" hidden="1" function="0" vbProcedure="0">"c2070"</definedName>
    <definedName name="IQ_ASSETS_OPER_LEASE_GROSS" hidden="1" function="0" vbProcedure="0">"c2071"</definedName>
    <definedName name="IQ_ASSET_MGMT_FEE" hidden="1" function="0" vbProcedure="0">"c46"</definedName>
    <definedName name="IQ_ASSET_TURNS" hidden="1" function="0" vbProcedure="0">"c47"</definedName>
    <definedName name="IQ_ASSET_WRITEDOWN" hidden="1" function="0" vbProcedure="0">"c48"</definedName>
    <definedName name="IQ_ASSET_WRITEDOWN_BNK" hidden="1" function="0" vbProcedure="0">"c49"</definedName>
    <definedName name="IQ_ASSET_WRITEDOWN_BR" hidden="1" function="0" vbProcedure="0">"c50"</definedName>
    <definedName name="IQ_ASSET_WRITEDOWN_CF" hidden="1" function="0" vbProcedure="0">"c51"</definedName>
    <definedName name="IQ_ASSET_WRITEDOWN_CF_BNK" hidden="1" function="0" vbProcedure="0">"c52"</definedName>
    <definedName name="IQ_ASSET_WRITEDOWN_CF_BR" hidden="1" function="0" vbProcedure="0">"c53"</definedName>
    <definedName name="IQ_ASSET_WRITEDOWN_CF_FIN" hidden="1" function="0" vbProcedure="0">"c54"</definedName>
    <definedName name="IQ_ASSET_WRITEDOWN_CF_INS" hidden="1" function="0" vbProcedure="0">"c55"</definedName>
    <definedName name="IQ_ASSET_WRITEDOWN_CF_REIT" hidden="1" function="0" vbProcedure="0">"c56"</definedName>
    <definedName name="IQ_ASSET_WRITEDOWN_CF_UTI" hidden="1" function="0" vbProcedure="0">"c57"</definedName>
    <definedName name="IQ_ASSET_WRITEDOWN_FIN" hidden="1" function="0" vbProcedure="0">"c58"</definedName>
    <definedName name="IQ_ASSET_WRITEDOWN_INS" hidden="1" function="0" vbProcedure="0">"c59"</definedName>
    <definedName name="IQ_ASSET_WRITEDOWN_REIT" hidden="1" function="0" vbProcedure="0">"c60"</definedName>
    <definedName name="IQ_ASSET_WRITEDOWN_UTI" hidden="1" function="0" vbProcedure="0">"c61"</definedName>
    <definedName name="IQ_AUDITOR_NAME" hidden="1" function="0" vbProcedure="0">"c1539"</definedName>
    <definedName name="IQ_AUDITOR_OPINION" hidden="1" function="0" vbProcedure="0">"c1540"</definedName>
    <definedName name="IQ_AUTO_WRITTEN" hidden="1" function="0" vbProcedure="0">"c62"</definedName>
    <definedName name="IQ_AVG_BANK_ASSETS" hidden="1" function="0" vbProcedure="0">"c2072"</definedName>
    <definedName name="IQ_AVG_BANK_LOANS" hidden="1" function="0" vbProcedure="0">"c2073"</definedName>
    <definedName name="IQ_AVG_BROKER_REC" hidden="1" function="0" vbProcedure="0">"c63"</definedName>
    <definedName name="IQ_AVG_BROKER_REC_NO" hidden="1" function="0" vbProcedure="0">"c64"</definedName>
    <definedName name="IQ_AVG_DAILY_VOL" hidden="1" function="0" vbProcedure="0">"c65"</definedName>
    <definedName name="IQ_AVG_INT_BEAR_LIAB" hidden="1" function="0" vbProcedure="0">"c66"</definedName>
    <definedName name="IQ_AVG_INT_BEAR_LIAB_10YR_ANN_GROWTH" hidden="1" function="0" vbProcedure="0">"c67"</definedName>
    <definedName name="IQ_AVG_INT_BEAR_LIAB_1YR_ANN_GROWTH" hidden="1" function="0" vbProcedure="0">"c68"</definedName>
    <definedName name="IQ_AVG_INT_BEAR_LIAB_2YR_ANN_GROWTH" hidden="1" function="0" vbProcedure="0">"c69"</definedName>
    <definedName name="IQ_AVG_INT_BEAR_LIAB_3YR_ANN_GROWTH" hidden="1" function="0" vbProcedure="0">"c70"</definedName>
    <definedName name="IQ_AVG_INT_BEAR_LIAB_5YR_ANN_GROWTH" hidden="1" function="0" vbProcedure="0">"c71"</definedName>
    <definedName name="IQ_AVG_INT_BEAR_LIAB_7YR_ANN_GROWTH" hidden="1" function="0" vbProcedure="0">"c72"</definedName>
    <definedName name="IQ_AVG_INT_EARN_ASSETS" hidden="1" function="0" vbProcedure="0">"c73"</definedName>
    <definedName name="IQ_AVG_INT_EARN_ASSETS_10YR_ANN_GROWTH" hidden="1" function="0" vbProcedure="0">"c74"</definedName>
    <definedName name="IQ_AVG_INT_EARN_ASSETS_1YR_ANN_GROWTH" hidden="1" function="0" vbProcedure="0">"c75"</definedName>
    <definedName name="IQ_AVG_INT_EARN_ASSETS_2YR_ANN_GROWTH" hidden="1" function="0" vbProcedure="0">"c76"</definedName>
    <definedName name="IQ_AVG_INT_EARN_ASSETS_3YR_ANN_GROWTH" hidden="1" function="0" vbProcedure="0">"c77"</definedName>
    <definedName name="IQ_AVG_INT_EARN_ASSETS_5YR_ANN_GROWTH" hidden="1" function="0" vbProcedure="0">"c78"</definedName>
    <definedName name="IQ_AVG_INT_EARN_ASSETS_7YR_ANN_GROWTH" hidden="1" function="0" vbProcedure="0">"c79"</definedName>
    <definedName name="IQ_AVG_MKTCAP" hidden="1" function="0" vbProcedure="0">"c80"</definedName>
    <definedName name="IQ_AVG_PRICE" hidden="1" function="0" vbProcedure="0">"c81"</definedName>
    <definedName name="IQ_AVG_SHAREOUTSTANDING" hidden="1" function="0" vbProcedure="0">"c83"</definedName>
    <definedName name="IQ_AVG_TEV" hidden="1" function="0" vbProcedure="0">"c84"</definedName>
    <definedName name="IQ_AVG_VOLUME" hidden="1" function="0" vbProcedure="0">"c1346"</definedName>
    <definedName name="IQ_BASIC_EPS_EXCL" hidden="1" function="0" vbProcedure="0">"c85"</definedName>
    <definedName name="IQ_BASIC_EPS_INCL" hidden="1" function="0" vbProcedure="0">"c86"</definedName>
    <definedName name="IQ_BASIC_NORMAL_EPS" hidden="1" function="0" vbProcedure="0">"c1592"</definedName>
    <definedName name="IQ_BASIC_WEIGHT" hidden="1" function="0" vbProcedure="0">"c87"</definedName>
    <definedName name="IQ_BETA" hidden="1" function="0" vbProcedure="0">"c2133"</definedName>
    <definedName name="IQ_BETA_1YR" hidden="1" function="0" vbProcedure="0">"c1966"</definedName>
    <definedName name="IQ_BETA_1YR_RSQ" hidden="1" function="0" vbProcedure="0">"c2132"</definedName>
    <definedName name="IQ_BETA_2YR" hidden="1" function="0" vbProcedure="0">"c1965"</definedName>
    <definedName name="IQ_BETA_2YR_RSQ" hidden="1" function="0" vbProcedure="0">"c2131"</definedName>
    <definedName name="IQ_BETA_5YR" hidden="1" function="0" vbProcedure="0">"c88"</definedName>
    <definedName name="IQ_BETA_5YR_RSQ" hidden="1" function="0" vbProcedure="0">"c2130"</definedName>
    <definedName name="IQ_BIG_INT_BEAR_CD" hidden="1" function="0" vbProcedure="0">"c89"</definedName>
    <definedName name="IQ_BOARD_MEMBER" hidden="1" function="0" vbProcedure="0">"c96"</definedName>
    <definedName name="IQ_BOARD_MEMBER_BACKGROUND" hidden="1" function="0" vbProcedure="0">"c2101"</definedName>
    <definedName name="IQ_BOARD_MEMBER_TITLE" hidden="1" function="0" vbProcedure="0">"c97"</definedName>
    <definedName name="IQ_BROK_COMISSION" hidden="1" function="0" vbProcedure="0">"c98"</definedName>
    <definedName name="IQ_BUILDINGS" hidden="1" function="0" vbProcedure="0">"c99"</definedName>
    <definedName name="IQ_BUSINESS_DESCRIPTION" hidden="1" function="0" vbProcedure="0">"c322"</definedName>
    <definedName name="IQ_BV_OVER_SHARES" hidden="1" function="0" vbProcedure="0">"c1349"</definedName>
    <definedName name="IQ_BV_SHARE" hidden="1" function="0" vbProcedure="0">"c100"</definedName>
    <definedName name="IQ_CAL_Q" hidden="1" function="0" vbProcedure="0">"c101"</definedName>
    <definedName name="IQ_CAL_Y" hidden="1" function="0" vbProcedure="0">"c102"</definedName>
    <definedName name="IQ_CAPEX" hidden="1" function="0" vbProcedure="0">"c103"</definedName>
    <definedName name="IQ_CAPEX_10YR_ANN_GROWTH" hidden="1" function="0" vbProcedure="0">"c104"</definedName>
    <definedName name="IQ_CAPEX_1YR_ANN_GROWTH" hidden="1" function="0" vbProcedure="0">"c105"</definedName>
    <definedName name="IQ_CAPEX_2YR_ANN_GROWTH" hidden="1" function="0" vbProcedure="0">"c106"</definedName>
    <definedName name="IQ_CAPEX_3YR_ANN_GROWTH" hidden="1" function="0" vbProcedure="0">"c107"</definedName>
    <definedName name="IQ_CAPEX_5YR_ANN_GROWTH" hidden="1" function="0" vbProcedure="0">"c108"</definedName>
    <definedName name="IQ_CAPEX_7YR_ANN_GROWTH" hidden="1" function="0" vbProcedure="0">"c109"</definedName>
    <definedName name="IQ_CAPEX_BNK" hidden="1" function="0" vbProcedure="0">"c110"</definedName>
    <definedName name="IQ_CAPEX_BR" hidden="1" function="0" vbProcedure="0">"c111"</definedName>
    <definedName name="IQ_CAPEX_FIN" hidden="1" function="0" vbProcedure="0">"c112"</definedName>
    <definedName name="IQ_CAPEX_INS" hidden="1" function="0" vbProcedure="0">"c113"</definedName>
    <definedName name="IQ_CAPEX_UTI" hidden="1" function="0" vbProcedure="0">"c114"</definedName>
    <definedName name="IQ_CAPITALIZED_INTEREST" hidden="1" function="0" vbProcedure="0">"c2076"</definedName>
    <definedName name="IQ_CAPITAL_LEASE" hidden="1" function="0" vbProcedure="0">"c1350"</definedName>
    <definedName name="IQ_CAPITAL_LEASES" hidden="1" function="0" vbProcedure="0">"c115"</definedName>
    <definedName name="IQ_CASH" hidden="1" function="0" vbProcedure="0">"c1458"</definedName>
    <definedName name="IQ_CASH_ACQUIRE_CF" hidden="1" function="0" vbProcedure="0">"c1630"</definedName>
    <definedName name="IQ_CASH_CONVERSION" hidden="1" function="0" vbProcedure="0">"c117"</definedName>
    <definedName name="IQ_CASH_DUE_BANKS" hidden="1" function="0" vbProcedure="0">"c1351"</definedName>
    <definedName name="IQ_CASH_EQUIV" hidden="1" function="0" vbProcedure="0">"c118"</definedName>
    <definedName name="IQ_CASH_FINAN" hidden="1" function="0" vbProcedure="0">"c119"</definedName>
    <definedName name="IQ_CASH_INTEREST" hidden="1" function="0" vbProcedure="0">"c120"</definedName>
    <definedName name="IQ_CASH_INVEST" hidden="1" function="0" vbProcedure="0">"c121"</definedName>
    <definedName name="IQ_CASH_OPER" hidden="1" function="0" vbProcedure="0">"c122"</definedName>
    <definedName name="IQ_CASH_SEGREG" hidden="1" function="0" vbProcedure="0">"c123"</definedName>
    <definedName name="IQ_CASH_SHARE" hidden="1" function="0" vbProcedure="0">"c1911"</definedName>
    <definedName name="IQ_CASH_ST" hidden="1" function="0" vbProcedure="0">"c1355"</definedName>
    <definedName name="IQ_CASH_ST_INVEST" hidden="1" function="0" vbProcedure="0">"c124"</definedName>
    <definedName name="IQ_CASH_TAXES" hidden="1" function="0" vbProcedure="0">"c125"</definedName>
    <definedName name="IQ_CFO_10YR_ANN_GROWTH" hidden="1" function="0" vbProcedure="0">"c126"</definedName>
    <definedName name="IQ_CFO_1YR_ANN_GROWTH" hidden="1" function="0" vbProcedure="0">"c127"</definedName>
    <definedName name="IQ_CFO_2YR_ANN_GROWTH" hidden="1" function="0" vbProcedure="0">"c128"</definedName>
    <definedName name="IQ_CFO_3YR_ANN_GROWTH" hidden="1" function="0" vbProcedure="0">"c129"</definedName>
    <definedName name="IQ_CFO_5YR_ANN_GROWTH" hidden="1" function="0" vbProcedure="0">"c130"</definedName>
    <definedName name="IQ_CFO_7YR_ANN_GROWTH" hidden="1" function="0" vbProcedure="0">"c131"</definedName>
    <definedName name="IQ_CFO_CURRENT_LIAB" hidden="1" function="0" vbProcedure="0">"c132"</definedName>
    <definedName name="IQ_CHANGES_WORK_CAP" hidden="1" function="0" vbProcedure="0">"c1357"</definedName>
    <definedName name="IQ_CHANGE_AP" hidden="1" function="0" vbProcedure="0">"c133"</definedName>
    <definedName name="IQ_CHANGE_AP_BNK" hidden="1" function="0" vbProcedure="0">"c134"</definedName>
    <definedName name="IQ_CHANGE_AP_BR" hidden="1" function="0" vbProcedure="0">"c135"</definedName>
    <definedName name="IQ_CHANGE_AP_FIN" hidden="1" function="0" vbProcedure="0">"c136"</definedName>
    <definedName name="IQ_CHANGE_AP_INS" hidden="1" function="0" vbProcedure="0">"c137"</definedName>
    <definedName name="IQ_CHANGE_AP_REIT" hidden="1" function="0" vbProcedure="0">"c138"</definedName>
    <definedName name="IQ_CHANGE_AP_UTI" hidden="1" function="0" vbProcedure="0">"c139"</definedName>
    <definedName name="IQ_CHANGE_AR" hidden="1" function="0" vbProcedure="0">"c140"</definedName>
    <definedName name="IQ_CHANGE_AR_BNK" hidden="1" function="0" vbProcedure="0">"c141"</definedName>
    <definedName name="IQ_CHANGE_AR_BR" hidden="1" function="0" vbProcedure="0">"c142"</definedName>
    <definedName name="IQ_CHANGE_AR_FIN" hidden="1" function="0" vbProcedure="0">"c143"</definedName>
    <definedName name="IQ_CHANGE_AR_INS" hidden="1" function="0" vbProcedure="0">"c144"</definedName>
    <definedName name="IQ_CHANGE_AR_REIT" hidden="1" function="0" vbProcedure="0">"c145"</definedName>
    <definedName name="IQ_CHANGE_AR_UTI" hidden="1" function="0" vbProcedure="0">"c146"</definedName>
    <definedName name="IQ_CHANGE_DEF_TAX" hidden="1" function="0" vbProcedure="0">"c147"</definedName>
    <definedName name="IQ_CHANGE_DEPOSIT_ACCT" hidden="1" function="0" vbProcedure="0">"c148"</definedName>
    <definedName name="IQ_CHANGE_INC_TAX" hidden="1" function="0" vbProcedure="0">"c149"</definedName>
    <definedName name="IQ_CHANGE_INS_RES_LIAB" hidden="1" function="0" vbProcedure="0">"c150"</definedName>
    <definedName name="IQ_CHANGE_INVENTORY" hidden="1" function="0" vbProcedure="0">"c151"</definedName>
    <definedName name="IQ_CHANGE_NET_WORKING_CAPITAL" hidden="1" function="0" vbProcedure="0">"c1909"</definedName>
    <definedName name="IQ_CHANGE_OTHER_WORK_CAP" hidden="1" function="0" vbProcedure="0">"c152"</definedName>
    <definedName name="IQ_CHANGE_OTHER_WORK_CAP_BNK" hidden="1" function="0" vbProcedure="0">"c153"</definedName>
    <definedName name="IQ_CHANGE_OTHER_WORK_CAP_BR" hidden="1" function="0" vbProcedure="0">"c154"</definedName>
    <definedName name="IQ_CHANGE_OTHER_WORK_CAP_FIN" hidden="1" function="0" vbProcedure="0">"c155"</definedName>
    <definedName name="IQ_CHANGE_OTHER_WORK_CAP_INS" hidden="1" function="0" vbProcedure="0">"c156"</definedName>
    <definedName name="IQ_CHANGE_OTHER_WORK_CAP_REIT" hidden="1" function="0" vbProcedure="0">"c157"</definedName>
    <definedName name="IQ_CHANGE_OTHER_WORK_CAP_UTI" hidden="1" function="0" vbProcedure="0">"c158"</definedName>
    <definedName name="IQ_CHANGE_TRADING_ASSETS" hidden="1" function="0" vbProcedure="0">"c159"</definedName>
    <definedName name="IQ_CHANGE_UNEARN_REV" hidden="1" function="0" vbProcedure="0">"c160"</definedName>
    <definedName name="IQ_CHANGE_WORK_CAP" hidden="1" function="0" vbProcedure="0">"c161"</definedName>
    <definedName name="IQ_CHARGE_OFFS_GROSS" hidden="1" function="0" vbProcedure="0">"c162"</definedName>
    <definedName name="IQ_CHARGE_OFFS_NET" hidden="1" function="0" vbProcedure="0">"c163"</definedName>
    <definedName name="IQ_CHARGE_OFFS_RECOVERED" hidden="1" function="0" vbProcedure="0">"c164"</definedName>
    <definedName name="IQ_CHARGE_OFFS_TOTAL_AVG_LOANS" hidden="1" function="0" vbProcedure="0">"c165"</definedName>
    <definedName name="IQ_CITY" hidden="1" function="0" vbProcedure="0">"c166"</definedName>
    <definedName name="IQ_CLASSA_OUTSTANDING_BS_DATE" hidden="1" function="0" vbProcedure="0">"c1971"</definedName>
    <definedName name="IQ_CLASSA_OUTSTANDING_FILING_DATE" hidden="1" function="0" vbProcedure="0">"c1973"</definedName>
    <definedName name="IQ_CLOSEPRICE" hidden="1" function="0" vbProcedure="0">"c174"</definedName>
    <definedName name="IQ_CLOSEPRICE_ADJ" hidden="1" function="0" vbProcedure="0">"c2115"</definedName>
    <definedName name="IQ_CL_DUE_AFTER_FIVE" hidden="1" function="0" vbProcedure="0">"c167"</definedName>
    <definedName name="IQ_CL_DUE_CY" hidden="1" function="0" vbProcedure="0">"c168"</definedName>
    <definedName name="IQ_CL_DUE_CY1" hidden="1" function="0" vbProcedure="0">"c169"</definedName>
    <definedName name="IQ_CL_DUE_CY2" hidden="1" function="0" vbProcedure="0">"c170"</definedName>
    <definedName name="IQ_CL_DUE_CY3" hidden="1" function="0" vbProcedure="0">"c171"</definedName>
    <definedName name="IQ_CL_DUE_CY4" hidden="1" function="0" vbProcedure="0">"c172"</definedName>
    <definedName name="IQ_CL_DUE_NEXT_FIVE" hidden="1" function="0" vbProcedure="0">"c173"</definedName>
    <definedName name="IQ_COGS" hidden="1" function="0" vbProcedure="0">"c175"</definedName>
    <definedName name="IQ_COMBINED_RATIO" hidden="1" function="0" vbProcedure="0">"c176"</definedName>
    <definedName name="IQ_COMMERCIAL_DOM" hidden="1" function="0" vbProcedure="0">"c177"</definedName>
    <definedName name="IQ_COMMERCIAL_FIRE_WRITTEN" hidden="1" function="0" vbProcedure="0">"c178"</definedName>
    <definedName name="IQ_COMMERCIAL_MORT" hidden="1" function="0" vbProcedure="0">"c179"</definedName>
    <definedName name="IQ_COMMISSION_DEF" hidden="1" function="0" vbProcedure="0">"c181"</definedName>
    <definedName name="IQ_COMMISS_FEES" hidden="1" function="0" vbProcedure="0">"c180"</definedName>
    <definedName name="IQ_COMMON" hidden="1" function="0" vbProcedure="0">"c182"</definedName>
    <definedName name="IQ_COMMON_APIC" hidden="1" function="0" vbProcedure="0">"c183"</definedName>
    <definedName name="IQ_COMMON_APIC_BNK" hidden="1" function="0" vbProcedure="0">"c184"</definedName>
    <definedName name="IQ_COMMON_APIC_BR" hidden="1" function="0" vbProcedure="0">"c185"</definedName>
    <definedName name="IQ_COMMON_APIC_FIN" hidden="1" function="0" vbProcedure="0">"c186"</definedName>
    <definedName name="IQ_COMMON_APIC_INS" hidden="1" function="0" vbProcedure="0">"c187"</definedName>
    <definedName name="IQ_COMMON_APIC_REIT" hidden="1" function="0" vbProcedure="0">"c188"</definedName>
    <definedName name="IQ_COMMON_APIC_UTI" hidden="1" function="0" vbProcedure="0">"c189"</definedName>
    <definedName name="IQ_COMMON_DIV_CF" hidden="1" function="0" vbProcedure="0">"c190"</definedName>
    <definedName name="IQ_COMMON_EQUITY_10YR_ANN_GROWTH" hidden="1" function="0" vbProcedure="0">"c191"</definedName>
    <definedName name="IQ_COMMON_EQUITY_1YR_ANN_GROWTH" hidden="1" function="0" vbProcedure="0">"c192"</definedName>
    <definedName name="IQ_COMMON_EQUITY_2YR_ANN_GROWTH" hidden="1" function="0" vbProcedure="0">"c193"</definedName>
    <definedName name="IQ_COMMON_EQUITY_3YR_ANN_GROWTH" hidden="1" function="0" vbProcedure="0">"c194"</definedName>
    <definedName name="IQ_COMMON_EQUITY_5YR_ANN_GROWTH" hidden="1" function="0" vbProcedure="0">"c195"</definedName>
    <definedName name="IQ_COMMON_EQUITY_7YR_ANN_GROWTH" hidden="1" function="0" vbProcedure="0">"c196"</definedName>
    <definedName name="IQ_COMMON_ISSUED" hidden="1" function="0" vbProcedure="0">"c197"</definedName>
    <definedName name="IQ_COMMON_ISSUED_BNK" hidden="1" function="0" vbProcedure="0">"c198"</definedName>
    <definedName name="IQ_COMMON_ISSUED_BR" hidden="1" function="0" vbProcedure="0">"c199"</definedName>
    <definedName name="IQ_COMMON_ISSUED_FIN" hidden="1" function="0" vbProcedure="0">"c200"</definedName>
    <definedName name="IQ_COMMON_ISSUED_INS" hidden="1" function="0" vbProcedure="0">"c201"</definedName>
    <definedName name="IQ_COMMON_ISSUED_REIT" hidden="1" function="0" vbProcedure="0">"c202"</definedName>
    <definedName name="IQ_COMMON_ISSUED_UTI" hidden="1" function="0" vbProcedure="0">"c203"</definedName>
    <definedName name="IQ_COMMON_PER_ADR" hidden="1" function="0" vbProcedure="0">"c204"</definedName>
    <definedName name="IQ_COMMON_PREF_DIV_CF" hidden="1" function="0" vbProcedure="0">"c205"</definedName>
    <definedName name="IQ_COMMON_REP" hidden="1" function="0" vbProcedure="0">"c206"</definedName>
    <definedName name="IQ_COMMON_REP_BNK" hidden="1" function="0" vbProcedure="0">"c207"</definedName>
    <definedName name="IQ_COMMON_REP_BR" hidden="1" function="0" vbProcedure="0">"c208"</definedName>
    <definedName name="IQ_COMMON_REP_FIN" hidden="1" function="0" vbProcedure="0">"c209"</definedName>
    <definedName name="IQ_COMMON_REP_INS" hidden="1" function="0" vbProcedure="0">"c210"</definedName>
    <definedName name="IQ_COMMON_REP_REIT" hidden="1" function="0" vbProcedure="0">"c211"</definedName>
    <definedName name="IQ_COMMON_REP_UTI" hidden="1" function="0" vbProcedure="0">"c212"</definedName>
    <definedName name="IQ_COMMON_STOCK" hidden="1" function="0" vbProcedure="0">"c1358"</definedName>
    <definedName name="IQ_COMPANY_ADDRESS" hidden="1" function="0" vbProcedure="0">"c214"</definedName>
    <definedName name="IQ_COMPANY_NAME" hidden="1" function="0" vbProcedure="0">"c215"</definedName>
    <definedName name="IQ_COMPANY_NAME_LONG" hidden="1" function="0" vbProcedure="0">"c1585"</definedName>
    <definedName name="IQ_COMPANY_PHONE" hidden="1" function="0" vbProcedure="0">"c216"</definedName>
    <definedName name="IQ_COMPANY_STATUS" hidden="1" function="0" vbProcedure="0">"c2097"</definedName>
    <definedName name="IQ_COMPANY_STREET1" hidden="1" function="0" vbProcedure="0">"c217"</definedName>
    <definedName name="IQ_COMPANY_STREET2" hidden="1" function="0" vbProcedure="0">"c218"</definedName>
    <definedName name="IQ_COMPANY_TICKER" hidden="1" function="0" vbProcedure="0">"c219"</definedName>
    <definedName name="IQ_COMPANY_TYPE" hidden="1" function="0" vbProcedure="0">"c2096"</definedName>
    <definedName name="IQ_COMPANY_WEBSITE" hidden="1" function="0" vbProcedure="0">"c220"</definedName>
    <definedName name="IQ_COMPANY_ZIP" hidden="1" function="0" vbProcedure="0">"c221"</definedName>
    <definedName name="IQ_COMP_BENEFITS" hidden="1" function="0" vbProcedure="0">"c213"</definedName>
    <definedName name="IQ_CONSTRUCTION_LOANS" hidden="1" function="0" vbProcedure="0">"c222"</definedName>
    <definedName name="IQ_CONSUMER_LOANS" hidden="1" function="0" vbProcedure="0">"c223"</definedName>
    <definedName name="IQ_COST_BORROWINGS" hidden="1" function="0" vbProcedure="0">"c225"</definedName>
    <definedName name="IQ_COST_REV" hidden="1" function="0" vbProcedure="0">"c226"</definedName>
    <definedName name="IQ_COST_REVENUE" hidden="1" function="0" vbProcedure="0">"c1359"</definedName>
    <definedName name="IQ_COST_SAVINGS" hidden="1" function="0" vbProcedure="0">"c227"</definedName>
    <definedName name="IQ_COST_SERVICE" hidden="1" function="0" vbProcedure="0">"c228"</definedName>
    <definedName name="IQ_COST_TOTAL_BORROWINGS" hidden="1" function="0" vbProcedure="0">"c229"</definedName>
    <definedName name="IQ_COUNTRY_NAME" hidden="1" function="0" vbProcedure="0">"c230"</definedName>
    <definedName name="IQ_COVERED_POPS" hidden="1" function="0" vbProcedure="0">"c2124"</definedName>
    <definedName name="IQ_CQ" hidden="1" function="0" vbProcedure="0">5000</definedName>
    <definedName name="IQ_CREDIT_CARD_FEE_BNK" hidden="1" function="0" vbProcedure="0">"c231"</definedName>
    <definedName name="IQ_CREDIT_CARD_FEE_FIN" hidden="1" function="0" vbProcedure="0">"c1583"</definedName>
    <definedName name="IQ_CREDIT_LOSS_CF" hidden="1" function="0" vbProcedure="0">"c232"</definedName>
    <definedName name="IQ_CUMULATIVE_SPLIT_FACTOR" hidden="1" function="0" vbProcedure="0">"c2094"</definedName>
    <definedName name="IQ_CURRENCY_FACTOR_BS" hidden="1" function="0" vbProcedure="0">"c233"</definedName>
    <definedName name="IQ_CURRENCY_FACTOR_IS" hidden="1" function="0" vbProcedure="0">"c234"</definedName>
    <definedName name="IQ_CURRENCY_GAIN" hidden="1" function="0" vbProcedure="0">"c235"</definedName>
    <definedName name="IQ_CURRENCY_GAIN_BR" hidden="1" function="0" vbProcedure="0">"c236"</definedName>
    <definedName name="IQ_CURRENCY_GAIN_FIN" hidden="1" function="0" vbProcedure="0">"c237"</definedName>
    <definedName name="IQ_CURRENCY_GAIN_INS" hidden="1" function="0" vbProcedure="0">"c238"</definedName>
    <definedName name="IQ_CURRENCY_GAIN_REIT" hidden="1" function="0" vbProcedure="0">"c239"</definedName>
    <definedName name="IQ_CURRENCY_GAIN_UTI" hidden="1" function="0" vbProcedure="0">"c240"</definedName>
    <definedName name="IQ_CURRENT_PORT" hidden="1" function="0" vbProcedure="0">"c241"</definedName>
    <definedName name="IQ_CURRENT_PORT_BNK" hidden="1" function="0" vbProcedure="0">"c242"</definedName>
    <definedName name="IQ_CURRENT_PORT_DEBT" hidden="1" function="0" vbProcedure="0">"c243"</definedName>
    <definedName name="IQ_CURRENT_PORT_DEBT_BNK" hidden="1" function="0" vbProcedure="0">"c244"</definedName>
    <definedName name="IQ_CURRENT_PORT_DEBT_BR" hidden="1" function="0" vbProcedure="0">"c1567"</definedName>
    <definedName name="IQ_CURRENT_PORT_DEBT_FIN" hidden="1" function="0" vbProcedure="0">"c1568"</definedName>
    <definedName name="IQ_CURRENT_PORT_DEBT_INS" hidden="1" function="0" vbProcedure="0">"c1569"</definedName>
    <definedName name="IQ_CURRENT_PORT_DEBT_REIT" hidden="1" function="0" vbProcedure="0">"c1570"</definedName>
    <definedName name="IQ_CURRENT_PORT_DEBT_UTI" hidden="1" function="0" vbProcedure="0">"c1571"</definedName>
    <definedName name="IQ_CURRENT_PORT_LEASES" hidden="1" function="0" vbProcedure="0">"c245"</definedName>
    <definedName name="IQ_CURRENT_RATIO" hidden="1" function="0" vbProcedure="0">"c246"</definedName>
    <definedName name="IQ_CURR_DOMESTIC_TAXES" hidden="1" function="0" vbProcedure="0">"c2074"</definedName>
    <definedName name="IQ_CURR_FOREIGN_TAXES" hidden="1" function="0" vbProcedure="0">"c2075"</definedName>
    <definedName name="IQ_CY" hidden="1" function="0" vbProcedure="0">10000</definedName>
    <definedName name="IQ_DA" hidden="1" function="0" vbProcedure="0">"c247"</definedName>
    <definedName name="IQ_DAYS_COVER_SHORT" hidden="1" function="0" vbProcedure="0">"c1578"</definedName>
    <definedName name="IQ_DAYS_INVENTORY_OUT" hidden="1" function="0" vbProcedure="0">"c273"</definedName>
    <definedName name="IQ_DAYS_PAYABLE_OUT" hidden="1" function="0" vbProcedure="0">"c274"</definedName>
    <definedName name="IQ_DAYS_PAY_OUTST" hidden="1" function="0" vbProcedure="0">"c1362"</definedName>
    <definedName name="IQ_DAYS_SALES_OUT" hidden="1" function="0" vbProcedure="0">"c275"</definedName>
    <definedName name="IQ_DAYS_SALES_OUTST" hidden="1" function="0" vbProcedure="0">"c1363"</definedName>
    <definedName name="IQ_DA_BR" hidden="1" function="0" vbProcedure="0">"c248"</definedName>
    <definedName name="IQ_DA_CF" hidden="1" function="0" vbProcedure="0">"c249"</definedName>
    <definedName name="IQ_DA_CF_BNK" hidden="1" function="0" vbProcedure="0">"c250"</definedName>
    <definedName name="IQ_DA_CF_BR" hidden="1" function="0" vbProcedure="0">"c251"</definedName>
    <definedName name="IQ_DA_CF_FIN" hidden="1" function="0" vbProcedure="0">"c252"</definedName>
    <definedName name="IQ_DA_CF_INS" hidden="1" function="0" vbProcedure="0">"c253"</definedName>
    <definedName name="IQ_DA_CF_REIT" hidden="1" function="0" vbProcedure="0">"c254"</definedName>
    <definedName name="IQ_DA_CF_UTI" hidden="1" function="0" vbProcedure="0">"c255"</definedName>
    <definedName name="IQ_DA_FIN" hidden="1" function="0" vbProcedure="0">"c256"</definedName>
    <definedName name="IQ_DA_INS" hidden="1" function="0" vbProcedure="0">"c257"</definedName>
    <definedName name="IQ_DA_REIT" hidden="1" function="0" vbProcedure="0">"c258"</definedName>
    <definedName name="IQ_DA_SUPPL" hidden="1" function="0" vbProcedure="0">"c259"</definedName>
    <definedName name="IQ_DA_SUPPL_BR" hidden="1" function="0" vbProcedure="0">"c260"</definedName>
    <definedName name="IQ_DA_SUPPL_CF" hidden="1" function="0" vbProcedure="0">"c261"</definedName>
    <definedName name="IQ_DA_SUPPL_CF_BNK" hidden="1" function="0" vbProcedure="0">"c262"</definedName>
    <definedName name="IQ_DA_SUPPL_CF_BR" hidden="1" function="0" vbProcedure="0">"c263"</definedName>
    <definedName name="IQ_DA_SUPPL_CF_FIN" hidden="1" function="0" vbProcedure="0">"c264"</definedName>
    <definedName name="IQ_DA_SUPPL_CF_INS" hidden="1" function="0" vbProcedure="0">"c265"</definedName>
    <definedName name="IQ_DA_SUPPL_CF_REIT" hidden="1" function="0" vbProcedure="0">"c266"</definedName>
    <definedName name="IQ_DA_SUPPL_CF_UTI" hidden="1" function="0" vbProcedure="0">"c267"</definedName>
    <definedName name="IQ_DA_SUPPL_FIN" hidden="1" function="0" vbProcedure="0">"c268"</definedName>
    <definedName name="IQ_DA_SUPPL_INS" hidden="1" function="0" vbProcedure="0">"c269"</definedName>
    <definedName name="IQ_DA_SUPPL_REIT" hidden="1" function="0" vbProcedure="0">"c270"</definedName>
    <definedName name="IQ_DA_SUPPL_UTI" hidden="1" function="0" vbProcedure="0">"c271"</definedName>
    <definedName name="IQ_DA_UTI" hidden="1" function="0" vbProcedure="0">"c272"</definedName>
    <definedName name="IQ_DEFERRED_DOMESTIC_TAXES" hidden="1" function="0" vbProcedure="0">"c2077"</definedName>
    <definedName name="IQ_DEFERRED_FOREIGN_TAXES" hidden="1" function="0" vbProcedure="0">"c2078"</definedName>
    <definedName name="IQ_DEFERRED_INC_TAX" hidden="1" function="0" vbProcedure="0">"c1447"</definedName>
    <definedName name="IQ_DEFERRED_TAXES" hidden="1" function="0" vbProcedure="0">"c1356"</definedName>
    <definedName name="IQ_DEF_ACQ_CST" hidden="1" function="0" vbProcedure="0">"c1364"</definedName>
    <definedName name="IQ_DEF_AMORT" hidden="1" function="0" vbProcedure="0">"c276"</definedName>
    <definedName name="IQ_DEF_AMORT_BNK" hidden="1" function="0" vbProcedure="0">"c277"</definedName>
    <definedName name="IQ_DEF_AMORT_BR" hidden="1" function="0" vbProcedure="0">"c278"</definedName>
    <definedName name="IQ_DEF_AMORT_FIN" hidden="1" function="0" vbProcedure="0">"c279"</definedName>
    <definedName name="IQ_DEF_AMORT_INS" hidden="1" function="0" vbProcedure="0">"c280"</definedName>
    <definedName name="IQ_DEF_AMORT_REIT" hidden="1" function="0" vbProcedure="0">"c281"</definedName>
    <definedName name="IQ_DEF_AMORT_UTI" hidden="1" function="0" vbProcedure="0">"c282"</definedName>
    <definedName name="IQ_DEF_BENEFIT_INTEREST_COST" hidden="1" function="0" vbProcedure="0">"c283"</definedName>
    <definedName name="IQ_DEF_BENEFIT_OTHER_COST" hidden="1" function="0" vbProcedure="0">"c284"</definedName>
    <definedName name="IQ_DEF_BENEFIT_ROA" hidden="1" function="0" vbProcedure="0">"c285"</definedName>
    <definedName name="IQ_DEF_BENEFIT_SERVICE_COST" hidden="1" function="0" vbProcedure="0">"c286"</definedName>
    <definedName name="IQ_DEF_BENEFIT_TOTAL_COST" hidden="1" function="0" vbProcedure="0">"c287"</definedName>
    <definedName name="IQ_DEF_CHARGES_BR" hidden="1" function="0" vbProcedure="0">"c288"</definedName>
    <definedName name="IQ_DEF_CHARGES_CF" hidden="1" function="0" vbProcedure="0">"c289"</definedName>
    <definedName name="IQ_DEF_CHARGES_FIN" hidden="1" function="0" vbProcedure="0">"c290"</definedName>
    <definedName name="IQ_DEF_CHARGES_INS" hidden="1" function="0" vbProcedure="0">"c291"</definedName>
    <definedName name="IQ_DEF_CHARGES_LT" hidden="1" function="0" vbProcedure="0">"c292"</definedName>
    <definedName name="IQ_DEF_CHARGES_LT_BNK" hidden="1" function="0" vbProcedure="0">"c293"</definedName>
    <definedName name="IQ_DEF_CHARGES_LT_BR" hidden="1" function="0" vbProcedure="0">"c294"</definedName>
    <definedName name="IQ_DEF_CHARGES_LT_FIN" hidden="1" function="0" vbProcedure="0">"c295"</definedName>
    <definedName name="IQ_DEF_CHARGES_LT_INS" hidden="1" function="0" vbProcedure="0">"c296"</definedName>
    <definedName name="IQ_DEF_CHARGES_LT_REIT" hidden="1" function="0" vbProcedure="0">"c297"</definedName>
    <definedName name="IQ_DEF_CHARGES_LT_UTI" hidden="1" function="0" vbProcedure="0">"c298"</definedName>
    <definedName name="IQ_DEF_CHARGES_REIT" hidden="1" function="0" vbProcedure="0">"c299"</definedName>
    <definedName name="IQ_DEF_CONTRIBUTION_TOTAL_COST" hidden="1" function="0" vbProcedure="0">"c300"</definedName>
    <definedName name="IQ_DEF_INC_TAX" hidden="1" function="0" vbProcedure="0">"c1365"</definedName>
    <definedName name="IQ_DEF_POLICY_ACQ_COSTS" hidden="1" function="0" vbProcedure="0">"c301"</definedName>
    <definedName name="IQ_DEF_POLICY_ACQ_COSTS_CF" hidden="1" function="0" vbProcedure="0">"c302"</definedName>
    <definedName name="IQ_DEF_POLICY_AMORT" hidden="1" function="0" vbProcedure="0">"c303"</definedName>
    <definedName name="IQ_DEF_TAX_ASSETS_CURRENT" hidden="1" function="0" vbProcedure="0">"c309"</definedName>
    <definedName name="IQ_DEF_TAX_ASSETS_LT" hidden="1" function="0" vbProcedure="0">"c310"</definedName>
    <definedName name="IQ_DEF_TAX_ASSETS_LT_BNK" hidden="1" function="0" vbProcedure="0">"c311"</definedName>
    <definedName name="IQ_DEF_TAX_ASSET_LT_BR" hidden="1" function="0" vbProcedure="0">"c304"</definedName>
    <definedName name="IQ_DEF_TAX_ASSET_LT_FIN" hidden="1" function="0" vbProcedure="0">"c305"</definedName>
    <definedName name="IQ_DEF_TAX_ASSET_LT_INS" hidden="1" function="0" vbProcedure="0">"c306"</definedName>
    <definedName name="IQ_DEF_TAX_ASSET_LT_REIT" hidden="1" function="0" vbProcedure="0">"c307"</definedName>
    <definedName name="IQ_DEF_TAX_ASSET_LT_UTI" hidden="1" function="0" vbProcedure="0">"c308"</definedName>
    <definedName name="IQ_DEF_TAX_LIAB_CURRENT" hidden="1" function="0" vbProcedure="0">"c312"</definedName>
    <definedName name="IQ_DEF_TAX_LIAB_LT" hidden="1" function="0" vbProcedure="0">"c313"</definedName>
    <definedName name="IQ_DEF_TAX_LIAB_LT_BNK" hidden="1" function="0" vbProcedure="0">"c314"</definedName>
    <definedName name="IQ_DEF_TAX_LIAB_LT_BR" hidden="1" function="0" vbProcedure="0">"c315"</definedName>
    <definedName name="IQ_DEF_TAX_LIAB_LT_FIN" hidden="1" function="0" vbProcedure="0">"c316"</definedName>
    <definedName name="IQ_DEF_TAX_LIAB_LT_INS" hidden="1" function="0" vbProcedure="0">"c317"</definedName>
    <definedName name="IQ_DEF_TAX_LIAB_LT_REIT" hidden="1" function="0" vbProcedure="0">"c318"</definedName>
    <definedName name="IQ_DEF_TAX_LIAB_LT_UTI" hidden="1" function="0" vbProcedure="0">"c319"</definedName>
    <definedName name="IQ_DEMAND_DEP" hidden="1" function="0" vbProcedure="0">"c320"</definedName>
    <definedName name="IQ_DEPOSITS_FIN" hidden="1" function="0" vbProcedure="0">"c321"</definedName>
    <definedName name="IQ_DEPRE_AMORT" hidden="1" function="0" vbProcedure="0">"c1360"</definedName>
    <definedName name="IQ_DEPRE_AMORT_SUPPL" hidden="1" function="0" vbProcedure="0">"c1593"</definedName>
    <definedName name="IQ_DEPRE_DEPLE" hidden="1" function="0" vbProcedure="0">"c1361"</definedName>
    <definedName name="IQ_DEPRE_SUPP" hidden="1" function="0" vbProcedure="0">"c1443"</definedName>
    <definedName name="IQ_DESCRIPTION_LONG" hidden="1" function="0" vbProcedure="0">"c1520"</definedName>
    <definedName name="IQ_DEVELOP_LAND" hidden="1" function="0" vbProcedure="0">"c323"</definedName>
    <definedName name="IQ_DIFF_LASTCLOSE_TARGET_PRICE" hidden="1" function="0" vbProcedure="0">"c1854"</definedName>
    <definedName name="IQ_DILUT_ADJUST" hidden="1" function="0" vbProcedure="0">"c1621"</definedName>
    <definedName name="IQ_DILUT_EPS_EXCL" hidden="1" function="0" vbProcedure="0">"c324"</definedName>
    <definedName name="IQ_DILUT_EPS_INCL" hidden="1" function="0" vbProcedure="0">"c325"</definedName>
    <definedName name="IQ_DILUT_EPS_NORM" hidden="1" function="0" vbProcedure="0">"c1903"</definedName>
    <definedName name="IQ_DILUT_NI" hidden="1" function="0" vbProcedure="0">"c2079"</definedName>
    <definedName name="IQ_DILUT_NORMAL_EPS" hidden="1" function="0" vbProcedure="0">"c1594"</definedName>
    <definedName name="IQ_DILUT_WEIGHT" hidden="1" function="0" vbProcedure="0">"c326"</definedName>
    <definedName name="IQ_DISCONT_OPER" hidden="1" function="0" vbProcedure="0">"c1367"</definedName>
    <definedName name="IQ_DISCOUNT_RATE_PENSION_DOMESTIC" hidden="1" function="0" vbProcedure="0">"c327"</definedName>
    <definedName name="IQ_DISCOUNT_RATE_PENSION_FOREIGN" hidden="1" function="0" vbProcedure="0">"c328"</definedName>
    <definedName name="IQ_DISTR_EXCESS_EARN" hidden="1" function="0" vbProcedure="0">"c329"</definedName>
    <definedName name="IQ_DIVEST_CF" hidden="1" function="0" vbProcedure="0">"c331"</definedName>
    <definedName name="IQ_DIVIDEND_YIELD" hidden="1" function="0" vbProcedure="0">"c332"</definedName>
    <definedName name="IQ_DIVID_SHARE" hidden="1" function="0" vbProcedure="0">"c1366"</definedName>
    <definedName name="IQ_DIV_PAYMENT_DATE" hidden="1" function="0" vbProcedure="0">"c2106"</definedName>
    <definedName name="IQ_DIV_RECORD_DATE" hidden="1" function="0" vbProcedure="0">"c2105"</definedName>
    <definedName name="IQ_DIV_SHARE" hidden="1" function="0" vbProcedure="0">"c330"</definedName>
    <definedName name="IQ_DO" hidden="1" function="0" vbProcedure="0">"c333"</definedName>
    <definedName name="IQ_DO_ASSETS_CURRENT" hidden="1" function="0" vbProcedure="0">"c334"</definedName>
    <definedName name="IQ_DO_ASSETS_LT" hidden="1" function="0" vbProcedure="0">"c335"</definedName>
    <definedName name="IQ_DO_CF" hidden="1" function="0" vbProcedure="0">"c336"</definedName>
    <definedName name="IQ_DPS_10YR_ANN_GROWTH" hidden="1" function="0" vbProcedure="0">"c337"</definedName>
    <definedName name="IQ_DPS_1YR_ANN_GROWTH" hidden="1" function="0" vbProcedure="0">"c338"</definedName>
    <definedName name="IQ_DPS_2YR_ANN_GROWTH" hidden="1" function="0" vbProcedure="0">"c339"</definedName>
    <definedName name="IQ_DPS_3YR_ANN_GROWTH" hidden="1" function="0" vbProcedure="0">"c340"</definedName>
    <definedName name="IQ_DPS_5YR_ANN_GROWTH" hidden="1" function="0" vbProcedure="0">"c341"</definedName>
    <definedName name="IQ_DPS_7YR_ANN_GROWTH" hidden="1" function="0" vbProcedure="0">"c342"</definedName>
    <definedName name="IQ_EARNINGS_ANNOUNCE_DATE" hidden="1" function="0" vbProcedure="0">"c1649"</definedName>
    <definedName name="IQ_EARNING_ASSET_YIELD" hidden="1" function="0" vbProcedure="0">"c343"</definedName>
    <definedName name="IQ_EARNING_CO" hidden="1" function="0" vbProcedure="0">"c344"</definedName>
    <definedName name="IQ_EARNING_CO_10YR_ANN_GROWTH" hidden="1" function="0" vbProcedure="0">"c345"</definedName>
    <definedName name="IQ_EARNING_CO_1YR_ANN_GROWTH" hidden="1" function="0" vbProcedure="0">"c346"</definedName>
    <definedName name="IQ_EARNING_CO_2YR_ANN_GROWTH" hidden="1" function="0" vbProcedure="0">"c347"</definedName>
    <definedName name="IQ_EARNING_CO_3YR_ANN_GROWTH" hidden="1" function="0" vbProcedure="0">"c348"</definedName>
    <definedName name="IQ_EARNING_CO_5YR_ANN_GROWTH" hidden="1" function="0" vbProcedure="0">"c349"</definedName>
    <definedName name="IQ_EARNING_CO_7YR_ANN_GROWTH" hidden="1" function="0" vbProcedure="0">"c350"</definedName>
    <definedName name="IQ_EARNING_CO_MARGIN" hidden="1" function="0" vbProcedure="0">"c351"</definedName>
    <definedName name="IQ_EBIT" hidden="1" function="0" vbProcedure="0">"c352"</definedName>
    <definedName name="IQ_EBITA" hidden="1" function="0" vbProcedure="0">"c1910"</definedName>
    <definedName name="IQ_EBITA_10YR_ANN_GROWTH" hidden="1" function="0" vbProcedure="0">"c1954"</definedName>
    <definedName name="IQ_EBITA_1YR_ANN_GROWTH" hidden="1" function="0" vbProcedure="0">"c1949"</definedName>
    <definedName name="IQ_EBITA_2YR_ANN_GROWTH" hidden="1" function="0" vbProcedure="0">"c1950"</definedName>
    <definedName name="IQ_EBITA_3YR_ANN_GROWTH" hidden="1" function="0" vbProcedure="0">"c1951"</definedName>
    <definedName name="IQ_EBITA_5YR_ANN_GROWTH" hidden="1" function="0" vbProcedure="0">"c1952"</definedName>
    <definedName name="IQ_EBITA_7YR_ANN_GROWTH" hidden="1" function="0" vbProcedure="0">"c1953"</definedName>
    <definedName name="IQ_EBITA_MARGIN" hidden="1" function="0" vbProcedure="0">"c1963"</definedName>
    <definedName name="IQ_EBITDA" hidden="1" function="0" vbProcedure="0">"c361"</definedName>
    <definedName name="IQ_EBITDA_10YR_ANN_GROWTH" hidden="1" function="0" vbProcedure="0">"c362"</definedName>
    <definedName name="IQ_EBITDA_1YR_ANN_GROWTH" hidden="1" function="0" vbProcedure="0">"c363"</definedName>
    <definedName name="IQ_EBITDA_2YR_ANN_GROWTH" hidden="1" function="0" vbProcedure="0">"c364"</definedName>
    <definedName name="IQ_EBITDA_3YR_ANN_GROWTH" hidden="1" function="0" vbProcedure="0">"c365"</definedName>
    <definedName name="IQ_EBITDA_5YR_ANN_GROWTH" hidden="1" function="0" vbProcedure="0">"c366"</definedName>
    <definedName name="IQ_EBITDA_7YR_ANN_GROWTH" hidden="1" function="0" vbProcedure="0">"c367"</definedName>
    <definedName name="IQ_EBITDA_CAPEX_INT" hidden="1" function="0" vbProcedure="0">"c368"</definedName>
    <definedName name="IQ_EBITDA_CAPEX_OVER_TOTAL_IE" hidden="1" function="0" vbProcedure="0">"c1370"</definedName>
    <definedName name="IQ_EBITDA_INT" hidden="1" function="0" vbProcedure="0">"c373"</definedName>
    <definedName name="IQ_EBITDA_MARGIN" hidden="1" function="0" vbProcedure="0">"c372"</definedName>
    <definedName name="IQ_EBITDA_OVER_TOTAL_IE" hidden="1" function="0" vbProcedure="0">"c1371"</definedName>
    <definedName name="IQ_EBIT_10YR_ANN_GROWTH" hidden="1" function="0" vbProcedure="0">"c353"</definedName>
    <definedName name="IQ_EBIT_1YR_ANN_GROWTH" hidden="1" function="0" vbProcedure="0">"c354"</definedName>
    <definedName name="IQ_EBIT_2YR_ANN_GROWTH" hidden="1" function="0" vbProcedure="0">"c355"</definedName>
    <definedName name="IQ_EBIT_3YR_ANN_GROWTH" hidden="1" function="0" vbProcedure="0">"c356"</definedName>
    <definedName name="IQ_EBIT_5YR_ANN_GROWTH" hidden="1" function="0" vbProcedure="0">"c357"</definedName>
    <definedName name="IQ_EBIT_7YR_ANN_GROWTH" hidden="1" function="0" vbProcedure="0">"c358"</definedName>
    <definedName name="IQ_EBIT_INT" hidden="1" function="0" vbProcedure="0">"c360"</definedName>
    <definedName name="IQ_EBIT_MARGIN" hidden="1" function="0" vbProcedure="0">"c359"</definedName>
    <definedName name="IQ_EBIT_OVER_IE" hidden="1" function="0" vbProcedure="0">"c1369"</definedName>
    <definedName name="IQ_EBT" hidden="1" function="0" vbProcedure="0">"c376"</definedName>
    <definedName name="IQ_EBT_BNK" hidden="1" function="0" vbProcedure="0">"c377"</definedName>
    <definedName name="IQ_EBT_BR" hidden="1" function="0" vbProcedure="0">"c378"</definedName>
    <definedName name="IQ_EBT_EXCL" hidden="1" function="0" vbProcedure="0">"c379"</definedName>
    <definedName name="IQ_EBT_EXCL_BNK" hidden="1" function="0" vbProcedure="0">"c380"</definedName>
    <definedName name="IQ_EBT_EXCL_BR" hidden="1" function="0" vbProcedure="0">"c381"</definedName>
    <definedName name="IQ_EBT_EXCL_FIN" hidden="1" function="0" vbProcedure="0">"c382"</definedName>
    <definedName name="IQ_EBT_EXCL_INS" hidden="1" function="0" vbProcedure="0">"c383"</definedName>
    <definedName name="IQ_EBT_EXCL_MARGIN" hidden="1" function="0" vbProcedure="0">"c1462"</definedName>
    <definedName name="IQ_EBT_EXCL_REIT" hidden="1" function="0" vbProcedure="0">"c384"</definedName>
    <definedName name="IQ_EBT_EXCL_UTI" hidden="1" function="0" vbProcedure="0">"c385"</definedName>
    <definedName name="IQ_EBT_FIN" hidden="1" function="0" vbProcedure="0">"c386"</definedName>
    <definedName name="IQ_EBT_INCL_MARGIN" hidden="1" function="0" vbProcedure="0">"c387"</definedName>
    <definedName name="IQ_EBT_INS" hidden="1" function="0" vbProcedure="0">"c388"</definedName>
    <definedName name="IQ_EBT_REIT" hidden="1" function="0" vbProcedure="0">"c389"</definedName>
    <definedName name="IQ_EBT_UTI" hidden="1" function="0" vbProcedure="0">"c390"</definedName>
    <definedName name="IQ_EFFECT_SPECIAL_CHARGE" hidden="1" function="0" vbProcedure="0">"c1595"</definedName>
    <definedName name="IQ_EFFECT_TAX_RATE" hidden="1" function="0" vbProcedure="0">"c1899"</definedName>
    <definedName name="IQ_EFFICIENCY_RATIO" hidden="1" function="0" vbProcedure="0">"c391"</definedName>
    <definedName name="IQ_EMPLOYEES" hidden="1" function="0" vbProcedure="0">"c392"</definedName>
    <definedName name="IQ_ENTERPRISE_VALUE" hidden="1" function="0" vbProcedure="0">"c1348"</definedName>
    <definedName name="IQ_EPS_10YR_ANN_GROWTH" hidden="1" function="0" vbProcedure="0">"c393"</definedName>
    <definedName name="IQ_EPS_1YR_ANN_GROWTH" hidden="1" function="0" vbProcedure="0">"c394"</definedName>
    <definedName name="IQ_EPS_2YR_ANN_GROWTH" hidden="1" function="0" vbProcedure="0">"c395"</definedName>
    <definedName name="IQ_EPS_3YR_ANN_GROWTH" hidden="1" function="0" vbProcedure="0">"c396"</definedName>
    <definedName name="IQ_EPS_5YR_ANN_GROWTH" hidden="1" function="0" vbProcedure="0">"c397"</definedName>
    <definedName name="IQ_EPS_7YR_ANN_GROWTH" hidden="1" function="0" vbProcedure="0">"c398"</definedName>
    <definedName name="IQ_EPS_EST" hidden="1" function="0" vbProcedure="0">"c399"</definedName>
    <definedName name="IQ_EPS_HIGH_EST" hidden="1" function="0" vbProcedure="0">"c400"</definedName>
    <definedName name="IQ_EPS_LOW_EST" hidden="1" function="0" vbProcedure="0">"c401"</definedName>
    <definedName name="IQ_EPS_MEDIAN_EST" hidden="1" function="0" vbProcedure="0">"c1661"</definedName>
    <definedName name="IQ_EPS_NORM" hidden="1" function="0" vbProcedure="0">"c1902"</definedName>
    <definedName name="IQ_EPS_NUM_EST" hidden="1" function="0" vbProcedure="0">"c402"</definedName>
    <definedName name="IQ_EPS_STDDEV_EST" hidden="1" function="0" vbProcedure="0">"c403"</definedName>
    <definedName name="IQ_EQUITY_AFFIL" hidden="1" function="0" vbProcedure="0">"c1451"</definedName>
    <definedName name="IQ_EQUITY_METHOD" hidden="1" function="0" vbProcedure="0">"c404"</definedName>
    <definedName name="IQ_EQV_OVER_BV" hidden="1" function="0" vbProcedure="0">"c1596"</definedName>
    <definedName name="IQ_EQV_OVER_LTM_PRETAX_INC" hidden="1" function="0" vbProcedure="0">"c1390"</definedName>
    <definedName name="IQ_ESOP_DEBT" hidden="1" function="0" vbProcedure="0">"c1597"</definedName>
    <definedName name="IQ_EST_ACT_EPS" hidden="1" function="0" vbProcedure="0">"c1648"</definedName>
    <definedName name="IQ_EST_CURRENCY" hidden="1" function="0" vbProcedure="0">"c2140"</definedName>
    <definedName name="IQ_EST_DATE" hidden="1" function="0" vbProcedure="0">"c1634"</definedName>
    <definedName name="IQ_EST_EPS_DIFF" hidden="1" function="0" vbProcedure="0">"c1864"</definedName>
    <definedName name="IQ_EST_EPS_GROWTH_1YR" hidden="1" function="0" vbProcedure="0">"c1636"</definedName>
    <definedName name="IQ_EST_EPS_GROWTH_5YR" hidden="1" function="0" vbProcedure="0">"c1655"</definedName>
    <definedName name="IQ_EST_EPS_GROWTH_5YR_HIGH" hidden="1" function="0" vbProcedure="0">"c1657"</definedName>
    <definedName name="IQ_EST_EPS_GROWTH_5YR_LOW" hidden="1" function="0" vbProcedure="0">"c1658"</definedName>
    <definedName name="IQ_EST_EPS_GROWTH_5YR_MEDIAN" hidden="1" function="0" vbProcedure="0">"c1656"</definedName>
    <definedName name="IQ_EST_EPS_GROWTH_5YR_NUM" hidden="1" function="0" vbProcedure="0">"c1659"</definedName>
    <definedName name="IQ_EST_EPS_GROWTH_5YR_STDDEV" hidden="1" function="0" vbProcedure="0">"c1660"</definedName>
    <definedName name="IQ_EST_EPS_GROWTH_Q_1YR" hidden="1" function="0" vbProcedure="0">"c1641"</definedName>
    <definedName name="IQ_EV_OVER_EMPLOYEE" hidden="1" function="0" vbProcedure="0">"c1428"</definedName>
    <definedName name="IQ_EV_OVER_LTM_EBIT" hidden="1" function="0" vbProcedure="0">"c1426"</definedName>
    <definedName name="IQ_EV_OVER_LTM_EBITDA" hidden="1" function="0" vbProcedure="0">"c1427"</definedName>
    <definedName name="IQ_EV_OVER_LTM_REVENUE" hidden="1" function="0" vbProcedure="0">"c1429"</definedName>
    <definedName name="IQ_EXCHANGE" hidden="1" function="0" vbProcedure="0">"c405"</definedName>
    <definedName name="IQ_EXERCISED" hidden="1" function="0" vbProcedure="0">"c406"</definedName>
    <definedName name="IQ_EXERCISE_PRICE" hidden="1" function="0" vbProcedure="0">"c1897"</definedName>
    <definedName name="IQ_EXPLORE_DRILL" hidden="1" function="0" vbProcedure="0">"c409"</definedName>
    <definedName name="IQ_EXP_RETURN_PENSION_DOMESTIC" hidden="1" function="0" vbProcedure="0">"c407"</definedName>
    <definedName name="IQ_EXP_RETURN_PENSION_FOREIGN" hidden="1" function="0" vbProcedure="0">"c408"</definedName>
    <definedName name="IQ_EXTRA_ACC_ITEMS" hidden="1" function="0" vbProcedure="0">"c410"</definedName>
    <definedName name="IQ_EXTRA_ACC_ITEMS_BNK" hidden="1" function="0" vbProcedure="0">"c411"</definedName>
    <definedName name="IQ_EXTRA_ACC_ITEMS_BR" hidden="1" function="0" vbProcedure="0">"c412"</definedName>
    <definedName name="IQ_EXTRA_ACC_ITEMS_FIN" hidden="1" function="0" vbProcedure="0">"c413"</definedName>
    <definedName name="IQ_EXTRA_ACC_ITEMS_INS" hidden="1" function="0" vbProcedure="0">"c414"</definedName>
    <definedName name="IQ_EXTRA_ACC_ITEMS_REIT" hidden="1" function="0" vbProcedure="0">"c415"</definedName>
    <definedName name="IQ_EXTRA_ACC_ITEMS_UTI" hidden="1" function="0" vbProcedure="0">"c416"</definedName>
    <definedName name="IQ_EXTRA_ITEMS" hidden="1" function="0" vbProcedure="0">"c1459"</definedName>
    <definedName name="IQ_FDIC" hidden="1" function="0" vbProcedure="0">"c417"</definedName>
    <definedName name="IQ_FFO" hidden="1" function="0" vbProcedure="0">"c1574"</definedName>
    <definedName name="IQ_FHLB_DEBT" hidden="1" function="0" vbProcedure="0">"c423"</definedName>
    <definedName name="IQ_FHLB_DUE_CY" hidden="1" function="0" vbProcedure="0">"c2080"</definedName>
    <definedName name="IQ_FHLB_DUE_CY1" hidden="1" function="0" vbProcedure="0">"c2081"</definedName>
    <definedName name="IQ_FHLB_DUE_CY2" hidden="1" function="0" vbProcedure="0">"c2082"</definedName>
    <definedName name="IQ_FHLB_DUE_CY3" hidden="1" function="0" vbProcedure="0">"c2083"</definedName>
    <definedName name="IQ_FHLB_DUE_CY4" hidden="1" function="0" vbProcedure="0">"c2084"</definedName>
    <definedName name="IQ_FHLB_DUE_NEXT_FIVE" hidden="1" function="0" vbProcedure="0">"c2085"</definedName>
    <definedName name="IQ_FILINGDATE_BS" hidden="1" function="0" vbProcedure="0">"c424"</definedName>
    <definedName name="IQ_FILINGDATE_CF" hidden="1" function="0" vbProcedure="0">"c425"</definedName>
    <definedName name="IQ_FILINGDATE_IS" hidden="1" function="0" vbProcedure="0">"c426"</definedName>
    <definedName name="IQ_FILING_CURRENCY" hidden="1" function="0" vbProcedure="0">"c2129"</definedName>
    <definedName name="IQ_FINANCING_CASH" hidden="1" function="0" vbProcedure="0">"c1405"</definedName>
    <definedName name="IQ_FINANCING_CASH_SUPPL" hidden="1" function="0" vbProcedure="0">"c1406"</definedName>
    <definedName name="IQ_FINISHED_INV" hidden="1" function="0" vbProcedure="0">"c438"</definedName>
    <definedName name="IQ_FIN_DIV_ASSETS_CURRENT" hidden="1" function="0" vbProcedure="0">"c427"</definedName>
    <definedName name="IQ_FIN_DIV_ASSETS_LT" hidden="1" function="0" vbProcedure="0">"c428"</definedName>
    <definedName name="IQ_FIN_DIV_DEBT_CURRENT" hidden="1" function="0" vbProcedure="0">"c429"</definedName>
    <definedName name="IQ_FIN_DIV_DEBT_LT" hidden="1" function="0" vbProcedure="0">"c430"</definedName>
    <definedName name="IQ_FIN_DIV_EXP" hidden="1" function="0" vbProcedure="0">"c431"</definedName>
    <definedName name="IQ_FIN_DIV_INT_EXP" hidden="1" function="0" vbProcedure="0">"c432"</definedName>
    <definedName name="IQ_FIN_DIV_LIAB_CURRENT" hidden="1" function="0" vbProcedure="0">"c433"</definedName>
    <definedName name="IQ_FIN_DIV_LIAB_LT" hidden="1" function="0" vbProcedure="0">"c434"</definedName>
    <definedName name="IQ_FIN_DIV_LOANS_CURRENT" hidden="1" function="0" vbProcedure="0">"c435"</definedName>
    <definedName name="IQ_FIN_DIV_LOANS_LT" hidden="1" function="0" vbProcedure="0">"c436"</definedName>
    <definedName name="IQ_FIN_DIV_REV" hidden="1" function="0" vbProcedure="0">"c437"</definedName>
    <definedName name="IQ_FIRST_YEAR_LIFE" hidden="1" function="0" vbProcedure="0">"c439"</definedName>
    <definedName name="IQ_FISCAL_Q" hidden="1" function="0" vbProcedure="0">"c440"</definedName>
    <definedName name="IQ_FISCAL_Y" hidden="1" function="0" vbProcedure="0">"c441"</definedName>
    <definedName name="IQ_FIVEPERCENT_PERCENT" hidden="1" function="0" vbProcedure="0">"c443"</definedName>
    <definedName name="IQ_FIVEPERCENT_SHARES" hidden="1" function="0" vbProcedure="0">"c444"</definedName>
    <definedName name="IQ_FIVE_PERCENT_OWNER" hidden="1" function="0" vbProcedure="0">"c442"</definedName>
    <definedName name="IQ_FIXED_ASSET_TURNS" hidden="1" function="0" vbProcedure="0">"c445"</definedName>
    <definedName name="IQ_FLOAT_PERCENT" hidden="1" function="0" vbProcedure="0">"c1575"</definedName>
    <definedName name="IQ_FOREIGN_DEP_IB" hidden="1" function="0" vbProcedure="0">"c446"</definedName>
    <definedName name="IQ_FOREIGN_DEP_NON_IB" hidden="1" function="0" vbProcedure="0">"c447"</definedName>
    <definedName name="IQ_FOREIGN_EXCHANGE" hidden="1" function="0" vbProcedure="0">"c1376"</definedName>
    <definedName name="IQ_FOREIGN_LOANS" hidden="1" function="0" vbProcedure="0">"c448"</definedName>
    <definedName name="IQ_FQ" hidden="1" function="0" vbProcedure="0">500</definedName>
    <definedName name="IQ_FUEL" hidden="1" function="0" vbProcedure="0">"c449"</definedName>
    <definedName name="IQ_FULL_TIME" hidden="1" function="0" vbProcedure="0">"c450"</definedName>
    <definedName name="IQ_FWD_CY" hidden="1" function="0" vbProcedure="0">10001</definedName>
    <definedName name="IQ_FWD_CY1" hidden="1" function="0" vbProcedure="0">10002</definedName>
    <definedName name="IQ_FWD_CY2" hidden="1" function="0" vbProcedure="0">10003</definedName>
    <definedName name="IQ_FWD_FY" hidden="1" function="0" vbProcedure="0">1001</definedName>
    <definedName name="IQ_FWD_FY1" hidden="1" function="0" vbProcedure="0">1002</definedName>
    <definedName name="IQ_FWD_FY2" hidden="1" function="0" vbProcedure="0">1003</definedName>
    <definedName name="IQ_FWD_Q" hidden="1" function="0" vbProcedure="0">501</definedName>
    <definedName name="IQ_FWD_Q1" hidden="1" function="0" vbProcedure="0">502</definedName>
    <definedName name="IQ_FWD_Q2" hidden="1" function="0" vbProcedure="0">503</definedName>
    <definedName name="IQ_FX" hidden="1" function="0" vbProcedure="0">"c451"</definedName>
    <definedName name="IQ_FY" hidden="1" function="0" vbProcedure="0">1000</definedName>
    <definedName name="IQ_GAIN_ASSETS" hidden="1" function="0" vbProcedure="0">"c452"</definedName>
    <definedName name="IQ_GAIN_ASSETS_BNK" hidden="1" function="0" vbProcedure="0">"c453"</definedName>
    <definedName name="IQ_GAIN_ASSETS_BR" hidden="1" function="0" vbProcedure="0">"c454"</definedName>
    <definedName name="IQ_GAIN_ASSETS_CF" hidden="1" function="0" vbProcedure="0">"c455"</definedName>
    <definedName name="IQ_GAIN_ASSETS_CF_BNK" hidden="1" function="0" vbProcedure="0">"c456"</definedName>
    <definedName name="IQ_GAIN_ASSETS_CF_BR" hidden="1" function="0" vbProcedure="0">"c457"</definedName>
    <definedName name="IQ_GAIN_ASSETS_CF_FIN" hidden="1" function="0" vbProcedure="0">"c458"</definedName>
    <definedName name="IQ_GAIN_ASSETS_CF_INS" hidden="1" function="0" vbProcedure="0">"c459"</definedName>
    <definedName name="IQ_GAIN_ASSETS_CF_REIT" hidden="1" function="0" vbProcedure="0">"c460"</definedName>
    <definedName name="IQ_GAIN_ASSETS_CF_UTI" hidden="1" function="0" vbProcedure="0">"c461"</definedName>
    <definedName name="IQ_GAIN_ASSETS_FIN" hidden="1" function="0" vbProcedure="0">"c462"</definedName>
    <definedName name="IQ_GAIN_ASSETS_INS" hidden="1" function="0" vbProcedure="0">"c463"</definedName>
    <definedName name="IQ_GAIN_ASSETS_REIT" hidden="1" function="0" vbProcedure="0">"c471"</definedName>
    <definedName name="IQ_GAIN_ASSETS_REV" hidden="1" function="0" vbProcedure="0">"c472"</definedName>
    <definedName name="IQ_GAIN_ASSETS_REV_BNK" hidden="1" function="0" vbProcedure="0">"c473"</definedName>
    <definedName name="IQ_GAIN_ASSETS_REV_BR" hidden="1" function="0" vbProcedure="0">"c474"</definedName>
    <definedName name="IQ_GAIN_ASSETS_REV_FIN" hidden="1" function="0" vbProcedure="0">"c475"</definedName>
    <definedName name="IQ_GAIN_ASSETS_REV_INS" hidden="1" function="0" vbProcedure="0">"c476"</definedName>
    <definedName name="IQ_GAIN_ASSETS_REV_REIT" hidden="1" function="0" vbProcedure="0">"c477"</definedName>
    <definedName name="IQ_GAIN_ASSETS_REV_UTI" hidden="1" function="0" vbProcedure="0">"c478"</definedName>
    <definedName name="IQ_GAIN_ASSETS_UTI" hidden="1" function="0" vbProcedure="0">"c479"</definedName>
    <definedName name="IQ_GAIN_INVEST" hidden="1" function="0" vbProcedure="0">"c1463"</definedName>
    <definedName name="IQ_GAIN_INVEST_BNK" hidden="1" function="0" vbProcedure="0">"c1582"</definedName>
    <definedName name="IQ_GAIN_INVEST_BR" hidden="1" function="0" vbProcedure="0">"c1464"</definedName>
    <definedName name="IQ_GAIN_INVEST_CF" hidden="1" function="0" vbProcedure="0">"c480"</definedName>
    <definedName name="IQ_GAIN_INVEST_CF_BNK" hidden="1" function="0" vbProcedure="0">"c481"</definedName>
    <definedName name="IQ_GAIN_INVEST_CF_BR" hidden="1" function="0" vbProcedure="0">"c482"</definedName>
    <definedName name="IQ_GAIN_INVEST_CF_FIN" hidden="1" function="0" vbProcedure="0">"c483"</definedName>
    <definedName name="IQ_GAIN_INVEST_CF_INS" hidden="1" function="0" vbProcedure="0">"c484"</definedName>
    <definedName name="IQ_GAIN_INVEST_CF_REIT" hidden="1" function="0" vbProcedure="0">"c485"</definedName>
    <definedName name="IQ_GAIN_INVEST_CF_UTI" hidden="1" function="0" vbProcedure="0">"c486"</definedName>
    <definedName name="IQ_GAIN_INVEST_FIN" hidden="1" function="0" vbProcedure="0">"c1465"</definedName>
    <definedName name="IQ_GAIN_INVEST_INS" hidden="1" function="0" vbProcedure="0">"c1466"</definedName>
    <definedName name="IQ_GAIN_INVEST_REIT" hidden="1" function="0" vbProcedure="0">"c1467"</definedName>
    <definedName name="IQ_GAIN_INVEST_REV" hidden="1" function="0" vbProcedure="0">"c494"</definedName>
    <definedName name="IQ_GAIN_INVEST_REV_BNK" hidden="1" function="0" vbProcedure="0">"c495"</definedName>
    <definedName name="IQ_GAIN_INVEST_REV_BR" hidden="1" function="0" vbProcedure="0">"c496"</definedName>
    <definedName name="IQ_GAIN_INVEST_REV_FIN" hidden="1" function="0" vbProcedure="0">"c497"</definedName>
    <definedName name="IQ_GAIN_INVEST_REV_INS" hidden="1" function="0" vbProcedure="0">"c498"</definedName>
    <definedName name="IQ_GAIN_INVEST_REV_REIT" hidden="1" function="0" vbProcedure="0">"c499"</definedName>
    <definedName name="IQ_GAIN_INVEST_REV_UTI" hidden="1" function="0" vbProcedure="0">"c500"</definedName>
    <definedName name="IQ_GAIN_INVEST_UTI" hidden="1" function="0" vbProcedure="0">"c1468"</definedName>
    <definedName name="IQ_GAIN_LOANS_REC" hidden="1" function="0" vbProcedure="0">"c501"</definedName>
    <definedName name="IQ_GAIN_LOANS_RECEIV" hidden="1" function="0" vbProcedure="0">"c502"</definedName>
    <definedName name="IQ_GAIN_LOANS_RECEIV_REV_FIN" hidden="1" function="0" vbProcedure="0">"c503"</definedName>
    <definedName name="IQ_GAIN_LOANS_REV" hidden="1" function="0" vbProcedure="0">"c504"</definedName>
    <definedName name="IQ_GAIN_SALE_ASSETS" hidden="1" function="0" vbProcedure="0">"c1377"</definedName>
    <definedName name="IQ_GOODWILL_NET" hidden="1" function="0" vbProcedure="0">"c1380"</definedName>
    <definedName name="IQ_GP" hidden="1" function="0" vbProcedure="0">"c511"</definedName>
    <definedName name="IQ_GPPE" hidden="1" function="0" vbProcedure="0">"c518"</definedName>
    <definedName name="IQ_GP_10YR_ANN_GROWTH" hidden="1" function="0" vbProcedure="0">"c512"</definedName>
    <definedName name="IQ_GP_1YR_ANN_GROWTH" hidden="1" function="0" vbProcedure="0">"c513"</definedName>
    <definedName name="IQ_GP_2YR_ANN_GROWTH" hidden="1" function="0" vbProcedure="0">"c514"</definedName>
    <definedName name="IQ_GP_3YR_ANN_GROWTH" hidden="1" function="0" vbProcedure="0">"c515"</definedName>
    <definedName name="IQ_GP_5YR_ANN_GROWTH" hidden="1" function="0" vbProcedure="0">"c516"</definedName>
    <definedName name="IQ_GP_7YR_ANN_GROWTH" hidden="1" function="0" vbProcedure="0">"c517"</definedName>
    <definedName name="IQ_GROSS_DIVID" hidden="1" function="0" vbProcedure="0">"c1446"</definedName>
    <definedName name="IQ_GROSS_LOANS" hidden="1" function="0" vbProcedure="0">"c521"</definedName>
    <definedName name="IQ_GROSS_LOANS_10YR_ANN_GROWTH" hidden="1" function="0" vbProcedure="0">"c522"</definedName>
    <definedName name="IQ_GROSS_LOANS_1YR_ANN_GROWTH" hidden="1" function="0" vbProcedure="0">"c523"</definedName>
    <definedName name="IQ_GROSS_LOANS_2YR_ANN_GROWTH" hidden="1" function="0" vbProcedure="0">"c524"</definedName>
    <definedName name="IQ_GROSS_LOANS_3YR_ANN_GROWTH" hidden="1" function="0" vbProcedure="0">"c525"</definedName>
    <definedName name="IQ_GROSS_LOANS_5YR_ANN_GROWTH" hidden="1" function="0" vbProcedure="0">"c526"</definedName>
    <definedName name="IQ_GROSS_LOANS_7YR_ANN_GROWTH" hidden="1" function="0" vbProcedure="0">"c527"</definedName>
    <definedName name="IQ_GROSS_LOANS_TOTAL_DEPOSITS" hidden="1" function="0" vbProcedure="0">"c528"</definedName>
    <definedName name="IQ_GROSS_MARGIN" hidden="1" function="0" vbProcedure="0">"c529"</definedName>
    <definedName name="IQ_GROSS_PROFIT" hidden="1" function="0" vbProcedure="0">"c1378"</definedName>
    <definedName name="IQ_GW" hidden="1" function="0" vbProcedure="0">"c530"</definedName>
    <definedName name="IQ_GW_AMORT_BR" hidden="1" function="0" vbProcedure="0">"c532"</definedName>
    <definedName name="IQ_GW_AMORT_FIN" hidden="1" function="0" vbProcedure="0">"c540"</definedName>
    <definedName name="IQ_GW_AMORT_INS" hidden="1" function="0" vbProcedure="0">"c541"</definedName>
    <definedName name="IQ_GW_AMORT_REIT" hidden="1" function="0" vbProcedure="0">"c542"</definedName>
    <definedName name="IQ_GW_AMORT_UTI" hidden="1" function="0" vbProcedure="0">"c543"</definedName>
    <definedName name="IQ_GW_INTAN_AMORT" hidden="1" function="0" vbProcedure="0">"c1469"</definedName>
    <definedName name="IQ_GW_INTAN_AMORT_BNK" hidden="1" function="0" vbProcedure="0">"c544"</definedName>
    <definedName name="IQ_GW_INTAN_AMORT_BR" hidden="1" function="0" vbProcedure="0">"c1470"</definedName>
    <definedName name="IQ_GW_INTAN_AMORT_CF" hidden="1" function="0" vbProcedure="0">"c1471"</definedName>
    <definedName name="IQ_GW_INTAN_AMORT_CF_BNK" hidden="1" function="0" vbProcedure="0">"c1472"</definedName>
    <definedName name="IQ_GW_INTAN_AMORT_CF_BR" hidden="1" function="0" vbProcedure="0">"c1473"</definedName>
    <definedName name="IQ_GW_INTAN_AMORT_CF_FIN" hidden="1" function="0" vbProcedure="0">"c1474"</definedName>
    <definedName name="IQ_GW_INTAN_AMORT_CF_INS" hidden="1" function="0" vbProcedure="0">"c1475"</definedName>
    <definedName name="IQ_GW_INTAN_AMORT_CF_REIT" hidden="1" function="0" vbProcedure="0">"c1476"</definedName>
    <definedName name="IQ_GW_INTAN_AMORT_CF_UTI" hidden="1" function="0" vbProcedure="0">"c1477"</definedName>
    <definedName name="IQ_GW_INTAN_AMORT_FIN" hidden="1" function="0" vbProcedure="0">"c1478"</definedName>
    <definedName name="IQ_GW_INTAN_AMORT_INS" hidden="1" function="0" vbProcedure="0">"c1479"</definedName>
    <definedName name="IQ_GW_INTAN_AMORT_REIT" hidden="1" function="0" vbProcedure="0">"c1480"</definedName>
    <definedName name="IQ_GW_INTAN_AMORT_UTI" hidden="1" function="0" vbProcedure="0">"c1481"</definedName>
    <definedName name="IQ_HIGHPRICE" hidden="1" function="0" vbProcedure="0">"c545"</definedName>
    <definedName name="IQ_HOMEOWNERS_WRITTEN" hidden="1" function="0" vbProcedure="0">"c546"</definedName>
    <definedName name="IQ_IMPAIRMENT_GW" hidden="1" function="0" vbProcedure="0">"c548"</definedName>
    <definedName name="IQ_IMPAIR_OIL" hidden="1" function="0" vbProcedure="0">"c547"</definedName>
    <definedName name="IQ_INC_AFTER_TAX" hidden="1" function="0" vbProcedure="0">"c1598"</definedName>
    <definedName name="IQ_INC_AVAIL_EXCL" hidden="1" function="0" vbProcedure="0">"c1395"</definedName>
    <definedName name="IQ_INC_AVAIL_INCL" hidden="1" function="0" vbProcedure="0">"c1396"</definedName>
    <definedName name="IQ_INC_BEFORE_TAX" hidden="1" function="0" vbProcedure="0">"c1375"</definedName>
    <definedName name="IQ_INC_EQUITY" hidden="1" function="0" vbProcedure="0">"c549"</definedName>
    <definedName name="IQ_INC_EQUITY_BR" hidden="1" function="0" vbProcedure="0">"c550"</definedName>
    <definedName name="IQ_INC_EQUITY_CF" hidden="1" function="0" vbProcedure="0">"c551"</definedName>
    <definedName name="IQ_INC_EQUITY_FIN" hidden="1" function="0" vbProcedure="0">"c552"</definedName>
    <definedName name="IQ_INC_EQUITY_INS" hidden="1" function="0" vbProcedure="0">"c553"</definedName>
    <definedName name="IQ_INC_EQUITY_REC_BNK" hidden="1" function="0" vbProcedure="0">"c554"</definedName>
    <definedName name="IQ_INC_EQUITY_REIT" hidden="1" function="0" vbProcedure="0">"c555"</definedName>
    <definedName name="IQ_INC_EQUITY_REV_BNK" hidden="1" function="0" vbProcedure="0">"c556"</definedName>
    <definedName name="IQ_INC_EQUITY_UTI" hidden="1" function="0" vbProcedure="0">"c557"</definedName>
    <definedName name="IQ_INC_REAL_ESTATE_REC" hidden="1" function="0" vbProcedure="0">"c558"</definedName>
    <definedName name="IQ_INC_REAL_ESTATE_REV" hidden="1" function="0" vbProcedure="0">"c559"</definedName>
    <definedName name="IQ_INC_TAX" hidden="1" function="0" vbProcedure="0">"c560"</definedName>
    <definedName name="IQ_INC_TAX_EXCL" hidden="1" function="0" vbProcedure="0">"c1599"</definedName>
    <definedName name="IQ_INC_TAX_PAY_CURRENT" hidden="1" function="0" vbProcedure="0">"c561"</definedName>
    <definedName name="IQ_INC_TRADE_ACT" hidden="1" function="0" vbProcedure="0">"c562"</definedName>
    <definedName name="IQ_INSIDER_3MTH_BOUGHT_PCT" hidden="1" function="0" vbProcedure="0">"c1534"</definedName>
    <definedName name="IQ_INSIDER_3MTH_NET_PCT" hidden="1" function="0" vbProcedure="0">"c1535"</definedName>
    <definedName name="IQ_INSIDER_3MTH_SOLD_PCT" hidden="1" function="0" vbProcedure="0">"c1533"</definedName>
    <definedName name="IQ_INSIDER_6MTH_BOUGHT_PCT" hidden="1" function="0" vbProcedure="0">"c1537"</definedName>
    <definedName name="IQ_INSIDER_6MTH_NET_PCT" hidden="1" function="0" vbProcedure="0">"c1538"</definedName>
    <definedName name="IQ_INSIDER_6MTH_SOLD_PCT" hidden="1" function="0" vbProcedure="0">"c1536"</definedName>
    <definedName name="IQ_INSIDER_OVER_TOTAL" hidden="1" function="0" vbProcedure="0">"c1581"</definedName>
    <definedName name="IQ_INSIDER_OWNER" hidden="1" function="0" vbProcedure="0">"c577"</definedName>
    <definedName name="IQ_INSIDER_PERCENT" hidden="1" function="0" vbProcedure="0">"c578"</definedName>
    <definedName name="IQ_INSIDER_SHARES" hidden="1" function="0" vbProcedure="0">"c579"</definedName>
    <definedName name="IQ_INSTITUTIONAL_OVER_TOTAL" hidden="1" function="0" vbProcedure="0">"c1580"</definedName>
    <definedName name="IQ_INSTITUTIONAL_OWNER" hidden="1" function="0" vbProcedure="0">"c580"</definedName>
    <definedName name="IQ_INSTITUTIONAL_PERCENT" hidden="1" function="0" vbProcedure="0">"c581"</definedName>
    <definedName name="IQ_INSTITUTIONAL_SHARES" hidden="1" function="0" vbProcedure="0">"c582"</definedName>
    <definedName name="IQ_INSUR_RECEIV" hidden="1" function="0" vbProcedure="0">"c1600"</definedName>
    <definedName name="IQ_INS_ANNUITY_LIAB" hidden="1" function="0" vbProcedure="0">"c563"</definedName>
    <definedName name="IQ_INS_DIV_EXP" hidden="1" function="0" vbProcedure="0">"c564"</definedName>
    <definedName name="IQ_INS_DIV_REV" hidden="1" function="0" vbProcedure="0">"c565"</definedName>
    <definedName name="IQ_INS_IN_FORCE" hidden="1" function="0" vbProcedure="0">"c566"</definedName>
    <definedName name="IQ_INS_LIAB" hidden="1" function="0" vbProcedure="0">"c567"</definedName>
    <definedName name="IQ_INS_POLICY_EXP" hidden="1" function="0" vbProcedure="0">"c568"</definedName>
    <definedName name="IQ_INS_REV" hidden="1" function="0" vbProcedure="0">"c569"</definedName>
    <definedName name="IQ_INS_SETTLE" hidden="1" function="0" vbProcedure="0">"c570"</definedName>
    <definedName name="IQ_INS_SETTLE_BNK" hidden="1" function="0" vbProcedure="0">"c571"</definedName>
    <definedName name="IQ_INS_SETTLE_BR" hidden="1" function="0" vbProcedure="0">"c572"</definedName>
    <definedName name="IQ_INS_SETTLE_FIN" hidden="1" function="0" vbProcedure="0">"c573"</definedName>
    <definedName name="IQ_INS_SETTLE_INS" hidden="1" function="0" vbProcedure="0">"c574"</definedName>
    <definedName name="IQ_INS_SETTLE_REIT" hidden="1" function="0" vbProcedure="0">"c575"</definedName>
    <definedName name="IQ_INS_SETTLE_UTI" hidden="1" function="0" vbProcedure="0">"c576"</definedName>
    <definedName name="IQ_INTANGIBLES_NET" hidden="1" function="0" vbProcedure="0">"c1407"</definedName>
    <definedName name="IQ_INTEREST_EXP" hidden="1" function="0" vbProcedure="0">"c618"</definedName>
    <definedName name="IQ_INTEREST_EXP_NET" hidden="1" function="0" vbProcedure="0">"c1450"</definedName>
    <definedName name="IQ_INTEREST_EXP_NON" hidden="1" function="0" vbProcedure="0">"c1383"</definedName>
    <definedName name="IQ_INTEREST_EXP_SUPPL" hidden="1" function="0" vbProcedure="0">"c1460"</definedName>
    <definedName name="IQ_INTEREST_INC" hidden="1" function="0" vbProcedure="0">"c1393"</definedName>
    <definedName name="IQ_INTEREST_INC_NON" hidden="1" function="0" vbProcedure="0">"c1384"</definedName>
    <definedName name="IQ_INTEREST_INVEST_INC" hidden="1" function="0" vbProcedure="0">"c619"</definedName>
    <definedName name="IQ_INT_BORROW" hidden="1" function="0" vbProcedure="0">"c583"</definedName>
    <definedName name="IQ_INT_DEPOSITS" hidden="1" function="0" vbProcedure="0">"c584"</definedName>
    <definedName name="IQ_INT_DIV_INC" hidden="1" function="0" vbProcedure="0">"c585"</definedName>
    <definedName name="IQ_INT_EXP_BR" hidden="1" function="0" vbProcedure="0">"c586"</definedName>
    <definedName name="IQ_INT_EXP_COVERAGE" hidden="1" function="0" vbProcedure="0">"c587"</definedName>
    <definedName name="IQ_INT_EXP_FIN" hidden="1" function="0" vbProcedure="0">"c588"</definedName>
    <definedName name="IQ_INT_EXP_INS" hidden="1" function="0" vbProcedure="0">"c589"</definedName>
    <definedName name="IQ_INT_EXP_LTD" hidden="1" function="0" vbProcedure="0">"c2086"</definedName>
    <definedName name="IQ_INT_EXP_REIT" hidden="1" function="0" vbProcedure="0">"c590"</definedName>
    <definedName name="IQ_INT_EXP_TOTAL" hidden="1" function="0" vbProcedure="0">"c591"</definedName>
    <definedName name="IQ_INT_EXP_UTI" hidden="1" function="0" vbProcedure="0">"c592"</definedName>
    <definedName name="IQ_INT_INC_BR" hidden="1" function="0" vbProcedure="0">"c593"</definedName>
    <definedName name="IQ_INT_INC_FIN" hidden="1" function="0" vbProcedure="0">"c594"</definedName>
    <definedName name="IQ_INT_INC_INVEST" hidden="1" function="0" vbProcedure="0">"c595"</definedName>
    <definedName name="IQ_INT_INC_LOANS" hidden="1" function="0" vbProcedure="0">"c596"</definedName>
    <definedName name="IQ_INT_INC_REIT" hidden="1" function="0" vbProcedure="0">"c597"</definedName>
    <definedName name="IQ_INT_INC_TOTAL" hidden="1" function="0" vbProcedure="0">"c598"</definedName>
    <definedName name="IQ_INT_INC_UTI" hidden="1" function="0" vbProcedure="0">"c599"</definedName>
    <definedName name="IQ_INT_INV_INC" hidden="1" function="0" vbProcedure="0">"c600"</definedName>
    <definedName name="IQ_INT_INV_INC_REIT" hidden="1" function="0" vbProcedure="0">"c601"</definedName>
    <definedName name="IQ_INT_INV_INC_UTI" hidden="1" function="0" vbProcedure="0">"c602"</definedName>
    <definedName name="IQ_INT_ON_BORROWING_COVERAGE" hidden="1" function="0" vbProcedure="0">"c603"</definedName>
    <definedName name="IQ_INT_RATE_SPREAD" hidden="1" function="0" vbProcedure="0">"c604"</definedName>
    <definedName name="IQ_INVENTORY" hidden="1" function="0" vbProcedure="0">"c622"</definedName>
    <definedName name="IQ_INVENTORY_TURNS" hidden="1" function="0" vbProcedure="0">"c623"</definedName>
    <definedName name="IQ_INVENTORY_UTI" hidden="1" function="0" vbProcedure="0">"c624"</definedName>
    <definedName name="IQ_INVEST_DEBT" hidden="1" function="0" vbProcedure="0">"c625"</definedName>
    <definedName name="IQ_INVEST_EQUITY_PREF" hidden="1" function="0" vbProcedure="0">"c626"</definedName>
    <definedName name="IQ_INVEST_FHLB" hidden="1" function="0" vbProcedure="0">"c627"</definedName>
    <definedName name="IQ_INVEST_LOANS_CF" hidden="1" function="0" vbProcedure="0">"c628"</definedName>
    <definedName name="IQ_INVEST_LOANS_CF_BNK" hidden="1" function="0" vbProcedure="0">"c629"</definedName>
    <definedName name="IQ_INVEST_LOANS_CF_BR" hidden="1" function="0" vbProcedure="0">"c630"</definedName>
    <definedName name="IQ_INVEST_LOANS_CF_FIN" hidden="1" function="0" vbProcedure="0">"c631"</definedName>
    <definedName name="IQ_INVEST_LOANS_CF_INS" hidden="1" function="0" vbProcedure="0">"c632"</definedName>
    <definedName name="IQ_INVEST_LOANS_CF_REIT" hidden="1" function="0" vbProcedure="0">"c633"</definedName>
    <definedName name="IQ_INVEST_LOANS_CF_UTI" hidden="1" function="0" vbProcedure="0">"c634"</definedName>
    <definedName name="IQ_INVEST_REAL_ESTATE" hidden="1" function="0" vbProcedure="0">"c635"</definedName>
    <definedName name="IQ_INVEST_SECURITY" hidden="1" function="0" vbProcedure="0">"c636"</definedName>
    <definedName name="IQ_INVEST_SECURITY_CF" hidden="1" function="0" vbProcedure="0">"c637"</definedName>
    <definedName name="IQ_INVEST_SECURITY_CF_BNK" hidden="1" function="0" vbProcedure="0">"c638"</definedName>
    <definedName name="IQ_INVEST_SECURITY_CF_BR" hidden="1" function="0" vbProcedure="0">"c639"</definedName>
    <definedName name="IQ_INVEST_SECURITY_CF_FIN" hidden="1" function="0" vbProcedure="0">"c640"</definedName>
    <definedName name="IQ_INVEST_SECURITY_CF_INS" hidden="1" function="0" vbProcedure="0">"c641"</definedName>
    <definedName name="IQ_INVEST_SECURITY_CF_REIT" hidden="1" function="0" vbProcedure="0">"c642"</definedName>
    <definedName name="IQ_INVEST_SECURITY_CF_UTI" hidden="1" function="0" vbProcedure="0">"c643"</definedName>
    <definedName name="IQ_INV_10YR_ANN_GROWTH" hidden="1" function="0" vbProcedure="0">"c1930"</definedName>
    <definedName name="IQ_INV_1YR_ANN_GROWTH" hidden="1" function="0" vbProcedure="0">"c1925"</definedName>
    <definedName name="IQ_INV_2YR_ANN_GROWTH" hidden="1" function="0" vbProcedure="0">"c1926"</definedName>
    <definedName name="IQ_INV_3YR_ANN_GROWTH" hidden="1" function="0" vbProcedure="0">"c1927"</definedName>
    <definedName name="IQ_INV_5YR_ANN_GROWTH" hidden="1" function="0" vbProcedure="0">"c1928"</definedName>
    <definedName name="IQ_INV_7YR_ANN_GROWTH" hidden="1" function="0" vbProcedure="0">"c1929"</definedName>
    <definedName name="IQ_INV_BANKING_FEE" hidden="1" function="0" vbProcedure="0">"c620"</definedName>
    <definedName name="IQ_INV_METHOD" hidden="1" function="0" vbProcedure="0">"c621"</definedName>
    <definedName name="IQ_IPRD" hidden="1" function="0" vbProcedure="0">"c644"</definedName>
    <definedName name="IQ_ISS_DEBT_NET" hidden="1" function="0" vbProcedure="0">"c1391"</definedName>
    <definedName name="IQ_ISS_STOCK_NET" hidden="1" function="0" vbProcedure="0">"c1601"</definedName>
    <definedName name="IQ_LAND" hidden="1" function="0" vbProcedure="0">"c645"</definedName>
    <definedName name="IQ_LASTSALEPRICE" hidden="1" function="0" vbProcedure="0">"c646"</definedName>
    <definedName name="IQ_LASTSALEPRICE_DATE" hidden="1" function="0" vbProcedure="0">"c2109"</definedName>
    <definedName name="IQ_LAST_SPLIT_DATE" hidden="1" function="0" vbProcedure="0">"c2095"</definedName>
    <definedName name="IQ_LAST_SPLIT_FACTOR" hidden="1" function="0" vbProcedure="0">"c2093"</definedName>
    <definedName name="IQ_LATESTK" hidden="1" function="0" vbProcedure="0">1000</definedName>
    <definedName name="IQ_LATESTQ" hidden="1" function="0" vbProcedure="0">500</definedName>
    <definedName name="IQ_LEGAL_SETTLE" hidden="1" function="0" vbProcedure="0">"c647"</definedName>
    <definedName name="IQ_LEGAL_SETTLE_BNK" hidden="1" function="0" vbProcedure="0">"c648"</definedName>
    <definedName name="IQ_LEGAL_SETTLE_BR" hidden="1" function="0" vbProcedure="0">"c649"</definedName>
    <definedName name="IQ_LEGAL_SETTLE_FIN" hidden="1" function="0" vbProcedure="0">"c650"</definedName>
    <definedName name="IQ_LEGAL_SETTLE_INS" hidden="1" function="0" vbProcedure="0">"c651"</definedName>
    <definedName name="IQ_LEGAL_SETTLE_REIT" hidden="1" function="0" vbProcedure="0">"c652"</definedName>
    <definedName name="IQ_LEGAL_SETTLE_UTI" hidden="1" function="0" vbProcedure="0">"c653"</definedName>
    <definedName name="IQ_LEVERAGE_RATIO" hidden="1" function="0" vbProcedure="0">"c654"</definedName>
    <definedName name="IQ_LEVERED_FCF" hidden="1" function="0" vbProcedure="0">"c1907"</definedName>
    <definedName name="IQ_LFCF_10YR_ANN_GROWTH" hidden="1" function="0" vbProcedure="0">"c1942"</definedName>
    <definedName name="IQ_LFCF_1YR_ANN_GROWTH" hidden="1" function="0" vbProcedure="0">"c1937"</definedName>
    <definedName name="IQ_LFCF_2YR_ANN_GROWTH" hidden="1" function="0" vbProcedure="0">"c1938"</definedName>
    <definedName name="IQ_LFCF_3YR_ANN_GROWTH" hidden="1" function="0" vbProcedure="0">"c1939"</definedName>
    <definedName name="IQ_LFCF_5YR_ANN_GROWTH" hidden="1" function="0" vbProcedure="0">"c1940"</definedName>
    <definedName name="IQ_LFCF_7YR_ANN_GROWTH" hidden="1" function="0" vbProcedure="0">"c1941"</definedName>
    <definedName name="IQ_LFCF_MARGIN" hidden="1" function="0" vbProcedure="0">"c1961"</definedName>
    <definedName name="IQ_LICENSED_POPS" hidden="1" function="0" vbProcedure="0">"c2123"</definedName>
    <definedName name="IQ_LIFOR" hidden="1" function="0" vbProcedure="0">"c655"</definedName>
    <definedName name="IQ_LL" hidden="1" function="0" vbProcedure="0">"c656"</definedName>
    <definedName name="IQ_LOANS_CF" hidden="1" function="0" vbProcedure="0">"c659"</definedName>
    <definedName name="IQ_LOANS_CF_BNK" hidden="1" function="0" vbProcedure="0">"c660"</definedName>
    <definedName name="IQ_LOANS_CF_BR" hidden="1" function="0" vbProcedure="0">"c661"</definedName>
    <definedName name="IQ_LOANS_CF_FIN" hidden="1" function="0" vbProcedure="0">"c662"</definedName>
    <definedName name="IQ_LOANS_CF_INS" hidden="1" function="0" vbProcedure="0">"c663"</definedName>
    <definedName name="IQ_LOANS_CF_REIT" hidden="1" function="0" vbProcedure="0">"c664"</definedName>
    <definedName name="IQ_LOANS_CF_UTI" hidden="1" function="0" vbProcedure="0">"c665"</definedName>
    <definedName name="IQ_LOANS_FOR_SALE" hidden="1" function="0" vbProcedure="0">"c666"</definedName>
    <definedName name="IQ_LOANS_PAST_DUE" hidden="1" function="0" vbProcedure="0">"c667"</definedName>
    <definedName name="IQ_LOANS_RECEIV_CURRENT" hidden="1" function="0" vbProcedure="0">"c668"</definedName>
    <definedName name="IQ_LOANS_RECEIV_LT" hidden="1" function="0" vbProcedure="0">"c669"</definedName>
    <definedName name="IQ_LOANS_RECEIV_LT_UTI" hidden="1" function="0" vbProcedure="0">"c670"</definedName>
    <definedName name="IQ_LOAN_LEASE_RECEIV" hidden="1" function="0" vbProcedure="0">"c657"</definedName>
    <definedName name="IQ_LOAN_LOSS" hidden="1" function="0" vbProcedure="0">"c1386"</definedName>
    <definedName name="IQ_LOAN_SERVICE_REV" hidden="1" function="0" vbProcedure="0">"c658"</definedName>
    <definedName name="IQ_LONG_TERM_DEBT" hidden="1" function="0" vbProcedure="0">"c1387"</definedName>
    <definedName name="IQ_LONG_TERM_DEBT_OVER_TOTAL_CAP" hidden="1" function="0" vbProcedure="0">"c1388"</definedName>
    <definedName name="IQ_LONG_TERM_GROWTH" hidden="1" function="0" vbProcedure="0">"c671"</definedName>
    <definedName name="IQ_LONG_TERM_INV" hidden="1" function="0" vbProcedure="0">"c1389"</definedName>
    <definedName name="IQ_LOSS_LOSS_EXP" hidden="1" function="0" vbProcedure="0">"c672"</definedName>
    <definedName name="IQ_LOWPRICE" hidden="1" function="0" vbProcedure="0">"c673"</definedName>
    <definedName name="IQ_LTD_DUE_AFTER_FIVE" hidden="1" function="0" vbProcedure="0">"c704"</definedName>
    <definedName name="IQ_LTD_DUE_CY" hidden="1" function="0" vbProcedure="0">"c705"</definedName>
    <definedName name="IQ_LTD_DUE_CY1" hidden="1" function="0" vbProcedure="0">"c706"</definedName>
    <definedName name="IQ_LTD_DUE_CY2" hidden="1" function="0" vbProcedure="0">"c707"</definedName>
    <definedName name="IQ_LTD_DUE_CY3" hidden="1" function="0" vbProcedure="0">"c708"</definedName>
    <definedName name="IQ_LTD_DUE_CY4" hidden="1" function="0" vbProcedure="0">"c709"</definedName>
    <definedName name="IQ_LTD_DUE_NEXT_FIVE" hidden="1" function="0" vbProcedure="0">"c710"</definedName>
    <definedName name="IQ_LTM" hidden="1" function="0" vbProcedure="0">2000</definedName>
    <definedName name="IQ_LTM_REVENUE_OVER_EMPLOYEES" hidden="1" function="0" vbProcedure="0">"c1437"</definedName>
    <definedName name="IQ_LT_DEBT" hidden="1" function="0" vbProcedure="0">"c674"</definedName>
    <definedName name="IQ_LT_DEBT_BNK" hidden="1" function="0" vbProcedure="0">"c675"</definedName>
    <definedName name="IQ_LT_DEBT_BR" hidden="1" function="0" vbProcedure="0">"c676"</definedName>
    <definedName name="IQ_LT_DEBT_CAPITAL" hidden="1" function="0" vbProcedure="0">"c677"</definedName>
    <definedName name="IQ_LT_DEBT_EQUITY" hidden="1" function="0" vbProcedure="0">"c678"</definedName>
    <definedName name="IQ_LT_DEBT_FIN" hidden="1" function="0" vbProcedure="0">"c679"</definedName>
    <definedName name="IQ_LT_DEBT_INS" hidden="1" function="0" vbProcedure="0">"c680"</definedName>
    <definedName name="IQ_LT_DEBT_ISSUED" hidden="1" function="0" vbProcedure="0">"c681"</definedName>
    <definedName name="IQ_LT_DEBT_ISSUED_BNK" hidden="1" function="0" vbProcedure="0">"c682"</definedName>
    <definedName name="IQ_LT_DEBT_ISSUED_BR" hidden="1" function="0" vbProcedure="0">"c683"</definedName>
    <definedName name="IQ_LT_DEBT_ISSUED_FIN" hidden="1" function="0" vbProcedure="0">"c684"</definedName>
    <definedName name="IQ_LT_DEBT_ISSUED_INS" hidden="1" function="0" vbProcedure="0">"c685"</definedName>
    <definedName name="IQ_LT_DEBT_ISSUED_REIT" hidden="1" function="0" vbProcedure="0">"c686"</definedName>
    <definedName name="IQ_LT_DEBT_ISSUED_UTI" hidden="1" function="0" vbProcedure="0">"c687"</definedName>
    <definedName name="IQ_LT_DEBT_REIT" hidden="1" function="0" vbProcedure="0">"c688"</definedName>
    <definedName name="IQ_LT_DEBT_REPAID" hidden="1" function="0" vbProcedure="0">"c689"</definedName>
    <definedName name="IQ_LT_DEBT_REPAID_BNK" hidden="1" function="0" vbProcedure="0">"c690"</definedName>
    <definedName name="IQ_LT_DEBT_REPAID_BR" hidden="1" function="0" vbProcedure="0">"c691"</definedName>
    <definedName name="IQ_LT_DEBT_REPAID_FIN" hidden="1" function="0" vbProcedure="0">"c692"</definedName>
    <definedName name="IQ_LT_DEBT_REPAID_INS" hidden="1" function="0" vbProcedure="0">"c693"</definedName>
    <definedName name="IQ_LT_DEBT_REPAID_REIT" hidden="1" function="0" vbProcedure="0">"c694"</definedName>
    <definedName name="IQ_LT_DEBT_REPAID_UTI" hidden="1" function="0" vbProcedure="0">"c695"</definedName>
    <definedName name="IQ_LT_DEBT_UTI" hidden="1" function="0" vbProcedure="0">"c696"</definedName>
    <definedName name="IQ_LT_INVEST" hidden="1" function="0" vbProcedure="0">"c697"</definedName>
    <definedName name="IQ_LT_INVEST_BR" hidden="1" function="0" vbProcedure="0">"c698"</definedName>
    <definedName name="IQ_LT_INVEST_FIN" hidden="1" function="0" vbProcedure="0">"c699"</definedName>
    <definedName name="IQ_LT_INVEST_REIT" hidden="1" function="0" vbProcedure="0">"c700"</definedName>
    <definedName name="IQ_LT_INVEST_UTI" hidden="1" function="0" vbProcedure="0">"c701"</definedName>
    <definedName name="IQ_LT_NOTE_RECEIV" hidden="1" function="0" vbProcedure="0">"c1602"</definedName>
    <definedName name="IQ_MACHINERY" hidden="1" function="0" vbProcedure="0">"c711"</definedName>
    <definedName name="IQ_MAINT_REPAIR" hidden="1" function="0" vbProcedure="0">"c2087"</definedName>
    <definedName name="IQ_MARKETCAP" hidden="1" function="0" vbProcedure="0">"c712"</definedName>
    <definedName name="IQ_MERGER" hidden="1" function="0" vbProcedure="0">"c713"</definedName>
    <definedName name="IQ_MERGER_BNK" hidden="1" function="0" vbProcedure="0">"c714"</definedName>
    <definedName name="IQ_MERGER_BR" hidden="1" function="0" vbProcedure="0">"c715"</definedName>
    <definedName name="IQ_MERGER_FIN" hidden="1" function="0" vbProcedure="0">"c716"</definedName>
    <definedName name="IQ_MERGER_INS" hidden="1" function="0" vbProcedure="0">"c717"</definedName>
    <definedName name="IQ_MERGER_REIT" hidden="1" function="0" vbProcedure="0">"c718"</definedName>
    <definedName name="IQ_MERGER_RESTRUCTURE" hidden="1" function="0" vbProcedure="0">"c719"</definedName>
    <definedName name="IQ_MERGER_RESTRUCTURE_BNK" hidden="1" function="0" vbProcedure="0">"c720"</definedName>
    <definedName name="IQ_MERGER_RESTRUCTURE_BR" hidden="1" function="0" vbProcedure="0">"c721"</definedName>
    <definedName name="IQ_MERGER_RESTRUCTURE_FIN" hidden="1" function="0" vbProcedure="0">"c722"</definedName>
    <definedName name="IQ_MERGER_RESTRUCTURE_INS" hidden="1" function="0" vbProcedure="0">"c723"</definedName>
    <definedName name="IQ_MERGER_RESTRUCTURE_REIT" hidden="1" function="0" vbProcedure="0">"c724"</definedName>
    <definedName name="IQ_MERGER_RESTRUCTURE_UTI" hidden="1" function="0" vbProcedure="0">"c725"</definedName>
    <definedName name="IQ_MERGER_UTI" hidden="1" function="0" vbProcedure="0">"c726"</definedName>
    <definedName name="IQ_MINORITY_INTEREST" hidden="1" function="0" vbProcedure="0">"c727"</definedName>
    <definedName name="IQ_MINORITY_INTEREST_BNK" hidden="1" function="0" vbProcedure="0">"c728"</definedName>
    <definedName name="IQ_MINORITY_INTEREST_BR" hidden="1" function="0" vbProcedure="0">"c729"</definedName>
    <definedName name="IQ_MINORITY_INTEREST_CF" hidden="1" function="0" vbProcedure="0">"c730"</definedName>
    <definedName name="IQ_MINORITY_INTEREST_FIN" hidden="1" function="0" vbProcedure="0">"c731"</definedName>
    <definedName name="IQ_MINORITY_INTEREST_INS" hidden="1" function="0" vbProcedure="0">"c732"</definedName>
    <definedName name="IQ_MINORITY_INTEREST_IS" hidden="1" function="0" vbProcedure="0">"c733"</definedName>
    <definedName name="IQ_MINORITY_INTEREST_REIT" hidden="1" function="0" vbProcedure="0">"c734"</definedName>
    <definedName name="IQ_MINORITY_INTEREST_TOTAL" hidden="1" function="0" vbProcedure="0">"c1905"</definedName>
    <definedName name="IQ_MINORITY_INTEREST_UTI" hidden="1" function="0" vbProcedure="0">"c735"</definedName>
    <definedName name="IQ_MISC_ADJUST_CF" hidden="1" function="0" vbProcedure="0">"c736"</definedName>
    <definedName name="IQ_MISC_EARN_ADJ" hidden="1" function="0" vbProcedure="0">"c1603"</definedName>
    <definedName name="IQ_MKTCAP_EBT_EXCL" hidden="1" function="0" vbProcedure="0">"c737"</definedName>
    <definedName name="IQ_MKTCAP_EBT_EXCL_AVG" hidden="1" function="0" vbProcedure="0">"c738"</definedName>
    <definedName name="IQ_MKTCAP_EBT_INCL_AVG" hidden="1" function="0" vbProcedure="0">"c739"</definedName>
    <definedName name="IQ_MKTCAP_TOTAL_REV" hidden="1" function="0" vbProcedure="0">"c740"</definedName>
    <definedName name="IQ_MKTCAP_TOTAL_REV_AVG" hidden="1" function="0" vbProcedure="0">"c741"</definedName>
    <definedName name="IQ_MM_ACCOUNT" hidden="1" function="0" vbProcedure="0">"c743"</definedName>
    <definedName name="IQ_MORT_BANKING_FEE" hidden="1" function="0" vbProcedure="0">"c745"</definedName>
    <definedName name="IQ_MORT_BANK_ACT" hidden="1" function="0" vbProcedure="0">"c744"</definedName>
    <definedName name="IQ_MORT_INT_INC" hidden="1" function="0" vbProcedure="0">"c746"</definedName>
    <definedName name="IQ_MORT_LOANS" hidden="1" function="0" vbProcedure="0">"c747"</definedName>
    <definedName name="IQ_MORT_SECURITY" hidden="1" function="0" vbProcedure="0">"c748"</definedName>
    <definedName name="IQ_NET_CHANGE" hidden="1" function="0" vbProcedure="0">"c749"</definedName>
    <definedName name="IQ_NET_DEBT" hidden="1" function="0" vbProcedure="0">"c1584"</definedName>
    <definedName name="IQ_NET_DEBT_EBITDA" hidden="1" function="0" vbProcedure="0">"c750"</definedName>
    <definedName name="IQ_NET_DEBT_ISSUED" hidden="1" function="0" vbProcedure="0">"c751"</definedName>
    <definedName name="IQ_NET_DEBT_ISSUED_BNK" hidden="1" function="0" vbProcedure="0">"c752"</definedName>
    <definedName name="IQ_NET_DEBT_ISSUED_BR" hidden="1" function="0" vbProcedure="0">"c753"</definedName>
    <definedName name="IQ_NET_DEBT_ISSUED_FIN" hidden="1" function="0" vbProcedure="0">"c754"</definedName>
    <definedName name="IQ_NET_DEBT_ISSUED_INS" hidden="1" function="0" vbProcedure="0">"c755"</definedName>
    <definedName name="IQ_NET_DEBT_ISSUED_REIT" hidden="1" function="0" vbProcedure="0">"c756"</definedName>
    <definedName name="IQ_NET_DEBT_ISSUED_UTI" hidden="1" function="0" vbProcedure="0">"c757"</definedName>
    <definedName name="IQ_NET_INC" hidden="1" function="0" vbProcedure="0">"c1394"</definedName>
    <definedName name="IQ_NET_INC_BEFORE" hidden="1" function="0" vbProcedure="0">"c1368"</definedName>
    <definedName name="IQ_NET_INC_CF" hidden="1" function="0" vbProcedure="0">"c1397"</definedName>
    <definedName name="IQ_NET_INC_MARGIN" hidden="1" function="0" vbProcedure="0">"c1398"</definedName>
    <definedName name="IQ_NET_INTEREST_EXP" hidden="1" function="0" vbProcedure="0">"c769"</definedName>
    <definedName name="IQ_NET_INTEREST_EXP_REIT" hidden="1" function="0" vbProcedure="0">"c770"</definedName>
    <definedName name="IQ_NET_INTEREST_EXP_UTI" hidden="1" function="0" vbProcedure="0">"c771"</definedName>
    <definedName name="IQ_NET_INTEREST_INC" hidden="1" function="0" vbProcedure="0">"c1392"</definedName>
    <definedName name="IQ_NET_INTEREST_INC_AFTER_LL" hidden="1" function="0" vbProcedure="0">"c1604"</definedName>
    <definedName name="IQ_NET_INT_INC_10YR_ANN_GROWTH" hidden="1" function="0" vbProcedure="0">"c758"</definedName>
    <definedName name="IQ_NET_INT_INC_1YR_ANN_GROWTH" hidden="1" function="0" vbProcedure="0">"c759"</definedName>
    <definedName name="IQ_NET_INT_INC_2YR_ANN_GROWTH" hidden="1" function="0" vbProcedure="0">"c760"</definedName>
    <definedName name="IQ_NET_INT_INC_3YR_ANN_GROWTH" hidden="1" function="0" vbProcedure="0">"c761"</definedName>
    <definedName name="IQ_NET_INT_INC_5YR_ANN_GROWTH" hidden="1" function="0" vbProcedure="0">"c762"</definedName>
    <definedName name="IQ_NET_INT_INC_7YR_ANN_GROWTH" hidden="1" function="0" vbProcedure="0">"c763"</definedName>
    <definedName name="IQ_NET_INT_INC_BNK" hidden="1" function="0" vbProcedure="0">"c764"</definedName>
    <definedName name="IQ_NET_INT_INC_BR" hidden="1" function="0" vbProcedure="0">"c765"</definedName>
    <definedName name="IQ_NET_INT_INC_FIN" hidden="1" function="0" vbProcedure="0">"c766"</definedName>
    <definedName name="IQ_NET_INT_INC_TOTAL_REV" hidden="1" function="0" vbProcedure="0">"c767"</definedName>
    <definedName name="IQ_NET_INT_MARGIN" hidden="1" function="0" vbProcedure="0">"c768"</definedName>
    <definedName name="IQ_NET_LOANS" hidden="1" function="0" vbProcedure="0">"c772"</definedName>
    <definedName name="IQ_NET_LOANS_10YR_ANN_GROWTH" hidden="1" function="0" vbProcedure="0">"c773"</definedName>
    <definedName name="IQ_NET_LOANS_1YR_ANN_GROWTH" hidden="1" function="0" vbProcedure="0">"c774"</definedName>
    <definedName name="IQ_NET_LOANS_2YR_ANN_GROWTH" hidden="1" function="0" vbProcedure="0">"c775"</definedName>
    <definedName name="IQ_NET_LOANS_3YR_ANN_GROWTH" hidden="1" function="0" vbProcedure="0">"c776"</definedName>
    <definedName name="IQ_NET_LOANS_5YR_ANN_GROWTH" hidden="1" function="0" vbProcedure="0">"c777"</definedName>
    <definedName name="IQ_NET_LOANS_7YR_ANN_GROWTH" hidden="1" function="0" vbProcedure="0">"c778"</definedName>
    <definedName name="IQ_NET_LOANS_TOTAL_DEPOSITS" hidden="1" function="0" vbProcedure="0">"c779"</definedName>
    <definedName name="IQ_NET_RENTAL_EXP_FN" hidden="1" function="0" vbProcedure="0">"c780"</definedName>
    <definedName name="IQ_NI" hidden="1" function="0" vbProcedure="0">"c781"</definedName>
    <definedName name="IQ_NI_10YR_ANN_GROWTH" hidden="1" function="0" vbProcedure="0">"c782"</definedName>
    <definedName name="IQ_NI_1YR_ANN_GROWTH" hidden="1" function="0" vbProcedure="0">"c783"</definedName>
    <definedName name="IQ_NI_2YR_ANN_GROWTH" hidden="1" function="0" vbProcedure="0">"c784"</definedName>
    <definedName name="IQ_NI_3YR_ANN_GROWTH" hidden="1" function="0" vbProcedure="0">"c785"</definedName>
    <definedName name="IQ_NI_5YR_ANN_GROWTH" hidden="1" function="0" vbProcedure="0">"c786"</definedName>
    <definedName name="IQ_NI_7YR_ANN_GROWTH" hidden="1" function="0" vbProcedure="0">"c787"</definedName>
    <definedName name="IQ_NI_AFTER_CAPITALIZED" hidden="1" function="0" vbProcedure="0">"c788"</definedName>
    <definedName name="IQ_NI_AVAIL_EXCL" hidden="1" function="0" vbProcedure="0">"c789"</definedName>
    <definedName name="IQ_NI_AVAIL_EXCL_MARGIN" hidden="1" function="0" vbProcedure="0">"c790"</definedName>
    <definedName name="IQ_NI_AVAIL_INCL" hidden="1" function="0" vbProcedure="0">"c791"</definedName>
    <definedName name="IQ_NI_BEFORE_CAPITALIZED" hidden="1" function="0" vbProcedure="0">"c792"</definedName>
    <definedName name="IQ_NI_CF" hidden="1" function="0" vbProcedure="0">"c793"</definedName>
    <definedName name="IQ_NI_MARGIN" hidden="1" function="0" vbProcedure="0">"c794"</definedName>
    <definedName name="IQ_NI_NORM" hidden="1" function="0" vbProcedure="0">"c1901"</definedName>
    <definedName name="IQ_NI_NORM_10YR_ANN_GROWTH" hidden="1" function="0" vbProcedure="0">"c1960"</definedName>
    <definedName name="IQ_NI_NORM_1YR_ANN_GROWTH" hidden="1" function="0" vbProcedure="0">"c1955"</definedName>
    <definedName name="IQ_NI_NORM_2YR_ANN_GROWTH" hidden="1" function="0" vbProcedure="0">"c1956"</definedName>
    <definedName name="IQ_NI_NORM_3YR_ANN_GROWTH" hidden="1" function="0" vbProcedure="0">"c1957"</definedName>
    <definedName name="IQ_NI_NORM_5YR_ANN_GROWTH" hidden="1" function="0" vbProcedure="0">"c1958"</definedName>
    <definedName name="IQ_NI_NORM_7YR_ANN_GROWTH" hidden="1" function="0" vbProcedure="0">"c1959"</definedName>
    <definedName name="IQ_NI_NORM_MARGIN" hidden="1" function="0" vbProcedure="0">"c1964"</definedName>
    <definedName name="IQ_NI_SFAS" hidden="1" function="0" vbProcedure="0">"c795"</definedName>
    <definedName name="IQ_NONUTIL_REV" hidden="1" function="0" vbProcedure="0">"c2089"</definedName>
    <definedName name="IQ_NON_ACCRUAL_LOANS" hidden="1" function="0" vbProcedure="0">"c796"</definedName>
    <definedName name="IQ_NON_CASH" hidden="1" function="0" vbProcedure="0">"c1399"</definedName>
    <definedName name="IQ_NON_CASH_ITEMS" hidden="1" function="0" vbProcedure="0">"c797"</definedName>
    <definedName name="IQ_NON_INS_EXP" hidden="1" function="0" vbProcedure="0">"c798"</definedName>
    <definedName name="IQ_NON_INS_REV" hidden="1" function="0" vbProcedure="0">"c799"</definedName>
    <definedName name="IQ_NON_INTEREST_EXP" hidden="1" function="0" vbProcedure="0">"c1400"</definedName>
    <definedName name="IQ_NON_INTEREST_INC" hidden="1" function="0" vbProcedure="0">"c1401"</definedName>
    <definedName name="IQ_NON_INT_BEAR_CD" hidden="1" function="0" vbProcedure="0">"c800"</definedName>
    <definedName name="IQ_NON_INT_EXP" hidden="1" function="0" vbProcedure="0">"c801"</definedName>
    <definedName name="IQ_NON_INT_INC" hidden="1" function="0" vbProcedure="0">"c802"</definedName>
    <definedName name="IQ_NON_INT_INC_10YR_ANN_GROWTH" hidden="1" function="0" vbProcedure="0">"c803"</definedName>
    <definedName name="IQ_NON_INT_INC_1YR_ANN_GROWTH" hidden="1" function="0" vbProcedure="0">"c804"</definedName>
    <definedName name="IQ_NON_INT_INC_2YR_ANN_GROWTH" hidden="1" function="0" vbProcedure="0">"c805"</definedName>
    <definedName name="IQ_NON_INT_INC_3YR_ANN_GROWTH" hidden="1" function="0" vbProcedure="0">"c806"</definedName>
    <definedName name="IQ_NON_INT_INC_5YR_ANN_GROWTH" hidden="1" function="0" vbProcedure="0">"c807"</definedName>
    <definedName name="IQ_NON_INT_INC_7YR_ANN_GROWTH" hidden="1" function="0" vbProcedure="0">"c808"</definedName>
    <definedName name="IQ_NON_OPER_EXP" hidden="1" function="0" vbProcedure="0">"c809"</definedName>
    <definedName name="IQ_NON_OPER_INC" hidden="1" function="0" vbProcedure="0">"c810"</definedName>
    <definedName name="IQ_NON_PERFORMING_ASSETS" hidden="1" function="0" vbProcedure="0">"c826"</definedName>
    <definedName name="IQ_NON_PERFORMING_LOANS" hidden="1" function="0" vbProcedure="0">"c827"</definedName>
    <definedName name="IQ_NON_PERF_ASSETS_10YR_ANN_GROWTH" hidden="1" function="0" vbProcedure="0">"c811"</definedName>
    <definedName name="IQ_NON_PERF_ASSETS_1YR_ANN_GROWTH" hidden="1" function="0" vbProcedure="0">"c812"</definedName>
    <definedName name="IQ_NON_PERF_ASSETS_2YR_ANN_GROWTH" hidden="1" function="0" vbProcedure="0">"c813"</definedName>
    <definedName name="IQ_NON_PERF_ASSETS_3YR_ANN_GROWTH" hidden="1" function="0" vbProcedure="0">"c814"</definedName>
    <definedName name="IQ_NON_PERF_ASSETS_5YR_ANN_GROWTH" hidden="1" function="0" vbProcedure="0">"c815"</definedName>
    <definedName name="IQ_NON_PERF_ASSETS_7YR_ANN_GROWTH" hidden="1" function="0" vbProcedure="0">"c816"</definedName>
    <definedName name="IQ_NON_PERF_ASSETS_TOTAL_ASSETS" hidden="1" function="0" vbProcedure="0">"c817"</definedName>
    <definedName name="IQ_NON_PERF_LOANS_10YR_ANN_GROWTH" hidden="1" function="0" vbProcedure="0">"c818"</definedName>
    <definedName name="IQ_NON_PERF_LOANS_1YR_ANN_GROWTH" hidden="1" function="0" vbProcedure="0">"c819"</definedName>
    <definedName name="IQ_NON_PERF_LOANS_2YR_ANN_GROWTH" hidden="1" function="0" vbProcedure="0">"c820"</definedName>
    <definedName name="IQ_NON_PERF_LOANS_3YR_ANN_GROWTH" hidden="1" function="0" vbProcedure="0">"c821"</definedName>
    <definedName name="IQ_NON_PERF_LOANS_5YR_ANN_GROWTH" hidden="1" function="0" vbProcedure="0">"c822"</definedName>
    <definedName name="IQ_NON_PERF_LOANS_7YR_ANN_GROWTH" hidden="1" function="0" vbProcedure="0">"c823"</definedName>
    <definedName name="IQ_NON_PERF_LOANS_TOTAL_ASSETS" hidden="1" function="0" vbProcedure="0">"c824"</definedName>
    <definedName name="IQ_NON_PERF_LOANS_TOTAL_LOANS" hidden="1" function="0" vbProcedure="0">"c825"</definedName>
    <definedName name="IQ_NORMAL_INC_AFTER" hidden="1" function="0" vbProcedure="0">"c1605"</definedName>
    <definedName name="IQ_NORMAL_INC_AVAIL" hidden="1" function="0" vbProcedure="0">"c1606"</definedName>
    <definedName name="IQ_NORMAL_INC_BEFORE" hidden="1" function="0" vbProcedure="0">"c1607"</definedName>
    <definedName name="IQ_NOTES_PAY" hidden="1" function="0" vbProcedure="0">"c1423"</definedName>
    <definedName name="IQ_NOW_ACCOUNT" hidden="1" function="0" vbProcedure="0">"c828"</definedName>
    <definedName name="IQ_NPPE" hidden="1" function="0" vbProcedure="0">"c829"</definedName>
    <definedName name="IQ_NPPE_10YR_ANN_GROWTH" hidden="1" function="0" vbProcedure="0">"c830"</definedName>
    <definedName name="IQ_NPPE_1YR_ANN_GROWTH" hidden="1" function="0" vbProcedure="0">"c831"</definedName>
    <definedName name="IQ_NPPE_2YR_ANN_GROWTH" hidden="1" function="0" vbProcedure="0">"c832"</definedName>
    <definedName name="IQ_NPPE_3YR_ANN_GROWTH" hidden="1" function="0" vbProcedure="0">"c833"</definedName>
    <definedName name="IQ_NPPE_5YR_ANN_GROWTH" hidden="1" function="0" vbProcedure="0">"c834"</definedName>
    <definedName name="IQ_NPPE_7YR_ANN_GROWTH" hidden="1" function="0" vbProcedure="0">"c835"</definedName>
    <definedName name="IQ_NTM" hidden="1" function="0" vbProcedure="0">6000</definedName>
    <definedName name="IQ_NUKE" hidden="1" function="0" vbProcedure="0">"c836"</definedName>
    <definedName name="IQ_NUKE_CF" hidden="1" function="0" vbProcedure="0">"c837"</definedName>
    <definedName name="IQ_NUKE_CONTR" hidden="1" function="0" vbProcedure="0">"c838"</definedName>
    <definedName name="IQ_NUMBER_ADRHOLDERS" hidden="1" function="0" vbProcedure="0">"c1970"</definedName>
    <definedName name="IQ_NUMBER_DAYS" hidden="1" function="0" vbProcedure="0">"c1904"</definedName>
    <definedName name="IQ_NUMBER_SHAREHOLDERS" hidden="1" function="0" vbProcedure="0">"c1967"</definedName>
    <definedName name="IQ_NUMBER_SHAREHOLDERS_CLASSA" hidden="1" function="0" vbProcedure="0">"c1968"</definedName>
    <definedName name="IQ_NUMBER_SHAREHOLDERS_OTHER" hidden="1" function="0" vbProcedure="0">"c1969"</definedName>
    <definedName name="IQ_NUM_BRANCHES" hidden="1" function="0" vbProcedure="0">"c2088"</definedName>
    <definedName name="IQ_OCCUPY_EXP" hidden="1" function="0" vbProcedure="0">"c839"</definedName>
    <definedName name="IQ_OG_10DISC" hidden="1" function="0" vbProcedure="0">"c1998"</definedName>
    <definedName name="IQ_OG_10DISC_GAS" hidden="1" function="0" vbProcedure="0">"c2018"</definedName>
    <definedName name="IQ_OG_10DISC_OIL" hidden="1" function="0" vbProcedure="0">"c2008"</definedName>
    <definedName name="IQ_OG_ACQ_COST_PROVED" hidden="1" function="0" vbProcedure="0">"c1975"</definedName>
    <definedName name="IQ_OG_ACQ_COST_PROVED_GAS" hidden="1" function="0" vbProcedure="0">"c1987"</definedName>
    <definedName name="IQ_OG_ACQ_COST_PROVED_OIL" hidden="1" function="0" vbProcedure="0">"c1981"</definedName>
    <definedName name="IQ_OG_ACQ_COST_UNPROVED" hidden="1" function="0" vbProcedure="0">"c1976"</definedName>
    <definedName name="IQ_OG_ACQ_COST_UNPROVED_GAS" hidden="1" function="0" vbProcedure="0">"c1988"</definedName>
    <definedName name="IQ_OG_ACQ_COST_UNPROVED_OIL" hidden="1" function="0" vbProcedure="0">"c1982"</definedName>
    <definedName name="IQ_OG_CLOSE_BALANCE_GAS" hidden="1" function="0" vbProcedure="0">"c2049"</definedName>
    <definedName name="IQ_OG_CLOSE_BALANCE_OIL" hidden="1" function="0" vbProcedure="0">"c2037"</definedName>
    <definedName name="IQ_OG_DCF_BEFORE_TAXES" hidden="1" function="0" vbProcedure="0">"c2023"</definedName>
    <definedName name="IQ_OG_DCF_BEFORE_TAXES_GAS" hidden="1" function="0" vbProcedure="0">"c2025"</definedName>
    <definedName name="IQ_OG_DCF_BEFORE_TAXES_OIL" hidden="1" function="0" vbProcedure="0">"c2024"</definedName>
    <definedName name="IQ_OG_DEVELOPED_RESERVES_GAS" hidden="1" function="0" vbProcedure="0">"c2053"</definedName>
    <definedName name="IQ_OG_DEVELOPED_RESERVES_OIL" hidden="1" function="0" vbProcedure="0">"c2054"</definedName>
    <definedName name="IQ_OG_DEVELOPMENT_COSTS" hidden="1" function="0" vbProcedure="0">"c1978"</definedName>
    <definedName name="IQ_OG_DEVELOPMENT_COSTS_GAS" hidden="1" function="0" vbProcedure="0">"c1990"</definedName>
    <definedName name="IQ_OG_DEVELOPMENT_COSTS_OIL" hidden="1" function="0" vbProcedure="0">"c1984"</definedName>
    <definedName name="IQ_OG_EQUITY_DCF" hidden="1" function="0" vbProcedure="0">"c2002"</definedName>
    <definedName name="IQ_OG_EQUITY_DCF_GAS" hidden="1" function="0" vbProcedure="0">"c2022"</definedName>
    <definedName name="IQ_OG_EQUITY_DCF_OIL" hidden="1" function="0" vbProcedure="0">"c2012"</definedName>
    <definedName name="IQ_OG_EQUTY_RESERVES_GAS" hidden="1" function="0" vbProcedure="0">"c2050"</definedName>
    <definedName name="IQ_OG_EQUTY_RESERVES_OIL" hidden="1" function="0" vbProcedure="0">"c2038"</definedName>
    <definedName name="IQ_OG_EXPLORATION_COSTS" hidden="1" function="0" vbProcedure="0">"c1977"</definedName>
    <definedName name="IQ_OG_EXPLORATION_COSTS_GAS" hidden="1" function="0" vbProcedure="0">"c1989"</definedName>
    <definedName name="IQ_OG_EXPLORATION_COSTS_OIL" hidden="1" function="0" vbProcedure="0">"c1983"</definedName>
    <definedName name="IQ_OG_EXT_DISC_GAS" hidden="1" function="0" vbProcedure="0">"c2043"</definedName>
    <definedName name="IQ_OG_EXT_DISC_OIL" hidden="1" function="0" vbProcedure="0">"c2031"</definedName>
    <definedName name="IQ_OG_FUTURE_CASH_INFLOWS" hidden="1" function="0" vbProcedure="0">"c1993"</definedName>
    <definedName name="IQ_OG_FUTURE_CASH_INFLOWS_GAS" hidden="1" function="0" vbProcedure="0">"c2013"</definedName>
    <definedName name="IQ_OG_FUTURE_CASH_INFLOWS_OIL" hidden="1" function="0" vbProcedure="0">"c2003"</definedName>
    <definedName name="IQ_OG_FUTURE_DEVELOPMENT_COSTS" hidden="1" function="0" vbProcedure="0">"c1995"</definedName>
    <definedName name="IQ_OG_FUTURE_DEVELOPMENT_COSTS_GAS" hidden="1" function="0" vbProcedure="0">"c2015"</definedName>
    <definedName name="IQ_OG_FUTURE_DEVELOPMENT_COSTS_OIL" hidden="1" function="0" vbProcedure="0">"c2005"</definedName>
    <definedName name="IQ_OG_FUTURE_INC_TAXES" hidden="1" function="0" vbProcedure="0">"c1997"</definedName>
    <definedName name="IQ_OG_FUTURE_INC_TAXES_GAS" hidden="1" function="0" vbProcedure="0">"c2017"</definedName>
    <definedName name="IQ_OG_FUTURE_INC_TAXES_OIL" hidden="1" function="0" vbProcedure="0">"c2007"</definedName>
    <definedName name="IQ_OG_FUTURE_PRODUCTION_COSTS" hidden="1" function="0" vbProcedure="0">"c1994"</definedName>
    <definedName name="IQ_OG_FUTURE_PRODUCTION_COSTS_GAS" hidden="1" function="0" vbProcedure="0">"c2014"</definedName>
    <definedName name="IQ_OG_FUTURE_PRODUCTION_COSTS_OIL" hidden="1" function="0" vbProcedure="0">"c2004"</definedName>
    <definedName name="IQ_OG_GAS_PRICE_HEDGED" hidden="1" function="0" vbProcedure="0">"c2056"</definedName>
    <definedName name="IQ_OG_GAS_PRICE_UNHEDGED" hidden="1" function="0" vbProcedure="0">"c2058"</definedName>
    <definedName name="IQ_OG_IMPROVED_RECOVERY_GAS" hidden="1" function="0" vbProcedure="0">"c2044"</definedName>
    <definedName name="IQ_OG_IMPROVED_RECOVERY_OIL" hidden="1" function="0" vbProcedure="0">"c2032"</definedName>
    <definedName name="IQ_OG_NET_FUTURE_CASH_FLOWS" hidden="1" function="0" vbProcedure="0">"c1996"</definedName>
    <definedName name="IQ_OG_NET_FUTURE_CASH_FLOWS_GAS" hidden="1" function="0" vbProcedure="0">"c2016"</definedName>
    <definedName name="IQ_OG_NET_FUTURE_CASH_FLOWS_OIL" hidden="1" function="0" vbProcedure="0">"c2006"</definedName>
    <definedName name="IQ_OG_OIL_PRICE_HEDGED" hidden="1" function="0" vbProcedure="0">"c2055"</definedName>
    <definedName name="IQ_OG_OIL_PRICE_UNHEDGED" hidden="1" function="0" vbProcedure="0">"c2057"</definedName>
    <definedName name="IQ_OG_OPEN_BALANCE_GAS" hidden="1" function="0" vbProcedure="0">"c2041"</definedName>
    <definedName name="IQ_OG_OPEN_BALANCE_OIL" hidden="1" function="0" vbProcedure="0">"c2029"</definedName>
    <definedName name="IQ_OG_OTHER_ADJ_FCF" hidden="1" function="0" vbProcedure="0">"c1999"</definedName>
    <definedName name="IQ_OG_OTHER_ADJ_FCF_GAS" hidden="1" function="0" vbProcedure="0">"c2019"</definedName>
    <definedName name="IQ_OG_OTHER_ADJ_FCF_OIL" hidden="1" function="0" vbProcedure="0">"c2009"</definedName>
    <definedName name="IQ_OG_OTHER_ADJ_GAS" hidden="1" function="0" vbProcedure="0">"c2048"</definedName>
    <definedName name="IQ_OG_OTHER_ADJ_OIL" hidden="1" function="0" vbProcedure="0">"c2036"</definedName>
    <definedName name="IQ_OG_OTHER_COSTS" hidden="1" function="0" vbProcedure="0">"c1979"</definedName>
    <definedName name="IQ_OG_OTHER_COSTS_GAS" hidden="1" function="0" vbProcedure="0">"c1991"</definedName>
    <definedName name="IQ_OG_OTHER_COSTS_OIL" hidden="1" function="0" vbProcedure="0">"c1985"</definedName>
    <definedName name="IQ_OG_PRODUCTION_GAS" hidden="1" function="0" vbProcedure="0">"c2047"</definedName>
    <definedName name="IQ_OG_PRODUCTION_OIL" hidden="1" function="0" vbProcedure="0">"c2035"</definedName>
    <definedName name="IQ_OG_PURCHASES_GAS" hidden="1" function="0" vbProcedure="0">"c2045"</definedName>
    <definedName name="IQ_OG_PURCHASES_OIL" hidden="1" function="0" vbProcedure="0">"c2033"</definedName>
    <definedName name="IQ_OG_REVISIONS_GAS" hidden="1" function="0" vbProcedure="0">"c2042"</definedName>
    <definedName name="IQ_OG_REVISIONS_OIL" hidden="1" function="0" vbProcedure="0">"c2030"</definedName>
    <definedName name="IQ_OG_SALES_IN_PLACE_GAS" hidden="1" function="0" vbProcedure="0">"c2046"</definedName>
    <definedName name="IQ_OG_SALES_IN_PLACE_OIL" hidden="1" function="0" vbProcedure="0">"c2034"</definedName>
    <definedName name="IQ_OG_STANDARDIZED_DCF" hidden="1" function="0" vbProcedure="0">"c2000"</definedName>
    <definedName name="IQ_OG_STANDARDIZED_DCF_GAS" hidden="1" function="0" vbProcedure="0">"c2020"</definedName>
    <definedName name="IQ_OG_STANDARDIZED_DCF_HEDGED" hidden="1" function="0" vbProcedure="0">"c2001"</definedName>
    <definedName name="IQ_OG_STANDARDIZED_DCF_HEDGED_GAS" hidden="1" function="0" vbProcedure="0">"c2021"</definedName>
    <definedName name="IQ_OG_STANDARDIZED_DCF_HEDGED_OIL" hidden="1" function="0" vbProcedure="0">"c2011"</definedName>
    <definedName name="IQ_OG_STANDARDIZED_DCF_OIL" hidden="1" function="0" vbProcedure="0">"c2010"</definedName>
    <definedName name="IQ_OG_TAXES" hidden="1" function="0" vbProcedure="0">"c2026"</definedName>
    <definedName name="IQ_OG_TAXES_GAS" hidden="1" function="0" vbProcedure="0">"c2028"</definedName>
    <definedName name="IQ_OG_TAXES_OIL" hidden="1" function="0" vbProcedure="0">"c2027"</definedName>
    <definedName name="IQ_OG_TOTAL_COSTS" hidden="1" function="0" vbProcedure="0">"c1980"</definedName>
    <definedName name="IQ_OG_TOTAL_COSTS_GAS" hidden="1" function="0" vbProcedure="0">"c1992"</definedName>
    <definedName name="IQ_OG_TOTAL_COSTS_OIL" hidden="1" function="0" vbProcedure="0">"c1986"</definedName>
    <definedName name="IQ_OG_TOTAL_EST_PROVED_RESERVES_GAS" hidden="1" function="0" vbProcedure="0">"c2052"</definedName>
    <definedName name="IQ_OG_TOTAL_GAS_PRODUCTION" hidden="1" function="0" vbProcedure="0">"c2060"</definedName>
    <definedName name="IQ_OG_TOTAL_OIL_PRODUCTON" hidden="1" function="0" vbProcedure="0">"c2059"</definedName>
    <definedName name="IQ_OG_UNDEVELOPED_RESERVES_GAS" hidden="1" function="0" vbProcedure="0">"c2051"</definedName>
    <definedName name="IQ_OG_UNDEVELOPED_RESERVES_OIL" hidden="1" function="0" vbProcedure="0">"c2039"</definedName>
    <definedName name="IQ_OIL_IMPAIR" hidden="1" function="0" vbProcedure="0">"c840"</definedName>
    <definedName name="IQ_OL_COMM_AFTER_FIVE" hidden="1" function="0" vbProcedure="0">"c841"</definedName>
    <definedName name="IQ_OL_COMM_CY" hidden="1" function="0" vbProcedure="0">"c842"</definedName>
    <definedName name="IQ_OL_COMM_CY1" hidden="1" function="0" vbProcedure="0">"c843"</definedName>
    <definedName name="IQ_OL_COMM_CY2" hidden="1" function="0" vbProcedure="0">"c844"</definedName>
    <definedName name="IQ_OL_COMM_CY3" hidden="1" function="0" vbProcedure="0">"c845"</definedName>
    <definedName name="IQ_OL_COMM_CY4" hidden="1" function="0" vbProcedure="0">"c846"</definedName>
    <definedName name="IQ_OL_COMM_NEXT_FIVE" hidden="1" function="0" vbProcedure="0">"c847"</definedName>
    <definedName name="IQ_OPENPRICE" hidden="1" function="0" vbProcedure="0">"c848"</definedName>
    <definedName name="IQ_OPERATIONS_EXP" hidden="1" function="0" vbProcedure="0">"c855"</definedName>
    <definedName name="IQ_OPER_INC" hidden="1" function="0" vbProcedure="0">"c849"</definedName>
    <definedName name="IQ_OPER_INC_BR" hidden="1" function="0" vbProcedure="0">"c850"</definedName>
    <definedName name="IQ_OPER_INC_FIN" hidden="1" function="0" vbProcedure="0">"c851"</definedName>
    <definedName name="IQ_OPER_INC_INS" hidden="1" function="0" vbProcedure="0">"c852"</definedName>
    <definedName name="IQ_OPER_INC_MARGIN" hidden="1" function="0" vbProcedure="0">"c1448"</definedName>
    <definedName name="IQ_OPER_INC_REIT" hidden="1" function="0" vbProcedure="0">"c853"</definedName>
    <definedName name="IQ_OPER_INC_UTI" hidden="1" function="0" vbProcedure="0">"c854"</definedName>
    <definedName name="IQ_OPTIONS_BEG_OS" hidden="1" function="0" vbProcedure="0">"c1572"</definedName>
    <definedName name="IQ_OPTIONS_CANCELLED" hidden="1" function="0" vbProcedure="0">"c856"</definedName>
    <definedName name="IQ_OPTIONS_END_OS" hidden="1" function="0" vbProcedure="0">"c1573"</definedName>
    <definedName name="IQ_OPTIONS_EXERCISED" hidden="1" function="0" vbProcedure="0">"c2116"</definedName>
    <definedName name="IQ_OPTIONS_ISSUED" hidden="1" function="0" vbProcedure="0">"c857"</definedName>
    <definedName name="IQ_ORDER_BACKLOG" hidden="1" function="0" vbProcedure="0">"c2090"</definedName>
    <definedName name="IQ_OTHER_ADJUST_GROSS_LOANS" hidden="1" function="0" vbProcedure="0">"c859"</definedName>
    <definedName name="IQ_OTHER_ASSETS" hidden="1" function="0" vbProcedure="0">"c860"</definedName>
    <definedName name="IQ_OTHER_ASSETS_BNK" hidden="1" function="0" vbProcedure="0">"c861"</definedName>
    <definedName name="IQ_OTHER_ASSETS_BR" hidden="1" function="0" vbProcedure="0">"c862"</definedName>
    <definedName name="IQ_OTHER_ASSETS_FIN" hidden="1" function="0" vbProcedure="0">"c863"</definedName>
    <definedName name="IQ_OTHER_ASSETS_INS" hidden="1" function="0" vbProcedure="0">"c864"</definedName>
    <definedName name="IQ_OTHER_ASSETS_REIT" hidden="1" function="0" vbProcedure="0">"c865"</definedName>
    <definedName name="IQ_OTHER_ASSETS_UTI" hidden="1" function="0" vbProcedure="0">"c866"</definedName>
    <definedName name="IQ_OTHER_BEARING_LIAB" hidden="1" function="0" vbProcedure="0">"c1608"</definedName>
    <definedName name="IQ_OTHER_BENEFITS_OBLIGATION" hidden="1" function="0" vbProcedure="0">"c867"</definedName>
    <definedName name="IQ_OTHER_CA" hidden="1" function="0" vbProcedure="0">"c868"</definedName>
    <definedName name="IQ_OTHER_CA_SUPPL" hidden="1" function="0" vbProcedure="0">"c869"</definedName>
    <definedName name="IQ_OTHER_CA_SUPPL_BNK" hidden="1" function="0" vbProcedure="0">"c870"</definedName>
    <definedName name="IQ_OTHER_CA_SUPPL_BR" hidden="1" function="0" vbProcedure="0">"c871"</definedName>
    <definedName name="IQ_OTHER_CA_SUPPL_FIN" hidden="1" function="0" vbProcedure="0">"c872"</definedName>
    <definedName name="IQ_OTHER_CA_SUPPL_INS" hidden="1" function="0" vbProcedure="0">"c873"</definedName>
    <definedName name="IQ_OTHER_CA_SUPPL_REIT" hidden="1" function="0" vbProcedure="0">"c874"</definedName>
    <definedName name="IQ_OTHER_CA_SUPPL_UTI" hidden="1" function="0" vbProcedure="0">"c875"</definedName>
    <definedName name="IQ_OTHER_CA_UTI" hidden="1" function="0" vbProcedure="0">"c876"</definedName>
    <definedName name="IQ_OTHER_CL" hidden="1" function="0" vbProcedure="0">"c877"</definedName>
    <definedName name="IQ_OTHER_CL_SUPPL" hidden="1" function="0" vbProcedure="0">"c878"</definedName>
    <definedName name="IQ_OTHER_CL_SUPPL_BNK" hidden="1" function="0" vbProcedure="0">"c879"</definedName>
    <definedName name="IQ_OTHER_CL_SUPPL_BR" hidden="1" function="0" vbProcedure="0">"c880"</definedName>
    <definedName name="IQ_OTHER_CL_SUPPL_FIN" hidden="1" function="0" vbProcedure="0">"c881"</definedName>
    <definedName name="IQ_OTHER_CL_SUPPL_REIT" hidden="1" function="0" vbProcedure="0">"c882"</definedName>
    <definedName name="IQ_OTHER_CL_SUPPL_UTI" hidden="1" function="0" vbProcedure="0">"c883"</definedName>
    <definedName name="IQ_OTHER_CL_UTI" hidden="1" function="0" vbProcedure="0">"c884"</definedName>
    <definedName name="IQ_OTHER_CURRENT_ASSETS" hidden="1" function="0" vbProcedure="0">"c1403"</definedName>
    <definedName name="IQ_OTHER_CURRENT_LIAB" hidden="1" function="0" vbProcedure="0">"c1404"</definedName>
    <definedName name="IQ_OTHER_DEP" hidden="1" function="0" vbProcedure="0">"c885"</definedName>
    <definedName name="IQ_OTHER_EARNING" hidden="1" function="0" vbProcedure="0">"c1609"</definedName>
    <definedName name="IQ_OTHER_EQUITY" hidden="1" function="0" vbProcedure="0">"c886"</definedName>
    <definedName name="IQ_OTHER_EQUITY_BNK" hidden="1" function="0" vbProcedure="0">"c887"</definedName>
    <definedName name="IQ_OTHER_EQUITY_BR" hidden="1" function="0" vbProcedure="0">"c888"</definedName>
    <definedName name="IQ_OTHER_EQUITY_FIN" hidden="1" function="0" vbProcedure="0">"c889"</definedName>
    <definedName name="IQ_OTHER_EQUITY_INS" hidden="1" function="0" vbProcedure="0">"c890"</definedName>
    <definedName name="IQ_OTHER_EQUITY_REIT" hidden="1" function="0" vbProcedure="0">"c891"</definedName>
    <definedName name="IQ_OTHER_EQUITY_UTI" hidden="1" function="0" vbProcedure="0">"c892"</definedName>
    <definedName name="IQ_OTHER_FINANCE_ACT" hidden="1" function="0" vbProcedure="0">"c893"</definedName>
    <definedName name="IQ_OTHER_FINANCE_ACT_BNK" hidden="1" function="0" vbProcedure="0">"c894"</definedName>
    <definedName name="IQ_OTHER_FINANCE_ACT_BR" hidden="1" function="0" vbProcedure="0">"c895"</definedName>
    <definedName name="IQ_OTHER_FINANCE_ACT_FIN" hidden="1" function="0" vbProcedure="0">"c896"</definedName>
    <definedName name="IQ_OTHER_FINANCE_ACT_INS" hidden="1" function="0" vbProcedure="0">"c897"</definedName>
    <definedName name="IQ_OTHER_FINANCE_ACT_REIT" hidden="1" function="0" vbProcedure="0">"c898"</definedName>
    <definedName name="IQ_OTHER_FINANCE_ACT_SUPPL" hidden="1" function="0" vbProcedure="0">"c899"</definedName>
    <definedName name="IQ_OTHER_FINANCE_ACT_SUPPL_BNK" hidden="1" function="0" vbProcedure="0">"c900"</definedName>
    <definedName name="IQ_OTHER_FINANCE_ACT_SUPPL_BR" hidden="1" function="0" vbProcedure="0">"c901"</definedName>
    <definedName name="IQ_OTHER_FINANCE_ACT_SUPPL_FIN" hidden="1" function="0" vbProcedure="0">"c902"</definedName>
    <definedName name="IQ_OTHER_FINANCE_ACT_SUPPL_INS" hidden="1" function="0" vbProcedure="0">"c903"</definedName>
    <definedName name="IQ_OTHER_FINANCE_ACT_SUPPL_REIT" hidden="1" function="0" vbProcedure="0">"c904"</definedName>
    <definedName name="IQ_OTHER_FINANCE_ACT_SUPPL_UTI" hidden="1" function="0" vbProcedure="0">"c905"</definedName>
    <definedName name="IQ_OTHER_FINANCE_ACT_UTI" hidden="1" function="0" vbProcedure="0">"c906"</definedName>
    <definedName name="IQ_OTHER_INTAN" hidden="1" function="0" vbProcedure="0">"c907"</definedName>
    <definedName name="IQ_OTHER_INTAN_BNK" hidden="1" function="0" vbProcedure="0">"c908"</definedName>
    <definedName name="IQ_OTHER_INTAN_BR" hidden="1" function="0" vbProcedure="0">"c909"</definedName>
    <definedName name="IQ_OTHER_INTAN_FIN" hidden="1" function="0" vbProcedure="0">"c910"</definedName>
    <definedName name="IQ_OTHER_INTAN_INS" hidden="1" function="0" vbProcedure="0">"c911"</definedName>
    <definedName name="IQ_OTHER_INTAN_REIT" hidden="1" function="0" vbProcedure="0">"c912"</definedName>
    <definedName name="IQ_OTHER_INTAN_UTI" hidden="1" function="0" vbProcedure="0">"c913"</definedName>
    <definedName name="IQ_OTHER_INV" hidden="1" function="0" vbProcedure="0">"c914"</definedName>
    <definedName name="IQ_OTHER_INVEST" hidden="1" function="0" vbProcedure="0">"c915"</definedName>
    <definedName name="IQ_OTHER_INVESTING" hidden="1" function="0" vbProcedure="0">"c1408"</definedName>
    <definedName name="IQ_OTHER_INVEST_ACT" hidden="1" function="0" vbProcedure="0">"c916"</definedName>
    <definedName name="IQ_OTHER_INVEST_ACT_BNK" hidden="1" function="0" vbProcedure="0">"c917"</definedName>
    <definedName name="IQ_OTHER_INVEST_ACT_BR" hidden="1" function="0" vbProcedure="0">"c918"</definedName>
    <definedName name="IQ_OTHER_INVEST_ACT_FIN" hidden="1" function="0" vbProcedure="0">"c919"</definedName>
    <definedName name="IQ_OTHER_INVEST_ACT_INS" hidden="1" function="0" vbProcedure="0">"c920"</definedName>
    <definedName name="IQ_OTHER_INVEST_ACT_REIT" hidden="1" function="0" vbProcedure="0">"c921"</definedName>
    <definedName name="IQ_OTHER_INVEST_ACT_SUPPL" hidden="1" function="0" vbProcedure="0">"c922"</definedName>
    <definedName name="IQ_OTHER_INVEST_ACT_SUPPL_BNK" hidden="1" function="0" vbProcedure="0">"c923"</definedName>
    <definedName name="IQ_OTHER_INVEST_ACT_SUPPL_BR" hidden="1" function="0" vbProcedure="0">"c924"</definedName>
    <definedName name="IQ_OTHER_INVEST_ACT_SUPPL_FIN" hidden="1" function="0" vbProcedure="0">"c925"</definedName>
    <definedName name="IQ_OTHER_INVEST_ACT_SUPPL_INS" hidden="1" function="0" vbProcedure="0">"c926"</definedName>
    <definedName name="IQ_OTHER_INVEST_ACT_SUPPL_REIT" hidden="1" function="0" vbProcedure="0">"c927"</definedName>
    <definedName name="IQ_OTHER_INVEST_ACT_SUPPL_UTI" hidden="1" function="0" vbProcedure="0">"c928"</definedName>
    <definedName name="IQ_OTHER_INVEST_ACT_UTI" hidden="1" function="0" vbProcedure="0">"c929"</definedName>
    <definedName name="IQ_OTHER_LIAB" hidden="1" function="0" vbProcedure="0">"c930"</definedName>
    <definedName name="IQ_OTHER_LIAB_BNK" hidden="1" function="0" vbProcedure="0">"c931"</definedName>
    <definedName name="IQ_OTHER_LIAB_BR" hidden="1" function="0" vbProcedure="0">"c932"</definedName>
    <definedName name="IQ_OTHER_LIAB_FIN" hidden="1" function="0" vbProcedure="0">"c933"</definedName>
    <definedName name="IQ_OTHER_LIAB_INS" hidden="1" function="0" vbProcedure="0">"c934"</definedName>
    <definedName name="IQ_OTHER_LIAB_LT" hidden="1" function="0" vbProcedure="0">"c935"</definedName>
    <definedName name="IQ_OTHER_LIAB_LT_BNK" hidden="1" function="0" vbProcedure="0">"c936"</definedName>
    <definedName name="IQ_OTHER_LIAB_LT_BR" hidden="1" function="0" vbProcedure="0">"c937"</definedName>
    <definedName name="IQ_OTHER_LIAB_LT_FIN" hidden="1" function="0" vbProcedure="0">"c938"</definedName>
    <definedName name="IQ_OTHER_LIAB_LT_INS" hidden="1" function="0" vbProcedure="0">"c939"</definedName>
    <definedName name="IQ_OTHER_LIAB_LT_REIT" hidden="1" function="0" vbProcedure="0">"c940"</definedName>
    <definedName name="IQ_OTHER_LIAB_LT_UTI" hidden="1" function="0" vbProcedure="0">"c941"</definedName>
    <definedName name="IQ_OTHER_LIAB_REIT" hidden="1" function="0" vbProcedure="0">"c942"</definedName>
    <definedName name="IQ_OTHER_LIAB_UTI" hidden="1" function="0" vbProcedure="0">"c943"</definedName>
    <definedName name="IQ_OTHER_LIAB_WRITTEN" hidden="1" function="0" vbProcedure="0">"c944"</definedName>
    <definedName name="IQ_OTHER_LOANS" hidden="1" function="0" vbProcedure="0">"c945"</definedName>
    <definedName name="IQ_OTHER_LONG_TERM" hidden="1" function="0" vbProcedure="0">"c1409"</definedName>
    <definedName name="IQ_OTHER_LT_ASSETS" hidden="1" function="0" vbProcedure="0">"c946"</definedName>
    <definedName name="IQ_OTHER_LT_ASSETS_BNK" hidden="1" function="0" vbProcedure="0">"c947"</definedName>
    <definedName name="IQ_OTHER_LT_ASSETS_BR" hidden="1" function="0" vbProcedure="0">"c948"</definedName>
    <definedName name="IQ_OTHER_LT_ASSETS_FIN" hidden="1" function="0" vbProcedure="0">"c949"</definedName>
    <definedName name="IQ_OTHER_LT_ASSETS_INS" hidden="1" function="0" vbProcedure="0">"c950"</definedName>
    <definedName name="IQ_OTHER_LT_ASSETS_REIT" hidden="1" function="0" vbProcedure="0">"c951"</definedName>
    <definedName name="IQ_OTHER_LT_ASSETS_UTI" hidden="1" function="0" vbProcedure="0">"c952"</definedName>
    <definedName name="IQ_OTHER_NET" hidden="1" function="0" vbProcedure="0">"c1453"</definedName>
    <definedName name="IQ_OTHER_NON_INT_EXP" hidden="1" function="0" vbProcedure="0">"c953"</definedName>
    <definedName name="IQ_OTHER_NON_INT_EXP_TOTAL" hidden="1" function="0" vbProcedure="0">"c954"</definedName>
    <definedName name="IQ_OTHER_NON_INT_INC" hidden="1" function="0" vbProcedure="0">"c955"</definedName>
    <definedName name="IQ_OTHER_NON_OPER_EXP" hidden="1" function="0" vbProcedure="0">"c956"</definedName>
    <definedName name="IQ_OTHER_NON_OPER_EXP_BR" hidden="1" function="0" vbProcedure="0">"c957"</definedName>
    <definedName name="IQ_OTHER_NON_OPER_EXP_FIN" hidden="1" function="0" vbProcedure="0">"c958"</definedName>
    <definedName name="IQ_OTHER_NON_OPER_EXP_INS" hidden="1" function="0" vbProcedure="0">"c959"</definedName>
    <definedName name="IQ_OTHER_NON_OPER_EXP_REIT" hidden="1" function="0" vbProcedure="0">"c960"</definedName>
    <definedName name="IQ_OTHER_NON_OPER_EXP_SUPPL" hidden="1" function="0" vbProcedure="0">"c961"</definedName>
    <definedName name="IQ_OTHER_NON_OPER_EXP_SUPPL_BR" hidden="1" function="0" vbProcedure="0">"c962"</definedName>
    <definedName name="IQ_OTHER_NON_OPER_EXP_SUPPL_FIN" hidden="1" function="0" vbProcedure="0">"c963"</definedName>
    <definedName name="IQ_OTHER_NON_OPER_EXP_SUPPL_INS" hidden="1" function="0" vbProcedure="0">"c964"</definedName>
    <definedName name="IQ_OTHER_NON_OPER_EXP_SUPPL_REIT" hidden="1" function="0" vbProcedure="0">"c965"</definedName>
    <definedName name="IQ_OTHER_NON_OPER_EXP_SUPPL_UTI" hidden="1" function="0" vbProcedure="0">"c966"</definedName>
    <definedName name="IQ_OTHER_NON_OPER_EXP_UTI" hidden="1" function="0" vbProcedure="0">"c967"</definedName>
    <definedName name="IQ_OTHER_OPER" hidden="1" function="0" vbProcedure="0">"c982"</definedName>
    <definedName name="IQ_OTHER_OPER_ACT" hidden="1" function="0" vbProcedure="0">"c983"</definedName>
    <definedName name="IQ_OTHER_OPER_ACT_BNK" hidden="1" function="0" vbProcedure="0">"c984"</definedName>
    <definedName name="IQ_OTHER_OPER_ACT_BR" hidden="1" function="0" vbProcedure="0">"c985"</definedName>
    <definedName name="IQ_OTHER_OPER_ACT_FIN" hidden="1" function="0" vbProcedure="0">"c986"</definedName>
    <definedName name="IQ_OTHER_OPER_ACT_INS" hidden="1" function="0" vbProcedure="0">"c987"</definedName>
    <definedName name="IQ_OTHER_OPER_ACT_REIT" hidden="1" function="0" vbProcedure="0">"c988"</definedName>
    <definedName name="IQ_OTHER_OPER_ACT_UTI" hidden="1" function="0" vbProcedure="0">"c989"</definedName>
    <definedName name="IQ_OTHER_OPER_BR" hidden="1" function="0" vbProcedure="0">"c990"</definedName>
    <definedName name="IQ_OTHER_OPER_FIN" hidden="1" function="0" vbProcedure="0">"c991"</definedName>
    <definedName name="IQ_OTHER_OPER_INS" hidden="1" function="0" vbProcedure="0">"c992"</definedName>
    <definedName name="IQ_OTHER_OPER_REIT" hidden="1" function="0" vbProcedure="0">"c993"</definedName>
    <definedName name="IQ_OTHER_OPER_SUPPL_BR" hidden="1" function="0" vbProcedure="0">"c994"</definedName>
    <definedName name="IQ_OTHER_OPER_SUPPL_FIN" hidden="1" function="0" vbProcedure="0">"c995"</definedName>
    <definedName name="IQ_OTHER_OPER_SUPPL_INS" hidden="1" function="0" vbProcedure="0">"c996"</definedName>
    <definedName name="IQ_OTHER_OPER_SUPPL_REIT" hidden="1" function="0" vbProcedure="0">"c997"</definedName>
    <definedName name="IQ_OTHER_OPER_SUPPL_UTI" hidden="1" function="0" vbProcedure="0">"c998"</definedName>
    <definedName name="IQ_OTHER_OPER_TOT_BNK" hidden="1" function="0" vbProcedure="0">"c999"</definedName>
    <definedName name="IQ_OTHER_OPER_TOT_BR" hidden="1" function="0" vbProcedure="0">"c1000"</definedName>
    <definedName name="IQ_OTHER_OPER_TOT_FIN" hidden="1" function="0" vbProcedure="0">"c1001"</definedName>
    <definedName name="IQ_OTHER_OPER_TOT_INS" hidden="1" function="0" vbProcedure="0">"c1002"</definedName>
    <definedName name="IQ_OTHER_OPER_TOT_REIT" hidden="1" function="0" vbProcedure="0">"c1003"</definedName>
    <definedName name="IQ_OTHER_OPER_TOT_UTI" hidden="1" function="0" vbProcedure="0">"c1004"</definedName>
    <definedName name="IQ_OTHER_OPER_UTI" hidden="1" function="0" vbProcedure="0">"c1005"</definedName>
    <definedName name="IQ_OTHER_OUTSTANDING_BS_DATE" hidden="1" function="0" vbProcedure="0">"c1972"</definedName>
    <definedName name="IQ_OTHER_OUTSTANDING_FILING_DATE" hidden="1" function="0" vbProcedure="0">"c1974"</definedName>
    <definedName name="IQ_OTHER_PC_WRITTEN" hidden="1" function="0" vbProcedure="0">"c1006"</definedName>
    <definedName name="IQ_OTHER_REAL_ESTATE" hidden="1" function="0" vbProcedure="0">"c1007"</definedName>
    <definedName name="IQ_OTHER_RECEIV" hidden="1" function="0" vbProcedure="0">"c1008"</definedName>
    <definedName name="IQ_OTHER_RECEIV_INS" hidden="1" function="0" vbProcedure="0">"c1009"</definedName>
    <definedName name="IQ_OTHER_REV" hidden="1" function="0" vbProcedure="0">"c1010"</definedName>
    <definedName name="IQ_OTHER_REVENUE" hidden="1" function="0" vbProcedure="0">"c1410"</definedName>
    <definedName name="IQ_OTHER_REV_BR" hidden="1" function="0" vbProcedure="0">"c1011"</definedName>
    <definedName name="IQ_OTHER_REV_FIN" hidden="1" function="0" vbProcedure="0">"c1012"</definedName>
    <definedName name="IQ_OTHER_REV_INS" hidden="1" function="0" vbProcedure="0">"c1013"</definedName>
    <definedName name="IQ_OTHER_REV_REIT" hidden="1" function="0" vbProcedure="0">"c1014"</definedName>
    <definedName name="IQ_OTHER_REV_SUPPL" hidden="1" function="0" vbProcedure="0">"c1015"</definedName>
    <definedName name="IQ_OTHER_REV_SUPPL_BR" hidden="1" function="0" vbProcedure="0">"c1016"</definedName>
    <definedName name="IQ_OTHER_REV_SUPPL_FIN" hidden="1" function="0" vbProcedure="0">"c1017"</definedName>
    <definedName name="IQ_OTHER_REV_SUPPL_INS" hidden="1" function="0" vbProcedure="0">"c1018"</definedName>
    <definedName name="IQ_OTHER_REV_SUPPL_REIT" hidden="1" function="0" vbProcedure="0">"c1019"</definedName>
    <definedName name="IQ_OTHER_REV_SUPPL_UTI" hidden="1" function="0" vbProcedure="0">"c1020"</definedName>
    <definedName name="IQ_OTHER_REV_UTI" hidden="1" function="0" vbProcedure="0">"c1021"</definedName>
    <definedName name="IQ_OTHER_UNUSUAL" hidden="1" function="0" vbProcedure="0">"c1488"</definedName>
    <definedName name="IQ_OTHER_UNUSUAL_BNK" hidden="1" function="0" vbProcedure="0">"c1560"</definedName>
    <definedName name="IQ_OTHER_UNUSUAL_BR" hidden="1" function="0" vbProcedure="0">"c1561"</definedName>
    <definedName name="IQ_OTHER_UNUSUAL_FIN" hidden="1" function="0" vbProcedure="0">"c1562"</definedName>
    <definedName name="IQ_OTHER_UNUSUAL_INS" hidden="1" function="0" vbProcedure="0">"c1563"</definedName>
    <definedName name="IQ_OTHER_UNUSUAL_REIT" hidden="1" function="0" vbProcedure="0">"c1564"</definedName>
    <definedName name="IQ_OTHER_UNUSUAL_SUPPL" hidden="1" function="0" vbProcedure="0">"c1494"</definedName>
    <definedName name="IQ_OTHER_UNUSUAL_SUPPL_BNK" hidden="1" function="0" vbProcedure="0">"c1495"</definedName>
    <definedName name="IQ_OTHER_UNUSUAL_SUPPL_BR" hidden="1" function="0" vbProcedure="0">"c1496"</definedName>
    <definedName name="IQ_OTHER_UNUSUAL_SUPPL_FIN" hidden="1" function="0" vbProcedure="0">"c1497"</definedName>
    <definedName name="IQ_OTHER_UNUSUAL_SUPPL_INS" hidden="1" function="0" vbProcedure="0">"c1498"</definedName>
    <definedName name="IQ_OTHER_UNUSUAL_SUPPL_REIT" hidden="1" function="0" vbProcedure="0">"c1499"</definedName>
    <definedName name="IQ_OTHER_UNUSUAL_SUPPL_UTI" hidden="1" function="0" vbProcedure="0">"c1500"</definedName>
    <definedName name="IQ_OTHER_UNUSUAL_UTI" hidden="1" function="0" vbProcedure="0">"c1565"</definedName>
    <definedName name="IQ_OUTSTANDING_BS_DATE" hidden="1" function="0" vbProcedure="0">"c2128"</definedName>
    <definedName name="IQ_OUTSTANDING_FILING_DATE" hidden="1" function="0" vbProcedure="0">"c2127"</definedName>
    <definedName name="IQ_PART_TIME" hidden="1" function="0" vbProcedure="0">"c1024"</definedName>
    <definedName name="IQ_PAYOUT_RATIO" hidden="1" function="0" vbProcedure="0">"c1900"</definedName>
    <definedName name="IQ_PAY_ACCRUED" hidden="1" function="0" vbProcedure="0">"c1457"</definedName>
    <definedName name="IQ_PBV" hidden="1" function="0" vbProcedure="0">"c1025"</definedName>
    <definedName name="IQ_PBV_AVG" hidden="1" function="0" vbProcedure="0">"c1026"</definedName>
    <definedName name="IQ_PC_WRITTEN" hidden="1" function="0" vbProcedure="0">"c1027"</definedName>
    <definedName name="IQ_PENSION" hidden="1" function="0" vbProcedure="0">"c1031"</definedName>
    <definedName name="IQ_PERIODDATE" hidden="1" function="0" vbProcedure="0">"c1414"</definedName>
    <definedName name="IQ_PERIODDATE_BS" hidden="1" function="0" vbProcedure="0">"c1032"</definedName>
    <definedName name="IQ_PERIODDATE_CF" hidden="1" function="0" vbProcedure="0">"c1033"</definedName>
    <definedName name="IQ_PERIODDATE_IS" hidden="1" function="0" vbProcedure="0">"c1034"</definedName>
    <definedName name="IQ_PERIODLENGTH_CF" hidden="1" function="0" vbProcedure="0">"c1502"</definedName>
    <definedName name="IQ_PERIODLENGTH_IS" hidden="1" function="0" vbProcedure="0">"c1503"</definedName>
    <definedName name="IQ_PERTYPE" hidden="1" function="0" vbProcedure="0">"c1611"</definedName>
    <definedName name="IQ_PE_EXCL" hidden="1" function="0" vbProcedure="0">"c1028"</definedName>
    <definedName name="IQ_PE_EXCL_AVG" hidden="1" function="0" vbProcedure="0">"c1029"</definedName>
    <definedName name="IQ_PE_EXCL_FWD" hidden="1" function="0" vbProcedure="0">"c1030"</definedName>
    <definedName name="IQ_PE_RATIO" hidden="1" function="0" vbProcedure="0">"c1610"</definedName>
    <definedName name="IQ_PLL" hidden="1" function="0" vbProcedure="0">"c2114"</definedName>
    <definedName name="IQ_POLICY_BENEFITS" hidden="1" function="0" vbProcedure="0">"c1036"</definedName>
    <definedName name="IQ_POLICY_COST" hidden="1" function="0" vbProcedure="0">"c1037"</definedName>
    <definedName name="IQ_POLICY_LIAB" hidden="1" function="0" vbProcedure="0">"c1612"</definedName>
    <definedName name="IQ_POLICY_LOANS" hidden="1" function="0" vbProcedure="0">"c1038"</definedName>
    <definedName name="IQ_POSTPAID_CHURN" hidden="1" function="0" vbProcedure="0">"c2121"</definedName>
    <definedName name="IQ_POSTPAID_SUBS" hidden="1" function="0" vbProcedure="0">"c2118"</definedName>
    <definedName name="IQ_POST_RETIRE_EXP" hidden="1" function="0" vbProcedure="0">"c1039"</definedName>
    <definedName name="IQ_PREF_CONVERT" hidden="1" function="0" vbProcedure="0">"c1041"</definedName>
    <definedName name="IQ_PREF_DIVID" hidden="1" function="0" vbProcedure="0">"c1461"</definedName>
    <definedName name="IQ_PREF_DIV_CF" hidden="1" function="0" vbProcedure="0">"c1042"</definedName>
    <definedName name="IQ_PREF_DIV_OTHER" hidden="1" function="0" vbProcedure="0">"c1043"</definedName>
    <definedName name="IQ_PREF_EQUITY" hidden="1" function="0" vbProcedure="0">"c1044"</definedName>
    <definedName name="IQ_PREF_ISSUED" hidden="1" function="0" vbProcedure="0">"c1045"</definedName>
    <definedName name="IQ_PREF_ISSUED_BNK" hidden="1" function="0" vbProcedure="0">"c1046"</definedName>
    <definedName name="IQ_PREF_ISSUED_BR" hidden="1" function="0" vbProcedure="0">"c1047"</definedName>
    <definedName name="IQ_PREF_ISSUED_FIN" hidden="1" function="0" vbProcedure="0">"c1048"</definedName>
    <definedName name="IQ_PREF_ISSUED_INS" hidden="1" function="0" vbProcedure="0">"c1049"</definedName>
    <definedName name="IQ_PREF_ISSUED_REIT" hidden="1" function="0" vbProcedure="0">"c1050"</definedName>
    <definedName name="IQ_PREF_ISSUED_UTI" hidden="1" function="0" vbProcedure="0">"c1051"</definedName>
    <definedName name="IQ_PREF_NON_REDEEM" hidden="1" function="0" vbProcedure="0">"c1052"</definedName>
    <definedName name="IQ_PREF_OTHER" hidden="1" function="0" vbProcedure="0">"c1053"</definedName>
    <definedName name="IQ_PREF_OTHER_BNK" hidden="1" function="0" vbProcedure="0">"c1054"</definedName>
    <definedName name="IQ_PREF_OTHER_BR" hidden="1" function="0" vbProcedure="0">"c1055"</definedName>
    <definedName name="IQ_PREF_OTHER_FIN" hidden="1" function="0" vbProcedure="0">"c1056"</definedName>
    <definedName name="IQ_PREF_OTHER_INS" hidden="1" function="0" vbProcedure="0">"c1057"</definedName>
    <definedName name="IQ_PREF_OTHER_REIT" hidden="1" function="0" vbProcedure="0">"c1058"</definedName>
    <definedName name="IQ_PREF_REDEEM" hidden="1" function="0" vbProcedure="0">"c1059"</definedName>
    <definedName name="IQ_PREF_REP" hidden="1" function="0" vbProcedure="0">"c1060"</definedName>
    <definedName name="IQ_PREF_REP_BNK" hidden="1" function="0" vbProcedure="0">"c1061"</definedName>
    <definedName name="IQ_PREF_REP_BR" hidden="1" function="0" vbProcedure="0">"c1062"</definedName>
    <definedName name="IQ_PREF_REP_FIN" hidden="1" function="0" vbProcedure="0">"c1063"</definedName>
    <definedName name="IQ_PREF_REP_INS" hidden="1" function="0" vbProcedure="0">"c1064"</definedName>
    <definedName name="IQ_PREF_REP_REIT" hidden="1" function="0" vbProcedure="0">"c1065"</definedName>
    <definedName name="IQ_PREF_REP_UTI" hidden="1" function="0" vbProcedure="0">"c1066"</definedName>
    <definedName name="IQ_PREF_STOCK" hidden="1" function="0" vbProcedure="0">"c1416"</definedName>
    <definedName name="IQ_PREF_TOT" hidden="1" function="0" vbProcedure="0">"c1415"</definedName>
    <definedName name="IQ_PREMIUMS_ANNUITY_REV" hidden="1" function="0" vbProcedure="0">"c1067"</definedName>
    <definedName name="IQ_PREPAID_CHURN" hidden="1" function="0" vbProcedure="0">"c2120"</definedName>
    <definedName name="IQ_PREPAID_EXP" hidden="1" function="0" vbProcedure="0">"c1068"</definedName>
    <definedName name="IQ_PREPAID_EXPEN" hidden="1" function="0" vbProcedure="0">"c1418"</definedName>
    <definedName name="IQ_PREPAID_SUBS" hidden="1" function="0" vbProcedure="0">"c2117"</definedName>
    <definedName name="IQ_PRE_OPEN_COST" hidden="1" function="0" vbProcedure="0">"c1040"</definedName>
    <definedName name="IQ_PRICEDATE" hidden="1" function="0" vbProcedure="0">"c1069"</definedName>
    <definedName name="IQ_PRICE_OVER_BVPS" hidden="1" function="0" vbProcedure="0">"c1412"</definedName>
    <definedName name="IQ_PRICE_OVER_LTM_EPS" hidden="1" function="0" vbProcedure="0">"c1413"</definedName>
    <definedName name="IQ_PRICE_TARGET" hidden="1" function="0" vbProcedure="0">"c82"</definedName>
    <definedName name="IQ_PRICING_DATE" hidden="1" function="0" vbProcedure="0">"c1613"</definedName>
    <definedName name="IQ_PRIMARY_INDUSTRY" hidden="1" function="0" vbProcedure="0">"c1070"</definedName>
    <definedName name="IQ_PROFESSIONAL" hidden="1" function="0" vbProcedure="0">"c1071"</definedName>
    <definedName name="IQ_PROFESSIONAL_TITLE" hidden="1" function="0" vbProcedure="0">"c1072"</definedName>
    <definedName name="IQ_PROPERTY_EXP" hidden="1" function="0" vbProcedure="0">"c1073"</definedName>
    <definedName name="IQ_PROPERTY_GROSS" hidden="1" function="0" vbProcedure="0">"c1379"</definedName>
    <definedName name="IQ_PROPERTY_MGMT_FEE" hidden="1" function="0" vbProcedure="0">"c1074"</definedName>
    <definedName name="IQ_PROPERTY_NET" hidden="1" function="0" vbProcedure="0">"c1402"</definedName>
    <definedName name="IQ_PROVISION_10YR_ANN_GROWTH" hidden="1" function="0" vbProcedure="0">"c1077"</definedName>
    <definedName name="IQ_PROVISION_1YR_ANN_GROWTH" hidden="1" function="0" vbProcedure="0">"c1078"</definedName>
    <definedName name="IQ_PROVISION_2YR_ANN_GROWTH" hidden="1" function="0" vbProcedure="0">"c1079"</definedName>
    <definedName name="IQ_PROVISION_3YR_ANN_GROWTH" hidden="1" function="0" vbProcedure="0">"c1080"</definedName>
    <definedName name="IQ_PROVISION_5YR_ANN_GROWTH" hidden="1" function="0" vbProcedure="0">"c1081"</definedName>
    <definedName name="IQ_PROVISION_7YR_ANN_GROWTH" hidden="1" function="0" vbProcedure="0">"c1082"</definedName>
    <definedName name="IQ_PROVISION_CHARGE_OFFS" hidden="1" function="0" vbProcedure="0">"c1083"</definedName>
    <definedName name="IQ_PROV_BAD_DEBTS" hidden="1" function="0" vbProcedure="0">"c1075"</definedName>
    <definedName name="IQ_PROV_BAD_DEBTS_CF" hidden="1" function="0" vbProcedure="0">"c1076"</definedName>
    <definedName name="IQ_PRO_FORMA_BASIC_EPS" hidden="1" function="0" vbProcedure="0">"c1614"</definedName>
    <definedName name="IQ_PRO_FORMA_DILUT_EPS" hidden="1" function="0" vbProcedure="0">"c1615"</definedName>
    <definedName name="IQ_PRO_FORMA_NET_INC" hidden="1" function="0" vbProcedure="0">"c1452"</definedName>
    <definedName name="IQ_PTBV" hidden="1" function="0" vbProcedure="0">"c1084"</definedName>
    <definedName name="IQ_PTBV_AVG" hidden="1" function="0" vbProcedure="0">"c1085"</definedName>
    <definedName name="IQ_QUICK_RATIO" hidden="1" function="0" vbProcedure="0">"c1086"</definedName>
    <definedName name="IQ_RATE_COMP_GROWTH_DOMESTIC" hidden="1" function="0" vbProcedure="0">"c1087"</definedName>
    <definedName name="IQ_RATE_COMP_GROWTH_FOREIGN" hidden="1" function="0" vbProcedure="0">"c1088"</definedName>
    <definedName name="IQ_RAW_INV" hidden="1" function="0" vbProcedure="0">"c1089"</definedName>
    <definedName name="IQ_RD_EXP" hidden="1" function="0" vbProcedure="0">"c1090"</definedName>
    <definedName name="IQ_RD_EXP_FN" hidden="1" function="0" vbProcedure="0">"c1091"</definedName>
    <definedName name="IQ_RE" hidden="1" function="0" vbProcedure="0">"c1092"</definedName>
    <definedName name="IQ_REAL_ESTATE" hidden="1" function="0" vbProcedure="0">"c1093"</definedName>
    <definedName name="IQ_REAL_ESTATE_ASSETS" hidden="1" function="0" vbProcedure="0">"c1094"</definedName>
    <definedName name="IQ_REDEEM_PREF_STOCK" hidden="1" function="0" vbProcedure="0">"c1417"</definedName>
    <definedName name="IQ_REG_ASSETS" hidden="1" function="0" vbProcedure="0">"c1095"</definedName>
    <definedName name="IQ_REINSURANCE" hidden="1" function="0" vbProcedure="0">"c1100"</definedName>
    <definedName name="IQ_REINSUR_PAY" hidden="1" function="0" vbProcedure="0">"c1096"</definedName>
    <definedName name="IQ_REINSUR_PAY_CF" hidden="1" function="0" vbProcedure="0">"c1097"</definedName>
    <definedName name="IQ_REINSUR_RECOVER" hidden="1" function="0" vbProcedure="0">"c1098"</definedName>
    <definedName name="IQ_REINSUR_RECOVER_CF" hidden="1" function="0" vbProcedure="0">"c1099"</definedName>
    <definedName name="IQ_RENTAL_REV" hidden="1" function="0" vbProcedure="0">"c1101"</definedName>
    <definedName name="IQ_RESEARCH_DEV" hidden="1" function="0" vbProcedure="0">"c1419"</definedName>
    <definedName name="IQ_RESIDENTIAL_LOANS" hidden="1" function="0" vbProcedure="0">"c1102"</definedName>
    <definedName name="IQ_RESTATEMENT_BS" hidden="1" function="0" vbProcedure="0">"c1643"</definedName>
    <definedName name="IQ_RESTATEMENT_CF" hidden="1" function="0" vbProcedure="0">"c1644"</definedName>
    <definedName name="IQ_RESTATEMENT_IS" hidden="1" function="0" vbProcedure="0">"c1642"</definedName>
    <definedName name="IQ_RESTRICTED_CASH" hidden="1" function="0" vbProcedure="0">"c1103"</definedName>
    <definedName name="IQ_RESTRUCTURE" hidden="1" function="0" vbProcedure="0">"c1104"</definedName>
    <definedName name="IQ_RESTRUCTURED_LOANS" hidden="1" function="0" vbProcedure="0">"c1112"</definedName>
    <definedName name="IQ_RESTRUCTURE_BNK" hidden="1" function="0" vbProcedure="0">"c1105"</definedName>
    <definedName name="IQ_RESTRUCTURE_BR" hidden="1" function="0" vbProcedure="0">"c1106"</definedName>
    <definedName name="IQ_RESTRUCTURE_CF" hidden="1" function="0" vbProcedure="0">"c1107"</definedName>
    <definedName name="IQ_RESTRUCTURE_FIN" hidden="1" function="0" vbProcedure="0">"c1108"</definedName>
    <definedName name="IQ_RESTRUCTURE_INS" hidden="1" function="0" vbProcedure="0">"c1109"</definedName>
    <definedName name="IQ_RESTRUCTURE_REIT" hidden="1" function="0" vbProcedure="0">"c1110"</definedName>
    <definedName name="IQ_RESTRUCTURE_UTI" hidden="1" function="0" vbProcedure="0">"c1111"</definedName>
    <definedName name="IQ_RETAIL_AVG_STORE_SIZE_GROSS" hidden="1" function="0" vbProcedure="0">"c2066"</definedName>
    <definedName name="IQ_RETAIL_AVG_STORE_SIZE_NET" hidden="1" function="0" vbProcedure="0">"c2067"</definedName>
    <definedName name="IQ_RETAIL_CLOSED_STORES" hidden="1" function="0" vbProcedure="0">"c2063"</definedName>
    <definedName name="IQ_RETAIL_OPENED_STORES" hidden="1" function="0" vbProcedure="0">"c2062"</definedName>
    <definedName name="IQ_RETAIL_SALES_SQFT_ALL_GROSS" hidden="1" function="0" vbProcedure="0">"c2138"</definedName>
    <definedName name="IQ_RETAIL_SALES_SQFT_ALL_NET" hidden="1" function="0" vbProcedure="0">"c2139"</definedName>
    <definedName name="IQ_RETAIL_SALES_SQFT_COMPARABLE_GROSS" hidden="1" function="0" vbProcedure="0">"c2136"</definedName>
    <definedName name="IQ_RETAIL_SALES_SQFT_COMPARABLE_NET" hidden="1" function="0" vbProcedure="0">"c2137"</definedName>
    <definedName name="IQ_RETAIL_SALES_SQFT_OWNED_GROSS" hidden="1" function="0" vbProcedure="0">"c2134"</definedName>
    <definedName name="IQ_RETAIL_SALES_SQFT_OWNED_NET" hidden="1" function="0" vbProcedure="0">"c2135"</definedName>
    <definedName name="IQ_RETAIL_SQ_FOOTAGE" hidden="1" function="0" vbProcedure="0">"c2064"</definedName>
    <definedName name="IQ_RETAIL_STORE_SELLING_AREA" hidden="1" function="0" vbProcedure="0">"c2065"</definedName>
    <definedName name="IQ_RETAIL_TOTAL_STORES" hidden="1" function="0" vbProcedure="0">"c2061"</definedName>
    <definedName name="IQ_RETAINED_EARN" hidden="1" function="0" vbProcedure="0">"c1420"</definedName>
    <definedName name="IQ_RETURN_ASSETS" hidden="1" function="0" vbProcedure="0">"c1113"</definedName>
    <definedName name="IQ_RETURN_ASSETS_BANK" hidden="1" function="0" vbProcedure="0">"c1114"</definedName>
    <definedName name="IQ_RETURN_ASSETS_BROK" hidden="1" function="0" vbProcedure="0">"c1115"</definedName>
    <definedName name="IQ_RETURN_ASSETS_FS" hidden="1" function="0" vbProcedure="0">"c1116"</definedName>
    <definedName name="IQ_RETURN_CAPITAL" hidden="1" function="0" vbProcedure="0">"c1117"</definedName>
    <definedName name="IQ_RETURN_EQUITY" hidden="1" function="0" vbProcedure="0">"c1118"</definedName>
    <definedName name="IQ_RETURN_EQUITY_BANK" hidden="1" function="0" vbProcedure="0">"c1119"</definedName>
    <definedName name="IQ_RETURN_EQUITY_BROK" hidden="1" function="0" vbProcedure="0">"c1120"</definedName>
    <definedName name="IQ_RETURN_EQUITY_FS" hidden="1" function="0" vbProcedure="0">"c1121"</definedName>
    <definedName name="IQ_RETURN_INVESTMENT" hidden="1" function="0" vbProcedure="0">"c1421"</definedName>
    <definedName name="IQ_REV" hidden="1" function="0" vbProcedure="0">"c1122"</definedName>
    <definedName name="IQ_REVENUE" hidden="1" function="0" vbProcedure="0">"c1422"</definedName>
    <definedName name="IQ_REV_BEFORE_LL" hidden="1" function="0" vbProcedure="0">"c1123"</definedName>
    <definedName name="IQ_REV_UTI" hidden="1" function="0" vbProcedure="0">"c1125"</definedName>
    <definedName name="IQ_SALARY" hidden="1" function="0" vbProcedure="0">"c1130"</definedName>
    <definedName name="IQ_SALE_INTAN_CF" hidden="1" function="0" vbProcedure="0">"c1131"</definedName>
    <definedName name="IQ_SALE_INTAN_CF_BNK" hidden="1" function="0" vbProcedure="0">"c1132"</definedName>
    <definedName name="IQ_SALE_INTAN_CF_BR" hidden="1" function="0" vbProcedure="0">"c1133"</definedName>
    <definedName name="IQ_SALE_INTAN_CF_FIN" hidden="1" function="0" vbProcedure="0">"c1134"</definedName>
    <definedName name="IQ_SALE_INTAN_CF_INS" hidden="1" function="0" vbProcedure="0">"c1135"</definedName>
    <definedName name="IQ_SALE_INTAN_CF_REIT" hidden="1" function="0" vbProcedure="0">"c1627"</definedName>
    <definedName name="IQ_SALE_INTAN_CF_UTI" hidden="1" function="0" vbProcedure="0">"c1136"</definedName>
    <definedName name="IQ_SALE_PPE_CF" hidden="1" function="0" vbProcedure="0">"c1137"</definedName>
    <definedName name="IQ_SALE_PPE_CF_BNK" hidden="1" function="0" vbProcedure="0">"c1138"</definedName>
    <definedName name="IQ_SALE_PPE_CF_BR" hidden="1" function="0" vbProcedure="0">"c1139"</definedName>
    <definedName name="IQ_SALE_PPE_CF_FIN" hidden="1" function="0" vbProcedure="0">"c1140"</definedName>
    <definedName name="IQ_SALE_PPE_CF_INS" hidden="1" function="0" vbProcedure="0">"c1141"</definedName>
    <definedName name="IQ_SALE_PPE_CF_UTI" hidden="1" function="0" vbProcedure="0">"c1142"</definedName>
    <definedName name="IQ_SALE_REAL_ESTATE_CF" hidden="1" function="0" vbProcedure="0">"c1143"</definedName>
    <definedName name="IQ_SALE_REAL_ESTATE_CF_BNK" hidden="1" function="0" vbProcedure="0">"c1144"</definedName>
    <definedName name="IQ_SALE_REAL_ESTATE_CF_BR" hidden="1" function="0" vbProcedure="0">"c1145"</definedName>
    <definedName name="IQ_SALE_REAL_ESTATE_CF_FIN" hidden="1" function="0" vbProcedure="0">"c1146"</definedName>
    <definedName name="IQ_SALE_REAL_ESTATE_CF_INS" hidden="1" function="0" vbProcedure="0">"c1147"</definedName>
    <definedName name="IQ_SALE_REAL_ESTATE_CF_UTI" hidden="1" function="0" vbProcedure="0">"c1148"</definedName>
    <definedName name="IQ_SALE_RE_ASSETS" hidden="1" function="0" vbProcedure="0">"c1629"</definedName>
    <definedName name="IQ_SAME_STORE" hidden="1" function="0" vbProcedure="0">"c1149"</definedName>
    <definedName name="IQ_SAVING_DEP" hidden="1" function="0" vbProcedure="0">"c1150"</definedName>
    <definedName name="IQ_SECURITY_BORROW" hidden="1" function="0" vbProcedure="0">"c1152"</definedName>
    <definedName name="IQ_SECURITY_OWN" hidden="1" function="0" vbProcedure="0">"c1153"</definedName>
    <definedName name="IQ_SECURITY_RESELL" hidden="1" function="0" vbProcedure="0">"c1154"</definedName>
    <definedName name="IQ_SECUR_RECEIV" hidden="1" function="0" vbProcedure="0">"c1151"</definedName>
    <definedName name="IQ_SEPARATE_ACCT_ASSETS" hidden="1" function="0" vbProcedure="0">"c1155"</definedName>
    <definedName name="IQ_SEPARATE_ACCT_LIAB" hidden="1" function="0" vbProcedure="0">"c1156"</definedName>
    <definedName name="IQ_SERV_CHARGE_DEPOSITS" hidden="1" function="0" vbProcedure="0">"c1157"</definedName>
    <definedName name="IQ_SGA" hidden="1" function="0" vbProcedure="0">"c1158"</definedName>
    <definedName name="IQ_SGA_BNK" hidden="1" function="0" vbProcedure="0">"c1159"</definedName>
    <definedName name="IQ_SGA_INS" hidden="1" function="0" vbProcedure="0">"c1160"</definedName>
    <definedName name="IQ_SGA_MARGIN" hidden="1" function="0" vbProcedure="0">"c1898"</definedName>
    <definedName name="IQ_SGA_REIT" hidden="1" function="0" vbProcedure="0">"c1161"</definedName>
    <definedName name="IQ_SGA_SUPPL" hidden="1" function="0" vbProcedure="0">"c1162"</definedName>
    <definedName name="IQ_SGA_UTI" hidden="1" function="0" vbProcedure="0">"c1163"</definedName>
    <definedName name="IQ_SHAREOUTSTANDING" hidden="1" function="0" vbProcedure="0">"c1347"</definedName>
    <definedName name="IQ_SHARESOUTSTANDING" hidden="1" function="0" vbProcedure="0">"c1164"</definedName>
    <definedName name="IQ_SHORT_INTEREST" hidden="1" function="0" vbProcedure="0">"c1165"</definedName>
    <definedName name="IQ_SHORT_INTEREST_OVER_FLOAT" hidden="1" function="0" vbProcedure="0">"c1577"</definedName>
    <definedName name="IQ_SHORT_INTEREST_PERCENT" hidden="1" function="0" vbProcedure="0">"c1576"</definedName>
    <definedName name="IQ_SHORT_TERM_INVEST" hidden="1" function="0" vbProcedure="0">"c1425"</definedName>
    <definedName name="IQ_SMALL_INT_BEAR_CD" hidden="1" function="0" vbProcedure="0">"c1166"</definedName>
    <definedName name="IQ_SOFTWARE" hidden="1" function="0" vbProcedure="0">"c1167"</definedName>
    <definedName name="IQ_SOURCE" hidden="1" function="0" vbProcedure="0">"c1168"</definedName>
    <definedName name="IQ_SPECIAL_DIV_CF" hidden="1" function="0" vbProcedure="0">"c1169"</definedName>
    <definedName name="IQ_SPECIAL_DIV_CF_BNK" hidden="1" function="0" vbProcedure="0">"c1170"</definedName>
    <definedName name="IQ_SPECIAL_DIV_CF_BR" hidden="1" function="0" vbProcedure="0">"c1171"</definedName>
    <definedName name="IQ_SPECIAL_DIV_CF_FIN" hidden="1" function="0" vbProcedure="0">"c1172"</definedName>
    <definedName name="IQ_SPECIAL_DIV_CF_INS" hidden="1" function="0" vbProcedure="0">"c1173"</definedName>
    <definedName name="IQ_SPECIAL_DIV_CF_REIT" hidden="1" function="0" vbProcedure="0">"c1174"</definedName>
    <definedName name="IQ_SPECIAL_DIV_CF_UTI" hidden="1" function="0" vbProcedure="0">"c1175"</definedName>
    <definedName name="IQ_STATE" hidden="1" function="0" vbProcedure="0">"c1200"</definedName>
    <definedName name="IQ_STATUTORY_SURPLUS" hidden="1" function="0" vbProcedure="0">"c1201"</definedName>
    <definedName name="IQ_STOCK_BASED" hidden="1" function="0" vbProcedure="0">"c1202"</definedName>
    <definedName name="IQ_STOCK_BASED_CF" hidden="1" function="0" vbProcedure="0">"c1203"</definedName>
    <definedName name="IQ_STRIKE_PRICE_ISSUED" hidden="1" function="0" vbProcedure="0">"c1645"</definedName>
    <definedName name="IQ_STRIKE_PRICE_OS" hidden="1" function="0" vbProcedure="0">"c1646"</definedName>
    <definedName name="IQ_ST_DEBT" hidden="1" function="0" vbProcedure="0">"c1176"</definedName>
    <definedName name="IQ_ST_DEBT_BNK" hidden="1" function="0" vbProcedure="0">"c1177"</definedName>
    <definedName name="IQ_ST_DEBT_BR" hidden="1" function="0" vbProcedure="0">"c1178"</definedName>
    <definedName name="IQ_ST_DEBT_FIN" hidden="1" function="0" vbProcedure="0">"c1179"</definedName>
    <definedName name="IQ_ST_DEBT_INS" hidden="1" function="0" vbProcedure="0">"c1180"</definedName>
    <definedName name="IQ_ST_DEBT_ISSUED" hidden="1" function="0" vbProcedure="0">"c1181"</definedName>
    <definedName name="IQ_ST_DEBT_ISSUED_BNK" hidden="1" function="0" vbProcedure="0">"c1182"</definedName>
    <definedName name="IQ_ST_DEBT_ISSUED_BR" hidden="1" function="0" vbProcedure="0">"c1183"</definedName>
    <definedName name="IQ_ST_DEBT_ISSUED_FIN" hidden="1" function="0" vbProcedure="0">"c1184"</definedName>
    <definedName name="IQ_ST_DEBT_ISSUED_INS" hidden="1" function="0" vbProcedure="0">"c1185"</definedName>
    <definedName name="IQ_ST_DEBT_ISSUED_REIT" hidden="1" function="0" vbProcedure="0">"c1186"</definedName>
    <definedName name="IQ_ST_DEBT_ISSUED_UTI" hidden="1" function="0" vbProcedure="0">"c1187"</definedName>
    <definedName name="IQ_ST_DEBT_REIT" hidden="1" function="0" vbProcedure="0">"c1188"</definedName>
    <definedName name="IQ_ST_DEBT_REPAID" hidden="1" function="0" vbProcedure="0">"c1189"</definedName>
    <definedName name="IQ_ST_DEBT_REPAID_BNK" hidden="1" function="0" vbProcedure="0">"c1190"</definedName>
    <definedName name="IQ_ST_DEBT_REPAID_BR" hidden="1" function="0" vbProcedure="0">"c1191"</definedName>
    <definedName name="IQ_ST_DEBT_REPAID_FIN" hidden="1" function="0" vbProcedure="0">"c1192"</definedName>
    <definedName name="IQ_ST_DEBT_REPAID_INS" hidden="1" function="0" vbProcedure="0">"c1193"</definedName>
    <definedName name="IQ_ST_DEBT_REPAID_REIT" hidden="1" function="0" vbProcedure="0">"c1194"</definedName>
    <definedName name="IQ_ST_DEBT_REPAID_UTI" hidden="1" function="0" vbProcedure="0">"c1195"</definedName>
    <definedName name="IQ_ST_DEBT_UTI" hidden="1" function="0" vbProcedure="0">"c1196"</definedName>
    <definedName name="IQ_ST_INVEST" hidden="1" function="0" vbProcedure="0">"c1197"</definedName>
    <definedName name="IQ_ST_INVEST_UTI" hidden="1" function="0" vbProcedure="0">"c1198"</definedName>
    <definedName name="IQ_ST_NOTE_RECEIV" hidden="1" function="0" vbProcedure="0">"c1199"</definedName>
    <definedName name="IQ_SUB_LEASE_AFTER_FIVE" hidden="1" function="0" vbProcedure="0">"c1207"</definedName>
    <definedName name="IQ_SUB_LEASE_INC_CY" hidden="1" function="0" vbProcedure="0">"c1208"</definedName>
    <definedName name="IQ_SUB_LEASE_INC_CY1" hidden="1" function="0" vbProcedure="0">"c1209"</definedName>
    <definedName name="IQ_SUB_LEASE_INC_CY2" hidden="1" function="0" vbProcedure="0">"c1210"</definedName>
    <definedName name="IQ_SUB_LEASE_INC_CY3" hidden="1" function="0" vbProcedure="0">"c1211"</definedName>
    <definedName name="IQ_SUB_LEASE_INC_CY4" hidden="1" function="0" vbProcedure="0">"c1212"</definedName>
    <definedName name="IQ_SUB_LEASE_NEXT_FIVE" hidden="1" function="0" vbProcedure="0">"c1213"</definedName>
    <definedName name="IQ_SVA" hidden="1" function="0" vbProcedure="0">"c1214"</definedName>
    <definedName name="IQ_TAX_BENEFIT_OPTIONS" hidden="1" function="0" vbProcedure="0">"c1215"</definedName>
    <definedName name="IQ_TAX_EQUIV_NET_INT_INC" hidden="1" function="0" vbProcedure="0">"c1216"</definedName>
    <definedName name="IQ_TBV" hidden="1" function="0" vbProcedure="0">"c1906"</definedName>
    <definedName name="IQ_TBV_10YR_ANN_GROWTH" hidden="1" function="0" vbProcedure="0">"c1936"</definedName>
    <definedName name="IQ_TBV_1YR_ANN_GROWTH" hidden="1" function="0" vbProcedure="0">"c1931"</definedName>
    <definedName name="IQ_TBV_2YR_ANN_GROWTH" hidden="1" function="0" vbProcedure="0">"c1932"</definedName>
    <definedName name="IQ_TBV_3YR_ANN_GROWTH" hidden="1" function="0" vbProcedure="0">"c1933"</definedName>
    <definedName name="IQ_TBV_5YR_ANN_GROWTH" hidden="1" function="0" vbProcedure="0">"c1934"</definedName>
    <definedName name="IQ_TBV_7YR_ANN_GROWTH" hidden="1" function="0" vbProcedure="0">"c1935"</definedName>
    <definedName name="IQ_TBV_SHARE" hidden="1" function="0" vbProcedure="0">"c1217"</definedName>
    <definedName name="IQ_TEMPLATE" hidden="1" function="0" vbProcedure="0">"c1521"</definedName>
    <definedName name="IQ_TENANT" hidden="1" function="0" vbProcedure="0">"c1218"</definedName>
    <definedName name="IQ_TEV" hidden="1" function="0" vbProcedure="0">"c1219"</definedName>
    <definedName name="IQ_TEV_EBIT" hidden="1" function="0" vbProcedure="0">"c1220"</definedName>
    <definedName name="IQ_TEV_EBITDA" hidden="1" function="0" vbProcedure="0">"c1222"</definedName>
    <definedName name="IQ_TEV_EBITDA_AVG" hidden="1" function="0" vbProcedure="0">"c1223"</definedName>
    <definedName name="IQ_TEV_EBIT_AVG" hidden="1" function="0" vbProcedure="0">"c1221"</definedName>
    <definedName name="IQ_TEV_EMPLOYEE_AVG" hidden="1" function="0" vbProcedure="0">"c1225"</definedName>
    <definedName name="IQ_TEV_TOTAL_REV" hidden="1" function="0" vbProcedure="0">"c1226"</definedName>
    <definedName name="IQ_TEV_TOTAL_REV_AVG" hidden="1" function="0" vbProcedure="0">"c1227"</definedName>
    <definedName name="IQ_TIER_ONE_RATIO" hidden="1" function="0" vbProcedure="0">"c1229"</definedName>
    <definedName name="IQ_TIME_DEP" hidden="1" function="0" vbProcedure="0">"c1230"</definedName>
    <definedName name="IQ_TODAY" hidden="1" function="0" vbProcedure="0">0</definedName>
    <definedName name="IQ_TOTAL_AR_BR" hidden="1" function="0" vbProcedure="0">"c1231"</definedName>
    <definedName name="IQ_TOTAL_AR_REIT" hidden="1" function="0" vbProcedure="0">"c1232"</definedName>
    <definedName name="IQ_TOTAL_AR_UTI" hidden="1" function="0" vbProcedure="0">"c1233"</definedName>
    <definedName name="IQ_TOTAL_ASSETS" hidden="1" function="0" vbProcedure="0">"c1234"</definedName>
    <definedName name="IQ_TOTAL_ASSETS_10YR_ANN_GROWTH" hidden="1" function="0" vbProcedure="0">"c1235"</definedName>
    <definedName name="IQ_TOTAL_ASSETS_1YR_ANN_GROWTH" hidden="1" function="0" vbProcedure="0">"c1236"</definedName>
    <definedName name="IQ_TOTAL_ASSETS_2YR_ANN_GROWTH" hidden="1" function="0" vbProcedure="0">"c1237"</definedName>
    <definedName name="IQ_TOTAL_ASSETS_3YR_ANN_GROWTH" hidden="1" function="0" vbProcedure="0">"c1238"</definedName>
    <definedName name="IQ_TOTAL_ASSETS_5YR_ANN_GROWTH" hidden="1" function="0" vbProcedure="0">"c1239"</definedName>
    <definedName name="IQ_TOTAL_ASSETS_7YR_ANN_GROWTH" hidden="1" function="0" vbProcedure="0">"c1240"</definedName>
    <definedName name="IQ_TOTAL_AVG_CE_TOTAL_AVG_ASSETS" hidden="1" function="0" vbProcedure="0">"c1241"</definedName>
    <definedName name="IQ_TOTAL_AVG_EQUITY_TOTAL_AVG_ASSETS" hidden="1" function="0" vbProcedure="0">"c1242"</definedName>
    <definedName name="IQ_TOTAL_CA" hidden="1" function="0" vbProcedure="0">"c1243"</definedName>
    <definedName name="IQ_TOTAL_CAP" hidden="1" function="0" vbProcedure="0">"c1507"</definedName>
    <definedName name="IQ_TOTAL_CAPITAL_RATIO" hidden="1" function="0" vbProcedure="0">"c1244"</definedName>
    <definedName name="IQ_TOTAL_CASH_DIVID" hidden="1" function="0" vbProcedure="0">"c1455"</definedName>
    <definedName name="IQ_TOTAL_CASH_FINAN" hidden="1" function="0" vbProcedure="0">"c1352"</definedName>
    <definedName name="IQ_TOTAL_CASH_INVEST" hidden="1" function="0" vbProcedure="0">"c1353"</definedName>
    <definedName name="IQ_TOTAL_CASH_OPER" hidden="1" function="0" vbProcedure="0">"c1354"</definedName>
    <definedName name="IQ_TOTAL_CHURN" hidden="1" function="0" vbProcedure="0">"c2122"</definedName>
    <definedName name="IQ_TOTAL_CL" hidden="1" function="0" vbProcedure="0">"c1245"</definedName>
    <definedName name="IQ_TOTAL_COMMON" hidden="1" function="0" vbProcedure="0">"c1411"</definedName>
    <definedName name="IQ_TOTAL_COMMON_EQUITY" hidden="1" function="0" vbProcedure="0">"c1246"</definedName>
    <definedName name="IQ_TOTAL_CURRENT_ASSETS" hidden="1" function="0" vbProcedure="0">"c1430"</definedName>
    <definedName name="IQ_TOTAL_CURRENT_LIAB" hidden="1" function="0" vbProcedure="0">"c1431"</definedName>
    <definedName name="IQ_TOTAL_DEBT" hidden="1" function="0" vbProcedure="0">"c1247"</definedName>
    <definedName name="IQ_TOTAL_DEBT_CAPITAL" hidden="1" function="0" vbProcedure="0">"c1248"</definedName>
    <definedName name="IQ_TOTAL_DEBT_EBITDA" hidden="1" function="0" vbProcedure="0">"c1249"</definedName>
    <definedName name="IQ_TOTAL_DEBT_EQUITY" hidden="1" function="0" vbProcedure="0">"c1250"</definedName>
    <definedName name="IQ_TOTAL_DEBT_ISSUED" hidden="1" function="0" vbProcedure="0">"c1251"</definedName>
    <definedName name="IQ_TOTAL_DEBT_ISSUED_BNK" hidden="1" function="0" vbProcedure="0">"c1252"</definedName>
    <definedName name="IQ_TOTAL_DEBT_ISSUED_BR" hidden="1" function="0" vbProcedure="0">"c1253"</definedName>
    <definedName name="IQ_TOTAL_DEBT_ISSUED_FIN" hidden="1" function="0" vbProcedure="0">"c1254"</definedName>
    <definedName name="IQ_TOTAL_DEBT_ISSUED_REIT" hidden="1" function="0" vbProcedure="0">"c1255"</definedName>
    <definedName name="IQ_TOTAL_DEBT_ISSUED_UTI" hidden="1" function="0" vbProcedure="0">"c1256"</definedName>
    <definedName name="IQ_TOTAL_DEBT_ISSUES_INS" hidden="1" function="0" vbProcedure="0">"c1257"</definedName>
    <definedName name="IQ_TOTAL_DEBT_OVER_EBITDA" hidden="1" function="0" vbProcedure="0">"c1433"</definedName>
    <definedName name="IQ_TOTAL_DEBT_OVER_TOTAL_BV" hidden="1" function="0" vbProcedure="0">"c1434"</definedName>
    <definedName name="IQ_TOTAL_DEBT_OVER_TOTAL_CAP" hidden="1" function="0" vbProcedure="0">"c1432"</definedName>
    <definedName name="IQ_TOTAL_DEBT_REPAID" hidden="1" function="0" vbProcedure="0">"c1258"</definedName>
    <definedName name="IQ_TOTAL_DEBT_REPAID_BNK" hidden="1" function="0" vbProcedure="0">"c1259"</definedName>
    <definedName name="IQ_TOTAL_DEBT_REPAID_BR" hidden="1" function="0" vbProcedure="0">"c1260"</definedName>
    <definedName name="IQ_TOTAL_DEBT_REPAID_FIN" hidden="1" function="0" vbProcedure="0">"c1261"</definedName>
    <definedName name="IQ_TOTAL_DEBT_REPAID_INS" hidden="1" function="0" vbProcedure="0">"c1262"</definedName>
    <definedName name="IQ_TOTAL_DEBT_REPAID_REIT" hidden="1" function="0" vbProcedure="0">"c1263"</definedName>
    <definedName name="IQ_TOTAL_DEBT_REPAID_UTI" hidden="1" function="0" vbProcedure="0">"c1264"</definedName>
    <definedName name="IQ_TOTAL_DEPOSITS" hidden="1" function="0" vbProcedure="0">"c1265"</definedName>
    <definedName name="IQ_TOTAL_DIV_PAID_CF" hidden="1" function="0" vbProcedure="0">"c1266"</definedName>
    <definedName name="IQ_TOTAL_EMPLOYEES" hidden="1" function="0" vbProcedure="0">"c1522"</definedName>
    <definedName name="IQ_TOTAL_EQUITY" hidden="1" function="0" vbProcedure="0">"c1267"</definedName>
    <definedName name="IQ_TOTAL_EQUITY_10YR_ANN_GROWTH" hidden="1" function="0" vbProcedure="0">"c1268"</definedName>
    <definedName name="IQ_TOTAL_EQUITY_1YR_ANN_GROWTH" hidden="1" function="0" vbProcedure="0">"c1269"</definedName>
    <definedName name="IQ_TOTAL_EQUITY_2YR_ANN_GROWTH" hidden="1" function="0" vbProcedure="0">"c1270"</definedName>
    <definedName name="IQ_TOTAL_EQUITY_3YR_ANN_GROWTH" hidden="1" function="0" vbProcedure="0">"c1271"</definedName>
    <definedName name="IQ_TOTAL_EQUITY_5YR_ANN_GROWTH" hidden="1" function="0" vbProcedure="0">"c1272"</definedName>
    <definedName name="IQ_TOTAL_EQUITY_7YR_ANN_GROWTH" hidden="1" function="0" vbProcedure="0">"c1273"</definedName>
    <definedName name="IQ_TOTAL_EQUITY_ALLOWANCE_TOTAL_LOANS" hidden="1" function="0" vbProcedure="0">"c1274"</definedName>
    <definedName name="IQ_TOTAL_INTEREST_EXP" hidden="1" function="0" vbProcedure="0">"c1382"</definedName>
    <definedName name="IQ_TOTAL_INVENTORY" hidden="1" function="0" vbProcedure="0">"c1385"</definedName>
    <definedName name="IQ_TOTAL_INVEST" hidden="1" function="0" vbProcedure="0">"c1275"</definedName>
    <definedName name="IQ_TOTAL_LIAB" hidden="1" function="0" vbProcedure="0">"c1276"</definedName>
    <definedName name="IQ_TOTAL_LIAB_BNK" hidden="1" function="0" vbProcedure="0">"c1277"</definedName>
    <definedName name="IQ_TOTAL_LIAB_BR" hidden="1" function="0" vbProcedure="0">"c1278"</definedName>
    <definedName name="IQ_TOTAL_LIAB_EQUITY" hidden="1" function="0" vbProcedure="0">"c1279"</definedName>
    <definedName name="IQ_TOTAL_LIAB_FIN" hidden="1" function="0" vbProcedure="0">"c1280"</definedName>
    <definedName name="IQ_TOTAL_LIAB_INS" hidden="1" function="0" vbProcedure="0">"c1281"</definedName>
    <definedName name="IQ_TOTAL_LIAB_REIT" hidden="1" function="0" vbProcedure="0">"c1282"</definedName>
    <definedName name="IQ_TOTAL_LIAB_SHAREHOLD" hidden="1" function="0" vbProcedure="0">"c1435"</definedName>
    <definedName name="IQ_TOTAL_LIAB_TOTAL_ASSETS" hidden="1" function="0" vbProcedure="0">"c1283"</definedName>
    <definedName name="IQ_TOTAL_LONG_DEBT" hidden="1" function="0" vbProcedure="0">"c1617"</definedName>
    <definedName name="IQ_TOTAL_NON_REC" hidden="1" function="0" vbProcedure="0">"c1444"</definedName>
    <definedName name="IQ_TOTAL_OPER_EXPEN" hidden="1" function="0" vbProcedure="0">"c1445"</definedName>
    <definedName name="IQ_TOTAL_OPER_EXP_BR" hidden="1" function="0" vbProcedure="0">"c1284"</definedName>
    <definedName name="IQ_TOTAL_OPER_EXP_FIN" hidden="1" function="0" vbProcedure="0">"c1285"</definedName>
    <definedName name="IQ_TOTAL_OPER_EXP_INS" hidden="1" function="0" vbProcedure="0">"c1286"</definedName>
    <definedName name="IQ_TOTAL_OPER_EXP_REIT" hidden="1" function="0" vbProcedure="0">"c1287"</definedName>
    <definedName name="IQ_TOTAL_OPER_EXP_UTI" hidden="1" function="0" vbProcedure="0">"c1288"</definedName>
    <definedName name="IQ_TOTAL_OTHER_OPER" hidden="1" function="0" vbProcedure="0">"c1289"</definedName>
    <definedName name="IQ_TOTAL_OUTSTANDING_BS_DATE" hidden="1" function="0" vbProcedure="0">"c1022"</definedName>
    <definedName name="IQ_TOTAL_OUTSTANDING_FILING_DATE" hidden="1" function="0" vbProcedure="0">"c2107"</definedName>
    <definedName name="IQ_TOTAL_PENSION_ASSETS" hidden="1" function="0" vbProcedure="0">"c1290"</definedName>
    <definedName name="IQ_TOTAL_PENSION_EXP" hidden="1" function="0" vbProcedure="0">"c1291"</definedName>
    <definedName name="IQ_TOTAL_PENSION_OBLIGATION" hidden="1" function="0" vbProcedure="0">"c1292"</definedName>
    <definedName name="IQ_TOTAL_PROVED_RESERVES_OIL" hidden="1" function="0" vbProcedure="0">"c2040"</definedName>
    <definedName name="IQ_TOTAL_RECEIV" hidden="1" function="0" vbProcedure="0">"c1293"</definedName>
    <definedName name="IQ_TOTAL_REV" hidden="1" function="0" vbProcedure="0">"c1294"</definedName>
    <definedName name="IQ_TOTAL_REVENUE" hidden="1" function="0" vbProcedure="0">"c1436"</definedName>
    <definedName name="IQ_TOTAL_REV_10YR_ANN_GROWTH" hidden="1" function="0" vbProcedure="0">"c1295"</definedName>
    <definedName name="IQ_TOTAL_REV_1YR_ANN_GROWTH" hidden="1" function="0" vbProcedure="0">"c1296"</definedName>
    <definedName name="IQ_TOTAL_REV_2YR_ANN_GROWTH" hidden="1" function="0" vbProcedure="0">"c1297"</definedName>
    <definedName name="IQ_TOTAL_REV_3YR_ANN_GROWTH" hidden="1" function="0" vbProcedure="0">"c1298"</definedName>
    <definedName name="IQ_TOTAL_REV_5YR_ANN_GROWTH" hidden="1" function="0" vbProcedure="0">"c1299"</definedName>
    <definedName name="IQ_TOTAL_REV_7YR_ANN_GROWTH" hidden="1" function="0" vbProcedure="0">"c1300"</definedName>
    <definedName name="IQ_TOTAL_REV_AS_REPORTED" hidden="1" function="0" vbProcedure="0">"c1301"</definedName>
    <definedName name="IQ_TOTAL_REV_BNK" hidden="1" function="0" vbProcedure="0">"c1302"</definedName>
    <definedName name="IQ_TOTAL_REV_BR" hidden="1" function="0" vbProcedure="0">"c1303"</definedName>
    <definedName name="IQ_TOTAL_REV_EMPLOYEE" hidden="1" function="0" vbProcedure="0">"c1304"</definedName>
    <definedName name="IQ_TOTAL_REV_FIN" hidden="1" function="0" vbProcedure="0">"c1305"</definedName>
    <definedName name="IQ_TOTAL_REV_INS" hidden="1" function="0" vbProcedure="0">"c1306"</definedName>
    <definedName name="IQ_TOTAL_REV_REIT" hidden="1" function="0" vbProcedure="0">"c1307"</definedName>
    <definedName name="IQ_TOTAL_REV_SHARE" hidden="1" function="0" vbProcedure="0">"c1912"</definedName>
    <definedName name="IQ_TOTAL_REV_UTI" hidden="1" function="0" vbProcedure="0">"c1308"</definedName>
    <definedName name="IQ_TOTAL_SPECIAL" hidden="1" function="0" vbProcedure="0">"c1618"</definedName>
    <definedName name="IQ_TOTAL_ST_BORROW" hidden="1" function="0" vbProcedure="0">"c1424"</definedName>
    <definedName name="IQ_TOTAL_SUBS" hidden="1" function="0" vbProcedure="0">"c2119"</definedName>
    <definedName name="IQ_TOTAL_UNUSUAL" hidden="1" function="0" vbProcedure="0">"c1508"</definedName>
    <definedName name="IQ_TOT_ADJ_INC" hidden="1" function="0" vbProcedure="0">"c1616"</definedName>
    <definedName name="IQ_TRADE_AR" hidden="1" function="0" vbProcedure="0">"c1345"</definedName>
    <definedName name="IQ_TRADE_PRINCIPAL" hidden="1" function="0" vbProcedure="0">"c1309"</definedName>
    <definedName name="IQ_TRADING_ASSETS" hidden="1" function="0" vbProcedure="0">"c1310"</definedName>
    <definedName name="IQ_TREASURY" hidden="1" function="0" vbProcedure="0">"c1311"</definedName>
    <definedName name="IQ_TREASURY_OTHER_EQUITY" hidden="1" function="0" vbProcedure="0">"c1312"</definedName>
    <definedName name="IQ_TREASURY_OTHER_EQUITY_BNK" hidden="1" function="0" vbProcedure="0">"c1313"</definedName>
    <definedName name="IQ_TREASURY_OTHER_EQUITY_BR" hidden="1" function="0" vbProcedure="0">"c1314"</definedName>
    <definedName name="IQ_TREASURY_OTHER_EQUITY_FIN" hidden="1" function="0" vbProcedure="0">"c1315"</definedName>
    <definedName name="IQ_TREASURY_OTHER_EQUITY_INS" hidden="1" function="0" vbProcedure="0">"c1316"</definedName>
    <definedName name="IQ_TREASURY_OTHER_EQUITY_REIT" hidden="1" function="0" vbProcedure="0">"c1317"</definedName>
    <definedName name="IQ_TREASURY_OTHER_EQUITY_UTI" hidden="1" function="0" vbProcedure="0">"c1318"</definedName>
    <definedName name="IQ_TREASURY_STOCK" hidden="1" function="0" vbProcedure="0">"c1438"</definedName>
    <definedName name="IQ_TRUST_INC" hidden="1" function="0" vbProcedure="0">"c1319"</definedName>
    <definedName name="IQ_TRUST_PREF" hidden="1" function="0" vbProcedure="0">"c1320"</definedName>
    <definedName name="IQ_UFCF_10YR_ANN_GROWTH" hidden="1" function="0" vbProcedure="0">"c1948"</definedName>
    <definedName name="IQ_UFCF_1YR_ANN_GROWTH" hidden="1" function="0" vbProcedure="0">"c1943"</definedName>
    <definedName name="IQ_UFCF_2YR_ANN_GROWTH" hidden="1" function="0" vbProcedure="0">"c1944"</definedName>
    <definedName name="IQ_UFCF_3YR_ANN_GROWTH" hidden="1" function="0" vbProcedure="0">"c1945"</definedName>
    <definedName name="IQ_UFCF_5YR_ANN_GROWTH" hidden="1" function="0" vbProcedure="0">"c1946"</definedName>
    <definedName name="IQ_UFCF_7YR_ANN_GROWTH" hidden="1" function="0" vbProcedure="0">"c1947"</definedName>
    <definedName name="IQ_UFCF_MARGIN" hidden="1" function="0" vbProcedure="0">"c1962"</definedName>
    <definedName name="IQ_UNEARN_PREMIUM" hidden="1" function="0" vbProcedure="0">"c1321"</definedName>
    <definedName name="IQ_UNEARN_REV_CURRENT" hidden="1" function="0" vbProcedure="0">"c1322"</definedName>
    <definedName name="IQ_UNEARN_REV_CURRENT_BNK" hidden="1" function="0" vbProcedure="0">"c1323"</definedName>
    <definedName name="IQ_UNEARN_REV_CURRENT_BR" hidden="1" function="0" vbProcedure="0">"c1324"</definedName>
    <definedName name="IQ_UNEARN_REV_CURRENT_FIN" hidden="1" function="0" vbProcedure="0">"c1325"</definedName>
    <definedName name="IQ_UNEARN_REV_CURRENT_INS" hidden="1" function="0" vbProcedure="0">"c1326"</definedName>
    <definedName name="IQ_UNEARN_REV_CURRENT_REIT" hidden="1" function="0" vbProcedure="0">"c1327"</definedName>
    <definedName name="IQ_UNEARN_REV_CURRENT_UTI" hidden="1" function="0" vbProcedure="0">"c1328"</definedName>
    <definedName name="IQ_UNEARN_REV_LT" hidden="1" function="0" vbProcedure="0">"c1329"</definedName>
    <definedName name="IQ_UNLEVERED_FCF" hidden="1" function="0" vbProcedure="0">"c1908"</definedName>
    <definedName name="IQ_UNPAID_CLAIMS" hidden="1" function="0" vbProcedure="0">"c1330"</definedName>
    <definedName name="IQ_UNREALIZED_GAIN" hidden="1" function="0" vbProcedure="0">"c1619"</definedName>
    <definedName name="IQ_UNUSUAL_EXP" hidden="1" function="0" vbProcedure="0">"c1456"</definedName>
    <definedName name="IQ_US_GAAP" hidden="1" function="0" vbProcedure="0">"c1331"</definedName>
    <definedName name="IQ_UTIL_PPE_NET" hidden="1" function="0" vbProcedure="0">"c1620"</definedName>
    <definedName name="IQ_UTIL_REV" hidden="1" function="0" vbProcedure="0">"c2091"</definedName>
    <definedName name="IQ_UV_PENSION_LIAB" hidden="1" function="0" vbProcedure="0">"c1332"</definedName>
    <definedName name="IQ_VALUE_TRADED_LAST_3MTH" hidden="1" function="0" vbProcedure="0">"c1530"</definedName>
    <definedName name="IQ_VALUE_TRADED_LAST_6MTH" hidden="1" function="0" vbProcedure="0">"c1531"</definedName>
    <definedName name="IQ_VALUE_TRADED_LAST_MTH" hidden="1" function="0" vbProcedure="0">"c1529"</definedName>
    <definedName name="IQ_VALUE_TRADED_LAST_WK" hidden="1" function="0" vbProcedure="0">"c1528"</definedName>
    <definedName name="IQ_VALUE_TRADED_LAST_YR" hidden="1" function="0" vbProcedure="0">"c1532"</definedName>
    <definedName name="IQ_VOLUME" hidden="1" function="0" vbProcedure="0">"c1333"</definedName>
    <definedName name="IQ_VOL_LAST_3MTH" hidden="1" function="0" vbProcedure="0">"c1525"</definedName>
    <definedName name="IQ_VOL_LAST_6MTH" hidden="1" function="0" vbProcedure="0">"c1526"</definedName>
    <definedName name="IQ_VOL_LAST_MTH" hidden="1" function="0" vbProcedure="0">"c1524"</definedName>
    <definedName name="IQ_VOL_LAST_WK" hidden="1" function="0" vbProcedure="0">"c1523"</definedName>
    <definedName name="IQ_VOL_LAST_YR" hidden="1" function="0" vbProcedure="0">"c1527"</definedName>
    <definedName name="IQ_WEIGHTED_AVG_PRICE" hidden="1" function="0" vbProcedure="0">"c1334"</definedName>
    <definedName name="IQ_WIP_INV" hidden="1" function="0" vbProcedure="0">"c1335"</definedName>
    <definedName name="IQ_WORKMEN_WRITTEN" hidden="1" function="0" vbProcedure="0">"c1336"</definedName>
    <definedName name="IQ_XDIV_DATE" hidden="1" function="0" vbProcedure="0">"c2104"</definedName>
    <definedName name="IQ_YEARHIGH" hidden="1" function="0" vbProcedure="0">"c1337"</definedName>
    <definedName name="IQ_YEARLOW" hidden="1" function="0" vbProcedure="0">"c1338"</definedName>
    <definedName name="IQ_YTD" hidden="1" function="0" vbProcedure="0">3000</definedName>
    <definedName name="IQ_Z_SCORE" hidden="1" function="0" vbProcedure="0">"c1339"</definedName>
    <definedName name="last_close" hidden="0" function="0" vbProcedure="0">Valuation!$G$7</definedName>
    <definedName name="Market_Equity" hidden="0" function="0" vbProcedure="0">#REF!</definedName>
    <definedName name="midyear" hidden="0" function="0" vbProcedure="0">#REF!</definedName>
    <definedName name="Net_Debt" hidden="0" function="0" vbProcedure="0">#REF!</definedName>
    <definedName name="NumofGrpAccts" hidden="1" function="0" vbProcedure="0">2</definedName>
    <definedName name="nvnvnvnv" hidden="1" function="0" vbProcedure="0">{#N/A,#N/A,FALSE,"Aging Summary";#N/A,#N/A,FALSE,"Ratio Analysis";#N/A,#N/A,FALSE,"Test 120 Day Accts";#N/A,#N/A,FALSE,"Tickmarks"}</definedName>
    <definedName name="range" hidden="0" function="0" vbProcedure="0">#REF!</definedName>
    <definedName name="RowLevel" hidden="1" function="0" vbProcedure="0">1</definedName>
    <definedName name="Stub_year_fraction" hidden="0" function="0" vbProcedure="0">#REF!</definedName>
    <definedName name="TBdbName" hidden="1" function="0" vbProcedure="0">"88D5BF544BE111D2B8C5006097494125.mdb"</definedName>
    <definedName name="TextRefCopyRangeCount" hidden="1" function="0" vbProcedure="0">68</definedName>
    <definedName name="ticker" hidden="0" function="0" vbProcedure="0">Valuation!$D$7</definedName>
    <definedName name="Useful_Life_of_Depreciable_PP_E" hidden="0" function="0" vbProcedure="0">"PPElife"</definedName>
    <definedName name="wrn.Aging._.and._.Trend._.Analysis." hidden="1" function="0" vbProcedure="0">{#N/A,#N/A,FALSE,"Aging Summary";#N/A,#N/A,FALSE,"Ratio Analysis";#N/A,#N/A,FALSE,"Test 120 Day Accts";#N/A,#N/A,FALSE,"Tickmarks"}</definedName>
    <definedName name="wrn.EXPENSES._.98._.US." hidden="1" function="0" vbProcedure="0">{"Expenses 98 MKT",#N/A,TRUE,"MKT";"Expenses 98 BUSS",#N/A,TRUE,"BusOper";"Expenses 98 TECH",#N/A,TRUE,"Tech";"Expenses 98 LOCAL",#N/A,TRUE,"LocalProg";"Expenses 98 GA",#N/A,TRUE,"G&amp;A";"Expenses 98 CONSOL",#N/A,TRUE,"Consolidate"}</definedName>
    <definedName name="wrn.EXPENSES._.99._.REAL." hidden="1" function="0" vbProcedure="0">{"Reais 99 MKT",#N/A,TRUE,"MKT";"Reais 99 BUSS",#N/A,TRUE,"BusOper";"Reais 99 TECH",#N/A,TRUE,"Tech";"Reais 99 LOCAL",#N/A,TRUE,"LocalProg";"Reais 99 GA",#N/A,TRUE,"G&amp;A";"Reais 99 CONSOL",#N/A,TRUE,"Consolidate"}</definedName>
    <definedName name="wrn.FINANCIAL._.MONTH." hidden="1" function="0" vbProcedure="0">{"Expense Analysis MKT",#N/A,TRUE,"MKT";"Expense Analysis BUSS",#N/A,TRUE,"BusOper";"Expense Analysis TECH",#N/A,TRUE,"Tech";"Expense Analysis LOCAL",#N/A,TRUE,"LocalProg";"Expense Analysis GA",#N/A,TRUE,"G&amp;A";"Expense Analysis CONSOL",#N/A,TRUE,"Consolidate"}</definedName>
    <definedName name="wrn.FINANCIAL._.MONTHS." hidden="1" function="0" vbProcedure="0">{"Expenses Amalysis Months MKT",#N/A,TRUE,"MKT";"Expenses Analysis Months BUSS",#N/A,TRUE,"BusOper";"Expenses Analysis Months TECH",#N/A,TRUE,"Tech";"Expenses Analysis Months LOCAL",#N/A,TRUE,"LocalProg";"Expenses Analysis Months GA",#N/A,TRUE,"G&amp;A";"Expenses Analysis Months CONSOL",#N/A,TRUE,"Consolidate"}</definedName>
    <definedName name="wrn.FINANCIAL._.US._.MONTH." hidden="1" function="0" vbProcedure="0">{"Expenses us MKT",#N/A,TRUE,"MKT";"Expenses us BUSS",#N/A,TRUE,"BusOper";"Expenses us TECH",#N/A,TRUE,"Tech";"Expenses us LOCAL",#N/A,TRUE,"LocalProg";"Expenses us GA",#N/A,TRUE,"G&amp;A";"Expenses us CONSOL",#N/A,TRUE,"Consolidate"}</definedName>
    <definedName name="wrn.FINANCIAL._.US._.MONTHS." hidden="1" function="0" vbProcedure="0">{"Expenses Months us MKT",#N/A,TRUE,"MKT";"Expenses Months us BUSS",#N/A,TRUE,"BusOper";"Expenses Months us TECH",#N/A,TRUE,"Tech";"Expenses Months us LOCAL",#N/A,TRUE,"LocalProg";"Expenses Months us GA",#N/A,TRUE,"G&amp;A";"Expenses Months us CONSOL",#N/A,TRUE,"Consolidate"}</definedName>
    <definedName name="wrn.grafico." hidden="1" function="0" vbProcedure="0">{#N/A,#N/A,FALSE,"Graficos    ( 9 )"}</definedName>
    <definedName name="wrn.WORK._.PAPER." hidden="1" function="0" vbProcedure="0">{#N/A,#N/A,TRUE,"Consolidate";"Work Paper MKT",#N/A,TRUE,"MKT";"Work Paper BUSS",#N/A,TRUE,"BusOper";"Work Paper TECH",#N/A,TRUE,"Tech";"Work Paper LOCAL",#N/A,TRUE,"LocalProg";"Work Paper GA",#N/A,TRUE,"G&amp;A";"Work Paper CONSOL",#N/A,TRUE,"Consolidate"}</definedName>
    <definedName name="wrn.WORK._.PAPER._.99." hidden="1" function="0" vbProcedure="0">{"Work Paper99 MKT",#N/A,TRUE,"MKT";"Work Paper99 BUSS",#N/A,TRUE,"BusOper";"Work Paper99 TECH",#N/A,TRUE,"Tech";"Work Paper99 LOCAL",#N/A,TRUE,"LocalProg";"Work Paper99 GA",#N/A,TRUE,"G&amp;A";"Work Paper99 CONSOL",#N/A,TRUE,"Consolidate"}</definedName>
    <definedName name="XRefColumnsCount" hidden="1" function="0" vbProcedure="0">2</definedName>
    <definedName name="XRefCopy1" hidden="1" function="0" vbProcedure="0">#REF!</definedName>
    <definedName name="XRefCopy10" hidden="1" function="0" vbProcedure="0">#REF!</definedName>
    <definedName name="XRefCopy10Row" hidden="1" function="0" vbProcedure="0">#REF!</definedName>
    <definedName name="XRefCopy12" hidden="1" function="0" vbProcedure="0">#REF!</definedName>
    <definedName name="XRefCopy12Row" hidden="1" function="0" vbProcedure="0">#REF!</definedName>
    <definedName name="XRefCopy13" hidden="1" function="0" vbProcedure="0">#REF!</definedName>
    <definedName name="XRefCopy13Row" hidden="1" function="0" vbProcedure="0">#REF!</definedName>
    <definedName name="XRefCopy15" hidden="1" function="0" vbProcedure="0">#REF!</definedName>
    <definedName name="XRefCopy15Row" hidden="1" function="0" vbProcedure="0">#REF!</definedName>
    <definedName name="XRefCopy16Row" hidden="1" function="0" vbProcedure="0">#REF!</definedName>
    <definedName name="XRefCopy17" hidden="1" function="0" vbProcedure="0">#REF!</definedName>
    <definedName name="XRefCopy17Row" hidden="1" function="0" vbProcedure="0">#REF!</definedName>
    <definedName name="XRefCopy18" hidden="1" function="0" vbProcedure="0">#REF!</definedName>
    <definedName name="XRefCopy18Row" hidden="1" function="0" vbProcedure="0">#REF!</definedName>
    <definedName name="XRefCopy19" hidden="1" function="0" vbProcedure="0">#REF!</definedName>
    <definedName name="XRefCopy19Row" hidden="1" function="0" vbProcedure="0">#REF!</definedName>
    <definedName name="XRefCopy2" hidden="1" function="0" vbProcedure="0">#REF!</definedName>
    <definedName name="XRefCopy20" hidden="1" function="0" vbProcedure="0">#REF!</definedName>
    <definedName name="XRefCopy20Row" hidden="1" function="0" vbProcedure="0">#REF!</definedName>
    <definedName name="XRefCopy21" hidden="1" function="0" vbProcedure="0">#REF!</definedName>
    <definedName name="XRefCopy21Row" hidden="1" function="0" vbProcedure="0">#REF!</definedName>
    <definedName name="XRefCopy28" hidden="1" function="0" vbProcedure="0">#REF!</definedName>
    <definedName name="XRefCopy28Row" hidden="1" function="0" vbProcedure="0">#REF!</definedName>
    <definedName name="XRefCopy29" hidden="1" function="0" vbProcedure="0">#REF!</definedName>
    <definedName name="XRefCopy29Row" hidden="1" function="0" vbProcedure="0">#REF!</definedName>
    <definedName name="XRefCopy3" hidden="1" function="0" vbProcedure="0">#REF!</definedName>
    <definedName name="XRefCopy30Row" hidden="1" function="0" vbProcedure="0">#REF!</definedName>
    <definedName name="XRefCopy31" hidden="1" function="0" vbProcedure="0">#REF!</definedName>
    <definedName name="XRefCopy31Row" hidden="1" function="0" vbProcedure="0">#REF!</definedName>
    <definedName name="XRefCopy33Row" hidden="1" function="0" vbProcedure="0">#REF!</definedName>
    <definedName name="XRefCopy39" hidden="1" function="0" vbProcedure="0">#REF!</definedName>
    <definedName name="XRefCopy4" hidden="1" function="0" vbProcedure="0">#REF!</definedName>
    <definedName name="XRefCopy40Row" hidden="1" function="0" vbProcedure="0">#REF!</definedName>
    <definedName name="XRefCopy43Row" hidden="1" function="0" vbProcedure="0">#REF!</definedName>
    <definedName name="XRefCopy44Row" hidden="1" function="0" vbProcedure="0">#REF!</definedName>
    <definedName name="XRefCopy49Row" hidden="1" function="0" vbProcedure="0">#REF!</definedName>
    <definedName name="XRefCopy4Row" hidden="1" function="0" vbProcedure="0">#REF!</definedName>
    <definedName name="XRefCopy5" hidden="1" function="0" vbProcedure="0">#REF!</definedName>
    <definedName name="XRefCopy50Row" hidden="1" function="0" vbProcedure="0">#REF!</definedName>
    <definedName name="XRefCopy51Row" hidden="1" function="0" vbProcedure="0">#REF!</definedName>
    <definedName name="XRefCopy52Row" hidden="1" function="0" vbProcedure="0">#REF!</definedName>
    <definedName name="XRefCopy53Row" hidden="1" function="0" vbProcedure="0">#REF!</definedName>
    <definedName name="XRefCopy55Row" hidden="1" function="0" vbProcedure="0">#REF!</definedName>
    <definedName name="XRefCopy56" hidden="1" function="0" vbProcedure="0">#REF!</definedName>
    <definedName name="XRefCopy56Row" hidden="1" function="0" vbProcedure="0">#REF!</definedName>
    <definedName name="XRefCopy5Row" hidden="1" function="0" vbProcedure="0">#REF!</definedName>
    <definedName name="XRefCopy6" hidden="1" function="0" vbProcedure="0">#REF!</definedName>
    <definedName name="XRefCopy61" hidden="1" function="0" vbProcedure="0">#REF!</definedName>
    <definedName name="XRefCopy61Row" hidden="1" function="0" vbProcedure="0">#REF!</definedName>
    <definedName name="XRefCopy63Row" hidden="1" function="0" vbProcedure="0">#REF!</definedName>
    <definedName name="XRefCopy64Row" hidden="1" function="0" vbProcedure="0">#REF!</definedName>
    <definedName name="XRefCopy65Row" hidden="1" function="0" vbProcedure="0">#REF!</definedName>
    <definedName name="XRefCopy66" hidden="1" function="0" vbProcedure="0">#REF!</definedName>
    <definedName name="XRefCopy66Row" hidden="1" function="0" vbProcedure="0">#REF!</definedName>
    <definedName name="XRefCopy67Row" hidden="1" function="0" vbProcedure="0">#REF!</definedName>
    <definedName name="XRefCopy68Row" hidden="1" function="0" vbProcedure="0">#REF!</definedName>
    <definedName name="XRefCopy69Row" hidden="1" function="0" vbProcedure="0">#REF!</definedName>
    <definedName name="XRefCopy6Row" hidden="1" function="0" vbProcedure="0">#REF!</definedName>
    <definedName name="XRefCopy7" hidden="1" function="0" vbProcedure="0">#REF!</definedName>
    <definedName name="XRefCopy70Row" hidden="1" function="0" vbProcedure="0">#REF!</definedName>
    <definedName name="XRefCopy71Row" hidden="1" function="0" vbProcedure="0">#REF!</definedName>
    <definedName name="XRefCopy72Row" hidden="1" function="0" vbProcedure="0">#REF!</definedName>
    <definedName name="XRefCopy73Row" hidden="1" function="0" vbProcedure="0">#REF!</definedName>
    <definedName name="XRefCopy74Row" hidden="1" function="0" vbProcedure="0">#REF!</definedName>
    <definedName name="XRefCopy75Row" hidden="1" function="0" vbProcedure="0">#REF!</definedName>
    <definedName name="XRefCopy76Row" hidden="1" function="0" vbProcedure="0">#REF!</definedName>
    <definedName name="XRefCopy77Row" hidden="1" function="0" vbProcedure="0">#REF!</definedName>
    <definedName name="XRefCopy78Row" hidden="1" function="0" vbProcedure="0">#REF!</definedName>
    <definedName name="XRefCopy7Row" hidden="1" function="0" vbProcedure="0">#REF!</definedName>
    <definedName name="XRefCopy8" hidden="1" function="0" vbProcedure="0">#REF!</definedName>
    <definedName name="XRefCopy80Row" hidden="1" function="0" vbProcedure="0">#REF!</definedName>
    <definedName name="XRefCopy81" hidden="1" function="0" vbProcedure="0">#REF!</definedName>
    <definedName name="XRefCopy81Row" hidden="1" function="0" vbProcedure="0">#REF!</definedName>
    <definedName name="XRefCopy82Row" hidden="1" function="0" vbProcedure="0">#REF!</definedName>
    <definedName name="XRefCopy8Row" hidden="1" function="0" vbProcedure="0">#REF!</definedName>
    <definedName name="XRefCopy9" hidden="1" function="0" vbProcedure="0">#REF!</definedName>
    <definedName name="XRefCopy9Row" hidden="1" function="0" vbProcedure="0">#REF!</definedName>
    <definedName name="XRefCopyRangeCount" hidden="1" function="0" vbProcedure="0">5</definedName>
    <definedName name="XRefPaste1" hidden="1" function="0" vbProcedure="0">#REF!</definedName>
    <definedName name="XRefPaste10" hidden="1" function="0" vbProcedure="0">#REF!</definedName>
    <definedName name="XRefPaste101" hidden="1" function="0" vbProcedure="0">#REF!</definedName>
    <definedName name="XRefPaste101Row" hidden="1" function="0" vbProcedure="0">#REF!</definedName>
    <definedName name="XRefPaste102" hidden="1" function="0" vbProcedure="0">#REF!</definedName>
    <definedName name="XRefPaste102Row" hidden="1" function="0" vbProcedure="0">#REF!</definedName>
    <definedName name="XRefPaste103" hidden="1" function="0" vbProcedure="0">#REF!</definedName>
    <definedName name="XRefPaste103Row" hidden="1" function="0" vbProcedure="0">#REF!</definedName>
    <definedName name="XRefPaste104Row" hidden="1" function="0" vbProcedure="0">#REF!</definedName>
    <definedName name="XRefPaste105Row" hidden="1" function="0" vbProcedure="0">#REF!</definedName>
    <definedName name="XRefPaste106" hidden="1" function="0" vbProcedure="0">#REF!</definedName>
    <definedName name="XRefPaste106Row" hidden="1" function="0" vbProcedure="0">#REF!</definedName>
    <definedName name="XRefPaste107Row" hidden="1" function="0" vbProcedure="0">#REF!</definedName>
    <definedName name="XRefPaste108Row" hidden="1" function="0" vbProcedure="0">#REF!</definedName>
    <definedName name="XRefPaste11" hidden="1" function="0" vbProcedure="0">#REF!</definedName>
    <definedName name="XRefPaste111Row" hidden="1" function="0" vbProcedure="0">#REF!</definedName>
    <definedName name="XRefPaste112Row" hidden="1" function="0" vbProcedure="0">#REF!</definedName>
    <definedName name="XRefPaste117" hidden="1" function="0" vbProcedure="0">#REF!</definedName>
    <definedName name="XRefPaste117Row" hidden="1" function="0" vbProcedure="0">#REF!</definedName>
    <definedName name="XRefPaste118" hidden="1" function="0" vbProcedure="0">#REF!</definedName>
    <definedName name="XRefPaste118Row" hidden="1" function="0" vbProcedure="0">#REF!</definedName>
    <definedName name="XRefPaste119" hidden="1" function="0" vbProcedure="0">#REF!</definedName>
    <definedName name="XRefPaste119Row" hidden="1" function="0" vbProcedure="0">#REF!</definedName>
    <definedName name="XRefPaste12" hidden="1" function="0" vbProcedure="0">#REF!</definedName>
    <definedName name="XRefPaste120" hidden="1" function="0" vbProcedure="0">#REF!</definedName>
    <definedName name="XRefPaste120Row" hidden="1" function="0" vbProcedure="0">#REF!</definedName>
    <definedName name="XRefPaste121Row" hidden="1" function="0" vbProcedure="0">#REF!</definedName>
    <definedName name="XRefPaste122Row" hidden="1" function="0" vbProcedure="0">#REF!</definedName>
    <definedName name="XRefPaste123Row" hidden="1" function="0" vbProcedure="0">#REF!</definedName>
    <definedName name="XRefPaste124Row" hidden="1" function="0" vbProcedure="0">#REF!</definedName>
    <definedName name="XRefPaste126Row" hidden="1" function="0" vbProcedure="0">#REF!</definedName>
    <definedName name="XRefPaste127Row" hidden="1" function="0" vbProcedure="0">#REF!</definedName>
    <definedName name="XRefPaste128Row" hidden="1" function="0" vbProcedure="0">#REF!</definedName>
    <definedName name="XRefPaste129Row" hidden="1" function="0" vbProcedure="0">#REF!</definedName>
    <definedName name="XRefPaste13" hidden="1" function="0" vbProcedure="0">#REF!</definedName>
    <definedName name="XRefPaste130Row" hidden="1" function="0" vbProcedure="0">#REF!</definedName>
    <definedName name="XRefPaste131Row" hidden="1" function="0" vbProcedure="0">#REF!</definedName>
    <definedName name="XRefPaste132Row" hidden="1" function="0" vbProcedure="0">#REF!</definedName>
    <definedName name="XRefPaste133Row" hidden="1" function="0" vbProcedure="0">#REF!</definedName>
    <definedName name="XRefPaste134Row" hidden="1" function="0" vbProcedure="0">#REF!</definedName>
    <definedName name="XRefPaste135Row" hidden="1" function="0" vbProcedure="0">#REF!</definedName>
    <definedName name="XRefPaste136Row" hidden="1" function="0" vbProcedure="0">#REF!</definedName>
    <definedName name="XRefPaste137Row" hidden="1" function="0" vbProcedure="0">#REF!</definedName>
    <definedName name="XRefPaste138Row" hidden="1" function="0" vbProcedure="0">#REF!</definedName>
    <definedName name="XRefPaste139" hidden="1" function="0" vbProcedure="0">#REF!</definedName>
    <definedName name="XRefPaste139Row" hidden="1" function="0" vbProcedure="0">#REF!</definedName>
    <definedName name="XRefPaste14" hidden="1" function="0" vbProcedure="0">#REF!</definedName>
    <definedName name="XRefPaste15" hidden="1" function="0" vbProcedure="0">#REF!</definedName>
    <definedName name="XRefPaste15Row" hidden="1" function="0" vbProcedure="0">#REF!</definedName>
    <definedName name="XRefPaste16" hidden="1" function="0" vbProcedure="0">#REF!</definedName>
    <definedName name="XRefPaste16Row" hidden="1" function="0" vbProcedure="0">#REF!</definedName>
    <definedName name="XRefPaste17Row" hidden="1" function="0" vbProcedure="0">#REF!</definedName>
    <definedName name="XRefPaste18" hidden="1" function="0" vbProcedure="0">#REF!</definedName>
    <definedName name="XRefPaste18Row" hidden="1" function="0" vbProcedure="0">#REF!</definedName>
    <definedName name="XRefPaste19" hidden="1" function="0" vbProcedure="0">#REF!</definedName>
    <definedName name="XRefPaste19Row" hidden="1" function="0" vbProcedure="0">#REF!</definedName>
    <definedName name="XRefPaste1Row" hidden="1" function="0" vbProcedure="0">#REF!</definedName>
    <definedName name="XRefPaste2" hidden="1" function="0" vbProcedure="0">#REF!</definedName>
    <definedName name="XRefPaste26" hidden="1" function="0" vbProcedure="0">#REF!</definedName>
    <definedName name="XRefPaste26Row" hidden="1" function="0" vbProcedure="0">#REF!</definedName>
    <definedName name="XRefPaste27Row" hidden="1" function="0" vbProcedure="0">#REF!</definedName>
    <definedName name="XRefPaste28" hidden="1" function="0" vbProcedure="0">#REF!</definedName>
    <definedName name="XRefPaste28Row" hidden="1" function="0" vbProcedure="0">#REF!</definedName>
    <definedName name="XRefPaste29" hidden="1" function="0" vbProcedure="0">#REF!</definedName>
    <definedName name="XRefPaste29Row" hidden="1" function="0" vbProcedure="0">#REF!</definedName>
    <definedName name="XRefPaste2Row" hidden="1" function="0" vbProcedure="0">#REF!</definedName>
    <definedName name="XRefPaste3" hidden="1" function="0" vbProcedure="0">#REF!</definedName>
    <definedName name="XRefPaste31" hidden="1" function="0" vbProcedure="0">#REF!</definedName>
    <definedName name="XRefPaste31Row" hidden="1" function="0" vbProcedure="0">#REF!</definedName>
    <definedName name="XRefPaste32" hidden="1" function="0" vbProcedure="0">#REF!</definedName>
    <definedName name="XRefPaste32Row" hidden="1" function="0" vbProcedure="0">#REF!</definedName>
    <definedName name="XRefPaste35" hidden="1" function="0" vbProcedure="0">#REF!</definedName>
    <definedName name="XRefPaste35Row" hidden="1" function="0" vbProcedure="0">#REF!</definedName>
    <definedName name="XRefPaste37" hidden="1" function="0" vbProcedure="0">#REF!</definedName>
    <definedName name="XRefPaste37Row" hidden="1" function="0" vbProcedure="0">#REF!</definedName>
    <definedName name="XRefPaste38" hidden="1" function="0" vbProcedure="0">#REF!</definedName>
    <definedName name="XRefPaste38Row" hidden="1" function="0" vbProcedure="0">#REF!</definedName>
    <definedName name="XRefPaste39" hidden="1" function="0" vbProcedure="0">#REF!</definedName>
    <definedName name="XRefPaste39Row" hidden="1" function="0" vbProcedure="0">#REF!</definedName>
    <definedName name="XRefPaste3Row" hidden="1" function="0" vbProcedure="0">#REF!</definedName>
    <definedName name="XRefPaste4" hidden="1" function="0" vbProcedure="0">#REF!</definedName>
    <definedName name="XRefPaste44" hidden="1" function="0" vbProcedure="0">#REF!</definedName>
    <definedName name="XRefPaste44Row" hidden="1" function="0" vbProcedure="0">#REF!</definedName>
    <definedName name="XRefPaste45" hidden="1" function="0" vbProcedure="0">#REF!</definedName>
    <definedName name="XRefPaste45Row" hidden="1" function="0" vbProcedure="0">#REF!</definedName>
    <definedName name="XRefPaste4Row" hidden="1" function="0" vbProcedure="0">#REF!</definedName>
    <definedName name="XRefPaste5" hidden="1" function="0" vbProcedure="0">#REF!</definedName>
    <definedName name="XRefPaste56Row" hidden="1" function="0" vbProcedure="0">#REF!</definedName>
    <definedName name="XRefPaste57Row" hidden="1" function="0" vbProcedure="0">#REF!</definedName>
    <definedName name="XRefPaste59Row" hidden="1" function="0" vbProcedure="0">#REF!</definedName>
    <definedName name="XRefPaste5Row" hidden="1" function="0" vbProcedure="0">#REF!</definedName>
    <definedName name="XRefPaste6" hidden="1" function="0" vbProcedure="0">#REF!</definedName>
    <definedName name="XRefPaste62Row" hidden="1" function="0" vbProcedure="0">#REF!</definedName>
    <definedName name="XRefPaste63Row" hidden="1" function="0" vbProcedure="0">#REF!</definedName>
    <definedName name="XRefPaste64Row" hidden="1" function="0" vbProcedure="0">#REF!</definedName>
    <definedName name="XRefPaste65Row" hidden="1" function="0" vbProcedure="0">#REF!</definedName>
    <definedName name="XRefPaste67Row" hidden="1" function="0" vbProcedure="0">#REF!</definedName>
    <definedName name="XRefPaste68Row" hidden="1" function="0" vbProcedure="0">#REF!</definedName>
    <definedName name="XRefPaste69Row" hidden="1" function="0" vbProcedure="0">#REF!</definedName>
    <definedName name="XRefPaste6Row" hidden="1" function="0" vbProcedure="0">#REF!</definedName>
    <definedName name="XRefPaste7" hidden="1" function="0" vbProcedure="0">#REF!</definedName>
    <definedName name="XRefPaste70Row" hidden="1" function="0" vbProcedure="0">#REF!</definedName>
    <definedName name="XRefPaste71Row" hidden="1" function="0" vbProcedure="0">#REF!</definedName>
    <definedName name="XRefPaste75Row" hidden="1" function="0" vbProcedure="0">#REF!</definedName>
    <definedName name="XRefPaste7Row" hidden="1" function="0" vbProcedure="0">#REF!</definedName>
    <definedName name="XRefPaste8" hidden="1" function="0" vbProcedure="0">#REF!</definedName>
    <definedName name="XRefPaste9" hidden="1" function="0" vbProcedure="0">#REF!</definedName>
    <definedName name="XRefPaste99Row" hidden="1" function="0" vbProcedure="0">#REF!</definedName>
    <definedName name="XRefPasteRangeCount" hidden="1" function="0" vbProcedure="0">35</definedName>
    <definedName name="XREF_COLUMN_1" hidden="1" function="0" vbProcedure="0">#REF!</definedName>
    <definedName name="XREF_COLUMN_10" hidden="1" function="0" vbProcedure="0">#REF!</definedName>
    <definedName name="XREF_COLUMN_11" hidden="1" function="0" vbProcedure="0">#REF!</definedName>
    <definedName name="XREF_COLUMN_14" hidden="1" function="0" vbProcedure="0">#REF!</definedName>
    <definedName name="XREF_COLUMN_15" hidden="1" function="0" vbProcedure="0">#REF!</definedName>
    <definedName name="XREF_COLUMN_16" hidden="1" function="0" vbProcedure="0">#REF!</definedName>
    <definedName name="XREF_COLUMN_17" hidden="1" function="0" vbProcedure="0">#REF!</definedName>
    <definedName name="XREF_COLUMN_19" hidden="1" function="0" vbProcedure="0">#REF!</definedName>
    <definedName name="XREF_COLUMN_2" hidden="1" function="0" vbProcedure="0">#REF!</definedName>
    <definedName name="XREF_COLUMN_20" hidden="1" function="0" vbProcedure="0">#REF!</definedName>
    <definedName name="XREF_COLUMN_21" hidden="1" function="0" vbProcedure="0">#REF!</definedName>
    <definedName name="XREF_COLUMN_3" hidden="1" function="0" vbProcedure="0">#REF!</definedName>
    <definedName name="XREF_COLUMN_4" hidden="1" function="0" vbProcedure="0">#REF!</definedName>
    <definedName name="XREF_COLUMN_5" hidden="1" function="0" vbProcedure="0">#REF!</definedName>
    <definedName name="XREF_COLUMN_6" hidden="1" function="0" vbProcedure="0">#REF!</definedName>
    <definedName name="XREF_COLUMN_7" hidden="1" function="0" vbProcedure="0">#REF!</definedName>
    <definedName name="XREF_COLUMN_8" hidden="1" function="0" vbProcedure="0">#REF!</definedName>
    <definedName name="XREF_COLUMN_9" hidden="1" function="0" vbProcedure="0">#REF!</definedName>
    <definedName name="_Fill" hidden="1" function="0" vbProcedure="0">#REF!</definedName>
    <definedName name="beta_observed" localSheetId="1" hidden="0" function="0" vbProcedure="0">#REF!</definedName>
    <definedName name="ticker" localSheetId="1" hidden="0" function="0" vbProcedure="0">#REF!</definedName>
    <definedName name="costdebtfirm" localSheetId="3" hidden="0" function="0" vbProcedure="0">Valuation!$D$86</definedName>
    <definedName name="costequity" localSheetId="3" hidden="0" function="0" vbProcedure="0">Valuation!$D$94</definedName>
    <definedName name="debt" localSheetId="3" hidden="0" function="0" vbProcedure="0">Valuation!$G$88</definedName>
    <definedName name="debt_weight" localSheetId="3" hidden="0" function="0" vbProcedure="0">Valuation!$J$88</definedName>
    <definedName name="g" localSheetId="3" hidden="0" function="0" vbProcedure="0">Valuation!$D$63</definedName>
    <definedName name="market_equity" localSheetId="3" hidden="0" function="0" vbProcedure="0">Valuation!$G$89</definedName>
    <definedName name="noplat_t1" localSheetId="3" hidden="0" function="0" vbProcedure="0">Valuation!$D$65</definedName>
    <definedName name="relevered_beta" localSheetId="3" hidden="0" function="0" vbProcedure="0">Valuation!$M$102</definedName>
    <definedName name="risk_free_rate" localSheetId="3" hidden="0" function="0" vbProcedure="0">Valuation!$D$91</definedName>
    <definedName name="risk_premium" localSheetId="3" hidden="0" function="0" vbProcedure="0">Valuation!$D$92</definedName>
    <definedName name="ronic" localSheetId="3" hidden="0" function="0" vbProcedure="0">Valuation!$D$64</definedName>
    <definedName name="scenario" localSheetId="3" hidden="0" function="0" vbProcedure="0">Valuation!$E$8</definedName>
    <definedName name="stub_year_fraction" localSheetId="3" hidden="0" function="0" vbProcedure="0">Valuation!$D$11</definedName>
    <definedName name="totalcap" localSheetId="3" hidden="0" function="0" vbProcedure="0">Valuation!$G$90</definedName>
    <definedName name="wacc" localSheetId="3" hidden="0" function="0" vbProcedure="0">Valuation!$D$12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3">
    <numFmt numFmtId="164" formatCode="#,##0.0;\(#,##0.0\)"/>
    <numFmt numFmtId="165" formatCode="#,##0;\(#,##0\)"/>
    <numFmt numFmtId="166" formatCode="#,##0_ ;[RED]\-#,##0\ "/>
    <numFmt numFmtId="167" formatCode="#,##0_);[RED]\(#,##0\)"/>
    <numFmt numFmtId="168" formatCode="#,##0.0_);[RED]\(#,##0.0\)"/>
    <numFmt numFmtId="169" formatCode="#,##0.0_ ;[RED]\-#,##0.0\ "/>
    <numFmt numFmtId="170" formatCode="[$-409]d\-mmm;@"/>
    <numFmt numFmtId="171" formatCode="[$-409]d\-mmm"/>
    <numFmt numFmtId="172" formatCode="[$-416]d\-mmm"/>
    <numFmt numFmtId="173" formatCode="0.0%"/>
    <numFmt numFmtId="174" formatCode="#,##0.0;[RED]#,##0.0"/>
    <numFmt numFmtId="175" formatCode="#,##0.00_);[RED]\(#,##0.00\)"/>
    <numFmt numFmtId="176" formatCode="0.0\x"/>
    <numFmt numFmtId="177" formatCode="0.0"/>
    <numFmt numFmtId="178" formatCode="[$-409]d\-mmm\-yy;@"/>
    <numFmt numFmtId="179" formatCode="[$BRL]\ #,##0.00_);[RED]\([$BRL]\ #,##0.00\)"/>
    <numFmt numFmtId="180" formatCode="#,##0.0_);\(#,##0.0\)"/>
    <numFmt numFmtId="181" formatCode="#,##0.000_);\(#,##0.000\)"/>
    <numFmt numFmtId="182" formatCode="&quot;R$ &quot;#,##0.00"/>
    <numFmt numFmtId="183" formatCode="#,##0.0\x"/>
    <numFmt numFmtId="184" formatCode="\$#,##0.00_);&quot;($&quot;#,##0.00\)"/>
    <numFmt numFmtId="185" formatCode="#,##0.000_);[RED]\(#,##0.000\)"/>
    <numFmt numFmtId="186" formatCode="\$#,##0.00_);[RED]&quot;($&quot;#,##0.00\)"/>
    <numFmt numFmtId="187" formatCode="\$#,##0.0_);&quot;($&quot;#,##0.0\)"/>
    <numFmt numFmtId="188" formatCode="#,##0_);\(#,##0\)"/>
    <numFmt numFmtId="189" formatCode="0.0%;\(0.0%\)"/>
    <numFmt numFmtId="190" formatCode="0.000"/>
    <numFmt numFmtId="191" formatCode="#,##0.00_);\(#,##0.00\)"/>
    <numFmt numFmtId="192" formatCode="_(\$* #,##0.00_);_(\$* \(#,##0.00\);_(\$* \-??_);_(@_)"/>
    <numFmt numFmtId="193" formatCode="m/d/yyyy"/>
    <numFmt numFmtId="194" formatCode="0_);\(0\)"/>
    <numFmt numFmtId="195" formatCode="_(* #,##0.00_);_(* \(#,##0.00\);_(* \-??_);_(@_)"/>
    <numFmt numFmtId="196" formatCode="#,##0.0"/>
  </numFmts>
  <fonts count="28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"/>
      <charset val="1"/>
      <family val="2"/>
      <b val="1"/>
      <sz val="8"/>
    </font>
    <font>
      <name val="Verdana"/>
      <charset val="1"/>
      <family val="2"/>
      <color theme="1"/>
      <sz val="10"/>
    </font>
    <font>
      <name val="Arial"/>
      <charset val="1"/>
      <family val="2"/>
      <sz val="8"/>
    </font>
    <font>
      <name val="Arial"/>
      <charset val="1"/>
      <family val="2"/>
      <b val="1"/>
      <color rgb="FF333333"/>
      <sz val="10"/>
    </font>
    <font>
      <name val="Calibri"/>
      <charset val="1"/>
      <family val="2"/>
      <color rgb="FF000000"/>
      <sz val="11"/>
    </font>
    <font>
      <name val="Cambria"/>
      <charset val="1"/>
      <family val="0"/>
      <b val="1"/>
      <sz val="11"/>
    </font>
    <font>
      <name val="Verdana"/>
      <charset val="1"/>
      <family val="0"/>
      <color rgb="FF808080"/>
      <sz val="10"/>
    </font>
    <font>
      <name val="Verdana"/>
      <charset val="1"/>
      <family val="2"/>
      <color rgb="FF0000FF"/>
      <sz val="10"/>
    </font>
    <font>
      <name val="Verdana"/>
      <charset val="1"/>
      <family val="2"/>
      <b val="1"/>
      <color theme="1"/>
      <sz val="10"/>
    </font>
    <font>
      <name val="Verdana"/>
      <charset val="1"/>
      <family val="2"/>
      <b val="1"/>
      <color rgb="FFFFFFFF"/>
      <sz val="10"/>
    </font>
    <font>
      <name val="Verdana"/>
      <charset val="1"/>
      <family val="2"/>
      <i val="1"/>
      <color theme="1"/>
      <sz val="10"/>
    </font>
    <font>
      <name val="Verdana"/>
      <charset val="1"/>
      <family val="2"/>
      <sz val="10"/>
    </font>
    <font>
      <name val="Verdana"/>
      <charset val="1"/>
      <family val="2"/>
      <b val="1"/>
      <color theme="0"/>
      <sz val="10"/>
    </font>
    <font>
      <name val="Verdana"/>
      <charset val="1"/>
      <family val="2"/>
      <b val="1"/>
      <sz val="10"/>
    </font>
    <font>
      <name val="Verdana"/>
      <charset val="1"/>
      <family val="2"/>
      <b val="1"/>
      <color theme="0" tint="-0.05"/>
      <sz val="10"/>
    </font>
    <font>
      <name val="Cambria"/>
      <charset val="1"/>
      <family val="0"/>
      <color rgb="FF808080"/>
      <sz val="11"/>
    </font>
    <font>
      <name val="Verdana"/>
      <charset val="1"/>
      <family val="2"/>
      <b val="1"/>
      <color rgb="FF333333"/>
      <sz val="10"/>
    </font>
    <font>
      <name val="Verdana"/>
      <charset val="1"/>
      <family val="2"/>
      <b val="1"/>
      <color rgb="FF0000FF"/>
      <sz val="10"/>
    </font>
    <font>
      <name val="Verdana"/>
      <charset val="1"/>
      <family val="2"/>
      <sz val="10"/>
      <u val="single"/>
    </font>
    <font>
      <name val="Verdana"/>
      <charset val="1"/>
      <family val="2"/>
      <color rgb="FF008000"/>
      <sz val="10"/>
    </font>
    <font>
      <name val="Arial"/>
      <family val="2"/>
      <sz val="10"/>
    </font>
    <font>
      <b val="1"/>
    </font>
    <font>
      <name val="Verdana"/>
      <b val="1"/>
      <sz val="10"/>
    </font>
  </fonts>
  <fills count="12">
    <fill>
      <patternFill/>
    </fill>
    <fill>
      <patternFill patternType="gray125"/>
    </fill>
    <fill>
      <patternFill patternType="solid">
        <fgColor rgb="FFC0C0C0"/>
        <bgColor rgb="FFD8D8D8"/>
      </patternFill>
    </fill>
    <fill>
      <patternFill patternType="solid">
        <fgColor rgb="FFD8D8D8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9D9D9"/>
        <bgColor rgb="FFD8D8D8"/>
      </patternFill>
    </fill>
    <fill>
      <patternFill patternType="solid">
        <fgColor rgb="FF00B050"/>
        <bgColor rgb="FF008080"/>
      </patternFill>
    </fill>
    <fill>
      <patternFill patternType="solid">
        <fgColor theme="0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4" tint="0.3999"/>
        <bgColor rgb="FF00B0F0"/>
      </patternFill>
    </fill>
    <fill>
      <patternFill patternType="solid">
        <fgColor rgb="FF00B0F0"/>
        <bgColor rgb="FF46B1E1"/>
      </patternFill>
    </fill>
    <fill>
      <patternFill patternType="solid">
        <fgColor theme="0" tint="-0.05"/>
        <bgColor rgb="FFFFFFFF"/>
      </patternFill>
    </fill>
  </fills>
  <borders count="30">
    <border>
      <left/>
      <right/>
      <top/>
      <bottom/>
      <diagonal/>
    </border>
    <border>
      <left/>
      <right/>
      <top/>
      <bottom style="thin"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/>
      <bottom style="medium"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hair">
        <color rgb="FF0000FF"/>
      </left>
      <right style="hair">
        <color rgb="FF0000FF"/>
      </right>
      <top style="thin"/>
      <bottom style="hair">
        <color rgb="FF0000FF"/>
      </bottom>
      <diagonal/>
    </border>
    <border>
      <left style="thin"/>
      <right/>
      <top style="thin"/>
      <bottom style="medium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rgb="FFFFFF00"/>
      </right>
      <top/>
      <bottom style="thin">
        <color rgb="FFFFFF00"/>
      </bottom>
      <diagonal/>
    </border>
    <border>
      <left style="thin">
        <color rgb="FFFFFF00"/>
      </left>
      <right/>
      <top/>
      <bottom style="thin">
        <color rgb="FFFFFF00"/>
      </bottom>
      <diagonal/>
    </border>
    <border>
      <left/>
      <right style="thin">
        <color rgb="FFFFFF00"/>
      </right>
      <top style="thin">
        <color rgb="FFFFFF00"/>
      </top>
      <bottom style="thin">
        <color rgb="FFFFFF00"/>
      </bottom>
      <diagonal/>
    </border>
    <border>
      <left style="thin">
        <color rgb="FFFFFF00"/>
      </left>
      <right/>
      <top style="thin">
        <color rgb="FFFFFF00"/>
      </top>
      <bottom style="thin">
        <color rgb="FFFFFF00"/>
      </bottom>
      <diagonal/>
    </border>
    <border>
      <left/>
      <right style="thin">
        <color rgb="FFFFFF00"/>
      </right>
      <top/>
      <bottom style="thin"/>
      <diagonal/>
    </border>
    <border>
      <left style="thin">
        <color rgb="FFFFFF00"/>
      </left>
      <right/>
      <top/>
      <bottom style="thin"/>
      <diagonal/>
    </border>
    <border>
      <left style="medium">
        <color rgb="FF00B050"/>
      </left>
      <right style="thin"/>
      <top style="medium">
        <color rgb="FF00B050"/>
      </top>
      <bottom style="medium">
        <color rgb="FF00B050"/>
      </bottom>
      <diagonal/>
    </border>
    <border>
      <left/>
      <right style="thin"/>
      <top style="thin">
        <color rgb="FFFFFF00"/>
      </top>
      <bottom style="thin">
        <color rgb="FFFFFF00"/>
      </bottom>
      <diagonal/>
    </border>
    <border>
      <left/>
      <right style="thin"/>
      <top style="thin">
        <color rgb="FFFFFF00"/>
      </top>
      <bottom/>
      <diagonal/>
    </border>
    <border>
      <left style="thin"/>
      <right style="thin"/>
      <top style="thin"/>
      <bottom style="thin"/>
      <diagonal/>
    </border>
  </borders>
  <cellStyleXfs count="1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 applyAlignment="1">
      <alignment horizontal="general" vertical="bottom"/>
    </xf>
    <xf numFmtId="192" fontId="4" fillId="0" borderId="0" applyAlignment="1">
      <alignment horizontal="general" vertical="bottom"/>
    </xf>
    <xf numFmtId="193" fontId="5" fillId="0" borderId="1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194" fontId="7" fillId="0" borderId="0" applyAlignment="1">
      <alignment horizontal="general" vertical="bottom"/>
    </xf>
    <xf numFmtId="0" fontId="8" fillId="2" borderId="2" applyAlignment="1">
      <alignment horizontal="general" vertical="bottom"/>
    </xf>
    <xf numFmtId="9" fontId="6" fillId="0" borderId="0" applyAlignment="1">
      <alignment horizontal="general" vertical="bottom"/>
    </xf>
    <xf numFmtId="195" fontId="9" fillId="0" borderId="0" applyAlignment="1">
      <alignment horizontal="general" vertical="bottom"/>
    </xf>
  </cellStyleXfs>
  <cellXfs count="520">
    <xf numFmtId="0" fontId="0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0" fontId="13" fillId="0" borderId="0" applyAlignment="1" pivotButton="0" quotePrefix="0" xfId="0">
      <alignment horizontal="general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general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1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23">
      <alignment horizontal="center" vertical="bottom"/>
    </xf>
    <xf numFmtId="166" fontId="6" fillId="3" borderId="0" applyAlignment="1" pivotButton="0" quotePrefix="0" xfId="23">
      <alignment horizontal="center" vertical="bottom"/>
    </xf>
    <xf numFmtId="0" fontId="11" fillId="0" borderId="0" applyAlignment="1" pivotButton="0" quotePrefix="0" xfId="23">
      <alignment horizontal="center" vertical="bottom"/>
    </xf>
    <xf numFmtId="166" fontId="11" fillId="3" borderId="0" applyAlignment="1" pivotButton="0" quotePrefix="0" xfId="23">
      <alignment horizontal="center" vertical="bottom"/>
    </xf>
    <xf numFmtId="167" fontId="12" fillId="4" borderId="0" applyAlignment="1" pivotButton="0" quotePrefix="0" xfId="0">
      <alignment horizontal="center" vertical="bottom"/>
    </xf>
    <xf numFmtId="0" fontId="6" fillId="5" borderId="0" applyAlignment="1" pivotButton="0" quotePrefix="0" xfId="22">
      <alignment horizontal="general" vertical="bottom"/>
    </xf>
    <xf numFmtId="168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bottom"/>
    </xf>
    <xf numFmtId="169" fontId="6" fillId="5" borderId="0" applyAlignment="1" pivotButton="0" quotePrefix="0" xfId="22">
      <alignment horizontal="left" vertical="bottom"/>
    </xf>
    <xf numFmtId="0" fontId="6" fillId="5" borderId="0" applyAlignment="1" pivotButton="0" quotePrefix="0" xfId="22">
      <alignment horizontal="left" vertical="bottom"/>
    </xf>
    <xf numFmtId="0" fontId="6" fillId="5" borderId="1" applyAlignment="1" pivotButton="0" quotePrefix="0" xfId="22">
      <alignment horizontal="left" vertical="bottom"/>
    </xf>
    <xf numFmtId="168" fontId="6" fillId="0" borderId="0" applyAlignment="1" pivotButton="0" quotePrefix="0" xfId="0">
      <alignment horizontal="general" vertical="bottom"/>
    </xf>
    <xf numFmtId="0" fontId="13" fillId="0" borderId="0" applyAlignment="1" pivotButton="0" quotePrefix="0" xfId="22">
      <alignment horizontal="general" vertical="bottom"/>
    </xf>
    <xf numFmtId="0" fontId="6" fillId="0" borderId="0" applyAlignment="1" pivotButton="0" quotePrefix="0" xfId="22">
      <alignment horizontal="general" vertical="bottom"/>
    </xf>
    <xf numFmtId="0" fontId="13" fillId="5" borderId="0" applyAlignment="1" pivotButton="0" quotePrefix="0" xfId="22">
      <alignment horizontal="general" vertical="bottom"/>
    </xf>
    <xf numFmtId="168" fontId="13" fillId="0" borderId="0" applyAlignment="1" pivotButton="0" quotePrefix="0" xfId="0">
      <alignment horizontal="center" vertical="bottom"/>
    </xf>
    <xf numFmtId="170" fontId="12" fillId="4" borderId="0" applyAlignment="1" pivotButton="0" quotePrefix="0" xfId="0">
      <alignment horizontal="center" vertical="bottom"/>
    </xf>
    <xf numFmtId="171" fontId="12" fillId="4" borderId="0" applyAlignment="1" pivotButton="0" quotePrefix="0" xfId="23">
      <alignment horizontal="center" vertical="bottom"/>
    </xf>
    <xf numFmtId="172" fontId="6" fillId="5" borderId="0" applyAlignment="1" pivotButton="0" quotePrefix="0" xfId="23">
      <alignment horizontal="center" vertical="bottom"/>
    </xf>
    <xf numFmtId="172" fontId="13" fillId="5" borderId="0" applyAlignment="1" pivotButton="0" quotePrefix="0" xfId="23">
      <alignment horizontal="center" vertical="bottom"/>
    </xf>
    <xf numFmtId="170" fontId="12" fillId="0" borderId="0" applyAlignment="1" pivotButton="0" quotePrefix="0" xfId="0">
      <alignment horizontal="center" vertical="bottom"/>
    </xf>
    <xf numFmtId="166" fontId="6" fillId="0" borderId="0" applyAlignment="1" pivotButton="0" quotePrefix="0" xfId="23">
      <alignment horizontal="center" vertical="bottom"/>
    </xf>
    <xf numFmtId="0" fontId="13" fillId="3" borderId="0" applyAlignment="1" pivotButton="0" quotePrefix="0" xfId="23">
      <alignment horizontal="center" vertical="bottom"/>
    </xf>
    <xf numFmtId="10" fontId="13" fillId="0" borderId="0" applyAlignment="1" pivotButton="0" quotePrefix="0" xfId="19">
      <alignment horizontal="center" vertical="bottom"/>
    </xf>
    <xf numFmtId="0" fontId="13" fillId="0" borderId="0" applyAlignment="1" pivotButton="0" quotePrefix="0" xfId="23">
      <alignment horizontal="center" vertical="bottom"/>
    </xf>
    <xf numFmtId="10" fontId="13" fillId="0" borderId="0" applyAlignment="1" pivotButton="0" quotePrefix="0" xfId="23">
      <alignment horizontal="center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left" vertical="bottom"/>
    </xf>
    <xf numFmtId="168" fontId="13" fillId="5" borderId="0" applyAlignment="1" pivotButton="0" quotePrefix="0" xfId="0">
      <alignment horizontal="center" vertical="bottom"/>
    </xf>
    <xf numFmtId="0" fontId="13" fillId="7" borderId="0" applyAlignment="1" pivotButton="0" quotePrefix="0" xfId="0">
      <alignment horizontal="general" vertical="bottom"/>
    </xf>
    <xf numFmtId="0" fontId="13" fillId="7" borderId="0" applyAlignment="1" pivotButton="0" quotePrefix="0" xfId="0">
      <alignment horizontal="center" vertical="bottom"/>
    </xf>
    <xf numFmtId="0" fontId="6" fillId="7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general" vertical="bottom"/>
    </xf>
    <xf numFmtId="168" fontId="13" fillId="7" borderId="0" applyAlignment="1" pivotButton="0" quotePrefix="0" xfId="0">
      <alignment horizontal="center" vertical="bottom"/>
    </xf>
    <xf numFmtId="9" fontId="6" fillId="7" borderId="0" applyAlignment="1" pivotButton="0" quotePrefix="0" xfId="19">
      <alignment horizontal="center" vertical="bottom"/>
    </xf>
    <xf numFmtId="10" fontId="12" fillId="4" borderId="0" applyAlignment="1" pivotButton="0" quotePrefix="0" xfId="0">
      <alignment horizontal="center" vertical="bottom"/>
    </xf>
    <xf numFmtId="168" fontId="6" fillId="7" borderId="0" applyAlignment="1" pivotButton="0" quotePrefix="0" xfId="0">
      <alignment horizontal="center" vertical="bottom"/>
    </xf>
    <xf numFmtId="173" fontId="15" fillId="7" borderId="0" applyAlignment="1" pivotButton="0" quotePrefix="0" xfId="22">
      <alignment horizontal="general" vertical="bottom"/>
    </xf>
    <xf numFmtId="0" fontId="13" fillId="7" borderId="0" applyAlignment="1" pivotButton="0" quotePrefix="0" xfId="22">
      <alignment horizontal="general" vertical="bottom"/>
    </xf>
    <xf numFmtId="168" fontId="6" fillId="5" borderId="0" applyAlignment="1" pivotButton="0" quotePrefix="0" xfId="0">
      <alignment horizontal="center" vertical="bottom"/>
    </xf>
    <xf numFmtId="173" fontId="6" fillId="7" borderId="0" applyAlignment="1" pivotButton="0" quotePrefix="0" xfId="22">
      <alignment horizontal="left" vertical="bottom"/>
    </xf>
    <xf numFmtId="173" fontId="6" fillId="7" borderId="0" applyAlignment="1" pivotButton="0" quotePrefix="0" xfId="19">
      <alignment horizontal="center" vertical="bottom"/>
    </xf>
    <xf numFmtId="173" fontId="12" fillId="4" borderId="0" applyAlignment="1" pivotButton="0" quotePrefix="0" xfId="19">
      <alignment horizontal="center" vertical="bottom"/>
    </xf>
    <xf numFmtId="169" fontId="6" fillId="0" borderId="0" applyAlignment="1" pivotButton="0" quotePrefix="0" xfId="22">
      <alignment horizontal="left" vertical="bottom"/>
    </xf>
    <xf numFmtId="173" fontId="6" fillId="0" borderId="0" applyAlignment="1" pivotButton="0" quotePrefix="0" xfId="19">
      <alignment horizontal="center" vertical="bottom"/>
    </xf>
    <xf numFmtId="173" fontId="12" fillId="4" borderId="0" applyAlignment="1" pivotButton="0" quotePrefix="0" xfId="0">
      <alignment horizontal="center" vertical="bottom"/>
    </xf>
    <xf numFmtId="9" fontId="6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center" vertical="bottom"/>
    </xf>
    <xf numFmtId="9" fontId="6" fillId="0" borderId="0" applyAlignment="1" pivotButton="0" quotePrefix="0" xfId="19">
      <alignment horizontal="left" vertical="bottom"/>
    </xf>
    <xf numFmtId="9" fontId="12" fillId="4" borderId="0" applyAlignment="1" pivotButton="0" quotePrefix="0" xfId="19">
      <alignment horizontal="center" vertical="bottom"/>
    </xf>
    <xf numFmtId="0" fontId="6" fillId="0" borderId="0" applyAlignment="1" pivotButton="0" quotePrefix="0" xfId="22">
      <alignment horizontal="left" vertical="bottom"/>
    </xf>
    <xf numFmtId="173" fontId="6" fillId="0" borderId="0" applyAlignment="1" pivotButton="0" quotePrefix="0" xfId="0">
      <alignment horizontal="center" vertical="bottom"/>
    </xf>
    <xf numFmtId="0" fontId="6" fillId="7" borderId="0" applyAlignment="1" pivotButton="0" quotePrefix="0" xfId="22">
      <alignment horizontal="left" vertical="bottom"/>
    </xf>
    <xf numFmtId="0" fontId="16" fillId="7" borderId="0" applyAlignment="1" pivotButton="0" quotePrefix="0" xfId="22">
      <alignment horizontal="left" vertical="bottom"/>
    </xf>
    <xf numFmtId="168" fontId="16" fillId="7" borderId="0" applyAlignment="1" pivotButton="0" quotePrefix="0" xfId="0">
      <alignment horizontal="center" vertical="bottom"/>
    </xf>
    <xf numFmtId="166" fontId="12" fillId="4" borderId="0" applyAlignment="1" pivotButton="0" quotePrefix="0" xfId="0">
      <alignment horizontal="center" vertical="bottom"/>
    </xf>
    <xf numFmtId="168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center" vertical="bottom"/>
    </xf>
    <xf numFmtId="173" fontId="12" fillId="8" borderId="0" applyAlignment="1" pivotButton="0" quotePrefix="0" xfId="0">
      <alignment horizontal="center" vertical="bottom"/>
    </xf>
    <xf numFmtId="0" fontId="13" fillId="5" borderId="0" applyAlignment="1" pivotButton="0" quotePrefix="0" xfId="22">
      <alignment horizontal="left" vertical="bottom"/>
    </xf>
    <xf numFmtId="0" fontId="6" fillId="7" borderId="0" applyAlignment="1" pivotButton="0" quotePrefix="0" xfId="0">
      <alignment horizontal="general" vertical="bottom"/>
    </xf>
    <xf numFmtId="169" fontId="6" fillId="7" borderId="0" applyAlignment="1" pivotButton="0" quotePrefix="0" xfId="22">
      <alignment horizontal="left" vertical="bottom"/>
    </xf>
    <xf numFmtId="168" fontId="6" fillId="8" borderId="0" applyAlignment="1" pivotButton="0" quotePrefix="0" xfId="0">
      <alignment horizontal="center" vertical="bottom"/>
    </xf>
    <xf numFmtId="175" fontId="6" fillId="0" borderId="0" applyAlignment="1" pivotButton="0" quotePrefix="0" xfId="0">
      <alignment horizontal="center" vertical="bottom"/>
    </xf>
    <xf numFmtId="167" fontId="6" fillId="0" borderId="0" applyAlignment="1" pivotButton="0" quotePrefix="0" xfId="0">
      <alignment horizontal="center" vertical="bottom"/>
    </xf>
    <xf numFmtId="0" fontId="14" fillId="6" borderId="0" applyAlignment="1" pivotButton="0" quotePrefix="0" xfId="22">
      <alignment horizontal="center" vertical="bottom"/>
    </xf>
    <xf numFmtId="0" fontId="6" fillId="5" borderId="1" applyAlignment="1" pivotButton="0" quotePrefix="0" xfId="22">
      <alignment horizontal="general" vertical="bottom"/>
    </xf>
    <xf numFmtId="174" fontId="6" fillId="0" borderId="0" applyAlignment="1" pivotButton="0" quotePrefix="0" xfId="0">
      <alignment horizontal="general" vertical="bottom"/>
    </xf>
    <xf numFmtId="0" fontId="17" fillId="9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9" fontId="6" fillId="0" borderId="0" applyAlignment="1" pivotButton="0" quotePrefix="0" xfId="19">
      <alignment horizontal="general" vertical="center"/>
    </xf>
    <xf numFmtId="9" fontId="6" fillId="0" borderId="0" applyAlignment="1" pivotButton="0" quotePrefix="0" xfId="19">
      <alignment horizontal="center" vertical="center"/>
    </xf>
    <xf numFmtId="173" fontId="6" fillId="0" borderId="0" applyAlignment="1" pivotButton="0" quotePrefix="0" xfId="0">
      <alignment horizontal="center" vertical="center"/>
    </xf>
    <xf numFmtId="173" fontId="6" fillId="0" borderId="0" applyAlignment="1" pivotButton="0" quotePrefix="0" xfId="19">
      <alignment horizontal="center" vertical="center"/>
    </xf>
    <xf numFmtId="176" fontId="6" fillId="0" borderId="0" applyAlignment="1" pivotButton="0" quotePrefix="0" xfId="0">
      <alignment horizontal="center" vertical="center"/>
    </xf>
    <xf numFmtId="176" fontId="6" fillId="0" borderId="0" applyAlignment="1" pivotButton="0" quotePrefix="0" xfId="0">
      <alignment horizontal="general" vertical="center"/>
    </xf>
    <xf numFmtId="173" fontId="6" fillId="0" borderId="0" applyAlignment="1" pivotButton="0" quotePrefix="0" xfId="19">
      <alignment horizontal="general" vertical="center"/>
    </xf>
    <xf numFmtId="177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general" vertical="center"/>
    </xf>
    <xf numFmtId="9" fontId="6" fillId="0" borderId="0" applyAlignment="1" pivotButton="0" quotePrefix="0" xfId="0">
      <alignment horizontal="center" vertical="center"/>
    </xf>
    <xf numFmtId="174" fontId="6" fillId="0" borderId="0" applyAlignment="1" pivotButton="0" quotePrefix="0" xfId="0">
      <alignment horizontal="general" vertical="center"/>
    </xf>
    <xf numFmtId="174" fontId="6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right" vertical="center"/>
    </xf>
    <xf numFmtId="0" fontId="16" fillId="0" borderId="0" applyAlignment="1" pivotButton="0" quotePrefix="0" xfId="24">
      <alignment horizontal="general" vertical="bottom"/>
    </xf>
    <xf numFmtId="0" fontId="14" fillId="0" borderId="0" applyAlignment="1" pivotButton="0" quotePrefix="0" xfId="24">
      <alignment horizontal="general" vertical="bottom"/>
    </xf>
    <xf numFmtId="0" fontId="16" fillId="0" borderId="3" applyAlignment="1" pivotButton="0" quotePrefix="0" xfId="24">
      <alignment horizontal="general" vertical="bottom"/>
    </xf>
    <xf numFmtId="178" fontId="12" fillId="4" borderId="4" applyAlignment="1" pivotButton="0" quotePrefix="0" xfId="21">
      <alignment horizontal="center" vertical="bottom"/>
    </xf>
    <xf numFmtId="179" fontId="12" fillId="4" borderId="0" applyAlignment="1" pivotButton="0" quotePrefix="0" xfId="24">
      <alignment horizontal="center" vertical="bottom"/>
    </xf>
    <xf numFmtId="173" fontId="16" fillId="0" borderId="0" applyAlignment="1" pivotButton="0" quotePrefix="0" xfId="24">
      <alignment horizontal="right" vertical="bottom"/>
    </xf>
    <xf numFmtId="0" fontId="0" fillId="8" borderId="0" applyAlignment="1" pivotButton="0" quotePrefix="0" xfId="0">
      <alignment horizontal="general" vertical="bottom"/>
    </xf>
    <xf numFmtId="178" fontId="12" fillId="4" borderId="4" applyAlignment="1" pivotButton="0" quotePrefix="0" xfId="21">
      <alignment horizontal="right" vertical="bottom"/>
    </xf>
    <xf numFmtId="173" fontId="16" fillId="0" borderId="0" applyAlignment="1" pivotButton="0" quotePrefix="0" xfId="24">
      <alignment horizontal="center" vertical="bottom"/>
    </xf>
    <xf numFmtId="180" fontId="12" fillId="0" borderId="0" applyAlignment="1" pivotButton="0" quotePrefix="0" xfId="24">
      <alignment horizontal="center" vertical="bottom"/>
    </xf>
    <xf numFmtId="181" fontId="16" fillId="0" borderId="0" applyAlignment="1" pivotButton="0" quotePrefix="0" xfId="24">
      <alignment horizontal="center" vertical="bottom"/>
    </xf>
    <xf numFmtId="0" fontId="18" fillId="0" borderId="0" applyAlignment="1" pivotButton="0" quotePrefix="0" xfId="24">
      <alignment horizontal="general" vertical="bottom"/>
    </xf>
    <xf numFmtId="182" fontId="16" fillId="0" borderId="0" applyAlignment="1" pivotButton="0" quotePrefix="0" xfId="24">
      <alignment horizontal="general" vertical="bottom"/>
    </xf>
    <xf numFmtId="0" fontId="13" fillId="5" borderId="0" applyAlignment="1" pivotButton="0" quotePrefix="0" xfId="24">
      <alignment horizontal="general" vertical="bottom"/>
    </xf>
    <xf numFmtId="0" fontId="19" fillId="6" borderId="0" applyAlignment="1" pivotButton="0" quotePrefix="0" xfId="24">
      <alignment horizontal="center" vertical="bottom" wrapText="1"/>
    </xf>
    <xf numFmtId="0" fontId="13" fillId="5" borderId="1" applyAlignment="1" pivotButton="0" quotePrefix="0" xfId="24">
      <alignment horizontal="general" vertical="bottom"/>
    </xf>
    <xf numFmtId="0" fontId="17" fillId="6" borderId="1" applyAlignment="1" pivotButton="0" quotePrefix="0" xfId="24">
      <alignment horizontal="center" vertical="bottom"/>
    </xf>
    <xf numFmtId="0" fontId="0" fillId="0" borderId="1" pivotButton="0" quotePrefix="0" xfId="0"/>
    <xf numFmtId="0" fontId="17" fillId="10" borderId="1" applyAlignment="1" pivotButton="0" quotePrefix="0" xfId="24">
      <alignment horizontal="center" vertical="bottom"/>
    </xf>
    <xf numFmtId="0" fontId="20" fillId="10" borderId="1" applyAlignment="1" pivotButton="0" quotePrefix="0" xfId="24">
      <alignment horizontal="center" vertical="bottom"/>
    </xf>
    <xf numFmtId="0" fontId="18" fillId="0" borderId="0" applyAlignment="1" pivotButton="0" quotePrefix="0" xfId="24">
      <alignment horizontal="center" vertical="bottom"/>
    </xf>
    <xf numFmtId="0" fontId="16" fillId="0" borderId="0" applyAlignment="1" pivotButton="0" quotePrefix="0" xfId="24">
      <alignment horizontal="center" vertical="bottom"/>
    </xf>
    <xf numFmtId="1" fontId="18" fillId="0" borderId="0" applyAlignment="1" pivotButton="0" quotePrefix="0" xfId="24">
      <alignment horizontal="center" vertical="bottom"/>
    </xf>
    <xf numFmtId="1" fontId="20" fillId="0" borderId="0" applyAlignment="1" pivotButton="0" quotePrefix="0" xfId="24">
      <alignment horizontal="center" vertical="bottom"/>
    </xf>
    <xf numFmtId="0" fontId="16" fillId="0" borderId="1" applyAlignment="1" pivotButton="0" quotePrefix="0" xfId="24">
      <alignment horizontal="general" vertical="bottom"/>
    </xf>
    <xf numFmtId="170" fontId="16" fillId="0" borderId="1" applyAlignment="1" pivotButton="0" quotePrefix="0" xfId="24">
      <alignment horizontal="center" vertical="bottom"/>
    </xf>
    <xf numFmtId="170" fontId="16" fillId="0" borderId="0" applyAlignment="1" pivotButton="0" quotePrefix="0" xfId="24">
      <alignment horizontal="center" vertical="bottom"/>
    </xf>
    <xf numFmtId="0" fontId="16" fillId="0" borderId="5" applyAlignment="1" pivotButton="0" quotePrefix="0" xfId="24">
      <alignment horizontal="general" vertical="bottom"/>
    </xf>
    <xf numFmtId="180" fontId="16" fillId="11" borderId="6" applyAlignment="1" pivotButton="0" quotePrefix="0" xfId="24">
      <alignment horizontal="center" vertical="bottom"/>
    </xf>
    <xf numFmtId="180" fontId="16" fillId="11" borderId="7" applyAlignment="1" pivotButton="0" quotePrefix="0" xfId="24">
      <alignment horizontal="center" vertical="bottom"/>
    </xf>
    <xf numFmtId="173" fontId="18" fillId="0" borderId="0" applyAlignment="1" pivotButton="0" quotePrefix="0" xfId="28">
      <alignment horizontal="center" vertical="bottom"/>
    </xf>
    <xf numFmtId="0" fontId="16" fillId="0" borderId="8" applyAlignment="1" pivotButton="0" quotePrefix="0" xfId="24">
      <alignment horizontal="general" vertical="bottom"/>
    </xf>
    <xf numFmtId="173" fontId="18" fillId="0" borderId="1" applyAlignment="1" pivotButton="0" quotePrefix="0" xfId="28">
      <alignment horizontal="center" vertical="bottom"/>
    </xf>
    <xf numFmtId="173" fontId="18" fillId="0" borderId="9" applyAlignment="1" pivotButton="0" quotePrefix="0" xfId="28">
      <alignment horizontal="center" vertical="bottom"/>
    </xf>
    <xf numFmtId="180" fontId="16" fillId="0" borderId="5" applyAlignment="1" pivotButton="0" quotePrefix="0" xfId="24">
      <alignment horizontal="general" vertical="bottom"/>
    </xf>
    <xf numFmtId="0" fontId="16" fillId="0" borderId="6" applyAlignment="1" pivotButton="0" quotePrefix="0" xfId="24">
      <alignment horizontal="general" vertical="bottom"/>
    </xf>
    <xf numFmtId="0" fontId="16" fillId="0" borderId="7" applyAlignment="1" pivotButton="0" quotePrefix="0" xfId="24">
      <alignment horizontal="general" vertical="bottom"/>
    </xf>
    <xf numFmtId="173" fontId="16" fillId="0" borderId="1" applyAlignment="1" pivotButton="0" quotePrefix="0" xfId="28">
      <alignment horizontal="center" vertical="bottom"/>
    </xf>
    <xf numFmtId="0" fontId="16" fillId="0" borderId="9" applyAlignment="1" pivotButton="0" quotePrefix="0" xfId="24">
      <alignment horizontal="general" vertical="bottom"/>
    </xf>
    <xf numFmtId="173" fontId="16" fillId="0" borderId="9" applyAlignment="1" pivotButton="0" quotePrefix="0" xfId="28">
      <alignment horizontal="center" vertical="bottom"/>
    </xf>
    <xf numFmtId="173" fontId="16" fillId="11" borderId="6" applyAlignment="1" pivotButton="0" quotePrefix="0" xfId="24">
      <alignment horizontal="center" vertical="bottom"/>
    </xf>
    <xf numFmtId="173" fontId="16" fillId="11" borderId="7" applyAlignment="1" pivotButton="0" quotePrefix="0" xfId="24">
      <alignment horizontal="center" vertical="bottom"/>
    </xf>
    <xf numFmtId="180" fontId="16" fillId="0" borderId="1" applyAlignment="1" pivotButton="0" quotePrefix="0" xfId="24">
      <alignment horizontal="center" vertical="bottom"/>
    </xf>
    <xf numFmtId="180" fontId="16" fillId="0" borderId="9" applyAlignment="1" pivotButton="0" quotePrefix="0" xfId="24">
      <alignment horizontal="center" vertical="bottom"/>
    </xf>
    <xf numFmtId="180" fontId="16" fillId="0" borderId="10" applyAlignment="1" pivotButton="0" quotePrefix="0" xfId="24">
      <alignment horizontal="left" vertical="bottom"/>
    </xf>
    <xf numFmtId="180" fontId="16" fillId="11" borderId="11" applyAlignment="1" pivotButton="0" quotePrefix="0" xfId="24">
      <alignment horizontal="center" vertical="bottom"/>
    </xf>
    <xf numFmtId="180" fontId="16" fillId="11" borderId="12" applyAlignment="1" pivotButton="0" quotePrefix="0" xfId="24">
      <alignment horizontal="center" vertical="bottom"/>
    </xf>
    <xf numFmtId="180" fontId="16" fillId="0" borderId="5" applyAlignment="1" pivotButton="0" quotePrefix="0" xfId="24">
      <alignment horizontal="left" vertical="bottom"/>
    </xf>
    <xf numFmtId="180" fontId="16" fillId="0" borderId="6" applyAlignment="1" pivotButton="0" quotePrefix="0" xfId="24">
      <alignment horizontal="center" vertical="bottom"/>
    </xf>
    <xf numFmtId="180" fontId="16" fillId="0" borderId="7" applyAlignment="1" pivotButton="0" quotePrefix="0" xfId="24">
      <alignment horizontal="center" vertical="bottom"/>
    </xf>
    <xf numFmtId="180" fontId="16" fillId="0" borderId="13" applyAlignment="1" pivotButton="0" quotePrefix="0" xfId="24">
      <alignment horizontal="left" vertical="bottom"/>
    </xf>
    <xf numFmtId="180" fontId="16" fillId="11" borderId="0" applyAlignment="1" pivotButton="0" quotePrefix="0" xfId="24">
      <alignment horizontal="center" vertical="bottom"/>
    </xf>
    <xf numFmtId="180" fontId="16" fillId="11" borderId="14" applyAlignment="1" pivotButton="0" quotePrefix="0" xfId="24">
      <alignment horizontal="center" vertical="bottom"/>
    </xf>
    <xf numFmtId="180" fontId="16" fillId="0" borderId="8" applyAlignment="1" pivotButton="0" quotePrefix="0" xfId="24">
      <alignment horizontal="left" vertical="bottom"/>
    </xf>
    <xf numFmtId="180" fontId="16" fillId="11" borderId="1" applyAlignment="1" pivotButton="0" quotePrefix="0" xfId="24">
      <alignment horizontal="center" vertical="bottom"/>
    </xf>
    <xf numFmtId="180" fontId="16" fillId="11" borderId="9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center" vertical="bottom"/>
    </xf>
    <xf numFmtId="180" fontId="16" fillId="0" borderId="15" applyAlignment="1" pivotButton="0" quotePrefix="0" xfId="24">
      <alignment horizontal="center" vertical="bottom"/>
    </xf>
    <xf numFmtId="0" fontId="16" fillId="0" borderId="13" applyAlignment="1" pivotButton="0" quotePrefix="0" xfId="24">
      <alignment horizontal="general" vertical="bottom"/>
    </xf>
    <xf numFmtId="0" fontId="16" fillId="0" borderId="14" applyAlignment="1" pivotButton="0" quotePrefix="0" xfId="24">
      <alignment horizontal="general" vertical="bottom"/>
    </xf>
    <xf numFmtId="180" fontId="6" fillId="0" borderId="0" applyAlignment="1" pivotButton="0" quotePrefix="0" xfId="24">
      <alignment horizontal="center" vertical="bottom"/>
    </xf>
    <xf numFmtId="180" fontId="6" fillId="0" borderId="14" applyAlignment="1" pivotButton="0" quotePrefix="0" xfId="24">
      <alignment horizontal="center" vertical="bottom"/>
    </xf>
    <xf numFmtId="173" fontId="12" fillId="4" borderId="1" applyAlignment="1" pivotButton="0" quotePrefix="0" xfId="28">
      <alignment horizontal="center" vertical="bottom"/>
    </xf>
    <xf numFmtId="173" fontId="12" fillId="4" borderId="9" applyAlignment="1" pivotButton="0" quotePrefix="0" xfId="28">
      <alignment horizontal="center" vertical="bottom"/>
    </xf>
    <xf numFmtId="1" fontId="16" fillId="0" borderId="0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general" vertical="bottom"/>
    </xf>
    <xf numFmtId="173" fontId="18" fillId="11" borderId="11" applyAlignment="1" pivotButton="0" quotePrefix="0" xfId="24">
      <alignment horizontal="center" vertical="bottom"/>
    </xf>
    <xf numFmtId="173" fontId="18" fillId="0" borderId="11" applyAlignment="1" pivotButton="0" quotePrefix="0" xfId="28">
      <alignment horizontal="center" vertical="bottom"/>
    </xf>
    <xf numFmtId="173" fontId="18" fillId="0" borderId="12" applyAlignment="1" pivotButton="0" quotePrefix="0" xfId="28">
      <alignment horizontal="center" vertical="bottom"/>
    </xf>
    <xf numFmtId="173" fontId="18" fillId="0" borderId="0" applyAlignment="1" pivotButton="0" quotePrefix="0" xfId="24">
      <alignment horizontal="center" vertical="bottom"/>
    </xf>
    <xf numFmtId="183" fontId="16" fillId="0" borderId="0" applyAlignment="1" pivotButton="0" quotePrefix="0" xfId="25">
      <alignment horizontal="center" vertical="center"/>
    </xf>
    <xf numFmtId="180" fontId="18" fillId="0" borderId="0" applyAlignment="1" pivotButton="0" quotePrefix="0" xfId="24">
      <alignment horizontal="center" vertical="bottom"/>
    </xf>
    <xf numFmtId="180" fontId="21" fillId="0" borderId="2" applyAlignment="1" pivotButton="0" quotePrefix="0" xfId="27">
      <alignment horizontal="center" vertical="bottom"/>
    </xf>
    <xf numFmtId="0" fontId="16" fillId="0" borderId="0" applyAlignment="1" pivotButton="0" quotePrefix="0" xfId="24">
      <alignment horizontal="left" vertical="bottom" indent="1"/>
    </xf>
    <xf numFmtId="175" fontId="16" fillId="0" borderId="0" applyAlignment="1" pivotButton="0" quotePrefix="0" xfId="24">
      <alignment horizontal="center" vertical="bottom"/>
    </xf>
    <xf numFmtId="175" fontId="21" fillId="0" borderId="2" applyAlignment="1" pivotButton="0" quotePrefix="0" xfId="27">
      <alignment horizontal="center" vertical="bottom"/>
    </xf>
    <xf numFmtId="10" fontId="16" fillId="0" borderId="0" applyAlignment="1" pivotButton="0" quotePrefix="0" xfId="24">
      <alignment horizontal="general" vertical="bottom"/>
    </xf>
    <xf numFmtId="180" fontId="18" fillId="0" borderId="0" applyAlignment="1" pivotButton="0" quotePrefix="0" xfId="24">
      <alignment horizontal="general" vertical="bottom"/>
    </xf>
    <xf numFmtId="181" fontId="16" fillId="0" borderId="0" applyAlignment="1" pivotButton="0" quotePrefix="0" xfId="24">
      <alignment horizontal="general" vertical="bottom"/>
    </xf>
    <xf numFmtId="0" fontId="13" fillId="5" borderId="5" applyAlignment="1" pivotButton="0" quotePrefix="0" xfId="24">
      <alignment horizontal="general" vertical="bottom"/>
    </xf>
    <xf numFmtId="173" fontId="6" fillId="5" borderId="7" applyAlignment="1" pivotButton="0" quotePrefix="0" xfId="24">
      <alignment horizontal="center" vertical="bottom"/>
    </xf>
    <xf numFmtId="0" fontId="13" fillId="5" borderId="6" applyAlignment="1" pivotButton="0" quotePrefix="0" xfId="24">
      <alignment horizontal="general" vertical="bottom"/>
    </xf>
    <xf numFmtId="0" fontId="6" fillId="5" borderId="6" applyAlignment="1" pivotButton="0" quotePrefix="0" xfId="24">
      <alignment horizontal="general" vertical="bottom"/>
    </xf>
    <xf numFmtId="0" fontId="13" fillId="5" borderId="16" applyAlignment="1" pivotButton="0" quotePrefix="0" xfId="24">
      <alignment horizontal="general" vertical="bottom"/>
    </xf>
    <xf numFmtId="173" fontId="6" fillId="5" borderId="17" applyAlignment="1" pivotButton="0" quotePrefix="0" xfId="24">
      <alignment horizontal="center" vertical="bottom"/>
    </xf>
    <xf numFmtId="0" fontId="6" fillId="5" borderId="17" applyAlignment="1" pivotButton="0" quotePrefix="0" xfId="24">
      <alignment horizontal="general" vertical="bottom"/>
    </xf>
    <xf numFmtId="0" fontId="6" fillId="5" borderId="18" applyAlignment="1" pivotButton="0" quotePrefix="0" xfId="24">
      <alignment horizontal="general" vertical="bottom"/>
    </xf>
    <xf numFmtId="0" fontId="18" fillId="0" borderId="13" applyAlignment="1" pivotButton="0" quotePrefix="0" xfId="24">
      <alignment horizontal="left" vertical="bottom" indent="1"/>
    </xf>
    <xf numFmtId="180" fontId="16" fillId="0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left" vertical="bottom" indent="1"/>
    </xf>
    <xf numFmtId="0" fontId="16" fillId="0" borderId="13" applyAlignment="1" pivotButton="0" quotePrefix="0" xfId="24">
      <alignment horizontal="left" vertical="bottom" indent="1"/>
    </xf>
    <xf numFmtId="180" fontId="6" fillId="11" borderId="14" applyAlignment="1" pivotButton="0" quotePrefix="0" xfId="24">
      <alignment horizontal="center" vertical="bottom"/>
    </xf>
    <xf numFmtId="173" fontId="22" fillId="4" borderId="14" applyAlignment="1" pivotButton="0" quotePrefix="0" xfId="24">
      <alignment horizontal="center" vertical="bottom"/>
    </xf>
    <xf numFmtId="0" fontId="23" fillId="0" borderId="0" applyAlignment="1" pivotButton="0" quotePrefix="0" xfId="24">
      <alignment horizontal="left" vertical="bottom" indent="1"/>
    </xf>
    <xf numFmtId="184" fontId="6" fillId="11" borderId="14" applyAlignment="1" pivotButton="0" quotePrefix="0" xfId="21">
      <alignment horizontal="center" vertical="bottom"/>
    </xf>
    <xf numFmtId="173" fontId="13" fillId="0" borderId="19" applyAlignment="1" pivotButton="0" quotePrefix="0" xfId="0">
      <alignment horizontal="center" vertical="bottom"/>
    </xf>
    <xf numFmtId="0" fontId="16" fillId="0" borderId="1" applyAlignment="1" pivotButton="0" quotePrefix="0" xfId="24">
      <alignment horizontal="left" vertical="bottom" indent="1"/>
    </xf>
    <xf numFmtId="0" fontId="16" fillId="0" borderId="9" applyAlignment="1" pivotButton="0" quotePrefix="0" xfId="24">
      <alignment horizontal="right" vertical="bottom" indent="1"/>
    </xf>
    <xf numFmtId="180" fontId="18" fillId="0" borderId="14" applyAlignment="1" pivotButton="0" quotePrefix="0" xfId="24">
      <alignment horizontal="center" vertical="bottom"/>
    </xf>
    <xf numFmtId="0" fontId="16" fillId="0" borderId="1" applyAlignment="1" pivotButton="0" quotePrefix="0" xfId="24">
      <alignment horizontal="right" vertical="bottom"/>
    </xf>
    <xf numFmtId="185" fontId="12" fillId="4" borderId="20" applyAlignment="1" pivotButton="0" quotePrefix="0" xfId="24">
      <alignment horizontal="general" vertical="bottom"/>
    </xf>
    <xf numFmtId="184" fontId="12" fillId="4" borderId="21" applyAlignment="1" pivotButton="0" quotePrefix="0" xfId="20">
      <alignment horizontal="general" vertical="bottom"/>
    </xf>
    <xf numFmtId="181" fontId="16" fillId="0" borderId="14" applyAlignment="1" pivotButton="0" quotePrefix="0" xfId="24">
      <alignment horizontal="right" vertical="bottom" indent="1"/>
    </xf>
    <xf numFmtId="185" fontId="12" fillId="4" borderId="22" applyAlignment="1" pivotButton="0" quotePrefix="0" xfId="24">
      <alignment horizontal="general" vertical="bottom"/>
    </xf>
    <xf numFmtId="184" fontId="12" fillId="4" borderId="23" applyAlignment="1" pivotButton="0" quotePrefix="0" xfId="20">
      <alignment horizontal="general" vertical="bottom"/>
    </xf>
    <xf numFmtId="180" fontId="16" fillId="0" borderId="14" applyAlignment="1" pivotButton="0" quotePrefix="0" xfId="24">
      <alignment horizontal="center" vertical="bottom"/>
    </xf>
    <xf numFmtId="185" fontId="12" fillId="4" borderId="24" applyAlignment="1" pivotButton="0" quotePrefix="0" xfId="24">
      <alignment horizontal="general" vertical="bottom"/>
    </xf>
    <xf numFmtId="184" fontId="12" fillId="4" borderId="25" applyAlignment="1" pivotButton="0" quotePrefix="0" xfId="20">
      <alignment horizontal="general" vertical="bottom"/>
    </xf>
    <xf numFmtId="181" fontId="16" fillId="0" borderId="9" applyAlignment="1" pivotButton="0" quotePrefix="0" xfId="24">
      <alignment horizontal="right" vertical="bottom" indent="1"/>
    </xf>
    <xf numFmtId="176" fontId="12" fillId="4" borderId="14" applyAlignment="1" pivotButton="0" quotePrefix="0" xfId="24">
      <alignment horizontal="center" vertical="bottom"/>
    </xf>
    <xf numFmtId="186" fontId="16" fillId="0" borderId="0" applyAlignment="1" pivotButton="0" quotePrefix="0" xfId="24">
      <alignment horizontal="right" vertical="bottom"/>
    </xf>
    <xf numFmtId="187" fontId="16" fillId="0" borderId="14" applyAlignment="1" pivotButton="0" quotePrefix="0" xfId="24">
      <alignment horizontal="right" vertical="bottom" indent="1"/>
    </xf>
    <xf numFmtId="0" fontId="16" fillId="0" borderId="0" applyAlignment="1" pivotButton="0" quotePrefix="0" xfId="24">
      <alignment horizontal="right" vertical="bottom"/>
    </xf>
    <xf numFmtId="180" fontId="24" fillId="0" borderId="0" applyAlignment="1" pivotButton="0" quotePrefix="0" xfId="24">
      <alignment horizontal="general" vertical="bottom"/>
    </xf>
    <xf numFmtId="180" fontId="16" fillId="0" borderId="14" applyAlignment="1" pivotButton="0" quotePrefix="0" xfId="24">
      <alignment horizontal="general" vertical="bottom"/>
    </xf>
    <xf numFmtId="184" fontId="18" fillId="0" borderId="26" applyAlignment="1" pivotButton="0" quotePrefix="0" xfId="24">
      <alignment horizontal="center" vertical="bottom"/>
    </xf>
    <xf numFmtId="185" fontId="12" fillId="4" borderId="27" applyAlignment="1" pivotButton="0" quotePrefix="0" xfId="24">
      <alignment horizontal="right" vertical="bottom" indent="1"/>
    </xf>
    <xf numFmtId="0" fontId="16" fillId="0" borderId="14" applyAlignment="1" pivotButton="0" quotePrefix="0" xfId="24">
      <alignment horizontal="right" vertical="bottom" indent="1"/>
    </xf>
    <xf numFmtId="184" fontId="18" fillId="0" borderId="14" applyAlignment="1" pivotButton="0" quotePrefix="0" xfId="24">
      <alignment horizontal="center" vertical="bottom"/>
    </xf>
    <xf numFmtId="185" fontId="12" fillId="4" borderId="28" applyAlignment="1" pivotButton="0" quotePrefix="0" xfId="24">
      <alignment horizontal="right" vertical="bottom" indent="1"/>
    </xf>
    <xf numFmtId="188" fontId="12" fillId="4" borderId="14" applyAlignment="1" pivotButton="0" quotePrefix="0" xfId="24">
      <alignment horizontal="right" vertical="bottom" indent="1"/>
    </xf>
    <xf numFmtId="0" fontId="18" fillId="0" borderId="0" applyAlignment="1" pivotButton="0" quotePrefix="0" xfId="24">
      <alignment horizontal="right" vertical="bottom"/>
    </xf>
    <xf numFmtId="180" fontId="18" fillId="0" borderId="14" applyAlignment="1" pivotButton="0" quotePrefix="0" xfId="26">
      <alignment horizontal="right" vertical="bottom" indent="1"/>
    </xf>
    <xf numFmtId="0" fontId="16" fillId="0" borderId="8" applyAlignment="1" pivotButton="0" quotePrefix="0" xfId="24">
      <alignment horizontal="left" vertical="bottom" indent="1"/>
    </xf>
    <xf numFmtId="173" fontId="16" fillId="0" borderId="9" applyAlignment="1" pivotButton="0" quotePrefix="0" xfId="24">
      <alignment horizontal="right" vertical="bottom" indent="1"/>
    </xf>
    <xf numFmtId="0" fontId="13" fillId="5" borderId="3" applyAlignment="1" pivotButton="0" quotePrefix="0" xfId="24">
      <alignment horizontal="general" vertical="bottom"/>
    </xf>
    <xf numFmtId="173" fontId="6" fillId="5" borderId="3" applyAlignment="1" pivotButton="0" quotePrefix="0" xfId="24">
      <alignment horizontal="center" vertical="bottom"/>
    </xf>
    <xf numFmtId="0" fontId="6" fillId="5" borderId="3" applyAlignment="1" pivotButton="0" quotePrefix="0" xfId="24">
      <alignment horizontal="general" vertical="bottom"/>
    </xf>
    <xf numFmtId="0" fontId="18" fillId="0" borderId="1" applyAlignment="1" pivotButton="0" quotePrefix="0" xfId="24">
      <alignment horizontal="general" vertical="bottom"/>
    </xf>
    <xf numFmtId="173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center" vertical="bottom"/>
    </xf>
    <xf numFmtId="0" fontId="18" fillId="0" borderId="10" applyAlignment="1" pivotButton="0" quotePrefix="0" xfId="24">
      <alignment horizontal="center" vertical="bottom"/>
    </xf>
    <xf numFmtId="0" fontId="0" fillId="0" borderId="11" pivotButton="0" quotePrefix="0" xfId="0"/>
    <xf numFmtId="0" fontId="16" fillId="0" borderId="11" applyAlignment="1" pivotButton="0" quotePrefix="0" xfId="24">
      <alignment horizontal="right" vertical="bottom"/>
    </xf>
    <xf numFmtId="180" fontId="16" fillId="0" borderId="0" applyAlignment="1" pivotButton="0" quotePrefix="0" xfId="24">
      <alignment horizontal="general" vertical="bottom"/>
    </xf>
    <xf numFmtId="9" fontId="16" fillId="0" borderId="0" applyAlignment="1" pivotButton="0" quotePrefix="0" xfId="24">
      <alignment horizontal="general" vertical="bottom"/>
    </xf>
    <xf numFmtId="189" fontId="16" fillId="0" borderId="0" applyAlignment="1" pivotButton="0" quotePrefix="0" xfId="24">
      <alignment horizontal="center" vertical="bottom"/>
    </xf>
    <xf numFmtId="180" fontId="16" fillId="0" borderId="0" applyAlignment="1" pivotButton="0" quotePrefix="0" xfId="24">
      <alignment horizontal="right" vertical="bottom"/>
    </xf>
    <xf numFmtId="190" fontId="16" fillId="0" borderId="0" applyAlignment="1" pivotButton="0" quotePrefix="0" xfId="24">
      <alignment horizontal="general" vertical="bottom"/>
    </xf>
    <xf numFmtId="180" fontId="23" fillId="0" borderId="0" applyAlignment="1" pivotButton="0" quotePrefix="0" xfId="24">
      <alignment horizontal="right" vertical="bottom"/>
    </xf>
    <xf numFmtId="0" fontId="23" fillId="0" borderId="0" applyAlignment="1" pivotButton="0" quotePrefix="0" xfId="24">
      <alignment horizontal="right" vertical="bottom"/>
    </xf>
    <xf numFmtId="191" fontId="12" fillId="4" borderId="0" applyAlignment="1" pivotButton="0" quotePrefix="0" xfId="24">
      <alignment horizontal="center" vertical="bottom"/>
    </xf>
    <xf numFmtId="0" fontId="18" fillId="0" borderId="1" applyAlignment="1" pivotButton="0" quotePrefix="0" xfId="24">
      <alignment horizontal="left" vertical="bottom" wrapText="1"/>
    </xf>
    <xf numFmtId="0" fontId="18" fillId="0" borderId="1" applyAlignment="1" pivotButton="0" quotePrefix="0" xfId="24">
      <alignment horizontal="center" vertical="bottom" wrapText="1"/>
    </xf>
    <xf numFmtId="178" fontId="16" fillId="0" borderId="0" applyAlignment="1" pivotButton="0" quotePrefix="0" xfId="24">
      <alignment horizontal="general" vertical="bottom"/>
    </xf>
    <xf numFmtId="191" fontId="16" fillId="0" borderId="0" applyAlignment="1" pivotButton="0" quotePrefix="0" xfId="24">
      <alignment horizontal="center" vertical="bottom"/>
    </xf>
    <xf numFmtId="184" fontId="16" fillId="0" borderId="0" applyAlignment="1" pivotButton="0" quotePrefix="0" xfId="24">
      <alignment horizontal="center" vertical="bottom"/>
    </xf>
    <xf numFmtId="10" fontId="16" fillId="0" borderId="0" applyAlignment="1" pivotButton="0" quotePrefix="0" xfId="24">
      <alignment horizontal="center" vertical="bottom"/>
    </xf>
    <xf numFmtId="2" fontId="16" fillId="0" borderId="0" applyAlignment="1" pivotButton="0" quotePrefix="0" xfId="24">
      <alignment horizontal="center" vertical="bottom"/>
    </xf>
    <xf numFmtId="191" fontId="12" fillId="4" borderId="0" applyAlignment="1" pivotButton="0" quotePrefix="0" xfId="24">
      <alignment horizontal="left" vertical="bottom"/>
    </xf>
    <xf numFmtId="184" fontId="12" fillId="4" borderId="0" applyAlignment="1" pivotButton="0" quotePrefix="0" xfId="24">
      <alignment horizontal="center" vertical="bottom"/>
    </xf>
    <xf numFmtId="180" fontId="12" fillId="4" borderId="0" applyAlignment="1" pivotButton="0" quotePrefix="0" xfId="24">
      <alignment horizontal="center" vertical="bottom"/>
    </xf>
    <xf numFmtId="10" fontId="12" fillId="4" borderId="0" applyAlignment="1" pivotButton="0" quotePrefix="0" xfId="24">
      <alignment horizontal="center" vertical="bottom"/>
    </xf>
    <xf numFmtId="191" fontId="12" fillId="4" borderId="1" applyAlignment="1" pivotButton="0" quotePrefix="0" xfId="24">
      <alignment horizontal="left" vertical="bottom"/>
    </xf>
    <xf numFmtId="191" fontId="12" fillId="4" borderId="1" applyAlignment="1" pivotButton="0" quotePrefix="0" xfId="24">
      <alignment horizontal="center" vertical="bottom"/>
    </xf>
    <xf numFmtId="184" fontId="12" fillId="4" borderId="1" applyAlignment="1" pivotButton="0" quotePrefix="0" xfId="24">
      <alignment horizontal="center" vertical="bottom"/>
    </xf>
    <xf numFmtId="180" fontId="12" fillId="4" borderId="1" applyAlignment="1" pivotButton="0" quotePrefix="0" xfId="24">
      <alignment horizontal="center" vertical="bottom"/>
    </xf>
    <xf numFmtId="10" fontId="16" fillId="0" borderId="1" applyAlignment="1" pivotButton="0" quotePrefix="0" xfId="24">
      <alignment horizontal="center" vertical="bottom"/>
    </xf>
    <xf numFmtId="10" fontId="12" fillId="4" borderId="1" applyAlignment="1" pivotButton="0" quotePrefix="0" xfId="24">
      <alignment horizontal="center" vertical="bottom"/>
    </xf>
    <xf numFmtId="191" fontId="16" fillId="0" borderId="1" applyAlignment="1" pivotButton="0" quotePrefix="0" xfId="24">
      <alignment horizontal="center" vertical="bottom"/>
    </xf>
    <xf numFmtId="191" fontId="18" fillId="0" borderId="0" applyAlignment="1" pivotButton="0" quotePrefix="0" xfId="24">
      <alignment horizontal="right" vertical="bottom"/>
    </xf>
    <xf numFmtId="191" fontId="18" fillId="0" borderId="29" applyAlignment="1" pivotButton="0" quotePrefix="0" xfId="24">
      <alignment horizontal="center" vertical="bottom"/>
    </xf>
    <xf numFmtId="0" fontId="26" fillId="0" borderId="0" pivotButton="0" quotePrefix="0" xfId="0"/>
    <xf numFmtId="3" fontId="0" fillId="0" borderId="0" pivotButton="0" quotePrefix="0" xfId="0"/>
    <xf numFmtId="196" fontId="12" fillId="4" borderId="0" applyAlignment="1" pivotButton="0" quotePrefix="0" xfId="0">
      <alignment horizontal="center" vertical="bottom"/>
    </xf>
    <xf numFmtId="196" fontId="6" fillId="0" borderId="0" applyAlignment="1" pivotButton="0" quotePrefix="0" xfId="0">
      <alignment horizontal="center" vertical="bottom"/>
    </xf>
    <xf numFmtId="3" fontId="13" fillId="5" borderId="0" applyAlignment="1" pivotButton="0" quotePrefix="0" xfId="0">
      <alignment horizontal="center" vertical="bottom"/>
    </xf>
    <xf numFmtId="3" fontId="13" fillId="0" borderId="0" applyAlignment="1" pivotButton="0" quotePrefix="0" xfId="0">
      <alignment horizontal="center" vertical="bottom"/>
    </xf>
    <xf numFmtId="0" fontId="27" fillId="5" borderId="0" applyAlignment="1" pivotButton="0" quotePrefix="0" xfId="22">
      <alignment horizontal="general" vertical="bottom"/>
    </xf>
    <xf numFmtId="173" fontId="13" fillId="5" borderId="0" applyAlignment="1" pivotButton="0" quotePrefix="0" xfId="0">
      <alignment horizontal="center" vertical="bottom"/>
    </xf>
    <xf numFmtId="173" fontId="13" fillId="0" borderId="0" applyAlignment="1" pivotButton="0" quotePrefix="0" xfId="0">
      <alignment horizontal="center" vertical="bottom"/>
    </xf>
  </cellXfs>
  <cellStyles count="1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urrency 2" xfId="6"/>
    <cellStyle name="m/d/yy" xfId="7"/>
    <cellStyle name="Normal 2" xfId="8"/>
    <cellStyle name="Normal 2 2" xfId="9"/>
    <cellStyle name="Normal 2 3" xfId="10"/>
    <cellStyle name="Normal 4" xfId="11"/>
    <cellStyle name="Normal [3] 2" xfId="12"/>
    <cellStyle name="Output_dcfmodel" xfId="13"/>
    <cellStyle name="Porcentagem 3" xfId="14"/>
    <cellStyle name="Separador de milhares 2 17" xfId="15"/>
  </cellStyles>
  <dxfs count="4">
    <dxf>
      <font>
        <color rgb="FFFFFFFF"/>
        <u val="single"/>
      </font>
      <fill>
        <patternFill>
          <bgColor rgb="FFFF0000"/>
        </patternFill>
      </fill>
    </dxf>
    <dxf>
      <font>
        <color rgb="FFFFFFFF"/>
      </font>
      <fill>
        <patternFill>
          <bgColor rgb="FF00B050"/>
        </patternFill>
      </fill>
    </dxf>
    <dxf>
      <font>
        <color rgb="FFFFFFFF"/>
      </font>
      <fill>
        <patternFill>
          <bgColor rgb="FFFF0000"/>
        </patternFill>
      </fill>
    </dxf>
    <dxf>
      <font>
        <color rgb="FF0000FF"/>
      </font>
      <fill>
        <patternFill>
          <bgColor rgb="FFFFFF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F2F2F2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9D9D9"/>
      <rgbColor rgb="FFFFF2CC"/>
      <rgbColor rgb="FF99CCFF"/>
      <rgbColor rgb="FFFF99CC"/>
      <rgbColor rgb="FFCC99FF"/>
      <rgbColor rgb="FFFFCC99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Unknown Author</author>
  </authors>
  <commentList>
    <comment ref="D64" authorId="0" shapeId="0">
      <text>
        <t>MG: 
- expected rate of return on new invested capital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J1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baseColWidth="8" defaultColWidth="8.53125" defaultRowHeight="15" zeroHeight="0" outlineLevelRow="0"/>
  <cols>
    <col width="6" customWidth="1" style="254" min="1" max="1"/>
    <col width="7" customWidth="1" style="254" min="2" max="2"/>
    <col width="6" customWidth="1" style="254" min="3" max="3"/>
    <col width="7" customWidth="1" style="254" min="4" max="4"/>
    <col width="6" customWidth="1" style="254" min="5" max="5"/>
    <col width="7" customWidth="1" style="254" min="6" max="6"/>
    <col width="8" customWidth="1" style="254" min="7" max="7"/>
    <col width="95" customWidth="1" style="254" min="8" max="8"/>
    <col width="20" customWidth="1" style="254" min="9" max="9"/>
    <col width="10" customWidth="1" style="254" min="10" max="10"/>
    <col width="13" customWidth="1" style="254" min="11" max="36"/>
  </cols>
  <sheetData>
    <row r="1" ht="15" customHeight="1" s="255">
      <c r="A1" s="254" t="inlineStr">
        <is>
          <t>Fator p/ milhões:</t>
        </is>
      </c>
      <c r="B1" s="254" t="n">
        <v>1e-06</v>
      </c>
      <c r="D1" s="254" t="inlineStr">
        <is>
          <t>Freeport-McMoRan Inc. (FCX, CIK 831259) - fonte: SEC EDGAR XBRL (instâncias dos 10-Q/10-K). Moeda: USD. Brutos em USD unidades (fator 0,000001 -&gt; milhões). Colunas = trimestres-CALENDÁRIO (cada fechamento vai para o fim de trimestre mais próximo); ano fiscal termina no trimestre-calendário de dez. Trimestre fiscal 4 (e qualquer trimestre sem 3M publicado) = acumulado do ano menos o acumulado anterior, calculado na extração.</t>
        </is>
      </c>
    </row>
    <row r="2" ht="15" customHeight="1" s="255">
      <c r="J2" s="254" t="inlineStr">
        <is>
          <t>Trimestre fiscal</t>
        </is>
      </c>
      <c r="K2" s="254" t="inlineStr">
        <is>
          <t>FQ1</t>
        </is>
      </c>
      <c r="L2" s="254" t="inlineStr">
        <is>
          <t>FQ2</t>
        </is>
      </c>
      <c r="M2" s="254" t="inlineStr">
        <is>
          <t>FQ3</t>
        </is>
      </c>
      <c r="N2" s="254" t="inlineStr">
        <is>
          <t>FQ4</t>
        </is>
      </c>
      <c r="O2" s="254" t="inlineStr">
        <is>
          <t>FQ1</t>
        </is>
      </c>
      <c r="P2" s="254" t="inlineStr">
        <is>
          <t>FQ2</t>
        </is>
      </c>
      <c r="Q2" s="254" t="inlineStr">
        <is>
          <t>FQ3</t>
        </is>
      </c>
      <c r="R2" s="254" t="inlineStr">
        <is>
          <t>FQ4</t>
        </is>
      </c>
      <c r="S2" s="254" t="inlineStr">
        <is>
          <t>FQ1</t>
        </is>
      </c>
      <c r="T2" s="254" t="inlineStr">
        <is>
          <t>FQ2</t>
        </is>
      </c>
      <c r="U2" s="254" t="inlineStr">
        <is>
          <t>FQ3</t>
        </is>
      </c>
      <c r="V2" s="254" t="inlineStr">
        <is>
          <t>FQ4</t>
        </is>
      </c>
      <c r="W2" s="254" t="inlineStr">
        <is>
          <t>FQ1</t>
        </is>
      </c>
      <c r="X2" s="254" t="inlineStr">
        <is>
          <t>FQ2</t>
        </is>
      </c>
      <c r="Y2" s="254" t="inlineStr">
        <is>
          <t>FQ3</t>
        </is>
      </c>
      <c r="Z2" s="254" t="inlineStr">
        <is>
          <t>FQ4</t>
        </is>
      </c>
      <c r="AA2" s="254" t="inlineStr">
        <is>
          <t>FQ1</t>
        </is>
      </c>
      <c r="AB2" s="254" t="inlineStr">
        <is>
          <t>FQ2</t>
        </is>
      </c>
      <c r="AC2" s="254" t="inlineStr">
        <is>
          <t>FQ3</t>
        </is>
      </c>
      <c r="AD2" s="254" t="inlineStr">
        <is>
          <t>FQ4</t>
        </is>
      </c>
      <c r="AE2" s="254" t="inlineStr">
        <is>
          <t>FQ1</t>
        </is>
      </c>
      <c r="AF2" s="254" t="inlineStr">
        <is>
          <t>FQ2</t>
        </is>
      </c>
      <c r="AG2" s="254" t="inlineStr">
        <is>
          <t>FQ3</t>
        </is>
      </c>
      <c r="AH2" s="254" t="inlineStr">
        <is>
          <t>FQ4</t>
        </is>
      </c>
      <c r="AI2" s="254" t="inlineStr">
        <is>
          <t>FQ1</t>
        </is>
      </c>
      <c r="AJ2" s="254" t="inlineStr">
        <is>
          <t>FQ2</t>
        </is>
      </c>
    </row>
    <row r="4" ht="15" customHeight="1" s="255">
      <c r="A4" s="256" t="inlineStr">
        <is>
          <t>COD1</t>
        </is>
      </c>
      <c r="B4" s="256" t="inlineStr">
        <is>
          <t>SINAL1</t>
        </is>
      </c>
      <c r="C4" s="256" t="inlineStr">
        <is>
          <t>COD2</t>
        </is>
      </c>
      <c r="D4" s="256" t="inlineStr">
        <is>
          <t>SINAL2</t>
        </is>
      </c>
      <c r="E4" s="256" t="inlineStr">
        <is>
          <t>COD3</t>
        </is>
      </c>
      <c r="F4" s="256" t="inlineStr">
        <is>
          <t>SINAL3</t>
        </is>
      </c>
      <c r="G4" s="256" t="inlineStr">
        <is>
          <t>UNID</t>
        </is>
      </c>
      <c r="H4" s="256" t="inlineStr">
        <is>
          <t>Conta (PT) / origem</t>
        </is>
      </c>
      <c r="I4" s="256" t="inlineStr">
        <is>
          <t>Account (EN)</t>
        </is>
      </c>
      <c r="J4" s="256" t="inlineStr">
        <is>
          <t>ORIGEM</t>
        </is>
      </c>
      <c r="K4" s="256" t="inlineStr">
        <is>
          <t>1Q20</t>
        </is>
      </c>
      <c r="L4" s="256" t="inlineStr">
        <is>
          <t>2Q20</t>
        </is>
      </c>
      <c r="M4" s="256" t="inlineStr">
        <is>
          <t>3Q20</t>
        </is>
      </c>
      <c r="N4" s="256" t="inlineStr">
        <is>
          <t>4Q20</t>
        </is>
      </c>
      <c r="O4" s="256" t="inlineStr">
        <is>
          <t>1Q21</t>
        </is>
      </c>
      <c r="P4" s="256" t="inlineStr">
        <is>
          <t>2Q21</t>
        </is>
      </c>
      <c r="Q4" s="256" t="inlineStr">
        <is>
          <t>3Q21</t>
        </is>
      </c>
      <c r="R4" s="256" t="inlineStr">
        <is>
          <t>4Q21</t>
        </is>
      </c>
      <c r="S4" s="256" t="inlineStr">
        <is>
          <t>1Q22</t>
        </is>
      </c>
      <c r="T4" s="256" t="inlineStr">
        <is>
          <t>2Q22</t>
        </is>
      </c>
      <c r="U4" s="256" t="inlineStr">
        <is>
          <t>3Q22</t>
        </is>
      </c>
      <c r="V4" s="256" t="inlineStr">
        <is>
          <t>4Q22</t>
        </is>
      </c>
      <c r="W4" s="256" t="inlineStr">
        <is>
          <t>1Q23</t>
        </is>
      </c>
      <c r="X4" s="256" t="inlineStr">
        <is>
          <t>2Q23</t>
        </is>
      </c>
      <c r="Y4" s="256" t="inlineStr">
        <is>
          <t>3Q23</t>
        </is>
      </c>
      <c r="Z4" s="256" t="inlineStr">
        <is>
          <t>4Q23</t>
        </is>
      </c>
      <c r="AA4" s="256" t="inlineStr">
        <is>
          <t>1Q24</t>
        </is>
      </c>
      <c r="AB4" s="256" t="inlineStr">
        <is>
          <t>2Q24</t>
        </is>
      </c>
      <c r="AC4" s="256" t="inlineStr">
        <is>
          <t>3Q24</t>
        </is>
      </c>
      <c r="AD4" s="256" t="inlineStr">
        <is>
          <t>4Q24</t>
        </is>
      </c>
      <c r="AE4" s="256" t="inlineStr">
        <is>
          <t>1Q25</t>
        </is>
      </c>
      <c r="AF4" s="256" t="inlineStr">
        <is>
          <t>2Q25</t>
        </is>
      </c>
      <c r="AG4" s="256" t="inlineStr">
        <is>
          <t>3Q25</t>
        </is>
      </c>
      <c r="AH4" s="256" t="inlineStr">
        <is>
          <t>4Q25</t>
        </is>
      </c>
      <c r="AI4" s="256" t="inlineStr">
        <is>
          <t>1Q26</t>
        </is>
      </c>
      <c r="AJ4" s="256" t="inlineStr">
        <is>
          <t>2Q26</t>
        </is>
      </c>
    </row>
    <row r="5" ht="15" customHeight="1" s="255">
      <c r="H5" s="256" t="inlineStr">
        <is>
          <t>DRE - trimestre isolado (USD). Brutos SEC XBRL; linhas "derivada" são fórmulas nesta aba</t>
        </is>
      </c>
    </row>
    <row r="6" ht="15" customHeight="1" s="255">
      <c r="A6" s="254" t="n">
        <v>1</v>
      </c>
      <c r="B6" s="254" t="n">
        <v>1</v>
      </c>
      <c r="G6" s="254" t="inlineStr">
        <is>
          <t>moeda</t>
        </is>
      </c>
      <c r="H6" s="254" t="inlineStr">
        <is>
          <t>Receita [us-gaap:Revenues/RevenueFromContractWithCustomerExcludingAssessedTax]</t>
        </is>
      </c>
      <c r="J6" s="254" t="inlineStr">
        <is>
          <t>fonte</t>
        </is>
      </c>
      <c r="K6" s="257" t="n">
        <v>2798000000</v>
      </c>
      <c r="L6" s="257" t="n">
        <v>3054000000</v>
      </c>
      <c r="M6" s="257" t="n">
        <v>3851000000</v>
      </c>
      <c r="N6" s="257" t="n">
        <v>4495000000</v>
      </c>
      <c r="O6" s="257" t="n">
        <v>4850000000</v>
      </c>
      <c r="P6" s="257" t="n">
        <v>5748000000</v>
      </c>
      <c r="Q6" s="257" t="n">
        <v>6083000000</v>
      </c>
      <c r="R6" s="257" t="n">
        <v>6164000000</v>
      </c>
      <c r="S6" s="257" t="n">
        <v>6603000000</v>
      </c>
      <c r="T6" s="257" t="n">
        <v>5416000000</v>
      </c>
      <c r="U6" s="257" t="n">
        <v>5003000000</v>
      </c>
      <c r="V6" s="257" t="n">
        <v>5758000000</v>
      </c>
      <c r="W6" s="257" t="n">
        <v>5389000000</v>
      </c>
      <c r="X6" s="257" t="n">
        <v>5737000000</v>
      </c>
      <c r="Y6" s="257" t="n">
        <v>5824000000</v>
      </c>
      <c r="Z6" s="257" t="n">
        <v>5905000000</v>
      </c>
      <c r="AA6" s="257" t="n">
        <v>6321000000</v>
      </c>
      <c r="AB6" s="257" t="n">
        <v>6624000000</v>
      </c>
      <c r="AC6" s="257" t="n">
        <v>6790000000</v>
      </c>
      <c r="AD6" s="257" t="n">
        <v>5720000000</v>
      </c>
      <c r="AE6" s="257" t="n">
        <v>5728000000</v>
      </c>
      <c r="AF6" s="257" t="n">
        <v>7582000000</v>
      </c>
      <c r="AG6" s="257" t="n">
        <v>6972000000</v>
      </c>
      <c r="AH6" s="257" t="n">
        <v>5633000000</v>
      </c>
      <c r="AI6" s="257" t="n">
        <v>6234000000</v>
      </c>
      <c r="AJ6" s="257" t="n">
        <v>7029000000</v>
      </c>
    </row>
    <row r="7" ht="15" customHeight="1" s="255">
      <c r="A7" s="254" t="n">
        <v>2</v>
      </c>
      <c r="B7" s="254" t="n">
        <v>-1</v>
      </c>
      <c r="G7" s="254" t="inlineStr">
        <is>
          <t>moeda</t>
        </is>
      </c>
      <c r="H7" s="254" t="inlineStr">
        <is>
          <t>Custo da receita (divulgado positivo) [us-gaap:CostOfRevenue/CostOfGoodsAndServicesSold]</t>
        </is>
      </c>
      <c r="J7" s="254" t="inlineStr">
        <is>
          <t>fonte</t>
        </is>
      </c>
      <c r="K7" s="257" t="n">
        <v>3108000000</v>
      </c>
      <c r="L7" s="257" t="n">
        <v>2613000000</v>
      </c>
      <c r="M7" s="257" t="n">
        <v>2868000000</v>
      </c>
      <c r="N7" s="257" t="n">
        <v>3066000000</v>
      </c>
      <c r="O7" s="257" t="n">
        <v>3206000000</v>
      </c>
      <c r="P7" s="257" t="n">
        <v>3550000000</v>
      </c>
      <c r="Q7" s="257" t="n">
        <v>3551000000</v>
      </c>
      <c r="R7" s="257" t="n">
        <v>3723000000</v>
      </c>
      <c r="S7" s="257" t="n">
        <v>3639000000</v>
      </c>
      <c r="T7" s="257" t="n">
        <v>3528000000</v>
      </c>
      <c r="U7" s="257" t="n">
        <v>3899000000</v>
      </c>
      <c r="V7" s="257" t="n">
        <v>4023000000</v>
      </c>
      <c r="W7" s="257" t="n">
        <v>3564000000</v>
      </c>
      <c r="X7" s="257" t="n">
        <v>4096000000</v>
      </c>
      <c r="Y7" s="257" t="n">
        <v>4086000000</v>
      </c>
      <c r="Z7" s="257" t="n">
        <v>3949000000</v>
      </c>
      <c r="AA7" s="257" t="n">
        <v>4439000000</v>
      </c>
      <c r="AB7" s="257" t="n">
        <v>4384000000</v>
      </c>
      <c r="AC7" s="257" t="n">
        <v>4677000000</v>
      </c>
      <c r="AD7" s="257" t="n">
        <v>4295000000</v>
      </c>
      <c r="AE7" s="257" t="n">
        <v>4222000000</v>
      </c>
      <c r="AF7" s="257" t="n">
        <v>4950000000</v>
      </c>
      <c r="AG7" s="257" t="n">
        <v>4830000000</v>
      </c>
      <c r="AH7" s="257" t="n">
        <v>4616000000</v>
      </c>
      <c r="AI7" s="257" t="n">
        <v>4579000000</v>
      </c>
      <c r="AJ7" s="257" t="n">
        <v>4843000000</v>
      </c>
    </row>
    <row r="8" ht="15" customHeight="1" s="255">
      <c r="G8" s="254" t="inlineStr">
        <is>
          <t>moeda</t>
        </is>
      </c>
      <c r="H8" s="254" t="inlineStr">
        <is>
          <t>Lucro operacional [us-gaap:OperatingIncomeLoss]</t>
        </is>
      </c>
      <c r="J8" s="254" t="inlineStr">
        <is>
          <t>memoria</t>
        </is>
      </c>
      <c r="K8" s="257" t="n">
        <v>-473000000</v>
      </c>
      <c r="L8" s="257" t="n">
        <v>321000000</v>
      </c>
      <c r="M8" s="257" t="n">
        <v>880000000</v>
      </c>
      <c r="N8" s="257" t="n">
        <v>1709000000</v>
      </c>
      <c r="O8" s="257" t="n">
        <v>1532000000</v>
      </c>
      <c r="P8" s="257" t="n">
        <v>2067000000</v>
      </c>
      <c r="Q8" s="257" t="n">
        <v>2462000000</v>
      </c>
      <c r="R8" s="257" t="n">
        <v>2305000000</v>
      </c>
      <c r="S8" s="257" t="n">
        <v>2809000000</v>
      </c>
      <c r="T8" s="257" t="n">
        <v>1736000000</v>
      </c>
      <c r="U8" s="257" t="n">
        <v>962000000</v>
      </c>
      <c r="V8" s="257" t="n">
        <v>1530000000</v>
      </c>
      <c r="W8" s="257" t="n">
        <v>1601000000</v>
      </c>
      <c r="X8" s="257" t="n">
        <v>1410000000</v>
      </c>
      <c r="Y8" s="257" t="n">
        <v>1492000000</v>
      </c>
      <c r="Z8" s="257" t="n">
        <v>1722000000</v>
      </c>
      <c r="AA8" s="257" t="n">
        <v>1634000000</v>
      </c>
      <c r="AB8" s="257" t="n">
        <v>2049000000</v>
      </c>
      <c r="AC8" s="257" t="n">
        <v>1938000000</v>
      </c>
      <c r="AD8" s="257" t="n">
        <v>1243000000</v>
      </c>
      <c r="AE8" s="257" t="n">
        <v>1303000000</v>
      </c>
      <c r="AF8" s="257" t="n">
        <v>2432000000</v>
      </c>
      <c r="AG8" s="257" t="n">
        <v>1972000000</v>
      </c>
      <c r="AH8" s="257" t="n">
        <v>811000000</v>
      </c>
      <c r="AI8" s="257" t="n">
        <v>2137000000</v>
      </c>
      <c r="AJ8" s="257" t="n">
        <v>2003000000</v>
      </c>
    </row>
    <row r="9" ht="15" customHeight="1" s="255">
      <c r="A9" s="254" t="n">
        <v>3</v>
      </c>
      <c r="B9" s="254" t="n">
        <v>-1</v>
      </c>
      <c r="G9" s="254" t="inlineStr">
        <is>
          <t>moeda</t>
        </is>
      </c>
      <c r="H9" s="254" t="inlineStr">
        <is>
          <t>Despesas operacionais = receita - custo - lucro operacional (P&amp;D + SG&amp;A + outras operacionais)</t>
        </is>
      </c>
      <c r="J9" s="254" t="inlineStr">
        <is>
          <t>derivada</t>
        </is>
      </c>
      <c r="K9" s="257">
        <f>N(K6)-N(K7)-N(K8)</f>
        <v>163000000</v>
      </c>
      <c r="L9" s="257">
        <f>N(L6)-N(L7)-N(L8)</f>
        <v>120000000</v>
      </c>
      <c r="M9" s="257">
        <f>N(M6)-N(M7)-N(M8)</f>
        <v>103000000</v>
      </c>
      <c r="N9" s="257">
        <f>N(N6)-N(N7)-N(N8)</f>
        <v>-280000000</v>
      </c>
      <c r="O9" s="257">
        <f>N(O6)-N(O7)-N(O8)</f>
        <v>112000000</v>
      </c>
      <c r="P9" s="257">
        <f>N(P6)-N(P7)-N(P8)</f>
        <v>131000000</v>
      </c>
      <c r="Q9" s="257">
        <f>N(Q6)-N(Q7)-N(Q8)</f>
        <v>70000000</v>
      </c>
      <c r="R9" s="257">
        <f>N(R6)-N(R7)-N(R8)</f>
        <v>136000000</v>
      </c>
      <c r="S9" s="257">
        <f>N(S6)-N(S7)-N(S8)</f>
        <v>155000000</v>
      </c>
      <c r="T9" s="257">
        <f>N(T6)-N(T7)-N(T8)</f>
        <v>152000000</v>
      </c>
      <c r="U9" s="257">
        <f>N(U6)-N(U7)-N(U8)</f>
        <v>142000000</v>
      </c>
      <c r="V9" s="257">
        <f>N(V6)-N(V7)-N(V8)</f>
        <v>205000000</v>
      </c>
      <c r="W9" s="257">
        <f>N(W6)-N(W7)-N(W8)</f>
        <v>224000000</v>
      </c>
      <c r="X9" s="257">
        <f>N(X6)-N(X7)-N(X8)</f>
        <v>231000000</v>
      </c>
      <c r="Y9" s="257">
        <f>N(Y6)-N(Y7)-N(Y8)</f>
        <v>246000000</v>
      </c>
      <c r="Z9" s="257">
        <f>N(Z6)-N(Z7)-N(Z8)</f>
        <v>234000000</v>
      </c>
      <c r="AA9" s="257">
        <f>N(AA6)-N(AA7)-N(AA8)</f>
        <v>248000000</v>
      </c>
      <c r="AB9" s="257">
        <f>N(AB6)-N(AB7)-N(AB8)</f>
        <v>191000000</v>
      </c>
      <c r="AC9" s="257">
        <f>N(AC6)-N(AC7)-N(AC8)</f>
        <v>175000000</v>
      </c>
      <c r="AD9" s="257">
        <f>N(AD6)-N(AD7)-N(AD8)</f>
        <v>182000000</v>
      </c>
      <c r="AE9" s="257">
        <f>N(AE6)-N(AE7)-N(AE8)</f>
        <v>203000000</v>
      </c>
      <c r="AF9" s="257">
        <f>N(AF6)-N(AF7)-N(AF8)</f>
        <v>200000000</v>
      </c>
      <c r="AG9" s="257">
        <f>N(AG6)-N(AG7)-N(AG8)</f>
        <v>170000000</v>
      </c>
      <c r="AH9" s="257">
        <f>N(AH6)-N(AH7)-N(AH8)</f>
        <v>206000000</v>
      </c>
      <c r="AI9" s="257">
        <f>N(AI6)-N(AI7)-N(AI8)</f>
        <v>-482000000</v>
      </c>
      <c r="AJ9" s="257">
        <f>N(AJ6)-N(AJ7)-N(AJ8)</f>
        <v>183000000</v>
      </c>
    </row>
    <row r="10" ht="15" customHeight="1" s="255">
      <c r="G10" s="254" t="inlineStr">
        <is>
          <t>moeda</t>
        </is>
      </c>
      <c r="H10" s="254" t="inlineStr">
        <is>
          <t>Lucro antes do IR [us-gaap:IncomeLossFromContinuingOperationsBeforeIncomeTaxesExtraordi]</t>
        </is>
      </c>
      <c r="J10" s="254" t="inlineStr">
        <is>
          <t>memoria</t>
        </is>
      </c>
      <c r="K10" s="257" t="n">
        <v>-612000000</v>
      </c>
      <c r="L10" s="257" t="n">
        <v>217000000</v>
      </c>
      <c r="M10" s="257" t="n">
        <v>723000000</v>
      </c>
      <c r="N10" s="257" t="n">
        <v>1469000000</v>
      </c>
      <c r="O10" s="257" t="n">
        <v>1398000000</v>
      </c>
      <c r="P10" s="257" t="n">
        <v>1928000000</v>
      </c>
      <c r="Q10" s="257" t="n">
        <v>2360000000</v>
      </c>
      <c r="R10" s="257" t="n">
        <v>1973000000</v>
      </c>
      <c r="S10" s="257" t="n">
        <v>2713000000</v>
      </c>
      <c r="T10" s="257" t="n">
        <v>1599000000</v>
      </c>
      <c r="U10" s="257" t="n">
        <v>867000000</v>
      </c>
      <c r="V10" s="257" t="n">
        <v>1536000000</v>
      </c>
      <c r="W10" s="257" t="n">
        <v>1538000000</v>
      </c>
      <c r="X10" s="257" t="n">
        <v>1268000000</v>
      </c>
      <c r="Y10" s="257" t="n">
        <v>1472000000</v>
      </c>
      <c r="Z10" s="257" t="n">
        <v>1728000000</v>
      </c>
      <c r="AA10" s="257" t="n">
        <v>1674000000</v>
      </c>
      <c r="AB10" s="257" t="n">
        <v>2030000000</v>
      </c>
      <c r="AC10" s="257" t="n">
        <v>1963000000</v>
      </c>
      <c r="AD10" s="257" t="n">
        <v>1240000000</v>
      </c>
      <c r="AE10" s="257" t="n">
        <v>1291000000</v>
      </c>
      <c r="AF10" s="257" t="n">
        <v>2391000000</v>
      </c>
      <c r="AG10" s="257" t="n">
        <v>1924000000</v>
      </c>
      <c r="AH10" s="257" t="n">
        <v>766000000</v>
      </c>
      <c r="AI10" s="257" t="n">
        <v>2034000000</v>
      </c>
      <c r="AJ10" s="257" t="n">
        <v>1930000000</v>
      </c>
    </row>
    <row r="11" ht="15" customHeight="1" s="255">
      <c r="A11" s="254" t="n">
        <v>6</v>
      </c>
      <c r="B11" s="254" t="n">
        <v>1</v>
      </c>
      <c r="G11" s="254" t="inlineStr">
        <is>
          <t>moeda</t>
        </is>
      </c>
      <c r="H11" s="254" t="inlineStr">
        <is>
          <t>Resultado não operacional total = lucro antes do IR - lucro operacional</t>
        </is>
      </c>
      <c r="J11" s="254" t="inlineStr">
        <is>
          <t>derivada</t>
        </is>
      </c>
      <c r="K11" s="257">
        <f>N(K10)-N(K8)</f>
        <v>-139000000</v>
      </c>
      <c r="L11" s="257">
        <f>N(L10)-N(L8)</f>
        <v>-104000000</v>
      </c>
      <c r="M11" s="257">
        <f>N(M10)-N(M8)</f>
        <v>-157000000</v>
      </c>
      <c r="N11" s="257">
        <f>N(N10)-N(N8)</f>
        <v>-240000000</v>
      </c>
      <c r="O11" s="257">
        <f>N(O10)-N(O8)</f>
        <v>-134000000</v>
      </c>
      <c r="P11" s="257">
        <f>N(P10)-N(P8)</f>
        <v>-139000000</v>
      </c>
      <c r="Q11" s="257">
        <f>N(Q10)-N(Q8)</f>
        <v>-102000000</v>
      </c>
      <c r="R11" s="257">
        <f>N(R10)-N(R8)</f>
        <v>-332000000</v>
      </c>
      <c r="S11" s="257">
        <f>N(S10)-N(S8)</f>
        <v>-96000000</v>
      </c>
      <c r="T11" s="257">
        <f>N(T10)-N(T8)</f>
        <v>-137000000</v>
      </c>
      <c r="U11" s="257">
        <f>N(U10)-N(U8)</f>
        <v>-95000000</v>
      </c>
      <c r="V11" s="257">
        <f>N(V10)-N(V8)</f>
        <v>6000000</v>
      </c>
      <c r="W11" s="257">
        <f>N(W10)-N(W8)</f>
        <v>-63000000</v>
      </c>
      <c r="X11" s="257">
        <f>N(X10)-N(X8)</f>
        <v>-142000000</v>
      </c>
      <c r="Y11" s="257">
        <f>N(Y10)-N(Y8)</f>
        <v>-20000000</v>
      </c>
      <c r="Z11" s="257">
        <f>N(Z10)-N(Z8)</f>
        <v>6000000</v>
      </c>
      <c r="AA11" s="257">
        <f>N(AA10)-N(AA8)</f>
        <v>40000000</v>
      </c>
      <c r="AB11" s="257">
        <f>N(AB10)-N(AB8)</f>
        <v>-19000000</v>
      </c>
      <c r="AC11" s="257">
        <f>N(AC10)-N(AC8)</f>
        <v>25000000</v>
      </c>
      <c r="AD11" s="257">
        <f>N(AD10)-N(AD8)</f>
        <v>-3000000</v>
      </c>
      <c r="AE11" s="257">
        <f>N(AE10)-N(AE8)</f>
        <v>-12000000</v>
      </c>
      <c r="AF11" s="257">
        <f>N(AF10)-N(AF8)</f>
        <v>-41000000</v>
      </c>
      <c r="AG11" s="257">
        <f>N(AG10)-N(AG8)</f>
        <v>-48000000</v>
      </c>
      <c r="AH11" s="257">
        <f>N(AH10)-N(AH8)</f>
        <v>-45000000</v>
      </c>
      <c r="AI11" s="257">
        <f>N(AI10)-N(AI8)</f>
        <v>-103000000</v>
      </c>
      <c r="AJ11" s="257">
        <f>N(AJ10)-N(AJ8)</f>
        <v>-73000000</v>
      </c>
    </row>
    <row r="12" ht="15" customHeight="1" s="255">
      <c r="A12" s="254" t="n">
        <v>7</v>
      </c>
      <c r="B12" s="254" t="n">
        <v>-1</v>
      </c>
      <c r="G12" s="254" t="inlineStr">
        <is>
          <t>moeda</t>
        </is>
      </c>
      <c r="H12" s="254" t="inlineStr">
        <is>
          <t>Imposto de renda (divulgado positivo) [us-gaap:IncomeTaxExpenseBenefit]</t>
        </is>
      </c>
      <c r="J12" s="254" t="inlineStr">
        <is>
          <t>fonte</t>
        </is>
      </c>
      <c r="K12" s="257" t="n">
        <v>-60000000</v>
      </c>
      <c r="L12" s="257" t="n">
        <v>96000000</v>
      </c>
      <c r="M12" s="257" t="n">
        <v>297000000</v>
      </c>
      <c r="N12" s="257" t="n">
        <v>611000000</v>
      </c>
      <c r="O12" s="257" t="n">
        <v>443000000</v>
      </c>
      <c r="P12" s="257" t="n">
        <v>603000000</v>
      </c>
      <c r="Q12" s="257" t="n">
        <v>628000000</v>
      </c>
      <c r="R12" s="257" t="n">
        <v>625000000</v>
      </c>
      <c r="S12" s="257" t="n">
        <v>824000000</v>
      </c>
      <c r="T12" s="257" t="n">
        <v>571000000</v>
      </c>
      <c r="U12" s="257" t="n">
        <v>315000000</v>
      </c>
      <c r="V12" s="257" t="n">
        <v>557000000</v>
      </c>
      <c r="W12" s="257" t="n">
        <v>499000000</v>
      </c>
      <c r="X12" s="257" t="n">
        <v>539000000</v>
      </c>
      <c r="Y12" s="257" t="n">
        <v>508000000</v>
      </c>
      <c r="Z12" s="257" t="n">
        <v>724000000</v>
      </c>
      <c r="AA12" s="257" t="n">
        <v>512000000</v>
      </c>
      <c r="AB12" s="257" t="n">
        <v>754000000</v>
      </c>
      <c r="AC12" s="257" t="n">
        <v>737000000</v>
      </c>
      <c r="AD12" s="257" t="n">
        <v>520000000</v>
      </c>
      <c r="AE12" s="257" t="n">
        <v>500000000</v>
      </c>
      <c r="AF12" s="257" t="n">
        <v>850000000</v>
      </c>
      <c r="AG12" s="257" t="n">
        <v>669000000</v>
      </c>
      <c r="AH12" s="257" t="n">
        <v>202000000</v>
      </c>
      <c r="AI12" s="257" t="n">
        <v>653000000</v>
      </c>
      <c r="AJ12" s="257" t="n">
        <v>544000000</v>
      </c>
    </row>
    <row r="13" ht="15" customHeight="1" s="255">
      <c r="A13" s="254" t="n">
        <v>9</v>
      </c>
      <c r="B13" s="254" t="n">
        <v>-1</v>
      </c>
      <c r="G13" s="254" t="inlineStr">
        <is>
          <t>moeda</t>
        </is>
      </c>
      <c r="H13" s="254" t="inlineStr">
        <is>
          <t>Lucro atribuído a não controladores (divulgado positivo) [us-gaap:NetIncomeLossAttributableToNoncontrollingInterest]</t>
        </is>
      </c>
      <c r="J13" s="254" t="inlineStr">
        <is>
          <t>fonte</t>
        </is>
      </c>
      <c r="K13" s="257" t="n">
        <v>-58000000</v>
      </c>
      <c r="L13" s="257" t="n">
        <v>71000000</v>
      </c>
      <c r="M13" s="257" t="n">
        <v>103000000</v>
      </c>
      <c r="N13" s="257" t="n">
        <v>150000000</v>
      </c>
      <c r="O13" s="257" t="n">
        <v>-235000000</v>
      </c>
      <c r="P13" s="257" t="n">
        <v>248000000</v>
      </c>
      <c r="Q13" s="257" t="n">
        <v>324000000</v>
      </c>
      <c r="R13" s="257" t="n">
        <v>-1866000000</v>
      </c>
      <c r="S13" s="257" t="n">
        <v>377000000</v>
      </c>
      <c r="T13" s="257" t="n">
        <v>198000000</v>
      </c>
      <c r="U13" s="257" t="n">
        <v>156000000</v>
      </c>
      <c r="V13" s="257" t="n">
        <v>280000000</v>
      </c>
      <c r="W13" s="257" t="n">
        <v>386000000</v>
      </c>
      <c r="X13" s="257" t="n">
        <v>388000000</v>
      </c>
      <c r="Y13" s="257" t="n">
        <v>510000000</v>
      </c>
      <c r="Z13" s="257" t="n">
        <v>619000000</v>
      </c>
      <c r="AA13" s="257" t="n">
        <v>689000000</v>
      </c>
      <c r="AB13" s="257" t="n">
        <v>664000000</v>
      </c>
      <c r="AC13" s="257" t="n">
        <v>710000000</v>
      </c>
      <c r="AD13" s="257" t="n">
        <v>447000000</v>
      </c>
      <c r="AE13" s="257" t="n">
        <v>441000000</v>
      </c>
      <c r="AF13" s="257" t="n">
        <v>775000000</v>
      </c>
      <c r="AG13" s="257" t="n">
        <v>573000000</v>
      </c>
      <c r="AH13" s="257" t="n">
        <v>159000000</v>
      </c>
      <c r="AI13" s="257" t="n">
        <v>506000000</v>
      </c>
      <c r="AJ13" s="257" t="n">
        <v>407000000</v>
      </c>
    </row>
    <row r="14" ht="15" customHeight="1" s="255">
      <c r="G14" s="254" t="inlineStr">
        <is>
          <t>moeda</t>
        </is>
      </c>
      <c r="H14" s="254" t="inlineStr">
        <is>
          <t>Lucro líquido atribuído à companhia [us-gaap:NetIncomeLoss]</t>
        </is>
      </c>
      <c r="J14" s="254" t="inlineStr">
        <is>
          <t>memoria</t>
        </is>
      </c>
      <c r="K14" s="257" t="n">
        <v>-491000000</v>
      </c>
      <c r="L14" s="257" t="n">
        <v>53000000</v>
      </c>
      <c r="M14" s="257" t="n">
        <v>329000000</v>
      </c>
      <c r="N14" s="257" t="n">
        <v>708000000</v>
      </c>
      <c r="O14" s="257" t="n">
        <v>718000000</v>
      </c>
      <c r="P14" s="257" t="n">
        <v>1083000000</v>
      </c>
      <c r="Q14" s="257" t="n">
        <v>1399000000</v>
      </c>
      <c r="R14" s="257" t="n">
        <v>1106000000</v>
      </c>
      <c r="S14" s="257" t="n">
        <v>1527000000</v>
      </c>
      <c r="T14" s="257" t="n">
        <v>840000000</v>
      </c>
      <c r="U14" s="257" t="n">
        <v>404000000</v>
      </c>
      <c r="V14" s="257" t="n">
        <v>697000000</v>
      </c>
      <c r="W14" s="257" t="n">
        <v>663000000</v>
      </c>
      <c r="X14" s="257" t="n">
        <v>343000000</v>
      </c>
      <c r="Y14" s="257" t="n">
        <v>454000000</v>
      </c>
      <c r="Z14" s="257" t="n">
        <v>388000000</v>
      </c>
      <c r="AA14" s="257" t="n">
        <v>473000000</v>
      </c>
      <c r="AB14" s="257" t="n">
        <v>616000000</v>
      </c>
      <c r="AC14" s="257" t="n">
        <v>526000000</v>
      </c>
      <c r="AD14" s="257" t="n">
        <v>274000000</v>
      </c>
      <c r="AE14" s="257" t="n">
        <v>352000000</v>
      </c>
      <c r="AF14" s="257" t="n">
        <v>772000000</v>
      </c>
      <c r="AG14" s="257" t="n">
        <v>674000000</v>
      </c>
      <c r="AH14" s="257" t="n">
        <v>406000000</v>
      </c>
      <c r="AI14" s="257" t="n">
        <v>881000000</v>
      </c>
      <c r="AJ14" s="257" t="n">
        <v>984000000</v>
      </c>
    </row>
    <row r="15" ht="15" customHeight="1" s="255">
      <c r="A15" s="254" t="n">
        <v>8</v>
      </c>
      <c r="B15" s="254" t="n">
        <v>1</v>
      </c>
      <c r="G15" s="254" t="inlineStr">
        <is>
          <t>moeda</t>
        </is>
      </c>
      <c r="H15" s="254" t="inlineStr">
        <is>
          <t>Resultado após IR não classificado acima (equivalência patrimonial, operações descontinuadas): lucro - (LAIR - IR - minoritários); zero quando não há</t>
        </is>
      </c>
      <c r="J15" s="254" t="inlineStr">
        <is>
          <t>derivada</t>
        </is>
      </c>
      <c r="K15" s="257">
        <f>N(K14)-(N(K10)-N(K12)-N(K13))</f>
        <v>3000000</v>
      </c>
      <c r="L15" s="257">
        <f>N(L14)-(N(L10)-N(L12)-N(L13))</f>
        <v>3000000</v>
      </c>
      <c r="M15" s="257">
        <f>N(M14)-(N(M10)-N(M12)-N(M13))</f>
        <v>6000000</v>
      </c>
      <c r="N15" s="257">
        <f>N(N14)-(N(N10)-N(N12)-N(N13))</f>
        <v>0</v>
      </c>
      <c r="O15" s="257">
        <f>N(O14)-(N(O10)-N(O12)-N(O13))</f>
        <v>-472000000</v>
      </c>
      <c r="P15" s="257">
        <f>N(P14)-(N(P10)-N(P12)-N(P13))</f>
        <v>6000000</v>
      </c>
      <c r="Q15" s="257">
        <f>N(Q14)-(N(Q10)-N(Q12)-N(Q13))</f>
        <v>-9000000</v>
      </c>
      <c r="R15" s="257">
        <f>N(R14)-(N(R10)-N(R12)-N(R13))</f>
        <v>-2108000000</v>
      </c>
      <c r="S15" s="257">
        <f>N(S14)-(N(S10)-N(S12)-N(S13))</f>
        <v>15000000</v>
      </c>
      <c r="T15" s="257">
        <f>N(T14)-(N(T10)-N(T12)-N(T13))</f>
        <v>10000000</v>
      </c>
      <c r="U15" s="257">
        <f>N(U14)-(N(U10)-N(U12)-N(U13))</f>
        <v>8000000</v>
      </c>
      <c r="V15" s="257">
        <f>N(V14)-(N(V10)-N(V12)-N(V13))</f>
        <v>-2000000</v>
      </c>
      <c r="W15" s="257">
        <f>N(W14)-(N(W10)-N(W12)-N(W13))</f>
        <v>10000000</v>
      </c>
      <c r="X15" s="257">
        <f>N(X14)-(N(X10)-N(X12)-N(X13))</f>
        <v>2000000</v>
      </c>
      <c r="Y15" s="257">
        <f>N(Y14)-(N(Y10)-N(Y12)-N(Y13))</f>
        <v>0</v>
      </c>
      <c r="Z15" s="257">
        <f>N(Z14)-(N(Z10)-N(Z12)-N(Z13))</f>
        <v>3000000</v>
      </c>
      <c r="AA15" s="257">
        <f>N(AA14)-(N(AA10)-N(AA12)-N(AA13))</f>
        <v>0</v>
      </c>
      <c r="AB15" s="257">
        <f>N(AB14)-(N(AB10)-N(AB12)-N(AB13))</f>
        <v>4000000</v>
      </c>
      <c r="AC15" s="257">
        <f>N(AC14)-(N(AC10)-N(AC12)-N(AC13))</f>
        <v>10000000</v>
      </c>
      <c r="AD15" s="257">
        <f>N(AD14)-(N(AD10)-N(AD12)-N(AD13))</f>
        <v>1000000</v>
      </c>
      <c r="AE15" s="257">
        <f>N(AE14)-(N(AE10)-N(AE12)-N(AE13))</f>
        <v>2000000</v>
      </c>
      <c r="AF15" s="257">
        <f>N(AF14)-(N(AF10)-N(AF12)-N(AF13))</f>
        <v>6000000</v>
      </c>
      <c r="AG15" s="257">
        <f>N(AG14)-(N(AG10)-N(AG12)-N(AG13))</f>
        <v>-8000000</v>
      </c>
      <c r="AH15" s="257">
        <f>N(AH14)-(N(AH10)-N(AH12)-N(AH13))</f>
        <v>1000000</v>
      </c>
      <c r="AI15" s="257">
        <f>N(AI14)-(N(AI10)-N(AI12)-N(AI13))</f>
        <v>6000000</v>
      </c>
      <c r="AJ15" s="257">
        <f>N(AJ14)-(N(AJ10)-N(AJ12)-N(AJ13))</f>
        <v>5000000</v>
      </c>
    </row>
    <row r="16" ht="15" customHeight="1" s="255">
      <c r="A16" s="254" t="n">
        <v>44</v>
      </c>
      <c r="B16" s="254" t="n">
        <v>1</v>
      </c>
      <c r="G16" s="254" t="inlineStr">
        <is>
          <t>moeda</t>
        </is>
      </c>
      <c r="H16" s="254" t="inlineStr">
        <is>
          <t>Lucro líquido (check IS, código 44)</t>
        </is>
      </c>
      <c r="J16" s="254" t="inlineStr">
        <is>
          <t>derivada</t>
        </is>
      </c>
      <c r="K16" s="257">
        <f>N(K14)</f>
        <v>-491000000</v>
      </c>
      <c r="L16" s="257">
        <f>N(L14)</f>
        <v>53000000</v>
      </c>
      <c r="M16" s="257">
        <f>N(M14)</f>
        <v>329000000</v>
      </c>
      <c r="N16" s="257">
        <f>N(N14)</f>
        <v>708000000</v>
      </c>
      <c r="O16" s="257">
        <f>N(O14)</f>
        <v>718000000</v>
      </c>
      <c r="P16" s="257">
        <f>N(P14)</f>
        <v>1083000000</v>
      </c>
      <c r="Q16" s="257">
        <f>N(Q14)</f>
        <v>1399000000</v>
      </c>
      <c r="R16" s="257">
        <f>N(R14)</f>
        <v>1106000000</v>
      </c>
      <c r="S16" s="257">
        <f>N(S14)</f>
        <v>1527000000</v>
      </c>
      <c r="T16" s="257">
        <f>N(T14)</f>
        <v>840000000</v>
      </c>
      <c r="U16" s="257">
        <f>N(U14)</f>
        <v>404000000</v>
      </c>
      <c r="V16" s="257">
        <f>N(V14)</f>
        <v>697000000</v>
      </c>
      <c r="W16" s="257">
        <f>N(W14)</f>
        <v>663000000</v>
      </c>
      <c r="X16" s="257">
        <f>N(X14)</f>
        <v>343000000</v>
      </c>
      <c r="Y16" s="257">
        <f>N(Y14)</f>
        <v>454000000</v>
      </c>
      <c r="Z16" s="257">
        <f>N(Z14)</f>
        <v>388000000</v>
      </c>
      <c r="AA16" s="257">
        <f>N(AA14)</f>
        <v>473000000</v>
      </c>
      <c r="AB16" s="257">
        <f>N(AB14)</f>
        <v>616000000</v>
      </c>
      <c r="AC16" s="257">
        <f>N(AC14)</f>
        <v>526000000</v>
      </c>
      <c r="AD16" s="257">
        <f>N(AD14)</f>
        <v>274000000</v>
      </c>
      <c r="AE16" s="257">
        <f>N(AE14)</f>
        <v>352000000</v>
      </c>
      <c r="AF16" s="257">
        <f>N(AF14)</f>
        <v>772000000</v>
      </c>
      <c r="AG16" s="257">
        <f>N(AG14)</f>
        <v>674000000</v>
      </c>
      <c r="AH16" s="257">
        <f>N(AH14)</f>
        <v>406000000</v>
      </c>
      <c r="AI16" s="257">
        <f>N(AI14)</f>
        <v>881000000</v>
      </c>
      <c r="AJ16" s="257">
        <f>N(AJ14)</f>
        <v>984000000</v>
      </c>
    </row>
    <row r="17" ht="15" customHeight="1" s="255">
      <c r="H17" s="256" t="inlineStr">
        <is>
          <t>DFC - trimestre isolado (desacumulado na extração)</t>
        </is>
      </c>
    </row>
    <row r="18" ht="15" customHeight="1" s="255">
      <c r="A18" s="254" t="n">
        <v>4</v>
      </c>
      <c r="B18" s="254" t="n">
        <v>-1</v>
      </c>
      <c r="C18" s="254" t="n">
        <v>2</v>
      </c>
      <c r="D18" s="254" t="n">
        <v>1</v>
      </c>
      <c r="G18" s="254" t="inlineStr">
        <is>
          <t>moeda</t>
        </is>
      </c>
      <c r="H18" s="254" t="inlineStr">
        <is>
          <t>D&amp;A (fluxo de caixa). COD1=4 lança (positivo -&gt; -1); COD2=2 devolve ao custo, onde a companhia apresenta a D&amp;A [us-gaap:DepreciationDepletionAndAmortization/DepreciationAmortizationAndImpairment]</t>
        </is>
      </c>
      <c r="J18" s="254" t="inlineStr">
        <is>
          <t>fonte</t>
        </is>
      </c>
      <c r="K18" s="257" t="n">
        <v>341000000</v>
      </c>
      <c r="L18" s="257" t="n">
        <v>358000000</v>
      </c>
      <c r="M18" s="257" t="n">
        <v>394000000</v>
      </c>
      <c r="N18" s="257" t="n">
        <v>435000000</v>
      </c>
      <c r="O18" s="257" t="n">
        <v>419000000</v>
      </c>
      <c r="P18" s="257" t="n">
        <v>483000000</v>
      </c>
      <c r="Q18" s="257" t="n">
        <v>528000000</v>
      </c>
      <c r="R18" s="257" t="n">
        <v>568000000</v>
      </c>
      <c r="S18" s="257" t="n">
        <v>489000000</v>
      </c>
      <c r="T18" s="257" t="n">
        <v>507000000</v>
      </c>
      <c r="U18" s="257" t="n">
        <v>508000000</v>
      </c>
      <c r="V18" s="257" t="n">
        <v>515000000</v>
      </c>
      <c r="W18" s="257" t="n">
        <v>399000000</v>
      </c>
      <c r="X18" s="257" t="n">
        <v>547000000</v>
      </c>
      <c r="Y18" s="257" t="n">
        <v>533000000</v>
      </c>
      <c r="Z18" s="257" t="n">
        <v>589000000</v>
      </c>
      <c r="AA18" s="257" t="n">
        <v>595000000</v>
      </c>
      <c r="AB18" s="257" t="n">
        <v>509000000</v>
      </c>
      <c r="AC18" s="257" t="n">
        <v>600000000</v>
      </c>
      <c r="AD18" s="257" t="n">
        <v>537000000</v>
      </c>
      <c r="AE18" s="257" t="n">
        <v>466000000</v>
      </c>
      <c r="AF18" s="257" t="n">
        <v>668000000</v>
      </c>
      <c r="AG18" s="257" t="n">
        <v>625000000</v>
      </c>
      <c r="AH18" s="257" t="n">
        <v>485000000</v>
      </c>
      <c r="AI18" s="257" t="n">
        <v>514000000</v>
      </c>
      <c r="AJ18" s="257" t="n">
        <v>523000000</v>
      </c>
    </row>
    <row r="19" ht="15" customHeight="1" s="255">
      <c r="A19" s="254" t="n">
        <v>10</v>
      </c>
      <c r="B19" s="254" t="n">
        <v>-1</v>
      </c>
      <c r="G19" s="254" t="inlineStr">
        <is>
          <t>moeda</t>
        </is>
      </c>
      <c r="H19" s="254" t="inlineStr">
        <is>
          <t>Dividendos pagos [us-gaap:PaymentsOfDividends]</t>
        </is>
      </c>
      <c r="J19" s="254" t="inlineStr">
        <is>
          <t>fonte</t>
        </is>
      </c>
      <c r="K19" s="257" t="n">
        <v>73000000</v>
      </c>
      <c r="L19" s="257" t="n">
        <v>0</v>
      </c>
      <c r="M19" s="257" t="n">
        <v>0</v>
      </c>
      <c r="N19" s="257" t="n">
        <v>-73000000</v>
      </c>
      <c r="O19" s="257" t="n">
        <v>0</v>
      </c>
      <c r="P19" s="257" t="n">
        <v>111000000</v>
      </c>
      <c r="Q19" s="257" t="n">
        <v>109000000</v>
      </c>
      <c r="R19" s="257" t="n">
        <v>780000000</v>
      </c>
      <c r="S19" s="257" t="n">
        <v>220000000</v>
      </c>
      <c r="T19" s="257" t="n">
        <v>218000000</v>
      </c>
      <c r="U19" s="257" t="n">
        <v>214000000</v>
      </c>
      <c r="V19" s="257" t="n">
        <v>214000000</v>
      </c>
      <c r="W19" s="257" t="n">
        <v>217000000</v>
      </c>
      <c r="X19" s="257" t="n">
        <v>215000000</v>
      </c>
      <c r="Y19" s="257" t="n">
        <v>215000000</v>
      </c>
      <c r="Z19" s="257" t="n">
        <v>216000000</v>
      </c>
      <c r="AA19" s="257" t="n">
        <v>218000000</v>
      </c>
      <c r="AB19" s="257" t="n">
        <v>215000000</v>
      </c>
      <c r="AC19" s="257" t="n">
        <v>216000000</v>
      </c>
      <c r="AD19" s="257" t="n">
        <v>216000000</v>
      </c>
      <c r="AE19" s="257" t="n">
        <v>218000000</v>
      </c>
      <c r="AF19" s="257" t="n">
        <v>215000000</v>
      </c>
      <c r="AG19" s="257" t="n">
        <v>216000000</v>
      </c>
      <c r="AH19" s="257" t="n">
        <v>216000000</v>
      </c>
      <c r="AI19" s="257" t="n">
        <v>218000000</v>
      </c>
      <c r="AJ19" s="257" t="n">
        <v>216000000</v>
      </c>
    </row>
    <row r="20" ht="15" customHeight="1" s="255">
      <c r="H20" s="256" t="inlineStr">
        <is>
          <t>BALANÇO DE FACE (USD, saldo no fim do trimestre; cada trimestre lido da instância do próprio 10-Q/10-K)</t>
        </is>
      </c>
    </row>
    <row r="21" ht="15" customHeight="1" s="255">
      <c r="A21" s="254" t="n">
        <v>11</v>
      </c>
      <c r="B21" s="254" t="n">
        <v>1</v>
      </c>
      <c r="G21" s="254" t="inlineStr">
        <is>
          <t>moeda</t>
        </is>
      </c>
      <c r="H21" s="254" t="inlineStr">
        <is>
          <t>CashAndCashEquivalentsAtCarryingValue</t>
        </is>
      </c>
      <c r="J21" s="254" t="inlineStr">
        <is>
          <t>fonte</t>
        </is>
      </c>
      <c r="K21" s="257" t="n">
        <v>1602000000</v>
      </c>
      <c r="L21" s="257" t="n">
        <v>1465000000</v>
      </c>
      <c r="M21" s="257" t="n">
        <v>2403000000</v>
      </c>
      <c r="N21" s="257" t="n">
        <v>3657000000</v>
      </c>
      <c r="O21" s="257" t="n">
        <v>4580000000</v>
      </c>
      <c r="P21" s="257" t="n">
        <v>6313000000</v>
      </c>
      <c r="Q21" s="257" t="n">
        <v>7672000000</v>
      </c>
      <c r="R21" s="257" t="n">
        <v>8068000000</v>
      </c>
      <c r="S21" s="257" t="n">
        <v>8338000000</v>
      </c>
      <c r="T21" s="257" t="n">
        <v>9492000000</v>
      </c>
      <c r="U21" s="257" t="n">
        <v>8578000000</v>
      </c>
      <c r="V21" s="257" t="n">
        <v>8146000000</v>
      </c>
      <c r="W21" s="257" t="n">
        <v>6852000000</v>
      </c>
      <c r="X21" s="257" t="n">
        <v>6683000000</v>
      </c>
      <c r="Y21" s="257" t="n">
        <v>5745000000</v>
      </c>
      <c r="Z21" s="257" t="n">
        <v>4758000000</v>
      </c>
      <c r="AA21" s="257" t="n">
        <v>5208000000</v>
      </c>
      <c r="AB21" s="257" t="n">
        <v>5273000000</v>
      </c>
      <c r="AC21" s="257" t="n">
        <v>5000000000</v>
      </c>
      <c r="AD21" s="257" t="n">
        <v>3923000000</v>
      </c>
      <c r="AE21" s="257" t="n">
        <v>4385000000</v>
      </c>
      <c r="AF21" s="257" t="n">
        <v>4490000000</v>
      </c>
      <c r="AG21" s="257" t="n">
        <v>4318000000</v>
      </c>
      <c r="AH21" s="257" t="n">
        <v>3824000000</v>
      </c>
      <c r="AI21" s="257" t="n">
        <v>3737000000</v>
      </c>
      <c r="AJ21" s="257" t="n">
        <v>4080000000</v>
      </c>
    </row>
    <row r="22" ht="15" customHeight="1" s="255">
      <c r="A22" s="254" t="n">
        <v>11</v>
      </c>
      <c r="B22" s="254" t="n">
        <v>1</v>
      </c>
      <c r="G22" s="254" t="inlineStr">
        <is>
          <t>moeda</t>
        </is>
      </c>
      <c r="H22" s="254" t="inlineStr">
        <is>
          <t>CashCashEquivalentsRestrictedCashAndRestrictedCashEquivalents</t>
        </is>
      </c>
      <c r="J22" s="254" t="inlineStr">
        <is>
          <t>fonte</t>
        </is>
      </c>
      <c r="K22" s="257" t="n">
        <v>0</v>
      </c>
      <c r="L22" s="257" t="n">
        <v>0</v>
      </c>
      <c r="M22" s="257" t="n">
        <v>0</v>
      </c>
      <c r="N22" s="257" t="n">
        <v>3903000000</v>
      </c>
      <c r="O22" s="257" t="n">
        <v>0</v>
      </c>
      <c r="P22" s="257" t="n">
        <v>0</v>
      </c>
      <c r="Q22" s="257" t="n">
        <v>0</v>
      </c>
      <c r="R22" s="257" t="n">
        <v>8314000000</v>
      </c>
      <c r="S22" s="257" t="n">
        <v>0</v>
      </c>
      <c r="T22" s="257" t="n">
        <v>0</v>
      </c>
      <c r="U22" s="257" t="n">
        <v>0</v>
      </c>
      <c r="V22" s="257" t="n">
        <v>8390000000</v>
      </c>
      <c r="W22" s="257" t="n">
        <v>0</v>
      </c>
      <c r="X22" s="257" t="n">
        <v>0</v>
      </c>
      <c r="Y22" s="257" t="n">
        <v>0</v>
      </c>
      <c r="Z22" s="257" t="n">
        <v>6063000000</v>
      </c>
      <c r="AA22" s="257" t="n">
        <v>0</v>
      </c>
      <c r="AB22" s="257" t="n">
        <v>0</v>
      </c>
      <c r="AC22" s="257" t="n">
        <v>0</v>
      </c>
      <c r="AD22" s="257" t="n">
        <v>4911000000</v>
      </c>
      <c r="AE22" s="257" t="n">
        <v>0</v>
      </c>
      <c r="AF22" s="257" t="n">
        <v>0</v>
      </c>
      <c r="AG22" s="257" t="n">
        <v>0</v>
      </c>
      <c r="AH22" s="257" t="n">
        <v>4173000000</v>
      </c>
      <c r="AI22" s="257" t="n">
        <v>0</v>
      </c>
      <c r="AJ22" s="257" t="n">
        <v>0</v>
      </c>
    </row>
    <row r="23" ht="15" customHeight="1" s="255">
      <c r="A23" s="254" t="n">
        <v>12</v>
      </c>
      <c r="B23" s="254" t="n">
        <v>1</v>
      </c>
      <c r="G23" s="254" t="inlineStr">
        <is>
          <t>moeda</t>
        </is>
      </c>
      <c r="H23" s="254" t="inlineStr">
        <is>
          <t>AccountsReceivableNetCurrent</t>
        </is>
      </c>
      <c r="J23" s="254" t="inlineStr">
        <is>
          <t>fonte</t>
        </is>
      </c>
      <c r="K23" s="257" t="n">
        <v>515000000</v>
      </c>
      <c r="L23" s="257" t="n">
        <v>717000000</v>
      </c>
      <c r="M23" s="257" t="n">
        <v>893000000</v>
      </c>
      <c r="N23" s="257" t="n">
        <v>892000000</v>
      </c>
      <c r="O23" s="257" t="n">
        <v>1248000000</v>
      </c>
      <c r="P23" s="257" t="n">
        <v>1100000000</v>
      </c>
      <c r="Q23" s="257" t="n">
        <v>931000000</v>
      </c>
      <c r="R23" s="257" t="n">
        <v>1168000000</v>
      </c>
      <c r="S23" s="257" t="n">
        <v>1537000000</v>
      </c>
      <c r="T23" s="257" t="n">
        <v>977000000</v>
      </c>
      <c r="U23" s="257" t="n">
        <v>844000000</v>
      </c>
      <c r="V23" s="257" t="n">
        <v>1336000000</v>
      </c>
      <c r="W23" s="257" t="n">
        <v>1134000000</v>
      </c>
      <c r="X23" s="257" t="n">
        <v>675000000</v>
      </c>
      <c r="Y23" s="257" t="n">
        <v>792000000</v>
      </c>
      <c r="Z23" s="257" t="n">
        <v>1209000000</v>
      </c>
      <c r="AA23" s="257" t="n">
        <v>1494000000</v>
      </c>
      <c r="AB23" s="257" t="n">
        <v>1128000000</v>
      </c>
      <c r="AC23" s="257" t="n">
        <v>979000000</v>
      </c>
      <c r="AD23" s="257" t="n">
        <v>578000000</v>
      </c>
      <c r="AE23" s="257" t="n">
        <v>743000000</v>
      </c>
      <c r="AF23" s="257" t="n">
        <v>941000000</v>
      </c>
      <c r="AG23" s="257" t="n">
        <v>916000000</v>
      </c>
      <c r="AH23" s="257" t="n">
        <v>977000000</v>
      </c>
      <c r="AI23" s="257" t="n">
        <v>681000000</v>
      </c>
      <c r="AJ23" s="257" t="n">
        <v>716000000</v>
      </c>
    </row>
    <row r="24" ht="15" customHeight="1" s="255">
      <c r="A24" s="254" t="n">
        <v>16</v>
      </c>
      <c r="B24" s="254" t="n">
        <v>1</v>
      </c>
      <c r="G24" s="254" t="inlineStr">
        <is>
          <t>moeda</t>
        </is>
      </c>
      <c r="H24" s="254" t="inlineStr">
        <is>
          <t>IncomeTaxesReceivable</t>
        </is>
      </c>
      <c r="J24" s="254" t="inlineStr">
        <is>
          <t>fonte</t>
        </is>
      </c>
      <c r="K24" s="257" t="n">
        <v>591000000</v>
      </c>
      <c r="L24" s="257" t="n">
        <v>646000000</v>
      </c>
      <c r="M24" s="257" t="n">
        <v>464000000</v>
      </c>
      <c r="N24" s="257" t="n">
        <v>520000000</v>
      </c>
      <c r="O24" s="257" t="n">
        <v>522000000</v>
      </c>
      <c r="P24" s="257" t="n">
        <v>578000000</v>
      </c>
      <c r="Q24" s="257" t="n">
        <v>591000000</v>
      </c>
      <c r="R24" s="257" t="n">
        <v>574000000</v>
      </c>
      <c r="S24" s="257" t="n">
        <v>444000000</v>
      </c>
      <c r="T24" s="257" t="n">
        <v>435000000</v>
      </c>
      <c r="U24" s="257" t="n">
        <v>485000000</v>
      </c>
      <c r="V24" s="257" t="n">
        <v>459000000</v>
      </c>
      <c r="W24" s="257" t="n">
        <v>550000000</v>
      </c>
      <c r="X24" s="257" t="n">
        <v>417000000</v>
      </c>
      <c r="Y24" s="257" t="n">
        <v>488000000</v>
      </c>
      <c r="Z24" s="257" t="n">
        <v>455000000</v>
      </c>
      <c r="AA24" s="257" t="n">
        <v>744000000</v>
      </c>
      <c r="AB24" s="257" t="n">
        <v>428000000</v>
      </c>
      <c r="AC24" s="257" t="n">
        <v>0</v>
      </c>
      <c r="AD24" s="257" t="n">
        <v>0</v>
      </c>
      <c r="AE24" s="257" t="n">
        <v>0</v>
      </c>
      <c r="AF24" s="257" t="n">
        <v>0</v>
      </c>
      <c r="AG24" s="257" t="n">
        <v>0</v>
      </c>
      <c r="AH24" s="257" t="n">
        <v>0</v>
      </c>
      <c r="AI24" s="257" t="n">
        <v>0</v>
      </c>
      <c r="AJ24" s="257" t="n">
        <v>0</v>
      </c>
    </row>
    <row r="25" ht="15" customHeight="1" s="255">
      <c r="A25" s="254" t="n">
        <v>16</v>
      </c>
      <c r="B25" s="254" t="n">
        <v>1</v>
      </c>
      <c r="G25" s="254" t="inlineStr">
        <is>
          <t>moeda</t>
        </is>
      </c>
      <c r="H25" s="254" t="inlineStr">
        <is>
          <t>InventoryRawMaterialsAndSuppliesNetOfReserves</t>
        </is>
      </c>
      <c r="J25" s="254" t="inlineStr">
        <is>
          <t>fonte</t>
        </is>
      </c>
      <c r="K25" s="257" t="n">
        <v>1614000000</v>
      </c>
      <c r="L25" s="257" t="n">
        <v>1604000000</v>
      </c>
      <c r="M25" s="257" t="n">
        <v>1610000000</v>
      </c>
      <c r="N25" s="257" t="n">
        <v>1594000000</v>
      </c>
      <c r="O25" s="257" t="n">
        <v>1596000000</v>
      </c>
      <c r="P25" s="257" t="n">
        <v>1616000000</v>
      </c>
      <c r="Q25" s="257" t="n">
        <v>1617000000</v>
      </c>
      <c r="R25" s="257" t="n">
        <v>1669000000</v>
      </c>
      <c r="S25" s="257" t="n">
        <v>1741000000</v>
      </c>
      <c r="T25" s="257" t="n">
        <v>1776000000</v>
      </c>
      <c r="U25" s="257" t="n">
        <v>1873000000</v>
      </c>
      <c r="V25" s="257" t="n">
        <v>1964000000</v>
      </c>
      <c r="W25" s="257" t="n">
        <v>2056000000</v>
      </c>
      <c r="X25" s="257" t="n">
        <v>2098000000</v>
      </c>
      <c r="Y25" s="257" t="n">
        <v>2131000000</v>
      </c>
      <c r="Z25" s="257" t="n">
        <v>2169000000</v>
      </c>
      <c r="AA25" s="257" t="n">
        <v>2202000000</v>
      </c>
      <c r="AB25" s="257" t="n">
        <v>2283000000</v>
      </c>
      <c r="AC25" s="257" t="n">
        <v>2328000000</v>
      </c>
      <c r="AD25" s="257" t="n">
        <v>2382000000</v>
      </c>
      <c r="AE25" s="257" t="n">
        <v>2418000000</v>
      </c>
      <c r="AF25" s="257" t="n">
        <v>2516000000</v>
      </c>
      <c r="AG25" s="257" t="n">
        <v>2633000000</v>
      </c>
      <c r="AH25" s="257" t="n">
        <v>2738000000</v>
      </c>
      <c r="AI25" s="257" t="n">
        <v>2865000000</v>
      </c>
      <c r="AJ25" s="257" t="n">
        <v>2924000000</v>
      </c>
    </row>
    <row r="26" ht="15" customHeight="1" s="255">
      <c r="A26" s="254" t="n">
        <v>16</v>
      </c>
      <c r="B26" s="254" t="n">
        <v>1</v>
      </c>
      <c r="G26" s="254" t="inlineStr">
        <is>
          <t>moeda</t>
        </is>
      </c>
      <c r="H26" s="254" t="inlineStr">
        <is>
          <t>InventoryMillandStockpilesonLeachPadsCurrent</t>
        </is>
      </c>
      <c r="J26" s="254" t="inlineStr">
        <is>
          <t>fonte</t>
        </is>
      </c>
      <c r="K26" s="257" t="n">
        <v>1106000000</v>
      </c>
      <c r="L26" s="257" t="n">
        <v>1030000000</v>
      </c>
      <c r="M26" s="257" t="n">
        <v>1004000000</v>
      </c>
      <c r="N26" s="257" t="n">
        <v>1014000000</v>
      </c>
      <c r="O26" s="257" t="n">
        <v>1007000000</v>
      </c>
      <c r="P26" s="257" t="n">
        <v>1006000000</v>
      </c>
      <c r="Q26" s="257" t="n">
        <v>1086000000</v>
      </c>
      <c r="R26" s="257" t="n">
        <v>1170000000</v>
      </c>
      <c r="S26" s="257" t="n">
        <v>1227000000</v>
      </c>
      <c r="T26" s="257" t="n">
        <v>1387000000</v>
      </c>
      <c r="U26" s="257" t="n">
        <v>1369000000</v>
      </c>
      <c r="V26" s="257" t="n">
        <v>1383000000</v>
      </c>
      <c r="W26" s="257" t="n">
        <v>1440000000</v>
      </c>
      <c r="X26" s="257" t="n">
        <v>1498000000</v>
      </c>
      <c r="Y26" s="257" t="n">
        <v>1403000000</v>
      </c>
      <c r="Z26" s="257" t="n">
        <v>1419000000</v>
      </c>
      <c r="AA26" s="257" t="n">
        <v>1419000000</v>
      </c>
      <c r="AB26" s="257" t="n">
        <v>1436000000</v>
      </c>
      <c r="AC26" s="257" t="n">
        <v>1406000000</v>
      </c>
      <c r="AD26" s="257" t="n">
        <v>1388000000</v>
      </c>
      <c r="AE26" s="257" t="n">
        <v>1436000000</v>
      </c>
      <c r="AF26" s="257" t="n">
        <v>1477000000</v>
      </c>
      <c r="AG26" s="257" t="n">
        <v>1501000000</v>
      </c>
      <c r="AH26" s="257" t="n">
        <v>1423000000</v>
      </c>
      <c r="AI26" s="257" t="n">
        <v>1513000000</v>
      </c>
      <c r="AJ26" s="257" t="n">
        <v>1577000000</v>
      </c>
    </row>
    <row r="27" ht="15" customHeight="1" s="255">
      <c r="A27" s="254" t="n">
        <v>16</v>
      </c>
      <c r="B27" s="254" t="n">
        <v>1</v>
      </c>
      <c r="G27" s="254" t="inlineStr">
        <is>
          <t>moeda</t>
        </is>
      </c>
      <c r="H27" s="254" t="inlineStr">
        <is>
          <t>Product</t>
        </is>
      </c>
      <c r="J27" s="254" t="inlineStr">
        <is>
          <t>fonte</t>
        </is>
      </c>
      <c r="K27" s="257" t="n">
        <v>1134000000</v>
      </c>
      <c r="L27" s="257" t="n">
        <v>1176000000</v>
      </c>
      <c r="M27" s="257" t="n">
        <v>1278000000</v>
      </c>
      <c r="N27" s="257" t="n">
        <v>1285000000</v>
      </c>
      <c r="O27" s="257" t="n">
        <v>1542000000</v>
      </c>
      <c r="P27" s="257" t="n">
        <v>1596000000</v>
      </c>
      <c r="Q27" s="257" t="n">
        <v>1417000000</v>
      </c>
      <c r="R27" s="257" t="n">
        <v>1658000000</v>
      </c>
      <c r="S27" s="257" t="n">
        <v>1486000000</v>
      </c>
      <c r="T27" s="257" t="n">
        <v>1507000000</v>
      </c>
      <c r="U27" s="257" t="n">
        <v>1577000000</v>
      </c>
      <c r="V27" s="257" t="n">
        <v>1833000000</v>
      </c>
      <c r="W27" s="257" t="n">
        <v>2241000000</v>
      </c>
      <c r="X27" s="257" t="n">
        <v>2214000000</v>
      </c>
      <c r="Y27" s="257" t="n">
        <v>2415000000</v>
      </c>
      <c r="Z27" s="257" t="n">
        <v>2472000000</v>
      </c>
      <c r="AA27" s="257" t="n">
        <v>2356000000</v>
      </c>
      <c r="AB27" s="257" t="n">
        <v>2755000000</v>
      </c>
      <c r="AC27" s="257" t="n">
        <v>2709000000</v>
      </c>
      <c r="AD27" s="257" t="n">
        <v>3038000000</v>
      </c>
      <c r="AE27" s="257" t="n">
        <v>3220000000</v>
      </c>
      <c r="AF27" s="257" t="n">
        <v>2961000000</v>
      </c>
      <c r="AG27" s="257" t="n">
        <v>2864000000</v>
      </c>
      <c r="AH27" s="257" t="n">
        <v>3332000000</v>
      </c>
      <c r="AI27" s="257" t="n">
        <v>3042000000</v>
      </c>
      <c r="AJ27" s="257" t="n">
        <v>3363000000</v>
      </c>
    </row>
    <row r="28" ht="15" customHeight="1" s="255">
      <c r="A28" s="254" t="n">
        <v>16</v>
      </c>
      <c r="B28" s="254" t="n">
        <v>1</v>
      </c>
      <c r="G28" s="254" t="inlineStr">
        <is>
          <t>moeda</t>
        </is>
      </c>
      <c r="H28" s="254" t="inlineStr">
        <is>
          <t>OtherAssetsCurrent</t>
        </is>
      </c>
      <c r="J28" s="254" t="inlineStr">
        <is>
          <t>fonte</t>
        </is>
      </c>
      <c r="K28" s="257" t="n">
        <v>795000000</v>
      </c>
      <c r="L28" s="257" t="n">
        <v>517000000</v>
      </c>
      <c r="M28" s="257" t="n">
        <v>419000000</v>
      </c>
      <c r="N28" s="257" t="n">
        <v>341000000</v>
      </c>
      <c r="O28" s="257" t="n">
        <v>361000000</v>
      </c>
      <c r="P28" s="257" t="n">
        <v>390000000</v>
      </c>
      <c r="Q28" s="257" t="n">
        <v>477000000</v>
      </c>
      <c r="R28" s="257" t="n">
        <v>523000000</v>
      </c>
      <c r="S28" s="257" t="n">
        <v>529000000</v>
      </c>
      <c r="T28" s="257" t="n">
        <v>608000000</v>
      </c>
      <c r="U28" s="257" t="n">
        <v>647000000</v>
      </c>
      <c r="V28" s="257" t="n">
        <v>492000000</v>
      </c>
      <c r="W28" s="257" t="n">
        <v>473000000</v>
      </c>
      <c r="X28" s="257" t="n">
        <v>472000000</v>
      </c>
      <c r="Y28" s="257" t="n">
        <v>406000000</v>
      </c>
      <c r="Z28" s="257" t="n">
        <v>375000000</v>
      </c>
      <c r="AA28" s="257" t="n">
        <v>385000000</v>
      </c>
      <c r="AB28" s="257" t="n">
        <v>389000000</v>
      </c>
      <c r="AC28" s="257" t="n">
        <v>436000000</v>
      </c>
      <c r="AD28" s="257" t="n">
        <v>535000000</v>
      </c>
      <c r="AE28" s="257" t="n">
        <v>575000000</v>
      </c>
      <c r="AF28" s="257" t="n">
        <v>547000000</v>
      </c>
      <c r="AG28" s="257" t="n">
        <v>554000000</v>
      </c>
      <c r="AH28" s="257" t="n">
        <v>580000000</v>
      </c>
      <c r="AI28" s="257" t="n">
        <v>609000000</v>
      </c>
      <c r="AJ28" s="257" t="n">
        <v>573000000</v>
      </c>
    </row>
    <row r="29" ht="15" customHeight="1" s="255">
      <c r="A29" s="254" t="n">
        <v>16</v>
      </c>
      <c r="B29" s="254" t="n">
        <v>1</v>
      </c>
      <c r="G29" s="254" t="inlineStr">
        <is>
          <t>moeda</t>
        </is>
      </c>
      <c r="H29" s="254" t="inlineStr">
        <is>
          <t>RestrictedCashAndCashEquivalentsAtCarryingValue</t>
        </is>
      </c>
      <c r="J29" s="254" t="inlineStr">
        <is>
          <t>fonte</t>
        </is>
      </c>
      <c r="K29" s="257" t="n">
        <v>0</v>
      </c>
      <c r="L29" s="257" t="n">
        <v>0</v>
      </c>
      <c r="M29" s="257" t="n">
        <v>0</v>
      </c>
      <c r="N29" s="257" t="n">
        <v>0</v>
      </c>
      <c r="O29" s="257" t="n">
        <v>0</v>
      </c>
      <c r="P29" s="257" t="n">
        <v>0</v>
      </c>
      <c r="Q29" s="257" t="n">
        <v>0</v>
      </c>
      <c r="R29" s="257" t="n">
        <v>0</v>
      </c>
      <c r="S29" s="257" t="n">
        <v>0</v>
      </c>
      <c r="T29" s="257" t="n">
        <v>0</v>
      </c>
      <c r="U29" s="257" t="n">
        <v>0</v>
      </c>
      <c r="V29" s="257" t="n">
        <v>0</v>
      </c>
      <c r="W29" s="257" t="n">
        <v>0</v>
      </c>
      <c r="X29" s="257" t="n">
        <v>0</v>
      </c>
      <c r="Y29" s="257" t="n">
        <v>697000000</v>
      </c>
      <c r="Z29" s="257" t="n">
        <v>1208000000</v>
      </c>
      <c r="AA29" s="257" t="n">
        <v>1034000000</v>
      </c>
      <c r="AB29" s="257" t="n">
        <v>1030000000</v>
      </c>
      <c r="AC29" s="257" t="n">
        <v>1117000000</v>
      </c>
      <c r="AD29" s="257" t="n">
        <v>888000000</v>
      </c>
      <c r="AE29" s="257" t="n">
        <v>460000000</v>
      </c>
      <c r="AF29" s="257" t="n">
        <v>230000000</v>
      </c>
      <c r="AG29" s="257" t="n">
        <v>230000000</v>
      </c>
      <c r="AH29" s="257" t="n">
        <v>230000000</v>
      </c>
      <c r="AI29" s="257" t="n">
        <v>280000000</v>
      </c>
      <c r="AJ29" s="257" t="n">
        <v>278000000</v>
      </c>
    </row>
    <row r="30" ht="15" customHeight="1" s="255">
      <c r="A30" s="254" t="n">
        <v>16</v>
      </c>
      <c r="B30" s="254" t="n">
        <v>1</v>
      </c>
      <c r="G30" s="254" t="inlineStr">
        <is>
          <t>moeda</t>
        </is>
      </c>
      <c r="H30" s="254" t="inlineStr">
        <is>
          <t>ValueAddedTaxReceivableCurrent</t>
        </is>
      </c>
      <c r="J30" s="254" t="inlineStr">
        <is>
          <t>fonte</t>
        </is>
      </c>
      <c r="K30" s="257" t="n">
        <v>0</v>
      </c>
      <c r="L30" s="257" t="n">
        <v>0</v>
      </c>
      <c r="M30" s="257" t="n">
        <v>0</v>
      </c>
      <c r="N30" s="257" t="n">
        <v>0</v>
      </c>
      <c r="O30" s="257" t="n">
        <v>0</v>
      </c>
      <c r="P30" s="257" t="n">
        <v>0</v>
      </c>
      <c r="Q30" s="257" t="n">
        <v>0</v>
      </c>
      <c r="R30" s="257" t="n">
        <v>0</v>
      </c>
      <c r="S30" s="257" t="n">
        <v>0</v>
      </c>
      <c r="T30" s="257" t="n">
        <v>0</v>
      </c>
      <c r="U30" s="257" t="n">
        <v>0</v>
      </c>
      <c r="V30" s="257" t="n">
        <v>0</v>
      </c>
      <c r="W30" s="257" t="n">
        <v>0</v>
      </c>
      <c r="X30" s="257" t="n">
        <v>0</v>
      </c>
      <c r="Y30" s="257" t="n">
        <v>0</v>
      </c>
      <c r="Z30" s="257" t="n">
        <v>0</v>
      </c>
      <c r="AA30" s="257" t="n">
        <v>0</v>
      </c>
      <c r="AB30" s="257" t="n">
        <v>0</v>
      </c>
      <c r="AC30" s="257" t="n">
        <v>570000000</v>
      </c>
      <c r="AD30" s="257" t="n">
        <v>564000000</v>
      </c>
      <c r="AE30" s="257" t="n">
        <v>565000000</v>
      </c>
      <c r="AF30" s="257" t="n">
        <v>474000000</v>
      </c>
      <c r="AG30" s="257" t="n">
        <v>548000000</v>
      </c>
      <c r="AH30" s="257" t="n">
        <v>686000000</v>
      </c>
      <c r="AI30" s="257" t="n">
        <v>666000000</v>
      </c>
      <c r="AJ30" s="257" t="n">
        <v>654000000</v>
      </c>
    </row>
    <row r="31" ht="15" customHeight="1" s="255">
      <c r="A31" s="254" t="n">
        <v>16</v>
      </c>
      <c r="B31" s="254" t="n">
        <v>1</v>
      </c>
      <c r="G31" s="254" t="inlineStr">
        <is>
          <t>moeda</t>
        </is>
      </c>
      <c r="H31" s="254" t="inlineStr">
        <is>
          <t>InsuranceSettlementsReceivableCurrent</t>
        </is>
      </c>
      <c r="J31" s="254" t="inlineStr">
        <is>
          <t>fonte</t>
        </is>
      </c>
      <c r="K31" s="257" t="n">
        <v>0</v>
      </c>
      <c r="L31" s="257" t="n">
        <v>0</v>
      </c>
      <c r="M31" s="257" t="n">
        <v>0</v>
      </c>
      <c r="N31" s="257" t="n">
        <v>0</v>
      </c>
      <c r="O31" s="257" t="n">
        <v>0</v>
      </c>
      <c r="P31" s="257" t="n">
        <v>0</v>
      </c>
      <c r="Q31" s="257" t="n">
        <v>0</v>
      </c>
      <c r="R31" s="257" t="n">
        <v>0</v>
      </c>
      <c r="S31" s="257" t="n">
        <v>0</v>
      </c>
      <c r="T31" s="257" t="n">
        <v>0</v>
      </c>
      <c r="U31" s="257" t="n">
        <v>0</v>
      </c>
      <c r="V31" s="257" t="n">
        <v>0</v>
      </c>
      <c r="W31" s="257" t="n">
        <v>0</v>
      </c>
      <c r="X31" s="257" t="n">
        <v>0</v>
      </c>
      <c r="Y31" s="257" t="n">
        <v>0</v>
      </c>
      <c r="Z31" s="257" t="n">
        <v>0</v>
      </c>
      <c r="AA31" s="257" t="n">
        <v>0</v>
      </c>
      <c r="AB31" s="257" t="n">
        <v>0</v>
      </c>
      <c r="AC31" s="257" t="n">
        <v>0</v>
      </c>
      <c r="AD31" s="257" t="n">
        <v>0</v>
      </c>
      <c r="AE31" s="257" t="n">
        <v>0</v>
      </c>
      <c r="AF31" s="257" t="n">
        <v>0</v>
      </c>
      <c r="AG31" s="257" t="n">
        <v>0</v>
      </c>
      <c r="AH31" s="257" t="n">
        <v>0</v>
      </c>
      <c r="AI31" s="257" t="n">
        <v>699000000</v>
      </c>
      <c r="AJ31" s="257" t="n">
        <v>0</v>
      </c>
    </row>
    <row r="32" ht="15" customHeight="1" s="255">
      <c r="A32" s="254" t="n">
        <v>18</v>
      </c>
      <c r="B32" s="254" t="n">
        <v>1</v>
      </c>
      <c r="G32" s="254" t="inlineStr">
        <is>
          <t>moeda</t>
        </is>
      </c>
      <c r="H32" s="254" t="inlineStr">
        <is>
          <t>PropertyPlantAndEquipmentNet</t>
        </is>
      </c>
      <c r="J32" s="254" t="inlineStr">
        <is>
          <t>fonte</t>
        </is>
      </c>
      <c r="K32" s="257" t="n">
        <v>29899000000</v>
      </c>
      <c r="L32" s="257" t="n">
        <v>29936000000</v>
      </c>
      <c r="M32" s="257" t="n">
        <v>29911000000</v>
      </c>
      <c r="N32" s="257" t="n">
        <v>29818000000</v>
      </c>
      <c r="O32" s="257" t="n">
        <v>29775000000</v>
      </c>
      <c r="P32" s="257" t="n">
        <v>29836000000</v>
      </c>
      <c r="Q32" s="257" t="n">
        <v>30102000000</v>
      </c>
      <c r="R32" s="257" t="n">
        <v>30345000000</v>
      </c>
      <c r="S32" s="257" t="n">
        <v>30708000000</v>
      </c>
      <c r="T32" s="257" t="n">
        <v>31200000000</v>
      </c>
      <c r="U32" s="257" t="n">
        <v>31814000000</v>
      </c>
      <c r="V32" s="257" t="n">
        <v>32627000000</v>
      </c>
      <c r="W32" s="257" t="n">
        <v>33159000000</v>
      </c>
      <c r="X32" s="257" t="n">
        <v>33845000000</v>
      </c>
      <c r="Y32" s="257" t="n">
        <v>34535000000</v>
      </c>
      <c r="Z32" s="257" t="n">
        <v>35295000000</v>
      </c>
      <c r="AA32" s="257" t="n">
        <v>36197000000</v>
      </c>
      <c r="AB32" s="257" t="n">
        <v>36784000000</v>
      </c>
      <c r="AC32" s="257" t="n">
        <v>37750000000</v>
      </c>
      <c r="AD32" s="257" t="n">
        <v>38514000000</v>
      </c>
      <c r="AE32" s="257" t="n">
        <v>39200000000</v>
      </c>
      <c r="AF32" s="257" t="n">
        <v>39835000000</v>
      </c>
      <c r="AG32" s="257" t="n">
        <v>40257000000</v>
      </c>
      <c r="AH32" s="257" t="n">
        <v>40736000000</v>
      </c>
      <c r="AI32" s="257" t="n">
        <v>41101000000</v>
      </c>
      <c r="AJ32" s="257" t="n">
        <v>41705000000</v>
      </c>
    </row>
    <row r="33" ht="15" customHeight="1" s="255">
      <c r="A33" s="254" t="n">
        <v>22</v>
      </c>
      <c r="B33" s="254" t="n">
        <v>1</v>
      </c>
      <c r="G33" s="254" t="inlineStr">
        <is>
          <t>moeda</t>
        </is>
      </c>
      <c r="H33" s="254" t="inlineStr">
        <is>
          <t>InventoryNoncurrent</t>
        </is>
      </c>
      <c r="J33" s="254" t="inlineStr">
        <is>
          <t>fonte</t>
        </is>
      </c>
      <c r="K33" s="257" t="n">
        <v>1272000000</v>
      </c>
      <c r="L33" s="257" t="n">
        <v>1446000000</v>
      </c>
      <c r="M33" s="257" t="n">
        <v>1463000000</v>
      </c>
      <c r="N33" s="257" t="n">
        <v>1463000000</v>
      </c>
      <c r="O33" s="257" t="n">
        <v>1475000000</v>
      </c>
      <c r="P33" s="257" t="n">
        <v>1473000000</v>
      </c>
      <c r="Q33" s="257" t="n">
        <v>1450000000</v>
      </c>
      <c r="R33" s="257" t="n">
        <v>1387000000</v>
      </c>
      <c r="S33" s="257" t="n">
        <v>1377000000</v>
      </c>
      <c r="T33" s="257" t="n">
        <v>1230000000</v>
      </c>
      <c r="U33" s="257" t="n">
        <v>1194000000</v>
      </c>
      <c r="V33" s="257" t="n">
        <v>1252000000</v>
      </c>
      <c r="W33" s="257" t="n">
        <v>1235000000</v>
      </c>
      <c r="X33" s="257" t="n">
        <v>1241000000</v>
      </c>
      <c r="Y33" s="257" t="n">
        <v>1327000000</v>
      </c>
      <c r="Z33" s="257" t="n">
        <v>1336000000</v>
      </c>
      <c r="AA33" s="257" t="n">
        <v>1313000000</v>
      </c>
      <c r="AB33" s="257" t="n">
        <v>1286000000</v>
      </c>
      <c r="AC33" s="257" t="n">
        <v>1257000000</v>
      </c>
      <c r="AD33" s="257" t="n">
        <v>1225000000</v>
      </c>
      <c r="AE33" s="257" t="n">
        <v>1169000000</v>
      </c>
      <c r="AF33" s="257" t="n">
        <v>1122000000</v>
      </c>
      <c r="AG33" s="257" t="n">
        <v>1091000000</v>
      </c>
      <c r="AH33" s="257" t="n">
        <v>1173000000</v>
      </c>
      <c r="AI33" s="257" t="n">
        <v>1100000000</v>
      </c>
      <c r="AJ33" s="257" t="n">
        <v>1074000000</v>
      </c>
    </row>
    <row r="34" ht="15" customHeight="1" s="255">
      <c r="A34" s="254" t="n">
        <v>22</v>
      </c>
      <c r="B34" s="254" t="n">
        <v>1</v>
      </c>
      <c r="G34" s="254" t="inlineStr">
        <is>
          <t>moeda</t>
        </is>
      </c>
      <c r="H34" s="254" t="inlineStr">
        <is>
          <t>OtherAssetsNoncurrent</t>
        </is>
      </c>
      <c r="J34" s="254" t="inlineStr">
        <is>
          <t>fonte</t>
        </is>
      </c>
      <c r="K34" s="257" t="n">
        <v>1691000000</v>
      </c>
      <c r="L34" s="257" t="n">
        <v>1693000000</v>
      </c>
      <c r="M34" s="257" t="n">
        <v>1654000000</v>
      </c>
      <c r="N34" s="257" t="n">
        <v>1560000000</v>
      </c>
      <c r="O34" s="257" t="n">
        <v>1537000000</v>
      </c>
      <c r="P34" s="257" t="n">
        <v>1528000000</v>
      </c>
      <c r="Q34" s="257" t="n">
        <v>1574000000</v>
      </c>
      <c r="R34" s="257" t="n">
        <v>1460000000</v>
      </c>
      <c r="S34" s="257" t="n">
        <v>1445000000</v>
      </c>
      <c r="T34" s="257" t="n">
        <v>1501000000</v>
      </c>
      <c r="U34" s="257" t="n">
        <v>1546000000</v>
      </c>
      <c r="V34" s="257" t="n">
        <v>1601000000</v>
      </c>
      <c r="W34" s="257" t="n">
        <v>1769000000</v>
      </c>
      <c r="X34" s="257" t="n">
        <v>1764000000</v>
      </c>
      <c r="Y34" s="257" t="n">
        <v>1709000000</v>
      </c>
      <c r="Z34" s="257" t="n">
        <v>1810000000</v>
      </c>
      <c r="AA34" s="257" t="n">
        <v>1846000000</v>
      </c>
      <c r="AB34" s="257" t="n">
        <v>1843000000</v>
      </c>
      <c r="AC34" s="257" t="n">
        <v>1848000000</v>
      </c>
      <c r="AD34" s="257" t="n">
        <v>1813000000</v>
      </c>
      <c r="AE34" s="257" t="n">
        <v>1851000000</v>
      </c>
      <c r="AF34" s="257" t="n">
        <v>1899000000</v>
      </c>
      <c r="AG34" s="257" t="n">
        <v>1916000000</v>
      </c>
      <c r="AH34" s="257" t="n">
        <v>1658000000</v>
      </c>
      <c r="AI34" s="257" t="n">
        <v>1715000000</v>
      </c>
      <c r="AJ34" s="257" t="n">
        <v>1717000000</v>
      </c>
    </row>
    <row r="35" ht="15" customHeight="1" s="255">
      <c r="A35" s="254" t="n">
        <v>22</v>
      </c>
      <c r="B35" s="254" t="n">
        <v>1</v>
      </c>
      <c r="G35" s="254" t="inlineStr">
        <is>
          <t>moeda</t>
        </is>
      </c>
      <c r="H35" s="254" t="inlineStr">
        <is>
          <t>IncomeTaxesReceivableNoncurrent</t>
        </is>
      </c>
      <c r="J35" s="254" t="inlineStr">
        <is>
          <t>fonte</t>
        </is>
      </c>
      <c r="K35" s="257" t="n">
        <v>0</v>
      </c>
      <c r="L35" s="257" t="n">
        <v>0</v>
      </c>
      <c r="M35" s="257" t="n">
        <v>0</v>
      </c>
      <c r="N35" s="257" t="n">
        <v>0</v>
      </c>
      <c r="O35" s="257" t="n">
        <v>0</v>
      </c>
      <c r="P35" s="257" t="n">
        <v>0</v>
      </c>
      <c r="Q35" s="257" t="n">
        <v>0</v>
      </c>
      <c r="R35" s="257" t="n">
        <v>0</v>
      </c>
      <c r="S35" s="257" t="n">
        <v>0</v>
      </c>
      <c r="T35" s="257" t="n">
        <v>0</v>
      </c>
      <c r="U35" s="257" t="n">
        <v>0</v>
      </c>
      <c r="V35" s="257" t="n">
        <v>0</v>
      </c>
      <c r="W35" s="257" t="n">
        <v>0</v>
      </c>
      <c r="X35" s="257" t="n">
        <v>0</v>
      </c>
      <c r="Y35" s="257" t="n">
        <v>0</v>
      </c>
      <c r="Z35" s="257" t="n">
        <v>0</v>
      </c>
      <c r="AA35" s="257" t="n">
        <v>0</v>
      </c>
      <c r="AB35" s="257" t="n">
        <v>0</v>
      </c>
      <c r="AC35" s="257" t="n">
        <v>0</v>
      </c>
      <c r="AD35" s="257" t="n">
        <v>0</v>
      </c>
      <c r="AE35" s="257" t="n">
        <v>0</v>
      </c>
      <c r="AF35" s="257" t="n">
        <v>0</v>
      </c>
      <c r="AG35" s="257" t="n">
        <v>0</v>
      </c>
      <c r="AH35" s="257" t="n">
        <v>810000000</v>
      </c>
      <c r="AI35" s="257" t="n">
        <v>832000000</v>
      </c>
      <c r="AJ35" s="257" t="n">
        <v>1066000000</v>
      </c>
    </row>
    <row r="36" ht="15" customHeight="1" s="255">
      <c r="A36" s="254" t="n">
        <v>23</v>
      </c>
      <c r="B36" s="254" t="n">
        <v>1</v>
      </c>
      <c r="G36" s="254" t="inlineStr">
        <is>
          <t>moeda</t>
        </is>
      </c>
      <c r="H36" s="254" t="inlineStr">
        <is>
          <t>AccountsPayableAndAccruedLiabilitiesCurrent</t>
        </is>
      </c>
      <c r="J36" s="254" t="inlineStr">
        <is>
          <t>fonte</t>
        </is>
      </c>
      <c r="K36" s="257" t="n">
        <v>2465000000</v>
      </c>
      <c r="L36" s="257" t="n">
        <v>2471000000</v>
      </c>
      <c r="M36" s="257" t="n">
        <v>2533000000</v>
      </c>
      <c r="N36" s="257" t="n">
        <v>2708000000</v>
      </c>
      <c r="O36" s="257" t="n">
        <v>2866000000</v>
      </c>
      <c r="P36" s="257" t="n">
        <v>3106000000</v>
      </c>
      <c r="Q36" s="257" t="n">
        <v>2949000000</v>
      </c>
      <c r="R36" s="257" t="n">
        <v>3495000000</v>
      </c>
      <c r="S36" s="257" t="n">
        <v>3163000000</v>
      </c>
      <c r="T36" s="257" t="n">
        <v>3853000000</v>
      </c>
      <c r="U36" s="257" t="n">
        <v>3947000000</v>
      </c>
      <c r="V36" s="257" t="n">
        <v>4027000000</v>
      </c>
      <c r="W36" s="257" t="n">
        <v>3836000000</v>
      </c>
      <c r="X36" s="257" t="n">
        <v>3642000000</v>
      </c>
      <c r="Y36" s="257" t="n">
        <v>3724000000</v>
      </c>
      <c r="Z36" s="257" t="n">
        <v>3729000000</v>
      </c>
      <c r="AA36" s="257" t="n">
        <v>3672000000</v>
      </c>
      <c r="AB36" s="257" t="n">
        <v>3910000000</v>
      </c>
      <c r="AC36" s="257" t="n">
        <v>3824000000</v>
      </c>
      <c r="AD36" s="257" t="n">
        <v>4057000000</v>
      </c>
      <c r="AE36" s="257" t="n">
        <v>4078000000</v>
      </c>
      <c r="AF36" s="257" t="n">
        <v>4288000000</v>
      </c>
      <c r="AG36" s="257" t="n">
        <v>4098000000</v>
      </c>
      <c r="AH36" s="257" t="n">
        <v>4565000000</v>
      </c>
      <c r="AI36" s="257" t="n">
        <v>4142000000</v>
      </c>
      <c r="AJ36" s="257" t="n">
        <v>4582000000</v>
      </c>
    </row>
    <row r="37" ht="15" customHeight="1" s="255">
      <c r="A37" s="254" t="n">
        <v>25</v>
      </c>
      <c r="B37" s="254" t="n">
        <v>1</v>
      </c>
      <c r="G37" s="254" t="inlineStr">
        <is>
          <t>moeda</t>
        </is>
      </c>
      <c r="H37" s="254" t="inlineStr">
        <is>
          <t>AccruedIncomeTaxesCurrent</t>
        </is>
      </c>
      <c r="J37" s="254" t="inlineStr">
        <is>
          <t>fonte</t>
        </is>
      </c>
      <c r="K37" s="257" t="n">
        <v>128000000</v>
      </c>
      <c r="L37" s="257" t="n">
        <v>47000000</v>
      </c>
      <c r="M37" s="257" t="n">
        <v>119000000</v>
      </c>
      <c r="N37" s="257" t="n">
        <v>324000000</v>
      </c>
      <c r="O37" s="257" t="n">
        <v>647000000</v>
      </c>
      <c r="P37" s="257" t="n">
        <v>919000000</v>
      </c>
      <c r="Q37" s="257" t="n">
        <v>1237000000</v>
      </c>
      <c r="R37" s="257" t="n">
        <v>1541000000</v>
      </c>
      <c r="S37" s="257" t="n">
        <v>1392000000</v>
      </c>
      <c r="T37" s="257" t="n">
        <v>507000000</v>
      </c>
      <c r="U37" s="257" t="n">
        <v>439000000</v>
      </c>
      <c r="V37" s="257" t="n">
        <v>744000000</v>
      </c>
      <c r="W37" s="257" t="n">
        <v>846000000</v>
      </c>
      <c r="X37" s="257" t="n">
        <v>531000000</v>
      </c>
      <c r="Y37" s="257" t="n">
        <v>489000000</v>
      </c>
      <c r="Z37" s="257" t="n">
        <v>786000000</v>
      </c>
      <c r="AA37" s="257" t="n">
        <v>1322000000</v>
      </c>
      <c r="AB37" s="257" t="n">
        <v>898000000</v>
      </c>
      <c r="AC37" s="257" t="n">
        <v>1072000000</v>
      </c>
      <c r="AD37" s="257" t="n">
        <v>859000000</v>
      </c>
      <c r="AE37" s="257" t="n">
        <v>857000000</v>
      </c>
      <c r="AF37" s="257" t="n">
        <v>389000000</v>
      </c>
      <c r="AG37" s="257" t="n">
        <v>528000000</v>
      </c>
      <c r="AH37" s="257" t="n">
        <v>456000000</v>
      </c>
      <c r="AI37" s="257" t="n">
        <v>725000000</v>
      </c>
      <c r="AJ37" s="257" t="n">
        <v>509000000</v>
      </c>
    </row>
    <row r="38" ht="15" customHeight="1" s="255">
      <c r="A38" s="254" t="n">
        <v>26</v>
      </c>
      <c r="B38" s="254" t="n">
        <v>1</v>
      </c>
      <c r="G38" s="254" t="inlineStr">
        <is>
          <t>moeda</t>
        </is>
      </c>
      <c r="H38" s="254" t="inlineStr">
        <is>
          <t>EnvironmentalAndAssetRetirementObligationsCurrent</t>
        </is>
      </c>
      <c r="J38" s="254" t="inlineStr">
        <is>
          <t>fonte</t>
        </is>
      </c>
      <c r="K38" s="257" t="n">
        <v>305000000</v>
      </c>
      <c r="L38" s="257" t="n">
        <v>298000000</v>
      </c>
      <c r="M38" s="257" t="n">
        <v>397000000</v>
      </c>
      <c r="N38" s="257" t="n">
        <v>351000000</v>
      </c>
      <c r="O38" s="257" t="n">
        <v>331000000</v>
      </c>
      <c r="P38" s="257" t="n">
        <v>334000000</v>
      </c>
      <c r="Q38" s="257" t="n">
        <v>329000000</v>
      </c>
      <c r="R38" s="257" t="n">
        <v>264000000</v>
      </c>
      <c r="S38" s="257" t="n">
        <v>316000000</v>
      </c>
      <c r="T38" s="257" t="n">
        <v>317000000</v>
      </c>
      <c r="U38" s="257" t="n">
        <v>365000000</v>
      </c>
      <c r="V38" s="257" t="n">
        <v>320000000</v>
      </c>
      <c r="W38" s="257" t="n">
        <v>333000000</v>
      </c>
      <c r="X38" s="257" t="n">
        <v>361000000</v>
      </c>
      <c r="Y38" s="257" t="n">
        <v>395000000</v>
      </c>
      <c r="Z38" s="257" t="n">
        <v>316000000</v>
      </c>
      <c r="AA38" s="257" t="n">
        <v>325000000</v>
      </c>
      <c r="AB38" s="257" t="n">
        <v>342000000</v>
      </c>
      <c r="AC38" s="257" t="n">
        <v>364000000</v>
      </c>
      <c r="AD38" s="257" t="n">
        <v>320000000</v>
      </c>
      <c r="AE38" s="257" t="n">
        <v>296000000</v>
      </c>
      <c r="AF38" s="257" t="n">
        <v>298000000</v>
      </c>
      <c r="AG38" s="257" t="n">
        <v>299000000</v>
      </c>
      <c r="AH38" s="257" t="n">
        <v>313000000</v>
      </c>
      <c r="AI38" s="257" t="n">
        <v>323000000</v>
      </c>
      <c r="AJ38" s="257" t="n">
        <v>327000000</v>
      </c>
    </row>
    <row r="39" ht="15" customHeight="1" s="255">
      <c r="A39" s="254" t="n">
        <v>26</v>
      </c>
      <c r="B39" s="254" t="n">
        <v>1</v>
      </c>
      <c r="G39" s="254" t="inlineStr">
        <is>
          <t>moeda</t>
        </is>
      </c>
      <c r="H39" s="254" t="inlineStr">
        <is>
          <t>DividendsPayableCurrent</t>
        </is>
      </c>
      <c r="J39" s="254" t="inlineStr">
        <is>
          <t>fonte</t>
        </is>
      </c>
      <c r="K39" s="257" t="n">
        <v>0</v>
      </c>
      <c r="L39" s="257" t="n">
        <v>0</v>
      </c>
      <c r="M39" s="257" t="n">
        <v>0</v>
      </c>
      <c r="N39" s="257" t="n">
        <v>0</v>
      </c>
      <c r="O39" s="257" t="n">
        <v>111000000</v>
      </c>
      <c r="P39" s="257" t="n">
        <v>111000000</v>
      </c>
      <c r="Q39" s="257" t="n">
        <v>111000000</v>
      </c>
      <c r="R39" s="257" t="n">
        <v>220000000</v>
      </c>
      <c r="S39" s="257" t="n">
        <v>218000000</v>
      </c>
      <c r="T39" s="257" t="n">
        <v>217000000</v>
      </c>
      <c r="U39" s="257" t="n">
        <v>216000000</v>
      </c>
      <c r="V39" s="257" t="n">
        <v>217000000</v>
      </c>
      <c r="W39" s="257" t="n">
        <v>217000000</v>
      </c>
      <c r="X39" s="257" t="n">
        <v>217000000</v>
      </c>
      <c r="Y39" s="257" t="n">
        <v>217000000</v>
      </c>
      <c r="Z39" s="257" t="n">
        <v>218000000</v>
      </c>
      <c r="AA39" s="257" t="n">
        <v>217000000</v>
      </c>
      <c r="AB39" s="257" t="n">
        <v>218000000</v>
      </c>
      <c r="AC39" s="257" t="n">
        <v>218000000</v>
      </c>
      <c r="AD39" s="257" t="n">
        <v>219000000</v>
      </c>
      <c r="AE39" s="257" t="n">
        <v>217000000</v>
      </c>
      <c r="AF39" s="257" t="n">
        <v>218000000</v>
      </c>
      <c r="AG39" s="257" t="n">
        <v>218000000</v>
      </c>
      <c r="AH39" s="257" t="n">
        <v>219000000</v>
      </c>
      <c r="AI39" s="257" t="n">
        <v>217000000</v>
      </c>
      <c r="AJ39" s="257" t="n">
        <v>218000000</v>
      </c>
    </row>
    <row r="40" ht="15" customHeight="1" s="255">
      <c r="A40" s="254" t="n">
        <v>27</v>
      </c>
      <c r="B40" s="254" t="n">
        <v>1</v>
      </c>
      <c r="G40" s="254" t="inlineStr">
        <is>
          <t>moeda</t>
        </is>
      </c>
      <c r="H40" s="254" t="inlineStr">
        <is>
          <t>LongTermDebtCurrent</t>
        </is>
      </c>
      <c r="J40" s="254" t="inlineStr">
        <is>
          <t>fonte</t>
        </is>
      </c>
      <c r="K40" s="257" t="n">
        <v>245000000</v>
      </c>
      <c r="L40" s="257" t="n">
        <v>90000000</v>
      </c>
      <c r="M40" s="257" t="n">
        <v>47000000</v>
      </c>
      <c r="N40" s="257" t="n">
        <v>34000000</v>
      </c>
      <c r="O40" s="257" t="n">
        <v>656000000</v>
      </c>
      <c r="P40" s="257" t="n">
        <v>1057000000</v>
      </c>
      <c r="Q40" s="257" t="n">
        <v>897000000</v>
      </c>
      <c r="R40" s="257" t="n">
        <v>372000000</v>
      </c>
      <c r="S40" s="257" t="n">
        <v>1365000000</v>
      </c>
      <c r="T40" s="257" t="n">
        <v>1038000000</v>
      </c>
      <c r="U40" s="257" t="n">
        <v>1032000000</v>
      </c>
      <c r="V40" s="257" t="n">
        <v>1037000000</v>
      </c>
      <c r="W40" s="257" t="n">
        <v>49000000</v>
      </c>
      <c r="X40" s="257" t="n">
        <v>37000000</v>
      </c>
      <c r="Y40" s="257" t="n">
        <v>35000000</v>
      </c>
      <c r="Z40" s="257" t="n">
        <v>766000000</v>
      </c>
      <c r="AA40" s="257" t="n">
        <v>769000000</v>
      </c>
      <c r="AB40" s="257" t="n">
        <v>768000000</v>
      </c>
      <c r="AC40" s="257" t="n">
        <v>769000000</v>
      </c>
      <c r="AD40" s="257" t="n">
        <v>41000000</v>
      </c>
      <c r="AE40" s="257" t="n">
        <v>495000000</v>
      </c>
      <c r="AF40" s="257" t="n">
        <v>338000000</v>
      </c>
      <c r="AG40" s="257" t="n">
        <v>383000000</v>
      </c>
      <c r="AH40" s="257" t="n">
        <v>466000000</v>
      </c>
      <c r="AI40" s="257" t="n">
        <v>500000000</v>
      </c>
      <c r="AJ40" s="257" t="n">
        <v>1220000000</v>
      </c>
    </row>
    <row r="41" ht="15" customHeight="1" s="255">
      <c r="A41" s="254" t="n">
        <v>30</v>
      </c>
      <c r="B41" s="254" t="n">
        <v>1</v>
      </c>
      <c r="G41" s="254" t="inlineStr">
        <is>
          <t>moeda</t>
        </is>
      </c>
      <c r="H41" s="254" t="inlineStr">
        <is>
          <t>LongTermDebtNoncurrent</t>
        </is>
      </c>
      <c r="J41" s="254" t="inlineStr">
        <is>
          <t>fonte</t>
        </is>
      </c>
      <c r="K41" s="257" t="n">
        <v>9829000000</v>
      </c>
      <c r="L41" s="257" t="n">
        <v>9824000000</v>
      </c>
      <c r="M41" s="257" t="n">
        <v>9983000000</v>
      </c>
      <c r="N41" s="257" t="n">
        <v>9677000000</v>
      </c>
      <c r="O41" s="257" t="n">
        <v>9153000000</v>
      </c>
      <c r="P41" s="257" t="n">
        <v>8638000000</v>
      </c>
      <c r="Q41" s="257" t="n">
        <v>8768000000</v>
      </c>
      <c r="R41" s="257" t="n">
        <v>9078000000</v>
      </c>
      <c r="S41" s="257" t="n">
        <v>8256000000</v>
      </c>
      <c r="T41" s="257" t="n">
        <v>10054000000</v>
      </c>
      <c r="U41" s="257" t="n">
        <v>9658000000</v>
      </c>
      <c r="V41" s="257" t="n">
        <v>9583000000</v>
      </c>
      <c r="W41" s="257" t="n">
        <v>9586000000</v>
      </c>
      <c r="X41" s="257" t="n">
        <v>9458000000</v>
      </c>
      <c r="Y41" s="257" t="n">
        <v>9370000000</v>
      </c>
      <c r="Z41" s="257" t="n">
        <v>8656000000</v>
      </c>
      <c r="AA41" s="257" t="n">
        <v>8656000000</v>
      </c>
      <c r="AB41" s="257" t="n">
        <v>8658000000</v>
      </c>
      <c r="AC41" s="257" t="n">
        <v>8910000000</v>
      </c>
      <c r="AD41" s="257" t="n">
        <v>8907000000</v>
      </c>
      <c r="AE41" s="257" t="n">
        <v>8909000000</v>
      </c>
      <c r="AF41" s="257" t="n">
        <v>8913000000</v>
      </c>
      <c r="AG41" s="257" t="n">
        <v>8915000000</v>
      </c>
      <c r="AH41" s="257" t="n">
        <v>8913000000</v>
      </c>
      <c r="AI41" s="257" t="n">
        <v>8914000000</v>
      </c>
      <c r="AJ41" s="257" t="n">
        <v>8166000000</v>
      </c>
    </row>
    <row r="42" ht="15" customHeight="1" s="255">
      <c r="A42" s="254" t="n">
        <v>31</v>
      </c>
      <c r="B42" s="254" t="n">
        <v>1</v>
      </c>
      <c r="G42" s="254" t="inlineStr">
        <is>
          <t>moeda</t>
        </is>
      </c>
      <c r="H42" s="254" t="inlineStr">
        <is>
          <t>OperatingLeaseLiabilityNoncurrent</t>
        </is>
      </c>
      <c r="J42" s="254" t="inlineStr">
        <is>
          <t>fonte</t>
        </is>
      </c>
      <c r="K42" s="257" t="n">
        <v>0</v>
      </c>
      <c r="L42" s="257" t="n">
        <v>0</v>
      </c>
      <c r="M42" s="257" t="n">
        <v>0</v>
      </c>
      <c r="N42" s="257" t="n">
        <v>0</v>
      </c>
      <c r="O42" s="257" t="n">
        <v>0</v>
      </c>
      <c r="P42" s="257" t="n">
        <v>0</v>
      </c>
      <c r="Q42" s="257" t="n">
        <v>0</v>
      </c>
      <c r="R42" s="257" t="n">
        <v>0</v>
      </c>
      <c r="S42" s="257" t="n">
        <v>0</v>
      </c>
      <c r="T42" s="257" t="n">
        <v>0</v>
      </c>
      <c r="U42" s="257" t="n">
        <v>0</v>
      </c>
      <c r="V42" s="257" t="n">
        <v>0</v>
      </c>
      <c r="W42" s="257" t="n">
        <v>0</v>
      </c>
      <c r="X42" s="257" t="n">
        <v>0</v>
      </c>
      <c r="Y42" s="257" t="n">
        <v>0</v>
      </c>
      <c r="Z42" s="257" t="n">
        <v>0</v>
      </c>
      <c r="AA42" s="257" t="n">
        <v>0</v>
      </c>
      <c r="AB42" s="257" t="n">
        <v>0</v>
      </c>
      <c r="AC42" s="257" t="n">
        <v>0</v>
      </c>
      <c r="AD42" s="257" t="n">
        <v>0</v>
      </c>
      <c r="AE42" s="257" t="n">
        <v>0</v>
      </c>
      <c r="AF42" s="257" t="n">
        <v>0</v>
      </c>
      <c r="AG42" s="257" t="n">
        <v>0</v>
      </c>
      <c r="AH42" s="257" t="n">
        <v>1010000000</v>
      </c>
      <c r="AI42" s="257" t="n">
        <v>987000000</v>
      </c>
      <c r="AJ42" s="257" t="n">
        <v>973000000</v>
      </c>
    </row>
    <row r="43" ht="15" customHeight="1" s="255">
      <c r="A43" s="254" t="n">
        <v>33</v>
      </c>
      <c r="B43" s="254" t="n">
        <v>1</v>
      </c>
      <c r="G43" s="254" t="inlineStr">
        <is>
          <t>moeda</t>
        </is>
      </c>
      <c r="H43" s="254" t="inlineStr">
        <is>
          <t>DeferredIncomeTaxLiabilitiesNet</t>
        </is>
      </c>
      <c r="J43" s="254" t="inlineStr">
        <is>
          <t>fonte</t>
        </is>
      </c>
      <c r="K43" s="257" t="n">
        <v>4087000000</v>
      </c>
      <c r="L43" s="257" t="n">
        <v>4180000000</v>
      </c>
      <c r="M43" s="257" t="n">
        <v>4325000000</v>
      </c>
      <c r="N43" s="257" t="n">
        <v>4408000000</v>
      </c>
      <c r="O43" s="257" t="n">
        <v>4446000000</v>
      </c>
      <c r="P43" s="257" t="n">
        <v>4486000000</v>
      </c>
      <c r="Q43" s="257" t="n">
        <v>4500000000</v>
      </c>
      <c r="R43" s="257" t="n">
        <v>4234000000</v>
      </c>
      <c r="S43" s="257" t="n">
        <v>4282000000</v>
      </c>
      <c r="T43" s="257" t="n">
        <v>4297000000</v>
      </c>
      <c r="U43" s="257" t="n">
        <v>4316000000</v>
      </c>
      <c r="V43" s="257" t="n">
        <v>4269000000</v>
      </c>
      <c r="W43" s="257" t="n">
        <v>4305000000</v>
      </c>
      <c r="X43" s="257" t="n">
        <v>4343000000</v>
      </c>
      <c r="Y43" s="257" t="n">
        <v>4399000000</v>
      </c>
      <c r="Z43" s="257" t="n">
        <v>4453000000</v>
      </c>
      <c r="AA43" s="257" t="n">
        <v>4500000000</v>
      </c>
      <c r="AB43" s="257" t="n">
        <v>4491000000</v>
      </c>
      <c r="AC43" s="257" t="n">
        <v>4492000000</v>
      </c>
      <c r="AD43" s="257" t="n">
        <v>4376000000</v>
      </c>
      <c r="AE43" s="257" t="n">
        <v>4402000000</v>
      </c>
      <c r="AF43" s="257" t="n">
        <v>4410000000</v>
      </c>
      <c r="AG43" s="257" t="n">
        <v>4359000000</v>
      </c>
      <c r="AH43" s="257" t="n">
        <v>4622000000</v>
      </c>
      <c r="AI43" s="257" t="n">
        <v>4641000000</v>
      </c>
      <c r="AJ43" s="257" t="n">
        <v>4658000000</v>
      </c>
    </row>
    <row r="44" ht="15" customHeight="1" s="255">
      <c r="A44" s="254" t="n">
        <v>34</v>
      </c>
      <c r="B44" s="254" t="n">
        <v>1</v>
      </c>
      <c r="G44" s="254" t="inlineStr">
        <is>
          <t>moeda</t>
        </is>
      </c>
      <c r="H44" s="254" t="inlineStr">
        <is>
          <t>EnvironmentalAndAssetRetirementObligationsNoncurrent</t>
        </is>
      </c>
      <c r="J44" s="254" t="inlineStr">
        <is>
          <t>fonte</t>
        </is>
      </c>
      <c r="K44" s="257" t="n">
        <v>3758000000</v>
      </c>
      <c r="L44" s="257" t="n">
        <v>3767000000</v>
      </c>
      <c r="M44" s="257" t="n">
        <v>3693000000</v>
      </c>
      <c r="N44" s="257" t="n">
        <v>3705000000</v>
      </c>
      <c r="O44" s="257" t="n">
        <v>3720000000</v>
      </c>
      <c r="P44" s="257" t="n">
        <v>3721000000</v>
      </c>
      <c r="Q44" s="257" t="n">
        <v>3688000000</v>
      </c>
      <c r="R44" s="257" t="n">
        <v>4116000000</v>
      </c>
      <c r="S44" s="257" t="n">
        <v>4145000000</v>
      </c>
      <c r="T44" s="257" t="n">
        <v>4170000000</v>
      </c>
      <c r="U44" s="257" t="n">
        <v>4223000000</v>
      </c>
      <c r="V44" s="257" t="n">
        <v>4463000000</v>
      </c>
      <c r="W44" s="257" t="n">
        <v>4493000000</v>
      </c>
      <c r="X44" s="257" t="n">
        <v>4566000000</v>
      </c>
      <c r="Y44" s="257" t="n">
        <v>4645000000</v>
      </c>
      <c r="Z44" s="257" t="n">
        <v>4624000000</v>
      </c>
      <c r="AA44" s="257" t="n">
        <v>5059000000</v>
      </c>
      <c r="AB44" s="257" t="n">
        <v>5083000000</v>
      </c>
      <c r="AC44" s="257" t="n">
        <v>5103000000</v>
      </c>
      <c r="AD44" s="257" t="n">
        <v>5404000000</v>
      </c>
      <c r="AE44" s="257" t="n">
        <v>5428000000</v>
      </c>
      <c r="AF44" s="257" t="n">
        <v>5463000000</v>
      </c>
      <c r="AG44" s="257" t="n">
        <v>5457000000</v>
      </c>
      <c r="AH44" s="257" t="n">
        <v>5541000000</v>
      </c>
      <c r="AI44" s="257" t="n">
        <v>5592000000</v>
      </c>
      <c r="AJ44" s="257" t="n">
        <v>5616000000</v>
      </c>
    </row>
    <row r="45" ht="15" customHeight="1" s="255">
      <c r="A45" s="254" t="n">
        <v>34</v>
      </c>
      <c r="B45" s="254" t="n">
        <v>1</v>
      </c>
      <c r="G45" s="254" t="inlineStr">
        <is>
          <t>moeda</t>
        </is>
      </c>
      <c r="H45" s="254" t="inlineStr">
        <is>
          <t>OtherLiabilitiesNoncurrent</t>
        </is>
      </c>
      <c r="J45" s="254" t="inlineStr">
        <is>
          <t>fonte</t>
        </is>
      </c>
      <c r="K45" s="257" t="n">
        <v>2439000000</v>
      </c>
      <c r="L45" s="257" t="n">
        <v>2398000000</v>
      </c>
      <c r="M45" s="257" t="n">
        <v>2440000000</v>
      </c>
      <c r="N45" s="257" t="n">
        <v>2269000000</v>
      </c>
      <c r="O45" s="257" t="n">
        <v>2140000000</v>
      </c>
      <c r="P45" s="257" t="n">
        <v>2129000000</v>
      </c>
      <c r="Q45" s="257" t="n">
        <v>1907000000</v>
      </c>
      <c r="R45" s="257" t="n">
        <v>1683000000</v>
      </c>
      <c r="S45" s="257" t="n">
        <v>1653000000</v>
      </c>
      <c r="T45" s="257" t="n">
        <v>1613000000</v>
      </c>
      <c r="U45" s="257" t="n">
        <v>1550000000</v>
      </c>
      <c r="V45" s="257" t="n">
        <v>1562000000</v>
      </c>
      <c r="W45" s="257" t="n">
        <v>1596000000</v>
      </c>
      <c r="X45" s="257" t="n">
        <v>1725000000</v>
      </c>
      <c r="Y45" s="257" t="n">
        <v>1697000000</v>
      </c>
      <c r="Z45" s="257" t="n">
        <v>1648000000</v>
      </c>
      <c r="AA45" s="257" t="n">
        <v>1573000000</v>
      </c>
      <c r="AB45" s="257" t="n">
        <v>1581000000</v>
      </c>
      <c r="AC45" s="257" t="n">
        <v>1782000000</v>
      </c>
      <c r="AD45" s="257" t="n">
        <v>1887000000</v>
      </c>
      <c r="AE45" s="257" t="n">
        <v>2126000000</v>
      </c>
      <c r="AF45" s="257" t="n">
        <v>2179000000</v>
      </c>
      <c r="AG45" s="257" t="n">
        <v>2174000000</v>
      </c>
      <c r="AH45" s="257" t="n">
        <v>1296000000</v>
      </c>
      <c r="AI45" s="257" t="n">
        <v>1288000000</v>
      </c>
      <c r="AJ45" s="257" t="n">
        <v>1236000000</v>
      </c>
    </row>
    <row r="46" ht="15" customHeight="1" s="255">
      <c r="A46" s="254" t="n">
        <v>35</v>
      </c>
      <c r="B46" s="254" t="n">
        <v>1</v>
      </c>
      <c r="G46" s="254" t="inlineStr">
        <is>
          <t>moeda</t>
        </is>
      </c>
      <c r="H46" s="254" t="inlineStr">
        <is>
          <t>MinorityInterest</t>
        </is>
      </c>
      <c r="J46" s="254" t="inlineStr">
        <is>
          <t>fonte</t>
        </is>
      </c>
      <c r="K46" s="257" t="n">
        <v>8108000000</v>
      </c>
      <c r="L46" s="257" t="n">
        <v>8201000000</v>
      </c>
      <c r="M46" s="257" t="n">
        <v>8326000000</v>
      </c>
      <c r="N46" s="257" t="n">
        <v>8494000000</v>
      </c>
      <c r="O46" s="257" t="n">
        <v>8653000000</v>
      </c>
      <c r="P46" s="257" t="n">
        <v>8924000000</v>
      </c>
      <c r="Q46" s="257" t="n">
        <v>9178000000</v>
      </c>
      <c r="R46" s="257" t="n">
        <v>9039000000</v>
      </c>
      <c r="S46" s="257" t="n">
        <v>9176000000</v>
      </c>
      <c r="T46" s="257" t="n">
        <v>9158000000</v>
      </c>
      <c r="U46" s="257" t="n">
        <v>9227000000</v>
      </c>
      <c r="V46" s="257" t="n">
        <v>9316000000</v>
      </c>
      <c r="W46" s="257" t="n">
        <v>9591000000</v>
      </c>
      <c r="X46" s="257" t="n">
        <v>9825000000</v>
      </c>
      <c r="Y46" s="257" t="n">
        <v>10218000000</v>
      </c>
      <c r="Z46" s="257" t="n">
        <v>10617000000</v>
      </c>
      <c r="AA46" s="257" t="n">
        <v>11132000000</v>
      </c>
      <c r="AB46" s="257" t="n">
        <v>11282000000</v>
      </c>
      <c r="AC46" s="257" t="n">
        <v>11318000000</v>
      </c>
      <c r="AD46" s="257" t="n">
        <v>11197000000</v>
      </c>
      <c r="AE46" s="257" t="n">
        <v>11526000000</v>
      </c>
      <c r="AF46" s="257" t="n">
        <v>11788000000</v>
      </c>
      <c r="AG46" s="257" t="n">
        <v>11712000000</v>
      </c>
      <c r="AH46" s="257" t="n">
        <v>11867000000</v>
      </c>
      <c r="AI46" s="257" t="n">
        <v>12006000000</v>
      </c>
      <c r="AJ46" s="257" t="n">
        <v>12113000000</v>
      </c>
    </row>
    <row r="47" ht="15" customHeight="1" s="255">
      <c r="A47" s="254" t="n">
        <v>37</v>
      </c>
      <c r="B47" s="254" t="n">
        <v>1</v>
      </c>
      <c r="G47" s="254" t="inlineStr">
        <is>
          <t>moeda</t>
        </is>
      </c>
      <c r="H47" s="254" t="inlineStr">
        <is>
          <t>CommonStockValue</t>
        </is>
      </c>
      <c r="J47" s="254" t="inlineStr">
        <is>
          <t>fonte</t>
        </is>
      </c>
      <c r="K47" s="257" t="n">
        <v>158000000</v>
      </c>
      <c r="L47" s="257" t="n">
        <v>158000000</v>
      </c>
      <c r="M47" s="257" t="n">
        <v>158000000</v>
      </c>
      <c r="N47" s="257" t="n">
        <v>159000000</v>
      </c>
      <c r="O47" s="257" t="n">
        <v>160000000</v>
      </c>
      <c r="P47" s="257" t="n">
        <v>160000000</v>
      </c>
      <c r="Q47" s="257" t="n">
        <v>160000000</v>
      </c>
      <c r="R47" s="257" t="n">
        <v>160000000</v>
      </c>
      <c r="S47" s="257" t="n">
        <v>161000000</v>
      </c>
      <c r="T47" s="257" t="n">
        <v>161000000</v>
      </c>
      <c r="U47" s="257" t="n">
        <v>161000000</v>
      </c>
      <c r="V47" s="257" t="n">
        <v>161000000</v>
      </c>
      <c r="W47" s="257" t="n">
        <v>162000000</v>
      </c>
      <c r="X47" s="257" t="n">
        <v>162000000</v>
      </c>
      <c r="Y47" s="257" t="n">
        <v>162000000</v>
      </c>
      <c r="Z47" s="257" t="n">
        <v>162000000</v>
      </c>
      <c r="AA47" s="257" t="n">
        <v>162000000</v>
      </c>
      <c r="AB47" s="257" t="n">
        <v>162000000</v>
      </c>
      <c r="AC47" s="257" t="n">
        <v>162000000</v>
      </c>
      <c r="AD47" s="257" t="n">
        <v>162000000</v>
      </c>
      <c r="AE47" s="257" t="n">
        <v>163000000</v>
      </c>
      <c r="AF47" s="257" t="n">
        <v>163000000</v>
      </c>
      <c r="AG47" s="257" t="n">
        <v>163000000</v>
      </c>
      <c r="AH47" s="257" t="n">
        <v>163000000</v>
      </c>
      <c r="AI47" s="257" t="n">
        <v>163000000</v>
      </c>
      <c r="AJ47" s="257" t="n">
        <v>163000000</v>
      </c>
    </row>
    <row r="48" ht="15" customHeight="1" s="255">
      <c r="A48" s="254" t="n">
        <v>37</v>
      </c>
      <c r="B48" s="254" t="n">
        <v>1</v>
      </c>
      <c r="G48" s="254" t="inlineStr">
        <is>
          <t>moeda</t>
        </is>
      </c>
      <c r="H48" s="254" t="inlineStr">
        <is>
          <t>AdditionalPaidInCapital</t>
        </is>
      </c>
      <c r="J48" s="254" t="inlineStr">
        <is>
          <t>fonte</t>
        </is>
      </c>
      <c r="K48" s="257" t="n">
        <v>25875000000</v>
      </c>
      <c r="L48" s="257" t="n">
        <v>25905000000</v>
      </c>
      <c r="M48" s="257" t="n">
        <v>25934000000</v>
      </c>
      <c r="N48" s="257" t="n">
        <v>26037000000</v>
      </c>
      <c r="O48" s="257" t="n">
        <v>26080000000</v>
      </c>
      <c r="P48" s="257" t="n">
        <v>26084000000</v>
      </c>
      <c r="Q48" s="257" t="n">
        <v>26023000000</v>
      </c>
      <c r="R48" s="257" t="n">
        <v>25875000000</v>
      </c>
      <c r="S48" s="257" t="n">
        <v>25835000000</v>
      </c>
      <c r="T48" s="257" t="n">
        <v>25661000000</v>
      </c>
      <c r="U48" s="257" t="n">
        <v>25483000000</v>
      </c>
      <c r="V48" s="257" t="n">
        <v>25322000000</v>
      </c>
      <c r="W48" s="257" t="n">
        <v>25227000000</v>
      </c>
      <c r="X48" s="257" t="n">
        <v>25028000000</v>
      </c>
      <c r="Y48" s="257" t="n">
        <v>24833000000</v>
      </c>
      <c r="Z48" s="257" t="n">
        <v>24637000000</v>
      </c>
      <c r="AA48" s="257" t="n">
        <v>24488000000</v>
      </c>
      <c r="AB48" s="257" t="n">
        <v>24321000000</v>
      </c>
      <c r="AC48" s="257" t="n">
        <v>23997000000</v>
      </c>
      <c r="AD48" s="257" t="n">
        <v>23797000000</v>
      </c>
      <c r="AE48" s="257" t="n">
        <v>23627000000</v>
      </c>
      <c r="AF48" s="257" t="n">
        <v>23642000000</v>
      </c>
      <c r="AG48" s="257" t="n">
        <v>23660000000</v>
      </c>
      <c r="AH48" s="257" t="n">
        <v>23680000000</v>
      </c>
      <c r="AI48" s="257" t="n">
        <v>23713000000</v>
      </c>
      <c r="AJ48" s="257" t="n">
        <v>23659000000</v>
      </c>
    </row>
    <row r="49" ht="15" customHeight="1" s="255">
      <c r="A49" s="254" t="n">
        <v>38</v>
      </c>
      <c r="B49" s="254" t="n">
        <v>1</v>
      </c>
      <c r="G49" s="254" t="inlineStr">
        <is>
          <t>moeda</t>
        </is>
      </c>
      <c r="H49" s="254" t="inlineStr">
        <is>
          <t>TreasuryStockValue (divulgado positivo, lançado negativo)</t>
        </is>
      </c>
      <c r="J49" s="254" t="inlineStr">
        <is>
          <t>fonte</t>
        </is>
      </c>
      <c r="K49" s="257" t="n">
        <v>-3739000000</v>
      </c>
      <c r="L49" s="257" t="n">
        <v>-3739000000</v>
      </c>
      <c r="M49" s="257" t="n">
        <v>-3739000000</v>
      </c>
      <c r="N49" s="257" t="n">
        <v>-3758000000</v>
      </c>
      <c r="O49" s="257" t="n">
        <v>-3777000000</v>
      </c>
      <c r="P49" s="257" t="n">
        <v>-3777000000</v>
      </c>
      <c r="Q49" s="257" t="n">
        <v>-3777000000</v>
      </c>
      <c r="R49" s="257" t="n">
        <v>-4292000000</v>
      </c>
      <c r="S49" s="257" t="n">
        <v>-4895000000</v>
      </c>
      <c r="T49" s="257" t="n">
        <v>-5539000000</v>
      </c>
      <c r="U49" s="257" t="n">
        <v>-5701000000</v>
      </c>
      <c r="V49" s="257" t="n">
        <v>-5701000000</v>
      </c>
      <c r="W49" s="257" t="n">
        <v>-5769000000</v>
      </c>
      <c r="X49" s="257" t="n">
        <v>-5769000000</v>
      </c>
      <c r="Y49" s="257" t="n">
        <v>-5772000000</v>
      </c>
      <c r="Z49" s="257" t="n">
        <v>-5773000000</v>
      </c>
      <c r="AA49" s="257" t="n">
        <v>-5817000000</v>
      </c>
      <c r="AB49" s="257" t="n">
        <v>-5835000000</v>
      </c>
      <c r="AC49" s="257" t="n">
        <v>-5894000000</v>
      </c>
      <c r="AD49" s="257" t="n">
        <v>-5894000000</v>
      </c>
      <c r="AE49" s="257" t="n">
        <v>-5971000000</v>
      </c>
      <c r="AF49" s="257" t="n">
        <v>-6024000000</v>
      </c>
      <c r="AG49" s="257" t="n">
        <v>-6024000000</v>
      </c>
      <c r="AH49" s="257" t="n">
        <v>-6024000000</v>
      </c>
      <c r="AI49" s="257" t="n">
        <v>-6117000000</v>
      </c>
      <c r="AJ49" s="257" t="n">
        <v>-6227000000</v>
      </c>
    </row>
    <row r="50" ht="15" customHeight="1" s="255">
      <c r="A50" s="254" t="n">
        <v>39</v>
      </c>
      <c r="B50" s="254" t="n">
        <v>1</v>
      </c>
      <c r="G50" s="254" t="inlineStr">
        <is>
          <t>moeda</t>
        </is>
      </c>
      <c r="H50" s="254" t="inlineStr">
        <is>
          <t>AccumulatedOtherComprehensiveIncomeLossNetOfTax</t>
        </is>
      </c>
      <c r="J50" s="254" t="inlineStr">
        <is>
          <t>fonte</t>
        </is>
      </c>
      <c r="K50" s="257" t="n">
        <v>-668000000</v>
      </c>
      <c r="L50" s="257" t="n">
        <v>-652000000</v>
      </c>
      <c r="M50" s="257" t="n">
        <v>-728000000</v>
      </c>
      <c r="N50" s="257" t="n">
        <v>-583000000</v>
      </c>
      <c r="O50" s="257" t="n">
        <v>-580000000</v>
      </c>
      <c r="P50" s="257" t="n">
        <v>-576000000</v>
      </c>
      <c r="Q50" s="257" t="n">
        <v>-572000000</v>
      </c>
      <c r="R50" s="257" t="n">
        <v>-388000000</v>
      </c>
      <c r="S50" s="257" t="n">
        <v>-387000000</v>
      </c>
      <c r="T50" s="257" t="n">
        <v>-386000000</v>
      </c>
      <c r="U50" s="257" t="n">
        <v>-385000000</v>
      </c>
      <c r="V50" s="257" t="n">
        <v>-320000000</v>
      </c>
      <c r="W50" s="257" t="n">
        <v>-319000000</v>
      </c>
      <c r="X50" s="257" t="n">
        <v>-318000000</v>
      </c>
      <c r="Y50" s="257" t="n">
        <v>-317000000</v>
      </c>
      <c r="Z50" s="257" t="n">
        <v>-274000000</v>
      </c>
      <c r="AA50" s="257" t="n">
        <v>-274000000</v>
      </c>
      <c r="AB50" s="257" t="n">
        <v>-274000000</v>
      </c>
      <c r="AC50" s="257" t="n">
        <v>-273000000</v>
      </c>
      <c r="AD50" s="257" t="n">
        <v>-314000000</v>
      </c>
      <c r="AE50" s="257" t="n">
        <v>-313000000</v>
      </c>
      <c r="AF50" s="257" t="n">
        <v>-311000000</v>
      </c>
      <c r="AG50" s="257" t="n">
        <v>-310000000</v>
      </c>
      <c r="AH50" s="257" t="n">
        <v>-305000000</v>
      </c>
      <c r="AI50" s="257" t="n">
        <v>-304000000</v>
      </c>
      <c r="AJ50" s="257" t="n">
        <v>-303000000</v>
      </c>
    </row>
    <row r="51" ht="15" customHeight="1" s="255">
      <c r="A51" s="254" t="n">
        <v>41</v>
      </c>
      <c r="B51" s="254" t="n">
        <v>1</v>
      </c>
      <c r="G51" s="254" t="inlineStr">
        <is>
          <t>moeda</t>
        </is>
      </c>
      <c r="H51" s="254" t="inlineStr">
        <is>
          <t>RetainedEarningsAccumulatedDeficit</t>
        </is>
      </c>
      <c r="J51" s="254" t="inlineStr">
        <is>
          <t>fonte</t>
        </is>
      </c>
      <c r="K51" s="257" t="n">
        <v>-12771000000</v>
      </c>
      <c r="L51" s="257" t="n">
        <v>-12718000000</v>
      </c>
      <c r="M51" s="257" t="n">
        <v>-12389000000</v>
      </c>
      <c r="N51" s="257" t="n">
        <v>-11681000000</v>
      </c>
      <c r="O51" s="257" t="n">
        <v>-10963000000</v>
      </c>
      <c r="P51" s="257" t="n">
        <v>-9880000000</v>
      </c>
      <c r="Q51" s="257" t="n">
        <v>-8481000000</v>
      </c>
      <c r="R51" s="257" t="n">
        <v>-7375000000</v>
      </c>
      <c r="S51" s="257" t="n">
        <v>-5848000000</v>
      </c>
      <c r="T51" s="257" t="n">
        <v>-5008000000</v>
      </c>
      <c r="U51" s="257" t="n">
        <v>-4604000000</v>
      </c>
      <c r="V51" s="257" t="n">
        <v>-3907000000</v>
      </c>
      <c r="W51" s="257" t="n">
        <v>-3244000000</v>
      </c>
      <c r="X51" s="257" t="n">
        <v>-2901000000</v>
      </c>
      <c r="Y51" s="257" t="n">
        <v>-2447000000</v>
      </c>
      <c r="Z51" s="257" t="n">
        <v>-2059000000</v>
      </c>
      <c r="AA51" s="257" t="n">
        <v>-1586000000</v>
      </c>
      <c r="AB51" s="257" t="n">
        <v>-970000000</v>
      </c>
      <c r="AC51" s="257" t="n">
        <v>-444000000</v>
      </c>
      <c r="AD51" s="257" t="n">
        <v>-170000000</v>
      </c>
      <c r="AE51" s="257" t="n">
        <v>182000000</v>
      </c>
      <c r="AF51" s="257" t="n">
        <v>738000000</v>
      </c>
      <c r="AG51" s="257" t="n">
        <v>1196000000</v>
      </c>
      <c r="AH51" s="257" t="n">
        <v>1385000000</v>
      </c>
      <c r="AI51" s="257" t="n">
        <v>2050000000</v>
      </c>
      <c r="AJ51" s="257" t="n">
        <v>2817000000</v>
      </c>
    </row>
    <row r="52" ht="15" customHeight="1" s="255">
      <c r="A52" s="254" t="n">
        <v>13</v>
      </c>
      <c r="B52" s="254" t="n">
        <v>1</v>
      </c>
      <c r="G52" s="254" t="inlineStr">
        <is>
          <t>moeda</t>
        </is>
      </c>
      <c r="H52" s="254" t="inlineStr">
        <is>
          <t>[vazio] Estoques: não aparece como linha própria nas demonstrações (zero)</t>
        </is>
      </c>
      <c r="J52" s="254" t="inlineStr">
        <is>
          <t>derivada</t>
        </is>
      </c>
      <c r="K52" s="257" t="n">
        <v>0</v>
      </c>
      <c r="L52" s="257" t="n">
        <v>0</v>
      </c>
      <c r="M52" s="257" t="n">
        <v>0</v>
      </c>
      <c r="N52" s="257" t="n">
        <v>0</v>
      </c>
      <c r="O52" s="257" t="n">
        <v>0</v>
      </c>
      <c r="P52" s="257" t="n">
        <v>0</v>
      </c>
      <c r="Q52" s="257" t="n">
        <v>0</v>
      </c>
      <c r="R52" s="257" t="n">
        <v>0</v>
      </c>
      <c r="S52" s="257" t="n">
        <v>0</v>
      </c>
      <c r="T52" s="257" t="n">
        <v>0</v>
      </c>
      <c r="U52" s="257" t="n">
        <v>0</v>
      </c>
      <c r="V52" s="257" t="n">
        <v>0</v>
      </c>
      <c r="W52" s="257" t="n">
        <v>0</v>
      </c>
      <c r="X52" s="257" t="n">
        <v>0</v>
      </c>
      <c r="Y52" s="257" t="n">
        <v>0</v>
      </c>
      <c r="Z52" s="257" t="n">
        <v>0</v>
      </c>
      <c r="AA52" s="257" t="n">
        <v>0</v>
      </c>
      <c r="AB52" s="257" t="n">
        <v>0</v>
      </c>
      <c r="AC52" s="257" t="n">
        <v>0</v>
      </c>
      <c r="AD52" s="257" t="n">
        <v>0</v>
      </c>
      <c r="AE52" s="257" t="n">
        <v>0</v>
      </c>
      <c r="AF52" s="257" t="n">
        <v>0</v>
      </c>
      <c r="AG52" s="257" t="n">
        <v>0</v>
      </c>
      <c r="AH52" s="257" t="n">
        <v>0</v>
      </c>
      <c r="AI52" s="257" t="n">
        <v>0</v>
      </c>
      <c r="AJ52" s="257" t="n">
        <v>0</v>
      </c>
    </row>
    <row r="53" ht="15" customHeight="1" s="255">
      <c r="A53" s="254" t="n">
        <v>14</v>
      </c>
      <c r="B53" s="254" t="n">
        <v>1</v>
      </c>
      <c r="G53" s="254" t="inlineStr">
        <is>
          <t>moeda</t>
        </is>
      </c>
      <c r="H53" s="254" t="inlineStr">
        <is>
          <t>[vazio] IR diferido ativo: não aparece como linha própria nas demonstrações (zero)</t>
        </is>
      </c>
      <c r="J53" s="254" t="inlineStr">
        <is>
          <t>derivada</t>
        </is>
      </c>
      <c r="K53" s="257" t="n">
        <v>0</v>
      </c>
      <c r="L53" s="257" t="n">
        <v>0</v>
      </c>
      <c r="M53" s="257" t="n">
        <v>0</v>
      </c>
      <c r="N53" s="257" t="n">
        <v>0</v>
      </c>
      <c r="O53" s="257" t="n">
        <v>0</v>
      </c>
      <c r="P53" s="257" t="n">
        <v>0</v>
      </c>
      <c r="Q53" s="257" t="n">
        <v>0</v>
      </c>
      <c r="R53" s="257" t="n">
        <v>0</v>
      </c>
      <c r="S53" s="257" t="n">
        <v>0</v>
      </c>
      <c r="T53" s="257" t="n">
        <v>0</v>
      </c>
      <c r="U53" s="257" t="n">
        <v>0</v>
      </c>
      <c r="V53" s="257" t="n">
        <v>0</v>
      </c>
      <c r="W53" s="257" t="n">
        <v>0</v>
      </c>
      <c r="X53" s="257" t="n">
        <v>0</v>
      </c>
      <c r="Y53" s="257" t="n">
        <v>0</v>
      </c>
      <c r="Z53" s="257" t="n">
        <v>0</v>
      </c>
      <c r="AA53" s="257" t="n">
        <v>0</v>
      </c>
      <c r="AB53" s="257" t="n">
        <v>0</v>
      </c>
      <c r="AC53" s="257" t="n">
        <v>0</v>
      </c>
      <c r="AD53" s="257" t="n">
        <v>0</v>
      </c>
      <c r="AE53" s="257" t="n">
        <v>0</v>
      </c>
      <c r="AF53" s="257" t="n">
        <v>0</v>
      </c>
      <c r="AG53" s="257" t="n">
        <v>0</v>
      </c>
      <c r="AH53" s="257" t="n">
        <v>0</v>
      </c>
      <c r="AI53" s="257" t="n">
        <v>0</v>
      </c>
      <c r="AJ53" s="257" t="n">
        <v>0</v>
      </c>
    </row>
    <row r="54" ht="15" customHeight="1" s="255">
      <c r="A54" s="254" t="n">
        <v>15</v>
      </c>
      <c r="B54" s="254" t="n">
        <v>1</v>
      </c>
      <c r="G54" s="254" t="inlineStr">
        <is>
          <t>moeda</t>
        </is>
      </c>
      <c r="H54" s="254" t="inlineStr">
        <is>
          <t>[vazio] Despesas antecipadas: não aparece como linha própria nas demonstrações (zero)</t>
        </is>
      </c>
      <c r="J54" s="254" t="inlineStr">
        <is>
          <t>derivada</t>
        </is>
      </c>
      <c r="K54" s="257" t="n">
        <v>0</v>
      </c>
      <c r="L54" s="257" t="n">
        <v>0</v>
      </c>
      <c r="M54" s="257" t="n">
        <v>0</v>
      </c>
      <c r="N54" s="257" t="n">
        <v>0</v>
      </c>
      <c r="O54" s="257" t="n">
        <v>0</v>
      </c>
      <c r="P54" s="257" t="n">
        <v>0</v>
      </c>
      <c r="Q54" s="257" t="n">
        <v>0</v>
      </c>
      <c r="R54" s="257" t="n">
        <v>0</v>
      </c>
      <c r="S54" s="257" t="n">
        <v>0</v>
      </c>
      <c r="T54" s="257" t="n">
        <v>0</v>
      </c>
      <c r="U54" s="257" t="n">
        <v>0</v>
      </c>
      <c r="V54" s="257" t="n">
        <v>0</v>
      </c>
      <c r="W54" s="257" t="n">
        <v>0</v>
      </c>
      <c r="X54" s="257" t="n">
        <v>0</v>
      </c>
      <c r="Y54" s="257" t="n">
        <v>0</v>
      </c>
      <c r="Z54" s="257" t="n">
        <v>0</v>
      </c>
      <c r="AA54" s="257" t="n">
        <v>0</v>
      </c>
      <c r="AB54" s="257" t="n">
        <v>0</v>
      </c>
      <c r="AC54" s="257" t="n">
        <v>0</v>
      </c>
      <c r="AD54" s="257" t="n">
        <v>0</v>
      </c>
      <c r="AE54" s="257" t="n">
        <v>0</v>
      </c>
      <c r="AF54" s="257" t="n">
        <v>0</v>
      </c>
      <c r="AG54" s="257" t="n">
        <v>0</v>
      </c>
      <c r="AH54" s="257" t="n">
        <v>0</v>
      </c>
      <c r="AI54" s="257" t="n">
        <v>0</v>
      </c>
      <c r="AJ54" s="257" t="n">
        <v>0</v>
      </c>
    </row>
    <row r="55" ht="15" customHeight="1" s="255">
      <c r="A55" s="254" t="n">
        <v>17</v>
      </c>
      <c r="B55" s="254" t="n">
        <v>1</v>
      </c>
      <c r="G55" s="254" t="inlineStr">
        <is>
          <t>moeda</t>
        </is>
      </c>
      <c r="H55" s="254" t="inlineStr">
        <is>
          <t>[vazio] Investimentos em coligadas: não aparece como linha própria nas demonstrações (zero)</t>
        </is>
      </c>
      <c r="J55" s="254" t="inlineStr">
        <is>
          <t>derivada</t>
        </is>
      </c>
      <c r="K55" s="257" t="n">
        <v>0</v>
      </c>
      <c r="L55" s="257" t="n">
        <v>0</v>
      </c>
      <c r="M55" s="257" t="n">
        <v>0</v>
      </c>
      <c r="N55" s="257" t="n">
        <v>0</v>
      </c>
      <c r="O55" s="257" t="n">
        <v>0</v>
      </c>
      <c r="P55" s="257" t="n">
        <v>0</v>
      </c>
      <c r="Q55" s="257" t="n">
        <v>0</v>
      </c>
      <c r="R55" s="257" t="n">
        <v>0</v>
      </c>
      <c r="S55" s="257" t="n">
        <v>0</v>
      </c>
      <c r="T55" s="257" t="n">
        <v>0</v>
      </c>
      <c r="U55" s="257" t="n">
        <v>0</v>
      </c>
      <c r="V55" s="257" t="n">
        <v>0</v>
      </c>
      <c r="W55" s="257" t="n">
        <v>0</v>
      </c>
      <c r="X55" s="257" t="n">
        <v>0</v>
      </c>
      <c r="Y55" s="257" t="n">
        <v>0</v>
      </c>
      <c r="Z55" s="257" t="n">
        <v>0</v>
      </c>
      <c r="AA55" s="257" t="n">
        <v>0</v>
      </c>
      <c r="AB55" s="257" t="n">
        <v>0</v>
      </c>
      <c r="AC55" s="257" t="n">
        <v>0</v>
      </c>
      <c r="AD55" s="257" t="n">
        <v>0</v>
      </c>
      <c r="AE55" s="257" t="n">
        <v>0</v>
      </c>
      <c r="AF55" s="257" t="n">
        <v>0</v>
      </c>
      <c r="AG55" s="257" t="n">
        <v>0</v>
      </c>
      <c r="AH55" s="257" t="n">
        <v>0</v>
      </c>
      <c r="AI55" s="257" t="n">
        <v>0</v>
      </c>
      <c r="AJ55" s="257" t="n">
        <v>0</v>
      </c>
    </row>
    <row r="56" ht="15" customHeight="1" s="255">
      <c r="A56" s="254" t="n">
        <v>19</v>
      </c>
      <c r="B56" s="254" t="n">
        <v>1</v>
      </c>
      <c r="G56" s="254" t="inlineStr">
        <is>
          <t>moeda</t>
        </is>
      </c>
      <c r="H56" s="254" t="inlineStr">
        <is>
          <t>[vazio] Direito de uso: não aparece como linha própria nas demonstrações (zero)</t>
        </is>
      </c>
      <c r="J56" s="254" t="inlineStr">
        <is>
          <t>derivada</t>
        </is>
      </c>
      <c r="K56" s="257" t="n">
        <v>0</v>
      </c>
      <c r="L56" s="257" t="n">
        <v>0</v>
      </c>
      <c r="M56" s="257" t="n">
        <v>0</v>
      </c>
      <c r="N56" s="257" t="n">
        <v>0</v>
      </c>
      <c r="O56" s="257" t="n">
        <v>0</v>
      </c>
      <c r="P56" s="257" t="n">
        <v>0</v>
      </c>
      <c r="Q56" s="257" t="n">
        <v>0</v>
      </c>
      <c r="R56" s="257" t="n">
        <v>0</v>
      </c>
      <c r="S56" s="257" t="n">
        <v>0</v>
      </c>
      <c r="T56" s="257" t="n">
        <v>0</v>
      </c>
      <c r="U56" s="257" t="n">
        <v>0</v>
      </c>
      <c r="V56" s="257" t="n">
        <v>0</v>
      </c>
      <c r="W56" s="257" t="n">
        <v>0</v>
      </c>
      <c r="X56" s="257" t="n">
        <v>0</v>
      </c>
      <c r="Y56" s="257" t="n">
        <v>0</v>
      </c>
      <c r="Z56" s="257" t="n">
        <v>0</v>
      </c>
      <c r="AA56" s="257" t="n">
        <v>0</v>
      </c>
      <c r="AB56" s="257" t="n">
        <v>0</v>
      </c>
      <c r="AC56" s="257" t="n">
        <v>0</v>
      </c>
      <c r="AD56" s="257" t="n">
        <v>0</v>
      </c>
      <c r="AE56" s="257" t="n">
        <v>0</v>
      </c>
      <c r="AF56" s="257" t="n">
        <v>0</v>
      </c>
      <c r="AG56" s="257" t="n">
        <v>0</v>
      </c>
      <c r="AH56" s="257" t="n">
        <v>0</v>
      </c>
      <c r="AI56" s="257" t="n">
        <v>0</v>
      </c>
      <c r="AJ56" s="257" t="n">
        <v>0</v>
      </c>
    </row>
    <row r="57" ht="15" customHeight="1" s="255">
      <c r="A57" s="254" t="n">
        <v>20</v>
      </c>
      <c r="B57" s="254" t="n">
        <v>1</v>
      </c>
      <c r="G57" s="254" t="inlineStr">
        <is>
          <t>moeda</t>
        </is>
      </c>
      <c r="H57" s="254" t="inlineStr">
        <is>
          <t>[vazio] Goodwill: não aparece como linha própria nas demonstrações (zero)</t>
        </is>
      </c>
      <c r="J57" s="254" t="inlineStr">
        <is>
          <t>derivada</t>
        </is>
      </c>
      <c r="K57" s="257" t="n">
        <v>0</v>
      </c>
      <c r="L57" s="257" t="n">
        <v>0</v>
      </c>
      <c r="M57" s="257" t="n">
        <v>0</v>
      </c>
      <c r="N57" s="257" t="n">
        <v>0</v>
      </c>
      <c r="O57" s="257" t="n">
        <v>0</v>
      </c>
      <c r="P57" s="257" t="n">
        <v>0</v>
      </c>
      <c r="Q57" s="257" t="n">
        <v>0</v>
      </c>
      <c r="R57" s="257" t="n">
        <v>0</v>
      </c>
      <c r="S57" s="257" t="n">
        <v>0</v>
      </c>
      <c r="T57" s="257" t="n">
        <v>0</v>
      </c>
      <c r="U57" s="257" t="n">
        <v>0</v>
      </c>
      <c r="V57" s="257" t="n">
        <v>0</v>
      </c>
      <c r="W57" s="257" t="n">
        <v>0</v>
      </c>
      <c r="X57" s="257" t="n">
        <v>0</v>
      </c>
      <c r="Y57" s="257" t="n">
        <v>0</v>
      </c>
      <c r="Z57" s="257" t="n">
        <v>0</v>
      </c>
      <c r="AA57" s="257" t="n">
        <v>0</v>
      </c>
      <c r="AB57" s="257" t="n">
        <v>0</v>
      </c>
      <c r="AC57" s="257" t="n">
        <v>0</v>
      </c>
      <c r="AD57" s="257" t="n">
        <v>0</v>
      </c>
      <c r="AE57" s="257" t="n">
        <v>0</v>
      </c>
      <c r="AF57" s="257" t="n">
        <v>0</v>
      </c>
      <c r="AG57" s="257" t="n">
        <v>0</v>
      </c>
      <c r="AH57" s="257" t="n">
        <v>0</v>
      </c>
      <c r="AI57" s="257" t="n">
        <v>0</v>
      </c>
      <c r="AJ57" s="257" t="n">
        <v>0</v>
      </c>
    </row>
    <row r="58" ht="15" customHeight="1" s="255">
      <c r="A58" s="254" t="n">
        <v>21</v>
      </c>
      <c r="B58" s="254" t="n">
        <v>1</v>
      </c>
      <c r="G58" s="254" t="inlineStr">
        <is>
          <t>moeda</t>
        </is>
      </c>
      <c r="H58" s="254" t="inlineStr">
        <is>
          <t>[vazio] Intangíveis: não aparece como linha própria nas demonstrações (zero)</t>
        </is>
      </c>
      <c r="J58" s="254" t="inlineStr">
        <is>
          <t>derivada</t>
        </is>
      </c>
      <c r="K58" s="257" t="n">
        <v>0</v>
      </c>
      <c r="L58" s="257" t="n">
        <v>0</v>
      </c>
      <c r="M58" s="257" t="n">
        <v>0</v>
      </c>
      <c r="N58" s="257" t="n">
        <v>0</v>
      </c>
      <c r="O58" s="257" t="n">
        <v>0</v>
      </c>
      <c r="P58" s="257" t="n">
        <v>0</v>
      </c>
      <c r="Q58" s="257" t="n">
        <v>0</v>
      </c>
      <c r="R58" s="257" t="n">
        <v>0</v>
      </c>
      <c r="S58" s="257" t="n">
        <v>0</v>
      </c>
      <c r="T58" s="257" t="n">
        <v>0</v>
      </c>
      <c r="U58" s="257" t="n">
        <v>0</v>
      </c>
      <c r="V58" s="257" t="n">
        <v>0</v>
      </c>
      <c r="W58" s="257" t="n">
        <v>0</v>
      </c>
      <c r="X58" s="257" t="n">
        <v>0</v>
      </c>
      <c r="Y58" s="257" t="n">
        <v>0</v>
      </c>
      <c r="Z58" s="257" t="n">
        <v>0</v>
      </c>
      <c r="AA58" s="257" t="n">
        <v>0</v>
      </c>
      <c r="AB58" s="257" t="n">
        <v>0</v>
      </c>
      <c r="AC58" s="257" t="n">
        <v>0</v>
      </c>
      <c r="AD58" s="257" t="n">
        <v>0</v>
      </c>
      <c r="AE58" s="257" t="n">
        <v>0</v>
      </c>
      <c r="AF58" s="257" t="n">
        <v>0</v>
      </c>
      <c r="AG58" s="257" t="n">
        <v>0</v>
      </c>
      <c r="AH58" s="257" t="n">
        <v>0</v>
      </c>
      <c r="AI58" s="257" t="n">
        <v>0</v>
      </c>
      <c r="AJ58" s="257" t="n">
        <v>0</v>
      </c>
    </row>
    <row r="59" ht="15" customHeight="1" s="255">
      <c r="A59" s="254" t="n">
        <v>24</v>
      </c>
      <c r="B59" s="254" t="n">
        <v>1</v>
      </c>
      <c r="G59" s="254" t="inlineStr">
        <is>
          <t>moeda</t>
        </is>
      </c>
      <c r="H59" s="254" t="inlineStr">
        <is>
          <t>[vazio] Despesas provisionadas: não aparece como linha própria nas demonstrações (zero)</t>
        </is>
      </c>
      <c r="J59" s="254" t="inlineStr">
        <is>
          <t>derivada</t>
        </is>
      </c>
      <c r="K59" s="257" t="n">
        <v>0</v>
      </c>
      <c r="L59" s="257" t="n">
        <v>0</v>
      </c>
      <c r="M59" s="257" t="n">
        <v>0</v>
      </c>
      <c r="N59" s="257" t="n">
        <v>0</v>
      </c>
      <c r="O59" s="257" t="n">
        <v>0</v>
      </c>
      <c r="P59" s="257" t="n">
        <v>0</v>
      </c>
      <c r="Q59" s="257" t="n">
        <v>0</v>
      </c>
      <c r="R59" s="257" t="n">
        <v>0</v>
      </c>
      <c r="S59" s="257" t="n">
        <v>0</v>
      </c>
      <c r="T59" s="257" t="n">
        <v>0</v>
      </c>
      <c r="U59" s="257" t="n">
        <v>0</v>
      </c>
      <c r="V59" s="257" t="n">
        <v>0</v>
      </c>
      <c r="W59" s="257" t="n">
        <v>0</v>
      </c>
      <c r="X59" s="257" t="n">
        <v>0</v>
      </c>
      <c r="Y59" s="257" t="n">
        <v>0</v>
      </c>
      <c r="Z59" s="257" t="n">
        <v>0</v>
      </c>
      <c r="AA59" s="257" t="n">
        <v>0</v>
      </c>
      <c r="AB59" s="257" t="n">
        <v>0</v>
      </c>
      <c r="AC59" s="257" t="n">
        <v>0</v>
      </c>
      <c r="AD59" s="257" t="n">
        <v>0</v>
      </c>
      <c r="AE59" s="257" t="n">
        <v>0</v>
      </c>
      <c r="AF59" s="257" t="n">
        <v>0</v>
      </c>
      <c r="AG59" s="257" t="n">
        <v>0</v>
      </c>
      <c r="AH59" s="257" t="n">
        <v>0</v>
      </c>
      <c r="AI59" s="257" t="n">
        <v>0</v>
      </c>
      <c r="AJ59" s="257" t="n">
        <v>0</v>
      </c>
    </row>
    <row r="60" ht="15" customHeight="1" s="255">
      <c r="A60" s="254" t="n">
        <v>28</v>
      </c>
      <c r="B60" s="254" t="n">
        <v>1</v>
      </c>
      <c r="G60" s="254" t="inlineStr">
        <is>
          <t>moeda</t>
        </is>
      </c>
      <c r="H60" s="254" t="inlineStr">
        <is>
          <t>[vazio] Revolving: não aparece como linha própria nas demonstrações (zero)</t>
        </is>
      </c>
      <c r="J60" s="254" t="inlineStr">
        <is>
          <t>derivada</t>
        </is>
      </c>
      <c r="K60" s="257" t="n">
        <v>0</v>
      </c>
      <c r="L60" s="257" t="n">
        <v>0</v>
      </c>
      <c r="M60" s="257" t="n">
        <v>0</v>
      </c>
      <c r="N60" s="257" t="n">
        <v>0</v>
      </c>
      <c r="O60" s="257" t="n">
        <v>0</v>
      </c>
      <c r="P60" s="257" t="n">
        <v>0</v>
      </c>
      <c r="Q60" s="257" t="n">
        <v>0</v>
      </c>
      <c r="R60" s="257" t="n">
        <v>0</v>
      </c>
      <c r="S60" s="257" t="n">
        <v>0</v>
      </c>
      <c r="T60" s="257" t="n">
        <v>0</v>
      </c>
      <c r="U60" s="257" t="n">
        <v>0</v>
      </c>
      <c r="V60" s="257" t="n">
        <v>0</v>
      </c>
      <c r="W60" s="257" t="n">
        <v>0</v>
      </c>
      <c r="X60" s="257" t="n">
        <v>0</v>
      </c>
      <c r="Y60" s="257" t="n">
        <v>0</v>
      </c>
      <c r="Z60" s="257" t="n">
        <v>0</v>
      </c>
      <c r="AA60" s="257" t="n">
        <v>0</v>
      </c>
      <c r="AB60" s="257" t="n">
        <v>0</v>
      </c>
      <c r="AC60" s="257" t="n">
        <v>0</v>
      </c>
      <c r="AD60" s="257" t="n">
        <v>0</v>
      </c>
      <c r="AE60" s="257" t="n">
        <v>0</v>
      </c>
      <c r="AF60" s="257" t="n">
        <v>0</v>
      </c>
      <c r="AG60" s="257" t="n">
        <v>0</v>
      </c>
      <c r="AH60" s="257" t="n">
        <v>0</v>
      </c>
      <c r="AI60" s="257" t="n">
        <v>0</v>
      </c>
      <c r="AJ60" s="257" t="n">
        <v>0</v>
      </c>
    </row>
    <row r="61" ht="15" customHeight="1" s="255">
      <c r="A61" s="254" t="n">
        <v>29</v>
      </c>
      <c r="B61" s="254" t="n">
        <v>1</v>
      </c>
      <c r="G61" s="254" t="inlineStr">
        <is>
          <t>moeda</t>
        </is>
      </c>
      <c r="H61" s="254" t="inlineStr">
        <is>
          <t>[vazio] Arrendamento CP: não aparece como linha própria nas demonstrações (zero)</t>
        </is>
      </c>
      <c r="J61" s="254" t="inlineStr">
        <is>
          <t>derivada</t>
        </is>
      </c>
      <c r="K61" s="257" t="n">
        <v>0</v>
      </c>
      <c r="L61" s="257" t="n">
        <v>0</v>
      </c>
      <c r="M61" s="257" t="n">
        <v>0</v>
      </c>
      <c r="N61" s="257" t="n">
        <v>0</v>
      </c>
      <c r="O61" s="257" t="n">
        <v>0</v>
      </c>
      <c r="P61" s="257" t="n">
        <v>0</v>
      </c>
      <c r="Q61" s="257" t="n">
        <v>0</v>
      </c>
      <c r="R61" s="257" t="n">
        <v>0</v>
      </c>
      <c r="S61" s="257" t="n">
        <v>0</v>
      </c>
      <c r="T61" s="257" t="n">
        <v>0</v>
      </c>
      <c r="U61" s="257" t="n">
        <v>0</v>
      </c>
      <c r="V61" s="257" t="n">
        <v>0</v>
      </c>
      <c r="W61" s="257" t="n">
        <v>0</v>
      </c>
      <c r="X61" s="257" t="n">
        <v>0</v>
      </c>
      <c r="Y61" s="257" t="n">
        <v>0</v>
      </c>
      <c r="Z61" s="257" t="n">
        <v>0</v>
      </c>
      <c r="AA61" s="257" t="n">
        <v>0</v>
      </c>
      <c r="AB61" s="257" t="n">
        <v>0</v>
      </c>
      <c r="AC61" s="257" t="n">
        <v>0</v>
      </c>
      <c r="AD61" s="257" t="n">
        <v>0</v>
      </c>
      <c r="AE61" s="257" t="n">
        <v>0</v>
      </c>
      <c r="AF61" s="257" t="n">
        <v>0</v>
      </c>
      <c r="AG61" s="257" t="n">
        <v>0</v>
      </c>
      <c r="AH61" s="257" t="n">
        <v>0</v>
      </c>
      <c r="AI61" s="257" t="n">
        <v>0</v>
      </c>
      <c r="AJ61" s="257" t="n">
        <v>0</v>
      </c>
    </row>
    <row r="62" ht="15" customHeight="1" s="255">
      <c r="A62" s="254" t="n">
        <v>32</v>
      </c>
      <c r="B62" s="254" t="n">
        <v>1</v>
      </c>
      <c r="G62" s="254" t="inlineStr">
        <is>
          <t>moeda</t>
        </is>
      </c>
      <c r="H62" s="254" t="inlineStr">
        <is>
          <t>[vazio] Dívida conversível: não aparece como linha própria nas demonstrações (zero)</t>
        </is>
      </c>
      <c r="J62" s="254" t="inlineStr">
        <is>
          <t>derivada</t>
        </is>
      </c>
      <c r="K62" s="257" t="n">
        <v>0</v>
      </c>
      <c r="L62" s="257" t="n">
        <v>0</v>
      </c>
      <c r="M62" s="257" t="n">
        <v>0</v>
      </c>
      <c r="N62" s="257" t="n">
        <v>0</v>
      </c>
      <c r="O62" s="257" t="n">
        <v>0</v>
      </c>
      <c r="P62" s="257" t="n">
        <v>0</v>
      </c>
      <c r="Q62" s="257" t="n">
        <v>0</v>
      </c>
      <c r="R62" s="257" t="n">
        <v>0</v>
      </c>
      <c r="S62" s="257" t="n">
        <v>0</v>
      </c>
      <c r="T62" s="257" t="n">
        <v>0</v>
      </c>
      <c r="U62" s="257" t="n">
        <v>0</v>
      </c>
      <c r="V62" s="257" t="n">
        <v>0</v>
      </c>
      <c r="W62" s="257" t="n">
        <v>0</v>
      </c>
      <c r="X62" s="257" t="n">
        <v>0</v>
      </c>
      <c r="Y62" s="257" t="n">
        <v>0</v>
      </c>
      <c r="Z62" s="257" t="n">
        <v>0</v>
      </c>
      <c r="AA62" s="257" t="n">
        <v>0</v>
      </c>
      <c r="AB62" s="257" t="n">
        <v>0</v>
      </c>
      <c r="AC62" s="257" t="n">
        <v>0</v>
      </c>
      <c r="AD62" s="257" t="n">
        <v>0</v>
      </c>
      <c r="AE62" s="257" t="n">
        <v>0</v>
      </c>
      <c r="AF62" s="257" t="n">
        <v>0</v>
      </c>
      <c r="AG62" s="257" t="n">
        <v>0</v>
      </c>
      <c r="AH62" s="257" t="n">
        <v>0</v>
      </c>
      <c r="AI62" s="257" t="n">
        <v>0</v>
      </c>
      <c r="AJ62" s="257" t="n">
        <v>0</v>
      </c>
    </row>
    <row r="63" ht="15" customHeight="1" s="255">
      <c r="A63" s="254" t="n">
        <v>40</v>
      </c>
      <c r="B63" s="254" t="n">
        <v>1</v>
      </c>
      <c r="G63" s="254" t="inlineStr">
        <is>
          <t>moeda</t>
        </is>
      </c>
      <c r="H63" s="254" t="inlineStr">
        <is>
          <t>[vazio] Outras contas do PL: não aparece como linha própria nas demonstrações (zero)</t>
        </is>
      </c>
      <c r="J63" s="254" t="inlineStr">
        <is>
          <t>derivada</t>
        </is>
      </c>
      <c r="K63" s="257" t="n">
        <v>0</v>
      </c>
      <c r="L63" s="257" t="n">
        <v>0</v>
      </c>
      <c r="M63" s="257" t="n">
        <v>0</v>
      </c>
      <c r="N63" s="257" t="n">
        <v>0</v>
      </c>
      <c r="O63" s="257" t="n">
        <v>0</v>
      </c>
      <c r="P63" s="257" t="n">
        <v>0</v>
      </c>
      <c r="Q63" s="257" t="n">
        <v>0</v>
      </c>
      <c r="R63" s="257" t="n">
        <v>0</v>
      </c>
      <c r="S63" s="257" t="n">
        <v>0</v>
      </c>
      <c r="T63" s="257" t="n">
        <v>0</v>
      </c>
      <c r="U63" s="257" t="n">
        <v>0</v>
      </c>
      <c r="V63" s="257" t="n">
        <v>0</v>
      </c>
      <c r="W63" s="257" t="n">
        <v>0</v>
      </c>
      <c r="X63" s="257" t="n">
        <v>0</v>
      </c>
      <c r="Y63" s="257" t="n">
        <v>0</v>
      </c>
      <c r="Z63" s="257" t="n">
        <v>0</v>
      </c>
      <c r="AA63" s="257" t="n">
        <v>0</v>
      </c>
      <c r="AB63" s="257" t="n">
        <v>0</v>
      </c>
      <c r="AC63" s="257" t="n">
        <v>0</v>
      </c>
      <c r="AD63" s="257" t="n">
        <v>0</v>
      </c>
      <c r="AE63" s="257" t="n">
        <v>0</v>
      </c>
      <c r="AF63" s="257" t="n">
        <v>0</v>
      </c>
      <c r="AG63" s="257" t="n">
        <v>0</v>
      </c>
      <c r="AH63" s="257" t="n">
        <v>0</v>
      </c>
      <c r="AI63" s="257" t="n">
        <v>0</v>
      </c>
      <c r="AJ63" s="257" t="n">
        <v>0</v>
      </c>
    </row>
    <row r="64" ht="15" customHeight="1" s="255">
      <c r="A64" s="254" t="n">
        <v>16</v>
      </c>
      <c r="B64" s="254" t="n">
        <v>1</v>
      </c>
      <c r="G64" s="254" t="inlineStr">
        <is>
          <t>moeda</t>
        </is>
      </c>
      <c r="H64" s="254" t="inlineStr">
        <is>
          <t>Linhas de face do ativo circulante sem tag própria (subtotal divulgado - soma das linhas)</t>
        </is>
      </c>
      <c r="J64" s="254" t="inlineStr">
        <is>
          <t>derivada</t>
        </is>
      </c>
      <c r="K64" s="257" t="n">
        <v>0</v>
      </c>
      <c r="L64" s="257" t="n">
        <v>0</v>
      </c>
      <c r="M64" s="257" t="n">
        <v>0</v>
      </c>
      <c r="N64" s="257" t="n">
        <v>-3903000000</v>
      </c>
      <c r="O64" s="257" t="n">
        <v>0</v>
      </c>
      <c r="P64" s="257" t="n">
        <v>0</v>
      </c>
      <c r="Q64" s="257" t="n">
        <v>0</v>
      </c>
      <c r="R64" s="257" t="n">
        <v>-8314000000</v>
      </c>
      <c r="S64" s="257" t="n">
        <v>0</v>
      </c>
      <c r="T64" s="257" t="n">
        <v>0</v>
      </c>
      <c r="U64" s="257" t="n">
        <v>0</v>
      </c>
      <c r="V64" s="257" t="n">
        <v>-8390000000</v>
      </c>
      <c r="W64" s="257" t="n">
        <v>0</v>
      </c>
      <c r="X64" s="257" t="n">
        <v>0</v>
      </c>
      <c r="Y64" s="257" t="n">
        <v>0</v>
      </c>
      <c r="Z64" s="257" t="n">
        <v>-6063000000</v>
      </c>
      <c r="AA64" s="257" t="n">
        <v>0</v>
      </c>
      <c r="AB64" s="257" t="n">
        <v>0</v>
      </c>
      <c r="AC64" s="257" t="n">
        <v>0</v>
      </c>
      <c r="AD64" s="257" t="n">
        <v>-4911000000</v>
      </c>
      <c r="AE64" s="257" t="n">
        <v>0</v>
      </c>
      <c r="AF64" s="257" t="n">
        <v>0</v>
      </c>
      <c r="AG64" s="257" t="n">
        <v>0</v>
      </c>
      <c r="AH64" s="257" t="n">
        <v>-4173000000</v>
      </c>
      <c r="AI64" s="257" t="n">
        <v>0</v>
      </c>
      <c r="AJ64" s="257" t="n">
        <v>0</v>
      </c>
    </row>
    <row r="65" ht="15" customHeight="1" s="255">
      <c r="H65" s="256" t="inlineStr">
        <is>
          <t>BALANÇO - totais divulgados (memória)</t>
        </is>
      </c>
    </row>
    <row r="66" ht="15" customHeight="1" s="255">
      <c r="G66" s="254" t="inlineStr">
        <is>
          <t>moeda</t>
        </is>
      </c>
      <c r="H66" s="254" t="inlineStr">
        <is>
          <t>Total do ativo [us-gaap:Assets]</t>
        </is>
      </c>
      <c r="J66" s="254" t="inlineStr">
        <is>
          <t>memoria</t>
        </is>
      </c>
      <c r="K66" s="257" t="n">
        <v>40219000000</v>
      </c>
      <c r="L66" s="257" t="n">
        <v>40230000000</v>
      </c>
      <c r="M66" s="257" t="n">
        <v>41099000000</v>
      </c>
      <c r="N66" s="257" t="n">
        <v>42144000000</v>
      </c>
      <c r="O66" s="257" t="n">
        <v>43643000000</v>
      </c>
      <c r="P66" s="257" t="n">
        <v>45436000000</v>
      </c>
      <c r="Q66" s="257" t="n">
        <v>46917000000</v>
      </c>
      <c r="R66" s="257" t="n">
        <v>48022000000</v>
      </c>
      <c r="S66" s="257" t="n">
        <v>48832000000</v>
      </c>
      <c r="T66" s="257" t="n">
        <v>50113000000</v>
      </c>
      <c r="U66" s="257" t="n">
        <v>49927000000</v>
      </c>
      <c r="V66" s="257" t="n">
        <v>51093000000</v>
      </c>
      <c r="W66" s="257" t="n">
        <v>50909000000</v>
      </c>
      <c r="X66" s="257" t="n">
        <v>50907000000</v>
      </c>
      <c r="Y66" s="257" t="n">
        <v>51648000000</v>
      </c>
      <c r="Z66" s="257" t="n">
        <v>52506000000</v>
      </c>
      <c r="AA66" s="257" t="n">
        <v>54198000000</v>
      </c>
      <c r="AB66" s="257" t="n">
        <v>54635000000</v>
      </c>
      <c r="AC66" s="257" t="n">
        <v>55400000000</v>
      </c>
      <c r="AD66" s="257" t="n">
        <v>54848000000</v>
      </c>
      <c r="AE66" s="257" t="n">
        <v>56022000000</v>
      </c>
      <c r="AF66" s="257" t="n">
        <v>56492000000</v>
      </c>
      <c r="AG66" s="257" t="n">
        <v>56828000000</v>
      </c>
      <c r="AH66" s="257" t="n">
        <v>58167000000</v>
      </c>
      <c r="AI66" s="257" t="n">
        <v>58840000000</v>
      </c>
      <c r="AJ66" s="257" t="n">
        <v>59727000000</v>
      </c>
    </row>
    <row r="67" ht="15" customHeight="1" s="255">
      <c r="G67" s="254" t="inlineStr">
        <is>
          <t>moeda</t>
        </is>
      </c>
      <c r="H67" s="254" t="inlineStr">
        <is>
          <t>Total do passivo + PL [us-gaap:LiabilitiesAndStockholdersEquity]</t>
        </is>
      </c>
      <c r="J67" s="254" t="inlineStr">
        <is>
          <t>memoria</t>
        </is>
      </c>
      <c r="K67" s="257" t="n">
        <v>40219000000</v>
      </c>
      <c r="L67" s="257" t="n">
        <v>40230000000</v>
      </c>
      <c r="M67" s="257" t="n">
        <v>41099000000</v>
      </c>
      <c r="N67" s="257" t="n">
        <v>42144000000</v>
      </c>
      <c r="O67" s="257" t="n">
        <v>43643000000</v>
      </c>
      <c r="P67" s="257" t="n">
        <v>45436000000</v>
      </c>
      <c r="Q67" s="257" t="n">
        <v>46917000000</v>
      </c>
      <c r="R67" s="257" t="n">
        <v>48022000000</v>
      </c>
      <c r="S67" s="257" t="n">
        <v>48832000000</v>
      </c>
      <c r="T67" s="257" t="n">
        <v>50113000000</v>
      </c>
      <c r="U67" s="257" t="n">
        <v>49927000000</v>
      </c>
      <c r="V67" s="257" t="n">
        <v>51093000000</v>
      </c>
      <c r="W67" s="257" t="n">
        <v>50909000000</v>
      </c>
      <c r="X67" s="257" t="n">
        <v>50907000000</v>
      </c>
      <c r="Y67" s="257" t="n">
        <v>51648000000</v>
      </c>
      <c r="Z67" s="257" t="n">
        <v>52506000000</v>
      </c>
      <c r="AA67" s="257" t="n">
        <v>54198000000</v>
      </c>
      <c r="AB67" s="257" t="n">
        <v>54635000000</v>
      </c>
      <c r="AC67" s="257" t="n">
        <v>55400000000</v>
      </c>
      <c r="AD67" s="257" t="n">
        <v>54848000000</v>
      </c>
      <c r="AE67" s="257" t="n">
        <v>56022000000</v>
      </c>
      <c r="AF67" s="257" t="n">
        <v>56492000000</v>
      </c>
      <c r="AG67" s="257" t="n">
        <v>56828000000</v>
      </c>
      <c r="AH67" s="257" t="n">
        <v>58167000000</v>
      </c>
      <c r="AI67" s="257" t="n">
        <v>58840000000</v>
      </c>
      <c r="AJ67" s="257" t="n">
        <v>59727000000</v>
      </c>
    </row>
    <row r="68" ht="15" customHeight="1" s="255">
      <c r="H68" s="256" t="inlineStr">
        <is>
          <t>CHECKS (devem ser 0)</t>
        </is>
      </c>
    </row>
    <row r="69" ht="15" customHeight="1" s="255">
      <c r="G69" s="254" t="inlineStr">
        <is>
          <t>moeda</t>
        </is>
      </c>
      <c r="H69" s="254" t="inlineStr">
        <is>
          <t>CHECK: contas de ativo - ativo total (USD, arredondado a 100 mil)</t>
        </is>
      </c>
      <c r="J69" s="254" t="inlineStr">
        <is>
          <t>derivada</t>
        </is>
      </c>
      <c r="K69" s="258">
        <f>ROUND(N(K21)+N(K22)+N(K23)+N(K24)+N(K25)+N(K26)+N(K27)+N(K28)+N(K29)+N(K30)+N(K31)+N(K32)+N(K33)+N(K34)+N(K35)+N(K64)-N(K66),-5)</f>
        <v>0</v>
      </c>
      <c r="L69" s="258">
        <f>ROUND(N(L21)+N(L22)+N(L23)+N(L24)+N(L25)+N(L26)+N(L27)+N(L28)+N(L29)+N(L30)+N(L31)+N(L32)+N(L33)+N(L34)+N(L35)+N(L64)-N(L66),-5)</f>
        <v>0</v>
      </c>
      <c r="M69" s="258">
        <f>ROUND(N(M21)+N(M22)+N(M23)+N(M24)+N(M25)+N(M26)+N(M27)+N(M28)+N(M29)+N(M30)+N(M31)+N(M32)+N(M33)+N(M34)+N(M35)+N(M64)-N(M66),-5)</f>
        <v>0</v>
      </c>
      <c r="N69" s="258">
        <f>ROUND(N(N21)+N(N22)+N(N23)+N(N24)+N(N25)+N(N26)+N(N27)+N(N28)+N(N29)+N(N30)+N(N31)+N(N32)+N(N33)+N(N34)+N(N35)+N(N64)-N(N66),-5)</f>
        <v>0</v>
      </c>
      <c r="O69" s="258">
        <f>ROUND(N(O21)+N(O22)+N(O23)+N(O24)+N(O25)+N(O26)+N(O27)+N(O28)+N(O29)+N(O30)+N(O31)+N(O32)+N(O33)+N(O34)+N(O35)+N(O64)-N(O66),-5)</f>
        <v>0</v>
      </c>
      <c r="P69" s="258">
        <f>ROUND(N(P21)+N(P22)+N(P23)+N(P24)+N(P25)+N(P26)+N(P27)+N(P28)+N(P29)+N(P30)+N(P31)+N(P32)+N(P33)+N(P34)+N(P35)+N(P64)-N(P66),-5)</f>
        <v>0</v>
      </c>
      <c r="Q69" s="258">
        <f>ROUND(N(Q21)+N(Q22)+N(Q23)+N(Q24)+N(Q25)+N(Q26)+N(Q27)+N(Q28)+N(Q29)+N(Q30)+N(Q31)+N(Q32)+N(Q33)+N(Q34)+N(Q35)+N(Q64)-N(Q66),-5)</f>
        <v>0</v>
      </c>
      <c r="R69" s="258">
        <f>ROUND(N(R21)+N(R22)+N(R23)+N(R24)+N(R25)+N(R26)+N(R27)+N(R28)+N(R29)+N(R30)+N(R31)+N(R32)+N(R33)+N(R34)+N(R35)+N(R64)-N(R66),-5)</f>
        <v>0</v>
      </c>
      <c r="S69" s="258">
        <f>ROUND(N(S21)+N(S22)+N(S23)+N(S24)+N(S25)+N(S26)+N(S27)+N(S28)+N(S29)+N(S30)+N(S31)+N(S32)+N(S33)+N(S34)+N(S35)+N(S64)-N(S66),-5)</f>
        <v>0</v>
      </c>
      <c r="T69" s="258">
        <f>ROUND(N(T21)+N(T22)+N(T23)+N(T24)+N(T25)+N(T26)+N(T27)+N(T28)+N(T29)+N(T30)+N(T31)+N(T32)+N(T33)+N(T34)+N(T35)+N(T64)-N(T66),-5)</f>
        <v>0</v>
      </c>
      <c r="U69" s="258">
        <f>ROUND(N(U21)+N(U22)+N(U23)+N(U24)+N(U25)+N(U26)+N(U27)+N(U28)+N(U29)+N(U30)+N(U31)+N(U32)+N(U33)+N(U34)+N(U35)+N(U64)-N(U66),-5)</f>
        <v>0</v>
      </c>
      <c r="V69" s="258">
        <f>ROUND(N(V21)+N(V22)+N(V23)+N(V24)+N(V25)+N(V26)+N(V27)+N(V28)+N(V29)+N(V30)+N(V31)+N(V32)+N(V33)+N(V34)+N(V35)+N(V64)-N(V66),-5)</f>
        <v>0</v>
      </c>
      <c r="W69" s="258">
        <f>ROUND(N(W21)+N(W22)+N(W23)+N(W24)+N(W25)+N(W26)+N(W27)+N(W28)+N(W29)+N(W30)+N(W31)+N(W32)+N(W33)+N(W34)+N(W35)+N(W64)-N(W66),-5)</f>
        <v>0</v>
      </c>
      <c r="X69" s="258">
        <f>ROUND(N(X21)+N(X22)+N(X23)+N(X24)+N(X25)+N(X26)+N(X27)+N(X28)+N(X29)+N(X30)+N(X31)+N(X32)+N(X33)+N(X34)+N(X35)+N(X64)-N(X66),-5)</f>
        <v>0</v>
      </c>
      <c r="Y69" s="258">
        <f>ROUND(N(Y21)+N(Y22)+N(Y23)+N(Y24)+N(Y25)+N(Y26)+N(Y27)+N(Y28)+N(Y29)+N(Y30)+N(Y31)+N(Y32)+N(Y33)+N(Y34)+N(Y35)+N(Y64)-N(Y66),-5)</f>
        <v>0</v>
      </c>
      <c r="Z69" s="258">
        <f>ROUND(N(Z21)+N(Z22)+N(Z23)+N(Z24)+N(Z25)+N(Z26)+N(Z27)+N(Z28)+N(Z29)+N(Z30)+N(Z31)+N(Z32)+N(Z33)+N(Z34)+N(Z35)+N(Z64)-N(Z66),-5)</f>
        <v>0</v>
      </c>
      <c r="AA69" s="258">
        <f>ROUND(N(AA21)+N(AA22)+N(AA23)+N(AA24)+N(AA25)+N(AA26)+N(AA27)+N(AA28)+N(AA29)+N(AA30)+N(AA31)+N(AA32)+N(AA33)+N(AA34)+N(AA35)+N(AA64)-N(AA66),-5)</f>
        <v>0</v>
      </c>
      <c r="AB69" s="258">
        <f>ROUND(N(AB21)+N(AB22)+N(AB23)+N(AB24)+N(AB25)+N(AB26)+N(AB27)+N(AB28)+N(AB29)+N(AB30)+N(AB31)+N(AB32)+N(AB33)+N(AB34)+N(AB35)+N(AB64)-N(AB66),-5)</f>
        <v>0</v>
      </c>
      <c r="AC69" s="258">
        <f>ROUND(N(AC21)+N(AC22)+N(AC23)+N(AC24)+N(AC25)+N(AC26)+N(AC27)+N(AC28)+N(AC29)+N(AC30)+N(AC31)+N(AC32)+N(AC33)+N(AC34)+N(AC35)+N(AC64)-N(AC66),-5)</f>
        <v>0</v>
      </c>
      <c r="AD69" s="258">
        <f>ROUND(N(AD21)+N(AD22)+N(AD23)+N(AD24)+N(AD25)+N(AD26)+N(AD27)+N(AD28)+N(AD29)+N(AD30)+N(AD31)+N(AD32)+N(AD33)+N(AD34)+N(AD35)+N(AD64)-N(AD66),-5)</f>
        <v>0</v>
      </c>
      <c r="AE69" s="258">
        <f>ROUND(N(AE21)+N(AE22)+N(AE23)+N(AE24)+N(AE25)+N(AE26)+N(AE27)+N(AE28)+N(AE29)+N(AE30)+N(AE31)+N(AE32)+N(AE33)+N(AE34)+N(AE35)+N(AE64)-N(AE66),-5)</f>
        <v>0</v>
      </c>
      <c r="AF69" s="258">
        <f>ROUND(N(AF21)+N(AF22)+N(AF23)+N(AF24)+N(AF25)+N(AF26)+N(AF27)+N(AF28)+N(AF29)+N(AF30)+N(AF31)+N(AF32)+N(AF33)+N(AF34)+N(AF35)+N(AF64)-N(AF66),-5)</f>
        <v>0</v>
      </c>
      <c r="AG69" s="258">
        <f>ROUND(N(AG21)+N(AG22)+N(AG23)+N(AG24)+N(AG25)+N(AG26)+N(AG27)+N(AG28)+N(AG29)+N(AG30)+N(AG31)+N(AG32)+N(AG33)+N(AG34)+N(AG35)+N(AG64)-N(AG66),-5)</f>
        <v>0</v>
      </c>
      <c r="AH69" s="258">
        <f>ROUND(N(AH21)+N(AH22)+N(AH23)+N(AH24)+N(AH25)+N(AH26)+N(AH27)+N(AH28)+N(AH29)+N(AH30)+N(AH31)+N(AH32)+N(AH33)+N(AH34)+N(AH35)+N(AH64)-N(AH66),-5)</f>
        <v>0</v>
      </c>
      <c r="AI69" s="258">
        <f>ROUND(N(AI21)+N(AI22)+N(AI23)+N(AI24)+N(AI25)+N(AI26)+N(AI27)+N(AI28)+N(AI29)+N(AI30)+N(AI31)+N(AI32)+N(AI33)+N(AI34)+N(AI35)+N(AI64)-N(AI66),-5)</f>
        <v>0</v>
      </c>
      <c r="AJ69" s="258">
        <f>ROUND(N(AJ21)+N(AJ22)+N(AJ23)+N(AJ24)+N(AJ25)+N(AJ26)+N(AJ27)+N(AJ28)+N(AJ29)+N(AJ30)+N(AJ31)+N(AJ32)+N(AJ33)+N(AJ34)+N(AJ35)+N(AJ64)-N(AJ66),-5)</f>
        <v>0</v>
      </c>
    </row>
    <row r="70" ht="15" customHeight="1" s="255">
      <c r="G70" s="254" t="inlineStr">
        <is>
          <t>moeda</t>
        </is>
      </c>
      <c r="H70" s="254" t="inlineStr">
        <is>
          <t>CHECK: passivo + PL (contas) - passivo + PL total</t>
        </is>
      </c>
      <c r="J70" s="254" t="inlineStr">
        <is>
          <t>derivada</t>
        </is>
      </c>
      <c r="K70" s="258">
        <f>ROUND(N(K36)+N(K37)+N(K38)+N(K39)+N(K40)+N(K41)+N(K42)+N(K43)+N(K44)+N(K45)+N(K46)+N(K47)+N(K48)+N(K49)+N(K50)+N(K51)-N(K67),-5)</f>
        <v>0</v>
      </c>
      <c r="L70" s="258">
        <f>ROUND(N(L36)+N(L37)+N(L38)+N(L39)+N(L40)+N(L41)+N(L42)+N(L43)+N(L44)+N(L45)+N(L46)+N(L47)+N(L48)+N(L49)+N(L50)+N(L51)-N(L67),-5)</f>
        <v>0</v>
      </c>
      <c r="M70" s="258">
        <f>ROUND(N(M36)+N(M37)+N(M38)+N(M39)+N(M40)+N(M41)+N(M42)+N(M43)+N(M44)+N(M45)+N(M46)+N(M47)+N(M48)+N(M49)+N(M50)+N(M51)-N(M67),-5)</f>
        <v>0</v>
      </c>
      <c r="N70" s="258">
        <f>ROUND(N(N36)+N(N37)+N(N38)+N(N39)+N(N40)+N(N41)+N(N42)+N(N43)+N(N44)+N(N45)+N(N46)+N(N47)+N(N48)+N(N49)+N(N50)+N(N51)-N(N67),-5)</f>
        <v>0</v>
      </c>
      <c r="O70" s="258">
        <f>ROUND(N(O36)+N(O37)+N(O38)+N(O39)+N(O40)+N(O41)+N(O42)+N(O43)+N(O44)+N(O45)+N(O46)+N(O47)+N(O48)+N(O49)+N(O50)+N(O51)-N(O67),-5)</f>
        <v>0</v>
      </c>
      <c r="P70" s="258">
        <f>ROUND(N(P36)+N(P37)+N(P38)+N(P39)+N(P40)+N(P41)+N(P42)+N(P43)+N(P44)+N(P45)+N(P46)+N(P47)+N(P48)+N(P49)+N(P50)+N(P51)-N(P67),-5)</f>
        <v>0</v>
      </c>
      <c r="Q70" s="258">
        <f>ROUND(N(Q36)+N(Q37)+N(Q38)+N(Q39)+N(Q40)+N(Q41)+N(Q42)+N(Q43)+N(Q44)+N(Q45)+N(Q46)+N(Q47)+N(Q48)+N(Q49)+N(Q50)+N(Q51)-N(Q67),-5)</f>
        <v>0</v>
      </c>
      <c r="R70" s="258">
        <f>ROUND(N(R36)+N(R37)+N(R38)+N(R39)+N(R40)+N(R41)+N(R42)+N(R43)+N(R44)+N(R45)+N(R46)+N(R47)+N(R48)+N(R49)+N(R50)+N(R51)-N(R67),-5)</f>
        <v>0</v>
      </c>
      <c r="S70" s="258">
        <f>ROUND(N(S36)+N(S37)+N(S38)+N(S39)+N(S40)+N(S41)+N(S42)+N(S43)+N(S44)+N(S45)+N(S46)+N(S47)+N(S48)+N(S49)+N(S50)+N(S51)-N(S67),-5)</f>
        <v>0</v>
      </c>
      <c r="T70" s="258">
        <f>ROUND(N(T36)+N(T37)+N(T38)+N(T39)+N(T40)+N(T41)+N(T42)+N(T43)+N(T44)+N(T45)+N(T46)+N(T47)+N(T48)+N(T49)+N(T50)+N(T51)-N(T67),-5)</f>
        <v>0</v>
      </c>
      <c r="U70" s="258">
        <f>ROUND(N(U36)+N(U37)+N(U38)+N(U39)+N(U40)+N(U41)+N(U42)+N(U43)+N(U44)+N(U45)+N(U46)+N(U47)+N(U48)+N(U49)+N(U50)+N(U51)-N(U67),-5)</f>
        <v>0</v>
      </c>
      <c r="V70" s="258">
        <f>ROUND(N(V36)+N(V37)+N(V38)+N(V39)+N(V40)+N(V41)+N(V42)+N(V43)+N(V44)+N(V45)+N(V46)+N(V47)+N(V48)+N(V49)+N(V50)+N(V51)-N(V67),-5)</f>
        <v>0</v>
      </c>
      <c r="W70" s="258">
        <f>ROUND(N(W36)+N(W37)+N(W38)+N(W39)+N(W40)+N(W41)+N(W42)+N(W43)+N(W44)+N(W45)+N(W46)+N(W47)+N(W48)+N(W49)+N(W50)+N(W51)-N(W67),-5)</f>
        <v>0</v>
      </c>
      <c r="X70" s="258">
        <f>ROUND(N(X36)+N(X37)+N(X38)+N(X39)+N(X40)+N(X41)+N(X42)+N(X43)+N(X44)+N(X45)+N(X46)+N(X47)+N(X48)+N(X49)+N(X50)+N(X51)-N(X67),-5)</f>
        <v>0</v>
      </c>
      <c r="Y70" s="258">
        <f>ROUND(N(Y36)+N(Y37)+N(Y38)+N(Y39)+N(Y40)+N(Y41)+N(Y42)+N(Y43)+N(Y44)+N(Y45)+N(Y46)+N(Y47)+N(Y48)+N(Y49)+N(Y50)+N(Y51)-N(Y67),-5)</f>
        <v>0</v>
      </c>
      <c r="Z70" s="258">
        <f>ROUND(N(Z36)+N(Z37)+N(Z38)+N(Z39)+N(Z40)+N(Z41)+N(Z42)+N(Z43)+N(Z44)+N(Z45)+N(Z46)+N(Z47)+N(Z48)+N(Z49)+N(Z50)+N(Z51)-N(Z67),-5)</f>
        <v>0</v>
      </c>
      <c r="AA70" s="258">
        <f>ROUND(N(AA36)+N(AA37)+N(AA38)+N(AA39)+N(AA40)+N(AA41)+N(AA42)+N(AA43)+N(AA44)+N(AA45)+N(AA46)+N(AA47)+N(AA48)+N(AA49)+N(AA50)+N(AA51)-N(AA67),-5)</f>
        <v>0</v>
      </c>
      <c r="AB70" s="258">
        <f>ROUND(N(AB36)+N(AB37)+N(AB38)+N(AB39)+N(AB40)+N(AB41)+N(AB42)+N(AB43)+N(AB44)+N(AB45)+N(AB46)+N(AB47)+N(AB48)+N(AB49)+N(AB50)+N(AB51)-N(AB67),-5)</f>
        <v>0</v>
      </c>
      <c r="AC70" s="258">
        <f>ROUND(N(AC36)+N(AC37)+N(AC38)+N(AC39)+N(AC40)+N(AC41)+N(AC42)+N(AC43)+N(AC44)+N(AC45)+N(AC46)+N(AC47)+N(AC48)+N(AC49)+N(AC50)+N(AC51)-N(AC67),-5)</f>
        <v>0</v>
      </c>
      <c r="AD70" s="258">
        <f>ROUND(N(AD36)+N(AD37)+N(AD38)+N(AD39)+N(AD40)+N(AD41)+N(AD42)+N(AD43)+N(AD44)+N(AD45)+N(AD46)+N(AD47)+N(AD48)+N(AD49)+N(AD50)+N(AD51)-N(AD67),-5)</f>
        <v>0</v>
      </c>
      <c r="AE70" s="258">
        <f>ROUND(N(AE36)+N(AE37)+N(AE38)+N(AE39)+N(AE40)+N(AE41)+N(AE42)+N(AE43)+N(AE44)+N(AE45)+N(AE46)+N(AE47)+N(AE48)+N(AE49)+N(AE50)+N(AE51)-N(AE67),-5)</f>
        <v>0</v>
      </c>
      <c r="AF70" s="258">
        <f>ROUND(N(AF36)+N(AF37)+N(AF38)+N(AF39)+N(AF40)+N(AF41)+N(AF42)+N(AF43)+N(AF44)+N(AF45)+N(AF46)+N(AF47)+N(AF48)+N(AF49)+N(AF50)+N(AF51)-N(AF67),-5)</f>
        <v>0</v>
      </c>
      <c r="AG70" s="258">
        <f>ROUND(N(AG36)+N(AG37)+N(AG38)+N(AG39)+N(AG40)+N(AG41)+N(AG42)+N(AG43)+N(AG44)+N(AG45)+N(AG46)+N(AG47)+N(AG48)+N(AG49)+N(AG50)+N(AG51)-N(AG67),-5)</f>
        <v>0</v>
      </c>
      <c r="AH70" s="258">
        <f>ROUND(N(AH36)+N(AH37)+N(AH38)+N(AH39)+N(AH40)+N(AH41)+N(AH42)+N(AH43)+N(AH44)+N(AH45)+N(AH46)+N(AH47)+N(AH48)+N(AH49)+N(AH50)+N(AH51)-N(AH67),-5)</f>
        <v>0</v>
      </c>
      <c r="AI70" s="258">
        <f>ROUND(N(AI36)+N(AI37)+N(AI38)+N(AI39)+N(AI40)+N(AI41)+N(AI42)+N(AI43)+N(AI44)+N(AI45)+N(AI46)+N(AI47)+N(AI48)+N(AI49)+N(AI50)+N(AI51)-N(AI67),-5)</f>
        <v>0</v>
      </c>
      <c r="AJ70" s="258">
        <f>ROUND(N(AJ36)+N(AJ37)+N(AJ38)+N(AJ39)+N(AJ40)+N(AJ41)+N(AJ42)+N(AJ43)+N(AJ44)+N(AJ45)+N(AJ46)+N(AJ47)+N(AJ48)+N(AJ49)+N(AJ50)+N(AJ51)-N(AJ67),-5)</f>
        <v>0</v>
      </c>
    </row>
    <row r="71" ht="15" customHeight="1" s="255">
      <c r="H71" s="254" t="inlineStr">
        <is>
          <t>CHECK: receita - custo - despesas + não operacional - IR - minoritários + outros após IR - lucro (deve ser 0)</t>
        </is>
      </c>
      <c r="J71" s="254" t="inlineStr">
        <is>
          <t>derivada</t>
        </is>
      </c>
      <c r="K71" s="254">
        <f>ROUND(N(K6)-N(K7)-N(K9)+N(K11)-N(K12)-N(K13)+N(K15)-N(K16),-5)</f>
        <v>0</v>
      </c>
      <c r="L71" s="254">
        <f>ROUND(N(L6)-N(L7)-N(L9)+N(L11)-N(L12)-N(L13)+N(L15)-N(L16),-5)</f>
        <v>0</v>
      </c>
      <c r="M71" s="254">
        <f>ROUND(N(M6)-N(M7)-N(M9)+N(M11)-N(M12)-N(M13)+N(M15)-N(M16),-5)</f>
        <v>0</v>
      </c>
      <c r="N71" s="254">
        <f>ROUND(N(N6)-N(N7)-N(N9)+N(N11)-N(N12)-N(N13)+N(N15)-N(N16),-5)</f>
        <v>0</v>
      </c>
      <c r="O71" s="254">
        <f>ROUND(N(O6)-N(O7)-N(O9)+N(O11)-N(O12)-N(O13)+N(O15)-N(O16),-5)</f>
        <v>0</v>
      </c>
      <c r="P71" s="254">
        <f>ROUND(N(P6)-N(P7)-N(P9)+N(P11)-N(P12)-N(P13)+N(P15)-N(P16),-5)</f>
        <v>0</v>
      </c>
      <c r="Q71" s="254">
        <f>ROUND(N(Q6)-N(Q7)-N(Q9)+N(Q11)-N(Q12)-N(Q13)+N(Q15)-N(Q16),-5)</f>
        <v>0</v>
      </c>
      <c r="R71" s="254">
        <f>ROUND(N(R6)-N(R7)-N(R9)+N(R11)-N(R12)-N(R13)+N(R15)-N(R16),-5)</f>
        <v>0</v>
      </c>
      <c r="S71" s="254">
        <f>ROUND(N(S6)-N(S7)-N(S9)+N(S11)-N(S12)-N(S13)+N(S15)-N(S16),-5)</f>
        <v>0</v>
      </c>
      <c r="T71" s="254">
        <f>ROUND(N(T6)-N(T7)-N(T9)+N(T11)-N(T12)-N(T13)+N(T15)-N(T16),-5)</f>
        <v>0</v>
      </c>
      <c r="U71" s="254">
        <f>ROUND(N(U6)-N(U7)-N(U9)+N(U11)-N(U12)-N(U13)+N(U15)-N(U16),-5)</f>
        <v>0</v>
      </c>
      <c r="V71" s="254">
        <f>ROUND(N(V6)-N(V7)-N(V9)+N(V11)-N(V12)-N(V13)+N(V15)-N(V16),-5)</f>
        <v>0</v>
      </c>
      <c r="W71" s="254">
        <f>ROUND(N(W6)-N(W7)-N(W9)+N(W11)-N(W12)-N(W13)+N(W15)-N(W16),-5)</f>
        <v>0</v>
      </c>
      <c r="X71" s="254">
        <f>ROUND(N(X6)-N(X7)-N(X9)+N(X11)-N(X12)-N(X13)+N(X15)-N(X16),-5)</f>
        <v>0</v>
      </c>
      <c r="Y71" s="254">
        <f>ROUND(N(Y6)-N(Y7)-N(Y9)+N(Y11)-N(Y12)-N(Y13)+N(Y15)-N(Y16),-5)</f>
        <v>0</v>
      </c>
      <c r="Z71" s="254">
        <f>ROUND(N(Z6)-N(Z7)-N(Z9)+N(Z11)-N(Z12)-N(Z13)+N(Z15)-N(Z16),-5)</f>
        <v>0</v>
      </c>
      <c r="AA71" s="254">
        <f>ROUND(N(AA6)-N(AA7)-N(AA9)+N(AA11)-N(AA12)-N(AA13)+N(AA15)-N(AA16),-5)</f>
        <v>0</v>
      </c>
      <c r="AB71" s="254">
        <f>ROUND(N(AB6)-N(AB7)-N(AB9)+N(AB11)-N(AB12)-N(AB13)+N(AB15)-N(AB16),-5)</f>
        <v>0</v>
      </c>
      <c r="AC71" s="254">
        <f>ROUND(N(AC6)-N(AC7)-N(AC9)+N(AC11)-N(AC12)-N(AC13)+N(AC15)-N(AC16),-5)</f>
        <v>0</v>
      </c>
      <c r="AD71" s="254">
        <f>ROUND(N(AD6)-N(AD7)-N(AD9)+N(AD11)-N(AD12)-N(AD13)+N(AD15)-N(AD16),-5)</f>
        <v>0</v>
      </c>
      <c r="AE71" s="254">
        <f>ROUND(N(AE6)-N(AE7)-N(AE9)+N(AE11)-N(AE12)-N(AE13)+N(AE15)-N(AE16),-5)</f>
        <v>0</v>
      </c>
      <c r="AF71" s="254">
        <f>ROUND(N(AF6)-N(AF7)-N(AF9)+N(AF11)-N(AF12)-N(AF13)+N(AF15)-N(AF16),-5)</f>
        <v>0</v>
      </c>
      <c r="AG71" s="254">
        <f>ROUND(N(AG6)-N(AG7)-N(AG9)+N(AG11)-N(AG12)-N(AG13)+N(AG15)-N(AG16),-5)</f>
        <v>0</v>
      </c>
      <c r="AH71" s="254">
        <f>ROUND(N(AH6)-N(AH7)-N(AH9)+N(AH11)-N(AH12)-N(AH13)+N(AH15)-N(AH16),-5)</f>
        <v>0</v>
      </c>
      <c r="AI71" s="254">
        <f>ROUND(N(AI6)-N(AI7)-N(AI9)+N(AI11)-N(AI12)-N(AI13)+N(AI15)-N(AI16),-5)</f>
        <v>0</v>
      </c>
      <c r="AJ71" s="254">
        <f>ROUND(N(AJ6)-N(AJ7)-N(AJ9)+N(AJ11)-N(AJ12)-N(AJ13)+N(AJ15)-N(AJ16),-5)</f>
        <v>0</v>
      </c>
    </row>
    <row r="73">
      <c r="H73" s="511" t="inlineStr">
        <is>
          <t>DRIVERS DE RECEITA (codigos 45+): segmentos Morenci, Cerro Verde, Grasberg (Indonésia), Rod &amp; Refining e Atlantic Copper - receita total do segmento (terceiros + intersegmento) e lucro operacional - SEC XBRL (USD, fator 0,000001).</t>
        </is>
      </c>
    </row>
    <row r="74">
      <c r="A74" t="n">
        <v>45</v>
      </c>
      <c r="B74" t="n">
        <v>1</v>
      </c>
      <c r="G74" t="inlineStr">
        <is>
          <t>moeda</t>
        </is>
      </c>
      <c r="H74" t="inlineStr">
        <is>
          <t>Morenci - receita (USD)</t>
        </is>
      </c>
      <c r="J74" t="inlineStr">
        <is>
          <t>fonte</t>
        </is>
      </c>
      <c r="K74" s="512" t="n">
        <v>444000000</v>
      </c>
      <c r="L74" s="512" t="n">
        <v>467000000</v>
      </c>
      <c r="M74" s="512" t="n">
        <v>588000000</v>
      </c>
      <c r="N74" s="512" t="n">
        <v>545000000</v>
      </c>
      <c r="O74" s="512" t="n">
        <v>568000000</v>
      </c>
      <c r="P74" s="512" t="n">
        <v>778000000</v>
      </c>
      <c r="Q74" s="512" t="n">
        <v>727000000</v>
      </c>
      <c r="R74" s="512" t="n">
        <v>737000000</v>
      </c>
      <c r="S74" s="512" t="n">
        <v>801000000</v>
      </c>
      <c r="T74" s="512" t="n">
        <v>747000000</v>
      </c>
      <c r="U74" s="512" t="n">
        <v>569000000</v>
      </c>
      <c r="V74" s="512" t="n">
        <v>572000000</v>
      </c>
      <c r="W74" s="512" t="n">
        <v>625000000</v>
      </c>
      <c r="X74" s="512" t="n">
        <v>596000000</v>
      </c>
      <c r="Y74" s="512" t="n">
        <v>641000000</v>
      </c>
      <c r="Z74" s="512" t="n">
        <v>557000000</v>
      </c>
      <c r="AA74" s="512" t="n">
        <v>577000000</v>
      </c>
      <c r="AB74" s="512" t="n">
        <v>600000000</v>
      </c>
      <c r="AC74" s="512" t="n">
        <v>593000000</v>
      </c>
      <c r="AD74" s="512" t="n">
        <v>577000000</v>
      </c>
      <c r="AE74" s="512" t="n">
        <v>577000000</v>
      </c>
      <c r="AF74" s="512" t="n">
        <v>622000000</v>
      </c>
      <c r="AG74" s="512" t="n">
        <v>699000000</v>
      </c>
      <c r="AH74" s="512" t="n">
        <v>750000000</v>
      </c>
      <c r="AI74" s="512" t="n">
        <v>776000000</v>
      </c>
      <c r="AJ74" s="512" t="n">
        <v>756000000</v>
      </c>
    </row>
    <row r="75">
      <c r="A75" t="n">
        <v>46</v>
      </c>
      <c r="B75" t="n">
        <v>1</v>
      </c>
      <c r="G75" t="inlineStr">
        <is>
          <t>moeda</t>
        </is>
      </c>
      <c r="H75" t="inlineStr">
        <is>
          <t>Morenci - lucro do segmento (USD)</t>
        </is>
      </c>
      <c r="J75" t="inlineStr">
        <is>
          <t>fonte</t>
        </is>
      </c>
      <c r="K75" s="512" t="n">
        <v>46000000</v>
      </c>
      <c r="L75" s="512" t="n">
        <v>76000000</v>
      </c>
      <c r="M75" s="512" t="n">
        <v>237000000</v>
      </c>
      <c r="N75" s="512" t="n">
        <v>244000000</v>
      </c>
      <c r="O75" s="512" t="n">
        <v>265000000</v>
      </c>
      <c r="P75" s="512" t="n">
        <v>385000000</v>
      </c>
      <c r="Q75" s="512" t="n">
        <v>363000000</v>
      </c>
      <c r="R75" s="512" t="n">
        <v>404000000</v>
      </c>
      <c r="S75" s="512" t="n">
        <v>394000000</v>
      </c>
      <c r="T75" s="512" t="n">
        <v>318000000</v>
      </c>
      <c r="U75" s="512" t="n">
        <v>115000000</v>
      </c>
      <c r="V75" s="512" t="n">
        <v>138000000</v>
      </c>
      <c r="W75" s="512" t="n">
        <v>198000000</v>
      </c>
      <c r="X75" s="512" t="n">
        <v>127000000</v>
      </c>
      <c r="Y75" s="512" t="n">
        <v>112000000</v>
      </c>
      <c r="Z75" s="512" t="n">
        <v>68000000</v>
      </c>
      <c r="AA75" s="512" t="n">
        <v>66000000</v>
      </c>
      <c r="AB75" s="512" t="n">
        <v>111000000</v>
      </c>
      <c r="AC75" s="512" t="n">
        <v>50000000</v>
      </c>
      <c r="AD75" s="512" t="n">
        <v>88000000</v>
      </c>
      <c r="AE75" s="512" t="n">
        <v>109000000</v>
      </c>
      <c r="AF75" s="512" t="n">
        <v>132000000</v>
      </c>
      <c r="AG75" s="512" t="n">
        <v>134000000</v>
      </c>
      <c r="AH75" s="512" t="n">
        <v>232000000</v>
      </c>
      <c r="AI75" s="512" t="n">
        <v>262000000</v>
      </c>
      <c r="AJ75" s="512" t="n">
        <v>265000000</v>
      </c>
    </row>
    <row r="76">
      <c r="A76" t="n">
        <v>47</v>
      </c>
      <c r="B76" t="n">
        <v>1</v>
      </c>
      <c r="G76" t="inlineStr">
        <is>
          <t>moeda</t>
        </is>
      </c>
      <c r="H76" t="inlineStr">
        <is>
          <t>Cerro Verde - receita (USD)</t>
        </is>
      </c>
      <c r="J76" t="inlineStr">
        <is>
          <t>fonte</t>
        </is>
      </c>
      <c r="K76" s="512" t="n">
        <v>414000000</v>
      </c>
      <c r="L76" s="512" t="n">
        <v>523000000</v>
      </c>
      <c r="M76" s="512" t="n">
        <v>698000000</v>
      </c>
      <c r="N76" s="512" t="n">
        <v>889000000</v>
      </c>
      <c r="O76" s="512" t="n">
        <v>962000000</v>
      </c>
      <c r="P76" s="512" t="n">
        <v>945000000</v>
      </c>
      <c r="Q76" s="512" t="n">
        <v>1074000000</v>
      </c>
      <c r="R76" s="512" t="n">
        <v>1215000000</v>
      </c>
      <c r="S76" s="512" t="n">
        <v>1214000000</v>
      </c>
      <c r="T76" s="512" t="n">
        <v>836000000</v>
      </c>
      <c r="U76" s="512" t="n">
        <v>749000000</v>
      </c>
      <c r="V76" s="512" t="n">
        <v>1151000000</v>
      </c>
      <c r="W76" s="512" t="n">
        <v>1202000000</v>
      </c>
      <c r="X76" s="512" t="n">
        <v>958000000</v>
      </c>
      <c r="Y76" s="512" t="n">
        <v>1041000000</v>
      </c>
      <c r="Z76" s="512" t="n">
        <v>916000000</v>
      </c>
      <c r="AA76" s="512" t="n">
        <v>928000000</v>
      </c>
      <c r="AB76" s="512" t="n">
        <v>1257000000</v>
      </c>
      <c r="AC76" s="512" t="n">
        <v>1079000000</v>
      </c>
      <c r="AD76" s="512" t="n">
        <v>992000000</v>
      </c>
      <c r="AE76" s="512" t="n">
        <v>1091000000</v>
      </c>
      <c r="AF76" s="512" t="n">
        <v>1029000000</v>
      </c>
      <c r="AG76" s="512" t="n">
        <v>1205000000</v>
      </c>
      <c r="AH76" s="512" t="n">
        <v>1381000000</v>
      </c>
      <c r="AI76" s="512" t="n">
        <v>1381000000</v>
      </c>
      <c r="AJ76" s="512" t="n">
        <v>1487000000</v>
      </c>
    </row>
    <row r="77">
      <c r="A77" t="n">
        <v>48</v>
      </c>
      <c r="B77" t="n">
        <v>1</v>
      </c>
      <c r="G77" t="inlineStr">
        <is>
          <t>moeda</t>
        </is>
      </c>
      <c r="H77" t="inlineStr">
        <is>
          <t>Cerro Verde - lucro do segmento (USD)</t>
        </is>
      </c>
      <c r="J77" t="inlineStr">
        <is>
          <t>fonte</t>
        </is>
      </c>
      <c r="K77" s="512" t="n">
        <v>-105000000</v>
      </c>
      <c r="L77" s="512" t="n">
        <v>100000000</v>
      </c>
      <c r="M77" s="512" t="n">
        <v>210000000</v>
      </c>
      <c r="N77" s="512" t="n">
        <v>347000000</v>
      </c>
      <c r="O77" s="512" t="n">
        <v>435000000</v>
      </c>
      <c r="P77" s="512" t="n">
        <v>367000000</v>
      </c>
      <c r="Q77" s="512" t="n">
        <v>438000000</v>
      </c>
      <c r="R77" s="512" t="n">
        <v>582000000</v>
      </c>
      <c r="S77" s="512" t="n">
        <v>567000000</v>
      </c>
      <c r="T77" s="512" t="n">
        <v>169000000</v>
      </c>
      <c r="U77" s="512" t="n">
        <v>82000000</v>
      </c>
      <c r="V77" s="512" t="n">
        <v>398000000</v>
      </c>
      <c r="W77" s="512" t="n">
        <v>488000000</v>
      </c>
      <c r="X77" s="512" t="n">
        <v>227000000</v>
      </c>
      <c r="Y77" s="512" t="n">
        <v>293000000</v>
      </c>
      <c r="Z77" s="512" t="n">
        <v>170000000</v>
      </c>
      <c r="AA77" s="512" t="n">
        <v>228000000</v>
      </c>
      <c r="AB77" s="512" t="n">
        <v>476000000</v>
      </c>
      <c r="AC77" s="512" t="n">
        <v>352000000</v>
      </c>
      <c r="AD77" s="512" t="n">
        <v>271000000</v>
      </c>
      <c r="AE77" s="512" t="n">
        <v>409000000</v>
      </c>
      <c r="AF77" s="512" t="n">
        <v>340000000</v>
      </c>
      <c r="AG77" s="512" t="n">
        <v>467000000</v>
      </c>
      <c r="AH77" s="512" t="n">
        <v>602000000</v>
      </c>
      <c r="AI77" s="512" t="n">
        <v>638000000</v>
      </c>
      <c r="AJ77" s="512" t="n">
        <v>736000000</v>
      </c>
    </row>
    <row r="78">
      <c r="A78" t="n">
        <v>49</v>
      </c>
      <c r="B78" t="n">
        <v>1</v>
      </c>
      <c r="G78" t="inlineStr">
        <is>
          <t>moeda</t>
        </is>
      </c>
      <c r="H78" t="inlineStr">
        <is>
          <t>Grasberg (Indonésia) - receita (USD)</t>
        </is>
      </c>
      <c r="J78" t="inlineStr">
        <is>
          <t>fonte</t>
        </is>
      </c>
      <c r="K78" s="512" t="n">
        <v>445000000</v>
      </c>
      <c r="L78" s="512" t="n">
        <v>718000000</v>
      </c>
      <c r="M78" s="512" t="n">
        <v>1026000000</v>
      </c>
      <c r="N78" s="512" t="n">
        <v>1425000000</v>
      </c>
      <c r="O78" s="512" t="n">
        <v>1435000000</v>
      </c>
      <c r="P78" s="512" t="n">
        <v>1809000000</v>
      </c>
      <c r="Q78" s="512" t="n">
        <v>2042000000</v>
      </c>
      <c r="R78" s="512" t="n">
        <v>2237000000</v>
      </c>
      <c r="S78" s="512" t="n">
        <v>2404000000</v>
      </c>
      <c r="T78" s="512" t="n">
        <v>1978000000</v>
      </c>
      <c r="U78" s="512" t="n">
        <v>1798000000</v>
      </c>
      <c r="V78" s="512" t="n">
        <v>2246000000</v>
      </c>
      <c r="W78" s="512" t="n">
        <v>1368000000</v>
      </c>
      <c r="X78" s="512" t="n">
        <v>2237000000</v>
      </c>
      <c r="Y78" s="512" t="n">
        <v>2095000000</v>
      </c>
      <c r="Z78" s="512" t="n">
        <v>2737000000</v>
      </c>
      <c r="AA78" s="512" t="n">
        <v>2825000000</v>
      </c>
      <c r="AB78" s="512" t="n">
        <v>2268000000</v>
      </c>
      <c r="AC78" s="512" t="n">
        <v>2982000000</v>
      </c>
      <c r="AD78" s="512" t="n">
        <v>2243000000</v>
      </c>
      <c r="AE78" s="512" t="n">
        <v>1570000000</v>
      </c>
      <c r="AF78" s="512" t="n">
        <v>3417000000</v>
      </c>
      <c r="AG78" s="512" t="n">
        <v>2675000000</v>
      </c>
      <c r="AH78" s="512" t="n">
        <v>960000000</v>
      </c>
      <c r="AI78" s="512" t="n">
        <v>1072000000</v>
      </c>
      <c r="AJ78" s="512" t="n">
        <v>1483000000</v>
      </c>
    </row>
    <row r="79">
      <c r="A79" t="n">
        <v>50</v>
      </c>
      <c r="B79" t="n">
        <v>1</v>
      </c>
      <c r="G79" t="inlineStr">
        <is>
          <t>moeda</t>
        </is>
      </c>
      <c r="H79" t="inlineStr">
        <is>
          <t>Grasberg (Indonésia) - lucro do segmento (USD)</t>
        </is>
      </c>
      <c r="J79" t="inlineStr">
        <is>
          <t>fonte</t>
        </is>
      </c>
      <c r="K79" s="512" t="n">
        <v>-27000000</v>
      </c>
      <c r="L79" s="512" t="n">
        <v>188000000</v>
      </c>
      <c r="M79" s="512" t="n">
        <v>442000000</v>
      </c>
      <c r="N79" s="512" t="n">
        <v>717000000</v>
      </c>
      <c r="O79" s="512" t="n">
        <v>755000000</v>
      </c>
      <c r="P79" s="512" t="n">
        <v>1007000000</v>
      </c>
      <c r="Q79" s="512" t="n">
        <v>1165000000</v>
      </c>
      <c r="R79" s="512" t="n">
        <v>1011000000</v>
      </c>
      <c r="S79" s="512" t="n">
        <v>1503000000</v>
      </c>
      <c r="T79" s="512" t="n">
        <v>1122000000</v>
      </c>
      <c r="U79" s="512" t="n">
        <v>844000000</v>
      </c>
      <c r="V79" s="512" t="n">
        <v>1131000000</v>
      </c>
      <c r="W79" s="512" t="n">
        <v>854000000</v>
      </c>
      <c r="X79" s="512" t="n">
        <v>1071000000</v>
      </c>
      <c r="Y79" s="512" t="n">
        <v>1120000000</v>
      </c>
      <c r="Z79" s="512" t="n">
        <v>1672000000</v>
      </c>
      <c r="AA79" s="512" t="n">
        <v>1596000000</v>
      </c>
      <c r="AB79" s="512" t="n">
        <v>1314000000</v>
      </c>
      <c r="AC79" s="512" t="n">
        <v>1690000000</v>
      </c>
      <c r="AD79" s="512" t="n">
        <v>1022000000</v>
      </c>
      <c r="AE79" s="512" t="n">
        <v>777000000</v>
      </c>
      <c r="AF79" s="512" t="n">
        <v>1868000000</v>
      </c>
      <c r="AG79" s="512" t="n">
        <v>1282000000</v>
      </c>
      <c r="AH79" s="512" t="n">
        <v>-87000000</v>
      </c>
      <c r="AI79" s="512" t="n">
        <v>842000000</v>
      </c>
      <c r="AJ79" s="512" t="n">
        <v>499000000</v>
      </c>
    </row>
    <row r="80">
      <c r="A80" t="n">
        <v>51</v>
      </c>
      <c r="B80" t="n">
        <v>1</v>
      </c>
      <c r="G80" t="inlineStr">
        <is>
          <t>moeda</t>
        </is>
      </c>
      <c r="H80" t="inlineStr">
        <is>
          <t>Rod &amp; Refining - receita (USD)</t>
        </is>
      </c>
      <c r="J80" t="inlineStr">
        <is>
          <t>fonte</t>
        </is>
      </c>
      <c r="K80" s="512" t="n">
        <v>1123000000</v>
      </c>
      <c r="L80" s="512" t="n">
        <v>1114000000</v>
      </c>
      <c r="M80" s="512" t="n">
        <v>1278000000</v>
      </c>
      <c r="N80" s="512" t="n">
        <v>1299000000</v>
      </c>
      <c r="O80" s="512" t="n">
        <v>1316000000</v>
      </c>
      <c r="P80" s="512" t="n">
        <v>1695000000</v>
      </c>
      <c r="Q80" s="512" t="n">
        <v>1704000000</v>
      </c>
      <c r="R80" s="512" t="n">
        <v>1670000000</v>
      </c>
      <c r="S80" s="512" t="n">
        <v>1752000000</v>
      </c>
      <c r="T80" s="512" t="n">
        <v>1761000000</v>
      </c>
      <c r="U80" s="512" t="n">
        <v>1443000000</v>
      </c>
      <c r="V80" s="512" t="n">
        <v>1356000000</v>
      </c>
      <c r="W80" s="512" t="n">
        <v>1529000000</v>
      </c>
      <c r="X80" s="512" t="n">
        <v>1473000000</v>
      </c>
      <c r="Y80" s="512" t="n">
        <v>1578000000</v>
      </c>
      <c r="Z80" s="512" t="n">
        <v>1346000000</v>
      </c>
      <c r="AA80" s="512" t="n">
        <v>1499000000</v>
      </c>
      <c r="AB80" s="512" t="n">
        <v>1704000000</v>
      </c>
      <c r="AC80" s="512" t="n">
        <v>1571000000</v>
      </c>
      <c r="AD80" s="512" t="n">
        <v>1465000000</v>
      </c>
      <c r="AE80" s="512" t="n">
        <v>1632000000</v>
      </c>
      <c r="AF80" s="512" t="n">
        <v>1701000000</v>
      </c>
      <c r="AG80" s="512" t="n">
        <v>1786000000</v>
      </c>
      <c r="AH80" s="512" t="n">
        <v>1800000000</v>
      </c>
      <c r="AI80" s="512" t="n">
        <v>2062000000</v>
      </c>
      <c r="AJ80" s="512" t="n">
        <v>2239000000</v>
      </c>
    </row>
    <row r="81">
      <c r="A81" t="n">
        <v>52</v>
      </c>
      <c r="B81" t="n">
        <v>1</v>
      </c>
      <c r="G81" t="inlineStr">
        <is>
          <t>moeda</t>
        </is>
      </c>
      <c r="H81" t="inlineStr">
        <is>
          <t>Rod &amp; Refining - lucro do segmento (USD)</t>
        </is>
      </c>
      <c r="J81" t="inlineStr">
        <is>
          <t>fonte</t>
        </is>
      </c>
      <c r="K81" s="512" t="n">
        <v>1000000</v>
      </c>
      <c r="L81" s="512" t="n">
        <v>-31000000</v>
      </c>
      <c r="M81" s="512" t="n">
        <v>-2000000</v>
      </c>
      <c r="N81" s="512" t="n">
        <v>7000000</v>
      </c>
      <c r="O81" s="512" t="n">
        <v>-1000000</v>
      </c>
      <c r="P81" s="512" t="n">
        <v>3000000</v>
      </c>
      <c r="Q81" s="512" t="n">
        <v>2000000</v>
      </c>
      <c r="R81" s="512" t="n">
        <v>-5000000</v>
      </c>
      <c r="S81" s="512" t="n">
        <v>-3000000</v>
      </c>
      <c r="T81" s="512" t="n">
        <v>-5000000</v>
      </c>
      <c r="U81" s="512" t="n">
        <v>-8000000</v>
      </c>
      <c r="V81" s="512" t="n">
        <v>-7000000</v>
      </c>
      <c r="W81" s="512" t="n">
        <v>1000000</v>
      </c>
      <c r="X81" s="512" t="n">
        <v>7000000</v>
      </c>
      <c r="Y81" s="512" t="n">
        <v>10000000</v>
      </c>
      <c r="Z81" s="512" t="n">
        <v>2000000</v>
      </c>
      <c r="AA81" s="512" t="n">
        <v>11000000</v>
      </c>
      <c r="AB81" s="512" t="n">
        <v>11000000</v>
      </c>
      <c r="AC81" s="512" t="n">
        <v>7000000</v>
      </c>
      <c r="AD81" s="512" t="n">
        <v>0</v>
      </c>
      <c r="AE81" s="512" t="n">
        <v>9000000</v>
      </c>
      <c r="AF81" s="512" t="n">
        <v>7000000</v>
      </c>
      <c r="AG81" s="512" t="n">
        <v>11000000</v>
      </c>
      <c r="AH81" s="512" t="n">
        <v>4000000</v>
      </c>
      <c r="AI81" s="512" t="n">
        <v>15000000</v>
      </c>
      <c r="AJ81" s="512" t="n">
        <v>22000000</v>
      </c>
    </row>
    <row r="82">
      <c r="A82" t="n">
        <v>53</v>
      </c>
      <c r="B82" t="n">
        <v>1</v>
      </c>
      <c r="G82" t="inlineStr">
        <is>
          <t>moeda</t>
        </is>
      </c>
      <c r="H82" t="inlineStr">
        <is>
          <t>Atlantic Copper - receita (USD)</t>
        </is>
      </c>
      <c r="J82" t="inlineStr">
        <is>
          <t>fonte</t>
        </is>
      </c>
      <c r="K82" s="512" t="n">
        <v>440000000</v>
      </c>
      <c r="L82" s="512" t="n">
        <v>466000000</v>
      </c>
      <c r="M82" s="512" t="n">
        <v>539000000</v>
      </c>
      <c r="N82" s="512" t="n">
        <v>592000000</v>
      </c>
      <c r="O82" s="512" t="n">
        <v>687000000</v>
      </c>
      <c r="P82" s="512" t="n">
        <v>794000000</v>
      </c>
      <c r="Q82" s="512" t="n">
        <v>783000000</v>
      </c>
      <c r="R82" s="512" t="n">
        <v>697000000</v>
      </c>
      <c r="S82" s="512" t="n">
        <v>718000000</v>
      </c>
      <c r="T82" s="512" t="n">
        <v>433000000</v>
      </c>
      <c r="U82" s="512" t="n">
        <v>609000000</v>
      </c>
      <c r="V82" s="512" t="n">
        <v>683000000</v>
      </c>
      <c r="W82" s="512" t="n">
        <v>756000000</v>
      </c>
      <c r="X82" s="512" t="n">
        <v>748000000</v>
      </c>
      <c r="Y82" s="512" t="n">
        <v>700000000</v>
      </c>
      <c r="Z82" s="512" t="n">
        <v>606000000</v>
      </c>
      <c r="AA82" s="512" t="n">
        <v>673000000</v>
      </c>
      <c r="AB82" s="512" t="n">
        <v>900000000</v>
      </c>
      <c r="AC82" s="512" t="n">
        <v>765000000</v>
      </c>
      <c r="AD82" s="512" t="n">
        <v>679000000</v>
      </c>
      <c r="AE82" s="512" t="n">
        <v>755000000</v>
      </c>
      <c r="AF82" s="512" t="n">
        <v>818000000</v>
      </c>
      <c r="AG82" s="512" t="n">
        <v>774000000</v>
      </c>
      <c r="AH82" s="512" t="n">
        <v>834000000</v>
      </c>
      <c r="AI82" s="512" t="n">
        <v>969000000</v>
      </c>
      <c r="AJ82" s="512" t="n">
        <v>1030000000</v>
      </c>
    </row>
    <row r="83">
      <c r="A83" t="n">
        <v>54</v>
      </c>
      <c r="B83" t="n">
        <v>1</v>
      </c>
      <c r="G83" t="inlineStr">
        <is>
          <t>moeda</t>
        </is>
      </c>
      <c r="H83" t="inlineStr">
        <is>
          <t>Atlantic Copper - lucro do segmento (USD)</t>
        </is>
      </c>
      <c r="J83" t="inlineStr">
        <is>
          <t>fonte</t>
        </is>
      </c>
      <c r="K83" s="512" t="n">
        <v>17000000</v>
      </c>
      <c r="L83" s="512" t="n">
        <v>8000000</v>
      </c>
      <c r="M83" s="512" t="n">
        <v>4000000</v>
      </c>
      <c r="N83" s="512" t="n">
        <v>-4000000</v>
      </c>
      <c r="O83" s="512" t="n">
        <v>0</v>
      </c>
      <c r="P83" s="512" t="n">
        <v>6000000</v>
      </c>
      <c r="Q83" s="512" t="n">
        <v>6000000</v>
      </c>
      <c r="R83" s="512" t="n">
        <v>9000000</v>
      </c>
      <c r="S83" s="512" t="n">
        <v>-18000000</v>
      </c>
      <c r="T83" s="512" t="n">
        <v>-41000000</v>
      </c>
      <c r="U83" s="512" t="n">
        <v>-9000000</v>
      </c>
      <c r="V83" s="512" t="n">
        <v>7000000</v>
      </c>
      <c r="W83" s="512" t="n">
        <v>7000000</v>
      </c>
      <c r="X83" s="512" t="n">
        <v>9000000</v>
      </c>
      <c r="Y83" s="512" t="n">
        <v>7000000</v>
      </c>
      <c r="Z83" s="512" t="n">
        <v>13000000</v>
      </c>
      <c r="AA83" s="512" t="n">
        <v>7000000</v>
      </c>
      <c r="AB83" s="512" t="n">
        <v>28000000</v>
      </c>
      <c r="AC83" s="512" t="n">
        <v>-1000000</v>
      </c>
      <c r="AD83" s="512" t="n">
        <v>15000000</v>
      </c>
      <c r="AE83" s="512" t="n">
        <v>5000000</v>
      </c>
      <c r="AF83" s="512" t="n">
        <v>13000000</v>
      </c>
      <c r="AG83" s="512" t="n">
        <v>7000000</v>
      </c>
      <c r="AH83" s="512" t="n">
        <v>-14000000</v>
      </c>
      <c r="AI83" s="512" t="n">
        <v>22000000</v>
      </c>
      <c r="AJ83" s="512" t="n">
        <v>26000000</v>
      </c>
    </row>
    <row r="84">
      <c r="H84" t="inlineStr">
        <is>
          <t>Notas: valores dimensionais das instâncias XBRL. Até 3T25 a Freeport etiquetava a receita de cada mina separando vendas a terceiros (membro do segmento) e vendas intersegmento (membro de eliminação); a receita do segmento aqui é a soma das duas. A partir de 4T25 usa o total do segmento. As minas norte-americanas vendem quase tudo à Rod &amp; Refining, por isso a soma dos segmentos supera a receita consolidada (diferença = eliminações e demais minas/molibdênio).</t>
        </is>
      </c>
    </row>
    <row r="123">
      <c r="H123" s="511" t="inlineStr">
        <is>
          <t>CONVENCOES</t>
        </is>
      </c>
    </row>
    <row r="124">
      <c r="H124" t="inlineStr">
        <is>
          <t>Linhas de origem: 5 a 84. As formulas da Inputs (2) varrem as linhas 5 a 120; as linhas 85 a 120 estao livres para novas contas.</t>
        </is>
      </c>
    </row>
    <row r="125">
      <c r="H125" t="inlineStr">
        <is>
          <t>Periodos: colunas K a AJ = trimestres-calendário 1Q20 a 2Q26 (linha 2: trimestre fiscal correspondente).</t>
        </is>
      </c>
    </row>
    <row r="126">
      <c r="H126" t="inlineStr">
        <is>
          <t>Brutos em USD unidades: fator da célula B1 = 0,000001 converte para USD milhões nas linhas UNID = moeda.</t>
        </is>
      </c>
    </row>
    <row r="127">
      <c r="H127" t="inlineStr">
        <is>
          <t>ORIGEM: fonte = copiado da SEC; memoria = como divulgado, sem codigo; derivada = formula nesta aba ou desacumulado na extração.</t>
        </is>
      </c>
    </row>
    <row r="128">
      <c r="H128" t="inlineStr">
        <is>
          <t>Balanço: contas de face sem mapeamento específico vão para "outros" do seu bloco (ativo circulante 16, não circulante 22, passivo circulante 26, não circulante 34, PL 40).</t>
        </is>
      </c>
    </row>
    <row r="129">
      <c r="H129" t="inlineStr">
        <is>
          <t>Codigos 45 a 54: drivers de receita (memoria); alimentam o bloco logo abaixo da receita liquida no Model.</t>
        </is>
      </c>
    </row>
    <row r="143" ht="15" customHeight="1" s="255">
      <c r="H143" s="256" t="n"/>
    </row>
    <row r="144" ht="15" customHeight="1" s="255">
      <c r="H144" s="254" t="n"/>
    </row>
    <row r="145" ht="15" customHeight="1" s="255">
      <c r="H145" s="254" t="n"/>
    </row>
    <row r="146" ht="15" customHeight="1" s="255">
      <c r="H146" s="254" t="n"/>
    </row>
    <row r="147" ht="15" customHeight="1" s="255">
      <c r="H147" s="254" t="n"/>
    </row>
    <row r="148" ht="15" customHeight="1" s="255">
      <c r="H148" s="254" t="n"/>
    </row>
    <row r="149"/>
    <row r="150"/>
    <row r="151"/>
    <row r="152"/>
    <row r="153"/>
    <row r="154"/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N62"/>
  <sheetViews>
    <sheetView showFormulas="0" showGridLines="0" showRowColHeaders="1" showZeros="1" rightToLeft="0" tabSelected="0" showOutlineSymbols="1" defaultGridColor="1" view="normal" topLeftCell="A1" colorId="64" zoomScale="85" zoomScaleNormal="85" zoomScalePageLayoutView="100" workbookViewId="0">
      <pane xSplit="3" ySplit="2" topLeftCell="E3" activePane="bottomRight" state="frozen"/>
      <selection pane="topLeft" activeCell="A1" activeCellId="0" sqref="A1"/>
      <selection pane="topRight" activeCell="E1" activeCellId="0" sqref="E1"/>
      <selection pane="bottomLeft" activeCell="A3" activeCellId="0" sqref="A3"/>
      <selection pane="bottomRight" activeCell="G24" activeCellId="0" sqref="G24"/>
    </sheetView>
  </sheetViews>
  <sheetFormatPr baseColWidth="8" defaultColWidth="9.140625" defaultRowHeight="12.75" zeroHeight="0" outlineLevelRow="0"/>
  <cols>
    <col width="2.28" customWidth="1" style="259" min="1" max="1"/>
    <col width="4.42" customWidth="1" style="259" min="2" max="2"/>
    <col width="53.14" customWidth="1" style="260" min="3" max="3"/>
    <col width="8.140000000000001" customWidth="1" style="259" min="4" max="4"/>
    <col width="9.279999999999999" customWidth="1" style="259" min="5" max="7"/>
    <col width="10" customWidth="1" style="259" min="8" max="8"/>
    <col width="8.140000000000001" customWidth="1" style="259" min="9" max="9"/>
    <col width="9.279999999999999" customWidth="1" style="259" min="10" max="12"/>
    <col width="10" customWidth="1" style="259" min="13" max="13"/>
    <col width="8.140000000000001" customWidth="1" style="259" min="14" max="14"/>
    <col width="9.279999999999999" customWidth="1" style="259" min="15" max="16"/>
    <col width="10" customWidth="1" style="259" min="17" max="18"/>
    <col width="8.140000000000001" customWidth="1" style="259" min="19" max="19"/>
    <col width="9.279999999999999" customWidth="1" style="259" min="20" max="20"/>
    <col width="10" customWidth="1" style="259" min="21" max="23"/>
    <col width="8.140000000000001" customWidth="1" style="259" min="24" max="24"/>
    <col width="10" customWidth="1" style="259" min="25" max="27"/>
    <col width="10.42" customWidth="1" style="259" min="28" max="28"/>
    <col width="9.279999999999999" customWidth="1" style="259" min="29" max="29"/>
    <col width="11.71" customWidth="1" style="259" min="30" max="31"/>
    <col width="12.71" customWidth="1" style="259" min="32" max="32"/>
    <col width="10.28" customWidth="1" style="259" min="33" max="33"/>
    <col width="9.279999999999999" customWidth="1" style="260" min="34" max="54"/>
    <col width="9.710000000000001" customWidth="1" style="260" min="55" max="55"/>
    <col width="9.140000000000001" customWidth="1" style="260" min="56" max="16384"/>
  </cols>
  <sheetData>
    <row r="1" ht="12.75" customFormat="1" customHeight="1" s="259">
      <c r="A1" s="259">
        <f>COUNTIF($B$3:$B$1048576,$B$1)</f>
        <v>1</v>
      </c>
      <c r="B1" s="259">
        <f>MAX($B$3:$B$1048576)</f>
        <v>54</v>
      </c>
    </row>
    <row r="2" ht="12.75" customFormat="1" customHeight="1" s="260">
      <c r="D2" s="261" t="inlineStr">
        <is>
          <t>1Q21</t>
        </is>
      </c>
      <c r="E2" s="261" t="inlineStr">
        <is>
          <t>2Q21</t>
        </is>
      </c>
      <c r="F2" s="261" t="inlineStr">
        <is>
          <t>3Q21</t>
        </is>
      </c>
      <c r="G2" s="261" t="inlineStr">
        <is>
          <t>4Q21</t>
        </is>
      </c>
      <c r="H2" s="262" t="n">
        <v>2021</v>
      </c>
      <c r="I2" s="261" t="inlineStr">
        <is>
          <t>1Q22</t>
        </is>
      </c>
      <c r="J2" s="261" t="inlineStr">
        <is>
          <t>2Q22</t>
        </is>
      </c>
      <c r="K2" s="261" t="inlineStr">
        <is>
          <t>3Q22</t>
        </is>
      </c>
      <c r="L2" s="261" t="inlineStr">
        <is>
          <t>4Q22</t>
        </is>
      </c>
      <c r="M2" s="262" t="n">
        <v>2022</v>
      </c>
      <c r="N2" s="261" t="inlineStr">
        <is>
          <t>1Q23</t>
        </is>
      </c>
      <c r="O2" s="261" t="inlineStr">
        <is>
          <t>2Q23</t>
        </is>
      </c>
      <c r="P2" s="261" t="inlineStr">
        <is>
          <t>3Q23</t>
        </is>
      </c>
      <c r="Q2" s="261" t="inlineStr">
        <is>
          <t>4Q23</t>
        </is>
      </c>
      <c r="R2" s="262" t="n">
        <v>2023</v>
      </c>
      <c r="S2" s="261" t="inlineStr">
        <is>
          <t>1Q24</t>
        </is>
      </c>
      <c r="T2" s="261" t="inlineStr">
        <is>
          <t>2Q24</t>
        </is>
      </c>
      <c r="U2" s="261" t="inlineStr">
        <is>
          <t>3Q24</t>
        </is>
      </c>
      <c r="V2" s="261" t="inlineStr">
        <is>
          <t>4Q24</t>
        </is>
      </c>
      <c r="W2" s="262" t="n">
        <v>2024</v>
      </c>
      <c r="X2" s="261" t="inlineStr">
        <is>
          <t>1Q25</t>
        </is>
      </c>
      <c r="Y2" s="261" t="inlineStr">
        <is>
          <t>2Q25</t>
        </is>
      </c>
      <c r="Z2" s="261" t="inlineStr">
        <is>
          <t>3Q25</t>
        </is>
      </c>
      <c r="AA2" s="261" t="inlineStr">
        <is>
          <t>4Q25</t>
        </is>
      </c>
      <c r="AB2" s="262" t="n">
        <v>2025</v>
      </c>
      <c r="AC2" s="261" t="inlineStr">
        <is>
          <t>1Q26</t>
        </is>
      </c>
      <c r="AD2" s="261" t="inlineStr">
        <is>
          <t>2Q26</t>
        </is>
      </c>
      <c r="AE2" s="263" t="inlineStr">
        <is>
          <t>3Q26</t>
        </is>
      </c>
      <c r="AF2" s="263" t="inlineStr">
        <is>
          <t>4Q26</t>
        </is>
      </c>
      <c r="AG2" s="264" t="n">
        <v>2026</v>
      </c>
      <c r="AH2" s="261" t="inlineStr">
        <is>
          <t>1Q20</t>
        </is>
      </c>
      <c r="AI2" s="261" t="inlineStr">
        <is>
          <t>2Q20</t>
        </is>
      </c>
      <c r="AJ2" s="261" t="inlineStr">
        <is>
          <t>3Q20</t>
        </is>
      </c>
      <c r="AK2" s="261" t="inlineStr">
        <is>
          <t>4Q20</t>
        </is>
      </c>
      <c r="AL2" s="262" t="n">
        <v>2020</v>
      </c>
      <c r="AN2" s="260" t="inlineStr">
        <is>
          <t>Sem dado na fonte: 3Q26, 4Q26 e 2026 (rotulo em cinza). 2020 fica nas colunas AH-AL.</t>
        </is>
      </c>
    </row>
    <row r="3"/>
    <row r="4" ht="12.75" customHeight="1" s="255">
      <c r="B4" s="265" t="n">
        <v>1</v>
      </c>
      <c r="C4" s="266" t="inlineStr">
        <is>
          <t>Net Revenues</t>
        </is>
      </c>
      <c r="D4" s="267">
        <f>IF(ISNA(MATCH(D$2,Inputs!$K$4:$AJ$4,0)),NA(),IF(SUMPRODUCT((Inputs!$A$5:$A$120=$B4)*ISNUMBER(INDEX(Inputs!$K$5:$AJ$120,0,MATCH(D$2,Inputs!$K$4:$AJ$4,0))))+SUMPRODUCT((Inputs!$C$5:$C$120=$B4)*ISNUMBER(INDEX(Inputs!$K$5:$AJ$120,0,MATCH(D$2,Inputs!$K$4:$AJ$4,0))))+SUMPRODUCT((Inputs!$E$5:$E$120=$B4)*ISNUMBER(INDEX(Inputs!$K$5:$AJ$120,0,MATCH(D$2,Inputs!$K$4:$AJ$4,0))))=0,NA(),SUMPRODUCT((Inputs!$A$5:$A$120=$B4)*Inputs!$B$5:$B$120*(((Inputs!$G$5:$G$120="moeda")+(Inputs!$G$5:$G$120="acoes"))*Inputs!$B$1+((Inputs!$G$5:$G$120&lt;&gt;"moeda")*(Inputs!$G$5:$G$120&lt;&gt;"acoes")))*INDEX(Inputs!$K$5:$AJ$120,0,MATCH(D$2,Inputs!$K$4:$AJ$4,0)))+SUMPRODUCT((Inputs!$C$5:$C$120=$B4)*Inputs!$D$5:$D$120*(((Inputs!$G$5:$G$120="moeda")+(Inputs!$G$5:$G$120="acoes"))*Inputs!$B$1+((Inputs!$G$5:$G$120&lt;&gt;"moeda")*(Inputs!$G$5:$G$120&lt;&gt;"acoes")))*INDEX(Inputs!$K$5:$AJ$120,0,MATCH(D$2,Inputs!$K$4:$AJ$4,0)))+SUMPRODUCT((Inputs!$E$5:$E$120=$B4)*Inputs!$F$5:$F$120*(((Inputs!$G$5:$G$120="moeda")+(Inputs!$G$5:$G$120="acoes"))*Inputs!$B$1+((Inputs!$G$5:$G$120&lt;&gt;"moeda")*(Inputs!$G$5:$G$120&lt;&gt;"acoes")))*INDEX(Inputs!$K$5:$AJ$120,0,MATCH(D$2,Inputs!$K$4:$AJ$4,0)))))</f>
        <v>4850</v>
      </c>
      <c r="E4" s="267">
        <f>IF(ISNA(MATCH(E$2,Inputs!$K$4:$AJ$4,0)),NA(),IF(SUMPRODUCT((Inputs!$A$5:$A$120=$B4)*ISNUMBER(INDEX(Inputs!$K$5:$AJ$120,0,MATCH(E$2,Inputs!$K$4:$AJ$4,0))))+SUMPRODUCT((Inputs!$C$5:$C$120=$B4)*ISNUMBER(INDEX(Inputs!$K$5:$AJ$120,0,MATCH(E$2,Inputs!$K$4:$AJ$4,0))))+SUMPRODUCT((Inputs!$E$5:$E$120=$B4)*ISNUMBER(INDEX(Inputs!$K$5:$AJ$120,0,MATCH(E$2,Inputs!$K$4:$AJ$4,0))))=0,NA(),SUMPRODUCT((Inputs!$A$5:$A$120=$B4)*Inputs!$B$5:$B$120*(((Inputs!$G$5:$G$120="moeda")+(Inputs!$G$5:$G$120="acoes"))*Inputs!$B$1+((Inputs!$G$5:$G$120&lt;&gt;"moeda")*(Inputs!$G$5:$G$120&lt;&gt;"acoes")))*INDEX(Inputs!$K$5:$AJ$120,0,MATCH(E$2,Inputs!$K$4:$AJ$4,0)))+SUMPRODUCT((Inputs!$C$5:$C$120=$B4)*Inputs!$D$5:$D$120*(((Inputs!$G$5:$G$120="moeda")+(Inputs!$G$5:$G$120="acoes"))*Inputs!$B$1+((Inputs!$G$5:$G$120&lt;&gt;"moeda")*(Inputs!$G$5:$G$120&lt;&gt;"acoes")))*INDEX(Inputs!$K$5:$AJ$120,0,MATCH(E$2,Inputs!$K$4:$AJ$4,0)))+SUMPRODUCT((Inputs!$E$5:$E$120=$B4)*Inputs!$F$5:$F$120*(((Inputs!$G$5:$G$120="moeda")+(Inputs!$G$5:$G$120="acoes"))*Inputs!$B$1+((Inputs!$G$5:$G$120&lt;&gt;"moeda")*(Inputs!$G$5:$G$120&lt;&gt;"acoes")))*INDEX(Inputs!$K$5:$AJ$120,0,MATCH(E$2,Inputs!$K$4:$AJ$4,0)))))</f>
        <v>5748</v>
      </c>
      <c r="F4" s="267">
        <f>IF(ISNA(MATCH(F$2,Inputs!$K$4:$AJ$4,0)),NA(),IF(SUMPRODUCT((Inputs!$A$5:$A$120=$B4)*ISNUMBER(INDEX(Inputs!$K$5:$AJ$120,0,MATCH(F$2,Inputs!$K$4:$AJ$4,0))))+SUMPRODUCT((Inputs!$C$5:$C$120=$B4)*ISNUMBER(INDEX(Inputs!$K$5:$AJ$120,0,MATCH(F$2,Inputs!$K$4:$AJ$4,0))))+SUMPRODUCT((Inputs!$E$5:$E$120=$B4)*ISNUMBER(INDEX(Inputs!$K$5:$AJ$120,0,MATCH(F$2,Inputs!$K$4:$AJ$4,0))))=0,NA(),SUMPRODUCT((Inputs!$A$5:$A$120=$B4)*Inputs!$B$5:$B$120*(((Inputs!$G$5:$G$120="moeda")+(Inputs!$G$5:$G$120="acoes"))*Inputs!$B$1+((Inputs!$G$5:$G$120&lt;&gt;"moeda")*(Inputs!$G$5:$G$120&lt;&gt;"acoes")))*INDEX(Inputs!$K$5:$AJ$120,0,MATCH(F$2,Inputs!$K$4:$AJ$4,0)))+SUMPRODUCT((Inputs!$C$5:$C$120=$B4)*Inputs!$D$5:$D$120*(((Inputs!$G$5:$G$120="moeda")+(Inputs!$G$5:$G$120="acoes"))*Inputs!$B$1+((Inputs!$G$5:$G$120&lt;&gt;"moeda")*(Inputs!$G$5:$G$120&lt;&gt;"acoes")))*INDEX(Inputs!$K$5:$AJ$120,0,MATCH(F$2,Inputs!$K$4:$AJ$4,0)))+SUMPRODUCT((Inputs!$E$5:$E$120=$B4)*Inputs!$F$5:$F$120*(((Inputs!$G$5:$G$120="moeda")+(Inputs!$G$5:$G$120="acoes"))*Inputs!$B$1+((Inputs!$G$5:$G$120&lt;&gt;"moeda")*(Inputs!$G$5:$G$120&lt;&gt;"acoes")))*INDEX(Inputs!$K$5:$AJ$120,0,MATCH(F$2,Inputs!$K$4:$AJ$4,0)))))</f>
        <v>6083</v>
      </c>
      <c r="G4" s="267">
        <f>IF(ISNA(MATCH(G$2,Inputs!$K$4:$AJ$4,0)),NA(),IF(SUMPRODUCT((Inputs!$A$5:$A$120=$B4)*ISNUMBER(INDEX(Inputs!$K$5:$AJ$120,0,MATCH(G$2,Inputs!$K$4:$AJ$4,0))))+SUMPRODUCT((Inputs!$C$5:$C$120=$B4)*ISNUMBER(INDEX(Inputs!$K$5:$AJ$120,0,MATCH(G$2,Inputs!$K$4:$AJ$4,0))))+SUMPRODUCT((Inputs!$E$5:$E$120=$B4)*ISNUMBER(INDEX(Inputs!$K$5:$AJ$120,0,MATCH(G$2,Inputs!$K$4:$AJ$4,0))))=0,NA(),SUMPRODUCT((Inputs!$A$5:$A$120=$B4)*Inputs!$B$5:$B$120*(((Inputs!$G$5:$G$120="moeda")+(Inputs!$G$5:$G$120="acoes"))*Inputs!$B$1+((Inputs!$G$5:$G$120&lt;&gt;"moeda")*(Inputs!$G$5:$G$120&lt;&gt;"acoes")))*INDEX(Inputs!$K$5:$AJ$120,0,MATCH(G$2,Inputs!$K$4:$AJ$4,0)))+SUMPRODUCT((Inputs!$C$5:$C$120=$B4)*Inputs!$D$5:$D$120*(((Inputs!$G$5:$G$120="moeda")+(Inputs!$G$5:$G$120="acoes"))*Inputs!$B$1+((Inputs!$G$5:$G$120&lt;&gt;"moeda")*(Inputs!$G$5:$G$120&lt;&gt;"acoes")))*INDEX(Inputs!$K$5:$AJ$120,0,MATCH(G$2,Inputs!$K$4:$AJ$4,0)))+SUMPRODUCT((Inputs!$E$5:$E$120=$B4)*Inputs!$F$5:$F$120*(((Inputs!$G$5:$G$120="moeda")+(Inputs!$G$5:$G$120="acoes"))*Inputs!$B$1+((Inputs!$G$5:$G$120&lt;&gt;"moeda")*(Inputs!$G$5:$G$120&lt;&gt;"acoes")))*INDEX(Inputs!$K$5:$AJ$120,0,MATCH(G$2,Inputs!$K$4:$AJ$4,0)))))</f>
        <v>6164</v>
      </c>
      <c r="H4" s="268">
        <f>SUM(D4:G4)</f>
        <v>22845</v>
      </c>
      <c r="I4" s="267">
        <f>IF(ISNA(MATCH(I$2,Inputs!$K$4:$AJ$4,0)),NA(),IF(SUMPRODUCT((Inputs!$A$5:$A$120=$B4)*ISNUMBER(INDEX(Inputs!$K$5:$AJ$120,0,MATCH(I$2,Inputs!$K$4:$AJ$4,0))))+SUMPRODUCT((Inputs!$C$5:$C$120=$B4)*ISNUMBER(INDEX(Inputs!$K$5:$AJ$120,0,MATCH(I$2,Inputs!$K$4:$AJ$4,0))))+SUMPRODUCT((Inputs!$E$5:$E$120=$B4)*ISNUMBER(INDEX(Inputs!$K$5:$AJ$120,0,MATCH(I$2,Inputs!$K$4:$AJ$4,0))))=0,NA(),SUMPRODUCT((Inputs!$A$5:$A$120=$B4)*Inputs!$B$5:$B$120*(((Inputs!$G$5:$G$120="moeda")+(Inputs!$G$5:$G$120="acoes"))*Inputs!$B$1+((Inputs!$G$5:$G$120&lt;&gt;"moeda")*(Inputs!$G$5:$G$120&lt;&gt;"acoes")))*INDEX(Inputs!$K$5:$AJ$120,0,MATCH(I$2,Inputs!$K$4:$AJ$4,0)))+SUMPRODUCT((Inputs!$C$5:$C$120=$B4)*Inputs!$D$5:$D$120*(((Inputs!$G$5:$G$120="moeda")+(Inputs!$G$5:$G$120="acoes"))*Inputs!$B$1+((Inputs!$G$5:$G$120&lt;&gt;"moeda")*(Inputs!$G$5:$G$120&lt;&gt;"acoes")))*INDEX(Inputs!$K$5:$AJ$120,0,MATCH(I$2,Inputs!$K$4:$AJ$4,0)))+SUMPRODUCT((Inputs!$E$5:$E$120=$B4)*Inputs!$F$5:$F$120*(((Inputs!$G$5:$G$120="moeda")+(Inputs!$G$5:$G$120="acoes"))*Inputs!$B$1+((Inputs!$G$5:$G$120&lt;&gt;"moeda")*(Inputs!$G$5:$G$120&lt;&gt;"acoes")))*INDEX(Inputs!$K$5:$AJ$120,0,MATCH(I$2,Inputs!$K$4:$AJ$4,0)))))</f>
        <v>6603</v>
      </c>
      <c r="J4" s="267">
        <f>IF(ISNA(MATCH(J$2,Inputs!$K$4:$AJ$4,0)),NA(),IF(SUMPRODUCT((Inputs!$A$5:$A$120=$B4)*ISNUMBER(INDEX(Inputs!$K$5:$AJ$120,0,MATCH(J$2,Inputs!$K$4:$AJ$4,0))))+SUMPRODUCT((Inputs!$C$5:$C$120=$B4)*ISNUMBER(INDEX(Inputs!$K$5:$AJ$120,0,MATCH(J$2,Inputs!$K$4:$AJ$4,0))))+SUMPRODUCT((Inputs!$E$5:$E$120=$B4)*ISNUMBER(INDEX(Inputs!$K$5:$AJ$120,0,MATCH(J$2,Inputs!$K$4:$AJ$4,0))))=0,NA(),SUMPRODUCT((Inputs!$A$5:$A$120=$B4)*Inputs!$B$5:$B$120*(((Inputs!$G$5:$G$120="moeda")+(Inputs!$G$5:$G$120="acoes"))*Inputs!$B$1+((Inputs!$G$5:$G$120&lt;&gt;"moeda")*(Inputs!$G$5:$G$120&lt;&gt;"acoes")))*INDEX(Inputs!$K$5:$AJ$120,0,MATCH(J$2,Inputs!$K$4:$AJ$4,0)))+SUMPRODUCT((Inputs!$C$5:$C$120=$B4)*Inputs!$D$5:$D$120*(((Inputs!$G$5:$G$120="moeda")+(Inputs!$G$5:$G$120="acoes"))*Inputs!$B$1+((Inputs!$G$5:$G$120&lt;&gt;"moeda")*(Inputs!$G$5:$G$120&lt;&gt;"acoes")))*INDEX(Inputs!$K$5:$AJ$120,0,MATCH(J$2,Inputs!$K$4:$AJ$4,0)))+SUMPRODUCT((Inputs!$E$5:$E$120=$B4)*Inputs!$F$5:$F$120*(((Inputs!$G$5:$G$120="moeda")+(Inputs!$G$5:$G$120="acoes"))*Inputs!$B$1+((Inputs!$G$5:$G$120&lt;&gt;"moeda")*(Inputs!$G$5:$G$120&lt;&gt;"acoes")))*INDEX(Inputs!$K$5:$AJ$120,0,MATCH(J$2,Inputs!$K$4:$AJ$4,0)))))</f>
        <v>5416</v>
      </c>
      <c r="K4" s="267">
        <f>IF(ISNA(MATCH(K$2,Inputs!$K$4:$AJ$4,0)),NA(),IF(SUMPRODUCT((Inputs!$A$5:$A$120=$B4)*ISNUMBER(INDEX(Inputs!$K$5:$AJ$120,0,MATCH(K$2,Inputs!$K$4:$AJ$4,0))))+SUMPRODUCT((Inputs!$C$5:$C$120=$B4)*ISNUMBER(INDEX(Inputs!$K$5:$AJ$120,0,MATCH(K$2,Inputs!$K$4:$AJ$4,0))))+SUMPRODUCT((Inputs!$E$5:$E$120=$B4)*ISNUMBER(INDEX(Inputs!$K$5:$AJ$120,0,MATCH(K$2,Inputs!$K$4:$AJ$4,0))))=0,NA(),SUMPRODUCT((Inputs!$A$5:$A$120=$B4)*Inputs!$B$5:$B$120*(((Inputs!$G$5:$G$120="moeda")+(Inputs!$G$5:$G$120="acoes"))*Inputs!$B$1+((Inputs!$G$5:$G$120&lt;&gt;"moeda")*(Inputs!$G$5:$G$120&lt;&gt;"acoes")))*INDEX(Inputs!$K$5:$AJ$120,0,MATCH(K$2,Inputs!$K$4:$AJ$4,0)))+SUMPRODUCT((Inputs!$C$5:$C$120=$B4)*Inputs!$D$5:$D$120*(((Inputs!$G$5:$G$120="moeda")+(Inputs!$G$5:$G$120="acoes"))*Inputs!$B$1+((Inputs!$G$5:$G$120&lt;&gt;"moeda")*(Inputs!$G$5:$G$120&lt;&gt;"acoes")))*INDEX(Inputs!$K$5:$AJ$120,0,MATCH(K$2,Inputs!$K$4:$AJ$4,0)))+SUMPRODUCT((Inputs!$E$5:$E$120=$B4)*Inputs!$F$5:$F$120*(((Inputs!$G$5:$G$120="moeda")+(Inputs!$G$5:$G$120="acoes"))*Inputs!$B$1+((Inputs!$G$5:$G$120&lt;&gt;"moeda")*(Inputs!$G$5:$G$120&lt;&gt;"acoes")))*INDEX(Inputs!$K$5:$AJ$120,0,MATCH(K$2,Inputs!$K$4:$AJ$4,0)))))</f>
        <v>5003</v>
      </c>
      <c r="L4" s="267">
        <f>IF(ISNA(MATCH(L$2,Inputs!$K$4:$AJ$4,0)),NA(),IF(SUMPRODUCT((Inputs!$A$5:$A$120=$B4)*ISNUMBER(INDEX(Inputs!$K$5:$AJ$120,0,MATCH(L$2,Inputs!$K$4:$AJ$4,0))))+SUMPRODUCT((Inputs!$C$5:$C$120=$B4)*ISNUMBER(INDEX(Inputs!$K$5:$AJ$120,0,MATCH(L$2,Inputs!$K$4:$AJ$4,0))))+SUMPRODUCT((Inputs!$E$5:$E$120=$B4)*ISNUMBER(INDEX(Inputs!$K$5:$AJ$120,0,MATCH(L$2,Inputs!$K$4:$AJ$4,0))))=0,NA(),SUMPRODUCT((Inputs!$A$5:$A$120=$B4)*Inputs!$B$5:$B$120*(((Inputs!$G$5:$G$120="moeda")+(Inputs!$G$5:$G$120="acoes"))*Inputs!$B$1+((Inputs!$G$5:$G$120&lt;&gt;"moeda")*(Inputs!$G$5:$G$120&lt;&gt;"acoes")))*INDEX(Inputs!$K$5:$AJ$120,0,MATCH(L$2,Inputs!$K$4:$AJ$4,0)))+SUMPRODUCT((Inputs!$C$5:$C$120=$B4)*Inputs!$D$5:$D$120*(((Inputs!$G$5:$G$120="moeda")+(Inputs!$G$5:$G$120="acoes"))*Inputs!$B$1+((Inputs!$G$5:$G$120&lt;&gt;"moeda")*(Inputs!$G$5:$G$120&lt;&gt;"acoes")))*INDEX(Inputs!$K$5:$AJ$120,0,MATCH(L$2,Inputs!$K$4:$AJ$4,0)))+SUMPRODUCT((Inputs!$E$5:$E$120=$B4)*Inputs!$F$5:$F$120*(((Inputs!$G$5:$G$120="moeda")+(Inputs!$G$5:$G$120="acoes"))*Inputs!$B$1+((Inputs!$G$5:$G$120&lt;&gt;"moeda")*(Inputs!$G$5:$G$120&lt;&gt;"acoes")))*INDEX(Inputs!$K$5:$AJ$120,0,MATCH(L$2,Inputs!$K$4:$AJ$4,0)))))</f>
        <v>5758</v>
      </c>
      <c r="M4" s="268">
        <f>SUM(I4:L4)</f>
        <v>22780</v>
      </c>
      <c r="N4" s="267">
        <f>IF(ISNA(MATCH(N$2,Inputs!$K$4:$AJ$4,0)),NA(),IF(SUMPRODUCT((Inputs!$A$5:$A$120=$B4)*ISNUMBER(INDEX(Inputs!$K$5:$AJ$120,0,MATCH(N$2,Inputs!$K$4:$AJ$4,0))))+SUMPRODUCT((Inputs!$C$5:$C$120=$B4)*ISNUMBER(INDEX(Inputs!$K$5:$AJ$120,0,MATCH(N$2,Inputs!$K$4:$AJ$4,0))))+SUMPRODUCT((Inputs!$E$5:$E$120=$B4)*ISNUMBER(INDEX(Inputs!$K$5:$AJ$120,0,MATCH(N$2,Inputs!$K$4:$AJ$4,0))))=0,NA(),SUMPRODUCT((Inputs!$A$5:$A$120=$B4)*Inputs!$B$5:$B$120*(((Inputs!$G$5:$G$120="moeda")+(Inputs!$G$5:$G$120="acoes"))*Inputs!$B$1+((Inputs!$G$5:$G$120&lt;&gt;"moeda")*(Inputs!$G$5:$G$120&lt;&gt;"acoes")))*INDEX(Inputs!$K$5:$AJ$120,0,MATCH(N$2,Inputs!$K$4:$AJ$4,0)))+SUMPRODUCT((Inputs!$C$5:$C$120=$B4)*Inputs!$D$5:$D$120*(((Inputs!$G$5:$G$120="moeda")+(Inputs!$G$5:$G$120="acoes"))*Inputs!$B$1+((Inputs!$G$5:$G$120&lt;&gt;"moeda")*(Inputs!$G$5:$G$120&lt;&gt;"acoes")))*INDEX(Inputs!$K$5:$AJ$120,0,MATCH(N$2,Inputs!$K$4:$AJ$4,0)))+SUMPRODUCT((Inputs!$E$5:$E$120=$B4)*Inputs!$F$5:$F$120*(((Inputs!$G$5:$G$120="moeda")+(Inputs!$G$5:$G$120="acoes"))*Inputs!$B$1+((Inputs!$G$5:$G$120&lt;&gt;"moeda")*(Inputs!$G$5:$G$120&lt;&gt;"acoes")))*INDEX(Inputs!$K$5:$AJ$120,0,MATCH(N$2,Inputs!$K$4:$AJ$4,0)))))</f>
        <v>5389</v>
      </c>
      <c r="O4" s="267">
        <f>IF(ISNA(MATCH(O$2,Inputs!$K$4:$AJ$4,0)),NA(),IF(SUMPRODUCT((Inputs!$A$5:$A$120=$B4)*ISNUMBER(INDEX(Inputs!$K$5:$AJ$120,0,MATCH(O$2,Inputs!$K$4:$AJ$4,0))))+SUMPRODUCT((Inputs!$C$5:$C$120=$B4)*ISNUMBER(INDEX(Inputs!$K$5:$AJ$120,0,MATCH(O$2,Inputs!$K$4:$AJ$4,0))))+SUMPRODUCT((Inputs!$E$5:$E$120=$B4)*ISNUMBER(INDEX(Inputs!$K$5:$AJ$120,0,MATCH(O$2,Inputs!$K$4:$AJ$4,0))))=0,NA(),SUMPRODUCT((Inputs!$A$5:$A$120=$B4)*Inputs!$B$5:$B$120*(((Inputs!$G$5:$G$120="moeda")+(Inputs!$G$5:$G$120="acoes"))*Inputs!$B$1+((Inputs!$G$5:$G$120&lt;&gt;"moeda")*(Inputs!$G$5:$G$120&lt;&gt;"acoes")))*INDEX(Inputs!$K$5:$AJ$120,0,MATCH(O$2,Inputs!$K$4:$AJ$4,0)))+SUMPRODUCT((Inputs!$C$5:$C$120=$B4)*Inputs!$D$5:$D$120*(((Inputs!$G$5:$G$120="moeda")+(Inputs!$G$5:$G$120="acoes"))*Inputs!$B$1+((Inputs!$G$5:$G$120&lt;&gt;"moeda")*(Inputs!$G$5:$G$120&lt;&gt;"acoes")))*INDEX(Inputs!$K$5:$AJ$120,0,MATCH(O$2,Inputs!$K$4:$AJ$4,0)))+SUMPRODUCT((Inputs!$E$5:$E$120=$B4)*Inputs!$F$5:$F$120*(((Inputs!$G$5:$G$120="moeda")+(Inputs!$G$5:$G$120="acoes"))*Inputs!$B$1+((Inputs!$G$5:$G$120&lt;&gt;"moeda")*(Inputs!$G$5:$G$120&lt;&gt;"acoes")))*INDEX(Inputs!$K$5:$AJ$120,0,MATCH(O$2,Inputs!$K$4:$AJ$4,0)))))</f>
        <v>5737</v>
      </c>
      <c r="P4" s="267">
        <f>IF(ISNA(MATCH(P$2,Inputs!$K$4:$AJ$4,0)),NA(),IF(SUMPRODUCT((Inputs!$A$5:$A$120=$B4)*ISNUMBER(INDEX(Inputs!$K$5:$AJ$120,0,MATCH(P$2,Inputs!$K$4:$AJ$4,0))))+SUMPRODUCT((Inputs!$C$5:$C$120=$B4)*ISNUMBER(INDEX(Inputs!$K$5:$AJ$120,0,MATCH(P$2,Inputs!$K$4:$AJ$4,0))))+SUMPRODUCT((Inputs!$E$5:$E$120=$B4)*ISNUMBER(INDEX(Inputs!$K$5:$AJ$120,0,MATCH(P$2,Inputs!$K$4:$AJ$4,0))))=0,NA(),SUMPRODUCT((Inputs!$A$5:$A$120=$B4)*Inputs!$B$5:$B$120*(((Inputs!$G$5:$G$120="moeda")+(Inputs!$G$5:$G$120="acoes"))*Inputs!$B$1+((Inputs!$G$5:$G$120&lt;&gt;"moeda")*(Inputs!$G$5:$G$120&lt;&gt;"acoes")))*INDEX(Inputs!$K$5:$AJ$120,0,MATCH(P$2,Inputs!$K$4:$AJ$4,0)))+SUMPRODUCT((Inputs!$C$5:$C$120=$B4)*Inputs!$D$5:$D$120*(((Inputs!$G$5:$G$120="moeda")+(Inputs!$G$5:$G$120="acoes"))*Inputs!$B$1+((Inputs!$G$5:$G$120&lt;&gt;"moeda")*(Inputs!$G$5:$G$120&lt;&gt;"acoes")))*INDEX(Inputs!$K$5:$AJ$120,0,MATCH(P$2,Inputs!$K$4:$AJ$4,0)))+SUMPRODUCT((Inputs!$E$5:$E$120=$B4)*Inputs!$F$5:$F$120*(((Inputs!$G$5:$G$120="moeda")+(Inputs!$G$5:$G$120="acoes"))*Inputs!$B$1+((Inputs!$G$5:$G$120&lt;&gt;"moeda")*(Inputs!$G$5:$G$120&lt;&gt;"acoes")))*INDEX(Inputs!$K$5:$AJ$120,0,MATCH(P$2,Inputs!$K$4:$AJ$4,0)))))</f>
        <v>5824</v>
      </c>
      <c r="Q4" s="267">
        <f>IF(ISNA(MATCH(Q$2,Inputs!$K$4:$AJ$4,0)),NA(),IF(SUMPRODUCT((Inputs!$A$5:$A$120=$B4)*ISNUMBER(INDEX(Inputs!$K$5:$AJ$120,0,MATCH(Q$2,Inputs!$K$4:$AJ$4,0))))+SUMPRODUCT((Inputs!$C$5:$C$120=$B4)*ISNUMBER(INDEX(Inputs!$K$5:$AJ$120,0,MATCH(Q$2,Inputs!$K$4:$AJ$4,0))))+SUMPRODUCT((Inputs!$E$5:$E$120=$B4)*ISNUMBER(INDEX(Inputs!$K$5:$AJ$120,0,MATCH(Q$2,Inputs!$K$4:$AJ$4,0))))=0,NA(),SUMPRODUCT((Inputs!$A$5:$A$120=$B4)*Inputs!$B$5:$B$120*(((Inputs!$G$5:$G$120="moeda")+(Inputs!$G$5:$G$120="acoes"))*Inputs!$B$1+((Inputs!$G$5:$G$120&lt;&gt;"moeda")*(Inputs!$G$5:$G$120&lt;&gt;"acoes")))*INDEX(Inputs!$K$5:$AJ$120,0,MATCH(Q$2,Inputs!$K$4:$AJ$4,0)))+SUMPRODUCT((Inputs!$C$5:$C$120=$B4)*Inputs!$D$5:$D$120*(((Inputs!$G$5:$G$120="moeda")+(Inputs!$G$5:$G$120="acoes"))*Inputs!$B$1+((Inputs!$G$5:$G$120&lt;&gt;"moeda")*(Inputs!$G$5:$G$120&lt;&gt;"acoes")))*INDEX(Inputs!$K$5:$AJ$120,0,MATCH(Q$2,Inputs!$K$4:$AJ$4,0)))+SUMPRODUCT((Inputs!$E$5:$E$120=$B4)*Inputs!$F$5:$F$120*(((Inputs!$G$5:$G$120="moeda")+(Inputs!$G$5:$G$120="acoes"))*Inputs!$B$1+((Inputs!$G$5:$G$120&lt;&gt;"moeda")*(Inputs!$G$5:$G$120&lt;&gt;"acoes")))*INDEX(Inputs!$K$5:$AJ$120,0,MATCH(Q$2,Inputs!$K$4:$AJ$4,0)))))</f>
        <v>5905</v>
      </c>
      <c r="R4" s="268">
        <f>SUM(N4:Q4)</f>
        <v>22855</v>
      </c>
      <c r="S4" s="267">
        <f>IF(ISNA(MATCH(S$2,Inputs!$K$4:$AJ$4,0)),NA(),IF(SUMPRODUCT((Inputs!$A$5:$A$120=$B4)*ISNUMBER(INDEX(Inputs!$K$5:$AJ$120,0,MATCH(S$2,Inputs!$K$4:$AJ$4,0))))+SUMPRODUCT((Inputs!$C$5:$C$120=$B4)*ISNUMBER(INDEX(Inputs!$K$5:$AJ$120,0,MATCH(S$2,Inputs!$K$4:$AJ$4,0))))+SUMPRODUCT((Inputs!$E$5:$E$120=$B4)*ISNUMBER(INDEX(Inputs!$K$5:$AJ$120,0,MATCH(S$2,Inputs!$K$4:$AJ$4,0))))=0,NA(),SUMPRODUCT((Inputs!$A$5:$A$120=$B4)*Inputs!$B$5:$B$120*(((Inputs!$G$5:$G$120="moeda")+(Inputs!$G$5:$G$120="acoes"))*Inputs!$B$1+((Inputs!$G$5:$G$120&lt;&gt;"moeda")*(Inputs!$G$5:$G$120&lt;&gt;"acoes")))*INDEX(Inputs!$K$5:$AJ$120,0,MATCH(S$2,Inputs!$K$4:$AJ$4,0)))+SUMPRODUCT((Inputs!$C$5:$C$120=$B4)*Inputs!$D$5:$D$120*(((Inputs!$G$5:$G$120="moeda")+(Inputs!$G$5:$G$120="acoes"))*Inputs!$B$1+((Inputs!$G$5:$G$120&lt;&gt;"moeda")*(Inputs!$G$5:$G$120&lt;&gt;"acoes")))*INDEX(Inputs!$K$5:$AJ$120,0,MATCH(S$2,Inputs!$K$4:$AJ$4,0)))+SUMPRODUCT((Inputs!$E$5:$E$120=$B4)*Inputs!$F$5:$F$120*(((Inputs!$G$5:$G$120="moeda")+(Inputs!$G$5:$G$120="acoes"))*Inputs!$B$1+((Inputs!$G$5:$G$120&lt;&gt;"moeda")*(Inputs!$G$5:$G$120&lt;&gt;"acoes")))*INDEX(Inputs!$K$5:$AJ$120,0,MATCH(S$2,Inputs!$K$4:$AJ$4,0)))))</f>
        <v>6321</v>
      </c>
      <c r="T4" s="267">
        <f>IF(ISNA(MATCH(T$2,Inputs!$K$4:$AJ$4,0)),NA(),IF(SUMPRODUCT((Inputs!$A$5:$A$120=$B4)*ISNUMBER(INDEX(Inputs!$K$5:$AJ$120,0,MATCH(T$2,Inputs!$K$4:$AJ$4,0))))+SUMPRODUCT((Inputs!$C$5:$C$120=$B4)*ISNUMBER(INDEX(Inputs!$K$5:$AJ$120,0,MATCH(T$2,Inputs!$K$4:$AJ$4,0))))+SUMPRODUCT((Inputs!$E$5:$E$120=$B4)*ISNUMBER(INDEX(Inputs!$K$5:$AJ$120,0,MATCH(T$2,Inputs!$K$4:$AJ$4,0))))=0,NA(),SUMPRODUCT((Inputs!$A$5:$A$120=$B4)*Inputs!$B$5:$B$120*(((Inputs!$G$5:$G$120="moeda")+(Inputs!$G$5:$G$120="acoes"))*Inputs!$B$1+((Inputs!$G$5:$G$120&lt;&gt;"moeda")*(Inputs!$G$5:$G$120&lt;&gt;"acoes")))*INDEX(Inputs!$K$5:$AJ$120,0,MATCH(T$2,Inputs!$K$4:$AJ$4,0)))+SUMPRODUCT((Inputs!$C$5:$C$120=$B4)*Inputs!$D$5:$D$120*(((Inputs!$G$5:$G$120="moeda")+(Inputs!$G$5:$G$120="acoes"))*Inputs!$B$1+((Inputs!$G$5:$G$120&lt;&gt;"moeda")*(Inputs!$G$5:$G$120&lt;&gt;"acoes")))*INDEX(Inputs!$K$5:$AJ$120,0,MATCH(T$2,Inputs!$K$4:$AJ$4,0)))+SUMPRODUCT((Inputs!$E$5:$E$120=$B4)*Inputs!$F$5:$F$120*(((Inputs!$G$5:$G$120="moeda")+(Inputs!$G$5:$G$120="acoes"))*Inputs!$B$1+((Inputs!$G$5:$G$120&lt;&gt;"moeda")*(Inputs!$G$5:$G$120&lt;&gt;"acoes")))*INDEX(Inputs!$K$5:$AJ$120,0,MATCH(T$2,Inputs!$K$4:$AJ$4,0)))))</f>
        <v>6624</v>
      </c>
      <c r="U4" s="267">
        <f>IF(ISNA(MATCH(U$2,Inputs!$K$4:$AJ$4,0)),NA(),IF(SUMPRODUCT((Inputs!$A$5:$A$120=$B4)*ISNUMBER(INDEX(Inputs!$K$5:$AJ$120,0,MATCH(U$2,Inputs!$K$4:$AJ$4,0))))+SUMPRODUCT((Inputs!$C$5:$C$120=$B4)*ISNUMBER(INDEX(Inputs!$K$5:$AJ$120,0,MATCH(U$2,Inputs!$K$4:$AJ$4,0))))+SUMPRODUCT((Inputs!$E$5:$E$120=$B4)*ISNUMBER(INDEX(Inputs!$K$5:$AJ$120,0,MATCH(U$2,Inputs!$K$4:$AJ$4,0))))=0,NA(),SUMPRODUCT((Inputs!$A$5:$A$120=$B4)*Inputs!$B$5:$B$120*(((Inputs!$G$5:$G$120="moeda")+(Inputs!$G$5:$G$120="acoes"))*Inputs!$B$1+((Inputs!$G$5:$G$120&lt;&gt;"moeda")*(Inputs!$G$5:$G$120&lt;&gt;"acoes")))*INDEX(Inputs!$K$5:$AJ$120,0,MATCH(U$2,Inputs!$K$4:$AJ$4,0)))+SUMPRODUCT((Inputs!$C$5:$C$120=$B4)*Inputs!$D$5:$D$120*(((Inputs!$G$5:$G$120="moeda")+(Inputs!$G$5:$G$120="acoes"))*Inputs!$B$1+((Inputs!$G$5:$G$120&lt;&gt;"moeda")*(Inputs!$G$5:$G$120&lt;&gt;"acoes")))*INDEX(Inputs!$K$5:$AJ$120,0,MATCH(U$2,Inputs!$K$4:$AJ$4,0)))+SUMPRODUCT((Inputs!$E$5:$E$120=$B4)*Inputs!$F$5:$F$120*(((Inputs!$G$5:$G$120="moeda")+(Inputs!$G$5:$G$120="acoes"))*Inputs!$B$1+((Inputs!$G$5:$G$120&lt;&gt;"moeda")*(Inputs!$G$5:$G$120&lt;&gt;"acoes")))*INDEX(Inputs!$K$5:$AJ$120,0,MATCH(U$2,Inputs!$K$4:$AJ$4,0)))))</f>
        <v>6790</v>
      </c>
      <c r="V4" s="267">
        <f>IF(ISNA(MATCH(V$2,Inputs!$K$4:$AJ$4,0)),NA(),IF(SUMPRODUCT((Inputs!$A$5:$A$120=$B4)*ISNUMBER(INDEX(Inputs!$K$5:$AJ$120,0,MATCH(V$2,Inputs!$K$4:$AJ$4,0))))+SUMPRODUCT((Inputs!$C$5:$C$120=$B4)*ISNUMBER(INDEX(Inputs!$K$5:$AJ$120,0,MATCH(V$2,Inputs!$K$4:$AJ$4,0))))+SUMPRODUCT((Inputs!$E$5:$E$120=$B4)*ISNUMBER(INDEX(Inputs!$K$5:$AJ$120,0,MATCH(V$2,Inputs!$K$4:$AJ$4,0))))=0,NA(),SUMPRODUCT((Inputs!$A$5:$A$120=$B4)*Inputs!$B$5:$B$120*(((Inputs!$G$5:$G$120="moeda")+(Inputs!$G$5:$G$120="acoes"))*Inputs!$B$1+((Inputs!$G$5:$G$120&lt;&gt;"moeda")*(Inputs!$G$5:$G$120&lt;&gt;"acoes")))*INDEX(Inputs!$K$5:$AJ$120,0,MATCH(V$2,Inputs!$K$4:$AJ$4,0)))+SUMPRODUCT((Inputs!$C$5:$C$120=$B4)*Inputs!$D$5:$D$120*(((Inputs!$G$5:$G$120="moeda")+(Inputs!$G$5:$G$120="acoes"))*Inputs!$B$1+((Inputs!$G$5:$G$120&lt;&gt;"moeda")*(Inputs!$G$5:$G$120&lt;&gt;"acoes")))*INDEX(Inputs!$K$5:$AJ$120,0,MATCH(V$2,Inputs!$K$4:$AJ$4,0)))+SUMPRODUCT((Inputs!$E$5:$E$120=$B4)*Inputs!$F$5:$F$120*(((Inputs!$G$5:$G$120="moeda")+(Inputs!$G$5:$G$120="acoes"))*Inputs!$B$1+((Inputs!$G$5:$G$120&lt;&gt;"moeda")*(Inputs!$G$5:$G$120&lt;&gt;"acoes")))*INDEX(Inputs!$K$5:$AJ$120,0,MATCH(V$2,Inputs!$K$4:$AJ$4,0)))))</f>
        <v>5720</v>
      </c>
      <c r="W4" s="268">
        <f>SUM(S4:V4)</f>
        <v>25455</v>
      </c>
      <c r="X4" s="267">
        <f>IF(ISNA(MATCH(X$2,Inputs!$K$4:$AJ$4,0)),NA(),IF(SUMPRODUCT((Inputs!$A$5:$A$120=$B4)*ISNUMBER(INDEX(Inputs!$K$5:$AJ$120,0,MATCH(X$2,Inputs!$K$4:$AJ$4,0))))+SUMPRODUCT((Inputs!$C$5:$C$120=$B4)*ISNUMBER(INDEX(Inputs!$K$5:$AJ$120,0,MATCH(X$2,Inputs!$K$4:$AJ$4,0))))+SUMPRODUCT((Inputs!$E$5:$E$120=$B4)*ISNUMBER(INDEX(Inputs!$K$5:$AJ$120,0,MATCH(X$2,Inputs!$K$4:$AJ$4,0))))=0,NA(),SUMPRODUCT((Inputs!$A$5:$A$120=$B4)*Inputs!$B$5:$B$120*(((Inputs!$G$5:$G$120="moeda")+(Inputs!$G$5:$G$120="acoes"))*Inputs!$B$1+((Inputs!$G$5:$G$120&lt;&gt;"moeda")*(Inputs!$G$5:$G$120&lt;&gt;"acoes")))*INDEX(Inputs!$K$5:$AJ$120,0,MATCH(X$2,Inputs!$K$4:$AJ$4,0)))+SUMPRODUCT((Inputs!$C$5:$C$120=$B4)*Inputs!$D$5:$D$120*(((Inputs!$G$5:$G$120="moeda")+(Inputs!$G$5:$G$120="acoes"))*Inputs!$B$1+((Inputs!$G$5:$G$120&lt;&gt;"moeda")*(Inputs!$G$5:$G$120&lt;&gt;"acoes")))*INDEX(Inputs!$K$5:$AJ$120,0,MATCH(X$2,Inputs!$K$4:$AJ$4,0)))+SUMPRODUCT((Inputs!$E$5:$E$120=$B4)*Inputs!$F$5:$F$120*(((Inputs!$G$5:$G$120="moeda")+(Inputs!$G$5:$G$120="acoes"))*Inputs!$B$1+((Inputs!$G$5:$G$120&lt;&gt;"moeda")*(Inputs!$G$5:$G$120&lt;&gt;"acoes")))*INDEX(Inputs!$K$5:$AJ$120,0,MATCH(X$2,Inputs!$K$4:$AJ$4,0)))))</f>
        <v>5728</v>
      </c>
      <c r="Y4" s="267">
        <f>IF(ISNA(MATCH(Y$2,Inputs!$K$4:$AJ$4,0)),NA(),IF(SUMPRODUCT((Inputs!$A$5:$A$120=$B4)*ISNUMBER(INDEX(Inputs!$K$5:$AJ$120,0,MATCH(Y$2,Inputs!$K$4:$AJ$4,0))))+SUMPRODUCT((Inputs!$C$5:$C$120=$B4)*ISNUMBER(INDEX(Inputs!$K$5:$AJ$120,0,MATCH(Y$2,Inputs!$K$4:$AJ$4,0))))+SUMPRODUCT((Inputs!$E$5:$E$120=$B4)*ISNUMBER(INDEX(Inputs!$K$5:$AJ$120,0,MATCH(Y$2,Inputs!$K$4:$AJ$4,0))))=0,NA(),SUMPRODUCT((Inputs!$A$5:$A$120=$B4)*Inputs!$B$5:$B$120*(((Inputs!$G$5:$G$120="moeda")+(Inputs!$G$5:$G$120="acoes"))*Inputs!$B$1+((Inputs!$G$5:$G$120&lt;&gt;"moeda")*(Inputs!$G$5:$G$120&lt;&gt;"acoes")))*INDEX(Inputs!$K$5:$AJ$120,0,MATCH(Y$2,Inputs!$K$4:$AJ$4,0)))+SUMPRODUCT((Inputs!$C$5:$C$120=$B4)*Inputs!$D$5:$D$120*(((Inputs!$G$5:$G$120="moeda")+(Inputs!$G$5:$G$120="acoes"))*Inputs!$B$1+((Inputs!$G$5:$G$120&lt;&gt;"moeda")*(Inputs!$G$5:$G$120&lt;&gt;"acoes")))*INDEX(Inputs!$K$5:$AJ$120,0,MATCH(Y$2,Inputs!$K$4:$AJ$4,0)))+SUMPRODUCT((Inputs!$E$5:$E$120=$B4)*Inputs!$F$5:$F$120*(((Inputs!$G$5:$G$120="moeda")+(Inputs!$G$5:$G$120="acoes"))*Inputs!$B$1+((Inputs!$G$5:$G$120&lt;&gt;"moeda")*(Inputs!$G$5:$G$120&lt;&gt;"acoes")))*INDEX(Inputs!$K$5:$AJ$120,0,MATCH(Y$2,Inputs!$K$4:$AJ$4,0)))))</f>
        <v>7582</v>
      </c>
      <c r="Z4" s="267">
        <f>IF(ISNA(MATCH(Z$2,Inputs!$K$4:$AJ$4,0)),NA(),IF(SUMPRODUCT((Inputs!$A$5:$A$120=$B4)*ISNUMBER(INDEX(Inputs!$K$5:$AJ$120,0,MATCH(Z$2,Inputs!$K$4:$AJ$4,0))))+SUMPRODUCT((Inputs!$C$5:$C$120=$B4)*ISNUMBER(INDEX(Inputs!$K$5:$AJ$120,0,MATCH(Z$2,Inputs!$K$4:$AJ$4,0))))+SUMPRODUCT((Inputs!$E$5:$E$120=$B4)*ISNUMBER(INDEX(Inputs!$K$5:$AJ$120,0,MATCH(Z$2,Inputs!$K$4:$AJ$4,0))))=0,NA(),SUMPRODUCT((Inputs!$A$5:$A$120=$B4)*Inputs!$B$5:$B$120*(((Inputs!$G$5:$G$120="moeda")+(Inputs!$G$5:$G$120="acoes"))*Inputs!$B$1+((Inputs!$G$5:$G$120&lt;&gt;"moeda")*(Inputs!$G$5:$G$120&lt;&gt;"acoes")))*INDEX(Inputs!$K$5:$AJ$120,0,MATCH(Z$2,Inputs!$K$4:$AJ$4,0)))+SUMPRODUCT((Inputs!$C$5:$C$120=$B4)*Inputs!$D$5:$D$120*(((Inputs!$G$5:$G$120="moeda")+(Inputs!$G$5:$G$120="acoes"))*Inputs!$B$1+((Inputs!$G$5:$G$120&lt;&gt;"moeda")*(Inputs!$G$5:$G$120&lt;&gt;"acoes")))*INDEX(Inputs!$K$5:$AJ$120,0,MATCH(Z$2,Inputs!$K$4:$AJ$4,0)))+SUMPRODUCT((Inputs!$E$5:$E$120=$B4)*Inputs!$F$5:$F$120*(((Inputs!$G$5:$G$120="moeda")+(Inputs!$G$5:$G$120="acoes"))*Inputs!$B$1+((Inputs!$G$5:$G$120&lt;&gt;"moeda")*(Inputs!$G$5:$G$120&lt;&gt;"acoes")))*INDEX(Inputs!$K$5:$AJ$120,0,MATCH(Z$2,Inputs!$K$4:$AJ$4,0)))))</f>
        <v>6972</v>
      </c>
      <c r="AA4" s="267">
        <f>IF(ISNA(MATCH(AA$2,Inputs!$K$4:$AJ$4,0)),NA(),IF(SUMPRODUCT((Inputs!$A$5:$A$120=$B4)*ISNUMBER(INDEX(Inputs!$K$5:$AJ$120,0,MATCH(AA$2,Inputs!$K$4:$AJ$4,0))))+SUMPRODUCT((Inputs!$C$5:$C$120=$B4)*ISNUMBER(INDEX(Inputs!$K$5:$AJ$120,0,MATCH(AA$2,Inputs!$K$4:$AJ$4,0))))+SUMPRODUCT((Inputs!$E$5:$E$120=$B4)*ISNUMBER(INDEX(Inputs!$K$5:$AJ$120,0,MATCH(AA$2,Inputs!$K$4:$AJ$4,0))))=0,NA(),SUMPRODUCT((Inputs!$A$5:$A$120=$B4)*Inputs!$B$5:$B$120*(((Inputs!$G$5:$G$120="moeda")+(Inputs!$G$5:$G$120="acoes"))*Inputs!$B$1+((Inputs!$G$5:$G$120&lt;&gt;"moeda")*(Inputs!$G$5:$G$120&lt;&gt;"acoes")))*INDEX(Inputs!$K$5:$AJ$120,0,MATCH(AA$2,Inputs!$K$4:$AJ$4,0)))+SUMPRODUCT((Inputs!$C$5:$C$120=$B4)*Inputs!$D$5:$D$120*(((Inputs!$G$5:$G$120="moeda")+(Inputs!$G$5:$G$120="acoes"))*Inputs!$B$1+((Inputs!$G$5:$G$120&lt;&gt;"moeda")*(Inputs!$G$5:$G$120&lt;&gt;"acoes")))*INDEX(Inputs!$K$5:$AJ$120,0,MATCH(AA$2,Inputs!$K$4:$AJ$4,0)))+SUMPRODUCT((Inputs!$E$5:$E$120=$B4)*Inputs!$F$5:$F$120*(((Inputs!$G$5:$G$120="moeda")+(Inputs!$G$5:$G$120="acoes"))*Inputs!$B$1+((Inputs!$G$5:$G$120&lt;&gt;"moeda")*(Inputs!$G$5:$G$120&lt;&gt;"acoes")))*INDEX(Inputs!$K$5:$AJ$120,0,MATCH(AA$2,Inputs!$K$4:$AJ$4,0)))))</f>
        <v>5633</v>
      </c>
      <c r="AB4" s="268">
        <f>SUM(X4:AA4)</f>
        <v>25915</v>
      </c>
      <c r="AC4" s="267">
        <f>IF(ISNA(MATCH(AC$2,Inputs!$K$4:$AJ$4,0)),NA(),IF(SUMPRODUCT((Inputs!$A$5:$A$120=$B4)*ISNUMBER(INDEX(Inputs!$K$5:$AJ$120,0,MATCH(AC$2,Inputs!$K$4:$AJ$4,0))))+SUMPRODUCT((Inputs!$C$5:$C$120=$B4)*ISNUMBER(INDEX(Inputs!$K$5:$AJ$120,0,MATCH(AC$2,Inputs!$K$4:$AJ$4,0))))+SUMPRODUCT((Inputs!$E$5:$E$120=$B4)*ISNUMBER(INDEX(Inputs!$K$5:$AJ$120,0,MATCH(AC$2,Inputs!$K$4:$AJ$4,0))))=0,NA(),SUMPRODUCT((Inputs!$A$5:$A$120=$B4)*Inputs!$B$5:$B$120*(((Inputs!$G$5:$G$120="moeda")+(Inputs!$G$5:$G$120="acoes"))*Inputs!$B$1+((Inputs!$G$5:$G$120&lt;&gt;"moeda")*(Inputs!$G$5:$G$120&lt;&gt;"acoes")))*INDEX(Inputs!$K$5:$AJ$120,0,MATCH(AC$2,Inputs!$K$4:$AJ$4,0)))+SUMPRODUCT((Inputs!$C$5:$C$120=$B4)*Inputs!$D$5:$D$120*(((Inputs!$G$5:$G$120="moeda")+(Inputs!$G$5:$G$120="acoes"))*Inputs!$B$1+((Inputs!$G$5:$G$120&lt;&gt;"moeda")*(Inputs!$G$5:$G$120&lt;&gt;"acoes")))*INDEX(Inputs!$K$5:$AJ$120,0,MATCH(AC$2,Inputs!$K$4:$AJ$4,0)))+SUMPRODUCT((Inputs!$E$5:$E$120=$B4)*Inputs!$F$5:$F$120*(((Inputs!$G$5:$G$120="moeda")+(Inputs!$G$5:$G$120="acoes"))*Inputs!$B$1+((Inputs!$G$5:$G$120&lt;&gt;"moeda")*(Inputs!$G$5:$G$120&lt;&gt;"acoes")))*INDEX(Inputs!$K$5:$AJ$120,0,MATCH(AC$2,Inputs!$K$4:$AJ$4,0)))))</f>
        <v>6234</v>
      </c>
      <c r="AD4" s="267">
        <f>IF(ISNA(MATCH(AD$2,Inputs!$K$4:$AJ$4,0)),NA(),IF(SUMPRODUCT((Inputs!$A$5:$A$120=$B4)*ISNUMBER(INDEX(Inputs!$K$5:$AJ$120,0,MATCH(AD$2,Inputs!$K$4:$AJ$4,0))))+SUMPRODUCT((Inputs!$C$5:$C$120=$B4)*ISNUMBER(INDEX(Inputs!$K$5:$AJ$120,0,MATCH(AD$2,Inputs!$K$4:$AJ$4,0))))+SUMPRODUCT((Inputs!$E$5:$E$120=$B4)*ISNUMBER(INDEX(Inputs!$K$5:$AJ$120,0,MATCH(AD$2,Inputs!$K$4:$AJ$4,0))))=0,NA(),SUMPRODUCT((Inputs!$A$5:$A$120=$B4)*Inputs!$B$5:$B$120*(((Inputs!$G$5:$G$120="moeda")+(Inputs!$G$5:$G$120="acoes"))*Inputs!$B$1+((Inputs!$G$5:$G$120&lt;&gt;"moeda")*(Inputs!$G$5:$G$120&lt;&gt;"acoes")))*INDEX(Inputs!$K$5:$AJ$120,0,MATCH(AD$2,Inputs!$K$4:$AJ$4,0)))+SUMPRODUCT((Inputs!$C$5:$C$120=$B4)*Inputs!$D$5:$D$120*(((Inputs!$G$5:$G$120="moeda")+(Inputs!$G$5:$G$120="acoes"))*Inputs!$B$1+((Inputs!$G$5:$G$120&lt;&gt;"moeda")*(Inputs!$G$5:$G$120&lt;&gt;"acoes")))*INDEX(Inputs!$K$5:$AJ$120,0,MATCH(AD$2,Inputs!$K$4:$AJ$4,0)))+SUMPRODUCT((Inputs!$E$5:$E$120=$B4)*Inputs!$F$5:$F$120*(((Inputs!$G$5:$G$120="moeda")+(Inputs!$G$5:$G$120="acoes"))*Inputs!$B$1+((Inputs!$G$5:$G$120&lt;&gt;"moeda")*(Inputs!$G$5:$G$120&lt;&gt;"acoes")))*INDEX(Inputs!$K$5:$AJ$120,0,MATCH(AD$2,Inputs!$K$4:$AJ$4,0)))))</f>
        <v>7029</v>
      </c>
      <c r="AE4" s="267" t="e">
        <f>IF(ISNA(MATCH(AE$2,Inputs!$K$4:$AJ$4,0)),NA(),IF(SUMPRODUCT((Inputs!$A$5:$A$120=$B4)*ISNUMBER(INDEX(Inputs!$K$5:$AJ$120,0,MATCH(AE$2,Inputs!$K$4:$AJ$4,0))))+SUMPRODUCT((Inputs!$C$5:$C$120=$B4)*ISNUMBER(INDEX(Inputs!$K$5:$AJ$120,0,MATCH(AE$2,Inputs!$K$4:$AJ$4,0))))+SUMPRODUCT((Inputs!$E$5:$E$120=$B4)*ISNUMBER(INDEX(Inputs!$K$5:$AJ$120,0,MATCH(AE$2,Inputs!$K$4:$AJ$4,0))))=0,NA(),SUMPRODUCT((Inputs!$A$5:$A$120=$B4)*Inputs!$B$5:$B$120*(((Inputs!$G$5:$G$120="moeda")+(Inputs!$G$5:$G$120="acoes"))*Inputs!$B$1+((Inputs!$G$5:$G$120&lt;&gt;"moeda")*(Inputs!$G$5:$G$120&lt;&gt;"acoes")))*INDEX(Inputs!$K$5:$AJ$120,0,MATCH(AE$2,Inputs!$K$4:$AJ$4,0)))+SUMPRODUCT((Inputs!$C$5:$C$120=$B4)*Inputs!$D$5:$D$120*(((Inputs!$G$5:$G$120="moeda")+(Inputs!$G$5:$G$120="acoes"))*Inputs!$B$1+((Inputs!$G$5:$G$120&lt;&gt;"moeda")*(Inputs!$G$5:$G$120&lt;&gt;"acoes")))*INDEX(Inputs!$K$5:$AJ$120,0,MATCH(AE$2,Inputs!$K$4:$AJ$4,0)))+SUMPRODUCT((Inputs!$E$5:$E$120=$B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" s="267" t="e">
        <f>IF(ISNA(MATCH(AF$2,Inputs!$K$4:$AJ$4,0)),NA(),IF(SUMPRODUCT((Inputs!$A$5:$A$120=$B4)*ISNUMBER(INDEX(Inputs!$K$5:$AJ$120,0,MATCH(AF$2,Inputs!$K$4:$AJ$4,0))))+SUMPRODUCT((Inputs!$C$5:$C$120=$B4)*ISNUMBER(INDEX(Inputs!$K$5:$AJ$120,0,MATCH(AF$2,Inputs!$K$4:$AJ$4,0))))+SUMPRODUCT((Inputs!$E$5:$E$120=$B4)*ISNUMBER(INDEX(Inputs!$K$5:$AJ$120,0,MATCH(AF$2,Inputs!$K$4:$AJ$4,0))))=0,NA(),SUMPRODUCT((Inputs!$A$5:$A$120=$B4)*Inputs!$B$5:$B$120*(((Inputs!$G$5:$G$120="moeda")+(Inputs!$G$5:$G$120="acoes"))*Inputs!$B$1+((Inputs!$G$5:$G$120&lt;&gt;"moeda")*(Inputs!$G$5:$G$120&lt;&gt;"acoes")))*INDEX(Inputs!$K$5:$AJ$120,0,MATCH(AF$2,Inputs!$K$4:$AJ$4,0)))+SUMPRODUCT((Inputs!$C$5:$C$120=$B4)*Inputs!$D$5:$D$120*(((Inputs!$G$5:$G$120="moeda")+(Inputs!$G$5:$G$120="acoes"))*Inputs!$B$1+((Inputs!$G$5:$G$120&lt;&gt;"moeda")*(Inputs!$G$5:$G$120&lt;&gt;"acoes")))*INDEX(Inputs!$K$5:$AJ$120,0,MATCH(AF$2,Inputs!$K$4:$AJ$4,0)))+SUMPRODUCT((Inputs!$E$5:$E$120=$B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" s="268" t="e">
        <f>SUM(AC4:AF4)</f>
        <v>#N/A</v>
      </c>
      <c r="AH4" s="267">
        <f>IF(ISNA(MATCH(AH$2,Inputs!$K$4:$AJ$4,0)),NA(),IF(SUMPRODUCT((Inputs!$A$5:$A$120=$B4)*ISNUMBER(INDEX(Inputs!$K$5:$AJ$120,0,MATCH(AH$2,Inputs!$K$4:$AJ$4,0))))+SUMPRODUCT((Inputs!$C$5:$C$120=$B4)*ISNUMBER(INDEX(Inputs!$K$5:$AJ$120,0,MATCH(AH$2,Inputs!$K$4:$AJ$4,0))))+SUMPRODUCT((Inputs!$E$5:$E$120=$B4)*ISNUMBER(INDEX(Inputs!$K$5:$AJ$120,0,MATCH(AH$2,Inputs!$K$4:$AJ$4,0))))=0,NA(),SUMPRODUCT((Inputs!$A$5:$A$120=$B4)*Inputs!$B$5:$B$120*(((Inputs!$G$5:$G$120="moeda")+(Inputs!$G$5:$G$120="acoes"))*Inputs!$B$1+((Inputs!$G$5:$G$120&lt;&gt;"moeda")*(Inputs!$G$5:$G$120&lt;&gt;"acoes")))*INDEX(Inputs!$K$5:$AJ$120,0,MATCH(AH$2,Inputs!$K$4:$AJ$4,0)))+SUMPRODUCT((Inputs!$C$5:$C$120=$B4)*Inputs!$D$5:$D$120*(((Inputs!$G$5:$G$120="moeda")+(Inputs!$G$5:$G$120="acoes"))*Inputs!$B$1+((Inputs!$G$5:$G$120&lt;&gt;"moeda")*(Inputs!$G$5:$G$120&lt;&gt;"acoes")))*INDEX(Inputs!$K$5:$AJ$120,0,MATCH(AH$2,Inputs!$K$4:$AJ$4,0)))+SUMPRODUCT((Inputs!$E$5:$E$120=$B4)*Inputs!$F$5:$F$120*(((Inputs!$G$5:$G$120="moeda")+(Inputs!$G$5:$G$120="acoes"))*Inputs!$B$1+((Inputs!$G$5:$G$120&lt;&gt;"moeda")*(Inputs!$G$5:$G$120&lt;&gt;"acoes")))*INDEX(Inputs!$K$5:$AJ$120,0,MATCH(AH$2,Inputs!$K$4:$AJ$4,0)))))</f>
        <v>2798</v>
      </c>
      <c r="AI4" s="267">
        <f>IF(ISNA(MATCH(AI$2,Inputs!$K$4:$AJ$4,0)),NA(),IF(SUMPRODUCT((Inputs!$A$5:$A$120=$B4)*ISNUMBER(INDEX(Inputs!$K$5:$AJ$120,0,MATCH(AI$2,Inputs!$K$4:$AJ$4,0))))+SUMPRODUCT((Inputs!$C$5:$C$120=$B4)*ISNUMBER(INDEX(Inputs!$K$5:$AJ$120,0,MATCH(AI$2,Inputs!$K$4:$AJ$4,0))))+SUMPRODUCT((Inputs!$E$5:$E$120=$B4)*ISNUMBER(INDEX(Inputs!$K$5:$AJ$120,0,MATCH(AI$2,Inputs!$K$4:$AJ$4,0))))=0,NA(),SUMPRODUCT((Inputs!$A$5:$A$120=$B4)*Inputs!$B$5:$B$120*(((Inputs!$G$5:$G$120="moeda")+(Inputs!$G$5:$G$120="acoes"))*Inputs!$B$1+((Inputs!$G$5:$G$120&lt;&gt;"moeda")*(Inputs!$G$5:$G$120&lt;&gt;"acoes")))*INDEX(Inputs!$K$5:$AJ$120,0,MATCH(AI$2,Inputs!$K$4:$AJ$4,0)))+SUMPRODUCT((Inputs!$C$5:$C$120=$B4)*Inputs!$D$5:$D$120*(((Inputs!$G$5:$G$120="moeda")+(Inputs!$G$5:$G$120="acoes"))*Inputs!$B$1+((Inputs!$G$5:$G$120&lt;&gt;"moeda")*(Inputs!$G$5:$G$120&lt;&gt;"acoes")))*INDEX(Inputs!$K$5:$AJ$120,0,MATCH(AI$2,Inputs!$K$4:$AJ$4,0)))+SUMPRODUCT((Inputs!$E$5:$E$120=$B4)*Inputs!$F$5:$F$120*(((Inputs!$G$5:$G$120="moeda")+(Inputs!$G$5:$G$120="acoes"))*Inputs!$B$1+((Inputs!$G$5:$G$120&lt;&gt;"moeda")*(Inputs!$G$5:$G$120&lt;&gt;"acoes")))*INDEX(Inputs!$K$5:$AJ$120,0,MATCH(AI$2,Inputs!$K$4:$AJ$4,0)))))</f>
        <v>3054</v>
      </c>
      <c r="AJ4" s="267">
        <f>IF(ISNA(MATCH(AJ$2,Inputs!$K$4:$AJ$4,0)),NA(),IF(SUMPRODUCT((Inputs!$A$5:$A$120=$B4)*ISNUMBER(INDEX(Inputs!$K$5:$AJ$120,0,MATCH(AJ$2,Inputs!$K$4:$AJ$4,0))))+SUMPRODUCT((Inputs!$C$5:$C$120=$B4)*ISNUMBER(INDEX(Inputs!$K$5:$AJ$120,0,MATCH(AJ$2,Inputs!$K$4:$AJ$4,0))))+SUMPRODUCT((Inputs!$E$5:$E$120=$B4)*ISNUMBER(INDEX(Inputs!$K$5:$AJ$120,0,MATCH(AJ$2,Inputs!$K$4:$AJ$4,0))))=0,NA(),SUMPRODUCT((Inputs!$A$5:$A$120=$B4)*Inputs!$B$5:$B$120*(((Inputs!$G$5:$G$120="moeda")+(Inputs!$G$5:$G$120="acoes"))*Inputs!$B$1+((Inputs!$G$5:$G$120&lt;&gt;"moeda")*(Inputs!$G$5:$G$120&lt;&gt;"acoes")))*INDEX(Inputs!$K$5:$AJ$120,0,MATCH(AJ$2,Inputs!$K$4:$AJ$4,0)))+SUMPRODUCT((Inputs!$C$5:$C$120=$B4)*Inputs!$D$5:$D$120*(((Inputs!$G$5:$G$120="moeda")+(Inputs!$G$5:$G$120="acoes"))*Inputs!$B$1+((Inputs!$G$5:$G$120&lt;&gt;"moeda")*(Inputs!$G$5:$G$120&lt;&gt;"acoes")))*INDEX(Inputs!$K$5:$AJ$120,0,MATCH(AJ$2,Inputs!$K$4:$AJ$4,0)))+SUMPRODUCT((Inputs!$E$5:$E$120=$B4)*Inputs!$F$5:$F$120*(((Inputs!$G$5:$G$120="moeda")+(Inputs!$G$5:$G$120="acoes"))*Inputs!$B$1+((Inputs!$G$5:$G$120&lt;&gt;"moeda")*(Inputs!$G$5:$G$120&lt;&gt;"acoes")))*INDEX(Inputs!$K$5:$AJ$120,0,MATCH(AJ$2,Inputs!$K$4:$AJ$4,0)))))</f>
        <v>3851</v>
      </c>
      <c r="AK4" s="267">
        <f>IF(ISNA(MATCH(AK$2,Inputs!$K$4:$AJ$4,0)),NA(),IF(SUMPRODUCT((Inputs!$A$5:$A$120=$B4)*ISNUMBER(INDEX(Inputs!$K$5:$AJ$120,0,MATCH(AK$2,Inputs!$K$4:$AJ$4,0))))+SUMPRODUCT((Inputs!$C$5:$C$120=$B4)*ISNUMBER(INDEX(Inputs!$K$5:$AJ$120,0,MATCH(AK$2,Inputs!$K$4:$AJ$4,0))))+SUMPRODUCT((Inputs!$E$5:$E$120=$B4)*ISNUMBER(INDEX(Inputs!$K$5:$AJ$120,0,MATCH(AK$2,Inputs!$K$4:$AJ$4,0))))=0,NA(),SUMPRODUCT((Inputs!$A$5:$A$120=$B4)*Inputs!$B$5:$B$120*(((Inputs!$G$5:$G$120="moeda")+(Inputs!$G$5:$G$120="acoes"))*Inputs!$B$1+((Inputs!$G$5:$G$120&lt;&gt;"moeda")*(Inputs!$G$5:$G$120&lt;&gt;"acoes")))*INDEX(Inputs!$K$5:$AJ$120,0,MATCH(AK$2,Inputs!$K$4:$AJ$4,0)))+SUMPRODUCT((Inputs!$C$5:$C$120=$B4)*Inputs!$D$5:$D$120*(((Inputs!$G$5:$G$120="moeda")+(Inputs!$G$5:$G$120="acoes"))*Inputs!$B$1+((Inputs!$G$5:$G$120&lt;&gt;"moeda")*(Inputs!$G$5:$G$120&lt;&gt;"acoes")))*INDEX(Inputs!$K$5:$AJ$120,0,MATCH(AK$2,Inputs!$K$4:$AJ$4,0)))+SUMPRODUCT((Inputs!$E$5:$E$120=$B4)*Inputs!$F$5:$F$120*(((Inputs!$G$5:$G$120="moeda")+(Inputs!$G$5:$G$120="acoes"))*Inputs!$B$1+((Inputs!$G$5:$G$120&lt;&gt;"moeda")*(Inputs!$G$5:$G$120&lt;&gt;"acoes")))*INDEX(Inputs!$K$5:$AJ$120,0,MATCH(AK$2,Inputs!$K$4:$AJ$4,0)))))</f>
        <v>4495</v>
      </c>
      <c r="AL4" s="268">
        <f>SUM(AH4:AK4)</f>
        <v>14198</v>
      </c>
    </row>
    <row r="5" ht="12.75" customHeight="1" s="255">
      <c r="B5" s="265" t="n">
        <v>2</v>
      </c>
      <c r="C5" s="269" t="inlineStr">
        <is>
          <t>COGS (cash)</t>
        </is>
      </c>
      <c r="D5" s="267">
        <f>IF(ISNA(MATCH(D$2,Inputs!$K$4:$AJ$4,0)),NA(),IF(SUMPRODUCT((Inputs!$A$5:$A$120=$B5)*ISNUMBER(INDEX(Inputs!$K$5:$AJ$120,0,MATCH(D$2,Inputs!$K$4:$AJ$4,0))))+SUMPRODUCT((Inputs!$C$5:$C$120=$B5)*ISNUMBER(INDEX(Inputs!$K$5:$AJ$120,0,MATCH(D$2,Inputs!$K$4:$AJ$4,0))))+SUMPRODUCT((Inputs!$E$5:$E$120=$B5)*ISNUMBER(INDEX(Inputs!$K$5:$AJ$120,0,MATCH(D$2,Inputs!$K$4:$AJ$4,0))))=0,NA(),SUMPRODUCT((Inputs!$A$5:$A$120=$B5)*Inputs!$B$5:$B$120*(((Inputs!$G$5:$G$120="moeda")+(Inputs!$G$5:$G$120="acoes"))*Inputs!$B$1+((Inputs!$G$5:$G$120&lt;&gt;"moeda")*(Inputs!$G$5:$G$120&lt;&gt;"acoes")))*INDEX(Inputs!$K$5:$AJ$120,0,MATCH(D$2,Inputs!$K$4:$AJ$4,0)))+SUMPRODUCT((Inputs!$C$5:$C$120=$B5)*Inputs!$D$5:$D$120*(((Inputs!$G$5:$G$120="moeda")+(Inputs!$G$5:$G$120="acoes"))*Inputs!$B$1+((Inputs!$G$5:$G$120&lt;&gt;"moeda")*(Inputs!$G$5:$G$120&lt;&gt;"acoes")))*INDEX(Inputs!$K$5:$AJ$120,0,MATCH(D$2,Inputs!$K$4:$AJ$4,0)))+SUMPRODUCT((Inputs!$E$5:$E$120=$B5)*Inputs!$F$5:$F$120*(((Inputs!$G$5:$G$120="moeda")+(Inputs!$G$5:$G$120="acoes"))*Inputs!$B$1+((Inputs!$G$5:$G$120&lt;&gt;"moeda")*(Inputs!$G$5:$G$120&lt;&gt;"acoes")))*INDEX(Inputs!$K$5:$AJ$120,0,MATCH(D$2,Inputs!$K$4:$AJ$4,0)))))</f>
        <v>-2787</v>
      </c>
      <c r="E5" s="267">
        <f>IF(ISNA(MATCH(E$2,Inputs!$K$4:$AJ$4,0)),NA(),IF(SUMPRODUCT((Inputs!$A$5:$A$120=$B5)*ISNUMBER(INDEX(Inputs!$K$5:$AJ$120,0,MATCH(E$2,Inputs!$K$4:$AJ$4,0))))+SUMPRODUCT((Inputs!$C$5:$C$120=$B5)*ISNUMBER(INDEX(Inputs!$K$5:$AJ$120,0,MATCH(E$2,Inputs!$K$4:$AJ$4,0))))+SUMPRODUCT((Inputs!$E$5:$E$120=$B5)*ISNUMBER(INDEX(Inputs!$K$5:$AJ$120,0,MATCH(E$2,Inputs!$K$4:$AJ$4,0))))=0,NA(),SUMPRODUCT((Inputs!$A$5:$A$120=$B5)*Inputs!$B$5:$B$120*(((Inputs!$G$5:$G$120="moeda")+(Inputs!$G$5:$G$120="acoes"))*Inputs!$B$1+((Inputs!$G$5:$G$120&lt;&gt;"moeda")*(Inputs!$G$5:$G$120&lt;&gt;"acoes")))*INDEX(Inputs!$K$5:$AJ$120,0,MATCH(E$2,Inputs!$K$4:$AJ$4,0)))+SUMPRODUCT((Inputs!$C$5:$C$120=$B5)*Inputs!$D$5:$D$120*(((Inputs!$G$5:$G$120="moeda")+(Inputs!$G$5:$G$120="acoes"))*Inputs!$B$1+((Inputs!$G$5:$G$120&lt;&gt;"moeda")*(Inputs!$G$5:$G$120&lt;&gt;"acoes")))*INDEX(Inputs!$K$5:$AJ$120,0,MATCH(E$2,Inputs!$K$4:$AJ$4,0)))+SUMPRODUCT((Inputs!$E$5:$E$120=$B5)*Inputs!$F$5:$F$120*(((Inputs!$G$5:$G$120="moeda")+(Inputs!$G$5:$G$120="acoes"))*Inputs!$B$1+((Inputs!$G$5:$G$120&lt;&gt;"moeda")*(Inputs!$G$5:$G$120&lt;&gt;"acoes")))*INDEX(Inputs!$K$5:$AJ$120,0,MATCH(E$2,Inputs!$K$4:$AJ$4,0)))))</f>
        <v>-3067</v>
      </c>
      <c r="F5" s="267">
        <f>IF(ISNA(MATCH(F$2,Inputs!$K$4:$AJ$4,0)),NA(),IF(SUMPRODUCT((Inputs!$A$5:$A$120=$B5)*ISNUMBER(INDEX(Inputs!$K$5:$AJ$120,0,MATCH(F$2,Inputs!$K$4:$AJ$4,0))))+SUMPRODUCT((Inputs!$C$5:$C$120=$B5)*ISNUMBER(INDEX(Inputs!$K$5:$AJ$120,0,MATCH(F$2,Inputs!$K$4:$AJ$4,0))))+SUMPRODUCT((Inputs!$E$5:$E$120=$B5)*ISNUMBER(INDEX(Inputs!$K$5:$AJ$120,0,MATCH(F$2,Inputs!$K$4:$AJ$4,0))))=0,NA(),SUMPRODUCT((Inputs!$A$5:$A$120=$B5)*Inputs!$B$5:$B$120*(((Inputs!$G$5:$G$120="moeda")+(Inputs!$G$5:$G$120="acoes"))*Inputs!$B$1+((Inputs!$G$5:$G$120&lt;&gt;"moeda")*(Inputs!$G$5:$G$120&lt;&gt;"acoes")))*INDEX(Inputs!$K$5:$AJ$120,0,MATCH(F$2,Inputs!$K$4:$AJ$4,0)))+SUMPRODUCT((Inputs!$C$5:$C$120=$B5)*Inputs!$D$5:$D$120*(((Inputs!$G$5:$G$120="moeda")+(Inputs!$G$5:$G$120="acoes"))*Inputs!$B$1+((Inputs!$G$5:$G$120&lt;&gt;"moeda")*(Inputs!$G$5:$G$120&lt;&gt;"acoes")))*INDEX(Inputs!$K$5:$AJ$120,0,MATCH(F$2,Inputs!$K$4:$AJ$4,0)))+SUMPRODUCT((Inputs!$E$5:$E$120=$B5)*Inputs!$F$5:$F$120*(((Inputs!$G$5:$G$120="moeda")+(Inputs!$G$5:$G$120="acoes"))*Inputs!$B$1+((Inputs!$G$5:$G$120&lt;&gt;"moeda")*(Inputs!$G$5:$G$120&lt;&gt;"acoes")))*INDEX(Inputs!$K$5:$AJ$120,0,MATCH(F$2,Inputs!$K$4:$AJ$4,0)))))</f>
        <v>-3023</v>
      </c>
      <c r="G5" s="267">
        <f>IF(ISNA(MATCH(G$2,Inputs!$K$4:$AJ$4,0)),NA(),IF(SUMPRODUCT((Inputs!$A$5:$A$120=$B5)*ISNUMBER(INDEX(Inputs!$K$5:$AJ$120,0,MATCH(G$2,Inputs!$K$4:$AJ$4,0))))+SUMPRODUCT((Inputs!$C$5:$C$120=$B5)*ISNUMBER(INDEX(Inputs!$K$5:$AJ$120,0,MATCH(G$2,Inputs!$K$4:$AJ$4,0))))+SUMPRODUCT((Inputs!$E$5:$E$120=$B5)*ISNUMBER(INDEX(Inputs!$K$5:$AJ$120,0,MATCH(G$2,Inputs!$K$4:$AJ$4,0))))=0,NA(),SUMPRODUCT((Inputs!$A$5:$A$120=$B5)*Inputs!$B$5:$B$120*(((Inputs!$G$5:$G$120="moeda")+(Inputs!$G$5:$G$120="acoes"))*Inputs!$B$1+((Inputs!$G$5:$G$120&lt;&gt;"moeda")*(Inputs!$G$5:$G$120&lt;&gt;"acoes")))*INDEX(Inputs!$K$5:$AJ$120,0,MATCH(G$2,Inputs!$K$4:$AJ$4,0)))+SUMPRODUCT((Inputs!$C$5:$C$120=$B5)*Inputs!$D$5:$D$120*(((Inputs!$G$5:$G$120="moeda")+(Inputs!$G$5:$G$120="acoes"))*Inputs!$B$1+((Inputs!$G$5:$G$120&lt;&gt;"moeda")*(Inputs!$G$5:$G$120&lt;&gt;"acoes")))*INDEX(Inputs!$K$5:$AJ$120,0,MATCH(G$2,Inputs!$K$4:$AJ$4,0)))+SUMPRODUCT((Inputs!$E$5:$E$120=$B5)*Inputs!$F$5:$F$120*(((Inputs!$G$5:$G$120="moeda")+(Inputs!$G$5:$G$120="acoes"))*Inputs!$B$1+((Inputs!$G$5:$G$120&lt;&gt;"moeda")*(Inputs!$G$5:$G$120&lt;&gt;"acoes")))*INDEX(Inputs!$K$5:$AJ$120,0,MATCH(G$2,Inputs!$K$4:$AJ$4,0)))))</f>
        <v>-3155</v>
      </c>
      <c r="H5" s="268">
        <f>SUM(D5:G5)</f>
        <v>-12032</v>
      </c>
      <c r="I5" s="267">
        <f>IF(ISNA(MATCH(I$2,Inputs!$K$4:$AJ$4,0)),NA(),IF(SUMPRODUCT((Inputs!$A$5:$A$120=$B5)*ISNUMBER(INDEX(Inputs!$K$5:$AJ$120,0,MATCH(I$2,Inputs!$K$4:$AJ$4,0))))+SUMPRODUCT((Inputs!$C$5:$C$120=$B5)*ISNUMBER(INDEX(Inputs!$K$5:$AJ$120,0,MATCH(I$2,Inputs!$K$4:$AJ$4,0))))+SUMPRODUCT((Inputs!$E$5:$E$120=$B5)*ISNUMBER(INDEX(Inputs!$K$5:$AJ$120,0,MATCH(I$2,Inputs!$K$4:$AJ$4,0))))=0,NA(),SUMPRODUCT((Inputs!$A$5:$A$120=$B5)*Inputs!$B$5:$B$120*(((Inputs!$G$5:$G$120="moeda")+(Inputs!$G$5:$G$120="acoes"))*Inputs!$B$1+((Inputs!$G$5:$G$120&lt;&gt;"moeda")*(Inputs!$G$5:$G$120&lt;&gt;"acoes")))*INDEX(Inputs!$K$5:$AJ$120,0,MATCH(I$2,Inputs!$K$4:$AJ$4,0)))+SUMPRODUCT((Inputs!$C$5:$C$120=$B5)*Inputs!$D$5:$D$120*(((Inputs!$G$5:$G$120="moeda")+(Inputs!$G$5:$G$120="acoes"))*Inputs!$B$1+((Inputs!$G$5:$G$120&lt;&gt;"moeda")*(Inputs!$G$5:$G$120&lt;&gt;"acoes")))*INDEX(Inputs!$K$5:$AJ$120,0,MATCH(I$2,Inputs!$K$4:$AJ$4,0)))+SUMPRODUCT((Inputs!$E$5:$E$120=$B5)*Inputs!$F$5:$F$120*(((Inputs!$G$5:$G$120="moeda")+(Inputs!$G$5:$G$120="acoes"))*Inputs!$B$1+((Inputs!$G$5:$G$120&lt;&gt;"moeda")*(Inputs!$G$5:$G$120&lt;&gt;"acoes")))*INDEX(Inputs!$K$5:$AJ$120,0,MATCH(I$2,Inputs!$K$4:$AJ$4,0)))))</f>
        <v>-3150</v>
      </c>
      <c r="J5" s="267">
        <f>IF(ISNA(MATCH(J$2,Inputs!$K$4:$AJ$4,0)),NA(),IF(SUMPRODUCT((Inputs!$A$5:$A$120=$B5)*ISNUMBER(INDEX(Inputs!$K$5:$AJ$120,0,MATCH(J$2,Inputs!$K$4:$AJ$4,0))))+SUMPRODUCT((Inputs!$C$5:$C$120=$B5)*ISNUMBER(INDEX(Inputs!$K$5:$AJ$120,0,MATCH(J$2,Inputs!$K$4:$AJ$4,0))))+SUMPRODUCT((Inputs!$E$5:$E$120=$B5)*ISNUMBER(INDEX(Inputs!$K$5:$AJ$120,0,MATCH(J$2,Inputs!$K$4:$AJ$4,0))))=0,NA(),SUMPRODUCT((Inputs!$A$5:$A$120=$B5)*Inputs!$B$5:$B$120*(((Inputs!$G$5:$G$120="moeda")+(Inputs!$G$5:$G$120="acoes"))*Inputs!$B$1+((Inputs!$G$5:$G$120&lt;&gt;"moeda")*(Inputs!$G$5:$G$120&lt;&gt;"acoes")))*INDEX(Inputs!$K$5:$AJ$120,0,MATCH(J$2,Inputs!$K$4:$AJ$4,0)))+SUMPRODUCT((Inputs!$C$5:$C$120=$B5)*Inputs!$D$5:$D$120*(((Inputs!$G$5:$G$120="moeda")+(Inputs!$G$5:$G$120="acoes"))*Inputs!$B$1+((Inputs!$G$5:$G$120&lt;&gt;"moeda")*(Inputs!$G$5:$G$120&lt;&gt;"acoes")))*INDEX(Inputs!$K$5:$AJ$120,0,MATCH(J$2,Inputs!$K$4:$AJ$4,0)))+SUMPRODUCT((Inputs!$E$5:$E$120=$B5)*Inputs!$F$5:$F$120*(((Inputs!$G$5:$G$120="moeda")+(Inputs!$G$5:$G$120="acoes"))*Inputs!$B$1+((Inputs!$G$5:$G$120&lt;&gt;"moeda")*(Inputs!$G$5:$G$120&lt;&gt;"acoes")))*INDEX(Inputs!$K$5:$AJ$120,0,MATCH(J$2,Inputs!$K$4:$AJ$4,0)))))</f>
        <v>-3021</v>
      </c>
      <c r="K5" s="267">
        <f>IF(ISNA(MATCH(K$2,Inputs!$K$4:$AJ$4,0)),NA(),IF(SUMPRODUCT((Inputs!$A$5:$A$120=$B5)*ISNUMBER(INDEX(Inputs!$K$5:$AJ$120,0,MATCH(K$2,Inputs!$K$4:$AJ$4,0))))+SUMPRODUCT((Inputs!$C$5:$C$120=$B5)*ISNUMBER(INDEX(Inputs!$K$5:$AJ$120,0,MATCH(K$2,Inputs!$K$4:$AJ$4,0))))+SUMPRODUCT((Inputs!$E$5:$E$120=$B5)*ISNUMBER(INDEX(Inputs!$K$5:$AJ$120,0,MATCH(K$2,Inputs!$K$4:$AJ$4,0))))=0,NA(),SUMPRODUCT((Inputs!$A$5:$A$120=$B5)*Inputs!$B$5:$B$120*(((Inputs!$G$5:$G$120="moeda")+(Inputs!$G$5:$G$120="acoes"))*Inputs!$B$1+((Inputs!$G$5:$G$120&lt;&gt;"moeda")*(Inputs!$G$5:$G$120&lt;&gt;"acoes")))*INDEX(Inputs!$K$5:$AJ$120,0,MATCH(K$2,Inputs!$K$4:$AJ$4,0)))+SUMPRODUCT((Inputs!$C$5:$C$120=$B5)*Inputs!$D$5:$D$120*(((Inputs!$G$5:$G$120="moeda")+(Inputs!$G$5:$G$120="acoes"))*Inputs!$B$1+((Inputs!$G$5:$G$120&lt;&gt;"moeda")*(Inputs!$G$5:$G$120&lt;&gt;"acoes")))*INDEX(Inputs!$K$5:$AJ$120,0,MATCH(K$2,Inputs!$K$4:$AJ$4,0)))+SUMPRODUCT((Inputs!$E$5:$E$120=$B5)*Inputs!$F$5:$F$120*(((Inputs!$G$5:$G$120="moeda")+(Inputs!$G$5:$G$120="acoes"))*Inputs!$B$1+((Inputs!$G$5:$G$120&lt;&gt;"moeda")*(Inputs!$G$5:$G$120&lt;&gt;"acoes")))*INDEX(Inputs!$K$5:$AJ$120,0,MATCH(K$2,Inputs!$K$4:$AJ$4,0)))))</f>
        <v>-3391</v>
      </c>
      <c r="L5" s="267">
        <f>IF(ISNA(MATCH(L$2,Inputs!$K$4:$AJ$4,0)),NA(),IF(SUMPRODUCT((Inputs!$A$5:$A$120=$B5)*ISNUMBER(INDEX(Inputs!$K$5:$AJ$120,0,MATCH(L$2,Inputs!$K$4:$AJ$4,0))))+SUMPRODUCT((Inputs!$C$5:$C$120=$B5)*ISNUMBER(INDEX(Inputs!$K$5:$AJ$120,0,MATCH(L$2,Inputs!$K$4:$AJ$4,0))))+SUMPRODUCT((Inputs!$E$5:$E$120=$B5)*ISNUMBER(INDEX(Inputs!$K$5:$AJ$120,0,MATCH(L$2,Inputs!$K$4:$AJ$4,0))))=0,NA(),SUMPRODUCT((Inputs!$A$5:$A$120=$B5)*Inputs!$B$5:$B$120*(((Inputs!$G$5:$G$120="moeda")+(Inputs!$G$5:$G$120="acoes"))*Inputs!$B$1+((Inputs!$G$5:$G$120&lt;&gt;"moeda")*(Inputs!$G$5:$G$120&lt;&gt;"acoes")))*INDEX(Inputs!$K$5:$AJ$120,0,MATCH(L$2,Inputs!$K$4:$AJ$4,0)))+SUMPRODUCT((Inputs!$C$5:$C$120=$B5)*Inputs!$D$5:$D$120*(((Inputs!$G$5:$G$120="moeda")+(Inputs!$G$5:$G$120="acoes"))*Inputs!$B$1+((Inputs!$G$5:$G$120&lt;&gt;"moeda")*(Inputs!$G$5:$G$120&lt;&gt;"acoes")))*INDEX(Inputs!$K$5:$AJ$120,0,MATCH(L$2,Inputs!$K$4:$AJ$4,0)))+SUMPRODUCT((Inputs!$E$5:$E$120=$B5)*Inputs!$F$5:$F$120*(((Inputs!$G$5:$G$120="moeda")+(Inputs!$G$5:$G$120="acoes"))*Inputs!$B$1+((Inputs!$G$5:$G$120&lt;&gt;"moeda")*(Inputs!$G$5:$G$120&lt;&gt;"acoes")))*INDEX(Inputs!$K$5:$AJ$120,0,MATCH(L$2,Inputs!$K$4:$AJ$4,0)))))</f>
        <v>-3508</v>
      </c>
      <c r="M5" s="268">
        <f>SUM(I5:L5)</f>
        <v>-13070</v>
      </c>
      <c r="N5" s="267">
        <f>IF(ISNA(MATCH(N$2,Inputs!$K$4:$AJ$4,0)),NA(),IF(SUMPRODUCT((Inputs!$A$5:$A$120=$B5)*ISNUMBER(INDEX(Inputs!$K$5:$AJ$120,0,MATCH(N$2,Inputs!$K$4:$AJ$4,0))))+SUMPRODUCT((Inputs!$C$5:$C$120=$B5)*ISNUMBER(INDEX(Inputs!$K$5:$AJ$120,0,MATCH(N$2,Inputs!$K$4:$AJ$4,0))))+SUMPRODUCT((Inputs!$E$5:$E$120=$B5)*ISNUMBER(INDEX(Inputs!$K$5:$AJ$120,0,MATCH(N$2,Inputs!$K$4:$AJ$4,0))))=0,NA(),SUMPRODUCT((Inputs!$A$5:$A$120=$B5)*Inputs!$B$5:$B$120*(((Inputs!$G$5:$G$120="moeda")+(Inputs!$G$5:$G$120="acoes"))*Inputs!$B$1+((Inputs!$G$5:$G$120&lt;&gt;"moeda")*(Inputs!$G$5:$G$120&lt;&gt;"acoes")))*INDEX(Inputs!$K$5:$AJ$120,0,MATCH(N$2,Inputs!$K$4:$AJ$4,0)))+SUMPRODUCT((Inputs!$C$5:$C$120=$B5)*Inputs!$D$5:$D$120*(((Inputs!$G$5:$G$120="moeda")+(Inputs!$G$5:$G$120="acoes"))*Inputs!$B$1+((Inputs!$G$5:$G$120&lt;&gt;"moeda")*(Inputs!$G$5:$G$120&lt;&gt;"acoes")))*INDEX(Inputs!$K$5:$AJ$120,0,MATCH(N$2,Inputs!$K$4:$AJ$4,0)))+SUMPRODUCT((Inputs!$E$5:$E$120=$B5)*Inputs!$F$5:$F$120*(((Inputs!$G$5:$G$120="moeda")+(Inputs!$G$5:$G$120="acoes"))*Inputs!$B$1+((Inputs!$G$5:$G$120&lt;&gt;"moeda")*(Inputs!$G$5:$G$120&lt;&gt;"acoes")))*INDEX(Inputs!$K$5:$AJ$120,0,MATCH(N$2,Inputs!$K$4:$AJ$4,0)))))</f>
        <v>-3165</v>
      </c>
      <c r="O5" s="267">
        <f>IF(ISNA(MATCH(O$2,Inputs!$K$4:$AJ$4,0)),NA(),IF(SUMPRODUCT((Inputs!$A$5:$A$120=$B5)*ISNUMBER(INDEX(Inputs!$K$5:$AJ$120,0,MATCH(O$2,Inputs!$K$4:$AJ$4,0))))+SUMPRODUCT((Inputs!$C$5:$C$120=$B5)*ISNUMBER(INDEX(Inputs!$K$5:$AJ$120,0,MATCH(O$2,Inputs!$K$4:$AJ$4,0))))+SUMPRODUCT((Inputs!$E$5:$E$120=$B5)*ISNUMBER(INDEX(Inputs!$K$5:$AJ$120,0,MATCH(O$2,Inputs!$K$4:$AJ$4,0))))=0,NA(),SUMPRODUCT((Inputs!$A$5:$A$120=$B5)*Inputs!$B$5:$B$120*(((Inputs!$G$5:$G$120="moeda")+(Inputs!$G$5:$G$120="acoes"))*Inputs!$B$1+((Inputs!$G$5:$G$120&lt;&gt;"moeda")*(Inputs!$G$5:$G$120&lt;&gt;"acoes")))*INDEX(Inputs!$K$5:$AJ$120,0,MATCH(O$2,Inputs!$K$4:$AJ$4,0)))+SUMPRODUCT((Inputs!$C$5:$C$120=$B5)*Inputs!$D$5:$D$120*(((Inputs!$G$5:$G$120="moeda")+(Inputs!$G$5:$G$120="acoes"))*Inputs!$B$1+((Inputs!$G$5:$G$120&lt;&gt;"moeda")*(Inputs!$G$5:$G$120&lt;&gt;"acoes")))*INDEX(Inputs!$K$5:$AJ$120,0,MATCH(O$2,Inputs!$K$4:$AJ$4,0)))+SUMPRODUCT((Inputs!$E$5:$E$120=$B5)*Inputs!$F$5:$F$120*(((Inputs!$G$5:$G$120="moeda")+(Inputs!$G$5:$G$120="acoes"))*Inputs!$B$1+((Inputs!$G$5:$G$120&lt;&gt;"moeda")*(Inputs!$G$5:$G$120&lt;&gt;"acoes")))*INDEX(Inputs!$K$5:$AJ$120,0,MATCH(O$2,Inputs!$K$4:$AJ$4,0)))))</f>
        <v>-3549</v>
      </c>
      <c r="P5" s="267">
        <f>IF(ISNA(MATCH(P$2,Inputs!$K$4:$AJ$4,0)),NA(),IF(SUMPRODUCT((Inputs!$A$5:$A$120=$B5)*ISNUMBER(INDEX(Inputs!$K$5:$AJ$120,0,MATCH(P$2,Inputs!$K$4:$AJ$4,0))))+SUMPRODUCT((Inputs!$C$5:$C$120=$B5)*ISNUMBER(INDEX(Inputs!$K$5:$AJ$120,0,MATCH(P$2,Inputs!$K$4:$AJ$4,0))))+SUMPRODUCT((Inputs!$E$5:$E$120=$B5)*ISNUMBER(INDEX(Inputs!$K$5:$AJ$120,0,MATCH(P$2,Inputs!$K$4:$AJ$4,0))))=0,NA(),SUMPRODUCT((Inputs!$A$5:$A$120=$B5)*Inputs!$B$5:$B$120*(((Inputs!$G$5:$G$120="moeda")+(Inputs!$G$5:$G$120="acoes"))*Inputs!$B$1+((Inputs!$G$5:$G$120&lt;&gt;"moeda")*(Inputs!$G$5:$G$120&lt;&gt;"acoes")))*INDEX(Inputs!$K$5:$AJ$120,0,MATCH(P$2,Inputs!$K$4:$AJ$4,0)))+SUMPRODUCT((Inputs!$C$5:$C$120=$B5)*Inputs!$D$5:$D$120*(((Inputs!$G$5:$G$120="moeda")+(Inputs!$G$5:$G$120="acoes"))*Inputs!$B$1+((Inputs!$G$5:$G$120&lt;&gt;"moeda")*(Inputs!$G$5:$G$120&lt;&gt;"acoes")))*INDEX(Inputs!$K$5:$AJ$120,0,MATCH(P$2,Inputs!$K$4:$AJ$4,0)))+SUMPRODUCT((Inputs!$E$5:$E$120=$B5)*Inputs!$F$5:$F$120*(((Inputs!$G$5:$G$120="moeda")+(Inputs!$G$5:$G$120="acoes"))*Inputs!$B$1+((Inputs!$G$5:$G$120&lt;&gt;"moeda")*(Inputs!$G$5:$G$120&lt;&gt;"acoes")))*INDEX(Inputs!$K$5:$AJ$120,0,MATCH(P$2,Inputs!$K$4:$AJ$4,0)))))</f>
        <v>-3553</v>
      </c>
      <c r="Q5" s="267">
        <f>IF(ISNA(MATCH(Q$2,Inputs!$K$4:$AJ$4,0)),NA(),IF(SUMPRODUCT((Inputs!$A$5:$A$120=$B5)*ISNUMBER(INDEX(Inputs!$K$5:$AJ$120,0,MATCH(Q$2,Inputs!$K$4:$AJ$4,0))))+SUMPRODUCT((Inputs!$C$5:$C$120=$B5)*ISNUMBER(INDEX(Inputs!$K$5:$AJ$120,0,MATCH(Q$2,Inputs!$K$4:$AJ$4,0))))+SUMPRODUCT((Inputs!$E$5:$E$120=$B5)*ISNUMBER(INDEX(Inputs!$K$5:$AJ$120,0,MATCH(Q$2,Inputs!$K$4:$AJ$4,0))))=0,NA(),SUMPRODUCT((Inputs!$A$5:$A$120=$B5)*Inputs!$B$5:$B$120*(((Inputs!$G$5:$G$120="moeda")+(Inputs!$G$5:$G$120="acoes"))*Inputs!$B$1+((Inputs!$G$5:$G$120&lt;&gt;"moeda")*(Inputs!$G$5:$G$120&lt;&gt;"acoes")))*INDEX(Inputs!$K$5:$AJ$120,0,MATCH(Q$2,Inputs!$K$4:$AJ$4,0)))+SUMPRODUCT((Inputs!$C$5:$C$120=$B5)*Inputs!$D$5:$D$120*(((Inputs!$G$5:$G$120="moeda")+(Inputs!$G$5:$G$120="acoes"))*Inputs!$B$1+((Inputs!$G$5:$G$120&lt;&gt;"moeda")*(Inputs!$G$5:$G$120&lt;&gt;"acoes")))*INDEX(Inputs!$K$5:$AJ$120,0,MATCH(Q$2,Inputs!$K$4:$AJ$4,0)))+SUMPRODUCT((Inputs!$E$5:$E$120=$B5)*Inputs!$F$5:$F$120*(((Inputs!$G$5:$G$120="moeda")+(Inputs!$G$5:$G$120="acoes"))*Inputs!$B$1+((Inputs!$G$5:$G$120&lt;&gt;"moeda")*(Inputs!$G$5:$G$120&lt;&gt;"acoes")))*INDEX(Inputs!$K$5:$AJ$120,0,MATCH(Q$2,Inputs!$K$4:$AJ$4,0)))))</f>
        <v>-3360</v>
      </c>
      <c r="R5" s="268">
        <f>SUM(N5:Q5)</f>
        <v>-13627</v>
      </c>
      <c r="S5" s="267">
        <f>IF(ISNA(MATCH(S$2,Inputs!$K$4:$AJ$4,0)),NA(),IF(SUMPRODUCT((Inputs!$A$5:$A$120=$B5)*ISNUMBER(INDEX(Inputs!$K$5:$AJ$120,0,MATCH(S$2,Inputs!$K$4:$AJ$4,0))))+SUMPRODUCT((Inputs!$C$5:$C$120=$B5)*ISNUMBER(INDEX(Inputs!$K$5:$AJ$120,0,MATCH(S$2,Inputs!$K$4:$AJ$4,0))))+SUMPRODUCT((Inputs!$E$5:$E$120=$B5)*ISNUMBER(INDEX(Inputs!$K$5:$AJ$120,0,MATCH(S$2,Inputs!$K$4:$AJ$4,0))))=0,NA(),SUMPRODUCT((Inputs!$A$5:$A$120=$B5)*Inputs!$B$5:$B$120*(((Inputs!$G$5:$G$120="moeda")+(Inputs!$G$5:$G$120="acoes"))*Inputs!$B$1+((Inputs!$G$5:$G$120&lt;&gt;"moeda")*(Inputs!$G$5:$G$120&lt;&gt;"acoes")))*INDEX(Inputs!$K$5:$AJ$120,0,MATCH(S$2,Inputs!$K$4:$AJ$4,0)))+SUMPRODUCT((Inputs!$C$5:$C$120=$B5)*Inputs!$D$5:$D$120*(((Inputs!$G$5:$G$120="moeda")+(Inputs!$G$5:$G$120="acoes"))*Inputs!$B$1+((Inputs!$G$5:$G$120&lt;&gt;"moeda")*(Inputs!$G$5:$G$120&lt;&gt;"acoes")))*INDEX(Inputs!$K$5:$AJ$120,0,MATCH(S$2,Inputs!$K$4:$AJ$4,0)))+SUMPRODUCT((Inputs!$E$5:$E$120=$B5)*Inputs!$F$5:$F$120*(((Inputs!$G$5:$G$120="moeda")+(Inputs!$G$5:$G$120="acoes"))*Inputs!$B$1+((Inputs!$G$5:$G$120&lt;&gt;"moeda")*(Inputs!$G$5:$G$120&lt;&gt;"acoes")))*INDEX(Inputs!$K$5:$AJ$120,0,MATCH(S$2,Inputs!$K$4:$AJ$4,0)))))</f>
        <v>-3844</v>
      </c>
      <c r="T5" s="267">
        <f>IF(ISNA(MATCH(T$2,Inputs!$K$4:$AJ$4,0)),NA(),IF(SUMPRODUCT((Inputs!$A$5:$A$120=$B5)*ISNUMBER(INDEX(Inputs!$K$5:$AJ$120,0,MATCH(T$2,Inputs!$K$4:$AJ$4,0))))+SUMPRODUCT((Inputs!$C$5:$C$120=$B5)*ISNUMBER(INDEX(Inputs!$K$5:$AJ$120,0,MATCH(T$2,Inputs!$K$4:$AJ$4,0))))+SUMPRODUCT((Inputs!$E$5:$E$120=$B5)*ISNUMBER(INDEX(Inputs!$K$5:$AJ$120,0,MATCH(T$2,Inputs!$K$4:$AJ$4,0))))=0,NA(),SUMPRODUCT((Inputs!$A$5:$A$120=$B5)*Inputs!$B$5:$B$120*(((Inputs!$G$5:$G$120="moeda")+(Inputs!$G$5:$G$120="acoes"))*Inputs!$B$1+((Inputs!$G$5:$G$120&lt;&gt;"moeda")*(Inputs!$G$5:$G$120&lt;&gt;"acoes")))*INDEX(Inputs!$K$5:$AJ$120,0,MATCH(T$2,Inputs!$K$4:$AJ$4,0)))+SUMPRODUCT((Inputs!$C$5:$C$120=$B5)*Inputs!$D$5:$D$120*(((Inputs!$G$5:$G$120="moeda")+(Inputs!$G$5:$G$120="acoes"))*Inputs!$B$1+((Inputs!$G$5:$G$120&lt;&gt;"moeda")*(Inputs!$G$5:$G$120&lt;&gt;"acoes")))*INDEX(Inputs!$K$5:$AJ$120,0,MATCH(T$2,Inputs!$K$4:$AJ$4,0)))+SUMPRODUCT((Inputs!$E$5:$E$120=$B5)*Inputs!$F$5:$F$120*(((Inputs!$G$5:$G$120="moeda")+(Inputs!$G$5:$G$120="acoes"))*Inputs!$B$1+((Inputs!$G$5:$G$120&lt;&gt;"moeda")*(Inputs!$G$5:$G$120&lt;&gt;"acoes")))*INDEX(Inputs!$K$5:$AJ$120,0,MATCH(T$2,Inputs!$K$4:$AJ$4,0)))))</f>
        <v>-3875</v>
      </c>
      <c r="U5" s="267">
        <f>IF(ISNA(MATCH(U$2,Inputs!$K$4:$AJ$4,0)),NA(),IF(SUMPRODUCT((Inputs!$A$5:$A$120=$B5)*ISNUMBER(INDEX(Inputs!$K$5:$AJ$120,0,MATCH(U$2,Inputs!$K$4:$AJ$4,0))))+SUMPRODUCT((Inputs!$C$5:$C$120=$B5)*ISNUMBER(INDEX(Inputs!$K$5:$AJ$120,0,MATCH(U$2,Inputs!$K$4:$AJ$4,0))))+SUMPRODUCT((Inputs!$E$5:$E$120=$B5)*ISNUMBER(INDEX(Inputs!$K$5:$AJ$120,0,MATCH(U$2,Inputs!$K$4:$AJ$4,0))))=0,NA(),SUMPRODUCT((Inputs!$A$5:$A$120=$B5)*Inputs!$B$5:$B$120*(((Inputs!$G$5:$G$120="moeda")+(Inputs!$G$5:$G$120="acoes"))*Inputs!$B$1+((Inputs!$G$5:$G$120&lt;&gt;"moeda")*(Inputs!$G$5:$G$120&lt;&gt;"acoes")))*INDEX(Inputs!$K$5:$AJ$120,0,MATCH(U$2,Inputs!$K$4:$AJ$4,0)))+SUMPRODUCT((Inputs!$C$5:$C$120=$B5)*Inputs!$D$5:$D$120*(((Inputs!$G$5:$G$120="moeda")+(Inputs!$G$5:$G$120="acoes"))*Inputs!$B$1+((Inputs!$G$5:$G$120&lt;&gt;"moeda")*(Inputs!$G$5:$G$120&lt;&gt;"acoes")))*INDEX(Inputs!$K$5:$AJ$120,0,MATCH(U$2,Inputs!$K$4:$AJ$4,0)))+SUMPRODUCT((Inputs!$E$5:$E$120=$B5)*Inputs!$F$5:$F$120*(((Inputs!$G$5:$G$120="moeda")+(Inputs!$G$5:$G$120="acoes"))*Inputs!$B$1+((Inputs!$G$5:$G$120&lt;&gt;"moeda")*(Inputs!$G$5:$G$120&lt;&gt;"acoes")))*INDEX(Inputs!$K$5:$AJ$120,0,MATCH(U$2,Inputs!$K$4:$AJ$4,0)))))</f>
        <v>-4077</v>
      </c>
      <c r="V5" s="267">
        <f>IF(ISNA(MATCH(V$2,Inputs!$K$4:$AJ$4,0)),NA(),IF(SUMPRODUCT((Inputs!$A$5:$A$120=$B5)*ISNUMBER(INDEX(Inputs!$K$5:$AJ$120,0,MATCH(V$2,Inputs!$K$4:$AJ$4,0))))+SUMPRODUCT((Inputs!$C$5:$C$120=$B5)*ISNUMBER(INDEX(Inputs!$K$5:$AJ$120,0,MATCH(V$2,Inputs!$K$4:$AJ$4,0))))+SUMPRODUCT((Inputs!$E$5:$E$120=$B5)*ISNUMBER(INDEX(Inputs!$K$5:$AJ$120,0,MATCH(V$2,Inputs!$K$4:$AJ$4,0))))=0,NA(),SUMPRODUCT((Inputs!$A$5:$A$120=$B5)*Inputs!$B$5:$B$120*(((Inputs!$G$5:$G$120="moeda")+(Inputs!$G$5:$G$120="acoes"))*Inputs!$B$1+((Inputs!$G$5:$G$120&lt;&gt;"moeda")*(Inputs!$G$5:$G$120&lt;&gt;"acoes")))*INDEX(Inputs!$K$5:$AJ$120,0,MATCH(V$2,Inputs!$K$4:$AJ$4,0)))+SUMPRODUCT((Inputs!$C$5:$C$120=$B5)*Inputs!$D$5:$D$120*(((Inputs!$G$5:$G$120="moeda")+(Inputs!$G$5:$G$120="acoes"))*Inputs!$B$1+((Inputs!$G$5:$G$120&lt;&gt;"moeda")*(Inputs!$G$5:$G$120&lt;&gt;"acoes")))*INDEX(Inputs!$K$5:$AJ$120,0,MATCH(V$2,Inputs!$K$4:$AJ$4,0)))+SUMPRODUCT((Inputs!$E$5:$E$120=$B5)*Inputs!$F$5:$F$120*(((Inputs!$G$5:$G$120="moeda")+(Inputs!$G$5:$G$120="acoes"))*Inputs!$B$1+((Inputs!$G$5:$G$120&lt;&gt;"moeda")*(Inputs!$G$5:$G$120&lt;&gt;"acoes")))*INDEX(Inputs!$K$5:$AJ$120,0,MATCH(V$2,Inputs!$K$4:$AJ$4,0)))))</f>
        <v>-3758</v>
      </c>
      <c r="W5" s="268">
        <f>SUM(S5:V5)</f>
        <v>-15554</v>
      </c>
      <c r="X5" s="267">
        <f>IF(ISNA(MATCH(X$2,Inputs!$K$4:$AJ$4,0)),NA(),IF(SUMPRODUCT((Inputs!$A$5:$A$120=$B5)*ISNUMBER(INDEX(Inputs!$K$5:$AJ$120,0,MATCH(X$2,Inputs!$K$4:$AJ$4,0))))+SUMPRODUCT((Inputs!$C$5:$C$120=$B5)*ISNUMBER(INDEX(Inputs!$K$5:$AJ$120,0,MATCH(X$2,Inputs!$K$4:$AJ$4,0))))+SUMPRODUCT((Inputs!$E$5:$E$120=$B5)*ISNUMBER(INDEX(Inputs!$K$5:$AJ$120,0,MATCH(X$2,Inputs!$K$4:$AJ$4,0))))=0,NA(),SUMPRODUCT((Inputs!$A$5:$A$120=$B5)*Inputs!$B$5:$B$120*(((Inputs!$G$5:$G$120="moeda")+(Inputs!$G$5:$G$120="acoes"))*Inputs!$B$1+((Inputs!$G$5:$G$120&lt;&gt;"moeda")*(Inputs!$G$5:$G$120&lt;&gt;"acoes")))*INDEX(Inputs!$K$5:$AJ$120,0,MATCH(X$2,Inputs!$K$4:$AJ$4,0)))+SUMPRODUCT((Inputs!$C$5:$C$120=$B5)*Inputs!$D$5:$D$120*(((Inputs!$G$5:$G$120="moeda")+(Inputs!$G$5:$G$120="acoes"))*Inputs!$B$1+((Inputs!$G$5:$G$120&lt;&gt;"moeda")*(Inputs!$G$5:$G$120&lt;&gt;"acoes")))*INDEX(Inputs!$K$5:$AJ$120,0,MATCH(X$2,Inputs!$K$4:$AJ$4,0)))+SUMPRODUCT((Inputs!$E$5:$E$120=$B5)*Inputs!$F$5:$F$120*(((Inputs!$G$5:$G$120="moeda")+(Inputs!$G$5:$G$120="acoes"))*Inputs!$B$1+((Inputs!$G$5:$G$120&lt;&gt;"moeda")*(Inputs!$G$5:$G$120&lt;&gt;"acoes")))*INDEX(Inputs!$K$5:$AJ$120,0,MATCH(X$2,Inputs!$K$4:$AJ$4,0)))))</f>
        <v>-3756</v>
      </c>
      <c r="Y5" s="267">
        <f>IF(ISNA(MATCH(Y$2,Inputs!$K$4:$AJ$4,0)),NA(),IF(SUMPRODUCT((Inputs!$A$5:$A$120=$B5)*ISNUMBER(INDEX(Inputs!$K$5:$AJ$120,0,MATCH(Y$2,Inputs!$K$4:$AJ$4,0))))+SUMPRODUCT((Inputs!$C$5:$C$120=$B5)*ISNUMBER(INDEX(Inputs!$K$5:$AJ$120,0,MATCH(Y$2,Inputs!$K$4:$AJ$4,0))))+SUMPRODUCT((Inputs!$E$5:$E$120=$B5)*ISNUMBER(INDEX(Inputs!$K$5:$AJ$120,0,MATCH(Y$2,Inputs!$K$4:$AJ$4,0))))=0,NA(),SUMPRODUCT((Inputs!$A$5:$A$120=$B5)*Inputs!$B$5:$B$120*(((Inputs!$G$5:$G$120="moeda")+(Inputs!$G$5:$G$120="acoes"))*Inputs!$B$1+((Inputs!$G$5:$G$120&lt;&gt;"moeda")*(Inputs!$G$5:$G$120&lt;&gt;"acoes")))*INDEX(Inputs!$K$5:$AJ$120,0,MATCH(Y$2,Inputs!$K$4:$AJ$4,0)))+SUMPRODUCT((Inputs!$C$5:$C$120=$B5)*Inputs!$D$5:$D$120*(((Inputs!$G$5:$G$120="moeda")+(Inputs!$G$5:$G$120="acoes"))*Inputs!$B$1+((Inputs!$G$5:$G$120&lt;&gt;"moeda")*(Inputs!$G$5:$G$120&lt;&gt;"acoes")))*INDEX(Inputs!$K$5:$AJ$120,0,MATCH(Y$2,Inputs!$K$4:$AJ$4,0)))+SUMPRODUCT((Inputs!$E$5:$E$120=$B5)*Inputs!$F$5:$F$120*(((Inputs!$G$5:$G$120="moeda")+(Inputs!$G$5:$G$120="acoes"))*Inputs!$B$1+((Inputs!$G$5:$G$120&lt;&gt;"moeda")*(Inputs!$G$5:$G$120&lt;&gt;"acoes")))*INDEX(Inputs!$K$5:$AJ$120,0,MATCH(Y$2,Inputs!$K$4:$AJ$4,0)))))</f>
        <v>-4282</v>
      </c>
      <c r="Z5" s="267">
        <f>IF(ISNA(MATCH(Z$2,Inputs!$K$4:$AJ$4,0)),NA(),IF(SUMPRODUCT((Inputs!$A$5:$A$120=$B5)*ISNUMBER(INDEX(Inputs!$K$5:$AJ$120,0,MATCH(Z$2,Inputs!$K$4:$AJ$4,0))))+SUMPRODUCT((Inputs!$C$5:$C$120=$B5)*ISNUMBER(INDEX(Inputs!$K$5:$AJ$120,0,MATCH(Z$2,Inputs!$K$4:$AJ$4,0))))+SUMPRODUCT((Inputs!$E$5:$E$120=$B5)*ISNUMBER(INDEX(Inputs!$K$5:$AJ$120,0,MATCH(Z$2,Inputs!$K$4:$AJ$4,0))))=0,NA(),SUMPRODUCT((Inputs!$A$5:$A$120=$B5)*Inputs!$B$5:$B$120*(((Inputs!$G$5:$G$120="moeda")+(Inputs!$G$5:$G$120="acoes"))*Inputs!$B$1+((Inputs!$G$5:$G$120&lt;&gt;"moeda")*(Inputs!$G$5:$G$120&lt;&gt;"acoes")))*INDEX(Inputs!$K$5:$AJ$120,0,MATCH(Z$2,Inputs!$K$4:$AJ$4,0)))+SUMPRODUCT((Inputs!$C$5:$C$120=$B5)*Inputs!$D$5:$D$120*(((Inputs!$G$5:$G$120="moeda")+(Inputs!$G$5:$G$120="acoes"))*Inputs!$B$1+((Inputs!$G$5:$G$120&lt;&gt;"moeda")*(Inputs!$G$5:$G$120&lt;&gt;"acoes")))*INDEX(Inputs!$K$5:$AJ$120,0,MATCH(Z$2,Inputs!$K$4:$AJ$4,0)))+SUMPRODUCT((Inputs!$E$5:$E$120=$B5)*Inputs!$F$5:$F$120*(((Inputs!$G$5:$G$120="moeda")+(Inputs!$G$5:$G$120="acoes"))*Inputs!$B$1+((Inputs!$G$5:$G$120&lt;&gt;"moeda")*(Inputs!$G$5:$G$120&lt;&gt;"acoes")))*INDEX(Inputs!$K$5:$AJ$120,0,MATCH(Z$2,Inputs!$K$4:$AJ$4,0)))))</f>
        <v>-4205</v>
      </c>
      <c r="AA5" s="267">
        <f>IF(ISNA(MATCH(AA$2,Inputs!$K$4:$AJ$4,0)),NA(),IF(SUMPRODUCT((Inputs!$A$5:$A$120=$B5)*ISNUMBER(INDEX(Inputs!$K$5:$AJ$120,0,MATCH(AA$2,Inputs!$K$4:$AJ$4,0))))+SUMPRODUCT((Inputs!$C$5:$C$120=$B5)*ISNUMBER(INDEX(Inputs!$K$5:$AJ$120,0,MATCH(AA$2,Inputs!$K$4:$AJ$4,0))))+SUMPRODUCT((Inputs!$E$5:$E$120=$B5)*ISNUMBER(INDEX(Inputs!$K$5:$AJ$120,0,MATCH(AA$2,Inputs!$K$4:$AJ$4,0))))=0,NA(),SUMPRODUCT((Inputs!$A$5:$A$120=$B5)*Inputs!$B$5:$B$120*(((Inputs!$G$5:$G$120="moeda")+(Inputs!$G$5:$G$120="acoes"))*Inputs!$B$1+((Inputs!$G$5:$G$120&lt;&gt;"moeda")*(Inputs!$G$5:$G$120&lt;&gt;"acoes")))*INDEX(Inputs!$K$5:$AJ$120,0,MATCH(AA$2,Inputs!$K$4:$AJ$4,0)))+SUMPRODUCT((Inputs!$C$5:$C$120=$B5)*Inputs!$D$5:$D$120*(((Inputs!$G$5:$G$120="moeda")+(Inputs!$G$5:$G$120="acoes"))*Inputs!$B$1+((Inputs!$G$5:$G$120&lt;&gt;"moeda")*(Inputs!$G$5:$G$120&lt;&gt;"acoes")))*INDEX(Inputs!$K$5:$AJ$120,0,MATCH(AA$2,Inputs!$K$4:$AJ$4,0)))+SUMPRODUCT((Inputs!$E$5:$E$120=$B5)*Inputs!$F$5:$F$120*(((Inputs!$G$5:$G$120="moeda")+(Inputs!$G$5:$G$120="acoes"))*Inputs!$B$1+((Inputs!$G$5:$G$120&lt;&gt;"moeda")*(Inputs!$G$5:$G$120&lt;&gt;"acoes")))*INDEX(Inputs!$K$5:$AJ$120,0,MATCH(AA$2,Inputs!$K$4:$AJ$4,0)))))</f>
        <v>-4131</v>
      </c>
      <c r="AB5" s="268">
        <f>SUM(X5:AA5)</f>
        <v>-16374</v>
      </c>
      <c r="AC5" s="267">
        <f>IF(ISNA(MATCH(AC$2,Inputs!$K$4:$AJ$4,0)),NA(),IF(SUMPRODUCT((Inputs!$A$5:$A$120=$B5)*ISNUMBER(INDEX(Inputs!$K$5:$AJ$120,0,MATCH(AC$2,Inputs!$K$4:$AJ$4,0))))+SUMPRODUCT((Inputs!$C$5:$C$120=$B5)*ISNUMBER(INDEX(Inputs!$K$5:$AJ$120,0,MATCH(AC$2,Inputs!$K$4:$AJ$4,0))))+SUMPRODUCT((Inputs!$E$5:$E$120=$B5)*ISNUMBER(INDEX(Inputs!$K$5:$AJ$120,0,MATCH(AC$2,Inputs!$K$4:$AJ$4,0))))=0,NA(),SUMPRODUCT((Inputs!$A$5:$A$120=$B5)*Inputs!$B$5:$B$120*(((Inputs!$G$5:$G$120="moeda")+(Inputs!$G$5:$G$120="acoes"))*Inputs!$B$1+((Inputs!$G$5:$G$120&lt;&gt;"moeda")*(Inputs!$G$5:$G$120&lt;&gt;"acoes")))*INDEX(Inputs!$K$5:$AJ$120,0,MATCH(AC$2,Inputs!$K$4:$AJ$4,0)))+SUMPRODUCT((Inputs!$C$5:$C$120=$B5)*Inputs!$D$5:$D$120*(((Inputs!$G$5:$G$120="moeda")+(Inputs!$G$5:$G$120="acoes"))*Inputs!$B$1+((Inputs!$G$5:$G$120&lt;&gt;"moeda")*(Inputs!$G$5:$G$120&lt;&gt;"acoes")))*INDEX(Inputs!$K$5:$AJ$120,0,MATCH(AC$2,Inputs!$K$4:$AJ$4,0)))+SUMPRODUCT((Inputs!$E$5:$E$120=$B5)*Inputs!$F$5:$F$120*(((Inputs!$G$5:$G$120="moeda")+(Inputs!$G$5:$G$120="acoes"))*Inputs!$B$1+((Inputs!$G$5:$G$120&lt;&gt;"moeda")*(Inputs!$G$5:$G$120&lt;&gt;"acoes")))*INDEX(Inputs!$K$5:$AJ$120,0,MATCH(AC$2,Inputs!$K$4:$AJ$4,0)))))</f>
        <v>-4065</v>
      </c>
      <c r="AD5" s="267">
        <f>IF(ISNA(MATCH(AD$2,Inputs!$K$4:$AJ$4,0)),NA(),IF(SUMPRODUCT((Inputs!$A$5:$A$120=$B5)*ISNUMBER(INDEX(Inputs!$K$5:$AJ$120,0,MATCH(AD$2,Inputs!$K$4:$AJ$4,0))))+SUMPRODUCT((Inputs!$C$5:$C$120=$B5)*ISNUMBER(INDEX(Inputs!$K$5:$AJ$120,0,MATCH(AD$2,Inputs!$K$4:$AJ$4,0))))+SUMPRODUCT((Inputs!$E$5:$E$120=$B5)*ISNUMBER(INDEX(Inputs!$K$5:$AJ$120,0,MATCH(AD$2,Inputs!$K$4:$AJ$4,0))))=0,NA(),SUMPRODUCT((Inputs!$A$5:$A$120=$B5)*Inputs!$B$5:$B$120*(((Inputs!$G$5:$G$120="moeda")+(Inputs!$G$5:$G$120="acoes"))*Inputs!$B$1+((Inputs!$G$5:$G$120&lt;&gt;"moeda")*(Inputs!$G$5:$G$120&lt;&gt;"acoes")))*INDEX(Inputs!$K$5:$AJ$120,0,MATCH(AD$2,Inputs!$K$4:$AJ$4,0)))+SUMPRODUCT((Inputs!$C$5:$C$120=$B5)*Inputs!$D$5:$D$120*(((Inputs!$G$5:$G$120="moeda")+(Inputs!$G$5:$G$120="acoes"))*Inputs!$B$1+((Inputs!$G$5:$G$120&lt;&gt;"moeda")*(Inputs!$G$5:$G$120&lt;&gt;"acoes")))*INDEX(Inputs!$K$5:$AJ$120,0,MATCH(AD$2,Inputs!$K$4:$AJ$4,0)))+SUMPRODUCT((Inputs!$E$5:$E$120=$B5)*Inputs!$F$5:$F$120*(((Inputs!$G$5:$G$120="moeda")+(Inputs!$G$5:$G$120="acoes"))*Inputs!$B$1+((Inputs!$G$5:$G$120&lt;&gt;"moeda")*(Inputs!$G$5:$G$120&lt;&gt;"acoes")))*INDEX(Inputs!$K$5:$AJ$120,0,MATCH(AD$2,Inputs!$K$4:$AJ$4,0)))))</f>
        <v>-4320</v>
      </c>
      <c r="AE5" s="267" t="e">
        <f>IF(ISNA(MATCH(AE$2,Inputs!$K$4:$AJ$4,0)),NA(),IF(SUMPRODUCT((Inputs!$A$5:$A$120=$B5)*ISNUMBER(INDEX(Inputs!$K$5:$AJ$120,0,MATCH(AE$2,Inputs!$K$4:$AJ$4,0))))+SUMPRODUCT((Inputs!$C$5:$C$120=$B5)*ISNUMBER(INDEX(Inputs!$K$5:$AJ$120,0,MATCH(AE$2,Inputs!$K$4:$AJ$4,0))))+SUMPRODUCT((Inputs!$E$5:$E$120=$B5)*ISNUMBER(INDEX(Inputs!$K$5:$AJ$120,0,MATCH(AE$2,Inputs!$K$4:$AJ$4,0))))=0,NA(),SUMPRODUCT((Inputs!$A$5:$A$120=$B5)*Inputs!$B$5:$B$120*(((Inputs!$G$5:$G$120="moeda")+(Inputs!$G$5:$G$120="acoes"))*Inputs!$B$1+((Inputs!$G$5:$G$120&lt;&gt;"moeda")*(Inputs!$G$5:$G$120&lt;&gt;"acoes")))*INDEX(Inputs!$K$5:$AJ$120,0,MATCH(AE$2,Inputs!$K$4:$AJ$4,0)))+SUMPRODUCT((Inputs!$C$5:$C$120=$B5)*Inputs!$D$5:$D$120*(((Inputs!$G$5:$G$120="moeda")+(Inputs!$G$5:$G$120="acoes"))*Inputs!$B$1+((Inputs!$G$5:$G$120&lt;&gt;"moeda")*(Inputs!$G$5:$G$120&lt;&gt;"acoes")))*INDEX(Inputs!$K$5:$AJ$120,0,MATCH(AE$2,Inputs!$K$4:$AJ$4,0)))+SUMPRODUCT((Inputs!$E$5:$E$120=$B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" s="267" t="e">
        <f>IF(ISNA(MATCH(AF$2,Inputs!$K$4:$AJ$4,0)),NA(),IF(SUMPRODUCT((Inputs!$A$5:$A$120=$B5)*ISNUMBER(INDEX(Inputs!$K$5:$AJ$120,0,MATCH(AF$2,Inputs!$K$4:$AJ$4,0))))+SUMPRODUCT((Inputs!$C$5:$C$120=$B5)*ISNUMBER(INDEX(Inputs!$K$5:$AJ$120,0,MATCH(AF$2,Inputs!$K$4:$AJ$4,0))))+SUMPRODUCT((Inputs!$E$5:$E$120=$B5)*ISNUMBER(INDEX(Inputs!$K$5:$AJ$120,0,MATCH(AF$2,Inputs!$K$4:$AJ$4,0))))=0,NA(),SUMPRODUCT((Inputs!$A$5:$A$120=$B5)*Inputs!$B$5:$B$120*(((Inputs!$G$5:$G$120="moeda")+(Inputs!$G$5:$G$120="acoes"))*Inputs!$B$1+((Inputs!$G$5:$G$120&lt;&gt;"moeda")*(Inputs!$G$5:$G$120&lt;&gt;"acoes")))*INDEX(Inputs!$K$5:$AJ$120,0,MATCH(AF$2,Inputs!$K$4:$AJ$4,0)))+SUMPRODUCT((Inputs!$C$5:$C$120=$B5)*Inputs!$D$5:$D$120*(((Inputs!$G$5:$G$120="moeda")+(Inputs!$G$5:$G$120="acoes"))*Inputs!$B$1+((Inputs!$G$5:$G$120&lt;&gt;"moeda")*(Inputs!$G$5:$G$120&lt;&gt;"acoes")))*INDEX(Inputs!$K$5:$AJ$120,0,MATCH(AF$2,Inputs!$K$4:$AJ$4,0)))+SUMPRODUCT((Inputs!$E$5:$E$120=$B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" s="268" t="e">
        <f>SUM(AC5:AF5)</f>
        <v>#N/A</v>
      </c>
      <c r="AH5" s="267">
        <f>IF(ISNA(MATCH(AH$2,Inputs!$K$4:$AJ$4,0)),NA(),IF(SUMPRODUCT((Inputs!$A$5:$A$120=$B5)*ISNUMBER(INDEX(Inputs!$K$5:$AJ$120,0,MATCH(AH$2,Inputs!$K$4:$AJ$4,0))))+SUMPRODUCT((Inputs!$C$5:$C$120=$B5)*ISNUMBER(INDEX(Inputs!$K$5:$AJ$120,0,MATCH(AH$2,Inputs!$K$4:$AJ$4,0))))+SUMPRODUCT((Inputs!$E$5:$E$120=$B5)*ISNUMBER(INDEX(Inputs!$K$5:$AJ$120,0,MATCH(AH$2,Inputs!$K$4:$AJ$4,0))))=0,NA(),SUMPRODUCT((Inputs!$A$5:$A$120=$B5)*Inputs!$B$5:$B$120*(((Inputs!$G$5:$G$120="moeda")+(Inputs!$G$5:$G$120="acoes"))*Inputs!$B$1+((Inputs!$G$5:$G$120&lt;&gt;"moeda")*(Inputs!$G$5:$G$120&lt;&gt;"acoes")))*INDEX(Inputs!$K$5:$AJ$120,0,MATCH(AH$2,Inputs!$K$4:$AJ$4,0)))+SUMPRODUCT((Inputs!$C$5:$C$120=$B5)*Inputs!$D$5:$D$120*(((Inputs!$G$5:$G$120="moeda")+(Inputs!$G$5:$G$120="acoes"))*Inputs!$B$1+((Inputs!$G$5:$G$120&lt;&gt;"moeda")*(Inputs!$G$5:$G$120&lt;&gt;"acoes")))*INDEX(Inputs!$K$5:$AJ$120,0,MATCH(AH$2,Inputs!$K$4:$AJ$4,0)))+SUMPRODUCT((Inputs!$E$5:$E$120=$B5)*Inputs!$F$5:$F$120*(((Inputs!$G$5:$G$120="moeda")+(Inputs!$G$5:$G$120="acoes"))*Inputs!$B$1+((Inputs!$G$5:$G$120&lt;&gt;"moeda")*(Inputs!$G$5:$G$120&lt;&gt;"acoes")))*INDEX(Inputs!$K$5:$AJ$120,0,MATCH(AH$2,Inputs!$K$4:$AJ$4,0)))))</f>
        <v>-2767</v>
      </c>
      <c r="AI5" s="267">
        <f>IF(ISNA(MATCH(AI$2,Inputs!$K$4:$AJ$4,0)),NA(),IF(SUMPRODUCT((Inputs!$A$5:$A$120=$B5)*ISNUMBER(INDEX(Inputs!$K$5:$AJ$120,0,MATCH(AI$2,Inputs!$K$4:$AJ$4,0))))+SUMPRODUCT((Inputs!$C$5:$C$120=$B5)*ISNUMBER(INDEX(Inputs!$K$5:$AJ$120,0,MATCH(AI$2,Inputs!$K$4:$AJ$4,0))))+SUMPRODUCT((Inputs!$E$5:$E$120=$B5)*ISNUMBER(INDEX(Inputs!$K$5:$AJ$120,0,MATCH(AI$2,Inputs!$K$4:$AJ$4,0))))=0,NA(),SUMPRODUCT((Inputs!$A$5:$A$120=$B5)*Inputs!$B$5:$B$120*(((Inputs!$G$5:$G$120="moeda")+(Inputs!$G$5:$G$120="acoes"))*Inputs!$B$1+((Inputs!$G$5:$G$120&lt;&gt;"moeda")*(Inputs!$G$5:$G$120&lt;&gt;"acoes")))*INDEX(Inputs!$K$5:$AJ$120,0,MATCH(AI$2,Inputs!$K$4:$AJ$4,0)))+SUMPRODUCT((Inputs!$C$5:$C$120=$B5)*Inputs!$D$5:$D$120*(((Inputs!$G$5:$G$120="moeda")+(Inputs!$G$5:$G$120="acoes"))*Inputs!$B$1+((Inputs!$G$5:$G$120&lt;&gt;"moeda")*(Inputs!$G$5:$G$120&lt;&gt;"acoes")))*INDEX(Inputs!$K$5:$AJ$120,0,MATCH(AI$2,Inputs!$K$4:$AJ$4,0)))+SUMPRODUCT((Inputs!$E$5:$E$120=$B5)*Inputs!$F$5:$F$120*(((Inputs!$G$5:$G$120="moeda")+(Inputs!$G$5:$G$120="acoes"))*Inputs!$B$1+((Inputs!$G$5:$G$120&lt;&gt;"moeda")*(Inputs!$G$5:$G$120&lt;&gt;"acoes")))*INDEX(Inputs!$K$5:$AJ$120,0,MATCH(AI$2,Inputs!$K$4:$AJ$4,0)))))</f>
        <v>-2255</v>
      </c>
      <c r="AJ5" s="267">
        <f>IF(ISNA(MATCH(AJ$2,Inputs!$K$4:$AJ$4,0)),NA(),IF(SUMPRODUCT((Inputs!$A$5:$A$120=$B5)*ISNUMBER(INDEX(Inputs!$K$5:$AJ$120,0,MATCH(AJ$2,Inputs!$K$4:$AJ$4,0))))+SUMPRODUCT((Inputs!$C$5:$C$120=$B5)*ISNUMBER(INDEX(Inputs!$K$5:$AJ$120,0,MATCH(AJ$2,Inputs!$K$4:$AJ$4,0))))+SUMPRODUCT((Inputs!$E$5:$E$120=$B5)*ISNUMBER(INDEX(Inputs!$K$5:$AJ$120,0,MATCH(AJ$2,Inputs!$K$4:$AJ$4,0))))=0,NA(),SUMPRODUCT((Inputs!$A$5:$A$120=$B5)*Inputs!$B$5:$B$120*(((Inputs!$G$5:$G$120="moeda")+(Inputs!$G$5:$G$120="acoes"))*Inputs!$B$1+((Inputs!$G$5:$G$120&lt;&gt;"moeda")*(Inputs!$G$5:$G$120&lt;&gt;"acoes")))*INDEX(Inputs!$K$5:$AJ$120,0,MATCH(AJ$2,Inputs!$K$4:$AJ$4,0)))+SUMPRODUCT((Inputs!$C$5:$C$120=$B5)*Inputs!$D$5:$D$120*(((Inputs!$G$5:$G$120="moeda")+(Inputs!$G$5:$G$120="acoes"))*Inputs!$B$1+((Inputs!$G$5:$G$120&lt;&gt;"moeda")*(Inputs!$G$5:$G$120&lt;&gt;"acoes")))*INDEX(Inputs!$K$5:$AJ$120,0,MATCH(AJ$2,Inputs!$K$4:$AJ$4,0)))+SUMPRODUCT((Inputs!$E$5:$E$120=$B5)*Inputs!$F$5:$F$120*(((Inputs!$G$5:$G$120="moeda")+(Inputs!$G$5:$G$120="acoes"))*Inputs!$B$1+((Inputs!$G$5:$G$120&lt;&gt;"moeda")*(Inputs!$G$5:$G$120&lt;&gt;"acoes")))*INDEX(Inputs!$K$5:$AJ$120,0,MATCH(AJ$2,Inputs!$K$4:$AJ$4,0)))))</f>
        <v>-2474</v>
      </c>
      <c r="AK5" s="267">
        <f>IF(ISNA(MATCH(AK$2,Inputs!$K$4:$AJ$4,0)),NA(),IF(SUMPRODUCT((Inputs!$A$5:$A$120=$B5)*ISNUMBER(INDEX(Inputs!$K$5:$AJ$120,0,MATCH(AK$2,Inputs!$K$4:$AJ$4,0))))+SUMPRODUCT((Inputs!$C$5:$C$120=$B5)*ISNUMBER(INDEX(Inputs!$K$5:$AJ$120,0,MATCH(AK$2,Inputs!$K$4:$AJ$4,0))))+SUMPRODUCT((Inputs!$E$5:$E$120=$B5)*ISNUMBER(INDEX(Inputs!$K$5:$AJ$120,0,MATCH(AK$2,Inputs!$K$4:$AJ$4,0))))=0,NA(),SUMPRODUCT((Inputs!$A$5:$A$120=$B5)*Inputs!$B$5:$B$120*(((Inputs!$G$5:$G$120="moeda")+(Inputs!$G$5:$G$120="acoes"))*Inputs!$B$1+((Inputs!$G$5:$G$120&lt;&gt;"moeda")*(Inputs!$G$5:$G$120&lt;&gt;"acoes")))*INDEX(Inputs!$K$5:$AJ$120,0,MATCH(AK$2,Inputs!$K$4:$AJ$4,0)))+SUMPRODUCT((Inputs!$C$5:$C$120=$B5)*Inputs!$D$5:$D$120*(((Inputs!$G$5:$G$120="moeda")+(Inputs!$G$5:$G$120="acoes"))*Inputs!$B$1+((Inputs!$G$5:$G$120&lt;&gt;"moeda")*(Inputs!$G$5:$G$120&lt;&gt;"acoes")))*INDEX(Inputs!$K$5:$AJ$120,0,MATCH(AK$2,Inputs!$K$4:$AJ$4,0)))+SUMPRODUCT((Inputs!$E$5:$E$120=$B5)*Inputs!$F$5:$F$120*(((Inputs!$G$5:$G$120="moeda")+(Inputs!$G$5:$G$120="acoes"))*Inputs!$B$1+((Inputs!$G$5:$G$120&lt;&gt;"moeda")*(Inputs!$G$5:$G$120&lt;&gt;"acoes")))*INDEX(Inputs!$K$5:$AJ$120,0,MATCH(AK$2,Inputs!$K$4:$AJ$4,0)))))</f>
        <v>-2631</v>
      </c>
      <c r="AL5" s="268">
        <f>SUM(AH5:AK5)</f>
        <v>-10127</v>
      </c>
    </row>
    <row r="6" ht="12.75" customHeight="1" s="255">
      <c r="B6" s="265" t="n">
        <v>3</v>
      </c>
      <c r="C6" s="269" t="inlineStr">
        <is>
          <t>SG&amp;A and Other (cash)</t>
        </is>
      </c>
      <c r="D6" s="267">
        <f>IF(ISNA(MATCH(D$2,Inputs!$K$4:$AJ$4,0)),NA(),IF(SUMPRODUCT((Inputs!$A$5:$A$120=$B6)*ISNUMBER(INDEX(Inputs!$K$5:$AJ$120,0,MATCH(D$2,Inputs!$K$4:$AJ$4,0))))+SUMPRODUCT((Inputs!$C$5:$C$120=$B6)*ISNUMBER(INDEX(Inputs!$K$5:$AJ$120,0,MATCH(D$2,Inputs!$K$4:$AJ$4,0))))+SUMPRODUCT((Inputs!$E$5:$E$120=$B6)*ISNUMBER(INDEX(Inputs!$K$5:$AJ$120,0,MATCH(D$2,Inputs!$K$4:$AJ$4,0))))=0,NA(),SUMPRODUCT((Inputs!$A$5:$A$120=$B6)*Inputs!$B$5:$B$120*(((Inputs!$G$5:$G$120="moeda")+(Inputs!$G$5:$G$120="acoes"))*Inputs!$B$1+((Inputs!$G$5:$G$120&lt;&gt;"moeda")*(Inputs!$G$5:$G$120&lt;&gt;"acoes")))*INDEX(Inputs!$K$5:$AJ$120,0,MATCH(D$2,Inputs!$K$4:$AJ$4,0)))+SUMPRODUCT((Inputs!$C$5:$C$120=$B6)*Inputs!$D$5:$D$120*(((Inputs!$G$5:$G$120="moeda")+(Inputs!$G$5:$G$120="acoes"))*Inputs!$B$1+((Inputs!$G$5:$G$120&lt;&gt;"moeda")*(Inputs!$G$5:$G$120&lt;&gt;"acoes")))*INDEX(Inputs!$K$5:$AJ$120,0,MATCH(D$2,Inputs!$K$4:$AJ$4,0)))+SUMPRODUCT((Inputs!$E$5:$E$120=$B6)*Inputs!$F$5:$F$120*(((Inputs!$G$5:$G$120="moeda")+(Inputs!$G$5:$G$120="acoes"))*Inputs!$B$1+((Inputs!$G$5:$G$120&lt;&gt;"moeda")*(Inputs!$G$5:$G$120&lt;&gt;"acoes")))*INDEX(Inputs!$K$5:$AJ$120,0,MATCH(D$2,Inputs!$K$4:$AJ$4,0)))))</f>
        <v>-112</v>
      </c>
      <c r="E6" s="267">
        <f>IF(ISNA(MATCH(E$2,Inputs!$K$4:$AJ$4,0)),NA(),IF(SUMPRODUCT((Inputs!$A$5:$A$120=$B6)*ISNUMBER(INDEX(Inputs!$K$5:$AJ$120,0,MATCH(E$2,Inputs!$K$4:$AJ$4,0))))+SUMPRODUCT((Inputs!$C$5:$C$120=$B6)*ISNUMBER(INDEX(Inputs!$K$5:$AJ$120,0,MATCH(E$2,Inputs!$K$4:$AJ$4,0))))+SUMPRODUCT((Inputs!$E$5:$E$120=$B6)*ISNUMBER(INDEX(Inputs!$K$5:$AJ$120,0,MATCH(E$2,Inputs!$K$4:$AJ$4,0))))=0,NA(),SUMPRODUCT((Inputs!$A$5:$A$120=$B6)*Inputs!$B$5:$B$120*(((Inputs!$G$5:$G$120="moeda")+(Inputs!$G$5:$G$120="acoes"))*Inputs!$B$1+((Inputs!$G$5:$G$120&lt;&gt;"moeda")*(Inputs!$G$5:$G$120&lt;&gt;"acoes")))*INDEX(Inputs!$K$5:$AJ$120,0,MATCH(E$2,Inputs!$K$4:$AJ$4,0)))+SUMPRODUCT((Inputs!$C$5:$C$120=$B6)*Inputs!$D$5:$D$120*(((Inputs!$G$5:$G$120="moeda")+(Inputs!$G$5:$G$120="acoes"))*Inputs!$B$1+((Inputs!$G$5:$G$120&lt;&gt;"moeda")*(Inputs!$G$5:$G$120&lt;&gt;"acoes")))*INDEX(Inputs!$K$5:$AJ$120,0,MATCH(E$2,Inputs!$K$4:$AJ$4,0)))+SUMPRODUCT((Inputs!$E$5:$E$120=$B6)*Inputs!$F$5:$F$120*(((Inputs!$G$5:$G$120="moeda")+(Inputs!$G$5:$G$120="acoes"))*Inputs!$B$1+((Inputs!$G$5:$G$120&lt;&gt;"moeda")*(Inputs!$G$5:$G$120&lt;&gt;"acoes")))*INDEX(Inputs!$K$5:$AJ$120,0,MATCH(E$2,Inputs!$K$4:$AJ$4,0)))))</f>
        <v>-131</v>
      </c>
      <c r="F6" s="267">
        <f>IF(ISNA(MATCH(F$2,Inputs!$K$4:$AJ$4,0)),NA(),IF(SUMPRODUCT((Inputs!$A$5:$A$120=$B6)*ISNUMBER(INDEX(Inputs!$K$5:$AJ$120,0,MATCH(F$2,Inputs!$K$4:$AJ$4,0))))+SUMPRODUCT((Inputs!$C$5:$C$120=$B6)*ISNUMBER(INDEX(Inputs!$K$5:$AJ$120,0,MATCH(F$2,Inputs!$K$4:$AJ$4,0))))+SUMPRODUCT((Inputs!$E$5:$E$120=$B6)*ISNUMBER(INDEX(Inputs!$K$5:$AJ$120,0,MATCH(F$2,Inputs!$K$4:$AJ$4,0))))=0,NA(),SUMPRODUCT((Inputs!$A$5:$A$120=$B6)*Inputs!$B$5:$B$120*(((Inputs!$G$5:$G$120="moeda")+(Inputs!$G$5:$G$120="acoes"))*Inputs!$B$1+((Inputs!$G$5:$G$120&lt;&gt;"moeda")*(Inputs!$G$5:$G$120&lt;&gt;"acoes")))*INDEX(Inputs!$K$5:$AJ$120,0,MATCH(F$2,Inputs!$K$4:$AJ$4,0)))+SUMPRODUCT((Inputs!$C$5:$C$120=$B6)*Inputs!$D$5:$D$120*(((Inputs!$G$5:$G$120="moeda")+(Inputs!$G$5:$G$120="acoes"))*Inputs!$B$1+((Inputs!$G$5:$G$120&lt;&gt;"moeda")*(Inputs!$G$5:$G$120&lt;&gt;"acoes")))*INDEX(Inputs!$K$5:$AJ$120,0,MATCH(F$2,Inputs!$K$4:$AJ$4,0)))+SUMPRODUCT((Inputs!$E$5:$E$120=$B6)*Inputs!$F$5:$F$120*(((Inputs!$G$5:$G$120="moeda")+(Inputs!$G$5:$G$120="acoes"))*Inputs!$B$1+((Inputs!$G$5:$G$120&lt;&gt;"moeda")*(Inputs!$G$5:$G$120&lt;&gt;"acoes")))*INDEX(Inputs!$K$5:$AJ$120,0,MATCH(F$2,Inputs!$K$4:$AJ$4,0)))))</f>
        <v>-70</v>
      </c>
      <c r="G6" s="267">
        <f>IF(ISNA(MATCH(G$2,Inputs!$K$4:$AJ$4,0)),NA(),IF(SUMPRODUCT((Inputs!$A$5:$A$120=$B6)*ISNUMBER(INDEX(Inputs!$K$5:$AJ$120,0,MATCH(G$2,Inputs!$K$4:$AJ$4,0))))+SUMPRODUCT((Inputs!$C$5:$C$120=$B6)*ISNUMBER(INDEX(Inputs!$K$5:$AJ$120,0,MATCH(G$2,Inputs!$K$4:$AJ$4,0))))+SUMPRODUCT((Inputs!$E$5:$E$120=$B6)*ISNUMBER(INDEX(Inputs!$K$5:$AJ$120,0,MATCH(G$2,Inputs!$K$4:$AJ$4,0))))=0,NA(),SUMPRODUCT((Inputs!$A$5:$A$120=$B6)*Inputs!$B$5:$B$120*(((Inputs!$G$5:$G$120="moeda")+(Inputs!$G$5:$G$120="acoes"))*Inputs!$B$1+((Inputs!$G$5:$G$120&lt;&gt;"moeda")*(Inputs!$G$5:$G$120&lt;&gt;"acoes")))*INDEX(Inputs!$K$5:$AJ$120,0,MATCH(G$2,Inputs!$K$4:$AJ$4,0)))+SUMPRODUCT((Inputs!$C$5:$C$120=$B6)*Inputs!$D$5:$D$120*(((Inputs!$G$5:$G$120="moeda")+(Inputs!$G$5:$G$120="acoes"))*Inputs!$B$1+((Inputs!$G$5:$G$120&lt;&gt;"moeda")*(Inputs!$G$5:$G$120&lt;&gt;"acoes")))*INDEX(Inputs!$K$5:$AJ$120,0,MATCH(G$2,Inputs!$K$4:$AJ$4,0)))+SUMPRODUCT((Inputs!$E$5:$E$120=$B6)*Inputs!$F$5:$F$120*(((Inputs!$G$5:$G$120="moeda")+(Inputs!$G$5:$G$120="acoes"))*Inputs!$B$1+((Inputs!$G$5:$G$120&lt;&gt;"moeda")*(Inputs!$G$5:$G$120&lt;&gt;"acoes")))*INDEX(Inputs!$K$5:$AJ$120,0,MATCH(G$2,Inputs!$K$4:$AJ$4,0)))))</f>
        <v>-136</v>
      </c>
      <c r="H6" s="268">
        <f>SUM(D6:G6)</f>
        <v>-449</v>
      </c>
      <c r="I6" s="267">
        <f>IF(ISNA(MATCH(I$2,Inputs!$K$4:$AJ$4,0)),NA(),IF(SUMPRODUCT((Inputs!$A$5:$A$120=$B6)*ISNUMBER(INDEX(Inputs!$K$5:$AJ$120,0,MATCH(I$2,Inputs!$K$4:$AJ$4,0))))+SUMPRODUCT((Inputs!$C$5:$C$120=$B6)*ISNUMBER(INDEX(Inputs!$K$5:$AJ$120,0,MATCH(I$2,Inputs!$K$4:$AJ$4,0))))+SUMPRODUCT((Inputs!$E$5:$E$120=$B6)*ISNUMBER(INDEX(Inputs!$K$5:$AJ$120,0,MATCH(I$2,Inputs!$K$4:$AJ$4,0))))=0,NA(),SUMPRODUCT((Inputs!$A$5:$A$120=$B6)*Inputs!$B$5:$B$120*(((Inputs!$G$5:$G$120="moeda")+(Inputs!$G$5:$G$120="acoes"))*Inputs!$B$1+((Inputs!$G$5:$G$120&lt;&gt;"moeda")*(Inputs!$G$5:$G$120&lt;&gt;"acoes")))*INDEX(Inputs!$K$5:$AJ$120,0,MATCH(I$2,Inputs!$K$4:$AJ$4,0)))+SUMPRODUCT((Inputs!$C$5:$C$120=$B6)*Inputs!$D$5:$D$120*(((Inputs!$G$5:$G$120="moeda")+(Inputs!$G$5:$G$120="acoes"))*Inputs!$B$1+((Inputs!$G$5:$G$120&lt;&gt;"moeda")*(Inputs!$G$5:$G$120&lt;&gt;"acoes")))*INDEX(Inputs!$K$5:$AJ$120,0,MATCH(I$2,Inputs!$K$4:$AJ$4,0)))+SUMPRODUCT((Inputs!$E$5:$E$120=$B6)*Inputs!$F$5:$F$120*(((Inputs!$G$5:$G$120="moeda")+(Inputs!$G$5:$G$120="acoes"))*Inputs!$B$1+((Inputs!$G$5:$G$120&lt;&gt;"moeda")*(Inputs!$G$5:$G$120&lt;&gt;"acoes")))*INDEX(Inputs!$K$5:$AJ$120,0,MATCH(I$2,Inputs!$K$4:$AJ$4,0)))))</f>
        <v>-155</v>
      </c>
      <c r="J6" s="267">
        <f>IF(ISNA(MATCH(J$2,Inputs!$K$4:$AJ$4,0)),NA(),IF(SUMPRODUCT((Inputs!$A$5:$A$120=$B6)*ISNUMBER(INDEX(Inputs!$K$5:$AJ$120,0,MATCH(J$2,Inputs!$K$4:$AJ$4,0))))+SUMPRODUCT((Inputs!$C$5:$C$120=$B6)*ISNUMBER(INDEX(Inputs!$K$5:$AJ$120,0,MATCH(J$2,Inputs!$K$4:$AJ$4,0))))+SUMPRODUCT((Inputs!$E$5:$E$120=$B6)*ISNUMBER(INDEX(Inputs!$K$5:$AJ$120,0,MATCH(J$2,Inputs!$K$4:$AJ$4,0))))=0,NA(),SUMPRODUCT((Inputs!$A$5:$A$120=$B6)*Inputs!$B$5:$B$120*(((Inputs!$G$5:$G$120="moeda")+(Inputs!$G$5:$G$120="acoes"))*Inputs!$B$1+((Inputs!$G$5:$G$120&lt;&gt;"moeda")*(Inputs!$G$5:$G$120&lt;&gt;"acoes")))*INDEX(Inputs!$K$5:$AJ$120,0,MATCH(J$2,Inputs!$K$4:$AJ$4,0)))+SUMPRODUCT((Inputs!$C$5:$C$120=$B6)*Inputs!$D$5:$D$120*(((Inputs!$G$5:$G$120="moeda")+(Inputs!$G$5:$G$120="acoes"))*Inputs!$B$1+((Inputs!$G$5:$G$120&lt;&gt;"moeda")*(Inputs!$G$5:$G$120&lt;&gt;"acoes")))*INDEX(Inputs!$K$5:$AJ$120,0,MATCH(J$2,Inputs!$K$4:$AJ$4,0)))+SUMPRODUCT((Inputs!$E$5:$E$120=$B6)*Inputs!$F$5:$F$120*(((Inputs!$G$5:$G$120="moeda")+(Inputs!$G$5:$G$120="acoes"))*Inputs!$B$1+((Inputs!$G$5:$G$120&lt;&gt;"moeda")*(Inputs!$G$5:$G$120&lt;&gt;"acoes")))*INDEX(Inputs!$K$5:$AJ$120,0,MATCH(J$2,Inputs!$K$4:$AJ$4,0)))))</f>
        <v>-152</v>
      </c>
      <c r="K6" s="267">
        <f>IF(ISNA(MATCH(K$2,Inputs!$K$4:$AJ$4,0)),NA(),IF(SUMPRODUCT((Inputs!$A$5:$A$120=$B6)*ISNUMBER(INDEX(Inputs!$K$5:$AJ$120,0,MATCH(K$2,Inputs!$K$4:$AJ$4,0))))+SUMPRODUCT((Inputs!$C$5:$C$120=$B6)*ISNUMBER(INDEX(Inputs!$K$5:$AJ$120,0,MATCH(K$2,Inputs!$K$4:$AJ$4,0))))+SUMPRODUCT((Inputs!$E$5:$E$120=$B6)*ISNUMBER(INDEX(Inputs!$K$5:$AJ$120,0,MATCH(K$2,Inputs!$K$4:$AJ$4,0))))=0,NA(),SUMPRODUCT((Inputs!$A$5:$A$120=$B6)*Inputs!$B$5:$B$120*(((Inputs!$G$5:$G$120="moeda")+(Inputs!$G$5:$G$120="acoes"))*Inputs!$B$1+((Inputs!$G$5:$G$120&lt;&gt;"moeda")*(Inputs!$G$5:$G$120&lt;&gt;"acoes")))*INDEX(Inputs!$K$5:$AJ$120,0,MATCH(K$2,Inputs!$K$4:$AJ$4,0)))+SUMPRODUCT((Inputs!$C$5:$C$120=$B6)*Inputs!$D$5:$D$120*(((Inputs!$G$5:$G$120="moeda")+(Inputs!$G$5:$G$120="acoes"))*Inputs!$B$1+((Inputs!$G$5:$G$120&lt;&gt;"moeda")*(Inputs!$G$5:$G$120&lt;&gt;"acoes")))*INDEX(Inputs!$K$5:$AJ$120,0,MATCH(K$2,Inputs!$K$4:$AJ$4,0)))+SUMPRODUCT((Inputs!$E$5:$E$120=$B6)*Inputs!$F$5:$F$120*(((Inputs!$G$5:$G$120="moeda")+(Inputs!$G$5:$G$120="acoes"))*Inputs!$B$1+((Inputs!$G$5:$G$120&lt;&gt;"moeda")*(Inputs!$G$5:$G$120&lt;&gt;"acoes")))*INDEX(Inputs!$K$5:$AJ$120,0,MATCH(K$2,Inputs!$K$4:$AJ$4,0)))))</f>
        <v>-142</v>
      </c>
      <c r="L6" s="267">
        <f>IF(ISNA(MATCH(L$2,Inputs!$K$4:$AJ$4,0)),NA(),IF(SUMPRODUCT((Inputs!$A$5:$A$120=$B6)*ISNUMBER(INDEX(Inputs!$K$5:$AJ$120,0,MATCH(L$2,Inputs!$K$4:$AJ$4,0))))+SUMPRODUCT((Inputs!$C$5:$C$120=$B6)*ISNUMBER(INDEX(Inputs!$K$5:$AJ$120,0,MATCH(L$2,Inputs!$K$4:$AJ$4,0))))+SUMPRODUCT((Inputs!$E$5:$E$120=$B6)*ISNUMBER(INDEX(Inputs!$K$5:$AJ$120,0,MATCH(L$2,Inputs!$K$4:$AJ$4,0))))=0,NA(),SUMPRODUCT((Inputs!$A$5:$A$120=$B6)*Inputs!$B$5:$B$120*(((Inputs!$G$5:$G$120="moeda")+(Inputs!$G$5:$G$120="acoes"))*Inputs!$B$1+((Inputs!$G$5:$G$120&lt;&gt;"moeda")*(Inputs!$G$5:$G$120&lt;&gt;"acoes")))*INDEX(Inputs!$K$5:$AJ$120,0,MATCH(L$2,Inputs!$K$4:$AJ$4,0)))+SUMPRODUCT((Inputs!$C$5:$C$120=$B6)*Inputs!$D$5:$D$120*(((Inputs!$G$5:$G$120="moeda")+(Inputs!$G$5:$G$120="acoes"))*Inputs!$B$1+((Inputs!$G$5:$G$120&lt;&gt;"moeda")*(Inputs!$G$5:$G$120&lt;&gt;"acoes")))*INDEX(Inputs!$K$5:$AJ$120,0,MATCH(L$2,Inputs!$K$4:$AJ$4,0)))+SUMPRODUCT((Inputs!$E$5:$E$120=$B6)*Inputs!$F$5:$F$120*(((Inputs!$G$5:$G$120="moeda")+(Inputs!$G$5:$G$120="acoes"))*Inputs!$B$1+((Inputs!$G$5:$G$120&lt;&gt;"moeda")*(Inputs!$G$5:$G$120&lt;&gt;"acoes")))*INDEX(Inputs!$K$5:$AJ$120,0,MATCH(L$2,Inputs!$K$4:$AJ$4,0)))))</f>
        <v>-205</v>
      </c>
      <c r="M6" s="268">
        <f>SUM(I6:L6)</f>
        <v>-654</v>
      </c>
      <c r="N6" s="267">
        <f>IF(ISNA(MATCH(N$2,Inputs!$K$4:$AJ$4,0)),NA(),IF(SUMPRODUCT((Inputs!$A$5:$A$120=$B6)*ISNUMBER(INDEX(Inputs!$K$5:$AJ$120,0,MATCH(N$2,Inputs!$K$4:$AJ$4,0))))+SUMPRODUCT((Inputs!$C$5:$C$120=$B6)*ISNUMBER(INDEX(Inputs!$K$5:$AJ$120,0,MATCH(N$2,Inputs!$K$4:$AJ$4,0))))+SUMPRODUCT((Inputs!$E$5:$E$120=$B6)*ISNUMBER(INDEX(Inputs!$K$5:$AJ$120,0,MATCH(N$2,Inputs!$K$4:$AJ$4,0))))=0,NA(),SUMPRODUCT((Inputs!$A$5:$A$120=$B6)*Inputs!$B$5:$B$120*(((Inputs!$G$5:$G$120="moeda")+(Inputs!$G$5:$G$120="acoes"))*Inputs!$B$1+((Inputs!$G$5:$G$120&lt;&gt;"moeda")*(Inputs!$G$5:$G$120&lt;&gt;"acoes")))*INDEX(Inputs!$K$5:$AJ$120,0,MATCH(N$2,Inputs!$K$4:$AJ$4,0)))+SUMPRODUCT((Inputs!$C$5:$C$120=$B6)*Inputs!$D$5:$D$120*(((Inputs!$G$5:$G$120="moeda")+(Inputs!$G$5:$G$120="acoes"))*Inputs!$B$1+((Inputs!$G$5:$G$120&lt;&gt;"moeda")*(Inputs!$G$5:$G$120&lt;&gt;"acoes")))*INDEX(Inputs!$K$5:$AJ$120,0,MATCH(N$2,Inputs!$K$4:$AJ$4,0)))+SUMPRODUCT((Inputs!$E$5:$E$120=$B6)*Inputs!$F$5:$F$120*(((Inputs!$G$5:$G$120="moeda")+(Inputs!$G$5:$G$120="acoes"))*Inputs!$B$1+((Inputs!$G$5:$G$120&lt;&gt;"moeda")*(Inputs!$G$5:$G$120&lt;&gt;"acoes")))*INDEX(Inputs!$K$5:$AJ$120,0,MATCH(N$2,Inputs!$K$4:$AJ$4,0)))))</f>
        <v>-224</v>
      </c>
      <c r="O6" s="267">
        <f>IF(ISNA(MATCH(O$2,Inputs!$K$4:$AJ$4,0)),NA(),IF(SUMPRODUCT((Inputs!$A$5:$A$120=$B6)*ISNUMBER(INDEX(Inputs!$K$5:$AJ$120,0,MATCH(O$2,Inputs!$K$4:$AJ$4,0))))+SUMPRODUCT((Inputs!$C$5:$C$120=$B6)*ISNUMBER(INDEX(Inputs!$K$5:$AJ$120,0,MATCH(O$2,Inputs!$K$4:$AJ$4,0))))+SUMPRODUCT((Inputs!$E$5:$E$120=$B6)*ISNUMBER(INDEX(Inputs!$K$5:$AJ$120,0,MATCH(O$2,Inputs!$K$4:$AJ$4,0))))=0,NA(),SUMPRODUCT((Inputs!$A$5:$A$120=$B6)*Inputs!$B$5:$B$120*(((Inputs!$G$5:$G$120="moeda")+(Inputs!$G$5:$G$120="acoes"))*Inputs!$B$1+((Inputs!$G$5:$G$120&lt;&gt;"moeda")*(Inputs!$G$5:$G$120&lt;&gt;"acoes")))*INDEX(Inputs!$K$5:$AJ$120,0,MATCH(O$2,Inputs!$K$4:$AJ$4,0)))+SUMPRODUCT((Inputs!$C$5:$C$120=$B6)*Inputs!$D$5:$D$120*(((Inputs!$G$5:$G$120="moeda")+(Inputs!$G$5:$G$120="acoes"))*Inputs!$B$1+((Inputs!$G$5:$G$120&lt;&gt;"moeda")*(Inputs!$G$5:$G$120&lt;&gt;"acoes")))*INDEX(Inputs!$K$5:$AJ$120,0,MATCH(O$2,Inputs!$K$4:$AJ$4,0)))+SUMPRODUCT((Inputs!$E$5:$E$120=$B6)*Inputs!$F$5:$F$120*(((Inputs!$G$5:$G$120="moeda")+(Inputs!$G$5:$G$120="acoes"))*Inputs!$B$1+((Inputs!$G$5:$G$120&lt;&gt;"moeda")*(Inputs!$G$5:$G$120&lt;&gt;"acoes")))*INDEX(Inputs!$K$5:$AJ$120,0,MATCH(O$2,Inputs!$K$4:$AJ$4,0)))))</f>
        <v>-231</v>
      </c>
      <c r="P6" s="267">
        <f>IF(ISNA(MATCH(P$2,Inputs!$K$4:$AJ$4,0)),NA(),IF(SUMPRODUCT((Inputs!$A$5:$A$120=$B6)*ISNUMBER(INDEX(Inputs!$K$5:$AJ$120,0,MATCH(P$2,Inputs!$K$4:$AJ$4,0))))+SUMPRODUCT((Inputs!$C$5:$C$120=$B6)*ISNUMBER(INDEX(Inputs!$K$5:$AJ$120,0,MATCH(P$2,Inputs!$K$4:$AJ$4,0))))+SUMPRODUCT((Inputs!$E$5:$E$120=$B6)*ISNUMBER(INDEX(Inputs!$K$5:$AJ$120,0,MATCH(P$2,Inputs!$K$4:$AJ$4,0))))=0,NA(),SUMPRODUCT((Inputs!$A$5:$A$120=$B6)*Inputs!$B$5:$B$120*(((Inputs!$G$5:$G$120="moeda")+(Inputs!$G$5:$G$120="acoes"))*Inputs!$B$1+((Inputs!$G$5:$G$120&lt;&gt;"moeda")*(Inputs!$G$5:$G$120&lt;&gt;"acoes")))*INDEX(Inputs!$K$5:$AJ$120,0,MATCH(P$2,Inputs!$K$4:$AJ$4,0)))+SUMPRODUCT((Inputs!$C$5:$C$120=$B6)*Inputs!$D$5:$D$120*(((Inputs!$G$5:$G$120="moeda")+(Inputs!$G$5:$G$120="acoes"))*Inputs!$B$1+((Inputs!$G$5:$G$120&lt;&gt;"moeda")*(Inputs!$G$5:$G$120&lt;&gt;"acoes")))*INDEX(Inputs!$K$5:$AJ$120,0,MATCH(P$2,Inputs!$K$4:$AJ$4,0)))+SUMPRODUCT((Inputs!$E$5:$E$120=$B6)*Inputs!$F$5:$F$120*(((Inputs!$G$5:$G$120="moeda")+(Inputs!$G$5:$G$120="acoes"))*Inputs!$B$1+((Inputs!$G$5:$G$120&lt;&gt;"moeda")*(Inputs!$G$5:$G$120&lt;&gt;"acoes")))*INDEX(Inputs!$K$5:$AJ$120,0,MATCH(P$2,Inputs!$K$4:$AJ$4,0)))))</f>
        <v>-246</v>
      </c>
      <c r="Q6" s="267">
        <f>IF(ISNA(MATCH(Q$2,Inputs!$K$4:$AJ$4,0)),NA(),IF(SUMPRODUCT((Inputs!$A$5:$A$120=$B6)*ISNUMBER(INDEX(Inputs!$K$5:$AJ$120,0,MATCH(Q$2,Inputs!$K$4:$AJ$4,0))))+SUMPRODUCT((Inputs!$C$5:$C$120=$B6)*ISNUMBER(INDEX(Inputs!$K$5:$AJ$120,0,MATCH(Q$2,Inputs!$K$4:$AJ$4,0))))+SUMPRODUCT((Inputs!$E$5:$E$120=$B6)*ISNUMBER(INDEX(Inputs!$K$5:$AJ$120,0,MATCH(Q$2,Inputs!$K$4:$AJ$4,0))))=0,NA(),SUMPRODUCT((Inputs!$A$5:$A$120=$B6)*Inputs!$B$5:$B$120*(((Inputs!$G$5:$G$120="moeda")+(Inputs!$G$5:$G$120="acoes"))*Inputs!$B$1+((Inputs!$G$5:$G$120&lt;&gt;"moeda")*(Inputs!$G$5:$G$120&lt;&gt;"acoes")))*INDEX(Inputs!$K$5:$AJ$120,0,MATCH(Q$2,Inputs!$K$4:$AJ$4,0)))+SUMPRODUCT((Inputs!$C$5:$C$120=$B6)*Inputs!$D$5:$D$120*(((Inputs!$G$5:$G$120="moeda")+(Inputs!$G$5:$G$120="acoes"))*Inputs!$B$1+((Inputs!$G$5:$G$120&lt;&gt;"moeda")*(Inputs!$G$5:$G$120&lt;&gt;"acoes")))*INDEX(Inputs!$K$5:$AJ$120,0,MATCH(Q$2,Inputs!$K$4:$AJ$4,0)))+SUMPRODUCT((Inputs!$E$5:$E$120=$B6)*Inputs!$F$5:$F$120*(((Inputs!$G$5:$G$120="moeda")+(Inputs!$G$5:$G$120="acoes"))*Inputs!$B$1+((Inputs!$G$5:$G$120&lt;&gt;"moeda")*(Inputs!$G$5:$G$120&lt;&gt;"acoes")))*INDEX(Inputs!$K$5:$AJ$120,0,MATCH(Q$2,Inputs!$K$4:$AJ$4,0)))))</f>
        <v>-234</v>
      </c>
      <c r="R6" s="268">
        <f>SUM(N6:Q6)</f>
        <v>-935</v>
      </c>
      <c r="S6" s="267">
        <f>IF(ISNA(MATCH(S$2,Inputs!$K$4:$AJ$4,0)),NA(),IF(SUMPRODUCT((Inputs!$A$5:$A$120=$B6)*ISNUMBER(INDEX(Inputs!$K$5:$AJ$120,0,MATCH(S$2,Inputs!$K$4:$AJ$4,0))))+SUMPRODUCT((Inputs!$C$5:$C$120=$B6)*ISNUMBER(INDEX(Inputs!$K$5:$AJ$120,0,MATCH(S$2,Inputs!$K$4:$AJ$4,0))))+SUMPRODUCT((Inputs!$E$5:$E$120=$B6)*ISNUMBER(INDEX(Inputs!$K$5:$AJ$120,0,MATCH(S$2,Inputs!$K$4:$AJ$4,0))))=0,NA(),SUMPRODUCT((Inputs!$A$5:$A$120=$B6)*Inputs!$B$5:$B$120*(((Inputs!$G$5:$G$120="moeda")+(Inputs!$G$5:$G$120="acoes"))*Inputs!$B$1+((Inputs!$G$5:$G$120&lt;&gt;"moeda")*(Inputs!$G$5:$G$120&lt;&gt;"acoes")))*INDEX(Inputs!$K$5:$AJ$120,0,MATCH(S$2,Inputs!$K$4:$AJ$4,0)))+SUMPRODUCT((Inputs!$C$5:$C$120=$B6)*Inputs!$D$5:$D$120*(((Inputs!$G$5:$G$120="moeda")+(Inputs!$G$5:$G$120="acoes"))*Inputs!$B$1+((Inputs!$G$5:$G$120&lt;&gt;"moeda")*(Inputs!$G$5:$G$120&lt;&gt;"acoes")))*INDEX(Inputs!$K$5:$AJ$120,0,MATCH(S$2,Inputs!$K$4:$AJ$4,0)))+SUMPRODUCT((Inputs!$E$5:$E$120=$B6)*Inputs!$F$5:$F$120*(((Inputs!$G$5:$G$120="moeda")+(Inputs!$G$5:$G$120="acoes"))*Inputs!$B$1+((Inputs!$G$5:$G$120&lt;&gt;"moeda")*(Inputs!$G$5:$G$120&lt;&gt;"acoes")))*INDEX(Inputs!$K$5:$AJ$120,0,MATCH(S$2,Inputs!$K$4:$AJ$4,0)))))</f>
        <v>-248</v>
      </c>
      <c r="T6" s="267">
        <f>IF(ISNA(MATCH(T$2,Inputs!$K$4:$AJ$4,0)),NA(),IF(SUMPRODUCT((Inputs!$A$5:$A$120=$B6)*ISNUMBER(INDEX(Inputs!$K$5:$AJ$120,0,MATCH(T$2,Inputs!$K$4:$AJ$4,0))))+SUMPRODUCT((Inputs!$C$5:$C$120=$B6)*ISNUMBER(INDEX(Inputs!$K$5:$AJ$120,0,MATCH(T$2,Inputs!$K$4:$AJ$4,0))))+SUMPRODUCT((Inputs!$E$5:$E$120=$B6)*ISNUMBER(INDEX(Inputs!$K$5:$AJ$120,0,MATCH(T$2,Inputs!$K$4:$AJ$4,0))))=0,NA(),SUMPRODUCT((Inputs!$A$5:$A$120=$B6)*Inputs!$B$5:$B$120*(((Inputs!$G$5:$G$120="moeda")+(Inputs!$G$5:$G$120="acoes"))*Inputs!$B$1+((Inputs!$G$5:$G$120&lt;&gt;"moeda")*(Inputs!$G$5:$G$120&lt;&gt;"acoes")))*INDEX(Inputs!$K$5:$AJ$120,0,MATCH(T$2,Inputs!$K$4:$AJ$4,0)))+SUMPRODUCT((Inputs!$C$5:$C$120=$B6)*Inputs!$D$5:$D$120*(((Inputs!$G$5:$G$120="moeda")+(Inputs!$G$5:$G$120="acoes"))*Inputs!$B$1+((Inputs!$G$5:$G$120&lt;&gt;"moeda")*(Inputs!$G$5:$G$120&lt;&gt;"acoes")))*INDEX(Inputs!$K$5:$AJ$120,0,MATCH(T$2,Inputs!$K$4:$AJ$4,0)))+SUMPRODUCT((Inputs!$E$5:$E$120=$B6)*Inputs!$F$5:$F$120*(((Inputs!$G$5:$G$120="moeda")+(Inputs!$G$5:$G$120="acoes"))*Inputs!$B$1+((Inputs!$G$5:$G$120&lt;&gt;"moeda")*(Inputs!$G$5:$G$120&lt;&gt;"acoes")))*INDEX(Inputs!$K$5:$AJ$120,0,MATCH(T$2,Inputs!$K$4:$AJ$4,0)))))</f>
        <v>-191</v>
      </c>
      <c r="U6" s="267">
        <f>IF(ISNA(MATCH(U$2,Inputs!$K$4:$AJ$4,0)),NA(),IF(SUMPRODUCT((Inputs!$A$5:$A$120=$B6)*ISNUMBER(INDEX(Inputs!$K$5:$AJ$120,0,MATCH(U$2,Inputs!$K$4:$AJ$4,0))))+SUMPRODUCT((Inputs!$C$5:$C$120=$B6)*ISNUMBER(INDEX(Inputs!$K$5:$AJ$120,0,MATCH(U$2,Inputs!$K$4:$AJ$4,0))))+SUMPRODUCT((Inputs!$E$5:$E$120=$B6)*ISNUMBER(INDEX(Inputs!$K$5:$AJ$120,0,MATCH(U$2,Inputs!$K$4:$AJ$4,0))))=0,NA(),SUMPRODUCT((Inputs!$A$5:$A$120=$B6)*Inputs!$B$5:$B$120*(((Inputs!$G$5:$G$120="moeda")+(Inputs!$G$5:$G$120="acoes"))*Inputs!$B$1+((Inputs!$G$5:$G$120&lt;&gt;"moeda")*(Inputs!$G$5:$G$120&lt;&gt;"acoes")))*INDEX(Inputs!$K$5:$AJ$120,0,MATCH(U$2,Inputs!$K$4:$AJ$4,0)))+SUMPRODUCT((Inputs!$C$5:$C$120=$B6)*Inputs!$D$5:$D$120*(((Inputs!$G$5:$G$120="moeda")+(Inputs!$G$5:$G$120="acoes"))*Inputs!$B$1+((Inputs!$G$5:$G$120&lt;&gt;"moeda")*(Inputs!$G$5:$G$120&lt;&gt;"acoes")))*INDEX(Inputs!$K$5:$AJ$120,0,MATCH(U$2,Inputs!$K$4:$AJ$4,0)))+SUMPRODUCT((Inputs!$E$5:$E$120=$B6)*Inputs!$F$5:$F$120*(((Inputs!$G$5:$G$120="moeda")+(Inputs!$G$5:$G$120="acoes"))*Inputs!$B$1+((Inputs!$G$5:$G$120&lt;&gt;"moeda")*(Inputs!$G$5:$G$120&lt;&gt;"acoes")))*INDEX(Inputs!$K$5:$AJ$120,0,MATCH(U$2,Inputs!$K$4:$AJ$4,0)))))</f>
        <v>-175</v>
      </c>
      <c r="V6" s="267">
        <f>IF(ISNA(MATCH(V$2,Inputs!$K$4:$AJ$4,0)),NA(),IF(SUMPRODUCT((Inputs!$A$5:$A$120=$B6)*ISNUMBER(INDEX(Inputs!$K$5:$AJ$120,0,MATCH(V$2,Inputs!$K$4:$AJ$4,0))))+SUMPRODUCT((Inputs!$C$5:$C$120=$B6)*ISNUMBER(INDEX(Inputs!$K$5:$AJ$120,0,MATCH(V$2,Inputs!$K$4:$AJ$4,0))))+SUMPRODUCT((Inputs!$E$5:$E$120=$B6)*ISNUMBER(INDEX(Inputs!$K$5:$AJ$120,0,MATCH(V$2,Inputs!$K$4:$AJ$4,0))))=0,NA(),SUMPRODUCT((Inputs!$A$5:$A$120=$B6)*Inputs!$B$5:$B$120*(((Inputs!$G$5:$G$120="moeda")+(Inputs!$G$5:$G$120="acoes"))*Inputs!$B$1+((Inputs!$G$5:$G$120&lt;&gt;"moeda")*(Inputs!$G$5:$G$120&lt;&gt;"acoes")))*INDEX(Inputs!$K$5:$AJ$120,0,MATCH(V$2,Inputs!$K$4:$AJ$4,0)))+SUMPRODUCT((Inputs!$C$5:$C$120=$B6)*Inputs!$D$5:$D$120*(((Inputs!$G$5:$G$120="moeda")+(Inputs!$G$5:$G$120="acoes"))*Inputs!$B$1+((Inputs!$G$5:$G$120&lt;&gt;"moeda")*(Inputs!$G$5:$G$120&lt;&gt;"acoes")))*INDEX(Inputs!$K$5:$AJ$120,0,MATCH(V$2,Inputs!$K$4:$AJ$4,0)))+SUMPRODUCT((Inputs!$E$5:$E$120=$B6)*Inputs!$F$5:$F$120*(((Inputs!$G$5:$G$120="moeda")+(Inputs!$G$5:$G$120="acoes"))*Inputs!$B$1+((Inputs!$G$5:$G$120&lt;&gt;"moeda")*(Inputs!$G$5:$G$120&lt;&gt;"acoes")))*INDEX(Inputs!$K$5:$AJ$120,0,MATCH(V$2,Inputs!$K$4:$AJ$4,0)))))</f>
        <v>-182</v>
      </c>
      <c r="W6" s="268">
        <f>SUM(S6:V6)</f>
        <v>-796</v>
      </c>
      <c r="X6" s="267">
        <f>IF(ISNA(MATCH(X$2,Inputs!$K$4:$AJ$4,0)),NA(),IF(SUMPRODUCT((Inputs!$A$5:$A$120=$B6)*ISNUMBER(INDEX(Inputs!$K$5:$AJ$120,0,MATCH(X$2,Inputs!$K$4:$AJ$4,0))))+SUMPRODUCT((Inputs!$C$5:$C$120=$B6)*ISNUMBER(INDEX(Inputs!$K$5:$AJ$120,0,MATCH(X$2,Inputs!$K$4:$AJ$4,0))))+SUMPRODUCT((Inputs!$E$5:$E$120=$B6)*ISNUMBER(INDEX(Inputs!$K$5:$AJ$120,0,MATCH(X$2,Inputs!$K$4:$AJ$4,0))))=0,NA(),SUMPRODUCT((Inputs!$A$5:$A$120=$B6)*Inputs!$B$5:$B$120*(((Inputs!$G$5:$G$120="moeda")+(Inputs!$G$5:$G$120="acoes"))*Inputs!$B$1+((Inputs!$G$5:$G$120&lt;&gt;"moeda")*(Inputs!$G$5:$G$120&lt;&gt;"acoes")))*INDEX(Inputs!$K$5:$AJ$120,0,MATCH(X$2,Inputs!$K$4:$AJ$4,0)))+SUMPRODUCT((Inputs!$C$5:$C$120=$B6)*Inputs!$D$5:$D$120*(((Inputs!$G$5:$G$120="moeda")+(Inputs!$G$5:$G$120="acoes"))*Inputs!$B$1+((Inputs!$G$5:$G$120&lt;&gt;"moeda")*(Inputs!$G$5:$G$120&lt;&gt;"acoes")))*INDEX(Inputs!$K$5:$AJ$120,0,MATCH(X$2,Inputs!$K$4:$AJ$4,0)))+SUMPRODUCT((Inputs!$E$5:$E$120=$B6)*Inputs!$F$5:$F$120*(((Inputs!$G$5:$G$120="moeda")+(Inputs!$G$5:$G$120="acoes"))*Inputs!$B$1+((Inputs!$G$5:$G$120&lt;&gt;"moeda")*(Inputs!$G$5:$G$120&lt;&gt;"acoes")))*INDEX(Inputs!$K$5:$AJ$120,0,MATCH(X$2,Inputs!$K$4:$AJ$4,0)))))</f>
        <v>-203</v>
      </c>
      <c r="Y6" s="267">
        <f>IF(ISNA(MATCH(Y$2,Inputs!$K$4:$AJ$4,0)),NA(),IF(SUMPRODUCT((Inputs!$A$5:$A$120=$B6)*ISNUMBER(INDEX(Inputs!$K$5:$AJ$120,0,MATCH(Y$2,Inputs!$K$4:$AJ$4,0))))+SUMPRODUCT((Inputs!$C$5:$C$120=$B6)*ISNUMBER(INDEX(Inputs!$K$5:$AJ$120,0,MATCH(Y$2,Inputs!$K$4:$AJ$4,0))))+SUMPRODUCT((Inputs!$E$5:$E$120=$B6)*ISNUMBER(INDEX(Inputs!$K$5:$AJ$120,0,MATCH(Y$2,Inputs!$K$4:$AJ$4,0))))=0,NA(),SUMPRODUCT((Inputs!$A$5:$A$120=$B6)*Inputs!$B$5:$B$120*(((Inputs!$G$5:$G$120="moeda")+(Inputs!$G$5:$G$120="acoes"))*Inputs!$B$1+((Inputs!$G$5:$G$120&lt;&gt;"moeda")*(Inputs!$G$5:$G$120&lt;&gt;"acoes")))*INDEX(Inputs!$K$5:$AJ$120,0,MATCH(Y$2,Inputs!$K$4:$AJ$4,0)))+SUMPRODUCT((Inputs!$C$5:$C$120=$B6)*Inputs!$D$5:$D$120*(((Inputs!$G$5:$G$120="moeda")+(Inputs!$G$5:$G$120="acoes"))*Inputs!$B$1+((Inputs!$G$5:$G$120&lt;&gt;"moeda")*(Inputs!$G$5:$G$120&lt;&gt;"acoes")))*INDEX(Inputs!$K$5:$AJ$120,0,MATCH(Y$2,Inputs!$K$4:$AJ$4,0)))+SUMPRODUCT((Inputs!$E$5:$E$120=$B6)*Inputs!$F$5:$F$120*(((Inputs!$G$5:$G$120="moeda")+(Inputs!$G$5:$G$120="acoes"))*Inputs!$B$1+((Inputs!$G$5:$G$120&lt;&gt;"moeda")*(Inputs!$G$5:$G$120&lt;&gt;"acoes")))*INDEX(Inputs!$K$5:$AJ$120,0,MATCH(Y$2,Inputs!$K$4:$AJ$4,0)))))</f>
        <v>-200</v>
      </c>
      <c r="Z6" s="267">
        <f>IF(ISNA(MATCH(Z$2,Inputs!$K$4:$AJ$4,0)),NA(),IF(SUMPRODUCT((Inputs!$A$5:$A$120=$B6)*ISNUMBER(INDEX(Inputs!$K$5:$AJ$120,0,MATCH(Z$2,Inputs!$K$4:$AJ$4,0))))+SUMPRODUCT((Inputs!$C$5:$C$120=$B6)*ISNUMBER(INDEX(Inputs!$K$5:$AJ$120,0,MATCH(Z$2,Inputs!$K$4:$AJ$4,0))))+SUMPRODUCT((Inputs!$E$5:$E$120=$B6)*ISNUMBER(INDEX(Inputs!$K$5:$AJ$120,0,MATCH(Z$2,Inputs!$K$4:$AJ$4,0))))=0,NA(),SUMPRODUCT((Inputs!$A$5:$A$120=$B6)*Inputs!$B$5:$B$120*(((Inputs!$G$5:$G$120="moeda")+(Inputs!$G$5:$G$120="acoes"))*Inputs!$B$1+((Inputs!$G$5:$G$120&lt;&gt;"moeda")*(Inputs!$G$5:$G$120&lt;&gt;"acoes")))*INDEX(Inputs!$K$5:$AJ$120,0,MATCH(Z$2,Inputs!$K$4:$AJ$4,0)))+SUMPRODUCT((Inputs!$C$5:$C$120=$B6)*Inputs!$D$5:$D$120*(((Inputs!$G$5:$G$120="moeda")+(Inputs!$G$5:$G$120="acoes"))*Inputs!$B$1+((Inputs!$G$5:$G$120&lt;&gt;"moeda")*(Inputs!$G$5:$G$120&lt;&gt;"acoes")))*INDEX(Inputs!$K$5:$AJ$120,0,MATCH(Z$2,Inputs!$K$4:$AJ$4,0)))+SUMPRODUCT((Inputs!$E$5:$E$120=$B6)*Inputs!$F$5:$F$120*(((Inputs!$G$5:$G$120="moeda")+(Inputs!$G$5:$G$120="acoes"))*Inputs!$B$1+((Inputs!$G$5:$G$120&lt;&gt;"moeda")*(Inputs!$G$5:$G$120&lt;&gt;"acoes")))*INDEX(Inputs!$K$5:$AJ$120,0,MATCH(Z$2,Inputs!$K$4:$AJ$4,0)))))</f>
        <v>-170</v>
      </c>
      <c r="AA6" s="267">
        <f>IF(ISNA(MATCH(AA$2,Inputs!$K$4:$AJ$4,0)),NA(),IF(SUMPRODUCT((Inputs!$A$5:$A$120=$B6)*ISNUMBER(INDEX(Inputs!$K$5:$AJ$120,0,MATCH(AA$2,Inputs!$K$4:$AJ$4,0))))+SUMPRODUCT((Inputs!$C$5:$C$120=$B6)*ISNUMBER(INDEX(Inputs!$K$5:$AJ$120,0,MATCH(AA$2,Inputs!$K$4:$AJ$4,0))))+SUMPRODUCT((Inputs!$E$5:$E$120=$B6)*ISNUMBER(INDEX(Inputs!$K$5:$AJ$120,0,MATCH(AA$2,Inputs!$K$4:$AJ$4,0))))=0,NA(),SUMPRODUCT((Inputs!$A$5:$A$120=$B6)*Inputs!$B$5:$B$120*(((Inputs!$G$5:$G$120="moeda")+(Inputs!$G$5:$G$120="acoes"))*Inputs!$B$1+((Inputs!$G$5:$G$120&lt;&gt;"moeda")*(Inputs!$G$5:$G$120&lt;&gt;"acoes")))*INDEX(Inputs!$K$5:$AJ$120,0,MATCH(AA$2,Inputs!$K$4:$AJ$4,0)))+SUMPRODUCT((Inputs!$C$5:$C$120=$B6)*Inputs!$D$5:$D$120*(((Inputs!$G$5:$G$120="moeda")+(Inputs!$G$5:$G$120="acoes"))*Inputs!$B$1+((Inputs!$G$5:$G$120&lt;&gt;"moeda")*(Inputs!$G$5:$G$120&lt;&gt;"acoes")))*INDEX(Inputs!$K$5:$AJ$120,0,MATCH(AA$2,Inputs!$K$4:$AJ$4,0)))+SUMPRODUCT((Inputs!$E$5:$E$120=$B6)*Inputs!$F$5:$F$120*(((Inputs!$G$5:$G$120="moeda")+(Inputs!$G$5:$G$120="acoes"))*Inputs!$B$1+((Inputs!$G$5:$G$120&lt;&gt;"moeda")*(Inputs!$G$5:$G$120&lt;&gt;"acoes")))*INDEX(Inputs!$K$5:$AJ$120,0,MATCH(AA$2,Inputs!$K$4:$AJ$4,0)))))</f>
        <v>-206</v>
      </c>
      <c r="AB6" s="268">
        <f>SUM(X6:AA6)</f>
        <v>-779</v>
      </c>
      <c r="AC6" s="267">
        <f>IF(ISNA(MATCH(AC$2,Inputs!$K$4:$AJ$4,0)),NA(),IF(SUMPRODUCT((Inputs!$A$5:$A$120=$B6)*ISNUMBER(INDEX(Inputs!$K$5:$AJ$120,0,MATCH(AC$2,Inputs!$K$4:$AJ$4,0))))+SUMPRODUCT((Inputs!$C$5:$C$120=$B6)*ISNUMBER(INDEX(Inputs!$K$5:$AJ$120,0,MATCH(AC$2,Inputs!$K$4:$AJ$4,0))))+SUMPRODUCT((Inputs!$E$5:$E$120=$B6)*ISNUMBER(INDEX(Inputs!$K$5:$AJ$120,0,MATCH(AC$2,Inputs!$K$4:$AJ$4,0))))=0,NA(),SUMPRODUCT((Inputs!$A$5:$A$120=$B6)*Inputs!$B$5:$B$120*(((Inputs!$G$5:$G$120="moeda")+(Inputs!$G$5:$G$120="acoes"))*Inputs!$B$1+((Inputs!$G$5:$G$120&lt;&gt;"moeda")*(Inputs!$G$5:$G$120&lt;&gt;"acoes")))*INDEX(Inputs!$K$5:$AJ$120,0,MATCH(AC$2,Inputs!$K$4:$AJ$4,0)))+SUMPRODUCT((Inputs!$C$5:$C$120=$B6)*Inputs!$D$5:$D$120*(((Inputs!$G$5:$G$120="moeda")+(Inputs!$G$5:$G$120="acoes"))*Inputs!$B$1+((Inputs!$G$5:$G$120&lt;&gt;"moeda")*(Inputs!$G$5:$G$120&lt;&gt;"acoes")))*INDEX(Inputs!$K$5:$AJ$120,0,MATCH(AC$2,Inputs!$K$4:$AJ$4,0)))+SUMPRODUCT((Inputs!$E$5:$E$120=$B6)*Inputs!$F$5:$F$120*(((Inputs!$G$5:$G$120="moeda")+(Inputs!$G$5:$G$120="acoes"))*Inputs!$B$1+((Inputs!$G$5:$G$120&lt;&gt;"moeda")*(Inputs!$G$5:$G$120&lt;&gt;"acoes")))*INDEX(Inputs!$K$5:$AJ$120,0,MATCH(AC$2,Inputs!$K$4:$AJ$4,0)))))</f>
        <v>482</v>
      </c>
      <c r="AD6" s="267">
        <f>IF(ISNA(MATCH(AD$2,Inputs!$K$4:$AJ$4,0)),NA(),IF(SUMPRODUCT((Inputs!$A$5:$A$120=$B6)*ISNUMBER(INDEX(Inputs!$K$5:$AJ$120,0,MATCH(AD$2,Inputs!$K$4:$AJ$4,0))))+SUMPRODUCT((Inputs!$C$5:$C$120=$B6)*ISNUMBER(INDEX(Inputs!$K$5:$AJ$120,0,MATCH(AD$2,Inputs!$K$4:$AJ$4,0))))+SUMPRODUCT((Inputs!$E$5:$E$120=$B6)*ISNUMBER(INDEX(Inputs!$K$5:$AJ$120,0,MATCH(AD$2,Inputs!$K$4:$AJ$4,0))))=0,NA(),SUMPRODUCT((Inputs!$A$5:$A$120=$B6)*Inputs!$B$5:$B$120*(((Inputs!$G$5:$G$120="moeda")+(Inputs!$G$5:$G$120="acoes"))*Inputs!$B$1+((Inputs!$G$5:$G$120&lt;&gt;"moeda")*(Inputs!$G$5:$G$120&lt;&gt;"acoes")))*INDEX(Inputs!$K$5:$AJ$120,0,MATCH(AD$2,Inputs!$K$4:$AJ$4,0)))+SUMPRODUCT((Inputs!$C$5:$C$120=$B6)*Inputs!$D$5:$D$120*(((Inputs!$G$5:$G$120="moeda")+(Inputs!$G$5:$G$120="acoes"))*Inputs!$B$1+((Inputs!$G$5:$G$120&lt;&gt;"moeda")*(Inputs!$G$5:$G$120&lt;&gt;"acoes")))*INDEX(Inputs!$K$5:$AJ$120,0,MATCH(AD$2,Inputs!$K$4:$AJ$4,0)))+SUMPRODUCT((Inputs!$E$5:$E$120=$B6)*Inputs!$F$5:$F$120*(((Inputs!$G$5:$G$120="moeda")+(Inputs!$G$5:$G$120="acoes"))*Inputs!$B$1+((Inputs!$G$5:$G$120&lt;&gt;"moeda")*(Inputs!$G$5:$G$120&lt;&gt;"acoes")))*INDEX(Inputs!$K$5:$AJ$120,0,MATCH(AD$2,Inputs!$K$4:$AJ$4,0)))))</f>
        <v>-183</v>
      </c>
      <c r="AE6" s="267" t="e">
        <f>IF(ISNA(MATCH(AE$2,Inputs!$K$4:$AJ$4,0)),NA(),IF(SUMPRODUCT((Inputs!$A$5:$A$120=$B6)*ISNUMBER(INDEX(Inputs!$K$5:$AJ$120,0,MATCH(AE$2,Inputs!$K$4:$AJ$4,0))))+SUMPRODUCT((Inputs!$C$5:$C$120=$B6)*ISNUMBER(INDEX(Inputs!$K$5:$AJ$120,0,MATCH(AE$2,Inputs!$K$4:$AJ$4,0))))+SUMPRODUCT((Inputs!$E$5:$E$120=$B6)*ISNUMBER(INDEX(Inputs!$K$5:$AJ$120,0,MATCH(AE$2,Inputs!$K$4:$AJ$4,0))))=0,NA(),SUMPRODUCT((Inputs!$A$5:$A$120=$B6)*Inputs!$B$5:$B$120*(((Inputs!$G$5:$G$120="moeda")+(Inputs!$G$5:$G$120="acoes"))*Inputs!$B$1+((Inputs!$G$5:$G$120&lt;&gt;"moeda")*(Inputs!$G$5:$G$120&lt;&gt;"acoes")))*INDEX(Inputs!$K$5:$AJ$120,0,MATCH(AE$2,Inputs!$K$4:$AJ$4,0)))+SUMPRODUCT((Inputs!$C$5:$C$120=$B6)*Inputs!$D$5:$D$120*(((Inputs!$G$5:$G$120="moeda")+(Inputs!$G$5:$G$120="acoes"))*Inputs!$B$1+((Inputs!$G$5:$G$120&lt;&gt;"moeda")*(Inputs!$G$5:$G$120&lt;&gt;"acoes")))*INDEX(Inputs!$K$5:$AJ$120,0,MATCH(AE$2,Inputs!$K$4:$AJ$4,0)))+SUMPRODUCT((Inputs!$E$5:$E$120=$B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" s="267" t="e">
        <f>IF(ISNA(MATCH(AF$2,Inputs!$K$4:$AJ$4,0)),NA(),IF(SUMPRODUCT((Inputs!$A$5:$A$120=$B6)*ISNUMBER(INDEX(Inputs!$K$5:$AJ$120,0,MATCH(AF$2,Inputs!$K$4:$AJ$4,0))))+SUMPRODUCT((Inputs!$C$5:$C$120=$B6)*ISNUMBER(INDEX(Inputs!$K$5:$AJ$120,0,MATCH(AF$2,Inputs!$K$4:$AJ$4,0))))+SUMPRODUCT((Inputs!$E$5:$E$120=$B6)*ISNUMBER(INDEX(Inputs!$K$5:$AJ$120,0,MATCH(AF$2,Inputs!$K$4:$AJ$4,0))))=0,NA(),SUMPRODUCT((Inputs!$A$5:$A$120=$B6)*Inputs!$B$5:$B$120*(((Inputs!$G$5:$G$120="moeda")+(Inputs!$G$5:$G$120="acoes"))*Inputs!$B$1+((Inputs!$G$5:$G$120&lt;&gt;"moeda")*(Inputs!$G$5:$G$120&lt;&gt;"acoes")))*INDEX(Inputs!$K$5:$AJ$120,0,MATCH(AF$2,Inputs!$K$4:$AJ$4,0)))+SUMPRODUCT((Inputs!$C$5:$C$120=$B6)*Inputs!$D$5:$D$120*(((Inputs!$G$5:$G$120="moeda")+(Inputs!$G$5:$G$120="acoes"))*Inputs!$B$1+((Inputs!$G$5:$G$120&lt;&gt;"moeda")*(Inputs!$G$5:$G$120&lt;&gt;"acoes")))*INDEX(Inputs!$K$5:$AJ$120,0,MATCH(AF$2,Inputs!$K$4:$AJ$4,0)))+SUMPRODUCT((Inputs!$E$5:$E$120=$B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" s="268" t="e">
        <f>SUM(AC6:AF6)</f>
        <v>#N/A</v>
      </c>
      <c r="AH6" s="267">
        <f>IF(ISNA(MATCH(AH$2,Inputs!$K$4:$AJ$4,0)),NA(),IF(SUMPRODUCT((Inputs!$A$5:$A$120=$B6)*ISNUMBER(INDEX(Inputs!$K$5:$AJ$120,0,MATCH(AH$2,Inputs!$K$4:$AJ$4,0))))+SUMPRODUCT((Inputs!$C$5:$C$120=$B6)*ISNUMBER(INDEX(Inputs!$K$5:$AJ$120,0,MATCH(AH$2,Inputs!$K$4:$AJ$4,0))))+SUMPRODUCT((Inputs!$E$5:$E$120=$B6)*ISNUMBER(INDEX(Inputs!$K$5:$AJ$120,0,MATCH(AH$2,Inputs!$K$4:$AJ$4,0))))=0,NA(),SUMPRODUCT((Inputs!$A$5:$A$120=$B6)*Inputs!$B$5:$B$120*(((Inputs!$G$5:$G$120="moeda")+(Inputs!$G$5:$G$120="acoes"))*Inputs!$B$1+((Inputs!$G$5:$G$120&lt;&gt;"moeda")*(Inputs!$G$5:$G$120&lt;&gt;"acoes")))*INDEX(Inputs!$K$5:$AJ$120,0,MATCH(AH$2,Inputs!$K$4:$AJ$4,0)))+SUMPRODUCT((Inputs!$C$5:$C$120=$B6)*Inputs!$D$5:$D$120*(((Inputs!$G$5:$G$120="moeda")+(Inputs!$G$5:$G$120="acoes"))*Inputs!$B$1+((Inputs!$G$5:$G$120&lt;&gt;"moeda")*(Inputs!$G$5:$G$120&lt;&gt;"acoes")))*INDEX(Inputs!$K$5:$AJ$120,0,MATCH(AH$2,Inputs!$K$4:$AJ$4,0)))+SUMPRODUCT((Inputs!$E$5:$E$120=$B6)*Inputs!$F$5:$F$120*(((Inputs!$G$5:$G$120="moeda")+(Inputs!$G$5:$G$120="acoes"))*Inputs!$B$1+((Inputs!$G$5:$G$120&lt;&gt;"moeda")*(Inputs!$G$5:$G$120&lt;&gt;"acoes")))*INDEX(Inputs!$K$5:$AJ$120,0,MATCH(AH$2,Inputs!$K$4:$AJ$4,0)))))</f>
        <v>-163</v>
      </c>
      <c r="AI6" s="267">
        <f>IF(ISNA(MATCH(AI$2,Inputs!$K$4:$AJ$4,0)),NA(),IF(SUMPRODUCT((Inputs!$A$5:$A$120=$B6)*ISNUMBER(INDEX(Inputs!$K$5:$AJ$120,0,MATCH(AI$2,Inputs!$K$4:$AJ$4,0))))+SUMPRODUCT((Inputs!$C$5:$C$120=$B6)*ISNUMBER(INDEX(Inputs!$K$5:$AJ$120,0,MATCH(AI$2,Inputs!$K$4:$AJ$4,0))))+SUMPRODUCT((Inputs!$E$5:$E$120=$B6)*ISNUMBER(INDEX(Inputs!$K$5:$AJ$120,0,MATCH(AI$2,Inputs!$K$4:$AJ$4,0))))=0,NA(),SUMPRODUCT((Inputs!$A$5:$A$120=$B6)*Inputs!$B$5:$B$120*(((Inputs!$G$5:$G$120="moeda")+(Inputs!$G$5:$G$120="acoes"))*Inputs!$B$1+((Inputs!$G$5:$G$120&lt;&gt;"moeda")*(Inputs!$G$5:$G$120&lt;&gt;"acoes")))*INDEX(Inputs!$K$5:$AJ$120,0,MATCH(AI$2,Inputs!$K$4:$AJ$4,0)))+SUMPRODUCT((Inputs!$C$5:$C$120=$B6)*Inputs!$D$5:$D$120*(((Inputs!$G$5:$G$120="moeda")+(Inputs!$G$5:$G$120="acoes"))*Inputs!$B$1+((Inputs!$G$5:$G$120&lt;&gt;"moeda")*(Inputs!$G$5:$G$120&lt;&gt;"acoes")))*INDEX(Inputs!$K$5:$AJ$120,0,MATCH(AI$2,Inputs!$K$4:$AJ$4,0)))+SUMPRODUCT((Inputs!$E$5:$E$120=$B6)*Inputs!$F$5:$F$120*(((Inputs!$G$5:$G$120="moeda")+(Inputs!$G$5:$G$120="acoes"))*Inputs!$B$1+((Inputs!$G$5:$G$120&lt;&gt;"moeda")*(Inputs!$G$5:$G$120&lt;&gt;"acoes")))*INDEX(Inputs!$K$5:$AJ$120,0,MATCH(AI$2,Inputs!$K$4:$AJ$4,0)))))</f>
        <v>-120</v>
      </c>
      <c r="AJ6" s="267">
        <f>IF(ISNA(MATCH(AJ$2,Inputs!$K$4:$AJ$4,0)),NA(),IF(SUMPRODUCT((Inputs!$A$5:$A$120=$B6)*ISNUMBER(INDEX(Inputs!$K$5:$AJ$120,0,MATCH(AJ$2,Inputs!$K$4:$AJ$4,0))))+SUMPRODUCT((Inputs!$C$5:$C$120=$B6)*ISNUMBER(INDEX(Inputs!$K$5:$AJ$120,0,MATCH(AJ$2,Inputs!$K$4:$AJ$4,0))))+SUMPRODUCT((Inputs!$E$5:$E$120=$B6)*ISNUMBER(INDEX(Inputs!$K$5:$AJ$120,0,MATCH(AJ$2,Inputs!$K$4:$AJ$4,0))))=0,NA(),SUMPRODUCT((Inputs!$A$5:$A$120=$B6)*Inputs!$B$5:$B$120*(((Inputs!$G$5:$G$120="moeda")+(Inputs!$G$5:$G$120="acoes"))*Inputs!$B$1+((Inputs!$G$5:$G$120&lt;&gt;"moeda")*(Inputs!$G$5:$G$120&lt;&gt;"acoes")))*INDEX(Inputs!$K$5:$AJ$120,0,MATCH(AJ$2,Inputs!$K$4:$AJ$4,0)))+SUMPRODUCT((Inputs!$C$5:$C$120=$B6)*Inputs!$D$5:$D$120*(((Inputs!$G$5:$G$120="moeda")+(Inputs!$G$5:$G$120="acoes"))*Inputs!$B$1+((Inputs!$G$5:$G$120&lt;&gt;"moeda")*(Inputs!$G$5:$G$120&lt;&gt;"acoes")))*INDEX(Inputs!$K$5:$AJ$120,0,MATCH(AJ$2,Inputs!$K$4:$AJ$4,0)))+SUMPRODUCT((Inputs!$E$5:$E$120=$B6)*Inputs!$F$5:$F$120*(((Inputs!$G$5:$G$120="moeda")+(Inputs!$G$5:$G$120="acoes"))*Inputs!$B$1+((Inputs!$G$5:$G$120&lt;&gt;"moeda")*(Inputs!$G$5:$G$120&lt;&gt;"acoes")))*INDEX(Inputs!$K$5:$AJ$120,0,MATCH(AJ$2,Inputs!$K$4:$AJ$4,0)))))</f>
        <v>-103</v>
      </c>
      <c r="AK6" s="267">
        <f>IF(ISNA(MATCH(AK$2,Inputs!$K$4:$AJ$4,0)),NA(),IF(SUMPRODUCT((Inputs!$A$5:$A$120=$B6)*ISNUMBER(INDEX(Inputs!$K$5:$AJ$120,0,MATCH(AK$2,Inputs!$K$4:$AJ$4,0))))+SUMPRODUCT((Inputs!$C$5:$C$120=$B6)*ISNUMBER(INDEX(Inputs!$K$5:$AJ$120,0,MATCH(AK$2,Inputs!$K$4:$AJ$4,0))))+SUMPRODUCT((Inputs!$E$5:$E$120=$B6)*ISNUMBER(INDEX(Inputs!$K$5:$AJ$120,0,MATCH(AK$2,Inputs!$K$4:$AJ$4,0))))=0,NA(),SUMPRODUCT((Inputs!$A$5:$A$120=$B6)*Inputs!$B$5:$B$120*(((Inputs!$G$5:$G$120="moeda")+(Inputs!$G$5:$G$120="acoes"))*Inputs!$B$1+((Inputs!$G$5:$G$120&lt;&gt;"moeda")*(Inputs!$G$5:$G$120&lt;&gt;"acoes")))*INDEX(Inputs!$K$5:$AJ$120,0,MATCH(AK$2,Inputs!$K$4:$AJ$4,0)))+SUMPRODUCT((Inputs!$C$5:$C$120=$B6)*Inputs!$D$5:$D$120*(((Inputs!$G$5:$G$120="moeda")+(Inputs!$G$5:$G$120="acoes"))*Inputs!$B$1+((Inputs!$G$5:$G$120&lt;&gt;"moeda")*(Inputs!$G$5:$G$120&lt;&gt;"acoes")))*INDEX(Inputs!$K$5:$AJ$120,0,MATCH(AK$2,Inputs!$K$4:$AJ$4,0)))+SUMPRODUCT((Inputs!$E$5:$E$120=$B6)*Inputs!$F$5:$F$120*(((Inputs!$G$5:$G$120="moeda")+(Inputs!$G$5:$G$120="acoes"))*Inputs!$B$1+((Inputs!$G$5:$G$120&lt;&gt;"moeda")*(Inputs!$G$5:$G$120&lt;&gt;"acoes")))*INDEX(Inputs!$K$5:$AJ$120,0,MATCH(AK$2,Inputs!$K$4:$AJ$4,0)))))</f>
        <v>280</v>
      </c>
      <c r="AL6" s="268">
        <f>SUM(AH6:AK6)</f>
        <v>-106</v>
      </c>
    </row>
    <row r="7" ht="12.75" customHeight="1" s="255">
      <c r="B7" s="265" t="n">
        <v>4</v>
      </c>
      <c r="C7" s="269" t="inlineStr">
        <is>
          <t>D&amp;A</t>
        </is>
      </c>
      <c r="D7" s="267">
        <f>IF(ISNA(MATCH(D$2,Inputs!$K$4:$AJ$4,0)),NA(),IF(SUMPRODUCT((Inputs!$A$5:$A$120=$B7)*ISNUMBER(INDEX(Inputs!$K$5:$AJ$120,0,MATCH(D$2,Inputs!$K$4:$AJ$4,0))))+SUMPRODUCT((Inputs!$C$5:$C$120=$B7)*ISNUMBER(INDEX(Inputs!$K$5:$AJ$120,0,MATCH(D$2,Inputs!$K$4:$AJ$4,0))))+SUMPRODUCT((Inputs!$E$5:$E$120=$B7)*ISNUMBER(INDEX(Inputs!$K$5:$AJ$120,0,MATCH(D$2,Inputs!$K$4:$AJ$4,0))))=0,NA(),SUMPRODUCT((Inputs!$A$5:$A$120=$B7)*Inputs!$B$5:$B$120*(((Inputs!$G$5:$G$120="moeda")+(Inputs!$G$5:$G$120="acoes"))*Inputs!$B$1+((Inputs!$G$5:$G$120&lt;&gt;"moeda")*(Inputs!$G$5:$G$120&lt;&gt;"acoes")))*INDEX(Inputs!$K$5:$AJ$120,0,MATCH(D$2,Inputs!$K$4:$AJ$4,0)))+SUMPRODUCT((Inputs!$C$5:$C$120=$B7)*Inputs!$D$5:$D$120*(((Inputs!$G$5:$G$120="moeda")+(Inputs!$G$5:$G$120="acoes"))*Inputs!$B$1+((Inputs!$G$5:$G$120&lt;&gt;"moeda")*(Inputs!$G$5:$G$120&lt;&gt;"acoes")))*INDEX(Inputs!$K$5:$AJ$120,0,MATCH(D$2,Inputs!$K$4:$AJ$4,0)))+SUMPRODUCT((Inputs!$E$5:$E$120=$B7)*Inputs!$F$5:$F$120*(((Inputs!$G$5:$G$120="moeda")+(Inputs!$G$5:$G$120="acoes"))*Inputs!$B$1+((Inputs!$G$5:$G$120&lt;&gt;"moeda")*(Inputs!$G$5:$G$120&lt;&gt;"acoes")))*INDEX(Inputs!$K$5:$AJ$120,0,MATCH(D$2,Inputs!$K$4:$AJ$4,0)))))</f>
        <v>-419</v>
      </c>
      <c r="E7" s="267">
        <f>IF(ISNA(MATCH(E$2,Inputs!$K$4:$AJ$4,0)),NA(),IF(SUMPRODUCT((Inputs!$A$5:$A$120=$B7)*ISNUMBER(INDEX(Inputs!$K$5:$AJ$120,0,MATCH(E$2,Inputs!$K$4:$AJ$4,0))))+SUMPRODUCT((Inputs!$C$5:$C$120=$B7)*ISNUMBER(INDEX(Inputs!$K$5:$AJ$120,0,MATCH(E$2,Inputs!$K$4:$AJ$4,0))))+SUMPRODUCT((Inputs!$E$5:$E$120=$B7)*ISNUMBER(INDEX(Inputs!$K$5:$AJ$120,0,MATCH(E$2,Inputs!$K$4:$AJ$4,0))))=0,NA(),SUMPRODUCT((Inputs!$A$5:$A$120=$B7)*Inputs!$B$5:$B$120*(((Inputs!$G$5:$G$120="moeda")+(Inputs!$G$5:$G$120="acoes"))*Inputs!$B$1+((Inputs!$G$5:$G$120&lt;&gt;"moeda")*(Inputs!$G$5:$G$120&lt;&gt;"acoes")))*INDEX(Inputs!$K$5:$AJ$120,0,MATCH(E$2,Inputs!$K$4:$AJ$4,0)))+SUMPRODUCT((Inputs!$C$5:$C$120=$B7)*Inputs!$D$5:$D$120*(((Inputs!$G$5:$G$120="moeda")+(Inputs!$G$5:$G$120="acoes"))*Inputs!$B$1+((Inputs!$G$5:$G$120&lt;&gt;"moeda")*(Inputs!$G$5:$G$120&lt;&gt;"acoes")))*INDEX(Inputs!$K$5:$AJ$120,0,MATCH(E$2,Inputs!$K$4:$AJ$4,0)))+SUMPRODUCT((Inputs!$E$5:$E$120=$B7)*Inputs!$F$5:$F$120*(((Inputs!$G$5:$G$120="moeda")+(Inputs!$G$5:$G$120="acoes"))*Inputs!$B$1+((Inputs!$G$5:$G$120&lt;&gt;"moeda")*(Inputs!$G$5:$G$120&lt;&gt;"acoes")))*INDEX(Inputs!$K$5:$AJ$120,0,MATCH(E$2,Inputs!$K$4:$AJ$4,0)))))</f>
        <v>-483</v>
      </c>
      <c r="F7" s="267">
        <f>IF(ISNA(MATCH(F$2,Inputs!$K$4:$AJ$4,0)),NA(),IF(SUMPRODUCT((Inputs!$A$5:$A$120=$B7)*ISNUMBER(INDEX(Inputs!$K$5:$AJ$120,0,MATCH(F$2,Inputs!$K$4:$AJ$4,0))))+SUMPRODUCT((Inputs!$C$5:$C$120=$B7)*ISNUMBER(INDEX(Inputs!$K$5:$AJ$120,0,MATCH(F$2,Inputs!$K$4:$AJ$4,0))))+SUMPRODUCT((Inputs!$E$5:$E$120=$B7)*ISNUMBER(INDEX(Inputs!$K$5:$AJ$120,0,MATCH(F$2,Inputs!$K$4:$AJ$4,0))))=0,NA(),SUMPRODUCT((Inputs!$A$5:$A$120=$B7)*Inputs!$B$5:$B$120*(((Inputs!$G$5:$G$120="moeda")+(Inputs!$G$5:$G$120="acoes"))*Inputs!$B$1+((Inputs!$G$5:$G$120&lt;&gt;"moeda")*(Inputs!$G$5:$G$120&lt;&gt;"acoes")))*INDEX(Inputs!$K$5:$AJ$120,0,MATCH(F$2,Inputs!$K$4:$AJ$4,0)))+SUMPRODUCT((Inputs!$C$5:$C$120=$B7)*Inputs!$D$5:$D$120*(((Inputs!$G$5:$G$120="moeda")+(Inputs!$G$5:$G$120="acoes"))*Inputs!$B$1+((Inputs!$G$5:$G$120&lt;&gt;"moeda")*(Inputs!$G$5:$G$120&lt;&gt;"acoes")))*INDEX(Inputs!$K$5:$AJ$120,0,MATCH(F$2,Inputs!$K$4:$AJ$4,0)))+SUMPRODUCT((Inputs!$E$5:$E$120=$B7)*Inputs!$F$5:$F$120*(((Inputs!$G$5:$G$120="moeda")+(Inputs!$G$5:$G$120="acoes"))*Inputs!$B$1+((Inputs!$G$5:$G$120&lt;&gt;"moeda")*(Inputs!$G$5:$G$120&lt;&gt;"acoes")))*INDEX(Inputs!$K$5:$AJ$120,0,MATCH(F$2,Inputs!$K$4:$AJ$4,0)))))</f>
        <v>-528</v>
      </c>
      <c r="G7" s="267">
        <f>IF(ISNA(MATCH(G$2,Inputs!$K$4:$AJ$4,0)),NA(),IF(SUMPRODUCT((Inputs!$A$5:$A$120=$B7)*ISNUMBER(INDEX(Inputs!$K$5:$AJ$120,0,MATCH(G$2,Inputs!$K$4:$AJ$4,0))))+SUMPRODUCT((Inputs!$C$5:$C$120=$B7)*ISNUMBER(INDEX(Inputs!$K$5:$AJ$120,0,MATCH(G$2,Inputs!$K$4:$AJ$4,0))))+SUMPRODUCT((Inputs!$E$5:$E$120=$B7)*ISNUMBER(INDEX(Inputs!$K$5:$AJ$120,0,MATCH(G$2,Inputs!$K$4:$AJ$4,0))))=0,NA(),SUMPRODUCT((Inputs!$A$5:$A$120=$B7)*Inputs!$B$5:$B$120*(((Inputs!$G$5:$G$120="moeda")+(Inputs!$G$5:$G$120="acoes"))*Inputs!$B$1+((Inputs!$G$5:$G$120&lt;&gt;"moeda")*(Inputs!$G$5:$G$120&lt;&gt;"acoes")))*INDEX(Inputs!$K$5:$AJ$120,0,MATCH(G$2,Inputs!$K$4:$AJ$4,0)))+SUMPRODUCT((Inputs!$C$5:$C$120=$B7)*Inputs!$D$5:$D$120*(((Inputs!$G$5:$G$120="moeda")+(Inputs!$G$5:$G$120="acoes"))*Inputs!$B$1+((Inputs!$G$5:$G$120&lt;&gt;"moeda")*(Inputs!$G$5:$G$120&lt;&gt;"acoes")))*INDEX(Inputs!$K$5:$AJ$120,0,MATCH(G$2,Inputs!$K$4:$AJ$4,0)))+SUMPRODUCT((Inputs!$E$5:$E$120=$B7)*Inputs!$F$5:$F$120*(((Inputs!$G$5:$G$120="moeda")+(Inputs!$G$5:$G$120="acoes"))*Inputs!$B$1+((Inputs!$G$5:$G$120&lt;&gt;"moeda")*(Inputs!$G$5:$G$120&lt;&gt;"acoes")))*INDEX(Inputs!$K$5:$AJ$120,0,MATCH(G$2,Inputs!$K$4:$AJ$4,0)))))</f>
        <v>-568</v>
      </c>
      <c r="H7" s="268">
        <f>SUM(D7:G7)</f>
        <v>-1998</v>
      </c>
      <c r="I7" s="267">
        <f>IF(ISNA(MATCH(I$2,Inputs!$K$4:$AJ$4,0)),NA(),IF(SUMPRODUCT((Inputs!$A$5:$A$120=$B7)*ISNUMBER(INDEX(Inputs!$K$5:$AJ$120,0,MATCH(I$2,Inputs!$K$4:$AJ$4,0))))+SUMPRODUCT((Inputs!$C$5:$C$120=$B7)*ISNUMBER(INDEX(Inputs!$K$5:$AJ$120,0,MATCH(I$2,Inputs!$K$4:$AJ$4,0))))+SUMPRODUCT((Inputs!$E$5:$E$120=$B7)*ISNUMBER(INDEX(Inputs!$K$5:$AJ$120,0,MATCH(I$2,Inputs!$K$4:$AJ$4,0))))=0,NA(),SUMPRODUCT((Inputs!$A$5:$A$120=$B7)*Inputs!$B$5:$B$120*(((Inputs!$G$5:$G$120="moeda")+(Inputs!$G$5:$G$120="acoes"))*Inputs!$B$1+((Inputs!$G$5:$G$120&lt;&gt;"moeda")*(Inputs!$G$5:$G$120&lt;&gt;"acoes")))*INDEX(Inputs!$K$5:$AJ$120,0,MATCH(I$2,Inputs!$K$4:$AJ$4,0)))+SUMPRODUCT((Inputs!$C$5:$C$120=$B7)*Inputs!$D$5:$D$120*(((Inputs!$G$5:$G$120="moeda")+(Inputs!$G$5:$G$120="acoes"))*Inputs!$B$1+((Inputs!$G$5:$G$120&lt;&gt;"moeda")*(Inputs!$G$5:$G$120&lt;&gt;"acoes")))*INDEX(Inputs!$K$5:$AJ$120,0,MATCH(I$2,Inputs!$K$4:$AJ$4,0)))+SUMPRODUCT((Inputs!$E$5:$E$120=$B7)*Inputs!$F$5:$F$120*(((Inputs!$G$5:$G$120="moeda")+(Inputs!$G$5:$G$120="acoes"))*Inputs!$B$1+((Inputs!$G$5:$G$120&lt;&gt;"moeda")*(Inputs!$G$5:$G$120&lt;&gt;"acoes")))*INDEX(Inputs!$K$5:$AJ$120,0,MATCH(I$2,Inputs!$K$4:$AJ$4,0)))))</f>
        <v>-489</v>
      </c>
      <c r="J7" s="267">
        <f>IF(ISNA(MATCH(J$2,Inputs!$K$4:$AJ$4,0)),NA(),IF(SUMPRODUCT((Inputs!$A$5:$A$120=$B7)*ISNUMBER(INDEX(Inputs!$K$5:$AJ$120,0,MATCH(J$2,Inputs!$K$4:$AJ$4,0))))+SUMPRODUCT((Inputs!$C$5:$C$120=$B7)*ISNUMBER(INDEX(Inputs!$K$5:$AJ$120,0,MATCH(J$2,Inputs!$K$4:$AJ$4,0))))+SUMPRODUCT((Inputs!$E$5:$E$120=$B7)*ISNUMBER(INDEX(Inputs!$K$5:$AJ$120,0,MATCH(J$2,Inputs!$K$4:$AJ$4,0))))=0,NA(),SUMPRODUCT((Inputs!$A$5:$A$120=$B7)*Inputs!$B$5:$B$120*(((Inputs!$G$5:$G$120="moeda")+(Inputs!$G$5:$G$120="acoes"))*Inputs!$B$1+((Inputs!$G$5:$G$120&lt;&gt;"moeda")*(Inputs!$G$5:$G$120&lt;&gt;"acoes")))*INDEX(Inputs!$K$5:$AJ$120,0,MATCH(J$2,Inputs!$K$4:$AJ$4,0)))+SUMPRODUCT((Inputs!$C$5:$C$120=$B7)*Inputs!$D$5:$D$120*(((Inputs!$G$5:$G$120="moeda")+(Inputs!$G$5:$G$120="acoes"))*Inputs!$B$1+((Inputs!$G$5:$G$120&lt;&gt;"moeda")*(Inputs!$G$5:$G$120&lt;&gt;"acoes")))*INDEX(Inputs!$K$5:$AJ$120,0,MATCH(J$2,Inputs!$K$4:$AJ$4,0)))+SUMPRODUCT((Inputs!$E$5:$E$120=$B7)*Inputs!$F$5:$F$120*(((Inputs!$G$5:$G$120="moeda")+(Inputs!$G$5:$G$120="acoes"))*Inputs!$B$1+((Inputs!$G$5:$G$120&lt;&gt;"moeda")*(Inputs!$G$5:$G$120&lt;&gt;"acoes")))*INDEX(Inputs!$K$5:$AJ$120,0,MATCH(J$2,Inputs!$K$4:$AJ$4,0)))))</f>
        <v>-507</v>
      </c>
      <c r="K7" s="267">
        <f>IF(ISNA(MATCH(K$2,Inputs!$K$4:$AJ$4,0)),NA(),IF(SUMPRODUCT((Inputs!$A$5:$A$120=$B7)*ISNUMBER(INDEX(Inputs!$K$5:$AJ$120,0,MATCH(K$2,Inputs!$K$4:$AJ$4,0))))+SUMPRODUCT((Inputs!$C$5:$C$120=$B7)*ISNUMBER(INDEX(Inputs!$K$5:$AJ$120,0,MATCH(K$2,Inputs!$K$4:$AJ$4,0))))+SUMPRODUCT((Inputs!$E$5:$E$120=$B7)*ISNUMBER(INDEX(Inputs!$K$5:$AJ$120,0,MATCH(K$2,Inputs!$K$4:$AJ$4,0))))=0,NA(),SUMPRODUCT((Inputs!$A$5:$A$120=$B7)*Inputs!$B$5:$B$120*(((Inputs!$G$5:$G$120="moeda")+(Inputs!$G$5:$G$120="acoes"))*Inputs!$B$1+((Inputs!$G$5:$G$120&lt;&gt;"moeda")*(Inputs!$G$5:$G$120&lt;&gt;"acoes")))*INDEX(Inputs!$K$5:$AJ$120,0,MATCH(K$2,Inputs!$K$4:$AJ$4,0)))+SUMPRODUCT((Inputs!$C$5:$C$120=$B7)*Inputs!$D$5:$D$120*(((Inputs!$G$5:$G$120="moeda")+(Inputs!$G$5:$G$120="acoes"))*Inputs!$B$1+((Inputs!$G$5:$G$120&lt;&gt;"moeda")*(Inputs!$G$5:$G$120&lt;&gt;"acoes")))*INDEX(Inputs!$K$5:$AJ$120,0,MATCH(K$2,Inputs!$K$4:$AJ$4,0)))+SUMPRODUCT((Inputs!$E$5:$E$120=$B7)*Inputs!$F$5:$F$120*(((Inputs!$G$5:$G$120="moeda")+(Inputs!$G$5:$G$120="acoes"))*Inputs!$B$1+((Inputs!$G$5:$G$120&lt;&gt;"moeda")*(Inputs!$G$5:$G$120&lt;&gt;"acoes")))*INDEX(Inputs!$K$5:$AJ$120,0,MATCH(K$2,Inputs!$K$4:$AJ$4,0)))))</f>
        <v>-508</v>
      </c>
      <c r="L7" s="267">
        <f>IF(ISNA(MATCH(L$2,Inputs!$K$4:$AJ$4,0)),NA(),IF(SUMPRODUCT((Inputs!$A$5:$A$120=$B7)*ISNUMBER(INDEX(Inputs!$K$5:$AJ$120,0,MATCH(L$2,Inputs!$K$4:$AJ$4,0))))+SUMPRODUCT((Inputs!$C$5:$C$120=$B7)*ISNUMBER(INDEX(Inputs!$K$5:$AJ$120,0,MATCH(L$2,Inputs!$K$4:$AJ$4,0))))+SUMPRODUCT((Inputs!$E$5:$E$120=$B7)*ISNUMBER(INDEX(Inputs!$K$5:$AJ$120,0,MATCH(L$2,Inputs!$K$4:$AJ$4,0))))=0,NA(),SUMPRODUCT((Inputs!$A$5:$A$120=$B7)*Inputs!$B$5:$B$120*(((Inputs!$G$5:$G$120="moeda")+(Inputs!$G$5:$G$120="acoes"))*Inputs!$B$1+((Inputs!$G$5:$G$120&lt;&gt;"moeda")*(Inputs!$G$5:$G$120&lt;&gt;"acoes")))*INDEX(Inputs!$K$5:$AJ$120,0,MATCH(L$2,Inputs!$K$4:$AJ$4,0)))+SUMPRODUCT((Inputs!$C$5:$C$120=$B7)*Inputs!$D$5:$D$120*(((Inputs!$G$5:$G$120="moeda")+(Inputs!$G$5:$G$120="acoes"))*Inputs!$B$1+((Inputs!$G$5:$G$120&lt;&gt;"moeda")*(Inputs!$G$5:$G$120&lt;&gt;"acoes")))*INDEX(Inputs!$K$5:$AJ$120,0,MATCH(L$2,Inputs!$K$4:$AJ$4,0)))+SUMPRODUCT((Inputs!$E$5:$E$120=$B7)*Inputs!$F$5:$F$120*(((Inputs!$G$5:$G$120="moeda")+(Inputs!$G$5:$G$120="acoes"))*Inputs!$B$1+((Inputs!$G$5:$G$120&lt;&gt;"moeda")*(Inputs!$G$5:$G$120&lt;&gt;"acoes")))*INDEX(Inputs!$K$5:$AJ$120,0,MATCH(L$2,Inputs!$K$4:$AJ$4,0)))))</f>
        <v>-515</v>
      </c>
      <c r="M7" s="268">
        <f>SUM(I7:L7)</f>
        <v>-2019</v>
      </c>
      <c r="N7" s="267">
        <f>IF(ISNA(MATCH(N$2,Inputs!$K$4:$AJ$4,0)),NA(),IF(SUMPRODUCT((Inputs!$A$5:$A$120=$B7)*ISNUMBER(INDEX(Inputs!$K$5:$AJ$120,0,MATCH(N$2,Inputs!$K$4:$AJ$4,0))))+SUMPRODUCT((Inputs!$C$5:$C$120=$B7)*ISNUMBER(INDEX(Inputs!$K$5:$AJ$120,0,MATCH(N$2,Inputs!$K$4:$AJ$4,0))))+SUMPRODUCT((Inputs!$E$5:$E$120=$B7)*ISNUMBER(INDEX(Inputs!$K$5:$AJ$120,0,MATCH(N$2,Inputs!$K$4:$AJ$4,0))))=0,NA(),SUMPRODUCT((Inputs!$A$5:$A$120=$B7)*Inputs!$B$5:$B$120*(((Inputs!$G$5:$G$120="moeda")+(Inputs!$G$5:$G$120="acoes"))*Inputs!$B$1+((Inputs!$G$5:$G$120&lt;&gt;"moeda")*(Inputs!$G$5:$G$120&lt;&gt;"acoes")))*INDEX(Inputs!$K$5:$AJ$120,0,MATCH(N$2,Inputs!$K$4:$AJ$4,0)))+SUMPRODUCT((Inputs!$C$5:$C$120=$B7)*Inputs!$D$5:$D$120*(((Inputs!$G$5:$G$120="moeda")+(Inputs!$G$5:$G$120="acoes"))*Inputs!$B$1+((Inputs!$G$5:$G$120&lt;&gt;"moeda")*(Inputs!$G$5:$G$120&lt;&gt;"acoes")))*INDEX(Inputs!$K$5:$AJ$120,0,MATCH(N$2,Inputs!$K$4:$AJ$4,0)))+SUMPRODUCT((Inputs!$E$5:$E$120=$B7)*Inputs!$F$5:$F$120*(((Inputs!$G$5:$G$120="moeda")+(Inputs!$G$5:$G$120="acoes"))*Inputs!$B$1+((Inputs!$G$5:$G$120&lt;&gt;"moeda")*(Inputs!$G$5:$G$120&lt;&gt;"acoes")))*INDEX(Inputs!$K$5:$AJ$120,0,MATCH(N$2,Inputs!$K$4:$AJ$4,0)))))</f>
        <v>-399</v>
      </c>
      <c r="O7" s="267">
        <f>IF(ISNA(MATCH(O$2,Inputs!$K$4:$AJ$4,0)),NA(),IF(SUMPRODUCT((Inputs!$A$5:$A$120=$B7)*ISNUMBER(INDEX(Inputs!$K$5:$AJ$120,0,MATCH(O$2,Inputs!$K$4:$AJ$4,0))))+SUMPRODUCT((Inputs!$C$5:$C$120=$B7)*ISNUMBER(INDEX(Inputs!$K$5:$AJ$120,0,MATCH(O$2,Inputs!$K$4:$AJ$4,0))))+SUMPRODUCT((Inputs!$E$5:$E$120=$B7)*ISNUMBER(INDEX(Inputs!$K$5:$AJ$120,0,MATCH(O$2,Inputs!$K$4:$AJ$4,0))))=0,NA(),SUMPRODUCT((Inputs!$A$5:$A$120=$B7)*Inputs!$B$5:$B$120*(((Inputs!$G$5:$G$120="moeda")+(Inputs!$G$5:$G$120="acoes"))*Inputs!$B$1+((Inputs!$G$5:$G$120&lt;&gt;"moeda")*(Inputs!$G$5:$G$120&lt;&gt;"acoes")))*INDEX(Inputs!$K$5:$AJ$120,0,MATCH(O$2,Inputs!$K$4:$AJ$4,0)))+SUMPRODUCT((Inputs!$C$5:$C$120=$B7)*Inputs!$D$5:$D$120*(((Inputs!$G$5:$G$120="moeda")+(Inputs!$G$5:$G$120="acoes"))*Inputs!$B$1+((Inputs!$G$5:$G$120&lt;&gt;"moeda")*(Inputs!$G$5:$G$120&lt;&gt;"acoes")))*INDEX(Inputs!$K$5:$AJ$120,0,MATCH(O$2,Inputs!$K$4:$AJ$4,0)))+SUMPRODUCT((Inputs!$E$5:$E$120=$B7)*Inputs!$F$5:$F$120*(((Inputs!$G$5:$G$120="moeda")+(Inputs!$G$5:$G$120="acoes"))*Inputs!$B$1+((Inputs!$G$5:$G$120&lt;&gt;"moeda")*(Inputs!$G$5:$G$120&lt;&gt;"acoes")))*INDEX(Inputs!$K$5:$AJ$120,0,MATCH(O$2,Inputs!$K$4:$AJ$4,0)))))</f>
        <v>-547</v>
      </c>
      <c r="P7" s="267">
        <f>IF(ISNA(MATCH(P$2,Inputs!$K$4:$AJ$4,0)),NA(),IF(SUMPRODUCT((Inputs!$A$5:$A$120=$B7)*ISNUMBER(INDEX(Inputs!$K$5:$AJ$120,0,MATCH(P$2,Inputs!$K$4:$AJ$4,0))))+SUMPRODUCT((Inputs!$C$5:$C$120=$B7)*ISNUMBER(INDEX(Inputs!$K$5:$AJ$120,0,MATCH(P$2,Inputs!$K$4:$AJ$4,0))))+SUMPRODUCT((Inputs!$E$5:$E$120=$B7)*ISNUMBER(INDEX(Inputs!$K$5:$AJ$120,0,MATCH(P$2,Inputs!$K$4:$AJ$4,0))))=0,NA(),SUMPRODUCT((Inputs!$A$5:$A$120=$B7)*Inputs!$B$5:$B$120*(((Inputs!$G$5:$G$120="moeda")+(Inputs!$G$5:$G$120="acoes"))*Inputs!$B$1+((Inputs!$G$5:$G$120&lt;&gt;"moeda")*(Inputs!$G$5:$G$120&lt;&gt;"acoes")))*INDEX(Inputs!$K$5:$AJ$120,0,MATCH(P$2,Inputs!$K$4:$AJ$4,0)))+SUMPRODUCT((Inputs!$C$5:$C$120=$B7)*Inputs!$D$5:$D$120*(((Inputs!$G$5:$G$120="moeda")+(Inputs!$G$5:$G$120="acoes"))*Inputs!$B$1+((Inputs!$G$5:$G$120&lt;&gt;"moeda")*(Inputs!$G$5:$G$120&lt;&gt;"acoes")))*INDEX(Inputs!$K$5:$AJ$120,0,MATCH(P$2,Inputs!$K$4:$AJ$4,0)))+SUMPRODUCT((Inputs!$E$5:$E$120=$B7)*Inputs!$F$5:$F$120*(((Inputs!$G$5:$G$120="moeda")+(Inputs!$G$5:$G$120="acoes"))*Inputs!$B$1+((Inputs!$G$5:$G$120&lt;&gt;"moeda")*(Inputs!$G$5:$G$120&lt;&gt;"acoes")))*INDEX(Inputs!$K$5:$AJ$120,0,MATCH(P$2,Inputs!$K$4:$AJ$4,0)))))</f>
        <v>-533</v>
      </c>
      <c r="Q7" s="267">
        <f>IF(ISNA(MATCH(Q$2,Inputs!$K$4:$AJ$4,0)),NA(),IF(SUMPRODUCT((Inputs!$A$5:$A$120=$B7)*ISNUMBER(INDEX(Inputs!$K$5:$AJ$120,0,MATCH(Q$2,Inputs!$K$4:$AJ$4,0))))+SUMPRODUCT((Inputs!$C$5:$C$120=$B7)*ISNUMBER(INDEX(Inputs!$K$5:$AJ$120,0,MATCH(Q$2,Inputs!$K$4:$AJ$4,0))))+SUMPRODUCT((Inputs!$E$5:$E$120=$B7)*ISNUMBER(INDEX(Inputs!$K$5:$AJ$120,0,MATCH(Q$2,Inputs!$K$4:$AJ$4,0))))=0,NA(),SUMPRODUCT((Inputs!$A$5:$A$120=$B7)*Inputs!$B$5:$B$120*(((Inputs!$G$5:$G$120="moeda")+(Inputs!$G$5:$G$120="acoes"))*Inputs!$B$1+((Inputs!$G$5:$G$120&lt;&gt;"moeda")*(Inputs!$G$5:$G$120&lt;&gt;"acoes")))*INDEX(Inputs!$K$5:$AJ$120,0,MATCH(Q$2,Inputs!$K$4:$AJ$4,0)))+SUMPRODUCT((Inputs!$C$5:$C$120=$B7)*Inputs!$D$5:$D$120*(((Inputs!$G$5:$G$120="moeda")+(Inputs!$G$5:$G$120="acoes"))*Inputs!$B$1+((Inputs!$G$5:$G$120&lt;&gt;"moeda")*(Inputs!$G$5:$G$120&lt;&gt;"acoes")))*INDEX(Inputs!$K$5:$AJ$120,0,MATCH(Q$2,Inputs!$K$4:$AJ$4,0)))+SUMPRODUCT((Inputs!$E$5:$E$120=$B7)*Inputs!$F$5:$F$120*(((Inputs!$G$5:$G$120="moeda")+(Inputs!$G$5:$G$120="acoes"))*Inputs!$B$1+((Inputs!$G$5:$G$120&lt;&gt;"moeda")*(Inputs!$G$5:$G$120&lt;&gt;"acoes")))*INDEX(Inputs!$K$5:$AJ$120,0,MATCH(Q$2,Inputs!$K$4:$AJ$4,0)))))</f>
        <v>-589</v>
      </c>
      <c r="R7" s="268">
        <f>SUM(N7:Q7)</f>
        <v>-2068</v>
      </c>
      <c r="S7" s="267">
        <f>IF(ISNA(MATCH(S$2,Inputs!$K$4:$AJ$4,0)),NA(),IF(SUMPRODUCT((Inputs!$A$5:$A$120=$B7)*ISNUMBER(INDEX(Inputs!$K$5:$AJ$120,0,MATCH(S$2,Inputs!$K$4:$AJ$4,0))))+SUMPRODUCT((Inputs!$C$5:$C$120=$B7)*ISNUMBER(INDEX(Inputs!$K$5:$AJ$120,0,MATCH(S$2,Inputs!$K$4:$AJ$4,0))))+SUMPRODUCT((Inputs!$E$5:$E$120=$B7)*ISNUMBER(INDEX(Inputs!$K$5:$AJ$120,0,MATCH(S$2,Inputs!$K$4:$AJ$4,0))))=0,NA(),SUMPRODUCT((Inputs!$A$5:$A$120=$B7)*Inputs!$B$5:$B$120*(((Inputs!$G$5:$G$120="moeda")+(Inputs!$G$5:$G$120="acoes"))*Inputs!$B$1+((Inputs!$G$5:$G$120&lt;&gt;"moeda")*(Inputs!$G$5:$G$120&lt;&gt;"acoes")))*INDEX(Inputs!$K$5:$AJ$120,0,MATCH(S$2,Inputs!$K$4:$AJ$4,0)))+SUMPRODUCT((Inputs!$C$5:$C$120=$B7)*Inputs!$D$5:$D$120*(((Inputs!$G$5:$G$120="moeda")+(Inputs!$G$5:$G$120="acoes"))*Inputs!$B$1+((Inputs!$G$5:$G$120&lt;&gt;"moeda")*(Inputs!$G$5:$G$120&lt;&gt;"acoes")))*INDEX(Inputs!$K$5:$AJ$120,0,MATCH(S$2,Inputs!$K$4:$AJ$4,0)))+SUMPRODUCT((Inputs!$E$5:$E$120=$B7)*Inputs!$F$5:$F$120*(((Inputs!$G$5:$G$120="moeda")+(Inputs!$G$5:$G$120="acoes"))*Inputs!$B$1+((Inputs!$G$5:$G$120&lt;&gt;"moeda")*(Inputs!$G$5:$G$120&lt;&gt;"acoes")))*INDEX(Inputs!$K$5:$AJ$120,0,MATCH(S$2,Inputs!$K$4:$AJ$4,0)))))</f>
        <v>-595</v>
      </c>
      <c r="T7" s="267">
        <f>IF(ISNA(MATCH(T$2,Inputs!$K$4:$AJ$4,0)),NA(),IF(SUMPRODUCT((Inputs!$A$5:$A$120=$B7)*ISNUMBER(INDEX(Inputs!$K$5:$AJ$120,0,MATCH(T$2,Inputs!$K$4:$AJ$4,0))))+SUMPRODUCT((Inputs!$C$5:$C$120=$B7)*ISNUMBER(INDEX(Inputs!$K$5:$AJ$120,0,MATCH(T$2,Inputs!$K$4:$AJ$4,0))))+SUMPRODUCT((Inputs!$E$5:$E$120=$B7)*ISNUMBER(INDEX(Inputs!$K$5:$AJ$120,0,MATCH(T$2,Inputs!$K$4:$AJ$4,0))))=0,NA(),SUMPRODUCT((Inputs!$A$5:$A$120=$B7)*Inputs!$B$5:$B$120*(((Inputs!$G$5:$G$120="moeda")+(Inputs!$G$5:$G$120="acoes"))*Inputs!$B$1+((Inputs!$G$5:$G$120&lt;&gt;"moeda")*(Inputs!$G$5:$G$120&lt;&gt;"acoes")))*INDEX(Inputs!$K$5:$AJ$120,0,MATCH(T$2,Inputs!$K$4:$AJ$4,0)))+SUMPRODUCT((Inputs!$C$5:$C$120=$B7)*Inputs!$D$5:$D$120*(((Inputs!$G$5:$G$120="moeda")+(Inputs!$G$5:$G$120="acoes"))*Inputs!$B$1+((Inputs!$G$5:$G$120&lt;&gt;"moeda")*(Inputs!$G$5:$G$120&lt;&gt;"acoes")))*INDEX(Inputs!$K$5:$AJ$120,0,MATCH(T$2,Inputs!$K$4:$AJ$4,0)))+SUMPRODUCT((Inputs!$E$5:$E$120=$B7)*Inputs!$F$5:$F$120*(((Inputs!$G$5:$G$120="moeda")+(Inputs!$G$5:$G$120="acoes"))*Inputs!$B$1+((Inputs!$G$5:$G$120&lt;&gt;"moeda")*(Inputs!$G$5:$G$120&lt;&gt;"acoes")))*INDEX(Inputs!$K$5:$AJ$120,0,MATCH(T$2,Inputs!$K$4:$AJ$4,0)))))</f>
        <v>-509</v>
      </c>
      <c r="U7" s="267">
        <f>IF(ISNA(MATCH(U$2,Inputs!$K$4:$AJ$4,0)),NA(),IF(SUMPRODUCT((Inputs!$A$5:$A$120=$B7)*ISNUMBER(INDEX(Inputs!$K$5:$AJ$120,0,MATCH(U$2,Inputs!$K$4:$AJ$4,0))))+SUMPRODUCT((Inputs!$C$5:$C$120=$B7)*ISNUMBER(INDEX(Inputs!$K$5:$AJ$120,0,MATCH(U$2,Inputs!$K$4:$AJ$4,0))))+SUMPRODUCT((Inputs!$E$5:$E$120=$B7)*ISNUMBER(INDEX(Inputs!$K$5:$AJ$120,0,MATCH(U$2,Inputs!$K$4:$AJ$4,0))))=0,NA(),SUMPRODUCT((Inputs!$A$5:$A$120=$B7)*Inputs!$B$5:$B$120*(((Inputs!$G$5:$G$120="moeda")+(Inputs!$G$5:$G$120="acoes"))*Inputs!$B$1+((Inputs!$G$5:$G$120&lt;&gt;"moeda")*(Inputs!$G$5:$G$120&lt;&gt;"acoes")))*INDEX(Inputs!$K$5:$AJ$120,0,MATCH(U$2,Inputs!$K$4:$AJ$4,0)))+SUMPRODUCT((Inputs!$C$5:$C$120=$B7)*Inputs!$D$5:$D$120*(((Inputs!$G$5:$G$120="moeda")+(Inputs!$G$5:$G$120="acoes"))*Inputs!$B$1+((Inputs!$G$5:$G$120&lt;&gt;"moeda")*(Inputs!$G$5:$G$120&lt;&gt;"acoes")))*INDEX(Inputs!$K$5:$AJ$120,0,MATCH(U$2,Inputs!$K$4:$AJ$4,0)))+SUMPRODUCT((Inputs!$E$5:$E$120=$B7)*Inputs!$F$5:$F$120*(((Inputs!$G$5:$G$120="moeda")+(Inputs!$G$5:$G$120="acoes"))*Inputs!$B$1+((Inputs!$G$5:$G$120&lt;&gt;"moeda")*(Inputs!$G$5:$G$120&lt;&gt;"acoes")))*INDEX(Inputs!$K$5:$AJ$120,0,MATCH(U$2,Inputs!$K$4:$AJ$4,0)))))</f>
        <v>-600</v>
      </c>
      <c r="V7" s="267">
        <f>IF(ISNA(MATCH(V$2,Inputs!$K$4:$AJ$4,0)),NA(),IF(SUMPRODUCT((Inputs!$A$5:$A$120=$B7)*ISNUMBER(INDEX(Inputs!$K$5:$AJ$120,0,MATCH(V$2,Inputs!$K$4:$AJ$4,0))))+SUMPRODUCT((Inputs!$C$5:$C$120=$B7)*ISNUMBER(INDEX(Inputs!$K$5:$AJ$120,0,MATCH(V$2,Inputs!$K$4:$AJ$4,0))))+SUMPRODUCT((Inputs!$E$5:$E$120=$B7)*ISNUMBER(INDEX(Inputs!$K$5:$AJ$120,0,MATCH(V$2,Inputs!$K$4:$AJ$4,0))))=0,NA(),SUMPRODUCT((Inputs!$A$5:$A$120=$B7)*Inputs!$B$5:$B$120*(((Inputs!$G$5:$G$120="moeda")+(Inputs!$G$5:$G$120="acoes"))*Inputs!$B$1+((Inputs!$G$5:$G$120&lt;&gt;"moeda")*(Inputs!$G$5:$G$120&lt;&gt;"acoes")))*INDEX(Inputs!$K$5:$AJ$120,0,MATCH(V$2,Inputs!$K$4:$AJ$4,0)))+SUMPRODUCT((Inputs!$C$5:$C$120=$B7)*Inputs!$D$5:$D$120*(((Inputs!$G$5:$G$120="moeda")+(Inputs!$G$5:$G$120="acoes"))*Inputs!$B$1+((Inputs!$G$5:$G$120&lt;&gt;"moeda")*(Inputs!$G$5:$G$120&lt;&gt;"acoes")))*INDEX(Inputs!$K$5:$AJ$120,0,MATCH(V$2,Inputs!$K$4:$AJ$4,0)))+SUMPRODUCT((Inputs!$E$5:$E$120=$B7)*Inputs!$F$5:$F$120*(((Inputs!$G$5:$G$120="moeda")+(Inputs!$G$5:$G$120="acoes"))*Inputs!$B$1+((Inputs!$G$5:$G$120&lt;&gt;"moeda")*(Inputs!$G$5:$G$120&lt;&gt;"acoes")))*INDEX(Inputs!$K$5:$AJ$120,0,MATCH(V$2,Inputs!$K$4:$AJ$4,0)))))</f>
        <v>-537</v>
      </c>
      <c r="W7" s="268">
        <f>SUM(S7:V7)</f>
        <v>-2241</v>
      </c>
      <c r="X7" s="267">
        <f>IF(ISNA(MATCH(X$2,Inputs!$K$4:$AJ$4,0)),NA(),IF(SUMPRODUCT((Inputs!$A$5:$A$120=$B7)*ISNUMBER(INDEX(Inputs!$K$5:$AJ$120,0,MATCH(X$2,Inputs!$K$4:$AJ$4,0))))+SUMPRODUCT((Inputs!$C$5:$C$120=$B7)*ISNUMBER(INDEX(Inputs!$K$5:$AJ$120,0,MATCH(X$2,Inputs!$K$4:$AJ$4,0))))+SUMPRODUCT((Inputs!$E$5:$E$120=$B7)*ISNUMBER(INDEX(Inputs!$K$5:$AJ$120,0,MATCH(X$2,Inputs!$K$4:$AJ$4,0))))=0,NA(),SUMPRODUCT((Inputs!$A$5:$A$120=$B7)*Inputs!$B$5:$B$120*(((Inputs!$G$5:$G$120="moeda")+(Inputs!$G$5:$G$120="acoes"))*Inputs!$B$1+((Inputs!$G$5:$G$120&lt;&gt;"moeda")*(Inputs!$G$5:$G$120&lt;&gt;"acoes")))*INDEX(Inputs!$K$5:$AJ$120,0,MATCH(X$2,Inputs!$K$4:$AJ$4,0)))+SUMPRODUCT((Inputs!$C$5:$C$120=$B7)*Inputs!$D$5:$D$120*(((Inputs!$G$5:$G$120="moeda")+(Inputs!$G$5:$G$120="acoes"))*Inputs!$B$1+((Inputs!$G$5:$G$120&lt;&gt;"moeda")*(Inputs!$G$5:$G$120&lt;&gt;"acoes")))*INDEX(Inputs!$K$5:$AJ$120,0,MATCH(X$2,Inputs!$K$4:$AJ$4,0)))+SUMPRODUCT((Inputs!$E$5:$E$120=$B7)*Inputs!$F$5:$F$120*(((Inputs!$G$5:$G$120="moeda")+(Inputs!$G$5:$G$120="acoes"))*Inputs!$B$1+((Inputs!$G$5:$G$120&lt;&gt;"moeda")*(Inputs!$G$5:$G$120&lt;&gt;"acoes")))*INDEX(Inputs!$K$5:$AJ$120,0,MATCH(X$2,Inputs!$K$4:$AJ$4,0)))))</f>
        <v>-466</v>
      </c>
      <c r="Y7" s="267">
        <f>IF(ISNA(MATCH(Y$2,Inputs!$K$4:$AJ$4,0)),NA(),IF(SUMPRODUCT((Inputs!$A$5:$A$120=$B7)*ISNUMBER(INDEX(Inputs!$K$5:$AJ$120,0,MATCH(Y$2,Inputs!$K$4:$AJ$4,0))))+SUMPRODUCT((Inputs!$C$5:$C$120=$B7)*ISNUMBER(INDEX(Inputs!$K$5:$AJ$120,0,MATCH(Y$2,Inputs!$K$4:$AJ$4,0))))+SUMPRODUCT((Inputs!$E$5:$E$120=$B7)*ISNUMBER(INDEX(Inputs!$K$5:$AJ$120,0,MATCH(Y$2,Inputs!$K$4:$AJ$4,0))))=0,NA(),SUMPRODUCT((Inputs!$A$5:$A$120=$B7)*Inputs!$B$5:$B$120*(((Inputs!$G$5:$G$120="moeda")+(Inputs!$G$5:$G$120="acoes"))*Inputs!$B$1+((Inputs!$G$5:$G$120&lt;&gt;"moeda")*(Inputs!$G$5:$G$120&lt;&gt;"acoes")))*INDEX(Inputs!$K$5:$AJ$120,0,MATCH(Y$2,Inputs!$K$4:$AJ$4,0)))+SUMPRODUCT((Inputs!$C$5:$C$120=$B7)*Inputs!$D$5:$D$120*(((Inputs!$G$5:$G$120="moeda")+(Inputs!$G$5:$G$120="acoes"))*Inputs!$B$1+((Inputs!$G$5:$G$120&lt;&gt;"moeda")*(Inputs!$G$5:$G$120&lt;&gt;"acoes")))*INDEX(Inputs!$K$5:$AJ$120,0,MATCH(Y$2,Inputs!$K$4:$AJ$4,0)))+SUMPRODUCT((Inputs!$E$5:$E$120=$B7)*Inputs!$F$5:$F$120*(((Inputs!$G$5:$G$120="moeda")+(Inputs!$G$5:$G$120="acoes"))*Inputs!$B$1+((Inputs!$G$5:$G$120&lt;&gt;"moeda")*(Inputs!$G$5:$G$120&lt;&gt;"acoes")))*INDEX(Inputs!$K$5:$AJ$120,0,MATCH(Y$2,Inputs!$K$4:$AJ$4,0)))))</f>
        <v>-668</v>
      </c>
      <c r="Z7" s="267">
        <f>IF(ISNA(MATCH(Z$2,Inputs!$K$4:$AJ$4,0)),NA(),IF(SUMPRODUCT((Inputs!$A$5:$A$120=$B7)*ISNUMBER(INDEX(Inputs!$K$5:$AJ$120,0,MATCH(Z$2,Inputs!$K$4:$AJ$4,0))))+SUMPRODUCT((Inputs!$C$5:$C$120=$B7)*ISNUMBER(INDEX(Inputs!$K$5:$AJ$120,0,MATCH(Z$2,Inputs!$K$4:$AJ$4,0))))+SUMPRODUCT((Inputs!$E$5:$E$120=$B7)*ISNUMBER(INDEX(Inputs!$K$5:$AJ$120,0,MATCH(Z$2,Inputs!$K$4:$AJ$4,0))))=0,NA(),SUMPRODUCT((Inputs!$A$5:$A$120=$B7)*Inputs!$B$5:$B$120*(((Inputs!$G$5:$G$120="moeda")+(Inputs!$G$5:$G$120="acoes"))*Inputs!$B$1+((Inputs!$G$5:$G$120&lt;&gt;"moeda")*(Inputs!$G$5:$G$120&lt;&gt;"acoes")))*INDEX(Inputs!$K$5:$AJ$120,0,MATCH(Z$2,Inputs!$K$4:$AJ$4,0)))+SUMPRODUCT((Inputs!$C$5:$C$120=$B7)*Inputs!$D$5:$D$120*(((Inputs!$G$5:$G$120="moeda")+(Inputs!$G$5:$G$120="acoes"))*Inputs!$B$1+((Inputs!$G$5:$G$120&lt;&gt;"moeda")*(Inputs!$G$5:$G$120&lt;&gt;"acoes")))*INDEX(Inputs!$K$5:$AJ$120,0,MATCH(Z$2,Inputs!$K$4:$AJ$4,0)))+SUMPRODUCT((Inputs!$E$5:$E$120=$B7)*Inputs!$F$5:$F$120*(((Inputs!$G$5:$G$120="moeda")+(Inputs!$G$5:$G$120="acoes"))*Inputs!$B$1+((Inputs!$G$5:$G$120&lt;&gt;"moeda")*(Inputs!$G$5:$G$120&lt;&gt;"acoes")))*INDEX(Inputs!$K$5:$AJ$120,0,MATCH(Z$2,Inputs!$K$4:$AJ$4,0)))))</f>
        <v>-625</v>
      </c>
      <c r="AA7" s="267">
        <f>IF(ISNA(MATCH(AA$2,Inputs!$K$4:$AJ$4,0)),NA(),IF(SUMPRODUCT((Inputs!$A$5:$A$120=$B7)*ISNUMBER(INDEX(Inputs!$K$5:$AJ$120,0,MATCH(AA$2,Inputs!$K$4:$AJ$4,0))))+SUMPRODUCT((Inputs!$C$5:$C$120=$B7)*ISNUMBER(INDEX(Inputs!$K$5:$AJ$120,0,MATCH(AA$2,Inputs!$K$4:$AJ$4,0))))+SUMPRODUCT((Inputs!$E$5:$E$120=$B7)*ISNUMBER(INDEX(Inputs!$K$5:$AJ$120,0,MATCH(AA$2,Inputs!$K$4:$AJ$4,0))))=0,NA(),SUMPRODUCT((Inputs!$A$5:$A$120=$B7)*Inputs!$B$5:$B$120*(((Inputs!$G$5:$G$120="moeda")+(Inputs!$G$5:$G$120="acoes"))*Inputs!$B$1+((Inputs!$G$5:$G$120&lt;&gt;"moeda")*(Inputs!$G$5:$G$120&lt;&gt;"acoes")))*INDEX(Inputs!$K$5:$AJ$120,0,MATCH(AA$2,Inputs!$K$4:$AJ$4,0)))+SUMPRODUCT((Inputs!$C$5:$C$120=$B7)*Inputs!$D$5:$D$120*(((Inputs!$G$5:$G$120="moeda")+(Inputs!$G$5:$G$120="acoes"))*Inputs!$B$1+((Inputs!$G$5:$G$120&lt;&gt;"moeda")*(Inputs!$G$5:$G$120&lt;&gt;"acoes")))*INDEX(Inputs!$K$5:$AJ$120,0,MATCH(AA$2,Inputs!$K$4:$AJ$4,0)))+SUMPRODUCT((Inputs!$E$5:$E$120=$B7)*Inputs!$F$5:$F$120*(((Inputs!$G$5:$G$120="moeda")+(Inputs!$G$5:$G$120="acoes"))*Inputs!$B$1+((Inputs!$G$5:$G$120&lt;&gt;"moeda")*(Inputs!$G$5:$G$120&lt;&gt;"acoes")))*INDEX(Inputs!$K$5:$AJ$120,0,MATCH(AA$2,Inputs!$K$4:$AJ$4,0)))))</f>
        <v>-485</v>
      </c>
      <c r="AB7" s="268">
        <f>SUM(X7:AA7)</f>
        <v>-2244</v>
      </c>
      <c r="AC7" s="267">
        <f>IF(ISNA(MATCH(AC$2,Inputs!$K$4:$AJ$4,0)),NA(),IF(SUMPRODUCT((Inputs!$A$5:$A$120=$B7)*ISNUMBER(INDEX(Inputs!$K$5:$AJ$120,0,MATCH(AC$2,Inputs!$K$4:$AJ$4,0))))+SUMPRODUCT((Inputs!$C$5:$C$120=$B7)*ISNUMBER(INDEX(Inputs!$K$5:$AJ$120,0,MATCH(AC$2,Inputs!$K$4:$AJ$4,0))))+SUMPRODUCT((Inputs!$E$5:$E$120=$B7)*ISNUMBER(INDEX(Inputs!$K$5:$AJ$120,0,MATCH(AC$2,Inputs!$K$4:$AJ$4,0))))=0,NA(),SUMPRODUCT((Inputs!$A$5:$A$120=$B7)*Inputs!$B$5:$B$120*(((Inputs!$G$5:$G$120="moeda")+(Inputs!$G$5:$G$120="acoes"))*Inputs!$B$1+((Inputs!$G$5:$G$120&lt;&gt;"moeda")*(Inputs!$G$5:$G$120&lt;&gt;"acoes")))*INDEX(Inputs!$K$5:$AJ$120,0,MATCH(AC$2,Inputs!$K$4:$AJ$4,0)))+SUMPRODUCT((Inputs!$C$5:$C$120=$B7)*Inputs!$D$5:$D$120*(((Inputs!$G$5:$G$120="moeda")+(Inputs!$G$5:$G$120="acoes"))*Inputs!$B$1+((Inputs!$G$5:$G$120&lt;&gt;"moeda")*(Inputs!$G$5:$G$120&lt;&gt;"acoes")))*INDEX(Inputs!$K$5:$AJ$120,0,MATCH(AC$2,Inputs!$K$4:$AJ$4,0)))+SUMPRODUCT((Inputs!$E$5:$E$120=$B7)*Inputs!$F$5:$F$120*(((Inputs!$G$5:$G$120="moeda")+(Inputs!$G$5:$G$120="acoes"))*Inputs!$B$1+((Inputs!$G$5:$G$120&lt;&gt;"moeda")*(Inputs!$G$5:$G$120&lt;&gt;"acoes")))*INDEX(Inputs!$K$5:$AJ$120,0,MATCH(AC$2,Inputs!$K$4:$AJ$4,0)))))</f>
        <v>-514</v>
      </c>
      <c r="AD7" s="267">
        <f>IF(ISNA(MATCH(AD$2,Inputs!$K$4:$AJ$4,0)),NA(),IF(SUMPRODUCT((Inputs!$A$5:$A$120=$B7)*ISNUMBER(INDEX(Inputs!$K$5:$AJ$120,0,MATCH(AD$2,Inputs!$K$4:$AJ$4,0))))+SUMPRODUCT((Inputs!$C$5:$C$120=$B7)*ISNUMBER(INDEX(Inputs!$K$5:$AJ$120,0,MATCH(AD$2,Inputs!$K$4:$AJ$4,0))))+SUMPRODUCT((Inputs!$E$5:$E$120=$B7)*ISNUMBER(INDEX(Inputs!$K$5:$AJ$120,0,MATCH(AD$2,Inputs!$K$4:$AJ$4,0))))=0,NA(),SUMPRODUCT((Inputs!$A$5:$A$120=$B7)*Inputs!$B$5:$B$120*(((Inputs!$G$5:$G$120="moeda")+(Inputs!$G$5:$G$120="acoes"))*Inputs!$B$1+((Inputs!$G$5:$G$120&lt;&gt;"moeda")*(Inputs!$G$5:$G$120&lt;&gt;"acoes")))*INDEX(Inputs!$K$5:$AJ$120,0,MATCH(AD$2,Inputs!$K$4:$AJ$4,0)))+SUMPRODUCT((Inputs!$C$5:$C$120=$B7)*Inputs!$D$5:$D$120*(((Inputs!$G$5:$G$120="moeda")+(Inputs!$G$5:$G$120="acoes"))*Inputs!$B$1+((Inputs!$G$5:$G$120&lt;&gt;"moeda")*(Inputs!$G$5:$G$120&lt;&gt;"acoes")))*INDEX(Inputs!$K$5:$AJ$120,0,MATCH(AD$2,Inputs!$K$4:$AJ$4,0)))+SUMPRODUCT((Inputs!$E$5:$E$120=$B7)*Inputs!$F$5:$F$120*(((Inputs!$G$5:$G$120="moeda")+(Inputs!$G$5:$G$120="acoes"))*Inputs!$B$1+((Inputs!$G$5:$G$120&lt;&gt;"moeda")*(Inputs!$G$5:$G$120&lt;&gt;"acoes")))*INDEX(Inputs!$K$5:$AJ$120,0,MATCH(AD$2,Inputs!$K$4:$AJ$4,0)))))</f>
        <v>-523</v>
      </c>
      <c r="AE7" s="267" t="e">
        <f>IF(ISNA(MATCH(AE$2,Inputs!$K$4:$AJ$4,0)),NA(),IF(SUMPRODUCT((Inputs!$A$5:$A$120=$B7)*ISNUMBER(INDEX(Inputs!$K$5:$AJ$120,0,MATCH(AE$2,Inputs!$K$4:$AJ$4,0))))+SUMPRODUCT((Inputs!$C$5:$C$120=$B7)*ISNUMBER(INDEX(Inputs!$K$5:$AJ$120,0,MATCH(AE$2,Inputs!$K$4:$AJ$4,0))))+SUMPRODUCT((Inputs!$E$5:$E$120=$B7)*ISNUMBER(INDEX(Inputs!$K$5:$AJ$120,0,MATCH(AE$2,Inputs!$K$4:$AJ$4,0))))=0,NA(),SUMPRODUCT((Inputs!$A$5:$A$120=$B7)*Inputs!$B$5:$B$120*(((Inputs!$G$5:$G$120="moeda")+(Inputs!$G$5:$G$120="acoes"))*Inputs!$B$1+((Inputs!$G$5:$G$120&lt;&gt;"moeda")*(Inputs!$G$5:$G$120&lt;&gt;"acoes")))*INDEX(Inputs!$K$5:$AJ$120,0,MATCH(AE$2,Inputs!$K$4:$AJ$4,0)))+SUMPRODUCT((Inputs!$C$5:$C$120=$B7)*Inputs!$D$5:$D$120*(((Inputs!$G$5:$G$120="moeda")+(Inputs!$G$5:$G$120="acoes"))*Inputs!$B$1+((Inputs!$G$5:$G$120&lt;&gt;"moeda")*(Inputs!$G$5:$G$120&lt;&gt;"acoes")))*INDEX(Inputs!$K$5:$AJ$120,0,MATCH(AE$2,Inputs!$K$4:$AJ$4,0)))+SUMPRODUCT((Inputs!$E$5:$E$120=$B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7" s="267" t="e">
        <f>IF(ISNA(MATCH(AF$2,Inputs!$K$4:$AJ$4,0)),NA(),IF(SUMPRODUCT((Inputs!$A$5:$A$120=$B7)*ISNUMBER(INDEX(Inputs!$K$5:$AJ$120,0,MATCH(AF$2,Inputs!$K$4:$AJ$4,0))))+SUMPRODUCT((Inputs!$C$5:$C$120=$B7)*ISNUMBER(INDEX(Inputs!$K$5:$AJ$120,0,MATCH(AF$2,Inputs!$K$4:$AJ$4,0))))+SUMPRODUCT((Inputs!$E$5:$E$120=$B7)*ISNUMBER(INDEX(Inputs!$K$5:$AJ$120,0,MATCH(AF$2,Inputs!$K$4:$AJ$4,0))))=0,NA(),SUMPRODUCT((Inputs!$A$5:$A$120=$B7)*Inputs!$B$5:$B$120*(((Inputs!$G$5:$G$120="moeda")+(Inputs!$G$5:$G$120="acoes"))*Inputs!$B$1+((Inputs!$G$5:$G$120&lt;&gt;"moeda")*(Inputs!$G$5:$G$120&lt;&gt;"acoes")))*INDEX(Inputs!$K$5:$AJ$120,0,MATCH(AF$2,Inputs!$K$4:$AJ$4,0)))+SUMPRODUCT((Inputs!$C$5:$C$120=$B7)*Inputs!$D$5:$D$120*(((Inputs!$G$5:$G$120="moeda")+(Inputs!$G$5:$G$120="acoes"))*Inputs!$B$1+((Inputs!$G$5:$G$120&lt;&gt;"moeda")*(Inputs!$G$5:$G$120&lt;&gt;"acoes")))*INDEX(Inputs!$K$5:$AJ$120,0,MATCH(AF$2,Inputs!$K$4:$AJ$4,0)))+SUMPRODUCT((Inputs!$E$5:$E$120=$B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7" s="268" t="e">
        <f>SUM(AC7:AF7)</f>
        <v>#N/A</v>
      </c>
      <c r="AH7" s="267">
        <f>IF(ISNA(MATCH(AH$2,Inputs!$K$4:$AJ$4,0)),NA(),IF(SUMPRODUCT((Inputs!$A$5:$A$120=$B7)*ISNUMBER(INDEX(Inputs!$K$5:$AJ$120,0,MATCH(AH$2,Inputs!$K$4:$AJ$4,0))))+SUMPRODUCT((Inputs!$C$5:$C$120=$B7)*ISNUMBER(INDEX(Inputs!$K$5:$AJ$120,0,MATCH(AH$2,Inputs!$K$4:$AJ$4,0))))+SUMPRODUCT((Inputs!$E$5:$E$120=$B7)*ISNUMBER(INDEX(Inputs!$K$5:$AJ$120,0,MATCH(AH$2,Inputs!$K$4:$AJ$4,0))))=0,NA(),SUMPRODUCT((Inputs!$A$5:$A$120=$B7)*Inputs!$B$5:$B$120*(((Inputs!$G$5:$G$120="moeda")+(Inputs!$G$5:$G$120="acoes"))*Inputs!$B$1+((Inputs!$G$5:$G$120&lt;&gt;"moeda")*(Inputs!$G$5:$G$120&lt;&gt;"acoes")))*INDEX(Inputs!$K$5:$AJ$120,0,MATCH(AH$2,Inputs!$K$4:$AJ$4,0)))+SUMPRODUCT((Inputs!$C$5:$C$120=$B7)*Inputs!$D$5:$D$120*(((Inputs!$G$5:$G$120="moeda")+(Inputs!$G$5:$G$120="acoes"))*Inputs!$B$1+((Inputs!$G$5:$G$120&lt;&gt;"moeda")*(Inputs!$G$5:$G$120&lt;&gt;"acoes")))*INDEX(Inputs!$K$5:$AJ$120,0,MATCH(AH$2,Inputs!$K$4:$AJ$4,0)))+SUMPRODUCT((Inputs!$E$5:$E$120=$B7)*Inputs!$F$5:$F$120*(((Inputs!$G$5:$G$120="moeda")+(Inputs!$G$5:$G$120="acoes"))*Inputs!$B$1+((Inputs!$G$5:$G$120&lt;&gt;"moeda")*(Inputs!$G$5:$G$120&lt;&gt;"acoes")))*INDEX(Inputs!$K$5:$AJ$120,0,MATCH(AH$2,Inputs!$K$4:$AJ$4,0)))))</f>
        <v>-341</v>
      </c>
      <c r="AI7" s="267">
        <f>IF(ISNA(MATCH(AI$2,Inputs!$K$4:$AJ$4,0)),NA(),IF(SUMPRODUCT((Inputs!$A$5:$A$120=$B7)*ISNUMBER(INDEX(Inputs!$K$5:$AJ$120,0,MATCH(AI$2,Inputs!$K$4:$AJ$4,0))))+SUMPRODUCT((Inputs!$C$5:$C$120=$B7)*ISNUMBER(INDEX(Inputs!$K$5:$AJ$120,0,MATCH(AI$2,Inputs!$K$4:$AJ$4,0))))+SUMPRODUCT((Inputs!$E$5:$E$120=$B7)*ISNUMBER(INDEX(Inputs!$K$5:$AJ$120,0,MATCH(AI$2,Inputs!$K$4:$AJ$4,0))))=0,NA(),SUMPRODUCT((Inputs!$A$5:$A$120=$B7)*Inputs!$B$5:$B$120*(((Inputs!$G$5:$G$120="moeda")+(Inputs!$G$5:$G$120="acoes"))*Inputs!$B$1+((Inputs!$G$5:$G$120&lt;&gt;"moeda")*(Inputs!$G$5:$G$120&lt;&gt;"acoes")))*INDEX(Inputs!$K$5:$AJ$120,0,MATCH(AI$2,Inputs!$K$4:$AJ$4,0)))+SUMPRODUCT((Inputs!$C$5:$C$120=$B7)*Inputs!$D$5:$D$120*(((Inputs!$G$5:$G$120="moeda")+(Inputs!$G$5:$G$120="acoes"))*Inputs!$B$1+((Inputs!$G$5:$G$120&lt;&gt;"moeda")*(Inputs!$G$5:$G$120&lt;&gt;"acoes")))*INDEX(Inputs!$K$5:$AJ$120,0,MATCH(AI$2,Inputs!$K$4:$AJ$4,0)))+SUMPRODUCT((Inputs!$E$5:$E$120=$B7)*Inputs!$F$5:$F$120*(((Inputs!$G$5:$G$120="moeda")+(Inputs!$G$5:$G$120="acoes"))*Inputs!$B$1+((Inputs!$G$5:$G$120&lt;&gt;"moeda")*(Inputs!$G$5:$G$120&lt;&gt;"acoes")))*INDEX(Inputs!$K$5:$AJ$120,0,MATCH(AI$2,Inputs!$K$4:$AJ$4,0)))))</f>
        <v>-358</v>
      </c>
      <c r="AJ7" s="267">
        <f>IF(ISNA(MATCH(AJ$2,Inputs!$K$4:$AJ$4,0)),NA(),IF(SUMPRODUCT((Inputs!$A$5:$A$120=$B7)*ISNUMBER(INDEX(Inputs!$K$5:$AJ$120,0,MATCH(AJ$2,Inputs!$K$4:$AJ$4,0))))+SUMPRODUCT((Inputs!$C$5:$C$120=$B7)*ISNUMBER(INDEX(Inputs!$K$5:$AJ$120,0,MATCH(AJ$2,Inputs!$K$4:$AJ$4,0))))+SUMPRODUCT((Inputs!$E$5:$E$120=$B7)*ISNUMBER(INDEX(Inputs!$K$5:$AJ$120,0,MATCH(AJ$2,Inputs!$K$4:$AJ$4,0))))=0,NA(),SUMPRODUCT((Inputs!$A$5:$A$120=$B7)*Inputs!$B$5:$B$120*(((Inputs!$G$5:$G$120="moeda")+(Inputs!$G$5:$G$120="acoes"))*Inputs!$B$1+((Inputs!$G$5:$G$120&lt;&gt;"moeda")*(Inputs!$G$5:$G$120&lt;&gt;"acoes")))*INDEX(Inputs!$K$5:$AJ$120,0,MATCH(AJ$2,Inputs!$K$4:$AJ$4,0)))+SUMPRODUCT((Inputs!$C$5:$C$120=$B7)*Inputs!$D$5:$D$120*(((Inputs!$G$5:$G$120="moeda")+(Inputs!$G$5:$G$120="acoes"))*Inputs!$B$1+((Inputs!$G$5:$G$120&lt;&gt;"moeda")*(Inputs!$G$5:$G$120&lt;&gt;"acoes")))*INDEX(Inputs!$K$5:$AJ$120,0,MATCH(AJ$2,Inputs!$K$4:$AJ$4,0)))+SUMPRODUCT((Inputs!$E$5:$E$120=$B7)*Inputs!$F$5:$F$120*(((Inputs!$G$5:$G$120="moeda")+(Inputs!$G$5:$G$120="acoes"))*Inputs!$B$1+((Inputs!$G$5:$G$120&lt;&gt;"moeda")*(Inputs!$G$5:$G$120&lt;&gt;"acoes")))*INDEX(Inputs!$K$5:$AJ$120,0,MATCH(AJ$2,Inputs!$K$4:$AJ$4,0)))))</f>
        <v>-394</v>
      </c>
      <c r="AK7" s="267">
        <f>IF(ISNA(MATCH(AK$2,Inputs!$K$4:$AJ$4,0)),NA(),IF(SUMPRODUCT((Inputs!$A$5:$A$120=$B7)*ISNUMBER(INDEX(Inputs!$K$5:$AJ$120,0,MATCH(AK$2,Inputs!$K$4:$AJ$4,0))))+SUMPRODUCT((Inputs!$C$5:$C$120=$B7)*ISNUMBER(INDEX(Inputs!$K$5:$AJ$120,0,MATCH(AK$2,Inputs!$K$4:$AJ$4,0))))+SUMPRODUCT((Inputs!$E$5:$E$120=$B7)*ISNUMBER(INDEX(Inputs!$K$5:$AJ$120,0,MATCH(AK$2,Inputs!$K$4:$AJ$4,0))))=0,NA(),SUMPRODUCT((Inputs!$A$5:$A$120=$B7)*Inputs!$B$5:$B$120*(((Inputs!$G$5:$G$120="moeda")+(Inputs!$G$5:$G$120="acoes"))*Inputs!$B$1+((Inputs!$G$5:$G$120&lt;&gt;"moeda")*(Inputs!$G$5:$G$120&lt;&gt;"acoes")))*INDEX(Inputs!$K$5:$AJ$120,0,MATCH(AK$2,Inputs!$K$4:$AJ$4,0)))+SUMPRODUCT((Inputs!$C$5:$C$120=$B7)*Inputs!$D$5:$D$120*(((Inputs!$G$5:$G$120="moeda")+(Inputs!$G$5:$G$120="acoes"))*Inputs!$B$1+((Inputs!$G$5:$G$120&lt;&gt;"moeda")*(Inputs!$G$5:$G$120&lt;&gt;"acoes")))*INDEX(Inputs!$K$5:$AJ$120,0,MATCH(AK$2,Inputs!$K$4:$AJ$4,0)))+SUMPRODUCT((Inputs!$E$5:$E$120=$B7)*Inputs!$F$5:$F$120*(((Inputs!$G$5:$G$120="moeda")+(Inputs!$G$5:$G$120="acoes"))*Inputs!$B$1+((Inputs!$G$5:$G$120&lt;&gt;"moeda")*(Inputs!$G$5:$G$120&lt;&gt;"acoes")))*INDEX(Inputs!$K$5:$AJ$120,0,MATCH(AK$2,Inputs!$K$4:$AJ$4,0)))))</f>
        <v>-435</v>
      </c>
      <c r="AL7" s="268">
        <f>SUM(AH7:AK7)</f>
        <v>-1528</v>
      </c>
    </row>
    <row r="8" ht="12.75" customHeight="1" s="255">
      <c r="B8" s="265" t="n">
        <v>5</v>
      </c>
      <c r="C8" s="270" t="inlineStr">
        <is>
          <t>Interest Expense</t>
        </is>
      </c>
      <c r="D8" s="267" t="e">
        <f>IF(ISNA(MATCH(D$2,Inputs!$K$4:$AJ$4,0)),NA(),IF(SUMPRODUCT((Inputs!$A$5:$A$120=$B8)*ISNUMBER(INDEX(Inputs!$K$5:$AJ$120,0,MATCH(D$2,Inputs!$K$4:$AJ$4,0))))+SUMPRODUCT((Inputs!$C$5:$C$120=$B8)*ISNUMBER(INDEX(Inputs!$K$5:$AJ$120,0,MATCH(D$2,Inputs!$K$4:$AJ$4,0))))+SUMPRODUCT((Inputs!$E$5:$E$120=$B8)*ISNUMBER(INDEX(Inputs!$K$5:$AJ$120,0,MATCH(D$2,Inputs!$K$4:$AJ$4,0))))=0,NA(),SUMPRODUCT((Inputs!$A$5:$A$120=$B8)*Inputs!$B$5:$B$120*(((Inputs!$G$5:$G$120="moeda")+(Inputs!$G$5:$G$120="acoes"))*Inputs!$B$1+((Inputs!$G$5:$G$120&lt;&gt;"moeda")*(Inputs!$G$5:$G$120&lt;&gt;"acoes")))*INDEX(Inputs!$K$5:$AJ$120,0,MATCH(D$2,Inputs!$K$4:$AJ$4,0)))+SUMPRODUCT((Inputs!$C$5:$C$120=$B8)*Inputs!$D$5:$D$120*(((Inputs!$G$5:$G$120="moeda")+(Inputs!$G$5:$G$120="acoes"))*Inputs!$B$1+((Inputs!$G$5:$G$120&lt;&gt;"moeda")*(Inputs!$G$5:$G$120&lt;&gt;"acoes")))*INDEX(Inputs!$K$5:$AJ$120,0,MATCH(D$2,Inputs!$K$4:$AJ$4,0)))+SUMPRODUCT((Inputs!$E$5:$E$120=$B8)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8" s="267" t="e">
        <f>IF(ISNA(MATCH(E$2,Inputs!$K$4:$AJ$4,0)),NA(),IF(SUMPRODUCT((Inputs!$A$5:$A$120=$B8)*ISNUMBER(INDEX(Inputs!$K$5:$AJ$120,0,MATCH(E$2,Inputs!$K$4:$AJ$4,0))))+SUMPRODUCT((Inputs!$C$5:$C$120=$B8)*ISNUMBER(INDEX(Inputs!$K$5:$AJ$120,0,MATCH(E$2,Inputs!$K$4:$AJ$4,0))))+SUMPRODUCT((Inputs!$E$5:$E$120=$B8)*ISNUMBER(INDEX(Inputs!$K$5:$AJ$120,0,MATCH(E$2,Inputs!$K$4:$AJ$4,0))))=0,NA(),SUMPRODUCT((Inputs!$A$5:$A$120=$B8)*Inputs!$B$5:$B$120*(((Inputs!$G$5:$G$120="moeda")+(Inputs!$G$5:$G$120="acoes"))*Inputs!$B$1+((Inputs!$G$5:$G$120&lt;&gt;"moeda")*(Inputs!$G$5:$G$120&lt;&gt;"acoes")))*INDEX(Inputs!$K$5:$AJ$120,0,MATCH(E$2,Inputs!$K$4:$AJ$4,0)))+SUMPRODUCT((Inputs!$C$5:$C$120=$B8)*Inputs!$D$5:$D$120*(((Inputs!$G$5:$G$120="moeda")+(Inputs!$G$5:$G$120="acoes"))*Inputs!$B$1+((Inputs!$G$5:$G$120&lt;&gt;"moeda")*(Inputs!$G$5:$G$120&lt;&gt;"acoes")))*INDEX(Inputs!$K$5:$AJ$120,0,MATCH(E$2,Inputs!$K$4:$AJ$4,0)))+SUMPRODUCT((Inputs!$E$5:$E$120=$B8)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8" s="267" t="e">
        <f>IF(ISNA(MATCH(F$2,Inputs!$K$4:$AJ$4,0)),NA(),IF(SUMPRODUCT((Inputs!$A$5:$A$120=$B8)*ISNUMBER(INDEX(Inputs!$K$5:$AJ$120,0,MATCH(F$2,Inputs!$K$4:$AJ$4,0))))+SUMPRODUCT((Inputs!$C$5:$C$120=$B8)*ISNUMBER(INDEX(Inputs!$K$5:$AJ$120,0,MATCH(F$2,Inputs!$K$4:$AJ$4,0))))+SUMPRODUCT((Inputs!$E$5:$E$120=$B8)*ISNUMBER(INDEX(Inputs!$K$5:$AJ$120,0,MATCH(F$2,Inputs!$K$4:$AJ$4,0))))=0,NA(),SUMPRODUCT((Inputs!$A$5:$A$120=$B8)*Inputs!$B$5:$B$120*(((Inputs!$G$5:$G$120="moeda")+(Inputs!$G$5:$G$120="acoes"))*Inputs!$B$1+((Inputs!$G$5:$G$120&lt;&gt;"moeda")*(Inputs!$G$5:$G$120&lt;&gt;"acoes")))*INDEX(Inputs!$K$5:$AJ$120,0,MATCH(F$2,Inputs!$K$4:$AJ$4,0)))+SUMPRODUCT((Inputs!$C$5:$C$120=$B8)*Inputs!$D$5:$D$120*(((Inputs!$G$5:$G$120="moeda")+(Inputs!$G$5:$G$120="acoes"))*Inputs!$B$1+((Inputs!$G$5:$G$120&lt;&gt;"moeda")*(Inputs!$G$5:$G$120&lt;&gt;"acoes")))*INDEX(Inputs!$K$5:$AJ$120,0,MATCH(F$2,Inputs!$K$4:$AJ$4,0)))+SUMPRODUCT((Inputs!$E$5:$E$120=$B8)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8" s="267" t="e">
        <f>IF(ISNA(MATCH(G$2,Inputs!$K$4:$AJ$4,0)),NA(),IF(SUMPRODUCT((Inputs!$A$5:$A$120=$B8)*ISNUMBER(INDEX(Inputs!$K$5:$AJ$120,0,MATCH(G$2,Inputs!$K$4:$AJ$4,0))))+SUMPRODUCT((Inputs!$C$5:$C$120=$B8)*ISNUMBER(INDEX(Inputs!$K$5:$AJ$120,0,MATCH(G$2,Inputs!$K$4:$AJ$4,0))))+SUMPRODUCT((Inputs!$E$5:$E$120=$B8)*ISNUMBER(INDEX(Inputs!$K$5:$AJ$120,0,MATCH(G$2,Inputs!$K$4:$AJ$4,0))))=0,NA(),SUMPRODUCT((Inputs!$A$5:$A$120=$B8)*Inputs!$B$5:$B$120*(((Inputs!$G$5:$G$120="moeda")+(Inputs!$G$5:$G$120="acoes"))*Inputs!$B$1+((Inputs!$G$5:$G$120&lt;&gt;"moeda")*(Inputs!$G$5:$G$120&lt;&gt;"acoes")))*INDEX(Inputs!$K$5:$AJ$120,0,MATCH(G$2,Inputs!$K$4:$AJ$4,0)))+SUMPRODUCT((Inputs!$C$5:$C$120=$B8)*Inputs!$D$5:$D$120*(((Inputs!$G$5:$G$120="moeda")+(Inputs!$G$5:$G$120="acoes"))*Inputs!$B$1+((Inputs!$G$5:$G$120&lt;&gt;"moeda")*(Inputs!$G$5:$G$120&lt;&gt;"acoes")))*INDEX(Inputs!$K$5:$AJ$120,0,MATCH(G$2,Inputs!$K$4:$AJ$4,0)))+SUMPRODUCT((Inputs!$E$5:$E$120=$B8)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8" s="268" t="e">
        <f>SUM(D8:G8)</f>
        <v>#N/A</v>
      </c>
      <c r="I8" s="267" t="e">
        <f>IF(ISNA(MATCH(I$2,Inputs!$K$4:$AJ$4,0)),NA(),IF(SUMPRODUCT((Inputs!$A$5:$A$120=$B8)*ISNUMBER(INDEX(Inputs!$K$5:$AJ$120,0,MATCH(I$2,Inputs!$K$4:$AJ$4,0))))+SUMPRODUCT((Inputs!$C$5:$C$120=$B8)*ISNUMBER(INDEX(Inputs!$K$5:$AJ$120,0,MATCH(I$2,Inputs!$K$4:$AJ$4,0))))+SUMPRODUCT((Inputs!$E$5:$E$120=$B8)*ISNUMBER(INDEX(Inputs!$K$5:$AJ$120,0,MATCH(I$2,Inputs!$K$4:$AJ$4,0))))=0,NA(),SUMPRODUCT((Inputs!$A$5:$A$120=$B8)*Inputs!$B$5:$B$120*(((Inputs!$G$5:$G$120="moeda")+(Inputs!$G$5:$G$120="acoes"))*Inputs!$B$1+((Inputs!$G$5:$G$120&lt;&gt;"moeda")*(Inputs!$G$5:$G$120&lt;&gt;"acoes")))*INDEX(Inputs!$K$5:$AJ$120,0,MATCH(I$2,Inputs!$K$4:$AJ$4,0)))+SUMPRODUCT((Inputs!$C$5:$C$120=$B8)*Inputs!$D$5:$D$120*(((Inputs!$G$5:$G$120="moeda")+(Inputs!$G$5:$G$120="acoes"))*Inputs!$B$1+((Inputs!$G$5:$G$120&lt;&gt;"moeda")*(Inputs!$G$5:$G$120&lt;&gt;"acoes")))*INDEX(Inputs!$K$5:$AJ$120,0,MATCH(I$2,Inputs!$K$4:$AJ$4,0)))+SUMPRODUCT((Inputs!$E$5:$E$120=$B8)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8" s="267" t="e">
        <f>IF(ISNA(MATCH(J$2,Inputs!$K$4:$AJ$4,0)),NA(),IF(SUMPRODUCT((Inputs!$A$5:$A$120=$B8)*ISNUMBER(INDEX(Inputs!$K$5:$AJ$120,0,MATCH(J$2,Inputs!$K$4:$AJ$4,0))))+SUMPRODUCT((Inputs!$C$5:$C$120=$B8)*ISNUMBER(INDEX(Inputs!$K$5:$AJ$120,0,MATCH(J$2,Inputs!$K$4:$AJ$4,0))))+SUMPRODUCT((Inputs!$E$5:$E$120=$B8)*ISNUMBER(INDEX(Inputs!$K$5:$AJ$120,0,MATCH(J$2,Inputs!$K$4:$AJ$4,0))))=0,NA(),SUMPRODUCT((Inputs!$A$5:$A$120=$B8)*Inputs!$B$5:$B$120*(((Inputs!$G$5:$G$120="moeda")+(Inputs!$G$5:$G$120="acoes"))*Inputs!$B$1+((Inputs!$G$5:$G$120&lt;&gt;"moeda")*(Inputs!$G$5:$G$120&lt;&gt;"acoes")))*INDEX(Inputs!$K$5:$AJ$120,0,MATCH(J$2,Inputs!$K$4:$AJ$4,0)))+SUMPRODUCT((Inputs!$C$5:$C$120=$B8)*Inputs!$D$5:$D$120*(((Inputs!$G$5:$G$120="moeda")+(Inputs!$G$5:$G$120="acoes"))*Inputs!$B$1+((Inputs!$G$5:$G$120&lt;&gt;"moeda")*(Inputs!$G$5:$G$120&lt;&gt;"acoes")))*INDEX(Inputs!$K$5:$AJ$120,0,MATCH(J$2,Inputs!$K$4:$AJ$4,0)))+SUMPRODUCT((Inputs!$E$5:$E$120=$B8)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8" s="267" t="e">
        <f>IF(ISNA(MATCH(K$2,Inputs!$K$4:$AJ$4,0)),NA(),IF(SUMPRODUCT((Inputs!$A$5:$A$120=$B8)*ISNUMBER(INDEX(Inputs!$K$5:$AJ$120,0,MATCH(K$2,Inputs!$K$4:$AJ$4,0))))+SUMPRODUCT((Inputs!$C$5:$C$120=$B8)*ISNUMBER(INDEX(Inputs!$K$5:$AJ$120,0,MATCH(K$2,Inputs!$K$4:$AJ$4,0))))+SUMPRODUCT((Inputs!$E$5:$E$120=$B8)*ISNUMBER(INDEX(Inputs!$K$5:$AJ$120,0,MATCH(K$2,Inputs!$K$4:$AJ$4,0))))=0,NA(),SUMPRODUCT((Inputs!$A$5:$A$120=$B8)*Inputs!$B$5:$B$120*(((Inputs!$G$5:$G$120="moeda")+(Inputs!$G$5:$G$120="acoes"))*Inputs!$B$1+((Inputs!$G$5:$G$120&lt;&gt;"moeda")*(Inputs!$G$5:$G$120&lt;&gt;"acoes")))*INDEX(Inputs!$K$5:$AJ$120,0,MATCH(K$2,Inputs!$K$4:$AJ$4,0)))+SUMPRODUCT((Inputs!$C$5:$C$120=$B8)*Inputs!$D$5:$D$120*(((Inputs!$G$5:$G$120="moeda")+(Inputs!$G$5:$G$120="acoes"))*Inputs!$B$1+((Inputs!$G$5:$G$120&lt;&gt;"moeda")*(Inputs!$G$5:$G$120&lt;&gt;"acoes")))*INDEX(Inputs!$K$5:$AJ$120,0,MATCH(K$2,Inputs!$K$4:$AJ$4,0)))+SUMPRODUCT((Inputs!$E$5:$E$120=$B8)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8" s="267" t="e">
        <f>IF(ISNA(MATCH(L$2,Inputs!$K$4:$AJ$4,0)),NA(),IF(SUMPRODUCT((Inputs!$A$5:$A$120=$B8)*ISNUMBER(INDEX(Inputs!$K$5:$AJ$120,0,MATCH(L$2,Inputs!$K$4:$AJ$4,0))))+SUMPRODUCT((Inputs!$C$5:$C$120=$B8)*ISNUMBER(INDEX(Inputs!$K$5:$AJ$120,0,MATCH(L$2,Inputs!$K$4:$AJ$4,0))))+SUMPRODUCT((Inputs!$E$5:$E$120=$B8)*ISNUMBER(INDEX(Inputs!$K$5:$AJ$120,0,MATCH(L$2,Inputs!$K$4:$AJ$4,0))))=0,NA(),SUMPRODUCT((Inputs!$A$5:$A$120=$B8)*Inputs!$B$5:$B$120*(((Inputs!$G$5:$G$120="moeda")+(Inputs!$G$5:$G$120="acoes"))*Inputs!$B$1+((Inputs!$G$5:$G$120&lt;&gt;"moeda")*(Inputs!$G$5:$G$120&lt;&gt;"acoes")))*INDEX(Inputs!$K$5:$AJ$120,0,MATCH(L$2,Inputs!$K$4:$AJ$4,0)))+SUMPRODUCT((Inputs!$C$5:$C$120=$B8)*Inputs!$D$5:$D$120*(((Inputs!$G$5:$G$120="moeda")+(Inputs!$G$5:$G$120="acoes"))*Inputs!$B$1+((Inputs!$G$5:$G$120&lt;&gt;"moeda")*(Inputs!$G$5:$G$120&lt;&gt;"acoes")))*INDEX(Inputs!$K$5:$AJ$120,0,MATCH(L$2,Inputs!$K$4:$AJ$4,0)))+SUMPRODUCT((Inputs!$E$5:$E$120=$B8)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8" s="268" t="e">
        <f>SUM(I8:L8)</f>
        <v>#N/A</v>
      </c>
      <c r="N8" s="267" t="e">
        <f>IF(ISNA(MATCH(N$2,Inputs!$K$4:$AJ$4,0)),NA(),IF(SUMPRODUCT((Inputs!$A$5:$A$120=$B8)*ISNUMBER(INDEX(Inputs!$K$5:$AJ$120,0,MATCH(N$2,Inputs!$K$4:$AJ$4,0))))+SUMPRODUCT((Inputs!$C$5:$C$120=$B8)*ISNUMBER(INDEX(Inputs!$K$5:$AJ$120,0,MATCH(N$2,Inputs!$K$4:$AJ$4,0))))+SUMPRODUCT((Inputs!$E$5:$E$120=$B8)*ISNUMBER(INDEX(Inputs!$K$5:$AJ$120,0,MATCH(N$2,Inputs!$K$4:$AJ$4,0))))=0,NA(),SUMPRODUCT((Inputs!$A$5:$A$120=$B8)*Inputs!$B$5:$B$120*(((Inputs!$G$5:$G$120="moeda")+(Inputs!$G$5:$G$120="acoes"))*Inputs!$B$1+((Inputs!$G$5:$G$120&lt;&gt;"moeda")*(Inputs!$G$5:$G$120&lt;&gt;"acoes")))*INDEX(Inputs!$K$5:$AJ$120,0,MATCH(N$2,Inputs!$K$4:$AJ$4,0)))+SUMPRODUCT((Inputs!$C$5:$C$120=$B8)*Inputs!$D$5:$D$120*(((Inputs!$G$5:$G$120="moeda")+(Inputs!$G$5:$G$120="acoes"))*Inputs!$B$1+((Inputs!$G$5:$G$120&lt;&gt;"moeda")*(Inputs!$G$5:$G$120&lt;&gt;"acoes")))*INDEX(Inputs!$K$5:$AJ$120,0,MATCH(N$2,Inputs!$K$4:$AJ$4,0)))+SUMPRODUCT((Inputs!$E$5:$E$120=$B8)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8" s="267" t="e">
        <f>IF(ISNA(MATCH(O$2,Inputs!$K$4:$AJ$4,0)),NA(),IF(SUMPRODUCT((Inputs!$A$5:$A$120=$B8)*ISNUMBER(INDEX(Inputs!$K$5:$AJ$120,0,MATCH(O$2,Inputs!$K$4:$AJ$4,0))))+SUMPRODUCT((Inputs!$C$5:$C$120=$B8)*ISNUMBER(INDEX(Inputs!$K$5:$AJ$120,0,MATCH(O$2,Inputs!$K$4:$AJ$4,0))))+SUMPRODUCT((Inputs!$E$5:$E$120=$B8)*ISNUMBER(INDEX(Inputs!$K$5:$AJ$120,0,MATCH(O$2,Inputs!$K$4:$AJ$4,0))))=0,NA(),SUMPRODUCT((Inputs!$A$5:$A$120=$B8)*Inputs!$B$5:$B$120*(((Inputs!$G$5:$G$120="moeda")+(Inputs!$G$5:$G$120="acoes"))*Inputs!$B$1+((Inputs!$G$5:$G$120&lt;&gt;"moeda")*(Inputs!$G$5:$G$120&lt;&gt;"acoes")))*INDEX(Inputs!$K$5:$AJ$120,0,MATCH(O$2,Inputs!$K$4:$AJ$4,0)))+SUMPRODUCT((Inputs!$C$5:$C$120=$B8)*Inputs!$D$5:$D$120*(((Inputs!$G$5:$G$120="moeda")+(Inputs!$G$5:$G$120="acoes"))*Inputs!$B$1+((Inputs!$G$5:$G$120&lt;&gt;"moeda")*(Inputs!$G$5:$G$120&lt;&gt;"acoes")))*INDEX(Inputs!$K$5:$AJ$120,0,MATCH(O$2,Inputs!$K$4:$AJ$4,0)))+SUMPRODUCT((Inputs!$E$5:$E$120=$B8)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8" s="267" t="e">
        <f>IF(ISNA(MATCH(P$2,Inputs!$K$4:$AJ$4,0)),NA(),IF(SUMPRODUCT((Inputs!$A$5:$A$120=$B8)*ISNUMBER(INDEX(Inputs!$K$5:$AJ$120,0,MATCH(P$2,Inputs!$K$4:$AJ$4,0))))+SUMPRODUCT((Inputs!$C$5:$C$120=$B8)*ISNUMBER(INDEX(Inputs!$K$5:$AJ$120,0,MATCH(P$2,Inputs!$K$4:$AJ$4,0))))+SUMPRODUCT((Inputs!$E$5:$E$120=$B8)*ISNUMBER(INDEX(Inputs!$K$5:$AJ$120,0,MATCH(P$2,Inputs!$K$4:$AJ$4,0))))=0,NA(),SUMPRODUCT((Inputs!$A$5:$A$120=$B8)*Inputs!$B$5:$B$120*(((Inputs!$G$5:$G$120="moeda")+(Inputs!$G$5:$G$120="acoes"))*Inputs!$B$1+((Inputs!$G$5:$G$120&lt;&gt;"moeda")*(Inputs!$G$5:$G$120&lt;&gt;"acoes")))*INDEX(Inputs!$K$5:$AJ$120,0,MATCH(P$2,Inputs!$K$4:$AJ$4,0)))+SUMPRODUCT((Inputs!$C$5:$C$120=$B8)*Inputs!$D$5:$D$120*(((Inputs!$G$5:$G$120="moeda")+(Inputs!$G$5:$G$120="acoes"))*Inputs!$B$1+((Inputs!$G$5:$G$120&lt;&gt;"moeda")*(Inputs!$G$5:$G$120&lt;&gt;"acoes")))*INDEX(Inputs!$K$5:$AJ$120,0,MATCH(P$2,Inputs!$K$4:$AJ$4,0)))+SUMPRODUCT((Inputs!$E$5:$E$120=$B8)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8" s="267" t="e">
        <f>IF(ISNA(MATCH(Q$2,Inputs!$K$4:$AJ$4,0)),NA(),IF(SUMPRODUCT((Inputs!$A$5:$A$120=$B8)*ISNUMBER(INDEX(Inputs!$K$5:$AJ$120,0,MATCH(Q$2,Inputs!$K$4:$AJ$4,0))))+SUMPRODUCT((Inputs!$C$5:$C$120=$B8)*ISNUMBER(INDEX(Inputs!$K$5:$AJ$120,0,MATCH(Q$2,Inputs!$K$4:$AJ$4,0))))+SUMPRODUCT((Inputs!$E$5:$E$120=$B8)*ISNUMBER(INDEX(Inputs!$K$5:$AJ$120,0,MATCH(Q$2,Inputs!$K$4:$AJ$4,0))))=0,NA(),SUMPRODUCT((Inputs!$A$5:$A$120=$B8)*Inputs!$B$5:$B$120*(((Inputs!$G$5:$G$120="moeda")+(Inputs!$G$5:$G$120="acoes"))*Inputs!$B$1+((Inputs!$G$5:$G$120&lt;&gt;"moeda")*(Inputs!$G$5:$G$120&lt;&gt;"acoes")))*INDEX(Inputs!$K$5:$AJ$120,0,MATCH(Q$2,Inputs!$K$4:$AJ$4,0)))+SUMPRODUCT((Inputs!$C$5:$C$120=$B8)*Inputs!$D$5:$D$120*(((Inputs!$G$5:$G$120="moeda")+(Inputs!$G$5:$G$120="acoes"))*Inputs!$B$1+((Inputs!$G$5:$G$120&lt;&gt;"moeda")*(Inputs!$G$5:$G$120&lt;&gt;"acoes")))*INDEX(Inputs!$K$5:$AJ$120,0,MATCH(Q$2,Inputs!$K$4:$AJ$4,0)))+SUMPRODUCT((Inputs!$E$5:$E$120=$B8)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8" s="268" t="e">
        <f>SUM(N8:Q8)</f>
        <v>#N/A</v>
      </c>
      <c r="S8" s="267" t="e">
        <f>IF(ISNA(MATCH(S$2,Inputs!$K$4:$AJ$4,0)),NA(),IF(SUMPRODUCT((Inputs!$A$5:$A$120=$B8)*ISNUMBER(INDEX(Inputs!$K$5:$AJ$120,0,MATCH(S$2,Inputs!$K$4:$AJ$4,0))))+SUMPRODUCT((Inputs!$C$5:$C$120=$B8)*ISNUMBER(INDEX(Inputs!$K$5:$AJ$120,0,MATCH(S$2,Inputs!$K$4:$AJ$4,0))))+SUMPRODUCT((Inputs!$E$5:$E$120=$B8)*ISNUMBER(INDEX(Inputs!$K$5:$AJ$120,0,MATCH(S$2,Inputs!$K$4:$AJ$4,0))))=0,NA(),SUMPRODUCT((Inputs!$A$5:$A$120=$B8)*Inputs!$B$5:$B$120*(((Inputs!$G$5:$G$120="moeda")+(Inputs!$G$5:$G$120="acoes"))*Inputs!$B$1+((Inputs!$G$5:$G$120&lt;&gt;"moeda")*(Inputs!$G$5:$G$120&lt;&gt;"acoes")))*INDEX(Inputs!$K$5:$AJ$120,0,MATCH(S$2,Inputs!$K$4:$AJ$4,0)))+SUMPRODUCT((Inputs!$C$5:$C$120=$B8)*Inputs!$D$5:$D$120*(((Inputs!$G$5:$G$120="moeda")+(Inputs!$G$5:$G$120="acoes"))*Inputs!$B$1+((Inputs!$G$5:$G$120&lt;&gt;"moeda")*(Inputs!$G$5:$G$120&lt;&gt;"acoes")))*INDEX(Inputs!$K$5:$AJ$120,0,MATCH(S$2,Inputs!$K$4:$AJ$4,0)))+SUMPRODUCT((Inputs!$E$5:$E$120=$B8)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8" s="267" t="e">
        <f>IF(ISNA(MATCH(T$2,Inputs!$K$4:$AJ$4,0)),NA(),IF(SUMPRODUCT((Inputs!$A$5:$A$120=$B8)*ISNUMBER(INDEX(Inputs!$K$5:$AJ$120,0,MATCH(T$2,Inputs!$K$4:$AJ$4,0))))+SUMPRODUCT((Inputs!$C$5:$C$120=$B8)*ISNUMBER(INDEX(Inputs!$K$5:$AJ$120,0,MATCH(T$2,Inputs!$K$4:$AJ$4,0))))+SUMPRODUCT((Inputs!$E$5:$E$120=$B8)*ISNUMBER(INDEX(Inputs!$K$5:$AJ$120,0,MATCH(T$2,Inputs!$K$4:$AJ$4,0))))=0,NA(),SUMPRODUCT((Inputs!$A$5:$A$120=$B8)*Inputs!$B$5:$B$120*(((Inputs!$G$5:$G$120="moeda")+(Inputs!$G$5:$G$120="acoes"))*Inputs!$B$1+((Inputs!$G$5:$G$120&lt;&gt;"moeda")*(Inputs!$G$5:$G$120&lt;&gt;"acoes")))*INDEX(Inputs!$K$5:$AJ$120,0,MATCH(T$2,Inputs!$K$4:$AJ$4,0)))+SUMPRODUCT((Inputs!$C$5:$C$120=$B8)*Inputs!$D$5:$D$120*(((Inputs!$G$5:$G$120="moeda")+(Inputs!$G$5:$G$120="acoes"))*Inputs!$B$1+((Inputs!$G$5:$G$120&lt;&gt;"moeda")*(Inputs!$G$5:$G$120&lt;&gt;"acoes")))*INDEX(Inputs!$K$5:$AJ$120,0,MATCH(T$2,Inputs!$K$4:$AJ$4,0)))+SUMPRODUCT((Inputs!$E$5:$E$120=$B8)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8" s="267" t="e">
        <f>IF(ISNA(MATCH(U$2,Inputs!$K$4:$AJ$4,0)),NA(),IF(SUMPRODUCT((Inputs!$A$5:$A$120=$B8)*ISNUMBER(INDEX(Inputs!$K$5:$AJ$120,0,MATCH(U$2,Inputs!$K$4:$AJ$4,0))))+SUMPRODUCT((Inputs!$C$5:$C$120=$B8)*ISNUMBER(INDEX(Inputs!$K$5:$AJ$120,0,MATCH(U$2,Inputs!$K$4:$AJ$4,0))))+SUMPRODUCT((Inputs!$E$5:$E$120=$B8)*ISNUMBER(INDEX(Inputs!$K$5:$AJ$120,0,MATCH(U$2,Inputs!$K$4:$AJ$4,0))))=0,NA(),SUMPRODUCT((Inputs!$A$5:$A$120=$B8)*Inputs!$B$5:$B$120*(((Inputs!$G$5:$G$120="moeda")+(Inputs!$G$5:$G$120="acoes"))*Inputs!$B$1+((Inputs!$G$5:$G$120&lt;&gt;"moeda")*(Inputs!$G$5:$G$120&lt;&gt;"acoes")))*INDEX(Inputs!$K$5:$AJ$120,0,MATCH(U$2,Inputs!$K$4:$AJ$4,0)))+SUMPRODUCT((Inputs!$C$5:$C$120=$B8)*Inputs!$D$5:$D$120*(((Inputs!$G$5:$G$120="moeda")+(Inputs!$G$5:$G$120="acoes"))*Inputs!$B$1+((Inputs!$G$5:$G$120&lt;&gt;"moeda")*(Inputs!$G$5:$G$120&lt;&gt;"acoes")))*INDEX(Inputs!$K$5:$AJ$120,0,MATCH(U$2,Inputs!$K$4:$AJ$4,0)))+SUMPRODUCT((Inputs!$E$5:$E$120=$B8)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8" s="267" t="e">
        <f>IF(ISNA(MATCH(V$2,Inputs!$K$4:$AJ$4,0)),NA(),IF(SUMPRODUCT((Inputs!$A$5:$A$120=$B8)*ISNUMBER(INDEX(Inputs!$K$5:$AJ$120,0,MATCH(V$2,Inputs!$K$4:$AJ$4,0))))+SUMPRODUCT((Inputs!$C$5:$C$120=$B8)*ISNUMBER(INDEX(Inputs!$K$5:$AJ$120,0,MATCH(V$2,Inputs!$K$4:$AJ$4,0))))+SUMPRODUCT((Inputs!$E$5:$E$120=$B8)*ISNUMBER(INDEX(Inputs!$K$5:$AJ$120,0,MATCH(V$2,Inputs!$K$4:$AJ$4,0))))=0,NA(),SUMPRODUCT((Inputs!$A$5:$A$120=$B8)*Inputs!$B$5:$B$120*(((Inputs!$G$5:$G$120="moeda")+(Inputs!$G$5:$G$120="acoes"))*Inputs!$B$1+((Inputs!$G$5:$G$120&lt;&gt;"moeda")*(Inputs!$G$5:$G$120&lt;&gt;"acoes")))*INDEX(Inputs!$K$5:$AJ$120,0,MATCH(V$2,Inputs!$K$4:$AJ$4,0)))+SUMPRODUCT((Inputs!$C$5:$C$120=$B8)*Inputs!$D$5:$D$120*(((Inputs!$G$5:$G$120="moeda")+(Inputs!$G$5:$G$120="acoes"))*Inputs!$B$1+((Inputs!$G$5:$G$120&lt;&gt;"moeda")*(Inputs!$G$5:$G$120&lt;&gt;"acoes")))*INDEX(Inputs!$K$5:$AJ$120,0,MATCH(V$2,Inputs!$K$4:$AJ$4,0)))+SUMPRODUCT((Inputs!$E$5:$E$120=$B8)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8" s="268" t="e">
        <f>SUM(S8:V8)</f>
        <v>#N/A</v>
      </c>
      <c r="X8" s="267" t="e">
        <f>IF(ISNA(MATCH(X$2,Inputs!$K$4:$AJ$4,0)),NA(),IF(SUMPRODUCT((Inputs!$A$5:$A$120=$B8)*ISNUMBER(INDEX(Inputs!$K$5:$AJ$120,0,MATCH(X$2,Inputs!$K$4:$AJ$4,0))))+SUMPRODUCT((Inputs!$C$5:$C$120=$B8)*ISNUMBER(INDEX(Inputs!$K$5:$AJ$120,0,MATCH(X$2,Inputs!$K$4:$AJ$4,0))))+SUMPRODUCT((Inputs!$E$5:$E$120=$B8)*ISNUMBER(INDEX(Inputs!$K$5:$AJ$120,0,MATCH(X$2,Inputs!$K$4:$AJ$4,0))))=0,NA(),SUMPRODUCT((Inputs!$A$5:$A$120=$B8)*Inputs!$B$5:$B$120*(((Inputs!$G$5:$G$120="moeda")+(Inputs!$G$5:$G$120="acoes"))*Inputs!$B$1+((Inputs!$G$5:$G$120&lt;&gt;"moeda")*(Inputs!$G$5:$G$120&lt;&gt;"acoes")))*INDEX(Inputs!$K$5:$AJ$120,0,MATCH(X$2,Inputs!$K$4:$AJ$4,0)))+SUMPRODUCT((Inputs!$C$5:$C$120=$B8)*Inputs!$D$5:$D$120*(((Inputs!$G$5:$G$120="moeda")+(Inputs!$G$5:$G$120="acoes"))*Inputs!$B$1+((Inputs!$G$5:$G$120&lt;&gt;"moeda")*(Inputs!$G$5:$G$120&lt;&gt;"acoes")))*INDEX(Inputs!$K$5:$AJ$120,0,MATCH(X$2,Inputs!$K$4:$AJ$4,0)))+SUMPRODUCT((Inputs!$E$5:$E$120=$B8)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8" s="267" t="e">
        <f>IF(ISNA(MATCH(Y$2,Inputs!$K$4:$AJ$4,0)),NA(),IF(SUMPRODUCT((Inputs!$A$5:$A$120=$B8)*ISNUMBER(INDEX(Inputs!$K$5:$AJ$120,0,MATCH(Y$2,Inputs!$K$4:$AJ$4,0))))+SUMPRODUCT((Inputs!$C$5:$C$120=$B8)*ISNUMBER(INDEX(Inputs!$K$5:$AJ$120,0,MATCH(Y$2,Inputs!$K$4:$AJ$4,0))))+SUMPRODUCT((Inputs!$E$5:$E$120=$B8)*ISNUMBER(INDEX(Inputs!$K$5:$AJ$120,0,MATCH(Y$2,Inputs!$K$4:$AJ$4,0))))=0,NA(),SUMPRODUCT((Inputs!$A$5:$A$120=$B8)*Inputs!$B$5:$B$120*(((Inputs!$G$5:$G$120="moeda")+(Inputs!$G$5:$G$120="acoes"))*Inputs!$B$1+((Inputs!$G$5:$G$120&lt;&gt;"moeda")*(Inputs!$G$5:$G$120&lt;&gt;"acoes")))*INDEX(Inputs!$K$5:$AJ$120,0,MATCH(Y$2,Inputs!$K$4:$AJ$4,0)))+SUMPRODUCT((Inputs!$C$5:$C$120=$B8)*Inputs!$D$5:$D$120*(((Inputs!$G$5:$G$120="moeda")+(Inputs!$G$5:$G$120="acoes"))*Inputs!$B$1+((Inputs!$G$5:$G$120&lt;&gt;"moeda")*(Inputs!$G$5:$G$120&lt;&gt;"acoes")))*INDEX(Inputs!$K$5:$AJ$120,0,MATCH(Y$2,Inputs!$K$4:$AJ$4,0)))+SUMPRODUCT((Inputs!$E$5:$E$120=$B8)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8" s="267" t="e">
        <f>IF(ISNA(MATCH(Z$2,Inputs!$K$4:$AJ$4,0)),NA(),IF(SUMPRODUCT((Inputs!$A$5:$A$120=$B8)*ISNUMBER(INDEX(Inputs!$K$5:$AJ$120,0,MATCH(Z$2,Inputs!$K$4:$AJ$4,0))))+SUMPRODUCT((Inputs!$C$5:$C$120=$B8)*ISNUMBER(INDEX(Inputs!$K$5:$AJ$120,0,MATCH(Z$2,Inputs!$K$4:$AJ$4,0))))+SUMPRODUCT((Inputs!$E$5:$E$120=$B8)*ISNUMBER(INDEX(Inputs!$K$5:$AJ$120,0,MATCH(Z$2,Inputs!$K$4:$AJ$4,0))))=0,NA(),SUMPRODUCT((Inputs!$A$5:$A$120=$B8)*Inputs!$B$5:$B$120*(((Inputs!$G$5:$G$120="moeda")+(Inputs!$G$5:$G$120="acoes"))*Inputs!$B$1+((Inputs!$G$5:$G$120&lt;&gt;"moeda")*(Inputs!$G$5:$G$120&lt;&gt;"acoes")))*INDEX(Inputs!$K$5:$AJ$120,0,MATCH(Z$2,Inputs!$K$4:$AJ$4,0)))+SUMPRODUCT((Inputs!$C$5:$C$120=$B8)*Inputs!$D$5:$D$120*(((Inputs!$G$5:$G$120="moeda")+(Inputs!$G$5:$G$120="acoes"))*Inputs!$B$1+((Inputs!$G$5:$G$120&lt;&gt;"moeda")*(Inputs!$G$5:$G$120&lt;&gt;"acoes")))*INDEX(Inputs!$K$5:$AJ$120,0,MATCH(Z$2,Inputs!$K$4:$AJ$4,0)))+SUMPRODUCT((Inputs!$E$5:$E$120=$B8)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8" s="267" t="e">
        <f>IF(ISNA(MATCH(AA$2,Inputs!$K$4:$AJ$4,0)),NA(),IF(SUMPRODUCT((Inputs!$A$5:$A$120=$B8)*ISNUMBER(INDEX(Inputs!$K$5:$AJ$120,0,MATCH(AA$2,Inputs!$K$4:$AJ$4,0))))+SUMPRODUCT((Inputs!$C$5:$C$120=$B8)*ISNUMBER(INDEX(Inputs!$K$5:$AJ$120,0,MATCH(AA$2,Inputs!$K$4:$AJ$4,0))))+SUMPRODUCT((Inputs!$E$5:$E$120=$B8)*ISNUMBER(INDEX(Inputs!$K$5:$AJ$120,0,MATCH(AA$2,Inputs!$K$4:$AJ$4,0))))=0,NA(),SUMPRODUCT((Inputs!$A$5:$A$120=$B8)*Inputs!$B$5:$B$120*(((Inputs!$G$5:$G$120="moeda")+(Inputs!$G$5:$G$120="acoes"))*Inputs!$B$1+((Inputs!$G$5:$G$120&lt;&gt;"moeda")*(Inputs!$G$5:$G$120&lt;&gt;"acoes")))*INDEX(Inputs!$K$5:$AJ$120,0,MATCH(AA$2,Inputs!$K$4:$AJ$4,0)))+SUMPRODUCT((Inputs!$C$5:$C$120=$B8)*Inputs!$D$5:$D$120*(((Inputs!$G$5:$G$120="moeda")+(Inputs!$G$5:$G$120="acoes"))*Inputs!$B$1+((Inputs!$G$5:$G$120&lt;&gt;"moeda")*(Inputs!$G$5:$G$120&lt;&gt;"acoes")))*INDEX(Inputs!$K$5:$AJ$120,0,MATCH(AA$2,Inputs!$K$4:$AJ$4,0)))+SUMPRODUCT((Inputs!$E$5:$E$120=$B8)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8" s="268" t="e">
        <f>SUM(X8:AA8)</f>
        <v>#N/A</v>
      </c>
      <c r="AC8" s="267" t="e">
        <f>IF(ISNA(MATCH(AC$2,Inputs!$K$4:$AJ$4,0)),NA(),IF(SUMPRODUCT((Inputs!$A$5:$A$120=$B8)*ISNUMBER(INDEX(Inputs!$K$5:$AJ$120,0,MATCH(AC$2,Inputs!$K$4:$AJ$4,0))))+SUMPRODUCT((Inputs!$C$5:$C$120=$B8)*ISNUMBER(INDEX(Inputs!$K$5:$AJ$120,0,MATCH(AC$2,Inputs!$K$4:$AJ$4,0))))+SUMPRODUCT((Inputs!$E$5:$E$120=$B8)*ISNUMBER(INDEX(Inputs!$K$5:$AJ$120,0,MATCH(AC$2,Inputs!$K$4:$AJ$4,0))))=0,NA(),SUMPRODUCT((Inputs!$A$5:$A$120=$B8)*Inputs!$B$5:$B$120*(((Inputs!$G$5:$G$120="moeda")+(Inputs!$G$5:$G$120="acoes"))*Inputs!$B$1+((Inputs!$G$5:$G$120&lt;&gt;"moeda")*(Inputs!$G$5:$G$120&lt;&gt;"acoes")))*INDEX(Inputs!$K$5:$AJ$120,0,MATCH(AC$2,Inputs!$K$4:$AJ$4,0)))+SUMPRODUCT((Inputs!$C$5:$C$120=$B8)*Inputs!$D$5:$D$120*(((Inputs!$G$5:$G$120="moeda")+(Inputs!$G$5:$G$120="acoes"))*Inputs!$B$1+((Inputs!$G$5:$G$120&lt;&gt;"moeda")*(Inputs!$G$5:$G$120&lt;&gt;"acoes")))*INDEX(Inputs!$K$5:$AJ$120,0,MATCH(AC$2,Inputs!$K$4:$AJ$4,0)))+SUMPRODUCT((Inputs!$E$5:$E$120=$B8)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8" s="267" t="e">
        <f>IF(ISNA(MATCH(AD$2,Inputs!$K$4:$AJ$4,0)),NA(),IF(SUMPRODUCT((Inputs!$A$5:$A$120=$B8)*ISNUMBER(INDEX(Inputs!$K$5:$AJ$120,0,MATCH(AD$2,Inputs!$K$4:$AJ$4,0))))+SUMPRODUCT((Inputs!$C$5:$C$120=$B8)*ISNUMBER(INDEX(Inputs!$K$5:$AJ$120,0,MATCH(AD$2,Inputs!$K$4:$AJ$4,0))))+SUMPRODUCT((Inputs!$E$5:$E$120=$B8)*ISNUMBER(INDEX(Inputs!$K$5:$AJ$120,0,MATCH(AD$2,Inputs!$K$4:$AJ$4,0))))=0,NA(),SUMPRODUCT((Inputs!$A$5:$A$120=$B8)*Inputs!$B$5:$B$120*(((Inputs!$G$5:$G$120="moeda")+(Inputs!$G$5:$G$120="acoes"))*Inputs!$B$1+((Inputs!$G$5:$G$120&lt;&gt;"moeda")*(Inputs!$G$5:$G$120&lt;&gt;"acoes")))*INDEX(Inputs!$K$5:$AJ$120,0,MATCH(AD$2,Inputs!$K$4:$AJ$4,0)))+SUMPRODUCT((Inputs!$C$5:$C$120=$B8)*Inputs!$D$5:$D$120*(((Inputs!$G$5:$G$120="moeda")+(Inputs!$G$5:$G$120="acoes"))*Inputs!$B$1+((Inputs!$G$5:$G$120&lt;&gt;"moeda")*(Inputs!$G$5:$G$120&lt;&gt;"acoes")))*INDEX(Inputs!$K$5:$AJ$120,0,MATCH(AD$2,Inputs!$K$4:$AJ$4,0)))+SUMPRODUCT((Inputs!$E$5:$E$120=$B8)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8" s="267" t="e">
        <f>IF(ISNA(MATCH(AE$2,Inputs!$K$4:$AJ$4,0)),NA(),IF(SUMPRODUCT((Inputs!$A$5:$A$120=$B8)*ISNUMBER(INDEX(Inputs!$K$5:$AJ$120,0,MATCH(AE$2,Inputs!$K$4:$AJ$4,0))))+SUMPRODUCT((Inputs!$C$5:$C$120=$B8)*ISNUMBER(INDEX(Inputs!$K$5:$AJ$120,0,MATCH(AE$2,Inputs!$K$4:$AJ$4,0))))+SUMPRODUCT((Inputs!$E$5:$E$120=$B8)*ISNUMBER(INDEX(Inputs!$K$5:$AJ$120,0,MATCH(AE$2,Inputs!$K$4:$AJ$4,0))))=0,NA(),SUMPRODUCT((Inputs!$A$5:$A$120=$B8)*Inputs!$B$5:$B$120*(((Inputs!$G$5:$G$120="moeda")+(Inputs!$G$5:$G$120="acoes"))*Inputs!$B$1+((Inputs!$G$5:$G$120&lt;&gt;"moeda")*(Inputs!$G$5:$G$120&lt;&gt;"acoes")))*INDEX(Inputs!$K$5:$AJ$120,0,MATCH(AE$2,Inputs!$K$4:$AJ$4,0)))+SUMPRODUCT((Inputs!$C$5:$C$120=$B8)*Inputs!$D$5:$D$120*(((Inputs!$G$5:$G$120="moeda")+(Inputs!$G$5:$G$120="acoes"))*Inputs!$B$1+((Inputs!$G$5:$G$120&lt;&gt;"moeda")*(Inputs!$G$5:$G$120&lt;&gt;"acoes")))*INDEX(Inputs!$K$5:$AJ$120,0,MATCH(AE$2,Inputs!$K$4:$AJ$4,0)))+SUMPRODUCT((Inputs!$E$5:$E$120=$B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8" s="267" t="e">
        <f>IF(ISNA(MATCH(AF$2,Inputs!$K$4:$AJ$4,0)),NA(),IF(SUMPRODUCT((Inputs!$A$5:$A$120=$B8)*ISNUMBER(INDEX(Inputs!$K$5:$AJ$120,0,MATCH(AF$2,Inputs!$K$4:$AJ$4,0))))+SUMPRODUCT((Inputs!$C$5:$C$120=$B8)*ISNUMBER(INDEX(Inputs!$K$5:$AJ$120,0,MATCH(AF$2,Inputs!$K$4:$AJ$4,0))))+SUMPRODUCT((Inputs!$E$5:$E$120=$B8)*ISNUMBER(INDEX(Inputs!$K$5:$AJ$120,0,MATCH(AF$2,Inputs!$K$4:$AJ$4,0))))=0,NA(),SUMPRODUCT((Inputs!$A$5:$A$120=$B8)*Inputs!$B$5:$B$120*(((Inputs!$G$5:$G$120="moeda")+(Inputs!$G$5:$G$120="acoes"))*Inputs!$B$1+((Inputs!$G$5:$G$120&lt;&gt;"moeda")*(Inputs!$G$5:$G$120&lt;&gt;"acoes")))*INDEX(Inputs!$K$5:$AJ$120,0,MATCH(AF$2,Inputs!$K$4:$AJ$4,0)))+SUMPRODUCT((Inputs!$C$5:$C$120=$B8)*Inputs!$D$5:$D$120*(((Inputs!$G$5:$G$120="moeda")+(Inputs!$G$5:$G$120="acoes"))*Inputs!$B$1+((Inputs!$G$5:$G$120&lt;&gt;"moeda")*(Inputs!$G$5:$G$120&lt;&gt;"acoes")))*INDEX(Inputs!$K$5:$AJ$120,0,MATCH(AF$2,Inputs!$K$4:$AJ$4,0)))+SUMPRODUCT((Inputs!$E$5:$E$120=$B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8" s="268" t="e">
        <f>SUM(AC8:AF8)</f>
        <v>#N/A</v>
      </c>
      <c r="AH8" s="267" t="e">
        <f>IF(ISNA(MATCH(AH$2,Inputs!$K$4:$AJ$4,0)),NA(),IF(SUMPRODUCT((Inputs!$A$5:$A$120=$B8)*ISNUMBER(INDEX(Inputs!$K$5:$AJ$120,0,MATCH(AH$2,Inputs!$K$4:$AJ$4,0))))+SUMPRODUCT((Inputs!$C$5:$C$120=$B8)*ISNUMBER(INDEX(Inputs!$K$5:$AJ$120,0,MATCH(AH$2,Inputs!$K$4:$AJ$4,0))))+SUMPRODUCT((Inputs!$E$5:$E$120=$B8)*ISNUMBER(INDEX(Inputs!$K$5:$AJ$120,0,MATCH(AH$2,Inputs!$K$4:$AJ$4,0))))=0,NA(),SUMPRODUCT((Inputs!$A$5:$A$120=$B8)*Inputs!$B$5:$B$120*(((Inputs!$G$5:$G$120="moeda")+(Inputs!$G$5:$G$120="acoes"))*Inputs!$B$1+((Inputs!$G$5:$G$120&lt;&gt;"moeda")*(Inputs!$G$5:$G$120&lt;&gt;"acoes")))*INDEX(Inputs!$K$5:$AJ$120,0,MATCH(AH$2,Inputs!$K$4:$AJ$4,0)))+SUMPRODUCT((Inputs!$C$5:$C$120=$B8)*Inputs!$D$5:$D$120*(((Inputs!$G$5:$G$120="moeda")+(Inputs!$G$5:$G$120="acoes"))*Inputs!$B$1+((Inputs!$G$5:$G$120&lt;&gt;"moeda")*(Inputs!$G$5:$G$120&lt;&gt;"acoes")))*INDEX(Inputs!$K$5:$AJ$120,0,MATCH(AH$2,Inputs!$K$4:$AJ$4,0)))+SUMPRODUCT((Inputs!$E$5:$E$120=$B8)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8" s="267" t="e">
        <f>IF(ISNA(MATCH(AI$2,Inputs!$K$4:$AJ$4,0)),NA(),IF(SUMPRODUCT((Inputs!$A$5:$A$120=$B8)*ISNUMBER(INDEX(Inputs!$K$5:$AJ$120,0,MATCH(AI$2,Inputs!$K$4:$AJ$4,0))))+SUMPRODUCT((Inputs!$C$5:$C$120=$B8)*ISNUMBER(INDEX(Inputs!$K$5:$AJ$120,0,MATCH(AI$2,Inputs!$K$4:$AJ$4,0))))+SUMPRODUCT((Inputs!$E$5:$E$120=$B8)*ISNUMBER(INDEX(Inputs!$K$5:$AJ$120,0,MATCH(AI$2,Inputs!$K$4:$AJ$4,0))))=0,NA(),SUMPRODUCT((Inputs!$A$5:$A$120=$B8)*Inputs!$B$5:$B$120*(((Inputs!$G$5:$G$120="moeda")+(Inputs!$G$5:$G$120="acoes"))*Inputs!$B$1+((Inputs!$G$5:$G$120&lt;&gt;"moeda")*(Inputs!$G$5:$G$120&lt;&gt;"acoes")))*INDEX(Inputs!$K$5:$AJ$120,0,MATCH(AI$2,Inputs!$K$4:$AJ$4,0)))+SUMPRODUCT((Inputs!$C$5:$C$120=$B8)*Inputs!$D$5:$D$120*(((Inputs!$G$5:$G$120="moeda")+(Inputs!$G$5:$G$120="acoes"))*Inputs!$B$1+((Inputs!$G$5:$G$120&lt;&gt;"moeda")*(Inputs!$G$5:$G$120&lt;&gt;"acoes")))*INDEX(Inputs!$K$5:$AJ$120,0,MATCH(AI$2,Inputs!$K$4:$AJ$4,0)))+SUMPRODUCT((Inputs!$E$5:$E$120=$B8)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8" s="267" t="e">
        <f>IF(ISNA(MATCH(AJ$2,Inputs!$K$4:$AJ$4,0)),NA(),IF(SUMPRODUCT((Inputs!$A$5:$A$120=$B8)*ISNUMBER(INDEX(Inputs!$K$5:$AJ$120,0,MATCH(AJ$2,Inputs!$K$4:$AJ$4,0))))+SUMPRODUCT((Inputs!$C$5:$C$120=$B8)*ISNUMBER(INDEX(Inputs!$K$5:$AJ$120,0,MATCH(AJ$2,Inputs!$K$4:$AJ$4,0))))+SUMPRODUCT((Inputs!$E$5:$E$120=$B8)*ISNUMBER(INDEX(Inputs!$K$5:$AJ$120,0,MATCH(AJ$2,Inputs!$K$4:$AJ$4,0))))=0,NA(),SUMPRODUCT((Inputs!$A$5:$A$120=$B8)*Inputs!$B$5:$B$120*(((Inputs!$G$5:$G$120="moeda")+(Inputs!$G$5:$G$120="acoes"))*Inputs!$B$1+((Inputs!$G$5:$G$120&lt;&gt;"moeda")*(Inputs!$G$5:$G$120&lt;&gt;"acoes")))*INDEX(Inputs!$K$5:$AJ$120,0,MATCH(AJ$2,Inputs!$K$4:$AJ$4,0)))+SUMPRODUCT((Inputs!$C$5:$C$120=$B8)*Inputs!$D$5:$D$120*(((Inputs!$G$5:$G$120="moeda")+(Inputs!$G$5:$G$120="acoes"))*Inputs!$B$1+((Inputs!$G$5:$G$120&lt;&gt;"moeda")*(Inputs!$G$5:$G$120&lt;&gt;"acoes")))*INDEX(Inputs!$K$5:$AJ$120,0,MATCH(AJ$2,Inputs!$K$4:$AJ$4,0)))+SUMPRODUCT((Inputs!$E$5:$E$120=$B8)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8" s="267" t="e">
        <f>IF(ISNA(MATCH(AK$2,Inputs!$K$4:$AJ$4,0)),NA(),IF(SUMPRODUCT((Inputs!$A$5:$A$120=$B8)*ISNUMBER(INDEX(Inputs!$K$5:$AJ$120,0,MATCH(AK$2,Inputs!$K$4:$AJ$4,0))))+SUMPRODUCT((Inputs!$C$5:$C$120=$B8)*ISNUMBER(INDEX(Inputs!$K$5:$AJ$120,0,MATCH(AK$2,Inputs!$K$4:$AJ$4,0))))+SUMPRODUCT((Inputs!$E$5:$E$120=$B8)*ISNUMBER(INDEX(Inputs!$K$5:$AJ$120,0,MATCH(AK$2,Inputs!$K$4:$AJ$4,0))))=0,NA(),SUMPRODUCT((Inputs!$A$5:$A$120=$B8)*Inputs!$B$5:$B$120*(((Inputs!$G$5:$G$120="moeda")+(Inputs!$G$5:$G$120="acoes"))*Inputs!$B$1+((Inputs!$G$5:$G$120&lt;&gt;"moeda")*(Inputs!$G$5:$G$120&lt;&gt;"acoes")))*INDEX(Inputs!$K$5:$AJ$120,0,MATCH(AK$2,Inputs!$K$4:$AJ$4,0)))+SUMPRODUCT((Inputs!$C$5:$C$120=$B8)*Inputs!$D$5:$D$120*(((Inputs!$G$5:$G$120="moeda")+(Inputs!$G$5:$G$120="acoes"))*Inputs!$B$1+((Inputs!$G$5:$G$120&lt;&gt;"moeda")*(Inputs!$G$5:$G$120&lt;&gt;"acoes")))*INDEX(Inputs!$K$5:$AJ$120,0,MATCH(AK$2,Inputs!$K$4:$AJ$4,0)))+SUMPRODUCT((Inputs!$E$5:$E$120=$B8)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8" s="268" t="e">
        <f>SUM(AH8:AK8)</f>
        <v>#N/A</v>
      </c>
    </row>
    <row r="9" ht="12.75" customHeight="1" s="255">
      <c r="B9" s="265" t="n">
        <v>6</v>
      </c>
      <c r="C9" s="270" t="inlineStr">
        <is>
          <t>Nonoperating Income / (Loss)</t>
        </is>
      </c>
      <c r="D9" s="267">
        <f>IF(ISNA(MATCH(D$2,Inputs!$K$4:$AJ$4,0)),NA(),IF(SUMPRODUCT((Inputs!$A$5:$A$120=$B9)*ISNUMBER(INDEX(Inputs!$K$5:$AJ$120,0,MATCH(D$2,Inputs!$K$4:$AJ$4,0))))+SUMPRODUCT((Inputs!$C$5:$C$120=$B9)*ISNUMBER(INDEX(Inputs!$K$5:$AJ$120,0,MATCH(D$2,Inputs!$K$4:$AJ$4,0))))+SUMPRODUCT((Inputs!$E$5:$E$120=$B9)*ISNUMBER(INDEX(Inputs!$K$5:$AJ$120,0,MATCH(D$2,Inputs!$K$4:$AJ$4,0))))=0,NA(),SUMPRODUCT((Inputs!$A$5:$A$120=$B9)*Inputs!$B$5:$B$120*(((Inputs!$G$5:$G$120="moeda")+(Inputs!$G$5:$G$120="acoes"))*Inputs!$B$1+((Inputs!$G$5:$G$120&lt;&gt;"moeda")*(Inputs!$G$5:$G$120&lt;&gt;"acoes")))*INDEX(Inputs!$K$5:$AJ$120,0,MATCH(D$2,Inputs!$K$4:$AJ$4,0)))+SUMPRODUCT((Inputs!$C$5:$C$120=$B9)*Inputs!$D$5:$D$120*(((Inputs!$G$5:$G$120="moeda")+(Inputs!$G$5:$G$120="acoes"))*Inputs!$B$1+((Inputs!$G$5:$G$120&lt;&gt;"moeda")*(Inputs!$G$5:$G$120&lt;&gt;"acoes")))*INDEX(Inputs!$K$5:$AJ$120,0,MATCH(D$2,Inputs!$K$4:$AJ$4,0)))+SUMPRODUCT((Inputs!$E$5:$E$120=$B9)*Inputs!$F$5:$F$120*(((Inputs!$G$5:$G$120="moeda")+(Inputs!$G$5:$G$120="acoes"))*Inputs!$B$1+((Inputs!$G$5:$G$120&lt;&gt;"moeda")*(Inputs!$G$5:$G$120&lt;&gt;"acoes")))*INDEX(Inputs!$K$5:$AJ$120,0,MATCH(D$2,Inputs!$K$4:$AJ$4,0)))))</f>
        <v>-134</v>
      </c>
      <c r="E9" s="267">
        <f>IF(ISNA(MATCH(E$2,Inputs!$K$4:$AJ$4,0)),NA(),IF(SUMPRODUCT((Inputs!$A$5:$A$120=$B9)*ISNUMBER(INDEX(Inputs!$K$5:$AJ$120,0,MATCH(E$2,Inputs!$K$4:$AJ$4,0))))+SUMPRODUCT((Inputs!$C$5:$C$120=$B9)*ISNUMBER(INDEX(Inputs!$K$5:$AJ$120,0,MATCH(E$2,Inputs!$K$4:$AJ$4,0))))+SUMPRODUCT((Inputs!$E$5:$E$120=$B9)*ISNUMBER(INDEX(Inputs!$K$5:$AJ$120,0,MATCH(E$2,Inputs!$K$4:$AJ$4,0))))=0,NA(),SUMPRODUCT((Inputs!$A$5:$A$120=$B9)*Inputs!$B$5:$B$120*(((Inputs!$G$5:$G$120="moeda")+(Inputs!$G$5:$G$120="acoes"))*Inputs!$B$1+((Inputs!$G$5:$G$120&lt;&gt;"moeda")*(Inputs!$G$5:$G$120&lt;&gt;"acoes")))*INDEX(Inputs!$K$5:$AJ$120,0,MATCH(E$2,Inputs!$K$4:$AJ$4,0)))+SUMPRODUCT((Inputs!$C$5:$C$120=$B9)*Inputs!$D$5:$D$120*(((Inputs!$G$5:$G$120="moeda")+(Inputs!$G$5:$G$120="acoes"))*Inputs!$B$1+((Inputs!$G$5:$G$120&lt;&gt;"moeda")*(Inputs!$G$5:$G$120&lt;&gt;"acoes")))*INDEX(Inputs!$K$5:$AJ$120,0,MATCH(E$2,Inputs!$K$4:$AJ$4,0)))+SUMPRODUCT((Inputs!$E$5:$E$120=$B9)*Inputs!$F$5:$F$120*(((Inputs!$G$5:$G$120="moeda")+(Inputs!$G$5:$G$120="acoes"))*Inputs!$B$1+((Inputs!$G$5:$G$120&lt;&gt;"moeda")*(Inputs!$G$5:$G$120&lt;&gt;"acoes")))*INDEX(Inputs!$K$5:$AJ$120,0,MATCH(E$2,Inputs!$K$4:$AJ$4,0)))))</f>
        <v>-139</v>
      </c>
      <c r="F9" s="267">
        <f>IF(ISNA(MATCH(F$2,Inputs!$K$4:$AJ$4,0)),NA(),IF(SUMPRODUCT((Inputs!$A$5:$A$120=$B9)*ISNUMBER(INDEX(Inputs!$K$5:$AJ$120,0,MATCH(F$2,Inputs!$K$4:$AJ$4,0))))+SUMPRODUCT((Inputs!$C$5:$C$120=$B9)*ISNUMBER(INDEX(Inputs!$K$5:$AJ$120,0,MATCH(F$2,Inputs!$K$4:$AJ$4,0))))+SUMPRODUCT((Inputs!$E$5:$E$120=$B9)*ISNUMBER(INDEX(Inputs!$K$5:$AJ$120,0,MATCH(F$2,Inputs!$K$4:$AJ$4,0))))=0,NA(),SUMPRODUCT((Inputs!$A$5:$A$120=$B9)*Inputs!$B$5:$B$120*(((Inputs!$G$5:$G$120="moeda")+(Inputs!$G$5:$G$120="acoes"))*Inputs!$B$1+((Inputs!$G$5:$G$120&lt;&gt;"moeda")*(Inputs!$G$5:$G$120&lt;&gt;"acoes")))*INDEX(Inputs!$K$5:$AJ$120,0,MATCH(F$2,Inputs!$K$4:$AJ$4,0)))+SUMPRODUCT((Inputs!$C$5:$C$120=$B9)*Inputs!$D$5:$D$120*(((Inputs!$G$5:$G$120="moeda")+(Inputs!$G$5:$G$120="acoes"))*Inputs!$B$1+((Inputs!$G$5:$G$120&lt;&gt;"moeda")*(Inputs!$G$5:$G$120&lt;&gt;"acoes")))*INDEX(Inputs!$K$5:$AJ$120,0,MATCH(F$2,Inputs!$K$4:$AJ$4,0)))+SUMPRODUCT((Inputs!$E$5:$E$120=$B9)*Inputs!$F$5:$F$120*(((Inputs!$G$5:$G$120="moeda")+(Inputs!$G$5:$G$120="acoes"))*Inputs!$B$1+((Inputs!$G$5:$G$120&lt;&gt;"moeda")*(Inputs!$G$5:$G$120&lt;&gt;"acoes")))*INDEX(Inputs!$K$5:$AJ$120,0,MATCH(F$2,Inputs!$K$4:$AJ$4,0)))))</f>
        <v>-102</v>
      </c>
      <c r="G9" s="267">
        <f>IF(ISNA(MATCH(G$2,Inputs!$K$4:$AJ$4,0)),NA(),IF(SUMPRODUCT((Inputs!$A$5:$A$120=$B9)*ISNUMBER(INDEX(Inputs!$K$5:$AJ$120,0,MATCH(G$2,Inputs!$K$4:$AJ$4,0))))+SUMPRODUCT((Inputs!$C$5:$C$120=$B9)*ISNUMBER(INDEX(Inputs!$K$5:$AJ$120,0,MATCH(G$2,Inputs!$K$4:$AJ$4,0))))+SUMPRODUCT((Inputs!$E$5:$E$120=$B9)*ISNUMBER(INDEX(Inputs!$K$5:$AJ$120,0,MATCH(G$2,Inputs!$K$4:$AJ$4,0))))=0,NA(),SUMPRODUCT((Inputs!$A$5:$A$120=$B9)*Inputs!$B$5:$B$120*(((Inputs!$G$5:$G$120="moeda")+(Inputs!$G$5:$G$120="acoes"))*Inputs!$B$1+((Inputs!$G$5:$G$120&lt;&gt;"moeda")*(Inputs!$G$5:$G$120&lt;&gt;"acoes")))*INDEX(Inputs!$K$5:$AJ$120,0,MATCH(G$2,Inputs!$K$4:$AJ$4,0)))+SUMPRODUCT((Inputs!$C$5:$C$120=$B9)*Inputs!$D$5:$D$120*(((Inputs!$G$5:$G$120="moeda")+(Inputs!$G$5:$G$120="acoes"))*Inputs!$B$1+((Inputs!$G$5:$G$120&lt;&gt;"moeda")*(Inputs!$G$5:$G$120&lt;&gt;"acoes")))*INDEX(Inputs!$K$5:$AJ$120,0,MATCH(G$2,Inputs!$K$4:$AJ$4,0)))+SUMPRODUCT((Inputs!$E$5:$E$120=$B9)*Inputs!$F$5:$F$120*(((Inputs!$G$5:$G$120="moeda")+(Inputs!$G$5:$G$120="acoes"))*Inputs!$B$1+((Inputs!$G$5:$G$120&lt;&gt;"moeda")*(Inputs!$G$5:$G$120&lt;&gt;"acoes")))*INDEX(Inputs!$K$5:$AJ$120,0,MATCH(G$2,Inputs!$K$4:$AJ$4,0)))))</f>
        <v>-332</v>
      </c>
      <c r="H9" s="268">
        <f>SUM(D9:G9)</f>
        <v>-707</v>
      </c>
      <c r="I9" s="267">
        <f>IF(ISNA(MATCH(I$2,Inputs!$K$4:$AJ$4,0)),NA(),IF(SUMPRODUCT((Inputs!$A$5:$A$120=$B9)*ISNUMBER(INDEX(Inputs!$K$5:$AJ$120,0,MATCH(I$2,Inputs!$K$4:$AJ$4,0))))+SUMPRODUCT((Inputs!$C$5:$C$120=$B9)*ISNUMBER(INDEX(Inputs!$K$5:$AJ$120,0,MATCH(I$2,Inputs!$K$4:$AJ$4,0))))+SUMPRODUCT((Inputs!$E$5:$E$120=$B9)*ISNUMBER(INDEX(Inputs!$K$5:$AJ$120,0,MATCH(I$2,Inputs!$K$4:$AJ$4,0))))=0,NA(),SUMPRODUCT((Inputs!$A$5:$A$120=$B9)*Inputs!$B$5:$B$120*(((Inputs!$G$5:$G$120="moeda")+(Inputs!$G$5:$G$120="acoes"))*Inputs!$B$1+((Inputs!$G$5:$G$120&lt;&gt;"moeda")*(Inputs!$G$5:$G$120&lt;&gt;"acoes")))*INDEX(Inputs!$K$5:$AJ$120,0,MATCH(I$2,Inputs!$K$4:$AJ$4,0)))+SUMPRODUCT((Inputs!$C$5:$C$120=$B9)*Inputs!$D$5:$D$120*(((Inputs!$G$5:$G$120="moeda")+(Inputs!$G$5:$G$120="acoes"))*Inputs!$B$1+((Inputs!$G$5:$G$120&lt;&gt;"moeda")*(Inputs!$G$5:$G$120&lt;&gt;"acoes")))*INDEX(Inputs!$K$5:$AJ$120,0,MATCH(I$2,Inputs!$K$4:$AJ$4,0)))+SUMPRODUCT((Inputs!$E$5:$E$120=$B9)*Inputs!$F$5:$F$120*(((Inputs!$G$5:$G$120="moeda")+(Inputs!$G$5:$G$120="acoes"))*Inputs!$B$1+((Inputs!$G$5:$G$120&lt;&gt;"moeda")*(Inputs!$G$5:$G$120&lt;&gt;"acoes")))*INDEX(Inputs!$K$5:$AJ$120,0,MATCH(I$2,Inputs!$K$4:$AJ$4,0)))))</f>
        <v>-96</v>
      </c>
      <c r="J9" s="267">
        <f>IF(ISNA(MATCH(J$2,Inputs!$K$4:$AJ$4,0)),NA(),IF(SUMPRODUCT((Inputs!$A$5:$A$120=$B9)*ISNUMBER(INDEX(Inputs!$K$5:$AJ$120,0,MATCH(J$2,Inputs!$K$4:$AJ$4,0))))+SUMPRODUCT((Inputs!$C$5:$C$120=$B9)*ISNUMBER(INDEX(Inputs!$K$5:$AJ$120,0,MATCH(J$2,Inputs!$K$4:$AJ$4,0))))+SUMPRODUCT((Inputs!$E$5:$E$120=$B9)*ISNUMBER(INDEX(Inputs!$K$5:$AJ$120,0,MATCH(J$2,Inputs!$K$4:$AJ$4,0))))=0,NA(),SUMPRODUCT((Inputs!$A$5:$A$120=$B9)*Inputs!$B$5:$B$120*(((Inputs!$G$5:$G$120="moeda")+(Inputs!$G$5:$G$120="acoes"))*Inputs!$B$1+((Inputs!$G$5:$G$120&lt;&gt;"moeda")*(Inputs!$G$5:$G$120&lt;&gt;"acoes")))*INDEX(Inputs!$K$5:$AJ$120,0,MATCH(J$2,Inputs!$K$4:$AJ$4,0)))+SUMPRODUCT((Inputs!$C$5:$C$120=$B9)*Inputs!$D$5:$D$120*(((Inputs!$G$5:$G$120="moeda")+(Inputs!$G$5:$G$120="acoes"))*Inputs!$B$1+((Inputs!$G$5:$G$120&lt;&gt;"moeda")*(Inputs!$G$5:$G$120&lt;&gt;"acoes")))*INDEX(Inputs!$K$5:$AJ$120,0,MATCH(J$2,Inputs!$K$4:$AJ$4,0)))+SUMPRODUCT((Inputs!$E$5:$E$120=$B9)*Inputs!$F$5:$F$120*(((Inputs!$G$5:$G$120="moeda")+(Inputs!$G$5:$G$120="acoes"))*Inputs!$B$1+((Inputs!$G$5:$G$120&lt;&gt;"moeda")*(Inputs!$G$5:$G$120&lt;&gt;"acoes")))*INDEX(Inputs!$K$5:$AJ$120,0,MATCH(J$2,Inputs!$K$4:$AJ$4,0)))))</f>
        <v>-137</v>
      </c>
      <c r="K9" s="267">
        <f>IF(ISNA(MATCH(K$2,Inputs!$K$4:$AJ$4,0)),NA(),IF(SUMPRODUCT((Inputs!$A$5:$A$120=$B9)*ISNUMBER(INDEX(Inputs!$K$5:$AJ$120,0,MATCH(K$2,Inputs!$K$4:$AJ$4,0))))+SUMPRODUCT((Inputs!$C$5:$C$120=$B9)*ISNUMBER(INDEX(Inputs!$K$5:$AJ$120,0,MATCH(K$2,Inputs!$K$4:$AJ$4,0))))+SUMPRODUCT((Inputs!$E$5:$E$120=$B9)*ISNUMBER(INDEX(Inputs!$K$5:$AJ$120,0,MATCH(K$2,Inputs!$K$4:$AJ$4,0))))=0,NA(),SUMPRODUCT((Inputs!$A$5:$A$120=$B9)*Inputs!$B$5:$B$120*(((Inputs!$G$5:$G$120="moeda")+(Inputs!$G$5:$G$120="acoes"))*Inputs!$B$1+((Inputs!$G$5:$G$120&lt;&gt;"moeda")*(Inputs!$G$5:$G$120&lt;&gt;"acoes")))*INDEX(Inputs!$K$5:$AJ$120,0,MATCH(K$2,Inputs!$K$4:$AJ$4,0)))+SUMPRODUCT((Inputs!$C$5:$C$120=$B9)*Inputs!$D$5:$D$120*(((Inputs!$G$5:$G$120="moeda")+(Inputs!$G$5:$G$120="acoes"))*Inputs!$B$1+((Inputs!$G$5:$G$120&lt;&gt;"moeda")*(Inputs!$G$5:$G$120&lt;&gt;"acoes")))*INDEX(Inputs!$K$5:$AJ$120,0,MATCH(K$2,Inputs!$K$4:$AJ$4,0)))+SUMPRODUCT((Inputs!$E$5:$E$120=$B9)*Inputs!$F$5:$F$120*(((Inputs!$G$5:$G$120="moeda")+(Inputs!$G$5:$G$120="acoes"))*Inputs!$B$1+((Inputs!$G$5:$G$120&lt;&gt;"moeda")*(Inputs!$G$5:$G$120&lt;&gt;"acoes")))*INDEX(Inputs!$K$5:$AJ$120,0,MATCH(K$2,Inputs!$K$4:$AJ$4,0)))))</f>
        <v>-95</v>
      </c>
      <c r="L9" s="267">
        <f>IF(ISNA(MATCH(L$2,Inputs!$K$4:$AJ$4,0)),NA(),IF(SUMPRODUCT((Inputs!$A$5:$A$120=$B9)*ISNUMBER(INDEX(Inputs!$K$5:$AJ$120,0,MATCH(L$2,Inputs!$K$4:$AJ$4,0))))+SUMPRODUCT((Inputs!$C$5:$C$120=$B9)*ISNUMBER(INDEX(Inputs!$K$5:$AJ$120,0,MATCH(L$2,Inputs!$K$4:$AJ$4,0))))+SUMPRODUCT((Inputs!$E$5:$E$120=$B9)*ISNUMBER(INDEX(Inputs!$K$5:$AJ$120,0,MATCH(L$2,Inputs!$K$4:$AJ$4,0))))=0,NA(),SUMPRODUCT((Inputs!$A$5:$A$120=$B9)*Inputs!$B$5:$B$120*(((Inputs!$G$5:$G$120="moeda")+(Inputs!$G$5:$G$120="acoes"))*Inputs!$B$1+((Inputs!$G$5:$G$120&lt;&gt;"moeda")*(Inputs!$G$5:$G$120&lt;&gt;"acoes")))*INDEX(Inputs!$K$5:$AJ$120,0,MATCH(L$2,Inputs!$K$4:$AJ$4,0)))+SUMPRODUCT((Inputs!$C$5:$C$120=$B9)*Inputs!$D$5:$D$120*(((Inputs!$G$5:$G$120="moeda")+(Inputs!$G$5:$G$120="acoes"))*Inputs!$B$1+((Inputs!$G$5:$G$120&lt;&gt;"moeda")*(Inputs!$G$5:$G$120&lt;&gt;"acoes")))*INDEX(Inputs!$K$5:$AJ$120,0,MATCH(L$2,Inputs!$K$4:$AJ$4,0)))+SUMPRODUCT((Inputs!$E$5:$E$120=$B9)*Inputs!$F$5:$F$120*(((Inputs!$G$5:$G$120="moeda")+(Inputs!$G$5:$G$120="acoes"))*Inputs!$B$1+((Inputs!$G$5:$G$120&lt;&gt;"moeda")*(Inputs!$G$5:$G$120&lt;&gt;"acoes")))*INDEX(Inputs!$K$5:$AJ$120,0,MATCH(L$2,Inputs!$K$4:$AJ$4,0)))))</f>
        <v>6</v>
      </c>
      <c r="M9" s="268">
        <f>SUM(I9:L9)</f>
        <v>-322</v>
      </c>
      <c r="N9" s="267">
        <f>IF(ISNA(MATCH(N$2,Inputs!$K$4:$AJ$4,0)),NA(),IF(SUMPRODUCT((Inputs!$A$5:$A$120=$B9)*ISNUMBER(INDEX(Inputs!$K$5:$AJ$120,0,MATCH(N$2,Inputs!$K$4:$AJ$4,0))))+SUMPRODUCT((Inputs!$C$5:$C$120=$B9)*ISNUMBER(INDEX(Inputs!$K$5:$AJ$120,0,MATCH(N$2,Inputs!$K$4:$AJ$4,0))))+SUMPRODUCT((Inputs!$E$5:$E$120=$B9)*ISNUMBER(INDEX(Inputs!$K$5:$AJ$120,0,MATCH(N$2,Inputs!$K$4:$AJ$4,0))))=0,NA(),SUMPRODUCT((Inputs!$A$5:$A$120=$B9)*Inputs!$B$5:$B$120*(((Inputs!$G$5:$G$120="moeda")+(Inputs!$G$5:$G$120="acoes"))*Inputs!$B$1+((Inputs!$G$5:$G$120&lt;&gt;"moeda")*(Inputs!$G$5:$G$120&lt;&gt;"acoes")))*INDEX(Inputs!$K$5:$AJ$120,0,MATCH(N$2,Inputs!$K$4:$AJ$4,0)))+SUMPRODUCT((Inputs!$C$5:$C$120=$B9)*Inputs!$D$5:$D$120*(((Inputs!$G$5:$G$120="moeda")+(Inputs!$G$5:$G$120="acoes"))*Inputs!$B$1+((Inputs!$G$5:$G$120&lt;&gt;"moeda")*(Inputs!$G$5:$G$120&lt;&gt;"acoes")))*INDEX(Inputs!$K$5:$AJ$120,0,MATCH(N$2,Inputs!$K$4:$AJ$4,0)))+SUMPRODUCT((Inputs!$E$5:$E$120=$B9)*Inputs!$F$5:$F$120*(((Inputs!$G$5:$G$120="moeda")+(Inputs!$G$5:$G$120="acoes"))*Inputs!$B$1+((Inputs!$G$5:$G$120&lt;&gt;"moeda")*(Inputs!$G$5:$G$120&lt;&gt;"acoes")))*INDEX(Inputs!$K$5:$AJ$120,0,MATCH(N$2,Inputs!$K$4:$AJ$4,0)))))</f>
        <v>-63</v>
      </c>
      <c r="O9" s="267">
        <f>IF(ISNA(MATCH(O$2,Inputs!$K$4:$AJ$4,0)),NA(),IF(SUMPRODUCT((Inputs!$A$5:$A$120=$B9)*ISNUMBER(INDEX(Inputs!$K$5:$AJ$120,0,MATCH(O$2,Inputs!$K$4:$AJ$4,0))))+SUMPRODUCT((Inputs!$C$5:$C$120=$B9)*ISNUMBER(INDEX(Inputs!$K$5:$AJ$120,0,MATCH(O$2,Inputs!$K$4:$AJ$4,0))))+SUMPRODUCT((Inputs!$E$5:$E$120=$B9)*ISNUMBER(INDEX(Inputs!$K$5:$AJ$120,0,MATCH(O$2,Inputs!$K$4:$AJ$4,0))))=0,NA(),SUMPRODUCT((Inputs!$A$5:$A$120=$B9)*Inputs!$B$5:$B$120*(((Inputs!$G$5:$G$120="moeda")+(Inputs!$G$5:$G$120="acoes"))*Inputs!$B$1+((Inputs!$G$5:$G$120&lt;&gt;"moeda")*(Inputs!$G$5:$G$120&lt;&gt;"acoes")))*INDEX(Inputs!$K$5:$AJ$120,0,MATCH(O$2,Inputs!$K$4:$AJ$4,0)))+SUMPRODUCT((Inputs!$C$5:$C$120=$B9)*Inputs!$D$5:$D$120*(((Inputs!$G$5:$G$120="moeda")+(Inputs!$G$5:$G$120="acoes"))*Inputs!$B$1+((Inputs!$G$5:$G$120&lt;&gt;"moeda")*(Inputs!$G$5:$G$120&lt;&gt;"acoes")))*INDEX(Inputs!$K$5:$AJ$120,0,MATCH(O$2,Inputs!$K$4:$AJ$4,0)))+SUMPRODUCT((Inputs!$E$5:$E$120=$B9)*Inputs!$F$5:$F$120*(((Inputs!$G$5:$G$120="moeda")+(Inputs!$G$5:$G$120="acoes"))*Inputs!$B$1+((Inputs!$G$5:$G$120&lt;&gt;"moeda")*(Inputs!$G$5:$G$120&lt;&gt;"acoes")))*INDEX(Inputs!$K$5:$AJ$120,0,MATCH(O$2,Inputs!$K$4:$AJ$4,0)))))</f>
        <v>-142</v>
      </c>
      <c r="P9" s="267">
        <f>IF(ISNA(MATCH(P$2,Inputs!$K$4:$AJ$4,0)),NA(),IF(SUMPRODUCT((Inputs!$A$5:$A$120=$B9)*ISNUMBER(INDEX(Inputs!$K$5:$AJ$120,0,MATCH(P$2,Inputs!$K$4:$AJ$4,0))))+SUMPRODUCT((Inputs!$C$5:$C$120=$B9)*ISNUMBER(INDEX(Inputs!$K$5:$AJ$120,0,MATCH(P$2,Inputs!$K$4:$AJ$4,0))))+SUMPRODUCT((Inputs!$E$5:$E$120=$B9)*ISNUMBER(INDEX(Inputs!$K$5:$AJ$120,0,MATCH(P$2,Inputs!$K$4:$AJ$4,0))))=0,NA(),SUMPRODUCT((Inputs!$A$5:$A$120=$B9)*Inputs!$B$5:$B$120*(((Inputs!$G$5:$G$120="moeda")+(Inputs!$G$5:$G$120="acoes"))*Inputs!$B$1+((Inputs!$G$5:$G$120&lt;&gt;"moeda")*(Inputs!$G$5:$G$120&lt;&gt;"acoes")))*INDEX(Inputs!$K$5:$AJ$120,0,MATCH(P$2,Inputs!$K$4:$AJ$4,0)))+SUMPRODUCT((Inputs!$C$5:$C$120=$B9)*Inputs!$D$5:$D$120*(((Inputs!$G$5:$G$120="moeda")+(Inputs!$G$5:$G$120="acoes"))*Inputs!$B$1+((Inputs!$G$5:$G$120&lt;&gt;"moeda")*(Inputs!$G$5:$G$120&lt;&gt;"acoes")))*INDEX(Inputs!$K$5:$AJ$120,0,MATCH(P$2,Inputs!$K$4:$AJ$4,0)))+SUMPRODUCT((Inputs!$E$5:$E$120=$B9)*Inputs!$F$5:$F$120*(((Inputs!$G$5:$G$120="moeda")+(Inputs!$G$5:$G$120="acoes"))*Inputs!$B$1+((Inputs!$G$5:$G$120&lt;&gt;"moeda")*(Inputs!$G$5:$G$120&lt;&gt;"acoes")))*INDEX(Inputs!$K$5:$AJ$120,0,MATCH(P$2,Inputs!$K$4:$AJ$4,0)))))</f>
        <v>-20</v>
      </c>
      <c r="Q9" s="267">
        <f>IF(ISNA(MATCH(Q$2,Inputs!$K$4:$AJ$4,0)),NA(),IF(SUMPRODUCT((Inputs!$A$5:$A$120=$B9)*ISNUMBER(INDEX(Inputs!$K$5:$AJ$120,0,MATCH(Q$2,Inputs!$K$4:$AJ$4,0))))+SUMPRODUCT((Inputs!$C$5:$C$120=$B9)*ISNUMBER(INDEX(Inputs!$K$5:$AJ$120,0,MATCH(Q$2,Inputs!$K$4:$AJ$4,0))))+SUMPRODUCT((Inputs!$E$5:$E$120=$B9)*ISNUMBER(INDEX(Inputs!$K$5:$AJ$120,0,MATCH(Q$2,Inputs!$K$4:$AJ$4,0))))=0,NA(),SUMPRODUCT((Inputs!$A$5:$A$120=$B9)*Inputs!$B$5:$B$120*(((Inputs!$G$5:$G$120="moeda")+(Inputs!$G$5:$G$120="acoes"))*Inputs!$B$1+((Inputs!$G$5:$G$120&lt;&gt;"moeda")*(Inputs!$G$5:$G$120&lt;&gt;"acoes")))*INDEX(Inputs!$K$5:$AJ$120,0,MATCH(Q$2,Inputs!$K$4:$AJ$4,0)))+SUMPRODUCT((Inputs!$C$5:$C$120=$B9)*Inputs!$D$5:$D$120*(((Inputs!$G$5:$G$120="moeda")+(Inputs!$G$5:$G$120="acoes"))*Inputs!$B$1+((Inputs!$G$5:$G$120&lt;&gt;"moeda")*(Inputs!$G$5:$G$120&lt;&gt;"acoes")))*INDEX(Inputs!$K$5:$AJ$120,0,MATCH(Q$2,Inputs!$K$4:$AJ$4,0)))+SUMPRODUCT((Inputs!$E$5:$E$120=$B9)*Inputs!$F$5:$F$120*(((Inputs!$G$5:$G$120="moeda")+(Inputs!$G$5:$G$120="acoes"))*Inputs!$B$1+((Inputs!$G$5:$G$120&lt;&gt;"moeda")*(Inputs!$G$5:$G$120&lt;&gt;"acoes")))*INDEX(Inputs!$K$5:$AJ$120,0,MATCH(Q$2,Inputs!$K$4:$AJ$4,0)))))</f>
        <v>6</v>
      </c>
      <c r="R9" s="268">
        <f>SUM(N9:Q9)</f>
        <v>-219</v>
      </c>
      <c r="S9" s="267">
        <f>IF(ISNA(MATCH(S$2,Inputs!$K$4:$AJ$4,0)),NA(),IF(SUMPRODUCT((Inputs!$A$5:$A$120=$B9)*ISNUMBER(INDEX(Inputs!$K$5:$AJ$120,0,MATCH(S$2,Inputs!$K$4:$AJ$4,0))))+SUMPRODUCT((Inputs!$C$5:$C$120=$B9)*ISNUMBER(INDEX(Inputs!$K$5:$AJ$120,0,MATCH(S$2,Inputs!$K$4:$AJ$4,0))))+SUMPRODUCT((Inputs!$E$5:$E$120=$B9)*ISNUMBER(INDEX(Inputs!$K$5:$AJ$120,0,MATCH(S$2,Inputs!$K$4:$AJ$4,0))))=0,NA(),SUMPRODUCT((Inputs!$A$5:$A$120=$B9)*Inputs!$B$5:$B$120*(((Inputs!$G$5:$G$120="moeda")+(Inputs!$G$5:$G$120="acoes"))*Inputs!$B$1+((Inputs!$G$5:$G$120&lt;&gt;"moeda")*(Inputs!$G$5:$G$120&lt;&gt;"acoes")))*INDEX(Inputs!$K$5:$AJ$120,0,MATCH(S$2,Inputs!$K$4:$AJ$4,0)))+SUMPRODUCT((Inputs!$C$5:$C$120=$B9)*Inputs!$D$5:$D$120*(((Inputs!$G$5:$G$120="moeda")+(Inputs!$G$5:$G$120="acoes"))*Inputs!$B$1+((Inputs!$G$5:$G$120&lt;&gt;"moeda")*(Inputs!$G$5:$G$120&lt;&gt;"acoes")))*INDEX(Inputs!$K$5:$AJ$120,0,MATCH(S$2,Inputs!$K$4:$AJ$4,0)))+SUMPRODUCT((Inputs!$E$5:$E$120=$B9)*Inputs!$F$5:$F$120*(((Inputs!$G$5:$G$120="moeda")+(Inputs!$G$5:$G$120="acoes"))*Inputs!$B$1+((Inputs!$G$5:$G$120&lt;&gt;"moeda")*(Inputs!$G$5:$G$120&lt;&gt;"acoes")))*INDEX(Inputs!$K$5:$AJ$120,0,MATCH(S$2,Inputs!$K$4:$AJ$4,0)))))</f>
        <v>40</v>
      </c>
      <c r="T9" s="267">
        <f>IF(ISNA(MATCH(T$2,Inputs!$K$4:$AJ$4,0)),NA(),IF(SUMPRODUCT((Inputs!$A$5:$A$120=$B9)*ISNUMBER(INDEX(Inputs!$K$5:$AJ$120,0,MATCH(T$2,Inputs!$K$4:$AJ$4,0))))+SUMPRODUCT((Inputs!$C$5:$C$120=$B9)*ISNUMBER(INDEX(Inputs!$K$5:$AJ$120,0,MATCH(T$2,Inputs!$K$4:$AJ$4,0))))+SUMPRODUCT((Inputs!$E$5:$E$120=$B9)*ISNUMBER(INDEX(Inputs!$K$5:$AJ$120,0,MATCH(T$2,Inputs!$K$4:$AJ$4,0))))=0,NA(),SUMPRODUCT((Inputs!$A$5:$A$120=$B9)*Inputs!$B$5:$B$120*(((Inputs!$G$5:$G$120="moeda")+(Inputs!$G$5:$G$120="acoes"))*Inputs!$B$1+((Inputs!$G$5:$G$120&lt;&gt;"moeda")*(Inputs!$G$5:$G$120&lt;&gt;"acoes")))*INDEX(Inputs!$K$5:$AJ$120,0,MATCH(T$2,Inputs!$K$4:$AJ$4,0)))+SUMPRODUCT((Inputs!$C$5:$C$120=$B9)*Inputs!$D$5:$D$120*(((Inputs!$G$5:$G$120="moeda")+(Inputs!$G$5:$G$120="acoes"))*Inputs!$B$1+((Inputs!$G$5:$G$120&lt;&gt;"moeda")*(Inputs!$G$5:$G$120&lt;&gt;"acoes")))*INDEX(Inputs!$K$5:$AJ$120,0,MATCH(T$2,Inputs!$K$4:$AJ$4,0)))+SUMPRODUCT((Inputs!$E$5:$E$120=$B9)*Inputs!$F$5:$F$120*(((Inputs!$G$5:$G$120="moeda")+(Inputs!$G$5:$G$120="acoes"))*Inputs!$B$1+((Inputs!$G$5:$G$120&lt;&gt;"moeda")*(Inputs!$G$5:$G$120&lt;&gt;"acoes")))*INDEX(Inputs!$K$5:$AJ$120,0,MATCH(T$2,Inputs!$K$4:$AJ$4,0)))))</f>
        <v>-19</v>
      </c>
      <c r="U9" s="267">
        <f>IF(ISNA(MATCH(U$2,Inputs!$K$4:$AJ$4,0)),NA(),IF(SUMPRODUCT((Inputs!$A$5:$A$120=$B9)*ISNUMBER(INDEX(Inputs!$K$5:$AJ$120,0,MATCH(U$2,Inputs!$K$4:$AJ$4,0))))+SUMPRODUCT((Inputs!$C$5:$C$120=$B9)*ISNUMBER(INDEX(Inputs!$K$5:$AJ$120,0,MATCH(U$2,Inputs!$K$4:$AJ$4,0))))+SUMPRODUCT((Inputs!$E$5:$E$120=$B9)*ISNUMBER(INDEX(Inputs!$K$5:$AJ$120,0,MATCH(U$2,Inputs!$K$4:$AJ$4,0))))=0,NA(),SUMPRODUCT((Inputs!$A$5:$A$120=$B9)*Inputs!$B$5:$B$120*(((Inputs!$G$5:$G$120="moeda")+(Inputs!$G$5:$G$120="acoes"))*Inputs!$B$1+((Inputs!$G$5:$G$120&lt;&gt;"moeda")*(Inputs!$G$5:$G$120&lt;&gt;"acoes")))*INDEX(Inputs!$K$5:$AJ$120,0,MATCH(U$2,Inputs!$K$4:$AJ$4,0)))+SUMPRODUCT((Inputs!$C$5:$C$120=$B9)*Inputs!$D$5:$D$120*(((Inputs!$G$5:$G$120="moeda")+(Inputs!$G$5:$G$120="acoes"))*Inputs!$B$1+((Inputs!$G$5:$G$120&lt;&gt;"moeda")*(Inputs!$G$5:$G$120&lt;&gt;"acoes")))*INDEX(Inputs!$K$5:$AJ$120,0,MATCH(U$2,Inputs!$K$4:$AJ$4,0)))+SUMPRODUCT((Inputs!$E$5:$E$120=$B9)*Inputs!$F$5:$F$120*(((Inputs!$G$5:$G$120="moeda")+(Inputs!$G$5:$G$120="acoes"))*Inputs!$B$1+((Inputs!$G$5:$G$120&lt;&gt;"moeda")*(Inputs!$G$5:$G$120&lt;&gt;"acoes")))*INDEX(Inputs!$K$5:$AJ$120,0,MATCH(U$2,Inputs!$K$4:$AJ$4,0)))))</f>
        <v>25</v>
      </c>
      <c r="V9" s="267">
        <f>IF(ISNA(MATCH(V$2,Inputs!$K$4:$AJ$4,0)),NA(),IF(SUMPRODUCT((Inputs!$A$5:$A$120=$B9)*ISNUMBER(INDEX(Inputs!$K$5:$AJ$120,0,MATCH(V$2,Inputs!$K$4:$AJ$4,0))))+SUMPRODUCT((Inputs!$C$5:$C$120=$B9)*ISNUMBER(INDEX(Inputs!$K$5:$AJ$120,0,MATCH(V$2,Inputs!$K$4:$AJ$4,0))))+SUMPRODUCT((Inputs!$E$5:$E$120=$B9)*ISNUMBER(INDEX(Inputs!$K$5:$AJ$120,0,MATCH(V$2,Inputs!$K$4:$AJ$4,0))))=0,NA(),SUMPRODUCT((Inputs!$A$5:$A$120=$B9)*Inputs!$B$5:$B$120*(((Inputs!$G$5:$G$120="moeda")+(Inputs!$G$5:$G$120="acoes"))*Inputs!$B$1+((Inputs!$G$5:$G$120&lt;&gt;"moeda")*(Inputs!$G$5:$G$120&lt;&gt;"acoes")))*INDEX(Inputs!$K$5:$AJ$120,0,MATCH(V$2,Inputs!$K$4:$AJ$4,0)))+SUMPRODUCT((Inputs!$C$5:$C$120=$B9)*Inputs!$D$5:$D$120*(((Inputs!$G$5:$G$120="moeda")+(Inputs!$G$5:$G$120="acoes"))*Inputs!$B$1+((Inputs!$G$5:$G$120&lt;&gt;"moeda")*(Inputs!$G$5:$G$120&lt;&gt;"acoes")))*INDEX(Inputs!$K$5:$AJ$120,0,MATCH(V$2,Inputs!$K$4:$AJ$4,0)))+SUMPRODUCT((Inputs!$E$5:$E$120=$B9)*Inputs!$F$5:$F$120*(((Inputs!$G$5:$G$120="moeda")+(Inputs!$G$5:$G$120="acoes"))*Inputs!$B$1+((Inputs!$G$5:$G$120&lt;&gt;"moeda")*(Inputs!$G$5:$G$120&lt;&gt;"acoes")))*INDEX(Inputs!$K$5:$AJ$120,0,MATCH(V$2,Inputs!$K$4:$AJ$4,0)))))</f>
        <v>-3</v>
      </c>
      <c r="W9" s="268">
        <f>SUM(S9:V9)</f>
        <v>43</v>
      </c>
      <c r="X9" s="267">
        <f>IF(ISNA(MATCH(X$2,Inputs!$K$4:$AJ$4,0)),NA(),IF(SUMPRODUCT((Inputs!$A$5:$A$120=$B9)*ISNUMBER(INDEX(Inputs!$K$5:$AJ$120,0,MATCH(X$2,Inputs!$K$4:$AJ$4,0))))+SUMPRODUCT((Inputs!$C$5:$C$120=$B9)*ISNUMBER(INDEX(Inputs!$K$5:$AJ$120,0,MATCH(X$2,Inputs!$K$4:$AJ$4,0))))+SUMPRODUCT((Inputs!$E$5:$E$120=$B9)*ISNUMBER(INDEX(Inputs!$K$5:$AJ$120,0,MATCH(X$2,Inputs!$K$4:$AJ$4,0))))=0,NA(),SUMPRODUCT((Inputs!$A$5:$A$120=$B9)*Inputs!$B$5:$B$120*(((Inputs!$G$5:$G$120="moeda")+(Inputs!$G$5:$G$120="acoes"))*Inputs!$B$1+((Inputs!$G$5:$G$120&lt;&gt;"moeda")*(Inputs!$G$5:$G$120&lt;&gt;"acoes")))*INDEX(Inputs!$K$5:$AJ$120,0,MATCH(X$2,Inputs!$K$4:$AJ$4,0)))+SUMPRODUCT((Inputs!$C$5:$C$120=$B9)*Inputs!$D$5:$D$120*(((Inputs!$G$5:$G$120="moeda")+(Inputs!$G$5:$G$120="acoes"))*Inputs!$B$1+((Inputs!$G$5:$G$120&lt;&gt;"moeda")*(Inputs!$G$5:$G$120&lt;&gt;"acoes")))*INDEX(Inputs!$K$5:$AJ$120,0,MATCH(X$2,Inputs!$K$4:$AJ$4,0)))+SUMPRODUCT((Inputs!$E$5:$E$120=$B9)*Inputs!$F$5:$F$120*(((Inputs!$G$5:$G$120="moeda")+(Inputs!$G$5:$G$120="acoes"))*Inputs!$B$1+((Inputs!$G$5:$G$120&lt;&gt;"moeda")*(Inputs!$G$5:$G$120&lt;&gt;"acoes")))*INDEX(Inputs!$K$5:$AJ$120,0,MATCH(X$2,Inputs!$K$4:$AJ$4,0)))))</f>
        <v>-12</v>
      </c>
      <c r="Y9" s="267">
        <f>IF(ISNA(MATCH(Y$2,Inputs!$K$4:$AJ$4,0)),NA(),IF(SUMPRODUCT((Inputs!$A$5:$A$120=$B9)*ISNUMBER(INDEX(Inputs!$K$5:$AJ$120,0,MATCH(Y$2,Inputs!$K$4:$AJ$4,0))))+SUMPRODUCT((Inputs!$C$5:$C$120=$B9)*ISNUMBER(INDEX(Inputs!$K$5:$AJ$120,0,MATCH(Y$2,Inputs!$K$4:$AJ$4,0))))+SUMPRODUCT((Inputs!$E$5:$E$120=$B9)*ISNUMBER(INDEX(Inputs!$K$5:$AJ$120,0,MATCH(Y$2,Inputs!$K$4:$AJ$4,0))))=0,NA(),SUMPRODUCT((Inputs!$A$5:$A$120=$B9)*Inputs!$B$5:$B$120*(((Inputs!$G$5:$G$120="moeda")+(Inputs!$G$5:$G$120="acoes"))*Inputs!$B$1+((Inputs!$G$5:$G$120&lt;&gt;"moeda")*(Inputs!$G$5:$G$120&lt;&gt;"acoes")))*INDEX(Inputs!$K$5:$AJ$120,0,MATCH(Y$2,Inputs!$K$4:$AJ$4,0)))+SUMPRODUCT((Inputs!$C$5:$C$120=$B9)*Inputs!$D$5:$D$120*(((Inputs!$G$5:$G$120="moeda")+(Inputs!$G$5:$G$120="acoes"))*Inputs!$B$1+((Inputs!$G$5:$G$120&lt;&gt;"moeda")*(Inputs!$G$5:$G$120&lt;&gt;"acoes")))*INDEX(Inputs!$K$5:$AJ$120,0,MATCH(Y$2,Inputs!$K$4:$AJ$4,0)))+SUMPRODUCT((Inputs!$E$5:$E$120=$B9)*Inputs!$F$5:$F$120*(((Inputs!$G$5:$G$120="moeda")+(Inputs!$G$5:$G$120="acoes"))*Inputs!$B$1+((Inputs!$G$5:$G$120&lt;&gt;"moeda")*(Inputs!$G$5:$G$120&lt;&gt;"acoes")))*INDEX(Inputs!$K$5:$AJ$120,0,MATCH(Y$2,Inputs!$K$4:$AJ$4,0)))))</f>
        <v>-41</v>
      </c>
      <c r="Z9" s="267">
        <f>IF(ISNA(MATCH(Z$2,Inputs!$K$4:$AJ$4,0)),NA(),IF(SUMPRODUCT((Inputs!$A$5:$A$120=$B9)*ISNUMBER(INDEX(Inputs!$K$5:$AJ$120,0,MATCH(Z$2,Inputs!$K$4:$AJ$4,0))))+SUMPRODUCT((Inputs!$C$5:$C$120=$B9)*ISNUMBER(INDEX(Inputs!$K$5:$AJ$120,0,MATCH(Z$2,Inputs!$K$4:$AJ$4,0))))+SUMPRODUCT((Inputs!$E$5:$E$120=$B9)*ISNUMBER(INDEX(Inputs!$K$5:$AJ$120,0,MATCH(Z$2,Inputs!$K$4:$AJ$4,0))))=0,NA(),SUMPRODUCT((Inputs!$A$5:$A$120=$B9)*Inputs!$B$5:$B$120*(((Inputs!$G$5:$G$120="moeda")+(Inputs!$G$5:$G$120="acoes"))*Inputs!$B$1+((Inputs!$G$5:$G$120&lt;&gt;"moeda")*(Inputs!$G$5:$G$120&lt;&gt;"acoes")))*INDEX(Inputs!$K$5:$AJ$120,0,MATCH(Z$2,Inputs!$K$4:$AJ$4,0)))+SUMPRODUCT((Inputs!$C$5:$C$120=$B9)*Inputs!$D$5:$D$120*(((Inputs!$G$5:$G$120="moeda")+(Inputs!$G$5:$G$120="acoes"))*Inputs!$B$1+((Inputs!$G$5:$G$120&lt;&gt;"moeda")*(Inputs!$G$5:$G$120&lt;&gt;"acoes")))*INDEX(Inputs!$K$5:$AJ$120,0,MATCH(Z$2,Inputs!$K$4:$AJ$4,0)))+SUMPRODUCT((Inputs!$E$5:$E$120=$B9)*Inputs!$F$5:$F$120*(((Inputs!$G$5:$G$120="moeda")+(Inputs!$G$5:$G$120="acoes"))*Inputs!$B$1+((Inputs!$G$5:$G$120&lt;&gt;"moeda")*(Inputs!$G$5:$G$120&lt;&gt;"acoes")))*INDEX(Inputs!$K$5:$AJ$120,0,MATCH(Z$2,Inputs!$K$4:$AJ$4,0)))))</f>
        <v>-48</v>
      </c>
      <c r="AA9" s="267">
        <f>IF(ISNA(MATCH(AA$2,Inputs!$K$4:$AJ$4,0)),NA(),IF(SUMPRODUCT((Inputs!$A$5:$A$120=$B9)*ISNUMBER(INDEX(Inputs!$K$5:$AJ$120,0,MATCH(AA$2,Inputs!$K$4:$AJ$4,0))))+SUMPRODUCT((Inputs!$C$5:$C$120=$B9)*ISNUMBER(INDEX(Inputs!$K$5:$AJ$120,0,MATCH(AA$2,Inputs!$K$4:$AJ$4,0))))+SUMPRODUCT((Inputs!$E$5:$E$120=$B9)*ISNUMBER(INDEX(Inputs!$K$5:$AJ$120,0,MATCH(AA$2,Inputs!$K$4:$AJ$4,0))))=0,NA(),SUMPRODUCT((Inputs!$A$5:$A$120=$B9)*Inputs!$B$5:$B$120*(((Inputs!$G$5:$G$120="moeda")+(Inputs!$G$5:$G$120="acoes"))*Inputs!$B$1+((Inputs!$G$5:$G$120&lt;&gt;"moeda")*(Inputs!$G$5:$G$120&lt;&gt;"acoes")))*INDEX(Inputs!$K$5:$AJ$120,0,MATCH(AA$2,Inputs!$K$4:$AJ$4,0)))+SUMPRODUCT((Inputs!$C$5:$C$120=$B9)*Inputs!$D$5:$D$120*(((Inputs!$G$5:$G$120="moeda")+(Inputs!$G$5:$G$120="acoes"))*Inputs!$B$1+((Inputs!$G$5:$G$120&lt;&gt;"moeda")*(Inputs!$G$5:$G$120&lt;&gt;"acoes")))*INDEX(Inputs!$K$5:$AJ$120,0,MATCH(AA$2,Inputs!$K$4:$AJ$4,0)))+SUMPRODUCT((Inputs!$E$5:$E$120=$B9)*Inputs!$F$5:$F$120*(((Inputs!$G$5:$G$120="moeda")+(Inputs!$G$5:$G$120="acoes"))*Inputs!$B$1+((Inputs!$G$5:$G$120&lt;&gt;"moeda")*(Inputs!$G$5:$G$120&lt;&gt;"acoes")))*INDEX(Inputs!$K$5:$AJ$120,0,MATCH(AA$2,Inputs!$K$4:$AJ$4,0)))))</f>
        <v>-45</v>
      </c>
      <c r="AB9" s="268">
        <f>SUM(X9:AA9)</f>
        <v>-146</v>
      </c>
      <c r="AC9" s="267">
        <f>IF(ISNA(MATCH(AC$2,Inputs!$K$4:$AJ$4,0)),NA(),IF(SUMPRODUCT((Inputs!$A$5:$A$120=$B9)*ISNUMBER(INDEX(Inputs!$K$5:$AJ$120,0,MATCH(AC$2,Inputs!$K$4:$AJ$4,0))))+SUMPRODUCT((Inputs!$C$5:$C$120=$B9)*ISNUMBER(INDEX(Inputs!$K$5:$AJ$120,0,MATCH(AC$2,Inputs!$K$4:$AJ$4,0))))+SUMPRODUCT((Inputs!$E$5:$E$120=$B9)*ISNUMBER(INDEX(Inputs!$K$5:$AJ$120,0,MATCH(AC$2,Inputs!$K$4:$AJ$4,0))))=0,NA(),SUMPRODUCT((Inputs!$A$5:$A$120=$B9)*Inputs!$B$5:$B$120*(((Inputs!$G$5:$G$120="moeda")+(Inputs!$G$5:$G$120="acoes"))*Inputs!$B$1+((Inputs!$G$5:$G$120&lt;&gt;"moeda")*(Inputs!$G$5:$G$120&lt;&gt;"acoes")))*INDEX(Inputs!$K$5:$AJ$120,0,MATCH(AC$2,Inputs!$K$4:$AJ$4,0)))+SUMPRODUCT((Inputs!$C$5:$C$120=$B9)*Inputs!$D$5:$D$120*(((Inputs!$G$5:$G$120="moeda")+(Inputs!$G$5:$G$120="acoes"))*Inputs!$B$1+((Inputs!$G$5:$G$120&lt;&gt;"moeda")*(Inputs!$G$5:$G$120&lt;&gt;"acoes")))*INDEX(Inputs!$K$5:$AJ$120,0,MATCH(AC$2,Inputs!$K$4:$AJ$4,0)))+SUMPRODUCT((Inputs!$E$5:$E$120=$B9)*Inputs!$F$5:$F$120*(((Inputs!$G$5:$G$120="moeda")+(Inputs!$G$5:$G$120="acoes"))*Inputs!$B$1+((Inputs!$G$5:$G$120&lt;&gt;"moeda")*(Inputs!$G$5:$G$120&lt;&gt;"acoes")))*INDEX(Inputs!$K$5:$AJ$120,0,MATCH(AC$2,Inputs!$K$4:$AJ$4,0)))))</f>
        <v>-103</v>
      </c>
      <c r="AD9" s="267">
        <f>IF(ISNA(MATCH(AD$2,Inputs!$K$4:$AJ$4,0)),NA(),IF(SUMPRODUCT((Inputs!$A$5:$A$120=$B9)*ISNUMBER(INDEX(Inputs!$K$5:$AJ$120,0,MATCH(AD$2,Inputs!$K$4:$AJ$4,0))))+SUMPRODUCT((Inputs!$C$5:$C$120=$B9)*ISNUMBER(INDEX(Inputs!$K$5:$AJ$120,0,MATCH(AD$2,Inputs!$K$4:$AJ$4,0))))+SUMPRODUCT((Inputs!$E$5:$E$120=$B9)*ISNUMBER(INDEX(Inputs!$K$5:$AJ$120,0,MATCH(AD$2,Inputs!$K$4:$AJ$4,0))))=0,NA(),SUMPRODUCT((Inputs!$A$5:$A$120=$B9)*Inputs!$B$5:$B$120*(((Inputs!$G$5:$G$120="moeda")+(Inputs!$G$5:$G$120="acoes"))*Inputs!$B$1+((Inputs!$G$5:$G$120&lt;&gt;"moeda")*(Inputs!$G$5:$G$120&lt;&gt;"acoes")))*INDEX(Inputs!$K$5:$AJ$120,0,MATCH(AD$2,Inputs!$K$4:$AJ$4,0)))+SUMPRODUCT((Inputs!$C$5:$C$120=$B9)*Inputs!$D$5:$D$120*(((Inputs!$G$5:$G$120="moeda")+(Inputs!$G$5:$G$120="acoes"))*Inputs!$B$1+((Inputs!$G$5:$G$120&lt;&gt;"moeda")*(Inputs!$G$5:$G$120&lt;&gt;"acoes")))*INDEX(Inputs!$K$5:$AJ$120,0,MATCH(AD$2,Inputs!$K$4:$AJ$4,0)))+SUMPRODUCT((Inputs!$E$5:$E$120=$B9)*Inputs!$F$5:$F$120*(((Inputs!$G$5:$G$120="moeda")+(Inputs!$G$5:$G$120="acoes"))*Inputs!$B$1+((Inputs!$G$5:$G$120&lt;&gt;"moeda")*(Inputs!$G$5:$G$120&lt;&gt;"acoes")))*INDEX(Inputs!$K$5:$AJ$120,0,MATCH(AD$2,Inputs!$K$4:$AJ$4,0)))))</f>
        <v>-73</v>
      </c>
      <c r="AE9" s="267" t="e">
        <f>IF(ISNA(MATCH(AE$2,Inputs!$K$4:$AJ$4,0)),NA(),IF(SUMPRODUCT((Inputs!$A$5:$A$120=$B9)*ISNUMBER(INDEX(Inputs!$K$5:$AJ$120,0,MATCH(AE$2,Inputs!$K$4:$AJ$4,0))))+SUMPRODUCT((Inputs!$C$5:$C$120=$B9)*ISNUMBER(INDEX(Inputs!$K$5:$AJ$120,0,MATCH(AE$2,Inputs!$K$4:$AJ$4,0))))+SUMPRODUCT((Inputs!$E$5:$E$120=$B9)*ISNUMBER(INDEX(Inputs!$K$5:$AJ$120,0,MATCH(AE$2,Inputs!$K$4:$AJ$4,0))))=0,NA(),SUMPRODUCT((Inputs!$A$5:$A$120=$B9)*Inputs!$B$5:$B$120*(((Inputs!$G$5:$G$120="moeda")+(Inputs!$G$5:$G$120="acoes"))*Inputs!$B$1+((Inputs!$G$5:$G$120&lt;&gt;"moeda")*(Inputs!$G$5:$G$120&lt;&gt;"acoes")))*INDEX(Inputs!$K$5:$AJ$120,0,MATCH(AE$2,Inputs!$K$4:$AJ$4,0)))+SUMPRODUCT((Inputs!$C$5:$C$120=$B9)*Inputs!$D$5:$D$120*(((Inputs!$G$5:$G$120="moeda")+(Inputs!$G$5:$G$120="acoes"))*Inputs!$B$1+((Inputs!$G$5:$G$120&lt;&gt;"moeda")*(Inputs!$G$5:$G$120&lt;&gt;"acoes")))*INDEX(Inputs!$K$5:$AJ$120,0,MATCH(AE$2,Inputs!$K$4:$AJ$4,0)))+SUMPRODUCT((Inputs!$E$5:$E$120=$B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9" s="267" t="e">
        <f>IF(ISNA(MATCH(AF$2,Inputs!$K$4:$AJ$4,0)),NA(),IF(SUMPRODUCT((Inputs!$A$5:$A$120=$B9)*ISNUMBER(INDEX(Inputs!$K$5:$AJ$120,0,MATCH(AF$2,Inputs!$K$4:$AJ$4,0))))+SUMPRODUCT((Inputs!$C$5:$C$120=$B9)*ISNUMBER(INDEX(Inputs!$K$5:$AJ$120,0,MATCH(AF$2,Inputs!$K$4:$AJ$4,0))))+SUMPRODUCT((Inputs!$E$5:$E$120=$B9)*ISNUMBER(INDEX(Inputs!$K$5:$AJ$120,0,MATCH(AF$2,Inputs!$K$4:$AJ$4,0))))=0,NA(),SUMPRODUCT((Inputs!$A$5:$A$120=$B9)*Inputs!$B$5:$B$120*(((Inputs!$G$5:$G$120="moeda")+(Inputs!$G$5:$G$120="acoes"))*Inputs!$B$1+((Inputs!$G$5:$G$120&lt;&gt;"moeda")*(Inputs!$G$5:$G$120&lt;&gt;"acoes")))*INDEX(Inputs!$K$5:$AJ$120,0,MATCH(AF$2,Inputs!$K$4:$AJ$4,0)))+SUMPRODUCT((Inputs!$C$5:$C$120=$B9)*Inputs!$D$5:$D$120*(((Inputs!$G$5:$G$120="moeda")+(Inputs!$G$5:$G$120="acoes"))*Inputs!$B$1+((Inputs!$G$5:$G$120&lt;&gt;"moeda")*(Inputs!$G$5:$G$120&lt;&gt;"acoes")))*INDEX(Inputs!$K$5:$AJ$120,0,MATCH(AF$2,Inputs!$K$4:$AJ$4,0)))+SUMPRODUCT((Inputs!$E$5:$E$120=$B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9" s="268" t="e">
        <f>SUM(AC9:AF9)</f>
        <v>#N/A</v>
      </c>
      <c r="AH9" s="267">
        <f>IF(ISNA(MATCH(AH$2,Inputs!$K$4:$AJ$4,0)),NA(),IF(SUMPRODUCT((Inputs!$A$5:$A$120=$B9)*ISNUMBER(INDEX(Inputs!$K$5:$AJ$120,0,MATCH(AH$2,Inputs!$K$4:$AJ$4,0))))+SUMPRODUCT((Inputs!$C$5:$C$120=$B9)*ISNUMBER(INDEX(Inputs!$K$5:$AJ$120,0,MATCH(AH$2,Inputs!$K$4:$AJ$4,0))))+SUMPRODUCT((Inputs!$E$5:$E$120=$B9)*ISNUMBER(INDEX(Inputs!$K$5:$AJ$120,0,MATCH(AH$2,Inputs!$K$4:$AJ$4,0))))=0,NA(),SUMPRODUCT((Inputs!$A$5:$A$120=$B9)*Inputs!$B$5:$B$120*(((Inputs!$G$5:$G$120="moeda")+(Inputs!$G$5:$G$120="acoes"))*Inputs!$B$1+((Inputs!$G$5:$G$120&lt;&gt;"moeda")*(Inputs!$G$5:$G$120&lt;&gt;"acoes")))*INDEX(Inputs!$K$5:$AJ$120,0,MATCH(AH$2,Inputs!$K$4:$AJ$4,0)))+SUMPRODUCT((Inputs!$C$5:$C$120=$B9)*Inputs!$D$5:$D$120*(((Inputs!$G$5:$G$120="moeda")+(Inputs!$G$5:$G$120="acoes"))*Inputs!$B$1+((Inputs!$G$5:$G$120&lt;&gt;"moeda")*(Inputs!$G$5:$G$120&lt;&gt;"acoes")))*INDEX(Inputs!$K$5:$AJ$120,0,MATCH(AH$2,Inputs!$K$4:$AJ$4,0)))+SUMPRODUCT((Inputs!$E$5:$E$120=$B9)*Inputs!$F$5:$F$120*(((Inputs!$G$5:$G$120="moeda")+(Inputs!$G$5:$G$120="acoes"))*Inputs!$B$1+((Inputs!$G$5:$G$120&lt;&gt;"moeda")*(Inputs!$G$5:$G$120&lt;&gt;"acoes")))*INDEX(Inputs!$K$5:$AJ$120,0,MATCH(AH$2,Inputs!$K$4:$AJ$4,0)))))</f>
        <v>-139</v>
      </c>
      <c r="AI9" s="267">
        <f>IF(ISNA(MATCH(AI$2,Inputs!$K$4:$AJ$4,0)),NA(),IF(SUMPRODUCT((Inputs!$A$5:$A$120=$B9)*ISNUMBER(INDEX(Inputs!$K$5:$AJ$120,0,MATCH(AI$2,Inputs!$K$4:$AJ$4,0))))+SUMPRODUCT((Inputs!$C$5:$C$120=$B9)*ISNUMBER(INDEX(Inputs!$K$5:$AJ$120,0,MATCH(AI$2,Inputs!$K$4:$AJ$4,0))))+SUMPRODUCT((Inputs!$E$5:$E$120=$B9)*ISNUMBER(INDEX(Inputs!$K$5:$AJ$120,0,MATCH(AI$2,Inputs!$K$4:$AJ$4,0))))=0,NA(),SUMPRODUCT((Inputs!$A$5:$A$120=$B9)*Inputs!$B$5:$B$120*(((Inputs!$G$5:$G$120="moeda")+(Inputs!$G$5:$G$120="acoes"))*Inputs!$B$1+((Inputs!$G$5:$G$120&lt;&gt;"moeda")*(Inputs!$G$5:$G$120&lt;&gt;"acoes")))*INDEX(Inputs!$K$5:$AJ$120,0,MATCH(AI$2,Inputs!$K$4:$AJ$4,0)))+SUMPRODUCT((Inputs!$C$5:$C$120=$B9)*Inputs!$D$5:$D$120*(((Inputs!$G$5:$G$120="moeda")+(Inputs!$G$5:$G$120="acoes"))*Inputs!$B$1+((Inputs!$G$5:$G$120&lt;&gt;"moeda")*(Inputs!$G$5:$G$120&lt;&gt;"acoes")))*INDEX(Inputs!$K$5:$AJ$120,0,MATCH(AI$2,Inputs!$K$4:$AJ$4,0)))+SUMPRODUCT((Inputs!$E$5:$E$120=$B9)*Inputs!$F$5:$F$120*(((Inputs!$G$5:$G$120="moeda")+(Inputs!$G$5:$G$120="acoes"))*Inputs!$B$1+((Inputs!$G$5:$G$120&lt;&gt;"moeda")*(Inputs!$G$5:$G$120&lt;&gt;"acoes")))*INDEX(Inputs!$K$5:$AJ$120,0,MATCH(AI$2,Inputs!$K$4:$AJ$4,0)))))</f>
        <v>-104</v>
      </c>
      <c r="AJ9" s="267">
        <f>IF(ISNA(MATCH(AJ$2,Inputs!$K$4:$AJ$4,0)),NA(),IF(SUMPRODUCT((Inputs!$A$5:$A$120=$B9)*ISNUMBER(INDEX(Inputs!$K$5:$AJ$120,0,MATCH(AJ$2,Inputs!$K$4:$AJ$4,0))))+SUMPRODUCT((Inputs!$C$5:$C$120=$B9)*ISNUMBER(INDEX(Inputs!$K$5:$AJ$120,0,MATCH(AJ$2,Inputs!$K$4:$AJ$4,0))))+SUMPRODUCT((Inputs!$E$5:$E$120=$B9)*ISNUMBER(INDEX(Inputs!$K$5:$AJ$120,0,MATCH(AJ$2,Inputs!$K$4:$AJ$4,0))))=0,NA(),SUMPRODUCT((Inputs!$A$5:$A$120=$B9)*Inputs!$B$5:$B$120*(((Inputs!$G$5:$G$120="moeda")+(Inputs!$G$5:$G$120="acoes"))*Inputs!$B$1+((Inputs!$G$5:$G$120&lt;&gt;"moeda")*(Inputs!$G$5:$G$120&lt;&gt;"acoes")))*INDEX(Inputs!$K$5:$AJ$120,0,MATCH(AJ$2,Inputs!$K$4:$AJ$4,0)))+SUMPRODUCT((Inputs!$C$5:$C$120=$B9)*Inputs!$D$5:$D$120*(((Inputs!$G$5:$G$120="moeda")+(Inputs!$G$5:$G$120="acoes"))*Inputs!$B$1+((Inputs!$G$5:$G$120&lt;&gt;"moeda")*(Inputs!$G$5:$G$120&lt;&gt;"acoes")))*INDEX(Inputs!$K$5:$AJ$120,0,MATCH(AJ$2,Inputs!$K$4:$AJ$4,0)))+SUMPRODUCT((Inputs!$E$5:$E$120=$B9)*Inputs!$F$5:$F$120*(((Inputs!$G$5:$G$120="moeda")+(Inputs!$G$5:$G$120="acoes"))*Inputs!$B$1+((Inputs!$G$5:$G$120&lt;&gt;"moeda")*(Inputs!$G$5:$G$120&lt;&gt;"acoes")))*INDEX(Inputs!$K$5:$AJ$120,0,MATCH(AJ$2,Inputs!$K$4:$AJ$4,0)))))</f>
        <v>-157</v>
      </c>
      <c r="AK9" s="267">
        <f>IF(ISNA(MATCH(AK$2,Inputs!$K$4:$AJ$4,0)),NA(),IF(SUMPRODUCT((Inputs!$A$5:$A$120=$B9)*ISNUMBER(INDEX(Inputs!$K$5:$AJ$120,0,MATCH(AK$2,Inputs!$K$4:$AJ$4,0))))+SUMPRODUCT((Inputs!$C$5:$C$120=$B9)*ISNUMBER(INDEX(Inputs!$K$5:$AJ$120,0,MATCH(AK$2,Inputs!$K$4:$AJ$4,0))))+SUMPRODUCT((Inputs!$E$5:$E$120=$B9)*ISNUMBER(INDEX(Inputs!$K$5:$AJ$120,0,MATCH(AK$2,Inputs!$K$4:$AJ$4,0))))=0,NA(),SUMPRODUCT((Inputs!$A$5:$A$120=$B9)*Inputs!$B$5:$B$120*(((Inputs!$G$5:$G$120="moeda")+(Inputs!$G$5:$G$120="acoes"))*Inputs!$B$1+((Inputs!$G$5:$G$120&lt;&gt;"moeda")*(Inputs!$G$5:$G$120&lt;&gt;"acoes")))*INDEX(Inputs!$K$5:$AJ$120,0,MATCH(AK$2,Inputs!$K$4:$AJ$4,0)))+SUMPRODUCT((Inputs!$C$5:$C$120=$B9)*Inputs!$D$5:$D$120*(((Inputs!$G$5:$G$120="moeda")+(Inputs!$G$5:$G$120="acoes"))*Inputs!$B$1+((Inputs!$G$5:$G$120&lt;&gt;"moeda")*(Inputs!$G$5:$G$120&lt;&gt;"acoes")))*INDEX(Inputs!$K$5:$AJ$120,0,MATCH(AK$2,Inputs!$K$4:$AJ$4,0)))+SUMPRODUCT((Inputs!$E$5:$E$120=$B9)*Inputs!$F$5:$F$120*(((Inputs!$G$5:$G$120="moeda")+(Inputs!$G$5:$G$120="acoes"))*Inputs!$B$1+((Inputs!$G$5:$G$120&lt;&gt;"moeda")*(Inputs!$G$5:$G$120&lt;&gt;"acoes")))*INDEX(Inputs!$K$5:$AJ$120,0,MATCH(AK$2,Inputs!$K$4:$AJ$4,0)))))</f>
        <v>-240</v>
      </c>
      <c r="AL9" s="268">
        <f>SUM(AH9:AK9)</f>
        <v>-640</v>
      </c>
    </row>
    <row r="10" ht="12.75" customHeight="1" s="255">
      <c r="B10" s="265" t="n">
        <v>7</v>
      </c>
      <c r="C10" s="270" t="inlineStr">
        <is>
          <t>Taxes</t>
        </is>
      </c>
      <c r="D10" s="267">
        <f>IF(ISNA(MATCH(D$2,Inputs!$K$4:$AJ$4,0)),NA(),IF(SUMPRODUCT((Inputs!$A$5:$A$120=$B10)*ISNUMBER(INDEX(Inputs!$K$5:$AJ$120,0,MATCH(D$2,Inputs!$K$4:$AJ$4,0))))+SUMPRODUCT((Inputs!$C$5:$C$120=$B10)*ISNUMBER(INDEX(Inputs!$K$5:$AJ$120,0,MATCH(D$2,Inputs!$K$4:$AJ$4,0))))+SUMPRODUCT((Inputs!$E$5:$E$120=$B10)*ISNUMBER(INDEX(Inputs!$K$5:$AJ$120,0,MATCH(D$2,Inputs!$K$4:$AJ$4,0))))=0,NA(),SUMPRODUCT((Inputs!$A$5:$A$120=$B10)*Inputs!$B$5:$B$120*(((Inputs!$G$5:$G$120="moeda")+(Inputs!$G$5:$G$120="acoes"))*Inputs!$B$1+((Inputs!$G$5:$G$120&lt;&gt;"moeda")*(Inputs!$G$5:$G$120&lt;&gt;"acoes")))*INDEX(Inputs!$K$5:$AJ$120,0,MATCH(D$2,Inputs!$K$4:$AJ$4,0)))+SUMPRODUCT((Inputs!$C$5:$C$120=$B10)*Inputs!$D$5:$D$120*(((Inputs!$G$5:$G$120="moeda")+(Inputs!$G$5:$G$120="acoes"))*Inputs!$B$1+((Inputs!$G$5:$G$120&lt;&gt;"moeda")*(Inputs!$G$5:$G$120&lt;&gt;"acoes")))*INDEX(Inputs!$K$5:$AJ$120,0,MATCH(D$2,Inputs!$K$4:$AJ$4,0)))+SUMPRODUCT((Inputs!$E$5:$E$120=$B10)*Inputs!$F$5:$F$120*(((Inputs!$G$5:$G$120="moeda")+(Inputs!$G$5:$G$120="acoes"))*Inputs!$B$1+((Inputs!$G$5:$G$120&lt;&gt;"moeda")*(Inputs!$G$5:$G$120&lt;&gt;"acoes")))*INDEX(Inputs!$K$5:$AJ$120,0,MATCH(D$2,Inputs!$K$4:$AJ$4,0)))))</f>
        <v>-443</v>
      </c>
      <c r="E10" s="267">
        <f>IF(ISNA(MATCH(E$2,Inputs!$K$4:$AJ$4,0)),NA(),IF(SUMPRODUCT((Inputs!$A$5:$A$120=$B10)*ISNUMBER(INDEX(Inputs!$K$5:$AJ$120,0,MATCH(E$2,Inputs!$K$4:$AJ$4,0))))+SUMPRODUCT((Inputs!$C$5:$C$120=$B10)*ISNUMBER(INDEX(Inputs!$K$5:$AJ$120,0,MATCH(E$2,Inputs!$K$4:$AJ$4,0))))+SUMPRODUCT((Inputs!$E$5:$E$120=$B10)*ISNUMBER(INDEX(Inputs!$K$5:$AJ$120,0,MATCH(E$2,Inputs!$K$4:$AJ$4,0))))=0,NA(),SUMPRODUCT((Inputs!$A$5:$A$120=$B10)*Inputs!$B$5:$B$120*(((Inputs!$G$5:$G$120="moeda")+(Inputs!$G$5:$G$120="acoes"))*Inputs!$B$1+((Inputs!$G$5:$G$120&lt;&gt;"moeda")*(Inputs!$G$5:$G$120&lt;&gt;"acoes")))*INDEX(Inputs!$K$5:$AJ$120,0,MATCH(E$2,Inputs!$K$4:$AJ$4,0)))+SUMPRODUCT((Inputs!$C$5:$C$120=$B10)*Inputs!$D$5:$D$120*(((Inputs!$G$5:$G$120="moeda")+(Inputs!$G$5:$G$120="acoes"))*Inputs!$B$1+((Inputs!$G$5:$G$120&lt;&gt;"moeda")*(Inputs!$G$5:$G$120&lt;&gt;"acoes")))*INDEX(Inputs!$K$5:$AJ$120,0,MATCH(E$2,Inputs!$K$4:$AJ$4,0)))+SUMPRODUCT((Inputs!$E$5:$E$120=$B10)*Inputs!$F$5:$F$120*(((Inputs!$G$5:$G$120="moeda")+(Inputs!$G$5:$G$120="acoes"))*Inputs!$B$1+((Inputs!$G$5:$G$120&lt;&gt;"moeda")*(Inputs!$G$5:$G$120&lt;&gt;"acoes")))*INDEX(Inputs!$K$5:$AJ$120,0,MATCH(E$2,Inputs!$K$4:$AJ$4,0)))))</f>
        <v>-603</v>
      </c>
      <c r="F10" s="267">
        <f>IF(ISNA(MATCH(F$2,Inputs!$K$4:$AJ$4,0)),NA(),IF(SUMPRODUCT((Inputs!$A$5:$A$120=$B10)*ISNUMBER(INDEX(Inputs!$K$5:$AJ$120,0,MATCH(F$2,Inputs!$K$4:$AJ$4,0))))+SUMPRODUCT((Inputs!$C$5:$C$120=$B10)*ISNUMBER(INDEX(Inputs!$K$5:$AJ$120,0,MATCH(F$2,Inputs!$K$4:$AJ$4,0))))+SUMPRODUCT((Inputs!$E$5:$E$120=$B10)*ISNUMBER(INDEX(Inputs!$K$5:$AJ$120,0,MATCH(F$2,Inputs!$K$4:$AJ$4,0))))=0,NA(),SUMPRODUCT((Inputs!$A$5:$A$120=$B10)*Inputs!$B$5:$B$120*(((Inputs!$G$5:$G$120="moeda")+(Inputs!$G$5:$G$120="acoes"))*Inputs!$B$1+((Inputs!$G$5:$G$120&lt;&gt;"moeda")*(Inputs!$G$5:$G$120&lt;&gt;"acoes")))*INDEX(Inputs!$K$5:$AJ$120,0,MATCH(F$2,Inputs!$K$4:$AJ$4,0)))+SUMPRODUCT((Inputs!$C$5:$C$120=$B10)*Inputs!$D$5:$D$120*(((Inputs!$G$5:$G$120="moeda")+(Inputs!$G$5:$G$120="acoes"))*Inputs!$B$1+((Inputs!$G$5:$G$120&lt;&gt;"moeda")*(Inputs!$G$5:$G$120&lt;&gt;"acoes")))*INDEX(Inputs!$K$5:$AJ$120,0,MATCH(F$2,Inputs!$K$4:$AJ$4,0)))+SUMPRODUCT((Inputs!$E$5:$E$120=$B10)*Inputs!$F$5:$F$120*(((Inputs!$G$5:$G$120="moeda")+(Inputs!$G$5:$G$120="acoes"))*Inputs!$B$1+((Inputs!$G$5:$G$120&lt;&gt;"moeda")*(Inputs!$G$5:$G$120&lt;&gt;"acoes")))*INDEX(Inputs!$K$5:$AJ$120,0,MATCH(F$2,Inputs!$K$4:$AJ$4,0)))))</f>
        <v>-628</v>
      </c>
      <c r="G10" s="267">
        <f>IF(ISNA(MATCH(G$2,Inputs!$K$4:$AJ$4,0)),NA(),IF(SUMPRODUCT((Inputs!$A$5:$A$120=$B10)*ISNUMBER(INDEX(Inputs!$K$5:$AJ$120,0,MATCH(G$2,Inputs!$K$4:$AJ$4,0))))+SUMPRODUCT((Inputs!$C$5:$C$120=$B10)*ISNUMBER(INDEX(Inputs!$K$5:$AJ$120,0,MATCH(G$2,Inputs!$K$4:$AJ$4,0))))+SUMPRODUCT((Inputs!$E$5:$E$120=$B10)*ISNUMBER(INDEX(Inputs!$K$5:$AJ$120,0,MATCH(G$2,Inputs!$K$4:$AJ$4,0))))=0,NA(),SUMPRODUCT((Inputs!$A$5:$A$120=$B10)*Inputs!$B$5:$B$120*(((Inputs!$G$5:$G$120="moeda")+(Inputs!$G$5:$G$120="acoes"))*Inputs!$B$1+((Inputs!$G$5:$G$120&lt;&gt;"moeda")*(Inputs!$G$5:$G$120&lt;&gt;"acoes")))*INDEX(Inputs!$K$5:$AJ$120,0,MATCH(G$2,Inputs!$K$4:$AJ$4,0)))+SUMPRODUCT((Inputs!$C$5:$C$120=$B10)*Inputs!$D$5:$D$120*(((Inputs!$G$5:$G$120="moeda")+(Inputs!$G$5:$G$120="acoes"))*Inputs!$B$1+((Inputs!$G$5:$G$120&lt;&gt;"moeda")*(Inputs!$G$5:$G$120&lt;&gt;"acoes")))*INDEX(Inputs!$K$5:$AJ$120,0,MATCH(G$2,Inputs!$K$4:$AJ$4,0)))+SUMPRODUCT((Inputs!$E$5:$E$120=$B10)*Inputs!$F$5:$F$120*(((Inputs!$G$5:$G$120="moeda")+(Inputs!$G$5:$G$120="acoes"))*Inputs!$B$1+((Inputs!$G$5:$G$120&lt;&gt;"moeda")*(Inputs!$G$5:$G$120&lt;&gt;"acoes")))*INDEX(Inputs!$K$5:$AJ$120,0,MATCH(G$2,Inputs!$K$4:$AJ$4,0)))))</f>
        <v>-625</v>
      </c>
      <c r="H10" s="268">
        <f>SUM(D10:G10)</f>
        <v>-2299</v>
      </c>
      <c r="I10" s="267">
        <f>IF(ISNA(MATCH(I$2,Inputs!$K$4:$AJ$4,0)),NA(),IF(SUMPRODUCT((Inputs!$A$5:$A$120=$B10)*ISNUMBER(INDEX(Inputs!$K$5:$AJ$120,0,MATCH(I$2,Inputs!$K$4:$AJ$4,0))))+SUMPRODUCT((Inputs!$C$5:$C$120=$B10)*ISNUMBER(INDEX(Inputs!$K$5:$AJ$120,0,MATCH(I$2,Inputs!$K$4:$AJ$4,0))))+SUMPRODUCT((Inputs!$E$5:$E$120=$B10)*ISNUMBER(INDEX(Inputs!$K$5:$AJ$120,0,MATCH(I$2,Inputs!$K$4:$AJ$4,0))))=0,NA(),SUMPRODUCT((Inputs!$A$5:$A$120=$B10)*Inputs!$B$5:$B$120*(((Inputs!$G$5:$G$120="moeda")+(Inputs!$G$5:$G$120="acoes"))*Inputs!$B$1+((Inputs!$G$5:$G$120&lt;&gt;"moeda")*(Inputs!$G$5:$G$120&lt;&gt;"acoes")))*INDEX(Inputs!$K$5:$AJ$120,0,MATCH(I$2,Inputs!$K$4:$AJ$4,0)))+SUMPRODUCT((Inputs!$C$5:$C$120=$B10)*Inputs!$D$5:$D$120*(((Inputs!$G$5:$G$120="moeda")+(Inputs!$G$5:$G$120="acoes"))*Inputs!$B$1+((Inputs!$G$5:$G$120&lt;&gt;"moeda")*(Inputs!$G$5:$G$120&lt;&gt;"acoes")))*INDEX(Inputs!$K$5:$AJ$120,0,MATCH(I$2,Inputs!$K$4:$AJ$4,0)))+SUMPRODUCT((Inputs!$E$5:$E$120=$B10)*Inputs!$F$5:$F$120*(((Inputs!$G$5:$G$120="moeda")+(Inputs!$G$5:$G$120="acoes"))*Inputs!$B$1+((Inputs!$G$5:$G$120&lt;&gt;"moeda")*(Inputs!$G$5:$G$120&lt;&gt;"acoes")))*INDEX(Inputs!$K$5:$AJ$120,0,MATCH(I$2,Inputs!$K$4:$AJ$4,0)))))</f>
        <v>-824</v>
      </c>
      <c r="J10" s="267">
        <f>IF(ISNA(MATCH(J$2,Inputs!$K$4:$AJ$4,0)),NA(),IF(SUMPRODUCT((Inputs!$A$5:$A$120=$B10)*ISNUMBER(INDEX(Inputs!$K$5:$AJ$120,0,MATCH(J$2,Inputs!$K$4:$AJ$4,0))))+SUMPRODUCT((Inputs!$C$5:$C$120=$B10)*ISNUMBER(INDEX(Inputs!$K$5:$AJ$120,0,MATCH(J$2,Inputs!$K$4:$AJ$4,0))))+SUMPRODUCT((Inputs!$E$5:$E$120=$B10)*ISNUMBER(INDEX(Inputs!$K$5:$AJ$120,0,MATCH(J$2,Inputs!$K$4:$AJ$4,0))))=0,NA(),SUMPRODUCT((Inputs!$A$5:$A$120=$B10)*Inputs!$B$5:$B$120*(((Inputs!$G$5:$G$120="moeda")+(Inputs!$G$5:$G$120="acoes"))*Inputs!$B$1+((Inputs!$G$5:$G$120&lt;&gt;"moeda")*(Inputs!$G$5:$G$120&lt;&gt;"acoes")))*INDEX(Inputs!$K$5:$AJ$120,0,MATCH(J$2,Inputs!$K$4:$AJ$4,0)))+SUMPRODUCT((Inputs!$C$5:$C$120=$B10)*Inputs!$D$5:$D$120*(((Inputs!$G$5:$G$120="moeda")+(Inputs!$G$5:$G$120="acoes"))*Inputs!$B$1+((Inputs!$G$5:$G$120&lt;&gt;"moeda")*(Inputs!$G$5:$G$120&lt;&gt;"acoes")))*INDEX(Inputs!$K$5:$AJ$120,0,MATCH(J$2,Inputs!$K$4:$AJ$4,0)))+SUMPRODUCT((Inputs!$E$5:$E$120=$B10)*Inputs!$F$5:$F$120*(((Inputs!$G$5:$G$120="moeda")+(Inputs!$G$5:$G$120="acoes"))*Inputs!$B$1+((Inputs!$G$5:$G$120&lt;&gt;"moeda")*(Inputs!$G$5:$G$120&lt;&gt;"acoes")))*INDEX(Inputs!$K$5:$AJ$120,0,MATCH(J$2,Inputs!$K$4:$AJ$4,0)))))</f>
        <v>-571</v>
      </c>
      <c r="K10" s="267">
        <f>IF(ISNA(MATCH(K$2,Inputs!$K$4:$AJ$4,0)),NA(),IF(SUMPRODUCT((Inputs!$A$5:$A$120=$B10)*ISNUMBER(INDEX(Inputs!$K$5:$AJ$120,0,MATCH(K$2,Inputs!$K$4:$AJ$4,0))))+SUMPRODUCT((Inputs!$C$5:$C$120=$B10)*ISNUMBER(INDEX(Inputs!$K$5:$AJ$120,0,MATCH(K$2,Inputs!$K$4:$AJ$4,0))))+SUMPRODUCT((Inputs!$E$5:$E$120=$B10)*ISNUMBER(INDEX(Inputs!$K$5:$AJ$120,0,MATCH(K$2,Inputs!$K$4:$AJ$4,0))))=0,NA(),SUMPRODUCT((Inputs!$A$5:$A$120=$B10)*Inputs!$B$5:$B$120*(((Inputs!$G$5:$G$120="moeda")+(Inputs!$G$5:$G$120="acoes"))*Inputs!$B$1+((Inputs!$G$5:$G$120&lt;&gt;"moeda")*(Inputs!$G$5:$G$120&lt;&gt;"acoes")))*INDEX(Inputs!$K$5:$AJ$120,0,MATCH(K$2,Inputs!$K$4:$AJ$4,0)))+SUMPRODUCT((Inputs!$C$5:$C$120=$B10)*Inputs!$D$5:$D$120*(((Inputs!$G$5:$G$120="moeda")+(Inputs!$G$5:$G$120="acoes"))*Inputs!$B$1+((Inputs!$G$5:$G$120&lt;&gt;"moeda")*(Inputs!$G$5:$G$120&lt;&gt;"acoes")))*INDEX(Inputs!$K$5:$AJ$120,0,MATCH(K$2,Inputs!$K$4:$AJ$4,0)))+SUMPRODUCT((Inputs!$E$5:$E$120=$B10)*Inputs!$F$5:$F$120*(((Inputs!$G$5:$G$120="moeda")+(Inputs!$G$5:$G$120="acoes"))*Inputs!$B$1+((Inputs!$G$5:$G$120&lt;&gt;"moeda")*(Inputs!$G$5:$G$120&lt;&gt;"acoes")))*INDEX(Inputs!$K$5:$AJ$120,0,MATCH(K$2,Inputs!$K$4:$AJ$4,0)))))</f>
        <v>-315</v>
      </c>
      <c r="L10" s="267">
        <f>IF(ISNA(MATCH(L$2,Inputs!$K$4:$AJ$4,0)),NA(),IF(SUMPRODUCT((Inputs!$A$5:$A$120=$B10)*ISNUMBER(INDEX(Inputs!$K$5:$AJ$120,0,MATCH(L$2,Inputs!$K$4:$AJ$4,0))))+SUMPRODUCT((Inputs!$C$5:$C$120=$B10)*ISNUMBER(INDEX(Inputs!$K$5:$AJ$120,0,MATCH(L$2,Inputs!$K$4:$AJ$4,0))))+SUMPRODUCT((Inputs!$E$5:$E$120=$B10)*ISNUMBER(INDEX(Inputs!$K$5:$AJ$120,0,MATCH(L$2,Inputs!$K$4:$AJ$4,0))))=0,NA(),SUMPRODUCT((Inputs!$A$5:$A$120=$B10)*Inputs!$B$5:$B$120*(((Inputs!$G$5:$G$120="moeda")+(Inputs!$G$5:$G$120="acoes"))*Inputs!$B$1+((Inputs!$G$5:$G$120&lt;&gt;"moeda")*(Inputs!$G$5:$G$120&lt;&gt;"acoes")))*INDEX(Inputs!$K$5:$AJ$120,0,MATCH(L$2,Inputs!$K$4:$AJ$4,0)))+SUMPRODUCT((Inputs!$C$5:$C$120=$B10)*Inputs!$D$5:$D$120*(((Inputs!$G$5:$G$120="moeda")+(Inputs!$G$5:$G$120="acoes"))*Inputs!$B$1+((Inputs!$G$5:$G$120&lt;&gt;"moeda")*(Inputs!$G$5:$G$120&lt;&gt;"acoes")))*INDEX(Inputs!$K$5:$AJ$120,0,MATCH(L$2,Inputs!$K$4:$AJ$4,0)))+SUMPRODUCT((Inputs!$E$5:$E$120=$B10)*Inputs!$F$5:$F$120*(((Inputs!$G$5:$G$120="moeda")+(Inputs!$G$5:$G$120="acoes"))*Inputs!$B$1+((Inputs!$G$5:$G$120&lt;&gt;"moeda")*(Inputs!$G$5:$G$120&lt;&gt;"acoes")))*INDEX(Inputs!$K$5:$AJ$120,0,MATCH(L$2,Inputs!$K$4:$AJ$4,0)))))</f>
        <v>-557</v>
      </c>
      <c r="M10" s="268">
        <f>SUM(I10:L10)</f>
        <v>-2267</v>
      </c>
      <c r="N10" s="267">
        <f>IF(ISNA(MATCH(N$2,Inputs!$K$4:$AJ$4,0)),NA(),IF(SUMPRODUCT((Inputs!$A$5:$A$120=$B10)*ISNUMBER(INDEX(Inputs!$K$5:$AJ$120,0,MATCH(N$2,Inputs!$K$4:$AJ$4,0))))+SUMPRODUCT((Inputs!$C$5:$C$120=$B10)*ISNUMBER(INDEX(Inputs!$K$5:$AJ$120,0,MATCH(N$2,Inputs!$K$4:$AJ$4,0))))+SUMPRODUCT((Inputs!$E$5:$E$120=$B10)*ISNUMBER(INDEX(Inputs!$K$5:$AJ$120,0,MATCH(N$2,Inputs!$K$4:$AJ$4,0))))=0,NA(),SUMPRODUCT((Inputs!$A$5:$A$120=$B10)*Inputs!$B$5:$B$120*(((Inputs!$G$5:$G$120="moeda")+(Inputs!$G$5:$G$120="acoes"))*Inputs!$B$1+((Inputs!$G$5:$G$120&lt;&gt;"moeda")*(Inputs!$G$5:$G$120&lt;&gt;"acoes")))*INDEX(Inputs!$K$5:$AJ$120,0,MATCH(N$2,Inputs!$K$4:$AJ$4,0)))+SUMPRODUCT((Inputs!$C$5:$C$120=$B10)*Inputs!$D$5:$D$120*(((Inputs!$G$5:$G$120="moeda")+(Inputs!$G$5:$G$120="acoes"))*Inputs!$B$1+((Inputs!$G$5:$G$120&lt;&gt;"moeda")*(Inputs!$G$5:$G$120&lt;&gt;"acoes")))*INDEX(Inputs!$K$5:$AJ$120,0,MATCH(N$2,Inputs!$K$4:$AJ$4,0)))+SUMPRODUCT((Inputs!$E$5:$E$120=$B10)*Inputs!$F$5:$F$120*(((Inputs!$G$5:$G$120="moeda")+(Inputs!$G$5:$G$120="acoes"))*Inputs!$B$1+((Inputs!$G$5:$G$120&lt;&gt;"moeda")*(Inputs!$G$5:$G$120&lt;&gt;"acoes")))*INDEX(Inputs!$K$5:$AJ$120,0,MATCH(N$2,Inputs!$K$4:$AJ$4,0)))))</f>
        <v>-499</v>
      </c>
      <c r="O10" s="267">
        <f>IF(ISNA(MATCH(O$2,Inputs!$K$4:$AJ$4,0)),NA(),IF(SUMPRODUCT((Inputs!$A$5:$A$120=$B10)*ISNUMBER(INDEX(Inputs!$K$5:$AJ$120,0,MATCH(O$2,Inputs!$K$4:$AJ$4,0))))+SUMPRODUCT((Inputs!$C$5:$C$120=$B10)*ISNUMBER(INDEX(Inputs!$K$5:$AJ$120,0,MATCH(O$2,Inputs!$K$4:$AJ$4,0))))+SUMPRODUCT((Inputs!$E$5:$E$120=$B10)*ISNUMBER(INDEX(Inputs!$K$5:$AJ$120,0,MATCH(O$2,Inputs!$K$4:$AJ$4,0))))=0,NA(),SUMPRODUCT((Inputs!$A$5:$A$120=$B10)*Inputs!$B$5:$B$120*(((Inputs!$G$5:$G$120="moeda")+(Inputs!$G$5:$G$120="acoes"))*Inputs!$B$1+((Inputs!$G$5:$G$120&lt;&gt;"moeda")*(Inputs!$G$5:$G$120&lt;&gt;"acoes")))*INDEX(Inputs!$K$5:$AJ$120,0,MATCH(O$2,Inputs!$K$4:$AJ$4,0)))+SUMPRODUCT((Inputs!$C$5:$C$120=$B10)*Inputs!$D$5:$D$120*(((Inputs!$G$5:$G$120="moeda")+(Inputs!$G$5:$G$120="acoes"))*Inputs!$B$1+((Inputs!$G$5:$G$120&lt;&gt;"moeda")*(Inputs!$G$5:$G$120&lt;&gt;"acoes")))*INDEX(Inputs!$K$5:$AJ$120,0,MATCH(O$2,Inputs!$K$4:$AJ$4,0)))+SUMPRODUCT((Inputs!$E$5:$E$120=$B10)*Inputs!$F$5:$F$120*(((Inputs!$G$5:$G$120="moeda")+(Inputs!$G$5:$G$120="acoes"))*Inputs!$B$1+((Inputs!$G$5:$G$120&lt;&gt;"moeda")*(Inputs!$G$5:$G$120&lt;&gt;"acoes")))*INDEX(Inputs!$K$5:$AJ$120,0,MATCH(O$2,Inputs!$K$4:$AJ$4,0)))))</f>
        <v>-539</v>
      </c>
      <c r="P10" s="267">
        <f>IF(ISNA(MATCH(P$2,Inputs!$K$4:$AJ$4,0)),NA(),IF(SUMPRODUCT((Inputs!$A$5:$A$120=$B10)*ISNUMBER(INDEX(Inputs!$K$5:$AJ$120,0,MATCH(P$2,Inputs!$K$4:$AJ$4,0))))+SUMPRODUCT((Inputs!$C$5:$C$120=$B10)*ISNUMBER(INDEX(Inputs!$K$5:$AJ$120,0,MATCH(P$2,Inputs!$K$4:$AJ$4,0))))+SUMPRODUCT((Inputs!$E$5:$E$120=$B10)*ISNUMBER(INDEX(Inputs!$K$5:$AJ$120,0,MATCH(P$2,Inputs!$K$4:$AJ$4,0))))=0,NA(),SUMPRODUCT((Inputs!$A$5:$A$120=$B10)*Inputs!$B$5:$B$120*(((Inputs!$G$5:$G$120="moeda")+(Inputs!$G$5:$G$120="acoes"))*Inputs!$B$1+((Inputs!$G$5:$G$120&lt;&gt;"moeda")*(Inputs!$G$5:$G$120&lt;&gt;"acoes")))*INDEX(Inputs!$K$5:$AJ$120,0,MATCH(P$2,Inputs!$K$4:$AJ$4,0)))+SUMPRODUCT((Inputs!$C$5:$C$120=$B10)*Inputs!$D$5:$D$120*(((Inputs!$G$5:$G$120="moeda")+(Inputs!$G$5:$G$120="acoes"))*Inputs!$B$1+((Inputs!$G$5:$G$120&lt;&gt;"moeda")*(Inputs!$G$5:$G$120&lt;&gt;"acoes")))*INDEX(Inputs!$K$5:$AJ$120,0,MATCH(P$2,Inputs!$K$4:$AJ$4,0)))+SUMPRODUCT((Inputs!$E$5:$E$120=$B10)*Inputs!$F$5:$F$120*(((Inputs!$G$5:$G$120="moeda")+(Inputs!$G$5:$G$120="acoes"))*Inputs!$B$1+((Inputs!$G$5:$G$120&lt;&gt;"moeda")*(Inputs!$G$5:$G$120&lt;&gt;"acoes")))*INDEX(Inputs!$K$5:$AJ$120,0,MATCH(P$2,Inputs!$K$4:$AJ$4,0)))))</f>
        <v>-508</v>
      </c>
      <c r="Q10" s="267">
        <f>IF(ISNA(MATCH(Q$2,Inputs!$K$4:$AJ$4,0)),NA(),IF(SUMPRODUCT((Inputs!$A$5:$A$120=$B10)*ISNUMBER(INDEX(Inputs!$K$5:$AJ$120,0,MATCH(Q$2,Inputs!$K$4:$AJ$4,0))))+SUMPRODUCT((Inputs!$C$5:$C$120=$B10)*ISNUMBER(INDEX(Inputs!$K$5:$AJ$120,0,MATCH(Q$2,Inputs!$K$4:$AJ$4,0))))+SUMPRODUCT((Inputs!$E$5:$E$120=$B10)*ISNUMBER(INDEX(Inputs!$K$5:$AJ$120,0,MATCH(Q$2,Inputs!$K$4:$AJ$4,0))))=0,NA(),SUMPRODUCT((Inputs!$A$5:$A$120=$B10)*Inputs!$B$5:$B$120*(((Inputs!$G$5:$G$120="moeda")+(Inputs!$G$5:$G$120="acoes"))*Inputs!$B$1+((Inputs!$G$5:$G$120&lt;&gt;"moeda")*(Inputs!$G$5:$G$120&lt;&gt;"acoes")))*INDEX(Inputs!$K$5:$AJ$120,0,MATCH(Q$2,Inputs!$K$4:$AJ$4,0)))+SUMPRODUCT((Inputs!$C$5:$C$120=$B10)*Inputs!$D$5:$D$120*(((Inputs!$G$5:$G$120="moeda")+(Inputs!$G$5:$G$120="acoes"))*Inputs!$B$1+((Inputs!$G$5:$G$120&lt;&gt;"moeda")*(Inputs!$G$5:$G$120&lt;&gt;"acoes")))*INDEX(Inputs!$K$5:$AJ$120,0,MATCH(Q$2,Inputs!$K$4:$AJ$4,0)))+SUMPRODUCT((Inputs!$E$5:$E$120=$B10)*Inputs!$F$5:$F$120*(((Inputs!$G$5:$G$120="moeda")+(Inputs!$G$5:$G$120="acoes"))*Inputs!$B$1+((Inputs!$G$5:$G$120&lt;&gt;"moeda")*(Inputs!$G$5:$G$120&lt;&gt;"acoes")))*INDEX(Inputs!$K$5:$AJ$120,0,MATCH(Q$2,Inputs!$K$4:$AJ$4,0)))))</f>
        <v>-724</v>
      </c>
      <c r="R10" s="268">
        <f>SUM(N10:Q10)</f>
        <v>-2270</v>
      </c>
      <c r="S10" s="267">
        <f>IF(ISNA(MATCH(S$2,Inputs!$K$4:$AJ$4,0)),NA(),IF(SUMPRODUCT((Inputs!$A$5:$A$120=$B10)*ISNUMBER(INDEX(Inputs!$K$5:$AJ$120,0,MATCH(S$2,Inputs!$K$4:$AJ$4,0))))+SUMPRODUCT((Inputs!$C$5:$C$120=$B10)*ISNUMBER(INDEX(Inputs!$K$5:$AJ$120,0,MATCH(S$2,Inputs!$K$4:$AJ$4,0))))+SUMPRODUCT((Inputs!$E$5:$E$120=$B10)*ISNUMBER(INDEX(Inputs!$K$5:$AJ$120,0,MATCH(S$2,Inputs!$K$4:$AJ$4,0))))=0,NA(),SUMPRODUCT((Inputs!$A$5:$A$120=$B10)*Inputs!$B$5:$B$120*(((Inputs!$G$5:$G$120="moeda")+(Inputs!$G$5:$G$120="acoes"))*Inputs!$B$1+((Inputs!$G$5:$G$120&lt;&gt;"moeda")*(Inputs!$G$5:$G$120&lt;&gt;"acoes")))*INDEX(Inputs!$K$5:$AJ$120,0,MATCH(S$2,Inputs!$K$4:$AJ$4,0)))+SUMPRODUCT((Inputs!$C$5:$C$120=$B10)*Inputs!$D$5:$D$120*(((Inputs!$G$5:$G$120="moeda")+(Inputs!$G$5:$G$120="acoes"))*Inputs!$B$1+((Inputs!$G$5:$G$120&lt;&gt;"moeda")*(Inputs!$G$5:$G$120&lt;&gt;"acoes")))*INDEX(Inputs!$K$5:$AJ$120,0,MATCH(S$2,Inputs!$K$4:$AJ$4,0)))+SUMPRODUCT((Inputs!$E$5:$E$120=$B10)*Inputs!$F$5:$F$120*(((Inputs!$G$5:$G$120="moeda")+(Inputs!$G$5:$G$120="acoes"))*Inputs!$B$1+((Inputs!$G$5:$G$120&lt;&gt;"moeda")*(Inputs!$G$5:$G$120&lt;&gt;"acoes")))*INDEX(Inputs!$K$5:$AJ$120,0,MATCH(S$2,Inputs!$K$4:$AJ$4,0)))))</f>
        <v>-512</v>
      </c>
      <c r="T10" s="267">
        <f>IF(ISNA(MATCH(T$2,Inputs!$K$4:$AJ$4,0)),NA(),IF(SUMPRODUCT((Inputs!$A$5:$A$120=$B10)*ISNUMBER(INDEX(Inputs!$K$5:$AJ$120,0,MATCH(T$2,Inputs!$K$4:$AJ$4,0))))+SUMPRODUCT((Inputs!$C$5:$C$120=$B10)*ISNUMBER(INDEX(Inputs!$K$5:$AJ$120,0,MATCH(T$2,Inputs!$K$4:$AJ$4,0))))+SUMPRODUCT((Inputs!$E$5:$E$120=$B10)*ISNUMBER(INDEX(Inputs!$K$5:$AJ$120,0,MATCH(T$2,Inputs!$K$4:$AJ$4,0))))=0,NA(),SUMPRODUCT((Inputs!$A$5:$A$120=$B10)*Inputs!$B$5:$B$120*(((Inputs!$G$5:$G$120="moeda")+(Inputs!$G$5:$G$120="acoes"))*Inputs!$B$1+((Inputs!$G$5:$G$120&lt;&gt;"moeda")*(Inputs!$G$5:$G$120&lt;&gt;"acoes")))*INDEX(Inputs!$K$5:$AJ$120,0,MATCH(T$2,Inputs!$K$4:$AJ$4,0)))+SUMPRODUCT((Inputs!$C$5:$C$120=$B10)*Inputs!$D$5:$D$120*(((Inputs!$G$5:$G$120="moeda")+(Inputs!$G$5:$G$120="acoes"))*Inputs!$B$1+((Inputs!$G$5:$G$120&lt;&gt;"moeda")*(Inputs!$G$5:$G$120&lt;&gt;"acoes")))*INDEX(Inputs!$K$5:$AJ$120,0,MATCH(T$2,Inputs!$K$4:$AJ$4,0)))+SUMPRODUCT((Inputs!$E$5:$E$120=$B10)*Inputs!$F$5:$F$120*(((Inputs!$G$5:$G$120="moeda")+(Inputs!$G$5:$G$120="acoes"))*Inputs!$B$1+((Inputs!$G$5:$G$120&lt;&gt;"moeda")*(Inputs!$G$5:$G$120&lt;&gt;"acoes")))*INDEX(Inputs!$K$5:$AJ$120,0,MATCH(T$2,Inputs!$K$4:$AJ$4,0)))))</f>
        <v>-754</v>
      </c>
      <c r="U10" s="267">
        <f>IF(ISNA(MATCH(U$2,Inputs!$K$4:$AJ$4,0)),NA(),IF(SUMPRODUCT((Inputs!$A$5:$A$120=$B10)*ISNUMBER(INDEX(Inputs!$K$5:$AJ$120,0,MATCH(U$2,Inputs!$K$4:$AJ$4,0))))+SUMPRODUCT((Inputs!$C$5:$C$120=$B10)*ISNUMBER(INDEX(Inputs!$K$5:$AJ$120,0,MATCH(U$2,Inputs!$K$4:$AJ$4,0))))+SUMPRODUCT((Inputs!$E$5:$E$120=$B10)*ISNUMBER(INDEX(Inputs!$K$5:$AJ$120,0,MATCH(U$2,Inputs!$K$4:$AJ$4,0))))=0,NA(),SUMPRODUCT((Inputs!$A$5:$A$120=$B10)*Inputs!$B$5:$B$120*(((Inputs!$G$5:$G$120="moeda")+(Inputs!$G$5:$G$120="acoes"))*Inputs!$B$1+((Inputs!$G$5:$G$120&lt;&gt;"moeda")*(Inputs!$G$5:$G$120&lt;&gt;"acoes")))*INDEX(Inputs!$K$5:$AJ$120,0,MATCH(U$2,Inputs!$K$4:$AJ$4,0)))+SUMPRODUCT((Inputs!$C$5:$C$120=$B10)*Inputs!$D$5:$D$120*(((Inputs!$G$5:$G$120="moeda")+(Inputs!$G$5:$G$120="acoes"))*Inputs!$B$1+((Inputs!$G$5:$G$120&lt;&gt;"moeda")*(Inputs!$G$5:$G$120&lt;&gt;"acoes")))*INDEX(Inputs!$K$5:$AJ$120,0,MATCH(U$2,Inputs!$K$4:$AJ$4,0)))+SUMPRODUCT((Inputs!$E$5:$E$120=$B10)*Inputs!$F$5:$F$120*(((Inputs!$G$5:$G$120="moeda")+(Inputs!$G$5:$G$120="acoes"))*Inputs!$B$1+((Inputs!$G$5:$G$120&lt;&gt;"moeda")*(Inputs!$G$5:$G$120&lt;&gt;"acoes")))*INDEX(Inputs!$K$5:$AJ$120,0,MATCH(U$2,Inputs!$K$4:$AJ$4,0)))))</f>
        <v>-737</v>
      </c>
      <c r="V10" s="267">
        <f>IF(ISNA(MATCH(V$2,Inputs!$K$4:$AJ$4,0)),NA(),IF(SUMPRODUCT((Inputs!$A$5:$A$120=$B10)*ISNUMBER(INDEX(Inputs!$K$5:$AJ$120,0,MATCH(V$2,Inputs!$K$4:$AJ$4,0))))+SUMPRODUCT((Inputs!$C$5:$C$120=$B10)*ISNUMBER(INDEX(Inputs!$K$5:$AJ$120,0,MATCH(V$2,Inputs!$K$4:$AJ$4,0))))+SUMPRODUCT((Inputs!$E$5:$E$120=$B10)*ISNUMBER(INDEX(Inputs!$K$5:$AJ$120,0,MATCH(V$2,Inputs!$K$4:$AJ$4,0))))=0,NA(),SUMPRODUCT((Inputs!$A$5:$A$120=$B10)*Inputs!$B$5:$B$120*(((Inputs!$G$5:$G$120="moeda")+(Inputs!$G$5:$G$120="acoes"))*Inputs!$B$1+((Inputs!$G$5:$G$120&lt;&gt;"moeda")*(Inputs!$G$5:$G$120&lt;&gt;"acoes")))*INDEX(Inputs!$K$5:$AJ$120,0,MATCH(V$2,Inputs!$K$4:$AJ$4,0)))+SUMPRODUCT((Inputs!$C$5:$C$120=$B10)*Inputs!$D$5:$D$120*(((Inputs!$G$5:$G$120="moeda")+(Inputs!$G$5:$G$120="acoes"))*Inputs!$B$1+((Inputs!$G$5:$G$120&lt;&gt;"moeda")*(Inputs!$G$5:$G$120&lt;&gt;"acoes")))*INDEX(Inputs!$K$5:$AJ$120,0,MATCH(V$2,Inputs!$K$4:$AJ$4,0)))+SUMPRODUCT((Inputs!$E$5:$E$120=$B10)*Inputs!$F$5:$F$120*(((Inputs!$G$5:$G$120="moeda")+(Inputs!$G$5:$G$120="acoes"))*Inputs!$B$1+((Inputs!$G$5:$G$120&lt;&gt;"moeda")*(Inputs!$G$5:$G$120&lt;&gt;"acoes")))*INDEX(Inputs!$K$5:$AJ$120,0,MATCH(V$2,Inputs!$K$4:$AJ$4,0)))))</f>
        <v>-520</v>
      </c>
      <c r="W10" s="268">
        <f>SUM(S10:V10)</f>
        <v>-2523</v>
      </c>
      <c r="X10" s="267">
        <f>IF(ISNA(MATCH(X$2,Inputs!$K$4:$AJ$4,0)),NA(),IF(SUMPRODUCT((Inputs!$A$5:$A$120=$B10)*ISNUMBER(INDEX(Inputs!$K$5:$AJ$120,0,MATCH(X$2,Inputs!$K$4:$AJ$4,0))))+SUMPRODUCT((Inputs!$C$5:$C$120=$B10)*ISNUMBER(INDEX(Inputs!$K$5:$AJ$120,0,MATCH(X$2,Inputs!$K$4:$AJ$4,0))))+SUMPRODUCT((Inputs!$E$5:$E$120=$B10)*ISNUMBER(INDEX(Inputs!$K$5:$AJ$120,0,MATCH(X$2,Inputs!$K$4:$AJ$4,0))))=0,NA(),SUMPRODUCT((Inputs!$A$5:$A$120=$B10)*Inputs!$B$5:$B$120*(((Inputs!$G$5:$G$120="moeda")+(Inputs!$G$5:$G$120="acoes"))*Inputs!$B$1+((Inputs!$G$5:$G$120&lt;&gt;"moeda")*(Inputs!$G$5:$G$120&lt;&gt;"acoes")))*INDEX(Inputs!$K$5:$AJ$120,0,MATCH(X$2,Inputs!$K$4:$AJ$4,0)))+SUMPRODUCT((Inputs!$C$5:$C$120=$B10)*Inputs!$D$5:$D$120*(((Inputs!$G$5:$G$120="moeda")+(Inputs!$G$5:$G$120="acoes"))*Inputs!$B$1+((Inputs!$G$5:$G$120&lt;&gt;"moeda")*(Inputs!$G$5:$G$120&lt;&gt;"acoes")))*INDEX(Inputs!$K$5:$AJ$120,0,MATCH(X$2,Inputs!$K$4:$AJ$4,0)))+SUMPRODUCT((Inputs!$E$5:$E$120=$B10)*Inputs!$F$5:$F$120*(((Inputs!$G$5:$G$120="moeda")+(Inputs!$G$5:$G$120="acoes"))*Inputs!$B$1+((Inputs!$G$5:$G$120&lt;&gt;"moeda")*(Inputs!$G$5:$G$120&lt;&gt;"acoes")))*INDEX(Inputs!$K$5:$AJ$120,0,MATCH(X$2,Inputs!$K$4:$AJ$4,0)))))</f>
        <v>-500</v>
      </c>
      <c r="Y10" s="267">
        <f>IF(ISNA(MATCH(Y$2,Inputs!$K$4:$AJ$4,0)),NA(),IF(SUMPRODUCT((Inputs!$A$5:$A$120=$B10)*ISNUMBER(INDEX(Inputs!$K$5:$AJ$120,0,MATCH(Y$2,Inputs!$K$4:$AJ$4,0))))+SUMPRODUCT((Inputs!$C$5:$C$120=$B10)*ISNUMBER(INDEX(Inputs!$K$5:$AJ$120,0,MATCH(Y$2,Inputs!$K$4:$AJ$4,0))))+SUMPRODUCT((Inputs!$E$5:$E$120=$B10)*ISNUMBER(INDEX(Inputs!$K$5:$AJ$120,0,MATCH(Y$2,Inputs!$K$4:$AJ$4,0))))=0,NA(),SUMPRODUCT((Inputs!$A$5:$A$120=$B10)*Inputs!$B$5:$B$120*(((Inputs!$G$5:$G$120="moeda")+(Inputs!$G$5:$G$120="acoes"))*Inputs!$B$1+((Inputs!$G$5:$G$120&lt;&gt;"moeda")*(Inputs!$G$5:$G$120&lt;&gt;"acoes")))*INDEX(Inputs!$K$5:$AJ$120,0,MATCH(Y$2,Inputs!$K$4:$AJ$4,0)))+SUMPRODUCT((Inputs!$C$5:$C$120=$B10)*Inputs!$D$5:$D$120*(((Inputs!$G$5:$G$120="moeda")+(Inputs!$G$5:$G$120="acoes"))*Inputs!$B$1+((Inputs!$G$5:$G$120&lt;&gt;"moeda")*(Inputs!$G$5:$G$120&lt;&gt;"acoes")))*INDEX(Inputs!$K$5:$AJ$120,0,MATCH(Y$2,Inputs!$K$4:$AJ$4,0)))+SUMPRODUCT((Inputs!$E$5:$E$120=$B10)*Inputs!$F$5:$F$120*(((Inputs!$G$5:$G$120="moeda")+(Inputs!$G$5:$G$120="acoes"))*Inputs!$B$1+((Inputs!$G$5:$G$120&lt;&gt;"moeda")*(Inputs!$G$5:$G$120&lt;&gt;"acoes")))*INDEX(Inputs!$K$5:$AJ$120,0,MATCH(Y$2,Inputs!$K$4:$AJ$4,0)))))</f>
        <v>-850</v>
      </c>
      <c r="Z10" s="267">
        <f>IF(ISNA(MATCH(Z$2,Inputs!$K$4:$AJ$4,0)),NA(),IF(SUMPRODUCT((Inputs!$A$5:$A$120=$B10)*ISNUMBER(INDEX(Inputs!$K$5:$AJ$120,0,MATCH(Z$2,Inputs!$K$4:$AJ$4,0))))+SUMPRODUCT((Inputs!$C$5:$C$120=$B10)*ISNUMBER(INDEX(Inputs!$K$5:$AJ$120,0,MATCH(Z$2,Inputs!$K$4:$AJ$4,0))))+SUMPRODUCT((Inputs!$E$5:$E$120=$B10)*ISNUMBER(INDEX(Inputs!$K$5:$AJ$120,0,MATCH(Z$2,Inputs!$K$4:$AJ$4,0))))=0,NA(),SUMPRODUCT((Inputs!$A$5:$A$120=$B10)*Inputs!$B$5:$B$120*(((Inputs!$G$5:$G$120="moeda")+(Inputs!$G$5:$G$120="acoes"))*Inputs!$B$1+((Inputs!$G$5:$G$120&lt;&gt;"moeda")*(Inputs!$G$5:$G$120&lt;&gt;"acoes")))*INDEX(Inputs!$K$5:$AJ$120,0,MATCH(Z$2,Inputs!$K$4:$AJ$4,0)))+SUMPRODUCT((Inputs!$C$5:$C$120=$B10)*Inputs!$D$5:$D$120*(((Inputs!$G$5:$G$120="moeda")+(Inputs!$G$5:$G$120="acoes"))*Inputs!$B$1+((Inputs!$G$5:$G$120&lt;&gt;"moeda")*(Inputs!$G$5:$G$120&lt;&gt;"acoes")))*INDEX(Inputs!$K$5:$AJ$120,0,MATCH(Z$2,Inputs!$K$4:$AJ$4,0)))+SUMPRODUCT((Inputs!$E$5:$E$120=$B10)*Inputs!$F$5:$F$120*(((Inputs!$G$5:$G$120="moeda")+(Inputs!$G$5:$G$120="acoes"))*Inputs!$B$1+((Inputs!$G$5:$G$120&lt;&gt;"moeda")*(Inputs!$G$5:$G$120&lt;&gt;"acoes")))*INDEX(Inputs!$K$5:$AJ$120,0,MATCH(Z$2,Inputs!$K$4:$AJ$4,0)))))</f>
        <v>-669</v>
      </c>
      <c r="AA10" s="267">
        <f>IF(ISNA(MATCH(AA$2,Inputs!$K$4:$AJ$4,0)),NA(),IF(SUMPRODUCT((Inputs!$A$5:$A$120=$B10)*ISNUMBER(INDEX(Inputs!$K$5:$AJ$120,0,MATCH(AA$2,Inputs!$K$4:$AJ$4,0))))+SUMPRODUCT((Inputs!$C$5:$C$120=$B10)*ISNUMBER(INDEX(Inputs!$K$5:$AJ$120,0,MATCH(AA$2,Inputs!$K$4:$AJ$4,0))))+SUMPRODUCT((Inputs!$E$5:$E$120=$B10)*ISNUMBER(INDEX(Inputs!$K$5:$AJ$120,0,MATCH(AA$2,Inputs!$K$4:$AJ$4,0))))=0,NA(),SUMPRODUCT((Inputs!$A$5:$A$120=$B10)*Inputs!$B$5:$B$120*(((Inputs!$G$5:$G$120="moeda")+(Inputs!$G$5:$G$120="acoes"))*Inputs!$B$1+((Inputs!$G$5:$G$120&lt;&gt;"moeda")*(Inputs!$G$5:$G$120&lt;&gt;"acoes")))*INDEX(Inputs!$K$5:$AJ$120,0,MATCH(AA$2,Inputs!$K$4:$AJ$4,0)))+SUMPRODUCT((Inputs!$C$5:$C$120=$B10)*Inputs!$D$5:$D$120*(((Inputs!$G$5:$G$120="moeda")+(Inputs!$G$5:$G$120="acoes"))*Inputs!$B$1+((Inputs!$G$5:$G$120&lt;&gt;"moeda")*(Inputs!$G$5:$G$120&lt;&gt;"acoes")))*INDEX(Inputs!$K$5:$AJ$120,0,MATCH(AA$2,Inputs!$K$4:$AJ$4,0)))+SUMPRODUCT((Inputs!$E$5:$E$120=$B10)*Inputs!$F$5:$F$120*(((Inputs!$G$5:$G$120="moeda")+(Inputs!$G$5:$G$120="acoes"))*Inputs!$B$1+((Inputs!$G$5:$G$120&lt;&gt;"moeda")*(Inputs!$G$5:$G$120&lt;&gt;"acoes")))*INDEX(Inputs!$K$5:$AJ$120,0,MATCH(AA$2,Inputs!$K$4:$AJ$4,0)))))</f>
        <v>-202</v>
      </c>
      <c r="AB10" s="268">
        <f>SUM(X10:AA10)</f>
        <v>-2221</v>
      </c>
      <c r="AC10" s="267">
        <f>IF(ISNA(MATCH(AC$2,Inputs!$K$4:$AJ$4,0)),NA(),IF(SUMPRODUCT((Inputs!$A$5:$A$120=$B10)*ISNUMBER(INDEX(Inputs!$K$5:$AJ$120,0,MATCH(AC$2,Inputs!$K$4:$AJ$4,0))))+SUMPRODUCT((Inputs!$C$5:$C$120=$B10)*ISNUMBER(INDEX(Inputs!$K$5:$AJ$120,0,MATCH(AC$2,Inputs!$K$4:$AJ$4,0))))+SUMPRODUCT((Inputs!$E$5:$E$120=$B10)*ISNUMBER(INDEX(Inputs!$K$5:$AJ$120,0,MATCH(AC$2,Inputs!$K$4:$AJ$4,0))))=0,NA(),SUMPRODUCT((Inputs!$A$5:$A$120=$B10)*Inputs!$B$5:$B$120*(((Inputs!$G$5:$G$120="moeda")+(Inputs!$G$5:$G$120="acoes"))*Inputs!$B$1+((Inputs!$G$5:$G$120&lt;&gt;"moeda")*(Inputs!$G$5:$G$120&lt;&gt;"acoes")))*INDEX(Inputs!$K$5:$AJ$120,0,MATCH(AC$2,Inputs!$K$4:$AJ$4,0)))+SUMPRODUCT((Inputs!$C$5:$C$120=$B10)*Inputs!$D$5:$D$120*(((Inputs!$G$5:$G$120="moeda")+(Inputs!$G$5:$G$120="acoes"))*Inputs!$B$1+((Inputs!$G$5:$G$120&lt;&gt;"moeda")*(Inputs!$G$5:$G$120&lt;&gt;"acoes")))*INDEX(Inputs!$K$5:$AJ$120,0,MATCH(AC$2,Inputs!$K$4:$AJ$4,0)))+SUMPRODUCT((Inputs!$E$5:$E$120=$B10)*Inputs!$F$5:$F$120*(((Inputs!$G$5:$G$120="moeda")+(Inputs!$G$5:$G$120="acoes"))*Inputs!$B$1+((Inputs!$G$5:$G$120&lt;&gt;"moeda")*(Inputs!$G$5:$G$120&lt;&gt;"acoes")))*INDEX(Inputs!$K$5:$AJ$120,0,MATCH(AC$2,Inputs!$K$4:$AJ$4,0)))))</f>
        <v>-653</v>
      </c>
      <c r="AD10" s="267">
        <f>IF(ISNA(MATCH(AD$2,Inputs!$K$4:$AJ$4,0)),NA(),IF(SUMPRODUCT((Inputs!$A$5:$A$120=$B10)*ISNUMBER(INDEX(Inputs!$K$5:$AJ$120,0,MATCH(AD$2,Inputs!$K$4:$AJ$4,0))))+SUMPRODUCT((Inputs!$C$5:$C$120=$B10)*ISNUMBER(INDEX(Inputs!$K$5:$AJ$120,0,MATCH(AD$2,Inputs!$K$4:$AJ$4,0))))+SUMPRODUCT((Inputs!$E$5:$E$120=$B10)*ISNUMBER(INDEX(Inputs!$K$5:$AJ$120,0,MATCH(AD$2,Inputs!$K$4:$AJ$4,0))))=0,NA(),SUMPRODUCT((Inputs!$A$5:$A$120=$B10)*Inputs!$B$5:$B$120*(((Inputs!$G$5:$G$120="moeda")+(Inputs!$G$5:$G$120="acoes"))*Inputs!$B$1+((Inputs!$G$5:$G$120&lt;&gt;"moeda")*(Inputs!$G$5:$G$120&lt;&gt;"acoes")))*INDEX(Inputs!$K$5:$AJ$120,0,MATCH(AD$2,Inputs!$K$4:$AJ$4,0)))+SUMPRODUCT((Inputs!$C$5:$C$120=$B10)*Inputs!$D$5:$D$120*(((Inputs!$G$5:$G$120="moeda")+(Inputs!$G$5:$G$120="acoes"))*Inputs!$B$1+((Inputs!$G$5:$G$120&lt;&gt;"moeda")*(Inputs!$G$5:$G$120&lt;&gt;"acoes")))*INDEX(Inputs!$K$5:$AJ$120,0,MATCH(AD$2,Inputs!$K$4:$AJ$4,0)))+SUMPRODUCT((Inputs!$E$5:$E$120=$B10)*Inputs!$F$5:$F$120*(((Inputs!$G$5:$G$120="moeda")+(Inputs!$G$5:$G$120="acoes"))*Inputs!$B$1+((Inputs!$G$5:$G$120&lt;&gt;"moeda")*(Inputs!$G$5:$G$120&lt;&gt;"acoes")))*INDEX(Inputs!$K$5:$AJ$120,0,MATCH(AD$2,Inputs!$K$4:$AJ$4,0)))))</f>
        <v>-544</v>
      </c>
      <c r="AE10" s="267" t="e">
        <f>IF(ISNA(MATCH(AE$2,Inputs!$K$4:$AJ$4,0)),NA(),IF(SUMPRODUCT((Inputs!$A$5:$A$120=$B10)*ISNUMBER(INDEX(Inputs!$K$5:$AJ$120,0,MATCH(AE$2,Inputs!$K$4:$AJ$4,0))))+SUMPRODUCT((Inputs!$C$5:$C$120=$B10)*ISNUMBER(INDEX(Inputs!$K$5:$AJ$120,0,MATCH(AE$2,Inputs!$K$4:$AJ$4,0))))+SUMPRODUCT((Inputs!$E$5:$E$120=$B10)*ISNUMBER(INDEX(Inputs!$K$5:$AJ$120,0,MATCH(AE$2,Inputs!$K$4:$AJ$4,0))))=0,NA(),SUMPRODUCT((Inputs!$A$5:$A$120=$B10)*Inputs!$B$5:$B$120*(((Inputs!$G$5:$G$120="moeda")+(Inputs!$G$5:$G$120="acoes"))*Inputs!$B$1+((Inputs!$G$5:$G$120&lt;&gt;"moeda")*(Inputs!$G$5:$G$120&lt;&gt;"acoes")))*INDEX(Inputs!$K$5:$AJ$120,0,MATCH(AE$2,Inputs!$K$4:$AJ$4,0)))+SUMPRODUCT((Inputs!$C$5:$C$120=$B10)*Inputs!$D$5:$D$120*(((Inputs!$G$5:$G$120="moeda")+(Inputs!$G$5:$G$120="acoes"))*Inputs!$B$1+((Inputs!$G$5:$G$120&lt;&gt;"moeda")*(Inputs!$G$5:$G$120&lt;&gt;"acoes")))*INDEX(Inputs!$K$5:$AJ$120,0,MATCH(AE$2,Inputs!$K$4:$AJ$4,0)))+SUMPRODUCT((Inputs!$E$5:$E$120=$B10)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0" s="267" t="e">
        <f>IF(ISNA(MATCH(AF$2,Inputs!$K$4:$AJ$4,0)),NA(),IF(SUMPRODUCT((Inputs!$A$5:$A$120=$B10)*ISNUMBER(INDEX(Inputs!$K$5:$AJ$120,0,MATCH(AF$2,Inputs!$K$4:$AJ$4,0))))+SUMPRODUCT((Inputs!$C$5:$C$120=$B10)*ISNUMBER(INDEX(Inputs!$K$5:$AJ$120,0,MATCH(AF$2,Inputs!$K$4:$AJ$4,0))))+SUMPRODUCT((Inputs!$E$5:$E$120=$B10)*ISNUMBER(INDEX(Inputs!$K$5:$AJ$120,0,MATCH(AF$2,Inputs!$K$4:$AJ$4,0))))=0,NA(),SUMPRODUCT((Inputs!$A$5:$A$120=$B10)*Inputs!$B$5:$B$120*(((Inputs!$G$5:$G$120="moeda")+(Inputs!$G$5:$G$120="acoes"))*Inputs!$B$1+((Inputs!$G$5:$G$120&lt;&gt;"moeda")*(Inputs!$G$5:$G$120&lt;&gt;"acoes")))*INDEX(Inputs!$K$5:$AJ$120,0,MATCH(AF$2,Inputs!$K$4:$AJ$4,0)))+SUMPRODUCT((Inputs!$C$5:$C$120=$B10)*Inputs!$D$5:$D$120*(((Inputs!$G$5:$G$120="moeda")+(Inputs!$G$5:$G$120="acoes"))*Inputs!$B$1+((Inputs!$G$5:$G$120&lt;&gt;"moeda")*(Inputs!$G$5:$G$120&lt;&gt;"acoes")))*INDEX(Inputs!$K$5:$AJ$120,0,MATCH(AF$2,Inputs!$K$4:$AJ$4,0)))+SUMPRODUCT((Inputs!$E$5:$E$120=$B10)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0" s="268" t="e">
        <f>SUM(AC10:AF10)</f>
        <v>#N/A</v>
      </c>
      <c r="AH10" s="267">
        <f>IF(ISNA(MATCH(AH$2,Inputs!$K$4:$AJ$4,0)),NA(),IF(SUMPRODUCT((Inputs!$A$5:$A$120=$B10)*ISNUMBER(INDEX(Inputs!$K$5:$AJ$120,0,MATCH(AH$2,Inputs!$K$4:$AJ$4,0))))+SUMPRODUCT((Inputs!$C$5:$C$120=$B10)*ISNUMBER(INDEX(Inputs!$K$5:$AJ$120,0,MATCH(AH$2,Inputs!$K$4:$AJ$4,0))))+SUMPRODUCT((Inputs!$E$5:$E$120=$B10)*ISNUMBER(INDEX(Inputs!$K$5:$AJ$120,0,MATCH(AH$2,Inputs!$K$4:$AJ$4,0))))=0,NA(),SUMPRODUCT((Inputs!$A$5:$A$120=$B10)*Inputs!$B$5:$B$120*(((Inputs!$G$5:$G$120="moeda")+(Inputs!$G$5:$G$120="acoes"))*Inputs!$B$1+((Inputs!$G$5:$G$120&lt;&gt;"moeda")*(Inputs!$G$5:$G$120&lt;&gt;"acoes")))*INDEX(Inputs!$K$5:$AJ$120,0,MATCH(AH$2,Inputs!$K$4:$AJ$4,0)))+SUMPRODUCT((Inputs!$C$5:$C$120=$B10)*Inputs!$D$5:$D$120*(((Inputs!$G$5:$G$120="moeda")+(Inputs!$G$5:$G$120="acoes"))*Inputs!$B$1+((Inputs!$G$5:$G$120&lt;&gt;"moeda")*(Inputs!$G$5:$G$120&lt;&gt;"acoes")))*INDEX(Inputs!$K$5:$AJ$120,0,MATCH(AH$2,Inputs!$K$4:$AJ$4,0)))+SUMPRODUCT((Inputs!$E$5:$E$120=$B10)*Inputs!$F$5:$F$120*(((Inputs!$G$5:$G$120="moeda")+(Inputs!$G$5:$G$120="acoes"))*Inputs!$B$1+((Inputs!$G$5:$G$120&lt;&gt;"moeda")*(Inputs!$G$5:$G$120&lt;&gt;"acoes")))*INDEX(Inputs!$K$5:$AJ$120,0,MATCH(AH$2,Inputs!$K$4:$AJ$4,0)))))</f>
        <v>60</v>
      </c>
      <c r="AI10" s="267">
        <f>IF(ISNA(MATCH(AI$2,Inputs!$K$4:$AJ$4,0)),NA(),IF(SUMPRODUCT((Inputs!$A$5:$A$120=$B10)*ISNUMBER(INDEX(Inputs!$K$5:$AJ$120,0,MATCH(AI$2,Inputs!$K$4:$AJ$4,0))))+SUMPRODUCT((Inputs!$C$5:$C$120=$B10)*ISNUMBER(INDEX(Inputs!$K$5:$AJ$120,0,MATCH(AI$2,Inputs!$K$4:$AJ$4,0))))+SUMPRODUCT((Inputs!$E$5:$E$120=$B10)*ISNUMBER(INDEX(Inputs!$K$5:$AJ$120,0,MATCH(AI$2,Inputs!$K$4:$AJ$4,0))))=0,NA(),SUMPRODUCT((Inputs!$A$5:$A$120=$B10)*Inputs!$B$5:$B$120*(((Inputs!$G$5:$G$120="moeda")+(Inputs!$G$5:$G$120="acoes"))*Inputs!$B$1+((Inputs!$G$5:$G$120&lt;&gt;"moeda")*(Inputs!$G$5:$G$120&lt;&gt;"acoes")))*INDEX(Inputs!$K$5:$AJ$120,0,MATCH(AI$2,Inputs!$K$4:$AJ$4,0)))+SUMPRODUCT((Inputs!$C$5:$C$120=$B10)*Inputs!$D$5:$D$120*(((Inputs!$G$5:$G$120="moeda")+(Inputs!$G$5:$G$120="acoes"))*Inputs!$B$1+((Inputs!$G$5:$G$120&lt;&gt;"moeda")*(Inputs!$G$5:$G$120&lt;&gt;"acoes")))*INDEX(Inputs!$K$5:$AJ$120,0,MATCH(AI$2,Inputs!$K$4:$AJ$4,0)))+SUMPRODUCT((Inputs!$E$5:$E$120=$B10)*Inputs!$F$5:$F$120*(((Inputs!$G$5:$G$120="moeda")+(Inputs!$G$5:$G$120="acoes"))*Inputs!$B$1+((Inputs!$G$5:$G$120&lt;&gt;"moeda")*(Inputs!$G$5:$G$120&lt;&gt;"acoes")))*INDEX(Inputs!$K$5:$AJ$120,0,MATCH(AI$2,Inputs!$K$4:$AJ$4,0)))))</f>
        <v>-96</v>
      </c>
      <c r="AJ10" s="267">
        <f>IF(ISNA(MATCH(AJ$2,Inputs!$K$4:$AJ$4,0)),NA(),IF(SUMPRODUCT((Inputs!$A$5:$A$120=$B10)*ISNUMBER(INDEX(Inputs!$K$5:$AJ$120,0,MATCH(AJ$2,Inputs!$K$4:$AJ$4,0))))+SUMPRODUCT((Inputs!$C$5:$C$120=$B10)*ISNUMBER(INDEX(Inputs!$K$5:$AJ$120,0,MATCH(AJ$2,Inputs!$K$4:$AJ$4,0))))+SUMPRODUCT((Inputs!$E$5:$E$120=$B10)*ISNUMBER(INDEX(Inputs!$K$5:$AJ$120,0,MATCH(AJ$2,Inputs!$K$4:$AJ$4,0))))=0,NA(),SUMPRODUCT((Inputs!$A$5:$A$120=$B10)*Inputs!$B$5:$B$120*(((Inputs!$G$5:$G$120="moeda")+(Inputs!$G$5:$G$120="acoes"))*Inputs!$B$1+((Inputs!$G$5:$G$120&lt;&gt;"moeda")*(Inputs!$G$5:$G$120&lt;&gt;"acoes")))*INDEX(Inputs!$K$5:$AJ$120,0,MATCH(AJ$2,Inputs!$K$4:$AJ$4,0)))+SUMPRODUCT((Inputs!$C$5:$C$120=$B10)*Inputs!$D$5:$D$120*(((Inputs!$G$5:$G$120="moeda")+(Inputs!$G$5:$G$120="acoes"))*Inputs!$B$1+((Inputs!$G$5:$G$120&lt;&gt;"moeda")*(Inputs!$G$5:$G$120&lt;&gt;"acoes")))*INDEX(Inputs!$K$5:$AJ$120,0,MATCH(AJ$2,Inputs!$K$4:$AJ$4,0)))+SUMPRODUCT((Inputs!$E$5:$E$120=$B10)*Inputs!$F$5:$F$120*(((Inputs!$G$5:$G$120="moeda")+(Inputs!$G$5:$G$120="acoes"))*Inputs!$B$1+((Inputs!$G$5:$G$120&lt;&gt;"moeda")*(Inputs!$G$5:$G$120&lt;&gt;"acoes")))*INDEX(Inputs!$K$5:$AJ$120,0,MATCH(AJ$2,Inputs!$K$4:$AJ$4,0)))))</f>
        <v>-297</v>
      </c>
      <c r="AK10" s="267">
        <f>IF(ISNA(MATCH(AK$2,Inputs!$K$4:$AJ$4,0)),NA(),IF(SUMPRODUCT((Inputs!$A$5:$A$120=$B10)*ISNUMBER(INDEX(Inputs!$K$5:$AJ$120,0,MATCH(AK$2,Inputs!$K$4:$AJ$4,0))))+SUMPRODUCT((Inputs!$C$5:$C$120=$B10)*ISNUMBER(INDEX(Inputs!$K$5:$AJ$120,0,MATCH(AK$2,Inputs!$K$4:$AJ$4,0))))+SUMPRODUCT((Inputs!$E$5:$E$120=$B10)*ISNUMBER(INDEX(Inputs!$K$5:$AJ$120,0,MATCH(AK$2,Inputs!$K$4:$AJ$4,0))))=0,NA(),SUMPRODUCT((Inputs!$A$5:$A$120=$B10)*Inputs!$B$5:$B$120*(((Inputs!$G$5:$G$120="moeda")+(Inputs!$G$5:$G$120="acoes"))*Inputs!$B$1+((Inputs!$G$5:$G$120&lt;&gt;"moeda")*(Inputs!$G$5:$G$120&lt;&gt;"acoes")))*INDEX(Inputs!$K$5:$AJ$120,0,MATCH(AK$2,Inputs!$K$4:$AJ$4,0)))+SUMPRODUCT((Inputs!$C$5:$C$120=$B10)*Inputs!$D$5:$D$120*(((Inputs!$G$5:$G$120="moeda")+(Inputs!$G$5:$G$120="acoes"))*Inputs!$B$1+((Inputs!$G$5:$G$120&lt;&gt;"moeda")*(Inputs!$G$5:$G$120&lt;&gt;"acoes")))*INDEX(Inputs!$K$5:$AJ$120,0,MATCH(AK$2,Inputs!$K$4:$AJ$4,0)))+SUMPRODUCT((Inputs!$E$5:$E$120=$B10)*Inputs!$F$5:$F$120*(((Inputs!$G$5:$G$120="moeda")+(Inputs!$G$5:$G$120="acoes"))*Inputs!$B$1+((Inputs!$G$5:$G$120&lt;&gt;"moeda")*(Inputs!$G$5:$G$120&lt;&gt;"acoes")))*INDEX(Inputs!$K$5:$AJ$120,0,MATCH(AK$2,Inputs!$K$4:$AJ$4,0)))))</f>
        <v>-611</v>
      </c>
      <c r="AL10" s="268">
        <f>SUM(AH10:AK10)</f>
        <v>-944</v>
      </c>
    </row>
    <row r="11" ht="12.75" customHeight="1" s="255">
      <c r="B11" s="265" t="n">
        <v>8</v>
      </c>
      <c r="C11" s="270" t="inlineStr">
        <is>
          <t>Equity in Income of Affiliates, after tax (enter as +)</t>
        </is>
      </c>
      <c r="D11" s="267">
        <f>IF(ISNA(MATCH(D$2,Inputs!$K$4:$AJ$4,0)),NA(),IF(SUMPRODUCT((Inputs!$A$5:$A$120=$B11)*ISNUMBER(INDEX(Inputs!$K$5:$AJ$120,0,MATCH(D$2,Inputs!$K$4:$AJ$4,0))))+SUMPRODUCT((Inputs!$C$5:$C$120=$B11)*ISNUMBER(INDEX(Inputs!$K$5:$AJ$120,0,MATCH(D$2,Inputs!$K$4:$AJ$4,0))))+SUMPRODUCT((Inputs!$E$5:$E$120=$B11)*ISNUMBER(INDEX(Inputs!$K$5:$AJ$120,0,MATCH(D$2,Inputs!$K$4:$AJ$4,0))))=0,NA(),SUMPRODUCT((Inputs!$A$5:$A$120=$B11)*Inputs!$B$5:$B$120*(((Inputs!$G$5:$G$120="moeda")+(Inputs!$G$5:$G$120="acoes"))*Inputs!$B$1+((Inputs!$G$5:$G$120&lt;&gt;"moeda")*(Inputs!$G$5:$G$120&lt;&gt;"acoes")))*INDEX(Inputs!$K$5:$AJ$120,0,MATCH(D$2,Inputs!$K$4:$AJ$4,0)))+SUMPRODUCT((Inputs!$C$5:$C$120=$B11)*Inputs!$D$5:$D$120*(((Inputs!$G$5:$G$120="moeda")+(Inputs!$G$5:$G$120="acoes"))*Inputs!$B$1+((Inputs!$G$5:$G$120&lt;&gt;"moeda")*(Inputs!$G$5:$G$120&lt;&gt;"acoes")))*INDEX(Inputs!$K$5:$AJ$120,0,MATCH(D$2,Inputs!$K$4:$AJ$4,0)))+SUMPRODUCT((Inputs!$E$5:$E$120=$B11)*Inputs!$F$5:$F$120*(((Inputs!$G$5:$G$120="moeda")+(Inputs!$G$5:$G$120="acoes"))*Inputs!$B$1+((Inputs!$G$5:$G$120&lt;&gt;"moeda")*(Inputs!$G$5:$G$120&lt;&gt;"acoes")))*INDEX(Inputs!$K$5:$AJ$120,0,MATCH(D$2,Inputs!$K$4:$AJ$4,0)))))</f>
        <v>-472</v>
      </c>
      <c r="E11" s="267">
        <f>IF(ISNA(MATCH(E$2,Inputs!$K$4:$AJ$4,0)),NA(),IF(SUMPRODUCT((Inputs!$A$5:$A$120=$B11)*ISNUMBER(INDEX(Inputs!$K$5:$AJ$120,0,MATCH(E$2,Inputs!$K$4:$AJ$4,0))))+SUMPRODUCT((Inputs!$C$5:$C$120=$B11)*ISNUMBER(INDEX(Inputs!$K$5:$AJ$120,0,MATCH(E$2,Inputs!$K$4:$AJ$4,0))))+SUMPRODUCT((Inputs!$E$5:$E$120=$B11)*ISNUMBER(INDEX(Inputs!$K$5:$AJ$120,0,MATCH(E$2,Inputs!$K$4:$AJ$4,0))))=0,NA(),SUMPRODUCT((Inputs!$A$5:$A$120=$B11)*Inputs!$B$5:$B$120*(((Inputs!$G$5:$G$120="moeda")+(Inputs!$G$5:$G$120="acoes"))*Inputs!$B$1+((Inputs!$G$5:$G$120&lt;&gt;"moeda")*(Inputs!$G$5:$G$120&lt;&gt;"acoes")))*INDEX(Inputs!$K$5:$AJ$120,0,MATCH(E$2,Inputs!$K$4:$AJ$4,0)))+SUMPRODUCT((Inputs!$C$5:$C$120=$B11)*Inputs!$D$5:$D$120*(((Inputs!$G$5:$G$120="moeda")+(Inputs!$G$5:$G$120="acoes"))*Inputs!$B$1+((Inputs!$G$5:$G$120&lt;&gt;"moeda")*(Inputs!$G$5:$G$120&lt;&gt;"acoes")))*INDEX(Inputs!$K$5:$AJ$120,0,MATCH(E$2,Inputs!$K$4:$AJ$4,0)))+SUMPRODUCT((Inputs!$E$5:$E$120=$B11)*Inputs!$F$5:$F$120*(((Inputs!$G$5:$G$120="moeda")+(Inputs!$G$5:$G$120="acoes"))*Inputs!$B$1+((Inputs!$G$5:$G$120&lt;&gt;"moeda")*(Inputs!$G$5:$G$120&lt;&gt;"acoes")))*INDEX(Inputs!$K$5:$AJ$120,0,MATCH(E$2,Inputs!$K$4:$AJ$4,0)))))</f>
        <v>6</v>
      </c>
      <c r="F11" s="267">
        <f>IF(ISNA(MATCH(F$2,Inputs!$K$4:$AJ$4,0)),NA(),IF(SUMPRODUCT((Inputs!$A$5:$A$120=$B11)*ISNUMBER(INDEX(Inputs!$K$5:$AJ$120,0,MATCH(F$2,Inputs!$K$4:$AJ$4,0))))+SUMPRODUCT((Inputs!$C$5:$C$120=$B11)*ISNUMBER(INDEX(Inputs!$K$5:$AJ$120,0,MATCH(F$2,Inputs!$K$4:$AJ$4,0))))+SUMPRODUCT((Inputs!$E$5:$E$120=$B11)*ISNUMBER(INDEX(Inputs!$K$5:$AJ$120,0,MATCH(F$2,Inputs!$K$4:$AJ$4,0))))=0,NA(),SUMPRODUCT((Inputs!$A$5:$A$120=$B11)*Inputs!$B$5:$B$120*(((Inputs!$G$5:$G$120="moeda")+(Inputs!$G$5:$G$120="acoes"))*Inputs!$B$1+((Inputs!$G$5:$G$120&lt;&gt;"moeda")*(Inputs!$G$5:$G$120&lt;&gt;"acoes")))*INDEX(Inputs!$K$5:$AJ$120,0,MATCH(F$2,Inputs!$K$4:$AJ$4,0)))+SUMPRODUCT((Inputs!$C$5:$C$120=$B11)*Inputs!$D$5:$D$120*(((Inputs!$G$5:$G$120="moeda")+(Inputs!$G$5:$G$120="acoes"))*Inputs!$B$1+((Inputs!$G$5:$G$120&lt;&gt;"moeda")*(Inputs!$G$5:$G$120&lt;&gt;"acoes")))*INDEX(Inputs!$K$5:$AJ$120,0,MATCH(F$2,Inputs!$K$4:$AJ$4,0)))+SUMPRODUCT((Inputs!$E$5:$E$120=$B11)*Inputs!$F$5:$F$120*(((Inputs!$G$5:$G$120="moeda")+(Inputs!$G$5:$G$120="acoes"))*Inputs!$B$1+((Inputs!$G$5:$G$120&lt;&gt;"moeda")*(Inputs!$G$5:$G$120&lt;&gt;"acoes")))*INDEX(Inputs!$K$5:$AJ$120,0,MATCH(F$2,Inputs!$K$4:$AJ$4,0)))))</f>
        <v>-9</v>
      </c>
      <c r="G11" s="267">
        <f>IF(ISNA(MATCH(G$2,Inputs!$K$4:$AJ$4,0)),NA(),IF(SUMPRODUCT((Inputs!$A$5:$A$120=$B11)*ISNUMBER(INDEX(Inputs!$K$5:$AJ$120,0,MATCH(G$2,Inputs!$K$4:$AJ$4,0))))+SUMPRODUCT((Inputs!$C$5:$C$120=$B11)*ISNUMBER(INDEX(Inputs!$K$5:$AJ$120,0,MATCH(G$2,Inputs!$K$4:$AJ$4,0))))+SUMPRODUCT((Inputs!$E$5:$E$120=$B11)*ISNUMBER(INDEX(Inputs!$K$5:$AJ$120,0,MATCH(G$2,Inputs!$K$4:$AJ$4,0))))=0,NA(),SUMPRODUCT((Inputs!$A$5:$A$120=$B11)*Inputs!$B$5:$B$120*(((Inputs!$G$5:$G$120="moeda")+(Inputs!$G$5:$G$120="acoes"))*Inputs!$B$1+((Inputs!$G$5:$G$120&lt;&gt;"moeda")*(Inputs!$G$5:$G$120&lt;&gt;"acoes")))*INDEX(Inputs!$K$5:$AJ$120,0,MATCH(G$2,Inputs!$K$4:$AJ$4,0)))+SUMPRODUCT((Inputs!$C$5:$C$120=$B11)*Inputs!$D$5:$D$120*(((Inputs!$G$5:$G$120="moeda")+(Inputs!$G$5:$G$120="acoes"))*Inputs!$B$1+((Inputs!$G$5:$G$120&lt;&gt;"moeda")*(Inputs!$G$5:$G$120&lt;&gt;"acoes")))*INDEX(Inputs!$K$5:$AJ$120,0,MATCH(G$2,Inputs!$K$4:$AJ$4,0)))+SUMPRODUCT((Inputs!$E$5:$E$120=$B11)*Inputs!$F$5:$F$120*(((Inputs!$G$5:$G$120="moeda")+(Inputs!$G$5:$G$120="acoes"))*Inputs!$B$1+((Inputs!$G$5:$G$120&lt;&gt;"moeda")*(Inputs!$G$5:$G$120&lt;&gt;"acoes")))*INDEX(Inputs!$K$5:$AJ$120,0,MATCH(G$2,Inputs!$K$4:$AJ$4,0)))))</f>
        <v>-2108</v>
      </c>
      <c r="H11" s="268">
        <f>SUM(D11:G11)</f>
        <v>-2583</v>
      </c>
      <c r="I11" s="267">
        <f>IF(ISNA(MATCH(I$2,Inputs!$K$4:$AJ$4,0)),NA(),IF(SUMPRODUCT((Inputs!$A$5:$A$120=$B11)*ISNUMBER(INDEX(Inputs!$K$5:$AJ$120,0,MATCH(I$2,Inputs!$K$4:$AJ$4,0))))+SUMPRODUCT((Inputs!$C$5:$C$120=$B11)*ISNUMBER(INDEX(Inputs!$K$5:$AJ$120,0,MATCH(I$2,Inputs!$K$4:$AJ$4,0))))+SUMPRODUCT((Inputs!$E$5:$E$120=$B11)*ISNUMBER(INDEX(Inputs!$K$5:$AJ$120,0,MATCH(I$2,Inputs!$K$4:$AJ$4,0))))=0,NA(),SUMPRODUCT((Inputs!$A$5:$A$120=$B11)*Inputs!$B$5:$B$120*(((Inputs!$G$5:$G$120="moeda")+(Inputs!$G$5:$G$120="acoes"))*Inputs!$B$1+((Inputs!$G$5:$G$120&lt;&gt;"moeda")*(Inputs!$G$5:$G$120&lt;&gt;"acoes")))*INDEX(Inputs!$K$5:$AJ$120,0,MATCH(I$2,Inputs!$K$4:$AJ$4,0)))+SUMPRODUCT((Inputs!$C$5:$C$120=$B11)*Inputs!$D$5:$D$120*(((Inputs!$G$5:$G$120="moeda")+(Inputs!$G$5:$G$120="acoes"))*Inputs!$B$1+((Inputs!$G$5:$G$120&lt;&gt;"moeda")*(Inputs!$G$5:$G$120&lt;&gt;"acoes")))*INDEX(Inputs!$K$5:$AJ$120,0,MATCH(I$2,Inputs!$K$4:$AJ$4,0)))+SUMPRODUCT((Inputs!$E$5:$E$120=$B11)*Inputs!$F$5:$F$120*(((Inputs!$G$5:$G$120="moeda")+(Inputs!$G$5:$G$120="acoes"))*Inputs!$B$1+((Inputs!$G$5:$G$120&lt;&gt;"moeda")*(Inputs!$G$5:$G$120&lt;&gt;"acoes")))*INDEX(Inputs!$K$5:$AJ$120,0,MATCH(I$2,Inputs!$K$4:$AJ$4,0)))))</f>
        <v>15</v>
      </c>
      <c r="J11" s="267">
        <f>IF(ISNA(MATCH(J$2,Inputs!$K$4:$AJ$4,0)),NA(),IF(SUMPRODUCT((Inputs!$A$5:$A$120=$B11)*ISNUMBER(INDEX(Inputs!$K$5:$AJ$120,0,MATCH(J$2,Inputs!$K$4:$AJ$4,0))))+SUMPRODUCT((Inputs!$C$5:$C$120=$B11)*ISNUMBER(INDEX(Inputs!$K$5:$AJ$120,0,MATCH(J$2,Inputs!$K$4:$AJ$4,0))))+SUMPRODUCT((Inputs!$E$5:$E$120=$B11)*ISNUMBER(INDEX(Inputs!$K$5:$AJ$120,0,MATCH(J$2,Inputs!$K$4:$AJ$4,0))))=0,NA(),SUMPRODUCT((Inputs!$A$5:$A$120=$B11)*Inputs!$B$5:$B$120*(((Inputs!$G$5:$G$120="moeda")+(Inputs!$G$5:$G$120="acoes"))*Inputs!$B$1+((Inputs!$G$5:$G$120&lt;&gt;"moeda")*(Inputs!$G$5:$G$120&lt;&gt;"acoes")))*INDEX(Inputs!$K$5:$AJ$120,0,MATCH(J$2,Inputs!$K$4:$AJ$4,0)))+SUMPRODUCT((Inputs!$C$5:$C$120=$B11)*Inputs!$D$5:$D$120*(((Inputs!$G$5:$G$120="moeda")+(Inputs!$G$5:$G$120="acoes"))*Inputs!$B$1+((Inputs!$G$5:$G$120&lt;&gt;"moeda")*(Inputs!$G$5:$G$120&lt;&gt;"acoes")))*INDEX(Inputs!$K$5:$AJ$120,0,MATCH(J$2,Inputs!$K$4:$AJ$4,0)))+SUMPRODUCT((Inputs!$E$5:$E$120=$B11)*Inputs!$F$5:$F$120*(((Inputs!$G$5:$G$120="moeda")+(Inputs!$G$5:$G$120="acoes"))*Inputs!$B$1+((Inputs!$G$5:$G$120&lt;&gt;"moeda")*(Inputs!$G$5:$G$120&lt;&gt;"acoes")))*INDEX(Inputs!$K$5:$AJ$120,0,MATCH(J$2,Inputs!$K$4:$AJ$4,0)))))</f>
        <v>10</v>
      </c>
      <c r="K11" s="267">
        <f>IF(ISNA(MATCH(K$2,Inputs!$K$4:$AJ$4,0)),NA(),IF(SUMPRODUCT((Inputs!$A$5:$A$120=$B11)*ISNUMBER(INDEX(Inputs!$K$5:$AJ$120,0,MATCH(K$2,Inputs!$K$4:$AJ$4,0))))+SUMPRODUCT((Inputs!$C$5:$C$120=$B11)*ISNUMBER(INDEX(Inputs!$K$5:$AJ$120,0,MATCH(K$2,Inputs!$K$4:$AJ$4,0))))+SUMPRODUCT((Inputs!$E$5:$E$120=$B11)*ISNUMBER(INDEX(Inputs!$K$5:$AJ$120,0,MATCH(K$2,Inputs!$K$4:$AJ$4,0))))=0,NA(),SUMPRODUCT((Inputs!$A$5:$A$120=$B11)*Inputs!$B$5:$B$120*(((Inputs!$G$5:$G$120="moeda")+(Inputs!$G$5:$G$120="acoes"))*Inputs!$B$1+((Inputs!$G$5:$G$120&lt;&gt;"moeda")*(Inputs!$G$5:$G$120&lt;&gt;"acoes")))*INDEX(Inputs!$K$5:$AJ$120,0,MATCH(K$2,Inputs!$K$4:$AJ$4,0)))+SUMPRODUCT((Inputs!$C$5:$C$120=$B11)*Inputs!$D$5:$D$120*(((Inputs!$G$5:$G$120="moeda")+(Inputs!$G$5:$G$120="acoes"))*Inputs!$B$1+((Inputs!$G$5:$G$120&lt;&gt;"moeda")*(Inputs!$G$5:$G$120&lt;&gt;"acoes")))*INDEX(Inputs!$K$5:$AJ$120,0,MATCH(K$2,Inputs!$K$4:$AJ$4,0)))+SUMPRODUCT((Inputs!$E$5:$E$120=$B11)*Inputs!$F$5:$F$120*(((Inputs!$G$5:$G$120="moeda")+(Inputs!$G$5:$G$120="acoes"))*Inputs!$B$1+((Inputs!$G$5:$G$120&lt;&gt;"moeda")*(Inputs!$G$5:$G$120&lt;&gt;"acoes")))*INDEX(Inputs!$K$5:$AJ$120,0,MATCH(K$2,Inputs!$K$4:$AJ$4,0)))))</f>
        <v>8</v>
      </c>
      <c r="L11" s="267">
        <f>IF(ISNA(MATCH(L$2,Inputs!$K$4:$AJ$4,0)),NA(),IF(SUMPRODUCT((Inputs!$A$5:$A$120=$B11)*ISNUMBER(INDEX(Inputs!$K$5:$AJ$120,0,MATCH(L$2,Inputs!$K$4:$AJ$4,0))))+SUMPRODUCT((Inputs!$C$5:$C$120=$B11)*ISNUMBER(INDEX(Inputs!$K$5:$AJ$120,0,MATCH(L$2,Inputs!$K$4:$AJ$4,0))))+SUMPRODUCT((Inputs!$E$5:$E$120=$B11)*ISNUMBER(INDEX(Inputs!$K$5:$AJ$120,0,MATCH(L$2,Inputs!$K$4:$AJ$4,0))))=0,NA(),SUMPRODUCT((Inputs!$A$5:$A$120=$B11)*Inputs!$B$5:$B$120*(((Inputs!$G$5:$G$120="moeda")+(Inputs!$G$5:$G$120="acoes"))*Inputs!$B$1+((Inputs!$G$5:$G$120&lt;&gt;"moeda")*(Inputs!$G$5:$G$120&lt;&gt;"acoes")))*INDEX(Inputs!$K$5:$AJ$120,0,MATCH(L$2,Inputs!$K$4:$AJ$4,0)))+SUMPRODUCT((Inputs!$C$5:$C$120=$B11)*Inputs!$D$5:$D$120*(((Inputs!$G$5:$G$120="moeda")+(Inputs!$G$5:$G$120="acoes"))*Inputs!$B$1+((Inputs!$G$5:$G$120&lt;&gt;"moeda")*(Inputs!$G$5:$G$120&lt;&gt;"acoes")))*INDEX(Inputs!$K$5:$AJ$120,0,MATCH(L$2,Inputs!$K$4:$AJ$4,0)))+SUMPRODUCT((Inputs!$E$5:$E$120=$B11)*Inputs!$F$5:$F$120*(((Inputs!$G$5:$G$120="moeda")+(Inputs!$G$5:$G$120="acoes"))*Inputs!$B$1+((Inputs!$G$5:$G$120&lt;&gt;"moeda")*(Inputs!$G$5:$G$120&lt;&gt;"acoes")))*INDEX(Inputs!$K$5:$AJ$120,0,MATCH(L$2,Inputs!$K$4:$AJ$4,0)))))</f>
        <v>-2</v>
      </c>
      <c r="M11" s="268">
        <f>SUM(I11:L11)</f>
        <v>31</v>
      </c>
      <c r="N11" s="267">
        <f>IF(ISNA(MATCH(N$2,Inputs!$K$4:$AJ$4,0)),NA(),IF(SUMPRODUCT((Inputs!$A$5:$A$120=$B11)*ISNUMBER(INDEX(Inputs!$K$5:$AJ$120,0,MATCH(N$2,Inputs!$K$4:$AJ$4,0))))+SUMPRODUCT((Inputs!$C$5:$C$120=$B11)*ISNUMBER(INDEX(Inputs!$K$5:$AJ$120,0,MATCH(N$2,Inputs!$K$4:$AJ$4,0))))+SUMPRODUCT((Inputs!$E$5:$E$120=$B11)*ISNUMBER(INDEX(Inputs!$K$5:$AJ$120,0,MATCH(N$2,Inputs!$K$4:$AJ$4,0))))=0,NA(),SUMPRODUCT((Inputs!$A$5:$A$120=$B11)*Inputs!$B$5:$B$120*(((Inputs!$G$5:$G$120="moeda")+(Inputs!$G$5:$G$120="acoes"))*Inputs!$B$1+((Inputs!$G$5:$G$120&lt;&gt;"moeda")*(Inputs!$G$5:$G$120&lt;&gt;"acoes")))*INDEX(Inputs!$K$5:$AJ$120,0,MATCH(N$2,Inputs!$K$4:$AJ$4,0)))+SUMPRODUCT((Inputs!$C$5:$C$120=$B11)*Inputs!$D$5:$D$120*(((Inputs!$G$5:$G$120="moeda")+(Inputs!$G$5:$G$120="acoes"))*Inputs!$B$1+((Inputs!$G$5:$G$120&lt;&gt;"moeda")*(Inputs!$G$5:$G$120&lt;&gt;"acoes")))*INDEX(Inputs!$K$5:$AJ$120,0,MATCH(N$2,Inputs!$K$4:$AJ$4,0)))+SUMPRODUCT((Inputs!$E$5:$E$120=$B11)*Inputs!$F$5:$F$120*(((Inputs!$G$5:$G$120="moeda")+(Inputs!$G$5:$G$120="acoes"))*Inputs!$B$1+((Inputs!$G$5:$G$120&lt;&gt;"moeda")*(Inputs!$G$5:$G$120&lt;&gt;"acoes")))*INDEX(Inputs!$K$5:$AJ$120,0,MATCH(N$2,Inputs!$K$4:$AJ$4,0)))))</f>
        <v>10</v>
      </c>
      <c r="O11" s="267">
        <f>IF(ISNA(MATCH(O$2,Inputs!$K$4:$AJ$4,0)),NA(),IF(SUMPRODUCT((Inputs!$A$5:$A$120=$B11)*ISNUMBER(INDEX(Inputs!$K$5:$AJ$120,0,MATCH(O$2,Inputs!$K$4:$AJ$4,0))))+SUMPRODUCT((Inputs!$C$5:$C$120=$B11)*ISNUMBER(INDEX(Inputs!$K$5:$AJ$120,0,MATCH(O$2,Inputs!$K$4:$AJ$4,0))))+SUMPRODUCT((Inputs!$E$5:$E$120=$B11)*ISNUMBER(INDEX(Inputs!$K$5:$AJ$120,0,MATCH(O$2,Inputs!$K$4:$AJ$4,0))))=0,NA(),SUMPRODUCT((Inputs!$A$5:$A$120=$B11)*Inputs!$B$5:$B$120*(((Inputs!$G$5:$G$120="moeda")+(Inputs!$G$5:$G$120="acoes"))*Inputs!$B$1+((Inputs!$G$5:$G$120&lt;&gt;"moeda")*(Inputs!$G$5:$G$120&lt;&gt;"acoes")))*INDEX(Inputs!$K$5:$AJ$120,0,MATCH(O$2,Inputs!$K$4:$AJ$4,0)))+SUMPRODUCT((Inputs!$C$5:$C$120=$B11)*Inputs!$D$5:$D$120*(((Inputs!$G$5:$G$120="moeda")+(Inputs!$G$5:$G$120="acoes"))*Inputs!$B$1+((Inputs!$G$5:$G$120&lt;&gt;"moeda")*(Inputs!$G$5:$G$120&lt;&gt;"acoes")))*INDEX(Inputs!$K$5:$AJ$120,0,MATCH(O$2,Inputs!$K$4:$AJ$4,0)))+SUMPRODUCT((Inputs!$E$5:$E$120=$B11)*Inputs!$F$5:$F$120*(((Inputs!$G$5:$G$120="moeda")+(Inputs!$G$5:$G$120="acoes"))*Inputs!$B$1+((Inputs!$G$5:$G$120&lt;&gt;"moeda")*(Inputs!$G$5:$G$120&lt;&gt;"acoes")))*INDEX(Inputs!$K$5:$AJ$120,0,MATCH(O$2,Inputs!$K$4:$AJ$4,0)))))</f>
        <v>2</v>
      </c>
      <c r="P11" s="267">
        <f>IF(ISNA(MATCH(P$2,Inputs!$K$4:$AJ$4,0)),NA(),IF(SUMPRODUCT((Inputs!$A$5:$A$120=$B11)*ISNUMBER(INDEX(Inputs!$K$5:$AJ$120,0,MATCH(P$2,Inputs!$K$4:$AJ$4,0))))+SUMPRODUCT((Inputs!$C$5:$C$120=$B11)*ISNUMBER(INDEX(Inputs!$K$5:$AJ$120,0,MATCH(P$2,Inputs!$K$4:$AJ$4,0))))+SUMPRODUCT((Inputs!$E$5:$E$120=$B11)*ISNUMBER(INDEX(Inputs!$K$5:$AJ$120,0,MATCH(P$2,Inputs!$K$4:$AJ$4,0))))=0,NA(),SUMPRODUCT((Inputs!$A$5:$A$120=$B11)*Inputs!$B$5:$B$120*(((Inputs!$G$5:$G$120="moeda")+(Inputs!$G$5:$G$120="acoes"))*Inputs!$B$1+((Inputs!$G$5:$G$120&lt;&gt;"moeda")*(Inputs!$G$5:$G$120&lt;&gt;"acoes")))*INDEX(Inputs!$K$5:$AJ$120,0,MATCH(P$2,Inputs!$K$4:$AJ$4,0)))+SUMPRODUCT((Inputs!$C$5:$C$120=$B11)*Inputs!$D$5:$D$120*(((Inputs!$G$5:$G$120="moeda")+(Inputs!$G$5:$G$120="acoes"))*Inputs!$B$1+((Inputs!$G$5:$G$120&lt;&gt;"moeda")*(Inputs!$G$5:$G$120&lt;&gt;"acoes")))*INDEX(Inputs!$K$5:$AJ$120,0,MATCH(P$2,Inputs!$K$4:$AJ$4,0)))+SUMPRODUCT((Inputs!$E$5:$E$120=$B11)*Inputs!$F$5:$F$120*(((Inputs!$G$5:$G$120="moeda")+(Inputs!$G$5:$G$120="acoes"))*Inputs!$B$1+((Inputs!$G$5:$G$120&lt;&gt;"moeda")*(Inputs!$G$5:$G$120&lt;&gt;"acoes")))*INDEX(Inputs!$K$5:$AJ$120,0,MATCH(P$2,Inputs!$K$4:$AJ$4,0)))))</f>
        <v>0</v>
      </c>
      <c r="Q11" s="267">
        <f>IF(ISNA(MATCH(Q$2,Inputs!$K$4:$AJ$4,0)),NA(),IF(SUMPRODUCT((Inputs!$A$5:$A$120=$B11)*ISNUMBER(INDEX(Inputs!$K$5:$AJ$120,0,MATCH(Q$2,Inputs!$K$4:$AJ$4,0))))+SUMPRODUCT((Inputs!$C$5:$C$120=$B11)*ISNUMBER(INDEX(Inputs!$K$5:$AJ$120,0,MATCH(Q$2,Inputs!$K$4:$AJ$4,0))))+SUMPRODUCT((Inputs!$E$5:$E$120=$B11)*ISNUMBER(INDEX(Inputs!$K$5:$AJ$120,0,MATCH(Q$2,Inputs!$K$4:$AJ$4,0))))=0,NA(),SUMPRODUCT((Inputs!$A$5:$A$120=$B11)*Inputs!$B$5:$B$120*(((Inputs!$G$5:$G$120="moeda")+(Inputs!$G$5:$G$120="acoes"))*Inputs!$B$1+((Inputs!$G$5:$G$120&lt;&gt;"moeda")*(Inputs!$G$5:$G$120&lt;&gt;"acoes")))*INDEX(Inputs!$K$5:$AJ$120,0,MATCH(Q$2,Inputs!$K$4:$AJ$4,0)))+SUMPRODUCT((Inputs!$C$5:$C$120=$B11)*Inputs!$D$5:$D$120*(((Inputs!$G$5:$G$120="moeda")+(Inputs!$G$5:$G$120="acoes"))*Inputs!$B$1+((Inputs!$G$5:$G$120&lt;&gt;"moeda")*(Inputs!$G$5:$G$120&lt;&gt;"acoes")))*INDEX(Inputs!$K$5:$AJ$120,0,MATCH(Q$2,Inputs!$K$4:$AJ$4,0)))+SUMPRODUCT((Inputs!$E$5:$E$120=$B11)*Inputs!$F$5:$F$120*(((Inputs!$G$5:$G$120="moeda")+(Inputs!$G$5:$G$120="acoes"))*Inputs!$B$1+((Inputs!$G$5:$G$120&lt;&gt;"moeda")*(Inputs!$G$5:$G$120&lt;&gt;"acoes")))*INDEX(Inputs!$K$5:$AJ$120,0,MATCH(Q$2,Inputs!$K$4:$AJ$4,0)))))</f>
        <v>3</v>
      </c>
      <c r="R11" s="268">
        <f>SUM(N11:Q11)</f>
        <v>15</v>
      </c>
      <c r="S11" s="267">
        <f>IF(ISNA(MATCH(S$2,Inputs!$K$4:$AJ$4,0)),NA(),IF(SUMPRODUCT((Inputs!$A$5:$A$120=$B11)*ISNUMBER(INDEX(Inputs!$K$5:$AJ$120,0,MATCH(S$2,Inputs!$K$4:$AJ$4,0))))+SUMPRODUCT((Inputs!$C$5:$C$120=$B11)*ISNUMBER(INDEX(Inputs!$K$5:$AJ$120,0,MATCH(S$2,Inputs!$K$4:$AJ$4,0))))+SUMPRODUCT((Inputs!$E$5:$E$120=$B11)*ISNUMBER(INDEX(Inputs!$K$5:$AJ$120,0,MATCH(S$2,Inputs!$K$4:$AJ$4,0))))=0,NA(),SUMPRODUCT((Inputs!$A$5:$A$120=$B11)*Inputs!$B$5:$B$120*(((Inputs!$G$5:$G$120="moeda")+(Inputs!$G$5:$G$120="acoes"))*Inputs!$B$1+((Inputs!$G$5:$G$120&lt;&gt;"moeda")*(Inputs!$G$5:$G$120&lt;&gt;"acoes")))*INDEX(Inputs!$K$5:$AJ$120,0,MATCH(S$2,Inputs!$K$4:$AJ$4,0)))+SUMPRODUCT((Inputs!$C$5:$C$120=$B11)*Inputs!$D$5:$D$120*(((Inputs!$G$5:$G$120="moeda")+(Inputs!$G$5:$G$120="acoes"))*Inputs!$B$1+((Inputs!$G$5:$G$120&lt;&gt;"moeda")*(Inputs!$G$5:$G$120&lt;&gt;"acoes")))*INDEX(Inputs!$K$5:$AJ$120,0,MATCH(S$2,Inputs!$K$4:$AJ$4,0)))+SUMPRODUCT((Inputs!$E$5:$E$120=$B11)*Inputs!$F$5:$F$120*(((Inputs!$G$5:$G$120="moeda")+(Inputs!$G$5:$G$120="acoes"))*Inputs!$B$1+((Inputs!$G$5:$G$120&lt;&gt;"moeda")*(Inputs!$G$5:$G$120&lt;&gt;"acoes")))*INDEX(Inputs!$K$5:$AJ$120,0,MATCH(S$2,Inputs!$K$4:$AJ$4,0)))))</f>
        <v>0</v>
      </c>
      <c r="T11" s="267">
        <f>IF(ISNA(MATCH(T$2,Inputs!$K$4:$AJ$4,0)),NA(),IF(SUMPRODUCT((Inputs!$A$5:$A$120=$B11)*ISNUMBER(INDEX(Inputs!$K$5:$AJ$120,0,MATCH(T$2,Inputs!$K$4:$AJ$4,0))))+SUMPRODUCT((Inputs!$C$5:$C$120=$B11)*ISNUMBER(INDEX(Inputs!$K$5:$AJ$120,0,MATCH(T$2,Inputs!$K$4:$AJ$4,0))))+SUMPRODUCT((Inputs!$E$5:$E$120=$B11)*ISNUMBER(INDEX(Inputs!$K$5:$AJ$120,0,MATCH(T$2,Inputs!$K$4:$AJ$4,0))))=0,NA(),SUMPRODUCT((Inputs!$A$5:$A$120=$B11)*Inputs!$B$5:$B$120*(((Inputs!$G$5:$G$120="moeda")+(Inputs!$G$5:$G$120="acoes"))*Inputs!$B$1+((Inputs!$G$5:$G$120&lt;&gt;"moeda")*(Inputs!$G$5:$G$120&lt;&gt;"acoes")))*INDEX(Inputs!$K$5:$AJ$120,0,MATCH(T$2,Inputs!$K$4:$AJ$4,0)))+SUMPRODUCT((Inputs!$C$5:$C$120=$B11)*Inputs!$D$5:$D$120*(((Inputs!$G$5:$G$120="moeda")+(Inputs!$G$5:$G$120="acoes"))*Inputs!$B$1+((Inputs!$G$5:$G$120&lt;&gt;"moeda")*(Inputs!$G$5:$G$120&lt;&gt;"acoes")))*INDEX(Inputs!$K$5:$AJ$120,0,MATCH(T$2,Inputs!$K$4:$AJ$4,0)))+SUMPRODUCT((Inputs!$E$5:$E$120=$B11)*Inputs!$F$5:$F$120*(((Inputs!$G$5:$G$120="moeda")+(Inputs!$G$5:$G$120="acoes"))*Inputs!$B$1+((Inputs!$G$5:$G$120&lt;&gt;"moeda")*(Inputs!$G$5:$G$120&lt;&gt;"acoes")))*INDEX(Inputs!$K$5:$AJ$120,0,MATCH(T$2,Inputs!$K$4:$AJ$4,0)))))</f>
        <v>4</v>
      </c>
      <c r="U11" s="267">
        <f>IF(ISNA(MATCH(U$2,Inputs!$K$4:$AJ$4,0)),NA(),IF(SUMPRODUCT((Inputs!$A$5:$A$120=$B11)*ISNUMBER(INDEX(Inputs!$K$5:$AJ$120,0,MATCH(U$2,Inputs!$K$4:$AJ$4,0))))+SUMPRODUCT((Inputs!$C$5:$C$120=$B11)*ISNUMBER(INDEX(Inputs!$K$5:$AJ$120,0,MATCH(U$2,Inputs!$K$4:$AJ$4,0))))+SUMPRODUCT((Inputs!$E$5:$E$120=$B11)*ISNUMBER(INDEX(Inputs!$K$5:$AJ$120,0,MATCH(U$2,Inputs!$K$4:$AJ$4,0))))=0,NA(),SUMPRODUCT((Inputs!$A$5:$A$120=$B11)*Inputs!$B$5:$B$120*(((Inputs!$G$5:$G$120="moeda")+(Inputs!$G$5:$G$120="acoes"))*Inputs!$B$1+((Inputs!$G$5:$G$120&lt;&gt;"moeda")*(Inputs!$G$5:$G$120&lt;&gt;"acoes")))*INDEX(Inputs!$K$5:$AJ$120,0,MATCH(U$2,Inputs!$K$4:$AJ$4,0)))+SUMPRODUCT((Inputs!$C$5:$C$120=$B11)*Inputs!$D$5:$D$120*(((Inputs!$G$5:$G$120="moeda")+(Inputs!$G$5:$G$120="acoes"))*Inputs!$B$1+((Inputs!$G$5:$G$120&lt;&gt;"moeda")*(Inputs!$G$5:$G$120&lt;&gt;"acoes")))*INDEX(Inputs!$K$5:$AJ$120,0,MATCH(U$2,Inputs!$K$4:$AJ$4,0)))+SUMPRODUCT((Inputs!$E$5:$E$120=$B11)*Inputs!$F$5:$F$120*(((Inputs!$G$5:$G$120="moeda")+(Inputs!$G$5:$G$120="acoes"))*Inputs!$B$1+((Inputs!$G$5:$G$120&lt;&gt;"moeda")*(Inputs!$G$5:$G$120&lt;&gt;"acoes")))*INDEX(Inputs!$K$5:$AJ$120,0,MATCH(U$2,Inputs!$K$4:$AJ$4,0)))))</f>
        <v>10</v>
      </c>
      <c r="V11" s="267">
        <f>IF(ISNA(MATCH(V$2,Inputs!$K$4:$AJ$4,0)),NA(),IF(SUMPRODUCT((Inputs!$A$5:$A$120=$B11)*ISNUMBER(INDEX(Inputs!$K$5:$AJ$120,0,MATCH(V$2,Inputs!$K$4:$AJ$4,0))))+SUMPRODUCT((Inputs!$C$5:$C$120=$B11)*ISNUMBER(INDEX(Inputs!$K$5:$AJ$120,0,MATCH(V$2,Inputs!$K$4:$AJ$4,0))))+SUMPRODUCT((Inputs!$E$5:$E$120=$B11)*ISNUMBER(INDEX(Inputs!$K$5:$AJ$120,0,MATCH(V$2,Inputs!$K$4:$AJ$4,0))))=0,NA(),SUMPRODUCT((Inputs!$A$5:$A$120=$B11)*Inputs!$B$5:$B$120*(((Inputs!$G$5:$G$120="moeda")+(Inputs!$G$5:$G$120="acoes"))*Inputs!$B$1+((Inputs!$G$5:$G$120&lt;&gt;"moeda")*(Inputs!$G$5:$G$120&lt;&gt;"acoes")))*INDEX(Inputs!$K$5:$AJ$120,0,MATCH(V$2,Inputs!$K$4:$AJ$4,0)))+SUMPRODUCT((Inputs!$C$5:$C$120=$B11)*Inputs!$D$5:$D$120*(((Inputs!$G$5:$G$120="moeda")+(Inputs!$G$5:$G$120="acoes"))*Inputs!$B$1+((Inputs!$G$5:$G$120&lt;&gt;"moeda")*(Inputs!$G$5:$G$120&lt;&gt;"acoes")))*INDEX(Inputs!$K$5:$AJ$120,0,MATCH(V$2,Inputs!$K$4:$AJ$4,0)))+SUMPRODUCT((Inputs!$E$5:$E$120=$B11)*Inputs!$F$5:$F$120*(((Inputs!$G$5:$G$120="moeda")+(Inputs!$G$5:$G$120="acoes"))*Inputs!$B$1+((Inputs!$G$5:$G$120&lt;&gt;"moeda")*(Inputs!$G$5:$G$120&lt;&gt;"acoes")))*INDEX(Inputs!$K$5:$AJ$120,0,MATCH(V$2,Inputs!$K$4:$AJ$4,0)))))</f>
        <v>1</v>
      </c>
      <c r="W11" s="268">
        <f>SUM(S11:V11)</f>
        <v>15</v>
      </c>
      <c r="X11" s="267">
        <f>IF(ISNA(MATCH(X$2,Inputs!$K$4:$AJ$4,0)),NA(),IF(SUMPRODUCT((Inputs!$A$5:$A$120=$B11)*ISNUMBER(INDEX(Inputs!$K$5:$AJ$120,0,MATCH(X$2,Inputs!$K$4:$AJ$4,0))))+SUMPRODUCT((Inputs!$C$5:$C$120=$B11)*ISNUMBER(INDEX(Inputs!$K$5:$AJ$120,0,MATCH(X$2,Inputs!$K$4:$AJ$4,0))))+SUMPRODUCT((Inputs!$E$5:$E$120=$B11)*ISNUMBER(INDEX(Inputs!$K$5:$AJ$120,0,MATCH(X$2,Inputs!$K$4:$AJ$4,0))))=0,NA(),SUMPRODUCT((Inputs!$A$5:$A$120=$B11)*Inputs!$B$5:$B$120*(((Inputs!$G$5:$G$120="moeda")+(Inputs!$G$5:$G$120="acoes"))*Inputs!$B$1+((Inputs!$G$5:$G$120&lt;&gt;"moeda")*(Inputs!$G$5:$G$120&lt;&gt;"acoes")))*INDEX(Inputs!$K$5:$AJ$120,0,MATCH(X$2,Inputs!$K$4:$AJ$4,0)))+SUMPRODUCT((Inputs!$C$5:$C$120=$B11)*Inputs!$D$5:$D$120*(((Inputs!$G$5:$G$120="moeda")+(Inputs!$G$5:$G$120="acoes"))*Inputs!$B$1+((Inputs!$G$5:$G$120&lt;&gt;"moeda")*(Inputs!$G$5:$G$120&lt;&gt;"acoes")))*INDEX(Inputs!$K$5:$AJ$120,0,MATCH(X$2,Inputs!$K$4:$AJ$4,0)))+SUMPRODUCT((Inputs!$E$5:$E$120=$B11)*Inputs!$F$5:$F$120*(((Inputs!$G$5:$G$120="moeda")+(Inputs!$G$5:$G$120="acoes"))*Inputs!$B$1+((Inputs!$G$5:$G$120&lt;&gt;"moeda")*(Inputs!$G$5:$G$120&lt;&gt;"acoes")))*INDEX(Inputs!$K$5:$AJ$120,0,MATCH(X$2,Inputs!$K$4:$AJ$4,0)))))</f>
        <v>2</v>
      </c>
      <c r="Y11" s="267">
        <f>IF(ISNA(MATCH(Y$2,Inputs!$K$4:$AJ$4,0)),NA(),IF(SUMPRODUCT((Inputs!$A$5:$A$120=$B11)*ISNUMBER(INDEX(Inputs!$K$5:$AJ$120,0,MATCH(Y$2,Inputs!$K$4:$AJ$4,0))))+SUMPRODUCT((Inputs!$C$5:$C$120=$B11)*ISNUMBER(INDEX(Inputs!$K$5:$AJ$120,0,MATCH(Y$2,Inputs!$K$4:$AJ$4,0))))+SUMPRODUCT((Inputs!$E$5:$E$120=$B11)*ISNUMBER(INDEX(Inputs!$K$5:$AJ$120,0,MATCH(Y$2,Inputs!$K$4:$AJ$4,0))))=0,NA(),SUMPRODUCT((Inputs!$A$5:$A$120=$B11)*Inputs!$B$5:$B$120*(((Inputs!$G$5:$G$120="moeda")+(Inputs!$G$5:$G$120="acoes"))*Inputs!$B$1+((Inputs!$G$5:$G$120&lt;&gt;"moeda")*(Inputs!$G$5:$G$120&lt;&gt;"acoes")))*INDEX(Inputs!$K$5:$AJ$120,0,MATCH(Y$2,Inputs!$K$4:$AJ$4,0)))+SUMPRODUCT((Inputs!$C$5:$C$120=$B11)*Inputs!$D$5:$D$120*(((Inputs!$G$5:$G$120="moeda")+(Inputs!$G$5:$G$120="acoes"))*Inputs!$B$1+((Inputs!$G$5:$G$120&lt;&gt;"moeda")*(Inputs!$G$5:$G$120&lt;&gt;"acoes")))*INDEX(Inputs!$K$5:$AJ$120,0,MATCH(Y$2,Inputs!$K$4:$AJ$4,0)))+SUMPRODUCT((Inputs!$E$5:$E$120=$B11)*Inputs!$F$5:$F$120*(((Inputs!$G$5:$G$120="moeda")+(Inputs!$G$5:$G$120="acoes"))*Inputs!$B$1+((Inputs!$G$5:$G$120&lt;&gt;"moeda")*(Inputs!$G$5:$G$120&lt;&gt;"acoes")))*INDEX(Inputs!$K$5:$AJ$120,0,MATCH(Y$2,Inputs!$K$4:$AJ$4,0)))))</f>
        <v>6</v>
      </c>
      <c r="Z11" s="267">
        <f>IF(ISNA(MATCH(Z$2,Inputs!$K$4:$AJ$4,0)),NA(),IF(SUMPRODUCT((Inputs!$A$5:$A$120=$B11)*ISNUMBER(INDEX(Inputs!$K$5:$AJ$120,0,MATCH(Z$2,Inputs!$K$4:$AJ$4,0))))+SUMPRODUCT((Inputs!$C$5:$C$120=$B11)*ISNUMBER(INDEX(Inputs!$K$5:$AJ$120,0,MATCH(Z$2,Inputs!$K$4:$AJ$4,0))))+SUMPRODUCT((Inputs!$E$5:$E$120=$B11)*ISNUMBER(INDEX(Inputs!$K$5:$AJ$120,0,MATCH(Z$2,Inputs!$K$4:$AJ$4,0))))=0,NA(),SUMPRODUCT((Inputs!$A$5:$A$120=$B11)*Inputs!$B$5:$B$120*(((Inputs!$G$5:$G$120="moeda")+(Inputs!$G$5:$G$120="acoes"))*Inputs!$B$1+((Inputs!$G$5:$G$120&lt;&gt;"moeda")*(Inputs!$G$5:$G$120&lt;&gt;"acoes")))*INDEX(Inputs!$K$5:$AJ$120,0,MATCH(Z$2,Inputs!$K$4:$AJ$4,0)))+SUMPRODUCT((Inputs!$C$5:$C$120=$B11)*Inputs!$D$5:$D$120*(((Inputs!$G$5:$G$120="moeda")+(Inputs!$G$5:$G$120="acoes"))*Inputs!$B$1+((Inputs!$G$5:$G$120&lt;&gt;"moeda")*(Inputs!$G$5:$G$120&lt;&gt;"acoes")))*INDEX(Inputs!$K$5:$AJ$120,0,MATCH(Z$2,Inputs!$K$4:$AJ$4,0)))+SUMPRODUCT((Inputs!$E$5:$E$120=$B11)*Inputs!$F$5:$F$120*(((Inputs!$G$5:$G$120="moeda")+(Inputs!$G$5:$G$120="acoes"))*Inputs!$B$1+((Inputs!$G$5:$G$120&lt;&gt;"moeda")*(Inputs!$G$5:$G$120&lt;&gt;"acoes")))*INDEX(Inputs!$K$5:$AJ$120,0,MATCH(Z$2,Inputs!$K$4:$AJ$4,0)))))</f>
        <v>-8</v>
      </c>
      <c r="AA11" s="267">
        <f>IF(ISNA(MATCH(AA$2,Inputs!$K$4:$AJ$4,0)),NA(),IF(SUMPRODUCT((Inputs!$A$5:$A$120=$B11)*ISNUMBER(INDEX(Inputs!$K$5:$AJ$120,0,MATCH(AA$2,Inputs!$K$4:$AJ$4,0))))+SUMPRODUCT((Inputs!$C$5:$C$120=$B11)*ISNUMBER(INDEX(Inputs!$K$5:$AJ$120,0,MATCH(AA$2,Inputs!$K$4:$AJ$4,0))))+SUMPRODUCT((Inputs!$E$5:$E$120=$B11)*ISNUMBER(INDEX(Inputs!$K$5:$AJ$120,0,MATCH(AA$2,Inputs!$K$4:$AJ$4,0))))=0,NA(),SUMPRODUCT((Inputs!$A$5:$A$120=$B11)*Inputs!$B$5:$B$120*(((Inputs!$G$5:$G$120="moeda")+(Inputs!$G$5:$G$120="acoes"))*Inputs!$B$1+((Inputs!$G$5:$G$120&lt;&gt;"moeda")*(Inputs!$G$5:$G$120&lt;&gt;"acoes")))*INDEX(Inputs!$K$5:$AJ$120,0,MATCH(AA$2,Inputs!$K$4:$AJ$4,0)))+SUMPRODUCT((Inputs!$C$5:$C$120=$B11)*Inputs!$D$5:$D$120*(((Inputs!$G$5:$G$120="moeda")+(Inputs!$G$5:$G$120="acoes"))*Inputs!$B$1+((Inputs!$G$5:$G$120&lt;&gt;"moeda")*(Inputs!$G$5:$G$120&lt;&gt;"acoes")))*INDEX(Inputs!$K$5:$AJ$120,0,MATCH(AA$2,Inputs!$K$4:$AJ$4,0)))+SUMPRODUCT((Inputs!$E$5:$E$120=$B11)*Inputs!$F$5:$F$120*(((Inputs!$G$5:$G$120="moeda")+(Inputs!$G$5:$G$120="acoes"))*Inputs!$B$1+((Inputs!$G$5:$G$120&lt;&gt;"moeda")*(Inputs!$G$5:$G$120&lt;&gt;"acoes")))*INDEX(Inputs!$K$5:$AJ$120,0,MATCH(AA$2,Inputs!$K$4:$AJ$4,0)))))</f>
        <v>1</v>
      </c>
      <c r="AB11" s="268">
        <f>SUM(X11:AA11)</f>
        <v>1</v>
      </c>
      <c r="AC11" s="267">
        <f>IF(ISNA(MATCH(AC$2,Inputs!$K$4:$AJ$4,0)),NA(),IF(SUMPRODUCT((Inputs!$A$5:$A$120=$B11)*ISNUMBER(INDEX(Inputs!$K$5:$AJ$120,0,MATCH(AC$2,Inputs!$K$4:$AJ$4,0))))+SUMPRODUCT((Inputs!$C$5:$C$120=$B11)*ISNUMBER(INDEX(Inputs!$K$5:$AJ$120,0,MATCH(AC$2,Inputs!$K$4:$AJ$4,0))))+SUMPRODUCT((Inputs!$E$5:$E$120=$B11)*ISNUMBER(INDEX(Inputs!$K$5:$AJ$120,0,MATCH(AC$2,Inputs!$K$4:$AJ$4,0))))=0,NA(),SUMPRODUCT((Inputs!$A$5:$A$120=$B11)*Inputs!$B$5:$B$120*(((Inputs!$G$5:$G$120="moeda")+(Inputs!$G$5:$G$120="acoes"))*Inputs!$B$1+((Inputs!$G$5:$G$120&lt;&gt;"moeda")*(Inputs!$G$5:$G$120&lt;&gt;"acoes")))*INDEX(Inputs!$K$5:$AJ$120,0,MATCH(AC$2,Inputs!$K$4:$AJ$4,0)))+SUMPRODUCT((Inputs!$C$5:$C$120=$B11)*Inputs!$D$5:$D$120*(((Inputs!$G$5:$G$120="moeda")+(Inputs!$G$5:$G$120="acoes"))*Inputs!$B$1+((Inputs!$G$5:$G$120&lt;&gt;"moeda")*(Inputs!$G$5:$G$120&lt;&gt;"acoes")))*INDEX(Inputs!$K$5:$AJ$120,0,MATCH(AC$2,Inputs!$K$4:$AJ$4,0)))+SUMPRODUCT((Inputs!$E$5:$E$120=$B11)*Inputs!$F$5:$F$120*(((Inputs!$G$5:$G$120="moeda")+(Inputs!$G$5:$G$120="acoes"))*Inputs!$B$1+((Inputs!$G$5:$G$120&lt;&gt;"moeda")*(Inputs!$G$5:$G$120&lt;&gt;"acoes")))*INDEX(Inputs!$K$5:$AJ$120,0,MATCH(AC$2,Inputs!$K$4:$AJ$4,0)))))</f>
        <v>6</v>
      </c>
      <c r="AD11" s="267">
        <f>IF(ISNA(MATCH(AD$2,Inputs!$K$4:$AJ$4,0)),NA(),IF(SUMPRODUCT((Inputs!$A$5:$A$120=$B11)*ISNUMBER(INDEX(Inputs!$K$5:$AJ$120,0,MATCH(AD$2,Inputs!$K$4:$AJ$4,0))))+SUMPRODUCT((Inputs!$C$5:$C$120=$B11)*ISNUMBER(INDEX(Inputs!$K$5:$AJ$120,0,MATCH(AD$2,Inputs!$K$4:$AJ$4,0))))+SUMPRODUCT((Inputs!$E$5:$E$120=$B11)*ISNUMBER(INDEX(Inputs!$K$5:$AJ$120,0,MATCH(AD$2,Inputs!$K$4:$AJ$4,0))))=0,NA(),SUMPRODUCT((Inputs!$A$5:$A$120=$B11)*Inputs!$B$5:$B$120*(((Inputs!$G$5:$G$120="moeda")+(Inputs!$G$5:$G$120="acoes"))*Inputs!$B$1+((Inputs!$G$5:$G$120&lt;&gt;"moeda")*(Inputs!$G$5:$G$120&lt;&gt;"acoes")))*INDEX(Inputs!$K$5:$AJ$120,0,MATCH(AD$2,Inputs!$K$4:$AJ$4,0)))+SUMPRODUCT((Inputs!$C$5:$C$120=$B11)*Inputs!$D$5:$D$120*(((Inputs!$G$5:$G$120="moeda")+(Inputs!$G$5:$G$120="acoes"))*Inputs!$B$1+((Inputs!$G$5:$G$120&lt;&gt;"moeda")*(Inputs!$G$5:$G$120&lt;&gt;"acoes")))*INDEX(Inputs!$K$5:$AJ$120,0,MATCH(AD$2,Inputs!$K$4:$AJ$4,0)))+SUMPRODUCT((Inputs!$E$5:$E$120=$B11)*Inputs!$F$5:$F$120*(((Inputs!$G$5:$G$120="moeda")+(Inputs!$G$5:$G$120="acoes"))*Inputs!$B$1+((Inputs!$G$5:$G$120&lt;&gt;"moeda")*(Inputs!$G$5:$G$120&lt;&gt;"acoes")))*INDEX(Inputs!$K$5:$AJ$120,0,MATCH(AD$2,Inputs!$K$4:$AJ$4,0)))))</f>
        <v>5</v>
      </c>
      <c r="AE11" s="267" t="e">
        <f>IF(ISNA(MATCH(AE$2,Inputs!$K$4:$AJ$4,0)),NA(),IF(SUMPRODUCT((Inputs!$A$5:$A$120=$B11)*ISNUMBER(INDEX(Inputs!$K$5:$AJ$120,0,MATCH(AE$2,Inputs!$K$4:$AJ$4,0))))+SUMPRODUCT((Inputs!$C$5:$C$120=$B11)*ISNUMBER(INDEX(Inputs!$K$5:$AJ$120,0,MATCH(AE$2,Inputs!$K$4:$AJ$4,0))))+SUMPRODUCT((Inputs!$E$5:$E$120=$B11)*ISNUMBER(INDEX(Inputs!$K$5:$AJ$120,0,MATCH(AE$2,Inputs!$K$4:$AJ$4,0))))=0,NA(),SUMPRODUCT((Inputs!$A$5:$A$120=$B11)*Inputs!$B$5:$B$120*(((Inputs!$G$5:$G$120="moeda")+(Inputs!$G$5:$G$120="acoes"))*Inputs!$B$1+((Inputs!$G$5:$G$120&lt;&gt;"moeda")*(Inputs!$G$5:$G$120&lt;&gt;"acoes")))*INDEX(Inputs!$K$5:$AJ$120,0,MATCH(AE$2,Inputs!$K$4:$AJ$4,0)))+SUMPRODUCT((Inputs!$C$5:$C$120=$B11)*Inputs!$D$5:$D$120*(((Inputs!$G$5:$G$120="moeda")+(Inputs!$G$5:$G$120="acoes"))*Inputs!$B$1+((Inputs!$G$5:$G$120&lt;&gt;"moeda")*(Inputs!$G$5:$G$120&lt;&gt;"acoes")))*INDEX(Inputs!$K$5:$AJ$120,0,MATCH(AE$2,Inputs!$K$4:$AJ$4,0)))+SUMPRODUCT((Inputs!$E$5:$E$120=$B11)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1" s="267" t="e">
        <f>IF(ISNA(MATCH(AF$2,Inputs!$K$4:$AJ$4,0)),NA(),IF(SUMPRODUCT((Inputs!$A$5:$A$120=$B11)*ISNUMBER(INDEX(Inputs!$K$5:$AJ$120,0,MATCH(AF$2,Inputs!$K$4:$AJ$4,0))))+SUMPRODUCT((Inputs!$C$5:$C$120=$B11)*ISNUMBER(INDEX(Inputs!$K$5:$AJ$120,0,MATCH(AF$2,Inputs!$K$4:$AJ$4,0))))+SUMPRODUCT((Inputs!$E$5:$E$120=$B11)*ISNUMBER(INDEX(Inputs!$K$5:$AJ$120,0,MATCH(AF$2,Inputs!$K$4:$AJ$4,0))))=0,NA(),SUMPRODUCT((Inputs!$A$5:$A$120=$B11)*Inputs!$B$5:$B$120*(((Inputs!$G$5:$G$120="moeda")+(Inputs!$G$5:$G$120="acoes"))*Inputs!$B$1+((Inputs!$G$5:$G$120&lt;&gt;"moeda")*(Inputs!$G$5:$G$120&lt;&gt;"acoes")))*INDEX(Inputs!$K$5:$AJ$120,0,MATCH(AF$2,Inputs!$K$4:$AJ$4,0)))+SUMPRODUCT((Inputs!$C$5:$C$120=$B11)*Inputs!$D$5:$D$120*(((Inputs!$G$5:$G$120="moeda")+(Inputs!$G$5:$G$120="acoes"))*Inputs!$B$1+((Inputs!$G$5:$G$120&lt;&gt;"moeda")*(Inputs!$G$5:$G$120&lt;&gt;"acoes")))*INDEX(Inputs!$K$5:$AJ$120,0,MATCH(AF$2,Inputs!$K$4:$AJ$4,0)))+SUMPRODUCT((Inputs!$E$5:$E$120=$B11)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1" s="268" t="e">
        <f>SUM(AC11:AF11)</f>
        <v>#N/A</v>
      </c>
      <c r="AH11" s="267">
        <f>IF(ISNA(MATCH(AH$2,Inputs!$K$4:$AJ$4,0)),NA(),IF(SUMPRODUCT((Inputs!$A$5:$A$120=$B11)*ISNUMBER(INDEX(Inputs!$K$5:$AJ$120,0,MATCH(AH$2,Inputs!$K$4:$AJ$4,0))))+SUMPRODUCT((Inputs!$C$5:$C$120=$B11)*ISNUMBER(INDEX(Inputs!$K$5:$AJ$120,0,MATCH(AH$2,Inputs!$K$4:$AJ$4,0))))+SUMPRODUCT((Inputs!$E$5:$E$120=$B11)*ISNUMBER(INDEX(Inputs!$K$5:$AJ$120,0,MATCH(AH$2,Inputs!$K$4:$AJ$4,0))))=0,NA(),SUMPRODUCT((Inputs!$A$5:$A$120=$B11)*Inputs!$B$5:$B$120*(((Inputs!$G$5:$G$120="moeda")+(Inputs!$G$5:$G$120="acoes"))*Inputs!$B$1+((Inputs!$G$5:$G$120&lt;&gt;"moeda")*(Inputs!$G$5:$G$120&lt;&gt;"acoes")))*INDEX(Inputs!$K$5:$AJ$120,0,MATCH(AH$2,Inputs!$K$4:$AJ$4,0)))+SUMPRODUCT((Inputs!$C$5:$C$120=$B11)*Inputs!$D$5:$D$120*(((Inputs!$G$5:$G$120="moeda")+(Inputs!$G$5:$G$120="acoes"))*Inputs!$B$1+((Inputs!$G$5:$G$120&lt;&gt;"moeda")*(Inputs!$G$5:$G$120&lt;&gt;"acoes")))*INDEX(Inputs!$K$5:$AJ$120,0,MATCH(AH$2,Inputs!$K$4:$AJ$4,0)))+SUMPRODUCT((Inputs!$E$5:$E$120=$B11)*Inputs!$F$5:$F$120*(((Inputs!$G$5:$G$120="moeda")+(Inputs!$G$5:$G$120="acoes"))*Inputs!$B$1+((Inputs!$G$5:$G$120&lt;&gt;"moeda")*(Inputs!$G$5:$G$120&lt;&gt;"acoes")))*INDEX(Inputs!$K$5:$AJ$120,0,MATCH(AH$2,Inputs!$K$4:$AJ$4,0)))))</f>
        <v>3</v>
      </c>
      <c r="AI11" s="267">
        <f>IF(ISNA(MATCH(AI$2,Inputs!$K$4:$AJ$4,0)),NA(),IF(SUMPRODUCT((Inputs!$A$5:$A$120=$B11)*ISNUMBER(INDEX(Inputs!$K$5:$AJ$120,0,MATCH(AI$2,Inputs!$K$4:$AJ$4,0))))+SUMPRODUCT((Inputs!$C$5:$C$120=$B11)*ISNUMBER(INDEX(Inputs!$K$5:$AJ$120,0,MATCH(AI$2,Inputs!$K$4:$AJ$4,0))))+SUMPRODUCT((Inputs!$E$5:$E$120=$B11)*ISNUMBER(INDEX(Inputs!$K$5:$AJ$120,0,MATCH(AI$2,Inputs!$K$4:$AJ$4,0))))=0,NA(),SUMPRODUCT((Inputs!$A$5:$A$120=$B11)*Inputs!$B$5:$B$120*(((Inputs!$G$5:$G$120="moeda")+(Inputs!$G$5:$G$120="acoes"))*Inputs!$B$1+((Inputs!$G$5:$G$120&lt;&gt;"moeda")*(Inputs!$G$5:$G$120&lt;&gt;"acoes")))*INDEX(Inputs!$K$5:$AJ$120,0,MATCH(AI$2,Inputs!$K$4:$AJ$4,0)))+SUMPRODUCT((Inputs!$C$5:$C$120=$B11)*Inputs!$D$5:$D$120*(((Inputs!$G$5:$G$120="moeda")+(Inputs!$G$5:$G$120="acoes"))*Inputs!$B$1+((Inputs!$G$5:$G$120&lt;&gt;"moeda")*(Inputs!$G$5:$G$120&lt;&gt;"acoes")))*INDEX(Inputs!$K$5:$AJ$120,0,MATCH(AI$2,Inputs!$K$4:$AJ$4,0)))+SUMPRODUCT((Inputs!$E$5:$E$120=$B11)*Inputs!$F$5:$F$120*(((Inputs!$G$5:$G$120="moeda")+(Inputs!$G$5:$G$120="acoes"))*Inputs!$B$1+((Inputs!$G$5:$G$120&lt;&gt;"moeda")*(Inputs!$G$5:$G$120&lt;&gt;"acoes")))*INDEX(Inputs!$K$5:$AJ$120,0,MATCH(AI$2,Inputs!$K$4:$AJ$4,0)))))</f>
        <v>3</v>
      </c>
      <c r="AJ11" s="267">
        <f>IF(ISNA(MATCH(AJ$2,Inputs!$K$4:$AJ$4,0)),NA(),IF(SUMPRODUCT((Inputs!$A$5:$A$120=$B11)*ISNUMBER(INDEX(Inputs!$K$5:$AJ$120,0,MATCH(AJ$2,Inputs!$K$4:$AJ$4,0))))+SUMPRODUCT((Inputs!$C$5:$C$120=$B11)*ISNUMBER(INDEX(Inputs!$K$5:$AJ$120,0,MATCH(AJ$2,Inputs!$K$4:$AJ$4,0))))+SUMPRODUCT((Inputs!$E$5:$E$120=$B11)*ISNUMBER(INDEX(Inputs!$K$5:$AJ$120,0,MATCH(AJ$2,Inputs!$K$4:$AJ$4,0))))=0,NA(),SUMPRODUCT((Inputs!$A$5:$A$120=$B11)*Inputs!$B$5:$B$120*(((Inputs!$G$5:$G$120="moeda")+(Inputs!$G$5:$G$120="acoes"))*Inputs!$B$1+((Inputs!$G$5:$G$120&lt;&gt;"moeda")*(Inputs!$G$5:$G$120&lt;&gt;"acoes")))*INDEX(Inputs!$K$5:$AJ$120,0,MATCH(AJ$2,Inputs!$K$4:$AJ$4,0)))+SUMPRODUCT((Inputs!$C$5:$C$120=$B11)*Inputs!$D$5:$D$120*(((Inputs!$G$5:$G$120="moeda")+(Inputs!$G$5:$G$120="acoes"))*Inputs!$B$1+((Inputs!$G$5:$G$120&lt;&gt;"moeda")*(Inputs!$G$5:$G$120&lt;&gt;"acoes")))*INDEX(Inputs!$K$5:$AJ$120,0,MATCH(AJ$2,Inputs!$K$4:$AJ$4,0)))+SUMPRODUCT((Inputs!$E$5:$E$120=$B11)*Inputs!$F$5:$F$120*(((Inputs!$G$5:$G$120="moeda")+(Inputs!$G$5:$G$120="acoes"))*Inputs!$B$1+((Inputs!$G$5:$G$120&lt;&gt;"moeda")*(Inputs!$G$5:$G$120&lt;&gt;"acoes")))*INDEX(Inputs!$K$5:$AJ$120,0,MATCH(AJ$2,Inputs!$K$4:$AJ$4,0)))))</f>
        <v>6</v>
      </c>
      <c r="AK11" s="267">
        <f>IF(ISNA(MATCH(AK$2,Inputs!$K$4:$AJ$4,0)),NA(),IF(SUMPRODUCT((Inputs!$A$5:$A$120=$B11)*ISNUMBER(INDEX(Inputs!$K$5:$AJ$120,0,MATCH(AK$2,Inputs!$K$4:$AJ$4,0))))+SUMPRODUCT((Inputs!$C$5:$C$120=$B11)*ISNUMBER(INDEX(Inputs!$K$5:$AJ$120,0,MATCH(AK$2,Inputs!$K$4:$AJ$4,0))))+SUMPRODUCT((Inputs!$E$5:$E$120=$B11)*ISNUMBER(INDEX(Inputs!$K$5:$AJ$120,0,MATCH(AK$2,Inputs!$K$4:$AJ$4,0))))=0,NA(),SUMPRODUCT((Inputs!$A$5:$A$120=$B11)*Inputs!$B$5:$B$120*(((Inputs!$G$5:$G$120="moeda")+(Inputs!$G$5:$G$120="acoes"))*Inputs!$B$1+((Inputs!$G$5:$G$120&lt;&gt;"moeda")*(Inputs!$G$5:$G$120&lt;&gt;"acoes")))*INDEX(Inputs!$K$5:$AJ$120,0,MATCH(AK$2,Inputs!$K$4:$AJ$4,0)))+SUMPRODUCT((Inputs!$C$5:$C$120=$B11)*Inputs!$D$5:$D$120*(((Inputs!$G$5:$G$120="moeda")+(Inputs!$G$5:$G$120="acoes"))*Inputs!$B$1+((Inputs!$G$5:$G$120&lt;&gt;"moeda")*(Inputs!$G$5:$G$120&lt;&gt;"acoes")))*INDEX(Inputs!$K$5:$AJ$120,0,MATCH(AK$2,Inputs!$K$4:$AJ$4,0)))+SUMPRODUCT((Inputs!$E$5:$E$120=$B11)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1" s="268">
        <f>SUM(AH11:AK11)</f>
        <v>12</v>
      </c>
    </row>
    <row r="12" ht="12.75" customHeight="1" s="255">
      <c r="B12" s="265" t="n">
        <v>9</v>
      </c>
      <c r="C12" s="270" t="inlineStr">
        <is>
          <t>Minority Interest Expense, after tax (enter as - )</t>
        </is>
      </c>
      <c r="D12" s="267">
        <f>IF(ISNA(MATCH(D$2,Inputs!$K$4:$AJ$4,0)),NA(),IF(SUMPRODUCT((Inputs!$A$5:$A$120=$B12)*ISNUMBER(INDEX(Inputs!$K$5:$AJ$120,0,MATCH(D$2,Inputs!$K$4:$AJ$4,0))))+SUMPRODUCT((Inputs!$C$5:$C$120=$B12)*ISNUMBER(INDEX(Inputs!$K$5:$AJ$120,0,MATCH(D$2,Inputs!$K$4:$AJ$4,0))))+SUMPRODUCT((Inputs!$E$5:$E$120=$B12)*ISNUMBER(INDEX(Inputs!$K$5:$AJ$120,0,MATCH(D$2,Inputs!$K$4:$AJ$4,0))))=0,NA(),SUMPRODUCT((Inputs!$A$5:$A$120=$B12)*Inputs!$B$5:$B$120*(((Inputs!$G$5:$G$120="moeda")+(Inputs!$G$5:$G$120="acoes"))*Inputs!$B$1+((Inputs!$G$5:$G$120&lt;&gt;"moeda")*(Inputs!$G$5:$G$120&lt;&gt;"acoes")))*INDEX(Inputs!$K$5:$AJ$120,0,MATCH(D$2,Inputs!$K$4:$AJ$4,0)))+SUMPRODUCT((Inputs!$C$5:$C$120=$B12)*Inputs!$D$5:$D$120*(((Inputs!$G$5:$G$120="moeda")+(Inputs!$G$5:$G$120="acoes"))*Inputs!$B$1+((Inputs!$G$5:$G$120&lt;&gt;"moeda")*(Inputs!$G$5:$G$120&lt;&gt;"acoes")))*INDEX(Inputs!$K$5:$AJ$120,0,MATCH(D$2,Inputs!$K$4:$AJ$4,0)))+SUMPRODUCT((Inputs!$E$5:$E$120=$B12)*Inputs!$F$5:$F$120*(((Inputs!$G$5:$G$120="moeda")+(Inputs!$G$5:$G$120="acoes"))*Inputs!$B$1+((Inputs!$G$5:$G$120&lt;&gt;"moeda")*(Inputs!$G$5:$G$120&lt;&gt;"acoes")))*INDEX(Inputs!$K$5:$AJ$120,0,MATCH(D$2,Inputs!$K$4:$AJ$4,0)))))</f>
        <v>235</v>
      </c>
      <c r="E12" s="267">
        <f>IF(ISNA(MATCH(E$2,Inputs!$K$4:$AJ$4,0)),NA(),IF(SUMPRODUCT((Inputs!$A$5:$A$120=$B12)*ISNUMBER(INDEX(Inputs!$K$5:$AJ$120,0,MATCH(E$2,Inputs!$K$4:$AJ$4,0))))+SUMPRODUCT((Inputs!$C$5:$C$120=$B12)*ISNUMBER(INDEX(Inputs!$K$5:$AJ$120,0,MATCH(E$2,Inputs!$K$4:$AJ$4,0))))+SUMPRODUCT((Inputs!$E$5:$E$120=$B12)*ISNUMBER(INDEX(Inputs!$K$5:$AJ$120,0,MATCH(E$2,Inputs!$K$4:$AJ$4,0))))=0,NA(),SUMPRODUCT((Inputs!$A$5:$A$120=$B12)*Inputs!$B$5:$B$120*(((Inputs!$G$5:$G$120="moeda")+(Inputs!$G$5:$G$120="acoes"))*Inputs!$B$1+((Inputs!$G$5:$G$120&lt;&gt;"moeda")*(Inputs!$G$5:$G$120&lt;&gt;"acoes")))*INDEX(Inputs!$K$5:$AJ$120,0,MATCH(E$2,Inputs!$K$4:$AJ$4,0)))+SUMPRODUCT((Inputs!$C$5:$C$120=$B12)*Inputs!$D$5:$D$120*(((Inputs!$G$5:$G$120="moeda")+(Inputs!$G$5:$G$120="acoes"))*Inputs!$B$1+((Inputs!$G$5:$G$120&lt;&gt;"moeda")*(Inputs!$G$5:$G$120&lt;&gt;"acoes")))*INDEX(Inputs!$K$5:$AJ$120,0,MATCH(E$2,Inputs!$K$4:$AJ$4,0)))+SUMPRODUCT((Inputs!$E$5:$E$120=$B12)*Inputs!$F$5:$F$120*(((Inputs!$G$5:$G$120="moeda")+(Inputs!$G$5:$G$120="acoes"))*Inputs!$B$1+((Inputs!$G$5:$G$120&lt;&gt;"moeda")*(Inputs!$G$5:$G$120&lt;&gt;"acoes")))*INDEX(Inputs!$K$5:$AJ$120,0,MATCH(E$2,Inputs!$K$4:$AJ$4,0)))))</f>
        <v>-248</v>
      </c>
      <c r="F12" s="267">
        <f>IF(ISNA(MATCH(F$2,Inputs!$K$4:$AJ$4,0)),NA(),IF(SUMPRODUCT((Inputs!$A$5:$A$120=$B12)*ISNUMBER(INDEX(Inputs!$K$5:$AJ$120,0,MATCH(F$2,Inputs!$K$4:$AJ$4,0))))+SUMPRODUCT((Inputs!$C$5:$C$120=$B12)*ISNUMBER(INDEX(Inputs!$K$5:$AJ$120,0,MATCH(F$2,Inputs!$K$4:$AJ$4,0))))+SUMPRODUCT((Inputs!$E$5:$E$120=$B12)*ISNUMBER(INDEX(Inputs!$K$5:$AJ$120,0,MATCH(F$2,Inputs!$K$4:$AJ$4,0))))=0,NA(),SUMPRODUCT((Inputs!$A$5:$A$120=$B12)*Inputs!$B$5:$B$120*(((Inputs!$G$5:$G$120="moeda")+(Inputs!$G$5:$G$120="acoes"))*Inputs!$B$1+((Inputs!$G$5:$G$120&lt;&gt;"moeda")*(Inputs!$G$5:$G$120&lt;&gt;"acoes")))*INDEX(Inputs!$K$5:$AJ$120,0,MATCH(F$2,Inputs!$K$4:$AJ$4,0)))+SUMPRODUCT((Inputs!$C$5:$C$120=$B12)*Inputs!$D$5:$D$120*(((Inputs!$G$5:$G$120="moeda")+(Inputs!$G$5:$G$120="acoes"))*Inputs!$B$1+((Inputs!$G$5:$G$120&lt;&gt;"moeda")*(Inputs!$G$5:$G$120&lt;&gt;"acoes")))*INDEX(Inputs!$K$5:$AJ$120,0,MATCH(F$2,Inputs!$K$4:$AJ$4,0)))+SUMPRODUCT((Inputs!$E$5:$E$120=$B12)*Inputs!$F$5:$F$120*(((Inputs!$G$5:$G$120="moeda")+(Inputs!$G$5:$G$120="acoes"))*Inputs!$B$1+((Inputs!$G$5:$G$120&lt;&gt;"moeda")*(Inputs!$G$5:$G$120&lt;&gt;"acoes")))*INDEX(Inputs!$K$5:$AJ$120,0,MATCH(F$2,Inputs!$K$4:$AJ$4,0)))))</f>
        <v>-324</v>
      </c>
      <c r="G12" s="267">
        <f>IF(ISNA(MATCH(G$2,Inputs!$K$4:$AJ$4,0)),NA(),IF(SUMPRODUCT((Inputs!$A$5:$A$120=$B12)*ISNUMBER(INDEX(Inputs!$K$5:$AJ$120,0,MATCH(G$2,Inputs!$K$4:$AJ$4,0))))+SUMPRODUCT((Inputs!$C$5:$C$120=$B12)*ISNUMBER(INDEX(Inputs!$K$5:$AJ$120,0,MATCH(G$2,Inputs!$K$4:$AJ$4,0))))+SUMPRODUCT((Inputs!$E$5:$E$120=$B12)*ISNUMBER(INDEX(Inputs!$K$5:$AJ$120,0,MATCH(G$2,Inputs!$K$4:$AJ$4,0))))=0,NA(),SUMPRODUCT((Inputs!$A$5:$A$120=$B12)*Inputs!$B$5:$B$120*(((Inputs!$G$5:$G$120="moeda")+(Inputs!$G$5:$G$120="acoes"))*Inputs!$B$1+((Inputs!$G$5:$G$120&lt;&gt;"moeda")*(Inputs!$G$5:$G$120&lt;&gt;"acoes")))*INDEX(Inputs!$K$5:$AJ$120,0,MATCH(G$2,Inputs!$K$4:$AJ$4,0)))+SUMPRODUCT((Inputs!$C$5:$C$120=$B12)*Inputs!$D$5:$D$120*(((Inputs!$G$5:$G$120="moeda")+(Inputs!$G$5:$G$120="acoes"))*Inputs!$B$1+((Inputs!$G$5:$G$120&lt;&gt;"moeda")*(Inputs!$G$5:$G$120&lt;&gt;"acoes")))*INDEX(Inputs!$K$5:$AJ$120,0,MATCH(G$2,Inputs!$K$4:$AJ$4,0)))+SUMPRODUCT((Inputs!$E$5:$E$120=$B12)*Inputs!$F$5:$F$120*(((Inputs!$G$5:$G$120="moeda")+(Inputs!$G$5:$G$120="acoes"))*Inputs!$B$1+((Inputs!$G$5:$G$120&lt;&gt;"moeda")*(Inputs!$G$5:$G$120&lt;&gt;"acoes")))*INDEX(Inputs!$K$5:$AJ$120,0,MATCH(G$2,Inputs!$K$4:$AJ$4,0)))))</f>
        <v>1866</v>
      </c>
      <c r="H12" s="268">
        <f>SUM(D12:G12)</f>
        <v>1529</v>
      </c>
      <c r="I12" s="267">
        <f>IF(ISNA(MATCH(I$2,Inputs!$K$4:$AJ$4,0)),NA(),IF(SUMPRODUCT((Inputs!$A$5:$A$120=$B12)*ISNUMBER(INDEX(Inputs!$K$5:$AJ$120,0,MATCH(I$2,Inputs!$K$4:$AJ$4,0))))+SUMPRODUCT((Inputs!$C$5:$C$120=$B12)*ISNUMBER(INDEX(Inputs!$K$5:$AJ$120,0,MATCH(I$2,Inputs!$K$4:$AJ$4,0))))+SUMPRODUCT((Inputs!$E$5:$E$120=$B12)*ISNUMBER(INDEX(Inputs!$K$5:$AJ$120,0,MATCH(I$2,Inputs!$K$4:$AJ$4,0))))=0,NA(),SUMPRODUCT((Inputs!$A$5:$A$120=$B12)*Inputs!$B$5:$B$120*(((Inputs!$G$5:$G$120="moeda")+(Inputs!$G$5:$G$120="acoes"))*Inputs!$B$1+((Inputs!$G$5:$G$120&lt;&gt;"moeda")*(Inputs!$G$5:$G$120&lt;&gt;"acoes")))*INDEX(Inputs!$K$5:$AJ$120,0,MATCH(I$2,Inputs!$K$4:$AJ$4,0)))+SUMPRODUCT((Inputs!$C$5:$C$120=$B12)*Inputs!$D$5:$D$120*(((Inputs!$G$5:$G$120="moeda")+(Inputs!$G$5:$G$120="acoes"))*Inputs!$B$1+((Inputs!$G$5:$G$120&lt;&gt;"moeda")*(Inputs!$G$5:$G$120&lt;&gt;"acoes")))*INDEX(Inputs!$K$5:$AJ$120,0,MATCH(I$2,Inputs!$K$4:$AJ$4,0)))+SUMPRODUCT((Inputs!$E$5:$E$120=$B12)*Inputs!$F$5:$F$120*(((Inputs!$G$5:$G$120="moeda")+(Inputs!$G$5:$G$120="acoes"))*Inputs!$B$1+((Inputs!$G$5:$G$120&lt;&gt;"moeda")*(Inputs!$G$5:$G$120&lt;&gt;"acoes")))*INDEX(Inputs!$K$5:$AJ$120,0,MATCH(I$2,Inputs!$K$4:$AJ$4,0)))))</f>
        <v>-377</v>
      </c>
      <c r="J12" s="267">
        <f>IF(ISNA(MATCH(J$2,Inputs!$K$4:$AJ$4,0)),NA(),IF(SUMPRODUCT((Inputs!$A$5:$A$120=$B12)*ISNUMBER(INDEX(Inputs!$K$5:$AJ$120,0,MATCH(J$2,Inputs!$K$4:$AJ$4,0))))+SUMPRODUCT((Inputs!$C$5:$C$120=$B12)*ISNUMBER(INDEX(Inputs!$K$5:$AJ$120,0,MATCH(J$2,Inputs!$K$4:$AJ$4,0))))+SUMPRODUCT((Inputs!$E$5:$E$120=$B12)*ISNUMBER(INDEX(Inputs!$K$5:$AJ$120,0,MATCH(J$2,Inputs!$K$4:$AJ$4,0))))=0,NA(),SUMPRODUCT((Inputs!$A$5:$A$120=$B12)*Inputs!$B$5:$B$120*(((Inputs!$G$5:$G$120="moeda")+(Inputs!$G$5:$G$120="acoes"))*Inputs!$B$1+((Inputs!$G$5:$G$120&lt;&gt;"moeda")*(Inputs!$G$5:$G$120&lt;&gt;"acoes")))*INDEX(Inputs!$K$5:$AJ$120,0,MATCH(J$2,Inputs!$K$4:$AJ$4,0)))+SUMPRODUCT((Inputs!$C$5:$C$120=$B12)*Inputs!$D$5:$D$120*(((Inputs!$G$5:$G$120="moeda")+(Inputs!$G$5:$G$120="acoes"))*Inputs!$B$1+((Inputs!$G$5:$G$120&lt;&gt;"moeda")*(Inputs!$G$5:$G$120&lt;&gt;"acoes")))*INDEX(Inputs!$K$5:$AJ$120,0,MATCH(J$2,Inputs!$K$4:$AJ$4,0)))+SUMPRODUCT((Inputs!$E$5:$E$120=$B12)*Inputs!$F$5:$F$120*(((Inputs!$G$5:$G$120="moeda")+(Inputs!$G$5:$G$120="acoes"))*Inputs!$B$1+((Inputs!$G$5:$G$120&lt;&gt;"moeda")*(Inputs!$G$5:$G$120&lt;&gt;"acoes")))*INDEX(Inputs!$K$5:$AJ$120,0,MATCH(J$2,Inputs!$K$4:$AJ$4,0)))))</f>
        <v>-198</v>
      </c>
      <c r="K12" s="267">
        <f>IF(ISNA(MATCH(K$2,Inputs!$K$4:$AJ$4,0)),NA(),IF(SUMPRODUCT((Inputs!$A$5:$A$120=$B12)*ISNUMBER(INDEX(Inputs!$K$5:$AJ$120,0,MATCH(K$2,Inputs!$K$4:$AJ$4,0))))+SUMPRODUCT((Inputs!$C$5:$C$120=$B12)*ISNUMBER(INDEX(Inputs!$K$5:$AJ$120,0,MATCH(K$2,Inputs!$K$4:$AJ$4,0))))+SUMPRODUCT((Inputs!$E$5:$E$120=$B12)*ISNUMBER(INDEX(Inputs!$K$5:$AJ$120,0,MATCH(K$2,Inputs!$K$4:$AJ$4,0))))=0,NA(),SUMPRODUCT((Inputs!$A$5:$A$120=$B12)*Inputs!$B$5:$B$120*(((Inputs!$G$5:$G$120="moeda")+(Inputs!$G$5:$G$120="acoes"))*Inputs!$B$1+((Inputs!$G$5:$G$120&lt;&gt;"moeda")*(Inputs!$G$5:$G$120&lt;&gt;"acoes")))*INDEX(Inputs!$K$5:$AJ$120,0,MATCH(K$2,Inputs!$K$4:$AJ$4,0)))+SUMPRODUCT((Inputs!$C$5:$C$120=$B12)*Inputs!$D$5:$D$120*(((Inputs!$G$5:$G$120="moeda")+(Inputs!$G$5:$G$120="acoes"))*Inputs!$B$1+((Inputs!$G$5:$G$120&lt;&gt;"moeda")*(Inputs!$G$5:$G$120&lt;&gt;"acoes")))*INDEX(Inputs!$K$5:$AJ$120,0,MATCH(K$2,Inputs!$K$4:$AJ$4,0)))+SUMPRODUCT((Inputs!$E$5:$E$120=$B12)*Inputs!$F$5:$F$120*(((Inputs!$G$5:$G$120="moeda")+(Inputs!$G$5:$G$120="acoes"))*Inputs!$B$1+((Inputs!$G$5:$G$120&lt;&gt;"moeda")*(Inputs!$G$5:$G$120&lt;&gt;"acoes")))*INDEX(Inputs!$K$5:$AJ$120,0,MATCH(K$2,Inputs!$K$4:$AJ$4,0)))))</f>
        <v>-156</v>
      </c>
      <c r="L12" s="267">
        <f>IF(ISNA(MATCH(L$2,Inputs!$K$4:$AJ$4,0)),NA(),IF(SUMPRODUCT((Inputs!$A$5:$A$120=$B12)*ISNUMBER(INDEX(Inputs!$K$5:$AJ$120,0,MATCH(L$2,Inputs!$K$4:$AJ$4,0))))+SUMPRODUCT((Inputs!$C$5:$C$120=$B12)*ISNUMBER(INDEX(Inputs!$K$5:$AJ$120,0,MATCH(L$2,Inputs!$K$4:$AJ$4,0))))+SUMPRODUCT((Inputs!$E$5:$E$120=$B12)*ISNUMBER(INDEX(Inputs!$K$5:$AJ$120,0,MATCH(L$2,Inputs!$K$4:$AJ$4,0))))=0,NA(),SUMPRODUCT((Inputs!$A$5:$A$120=$B12)*Inputs!$B$5:$B$120*(((Inputs!$G$5:$G$120="moeda")+(Inputs!$G$5:$G$120="acoes"))*Inputs!$B$1+((Inputs!$G$5:$G$120&lt;&gt;"moeda")*(Inputs!$G$5:$G$120&lt;&gt;"acoes")))*INDEX(Inputs!$K$5:$AJ$120,0,MATCH(L$2,Inputs!$K$4:$AJ$4,0)))+SUMPRODUCT((Inputs!$C$5:$C$120=$B12)*Inputs!$D$5:$D$120*(((Inputs!$G$5:$G$120="moeda")+(Inputs!$G$5:$G$120="acoes"))*Inputs!$B$1+((Inputs!$G$5:$G$120&lt;&gt;"moeda")*(Inputs!$G$5:$G$120&lt;&gt;"acoes")))*INDEX(Inputs!$K$5:$AJ$120,0,MATCH(L$2,Inputs!$K$4:$AJ$4,0)))+SUMPRODUCT((Inputs!$E$5:$E$120=$B12)*Inputs!$F$5:$F$120*(((Inputs!$G$5:$G$120="moeda")+(Inputs!$G$5:$G$120="acoes"))*Inputs!$B$1+((Inputs!$G$5:$G$120&lt;&gt;"moeda")*(Inputs!$G$5:$G$120&lt;&gt;"acoes")))*INDEX(Inputs!$K$5:$AJ$120,0,MATCH(L$2,Inputs!$K$4:$AJ$4,0)))))</f>
        <v>-280</v>
      </c>
      <c r="M12" s="268">
        <f>SUM(I12:L12)</f>
        <v>-1011</v>
      </c>
      <c r="N12" s="267">
        <f>IF(ISNA(MATCH(N$2,Inputs!$K$4:$AJ$4,0)),NA(),IF(SUMPRODUCT((Inputs!$A$5:$A$120=$B12)*ISNUMBER(INDEX(Inputs!$K$5:$AJ$120,0,MATCH(N$2,Inputs!$K$4:$AJ$4,0))))+SUMPRODUCT((Inputs!$C$5:$C$120=$B12)*ISNUMBER(INDEX(Inputs!$K$5:$AJ$120,0,MATCH(N$2,Inputs!$K$4:$AJ$4,0))))+SUMPRODUCT((Inputs!$E$5:$E$120=$B12)*ISNUMBER(INDEX(Inputs!$K$5:$AJ$120,0,MATCH(N$2,Inputs!$K$4:$AJ$4,0))))=0,NA(),SUMPRODUCT((Inputs!$A$5:$A$120=$B12)*Inputs!$B$5:$B$120*(((Inputs!$G$5:$G$120="moeda")+(Inputs!$G$5:$G$120="acoes"))*Inputs!$B$1+((Inputs!$G$5:$G$120&lt;&gt;"moeda")*(Inputs!$G$5:$G$120&lt;&gt;"acoes")))*INDEX(Inputs!$K$5:$AJ$120,0,MATCH(N$2,Inputs!$K$4:$AJ$4,0)))+SUMPRODUCT((Inputs!$C$5:$C$120=$B12)*Inputs!$D$5:$D$120*(((Inputs!$G$5:$G$120="moeda")+(Inputs!$G$5:$G$120="acoes"))*Inputs!$B$1+((Inputs!$G$5:$G$120&lt;&gt;"moeda")*(Inputs!$G$5:$G$120&lt;&gt;"acoes")))*INDEX(Inputs!$K$5:$AJ$120,0,MATCH(N$2,Inputs!$K$4:$AJ$4,0)))+SUMPRODUCT((Inputs!$E$5:$E$120=$B12)*Inputs!$F$5:$F$120*(((Inputs!$G$5:$G$120="moeda")+(Inputs!$G$5:$G$120="acoes"))*Inputs!$B$1+((Inputs!$G$5:$G$120&lt;&gt;"moeda")*(Inputs!$G$5:$G$120&lt;&gt;"acoes")))*INDEX(Inputs!$K$5:$AJ$120,0,MATCH(N$2,Inputs!$K$4:$AJ$4,0)))))</f>
        <v>-386</v>
      </c>
      <c r="O12" s="267">
        <f>IF(ISNA(MATCH(O$2,Inputs!$K$4:$AJ$4,0)),NA(),IF(SUMPRODUCT((Inputs!$A$5:$A$120=$B12)*ISNUMBER(INDEX(Inputs!$K$5:$AJ$120,0,MATCH(O$2,Inputs!$K$4:$AJ$4,0))))+SUMPRODUCT((Inputs!$C$5:$C$120=$B12)*ISNUMBER(INDEX(Inputs!$K$5:$AJ$120,0,MATCH(O$2,Inputs!$K$4:$AJ$4,0))))+SUMPRODUCT((Inputs!$E$5:$E$120=$B12)*ISNUMBER(INDEX(Inputs!$K$5:$AJ$120,0,MATCH(O$2,Inputs!$K$4:$AJ$4,0))))=0,NA(),SUMPRODUCT((Inputs!$A$5:$A$120=$B12)*Inputs!$B$5:$B$120*(((Inputs!$G$5:$G$120="moeda")+(Inputs!$G$5:$G$120="acoes"))*Inputs!$B$1+((Inputs!$G$5:$G$120&lt;&gt;"moeda")*(Inputs!$G$5:$G$120&lt;&gt;"acoes")))*INDEX(Inputs!$K$5:$AJ$120,0,MATCH(O$2,Inputs!$K$4:$AJ$4,0)))+SUMPRODUCT((Inputs!$C$5:$C$120=$B12)*Inputs!$D$5:$D$120*(((Inputs!$G$5:$G$120="moeda")+(Inputs!$G$5:$G$120="acoes"))*Inputs!$B$1+((Inputs!$G$5:$G$120&lt;&gt;"moeda")*(Inputs!$G$5:$G$120&lt;&gt;"acoes")))*INDEX(Inputs!$K$5:$AJ$120,0,MATCH(O$2,Inputs!$K$4:$AJ$4,0)))+SUMPRODUCT((Inputs!$E$5:$E$120=$B12)*Inputs!$F$5:$F$120*(((Inputs!$G$5:$G$120="moeda")+(Inputs!$G$5:$G$120="acoes"))*Inputs!$B$1+((Inputs!$G$5:$G$120&lt;&gt;"moeda")*(Inputs!$G$5:$G$120&lt;&gt;"acoes")))*INDEX(Inputs!$K$5:$AJ$120,0,MATCH(O$2,Inputs!$K$4:$AJ$4,0)))))</f>
        <v>-388</v>
      </c>
      <c r="P12" s="267">
        <f>IF(ISNA(MATCH(P$2,Inputs!$K$4:$AJ$4,0)),NA(),IF(SUMPRODUCT((Inputs!$A$5:$A$120=$B12)*ISNUMBER(INDEX(Inputs!$K$5:$AJ$120,0,MATCH(P$2,Inputs!$K$4:$AJ$4,0))))+SUMPRODUCT((Inputs!$C$5:$C$120=$B12)*ISNUMBER(INDEX(Inputs!$K$5:$AJ$120,0,MATCH(P$2,Inputs!$K$4:$AJ$4,0))))+SUMPRODUCT((Inputs!$E$5:$E$120=$B12)*ISNUMBER(INDEX(Inputs!$K$5:$AJ$120,0,MATCH(P$2,Inputs!$K$4:$AJ$4,0))))=0,NA(),SUMPRODUCT((Inputs!$A$5:$A$120=$B12)*Inputs!$B$5:$B$120*(((Inputs!$G$5:$G$120="moeda")+(Inputs!$G$5:$G$120="acoes"))*Inputs!$B$1+((Inputs!$G$5:$G$120&lt;&gt;"moeda")*(Inputs!$G$5:$G$120&lt;&gt;"acoes")))*INDEX(Inputs!$K$5:$AJ$120,0,MATCH(P$2,Inputs!$K$4:$AJ$4,0)))+SUMPRODUCT((Inputs!$C$5:$C$120=$B12)*Inputs!$D$5:$D$120*(((Inputs!$G$5:$G$120="moeda")+(Inputs!$G$5:$G$120="acoes"))*Inputs!$B$1+((Inputs!$G$5:$G$120&lt;&gt;"moeda")*(Inputs!$G$5:$G$120&lt;&gt;"acoes")))*INDEX(Inputs!$K$5:$AJ$120,0,MATCH(P$2,Inputs!$K$4:$AJ$4,0)))+SUMPRODUCT((Inputs!$E$5:$E$120=$B12)*Inputs!$F$5:$F$120*(((Inputs!$G$5:$G$120="moeda")+(Inputs!$G$5:$G$120="acoes"))*Inputs!$B$1+((Inputs!$G$5:$G$120&lt;&gt;"moeda")*(Inputs!$G$5:$G$120&lt;&gt;"acoes")))*INDEX(Inputs!$K$5:$AJ$120,0,MATCH(P$2,Inputs!$K$4:$AJ$4,0)))))</f>
        <v>-510</v>
      </c>
      <c r="Q12" s="267">
        <f>IF(ISNA(MATCH(Q$2,Inputs!$K$4:$AJ$4,0)),NA(),IF(SUMPRODUCT((Inputs!$A$5:$A$120=$B12)*ISNUMBER(INDEX(Inputs!$K$5:$AJ$120,0,MATCH(Q$2,Inputs!$K$4:$AJ$4,0))))+SUMPRODUCT((Inputs!$C$5:$C$120=$B12)*ISNUMBER(INDEX(Inputs!$K$5:$AJ$120,0,MATCH(Q$2,Inputs!$K$4:$AJ$4,0))))+SUMPRODUCT((Inputs!$E$5:$E$120=$B12)*ISNUMBER(INDEX(Inputs!$K$5:$AJ$120,0,MATCH(Q$2,Inputs!$K$4:$AJ$4,0))))=0,NA(),SUMPRODUCT((Inputs!$A$5:$A$120=$B12)*Inputs!$B$5:$B$120*(((Inputs!$G$5:$G$120="moeda")+(Inputs!$G$5:$G$120="acoes"))*Inputs!$B$1+((Inputs!$G$5:$G$120&lt;&gt;"moeda")*(Inputs!$G$5:$G$120&lt;&gt;"acoes")))*INDEX(Inputs!$K$5:$AJ$120,0,MATCH(Q$2,Inputs!$K$4:$AJ$4,0)))+SUMPRODUCT((Inputs!$C$5:$C$120=$B12)*Inputs!$D$5:$D$120*(((Inputs!$G$5:$G$120="moeda")+(Inputs!$G$5:$G$120="acoes"))*Inputs!$B$1+((Inputs!$G$5:$G$120&lt;&gt;"moeda")*(Inputs!$G$5:$G$120&lt;&gt;"acoes")))*INDEX(Inputs!$K$5:$AJ$120,0,MATCH(Q$2,Inputs!$K$4:$AJ$4,0)))+SUMPRODUCT((Inputs!$E$5:$E$120=$B12)*Inputs!$F$5:$F$120*(((Inputs!$G$5:$G$120="moeda")+(Inputs!$G$5:$G$120="acoes"))*Inputs!$B$1+((Inputs!$G$5:$G$120&lt;&gt;"moeda")*(Inputs!$G$5:$G$120&lt;&gt;"acoes")))*INDEX(Inputs!$K$5:$AJ$120,0,MATCH(Q$2,Inputs!$K$4:$AJ$4,0)))))</f>
        <v>-619</v>
      </c>
      <c r="R12" s="268">
        <f>SUM(N12:Q12)</f>
        <v>-1903</v>
      </c>
      <c r="S12" s="267">
        <f>IF(ISNA(MATCH(S$2,Inputs!$K$4:$AJ$4,0)),NA(),IF(SUMPRODUCT((Inputs!$A$5:$A$120=$B12)*ISNUMBER(INDEX(Inputs!$K$5:$AJ$120,0,MATCH(S$2,Inputs!$K$4:$AJ$4,0))))+SUMPRODUCT((Inputs!$C$5:$C$120=$B12)*ISNUMBER(INDEX(Inputs!$K$5:$AJ$120,0,MATCH(S$2,Inputs!$K$4:$AJ$4,0))))+SUMPRODUCT((Inputs!$E$5:$E$120=$B12)*ISNUMBER(INDEX(Inputs!$K$5:$AJ$120,0,MATCH(S$2,Inputs!$K$4:$AJ$4,0))))=0,NA(),SUMPRODUCT((Inputs!$A$5:$A$120=$B12)*Inputs!$B$5:$B$120*(((Inputs!$G$5:$G$120="moeda")+(Inputs!$G$5:$G$120="acoes"))*Inputs!$B$1+((Inputs!$G$5:$G$120&lt;&gt;"moeda")*(Inputs!$G$5:$G$120&lt;&gt;"acoes")))*INDEX(Inputs!$K$5:$AJ$120,0,MATCH(S$2,Inputs!$K$4:$AJ$4,0)))+SUMPRODUCT((Inputs!$C$5:$C$120=$B12)*Inputs!$D$5:$D$120*(((Inputs!$G$5:$G$120="moeda")+(Inputs!$G$5:$G$120="acoes"))*Inputs!$B$1+((Inputs!$G$5:$G$120&lt;&gt;"moeda")*(Inputs!$G$5:$G$120&lt;&gt;"acoes")))*INDEX(Inputs!$K$5:$AJ$120,0,MATCH(S$2,Inputs!$K$4:$AJ$4,0)))+SUMPRODUCT((Inputs!$E$5:$E$120=$B12)*Inputs!$F$5:$F$120*(((Inputs!$G$5:$G$120="moeda")+(Inputs!$G$5:$G$120="acoes"))*Inputs!$B$1+((Inputs!$G$5:$G$120&lt;&gt;"moeda")*(Inputs!$G$5:$G$120&lt;&gt;"acoes")))*INDEX(Inputs!$K$5:$AJ$120,0,MATCH(S$2,Inputs!$K$4:$AJ$4,0)))))</f>
        <v>-689</v>
      </c>
      <c r="T12" s="267">
        <f>IF(ISNA(MATCH(T$2,Inputs!$K$4:$AJ$4,0)),NA(),IF(SUMPRODUCT((Inputs!$A$5:$A$120=$B12)*ISNUMBER(INDEX(Inputs!$K$5:$AJ$120,0,MATCH(T$2,Inputs!$K$4:$AJ$4,0))))+SUMPRODUCT((Inputs!$C$5:$C$120=$B12)*ISNUMBER(INDEX(Inputs!$K$5:$AJ$120,0,MATCH(T$2,Inputs!$K$4:$AJ$4,0))))+SUMPRODUCT((Inputs!$E$5:$E$120=$B12)*ISNUMBER(INDEX(Inputs!$K$5:$AJ$120,0,MATCH(T$2,Inputs!$K$4:$AJ$4,0))))=0,NA(),SUMPRODUCT((Inputs!$A$5:$A$120=$B12)*Inputs!$B$5:$B$120*(((Inputs!$G$5:$G$120="moeda")+(Inputs!$G$5:$G$120="acoes"))*Inputs!$B$1+((Inputs!$G$5:$G$120&lt;&gt;"moeda")*(Inputs!$G$5:$G$120&lt;&gt;"acoes")))*INDEX(Inputs!$K$5:$AJ$120,0,MATCH(T$2,Inputs!$K$4:$AJ$4,0)))+SUMPRODUCT((Inputs!$C$5:$C$120=$B12)*Inputs!$D$5:$D$120*(((Inputs!$G$5:$G$120="moeda")+(Inputs!$G$5:$G$120="acoes"))*Inputs!$B$1+((Inputs!$G$5:$G$120&lt;&gt;"moeda")*(Inputs!$G$5:$G$120&lt;&gt;"acoes")))*INDEX(Inputs!$K$5:$AJ$120,0,MATCH(T$2,Inputs!$K$4:$AJ$4,0)))+SUMPRODUCT((Inputs!$E$5:$E$120=$B12)*Inputs!$F$5:$F$120*(((Inputs!$G$5:$G$120="moeda")+(Inputs!$G$5:$G$120="acoes"))*Inputs!$B$1+((Inputs!$G$5:$G$120&lt;&gt;"moeda")*(Inputs!$G$5:$G$120&lt;&gt;"acoes")))*INDEX(Inputs!$K$5:$AJ$120,0,MATCH(T$2,Inputs!$K$4:$AJ$4,0)))))</f>
        <v>-664</v>
      </c>
      <c r="U12" s="267">
        <f>IF(ISNA(MATCH(U$2,Inputs!$K$4:$AJ$4,0)),NA(),IF(SUMPRODUCT((Inputs!$A$5:$A$120=$B12)*ISNUMBER(INDEX(Inputs!$K$5:$AJ$120,0,MATCH(U$2,Inputs!$K$4:$AJ$4,0))))+SUMPRODUCT((Inputs!$C$5:$C$120=$B12)*ISNUMBER(INDEX(Inputs!$K$5:$AJ$120,0,MATCH(U$2,Inputs!$K$4:$AJ$4,0))))+SUMPRODUCT((Inputs!$E$5:$E$120=$B12)*ISNUMBER(INDEX(Inputs!$K$5:$AJ$120,0,MATCH(U$2,Inputs!$K$4:$AJ$4,0))))=0,NA(),SUMPRODUCT((Inputs!$A$5:$A$120=$B12)*Inputs!$B$5:$B$120*(((Inputs!$G$5:$G$120="moeda")+(Inputs!$G$5:$G$120="acoes"))*Inputs!$B$1+((Inputs!$G$5:$G$120&lt;&gt;"moeda")*(Inputs!$G$5:$G$120&lt;&gt;"acoes")))*INDEX(Inputs!$K$5:$AJ$120,0,MATCH(U$2,Inputs!$K$4:$AJ$4,0)))+SUMPRODUCT((Inputs!$C$5:$C$120=$B12)*Inputs!$D$5:$D$120*(((Inputs!$G$5:$G$120="moeda")+(Inputs!$G$5:$G$120="acoes"))*Inputs!$B$1+((Inputs!$G$5:$G$120&lt;&gt;"moeda")*(Inputs!$G$5:$G$120&lt;&gt;"acoes")))*INDEX(Inputs!$K$5:$AJ$120,0,MATCH(U$2,Inputs!$K$4:$AJ$4,0)))+SUMPRODUCT((Inputs!$E$5:$E$120=$B12)*Inputs!$F$5:$F$120*(((Inputs!$G$5:$G$120="moeda")+(Inputs!$G$5:$G$120="acoes"))*Inputs!$B$1+((Inputs!$G$5:$G$120&lt;&gt;"moeda")*(Inputs!$G$5:$G$120&lt;&gt;"acoes")))*INDEX(Inputs!$K$5:$AJ$120,0,MATCH(U$2,Inputs!$K$4:$AJ$4,0)))))</f>
        <v>-710</v>
      </c>
      <c r="V12" s="267">
        <f>IF(ISNA(MATCH(V$2,Inputs!$K$4:$AJ$4,0)),NA(),IF(SUMPRODUCT((Inputs!$A$5:$A$120=$B12)*ISNUMBER(INDEX(Inputs!$K$5:$AJ$120,0,MATCH(V$2,Inputs!$K$4:$AJ$4,0))))+SUMPRODUCT((Inputs!$C$5:$C$120=$B12)*ISNUMBER(INDEX(Inputs!$K$5:$AJ$120,0,MATCH(V$2,Inputs!$K$4:$AJ$4,0))))+SUMPRODUCT((Inputs!$E$5:$E$120=$B12)*ISNUMBER(INDEX(Inputs!$K$5:$AJ$120,0,MATCH(V$2,Inputs!$K$4:$AJ$4,0))))=0,NA(),SUMPRODUCT((Inputs!$A$5:$A$120=$B12)*Inputs!$B$5:$B$120*(((Inputs!$G$5:$G$120="moeda")+(Inputs!$G$5:$G$120="acoes"))*Inputs!$B$1+((Inputs!$G$5:$G$120&lt;&gt;"moeda")*(Inputs!$G$5:$G$120&lt;&gt;"acoes")))*INDEX(Inputs!$K$5:$AJ$120,0,MATCH(V$2,Inputs!$K$4:$AJ$4,0)))+SUMPRODUCT((Inputs!$C$5:$C$120=$B12)*Inputs!$D$5:$D$120*(((Inputs!$G$5:$G$120="moeda")+(Inputs!$G$5:$G$120="acoes"))*Inputs!$B$1+((Inputs!$G$5:$G$120&lt;&gt;"moeda")*(Inputs!$G$5:$G$120&lt;&gt;"acoes")))*INDEX(Inputs!$K$5:$AJ$120,0,MATCH(V$2,Inputs!$K$4:$AJ$4,0)))+SUMPRODUCT((Inputs!$E$5:$E$120=$B12)*Inputs!$F$5:$F$120*(((Inputs!$G$5:$G$120="moeda")+(Inputs!$G$5:$G$120="acoes"))*Inputs!$B$1+((Inputs!$G$5:$G$120&lt;&gt;"moeda")*(Inputs!$G$5:$G$120&lt;&gt;"acoes")))*INDEX(Inputs!$K$5:$AJ$120,0,MATCH(V$2,Inputs!$K$4:$AJ$4,0)))))</f>
        <v>-447</v>
      </c>
      <c r="W12" s="268">
        <f>SUM(S12:V12)</f>
        <v>-2510</v>
      </c>
      <c r="X12" s="267">
        <f>IF(ISNA(MATCH(X$2,Inputs!$K$4:$AJ$4,0)),NA(),IF(SUMPRODUCT((Inputs!$A$5:$A$120=$B12)*ISNUMBER(INDEX(Inputs!$K$5:$AJ$120,0,MATCH(X$2,Inputs!$K$4:$AJ$4,0))))+SUMPRODUCT((Inputs!$C$5:$C$120=$B12)*ISNUMBER(INDEX(Inputs!$K$5:$AJ$120,0,MATCH(X$2,Inputs!$K$4:$AJ$4,0))))+SUMPRODUCT((Inputs!$E$5:$E$120=$B12)*ISNUMBER(INDEX(Inputs!$K$5:$AJ$120,0,MATCH(X$2,Inputs!$K$4:$AJ$4,0))))=0,NA(),SUMPRODUCT((Inputs!$A$5:$A$120=$B12)*Inputs!$B$5:$B$120*(((Inputs!$G$5:$G$120="moeda")+(Inputs!$G$5:$G$120="acoes"))*Inputs!$B$1+((Inputs!$G$5:$G$120&lt;&gt;"moeda")*(Inputs!$G$5:$G$120&lt;&gt;"acoes")))*INDEX(Inputs!$K$5:$AJ$120,0,MATCH(X$2,Inputs!$K$4:$AJ$4,0)))+SUMPRODUCT((Inputs!$C$5:$C$120=$B12)*Inputs!$D$5:$D$120*(((Inputs!$G$5:$G$120="moeda")+(Inputs!$G$5:$G$120="acoes"))*Inputs!$B$1+((Inputs!$G$5:$G$120&lt;&gt;"moeda")*(Inputs!$G$5:$G$120&lt;&gt;"acoes")))*INDEX(Inputs!$K$5:$AJ$120,0,MATCH(X$2,Inputs!$K$4:$AJ$4,0)))+SUMPRODUCT((Inputs!$E$5:$E$120=$B12)*Inputs!$F$5:$F$120*(((Inputs!$G$5:$G$120="moeda")+(Inputs!$G$5:$G$120="acoes"))*Inputs!$B$1+((Inputs!$G$5:$G$120&lt;&gt;"moeda")*(Inputs!$G$5:$G$120&lt;&gt;"acoes")))*INDEX(Inputs!$K$5:$AJ$120,0,MATCH(X$2,Inputs!$K$4:$AJ$4,0)))))</f>
        <v>-441</v>
      </c>
      <c r="Y12" s="267">
        <f>IF(ISNA(MATCH(Y$2,Inputs!$K$4:$AJ$4,0)),NA(),IF(SUMPRODUCT((Inputs!$A$5:$A$120=$B12)*ISNUMBER(INDEX(Inputs!$K$5:$AJ$120,0,MATCH(Y$2,Inputs!$K$4:$AJ$4,0))))+SUMPRODUCT((Inputs!$C$5:$C$120=$B12)*ISNUMBER(INDEX(Inputs!$K$5:$AJ$120,0,MATCH(Y$2,Inputs!$K$4:$AJ$4,0))))+SUMPRODUCT((Inputs!$E$5:$E$120=$B12)*ISNUMBER(INDEX(Inputs!$K$5:$AJ$120,0,MATCH(Y$2,Inputs!$K$4:$AJ$4,0))))=0,NA(),SUMPRODUCT((Inputs!$A$5:$A$120=$B12)*Inputs!$B$5:$B$120*(((Inputs!$G$5:$G$120="moeda")+(Inputs!$G$5:$G$120="acoes"))*Inputs!$B$1+((Inputs!$G$5:$G$120&lt;&gt;"moeda")*(Inputs!$G$5:$G$120&lt;&gt;"acoes")))*INDEX(Inputs!$K$5:$AJ$120,0,MATCH(Y$2,Inputs!$K$4:$AJ$4,0)))+SUMPRODUCT((Inputs!$C$5:$C$120=$B12)*Inputs!$D$5:$D$120*(((Inputs!$G$5:$G$120="moeda")+(Inputs!$G$5:$G$120="acoes"))*Inputs!$B$1+((Inputs!$G$5:$G$120&lt;&gt;"moeda")*(Inputs!$G$5:$G$120&lt;&gt;"acoes")))*INDEX(Inputs!$K$5:$AJ$120,0,MATCH(Y$2,Inputs!$K$4:$AJ$4,0)))+SUMPRODUCT((Inputs!$E$5:$E$120=$B12)*Inputs!$F$5:$F$120*(((Inputs!$G$5:$G$120="moeda")+(Inputs!$G$5:$G$120="acoes"))*Inputs!$B$1+((Inputs!$G$5:$G$120&lt;&gt;"moeda")*(Inputs!$G$5:$G$120&lt;&gt;"acoes")))*INDEX(Inputs!$K$5:$AJ$120,0,MATCH(Y$2,Inputs!$K$4:$AJ$4,0)))))</f>
        <v>-775</v>
      </c>
      <c r="Z12" s="267">
        <f>IF(ISNA(MATCH(Z$2,Inputs!$K$4:$AJ$4,0)),NA(),IF(SUMPRODUCT((Inputs!$A$5:$A$120=$B12)*ISNUMBER(INDEX(Inputs!$K$5:$AJ$120,0,MATCH(Z$2,Inputs!$K$4:$AJ$4,0))))+SUMPRODUCT((Inputs!$C$5:$C$120=$B12)*ISNUMBER(INDEX(Inputs!$K$5:$AJ$120,0,MATCH(Z$2,Inputs!$K$4:$AJ$4,0))))+SUMPRODUCT((Inputs!$E$5:$E$120=$B12)*ISNUMBER(INDEX(Inputs!$K$5:$AJ$120,0,MATCH(Z$2,Inputs!$K$4:$AJ$4,0))))=0,NA(),SUMPRODUCT((Inputs!$A$5:$A$120=$B12)*Inputs!$B$5:$B$120*(((Inputs!$G$5:$G$120="moeda")+(Inputs!$G$5:$G$120="acoes"))*Inputs!$B$1+((Inputs!$G$5:$G$120&lt;&gt;"moeda")*(Inputs!$G$5:$G$120&lt;&gt;"acoes")))*INDEX(Inputs!$K$5:$AJ$120,0,MATCH(Z$2,Inputs!$K$4:$AJ$4,0)))+SUMPRODUCT((Inputs!$C$5:$C$120=$B12)*Inputs!$D$5:$D$120*(((Inputs!$G$5:$G$120="moeda")+(Inputs!$G$5:$G$120="acoes"))*Inputs!$B$1+((Inputs!$G$5:$G$120&lt;&gt;"moeda")*(Inputs!$G$5:$G$120&lt;&gt;"acoes")))*INDEX(Inputs!$K$5:$AJ$120,0,MATCH(Z$2,Inputs!$K$4:$AJ$4,0)))+SUMPRODUCT((Inputs!$E$5:$E$120=$B12)*Inputs!$F$5:$F$120*(((Inputs!$G$5:$G$120="moeda")+(Inputs!$G$5:$G$120="acoes"))*Inputs!$B$1+((Inputs!$G$5:$G$120&lt;&gt;"moeda")*(Inputs!$G$5:$G$120&lt;&gt;"acoes")))*INDEX(Inputs!$K$5:$AJ$120,0,MATCH(Z$2,Inputs!$K$4:$AJ$4,0)))))</f>
        <v>-573</v>
      </c>
      <c r="AA12" s="267">
        <f>IF(ISNA(MATCH(AA$2,Inputs!$K$4:$AJ$4,0)),NA(),IF(SUMPRODUCT((Inputs!$A$5:$A$120=$B12)*ISNUMBER(INDEX(Inputs!$K$5:$AJ$120,0,MATCH(AA$2,Inputs!$K$4:$AJ$4,0))))+SUMPRODUCT((Inputs!$C$5:$C$120=$B12)*ISNUMBER(INDEX(Inputs!$K$5:$AJ$120,0,MATCH(AA$2,Inputs!$K$4:$AJ$4,0))))+SUMPRODUCT((Inputs!$E$5:$E$120=$B12)*ISNUMBER(INDEX(Inputs!$K$5:$AJ$120,0,MATCH(AA$2,Inputs!$K$4:$AJ$4,0))))=0,NA(),SUMPRODUCT((Inputs!$A$5:$A$120=$B12)*Inputs!$B$5:$B$120*(((Inputs!$G$5:$G$120="moeda")+(Inputs!$G$5:$G$120="acoes"))*Inputs!$B$1+((Inputs!$G$5:$G$120&lt;&gt;"moeda")*(Inputs!$G$5:$G$120&lt;&gt;"acoes")))*INDEX(Inputs!$K$5:$AJ$120,0,MATCH(AA$2,Inputs!$K$4:$AJ$4,0)))+SUMPRODUCT((Inputs!$C$5:$C$120=$B12)*Inputs!$D$5:$D$120*(((Inputs!$G$5:$G$120="moeda")+(Inputs!$G$5:$G$120="acoes"))*Inputs!$B$1+((Inputs!$G$5:$G$120&lt;&gt;"moeda")*(Inputs!$G$5:$G$120&lt;&gt;"acoes")))*INDEX(Inputs!$K$5:$AJ$120,0,MATCH(AA$2,Inputs!$K$4:$AJ$4,0)))+SUMPRODUCT((Inputs!$E$5:$E$120=$B12)*Inputs!$F$5:$F$120*(((Inputs!$G$5:$G$120="moeda")+(Inputs!$G$5:$G$120="acoes"))*Inputs!$B$1+((Inputs!$G$5:$G$120&lt;&gt;"moeda")*(Inputs!$G$5:$G$120&lt;&gt;"acoes")))*INDEX(Inputs!$K$5:$AJ$120,0,MATCH(AA$2,Inputs!$K$4:$AJ$4,0)))))</f>
        <v>-159</v>
      </c>
      <c r="AB12" s="268">
        <f>SUM(X12:AA12)</f>
        <v>-1948</v>
      </c>
      <c r="AC12" s="267">
        <f>IF(ISNA(MATCH(AC$2,Inputs!$K$4:$AJ$4,0)),NA(),IF(SUMPRODUCT((Inputs!$A$5:$A$120=$B12)*ISNUMBER(INDEX(Inputs!$K$5:$AJ$120,0,MATCH(AC$2,Inputs!$K$4:$AJ$4,0))))+SUMPRODUCT((Inputs!$C$5:$C$120=$B12)*ISNUMBER(INDEX(Inputs!$K$5:$AJ$120,0,MATCH(AC$2,Inputs!$K$4:$AJ$4,0))))+SUMPRODUCT((Inputs!$E$5:$E$120=$B12)*ISNUMBER(INDEX(Inputs!$K$5:$AJ$120,0,MATCH(AC$2,Inputs!$K$4:$AJ$4,0))))=0,NA(),SUMPRODUCT((Inputs!$A$5:$A$120=$B12)*Inputs!$B$5:$B$120*(((Inputs!$G$5:$G$120="moeda")+(Inputs!$G$5:$G$120="acoes"))*Inputs!$B$1+((Inputs!$G$5:$G$120&lt;&gt;"moeda")*(Inputs!$G$5:$G$120&lt;&gt;"acoes")))*INDEX(Inputs!$K$5:$AJ$120,0,MATCH(AC$2,Inputs!$K$4:$AJ$4,0)))+SUMPRODUCT((Inputs!$C$5:$C$120=$B12)*Inputs!$D$5:$D$120*(((Inputs!$G$5:$G$120="moeda")+(Inputs!$G$5:$G$120="acoes"))*Inputs!$B$1+((Inputs!$G$5:$G$120&lt;&gt;"moeda")*(Inputs!$G$5:$G$120&lt;&gt;"acoes")))*INDEX(Inputs!$K$5:$AJ$120,0,MATCH(AC$2,Inputs!$K$4:$AJ$4,0)))+SUMPRODUCT((Inputs!$E$5:$E$120=$B12)*Inputs!$F$5:$F$120*(((Inputs!$G$5:$G$120="moeda")+(Inputs!$G$5:$G$120="acoes"))*Inputs!$B$1+((Inputs!$G$5:$G$120&lt;&gt;"moeda")*(Inputs!$G$5:$G$120&lt;&gt;"acoes")))*INDEX(Inputs!$K$5:$AJ$120,0,MATCH(AC$2,Inputs!$K$4:$AJ$4,0)))))</f>
        <v>-506</v>
      </c>
      <c r="AD12" s="267">
        <f>IF(ISNA(MATCH(AD$2,Inputs!$K$4:$AJ$4,0)),NA(),IF(SUMPRODUCT((Inputs!$A$5:$A$120=$B12)*ISNUMBER(INDEX(Inputs!$K$5:$AJ$120,0,MATCH(AD$2,Inputs!$K$4:$AJ$4,0))))+SUMPRODUCT((Inputs!$C$5:$C$120=$B12)*ISNUMBER(INDEX(Inputs!$K$5:$AJ$120,0,MATCH(AD$2,Inputs!$K$4:$AJ$4,0))))+SUMPRODUCT((Inputs!$E$5:$E$120=$B12)*ISNUMBER(INDEX(Inputs!$K$5:$AJ$120,0,MATCH(AD$2,Inputs!$K$4:$AJ$4,0))))=0,NA(),SUMPRODUCT((Inputs!$A$5:$A$120=$B12)*Inputs!$B$5:$B$120*(((Inputs!$G$5:$G$120="moeda")+(Inputs!$G$5:$G$120="acoes"))*Inputs!$B$1+((Inputs!$G$5:$G$120&lt;&gt;"moeda")*(Inputs!$G$5:$G$120&lt;&gt;"acoes")))*INDEX(Inputs!$K$5:$AJ$120,0,MATCH(AD$2,Inputs!$K$4:$AJ$4,0)))+SUMPRODUCT((Inputs!$C$5:$C$120=$B12)*Inputs!$D$5:$D$120*(((Inputs!$G$5:$G$120="moeda")+(Inputs!$G$5:$G$120="acoes"))*Inputs!$B$1+((Inputs!$G$5:$G$120&lt;&gt;"moeda")*(Inputs!$G$5:$G$120&lt;&gt;"acoes")))*INDEX(Inputs!$K$5:$AJ$120,0,MATCH(AD$2,Inputs!$K$4:$AJ$4,0)))+SUMPRODUCT((Inputs!$E$5:$E$120=$B12)*Inputs!$F$5:$F$120*(((Inputs!$G$5:$G$120="moeda")+(Inputs!$G$5:$G$120="acoes"))*Inputs!$B$1+((Inputs!$G$5:$G$120&lt;&gt;"moeda")*(Inputs!$G$5:$G$120&lt;&gt;"acoes")))*INDEX(Inputs!$K$5:$AJ$120,0,MATCH(AD$2,Inputs!$K$4:$AJ$4,0)))))</f>
        <v>-407</v>
      </c>
      <c r="AE12" s="267" t="e">
        <f>IF(ISNA(MATCH(AE$2,Inputs!$K$4:$AJ$4,0)),NA(),IF(SUMPRODUCT((Inputs!$A$5:$A$120=$B12)*ISNUMBER(INDEX(Inputs!$K$5:$AJ$120,0,MATCH(AE$2,Inputs!$K$4:$AJ$4,0))))+SUMPRODUCT((Inputs!$C$5:$C$120=$B12)*ISNUMBER(INDEX(Inputs!$K$5:$AJ$120,0,MATCH(AE$2,Inputs!$K$4:$AJ$4,0))))+SUMPRODUCT((Inputs!$E$5:$E$120=$B12)*ISNUMBER(INDEX(Inputs!$K$5:$AJ$120,0,MATCH(AE$2,Inputs!$K$4:$AJ$4,0))))=0,NA(),SUMPRODUCT((Inputs!$A$5:$A$120=$B12)*Inputs!$B$5:$B$120*(((Inputs!$G$5:$G$120="moeda")+(Inputs!$G$5:$G$120="acoes"))*Inputs!$B$1+((Inputs!$G$5:$G$120&lt;&gt;"moeda")*(Inputs!$G$5:$G$120&lt;&gt;"acoes")))*INDEX(Inputs!$K$5:$AJ$120,0,MATCH(AE$2,Inputs!$K$4:$AJ$4,0)))+SUMPRODUCT((Inputs!$C$5:$C$120=$B12)*Inputs!$D$5:$D$120*(((Inputs!$G$5:$G$120="moeda")+(Inputs!$G$5:$G$120="acoes"))*Inputs!$B$1+((Inputs!$G$5:$G$120&lt;&gt;"moeda")*(Inputs!$G$5:$G$120&lt;&gt;"acoes")))*INDEX(Inputs!$K$5:$AJ$120,0,MATCH(AE$2,Inputs!$K$4:$AJ$4,0)))+SUMPRODUCT((Inputs!$E$5:$E$120=$B12)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2" s="267" t="e">
        <f>IF(ISNA(MATCH(AF$2,Inputs!$K$4:$AJ$4,0)),NA(),IF(SUMPRODUCT((Inputs!$A$5:$A$120=$B12)*ISNUMBER(INDEX(Inputs!$K$5:$AJ$120,0,MATCH(AF$2,Inputs!$K$4:$AJ$4,0))))+SUMPRODUCT((Inputs!$C$5:$C$120=$B12)*ISNUMBER(INDEX(Inputs!$K$5:$AJ$120,0,MATCH(AF$2,Inputs!$K$4:$AJ$4,0))))+SUMPRODUCT((Inputs!$E$5:$E$120=$B12)*ISNUMBER(INDEX(Inputs!$K$5:$AJ$120,0,MATCH(AF$2,Inputs!$K$4:$AJ$4,0))))=0,NA(),SUMPRODUCT((Inputs!$A$5:$A$120=$B12)*Inputs!$B$5:$B$120*(((Inputs!$G$5:$G$120="moeda")+(Inputs!$G$5:$G$120="acoes"))*Inputs!$B$1+((Inputs!$G$5:$G$120&lt;&gt;"moeda")*(Inputs!$G$5:$G$120&lt;&gt;"acoes")))*INDEX(Inputs!$K$5:$AJ$120,0,MATCH(AF$2,Inputs!$K$4:$AJ$4,0)))+SUMPRODUCT((Inputs!$C$5:$C$120=$B12)*Inputs!$D$5:$D$120*(((Inputs!$G$5:$G$120="moeda")+(Inputs!$G$5:$G$120="acoes"))*Inputs!$B$1+((Inputs!$G$5:$G$120&lt;&gt;"moeda")*(Inputs!$G$5:$G$120&lt;&gt;"acoes")))*INDEX(Inputs!$K$5:$AJ$120,0,MATCH(AF$2,Inputs!$K$4:$AJ$4,0)))+SUMPRODUCT((Inputs!$E$5:$E$120=$B12)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2" s="268" t="e">
        <f>SUM(AC12:AF12)</f>
        <v>#N/A</v>
      </c>
      <c r="AH12" s="267">
        <f>IF(ISNA(MATCH(AH$2,Inputs!$K$4:$AJ$4,0)),NA(),IF(SUMPRODUCT((Inputs!$A$5:$A$120=$B12)*ISNUMBER(INDEX(Inputs!$K$5:$AJ$120,0,MATCH(AH$2,Inputs!$K$4:$AJ$4,0))))+SUMPRODUCT((Inputs!$C$5:$C$120=$B12)*ISNUMBER(INDEX(Inputs!$K$5:$AJ$120,0,MATCH(AH$2,Inputs!$K$4:$AJ$4,0))))+SUMPRODUCT((Inputs!$E$5:$E$120=$B12)*ISNUMBER(INDEX(Inputs!$K$5:$AJ$120,0,MATCH(AH$2,Inputs!$K$4:$AJ$4,0))))=0,NA(),SUMPRODUCT((Inputs!$A$5:$A$120=$B12)*Inputs!$B$5:$B$120*(((Inputs!$G$5:$G$120="moeda")+(Inputs!$G$5:$G$120="acoes"))*Inputs!$B$1+((Inputs!$G$5:$G$120&lt;&gt;"moeda")*(Inputs!$G$5:$G$120&lt;&gt;"acoes")))*INDEX(Inputs!$K$5:$AJ$120,0,MATCH(AH$2,Inputs!$K$4:$AJ$4,0)))+SUMPRODUCT((Inputs!$C$5:$C$120=$B12)*Inputs!$D$5:$D$120*(((Inputs!$G$5:$G$120="moeda")+(Inputs!$G$5:$G$120="acoes"))*Inputs!$B$1+((Inputs!$G$5:$G$120&lt;&gt;"moeda")*(Inputs!$G$5:$G$120&lt;&gt;"acoes")))*INDEX(Inputs!$K$5:$AJ$120,0,MATCH(AH$2,Inputs!$K$4:$AJ$4,0)))+SUMPRODUCT((Inputs!$E$5:$E$120=$B12)*Inputs!$F$5:$F$120*(((Inputs!$G$5:$G$120="moeda")+(Inputs!$G$5:$G$120="acoes"))*Inputs!$B$1+((Inputs!$G$5:$G$120&lt;&gt;"moeda")*(Inputs!$G$5:$G$120&lt;&gt;"acoes")))*INDEX(Inputs!$K$5:$AJ$120,0,MATCH(AH$2,Inputs!$K$4:$AJ$4,0)))))</f>
        <v>58</v>
      </c>
      <c r="AI12" s="267">
        <f>IF(ISNA(MATCH(AI$2,Inputs!$K$4:$AJ$4,0)),NA(),IF(SUMPRODUCT((Inputs!$A$5:$A$120=$B12)*ISNUMBER(INDEX(Inputs!$K$5:$AJ$120,0,MATCH(AI$2,Inputs!$K$4:$AJ$4,0))))+SUMPRODUCT((Inputs!$C$5:$C$120=$B12)*ISNUMBER(INDEX(Inputs!$K$5:$AJ$120,0,MATCH(AI$2,Inputs!$K$4:$AJ$4,0))))+SUMPRODUCT((Inputs!$E$5:$E$120=$B12)*ISNUMBER(INDEX(Inputs!$K$5:$AJ$120,0,MATCH(AI$2,Inputs!$K$4:$AJ$4,0))))=0,NA(),SUMPRODUCT((Inputs!$A$5:$A$120=$B12)*Inputs!$B$5:$B$120*(((Inputs!$G$5:$G$120="moeda")+(Inputs!$G$5:$G$120="acoes"))*Inputs!$B$1+((Inputs!$G$5:$G$120&lt;&gt;"moeda")*(Inputs!$G$5:$G$120&lt;&gt;"acoes")))*INDEX(Inputs!$K$5:$AJ$120,0,MATCH(AI$2,Inputs!$K$4:$AJ$4,0)))+SUMPRODUCT((Inputs!$C$5:$C$120=$B12)*Inputs!$D$5:$D$120*(((Inputs!$G$5:$G$120="moeda")+(Inputs!$G$5:$G$120="acoes"))*Inputs!$B$1+((Inputs!$G$5:$G$120&lt;&gt;"moeda")*(Inputs!$G$5:$G$120&lt;&gt;"acoes")))*INDEX(Inputs!$K$5:$AJ$120,0,MATCH(AI$2,Inputs!$K$4:$AJ$4,0)))+SUMPRODUCT((Inputs!$E$5:$E$120=$B12)*Inputs!$F$5:$F$120*(((Inputs!$G$5:$G$120="moeda")+(Inputs!$G$5:$G$120="acoes"))*Inputs!$B$1+((Inputs!$G$5:$G$120&lt;&gt;"moeda")*(Inputs!$G$5:$G$120&lt;&gt;"acoes")))*INDEX(Inputs!$K$5:$AJ$120,0,MATCH(AI$2,Inputs!$K$4:$AJ$4,0)))))</f>
        <v>-71</v>
      </c>
      <c r="AJ12" s="267">
        <f>IF(ISNA(MATCH(AJ$2,Inputs!$K$4:$AJ$4,0)),NA(),IF(SUMPRODUCT((Inputs!$A$5:$A$120=$B12)*ISNUMBER(INDEX(Inputs!$K$5:$AJ$120,0,MATCH(AJ$2,Inputs!$K$4:$AJ$4,0))))+SUMPRODUCT((Inputs!$C$5:$C$120=$B12)*ISNUMBER(INDEX(Inputs!$K$5:$AJ$120,0,MATCH(AJ$2,Inputs!$K$4:$AJ$4,0))))+SUMPRODUCT((Inputs!$E$5:$E$120=$B12)*ISNUMBER(INDEX(Inputs!$K$5:$AJ$120,0,MATCH(AJ$2,Inputs!$K$4:$AJ$4,0))))=0,NA(),SUMPRODUCT((Inputs!$A$5:$A$120=$B12)*Inputs!$B$5:$B$120*(((Inputs!$G$5:$G$120="moeda")+(Inputs!$G$5:$G$120="acoes"))*Inputs!$B$1+((Inputs!$G$5:$G$120&lt;&gt;"moeda")*(Inputs!$G$5:$G$120&lt;&gt;"acoes")))*INDEX(Inputs!$K$5:$AJ$120,0,MATCH(AJ$2,Inputs!$K$4:$AJ$4,0)))+SUMPRODUCT((Inputs!$C$5:$C$120=$B12)*Inputs!$D$5:$D$120*(((Inputs!$G$5:$G$120="moeda")+(Inputs!$G$5:$G$120="acoes"))*Inputs!$B$1+((Inputs!$G$5:$G$120&lt;&gt;"moeda")*(Inputs!$G$5:$G$120&lt;&gt;"acoes")))*INDEX(Inputs!$K$5:$AJ$120,0,MATCH(AJ$2,Inputs!$K$4:$AJ$4,0)))+SUMPRODUCT((Inputs!$E$5:$E$120=$B12)*Inputs!$F$5:$F$120*(((Inputs!$G$5:$G$120="moeda")+(Inputs!$G$5:$G$120="acoes"))*Inputs!$B$1+((Inputs!$G$5:$G$120&lt;&gt;"moeda")*(Inputs!$G$5:$G$120&lt;&gt;"acoes")))*INDEX(Inputs!$K$5:$AJ$120,0,MATCH(AJ$2,Inputs!$K$4:$AJ$4,0)))))</f>
        <v>-103</v>
      </c>
      <c r="AK12" s="267">
        <f>IF(ISNA(MATCH(AK$2,Inputs!$K$4:$AJ$4,0)),NA(),IF(SUMPRODUCT((Inputs!$A$5:$A$120=$B12)*ISNUMBER(INDEX(Inputs!$K$5:$AJ$120,0,MATCH(AK$2,Inputs!$K$4:$AJ$4,0))))+SUMPRODUCT((Inputs!$C$5:$C$120=$B12)*ISNUMBER(INDEX(Inputs!$K$5:$AJ$120,0,MATCH(AK$2,Inputs!$K$4:$AJ$4,0))))+SUMPRODUCT((Inputs!$E$5:$E$120=$B12)*ISNUMBER(INDEX(Inputs!$K$5:$AJ$120,0,MATCH(AK$2,Inputs!$K$4:$AJ$4,0))))=0,NA(),SUMPRODUCT((Inputs!$A$5:$A$120=$B12)*Inputs!$B$5:$B$120*(((Inputs!$G$5:$G$120="moeda")+(Inputs!$G$5:$G$120="acoes"))*Inputs!$B$1+((Inputs!$G$5:$G$120&lt;&gt;"moeda")*(Inputs!$G$5:$G$120&lt;&gt;"acoes")))*INDEX(Inputs!$K$5:$AJ$120,0,MATCH(AK$2,Inputs!$K$4:$AJ$4,0)))+SUMPRODUCT((Inputs!$C$5:$C$120=$B12)*Inputs!$D$5:$D$120*(((Inputs!$G$5:$G$120="moeda")+(Inputs!$G$5:$G$120="acoes"))*Inputs!$B$1+((Inputs!$G$5:$G$120&lt;&gt;"moeda")*(Inputs!$G$5:$G$120&lt;&gt;"acoes")))*INDEX(Inputs!$K$5:$AJ$120,0,MATCH(AK$2,Inputs!$K$4:$AJ$4,0)))+SUMPRODUCT((Inputs!$E$5:$E$120=$B12)*Inputs!$F$5:$F$120*(((Inputs!$G$5:$G$120="moeda")+(Inputs!$G$5:$G$120="acoes"))*Inputs!$B$1+((Inputs!$G$5:$G$120&lt;&gt;"moeda")*(Inputs!$G$5:$G$120&lt;&gt;"acoes")))*INDEX(Inputs!$K$5:$AJ$120,0,MATCH(AK$2,Inputs!$K$4:$AJ$4,0)))))</f>
        <v>-150</v>
      </c>
      <c r="AL12" s="268">
        <f>SUM(AH12:AK12)</f>
        <v>-266</v>
      </c>
    </row>
    <row r="13" ht="12.75" customHeight="1" s="255">
      <c r="B13" s="265" t="n">
        <v>10</v>
      </c>
      <c r="C13" s="269" t="inlineStr">
        <is>
          <t>Common Dividends</t>
        </is>
      </c>
      <c r="D13" s="267">
        <f>IF(ISNA(MATCH(D$2,Inputs!$K$4:$AJ$4,0)),NA(),IF(SUMPRODUCT((Inputs!$A$5:$A$120=$B13)*ISNUMBER(INDEX(Inputs!$K$5:$AJ$120,0,MATCH(D$2,Inputs!$K$4:$AJ$4,0))))+SUMPRODUCT((Inputs!$C$5:$C$120=$B13)*ISNUMBER(INDEX(Inputs!$K$5:$AJ$120,0,MATCH(D$2,Inputs!$K$4:$AJ$4,0))))+SUMPRODUCT((Inputs!$E$5:$E$120=$B13)*ISNUMBER(INDEX(Inputs!$K$5:$AJ$120,0,MATCH(D$2,Inputs!$K$4:$AJ$4,0))))=0,NA(),SUMPRODUCT((Inputs!$A$5:$A$120=$B13)*Inputs!$B$5:$B$120*(((Inputs!$G$5:$G$120="moeda")+(Inputs!$G$5:$G$120="acoes"))*Inputs!$B$1+((Inputs!$G$5:$G$120&lt;&gt;"moeda")*(Inputs!$G$5:$G$120&lt;&gt;"acoes")))*INDEX(Inputs!$K$5:$AJ$120,0,MATCH(D$2,Inputs!$K$4:$AJ$4,0)))+SUMPRODUCT((Inputs!$C$5:$C$120=$B13)*Inputs!$D$5:$D$120*(((Inputs!$G$5:$G$120="moeda")+(Inputs!$G$5:$G$120="acoes"))*Inputs!$B$1+((Inputs!$G$5:$G$120&lt;&gt;"moeda")*(Inputs!$G$5:$G$120&lt;&gt;"acoes")))*INDEX(Inputs!$K$5:$AJ$120,0,MATCH(D$2,Inputs!$K$4:$AJ$4,0)))+SUMPRODUCT((Inputs!$E$5:$E$120=$B13)*Inputs!$F$5:$F$120*(((Inputs!$G$5:$G$120="moeda")+(Inputs!$G$5:$G$120="acoes"))*Inputs!$B$1+((Inputs!$G$5:$G$120&lt;&gt;"moeda")*(Inputs!$G$5:$G$120&lt;&gt;"acoes")))*INDEX(Inputs!$K$5:$AJ$120,0,MATCH(D$2,Inputs!$K$4:$AJ$4,0)))))</f>
        <v>0</v>
      </c>
      <c r="E13" s="267">
        <f>IF(ISNA(MATCH(E$2,Inputs!$K$4:$AJ$4,0)),NA(),IF(SUMPRODUCT((Inputs!$A$5:$A$120=$B13)*ISNUMBER(INDEX(Inputs!$K$5:$AJ$120,0,MATCH(E$2,Inputs!$K$4:$AJ$4,0))))+SUMPRODUCT((Inputs!$C$5:$C$120=$B13)*ISNUMBER(INDEX(Inputs!$K$5:$AJ$120,0,MATCH(E$2,Inputs!$K$4:$AJ$4,0))))+SUMPRODUCT((Inputs!$E$5:$E$120=$B13)*ISNUMBER(INDEX(Inputs!$K$5:$AJ$120,0,MATCH(E$2,Inputs!$K$4:$AJ$4,0))))=0,NA(),SUMPRODUCT((Inputs!$A$5:$A$120=$B13)*Inputs!$B$5:$B$120*(((Inputs!$G$5:$G$120="moeda")+(Inputs!$G$5:$G$120="acoes"))*Inputs!$B$1+((Inputs!$G$5:$G$120&lt;&gt;"moeda")*(Inputs!$G$5:$G$120&lt;&gt;"acoes")))*INDEX(Inputs!$K$5:$AJ$120,0,MATCH(E$2,Inputs!$K$4:$AJ$4,0)))+SUMPRODUCT((Inputs!$C$5:$C$120=$B13)*Inputs!$D$5:$D$120*(((Inputs!$G$5:$G$120="moeda")+(Inputs!$G$5:$G$120="acoes"))*Inputs!$B$1+((Inputs!$G$5:$G$120&lt;&gt;"moeda")*(Inputs!$G$5:$G$120&lt;&gt;"acoes")))*INDEX(Inputs!$K$5:$AJ$120,0,MATCH(E$2,Inputs!$K$4:$AJ$4,0)))+SUMPRODUCT((Inputs!$E$5:$E$120=$B13)*Inputs!$F$5:$F$120*(((Inputs!$G$5:$G$120="moeda")+(Inputs!$G$5:$G$120="acoes"))*Inputs!$B$1+((Inputs!$G$5:$G$120&lt;&gt;"moeda")*(Inputs!$G$5:$G$120&lt;&gt;"acoes")))*INDEX(Inputs!$K$5:$AJ$120,0,MATCH(E$2,Inputs!$K$4:$AJ$4,0)))))</f>
        <v>-111</v>
      </c>
      <c r="F13" s="267">
        <f>IF(ISNA(MATCH(F$2,Inputs!$K$4:$AJ$4,0)),NA(),IF(SUMPRODUCT((Inputs!$A$5:$A$120=$B13)*ISNUMBER(INDEX(Inputs!$K$5:$AJ$120,0,MATCH(F$2,Inputs!$K$4:$AJ$4,0))))+SUMPRODUCT((Inputs!$C$5:$C$120=$B13)*ISNUMBER(INDEX(Inputs!$K$5:$AJ$120,0,MATCH(F$2,Inputs!$K$4:$AJ$4,0))))+SUMPRODUCT((Inputs!$E$5:$E$120=$B13)*ISNUMBER(INDEX(Inputs!$K$5:$AJ$120,0,MATCH(F$2,Inputs!$K$4:$AJ$4,0))))=0,NA(),SUMPRODUCT((Inputs!$A$5:$A$120=$B13)*Inputs!$B$5:$B$120*(((Inputs!$G$5:$G$120="moeda")+(Inputs!$G$5:$G$120="acoes"))*Inputs!$B$1+((Inputs!$G$5:$G$120&lt;&gt;"moeda")*(Inputs!$G$5:$G$120&lt;&gt;"acoes")))*INDEX(Inputs!$K$5:$AJ$120,0,MATCH(F$2,Inputs!$K$4:$AJ$4,0)))+SUMPRODUCT((Inputs!$C$5:$C$120=$B13)*Inputs!$D$5:$D$120*(((Inputs!$G$5:$G$120="moeda")+(Inputs!$G$5:$G$120="acoes"))*Inputs!$B$1+((Inputs!$G$5:$G$120&lt;&gt;"moeda")*(Inputs!$G$5:$G$120&lt;&gt;"acoes")))*INDEX(Inputs!$K$5:$AJ$120,0,MATCH(F$2,Inputs!$K$4:$AJ$4,0)))+SUMPRODUCT((Inputs!$E$5:$E$120=$B13)*Inputs!$F$5:$F$120*(((Inputs!$G$5:$G$120="moeda")+(Inputs!$G$5:$G$120="acoes"))*Inputs!$B$1+((Inputs!$G$5:$G$120&lt;&gt;"moeda")*(Inputs!$G$5:$G$120&lt;&gt;"acoes")))*INDEX(Inputs!$K$5:$AJ$120,0,MATCH(F$2,Inputs!$K$4:$AJ$4,0)))))</f>
        <v>-109</v>
      </c>
      <c r="G13" s="267">
        <f>IF(ISNA(MATCH(G$2,Inputs!$K$4:$AJ$4,0)),NA(),IF(SUMPRODUCT((Inputs!$A$5:$A$120=$B13)*ISNUMBER(INDEX(Inputs!$K$5:$AJ$120,0,MATCH(G$2,Inputs!$K$4:$AJ$4,0))))+SUMPRODUCT((Inputs!$C$5:$C$120=$B13)*ISNUMBER(INDEX(Inputs!$K$5:$AJ$120,0,MATCH(G$2,Inputs!$K$4:$AJ$4,0))))+SUMPRODUCT((Inputs!$E$5:$E$120=$B13)*ISNUMBER(INDEX(Inputs!$K$5:$AJ$120,0,MATCH(G$2,Inputs!$K$4:$AJ$4,0))))=0,NA(),SUMPRODUCT((Inputs!$A$5:$A$120=$B13)*Inputs!$B$5:$B$120*(((Inputs!$G$5:$G$120="moeda")+(Inputs!$G$5:$G$120="acoes"))*Inputs!$B$1+((Inputs!$G$5:$G$120&lt;&gt;"moeda")*(Inputs!$G$5:$G$120&lt;&gt;"acoes")))*INDEX(Inputs!$K$5:$AJ$120,0,MATCH(G$2,Inputs!$K$4:$AJ$4,0)))+SUMPRODUCT((Inputs!$C$5:$C$120=$B13)*Inputs!$D$5:$D$120*(((Inputs!$G$5:$G$120="moeda")+(Inputs!$G$5:$G$120="acoes"))*Inputs!$B$1+((Inputs!$G$5:$G$120&lt;&gt;"moeda")*(Inputs!$G$5:$G$120&lt;&gt;"acoes")))*INDEX(Inputs!$K$5:$AJ$120,0,MATCH(G$2,Inputs!$K$4:$AJ$4,0)))+SUMPRODUCT((Inputs!$E$5:$E$120=$B13)*Inputs!$F$5:$F$120*(((Inputs!$G$5:$G$120="moeda")+(Inputs!$G$5:$G$120="acoes"))*Inputs!$B$1+((Inputs!$G$5:$G$120&lt;&gt;"moeda")*(Inputs!$G$5:$G$120&lt;&gt;"acoes")))*INDEX(Inputs!$K$5:$AJ$120,0,MATCH(G$2,Inputs!$K$4:$AJ$4,0)))))</f>
        <v>-780</v>
      </c>
      <c r="H13" s="268">
        <f>SUM(D13:G13)</f>
        <v>-1000</v>
      </c>
      <c r="I13" s="267">
        <f>IF(ISNA(MATCH(I$2,Inputs!$K$4:$AJ$4,0)),NA(),IF(SUMPRODUCT((Inputs!$A$5:$A$120=$B13)*ISNUMBER(INDEX(Inputs!$K$5:$AJ$120,0,MATCH(I$2,Inputs!$K$4:$AJ$4,0))))+SUMPRODUCT((Inputs!$C$5:$C$120=$B13)*ISNUMBER(INDEX(Inputs!$K$5:$AJ$120,0,MATCH(I$2,Inputs!$K$4:$AJ$4,0))))+SUMPRODUCT((Inputs!$E$5:$E$120=$B13)*ISNUMBER(INDEX(Inputs!$K$5:$AJ$120,0,MATCH(I$2,Inputs!$K$4:$AJ$4,0))))=0,NA(),SUMPRODUCT((Inputs!$A$5:$A$120=$B13)*Inputs!$B$5:$B$120*(((Inputs!$G$5:$G$120="moeda")+(Inputs!$G$5:$G$120="acoes"))*Inputs!$B$1+((Inputs!$G$5:$G$120&lt;&gt;"moeda")*(Inputs!$G$5:$G$120&lt;&gt;"acoes")))*INDEX(Inputs!$K$5:$AJ$120,0,MATCH(I$2,Inputs!$K$4:$AJ$4,0)))+SUMPRODUCT((Inputs!$C$5:$C$120=$B13)*Inputs!$D$5:$D$120*(((Inputs!$G$5:$G$120="moeda")+(Inputs!$G$5:$G$120="acoes"))*Inputs!$B$1+((Inputs!$G$5:$G$120&lt;&gt;"moeda")*(Inputs!$G$5:$G$120&lt;&gt;"acoes")))*INDEX(Inputs!$K$5:$AJ$120,0,MATCH(I$2,Inputs!$K$4:$AJ$4,0)))+SUMPRODUCT((Inputs!$E$5:$E$120=$B13)*Inputs!$F$5:$F$120*(((Inputs!$G$5:$G$120="moeda")+(Inputs!$G$5:$G$120="acoes"))*Inputs!$B$1+((Inputs!$G$5:$G$120&lt;&gt;"moeda")*(Inputs!$G$5:$G$120&lt;&gt;"acoes")))*INDEX(Inputs!$K$5:$AJ$120,0,MATCH(I$2,Inputs!$K$4:$AJ$4,0)))))</f>
        <v>-220</v>
      </c>
      <c r="J13" s="267">
        <f>IF(ISNA(MATCH(J$2,Inputs!$K$4:$AJ$4,0)),NA(),IF(SUMPRODUCT((Inputs!$A$5:$A$120=$B13)*ISNUMBER(INDEX(Inputs!$K$5:$AJ$120,0,MATCH(J$2,Inputs!$K$4:$AJ$4,0))))+SUMPRODUCT((Inputs!$C$5:$C$120=$B13)*ISNUMBER(INDEX(Inputs!$K$5:$AJ$120,0,MATCH(J$2,Inputs!$K$4:$AJ$4,0))))+SUMPRODUCT((Inputs!$E$5:$E$120=$B13)*ISNUMBER(INDEX(Inputs!$K$5:$AJ$120,0,MATCH(J$2,Inputs!$K$4:$AJ$4,0))))=0,NA(),SUMPRODUCT((Inputs!$A$5:$A$120=$B13)*Inputs!$B$5:$B$120*(((Inputs!$G$5:$G$120="moeda")+(Inputs!$G$5:$G$120="acoes"))*Inputs!$B$1+((Inputs!$G$5:$G$120&lt;&gt;"moeda")*(Inputs!$G$5:$G$120&lt;&gt;"acoes")))*INDEX(Inputs!$K$5:$AJ$120,0,MATCH(J$2,Inputs!$K$4:$AJ$4,0)))+SUMPRODUCT((Inputs!$C$5:$C$120=$B13)*Inputs!$D$5:$D$120*(((Inputs!$G$5:$G$120="moeda")+(Inputs!$G$5:$G$120="acoes"))*Inputs!$B$1+((Inputs!$G$5:$G$120&lt;&gt;"moeda")*(Inputs!$G$5:$G$120&lt;&gt;"acoes")))*INDEX(Inputs!$K$5:$AJ$120,0,MATCH(J$2,Inputs!$K$4:$AJ$4,0)))+SUMPRODUCT((Inputs!$E$5:$E$120=$B13)*Inputs!$F$5:$F$120*(((Inputs!$G$5:$G$120="moeda")+(Inputs!$G$5:$G$120="acoes"))*Inputs!$B$1+((Inputs!$G$5:$G$120&lt;&gt;"moeda")*(Inputs!$G$5:$G$120&lt;&gt;"acoes")))*INDEX(Inputs!$K$5:$AJ$120,0,MATCH(J$2,Inputs!$K$4:$AJ$4,0)))))</f>
        <v>-218</v>
      </c>
      <c r="K13" s="267">
        <f>IF(ISNA(MATCH(K$2,Inputs!$K$4:$AJ$4,0)),NA(),IF(SUMPRODUCT((Inputs!$A$5:$A$120=$B13)*ISNUMBER(INDEX(Inputs!$K$5:$AJ$120,0,MATCH(K$2,Inputs!$K$4:$AJ$4,0))))+SUMPRODUCT((Inputs!$C$5:$C$120=$B13)*ISNUMBER(INDEX(Inputs!$K$5:$AJ$120,0,MATCH(K$2,Inputs!$K$4:$AJ$4,0))))+SUMPRODUCT((Inputs!$E$5:$E$120=$B13)*ISNUMBER(INDEX(Inputs!$K$5:$AJ$120,0,MATCH(K$2,Inputs!$K$4:$AJ$4,0))))=0,NA(),SUMPRODUCT((Inputs!$A$5:$A$120=$B13)*Inputs!$B$5:$B$120*(((Inputs!$G$5:$G$120="moeda")+(Inputs!$G$5:$G$120="acoes"))*Inputs!$B$1+((Inputs!$G$5:$G$120&lt;&gt;"moeda")*(Inputs!$G$5:$G$120&lt;&gt;"acoes")))*INDEX(Inputs!$K$5:$AJ$120,0,MATCH(K$2,Inputs!$K$4:$AJ$4,0)))+SUMPRODUCT((Inputs!$C$5:$C$120=$B13)*Inputs!$D$5:$D$120*(((Inputs!$G$5:$G$120="moeda")+(Inputs!$G$5:$G$120="acoes"))*Inputs!$B$1+((Inputs!$G$5:$G$120&lt;&gt;"moeda")*(Inputs!$G$5:$G$120&lt;&gt;"acoes")))*INDEX(Inputs!$K$5:$AJ$120,0,MATCH(K$2,Inputs!$K$4:$AJ$4,0)))+SUMPRODUCT((Inputs!$E$5:$E$120=$B13)*Inputs!$F$5:$F$120*(((Inputs!$G$5:$G$120="moeda")+(Inputs!$G$5:$G$120="acoes"))*Inputs!$B$1+((Inputs!$G$5:$G$120&lt;&gt;"moeda")*(Inputs!$G$5:$G$120&lt;&gt;"acoes")))*INDEX(Inputs!$K$5:$AJ$120,0,MATCH(K$2,Inputs!$K$4:$AJ$4,0)))))</f>
        <v>-214</v>
      </c>
      <c r="L13" s="267">
        <f>IF(ISNA(MATCH(L$2,Inputs!$K$4:$AJ$4,0)),NA(),IF(SUMPRODUCT((Inputs!$A$5:$A$120=$B13)*ISNUMBER(INDEX(Inputs!$K$5:$AJ$120,0,MATCH(L$2,Inputs!$K$4:$AJ$4,0))))+SUMPRODUCT((Inputs!$C$5:$C$120=$B13)*ISNUMBER(INDEX(Inputs!$K$5:$AJ$120,0,MATCH(L$2,Inputs!$K$4:$AJ$4,0))))+SUMPRODUCT((Inputs!$E$5:$E$120=$B13)*ISNUMBER(INDEX(Inputs!$K$5:$AJ$120,0,MATCH(L$2,Inputs!$K$4:$AJ$4,0))))=0,NA(),SUMPRODUCT((Inputs!$A$5:$A$120=$B13)*Inputs!$B$5:$B$120*(((Inputs!$G$5:$G$120="moeda")+(Inputs!$G$5:$G$120="acoes"))*Inputs!$B$1+((Inputs!$G$5:$G$120&lt;&gt;"moeda")*(Inputs!$G$5:$G$120&lt;&gt;"acoes")))*INDEX(Inputs!$K$5:$AJ$120,0,MATCH(L$2,Inputs!$K$4:$AJ$4,0)))+SUMPRODUCT((Inputs!$C$5:$C$120=$B13)*Inputs!$D$5:$D$120*(((Inputs!$G$5:$G$120="moeda")+(Inputs!$G$5:$G$120="acoes"))*Inputs!$B$1+((Inputs!$G$5:$G$120&lt;&gt;"moeda")*(Inputs!$G$5:$G$120&lt;&gt;"acoes")))*INDEX(Inputs!$K$5:$AJ$120,0,MATCH(L$2,Inputs!$K$4:$AJ$4,0)))+SUMPRODUCT((Inputs!$E$5:$E$120=$B13)*Inputs!$F$5:$F$120*(((Inputs!$G$5:$G$120="moeda")+(Inputs!$G$5:$G$120="acoes"))*Inputs!$B$1+((Inputs!$G$5:$G$120&lt;&gt;"moeda")*(Inputs!$G$5:$G$120&lt;&gt;"acoes")))*INDEX(Inputs!$K$5:$AJ$120,0,MATCH(L$2,Inputs!$K$4:$AJ$4,0)))))</f>
        <v>-214</v>
      </c>
      <c r="M13" s="268">
        <f>SUM(I13:L13)</f>
        <v>-866</v>
      </c>
      <c r="N13" s="267">
        <f>IF(ISNA(MATCH(N$2,Inputs!$K$4:$AJ$4,0)),NA(),IF(SUMPRODUCT((Inputs!$A$5:$A$120=$B13)*ISNUMBER(INDEX(Inputs!$K$5:$AJ$120,0,MATCH(N$2,Inputs!$K$4:$AJ$4,0))))+SUMPRODUCT((Inputs!$C$5:$C$120=$B13)*ISNUMBER(INDEX(Inputs!$K$5:$AJ$120,0,MATCH(N$2,Inputs!$K$4:$AJ$4,0))))+SUMPRODUCT((Inputs!$E$5:$E$120=$B13)*ISNUMBER(INDEX(Inputs!$K$5:$AJ$120,0,MATCH(N$2,Inputs!$K$4:$AJ$4,0))))=0,NA(),SUMPRODUCT((Inputs!$A$5:$A$120=$B13)*Inputs!$B$5:$B$120*(((Inputs!$G$5:$G$120="moeda")+(Inputs!$G$5:$G$120="acoes"))*Inputs!$B$1+((Inputs!$G$5:$G$120&lt;&gt;"moeda")*(Inputs!$G$5:$G$120&lt;&gt;"acoes")))*INDEX(Inputs!$K$5:$AJ$120,0,MATCH(N$2,Inputs!$K$4:$AJ$4,0)))+SUMPRODUCT((Inputs!$C$5:$C$120=$B13)*Inputs!$D$5:$D$120*(((Inputs!$G$5:$G$120="moeda")+(Inputs!$G$5:$G$120="acoes"))*Inputs!$B$1+((Inputs!$G$5:$G$120&lt;&gt;"moeda")*(Inputs!$G$5:$G$120&lt;&gt;"acoes")))*INDEX(Inputs!$K$5:$AJ$120,0,MATCH(N$2,Inputs!$K$4:$AJ$4,0)))+SUMPRODUCT((Inputs!$E$5:$E$120=$B13)*Inputs!$F$5:$F$120*(((Inputs!$G$5:$G$120="moeda")+(Inputs!$G$5:$G$120="acoes"))*Inputs!$B$1+((Inputs!$G$5:$G$120&lt;&gt;"moeda")*(Inputs!$G$5:$G$120&lt;&gt;"acoes")))*INDEX(Inputs!$K$5:$AJ$120,0,MATCH(N$2,Inputs!$K$4:$AJ$4,0)))))</f>
        <v>-217</v>
      </c>
      <c r="O13" s="267">
        <f>IF(ISNA(MATCH(O$2,Inputs!$K$4:$AJ$4,0)),NA(),IF(SUMPRODUCT((Inputs!$A$5:$A$120=$B13)*ISNUMBER(INDEX(Inputs!$K$5:$AJ$120,0,MATCH(O$2,Inputs!$K$4:$AJ$4,0))))+SUMPRODUCT((Inputs!$C$5:$C$120=$B13)*ISNUMBER(INDEX(Inputs!$K$5:$AJ$120,0,MATCH(O$2,Inputs!$K$4:$AJ$4,0))))+SUMPRODUCT((Inputs!$E$5:$E$120=$B13)*ISNUMBER(INDEX(Inputs!$K$5:$AJ$120,0,MATCH(O$2,Inputs!$K$4:$AJ$4,0))))=0,NA(),SUMPRODUCT((Inputs!$A$5:$A$120=$B13)*Inputs!$B$5:$B$120*(((Inputs!$G$5:$G$120="moeda")+(Inputs!$G$5:$G$120="acoes"))*Inputs!$B$1+((Inputs!$G$5:$G$120&lt;&gt;"moeda")*(Inputs!$G$5:$G$120&lt;&gt;"acoes")))*INDEX(Inputs!$K$5:$AJ$120,0,MATCH(O$2,Inputs!$K$4:$AJ$4,0)))+SUMPRODUCT((Inputs!$C$5:$C$120=$B13)*Inputs!$D$5:$D$120*(((Inputs!$G$5:$G$120="moeda")+(Inputs!$G$5:$G$120="acoes"))*Inputs!$B$1+((Inputs!$G$5:$G$120&lt;&gt;"moeda")*(Inputs!$G$5:$G$120&lt;&gt;"acoes")))*INDEX(Inputs!$K$5:$AJ$120,0,MATCH(O$2,Inputs!$K$4:$AJ$4,0)))+SUMPRODUCT((Inputs!$E$5:$E$120=$B13)*Inputs!$F$5:$F$120*(((Inputs!$G$5:$G$120="moeda")+(Inputs!$G$5:$G$120="acoes"))*Inputs!$B$1+((Inputs!$G$5:$G$120&lt;&gt;"moeda")*(Inputs!$G$5:$G$120&lt;&gt;"acoes")))*INDEX(Inputs!$K$5:$AJ$120,0,MATCH(O$2,Inputs!$K$4:$AJ$4,0)))))</f>
        <v>-215</v>
      </c>
      <c r="P13" s="267">
        <f>IF(ISNA(MATCH(P$2,Inputs!$K$4:$AJ$4,0)),NA(),IF(SUMPRODUCT((Inputs!$A$5:$A$120=$B13)*ISNUMBER(INDEX(Inputs!$K$5:$AJ$120,0,MATCH(P$2,Inputs!$K$4:$AJ$4,0))))+SUMPRODUCT((Inputs!$C$5:$C$120=$B13)*ISNUMBER(INDEX(Inputs!$K$5:$AJ$120,0,MATCH(P$2,Inputs!$K$4:$AJ$4,0))))+SUMPRODUCT((Inputs!$E$5:$E$120=$B13)*ISNUMBER(INDEX(Inputs!$K$5:$AJ$120,0,MATCH(P$2,Inputs!$K$4:$AJ$4,0))))=0,NA(),SUMPRODUCT((Inputs!$A$5:$A$120=$B13)*Inputs!$B$5:$B$120*(((Inputs!$G$5:$G$120="moeda")+(Inputs!$G$5:$G$120="acoes"))*Inputs!$B$1+((Inputs!$G$5:$G$120&lt;&gt;"moeda")*(Inputs!$G$5:$G$120&lt;&gt;"acoes")))*INDEX(Inputs!$K$5:$AJ$120,0,MATCH(P$2,Inputs!$K$4:$AJ$4,0)))+SUMPRODUCT((Inputs!$C$5:$C$120=$B13)*Inputs!$D$5:$D$120*(((Inputs!$G$5:$G$120="moeda")+(Inputs!$G$5:$G$120="acoes"))*Inputs!$B$1+((Inputs!$G$5:$G$120&lt;&gt;"moeda")*(Inputs!$G$5:$G$120&lt;&gt;"acoes")))*INDEX(Inputs!$K$5:$AJ$120,0,MATCH(P$2,Inputs!$K$4:$AJ$4,0)))+SUMPRODUCT((Inputs!$E$5:$E$120=$B13)*Inputs!$F$5:$F$120*(((Inputs!$G$5:$G$120="moeda")+(Inputs!$G$5:$G$120="acoes"))*Inputs!$B$1+((Inputs!$G$5:$G$120&lt;&gt;"moeda")*(Inputs!$G$5:$G$120&lt;&gt;"acoes")))*INDEX(Inputs!$K$5:$AJ$120,0,MATCH(P$2,Inputs!$K$4:$AJ$4,0)))))</f>
        <v>-215</v>
      </c>
      <c r="Q13" s="267">
        <f>IF(ISNA(MATCH(Q$2,Inputs!$K$4:$AJ$4,0)),NA(),IF(SUMPRODUCT((Inputs!$A$5:$A$120=$B13)*ISNUMBER(INDEX(Inputs!$K$5:$AJ$120,0,MATCH(Q$2,Inputs!$K$4:$AJ$4,0))))+SUMPRODUCT((Inputs!$C$5:$C$120=$B13)*ISNUMBER(INDEX(Inputs!$K$5:$AJ$120,0,MATCH(Q$2,Inputs!$K$4:$AJ$4,0))))+SUMPRODUCT((Inputs!$E$5:$E$120=$B13)*ISNUMBER(INDEX(Inputs!$K$5:$AJ$120,0,MATCH(Q$2,Inputs!$K$4:$AJ$4,0))))=0,NA(),SUMPRODUCT((Inputs!$A$5:$A$120=$B13)*Inputs!$B$5:$B$120*(((Inputs!$G$5:$G$120="moeda")+(Inputs!$G$5:$G$120="acoes"))*Inputs!$B$1+((Inputs!$G$5:$G$120&lt;&gt;"moeda")*(Inputs!$G$5:$G$120&lt;&gt;"acoes")))*INDEX(Inputs!$K$5:$AJ$120,0,MATCH(Q$2,Inputs!$K$4:$AJ$4,0)))+SUMPRODUCT((Inputs!$C$5:$C$120=$B13)*Inputs!$D$5:$D$120*(((Inputs!$G$5:$G$120="moeda")+(Inputs!$G$5:$G$120="acoes"))*Inputs!$B$1+((Inputs!$G$5:$G$120&lt;&gt;"moeda")*(Inputs!$G$5:$G$120&lt;&gt;"acoes")))*INDEX(Inputs!$K$5:$AJ$120,0,MATCH(Q$2,Inputs!$K$4:$AJ$4,0)))+SUMPRODUCT((Inputs!$E$5:$E$120=$B13)*Inputs!$F$5:$F$120*(((Inputs!$G$5:$G$120="moeda")+(Inputs!$G$5:$G$120="acoes"))*Inputs!$B$1+((Inputs!$G$5:$G$120&lt;&gt;"moeda")*(Inputs!$G$5:$G$120&lt;&gt;"acoes")))*INDEX(Inputs!$K$5:$AJ$120,0,MATCH(Q$2,Inputs!$K$4:$AJ$4,0)))))</f>
        <v>-216</v>
      </c>
      <c r="R13" s="268">
        <f>SUM(N13:Q13)</f>
        <v>-863</v>
      </c>
      <c r="S13" s="267">
        <f>IF(ISNA(MATCH(S$2,Inputs!$K$4:$AJ$4,0)),NA(),IF(SUMPRODUCT((Inputs!$A$5:$A$120=$B13)*ISNUMBER(INDEX(Inputs!$K$5:$AJ$120,0,MATCH(S$2,Inputs!$K$4:$AJ$4,0))))+SUMPRODUCT((Inputs!$C$5:$C$120=$B13)*ISNUMBER(INDEX(Inputs!$K$5:$AJ$120,0,MATCH(S$2,Inputs!$K$4:$AJ$4,0))))+SUMPRODUCT((Inputs!$E$5:$E$120=$B13)*ISNUMBER(INDEX(Inputs!$K$5:$AJ$120,0,MATCH(S$2,Inputs!$K$4:$AJ$4,0))))=0,NA(),SUMPRODUCT((Inputs!$A$5:$A$120=$B13)*Inputs!$B$5:$B$120*(((Inputs!$G$5:$G$120="moeda")+(Inputs!$G$5:$G$120="acoes"))*Inputs!$B$1+((Inputs!$G$5:$G$120&lt;&gt;"moeda")*(Inputs!$G$5:$G$120&lt;&gt;"acoes")))*INDEX(Inputs!$K$5:$AJ$120,0,MATCH(S$2,Inputs!$K$4:$AJ$4,0)))+SUMPRODUCT((Inputs!$C$5:$C$120=$B13)*Inputs!$D$5:$D$120*(((Inputs!$G$5:$G$120="moeda")+(Inputs!$G$5:$G$120="acoes"))*Inputs!$B$1+((Inputs!$G$5:$G$120&lt;&gt;"moeda")*(Inputs!$G$5:$G$120&lt;&gt;"acoes")))*INDEX(Inputs!$K$5:$AJ$120,0,MATCH(S$2,Inputs!$K$4:$AJ$4,0)))+SUMPRODUCT((Inputs!$E$5:$E$120=$B13)*Inputs!$F$5:$F$120*(((Inputs!$G$5:$G$120="moeda")+(Inputs!$G$5:$G$120="acoes"))*Inputs!$B$1+((Inputs!$G$5:$G$120&lt;&gt;"moeda")*(Inputs!$G$5:$G$120&lt;&gt;"acoes")))*INDEX(Inputs!$K$5:$AJ$120,0,MATCH(S$2,Inputs!$K$4:$AJ$4,0)))))</f>
        <v>-218</v>
      </c>
      <c r="T13" s="267">
        <f>IF(ISNA(MATCH(T$2,Inputs!$K$4:$AJ$4,0)),NA(),IF(SUMPRODUCT((Inputs!$A$5:$A$120=$B13)*ISNUMBER(INDEX(Inputs!$K$5:$AJ$120,0,MATCH(T$2,Inputs!$K$4:$AJ$4,0))))+SUMPRODUCT((Inputs!$C$5:$C$120=$B13)*ISNUMBER(INDEX(Inputs!$K$5:$AJ$120,0,MATCH(T$2,Inputs!$K$4:$AJ$4,0))))+SUMPRODUCT((Inputs!$E$5:$E$120=$B13)*ISNUMBER(INDEX(Inputs!$K$5:$AJ$120,0,MATCH(T$2,Inputs!$K$4:$AJ$4,0))))=0,NA(),SUMPRODUCT((Inputs!$A$5:$A$120=$B13)*Inputs!$B$5:$B$120*(((Inputs!$G$5:$G$120="moeda")+(Inputs!$G$5:$G$120="acoes"))*Inputs!$B$1+((Inputs!$G$5:$G$120&lt;&gt;"moeda")*(Inputs!$G$5:$G$120&lt;&gt;"acoes")))*INDEX(Inputs!$K$5:$AJ$120,0,MATCH(T$2,Inputs!$K$4:$AJ$4,0)))+SUMPRODUCT((Inputs!$C$5:$C$120=$B13)*Inputs!$D$5:$D$120*(((Inputs!$G$5:$G$120="moeda")+(Inputs!$G$5:$G$120="acoes"))*Inputs!$B$1+((Inputs!$G$5:$G$120&lt;&gt;"moeda")*(Inputs!$G$5:$G$120&lt;&gt;"acoes")))*INDEX(Inputs!$K$5:$AJ$120,0,MATCH(T$2,Inputs!$K$4:$AJ$4,0)))+SUMPRODUCT((Inputs!$E$5:$E$120=$B13)*Inputs!$F$5:$F$120*(((Inputs!$G$5:$G$120="moeda")+(Inputs!$G$5:$G$120="acoes"))*Inputs!$B$1+((Inputs!$G$5:$G$120&lt;&gt;"moeda")*(Inputs!$G$5:$G$120&lt;&gt;"acoes")))*INDEX(Inputs!$K$5:$AJ$120,0,MATCH(T$2,Inputs!$K$4:$AJ$4,0)))))</f>
        <v>-215</v>
      </c>
      <c r="U13" s="267">
        <f>IF(ISNA(MATCH(U$2,Inputs!$K$4:$AJ$4,0)),NA(),IF(SUMPRODUCT((Inputs!$A$5:$A$120=$B13)*ISNUMBER(INDEX(Inputs!$K$5:$AJ$120,0,MATCH(U$2,Inputs!$K$4:$AJ$4,0))))+SUMPRODUCT((Inputs!$C$5:$C$120=$B13)*ISNUMBER(INDEX(Inputs!$K$5:$AJ$120,0,MATCH(U$2,Inputs!$K$4:$AJ$4,0))))+SUMPRODUCT((Inputs!$E$5:$E$120=$B13)*ISNUMBER(INDEX(Inputs!$K$5:$AJ$120,0,MATCH(U$2,Inputs!$K$4:$AJ$4,0))))=0,NA(),SUMPRODUCT((Inputs!$A$5:$A$120=$B13)*Inputs!$B$5:$B$120*(((Inputs!$G$5:$G$120="moeda")+(Inputs!$G$5:$G$120="acoes"))*Inputs!$B$1+((Inputs!$G$5:$G$120&lt;&gt;"moeda")*(Inputs!$G$5:$G$120&lt;&gt;"acoes")))*INDEX(Inputs!$K$5:$AJ$120,0,MATCH(U$2,Inputs!$K$4:$AJ$4,0)))+SUMPRODUCT((Inputs!$C$5:$C$120=$B13)*Inputs!$D$5:$D$120*(((Inputs!$G$5:$G$120="moeda")+(Inputs!$G$5:$G$120="acoes"))*Inputs!$B$1+((Inputs!$G$5:$G$120&lt;&gt;"moeda")*(Inputs!$G$5:$G$120&lt;&gt;"acoes")))*INDEX(Inputs!$K$5:$AJ$120,0,MATCH(U$2,Inputs!$K$4:$AJ$4,0)))+SUMPRODUCT((Inputs!$E$5:$E$120=$B13)*Inputs!$F$5:$F$120*(((Inputs!$G$5:$G$120="moeda")+(Inputs!$G$5:$G$120="acoes"))*Inputs!$B$1+((Inputs!$G$5:$G$120&lt;&gt;"moeda")*(Inputs!$G$5:$G$120&lt;&gt;"acoes")))*INDEX(Inputs!$K$5:$AJ$120,0,MATCH(U$2,Inputs!$K$4:$AJ$4,0)))))</f>
        <v>-216</v>
      </c>
      <c r="V13" s="267">
        <f>IF(ISNA(MATCH(V$2,Inputs!$K$4:$AJ$4,0)),NA(),IF(SUMPRODUCT((Inputs!$A$5:$A$120=$B13)*ISNUMBER(INDEX(Inputs!$K$5:$AJ$120,0,MATCH(V$2,Inputs!$K$4:$AJ$4,0))))+SUMPRODUCT((Inputs!$C$5:$C$120=$B13)*ISNUMBER(INDEX(Inputs!$K$5:$AJ$120,0,MATCH(V$2,Inputs!$K$4:$AJ$4,0))))+SUMPRODUCT((Inputs!$E$5:$E$120=$B13)*ISNUMBER(INDEX(Inputs!$K$5:$AJ$120,0,MATCH(V$2,Inputs!$K$4:$AJ$4,0))))=0,NA(),SUMPRODUCT((Inputs!$A$5:$A$120=$B13)*Inputs!$B$5:$B$120*(((Inputs!$G$5:$G$120="moeda")+(Inputs!$G$5:$G$120="acoes"))*Inputs!$B$1+((Inputs!$G$5:$G$120&lt;&gt;"moeda")*(Inputs!$G$5:$G$120&lt;&gt;"acoes")))*INDEX(Inputs!$K$5:$AJ$120,0,MATCH(V$2,Inputs!$K$4:$AJ$4,0)))+SUMPRODUCT((Inputs!$C$5:$C$120=$B13)*Inputs!$D$5:$D$120*(((Inputs!$G$5:$G$120="moeda")+(Inputs!$G$5:$G$120="acoes"))*Inputs!$B$1+((Inputs!$G$5:$G$120&lt;&gt;"moeda")*(Inputs!$G$5:$G$120&lt;&gt;"acoes")))*INDEX(Inputs!$K$5:$AJ$120,0,MATCH(V$2,Inputs!$K$4:$AJ$4,0)))+SUMPRODUCT((Inputs!$E$5:$E$120=$B13)*Inputs!$F$5:$F$120*(((Inputs!$G$5:$G$120="moeda")+(Inputs!$G$5:$G$120="acoes"))*Inputs!$B$1+((Inputs!$G$5:$G$120&lt;&gt;"moeda")*(Inputs!$G$5:$G$120&lt;&gt;"acoes")))*INDEX(Inputs!$K$5:$AJ$120,0,MATCH(V$2,Inputs!$K$4:$AJ$4,0)))))</f>
        <v>-216</v>
      </c>
      <c r="W13" s="268">
        <f>SUM(S13:V13)</f>
        <v>-865</v>
      </c>
      <c r="X13" s="267">
        <f>IF(ISNA(MATCH(X$2,Inputs!$K$4:$AJ$4,0)),NA(),IF(SUMPRODUCT((Inputs!$A$5:$A$120=$B13)*ISNUMBER(INDEX(Inputs!$K$5:$AJ$120,0,MATCH(X$2,Inputs!$K$4:$AJ$4,0))))+SUMPRODUCT((Inputs!$C$5:$C$120=$B13)*ISNUMBER(INDEX(Inputs!$K$5:$AJ$120,0,MATCH(X$2,Inputs!$K$4:$AJ$4,0))))+SUMPRODUCT((Inputs!$E$5:$E$120=$B13)*ISNUMBER(INDEX(Inputs!$K$5:$AJ$120,0,MATCH(X$2,Inputs!$K$4:$AJ$4,0))))=0,NA(),SUMPRODUCT((Inputs!$A$5:$A$120=$B13)*Inputs!$B$5:$B$120*(((Inputs!$G$5:$G$120="moeda")+(Inputs!$G$5:$G$120="acoes"))*Inputs!$B$1+((Inputs!$G$5:$G$120&lt;&gt;"moeda")*(Inputs!$G$5:$G$120&lt;&gt;"acoes")))*INDEX(Inputs!$K$5:$AJ$120,0,MATCH(X$2,Inputs!$K$4:$AJ$4,0)))+SUMPRODUCT((Inputs!$C$5:$C$120=$B13)*Inputs!$D$5:$D$120*(((Inputs!$G$5:$G$120="moeda")+(Inputs!$G$5:$G$120="acoes"))*Inputs!$B$1+((Inputs!$G$5:$G$120&lt;&gt;"moeda")*(Inputs!$G$5:$G$120&lt;&gt;"acoes")))*INDEX(Inputs!$K$5:$AJ$120,0,MATCH(X$2,Inputs!$K$4:$AJ$4,0)))+SUMPRODUCT((Inputs!$E$5:$E$120=$B13)*Inputs!$F$5:$F$120*(((Inputs!$G$5:$G$120="moeda")+(Inputs!$G$5:$G$120="acoes"))*Inputs!$B$1+((Inputs!$G$5:$G$120&lt;&gt;"moeda")*(Inputs!$G$5:$G$120&lt;&gt;"acoes")))*INDEX(Inputs!$K$5:$AJ$120,0,MATCH(X$2,Inputs!$K$4:$AJ$4,0)))))</f>
        <v>-218</v>
      </c>
      <c r="Y13" s="267">
        <f>IF(ISNA(MATCH(Y$2,Inputs!$K$4:$AJ$4,0)),NA(),IF(SUMPRODUCT((Inputs!$A$5:$A$120=$B13)*ISNUMBER(INDEX(Inputs!$K$5:$AJ$120,0,MATCH(Y$2,Inputs!$K$4:$AJ$4,0))))+SUMPRODUCT((Inputs!$C$5:$C$120=$B13)*ISNUMBER(INDEX(Inputs!$K$5:$AJ$120,0,MATCH(Y$2,Inputs!$K$4:$AJ$4,0))))+SUMPRODUCT((Inputs!$E$5:$E$120=$B13)*ISNUMBER(INDEX(Inputs!$K$5:$AJ$120,0,MATCH(Y$2,Inputs!$K$4:$AJ$4,0))))=0,NA(),SUMPRODUCT((Inputs!$A$5:$A$120=$B13)*Inputs!$B$5:$B$120*(((Inputs!$G$5:$G$120="moeda")+(Inputs!$G$5:$G$120="acoes"))*Inputs!$B$1+((Inputs!$G$5:$G$120&lt;&gt;"moeda")*(Inputs!$G$5:$G$120&lt;&gt;"acoes")))*INDEX(Inputs!$K$5:$AJ$120,0,MATCH(Y$2,Inputs!$K$4:$AJ$4,0)))+SUMPRODUCT((Inputs!$C$5:$C$120=$B13)*Inputs!$D$5:$D$120*(((Inputs!$G$5:$G$120="moeda")+(Inputs!$G$5:$G$120="acoes"))*Inputs!$B$1+((Inputs!$G$5:$G$120&lt;&gt;"moeda")*(Inputs!$G$5:$G$120&lt;&gt;"acoes")))*INDEX(Inputs!$K$5:$AJ$120,0,MATCH(Y$2,Inputs!$K$4:$AJ$4,0)))+SUMPRODUCT((Inputs!$E$5:$E$120=$B13)*Inputs!$F$5:$F$120*(((Inputs!$G$5:$G$120="moeda")+(Inputs!$G$5:$G$120="acoes"))*Inputs!$B$1+((Inputs!$G$5:$G$120&lt;&gt;"moeda")*(Inputs!$G$5:$G$120&lt;&gt;"acoes")))*INDEX(Inputs!$K$5:$AJ$120,0,MATCH(Y$2,Inputs!$K$4:$AJ$4,0)))))</f>
        <v>-215</v>
      </c>
      <c r="Z13" s="267">
        <f>IF(ISNA(MATCH(Z$2,Inputs!$K$4:$AJ$4,0)),NA(),IF(SUMPRODUCT((Inputs!$A$5:$A$120=$B13)*ISNUMBER(INDEX(Inputs!$K$5:$AJ$120,0,MATCH(Z$2,Inputs!$K$4:$AJ$4,0))))+SUMPRODUCT((Inputs!$C$5:$C$120=$B13)*ISNUMBER(INDEX(Inputs!$K$5:$AJ$120,0,MATCH(Z$2,Inputs!$K$4:$AJ$4,0))))+SUMPRODUCT((Inputs!$E$5:$E$120=$B13)*ISNUMBER(INDEX(Inputs!$K$5:$AJ$120,0,MATCH(Z$2,Inputs!$K$4:$AJ$4,0))))=0,NA(),SUMPRODUCT((Inputs!$A$5:$A$120=$B13)*Inputs!$B$5:$B$120*(((Inputs!$G$5:$G$120="moeda")+(Inputs!$G$5:$G$120="acoes"))*Inputs!$B$1+((Inputs!$G$5:$G$120&lt;&gt;"moeda")*(Inputs!$G$5:$G$120&lt;&gt;"acoes")))*INDEX(Inputs!$K$5:$AJ$120,0,MATCH(Z$2,Inputs!$K$4:$AJ$4,0)))+SUMPRODUCT((Inputs!$C$5:$C$120=$B13)*Inputs!$D$5:$D$120*(((Inputs!$G$5:$G$120="moeda")+(Inputs!$G$5:$G$120="acoes"))*Inputs!$B$1+((Inputs!$G$5:$G$120&lt;&gt;"moeda")*(Inputs!$G$5:$G$120&lt;&gt;"acoes")))*INDEX(Inputs!$K$5:$AJ$120,0,MATCH(Z$2,Inputs!$K$4:$AJ$4,0)))+SUMPRODUCT((Inputs!$E$5:$E$120=$B13)*Inputs!$F$5:$F$120*(((Inputs!$G$5:$G$120="moeda")+(Inputs!$G$5:$G$120="acoes"))*Inputs!$B$1+((Inputs!$G$5:$G$120&lt;&gt;"moeda")*(Inputs!$G$5:$G$120&lt;&gt;"acoes")))*INDEX(Inputs!$K$5:$AJ$120,0,MATCH(Z$2,Inputs!$K$4:$AJ$4,0)))))</f>
        <v>-216</v>
      </c>
      <c r="AA13" s="267">
        <f>IF(ISNA(MATCH(AA$2,Inputs!$K$4:$AJ$4,0)),NA(),IF(SUMPRODUCT((Inputs!$A$5:$A$120=$B13)*ISNUMBER(INDEX(Inputs!$K$5:$AJ$120,0,MATCH(AA$2,Inputs!$K$4:$AJ$4,0))))+SUMPRODUCT((Inputs!$C$5:$C$120=$B13)*ISNUMBER(INDEX(Inputs!$K$5:$AJ$120,0,MATCH(AA$2,Inputs!$K$4:$AJ$4,0))))+SUMPRODUCT((Inputs!$E$5:$E$120=$B13)*ISNUMBER(INDEX(Inputs!$K$5:$AJ$120,0,MATCH(AA$2,Inputs!$K$4:$AJ$4,0))))=0,NA(),SUMPRODUCT((Inputs!$A$5:$A$120=$B13)*Inputs!$B$5:$B$120*(((Inputs!$G$5:$G$120="moeda")+(Inputs!$G$5:$G$120="acoes"))*Inputs!$B$1+((Inputs!$G$5:$G$120&lt;&gt;"moeda")*(Inputs!$G$5:$G$120&lt;&gt;"acoes")))*INDEX(Inputs!$K$5:$AJ$120,0,MATCH(AA$2,Inputs!$K$4:$AJ$4,0)))+SUMPRODUCT((Inputs!$C$5:$C$120=$B13)*Inputs!$D$5:$D$120*(((Inputs!$G$5:$G$120="moeda")+(Inputs!$G$5:$G$120="acoes"))*Inputs!$B$1+((Inputs!$G$5:$G$120&lt;&gt;"moeda")*(Inputs!$G$5:$G$120&lt;&gt;"acoes")))*INDEX(Inputs!$K$5:$AJ$120,0,MATCH(AA$2,Inputs!$K$4:$AJ$4,0)))+SUMPRODUCT((Inputs!$E$5:$E$120=$B13)*Inputs!$F$5:$F$120*(((Inputs!$G$5:$G$120="moeda")+(Inputs!$G$5:$G$120="acoes"))*Inputs!$B$1+((Inputs!$G$5:$G$120&lt;&gt;"moeda")*(Inputs!$G$5:$G$120&lt;&gt;"acoes")))*INDEX(Inputs!$K$5:$AJ$120,0,MATCH(AA$2,Inputs!$K$4:$AJ$4,0)))))</f>
        <v>-216</v>
      </c>
      <c r="AB13" s="268">
        <f>SUM(X13:AA13)</f>
        <v>-865</v>
      </c>
      <c r="AC13" s="267">
        <f>IF(ISNA(MATCH(AC$2,Inputs!$K$4:$AJ$4,0)),NA(),IF(SUMPRODUCT((Inputs!$A$5:$A$120=$B13)*ISNUMBER(INDEX(Inputs!$K$5:$AJ$120,0,MATCH(AC$2,Inputs!$K$4:$AJ$4,0))))+SUMPRODUCT((Inputs!$C$5:$C$120=$B13)*ISNUMBER(INDEX(Inputs!$K$5:$AJ$120,0,MATCH(AC$2,Inputs!$K$4:$AJ$4,0))))+SUMPRODUCT((Inputs!$E$5:$E$120=$B13)*ISNUMBER(INDEX(Inputs!$K$5:$AJ$120,0,MATCH(AC$2,Inputs!$K$4:$AJ$4,0))))=0,NA(),SUMPRODUCT((Inputs!$A$5:$A$120=$B13)*Inputs!$B$5:$B$120*(((Inputs!$G$5:$G$120="moeda")+(Inputs!$G$5:$G$120="acoes"))*Inputs!$B$1+((Inputs!$G$5:$G$120&lt;&gt;"moeda")*(Inputs!$G$5:$G$120&lt;&gt;"acoes")))*INDEX(Inputs!$K$5:$AJ$120,0,MATCH(AC$2,Inputs!$K$4:$AJ$4,0)))+SUMPRODUCT((Inputs!$C$5:$C$120=$B13)*Inputs!$D$5:$D$120*(((Inputs!$G$5:$G$120="moeda")+(Inputs!$G$5:$G$120="acoes"))*Inputs!$B$1+((Inputs!$G$5:$G$120&lt;&gt;"moeda")*(Inputs!$G$5:$G$120&lt;&gt;"acoes")))*INDEX(Inputs!$K$5:$AJ$120,0,MATCH(AC$2,Inputs!$K$4:$AJ$4,0)))+SUMPRODUCT((Inputs!$E$5:$E$120=$B13)*Inputs!$F$5:$F$120*(((Inputs!$G$5:$G$120="moeda")+(Inputs!$G$5:$G$120="acoes"))*Inputs!$B$1+((Inputs!$G$5:$G$120&lt;&gt;"moeda")*(Inputs!$G$5:$G$120&lt;&gt;"acoes")))*INDEX(Inputs!$K$5:$AJ$120,0,MATCH(AC$2,Inputs!$K$4:$AJ$4,0)))))</f>
        <v>-218</v>
      </c>
      <c r="AD13" s="267">
        <f>IF(ISNA(MATCH(AD$2,Inputs!$K$4:$AJ$4,0)),NA(),IF(SUMPRODUCT((Inputs!$A$5:$A$120=$B13)*ISNUMBER(INDEX(Inputs!$K$5:$AJ$120,0,MATCH(AD$2,Inputs!$K$4:$AJ$4,0))))+SUMPRODUCT((Inputs!$C$5:$C$120=$B13)*ISNUMBER(INDEX(Inputs!$K$5:$AJ$120,0,MATCH(AD$2,Inputs!$K$4:$AJ$4,0))))+SUMPRODUCT((Inputs!$E$5:$E$120=$B13)*ISNUMBER(INDEX(Inputs!$K$5:$AJ$120,0,MATCH(AD$2,Inputs!$K$4:$AJ$4,0))))=0,NA(),SUMPRODUCT((Inputs!$A$5:$A$120=$B13)*Inputs!$B$5:$B$120*(((Inputs!$G$5:$G$120="moeda")+(Inputs!$G$5:$G$120="acoes"))*Inputs!$B$1+((Inputs!$G$5:$G$120&lt;&gt;"moeda")*(Inputs!$G$5:$G$120&lt;&gt;"acoes")))*INDEX(Inputs!$K$5:$AJ$120,0,MATCH(AD$2,Inputs!$K$4:$AJ$4,0)))+SUMPRODUCT((Inputs!$C$5:$C$120=$B13)*Inputs!$D$5:$D$120*(((Inputs!$G$5:$G$120="moeda")+(Inputs!$G$5:$G$120="acoes"))*Inputs!$B$1+((Inputs!$G$5:$G$120&lt;&gt;"moeda")*(Inputs!$G$5:$G$120&lt;&gt;"acoes")))*INDEX(Inputs!$K$5:$AJ$120,0,MATCH(AD$2,Inputs!$K$4:$AJ$4,0)))+SUMPRODUCT((Inputs!$E$5:$E$120=$B13)*Inputs!$F$5:$F$120*(((Inputs!$G$5:$G$120="moeda")+(Inputs!$G$5:$G$120="acoes"))*Inputs!$B$1+((Inputs!$G$5:$G$120&lt;&gt;"moeda")*(Inputs!$G$5:$G$120&lt;&gt;"acoes")))*INDEX(Inputs!$K$5:$AJ$120,0,MATCH(AD$2,Inputs!$K$4:$AJ$4,0)))))</f>
        <v>-216</v>
      </c>
      <c r="AE13" s="267" t="e">
        <f>IF(ISNA(MATCH(AE$2,Inputs!$K$4:$AJ$4,0)),NA(),IF(SUMPRODUCT((Inputs!$A$5:$A$120=$B13)*ISNUMBER(INDEX(Inputs!$K$5:$AJ$120,0,MATCH(AE$2,Inputs!$K$4:$AJ$4,0))))+SUMPRODUCT((Inputs!$C$5:$C$120=$B13)*ISNUMBER(INDEX(Inputs!$K$5:$AJ$120,0,MATCH(AE$2,Inputs!$K$4:$AJ$4,0))))+SUMPRODUCT((Inputs!$E$5:$E$120=$B13)*ISNUMBER(INDEX(Inputs!$K$5:$AJ$120,0,MATCH(AE$2,Inputs!$K$4:$AJ$4,0))))=0,NA(),SUMPRODUCT((Inputs!$A$5:$A$120=$B13)*Inputs!$B$5:$B$120*(((Inputs!$G$5:$G$120="moeda")+(Inputs!$G$5:$G$120="acoes"))*Inputs!$B$1+((Inputs!$G$5:$G$120&lt;&gt;"moeda")*(Inputs!$G$5:$G$120&lt;&gt;"acoes")))*INDEX(Inputs!$K$5:$AJ$120,0,MATCH(AE$2,Inputs!$K$4:$AJ$4,0)))+SUMPRODUCT((Inputs!$C$5:$C$120=$B13)*Inputs!$D$5:$D$120*(((Inputs!$G$5:$G$120="moeda")+(Inputs!$G$5:$G$120="acoes"))*Inputs!$B$1+((Inputs!$G$5:$G$120&lt;&gt;"moeda")*(Inputs!$G$5:$G$120&lt;&gt;"acoes")))*INDEX(Inputs!$K$5:$AJ$120,0,MATCH(AE$2,Inputs!$K$4:$AJ$4,0)))+SUMPRODUCT((Inputs!$E$5:$E$120=$B13)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3" s="267" t="e">
        <f>IF(ISNA(MATCH(AF$2,Inputs!$K$4:$AJ$4,0)),NA(),IF(SUMPRODUCT((Inputs!$A$5:$A$120=$B13)*ISNUMBER(INDEX(Inputs!$K$5:$AJ$120,0,MATCH(AF$2,Inputs!$K$4:$AJ$4,0))))+SUMPRODUCT((Inputs!$C$5:$C$120=$B13)*ISNUMBER(INDEX(Inputs!$K$5:$AJ$120,0,MATCH(AF$2,Inputs!$K$4:$AJ$4,0))))+SUMPRODUCT((Inputs!$E$5:$E$120=$B13)*ISNUMBER(INDEX(Inputs!$K$5:$AJ$120,0,MATCH(AF$2,Inputs!$K$4:$AJ$4,0))))=0,NA(),SUMPRODUCT((Inputs!$A$5:$A$120=$B13)*Inputs!$B$5:$B$120*(((Inputs!$G$5:$G$120="moeda")+(Inputs!$G$5:$G$120="acoes"))*Inputs!$B$1+((Inputs!$G$5:$G$120&lt;&gt;"moeda")*(Inputs!$G$5:$G$120&lt;&gt;"acoes")))*INDEX(Inputs!$K$5:$AJ$120,0,MATCH(AF$2,Inputs!$K$4:$AJ$4,0)))+SUMPRODUCT((Inputs!$C$5:$C$120=$B13)*Inputs!$D$5:$D$120*(((Inputs!$G$5:$G$120="moeda")+(Inputs!$G$5:$G$120="acoes"))*Inputs!$B$1+((Inputs!$G$5:$G$120&lt;&gt;"moeda")*(Inputs!$G$5:$G$120&lt;&gt;"acoes")))*INDEX(Inputs!$K$5:$AJ$120,0,MATCH(AF$2,Inputs!$K$4:$AJ$4,0)))+SUMPRODUCT((Inputs!$E$5:$E$120=$B13)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3" s="268" t="e">
        <f>SUM(AC13:AF13)</f>
        <v>#N/A</v>
      </c>
      <c r="AH13" s="267">
        <f>IF(ISNA(MATCH(AH$2,Inputs!$K$4:$AJ$4,0)),NA(),IF(SUMPRODUCT((Inputs!$A$5:$A$120=$B13)*ISNUMBER(INDEX(Inputs!$K$5:$AJ$120,0,MATCH(AH$2,Inputs!$K$4:$AJ$4,0))))+SUMPRODUCT((Inputs!$C$5:$C$120=$B13)*ISNUMBER(INDEX(Inputs!$K$5:$AJ$120,0,MATCH(AH$2,Inputs!$K$4:$AJ$4,0))))+SUMPRODUCT((Inputs!$E$5:$E$120=$B13)*ISNUMBER(INDEX(Inputs!$K$5:$AJ$120,0,MATCH(AH$2,Inputs!$K$4:$AJ$4,0))))=0,NA(),SUMPRODUCT((Inputs!$A$5:$A$120=$B13)*Inputs!$B$5:$B$120*(((Inputs!$G$5:$G$120="moeda")+(Inputs!$G$5:$G$120="acoes"))*Inputs!$B$1+((Inputs!$G$5:$G$120&lt;&gt;"moeda")*(Inputs!$G$5:$G$120&lt;&gt;"acoes")))*INDEX(Inputs!$K$5:$AJ$120,0,MATCH(AH$2,Inputs!$K$4:$AJ$4,0)))+SUMPRODUCT((Inputs!$C$5:$C$120=$B13)*Inputs!$D$5:$D$120*(((Inputs!$G$5:$G$120="moeda")+(Inputs!$G$5:$G$120="acoes"))*Inputs!$B$1+((Inputs!$G$5:$G$120&lt;&gt;"moeda")*(Inputs!$G$5:$G$120&lt;&gt;"acoes")))*INDEX(Inputs!$K$5:$AJ$120,0,MATCH(AH$2,Inputs!$K$4:$AJ$4,0)))+SUMPRODUCT((Inputs!$E$5:$E$120=$B13)*Inputs!$F$5:$F$120*(((Inputs!$G$5:$G$120="moeda")+(Inputs!$G$5:$G$120="acoes"))*Inputs!$B$1+((Inputs!$G$5:$G$120&lt;&gt;"moeda")*(Inputs!$G$5:$G$120&lt;&gt;"acoes")))*INDEX(Inputs!$K$5:$AJ$120,0,MATCH(AH$2,Inputs!$K$4:$AJ$4,0)))))</f>
        <v>-73</v>
      </c>
      <c r="AI13" s="267">
        <f>IF(ISNA(MATCH(AI$2,Inputs!$K$4:$AJ$4,0)),NA(),IF(SUMPRODUCT((Inputs!$A$5:$A$120=$B13)*ISNUMBER(INDEX(Inputs!$K$5:$AJ$120,0,MATCH(AI$2,Inputs!$K$4:$AJ$4,0))))+SUMPRODUCT((Inputs!$C$5:$C$120=$B13)*ISNUMBER(INDEX(Inputs!$K$5:$AJ$120,0,MATCH(AI$2,Inputs!$K$4:$AJ$4,0))))+SUMPRODUCT((Inputs!$E$5:$E$120=$B13)*ISNUMBER(INDEX(Inputs!$K$5:$AJ$120,0,MATCH(AI$2,Inputs!$K$4:$AJ$4,0))))=0,NA(),SUMPRODUCT((Inputs!$A$5:$A$120=$B13)*Inputs!$B$5:$B$120*(((Inputs!$G$5:$G$120="moeda")+(Inputs!$G$5:$G$120="acoes"))*Inputs!$B$1+((Inputs!$G$5:$G$120&lt;&gt;"moeda")*(Inputs!$G$5:$G$120&lt;&gt;"acoes")))*INDEX(Inputs!$K$5:$AJ$120,0,MATCH(AI$2,Inputs!$K$4:$AJ$4,0)))+SUMPRODUCT((Inputs!$C$5:$C$120=$B13)*Inputs!$D$5:$D$120*(((Inputs!$G$5:$G$120="moeda")+(Inputs!$G$5:$G$120="acoes"))*Inputs!$B$1+((Inputs!$G$5:$G$120&lt;&gt;"moeda")*(Inputs!$G$5:$G$120&lt;&gt;"acoes")))*INDEX(Inputs!$K$5:$AJ$120,0,MATCH(AI$2,Inputs!$K$4:$AJ$4,0)))+SUMPRODUCT((Inputs!$E$5:$E$120=$B13)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3" s="267">
        <f>IF(ISNA(MATCH(AJ$2,Inputs!$K$4:$AJ$4,0)),NA(),IF(SUMPRODUCT((Inputs!$A$5:$A$120=$B13)*ISNUMBER(INDEX(Inputs!$K$5:$AJ$120,0,MATCH(AJ$2,Inputs!$K$4:$AJ$4,0))))+SUMPRODUCT((Inputs!$C$5:$C$120=$B13)*ISNUMBER(INDEX(Inputs!$K$5:$AJ$120,0,MATCH(AJ$2,Inputs!$K$4:$AJ$4,0))))+SUMPRODUCT((Inputs!$E$5:$E$120=$B13)*ISNUMBER(INDEX(Inputs!$K$5:$AJ$120,0,MATCH(AJ$2,Inputs!$K$4:$AJ$4,0))))=0,NA(),SUMPRODUCT((Inputs!$A$5:$A$120=$B13)*Inputs!$B$5:$B$120*(((Inputs!$G$5:$G$120="moeda")+(Inputs!$G$5:$G$120="acoes"))*Inputs!$B$1+((Inputs!$G$5:$G$120&lt;&gt;"moeda")*(Inputs!$G$5:$G$120&lt;&gt;"acoes")))*INDEX(Inputs!$K$5:$AJ$120,0,MATCH(AJ$2,Inputs!$K$4:$AJ$4,0)))+SUMPRODUCT((Inputs!$C$5:$C$120=$B13)*Inputs!$D$5:$D$120*(((Inputs!$G$5:$G$120="moeda")+(Inputs!$G$5:$G$120="acoes"))*Inputs!$B$1+((Inputs!$G$5:$G$120&lt;&gt;"moeda")*(Inputs!$G$5:$G$120&lt;&gt;"acoes")))*INDEX(Inputs!$K$5:$AJ$120,0,MATCH(AJ$2,Inputs!$K$4:$AJ$4,0)))+SUMPRODUCT((Inputs!$E$5:$E$120=$B13)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3" s="267">
        <f>IF(ISNA(MATCH(AK$2,Inputs!$K$4:$AJ$4,0)),NA(),IF(SUMPRODUCT((Inputs!$A$5:$A$120=$B13)*ISNUMBER(INDEX(Inputs!$K$5:$AJ$120,0,MATCH(AK$2,Inputs!$K$4:$AJ$4,0))))+SUMPRODUCT((Inputs!$C$5:$C$120=$B13)*ISNUMBER(INDEX(Inputs!$K$5:$AJ$120,0,MATCH(AK$2,Inputs!$K$4:$AJ$4,0))))+SUMPRODUCT((Inputs!$E$5:$E$120=$B13)*ISNUMBER(INDEX(Inputs!$K$5:$AJ$120,0,MATCH(AK$2,Inputs!$K$4:$AJ$4,0))))=0,NA(),SUMPRODUCT((Inputs!$A$5:$A$120=$B13)*Inputs!$B$5:$B$120*(((Inputs!$G$5:$G$120="moeda")+(Inputs!$G$5:$G$120="acoes"))*Inputs!$B$1+((Inputs!$G$5:$G$120&lt;&gt;"moeda")*(Inputs!$G$5:$G$120&lt;&gt;"acoes")))*INDEX(Inputs!$K$5:$AJ$120,0,MATCH(AK$2,Inputs!$K$4:$AJ$4,0)))+SUMPRODUCT((Inputs!$C$5:$C$120=$B13)*Inputs!$D$5:$D$120*(((Inputs!$G$5:$G$120="moeda")+(Inputs!$G$5:$G$120="acoes"))*Inputs!$B$1+((Inputs!$G$5:$G$120&lt;&gt;"moeda")*(Inputs!$G$5:$G$120&lt;&gt;"acoes")))*INDEX(Inputs!$K$5:$AJ$120,0,MATCH(AK$2,Inputs!$K$4:$AJ$4,0)))+SUMPRODUCT((Inputs!$E$5:$E$120=$B13)*Inputs!$F$5:$F$120*(((Inputs!$G$5:$G$120="moeda")+(Inputs!$G$5:$G$120="acoes"))*Inputs!$B$1+((Inputs!$G$5:$G$120&lt;&gt;"moeda")*(Inputs!$G$5:$G$120&lt;&gt;"acoes")))*INDEX(Inputs!$K$5:$AJ$120,0,MATCH(AK$2,Inputs!$K$4:$AJ$4,0)))))</f>
        <v>73</v>
      </c>
      <c r="AL13" s="268">
        <f>SUM(AH13:AK13)</f>
        <v>0</v>
      </c>
    </row>
    <row r="14" ht="12.75" customHeight="1" s="255">
      <c r="D14" s="268" t="n"/>
    </row>
    <row r="15" ht="12.75" customHeight="1" s="255">
      <c r="B15" s="265" t="n">
        <v>11</v>
      </c>
      <c r="C15" s="269" t="inlineStr">
        <is>
          <t>Cash and equivalents (inc. investment securities)</t>
        </is>
      </c>
      <c r="D15" s="267">
        <f>IF(ISNA(MATCH(D$2,Inputs!$K$4:$AJ$4,0)),NA(),IF(SUMPRODUCT((Inputs!$A$5:$A$120=$B15)*ISNUMBER(INDEX(Inputs!$K$5:$AJ$120,0,MATCH(D$2,Inputs!$K$4:$AJ$4,0))))+SUMPRODUCT((Inputs!$C$5:$C$120=$B15)*ISNUMBER(INDEX(Inputs!$K$5:$AJ$120,0,MATCH(D$2,Inputs!$K$4:$AJ$4,0))))+SUMPRODUCT((Inputs!$E$5:$E$120=$B15)*ISNUMBER(INDEX(Inputs!$K$5:$AJ$120,0,MATCH(D$2,Inputs!$K$4:$AJ$4,0))))=0,NA(),SUMPRODUCT((Inputs!$A$5:$A$120=$B15)*Inputs!$B$5:$B$120*(((Inputs!$G$5:$G$120="moeda")+(Inputs!$G$5:$G$120="acoes"))*Inputs!$B$1+((Inputs!$G$5:$G$120&lt;&gt;"moeda")*(Inputs!$G$5:$G$120&lt;&gt;"acoes")))*INDEX(Inputs!$K$5:$AJ$120,0,MATCH(D$2,Inputs!$K$4:$AJ$4,0)))+SUMPRODUCT((Inputs!$C$5:$C$120=$B15)*Inputs!$D$5:$D$120*(((Inputs!$G$5:$G$120="moeda")+(Inputs!$G$5:$G$120="acoes"))*Inputs!$B$1+((Inputs!$G$5:$G$120&lt;&gt;"moeda")*(Inputs!$G$5:$G$120&lt;&gt;"acoes")))*INDEX(Inputs!$K$5:$AJ$120,0,MATCH(D$2,Inputs!$K$4:$AJ$4,0)))+SUMPRODUCT((Inputs!$E$5:$E$120=$B15)*Inputs!$F$5:$F$120*(((Inputs!$G$5:$G$120="moeda")+(Inputs!$G$5:$G$120="acoes"))*Inputs!$B$1+((Inputs!$G$5:$G$120&lt;&gt;"moeda")*(Inputs!$G$5:$G$120&lt;&gt;"acoes")))*INDEX(Inputs!$K$5:$AJ$120,0,MATCH(D$2,Inputs!$K$4:$AJ$4,0)))))</f>
        <v>4580</v>
      </c>
      <c r="E15" s="267">
        <f>IF(ISNA(MATCH(E$2,Inputs!$K$4:$AJ$4,0)),NA(),IF(SUMPRODUCT((Inputs!$A$5:$A$120=$B15)*ISNUMBER(INDEX(Inputs!$K$5:$AJ$120,0,MATCH(E$2,Inputs!$K$4:$AJ$4,0))))+SUMPRODUCT((Inputs!$C$5:$C$120=$B15)*ISNUMBER(INDEX(Inputs!$K$5:$AJ$120,0,MATCH(E$2,Inputs!$K$4:$AJ$4,0))))+SUMPRODUCT((Inputs!$E$5:$E$120=$B15)*ISNUMBER(INDEX(Inputs!$K$5:$AJ$120,0,MATCH(E$2,Inputs!$K$4:$AJ$4,0))))=0,NA(),SUMPRODUCT((Inputs!$A$5:$A$120=$B15)*Inputs!$B$5:$B$120*(((Inputs!$G$5:$G$120="moeda")+(Inputs!$G$5:$G$120="acoes"))*Inputs!$B$1+((Inputs!$G$5:$G$120&lt;&gt;"moeda")*(Inputs!$G$5:$G$120&lt;&gt;"acoes")))*INDEX(Inputs!$K$5:$AJ$120,0,MATCH(E$2,Inputs!$K$4:$AJ$4,0)))+SUMPRODUCT((Inputs!$C$5:$C$120=$B15)*Inputs!$D$5:$D$120*(((Inputs!$G$5:$G$120="moeda")+(Inputs!$G$5:$G$120="acoes"))*Inputs!$B$1+((Inputs!$G$5:$G$120&lt;&gt;"moeda")*(Inputs!$G$5:$G$120&lt;&gt;"acoes")))*INDEX(Inputs!$K$5:$AJ$120,0,MATCH(E$2,Inputs!$K$4:$AJ$4,0)))+SUMPRODUCT((Inputs!$E$5:$E$120=$B15)*Inputs!$F$5:$F$120*(((Inputs!$G$5:$G$120="moeda")+(Inputs!$G$5:$G$120="acoes"))*Inputs!$B$1+((Inputs!$G$5:$G$120&lt;&gt;"moeda")*(Inputs!$G$5:$G$120&lt;&gt;"acoes")))*INDEX(Inputs!$K$5:$AJ$120,0,MATCH(E$2,Inputs!$K$4:$AJ$4,0)))))</f>
        <v>6313</v>
      </c>
      <c r="F15" s="267">
        <f>IF(ISNA(MATCH(F$2,Inputs!$K$4:$AJ$4,0)),NA(),IF(SUMPRODUCT((Inputs!$A$5:$A$120=$B15)*ISNUMBER(INDEX(Inputs!$K$5:$AJ$120,0,MATCH(F$2,Inputs!$K$4:$AJ$4,0))))+SUMPRODUCT((Inputs!$C$5:$C$120=$B15)*ISNUMBER(INDEX(Inputs!$K$5:$AJ$120,0,MATCH(F$2,Inputs!$K$4:$AJ$4,0))))+SUMPRODUCT((Inputs!$E$5:$E$120=$B15)*ISNUMBER(INDEX(Inputs!$K$5:$AJ$120,0,MATCH(F$2,Inputs!$K$4:$AJ$4,0))))=0,NA(),SUMPRODUCT((Inputs!$A$5:$A$120=$B15)*Inputs!$B$5:$B$120*(((Inputs!$G$5:$G$120="moeda")+(Inputs!$G$5:$G$120="acoes"))*Inputs!$B$1+((Inputs!$G$5:$G$120&lt;&gt;"moeda")*(Inputs!$G$5:$G$120&lt;&gt;"acoes")))*INDEX(Inputs!$K$5:$AJ$120,0,MATCH(F$2,Inputs!$K$4:$AJ$4,0)))+SUMPRODUCT((Inputs!$C$5:$C$120=$B15)*Inputs!$D$5:$D$120*(((Inputs!$G$5:$G$120="moeda")+(Inputs!$G$5:$G$120="acoes"))*Inputs!$B$1+((Inputs!$G$5:$G$120&lt;&gt;"moeda")*(Inputs!$G$5:$G$120&lt;&gt;"acoes")))*INDEX(Inputs!$K$5:$AJ$120,0,MATCH(F$2,Inputs!$K$4:$AJ$4,0)))+SUMPRODUCT((Inputs!$E$5:$E$120=$B15)*Inputs!$F$5:$F$120*(((Inputs!$G$5:$G$120="moeda")+(Inputs!$G$5:$G$120="acoes"))*Inputs!$B$1+((Inputs!$G$5:$G$120&lt;&gt;"moeda")*(Inputs!$G$5:$G$120&lt;&gt;"acoes")))*INDEX(Inputs!$K$5:$AJ$120,0,MATCH(F$2,Inputs!$K$4:$AJ$4,0)))))</f>
        <v>7672</v>
      </c>
      <c r="G15" s="267">
        <f>IF(ISNA(MATCH(G$2,Inputs!$K$4:$AJ$4,0)),NA(),IF(SUMPRODUCT((Inputs!$A$5:$A$120=$B15)*ISNUMBER(INDEX(Inputs!$K$5:$AJ$120,0,MATCH(G$2,Inputs!$K$4:$AJ$4,0))))+SUMPRODUCT((Inputs!$C$5:$C$120=$B15)*ISNUMBER(INDEX(Inputs!$K$5:$AJ$120,0,MATCH(G$2,Inputs!$K$4:$AJ$4,0))))+SUMPRODUCT((Inputs!$E$5:$E$120=$B15)*ISNUMBER(INDEX(Inputs!$K$5:$AJ$120,0,MATCH(G$2,Inputs!$K$4:$AJ$4,0))))=0,NA(),SUMPRODUCT((Inputs!$A$5:$A$120=$B15)*Inputs!$B$5:$B$120*(((Inputs!$G$5:$G$120="moeda")+(Inputs!$G$5:$G$120="acoes"))*Inputs!$B$1+((Inputs!$G$5:$G$120&lt;&gt;"moeda")*(Inputs!$G$5:$G$120&lt;&gt;"acoes")))*INDEX(Inputs!$K$5:$AJ$120,0,MATCH(G$2,Inputs!$K$4:$AJ$4,0)))+SUMPRODUCT((Inputs!$C$5:$C$120=$B15)*Inputs!$D$5:$D$120*(((Inputs!$G$5:$G$120="moeda")+(Inputs!$G$5:$G$120="acoes"))*Inputs!$B$1+((Inputs!$G$5:$G$120&lt;&gt;"moeda")*(Inputs!$G$5:$G$120&lt;&gt;"acoes")))*INDEX(Inputs!$K$5:$AJ$120,0,MATCH(G$2,Inputs!$K$4:$AJ$4,0)))+SUMPRODUCT((Inputs!$E$5:$E$120=$B15)*Inputs!$F$5:$F$120*(((Inputs!$G$5:$G$120="moeda")+(Inputs!$G$5:$G$120="acoes"))*Inputs!$B$1+((Inputs!$G$5:$G$120&lt;&gt;"moeda")*(Inputs!$G$5:$G$120&lt;&gt;"acoes")))*INDEX(Inputs!$K$5:$AJ$120,0,MATCH(G$2,Inputs!$K$4:$AJ$4,0)))))</f>
        <v>16382</v>
      </c>
      <c r="H15" s="268">
        <f>G15</f>
        <v>16382</v>
      </c>
      <c r="I15" s="267">
        <f>IF(ISNA(MATCH(I$2,Inputs!$K$4:$AJ$4,0)),NA(),IF(SUMPRODUCT((Inputs!$A$5:$A$120=$B15)*ISNUMBER(INDEX(Inputs!$K$5:$AJ$120,0,MATCH(I$2,Inputs!$K$4:$AJ$4,0))))+SUMPRODUCT((Inputs!$C$5:$C$120=$B15)*ISNUMBER(INDEX(Inputs!$K$5:$AJ$120,0,MATCH(I$2,Inputs!$K$4:$AJ$4,0))))+SUMPRODUCT((Inputs!$E$5:$E$120=$B15)*ISNUMBER(INDEX(Inputs!$K$5:$AJ$120,0,MATCH(I$2,Inputs!$K$4:$AJ$4,0))))=0,NA(),SUMPRODUCT((Inputs!$A$5:$A$120=$B15)*Inputs!$B$5:$B$120*(((Inputs!$G$5:$G$120="moeda")+(Inputs!$G$5:$G$120="acoes"))*Inputs!$B$1+((Inputs!$G$5:$G$120&lt;&gt;"moeda")*(Inputs!$G$5:$G$120&lt;&gt;"acoes")))*INDEX(Inputs!$K$5:$AJ$120,0,MATCH(I$2,Inputs!$K$4:$AJ$4,0)))+SUMPRODUCT((Inputs!$C$5:$C$120=$B15)*Inputs!$D$5:$D$120*(((Inputs!$G$5:$G$120="moeda")+(Inputs!$G$5:$G$120="acoes"))*Inputs!$B$1+((Inputs!$G$5:$G$120&lt;&gt;"moeda")*(Inputs!$G$5:$G$120&lt;&gt;"acoes")))*INDEX(Inputs!$K$5:$AJ$120,0,MATCH(I$2,Inputs!$K$4:$AJ$4,0)))+SUMPRODUCT((Inputs!$E$5:$E$120=$B15)*Inputs!$F$5:$F$120*(((Inputs!$G$5:$G$120="moeda")+(Inputs!$G$5:$G$120="acoes"))*Inputs!$B$1+((Inputs!$G$5:$G$120&lt;&gt;"moeda")*(Inputs!$G$5:$G$120&lt;&gt;"acoes")))*INDEX(Inputs!$K$5:$AJ$120,0,MATCH(I$2,Inputs!$K$4:$AJ$4,0)))))</f>
        <v>8338</v>
      </c>
      <c r="J15" s="267">
        <f>IF(ISNA(MATCH(J$2,Inputs!$K$4:$AJ$4,0)),NA(),IF(SUMPRODUCT((Inputs!$A$5:$A$120=$B15)*ISNUMBER(INDEX(Inputs!$K$5:$AJ$120,0,MATCH(J$2,Inputs!$K$4:$AJ$4,0))))+SUMPRODUCT((Inputs!$C$5:$C$120=$B15)*ISNUMBER(INDEX(Inputs!$K$5:$AJ$120,0,MATCH(J$2,Inputs!$K$4:$AJ$4,0))))+SUMPRODUCT((Inputs!$E$5:$E$120=$B15)*ISNUMBER(INDEX(Inputs!$K$5:$AJ$120,0,MATCH(J$2,Inputs!$K$4:$AJ$4,0))))=0,NA(),SUMPRODUCT((Inputs!$A$5:$A$120=$B15)*Inputs!$B$5:$B$120*(((Inputs!$G$5:$G$120="moeda")+(Inputs!$G$5:$G$120="acoes"))*Inputs!$B$1+((Inputs!$G$5:$G$120&lt;&gt;"moeda")*(Inputs!$G$5:$G$120&lt;&gt;"acoes")))*INDEX(Inputs!$K$5:$AJ$120,0,MATCH(J$2,Inputs!$K$4:$AJ$4,0)))+SUMPRODUCT((Inputs!$C$5:$C$120=$B15)*Inputs!$D$5:$D$120*(((Inputs!$G$5:$G$120="moeda")+(Inputs!$G$5:$G$120="acoes"))*Inputs!$B$1+((Inputs!$G$5:$G$120&lt;&gt;"moeda")*(Inputs!$G$5:$G$120&lt;&gt;"acoes")))*INDEX(Inputs!$K$5:$AJ$120,0,MATCH(J$2,Inputs!$K$4:$AJ$4,0)))+SUMPRODUCT((Inputs!$E$5:$E$120=$B15)*Inputs!$F$5:$F$120*(((Inputs!$G$5:$G$120="moeda")+(Inputs!$G$5:$G$120="acoes"))*Inputs!$B$1+((Inputs!$G$5:$G$120&lt;&gt;"moeda")*(Inputs!$G$5:$G$120&lt;&gt;"acoes")))*INDEX(Inputs!$K$5:$AJ$120,0,MATCH(J$2,Inputs!$K$4:$AJ$4,0)))))</f>
        <v>9492</v>
      </c>
      <c r="K15" s="267">
        <f>IF(ISNA(MATCH(K$2,Inputs!$K$4:$AJ$4,0)),NA(),IF(SUMPRODUCT((Inputs!$A$5:$A$120=$B15)*ISNUMBER(INDEX(Inputs!$K$5:$AJ$120,0,MATCH(K$2,Inputs!$K$4:$AJ$4,0))))+SUMPRODUCT((Inputs!$C$5:$C$120=$B15)*ISNUMBER(INDEX(Inputs!$K$5:$AJ$120,0,MATCH(K$2,Inputs!$K$4:$AJ$4,0))))+SUMPRODUCT((Inputs!$E$5:$E$120=$B15)*ISNUMBER(INDEX(Inputs!$K$5:$AJ$120,0,MATCH(K$2,Inputs!$K$4:$AJ$4,0))))=0,NA(),SUMPRODUCT((Inputs!$A$5:$A$120=$B15)*Inputs!$B$5:$B$120*(((Inputs!$G$5:$G$120="moeda")+(Inputs!$G$5:$G$120="acoes"))*Inputs!$B$1+((Inputs!$G$5:$G$120&lt;&gt;"moeda")*(Inputs!$G$5:$G$120&lt;&gt;"acoes")))*INDEX(Inputs!$K$5:$AJ$120,0,MATCH(K$2,Inputs!$K$4:$AJ$4,0)))+SUMPRODUCT((Inputs!$C$5:$C$120=$B15)*Inputs!$D$5:$D$120*(((Inputs!$G$5:$G$120="moeda")+(Inputs!$G$5:$G$120="acoes"))*Inputs!$B$1+((Inputs!$G$5:$G$120&lt;&gt;"moeda")*(Inputs!$G$5:$G$120&lt;&gt;"acoes")))*INDEX(Inputs!$K$5:$AJ$120,0,MATCH(K$2,Inputs!$K$4:$AJ$4,0)))+SUMPRODUCT((Inputs!$E$5:$E$120=$B15)*Inputs!$F$5:$F$120*(((Inputs!$G$5:$G$120="moeda")+(Inputs!$G$5:$G$120="acoes"))*Inputs!$B$1+((Inputs!$G$5:$G$120&lt;&gt;"moeda")*(Inputs!$G$5:$G$120&lt;&gt;"acoes")))*INDEX(Inputs!$K$5:$AJ$120,0,MATCH(K$2,Inputs!$K$4:$AJ$4,0)))))</f>
        <v>8578</v>
      </c>
      <c r="L15" s="267">
        <f>IF(ISNA(MATCH(L$2,Inputs!$K$4:$AJ$4,0)),NA(),IF(SUMPRODUCT((Inputs!$A$5:$A$120=$B15)*ISNUMBER(INDEX(Inputs!$K$5:$AJ$120,0,MATCH(L$2,Inputs!$K$4:$AJ$4,0))))+SUMPRODUCT((Inputs!$C$5:$C$120=$B15)*ISNUMBER(INDEX(Inputs!$K$5:$AJ$120,0,MATCH(L$2,Inputs!$K$4:$AJ$4,0))))+SUMPRODUCT((Inputs!$E$5:$E$120=$B15)*ISNUMBER(INDEX(Inputs!$K$5:$AJ$120,0,MATCH(L$2,Inputs!$K$4:$AJ$4,0))))=0,NA(),SUMPRODUCT((Inputs!$A$5:$A$120=$B15)*Inputs!$B$5:$B$120*(((Inputs!$G$5:$G$120="moeda")+(Inputs!$G$5:$G$120="acoes"))*Inputs!$B$1+((Inputs!$G$5:$G$120&lt;&gt;"moeda")*(Inputs!$G$5:$G$120&lt;&gt;"acoes")))*INDEX(Inputs!$K$5:$AJ$120,0,MATCH(L$2,Inputs!$K$4:$AJ$4,0)))+SUMPRODUCT((Inputs!$C$5:$C$120=$B15)*Inputs!$D$5:$D$120*(((Inputs!$G$5:$G$120="moeda")+(Inputs!$G$5:$G$120="acoes"))*Inputs!$B$1+((Inputs!$G$5:$G$120&lt;&gt;"moeda")*(Inputs!$G$5:$G$120&lt;&gt;"acoes")))*INDEX(Inputs!$K$5:$AJ$120,0,MATCH(L$2,Inputs!$K$4:$AJ$4,0)))+SUMPRODUCT((Inputs!$E$5:$E$120=$B15)*Inputs!$F$5:$F$120*(((Inputs!$G$5:$G$120="moeda")+(Inputs!$G$5:$G$120="acoes"))*Inputs!$B$1+((Inputs!$G$5:$G$120&lt;&gt;"moeda")*(Inputs!$G$5:$G$120&lt;&gt;"acoes")))*INDEX(Inputs!$K$5:$AJ$120,0,MATCH(L$2,Inputs!$K$4:$AJ$4,0)))))</f>
        <v>16536</v>
      </c>
      <c r="M15" s="268">
        <f>L15</f>
        <v>16536</v>
      </c>
      <c r="N15" s="267">
        <f>IF(ISNA(MATCH(N$2,Inputs!$K$4:$AJ$4,0)),NA(),IF(SUMPRODUCT((Inputs!$A$5:$A$120=$B15)*ISNUMBER(INDEX(Inputs!$K$5:$AJ$120,0,MATCH(N$2,Inputs!$K$4:$AJ$4,0))))+SUMPRODUCT((Inputs!$C$5:$C$120=$B15)*ISNUMBER(INDEX(Inputs!$K$5:$AJ$120,0,MATCH(N$2,Inputs!$K$4:$AJ$4,0))))+SUMPRODUCT((Inputs!$E$5:$E$120=$B15)*ISNUMBER(INDEX(Inputs!$K$5:$AJ$120,0,MATCH(N$2,Inputs!$K$4:$AJ$4,0))))=0,NA(),SUMPRODUCT((Inputs!$A$5:$A$120=$B15)*Inputs!$B$5:$B$120*(((Inputs!$G$5:$G$120="moeda")+(Inputs!$G$5:$G$120="acoes"))*Inputs!$B$1+((Inputs!$G$5:$G$120&lt;&gt;"moeda")*(Inputs!$G$5:$G$120&lt;&gt;"acoes")))*INDEX(Inputs!$K$5:$AJ$120,0,MATCH(N$2,Inputs!$K$4:$AJ$4,0)))+SUMPRODUCT((Inputs!$C$5:$C$120=$B15)*Inputs!$D$5:$D$120*(((Inputs!$G$5:$G$120="moeda")+(Inputs!$G$5:$G$120="acoes"))*Inputs!$B$1+((Inputs!$G$5:$G$120&lt;&gt;"moeda")*(Inputs!$G$5:$G$120&lt;&gt;"acoes")))*INDEX(Inputs!$K$5:$AJ$120,0,MATCH(N$2,Inputs!$K$4:$AJ$4,0)))+SUMPRODUCT((Inputs!$E$5:$E$120=$B15)*Inputs!$F$5:$F$120*(((Inputs!$G$5:$G$120="moeda")+(Inputs!$G$5:$G$120="acoes"))*Inputs!$B$1+((Inputs!$G$5:$G$120&lt;&gt;"moeda")*(Inputs!$G$5:$G$120&lt;&gt;"acoes")))*INDEX(Inputs!$K$5:$AJ$120,0,MATCH(N$2,Inputs!$K$4:$AJ$4,0)))))</f>
        <v>6852</v>
      </c>
      <c r="O15" s="267">
        <f>IF(ISNA(MATCH(O$2,Inputs!$K$4:$AJ$4,0)),NA(),IF(SUMPRODUCT((Inputs!$A$5:$A$120=$B15)*ISNUMBER(INDEX(Inputs!$K$5:$AJ$120,0,MATCH(O$2,Inputs!$K$4:$AJ$4,0))))+SUMPRODUCT((Inputs!$C$5:$C$120=$B15)*ISNUMBER(INDEX(Inputs!$K$5:$AJ$120,0,MATCH(O$2,Inputs!$K$4:$AJ$4,0))))+SUMPRODUCT((Inputs!$E$5:$E$120=$B15)*ISNUMBER(INDEX(Inputs!$K$5:$AJ$120,0,MATCH(O$2,Inputs!$K$4:$AJ$4,0))))=0,NA(),SUMPRODUCT((Inputs!$A$5:$A$120=$B15)*Inputs!$B$5:$B$120*(((Inputs!$G$5:$G$120="moeda")+(Inputs!$G$5:$G$120="acoes"))*Inputs!$B$1+((Inputs!$G$5:$G$120&lt;&gt;"moeda")*(Inputs!$G$5:$G$120&lt;&gt;"acoes")))*INDEX(Inputs!$K$5:$AJ$120,0,MATCH(O$2,Inputs!$K$4:$AJ$4,0)))+SUMPRODUCT((Inputs!$C$5:$C$120=$B15)*Inputs!$D$5:$D$120*(((Inputs!$G$5:$G$120="moeda")+(Inputs!$G$5:$G$120="acoes"))*Inputs!$B$1+((Inputs!$G$5:$G$120&lt;&gt;"moeda")*(Inputs!$G$5:$G$120&lt;&gt;"acoes")))*INDEX(Inputs!$K$5:$AJ$120,0,MATCH(O$2,Inputs!$K$4:$AJ$4,0)))+SUMPRODUCT((Inputs!$E$5:$E$120=$B15)*Inputs!$F$5:$F$120*(((Inputs!$G$5:$G$120="moeda")+(Inputs!$G$5:$G$120="acoes"))*Inputs!$B$1+((Inputs!$G$5:$G$120&lt;&gt;"moeda")*(Inputs!$G$5:$G$120&lt;&gt;"acoes")))*INDEX(Inputs!$K$5:$AJ$120,0,MATCH(O$2,Inputs!$K$4:$AJ$4,0)))))</f>
        <v>6683</v>
      </c>
      <c r="P15" s="267">
        <f>IF(ISNA(MATCH(P$2,Inputs!$K$4:$AJ$4,0)),NA(),IF(SUMPRODUCT((Inputs!$A$5:$A$120=$B15)*ISNUMBER(INDEX(Inputs!$K$5:$AJ$120,0,MATCH(P$2,Inputs!$K$4:$AJ$4,0))))+SUMPRODUCT((Inputs!$C$5:$C$120=$B15)*ISNUMBER(INDEX(Inputs!$K$5:$AJ$120,0,MATCH(P$2,Inputs!$K$4:$AJ$4,0))))+SUMPRODUCT((Inputs!$E$5:$E$120=$B15)*ISNUMBER(INDEX(Inputs!$K$5:$AJ$120,0,MATCH(P$2,Inputs!$K$4:$AJ$4,0))))=0,NA(),SUMPRODUCT((Inputs!$A$5:$A$120=$B15)*Inputs!$B$5:$B$120*(((Inputs!$G$5:$G$120="moeda")+(Inputs!$G$5:$G$120="acoes"))*Inputs!$B$1+((Inputs!$G$5:$G$120&lt;&gt;"moeda")*(Inputs!$G$5:$G$120&lt;&gt;"acoes")))*INDEX(Inputs!$K$5:$AJ$120,0,MATCH(P$2,Inputs!$K$4:$AJ$4,0)))+SUMPRODUCT((Inputs!$C$5:$C$120=$B15)*Inputs!$D$5:$D$120*(((Inputs!$G$5:$G$120="moeda")+(Inputs!$G$5:$G$120="acoes"))*Inputs!$B$1+((Inputs!$G$5:$G$120&lt;&gt;"moeda")*(Inputs!$G$5:$G$120&lt;&gt;"acoes")))*INDEX(Inputs!$K$5:$AJ$120,0,MATCH(P$2,Inputs!$K$4:$AJ$4,0)))+SUMPRODUCT((Inputs!$E$5:$E$120=$B15)*Inputs!$F$5:$F$120*(((Inputs!$G$5:$G$120="moeda")+(Inputs!$G$5:$G$120="acoes"))*Inputs!$B$1+((Inputs!$G$5:$G$120&lt;&gt;"moeda")*(Inputs!$G$5:$G$120&lt;&gt;"acoes")))*INDEX(Inputs!$K$5:$AJ$120,0,MATCH(P$2,Inputs!$K$4:$AJ$4,0)))))</f>
        <v>5745</v>
      </c>
      <c r="Q15" s="267">
        <f>IF(ISNA(MATCH(Q$2,Inputs!$K$4:$AJ$4,0)),NA(),IF(SUMPRODUCT((Inputs!$A$5:$A$120=$B15)*ISNUMBER(INDEX(Inputs!$K$5:$AJ$120,0,MATCH(Q$2,Inputs!$K$4:$AJ$4,0))))+SUMPRODUCT((Inputs!$C$5:$C$120=$B15)*ISNUMBER(INDEX(Inputs!$K$5:$AJ$120,0,MATCH(Q$2,Inputs!$K$4:$AJ$4,0))))+SUMPRODUCT((Inputs!$E$5:$E$120=$B15)*ISNUMBER(INDEX(Inputs!$K$5:$AJ$120,0,MATCH(Q$2,Inputs!$K$4:$AJ$4,0))))=0,NA(),SUMPRODUCT((Inputs!$A$5:$A$120=$B15)*Inputs!$B$5:$B$120*(((Inputs!$G$5:$G$120="moeda")+(Inputs!$G$5:$G$120="acoes"))*Inputs!$B$1+((Inputs!$G$5:$G$120&lt;&gt;"moeda")*(Inputs!$G$5:$G$120&lt;&gt;"acoes")))*INDEX(Inputs!$K$5:$AJ$120,0,MATCH(Q$2,Inputs!$K$4:$AJ$4,0)))+SUMPRODUCT((Inputs!$C$5:$C$120=$B15)*Inputs!$D$5:$D$120*(((Inputs!$G$5:$G$120="moeda")+(Inputs!$G$5:$G$120="acoes"))*Inputs!$B$1+((Inputs!$G$5:$G$120&lt;&gt;"moeda")*(Inputs!$G$5:$G$120&lt;&gt;"acoes")))*INDEX(Inputs!$K$5:$AJ$120,0,MATCH(Q$2,Inputs!$K$4:$AJ$4,0)))+SUMPRODUCT((Inputs!$E$5:$E$120=$B15)*Inputs!$F$5:$F$120*(((Inputs!$G$5:$G$120="moeda")+(Inputs!$G$5:$G$120="acoes"))*Inputs!$B$1+((Inputs!$G$5:$G$120&lt;&gt;"moeda")*(Inputs!$G$5:$G$120&lt;&gt;"acoes")))*INDEX(Inputs!$K$5:$AJ$120,0,MATCH(Q$2,Inputs!$K$4:$AJ$4,0)))))</f>
        <v>10821</v>
      </c>
      <c r="R15" s="268">
        <f>Q15</f>
        <v>10821</v>
      </c>
      <c r="S15" s="267">
        <f>IF(ISNA(MATCH(S$2,Inputs!$K$4:$AJ$4,0)),NA(),IF(SUMPRODUCT((Inputs!$A$5:$A$120=$B15)*ISNUMBER(INDEX(Inputs!$K$5:$AJ$120,0,MATCH(S$2,Inputs!$K$4:$AJ$4,0))))+SUMPRODUCT((Inputs!$C$5:$C$120=$B15)*ISNUMBER(INDEX(Inputs!$K$5:$AJ$120,0,MATCH(S$2,Inputs!$K$4:$AJ$4,0))))+SUMPRODUCT((Inputs!$E$5:$E$120=$B15)*ISNUMBER(INDEX(Inputs!$K$5:$AJ$120,0,MATCH(S$2,Inputs!$K$4:$AJ$4,0))))=0,NA(),SUMPRODUCT((Inputs!$A$5:$A$120=$B15)*Inputs!$B$5:$B$120*(((Inputs!$G$5:$G$120="moeda")+(Inputs!$G$5:$G$120="acoes"))*Inputs!$B$1+((Inputs!$G$5:$G$120&lt;&gt;"moeda")*(Inputs!$G$5:$G$120&lt;&gt;"acoes")))*INDEX(Inputs!$K$5:$AJ$120,0,MATCH(S$2,Inputs!$K$4:$AJ$4,0)))+SUMPRODUCT((Inputs!$C$5:$C$120=$B15)*Inputs!$D$5:$D$120*(((Inputs!$G$5:$G$120="moeda")+(Inputs!$G$5:$G$120="acoes"))*Inputs!$B$1+((Inputs!$G$5:$G$120&lt;&gt;"moeda")*(Inputs!$G$5:$G$120&lt;&gt;"acoes")))*INDEX(Inputs!$K$5:$AJ$120,0,MATCH(S$2,Inputs!$K$4:$AJ$4,0)))+SUMPRODUCT((Inputs!$E$5:$E$120=$B15)*Inputs!$F$5:$F$120*(((Inputs!$G$5:$G$120="moeda")+(Inputs!$G$5:$G$120="acoes"))*Inputs!$B$1+((Inputs!$G$5:$G$120&lt;&gt;"moeda")*(Inputs!$G$5:$G$120&lt;&gt;"acoes")))*INDEX(Inputs!$K$5:$AJ$120,0,MATCH(S$2,Inputs!$K$4:$AJ$4,0)))))</f>
        <v>5208</v>
      </c>
      <c r="T15" s="267">
        <f>IF(ISNA(MATCH(T$2,Inputs!$K$4:$AJ$4,0)),NA(),IF(SUMPRODUCT((Inputs!$A$5:$A$120=$B15)*ISNUMBER(INDEX(Inputs!$K$5:$AJ$120,0,MATCH(T$2,Inputs!$K$4:$AJ$4,0))))+SUMPRODUCT((Inputs!$C$5:$C$120=$B15)*ISNUMBER(INDEX(Inputs!$K$5:$AJ$120,0,MATCH(T$2,Inputs!$K$4:$AJ$4,0))))+SUMPRODUCT((Inputs!$E$5:$E$120=$B15)*ISNUMBER(INDEX(Inputs!$K$5:$AJ$120,0,MATCH(T$2,Inputs!$K$4:$AJ$4,0))))=0,NA(),SUMPRODUCT((Inputs!$A$5:$A$120=$B15)*Inputs!$B$5:$B$120*(((Inputs!$G$5:$G$120="moeda")+(Inputs!$G$5:$G$120="acoes"))*Inputs!$B$1+((Inputs!$G$5:$G$120&lt;&gt;"moeda")*(Inputs!$G$5:$G$120&lt;&gt;"acoes")))*INDEX(Inputs!$K$5:$AJ$120,0,MATCH(T$2,Inputs!$K$4:$AJ$4,0)))+SUMPRODUCT((Inputs!$C$5:$C$120=$B15)*Inputs!$D$5:$D$120*(((Inputs!$G$5:$G$120="moeda")+(Inputs!$G$5:$G$120="acoes"))*Inputs!$B$1+((Inputs!$G$5:$G$120&lt;&gt;"moeda")*(Inputs!$G$5:$G$120&lt;&gt;"acoes")))*INDEX(Inputs!$K$5:$AJ$120,0,MATCH(T$2,Inputs!$K$4:$AJ$4,0)))+SUMPRODUCT((Inputs!$E$5:$E$120=$B15)*Inputs!$F$5:$F$120*(((Inputs!$G$5:$G$120="moeda")+(Inputs!$G$5:$G$120="acoes"))*Inputs!$B$1+((Inputs!$G$5:$G$120&lt;&gt;"moeda")*(Inputs!$G$5:$G$120&lt;&gt;"acoes")))*INDEX(Inputs!$K$5:$AJ$120,0,MATCH(T$2,Inputs!$K$4:$AJ$4,0)))))</f>
        <v>5273</v>
      </c>
      <c r="U15" s="267">
        <f>IF(ISNA(MATCH(U$2,Inputs!$K$4:$AJ$4,0)),NA(),IF(SUMPRODUCT((Inputs!$A$5:$A$120=$B15)*ISNUMBER(INDEX(Inputs!$K$5:$AJ$120,0,MATCH(U$2,Inputs!$K$4:$AJ$4,0))))+SUMPRODUCT((Inputs!$C$5:$C$120=$B15)*ISNUMBER(INDEX(Inputs!$K$5:$AJ$120,0,MATCH(U$2,Inputs!$K$4:$AJ$4,0))))+SUMPRODUCT((Inputs!$E$5:$E$120=$B15)*ISNUMBER(INDEX(Inputs!$K$5:$AJ$120,0,MATCH(U$2,Inputs!$K$4:$AJ$4,0))))=0,NA(),SUMPRODUCT((Inputs!$A$5:$A$120=$B15)*Inputs!$B$5:$B$120*(((Inputs!$G$5:$G$120="moeda")+(Inputs!$G$5:$G$120="acoes"))*Inputs!$B$1+((Inputs!$G$5:$G$120&lt;&gt;"moeda")*(Inputs!$G$5:$G$120&lt;&gt;"acoes")))*INDEX(Inputs!$K$5:$AJ$120,0,MATCH(U$2,Inputs!$K$4:$AJ$4,0)))+SUMPRODUCT((Inputs!$C$5:$C$120=$B15)*Inputs!$D$5:$D$120*(((Inputs!$G$5:$G$120="moeda")+(Inputs!$G$5:$G$120="acoes"))*Inputs!$B$1+((Inputs!$G$5:$G$120&lt;&gt;"moeda")*(Inputs!$G$5:$G$120&lt;&gt;"acoes")))*INDEX(Inputs!$K$5:$AJ$120,0,MATCH(U$2,Inputs!$K$4:$AJ$4,0)))+SUMPRODUCT((Inputs!$E$5:$E$120=$B15)*Inputs!$F$5:$F$120*(((Inputs!$G$5:$G$120="moeda")+(Inputs!$G$5:$G$120="acoes"))*Inputs!$B$1+((Inputs!$G$5:$G$120&lt;&gt;"moeda")*(Inputs!$G$5:$G$120&lt;&gt;"acoes")))*INDEX(Inputs!$K$5:$AJ$120,0,MATCH(U$2,Inputs!$K$4:$AJ$4,0)))))</f>
        <v>5000</v>
      </c>
      <c r="V15" s="267">
        <f>IF(ISNA(MATCH(V$2,Inputs!$K$4:$AJ$4,0)),NA(),IF(SUMPRODUCT((Inputs!$A$5:$A$120=$B15)*ISNUMBER(INDEX(Inputs!$K$5:$AJ$120,0,MATCH(V$2,Inputs!$K$4:$AJ$4,0))))+SUMPRODUCT((Inputs!$C$5:$C$120=$B15)*ISNUMBER(INDEX(Inputs!$K$5:$AJ$120,0,MATCH(V$2,Inputs!$K$4:$AJ$4,0))))+SUMPRODUCT((Inputs!$E$5:$E$120=$B15)*ISNUMBER(INDEX(Inputs!$K$5:$AJ$120,0,MATCH(V$2,Inputs!$K$4:$AJ$4,0))))=0,NA(),SUMPRODUCT((Inputs!$A$5:$A$120=$B15)*Inputs!$B$5:$B$120*(((Inputs!$G$5:$G$120="moeda")+(Inputs!$G$5:$G$120="acoes"))*Inputs!$B$1+((Inputs!$G$5:$G$120&lt;&gt;"moeda")*(Inputs!$G$5:$G$120&lt;&gt;"acoes")))*INDEX(Inputs!$K$5:$AJ$120,0,MATCH(V$2,Inputs!$K$4:$AJ$4,0)))+SUMPRODUCT((Inputs!$C$5:$C$120=$B15)*Inputs!$D$5:$D$120*(((Inputs!$G$5:$G$120="moeda")+(Inputs!$G$5:$G$120="acoes"))*Inputs!$B$1+((Inputs!$G$5:$G$120&lt;&gt;"moeda")*(Inputs!$G$5:$G$120&lt;&gt;"acoes")))*INDEX(Inputs!$K$5:$AJ$120,0,MATCH(V$2,Inputs!$K$4:$AJ$4,0)))+SUMPRODUCT((Inputs!$E$5:$E$120=$B15)*Inputs!$F$5:$F$120*(((Inputs!$G$5:$G$120="moeda")+(Inputs!$G$5:$G$120="acoes"))*Inputs!$B$1+((Inputs!$G$5:$G$120&lt;&gt;"moeda")*(Inputs!$G$5:$G$120&lt;&gt;"acoes")))*INDEX(Inputs!$K$5:$AJ$120,0,MATCH(V$2,Inputs!$K$4:$AJ$4,0)))))</f>
        <v>8834</v>
      </c>
      <c r="W15" s="268">
        <f>V15</f>
        <v>8834</v>
      </c>
      <c r="X15" s="267">
        <f>IF(ISNA(MATCH(X$2,Inputs!$K$4:$AJ$4,0)),NA(),IF(SUMPRODUCT((Inputs!$A$5:$A$120=$B15)*ISNUMBER(INDEX(Inputs!$K$5:$AJ$120,0,MATCH(X$2,Inputs!$K$4:$AJ$4,0))))+SUMPRODUCT((Inputs!$C$5:$C$120=$B15)*ISNUMBER(INDEX(Inputs!$K$5:$AJ$120,0,MATCH(X$2,Inputs!$K$4:$AJ$4,0))))+SUMPRODUCT((Inputs!$E$5:$E$120=$B15)*ISNUMBER(INDEX(Inputs!$K$5:$AJ$120,0,MATCH(X$2,Inputs!$K$4:$AJ$4,0))))=0,NA(),SUMPRODUCT((Inputs!$A$5:$A$120=$B15)*Inputs!$B$5:$B$120*(((Inputs!$G$5:$G$120="moeda")+(Inputs!$G$5:$G$120="acoes"))*Inputs!$B$1+((Inputs!$G$5:$G$120&lt;&gt;"moeda")*(Inputs!$G$5:$G$120&lt;&gt;"acoes")))*INDEX(Inputs!$K$5:$AJ$120,0,MATCH(X$2,Inputs!$K$4:$AJ$4,0)))+SUMPRODUCT((Inputs!$C$5:$C$120=$B15)*Inputs!$D$5:$D$120*(((Inputs!$G$5:$G$120="moeda")+(Inputs!$G$5:$G$120="acoes"))*Inputs!$B$1+((Inputs!$G$5:$G$120&lt;&gt;"moeda")*(Inputs!$G$5:$G$120&lt;&gt;"acoes")))*INDEX(Inputs!$K$5:$AJ$120,0,MATCH(X$2,Inputs!$K$4:$AJ$4,0)))+SUMPRODUCT((Inputs!$E$5:$E$120=$B15)*Inputs!$F$5:$F$120*(((Inputs!$G$5:$G$120="moeda")+(Inputs!$G$5:$G$120="acoes"))*Inputs!$B$1+((Inputs!$G$5:$G$120&lt;&gt;"moeda")*(Inputs!$G$5:$G$120&lt;&gt;"acoes")))*INDEX(Inputs!$K$5:$AJ$120,0,MATCH(X$2,Inputs!$K$4:$AJ$4,0)))))</f>
        <v>4385</v>
      </c>
      <c r="Y15" s="267">
        <f>IF(ISNA(MATCH(Y$2,Inputs!$K$4:$AJ$4,0)),NA(),IF(SUMPRODUCT((Inputs!$A$5:$A$120=$B15)*ISNUMBER(INDEX(Inputs!$K$5:$AJ$120,0,MATCH(Y$2,Inputs!$K$4:$AJ$4,0))))+SUMPRODUCT((Inputs!$C$5:$C$120=$B15)*ISNUMBER(INDEX(Inputs!$K$5:$AJ$120,0,MATCH(Y$2,Inputs!$K$4:$AJ$4,0))))+SUMPRODUCT((Inputs!$E$5:$E$120=$B15)*ISNUMBER(INDEX(Inputs!$K$5:$AJ$120,0,MATCH(Y$2,Inputs!$K$4:$AJ$4,0))))=0,NA(),SUMPRODUCT((Inputs!$A$5:$A$120=$B15)*Inputs!$B$5:$B$120*(((Inputs!$G$5:$G$120="moeda")+(Inputs!$G$5:$G$120="acoes"))*Inputs!$B$1+((Inputs!$G$5:$G$120&lt;&gt;"moeda")*(Inputs!$G$5:$G$120&lt;&gt;"acoes")))*INDEX(Inputs!$K$5:$AJ$120,0,MATCH(Y$2,Inputs!$K$4:$AJ$4,0)))+SUMPRODUCT((Inputs!$C$5:$C$120=$B15)*Inputs!$D$5:$D$120*(((Inputs!$G$5:$G$120="moeda")+(Inputs!$G$5:$G$120="acoes"))*Inputs!$B$1+((Inputs!$G$5:$G$120&lt;&gt;"moeda")*(Inputs!$G$5:$G$120&lt;&gt;"acoes")))*INDEX(Inputs!$K$5:$AJ$120,0,MATCH(Y$2,Inputs!$K$4:$AJ$4,0)))+SUMPRODUCT((Inputs!$E$5:$E$120=$B15)*Inputs!$F$5:$F$120*(((Inputs!$G$5:$G$120="moeda")+(Inputs!$G$5:$G$120="acoes"))*Inputs!$B$1+((Inputs!$G$5:$G$120&lt;&gt;"moeda")*(Inputs!$G$5:$G$120&lt;&gt;"acoes")))*INDEX(Inputs!$K$5:$AJ$120,0,MATCH(Y$2,Inputs!$K$4:$AJ$4,0)))))</f>
        <v>4490</v>
      </c>
      <c r="Z15" s="267">
        <f>IF(ISNA(MATCH(Z$2,Inputs!$K$4:$AJ$4,0)),NA(),IF(SUMPRODUCT((Inputs!$A$5:$A$120=$B15)*ISNUMBER(INDEX(Inputs!$K$5:$AJ$120,0,MATCH(Z$2,Inputs!$K$4:$AJ$4,0))))+SUMPRODUCT((Inputs!$C$5:$C$120=$B15)*ISNUMBER(INDEX(Inputs!$K$5:$AJ$120,0,MATCH(Z$2,Inputs!$K$4:$AJ$4,0))))+SUMPRODUCT((Inputs!$E$5:$E$120=$B15)*ISNUMBER(INDEX(Inputs!$K$5:$AJ$120,0,MATCH(Z$2,Inputs!$K$4:$AJ$4,0))))=0,NA(),SUMPRODUCT((Inputs!$A$5:$A$120=$B15)*Inputs!$B$5:$B$120*(((Inputs!$G$5:$G$120="moeda")+(Inputs!$G$5:$G$120="acoes"))*Inputs!$B$1+((Inputs!$G$5:$G$120&lt;&gt;"moeda")*(Inputs!$G$5:$G$120&lt;&gt;"acoes")))*INDEX(Inputs!$K$5:$AJ$120,0,MATCH(Z$2,Inputs!$K$4:$AJ$4,0)))+SUMPRODUCT((Inputs!$C$5:$C$120=$B15)*Inputs!$D$5:$D$120*(((Inputs!$G$5:$G$120="moeda")+(Inputs!$G$5:$G$120="acoes"))*Inputs!$B$1+((Inputs!$G$5:$G$120&lt;&gt;"moeda")*(Inputs!$G$5:$G$120&lt;&gt;"acoes")))*INDEX(Inputs!$K$5:$AJ$120,0,MATCH(Z$2,Inputs!$K$4:$AJ$4,0)))+SUMPRODUCT((Inputs!$E$5:$E$120=$B15)*Inputs!$F$5:$F$120*(((Inputs!$G$5:$G$120="moeda")+(Inputs!$G$5:$G$120="acoes"))*Inputs!$B$1+((Inputs!$G$5:$G$120&lt;&gt;"moeda")*(Inputs!$G$5:$G$120&lt;&gt;"acoes")))*INDEX(Inputs!$K$5:$AJ$120,0,MATCH(Z$2,Inputs!$K$4:$AJ$4,0)))))</f>
        <v>4318</v>
      </c>
      <c r="AA15" s="267">
        <f>IF(ISNA(MATCH(AA$2,Inputs!$K$4:$AJ$4,0)),NA(),IF(SUMPRODUCT((Inputs!$A$5:$A$120=$B15)*ISNUMBER(INDEX(Inputs!$K$5:$AJ$120,0,MATCH(AA$2,Inputs!$K$4:$AJ$4,0))))+SUMPRODUCT((Inputs!$C$5:$C$120=$B15)*ISNUMBER(INDEX(Inputs!$K$5:$AJ$120,0,MATCH(AA$2,Inputs!$K$4:$AJ$4,0))))+SUMPRODUCT((Inputs!$E$5:$E$120=$B15)*ISNUMBER(INDEX(Inputs!$K$5:$AJ$120,0,MATCH(AA$2,Inputs!$K$4:$AJ$4,0))))=0,NA(),SUMPRODUCT((Inputs!$A$5:$A$120=$B15)*Inputs!$B$5:$B$120*(((Inputs!$G$5:$G$120="moeda")+(Inputs!$G$5:$G$120="acoes"))*Inputs!$B$1+((Inputs!$G$5:$G$120&lt;&gt;"moeda")*(Inputs!$G$5:$G$120&lt;&gt;"acoes")))*INDEX(Inputs!$K$5:$AJ$120,0,MATCH(AA$2,Inputs!$K$4:$AJ$4,0)))+SUMPRODUCT((Inputs!$C$5:$C$120=$B15)*Inputs!$D$5:$D$120*(((Inputs!$G$5:$G$120="moeda")+(Inputs!$G$5:$G$120="acoes"))*Inputs!$B$1+((Inputs!$G$5:$G$120&lt;&gt;"moeda")*(Inputs!$G$5:$G$120&lt;&gt;"acoes")))*INDEX(Inputs!$K$5:$AJ$120,0,MATCH(AA$2,Inputs!$K$4:$AJ$4,0)))+SUMPRODUCT((Inputs!$E$5:$E$120=$B15)*Inputs!$F$5:$F$120*(((Inputs!$G$5:$G$120="moeda")+(Inputs!$G$5:$G$120="acoes"))*Inputs!$B$1+((Inputs!$G$5:$G$120&lt;&gt;"moeda")*(Inputs!$G$5:$G$120&lt;&gt;"acoes")))*INDEX(Inputs!$K$5:$AJ$120,0,MATCH(AA$2,Inputs!$K$4:$AJ$4,0)))))</f>
        <v>7997</v>
      </c>
      <c r="AB15" s="268">
        <f>AA15</f>
        <v>7997</v>
      </c>
      <c r="AC15" s="267">
        <f>IF(ISNA(MATCH(AC$2,Inputs!$K$4:$AJ$4,0)),NA(),IF(SUMPRODUCT((Inputs!$A$5:$A$120=$B15)*ISNUMBER(INDEX(Inputs!$K$5:$AJ$120,0,MATCH(AC$2,Inputs!$K$4:$AJ$4,0))))+SUMPRODUCT((Inputs!$C$5:$C$120=$B15)*ISNUMBER(INDEX(Inputs!$K$5:$AJ$120,0,MATCH(AC$2,Inputs!$K$4:$AJ$4,0))))+SUMPRODUCT((Inputs!$E$5:$E$120=$B15)*ISNUMBER(INDEX(Inputs!$K$5:$AJ$120,0,MATCH(AC$2,Inputs!$K$4:$AJ$4,0))))=0,NA(),SUMPRODUCT((Inputs!$A$5:$A$120=$B15)*Inputs!$B$5:$B$120*(((Inputs!$G$5:$G$120="moeda")+(Inputs!$G$5:$G$120="acoes"))*Inputs!$B$1+((Inputs!$G$5:$G$120&lt;&gt;"moeda")*(Inputs!$G$5:$G$120&lt;&gt;"acoes")))*INDEX(Inputs!$K$5:$AJ$120,0,MATCH(AC$2,Inputs!$K$4:$AJ$4,0)))+SUMPRODUCT((Inputs!$C$5:$C$120=$B15)*Inputs!$D$5:$D$120*(((Inputs!$G$5:$G$120="moeda")+(Inputs!$G$5:$G$120="acoes"))*Inputs!$B$1+((Inputs!$G$5:$G$120&lt;&gt;"moeda")*(Inputs!$G$5:$G$120&lt;&gt;"acoes")))*INDEX(Inputs!$K$5:$AJ$120,0,MATCH(AC$2,Inputs!$K$4:$AJ$4,0)))+SUMPRODUCT((Inputs!$E$5:$E$120=$B15)*Inputs!$F$5:$F$120*(((Inputs!$G$5:$G$120="moeda")+(Inputs!$G$5:$G$120="acoes"))*Inputs!$B$1+((Inputs!$G$5:$G$120&lt;&gt;"moeda")*(Inputs!$G$5:$G$120&lt;&gt;"acoes")))*INDEX(Inputs!$K$5:$AJ$120,0,MATCH(AC$2,Inputs!$K$4:$AJ$4,0)))))</f>
        <v>3737</v>
      </c>
      <c r="AD15" s="267">
        <f>IF(ISNA(MATCH(AD$2,Inputs!$K$4:$AJ$4,0)),NA(),IF(SUMPRODUCT((Inputs!$A$5:$A$120=$B15)*ISNUMBER(INDEX(Inputs!$K$5:$AJ$120,0,MATCH(AD$2,Inputs!$K$4:$AJ$4,0))))+SUMPRODUCT((Inputs!$C$5:$C$120=$B15)*ISNUMBER(INDEX(Inputs!$K$5:$AJ$120,0,MATCH(AD$2,Inputs!$K$4:$AJ$4,0))))+SUMPRODUCT((Inputs!$E$5:$E$120=$B15)*ISNUMBER(INDEX(Inputs!$K$5:$AJ$120,0,MATCH(AD$2,Inputs!$K$4:$AJ$4,0))))=0,NA(),SUMPRODUCT((Inputs!$A$5:$A$120=$B15)*Inputs!$B$5:$B$120*(((Inputs!$G$5:$G$120="moeda")+(Inputs!$G$5:$G$120="acoes"))*Inputs!$B$1+((Inputs!$G$5:$G$120&lt;&gt;"moeda")*(Inputs!$G$5:$G$120&lt;&gt;"acoes")))*INDEX(Inputs!$K$5:$AJ$120,0,MATCH(AD$2,Inputs!$K$4:$AJ$4,0)))+SUMPRODUCT((Inputs!$C$5:$C$120=$B15)*Inputs!$D$5:$D$120*(((Inputs!$G$5:$G$120="moeda")+(Inputs!$G$5:$G$120="acoes"))*Inputs!$B$1+((Inputs!$G$5:$G$120&lt;&gt;"moeda")*(Inputs!$G$5:$G$120&lt;&gt;"acoes")))*INDEX(Inputs!$K$5:$AJ$120,0,MATCH(AD$2,Inputs!$K$4:$AJ$4,0)))+SUMPRODUCT((Inputs!$E$5:$E$120=$B15)*Inputs!$F$5:$F$120*(((Inputs!$G$5:$G$120="moeda")+(Inputs!$G$5:$G$120="acoes"))*Inputs!$B$1+((Inputs!$G$5:$G$120&lt;&gt;"moeda")*(Inputs!$G$5:$G$120&lt;&gt;"acoes")))*INDEX(Inputs!$K$5:$AJ$120,0,MATCH(AD$2,Inputs!$K$4:$AJ$4,0)))))</f>
        <v>4080</v>
      </c>
      <c r="AE15" s="267" t="e">
        <f>IF(ISNA(MATCH(AE$2,Inputs!$K$4:$AJ$4,0)),NA(),IF(SUMPRODUCT((Inputs!$A$5:$A$120=$B15)*ISNUMBER(INDEX(Inputs!$K$5:$AJ$120,0,MATCH(AE$2,Inputs!$K$4:$AJ$4,0))))+SUMPRODUCT((Inputs!$C$5:$C$120=$B15)*ISNUMBER(INDEX(Inputs!$K$5:$AJ$120,0,MATCH(AE$2,Inputs!$K$4:$AJ$4,0))))+SUMPRODUCT((Inputs!$E$5:$E$120=$B15)*ISNUMBER(INDEX(Inputs!$K$5:$AJ$120,0,MATCH(AE$2,Inputs!$K$4:$AJ$4,0))))=0,NA(),SUMPRODUCT((Inputs!$A$5:$A$120=$B15)*Inputs!$B$5:$B$120*(((Inputs!$G$5:$G$120="moeda")+(Inputs!$G$5:$G$120="acoes"))*Inputs!$B$1+((Inputs!$G$5:$G$120&lt;&gt;"moeda")*(Inputs!$G$5:$G$120&lt;&gt;"acoes")))*INDEX(Inputs!$K$5:$AJ$120,0,MATCH(AE$2,Inputs!$K$4:$AJ$4,0)))+SUMPRODUCT((Inputs!$C$5:$C$120=$B15)*Inputs!$D$5:$D$120*(((Inputs!$G$5:$G$120="moeda")+(Inputs!$G$5:$G$120="acoes"))*Inputs!$B$1+((Inputs!$G$5:$G$120&lt;&gt;"moeda")*(Inputs!$G$5:$G$120&lt;&gt;"acoes")))*INDEX(Inputs!$K$5:$AJ$120,0,MATCH(AE$2,Inputs!$K$4:$AJ$4,0)))+SUMPRODUCT((Inputs!$E$5:$E$120=$B15)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5" s="267" t="e">
        <f>IF(ISNA(MATCH(AF$2,Inputs!$K$4:$AJ$4,0)),NA(),IF(SUMPRODUCT((Inputs!$A$5:$A$120=$B15)*ISNUMBER(INDEX(Inputs!$K$5:$AJ$120,0,MATCH(AF$2,Inputs!$K$4:$AJ$4,0))))+SUMPRODUCT((Inputs!$C$5:$C$120=$B15)*ISNUMBER(INDEX(Inputs!$K$5:$AJ$120,0,MATCH(AF$2,Inputs!$K$4:$AJ$4,0))))+SUMPRODUCT((Inputs!$E$5:$E$120=$B15)*ISNUMBER(INDEX(Inputs!$K$5:$AJ$120,0,MATCH(AF$2,Inputs!$K$4:$AJ$4,0))))=0,NA(),SUMPRODUCT((Inputs!$A$5:$A$120=$B15)*Inputs!$B$5:$B$120*(((Inputs!$G$5:$G$120="moeda")+(Inputs!$G$5:$G$120="acoes"))*Inputs!$B$1+((Inputs!$G$5:$G$120&lt;&gt;"moeda")*(Inputs!$G$5:$G$120&lt;&gt;"acoes")))*INDEX(Inputs!$K$5:$AJ$120,0,MATCH(AF$2,Inputs!$K$4:$AJ$4,0)))+SUMPRODUCT((Inputs!$C$5:$C$120=$B15)*Inputs!$D$5:$D$120*(((Inputs!$G$5:$G$120="moeda")+(Inputs!$G$5:$G$120="acoes"))*Inputs!$B$1+((Inputs!$G$5:$G$120&lt;&gt;"moeda")*(Inputs!$G$5:$G$120&lt;&gt;"acoes")))*INDEX(Inputs!$K$5:$AJ$120,0,MATCH(AF$2,Inputs!$K$4:$AJ$4,0)))+SUMPRODUCT((Inputs!$E$5:$E$120=$B15)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5" s="268" t="e">
        <f>AF15</f>
        <v>#N/A</v>
      </c>
      <c r="AH15" s="267">
        <f>IF(ISNA(MATCH(AH$2,Inputs!$K$4:$AJ$4,0)),NA(),IF(SUMPRODUCT((Inputs!$A$5:$A$120=$B15)*ISNUMBER(INDEX(Inputs!$K$5:$AJ$120,0,MATCH(AH$2,Inputs!$K$4:$AJ$4,0))))+SUMPRODUCT((Inputs!$C$5:$C$120=$B15)*ISNUMBER(INDEX(Inputs!$K$5:$AJ$120,0,MATCH(AH$2,Inputs!$K$4:$AJ$4,0))))+SUMPRODUCT((Inputs!$E$5:$E$120=$B15)*ISNUMBER(INDEX(Inputs!$K$5:$AJ$120,0,MATCH(AH$2,Inputs!$K$4:$AJ$4,0))))=0,NA(),SUMPRODUCT((Inputs!$A$5:$A$120=$B15)*Inputs!$B$5:$B$120*(((Inputs!$G$5:$G$120="moeda")+(Inputs!$G$5:$G$120="acoes"))*Inputs!$B$1+((Inputs!$G$5:$G$120&lt;&gt;"moeda")*(Inputs!$G$5:$G$120&lt;&gt;"acoes")))*INDEX(Inputs!$K$5:$AJ$120,0,MATCH(AH$2,Inputs!$K$4:$AJ$4,0)))+SUMPRODUCT((Inputs!$C$5:$C$120=$B15)*Inputs!$D$5:$D$120*(((Inputs!$G$5:$G$120="moeda")+(Inputs!$G$5:$G$120="acoes"))*Inputs!$B$1+((Inputs!$G$5:$G$120&lt;&gt;"moeda")*(Inputs!$G$5:$G$120&lt;&gt;"acoes")))*INDEX(Inputs!$K$5:$AJ$120,0,MATCH(AH$2,Inputs!$K$4:$AJ$4,0)))+SUMPRODUCT((Inputs!$E$5:$E$120=$B15)*Inputs!$F$5:$F$120*(((Inputs!$G$5:$G$120="moeda")+(Inputs!$G$5:$G$120="acoes"))*Inputs!$B$1+((Inputs!$G$5:$G$120&lt;&gt;"moeda")*(Inputs!$G$5:$G$120&lt;&gt;"acoes")))*INDEX(Inputs!$K$5:$AJ$120,0,MATCH(AH$2,Inputs!$K$4:$AJ$4,0)))))</f>
        <v>1602</v>
      </c>
      <c r="AI15" s="267">
        <f>IF(ISNA(MATCH(AI$2,Inputs!$K$4:$AJ$4,0)),NA(),IF(SUMPRODUCT((Inputs!$A$5:$A$120=$B15)*ISNUMBER(INDEX(Inputs!$K$5:$AJ$120,0,MATCH(AI$2,Inputs!$K$4:$AJ$4,0))))+SUMPRODUCT((Inputs!$C$5:$C$120=$B15)*ISNUMBER(INDEX(Inputs!$K$5:$AJ$120,0,MATCH(AI$2,Inputs!$K$4:$AJ$4,0))))+SUMPRODUCT((Inputs!$E$5:$E$120=$B15)*ISNUMBER(INDEX(Inputs!$K$5:$AJ$120,0,MATCH(AI$2,Inputs!$K$4:$AJ$4,0))))=0,NA(),SUMPRODUCT((Inputs!$A$5:$A$120=$B15)*Inputs!$B$5:$B$120*(((Inputs!$G$5:$G$120="moeda")+(Inputs!$G$5:$G$120="acoes"))*Inputs!$B$1+((Inputs!$G$5:$G$120&lt;&gt;"moeda")*(Inputs!$G$5:$G$120&lt;&gt;"acoes")))*INDEX(Inputs!$K$5:$AJ$120,0,MATCH(AI$2,Inputs!$K$4:$AJ$4,0)))+SUMPRODUCT((Inputs!$C$5:$C$120=$B15)*Inputs!$D$5:$D$120*(((Inputs!$G$5:$G$120="moeda")+(Inputs!$G$5:$G$120="acoes"))*Inputs!$B$1+((Inputs!$G$5:$G$120&lt;&gt;"moeda")*(Inputs!$G$5:$G$120&lt;&gt;"acoes")))*INDEX(Inputs!$K$5:$AJ$120,0,MATCH(AI$2,Inputs!$K$4:$AJ$4,0)))+SUMPRODUCT((Inputs!$E$5:$E$120=$B15)*Inputs!$F$5:$F$120*(((Inputs!$G$5:$G$120="moeda")+(Inputs!$G$5:$G$120="acoes"))*Inputs!$B$1+((Inputs!$G$5:$G$120&lt;&gt;"moeda")*(Inputs!$G$5:$G$120&lt;&gt;"acoes")))*INDEX(Inputs!$K$5:$AJ$120,0,MATCH(AI$2,Inputs!$K$4:$AJ$4,0)))))</f>
        <v>1465</v>
      </c>
      <c r="AJ15" s="267">
        <f>IF(ISNA(MATCH(AJ$2,Inputs!$K$4:$AJ$4,0)),NA(),IF(SUMPRODUCT((Inputs!$A$5:$A$120=$B15)*ISNUMBER(INDEX(Inputs!$K$5:$AJ$120,0,MATCH(AJ$2,Inputs!$K$4:$AJ$4,0))))+SUMPRODUCT((Inputs!$C$5:$C$120=$B15)*ISNUMBER(INDEX(Inputs!$K$5:$AJ$120,0,MATCH(AJ$2,Inputs!$K$4:$AJ$4,0))))+SUMPRODUCT((Inputs!$E$5:$E$120=$B15)*ISNUMBER(INDEX(Inputs!$K$5:$AJ$120,0,MATCH(AJ$2,Inputs!$K$4:$AJ$4,0))))=0,NA(),SUMPRODUCT((Inputs!$A$5:$A$120=$B15)*Inputs!$B$5:$B$120*(((Inputs!$G$5:$G$120="moeda")+(Inputs!$G$5:$G$120="acoes"))*Inputs!$B$1+((Inputs!$G$5:$G$120&lt;&gt;"moeda")*(Inputs!$G$5:$G$120&lt;&gt;"acoes")))*INDEX(Inputs!$K$5:$AJ$120,0,MATCH(AJ$2,Inputs!$K$4:$AJ$4,0)))+SUMPRODUCT((Inputs!$C$5:$C$120=$B15)*Inputs!$D$5:$D$120*(((Inputs!$G$5:$G$120="moeda")+(Inputs!$G$5:$G$120="acoes"))*Inputs!$B$1+((Inputs!$G$5:$G$120&lt;&gt;"moeda")*(Inputs!$G$5:$G$120&lt;&gt;"acoes")))*INDEX(Inputs!$K$5:$AJ$120,0,MATCH(AJ$2,Inputs!$K$4:$AJ$4,0)))+SUMPRODUCT((Inputs!$E$5:$E$120=$B15)*Inputs!$F$5:$F$120*(((Inputs!$G$5:$G$120="moeda")+(Inputs!$G$5:$G$120="acoes"))*Inputs!$B$1+((Inputs!$G$5:$G$120&lt;&gt;"moeda")*(Inputs!$G$5:$G$120&lt;&gt;"acoes")))*INDEX(Inputs!$K$5:$AJ$120,0,MATCH(AJ$2,Inputs!$K$4:$AJ$4,0)))))</f>
        <v>2403</v>
      </c>
      <c r="AK15" s="267">
        <f>IF(ISNA(MATCH(AK$2,Inputs!$K$4:$AJ$4,0)),NA(),IF(SUMPRODUCT((Inputs!$A$5:$A$120=$B15)*ISNUMBER(INDEX(Inputs!$K$5:$AJ$120,0,MATCH(AK$2,Inputs!$K$4:$AJ$4,0))))+SUMPRODUCT((Inputs!$C$5:$C$120=$B15)*ISNUMBER(INDEX(Inputs!$K$5:$AJ$120,0,MATCH(AK$2,Inputs!$K$4:$AJ$4,0))))+SUMPRODUCT((Inputs!$E$5:$E$120=$B15)*ISNUMBER(INDEX(Inputs!$K$5:$AJ$120,0,MATCH(AK$2,Inputs!$K$4:$AJ$4,0))))=0,NA(),SUMPRODUCT((Inputs!$A$5:$A$120=$B15)*Inputs!$B$5:$B$120*(((Inputs!$G$5:$G$120="moeda")+(Inputs!$G$5:$G$120="acoes"))*Inputs!$B$1+((Inputs!$G$5:$G$120&lt;&gt;"moeda")*(Inputs!$G$5:$G$120&lt;&gt;"acoes")))*INDEX(Inputs!$K$5:$AJ$120,0,MATCH(AK$2,Inputs!$K$4:$AJ$4,0)))+SUMPRODUCT((Inputs!$C$5:$C$120=$B15)*Inputs!$D$5:$D$120*(((Inputs!$G$5:$G$120="moeda")+(Inputs!$G$5:$G$120="acoes"))*Inputs!$B$1+((Inputs!$G$5:$G$120&lt;&gt;"moeda")*(Inputs!$G$5:$G$120&lt;&gt;"acoes")))*INDEX(Inputs!$K$5:$AJ$120,0,MATCH(AK$2,Inputs!$K$4:$AJ$4,0)))+SUMPRODUCT((Inputs!$E$5:$E$120=$B15)*Inputs!$F$5:$F$120*(((Inputs!$G$5:$G$120="moeda")+(Inputs!$G$5:$G$120="acoes"))*Inputs!$B$1+((Inputs!$G$5:$G$120&lt;&gt;"moeda")*(Inputs!$G$5:$G$120&lt;&gt;"acoes")))*INDEX(Inputs!$K$5:$AJ$120,0,MATCH(AK$2,Inputs!$K$4:$AJ$4,0)))))</f>
        <v>7560</v>
      </c>
      <c r="AL15" s="268">
        <f>AK15</f>
        <v>7560</v>
      </c>
    </row>
    <row r="16" ht="12.75" customHeight="1" s="255">
      <c r="B16" s="265" t="n">
        <v>12</v>
      </c>
      <c r="C16" s="270" t="inlineStr">
        <is>
          <t>Accounts receivable</t>
        </is>
      </c>
      <c r="D16" s="267">
        <f>IF(ISNA(MATCH(D$2,Inputs!$K$4:$AJ$4,0)),NA(),IF(SUMPRODUCT((Inputs!$A$5:$A$120=$B16)*ISNUMBER(INDEX(Inputs!$K$5:$AJ$120,0,MATCH(D$2,Inputs!$K$4:$AJ$4,0))))+SUMPRODUCT((Inputs!$C$5:$C$120=$B16)*ISNUMBER(INDEX(Inputs!$K$5:$AJ$120,0,MATCH(D$2,Inputs!$K$4:$AJ$4,0))))+SUMPRODUCT((Inputs!$E$5:$E$120=$B16)*ISNUMBER(INDEX(Inputs!$K$5:$AJ$120,0,MATCH(D$2,Inputs!$K$4:$AJ$4,0))))=0,NA(),SUMPRODUCT((Inputs!$A$5:$A$120=$B16)*Inputs!$B$5:$B$120*(((Inputs!$G$5:$G$120="moeda")+(Inputs!$G$5:$G$120="acoes"))*Inputs!$B$1+((Inputs!$G$5:$G$120&lt;&gt;"moeda")*(Inputs!$G$5:$G$120&lt;&gt;"acoes")))*INDEX(Inputs!$K$5:$AJ$120,0,MATCH(D$2,Inputs!$K$4:$AJ$4,0)))+SUMPRODUCT((Inputs!$C$5:$C$120=$B16)*Inputs!$D$5:$D$120*(((Inputs!$G$5:$G$120="moeda")+(Inputs!$G$5:$G$120="acoes"))*Inputs!$B$1+((Inputs!$G$5:$G$120&lt;&gt;"moeda")*(Inputs!$G$5:$G$120&lt;&gt;"acoes")))*INDEX(Inputs!$K$5:$AJ$120,0,MATCH(D$2,Inputs!$K$4:$AJ$4,0)))+SUMPRODUCT((Inputs!$E$5:$E$120=$B16)*Inputs!$F$5:$F$120*(((Inputs!$G$5:$G$120="moeda")+(Inputs!$G$5:$G$120="acoes"))*Inputs!$B$1+((Inputs!$G$5:$G$120&lt;&gt;"moeda")*(Inputs!$G$5:$G$120&lt;&gt;"acoes")))*INDEX(Inputs!$K$5:$AJ$120,0,MATCH(D$2,Inputs!$K$4:$AJ$4,0)))))</f>
        <v>1248</v>
      </c>
      <c r="E16" s="267">
        <f>IF(ISNA(MATCH(E$2,Inputs!$K$4:$AJ$4,0)),NA(),IF(SUMPRODUCT((Inputs!$A$5:$A$120=$B16)*ISNUMBER(INDEX(Inputs!$K$5:$AJ$120,0,MATCH(E$2,Inputs!$K$4:$AJ$4,0))))+SUMPRODUCT((Inputs!$C$5:$C$120=$B16)*ISNUMBER(INDEX(Inputs!$K$5:$AJ$120,0,MATCH(E$2,Inputs!$K$4:$AJ$4,0))))+SUMPRODUCT((Inputs!$E$5:$E$120=$B16)*ISNUMBER(INDEX(Inputs!$K$5:$AJ$120,0,MATCH(E$2,Inputs!$K$4:$AJ$4,0))))=0,NA(),SUMPRODUCT((Inputs!$A$5:$A$120=$B16)*Inputs!$B$5:$B$120*(((Inputs!$G$5:$G$120="moeda")+(Inputs!$G$5:$G$120="acoes"))*Inputs!$B$1+((Inputs!$G$5:$G$120&lt;&gt;"moeda")*(Inputs!$G$5:$G$120&lt;&gt;"acoes")))*INDEX(Inputs!$K$5:$AJ$120,0,MATCH(E$2,Inputs!$K$4:$AJ$4,0)))+SUMPRODUCT((Inputs!$C$5:$C$120=$B16)*Inputs!$D$5:$D$120*(((Inputs!$G$5:$G$120="moeda")+(Inputs!$G$5:$G$120="acoes"))*Inputs!$B$1+((Inputs!$G$5:$G$120&lt;&gt;"moeda")*(Inputs!$G$5:$G$120&lt;&gt;"acoes")))*INDEX(Inputs!$K$5:$AJ$120,0,MATCH(E$2,Inputs!$K$4:$AJ$4,0)))+SUMPRODUCT((Inputs!$E$5:$E$120=$B16)*Inputs!$F$5:$F$120*(((Inputs!$G$5:$G$120="moeda")+(Inputs!$G$5:$G$120="acoes"))*Inputs!$B$1+((Inputs!$G$5:$G$120&lt;&gt;"moeda")*(Inputs!$G$5:$G$120&lt;&gt;"acoes")))*INDEX(Inputs!$K$5:$AJ$120,0,MATCH(E$2,Inputs!$K$4:$AJ$4,0)))))</f>
        <v>1100</v>
      </c>
      <c r="F16" s="267">
        <f>IF(ISNA(MATCH(F$2,Inputs!$K$4:$AJ$4,0)),NA(),IF(SUMPRODUCT((Inputs!$A$5:$A$120=$B16)*ISNUMBER(INDEX(Inputs!$K$5:$AJ$120,0,MATCH(F$2,Inputs!$K$4:$AJ$4,0))))+SUMPRODUCT((Inputs!$C$5:$C$120=$B16)*ISNUMBER(INDEX(Inputs!$K$5:$AJ$120,0,MATCH(F$2,Inputs!$K$4:$AJ$4,0))))+SUMPRODUCT((Inputs!$E$5:$E$120=$B16)*ISNUMBER(INDEX(Inputs!$K$5:$AJ$120,0,MATCH(F$2,Inputs!$K$4:$AJ$4,0))))=0,NA(),SUMPRODUCT((Inputs!$A$5:$A$120=$B16)*Inputs!$B$5:$B$120*(((Inputs!$G$5:$G$120="moeda")+(Inputs!$G$5:$G$120="acoes"))*Inputs!$B$1+((Inputs!$G$5:$G$120&lt;&gt;"moeda")*(Inputs!$G$5:$G$120&lt;&gt;"acoes")))*INDEX(Inputs!$K$5:$AJ$120,0,MATCH(F$2,Inputs!$K$4:$AJ$4,0)))+SUMPRODUCT((Inputs!$C$5:$C$120=$B16)*Inputs!$D$5:$D$120*(((Inputs!$G$5:$G$120="moeda")+(Inputs!$G$5:$G$120="acoes"))*Inputs!$B$1+((Inputs!$G$5:$G$120&lt;&gt;"moeda")*(Inputs!$G$5:$G$120&lt;&gt;"acoes")))*INDEX(Inputs!$K$5:$AJ$120,0,MATCH(F$2,Inputs!$K$4:$AJ$4,0)))+SUMPRODUCT((Inputs!$E$5:$E$120=$B16)*Inputs!$F$5:$F$120*(((Inputs!$G$5:$G$120="moeda")+(Inputs!$G$5:$G$120="acoes"))*Inputs!$B$1+((Inputs!$G$5:$G$120&lt;&gt;"moeda")*(Inputs!$G$5:$G$120&lt;&gt;"acoes")))*INDEX(Inputs!$K$5:$AJ$120,0,MATCH(F$2,Inputs!$K$4:$AJ$4,0)))))</f>
        <v>931</v>
      </c>
      <c r="G16" s="267">
        <f>IF(ISNA(MATCH(G$2,Inputs!$K$4:$AJ$4,0)),NA(),IF(SUMPRODUCT((Inputs!$A$5:$A$120=$B16)*ISNUMBER(INDEX(Inputs!$K$5:$AJ$120,0,MATCH(G$2,Inputs!$K$4:$AJ$4,0))))+SUMPRODUCT((Inputs!$C$5:$C$120=$B16)*ISNUMBER(INDEX(Inputs!$K$5:$AJ$120,0,MATCH(G$2,Inputs!$K$4:$AJ$4,0))))+SUMPRODUCT((Inputs!$E$5:$E$120=$B16)*ISNUMBER(INDEX(Inputs!$K$5:$AJ$120,0,MATCH(G$2,Inputs!$K$4:$AJ$4,0))))=0,NA(),SUMPRODUCT((Inputs!$A$5:$A$120=$B16)*Inputs!$B$5:$B$120*(((Inputs!$G$5:$G$120="moeda")+(Inputs!$G$5:$G$120="acoes"))*Inputs!$B$1+((Inputs!$G$5:$G$120&lt;&gt;"moeda")*(Inputs!$G$5:$G$120&lt;&gt;"acoes")))*INDEX(Inputs!$K$5:$AJ$120,0,MATCH(G$2,Inputs!$K$4:$AJ$4,0)))+SUMPRODUCT((Inputs!$C$5:$C$120=$B16)*Inputs!$D$5:$D$120*(((Inputs!$G$5:$G$120="moeda")+(Inputs!$G$5:$G$120="acoes"))*Inputs!$B$1+((Inputs!$G$5:$G$120&lt;&gt;"moeda")*(Inputs!$G$5:$G$120&lt;&gt;"acoes")))*INDEX(Inputs!$K$5:$AJ$120,0,MATCH(G$2,Inputs!$K$4:$AJ$4,0)))+SUMPRODUCT((Inputs!$E$5:$E$120=$B16)*Inputs!$F$5:$F$120*(((Inputs!$G$5:$G$120="moeda")+(Inputs!$G$5:$G$120="acoes"))*Inputs!$B$1+((Inputs!$G$5:$G$120&lt;&gt;"moeda")*(Inputs!$G$5:$G$120&lt;&gt;"acoes")))*INDEX(Inputs!$K$5:$AJ$120,0,MATCH(G$2,Inputs!$K$4:$AJ$4,0)))))</f>
        <v>1168</v>
      </c>
      <c r="H16" s="268">
        <f>G16</f>
        <v>1168</v>
      </c>
      <c r="I16" s="267">
        <f>IF(ISNA(MATCH(I$2,Inputs!$K$4:$AJ$4,0)),NA(),IF(SUMPRODUCT((Inputs!$A$5:$A$120=$B16)*ISNUMBER(INDEX(Inputs!$K$5:$AJ$120,0,MATCH(I$2,Inputs!$K$4:$AJ$4,0))))+SUMPRODUCT((Inputs!$C$5:$C$120=$B16)*ISNUMBER(INDEX(Inputs!$K$5:$AJ$120,0,MATCH(I$2,Inputs!$K$4:$AJ$4,0))))+SUMPRODUCT((Inputs!$E$5:$E$120=$B16)*ISNUMBER(INDEX(Inputs!$K$5:$AJ$120,0,MATCH(I$2,Inputs!$K$4:$AJ$4,0))))=0,NA(),SUMPRODUCT((Inputs!$A$5:$A$120=$B16)*Inputs!$B$5:$B$120*(((Inputs!$G$5:$G$120="moeda")+(Inputs!$G$5:$G$120="acoes"))*Inputs!$B$1+((Inputs!$G$5:$G$120&lt;&gt;"moeda")*(Inputs!$G$5:$G$120&lt;&gt;"acoes")))*INDEX(Inputs!$K$5:$AJ$120,0,MATCH(I$2,Inputs!$K$4:$AJ$4,0)))+SUMPRODUCT((Inputs!$C$5:$C$120=$B16)*Inputs!$D$5:$D$120*(((Inputs!$G$5:$G$120="moeda")+(Inputs!$G$5:$G$120="acoes"))*Inputs!$B$1+((Inputs!$G$5:$G$120&lt;&gt;"moeda")*(Inputs!$G$5:$G$120&lt;&gt;"acoes")))*INDEX(Inputs!$K$5:$AJ$120,0,MATCH(I$2,Inputs!$K$4:$AJ$4,0)))+SUMPRODUCT((Inputs!$E$5:$E$120=$B16)*Inputs!$F$5:$F$120*(((Inputs!$G$5:$G$120="moeda")+(Inputs!$G$5:$G$120="acoes"))*Inputs!$B$1+((Inputs!$G$5:$G$120&lt;&gt;"moeda")*(Inputs!$G$5:$G$120&lt;&gt;"acoes")))*INDEX(Inputs!$K$5:$AJ$120,0,MATCH(I$2,Inputs!$K$4:$AJ$4,0)))))</f>
        <v>1537</v>
      </c>
      <c r="J16" s="267">
        <f>IF(ISNA(MATCH(J$2,Inputs!$K$4:$AJ$4,0)),NA(),IF(SUMPRODUCT((Inputs!$A$5:$A$120=$B16)*ISNUMBER(INDEX(Inputs!$K$5:$AJ$120,0,MATCH(J$2,Inputs!$K$4:$AJ$4,0))))+SUMPRODUCT((Inputs!$C$5:$C$120=$B16)*ISNUMBER(INDEX(Inputs!$K$5:$AJ$120,0,MATCH(J$2,Inputs!$K$4:$AJ$4,0))))+SUMPRODUCT((Inputs!$E$5:$E$120=$B16)*ISNUMBER(INDEX(Inputs!$K$5:$AJ$120,0,MATCH(J$2,Inputs!$K$4:$AJ$4,0))))=0,NA(),SUMPRODUCT((Inputs!$A$5:$A$120=$B16)*Inputs!$B$5:$B$120*(((Inputs!$G$5:$G$120="moeda")+(Inputs!$G$5:$G$120="acoes"))*Inputs!$B$1+((Inputs!$G$5:$G$120&lt;&gt;"moeda")*(Inputs!$G$5:$G$120&lt;&gt;"acoes")))*INDEX(Inputs!$K$5:$AJ$120,0,MATCH(J$2,Inputs!$K$4:$AJ$4,0)))+SUMPRODUCT((Inputs!$C$5:$C$120=$B16)*Inputs!$D$5:$D$120*(((Inputs!$G$5:$G$120="moeda")+(Inputs!$G$5:$G$120="acoes"))*Inputs!$B$1+((Inputs!$G$5:$G$120&lt;&gt;"moeda")*(Inputs!$G$5:$G$120&lt;&gt;"acoes")))*INDEX(Inputs!$K$5:$AJ$120,0,MATCH(J$2,Inputs!$K$4:$AJ$4,0)))+SUMPRODUCT((Inputs!$E$5:$E$120=$B16)*Inputs!$F$5:$F$120*(((Inputs!$G$5:$G$120="moeda")+(Inputs!$G$5:$G$120="acoes"))*Inputs!$B$1+((Inputs!$G$5:$G$120&lt;&gt;"moeda")*(Inputs!$G$5:$G$120&lt;&gt;"acoes")))*INDEX(Inputs!$K$5:$AJ$120,0,MATCH(J$2,Inputs!$K$4:$AJ$4,0)))))</f>
        <v>977</v>
      </c>
      <c r="K16" s="267">
        <f>IF(ISNA(MATCH(K$2,Inputs!$K$4:$AJ$4,0)),NA(),IF(SUMPRODUCT((Inputs!$A$5:$A$120=$B16)*ISNUMBER(INDEX(Inputs!$K$5:$AJ$120,0,MATCH(K$2,Inputs!$K$4:$AJ$4,0))))+SUMPRODUCT((Inputs!$C$5:$C$120=$B16)*ISNUMBER(INDEX(Inputs!$K$5:$AJ$120,0,MATCH(K$2,Inputs!$K$4:$AJ$4,0))))+SUMPRODUCT((Inputs!$E$5:$E$120=$B16)*ISNUMBER(INDEX(Inputs!$K$5:$AJ$120,0,MATCH(K$2,Inputs!$K$4:$AJ$4,0))))=0,NA(),SUMPRODUCT((Inputs!$A$5:$A$120=$B16)*Inputs!$B$5:$B$120*(((Inputs!$G$5:$G$120="moeda")+(Inputs!$G$5:$G$120="acoes"))*Inputs!$B$1+((Inputs!$G$5:$G$120&lt;&gt;"moeda")*(Inputs!$G$5:$G$120&lt;&gt;"acoes")))*INDEX(Inputs!$K$5:$AJ$120,0,MATCH(K$2,Inputs!$K$4:$AJ$4,0)))+SUMPRODUCT((Inputs!$C$5:$C$120=$B16)*Inputs!$D$5:$D$120*(((Inputs!$G$5:$G$120="moeda")+(Inputs!$G$5:$G$120="acoes"))*Inputs!$B$1+((Inputs!$G$5:$G$120&lt;&gt;"moeda")*(Inputs!$G$5:$G$120&lt;&gt;"acoes")))*INDEX(Inputs!$K$5:$AJ$120,0,MATCH(K$2,Inputs!$K$4:$AJ$4,0)))+SUMPRODUCT((Inputs!$E$5:$E$120=$B16)*Inputs!$F$5:$F$120*(((Inputs!$G$5:$G$120="moeda")+(Inputs!$G$5:$G$120="acoes"))*Inputs!$B$1+((Inputs!$G$5:$G$120&lt;&gt;"moeda")*(Inputs!$G$5:$G$120&lt;&gt;"acoes")))*INDEX(Inputs!$K$5:$AJ$120,0,MATCH(K$2,Inputs!$K$4:$AJ$4,0)))))</f>
        <v>844</v>
      </c>
      <c r="L16" s="267">
        <f>IF(ISNA(MATCH(L$2,Inputs!$K$4:$AJ$4,0)),NA(),IF(SUMPRODUCT((Inputs!$A$5:$A$120=$B16)*ISNUMBER(INDEX(Inputs!$K$5:$AJ$120,0,MATCH(L$2,Inputs!$K$4:$AJ$4,0))))+SUMPRODUCT((Inputs!$C$5:$C$120=$B16)*ISNUMBER(INDEX(Inputs!$K$5:$AJ$120,0,MATCH(L$2,Inputs!$K$4:$AJ$4,0))))+SUMPRODUCT((Inputs!$E$5:$E$120=$B16)*ISNUMBER(INDEX(Inputs!$K$5:$AJ$120,0,MATCH(L$2,Inputs!$K$4:$AJ$4,0))))=0,NA(),SUMPRODUCT((Inputs!$A$5:$A$120=$B16)*Inputs!$B$5:$B$120*(((Inputs!$G$5:$G$120="moeda")+(Inputs!$G$5:$G$120="acoes"))*Inputs!$B$1+((Inputs!$G$5:$G$120&lt;&gt;"moeda")*(Inputs!$G$5:$G$120&lt;&gt;"acoes")))*INDEX(Inputs!$K$5:$AJ$120,0,MATCH(L$2,Inputs!$K$4:$AJ$4,0)))+SUMPRODUCT((Inputs!$C$5:$C$120=$B16)*Inputs!$D$5:$D$120*(((Inputs!$G$5:$G$120="moeda")+(Inputs!$G$5:$G$120="acoes"))*Inputs!$B$1+((Inputs!$G$5:$G$120&lt;&gt;"moeda")*(Inputs!$G$5:$G$120&lt;&gt;"acoes")))*INDEX(Inputs!$K$5:$AJ$120,0,MATCH(L$2,Inputs!$K$4:$AJ$4,0)))+SUMPRODUCT((Inputs!$E$5:$E$120=$B16)*Inputs!$F$5:$F$120*(((Inputs!$G$5:$G$120="moeda")+(Inputs!$G$5:$G$120="acoes"))*Inputs!$B$1+((Inputs!$G$5:$G$120&lt;&gt;"moeda")*(Inputs!$G$5:$G$120&lt;&gt;"acoes")))*INDEX(Inputs!$K$5:$AJ$120,0,MATCH(L$2,Inputs!$K$4:$AJ$4,0)))))</f>
        <v>1336</v>
      </c>
      <c r="M16" s="268">
        <f>L16</f>
        <v>1336</v>
      </c>
      <c r="N16" s="267">
        <f>IF(ISNA(MATCH(N$2,Inputs!$K$4:$AJ$4,0)),NA(),IF(SUMPRODUCT((Inputs!$A$5:$A$120=$B16)*ISNUMBER(INDEX(Inputs!$K$5:$AJ$120,0,MATCH(N$2,Inputs!$K$4:$AJ$4,0))))+SUMPRODUCT((Inputs!$C$5:$C$120=$B16)*ISNUMBER(INDEX(Inputs!$K$5:$AJ$120,0,MATCH(N$2,Inputs!$K$4:$AJ$4,0))))+SUMPRODUCT((Inputs!$E$5:$E$120=$B16)*ISNUMBER(INDEX(Inputs!$K$5:$AJ$120,0,MATCH(N$2,Inputs!$K$4:$AJ$4,0))))=0,NA(),SUMPRODUCT((Inputs!$A$5:$A$120=$B16)*Inputs!$B$5:$B$120*(((Inputs!$G$5:$G$120="moeda")+(Inputs!$G$5:$G$120="acoes"))*Inputs!$B$1+((Inputs!$G$5:$G$120&lt;&gt;"moeda")*(Inputs!$G$5:$G$120&lt;&gt;"acoes")))*INDEX(Inputs!$K$5:$AJ$120,0,MATCH(N$2,Inputs!$K$4:$AJ$4,0)))+SUMPRODUCT((Inputs!$C$5:$C$120=$B16)*Inputs!$D$5:$D$120*(((Inputs!$G$5:$G$120="moeda")+(Inputs!$G$5:$G$120="acoes"))*Inputs!$B$1+((Inputs!$G$5:$G$120&lt;&gt;"moeda")*(Inputs!$G$5:$G$120&lt;&gt;"acoes")))*INDEX(Inputs!$K$5:$AJ$120,0,MATCH(N$2,Inputs!$K$4:$AJ$4,0)))+SUMPRODUCT((Inputs!$E$5:$E$120=$B16)*Inputs!$F$5:$F$120*(((Inputs!$G$5:$G$120="moeda")+(Inputs!$G$5:$G$120="acoes"))*Inputs!$B$1+((Inputs!$G$5:$G$120&lt;&gt;"moeda")*(Inputs!$G$5:$G$120&lt;&gt;"acoes")))*INDEX(Inputs!$K$5:$AJ$120,0,MATCH(N$2,Inputs!$K$4:$AJ$4,0)))))</f>
        <v>1134</v>
      </c>
      <c r="O16" s="267">
        <f>IF(ISNA(MATCH(O$2,Inputs!$K$4:$AJ$4,0)),NA(),IF(SUMPRODUCT((Inputs!$A$5:$A$120=$B16)*ISNUMBER(INDEX(Inputs!$K$5:$AJ$120,0,MATCH(O$2,Inputs!$K$4:$AJ$4,0))))+SUMPRODUCT((Inputs!$C$5:$C$120=$B16)*ISNUMBER(INDEX(Inputs!$K$5:$AJ$120,0,MATCH(O$2,Inputs!$K$4:$AJ$4,0))))+SUMPRODUCT((Inputs!$E$5:$E$120=$B16)*ISNUMBER(INDEX(Inputs!$K$5:$AJ$120,0,MATCH(O$2,Inputs!$K$4:$AJ$4,0))))=0,NA(),SUMPRODUCT((Inputs!$A$5:$A$120=$B16)*Inputs!$B$5:$B$120*(((Inputs!$G$5:$G$120="moeda")+(Inputs!$G$5:$G$120="acoes"))*Inputs!$B$1+((Inputs!$G$5:$G$120&lt;&gt;"moeda")*(Inputs!$G$5:$G$120&lt;&gt;"acoes")))*INDEX(Inputs!$K$5:$AJ$120,0,MATCH(O$2,Inputs!$K$4:$AJ$4,0)))+SUMPRODUCT((Inputs!$C$5:$C$120=$B16)*Inputs!$D$5:$D$120*(((Inputs!$G$5:$G$120="moeda")+(Inputs!$G$5:$G$120="acoes"))*Inputs!$B$1+((Inputs!$G$5:$G$120&lt;&gt;"moeda")*(Inputs!$G$5:$G$120&lt;&gt;"acoes")))*INDEX(Inputs!$K$5:$AJ$120,0,MATCH(O$2,Inputs!$K$4:$AJ$4,0)))+SUMPRODUCT((Inputs!$E$5:$E$120=$B16)*Inputs!$F$5:$F$120*(((Inputs!$G$5:$G$120="moeda")+(Inputs!$G$5:$G$120="acoes"))*Inputs!$B$1+((Inputs!$G$5:$G$120&lt;&gt;"moeda")*(Inputs!$G$5:$G$120&lt;&gt;"acoes")))*INDEX(Inputs!$K$5:$AJ$120,0,MATCH(O$2,Inputs!$K$4:$AJ$4,0)))))</f>
        <v>675</v>
      </c>
      <c r="P16" s="267">
        <f>IF(ISNA(MATCH(P$2,Inputs!$K$4:$AJ$4,0)),NA(),IF(SUMPRODUCT((Inputs!$A$5:$A$120=$B16)*ISNUMBER(INDEX(Inputs!$K$5:$AJ$120,0,MATCH(P$2,Inputs!$K$4:$AJ$4,0))))+SUMPRODUCT((Inputs!$C$5:$C$120=$B16)*ISNUMBER(INDEX(Inputs!$K$5:$AJ$120,0,MATCH(P$2,Inputs!$K$4:$AJ$4,0))))+SUMPRODUCT((Inputs!$E$5:$E$120=$B16)*ISNUMBER(INDEX(Inputs!$K$5:$AJ$120,0,MATCH(P$2,Inputs!$K$4:$AJ$4,0))))=0,NA(),SUMPRODUCT((Inputs!$A$5:$A$120=$B16)*Inputs!$B$5:$B$120*(((Inputs!$G$5:$G$120="moeda")+(Inputs!$G$5:$G$120="acoes"))*Inputs!$B$1+((Inputs!$G$5:$G$120&lt;&gt;"moeda")*(Inputs!$G$5:$G$120&lt;&gt;"acoes")))*INDEX(Inputs!$K$5:$AJ$120,0,MATCH(P$2,Inputs!$K$4:$AJ$4,0)))+SUMPRODUCT((Inputs!$C$5:$C$120=$B16)*Inputs!$D$5:$D$120*(((Inputs!$G$5:$G$120="moeda")+(Inputs!$G$5:$G$120="acoes"))*Inputs!$B$1+((Inputs!$G$5:$G$120&lt;&gt;"moeda")*(Inputs!$G$5:$G$120&lt;&gt;"acoes")))*INDEX(Inputs!$K$5:$AJ$120,0,MATCH(P$2,Inputs!$K$4:$AJ$4,0)))+SUMPRODUCT((Inputs!$E$5:$E$120=$B16)*Inputs!$F$5:$F$120*(((Inputs!$G$5:$G$120="moeda")+(Inputs!$G$5:$G$120="acoes"))*Inputs!$B$1+((Inputs!$G$5:$G$120&lt;&gt;"moeda")*(Inputs!$G$5:$G$120&lt;&gt;"acoes")))*INDEX(Inputs!$K$5:$AJ$120,0,MATCH(P$2,Inputs!$K$4:$AJ$4,0)))))</f>
        <v>792</v>
      </c>
      <c r="Q16" s="267">
        <f>IF(ISNA(MATCH(Q$2,Inputs!$K$4:$AJ$4,0)),NA(),IF(SUMPRODUCT((Inputs!$A$5:$A$120=$B16)*ISNUMBER(INDEX(Inputs!$K$5:$AJ$120,0,MATCH(Q$2,Inputs!$K$4:$AJ$4,0))))+SUMPRODUCT((Inputs!$C$5:$C$120=$B16)*ISNUMBER(INDEX(Inputs!$K$5:$AJ$120,0,MATCH(Q$2,Inputs!$K$4:$AJ$4,0))))+SUMPRODUCT((Inputs!$E$5:$E$120=$B16)*ISNUMBER(INDEX(Inputs!$K$5:$AJ$120,0,MATCH(Q$2,Inputs!$K$4:$AJ$4,0))))=0,NA(),SUMPRODUCT((Inputs!$A$5:$A$120=$B16)*Inputs!$B$5:$B$120*(((Inputs!$G$5:$G$120="moeda")+(Inputs!$G$5:$G$120="acoes"))*Inputs!$B$1+((Inputs!$G$5:$G$120&lt;&gt;"moeda")*(Inputs!$G$5:$G$120&lt;&gt;"acoes")))*INDEX(Inputs!$K$5:$AJ$120,0,MATCH(Q$2,Inputs!$K$4:$AJ$4,0)))+SUMPRODUCT((Inputs!$C$5:$C$120=$B16)*Inputs!$D$5:$D$120*(((Inputs!$G$5:$G$120="moeda")+(Inputs!$G$5:$G$120="acoes"))*Inputs!$B$1+((Inputs!$G$5:$G$120&lt;&gt;"moeda")*(Inputs!$G$5:$G$120&lt;&gt;"acoes")))*INDEX(Inputs!$K$5:$AJ$120,0,MATCH(Q$2,Inputs!$K$4:$AJ$4,0)))+SUMPRODUCT((Inputs!$E$5:$E$120=$B16)*Inputs!$F$5:$F$120*(((Inputs!$G$5:$G$120="moeda")+(Inputs!$G$5:$G$120="acoes"))*Inputs!$B$1+((Inputs!$G$5:$G$120&lt;&gt;"moeda")*(Inputs!$G$5:$G$120&lt;&gt;"acoes")))*INDEX(Inputs!$K$5:$AJ$120,0,MATCH(Q$2,Inputs!$K$4:$AJ$4,0)))))</f>
        <v>1209</v>
      </c>
      <c r="R16" s="268">
        <f>Q16</f>
        <v>1209</v>
      </c>
      <c r="S16" s="267">
        <f>IF(ISNA(MATCH(S$2,Inputs!$K$4:$AJ$4,0)),NA(),IF(SUMPRODUCT((Inputs!$A$5:$A$120=$B16)*ISNUMBER(INDEX(Inputs!$K$5:$AJ$120,0,MATCH(S$2,Inputs!$K$4:$AJ$4,0))))+SUMPRODUCT((Inputs!$C$5:$C$120=$B16)*ISNUMBER(INDEX(Inputs!$K$5:$AJ$120,0,MATCH(S$2,Inputs!$K$4:$AJ$4,0))))+SUMPRODUCT((Inputs!$E$5:$E$120=$B16)*ISNUMBER(INDEX(Inputs!$K$5:$AJ$120,0,MATCH(S$2,Inputs!$K$4:$AJ$4,0))))=0,NA(),SUMPRODUCT((Inputs!$A$5:$A$120=$B16)*Inputs!$B$5:$B$120*(((Inputs!$G$5:$G$120="moeda")+(Inputs!$G$5:$G$120="acoes"))*Inputs!$B$1+((Inputs!$G$5:$G$120&lt;&gt;"moeda")*(Inputs!$G$5:$G$120&lt;&gt;"acoes")))*INDEX(Inputs!$K$5:$AJ$120,0,MATCH(S$2,Inputs!$K$4:$AJ$4,0)))+SUMPRODUCT((Inputs!$C$5:$C$120=$B16)*Inputs!$D$5:$D$120*(((Inputs!$G$5:$G$120="moeda")+(Inputs!$G$5:$G$120="acoes"))*Inputs!$B$1+((Inputs!$G$5:$G$120&lt;&gt;"moeda")*(Inputs!$G$5:$G$120&lt;&gt;"acoes")))*INDEX(Inputs!$K$5:$AJ$120,0,MATCH(S$2,Inputs!$K$4:$AJ$4,0)))+SUMPRODUCT((Inputs!$E$5:$E$120=$B16)*Inputs!$F$5:$F$120*(((Inputs!$G$5:$G$120="moeda")+(Inputs!$G$5:$G$120="acoes"))*Inputs!$B$1+((Inputs!$G$5:$G$120&lt;&gt;"moeda")*(Inputs!$G$5:$G$120&lt;&gt;"acoes")))*INDEX(Inputs!$K$5:$AJ$120,0,MATCH(S$2,Inputs!$K$4:$AJ$4,0)))))</f>
        <v>1494</v>
      </c>
      <c r="T16" s="267">
        <f>IF(ISNA(MATCH(T$2,Inputs!$K$4:$AJ$4,0)),NA(),IF(SUMPRODUCT((Inputs!$A$5:$A$120=$B16)*ISNUMBER(INDEX(Inputs!$K$5:$AJ$120,0,MATCH(T$2,Inputs!$K$4:$AJ$4,0))))+SUMPRODUCT((Inputs!$C$5:$C$120=$B16)*ISNUMBER(INDEX(Inputs!$K$5:$AJ$120,0,MATCH(T$2,Inputs!$K$4:$AJ$4,0))))+SUMPRODUCT((Inputs!$E$5:$E$120=$B16)*ISNUMBER(INDEX(Inputs!$K$5:$AJ$120,0,MATCH(T$2,Inputs!$K$4:$AJ$4,0))))=0,NA(),SUMPRODUCT((Inputs!$A$5:$A$120=$B16)*Inputs!$B$5:$B$120*(((Inputs!$G$5:$G$120="moeda")+(Inputs!$G$5:$G$120="acoes"))*Inputs!$B$1+((Inputs!$G$5:$G$120&lt;&gt;"moeda")*(Inputs!$G$5:$G$120&lt;&gt;"acoes")))*INDEX(Inputs!$K$5:$AJ$120,0,MATCH(T$2,Inputs!$K$4:$AJ$4,0)))+SUMPRODUCT((Inputs!$C$5:$C$120=$B16)*Inputs!$D$5:$D$120*(((Inputs!$G$5:$G$120="moeda")+(Inputs!$G$5:$G$120="acoes"))*Inputs!$B$1+((Inputs!$G$5:$G$120&lt;&gt;"moeda")*(Inputs!$G$5:$G$120&lt;&gt;"acoes")))*INDEX(Inputs!$K$5:$AJ$120,0,MATCH(T$2,Inputs!$K$4:$AJ$4,0)))+SUMPRODUCT((Inputs!$E$5:$E$120=$B16)*Inputs!$F$5:$F$120*(((Inputs!$G$5:$G$120="moeda")+(Inputs!$G$5:$G$120="acoes"))*Inputs!$B$1+((Inputs!$G$5:$G$120&lt;&gt;"moeda")*(Inputs!$G$5:$G$120&lt;&gt;"acoes")))*INDEX(Inputs!$K$5:$AJ$120,0,MATCH(T$2,Inputs!$K$4:$AJ$4,0)))))</f>
        <v>1128</v>
      </c>
      <c r="U16" s="267">
        <f>IF(ISNA(MATCH(U$2,Inputs!$K$4:$AJ$4,0)),NA(),IF(SUMPRODUCT((Inputs!$A$5:$A$120=$B16)*ISNUMBER(INDEX(Inputs!$K$5:$AJ$120,0,MATCH(U$2,Inputs!$K$4:$AJ$4,0))))+SUMPRODUCT((Inputs!$C$5:$C$120=$B16)*ISNUMBER(INDEX(Inputs!$K$5:$AJ$120,0,MATCH(U$2,Inputs!$K$4:$AJ$4,0))))+SUMPRODUCT((Inputs!$E$5:$E$120=$B16)*ISNUMBER(INDEX(Inputs!$K$5:$AJ$120,0,MATCH(U$2,Inputs!$K$4:$AJ$4,0))))=0,NA(),SUMPRODUCT((Inputs!$A$5:$A$120=$B16)*Inputs!$B$5:$B$120*(((Inputs!$G$5:$G$120="moeda")+(Inputs!$G$5:$G$120="acoes"))*Inputs!$B$1+((Inputs!$G$5:$G$120&lt;&gt;"moeda")*(Inputs!$G$5:$G$120&lt;&gt;"acoes")))*INDEX(Inputs!$K$5:$AJ$120,0,MATCH(U$2,Inputs!$K$4:$AJ$4,0)))+SUMPRODUCT((Inputs!$C$5:$C$120=$B16)*Inputs!$D$5:$D$120*(((Inputs!$G$5:$G$120="moeda")+(Inputs!$G$5:$G$120="acoes"))*Inputs!$B$1+((Inputs!$G$5:$G$120&lt;&gt;"moeda")*(Inputs!$G$5:$G$120&lt;&gt;"acoes")))*INDEX(Inputs!$K$5:$AJ$120,0,MATCH(U$2,Inputs!$K$4:$AJ$4,0)))+SUMPRODUCT((Inputs!$E$5:$E$120=$B16)*Inputs!$F$5:$F$120*(((Inputs!$G$5:$G$120="moeda")+(Inputs!$G$5:$G$120="acoes"))*Inputs!$B$1+((Inputs!$G$5:$G$120&lt;&gt;"moeda")*(Inputs!$G$5:$G$120&lt;&gt;"acoes")))*INDEX(Inputs!$K$5:$AJ$120,0,MATCH(U$2,Inputs!$K$4:$AJ$4,0)))))</f>
        <v>979</v>
      </c>
      <c r="V16" s="267">
        <f>IF(ISNA(MATCH(V$2,Inputs!$K$4:$AJ$4,0)),NA(),IF(SUMPRODUCT((Inputs!$A$5:$A$120=$B16)*ISNUMBER(INDEX(Inputs!$K$5:$AJ$120,0,MATCH(V$2,Inputs!$K$4:$AJ$4,0))))+SUMPRODUCT((Inputs!$C$5:$C$120=$B16)*ISNUMBER(INDEX(Inputs!$K$5:$AJ$120,0,MATCH(V$2,Inputs!$K$4:$AJ$4,0))))+SUMPRODUCT((Inputs!$E$5:$E$120=$B16)*ISNUMBER(INDEX(Inputs!$K$5:$AJ$120,0,MATCH(V$2,Inputs!$K$4:$AJ$4,0))))=0,NA(),SUMPRODUCT((Inputs!$A$5:$A$120=$B16)*Inputs!$B$5:$B$120*(((Inputs!$G$5:$G$120="moeda")+(Inputs!$G$5:$G$120="acoes"))*Inputs!$B$1+((Inputs!$G$5:$G$120&lt;&gt;"moeda")*(Inputs!$G$5:$G$120&lt;&gt;"acoes")))*INDEX(Inputs!$K$5:$AJ$120,0,MATCH(V$2,Inputs!$K$4:$AJ$4,0)))+SUMPRODUCT((Inputs!$C$5:$C$120=$B16)*Inputs!$D$5:$D$120*(((Inputs!$G$5:$G$120="moeda")+(Inputs!$G$5:$G$120="acoes"))*Inputs!$B$1+((Inputs!$G$5:$G$120&lt;&gt;"moeda")*(Inputs!$G$5:$G$120&lt;&gt;"acoes")))*INDEX(Inputs!$K$5:$AJ$120,0,MATCH(V$2,Inputs!$K$4:$AJ$4,0)))+SUMPRODUCT((Inputs!$E$5:$E$120=$B16)*Inputs!$F$5:$F$120*(((Inputs!$G$5:$G$120="moeda")+(Inputs!$G$5:$G$120="acoes"))*Inputs!$B$1+((Inputs!$G$5:$G$120&lt;&gt;"moeda")*(Inputs!$G$5:$G$120&lt;&gt;"acoes")))*INDEX(Inputs!$K$5:$AJ$120,0,MATCH(V$2,Inputs!$K$4:$AJ$4,0)))))</f>
        <v>578</v>
      </c>
      <c r="W16" s="268">
        <f>V16</f>
        <v>578</v>
      </c>
      <c r="X16" s="267">
        <f>IF(ISNA(MATCH(X$2,Inputs!$K$4:$AJ$4,0)),NA(),IF(SUMPRODUCT((Inputs!$A$5:$A$120=$B16)*ISNUMBER(INDEX(Inputs!$K$5:$AJ$120,0,MATCH(X$2,Inputs!$K$4:$AJ$4,0))))+SUMPRODUCT((Inputs!$C$5:$C$120=$B16)*ISNUMBER(INDEX(Inputs!$K$5:$AJ$120,0,MATCH(X$2,Inputs!$K$4:$AJ$4,0))))+SUMPRODUCT((Inputs!$E$5:$E$120=$B16)*ISNUMBER(INDEX(Inputs!$K$5:$AJ$120,0,MATCH(X$2,Inputs!$K$4:$AJ$4,0))))=0,NA(),SUMPRODUCT((Inputs!$A$5:$A$120=$B16)*Inputs!$B$5:$B$120*(((Inputs!$G$5:$G$120="moeda")+(Inputs!$G$5:$G$120="acoes"))*Inputs!$B$1+((Inputs!$G$5:$G$120&lt;&gt;"moeda")*(Inputs!$G$5:$G$120&lt;&gt;"acoes")))*INDEX(Inputs!$K$5:$AJ$120,0,MATCH(X$2,Inputs!$K$4:$AJ$4,0)))+SUMPRODUCT((Inputs!$C$5:$C$120=$B16)*Inputs!$D$5:$D$120*(((Inputs!$G$5:$G$120="moeda")+(Inputs!$G$5:$G$120="acoes"))*Inputs!$B$1+((Inputs!$G$5:$G$120&lt;&gt;"moeda")*(Inputs!$G$5:$G$120&lt;&gt;"acoes")))*INDEX(Inputs!$K$5:$AJ$120,0,MATCH(X$2,Inputs!$K$4:$AJ$4,0)))+SUMPRODUCT((Inputs!$E$5:$E$120=$B16)*Inputs!$F$5:$F$120*(((Inputs!$G$5:$G$120="moeda")+(Inputs!$G$5:$G$120="acoes"))*Inputs!$B$1+((Inputs!$G$5:$G$120&lt;&gt;"moeda")*(Inputs!$G$5:$G$120&lt;&gt;"acoes")))*INDEX(Inputs!$K$5:$AJ$120,0,MATCH(X$2,Inputs!$K$4:$AJ$4,0)))))</f>
        <v>743</v>
      </c>
      <c r="Y16" s="267">
        <f>IF(ISNA(MATCH(Y$2,Inputs!$K$4:$AJ$4,0)),NA(),IF(SUMPRODUCT((Inputs!$A$5:$A$120=$B16)*ISNUMBER(INDEX(Inputs!$K$5:$AJ$120,0,MATCH(Y$2,Inputs!$K$4:$AJ$4,0))))+SUMPRODUCT((Inputs!$C$5:$C$120=$B16)*ISNUMBER(INDEX(Inputs!$K$5:$AJ$120,0,MATCH(Y$2,Inputs!$K$4:$AJ$4,0))))+SUMPRODUCT((Inputs!$E$5:$E$120=$B16)*ISNUMBER(INDEX(Inputs!$K$5:$AJ$120,0,MATCH(Y$2,Inputs!$K$4:$AJ$4,0))))=0,NA(),SUMPRODUCT((Inputs!$A$5:$A$120=$B16)*Inputs!$B$5:$B$120*(((Inputs!$G$5:$G$120="moeda")+(Inputs!$G$5:$G$120="acoes"))*Inputs!$B$1+((Inputs!$G$5:$G$120&lt;&gt;"moeda")*(Inputs!$G$5:$G$120&lt;&gt;"acoes")))*INDEX(Inputs!$K$5:$AJ$120,0,MATCH(Y$2,Inputs!$K$4:$AJ$4,0)))+SUMPRODUCT((Inputs!$C$5:$C$120=$B16)*Inputs!$D$5:$D$120*(((Inputs!$G$5:$G$120="moeda")+(Inputs!$G$5:$G$120="acoes"))*Inputs!$B$1+((Inputs!$G$5:$G$120&lt;&gt;"moeda")*(Inputs!$G$5:$G$120&lt;&gt;"acoes")))*INDEX(Inputs!$K$5:$AJ$120,0,MATCH(Y$2,Inputs!$K$4:$AJ$4,0)))+SUMPRODUCT((Inputs!$E$5:$E$120=$B16)*Inputs!$F$5:$F$120*(((Inputs!$G$5:$G$120="moeda")+(Inputs!$G$5:$G$120="acoes"))*Inputs!$B$1+((Inputs!$G$5:$G$120&lt;&gt;"moeda")*(Inputs!$G$5:$G$120&lt;&gt;"acoes")))*INDEX(Inputs!$K$5:$AJ$120,0,MATCH(Y$2,Inputs!$K$4:$AJ$4,0)))))</f>
        <v>941</v>
      </c>
      <c r="Z16" s="267">
        <f>IF(ISNA(MATCH(Z$2,Inputs!$K$4:$AJ$4,0)),NA(),IF(SUMPRODUCT((Inputs!$A$5:$A$120=$B16)*ISNUMBER(INDEX(Inputs!$K$5:$AJ$120,0,MATCH(Z$2,Inputs!$K$4:$AJ$4,0))))+SUMPRODUCT((Inputs!$C$5:$C$120=$B16)*ISNUMBER(INDEX(Inputs!$K$5:$AJ$120,0,MATCH(Z$2,Inputs!$K$4:$AJ$4,0))))+SUMPRODUCT((Inputs!$E$5:$E$120=$B16)*ISNUMBER(INDEX(Inputs!$K$5:$AJ$120,0,MATCH(Z$2,Inputs!$K$4:$AJ$4,0))))=0,NA(),SUMPRODUCT((Inputs!$A$5:$A$120=$B16)*Inputs!$B$5:$B$120*(((Inputs!$G$5:$G$120="moeda")+(Inputs!$G$5:$G$120="acoes"))*Inputs!$B$1+((Inputs!$G$5:$G$120&lt;&gt;"moeda")*(Inputs!$G$5:$G$120&lt;&gt;"acoes")))*INDEX(Inputs!$K$5:$AJ$120,0,MATCH(Z$2,Inputs!$K$4:$AJ$4,0)))+SUMPRODUCT((Inputs!$C$5:$C$120=$B16)*Inputs!$D$5:$D$120*(((Inputs!$G$5:$G$120="moeda")+(Inputs!$G$5:$G$120="acoes"))*Inputs!$B$1+((Inputs!$G$5:$G$120&lt;&gt;"moeda")*(Inputs!$G$5:$G$120&lt;&gt;"acoes")))*INDEX(Inputs!$K$5:$AJ$120,0,MATCH(Z$2,Inputs!$K$4:$AJ$4,0)))+SUMPRODUCT((Inputs!$E$5:$E$120=$B16)*Inputs!$F$5:$F$120*(((Inputs!$G$5:$G$120="moeda")+(Inputs!$G$5:$G$120="acoes"))*Inputs!$B$1+((Inputs!$G$5:$G$120&lt;&gt;"moeda")*(Inputs!$G$5:$G$120&lt;&gt;"acoes")))*INDEX(Inputs!$K$5:$AJ$120,0,MATCH(Z$2,Inputs!$K$4:$AJ$4,0)))))</f>
        <v>916</v>
      </c>
      <c r="AA16" s="267">
        <f>IF(ISNA(MATCH(AA$2,Inputs!$K$4:$AJ$4,0)),NA(),IF(SUMPRODUCT((Inputs!$A$5:$A$120=$B16)*ISNUMBER(INDEX(Inputs!$K$5:$AJ$120,0,MATCH(AA$2,Inputs!$K$4:$AJ$4,0))))+SUMPRODUCT((Inputs!$C$5:$C$120=$B16)*ISNUMBER(INDEX(Inputs!$K$5:$AJ$120,0,MATCH(AA$2,Inputs!$K$4:$AJ$4,0))))+SUMPRODUCT((Inputs!$E$5:$E$120=$B16)*ISNUMBER(INDEX(Inputs!$K$5:$AJ$120,0,MATCH(AA$2,Inputs!$K$4:$AJ$4,0))))=0,NA(),SUMPRODUCT((Inputs!$A$5:$A$120=$B16)*Inputs!$B$5:$B$120*(((Inputs!$G$5:$G$120="moeda")+(Inputs!$G$5:$G$120="acoes"))*Inputs!$B$1+((Inputs!$G$5:$G$120&lt;&gt;"moeda")*(Inputs!$G$5:$G$120&lt;&gt;"acoes")))*INDEX(Inputs!$K$5:$AJ$120,0,MATCH(AA$2,Inputs!$K$4:$AJ$4,0)))+SUMPRODUCT((Inputs!$C$5:$C$120=$B16)*Inputs!$D$5:$D$120*(((Inputs!$G$5:$G$120="moeda")+(Inputs!$G$5:$G$120="acoes"))*Inputs!$B$1+((Inputs!$G$5:$G$120&lt;&gt;"moeda")*(Inputs!$G$5:$G$120&lt;&gt;"acoes")))*INDEX(Inputs!$K$5:$AJ$120,0,MATCH(AA$2,Inputs!$K$4:$AJ$4,0)))+SUMPRODUCT((Inputs!$E$5:$E$120=$B16)*Inputs!$F$5:$F$120*(((Inputs!$G$5:$G$120="moeda")+(Inputs!$G$5:$G$120="acoes"))*Inputs!$B$1+((Inputs!$G$5:$G$120&lt;&gt;"moeda")*(Inputs!$G$5:$G$120&lt;&gt;"acoes")))*INDEX(Inputs!$K$5:$AJ$120,0,MATCH(AA$2,Inputs!$K$4:$AJ$4,0)))))</f>
        <v>977</v>
      </c>
      <c r="AB16" s="268">
        <f>AA16</f>
        <v>977</v>
      </c>
      <c r="AC16" s="267">
        <f>IF(ISNA(MATCH(AC$2,Inputs!$K$4:$AJ$4,0)),NA(),IF(SUMPRODUCT((Inputs!$A$5:$A$120=$B16)*ISNUMBER(INDEX(Inputs!$K$5:$AJ$120,0,MATCH(AC$2,Inputs!$K$4:$AJ$4,0))))+SUMPRODUCT((Inputs!$C$5:$C$120=$B16)*ISNUMBER(INDEX(Inputs!$K$5:$AJ$120,0,MATCH(AC$2,Inputs!$K$4:$AJ$4,0))))+SUMPRODUCT((Inputs!$E$5:$E$120=$B16)*ISNUMBER(INDEX(Inputs!$K$5:$AJ$120,0,MATCH(AC$2,Inputs!$K$4:$AJ$4,0))))=0,NA(),SUMPRODUCT((Inputs!$A$5:$A$120=$B16)*Inputs!$B$5:$B$120*(((Inputs!$G$5:$G$120="moeda")+(Inputs!$G$5:$G$120="acoes"))*Inputs!$B$1+((Inputs!$G$5:$G$120&lt;&gt;"moeda")*(Inputs!$G$5:$G$120&lt;&gt;"acoes")))*INDEX(Inputs!$K$5:$AJ$120,0,MATCH(AC$2,Inputs!$K$4:$AJ$4,0)))+SUMPRODUCT((Inputs!$C$5:$C$120=$B16)*Inputs!$D$5:$D$120*(((Inputs!$G$5:$G$120="moeda")+(Inputs!$G$5:$G$120="acoes"))*Inputs!$B$1+((Inputs!$G$5:$G$120&lt;&gt;"moeda")*(Inputs!$G$5:$G$120&lt;&gt;"acoes")))*INDEX(Inputs!$K$5:$AJ$120,0,MATCH(AC$2,Inputs!$K$4:$AJ$4,0)))+SUMPRODUCT((Inputs!$E$5:$E$120=$B16)*Inputs!$F$5:$F$120*(((Inputs!$G$5:$G$120="moeda")+(Inputs!$G$5:$G$120="acoes"))*Inputs!$B$1+((Inputs!$G$5:$G$120&lt;&gt;"moeda")*(Inputs!$G$5:$G$120&lt;&gt;"acoes")))*INDEX(Inputs!$K$5:$AJ$120,0,MATCH(AC$2,Inputs!$K$4:$AJ$4,0)))))</f>
        <v>681</v>
      </c>
      <c r="AD16" s="267">
        <f>IF(ISNA(MATCH(AD$2,Inputs!$K$4:$AJ$4,0)),NA(),IF(SUMPRODUCT((Inputs!$A$5:$A$120=$B16)*ISNUMBER(INDEX(Inputs!$K$5:$AJ$120,0,MATCH(AD$2,Inputs!$K$4:$AJ$4,0))))+SUMPRODUCT((Inputs!$C$5:$C$120=$B16)*ISNUMBER(INDEX(Inputs!$K$5:$AJ$120,0,MATCH(AD$2,Inputs!$K$4:$AJ$4,0))))+SUMPRODUCT((Inputs!$E$5:$E$120=$B16)*ISNUMBER(INDEX(Inputs!$K$5:$AJ$120,0,MATCH(AD$2,Inputs!$K$4:$AJ$4,0))))=0,NA(),SUMPRODUCT((Inputs!$A$5:$A$120=$B16)*Inputs!$B$5:$B$120*(((Inputs!$G$5:$G$120="moeda")+(Inputs!$G$5:$G$120="acoes"))*Inputs!$B$1+((Inputs!$G$5:$G$120&lt;&gt;"moeda")*(Inputs!$G$5:$G$120&lt;&gt;"acoes")))*INDEX(Inputs!$K$5:$AJ$120,0,MATCH(AD$2,Inputs!$K$4:$AJ$4,0)))+SUMPRODUCT((Inputs!$C$5:$C$120=$B16)*Inputs!$D$5:$D$120*(((Inputs!$G$5:$G$120="moeda")+(Inputs!$G$5:$G$120="acoes"))*Inputs!$B$1+((Inputs!$G$5:$G$120&lt;&gt;"moeda")*(Inputs!$G$5:$G$120&lt;&gt;"acoes")))*INDEX(Inputs!$K$5:$AJ$120,0,MATCH(AD$2,Inputs!$K$4:$AJ$4,0)))+SUMPRODUCT((Inputs!$E$5:$E$120=$B16)*Inputs!$F$5:$F$120*(((Inputs!$G$5:$G$120="moeda")+(Inputs!$G$5:$G$120="acoes"))*Inputs!$B$1+((Inputs!$G$5:$G$120&lt;&gt;"moeda")*(Inputs!$G$5:$G$120&lt;&gt;"acoes")))*INDEX(Inputs!$K$5:$AJ$120,0,MATCH(AD$2,Inputs!$K$4:$AJ$4,0)))))</f>
        <v>716</v>
      </c>
      <c r="AE16" s="267" t="e">
        <f>IF(ISNA(MATCH(AE$2,Inputs!$K$4:$AJ$4,0)),NA(),IF(SUMPRODUCT((Inputs!$A$5:$A$120=$B16)*ISNUMBER(INDEX(Inputs!$K$5:$AJ$120,0,MATCH(AE$2,Inputs!$K$4:$AJ$4,0))))+SUMPRODUCT((Inputs!$C$5:$C$120=$B16)*ISNUMBER(INDEX(Inputs!$K$5:$AJ$120,0,MATCH(AE$2,Inputs!$K$4:$AJ$4,0))))+SUMPRODUCT((Inputs!$E$5:$E$120=$B16)*ISNUMBER(INDEX(Inputs!$K$5:$AJ$120,0,MATCH(AE$2,Inputs!$K$4:$AJ$4,0))))=0,NA(),SUMPRODUCT((Inputs!$A$5:$A$120=$B16)*Inputs!$B$5:$B$120*(((Inputs!$G$5:$G$120="moeda")+(Inputs!$G$5:$G$120="acoes"))*Inputs!$B$1+((Inputs!$G$5:$G$120&lt;&gt;"moeda")*(Inputs!$G$5:$G$120&lt;&gt;"acoes")))*INDEX(Inputs!$K$5:$AJ$120,0,MATCH(AE$2,Inputs!$K$4:$AJ$4,0)))+SUMPRODUCT((Inputs!$C$5:$C$120=$B16)*Inputs!$D$5:$D$120*(((Inputs!$G$5:$G$120="moeda")+(Inputs!$G$5:$G$120="acoes"))*Inputs!$B$1+((Inputs!$G$5:$G$120&lt;&gt;"moeda")*(Inputs!$G$5:$G$120&lt;&gt;"acoes")))*INDEX(Inputs!$K$5:$AJ$120,0,MATCH(AE$2,Inputs!$K$4:$AJ$4,0)))+SUMPRODUCT((Inputs!$E$5:$E$120=$B16)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6" s="267" t="e">
        <f>IF(ISNA(MATCH(AF$2,Inputs!$K$4:$AJ$4,0)),NA(),IF(SUMPRODUCT((Inputs!$A$5:$A$120=$B16)*ISNUMBER(INDEX(Inputs!$K$5:$AJ$120,0,MATCH(AF$2,Inputs!$K$4:$AJ$4,0))))+SUMPRODUCT((Inputs!$C$5:$C$120=$B16)*ISNUMBER(INDEX(Inputs!$K$5:$AJ$120,0,MATCH(AF$2,Inputs!$K$4:$AJ$4,0))))+SUMPRODUCT((Inputs!$E$5:$E$120=$B16)*ISNUMBER(INDEX(Inputs!$K$5:$AJ$120,0,MATCH(AF$2,Inputs!$K$4:$AJ$4,0))))=0,NA(),SUMPRODUCT((Inputs!$A$5:$A$120=$B16)*Inputs!$B$5:$B$120*(((Inputs!$G$5:$G$120="moeda")+(Inputs!$G$5:$G$120="acoes"))*Inputs!$B$1+((Inputs!$G$5:$G$120&lt;&gt;"moeda")*(Inputs!$G$5:$G$120&lt;&gt;"acoes")))*INDEX(Inputs!$K$5:$AJ$120,0,MATCH(AF$2,Inputs!$K$4:$AJ$4,0)))+SUMPRODUCT((Inputs!$C$5:$C$120=$B16)*Inputs!$D$5:$D$120*(((Inputs!$G$5:$G$120="moeda")+(Inputs!$G$5:$G$120="acoes"))*Inputs!$B$1+((Inputs!$G$5:$G$120&lt;&gt;"moeda")*(Inputs!$G$5:$G$120&lt;&gt;"acoes")))*INDEX(Inputs!$K$5:$AJ$120,0,MATCH(AF$2,Inputs!$K$4:$AJ$4,0)))+SUMPRODUCT((Inputs!$E$5:$E$120=$B16)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6" s="268" t="e">
        <f>AF16</f>
        <v>#N/A</v>
      </c>
      <c r="AH16" s="267">
        <f>IF(ISNA(MATCH(AH$2,Inputs!$K$4:$AJ$4,0)),NA(),IF(SUMPRODUCT((Inputs!$A$5:$A$120=$B16)*ISNUMBER(INDEX(Inputs!$K$5:$AJ$120,0,MATCH(AH$2,Inputs!$K$4:$AJ$4,0))))+SUMPRODUCT((Inputs!$C$5:$C$120=$B16)*ISNUMBER(INDEX(Inputs!$K$5:$AJ$120,0,MATCH(AH$2,Inputs!$K$4:$AJ$4,0))))+SUMPRODUCT((Inputs!$E$5:$E$120=$B16)*ISNUMBER(INDEX(Inputs!$K$5:$AJ$120,0,MATCH(AH$2,Inputs!$K$4:$AJ$4,0))))=0,NA(),SUMPRODUCT((Inputs!$A$5:$A$120=$B16)*Inputs!$B$5:$B$120*(((Inputs!$G$5:$G$120="moeda")+(Inputs!$G$5:$G$120="acoes"))*Inputs!$B$1+((Inputs!$G$5:$G$120&lt;&gt;"moeda")*(Inputs!$G$5:$G$120&lt;&gt;"acoes")))*INDEX(Inputs!$K$5:$AJ$120,0,MATCH(AH$2,Inputs!$K$4:$AJ$4,0)))+SUMPRODUCT((Inputs!$C$5:$C$120=$B16)*Inputs!$D$5:$D$120*(((Inputs!$G$5:$G$120="moeda")+(Inputs!$G$5:$G$120="acoes"))*Inputs!$B$1+((Inputs!$G$5:$G$120&lt;&gt;"moeda")*(Inputs!$G$5:$G$120&lt;&gt;"acoes")))*INDEX(Inputs!$K$5:$AJ$120,0,MATCH(AH$2,Inputs!$K$4:$AJ$4,0)))+SUMPRODUCT((Inputs!$E$5:$E$120=$B16)*Inputs!$F$5:$F$120*(((Inputs!$G$5:$G$120="moeda")+(Inputs!$G$5:$G$120="acoes"))*Inputs!$B$1+((Inputs!$G$5:$G$120&lt;&gt;"moeda")*(Inputs!$G$5:$G$120&lt;&gt;"acoes")))*INDEX(Inputs!$K$5:$AJ$120,0,MATCH(AH$2,Inputs!$K$4:$AJ$4,0)))))</f>
        <v>515</v>
      </c>
      <c r="AI16" s="267">
        <f>IF(ISNA(MATCH(AI$2,Inputs!$K$4:$AJ$4,0)),NA(),IF(SUMPRODUCT((Inputs!$A$5:$A$120=$B16)*ISNUMBER(INDEX(Inputs!$K$5:$AJ$120,0,MATCH(AI$2,Inputs!$K$4:$AJ$4,0))))+SUMPRODUCT((Inputs!$C$5:$C$120=$B16)*ISNUMBER(INDEX(Inputs!$K$5:$AJ$120,0,MATCH(AI$2,Inputs!$K$4:$AJ$4,0))))+SUMPRODUCT((Inputs!$E$5:$E$120=$B16)*ISNUMBER(INDEX(Inputs!$K$5:$AJ$120,0,MATCH(AI$2,Inputs!$K$4:$AJ$4,0))))=0,NA(),SUMPRODUCT((Inputs!$A$5:$A$120=$B16)*Inputs!$B$5:$B$120*(((Inputs!$G$5:$G$120="moeda")+(Inputs!$G$5:$G$120="acoes"))*Inputs!$B$1+((Inputs!$G$5:$G$120&lt;&gt;"moeda")*(Inputs!$G$5:$G$120&lt;&gt;"acoes")))*INDEX(Inputs!$K$5:$AJ$120,0,MATCH(AI$2,Inputs!$K$4:$AJ$4,0)))+SUMPRODUCT((Inputs!$C$5:$C$120=$B16)*Inputs!$D$5:$D$120*(((Inputs!$G$5:$G$120="moeda")+(Inputs!$G$5:$G$120="acoes"))*Inputs!$B$1+((Inputs!$G$5:$G$120&lt;&gt;"moeda")*(Inputs!$G$5:$G$120&lt;&gt;"acoes")))*INDEX(Inputs!$K$5:$AJ$120,0,MATCH(AI$2,Inputs!$K$4:$AJ$4,0)))+SUMPRODUCT((Inputs!$E$5:$E$120=$B16)*Inputs!$F$5:$F$120*(((Inputs!$G$5:$G$120="moeda")+(Inputs!$G$5:$G$120="acoes"))*Inputs!$B$1+((Inputs!$G$5:$G$120&lt;&gt;"moeda")*(Inputs!$G$5:$G$120&lt;&gt;"acoes")))*INDEX(Inputs!$K$5:$AJ$120,0,MATCH(AI$2,Inputs!$K$4:$AJ$4,0)))))</f>
        <v>717</v>
      </c>
      <c r="AJ16" s="267">
        <f>IF(ISNA(MATCH(AJ$2,Inputs!$K$4:$AJ$4,0)),NA(),IF(SUMPRODUCT((Inputs!$A$5:$A$120=$B16)*ISNUMBER(INDEX(Inputs!$K$5:$AJ$120,0,MATCH(AJ$2,Inputs!$K$4:$AJ$4,0))))+SUMPRODUCT((Inputs!$C$5:$C$120=$B16)*ISNUMBER(INDEX(Inputs!$K$5:$AJ$120,0,MATCH(AJ$2,Inputs!$K$4:$AJ$4,0))))+SUMPRODUCT((Inputs!$E$5:$E$120=$B16)*ISNUMBER(INDEX(Inputs!$K$5:$AJ$120,0,MATCH(AJ$2,Inputs!$K$4:$AJ$4,0))))=0,NA(),SUMPRODUCT((Inputs!$A$5:$A$120=$B16)*Inputs!$B$5:$B$120*(((Inputs!$G$5:$G$120="moeda")+(Inputs!$G$5:$G$120="acoes"))*Inputs!$B$1+((Inputs!$G$5:$G$120&lt;&gt;"moeda")*(Inputs!$G$5:$G$120&lt;&gt;"acoes")))*INDEX(Inputs!$K$5:$AJ$120,0,MATCH(AJ$2,Inputs!$K$4:$AJ$4,0)))+SUMPRODUCT((Inputs!$C$5:$C$120=$B16)*Inputs!$D$5:$D$120*(((Inputs!$G$5:$G$120="moeda")+(Inputs!$G$5:$G$120="acoes"))*Inputs!$B$1+((Inputs!$G$5:$G$120&lt;&gt;"moeda")*(Inputs!$G$5:$G$120&lt;&gt;"acoes")))*INDEX(Inputs!$K$5:$AJ$120,0,MATCH(AJ$2,Inputs!$K$4:$AJ$4,0)))+SUMPRODUCT((Inputs!$E$5:$E$120=$B16)*Inputs!$F$5:$F$120*(((Inputs!$G$5:$G$120="moeda")+(Inputs!$G$5:$G$120="acoes"))*Inputs!$B$1+((Inputs!$G$5:$G$120&lt;&gt;"moeda")*(Inputs!$G$5:$G$120&lt;&gt;"acoes")))*INDEX(Inputs!$K$5:$AJ$120,0,MATCH(AJ$2,Inputs!$K$4:$AJ$4,0)))))</f>
        <v>893</v>
      </c>
      <c r="AK16" s="267">
        <f>IF(ISNA(MATCH(AK$2,Inputs!$K$4:$AJ$4,0)),NA(),IF(SUMPRODUCT((Inputs!$A$5:$A$120=$B16)*ISNUMBER(INDEX(Inputs!$K$5:$AJ$120,0,MATCH(AK$2,Inputs!$K$4:$AJ$4,0))))+SUMPRODUCT((Inputs!$C$5:$C$120=$B16)*ISNUMBER(INDEX(Inputs!$K$5:$AJ$120,0,MATCH(AK$2,Inputs!$K$4:$AJ$4,0))))+SUMPRODUCT((Inputs!$E$5:$E$120=$B16)*ISNUMBER(INDEX(Inputs!$K$5:$AJ$120,0,MATCH(AK$2,Inputs!$K$4:$AJ$4,0))))=0,NA(),SUMPRODUCT((Inputs!$A$5:$A$120=$B16)*Inputs!$B$5:$B$120*(((Inputs!$G$5:$G$120="moeda")+(Inputs!$G$5:$G$120="acoes"))*Inputs!$B$1+((Inputs!$G$5:$G$120&lt;&gt;"moeda")*(Inputs!$G$5:$G$120&lt;&gt;"acoes")))*INDEX(Inputs!$K$5:$AJ$120,0,MATCH(AK$2,Inputs!$K$4:$AJ$4,0)))+SUMPRODUCT((Inputs!$C$5:$C$120=$B16)*Inputs!$D$5:$D$120*(((Inputs!$G$5:$G$120="moeda")+(Inputs!$G$5:$G$120="acoes"))*Inputs!$B$1+((Inputs!$G$5:$G$120&lt;&gt;"moeda")*(Inputs!$G$5:$G$120&lt;&gt;"acoes")))*INDEX(Inputs!$K$5:$AJ$120,0,MATCH(AK$2,Inputs!$K$4:$AJ$4,0)))+SUMPRODUCT((Inputs!$E$5:$E$120=$B16)*Inputs!$F$5:$F$120*(((Inputs!$G$5:$G$120="moeda")+(Inputs!$G$5:$G$120="acoes"))*Inputs!$B$1+((Inputs!$G$5:$G$120&lt;&gt;"moeda")*(Inputs!$G$5:$G$120&lt;&gt;"acoes")))*INDEX(Inputs!$K$5:$AJ$120,0,MATCH(AK$2,Inputs!$K$4:$AJ$4,0)))))</f>
        <v>892</v>
      </c>
      <c r="AL16" s="268">
        <f>AK16</f>
        <v>892</v>
      </c>
    </row>
    <row r="17" ht="12.75" customHeight="1" s="255">
      <c r="B17" s="265" t="n">
        <v>13</v>
      </c>
      <c r="C17" s="270" t="inlineStr">
        <is>
          <t>Inventories</t>
        </is>
      </c>
      <c r="D17" s="267">
        <f>IF(ISNA(MATCH(D$2,Inputs!$K$4:$AJ$4,0)),NA(),IF(SUMPRODUCT((Inputs!$A$5:$A$120=$B17)*ISNUMBER(INDEX(Inputs!$K$5:$AJ$120,0,MATCH(D$2,Inputs!$K$4:$AJ$4,0))))+SUMPRODUCT((Inputs!$C$5:$C$120=$B17)*ISNUMBER(INDEX(Inputs!$K$5:$AJ$120,0,MATCH(D$2,Inputs!$K$4:$AJ$4,0))))+SUMPRODUCT((Inputs!$E$5:$E$120=$B17)*ISNUMBER(INDEX(Inputs!$K$5:$AJ$120,0,MATCH(D$2,Inputs!$K$4:$AJ$4,0))))=0,NA(),SUMPRODUCT((Inputs!$A$5:$A$120=$B17)*Inputs!$B$5:$B$120*(((Inputs!$G$5:$G$120="moeda")+(Inputs!$G$5:$G$120="acoes"))*Inputs!$B$1+((Inputs!$G$5:$G$120&lt;&gt;"moeda")*(Inputs!$G$5:$G$120&lt;&gt;"acoes")))*INDEX(Inputs!$K$5:$AJ$120,0,MATCH(D$2,Inputs!$K$4:$AJ$4,0)))+SUMPRODUCT((Inputs!$C$5:$C$120=$B17)*Inputs!$D$5:$D$120*(((Inputs!$G$5:$G$120="moeda")+(Inputs!$G$5:$G$120="acoes"))*Inputs!$B$1+((Inputs!$G$5:$G$120&lt;&gt;"moeda")*(Inputs!$G$5:$G$120&lt;&gt;"acoes")))*INDEX(Inputs!$K$5:$AJ$120,0,MATCH(D$2,Inputs!$K$4:$AJ$4,0)))+SUMPRODUCT((Inputs!$E$5:$E$120=$B17)*Inputs!$F$5:$F$120*(((Inputs!$G$5:$G$120="moeda")+(Inputs!$G$5:$G$120="acoes"))*Inputs!$B$1+((Inputs!$G$5:$G$120&lt;&gt;"moeda")*(Inputs!$G$5:$G$120&lt;&gt;"acoes")))*INDEX(Inputs!$K$5:$AJ$120,0,MATCH(D$2,Inputs!$K$4:$AJ$4,0)))))</f>
        <v>0</v>
      </c>
      <c r="E17" s="267">
        <f>IF(ISNA(MATCH(E$2,Inputs!$K$4:$AJ$4,0)),NA(),IF(SUMPRODUCT((Inputs!$A$5:$A$120=$B17)*ISNUMBER(INDEX(Inputs!$K$5:$AJ$120,0,MATCH(E$2,Inputs!$K$4:$AJ$4,0))))+SUMPRODUCT((Inputs!$C$5:$C$120=$B17)*ISNUMBER(INDEX(Inputs!$K$5:$AJ$120,0,MATCH(E$2,Inputs!$K$4:$AJ$4,0))))+SUMPRODUCT((Inputs!$E$5:$E$120=$B17)*ISNUMBER(INDEX(Inputs!$K$5:$AJ$120,0,MATCH(E$2,Inputs!$K$4:$AJ$4,0))))=0,NA(),SUMPRODUCT((Inputs!$A$5:$A$120=$B17)*Inputs!$B$5:$B$120*(((Inputs!$G$5:$G$120="moeda")+(Inputs!$G$5:$G$120="acoes"))*Inputs!$B$1+((Inputs!$G$5:$G$120&lt;&gt;"moeda")*(Inputs!$G$5:$G$120&lt;&gt;"acoes")))*INDEX(Inputs!$K$5:$AJ$120,0,MATCH(E$2,Inputs!$K$4:$AJ$4,0)))+SUMPRODUCT((Inputs!$C$5:$C$120=$B17)*Inputs!$D$5:$D$120*(((Inputs!$G$5:$G$120="moeda")+(Inputs!$G$5:$G$120="acoes"))*Inputs!$B$1+((Inputs!$G$5:$G$120&lt;&gt;"moeda")*(Inputs!$G$5:$G$120&lt;&gt;"acoes")))*INDEX(Inputs!$K$5:$AJ$120,0,MATCH(E$2,Inputs!$K$4:$AJ$4,0)))+SUMPRODUCT((Inputs!$E$5:$E$120=$B17)*Inputs!$F$5:$F$120*(((Inputs!$G$5:$G$120="moeda")+(Inputs!$G$5:$G$120="acoes"))*Inputs!$B$1+((Inputs!$G$5:$G$120&lt;&gt;"moeda")*(Inputs!$G$5:$G$120&lt;&gt;"acoes")))*INDEX(Inputs!$K$5:$AJ$120,0,MATCH(E$2,Inputs!$K$4:$AJ$4,0)))))</f>
        <v>0</v>
      </c>
      <c r="F17" s="267">
        <f>IF(ISNA(MATCH(F$2,Inputs!$K$4:$AJ$4,0)),NA(),IF(SUMPRODUCT((Inputs!$A$5:$A$120=$B17)*ISNUMBER(INDEX(Inputs!$K$5:$AJ$120,0,MATCH(F$2,Inputs!$K$4:$AJ$4,0))))+SUMPRODUCT((Inputs!$C$5:$C$120=$B17)*ISNUMBER(INDEX(Inputs!$K$5:$AJ$120,0,MATCH(F$2,Inputs!$K$4:$AJ$4,0))))+SUMPRODUCT((Inputs!$E$5:$E$120=$B17)*ISNUMBER(INDEX(Inputs!$K$5:$AJ$120,0,MATCH(F$2,Inputs!$K$4:$AJ$4,0))))=0,NA(),SUMPRODUCT((Inputs!$A$5:$A$120=$B17)*Inputs!$B$5:$B$120*(((Inputs!$G$5:$G$120="moeda")+(Inputs!$G$5:$G$120="acoes"))*Inputs!$B$1+((Inputs!$G$5:$G$120&lt;&gt;"moeda")*(Inputs!$G$5:$G$120&lt;&gt;"acoes")))*INDEX(Inputs!$K$5:$AJ$120,0,MATCH(F$2,Inputs!$K$4:$AJ$4,0)))+SUMPRODUCT((Inputs!$C$5:$C$120=$B17)*Inputs!$D$5:$D$120*(((Inputs!$G$5:$G$120="moeda")+(Inputs!$G$5:$G$120="acoes"))*Inputs!$B$1+((Inputs!$G$5:$G$120&lt;&gt;"moeda")*(Inputs!$G$5:$G$120&lt;&gt;"acoes")))*INDEX(Inputs!$K$5:$AJ$120,0,MATCH(F$2,Inputs!$K$4:$AJ$4,0)))+SUMPRODUCT((Inputs!$E$5:$E$120=$B17)*Inputs!$F$5:$F$120*(((Inputs!$G$5:$G$120="moeda")+(Inputs!$G$5:$G$120="acoes"))*Inputs!$B$1+((Inputs!$G$5:$G$120&lt;&gt;"moeda")*(Inputs!$G$5:$G$120&lt;&gt;"acoes")))*INDEX(Inputs!$K$5:$AJ$120,0,MATCH(F$2,Inputs!$K$4:$AJ$4,0)))))</f>
        <v>0</v>
      </c>
      <c r="G17" s="267">
        <f>IF(ISNA(MATCH(G$2,Inputs!$K$4:$AJ$4,0)),NA(),IF(SUMPRODUCT((Inputs!$A$5:$A$120=$B17)*ISNUMBER(INDEX(Inputs!$K$5:$AJ$120,0,MATCH(G$2,Inputs!$K$4:$AJ$4,0))))+SUMPRODUCT((Inputs!$C$5:$C$120=$B17)*ISNUMBER(INDEX(Inputs!$K$5:$AJ$120,0,MATCH(G$2,Inputs!$K$4:$AJ$4,0))))+SUMPRODUCT((Inputs!$E$5:$E$120=$B17)*ISNUMBER(INDEX(Inputs!$K$5:$AJ$120,0,MATCH(G$2,Inputs!$K$4:$AJ$4,0))))=0,NA(),SUMPRODUCT((Inputs!$A$5:$A$120=$B17)*Inputs!$B$5:$B$120*(((Inputs!$G$5:$G$120="moeda")+(Inputs!$G$5:$G$120="acoes"))*Inputs!$B$1+((Inputs!$G$5:$G$120&lt;&gt;"moeda")*(Inputs!$G$5:$G$120&lt;&gt;"acoes")))*INDEX(Inputs!$K$5:$AJ$120,0,MATCH(G$2,Inputs!$K$4:$AJ$4,0)))+SUMPRODUCT((Inputs!$C$5:$C$120=$B17)*Inputs!$D$5:$D$120*(((Inputs!$G$5:$G$120="moeda")+(Inputs!$G$5:$G$120="acoes"))*Inputs!$B$1+((Inputs!$G$5:$G$120&lt;&gt;"moeda")*(Inputs!$G$5:$G$120&lt;&gt;"acoes")))*INDEX(Inputs!$K$5:$AJ$120,0,MATCH(G$2,Inputs!$K$4:$AJ$4,0)))+SUMPRODUCT((Inputs!$E$5:$E$120=$B17)*Inputs!$F$5:$F$120*(((Inputs!$G$5:$G$120="moeda")+(Inputs!$G$5:$G$120="acoes"))*Inputs!$B$1+((Inputs!$G$5:$G$120&lt;&gt;"moeda")*(Inputs!$G$5:$G$120&lt;&gt;"acoes")))*INDEX(Inputs!$K$5:$AJ$120,0,MATCH(G$2,Inputs!$K$4:$AJ$4,0)))))</f>
        <v>0</v>
      </c>
      <c r="H17" s="268">
        <f>G17</f>
        <v>0</v>
      </c>
      <c r="I17" s="267">
        <f>IF(ISNA(MATCH(I$2,Inputs!$K$4:$AJ$4,0)),NA(),IF(SUMPRODUCT((Inputs!$A$5:$A$120=$B17)*ISNUMBER(INDEX(Inputs!$K$5:$AJ$120,0,MATCH(I$2,Inputs!$K$4:$AJ$4,0))))+SUMPRODUCT((Inputs!$C$5:$C$120=$B17)*ISNUMBER(INDEX(Inputs!$K$5:$AJ$120,0,MATCH(I$2,Inputs!$K$4:$AJ$4,0))))+SUMPRODUCT((Inputs!$E$5:$E$120=$B17)*ISNUMBER(INDEX(Inputs!$K$5:$AJ$120,0,MATCH(I$2,Inputs!$K$4:$AJ$4,0))))=0,NA(),SUMPRODUCT((Inputs!$A$5:$A$120=$B17)*Inputs!$B$5:$B$120*(((Inputs!$G$5:$G$120="moeda")+(Inputs!$G$5:$G$120="acoes"))*Inputs!$B$1+((Inputs!$G$5:$G$120&lt;&gt;"moeda")*(Inputs!$G$5:$G$120&lt;&gt;"acoes")))*INDEX(Inputs!$K$5:$AJ$120,0,MATCH(I$2,Inputs!$K$4:$AJ$4,0)))+SUMPRODUCT((Inputs!$C$5:$C$120=$B17)*Inputs!$D$5:$D$120*(((Inputs!$G$5:$G$120="moeda")+(Inputs!$G$5:$G$120="acoes"))*Inputs!$B$1+((Inputs!$G$5:$G$120&lt;&gt;"moeda")*(Inputs!$G$5:$G$120&lt;&gt;"acoes")))*INDEX(Inputs!$K$5:$AJ$120,0,MATCH(I$2,Inputs!$K$4:$AJ$4,0)))+SUMPRODUCT((Inputs!$E$5:$E$120=$B17)*Inputs!$F$5:$F$120*(((Inputs!$G$5:$G$120="moeda")+(Inputs!$G$5:$G$120="acoes"))*Inputs!$B$1+((Inputs!$G$5:$G$120&lt;&gt;"moeda")*(Inputs!$G$5:$G$120&lt;&gt;"acoes")))*INDEX(Inputs!$K$5:$AJ$120,0,MATCH(I$2,Inputs!$K$4:$AJ$4,0)))))</f>
        <v>0</v>
      </c>
      <c r="J17" s="267">
        <f>IF(ISNA(MATCH(J$2,Inputs!$K$4:$AJ$4,0)),NA(),IF(SUMPRODUCT((Inputs!$A$5:$A$120=$B17)*ISNUMBER(INDEX(Inputs!$K$5:$AJ$120,0,MATCH(J$2,Inputs!$K$4:$AJ$4,0))))+SUMPRODUCT((Inputs!$C$5:$C$120=$B17)*ISNUMBER(INDEX(Inputs!$K$5:$AJ$120,0,MATCH(J$2,Inputs!$K$4:$AJ$4,0))))+SUMPRODUCT((Inputs!$E$5:$E$120=$B17)*ISNUMBER(INDEX(Inputs!$K$5:$AJ$120,0,MATCH(J$2,Inputs!$K$4:$AJ$4,0))))=0,NA(),SUMPRODUCT((Inputs!$A$5:$A$120=$B17)*Inputs!$B$5:$B$120*(((Inputs!$G$5:$G$120="moeda")+(Inputs!$G$5:$G$120="acoes"))*Inputs!$B$1+((Inputs!$G$5:$G$120&lt;&gt;"moeda")*(Inputs!$G$5:$G$120&lt;&gt;"acoes")))*INDEX(Inputs!$K$5:$AJ$120,0,MATCH(J$2,Inputs!$K$4:$AJ$4,0)))+SUMPRODUCT((Inputs!$C$5:$C$120=$B17)*Inputs!$D$5:$D$120*(((Inputs!$G$5:$G$120="moeda")+(Inputs!$G$5:$G$120="acoes"))*Inputs!$B$1+((Inputs!$G$5:$G$120&lt;&gt;"moeda")*(Inputs!$G$5:$G$120&lt;&gt;"acoes")))*INDEX(Inputs!$K$5:$AJ$120,0,MATCH(J$2,Inputs!$K$4:$AJ$4,0)))+SUMPRODUCT((Inputs!$E$5:$E$120=$B17)*Inputs!$F$5:$F$120*(((Inputs!$G$5:$G$120="moeda")+(Inputs!$G$5:$G$120="acoes"))*Inputs!$B$1+((Inputs!$G$5:$G$120&lt;&gt;"moeda")*(Inputs!$G$5:$G$120&lt;&gt;"acoes")))*INDEX(Inputs!$K$5:$AJ$120,0,MATCH(J$2,Inputs!$K$4:$AJ$4,0)))))</f>
        <v>0</v>
      </c>
      <c r="K17" s="267">
        <f>IF(ISNA(MATCH(K$2,Inputs!$K$4:$AJ$4,0)),NA(),IF(SUMPRODUCT((Inputs!$A$5:$A$120=$B17)*ISNUMBER(INDEX(Inputs!$K$5:$AJ$120,0,MATCH(K$2,Inputs!$K$4:$AJ$4,0))))+SUMPRODUCT((Inputs!$C$5:$C$120=$B17)*ISNUMBER(INDEX(Inputs!$K$5:$AJ$120,0,MATCH(K$2,Inputs!$K$4:$AJ$4,0))))+SUMPRODUCT((Inputs!$E$5:$E$120=$B17)*ISNUMBER(INDEX(Inputs!$K$5:$AJ$120,0,MATCH(K$2,Inputs!$K$4:$AJ$4,0))))=0,NA(),SUMPRODUCT((Inputs!$A$5:$A$120=$B17)*Inputs!$B$5:$B$120*(((Inputs!$G$5:$G$120="moeda")+(Inputs!$G$5:$G$120="acoes"))*Inputs!$B$1+((Inputs!$G$5:$G$120&lt;&gt;"moeda")*(Inputs!$G$5:$G$120&lt;&gt;"acoes")))*INDEX(Inputs!$K$5:$AJ$120,0,MATCH(K$2,Inputs!$K$4:$AJ$4,0)))+SUMPRODUCT((Inputs!$C$5:$C$120=$B17)*Inputs!$D$5:$D$120*(((Inputs!$G$5:$G$120="moeda")+(Inputs!$G$5:$G$120="acoes"))*Inputs!$B$1+((Inputs!$G$5:$G$120&lt;&gt;"moeda")*(Inputs!$G$5:$G$120&lt;&gt;"acoes")))*INDEX(Inputs!$K$5:$AJ$120,0,MATCH(K$2,Inputs!$K$4:$AJ$4,0)))+SUMPRODUCT((Inputs!$E$5:$E$120=$B17)*Inputs!$F$5:$F$120*(((Inputs!$G$5:$G$120="moeda")+(Inputs!$G$5:$G$120="acoes"))*Inputs!$B$1+((Inputs!$G$5:$G$120&lt;&gt;"moeda")*(Inputs!$G$5:$G$120&lt;&gt;"acoes")))*INDEX(Inputs!$K$5:$AJ$120,0,MATCH(K$2,Inputs!$K$4:$AJ$4,0)))))</f>
        <v>0</v>
      </c>
      <c r="L17" s="267">
        <f>IF(ISNA(MATCH(L$2,Inputs!$K$4:$AJ$4,0)),NA(),IF(SUMPRODUCT((Inputs!$A$5:$A$120=$B17)*ISNUMBER(INDEX(Inputs!$K$5:$AJ$120,0,MATCH(L$2,Inputs!$K$4:$AJ$4,0))))+SUMPRODUCT((Inputs!$C$5:$C$120=$B17)*ISNUMBER(INDEX(Inputs!$K$5:$AJ$120,0,MATCH(L$2,Inputs!$K$4:$AJ$4,0))))+SUMPRODUCT((Inputs!$E$5:$E$120=$B17)*ISNUMBER(INDEX(Inputs!$K$5:$AJ$120,0,MATCH(L$2,Inputs!$K$4:$AJ$4,0))))=0,NA(),SUMPRODUCT((Inputs!$A$5:$A$120=$B17)*Inputs!$B$5:$B$120*(((Inputs!$G$5:$G$120="moeda")+(Inputs!$G$5:$G$120="acoes"))*Inputs!$B$1+((Inputs!$G$5:$G$120&lt;&gt;"moeda")*(Inputs!$G$5:$G$120&lt;&gt;"acoes")))*INDEX(Inputs!$K$5:$AJ$120,0,MATCH(L$2,Inputs!$K$4:$AJ$4,0)))+SUMPRODUCT((Inputs!$C$5:$C$120=$B17)*Inputs!$D$5:$D$120*(((Inputs!$G$5:$G$120="moeda")+(Inputs!$G$5:$G$120="acoes"))*Inputs!$B$1+((Inputs!$G$5:$G$120&lt;&gt;"moeda")*(Inputs!$G$5:$G$120&lt;&gt;"acoes")))*INDEX(Inputs!$K$5:$AJ$120,0,MATCH(L$2,Inputs!$K$4:$AJ$4,0)))+SUMPRODUCT((Inputs!$E$5:$E$120=$B17)*Inputs!$F$5:$F$120*(((Inputs!$G$5:$G$120="moeda")+(Inputs!$G$5:$G$120="acoes"))*Inputs!$B$1+((Inputs!$G$5:$G$120&lt;&gt;"moeda")*(Inputs!$G$5:$G$120&lt;&gt;"acoes")))*INDEX(Inputs!$K$5:$AJ$120,0,MATCH(L$2,Inputs!$K$4:$AJ$4,0)))))</f>
        <v>0</v>
      </c>
      <c r="M17" s="268">
        <f>L17</f>
        <v>0</v>
      </c>
      <c r="N17" s="267">
        <f>IF(ISNA(MATCH(N$2,Inputs!$K$4:$AJ$4,0)),NA(),IF(SUMPRODUCT((Inputs!$A$5:$A$120=$B17)*ISNUMBER(INDEX(Inputs!$K$5:$AJ$120,0,MATCH(N$2,Inputs!$K$4:$AJ$4,0))))+SUMPRODUCT((Inputs!$C$5:$C$120=$B17)*ISNUMBER(INDEX(Inputs!$K$5:$AJ$120,0,MATCH(N$2,Inputs!$K$4:$AJ$4,0))))+SUMPRODUCT((Inputs!$E$5:$E$120=$B17)*ISNUMBER(INDEX(Inputs!$K$5:$AJ$120,0,MATCH(N$2,Inputs!$K$4:$AJ$4,0))))=0,NA(),SUMPRODUCT((Inputs!$A$5:$A$120=$B17)*Inputs!$B$5:$B$120*(((Inputs!$G$5:$G$120="moeda")+(Inputs!$G$5:$G$120="acoes"))*Inputs!$B$1+((Inputs!$G$5:$G$120&lt;&gt;"moeda")*(Inputs!$G$5:$G$120&lt;&gt;"acoes")))*INDEX(Inputs!$K$5:$AJ$120,0,MATCH(N$2,Inputs!$K$4:$AJ$4,0)))+SUMPRODUCT((Inputs!$C$5:$C$120=$B17)*Inputs!$D$5:$D$120*(((Inputs!$G$5:$G$120="moeda")+(Inputs!$G$5:$G$120="acoes"))*Inputs!$B$1+((Inputs!$G$5:$G$120&lt;&gt;"moeda")*(Inputs!$G$5:$G$120&lt;&gt;"acoes")))*INDEX(Inputs!$K$5:$AJ$120,0,MATCH(N$2,Inputs!$K$4:$AJ$4,0)))+SUMPRODUCT((Inputs!$E$5:$E$120=$B17)*Inputs!$F$5:$F$120*(((Inputs!$G$5:$G$120="moeda")+(Inputs!$G$5:$G$120="acoes"))*Inputs!$B$1+((Inputs!$G$5:$G$120&lt;&gt;"moeda")*(Inputs!$G$5:$G$120&lt;&gt;"acoes")))*INDEX(Inputs!$K$5:$AJ$120,0,MATCH(N$2,Inputs!$K$4:$AJ$4,0)))))</f>
        <v>0</v>
      </c>
      <c r="O17" s="267">
        <f>IF(ISNA(MATCH(O$2,Inputs!$K$4:$AJ$4,0)),NA(),IF(SUMPRODUCT((Inputs!$A$5:$A$120=$B17)*ISNUMBER(INDEX(Inputs!$K$5:$AJ$120,0,MATCH(O$2,Inputs!$K$4:$AJ$4,0))))+SUMPRODUCT((Inputs!$C$5:$C$120=$B17)*ISNUMBER(INDEX(Inputs!$K$5:$AJ$120,0,MATCH(O$2,Inputs!$K$4:$AJ$4,0))))+SUMPRODUCT((Inputs!$E$5:$E$120=$B17)*ISNUMBER(INDEX(Inputs!$K$5:$AJ$120,0,MATCH(O$2,Inputs!$K$4:$AJ$4,0))))=0,NA(),SUMPRODUCT((Inputs!$A$5:$A$120=$B17)*Inputs!$B$5:$B$120*(((Inputs!$G$5:$G$120="moeda")+(Inputs!$G$5:$G$120="acoes"))*Inputs!$B$1+((Inputs!$G$5:$G$120&lt;&gt;"moeda")*(Inputs!$G$5:$G$120&lt;&gt;"acoes")))*INDEX(Inputs!$K$5:$AJ$120,0,MATCH(O$2,Inputs!$K$4:$AJ$4,0)))+SUMPRODUCT((Inputs!$C$5:$C$120=$B17)*Inputs!$D$5:$D$120*(((Inputs!$G$5:$G$120="moeda")+(Inputs!$G$5:$G$120="acoes"))*Inputs!$B$1+((Inputs!$G$5:$G$120&lt;&gt;"moeda")*(Inputs!$G$5:$G$120&lt;&gt;"acoes")))*INDEX(Inputs!$K$5:$AJ$120,0,MATCH(O$2,Inputs!$K$4:$AJ$4,0)))+SUMPRODUCT((Inputs!$E$5:$E$120=$B17)*Inputs!$F$5:$F$120*(((Inputs!$G$5:$G$120="moeda")+(Inputs!$G$5:$G$120="acoes"))*Inputs!$B$1+((Inputs!$G$5:$G$120&lt;&gt;"moeda")*(Inputs!$G$5:$G$120&lt;&gt;"acoes")))*INDEX(Inputs!$K$5:$AJ$120,0,MATCH(O$2,Inputs!$K$4:$AJ$4,0)))))</f>
        <v>0</v>
      </c>
      <c r="P17" s="267">
        <f>IF(ISNA(MATCH(P$2,Inputs!$K$4:$AJ$4,0)),NA(),IF(SUMPRODUCT((Inputs!$A$5:$A$120=$B17)*ISNUMBER(INDEX(Inputs!$K$5:$AJ$120,0,MATCH(P$2,Inputs!$K$4:$AJ$4,0))))+SUMPRODUCT((Inputs!$C$5:$C$120=$B17)*ISNUMBER(INDEX(Inputs!$K$5:$AJ$120,0,MATCH(P$2,Inputs!$K$4:$AJ$4,0))))+SUMPRODUCT((Inputs!$E$5:$E$120=$B17)*ISNUMBER(INDEX(Inputs!$K$5:$AJ$120,0,MATCH(P$2,Inputs!$K$4:$AJ$4,0))))=0,NA(),SUMPRODUCT((Inputs!$A$5:$A$120=$B17)*Inputs!$B$5:$B$120*(((Inputs!$G$5:$G$120="moeda")+(Inputs!$G$5:$G$120="acoes"))*Inputs!$B$1+((Inputs!$G$5:$G$120&lt;&gt;"moeda")*(Inputs!$G$5:$G$120&lt;&gt;"acoes")))*INDEX(Inputs!$K$5:$AJ$120,0,MATCH(P$2,Inputs!$K$4:$AJ$4,0)))+SUMPRODUCT((Inputs!$C$5:$C$120=$B17)*Inputs!$D$5:$D$120*(((Inputs!$G$5:$G$120="moeda")+(Inputs!$G$5:$G$120="acoes"))*Inputs!$B$1+((Inputs!$G$5:$G$120&lt;&gt;"moeda")*(Inputs!$G$5:$G$120&lt;&gt;"acoes")))*INDEX(Inputs!$K$5:$AJ$120,0,MATCH(P$2,Inputs!$K$4:$AJ$4,0)))+SUMPRODUCT((Inputs!$E$5:$E$120=$B17)*Inputs!$F$5:$F$120*(((Inputs!$G$5:$G$120="moeda")+(Inputs!$G$5:$G$120="acoes"))*Inputs!$B$1+((Inputs!$G$5:$G$120&lt;&gt;"moeda")*(Inputs!$G$5:$G$120&lt;&gt;"acoes")))*INDEX(Inputs!$K$5:$AJ$120,0,MATCH(P$2,Inputs!$K$4:$AJ$4,0)))))</f>
        <v>0</v>
      </c>
      <c r="Q17" s="267">
        <f>IF(ISNA(MATCH(Q$2,Inputs!$K$4:$AJ$4,0)),NA(),IF(SUMPRODUCT((Inputs!$A$5:$A$120=$B17)*ISNUMBER(INDEX(Inputs!$K$5:$AJ$120,0,MATCH(Q$2,Inputs!$K$4:$AJ$4,0))))+SUMPRODUCT((Inputs!$C$5:$C$120=$B17)*ISNUMBER(INDEX(Inputs!$K$5:$AJ$120,0,MATCH(Q$2,Inputs!$K$4:$AJ$4,0))))+SUMPRODUCT((Inputs!$E$5:$E$120=$B17)*ISNUMBER(INDEX(Inputs!$K$5:$AJ$120,0,MATCH(Q$2,Inputs!$K$4:$AJ$4,0))))=0,NA(),SUMPRODUCT((Inputs!$A$5:$A$120=$B17)*Inputs!$B$5:$B$120*(((Inputs!$G$5:$G$120="moeda")+(Inputs!$G$5:$G$120="acoes"))*Inputs!$B$1+((Inputs!$G$5:$G$120&lt;&gt;"moeda")*(Inputs!$G$5:$G$120&lt;&gt;"acoes")))*INDEX(Inputs!$K$5:$AJ$120,0,MATCH(Q$2,Inputs!$K$4:$AJ$4,0)))+SUMPRODUCT((Inputs!$C$5:$C$120=$B17)*Inputs!$D$5:$D$120*(((Inputs!$G$5:$G$120="moeda")+(Inputs!$G$5:$G$120="acoes"))*Inputs!$B$1+((Inputs!$G$5:$G$120&lt;&gt;"moeda")*(Inputs!$G$5:$G$120&lt;&gt;"acoes")))*INDEX(Inputs!$K$5:$AJ$120,0,MATCH(Q$2,Inputs!$K$4:$AJ$4,0)))+SUMPRODUCT((Inputs!$E$5:$E$120=$B17)*Inputs!$F$5:$F$120*(((Inputs!$G$5:$G$120="moeda")+(Inputs!$G$5:$G$120="acoes"))*Inputs!$B$1+((Inputs!$G$5:$G$120&lt;&gt;"moeda")*(Inputs!$G$5:$G$120&lt;&gt;"acoes")))*INDEX(Inputs!$K$5:$AJ$120,0,MATCH(Q$2,Inputs!$K$4:$AJ$4,0)))))</f>
        <v>0</v>
      </c>
      <c r="R17" s="268">
        <f>Q17</f>
        <v>0</v>
      </c>
      <c r="S17" s="267">
        <f>IF(ISNA(MATCH(S$2,Inputs!$K$4:$AJ$4,0)),NA(),IF(SUMPRODUCT((Inputs!$A$5:$A$120=$B17)*ISNUMBER(INDEX(Inputs!$K$5:$AJ$120,0,MATCH(S$2,Inputs!$K$4:$AJ$4,0))))+SUMPRODUCT((Inputs!$C$5:$C$120=$B17)*ISNUMBER(INDEX(Inputs!$K$5:$AJ$120,0,MATCH(S$2,Inputs!$K$4:$AJ$4,0))))+SUMPRODUCT((Inputs!$E$5:$E$120=$B17)*ISNUMBER(INDEX(Inputs!$K$5:$AJ$120,0,MATCH(S$2,Inputs!$K$4:$AJ$4,0))))=0,NA(),SUMPRODUCT((Inputs!$A$5:$A$120=$B17)*Inputs!$B$5:$B$120*(((Inputs!$G$5:$G$120="moeda")+(Inputs!$G$5:$G$120="acoes"))*Inputs!$B$1+((Inputs!$G$5:$G$120&lt;&gt;"moeda")*(Inputs!$G$5:$G$120&lt;&gt;"acoes")))*INDEX(Inputs!$K$5:$AJ$120,0,MATCH(S$2,Inputs!$K$4:$AJ$4,0)))+SUMPRODUCT((Inputs!$C$5:$C$120=$B17)*Inputs!$D$5:$D$120*(((Inputs!$G$5:$G$120="moeda")+(Inputs!$G$5:$G$120="acoes"))*Inputs!$B$1+((Inputs!$G$5:$G$120&lt;&gt;"moeda")*(Inputs!$G$5:$G$120&lt;&gt;"acoes")))*INDEX(Inputs!$K$5:$AJ$120,0,MATCH(S$2,Inputs!$K$4:$AJ$4,0)))+SUMPRODUCT((Inputs!$E$5:$E$120=$B17)*Inputs!$F$5:$F$120*(((Inputs!$G$5:$G$120="moeda")+(Inputs!$G$5:$G$120="acoes"))*Inputs!$B$1+((Inputs!$G$5:$G$120&lt;&gt;"moeda")*(Inputs!$G$5:$G$120&lt;&gt;"acoes")))*INDEX(Inputs!$K$5:$AJ$120,0,MATCH(S$2,Inputs!$K$4:$AJ$4,0)))))</f>
        <v>0</v>
      </c>
      <c r="T17" s="267">
        <f>IF(ISNA(MATCH(T$2,Inputs!$K$4:$AJ$4,0)),NA(),IF(SUMPRODUCT((Inputs!$A$5:$A$120=$B17)*ISNUMBER(INDEX(Inputs!$K$5:$AJ$120,0,MATCH(T$2,Inputs!$K$4:$AJ$4,0))))+SUMPRODUCT((Inputs!$C$5:$C$120=$B17)*ISNUMBER(INDEX(Inputs!$K$5:$AJ$120,0,MATCH(T$2,Inputs!$K$4:$AJ$4,0))))+SUMPRODUCT((Inputs!$E$5:$E$120=$B17)*ISNUMBER(INDEX(Inputs!$K$5:$AJ$120,0,MATCH(T$2,Inputs!$K$4:$AJ$4,0))))=0,NA(),SUMPRODUCT((Inputs!$A$5:$A$120=$B17)*Inputs!$B$5:$B$120*(((Inputs!$G$5:$G$120="moeda")+(Inputs!$G$5:$G$120="acoes"))*Inputs!$B$1+((Inputs!$G$5:$G$120&lt;&gt;"moeda")*(Inputs!$G$5:$G$120&lt;&gt;"acoes")))*INDEX(Inputs!$K$5:$AJ$120,0,MATCH(T$2,Inputs!$K$4:$AJ$4,0)))+SUMPRODUCT((Inputs!$C$5:$C$120=$B17)*Inputs!$D$5:$D$120*(((Inputs!$G$5:$G$120="moeda")+(Inputs!$G$5:$G$120="acoes"))*Inputs!$B$1+((Inputs!$G$5:$G$120&lt;&gt;"moeda")*(Inputs!$G$5:$G$120&lt;&gt;"acoes")))*INDEX(Inputs!$K$5:$AJ$120,0,MATCH(T$2,Inputs!$K$4:$AJ$4,0)))+SUMPRODUCT((Inputs!$E$5:$E$120=$B17)*Inputs!$F$5:$F$120*(((Inputs!$G$5:$G$120="moeda")+(Inputs!$G$5:$G$120="acoes"))*Inputs!$B$1+((Inputs!$G$5:$G$120&lt;&gt;"moeda")*(Inputs!$G$5:$G$120&lt;&gt;"acoes")))*INDEX(Inputs!$K$5:$AJ$120,0,MATCH(T$2,Inputs!$K$4:$AJ$4,0)))))</f>
        <v>0</v>
      </c>
      <c r="U17" s="267">
        <f>IF(ISNA(MATCH(U$2,Inputs!$K$4:$AJ$4,0)),NA(),IF(SUMPRODUCT((Inputs!$A$5:$A$120=$B17)*ISNUMBER(INDEX(Inputs!$K$5:$AJ$120,0,MATCH(U$2,Inputs!$K$4:$AJ$4,0))))+SUMPRODUCT((Inputs!$C$5:$C$120=$B17)*ISNUMBER(INDEX(Inputs!$K$5:$AJ$120,0,MATCH(U$2,Inputs!$K$4:$AJ$4,0))))+SUMPRODUCT((Inputs!$E$5:$E$120=$B17)*ISNUMBER(INDEX(Inputs!$K$5:$AJ$120,0,MATCH(U$2,Inputs!$K$4:$AJ$4,0))))=0,NA(),SUMPRODUCT((Inputs!$A$5:$A$120=$B17)*Inputs!$B$5:$B$120*(((Inputs!$G$5:$G$120="moeda")+(Inputs!$G$5:$G$120="acoes"))*Inputs!$B$1+((Inputs!$G$5:$G$120&lt;&gt;"moeda")*(Inputs!$G$5:$G$120&lt;&gt;"acoes")))*INDEX(Inputs!$K$5:$AJ$120,0,MATCH(U$2,Inputs!$K$4:$AJ$4,0)))+SUMPRODUCT((Inputs!$C$5:$C$120=$B17)*Inputs!$D$5:$D$120*(((Inputs!$G$5:$G$120="moeda")+(Inputs!$G$5:$G$120="acoes"))*Inputs!$B$1+((Inputs!$G$5:$G$120&lt;&gt;"moeda")*(Inputs!$G$5:$G$120&lt;&gt;"acoes")))*INDEX(Inputs!$K$5:$AJ$120,0,MATCH(U$2,Inputs!$K$4:$AJ$4,0)))+SUMPRODUCT((Inputs!$E$5:$E$120=$B17)*Inputs!$F$5:$F$120*(((Inputs!$G$5:$G$120="moeda")+(Inputs!$G$5:$G$120="acoes"))*Inputs!$B$1+((Inputs!$G$5:$G$120&lt;&gt;"moeda")*(Inputs!$G$5:$G$120&lt;&gt;"acoes")))*INDEX(Inputs!$K$5:$AJ$120,0,MATCH(U$2,Inputs!$K$4:$AJ$4,0)))))</f>
        <v>0</v>
      </c>
      <c r="V17" s="267">
        <f>IF(ISNA(MATCH(V$2,Inputs!$K$4:$AJ$4,0)),NA(),IF(SUMPRODUCT((Inputs!$A$5:$A$120=$B17)*ISNUMBER(INDEX(Inputs!$K$5:$AJ$120,0,MATCH(V$2,Inputs!$K$4:$AJ$4,0))))+SUMPRODUCT((Inputs!$C$5:$C$120=$B17)*ISNUMBER(INDEX(Inputs!$K$5:$AJ$120,0,MATCH(V$2,Inputs!$K$4:$AJ$4,0))))+SUMPRODUCT((Inputs!$E$5:$E$120=$B17)*ISNUMBER(INDEX(Inputs!$K$5:$AJ$120,0,MATCH(V$2,Inputs!$K$4:$AJ$4,0))))=0,NA(),SUMPRODUCT((Inputs!$A$5:$A$120=$B17)*Inputs!$B$5:$B$120*(((Inputs!$G$5:$G$120="moeda")+(Inputs!$G$5:$G$120="acoes"))*Inputs!$B$1+((Inputs!$G$5:$G$120&lt;&gt;"moeda")*(Inputs!$G$5:$G$120&lt;&gt;"acoes")))*INDEX(Inputs!$K$5:$AJ$120,0,MATCH(V$2,Inputs!$K$4:$AJ$4,0)))+SUMPRODUCT((Inputs!$C$5:$C$120=$B17)*Inputs!$D$5:$D$120*(((Inputs!$G$5:$G$120="moeda")+(Inputs!$G$5:$G$120="acoes"))*Inputs!$B$1+((Inputs!$G$5:$G$120&lt;&gt;"moeda")*(Inputs!$G$5:$G$120&lt;&gt;"acoes")))*INDEX(Inputs!$K$5:$AJ$120,0,MATCH(V$2,Inputs!$K$4:$AJ$4,0)))+SUMPRODUCT((Inputs!$E$5:$E$120=$B17)*Inputs!$F$5:$F$120*(((Inputs!$G$5:$G$120="moeda")+(Inputs!$G$5:$G$120="acoes"))*Inputs!$B$1+((Inputs!$G$5:$G$120&lt;&gt;"moeda")*(Inputs!$G$5:$G$120&lt;&gt;"acoes")))*INDEX(Inputs!$K$5:$AJ$120,0,MATCH(V$2,Inputs!$K$4:$AJ$4,0)))))</f>
        <v>0</v>
      </c>
      <c r="W17" s="268">
        <f>V17</f>
        <v>0</v>
      </c>
      <c r="X17" s="267">
        <f>IF(ISNA(MATCH(X$2,Inputs!$K$4:$AJ$4,0)),NA(),IF(SUMPRODUCT((Inputs!$A$5:$A$120=$B17)*ISNUMBER(INDEX(Inputs!$K$5:$AJ$120,0,MATCH(X$2,Inputs!$K$4:$AJ$4,0))))+SUMPRODUCT((Inputs!$C$5:$C$120=$B17)*ISNUMBER(INDEX(Inputs!$K$5:$AJ$120,0,MATCH(X$2,Inputs!$K$4:$AJ$4,0))))+SUMPRODUCT((Inputs!$E$5:$E$120=$B17)*ISNUMBER(INDEX(Inputs!$K$5:$AJ$120,0,MATCH(X$2,Inputs!$K$4:$AJ$4,0))))=0,NA(),SUMPRODUCT((Inputs!$A$5:$A$120=$B17)*Inputs!$B$5:$B$120*(((Inputs!$G$5:$G$120="moeda")+(Inputs!$G$5:$G$120="acoes"))*Inputs!$B$1+((Inputs!$G$5:$G$120&lt;&gt;"moeda")*(Inputs!$G$5:$G$120&lt;&gt;"acoes")))*INDEX(Inputs!$K$5:$AJ$120,0,MATCH(X$2,Inputs!$K$4:$AJ$4,0)))+SUMPRODUCT((Inputs!$C$5:$C$120=$B17)*Inputs!$D$5:$D$120*(((Inputs!$G$5:$G$120="moeda")+(Inputs!$G$5:$G$120="acoes"))*Inputs!$B$1+((Inputs!$G$5:$G$120&lt;&gt;"moeda")*(Inputs!$G$5:$G$120&lt;&gt;"acoes")))*INDEX(Inputs!$K$5:$AJ$120,0,MATCH(X$2,Inputs!$K$4:$AJ$4,0)))+SUMPRODUCT((Inputs!$E$5:$E$120=$B17)*Inputs!$F$5:$F$120*(((Inputs!$G$5:$G$120="moeda")+(Inputs!$G$5:$G$120="acoes"))*Inputs!$B$1+((Inputs!$G$5:$G$120&lt;&gt;"moeda")*(Inputs!$G$5:$G$120&lt;&gt;"acoes")))*INDEX(Inputs!$K$5:$AJ$120,0,MATCH(X$2,Inputs!$K$4:$AJ$4,0)))))</f>
        <v>0</v>
      </c>
      <c r="Y17" s="267">
        <f>IF(ISNA(MATCH(Y$2,Inputs!$K$4:$AJ$4,0)),NA(),IF(SUMPRODUCT((Inputs!$A$5:$A$120=$B17)*ISNUMBER(INDEX(Inputs!$K$5:$AJ$120,0,MATCH(Y$2,Inputs!$K$4:$AJ$4,0))))+SUMPRODUCT((Inputs!$C$5:$C$120=$B17)*ISNUMBER(INDEX(Inputs!$K$5:$AJ$120,0,MATCH(Y$2,Inputs!$K$4:$AJ$4,0))))+SUMPRODUCT((Inputs!$E$5:$E$120=$B17)*ISNUMBER(INDEX(Inputs!$K$5:$AJ$120,0,MATCH(Y$2,Inputs!$K$4:$AJ$4,0))))=0,NA(),SUMPRODUCT((Inputs!$A$5:$A$120=$B17)*Inputs!$B$5:$B$120*(((Inputs!$G$5:$G$120="moeda")+(Inputs!$G$5:$G$120="acoes"))*Inputs!$B$1+((Inputs!$G$5:$G$120&lt;&gt;"moeda")*(Inputs!$G$5:$G$120&lt;&gt;"acoes")))*INDEX(Inputs!$K$5:$AJ$120,0,MATCH(Y$2,Inputs!$K$4:$AJ$4,0)))+SUMPRODUCT((Inputs!$C$5:$C$120=$B17)*Inputs!$D$5:$D$120*(((Inputs!$G$5:$G$120="moeda")+(Inputs!$G$5:$G$120="acoes"))*Inputs!$B$1+((Inputs!$G$5:$G$120&lt;&gt;"moeda")*(Inputs!$G$5:$G$120&lt;&gt;"acoes")))*INDEX(Inputs!$K$5:$AJ$120,0,MATCH(Y$2,Inputs!$K$4:$AJ$4,0)))+SUMPRODUCT((Inputs!$E$5:$E$120=$B17)*Inputs!$F$5:$F$120*(((Inputs!$G$5:$G$120="moeda")+(Inputs!$G$5:$G$120="acoes"))*Inputs!$B$1+((Inputs!$G$5:$G$120&lt;&gt;"moeda")*(Inputs!$G$5:$G$120&lt;&gt;"acoes")))*INDEX(Inputs!$K$5:$AJ$120,0,MATCH(Y$2,Inputs!$K$4:$AJ$4,0)))))</f>
        <v>0</v>
      </c>
      <c r="Z17" s="267">
        <f>IF(ISNA(MATCH(Z$2,Inputs!$K$4:$AJ$4,0)),NA(),IF(SUMPRODUCT((Inputs!$A$5:$A$120=$B17)*ISNUMBER(INDEX(Inputs!$K$5:$AJ$120,0,MATCH(Z$2,Inputs!$K$4:$AJ$4,0))))+SUMPRODUCT((Inputs!$C$5:$C$120=$B17)*ISNUMBER(INDEX(Inputs!$K$5:$AJ$120,0,MATCH(Z$2,Inputs!$K$4:$AJ$4,0))))+SUMPRODUCT((Inputs!$E$5:$E$120=$B17)*ISNUMBER(INDEX(Inputs!$K$5:$AJ$120,0,MATCH(Z$2,Inputs!$K$4:$AJ$4,0))))=0,NA(),SUMPRODUCT((Inputs!$A$5:$A$120=$B17)*Inputs!$B$5:$B$120*(((Inputs!$G$5:$G$120="moeda")+(Inputs!$G$5:$G$120="acoes"))*Inputs!$B$1+((Inputs!$G$5:$G$120&lt;&gt;"moeda")*(Inputs!$G$5:$G$120&lt;&gt;"acoes")))*INDEX(Inputs!$K$5:$AJ$120,0,MATCH(Z$2,Inputs!$K$4:$AJ$4,0)))+SUMPRODUCT((Inputs!$C$5:$C$120=$B17)*Inputs!$D$5:$D$120*(((Inputs!$G$5:$G$120="moeda")+(Inputs!$G$5:$G$120="acoes"))*Inputs!$B$1+((Inputs!$G$5:$G$120&lt;&gt;"moeda")*(Inputs!$G$5:$G$120&lt;&gt;"acoes")))*INDEX(Inputs!$K$5:$AJ$120,0,MATCH(Z$2,Inputs!$K$4:$AJ$4,0)))+SUMPRODUCT((Inputs!$E$5:$E$120=$B17)*Inputs!$F$5:$F$120*(((Inputs!$G$5:$G$120="moeda")+(Inputs!$G$5:$G$120="acoes"))*Inputs!$B$1+((Inputs!$G$5:$G$120&lt;&gt;"moeda")*(Inputs!$G$5:$G$120&lt;&gt;"acoes")))*INDEX(Inputs!$K$5:$AJ$120,0,MATCH(Z$2,Inputs!$K$4:$AJ$4,0)))))</f>
        <v>0</v>
      </c>
      <c r="AA17" s="267">
        <f>IF(ISNA(MATCH(AA$2,Inputs!$K$4:$AJ$4,0)),NA(),IF(SUMPRODUCT((Inputs!$A$5:$A$120=$B17)*ISNUMBER(INDEX(Inputs!$K$5:$AJ$120,0,MATCH(AA$2,Inputs!$K$4:$AJ$4,0))))+SUMPRODUCT((Inputs!$C$5:$C$120=$B17)*ISNUMBER(INDEX(Inputs!$K$5:$AJ$120,0,MATCH(AA$2,Inputs!$K$4:$AJ$4,0))))+SUMPRODUCT((Inputs!$E$5:$E$120=$B17)*ISNUMBER(INDEX(Inputs!$K$5:$AJ$120,0,MATCH(AA$2,Inputs!$K$4:$AJ$4,0))))=0,NA(),SUMPRODUCT((Inputs!$A$5:$A$120=$B17)*Inputs!$B$5:$B$120*(((Inputs!$G$5:$G$120="moeda")+(Inputs!$G$5:$G$120="acoes"))*Inputs!$B$1+((Inputs!$G$5:$G$120&lt;&gt;"moeda")*(Inputs!$G$5:$G$120&lt;&gt;"acoes")))*INDEX(Inputs!$K$5:$AJ$120,0,MATCH(AA$2,Inputs!$K$4:$AJ$4,0)))+SUMPRODUCT((Inputs!$C$5:$C$120=$B17)*Inputs!$D$5:$D$120*(((Inputs!$G$5:$G$120="moeda")+(Inputs!$G$5:$G$120="acoes"))*Inputs!$B$1+((Inputs!$G$5:$G$120&lt;&gt;"moeda")*(Inputs!$G$5:$G$120&lt;&gt;"acoes")))*INDEX(Inputs!$K$5:$AJ$120,0,MATCH(AA$2,Inputs!$K$4:$AJ$4,0)))+SUMPRODUCT((Inputs!$E$5:$E$120=$B17)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7" s="268">
        <f>AA17</f>
        <v>0</v>
      </c>
      <c r="AC17" s="267">
        <f>IF(ISNA(MATCH(AC$2,Inputs!$K$4:$AJ$4,0)),NA(),IF(SUMPRODUCT((Inputs!$A$5:$A$120=$B17)*ISNUMBER(INDEX(Inputs!$K$5:$AJ$120,0,MATCH(AC$2,Inputs!$K$4:$AJ$4,0))))+SUMPRODUCT((Inputs!$C$5:$C$120=$B17)*ISNUMBER(INDEX(Inputs!$K$5:$AJ$120,0,MATCH(AC$2,Inputs!$K$4:$AJ$4,0))))+SUMPRODUCT((Inputs!$E$5:$E$120=$B17)*ISNUMBER(INDEX(Inputs!$K$5:$AJ$120,0,MATCH(AC$2,Inputs!$K$4:$AJ$4,0))))=0,NA(),SUMPRODUCT((Inputs!$A$5:$A$120=$B17)*Inputs!$B$5:$B$120*(((Inputs!$G$5:$G$120="moeda")+(Inputs!$G$5:$G$120="acoes"))*Inputs!$B$1+((Inputs!$G$5:$G$120&lt;&gt;"moeda")*(Inputs!$G$5:$G$120&lt;&gt;"acoes")))*INDEX(Inputs!$K$5:$AJ$120,0,MATCH(AC$2,Inputs!$K$4:$AJ$4,0)))+SUMPRODUCT((Inputs!$C$5:$C$120=$B17)*Inputs!$D$5:$D$120*(((Inputs!$G$5:$G$120="moeda")+(Inputs!$G$5:$G$120="acoes"))*Inputs!$B$1+((Inputs!$G$5:$G$120&lt;&gt;"moeda")*(Inputs!$G$5:$G$120&lt;&gt;"acoes")))*INDEX(Inputs!$K$5:$AJ$120,0,MATCH(AC$2,Inputs!$K$4:$AJ$4,0)))+SUMPRODUCT((Inputs!$E$5:$E$120=$B17)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7" s="267">
        <f>IF(ISNA(MATCH(AD$2,Inputs!$K$4:$AJ$4,0)),NA(),IF(SUMPRODUCT((Inputs!$A$5:$A$120=$B17)*ISNUMBER(INDEX(Inputs!$K$5:$AJ$120,0,MATCH(AD$2,Inputs!$K$4:$AJ$4,0))))+SUMPRODUCT((Inputs!$C$5:$C$120=$B17)*ISNUMBER(INDEX(Inputs!$K$5:$AJ$120,0,MATCH(AD$2,Inputs!$K$4:$AJ$4,0))))+SUMPRODUCT((Inputs!$E$5:$E$120=$B17)*ISNUMBER(INDEX(Inputs!$K$5:$AJ$120,0,MATCH(AD$2,Inputs!$K$4:$AJ$4,0))))=0,NA(),SUMPRODUCT((Inputs!$A$5:$A$120=$B17)*Inputs!$B$5:$B$120*(((Inputs!$G$5:$G$120="moeda")+(Inputs!$G$5:$G$120="acoes"))*Inputs!$B$1+((Inputs!$G$5:$G$120&lt;&gt;"moeda")*(Inputs!$G$5:$G$120&lt;&gt;"acoes")))*INDEX(Inputs!$K$5:$AJ$120,0,MATCH(AD$2,Inputs!$K$4:$AJ$4,0)))+SUMPRODUCT((Inputs!$C$5:$C$120=$B17)*Inputs!$D$5:$D$120*(((Inputs!$G$5:$G$120="moeda")+(Inputs!$G$5:$G$120="acoes"))*Inputs!$B$1+((Inputs!$G$5:$G$120&lt;&gt;"moeda")*(Inputs!$G$5:$G$120&lt;&gt;"acoes")))*INDEX(Inputs!$K$5:$AJ$120,0,MATCH(AD$2,Inputs!$K$4:$AJ$4,0)))+SUMPRODUCT((Inputs!$E$5:$E$120=$B17)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7" s="267" t="e">
        <f>IF(ISNA(MATCH(AE$2,Inputs!$K$4:$AJ$4,0)),NA(),IF(SUMPRODUCT((Inputs!$A$5:$A$120=$B17)*ISNUMBER(INDEX(Inputs!$K$5:$AJ$120,0,MATCH(AE$2,Inputs!$K$4:$AJ$4,0))))+SUMPRODUCT((Inputs!$C$5:$C$120=$B17)*ISNUMBER(INDEX(Inputs!$K$5:$AJ$120,0,MATCH(AE$2,Inputs!$K$4:$AJ$4,0))))+SUMPRODUCT((Inputs!$E$5:$E$120=$B17)*ISNUMBER(INDEX(Inputs!$K$5:$AJ$120,0,MATCH(AE$2,Inputs!$K$4:$AJ$4,0))))=0,NA(),SUMPRODUCT((Inputs!$A$5:$A$120=$B17)*Inputs!$B$5:$B$120*(((Inputs!$G$5:$G$120="moeda")+(Inputs!$G$5:$G$120="acoes"))*Inputs!$B$1+((Inputs!$G$5:$G$120&lt;&gt;"moeda")*(Inputs!$G$5:$G$120&lt;&gt;"acoes")))*INDEX(Inputs!$K$5:$AJ$120,0,MATCH(AE$2,Inputs!$K$4:$AJ$4,0)))+SUMPRODUCT((Inputs!$C$5:$C$120=$B17)*Inputs!$D$5:$D$120*(((Inputs!$G$5:$G$120="moeda")+(Inputs!$G$5:$G$120="acoes"))*Inputs!$B$1+((Inputs!$G$5:$G$120&lt;&gt;"moeda")*(Inputs!$G$5:$G$120&lt;&gt;"acoes")))*INDEX(Inputs!$K$5:$AJ$120,0,MATCH(AE$2,Inputs!$K$4:$AJ$4,0)))+SUMPRODUCT((Inputs!$E$5:$E$120=$B17)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7" s="267" t="e">
        <f>IF(ISNA(MATCH(AF$2,Inputs!$K$4:$AJ$4,0)),NA(),IF(SUMPRODUCT((Inputs!$A$5:$A$120=$B17)*ISNUMBER(INDEX(Inputs!$K$5:$AJ$120,0,MATCH(AF$2,Inputs!$K$4:$AJ$4,0))))+SUMPRODUCT((Inputs!$C$5:$C$120=$B17)*ISNUMBER(INDEX(Inputs!$K$5:$AJ$120,0,MATCH(AF$2,Inputs!$K$4:$AJ$4,0))))+SUMPRODUCT((Inputs!$E$5:$E$120=$B17)*ISNUMBER(INDEX(Inputs!$K$5:$AJ$120,0,MATCH(AF$2,Inputs!$K$4:$AJ$4,0))))=0,NA(),SUMPRODUCT((Inputs!$A$5:$A$120=$B17)*Inputs!$B$5:$B$120*(((Inputs!$G$5:$G$120="moeda")+(Inputs!$G$5:$G$120="acoes"))*Inputs!$B$1+((Inputs!$G$5:$G$120&lt;&gt;"moeda")*(Inputs!$G$5:$G$120&lt;&gt;"acoes")))*INDEX(Inputs!$K$5:$AJ$120,0,MATCH(AF$2,Inputs!$K$4:$AJ$4,0)))+SUMPRODUCT((Inputs!$C$5:$C$120=$B17)*Inputs!$D$5:$D$120*(((Inputs!$G$5:$G$120="moeda")+(Inputs!$G$5:$G$120="acoes"))*Inputs!$B$1+((Inputs!$G$5:$G$120&lt;&gt;"moeda")*(Inputs!$G$5:$G$120&lt;&gt;"acoes")))*INDEX(Inputs!$K$5:$AJ$120,0,MATCH(AF$2,Inputs!$K$4:$AJ$4,0)))+SUMPRODUCT((Inputs!$E$5:$E$120=$B17)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7" s="268" t="e">
        <f>AF17</f>
        <v>#N/A</v>
      </c>
      <c r="AH17" s="267">
        <f>IF(ISNA(MATCH(AH$2,Inputs!$K$4:$AJ$4,0)),NA(),IF(SUMPRODUCT((Inputs!$A$5:$A$120=$B17)*ISNUMBER(INDEX(Inputs!$K$5:$AJ$120,0,MATCH(AH$2,Inputs!$K$4:$AJ$4,0))))+SUMPRODUCT((Inputs!$C$5:$C$120=$B17)*ISNUMBER(INDEX(Inputs!$K$5:$AJ$120,0,MATCH(AH$2,Inputs!$K$4:$AJ$4,0))))+SUMPRODUCT((Inputs!$E$5:$E$120=$B17)*ISNUMBER(INDEX(Inputs!$K$5:$AJ$120,0,MATCH(AH$2,Inputs!$K$4:$AJ$4,0))))=0,NA(),SUMPRODUCT((Inputs!$A$5:$A$120=$B17)*Inputs!$B$5:$B$120*(((Inputs!$G$5:$G$120="moeda")+(Inputs!$G$5:$G$120="acoes"))*Inputs!$B$1+((Inputs!$G$5:$G$120&lt;&gt;"moeda")*(Inputs!$G$5:$G$120&lt;&gt;"acoes")))*INDEX(Inputs!$K$5:$AJ$120,0,MATCH(AH$2,Inputs!$K$4:$AJ$4,0)))+SUMPRODUCT((Inputs!$C$5:$C$120=$B17)*Inputs!$D$5:$D$120*(((Inputs!$G$5:$G$120="moeda")+(Inputs!$G$5:$G$120="acoes"))*Inputs!$B$1+((Inputs!$G$5:$G$120&lt;&gt;"moeda")*(Inputs!$G$5:$G$120&lt;&gt;"acoes")))*INDEX(Inputs!$K$5:$AJ$120,0,MATCH(AH$2,Inputs!$K$4:$AJ$4,0)))+SUMPRODUCT((Inputs!$E$5:$E$120=$B17)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7" s="267">
        <f>IF(ISNA(MATCH(AI$2,Inputs!$K$4:$AJ$4,0)),NA(),IF(SUMPRODUCT((Inputs!$A$5:$A$120=$B17)*ISNUMBER(INDEX(Inputs!$K$5:$AJ$120,0,MATCH(AI$2,Inputs!$K$4:$AJ$4,0))))+SUMPRODUCT((Inputs!$C$5:$C$120=$B17)*ISNUMBER(INDEX(Inputs!$K$5:$AJ$120,0,MATCH(AI$2,Inputs!$K$4:$AJ$4,0))))+SUMPRODUCT((Inputs!$E$5:$E$120=$B17)*ISNUMBER(INDEX(Inputs!$K$5:$AJ$120,0,MATCH(AI$2,Inputs!$K$4:$AJ$4,0))))=0,NA(),SUMPRODUCT((Inputs!$A$5:$A$120=$B17)*Inputs!$B$5:$B$120*(((Inputs!$G$5:$G$120="moeda")+(Inputs!$G$5:$G$120="acoes"))*Inputs!$B$1+((Inputs!$G$5:$G$120&lt;&gt;"moeda")*(Inputs!$G$5:$G$120&lt;&gt;"acoes")))*INDEX(Inputs!$K$5:$AJ$120,0,MATCH(AI$2,Inputs!$K$4:$AJ$4,0)))+SUMPRODUCT((Inputs!$C$5:$C$120=$B17)*Inputs!$D$5:$D$120*(((Inputs!$G$5:$G$120="moeda")+(Inputs!$G$5:$G$120="acoes"))*Inputs!$B$1+((Inputs!$G$5:$G$120&lt;&gt;"moeda")*(Inputs!$G$5:$G$120&lt;&gt;"acoes")))*INDEX(Inputs!$K$5:$AJ$120,0,MATCH(AI$2,Inputs!$K$4:$AJ$4,0)))+SUMPRODUCT((Inputs!$E$5:$E$120=$B17)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7" s="267">
        <f>IF(ISNA(MATCH(AJ$2,Inputs!$K$4:$AJ$4,0)),NA(),IF(SUMPRODUCT((Inputs!$A$5:$A$120=$B17)*ISNUMBER(INDEX(Inputs!$K$5:$AJ$120,0,MATCH(AJ$2,Inputs!$K$4:$AJ$4,0))))+SUMPRODUCT((Inputs!$C$5:$C$120=$B17)*ISNUMBER(INDEX(Inputs!$K$5:$AJ$120,0,MATCH(AJ$2,Inputs!$K$4:$AJ$4,0))))+SUMPRODUCT((Inputs!$E$5:$E$120=$B17)*ISNUMBER(INDEX(Inputs!$K$5:$AJ$120,0,MATCH(AJ$2,Inputs!$K$4:$AJ$4,0))))=0,NA(),SUMPRODUCT((Inputs!$A$5:$A$120=$B17)*Inputs!$B$5:$B$120*(((Inputs!$G$5:$G$120="moeda")+(Inputs!$G$5:$G$120="acoes"))*Inputs!$B$1+((Inputs!$G$5:$G$120&lt;&gt;"moeda")*(Inputs!$G$5:$G$120&lt;&gt;"acoes")))*INDEX(Inputs!$K$5:$AJ$120,0,MATCH(AJ$2,Inputs!$K$4:$AJ$4,0)))+SUMPRODUCT((Inputs!$C$5:$C$120=$B17)*Inputs!$D$5:$D$120*(((Inputs!$G$5:$G$120="moeda")+(Inputs!$G$5:$G$120="acoes"))*Inputs!$B$1+((Inputs!$G$5:$G$120&lt;&gt;"moeda")*(Inputs!$G$5:$G$120&lt;&gt;"acoes")))*INDEX(Inputs!$K$5:$AJ$120,0,MATCH(AJ$2,Inputs!$K$4:$AJ$4,0)))+SUMPRODUCT((Inputs!$E$5:$E$120=$B17)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7" s="267">
        <f>IF(ISNA(MATCH(AK$2,Inputs!$K$4:$AJ$4,0)),NA(),IF(SUMPRODUCT((Inputs!$A$5:$A$120=$B17)*ISNUMBER(INDEX(Inputs!$K$5:$AJ$120,0,MATCH(AK$2,Inputs!$K$4:$AJ$4,0))))+SUMPRODUCT((Inputs!$C$5:$C$120=$B17)*ISNUMBER(INDEX(Inputs!$K$5:$AJ$120,0,MATCH(AK$2,Inputs!$K$4:$AJ$4,0))))+SUMPRODUCT((Inputs!$E$5:$E$120=$B17)*ISNUMBER(INDEX(Inputs!$K$5:$AJ$120,0,MATCH(AK$2,Inputs!$K$4:$AJ$4,0))))=0,NA(),SUMPRODUCT((Inputs!$A$5:$A$120=$B17)*Inputs!$B$5:$B$120*(((Inputs!$G$5:$G$120="moeda")+(Inputs!$G$5:$G$120="acoes"))*Inputs!$B$1+((Inputs!$G$5:$G$120&lt;&gt;"moeda")*(Inputs!$G$5:$G$120&lt;&gt;"acoes")))*INDEX(Inputs!$K$5:$AJ$120,0,MATCH(AK$2,Inputs!$K$4:$AJ$4,0)))+SUMPRODUCT((Inputs!$C$5:$C$120=$B17)*Inputs!$D$5:$D$120*(((Inputs!$G$5:$G$120="moeda")+(Inputs!$G$5:$G$120="acoes"))*Inputs!$B$1+((Inputs!$G$5:$G$120&lt;&gt;"moeda")*(Inputs!$G$5:$G$120&lt;&gt;"acoes")))*INDEX(Inputs!$K$5:$AJ$120,0,MATCH(AK$2,Inputs!$K$4:$AJ$4,0)))+SUMPRODUCT((Inputs!$E$5:$E$120=$B17)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7" s="268">
        <f>AK17</f>
        <v>0</v>
      </c>
    </row>
    <row r="18" ht="12.75" customHeight="1" s="255">
      <c r="B18" s="265" t="n">
        <v>14</v>
      </c>
      <c r="C18" s="270" t="inlineStr">
        <is>
          <t>Deferred income taxes</t>
        </is>
      </c>
      <c r="D18" s="267">
        <f>IF(ISNA(MATCH(D$2,Inputs!$K$4:$AJ$4,0)),NA(),IF(SUMPRODUCT((Inputs!$A$5:$A$120=$B18)*ISNUMBER(INDEX(Inputs!$K$5:$AJ$120,0,MATCH(D$2,Inputs!$K$4:$AJ$4,0))))+SUMPRODUCT((Inputs!$C$5:$C$120=$B18)*ISNUMBER(INDEX(Inputs!$K$5:$AJ$120,0,MATCH(D$2,Inputs!$K$4:$AJ$4,0))))+SUMPRODUCT((Inputs!$E$5:$E$120=$B18)*ISNUMBER(INDEX(Inputs!$K$5:$AJ$120,0,MATCH(D$2,Inputs!$K$4:$AJ$4,0))))=0,NA(),SUMPRODUCT((Inputs!$A$5:$A$120=$B18)*Inputs!$B$5:$B$120*(((Inputs!$G$5:$G$120="moeda")+(Inputs!$G$5:$G$120="acoes"))*Inputs!$B$1+((Inputs!$G$5:$G$120&lt;&gt;"moeda")*(Inputs!$G$5:$G$120&lt;&gt;"acoes")))*INDEX(Inputs!$K$5:$AJ$120,0,MATCH(D$2,Inputs!$K$4:$AJ$4,0)))+SUMPRODUCT((Inputs!$C$5:$C$120=$B18)*Inputs!$D$5:$D$120*(((Inputs!$G$5:$G$120="moeda")+(Inputs!$G$5:$G$120="acoes"))*Inputs!$B$1+((Inputs!$G$5:$G$120&lt;&gt;"moeda")*(Inputs!$G$5:$G$120&lt;&gt;"acoes")))*INDEX(Inputs!$K$5:$AJ$120,0,MATCH(D$2,Inputs!$K$4:$AJ$4,0)))+SUMPRODUCT((Inputs!$E$5:$E$120=$B18)*Inputs!$F$5:$F$120*(((Inputs!$G$5:$G$120="moeda")+(Inputs!$G$5:$G$120="acoes"))*Inputs!$B$1+((Inputs!$G$5:$G$120&lt;&gt;"moeda")*(Inputs!$G$5:$G$120&lt;&gt;"acoes")))*INDEX(Inputs!$K$5:$AJ$120,0,MATCH(D$2,Inputs!$K$4:$AJ$4,0)))))</f>
        <v>0</v>
      </c>
      <c r="E18" s="267">
        <f>IF(ISNA(MATCH(E$2,Inputs!$K$4:$AJ$4,0)),NA(),IF(SUMPRODUCT((Inputs!$A$5:$A$120=$B18)*ISNUMBER(INDEX(Inputs!$K$5:$AJ$120,0,MATCH(E$2,Inputs!$K$4:$AJ$4,0))))+SUMPRODUCT((Inputs!$C$5:$C$120=$B18)*ISNUMBER(INDEX(Inputs!$K$5:$AJ$120,0,MATCH(E$2,Inputs!$K$4:$AJ$4,0))))+SUMPRODUCT((Inputs!$E$5:$E$120=$B18)*ISNUMBER(INDEX(Inputs!$K$5:$AJ$120,0,MATCH(E$2,Inputs!$K$4:$AJ$4,0))))=0,NA(),SUMPRODUCT((Inputs!$A$5:$A$120=$B18)*Inputs!$B$5:$B$120*(((Inputs!$G$5:$G$120="moeda")+(Inputs!$G$5:$G$120="acoes"))*Inputs!$B$1+((Inputs!$G$5:$G$120&lt;&gt;"moeda")*(Inputs!$G$5:$G$120&lt;&gt;"acoes")))*INDEX(Inputs!$K$5:$AJ$120,0,MATCH(E$2,Inputs!$K$4:$AJ$4,0)))+SUMPRODUCT((Inputs!$C$5:$C$120=$B18)*Inputs!$D$5:$D$120*(((Inputs!$G$5:$G$120="moeda")+(Inputs!$G$5:$G$120="acoes"))*Inputs!$B$1+((Inputs!$G$5:$G$120&lt;&gt;"moeda")*(Inputs!$G$5:$G$120&lt;&gt;"acoes")))*INDEX(Inputs!$K$5:$AJ$120,0,MATCH(E$2,Inputs!$K$4:$AJ$4,0)))+SUMPRODUCT((Inputs!$E$5:$E$120=$B18)*Inputs!$F$5:$F$120*(((Inputs!$G$5:$G$120="moeda")+(Inputs!$G$5:$G$120="acoes"))*Inputs!$B$1+((Inputs!$G$5:$G$120&lt;&gt;"moeda")*(Inputs!$G$5:$G$120&lt;&gt;"acoes")))*INDEX(Inputs!$K$5:$AJ$120,0,MATCH(E$2,Inputs!$K$4:$AJ$4,0)))))</f>
        <v>0</v>
      </c>
      <c r="F18" s="267">
        <f>IF(ISNA(MATCH(F$2,Inputs!$K$4:$AJ$4,0)),NA(),IF(SUMPRODUCT((Inputs!$A$5:$A$120=$B18)*ISNUMBER(INDEX(Inputs!$K$5:$AJ$120,0,MATCH(F$2,Inputs!$K$4:$AJ$4,0))))+SUMPRODUCT((Inputs!$C$5:$C$120=$B18)*ISNUMBER(INDEX(Inputs!$K$5:$AJ$120,0,MATCH(F$2,Inputs!$K$4:$AJ$4,0))))+SUMPRODUCT((Inputs!$E$5:$E$120=$B18)*ISNUMBER(INDEX(Inputs!$K$5:$AJ$120,0,MATCH(F$2,Inputs!$K$4:$AJ$4,0))))=0,NA(),SUMPRODUCT((Inputs!$A$5:$A$120=$B18)*Inputs!$B$5:$B$120*(((Inputs!$G$5:$G$120="moeda")+(Inputs!$G$5:$G$120="acoes"))*Inputs!$B$1+((Inputs!$G$5:$G$120&lt;&gt;"moeda")*(Inputs!$G$5:$G$120&lt;&gt;"acoes")))*INDEX(Inputs!$K$5:$AJ$120,0,MATCH(F$2,Inputs!$K$4:$AJ$4,0)))+SUMPRODUCT((Inputs!$C$5:$C$120=$B18)*Inputs!$D$5:$D$120*(((Inputs!$G$5:$G$120="moeda")+(Inputs!$G$5:$G$120="acoes"))*Inputs!$B$1+((Inputs!$G$5:$G$120&lt;&gt;"moeda")*(Inputs!$G$5:$G$120&lt;&gt;"acoes")))*INDEX(Inputs!$K$5:$AJ$120,0,MATCH(F$2,Inputs!$K$4:$AJ$4,0)))+SUMPRODUCT((Inputs!$E$5:$E$120=$B18)*Inputs!$F$5:$F$120*(((Inputs!$G$5:$G$120="moeda")+(Inputs!$G$5:$G$120="acoes"))*Inputs!$B$1+((Inputs!$G$5:$G$120&lt;&gt;"moeda")*(Inputs!$G$5:$G$120&lt;&gt;"acoes")))*INDEX(Inputs!$K$5:$AJ$120,0,MATCH(F$2,Inputs!$K$4:$AJ$4,0)))))</f>
        <v>0</v>
      </c>
      <c r="G18" s="267">
        <f>IF(ISNA(MATCH(G$2,Inputs!$K$4:$AJ$4,0)),NA(),IF(SUMPRODUCT((Inputs!$A$5:$A$120=$B18)*ISNUMBER(INDEX(Inputs!$K$5:$AJ$120,0,MATCH(G$2,Inputs!$K$4:$AJ$4,0))))+SUMPRODUCT((Inputs!$C$5:$C$120=$B18)*ISNUMBER(INDEX(Inputs!$K$5:$AJ$120,0,MATCH(G$2,Inputs!$K$4:$AJ$4,0))))+SUMPRODUCT((Inputs!$E$5:$E$120=$B18)*ISNUMBER(INDEX(Inputs!$K$5:$AJ$120,0,MATCH(G$2,Inputs!$K$4:$AJ$4,0))))=0,NA(),SUMPRODUCT((Inputs!$A$5:$A$120=$B18)*Inputs!$B$5:$B$120*(((Inputs!$G$5:$G$120="moeda")+(Inputs!$G$5:$G$120="acoes"))*Inputs!$B$1+((Inputs!$G$5:$G$120&lt;&gt;"moeda")*(Inputs!$G$5:$G$120&lt;&gt;"acoes")))*INDEX(Inputs!$K$5:$AJ$120,0,MATCH(G$2,Inputs!$K$4:$AJ$4,0)))+SUMPRODUCT((Inputs!$C$5:$C$120=$B18)*Inputs!$D$5:$D$120*(((Inputs!$G$5:$G$120="moeda")+(Inputs!$G$5:$G$120="acoes"))*Inputs!$B$1+((Inputs!$G$5:$G$120&lt;&gt;"moeda")*(Inputs!$G$5:$G$120&lt;&gt;"acoes")))*INDEX(Inputs!$K$5:$AJ$120,0,MATCH(G$2,Inputs!$K$4:$AJ$4,0)))+SUMPRODUCT((Inputs!$E$5:$E$120=$B18)*Inputs!$F$5:$F$120*(((Inputs!$G$5:$G$120="moeda")+(Inputs!$G$5:$G$120="acoes"))*Inputs!$B$1+((Inputs!$G$5:$G$120&lt;&gt;"moeda")*(Inputs!$G$5:$G$120&lt;&gt;"acoes")))*INDEX(Inputs!$K$5:$AJ$120,0,MATCH(G$2,Inputs!$K$4:$AJ$4,0)))))</f>
        <v>0</v>
      </c>
      <c r="H18" s="268">
        <f>G18</f>
        <v>0</v>
      </c>
      <c r="I18" s="267">
        <f>IF(ISNA(MATCH(I$2,Inputs!$K$4:$AJ$4,0)),NA(),IF(SUMPRODUCT((Inputs!$A$5:$A$120=$B18)*ISNUMBER(INDEX(Inputs!$K$5:$AJ$120,0,MATCH(I$2,Inputs!$K$4:$AJ$4,0))))+SUMPRODUCT((Inputs!$C$5:$C$120=$B18)*ISNUMBER(INDEX(Inputs!$K$5:$AJ$120,0,MATCH(I$2,Inputs!$K$4:$AJ$4,0))))+SUMPRODUCT((Inputs!$E$5:$E$120=$B18)*ISNUMBER(INDEX(Inputs!$K$5:$AJ$120,0,MATCH(I$2,Inputs!$K$4:$AJ$4,0))))=0,NA(),SUMPRODUCT((Inputs!$A$5:$A$120=$B18)*Inputs!$B$5:$B$120*(((Inputs!$G$5:$G$120="moeda")+(Inputs!$G$5:$G$120="acoes"))*Inputs!$B$1+((Inputs!$G$5:$G$120&lt;&gt;"moeda")*(Inputs!$G$5:$G$120&lt;&gt;"acoes")))*INDEX(Inputs!$K$5:$AJ$120,0,MATCH(I$2,Inputs!$K$4:$AJ$4,0)))+SUMPRODUCT((Inputs!$C$5:$C$120=$B18)*Inputs!$D$5:$D$120*(((Inputs!$G$5:$G$120="moeda")+(Inputs!$G$5:$G$120="acoes"))*Inputs!$B$1+((Inputs!$G$5:$G$120&lt;&gt;"moeda")*(Inputs!$G$5:$G$120&lt;&gt;"acoes")))*INDEX(Inputs!$K$5:$AJ$120,0,MATCH(I$2,Inputs!$K$4:$AJ$4,0)))+SUMPRODUCT((Inputs!$E$5:$E$120=$B18)*Inputs!$F$5:$F$120*(((Inputs!$G$5:$G$120="moeda")+(Inputs!$G$5:$G$120="acoes"))*Inputs!$B$1+((Inputs!$G$5:$G$120&lt;&gt;"moeda")*(Inputs!$G$5:$G$120&lt;&gt;"acoes")))*INDEX(Inputs!$K$5:$AJ$120,0,MATCH(I$2,Inputs!$K$4:$AJ$4,0)))))</f>
        <v>0</v>
      </c>
      <c r="J18" s="267">
        <f>IF(ISNA(MATCH(J$2,Inputs!$K$4:$AJ$4,0)),NA(),IF(SUMPRODUCT((Inputs!$A$5:$A$120=$B18)*ISNUMBER(INDEX(Inputs!$K$5:$AJ$120,0,MATCH(J$2,Inputs!$K$4:$AJ$4,0))))+SUMPRODUCT((Inputs!$C$5:$C$120=$B18)*ISNUMBER(INDEX(Inputs!$K$5:$AJ$120,0,MATCH(J$2,Inputs!$K$4:$AJ$4,0))))+SUMPRODUCT((Inputs!$E$5:$E$120=$B18)*ISNUMBER(INDEX(Inputs!$K$5:$AJ$120,0,MATCH(J$2,Inputs!$K$4:$AJ$4,0))))=0,NA(),SUMPRODUCT((Inputs!$A$5:$A$120=$B18)*Inputs!$B$5:$B$120*(((Inputs!$G$5:$G$120="moeda")+(Inputs!$G$5:$G$120="acoes"))*Inputs!$B$1+((Inputs!$G$5:$G$120&lt;&gt;"moeda")*(Inputs!$G$5:$G$120&lt;&gt;"acoes")))*INDEX(Inputs!$K$5:$AJ$120,0,MATCH(J$2,Inputs!$K$4:$AJ$4,0)))+SUMPRODUCT((Inputs!$C$5:$C$120=$B18)*Inputs!$D$5:$D$120*(((Inputs!$G$5:$G$120="moeda")+(Inputs!$G$5:$G$120="acoes"))*Inputs!$B$1+((Inputs!$G$5:$G$120&lt;&gt;"moeda")*(Inputs!$G$5:$G$120&lt;&gt;"acoes")))*INDEX(Inputs!$K$5:$AJ$120,0,MATCH(J$2,Inputs!$K$4:$AJ$4,0)))+SUMPRODUCT((Inputs!$E$5:$E$120=$B18)*Inputs!$F$5:$F$120*(((Inputs!$G$5:$G$120="moeda")+(Inputs!$G$5:$G$120="acoes"))*Inputs!$B$1+((Inputs!$G$5:$G$120&lt;&gt;"moeda")*(Inputs!$G$5:$G$120&lt;&gt;"acoes")))*INDEX(Inputs!$K$5:$AJ$120,0,MATCH(J$2,Inputs!$K$4:$AJ$4,0)))))</f>
        <v>0</v>
      </c>
      <c r="K18" s="267">
        <f>IF(ISNA(MATCH(K$2,Inputs!$K$4:$AJ$4,0)),NA(),IF(SUMPRODUCT((Inputs!$A$5:$A$120=$B18)*ISNUMBER(INDEX(Inputs!$K$5:$AJ$120,0,MATCH(K$2,Inputs!$K$4:$AJ$4,0))))+SUMPRODUCT((Inputs!$C$5:$C$120=$B18)*ISNUMBER(INDEX(Inputs!$K$5:$AJ$120,0,MATCH(K$2,Inputs!$K$4:$AJ$4,0))))+SUMPRODUCT((Inputs!$E$5:$E$120=$B18)*ISNUMBER(INDEX(Inputs!$K$5:$AJ$120,0,MATCH(K$2,Inputs!$K$4:$AJ$4,0))))=0,NA(),SUMPRODUCT((Inputs!$A$5:$A$120=$B18)*Inputs!$B$5:$B$120*(((Inputs!$G$5:$G$120="moeda")+(Inputs!$G$5:$G$120="acoes"))*Inputs!$B$1+((Inputs!$G$5:$G$120&lt;&gt;"moeda")*(Inputs!$G$5:$G$120&lt;&gt;"acoes")))*INDEX(Inputs!$K$5:$AJ$120,0,MATCH(K$2,Inputs!$K$4:$AJ$4,0)))+SUMPRODUCT((Inputs!$C$5:$C$120=$B18)*Inputs!$D$5:$D$120*(((Inputs!$G$5:$G$120="moeda")+(Inputs!$G$5:$G$120="acoes"))*Inputs!$B$1+((Inputs!$G$5:$G$120&lt;&gt;"moeda")*(Inputs!$G$5:$G$120&lt;&gt;"acoes")))*INDEX(Inputs!$K$5:$AJ$120,0,MATCH(K$2,Inputs!$K$4:$AJ$4,0)))+SUMPRODUCT((Inputs!$E$5:$E$120=$B18)*Inputs!$F$5:$F$120*(((Inputs!$G$5:$G$120="moeda")+(Inputs!$G$5:$G$120="acoes"))*Inputs!$B$1+((Inputs!$G$5:$G$120&lt;&gt;"moeda")*(Inputs!$G$5:$G$120&lt;&gt;"acoes")))*INDEX(Inputs!$K$5:$AJ$120,0,MATCH(K$2,Inputs!$K$4:$AJ$4,0)))))</f>
        <v>0</v>
      </c>
      <c r="L18" s="267">
        <f>IF(ISNA(MATCH(L$2,Inputs!$K$4:$AJ$4,0)),NA(),IF(SUMPRODUCT((Inputs!$A$5:$A$120=$B18)*ISNUMBER(INDEX(Inputs!$K$5:$AJ$120,0,MATCH(L$2,Inputs!$K$4:$AJ$4,0))))+SUMPRODUCT((Inputs!$C$5:$C$120=$B18)*ISNUMBER(INDEX(Inputs!$K$5:$AJ$120,0,MATCH(L$2,Inputs!$K$4:$AJ$4,0))))+SUMPRODUCT((Inputs!$E$5:$E$120=$B18)*ISNUMBER(INDEX(Inputs!$K$5:$AJ$120,0,MATCH(L$2,Inputs!$K$4:$AJ$4,0))))=0,NA(),SUMPRODUCT((Inputs!$A$5:$A$120=$B18)*Inputs!$B$5:$B$120*(((Inputs!$G$5:$G$120="moeda")+(Inputs!$G$5:$G$120="acoes"))*Inputs!$B$1+((Inputs!$G$5:$G$120&lt;&gt;"moeda")*(Inputs!$G$5:$G$120&lt;&gt;"acoes")))*INDEX(Inputs!$K$5:$AJ$120,0,MATCH(L$2,Inputs!$K$4:$AJ$4,0)))+SUMPRODUCT((Inputs!$C$5:$C$120=$B18)*Inputs!$D$5:$D$120*(((Inputs!$G$5:$G$120="moeda")+(Inputs!$G$5:$G$120="acoes"))*Inputs!$B$1+((Inputs!$G$5:$G$120&lt;&gt;"moeda")*(Inputs!$G$5:$G$120&lt;&gt;"acoes")))*INDEX(Inputs!$K$5:$AJ$120,0,MATCH(L$2,Inputs!$K$4:$AJ$4,0)))+SUMPRODUCT((Inputs!$E$5:$E$120=$B18)*Inputs!$F$5:$F$120*(((Inputs!$G$5:$G$120="moeda")+(Inputs!$G$5:$G$120="acoes"))*Inputs!$B$1+((Inputs!$G$5:$G$120&lt;&gt;"moeda")*(Inputs!$G$5:$G$120&lt;&gt;"acoes")))*INDEX(Inputs!$K$5:$AJ$120,0,MATCH(L$2,Inputs!$K$4:$AJ$4,0)))))</f>
        <v>0</v>
      </c>
      <c r="M18" s="268">
        <f>L18</f>
        <v>0</v>
      </c>
      <c r="N18" s="267">
        <f>IF(ISNA(MATCH(N$2,Inputs!$K$4:$AJ$4,0)),NA(),IF(SUMPRODUCT((Inputs!$A$5:$A$120=$B18)*ISNUMBER(INDEX(Inputs!$K$5:$AJ$120,0,MATCH(N$2,Inputs!$K$4:$AJ$4,0))))+SUMPRODUCT((Inputs!$C$5:$C$120=$B18)*ISNUMBER(INDEX(Inputs!$K$5:$AJ$120,0,MATCH(N$2,Inputs!$K$4:$AJ$4,0))))+SUMPRODUCT((Inputs!$E$5:$E$120=$B18)*ISNUMBER(INDEX(Inputs!$K$5:$AJ$120,0,MATCH(N$2,Inputs!$K$4:$AJ$4,0))))=0,NA(),SUMPRODUCT((Inputs!$A$5:$A$120=$B18)*Inputs!$B$5:$B$120*(((Inputs!$G$5:$G$120="moeda")+(Inputs!$G$5:$G$120="acoes"))*Inputs!$B$1+((Inputs!$G$5:$G$120&lt;&gt;"moeda")*(Inputs!$G$5:$G$120&lt;&gt;"acoes")))*INDEX(Inputs!$K$5:$AJ$120,0,MATCH(N$2,Inputs!$K$4:$AJ$4,0)))+SUMPRODUCT((Inputs!$C$5:$C$120=$B18)*Inputs!$D$5:$D$120*(((Inputs!$G$5:$G$120="moeda")+(Inputs!$G$5:$G$120="acoes"))*Inputs!$B$1+((Inputs!$G$5:$G$120&lt;&gt;"moeda")*(Inputs!$G$5:$G$120&lt;&gt;"acoes")))*INDEX(Inputs!$K$5:$AJ$120,0,MATCH(N$2,Inputs!$K$4:$AJ$4,0)))+SUMPRODUCT((Inputs!$E$5:$E$120=$B18)*Inputs!$F$5:$F$120*(((Inputs!$G$5:$G$120="moeda")+(Inputs!$G$5:$G$120="acoes"))*Inputs!$B$1+((Inputs!$G$5:$G$120&lt;&gt;"moeda")*(Inputs!$G$5:$G$120&lt;&gt;"acoes")))*INDEX(Inputs!$K$5:$AJ$120,0,MATCH(N$2,Inputs!$K$4:$AJ$4,0)))))</f>
        <v>0</v>
      </c>
      <c r="O18" s="267">
        <f>IF(ISNA(MATCH(O$2,Inputs!$K$4:$AJ$4,0)),NA(),IF(SUMPRODUCT((Inputs!$A$5:$A$120=$B18)*ISNUMBER(INDEX(Inputs!$K$5:$AJ$120,0,MATCH(O$2,Inputs!$K$4:$AJ$4,0))))+SUMPRODUCT((Inputs!$C$5:$C$120=$B18)*ISNUMBER(INDEX(Inputs!$K$5:$AJ$120,0,MATCH(O$2,Inputs!$K$4:$AJ$4,0))))+SUMPRODUCT((Inputs!$E$5:$E$120=$B18)*ISNUMBER(INDEX(Inputs!$K$5:$AJ$120,0,MATCH(O$2,Inputs!$K$4:$AJ$4,0))))=0,NA(),SUMPRODUCT((Inputs!$A$5:$A$120=$B18)*Inputs!$B$5:$B$120*(((Inputs!$G$5:$G$120="moeda")+(Inputs!$G$5:$G$120="acoes"))*Inputs!$B$1+((Inputs!$G$5:$G$120&lt;&gt;"moeda")*(Inputs!$G$5:$G$120&lt;&gt;"acoes")))*INDEX(Inputs!$K$5:$AJ$120,0,MATCH(O$2,Inputs!$K$4:$AJ$4,0)))+SUMPRODUCT((Inputs!$C$5:$C$120=$B18)*Inputs!$D$5:$D$120*(((Inputs!$G$5:$G$120="moeda")+(Inputs!$G$5:$G$120="acoes"))*Inputs!$B$1+((Inputs!$G$5:$G$120&lt;&gt;"moeda")*(Inputs!$G$5:$G$120&lt;&gt;"acoes")))*INDEX(Inputs!$K$5:$AJ$120,0,MATCH(O$2,Inputs!$K$4:$AJ$4,0)))+SUMPRODUCT((Inputs!$E$5:$E$120=$B18)*Inputs!$F$5:$F$120*(((Inputs!$G$5:$G$120="moeda")+(Inputs!$G$5:$G$120="acoes"))*Inputs!$B$1+((Inputs!$G$5:$G$120&lt;&gt;"moeda")*(Inputs!$G$5:$G$120&lt;&gt;"acoes")))*INDEX(Inputs!$K$5:$AJ$120,0,MATCH(O$2,Inputs!$K$4:$AJ$4,0)))))</f>
        <v>0</v>
      </c>
      <c r="P18" s="267">
        <f>IF(ISNA(MATCH(P$2,Inputs!$K$4:$AJ$4,0)),NA(),IF(SUMPRODUCT((Inputs!$A$5:$A$120=$B18)*ISNUMBER(INDEX(Inputs!$K$5:$AJ$120,0,MATCH(P$2,Inputs!$K$4:$AJ$4,0))))+SUMPRODUCT((Inputs!$C$5:$C$120=$B18)*ISNUMBER(INDEX(Inputs!$K$5:$AJ$120,0,MATCH(P$2,Inputs!$K$4:$AJ$4,0))))+SUMPRODUCT((Inputs!$E$5:$E$120=$B18)*ISNUMBER(INDEX(Inputs!$K$5:$AJ$120,0,MATCH(P$2,Inputs!$K$4:$AJ$4,0))))=0,NA(),SUMPRODUCT((Inputs!$A$5:$A$120=$B18)*Inputs!$B$5:$B$120*(((Inputs!$G$5:$G$120="moeda")+(Inputs!$G$5:$G$120="acoes"))*Inputs!$B$1+((Inputs!$G$5:$G$120&lt;&gt;"moeda")*(Inputs!$G$5:$G$120&lt;&gt;"acoes")))*INDEX(Inputs!$K$5:$AJ$120,0,MATCH(P$2,Inputs!$K$4:$AJ$4,0)))+SUMPRODUCT((Inputs!$C$5:$C$120=$B18)*Inputs!$D$5:$D$120*(((Inputs!$G$5:$G$120="moeda")+(Inputs!$G$5:$G$120="acoes"))*Inputs!$B$1+((Inputs!$G$5:$G$120&lt;&gt;"moeda")*(Inputs!$G$5:$G$120&lt;&gt;"acoes")))*INDEX(Inputs!$K$5:$AJ$120,0,MATCH(P$2,Inputs!$K$4:$AJ$4,0)))+SUMPRODUCT((Inputs!$E$5:$E$120=$B18)*Inputs!$F$5:$F$120*(((Inputs!$G$5:$G$120="moeda")+(Inputs!$G$5:$G$120="acoes"))*Inputs!$B$1+((Inputs!$G$5:$G$120&lt;&gt;"moeda")*(Inputs!$G$5:$G$120&lt;&gt;"acoes")))*INDEX(Inputs!$K$5:$AJ$120,0,MATCH(P$2,Inputs!$K$4:$AJ$4,0)))))</f>
        <v>0</v>
      </c>
      <c r="Q18" s="267">
        <f>IF(ISNA(MATCH(Q$2,Inputs!$K$4:$AJ$4,0)),NA(),IF(SUMPRODUCT((Inputs!$A$5:$A$120=$B18)*ISNUMBER(INDEX(Inputs!$K$5:$AJ$120,0,MATCH(Q$2,Inputs!$K$4:$AJ$4,0))))+SUMPRODUCT((Inputs!$C$5:$C$120=$B18)*ISNUMBER(INDEX(Inputs!$K$5:$AJ$120,0,MATCH(Q$2,Inputs!$K$4:$AJ$4,0))))+SUMPRODUCT((Inputs!$E$5:$E$120=$B18)*ISNUMBER(INDEX(Inputs!$K$5:$AJ$120,0,MATCH(Q$2,Inputs!$K$4:$AJ$4,0))))=0,NA(),SUMPRODUCT((Inputs!$A$5:$A$120=$B18)*Inputs!$B$5:$B$120*(((Inputs!$G$5:$G$120="moeda")+(Inputs!$G$5:$G$120="acoes"))*Inputs!$B$1+((Inputs!$G$5:$G$120&lt;&gt;"moeda")*(Inputs!$G$5:$G$120&lt;&gt;"acoes")))*INDEX(Inputs!$K$5:$AJ$120,0,MATCH(Q$2,Inputs!$K$4:$AJ$4,0)))+SUMPRODUCT((Inputs!$C$5:$C$120=$B18)*Inputs!$D$5:$D$120*(((Inputs!$G$5:$G$120="moeda")+(Inputs!$G$5:$G$120="acoes"))*Inputs!$B$1+((Inputs!$G$5:$G$120&lt;&gt;"moeda")*(Inputs!$G$5:$G$120&lt;&gt;"acoes")))*INDEX(Inputs!$K$5:$AJ$120,0,MATCH(Q$2,Inputs!$K$4:$AJ$4,0)))+SUMPRODUCT((Inputs!$E$5:$E$120=$B18)*Inputs!$F$5:$F$120*(((Inputs!$G$5:$G$120="moeda")+(Inputs!$G$5:$G$120="acoes"))*Inputs!$B$1+((Inputs!$G$5:$G$120&lt;&gt;"moeda")*(Inputs!$G$5:$G$120&lt;&gt;"acoes")))*INDEX(Inputs!$K$5:$AJ$120,0,MATCH(Q$2,Inputs!$K$4:$AJ$4,0)))))</f>
        <v>0</v>
      </c>
      <c r="R18" s="268">
        <f>Q18</f>
        <v>0</v>
      </c>
      <c r="S18" s="267">
        <f>IF(ISNA(MATCH(S$2,Inputs!$K$4:$AJ$4,0)),NA(),IF(SUMPRODUCT((Inputs!$A$5:$A$120=$B18)*ISNUMBER(INDEX(Inputs!$K$5:$AJ$120,0,MATCH(S$2,Inputs!$K$4:$AJ$4,0))))+SUMPRODUCT((Inputs!$C$5:$C$120=$B18)*ISNUMBER(INDEX(Inputs!$K$5:$AJ$120,0,MATCH(S$2,Inputs!$K$4:$AJ$4,0))))+SUMPRODUCT((Inputs!$E$5:$E$120=$B18)*ISNUMBER(INDEX(Inputs!$K$5:$AJ$120,0,MATCH(S$2,Inputs!$K$4:$AJ$4,0))))=0,NA(),SUMPRODUCT((Inputs!$A$5:$A$120=$B18)*Inputs!$B$5:$B$120*(((Inputs!$G$5:$G$120="moeda")+(Inputs!$G$5:$G$120="acoes"))*Inputs!$B$1+((Inputs!$G$5:$G$120&lt;&gt;"moeda")*(Inputs!$G$5:$G$120&lt;&gt;"acoes")))*INDEX(Inputs!$K$5:$AJ$120,0,MATCH(S$2,Inputs!$K$4:$AJ$4,0)))+SUMPRODUCT((Inputs!$C$5:$C$120=$B18)*Inputs!$D$5:$D$120*(((Inputs!$G$5:$G$120="moeda")+(Inputs!$G$5:$G$120="acoes"))*Inputs!$B$1+((Inputs!$G$5:$G$120&lt;&gt;"moeda")*(Inputs!$G$5:$G$120&lt;&gt;"acoes")))*INDEX(Inputs!$K$5:$AJ$120,0,MATCH(S$2,Inputs!$K$4:$AJ$4,0)))+SUMPRODUCT((Inputs!$E$5:$E$120=$B18)*Inputs!$F$5:$F$120*(((Inputs!$G$5:$G$120="moeda")+(Inputs!$G$5:$G$120="acoes"))*Inputs!$B$1+((Inputs!$G$5:$G$120&lt;&gt;"moeda")*(Inputs!$G$5:$G$120&lt;&gt;"acoes")))*INDEX(Inputs!$K$5:$AJ$120,0,MATCH(S$2,Inputs!$K$4:$AJ$4,0)))))</f>
        <v>0</v>
      </c>
      <c r="T18" s="267">
        <f>IF(ISNA(MATCH(T$2,Inputs!$K$4:$AJ$4,0)),NA(),IF(SUMPRODUCT((Inputs!$A$5:$A$120=$B18)*ISNUMBER(INDEX(Inputs!$K$5:$AJ$120,0,MATCH(T$2,Inputs!$K$4:$AJ$4,0))))+SUMPRODUCT((Inputs!$C$5:$C$120=$B18)*ISNUMBER(INDEX(Inputs!$K$5:$AJ$120,0,MATCH(T$2,Inputs!$K$4:$AJ$4,0))))+SUMPRODUCT((Inputs!$E$5:$E$120=$B18)*ISNUMBER(INDEX(Inputs!$K$5:$AJ$120,0,MATCH(T$2,Inputs!$K$4:$AJ$4,0))))=0,NA(),SUMPRODUCT((Inputs!$A$5:$A$120=$B18)*Inputs!$B$5:$B$120*(((Inputs!$G$5:$G$120="moeda")+(Inputs!$G$5:$G$120="acoes"))*Inputs!$B$1+((Inputs!$G$5:$G$120&lt;&gt;"moeda")*(Inputs!$G$5:$G$120&lt;&gt;"acoes")))*INDEX(Inputs!$K$5:$AJ$120,0,MATCH(T$2,Inputs!$K$4:$AJ$4,0)))+SUMPRODUCT((Inputs!$C$5:$C$120=$B18)*Inputs!$D$5:$D$120*(((Inputs!$G$5:$G$120="moeda")+(Inputs!$G$5:$G$120="acoes"))*Inputs!$B$1+((Inputs!$G$5:$G$120&lt;&gt;"moeda")*(Inputs!$G$5:$G$120&lt;&gt;"acoes")))*INDEX(Inputs!$K$5:$AJ$120,0,MATCH(T$2,Inputs!$K$4:$AJ$4,0)))+SUMPRODUCT((Inputs!$E$5:$E$120=$B18)*Inputs!$F$5:$F$120*(((Inputs!$G$5:$G$120="moeda")+(Inputs!$G$5:$G$120="acoes"))*Inputs!$B$1+((Inputs!$G$5:$G$120&lt;&gt;"moeda")*(Inputs!$G$5:$G$120&lt;&gt;"acoes")))*INDEX(Inputs!$K$5:$AJ$120,0,MATCH(T$2,Inputs!$K$4:$AJ$4,0)))))</f>
        <v>0</v>
      </c>
      <c r="U18" s="267">
        <f>IF(ISNA(MATCH(U$2,Inputs!$K$4:$AJ$4,0)),NA(),IF(SUMPRODUCT((Inputs!$A$5:$A$120=$B18)*ISNUMBER(INDEX(Inputs!$K$5:$AJ$120,0,MATCH(U$2,Inputs!$K$4:$AJ$4,0))))+SUMPRODUCT((Inputs!$C$5:$C$120=$B18)*ISNUMBER(INDEX(Inputs!$K$5:$AJ$120,0,MATCH(U$2,Inputs!$K$4:$AJ$4,0))))+SUMPRODUCT((Inputs!$E$5:$E$120=$B18)*ISNUMBER(INDEX(Inputs!$K$5:$AJ$120,0,MATCH(U$2,Inputs!$K$4:$AJ$4,0))))=0,NA(),SUMPRODUCT((Inputs!$A$5:$A$120=$B18)*Inputs!$B$5:$B$120*(((Inputs!$G$5:$G$120="moeda")+(Inputs!$G$5:$G$120="acoes"))*Inputs!$B$1+((Inputs!$G$5:$G$120&lt;&gt;"moeda")*(Inputs!$G$5:$G$120&lt;&gt;"acoes")))*INDEX(Inputs!$K$5:$AJ$120,0,MATCH(U$2,Inputs!$K$4:$AJ$4,0)))+SUMPRODUCT((Inputs!$C$5:$C$120=$B18)*Inputs!$D$5:$D$120*(((Inputs!$G$5:$G$120="moeda")+(Inputs!$G$5:$G$120="acoes"))*Inputs!$B$1+((Inputs!$G$5:$G$120&lt;&gt;"moeda")*(Inputs!$G$5:$G$120&lt;&gt;"acoes")))*INDEX(Inputs!$K$5:$AJ$120,0,MATCH(U$2,Inputs!$K$4:$AJ$4,0)))+SUMPRODUCT((Inputs!$E$5:$E$120=$B18)*Inputs!$F$5:$F$120*(((Inputs!$G$5:$G$120="moeda")+(Inputs!$G$5:$G$120="acoes"))*Inputs!$B$1+((Inputs!$G$5:$G$120&lt;&gt;"moeda")*(Inputs!$G$5:$G$120&lt;&gt;"acoes")))*INDEX(Inputs!$K$5:$AJ$120,0,MATCH(U$2,Inputs!$K$4:$AJ$4,0)))))</f>
        <v>0</v>
      </c>
      <c r="V18" s="267">
        <f>IF(ISNA(MATCH(V$2,Inputs!$K$4:$AJ$4,0)),NA(),IF(SUMPRODUCT((Inputs!$A$5:$A$120=$B18)*ISNUMBER(INDEX(Inputs!$K$5:$AJ$120,0,MATCH(V$2,Inputs!$K$4:$AJ$4,0))))+SUMPRODUCT((Inputs!$C$5:$C$120=$B18)*ISNUMBER(INDEX(Inputs!$K$5:$AJ$120,0,MATCH(V$2,Inputs!$K$4:$AJ$4,0))))+SUMPRODUCT((Inputs!$E$5:$E$120=$B18)*ISNUMBER(INDEX(Inputs!$K$5:$AJ$120,0,MATCH(V$2,Inputs!$K$4:$AJ$4,0))))=0,NA(),SUMPRODUCT((Inputs!$A$5:$A$120=$B18)*Inputs!$B$5:$B$120*(((Inputs!$G$5:$G$120="moeda")+(Inputs!$G$5:$G$120="acoes"))*Inputs!$B$1+((Inputs!$G$5:$G$120&lt;&gt;"moeda")*(Inputs!$G$5:$G$120&lt;&gt;"acoes")))*INDEX(Inputs!$K$5:$AJ$120,0,MATCH(V$2,Inputs!$K$4:$AJ$4,0)))+SUMPRODUCT((Inputs!$C$5:$C$120=$B18)*Inputs!$D$5:$D$120*(((Inputs!$G$5:$G$120="moeda")+(Inputs!$G$5:$G$120="acoes"))*Inputs!$B$1+((Inputs!$G$5:$G$120&lt;&gt;"moeda")*(Inputs!$G$5:$G$120&lt;&gt;"acoes")))*INDEX(Inputs!$K$5:$AJ$120,0,MATCH(V$2,Inputs!$K$4:$AJ$4,0)))+SUMPRODUCT((Inputs!$E$5:$E$120=$B18)*Inputs!$F$5:$F$120*(((Inputs!$G$5:$G$120="moeda")+(Inputs!$G$5:$G$120="acoes"))*Inputs!$B$1+((Inputs!$G$5:$G$120&lt;&gt;"moeda")*(Inputs!$G$5:$G$120&lt;&gt;"acoes")))*INDEX(Inputs!$K$5:$AJ$120,0,MATCH(V$2,Inputs!$K$4:$AJ$4,0)))))</f>
        <v>0</v>
      </c>
      <c r="W18" s="268">
        <f>V18</f>
        <v>0</v>
      </c>
      <c r="X18" s="267">
        <f>IF(ISNA(MATCH(X$2,Inputs!$K$4:$AJ$4,0)),NA(),IF(SUMPRODUCT((Inputs!$A$5:$A$120=$B18)*ISNUMBER(INDEX(Inputs!$K$5:$AJ$120,0,MATCH(X$2,Inputs!$K$4:$AJ$4,0))))+SUMPRODUCT((Inputs!$C$5:$C$120=$B18)*ISNUMBER(INDEX(Inputs!$K$5:$AJ$120,0,MATCH(X$2,Inputs!$K$4:$AJ$4,0))))+SUMPRODUCT((Inputs!$E$5:$E$120=$B18)*ISNUMBER(INDEX(Inputs!$K$5:$AJ$120,0,MATCH(X$2,Inputs!$K$4:$AJ$4,0))))=0,NA(),SUMPRODUCT((Inputs!$A$5:$A$120=$B18)*Inputs!$B$5:$B$120*(((Inputs!$G$5:$G$120="moeda")+(Inputs!$G$5:$G$120="acoes"))*Inputs!$B$1+((Inputs!$G$5:$G$120&lt;&gt;"moeda")*(Inputs!$G$5:$G$120&lt;&gt;"acoes")))*INDEX(Inputs!$K$5:$AJ$120,0,MATCH(X$2,Inputs!$K$4:$AJ$4,0)))+SUMPRODUCT((Inputs!$C$5:$C$120=$B18)*Inputs!$D$5:$D$120*(((Inputs!$G$5:$G$120="moeda")+(Inputs!$G$5:$G$120="acoes"))*Inputs!$B$1+((Inputs!$G$5:$G$120&lt;&gt;"moeda")*(Inputs!$G$5:$G$120&lt;&gt;"acoes")))*INDEX(Inputs!$K$5:$AJ$120,0,MATCH(X$2,Inputs!$K$4:$AJ$4,0)))+SUMPRODUCT((Inputs!$E$5:$E$120=$B18)*Inputs!$F$5:$F$120*(((Inputs!$G$5:$G$120="moeda")+(Inputs!$G$5:$G$120="acoes"))*Inputs!$B$1+((Inputs!$G$5:$G$120&lt;&gt;"moeda")*(Inputs!$G$5:$G$120&lt;&gt;"acoes")))*INDEX(Inputs!$K$5:$AJ$120,0,MATCH(X$2,Inputs!$K$4:$AJ$4,0)))))</f>
        <v>0</v>
      </c>
      <c r="Y18" s="267">
        <f>IF(ISNA(MATCH(Y$2,Inputs!$K$4:$AJ$4,0)),NA(),IF(SUMPRODUCT((Inputs!$A$5:$A$120=$B18)*ISNUMBER(INDEX(Inputs!$K$5:$AJ$120,0,MATCH(Y$2,Inputs!$K$4:$AJ$4,0))))+SUMPRODUCT((Inputs!$C$5:$C$120=$B18)*ISNUMBER(INDEX(Inputs!$K$5:$AJ$120,0,MATCH(Y$2,Inputs!$K$4:$AJ$4,0))))+SUMPRODUCT((Inputs!$E$5:$E$120=$B18)*ISNUMBER(INDEX(Inputs!$K$5:$AJ$120,0,MATCH(Y$2,Inputs!$K$4:$AJ$4,0))))=0,NA(),SUMPRODUCT((Inputs!$A$5:$A$120=$B18)*Inputs!$B$5:$B$120*(((Inputs!$G$5:$G$120="moeda")+(Inputs!$G$5:$G$120="acoes"))*Inputs!$B$1+((Inputs!$G$5:$G$120&lt;&gt;"moeda")*(Inputs!$G$5:$G$120&lt;&gt;"acoes")))*INDEX(Inputs!$K$5:$AJ$120,0,MATCH(Y$2,Inputs!$K$4:$AJ$4,0)))+SUMPRODUCT((Inputs!$C$5:$C$120=$B18)*Inputs!$D$5:$D$120*(((Inputs!$G$5:$G$120="moeda")+(Inputs!$G$5:$G$120="acoes"))*Inputs!$B$1+((Inputs!$G$5:$G$120&lt;&gt;"moeda")*(Inputs!$G$5:$G$120&lt;&gt;"acoes")))*INDEX(Inputs!$K$5:$AJ$120,0,MATCH(Y$2,Inputs!$K$4:$AJ$4,0)))+SUMPRODUCT((Inputs!$E$5:$E$120=$B18)*Inputs!$F$5:$F$120*(((Inputs!$G$5:$G$120="moeda")+(Inputs!$G$5:$G$120="acoes"))*Inputs!$B$1+((Inputs!$G$5:$G$120&lt;&gt;"moeda")*(Inputs!$G$5:$G$120&lt;&gt;"acoes")))*INDEX(Inputs!$K$5:$AJ$120,0,MATCH(Y$2,Inputs!$K$4:$AJ$4,0)))))</f>
        <v>0</v>
      </c>
      <c r="Z18" s="267">
        <f>IF(ISNA(MATCH(Z$2,Inputs!$K$4:$AJ$4,0)),NA(),IF(SUMPRODUCT((Inputs!$A$5:$A$120=$B18)*ISNUMBER(INDEX(Inputs!$K$5:$AJ$120,0,MATCH(Z$2,Inputs!$K$4:$AJ$4,0))))+SUMPRODUCT((Inputs!$C$5:$C$120=$B18)*ISNUMBER(INDEX(Inputs!$K$5:$AJ$120,0,MATCH(Z$2,Inputs!$K$4:$AJ$4,0))))+SUMPRODUCT((Inputs!$E$5:$E$120=$B18)*ISNUMBER(INDEX(Inputs!$K$5:$AJ$120,0,MATCH(Z$2,Inputs!$K$4:$AJ$4,0))))=0,NA(),SUMPRODUCT((Inputs!$A$5:$A$120=$B18)*Inputs!$B$5:$B$120*(((Inputs!$G$5:$G$120="moeda")+(Inputs!$G$5:$G$120="acoes"))*Inputs!$B$1+((Inputs!$G$5:$G$120&lt;&gt;"moeda")*(Inputs!$G$5:$G$120&lt;&gt;"acoes")))*INDEX(Inputs!$K$5:$AJ$120,0,MATCH(Z$2,Inputs!$K$4:$AJ$4,0)))+SUMPRODUCT((Inputs!$C$5:$C$120=$B18)*Inputs!$D$5:$D$120*(((Inputs!$G$5:$G$120="moeda")+(Inputs!$G$5:$G$120="acoes"))*Inputs!$B$1+((Inputs!$G$5:$G$120&lt;&gt;"moeda")*(Inputs!$G$5:$G$120&lt;&gt;"acoes")))*INDEX(Inputs!$K$5:$AJ$120,0,MATCH(Z$2,Inputs!$K$4:$AJ$4,0)))+SUMPRODUCT((Inputs!$E$5:$E$120=$B18)*Inputs!$F$5:$F$120*(((Inputs!$G$5:$G$120="moeda")+(Inputs!$G$5:$G$120="acoes"))*Inputs!$B$1+((Inputs!$G$5:$G$120&lt;&gt;"moeda")*(Inputs!$G$5:$G$120&lt;&gt;"acoes")))*INDEX(Inputs!$K$5:$AJ$120,0,MATCH(Z$2,Inputs!$K$4:$AJ$4,0)))))</f>
        <v>0</v>
      </c>
      <c r="AA18" s="267">
        <f>IF(ISNA(MATCH(AA$2,Inputs!$K$4:$AJ$4,0)),NA(),IF(SUMPRODUCT((Inputs!$A$5:$A$120=$B18)*ISNUMBER(INDEX(Inputs!$K$5:$AJ$120,0,MATCH(AA$2,Inputs!$K$4:$AJ$4,0))))+SUMPRODUCT((Inputs!$C$5:$C$120=$B18)*ISNUMBER(INDEX(Inputs!$K$5:$AJ$120,0,MATCH(AA$2,Inputs!$K$4:$AJ$4,0))))+SUMPRODUCT((Inputs!$E$5:$E$120=$B18)*ISNUMBER(INDEX(Inputs!$K$5:$AJ$120,0,MATCH(AA$2,Inputs!$K$4:$AJ$4,0))))=0,NA(),SUMPRODUCT((Inputs!$A$5:$A$120=$B18)*Inputs!$B$5:$B$120*(((Inputs!$G$5:$G$120="moeda")+(Inputs!$G$5:$G$120="acoes"))*Inputs!$B$1+((Inputs!$G$5:$G$120&lt;&gt;"moeda")*(Inputs!$G$5:$G$120&lt;&gt;"acoes")))*INDEX(Inputs!$K$5:$AJ$120,0,MATCH(AA$2,Inputs!$K$4:$AJ$4,0)))+SUMPRODUCT((Inputs!$C$5:$C$120=$B18)*Inputs!$D$5:$D$120*(((Inputs!$G$5:$G$120="moeda")+(Inputs!$G$5:$G$120="acoes"))*Inputs!$B$1+((Inputs!$G$5:$G$120&lt;&gt;"moeda")*(Inputs!$G$5:$G$120&lt;&gt;"acoes")))*INDEX(Inputs!$K$5:$AJ$120,0,MATCH(AA$2,Inputs!$K$4:$AJ$4,0)))+SUMPRODUCT((Inputs!$E$5:$E$120=$B18)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8" s="268">
        <f>AA18</f>
        <v>0</v>
      </c>
      <c r="AC18" s="267">
        <f>IF(ISNA(MATCH(AC$2,Inputs!$K$4:$AJ$4,0)),NA(),IF(SUMPRODUCT((Inputs!$A$5:$A$120=$B18)*ISNUMBER(INDEX(Inputs!$K$5:$AJ$120,0,MATCH(AC$2,Inputs!$K$4:$AJ$4,0))))+SUMPRODUCT((Inputs!$C$5:$C$120=$B18)*ISNUMBER(INDEX(Inputs!$K$5:$AJ$120,0,MATCH(AC$2,Inputs!$K$4:$AJ$4,0))))+SUMPRODUCT((Inputs!$E$5:$E$120=$B18)*ISNUMBER(INDEX(Inputs!$K$5:$AJ$120,0,MATCH(AC$2,Inputs!$K$4:$AJ$4,0))))=0,NA(),SUMPRODUCT((Inputs!$A$5:$A$120=$B18)*Inputs!$B$5:$B$120*(((Inputs!$G$5:$G$120="moeda")+(Inputs!$G$5:$G$120="acoes"))*Inputs!$B$1+((Inputs!$G$5:$G$120&lt;&gt;"moeda")*(Inputs!$G$5:$G$120&lt;&gt;"acoes")))*INDEX(Inputs!$K$5:$AJ$120,0,MATCH(AC$2,Inputs!$K$4:$AJ$4,0)))+SUMPRODUCT((Inputs!$C$5:$C$120=$B18)*Inputs!$D$5:$D$120*(((Inputs!$G$5:$G$120="moeda")+(Inputs!$G$5:$G$120="acoes"))*Inputs!$B$1+((Inputs!$G$5:$G$120&lt;&gt;"moeda")*(Inputs!$G$5:$G$120&lt;&gt;"acoes")))*INDEX(Inputs!$K$5:$AJ$120,0,MATCH(AC$2,Inputs!$K$4:$AJ$4,0)))+SUMPRODUCT((Inputs!$E$5:$E$120=$B18)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8" s="267">
        <f>IF(ISNA(MATCH(AD$2,Inputs!$K$4:$AJ$4,0)),NA(),IF(SUMPRODUCT((Inputs!$A$5:$A$120=$B18)*ISNUMBER(INDEX(Inputs!$K$5:$AJ$120,0,MATCH(AD$2,Inputs!$K$4:$AJ$4,0))))+SUMPRODUCT((Inputs!$C$5:$C$120=$B18)*ISNUMBER(INDEX(Inputs!$K$5:$AJ$120,0,MATCH(AD$2,Inputs!$K$4:$AJ$4,0))))+SUMPRODUCT((Inputs!$E$5:$E$120=$B18)*ISNUMBER(INDEX(Inputs!$K$5:$AJ$120,0,MATCH(AD$2,Inputs!$K$4:$AJ$4,0))))=0,NA(),SUMPRODUCT((Inputs!$A$5:$A$120=$B18)*Inputs!$B$5:$B$120*(((Inputs!$G$5:$G$120="moeda")+(Inputs!$G$5:$G$120="acoes"))*Inputs!$B$1+((Inputs!$G$5:$G$120&lt;&gt;"moeda")*(Inputs!$G$5:$G$120&lt;&gt;"acoes")))*INDEX(Inputs!$K$5:$AJ$120,0,MATCH(AD$2,Inputs!$K$4:$AJ$4,0)))+SUMPRODUCT((Inputs!$C$5:$C$120=$B18)*Inputs!$D$5:$D$120*(((Inputs!$G$5:$G$120="moeda")+(Inputs!$G$5:$G$120="acoes"))*Inputs!$B$1+((Inputs!$G$5:$G$120&lt;&gt;"moeda")*(Inputs!$G$5:$G$120&lt;&gt;"acoes")))*INDEX(Inputs!$K$5:$AJ$120,0,MATCH(AD$2,Inputs!$K$4:$AJ$4,0)))+SUMPRODUCT((Inputs!$E$5:$E$120=$B18)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8" s="267" t="e">
        <f>IF(ISNA(MATCH(AE$2,Inputs!$K$4:$AJ$4,0)),NA(),IF(SUMPRODUCT((Inputs!$A$5:$A$120=$B18)*ISNUMBER(INDEX(Inputs!$K$5:$AJ$120,0,MATCH(AE$2,Inputs!$K$4:$AJ$4,0))))+SUMPRODUCT((Inputs!$C$5:$C$120=$B18)*ISNUMBER(INDEX(Inputs!$K$5:$AJ$120,0,MATCH(AE$2,Inputs!$K$4:$AJ$4,0))))+SUMPRODUCT((Inputs!$E$5:$E$120=$B18)*ISNUMBER(INDEX(Inputs!$K$5:$AJ$120,0,MATCH(AE$2,Inputs!$K$4:$AJ$4,0))))=0,NA(),SUMPRODUCT((Inputs!$A$5:$A$120=$B18)*Inputs!$B$5:$B$120*(((Inputs!$G$5:$G$120="moeda")+(Inputs!$G$5:$G$120="acoes"))*Inputs!$B$1+((Inputs!$G$5:$G$120&lt;&gt;"moeda")*(Inputs!$G$5:$G$120&lt;&gt;"acoes")))*INDEX(Inputs!$K$5:$AJ$120,0,MATCH(AE$2,Inputs!$K$4:$AJ$4,0)))+SUMPRODUCT((Inputs!$C$5:$C$120=$B18)*Inputs!$D$5:$D$120*(((Inputs!$G$5:$G$120="moeda")+(Inputs!$G$5:$G$120="acoes"))*Inputs!$B$1+((Inputs!$G$5:$G$120&lt;&gt;"moeda")*(Inputs!$G$5:$G$120&lt;&gt;"acoes")))*INDEX(Inputs!$K$5:$AJ$120,0,MATCH(AE$2,Inputs!$K$4:$AJ$4,0)))+SUMPRODUCT((Inputs!$E$5:$E$120=$B18)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8" s="267" t="e">
        <f>IF(ISNA(MATCH(AF$2,Inputs!$K$4:$AJ$4,0)),NA(),IF(SUMPRODUCT((Inputs!$A$5:$A$120=$B18)*ISNUMBER(INDEX(Inputs!$K$5:$AJ$120,0,MATCH(AF$2,Inputs!$K$4:$AJ$4,0))))+SUMPRODUCT((Inputs!$C$5:$C$120=$B18)*ISNUMBER(INDEX(Inputs!$K$5:$AJ$120,0,MATCH(AF$2,Inputs!$K$4:$AJ$4,0))))+SUMPRODUCT((Inputs!$E$5:$E$120=$B18)*ISNUMBER(INDEX(Inputs!$K$5:$AJ$120,0,MATCH(AF$2,Inputs!$K$4:$AJ$4,0))))=0,NA(),SUMPRODUCT((Inputs!$A$5:$A$120=$B18)*Inputs!$B$5:$B$120*(((Inputs!$G$5:$G$120="moeda")+(Inputs!$G$5:$G$120="acoes"))*Inputs!$B$1+((Inputs!$G$5:$G$120&lt;&gt;"moeda")*(Inputs!$G$5:$G$120&lt;&gt;"acoes")))*INDEX(Inputs!$K$5:$AJ$120,0,MATCH(AF$2,Inputs!$K$4:$AJ$4,0)))+SUMPRODUCT((Inputs!$C$5:$C$120=$B18)*Inputs!$D$5:$D$120*(((Inputs!$G$5:$G$120="moeda")+(Inputs!$G$5:$G$120="acoes"))*Inputs!$B$1+((Inputs!$G$5:$G$120&lt;&gt;"moeda")*(Inputs!$G$5:$G$120&lt;&gt;"acoes")))*INDEX(Inputs!$K$5:$AJ$120,0,MATCH(AF$2,Inputs!$K$4:$AJ$4,0)))+SUMPRODUCT((Inputs!$E$5:$E$120=$B18)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8" s="268" t="e">
        <f>AF18</f>
        <v>#N/A</v>
      </c>
      <c r="AH18" s="267">
        <f>IF(ISNA(MATCH(AH$2,Inputs!$K$4:$AJ$4,0)),NA(),IF(SUMPRODUCT((Inputs!$A$5:$A$120=$B18)*ISNUMBER(INDEX(Inputs!$K$5:$AJ$120,0,MATCH(AH$2,Inputs!$K$4:$AJ$4,0))))+SUMPRODUCT((Inputs!$C$5:$C$120=$B18)*ISNUMBER(INDEX(Inputs!$K$5:$AJ$120,0,MATCH(AH$2,Inputs!$K$4:$AJ$4,0))))+SUMPRODUCT((Inputs!$E$5:$E$120=$B18)*ISNUMBER(INDEX(Inputs!$K$5:$AJ$120,0,MATCH(AH$2,Inputs!$K$4:$AJ$4,0))))=0,NA(),SUMPRODUCT((Inputs!$A$5:$A$120=$B18)*Inputs!$B$5:$B$120*(((Inputs!$G$5:$G$120="moeda")+(Inputs!$G$5:$G$120="acoes"))*Inputs!$B$1+((Inputs!$G$5:$G$120&lt;&gt;"moeda")*(Inputs!$G$5:$G$120&lt;&gt;"acoes")))*INDEX(Inputs!$K$5:$AJ$120,0,MATCH(AH$2,Inputs!$K$4:$AJ$4,0)))+SUMPRODUCT((Inputs!$C$5:$C$120=$B18)*Inputs!$D$5:$D$120*(((Inputs!$G$5:$G$120="moeda")+(Inputs!$G$5:$G$120="acoes"))*Inputs!$B$1+((Inputs!$G$5:$G$120&lt;&gt;"moeda")*(Inputs!$G$5:$G$120&lt;&gt;"acoes")))*INDEX(Inputs!$K$5:$AJ$120,0,MATCH(AH$2,Inputs!$K$4:$AJ$4,0)))+SUMPRODUCT((Inputs!$E$5:$E$120=$B18)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8" s="267">
        <f>IF(ISNA(MATCH(AI$2,Inputs!$K$4:$AJ$4,0)),NA(),IF(SUMPRODUCT((Inputs!$A$5:$A$120=$B18)*ISNUMBER(INDEX(Inputs!$K$5:$AJ$120,0,MATCH(AI$2,Inputs!$K$4:$AJ$4,0))))+SUMPRODUCT((Inputs!$C$5:$C$120=$B18)*ISNUMBER(INDEX(Inputs!$K$5:$AJ$120,0,MATCH(AI$2,Inputs!$K$4:$AJ$4,0))))+SUMPRODUCT((Inputs!$E$5:$E$120=$B18)*ISNUMBER(INDEX(Inputs!$K$5:$AJ$120,0,MATCH(AI$2,Inputs!$K$4:$AJ$4,0))))=0,NA(),SUMPRODUCT((Inputs!$A$5:$A$120=$B18)*Inputs!$B$5:$B$120*(((Inputs!$G$5:$G$120="moeda")+(Inputs!$G$5:$G$120="acoes"))*Inputs!$B$1+((Inputs!$G$5:$G$120&lt;&gt;"moeda")*(Inputs!$G$5:$G$120&lt;&gt;"acoes")))*INDEX(Inputs!$K$5:$AJ$120,0,MATCH(AI$2,Inputs!$K$4:$AJ$4,0)))+SUMPRODUCT((Inputs!$C$5:$C$120=$B18)*Inputs!$D$5:$D$120*(((Inputs!$G$5:$G$120="moeda")+(Inputs!$G$5:$G$120="acoes"))*Inputs!$B$1+((Inputs!$G$5:$G$120&lt;&gt;"moeda")*(Inputs!$G$5:$G$120&lt;&gt;"acoes")))*INDEX(Inputs!$K$5:$AJ$120,0,MATCH(AI$2,Inputs!$K$4:$AJ$4,0)))+SUMPRODUCT((Inputs!$E$5:$E$120=$B18)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8" s="267">
        <f>IF(ISNA(MATCH(AJ$2,Inputs!$K$4:$AJ$4,0)),NA(),IF(SUMPRODUCT((Inputs!$A$5:$A$120=$B18)*ISNUMBER(INDEX(Inputs!$K$5:$AJ$120,0,MATCH(AJ$2,Inputs!$K$4:$AJ$4,0))))+SUMPRODUCT((Inputs!$C$5:$C$120=$B18)*ISNUMBER(INDEX(Inputs!$K$5:$AJ$120,0,MATCH(AJ$2,Inputs!$K$4:$AJ$4,0))))+SUMPRODUCT((Inputs!$E$5:$E$120=$B18)*ISNUMBER(INDEX(Inputs!$K$5:$AJ$120,0,MATCH(AJ$2,Inputs!$K$4:$AJ$4,0))))=0,NA(),SUMPRODUCT((Inputs!$A$5:$A$120=$B18)*Inputs!$B$5:$B$120*(((Inputs!$G$5:$G$120="moeda")+(Inputs!$G$5:$G$120="acoes"))*Inputs!$B$1+((Inputs!$G$5:$G$120&lt;&gt;"moeda")*(Inputs!$G$5:$G$120&lt;&gt;"acoes")))*INDEX(Inputs!$K$5:$AJ$120,0,MATCH(AJ$2,Inputs!$K$4:$AJ$4,0)))+SUMPRODUCT((Inputs!$C$5:$C$120=$B18)*Inputs!$D$5:$D$120*(((Inputs!$G$5:$G$120="moeda")+(Inputs!$G$5:$G$120="acoes"))*Inputs!$B$1+((Inputs!$G$5:$G$120&lt;&gt;"moeda")*(Inputs!$G$5:$G$120&lt;&gt;"acoes")))*INDEX(Inputs!$K$5:$AJ$120,0,MATCH(AJ$2,Inputs!$K$4:$AJ$4,0)))+SUMPRODUCT((Inputs!$E$5:$E$120=$B18)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8" s="267">
        <f>IF(ISNA(MATCH(AK$2,Inputs!$K$4:$AJ$4,0)),NA(),IF(SUMPRODUCT((Inputs!$A$5:$A$120=$B18)*ISNUMBER(INDEX(Inputs!$K$5:$AJ$120,0,MATCH(AK$2,Inputs!$K$4:$AJ$4,0))))+SUMPRODUCT((Inputs!$C$5:$C$120=$B18)*ISNUMBER(INDEX(Inputs!$K$5:$AJ$120,0,MATCH(AK$2,Inputs!$K$4:$AJ$4,0))))+SUMPRODUCT((Inputs!$E$5:$E$120=$B18)*ISNUMBER(INDEX(Inputs!$K$5:$AJ$120,0,MATCH(AK$2,Inputs!$K$4:$AJ$4,0))))=0,NA(),SUMPRODUCT((Inputs!$A$5:$A$120=$B18)*Inputs!$B$5:$B$120*(((Inputs!$G$5:$G$120="moeda")+(Inputs!$G$5:$G$120="acoes"))*Inputs!$B$1+((Inputs!$G$5:$G$120&lt;&gt;"moeda")*(Inputs!$G$5:$G$120&lt;&gt;"acoes")))*INDEX(Inputs!$K$5:$AJ$120,0,MATCH(AK$2,Inputs!$K$4:$AJ$4,0)))+SUMPRODUCT((Inputs!$C$5:$C$120=$B18)*Inputs!$D$5:$D$120*(((Inputs!$G$5:$G$120="moeda")+(Inputs!$G$5:$G$120="acoes"))*Inputs!$B$1+((Inputs!$G$5:$G$120&lt;&gt;"moeda")*(Inputs!$G$5:$G$120&lt;&gt;"acoes")))*INDEX(Inputs!$K$5:$AJ$120,0,MATCH(AK$2,Inputs!$K$4:$AJ$4,0)))+SUMPRODUCT((Inputs!$E$5:$E$120=$B18)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8" s="268">
        <f>AK18</f>
        <v>0</v>
      </c>
    </row>
    <row r="19" ht="12.75" customHeight="1" s="255">
      <c r="B19" s="265" t="n">
        <v>15</v>
      </c>
      <c r="C19" s="270" t="inlineStr">
        <is>
          <t>Prepaid expenses</t>
        </is>
      </c>
      <c r="D19" s="267">
        <f>IF(ISNA(MATCH(D$2,Inputs!$K$4:$AJ$4,0)),NA(),IF(SUMPRODUCT((Inputs!$A$5:$A$120=$B19)*ISNUMBER(INDEX(Inputs!$K$5:$AJ$120,0,MATCH(D$2,Inputs!$K$4:$AJ$4,0))))+SUMPRODUCT((Inputs!$C$5:$C$120=$B19)*ISNUMBER(INDEX(Inputs!$K$5:$AJ$120,0,MATCH(D$2,Inputs!$K$4:$AJ$4,0))))+SUMPRODUCT((Inputs!$E$5:$E$120=$B19)*ISNUMBER(INDEX(Inputs!$K$5:$AJ$120,0,MATCH(D$2,Inputs!$K$4:$AJ$4,0))))=0,NA(),SUMPRODUCT((Inputs!$A$5:$A$120=$B19)*Inputs!$B$5:$B$120*(((Inputs!$G$5:$G$120="moeda")+(Inputs!$G$5:$G$120="acoes"))*Inputs!$B$1+((Inputs!$G$5:$G$120&lt;&gt;"moeda")*(Inputs!$G$5:$G$120&lt;&gt;"acoes")))*INDEX(Inputs!$K$5:$AJ$120,0,MATCH(D$2,Inputs!$K$4:$AJ$4,0)))+SUMPRODUCT((Inputs!$C$5:$C$120=$B19)*Inputs!$D$5:$D$120*(((Inputs!$G$5:$G$120="moeda")+(Inputs!$G$5:$G$120="acoes"))*Inputs!$B$1+((Inputs!$G$5:$G$120&lt;&gt;"moeda")*(Inputs!$G$5:$G$120&lt;&gt;"acoes")))*INDEX(Inputs!$K$5:$AJ$120,0,MATCH(D$2,Inputs!$K$4:$AJ$4,0)))+SUMPRODUCT((Inputs!$E$5:$E$120=$B19)*Inputs!$F$5:$F$120*(((Inputs!$G$5:$G$120="moeda")+(Inputs!$G$5:$G$120="acoes"))*Inputs!$B$1+((Inputs!$G$5:$G$120&lt;&gt;"moeda")*(Inputs!$G$5:$G$120&lt;&gt;"acoes")))*INDEX(Inputs!$K$5:$AJ$120,0,MATCH(D$2,Inputs!$K$4:$AJ$4,0)))))</f>
        <v>0</v>
      </c>
      <c r="E19" s="267">
        <f>IF(ISNA(MATCH(E$2,Inputs!$K$4:$AJ$4,0)),NA(),IF(SUMPRODUCT((Inputs!$A$5:$A$120=$B19)*ISNUMBER(INDEX(Inputs!$K$5:$AJ$120,0,MATCH(E$2,Inputs!$K$4:$AJ$4,0))))+SUMPRODUCT((Inputs!$C$5:$C$120=$B19)*ISNUMBER(INDEX(Inputs!$K$5:$AJ$120,0,MATCH(E$2,Inputs!$K$4:$AJ$4,0))))+SUMPRODUCT((Inputs!$E$5:$E$120=$B19)*ISNUMBER(INDEX(Inputs!$K$5:$AJ$120,0,MATCH(E$2,Inputs!$K$4:$AJ$4,0))))=0,NA(),SUMPRODUCT((Inputs!$A$5:$A$120=$B19)*Inputs!$B$5:$B$120*(((Inputs!$G$5:$G$120="moeda")+(Inputs!$G$5:$G$120="acoes"))*Inputs!$B$1+((Inputs!$G$5:$G$120&lt;&gt;"moeda")*(Inputs!$G$5:$G$120&lt;&gt;"acoes")))*INDEX(Inputs!$K$5:$AJ$120,0,MATCH(E$2,Inputs!$K$4:$AJ$4,0)))+SUMPRODUCT((Inputs!$C$5:$C$120=$B19)*Inputs!$D$5:$D$120*(((Inputs!$G$5:$G$120="moeda")+(Inputs!$G$5:$G$120="acoes"))*Inputs!$B$1+((Inputs!$G$5:$G$120&lt;&gt;"moeda")*(Inputs!$G$5:$G$120&lt;&gt;"acoes")))*INDEX(Inputs!$K$5:$AJ$120,0,MATCH(E$2,Inputs!$K$4:$AJ$4,0)))+SUMPRODUCT((Inputs!$E$5:$E$120=$B19)*Inputs!$F$5:$F$120*(((Inputs!$G$5:$G$120="moeda")+(Inputs!$G$5:$G$120="acoes"))*Inputs!$B$1+((Inputs!$G$5:$G$120&lt;&gt;"moeda")*(Inputs!$G$5:$G$120&lt;&gt;"acoes")))*INDEX(Inputs!$K$5:$AJ$120,0,MATCH(E$2,Inputs!$K$4:$AJ$4,0)))))</f>
        <v>0</v>
      </c>
      <c r="F19" s="267">
        <f>IF(ISNA(MATCH(F$2,Inputs!$K$4:$AJ$4,0)),NA(),IF(SUMPRODUCT((Inputs!$A$5:$A$120=$B19)*ISNUMBER(INDEX(Inputs!$K$5:$AJ$120,0,MATCH(F$2,Inputs!$K$4:$AJ$4,0))))+SUMPRODUCT((Inputs!$C$5:$C$120=$B19)*ISNUMBER(INDEX(Inputs!$K$5:$AJ$120,0,MATCH(F$2,Inputs!$K$4:$AJ$4,0))))+SUMPRODUCT((Inputs!$E$5:$E$120=$B19)*ISNUMBER(INDEX(Inputs!$K$5:$AJ$120,0,MATCH(F$2,Inputs!$K$4:$AJ$4,0))))=0,NA(),SUMPRODUCT((Inputs!$A$5:$A$120=$B19)*Inputs!$B$5:$B$120*(((Inputs!$G$5:$G$120="moeda")+(Inputs!$G$5:$G$120="acoes"))*Inputs!$B$1+((Inputs!$G$5:$G$120&lt;&gt;"moeda")*(Inputs!$G$5:$G$120&lt;&gt;"acoes")))*INDEX(Inputs!$K$5:$AJ$120,0,MATCH(F$2,Inputs!$K$4:$AJ$4,0)))+SUMPRODUCT((Inputs!$C$5:$C$120=$B19)*Inputs!$D$5:$D$120*(((Inputs!$G$5:$G$120="moeda")+(Inputs!$G$5:$G$120="acoes"))*Inputs!$B$1+((Inputs!$G$5:$G$120&lt;&gt;"moeda")*(Inputs!$G$5:$G$120&lt;&gt;"acoes")))*INDEX(Inputs!$K$5:$AJ$120,0,MATCH(F$2,Inputs!$K$4:$AJ$4,0)))+SUMPRODUCT((Inputs!$E$5:$E$120=$B19)*Inputs!$F$5:$F$120*(((Inputs!$G$5:$G$120="moeda")+(Inputs!$G$5:$G$120="acoes"))*Inputs!$B$1+((Inputs!$G$5:$G$120&lt;&gt;"moeda")*(Inputs!$G$5:$G$120&lt;&gt;"acoes")))*INDEX(Inputs!$K$5:$AJ$120,0,MATCH(F$2,Inputs!$K$4:$AJ$4,0)))))</f>
        <v>0</v>
      </c>
      <c r="G19" s="267">
        <f>IF(ISNA(MATCH(G$2,Inputs!$K$4:$AJ$4,0)),NA(),IF(SUMPRODUCT((Inputs!$A$5:$A$120=$B19)*ISNUMBER(INDEX(Inputs!$K$5:$AJ$120,0,MATCH(G$2,Inputs!$K$4:$AJ$4,0))))+SUMPRODUCT((Inputs!$C$5:$C$120=$B19)*ISNUMBER(INDEX(Inputs!$K$5:$AJ$120,0,MATCH(G$2,Inputs!$K$4:$AJ$4,0))))+SUMPRODUCT((Inputs!$E$5:$E$120=$B19)*ISNUMBER(INDEX(Inputs!$K$5:$AJ$120,0,MATCH(G$2,Inputs!$K$4:$AJ$4,0))))=0,NA(),SUMPRODUCT((Inputs!$A$5:$A$120=$B19)*Inputs!$B$5:$B$120*(((Inputs!$G$5:$G$120="moeda")+(Inputs!$G$5:$G$120="acoes"))*Inputs!$B$1+((Inputs!$G$5:$G$120&lt;&gt;"moeda")*(Inputs!$G$5:$G$120&lt;&gt;"acoes")))*INDEX(Inputs!$K$5:$AJ$120,0,MATCH(G$2,Inputs!$K$4:$AJ$4,0)))+SUMPRODUCT((Inputs!$C$5:$C$120=$B19)*Inputs!$D$5:$D$120*(((Inputs!$G$5:$G$120="moeda")+(Inputs!$G$5:$G$120="acoes"))*Inputs!$B$1+((Inputs!$G$5:$G$120&lt;&gt;"moeda")*(Inputs!$G$5:$G$120&lt;&gt;"acoes")))*INDEX(Inputs!$K$5:$AJ$120,0,MATCH(G$2,Inputs!$K$4:$AJ$4,0)))+SUMPRODUCT((Inputs!$E$5:$E$120=$B19)*Inputs!$F$5:$F$120*(((Inputs!$G$5:$G$120="moeda")+(Inputs!$G$5:$G$120="acoes"))*Inputs!$B$1+((Inputs!$G$5:$G$120&lt;&gt;"moeda")*(Inputs!$G$5:$G$120&lt;&gt;"acoes")))*INDEX(Inputs!$K$5:$AJ$120,0,MATCH(G$2,Inputs!$K$4:$AJ$4,0)))))</f>
        <v>0</v>
      </c>
      <c r="H19" s="268">
        <f>G19</f>
        <v>0</v>
      </c>
      <c r="I19" s="267">
        <f>IF(ISNA(MATCH(I$2,Inputs!$K$4:$AJ$4,0)),NA(),IF(SUMPRODUCT((Inputs!$A$5:$A$120=$B19)*ISNUMBER(INDEX(Inputs!$K$5:$AJ$120,0,MATCH(I$2,Inputs!$K$4:$AJ$4,0))))+SUMPRODUCT((Inputs!$C$5:$C$120=$B19)*ISNUMBER(INDEX(Inputs!$K$5:$AJ$120,0,MATCH(I$2,Inputs!$K$4:$AJ$4,0))))+SUMPRODUCT((Inputs!$E$5:$E$120=$B19)*ISNUMBER(INDEX(Inputs!$K$5:$AJ$120,0,MATCH(I$2,Inputs!$K$4:$AJ$4,0))))=0,NA(),SUMPRODUCT((Inputs!$A$5:$A$120=$B19)*Inputs!$B$5:$B$120*(((Inputs!$G$5:$G$120="moeda")+(Inputs!$G$5:$G$120="acoes"))*Inputs!$B$1+((Inputs!$G$5:$G$120&lt;&gt;"moeda")*(Inputs!$G$5:$G$120&lt;&gt;"acoes")))*INDEX(Inputs!$K$5:$AJ$120,0,MATCH(I$2,Inputs!$K$4:$AJ$4,0)))+SUMPRODUCT((Inputs!$C$5:$C$120=$B19)*Inputs!$D$5:$D$120*(((Inputs!$G$5:$G$120="moeda")+(Inputs!$G$5:$G$120="acoes"))*Inputs!$B$1+((Inputs!$G$5:$G$120&lt;&gt;"moeda")*(Inputs!$G$5:$G$120&lt;&gt;"acoes")))*INDEX(Inputs!$K$5:$AJ$120,0,MATCH(I$2,Inputs!$K$4:$AJ$4,0)))+SUMPRODUCT((Inputs!$E$5:$E$120=$B19)*Inputs!$F$5:$F$120*(((Inputs!$G$5:$G$120="moeda")+(Inputs!$G$5:$G$120="acoes"))*Inputs!$B$1+((Inputs!$G$5:$G$120&lt;&gt;"moeda")*(Inputs!$G$5:$G$120&lt;&gt;"acoes")))*INDEX(Inputs!$K$5:$AJ$120,0,MATCH(I$2,Inputs!$K$4:$AJ$4,0)))))</f>
        <v>0</v>
      </c>
      <c r="J19" s="267">
        <f>IF(ISNA(MATCH(J$2,Inputs!$K$4:$AJ$4,0)),NA(),IF(SUMPRODUCT((Inputs!$A$5:$A$120=$B19)*ISNUMBER(INDEX(Inputs!$K$5:$AJ$120,0,MATCH(J$2,Inputs!$K$4:$AJ$4,0))))+SUMPRODUCT((Inputs!$C$5:$C$120=$B19)*ISNUMBER(INDEX(Inputs!$K$5:$AJ$120,0,MATCH(J$2,Inputs!$K$4:$AJ$4,0))))+SUMPRODUCT((Inputs!$E$5:$E$120=$B19)*ISNUMBER(INDEX(Inputs!$K$5:$AJ$120,0,MATCH(J$2,Inputs!$K$4:$AJ$4,0))))=0,NA(),SUMPRODUCT((Inputs!$A$5:$A$120=$B19)*Inputs!$B$5:$B$120*(((Inputs!$G$5:$G$120="moeda")+(Inputs!$G$5:$G$120="acoes"))*Inputs!$B$1+((Inputs!$G$5:$G$120&lt;&gt;"moeda")*(Inputs!$G$5:$G$120&lt;&gt;"acoes")))*INDEX(Inputs!$K$5:$AJ$120,0,MATCH(J$2,Inputs!$K$4:$AJ$4,0)))+SUMPRODUCT((Inputs!$C$5:$C$120=$B19)*Inputs!$D$5:$D$120*(((Inputs!$G$5:$G$120="moeda")+(Inputs!$G$5:$G$120="acoes"))*Inputs!$B$1+((Inputs!$G$5:$G$120&lt;&gt;"moeda")*(Inputs!$G$5:$G$120&lt;&gt;"acoes")))*INDEX(Inputs!$K$5:$AJ$120,0,MATCH(J$2,Inputs!$K$4:$AJ$4,0)))+SUMPRODUCT((Inputs!$E$5:$E$120=$B19)*Inputs!$F$5:$F$120*(((Inputs!$G$5:$G$120="moeda")+(Inputs!$G$5:$G$120="acoes"))*Inputs!$B$1+((Inputs!$G$5:$G$120&lt;&gt;"moeda")*(Inputs!$G$5:$G$120&lt;&gt;"acoes")))*INDEX(Inputs!$K$5:$AJ$120,0,MATCH(J$2,Inputs!$K$4:$AJ$4,0)))))</f>
        <v>0</v>
      </c>
      <c r="K19" s="267">
        <f>IF(ISNA(MATCH(K$2,Inputs!$K$4:$AJ$4,0)),NA(),IF(SUMPRODUCT((Inputs!$A$5:$A$120=$B19)*ISNUMBER(INDEX(Inputs!$K$5:$AJ$120,0,MATCH(K$2,Inputs!$K$4:$AJ$4,0))))+SUMPRODUCT((Inputs!$C$5:$C$120=$B19)*ISNUMBER(INDEX(Inputs!$K$5:$AJ$120,0,MATCH(K$2,Inputs!$K$4:$AJ$4,0))))+SUMPRODUCT((Inputs!$E$5:$E$120=$B19)*ISNUMBER(INDEX(Inputs!$K$5:$AJ$120,0,MATCH(K$2,Inputs!$K$4:$AJ$4,0))))=0,NA(),SUMPRODUCT((Inputs!$A$5:$A$120=$B19)*Inputs!$B$5:$B$120*(((Inputs!$G$5:$G$120="moeda")+(Inputs!$G$5:$G$120="acoes"))*Inputs!$B$1+((Inputs!$G$5:$G$120&lt;&gt;"moeda")*(Inputs!$G$5:$G$120&lt;&gt;"acoes")))*INDEX(Inputs!$K$5:$AJ$120,0,MATCH(K$2,Inputs!$K$4:$AJ$4,0)))+SUMPRODUCT((Inputs!$C$5:$C$120=$B19)*Inputs!$D$5:$D$120*(((Inputs!$G$5:$G$120="moeda")+(Inputs!$G$5:$G$120="acoes"))*Inputs!$B$1+((Inputs!$G$5:$G$120&lt;&gt;"moeda")*(Inputs!$G$5:$G$120&lt;&gt;"acoes")))*INDEX(Inputs!$K$5:$AJ$120,0,MATCH(K$2,Inputs!$K$4:$AJ$4,0)))+SUMPRODUCT((Inputs!$E$5:$E$120=$B19)*Inputs!$F$5:$F$120*(((Inputs!$G$5:$G$120="moeda")+(Inputs!$G$5:$G$120="acoes"))*Inputs!$B$1+((Inputs!$G$5:$G$120&lt;&gt;"moeda")*(Inputs!$G$5:$G$120&lt;&gt;"acoes")))*INDEX(Inputs!$K$5:$AJ$120,0,MATCH(K$2,Inputs!$K$4:$AJ$4,0)))))</f>
        <v>0</v>
      </c>
      <c r="L19" s="267">
        <f>IF(ISNA(MATCH(L$2,Inputs!$K$4:$AJ$4,0)),NA(),IF(SUMPRODUCT((Inputs!$A$5:$A$120=$B19)*ISNUMBER(INDEX(Inputs!$K$5:$AJ$120,0,MATCH(L$2,Inputs!$K$4:$AJ$4,0))))+SUMPRODUCT((Inputs!$C$5:$C$120=$B19)*ISNUMBER(INDEX(Inputs!$K$5:$AJ$120,0,MATCH(L$2,Inputs!$K$4:$AJ$4,0))))+SUMPRODUCT((Inputs!$E$5:$E$120=$B19)*ISNUMBER(INDEX(Inputs!$K$5:$AJ$120,0,MATCH(L$2,Inputs!$K$4:$AJ$4,0))))=0,NA(),SUMPRODUCT((Inputs!$A$5:$A$120=$B19)*Inputs!$B$5:$B$120*(((Inputs!$G$5:$G$120="moeda")+(Inputs!$G$5:$G$120="acoes"))*Inputs!$B$1+((Inputs!$G$5:$G$120&lt;&gt;"moeda")*(Inputs!$G$5:$G$120&lt;&gt;"acoes")))*INDEX(Inputs!$K$5:$AJ$120,0,MATCH(L$2,Inputs!$K$4:$AJ$4,0)))+SUMPRODUCT((Inputs!$C$5:$C$120=$B19)*Inputs!$D$5:$D$120*(((Inputs!$G$5:$G$120="moeda")+(Inputs!$G$5:$G$120="acoes"))*Inputs!$B$1+((Inputs!$G$5:$G$120&lt;&gt;"moeda")*(Inputs!$G$5:$G$120&lt;&gt;"acoes")))*INDEX(Inputs!$K$5:$AJ$120,0,MATCH(L$2,Inputs!$K$4:$AJ$4,0)))+SUMPRODUCT((Inputs!$E$5:$E$120=$B19)*Inputs!$F$5:$F$120*(((Inputs!$G$5:$G$120="moeda")+(Inputs!$G$5:$G$120="acoes"))*Inputs!$B$1+((Inputs!$G$5:$G$120&lt;&gt;"moeda")*(Inputs!$G$5:$G$120&lt;&gt;"acoes")))*INDEX(Inputs!$K$5:$AJ$120,0,MATCH(L$2,Inputs!$K$4:$AJ$4,0)))))</f>
        <v>0</v>
      </c>
      <c r="M19" s="268">
        <f>L19</f>
        <v>0</v>
      </c>
      <c r="N19" s="267">
        <f>IF(ISNA(MATCH(N$2,Inputs!$K$4:$AJ$4,0)),NA(),IF(SUMPRODUCT((Inputs!$A$5:$A$120=$B19)*ISNUMBER(INDEX(Inputs!$K$5:$AJ$120,0,MATCH(N$2,Inputs!$K$4:$AJ$4,0))))+SUMPRODUCT((Inputs!$C$5:$C$120=$B19)*ISNUMBER(INDEX(Inputs!$K$5:$AJ$120,0,MATCH(N$2,Inputs!$K$4:$AJ$4,0))))+SUMPRODUCT((Inputs!$E$5:$E$120=$B19)*ISNUMBER(INDEX(Inputs!$K$5:$AJ$120,0,MATCH(N$2,Inputs!$K$4:$AJ$4,0))))=0,NA(),SUMPRODUCT((Inputs!$A$5:$A$120=$B19)*Inputs!$B$5:$B$120*(((Inputs!$G$5:$G$120="moeda")+(Inputs!$G$5:$G$120="acoes"))*Inputs!$B$1+((Inputs!$G$5:$G$120&lt;&gt;"moeda")*(Inputs!$G$5:$G$120&lt;&gt;"acoes")))*INDEX(Inputs!$K$5:$AJ$120,0,MATCH(N$2,Inputs!$K$4:$AJ$4,0)))+SUMPRODUCT((Inputs!$C$5:$C$120=$B19)*Inputs!$D$5:$D$120*(((Inputs!$G$5:$G$120="moeda")+(Inputs!$G$5:$G$120="acoes"))*Inputs!$B$1+((Inputs!$G$5:$G$120&lt;&gt;"moeda")*(Inputs!$G$5:$G$120&lt;&gt;"acoes")))*INDEX(Inputs!$K$5:$AJ$120,0,MATCH(N$2,Inputs!$K$4:$AJ$4,0)))+SUMPRODUCT((Inputs!$E$5:$E$120=$B19)*Inputs!$F$5:$F$120*(((Inputs!$G$5:$G$120="moeda")+(Inputs!$G$5:$G$120="acoes"))*Inputs!$B$1+((Inputs!$G$5:$G$120&lt;&gt;"moeda")*(Inputs!$G$5:$G$120&lt;&gt;"acoes")))*INDEX(Inputs!$K$5:$AJ$120,0,MATCH(N$2,Inputs!$K$4:$AJ$4,0)))))</f>
        <v>0</v>
      </c>
      <c r="O19" s="267">
        <f>IF(ISNA(MATCH(O$2,Inputs!$K$4:$AJ$4,0)),NA(),IF(SUMPRODUCT((Inputs!$A$5:$A$120=$B19)*ISNUMBER(INDEX(Inputs!$K$5:$AJ$120,0,MATCH(O$2,Inputs!$K$4:$AJ$4,0))))+SUMPRODUCT((Inputs!$C$5:$C$120=$B19)*ISNUMBER(INDEX(Inputs!$K$5:$AJ$120,0,MATCH(O$2,Inputs!$K$4:$AJ$4,0))))+SUMPRODUCT((Inputs!$E$5:$E$120=$B19)*ISNUMBER(INDEX(Inputs!$K$5:$AJ$120,0,MATCH(O$2,Inputs!$K$4:$AJ$4,0))))=0,NA(),SUMPRODUCT((Inputs!$A$5:$A$120=$B19)*Inputs!$B$5:$B$120*(((Inputs!$G$5:$G$120="moeda")+(Inputs!$G$5:$G$120="acoes"))*Inputs!$B$1+((Inputs!$G$5:$G$120&lt;&gt;"moeda")*(Inputs!$G$5:$G$120&lt;&gt;"acoes")))*INDEX(Inputs!$K$5:$AJ$120,0,MATCH(O$2,Inputs!$K$4:$AJ$4,0)))+SUMPRODUCT((Inputs!$C$5:$C$120=$B19)*Inputs!$D$5:$D$120*(((Inputs!$G$5:$G$120="moeda")+(Inputs!$G$5:$G$120="acoes"))*Inputs!$B$1+((Inputs!$G$5:$G$120&lt;&gt;"moeda")*(Inputs!$G$5:$G$120&lt;&gt;"acoes")))*INDEX(Inputs!$K$5:$AJ$120,0,MATCH(O$2,Inputs!$K$4:$AJ$4,0)))+SUMPRODUCT((Inputs!$E$5:$E$120=$B19)*Inputs!$F$5:$F$120*(((Inputs!$G$5:$G$120="moeda")+(Inputs!$G$5:$G$120="acoes"))*Inputs!$B$1+((Inputs!$G$5:$G$120&lt;&gt;"moeda")*(Inputs!$G$5:$G$120&lt;&gt;"acoes")))*INDEX(Inputs!$K$5:$AJ$120,0,MATCH(O$2,Inputs!$K$4:$AJ$4,0)))))</f>
        <v>0</v>
      </c>
      <c r="P19" s="267">
        <f>IF(ISNA(MATCH(P$2,Inputs!$K$4:$AJ$4,0)),NA(),IF(SUMPRODUCT((Inputs!$A$5:$A$120=$B19)*ISNUMBER(INDEX(Inputs!$K$5:$AJ$120,0,MATCH(P$2,Inputs!$K$4:$AJ$4,0))))+SUMPRODUCT((Inputs!$C$5:$C$120=$B19)*ISNUMBER(INDEX(Inputs!$K$5:$AJ$120,0,MATCH(P$2,Inputs!$K$4:$AJ$4,0))))+SUMPRODUCT((Inputs!$E$5:$E$120=$B19)*ISNUMBER(INDEX(Inputs!$K$5:$AJ$120,0,MATCH(P$2,Inputs!$K$4:$AJ$4,0))))=0,NA(),SUMPRODUCT((Inputs!$A$5:$A$120=$B19)*Inputs!$B$5:$B$120*(((Inputs!$G$5:$G$120="moeda")+(Inputs!$G$5:$G$120="acoes"))*Inputs!$B$1+((Inputs!$G$5:$G$120&lt;&gt;"moeda")*(Inputs!$G$5:$G$120&lt;&gt;"acoes")))*INDEX(Inputs!$K$5:$AJ$120,0,MATCH(P$2,Inputs!$K$4:$AJ$4,0)))+SUMPRODUCT((Inputs!$C$5:$C$120=$B19)*Inputs!$D$5:$D$120*(((Inputs!$G$5:$G$120="moeda")+(Inputs!$G$5:$G$120="acoes"))*Inputs!$B$1+((Inputs!$G$5:$G$120&lt;&gt;"moeda")*(Inputs!$G$5:$G$120&lt;&gt;"acoes")))*INDEX(Inputs!$K$5:$AJ$120,0,MATCH(P$2,Inputs!$K$4:$AJ$4,0)))+SUMPRODUCT((Inputs!$E$5:$E$120=$B19)*Inputs!$F$5:$F$120*(((Inputs!$G$5:$G$120="moeda")+(Inputs!$G$5:$G$120="acoes"))*Inputs!$B$1+((Inputs!$G$5:$G$120&lt;&gt;"moeda")*(Inputs!$G$5:$G$120&lt;&gt;"acoes")))*INDEX(Inputs!$K$5:$AJ$120,0,MATCH(P$2,Inputs!$K$4:$AJ$4,0)))))</f>
        <v>0</v>
      </c>
      <c r="Q19" s="267">
        <f>IF(ISNA(MATCH(Q$2,Inputs!$K$4:$AJ$4,0)),NA(),IF(SUMPRODUCT((Inputs!$A$5:$A$120=$B19)*ISNUMBER(INDEX(Inputs!$K$5:$AJ$120,0,MATCH(Q$2,Inputs!$K$4:$AJ$4,0))))+SUMPRODUCT((Inputs!$C$5:$C$120=$B19)*ISNUMBER(INDEX(Inputs!$K$5:$AJ$120,0,MATCH(Q$2,Inputs!$K$4:$AJ$4,0))))+SUMPRODUCT((Inputs!$E$5:$E$120=$B19)*ISNUMBER(INDEX(Inputs!$K$5:$AJ$120,0,MATCH(Q$2,Inputs!$K$4:$AJ$4,0))))=0,NA(),SUMPRODUCT((Inputs!$A$5:$A$120=$B19)*Inputs!$B$5:$B$120*(((Inputs!$G$5:$G$120="moeda")+(Inputs!$G$5:$G$120="acoes"))*Inputs!$B$1+((Inputs!$G$5:$G$120&lt;&gt;"moeda")*(Inputs!$G$5:$G$120&lt;&gt;"acoes")))*INDEX(Inputs!$K$5:$AJ$120,0,MATCH(Q$2,Inputs!$K$4:$AJ$4,0)))+SUMPRODUCT((Inputs!$C$5:$C$120=$B19)*Inputs!$D$5:$D$120*(((Inputs!$G$5:$G$120="moeda")+(Inputs!$G$5:$G$120="acoes"))*Inputs!$B$1+((Inputs!$G$5:$G$120&lt;&gt;"moeda")*(Inputs!$G$5:$G$120&lt;&gt;"acoes")))*INDEX(Inputs!$K$5:$AJ$120,0,MATCH(Q$2,Inputs!$K$4:$AJ$4,0)))+SUMPRODUCT((Inputs!$E$5:$E$120=$B19)*Inputs!$F$5:$F$120*(((Inputs!$G$5:$G$120="moeda")+(Inputs!$G$5:$G$120="acoes"))*Inputs!$B$1+((Inputs!$G$5:$G$120&lt;&gt;"moeda")*(Inputs!$G$5:$G$120&lt;&gt;"acoes")))*INDEX(Inputs!$K$5:$AJ$120,0,MATCH(Q$2,Inputs!$K$4:$AJ$4,0)))))</f>
        <v>0</v>
      </c>
      <c r="R19" s="268">
        <f>Q19</f>
        <v>0</v>
      </c>
      <c r="S19" s="267">
        <f>IF(ISNA(MATCH(S$2,Inputs!$K$4:$AJ$4,0)),NA(),IF(SUMPRODUCT((Inputs!$A$5:$A$120=$B19)*ISNUMBER(INDEX(Inputs!$K$5:$AJ$120,0,MATCH(S$2,Inputs!$K$4:$AJ$4,0))))+SUMPRODUCT((Inputs!$C$5:$C$120=$B19)*ISNUMBER(INDEX(Inputs!$K$5:$AJ$120,0,MATCH(S$2,Inputs!$K$4:$AJ$4,0))))+SUMPRODUCT((Inputs!$E$5:$E$120=$B19)*ISNUMBER(INDEX(Inputs!$K$5:$AJ$120,0,MATCH(S$2,Inputs!$K$4:$AJ$4,0))))=0,NA(),SUMPRODUCT((Inputs!$A$5:$A$120=$B19)*Inputs!$B$5:$B$120*(((Inputs!$G$5:$G$120="moeda")+(Inputs!$G$5:$G$120="acoes"))*Inputs!$B$1+((Inputs!$G$5:$G$120&lt;&gt;"moeda")*(Inputs!$G$5:$G$120&lt;&gt;"acoes")))*INDEX(Inputs!$K$5:$AJ$120,0,MATCH(S$2,Inputs!$K$4:$AJ$4,0)))+SUMPRODUCT((Inputs!$C$5:$C$120=$B19)*Inputs!$D$5:$D$120*(((Inputs!$G$5:$G$120="moeda")+(Inputs!$G$5:$G$120="acoes"))*Inputs!$B$1+((Inputs!$G$5:$G$120&lt;&gt;"moeda")*(Inputs!$G$5:$G$120&lt;&gt;"acoes")))*INDEX(Inputs!$K$5:$AJ$120,0,MATCH(S$2,Inputs!$K$4:$AJ$4,0)))+SUMPRODUCT((Inputs!$E$5:$E$120=$B19)*Inputs!$F$5:$F$120*(((Inputs!$G$5:$G$120="moeda")+(Inputs!$G$5:$G$120="acoes"))*Inputs!$B$1+((Inputs!$G$5:$G$120&lt;&gt;"moeda")*(Inputs!$G$5:$G$120&lt;&gt;"acoes")))*INDEX(Inputs!$K$5:$AJ$120,0,MATCH(S$2,Inputs!$K$4:$AJ$4,0)))))</f>
        <v>0</v>
      </c>
      <c r="T19" s="267">
        <f>IF(ISNA(MATCH(T$2,Inputs!$K$4:$AJ$4,0)),NA(),IF(SUMPRODUCT((Inputs!$A$5:$A$120=$B19)*ISNUMBER(INDEX(Inputs!$K$5:$AJ$120,0,MATCH(T$2,Inputs!$K$4:$AJ$4,0))))+SUMPRODUCT((Inputs!$C$5:$C$120=$B19)*ISNUMBER(INDEX(Inputs!$K$5:$AJ$120,0,MATCH(T$2,Inputs!$K$4:$AJ$4,0))))+SUMPRODUCT((Inputs!$E$5:$E$120=$B19)*ISNUMBER(INDEX(Inputs!$K$5:$AJ$120,0,MATCH(T$2,Inputs!$K$4:$AJ$4,0))))=0,NA(),SUMPRODUCT((Inputs!$A$5:$A$120=$B19)*Inputs!$B$5:$B$120*(((Inputs!$G$5:$G$120="moeda")+(Inputs!$G$5:$G$120="acoes"))*Inputs!$B$1+((Inputs!$G$5:$G$120&lt;&gt;"moeda")*(Inputs!$G$5:$G$120&lt;&gt;"acoes")))*INDEX(Inputs!$K$5:$AJ$120,0,MATCH(T$2,Inputs!$K$4:$AJ$4,0)))+SUMPRODUCT((Inputs!$C$5:$C$120=$B19)*Inputs!$D$5:$D$120*(((Inputs!$G$5:$G$120="moeda")+(Inputs!$G$5:$G$120="acoes"))*Inputs!$B$1+((Inputs!$G$5:$G$120&lt;&gt;"moeda")*(Inputs!$G$5:$G$120&lt;&gt;"acoes")))*INDEX(Inputs!$K$5:$AJ$120,0,MATCH(T$2,Inputs!$K$4:$AJ$4,0)))+SUMPRODUCT((Inputs!$E$5:$E$120=$B19)*Inputs!$F$5:$F$120*(((Inputs!$G$5:$G$120="moeda")+(Inputs!$G$5:$G$120="acoes"))*Inputs!$B$1+((Inputs!$G$5:$G$120&lt;&gt;"moeda")*(Inputs!$G$5:$G$120&lt;&gt;"acoes")))*INDEX(Inputs!$K$5:$AJ$120,0,MATCH(T$2,Inputs!$K$4:$AJ$4,0)))))</f>
        <v>0</v>
      </c>
      <c r="U19" s="267">
        <f>IF(ISNA(MATCH(U$2,Inputs!$K$4:$AJ$4,0)),NA(),IF(SUMPRODUCT((Inputs!$A$5:$A$120=$B19)*ISNUMBER(INDEX(Inputs!$K$5:$AJ$120,0,MATCH(U$2,Inputs!$K$4:$AJ$4,0))))+SUMPRODUCT((Inputs!$C$5:$C$120=$B19)*ISNUMBER(INDEX(Inputs!$K$5:$AJ$120,0,MATCH(U$2,Inputs!$K$4:$AJ$4,0))))+SUMPRODUCT((Inputs!$E$5:$E$120=$B19)*ISNUMBER(INDEX(Inputs!$K$5:$AJ$120,0,MATCH(U$2,Inputs!$K$4:$AJ$4,0))))=0,NA(),SUMPRODUCT((Inputs!$A$5:$A$120=$B19)*Inputs!$B$5:$B$120*(((Inputs!$G$5:$G$120="moeda")+(Inputs!$G$5:$G$120="acoes"))*Inputs!$B$1+((Inputs!$G$5:$G$120&lt;&gt;"moeda")*(Inputs!$G$5:$G$120&lt;&gt;"acoes")))*INDEX(Inputs!$K$5:$AJ$120,0,MATCH(U$2,Inputs!$K$4:$AJ$4,0)))+SUMPRODUCT((Inputs!$C$5:$C$120=$B19)*Inputs!$D$5:$D$120*(((Inputs!$G$5:$G$120="moeda")+(Inputs!$G$5:$G$120="acoes"))*Inputs!$B$1+((Inputs!$G$5:$G$120&lt;&gt;"moeda")*(Inputs!$G$5:$G$120&lt;&gt;"acoes")))*INDEX(Inputs!$K$5:$AJ$120,0,MATCH(U$2,Inputs!$K$4:$AJ$4,0)))+SUMPRODUCT((Inputs!$E$5:$E$120=$B19)*Inputs!$F$5:$F$120*(((Inputs!$G$5:$G$120="moeda")+(Inputs!$G$5:$G$120="acoes"))*Inputs!$B$1+((Inputs!$G$5:$G$120&lt;&gt;"moeda")*(Inputs!$G$5:$G$120&lt;&gt;"acoes")))*INDEX(Inputs!$K$5:$AJ$120,0,MATCH(U$2,Inputs!$K$4:$AJ$4,0)))))</f>
        <v>0</v>
      </c>
      <c r="V19" s="267">
        <f>IF(ISNA(MATCH(V$2,Inputs!$K$4:$AJ$4,0)),NA(),IF(SUMPRODUCT((Inputs!$A$5:$A$120=$B19)*ISNUMBER(INDEX(Inputs!$K$5:$AJ$120,0,MATCH(V$2,Inputs!$K$4:$AJ$4,0))))+SUMPRODUCT((Inputs!$C$5:$C$120=$B19)*ISNUMBER(INDEX(Inputs!$K$5:$AJ$120,0,MATCH(V$2,Inputs!$K$4:$AJ$4,0))))+SUMPRODUCT((Inputs!$E$5:$E$120=$B19)*ISNUMBER(INDEX(Inputs!$K$5:$AJ$120,0,MATCH(V$2,Inputs!$K$4:$AJ$4,0))))=0,NA(),SUMPRODUCT((Inputs!$A$5:$A$120=$B19)*Inputs!$B$5:$B$120*(((Inputs!$G$5:$G$120="moeda")+(Inputs!$G$5:$G$120="acoes"))*Inputs!$B$1+((Inputs!$G$5:$G$120&lt;&gt;"moeda")*(Inputs!$G$5:$G$120&lt;&gt;"acoes")))*INDEX(Inputs!$K$5:$AJ$120,0,MATCH(V$2,Inputs!$K$4:$AJ$4,0)))+SUMPRODUCT((Inputs!$C$5:$C$120=$B19)*Inputs!$D$5:$D$120*(((Inputs!$G$5:$G$120="moeda")+(Inputs!$G$5:$G$120="acoes"))*Inputs!$B$1+((Inputs!$G$5:$G$120&lt;&gt;"moeda")*(Inputs!$G$5:$G$120&lt;&gt;"acoes")))*INDEX(Inputs!$K$5:$AJ$120,0,MATCH(V$2,Inputs!$K$4:$AJ$4,0)))+SUMPRODUCT((Inputs!$E$5:$E$120=$B19)*Inputs!$F$5:$F$120*(((Inputs!$G$5:$G$120="moeda")+(Inputs!$G$5:$G$120="acoes"))*Inputs!$B$1+((Inputs!$G$5:$G$120&lt;&gt;"moeda")*(Inputs!$G$5:$G$120&lt;&gt;"acoes")))*INDEX(Inputs!$K$5:$AJ$120,0,MATCH(V$2,Inputs!$K$4:$AJ$4,0)))))</f>
        <v>0</v>
      </c>
      <c r="W19" s="268">
        <f>V19</f>
        <v>0</v>
      </c>
      <c r="X19" s="267">
        <f>IF(ISNA(MATCH(X$2,Inputs!$K$4:$AJ$4,0)),NA(),IF(SUMPRODUCT((Inputs!$A$5:$A$120=$B19)*ISNUMBER(INDEX(Inputs!$K$5:$AJ$120,0,MATCH(X$2,Inputs!$K$4:$AJ$4,0))))+SUMPRODUCT((Inputs!$C$5:$C$120=$B19)*ISNUMBER(INDEX(Inputs!$K$5:$AJ$120,0,MATCH(X$2,Inputs!$K$4:$AJ$4,0))))+SUMPRODUCT((Inputs!$E$5:$E$120=$B19)*ISNUMBER(INDEX(Inputs!$K$5:$AJ$120,0,MATCH(X$2,Inputs!$K$4:$AJ$4,0))))=0,NA(),SUMPRODUCT((Inputs!$A$5:$A$120=$B19)*Inputs!$B$5:$B$120*(((Inputs!$G$5:$G$120="moeda")+(Inputs!$G$5:$G$120="acoes"))*Inputs!$B$1+((Inputs!$G$5:$G$120&lt;&gt;"moeda")*(Inputs!$G$5:$G$120&lt;&gt;"acoes")))*INDEX(Inputs!$K$5:$AJ$120,0,MATCH(X$2,Inputs!$K$4:$AJ$4,0)))+SUMPRODUCT((Inputs!$C$5:$C$120=$B19)*Inputs!$D$5:$D$120*(((Inputs!$G$5:$G$120="moeda")+(Inputs!$G$5:$G$120="acoes"))*Inputs!$B$1+((Inputs!$G$5:$G$120&lt;&gt;"moeda")*(Inputs!$G$5:$G$120&lt;&gt;"acoes")))*INDEX(Inputs!$K$5:$AJ$120,0,MATCH(X$2,Inputs!$K$4:$AJ$4,0)))+SUMPRODUCT((Inputs!$E$5:$E$120=$B19)*Inputs!$F$5:$F$120*(((Inputs!$G$5:$G$120="moeda")+(Inputs!$G$5:$G$120="acoes"))*Inputs!$B$1+((Inputs!$G$5:$G$120&lt;&gt;"moeda")*(Inputs!$G$5:$G$120&lt;&gt;"acoes")))*INDEX(Inputs!$K$5:$AJ$120,0,MATCH(X$2,Inputs!$K$4:$AJ$4,0)))))</f>
        <v>0</v>
      </c>
      <c r="Y19" s="267">
        <f>IF(ISNA(MATCH(Y$2,Inputs!$K$4:$AJ$4,0)),NA(),IF(SUMPRODUCT((Inputs!$A$5:$A$120=$B19)*ISNUMBER(INDEX(Inputs!$K$5:$AJ$120,0,MATCH(Y$2,Inputs!$K$4:$AJ$4,0))))+SUMPRODUCT((Inputs!$C$5:$C$120=$B19)*ISNUMBER(INDEX(Inputs!$K$5:$AJ$120,0,MATCH(Y$2,Inputs!$K$4:$AJ$4,0))))+SUMPRODUCT((Inputs!$E$5:$E$120=$B19)*ISNUMBER(INDEX(Inputs!$K$5:$AJ$120,0,MATCH(Y$2,Inputs!$K$4:$AJ$4,0))))=0,NA(),SUMPRODUCT((Inputs!$A$5:$A$120=$B19)*Inputs!$B$5:$B$120*(((Inputs!$G$5:$G$120="moeda")+(Inputs!$G$5:$G$120="acoes"))*Inputs!$B$1+((Inputs!$G$5:$G$120&lt;&gt;"moeda")*(Inputs!$G$5:$G$120&lt;&gt;"acoes")))*INDEX(Inputs!$K$5:$AJ$120,0,MATCH(Y$2,Inputs!$K$4:$AJ$4,0)))+SUMPRODUCT((Inputs!$C$5:$C$120=$B19)*Inputs!$D$5:$D$120*(((Inputs!$G$5:$G$120="moeda")+(Inputs!$G$5:$G$120="acoes"))*Inputs!$B$1+((Inputs!$G$5:$G$120&lt;&gt;"moeda")*(Inputs!$G$5:$G$120&lt;&gt;"acoes")))*INDEX(Inputs!$K$5:$AJ$120,0,MATCH(Y$2,Inputs!$K$4:$AJ$4,0)))+SUMPRODUCT((Inputs!$E$5:$E$120=$B19)*Inputs!$F$5:$F$120*(((Inputs!$G$5:$G$120="moeda")+(Inputs!$G$5:$G$120="acoes"))*Inputs!$B$1+((Inputs!$G$5:$G$120&lt;&gt;"moeda")*(Inputs!$G$5:$G$120&lt;&gt;"acoes")))*INDEX(Inputs!$K$5:$AJ$120,0,MATCH(Y$2,Inputs!$K$4:$AJ$4,0)))))</f>
        <v>0</v>
      </c>
      <c r="Z19" s="267">
        <f>IF(ISNA(MATCH(Z$2,Inputs!$K$4:$AJ$4,0)),NA(),IF(SUMPRODUCT((Inputs!$A$5:$A$120=$B19)*ISNUMBER(INDEX(Inputs!$K$5:$AJ$120,0,MATCH(Z$2,Inputs!$K$4:$AJ$4,0))))+SUMPRODUCT((Inputs!$C$5:$C$120=$B19)*ISNUMBER(INDEX(Inputs!$K$5:$AJ$120,0,MATCH(Z$2,Inputs!$K$4:$AJ$4,0))))+SUMPRODUCT((Inputs!$E$5:$E$120=$B19)*ISNUMBER(INDEX(Inputs!$K$5:$AJ$120,0,MATCH(Z$2,Inputs!$K$4:$AJ$4,0))))=0,NA(),SUMPRODUCT((Inputs!$A$5:$A$120=$B19)*Inputs!$B$5:$B$120*(((Inputs!$G$5:$G$120="moeda")+(Inputs!$G$5:$G$120="acoes"))*Inputs!$B$1+((Inputs!$G$5:$G$120&lt;&gt;"moeda")*(Inputs!$G$5:$G$120&lt;&gt;"acoes")))*INDEX(Inputs!$K$5:$AJ$120,0,MATCH(Z$2,Inputs!$K$4:$AJ$4,0)))+SUMPRODUCT((Inputs!$C$5:$C$120=$B19)*Inputs!$D$5:$D$120*(((Inputs!$G$5:$G$120="moeda")+(Inputs!$G$5:$G$120="acoes"))*Inputs!$B$1+((Inputs!$G$5:$G$120&lt;&gt;"moeda")*(Inputs!$G$5:$G$120&lt;&gt;"acoes")))*INDEX(Inputs!$K$5:$AJ$120,0,MATCH(Z$2,Inputs!$K$4:$AJ$4,0)))+SUMPRODUCT((Inputs!$E$5:$E$120=$B19)*Inputs!$F$5:$F$120*(((Inputs!$G$5:$G$120="moeda")+(Inputs!$G$5:$G$120="acoes"))*Inputs!$B$1+((Inputs!$G$5:$G$120&lt;&gt;"moeda")*(Inputs!$G$5:$G$120&lt;&gt;"acoes")))*INDEX(Inputs!$K$5:$AJ$120,0,MATCH(Z$2,Inputs!$K$4:$AJ$4,0)))))</f>
        <v>0</v>
      </c>
      <c r="AA19" s="267">
        <f>IF(ISNA(MATCH(AA$2,Inputs!$K$4:$AJ$4,0)),NA(),IF(SUMPRODUCT((Inputs!$A$5:$A$120=$B19)*ISNUMBER(INDEX(Inputs!$K$5:$AJ$120,0,MATCH(AA$2,Inputs!$K$4:$AJ$4,0))))+SUMPRODUCT((Inputs!$C$5:$C$120=$B19)*ISNUMBER(INDEX(Inputs!$K$5:$AJ$120,0,MATCH(AA$2,Inputs!$K$4:$AJ$4,0))))+SUMPRODUCT((Inputs!$E$5:$E$120=$B19)*ISNUMBER(INDEX(Inputs!$K$5:$AJ$120,0,MATCH(AA$2,Inputs!$K$4:$AJ$4,0))))=0,NA(),SUMPRODUCT((Inputs!$A$5:$A$120=$B19)*Inputs!$B$5:$B$120*(((Inputs!$G$5:$G$120="moeda")+(Inputs!$G$5:$G$120="acoes"))*Inputs!$B$1+((Inputs!$G$5:$G$120&lt;&gt;"moeda")*(Inputs!$G$5:$G$120&lt;&gt;"acoes")))*INDEX(Inputs!$K$5:$AJ$120,0,MATCH(AA$2,Inputs!$K$4:$AJ$4,0)))+SUMPRODUCT((Inputs!$C$5:$C$120=$B19)*Inputs!$D$5:$D$120*(((Inputs!$G$5:$G$120="moeda")+(Inputs!$G$5:$G$120="acoes"))*Inputs!$B$1+((Inputs!$G$5:$G$120&lt;&gt;"moeda")*(Inputs!$G$5:$G$120&lt;&gt;"acoes")))*INDEX(Inputs!$K$5:$AJ$120,0,MATCH(AA$2,Inputs!$K$4:$AJ$4,0)))+SUMPRODUCT((Inputs!$E$5:$E$120=$B19)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19" s="268">
        <f>AA19</f>
        <v>0</v>
      </c>
      <c r="AC19" s="267">
        <f>IF(ISNA(MATCH(AC$2,Inputs!$K$4:$AJ$4,0)),NA(),IF(SUMPRODUCT((Inputs!$A$5:$A$120=$B19)*ISNUMBER(INDEX(Inputs!$K$5:$AJ$120,0,MATCH(AC$2,Inputs!$K$4:$AJ$4,0))))+SUMPRODUCT((Inputs!$C$5:$C$120=$B19)*ISNUMBER(INDEX(Inputs!$K$5:$AJ$120,0,MATCH(AC$2,Inputs!$K$4:$AJ$4,0))))+SUMPRODUCT((Inputs!$E$5:$E$120=$B19)*ISNUMBER(INDEX(Inputs!$K$5:$AJ$120,0,MATCH(AC$2,Inputs!$K$4:$AJ$4,0))))=0,NA(),SUMPRODUCT((Inputs!$A$5:$A$120=$B19)*Inputs!$B$5:$B$120*(((Inputs!$G$5:$G$120="moeda")+(Inputs!$G$5:$G$120="acoes"))*Inputs!$B$1+((Inputs!$G$5:$G$120&lt;&gt;"moeda")*(Inputs!$G$5:$G$120&lt;&gt;"acoes")))*INDEX(Inputs!$K$5:$AJ$120,0,MATCH(AC$2,Inputs!$K$4:$AJ$4,0)))+SUMPRODUCT((Inputs!$C$5:$C$120=$B19)*Inputs!$D$5:$D$120*(((Inputs!$G$5:$G$120="moeda")+(Inputs!$G$5:$G$120="acoes"))*Inputs!$B$1+((Inputs!$G$5:$G$120&lt;&gt;"moeda")*(Inputs!$G$5:$G$120&lt;&gt;"acoes")))*INDEX(Inputs!$K$5:$AJ$120,0,MATCH(AC$2,Inputs!$K$4:$AJ$4,0)))+SUMPRODUCT((Inputs!$E$5:$E$120=$B19)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19" s="267">
        <f>IF(ISNA(MATCH(AD$2,Inputs!$K$4:$AJ$4,0)),NA(),IF(SUMPRODUCT((Inputs!$A$5:$A$120=$B19)*ISNUMBER(INDEX(Inputs!$K$5:$AJ$120,0,MATCH(AD$2,Inputs!$K$4:$AJ$4,0))))+SUMPRODUCT((Inputs!$C$5:$C$120=$B19)*ISNUMBER(INDEX(Inputs!$K$5:$AJ$120,0,MATCH(AD$2,Inputs!$K$4:$AJ$4,0))))+SUMPRODUCT((Inputs!$E$5:$E$120=$B19)*ISNUMBER(INDEX(Inputs!$K$5:$AJ$120,0,MATCH(AD$2,Inputs!$K$4:$AJ$4,0))))=0,NA(),SUMPRODUCT((Inputs!$A$5:$A$120=$B19)*Inputs!$B$5:$B$120*(((Inputs!$G$5:$G$120="moeda")+(Inputs!$G$5:$G$120="acoes"))*Inputs!$B$1+((Inputs!$G$5:$G$120&lt;&gt;"moeda")*(Inputs!$G$5:$G$120&lt;&gt;"acoes")))*INDEX(Inputs!$K$5:$AJ$120,0,MATCH(AD$2,Inputs!$K$4:$AJ$4,0)))+SUMPRODUCT((Inputs!$C$5:$C$120=$B19)*Inputs!$D$5:$D$120*(((Inputs!$G$5:$G$120="moeda")+(Inputs!$G$5:$G$120="acoes"))*Inputs!$B$1+((Inputs!$G$5:$G$120&lt;&gt;"moeda")*(Inputs!$G$5:$G$120&lt;&gt;"acoes")))*INDEX(Inputs!$K$5:$AJ$120,0,MATCH(AD$2,Inputs!$K$4:$AJ$4,0)))+SUMPRODUCT((Inputs!$E$5:$E$120=$B19)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19" s="267" t="e">
        <f>IF(ISNA(MATCH(AE$2,Inputs!$K$4:$AJ$4,0)),NA(),IF(SUMPRODUCT((Inputs!$A$5:$A$120=$B19)*ISNUMBER(INDEX(Inputs!$K$5:$AJ$120,0,MATCH(AE$2,Inputs!$K$4:$AJ$4,0))))+SUMPRODUCT((Inputs!$C$5:$C$120=$B19)*ISNUMBER(INDEX(Inputs!$K$5:$AJ$120,0,MATCH(AE$2,Inputs!$K$4:$AJ$4,0))))+SUMPRODUCT((Inputs!$E$5:$E$120=$B19)*ISNUMBER(INDEX(Inputs!$K$5:$AJ$120,0,MATCH(AE$2,Inputs!$K$4:$AJ$4,0))))=0,NA(),SUMPRODUCT((Inputs!$A$5:$A$120=$B19)*Inputs!$B$5:$B$120*(((Inputs!$G$5:$G$120="moeda")+(Inputs!$G$5:$G$120="acoes"))*Inputs!$B$1+((Inputs!$G$5:$G$120&lt;&gt;"moeda")*(Inputs!$G$5:$G$120&lt;&gt;"acoes")))*INDEX(Inputs!$K$5:$AJ$120,0,MATCH(AE$2,Inputs!$K$4:$AJ$4,0)))+SUMPRODUCT((Inputs!$C$5:$C$120=$B19)*Inputs!$D$5:$D$120*(((Inputs!$G$5:$G$120="moeda")+(Inputs!$G$5:$G$120="acoes"))*Inputs!$B$1+((Inputs!$G$5:$G$120&lt;&gt;"moeda")*(Inputs!$G$5:$G$120&lt;&gt;"acoes")))*INDEX(Inputs!$K$5:$AJ$120,0,MATCH(AE$2,Inputs!$K$4:$AJ$4,0)))+SUMPRODUCT((Inputs!$E$5:$E$120=$B19)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19" s="267" t="e">
        <f>IF(ISNA(MATCH(AF$2,Inputs!$K$4:$AJ$4,0)),NA(),IF(SUMPRODUCT((Inputs!$A$5:$A$120=$B19)*ISNUMBER(INDEX(Inputs!$K$5:$AJ$120,0,MATCH(AF$2,Inputs!$K$4:$AJ$4,0))))+SUMPRODUCT((Inputs!$C$5:$C$120=$B19)*ISNUMBER(INDEX(Inputs!$K$5:$AJ$120,0,MATCH(AF$2,Inputs!$K$4:$AJ$4,0))))+SUMPRODUCT((Inputs!$E$5:$E$120=$B19)*ISNUMBER(INDEX(Inputs!$K$5:$AJ$120,0,MATCH(AF$2,Inputs!$K$4:$AJ$4,0))))=0,NA(),SUMPRODUCT((Inputs!$A$5:$A$120=$B19)*Inputs!$B$5:$B$120*(((Inputs!$G$5:$G$120="moeda")+(Inputs!$G$5:$G$120="acoes"))*Inputs!$B$1+((Inputs!$G$5:$G$120&lt;&gt;"moeda")*(Inputs!$G$5:$G$120&lt;&gt;"acoes")))*INDEX(Inputs!$K$5:$AJ$120,0,MATCH(AF$2,Inputs!$K$4:$AJ$4,0)))+SUMPRODUCT((Inputs!$C$5:$C$120=$B19)*Inputs!$D$5:$D$120*(((Inputs!$G$5:$G$120="moeda")+(Inputs!$G$5:$G$120="acoes"))*Inputs!$B$1+((Inputs!$G$5:$G$120&lt;&gt;"moeda")*(Inputs!$G$5:$G$120&lt;&gt;"acoes")))*INDEX(Inputs!$K$5:$AJ$120,0,MATCH(AF$2,Inputs!$K$4:$AJ$4,0)))+SUMPRODUCT((Inputs!$E$5:$E$120=$B19)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19" s="268" t="e">
        <f>AF19</f>
        <v>#N/A</v>
      </c>
      <c r="AH19" s="267">
        <f>IF(ISNA(MATCH(AH$2,Inputs!$K$4:$AJ$4,0)),NA(),IF(SUMPRODUCT((Inputs!$A$5:$A$120=$B19)*ISNUMBER(INDEX(Inputs!$K$5:$AJ$120,0,MATCH(AH$2,Inputs!$K$4:$AJ$4,0))))+SUMPRODUCT((Inputs!$C$5:$C$120=$B19)*ISNUMBER(INDEX(Inputs!$K$5:$AJ$120,0,MATCH(AH$2,Inputs!$K$4:$AJ$4,0))))+SUMPRODUCT((Inputs!$E$5:$E$120=$B19)*ISNUMBER(INDEX(Inputs!$K$5:$AJ$120,0,MATCH(AH$2,Inputs!$K$4:$AJ$4,0))))=0,NA(),SUMPRODUCT((Inputs!$A$5:$A$120=$B19)*Inputs!$B$5:$B$120*(((Inputs!$G$5:$G$120="moeda")+(Inputs!$G$5:$G$120="acoes"))*Inputs!$B$1+((Inputs!$G$5:$G$120&lt;&gt;"moeda")*(Inputs!$G$5:$G$120&lt;&gt;"acoes")))*INDEX(Inputs!$K$5:$AJ$120,0,MATCH(AH$2,Inputs!$K$4:$AJ$4,0)))+SUMPRODUCT((Inputs!$C$5:$C$120=$B19)*Inputs!$D$5:$D$120*(((Inputs!$G$5:$G$120="moeda")+(Inputs!$G$5:$G$120="acoes"))*Inputs!$B$1+((Inputs!$G$5:$G$120&lt;&gt;"moeda")*(Inputs!$G$5:$G$120&lt;&gt;"acoes")))*INDEX(Inputs!$K$5:$AJ$120,0,MATCH(AH$2,Inputs!$K$4:$AJ$4,0)))+SUMPRODUCT((Inputs!$E$5:$E$120=$B19)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19" s="267">
        <f>IF(ISNA(MATCH(AI$2,Inputs!$K$4:$AJ$4,0)),NA(),IF(SUMPRODUCT((Inputs!$A$5:$A$120=$B19)*ISNUMBER(INDEX(Inputs!$K$5:$AJ$120,0,MATCH(AI$2,Inputs!$K$4:$AJ$4,0))))+SUMPRODUCT((Inputs!$C$5:$C$120=$B19)*ISNUMBER(INDEX(Inputs!$K$5:$AJ$120,0,MATCH(AI$2,Inputs!$K$4:$AJ$4,0))))+SUMPRODUCT((Inputs!$E$5:$E$120=$B19)*ISNUMBER(INDEX(Inputs!$K$5:$AJ$120,0,MATCH(AI$2,Inputs!$K$4:$AJ$4,0))))=0,NA(),SUMPRODUCT((Inputs!$A$5:$A$120=$B19)*Inputs!$B$5:$B$120*(((Inputs!$G$5:$G$120="moeda")+(Inputs!$G$5:$G$120="acoes"))*Inputs!$B$1+((Inputs!$G$5:$G$120&lt;&gt;"moeda")*(Inputs!$G$5:$G$120&lt;&gt;"acoes")))*INDEX(Inputs!$K$5:$AJ$120,0,MATCH(AI$2,Inputs!$K$4:$AJ$4,0)))+SUMPRODUCT((Inputs!$C$5:$C$120=$B19)*Inputs!$D$5:$D$120*(((Inputs!$G$5:$G$120="moeda")+(Inputs!$G$5:$G$120="acoes"))*Inputs!$B$1+((Inputs!$G$5:$G$120&lt;&gt;"moeda")*(Inputs!$G$5:$G$120&lt;&gt;"acoes")))*INDEX(Inputs!$K$5:$AJ$120,0,MATCH(AI$2,Inputs!$K$4:$AJ$4,0)))+SUMPRODUCT((Inputs!$E$5:$E$120=$B19)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19" s="267">
        <f>IF(ISNA(MATCH(AJ$2,Inputs!$K$4:$AJ$4,0)),NA(),IF(SUMPRODUCT((Inputs!$A$5:$A$120=$B19)*ISNUMBER(INDEX(Inputs!$K$5:$AJ$120,0,MATCH(AJ$2,Inputs!$K$4:$AJ$4,0))))+SUMPRODUCT((Inputs!$C$5:$C$120=$B19)*ISNUMBER(INDEX(Inputs!$K$5:$AJ$120,0,MATCH(AJ$2,Inputs!$K$4:$AJ$4,0))))+SUMPRODUCT((Inputs!$E$5:$E$120=$B19)*ISNUMBER(INDEX(Inputs!$K$5:$AJ$120,0,MATCH(AJ$2,Inputs!$K$4:$AJ$4,0))))=0,NA(),SUMPRODUCT((Inputs!$A$5:$A$120=$B19)*Inputs!$B$5:$B$120*(((Inputs!$G$5:$G$120="moeda")+(Inputs!$G$5:$G$120="acoes"))*Inputs!$B$1+((Inputs!$G$5:$G$120&lt;&gt;"moeda")*(Inputs!$G$5:$G$120&lt;&gt;"acoes")))*INDEX(Inputs!$K$5:$AJ$120,0,MATCH(AJ$2,Inputs!$K$4:$AJ$4,0)))+SUMPRODUCT((Inputs!$C$5:$C$120=$B19)*Inputs!$D$5:$D$120*(((Inputs!$G$5:$G$120="moeda")+(Inputs!$G$5:$G$120="acoes"))*Inputs!$B$1+((Inputs!$G$5:$G$120&lt;&gt;"moeda")*(Inputs!$G$5:$G$120&lt;&gt;"acoes")))*INDEX(Inputs!$K$5:$AJ$120,0,MATCH(AJ$2,Inputs!$K$4:$AJ$4,0)))+SUMPRODUCT((Inputs!$E$5:$E$120=$B19)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19" s="267">
        <f>IF(ISNA(MATCH(AK$2,Inputs!$K$4:$AJ$4,0)),NA(),IF(SUMPRODUCT((Inputs!$A$5:$A$120=$B19)*ISNUMBER(INDEX(Inputs!$K$5:$AJ$120,0,MATCH(AK$2,Inputs!$K$4:$AJ$4,0))))+SUMPRODUCT((Inputs!$C$5:$C$120=$B19)*ISNUMBER(INDEX(Inputs!$K$5:$AJ$120,0,MATCH(AK$2,Inputs!$K$4:$AJ$4,0))))+SUMPRODUCT((Inputs!$E$5:$E$120=$B19)*ISNUMBER(INDEX(Inputs!$K$5:$AJ$120,0,MATCH(AK$2,Inputs!$K$4:$AJ$4,0))))=0,NA(),SUMPRODUCT((Inputs!$A$5:$A$120=$B19)*Inputs!$B$5:$B$120*(((Inputs!$G$5:$G$120="moeda")+(Inputs!$G$5:$G$120="acoes"))*Inputs!$B$1+((Inputs!$G$5:$G$120&lt;&gt;"moeda")*(Inputs!$G$5:$G$120&lt;&gt;"acoes")))*INDEX(Inputs!$K$5:$AJ$120,0,MATCH(AK$2,Inputs!$K$4:$AJ$4,0)))+SUMPRODUCT((Inputs!$C$5:$C$120=$B19)*Inputs!$D$5:$D$120*(((Inputs!$G$5:$G$120="moeda")+(Inputs!$G$5:$G$120="acoes"))*Inputs!$B$1+((Inputs!$G$5:$G$120&lt;&gt;"moeda")*(Inputs!$G$5:$G$120&lt;&gt;"acoes")))*INDEX(Inputs!$K$5:$AJ$120,0,MATCH(AK$2,Inputs!$K$4:$AJ$4,0)))+SUMPRODUCT((Inputs!$E$5:$E$120=$B19)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19" s="268">
        <f>AK19</f>
        <v>0</v>
      </c>
    </row>
    <row r="20" ht="12.75" customHeight="1" s="255">
      <c r="B20" s="265" t="n">
        <v>16</v>
      </c>
      <c r="C20" s="270" t="inlineStr">
        <is>
          <t>Other current assets</t>
        </is>
      </c>
      <c r="D20" s="267">
        <f>IF(ISNA(MATCH(D$2,Inputs!$K$4:$AJ$4,0)),NA(),IF(SUMPRODUCT((Inputs!$A$5:$A$120=$B20)*ISNUMBER(INDEX(Inputs!$K$5:$AJ$120,0,MATCH(D$2,Inputs!$K$4:$AJ$4,0))))+SUMPRODUCT((Inputs!$C$5:$C$120=$B20)*ISNUMBER(INDEX(Inputs!$K$5:$AJ$120,0,MATCH(D$2,Inputs!$K$4:$AJ$4,0))))+SUMPRODUCT((Inputs!$E$5:$E$120=$B20)*ISNUMBER(INDEX(Inputs!$K$5:$AJ$120,0,MATCH(D$2,Inputs!$K$4:$AJ$4,0))))=0,NA(),SUMPRODUCT((Inputs!$A$5:$A$120=$B20)*Inputs!$B$5:$B$120*(((Inputs!$G$5:$G$120="moeda")+(Inputs!$G$5:$G$120="acoes"))*Inputs!$B$1+((Inputs!$G$5:$G$120&lt;&gt;"moeda")*(Inputs!$G$5:$G$120&lt;&gt;"acoes")))*INDEX(Inputs!$K$5:$AJ$120,0,MATCH(D$2,Inputs!$K$4:$AJ$4,0)))+SUMPRODUCT((Inputs!$C$5:$C$120=$B20)*Inputs!$D$5:$D$120*(((Inputs!$G$5:$G$120="moeda")+(Inputs!$G$5:$G$120="acoes"))*Inputs!$B$1+((Inputs!$G$5:$G$120&lt;&gt;"moeda")*(Inputs!$G$5:$G$120&lt;&gt;"acoes")))*INDEX(Inputs!$K$5:$AJ$120,0,MATCH(D$2,Inputs!$K$4:$AJ$4,0)))+SUMPRODUCT((Inputs!$E$5:$E$120=$B20)*Inputs!$F$5:$F$120*(((Inputs!$G$5:$G$120="moeda")+(Inputs!$G$5:$G$120="acoes"))*Inputs!$B$1+((Inputs!$G$5:$G$120&lt;&gt;"moeda")*(Inputs!$G$5:$G$120&lt;&gt;"acoes")))*INDEX(Inputs!$K$5:$AJ$120,0,MATCH(D$2,Inputs!$K$4:$AJ$4,0)))))</f>
        <v>5028</v>
      </c>
      <c r="E20" s="267">
        <f>IF(ISNA(MATCH(E$2,Inputs!$K$4:$AJ$4,0)),NA(),IF(SUMPRODUCT((Inputs!$A$5:$A$120=$B20)*ISNUMBER(INDEX(Inputs!$K$5:$AJ$120,0,MATCH(E$2,Inputs!$K$4:$AJ$4,0))))+SUMPRODUCT((Inputs!$C$5:$C$120=$B20)*ISNUMBER(INDEX(Inputs!$K$5:$AJ$120,0,MATCH(E$2,Inputs!$K$4:$AJ$4,0))))+SUMPRODUCT((Inputs!$E$5:$E$120=$B20)*ISNUMBER(INDEX(Inputs!$K$5:$AJ$120,0,MATCH(E$2,Inputs!$K$4:$AJ$4,0))))=0,NA(),SUMPRODUCT((Inputs!$A$5:$A$120=$B20)*Inputs!$B$5:$B$120*(((Inputs!$G$5:$G$120="moeda")+(Inputs!$G$5:$G$120="acoes"))*Inputs!$B$1+((Inputs!$G$5:$G$120&lt;&gt;"moeda")*(Inputs!$G$5:$G$120&lt;&gt;"acoes")))*INDEX(Inputs!$K$5:$AJ$120,0,MATCH(E$2,Inputs!$K$4:$AJ$4,0)))+SUMPRODUCT((Inputs!$C$5:$C$120=$B20)*Inputs!$D$5:$D$120*(((Inputs!$G$5:$G$120="moeda")+(Inputs!$G$5:$G$120="acoes"))*Inputs!$B$1+((Inputs!$G$5:$G$120&lt;&gt;"moeda")*(Inputs!$G$5:$G$120&lt;&gt;"acoes")))*INDEX(Inputs!$K$5:$AJ$120,0,MATCH(E$2,Inputs!$K$4:$AJ$4,0)))+SUMPRODUCT((Inputs!$E$5:$E$120=$B20)*Inputs!$F$5:$F$120*(((Inputs!$G$5:$G$120="moeda")+(Inputs!$G$5:$G$120="acoes"))*Inputs!$B$1+((Inputs!$G$5:$G$120&lt;&gt;"moeda")*(Inputs!$G$5:$G$120&lt;&gt;"acoes")))*INDEX(Inputs!$K$5:$AJ$120,0,MATCH(E$2,Inputs!$K$4:$AJ$4,0)))))</f>
        <v>5186</v>
      </c>
      <c r="F20" s="267">
        <f>IF(ISNA(MATCH(F$2,Inputs!$K$4:$AJ$4,0)),NA(),IF(SUMPRODUCT((Inputs!$A$5:$A$120=$B20)*ISNUMBER(INDEX(Inputs!$K$5:$AJ$120,0,MATCH(F$2,Inputs!$K$4:$AJ$4,0))))+SUMPRODUCT((Inputs!$C$5:$C$120=$B20)*ISNUMBER(INDEX(Inputs!$K$5:$AJ$120,0,MATCH(F$2,Inputs!$K$4:$AJ$4,0))))+SUMPRODUCT((Inputs!$E$5:$E$120=$B20)*ISNUMBER(INDEX(Inputs!$K$5:$AJ$120,0,MATCH(F$2,Inputs!$K$4:$AJ$4,0))))=0,NA(),SUMPRODUCT((Inputs!$A$5:$A$120=$B20)*Inputs!$B$5:$B$120*(((Inputs!$G$5:$G$120="moeda")+(Inputs!$G$5:$G$120="acoes"))*Inputs!$B$1+((Inputs!$G$5:$G$120&lt;&gt;"moeda")*(Inputs!$G$5:$G$120&lt;&gt;"acoes")))*INDEX(Inputs!$K$5:$AJ$120,0,MATCH(F$2,Inputs!$K$4:$AJ$4,0)))+SUMPRODUCT((Inputs!$C$5:$C$120=$B20)*Inputs!$D$5:$D$120*(((Inputs!$G$5:$G$120="moeda")+(Inputs!$G$5:$G$120="acoes"))*Inputs!$B$1+((Inputs!$G$5:$G$120&lt;&gt;"moeda")*(Inputs!$G$5:$G$120&lt;&gt;"acoes")))*INDEX(Inputs!$K$5:$AJ$120,0,MATCH(F$2,Inputs!$K$4:$AJ$4,0)))+SUMPRODUCT((Inputs!$E$5:$E$120=$B20)*Inputs!$F$5:$F$120*(((Inputs!$G$5:$G$120="moeda")+(Inputs!$G$5:$G$120="acoes"))*Inputs!$B$1+((Inputs!$G$5:$G$120&lt;&gt;"moeda")*(Inputs!$G$5:$G$120&lt;&gt;"acoes")))*INDEX(Inputs!$K$5:$AJ$120,0,MATCH(F$2,Inputs!$K$4:$AJ$4,0)))))</f>
        <v>5188</v>
      </c>
      <c r="G20" s="267">
        <f>IF(ISNA(MATCH(G$2,Inputs!$K$4:$AJ$4,0)),NA(),IF(SUMPRODUCT((Inputs!$A$5:$A$120=$B20)*ISNUMBER(INDEX(Inputs!$K$5:$AJ$120,0,MATCH(G$2,Inputs!$K$4:$AJ$4,0))))+SUMPRODUCT((Inputs!$C$5:$C$120=$B20)*ISNUMBER(INDEX(Inputs!$K$5:$AJ$120,0,MATCH(G$2,Inputs!$K$4:$AJ$4,0))))+SUMPRODUCT((Inputs!$E$5:$E$120=$B20)*ISNUMBER(INDEX(Inputs!$K$5:$AJ$120,0,MATCH(G$2,Inputs!$K$4:$AJ$4,0))))=0,NA(),SUMPRODUCT((Inputs!$A$5:$A$120=$B20)*Inputs!$B$5:$B$120*(((Inputs!$G$5:$G$120="moeda")+(Inputs!$G$5:$G$120="acoes"))*Inputs!$B$1+((Inputs!$G$5:$G$120&lt;&gt;"moeda")*(Inputs!$G$5:$G$120&lt;&gt;"acoes")))*INDEX(Inputs!$K$5:$AJ$120,0,MATCH(G$2,Inputs!$K$4:$AJ$4,0)))+SUMPRODUCT((Inputs!$C$5:$C$120=$B20)*Inputs!$D$5:$D$120*(((Inputs!$G$5:$G$120="moeda")+(Inputs!$G$5:$G$120="acoes"))*Inputs!$B$1+((Inputs!$G$5:$G$120&lt;&gt;"moeda")*(Inputs!$G$5:$G$120&lt;&gt;"acoes")))*INDEX(Inputs!$K$5:$AJ$120,0,MATCH(G$2,Inputs!$K$4:$AJ$4,0)))+SUMPRODUCT((Inputs!$E$5:$E$120=$B20)*Inputs!$F$5:$F$120*(((Inputs!$G$5:$G$120="moeda")+(Inputs!$G$5:$G$120="acoes"))*Inputs!$B$1+((Inputs!$G$5:$G$120&lt;&gt;"moeda")*(Inputs!$G$5:$G$120&lt;&gt;"acoes")))*INDEX(Inputs!$K$5:$AJ$120,0,MATCH(G$2,Inputs!$K$4:$AJ$4,0)))))</f>
        <v>-2720</v>
      </c>
      <c r="H20" s="268">
        <f>G20</f>
        <v>-2720</v>
      </c>
      <c r="I20" s="267">
        <f>IF(ISNA(MATCH(I$2,Inputs!$K$4:$AJ$4,0)),NA(),IF(SUMPRODUCT((Inputs!$A$5:$A$120=$B20)*ISNUMBER(INDEX(Inputs!$K$5:$AJ$120,0,MATCH(I$2,Inputs!$K$4:$AJ$4,0))))+SUMPRODUCT((Inputs!$C$5:$C$120=$B20)*ISNUMBER(INDEX(Inputs!$K$5:$AJ$120,0,MATCH(I$2,Inputs!$K$4:$AJ$4,0))))+SUMPRODUCT((Inputs!$E$5:$E$120=$B20)*ISNUMBER(INDEX(Inputs!$K$5:$AJ$120,0,MATCH(I$2,Inputs!$K$4:$AJ$4,0))))=0,NA(),SUMPRODUCT((Inputs!$A$5:$A$120=$B20)*Inputs!$B$5:$B$120*(((Inputs!$G$5:$G$120="moeda")+(Inputs!$G$5:$G$120="acoes"))*Inputs!$B$1+((Inputs!$G$5:$G$120&lt;&gt;"moeda")*(Inputs!$G$5:$G$120&lt;&gt;"acoes")))*INDEX(Inputs!$K$5:$AJ$120,0,MATCH(I$2,Inputs!$K$4:$AJ$4,0)))+SUMPRODUCT((Inputs!$C$5:$C$120=$B20)*Inputs!$D$5:$D$120*(((Inputs!$G$5:$G$120="moeda")+(Inputs!$G$5:$G$120="acoes"))*Inputs!$B$1+((Inputs!$G$5:$G$120&lt;&gt;"moeda")*(Inputs!$G$5:$G$120&lt;&gt;"acoes")))*INDEX(Inputs!$K$5:$AJ$120,0,MATCH(I$2,Inputs!$K$4:$AJ$4,0)))+SUMPRODUCT((Inputs!$E$5:$E$120=$B20)*Inputs!$F$5:$F$120*(((Inputs!$G$5:$G$120="moeda")+(Inputs!$G$5:$G$120="acoes"))*Inputs!$B$1+((Inputs!$G$5:$G$120&lt;&gt;"moeda")*(Inputs!$G$5:$G$120&lt;&gt;"acoes")))*INDEX(Inputs!$K$5:$AJ$120,0,MATCH(I$2,Inputs!$K$4:$AJ$4,0)))))</f>
        <v>5427</v>
      </c>
      <c r="J20" s="267">
        <f>IF(ISNA(MATCH(J$2,Inputs!$K$4:$AJ$4,0)),NA(),IF(SUMPRODUCT((Inputs!$A$5:$A$120=$B20)*ISNUMBER(INDEX(Inputs!$K$5:$AJ$120,0,MATCH(J$2,Inputs!$K$4:$AJ$4,0))))+SUMPRODUCT((Inputs!$C$5:$C$120=$B20)*ISNUMBER(INDEX(Inputs!$K$5:$AJ$120,0,MATCH(J$2,Inputs!$K$4:$AJ$4,0))))+SUMPRODUCT((Inputs!$E$5:$E$120=$B20)*ISNUMBER(INDEX(Inputs!$K$5:$AJ$120,0,MATCH(J$2,Inputs!$K$4:$AJ$4,0))))=0,NA(),SUMPRODUCT((Inputs!$A$5:$A$120=$B20)*Inputs!$B$5:$B$120*(((Inputs!$G$5:$G$120="moeda")+(Inputs!$G$5:$G$120="acoes"))*Inputs!$B$1+((Inputs!$G$5:$G$120&lt;&gt;"moeda")*(Inputs!$G$5:$G$120&lt;&gt;"acoes")))*INDEX(Inputs!$K$5:$AJ$120,0,MATCH(J$2,Inputs!$K$4:$AJ$4,0)))+SUMPRODUCT((Inputs!$C$5:$C$120=$B20)*Inputs!$D$5:$D$120*(((Inputs!$G$5:$G$120="moeda")+(Inputs!$G$5:$G$120="acoes"))*Inputs!$B$1+((Inputs!$G$5:$G$120&lt;&gt;"moeda")*(Inputs!$G$5:$G$120&lt;&gt;"acoes")))*INDEX(Inputs!$K$5:$AJ$120,0,MATCH(J$2,Inputs!$K$4:$AJ$4,0)))+SUMPRODUCT((Inputs!$E$5:$E$120=$B20)*Inputs!$F$5:$F$120*(((Inputs!$G$5:$G$120="moeda")+(Inputs!$G$5:$G$120="acoes"))*Inputs!$B$1+((Inputs!$G$5:$G$120&lt;&gt;"moeda")*(Inputs!$G$5:$G$120&lt;&gt;"acoes")))*INDEX(Inputs!$K$5:$AJ$120,0,MATCH(J$2,Inputs!$K$4:$AJ$4,0)))))</f>
        <v>5713</v>
      </c>
      <c r="K20" s="267">
        <f>IF(ISNA(MATCH(K$2,Inputs!$K$4:$AJ$4,0)),NA(),IF(SUMPRODUCT((Inputs!$A$5:$A$120=$B20)*ISNUMBER(INDEX(Inputs!$K$5:$AJ$120,0,MATCH(K$2,Inputs!$K$4:$AJ$4,0))))+SUMPRODUCT((Inputs!$C$5:$C$120=$B20)*ISNUMBER(INDEX(Inputs!$K$5:$AJ$120,0,MATCH(K$2,Inputs!$K$4:$AJ$4,0))))+SUMPRODUCT((Inputs!$E$5:$E$120=$B20)*ISNUMBER(INDEX(Inputs!$K$5:$AJ$120,0,MATCH(K$2,Inputs!$K$4:$AJ$4,0))))=0,NA(),SUMPRODUCT((Inputs!$A$5:$A$120=$B20)*Inputs!$B$5:$B$120*(((Inputs!$G$5:$G$120="moeda")+(Inputs!$G$5:$G$120="acoes"))*Inputs!$B$1+((Inputs!$G$5:$G$120&lt;&gt;"moeda")*(Inputs!$G$5:$G$120&lt;&gt;"acoes")))*INDEX(Inputs!$K$5:$AJ$120,0,MATCH(K$2,Inputs!$K$4:$AJ$4,0)))+SUMPRODUCT((Inputs!$C$5:$C$120=$B20)*Inputs!$D$5:$D$120*(((Inputs!$G$5:$G$120="moeda")+(Inputs!$G$5:$G$120="acoes"))*Inputs!$B$1+((Inputs!$G$5:$G$120&lt;&gt;"moeda")*(Inputs!$G$5:$G$120&lt;&gt;"acoes")))*INDEX(Inputs!$K$5:$AJ$120,0,MATCH(K$2,Inputs!$K$4:$AJ$4,0)))+SUMPRODUCT((Inputs!$E$5:$E$120=$B20)*Inputs!$F$5:$F$120*(((Inputs!$G$5:$G$120="moeda")+(Inputs!$G$5:$G$120="acoes"))*Inputs!$B$1+((Inputs!$G$5:$G$120&lt;&gt;"moeda")*(Inputs!$G$5:$G$120&lt;&gt;"acoes")))*INDEX(Inputs!$K$5:$AJ$120,0,MATCH(K$2,Inputs!$K$4:$AJ$4,0)))))</f>
        <v>5951</v>
      </c>
      <c r="L20" s="267">
        <f>IF(ISNA(MATCH(L$2,Inputs!$K$4:$AJ$4,0)),NA(),IF(SUMPRODUCT((Inputs!$A$5:$A$120=$B20)*ISNUMBER(INDEX(Inputs!$K$5:$AJ$120,0,MATCH(L$2,Inputs!$K$4:$AJ$4,0))))+SUMPRODUCT((Inputs!$C$5:$C$120=$B20)*ISNUMBER(INDEX(Inputs!$K$5:$AJ$120,0,MATCH(L$2,Inputs!$K$4:$AJ$4,0))))+SUMPRODUCT((Inputs!$E$5:$E$120=$B20)*ISNUMBER(INDEX(Inputs!$K$5:$AJ$120,0,MATCH(L$2,Inputs!$K$4:$AJ$4,0))))=0,NA(),SUMPRODUCT((Inputs!$A$5:$A$120=$B20)*Inputs!$B$5:$B$120*(((Inputs!$G$5:$G$120="moeda")+(Inputs!$G$5:$G$120="acoes"))*Inputs!$B$1+((Inputs!$G$5:$G$120&lt;&gt;"moeda")*(Inputs!$G$5:$G$120&lt;&gt;"acoes")))*INDEX(Inputs!$K$5:$AJ$120,0,MATCH(L$2,Inputs!$K$4:$AJ$4,0)))+SUMPRODUCT((Inputs!$C$5:$C$120=$B20)*Inputs!$D$5:$D$120*(((Inputs!$G$5:$G$120="moeda")+(Inputs!$G$5:$G$120="acoes"))*Inputs!$B$1+((Inputs!$G$5:$G$120&lt;&gt;"moeda")*(Inputs!$G$5:$G$120&lt;&gt;"acoes")))*INDEX(Inputs!$K$5:$AJ$120,0,MATCH(L$2,Inputs!$K$4:$AJ$4,0)))+SUMPRODUCT((Inputs!$E$5:$E$120=$B20)*Inputs!$F$5:$F$120*(((Inputs!$G$5:$G$120="moeda")+(Inputs!$G$5:$G$120="acoes"))*Inputs!$B$1+((Inputs!$G$5:$G$120&lt;&gt;"moeda")*(Inputs!$G$5:$G$120&lt;&gt;"acoes")))*INDEX(Inputs!$K$5:$AJ$120,0,MATCH(L$2,Inputs!$K$4:$AJ$4,0)))))</f>
        <v>-2259</v>
      </c>
      <c r="M20" s="268">
        <f>L20</f>
        <v>-2259</v>
      </c>
      <c r="N20" s="267">
        <f>IF(ISNA(MATCH(N$2,Inputs!$K$4:$AJ$4,0)),NA(),IF(SUMPRODUCT((Inputs!$A$5:$A$120=$B20)*ISNUMBER(INDEX(Inputs!$K$5:$AJ$120,0,MATCH(N$2,Inputs!$K$4:$AJ$4,0))))+SUMPRODUCT((Inputs!$C$5:$C$120=$B20)*ISNUMBER(INDEX(Inputs!$K$5:$AJ$120,0,MATCH(N$2,Inputs!$K$4:$AJ$4,0))))+SUMPRODUCT((Inputs!$E$5:$E$120=$B20)*ISNUMBER(INDEX(Inputs!$K$5:$AJ$120,0,MATCH(N$2,Inputs!$K$4:$AJ$4,0))))=0,NA(),SUMPRODUCT((Inputs!$A$5:$A$120=$B20)*Inputs!$B$5:$B$120*(((Inputs!$G$5:$G$120="moeda")+(Inputs!$G$5:$G$120="acoes"))*Inputs!$B$1+((Inputs!$G$5:$G$120&lt;&gt;"moeda")*(Inputs!$G$5:$G$120&lt;&gt;"acoes")))*INDEX(Inputs!$K$5:$AJ$120,0,MATCH(N$2,Inputs!$K$4:$AJ$4,0)))+SUMPRODUCT((Inputs!$C$5:$C$120=$B20)*Inputs!$D$5:$D$120*(((Inputs!$G$5:$G$120="moeda")+(Inputs!$G$5:$G$120="acoes"))*Inputs!$B$1+((Inputs!$G$5:$G$120&lt;&gt;"moeda")*(Inputs!$G$5:$G$120&lt;&gt;"acoes")))*INDEX(Inputs!$K$5:$AJ$120,0,MATCH(N$2,Inputs!$K$4:$AJ$4,0)))+SUMPRODUCT((Inputs!$E$5:$E$120=$B20)*Inputs!$F$5:$F$120*(((Inputs!$G$5:$G$120="moeda")+(Inputs!$G$5:$G$120="acoes"))*Inputs!$B$1+((Inputs!$G$5:$G$120&lt;&gt;"moeda")*(Inputs!$G$5:$G$120&lt;&gt;"acoes")))*INDEX(Inputs!$K$5:$AJ$120,0,MATCH(N$2,Inputs!$K$4:$AJ$4,0)))))</f>
        <v>6760</v>
      </c>
      <c r="O20" s="267">
        <f>IF(ISNA(MATCH(O$2,Inputs!$K$4:$AJ$4,0)),NA(),IF(SUMPRODUCT((Inputs!$A$5:$A$120=$B20)*ISNUMBER(INDEX(Inputs!$K$5:$AJ$120,0,MATCH(O$2,Inputs!$K$4:$AJ$4,0))))+SUMPRODUCT((Inputs!$C$5:$C$120=$B20)*ISNUMBER(INDEX(Inputs!$K$5:$AJ$120,0,MATCH(O$2,Inputs!$K$4:$AJ$4,0))))+SUMPRODUCT((Inputs!$E$5:$E$120=$B20)*ISNUMBER(INDEX(Inputs!$K$5:$AJ$120,0,MATCH(O$2,Inputs!$K$4:$AJ$4,0))))=0,NA(),SUMPRODUCT((Inputs!$A$5:$A$120=$B20)*Inputs!$B$5:$B$120*(((Inputs!$G$5:$G$120="moeda")+(Inputs!$G$5:$G$120="acoes"))*Inputs!$B$1+((Inputs!$G$5:$G$120&lt;&gt;"moeda")*(Inputs!$G$5:$G$120&lt;&gt;"acoes")))*INDEX(Inputs!$K$5:$AJ$120,0,MATCH(O$2,Inputs!$K$4:$AJ$4,0)))+SUMPRODUCT((Inputs!$C$5:$C$120=$B20)*Inputs!$D$5:$D$120*(((Inputs!$G$5:$G$120="moeda")+(Inputs!$G$5:$G$120="acoes"))*Inputs!$B$1+((Inputs!$G$5:$G$120&lt;&gt;"moeda")*(Inputs!$G$5:$G$120&lt;&gt;"acoes")))*INDEX(Inputs!$K$5:$AJ$120,0,MATCH(O$2,Inputs!$K$4:$AJ$4,0)))+SUMPRODUCT((Inputs!$E$5:$E$120=$B20)*Inputs!$F$5:$F$120*(((Inputs!$G$5:$G$120="moeda")+(Inputs!$G$5:$G$120="acoes"))*Inputs!$B$1+((Inputs!$G$5:$G$120&lt;&gt;"moeda")*(Inputs!$G$5:$G$120&lt;&gt;"acoes")))*INDEX(Inputs!$K$5:$AJ$120,0,MATCH(O$2,Inputs!$K$4:$AJ$4,0)))))</f>
        <v>6699</v>
      </c>
      <c r="P20" s="267">
        <f>IF(ISNA(MATCH(P$2,Inputs!$K$4:$AJ$4,0)),NA(),IF(SUMPRODUCT((Inputs!$A$5:$A$120=$B20)*ISNUMBER(INDEX(Inputs!$K$5:$AJ$120,0,MATCH(P$2,Inputs!$K$4:$AJ$4,0))))+SUMPRODUCT((Inputs!$C$5:$C$120=$B20)*ISNUMBER(INDEX(Inputs!$K$5:$AJ$120,0,MATCH(P$2,Inputs!$K$4:$AJ$4,0))))+SUMPRODUCT((Inputs!$E$5:$E$120=$B20)*ISNUMBER(INDEX(Inputs!$K$5:$AJ$120,0,MATCH(P$2,Inputs!$K$4:$AJ$4,0))))=0,NA(),SUMPRODUCT((Inputs!$A$5:$A$120=$B20)*Inputs!$B$5:$B$120*(((Inputs!$G$5:$G$120="moeda")+(Inputs!$G$5:$G$120="acoes"))*Inputs!$B$1+((Inputs!$G$5:$G$120&lt;&gt;"moeda")*(Inputs!$G$5:$G$120&lt;&gt;"acoes")))*INDEX(Inputs!$K$5:$AJ$120,0,MATCH(P$2,Inputs!$K$4:$AJ$4,0)))+SUMPRODUCT((Inputs!$C$5:$C$120=$B20)*Inputs!$D$5:$D$120*(((Inputs!$G$5:$G$120="moeda")+(Inputs!$G$5:$G$120="acoes"))*Inputs!$B$1+((Inputs!$G$5:$G$120&lt;&gt;"moeda")*(Inputs!$G$5:$G$120&lt;&gt;"acoes")))*INDEX(Inputs!$K$5:$AJ$120,0,MATCH(P$2,Inputs!$K$4:$AJ$4,0)))+SUMPRODUCT((Inputs!$E$5:$E$120=$B20)*Inputs!$F$5:$F$120*(((Inputs!$G$5:$G$120="moeda")+(Inputs!$G$5:$G$120="acoes"))*Inputs!$B$1+((Inputs!$G$5:$G$120&lt;&gt;"moeda")*(Inputs!$G$5:$G$120&lt;&gt;"acoes")))*INDEX(Inputs!$K$5:$AJ$120,0,MATCH(P$2,Inputs!$K$4:$AJ$4,0)))))</f>
        <v>7540</v>
      </c>
      <c r="Q20" s="267">
        <f>IF(ISNA(MATCH(Q$2,Inputs!$K$4:$AJ$4,0)),NA(),IF(SUMPRODUCT((Inputs!$A$5:$A$120=$B20)*ISNUMBER(INDEX(Inputs!$K$5:$AJ$120,0,MATCH(Q$2,Inputs!$K$4:$AJ$4,0))))+SUMPRODUCT((Inputs!$C$5:$C$120=$B20)*ISNUMBER(INDEX(Inputs!$K$5:$AJ$120,0,MATCH(Q$2,Inputs!$K$4:$AJ$4,0))))+SUMPRODUCT((Inputs!$E$5:$E$120=$B20)*ISNUMBER(INDEX(Inputs!$K$5:$AJ$120,0,MATCH(Q$2,Inputs!$K$4:$AJ$4,0))))=0,NA(),SUMPRODUCT((Inputs!$A$5:$A$120=$B20)*Inputs!$B$5:$B$120*(((Inputs!$G$5:$G$120="moeda")+(Inputs!$G$5:$G$120="acoes"))*Inputs!$B$1+((Inputs!$G$5:$G$120&lt;&gt;"moeda")*(Inputs!$G$5:$G$120&lt;&gt;"acoes")))*INDEX(Inputs!$K$5:$AJ$120,0,MATCH(Q$2,Inputs!$K$4:$AJ$4,0)))+SUMPRODUCT((Inputs!$C$5:$C$120=$B20)*Inputs!$D$5:$D$120*(((Inputs!$G$5:$G$120="moeda")+(Inputs!$G$5:$G$120="acoes"))*Inputs!$B$1+((Inputs!$G$5:$G$120&lt;&gt;"moeda")*(Inputs!$G$5:$G$120&lt;&gt;"acoes")))*INDEX(Inputs!$K$5:$AJ$120,0,MATCH(Q$2,Inputs!$K$4:$AJ$4,0)))+SUMPRODUCT((Inputs!$E$5:$E$120=$B20)*Inputs!$F$5:$F$120*(((Inputs!$G$5:$G$120="moeda")+(Inputs!$G$5:$G$120="acoes"))*Inputs!$B$1+((Inputs!$G$5:$G$120&lt;&gt;"moeda")*(Inputs!$G$5:$G$120&lt;&gt;"acoes")))*INDEX(Inputs!$K$5:$AJ$120,0,MATCH(Q$2,Inputs!$K$4:$AJ$4,0)))))</f>
        <v>2035</v>
      </c>
      <c r="R20" s="268">
        <f>Q20</f>
        <v>2035</v>
      </c>
      <c r="S20" s="267">
        <f>IF(ISNA(MATCH(S$2,Inputs!$K$4:$AJ$4,0)),NA(),IF(SUMPRODUCT((Inputs!$A$5:$A$120=$B20)*ISNUMBER(INDEX(Inputs!$K$5:$AJ$120,0,MATCH(S$2,Inputs!$K$4:$AJ$4,0))))+SUMPRODUCT((Inputs!$C$5:$C$120=$B20)*ISNUMBER(INDEX(Inputs!$K$5:$AJ$120,0,MATCH(S$2,Inputs!$K$4:$AJ$4,0))))+SUMPRODUCT((Inputs!$E$5:$E$120=$B20)*ISNUMBER(INDEX(Inputs!$K$5:$AJ$120,0,MATCH(S$2,Inputs!$K$4:$AJ$4,0))))=0,NA(),SUMPRODUCT((Inputs!$A$5:$A$120=$B20)*Inputs!$B$5:$B$120*(((Inputs!$G$5:$G$120="moeda")+(Inputs!$G$5:$G$120="acoes"))*Inputs!$B$1+((Inputs!$G$5:$G$120&lt;&gt;"moeda")*(Inputs!$G$5:$G$120&lt;&gt;"acoes")))*INDEX(Inputs!$K$5:$AJ$120,0,MATCH(S$2,Inputs!$K$4:$AJ$4,0)))+SUMPRODUCT((Inputs!$C$5:$C$120=$B20)*Inputs!$D$5:$D$120*(((Inputs!$G$5:$G$120="moeda")+(Inputs!$G$5:$G$120="acoes"))*Inputs!$B$1+((Inputs!$G$5:$G$120&lt;&gt;"moeda")*(Inputs!$G$5:$G$120&lt;&gt;"acoes")))*INDEX(Inputs!$K$5:$AJ$120,0,MATCH(S$2,Inputs!$K$4:$AJ$4,0)))+SUMPRODUCT((Inputs!$E$5:$E$120=$B20)*Inputs!$F$5:$F$120*(((Inputs!$G$5:$G$120="moeda")+(Inputs!$G$5:$G$120="acoes"))*Inputs!$B$1+((Inputs!$G$5:$G$120&lt;&gt;"moeda")*(Inputs!$G$5:$G$120&lt;&gt;"acoes")))*INDEX(Inputs!$K$5:$AJ$120,0,MATCH(S$2,Inputs!$K$4:$AJ$4,0)))))</f>
        <v>8140</v>
      </c>
      <c r="T20" s="267">
        <f>IF(ISNA(MATCH(T$2,Inputs!$K$4:$AJ$4,0)),NA(),IF(SUMPRODUCT((Inputs!$A$5:$A$120=$B20)*ISNUMBER(INDEX(Inputs!$K$5:$AJ$120,0,MATCH(T$2,Inputs!$K$4:$AJ$4,0))))+SUMPRODUCT((Inputs!$C$5:$C$120=$B20)*ISNUMBER(INDEX(Inputs!$K$5:$AJ$120,0,MATCH(T$2,Inputs!$K$4:$AJ$4,0))))+SUMPRODUCT((Inputs!$E$5:$E$120=$B20)*ISNUMBER(INDEX(Inputs!$K$5:$AJ$120,0,MATCH(T$2,Inputs!$K$4:$AJ$4,0))))=0,NA(),SUMPRODUCT((Inputs!$A$5:$A$120=$B20)*Inputs!$B$5:$B$120*(((Inputs!$G$5:$G$120="moeda")+(Inputs!$G$5:$G$120="acoes"))*Inputs!$B$1+((Inputs!$G$5:$G$120&lt;&gt;"moeda")*(Inputs!$G$5:$G$120&lt;&gt;"acoes")))*INDEX(Inputs!$K$5:$AJ$120,0,MATCH(T$2,Inputs!$K$4:$AJ$4,0)))+SUMPRODUCT((Inputs!$C$5:$C$120=$B20)*Inputs!$D$5:$D$120*(((Inputs!$G$5:$G$120="moeda")+(Inputs!$G$5:$G$120="acoes"))*Inputs!$B$1+((Inputs!$G$5:$G$120&lt;&gt;"moeda")*(Inputs!$G$5:$G$120&lt;&gt;"acoes")))*INDEX(Inputs!$K$5:$AJ$120,0,MATCH(T$2,Inputs!$K$4:$AJ$4,0)))+SUMPRODUCT((Inputs!$E$5:$E$120=$B20)*Inputs!$F$5:$F$120*(((Inputs!$G$5:$G$120="moeda")+(Inputs!$G$5:$G$120="acoes"))*Inputs!$B$1+((Inputs!$G$5:$G$120&lt;&gt;"moeda")*(Inputs!$G$5:$G$120&lt;&gt;"acoes")))*INDEX(Inputs!$K$5:$AJ$120,0,MATCH(T$2,Inputs!$K$4:$AJ$4,0)))))</f>
        <v>8321</v>
      </c>
      <c r="U20" s="267">
        <f>IF(ISNA(MATCH(U$2,Inputs!$K$4:$AJ$4,0)),NA(),IF(SUMPRODUCT((Inputs!$A$5:$A$120=$B20)*ISNUMBER(INDEX(Inputs!$K$5:$AJ$120,0,MATCH(U$2,Inputs!$K$4:$AJ$4,0))))+SUMPRODUCT((Inputs!$C$5:$C$120=$B20)*ISNUMBER(INDEX(Inputs!$K$5:$AJ$120,0,MATCH(U$2,Inputs!$K$4:$AJ$4,0))))+SUMPRODUCT((Inputs!$E$5:$E$120=$B20)*ISNUMBER(INDEX(Inputs!$K$5:$AJ$120,0,MATCH(U$2,Inputs!$K$4:$AJ$4,0))))=0,NA(),SUMPRODUCT((Inputs!$A$5:$A$120=$B20)*Inputs!$B$5:$B$120*(((Inputs!$G$5:$G$120="moeda")+(Inputs!$G$5:$G$120="acoes"))*Inputs!$B$1+((Inputs!$G$5:$G$120&lt;&gt;"moeda")*(Inputs!$G$5:$G$120&lt;&gt;"acoes")))*INDEX(Inputs!$K$5:$AJ$120,0,MATCH(U$2,Inputs!$K$4:$AJ$4,0)))+SUMPRODUCT((Inputs!$C$5:$C$120=$B20)*Inputs!$D$5:$D$120*(((Inputs!$G$5:$G$120="moeda")+(Inputs!$G$5:$G$120="acoes"))*Inputs!$B$1+((Inputs!$G$5:$G$120&lt;&gt;"moeda")*(Inputs!$G$5:$G$120&lt;&gt;"acoes")))*INDEX(Inputs!$K$5:$AJ$120,0,MATCH(U$2,Inputs!$K$4:$AJ$4,0)))+SUMPRODUCT((Inputs!$E$5:$E$120=$B20)*Inputs!$F$5:$F$120*(((Inputs!$G$5:$G$120="moeda")+(Inputs!$G$5:$G$120="acoes"))*Inputs!$B$1+((Inputs!$G$5:$G$120&lt;&gt;"moeda")*(Inputs!$G$5:$G$120&lt;&gt;"acoes")))*INDEX(Inputs!$K$5:$AJ$120,0,MATCH(U$2,Inputs!$K$4:$AJ$4,0)))))</f>
        <v>8566</v>
      </c>
      <c r="V20" s="267">
        <f>IF(ISNA(MATCH(V$2,Inputs!$K$4:$AJ$4,0)),NA(),IF(SUMPRODUCT((Inputs!$A$5:$A$120=$B20)*ISNUMBER(INDEX(Inputs!$K$5:$AJ$120,0,MATCH(V$2,Inputs!$K$4:$AJ$4,0))))+SUMPRODUCT((Inputs!$C$5:$C$120=$B20)*ISNUMBER(INDEX(Inputs!$K$5:$AJ$120,0,MATCH(V$2,Inputs!$K$4:$AJ$4,0))))+SUMPRODUCT((Inputs!$E$5:$E$120=$B20)*ISNUMBER(INDEX(Inputs!$K$5:$AJ$120,0,MATCH(V$2,Inputs!$K$4:$AJ$4,0))))=0,NA(),SUMPRODUCT((Inputs!$A$5:$A$120=$B20)*Inputs!$B$5:$B$120*(((Inputs!$G$5:$G$120="moeda")+(Inputs!$G$5:$G$120="acoes"))*Inputs!$B$1+((Inputs!$G$5:$G$120&lt;&gt;"moeda")*(Inputs!$G$5:$G$120&lt;&gt;"acoes")))*INDEX(Inputs!$K$5:$AJ$120,0,MATCH(V$2,Inputs!$K$4:$AJ$4,0)))+SUMPRODUCT((Inputs!$C$5:$C$120=$B20)*Inputs!$D$5:$D$120*(((Inputs!$G$5:$G$120="moeda")+(Inputs!$G$5:$G$120="acoes"))*Inputs!$B$1+((Inputs!$G$5:$G$120&lt;&gt;"moeda")*(Inputs!$G$5:$G$120&lt;&gt;"acoes")))*INDEX(Inputs!$K$5:$AJ$120,0,MATCH(V$2,Inputs!$K$4:$AJ$4,0)))+SUMPRODUCT((Inputs!$E$5:$E$120=$B20)*Inputs!$F$5:$F$120*(((Inputs!$G$5:$G$120="moeda")+(Inputs!$G$5:$G$120="acoes"))*Inputs!$B$1+((Inputs!$G$5:$G$120&lt;&gt;"moeda")*(Inputs!$G$5:$G$120&lt;&gt;"acoes")))*INDEX(Inputs!$K$5:$AJ$120,0,MATCH(V$2,Inputs!$K$4:$AJ$4,0)))))</f>
        <v>3884</v>
      </c>
      <c r="W20" s="268">
        <f>V20</f>
        <v>3884</v>
      </c>
      <c r="X20" s="267">
        <f>IF(ISNA(MATCH(X$2,Inputs!$K$4:$AJ$4,0)),NA(),IF(SUMPRODUCT((Inputs!$A$5:$A$120=$B20)*ISNUMBER(INDEX(Inputs!$K$5:$AJ$120,0,MATCH(X$2,Inputs!$K$4:$AJ$4,0))))+SUMPRODUCT((Inputs!$C$5:$C$120=$B20)*ISNUMBER(INDEX(Inputs!$K$5:$AJ$120,0,MATCH(X$2,Inputs!$K$4:$AJ$4,0))))+SUMPRODUCT((Inputs!$E$5:$E$120=$B20)*ISNUMBER(INDEX(Inputs!$K$5:$AJ$120,0,MATCH(X$2,Inputs!$K$4:$AJ$4,0))))=0,NA(),SUMPRODUCT((Inputs!$A$5:$A$120=$B20)*Inputs!$B$5:$B$120*(((Inputs!$G$5:$G$120="moeda")+(Inputs!$G$5:$G$120="acoes"))*Inputs!$B$1+((Inputs!$G$5:$G$120&lt;&gt;"moeda")*(Inputs!$G$5:$G$120&lt;&gt;"acoes")))*INDEX(Inputs!$K$5:$AJ$120,0,MATCH(X$2,Inputs!$K$4:$AJ$4,0)))+SUMPRODUCT((Inputs!$C$5:$C$120=$B20)*Inputs!$D$5:$D$120*(((Inputs!$G$5:$G$120="moeda")+(Inputs!$G$5:$G$120="acoes"))*Inputs!$B$1+((Inputs!$G$5:$G$120&lt;&gt;"moeda")*(Inputs!$G$5:$G$120&lt;&gt;"acoes")))*INDEX(Inputs!$K$5:$AJ$120,0,MATCH(X$2,Inputs!$K$4:$AJ$4,0)))+SUMPRODUCT((Inputs!$E$5:$E$120=$B20)*Inputs!$F$5:$F$120*(((Inputs!$G$5:$G$120="moeda")+(Inputs!$G$5:$G$120="acoes"))*Inputs!$B$1+((Inputs!$G$5:$G$120&lt;&gt;"moeda")*(Inputs!$G$5:$G$120&lt;&gt;"acoes")))*INDEX(Inputs!$K$5:$AJ$120,0,MATCH(X$2,Inputs!$K$4:$AJ$4,0)))))</f>
        <v>8674</v>
      </c>
      <c r="Y20" s="267">
        <f>IF(ISNA(MATCH(Y$2,Inputs!$K$4:$AJ$4,0)),NA(),IF(SUMPRODUCT((Inputs!$A$5:$A$120=$B20)*ISNUMBER(INDEX(Inputs!$K$5:$AJ$120,0,MATCH(Y$2,Inputs!$K$4:$AJ$4,0))))+SUMPRODUCT((Inputs!$C$5:$C$120=$B20)*ISNUMBER(INDEX(Inputs!$K$5:$AJ$120,0,MATCH(Y$2,Inputs!$K$4:$AJ$4,0))))+SUMPRODUCT((Inputs!$E$5:$E$120=$B20)*ISNUMBER(INDEX(Inputs!$K$5:$AJ$120,0,MATCH(Y$2,Inputs!$K$4:$AJ$4,0))))=0,NA(),SUMPRODUCT((Inputs!$A$5:$A$120=$B20)*Inputs!$B$5:$B$120*(((Inputs!$G$5:$G$120="moeda")+(Inputs!$G$5:$G$120="acoes"))*Inputs!$B$1+((Inputs!$G$5:$G$120&lt;&gt;"moeda")*(Inputs!$G$5:$G$120&lt;&gt;"acoes")))*INDEX(Inputs!$K$5:$AJ$120,0,MATCH(Y$2,Inputs!$K$4:$AJ$4,0)))+SUMPRODUCT((Inputs!$C$5:$C$120=$B20)*Inputs!$D$5:$D$120*(((Inputs!$G$5:$G$120="moeda")+(Inputs!$G$5:$G$120="acoes"))*Inputs!$B$1+((Inputs!$G$5:$G$120&lt;&gt;"moeda")*(Inputs!$G$5:$G$120&lt;&gt;"acoes")))*INDEX(Inputs!$K$5:$AJ$120,0,MATCH(Y$2,Inputs!$K$4:$AJ$4,0)))+SUMPRODUCT((Inputs!$E$5:$E$120=$B20)*Inputs!$F$5:$F$120*(((Inputs!$G$5:$G$120="moeda")+(Inputs!$G$5:$G$120="acoes"))*Inputs!$B$1+((Inputs!$G$5:$G$120&lt;&gt;"moeda")*(Inputs!$G$5:$G$120&lt;&gt;"acoes")))*INDEX(Inputs!$K$5:$AJ$120,0,MATCH(Y$2,Inputs!$K$4:$AJ$4,0)))))</f>
        <v>8205</v>
      </c>
      <c r="Z20" s="267">
        <f>IF(ISNA(MATCH(Z$2,Inputs!$K$4:$AJ$4,0)),NA(),IF(SUMPRODUCT((Inputs!$A$5:$A$120=$B20)*ISNUMBER(INDEX(Inputs!$K$5:$AJ$120,0,MATCH(Z$2,Inputs!$K$4:$AJ$4,0))))+SUMPRODUCT((Inputs!$C$5:$C$120=$B20)*ISNUMBER(INDEX(Inputs!$K$5:$AJ$120,0,MATCH(Z$2,Inputs!$K$4:$AJ$4,0))))+SUMPRODUCT((Inputs!$E$5:$E$120=$B20)*ISNUMBER(INDEX(Inputs!$K$5:$AJ$120,0,MATCH(Z$2,Inputs!$K$4:$AJ$4,0))))=0,NA(),SUMPRODUCT((Inputs!$A$5:$A$120=$B20)*Inputs!$B$5:$B$120*(((Inputs!$G$5:$G$120="moeda")+(Inputs!$G$5:$G$120="acoes"))*Inputs!$B$1+((Inputs!$G$5:$G$120&lt;&gt;"moeda")*(Inputs!$G$5:$G$120&lt;&gt;"acoes")))*INDEX(Inputs!$K$5:$AJ$120,0,MATCH(Z$2,Inputs!$K$4:$AJ$4,0)))+SUMPRODUCT((Inputs!$C$5:$C$120=$B20)*Inputs!$D$5:$D$120*(((Inputs!$G$5:$G$120="moeda")+(Inputs!$G$5:$G$120="acoes"))*Inputs!$B$1+((Inputs!$G$5:$G$120&lt;&gt;"moeda")*(Inputs!$G$5:$G$120&lt;&gt;"acoes")))*INDEX(Inputs!$K$5:$AJ$120,0,MATCH(Z$2,Inputs!$K$4:$AJ$4,0)))+SUMPRODUCT((Inputs!$E$5:$E$120=$B20)*Inputs!$F$5:$F$120*(((Inputs!$G$5:$G$120="moeda")+(Inputs!$G$5:$G$120="acoes"))*Inputs!$B$1+((Inputs!$G$5:$G$120&lt;&gt;"moeda")*(Inputs!$G$5:$G$120&lt;&gt;"acoes")))*INDEX(Inputs!$K$5:$AJ$120,0,MATCH(Z$2,Inputs!$K$4:$AJ$4,0)))))</f>
        <v>8330</v>
      </c>
      <c r="AA20" s="267">
        <f>IF(ISNA(MATCH(AA$2,Inputs!$K$4:$AJ$4,0)),NA(),IF(SUMPRODUCT((Inputs!$A$5:$A$120=$B20)*ISNUMBER(INDEX(Inputs!$K$5:$AJ$120,0,MATCH(AA$2,Inputs!$K$4:$AJ$4,0))))+SUMPRODUCT((Inputs!$C$5:$C$120=$B20)*ISNUMBER(INDEX(Inputs!$K$5:$AJ$120,0,MATCH(AA$2,Inputs!$K$4:$AJ$4,0))))+SUMPRODUCT((Inputs!$E$5:$E$120=$B20)*ISNUMBER(INDEX(Inputs!$K$5:$AJ$120,0,MATCH(AA$2,Inputs!$K$4:$AJ$4,0))))=0,NA(),SUMPRODUCT((Inputs!$A$5:$A$120=$B20)*Inputs!$B$5:$B$120*(((Inputs!$G$5:$G$120="moeda")+(Inputs!$G$5:$G$120="acoes"))*Inputs!$B$1+((Inputs!$G$5:$G$120&lt;&gt;"moeda")*(Inputs!$G$5:$G$120&lt;&gt;"acoes")))*INDEX(Inputs!$K$5:$AJ$120,0,MATCH(AA$2,Inputs!$K$4:$AJ$4,0)))+SUMPRODUCT((Inputs!$C$5:$C$120=$B20)*Inputs!$D$5:$D$120*(((Inputs!$G$5:$G$120="moeda")+(Inputs!$G$5:$G$120="acoes"))*Inputs!$B$1+((Inputs!$G$5:$G$120&lt;&gt;"moeda")*(Inputs!$G$5:$G$120&lt;&gt;"acoes")))*INDEX(Inputs!$K$5:$AJ$120,0,MATCH(AA$2,Inputs!$K$4:$AJ$4,0)))+SUMPRODUCT((Inputs!$E$5:$E$120=$B20)*Inputs!$F$5:$F$120*(((Inputs!$G$5:$G$120="moeda")+(Inputs!$G$5:$G$120="acoes"))*Inputs!$B$1+((Inputs!$G$5:$G$120&lt;&gt;"moeda")*(Inputs!$G$5:$G$120&lt;&gt;"acoes")))*INDEX(Inputs!$K$5:$AJ$120,0,MATCH(AA$2,Inputs!$K$4:$AJ$4,0)))))</f>
        <v>4816</v>
      </c>
      <c r="AB20" s="268">
        <f>AA20</f>
        <v>4816</v>
      </c>
      <c r="AC20" s="267">
        <f>IF(ISNA(MATCH(AC$2,Inputs!$K$4:$AJ$4,0)),NA(),IF(SUMPRODUCT((Inputs!$A$5:$A$120=$B20)*ISNUMBER(INDEX(Inputs!$K$5:$AJ$120,0,MATCH(AC$2,Inputs!$K$4:$AJ$4,0))))+SUMPRODUCT((Inputs!$C$5:$C$120=$B20)*ISNUMBER(INDEX(Inputs!$K$5:$AJ$120,0,MATCH(AC$2,Inputs!$K$4:$AJ$4,0))))+SUMPRODUCT((Inputs!$E$5:$E$120=$B20)*ISNUMBER(INDEX(Inputs!$K$5:$AJ$120,0,MATCH(AC$2,Inputs!$K$4:$AJ$4,0))))=0,NA(),SUMPRODUCT((Inputs!$A$5:$A$120=$B20)*Inputs!$B$5:$B$120*(((Inputs!$G$5:$G$120="moeda")+(Inputs!$G$5:$G$120="acoes"))*Inputs!$B$1+((Inputs!$G$5:$G$120&lt;&gt;"moeda")*(Inputs!$G$5:$G$120&lt;&gt;"acoes")))*INDEX(Inputs!$K$5:$AJ$120,0,MATCH(AC$2,Inputs!$K$4:$AJ$4,0)))+SUMPRODUCT((Inputs!$C$5:$C$120=$B20)*Inputs!$D$5:$D$120*(((Inputs!$G$5:$G$120="moeda")+(Inputs!$G$5:$G$120="acoes"))*Inputs!$B$1+((Inputs!$G$5:$G$120&lt;&gt;"moeda")*(Inputs!$G$5:$G$120&lt;&gt;"acoes")))*INDEX(Inputs!$K$5:$AJ$120,0,MATCH(AC$2,Inputs!$K$4:$AJ$4,0)))+SUMPRODUCT((Inputs!$E$5:$E$120=$B20)*Inputs!$F$5:$F$120*(((Inputs!$G$5:$G$120="moeda")+(Inputs!$G$5:$G$120="acoes"))*Inputs!$B$1+((Inputs!$G$5:$G$120&lt;&gt;"moeda")*(Inputs!$G$5:$G$120&lt;&gt;"acoes")))*INDEX(Inputs!$K$5:$AJ$120,0,MATCH(AC$2,Inputs!$K$4:$AJ$4,0)))))</f>
        <v>9674</v>
      </c>
      <c r="AD20" s="267">
        <f>IF(ISNA(MATCH(AD$2,Inputs!$K$4:$AJ$4,0)),NA(),IF(SUMPRODUCT((Inputs!$A$5:$A$120=$B20)*ISNUMBER(INDEX(Inputs!$K$5:$AJ$120,0,MATCH(AD$2,Inputs!$K$4:$AJ$4,0))))+SUMPRODUCT((Inputs!$C$5:$C$120=$B20)*ISNUMBER(INDEX(Inputs!$K$5:$AJ$120,0,MATCH(AD$2,Inputs!$K$4:$AJ$4,0))))+SUMPRODUCT((Inputs!$E$5:$E$120=$B20)*ISNUMBER(INDEX(Inputs!$K$5:$AJ$120,0,MATCH(AD$2,Inputs!$K$4:$AJ$4,0))))=0,NA(),SUMPRODUCT((Inputs!$A$5:$A$120=$B20)*Inputs!$B$5:$B$120*(((Inputs!$G$5:$G$120="moeda")+(Inputs!$G$5:$G$120="acoes"))*Inputs!$B$1+((Inputs!$G$5:$G$120&lt;&gt;"moeda")*(Inputs!$G$5:$G$120&lt;&gt;"acoes")))*INDEX(Inputs!$K$5:$AJ$120,0,MATCH(AD$2,Inputs!$K$4:$AJ$4,0)))+SUMPRODUCT((Inputs!$C$5:$C$120=$B20)*Inputs!$D$5:$D$120*(((Inputs!$G$5:$G$120="moeda")+(Inputs!$G$5:$G$120="acoes"))*Inputs!$B$1+((Inputs!$G$5:$G$120&lt;&gt;"moeda")*(Inputs!$G$5:$G$120&lt;&gt;"acoes")))*INDEX(Inputs!$K$5:$AJ$120,0,MATCH(AD$2,Inputs!$K$4:$AJ$4,0)))+SUMPRODUCT((Inputs!$E$5:$E$120=$B20)*Inputs!$F$5:$F$120*(((Inputs!$G$5:$G$120="moeda")+(Inputs!$G$5:$G$120="acoes"))*Inputs!$B$1+((Inputs!$G$5:$G$120&lt;&gt;"moeda")*(Inputs!$G$5:$G$120&lt;&gt;"acoes")))*INDEX(Inputs!$K$5:$AJ$120,0,MATCH(AD$2,Inputs!$K$4:$AJ$4,0)))))</f>
        <v>9369</v>
      </c>
      <c r="AE20" s="267" t="e">
        <f>IF(ISNA(MATCH(AE$2,Inputs!$K$4:$AJ$4,0)),NA(),IF(SUMPRODUCT((Inputs!$A$5:$A$120=$B20)*ISNUMBER(INDEX(Inputs!$K$5:$AJ$120,0,MATCH(AE$2,Inputs!$K$4:$AJ$4,0))))+SUMPRODUCT((Inputs!$C$5:$C$120=$B20)*ISNUMBER(INDEX(Inputs!$K$5:$AJ$120,0,MATCH(AE$2,Inputs!$K$4:$AJ$4,0))))+SUMPRODUCT((Inputs!$E$5:$E$120=$B20)*ISNUMBER(INDEX(Inputs!$K$5:$AJ$120,0,MATCH(AE$2,Inputs!$K$4:$AJ$4,0))))=0,NA(),SUMPRODUCT((Inputs!$A$5:$A$120=$B20)*Inputs!$B$5:$B$120*(((Inputs!$G$5:$G$120="moeda")+(Inputs!$G$5:$G$120="acoes"))*Inputs!$B$1+((Inputs!$G$5:$G$120&lt;&gt;"moeda")*(Inputs!$G$5:$G$120&lt;&gt;"acoes")))*INDEX(Inputs!$K$5:$AJ$120,0,MATCH(AE$2,Inputs!$K$4:$AJ$4,0)))+SUMPRODUCT((Inputs!$C$5:$C$120=$B20)*Inputs!$D$5:$D$120*(((Inputs!$G$5:$G$120="moeda")+(Inputs!$G$5:$G$120="acoes"))*Inputs!$B$1+((Inputs!$G$5:$G$120&lt;&gt;"moeda")*(Inputs!$G$5:$G$120&lt;&gt;"acoes")))*INDEX(Inputs!$K$5:$AJ$120,0,MATCH(AE$2,Inputs!$K$4:$AJ$4,0)))+SUMPRODUCT((Inputs!$E$5:$E$120=$B20)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0" s="267" t="e">
        <f>IF(ISNA(MATCH(AF$2,Inputs!$K$4:$AJ$4,0)),NA(),IF(SUMPRODUCT((Inputs!$A$5:$A$120=$B20)*ISNUMBER(INDEX(Inputs!$K$5:$AJ$120,0,MATCH(AF$2,Inputs!$K$4:$AJ$4,0))))+SUMPRODUCT((Inputs!$C$5:$C$120=$B20)*ISNUMBER(INDEX(Inputs!$K$5:$AJ$120,0,MATCH(AF$2,Inputs!$K$4:$AJ$4,0))))+SUMPRODUCT((Inputs!$E$5:$E$120=$B20)*ISNUMBER(INDEX(Inputs!$K$5:$AJ$120,0,MATCH(AF$2,Inputs!$K$4:$AJ$4,0))))=0,NA(),SUMPRODUCT((Inputs!$A$5:$A$120=$B20)*Inputs!$B$5:$B$120*(((Inputs!$G$5:$G$120="moeda")+(Inputs!$G$5:$G$120="acoes"))*Inputs!$B$1+((Inputs!$G$5:$G$120&lt;&gt;"moeda")*(Inputs!$G$5:$G$120&lt;&gt;"acoes")))*INDEX(Inputs!$K$5:$AJ$120,0,MATCH(AF$2,Inputs!$K$4:$AJ$4,0)))+SUMPRODUCT((Inputs!$C$5:$C$120=$B20)*Inputs!$D$5:$D$120*(((Inputs!$G$5:$G$120="moeda")+(Inputs!$G$5:$G$120="acoes"))*Inputs!$B$1+((Inputs!$G$5:$G$120&lt;&gt;"moeda")*(Inputs!$G$5:$G$120&lt;&gt;"acoes")))*INDEX(Inputs!$K$5:$AJ$120,0,MATCH(AF$2,Inputs!$K$4:$AJ$4,0)))+SUMPRODUCT((Inputs!$E$5:$E$120=$B20)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0" s="268" t="e">
        <f>AF20</f>
        <v>#N/A</v>
      </c>
      <c r="AH20" s="267">
        <f>IF(ISNA(MATCH(AH$2,Inputs!$K$4:$AJ$4,0)),NA(),IF(SUMPRODUCT((Inputs!$A$5:$A$120=$B20)*ISNUMBER(INDEX(Inputs!$K$5:$AJ$120,0,MATCH(AH$2,Inputs!$K$4:$AJ$4,0))))+SUMPRODUCT((Inputs!$C$5:$C$120=$B20)*ISNUMBER(INDEX(Inputs!$K$5:$AJ$120,0,MATCH(AH$2,Inputs!$K$4:$AJ$4,0))))+SUMPRODUCT((Inputs!$E$5:$E$120=$B20)*ISNUMBER(INDEX(Inputs!$K$5:$AJ$120,0,MATCH(AH$2,Inputs!$K$4:$AJ$4,0))))=0,NA(),SUMPRODUCT((Inputs!$A$5:$A$120=$B20)*Inputs!$B$5:$B$120*(((Inputs!$G$5:$G$120="moeda")+(Inputs!$G$5:$G$120="acoes"))*Inputs!$B$1+((Inputs!$G$5:$G$120&lt;&gt;"moeda")*(Inputs!$G$5:$G$120&lt;&gt;"acoes")))*INDEX(Inputs!$K$5:$AJ$120,0,MATCH(AH$2,Inputs!$K$4:$AJ$4,0)))+SUMPRODUCT((Inputs!$C$5:$C$120=$B20)*Inputs!$D$5:$D$120*(((Inputs!$G$5:$G$120="moeda")+(Inputs!$G$5:$G$120="acoes"))*Inputs!$B$1+((Inputs!$G$5:$G$120&lt;&gt;"moeda")*(Inputs!$G$5:$G$120&lt;&gt;"acoes")))*INDEX(Inputs!$K$5:$AJ$120,0,MATCH(AH$2,Inputs!$K$4:$AJ$4,0)))+SUMPRODUCT((Inputs!$E$5:$E$120=$B20)*Inputs!$F$5:$F$120*(((Inputs!$G$5:$G$120="moeda")+(Inputs!$G$5:$G$120="acoes"))*Inputs!$B$1+((Inputs!$G$5:$G$120&lt;&gt;"moeda")*(Inputs!$G$5:$G$120&lt;&gt;"acoes")))*INDEX(Inputs!$K$5:$AJ$120,0,MATCH(AH$2,Inputs!$K$4:$AJ$4,0)))))</f>
        <v>5240</v>
      </c>
      <c r="AI20" s="267">
        <f>IF(ISNA(MATCH(AI$2,Inputs!$K$4:$AJ$4,0)),NA(),IF(SUMPRODUCT((Inputs!$A$5:$A$120=$B20)*ISNUMBER(INDEX(Inputs!$K$5:$AJ$120,0,MATCH(AI$2,Inputs!$K$4:$AJ$4,0))))+SUMPRODUCT((Inputs!$C$5:$C$120=$B20)*ISNUMBER(INDEX(Inputs!$K$5:$AJ$120,0,MATCH(AI$2,Inputs!$K$4:$AJ$4,0))))+SUMPRODUCT((Inputs!$E$5:$E$120=$B20)*ISNUMBER(INDEX(Inputs!$K$5:$AJ$120,0,MATCH(AI$2,Inputs!$K$4:$AJ$4,0))))=0,NA(),SUMPRODUCT((Inputs!$A$5:$A$120=$B20)*Inputs!$B$5:$B$120*(((Inputs!$G$5:$G$120="moeda")+(Inputs!$G$5:$G$120="acoes"))*Inputs!$B$1+((Inputs!$G$5:$G$120&lt;&gt;"moeda")*(Inputs!$G$5:$G$120&lt;&gt;"acoes")))*INDEX(Inputs!$K$5:$AJ$120,0,MATCH(AI$2,Inputs!$K$4:$AJ$4,0)))+SUMPRODUCT((Inputs!$C$5:$C$120=$B20)*Inputs!$D$5:$D$120*(((Inputs!$G$5:$G$120="moeda")+(Inputs!$G$5:$G$120="acoes"))*Inputs!$B$1+((Inputs!$G$5:$G$120&lt;&gt;"moeda")*(Inputs!$G$5:$G$120&lt;&gt;"acoes")))*INDEX(Inputs!$K$5:$AJ$120,0,MATCH(AI$2,Inputs!$K$4:$AJ$4,0)))+SUMPRODUCT((Inputs!$E$5:$E$120=$B20)*Inputs!$F$5:$F$120*(((Inputs!$G$5:$G$120="moeda")+(Inputs!$G$5:$G$120="acoes"))*Inputs!$B$1+((Inputs!$G$5:$G$120&lt;&gt;"moeda")*(Inputs!$G$5:$G$120&lt;&gt;"acoes")))*INDEX(Inputs!$K$5:$AJ$120,0,MATCH(AI$2,Inputs!$K$4:$AJ$4,0)))))</f>
        <v>4973</v>
      </c>
      <c r="AJ20" s="267">
        <f>IF(ISNA(MATCH(AJ$2,Inputs!$K$4:$AJ$4,0)),NA(),IF(SUMPRODUCT((Inputs!$A$5:$A$120=$B20)*ISNUMBER(INDEX(Inputs!$K$5:$AJ$120,0,MATCH(AJ$2,Inputs!$K$4:$AJ$4,0))))+SUMPRODUCT((Inputs!$C$5:$C$120=$B20)*ISNUMBER(INDEX(Inputs!$K$5:$AJ$120,0,MATCH(AJ$2,Inputs!$K$4:$AJ$4,0))))+SUMPRODUCT((Inputs!$E$5:$E$120=$B20)*ISNUMBER(INDEX(Inputs!$K$5:$AJ$120,0,MATCH(AJ$2,Inputs!$K$4:$AJ$4,0))))=0,NA(),SUMPRODUCT((Inputs!$A$5:$A$120=$B20)*Inputs!$B$5:$B$120*(((Inputs!$G$5:$G$120="moeda")+(Inputs!$G$5:$G$120="acoes"))*Inputs!$B$1+((Inputs!$G$5:$G$120&lt;&gt;"moeda")*(Inputs!$G$5:$G$120&lt;&gt;"acoes")))*INDEX(Inputs!$K$5:$AJ$120,0,MATCH(AJ$2,Inputs!$K$4:$AJ$4,0)))+SUMPRODUCT((Inputs!$C$5:$C$120=$B20)*Inputs!$D$5:$D$120*(((Inputs!$G$5:$G$120="moeda")+(Inputs!$G$5:$G$120="acoes"))*Inputs!$B$1+((Inputs!$G$5:$G$120&lt;&gt;"moeda")*(Inputs!$G$5:$G$120&lt;&gt;"acoes")))*INDEX(Inputs!$K$5:$AJ$120,0,MATCH(AJ$2,Inputs!$K$4:$AJ$4,0)))+SUMPRODUCT((Inputs!$E$5:$E$120=$B20)*Inputs!$F$5:$F$120*(((Inputs!$G$5:$G$120="moeda")+(Inputs!$G$5:$G$120="acoes"))*Inputs!$B$1+((Inputs!$G$5:$G$120&lt;&gt;"moeda")*(Inputs!$G$5:$G$120&lt;&gt;"acoes")))*INDEX(Inputs!$K$5:$AJ$120,0,MATCH(AJ$2,Inputs!$K$4:$AJ$4,0)))))</f>
        <v>4775</v>
      </c>
      <c r="AK20" s="267">
        <f>IF(ISNA(MATCH(AK$2,Inputs!$K$4:$AJ$4,0)),NA(),IF(SUMPRODUCT((Inputs!$A$5:$A$120=$B20)*ISNUMBER(INDEX(Inputs!$K$5:$AJ$120,0,MATCH(AK$2,Inputs!$K$4:$AJ$4,0))))+SUMPRODUCT((Inputs!$C$5:$C$120=$B20)*ISNUMBER(INDEX(Inputs!$K$5:$AJ$120,0,MATCH(AK$2,Inputs!$K$4:$AJ$4,0))))+SUMPRODUCT((Inputs!$E$5:$E$120=$B20)*ISNUMBER(INDEX(Inputs!$K$5:$AJ$120,0,MATCH(AK$2,Inputs!$K$4:$AJ$4,0))))=0,NA(),SUMPRODUCT((Inputs!$A$5:$A$120=$B20)*Inputs!$B$5:$B$120*(((Inputs!$G$5:$G$120="moeda")+(Inputs!$G$5:$G$120="acoes"))*Inputs!$B$1+((Inputs!$G$5:$G$120&lt;&gt;"moeda")*(Inputs!$G$5:$G$120&lt;&gt;"acoes")))*INDEX(Inputs!$K$5:$AJ$120,0,MATCH(AK$2,Inputs!$K$4:$AJ$4,0)))+SUMPRODUCT((Inputs!$C$5:$C$120=$B20)*Inputs!$D$5:$D$120*(((Inputs!$G$5:$G$120="moeda")+(Inputs!$G$5:$G$120="acoes"))*Inputs!$B$1+((Inputs!$G$5:$G$120&lt;&gt;"moeda")*(Inputs!$G$5:$G$120&lt;&gt;"acoes")))*INDEX(Inputs!$K$5:$AJ$120,0,MATCH(AK$2,Inputs!$K$4:$AJ$4,0)))+SUMPRODUCT((Inputs!$E$5:$E$120=$B20)*Inputs!$F$5:$F$120*(((Inputs!$G$5:$G$120="moeda")+(Inputs!$G$5:$G$120="acoes"))*Inputs!$B$1+((Inputs!$G$5:$G$120&lt;&gt;"moeda")*(Inputs!$G$5:$G$120&lt;&gt;"acoes")))*INDEX(Inputs!$K$5:$AJ$120,0,MATCH(AK$2,Inputs!$K$4:$AJ$4,0)))))</f>
        <v>851</v>
      </c>
      <c r="AL20" s="268">
        <f>AK20</f>
        <v>851</v>
      </c>
    </row>
    <row r="21" ht="12.75" customHeight="1" s="255">
      <c r="B21" s="265" t="n">
        <v>17</v>
      </c>
      <c r="C21" s="270" t="inlineStr">
        <is>
          <t>Equity in affiliates</t>
        </is>
      </c>
      <c r="D21" s="267">
        <f>IF(ISNA(MATCH(D$2,Inputs!$K$4:$AJ$4,0)),NA(),IF(SUMPRODUCT((Inputs!$A$5:$A$120=$B21)*ISNUMBER(INDEX(Inputs!$K$5:$AJ$120,0,MATCH(D$2,Inputs!$K$4:$AJ$4,0))))+SUMPRODUCT((Inputs!$C$5:$C$120=$B21)*ISNUMBER(INDEX(Inputs!$K$5:$AJ$120,0,MATCH(D$2,Inputs!$K$4:$AJ$4,0))))+SUMPRODUCT((Inputs!$E$5:$E$120=$B21)*ISNUMBER(INDEX(Inputs!$K$5:$AJ$120,0,MATCH(D$2,Inputs!$K$4:$AJ$4,0))))=0,NA(),SUMPRODUCT((Inputs!$A$5:$A$120=$B21)*Inputs!$B$5:$B$120*(((Inputs!$G$5:$G$120="moeda")+(Inputs!$G$5:$G$120="acoes"))*Inputs!$B$1+((Inputs!$G$5:$G$120&lt;&gt;"moeda")*(Inputs!$G$5:$G$120&lt;&gt;"acoes")))*INDEX(Inputs!$K$5:$AJ$120,0,MATCH(D$2,Inputs!$K$4:$AJ$4,0)))+SUMPRODUCT((Inputs!$C$5:$C$120=$B21)*Inputs!$D$5:$D$120*(((Inputs!$G$5:$G$120="moeda")+(Inputs!$G$5:$G$120="acoes"))*Inputs!$B$1+((Inputs!$G$5:$G$120&lt;&gt;"moeda")*(Inputs!$G$5:$G$120&lt;&gt;"acoes")))*INDEX(Inputs!$K$5:$AJ$120,0,MATCH(D$2,Inputs!$K$4:$AJ$4,0)))+SUMPRODUCT((Inputs!$E$5:$E$120=$B21)*Inputs!$F$5:$F$120*(((Inputs!$G$5:$G$120="moeda")+(Inputs!$G$5:$G$120="acoes"))*Inputs!$B$1+((Inputs!$G$5:$G$120&lt;&gt;"moeda")*(Inputs!$G$5:$G$120&lt;&gt;"acoes")))*INDEX(Inputs!$K$5:$AJ$120,0,MATCH(D$2,Inputs!$K$4:$AJ$4,0)))))</f>
        <v>0</v>
      </c>
      <c r="E21" s="267">
        <f>IF(ISNA(MATCH(E$2,Inputs!$K$4:$AJ$4,0)),NA(),IF(SUMPRODUCT((Inputs!$A$5:$A$120=$B21)*ISNUMBER(INDEX(Inputs!$K$5:$AJ$120,0,MATCH(E$2,Inputs!$K$4:$AJ$4,0))))+SUMPRODUCT((Inputs!$C$5:$C$120=$B21)*ISNUMBER(INDEX(Inputs!$K$5:$AJ$120,0,MATCH(E$2,Inputs!$K$4:$AJ$4,0))))+SUMPRODUCT((Inputs!$E$5:$E$120=$B21)*ISNUMBER(INDEX(Inputs!$K$5:$AJ$120,0,MATCH(E$2,Inputs!$K$4:$AJ$4,0))))=0,NA(),SUMPRODUCT((Inputs!$A$5:$A$120=$B21)*Inputs!$B$5:$B$120*(((Inputs!$G$5:$G$120="moeda")+(Inputs!$G$5:$G$120="acoes"))*Inputs!$B$1+((Inputs!$G$5:$G$120&lt;&gt;"moeda")*(Inputs!$G$5:$G$120&lt;&gt;"acoes")))*INDEX(Inputs!$K$5:$AJ$120,0,MATCH(E$2,Inputs!$K$4:$AJ$4,0)))+SUMPRODUCT((Inputs!$C$5:$C$120=$B21)*Inputs!$D$5:$D$120*(((Inputs!$G$5:$G$120="moeda")+(Inputs!$G$5:$G$120="acoes"))*Inputs!$B$1+((Inputs!$G$5:$G$120&lt;&gt;"moeda")*(Inputs!$G$5:$G$120&lt;&gt;"acoes")))*INDEX(Inputs!$K$5:$AJ$120,0,MATCH(E$2,Inputs!$K$4:$AJ$4,0)))+SUMPRODUCT((Inputs!$E$5:$E$120=$B21)*Inputs!$F$5:$F$120*(((Inputs!$G$5:$G$120="moeda")+(Inputs!$G$5:$G$120="acoes"))*Inputs!$B$1+((Inputs!$G$5:$G$120&lt;&gt;"moeda")*(Inputs!$G$5:$G$120&lt;&gt;"acoes")))*INDEX(Inputs!$K$5:$AJ$120,0,MATCH(E$2,Inputs!$K$4:$AJ$4,0)))))</f>
        <v>0</v>
      </c>
      <c r="F21" s="267">
        <f>IF(ISNA(MATCH(F$2,Inputs!$K$4:$AJ$4,0)),NA(),IF(SUMPRODUCT((Inputs!$A$5:$A$120=$B21)*ISNUMBER(INDEX(Inputs!$K$5:$AJ$120,0,MATCH(F$2,Inputs!$K$4:$AJ$4,0))))+SUMPRODUCT((Inputs!$C$5:$C$120=$B21)*ISNUMBER(INDEX(Inputs!$K$5:$AJ$120,0,MATCH(F$2,Inputs!$K$4:$AJ$4,0))))+SUMPRODUCT((Inputs!$E$5:$E$120=$B21)*ISNUMBER(INDEX(Inputs!$K$5:$AJ$120,0,MATCH(F$2,Inputs!$K$4:$AJ$4,0))))=0,NA(),SUMPRODUCT((Inputs!$A$5:$A$120=$B21)*Inputs!$B$5:$B$120*(((Inputs!$G$5:$G$120="moeda")+(Inputs!$G$5:$G$120="acoes"))*Inputs!$B$1+((Inputs!$G$5:$G$120&lt;&gt;"moeda")*(Inputs!$G$5:$G$120&lt;&gt;"acoes")))*INDEX(Inputs!$K$5:$AJ$120,0,MATCH(F$2,Inputs!$K$4:$AJ$4,0)))+SUMPRODUCT((Inputs!$C$5:$C$120=$B21)*Inputs!$D$5:$D$120*(((Inputs!$G$5:$G$120="moeda")+(Inputs!$G$5:$G$120="acoes"))*Inputs!$B$1+((Inputs!$G$5:$G$120&lt;&gt;"moeda")*(Inputs!$G$5:$G$120&lt;&gt;"acoes")))*INDEX(Inputs!$K$5:$AJ$120,0,MATCH(F$2,Inputs!$K$4:$AJ$4,0)))+SUMPRODUCT((Inputs!$E$5:$E$120=$B21)*Inputs!$F$5:$F$120*(((Inputs!$G$5:$G$120="moeda")+(Inputs!$G$5:$G$120="acoes"))*Inputs!$B$1+((Inputs!$G$5:$G$120&lt;&gt;"moeda")*(Inputs!$G$5:$G$120&lt;&gt;"acoes")))*INDEX(Inputs!$K$5:$AJ$120,0,MATCH(F$2,Inputs!$K$4:$AJ$4,0)))))</f>
        <v>0</v>
      </c>
      <c r="G21" s="267">
        <f>IF(ISNA(MATCH(G$2,Inputs!$K$4:$AJ$4,0)),NA(),IF(SUMPRODUCT((Inputs!$A$5:$A$120=$B21)*ISNUMBER(INDEX(Inputs!$K$5:$AJ$120,0,MATCH(G$2,Inputs!$K$4:$AJ$4,0))))+SUMPRODUCT((Inputs!$C$5:$C$120=$B21)*ISNUMBER(INDEX(Inputs!$K$5:$AJ$120,0,MATCH(G$2,Inputs!$K$4:$AJ$4,0))))+SUMPRODUCT((Inputs!$E$5:$E$120=$B21)*ISNUMBER(INDEX(Inputs!$K$5:$AJ$120,0,MATCH(G$2,Inputs!$K$4:$AJ$4,0))))=0,NA(),SUMPRODUCT((Inputs!$A$5:$A$120=$B21)*Inputs!$B$5:$B$120*(((Inputs!$G$5:$G$120="moeda")+(Inputs!$G$5:$G$120="acoes"))*Inputs!$B$1+((Inputs!$G$5:$G$120&lt;&gt;"moeda")*(Inputs!$G$5:$G$120&lt;&gt;"acoes")))*INDEX(Inputs!$K$5:$AJ$120,0,MATCH(G$2,Inputs!$K$4:$AJ$4,0)))+SUMPRODUCT((Inputs!$C$5:$C$120=$B21)*Inputs!$D$5:$D$120*(((Inputs!$G$5:$G$120="moeda")+(Inputs!$G$5:$G$120="acoes"))*Inputs!$B$1+((Inputs!$G$5:$G$120&lt;&gt;"moeda")*(Inputs!$G$5:$G$120&lt;&gt;"acoes")))*INDEX(Inputs!$K$5:$AJ$120,0,MATCH(G$2,Inputs!$K$4:$AJ$4,0)))+SUMPRODUCT((Inputs!$E$5:$E$120=$B21)*Inputs!$F$5:$F$120*(((Inputs!$G$5:$G$120="moeda")+(Inputs!$G$5:$G$120="acoes"))*Inputs!$B$1+((Inputs!$G$5:$G$120&lt;&gt;"moeda")*(Inputs!$G$5:$G$120&lt;&gt;"acoes")))*INDEX(Inputs!$K$5:$AJ$120,0,MATCH(G$2,Inputs!$K$4:$AJ$4,0)))))</f>
        <v>0</v>
      </c>
      <c r="H21" s="268">
        <f>G21</f>
        <v>0</v>
      </c>
      <c r="I21" s="267">
        <f>IF(ISNA(MATCH(I$2,Inputs!$K$4:$AJ$4,0)),NA(),IF(SUMPRODUCT((Inputs!$A$5:$A$120=$B21)*ISNUMBER(INDEX(Inputs!$K$5:$AJ$120,0,MATCH(I$2,Inputs!$K$4:$AJ$4,0))))+SUMPRODUCT((Inputs!$C$5:$C$120=$B21)*ISNUMBER(INDEX(Inputs!$K$5:$AJ$120,0,MATCH(I$2,Inputs!$K$4:$AJ$4,0))))+SUMPRODUCT((Inputs!$E$5:$E$120=$B21)*ISNUMBER(INDEX(Inputs!$K$5:$AJ$120,0,MATCH(I$2,Inputs!$K$4:$AJ$4,0))))=0,NA(),SUMPRODUCT((Inputs!$A$5:$A$120=$B21)*Inputs!$B$5:$B$120*(((Inputs!$G$5:$G$120="moeda")+(Inputs!$G$5:$G$120="acoes"))*Inputs!$B$1+((Inputs!$G$5:$G$120&lt;&gt;"moeda")*(Inputs!$G$5:$G$120&lt;&gt;"acoes")))*INDEX(Inputs!$K$5:$AJ$120,0,MATCH(I$2,Inputs!$K$4:$AJ$4,0)))+SUMPRODUCT((Inputs!$C$5:$C$120=$B21)*Inputs!$D$5:$D$120*(((Inputs!$G$5:$G$120="moeda")+(Inputs!$G$5:$G$120="acoes"))*Inputs!$B$1+((Inputs!$G$5:$G$120&lt;&gt;"moeda")*(Inputs!$G$5:$G$120&lt;&gt;"acoes")))*INDEX(Inputs!$K$5:$AJ$120,0,MATCH(I$2,Inputs!$K$4:$AJ$4,0)))+SUMPRODUCT((Inputs!$E$5:$E$120=$B21)*Inputs!$F$5:$F$120*(((Inputs!$G$5:$G$120="moeda")+(Inputs!$G$5:$G$120="acoes"))*Inputs!$B$1+((Inputs!$G$5:$G$120&lt;&gt;"moeda")*(Inputs!$G$5:$G$120&lt;&gt;"acoes")))*INDEX(Inputs!$K$5:$AJ$120,0,MATCH(I$2,Inputs!$K$4:$AJ$4,0)))))</f>
        <v>0</v>
      </c>
      <c r="J21" s="267">
        <f>IF(ISNA(MATCH(J$2,Inputs!$K$4:$AJ$4,0)),NA(),IF(SUMPRODUCT((Inputs!$A$5:$A$120=$B21)*ISNUMBER(INDEX(Inputs!$K$5:$AJ$120,0,MATCH(J$2,Inputs!$K$4:$AJ$4,0))))+SUMPRODUCT((Inputs!$C$5:$C$120=$B21)*ISNUMBER(INDEX(Inputs!$K$5:$AJ$120,0,MATCH(J$2,Inputs!$K$4:$AJ$4,0))))+SUMPRODUCT((Inputs!$E$5:$E$120=$B21)*ISNUMBER(INDEX(Inputs!$K$5:$AJ$120,0,MATCH(J$2,Inputs!$K$4:$AJ$4,0))))=0,NA(),SUMPRODUCT((Inputs!$A$5:$A$120=$B21)*Inputs!$B$5:$B$120*(((Inputs!$G$5:$G$120="moeda")+(Inputs!$G$5:$G$120="acoes"))*Inputs!$B$1+((Inputs!$G$5:$G$120&lt;&gt;"moeda")*(Inputs!$G$5:$G$120&lt;&gt;"acoes")))*INDEX(Inputs!$K$5:$AJ$120,0,MATCH(J$2,Inputs!$K$4:$AJ$4,0)))+SUMPRODUCT((Inputs!$C$5:$C$120=$B21)*Inputs!$D$5:$D$120*(((Inputs!$G$5:$G$120="moeda")+(Inputs!$G$5:$G$120="acoes"))*Inputs!$B$1+((Inputs!$G$5:$G$120&lt;&gt;"moeda")*(Inputs!$G$5:$G$120&lt;&gt;"acoes")))*INDEX(Inputs!$K$5:$AJ$120,0,MATCH(J$2,Inputs!$K$4:$AJ$4,0)))+SUMPRODUCT((Inputs!$E$5:$E$120=$B21)*Inputs!$F$5:$F$120*(((Inputs!$G$5:$G$120="moeda")+(Inputs!$G$5:$G$120="acoes"))*Inputs!$B$1+((Inputs!$G$5:$G$120&lt;&gt;"moeda")*(Inputs!$G$5:$G$120&lt;&gt;"acoes")))*INDEX(Inputs!$K$5:$AJ$120,0,MATCH(J$2,Inputs!$K$4:$AJ$4,0)))))</f>
        <v>0</v>
      </c>
      <c r="K21" s="267">
        <f>IF(ISNA(MATCH(K$2,Inputs!$K$4:$AJ$4,0)),NA(),IF(SUMPRODUCT((Inputs!$A$5:$A$120=$B21)*ISNUMBER(INDEX(Inputs!$K$5:$AJ$120,0,MATCH(K$2,Inputs!$K$4:$AJ$4,0))))+SUMPRODUCT((Inputs!$C$5:$C$120=$B21)*ISNUMBER(INDEX(Inputs!$K$5:$AJ$120,0,MATCH(K$2,Inputs!$K$4:$AJ$4,0))))+SUMPRODUCT((Inputs!$E$5:$E$120=$B21)*ISNUMBER(INDEX(Inputs!$K$5:$AJ$120,0,MATCH(K$2,Inputs!$K$4:$AJ$4,0))))=0,NA(),SUMPRODUCT((Inputs!$A$5:$A$120=$B21)*Inputs!$B$5:$B$120*(((Inputs!$G$5:$G$120="moeda")+(Inputs!$G$5:$G$120="acoes"))*Inputs!$B$1+((Inputs!$G$5:$G$120&lt;&gt;"moeda")*(Inputs!$G$5:$G$120&lt;&gt;"acoes")))*INDEX(Inputs!$K$5:$AJ$120,0,MATCH(K$2,Inputs!$K$4:$AJ$4,0)))+SUMPRODUCT((Inputs!$C$5:$C$120=$B21)*Inputs!$D$5:$D$120*(((Inputs!$G$5:$G$120="moeda")+(Inputs!$G$5:$G$120="acoes"))*Inputs!$B$1+((Inputs!$G$5:$G$120&lt;&gt;"moeda")*(Inputs!$G$5:$G$120&lt;&gt;"acoes")))*INDEX(Inputs!$K$5:$AJ$120,0,MATCH(K$2,Inputs!$K$4:$AJ$4,0)))+SUMPRODUCT((Inputs!$E$5:$E$120=$B21)*Inputs!$F$5:$F$120*(((Inputs!$G$5:$G$120="moeda")+(Inputs!$G$5:$G$120="acoes"))*Inputs!$B$1+((Inputs!$G$5:$G$120&lt;&gt;"moeda")*(Inputs!$G$5:$G$120&lt;&gt;"acoes")))*INDEX(Inputs!$K$5:$AJ$120,0,MATCH(K$2,Inputs!$K$4:$AJ$4,0)))))</f>
        <v>0</v>
      </c>
      <c r="L21" s="267">
        <f>IF(ISNA(MATCH(L$2,Inputs!$K$4:$AJ$4,0)),NA(),IF(SUMPRODUCT((Inputs!$A$5:$A$120=$B21)*ISNUMBER(INDEX(Inputs!$K$5:$AJ$120,0,MATCH(L$2,Inputs!$K$4:$AJ$4,0))))+SUMPRODUCT((Inputs!$C$5:$C$120=$B21)*ISNUMBER(INDEX(Inputs!$K$5:$AJ$120,0,MATCH(L$2,Inputs!$K$4:$AJ$4,0))))+SUMPRODUCT((Inputs!$E$5:$E$120=$B21)*ISNUMBER(INDEX(Inputs!$K$5:$AJ$120,0,MATCH(L$2,Inputs!$K$4:$AJ$4,0))))=0,NA(),SUMPRODUCT((Inputs!$A$5:$A$120=$B21)*Inputs!$B$5:$B$120*(((Inputs!$G$5:$G$120="moeda")+(Inputs!$G$5:$G$120="acoes"))*Inputs!$B$1+((Inputs!$G$5:$G$120&lt;&gt;"moeda")*(Inputs!$G$5:$G$120&lt;&gt;"acoes")))*INDEX(Inputs!$K$5:$AJ$120,0,MATCH(L$2,Inputs!$K$4:$AJ$4,0)))+SUMPRODUCT((Inputs!$C$5:$C$120=$B21)*Inputs!$D$5:$D$120*(((Inputs!$G$5:$G$120="moeda")+(Inputs!$G$5:$G$120="acoes"))*Inputs!$B$1+((Inputs!$G$5:$G$120&lt;&gt;"moeda")*(Inputs!$G$5:$G$120&lt;&gt;"acoes")))*INDEX(Inputs!$K$5:$AJ$120,0,MATCH(L$2,Inputs!$K$4:$AJ$4,0)))+SUMPRODUCT((Inputs!$E$5:$E$120=$B21)*Inputs!$F$5:$F$120*(((Inputs!$G$5:$G$120="moeda")+(Inputs!$G$5:$G$120="acoes"))*Inputs!$B$1+((Inputs!$G$5:$G$120&lt;&gt;"moeda")*(Inputs!$G$5:$G$120&lt;&gt;"acoes")))*INDEX(Inputs!$K$5:$AJ$120,0,MATCH(L$2,Inputs!$K$4:$AJ$4,0)))))</f>
        <v>0</v>
      </c>
      <c r="M21" s="268">
        <f>L21</f>
        <v>0</v>
      </c>
      <c r="N21" s="267">
        <f>IF(ISNA(MATCH(N$2,Inputs!$K$4:$AJ$4,0)),NA(),IF(SUMPRODUCT((Inputs!$A$5:$A$120=$B21)*ISNUMBER(INDEX(Inputs!$K$5:$AJ$120,0,MATCH(N$2,Inputs!$K$4:$AJ$4,0))))+SUMPRODUCT((Inputs!$C$5:$C$120=$B21)*ISNUMBER(INDEX(Inputs!$K$5:$AJ$120,0,MATCH(N$2,Inputs!$K$4:$AJ$4,0))))+SUMPRODUCT((Inputs!$E$5:$E$120=$B21)*ISNUMBER(INDEX(Inputs!$K$5:$AJ$120,0,MATCH(N$2,Inputs!$K$4:$AJ$4,0))))=0,NA(),SUMPRODUCT((Inputs!$A$5:$A$120=$B21)*Inputs!$B$5:$B$120*(((Inputs!$G$5:$G$120="moeda")+(Inputs!$G$5:$G$120="acoes"))*Inputs!$B$1+((Inputs!$G$5:$G$120&lt;&gt;"moeda")*(Inputs!$G$5:$G$120&lt;&gt;"acoes")))*INDEX(Inputs!$K$5:$AJ$120,0,MATCH(N$2,Inputs!$K$4:$AJ$4,0)))+SUMPRODUCT((Inputs!$C$5:$C$120=$B21)*Inputs!$D$5:$D$120*(((Inputs!$G$5:$G$120="moeda")+(Inputs!$G$5:$G$120="acoes"))*Inputs!$B$1+((Inputs!$G$5:$G$120&lt;&gt;"moeda")*(Inputs!$G$5:$G$120&lt;&gt;"acoes")))*INDEX(Inputs!$K$5:$AJ$120,0,MATCH(N$2,Inputs!$K$4:$AJ$4,0)))+SUMPRODUCT((Inputs!$E$5:$E$120=$B21)*Inputs!$F$5:$F$120*(((Inputs!$G$5:$G$120="moeda")+(Inputs!$G$5:$G$120="acoes"))*Inputs!$B$1+((Inputs!$G$5:$G$120&lt;&gt;"moeda")*(Inputs!$G$5:$G$120&lt;&gt;"acoes")))*INDEX(Inputs!$K$5:$AJ$120,0,MATCH(N$2,Inputs!$K$4:$AJ$4,0)))))</f>
        <v>0</v>
      </c>
      <c r="O21" s="267">
        <f>IF(ISNA(MATCH(O$2,Inputs!$K$4:$AJ$4,0)),NA(),IF(SUMPRODUCT((Inputs!$A$5:$A$120=$B21)*ISNUMBER(INDEX(Inputs!$K$5:$AJ$120,0,MATCH(O$2,Inputs!$K$4:$AJ$4,0))))+SUMPRODUCT((Inputs!$C$5:$C$120=$B21)*ISNUMBER(INDEX(Inputs!$K$5:$AJ$120,0,MATCH(O$2,Inputs!$K$4:$AJ$4,0))))+SUMPRODUCT((Inputs!$E$5:$E$120=$B21)*ISNUMBER(INDEX(Inputs!$K$5:$AJ$120,0,MATCH(O$2,Inputs!$K$4:$AJ$4,0))))=0,NA(),SUMPRODUCT((Inputs!$A$5:$A$120=$B21)*Inputs!$B$5:$B$120*(((Inputs!$G$5:$G$120="moeda")+(Inputs!$G$5:$G$120="acoes"))*Inputs!$B$1+((Inputs!$G$5:$G$120&lt;&gt;"moeda")*(Inputs!$G$5:$G$120&lt;&gt;"acoes")))*INDEX(Inputs!$K$5:$AJ$120,0,MATCH(O$2,Inputs!$K$4:$AJ$4,0)))+SUMPRODUCT((Inputs!$C$5:$C$120=$B21)*Inputs!$D$5:$D$120*(((Inputs!$G$5:$G$120="moeda")+(Inputs!$G$5:$G$120="acoes"))*Inputs!$B$1+((Inputs!$G$5:$G$120&lt;&gt;"moeda")*(Inputs!$G$5:$G$120&lt;&gt;"acoes")))*INDEX(Inputs!$K$5:$AJ$120,0,MATCH(O$2,Inputs!$K$4:$AJ$4,0)))+SUMPRODUCT((Inputs!$E$5:$E$120=$B21)*Inputs!$F$5:$F$120*(((Inputs!$G$5:$G$120="moeda")+(Inputs!$G$5:$G$120="acoes"))*Inputs!$B$1+((Inputs!$G$5:$G$120&lt;&gt;"moeda")*(Inputs!$G$5:$G$120&lt;&gt;"acoes")))*INDEX(Inputs!$K$5:$AJ$120,0,MATCH(O$2,Inputs!$K$4:$AJ$4,0)))))</f>
        <v>0</v>
      </c>
      <c r="P21" s="267">
        <f>IF(ISNA(MATCH(P$2,Inputs!$K$4:$AJ$4,0)),NA(),IF(SUMPRODUCT((Inputs!$A$5:$A$120=$B21)*ISNUMBER(INDEX(Inputs!$K$5:$AJ$120,0,MATCH(P$2,Inputs!$K$4:$AJ$4,0))))+SUMPRODUCT((Inputs!$C$5:$C$120=$B21)*ISNUMBER(INDEX(Inputs!$K$5:$AJ$120,0,MATCH(P$2,Inputs!$K$4:$AJ$4,0))))+SUMPRODUCT((Inputs!$E$5:$E$120=$B21)*ISNUMBER(INDEX(Inputs!$K$5:$AJ$120,0,MATCH(P$2,Inputs!$K$4:$AJ$4,0))))=0,NA(),SUMPRODUCT((Inputs!$A$5:$A$120=$B21)*Inputs!$B$5:$B$120*(((Inputs!$G$5:$G$120="moeda")+(Inputs!$G$5:$G$120="acoes"))*Inputs!$B$1+((Inputs!$G$5:$G$120&lt;&gt;"moeda")*(Inputs!$G$5:$G$120&lt;&gt;"acoes")))*INDEX(Inputs!$K$5:$AJ$120,0,MATCH(P$2,Inputs!$K$4:$AJ$4,0)))+SUMPRODUCT((Inputs!$C$5:$C$120=$B21)*Inputs!$D$5:$D$120*(((Inputs!$G$5:$G$120="moeda")+(Inputs!$G$5:$G$120="acoes"))*Inputs!$B$1+((Inputs!$G$5:$G$120&lt;&gt;"moeda")*(Inputs!$G$5:$G$120&lt;&gt;"acoes")))*INDEX(Inputs!$K$5:$AJ$120,0,MATCH(P$2,Inputs!$K$4:$AJ$4,0)))+SUMPRODUCT((Inputs!$E$5:$E$120=$B21)*Inputs!$F$5:$F$120*(((Inputs!$G$5:$G$120="moeda")+(Inputs!$G$5:$G$120="acoes"))*Inputs!$B$1+((Inputs!$G$5:$G$120&lt;&gt;"moeda")*(Inputs!$G$5:$G$120&lt;&gt;"acoes")))*INDEX(Inputs!$K$5:$AJ$120,0,MATCH(P$2,Inputs!$K$4:$AJ$4,0)))))</f>
        <v>0</v>
      </c>
      <c r="Q21" s="267">
        <f>IF(ISNA(MATCH(Q$2,Inputs!$K$4:$AJ$4,0)),NA(),IF(SUMPRODUCT((Inputs!$A$5:$A$120=$B21)*ISNUMBER(INDEX(Inputs!$K$5:$AJ$120,0,MATCH(Q$2,Inputs!$K$4:$AJ$4,0))))+SUMPRODUCT((Inputs!$C$5:$C$120=$B21)*ISNUMBER(INDEX(Inputs!$K$5:$AJ$120,0,MATCH(Q$2,Inputs!$K$4:$AJ$4,0))))+SUMPRODUCT((Inputs!$E$5:$E$120=$B21)*ISNUMBER(INDEX(Inputs!$K$5:$AJ$120,0,MATCH(Q$2,Inputs!$K$4:$AJ$4,0))))=0,NA(),SUMPRODUCT((Inputs!$A$5:$A$120=$B21)*Inputs!$B$5:$B$120*(((Inputs!$G$5:$G$120="moeda")+(Inputs!$G$5:$G$120="acoes"))*Inputs!$B$1+((Inputs!$G$5:$G$120&lt;&gt;"moeda")*(Inputs!$G$5:$G$120&lt;&gt;"acoes")))*INDEX(Inputs!$K$5:$AJ$120,0,MATCH(Q$2,Inputs!$K$4:$AJ$4,0)))+SUMPRODUCT((Inputs!$C$5:$C$120=$B21)*Inputs!$D$5:$D$120*(((Inputs!$G$5:$G$120="moeda")+(Inputs!$G$5:$G$120="acoes"))*Inputs!$B$1+((Inputs!$G$5:$G$120&lt;&gt;"moeda")*(Inputs!$G$5:$G$120&lt;&gt;"acoes")))*INDEX(Inputs!$K$5:$AJ$120,0,MATCH(Q$2,Inputs!$K$4:$AJ$4,0)))+SUMPRODUCT((Inputs!$E$5:$E$120=$B21)*Inputs!$F$5:$F$120*(((Inputs!$G$5:$G$120="moeda")+(Inputs!$G$5:$G$120="acoes"))*Inputs!$B$1+((Inputs!$G$5:$G$120&lt;&gt;"moeda")*(Inputs!$G$5:$G$120&lt;&gt;"acoes")))*INDEX(Inputs!$K$5:$AJ$120,0,MATCH(Q$2,Inputs!$K$4:$AJ$4,0)))))</f>
        <v>0</v>
      </c>
      <c r="R21" s="268">
        <f>Q21</f>
        <v>0</v>
      </c>
      <c r="S21" s="267">
        <f>IF(ISNA(MATCH(S$2,Inputs!$K$4:$AJ$4,0)),NA(),IF(SUMPRODUCT((Inputs!$A$5:$A$120=$B21)*ISNUMBER(INDEX(Inputs!$K$5:$AJ$120,0,MATCH(S$2,Inputs!$K$4:$AJ$4,0))))+SUMPRODUCT((Inputs!$C$5:$C$120=$B21)*ISNUMBER(INDEX(Inputs!$K$5:$AJ$120,0,MATCH(S$2,Inputs!$K$4:$AJ$4,0))))+SUMPRODUCT((Inputs!$E$5:$E$120=$B21)*ISNUMBER(INDEX(Inputs!$K$5:$AJ$120,0,MATCH(S$2,Inputs!$K$4:$AJ$4,0))))=0,NA(),SUMPRODUCT((Inputs!$A$5:$A$120=$B21)*Inputs!$B$5:$B$120*(((Inputs!$G$5:$G$120="moeda")+(Inputs!$G$5:$G$120="acoes"))*Inputs!$B$1+((Inputs!$G$5:$G$120&lt;&gt;"moeda")*(Inputs!$G$5:$G$120&lt;&gt;"acoes")))*INDEX(Inputs!$K$5:$AJ$120,0,MATCH(S$2,Inputs!$K$4:$AJ$4,0)))+SUMPRODUCT((Inputs!$C$5:$C$120=$B21)*Inputs!$D$5:$D$120*(((Inputs!$G$5:$G$120="moeda")+(Inputs!$G$5:$G$120="acoes"))*Inputs!$B$1+((Inputs!$G$5:$G$120&lt;&gt;"moeda")*(Inputs!$G$5:$G$120&lt;&gt;"acoes")))*INDEX(Inputs!$K$5:$AJ$120,0,MATCH(S$2,Inputs!$K$4:$AJ$4,0)))+SUMPRODUCT((Inputs!$E$5:$E$120=$B21)*Inputs!$F$5:$F$120*(((Inputs!$G$5:$G$120="moeda")+(Inputs!$G$5:$G$120="acoes"))*Inputs!$B$1+((Inputs!$G$5:$G$120&lt;&gt;"moeda")*(Inputs!$G$5:$G$120&lt;&gt;"acoes")))*INDEX(Inputs!$K$5:$AJ$120,0,MATCH(S$2,Inputs!$K$4:$AJ$4,0)))))</f>
        <v>0</v>
      </c>
      <c r="T21" s="267">
        <f>IF(ISNA(MATCH(T$2,Inputs!$K$4:$AJ$4,0)),NA(),IF(SUMPRODUCT((Inputs!$A$5:$A$120=$B21)*ISNUMBER(INDEX(Inputs!$K$5:$AJ$120,0,MATCH(T$2,Inputs!$K$4:$AJ$4,0))))+SUMPRODUCT((Inputs!$C$5:$C$120=$B21)*ISNUMBER(INDEX(Inputs!$K$5:$AJ$120,0,MATCH(T$2,Inputs!$K$4:$AJ$4,0))))+SUMPRODUCT((Inputs!$E$5:$E$120=$B21)*ISNUMBER(INDEX(Inputs!$K$5:$AJ$120,0,MATCH(T$2,Inputs!$K$4:$AJ$4,0))))=0,NA(),SUMPRODUCT((Inputs!$A$5:$A$120=$B21)*Inputs!$B$5:$B$120*(((Inputs!$G$5:$G$120="moeda")+(Inputs!$G$5:$G$120="acoes"))*Inputs!$B$1+((Inputs!$G$5:$G$120&lt;&gt;"moeda")*(Inputs!$G$5:$G$120&lt;&gt;"acoes")))*INDEX(Inputs!$K$5:$AJ$120,0,MATCH(T$2,Inputs!$K$4:$AJ$4,0)))+SUMPRODUCT((Inputs!$C$5:$C$120=$B21)*Inputs!$D$5:$D$120*(((Inputs!$G$5:$G$120="moeda")+(Inputs!$G$5:$G$120="acoes"))*Inputs!$B$1+((Inputs!$G$5:$G$120&lt;&gt;"moeda")*(Inputs!$G$5:$G$120&lt;&gt;"acoes")))*INDEX(Inputs!$K$5:$AJ$120,0,MATCH(T$2,Inputs!$K$4:$AJ$4,0)))+SUMPRODUCT((Inputs!$E$5:$E$120=$B21)*Inputs!$F$5:$F$120*(((Inputs!$G$5:$G$120="moeda")+(Inputs!$G$5:$G$120="acoes"))*Inputs!$B$1+((Inputs!$G$5:$G$120&lt;&gt;"moeda")*(Inputs!$G$5:$G$120&lt;&gt;"acoes")))*INDEX(Inputs!$K$5:$AJ$120,0,MATCH(T$2,Inputs!$K$4:$AJ$4,0)))))</f>
        <v>0</v>
      </c>
      <c r="U21" s="267">
        <f>IF(ISNA(MATCH(U$2,Inputs!$K$4:$AJ$4,0)),NA(),IF(SUMPRODUCT((Inputs!$A$5:$A$120=$B21)*ISNUMBER(INDEX(Inputs!$K$5:$AJ$120,0,MATCH(U$2,Inputs!$K$4:$AJ$4,0))))+SUMPRODUCT((Inputs!$C$5:$C$120=$B21)*ISNUMBER(INDEX(Inputs!$K$5:$AJ$120,0,MATCH(U$2,Inputs!$K$4:$AJ$4,0))))+SUMPRODUCT((Inputs!$E$5:$E$120=$B21)*ISNUMBER(INDEX(Inputs!$K$5:$AJ$120,0,MATCH(U$2,Inputs!$K$4:$AJ$4,0))))=0,NA(),SUMPRODUCT((Inputs!$A$5:$A$120=$B21)*Inputs!$B$5:$B$120*(((Inputs!$G$5:$G$120="moeda")+(Inputs!$G$5:$G$120="acoes"))*Inputs!$B$1+((Inputs!$G$5:$G$120&lt;&gt;"moeda")*(Inputs!$G$5:$G$120&lt;&gt;"acoes")))*INDEX(Inputs!$K$5:$AJ$120,0,MATCH(U$2,Inputs!$K$4:$AJ$4,0)))+SUMPRODUCT((Inputs!$C$5:$C$120=$B21)*Inputs!$D$5:$D$120*(((Inputs!$G$5:$G$120="moeda")+(Inputs!$G$5:$G$120="acoes"))*Inputs!$B$1+((Inputs!$G$5:$G$120&lt;&gt;"moeda")*(Inputs!$G$5:$G$120&lt;&gt;"acoes")))*INDEX(Inputs!$K$5:$AJ$120,0,MATCH(U$2,Inputs!$K$4:$AJ$4,0)))+SUMPRODUCT((Inputs!$E$5:$E$120=$B21)*Inputs!$F$5:$F$120*(((Inputs!$G$5:$G$120="moeda")+(Inputs!$G$5:$G$120="acoes"))*Inputs!$B$1+((Inputs!$G$5:$G$120&lt;&gt;"moeda")*(Inputs!$G$5:$G$120&lt;&gt;"acoes")))*INDEX(Inputs!$K$5:$AJ$120,0,MATCH(U$2,Inputs!$K$4:$AJ$4,0)))))</f>
        <v>0</v>
      </c>
      <c r="V21" s="267">
        <f>IF(ISNA(MATCH(V$2,Inputs!$K$4:$AJ$4,0)),NA(),IF(SUMPRODUCT((Inputs!$A$5:$A$120=$B21)*ISNUMBER(INDEX(Inputs!$K$5:$AJ$120,0,MATCH(V$2,Inputs!$K$4:$AJ$4,0))))+SUMPRODUCT((Inputs!$C$5:$C$120=$B21)*ISNUMBER(INDEX(Inputs!$K$5:$AJ$120,0,MATCH(V$2,Inputs!$K$4:$AJ$4,0))))+SUMPRODUCT((Inputs!$E$5:$E$120=$B21)*ISNUMBER(INDEX(Inputs!$K$5:$AJ$120,0,MATCH(V$2,Inputs!$K$4:$AJ$4,0))))=0,NA(),SUMPRODUCT((Inputs!$A$5:$A$120=$B21)*Inputs!$B$5:$B$120*(((Inputs!$G$5:$G$120="moeda")+(Inputs!$G$5:$G$120="acoes"))*Inputs!$B$1+((Inputs!$G$5:$G$120&lt;&gt;"moeda")*(Inputs!$G$5:$G$120&lt;&gt;"acoes")))*INDEX(Inputs!$K$5:$AJ$120,0,MATCH(V$2,Inputs!$K$4:$AJ$4,0)))+SUMPRODUCT((Inputs!$C$5:$C$120=$B21)*Inputs!$D$5:$D$120*(((Inputs!$G$5:$G$120="moeda")+(Inputs!$G$5:$G$120="acoes"))*Inputs!$B$1+((Inputs!$G$5:$G$120&lt;&gt;"moeda")*(Inputs!$G$5:$G$120&lt;&gt;"acoes")))*INDEX(Inputs!$K$5:$AJ$120,0,MATCH(V$2,Inputs!$K$4:$AJ$4,0)))+SUMPRODUCT((Inputs!$E$5:$E$120=$B21)*Inputs!$F$5:$F$120*(((Inputs!$G$5:$G$120="moeda")+(Inputs!$G$5:$G$120="acoes"))*Inputs!$B$1+((Inputs!$G$5:$G$120&lt;&gt;"moeda")*(Inputs!$G$5:$G$120&lt;&gt;"acoes")))*INDEX(Inputs!$K$5:$AJ$120,0,MATCH(V$2,Inputs!$K$4:$AJ$4,0)))))</f>
        <v>0</v>
      </c>
      <c r="W21" s="268">
        <f>V21</f>
        <v>0</v>
      </c>
      <c r="X21" s="267">
        <f>IF(ISNA(MATCH(X$2,Inputs!$K$4:$AJ$4,0)),NA(),IF(SUMPRODUCT((Inputs!$A$5:$A$120=$B21)*ISNUMBER(INDEX(Inputs!$K$5:$AJ$120,0,MATCH(X$2,Inputs!$K$4:$AJ$4,0))))+SUMPRODUCT((Inputs!$C$5:$C$120=$B21)*ISNUMBER(INDEX(Inputs!$K$5:$AJ$120,0,MATCH(X$2,Inputs!$K$4:$AJ$4,0))))+SUMPRODUCT((Inputs!$E$5:$E$120=$B21)*ISNUMBER(INDEX(Inputs!$K$5:$AJ$120,0,MATCH(X$2,Inputs!$K$4:$AJ$4,0))))=0,NA(),SUMPRODUCT((Inputs!$A$5:$A$120=$B21)*Inputs!$B$5:$B$120*(((Inputs!$G$5:$G$120="moeda")+(Inputs!$G$5:$G$120="acoes"))*Inputs!$B$1+((Inputs!$G$5:$G$120&lt;&gt;"moeda")*(Inputs!$G$5:$G$120&lt;&gt;"acoes")))*INDEX(Inputs!$K$5:$AJ$120,0,MATCH(X$2,Inputs!$K$4:$AJ$4,0)))+SUMPRODUCT((Inputs!$C$5:$C$120=$B21)*Inputs!$D$5:$D$120*(((Inputs!$G$5:$G$120="moeda")+(Inputs!$G$5:$G$120="acoes"))*Inputs!$B$1+((Inputs!$G$5:$G$120&lt;&gt;"moeda")*(Inputs!$G$5:$G$120&lt;&gt;"acoes")))*INDEX(Inputs!$K$5:$AJ$120,0,MATCH(X$2,Inputs!$K$4:$AJ$4,0)))+SUMPRODUCT((Inputs!$E$5:$E$120=$B21)*Inputs!$F$5:$F$120*(((Inputs!$G$5:$G$120="moeda")+(Inputs!$G$5:$G$120="acoes"))*Inputs!$B$1+((Inputs!$G$5:$G$120&lt;&gt;"moeda")*(Inputs!$G$5:$G$120&lt;&gt;"acoes")))*INDEX(Inputs!$K$5:$AJ$120,0,MATCH(X$2,Inputs!$K$4:$AJ$4,0)))))</f>
        <v>0</v>
      </c>
      <c r="Y21" s="267">
        <f>IF(ISNA(MATCH(Y$2,Inputs!$K$4:$AJ$4,0)),NA(),IF(SUMPRODUCT((Inputs!$A$5:$A$120=$B21)*ISNUMBER(INDEX(Inputs!$K$5:$AJ$120,0,MATCH(Y$2,Inputs!$K$4:$AJ$4,0))))+SUMPRODUCT((Inputs!$C$5:$C$120=$B21)*ISNUMBER(INDEX(Inputs!$K$5:$AJ$120,0,MATCH(Y$2,Inputs!$K$4:$AJ$4,0))))+SUMPRODUCT((Inputs!$E$5:$E$120=$B21)*ISNUMBER(INDEX(Inputs!$K$5:$AJ$120,0,MATCH(Y$2,Inputs!$K$4:$AJ$4,0))))=0,NA(),SUMPRODUCT((Inputs!$A$5:$A$120=$B21)*Inputs!$B$5:$B$120*(((Inputs!$G$5:$G$120="moeda")+(Inputs!$G$5:$G$120="acoes"))*Inputs!$B$1+((Inputs!$G$5:$G$120&lt;&gt;"moeda")*(Inputs!$G$5:$G$120&lt;&gt;"acoes")))*INDEX(Inputs!$K$5:$AJ$120,0,MATCH(Y$2,Inputs!$K$4:$AJ$4,0)))+SUMPRODUCT((Inputs!$C$5:$C$120=$B21)*Inputs!$D$5:$D$120*(((Inputs!$G$5:$G$120="moeda")+(Inputs!$G$5:$G$120="acoes"))*Inputs!$B$1+((Inputs!$G$5:$G$120&lt;&gt;"moeda")*(Inputs!$G$5:$G$120&lt;&gt;"acoes")))*INDEX(Inputs!$K$5:$AJ$120,0,MATCH(Y$2,Inputs!$K$4:$AJ$4,0)))+SUMPRODUCT((Inputs!$E$5:$E$120=$B21)*Inputs!$F$5:$F$120*(((Inputs!$G$5:$G$120="moeda")+(Inputs!$G$5:$G$120="acoes"))*Inputs!$B$1+((Inputs!$G$5:$G$120&lt;&gt;"moeda")*(Inputs!$G$5:$G$120&lt;&gt;"acoes")))*INDEX(Inputs!$K$5:$AJ$120,0,MATCH(Y$2,Inputs!$K$4:$AJ$4,0)))))</f>
        <v>0</v>
      </c>
      <c r="Z21" s="267">
        <f>IF(ISNA(MATCH(Z$2,Inputs!$K$4:$AJ$4,0)),NA(),IF(SUMPRODUCT((Inputs!$A$5:$A$120=$B21)*ISNUMBER(INDEX(Inputs!$K$5:$AJ$120,0,MATCH(Z$2,Inputs!$K$4:$AJ$4,0))))+SUMPRODUCT((Inputs!$C$5:$C$120=$B21)*ISNUMBER(INDEX(Inputs!$K$5:$AJ$120,0,MATCH(Z$2,Inputs!$K$4:$AJ$4,0))))+SUMPRODUCT((Inputs!$E$5:$E$120=$B21)*ISNUMBER(INDEX(Inputs!$K$5:$AJ$120,0,MATCH(Z$2,Inputs!$K$4:$AJ$4,0))))=0,NA(),SUMPRODUCT((Inputs!$A$5:$A$120=$B21)*Inputs!$B$5:$B$120*(((Inputs!$G$5:$G$120="moeda")+(Inputs!$G$5:$G$120="acoes"))*Inputs!$B$1+((Inputs!$G$5:$G$120&lt;&gt;"moeda")*(Inputs!$G$5:$G$120&lt;&gt;"acoes")))*INDEX(Inputs!$K$5:$AJ$120,0,MATCH(Z$2,Inputs!$K$4:$AJ$4,0)))+SUMPRODUCT((Inputs!$C$5:$C$120=$B21)*Inputs!$D$5:$D$120*(((Inputs!$G$5:$G$120="moeda")+(Inputs!$G$5:$G$120="acoes"))*Inputs!$B$1+((Inputs!$G$5:$G$120&lt;&gt;"moeda")*(Inputs!$G$5:$G$120&lt;&gt;"acoes")))*INDEX(Inputs!$K$5:$AJ$120,0,MATCH(Z$2,Inputs!$K$4:$AJ$4,0)))+SUMPRODUCT((Inputs!$E$5:$E$120=$B21)*Inputs!$F$5:$F$120*(((Inputs!$G$5:$G$120="moeda")+(Inputs!$G$5:$G$120="acoes"))*Inputs!$B$1+((Inputs!$G$5:$G$120&lt;&gt;"moeda")*(Inputs!$G$5:$G$120&lt;&gt;"acoes")))*INDEX(Inputs!$K$5:$AJ$120,0,MATCH(Z$2,Inputs!$K$4:$AJ$4,0)))))</f>
        <v>0</v>
      </c>
      <c r="AA21" s="267">
        <f>IF(ISNA(MATCH(AA$2,Inputs!$K$4:$AJ$4,0)),NA(),IF(SUMPRODUCT((Inputs!$A$5:$A$120=$B21)*ISNUMBER(INDEX(Inputs!$K$5:$AJ$120,0,MATCH(AA$2,Inputs!$K$4:$AJ$4,0))))+SUMPRODUCT((Inputs!$C$5:$C$120=$B21)*ISNUMBER(INDEX(Inputs!$K$5:$AJ$120,0,MATCH(AA$2,Inputs!$K$4:$AJ$4,0))))+SUMPRODUCT((Inputs!$E$5:$E$120=$B21)*ISNUMBER(INDEX(Inputs!$K$5:$AJ$120,0,MATCH(AA$2,Inputs!$K$4:$AJ$4,0))))=0,NA(),SUMPRODUCT((Inputs!$A$5:$A$120=$B21)*Inputs!$B$5:$B$120*(((Inputs!$G$5:$G$120="moeda")+(Inputs!$G$5:$G$120="acoes"))*Inputs!$B$1+((Inputs!$G$5:$G$120&lt;&gt;"moeda")*(Inputs!$G$5:$G$120&lt;&gt;"acoes")))*INDEX(Inputs!$K$5:$AJ$120,0,MATCH(AA$2,Inputs!$K$4:$AJ$4,0)))+SUMPRODUCT((Inputs!$C$5:$C$120=$B21)*Inputs!$D$5:$D$120*(((Inputs!$G$5:$G$120="moeda")+(Inputs!$G$5:$G$120="acoes"))*Inputs!$B$1+((Inputs!$G$5:$G$120&lt;&gt;"moeda")*(Inputs!$G$5:$G$120&lt;&gt;"acoes")))*INDEX(Inputs!$K$5:$AJ$120,0,MATCH(AA$2,Inputs!$K$4:$AJ$4,0)))+SUMPRODUCT((Inputs!$E$5:$E$120=$B21)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1" s="268">
        <f>AA21</f>
        <v>0</v>
      </c>
      <c r="AC21" s="267">
        <f>IF(ISNA(MATCH(AC$2,Inputs!$K$4:$AJ$4,0)),NA(),IF(SUMPRODUCT((Inputs!$A$5:$A$120=$B21)*ISNUMBER(INDEX(Inputs!$K$5:$AJ$120,0,MATCH(AC$2,Inputs!$K$4:$AJ$4,0))))+SUMPRODUCT((Inputs!$C$5:$C$120=$B21)*ISNUMBER(INDEX(Inputs!$K$5:$AJ$120,0,MATCH(AC$2,Inputs!$K$4:$AJ$4,0))))+SUMPRODUCT((Inputs!$E$5:$E$120=$B21)*ISNUMBER(INDEX(Inputs!$K$5:$AJ$120,0,MATCH(AC$2,Inputs!$K$4:$AJ$4,0))))=0,NA(),SUMPRODUCT((Inputs!$A$5:$A$120=$B21)*Inputs!$B$5:$B$120*(((Inputs!$G$5:$G$120="moeda")+(Inputs!$G$5:$G$120="acoes"))*Inputs!$B$1+((Inputs!$G$5:$G$120&lt;&gt;"moeda")*(Inputs!$G$5:$G$120&lt;&gt;"acoes")))*INDEX(Inputs!$K$5:$AJ$120,0,MATCH(AC$2,Inputs!$K$4:$AJ$4,0)))+SUMPRODUCT((Inputs!$C$5:$C$120=$B21)*Inputs!$D$5:$D$120*(((Inputs!$G$5:$G$120="moeda")+(Inputs!$G$5:$G$120="acoes"))*Inputs!$B$1+((Inputs!$G$5:$G$120&lt;&gt;"moeda")*(Inputs!$G$5:$G$120&lt;&gt;"acoes")))*INDEX(Inputs!$K$5:$AJ$120,0,MATCH(AC$2,Inputs!$K$4:$AJ$4,0)))+SUMPRODUCT((Inputs!$E$5:$E$120=$B21)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1" s="267">
        <f>IF(ISNA(MATCH(AD$2,Inputs!$K$4:$AJ$4,0)),NA(),IF(SUMPRODUCT((Inputs!$A$5:$A$120=$B21)*ISNUMBER(INDEX(Inputs!$K$5:$AJ$120,0,MATCH(AD$2,Inputs!$K$4:$AJ$4,0))))+SUMPRODUCT((Inputs!$C$5:$C$120=$B21)*ISNUMBER(INDEX(Inputs!$K$5:$AJ$120,0,MATCH(AD$2,Inputs!$K$4:$AJ$4,0))))+SUMPRODUCT((Inputs!$E$5:$E$120=$B21)*ISNUMBER(INDEX(Inputs!$K$5:$AJ$120,0,MATCH(AD$2,Inputs!$K$4:$AJ$4,0))))=0,NA(),SUMPRODUCT((Inputs!$A$5:$A$120=$B21)*Inputs!$B$5:$B$120*(((Inputs!$G$5:$G$120="moeda")+(Inputs!$G$5:$G$120="acoes"))*Inputs!$B$1+((Inputs!$G$5:$G$120&lt;&gt;"moeda")*(Inputs!$G$5:$G$120&lt;&gt;"acoes")))*INDEX(Inputs!$K$5:$AJ$120,0,MATCH(AD$2,Inputs!$K$4:$AJ$4,0)))+SUMPRODUCT((Inputs!$C$5:$C$120=$B21)*Inputs!$D$5:$D$120*(((Inputs!$G$5:$G$120="moeda")+(Inputs!$G$5:$G$120="acoes"))*Inputs!$B$1+((Inputs!$G$5:$G$120&lt;&gt;"moeda")*(Inputs!$G$5:$G$120&lt;&gt;"acoes")))*INDEX(Inputs!$K$5:$AJ$120,0,MATCH(AD$2,Inputs!$K$4:$AJ$4,0)))+SUMPRODUCT((Inputs!$E$5:$E$120=$B21)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1" s="267" t="e">
        <f>IF(ISNA(MATCH(AE$2,Inputs!$K$4:$AJ$4,0)),NA(),IF(SUMPRODUCT((Inputs!$A$5:$A$120=$B21)*ISNUMBER(INDEX(Inputs!$K$5:$AJ$120,0,MATCH(AE$2,Inputs!$K$4:$AJ$4,0))))+SUMPRODUCT((Inputs!$C$5:$C$120=$B21)*ISNUMBER(INDEX(Inputs!$K$5:$AJ$120,0,MATCH(AE$2,Inputs!$K$4:$AJ$4,0))))+SUMPRODUCT((Inputs!$E$5:$E$120=$B21)*ISNUMBER(INDEX(Inputs!$K$5:$AJ$120,0,MATCH(AE$2,Inputs!$K$4:$AJ$4,0))))=0,NA(),SUMPRODUCT((Inputs!$A$5:$A$120=$B21)*Inputs!$B$5:$B$120*(((Inputs!$G$5:$G$120="moeda")+(Inputs!$G$5:$G$120="acoes"))*Inputs!$B$1+((Inputs!$G$5:$G$120&lt;&gt;"moeda")*(Inputs!$G$5:$G$120&lt;&gt;"acoes")))*INDEX(Inputs!$K$5:$AJ$120,0,MATCH(AE$2,Inputs!$K$4:$AJ$4,0)))+SUMPRODUCT((Inputs!$C$5:$C$120=$B21)*Inputs!$D$5:$D$120*(((Inputs!$G$5:$G$120="moeda")+(Inputs!$G$5:$G$120="acoes"))*Inputs!$B$1+((Inputs!$G$5:$G$120&lt;&gt;"moeda")*(Inputs!$G$5:$G$120&lt;&gt;"acoes")))*INDEX(Inputs!$K$5:$AJ$120,0,MATCH(AE$2,Inputs!$K$4:$AJ$4,0)))+SUMPRODUCT((Inputs!$E$5:$E$120=$B21)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1" s="267" t="e">
        <f>IF(ISNA(MATCH(AF$2,Inputs!$K$4:$AJ$4,0)),NA(),IF(SUMPRODUCT((Inputs!$A$5:$A$120=$B21)*ISNUMBER(INDEX(Inputs!$K$5:$AJ$120,0,MATCH(AF$2,Inputs!$K$4:$AJ$4,0))))+SUMPRODUCT((Inputs!$C$5:$C$120=$B21)*ISNUMBER(INDEX(Inputs!$K$5:$AJ$120,0,MATCH(AF$2,Inputs!$K$4:$AJ$4,0))))+SUMPRODUCT((Inputs!$E$5:$E$120=$B21)*ISNUMBER(INDEX(Inputs!$K$5:$AJ$120,0,MATCH(AF$2,Inputs!$K$4:$AJ$4,0))))=0,NA(),SUMPRODUCT((Inputs!$A$5:$A$120=$B21)*Inputs!$B$5:$B$120*(((Inputs!$G$5:$G$120="moeda")+(Inputs!$G$5:$G$120="acoes"))*Inputs!$B$1+((Inputs!$G$5:$G$120&lt;&gt;"moeda")*(Inputs!$G$5:$G$120&lt;&gt;"acoes")))*INDEX(Inputs!$K$5:$AJ$120,0,MATCH(AF$2,Inputs!$K$4:$AJ$4,0)))+SUMPRODUCT((Inputs!$C$5:$C$120=$B21)*Inputs!$D$5:$D$120*(((Inputs!$G$5:$G$120="moeda")+(Inputs!$G$5:$G$120="acoes"))*Inputs!$B$1+((Inputs!$G$5:$G$120&lt;&gt;"moeda")*(Inputs!$G$5:$G$120&lt;&gt;"acoes")))*INDEX(Inputs!$K$5:$AJ$120,0,MATCH(AF$2,Inputs!$K$4:$AJ$4,0)))+SUMPRODUCT((Inputs!$E$5:$E$120=$B21)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1" s="268" t="e">
        <f>AF21</f>
        <v>#N/A</v>
      </c>
      <c r="AH21" s="267">
        <f>IF(ISNA(MATCH(AH$2,Inputs!$K$4:$AJ$4,0)),NA(),IF(SUMPRODUCT((Inputs!$A$5:$A$120=$B21)*ISNUMBER(INDEX(Inputs!$K$5:$AJ$120,0,MATCH(AH$2,Inputs!$K$4:$AJ$4,0))))+SUMPRODUCT((Inputs!$C$5:$C$120=$B21)*ISNUMBER(INDEX(Inputs!$K$5:$AJ$120,0,MATCH(AH$2,Inputs!$K$4:$AJ$4,0))))+SUMPRODUCT((Inputs!$E$5:$E$120=$B21)*ISNUMBER(INDEX(Inputs!$K$5:$AJ$120,0,MATCH(AH$2,Inputs!$K$4:$AJ$4,0))))=0,NA(),SUMPRODUCT((Inputs!$A$5:$A$120=$B21)*Inputs!$B$5:$B$120*(((Inputs!$G$5:$G$120="moeda")+(Inputs!$G$5:$G$120="acoes"))*Inputs!$B$1+((Inputs!$G$5:$G$120&lt;&gt;"moeda")*(Inputs!$G$5:$G$120&lt;&gt;"acoes")))*INDEX(Inputs!$K$5:$AJ$120,0,MATCH(AH$2,Inputs!$K$4:$AJ$4,0)))+SUMPRODUCT((Inputs!$C$5:$C$120=$B21)*Inputs!$D$5:$D$120*(((Inputs!$G$5:$G$120="moeda")+(Inputs!$G$5:$G$120="acoes"))*Inputs!$B$1+((Inputs!$G$5:$G$120&lt;&gt;"moeda")*(Inputs!$G$5:$G$120&lt;&gt;"acoes")))*INDEX(Inputs!$K$5:$AJ$120,0,MATCH(AH$2,Inputs!$K$4:$AJ$4,0)))+SUMPRODUCT((Inputs!$E$5:$E$120=$B21)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1" s="267">
        <f>IF(ISNA(MATCH(AI$2,Inputs!$K$4:$AJ$4,0)),NA(),IF(SUMPRODUCT((Inputs!$A$5:$A$120=$B21)*ISNUMBER(INDEX(Inputs!$K$5:$AJ$120,0,MATCH(AI$2,Inputs!$K$4:$AJ$4,0))))+SUMPRODUCT((Inputs!$C$5:$C$120=$B21)*ISNUMBER(INDEX(Inputs!$K$5:$AJ$120,0,MATCH(AI$2,Inputs!$K$4:$AJ$4,0))))+SUMPRODUCT((Inputs!$E$5:$E$120=$B21)*ISNUMBER(INDEX(Inputs!$K$5:$AJ$120,0,MATCH(AI$2,Inputs!$K$4:$AJ$4,0))))=0,NA(),SUMPRODUCT((Inputs!$A$5:$A$120=$B21)*Inputs!$B$5:$B$120*(((Inputs!$G$5:$G$120="moeda")+(Inputs!$G$5:$G$120="acoes"))*Inputs!$B$1+((Inputs!$G$5:$G$120&lt;&gt;"moeda")*(Inputs!$G$5:$G$120&lt;&gt;"acoes")))*INDEX(Inputs!$K$5:$AJ$120,0,MATCH(AI$2,Inputs!$K$4:$AJ$4,0)))+SUMPRODUCT((Inputs!$C$5:$C$120=$B21)*Inputs!$D$5:$D$120*(((Inputs!$G$5:$G$120="moeda")+(Inputs!$G$5:$G$120="acoes"))*Inputs!$B$1+((Inputs!$G$5:$G$120&lt;&gt;"moeda")*(Inputs!$G$5:$G$120&lt;&gt;"acoes")))*INDEX(Inputs!$K$5:$AJ$120,0,MATCH(AI$2,Inputs!$K$4:$AJ$4,0)))+SUMPRODUCT((Inputs!$E$5:$E$120=$B21)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1" s="267">
        <f>IF(ISNA(MATCH(AJ$2,Inputs!$K$4:$AJ$4,0)),NA(),IF(SUMPRODUCT((Inputs!$A$5:$A$120=$B21)*ISNUMBER(INDEX(Inputs!$K$5:$AJ$120,0,MATCH(AJ$2,Inputs!$K$4:$AJ$4,0))))+SUMPRODUCT((Inputs!$C$5:$C$120=$B21)*ISNUMBER(INDEX(Inputs!$K$5:$AJ$120,0,MATCH(AJ$2,Inputs!$K$4:$AJ$4,0))))+SUMPRODUCT((Inputs!$E$5:$E$120=$B21)*ISNUMBER(INDEX(Inputs!$K$5:$AJ$120,0,MATCH(AJ$2,Inputs!$K$4:$AJ$4,0))))=0,NA(),SUMPRODUCT((Inputs!$A$5:$A$120=$B21)*Inputs!$B$5:$B$120*(((Inputs!$G$5:$G$120="moeda")+(Inputs!$G$5:$G$120="acoes"))*Inputs!$B$1+((Inputs!$G$5:$G$120&lt;&gt;"moeda")*(Inputs!$G$5:$G$120&lt;&gt;"acoes")))*INDEX(Inputs!$K$5:$AJ$120,0,MATCH(AJ$2,Inputs!$K$4:$AJ$4,0)))+SUMPRODUCT((Inputs!$C$5:$C$120=$B21)*Inputs!$D$5:$D$120*(((Inputs!$G$5:$G$120="moeda")+(Inputs!$G$5:$G$120="acoes"))*Inputs!$B$1+((Inputs!$G$5:$G$120&lt;&gt;"moeda")*(Inputs!$G$5:$G$120&lt;&gt;"acoes")))*INDEX(Inputs!$K$5:$AJ$120,0,MATCH(AJ$2,Inputs!$K$4:$AJ$4,0)))+SUMPRODUCT((Inputs!$E$5:$E$120=$B21)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1" s="267">
        <f>IF(ISNA(MATCH(AK$2,Inputs!$K$4:$AJ$4,0)),NA(),IF(SUMPRODUCT((Inputs!$A$5:$A$120=$B21)*ISNUMBER(INDEX(Inputs!$K$5:$AJ$120,0,MATCH(AK$2,Inputs!$K$4:$AJ$4,0))))+SUMPRODUCT((Inputs!$C$5:$C$120=$B21)*ISNUMBER(INDEX(Inputs!$K$5:$AJ$120,0,MATCH(AK$2,Inputs!$K$4:$AJ$4,0))))+SUMPRODUCT((Inputs!$E$5:$E$120=$B21)*ISNUMBER(INDEX(Inputs!$K$5:$AJ$120,0,MATCH(AK$2,Inputs!$K$4:$AJ$4,0))))=0,NA(),SUMPRODUCT((Inputs!$A$5:$A$120=$B21)*Inputs!$B$5:$B$120*(((Inputs!$G$5:$G$120="moeda")+(Inputs!$G$5:$G$120="acoes"))*Inputs!$B$1+((Inputs!$G$5:$G$120&lt;&gt;"moeda")*(Inputs!$G$5:$G$120&lt;&gt;"acoes")))*INDEX(Inputs!$K$5:$AJ$120,0,MATCH(AK$2,Inputs!$K$4:$AJ$4,0)))+SUMPRODUCT((Inputs!$C$5:$C$120=$B21)*Inputs!$D$5:$D$120*(((Inputs!$G$5:$G$120="moeda")+(Inputs!$G$5:$G$120="acoes"))*Inputs!$B$1+((Inputs!$G$5:$G$120&lt;&gt;"moeda")*(Inputs!$G$5:$G$120&lt;&gt;"acoes")))*INDEX(Inputs!$K$5:$AJ$120,0,MATCH(AK$2,Inputs!$K$4:$AJ$4,0)))+SUMPRODUCT((Inputs!$E$5:$E$120=$B21)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1" s="268">
        <f>AK21</f>
        <v>0</v>
      </c>
    </row>
    <row r="22" ht="12.75" customHeight="1" s="255">
      <c r="B22" s="265" t="n">
        <v>18</v>
      </c>
      <c r="C22" s="270" t="inlineStr">
        <is>
          <t>PP&amp;E</t>
        </is>
      </c>
      <c r="D22" s="267">
        <f>IF(ISNA(MATCH(D$2,Inputs!$K$4:$AJ$4,0)),NA(),IF(SUMPRODUCT((Inputs!$A$5:$A$120=$B22)*ISNUMBER(INDEX(Inputs!$K$5:$AJ$120,0,MATCH(D$2,Inputs!$K$4:$AJ$4,0))))+SUMPRODUCT((Inputs!$C$5:$C$120=$B22)*ISNUMBER(INDEX(Inputs!$K$5:$AJ$120,0,MATCH(D$2,Inputs!$K$4:$AJ$4,0))))+SUMPRODUCT((Inputs!$E$5:$E$120=$B22)*ISNUMBER(INDEX(Inputs!$K$5:$AJ$120,0,MATCH(D$2,Inputs!$K$4:$AJ$4,0))))=0,NA(),SUMPRODUCT((Inputs!$A$5:$A$120=$B22)*Inputs!$B$5:$B$120*(((Inputs!$G$5:$G$120="moeda")+(Inputs!$G$5:$G$120="acoes"))*Inputs!$B$1+((Inputs!$G$5:$G$120&lt;&gt;"moeda")*(Inputs!$G$5:$G$120&lt;&gt;"acoes")))*INDEX(Inputs!$K$5:$AJ$120,0,MATCH(D$2,Inputs!$K$4:$AJ$4,0)))+SUMPRODUCT((Inputs!$C$5:$C$120=$B22)*Inputs!$D$5:$D$120*(((Inputs!$G$5:$G$120="moeda")+(Inputs!$G$5:$G$120="acoes"))*Inputs!$B$1+((Inputs!$G$5:$G$120&lt;&gt;"moeda")*(Inputs!$G$5:$G$120&lt;&gt;"acoes")))*INDEX(Inputs!$K$5:$AJ$120,0,MATCH(D$2,Inputs!$K$4:$AJ$4,0)))+SUMPRODUCT((Inputs!$E$5:$E$120=$B22)*Inputs!$F$5:$F$120*(((Inputs!$G$5:$G$120="moeda")+(Inputs!$G$5:$G$120="acoes"))*Inputs!$B$1+((Inputs!$G$5:$G$120&lt;&gt;"moeda")*(Inputs!$G$5:$G$120&lt;&gt;"acoes")))*INDEX(Inputs!$K$5:$AJ$120,0,MATCH(D$2,Inputs!$K$4:$AJ$4,0)))))</f>
        <v>29775</v>
      </c>
      <c r="E22" s="267">
        <f>IF(ISNA(MATCH(E$2,Inputs!$K$4:$AJ$4,0)),NA(),IF(SUMPRODUCT((Inputs!$A$5:$A$120=$B22)*ISNUMBER(INDEX(Inputs!$K$5:$AJ$120,0,MATCH(E$2,Inputs!$K$4:$AJ$4,0))))+SUMPRODUCT((Inputs!$C$5:$C$120=$B22)*ISNUMBER(INDEX(Inputs!$K$5:$AJ$120,0,MATCH(E$2,Inputs!$K$4:$AJ$4,0))))+SUMPRODUCT((Inputs!$E$5:$E$120=$B22)*ISNUMBER(INDEX(Inputs!$K$5:$AJ$120,0,MATCH(E$2,Inputs!$K$4:$AJ$4,0))))=0,NA(),SUMPRODUCT((Inputs!$A$5:$A$120=$B22)*Inputs!$B$5:$B$120*(((Inputs!$G$5:$G$120="moeda")+(Inputs!$G$5:$G$120="acoes"))*Inputs!$B$1+((Inputs!$G$5:$G$120&lt;&gt;"moeda")*(Inputs!$G$5:$G$120&lt;&gt;"acoes")))*INDEX(Inputs!$K$5:$AJ$120,0,MATCH(E$2,Inputs!$K$4:$AJ$4,0)))+SUMPRODUCT((Inputs!$C$5:$C$120=$B22)*Inputs!$D$5:$D$120*(((Inputs!$G$5:$G$120="moeda")+(Inputs!$G$5:$G$120="acoes"))*Inputs!$B$1+((Inputs!$G$5:$G$120&lt;&gt;"moeda")*(Inputs!$G$5:$G$120&lt;&gt;"acoes")))*INDEX(Inputs!$K$5:$AJ$120,0,MATCH(E$2,Inputs!$K$4:$AJ$4,0)))+SUMPRODUCT((Inputs!$E$5:$E$120=$B22)*Inputs!$F$5:$F$120*(((Inputs!$G$5:$G$120="moeda")+(Inputs!$G$5:$G$120="acoes"))*Inputs!$B$1+((Inputs!$G$5:$G$120&lt;&gt;"moeda")*(Inputs!$G$5:$G$120&lt;&gt;"acoes")))*INDEX(Inputs!$K$5:$AJ$120,0,MATCH(E$2,Inputs!$K$4:$AJ$4,0)))))</f>
        <v>29836</v>
      </c>
      <c r="F22" s="267">
        <f>IF(ISNA(MATCH(F$2,Inputs!$K$4:$AJ$4,0)),NA(),IF(SUMPRODUCT((Inputs!$A$5:$A$120=$B22)*ISNUMBER(INDEX(Inputs!$K$5:$AJ$120,0,MATCH(F$2,Inputs!$K$4:$AJ$4,0))))+SUMPRODUCT((Inputs!$C$5:$C$120=$B22)*ISNUMBER(INDEX(Inputs!$K$5:$AJ$120,0,MATCH(F$2,Inputs!$K$4:$AJ$4,0))))+SUMPRODUCT((Inputs!$E$5:$E$120=$B22)*ISNUMBER(INDEX(Inputs!$K$5:$AJ$120,0,MATCH(F$2,Inputs!$K$4:$AJ$4,0))))=0,NA(),SUMPRODUCT((Inputs!$A$5:$A$120=$B22)*Inputs!$B$5:$B$120*(((Inputs!$G$5:$G$120="moeda")+(Inputs!$G$5:$G$120="acoes"))*Inputs!$B$1+((Inputs!$G$5:$G$120&lt;&gt;"moeda")*(Inputs!$G$5:$G$120&lt;&gt;"acoes")))*INDEX(Inputs!$K$5:$AJ$120,0,MATCH(F$2,Inputs!$K$4:$AJ$4,0)))+SUMPRODUCT((Inputs!$C$5:$C$120=$B22)*Inputs!$D$5:$D$120*(((Inputs!$G$5:$G$120="moeda")+(Inputs!$G$5:$G$120="acoes"))*Inputs!$B$1+((Inputs!$G$5:$G$120&lt;&gt;"moeda")*(Inputs!$G$5:$G$120&lt;&gt;"acoes")))*INDEX(Inputs!$K$5:$AJ$120,0,MATCH(F$2,Inputs!$K$4:$AJ$4,0)))+SUMPRODUCT((Inputs!$E$5:$E$120=$B22)*Inputs!$F$5:$F$120*(((Inputs!$G$5:$G$120="moeda")+(Inputs!$G$5:$G$120="acoes"))*Inputs!$B$1+((Inputs!$G$5:$G$120&lt;&gt;"moeda")*(Inputs!$G$5:$G$120&lt;&gt;"acoes")))*INDEX(Inputs!$K$5:$AJ$120,0,MATCH(F$2,Inputs!$K$4:$AJ$4,0)))))</f>
        <v>30102</v>
      </c>
      <c r="G22" s="267">
        <f>IF(ISNA(MATCH(G$2,Inputs!$K$4:$AJ$4,0)),NA(),IF(SUMPRODUCT((Inputs!$A$5:$A$120=$B22)*ISNUMBER(INDEX(Inputs!$K$5:$AJ$120,0,MATCH(G$2,Inputs!$K$4:$AJ$4,0))))+SUMPRODUCT((Inputs!$C$5:$C$120=$B22)*ISNUMBER(INDEX(Inputs!$K$5:$AJ$120,0,MATCH(G$2,Inputs!$K$4:$AJ$4,0))))+SUMPRODUCT((Inputs!$E$5:$E$120=$B22)*ISNUMBER(INDEX(Inputs!$K$5:$AJ$120,0,MATCH(G$2,Inputs!$K$4:$AJ$4,0))))=0,NA(),SUMPRODUCT((Inputs!$A$5:$A$120=$B22)*Inputs!$B$5:$B$120*(((Inputs!$G$5:$G$120="moeda")+(Inputs!$G$5:$G$120="acoes"))*Inputs!$B$1+((Inputs!$G$5:$G$120&lt;&gt;"moeda")*(Inputs!$G$5:$G$120&lt;&gt;"acoes")))*INDEX(Inputs!$K$5:$AJ$120,0,MATCH(G$2,Inputs!$K$4:$AJ$4,0)))+SUMPRODUCT((Inputs!$C$5:$C$120=$B22)*Inputs!$D$5:$D$120*(((Inputs!$G$5:$G$120="moeda")+(Inputs!$G$5:$G$120="acoes"))*Inputs!$B$1+((Inputs!$G$5:$G$120&lt;&gt;"moeda")*(Inputs!$G$5:$G$120&lt;&gt;"acoes")))*INDEX(Inputs!$K$5:$AJ$120,0,MATCH(G$2,Inputs!$K$4:$AJ$4,0)))+SUMPRODUCT((Inputs!$E$5:$E$120=$B22)*Inputs!$F$5:$F$120*(((Inputs!$G$5:$G$120="moeda")+(Inputs!$G$5:$G$120="acoes"))*Inputs!$B$1+((Inputs!$G$5:$G$120&lt;&gt;"moeda")*(Inputs!$G$5:$G$120&lt;&gt;"acoes")))*INDEX(Inputs!$K$5:$AJ$120,0,MATCH(G$2,Inputs!$K$4:$AJ$4,0)))))</f>
        <v>30345</v>
      </c>
      <c r="H22" s="268">
        <f>G22</f>
        <v>30345</v>
      </c>
      <c r="I22" s="267">
        <f>IF(ISNA(MATCH(I$2,Inputs!$K$4:$AJ$4,0)),NA(),IF(SUMPRODUCT((Inputs!$A$5:$A$120=$B22)*ISNUMBER(INDEX(Inputs!$K$5:$AJ$120,0,MATCH(I$2,Inputs!$K$4:$AJ$4,0))))+SUMPRODUCT((Inputs!$C$5:$C$120=$B22)*ISNUMBER(INDEX(Inputs!$K$5:$AJ$120,0,MATCH(I$2,Inputs!$K$4:$AJ$4,0))))+SUMPRODUCT((Inputs!$E$5:$E$120=$B22)*ISNUMBER(INDEX(Inputs!$K$5:$AJ$120,0,MATCH(I$2,Inputs!$K$4:$AJ$4,0))))=0,NA(),SUMPRODUCT((Inputs!$A$5:$A$120=$B22)*Inputs!$B$5:$B$120*(((Inputs!$G$5:$G$120="moeda")+(Inputs!$G$5:$G$120="acoes"))*Inputs!$B$1+((Inputs!$G$5:$G$120&lt;&gt;"moeda")*(Inputs!$G$5:$G$120&lt;&gt;"acoes")))*INDEX(Inputs!$K$5:$AJ$120,0,MATCH(I$2,Inputs!$K$4:$AJ$4,0)))+SUMPRODUCT((Inputs!$C$5:$C$120=$B22)*Inputs!$D$5:$D$120*(((Inputs!$G$5:$G$120="moeda")+(Inputs!$G$5:$G$120="acoes"))*Inputs!$B$1+((Inputs!$G$5:$G$120&lt;&gt;"moeda")*(Inputs!$G$5:$G$120&lt;&gt;"acoes")))*INDEX(Inputs!$K$5:$AJ$120,0,MATCH(I$2,Inputs!$K$4:$AJ$4,0)))+SUMPRODUCT((Inputs!$E$5:$E$120=$B22)*Inputs!$F$5:$F$120*(((Inputs!$G$5:$G$120="moeda")+(Inputs!$G$5:$G$120="acoes"))*Inputs!$B$1+((Inputs!$G$5:$G$120&lt;&gt;"moeda")*(Inputs!$G$5:$G$120&lt;&gt;"acoes")))*INDEX(Inputs!$K$5:$AJ$120,0,MATCH(I$2,Inputs!$K$4:$AJ$4,0)))))</f>
        <v>30708</v>
      </c>
      <c r="J22" s="267">
        <f>IF(ISNA(MATCH(J$2,Inputs!$K$4:$AJ$4,0)),NA(),IF(SUMPRODUCT((Inputs!$A$5:$A$120=$B22)*ISNUMBER(INDEX(Inputs!$K$5:$AJ$120,0,MATCH(J$2,Inputs!$K$4:$AJ$4,0))))+SUMPRODUCT((Inputs!$C$5:$C$120=$B22)*ISNUMBER(INDEX(Inputs!$K$5:$AJ$120,0,MATCH(J$2,Inputs!$K$4:$AJ$4,0))))+SUMPRODUCT((Inputs!$E$5:$E$120=$B22)*ISNUMBER(INDEX(Inputs!$K$5:$AJ$120,0,MATCH(J$2,Inputs!$K$4:$AJ$4,0))))=0,NA(),SUMPRODUCT((Inputs!$A$5:$A$120=$B22)*Inputs!$B$5:$B$120*(((Inputs!$G$5:$G$120="moeda")+(Inputs!$G$5:$G$120="acoes"))*Inputs!$B$1+((Inputs!$G$5:$G$120&lt;&gt;"moeda")*(Inputs!$G$5:$G$120&lt;&gt;"acoes")))*INDEX(Inputs!$K$5:$AJ$120,0,MATCH(J$2,Inputs!$K$4:$AJ$4,0)))+SUMPRODUCT((Inputs!$C$5:$C$120=$B22)*Inputs!$D$5:$D$120*(((Inputs!$G$5:$G$120="moeda")+(Inputs!$G$5:$G$120="acoes"))*Inputs!$B$1+((Inputs!$G$5:$G$120&lt;&gt;"moeda")*(Inputs!$G$5:$G$120&lt;&gt;"acoes")))*INDEX(Inputs!$K$5:$AJ$120,0,MATCH(J$2,Inputs!$K$4:$AJ$4,0)))+SUMPRODUCT((Inputs!$E$5:$E$120=$B22)*Inputs!$F$5:$F$120*(((Inputs!$G$5:$G$120="moeda")+(Inputs!$G$5:$G$120="acoes"))*Inputs!$B$1+((Inputs!$G$5:$G$120&lt;&gt;"moeda")*(Inputs!$G$5:$G$120&lt;&gt;"acoes")))*INDEX(Inputs!$K$5:$AJ$120,0,MATCH(J$2,Inputs!$K$4:$AJ$4,0)))))</f>
        <v>31200</v>
      </c>
      <c r="K22" s="267">
        <f>IF(ISNA(MATCH(K$2,Inputs!$K$4:$AJ$4,0)),NA(),IF(SUMPRODUCT((Inputs!$A$5:$A$120=$B22)*ISNUMBER(INDEX(Inputs!$K$5:$AJ$120,0,MATCH(K$2,Inputs!$K$4:$AJ$4,0))))+SUMPRODUCT((Inputs!$C$5:$C$120=$B22)*ISNUMBER(INDEX(Inputs!$K$5:$AJ$120,0,MATCH(K$2,Inputs!$K$4:$AJ$4,0))))+SUMPRODUCT((Inputs!$E$5:$E$120=$B22)*ISNUMBER(INDEX(Inputs!$K$5:$AJ$120,0,MATCH(K$2,Inputs!$K$4:$AJ$4,0))))=0,NA(),SUMPRODUCT((Inputs!$A$5:$A$120=$B22)*Inputs!$B$5:$B$120*(((Inputs!$G$5:$G$120="moeda")+(Inputs!$G$5:$G$120="acoes"))*Inputs!$B$1+((Inputs!$G$5:$G$120&lt;&gt;"moeda")*(Inputs!$G$5:$G$120&lt;&gt;"acoes")))*INDEX(Inputs!$K$5:$AJ$120,0,MATCH(K$2,Inputs!$K$4:$AJ$4,0)))+SUMPRODUCT((Inputs!$C$5:$C$120=$B22)*Inputs!$D$5:$D$120*(((Inputs!$G$5:$G$120="moeda")+(Inputs!$G$5:$G$120="acoes"))*Inputs!$B$1+((Inputs!$G$5:$G$120&lt;&gt;"moeda")*(Inputs!$G$5:$G$120&lt;&gt;"acoes")))*INDEX(Inputs!$K$5:$AJ$120,0,MATCH(K$2,Inputs!$K$4:$AJ$4,0)))+SUMPRODUCT((Inputs!$E$5:$E$120=$B22)*Inputs!$F$5:$F$120*(((Inputs!$G$5:$G$120="moeda")+(Inputs!$G$5:$G$120="acoes"))*Inputs!$B$1+((Inputs!$G$5:$G$120&lt;&gt;"moeda")*(Inputs!$G$5:$G$120&lt;&gt;"acoes")))*INDEX(Inputs!$K$5:$AJ$120,0,MATCH(K$2,Inputs!$K$4:$AJ$4,0)))))</f>
        <v>31814</v>
      </c>
      <c r="L22" s="267">
        <f>IF(ISNA(MATCH(L$2,Inputs!$K$4:$AJ$4,0)),NA(),IF(SUMPRODUCT((Inputs!$A$5:$A$120=$B22)*ISNUMBER(INDEX(Inputs!$K$5:$AJ$120,0,MATCH(L$2,Inputs!$K$4:$AJ$4,0))))+SUMPRODUCT((Inputs!$C$5:$C$120=$B22)*ISNUMBER(INDEX(Inputs!$K$5:$AJ$120,0,MATCH(L$2,Inputs!$K$4:$AJ$4,0))))+SUMPRODUCT((Inputs!$E$5:$E$120=$B22)*ISNUMBER(INDEX(Inputs!$K$5:$AJ$120,0,MATCH(L$2,Inputs!$K$4:$AJ$4,0))))=0,NA(),SUMPRODUCT((Inputs!$A$5:$A$120=$B22)*Inputs!$B$5:$B$120*(((Inputs!$G$5:$G$120="moeda")+(Inputs!$G$5:$G$120="acoes"))*Inputs!$B$1+((Inputs!$G$5:$G$120&lt;&gt;"moeda")*(Inputs!$G$5:$G$120&lt;&gt;"acoes")))*INDEX(Inputs!$K$5:$AJ$120,0,MATCH(L$2,Inputs!$K$4:$AJ$4,0)))+SUMPRODUCT((Inputs!$C$5:$C$120=$B22)*Inputs!$D$5:$D$120*(((Inputs!$G$5:$G$120="moeda")+(Inputs!$G$5:$G$120="acoes"))*Inputs!$B$1+((Inputs!$G$5:$G$120&lt;&gt;"moeda")*(Inputs!$G$5:$G$120&lt;&gt;"acoes")))*INDEX(Inputs!$K$5:$AJ$120,0,MATCH(L$2,Inputs!$K$4:$AJ$4,0)))+SUMPRODUCT((Inputs!$E$5:$E$120=$B22)*Inputs!$F$5:$F$120*(((Inputs!$G$5:$G$120="moeda")+(Inputs!$G$5:$G$120="acoes"))*Inputs!$B$1+((Inputs!$G$5:$G$120&lt;&gt;"moeda")*(Inputs!$G$5:$G$120&lt;&gt;"acoes")))*INDEX(Inputs!$K$5:$AJ$120,0,MATCH(L$2,Inputs!$K$4:$AJ$4,0)))))</f>
        <v>32627</v>
      </c>
      <c r="M22" s="268">
        <f>L22</f>
        <v>32627</v>
      </c>
      <c r="N22" s="267">
        <f>IF(ISNA(MATCH(N$2,Inputs!$K$4:$AJ$4,0)),NA(),IF(SUMPRODUCT((Inputs!$A$5:$A$120=$B22)*ISNUMBER(INDEX(Inputs!$K$5:$AJ$120,0,MATCH(N$2,Inputs!$K$4:$AJ$4,0))))+SUMPRODUCT((Inputs!$C$5:$C$120=$B22)*ISNUMBER(INDEX(Inputs!$K$5:$AJ$120,0,MATCH(N$2,Inputs!$K$4:$AJ$4,0))))+SUMPRODUCT((Inputs!$E$5:$E$120=$B22)*ISNUMBER(INDEX(Inputs!$K$5:$AJ$120,0,MATCH(N$2,Inputs!$K$4:$AJ$4,0))))=0,NA(),SUMPRODUCT((Inputs!$A$5:$A$120=$B22)*Inputs!$B$5:$B$120*(((Inputs!$G$5:$G$120="moeda")+(Inputs!$G$5:$G$120="acoes"))*Inputs!$B$1+((Inputs!$G$5:$G$120&lt;&gt;"moeda")*(Inputs!$G$5:$G$120&lt;&gt;"acoes")))*INDEX(Inputs!$K$5:$AJ$120,0,MATCH(N$2,Inputs!$K$4:$AJ$4,0)))+SUMPRODUCT((Inputs!$C$5:$C$120=$B22)*Inputs!$D$5:$D$120*(((Inputs!$G$5:$G$120="moeda")+(Inputs!$G$5:$G$120="acoes"))*Inputs!$B$1+((Inputs!$G$5:$G$120&lt;&gt;"moeda")*(Inputs!$G$5:$G$120&lt;&gt;"acoes")))*INDEX(Inputs!$K$5:$AJ$120,0,MATCH(N$2,Inputs!$K$4:$AJ$4,0)))+SUMPRODUCT((Inputs!$E$5:$E$120=$B22)*Inputs!$F$5:$F$120*(((Inputs!$G$5:$G$120="moeda")+(Inputs!$G$5:$G$120="acoes"))*Inputs!$B$1+((Inputs!$G$5:$G$120&lt;&gt;"moeda")*(Inputs!$G$5:$G$120&lt;&gt;"acoes")))*INDEX(Inputs!$K$5:$AJ$120,0,MATCH(N$2,Inputs!$K$4:$AJ$4,0)))))</f>
        <v>33159</v>
      </c>
      <c r="O22" s="267">
        <f>IF(ISNA(MATCH(O$2,Inputs!$K$4:$AJ$4,0)),NA(),IF(SUMPRODUCT((Inputs!$A$5:$A$120=$B22)*ISNUMBER(INDEX(Inputs!$K$5:$AJ$120,0,MATCH(O$2,Inputs!$K$4:$AJ$4,0))))+SUMPRODUCT((Inputs!$C$5:$C$120=$B22)*ISNUMBER(INDEX(Inputs!$K$5:$AJ$120,0,MATCH(O$2,Inputs!$K$4:$AJ$4,0))))+SUMPRODUCT((Inputs!$E$5:$E$120=$B22)*ISNUMBER(INDEX(Inputs!$K$5:$AJ$120,0,MATCH(O$2,Inputs!$K$4:$AJ$4,0))))=0,NA(),SUMPRODUCT((Inputs!$A$5:$A$120=$B22)*Inputs!$B$5:$B$120*(((Inputs!$G$5:$G$120="moeda")+(Inputs!$G$5:$G$120="acoes"))*Inputs!$B$1+((Inputs!$G$5:$G$120&lt;&gt;"moeda")*(Inputs!$G$5:$G$120&lt;&gt;"acoes")))*INDEX(Inputs!$K$5:$AJ$120,0,MATCH(O$2,Inputs!$K$4:$AJ$4,0)))+SUMPRODUCT((Inputs!$C$5:$C$120=$B22)*Inputs!$D$5:$D$120*(((Inputs!$G$5:$G$120="moeda")+(Inputs!$G$5:$G$120="acoes"))*Inputs!$B$1+((Inputs!$G$5:$G$120&lt;&gt;"moeda")*(Inputs!$G$5:$G$120&lt;&gt;"acoes")))*INDEX(Inputs!$K$5:$AJ$120,0,MATCH(O$2,Inputs!$K$4:$AJ$4,0)))+SUMPRODUCT((Inputs!$E$5:$E$120=$B22)*Inputs!$F$5:$F$120*(((Inputs!$G$5:$G$120="moeda")+(Inputs!$G$5:$G$120="acoes"))*Inputs!$B$1+((Inputs!$G$5:$G$120&lt;&gt;"moeda")*(Inputs!$G$5:$G$120&lt;&gt;"acoes")))*INDEX(Inputs!$K$5:$AJ$120,0,MATCH(O$2,Inputs!$K$4:$AJ$4,0)))))</f>
        <v>33845</v>
      </c>
      <c r="P22" s="267">
        <f>IF(ISNA(MATCH(P$2,Inputs!$K$4:$AJ$4,0)),NA(),IF(SUMPRODUCT((Inputs!$A$5:$A$120=$B22)*ISNUMBER(INDEX(Inputs!$K$5:$AJ$120,0,MATCH(P$2,Inputs!$K$4:$AJ$4,0))))+SUMPRODUCT((Inputs!$C$5:$C$120=$B22)*ISNUMBER(INDEX(Inputs!$K$5:$AJ$120,0,MATCH(P$2,Inputs!$K$4:$AJ$4,0))))+SUMPRODUCT((Inputs!$E$5:$E$120=$B22)*ISNUMBER(INDEX(Inputs!$K$5:$AJ$120,0,MATCH(P$2,Inputs!$K$4:$AJ$4,0))))=0,NA(),SUMPRODUCT((Inputs!$A$5:$A$120=$B22)*Inputs!$B$5:$B$120*(((Inputs!$G$5:$G$120="moeda")+(Inputs!$G$5:$G$120="acoes"))*Inputs!$B$1+((Inputs!$G$5:$G$120&lt;&gt;"moeda")*(Inputs!$G$5:$G$120&lt;&gt;"acoes")))*INDEX(Inputs!$K$5:$AJ$120,0,MATCH(P$2,Inputs!$K$4:$AJ$4,0)))+SUMPRODUCT((Inputs!$C$5:$C$120=$B22)*Inputs!$D$5:$D$120*(((Inputs!$G$5:$G$120="moeda")+(Inputs!$G$5:$G$120="acoes"))*Inputs!$B$1+((Inputs!$G$5:$G$120&lt;&gt;"moeda")*(Inputs!$G$5:$G$120&lt;&gt;"acoes")))*INDEX(Inputs!$K$5:$AJ$120,0,MATCH(P$2,Inputs!$K$4:$AJ$4,0)))+SUMPRODUCT((Inputs!$E$5:$E$120=$B22)*Inputs!$F$5:$F$120*(((Inputs!$G$5:$G$120="moeda")+(Inputs!$G$5:$G$120="acoes"))*Inputs!$B$1+((Inputs!$G$5:$G$120&lt;&gt;"moeda")*(Inputs!$G$5:$G$120&lt;&gt;"acoes")))*INDEX(Inputs!$K$5:$AJ$120,0,MATCH(P$2,Inputs!$K$4:$AJ$4,0)))))</f>
        <v>34535</v>
      </c>
      <c r="Q22" s="267">
        <f>IF(ISNA(MATCH(Q$2,Inputs!$K$4:$AJ$4,0)),NA(),IF(SUMPRODUCT((Inputs!$A$5:$A$120=$B22)*ISNUMBER(INDEX(Inputs!$K$5:$AJ$120,0,MATCH(Q$2,Inputs!$K$4:$AJ$4,0))))+SUMPRODUCT((Inputs!$C$5:$C$120=$B22)*ISNUMBER(INDEX(Inputs!$K$5:$AJ$120,0,MATCH(Q$2,Inputs!$K$4:$AJ$4,0))))+SUMPRODUCT((Inputs!$E$5:$E$120=$B22)*ISNUMBER(INDEX(Inputs!$K$5:$AJ$120,0,MATCH(Q$2,Inputs!$K$4:$AJ$4,0))))=0,NA(),SUMPRODUCT((Inputs!$A$5:$A$120=$B22)*Inputs!$B$5:$B$120*(((Inputs!$G$5:$G$120="moeda")+(Inputs!$G$5:$G$120="acoes"))*Inputs!$B$1+((Inputs!$G$5:$G$120&lt;&gt;"moeda")*(Inputs!$G$5:$G$120&lt;&gt;"acoes")))*INDEX(Inputs!$K$5:$AJ$120,0,MATCH(Q$2,Inputs!$K$4:$AJ$4,0)))+SUMPRODUCT((Inputs!$C$5:$C$120=$B22)*Inputs!$D$5:$D$120*(((Inputs!$G$5:$G$120="moeda")+(Inputs!$G$5:$G$120="acoes"))*Inputs!$B$1+((Inputs!$G$5:$G$120&lt;&gt;"moeda")*(Inputs!$G$5:$G$120&lt;&gt;"acoes")))*INDEX(Inputs!$K$5:$AJ$120,0,MATCH(Q$2,Inputs!$K$4:$AJ$4,0)))+SUMPRODUCT((Inputs!$E$5:$E$120=$B22)*Inputs!$F$5:$F$120*(((Inputs!$G$5:$G$120="moeda")+(Inputs!$G$5:$G$120="acoes"))*Inputs!$B$1+((Inputs!$G$5:$G$120&lt;&gt;"moeda")*(Inputs!$G$5:$G$120&lt;&gt;"acoes")))*INDEX(Inputs!$K$5:$AJ$120,0,MATCH(Q$2,Inputs!$K$4:$AJ$4,0)))))</f>
        <v>35295</v>
      </c>
      <c r="R22" s="268">
        <f>Q22</f>
        <v>35295</v>
      </c>
      <c r="S22" s="267">
        <f>IF(ISNA(MATCH(S$2,Inputs!$K$4:$AJ$4,0)),NA(),IF(SUMPRODUCT((Inputs!$A$5:$A$120=$B22)*ISNUMBER(INDEX(Inputs!$K$5:$AJ$120,0,MATCH(S$2,Inputs!$K$4:$AJ$4,0))))+SUMPRODUCT((Inputs!$C$5:$C$120=$B22)*ISNUMBER(INDEX(Inputs!$K$5:$AJ$120,0,MATCH(S$2,Inputs!$K$4:$AJ$4,0))))+SUMPRODUCT((Inputs!$E$5:$E$120=$B22)*ISNUMBER(INDEX(Inputs!$K$5:$AJ$120,0,MATCH(S$2,Inputs!$K$4:$AJ$4,0))))=0,NA(),SUMPRODUCT((Inputs!$A$5:$A$120=$B22)*Inputs!$B$5:$B$120*(((Inputs!$G$5:$G$120="moeda")+(Inputs!$G$5:$G$120="acoes"))*Inputs!$B$1+((Inputs!$G$5:$G$120&lt;&gt;"moeda")*(Inputs!$G$5:$G$120&lt;&gt;"acoes")))*INDEX(Inputs!$K$5:$AJ$120,0,MATCH(S$2,Inputs!$K$4:$AJ$4,0)))+SUMPRODUCT((Inputs!$C$5:$C$120=$B22)*Inputs!$D$5:$D$120*(((Inputs!$G$5:$G$120="moeda")+(Inputs!$G$5:$G$120="acoes"))*Inputs!$B$1+((Inputs!$G$5:$G$120&lt;&gt;"moeda")*(Inputs!$G$5:$G$120&lt;&gt;"acoes")))*INDEX(Inputs!$K$5:$AJ$120,0,MATCH(S$2,Inputs!$K$4:$AJ$4,0)))+SUMPRODUCT((Inputs!$E$5:$E$120=$B22)*Inputs!$F$5:$F$120*(((Inputs!$G$5:$G$120="moeda")+(Inputs!$G$5:$G$120="acoes"))*Inputs!$B$1+((Inputs!$G$5:$G$120&lt;&gt;"moeda")*(Inputs!$G$5:$G$120&lt;&gt;"acoes")))*INDEX(Inputs!$K$5:$AJ$120,0,MATCH(S$2,Inputs!$K$4:$AJ$4,0)))))</f>
        <v>36197</v>
      </c>
      <c r="T22" s="267">
        <f>IF(ISNA(MATCH(T$2,Inputs!$K$4:$AJ$4,0)),NA(),IF(SUMPRODUCT((Inputs!$A$5:$A$120=$B22)*ISNUMBER(INDEX(Inputs!$K$5:$AJ$120,0,MATCH(T$2,Inputs!$K$4:$AJ$4,0))))+SUMPRODUCT((Inputs!$C$5:$C$120=$B22)*ISNUMBER(INDEX(Inputs!$K$5:$AJ$120,0,MATCH(T$2,Inputs!$K$4:$AJ$4,0))))+SUMPRODUCT((Inputs!$E$5:$E$120=$B22)*ISNUMBER(INDEX(Inputs!$K$5:$AJ$120,0,MATCH(T$2,Inputs!$K$4:$AJ$4,0))))=0,NA(),SUMPRODUCT((Inputs!$A$5:$A$120=$B22)*Inputs!$B$5:$B$120*(((Inputs!$G$5:$G$120="moeda")+(Inputs!$G$5:$G$120="acoes"))*Inputs!$B$1+((Inputs!$G$5:$G$120&lt;&gt;"moeda")*(Inputs!$G$5:$G$120&lt;&gt;"acoes")))*INDEX(Inputs!$K$5:$AJ$120,0,MATCH(T$2,Inputs!$K$4:$AJ$4,0)))+SUMPRODUCT((Inputs!$C$5:$C$120=$B22)*Inputs!$D$5:$D$120*(((Inputs!$G$5:$G$120="moeda")+(Inputs!$G$5:$G$120="acoes"))*Inputs!$B$1+((Inputs!$G$5:$G$120&lt;&gt;"moeda")*(Inputs!$G$5:$G$120&lt;&gt;"acoes")))*INDEX(Inputs!$K$5:$AJ$120,0,MATCH(T$2,Inputs!$K$4:$AJ$4,0)))+SUMPRODUCT((Inputs!$E$5:$E$120=$B22)*Inputs!$F$5:$F$120*(((Inputs!$G$5:$G$120="moeda")+(Inputs!$G$5:$G$120="acoes"))*Inputs!$B$1+((Inputs!$G$5:$G$120&lt;&gt;"moeda")*(Inputs!$G$5:$G$120&lt;&gt;"acoes")))*INDEX(Inputs!$K$5:$AJ$120,0,MATCH(T$2,Inputs!$K$4:$AJ$4,0)))))</f>
        <v>36784</v>
      </c>
      <c r="U22" s="267">
        <f>IF(ISNA(MATCH(U$2,Inputs!$K$4:$AJ$4,0)),NA(),IF(SUMPRODUCT((Inputs!$A$5:$A$120=$B22)*ISNUMBER(INDEX(Inputs!$K$5:$AJ$120,0,MATCH(U$2,Inputs!$K$4:$AJ$4,0))))+SUMPRODUCT((Inputs!$C$5:$C$120=$B22)*ISNUMBER(INDEX(Inputs!$K$5:$AJ$120,0,MATCH(U$2,Inputs!$K$4:$AJ$4,0))))+SUMPRODUCT((Inputs!$E$5:$E$120=$B22)*ISNUMBER(INDEX(Inputs!$K$5:$AJ$120,0,MATCH(U$2,Inputs!$K$4:$AJ$4,0))))=0,NA(),SUMPRODUCT((Inputs!$A$5:$A$120=$B22)*Inputs!$B$5:$B$120*(((Inputs!$G$5:$G$120="moeda")+(Inputs!$G$5:$G$120="acoes"))*Inputs!$B$1+((Inputs!$G$5:$G$120&lt;&gt;"moeda")*(Inputs!$G$5:$G$120&lt;&gt;"acoes")))*INDEX(Inputs!$K$5:$AJ$120,0,MATCH(U$2,Inputs!$K$4:$AJ$4,0)))+SUMPRODUCT((Inputs!$C$5:$C$120=$B22)*Inputs!$D$5:$D$120*(((Inputs!$G$5:$G$120="moeda")+(Inputs!$G$5:$G$120="acoes"))*Inputs!$B$1+((Inputs!$G$5:$G$120&lt;&gt;"moeda")*(Inputs!$G$5:$G$120&lt;&gt;"acoes")))*INDEX(Inputs!$K$5:$AJ$120,0,MATCH(U$2,Inputs!$K$4:$AJ$4,0)))+SUMPRODUCT((Inputs!$E$5:$E$120=$B22)*Inputs!$F$5:$F$120*(((Inputs!$G$5:$G$120="moeda")+(Inputs!$G$5:$G$120="acoes"))*Inputs!$B$1+((Inputs!$G$5:$G$120&lt;&gt;"moeda")*(Inputs!$G$5:$G$120&lt;&gt;"acoes")))*INDEX(Inputs!$K$5:$AJ$120,0,MATCH(U$2,Inputs!$K$4:$AJ$4,0)))))</f>
        <v>37750</v>
      </c>
      <c r="V22" s="267">
        <f>IF(ISNA(MATCH(V$2,Inputs!$K$4:$AJ$4,0)),NA(),IF(SUMPRODUCT((Inputs!$A$5:$A$120=$B22)*ISNUMBER(INDEX(Inputs!$K$5:$AJ$120,0,MATCH(V$2,Inputs!$K$4:$AJ$4,0))))+SUMPRODUCT((Inputs!$C$5:$C$120=$B22)*ISNUMBER(INDEX(Inputs!$K$5:$AJ$120,0,MATCH(V$2,Inputs!$K$4:$AJ$4,0))))+SUMPRODUCT((Inputs!$E$5:$E$120=$B22)*ISNUMBER(INDEX(Inputs!$K$5:$AJ$120,0,MATCH(V$2,Inputs!$K$4:$AJ$4,0))))=0,NA(),SUMPRODUCT((Inputs!$A$5:$A$120=$B22)*Inputs!$B$5:$B$120*(((Inputs!$G$5:$G$120="moeda")+(Inputs!$G$5:$G$120="acoes"))*Inputs!$B$1+((Inputs!$G$5:$G$120&lt;&gt;"moeda")*(Inputs!$G$5:$G$120&lt;&gt;"acoes")))*INDEX(Inputs!$K$5:$AJ$120,0,MATCH(V$2,Inputs!$K$4:$AJ$4,0)))+SUMPRODUCT((Inputs!$C$5:$C$120=$B22)*Inputs!$D$5:$D$120*(((Inputs!$G$5:$G$120="moeda")+(Inputs!$G$5:$G$120="acoes"))*Inputs!$B$1+((Inputs!$G$5:$G$120&lt;&gt;"moeda")*(Inputs!$G$5:$G$120&lt;&gt;"acoes")))*INDEX(Inputs!$K$5:$AJ$120,0,MATCH(V$2,Inputs!$K$4:$AJ$4,0)))+SUMPRODUCT((Inputs!$E$5:$E$120=$B22)*Inputs!$F$5:$F$120*(((Inputs!$G$5:$G$120="moeda")+(Inputs!$G$5:$G$120="acoes"))*Inputs!$B$1+((Inputs!$G$5:$G$120&lt;&gt;"moeda")*(Inputs!$G$5:$G$120&lt;&gt;"acoes")))*INDEX(Inputs!$K$5:$AJ$120,0,MATCH(V$2,Inputs!$K$4:$AJ$4,0)))))</f>
        <v>38514</v>
      </c>
      <c r="W22" s="268">
        <f>V22</f>
        <v>38514</v>
      </c>
      <c r="X22" s="267">
        <f>IF(ISNA(MATCH(X$2,Inputs!$K$4:$AJ$4,0)),NA(),IF(SUMPRODUCT((Inputs!$A$5:$A$120=$B22)*ISNUMBER(INDEX(Inputs!$K$5:$AJ$120,0,MATCH(X$2,Inputs!$K$4:$AJ$4,0))))+SUMPRODUCT((Inputs!$C$5:$C$120=$B22)*ISNUMBER(INDEX(Inputs!$K$5:$AJ$120,0,MATCH(X$2,Inputs!$K$4:$AJ$4,0))))+SUMPRODUCT((Inputs!$E$5:$E$120=$B22)*ISNUMBER(INDEX(Inputs!$K$5:$AJ$120,0,MATCH(X$2,Inputs!$K$4:$AJ$4,0))))=0,NA(),SUMPRODUCT((Inputs!$A$5:$A$120=$B22)*Inputs!$B$5:$B$120*(((Inputs!$G$5:$G$120="moeda")+(Inputs!$G$5:$G$120="acoes"))*Inputs!$B$1+((Inputs!$G$5:$G$120&lt;&gt;"moeda")*(Inputs!$G$5:$G$120&lt;&gt;"acoes")))*INDEX(Inputs!$K$5:$AJ$120,0,MATCH(X$2,Inputs!$K$4:$AJ$4,0)))+SUMPRODUCT((Inputs!$C$5:$C$120=$B22)*Inputs!$D$5:$D$120*(((Inputs!$G$5:$G$120="moeda")+(Inputs!$G$5:$G$120="acoes"))*Inputs!$B$1+((Inputs!$G$5:$G$120&lt;&gt;"moeda")*(Inputs!$G$5:$G$120&lt;&gt;"acoes")))*INDEX(Inputs!$K$5:$AJ$120,0,MATCH(X$2,Inputs!$K$4:$AJ$4,0)))+SUMPRODUCT((Inputs!$E$5:$E$120=$B22)*Inputs!$F$5:$F$120*(((Inputs!$G$5:$G$120="moeda")+(Inputs!$G$5:$G$120="acoes"))*Inputs!$B$1+((Inputs!$G$5:$G$120&lt;&gt;"moeda")*(Inputs!$G$5:$G$120&lt;&gt;"acoes")))*INDEX(Inputs!$K$5:$AJ$120,0,MATCH(X$2,Inputs!$K$4:$AJ$4,0)))))</f>
        <v>39200</v>
      </c>
      <c r="Y22" s="267">
        <f>IF(ISNA(MATCH(Y$2,Inputs!$K$4:$AJ$4,0)),NA(),IF(SUMPRODUCT((Inputs!$A$5:$A$120=$B22)*ISNUMBER(INDEX(Inputs!$K$5:$AJ$120,0,MATCH(Y$2,Inputs!$K$4:$AJ$4,0))))+SUMPRODUCT((Inputs!$C$5:$C$120=$B22)*ISNUMBER(INDEX(Inputs!$K$5:$AJ$120,0,MATCH(Y$2,Inputs!$K$4:$AJ$4,0))))+SUMPRODUCT((Inputs!$E$5:$E$120=$B22)*ISNUMBER(INDEX(Inputs!$K$5:$AJ$120,0,MATCH(Y$2,Inputs!$K$4:$AJ$4,0))))=0,NA(),SUMPRODUCT((Inputs!$A$5:$A$120=$B22)*Inputs!$B$5:$B$120*(((Inputs!$G$5:$G$120="moeda")+(Inputs!$G$5:$G$120="acoes"))*Inputs!$B$1+((Inputs!$G$5:$G$120&lt;&gt;"moeda")*(Inputs!$G$5:$G$120&lt;&gt;"acoes")))*INDEX(Inputs!$K$5:$AJ$120,0,MATCH(Y$2,Inputs!$K$4:$AJ$4,0)))+SUMPRODUCT((Inputs!$C$5:$C$120=$B22)*Inputs!$D$5:$D$120*(((Inputs!$G$5:$G$120="moeda")+(Inputs!$G$5:$G$120="acoes"))*Inputs!$B$1+((Inputs!$G$5:$G$120&lt;&gt;"moeda")*(Inputs!$G$5:$G$120&lt;&gt;"acoes")))*INDEX(Inputs!$K$5:$AJ$120,0,MATCH(Y$2,Inputs!$K$4:$AJ$4,0)))+SUMPRODUCT((Inputs!$E$5:$E$120=$B22)*Inputs!$F$5:$F$120*(((Inputs!$G$5:$G$120="moeda")+(Inputs!$G$5:$G$120="acoes"))*Inputs!$B$1+((Inputs!$G$5:$G$120&lt;&gt;"moeda")*(Inputs!$G$5:$G$120&lt;&gt;"acoes")))*INDEX(Inputs!$K$5:$AJ$120,0,MATCH(Y$2,Inputs!$K$4:$AJ$4,0)))))</f>
        <v>39835</v>
      </c>
      <c r="Z22" s="267">
        <f>IF(ISNA(MATCH(Z$2,Inputs!$K$4:$AJ$4,0)),NA(),IF(SUMPRODUCT((Inputs!$A$5:$A$120=$B22)*ISNUMBER(INDEX(Inputs!$K$5:$AJ$120,0,MATCH(Z$2,Inputs!$K$4:$AJ$4,0))))+SUMPRODUCT((Inputs!$C$5:$C$120=$B22)*ISNUMBER(INDEX(Inputs!$K$5:$AJ$120,0,MATCH(Z$2,Inputs!$K$4:$AJ$4,0))))+SUMPRODUCT((Inputs!$E$5:$E$120=$B22)*ISNUMBER(INDEX(Inputs!$K$5:$AJ$120,0,MATCH(Z$2,Inputs!$K$4:$AJ$4,0))))=0,NA(),SUMPRODUCT((Inputs!$A$5:$A$120=$B22)*Inputs!$B$5:$B$120*(((Inputs!$G$5:$G$120="moeda")+(Inputs!$G$5:$G$120="acoes"))*Inputs!$B$1+((Inputs!$G$5:$G$120&lt;&gt;"moeda")*(Inputs!$G$5:$G$120&lt;&gt;"acoes")))*INDEX(Inputs!$K$5:$AJ$120,0,MATCH(Z$2,Inputs!$K$4:$AJ$4,0)))+SUMPRODUCT((Inputs!$C$5:$C$120=$B22)*Inputs!$D$5:$D$120*(((Inputs!$G$5:$G$120="moeda")+(Inputs!$G$5:$G$120="acoes"))*Inputs!$B$1+((Inputs!$G$5:$G$120&lt;&gt;"moeda")*(Inputs!$G$5:$G$120&lt;&gt;"acoes")))*INDEX(Inputs!$K$5:$AJ$120,0,MATCH(Z$2,Inputs!$K$4:$AJ$4,0)))+SUMPRODUCT((Inputs!$E$5:$E$120=$B22)*Inputs!$F$5:$F$120*(((Inputs!$G$5:$G$120="moeda")+(Inputs!$G$5:$G$120="acoes"))*Inputs!$B$1+((Inputs!$G$5:$G$120&lt;&gt;"moeda")*(Inputs!$G$5:$G$120&lt;&gt;"acoes")))*INDEX(Inputs!$K$5:$AJ$120,0,MATCH(Z$2,Inputs!$K$4:$AJ$4,0)))))</f>
        <v>40257</v>
      </c>
      <c r="AA22" s="267">
        <f>IF(ISNA(MATCH(AA$2,Inputs!$K$4:$AJ$4,0)),NA(),IF(SUMPRODUCT((Inputs!$A$5:$A$120=$B22)*ISNUMBER(INDEX(Inputs!$K$5:$AJ$120,0,MATCH(AA$2,Inputs!$K$4:$AJ$4,0))))+SUMPRODUCT((Inputs!$C$5:$C$120=$B22)*ISNUMBER(INDEX(Inputs!$K$5:$AJ$120,0,MATCH(AA$2,Inputs!$K$4:$AJ$4,0))))+SUMPRODUCT((Inputs!$E$5:$E$120=$B22)*ISNUMBER(INDEX(Inputs!$K$5:$AJ$120,0,MATCH(AA$2,Inputs!$K$4:$AJ$4,0))))=0,NA(),SUMPRODUCT((Inputs!$A$5:$A$120=$B22)*Inputs!$B$5:$B$120*(((Inputs!$G$5:$G$120="moeda")+(Inputs!$G$5:$G$120="acoes"))*Inputs!$B$1+((Inputs!$G$5:$G$120&lt;&gt;"moeda")*(Inputs!$G$5:$G$120&lt;&gt;"acoes")))*INDEX(Inputs!$K$5:$AJ$120,0,MATCH(AA$2,Inputs!$K$4:$AJ$4,0)))+SUMPRODUCT((Inputs!$C$5:$C$120=$B22)*Inputs!$D$5:$D$120*(((Inputs!$G$5:$G$120="moeda")+(Inputs!$G$5:$G$120="acoes"))*Inputs!$B$1+((Inputs!$G$5:$G$120&lt;&gt;"moeda")*(Inputs!$G$5:$G$120&lt;&gt;"acoes")))*INDEX(Inputs!$K$5:$AJ$120,0,MATCH(AA$2,Inputs!$K$4:$AJ$4,0)))+SUMPRODUCT((Inputs!$E$5:$E$120=$B22)*Inputs!$F$5:$F$120*(((Inputs!$G$5:$G$120="moeda")+(Inputs!$G$5:$G$120="acoes"))*Inputs!$B$1+((Inputs!$G$5:$G$120&lt;&gt;"moeda")*(Inputs!$G$5:$G$120&lt;&gt;"acoes")))*INDEX(Inputs!$K$5:$AJ$120,0,MATCH(AA$2,Inputs!$K$4:$AJ$4,0)))))</f>
        <v>40736</v>
      </c>
      <c r="AB22" s="268">
        <f>AA22</f>
        <v>40736</v>
      </c>
      <c r="AC22" s="267">
        <f>IF(ISNA(MATCH(AC$2,Inputs!$K$4:$AJ$4,0)),NA(),IF(SUMPRODUCT((Inputs!$A$5:$A$120=$B22)*ISNUMBER(INDEX(Inputs!$K$5:$AJ$120,0,MATCH(AC$2,Inputs!$K$4:$AJ$4,0))))+SUMPRODUCT((Inputs!$C$5:$C$120=$B22)*ISNUMBER(INDEX(Inputs!$K$5:$AJ$120,0,MATCH(AC$2,Inputs!$K$4:$AJ$4,0))))+SUMPRODUCT((Inputs!$E$5:$E$120=$B22)*ISNUMBER(INDEX(Inputs!$K$5:$AJ$120,0,MATCH(AC$2,Inputs!$K$4:$AJ$4,0))))=0,NA(),SUMPRODUCT((Inputs!$A$5:$A$120=$B22)*Inputs!$B$5:$B$120*(((Inputs!$G$5:$G$120="moeda")+(Inputs!$G$5:$G$120="acoes"))*Inputs!$B$1+((Inputs!$G$5:$G$120&lt;&gt;"moeda")*(Inputs!$G$5:$G$120&lt;&gt;"acoes")))*INDEX(Inputs!$K$5:$AJ$120,0,MATCH(AC$2,Inputs!$K$4:$AJ$4,0)))+SUMPRODUCT((Inputs!$C$5:$C$120=$B22)*Inputs!$D$5:$D$120*(((Inputs!$G$5:$G$120="moeda")+(Inputs!$G$5:$G$120="acoes"))*Inputs!$B$1+((Inputs!$G$5:$G$120&lt;&gt;"moeda")*(Inputs!$G$5:$G$120&lt;&gt;"acoes")))*INDEX(Inputs!$K$5:$AJ$120,0,MATCH(AC$2,Inputs!$K$4:$AJ$4,0)))+SUMPRODUCT((Inputs!$E$5:$E$120=$B22)*Inputs!$F$5:$F$120*(((Inputs!$G$5:$G$120="moeda")+(Inputs!$G$5:$G$120="acoes"))*Inputs!$B$1+((Inputs!$G$5:$G$120&lt;&gt;"moeda")*(Inputs!$G$5:$G$120&lt;&gt;"acoes")))*INDEX(Inputs!$K$5:$AJ$120,0,MATCH(AC$2,Inputs!$K$4:$AJ$4,0)))))</f>
        <v>41101</v>
      </c>
      <c r="AD22" s="267">
        <f>IF(ISNA(MATCH(AD$2,Inputs!$K$4:$AJ$4,0)),NA(),IF(SUMPRODUCT((Inputs!$A$5:$A$120=$B22)*ISNUMBER(INDEX(Inputs!$K$5:$AJ$120,0,MATCH(AD$2,Inputs!$K$4:$AJ$4,0))))+SUMPRODUCT((Inputs!$C$5:$C$120=$B22)*ISNUMBER(INDEX(Inputs!$K$5:$AJ$120,0,MATCH(AD$2,Inputs!$K$4:$AJ$4,0))))+SUMPRODUCT((Inputs!$E$5:$E$120=$B22)*ISNUMBER(INDEX(Inputs!$K$5:$AJ$120,0,MATCH(AD$2,Inputs!$K$4:$AJ$4,0))))=0,NA(),SUMPRODUCT((Inputs!$A$5:$A$120=$B22)*Inputs!$B$5:$B$120*(((Inputs!$G$5:$G$120="moeda")+(Inputs!$G$5:$G$120="acoes"))*Inputs!$B$1+((Inputs!$G$5:$G$120&lt;&gt;"moeda")*(Inputs!$G$5:$G$120&lt;&gt;"acoes")))*INDEX(Inputs!$K$5:$AJ$120,0,MATCH(AD$2,Inputs!$K$4:$AJ$4,0)))+SUMPRODUCT((Inputs!$C$5:$C$120=$B22)*Inputs!$D$5:$D$120*(((Inputs!$G$5:$G$120="moeda")+(Inputs!$G$5:$G$120="acoes"))*Inputs!$B$1+((Inputs!$G$5:$G$120&lt;&gt;"moeda")*(Inputs!$G$5:$G$120&lt;&gt;"acoes")))*INDEX(Inputs!$K$5:$AJ$120,0,MATCH(AD$2,Inputs!$K$4:$AJ$4,0)))+SUMPRODUCT((Inputs!$E$5:$E$120=$B22)*Inputs!$F$5:$F$120*(((Inputs!$G$5:$G$120="moeda")+(Inputs!$G$5:$G$120="acoes"))*Inputs!$B$1+((Inputs!$G$5:$G$120&lt;&gt;"moeda")*(Inputs!$G$5:$G$120&lt;&gt;"acoes")))*INDEX(Inputs!$K$5:$AJ$120,0,MATCH(AD$2,Inputs!$K$4:$AJ$4,0)))))</f>
        <v>41705</v>
      </c>
      <c r="AE22" s="267" t="e">
        <f>IF(ISNA(MATCH(AE$2,Inputs!$K$4:$AJ$4,0)),NA(),IF(SUMPRODUCT((Inputs!$A$5:$A$120=$B22)*ISNUMBER(INDEX(Inputs!$K$5:$AJ$120,0,MATCH(AE$2,Inputs!$K$4:$AJ$4,0))))+SUMPRODUCT((Inputs!$C$5:$C$120=$B22)*ISNUMBER(INDEX(Inputs!$K$5:$AJ$120,0,MATCH(AE$2,Inputs!$K$4:$AJ$4,0))))+SUMPRODUCT((Inputs!$E$5:$E$120=$B22)*ISNUMBER(INDEX(Inputs!$K$5:$AJ$120,0,MATCH(AE$2,Inputs!$K$4:$AJ$4,0))))=0,NA(),SUMPRODUCT((Inputs!$A$5:$A$120=$B22)*Inputs!$B$5:$B$120*(((Inputs!$G$5:$G$120="moeda")+(Inputs!$G$5:$G$120="acoes"))*Inputs!$B$1+((Inputs!$G$5:$G$120&lt;&gt;"moeda")*(Inputs!$G$5:$G$120&lt;&gt;"acoes")))*INDEX(Inputs!$K$5:$AJ$120,0,MATCH(AE$2,Inputs!$K$4:$AJ$4,0)))+SUMPRODUCT((Inputs!$C$5:$C$120=$B22)*Inputs!$D$5:$D$120*(((Inputs!$G$5:$G$120="moeda")+(Inputs!$G$5:$G$120="acoes"))*Inputs!$B$1+((Inputs!$G$5:$G$120&lt;&gt;"moeda")*(Inputs!$G$5:$G$120&lt;&gt;"acoes")))*INDEX(Inputs!$K$5:$AJ$120,0,MATCH(AE$2,Inputs!$K$4:$AJ$4,0)))+SUMPRODUCT((Inputs!$E$5:$E$120=$B22)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2" s="267" t="e">
        <f>IF(ISNA(MATCH(AF$2,Inputs!$K$4:$AJ$4,0)),NA(),IF(SUMPRODUCT((Inputs!$A$5:$A$120=$B22)*ISNUMBER(INDEX(Inputs!$K$5:$AJ$120,0,MATCH(AF$2,Inputs!$K$4:$AJ$4,0))))+SUMPRODUCT((Inputs!$C$5:$C$120=$B22)*ISNUMBER(INDEX(Inputs!$K$5:$AJ$120,0,MATCH(AF$2,Inputs!$K$4:$AJ$4,0))))+SUMPRODUCT((Inputs!$E$5:$E$120=$B22)*ISNUMBER(INDEX(Inputs!$K$5:$AJ$120,0,MATCH(AF$2,Inputs!$K$4:$AJ$4,0))))=0,NA(),SUMPRODUCT((Inputs!$A$5:$A$120=$B22)*Inputs!$B$5:$B$120*(((Inputs!$G$5:$G$120="moeda")+(Inputs!$G$5:$G$120="acoes"))*Inputs!$B$1+((Inputs!$G$5:$G$120&lt;&gt;"moeda")*(Inputs!$G$5:$G$120&lt;&gt;"acoes")))*INDEX(Inputs!$K$5:$AJ$120,0,MATCH(AF$2,Inputs!$K$4:$AJ$4,0)))+SUMPRODUCT((Inputs!$C$5:$C$120=$B22)*Inputs!$D$5:$D$120*(((Inputs!$G$5:$G$120="moeda")+(Inputs!$G$5:$G$120="acoes"))*Inputs!$B$1+((Inputs!$G$5:$G$120&lt;&gt;"moeda")*(Inputs!$G$5:$G$120&lt;&gt;"acoes")))*INDEX(Inputs!$K$5:$AJ$120,0,MATCH(AF$2,Inputs!$K$4:$AJ$4,0)))+SUMPRODUCT((Inputs!$E$5:$E$120=$B22)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2" s="268" t="e">
        <f>AF22</f>
        <v>#N/A</v>
      </c>
      <c r="AH22" s="267">
        <f>IF(ISNA(MATCH(AH$2,Inputs!$K$4:$AJ$4,0)),NA(),IF(SUMPRODUCT((Inputs!$A$5:$A$120=$B22)*ISNUMBER(INDEX(Inputs!$K$5:$AJ$120,0,MATCH(AH$2,Inputs!$K$4:$AJ$4,0))))+SUMPRODUCT((Inputs!$C$5:$C$120=$B22)*ISNUMBER(INDEX(Inputs!$K$5:$AJ$120,0,MATCH(AH$2,Inputs!$K$4:$AJ$4,0))))+SUMPRODUCT((Inputs!$E$5:$E$120=$B22)*ISNUMBER(INDEX(Inputs!$K$5:$AJ$120,0,MATCH(AH$2,Inputs!$K$4:$AJ$4,0))))=0,NA(),SUMPRODUCT((Inputs!$A$5:$A$120=$B22)*Inputs!$B$5:$B$120*(((Inputs!$G$5:$G$120="moeda")+(Inputs!$G$5:$G$120="acoes"))*Inputs!$B$1+((Inputs!$G$5:$G$120&lt;&gt;"moeda")*(Inputs!$G$5:$G$120&lt;&gt;"acoes")))*INDEX(Inputs!$K$5:$AJ$120,0,MATCH(AH$2,Inputs!$K$4:$AJ$4,0)))+SUMPRODUCT((Inputs!$C$5:$C$120=$B22)*Inputs!$D$5:$D$120*(((Inputs!$G$5:$G$120="moeda")+(Inputs!$G$5:$G$120="acoes"))*Inputs!$B$1+((Inputs!$G$5:$G$120&lt;&gt;"moeda")*(Inputs!$G$5:$G$120&lt;&gt;"acoes")))*INDEX(Inputs!$K$5:$AJ$120,0,MATCH(AH$2,Inputs!$K$4:$AJ$4,0)))+SUMPRODUCT((Inputs!$E$5:$E$120=$B22)*Inputs!$F$5:$F$120*(((Inputs!$G$5:$G$120="moeda")+(Inputs!$G$5:$G$120="acoes"))*Inputs!$B$1+((Inputs!$G$5:$G$120&lt;&gt;"moeda")*(Inputs!$G$5:$G$120&lt;&gt;"acoes")))*INDEX(Inputs!$K$5:$AJ$120,0,MATCH(AH$2,Inputs!$K$4:$AJ$4,0)))))</f>
        <v>29899</v>
      </c>
      <c r="AI22" s="267">
        <f>IF(ISNA(MATCH(AI$2,Inputs!$K$4:$AJ$4,0)),NA(),IF(SUMPRODUCT((Inputs!$A$5:$A$120=$B22)*ISNUMBER(INDEX(Inputs!$K$5:$AJ$120,0,MATCH(AI$2,Inputs!$K$4:$AJ$4,0))))+SUMPRODUCT((Inputs!$C$5:$C$120=$B22)*ISNUMBER(INDEX(Inputs!$K$5:$AJ$120,0,MATCH(AI$2,Inputs!$K$4:$AJ$4,0))))+SUMPRODUCT((Inputs!$E$5:$E$120=$B22)*ISNUMBER(INDEX(Inputs!$K$5:$AJ$120,0,MATCH(AI$2,Inputs!$K$4:$AJ$4,0))))=0,NA(),SUMPRODUCT((Inputs!$A$5:$A$120=$B22)*Inputs!$B$5:$B$120*(((Inputs!$G$5:$G$120="moeda")+(Inputs!$G$5:$G$120="acoes"))*Inputs!$B$1+((Inputs!$G$5:$G$120&lt;&gt;"moeda")*(Inputs!$G$5:$G$120&lt;&gt;"acoes")))*INDEX(Inputs!$K$5:$AJ$120,0,MATCH(AI$2,Inputs!$K$4:$AJ$4,0)))+SUMPRODUCT((Inputs!$C$5:$C$120=$B22)*Inputs!$D$5:$D$120*(((Inputs!$G$5:$G$120="moeda")+(Inputs!$G$5:$G$120="acoes"))*Inputs!$B$1+((Inputs!$G$5:$G$120&lt;&gt;"moeda")*(Inputs!$G$5:$G$120&lt;&gt;"acoes")))*INDEX(Inputs!$K$5:$AJ$120,0,MATCH(AI$2,Inputs!$K$4:$AJ$4,0)))+SUMPRODUCT((Inputs!$E$5:$E$120=$B22)*Inputs!$F$5:$F$120*(((Inputs!$G$5:$G$120="moeda")+(Inputs!$G$5:$G$120="acoes"))*Inputs!$B$1+((Inputs!$G$5:$G$120&lt;&gt;"moeda")*(Inputs!$G$5:$G$120&lt;&gt;"acoes")))*INDEX(Inputs!$K$5:$AJ$120,0,MATCH(AI$2,Inputs!$K$4:$AJ$4,0)))))</f>
        <v>29936</v>
      </c>
      <c r="AJ22" s="267">
        <f>IF(ISNA(MATCH(AJ$2,Inputs!$K$4:$AJ$4,0)),NA(),IF(SUMPRODUCT((Inputs!$A$5:$A$120=$B22)*ISNUMBER(INDEX(Inputs!$K$5:$AJ$120,0,MATCH(AJ$2,Inputs!$K$4:$AJ$4,0))))+SUMPRODUCT((Inputs!$C$5:$C$120=$B22)*ISNUMBER(INDEX(Inputs!$K$5:$AJ$120,0,MATCH(AJ$2,Inputs!$K$4:$AJ$4,0))))+SUMPRODUCT((Inputs!$E$5:$E$120=$B22)*ISNUMBER(INDEX(Inputs!$K$5:$AJ$120,0,MATCH(AJ$2,Inputs!$K$4:$AJ$4,0))))=0,NA(),SUMPRODUCT((Inputs!$A$5:$A$120=$B22)*Inputs!$B$5:$B$120*(((Inputs!$G$5:$G$120="moeda")+(Inputs!$G$5:$G$120="acoes"))*Inputs!$B$1+((Inputs!$G$5:$G$120&lt;&gt;"moeda")*(Inputs!$G$5:$G$120&lt;&gt;"acoes")))*INDEX(Inputs!$K$5:$AJ$120,0,MATCH(AJ$2,Inputs!$K$4:$AJ$4,0)))+SUMPRODUCT((Inputs!$C$5:$C$120=$B22)*Inputs!$D$5:$D$120*(((Inputs!$G$5:$G$120="moeda")+(Inputs!$G$5:$G$120="acoes"))*Inputs!$B$1+((Inputs!$G$5:$G$120&lt;&gt;"moeda")*(Inputs!$G$5:$G$120&lt;&gt;"acoes")))*INDEX(Inputs!$K$5:$AJ$120,0,MATCH(AJ$2,Inputs!$K$4:$AJ$4,0)))+SUMPRODUCT((Inputs!$E$5:$E$120=$B22)*Inputs!$F$5:$F$120*(((Inputs!$G$5:$G$120="moeda")+(Inputs!$G$5:$G$120="acoes"))*Inputs!$B$1+((Inputs!$G$5:$G$120&lt;&gt;"moeda")*(Inputs!$G$5:$G$120&lt;&gt;"acoes")))*INDEX(Inputs!$K$5:$AJ$120,0,MATCH(AJ$2,Inputs!$K$4:$AJ$4,0)))))</f>
        <v>29911</v>
      </c>
      <c r="AK22" s="267">
        <f>IF(ISNA(MATCH(AK$2,Inputs!$K$4:$AJ$4,0)),NA(),IF(SUMPRODUCT((Inputs!$A$5:$A$120=$B22)*ISNUMBER(INDEX(Inputs!$K$5:$AJ$120,0,MATCH(AK$2,Inputs!$K$4:$AJ$4,0))))+SUMPRODUCT((Inputs!$C$5:$C$120=$B22)*ISNUMBER(INDEX(Inputs!$K$5:$AJ$120,0,MATCH(AK$2,Inputs!$K$4:$AJ$4,0))))+SUMPRODUCT((Inputs!$E$5:$E$120=$B22)*ISNUMBER(INDEX(Inputs!$K$5:$AJ$120,0,MATCH(AK$2,Inputs!$K$4:$AJ$4,0))))=0,NA(),SUMPRODUCT((Inputs!$A$5:$A$120=$B22)*Inputs!$B$5:$B$120*(((Inputs!$G$5:$G$120="moeda")+(Inputs!$G$5:$G$120="acoes"))*Inputs!$B$1+((Inputs!$G$5:$G$120&lt;&gt;"moeda")*(Inputs!$G$5:$G$120&lt;&gt;"acoes")))*INDEX(Inputs!$K$5:$AJ$120,0,MATCH(AK$2,Inputs!$K$4:$AJ$4,0)))+SUMPRODUCT((Inputs!$C$5:$C$120=$B22)*Inputs!$D$5:$D$120*(((Inputs!$G$5:$G$120="moeda")+(Inputs!$G$5:$G$120="acoes"))*Inputs!$B$1+((Inputs!$G$5:$G$120&lt;&gt;"moeda")*(Inputs!$G$5:$G$120&lt;&gt;"acoes")))*INDEX(Inputs!$K$5:$AJ$120,0,MATCH(AK$2,Inputs!$K$4:$AJ$4,0)))+SUMPRODUCT((Inputs!$E$5:$E$120=$B22)*Inputs!$F$5:$F$120*(((Inputs!$G$5:$G$120="moeda")+(Inputs!$G$5:$G$120="acoes"))*Inputs!$B$1+((Inputs!$G$5:$G$120&lt;&gt;"moeda")*(Inputs!$G$5:$G$120&lt;&gt;"acoes")))*INDEX(Inputs!$K$5:$AJ$120,0,MATCH(AK$2,Inputs!$K$4:$AJ$4,0)))))</f>
        <v>29818</v>
      </c>
      <c r="AL22" s="268">
        <f>AK22</f>
        <v>29818</v>
      </c>
    </row>
    <row r="23" ht="12.75" customHeight="1" s="255">
      <c r="B23" s="265" t="n">
        <v>19</v>
      </c>
      <c r="C23" s="270" t="inlineStr">
        <is>
          <t>Right-of-use-assets</t>
        </is>
      </c>
      <c r="D23" s="267">
        <f>IF(ISNA(MATCH(D$2,Inputs!$K$4:$AJ$4,0)),NA(),IF(SUMPRODUCT((Inputs!$A$5:$A$120=$B23)*ISNUMBER(INDEX(Inputs!$K$5:$AJ$120,0,MATCH(D$2,Inputs!$K$4:$AJ$4,0))))+SUMPRODUCT((Inputs!$C$5:$C$120=$B23)*ISNUMBER(INDEX(Inputs!$K$5:$AJ$120,0,MATCH(D$2,Inputs!$K$4:$AJ$4,0))))+SUMPRODUCT((Inputs!$E$5:$E$120=$B23)*ISNUMBER(INDEX(Inputs!$K$5:$AJ$120,0,MATCH(D$2,Inputs!$K$4:$AJ$4,0))))=0,NA(),SUMPRODUCT((Inputs!$A$5:$A$120=$B23)*Inputs!$B$5:$B$120*(((Inputs!$G$5:$G$120="moeda")+(Inputs!$G$5:$G$120="acoes"))*Inputs!$B$1+((Inputs!$G$5:$G$120&lt;&gt;"moeda")*(Inputs!$G$5:$G$120&lt;&gt;"acoes")))*INDEX(Inputs!$K$5:$AJ$120,0,MATCH(D$2,Inputs!$K$4:$AJ$4,0)))+SUMPRODUCT((Inputs!$C$5:$C$120=$B23)*Inputs!$D$5:$D$120*(((Inputs!$G$5:$G$120="moeda")+(Inputs!$G$5:$G$120="acoes"))*Inputs!$B$1+((Inputs!$G$5:$G$120&lt;&gt;"moeda")*(Inputs!$G$5:$G$120&lt;&gt;"acoes")))*INDEX(Inputs!$K$5:$AJ$120,0,MATCH(D$2,Inputs!$K$4:$AJ$4,0)))+SUMPRODUCT((Inputs!$E$5:$E$120=$B23)*Inputs!$F$5:$F$120*(((Inputs!$G$5:$G$120="moeda")+(Inputs!$G$5:$G$120="acoes"))*Inputs!$B$1+((Inputs!$G$5:$G$120&lt;&gt;"moeda")*(Inputs!$G$5:$G$120&lt;&gt;"acoes")))*INDEX(Inputs!$K$5:$AJ$120,0,MATCH(D$2,Inputs!$K$4:$AJ$4,0)))))</f>
        <v>0</v>
      </c>
      <c r="E23" s="267">
        <f>IF(ISNA(MATCH(E$2,Inputs!$K$4:$AJ$4,0)),NA(),IF(SUMPRODUCT((Inputs!$A$5:$A$120=$B23)*ISNUMBER(INDEX(Inputs!$K$5:$AJ$120,0,MATCH(E$2,Inputs!$K$4:$AJ$4,0))))+SUMPRODUCT((Inputs!$C$5:$C$120=$B23)*ISNUMBER(INDEX(Inputs!$K$5:$AJ$120,0,MATCH(E$2,Inputs!$K$4:$AJ$4,0))))+SUMPRODUCT((Inputs!$E$5:$E$120=$B23)*ISNUMBER(INDEX(Inputs!$K$5:$AJ$120,0,MATCH(E$2,Inputs!$K$4:$AJ$4,0))))=0,NA(),SUMPRODUCT((Inputs!$A$5:$A$120=$B23)*Inputs!$B$5:$B$120*(((Inputs!$G$5:$G$120="moeda")+(Inputs!$G$5:$G$120="acoes"))*Inputs!$B$1+((Inputs!$G$5:$G$120&lt;&gt;"moeda")*(Inputs!$G$5:$G$120&lt;&gt;"acoes")))*INDEX(Inputs!$K$5:$AJ$120,0,MATCH(E$2,Inputs!$K$4:$AJ$4,0)))+SUMPRODUCT((Inputs!$C$5:$C$120=$B23)*Inputs!$D$5:$D$120*(((Inputs!$G$5:$G$120="moeda")+(Inputs!$G$5:$G$120="acoes"))*Inputs!$B$1+((Inputs!$G$5:$G$120&lt;&gt;"moeda")*(Inputs!$G$5:$G$120&lt;&gt;"acoes")))*INDEX(Inputs!$K$5:$AJ$120,0,MATCH(E$2,Inputs!$K$4:$AJ$4,0)))+SUMPRODUCT((Inputs!$E$5:$E$120=$B23)*Inputs!$F$5:$F$120*(((Inputs!$G$5:$G$120="moeda")+(Inputs!$G$5:$G$120="acoes"))*Inputs!$B$1+((Inputs!$G$5:$G$120&lt;&gt;"moeda")*(Inputs!$G$5:$G$120&lt;&gt;"acoes")))*INDEX(Inputs!$K$5:$AJ$120,0,MATCH(E$2,Inputs!$K$4:$AJ$4,0)))))</f>
        <v>0</v>
      </c>
      <c r="F23" s="267">
        <f>IF(ISNA(MATCH(F$2,Inputs!$K$4:$AJ$4,0)),NA(),IF(SUMPRODUCT((Inputs!$A$5:$A$120=$B23)*ISNUMBER(INDEX(Inputs!$K$5:$AJ$120,0,MATCH(F$2,Inputs!$K$4:$AJ$4,0))))+SUMPRODUCT((Inputs!$C$5:$C$120=$B23)*ISNUMBER(INDEX(Inputs!$K$5:$AJ$120,0,MATCH(F$2,Inputs!$K$4:$AJ$4,0))))+SUMPRODUCT((Inputs!$E$5:$E$120=$B23)*ISNUMBER(INDEX(Inputs!$K$5:$AJ$120,0,MATCH(F$2,Inputs!$K$4:$AJ$4,0))))=0,NA(),SUMPRODUCT((Inputs!$A$5:$A$120=$B23)*Inputs!$B$5:$B$120*(((Inputs!$G$5:$G$120="moeda")+(Inputs!$G$5:$G$120="acoes"))*Inputs!$B$1+((Inputs!$G$5:$G$120&lt;&gt;"moeda")*(Inputs!$G$5:$G$120&lt;&gt;"acoes")))*INDEX(Inputs!$K$5:$AJ$120,0,MATCH(F$2,Inputs!$K$4:$AJ$4,0)))+SUMPRODUCT((Inputs!$C$5:$C$120=$B23)*Inputs!$D$5:$D$120*(((Inputs!$G$5:$G$120="moeda")+(Inputs!$G$5:$G$120="acoes"))*Inputs!$B$1+((Inputs!$G$5:$G$120&lt;&gt;"moeda")*(Inputs!$G$5:$G$120&lt;&gt;"acoes")))*INDEX(Inputs!$K$5:$AJ$120,0,MATCH(F$2,Inputs!$K$4:$AJ$4,0)))+SUMPRODUCT((Inputs!$E$5:$E$120=$B23)*Inputs!$F$5:$F$120*(((Inputs!$G$5:$G$120="moeda")+(Inputs!$G$5:$G$120="acoes"))*Inputs!$B$1+((Inputs!$G$5:$G$120&lt;&gt;"moeda")*(Inputs!$G$5:$G$120&lt;&gt;"acoes")))*INDEX(Inputs!$K$5:$AJ$120,0,MATCH(F$2,Inputs!$K$4:$AJ$4,0)))))</f>
        <v>0</v>
      </c>
      <c r="G23" s="267">
        <f>IF(ISNA(MATCH(G$2,Inputs!$K$4:$AJ$4,0)),NA(),IF(SUMPRODUCT((Inputs!$A$5:$A$120=$B23)*ISNUMBER(INDEX(Inputs!$K$5:$AJ$120,0,MATCH(G$2,Inputs!$K$4:$AJ$4,0))))+SUMPRODUCT((Inputs!$C$5:$C$120=$B23)*ISNUMBER(INDEX(Inputs!$K$5:$AJ$120,0,MATCH(G$2,Inputs!$K$4:$AJ$4,0))))+SUMPRODUCT((Inputs!$E$5:$E$120=$B23)*ISNUMBER(INDEX(Inputs!$K$5:$AJ$120,0,MATCH(G$2,Inputs!$K$4:$AJ$4,0))))=0,NA(),SUMPRODUCT((Inputs!$A$5:$A$120=$B23)*Inputs!$B$5:$B$120*(((Inputs!$G$5:$G$120="moeda")+(Inputs!$G$5:$G$120="acoes"))*Inputs!$B$1+((Inputs!$G$5:$G$120&lt;&gt;"moeda")*(Inputs!$G$5:$G$120&lt;&gt;"acoes")))*INDEX(Inputs!$K$5:$AJ$120,0,MATCH(G$2,Inputs!$K$4:$AJ$4,0)))+SUMPRODUCT((Inputs!$C$5:$C$120=$B23)*Inputs!$D$5:$D$120*(((Inputs!$G$5:$G$120="moeda")+(Inputs!$G$5:$G$120="acoes"))*Inputs!$B$1+((Inputs!$G$5:$G$120&lt;&gt;"moeda")*(Inputs!$G$5:$G$120&lt;&gt;"acoes")))*INDEX(Inputs!$K$5:$AJ$120,0,MATCH(G$2,Inputs!$K$4:$AJ$4,0)))+SUMPRODUCT((Inputs!$E$5:$E$120=$B23)*Inputs!$F$5:$F$120*(((Inputs!$G$5:$G$120="moeda")+(Inputs!$G$5:$G$120="acoes"))*Inputs!$B$1+((Inputs!$G$5:$G$120&lt;&gt;"moeda")*(Inputs!$G$5:$G$120&lt;&gt;"acoes")))*INDEX(Inputs!$K$5:$AJ$120,0,MATCH(G$2,Inputs!$K$4:$AJ$4,0)))))</f>
        <v>0</v>
      </c>
      <c r="H23" s="268">
        <f>G23</f>
        <v>0</v>
      </c>
      <c r="I23" s="267">
        <f>IF(ISNA(MATCH(I$2,Inputs!$K$4:$AJ$4,0)),NA(),IF(SUMPRODUCT((Inputs!$A$5:$A$120=$B23)*ISNUMBER(INDEX(Inputs!$K$5:$AJ$120,0,MATCH(I$2,Inputs!$K$4:$AJ$4,0))))+SUMPRODUCT((Inputs!$C$5:$C$120=$B23)*ISNUMBER(INDEX(Inputs!$K$5:$AJ$120,0,MATCH(I$2,Inputs!$K$4:$AJ$4,0))))+SUMPRODUCT((Inputs!$E$5:$E$120=$B23)*ISNUMBER(INDEX(Inputs!$K$5:$AJ$120,0,MATCH(I$2,Inputs!$K$4:$AJ$4,0))))=0,NA(),SUMPRODUCT((Inputs!$A$5:$A$120=$B23)*Inputs!$B$5:$B$120*(((Inputs!$G$5:$G$120="moeda")+(Inputs!$G$5:$G$120="acoes"))*Inputs!$B$1+((Inputs!$G$5:$G$120&lt;&gt;"moeda")*(Inputs!$G$5:$G$120&lt;&gt;"acoes")))*INDEX(Inputs!$K$5:$AJ$120,0,MATCH(I$2,Inputs!$K$4:$AJ$4,0)))+SUMPRODUCT((Inputs!$C$5:$C$120=$B23)*Inputs!$D$5:$D$120*(((Inputs!$G$5:$G$120="moeda")+(Inputs!$G$5:$G$120="acoes"))*Inputs!$B$1+((Inputs!$G$5:$G$120&lt;&gt;"moeda")*(Inputs!$G$5:$G$120&lt;&gt;"acoes")))*INDEX(Inputs!$K$5:$AJ$120,0,MATCH(I$2,Inputs!$K$4:$AJ$4,0)))+SUMPRODUCT((Inputs!$E$5:$E$120=$B23)*Inputs!$F$5:$F$120*(((Inputs!$G$5:$G$120="moeda")+(Inputs!$G$5:$G$120="acoes"))*Inputs!$B$1+((Inputs!$G$5:$G$120&lt;&gt;"moeda")*(Inputs!$G$5:$G$120&lt;&gt;"acoes")))*INDEX(Inputs!$K$5:$AJ$120,0,MATCH(I$2,Inputs!$K$4:$AJ$4,0)))))</f>
        <v>0</v>
      </c>
      <c r="J23" s="267">
        <f>IF(ISNA(MATCH(J$2,Inputs!$K$4:$AJ$4,0)),NA(),IF(SUMPRODUCT((Inputs!$A$5:$A$120=$B23)*ISNUMBER(INDEX(Inputs!$K$5:$AJ$120,0,MATCH(J$2,Inputs!$K$4:$AJ$4,0))))+SUMPRODUCT((Inputs!$C$5:$C$120=$B23)*ISNUMBER(INDEX(Inputs!$K$5:$AJ$120,0,MATCH(J$2,Inputs!$K$4:$AJ$4,0))))+SUMPRODUCT((Inputs!$E$5:$E$120=$B23)*ISNUMBER(INDEX(Inputs!$K$5:$AJ$120,0,MATCH(J$2,Inputs!$K$4:$AJ$4,0))))=0,NA(),SUMPRODUCT((Inputs!$A$5:$A$120=$B23)*Inputs!$B$5:$B$120*(((Inputs!$G$5:$G$120="moeda")+(Inputs!$G$5:$G$120="acoes"))*Inputs!$B$1+((Inputs!$G$5:$G$120&lt;&gt;"moeda")*(Inputs!$G$5:$G$120&lt;&gt;"acoes")))*INDEX(Inputs!$K$5:$AJ$120,0,MATCH(J$2,Inputs!$K$4:$AJ$4,0)))+SUMPRODUCT((Inputs!$C$5:$C$120=$B23)*Inputs!$D$5:$D$120*(((Inputs!$G$5:$G$120="moeda")+(Inputs!$G$5:$G$120="acoes"))*Inputs!$B$1+((Inputs!$G$5:$G$120&lt;&gt;"moeda")*(Inputs!$G$5:$G$120&lt;&gt;"acoes")))*INDEX(Inputs!$K$5:$AJ$120,0,MATCH(J$2,Inputs!$K$4:$AJ$4,0)))+SUMPRODUCT((Inputs!$E$5:$E$120=$B23)*Inputs!$F$5:$F$120*(((Inputs!$G$5:$G$120="moeda")+(Inputs!$G$5:$G$120="acoes"))*Inputs!$B$1+((Inputs!$G$5:$G$120&lt;&gt;"moeda")*(Inputs!$G$5:$G$120&lt;&gt;"acoes")))*INDEX(Inputs!$K$5:$AJ$120,0,MATCH(J$2,Inputs!$K$4:$AJ$4,0)))))</f>
        <v>0</v>
      </c>
      <c r="K23" s="267">
        <f>IF(ISNA(MATCH(K$2,Inputs!$K$4:$AJ$4,0)),NA(),IF(SUMPRODUCT((Inputs!$A$5:$A$120=$B23)*ISNUMBER(INDEX(Inputs!$K$5:$AJ$120,0,MATCH(K$2,Inputs!$K$4:$AJ$4,0))))+SUMPRODUCT((Inputs!$C$5:$C$120=$B23)*ISNUMBER(INDEX(Inputs!$K$5:$AJ$120,0,MATCH(K$2,Inputs!$K$4:$AJ$4,0))))+SUMPRODUCT((Inputs!$E$5:$E$120=$B23)*ISNUMBER(INDEX(Inputs!$K$5:$AJ$120,0,MATCH(K$2,Inputs!$K$4:$AJ$4,0))))=0,NA(),SUMPRODUCT((Inputs!$A$5:$A$120=$B23)*Inputs!$B$5:$B$120*(((Inputs!$G$5:$G$120="moeda")+(Inputs!$G$5:$G$120="acoes"))*Inputs!$B$1+((Inputs!$G$5:$G$120&lt;&gt;"moeda")*(Inputs!$G$5:$G$120&lt;&gt;"acoes")))*INDEX(Inputs!$K$5:$AJ$120,0,MATCH(K$2,Inputs!$K$4:$AJ$4,0)))+SUMPRODUCT((Inputs!$C$5:$C$120=$B23)*Inputs!$D$5:$D$120*(((Inputs!$G$5:$G$120="moeda")+(Inputs!$G$5:$G$120="acoes"))*Inputs!$B$1+((Inputs!$G$5:$G$120&lt;&gt;"moeda")*(Inputs!$G$5:$G$120&lt;&gt;"acoes")))*INDEX(Inputs!$K$5:$AJ$120,0,MATCH(K$2,Inputs!$K$4:$AJ$4,0)))+SUMPRODUCT((Inputs!$E$5:$E$120=$B23)*Inputs!$F$5:$F$120*(((Inputs!$G$5:$G$120="moeda")+(Inputs!$G$5:$G$120="acoes"))*Inputs!$B$1+((Inputs!$G$5:$G$120&lt;&gt;"moeda")*(Inputs!$G$5:$G$120&lt;&gt;"acoes")))*INDEX(Inputs!$K$5:$AJ$120,0,MATCH(K$2,Inputs!$K$4:$AJ$4,0)))))</f>
        <v>0</v>
      </c>
      <c r="L23" s="267">
        <f>IF(ISNA(MATCH(L$2,Inputs!$K$4:$AJ$4,0)),NA(),IF(SUMPRODUCT((Inputs!$A$5:$A$120=$B23)*ISNUMBER(INDEX(Inputs!$K$5:$AJ$120,0,MATCH(L$2,Inputs!$K$4:$AJ$4,0))))+SUMPRODUCT((Inputs!$C$5:$C$120=$B23)*ISNUMBER(INDEX(Inputs!$K$5:$AJ$120,0,MATCH(L$2,Inputs!$K$4:$AJ$4,0))))+SUMPRODUCT((Inputs!$E$5:$E$120=$B23)*ISNUMBER(INDEX(Inputs!$K$5:$AJ$120,0,MATCH(L$2,Inputs!$K$4:$AJ$4,0))))=0,NA(),SUMPRODUCT((Inputs!$A$5:$A$120=$B23)*Inputs!$B$5:$B$120*(((Inputs!$G$5:$G$120="moeda")+(Inputs!$G$5:$G$120="acoes"))*Inputs!$B$1+((Inputs!$G$5:$G$120&lt;&gt;"moeda")*(Inputs!$G$5:$G$120&lt;&gt;"acoes")))*INDEX(Inputs!$K$5:$AJ$120,0,MATCH(L$2,Inputs!$K$4:$AJ$4,0)))+SUMPRODUCT((Inputs!$C$5:$C$120=$B23)*Inputs!$D$5:$D$120*(((Inputs!$G$5:$G$120="moeda")+(Inputs!$G$5:$G$120="acoes"))*Inputs!$B$1+((Inputs!$G$5:$G$120&lt;&gt;"moeda")*(Inputs!$G$5:$G$120&lt;&gt;"acoes")))*INDEX(Inputs!$K$5:$AJ$120,0,MATCH(L$2,Inputs!$K$4:$AJ$4,0)))+SUMPRODUCT((Inputs!$E$5:$E$120=$B23)*Inputs!$F$5:$F$120*(((Inputs!$G$5:$G$120="moeda")+(Inputs!$G$5:$G$120="acoes"))*Inputs!$B$1+((Inputs!$G$5:$G$120&lt;&gt;"moeda")*(Inputs!$G$5:$G$120&lt;&gt;"acoes")))*INDEX(Inputs!$K$5:$AJ$120,0,MATCH(L$2,Inputs!$K$4:$AJ$4,0)))))</f>
        <v>0</v>
      </c>
      <c r="M23" s="268">
        <f>L23</f>
        <v>0</v>
      </c>
      <c r="N23" s="267">
        <f>IF(ISNA(MATCH(N$2,Inputs!$K$4:$AJ$4,0)),NA(),IF(SUMPRODUCT((Inputs!$A$5:$A$120=$B23)*ISNUMBER(INDEX(Inputs!$K$5:$AJ$120,0,MATCH(N$2,Inputs!$K$4:$AJ$4,0))))+SUMPRODUCT((Inputs!$C$5:$C$120=$B23)*ISNUMBER(INDEX(Inputs!$K$5:$AJ$120,0,MATCH(N$2,Inputs!$K$4:$AJ$4,0))))+SUMPRODUCT((Inputs!$E$5:$E$120=$B23)*ISNUMBER(INDEX(Inputs!$K$5:$AJ$120,0,MATCH(N$2,Inputs!$K$4:$AJ$4,0))))=0,NA(),SUMPRODUCT((Inputs!$A$5:$A$120=$B23)*Inputs!$B$5:$B$120*(((Inputs!$G$5:$G$120="moeda")+(Inputs!$G$5:$G$120="acoes"))*Inputs!$B$1+((Inputs!$G$5:$G$120&lt;&gt;"moeda")*(Inputs!$G$5:$G$120&lt;&gt;"acoes")))*INDEX(Inputs!$K$5:$AJ$120,0,MATCH(N$2,Inputs!$K$4:$AJ$4,0)))+SUMPRODUCT((Inputs!$C$5:$C$120=$B23)*Inputs!$D$5:$D$120*(((Inputs!$G$5:$G$120="moeda")+(Inputs!$G$5:$G$120="acoes"))*Inputs!$B$1+((Inputs!$G$5:$G$120&lt;&gt;"moeda")*(Inputs!$G$5:$G$120&lt;&gt;"acoes")))*INDEX(Inputs!$K$5:$AJ$120,0,MATCH(N$2,Inputs!$K$4:$AJ$4,0)))+SUMPRODUCT((Inputs!$E$5:$E$120=$B23)*Inputs!$F$5:$F$120*(((Inputs!$G$5:$G$120="moeda")+(Inputs!$G$5:$G$120="acoes"))*Inputs!$B$1+((Inputs!$G$5:$G$120&lt;&gt;"moeda")*(Inputs!$G$5:$G$120&lt;&gt;"acoes")))*INDEX(Inputs!$K$5:$AJ$120,0,MATCH(N$2,Inputs!$K$4:$AJ$4,0)))))</f>
        <v>0</v>
      </c>
      <c r="O23" s="267">
        <f>IF(ISNA(MATCH(O$2,Inputs!$K$4:$AJ$4,0)),NA(),IF(SUMPRODUCT((Inputs!$A$5:$A$120=$B23)*ISNUMBER(INDEX(Inputs!$K$5:$AJ$120,0,MATCH(O$2,Inputs!$K$4:$AJ$4,0))))+SUMPRODUCT((Inputs!$C$5:$C$120=$B23)*ISNUMBER(INDEX(Inputs!$K$5:$AJ$120,0,MATCH(O$2,Inputs!$K$4:$AJ$4,0))))+SUMPRODUCT((Inputs!$E$5:$E$120=$B23)*ISNUMBER(INDEX(Inputs!$K$5:$AJ$120,0,MATCH(O$2,Inputs!$K$4:$AJ$4,0))))=0,NA(),SUMPRODUCT((Inputs!$A$5:$A$120=$B23)*Inputs!$B$5:$B$120*(((Inputs!$G$5:$G$120="moeda")+(Inputs!$G$5:$G$120="acoes"))*Inputs!$B$1+((Inputs!$G$5:$G$120&lt;&gt;"moeda")*(Inputs!$G$5:$G$120&lt;&gt;"acoes")))*INDEX(Inputs!$K$5:$AJ$120,0,MATCH(O$2,Inputs!$K$4:$AJ$4,0)))+SUMPRODUCT((Inputs!$C$5:$C$120=$B23)*Inputs!$D$5:$D$120*(((Inputs!$G$5:$G$120="moeda")+(Inputs!$G$5:$G$120="acoes"))*Inputs!$B$1+((Inputs!$G$5:$G$120&lt;&gt;"moeda")*(Inputs!$G$5:$G$120&lt;&gt;"acoes")))*INDEX(Inputs!$K$5:$AJ$120,0,MATCH(O$2,Inputs!$K$4:$AJ$4,0)))+SUMPRODUCT((Inputs!$E$5:$E$120=$B23)*Inputs!$F$5:$F$120*(((Inputs!$G$5:$G$120="moeda")+(Inputs!$G$5:$G$120="acoes"))*Inputs!$B$1+((Inputs!$G$5:$G$120&lt;&gt;"moeda")*(Inputs!$G$5:$G$120&lt;&gt;"acoes")))*INDEX(Inputs!$K$5:$AJ$120,0,MATCH(O$2,Inputs!$K$4:$AJ$4,0)))))</f>
        <v>0</v>
      </c>
      <c r="P23" s="267">
        <f>IF(ISNA(MATCH(P$2,Inputs!$K$4:$AJ$4,0)),NA(),IF(SUMPRODUCT((Inputs!$A$5:$A$120=$B23)*ISNUMBER(INDEX(Inputs!$K$5:$AJ$120,0,MATCH(P$2,Inputs!$K$4:$AJ$4,0))))+SUMPRODUCT((Inputs!$C$5:$C$120=$B23)*ISNUMBER(INDEX(Inputs!$K$5:$AJ$120,0,MATCH(P$2,Inputs!$K$4:$AJ$4,0))))+SUMPRODUCT((Inputs!$E$5:$E$120=$B23)*ISNUMBER(INDEX(Inputs!$K$5:$AJ$120,0,MATCH(P$2,Inputs!$K$4:$AJ$4,0))))=0,NA(),SUMPRODUCT((Inputs!$A$5:$A$120=$B23)*Inputs!$B$5:$B$120*(((Inputs!$G$5:$G$120="moeda")+(Inputs!$G$5:$G$120="acoes"))*Inputs!$B$1+((Inputs!$G$5:$G$120&lt;&gt;"moeda")*(Inputs!$G$5:$G$120&lt;&gt;"acoes")))*INDEX(Inputs!$K$5:$AJ$120,0,MATCH(P$2,Inputs!$K$4:$AJ$4,0)))+SUMPRODUCT((Inputs!$C$5:$C$120=$B23)*Inputs!$D$5:$D$120*(((Inputs!$G$5:$G$120="moeda")+(Inputs!$G$5:$G$120="acoes"))*Inputs!$B$1+((Inputs!$G$5:$G$120&lt;&gt;"moeda")*(Inputs!$G$5:$G$120&lt;&gt;"acoes")))*INDEX(Inputs!$K$5:$AJ$120,0,MATCH(P$2,Inputs!$K$4:$AJ$4,0)))+SUMPRODUCT((Inputs!$E$5:$E$120=$B23)*Inputs!$F$5:$F$120*(((Inputs!$G$5:$G$120="moeda")+(Inputs!$G$5:$G$120="acoes"))*Inputs!$B$1+((Inputs!$G$5:$G$120&lt;&gt;"moeda")*(Inputs!$G$5:$G$120&lt;&gt;"acoes")))*INDEX(Inputs!$K$5:$AJ$120,0,MATCH(P$2,Inputs!$K$4:$AJ$4,0)))))</f>
        <v>0</v>
      </c>
      <c r="Q23" s="267">
        <f>IF(ISNA(MATCH(Q$2,Inputs!$K$4:$AJ$4,0)),NA(),IF(SUMPRODUCT((Inputs!$A$5:$A$120=$B23)*ISNUMBER(INDEX(Inputs!$K$5:$AJ$120,0,MATCH(Q$2,Inputs!$K$4:$AJ$4,0))))+SUMPRODUCT((Inputs!$C$5:$C$120=$B23)*ISNUMBER(INDEX(Inputs!$K$5:$AJ$120,0,MATCH(Q$2,Inputs!$K$4:$AJ$4,0))))+SUMPRODUCT((Inputs!$E$5:$E$120=$B23)*ISNUMBER(INDEX(Inputs!$K$5:$AJ$120,0,MATCH(Q$2,Inputs!$K$4:$AJ$4,0))))=0,NA(),SUMPRODUCT((Inputs!$A$5:$A$120=$B23)*Inputs!$B$5:$B$120*(((Inputs!$G$5:$G$120="moeda")+(Inputs!$G$5:$G$120="acoes"))*Inputs!$B$1+((Inputs!$G$5:$G$120&lt;&gt;"moeda")*(Inputs!$G$5:$G$120&lt;&gt;"acoes")))*INDEX(Inputs!$K$5:$AJ$120,0,MATCH(Q$2,Inputs!$K$4:$AJ$4,0)))+SUMPRODUCT((Inputs!$C$5:$C$120=$B23)*Inputs!$D$5:$D$120*(((Inputs!$G$5:$G$120="moeda")+(Inputs!$G$5:$G$120="acoes"))*Inputs!$B$1+((Inputs!$G$5:$G$120&lt;&gt;"moeda")*(Inputs!$G$5:$G$120&lt;&gt;"acoes")))*INDEX(Inputs!$K$5:$AJ$120,0,MATCH(Q$2,Inputs!$K$4:$AJ$4,0)))+SUMPRODUCT((Inputs!$E$5:$E$120=$B23)*Inputs!$F$5:$F$120*(((Inputs!$G$5:$G$120="moeda")+(Inputs!$G$5:$G$120="acoes"))*Inputs!$B$1+((Inputs!$G$5:$G$120&lt;&gt;"moeda")*(Inputs!$G$5:$G$120&lt;&gt;"acoes")))*INDEX(Inputs!$K$5:$AJ$120,0,MATCH(Q$2,Inputs!$K$4:$AJ$4,0)))))</f>
        <v>0</v>
      </c>
      <c r="R23" s="268">
        <f>Q23</f>
        <v>0</v>
      </c>
      <c r="S23" s="267">
        <f>IF(ISNA(MATCH(S$2,Inputs!$K$4:$AJ$4,0)),NA(),IF(SUMPRODUCT((Inputs!$A$5:$A$120=$B23)*ISNUMBER(INDEX(Inputs!$K$5:$AJ$120,0,MATCH(S$2,Inputs!$K$4:$AJ$4,0))))+SUMPRODUCT((Inputs!$C$5:$C$120=$B23)*ISNUMBER(INDEX(Inputs!$K$5:$AJ$120,0,MATCH(S$2,Inputs!$K$4:$AJ$4,0))))+SUMPRODUCT((Inputs!$E$5:$E$120=$B23)*ISNUMBER(INDEX(Inputs!$K$5:$AJ$120,0,MATCH(S$2,Inputs!$K$4:$AJ$4,0))))=0,NA(),SUMPRODUCT((Inputs!$A$5:$A$120=$B23)*Inputs!$B$5:$B$120*(((Inputs!$G$5:$G$120="moeda")+(Inputs!$G$5:$G$120="acoes"))*Inputs!$B$1+((Inputs!$G$5:$G$120&lt;&gt;"moeda")*(Inputs!$G$5:$G$120&lt;&gt;"acoes")))*INDEX(Inputs!$K$5:$AJ$120,0,MATCH(S$2,Inputs!$K$4:$AJ$4,0)))+SUMPRODUCT((Inputs!$C$5:$C$120=$B23)*Inputs!$D$5:$D$120*(((Inputs!$G$5:$G$120="moeda")+(Inputs!$G$5:$G$120="acoes"))*Inputs!$B$1+((Inputs!$G$5:$G$120&lt;&gt;"moeda")*(Inputs!$G$5:$G$120&lt;&gt;"acoes")))*INDEX(Inputs!$K$5:$AJ$120,0,MATCH(S$2,Inputs!$K$4:$AJ$4,0)))+SUMPRODUCT((Inputs!$E$5:$E$120=$B23)*Inputs!$F$5:$F$120*(((Inputs!$G$5:$G$120="moeda")+(Inputs!$G$5:$G$120="acoes"))*Inputs!$B$1+((Inputs!$G$5:$G$120&lt;&gt;"moeda")*(Inputs!$G$5:$G$120&lt;&gt;"acoes")))*INDEX(Inputs!$K$5:$AJ$120,0,MATCH(S$2,Inputs!$K$4:$AJ$4,0)))))</f>
        <v>0</v>
      </c>
      <c r="T23" s="267">
        <f>IF(ISNA(MATCH(T$2,Inputs!$K$4:$AJ$4,0)),NA(),IF(SUMPRODUCT((Inputs!$A$5:$A$120=$B23)*ISNUMBER(INDEX(Inputs!$K$5:$AJ$120,0,MATCH(T$2,Inputs!$K$4:$AJ$4,0))))+SUMPRODUCT((Inputs!$C$5:$C$120=$B23)*ISNUMBER(INDEX(Inputs!$K$5:$AJ$120,0,MATCH(T$2,Inputs!$K$4:$AJ$4,0))))+SUMPRODUCT((Inputs!$E$5:$E$120=$B23)*ISNUMBER(INDEX(Inputs!$K$5:$AJ$120,0,MATCH(T$2,Inputs!$K$4:$AJ$4,0))))=0,NA(),SUMPRODUCT((Inputs!$A$5:$A$120=$B23)*Inputs!$B$5:$B$120*(((Inputs!$G$5:$G$120="moeda")+(Inputs!$G$5:$G$120="acoes"))*Inputs!$B$1+((Inputs!$G$5:$G$120&lt;&gt;"moeda")*(Inputs!$G$5:$G$120&lt;&gt;"acoes")))*INDEX(Inputs!$K$5:$AJ$120,0,MATCH(T$2,Inputs!$K$4:$AJ$4,0)))+SUMPRODUCT((Inputs!$C$5:$C$120=$B23)*Inputs!$D$5:$D$120*(((Inputs!$G$5:$G$120="moeda")+(Inputs!$G$5:$G$120="acoes"))*Inputs!$B$1+((Inputs!$G$5:$G$120&lt;&gt;"moeda")*(Inputs!$G$5:$G$120&lt;&gt;"acoes")))*INDEX(Inputs!$K$5:$AJ$120,0,MATCH(T$2,Inputs!$K$4:$AJ$4,0)))+SUMPRODUCT((Inputs!$E$5:$E$120=$B23)*Inputs!$F$5:$F$120*(((Inputs!$G$5:$G$120="moeda")+(Inputs!$G$5:$G$120="acoes"))*Inputs!$B$1+((Inputs!$G$5:$G$120&lt;&gt;"moeda")*(Inputs!$G$5:$G$120&lt;&gt;"acoes")))*INDEX(Inputs!$K$5:$AJ$120,0,MATCH(T$2,Inputs!$K$4:$AJ$4,0)))))</f>
        <v>0</v>
      </c>
      <c r="U23" s="267">
        <f>IF(ISNA(MATCH(U$2,Inputs!$K$4:$AJ$4,0)),NA(),IF(SUMPRODUCT((Inputs!$A$5:$A$120=$B23)*ISNUMBER(INDEX(Inputs!$K$5:$AJ$120,0,MATCH(U$2,Inputs!$K$4:$AJ$4,0))))+SUMPRODUCT((Inputs!$C$5:$C$120=$B23)*ISNUMBER(INDEX(Inputs!$K$5:$AJ$120,0,MATCH(U$2,Inputs!$K$4:$AJ$4,0))))+SUMPRODUCT((Inputs!$E$5:$E$120=$B23)*ISNUMBER(INDEX(Inputs!$K$5:$AJ$120,0,MATCH(U$2,Inputs!$K$4:$AJ$4,0))))=0,NA(),SUMPRODUCT((Inputs!$A$5:$A$120=$B23)*Inputs!$B$5:$B$120*(((Inputs!$G$5:$G$120="moeda")+(Inputs!$G$5:$G$120="acoes"))*Inputs!$B$1+((Inputs!$G$5:$G$120&lt;&gt;"moeda")*(Inputs!$G$5:$G$120&lt;&gt;"acoes")))*INDEX(Inputs!$K$5:$AJ$120,0,MATCH(U$2,Inputs!$K$4:$AJ$4,0)))+SUMPRODUCT((Inputs!$C$5:$C$120=$B23)*Inputs!$D$5:$D$120*(((Inputs!$G$5:$G$120="moeda")+(Inputs!$G$5:$G$120="acoes"))*Inputs!$B$1+((Inputs!$G$5:$G$120&lt;&gt;"moeda")*(Inputs!$G$5:$G$120&lt;&gt;"acoes")))*INDEX(Inputs!$K$5:$AJ$120,0,MATCH(U$2,Inputs!$K$4:$AJ$4,0)))+SUMPRODUCT((Inputs!$E$5:$E$120=$B23)*Inputs!$F$5:$F$120*(((Inputs!$G$5:$G$120="moeda")+(Inputs!$G$5:$G$120="acoes"))*Inputs!$B$1+((Inputs!$G$5:$G$120&lt;&gt;"moeda")*(Inputs!$G$5:$G$120&lt;&gt;"acoes")))*INDEX(Inputs!$K$5:$AJ$120,0,MATCH(U$2,Inputs!$K$4:$AJ$4,0)))))</f>
        <v>0</v>
      </c>
      <c r="V23" s="267">
        <f>IF(ISNA(MATCH(V$2,Inputs!$K$4:$AJ$4,0)),NA(),IF(SUMPRODUCT((Inputs!$A$5:$A$120=$B23)*ISNUMBER(INDEX(Inputs!$K$5:$AJ$120,0,MATCH(V$2,Inputs!$K$4:$AJ$4,0))))+SUMPRODUCT((Inputs!$C$5:$C$120=$B23)*ISNUMBER(INDEX(Inputs!$K$5:$AJ$120,0,MATCH(V$2,Inputs!$K$4:$AJ$4,0))))+SUMPRODUCT((Inputs!$E$5:$E$120=$B23)*ISNUMBER(INDEX(Inputs!$K$5:$AJ$120,0,MATCH(V$2,Inputs!$K$4:$AJ$4,0))))=0,NA(),SUMPRODUCT((Inputs!$A$5:$A$120=$B23)*Inputs!$B$5:$B$120*(((Inputs!$G$5:$G$120="moeda")+(Inputs!$G$5:$G$120="acoes"))*Inputs!$B$1+((Inputs!$G$5:$G$120&lt;&gt;"moeda")*(Inputs!$G$5:$G$120&lt;&gt;"acoes")))*INDEX(Inputs!$K$5:$AJ$120,0,MATCH(V$2,Inputs!$K$4:$AJ$4,0)))+SUMPRODUCT((Inputs!$C$5:$C$120=$B23)*Inputs!$D$5:$D$120*(((Inputs!$G$5:$G$120="moeda")+(Inputs!$G$5:$G$120="acoes"))*Inputs!$B$1+((Inputs!$G$5:$G$120&lt;&gt;"moeda")*(Inputs!$G$5:$G$120&lt;&gt;"acoes")))*INDEX(Inputs!$K$5:$AJ$120,0,MATCH(V$2,Inputs!$K$4:$AJ$4,0)))+SUMPRODUCT((Inputs!$E$5:$E$120=$B23)*Inputs!$F$5:$F$120*(((Inputs!$G$5:$G$120="moeda")+(Inputs!$G$5:$G$120="acoes"))*Inputs!$B$1+((Inputs!$G$5:$G$120&lt;&gt;"moeda")*(Inputs!$G$5:$G$120&lt;&gt;"acoes")))*INDEX(Inputs!$K$5:$AJ$120,0,MATCH(V$2,Inputs!$K$4:$AJ$4,0)))))</f>
        <v>0</v>
      </c>
      <c r="W23" s="268">
        <f>V23</f>
        <v>0</v>
      </c>
      <c r="X23" s="267">
        <f>IF(ISNA(MATCH(X$2,Inputs!$K$4:$AJ$4,0)),NA(),IF(SUMPRODUCT((Inputs!$A$5:$A$120=$B23)*ISNUMBER(INDEX(Inputs!$K$5:$AJ$120,0,MATCH(X$2,Inputs!$K$4:$AJ$4,0))))+SUMPRODUCT((Inputs!$C$5:$C$120=$B23)*ISNUMBER(INDEX(Inputs!$K$5:$AJ$120,0,MATCH(X$2,Inputs!$K$4:$AJ$4,0))))+SUMPRODUCT((Inputs!$E$5:$E$120=$B23)*ISNUMBER(INDEX(Inputs!$K$5:$AJ$120,0,MATCH(X$2,Inputs!$K$4:$AJ$4,0))))=0,NA(),SUMPRODUCT((Inputs!$A$5:$A$120=$B23)*Inputs!$B$5:$B$120*(((Inputs!$G$5:$G$120="moeda")+(Inputs!$G$5:$G$120="acoes"))*Inputs!$B$1+((Inputs!$G$5:$G$120&lt;&gt;"moeda")*(Inputs!$G$5:$G$120&lt;&gt;"acoes")))*INDEX(Inputs!$K$5:$AJ$120,0,MATCH(X$2,Inputs!$K$4:$AJ$4,0)))+SUMPRODUCT((Inputs!$C$5:$C$120=$B23)*Inputs!$D$5:$D$120*(((Inputs!$G$5:$G$120="moeda")+(Inputs!$G$5:$G$120="acoes"))*Inputs!$B$1+((Inputs!$G$5:$G$120&lt;&gt;"moeda")*(Inputs!$G$5:$G$120&lt;&gt;"acoes")))*INDEX(Inputs!$K$5:$AJ$120,0,MATCH(X$2,Inputs!$K$4:$AJ$4,0)))+SUMPRODUCT((Inputs!$E$5:$E$120=$B23)*Inputs!$F$5:$F$120*(((Inputs!$G$5:$G$120="moeda")+(Inputs!$G$5:$G$120="acoes"))*Inputs!$B$1+((Inputs!$G$5:$G$120&lt;&gt;"moeda")*(Inputs!$G$5:$G$120&lt;&gt;"acoes")))*INDEX(Inputs!$K$5:$AJ$120,0,MATCH(X$2,Inputs!$K$4:$AJ$4,0)))))</f>
        <v>0</v>
      </c>
      <c r="Y23" s="267">
        <f>IF(ISNA(MATCH(Y$2,Inputs!$K$4:$AJ$4,0)),NA(),IF(SUMPRODUCT((Inputs!$A$5:$A$120=$B23)*ISNUMBER(INDEX(Inputs!$K$5:$AJ$120,0,MATCH(Y$2,Inputs!$K$4:$AJ$4,0))))+SUMPRODUCT((Inputs!$C$5:$C$120=$B23)*ISNUMBER(INDEX(Inputs!$K$5:$AJ$120,0,MATCH(Y$2,Inputs!$K$4:$AJ$4,0))))+SUMPRODUCT((Inputs!$E$5:$E$120=$B23)*ISNUMBER(INDEX(Inputs!$K$5:$AJ$120,0,MATCH(Y$2,Inputs!$K$4:$AJ$4,0))))=0,NA(),SUMPRODUCT((Inputs!$A$5:$A$120=$B23)*Inputs!$B$5:$B$120*(((Inputs!$G$5:$G$120="moeda")+(Inputs!$G$5:$G$120="acoes"))*Inputs!$B$1+((Inputs!$G$5:$G$120&lt;&gt;"moeda")*(Inputs!$G$5:$G$120&lt;&gt;"acoes")))*INDEX(Inputs!$K$5:$AJ$120,0,MATCH(Y$2,Inputs!$K$4:$AJ$4,0)))+SUMPRODUCT((Inputs!$C$5:$C$120=$B23)*Inputs!$D$5:$D$120*(((Inputs!$G$5:$G$120="moeda")+(Inputs!$G$5:$G$120="acoes"))*Inputs!$B$1+((Inputs!$G$5:$G$120&lt;&gt;"moeda")*(Inputs!$G$5:$G$120&lt;&gt;"acoes")))*INDEX(Inputs!$K$5:$AJ$120,0,MATCH(Y$2,Inputs!$K$4:$AJ$4,0)))+SUMPRODUCT((Inputs!$E$5:$E$120=$B23)*Inputs!$F$5:$F$120*(((Inputs!$G$5:$G$120="moeda")+(Inputs!$G$5:$G$120="acoes"))*Inputs!$B$1+((Inputs!$G$5:$G$120&lt;&gt;"moeda")*(Inputs!$G$5:$G$120&lt;&gt;"acoes")))*INDEX(Inputs!$K$5:$AJ$120,0,MATCH(Y$2,Inputs!$K$4:$AJ$4,0)))))</f>
        <v>0</v>
      </c>
      <c r="Z23" s="267">
        <f>IF(ISNA(MATCH(Z$2,Inputs!$K$4:$AJ$4,0)),NA(),IF(SUMPRODUCT((Inputs!$A$5:$A$120=$B23)*ISNUMBER(INDEX(Inputs!$K$5:$AJ$120,0,MATCH(Z$2,Inputs!$K$4:$AJ$4,0))))+SUMPRODUCT((Inputs!$C$5:$C$120=$B23)*ISNUMBER(INDEX(Inputs!$K$5:$AJ$120,0,MATCH(Z$2,Inputs!$K$4:$AJ$4,0))))+SUMPRODUCT((Inputs!$E$5:$E$120=$B23)*ISNUMBER(INDEX(Inputs!$K$5:$AJ$120,0,MATCH(Z$2,Inputs!$K$4:$AJ$4,0))))=0,NA(),SUMPRODUCT((Inputs!$A$5:$A$120=$B23)*Inputs!$B$5:$B$120*(((Inputs!$G$5:$G$120="moeda")+(Inputs!$G$5:$G$120="acoes"))*Inputs!$B$1+((Inputs!$G$5:$G$120&lt;&gt;"moeda")*(Inputs!$G$5:$G$120&lt;&gt;"acoes")))*INDEX(Inputs!$K$5:$AJ$120,0,MATCH(Z$2,Inputs!$K$4:$AJ$4,0)))+SUMPRODUCT((Inputs!$C$5:$C$120=$B23)*Inputs!$D$5:$D$120*(((Inputs!$G$5:$G$120="moeda")+(Inputs!$G$5:$G$120="acoes"))*Inputs!$B$1+((Inputs!$G$5:$G$120&lt;&gt;"moeda")*(Inputs!$G$5:$G$120&lt;&gt;"acoes")))*INDEX(Inputs!$K$5:$AJ$120,0,MATCH(Z$2,Inputs!$K$4:$AJ$4,0)))+SUMPRODUCT((Inputs!$E$5:$E$120=$B23)*Inputs!$F$5:$F$120*(((Inputs!$G$5:$G$120="moeda")+(Inputs!$G$5:$G$120="acoes"))*Inputs!$B$1+((Inputs!$G$5:$G$120&lt;&gt;"moeda")*(Inputs!$G$5:$G$120&lt;&gt;"acoes")))*INDEX(Inputs!$K$5:$AJ$120,0,MATCH(Z$2,Inputs!$K$4:$AJ$4,0)))))</f>
        <v>0</v>
      </c>
      <c r="AA23" s="267">
        <f>IF(ISNA(MATCH(AA$2,Inputs!$K$4:$AJ$4,0)),NA(),IF(SUMPRODUCT((Inputs!$A$5:$A$120=$B23)*ISNUMBER(INDEX(Inputs!$K$5:$AJ$120,0,MATCH(AA$2,Inputs!$K$4:$AJ$4,0))))+SUMPRODUCT((Inputs!$C$5:$C$120=$B23)*ISNUMBER(INDEX(Inputs!$K$5:$AJ$120,0,MATCH(AA$2,Inputs!$K$4:$AJ$4,0))))+SUMPRODUCT((Inputs!$E$5:$E$120=$B23)*ISNUMBER(INDEX(Inputs!$K$5:$AJ$120,0,MATCH(AA$2,Inputs!$K$4:$AJ$4,0))))=0,NA(),SUMPRODUCT((Inputs!$A$5:$A$120=$B23)*Inputs!$B$5:$B$120*(((Inputs!$G$5:$G$120="moeda")+(Inputs!$G$5:$G$120="acoes"))*Inputs!$B$1+((Inputs!$G$5:$G$120&lt;&gt;"moeda")*(Inputs!$G$5:$G$120&lt;&gt;"acoes")))*INDEX(Inputs!$K$5:$AJ$120,0,MATCH(AA$2,Inputs!$K$4:$AJ$4,0)))+SUMPRODUCT((Inputs!$C$5:$C$120=$B23)*Inputs!$D$5:$D$120*(((Inputs!$G$5:$G$120="moeda")+(Inputs!$G$5:$G$120="acoes"))*Inputs!$B$1+((Inputs!$G$5:$G$120&lt;&gt;"moeda")*(Inputs!$G$5:$G$120&lt;&gt;"acoes")))*INDEX(Inputs!$K$5:$AJ$120,0,MATCH(AA$2,Inputs!$K$4:$AJ$4,0)))+SUMPRODUCT((Inputs!$E$5:$E$120=$B23)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3" s="268">
        <f>AA23</f>
        <v>0</v>
      </c>
      <c r="AC23" s="267">
        <f>IF(ISNA(MATCH(AC$2,Inputs!$K$4:$AJ$4,0)),NA(),IF(SUMPRODUCT((Inputs!$A$5:$A$120=$B23)*ISNUMBER(INDEX(Inputs!$K$5:$AJ$120,0,MATCH(AC$2,Inputs!$K$4:$AJ$4,0))))+SUMPRODUCT((Inputs!$C$5:$C$120=$B23)*ISNUMBER(INDEX(Inputs!$K$5:$AJ$120,0,MATCH(AC$2,Inputs!$K$4:$AJ$4,0))))+SUMPRODUCT((Inputs!$E$5:$E$120=$B23)*ISNUMBER(INDEX(Inputs!$K$5:$AJ$120,0,MATCH(AC$2,Inputs!$K$4:$AJ$4,0))))=0,NA(),SUMPRODUCT((Inputs!$A$5:$A$120=$B23)*Inputs!$B$5:$B$120*(((Inputs!$G$5:$G$120="moeda")+(Inputs!$G$5:$G$120="acoes"))*Inputs!$B$1+((Inputs!$G$5:$G$120&lt;&gt;"moeda")*(Inputs!$G$5:$G$120&lt;&gt;"acoes")))*INDEX(Inputs!$K$5:$AJ$120,0,MATCH(AC$2,Inputs!$K$4:$AJ$4,0)))+SUMPRODUCT((Inputs!$C$5:$C$120=$B23)*Inputs!$D$5:$D$120*(((Inputs!$G$5:$G$120="moeda")+(Inputs!$G$5:$G$120="acoes"))*Inputs!$B$1+((Inputs!$G$5:$G$120&lt;&gt;"moeda")*(Inputs!$G$5:$G$120&lt;&gt;"acoes")))*INDEX(Inputs!$K$5:$AJ$120,0,MATCH(AC$2,Inputs!$K$4:$AJ$4,0)))+SUMPRODUCT((Inputs!$E$5:$E$120=$B23)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3" s="267">
        <f>IF(ISNA(MATCH(AD$2,Inputs!$K$4:$AJ$4,0)),NA(),IF(SUMPRODUCT((Inputs!$A$5:$A$120=$B23)*ISNUMBER(INDEX(Inputs!$K$5:$AJ$120,0,MATCH(AD$2,Inputs!$K$4:$AJ$4,0))))+SUMPRODUCT((Inputs!$C$5:$C$120=$B23)*ISNUMBER(INDEX(Inputs!$K$5:$AJ$120,0,MATCH(AD$2,Inputs!$K$4:$AJ$4,0))))+SUMPRODUCT((Inputs!$E$5:$E$120=$B23)*ISNUMBER(INDEX(Inputs!$K$5:$AJ$120,0,MATCH(AD$2,Inputs!$K$4:$AJ$4,0))))=0,NA(),SUMPRODUCT((Inputs!$A$5:$A$120=$B23)*Inputs!$B$5:$B$120*(((Inputs!$G$5:$G$120="moeda")+(Inputs!$G$5:$G$120="acoes"))*Inputs!$B$1+((Inputs!$G$5:$G$120&lt;&gt;"moeda")*(Inputs!$G$5:$G$120&lt;&gt;"acoes")))*INDEX(Inputs!$K$5:$AJ$120,0,MATCH(AD$2,Inputs!$K$4:$AJ$4,0)))+SUMPRODUCT((Inputs!$C$5:$C$120=$B23)*Inputs!$D$5:$D$120*(((Inputs!$G$5:$G$120="moeda")+(Inputs!$G$5:$G$120="acoes"))*Inputs!$B$1+((Inputs!$G$5:$G$120&lt;&gt;"moeda")*(Inputs!$G$5:$G$120&lt;&gt;"acoes")))*INDEX(Inputs!$K$5:$AJ$120,0,MATCH(AD$2,Inputs!$K$4:$AJ$4,0)))+SUMPRODUCT((Inputs!$E$5:$E$120=$B23)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3" s="267" t="e">
        <f>IF(ISNA(MATCH(AE$2,Inputs!$K$4:$AJ$4,0)),NA(),IF(SUMPRODUCT((Inputs!$A$5:$A$120=$B23)*ISNUMBER(INDEX(Inputs!$K$5:$AJ$120,0,MATCH(AE$2,Inputs!$K$4:$AJ$4,0))))+SUMPRODUCT((Inputs!$C$5:$C$120=$B23)*ISNUMBER(INDEX(Inputs!$K$5:$AJ$120,0,MATCH(AE$2,Inputs!$K$4:$AJ$4,0))))+SUMPRODUCT((Inputs!$E$5:$E$120=$B23)*ISNUMBER(INDEX(Inputs!$K$5:$AJ$120,0,MATCH(AE$2,Inputs!$K$4:$AJ$4,0))))=0,NA(),SUMPRODUCT((Inputs!$A$5:$A$120=$B23)*Inputs!$B$5:$B$120*(((Inputs!$G$5:$G$120="moeda")+(Inputs!$G$5:$G$120="acoes"))*Inputs!$B$1+((Inputs!$G$5:$G$120&lt;&gt;"moeda")*(Inputs!$G$5:$G$120&lt;&gt;"acoes")))*INDEX(Inputs!$K$5:$AJ$120,0,MATCH(AE$2,Inputs!$K$4:$AJ$4,0)))+SUMPRODUCT((Inputs!$C$5:$C$120=$B23)*Inputs!$D$5:$D$120*(((Inputs!$G$5:$G$120="moeda")+(Inputs!$G$5:$G$120="acoes"))*Inputs!$B$1+((Inputs!$G$5:$G$120&lt;&gt;"moeda")*(Inputs!$G$5:$G$120&lt;&gt;"acoes")))*INDEX(Inputs!$K$5:$AJ$120,0,MATCH(AE$2,Inputs!$K$4:$AJ$4,0)))+SUMPRODUCT((Inputs!$E$5:$E$120=$B23)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3" s="267" t="e">
        <f>IF(ISNA(MATCH(AF$2,Inputs!$K$4:$AJ$4,0)),NA(),IF(SUMPRODUCT((Inputs!$A$5:$A$120=$B23)*ISNUMBER(INDEX(Inputs!$K$5:$AJ$120,0,MATCH(AF$2,Inputs!$K$4:$AJ$4,0))))+SUMPRODUCT((Inputs!$C$5:$C$120=$B23)*ISNUMBER(INDEX(Inputs!$K$5:$AJ$120,0,MATCH(AF$2,Inputs!$K$4:$AJ$4,0))))+SUMPRODUCT((Inputs!$E$5:$E$120=$B23)*ISNUMBER(INDEX(Inputs!$K$5:$AJ$120,0,MATCH(AF$2,Inputs!$K$4:$AJ$4,0))))=0,NA(),SUMPRODUCT((Inputs!$A$5:$A$120=$B23)*Inputs!$B$5:$B$120*(((Inputs!$G$5:$G$120="moeda")+(Inputs!$G$5:$G$120="acoes"))*Inputs!$B$1+((Inputs!$G$5:$G$120&lt;&gt;"moeda")*(Inputs!$G$5:$G$120&lt;&gt;"acoes")))*INDEX(Inputs!$K$5:$AJ$120,0,MATCH(AF$2,Inputs!$K$4:$AJ$4,0)))+SUMPRODUCT((Inputs!$C$5:$C$120=$B23)*Inputs!$D$5:$D$120*(((Inputs!$G$5:$G$120="moeda")+(Inputs!$G$5:$G$120="acoes"))*Inputs!$B$1+((Inputs!$G$5:$G$120&lt;&gt;"moeda")*(Inputs!$G$5:$G$120&lt;&gt;"acoes")))*INDEX(Inputs!$K$5:$AJ$120,0,MATCH(AF$2,Inputs!$K$4:$AJ$4,0)))+SUMPRODUCT((Inputs!$E$5:$E$120=$B23)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3" s="268" t="e">
        <f>AF23</f>
        <v>#N/A</v>
      </c>
      <c r="AH23" s="267">
        <f>IF(ISNA(MATCH(AH$2,Inputs!$K$4:$AJ$4,0)),NA(),IF(SUMPRODUCT((Inputs!$A$5:$A$120=$B23)*ISNUMBER(INDEX(Inputs!$K$5:$AJ$120,0,MATCH(AH$2,Inputs!$K$4:$AJ$4,0))))+SUMPRODUCT((Inputs!$C$5:$C$120=$B23)*ISNUMBER(INDEX(Inputs!$K$5:$AJ$120,0,MATCH(AH$2,Inputs!$K$4:$AJ$4,0))))+SUMPRODUCT((Inputs!$E$5:$E$120=$B23)*ISNUMBER(INDEX(Inputs!$K$5:$AJ$120,0,MATCH(AH$2,Inputs!$K$4:$AJ$4,0))))=0,NA(),SUMPRODUCT((Inputs!$A$5:$A$120=$B23)*Inputs!$B$5:$B$120*(((Inputs!$G$5:$G$120="moeda")+(Inputs!$G$5:$G$120="acoes"))*Inputs!$B$1+((Inputs!$G$5:$G$120&lt;&gt;"moeda")*(Inputs!$G$5:$G$120&lt;&gt;"acoes")))*INDEX(Inputs!$K$5:$AJ$120,0,MATCH(AH$2,Inputs!$K$4:$AJ$4,0)))+SUMPRODUCT((Inputs!$C$5:$C$120=$B23)*Inputs!$D$5:$D$120*(((Inputs!$G$5:$G$120="moeda")+(Inputs!$G$5:$G$120="acoes"))*Inputs!$B$1+((Inputs!$G$5:$G$120&lt;&gt;"moeda")*(Inputs!$G$5:$G$120&lt;&gt;"acoes")))*INDEX(Inputs!$K$5:$AJ$120,0,MATCH(AH$2,Inputs!$K$4:$AJ$4,0)))+SUMPRODUCT((Inputs!$E$5:$E$120=$B23)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3" s="267">
        <f>IF(ISNA(MATCH(AI$2,Inputs!$K$4:$AJ$4,0)),NA(),IF(SUMPRODUCT((Inputs!$A$5:$A$120=$B23)*ISNUMBER(INDEX(Inputs!$K$5:$AJ$120,0,MATCH(AI$2,Inputs!$K$4:$AJ$4,0))))+SUMPRODUCT((Inputs!$C$5:$C$120=$B23)*ISNUMBER(INDEX(Inputs!$K$5:$AJ$120,0,MATCH(AI$2,Inputs!$K$4:$AJ$4,0))))+SUMPRODUCT((Inputs!$E$5:$E$120=$B23)*ISNUMBER(INDEX(Inputs!$K$5:$AJ$120,0,MATCH(AI$2,Inputs!$K$4:$AJ$4,0))))=0,NA(),SUMPRODUCT((Inputs!$A$5:$A$120=$B23)*Inputs!$B$5:$B$120*(((Inputs!$G$5:$G$120="moeda")+(Inputs!$G$5:$G$120="acoes"))*Inputs!$B$1+((Inputs!$G$5:$G$120&lt;&gt;"moeda")*(Inputs!$G$5:$G$120&lt;&gt;"acoes")))*INDEX(Inputs!$K$5:$AJ$120,0,MATCH(AI$2,Inputs!$K$4:$AJ$4,0)))+SUMPRODUCT((Inputs!$C$5:$C$120=$B23)*Inputs!$D$5:$D$120*(((Inputs!$G$5:$G$120="moeda")+(Inputs!$G$5:$G$120="acoes"))*Inputs!$B$1+((Inputs!$G$5:$G$120&lt;&gt;"moeda")*(Inputs!$G$5:$G$120&lt;&gt;"acoes")))*INDEX(Inputs!$K$5:$AJ$120,0,MATCH(AI$2,Inputs!$K$4:$AJ$4,0)))+SUMPRODUCT((Inputs!$E$5:$E$120=$B23)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3" s="267">
        <f>IF(ISNA(MATCH(AJ$2,Inputs!$K$4:$AJ$4,0)),NA(),IF(SUMPRODUCT((Inputs!$A$5:$A$120=$B23)*ISNUMBER(INDEX(Inputs!$K$5:$AJ$120,0,MATCH(AJ$2,Inputs!$K$4:$AJ$4,0))))+SUMPRODUCT((Inputs!$C$5:$C$120=$B23)*ISNUMBER(INDEX(Inputs!$K$5:$AJ$120,0,MATCH(AJ$2,Inputs!$K$4:$AJ$4,0))))+SUMPRODUCT((Inputs!$E$5:$E$120=$B23)*ISNUMBER(INDEX(Inputs!$K$5:$AJ$120,0,MATCH(AJ$2,Inputs!$K$4:$AJ$4,0))))=0,NA(),SUMPRODUCT((Inputs!$A$5:$A$120=$B23)*Inputs!$B$5:$B$120*(((Inputs!$G$5:$G$120="moeda")+(Inputs!$G$5:$G$120="acoes"))*Inputs!$B$1+((Inputs!$G$5:$G$120&lt;&gt;"moeda")*(Inputs!$G$5:$G$120&lt;&gt;"acoes")))*INDEX(Inputs!$K$5:$AJ$120,0,MATCH(AJ$2,Inputs!$K$4:$AJ$4,0)))+SUMPRODUCT((Inputs!$C$5:$C$120=$B23)*Inputs!$D$5:$D$120*(((Inputs!$G$5:$G$120="moeda")+(Inputs!$G$5:$G$120="acoes"))*Inputs!$B$1+((Inputs!$G$5:$G$120&lt;&gt;"moeda")*(Inputs!$G$5:$G$120&lt;&gt;"acoes")))*INDEX(Inputs!$K$5:$AJ$120,0,MATCH(AJ$2,Inputs!$K$4:$AJ$4,0)))+SUMPRODUCT((Inputs!$E$5:$E$120=$B23)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3" s="267">
        <f>IF(ISNA(MATCH(AK$2,Inputs!$K$4:$AJ$4,0)),NA(),IF(SUMPRODUCT((Inputs!$A$5:$A$120=$B23)*ISNUMBER(INDEX(Inputs!$K$5:$AJ$120,0,MATCH(AK$2,Inputs!$K$4:$AJ$4,0))))+SUMPRODUCT((Inputs!$C$5:$C$120=$B23)*ISNUMBER(INDEX(Inputs!$K$5:$AJ$120,0,MATCH(AK$2,Inputs!$K$4:$AJ$4,0))))+SUMPRODUCT((Inputs!$E$5:$E$120=$B23)*ISNUMBER(INDEX(Inputs!$K$5:$AJ$120,0,MATCH(AK$2,Inputs!$K$4:$AJ$4,0))))=0,NA(),SUMPRODUCT((Inputs!$A$5:$A$120=$B23)*Inputs!$B$5:$B$120*(((Inputs!$G$5:$G$120="moeda")+(Inputs!$G$5:$G$120="acoes"))*Inputs!$B$1+((Inputs!$G$5:$G$120&lt;&gt;"moeda")*(Inputs!$G$5:$G$120&lt;&gt;"acoes")))*INDEX(Inputs!$K$5:$AJ$120,0,MATCH(AK$2,Inputs!$K$4:$AJ$4,0)))+SUMPRODUCT((Inputs!$C$5:$C$120=$B23)*Inputs!$D$5:$D$120*(((Inputs!$G$5:$G$120="moeda")+(Inputs!$G$5:$G$120="acoes"))*Inputs!$B$1+((Inputs!$G$5:$G$120&lt;&gt;"moeda")*(Inputs!$G$5:$G$120&lt;&gt;"acoes")))*INDEX(Inputs!$K$5:$AJ$120,0,MATCH(AK$2,Inputs!$K$4:$AJ$4,0)))+SUMPRODUCT((Inputs!$E$5:$E$120=$B23)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3" s="268">
        <f>AK23</f>
        <v>0</v>
      </c>
    </row>
    <row r="24" ht="12.75" customHeight="1" s="255">
      <c r="B24" s="265" t="n">
        <v>20</v>
      </c>
      <c r="C24" s="270" t="inlineStr">
        <is>
          <t>Goodwill</t>
        </is>
      </c>
      <c r="D24" s="267">
        <f>IF(ISNA(MATCH(D$2,Inputs!$K$4:$AJ$4,0)),NA(),IF(SUMPRODUCT((Inputs!$A$5:$A$120=$B24)*ISNUMBER(INDEX(Inputs!$K$5:$AJ$120,0,MATCH(D$2,Inputs!$K$4:$AJ$4,0))))+SUMPRODUCT((Inputs!$C$5:$C$120=$B24)*ISNUMBER(INDEX(Inputs!$K$5:$AJ$120,0,MATCH(D$2,Inputs!$K$4:$AJ$4,0))))+SUMPRODUCT((Inputs!$E$5:$E$120=$B24)*ISNUMBER(INDEX(Inputs!$K$5:$AJ$120,0,MATCH(D$2,Inputs!$K$4:$AJ$4,0))))=0,NA(),SUMPRODUCT((Inputs!$A$5:$A$120=$B24)*Inputs!$B$5:$B$120*(((Inputs!$G$5:$G$120="moeda")+(Inputs!$G$5:$G$120="acoes"))*Inputs!$B$1+((Inputs!$G$5:$G$120&lt;&gt;"moeda")*(Inputs!$G$5:$G$120&lt;&gt;"acoes")))*INDEX(Inputs!$K$5:$AJ$120,0,MATCH(D$2,Inputs!$K$4:$AJ$4,0)))+SUMPRODUCT((Inputs!$C$5:$C$120=$B24)*Inputs!$D$5:$D$120*(((Inputs!$G$5:$G$120="moeda")+(Inputs!$G$5:$G$120="acoes"))*Inputs!$B$1+((Inputs!$G$5:$G$120&lt;&gt;"moeda")*(Inputs!$G$5:$G$120&lt;&gt;"acoes")))*INDEX(Inputs!$K$5:$AJ$120,0,MATCH(D$2,Inputs!$K$4:$AJ$4,0)))+SUMPRODUCT((Inputs!$E$5:$E$120=$B24)*Inputs!$F$5:$F$120*(((Inputs!$G$5:$G$120="moeda")+(Inputs!$G$5:$G$120="acoes"))*Inputs!$B$1+((Inputs!$G$5:$G$120&lt;&gt;"moeda")*(Inputs!$G$5:$G$120&lt;&gt;"acoes")))*INDEX(Inputs!$K$5:$AJ$120,0,MATCH(D$2,Inputs!$K$4:$AJ$4,0)))))</f>
        <v>0</v>
      </c>
      <c r="E24" s="267">
        <f>IF(ISNA(MATCH(E$2,Inputs!$K$4:$AJ$4,0)),NA(),IF(SUMPRODUCT((Inputs!$A$5:$A$120=$B24)*ISNUMBER(INDEX(Inputs!$K$5:$AJ$120,0,MATCH(E$2,Inputs!$K$4:$AJ$4,0))))+SUMPRODUCT((Inputs!$C$5:$C$120=$B24)*ISNUMBER(INDEX(Inputs!$K$5:$AJ$120,0,MATCH(E$2,Inputs!$K$4:$AJ$4,0))))+SUMPRODUCT((Inputs!$E$5:$E$120=$B24)*ISNUMBER(INDEX(Inputs!$K$5:$AJ$120,0,MATCH(E$2,Inputs!$K$4:$AJ$4,0))))=0,NA(),SUMPRODUCT((Inputs!$A$5:$A$120=$B24)*Inputs!$B$5:$B$120*(((Inputs!$G$5:$G$120="moeda")+(Inputs!$G$5:$G$120="acoes"))*Inputs!$B$1+((Inputs!$G$5:$G$120&lt;&gt;"moeda")*(Inputs!$G$5:$G$120&lt;&gt;"acoes")))*INDEX(Inputs!$K$5:$AJ$120,0,MATCH(E$2,Inputs!$K$4:$AJ$4,0)))+SUMPRODUCT((Inputs!$C$5:$C$120=$B24)*Inputs!$D$5:$D$120*(((Inputs!$G$5:$G$120="moeda")+(Inputs!$G$5:$G$120="acoes"))*Inputs!$B$1+((Inputs!$G$5:$G$120&lt;&gt;"moeda")*(Inputs!$G$5:$G$120&lt;&gt;"acoes")))*INDEX(Inputs!$K$5:$AJ$120,0,MATCH(E$2,Inputs!$K$4:$AJ$4,0)))+SUMPRODUCT((Inputs!$E$5:$E$120=$B24)*Inputs!$F$5:$F$120*(((Inputs!$G$5:$G$120="moeda")+(Inputs!$G$5:$G$120="acoes"))*Inputs!$B$1+((Inputs!$G$5:$G$120&lt;&gt;"moeda")*(Inputs!$G$5:$G$120&lt;&gt;"acoes")))*INDEX(Inputs!$K$5:$AJ$120,0,MATCH(E$2,Inputs!$K$4:$AJ$4,0)))))</f>
        <v>0</v>
      </c>
      <c r="F24" s="267">
        <f>IF(ISNA(MATCH(F$2,Inputs!$K$4:$AJ$4,0)),NA(),IF(SUMPRODUCT((Inputs!$A$5:$A$120=$B24)*ISNUMBER(INDEX(Inputs!$K$5:$AJ$120,0,MATCH(F$2,Inputs!$K$4:$AJ$4,0))))+SUMPRODUCT((Inputs!$C$5:$C$120=$B24)*ISNUMBER(INDEX(Inputs!$K$5:$AJ$120,0,MATCH(F$2,Inputs!$K$4:$AJ$4,0))))+SUMPRODUCT((Inputs!$E$5:$E$120=$B24)*ISNUMBER(INDEX(Inputs!$K$5:$AJ$120,0,MATCH(F$2,Inputs!$K$4:$AJ$4,0))))=0,NA(),SUMPRODUCT((Inputs!$A$5:$A$120=$B24)*Inputs!$B$5:$B$120*(((Inputs!$G$5:$G$120="moeda")+(Inputs!$G$5:$G$120="acoes"))*Inputs!$B$1+((Inputs!$G$5:$G$120&lt;&gt;"moeda")*(Inputs!$G$5:$G$120&lt;&gt;"acoes")))*INDEX(Inputs!$K$5:$AJ$120,0,MATCH(F$2,Inputs!$K$4:$AJ$4,0)))+SUMPRODUCT((Inputs!$C$5:$C$120=$B24)*Inputs!$D$5:$D$120*(((Inputs!$G$5:$G$120="moeda")+(Inputs!$G$5:$G$120="acoes"))*Inputs!$B$1+((Inputs!$G$5:$G$120&lt;&gt;"moeda")*(Inputs!$G$5:$G$120&lt;&gt;"acoes")))*INDEX(Inputs!$K$5:$AJ$120,0,MATCH(F$2,Inputs!$K$4:$AJ$4,0)))+SUMPRODUCT((Inputs!$E$5:$E$120=$B24)*Inputs!$F$5:$F$120*(((Inputs!$G$5:$G$120="moeda")+(Inputs!$G$5:$G$120="acoes"))*Inputs!$B$1+((Inputs!$G$5:$G$120&lt;&gt;"moeda")*(Inputs!$G$5:$G$120&lt;&gt;"acoes")))*INDEX(Inputs!$K$5:$AJ$120,0,MATCH(F$2,Inputs!$K$4:$AJ$4,0)))))</f>
        <v>0</v>
      </c>
      <c r="G24" s="267">
        <f>IF(ISNA(MATCH(G$2,Inputs!$K$4:$AJ$4,0)),NA(),IF(SUMPRODUCT((Inputs!$A$5:$A$120=$B24)*ISNUMBER(INDEX(Inputs!$K$5:$AJ$120,0,MATCH(G$2,Inputs!$K$4:$AJ$4,0))))+SUMPRODUCT((Inputs!$C$5:$C$120=$B24)*ISNUMBER(INDEX(Inputs!$K$5:$AJ$120,0,MATCH(G$2,Inputs!$K$4:$AJ$4,0))))+SUMPRODUCT((Inputs!$E$5:$E$120=$B24)*ISNUMBER(INDEX(Inputs!$K$5:$AJ$120,0,MATCH(G$2,Inputs!$K$4:$AJ$4,0))))=0,NA(),SUMPRODUCT((Inputs!$A$5:$A$120=$B24)*Inputs!$B$5:$B$120*(((Inputs!$G$5:$G$120="moeda")+(Inputs!$G$5:$G$120="acoes"))*Inputs!$B$1+((Inputs!$G$5:$G$120&lt;&gt;"moeda")*(Inputs!$G$5:$G$120&lt;&gt;"acoes")))*INDEX(Inputs!$K$5:$AJ$120,0,MATCH(G$2,Inputs!$K$4:$AJ$4,0)))+SUMPRODUCT((Inputs!$C$5:$C$120=$B24)*Inputs!$D$5:$D$120*(((Inputs!$G$5:$G$120="moeda")+(Inputs!$G$5:$G$120="acoes"))*Inputs!$B$1+((Inputs!$G$5:$G$120&lt;&gt;"moeda")*(Inputs!$G$5:$G$120&lt;&gt;"acoes")))*INDEX(Inputs!$K$5:$AJ$120,0,MATCH(G$2,Inputs!$K$4:$AJ$4,0)))+SUMPRODUCT((Inputs!$E$5:$E$120=$B24)*Inputs!$F$5:$F$120*(((Inputs!$G$5:$G$120="moeda")+(Inputs!$G$5:$G$120="acoes"))*Inputs!$B$1+((Inputs!$G$5:$G$120&lt;&gt;"moeda")*(Inputs!$G$5:$G$120&lt;&gt;"acoes")))*INDEX(Inputs!$K$5:$AJ$120,0,MATCH(G$2,Inputs!$K$4:$AJ$4,0)))))</f>
        <v>0</v>
      </c>
      <c r="H24" s="268">
        <f>G24</f>
        <v>0</v>
      </c>
      <c r="I24" s="267">
        <f>IF(ISNA(MATCH(I$2,Inputs!$K$4:$AJ$4,0)),NA(),IF(SUMPRODUCT((Inputs!$A$5:$A$120=$B24)*ISNUMBER(INDEX(Inputs!$K$5:$AJ$120,0,MATCH(I$2,Inputs!$K$4:$AJ$4,0))))+SUMPRODUCT((Inputs!$C$5:$C$120=$B24)*ISNUMBER(INDEX(Inputs!$K$5:$AJ$120,0,MATCH(I$2,Inputs!$K$4:$AJ$4,0))))+SUMPRODUCT((Inputs!$E$5:$E$120=$B24)*ISNUMBER(INDEX(Inputs!$K$5:$AJ$120,0,MATCH(I$2,Inputs!$K$4:$AJ$4,0))))=0,NA(),SUMPRODUCT((Inputs!$A$5:$A$120=$B24)*Inputs!$B$5:$B$120*(((Inputs!$G$5:$G$120="moeda")+(Inputs!$G$5:$G$120="acoes"))*Inputs!$B$1+((Inputs!$G$5:$G$120&lt;&gt;"moeda")*(Inputs!$G$5:$G$120&lt;&gt;"acoes")))*INDEX(Inputs!$K$5:$AJ$120,0,MATCH(I$2,Inputs!$K$4:$AJ$4,0)))+SUMPRODUCT((Inputs!$C$5:$C$120=$B24)*Inputs!$D$5:$D$120*(((Inputs!$G$5:$G$120="moeda")+(Inputs!$G$5:$G$120="acoes"))*Inputs!$B$1+((Inputs!$G$5:$G$120&lt;&gt;"moeda")*(Inputs!$G$5:$G$120&lt;&gt;"acoes")))*INDEX(Inputs!$K$5:$AJ$120,0,MATCH(I$2,Inputs!$K$4:$AJ$4,0)))+SUMPRODUCT((Inputs!$E$5:$E$120=$B24)*Inputs!$F$5:$F$120*(((Inputs!$G$5:$G$120="moeda")+(Inputs!$G$5:$G$120="acoes"))*Inputs!$B$1+((Inputs!$G$5:$G$120&lt;&gt;"moeda")*(Inputs!$G$5:$G$120&lt;&gt;"acoes")))*INDEX(Inputs!$K$5:$AJ$120,0,MATCH(I$2,Inputs!$K$4:$AJ$4,0)))))</f>
        <v>0</v>
      </c>
      <c r="J24" s="267">
        <f>IF(ISNA(MATCH(J$2,Inputs!$K$4:$AJ$4,0)),NA(),IF(SUMPRODUCT((Inputs!$A$5:$A$120=$B24)*ISNUMBER(INDEX(Inputs!$K$5:$AJ$120,0,MATCH(J$2,Inputs!$K$4:$AJ$4,0))))+SUMPRODUCT((Inputs!$C$5:$C$120=$B24)*ISNUMBER(INDEX(Inputs!$K$5:$AJ$120,0,MATCH(J$2,Inputs!$K$4:$AJ$4,0))))+SUMPRODUCT((Inputs!$E$5:$E$120=$B24)*ISNUMBER(INDEX(Inputs!$K$5:$AJ$120,0,MATCH(J$2,Inputs!$K$4:$AJ$4,0))))=0,NA(),SUMPRODUCT((Inputs!$A$5:$A$120=$B24)*Inputs!$B$5:$B$120*(((Inputs!$G$5:$G$120="moeda")+(Inputs!$G$5:$G$120="acoes"))*Inputs!$B$1+((Inputs!$G$5:$G$120&lt;&gt;"moeda")*(Inputs!$G$5:$G$120&lt;&gt;"acoes")))*INDEX(Inputs!$K$5:$AJ$120,0,MATCH(J$2,Inputs!$K$4:$AJ$4,0)))+SUMPRODUCT((Inputs!$C$5:$C$120=$B24)*Inputs!$D$5:$D$120*(((Inputs!$G$5:$G$120="moeda")+(Inputs!$G$5:$G$120="acoes"))*Inputs!$B$1+((Inputs!$G$5:$G$120&lt;&gt;"moeda")*(Inputs!$G$5:$G$120&lt;&gt;"acoes")))*INDEX(Inputs!$K$5:$AJ$120,0,MATCH(J$2,Inputs!$K$4:$AJ$4,0)))+SUMPRODUCT((Inputs!$E$5:$E$120=$B24)*Inputs!$F$5:$F$120*(((Inputs!$G$5:$G$120="moeda")+(Inputs!$G$5:$G$120="acoes"))*Inputs!$B$1+((Inputs!$G$5:$G$120&lt;&gt;"moeda")*(Inputs!$G$5:$G$120&lt;&gt;"acoes")))*INDEX(Inputs!$K$5:$AJ$120,0,MATCH(J$2,Inputs!$K$4:$AJ$4,0)))))</f>
        <v>0</v>
      </c>
      <c r="K24" s="267">
        <f>IF(ISNA(MATCH(K$2,Inputs!$K$4:$AJ$4,0)),NA(),IF(SUMPRODUCT((Inputs!$A$5:$A$120=$B24)*ISNUMBER(INDEX(Inputs!$K$5:$AJ$120,0,MATCH(K$2,Inputs!$K$4:$AJ$4,0))))+SUMPRODUCT((Inputs!$C$5:$C$120=$B24)*ISNUMBER(INDEX(Inputs!$K$5:$AJ$120,0,MATCH(K$2,Inputs!$K$4:$AJ$4,0))))+SUMPRODUCT((Inputs!$E$5:$E$120=$B24)*ISNUMBER(INDEX(Inputs!$K$5:$AJ$120,0,MATCH(K$2,Inputs!$K$4:$AJ$4,0))))=0,NA(),SUMPRODUCT((Inputs!$A$5:$A$120=$B24)*Inputs!$B$5:$B$120*(((Inputs!$G$5:$G$120="moeda")+(Inputs!$G$5:$G$120="acoes"))*Inputs!$B$1+((Inputs!$G$5:$G$120&lt;&gt;"moeda")*(Inputs!$G$5:$G$120&lt;&gt;"acoes")))*INDEX(Inputs!$K$5:$AJ$120,0,MATCH(K$2,Inputs!$K$4:$AJ$4,0)))+SUMPRODUCT((Inputs!$C$5:$C$120=$B24)*Inputs!$D$5:$D$120*(((Inputs!$G$5:$G$120="moeda")+(Inputs!$G$5:$G$120="acoes"))*Inputs!$B$1+((Inputs!$G$5:$G$120&lt;&gt;"moeda")*(Inputs!$G$5:$G$120&lt;&gt;"acoes")))*INDEX(Inputs!$K$5:$AJ$120,0,MATCH(K$2,Inputs!$K$4:$AJ$4,0)))+SUMPRODUCT((Inputs!$E$5:$E$120=$B24)*Inputs!$F$5:$F$120*(((Inputs!$G$5:$G$120="moeda")+(Inputs!$G$5:$G$120="acoes"))*Inputs!$B$1+((Inputs!$G$5:$G$120&lt;&gt;"moeda")*(Inputs!$G$5:$G$120&lt;&gt;"acoes")))*INDEX(Inputs!$K$5:$AJ$120,0,MATCH(K$2,Inputs!$K$4:$AJ$4,0)))))</f>
        <v>0</v>
      </c>
      <c r="L24" s="267">
        <f>IF(ISNA(MATCH(L$2,Inputs!$K$4:$AJ$4,0)),NA(),IF(SUMPRODUCT((Inputs!$A$5:$A$120=$B24)*ISNUMBER(INDEX(Inputs!$K$5:$AJ$120,0,MATCH(L$2,Inputs!$K$4:$AJ$4,0))))+SUMPRODUCT((Inputs!$C$5:$C$120=$B24)*ISNUMBER(INDEX(Inputs!$K$5:$AJ$120,0,MATCH(L$2,Inputs!$K$4:$AJ$4,0))))+SUMPRODUCT((Inputs!$E$5:$E$120=$B24)*ISNUMBER(INDEX(Inputs!$K$5:$AJ$120,0,MATCH(L$2,Inputs!$K$4:$AJ$4,0))))=0,NA(),SUMPRODUCT((Inputs!$A$5:$A$120=$B24)*Inputs!$B$5:$B$120*(((Inputs!$G$5:$G$120="moeda")+(Inputs!$G$5:$G$120="acoes"))*Inputs!$B$1+((Inputs!$G$5:$G$120&lt;&gt;"moeda")*(Inputs!$G$5:$G$120&lt;&gt;"acoes")))*INDEX(Inputs!$K$5:$AJ$120,0,MATCH(L$2,Inputs!$K$4:$AJ$4,0)))+SUMPRODUCT((Inputs!$C$5:$C$120=$B24)*Inputs!$D$5:$D$120*(((Inputs!$G$5:$G$120="moeda")+(Inputs!$G$5:$G$120="acoes"))*Inputs!$B$1+((Inputs!$G$5:$G$120&lt;&gt;"moeda")*(Inputs!$G$5:$G$120&lt;&gt;"acoes")))*INDEX(Inputs!$K$5:$AJ$120,0,MATCH(L$2,Inputs!$K$4:$AJ$4,0)))+SUMPRODUCT((Inputs!$E$5:$E$120=$B24)*Inputs!$F$5:$F$120*(((Inputs!$G$5:$G$120="moeda")+(Inputs!$G$5:$G$120="acoes"))*Inputs!$B$1+((Inputs!$G$5:$G$120&lt;&gt;"moeda")*(Inputs!$G$5:$G$120&lt;&gt;"acoes")))*INDEX(Inputs!$K$5:$AJ$120,0,MATCH(L$2,Inputs!$K$4:$AJ$4,0)))))</f>
        <v>0</v>
      </c>
      <c r="M24" s="268">
        <f>L24</f>
        <v>0</v>
      </c>
      <c r="N24" s="267">
        <f>IF(ISNA(MATCH(N$2,Inputs!$K$4:$AJ$4,0)),NA(),IF(SUMPRODUCT((Inputs!$A$5:$A$120=$B24)*ISNUMBER(INDEX(Inputs!$K$5:$AJ$120,0,MATCH(N$2,Inputs!$K$4:$AJ$4,0))))+SUMPRODUCT((Inputs!$C$5:$C$120=$B24)*ISNUMBER(INDEX(Inputs!$K$5:$AJ$120,0,MATCH(N$2,Inputs!$K$4:$AJ$4,0))))+SUMPRODUCT((Inputs!$E$5:$E$120=$B24)*ISNUMBER(INDEX(Inputs!$K$5:$AJ$120,0,MATCH(N$2,Inputs!$K$4:$AJ$4,0))))=0,NA(),SUMPRODUCT((Inputs!$A$5:$A$120=$B24)*Inputs!$B$5:$B$120*(((Inputs!$G$5:$G$120="moeda")+(Inputs!$G$5:$G$120="acoes"))*Inputs!$B$1+((Inputs!$G$5:$G$120&lt;&gt;"moeda")*(Inputs!$G$5:$G$120&lt;&gt;"acoes")))*INDEX(Inputs!$K$5:$AJ$120,0,MATCH(N$2,Inputs!$K$4:$AJ$4,0)))+SUMPRODUCT((Inputs!$C$5:$C$120=$B24)*Inputs!$D$5:$D$120*(((Inputs!$G$5:$G$120="moeda")+(Inputs!$G$5:$G$120="acoes"))*Inputs!$B$1+((Inputs!$G$5:$G$120&lt;&gt;"moeda")*(Inputs!$G$5:$G$120&lt;&gt;"acoes")))*INDEX(Inputs!$K$5:$AJ$120,0,MATCH(N$2,Inputs!$K$4:$AJ$4,0)))+SUMPRODUCT((Inputs!$E$5:$E$120=$B24)*Inputs!$F$5:$F$120*(((Inputs!$G$5:$G$120="moeda")+(Inputs!$G$5:$G$120="acoes"))*Inputs!$B$1+((Inputs!$G$5:$G$120&lt;&gt;"moeda")*(Inputs!$G$5:$G$120&lt;&gt;"acoes")))*INDEX(Inputs!$K$5:$AJ$120,0,MATCH(N$2,Inputs!$K$4:$AJ$4,0)))))</f>
        <v>0</v>
      </c>
      <c r="O24" s="267">
        <f>IF(ISNA(MATCH(O$2,Inputs!$K$4:$AJ$4,0)),NA(),IF(SUMPRODUCT((Inputs!$A$5:$A$120=$B24)*ISNUMBER(INDEX(Inputs!$K$5:$AJ$120,0,MATCH(O$2,Inputs!$K$4:$AJ$4,0))))+SUMPRODUCT((Inputs!$C$5:$C$120=$B24)*ISNUMBER(INDEX(Inputs!$K$5:$AJ$120,0,MATCH(O$2,Inputs!$K$4:$AJ$4,0))))+SUMPRODUCT((Inputs!$E$5:$E$120=$B24)*ISNUMBER(INDEX(Inputs!$K$5:$AJ$120,0,MATCH(O$2,Inputs!$K$4:$AJ$4,0))))=0,NA(),SUMPRODUCT((Inputs!$A$5:$A$120=$B24)*Inputs!$B$5:$B$120*(((Inputs!$G$5:$G$120="moeda")+(Inputs!$G$5:$G$120="acoes"))*Inputs!$B$1+((Inputs!$G$5:$G$120&lt;&gt;"moeda")*(Inputs!$G$5:$G$120&lt;&gt;"acoes")))*INDEX(Inputs!$K$5:$AJ$120,0,MATCH(O$2,Inputs!$K$4:$AJ$4,0)))+SUMPRODUCT((Inputs!$C$5:$C$120=$B24)*Inputs!$D$5:$D$120*(((Inputs!$G$5:$G$120="moeda")+(Inputs!$G$5:$G$120="acoes"))*Inputs!$B$1+((Inputs!$G$5:$G$120&lt;&gt;"moeda")*(Inputs!$G$5:$G$120&lt;&gt;"acoes")))*INDEX(Inputs!$K$5:$AJ$120,0,MATCH(O$2,Inputs!$K$4:$AJ$4,0)))+SUMPRODUCT((Inputs!$E$5:$E$120=$B24)*Inputs!$F$5:$F$120*(((Inputs!$G$5:$G$120="moeda")+(Inputs!$G$5:$G$120="acoes"))*Inputs!$B$1+((Inputs!$G$5:$G$120&lt;&gt;"moeda")*(Inputs!$G$5:$G$120&lt;&gt;"acoes")))*INDEX(Inputs!$K$5:$AJ$120,0,MATCH(O$2,Inputs!$K$4:$AJ$4,0)))))</f>
        <v>0</v>
      </c>
      <c r="P24" s="267">
        <f>IF(ISNA(MATCH(P$2,Inputs!$K$4:$AJ$4,0)),NA(),IF(SUMPRODUCT((Inputs!$A$5:$A$120=$B24)*ISNUMBER(INDEX(Inputs!$K$5:$AJ$120,0,MATCH(P$2,Inputs!$K$4:$AJ$4,0))))+SUMPRODUCT((Inputs!$C$5:$C$120=$B24)*ISNUMBER(INDEX(Inputs!$K$5:$AJ$120,0,MATCH(P$2,Inputs!$K$4:$AJ$4,0))))+SUMPRODUCT((Inputs!$E$5:$E$120=$B24)*ISNUMBER(INDEX(Inputs!$K$5:$AJ$120,0,MATCH(P$2,Inputs!$K$4:$AJ$4,0))))=0,NA(),SUMPRODUCT((Inputs!$A$5:$A$120=$B24)*Inputs!$B$5:$B$120*(((Inputs!$G$5:$G$120="moeda")+(Inputs!$G$5:$G$120="acoes"))*Inputs!$B$1+((Inputs!$G$5:$G$120&lt;&gt;"moeda")*(Inputs!$G$5:$G$120&lt;&gt;"acoes")))*INDEX(Inputs!$K$5:$AJ$120,0,MATCH(P$2,Inputs!$K$4:$AJ$4,0)))+SUMPRODUCT((Inputs!$C$5:$C$120=$B24)*Inputs!$D$5:$D$120*(((Inputs!$G$5:$G$120="moeda")+(Inputs!$G$5:$G$120="acoes"))*Inputs!$B$1+((Inputs!$G$5:$G$120&lt;&gt;"moeda")*(Inputs!$G$5:$G$120&lt;&gt;"acoes")))*INDEX(Inputs!$K$5:$AJ$120,0,MATCH(P$2,Inputs!$K$4:$AJ$4,0)))+SUMPRODUCT((Inputs!$E$5:$E$120=$B24)*Inputs!$F$5:$F$120*(((Inputs!$G$5:$G$120="moeda")+(Inputs!$G$5:$G$120="acoes"))*Inputs!$B$1+((Inputs!$G$5:$G$120&lt;&gt;"moeda")*(Inputs!$G$5:$G$120&lt;&gt;"acoes")))*INDEX(Inputs!$K$5:$AJ$120,0,MATCH(P$2,Inputs!$K$4:$AJ$4,0)))))</f>
        <v>0</v>
      </c>
      <c r="Q24" s="267">
        <f>IF(ISNA(MATCH(Q$2,Inputs!$K$4:$AJ$4,0)),NA(),IF(SUMPRODUCT((Inputs!$A$5:$A$120=$B24)*ISNUMBER(INDEX(Inputs!$K$5:$AJ$120,0,MATCH(Q$2,Inputs!$K$4:$AJ$4,0))))+SUMPRODUCT((Inputs!$C$5:$C$120=$B24)*ISNUMBER(INDEX(Inputs!$K$5:$AJ$120,0,MATCH(Q$2,Inputs!$K$4:$AJ$4,0))))+SUMPRODUCT((Inputs!$E$5:$E$120=$B24)*ISNUMBER(INDEX(Inputs!$K$5:$AJ$120,0,MATCH(Q$2,Inputs!$K$4:$AJ$4,0))))=0,NA(),SUMPRODUCT((Inputs!$A$5:$A$120=$B24)*Inputs!$B$5:$B$120*(((Inputs!$G$5:$G$120="moeda")+(Inputs!$G$5:$G$120="acoes"))*Inputs!$B$1+((Inputs!$G$5:$G$120&lt;&gt;"moeda")*(Inputs!$G$5:$G$120&lt;&gt;"acoes")))*INDEX(Inputs!$K$5:$AJ$120,0,MATCH(Q$2,Inputs!$K$4:$AJ$4,0)))+SUMPRODUCT((Inputs!$C$5:$C$120=$B24)*Inputs!$D$5:$D$120*(((Inputs!$G$5:$G$120="moeda")+(Inputs!$G$5:$G$120="acoes"))*Inputs!$B$1+((Inputs!$G$5:$G$120&lt;&gt;"moeda")*(Inputs!$G$5:$G$120&lt;&gt;"acoes")))*INDEX(Inputs!$K$5:$AJ$120,0,MATCH(Q$2,Inputs!$K$4:$AJ$4,0)))+SUMPRODUCT((Inputs!$E$5:$E$120=$B24)*Inputs!$F$5:$F$120*(((Inputs!$G$5:$G$120="moeda")+(Inputs!$G$5:$G$120="acoes"))*Inputs!$B$1+((Inputs!$G$5:$G$120&lt;&gt;"moeda")*(Inputs!$G$5:$G$120&lt;&gt;"acoes")))*INDEX(Inputs!$K$5:$AJ$120,0,MATCH(Q$2,Inputs!$K$4:$AJ$4,0)))))</f>
        <v>0</v>
      </c>
      <c r="R24" s="268">
        <f>Q24</f>
        <v>0</v>
      </c>
      <c r="S24" s="267">
        <f>IF(ISNA(MATCH(S$2,Inputs!$K$4:$AJ$4,0)),NA(),IF(SUMPRODUCT((Inputs!$A$5:$A$120=$B24)*ISNUMBER(INDEX(Inputs!$K$5:$AJ$120,0,MATCH(S$2,Inputs!$K$4:$AJ$4,0))))+SUMPRODUCT((Inputs!$C$5:$C$120=$B24)*ISNUMBER(INDEX(Inputs!$K$5:$AJ$120,0,MATCH(S$2,Inputs!$K$4:$AJ$4,0))))+SUMPRODUCT((Inputs!$E$5:$E$120=$B24)*ISNUMBER(INDEX(Inputs!$K$5:$AJ$120,0,MATCH(S$2,Inputs!$K$4:$AJ$4,0))))=0,NA(),SUMPRODUCT((Inputs!$A$5:$A$120=$B24)*Inputs!$B$5:$B$120*(((Inputs!$G$5:$G$120="moeda")+(Inputs!$G$5:$G$120="acoes"))*Inputs!$B$1+((Inputs!$G$5:$G$120&lt;&gt;"moeda")*(Inputs!$G$5:$G$120&lt;&gt;"acoes")))*INDEX(Inputs!$K$5:$AJ$120,0,MATCH(S$2,Inputs!$K$4:$AJ$4,0)))+SUMPRODUCT((Inputs!$C$5:$C$120=$B24)*Inputs!$D$5:$D$120*(((Inputs!$G$5:$G$120="moeda")+(Inputs!$G$5:$G$120="acoes"))*Inputs!$B$1+((Inputs!$G$5:$G$120&lt;&gt;"moeda")*(Inputs!$G$5:$G$120&lt;&gt;"acoes")))*INDEX(Inputs!$K$5:$AJ$120,0,MATCH(S$2,Inputs!$K$4:$AJ$4,0)))+SUMPRODUCT((Inputs!$E$5:$E$120=$B24)*Inputs!$F$5:$F$120*(((Inputs!$G$5:$G$120="moeda")+(Inputs!$G$5:$G$120="acoes"))*Inputs!$B$1+((Inputs!$G$5:$G$120&lt;&gt;"moeda")*(Inputs!$G$5:$G$120&lt;&gt;"acoes")))*INDEX(Inputs!$K$5:$AJ$120,0,MATCH(S$2,Inputs!$K$4:$AJ$4,0)))))</f>
        <v>0</v>
      </c>
      <c r="T24" s="267">
        <f>IF(ISNA(MATCH(T$2,Inputs!$K$4:$AJ$4,0)),NA(),IF(SUMPRODUCT((Inputs!$A$5:$A$120=$B24)*ISNUMBER(INDEX(Inputs!$K$5:$AJ$120,0,MATCH(T$2,Inputs!$K$4:$AJ$4,0))))+SUMPRODUCT((Inputs!$C$5:$C$120=$B24)*ISNUMBER(INDEX(Inputs!$K$5:$AJ$120,0,MATCH(T$2,Inputs!$K$4:$AJ$4,0))))+SUMPRODUCT((Inputs!$E$5:$E$120=$B24)*ISNUMBER(INDEX(Inputs!$K$5:$AJ$120,0,MATCH(T$2,Inputs!$K$4:$AJ$4,0))))=0,NA(),SUMPRODUCT((Inputs!$A$5:$A$120=$B24)*Inputs!$B$5:$B$120*(((Inputs!$G$5:$G$120="moeda")+(Inputs!$G$5:$G$120="acoes"))*Inputs!$B$1+((Inputs!$G$5:$G$120&lt;&gt;"moeda")*(Inputs!$G$5:$G$120&lt;&gt;"acoes")))*INDEX(Inputs!$K$5:$AJ$120,0,MATCH(T$2,Inputs!$K$4:$AJ$4,0)))+SUMPRODUCT((Inputs!$C$5:$C$120=$B24)*Inputs!$D$5:$D$120*(((Inputs!$G$5:$G$120="moeda")+(Inputs!$G$5:$G$120="acoes"))*Inputs!$B$1+((Inputs!$G$5:$G$120&lt;&gt;"moeda")*(Inputs!$G$5:$G$120&lt;&gt;"acoes")))*INDEX(Inputs!$K$5:$AJ$120,0,MATCH(T$2,Inputs!$K$4:$AJ$4,0)))+SUMPRODUCT((Inputs!$E$5:$E$120=$B24)*Inputs!$F$5:$F$120*(((Inputs!$G$5:$G$120="moeda")+(Inputs!$G$5:$G$120="acoes"))*Inputs!$B$1+((Inputs!$G$5:$G$120&lt;&gt;"moeda")*(Inputs!$G$5:$G$120&lt;&gt;"acoes")))*INDEX(Inputs!$K$5:$AJ$120,0,MATCH(T$2,Inputs!$K$4:$AJ$4,0)))))</f>
        <v>0</v>
      </c>
      <c r="U24" s="267">
        <f>IF(ISNA(MATCH(U$2,Inputs!$K$4:$AJ$4,0)),NA(),IF(SUMPRODUCT((Inputs!$A$5:$A$120=$B24)*ISNUMBER(INDEX(Inputs!$K$5:$AJ$120,0,MATCH(U$2,Inputs!$K$4:$AJ$4,0))))+SUMPRODUCT((Inputs!$C$5:$C$120=$B24)*ISNUMBER(INDEX(Inputs!$K$5:$AJ$120,0,MATCH(U$2,Inputs!$K$4:$AJ$4,0))))+SUMPRODUCT((Inputs!$E$5:$E$120=$B24)*ISNUMBER(INDEX(Inputs!$K$5:$AJ$120,0,MATCH(U$2,Inputs!$K$4:$AJ$4,0))))=0,NA(),SUMPRODUCT((Inputs!$A$5:$A$120=$B24)*Inputs!$B$5:$B$120*(((Inputs!$G$5:$G$120="moeda")+(Inputs!$G$5:$G$120="acoes"))*Inputs!$B$1+((Inputs!$G$5:$G$120&lt;&gt;"moeda")*(Inputs!$G$5:$G$120&lt;&gt;"acoes")))*INDEX(Inputs!$K$5:$AJ$120,0,MATCH(U$2,Inputs!$K$4:$AJ$4,0)))+SUMPRODUCT((Inputs!$C$5:$C$120=$B24)*Inputs!$D$5:$D$120*(((Inputs!$G$5:$G$120="moeda")+(Inputs!$G$5:$G$120="acoes"))*Inputs!$B$1+((Inputs!$G$5:$G$120&lt;&gt;"moeda")*(Inputs!$G$5:$G$120&lt;&gt;"acoes")))*INDEX(Inputs!$K$5:$AJ$120,0,MATCH(U$2,Inputs!$K$4:$AJ$4,0)))+SUMPRODUCT((Inputs!$E$5:$E$120=$B24)*Inputs!$F$5:$F$120*(((Inputs!$G$5:$G$120="moeda")+(Inputs!$G$5:$G$120="acoes"))*Inputs!$B$1+((Inputs!$G$5:$G$120&lt;&gt;"moeda")*(Inputs!$G$5:$G$120&lt;&gt;"acoes")))*INDEX(Inputs!$K$5:$AJ$120,0,MATCH(U$2,Inputs!$K$4:$AJ$4,0)))))</f>
        <v>0</v>
      </c>
      <c r="V24" s="267">
        <f>IF(ISNA(MATCH(V$2,Inputs!$K$4:$AJ$4,0)),NA(),IF(SUMPRODUCT((Inputs!$A$5:$A$120=$B24)*ISNUMBER(INDEX(Inputs!$K$5:$AJ$120,0,MATCH(V$2,Inputs!$K$4:$AJ$4,0))))+SUMPRODUCT((Inputs!$C$5:$C$120=$B24)*ISNUMBER(INDEX(Inputs!$K$5:$AJ$120,0,MATCH(V$2,Inputs!$K$4:$AJ$4,0))))+SUMPRODUCT((Inputs!$E$5:$E$120=$B24)*ISNUMBER(INDEX(Inputs!$K$5:$AJ$120,0,MATCH(V$2,Inputs!$K$4:$AJ$4,0))))=0,NA(),SUMPRODUCT((Inputs!$A$5:$A$120=$B24)*Inputs!$B$5:$B$120*(((Inputs!$G$5:$G$120="moeda")+(Inputs!$G$5:$G$120="acoes"))*Inputs!$B$1+((Inputs!$G$5:$G$120&lt;&gt;"moeda")*(Inputs!$G$5:$G$120&lt;&gt;"acoes")))*INDEX(Inputs!$K$5:$AJ$120,0,MATCH(V$2,Inputs!$K$4:$AJ$4,0)))+SUMPRODUCT((Inputs!$C$5:$C$120=$B24)*Inputs!$D$5:$D$120*(((Inputs!$G$5:$G$120="moeda")+(Inputs!$G$5:$G$120="acoes"))*Inputs!$B$1+((Inputs!$G$5:$G$120&lt;&gt;"moeda")*(Inputs!$G$5:$G$120&lt;&gt;"acoes")))*INDEX(Inputs!$K$5:$AJ$120,0,MATCH(V$2,Inputs!$K$4:$AJ$4,0)))+SUMPRODUCT((Inputs!$E$5:$E$120=$B24)*Inputs!$F$5:$F$120*(((Inputs!$G$5:$G$120="moeda")+(Inputs!$G$5:$G$120="acoes"))*Inputs!$B$1+((Inputs!$G$5:$G$120&lt;&gt;"moeda")*(Inputs!$G$5:$G$120&lt;&gt;"acoes")))*INDEX(Inputs!$K$5:$AJ$120,0,MATCH(V$2,Inputs!$K$4:$AJ$4,0)))))</f>
        <v>0</v>
      </c>
      <c r="W24" s="268">
        <f>V24</f>
        <v>0</v>
      </c>
      <c r="X24" s="267">
        <f>IF(ISNA(MATCH(X$2,Inputs!$K$4:$AJ$4,0)),NA(),IF(SUMPRODUCT((Inputs!$A$5:$A$120=$B24)*ISNUMBER(INDEX(Inputs!$K$5:$AJ$120,0,MATCH(X$2,Inputs!$K$4:$AJ$4,0))))+SUMPRODUCT((Inputs!$C$5:$C$120=$B24)*ISNUMBER(INDEX(Inputs!$K$5:$AJ$120,0,MATCH(X$2,Inputs!$K$4:$AJ$4,0))))+SUMPRODUCT((Inputs!$E$5:$E$120=$B24)*ISNUMBER(INDEX(Inputs!$K$5:$AJ$120,0,MATCH(X$2,Inputs!$K$4:$AJ$4,0))))=0,NA(),SUMPRODUCT((Inputs!$A$5:$A$120=$B24)*Inputs!$B$5:$B$120*(((Inputs!$G$5:$G$120="moeda")+(Inputs!$G$5:$G$120="acoes"))*Inputs!$B$1+((Inputs!$G$5:$G$120&lt;&gt;"moeda")*(Inputs!$G$5:$G$120&lt;&gt;"acoes")))*INDEX(Inputs!$K$5:$AJ$120,0,MATCH(X$2,Inputs!$K$4:$AJ$4,0)))+SUMPRODUCT((Inputs!$C$5:$C$120=$B24)*Inputs!$D$5:$D$120*(((Inputs!$G$5:$G$120="moeda")+(Inputs!$G$5:$G$120="acoes"))*Inputs!$B$1+((Inputs!$G$5:$G$120&lt;&gt;"moeda")*(Inputs!$G$5:$G$120&lt;&gt;"acoes")))*INDEX(Inputs!$K$5:$AJ$120,0,MATCH(X$2,Inputs!$K$4:$AJ$4,0)))+SUMPRODUCT((Inputs!$E$5:$E$120=$B24)*Inputs!$F$5:$F$120*(((Inputs!$G$5:$G$120="moeda")+(Inputs!$G$5:$G$120="acoes"))*Inputs!$B$1+((Inputs!$G$5:$G$120&lt;&gt;"moeda")*(Inputs!$G$5:$G$120&lt;&gt;"acoes")))*INDEX(Inputs!$K$5:$AJ$120,0,MATCH(X$2,Inputs!$K$4:$AJ$4,0)))))</f>
        <v>0</v>
      </c>
      <c r="Y24" s="267">
        <f>IF(ISNA(MATCH(Y$2,Inputs!$K$4:$AJ$4,0)),NA(),IF(SUMPRODUCT((Inputs!$A$5:$A$120=$B24)*ISNUMBER(INDEX(Inputs!$K$5:$AJ$120,0,MATCH(Y$2,Inputs!$K$4:$AJ$4,0))))+SUMPRODUCT((Inputs!$C$5:$C$120=$B24)*ISNUMBER(INDEX(Inputs!$K$5:$AJ$120,0,MATCH(Y$2,Inputs!$K$4:$AJ$4,0))))+SUMPRODUCT((Inputs!$E$5:$E$120=$B24)*ISNUMBER(INDEX(Inputs!$K$5:$AJ$120,0,MATCH(Y$2,Inputs!$K$4:$AJ$4,0))))=0,NA(),SUMPRODUCT((Inputs!$A$5:$A$120=$B24)*Inputs!$B$5:$B$120*(((Inputs!$G$5:$G$120="moeda")+(Inputs!$G$5:$G$120="acoes"))*Inputs!$B$1+((Inputs!$G$5:$G$120&lt;&gt;"moeda")*(Inputs!$G$5:$G$120&lt;&gt;"acoes")))*INDEX(Inputs!$K$5:$AJ$120,0,MATCH(Y$2,Inputs!$K$4:$AJ$4,0)))+SUMPRODUCT((Inputs!$C$5:$C$120=$B24)*Inputs!$D$5:$D$120*(((Inputs!$G$5:$G$120="moeda")+(Inputs!$G$5:$G$120="acoes"))*Inputs!$B$1+((Inputs!$G$5:$G$120&lt;&gt;"moeda")*(Inputs!$G$5:$G$120&lt;&gt;"acoes")))*INDEX(Inputs!$K$5:$AJ$120,0,MATCH(Y$2,Inputs!$K$4:$AJ$4,0)))+SUMPRODUCT((Inputs!$E$5:$E$120=$B24)*Inputs!$F$5:$F$120*(((Inputs!$G$5:$G$120="moeda")+(Inputs!$G$5:$G$120="acoes"))*Inputs!$B$1+((Inputs!$G$5:$G$120&lt;&gt;"moeda")*(Inputs!$G$5:$G$120&lt;&gt;"acoes")))*INDEX(Inputs!$K$5:$AJ$120,0,MATCH(Y$2,Inputs!$K$4:$AJ$4,0)))))</f>
        <v>0</v>
      </c>
      <c r="Z24" s="267">
        <f>IF(ISNA(MATCH(Z$2,Inputs!$K$4:$AJ$4,0)),NA(),IF(SUMPRODUCT((Inputs!$A$5:$A$120=$B24)*ISNUMBER(INDEX(Inputs!$K$5:$AJ$120,0,MATCH(Z$2,Inputs!$K$4:$AJ$4,0))))+SUMPRODUCT((Inputs!$C$5:$C$120=$B24)*ISNUMBER(INDEX(Inputs!$K$5:$AJ$120,0,MATCH(Z$2,Inputs!$K$4:$AJ$4,0))))+SUMPRODUCT((Inputs!$E$5:$E$120=$B24)*ISNUMBER(INDEX(Inputs!$K$5:$AJ$120,0,MATCH(Z$2,Inputs!$K$4:$AJ$4,0))))=0,NA(),SUMPRODUCT((Inputs!$A$5:$A$120=$B24)*Inputs!$B$5:$B$120*(((Inputs!$G$5:$G$120="moeda")+(Inputs!$G$5:$G$120="acoes"))*Inputs!$B$1+((Inputs!$G$5:$G$120&lt;&gt;"moeda")*(Inputs!$G$5:$G$120&lt;&gt;"acoes")))*INDEX(Inputs!$K$5:$AJ$120,0,MATCH(Z$2,Inputs!$K$4:$AJ$4,0)))+SUMPRODUCT((Inputs!$C$5:$C$120=$B24)*Inputs!$D$5:$D$120*(((Inputs!$G$5:$G$120="moeda")+(Inputs!$G$5:$G$120="acoes"))*Inputs!$B$1+((Inputs!$G$5:$G$120&lt;&gt;"moeda")*(Inputs!$G$5:$G$120&lt;&gt;"acoes")))*INDEX(Inputs!$K$5:$AJ$120,0,MATCH(Z$2,Inputs!$K$4:$AJ$4,0)))+SUMPRODUCT((Inputs!$E$5:$E$120=$B24)*Inputs!$F$5:$F$120*(((Inputs!$G$5:$G$120="moeda")+(Inputs!$G$5:$G$120="acoes"))*Inputs!$B$1+((Inputs!$G$5:$G$120&lt;&gt;"moeda")*(Inputs!$G$5:$G$120&lt;&gt;"acoes")))*INDEX(Inputs!$K$5:$AJ$120,0,MATCH(Z$2,Inputs!$K$4:$AJ$4,0)))))</f>
        <v>0</v>
      </c>
      <c r="AA24" s="267">
        <f>IF(ISNA(MATCH(AA$2,Inputs!$K$4:$AJ$4,0)),NA(),IF(SUMPRODUCT((Inputs!$A$5:$A$120=$B24)*ISNUMBER(INDEX(Inputs!$K$5:$AJ$120,0,MATCH(AA$2,Inputs!$K$4:$AJ$4,0))))+SUMPRODUCT((Inputs!$C$5:$C$120=$B24)*ISNUMBER(INDEX(Inputs!$K$5:$AJ$120,0,MATCH(AA$2,Inputs!$K$4:$AJ$4,0))))+SUMPRODUCT((Inputs!$E$5:$E$120=$B24)*ISNUMBER(INDEX(Inputs!$K$5:$AJ$120,0,MATCH(AA$2,Inputs!$K$4:$AJ$4,0))))=0,NA(),SUMPRODUCT((Inputs!$A$5:$A$120=$B24)*Inputs!$B$5:$B$120*(((Inputs!$G$5:$G$120="moeda")+(Inputs!$G$5:$G$120="acoes"))*Inputs!$B$1+((Inputs!$G$5:$G$120&lt;&gt;"moeda")*(Inputs!$G$5:$G$120&lt;&gt;"acoes")))*INDEX(Inputs!$K$5:$AJ$120,0,MATCH(AA$2,Inputs!$K$4:$AJ$4,0)))+SUMPRODUCT((Inputs!$C$5:$C$120=$B24)*Inputs!$D$5:$D$120*(((Inputs!$G$5:$G$120="moeda")+(Inputs!$G$5:$G$120="acoes"))*Inputs!$B$1+((Inputs!$G$5:$G$120&lt;&gt;"moeda")*(Inputs!$G$5:$G$120&lt;&gt;"acoes")))*INDEX(Inputs!$K$5:$AJ$120,0,MATCH(AA$2,Inputs!$K$4:$AJ$4,0)))+SUMPRODUCT((Inputs!$E$5:$E$120=$B24)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4" s="268">
        <f>AA24</f>
        <v>0</v>
      </c>
      <c r="AC24" s="267">
        <f>IF(ISNA(MATCH(AC$2,Inputs!$K$4:$AJ$4,0)),NA(),IF(SUMPRODUCT((Inputs!$A$5:$A$120=$B24)*ISNUMBER(INDEX(Inputs!$K$5:$AJ$120,0,MATCH(AC$2,Inputs!$K$4:$AJ$4,0))))+SUMPRODUCT((Inputs!$C$5:$C$120=$B24)*ISNUMBER(INDEX(Inputs!$K$5:$AJ$120,0,MATCH(AC$2,Inputs!$K$4:$AJ$4,0))))+SUMPRODUCT((Inputs!$E$5:$E$120=$B24)*ISNUMBER(INDEX(Inputs!$K$5:$AJ$120,0,MATCH(AC$2,Inputs!$K$4:$AJ$4,0))))=0,NA(),SUMPRODUCT((Inputs!$A$5:$A$120=$B24)*Inputs!$B$5:$B$120*(((Inputs!$G$5:$G$120="moeda")+(Inputs!$G$5:$G$120="acoes"))*Inputs!$B$1+((Inputs!$G$5:$G$120&lt;&gt;"moeda")*(Inputs!$G$5:$G$120&lt;&gt;"acoes")))*INDEX(Inputs!$K$5:$AJ$120,0,MATCH(AC$2,Inputs!$K$4:$AJ$4,0)))+SUMPRODUCT((Inputs!$C$5:$C$120=$B24)*Inputs!$D$5:$D$120*(((Inputs!$G$5:$G$120="moeda")+(Inputs!$G$5:$G$120="acoes"))*Inputs!$B$1+((Inputs!$G$5:$G$120&lt;&gt;"moeda")*(Inputs!$G$5:$G$120&lt;&gt;"acoes")))*INDEX(Inputs!$K$5:$AJ$120,0,MATCH(AC$2,Inputs!$K$4:$AJ$4,0)))+SUMPRODUCT((Inputs!$E$5:$E$120=$B24)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4" s="267">
        <f>IF(ISNA(MATCH(AD$2,Inputs!$K$4:$AJ$4,0)),NA(),IF(SUMPRODUCT((Inputs!$A$5:$A$120=$B24)*ISNUMBER(INDEX(Inputs!$K$5:$AJ$120,0,MATCH(AD$2,Inputs!$K$4:$AJ$4,0))))+SUMPRODUCT((Inputs!$C$5:$C$120=$B24)*ISNUMBER(INDEX(Inputs!$K$5:$AJ$120,0,MATCH(AD$2,Inputs!$K$4:$AJ$4,0))))+SUMPRODUCT((Inputs!$E$5:$E$120=$B24)*ISNUMBER(INDEX(Inputs!$K$5:$AJ$120,0,MATCH(AD$2,Inputs!$K$4:$AJ$4,0))))=0,NA(),SUMPRODUCT((Inputs!$A$5:$A$120=$B24)*Inputs!$B$5:$B$120*(((Inputs!$G$5:$G$120="moeda")+(Inputs!$G$5:$G$120="acoes"))*Inputs!$B$1+((Inputs!$G$5:$G$120&lt;&gt;"moeda")*(Inputs!$G$5:$G$120&lt;&gt;"acoes")))*INDEX(Inputs!$K$5:$AJ$120,0,MATCH(AD$2,Inputs!$K$4:$AJ$4,0)))+SUMPRODUCT((Inputs!$C$5:$C$120=$B24)*Inputs!$D$5:$D$120*(((Inputs!$G$5:$G$120="moeda")+(Inputs!$G$5:$G$120="acoes"))*Inputs!$B$1+((Inputs!$G$5:$G$120&lt;&gt;"moeda")*(Inputs!$G$5:$G$120&lt;&gt;"acoes")))*INDEX(Inputs!$K$5:$AJ$120,0,MATCH(AD$2,Inputs!$K$4:$AJ$4,0)))+SUMPRODUCT((Inputs!$E$5:$E$120=$B24)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4" s="267" t="e">
        <f>IF(ISNA(MATCH(AE$2,Inputs!$K$4:$AJ$4,0)),NA(),IF(SUMPRODUCT((Inputs!$A$5:$A$120=$B24)*ISNUMBER(INDEX(Inputs!$K$5:$AJ$120,0,MATCH(AE$2,Inputs!$K$4:$AJ$4,0))))+SUMPRODUCT((Inputs!$C$5:$C$120=$B24)*ISNUMBER(INDEX(Inputs!$K$5:$AJ$120,0,MATCH(AE$2,Inputs!$K$4:$AJ$4,0))))+SUMPRODUCT((Inputs!$E$5:$E$120=$B24)*ISNUMBER(INDEX(Inputs!$K$5:$AJ$120,0,MATCH(AE$2,Inputs!$K$4:$AJ$4,0))))=0,NA(),SUMPRODUCT((Inputs!$A$5:$A$120=$B24)*Inputs!$B$5:$B$120*(((Inputs!$G$5:$G$120="moeda")+(Inputs!$G$5:$G$120="acoes"))*Inputs!$B$1+((Inputs!$G$5:$G$120&lt;&gt;"moeda")*(Inputs!$G$5:$G$120&lt;&gt;"acoes")))*INDEX(Inputs!$K$5:$AJ$120,0,MATCH(AE$2,Inputs!$K$4:$AJ$4,0)))+SUMPRODUCT((Inputs!$C$5:$C$120=$B24)*Inputs!$D$5:$D$120*(((Inputs!$G$5:$G$120="moeda")+(Inputs!$G$5:$G$120="acoes"))*Inputs!$B$1+((Inputs!$G$5:$G$120&lt;&gt;"moeda")*(Inputs!$G$5:$G$120&lt;&gt;"acoes")))*INDEX(Inputs!$K$5:$AJ$120,0,MATCH(AE$2,Inputs!$K$4:$AJ$4,0)))+SUMPRODUCT((Inputs!$E$5:$E$120=$B24)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4" s="267" t="e">
        <f>IF(ISNA(MATCH(AF$2,Inputs!$K$4:$AJ$4,0)),NA(),IF(SUMPRODUCT((Inputs!$A$5:$A$120=$B24)*ISNUMBER(INDEX(Inputs!$K$5:$AJ$120,0,MATCH(AF$2,Inputs!$K$4:$AJ$4,0))))+SUMPRODUCT((Inputs!$C$5:$C$120=$B24)*ISNUMBER(INDEX(Inputs!$K$5:$AJ$120,0,MATCH(AF$2,Inputs!$K$4:$AJ$4,0))))+SUMPRODUCT((Inputs!$E$5:$E$120=$B24)*ISNUMBER(INDEX(Inputs!$K$5:$AJ$120,0,MATCH(AF$2,Inputs!$K$4:$AJ$4,0))))=0,NA(),SUMPRODUCT((Inputs!$A$5:$A$120=$B24)*Inputs!$B$5:$B$120*(((Inputs!$G$5:$G$120="moeda")+(Inputs!$G$5:$G$120="acoes"))*Inputs!$B$1+((Inputs!$G$5:$G$120&lt;&gt;"moeda")*(Inputs!$G$5:$G$120&lt;&gt;"acoes")))*INDEX(Inputs!$K$5:$AJ$120,0,MATCH(AF$2,Inputs!$K$4:$AJ$4,0)))+SUMPRODUCT((Inputs!$C$5:$C$120=$B24)*Inputs!$D$5:$D$120*(((Inputs!$G$5:$G$120="moeda")+(Inputs!$G$5:$G$120="acoes"))*Inputs!$B$1+((Inputs!$G$5:$G$120&lt;&gt;"moeda")*(Inputs!$G$5:$G$120&lt;&gt;"acoes")))*INDEX(Inputs!$K$5:$AJ$120,0,MATCH(AF$2,Inputs!$K$4:$AJ$4,0)))+SUMPRODUCT((Inputs!$E$5:$E$120=$B24)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4" s="268" t="e">
        <f>AF24</f>
        <v>#N/A</v>
      </c>
      <c r="AH24" s="267">
        <f>IF(ISNA(MATCH(AH$2,Inputs!$K$4:$AJ$4,0)),NA(),IF(SUMPRODUCT((Inputs!$A$5:$A$120=$B24)*ISNUMBER(INDEX(Inputs!$K$5:$AJ$120,0,MATCH(AH$2,Inputs!$K$4:$AJ$4,0))))+SUMPRODUCT((Inputs!$C$5:$C$120=$B24)*ISNUMBER(INDEX(Inputs!$K$5:$AJ$120,0,MATCH(AH$2,Inputs!$K$4:$AJ$4,0))))+SUMPRODUCT((Inputs!$E$5:$E$120=$B24)*ISNUMBER(INDEX(Inputs!$K$5:$AJ$120,0,MATCH(AH$2,Inputs!$K$4:$AJ$4,0))))=0,NA(),SUMPRODUCT((Inputs!$A$5:$A$120=$B24)*Inputs!$B$5:$B$120*(((Inputs!$G$5:$G$120="moeda")+(Inputs!$G$5:$G$120="acoes"))*Inputs!$B$1+((Inputs!$G$5:$G$120&lt;&gt;"moeda")*(Inputs!$G$5:$G$120&lt;&gt;"acoes")))*INDEX(Inputs!$K$5:$AJ$120,0,MATCH(AH$2,Inputs!$K$4:$AJ$4,0)))+SUMPRODUCT((Inputs!$C$5:$C$120=$B24)*Inputs!$D$5:$D$120*(((Inputs!$G$5:$G$120="moeda")+(Inputs!$G$5:$G$120="acoes"))*Inputs!$B$1+((Inputs!$G$5:$G$120&lt;&gt;"moeda")*(Inputs!$G$5:$G$120&lt;&gt;"acoes")))*INDEX(Inputs!$K$5:$AJ$120,0,MATCH(AH$2,Inputs!$K$4:$AJ$4,0)))+SUMPRODUCT((Inputs!$E$5:$E$120=$B24)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4" s="267">
        <f>IF(ISNA(MATCH(AI$2,Inputs!$K$4:$AJ$4,0)),NA(),IF(SUMPRODUCT((Inputs!$A$5:$A$120=$B24)*ISNUMBER(INDEX(Inputs!$K$5:$AJ$120,0,MATCH(AI$2,Inputs!$K$4:$AJ$4,0))))+SUMPRODUCT((Inputs!$C$5:$C$120=$B24)*ISNUMBER(INDEX(Inputs!$K$5:$AJ$120,0,MATCH(AI$2,Inputs!$K$4:$AJ$4,0))))+SUMPRODUCT((Inputs!$E$5:$E$120=$B24)*ISNUMBER(INDEX(Inputs!$K$5:$AJ$120,0,MATCH(AI$2,Inputs!$K$4:$AJ$4,0))))=0,NA(),SUMPRODUCT((Inputs!$A$5:$A$120=$B24)*Inputs!$B$5:$B$120*(((Inputs!$G$5:$G$120="moeda")+(Inputs!$G$5:$G$120="acoes"))*Inputs!$B$1+((Inputs!$G$5:$G$120&lt;&gt;"moeda")*(Inputs!$G$5:$G$120&lt;&gt;"acoes")))*INDEX(Inputs!$K$5:$AJ$120,0,MATCH(AI$2,Inputs!$K$4:$AJ$4,0)))+SUMPRODUCT((Inputs!$C$5:$C$120=$B24)*Inputs!$D$5:$D$120*(((Inputs!$G$5:$G$120="moeda")+(Inputs!$G$5:$G$120="acoes"))*Inputs!$B$1+((Inputs!$G$5:$G$120&lt;&gt;"moeda")*(Inputs!$G$5:$G$120&lt;&gt;"acoes")))*INDEX(Inputs!$K$5:$AJ$120,0,MATCH(AI$2,Inputs!$K$4:$AJ$4,0)))+SUMPRODUCT((Inputs!$E$5:$E$120=$B24)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4" s="267">
        <f>IF(ISNA(MATCH(AJ$2,Inputs!$K$4:$AJ$4,0)),NA(),IF(SUMPRODUCT((Inputs!$A$5:$A$120=$B24)*ISNUMBER(INDEX(Inputs!$K$5:$AJ$120,0,MATCH(AJ$2,Inputs!$K$4:$AJ$4,0))))+SUMPRODUCT((Inputs!$C$5:$C$120=$B24)*ISNUMBER(INDEX(Inputs!$K$5:$AJ$120,0,MATCH(AJ$2,Inputs!$K$4:$AJ$4,0))))+SUMPRODUCT((Inputs!$E$5:$E$120=$B24)*ISNUMBER(INDEX(Inputs!$K$5:$AJ$120,0,MATCH(AJ$2,Inputs!$K$4:$AJ$4,0))))=0,NA(),SUMPRODUCT((Inputs!$A$5:$A$120=$B24)*Inputs!$B$5:$B$120*(((Inputs!$G$5:$G$120="moeda")+(Inputs!$G$5:$G$120="acoes"))*Inputs!$B$1+((Inputs!$G$5:$G$120&lt;&gt;"moeda")*(Inputs!$G$5:$G$120&lt;&gt;"acoes")))*INDEX(Inputs!$K$5:$AJ$120,0,MATCH(AJ$2,Inputs!$K$4:$AJ$4,0)))+SUMPRODUCT((Inputs!$C$5:$C$120=$B24)*Inputs!$D$5:$D$120*(((Inputs!$G$5:$G$120="moeda")+(Inputs!$G$5:$G$120="acoes"))*Inputs!$B$1+((Inputs!$G$5:$G$120&lt;&gt;"moeda")*(Inputs!$G$5:$G$120&lt;&gt;"acoes")))*INDEX(Inputs!$K$5:$AJ$120,0,MATCH(AJ$2,Inputs!$K$4:$AJ$4,0)))+SUMPRODUCT((Inputs!$E$5:$E$120=$B24)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4" s="267">
        <f>IF(ISNA(MATCH(AK$2,Inputs!$K$4:$AJ$4,0)),NA(),IF(SUMPRODUCT((Inputs!$A$5:$A$120=$B24)*ISNUMBER(INDEX(Inputs!$K$5:$AJ$120,0,MATCH(AK$2,Inputs!$K$4:$AJ$4,0))))+SUMPRODUCT((Inputs!$C$5:$C$120=$B24)*ISNUMBER(INDEX(Inputs!$K$5:$AJ$120,0,MATCH(AK$2,Inputs!$K$4:$AJ$4,0))))+SUMPRODUCT((Inputs!$E$5:$E$120=$B24)*ISNUMBER(INDEX(Inputs!$K$5:$AJ$120,0,MATCH(AK$2,Inputs!$K$4:$AJ$4,0))))=0,NA(),SUMPRODUCT((Inputs!$A$5:$A$120=$B24)*Inputs!$B$5:$B$120*(((Inputs!$G$5:$G$120="moeda")+(Inputs!$G$5:$G$120="acoes"))*Inputs!$B$1+((Inputs!$G$5:$G$120&lt;&gt;"moeda")*(Inputs!$G$5:$G$120&lt;&gt;"acoes")))*INDEX(Inputs!$K$5:$AJ$120,0,MATCH(AK$2,Inputs!$K$4:$AJ$4,0)))+SUMPRODUCT((Inputs!$C$5:$C$120=$B24)*Inputs!$D$5:$D$120*(((Inputs!$G$5:$G$120="moeda")+(Inputs!$G$5:$G$120="acoes"))*Inputs!$B$1+((Inputs!$G$5:$G$120&lt;&gt;"moeda")*(Inputs!$G$5:$G$120&lt;&gt;"acoes")))*INDEX(Inputs!$K$5:$AJ$120,0,MATCH(AK$2,Inputs!$K$4:$AJ$4,0)))+SUMPRODUCT((Inputs!$E$5:$E$120=$B24)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4" s="268">
        <f>AK24</f>
        <v>0</v>
      </c>
    </row>
    <row r="25" ht="12.75" customHeight="1" s="255">
      <c r="B25" s="265" t="n">
        <v>21</v>
      </c>
      <c r="C25" s="270" t="inlineStr">
        <is>
          <t>Intangibles</t>
        </is>
      </c>
      <c r="D25" s="267">
        <f>IF(ISNA(MATCH(D$2,Inputs!$K$4:$AJ$4,0)),NA(),IF(SUMPRODUCT((Inputs!$A$5:$A$120=$B25)*ISNUMBER(INDEX(Inputs!$K$5:$AJ$120,0,MATCH(D$2,Inputs!$K$4:$AJ$4,0))))+SUMPRODUCT((Inputs!$C$5:$C$120=$B25)*ISNUMBER(INDEX(Inputs!$K$5:$AJ$120,0,MATCH(D$2,Inputs!$K$4:$AJ$4,0))))+SUMPRODUCT((Inputs!$E$5:$E$120=$B25)*ISNUMBER(INDEX(Inputs!$K$5:$AJ$120,0,MATCH(D$2,Inputs!$K$4:$AJ$4,0))))=0,NA(),SUMPRODUCT((Inputs!$A$5:$A$120=$B25)*Inputs!$B$5:$B$120*(((Inputs!$G$5:$G$120="moeda")+(Inputs!$G$5:$G$120="acoes"))*Inputs!$B$1+((Inputs!$G$5:$G$120&lt;&gt;"moeda")*(Inputs!$G$5:$G$120&lt;&gt;"acoes")))*INDEX(Inputs!$K$5:$AJ$120,0,MATCH(D$2,Inputs!$K$4:$AJ$4,0)))+SUMPRODUCT((Inputs!$C$5:$C$120=$B25)*Inputs!$D$5:$D$120*(((Inputs!$G$5:$G$120="moeda")+(Inputs!$G$5:$G$120="acoes"))*Inputs!$B$1+((Inputs!$G$5:$G$120&lt;&gt;"moeda")*(Inputs!$G$5:$G$120&lt;&gt;"acoes")))*INDEX(Inputs!$K$5:$AJ$120,0,MATCH(D$2,Inputs!$K$4:$AJ$4,0)))+SUMPRODUCT((Inputs!$E$5:$E$120=$B25)*Inputs!$F$5:$F$120*(((Inputs!$G$5:$G$120="moeda")+(Inputs!$G$5:$G$120="acoes"))*Inputs!$B$1+((Inputs!$G$5:$G$120&lt;&gt;"moeda")*(Inputs!$G$5:$G$120&lt;&gt;"acoes")))*INDEX(Inputs!$K$5:$AJ$120,0,MATCH(D$2,Inputs!$K$4:$AJ$4,0)))))</f>
        <v>0</v>
      </c>
      <c r="E25" s="267">
        <f>IF(ISNA(MATCH(E$2,Inputs!$K$4:$AJ$4,0)),NA(),IF(SUMPRODUCT((Inputs!$A$5:$A$120=$B25)*ISNUMBER(INDEX(Inputs!$K$5:$AJ$120,0,MATCH(E$2,Inputs!$K$4:$AJ$4,0))))+SUMPRODUCT((Inputs!$C$5:$C$120=$B25)*ISNUMBER(INDEX(Inputs!$K$5:$AJ$120,0,MATCH(E$2,Inputs!$K$4:$AJ$4,0))))+SUMPRODUCT((Inputs!$E$5:$E$120=$B25)*ISNUMBER(INDEX(Inputs!$K$5:$AJ$120,0,MATCH(E$2,Inputs!$K$4:$AJ$4,0))))=0,NA(),SUMPRODUCT((Inputs!$A$5:$A$120=$B25)*Inputs!$B$5:$B$120*(((Inputs!$G$5:$G$120="moeda")+(Inputs!$G$5:$G$120="acoes"))*Inputs!$B$1+((Inputs!$G$5:$G$120&lt;&gt;"moeda")*(Inputs!$G$5:$G$120&lt;&gt;"acoes")))*INDEX(Inputs!$K$5:$AJ$120,0,MATCH(E$2,Inputs!$K$4:$AJ$4,0)))+SUMPRODUCT((Inputs!$C$5:$C$120=$B25)*Inputs!$D$5:$D$120*(((Inputs!$G$5:$G$120="moeda")+(Inputs!$G$5:$G$120="acoes"))*Inputs!$B$1+((Inputs!$G$5:$G$120&lt;&gt;"moeda")*(Inputs!$G$5:$G$120&lt;&gt;"acoes")))*INDEX(Inputs!$K$5:$AJ$120,0,MATCH(E$2,Inputs!$K$4:$AJ$4,0)))+SUMPRODUCT((Inputs!$E$5:$E$120=$B25)*Inputs!$F$5:$F$120*(((Inputs!$G$5:$G$120="moeda")+(Inputs!$G$5:$G$120="acoes"))*Inputs!$B$1+((Inputs!$G$5:$G$120&lt;&gt;"moeda")*(Inputs!$G$5:$G$120&lt;&gt;"acoes")))*INDEX(Inputs!$K$5:$AJ$120,0,MATCH(E$2,Inputs!$K$4:$AJ$4,0)))))</f>
        <v>0</v>
      </c>
      <c r="F25" s="267">
        <f>IF(ISNA(MATCH(F$2,Inputs!$K$4:$AJ$4,0)),NA(),IF(SUMPRODUCT((Inputs!$A$5:$A$120=$B25)*ISNUMBER(INDEX(Inputs!$K$5:$AJ$120,0,MATCH(F$2,Inputs!$K$4:$AJ$4,0))))+SUMPRODUCT((Inputs!$C$5:$C$120=$B25)*ISNUMBER(INDEX(Inputs!$K$5:$AJ$120,0,MATCH(F$2,Inputs!$K$4:$AJ$4,0))))+SUMPRODUCT((Inputs!$E$5:$E$120=$B25)*ISNUMBER(INDEX(Inputs!$K$5:$AJ$120,0,MATCH(F$2,Inputs!$K$4:$AJ$4,0))))=0,NA(),SUMPRODUCT((Inputs!$A$5:$A$120=$B25)*Inputs!$B$5:$B$120*(((Inputs!$G$5:$G$120="moeda")+(Inputs!$G$5:$G$120="acoes"))*Inputs!$B$1+((Inputs!$G$5:$G$120&lt;&gt;"moeda")*(Inputs!$G$5:$G$120&lt;&gt;"acoes")))*INDEX(Inputs!$K$5:$AJ$120,0,MATCH(F$2,Inputs!$K$4:$AJ$4,0)))+SUMPRODUCT((Inputs!$C$5:$C$120=$B25)*Inputs!$D$5:$D$120*(((Inputs!$G$5:$G$120="moeda")+(Inputs!$G$5:$G$120="acoes"))*Inputs!$B$1+((Inputs!$G$5:$G$120&lt;&gt;"moeda")*(Inputs!$G$5:$G$120&lt;&gt;"acoes")))*INDEX(Inputs!$K$5:$AJ$120,0,MATCH(F$2,Inputs!$K$4:$AJ$4,0)))+SUMPRODUCT((Inputs!$E$5:$E$120=$B25)*Inputs!$F$5:$F$120*(((Inputs!$G$5:$G$120="moeda")+(Inputs!$G$5:$G$120="acoes"))*Inputs!$B$1+((Inputs!$G$5:$G$120&lt;&gt;"moeda")*(Inputs!$G$5:$G$120&lt;&gt;"acoes")))*INDEX(Inputs!$K$5:$AJ$120,0,MATCH(F$2,Inputs!$K$4:$AJ$4,0)))))</f>
        <v>0</v>
      </c>
      <c r="G25" s="267">
        <f>IF(ISNA(MATCH(G$2,Inputs!$K$4:$AJ$4,0)),NA(),IF(SUMPRODUCT((Inputs!$A$5:$A$120=$B25)*ISNUMBER(INDEX(Inputs!$K$5:$AJ$120,0,MATCH(G$2,Inputs!$K$4:$AJ$4,0))))+SUMPRODUCT((Inputs!$C$5:$C$120=$B25)*ISNUMBER(INDEX(Inputs!$K$5:$AJ$120,0,MATCH(G$2,Inputs!$K$4:$AJ$4,0))))+SUMPRODUCT((Inputs!$E$5:$E$120=$B25)*ISNUMBER(INDEX(Inputs!$K$5:$AJ$120,0,MATCH(G$2,Inputs!$K$4:$AJ$4,0))))=0,NA(),SUMPRODUCT((Inputs!$A$5:$A$120=$B25)*Inputs!$B$5:$B$120*(((Inputs!$G$5:$G$120="moeda")+(Inputs!$G$5:$G$120="acoes"))*Inputs!$B$1+((Inputs!$G$5:$G$120&lt;&gt;"moeda")*(Inputs!$G$5:$G$120&lt;&gt;"acoes")))*INDEX(Inputs!$K$5:$AJ$120,0,MATCH(G$2,Inputs!$K$4:$AJ$4,0)))+SUMPRODUCT((Inputs!$C$5:$C$120=$B25)*Inputs!$D$5:$D$120*(((Inputs!$G$5:$G$120="moeda")+(Inputs!$G$5:$G$120="acoes"))*Inputs!$B$1+((Inputs!$G$5:$G$120&lt;&gt;"moeda")*(Inputs!$G$5:$G$120&lt;&gt;"acoes")))*INDEX(Inputs!$K$5:$AJ$120,0,MATCH(G$2,Inputs!$K$4:$AJ$4,0)))+SUMPRODUCT((Inputs!$E$5:$E$120=$B25)*Inputs!$F$5:$F$120*(((Inputs!$G$5:$G$120="moeda")+(Inputs!$G$5:$G$120="acoes"))*Inputs!$B$1+((Inputs!$G$5:$G$120&lt;&gt;"moeda")*(Inputs!$G$5:$G$120&lt;&gt;"acoes")))*INDEX(Inputs!$K$5:$AJ$120,0,MATCH(G$2,Inputs!$K$4:$AJ$4,0)))))</f>
        <v>0</v>
      </c>
      <c r="H25" s="268">
        <f>G25</f>
        <v>0</v>
      </c>
      <c r="I25" s="267">
        <f>IF(ISNA(MATCH(I$2,Inputs!$K$4:$AJ$4,0)),NA(),IF(SUMPRODUCT((Inputs!$A$5:$A$120=$B25)*ISNUMBER(INDEX(Inputs!$K$5:$AJ$120,0,MATCH(I$2,Inputs!$K$4:$AJ$4,0))))+SUMPRODUCT((Inputs!$C$5:$C$120=$B25)*ISNUMBER(INDEX(Inputs!$K$5:$AJ$120,0,MATCH(I$2,Inputs!$K$4:$AJ$4,0))))+SUMPRODUCT((Inputs!$E$5:$E$120=$B25)*ISNUMBER(INDEX(Inputs!$K$5:$AJ$120,0,MATCH(I$2,Inputs!$K$4:$AJ$4,0))))=0,NA(),SUMPRODUCT((Inputs!$A$5:$A$120=$B25)*Inputs!$B$5:$B$120*(((Inputs!$G$5:$G$120="moeda")+(Inputs!$G$5:$G$120="acoes"))*Inputs!$B$1+((Inputs!$G$5:$G$120&lt;&gt;"moeda")*(Inputs!$G$5:$G$120&lt;&gt;"acoes")))*INDEX(Inputs!$K$5:$AJ$120,0,MATCH(I$2,Inputs!$K$4:$AJ$4,0)))+SUMPRODUCT((Inputs!$C$5:$C$120=$B25)*Inputs!$D$5:$D$120*(((Inputs!$G$5:$G$120="moeda")+(Inputs!$G$5:$G$120="acoes"))*Inputs!$B$1+((Inputs!$G$5:$G$120&lt;&gt;"moeda")*(Inputs!$G$5:$G$120&lt;&gt;"acoes")))*INDEX(Inputs!$K$5:$AJ$120,0,MATCH(I$2,Inputs!$K$4:$AJ$4,0)))+SUMPRODUCT((Inputs!$E$5:$E$120=$B25)*Inputs!$F$5:$F$120*(((Inputs!$G$5:$G$120="moeda")+(Inputs!$G$5:$G$120="acoes"))*Inputs!$B$1+((Inputs!$G$5:$G$120&lt;&gt;"moeda")*(Inputs!$G$5:$G$120&lt;&gt;"acoes")))*INDEX(Inputs!$K$5:$AJ$120,0,MATCH(I$2,Inputs!$K$4:$AJ$4,0)))))</f>
        <v>0</v>
      </c>
      <c r="J25" s="267">
        <f>IF(ISNA(MATCH(J$2,Inputs!$K$4:$AJ$4,0)),NA(),IF(SUMPRODUCT((Inputs!$A$5:$A$120=$B25)*ISNUMBER(INDEX(Inputs!$K$5:$AJ$120,0,MATCH(J$2,Inputs!$K$4:$AJ$4,0))))+SUMPRODUCT((Inputs!$C$5:$C$120=$B25)*ISNUMBER(INDEX(Inputs!$K$5:$AJ$120,0,MATCH(J$2,Inputs!$K$4:$AJ$4,0))))+SUMPRODUCT((Inputs!$E$5:$E$120=$B25)*ISNUMBER(INDEX(Inputs!$K$5:$AJ$120,0,MATCH(J$2,Inputs!$K$4:$AJ$4,0))))=0,NA(),SUMPRODUCT((Inputs!$A$5:$A$120=$B25)*Inputs!$B$5:$B$120*(((Inputs!$G$5:$G$120="moeda")+(Inputs!$G$5:$G$120="acoes"))*Inputs!$B$1+((Inputs!$G$5:$G$120&lt;&gt;"moeda")*(Inputs!$G$5:$G$120&lt;&gt;"acoes")))*INDEX(Inputs!$K$5:$AJ$120,0,MATCH(J$2,Inputs!$K$4:$AJ$4,0)))+SUMPRODUCT((Inputs!$C$5:$C$120=$B25)*Inputs!$D$5:$D$120*(((Inputs!$G$5:$G$120="moeda")+(Inputs!$G$5:$G$120="acoes"))*Inputs!$B$1+((Inputs!$G$5:$G$120&lt;&gt;"moeda")*(Inputs!$G$5:$G$120&lt;&gt;"acoes")))*INDEX(Inputs!$K$5:$AJ$120,0,MATCH(J$2,Inputs!$K$4:$AJ$4,0)))+SUMPRODUCT((Inputs!$E$5:$E$120=$B25)*Inputs!$F$5:$F$120*(((Inputs!$G$5:$G$120="moeda")+(Inputs!$G$5:$G$120="acoes"))*Inputs!$B$1+((Inputs!$G$5:$G$120&lt;&gt;"moeda")*(Inputs!$G$5:$G$120&lt;&gt;"acoes")))*INDEX(Inputs!$K$5:$AJ$120,0,MATCH(J$2,Inputs!$K$4:$AJ$4,0)))))</f>
        <v>0</v>
      </c>
      <c r="K25" s="267">
        <f>IF(ISNA(MATCH(K$2,Inputs!$K$4:$AJ$4,0)),NA(),IF(SUMPRODUCT((Inputs!$A$5:$A$120=$B25)*ISNUMBER(INDEX(Inputs!$K$5:$AJ$120,0,MATCH(K$2,Inputs!$K$4:$AJ$4,0))))+SUMPRODUCT((Inputs!$C$5:$C$120=$B25)*ISNUMBER(INDEX(Inputs!$K$5:$AJ$120,0,MATCH(K$2,Inputs!$K$4:$AJ$4,0))))+SUMPRODUCT((Inputs!$E$5:$E$120=$B25)*ISNUMBER(INDEX(Inputs!$K$5:$AJ$120,0,MATCH(K$2,Inputs!$K$4:$AJ$4,0))))=0,NA(),SUMPRODUCT((Inputs!$A$5:$A$120=$B25)*Inputs!$B$5:$B$120*(((Inputs!$G$5:$G$120="moeda")+(Inputs!$G$5:$G$120="acoes"))*Inputs!$B$1+((Inputs!$G$5:$G$120&lt;&gt;"moeda")*(Inputs!$G$5:$G$120&lt;&gt;"acoes")))*INDEX(Inputs!$K$5:$AJ$120,0,MATCH(K$2,Inputs!$K$4:$AJ$4,0)))+SUMPRODUCT((Inputs!$C$5:$C$120=$B25)*Inputs!$D$5:$D$120*(((Inputs!$G$5:$G$120="moeda")+(Inputs!$G$5:$G$120="acoes"))*Inputs!$B$1+((Inputs!$G$5:$G$120&lt;&gt;"moeda")*(Inputs!$G$5:$G$120&lt;&gt;"acoes")))*INDEX(Inputs!$K$5:$AJ$120,0,MATCH(K$2,Inputs!$K$4:$AJ$4,0)))+SUMPRODUCT((Inputs!$E$5:$E$120=$B25)*Inputs!$F$5:$F$120*(((Inputs!$G$5:$G$120="moeda")+(Inputs!$G$5:$G$120="acoes"))*Inputs!$B$1+((Inputs!$G$5:$G$120&lt;&gt;"moeda")*(Inputs!$G$5:$G$120&lt;&gt;"acoes")))*INDEX(Inputs!$K$5:$AJ$120,0,MATCH(K$2,Inputs!$K$4:$AJ$4,0)))))</f>
        <v>0</v>
      </c>
      <c r="L25" s="267">
        <f>IF(ISNA(MATCH(L$2,Inputs!$K$4:$AJ$4,0)),NA(),IF(SUMPRODUCT((Inputs!$A$5:$A$120=$B25)*ISNUMBER(INDEX(Inputs!$K$5:$AJ$120,0,MATCH(L$2,Inputs!$K$4:$AJ$4,0))))+SUMPRODUCT((Inputs!$C$5:$C$120=$B25)*ISNUMBER(INDEX(Inputs!$K$5:$AJ$120,0,MATCH(L$2,Inputs!$K$4:$AJ$4,0))))+SUMPRODUCT((Inputs!$E$5:$E$120=$B25)*ISNUMBER(INDEX(Inputs!$K$5:$AJ$120,0,MATCH(L$2,Inputs!$K$4:$AJ$4,0))))=0,NA(),SUMPRODUCT((Inputs!$A$5:$A$120=$B25)*Inputs!$B$5:$B$120*(((Inputs!$G$5:$G$120="moeda")+(Inputs!$G$5:$G$120="acoes"))*Inputs!$B$1+((Inputs!$G$5:$G$120&lt;&gt;"moeda")*(Inputs!$G$5:$G$120&lt;&gt;"acoes")))*INDEX(Inputs!$K$5:$AJ$120,0,MATCH(L$2,Inputs!$K$4:$AJ$4,0)))+SUMPRODUCT((Inputs!$C$5:$C$120=$B25)*Inputs!$D$5:$D$120*(((Inputs!$G$5:$G$120="moeda")+(Inputs!$G$5:$G$120="acoes"))*Inputs!$B$1+((Inputs!$G$5:$G$120&lt;&gt;"moeda")*(Inputs!$G$5:$G$120&lt;&gt;"acoes")))*INDEX(Inputs!$K$5:$AJ$120,0,MATCH(L$2,Inputs!$K$4:$AJ$4,0)))+SUMPRODUCT((Inputs!$E$5:$E$120=$B25)*Inputs!$F$5:$F$120*(((Inputs!$G$5:$G$120="moeda")+(Inputs!$G$5:$G$120="acoes"))*Inputs!$B$1+((Inputs!$G$5:$G$120&lt;&gt;"moeda")*(Inputs!$G$5:$G$120&lt;&gt;"acoes")))*INDEX(Inputs!$K$5:$AJ$120,0,MATCH(L$2,Inputs!$K$4:$AJ$4,0)))))</f>
        <v>0</v>
      </c>
      <c r="M25" s="268">
        <f>L25</f>
        <v>0</v>
      </c>
      <c r="N25" s="267">
        <f>IF(ISNA(MATCH(N$2,Inputs!$K$4:$AJ$4,0)),NA(),IF(SUMPRODUCT((Inputs!$A$5:$A$120=$B25)*ISNUMBER(INDEX(Inputs!$K$5:$AJ$120,0,MATCH(N$2,Inputs!$K$4:$AJ$4,0))))+SUMPRODUCT((Inputs!$C$5:$C$120=$B25)*ISNUMBER(INDEX(Inputs!$K$5:$AJ$120,0,MATCH(N$2,Inputs!$K$4:$AJ$4,0))))+SUMPRODUCT((Inputs!$E$5:$E$120=$B25)*ISNUMBER(INDEX(Inputs!$K$5:$AJ$120,0,MATCH(N$2,Inputs!$K$4:$AJ$4,0))))=0,NA(),SUMPRODUCT((Inputs!$A$5:$A$120=$B25)*Inputs!$B$5:$B$120*(((Inputs!$G$5:$G$120="moeda")+(Inputs!$G$5:$G$120="acoes"))*Inputs!$B$1+((Inputs!$G$5:$G$120&lt;&gt;"moeda")*(Inputs!$G$5:$G$120&lt;&gt;"acoes")))*INDEX(Inputs!$K$5:$AJ$120,0,MATCH(N$2,Inputs!$K$4:$AJ$4,0)))+SUMPRODUCT((Inputs!$C$5:$C$120=$B25)*Inputs!$D$5:$D$120*(((Inputs!$G$5:$G$120="moeda")+(Inputs!$G$5:$G$120="acoes"))*Inputs!$B$1+((Inputs!$G$5:$G$120&lt;&gt;"moeda")*(Inputs!$G$5:$G$120&lt;&gt;"acoes")))*INDEX(Inputs!$K$5:$AJ$120,0,MATCH(N$2,Inputs!$K$4:$AJ$4,0)))+SUMPRODUCT((Inputs!$E$5:$E$120=$B25)*Inputs!$F$5:$F$120*(((Inputs!$G$5:$G$120="moeda")+(Inputs!$G$5:$G$120="acoes"))*Inputs!$B$1+((Inputs!$G$5:$G$120&lt;&gt;"moeda")*(Inputs!$G$5:$G$120&lt;&gt;"acoes")))*INDEX(Inputs!$K$5:$AJ$120,0,MATCH(N$2,Inputs!$K$4:$AJ$4,0)))))</f>
        <v>0</v>
      </c>
      <c r="O25" s="267">
        <f>IF(ISNA(MATCH(O$2,Inputs!$K$4:$AJ$4,0)),NA(),IF(SUMPRODUCT((Inputs!$A$5:$A$120=$B25)*ISNUMBER(INDEX(Inputs!$K$5:$AJ$120,0,MATCH(O$2,Inputs!$K$4:$AJ$4,0))))+SUMPRODUCT((Inputs!$C$5:$C$120=$B25)*ISNUMBER(INDEX(Inputs!$K$5:$AJ$120,0,MATCH(O$2,Inputs!$K$4:$AJ$4,0))))+SUMPRODUCT((Inputs!$E$5:$E$120=$B25)*ISNUMBER(INDEX(Inputs!$K$5:$AJ$120,0,MATCH(O$2,Inputs!$K$4:$AJ$4,0))))=0,NA(),SUMPRODUCT((Inputs!$A$5:$A$120=$B25)*Inputs!$B$5:$B$120*(((Inputs!$G$5:$G$120="moeda")+(Inputs!$G$5:$G$120="acoes"))*Inputs!$B$1+((Inputs!$G$5:$G$120&lt;&gt;"moeda")*(Inputs!$G$5:$G$120&lt;&gt;"acoes")))*INDEX(Inputs!$K$5:$AJ$120,0,MATCH(O$2,Inputs!$K$4:$AJ$4,0)))+SUMPRODUCT((Inputs!$C$5:$C$120=$B25)*Inputs!$D$5:$D$120*(((Inputs!$G$5:$G$120="moeda")+(Inputs!$G$5:$G$120="acoes"))*Inputs!$B$1+((Inputs!$G$5:$G$120&lt;&gt;"moeda")*(Inputs!$G$5:$G$120&lt;&gt;"acoes")))*INDEX(Inputs!$K$5:$AJ$120,0,MATCH(O$2,Inputs!$K$4:$AJ$4,0)))+SUMPRODUCT((Inputs!$E$5:$E$120=$B25)*Inputs!$F$5:$F$120*(((Inputs!$G$5:$G$120="moeda")+(Inputs!$G$5:$G$120="acoes"))*Inputs!$B$1+((Inputs!$G$5:$G$120&lt;&gt;"moeda")*(Inputs!$G$5:$G$120&lt;&gt;"acoes")))*INDEX(Inputs!$K$5:$AJ$120,0,MATCH(O$2,Inputs!$K$4:$AJ$4,0)))))</f>
        <v>0</v>
      </c>
      <c r="P25" s="267">
        <f>IF(ISNA(MATCH(P$2,Inputs!$K$4:$AJ$4,0)),NA(),IF(SUMPRODUCT((Inputs!$A$5:$A$120=$B25)*ISNUMBER(INDEX(Inputs!$K$5:$AJ$120,0,MATCH(P$2,Inputs!$K$4:$AJ$4,0))))+SUMPRODUCT((Inputs!$C$5:$C$120=$B25)*ISNUMBER(INDEX(Inputs!$K$5:$AJ$120,0,MATCH(P$2,Inputs!$K$4:$AJ$4,0))))+SUMPRODUCT((Inputs!$E$5:$E$120=$B25)*ISNUMBER(INDEX(Inputs!$K$5:$AJ$120,0,MATCH(P$2,Inputs!$K$4:$AJ$4,0))))=0,NA(),SUMPRODUCT((Inputs!$A$5:$A$120=$B25)*Inputs!$B$5:$B$120*(((Inputs!$G$5:$G$120="moeda")+(Inputs!$G$5:$G$120="acoes"))*Inputs!$B$1+((Inputs!$G$5:$G$120&lt;&gt;"moeda")*(Inputs!$G$5:$G$120&lt;&gt;"acoes")))*INDEX(Inputs!$K$5:$AJ$120,0,MATCH(P$2,Inputs!$K$4:$AJ$4,0)))+SUMPRODUCT((Inputs!$C$5:$C$120=$B25)*Inputs!$D$5:$D$120*(((Inputs!$G$5:$G$120="moeda")+(Inputs!$G$5:$G$120="acoes"))*Inputs!$B$1+((Inputs!$G$5:$G$120&lt;&gt;"moeda")*(Inputs!$G$5:$G$120&lt;&gt;"acoes")))*INDEX(Inputs!$K$5:$AJ$120,0,MATCH(P$2,Inputs!$K$4:$AJ$4,0)))+SUMPRODUCT((Inputs!$E$5:$E$120=$B25)*Inputs!$F$5:$F$120*(((Inputs!$G$5:$G$120="moeda")+(Inputs!$G$5:$G$120="acoes"))*Inputs!$B$1+((Inputs!$G$5:$G$120&lt;&gt;"moeda")*(Inputs!$G$5:$G$120&lt;&gt;"acoes")))*INDEX(Inputs!$K$5:$AJ$120,0,MATCH(P$2,Inputs!$K$4:$AJ$4,0)))))</f>
        <v>0</v>
      </c>
      <c r="Q25" s="267">
        <f>IF(ISNA(MATCH(Q$2,Inputs!$K$4:$AJ$4,0)),NA(),IF(SUMPRODUCT((Inputs!$A$5:$A$120=$B25)*ISNUMBER(INDEX(Inputs!$K$5:$AJ$120,0,MATCH(Q$2,Inputs!$K$4:$AJ$4,0))))+SUMPRODUCT((Inputs!$C$5:$C$120=$B25)*ISNUMBER(INDEX(Inputs!$K$5:$AJ$120,0,MATCH(Q$2,Inputs!$K$4:$AJ$4,0))))+SUMPRODUCT((Inputs!$E$5:$E$120=$B25)*ISNUMBER(INDEX(Inputs!$K$5:$AJ$120,0,MATCH(Q$2,Inputs!$K$4:$AJ$4,0))))=0,NA(),SUMPRODUCT((Inputs!$A$5:$A$120=$B25)*Inputs!$B$5:$B$120*(((Inputs!$G$5:$G$120="moeda")+(Inputs!$G$5:$G$120="acoes"))*Inputs!$B$1+((Inputs!$G$5:$G$120&lt;&gt;"moeda")*(Inputs!$G$5:$G$120&lt;&gt;"acoes")))*INDEX(Inputs!$K$5:$AJ$120,0,MATCH(Q$2,Inputs!$K$4:$AJ$4,0)))+SUMPRODUCT((Inputs!$C$5:$C$120=$B25)*Inputs!$D$5:$D$120*(((Inputs!$G$5:$G$120="moeda")+(Inputs!$G$5:$G$120="acoes"))*Inputs!$B$1+((Inputs!$G$5:$G$120&lt;&gt;"moeda")*(Inputs!$G$5:$G$120&lt;&gt;"acoes")))*INDEX(Inputs!$K$5:$AJ$120,0,MATCH(Q$2,Inputs!$K$4:$AJ$4,0)))+SUMPRODUCT((Inputs!$E$5:$E$120=$B25)*Inputs!$F$5:$F$120*(((Inputs!$G$5:$G$120="moeda")+(Inputs!$G$5:$G$120="acoes"))*Inputs!$B$1+((Inputs!$G$5:$G$120&lt;&gt;"moeda")*(Inputs!$G$5:$G$120&lt;&gt;"acoes")))*INDEX(Inputs!$K$5:$AJ$120,0,MATCH(Q$2,Inputs!$K$4:$AJ$4,0)))))</f>
        <v>0</v>
      </c>
      <c r="R25" s="268">
        <f>Q25</f>
        <v>0</v>
      </c>
      <c r="S25" s="267">
        <f>IF(ISNA(MATCH(S$2,Inputs!$K$4:$AJ$4,0)),NA(),IF(SUMPRODUCT((Inputs!$A$5:$A$120=$B25)*ISNUMBER(INDEX(Inputs!$K$5:$AJ$120,0,MATCH(S$2,Inputs!$K$4:$AJ$4,0))))+SUMPRODUCT((Inputs!$C$5:$C$120=$B25)*ISNUMBER(INDEX(Inputs!$K$5:$AJ$120,0,MATCH(S$2,Inputs!$K$4:$AJ$4,0))))+SUMPRODUCT((Inputs!$E$5:$E$120=$B25)*ISNUMBER(INDEX(Inputs!$K$5:$AJ$120,0,MATCH(S$2,Inputs!$K$4:$AJ$4,0))))=0,NA(),SUMPRODUCT((Inputs!$A$5:$A$120=$B25)*Inputs!$B$5:$B$120*(((Inputs!$G$5:$G$120="moeda")+(Inputs!$G$5:$G$120="acoes"))*Inputs!$B$1+((Inputs!$G$5:$G$120&lt;&gt;"moeda")*(Inputs!$G$5:$G$120&lt;&gt;"acoes")))*INDEX(Inputs!$K$5:$AJ$120,0,MATCH(S$2,Inputs!$K$4:$AJ$4,0)))+SUMPRODUCT((Inputs!$C$5:$C$120=$B25)*Inputs!$D$5:$D$120*(((Inputs!$G$5:$G$120="moeda")+(Inputs!$G$5:$G$120="acoes"))*Inputs!$B$1+((Inputs!$G$5:$G$120&lt;&gt;"moeda")*(Inputs!$G$5:$G$120&lt;&gt;"acoes")))*INDEX(Inputs!$K$5:$AJ$120,0,MATCH(S$2,Inputs!$K$4:$AJ$4,0)))+SUMPRODUCT((Inputs!$E$5:$E$120=$B25)*Inputs!$F$5:$F$120*(((Inputs!$G$5:$G$120="moeda")+(Inputs!$G$5:$G$120="acoes"))*Inputs!$B$1+((Inputs!$G$5:$G$120&lt;&gt;"moeda")*(Inputs!$G$5:$G$120&lt;&gt;"acoes")))*INDEX(Inputs!$K$5:$AJ$120,0,MATCH(S$2,Inputs!$K$4:$AJ$4,0)))))</f>
        <v>0</v>
      </c>
      <c r="T25" s="267">
        <f>IF(ISNA(MATCH(T$2,Inputs!$K$4:$AJ$4,0)),NA(),IF(SUMPRODUCT((Inputs!$A$5:$A$120=$B25)*ISNUMBER(INDEX(Inputs!$K$5:$AJ$120,0,MATCH(T$2,Inputs!$K$4:$AJ$4,0))))+SUMPRODUCT((Inputs!$C$5:$C$120=$B25)*ISNUMBER(INDEX(Inputs!$K$5:$AJ$120,0,MATCH(T$2,Inputs!$K$4:$AJ$4,0))))+SUMPRODUCT((Inputs!$E$5:$E$120=$B25)*ISNUMBER(INDEX(Inputs!$K$5:$AJ$120,0,MATCH(T$2,Inputs!$K$4:$AJ$4,0))))=0,NA(),SUMPRODUCT((Inputs!$A$5:$A$120=$B25)*Inputs!$B$5:$B$120*(((Inputs!$G$5:$G$120="moeda")+(Inputs!$G$5:$G$120="acoes"))*Inputs!$B$1+((Inputs!$G$5:$G$120&lt;&gt;"moeda")*(Inputs!$G$5:$G$120&lt;&gt;"acoes")))*INDEX(Inputs!$K$5:$AJ$120,0,MATCH(T$2,Inputs!$K$4:$AJ$4,0)))+SUMPRODUCT((Inputs!$C$5:$C$120=$B25)*Inputs!$D$5:$D$120*(((Inputs!$G$5:$G$120="moeda")+(Inputs!$G$5:$G$120="acoes"))*Inputs!$B$1+((Inputs!$G$5:$G$120&lt;&gt;"moeda")*(Inputs!$G$5:$G$120&lt;&gt;"acoes")))*INDEX(Inputs!$K$5:$AJ$120,0,MATCH(T$2,Inputs!$K$4:$AJ$4,0)))+SUMPRODUCT((Inputs!$E$5:$E$120=$B25)*Inputs!$F$5:$F$120*(((Inputs!$G$5:$G$120="moeda")+(Inputs!$G$5:$G$120="acoes"))*Inputs!$B$1+((Inputs!$G$5:$G$120&lt;&gt;"moeda")*(Inputs!$G$5:$G$120&lt;&gt;"acoes")))*INDEX(Inputs!$K$5:$AJ$120,0,MATCH(T$2,Inputs!$K$4:$AJ$4,0)))))</f>
        <v>0</v>
      </c>
      <c r="U25" s="267">
        <f>IF(ISNA(MATCH(U$2,Inputs!$K$4:$AJ$4,0)),NA(),IF(SUMPRODUCT((Inputs!$A$5:$A$120=$B25)*ISNUMBER(INDEX(Inputs!$K$5:$AJ$120,0,MATCH(U$2,Inputs!$K$4:$AJ$4,0))))+SUMPRODUCT((Inputs!$C$5:$C$120=$B25)*ISNUMBER(INDEX(Inputs!$K$5:$AJ$120,0,MATCH(U$2,Inputs!$K$4:$AJ$4,0))))+SUMPRODUCT((Inputs!$E$5:$E$120=$B25)*ISNUMBER(INDEX(Inputs!$K$5:$AJ$120,0,MATCH(U$2,Inputs!$K$4:$AJ$4,0))))=0,NA(),SUMPRODUCT((Inputs!$A$5:$A$120=$B25)*Inputs!$B$5:$B$120*(((Inputs!$G$5:$G$120="moeda")+(Inputs!$G$5:$G$120="acoes"))*Inputs!$B$1+((Inputs!$G$5:$G$120&lt;&gt;"moeda")*(Inputs!$G$5:$G$120&lt;&gt;"acoes")))*INDEX(Inputs!$K$5:$AJ$120,0,MATCH(U$2,Inputs!$K$4:$AJ$4,0)))+SUMPRODUCT((Inputs!$C$5:$C$120=$B25)*Inputs!$D$5:$D$120*(((Inputs!$G$5:$G$120="moeda")+(Inputs!$G$5:$G$120="acoes"))*Inputs!$B$1+((Inputs!$G$5:$G$120&lt;&gt;"moeda")*(Inputs!$G$5:$G$120&lt;&gt;"acoes")))*INDEX(Inputs!$K$5:$AJ$120,0,MATCH(U$2,Inputs!$K$4:$AJ$4,0)))+SUMPRODUCT((Inputs!$E$5:$E$120=$B25)*Inputs!$F$5:$F$120*(((Inputs!$G$5:$G$120="moeda")+(Inputs!$G$5:$G$120="acoes"))*Inputs!$B$1+((Inputs!$G$5:$G$120&lt;&gt;"moeda")*(Inputs!$G$5:$G$120&lt;&gt;"acoes")))*INDEX(Inputs!$K$5:$AJ$120,0,MATCH(U$2,Inputs!$K$4:$AJ$4,0)))))</f>
        <v>0</v>
      </c>
      <c r="V25" s="267">
        <f>IF(ISNA(MATCH(V$2,Inputs!$K$4:$AJ$4,0)),NA(),IF(SUMPRODUCT((Inputs!$A$5:$A$120=$B25)*ISNUMBER(INDEX(Inputs!$K$5:$AJ$120,0,MATCH(V$2,Inputs!$K$4:$AJ$4,0))))+SUMPRODUCT((Inputs!$C$5:$C$120=$B25)*ISNUMBER(INDEX(Inputs!$K$5:$AJ$120,0,MATCH(V$2,Inputs!$K$4:$AJ$4,0))))+SUMPRODUCT((Inputs!$E$5:$E$120=$B25)*ISNUMBER(INDEX(Inputs!$K$5:$AJ$120,0,MATCH(V$2,Inputs!$K$4:$AJ$4,0))))=0,NA(),SUMPRODUCT((Inputs!$A$5:$A$120=$B25)*Inputs!$B$5:$B$120*(((Inputs!$G$5:$G$120="moeda")+(Inputs!$G$5:$G$120="acoes"))*Inputs!$B$1+((Inputs!$G$5:$G$120&lt;&gt;"moeda")*(Inputs!$G$5:$G$120&lt;&gt;"acoes")))*INDEX(Inputs!$K$5:$AJ$120,0,MATCH(V$2,Inputs!$K$4:$AJ$4,0)))+SUMPRODUCT((Inputs!$C$5:$C$120=$B25)*Inputs!$D$5:$D$120*(((Inputs!$G$5:$G$120="moeda")+(Inputs!$G$5:$G$120="acoes"))*Inputs!$B$1+((Inputs!$G$5:$G$120&lt;&gt;"moeda")*(Inputs!$G$5:$G$120&lt;&gt;"acoes")))*INDEX(Inputs!$K$5:$AJ$120,0,MATCH(V$2,Inputs!$K$4:$AJ$4,0)))+SUMPRODUCT((Inputs!$E$5:$E$120=$B25)*Inputs!$F$5:$F$120*(((Inputs!$G$5:$G$120="moeda")+(Inputs!$G$5:$G$120="acoes"))*Inputs!$B$1+((Inputs!$G$5:$G$120&lt;&gt;"moeda")*(Inputs!$G$5:$G$120&lt;&gt;"acoes")))*INDEX(Inputs!$K$5:$AJ$120,0,MATCH(V$2,Inputs!$K$4:$AJ$4,0)))))</f>
        <v>0</v>
      </c>
      <c r="W25" s="268">
        <f>V25</f>
        <v>0</v>
      </c>
      <c r="X25" s="267">
        <f>IF(ISNA(MATCH(X$2,Inputs!$K$4:$AJ$4,0)),NA(),IF(SUMPRODUCT((Inputs!$A$5:$A$120=$B25)*ISNUMBER(INDEX(Inputs!$K$5:$AJ$120,0,MATCH(X$2,Inputs!$K$4:$AJ$4,0))))+SUMPRODUCT((Inputs!$C$5:$C$120=$B25)*ISNUMBER(INDEX(Inputs!$K$5:$AJ$120,0,MATCH(X$2,Inputs!$K$4:$AJ$4,0))))+SUMPRODUCT((Inputs!$E$5:$E$120=$B25)*ISNUMBER(INDEX(Inputs!$K$5:$AJ$120,0,MATCH(X$2,Inputs!$K$4:$AJ$4,0))))=0,NA(),SUMPRODUCT((Inputs!$A$5:$A$120=$B25)*Inputs!$B$5:$B$120*(((Inputs!$G$5:$G$120="moeda")+(Inputs!$G$5:$G$120="acoes"))*Inputs!$B$1+((Inputs!$G$5:$G$120&lt;&gt;"moeda")*(Inputs!$G$5:$G$120&lt;&gt;"acoes")))*INDEX(Inputs!$K$5:$AJ$120,0,MATCH(X$2,Inputs!$K$4:$AJ$4,0)))+SUMPRODUCT((Inputs!$C$5:$C$120=$B25)*Inputs!$D$5:$D$120*(((Inputs!$G$5:$G$120="moeda")+(Inputs!$G$5:$G$120="acoes"))*Inputs!$B$1+((Inputs!$G$5:$G$120&lt;&gt;"moeda")*(Inputs!$G$5:$G$120&lt;&gt;"acoes")))*INDEX(Inputs!$K$5:$AJ$120,0,MATCH(X$2,Inputs!$K$4:$AJ$4,0)))+SUMPRODUCT((Inputs!$E$5:$E$120=$B25)*Inputs!$F$5:$F$120*(((Inputs!$G$5:$G$120="moeda")+(Inputs!$G$5:$G$120="acoes"))*Inputs!$B$1+((Inputs!$G$5:$G$120&lt;&gt;"moeda")*(Inputs!$G$5:$G$120&lt;&gt;"acoes")))*INDEX(Inputs!$K$5:$AJ$120,0,MATCH(X$2,Inputs!$K$4:$AJ$4,0)))))</f>
        <v>0</v>
      </c>
      <c r="Y25" s="267">
        <f>IF(ISNA(MATCH(Y$2,Inputs!$K$4:$AJ$4,0)),NA(),IF(SUMPRODUCT((Inputs!$A$5:$A$120=$B25)*ISNUMBER(INDEX(Inputs!$K$5:$AJ$120,0,MATCH(Y$2,Inputs!$K$4:$AJ$4,0))))+SUMPRODUCT((Inputs!$C$5:$C$120=$B25)*ISNUMBER(INDEX(Inputs!$K$5:$AJ$120,0,MATCH(Y$2,Inputs!$K$4:$AJ$4,0))))+SUMPRODUCT((Inputs!$E$5:$E$120=$B25)*ISNUMBER(INDEX(Inputs!$K$5:$AJ$120,0,MATCH(Y$2,Inputs!$K$4:$AJ$4,0))))=0,NA(),SUMPRODUCT((Inputs!$A$5:$A$120=$B25)*Inputs!$B$5:$B$120*(((Inputs!$G$5:$G$120="moeda")+(Inputs!$G$5:$G$120="acoes"))*Inputs!$B$1+((Inputs!$G$5:$G$120&lt;&gt;"moeda")*(Inputs!$G$5:$G$120&lt;&gt;"acoes")))*INDEX(Inputs!$K$5:$AJ$120,0,MATCH(Y$2,Inputs!$K$4:$AJ$4,0)))+SUMPRODUCT((Inputs!$C$5:$C$120=$B25)*Inputs!$D$5:$D$120*(((Inputs!$G$5:$G$120="moeda")+(Inputs!$G$5:$G$120="acoes"))*Inputs!$B$1+((Inputs!$G$5:$G$120&lt;&gt;"moeda")*(Inputs!$G$5:$G$120&lt;&gt;"acoes")))*INDEX(Inputs!$K$5:$AJ$120,0,MATCH(Y$2,Inputs!$K$4:$AJ$4,0)))+SUMPRODUCT((Inputs!$E$5:$E$120=$B25)*Inputs!$F$5:$F$120*(((Inputs!$G$5:$G$120="moeda")+(Inputs!$G$5:$G$120="acoes"))*Inputs!$B$1+((Inputs!$G$5:$G$120&lt;&gt;"moeda")*(Inputs!$G$5:$G$120&lt;&gt;"acoes")))*INDEX(Inputs!$K$5:$AJ$120,0,MATCH(Y$2,Inputs!$K$4:$AJ$4,0)))))</f>
        <v>0</v>
      </c>
      <c r="Z25" s="267">
        <f>IF(ISNA(MATCH(Z$2,Inputs!$K$4:$AJ$4,0)),NA(),IF(SUMPRODUCT((Inputs!$A$5:$A$120=$B25)*ISNUMBER(INDEX(Inputs!$K$5:$AJ$120,0,MATCH(Z$2,Inputs!$K$4:$AJ$4,0))))+SUMPRODUCT((Inputs!$C$5:$C$120=$B25)*ISNUMBER(INDEX(Inputs!$K$5:$AJ$120,0,MATCH(Z$2,Inputs!$K$4:$AJ$4,0))))+SUMPRODUCT((Inputs!$E$5:$E$120=$B25)*ISNUMBER(INDEX(Inputs!$K$5:$AJ$120,0,MATCH(Z$2,Inputs!$K$4:$AJ$4,0))))=0,NA(),SUMPRODUCT((Inputs!$A$5:$A$120=$B25)*Inputs!$B$5:$B$120*(((Inputs!$G$5:$G$120="moeda")+(Inputs!$G$5:$G$120="acoes"))*Inputs!$B$1+((Inputs!$G$5:$G$120&lt;&gt;"moeda")*(Inputs!$G$5:$G$120&lt;&gt;"acoes")))*INDEX(Inputs!$K$5:$AJ$120,0,MATCH(Z$2,Inputs!$K$4:$AJ$4,0)))+SUMPRODUCT((Inputs!$C$5:$C$120=$B25)*Inputs!$D$5:$D$120*(((Inputs!$G$5:$G$120="moeda")+(Inputs!$G$5:$G$120="acoes"))*Inputs!$B$1+((Inputs!$G$5:$G$120&lt;&gt;"moeda")*(Inputs!$G$5:$G$120&lt;&gt;"acoes")))*INDEX(Inputs!$K$5:$AJ$120,0,MATCH(Z$2,Inputs!$K$4:$AJ$4,0)))+SUMPRODUCT((Inputs!$E$5:$E$120=$B25)*Inputs!$F$5:$F$120*(((Inputs!$G$5:$G$120="moeda")+(Inputs!$G$5:$G$120="acoes"))*Inputs!$B$1+((Inputs!$G$5:$G$120&lt;&gt;"moeda")*(Inputs!$G$5:$G$120&lt;&gt;"acoes")))*INDEX(Inputs!$K$5:$AJ$120,0,MATCH(Z$2,Inputs!$K$4:$AJ$4,0)))))</f>
        <v>0</v>
      </c>
      <c r="AA25" s="267">
        <f>IF(ISNA(MATCH(AA$2,Inputs!$K$4:$AJ$4,0)),NA(),IF(SUMPRODUCT((Inputs!$A$5:$A$120=$B25)*ISNUMBER(INDEX(Inputs!$K$5:$AJ$120,0,MATCH(AA$2,Inputs!$K$4:$AJ$4,0))))+SUMPRODUCT((Inputs!$C$5:$C$120=$B25)*ISNUMBER(INDEX(Inputs!$K$5:$AJ$120,0,MATCH(AA$2,Inputs!$K$4:$AJ$4,0))))+SUMPRODUCT((Inputs!$E$5:$E$120=$B25)*ISNUMBER(INDEX(Inputs!$K$5:$AJ$120,0,MATCH(AA$2,Inputs!$K$4:$AJ$4,0))))=0,NA(),SUMPRODUCT((Inputs!$A$5:$A$120=$B25)*Inputs!$B$5:$B$120*(((Inputs!$G$5:$G$120="moeda")+(Inputs!$G$5:$G$120="acoes"))*Inputs!$B$1+((Inputs!$G$5:$G$120&lt;&gt;"moeda")*(Inputs!$G$5:$G$120&lt;&gt;"acoes")))*INDEX(Inputs!$K$5:$AJ$120,0,MATCH(AA$2,Inputs!$K$4:$AJ$4,0)))+SUMPRODUCT((Inputs!$C$5:$C$120=$B25)*Inputs!$D$5:$D$120*(((Inputs!$G$5:$G$120="moeda")+(Inputs!$G$5:$G$120="acoes"))*Inputs!$B$1+((Inputs!$G$5:$G$120&lt;&gt;"moeda")*(Inputs!$G$5:$G$120&lt;&gt;"acoes")))*INDEX(Inputs!$K$5:$AJ$120,0,MATCH(AA$2,Inputs!$K$4:$AJ$4,0)))+SUMPRODUCT((Inputs!$E$5:$E$120=$B25)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5" s="268">
        <f>AA25</f>
        <v>0</v>
      </c>
      <c r="AC25" s="267">
        <f>IF(ISNA(MATCH(AC$2,Inputs!$K$4:$AJ$4,0)),NA(),IF(SUMPRODUCT((Inputs!$A$5:$A$120=$B25)*ISNUMBER(INDEX(Inputs!$K$5:$AJ$120,0,MATCH(AC$2,Inputs!$K$4:$AJ$4,0))))+SUMPRODUCT((Inputs!$C$5:$C$120=$B25)*ISNUMBER(INDEX(Inputs!$K$5:$AJ$120,0,MATCH(AC$2,Inputs!$K$4:$AJ$4,0))))+SUMPRODUCT((Inputs!$E$5:$E$120=$B25)*ISNUMBER(INDEX(Inputs!$K$5:$AJ$120,0,MATCH(AC$2,Inputs!$K$4:$AJ$4,0))))=0,NA(),SUMPRODUCT((Inputs!$A$5:$A$120=$B25)*Inputs!$B$5:$B$120*(((Inputs!$G$5:$G$120="moeda")+(Inputs!$G$5:$G$120="acoes"))*Inputs!$B$1+((Inputs!$G$5:$G$120&lt;&gt;"moeda")*(Inputs!$G$5:$G$120&lt;&gt;"acoes")))*INDEX(Inputs!$K$5:$AJ$120,0,MATCH(AC$2,Inputs!$K$4:$AJ$4,0)))+SUMPRODUCT((Inputs!$C$5:$C$120=$B25)*Inputs!$D$5:$D$120*(((Inputs!$G$5:$G$120="moeda")+(Inputs!$G$5:$G$120="acoes"))*Inputs!$B$1+((Inputs!$G$5:$G$120&lt;&gt;"moeda")*(Inputs!$G$5:$G$120&lt;&gt;"acoes")))*INDEX(Inputs!$K$5:$AJ$120,0,MATCH(AC$2,Inputs!$K$4:$AJ$4,0)))+SUMPRODUCT((Inputs!$E$5:$E$120=$B25)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5" s="267">
        <f>IF(ISNA(MATCH(AD$2,Inputs!$K$4:$AJ$4,0)),NA(),IF(SUMPRODUCT((Inputs!$A$5:$A$120=$B25)*ISNUMBER(INDEX(Inputs!$K$5:$AJ$120,0,MATCH(AD$2,Inputs!$K$4:$AJ$4,0))))+SUMPRODUCT((Inputs!$C$5:$C$120=$B25)*ISNUMBER(INDEX(Inputs!$K$5:$AJ$120,0,MATCH(AD$2,Inputs!$K$4:$AJ$4,0))))+SUMPRODUCT((Inputs!$E$5:$E$120=$B25)*ISNUMBER(INDEX(Inputs!$K$5:$AJ$120,0,MATCH(AD$2,Inputs!$K$4:$AJ$4,0))))=0,NA(),SUMPRODUCT((Inputs!$A$5:$A$120=$B25)*Inputs!$B$5:$B$120*(((Inputs!$G$5:$G$120="moeda")+(Inputs!$G$5:$G$120="acoes"))*Inputs!$B$1+((Inputs!$G$5:$G$120&lt;&gt;"moeda")*(Inputs!$G$5:$G$120&lt;&gt;"acoes")))*INDEX(Inputs!$K$5:$AJ$120,0,MATCH(AD$2,Inputs!$K$4:$AJ$4,0)))+SUMPRODUCT((Inputs!$C$5:$C$120=$B25)*Inputs!$D$5:$D$120*(((Inputs!$G$5:$G$120="moeda")+(Inputs!$G$5:$G$120="acoes"))*Inputs!$B$1+((Inputs!$G$5:$G$120&lt;&gt;"moeda")*(Inputs!$G$5:$G$120&lt;&gt;"acoes")))*INDEX(Inputs!$K$5:$AJ$120,0,MATCH(AD$2,Inputs!$K$4:$AJ$4,0)))+SUMPRODUCT((Inputs!$E$5:$E$120=$B25)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5" s="267" t="e">
        <f>IF(ISNA(MATCH(AE$2,Inputs!$K$4:$AJ$4,0)),NA(),IF(SUMPRODUCT((Inputs!$A$5:$A$120=$B25)*ISNUMBER(INDEX(Inputs!$K$5:$AJ$120,0,MATCH(AE$2,Inputs!$K$4:$AJ$4,0))))+SUMPRODUCT((Inputs!$C$5:$C$120=$B25)*ISNUMBER(INDEX(Inputs!$K$5:$AJ$120,0,MATCH(AE$2,Inputs!$K$4:$AJ$4,0))))+SUMPRODUCT((Inputs!$E$5:$E$120=$B25)*ISNUMBER(INDEX(Inputs!$K$5:$AJ$120,0,MATCH(AE$2,Inputs!$K$4:$AJ$4,0))))=0,NA(),SUMPRODUCT((Inputs!$A$5:$A$120=$B25)*Inputs!$B$5:$B$120*(((Inputs!$G$5:$G$120="moeda")+(Inputs!$G$5:$G$120="acoes"))*Inputs!$B$1+((Inputs!$G$5:$G$120&lt;&gt;"moeda")*(Inputs!$G$5:$G$120&lt;&gt;"acoes")))*INDEX(Inputs!$K$5:$AJ$120,0,MATCH(AE$2,Inputs!$K$4:$AJ$4,0)))+SUMPRODUCT((Inputs!$C$5:$C$120=$B25)*Inputs!$D$5:$D$120*(((Inputs!$G$5:$G$120="moeda")+(Inputs!$G$5:$G$120="acoes"))*Inputs!$B$1+((Inputs!$G$5:$G$120&lt;&gt;"moeda")*(Inputs!$G$5:$G$120&lt;&gt;"acoes")))*INDEX(Inputs!$K$5:$AJ$120,0,MATCH(AE$2,Inputs!$K$4:$AJ$4,0)))+SUMPRODUCT((Inputs!$E$5:$E$120=$B25)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5" s="267" t="e">
        <f>IF(ISNA(MATCH(AF$2,Inputs!$K$4:$AJ$4,0)),NA(),IF(SUMPRODUCT((Inputs!$A$5:$A$120=$B25)*ISNUMBER(INDEX(Inputs!$K$5:$AJ$120,0,MATCH(AF$2,Inputs!$K$4:$AJ$4,0))))+SUMPRODUCT((Inputs!$C$5:$C$120=$B25)*ISNUMBER(INDEX(Inputs!$K$5:$AJ$120,0,MATCH(AF$2,Inputs!$K$4:$AJ$4,0))))+SUMPRODUCT((Inputs!$E$5:$E$120=$B25)*ISNUMBER(INDEX(Inputs!$K$5:$AJ$120,0,MATCH(AF$2,Inputs!$K$4:$AJ$4,0))))=0,NA(),SUMPRODUCT((Inputs!$A$5:$A$120=$B25)*Inputs!$B$5:$B$120*(((Inputs!$G$5:$G$120="moeda")+(Inputs!$G$5:$G$120="acoes"))*Inputs!$B$1+((Inputs!$G$5:$G$120&lt;&gt;"moeda")*(Inputs!$G$5:$G$120&lt;&gt;"acoes")))*INDEX(Inputs!$K$5:$AJ$120,0,MATCH(AF$2,Inputs!$K$4:$AJ$4,0)))+SUMPRODUCT((Inputs!$C$5:$C$120=$B25)*Inputs!$D$5:$D$120*(((Inputs!$G$5:$G$120="moeda")+(Inputs!$G$5:$G$120="acoes"))*Inputs!$B$1+((Inputs!$G$5:$G$120&lt;&gt;"moeda")*(Inputs!$G$5:$G$120&lt;&gt;"acoes")))*INDEX(Inputs!$K$5:$AJ$120,0,MATCH(AF$2,Inputs!$K$4:$AJ$4,0)))+SUMPRODUCT((Inputs!$E$5:$E$120=$B25)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5" s="268" t="e">
        <f>AF25</f>
        <v>#N/A</v>
      </c>
      <c r="AH25" s="267">
        <f>IF(ISNA(MATCH(AH$2,Inputs!$K$4:$AJ$4,0)),NA(),IF(SUMPRODUCT((Inputs!$A$5:$A$120=$B25)*ISNUMBER(INDEX(Inputs!$K$5:$AJ$120,0,MATCH(AH$2,Inputs!$K$4:$AJ$4,0))))+SUMPRODUCT((Inputs!$C$5:$C$120=$B25)*ISNUMBER(INDEX(Inputs!$K$5:$AJ$120,0,MATCH(AH$2,Inputs!$K$4:$AJ$4,0))))+SUMPRODUCT((Inputs!$E$5:$E$120=$B25)*ISNUMBER(INDEX(Inputs!$K$5:$AJ$120,0,MATCH(AH$2,Inputs!$K$4:$AJ$4,0))))=0,NA(),SUMPRODUCT((Inputs!$A$5:$A$120=$B25)*Inputs!$B$5:$B$120*(((Inputs!$G$5:$G$120="moeda")+(Inputs!$G$5:$G$120="acoes"))*Inputs!$B$1+((Inputs!$G$5:$G$120&lt;&gt;"moeda")*(Inputs!$G$5:$G$120&lt;&gt;"acoes")))*INDEX(Inputs!$K$5:$AJ$120,0,MATCH(AH$2,Inputs!$K$4:$AJ$4,0)))+SUMPRODUCT((Inputs!$C$5:$C$120=$B25)*Inputs!$D$5:$D$120*(((Inputs!$G$5:$G$120="moeda")+(Inputs!$G$5:$G$120="acoes"))*Inputs!$B$1+((Inputs!$G$5:$G$120&lt;&gt;"moeda")*(Inputs!$G$5:$G$120&lt;&gt;"acoes")))*INDEX(Inputs!$K$5:$AJ$120,0,MATCH(AH$2,Inputs!$K$4:$AJ$4,0)))+SUMPRODUCT((Inputs!$E$5:$E$120=$B25)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5" s="267">
        <f>IF(ISNA(MATCH(AI$2,Inputs!$K$4:$AJ$4,0)),NA(),IF(SUMPRODUCT((Inputs!$A$5:$A$120=$B25)*ISNUMBER(INDEX(Inputs!$K$5:$AJ$120,0,MATCH(AI$2,Inputs!$K$4:$AJ$4,0))))+SUMPRODUCT((Inputs!$C$5:$C$120=$B25)*ISNUMBER(INDEX(Inputs!$K$5:$AJ$120,0,MATCH(AI$2,Inputs!$K$4:$AJ$4,0))))+SUMPRODUCT((Inputs!$E$5:$E$120=$B25)*ISNUMBER(INDEX(Inputs!$K$5:$AJ$120,0,MATCH(AI$2,Inputs!$K$4:$AJ$4,0))))=0,NA(),SUMPRODUCT((Inputs!$A$5:$A$120=$B25)*Inputs!$B$5:$B$120*(((Inputs!$G$5:$G$120="moeda")+(Inputs!$G$5:$G$120="acoes"))*Inputs!$B$1+((Inputs!$G$5:$G$120&lt;&gt;"moeda")*(Inputs!$G$5:$G$120&lt;&gt;"acoes")))*INDEX(Inputs!$K$5:$AJ$120,0,MATCH(AI$2,Inputs!$K$4:$AJ$4,0)))+SUMPRODUCT((Inputs!$C$5:$C$120=$B25)*Inputs!$D$5:$D$120*(((Inputs!$G$5:$G$120="moeda")+(Inputs!$G$5:$G$120="acoes"))*Inputs!$B$1+((Inputs!$G$5:$G$120&lt;&gt;"moeda")*(Inputs!$G$5:$G$120&lt;&gt;"acoes")))*INDEX(Inputs!$K$5:$AJ$120,0,MATCH(AI$2,Inputs!$K$4:$AJ$4,0)))+SUMPRODUCT((Inputs!$E$5:$E$120=$B25)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5" s="267">
        <f>IF(ISNA(MATCH(AJ$2,Inputs!$K$4:$AJ$4,0)),NA(),IF(SUMPRODUCT((Inputs!$A$5:$A$120=$B25)*ISNUMBER(INDEX(Inputs!$K$5:$AJ$120,0,MATCH(AJ$2,Inputs!$K$4:$AJ$4,0))))+SUMPRODUCT((Inputs!$C$5:$C$120=$B25)*ISNUMBER(INDEX(Inputs!$K$5:$AJ$120,0,MATCH(AJ$2,Inputs!$K$4:$AJ$4,0))))+SUMPRODUCT((Inputs!$E$5:$E$120=$B25)*ISNUMBER(INDEX(Inputs!$K$5:$AJ$120,0,MATCH(AJ$2,Inputs!$K$4:$AJ$4,0))))=0,NA(),SUMPRODUCT((Inputs!$A$5:$A$120=$B25)*Inputs!$B$5:$B$120*(((Inputs!$G$5:$G$120="moeda")+(Inputs!$G$5:$G$120="acoes"))*Inputs!$B$1+((Inputs!$G$5:$G$120&lt;&gt;"moeda")*(Inputs!$G$5:$G$120&lt;&gt;"acoes")))*INDEX(Inputs!$K$5:$AJ$120,0,MATCH(AJ$2,Inputs!$K$4:$AJ$4,0)))+SUMPRODUCT((Inputs!$C$5:$C$120=$B25)*Inputs!$D$5:$D$120*(((Inputs!$G$5:$G$120="moeda")+(Inputs!$G$5:$G$120="acoes"))*Inputs!$B$1+((Inputs!$G$5:$G$120&lt;&gt;"moeda")*(Inputs!$G$5:$G$120&lt;&gt;"acoes")))*INDEX(Inputs!$K$5:$AJ$120,0,MATCH(AJ$2,Inputs!$K$4:$AJ$4,0)))+SUMPRODUCT((Inputs!$E$5:$E$120=$B25)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5" s="267">
        <f>IF(ISNA(MATCH(AK$2,Inputs!$K$4:$AJ$4,0)),NA(),IF(SUMPRODUCT((Inputs!$A$5:$A$120=$B25)*ISNUMBER(INDEX(Inputs!$K$5:$AJ$120,0,MATCH(AK$2,Inputs!$K$4:$AJ$4,0))))+SUMPRODUCT((Inputs!$C$5:$C$120=$B25)*ISNUMBER(INDEX(Inputs!$K$5:$AJ$120,0,MATCH(AK$2,Inputs!$K$4:$AJ$4,0))))+SUMPRODUCT((Inputs!$E$5:$E$120=$B25)*ISNUMBER(INDEX(Inputs!$K$5:$AJ$120,0,MATCH(AK$2,Inputs!$K$4:$AJ$4,0))))=0,NA(),SUMPRODUCT((Inputs!$A$5:$A$120=$B25)*Inputs!$B$5:$B$120*(((Inputs!$G$5:$G$120="moeda")+(Inputs!$G$5:$G$120="acoes"))*Inputs!$B$1+((Inputs!$G$5:$G$120&lt;&gt;"moeda")*(Inputs!$G$5:$G$120&lt;&gt;"acoes")))*INDEX(Inputs!$K$5:$AJ$120,0,MATCH(AK$2,Inputs!$K$4:$AJ$4,0)))+SUMPRODUCT((Inputs!$C$5:$C$120=$B25)*Inputs!$D$5:$D$120*(((Inputs!$G$5:$G$120="moeda")+(Inputs!$G$5:$G$120="acoes"))*Inputs!$B$1+((Inputs!$G$5:$G$120&lt;&gt;"moeda")*(Inputs!$G$5:$G$120&lt;&gt;"acoes")))*INDEX(Inputs!$K$5:$AJ$120,0,MATCH(AK$2,Inputs!$K$4:$AJ$4,0)))+SUMPRODUCT((Inputs!$E$5:$E$120=$B25)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5" s="268">
        <f>AK25</f>
        <v>0</v>
      </c>
    </row>
    <row r="26" ht="12.75" customHeight="1" s="255">
      <c r="B26" s="265" t="n">
        <v>22</v>
      </c>
      <c r="C26" s="270" t="inlineStr">
        <is>
          <t>Other non-current assets</t>
        </is>
      </c>
      <c r="D26" s="267">
        <f>IF(ISNA(MATCH(D$2,Inputs!$K$4:$AJ$4,0)),NA(),IF(SUMPRODUCT((Inputs!$A$5:$A$120=$B26)*ISNUMBER(INDEX(Inputs!$K$5:$AJ$120,0,MATCH(D$2,Inputs!$K$4:$AJ$4,0))))+SUMPRODUCT((Inputs!$C$5:$C$120=$B26)*ISNUMBER(INDEX(Inputs!$K$5:$AJ$120,0,MATCH(D$2,Inputs!$K$4:$AJ$4,0))))+SUMPRODUCT((Inputs!$E$5:$E$120=$B26)*ISNUMBER(INDEX(Inputs!$K$5:$AJ$120,0,MATCH(D$2,Inputs!$K$4:$AJ$4,0))))=0,NA(),SUMPRODUCT((Inputs!$A$5:$A$120=$B26)*Inputs!$B$5:$B$120*(((Inputs!$G$5:$G$120="moeda")+(Inputs!$G$5:$G$120="acoes"))*Inputs!$B$1+((Inputs!$G$5:$G$120&lt;&gt;"moeda")*(Inputs!$G$5:$G$120&lt;&gt;"acoes")))*INDEX(Inputs!$K$5:$AJ$120,0,MATCH(D$2,Inputs!$K$4:$AJ$4,0)))+SUMPRODUCT((Inputs!$C$5:$C$120=$B26)*Inputs!$D$5:$D$120*(((Inputs!$G$5:$G$120="moeda")+(Inputs!$G$5:$G$120="acoes"))*Inputs!$B$1+((Inputs!$G$5:$G$120&lt;&gt;"moeda")*(Inputs!$G$5:$G$120&lt;&gt;"acoes")))*INDEX(Inputs!$K$5:$AJ$120,0,MATCH(D$2,Inputs!$K$4:$AJ$4,0)))+SUMPRODUCT((Inputs!$E$5:$E$120=$B26)*Inputs!$F$5:$F$120*(((Inputs!$G$5:$G$120="moeda")+(Inputs!$G$5:$G$120="acoes"))*Inputs!$B$1+((Inputs!$G$5:$G$120&lt;&gt;"moeda")*(Inputs!$G$5:$G$120&lt;&gt;"acoes")))*INDEX(Inputs!$K$5:$AJ$120,0,MATCH(D$2,Inputs!$K$4:$AJ$4,0)))))</f>
        <v>3012</v>
      </c>
      <c r="E26" s="267">
        <f>IF(ISNA(MATCH(E$2,Inputs!$K$4:$AJ$4,0)),NA(),IF(SUMPRODUCT((Inputs!$A$5:$A$120=$B26)*ISNUMBER(INDEX(Inputs!$K$5:$AJ$120,0,MATCH(E$2,Inputs!$K$4:$AJ$4,0))))+SUMPRODUCT((Inputs!$C$5:$C$120=$B26)*ISNUMBER(INDEX(Inputs!$K$5:$AJ$120,0,MATCH(E$2,Inputs!$K$4:$AJ$4,0))))+SUMPRODUCT((Inputs!$E$5:$E$120=$B26)*ISNUMBER(INDEX(Inputs!$K$5:$AJ$120,0,MATCH(E$2,Inputs!$K$4:$AJ$4,0))))=0,NA(),SUMPRODUCT((Inputs!$A$5:$A$120=$B26)*Inputs!$B$5:$B$120*(((Inputs!$G$5:$G$120="moeda")+(Inputs!$G$5:$G$120="acoes"))*Inputs!$B$1+((Inputs!$G$5:$G$120&lt;&gt;"moeda")*(Inputs!$G$5:$G$120&lt;&gt;"acoes")))*INDEX(Inputs!$K$5:$AJ$120,0,MATCH(E$2,Inputs!$K$4:$AJ$4,0)))+SUMPRODUCT((Inputs!$C$5:$C$120=$B26)*Inputs!$D$5:$D$120*(((Inputs!$G$5:$G$120="moeda")+(Inputs!$G$5:$G$120="acoes"))*Inputs!$B$1+((Inputs!$G$5:$G$120&lt;&gt;"moeda")*(Inputs!$G$5:$G$120&lt;&gt;"acoes")))*INDEX(Inputs!$K$5:$AJ$120,0,MATCH(E$2,Inputs!$K$4:$AJ$4,0)))+SUMPRODUCT((Inputs!$E$5:$E$120=$B26)*Inputs!$F$5:$F$120*(((Inputs!$G$5:$G$120="moeda")+(Inputs!$G$5:$G$120="acoes"))*Inputs!$B$1+((Inputs!$G$5:$G$120&lt;&gt;"moeda")*(Inputs!$G$5:$G$120&lt;&gt;"acoes")))*INDEX(Inputs!$K$5:$AJ$120,0,MATCH(E$2,Inputs!$K$4:$AJ$4,0)))))</f>
        <v>3001</v>
      </c>
      <c r="F26" s="267">
        <f>IF(ISNA(MATCH(F$2,Inputs!$K$4:$AJ$4,0)),NA(),IF(SUMPRODUCT((Inputs!$A$5:$A$120=$B26)*ISNUMBER(INDEX(Inputs!$K$5:$AJ$120,0,MATCH(F$2,Inputs!$K$4:$AJ$4,0))))+SUMPRODUCT((Inputs!$C$5:$C$120=$B26)*ISNUMBER(INDEX(Inputs!$K$5:$AJ$120,0,MATCH(F$2,Inputs!$K$4:$AJ$4,0))))+SUMPRODUCT((Inputs!$E$5:$E$120=$B26)*ISNUMBER(INDEX(Inputs!$K$5:$AJ$120,0,MATCH(F$2,Inputs!$K$4:$AJ$4,0))))=0,NA(),SUMPRODUCT((Inputs!$A$5:$A$120=$B26)*Inputs!$B$5:$B$120*(((Inputs!$G$5:$G$120="moeda")+(Inputs!$G$5:$G$120="acoes"))*Inputs!$B$1+((Inputs!$G$5:$G$120&lt;&gt;"moeda")*(Inputs!$G$5:$G$120&lt;&gt;"acoes")))*INDEX(Inputs!$K$5:$AJ$120,0,MATCH(F$2,Inputs!$K$4:$AJ$4,0)))+SUMPRODUCT((Inputs!$C$5:$C$120=$B26)*Inputs!$D$5:$D$120*(((Inputs!$G$5:$G$120="moeda")+(Inputs!$G$5:$G$120="acoes"))*Inputs!$B$1+((Inputs!$G$5:$G$120&lt;&gt;"moeda")*(Inputs!$G$5:$G$120&lt;&gt;"acoes")))*INDEX(Inputs!$K$5:$AJ$120,0,MATCH(F$2,Inputs!$K$4:$AJ$4,0)))+SUMPRODUCT((Inputs!$E$5:$E$120=$B26)*Inputs!$F$5:$F$120*(((Inputs!$G$5:$G$120="moeda")+(Inputs!$G$5:$G$120="acoes"))*Inputs!$B$1+((Inputs!$G$5:$G$120&lt;&gt;"moeda")*(Inputs!$G$5:$G$120&lt;&gt;"acoes")))*INDEX(Inputs!$K$5:$AJ$120,0,MATCH(F$2,Inputs!$K$4:$AJ$4,0)))))</f>
        <v>3024</v>
      </c>
      <c r="G26" s="267">
        <f>IF(ISNA(MATCH(G$2,Inputs!$K$4:$AJ$4,0)),NA(),IF(SUMPRODUCT((Inputs!$A$5:$A$120=$B26)*ISNUMBER(INDEX(Inputs!$K$5:$AJ$120,0,MATCH(G$2,Inputs!$K$4:$AJ$4,0))))+SUMPRODUCT((Inputs!$C$5:$C$120=$B26)*ISNUMBER(INDEX(Inputs!$K$5:$AJ$120,0,MATCH(G$2,Inputs!$K$4:$AJ$4,0))))+SUMPRODUCT((Inputs!$E$5:$E$120=$B26)*ISNUMBER(INDEX(Inputs!$K$5:$AJ$120,0,MATCH(G$2,Inputs!$K$4:$AJ$4,0))))=0,NA(),SUMPRODUCT((Inputs!$A$5:$A$120=$B26)*Inputs!$B$5:$B$120*(((Inputs!$G$5:$G$120="moeda")+(Inputs!$G$5:$G$120="acoes"))*Inputs!$B$1+((Inputs!$G$5:$G$120&lt;&gt;"moeda")*(Inputs!$G$5:$G$120&lt;&gt;"acoes")))*INDEX(Inputs!$K$5:$AJ$120,0,MATCH(G$2,Inputs!$K$4:$AJ$4,0)))+SUMPRODUCT((Inputs!$C$5:$C$120=$B26)*Inputs!$D$5:$D$120*(((Inputs!$G$5:$G$120="moeda")+(Inputs!$G$5:$G$120="acoes"))*Inputs!$B$1+((Inputs!$G$5:$G$120&lt;&gt;"moeda")*(Inputs!$G$5:$G$120&lt;&gt;"acoes")))*INDEX(Inputs!$K$5:$AJ$120,0,MATCH(G$2,Inputs!$K$4:$AJ$4,0)))+SUMPRODUCT((Inputs!$E$5:$E$120=$B26)*Inputs!$F$5:$F$120*(((Inputs!$G$5:$G$120="moeda")+(Inputs!$G$5:$G$120="acoes"))*Inputs!$B$1+((Inputs!$G$5:$G$120&lt;&gt;"moeda")*(Inputs!$G$5:$G$120&lt;&gt;"acoes")))*INDEX(Inputs!$K$5:$AJ$120,0,MATCH(G$2,Inputs!$K$4:$AJ$4,0)))))</f>
        <v>2847</v>
      </c>
      <c r="H26" s="268">
        <f>G26</f>
        <v>2847</v>
      </c>
      <c r="I26" s="267">
        <f>IF(ISNA(MATCH(I$2,Inputs!$K$4:$AJ$4,0)),NA(),IF(SUMPRODUCT((Inputs!$A$5:$A$120=$B26)*ISNUMBER(INDEX(Inputs!$K$5:$AJ$120,0,MATCH(I$2,Inputs!$K$4:$AJ$4,0))))+SUMPRODUCT((Inputs!$C$5:$C$120=$B26)*ISNUMBER(INDEX(Inputs!$K$5:$AJ$120,0,MATCH(I$2,Inputs!$K$4:$AJ$4,0))))+SUMPRODUCT((Inputs!$E$5:$E$120=$B26)*ISNUMBER(INDEX(Inputs!$K$5:$AJ$120,0,MATCH(I$2,Inputs!$K$4:$AJ$4,0))))=0,NA(),SUMPRODUCT((Inputs!$A$5:$A$120=$B26)*Inputs!$B$5:$B$120*(((Inputs!$G$5:$G$120="moeda")+(Inputs!$G$5:$G$120="acoes"))*Inputs!$B$1+((Inputs!$G$5:$G$120&lt;&gt;"moeda")*(Inputs!$G$5:$G$120&lt;&gt;"acoes")))*INDEX(Inputs!$K$5:$AJ$120,0,MATCH(I$2,Inputs!$K$4:$AJ$4,0)))+SUMPRODUCT((Inputs!$C$5:$C$120=$B26)*Inputs!$D$5:$D$120*(((Inputs!$G$5:$G$120="moeda")+(Inputs!$G$5:$G$120="acoes"))*Inputs!$B$1+((Inputs!$G$5:$G$120&lt;&gt;"moeda")*(Inputs!$G$5:$G$120&lt;&gt;"acoes")))*INDEX(Inputs!$K$5:$AJ$120,0,MATCH(I$2,Inputs!$K$4:$AJ$4,0)))+SUMPRODUCT((Inputs!$E$5:$E$120=$B26)*Inputs!$F$5:$F$120*(((Inputs!$G$5:$G$120="moeda")+(Inputs!$G$5:$G$120="acoes"))*Inputs!$B$1+((Inputs!$G$5:$G$120&lt;&gt;"moeda")*(Inputs!$G$5:$G$120&lt;&gt;"acoes")))*INDEX(Inputs!$K$5:$AJ$120,0,MATCH(I$2,Inputs!$K$4:$AJ$4,0)))))</f>
        <v>2822</v>
      </c>
      <c r="J26" s="267">
        <f>IF(ISNA(MATCH(J$2,Inputs!$K$4:$AJ$4,0)),NA(),IF(SUMPRODUCT((Inputs!$A$5:$A$120=$B26)*ISNUMBER(INDEX(Inputs!$K$5:$AJ$120,0,MATCH(J$2,Inputs!$K$4:$AJ$4,0))))+SUMPRODUCT((Inputs!$C$5:$C$120=$B26)*ISNUMBER(INDEX(Inputs!$K$5:$AJ$120,0,MATCH(J$2,Inputs!$K$4:$AJ$4,0))))+SUMPRODUCT((Inputs!$E$5:$E$120=$B26)*ISNUMBER(INDEX(Inputs!$K$5:$AJ$120,0,MATCH(J$2,Inputs!$K$4:$AJ$4,0))))=0,NA(),SUMPRODUCT((Inputs!$A$5:$A$120=$B26)*Inputs!$B$5:$B$120*(((Inputs!$G$5:$G$120="moeda")+(Inputs!$G$5:$G$120="acoes"))*Inputs!$B$1+((Inputs!$G$5:$G$120&lt;&gt;"moeda")*(Inputs!$G$5:$G$120&lt;&gt;"acoes")))*INDEX(Inputs!$K$5:$AJ$120,0,MATCH(J$2,Inputs!$K$4:$AJ$4,0)))+SUMPRODUCT((Inputs!$C$5:$C$120=$B26)*Inputs!$D$5:$D$120*(((Inputs!$G$5:$G$120="moeda")+(Inputs!$G$5:$G$120="acoes"))*Inputs!$B$1+((Inputs!$G$5:$G$120&lt;&gt;"moeda")*(Inputs!$G$5:$G$120&lt;&gt;"acoes")))*INDEX(Inputs!$K$5:$AJ$120,0,MATCH(J$2,Inputs!$K$4:$AJ$4,0)))+SUMPRODUCT((Inputs!$E$5:$E$120=$B26)*Inputs!$F$5:$F$120*(((Inputs!$G$5:$G$120="moeda")+(Inputs!$G$5:$G$120="acoes"))*Inputs!$B$1+((Inputs!$G$5:$G$120&lt;&gt;"moeda")*(Inputs!$G$5:$G$120&lt;&gt;"acoes")))*INDEX(Inputs!$K$5:$AJ$120,0,MATCH(J$2,Inputs!$K$4:$AJ$4,0)))))</f>
        <v>2731</v>
      </c>
      <c r="K26" s="267">
        <f>IF(ISNA(MATCH(K$2,Inputs!$K$4:$AJ$4,0)),NA(),IF(SUMPRODUCT((Inputs!$A$5:$A$120=$B26)*ISNUMBER(INDEX(Inputs!$K$5:$AJ$120,0,MATCH(K$2,Inputs!$K$4:$AJ$4,0))))+SUMPRODUCT((Inputs!$C$5:$C$120=$B26)*ISNUMBER(INDEX(Inputs!$K$5:$AJ$120,0,MATCH(K$2,Inputs!$K$4:$AJ$4,0))))+SUMPRODUCT((Inputs!$E$5:$E$120=$B26)*ISNUMBER(INDEX(Inputs!$K$5:$AJ$120,0,MATCH(K$2,Inputs!$K$4:$AJ$4,0))))=0,NA(),SUMPRODUCT((Inputs!$A$5:$A$120=$B26)*Inputs!$B$5:$B$120*(((Inputs!$G$5:$G$120="moeda")+(Inputs!$G$5:$G$120="acoes"))*Inputs!$B$1+((Inputs!$G$5:$G$120&lt;&gt;"moeda")*(Inputs!$G$5:$G$120&lt;&gt;"acoes")))*INDEX(Inputs!$K$5:$AJ$120,0,MATCH(K$2,Inputs!$K$4:$AJ$4,0)))+SUMPRODUCT((Inputs!$C$5:$C$120=$B26)*Inputs!$D$5:$D$120*(((Inputs!$G$5:$G$120="moeda")+(Inputs!$G$5:$G$120="acoes"))*Inputs!$B$1+((Inputs!$G$5:$G$120&lt;&gt;"moeda")*(Inputs!$G$5:$G$120&lt;&gt;"acoes")))*INDEX(Inputs!$K$5:$AJ$120,0,MATCH(K$2,Inputs!$K$4:$AJ$4,0)))+SUMPRODUCT((Inputs!$E$5:$E$120=$B26)*Inputs!$F$5:$F$120*(((Inputs!$G$5:$G$120="moeda")+(Inputs!$G$5:$G$120="acoes"))*Inputs!$B$1+((Inputs!$G$5:$G$120&lt;&gt;"moeda")*(Inputs!$G$5:$G$120&lt;&gt;"acoes")))*INDEX(Inputs!$K$5:$AJ$120,0,MATCH(K$2,Inputs!$K$4:$AJ$4,0)))))</f>
        <v>2740</v>
      </c>
      <c r="L26" s="267">
        <f>IF(ISNA(MATCH(L$2,Inputs!$K$4:$AJ$4,0)),NA(),IF(SUMPRODUCT((Inputs!$A$5:$A$120=$B26)*ISNUMBER(INDEX(Inputs!$K$5:$AJ$120,0,MATCH(L$2,Inputs!$K$4:$AJ$4,0))))+SUMPRODUCT((Inputs!$C$5:$C$120=$B26)*ISNUMBER(INDEX(Inputs!$K$5:$AJ$120,0,MATCH(L$2,Inputs!$K$4:$AJ$4,0))))+SUMPRODUCT((Inputs!$E$5:$E$120=$B26)*ISNUMBER(INDEX(Inputs!$K$5:$AJ$120,0,MATCH(L$2,Inputs!$K$4:$AJ$4,0))))=0,NA(),SUMPRODUCT((Inputs!$A$5:$A$120=$B26)*Inputs!$B$5:$B$120*(((Inputs!$G$5:$G$120="moeda")+(Inputs!$G$5:$G$120="acoes"))*Inputs!$B$1+((Inputs!$G$5:$G$120&lt;&gt;"moeda")*(Inputs!$G$5:$G$120&lt;&gt;"acoes")))*INDEX(Inputs!$K$5:$AJ$120,0,MATCH(L$2,Inputs!$K$4:$AJ$4,0)))+SUMPRODUCT((Inputs!$C$5:$C$120=$B26)*Inputs!$D$5:$D$120*(((Inputs!$G$5:$G$120="moeda")+(Inputs!$G$5:$G$120="acoes"))*Inputs!$B$1+((Inputs!$G$5:$G$120&lt;&gt;"moeda")*(Inputs!$G$5:$G$120&lt;&gt;"acoes")))*INDEX(Inputs!$K$5:$AJ$120,0,MATCH(L$2,Inputs!$K$4:$AJ$4,0)))+SUMPRODUCT((Inputs!$E$5:$E$120=$B26)*Inputs!$F$5:$F$120*(((Inputs!$G$5:$G$120="moeda")+(Inputs!$G$5:$G$120="acoes"))*Inputs!$B$1+((Inputs!$G$5:$G$120&lt;&gt;"moeda")*(Inputs!$G$5:$G$120&lt;&gt;"acoes")))*INDEX(Inputs!$K$5:$AJ$120,0,MATCH(L$2,Inputs!$K$4:$AJ$4,0)))))</f>
        <v>2853</v>
      </c>
      <c r="M26" s="268">
        <f>L26</f>
        <v>2853</v>
      </c>
      <c r="N26" s="267">
        <f>IF(ISNA(MATCH(N$2,Inputs!$K$4:$AJ$4,0)),NA(),IF(SUMPRODUCT((Inputs!$A$5:$A$120=$B26)*ISNUMBER(INDEX(Inputs!$K$5:$AJ$120,0,MATCH(N$2,Inputs!$K$4:$AJ$4,0))))+SUMPRODUCT((Inputs!$C$5:$C$120=$B26)*ISNUMBER(INDEX(Inputs!$K$5:$AJ$120,0,MATCH(N$2,Inputs!$K$4:$AJ$4,0))))+SUMPRODUCT((Inputs!$E$5:$E$120=$B26)*ISNUMBER(INDEX(Inputs!$K$5:$AJ$120,0,MATCH(N$2,Inputs!$K$4:$AJ$4,0))))=0,NA(),SUMPRODUCT((Inputs!$A$5:$A$120=$B26)*Inputs!$B$5:$B$120*(((Inputs!$G$5:$G$120="moeda")+(Inputs!$G$5:$G$120="acoes"))*Inputs!$B$1+((Inputs!$G$5:$G$120&lt;&gt;"moeda")*(Inputs!$G$5:$G$120&lt;&gt;"acoes")))*INDEX(Inputs!$K$5:$AJ$120,0,MATCH(N$2,Inputs!$K$4:$AJ$4,0)))+SUMPRODUCT((Inputs!$C$5:$C$120=$B26)*Inputs!$D$5:$D$120*(((Inputs!$G$5:$G$120="moeda")+(Inputs!$G$5:$G$120="acoes"))*Inputs!$B$1+((Inputs!$G$5:$G$120&lt;&gt;"moeda")*(Inputs!$G$5:$G$120&lt;&gt;"acoes")))*INDEX(Inputs!$K$5:$AJ$120,0,MATCH(N$2,Inputs!$K$4:$AJ$4,0)))+SUMPRODUCT((Inputs!$E$5:$E$120=$B26)*Inputs!$F$5:$F$120*(((Inputs!$G$5:$G$120="moeda")+(Inputs!$G$5:$G$120="acoes"))*Inputs!$B$1+((Inputs!$G$5:$G$120&lt;&gt;"moeda")*(Inputs!$G$5:$G$120&lt;&gt;"acoes")))*INDEX(Inputs!$K$5:$AJ$120,0,MATCH(N$2,Inputs!$K$4:$AJ$4,0)))))</f>
        <v>3004</v>
      </c>
      <c r="O26" s="267">
        <f>IF(ISNA(MATCH(O$2,Inputs!$K$4:$AJ$4,0)),NA(),IF(SUMPRODUCT((Inputs!$A$5:$A$120=$B26)*ISNUMBER(INDEX(Inputs!$K$5:$AJ$120,0,MATCH(O$2,Inputs!$K$4:$AJ$4,0))))+SUMPRODUCT((Inputs!$C$5:$C$120=$B26)*ISNUMBER(INDEX(Inputs!$K$5:$AJ$120,0,MATCH(O$2,Inputs!$K$4:$AJ$4,0))))+SUMPRODUCT((Inputs!$E$5:$E$120=$B26)*ISNUMBER(INDEX(Inputs!$K$5:$AJ$120,0,MATCH(O$2,Inputs!$K$4:$AJ$4,0))))=0,NA(),SUMPRODUCT((Inputs!$A$5:$A$120=$B26)*Inputs!$B$5:$B$120*(((Inputs!$G$5:$G$120="moeda")+(Inputs!$G$5:$G$120="acoes"))*Inputs!$B$1+((Inputs!$G$5:$G$120&lt;&gt;"moeda")*(Inputs!$G$5:$G$120&lt;&gt;"acoes")))*INDEX(Inputs!$K$5:$AJ$120,0,MATCH(O$2,Inputs!$K$4:$AJ$4,0)))+SUMPRODUCT((Inputs!$C$5:$C$120=$B26)*Inputs!$D$5:$D$120*(((Inputs!$G$5:$G$120="moeda")+(Inputs!$G$5:$G$120="acoes"))*Inputs!$B$1+((Inputs!$G$5:$G$120&lt;&gt;"moeda")*(Inputs!$G$5:$G$120&lt;&gt;"acoes")))*INDEX(Inputs!$K$5:$AJ$120,0,MATCH(O$2,Inputs!$K$4:$AJ$4,0)))+SUMPRODUCT((Inputs!$E$5:$E$120=$B26)*Inputs!$F$5:$F$120*(((Inputs!$G$5:$G$120="moeda")+(Inputs!$G$5:$G$120="acoes"))*Inputs!$B$1+((Inputs!$G$5:$G$120&lt;&gt;"moeda")*(Inputs!$G$5:$G$120&lt;&gt;"acoes")))*INDEX(Inputs!$K$5:$AJ$120,0,MATCH(O$2,Inputs!$K$4:$AJ$4,0)))))</f>
        <v>3005</v>
      </c>
      <c r="P26" s="267">
        <f>IF(ISNA(MATCH(P$2,Inputs!$K$4:$AJ$4,0)),NA(),IF(SUMPRODUCT((Inputs!$A$5:$A$120=$B26)*ISNUMBER(INDEX(Inputs!$K$5:$AJ$120,0,MATCH(P$2,Inputs!$K$4:$AJ$4,0))))+SUMPRODUCT((Inputs!$C$5:$C$120=$B26)*ISNUMBER(INDEX(Inputs!$K$5:$AJ$120,0,MATCH(P$2,Inputs!$K$4:$AJ$4,0))))+SUMPRODUCT((Inputs!$E$5:$E$120=$B26)*ISNUMBER(INDEX(Inputs!$K$5:$AJ$120,0,MATCH(P$2,Inputs!$K$4:$AJ$4,0))))=0,NA(),SUMPRODUCT((Inputs!$A$5:$A$120=$B26)*Inputs!$B$5:$B$120*(((Inputs!$G$5:$G$120="moeda")+(Inputs!$G$5:$G$120="acoes"))*Inputs!$B$1+((Inputs!$G$5:$G$120&lt;&gt;"moeda")*(Inputs!$G$5:$G$120&lt;&gt;"acoes")))*INDEX(Inputs!$K$5:$AJ$120,0,MATCH(P$2,Inputs!$K$4:$AJ$4,0)))+SUMPRODUCT((Inputs!$C$5:$C$120=$B26)*Inputs!$D$5:$D$120*(((Inputs!$G$5:$G$120="moeda")+(Inputs!$G$5:$G$120="acoes"))*Inputs!$B$1+((Inputs!$G$5:$G$120&lt;&gt;"moeda")*(Inputs!$G$5:$G$120&lt;&gt;"acoes")))*INDEX(Inputs!$K$5:$AJ$120,0,MATCH(P$2,Inputs!$K$4:$AJ$4,0)))+SUMPRODUCT((Inputs!$E$5:$E$120=$B26)*Inputs!$F$5:$F$120*(((Inputs!$G$5:$G$120="moeda")+(Inputs!$G$5:$G$120="acoes"))*Inputs!$B$1+((Inputs!$G$5:$G$120&lt;&gt;"moeda")*(Inputs!$G$5:$G$120&lt;&gt;"acoes")))*INDEX(Inputs!$K$5:$AJ$120,0,MATCH(P$2,Inputs!$K$4:$AJ$4,0)))))</f>
        <v>3036</v>
      </c>
      <c r="Q26" s="267">
        <f>IF(ISNA(MATCH(Q$2,Inputs!$K$4:$AJ$4,0)),NA(),IF(SUMPRODUCT((Inputs!$A$5:$A$120=$B26)*ISNUMBER(INDEX(Inputs!$K$5:$AJ$120,0,MATCH(Q$2,Inputs!$K$4:$AJ$4,0))))+SUMPRODUCT((Inputs!$C$5:$C$120=$B26)*ISNUMBER(INDEX(Inputs!$K$5:$AJ$120,0,MATCH(Q$2,Inputs!$K$4:$AJ$4,0))))+SUMPRODUCT((Inputs!$E$5:$E$120=$B26)*ISNUMBER(INDEX(Inputs!$K$5:$AJ$120,0,MATCH(Q$2,Inputs!$K$4:$AJ$4,0))))=0,NA(),SUMPRODUCT((Inputs!$A$5:$A$120=$B26)*Inputs!$B$5:$B$120*(((Inputs!$G$5:$G$120="moeda")+(Inputs!$G$5:$G$120="acoes"))*Inputs!$B$1+((Inputs!$G$5:$G$120&lt;&gt;"moeda")*(Inputs!$G$5:$G$120&lt;&gt;"acoes")))*INDEX(Inputs!$K$5:$AJ$120,0,MATCH(Q$2,Inputs!$K$4:$AJ$4,0)))+SUMPRODUCT((Inputs!$C$5:$C$120=$B26)*Inputs!$D$5:$D$120*(((Inputs!$G$5:$G$120="moeda")+(Inputs!$G$5:$G$120="acoes"))*Inputs!$B$1+((Inputs!$G$5:$G$120&lt;&gt;"moeda")*(Inputs!$G$5:$G$120&lt;&gt;"acoes")))*INDEX(Inputs!$K$5:$AJ$120,0,MATCH(Q$2,Inputs!$K$4:$AJ$4,0)))+SUMPRODUCT((Inputs!$E$5:$E$120=$B26)*Inputs!$F$5:$F$120*(((Inputs!$G$5:$G$120="moeda")+(Inputs!$G$5:$G$120="acoes"))*Inputs!$B$1+((Inputs!$G$5:$G$120&lt;&gt;"moeda")*(Inputs!$G$5:$G$120&lt;&gt;"acoes")))*INDEX(Inputs!$K$5:$AJ$120,0,MATCH(Q$2,Inputs!$K$4:$AJ$4,0)))))</f>
        <v>3146</v>
      </c>
      <c r="R26" s="268">
        <f>Q26</f>
        <v>3146</v>
      </c>
      <c r="S26" s="267">
        <f>IF(ISNA(MATCH(S$2,Inputs!$K$4:$AJ$4,0)),NA(),IF(SUMPRODUCT((Inputs!$A$5:$A$120=$B26)*ISNUMBER(INDEX(Inputs!$K$5:$AJ$120,0,MATCH(S$2,Inputs!$K$4:$AJ$4,0))))+SUMPRODUCT((Inputs!$C$5:$C$120=$B26)*ISNUMBER(INDEX(Inputs!$K$5:$AJ$120,0,MATCH(S$2,Inputs!$K$4:$AJ$4,0))))+SUMPRODUCT((Inputs!$E$5:$E$120=$B26)*ISNUMBER(INDEX(Inputs!$K$5:$AJ$120,0,MATCH(S$2,Inputs!$K$4:$AJ$4,0))))=0,NA(),SUMPRODUCT((Inputs!$A$5:$A$120=$B26)*Inputs!$B$5:$B$120*(((Inputs!$G$5:$G$120="moeda")+(Inputs!$G$5:$G$120="acoes"))*Inputs!$B$1+((Inputs!$G$5:$G$120&lt;&gt;"moeda")*(Inputs!$G$5:$G$120&lt;&gt;"acoes")))*INDEX(Inputs!$K$5:$AJ$120,0,MATCH(S$2,Inputs!$K$4:$AJ$4,0)))+SUMPRODUCT((Inputs!$C$5:$C$120=$B26)*Inputs!$D$5:$D$120*(((Inputs!$G$5:$G$120="moeda")+(Inputs!$G$5:$G$120="acoes"))*Inputs!$B$1+((Inputs!$G$5:$G$120&lt;&gt;"moeda")*(Inputs!$G$5:$G$120&lt;&gt;"acoes")))*INDEX(Inputs!$K$5:$AJ$120,0,MATCH(S$2,Inputs!$K$4:$AJ$4,0)))+SUMPRODUCT((Inputs!$E$5:$E$120=$B26)*Inputs!$F$5:$F$120*(((Inputs!$G$5:$G$120="moeda")+(Inputs!$G$5:$G$120="acoes"))*Inputs!$B$1+((Inputs!$G$5:$G$120&lt;&gt;"moeda")*(Inputs!$G$5:$G$120&lt;&gt;"acoes")))*INDEX(Inputs!$K$5:$AJ$120,0,MATCH(S$2,Inputs!$K$4:$AJ$4,0)))))</f>
        <v>3159</v>
      </c>
      <c r="T26" s="267">
        <f>IF(ISNA(MATCH(T$2,Inputs!$K$4:$AJ$4,0)),NA(),IF(SUMPRODUCT((Inputs!$A$5:$A$120=$B26)*ISNUMBER(INDEX(Inputs!$K$5:$AJ$120,0,MATCH(T$2,Inputs!$K$4:$AJ$4,0))))+SUMPRODUCT((Inputs!$C$5:$C$120=$B26)*ISNUMBER(INDEX(Inputs!$K$5:$AJ$120,0,MATCH(T$2,Inputs!$K$4:$AJ$4,0))))+SUMPRODUCT((Inputs!$E$5:$E$120=$B26)*ISNUMBER(INDEX(Inputs!$K$5:$AJ$120,0,MATCH(T$2,Inputs!$K$4:$AJ$4,0))))=0,NA(),SUMPRODUCT((Inputs!$A$5:$A$120=$B26)*Inputs!$B$5:$B$120*(((Inputs!$G$5:$G$120="moeda")+(Inputs!$G$5:$G$120="acoes"))*Inputs!$B$1+((Inputs!$G$5:$G$120&lt;&gt;"moeda")*(Inputs!$G$5:$G$120&lt;&gt;"acoes")))*INDEX(Inputs!$K$5:$AJ$120,0,MATCH(T$2,Inputs!$K$4:$AJ$4,0)))+SUMPRODUCT((Inputs!$C$5:$C$120=$B26)*Inputs!$D$5:$D$120*(((Inputs!$G$5:$G$120="moeda")+(Inputs!$G$5:$G$120="acoes"))*Inputs!$B$1+((Inputs!$G$5:$G$120&lt;&gt;"moeda")*(Inputs!$G$5:$G$120&lt;&gt;"acoes")))*INDEX(Inputs!$K$5:$AJ$120,0,MATCH(T$2,Inputs!$K$4:$AJ$4,0)))+SUMPRODUCT((Inputs!$E$5:$E$120=$B26)*Inputs!$F$5:$F$120*(((Inputs!$G$5:$G$120="moeda")+(Inputs!$G$5:$G$120="acoes"))*Inputs!$B$1+((Inputs!$G$5:$G$120&lt;&gt;"moeda")*(Inputs!$G$5:$G$120&lt;&gt;"acoes")))*INDEX(Inputs!$K$5:$AJ$120,0,MATCH(T$2,Inputs!$K$4:$AJ$4,0)))))</f>
        <v>3129</v>
      </c>
      <c r="U26" s="267">
        <f>IF(ISNA(MATCH(U$2,Inputs!$K$4:$AJ$4,0)),NA(),IF(SUMPRODUCT((Inputs!$A$5:$A$120=$B26)*ISNUMBER(INDEX(Inputs!$K$5:$AJ$120,0,MATCH(U$2,Inputs!$K$4:$AJ$4,0))))+SUMPRODUCT((Inputs!$C$5:$C$120=$B26)*ISNUMBER(INDEX(Inputs!$K$5:$AJ$120,0,MATCH(U$2,Inputs!$K$4:$AJ$4,0))))+SUMPRODUCT((Inputs!$E$5:$E$120=$B26)*ISNUMBER(INDEX(Inputs!$K$5:$AJ$120,0,MATCH(U$2,Inputs!$K$4:$AJ$4,0))))=0,NA(),SUMPRODUCT((Inputs!$A$5:$A$120=$B26)*Inputs!$B$5:$B$120*(((Inputs!$G$5:$G$120="moeda")+(Inputs!$G$5:$G$120="acoes"))*Inputs!$B$1+((Inputs!$G$5:$G$120&lt;&gt;"moeda")*(Inputs!$G$5:$G$120&lt;&gt;"acoes")))*INDEX(Inputs!$K$5:$AJ$120,0,MATCH(U$2,Inputs!$K$4:$AJ$4,0)))+SUMPRODUCT((Inputs!$C$5:$C$120=$B26)*Inputs!$D$5:$D$120*(((Inputs!$G$5:$G$120="moeda")+(Inputs!$G$5:$G$120="acoes"))*Inputs!$B$1+((Inputs!$G$5:$G$120&lt;&gt;"moeda")*(Inputs!$G$5:$G$120&lt;&gt;"acoes")))*INDEX(Inputs!$K$5:$AJ$120,0,MATCH(U$2,Inputs!$K$4:$AJ$4,0)))+SUMPRODUCT((Inputs!$E$5:$E$120=$B26)*Inputs!$F$5:$F$120*(((Inputs!$G$5:$G$120="moeda")+(Inputs!$G$5:$G$120="acoes"))*Inputs!$B$1+((Inputs!$G$5:$G$120&lt;&gt;"moeda")*(Inputs!$G$5:$G$120&lt;&gt;"acoes")))*INDEX(Inputs!$K$5:$AJ$120,0,MATCH(U$2,Inputs!$K$4:$AJ$4,0)))))</f>
        <v>3105</v>
      </c>
      <c r="V26" s="267">
        <f>IF(ISNA(MATCH(V$2,Inputs!$K$4:$AJ$4,0)),NA(),IF(SUMPRODUCT((Inputs!$A$5:$A$120=$B26)*ISNUMBER(INDEX(Inputs!$K$5:$AJ$120,0,MATCH(V$2,Inputs!$K$4:$AJ$4,0))))+SUMPRODUCT((Inputs!$C$5:$C$120=$B26)*ISNUMBER(INDEX(Inputs!$K$5:$AJ$120,0,MATCH(V$2,Inputs!$K$4:$AJ$4,0))))+SUMPRODUCT((Inputs!$E$5:$E$120=$B26)*ISNUMBER(INDEX(Inputs!$K$5:$AJ$120,0,MATCH(V$2,Inputs!$K$4:$AJ$4,0))))=0,NA(),SUMPRODUCT((Inputs!$A$5:$A$120=$B26)*Inputs!$B$5:$B$120*(((Inputs!$G$5:$G$120="moeda")+(Inputs!$G$5:$G$120="acoes"))*Inputs!$B$1+((Inputs!$G$5:$G$120&lt;&gt;"moeda")*(Inputs!$G$5:$G$120&lt;&gt;"acoes")))*INDEX(Inputs!$K$5:$AJ$120,0,MATCH(V$2,Inputs!$K$4:$AJ$4,0)))+SUMPRODUCT((Inputs!$C$5:$C$120=$B26)*Inputs!$D$5:$D$120*(((Inputs!$G$5:$G$120="moeda")+(Inputs!$G$5:$G$120="acoes"))*Inputs!$B$1+((Inputs!$G$5:$G$120&lt;&gt;"moeda")*(Inputs!$G$5:$G$120&lt;&gt;"acoes")))*INDEX(Inputs!$K$5:$AJ$120,0,MATCH(V$2,Inputs!$K$4:$AJ$4,0)))+SUMPRODUCT((Inputs!$E$5:$E$120=$B26)*Inputs!$F$5:$F$120*(((Inputs!$G$5:$G$120="moeda")+(Inputs!$G$5:$G$120="acoes"))*Inputs!$B$1+((Inputs!$G$5:$G$120&lt;&gt;"moeda")*(Inputs!$G$5:$G$120&lt;&gt;"acoes")))*INDEX(Inputs!$K$5:$AJ$120,0,MATCH(V$2,Inputs!$K$4:$AJ$4,0)))))</f>
        <v>3038</v>
      </c>
      <c r="W26" s="268">
        <f>V26</f>
        <v>3038</v>
      </c>
      <c r="X26" s="267">
        <f>IF(ISNA(MATCH(X$2,Inputs!$K$4:$AJ$4,0)),NA(),IF(SUMPRODUCT((Inputs!$A$5:$A$120=$B26)*ISNUMBER(INDEX(Inputs!$K$5:$AJ$120,0,MATCH(X$2,Inputs!$K$4:$AJ$4,0))))+SUMPRODUCT((Inputs!$C$5:$C$120=$B26)*ISNUMBER(INDEX(Inputs!$K$5:$AJ$120,0,MATCH(X$2,Inputs!$K$4:$AJ$4,0))))+SUMPRODUCT((Inputs!$E$5:$E$120=$B26)*ISNUMBER(INDEX(Inputs!$K$5:$AJ$120,0,MATCH(X$2,Inputs!$K$4:$AJ$4,0))))=0,NA(),SUMPRODUCT((Inputs!$A$5:$A$120=$B26)*Inputs!$B$5:$B$120*(((Inputs!$G$5:$G$120="moeda")+(Inputs!$G$5:$G$120="acoes"))*Inputs!$B$1+((Inputs!$G$5:$G$120&lt;&gt;"moeda")*(Inputs!$G$5:$G$120&lt;&gt;"acoes")))*INDEX(Inputs!$K$5:$AJ$120,0,MATCH(X$2,Inputs!$K$4:$AJ$4,0)))+SUMPRODUCT((Inputs!$C$5:$C$120=$B26)*Inputs!$D$5:$D$120*(((Inputs!$G$5:$G$120="moeda")+(Inputs!$G$5:$G$120="acoes"))*Inputs!$B$1+((Inputs!$G$5:$G$120&lt;&gt;"moeda")*(Inputs!$G$5:$G$120&lt;&gt;"acoes")))*INDEX(Inputs!$K$5:$AJ$120,0,MATCH(X$2,Inputs!$K$4:$AJ$4,0)))+SUMPRODUCT((Inputs!$E$5:$E$120=$B26)*Inputs!$F$5:$F$120*(((Inputs!$G$5:$G$120="moeda")+(Inputs!$G$5:$G$120="acoes"))*Inputs!$B$1+((Inputs!$G$5:$G$120&lt;&gt;"moeda")*(Inputs!$G$5:$G$120&lt;&gt;"acoes")))*INDEX(Inputs!$K$5:$AJ$120,0,MATCH(X$2,Inputs!$K$4:$AJ$4,0)))))</f>
        <v>3020</v>
      </c>
      <c r="Y26" s="267">
        <f>IF(ISNA(MATCH(Y$2,Inputs!$K$4:$AJ$4,0)),NA(),IF(SUMPRODUCT((Inputs!$A$5:$A$120=$B26)*ISNUMBER(INDEX(Inputs!$K$5:$AJ$120,0,MATCH(Y$2,Inputs!$K$4:$AJ$4,0))))+SUMPRODUCT((Inputs!$C$5:$C$120=$B26)*ISNUMBER(INDEX(Inputs!$K$5:$AJ$120,0,MATCH(Y$2,Inputs!$K$4:$AJ$4,0))))+SUMPRODUCT((Inputs!$E$5:$E$120=$B26)*ISNUMBER(INDEX(Inputs!$K$5:$AJ$120,0,MATCH(Y$2,Inputs!$K$4:$AJ$4,0))))=0,NA(),SUMPRODUCT((Inputs!$A$5:$A$120=$B26)*Inputs!$B$5:$B$120*(((Inputs!$G$5:$G$120="moeda")+(Inputs!$G$5:$G$120="acoes"))*Inputs!$B$1+((Inputs!$G$5:$G$120&lt;&gt;"moeda")*(Inputs!$G$5:$G$120&lt;&gt;"acoes")))*INDEX(Inputs!$K$5:$AJ$120,0,MATCH(Y$2,Inputs!$K$4:$AJ$4,0)))+SUMPRODUCT((Inputs!$C$5:$C$120=$B26)*Inputs!$D$5:$D$120*(((Inputs!$G$5:$G$120="moeda")+(Inputs!$G$5:$G$120="acoes"))*Inputs!$B$1+((Inputs!$G$5:$G$120&lt;&gt;"moeda")*(Inputs!$G$5:$G$120&lt;&gt;"acoes")))*INDEX(Inputs!$K$5:$AJ$120,0,MATCH(Y$2,Inputs!$K$4:$AJ$4,0)))+SUMPRODUCT((Inputs!$E$5:$E$120=$B26)*Inputs!$F$5:$F$120*(((Inputs!$G$5:$G$120="moeda")+(Inputs!$G$5:$G$120="acoes"))*Inputs!$B$1+((Inputs!$G$5:$G$120&lt;&gt;"moeda")*(Inputs!$G$5:$G$120&lt;&gt;"acoes")))*INDEX(Inputs!$K$5:$AJ$120,0,MATCH(Y$2,Inputs!$K$4:$AJ$4,0)))))</f>
        <v>3021</v>
      </c>
      <c r="Z26" s="267">
        <f>IF(ISNA(MATCH(Z$2,Inputs!$K$4:$AJ$4,0)),NA(),IF(SUMPRODUCT((Inputs!$A$5:$A$120=$B26)*ISNUMBER(INDEX(Inputs!$K$5:$AJ$120,0,MATCH(Z$2,Inputs!$K$4:$AJ$4,0))))+SUMPRODUCT((Inputs!$C$5:$C$120=$B26)*ISNUMBER(INDEX(Inputs!$K$5:$AJ$120,0,MATCH(Z$2,Inputs!$K$4:$AJ$4,0))))+SUMPRODUCT((Inputs!$E$5:$E$120=$B26)*ISNUMBER(INDEX(Inputs!$K$5:$AJ$120,0,MATCH(Z$2,Inputs!$K$4:$AJ$4,0))))=0,NA(),SUMPRODUCT((Inputs!$A$5:$A$120=$B26)*Inputs!$B$5:$B$120*(((Inputs!$G$5:$G$120="moeda")+(Inputs!$G$5:$G$120="acoes"))*Inputs!$B$1+((Inputs!$G$5:$G$120&lt;&gt;"moeda")*(Inputs!$G$5:$G$120&lt;&gt;"acoes")))*INDEX(Inputs!$K$5:$AJ$120,0,MATCH(Z$2,Inputs!$K$4:$AJ$4,0)))+SUMPRODUCT((Inputs!$C$5:$C$120=$B26)*Inputs!$D$5:$D$120*(((Inputs!$G$5:$G$120="moeda")+(Inputs!$G$5:$G$120="acoes"))*Inputs!$B$1+((Inputs!$G$5:$G$120&lt;&gt;"moeda")*(Inputs!$G$5:$G$120&lt;&gt;"acoes")))*INDEX(Inputs!$K$5:$AJ$120,0,MATCH(Z$2,Inputs!$K$4:$AJ$4,0)))+SUMPRODUCT((Inputs!$E$5:$E$120=$B26)*Inputs!$F$5:$F$120*(((Inputs!$G$5:$G$120="moeda")+(Inputs!$G$5:$G$120="acoes"))*Inputs!$B$1+((Inputs!$G$5:$G$120&lt;&gt;"moeda")*(Inputs!$G$5:$G$120&lt;&gt;"acoes")))*INDEX(Inputs!$K$5:$AJ$120,0,MATCH(Z$2,Inputs!$K$4:$AJ$4,0)))))</f>
        <v>3007</v>
      </c>
      <c r="AA26" s="267">
        <f>IF(ISNA(MATCH(AA$2,Inputs!$K$4:$AJ$4,0)),NA(),IF(SUMPRODUCT((Inputs!$A$5:$A$120=$B26)*ISNUMBER(INDEX(Inputs!$K$5:$AJ$120,0,MATCH(AA$2,Inputs!$K$4:$AJ$4,0))))+SUMPRODUCT((Inputs!$C$5:$C$120=$B26)*ISNUMBER(INDEX(Inputs!$K$5:$AJ$120,0,MATCH(AA$2,Inputs!$K$4:$AJ$4,0))))+SUMPRODUCT((Inputs!$E$5:$E$120=$B26)*ISNUMBER(INDEX(Inputs!$K$5:$AJ$120,0,MATCH(AA$2,Inputs!$K$4:$AJ$4,0))))=0,NA(),SUMPRODUCT((Inputs!$A$5:$A$120=$B26)*Inputs!$B$5:$B$120*(((Inputs!$G$5:$G$120="moeda")+(Inputs!$G$5:$G$120="acoes"))*Inputs!$B$1+((Inputs!$G$5:$G$120&lt;&gt;"moeda")*(Inputs!$G$5:$G$120&lt;&gt;"acoes")))*INDEX(Inputs!$K$5:$AJ$120,0,MATCH(AA$2,Inputs!$K$4:$AJ$4,0)))+SUMPRODUCT((Inputs!$C$5:$C$120=$B26)*Inputs!$D$5:$D$120*(((Inputs!$G$5:$G$120="moeda")+(Inputs!$G$5:$G$120="acoes"))*Inputs!$B$1+((Inputs!$G$5:$G$120&lt;&gt;"moeda")*(Inputs!$G$5:$G$120&lt;&gt;"acoes")))*INDEX(Inputs!$K$5:$AJ$120,0,MATCH(AA$2,Inputs!$K$4:$AJ$4,0)))+SUMPRODUCT((Inputs!$E$5:$E$120=$B26)*Inputs!$F$5:$F$120*(((Inputs!$G$5:$G$120="moeda")+(Inputs!$G$5:$G$120="acoes"))*Inputs!$B$1+((Inputs!$G$5:$G$120&lt;&gt;"moeda")*(Inputs!$G$5:$G$120&lt;&gt;"acoes")))*INDEX(Inputs!$K$5:$AJ$120,0,MATCH(AA$2,Inputs!$K$4:$AJ$4,0)))))</f>
        <v>3641</v>
      </c>
      <c r="AB26" s="268">
        <f>AA26</f>
        <v>3641</v>
      </c>
      <c r="AC26" s="267">
        <f>IF(ISNA(MATCH(AC$2,Inputs!$K$4:$AJ$4,0)),NA(),IF(SUMPRODUCT((Inputs!$A$5:$A$120=$B26)*ISNUMBER(INDEX(Inputs!$K$5:$AJ$120,0,MATCH(AC$2,Inputs!$K$4:$AJ$4,0))))+SUMPRODUCT((Inputs!$C$5:$C$120=$B26)*ISNUMBER(INDEX(Inputs!$K$5:$AJ$120,0,MATCH(AC$2,Inputs!$K$4:$AJ$4,0))))+SUMPRODUCT((Inputs!$E$5:$E$120=$B26)*ISNUMBER(INDEX(Inputs!$K$5:$AJ$120,0,MATCH(AC$2,Inputs!$K$4:$AJ$4,0))))=0,NA(),SUMPRODUCT((Inputs!$A$5:$A$120=$B26)*Inputs!$B$5:$B$120*(((Inputs!$G$5:$G$120="moeda")+(Inputs!$G$5:$G$120="acoes"))*Inputs!$B$1+((Inputs!$G$5:$G$120&lt;&gt;"moeda")*(Inputs!$G$5:$G$120&lt;&gt;"acoes")))*INDEX(Inputs!$K$5:$AJ$120,0,MATCH(AC$2,Inputs!$K$4:$AJ$4,0)))+SUMPRODUCT((Inputs!$C$5:$C$120=$B26)*Inputs!$D$5:$D$120*(((Inputs!$G$5:$G$120="moeda")+(Inputs!$G$5:$G$120="acoes"))*Inputs!$B$1+((Inputs!$G$5:$G$120&lt;&gt;"moeda")*(Inputs!$G$5:$G$120&lt;&gt;"acoes")))*INDEX(Inputs!$K$5:$AJ$120,0,MATCH(AC$2,Inputs!$K$4:$AJ$4,0)))+SUMPRODUCT((Inputs!$E$5:$E$120=$B26)*Inputs!$F$5:$F$120*(((Inputs!$G$5:$G$120="moeda")+(Inputs!$G$5:$G$120="acoes"))*Inputs!$B$1+((Inputs!$G$5:$G$120&lt;&gt;"moeda")*(Inputs!$G$5:$G$120&lt;&gt;"acoes")))*INDEX(Inputs!$K$5:$AJ$120,0,MATCH(AC$2,Inputs!$K$4:$AJ$4,0)))))</f>
        <v>3647</v>
      </c>
      <c r="AD26" s="267">
        <f>IF(ISNA(MATCH(AD$2,Inputs!$K$4:$AJ$4,0)),NA(),IF(SUMPRODUCT((Inputs!$A$5:$A$120=$B26)*ISNUMBER(INDEX(Inputs!$K$5:$AJ$120,0,MATCH(AD$2,Inputs!$K$4:$AJ$4,0))))+SUMPRODUCT((Inputs!$C$5:$C$120=$B26)*ISNUMBER(INDEX(Inputs!$K$5:$AJ$120,0,MATCH(AD$2,Inputs!$K$4:$AJ$4,0))))+SUMPRODUCT((Inputs!$E$5:$E$120=$B26)*ISNUMBER(INDEX(Inputs!$K$5:$AJ$120,0,MATCH(AD$2,Inputs!$K$4:$AJ$4,0))))=0,NA(),SUMPRODUCT((Inputs!$A$5:$A$120=$B26)*Inputs!$B$5:$B$120*(((Inputs!$G$5:$G$120="moeda")+(Inputs!$G$5:$G$120="acoes"))*Inputs!$B$1+((Inputs!$G$5:$G$120&lt;&gt;"moeda")*(Inputs!$G$5:$G$120&lt;&gt;"acoes")))*INDEX(Inputs!$K$5:$AJ$120,0,MATCH(AD$2,Inputs!$K$4:$AJ$4,0)))+SUMPRODUCT((Inputs!$C$5:$C$120=$B26)*Inputs!$D$5:$D$120*(((Inputs!$G$5:$G$120="moeda")+(Inputs!$G$5:$G$120="acoes"))*Inputs!$B$1+((Inputs!$G$5:$G$120&lt;&gt;"moeda")*(Inputs!$G$5:$G$120&lt;&gt;"acoes")))*INDEX(Inputs!$K$5:$AJ$120,0,MATCH(AD$2,Inputs!$K$4:$AJ$4,0)))+SUMPRODUCT((Inputs!$E$5:$E$120=$B26)*Inputs!$F$5:$F$120*(((Inputs!$G$5:$G$120="moeda")+(Inputs!$G$5:$G$120="acoes"))*Inputs!$B$1+((Inputs!$G$5:$G$120&lt;&gt;"moeda")*(Inputs!$G$5:$G$120&lt;&gt;"acoes")))*INDEX(Inputs!$K$5:$AJ$120,0,MATCH(AD$2,Inputs!$K$4:$AJ$4,0)))))</f>
        <v>3857</v>
      </c>
      <c r="AE26" s="267" t="e">
        <f>IF(ISNA(MATCH(AE$2,Inputs!$K$4:$AJ$4,0)),NA(),IF(SUMPRODUCT((Inputs!$A$5:$A$120=$B26)*ISNUMBER(INDEX(Inputs!$K$5:$AJ$120,0,MATCH(AE$2,Inputs!$K$4:$AJ$4,0))))+SUMPRODUCT((Inputs!$C$5:$C$120=$B26)*ISNUMBER(INDEX(Inputs!$K$5:$AJ$120,0,MATCH(AE$2,Inputs!$K$4:$AJ$4,0))))+SUMPRODUCT((Inputs!$E$5:$E$120=$B26)*ISNUMBER(INDEX(Inputs!$K$5:$AJ$120,0,MATCH(AE$2,Inputs!$K$4:$AJ$4,0))))=0,NA(),SUMPRODUCT((Inputs!$A$5:$A$120=$B26)*Inputs!$B$5:$B$120*(((Inputs!$G$5:$G$120="moeda")+(Inputs!$G$5:$G$120="acoes"))*Inputs!$B$1+((Inputs!$G$5:$G$120&lt;&gt;"moeda")*(Inputs!$G$5:$G$120&lt;&gt;"acoes")))*INDEX(Inputs!$K$5:$AJ$120,0,MATCH(AE$2,Inputs!$K$4:$AJ$4,0)))+SUMPRODUCT((Inputs!$C$5:$C$120=$B26)*Inputs!$D$5:$D$120*(((Inputs!$G$5:$G$120="moeda")+(Inputs!$G$5:$G$120="acoes"))*Inputs!$B$1+((Inputs!$G$5:$G$120&lt;&gt;"moeda")*(Inputs!$G$5:$G$120&lt;&gt;"acoes")))*INDEX(Inputs!$K$5:$AJ$120,0,MATCH(AE$2,Inputs!$K$4:$AJ$4,0)))+SUMPRODUCT((Inputs!$E$5:$E$120=$B26)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6" s="267" t="e">
        <f>IF(ISNA(MATCH(AF$2,Inputs!$K$4:$AJ$4,0)),NA(),IF(SUMPRODUCT((Inputs!$A$5:$A$120=$B26)*ISNUMBER(INDEX(Inputs!$K$5:$AJ$120,0,MATCH(AF$2,Inputs!$K$4:$AJ$4,0))))+SUMPRODUCT((Inputs!$C$5:$C$120=$B26)*ISNUMBER(INDEX(Inputs!$K$5:$AJ$120,0,MATCH(AF$2,Inputs!$K$4:$AJ$4,0))))+SUMPRODUCT((Inputs!$E$5:$E$120=$B26)*ISNUMBER(INDEX(Inputs!$K$5:$AJ$120,0,MATCH(AF$2,Inputs!$K$4:$AJ$4,0))))=0,NA(),SUMPRODUCT((Inputs!$A$5:$A$120=$B26)*Inputs!$B$5:$B$120*(((Inputs!$G$5:$G$120="moeda")+(Inputs!$G$5:$G$120="acoes"))*Inputs!$B$1+((Inputs!$G$5:$G$120&lt;&gt;"moeda")*(Inputs!$G$5:$G$120&lt;&gt;"acoes")))*INDEX(Inputs!$K$5:$AJ$120,0,MATCH(AF$2,Inputs!$K$4:$AJ$4,0)))+SUMPRODUCT((Inputs!$C$5:$C$120=$B26)*Inputs!$D$5:$D$120*(((Inputs!$G$5:$G$120="moeda")+(Inputs!$G$5:$G$120="acoes"))*Inputs!$B$1+((Inputs!$G$5:$G$120&lt;&gt;"moeda")*(Inputs!$G$5:$G$120&lt;&gt;"acoes")))*INDEX(Inputs!$K$5:$AJ$120,0,MATCH(AF$2,Inputs!$K$4:$AJ$4,0)))+SUMPRODUCT((Inputs!$E$5:$E$120=$B26)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6" s="268" t="e">
        <f>AF26</f>
        <v>#N/A</v>
      </c>
      <c r="AH26" s="267">
        <f>IF(ISNA(MATCH(AH$2,Inputs!$K$4:$AJ$4,0)),NA(),IF(SUMPRODUCT((Inputs!$A$5:$A$120=$B26)*ISNUMBER(INDEX(Inputs!$K$5:$AJ$120,0,MATCH(AH$2,Inputs!$K$4:$AJ$4,0))))+SUMPRODUCT((Inputs!$C$5:$C$120=$B26)*ISNUMBER(INDEX(Inputs!$K$5:$AJ$120,0,MATCH(AH$2,Inputs!$K$4:$AJ$4,0))))+SUMPRODUCT((Inputs!$E$5:$E$120=$B26)*ISNUMBER(INDEX(Inputs!$K$5:$AJ$120,0,MATCH(AH$2,Inputs!$K$4:$AJ$4,0))))=0,NA(),SUMPRODUCT((Inputs!$A$5:$A$120=$B26)*Inputs!$B$5:$B$120*(((Inputs!$G$5:$G$120="moeda")+(Inputs!$G$5:$G$120="acoes"))*Inputs!$B$1+((Inputs!$G$5:$G$120&lt;&gt;"moeda")*(Inputs!$G$5:$G$120&lt;&gt;"acoes")))*INDEX(Inputs!$K$5:$AJ$120,0,MATCH(AH$2,Inputs!$K$4:$AJ$4,0)))+SUMPRODUCT((Inputs!$C$5:$C$120=$B26)*Inputs!$D$5:$D$120*(((Inputs!$G$5:$G$120="moeda")+(Inputs!$G$5:$G$120="acoes"))*Inputs!$B$1+((Inputs!$G$5:$G$120&lt;&gt;"moeda")*(Inputs!$G$5:$G$120&lt;&gt;"acoes")))*INDEX(Inputs!$K$5:$AJ$120,0,MATCH(AH$2,Inputs!$K$4:$AJ$4,0)))+SUMPRODUCT((Inputs!$E$5:$E$120=$B26)*Inputs!$F$5:$F$120*(((Inputs!$G$5:$G$120="moeda")+(Inputs!$G$5:$G$120="acoes"))*Inputs!$B$1+((Inputs!$G$5:$G$120&lt;&gt;"moeda")*(Inputs!$G$5:$G$120&lt;&gt;"acoes")))*INDEX(Inputs!$K$5:$AJ$120,0,MATCH(AH$2,Inputs!$K$4:$AJ$4,0)))))</f>
        <v>2963</v>
      </c>
      <c r="AI26" s="267">
        <f>IF(ISNA(MATCH(AI$2,Inputs!$K$4:$AJ$4,0)),NA(),IF(SUMPRODUCT((Inputs!$A$5:$A$120=$B26)*ISNUMBER(INDEX(Inputs!$K$5:$AJ$120,0,MATCH(AI$2,Inputs!$K$4:$AJ$4,0))))+SUMPRODUCT((Inputs!$C$5:$C$120=$B26)*ISNUMBER(INDEX(Inputs!$K$5:$AJ$120,0,MATCH(AI$2,Inputs!$K$4:$AJ$4,0))))+SUMPRODUCT((Inputs!$E$5:$E$120=$B26)*ISNUMBER(INDEX(Inputs!$K$5:$AJ$120,0,MATCH(AI$2,Inputs!$K$4:$AJ$4,0))))=0,NA(),SUMPRODUCT((Inputs!$A$5:$A$120=$B26)*Inputs!$B$5:$B$120*(((Inputs!$G$5:$G$120="moeda")+(Inputs!$G$5:$G$120="acoes"))*Inputs!$B$1+((Inputs!$G$5:$G$120&lt;&gt;"moeda")*(Inputs!$G$5:$G$120&lt;&gt;"acoes")))*INDEX(Inputs!$K$5:$AJ$120,0,MATCH(AI$2,Inputs!$K$4:$AJ$4,0)))+SUMPRODUCT((Inputs!$C$5:$C$120=$B26)*Inputs!$D$5:$D$120*(((Inputs!$G$5:$G$120="moeda")+(Inputs!$G$5:$G$120="acoes"))*Inputs!$B$1+((Inputs!$G$5:$G$120&lt;&gt;"moeda")*(Inputs!$G$5:$G$120&lt;&gt;"acoes")))*INDEX(Inputs!$K$5:$AJ$120,0,MATCH(AI$2,Inputs!$K$4:$AJ$4,0)))+SUMPRODUCT((Inputs!$E$5:$E$120=$B26)*Inputs!$F$5:$F$120*(((Inputs!$G$5:$G$120="moeda")+(Inputs!$G$5:$G$120="acoes"))*Inputs!$B$1+((Inputs!$G$5:$G$120&lt;&gt;"moeda")*(Inputs!$G$5:$G$120&lt;&gt;"acoes")))*INDEX(Inputs!$K$5:$AJ$120,0,MATCH(AI$2,Inputs!$K$4:$AJ$4,0)))))</f>
        <v>3139</v>
      </c>
      <c r="AJ26" s="267">
        <f>IF(ISNA(MATCH(AJ$2,Inputs!$K$4:$AJ$4,0)),NA(),IF(SUMPRODUCT((Inputs!$A$5:$A$120=$B26)*ISNUMBER(INDEX(Inputs!$K$5:$AJ$120,0,MATCH(AJ$2,Inputs!$K$4:$AJ$4,0))))+SUMPRODUCT((Inputs!$C$5:$C$120=$B26)*ISNUMBER(INDEX(Inputs!$K$5:$AJ$120,0,MATCH(AJ$2,Inputs!$K$4:$AJ$4,0))))+SUMPRODUCT((Inputs!$E$5:$E$120=$B26)*ISNUMBER(INDEX(Inputs!$K$5:$AJ$120,0,MATCH(AJ$2,Inputs!$K$4:$AJ$4,0))))=0,NA(),SUMPRODUCT((Inputs!$A$5:$A$120=$B26)*Inputs!$B$5:$B$120*(((Inputs!$G$5:$G$120="moeda")+(Inputs!$G$5:$G$120="acoes"))*Inputs!$B$1+((Inputs!$G$5:$G$120&lt;&gt;"moeda")*(Inputs!$G$5:$G$120&lt;&gt;"acoes")))*INDEX(Inputs!$K$5:$AJ$120,0,MATCH(AJ$2,Inputs!$K$4:$AJ$4,0)))+SUMPRODUCT((Inputs!$C$5:$C$120=$B26)*Inputs!$D$5:$D$120*(((Inputs!$G$5:$G$120="moeda")+(Inputs!$G$5:$G$120="acoes"))*Inputs!$B$1+((Inputs!$G$5:$G$120&lt;&gt;"moeda")*(Inputs!$G$5:$G$120&lt;&gt;"acoes")))*INDEX(Inputs!$K$5:$AJ$120,0,MATCH(AJ$2,Inputs!$K$4:$AJ$4,0)))+SUMPRODUCT((Inputs!$E$5:$E$120=$B26)*Inputs!$F$5:$F$120*(((Inputs!$G$5:$G$120="moeda")+(Inputs!$G$5:$G$120="acoes"))*Inputs!$B$1+((Inputs!$G$5:$G$120&lt;&gt;"moeda")*(Inputs!$G$5:$G$120&lt;&gt;"acoes")))*INDEX(Inputs!$K$5:$AJ$120,0,MATCH(AJ$2,Inputs!$K$4:$AJ$4,0)))))</f>
        <v>3117</v>
      </c>
      <c r="AK26" s="267">
        <f>IF(ISNA(MATCH(AK$2,Inputs!$K$4:$AJ$4,0)),NA(),IF(SUMPRODUCT((Inputs!$A$5:$A$120=$B26)*ISNUMBER(INDEX(Inputs!$K$5:$AJ$120,0,MATCH(AK$2,Inputs!$K$4:$AJ$4,0))))+SUMPRODUCT((Inputs!$C$5:$C$120=$B26)*ISNUMBER(INDEX(Inputs!$K$5:$AJ$120,0,MATCH(AK$2,Inputs!$K$4:$AJ$4,0))))+SUMPRODUCT((Inputs!$E$5:$E$120=$B26)*ISNUMBER(INDEX(Inputs!$K$5:$AJ$120,0,MATCH(AK$2,Inputs!$K$4:$AJ$4,0))))=0,NA(),SUMPRODUCT((Inputs!$A$5:$A$120=$B26)*Inputs!$B$5:$B$120*(((Inputs!$G$5:$G$120="moeda")+(Inputs!$G$5:$G$120="acoes"))*Inputs!$B$1+((Inputs!$G$5:$G$120&lt;&gt;"moeda")*(Inputs!$G$5:$G$120&lt;&gt;"acoes")))*INDEX(Inputs!$K$5:$AJ$120,0,MATCH(AK$2,Inputs!$K$4:$AJ$4,0)))+SUMPRODUCT((Inputs!$C$5:$C$120=$B26)*Inputs!$D$5:$D$120*(((Inputs!$G$5:$G$120="moeda")+(Inputs!$G$5:$G$120="acoes"))*Inputs!$B$1+((Inputs!$G$5:$G$120&lt;&gt;"moeda")*(Inputs!$G$5:$G$120&lt;&gt;"acoes")))*INDEX(Inputs!$K$5:$AJ$120,0,MATCH(AK$2,Inputs!$K$4:$AJ$4,0)))+SUMPRODUCT((Inputs!$E$5:$E$120=$B26)*Inputs!$F$5:$F$120*(((Inputs!$G$5:$G$120="moeda")+(Inputs!$G$5:$G$120="acoes"))*Inputs!$B$1+((Inputs!$G$5:$G$120&lt;&gt;"moeda")*(Inputs!$G$5:$G$120&lt;&gt;"acoes")))*INDEX(Inputs!$K$5:$AJ$120,0,MATCH(AK$2,Inputs!$K$4:$AJ$4,0)))))</f>
        <v>3023</v>
      </c>
      <c r="AL26" s="268">
        <f>AK26</f>
        <v>3023</v>
      </c>
    </row>
    <row r="27" ht="12.75" customHeight="1" s="255">
      <c r="C27" s="259" t="n"/>
    </row>
    <row r="28" ht="12.75" customHeight="1" s="255">
      <c r="B28" s="265" t="n">
        <v>23</v>
      </c>
      <c r="C28" s="270" t="inlineStr">
        <is>
          <t>Accounts payable</t>
        </is>
      </c>
      <c r="D28" s="267">
        <f>IF(ISNA(MATCH(D$2,Inputs!$K$4:$AJ$4,0)),NA(),IF(SUMPRODUCT((Inputs!$A$5:$A$120=$B28)*ISNUMBER(INDEX(Inputs!$K$5:$AJ$120,0,MATCH(D$2,Inputs!$K$4:$AJ$4,0))))+SUMPRODUCT((Inputs!$C$5:$C$120=$B28)*ISNUMBER(INDEX(Inputs!$K$5:$AJ$120,0,MATCH(D$2,Inputs!$K$4:$AJ$4,0))))+SUMPRODUCT((Inputs!$E$5:$E$120=$B28)*ISNUMBER(INDEX(Inputs!$K$5:$AJ$120,0,MATCH(D$2,Inputs!$K$4:$AJ$4,0))))=0,NA(),SUMPRODUCT((Inputs!$A$5:$A$120=$B28)*Inputs!$B$5:$B$120*(((Inputs!$G$5:$G$120="moeda")+(Inputs!$G$5:$G$120="acoes"))*Inputs!$B$1+((Inputs!$G$5:$G$120&lt;&gt;"moeda")*(Inputs!$G$5:$G$120&lt;&gt;"acoes")))*INDEX(Inputs!$K$5:$AJ$120,0,MATCH(D$2,Inputs!$K$4:$AJ$4,0)))+SUMPRODUCT((Inputs!$C$5:$C$120=$B28)*Inputs!$D$5:$D$120*(((Inputs!$G$5:$G$120="moeda")+(Inputs!$G$5:$G$120="acoes"))*Inputs!$B$1+((Inputs!$G$5:$G$120&lt;&gt;"moeda")*(Inputs!$G$5:$G$120&lt;&gt;"acoes")))*INDEX(Inputs!$K$5:$AJ$120,0,MATCH(D$2,Inputs!$K$4:$AJ$4,0)))+SUMPRODUCT((Inputs!$E$5:$E$120=$B28)*Inputs!$F$5:$F$120*(((Inputs!$G$5:$G$120="moeda")+(Inputs!$G$5:$G$120="acoes"))*Inputs!$B$1+((Inputs!$G$5:$G$120&lt;&gt;"moeda")*(Inputs!$G$5:$G$120&lt;&gt;"acoes")))*INDEX(Inputs!$K$5:$AJ$120,0,MATCH(D$2,Inputs!$K$4:$AJ$4,0)))))</f>
        <v>2866</v>
      </c>
      <c r="E28" s="267">
        <f>IF(ISNA(MATCH(E$2,Inputs!$K$4:$AJ$4,0)),NA(),IF(SUMPRODUCT((Inputs!$A$5:$A$120=$B28)*ISNUMBER(INDEX(Inputs!$K$5:$AJ$120,0,MATCH(E$2,Inputs!$K$4:$AJ$4,0))))+SUMPRODUCT((Inputs!$C$5:$C$120=$B28)*ISNUMBER(INDEX(Inputs!$K$5:$AJ$120,0,MATCH(E$2,Inputs!$K$4:$AJ$4,0))))+SUMPRODUCT((Inputs!$E$5:$E$120=$B28)*ISNUMBER(INDEX(Inputs!$K$5:$AJ$120,0,MATCH(E$2,Inputs!$K$4:$AJ$4,0))))=0,NA(),SUMPRODUCT((Inputs!$A$5:$A$120=$B28)*Inputs!$B$5:$B$120*(((Inputs!$G$5:$G$120="moeda")+(Inputs!$G$5:$G$120="acoes"))*Inputs!$B$1+((Inputs!$G$5:$G$120&lt;&gt;"moeda")*(Inputs!$G$5:$G$120&lt;&gt;"acoes")))*INDEX(Inputs!$K$5:$AJ$120,0,MATCH(E$2,Inputs!$K$4:$AJ$4,0)))+SUMPRODUCT((Inputs!$C$5:$C$120=$B28)*Inputs!$D$5:$D$120*(((Inputs!$G$5:$G$120="moeda")+(Inputs!$G$5:$G$120="acoes"))*Inputs!$B$1+((Inputs!$G$5:$G$120&lt;&gt;"moeda")*(Inputs!$G$5:$G$120&lt;&gt;"acoes")))*INDEX(Inputs!$K$5:$AJ$120,0,MATCH(E$2,Inputs!$K$4:$AJ$4,0)))+SUMPRODUCT((Inputs!$E$5:$E$120=$B28)*Inputs!$F$5:$F$120*(((Inputs!$G$5:$G$120="moeda")+(Inputs!$G$5:$G$120="acoes"))*Inputs!$B$1+((Inputs!$G$5:$G$120&lt;&gt;"moeda")*(Inputs!$G$5:$G$120&lt;&gt;"acoes")))*INDEX(Inputs!$K$5:$AJ$120,0,MATCH(E$2,Inputs!$K$4:$AJ$4,0)))))</f>
        <v>3106</v>
      </c>
      <c r="F28" s="267">
        <f>IF(ISNA(MATCH(F$2,Inputs!$K$4:$AJ$4,0)),NA(),IF(SUMPRODUCT((Inputs!$A$5:$A$120=$B28)*ISNUMBER(INDEX(Inputs!$K$5:$AJ$120,0,MATCH(F$2,Inputs!$K$4:$AJ$4,0))))+SUMPRODUCT((Inputs!$C$5:$C$120=$B28)*ISNUMBER(INDEX(Inputs!$K$5:$AJ$120,0,MATCH(F$2,Inputs!$K$4:$AJ$4,0))))+SUMPRODUCT((Inputs!$E$5:$E$120=$B28)*ISNUMBER(INDEX(Inputs!$K$5:$AJ$120,0,MATCH(F$2,Inputs!$K$4:$AJ$4,0))))=0,NA(),SUMPRODUCT((Inputs!$A$5:$A$120=$B28)*Inputs!$B$5:$B$120*(((Inputs!$G$5:$G$120="moeda")+(Inputs!$G$5:$G$120="acoes"))*Inputs!$B$1+((Inputs!$G$5:$G$120&lt;&gt;"moeda")*(Inputs!$G$5:$G$120&lt;&gt;"acoes")))*INDEX(Inputs!$K$5:$AJ$120,0,MATCH(F$2,Inputs!$K$4:$AJ$4,0)))+SUMPRODUCT((Inputs!$C$5:$C$120=$B28)*Inputs!$D$5:$D$120*(((Inputs!$G$5:$G$120="moeda")+(Inputs!$G$5:$G$120="acoes"))*Inputs!$B$1+((Inputs!$G$5:$G$120&lt;&gt;"moeda")*(Inputs!$G$5:$G$120&lt;&gt;"acoes")))*INDEX(Inputs!$K$5:$AJ$120,0,MATCH(F$2,Inputs!$K$4:$AJ$4,0)))+SUMPRODUCT((Inputs!$E$5:$E$120=$B28)*Inputs!$F$5:$F$120*(((Inputs!$G$5:$G$120="moeda")+(Inputs!$G$5:$G$120="acoes"))*Inputs!$B$1+((Inputs!$G$5:$G$120&lt;&gt;"moeda")*(Inputs!$G$5:$G$120&lt;&gt;"acoes")))*INDEX(Inputs!$K$5:$AJ$120,0,MATCH(F$2,Inputs!$K$4:$AJ$4,0)))))</f>
        <v>2949</v>
      </c>
      <c r="G28" s="267">
        <f>IF(ISNA(MATCH(G$2,Inputs!$K$4:$AJ$4,0)),NA(),IF(SUMPRODUCT((Inputs!$A$5:$A$120=$B28)*ISNUMBER(INDEX(Inputs!$K$5:$AJ$120,0,MATCH(G$2,Inputs!$K$4:$AJ$4,0))))+SUMPRODUCT((Inputs!$C$5:$C$120=$B28)*ISNUMBER(INDEX(Inputs!$K$5:$AJ$120,0,MATCH(G$2,Inputs!$K$4:$AJ$4,0))))+SUMPRODUCT((Inputs!$E$5:$E$120=$B28)*ISNUMBER(INDEX(Inputs!$K$5:$AJ$120,0,MATCH(G$2,Inputs!$K$4:$AJ$4,0))))=0,NA(),SUMPRODUCT((Inputs!$A$5:$A$120=$B28)*Inputs!$B$5:$B$120*(((Inputs!$G$5:$G$120="moeda")+(Inputs!$G$5:$G$120="acoes"))*Inputs!$B$1+((Inputs!$G$5:$G$120&lt;&gt;"moeda")*(Inputs!$G$5:$G$120&lt;&gt;"acoes")))*INDEX(Inputs!$K$5:$AJ$120,0,MATCH(G$2,Inputs!$K$4:$AJ$4,0)))+SUMPRODUCT((Inputs!$C$5:$C$120=$B28)*Inputs!$D$5:$D$120*(((Inputs!$G$5:$G$120="moeda")+(Inputs!$G$5:$G$120="acoes"))*Inputs!$B$1+((Inputs!$G$5:$G$120&lt;&gt;"moeda")*(Inputs!$G$5:$G$120&lt;&gt;"acoes")))*INDEX(Inputs!$K$5:$AJ$120,0,MATCH(G$2,Inputs!$K$4:$AJ$4,0)))+SUMPRODUCT((Inputs!$E$5:$E$120=$B28)*Inputs!$F$5:$F$120*(((Inputs!$G$5:$G$120="moeda")+(Inputs!$G$5:$G$120="acoes"))*Inputs!$B$1+((Inputs!$G$5:$G$120&lt;&gt;"moeda")*(Inputs!$G$5:$G$120&lt;&gt;"acoes")))*INDEX(Inputs!$K$5:$AJ$120,0,MATCH(G$2,Inputs!$K$4:$AJ$4,0)))))</f>
        <v>3495</v>
      </c>
      <c r="H28" s="268">
        <f>G28</f>
        <v>3495</v>
      </c>
      <c r="I28" s="267">
        <f>IF(ISNA(MATCH(I$2,Inputs!$K$4:$AJ$4,0)),NA(),IF(SUMPRODUCT((Inputs!$A$5:$A$120=$B28)*ISNUMBER(INDEX(Inputs!$K$5:$AJ$120,0,MATCH(I$2,Inputs!$K$4:$AJ$4,0))))+SUMPRODUCT((Inputs!$C$5:$C$120=$B28)*ISNUMBER(INDEX(Inputs!$K$5:$AJ$120,0,MATCH(I$2,Inputs!$K$4:$AJ$4,0))))+SUMPRODUCT((Inputs!$E$5:$E$120=$B28)*ISNUMBER(INDEX(Inputs!$K$5:$AJ$120,0,MATCH(I$2,Inputs!$K$4:$AJ$4,0))))=0,NA(),SUMPRODUCT((Inputs!$A$5:$A$120=$B28)*Inputs!$B$5:$B$120*(((Inputs!$G$5:$G$120="moeda")+(Inputs!$G$5:$G$120="acoes"))*Inputs!$B$1+((Inputs!$G$5:$G$120&lt;&gt;"moeda")*(Inputs!$G$5:$G$120&lt;&gt;"acoes")))*INDEX(Inputs!$K$5:$AJ$120,0,MATCH(I$2,Inputs!$K$4:$AJ$4,0)))+SUMPRODUCT((Inputs!$C$5:$C$120=$B28)*Inputs!$D$5:$D$120*(((Inputs!$G$5:$G$120="moeda")+(Inputs!$G$5:$G$120="acoes"))*Inputs!$B$1+((Inputs!$G$5:$G$120&lt;&gt;"moeda")*(Inputs!$G$5:$G$120&lt;&gt;"acoes")))*INDEX(Inputs!$K$5:$AJ$120,0,MATCH(I$2,Inputs!$K$4:$AJ$4,0)))+SUMPRODUCT((Inputs!$E$5:$E$120=$B28)*Inputs!$F$5:$F$120*(((Inputs!$G$5:$G$120="moeda")+(Inputs!$G$5:$G$120="acoes"))*Inputs!$B$1+((Inputs!$G$5:$G$120&lt;&gt;"moeda")*(Inputs!$G$5:$G$120&lt;&gt;"acoes")))*INDEX(Inputs!$K$5:$AJ$120,0,MATCH(I$2,Inputs!$K$4:$AJ$4,0)))))</f>
        <v>3163</v>
      </c>
      <c r="J28" s="267">
        <f>IF(ISNA(MATCH(J$2,Inputs!$K$4:$AJ$4,0)),NA(),IF(SUMPRODUCT((Inputs!$A$5:$A$120=$B28)*ISNUMBER(INDEX(Inputs!$K$5:$AJ$120,0,MATCH(J$2,Inputs!$K$4:$AJ$4,0))))+SUMPRODUCT((Inputs!$C$5:$C$120=$B28)*ISNUMBER(INDEX(Inputs!$K$5:$AJ$120,0,MATCH(J$2,Inputs!$K$4:$AJ$4,0))))+SUMPRODUCT((Inputs!$E$5:$E$120=$B28)*ISNUMBER(INDEX(Inputs!$K$5:$AJ$120,0,MATCH(J$2,Inputs!$K$4:$AJ$4,0))))=0,NA(),SUMPRODUCT((Inputs!$A$5:$A$120=$B28)*Inputs!$B$5:$B$120*(((Inputs!$G$5:$G$120="moeda")+(Inputs!$G$5:$G$120="acoes"))*Inputs!$B$1+((Inputs!$G$5:$G$120&lt;&gt;"moeda")*(Inputs!$G$5:$G$120&lt;&gt;"acoes")))*INDEX(Inputs!$K$5:$AJ$120,0,MATCH(J$2,Inputs!$K$4:$AJ$4,0)))+SUMPRODUCT((Inputs!$C$5:$C$120=$B28)*Inputs!$D$5:$D$120*(((Inputs!$G$5:$G$120="moeda")+(Inputs!$G$5:$G$120="acoes"))*Inputs!$B$1+((Inputs!$G$5:$G$120&lt;&gt;"moeda")*(Inputs!$G$5:$G$120&lt;&gt;"acoes")))*INDEX(Inputs!$K$5:$AJ$120,0,MATCH(J$2,Inputs!$K$4:$AJ$4,0)))+SUMPRODUCT((Inputs!$E$5:$E$120=$B28)*Inputs!$F$5:$F$120*(((Inputs!$G$5:$G$120="moeda")+(Inputs!$G$5:$G$120="acoes"))*Inputs!$B$1+((Inputs!$G$5:$G$120&lt;&gt;"moeda")*(Inputs!$G$5:$G$120&lt;&gt;"acoes")))*INDEX(Inputs!$K$5:$AJ$120,0,MATCH(J$2,Inputs!$K$4:$AJ$4,0)))))</f>
        <v>3853</v>
      </c>
      <c r="K28" s="267">
        <f>IF(ISNA(MATCH(K$2,Inputs!$K$4:$AJ$4,0)),NA(),IF(SUMPRODUCT((Inputs!$A$5:$A$120=$B28)*ISNUMBER(INDEX(Inputs!$K$5:$AJ$120,0,MATCH(K$2,Inputs!$K$4:$AJ$4,0))))+SUMPRODUCT((Inputs!$C$5:$C$120=$B28)*ISNUMBER(INDEX(Inputs!$K$5:$AJ$120,0,MATCH(K$2,Inputs!$K$4:$AJ$4,0))))+SUMPRODUCT((Inputs!$E$5:$E$120=$B28)*ISNUMBER(INDEX(Inputs!$K$5:$AJ$120,0,MATCH(K$2,Inputs!$K$4:$AJ$4,0))))=0,NA(),SUMPRODUCT((Inputs!$A$5:$A$120=$B28)*Inputs!$B$5:$B$120*(((Inputs!$G$5:$G$120="moeda")+(Inputs!$G$5:$G$120="acoes"))*Inputs!$B$1+((Inputs!$G$5:$G$120&lt;&gt;"moeda")*(Inputs!$G$5:$G$120&lt;&gt;"acoes")))*INDEX(Inputs!$K$5:$AJ$120,0,MATCH(K$2,Inputs!$K$4:$AJ$4,0)))+SUMPRODUCT((Inputs!$C$5:$C$120=$B28)*Inputs!$D$5:$D$120*(((Inputs!$G$5:$G$120="moeda")+(Inputs!$G$5:$G$120="acoes"))*Inputs!$B$1+((Inputs!$G$5:$G$120&lt;&gt;"moeda")*(Inputs!$G$5:$G$120&lt;&gt;"acoes")))*INDEX(Inputs!$K$5:$AJ$120,0,MATCH(K$2,Inputs!$K$4:$AJ$4,0)))+SUMPRODUCT((Inputs!$E$5:$E$120=$B28)*Inputs!$F$5:$F$120*(((Inputs!$G$5:$G$120="moeda")+(Inputs!$G$5:$G$120="acoes"))*Inputs!$B$1+((Inputs!$G$5:$G$120&lt;&gt;"moeda")*(Inputs!$G$5:$G$120&lt;&gt;"acoes")))*INDEX(Inputs!$K$5:$AJ$120,0,MATCH(K$2,Inputs!$K$4:$AJ$4,0)))))</f>
        <v>3947</v>
      </c>
      <c r="L28" s="267">
        <f>IF(ISNA(MATCH(L$2,Inputs!$K$4:$AJ$4,0)),NA(),IF(SUMPRODUCT((Inputs!$A$5:$A$120=$B28)*ISNUMBER(INDEX(Inputs!$K$5:$AJ$120,0,MATCH(L$2,Inputs!$K$4:$AJ$4,0))))+SUMPRODUCT((Inputs!$C$5:$C$120=$B28)*ISNUMBER(INDEX(Inputs!$K$5:$AJ$120,0,MATCH(L$2,Inputs!$K$4:$AJ$4,0))))+SUMPRODUCT((Inputs!$E$5:$E$120=$B28)*ISNUMBER(INDEX(Inputs!$K$5:$AJ$120,0,MATCH(L$2,Inputs!$K$4:$AJ$4,0))))=0,NA(),SUMPRODUCT((Inputs!$A$5:$A$120=$B28)*Inputs!$B$5:$B$120*(((Inputs!$G$5:$G$120="moeda")+(Inputs!$G$5:$G$120="acoes"))*Inputs!$B$1+((Inputs!$G$5:$G$120&lt;&gt;"moeda")*(Inputs!$G$5:$G$120&lt;&gt;"acoes")))*INDEX(Inputs!$K$5:$AJ$120,0,MATCH(L$2,Inputs!$K$4:$AJ$4,0)))+SUMPRODUCT((Inputs!$C$5:$C$120=$B28)*Inputs!$D$5:$D$120*(((Inputs!$G$5:$G$120="moeda")+(Inputs!$G$5:$G$120="acoes"))*Inputs!$B$1+((Inputs!$G$5:$G$120&lt;&gt;"moeda")*(Inputs!$G$5:$G$120&lt;&gt;"acoes")))*INDEX(Inputs!$K$5:$AJ$120,0,MATCH(L$2,Inputs!$K$4:$AJ$4,0)))+SUMPRODUCT((Inputs!$E$5:$E$120=$B28)*Inputs!$F$5:$F$120*(((Inputs!$G$5:$G$120="moeda")+(Inputs!$G$5:$G$120="acoes"))*Inputs!$B$1+((Inputs!$G$5:$G$120&lt;&gt;"moeda")*(Inputs!$G$5:$G$120&lt;&gt;"acoes")))*INDEX(Inputs!$K$5:$AJ$120,0,MATCH(L$2,Inputs!$K$4:$AJ$4,0)))))</f>
        <v>4027</v>
      </c>
      <c r="M28" s="268">
        <f>L28</f>
        <v>4027</v>
      </c>
      <c r="N28" s="267">
        <f>IF(ISNA(MATCH(N$2,Inputs!$K$4:$AJ$4,0)),NA(),IF(SUMPRODUCT((Inputs!$A$5:$A$120=$B28)*ISNUMBER(INDEX(Inputs!$K$5:$AJ$120,0,MATCH(N$2,Inputs!$K$4:$AJ$4,0))))+SUMPRODUCT((Inputs!$C$5:$C$120=$B28)*ISNUMBER(INDEX(Inputs!$K$5:$AJ$120,0,MATCH(N$2,Inputs!$K$4:$AJ$4,0))))+SUMPRODUCT((Inputs!$E$5:$E$120=$B28)*ISNUMBER(INDEX(Inputs!$K$5:$AJ$120,0,MATCH(N$2,Inputs!$K$4:$AJ$4,0))))=0,NA(),SUMPRODUCT((Inputs!$A$5:$A$120=$B28)*Inputs!$B$5:$B$120*(((Inputs!$G$5:$G$120="moeda")+(Inputs!$G$5:$G$120="acoes"))*Inputs!$B$1+((Inputs!$G$5:$G$120&lt;&gt;"moeda")*(Inputs!$G$5:$G$120&lt;&gt;"acoes")))*INDEX(Inputs!$K$5:$AJ$120,0,MATCH(N$2,Inputs!$K$4:$AJ$4,0)))+SUMPRODUCT((Inputs!$C$5:$C$120=$B28)*Inputs!$D$5:$D$120*(((Inputs!$G$5:$G$120="moeda")+(Inputs!$G$5:$G$120="acoes"))*Inputs!$B$1+((Inputs!$G$5:$G$120&lt;&gt;"moeda")*(Inputs!$G$5:$G$120&lt;&gt;"acoes")))*INDEX(Inputs!$K$5:$AJ$120,0,MATCH(N$2,Inputs!$K$4:$AJ$4,0)))+SUMPRODUCT((Inputs!$E$5:$E$120=$B28)*Inputs!$F$5:$F$120*(((Inputs!$G$5:$G$120="moeda")+(Inputs!$G$5:$G$120="acoes"))*Inputs!$B$1+((Inputs!$G$5:$G$120&lt;&gt;"moeda")*(Inputs!$G$5:$G$120&lt;&gt;"acoes")))*INDEX(Inputs!$K$5:$AJ$120,0,MATCH(N$2,Inputs!$K$4:$AJ$4,0)))))</f>
        <v>3836</v>
      </c>
      <c r="O28" s="267">
        <f>IF(ISNA(MATCH(O$2,Inputs!$K$4:$AJ$4,0)),NA(),IF(SUMPRODUCT((Inputs!$A$5:$A$120=$B28)*ISNUMBER(INDEX(Inputs!$K$5:$AJ$120,0,MATCH(O$2,Inputs!$K$4:$AJ$4,0))))+SUMPRODUCT((Inputs!$C$5:$C$120=$B28)*ISNUMBER(INDEX(Inputs!$K$5:$AJ$120,0,MATCH(O$2,Inputs!$K$4:$AJ$4,0))))+SUMPRODUCT((Inputs!$E$5:$E$120=$B28)*ISNUMBER(INDEX(Inputs!$K$5:$AJ$120,0,MATCH(O$2,Inputs!$K$4:$AJ$4,0))))=0,NA(),SUMPRODUCT((Inputs!$A$5:$A$120=$B28)*Inputs!$B$5:$B$120*(((Inputs!$G$5:$G$120="moeda")+(Inputs!$G$5:$G$120="acoes"))*Inputs!$B$1+((Inputs!$G$5:$G$120&lt;&gt;"moeda")*(Inputs!$G$5:$G$120&lt;&gt;"acoes")))*INDEX(Inputs!$K$5:$AJ$120,0,MATCH(O$2,Inputs!$K$4:$AJ$4,0)))+SUMPRODUCT((Inputs!$C$5:$C$120=$B28)*Inputs!$D$5:$D$120*(((Inputs!$G$5:$G$120="moeda")+(Inputs!$G$5:$G$120="acoes"))*Inputs!$B$1+((Inputs!$G$5:$G$120&lt;&gt;"moeda")*(Inputs!$G$5:$G$120&lt;&gt;"acoes")))*INDEX(Inputs!$K$5:$AJ$120,0,MATCH(O$2,Inputs!$K$4:$AJ$4,0)))+SUMPRODUCT((Inputs!$E$5:$E$120=$B28)*Inputs!$F$5:$F$120*(((Inputs!$G$5:$G$120="moeda")+(Inputs!$G$5:$G$120="acoes"))*Inputs!$B$1+((Inputs!$G$5:$G$120&lt;&gt;"moeda")*(Inputs!$G$5:$G$120&lt;&gt;"acoes")))*INDEX(Inputs!$K$5:$AJ$120,0,MATCH(O$2,Inputs!$K$4:$AJ$4,0)))))</f>
        <v>3642</v>
      </c>
      <c r="P28" s="267">
        <f>IF(ISNA(MATCH(P$2,Inputs!$K$4:$AJ$4,0)),NA(),IF(SUMPRODUCT((Inputs!$A$5:$A$120=$B28)*ISNUMBER(INDEX(Inputs!$K$5:$AJ$120,0,MATCH(P$2,Inputs!$K$4:$AJ$4,0))))+SUMPRODUCT((Inputs!$C$5:$C$120=$B28)*ISNUMBER(INDEX(Inputs!$K$5:$AJ$120,0,MATCH(P$2,Inputs!$K$4:$AJ$4,0))))+SUMPRODUCT((Inputs!$E$5:$E$120=$B28)*ISNUMBER(INDEX(Inputs!$K$5:$AJ$120,0,MATCH(P$2,Inputs!$K$4:$AJ$4,0))))=0,NA(),SUMPRODUCT((Inputs!$A$5:$A$120=$B28)*Inputs!$B$5:$B$120*(((Inputs!$G$5:$G$120="moeda")+(Inputs!$G$5:$G$120="acoes"))*Inputs!$B$1+((Inputs!$G$5:$G$120&lt;&gt;"moeda")*(Inputs!$G$5:$G$120&lt;&gt;"acoes")))*INDEX(Inputs!$K$5:$AJ$120,0,MATCH(P$2,Inputs!$K$4:$AJ$4,0)))+SUMPRODUCT((Inputs!$C$5:$C$120=$B28)*Inputs!$D$5:$D$120*(((Inputs!$G$5:$G$120="moeda")+(Inputs!$G$5:$G$120="acoes"))*Inputs!$B$1+((Inputs!$G$5:$G$120&lt;&gt;"moeda")*(Inputs!$G$5:$G$120&lt;&gt;"acoes")))*INDEX(Inputs!$K$5:$AJ$120,0,MATCH(P$2,Inputs!$K$4:$AJ$4,0)))+SUMPRODUCT((Inputs!$E$5:$E$120=$B28)*Inputs!$F$5:$F$120*(((Inputs!$G$5:$G$120="moeda")+(Inputs!$G$5:$G$120="acoes"))*Inputs!$B$1+((Inputs!$G$5:$G$120&lt;&gt;"moeda")*(Inputs!$G$5:$G$120&lt;&gt;"acoes")))*INDEX(Inputs!$K$5:$AJ$120,0,MATCH(P$2,Inputs!$K$4:$AJ$4,0)))))</f>
        <v>3724</v>
      </c>
      <c r="Q28" s="267">
        <f>IF(ISNA(MATCH(Q$2,Inputs!$K$4:$AJ$4,0)),NA(),IF(SUMPRODUCT((Inputs!$A$5:$A$120=$B28)*ISNUMBER(INDEX(Inputs!$K$5:$AJ$120,0,MATCH(Q$2,Inputs!$K$4:$AJ$4,0))))+SUMPRODUCT((Inputs!$C$5:$C$120=$B28)*ISNUMBER(INDEX(Inputs!$K$5:$AJ$120,0,MATCH(Q$2,Inputs!$K$4:$AJ$4,0))))+SUMPRODUCT((Inputs!$E$5:$E$120=$B28)*ISNUMBER(INDEX(Inputs!$K$5:$AJ$120,0,MATCH(Q$2,Inputs!$K$4:$AJ$4,0))))=0,NA(),SUMPRODUCT((Inputs!$A$5:$A$120=$B28)*Inputs!$B$5:$B$120*(((Inputs!$G$5:$G$120="moeda")+(Inputs!$G$5:$G$120="acoes"))*Inputs!$B$1+((Inputs!$G$5:$G$120&lt;&gt;"moeda")*(Inputs!$G$5:$G$120&lt;&gt;"acoes")))*INDEX(Inputs!$K$5:$AJ$120,0,MATCH(Q$2,Inputs!$K$4:$AJ$4,0)))+SUMPRODUCT((Inputs!$C$5:$C$120=$B28)*Inputs!$D$5:$D$120*(((Inputs!$G$5:$G$120="moeda")+(Inputs!$G$5:$G$120="acoes"))*Inputs!$B$1+((Inputs!$G$5:$G$120&lt;&gt;"moeda")*(Inputs!$G$5:$G$120&lt;&gt;"acoes")))*INDEX(Inputs!$K$5:$AJ$120,0,MATCH(Q$2,Inputs!$K$4:$AJ$4,0)))+SUMPRODUCT((Inputs!$E$5:$E$120=$B28)*Inputs!$F$5:$F$120*(((Inputs!$G$5:$G$120="moeda")+(Inputs!$G$5:$G$120="acoes"))*Inputs!$B$1+((Inputs!$G$5:$G$120&lt;&gt;"moeda")*(Inputs!$G$5:$G$120&lt;&gt;"acoes")))*INDEX(Inputs!$K$5:$AJ$120,0,MATCH(Q$2,Inputs!$K$4:$AJ$4,0)))))</f>
        <v>3729</v>
      </c>
      <c r="R28" s="268">
        <f>Q28</f>
        <v>3729</v>
      </c>
      <c r="S28" s="267">
        <f>IF(ISNA(MATCH(S$2,Inputs!$K$4:$AJ$4,0)),NA(),IF(SUMPRODUCT((Inputs!$A$5:$A$120=$B28)*ISNUMBER(INDEX(Inputs!$K$5:$AJ$120,0,MATCH(S$2,Inputs!$K$4:$AJ$4,0))))+SUMPRODUCT((Inputs!$C$5:$C$120=$B28)*ISNUMBER(INDEX(Inputs!$K$5:$AJ$120,0,MATCH(S$2,Inputs!$K$4:$AJ$4,0))))+SUMPRODUCT((Inputs!$E$5:$E$120=$B28)*ISNUMBER(INDEX(Inputs!$K$5:$AJ$120,0,MATCH(S$2,Inputs!$K$4:$AJ$4,0))))=0,NA(),SUMPRODUCT((Inputs!$A$5:$A$120=$B28)*Inputs!$B$5:$B$120*(((Inputs!$G$5:$G$120="moeda")+(Inputs!$G$5:$G$120="acoes"))*Inputs!$B$1+((Inputs!$G$5:$G$120&lt;&gt;"moeda")*(Inputs!$G$5:$G$120&lt;&gt;"acoes")))*INDEX(Inputs!$K$5:$AJ$120,0,MATCH(S$2,Inputs!$K$4:$AJ$4,0)))+SUMPRODUCT((Inputs!$C$5:$C$120=$B28)*Inputs!$D$5:$D$120*(((Inputs!$G$5:$G$120="moeda")+(Inputs!$G$5:$G$120="acoes"))*Inputs!$B$1+((Inputs!$G$5:$G$120&lt;&gt;"moeda")*(Inputs!$G$5:$G$120&lt;&gt;"acoes")))*INDEX(Inputs!$K$5:$AJ$120,0,MATCH(S$2,Inputs!$K$4:$AJ$4,0)))+SUMPRODUCT((Inputs!$E$5:$E$120=$B28)*Inputs!$F$5:$F$120*(((Inputs!$G$5:$G$120="moeda")+(Inputs!$G$5:$G$120="acoes"))*Inputs!$B$1+((Inputs!$G$5:$G$120&lt;&gt;"moeda")*(Inputs!$G$5:$G$120&lt;&gt;"acoes")))*INDEX(Inputs!$K$5:$AJ$120,0,MATCH(S$2,Inputs!$K$4:$AJ$4,0)))))</f>
        <v>3672</v>
      </c>
      <c r="T28" s="267">
        <f>IF(ISNA(MATCH(T$2,Inputs!$K$4:$AJ$4,0)),NA(),IF(SUMPRODUCT((Inputs!$A$5:$A$120=$B28)*ISNUMBER(INDEX(Inputs!$K$5:$AJ$120,0,MATCH(T$2,Inputs!$K$4:$AJ$4,0))))+SUMPRODUCT((Inputs!$C$5:$C$120=$B28)*ISNUMBER(INDEX(Inputs!$K$5:$AJ$120,0,MATCH(T$2,Inputs!$K$4:$AJ$4,0))))+SUMPRODUCT((Inputs!$E$5:$E$120=$B28)*ISNUMBER(INDEX(Inputs!$K$5:$AJ$120,0,MATCH(T$2,Inputs!$K$4:$AJ$4,0))))=0,NA(),SUMPRODUCT((Inputs!$A$5:$A$120=$B28)*Inputs!$B$5:$B$120*(((Inputs!$G$5:$G$120="moeda")+(Inputs!$G$5:$G$120="acoes"))*Inputs!$B$1+((Inputs!$G$5:$G$120&lt;&gt;"moeda")*(Inputs!$G$5:$G$120&lt;&gt;"acoes")))*INDEX(Inputs!$K$5:$AJ$120,0,MATCH(T$2,Inputs!$K$4:$AJ$4,0)))+SUMPRODUCT((Inputs!$C$5:$C$120=$B28)*Inputs!$D$5:$D$120*(((Inputs!$G$5:$G$120="moeda")+(Inputs!$G$5:$G$120="acoes"))*Inputs!$B$1+((Inputs!$G$5:$G$120&lt;&gt;"moeda")*(Inputs!$G$5:$G$120&lt;&gt;"acoes")))*INDEX(Inputs!$K$5:$AJ$120,0,MATCH(T$2,Inputs!$K$4:$AJ$4,0)))+SUMPRODUCT((Inputs!$E$5:$E$120=$B28)*Inputs!$F$5:$F$120*(((Inputs!$G$5:$G$120="moeda")+(Inputs!$G$5:$G$120="acoes"))*Inputs!$B$1+((Inputs!$G$5:$G$120&lt;&gt;"moeda")*(Inputs!$G$5:$G$120&lt;&gt;"acoes")))*INDEX(Inputs!$K$5:$AJ$120,0,MATCH(T$2,Inputs!$K$4:$AJ$4,0)))))</f>
        <v>3910</v>
      </c>
      <c r="U28" s="267">
        <f>IF(ISNA(MATCH(U$2,Inputs!$K$4:$AJ$4,0)),NA(),IF(SUMPRODUCT((Inputs!$A$5:$A$120=$B28)*ISNUMBER(INDEX(Inputs!$K$5:$AJ$120,0,MATCH(U$2,Inputs!$K$4:$AJ$4,0))))+SUMPRODUCT((Inputs!$C$5:$C$120=$B28)*ISNUMBER(INDEX(Inputs!$K$5:$AJ$120,0,MATCH(U$2,Inputs!$K$4:$AJ$4,0))))+SUMPRODUCT((Inputs!$E$5:$E$120=$B28)*ISNUMBER(INDEX(Inputs!$K$5:$AJ$120,0,MATCH(U$2,Inputs!$K$4:$AJ$4,0))))=0,NA(),SUMPRODUCT((Inputs!$A$5:$A$120=$B28)*Inputs!$B$5:$B$120*(((Inputs!$G$5:$G$120="moeda")+(Inputs!$G$5:$G$120="acoes"))*Inputs!$B$1+((Inputs!$G$5:$G$120&lt;&gt;"moeda")*(Inputs!$G$5:$G$120&lt;&gt;"acoes")))*INDEX(Inputs!$K$5:$AJ$120,0,MATCH(U$2,Inputs!$K$4:$AJ$4,0)))+SUMPRODUCT((Inputs!$C$5:$C$120=$B28)*Inputs!$D$5:$D$120*(((Inputs!$G$5:$G$120="moeda")+(Inputs!$G$5:$G$120="acoes"))*Inputs!$B$1+((Inputs!$G$5:$G$120&lt;&gt;"moeda")*(Inputs!$G$5:$G$120&lt;&gt;"acoes")))*INDEX(Inputs!$K$5:$AJ$120,0,MATCH(U$2,Inputs!$K$4:$AJ$4,0)))+SUMPRODUCT((Inputs!$E$5:$E$120=$B28)*Inputs!$F$5:$F$120*(((Inputs!$G$5:$G$120="moeda")+(Inputs!$G$5:$G$120="acoes"))*Inputs!$B$1+((Inputs!$G$5:$G$120&lt;&gt;"moeda")*(Inputs!$G$5:$G$120&lt;&gt;"acoes")))*INDEX(Inputs!$K$5:$AJ$120,0,MATCH(U$2,Inputs!$K$4:$AJ$4,0)))))</f>
        <v>3824</v>
      </c>
      <c r="V28" s="267">
        <f>IF(ISNA(MATCH(V$2,Inputs!$K$4:$AJ$4,0)),NA(),IF(SUMPRODUCT((Inputs!$A$5:$A$120=$B28)*ISNUMBER(INDEX(Inputs!$K$5:$AJ$120,0,MATCH(V$2,Inputs!$K$4:$AJ$4,0))))+SUMPRODUCT((Inputs!$C$5:$C$120=$B28)*ISNUMBER(INDEX(Inputs!$K$5:$AJ$120,0,MATCH(V$2,Inputs!$K$4:$AJ$4,0))))+SUMPRODUCT((Inputs!$E$5:$E$120=$B28)*ISNUMBER(INDEX(Inputs!$K$5:$AJ$120,0,MATCH(V$2,Inputs!$K$4:$AJ$4,0))))=0,NA(),SUMPRODUCT((Inputs!$A$5:$A$120=$B28)*Inputs!$B$5:$B$120*(((Inputs!$G$5:$G$120="moeda")+(Inputs!$G$5:$G$120="acoes"))*Inputs!$B$1+((Inputs!$G$5:$G$120&lt;&gt;"moeda")*(Inputs!$G$5:$G$120&lt;&gt;"acoes")))*INDEX(Inputs!$K$5:$AJ$120,0,MATCH(V$2,Inputs!$K$4:$AJ$4,0)))+SUMPRODUCT((Inputs!$C$5:$C$120=$B28)*Inputs!$D$5:$D$120*(((Inputs!$G$5:$G$120="moeda")+(Inputs!$G$5:$G$120="acoes"))*Inputs!$B$1+((Inputs!$G$5:$G$120&lt;&gt;"moeda")*(Inputs!$G$5:$G$120&lt;&gt;"acoes")))*INDEX(Inputs!$K$5:$AJ$120,0,MATCH(V$2,Inputs!$K$4:$AJ$4,0)))+SUMPRODUCT((Inputs!$E$5:$E$120=$B28)*Inputs!$F$5:$F$120*(((Inputs!$G$5:$G$120="moeda")+(Inputs!$G$5:$G$120="acoes"))*Inputs!$B$1+((Inputs!$G$5:$G$120&lt;&gt;"moeda")*(Inputs!$G$5:$G$120&lt;&gt;"acoes")))*INDEX(Inputs!$K$5:$AJ$120,0,MATCH(V$2,Inputs!$K$4:$AJ$4,0)))))</f>
        <v>4057</v>
      </c>
      <c r="W28" s="268">
        <f>V28</f>
        <v>4057</v>
      </c>
      <c r="X28" s="267">
        <f>IF(ISNA(MATCH(X$2,Inputs!$K$4:$AJ$4,0)),NA(),IF(SUMPRODUCT((Inputs!$A$5:$A$120=$B28)*ISNUMBER(INDEX(Inputs!$K$5:$AJ$120,0,MATCH(X$2,Inputs!$K$4:$AJ$4,0))))+SUMPRODUCT((Inputs!$C$5:$C$120=$B28)*ISNUMBER(INDEX(Inputs!$K$5:$AJ$120,0,MATCH(X$2,Inputs!$K$4:$AJ$4,0))))+SUMPRODUCT((Inputs!$E$5:$E$120=$B28)*ISNUMBER(INDEX(Inputs!$K$5:$AJ$120,0,MATCH(X$2,Inputs!$K$4:$AJ$4,0))))=0,NA(),SUMPRODUCT((Inputs!$A$5:$A$120=$B28)*Inputs!$B$5:$B$120*(((Inputs!$G$5:$G$120="moeda")+(Inputs!$G$5:$G$120="acoes"))*Inputs!$B$1+((Inputs!$G$5:$G$120&lt;&gt;"moeda")*(Inputs!$G$5:$G$120&lt;&gt;"acoes")))*INDEX(Inputs!$K$5:$AJ$120,0,MATCH(X$2,Inputs!$K$4:$AJ$4,0)))+SUMPRODUCT((Inputs!$C$5:$C$120=$B28)*Inputs!$D$5:$D$120*(((Inputs!$G$5:$G$120="moeda")+(Inputs!$G$5:$G$120="acoes"))*Inputs!$B$1+((Inputs!$G$5:$G$120&lt;&gt;"moeda")*(Inputs!$G$5:$G$120&lt;&gt;"acoes")))*INDEX(Inputs!$K$5:$AJ$120,0,MATCH(X$2,Inputs!$K$4:$AJ$4,0)))+SUMPRODUCT((Inputs!$E$5:$E$120=$B28)*Inputs!$F$5:$F$120*(((Inputs!$G$5:$G$120="moeda")+(Inputs!$G$5:$G$120="acoes"))*Inputs!$B$1+((Inputs!$G$5:$G$120&lt;&gt;"moeda")*(Inputs!$G$5:$G$120&lt;&gt;"acoes")))*INDEX(Inputs!$K$5:$AJ$120,0,MATCH(X$2,Inputs!$K$4:$AJ$4,0)))))</f>
        <v>4078</v>
      </c>
      <c r="Y28" s="267">
        <f>IF(ISNA(MATCH(Y$2,Inputs!$K$4:$AJ$4,0)),NA(),IF(SUMPRODUCT((Inputs!$A$5:$A$120=$B28)*ISNUMBER(INDEX(Inputs!$K$5:$AJ$120,0,MATCH(Y$2,Inputs!$K$4:$AJ$4,0))))+SUMPRODUCT((Inputs!$C$5:$C$120=$B28)*ISNUMBER(INDEX(Inputs!$K$5:$AJ$120,0,MATCH(Y$2,Inputs!$K$4:$AJ$4,0))))+SUMPRODUCT((Inputs!$E$5:$E$120=$B28)*ISNUMBER(INDEX(Inputs!$K$5:$AJ$120,0,MATCH(Y$2,Inputs!$K$4:$AJ$4,0))))=0,NA(),SUMPRODUCT((Inputs!$A$5:$A$120=$B28)*Inputs!$B$5:$B$120*(((Inputs!$G$5:$G$120="moeda")+(Inputs!$G$5:$G$120="acoes"))*Inputs!$B$1+((Inputs!$G$5:$G$120&lt;&gt;"moeda")*(Inputs!$G$5:$G$120&lt;&gt;"acoes")))*INDEX(Inputs!$K$5:$AJ$120,0,MATCH(Y$2,Inputs!$K$4:$AJ$4,0)))+SUMPRODUCT((Inputs!$C$5:$C$120=$B28)*Inputs!$D$5:$D$120*(((Inputs!$G$5:$G$120="moeda")+(Inputs!$G$5:$G$120="acoes"))*Inputs!$B$1+((Inputs!$G$5:$G$120&lt;&gt;"moeda")*(Inputs!$G$5:$G$120&lt;&gt;"acoes")))*INDEX(Inputs!$K$5:$AJ$120,0,MATCH(Y$2,Inputs!$K$4:$AJ$4,0)))+SUMPRODUCT((Inputs!$E$5:$E$120=$B28)*Inputs!$F$5:$F$120*(((Inputs!$G$5:$G$120="moeda")+(Inputs!$G$5:$G$120="acoes"))*Inputs!$B$1+((Inputs!$G$5:$G$120&lt;&gt;"moeda")*(Inputs!$G$5:$G$120&lt;&gt;"acoes")))*INDEX(Inputs!$K$5:$AJ$120,0,MATCH(Y$2,Inputs!$K$4:$AJ$4,0)))))</f>
        <v>4288</v>
      </c>
      <c r="Z28" s="267">
        <f>IF(ISNA(MATCH(Z$2,Inputs!$K$4:$AJ$4,0)),NA(),IF(SUMPRODUCT((Inputs!$A$5:$A$120=$B28)*ISNUMBER(INDEX(Inputs!$K$5:$AJ$120,0,MATCH(Z$2,Inputs!$K$4:$AJ$4,0))))+SUMPRODUCT((Inputs!$C$5:$C$120=$B28)*ISNUMBER(INDEX(Inputs!$K$5:$AJ$120,0,MATCH(Z$2,Inputs!$K$4:$AJ$4,0))))+SUMPRODUCT((Inputs!$E$5:$E$120=$B28)*ISNUMBER(INDEX(Inputs!$K$5:$AJ$120,0,MATCH(Z$2,Inputs!$K$4:$AJ$4,0))))=0,NA(),SUMPRODUCT((Inputs!$A$5:$A$120=$B28)*Inputs!$B$5:$B$120*(((Inputs!$G$5:$G$120="moeda")+(Inputs!$G$5:$G$120="acoes"))*Inputs!$B$1+((Inputs!$G$5:$G$120&lt;&gt;"moeda")*(Inputs!$G$5:$G$120&lt;&gt;"acoes")))*INDEX(Inputs!$K$5:$AJ$120,0,MATCH(Z$2,Inputs!$K$4:$AJ$4,0)))+SUMPRODUCT((Inputs!$C$5:$C$120=$B28)*Inputs!$D$5:$D$120*(((Inputs!$G$5:$G$120="moeda")+(Inputs!$G$5:$G$120="acoes"))*Inputs!$B$1+((Inputs!$G$5:$G$120&lt;&gt;"moeda")*(Inputs!$G$5:$G$120&lt;&gt;"acoes")))*INDEX(Inputs!$K$5:$AJ$120,0,MATCH(Z$2,Inputs!$K$4:$AJ$4,0)))+SUMPRODUCT((Inputs!$E$5:$E$120=$B28)*Inputs!$F$5:$F$120*(((Inputs!$G$5:$G$120="moeda")+(Inputs!$G$5:$G$120="acoes"))*Inputs!$B$1+((Inputs!$G$5:$G$120&lt;&gt;"moeda")*(Inputs!$G$5:$G$120&lt;&gt;"acoes")))*INDEX(Inputs!$K$5:$AJ$120,0,MATCH(Z$2,Inputs!$K$4:$AJ$4,0)))))</f>
        <v>4098</v>
      </c>
      <c r="AA28" s="267">
        <f>IF(ISNA(MATCH(AA$2,Inputs!$K$4:$AJ$4,0)),NA(),IF(SUMPRODUCT((Inputs!$A$5:$A$120=$B28)*ISNUMBER(INDEX(Inputs!$K$5:$AJ$120,0,MATCH(AA$2,Inputs!$K$4:$AJ$4,0))))+SUMPRODUCT((Inputs!$C$5:$C$120=$B28)*ISNUMBER(INDEX(Inputs!$K$5:$AJ$120,0,MATCH(AA$2,Inputs!$K$4:$AJ$4,0))))+SUMPRODUCT((Inputs!$E$5:$E$120=$B28)*ISNUMBER(INDEX(Inputs!$K$5:$AJ$120,0,MATCH(AA$2,Inputs!$K$4:$AJ$4,0))))=0,NA(),SUMPRODUCT((Inputs!$A$5:$A$120=$B28)*Inputs!$B$5:$B$120*(((Inputs!$G$5:$G$120="moeda")+(Inputs!$G$5:$G$120="acoes"))*Inputs!$B$1+((Inputs!$G$5:$G$120&lt;&gt;"moeda")*(Inputs!$G$5:$G$120&lt;&gt;"acoes")))*INDEX(Inputs!$K$5:$AJ$120,0,MATCH(AA$2,Inputs!$K$4:$AJ$4,0)))+SUMPRODUCT((Inputs!$C$5:$C$120=$B28)*Inputs!$D$5:$D$120*(((Inputs!$G$5:$G$120="moeda")+(Inputs!$G$5:$G$120="acoes"))*Inputs!$B$1+((Inputs!$G$5:$G$120&lt;&gt;"moeda")*(Inputs!$G$5:$G$120&lt;&gt;"acoes")))*INDEX(Inputs!$K$5:$AJ$120,0,MATCH(AA$2,Inputs!$K$4:$AJ$4,0)))+SUMPRODUCT((Inputs!$E$5:$E$120=$B28)*Inputs!$F$5:$F$120*(((Inputs!$G$5:$G$120="moeda")+(Inputs!$G$5:$G$120="acoes"))*Inputs!$B$1+((Inputs!$G$5:$G$120&lt;&gt;"moeda")*(Inputs!$G$5:$G$120&lt;&gt;"acoes")))*INDEX(Inputs!$K$5:$AJ$120,0,MATCH(AA$2,Inputs!$K$4:$AJ$4,0)))))</f>
        <v>4565</v>
      </c>
      <c r="AB28" s="268">
        <f>AA28</f>
        <v>4565</v>
      </c>
      <c r="AC28" s="267">
        <f>IF(ISNA(MATCH(AC$2,Inputs!$K$4:$AJ$4,0)),NA(),IF(SUMPRODUCT((Inputs!$A$5:$A$120=$B28)*ISNUMBER(INDEX(Inputs!$K$5:$AJ$120,0,MATCH(AC$2,Inputs!$K$4:$AJ$4,0))))+SUMPRODUCT((Inputs!$C$5:$C$120=$B28)*ISNUMBER(INDEX(Inputs!$K$5:$AJ$120,0,MATCH(AC$2,Inputs!$K$4:$AJ$4,0))))+SUMPRODUCT((Inputs!$E$5:$E$120=$B28)*ISNUMBER(INDEX(Inputs!$K$5:$AJ$120,0,MATCH(AC$2,Inputs!$K$4:$AJ$4,0))))=0,NA(),SUMPRODUCT((Inputs!$A$5:$A$120=$B28)*Inputs!$B$5:$B$120*(((Inputs!$G$5:$G$120="moeda")+(Inputs!$G$5:$G$120="acoes"))*Inputs!$B$1+((Inputs!$G$5:$G$120&lt;&gt;"moeda")*(Inputs!$G$5:$G$120&lt;&gt;"acoes")))*INDEX(Inputs!$K$5:$AJ$120,0,MATCH(AC$2,Inputs!$K$4:$AJ$4,0)))+SUMPRODUCT((Inputs!$C$5:$C$120=$B28)*Inputs!$D$5:$D$120*(((Inputs!$G$5:$G$120="moeda")+(Inputs!$G$5:$G$120="acoes"))*Inputs!$B$1+((Inputs!$G$5:$G$120&lt;&gt;"moeda")*(Inputs!$G$5:$G$120&lt;&gt;"acoes")))*INDEX(Inputs!$K$5:$AJ$120,0,MATCH(AC$2,Inputs!$K$4:$AJ$4,0)))+SUMPRODUCT((Inputs!$E$5:$E$120=$B28)*Inputs!$F$5:$F$120*(((Inputs!$G$5:$G$120="moeda")+(Inputs!$G$5:$G$120="acoes"))*Inputs!$B$1+((Inputs!$G$5:$G$120&lt;&gt;"moeda")*(Inputs!$G$5:$G$120&lt;&gt;"acoes")))*INDEX(Inputs!$K$5:$AJ$120,0,MATCH(AC$2,Inputs!$K$4:$AJ$4,0)))))</f>
        <v>4142</v>
      </c>
      <c r="AD28" s="267">
        <f>IF(ISNA(MATCH(AD$2,Inputs!$K$4:$AJ$4,0)),NA(),IF(SUMPRODUCT((Inputs!$A$5:$A$120=$B28)*ISNUMBER(INDEX(Inputs!$K$5:$AJ$120,0,MATCH(AD$2,Inputs!$K$4:$AJ$4,0))))+SUMPRODUCT((Inputs!$C$5:$C$120=$B28)*ISNUMBER(INDEX(Inputs!$K$5:$AJ$120,0,MATCH(AD$2,Inputs!$K$4:$AJ$4,0))))+SUMPRODUCT((Inputs!$E$5:$E$120=$B28)*ISNUMBER(INDEX(Inputs!$K$5:$AJ$120,0,MATCH(AD$2,Inputs!$K$4:$AJ$4,0))))=0,NA(),SUMPRODUCT((Inputs!$A$5:$A$120=$B28)*Inputs!$B$5:$B$120*(((Inputs!$G$5:$G$120="moeda")+(Inputs!$G$5:$G$120="acoes"))*Inputs!$B$1+((Inputs!$G$5:$G$120&lt;&gt;"moeda")*(Inputs!$G$5:$G$120&lt;&gt;"acoes")))*INDEX(Inputs!$K$5:$AJ$120,0,MATCH(AD$2,Inputs!$K$4:$AJ$4,0)))+SUMPRODUCT((Inputs!$C$5:$C$120=$B28)*Inputs!$D$5:$D$120*(((Inputs!$G$5:$G$120="moeda")+(Inputs!$G$5:$G$120="acoes"))*Inputs!$B$1+((Inputs!$G$5:$G$120&lt;&gt;"moeda")*(Inputs!$G$5:$G$120&lt;&gt;"acoes")))*INDEX(Inputs!$K$5:$AJ$120,0,MATCH(AD$2,Inputs!$K$4:$AJ$4,0)))+SUMPRODUCT((Inputs!$E$5:$E$120=$B28)*Inputs!$F$5:$F$120*(((Inputs!$G$5:$G$120="moeda")+(Inputs!$G$5:$G$120="acoes"))*Inputs!$B$1+((Inputs!$G$5:$G$120&lt;&gt;"moeda")*(Inputs!$G$5:$G$120&lt;&gt;"acoes")))*INDEX(Inputs!$K$5:$AJ$120,0,MATCH(AD$2,Inputs!$K$4:$AJ$4,0)))))</f>
        <v>4582</v>
      </c>
      <c r="AE28" s="267" t="e">
        <f>IF(ISNA(MATCH(AE$2,Inputs!$K$4:$AJ$4,0)),NA(),IF(SUMPRODUCT((Inputs!$A$5:$A$120=$B28)*ISNUMBER(INDEX(Inputs!$K$5:$AJ$120,0,MATCH(AE$2,Inputs!$K$4:$AJ$4,0))))+SUMPRODUCT((Inputs!$C$5:$C$120=$B28)*ISNUMBER(INDEX(Inputs!$K$5:$AJ$120,0,MATCH(AE$2,Inputs!$K$4:$AJ$4,0))))+SUMPRODUCT((Inputs!$E$5:$E$120=$B28)*ISNUMBER(INDEX(Inputs!$K$5:$AJ$120,0,MATCH(AE$2,Inputs!$K$4:$AJ$4,0))))=0,NA(),SUMPRODUCT((Inputs!$A$5:$A$120=$B28)*Inputs!$B$5:$B$120*(((Inputs!$G$5:$G$120="moeda")+(Inputs!$G$5:$G$120="acoes"))*Inputs!$B$1+((Inputs!$G$5:$G$120&lt;&gt;"moeda")*(Inputs!$G$5:$G$120&lt;&gt;"acoes")))*INDEX(Inputs!$K$5:$AJ$120,0,MATCH(AE$2,Inputs!$K$4:$AJ$4,0)))+SUMPRODUCT((Inputs!$C$5:$C$120=$B28)*Inputs!$D$5:$D$120*(((Inputs!$G$5:$G$120="moeda")+(Inputs!$G$5:$G$120="acoes"))*Inputs!$B$1+((Inputs!$G$5:$G$120&lt;&gt;"moeda")*(Inputs!$G$5:$G$120&lt;&gt;"acoes")))*INDEX(Inputs!$K$5:$AJ$120,0,MATCH(AE$2,Inputs!$K$4:$AJ$4,0)))+SUMPRODUCT((Inputs!$E$5:$E$120=$B28)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8" s="267" t="e">
        <f>IF(ISNA(MATCH(AF$2,Inputs!$K$4:$AJ$4,0)),NA(),IF(SUMPRODUCT((Inputs!$A$5:$A$120=$B28)*ISNUMBER(INDEX(Inputs!$K$5:$AJ$120,0,MATCH(AF$2,Inputs!$K$4:$AJ$4,0))))+SUMPRODUCT((Inputs!$C$5:$C$120=$B28)*ISNUMBER(INDEX(Inputs!$K$5:$AJ$120,0,MATCH(AF$2,Inputs!$K$4:$AJ$4,0))))+SUMPRODUCT((Inputs!$E$5:$E$120=$B28)*ISNUMBER(INDEX(Inputs!$K$5:$AJ$120,0,MATCH(AF$2,Inputs!$K$4:$AJ$4,0))))=0,NA(),SUMPRODUCT((Inputs!$A$5:$A$120=$B28)*Inputs!$B$5:$B$120*(((Inputs!$G$5:$G$120="moeda")+(Inputs!$G$5:$G$120="acoes"))*Inputs!$B$1+((Inputs!$G$5:$G$120&lt;&gt;"moeda")*(Inputs!$G$5:$G$120&lt;&gt;"acoes")))*INDEX(Inputs!$K$5:$AJ$120,0,MATCH(AF$2,Inputs!$K$4:$AJ$4,0)))+SUMPRODUCT((Inputs!$C$5:$C$120=$B28)*Inputs!$D$5:$D$120*(((Inputs!$G$5:$G$120="moeda")+(Inputs!$G$5:$G$120="acoes"))*Inputs!$B$1+((Inputs!$G$5:$G$120&lt;&gt;"moeda")*(Inputs!$G$5:$G$120&lt;&gt;"acoes")))*INDEX(Inputs!$K$5:$AJ$120,0,MATCH(AF$2,Inputs!$K$4:$AJ$4,0)))+SUMPRODUCT((Inputs!$E$5:$E$120=$B28)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8" s="268" t="e">
        <f>AF28</f>
        <v>#N/A</v>
      </c>
      <c r="AH28" s="267">
        <f>IF(ISNA(MATCH(AH$2,Inputs!$K$4:$AJ$4,0)),NA(),IF(SUMPRODUCT((Inputs!$A$5:$A$120=$B28)*ISNUMBER(INDEX(Inputs!$K$5:$AJ$120,0,MATCH(AH$2,Inputs!$K$4:$AJ$4,0))))+SUMPRODUCT((Inputs!$C$5:$C$120=$B28)*ISNUMBER(INDEX(Inputs!$K$5:$AJ$120,0,MATCH(AH$2,Inputs!$K$4:$AJ$4,0))))+SUMPRODUCT((Inputs!$E$5:$E$120=$B28)*ISNUMBER(INDEX(Inputs!$K$5:$AJ$120,0,MATCH(AH$2,Inputs!$K$4:$AJ$4,0))))=0,NA(),SUMPRODUCT((Inputs!$A$5:$A$120=$B28)*Inputs!$B$5:$B$120*(((Inputs!$G$5:$G$120="moeda")+(Inputs!$G$5:$G$120="acoes"))*Inputs!$B$1+((Inputs!$G$5:$G$120&lt;&gt;"moeda")*(Inputs!$G$5:$G$120&lt;&gt;"acoes")))*INDEX(Inputs!$K$5:$AJ$120,0,MATCH(AH$2,Inputs!$K$4:$AJ$4,0)))+SUMPRODUCT((Inputs!$C$5:$C$120=$B28)*Inputs!$D$5:$D$120*(((Inputs!$G$5:$G$120="moeda")+(Inputs!$G$5:$G$120="acoes"))*Inputs!$B$1+((Inputs!$G$5:$G$120&lt;&gt;"moeda")*(Inputs!$G$5:$G$120&lt;&gt;"acoes")))*INDEX(Inputs!$K$5:$AJ$120,0,MATCH(AH$2,Inputs!$K$4:$AJ$4,0)))+SUMPRODUCT((Inputs!$E$5:$E$120=$B28)*Inputs!$F$5:$F$120*(((Inputs!$G$5:$G$120="moeda")+(Inputs!$G$5:$G$120="acoes"))*Inputs!$B$1+((Inputs!$G$5:$G$120&lt;&gt;"moeda")*(Inputs!$G$5:$G$120&lt;&gt;"acoes")))*INDEX(Inputs!$K$5:$AJ$120,0,MATCH(AH$2,Inputs!$K$4:$AJ$4,0)))))</f>
        <v>2465</v>
      </c>
      <c r="AI28" s="267">
        <f>IF(ISNA(MATCH(AI$2,Inputs!$K$4:$AJ$4,0)),NA(),IF(SUMPRODUCT((Inputs!$A$5:$A$120=$B28)*ISNUMBER(INDEX(Inputs!$K$5:$AJ$120,0,MATCH(AI$2,Inputs!$K$4:$AJ$4,0))))+SUMPRODUCT((Inputs!$C$5:$C$120=$B28)*ISNUMBER(INDEX(Inputs!$K$5:$AJ$120,0,MATCH(AI$2,Inputs!$K$4:$AJ$4,0))))+SUMPRODUCT((Inputs!$E$5:$E$120=$B28)*ISNUMBER(INDEX(Inputs!$K$5:$AJ$120,0,MATCH(AI$2,Inputs!$K$4:$AJ$4,0))))=0,NA(),SUMPRODUCT((Inputs!$A$5:$A$120=$B28)*Inputs!$B$5:$B$120*(((Inputs!$G$5:$G$120="moeda")+(Inputs!$G$5:$G$120="acoes"))*Inputs!$B$1+((Inputs!$G$5:$G$120&lt;&gt;"moeda")*(Inputs!$G$5:$G$120&lt;&gt;"acoes")))*INDEX(Inputs!$K$5:$AJ$120,0,MATCH(AI$2,Inputs!$K$4:$AJ$4,0)))+SUMPRODUCT((Inputs!$C$5:$C$120=$B28)*Inputs!$D$5:$D$120*(((Inputs!$G$5:$G$120="moeda")+(Inputs!$G$5:$G$120="acoes"))*Inputs!$B$1+((Inputs!$G$5:$G$120&lt;&gt;"moeda")*(Inputs!$G$5:$G$120&lt;&gt;"acoes")))*INDEX(Inputs!$K$5:$AJ$120,0,MATCH(AI$2,Inputs!$K$4:$AJ$4,0)))+SUMPRODUCT((Inputs!$E$5:$E$120=$B28)*Inputs!$F$5:$F$120*(((Inputs!$G$5:$G$120="moeda")+(Inputs!$G$5:$G$120="acoes"))*Inputs!$B$1+((Inputs!$G$5:$G$120&lt;&gt;"moeda")*(Inputs!$G$5:$G$120&lt;&gt;"acoes")))*INDEX(Inputs!$K$5:$AJ$120,0,MATCH(AI$2,Inputs!$K$4:$AJ$4,0)))))</f>
        <v>2471</v>
      </c>
      <c r="AJ28" s="267">
        <f>IF(ISNA(MATCH(AJ$2,Inputs!$K$4:$AJ$4,0)),NA(),IF(SUMPRODUCT((Inputs!$A$5:$A$120=$B28)*ISNUMBER(INDEX(Inputs!$K$5:$AJ$120,0,MATCH(AJ$2,Inputs!$K$4:$AJ$4,0))))+SUMPRODUCT((Inputs!$C$5:$C$120=$B28)*ISNUMBER(INDEX(Inputs!$K$5:$AJ$120,0,MATCH(AJ$2,Inputs!$K$4:$AJ$4,0))))+SUMPRODUCT((Inputs!$E$5:$E$120=$B28)*ISNUMBER(INDEX(Inputs!$K$5:$AJ$120,0,MATCH(AJ$2,Inputs!$K$4:$AJ$4,0))))=0,NA(),SUMPRODUCT((Inputs!$A$5:$A$120=$B28)*Inputs!$B$5:$B$120*(((Inputs!$G$5:$G$120="moeda")+(Inputs!$G$5:$G$120="acoes"))*Inputs!$B$1+((Inputs!$G$5:$G$120&lt;&gt;"moeda")*(Inputs!$G$5:$G$120&lt;&gt;"acoes")))*INDEX(Inputs!$K$5:$AJ$120,0,MATCH(AJ$2,Inputs!$K$4:$AJ$4,0)))+SUMPRODUCT((Inputs!$C$5:$C$120=$B28)*Inputs!$D$5:$D$120*(((Inputs!$G$5:$G$120="moeda")+(Inputs!$G$5:$G$120="acoes"))*Inputs!$B$1+((Inputs!$G$5:$G$120&lt;&gt;"moeda")*(Inputs!$G$5:$G$120&lt;&gt;"acoes")))*INDEX(Inputs!$K$5:$AJ$120,0,MATCH(AJ$2,Inputs!$K$4:$AJ$4,0)))+SUMPRODUCT((Inputs!$E$5:$E$120=$B28)*Inputs!$F$5:$F$120*(((Inputs!$G$5:$G$120="moeda")+(Inputs!$G$5:$G$120="acoes"))*Inputs!$B$1+((Inputs!$G$5:$G$120&lt;&gt;"moeda")*(Inputs!$G$5:$G$120&lt;&gt;"acoes")))*INDEX(Inputs!$K$5:$AJ$120,0,MATCH(AJ$2,Inputs!$K$4:$AJ$4,0)))))</f>
        <v>2533</v>
      </c>
      <c r="AK28" s="267">
        <f>IF(ISNA(MATCH(AK$2,Inputs!$K$4:$AJ$4,0)),NA(),IF(SUMPRODUCT((Inputs!$A$5:$A$120=$B28)*ISNUMBER(INDEX(Inputs!$K$5:$AJ$120,0,MATCH(AK$2,Inputs!$K$4:$AJ$4,0))))+SUMPRODUCT((Inputs!$C$5:$C$120=$B28)*ISNUMBER(INDEX(Inputs!$K$5:$AJ$120,0,MATCH(AK$2,Inputs!$K$4:$AJ$4,0))))+SUMPRODUCT((Inputs!$E$5:$E$120=$B28)*ISNUMBER(INDEX(Inputs!$K$5:$AJ$120,0,MATCH(AK$2,Inputs!$K$4:$AJ$4,0))))=0,NA(),SUMPRODUCT((Inputs!$A$5:$A$120=$B28)*Inputs!$B$5:$B$120*(((Inputs!$G$5:$G$120="moeda")+(Inputs!$G$5:$G$120="acoes"))*Inputs!$B$1+((Inputs!$G$5:$G$120&lt;&gt;"moeda")*(Inputs!$G$5:$G$120&lt;&gt;"acoes")))*INDEX(Inputs!$K$5:$AJ$120,0,MATCH(AK$2,Inputs!$K$4:$AJ$4,0)))+SUMPRODUCT((Inputs!$C$5:$C$120=$B28)*Inputs!$D$5:$D$120*(((Inputs!$G$5:$G$120="moeda")+(Inputs!$G$5:$G$120="acoes"))*Inputs!$B$1+((Inputs!$G$5:$G$120&lt;&gt;"moeda")*(Inputs!$G$5:$G$120&lt;&gt;"acoes")))*INDEX(Inputs!$K$5:$AJ$120,0,MATCH(AK$2,Inputs!$K$4:$AJ$4,0)))+SUMPRODUCT((Inputs!$E$5:$E$120=$B28)*Inputs!$F$5:$F$120*(((Inputs!$G$5:$G$120="moeda")+(Inputs!$G$5:$G$120="acoes"))*Inputs!$B$1+((Inputs!$G$5:$G$120&lt;&gt;"moeda")*(Inputs!$G$5:$G$120&lt;&gt;"acoes")))*INDEX(Inputs!$K$5:$AJ$120,0,MATCH(AK$2,Inputs!$K$4:$AJ$4,0)))))</f>
        <v>2708</v>
      </c>
      <c r="AL28" s="268">
        <f>AK28</f>
        <v>2708</v>
      </c>
    </row>
    <row r="29" ht="12.75" customHeight="1" s="255">
      <c r="B29" s="265" t="n">
        <v>24</v>
      </c>
      <c r="C29" s="270" t="inlineStr">
        <is>
          <t>Accrued expenses</t>
        </is>
      </c>
      <c r="D29" s="267">
        <f>IF(ISNA(MATCH(D$2,Inputs!$K$4:$AJ$4,0)),NA(),IF(SUMPRODUCT((Inputs!$A$5:$A$120=$B29)*ISNUMBER(INDEX(Inputs!$K$5:$AJ$120,0,MATCH(D$2,Inputs!$K$4:$AJ$4,0))))+SUMPRODUCT((Inputs!$C$5:$C$120=$B29)*ISNUMBER(INDEX(Inputs!$K$5:$AJ$120,0,MATCH(D$2,Inputs!$K$4:$AJ$4,0))))+SUMPRODUCT((Inputs!$E$5:$E$120=$B29)*ISNUMBER(INDEX(Inputs!$K$5:$AJ$120,0,MATCH(D$2,Inputs!$K$4:$AJ$4,0))))=0,NA(),SUMPRODUCT((Inputs!$A$5:$A$120=$B29)*Inputs!$B$5:$B$120*(((Inputs!$G$5:$G$120="moeda")+(Inputs!$G$5:$G$120="acoes"))*Inputs!$B$1+((Inputs!$G$5:$G$120&lt;&gt;"moeda")*(Inputs!$G$5:$G$120&lt;&gt;"acoes")))*INDEX(Inputs!$K$5:$AJ$120,0,MATCH(D$2,Inputs!$K$4:$AJ$4,0)))+SUMPRODUCT((Inputs!$C$5:$C$120=$B29)*Inputs!$D$5:$D$120*(((Inputs!$G$5:$G$120="moeda")+(Inputs!$G$5:$G$120="acoes"))*Inputs!$B$1+((Inputs!$G$5:$G$120&lt;&gt;"moeda")*(Inputs!$G$5:$G$120&lt;&gt;"acoes")))*INDEX(Inputs!$K$5:$AJ$120,0,MATCH(D$2,Inputs!$K$4:$AJ$4,0)))+SUMPRODUCT((Inputs!$E$5:$E$120=$B29)*Inputs!$F$5:$F$120*(((Inputs!$G$5:$G$120="moeda")+(Inputs!$G$5:$G$120="acoes"))*Inputs!$B$1+((Inputs!$G$5:$G$120&lt;&gt;"moeda")*(Inputs!$G$5:$G$120&lt;&gt;"acoes")))*INDEX(Inputs!$K$5:$AJ$120,0,MATCH(D$2,Inputs!$K$4:$AJ$4,0)))))</f>
        <v>0</v>
      </c>
      <c r="E29" s="267">
        <f>IF(ISNA(MATCH(E$2,Inputs!$K$4:$AJ$4,0)),NA(),IF(SUMPRODUCT((Inputs!$A$5:$A$120=$B29)*ISNUMBER(INDEX(Inputs!$K$5:$AJ$120,0,MATCH(E$2,Inputs!$K$4:$AJ$4,0))))+SUMPRODUCT((Inputs!$C$5:$C$120=$B29)*ISNUMBER(INDEX(Inputs!$K$5:$AJ$120,0,MATCH(E$2,Inputs!$K$4:$AJ$4,0))))+SUMPRODUCT((Inputs!$E$5:$E$120=$B29)*ISNUMBER(INDEX(Inputs!$K$5:$AJ$120,0,MATCH(E$2,Inputs!$K$4:$AJ$4,0))))=0,NA(),SUMPRODUCT((Inputs!$A$5:$A$120=$B29)*Inputs!$B$5:$B$120*(((Inputs!$G$5:$G$120="moeda")+(Inputs!$G$5:$G$120="acoes"))*Inputs!$B$1+((Inputs!$G$5:$G$120&lt;&gt;"moeda")*(Inputs!$G$5:$G$120&lt;&gt;"acoes")))*INDEX(Inputs!$K$5:$AJ$120,0,MATCH(E$2,Inputs!$K$4:$AJ$4,0)))+SUMPRODUCT((Inputs!$C$5:$C$120=$B29)*Inputs!$D$5:$D$120*(((Inputs!$G$5:$G$120="moeda")+(Inputs!$G$5:$G$120="acoes"))*Inputs!$B$1+((Inputs!$G$5:$G$120&lt;&gt;"moeda")*(Inputs!$G$5:$G$120&lt;&gt;"acoes")))*INDEX(Inputs!$K$5:$AJ$120,0,MATCH(E$2,Inputs!$K$4:$AJ$4,0)))+SUMPRODUCT((Inputs!$E$5:$E$120=$B29)*Inputs!$F$5:$F$120*(((Inputs!$G$5:$G$120="moeda")+(Inputs!$G$5:$G$120="acoes"))*Inputs!$B$1+((Inputs!$G$5:$G$120&lt;&gt;"moeda")*(Inputs!$G$5:$G$120&lt;&gt;"acoes")))*INDEX(Inputs!$K$5:$AJ$120,0,MATCH(E$2,Inputs!$K$4:$AJ$4,0)))))</f>
        <v>0</v>
      </c>
      <c r="F29" s="267">
        <f>IF(ISNA(MATCH(F$2,Inputs!$K$4:$AJ$4,0)),NA(),IF(SUMPRODUCT((Inputs!$A$5:$A$120=$B29)*ISNUMBER(INDEX(Inputs!$K$5:$AJ$120,0,MATCH(F$2,Inputs!$K$4:$AJ$4,0))))+SUMPRODUCT((Inputs!$C$5:$C$120=$B29)*ISNUMBER(INDEX(Inputs!$K$5:$AJ$120,0,MATCH(F$2,Inputs!$K$4:$AJ$4,0))))+SUMPRODUCT((Inputs!$E$5:$E$120=$B29)*ISNUMBER(INDEX(Inputs!$K$5:$AJ$120,0,MATCH(F$2,Inputs!$K$4:$AJ$4,0))))=0,NA(),SUMPRODUCT((Inputs!$A$5:$A$120=$B29)*Inputs!$B$5:$B$120*(((Inputs!$G$5:$G$120="moeda")+(Inputs!$G$5:$G$120="acoes"))*Inputs!$B$1+((Inputs!$G$5:$G$120&lt;&gt;"moeda")*(Inputs!$G$5:$G$120&lt;&gt;"acoes")))*INDEX(Inputs!$K$5:$AJ$120,0,MATCH(F$2,Inputs!$K$4:$AJ$4,0)))+SUMPRODUCT((Inputs!$C$5:$C$120=$B29)*Inputs!$D$5:$D$120*(((Inputs!$G$5:$G$120="moeda")+(Inputs!$G$5:$G$120="acoes"))*Inputs!$B$1+((Inputs!$G$5:$G$120&lt;&gt;"moeda")*(Inputs!$G$5:$G$120&lt;&gt;"acoes")))*INDEX(Inputs!$K$5:$AJ$120,0,MATCH(F$2,Inputs!$K$4:$AJ$4,0)))+SUMPRODUCT((Inputs!$E$5:$E$120=$B29)*Inputs!$F$5:$F$120*(((Inputs!$G$5:$G$120="moeda")+(Inputs!$G$5:$G$120="acoes"))*Inputs!$B$1+((Inputs!$G$5:$G$120&lt;&gt;"moeda")*(Inputs!$G$5:$G$120&lt;&gt;"acoes")))*INDEX(Inputs!$K$5:$AJ$120,0,MATCH(F$2,Inputs!$K$4:$AJ$4,0)))))</f>
        <v>0</v>
      </c>
      <c r="G29" s="267">
        <f>IF(ISNA(MATCH(G$2,Inputs!$K$4:$AJ$4,0)),NA(),IF(SUMPRODUCT((Inputs!$A$5:$A$120=$B29)*ISNUMBER(INDEX(Inputs!$K$5:$AJ$120,0,MATCH(G$2,Inputs!$K$4:$AJ$4,0))))+SUMPRODUCT((Inputs!$C$5:$C$120=$B29)*ISNUMBER(INDEX(Inputs!$K$5:$AJ$120,0,MATCH(G$2,Inputs!$K$4:$AJ$4,0))))+SUMPRODUCT((Inputs!$E$5:$E$120=$B29)*ISNUMBER(INDEX(Inputs!$K$5:$AJ$120,0,MATCH(G$2,Inputs!$K$4:$AJ$4,0))))=0,NA(),SUMPRODUCT((Inputs!$A$5:$A$120=$B29)*Inputs!$B$5:$B$120*(((Inputs!$G$5:$G$120="moeda")+(Inputs!$G$5:$G$120="acoes"))*Inputs!$B$1+((Inputs!$G$5:$G$120&lt;&gt;"moeda")*(Inputs!$G$5:$G$120&lt;&gt;"acoes")))*INDEX(Inputs!$K$5:$AJ$120,0,MATCH(G$2,Inputs!$K$4:$AJ$4,0)))+SUMPRODUCT((Inputs!$C$5:$C$120=$B29)*Inputs!$D$5:$D$120*(((Inputs!$G$5:$G$120="moeda")+(Inputs!$G$5:$G$120="acoes"))*Inputs!$B$1+((Inputs!$G$5:$G$120&lt;&gt;"moeda")*(Inputs!$G$5:$G$120&lt;&gt;"acoes")))*INDEX(Inputs!$K$5:$AJ$120,0,MATCH(G$2,Inputs!$K$4:$AJ$4,0)))+SUMPRODUCT((Inputs!$E$5:$E$120=$B29)*Inputs!$F$5:$F$120*(((Inputs!$G$5:$G$120="moeda")+(Inputs!$G$5:$G$120="acoes"))*Inputs!$B$1+((Inputs!$G$5:$G$120&lt;&gt;"moeda")*(Inputs!$G$5:$G$120&lt;&gt;"acoes")))*INDEX(Inputs!$K$5:$AJ$120,0,MATCH(G$2,Inputs!$K$4:$AJ$4,0)))))</f>
        <v>0</v>
      </c>
      <c r="H29" s="268">
        <f>G29</f>
        <v>0</v>
      </c>
      <c r="I29" s="267">
        <f>IF(ISNA(MATCH(I$2,Inputs!$K$4:$AJ$4,0)),NA(),IF(SUMPRODUCT((Inputs!$A$5:$A$120=$B29)*ISNUMBER(INDEX(Inputs!$K$5:$AJ$120,0,MATCH(I$2,Inputs!$K$4:$AJ$4,0))))+SUMPRODUCT((Inputs!$C$5:$C$120=$B29)*ISNUMBER(INDEX(Inputs!$K$5:$AJ$120,0,MATCH(I$2,Inputs!$K$4:$AJ$4,0))))+SUMPRODUCT((Inputs!$E$5:$E$120=$B29)*ISNUMBER(INDEX(Inputs!$K$5:$AJ$120,0,MATCH(I$2,Inputs!$K$4:$AJ$4,0))))=0,NA(),SUMPRODUCT((Inputs!$A$5:$A$120=$B29)*Inputs!$B$5:$B$120*(((Inputs!$G$5:$G$120="moeda")+(Inputs!$G$5:$G$120="acoes"))*Inputs!$B$1+((Inputs!$G$5:$G$120&lt;&gt;"moeda")*(Inputs!$G$5:$G$120&lt;&gt;"acoes")))*INDEX(Inputs!$K$5:$AJ$120,0,MATCH(I$2,Inputs!$K$4:$AJ$4,0)))+SUMPRODUCT((Inputs!$C$5:$C$120=$B29)*Inputs!$D$5:$D$120*(((Inputs!$G$5:$G$120="moeda")+(Inputs!$G$5:$G$120="acoes"))*Inputs!$B$1+((Inputs!$G$5:$G$120&lt;&gt;"moeda")*(Inputs!$G$5:$G$120&lt;&gt;"acoes")))*INDEX(Inputs!$K$5:$AJ$120,0,MATCH(I$2,Inputs!$K$4:$AJ$4,0)))+SUMPRODUCT((Inputs!$E$5:$E$120=$B29)*Inputs!$F$5:$F$120*(((Inputs!$G$5:$G$120="moeda")+(Inputs!$G$5:$G$120="acoes"))*Inputs!$B$1+((Inputs!$G$5:$G$120&lt;&gt;"moeda")*(Inputs!$G$5:$G$120&lt;&gt;"acoes")))*INDEX(Inputs!$K$5:$AJ$120,0,MATCH(I$2,Inputs!$K$4:$AJ$4,0)))))</f>
        <v>0</v>
      </c>
      <c r="J29" s="267">
        <f>IF(ISNA(MATCH(J$2,Inputs!$K$4:$AJ$4,0)),NA(),IF(SUMPRODUCT((Inputs!$A$5:$A$120=$B29)*ISNUMBER(INDEX(Inputs!$K$5:$AJ$120,0,MATCH(J$2,Inputs!$K$4:$AJ$4,0))))+SUMPRODUCT((Inputs!$C$5:$C$120=$B29)*ISNUMBER(INDEX(Inputs!$K$5:$AJ$120,0,MATCH(J$2,Inputs!$K$4:$AJ$4,0))))+SUMPRODUCT((Inputs!$E$5:$E$120=$B29)*ISNUMBER(INDEX(Inputs!$K$5:$AJ$120,0,MATCH(J$2,Inputs!$K$4:$AJ$4,0))))=0,NA(),SUMPRODUCT((Inputs!$A$5:$A$120=$B29)*Inputs!$B$5:$B$120*(((Inputs!$G$5:$G$120="moeda")+(Inputs!$G$5:$G$120="acoes"))*Inputs!$B$1+((Inputs!$G$5:$G$120&lt;&gt;"moeda")*(Inputs!$G$5:$G$120&lt;&gt;"acoes")))*INDEX(Inputs!$K$5:$AJ$120,0,MATCH(J$2,Inputs!$K$4:$AJ$4,0)))+SUMPRODUCT((Inputs!$C$5:$C$120=$B29)*Inputs!$D$5:$D$120*(((Inputs!$G$5:$G$120="moeda")+(Inputs!$G$5:$G$120="acoes"))*Inputs!$B$1+((Inputs!$G$5:$G$120&lt;&gt;"moeda")*(Inputs!$G$5:$G$120&lt;&gt;"acoes")))*INDEX(Inputs!$K$5:$AJ$120,0,MATCH(J$2,Inputs!$K$4:$AJ$4,0)))+SUMPRODUCT((Inputs!$E$5:$E$120=$B29)*Inputs!$F$5:$F$120*(((Inputs!$G$5:$G$120="moeda")+(Inputs!$G$5:$G$120="acoes"))*Inputs!$B$1+((Inputs!$G$5:$G$120&lt;&gt;"moeda")*(Inputs!$G$5:$G$120&lt;&gt;"acoes")))*INDEX(Inputs!$K$5:$AJ$120,0,MATCH(J$2,Inputs!$K$4:$AJ$4,0)))))</f>
        <v>0</v>
      </c>
      <c r="K29" s="267">
        <f>IF(ISNA(MATCH(K$2,Inputs!$K$4:$AJ$4,0)),NA(),IF(SUMPRODUCT((Inputs!$A$5:$A$120=$B29)*ISNUMBER(INDEX(Inputs!$K$5:$AJ$120,0,MATCH(K$2,Inputs!$K$4:$AJ$4,0))))+SUMPRODUCT((Inputs!$C$5:$C$120=$B29)*ISNUMBER(INDEX(Inputs!$K$5:$AJ$120,0,MATCH(K$2,Inputs!$K$4:$AJ$4,0))))+SUMPRODUCT((Inputs!$E$5:$E$120=$B29)*ISNUMBER(INDEX(Inputs!$K$5:$AJ$120,0,MATCH(K$2,Inputs!$K$4:$AJ$4,0))))=0,NA(),SUMPRODUCT((Inputs!$A$5:$A$120=$B29)*Inputs!$B$5:$B$120*(((Inputs!$G$5:$G$120="moeda")+(Inputs!$G$5:$G$120="acoes"))*Inputs!$B$1+((Inputs!$G$5:$G$120&lt;&gt;"moeda")*(Inputs!$G$5:$G$120&lt;&gt;"acoes")))*INDEX(Inputs!$K$5:$AJ$120,0,MATCH(K$2,Inputs!$K$4:$AJ$4,0)))+SUMPRODUCT((Inputs!$C$5:$C$120=$B29)*Inputs!$D$5:$D$120*(((Inputs!$G$5:$G$120="moeda")+(Inputs!$G$5:$G$120="acoes"))*Inputs!$B$1+((Inputs!$G$5:$G$120&lt;&gt;"moeda")*(Inputs!$G$5:$G$120&lt;&gt;"acoes")))*INDEX(Inputs!$K$5:$AJ$120,0,MATCH(K$2,Inputs!$K$4:$AJ$4,0)))+SUMPRODUCT((Inputs!$E$5:$E$120=$B29)*Inputs!$F$5:$F$120*(((Inputs!$G$5:$G$120="moeda")+(Inputs!$G$5:$G$120="acoes"))*Inputs!$B$1+((Inputs!$G$5:$G$120&lt;&gt;"moeda")*(Inputs!$G$5:$G$120&lt;&gt;"acoes")))*INDEX(Inputs!$K$5:$AJ$120,0,MATCH(K$2,Inputs!$K$4:$AJ$4,0)))))</f>
        <v>0</v>
      </c>
      <c r="L29" s="267">
        <f>IF(ISNA(MATCH(L$2,Inputs!$K$4:$AJ$4,0)),NA(),IF(SUMPRODUCT((Inputs!$A$5:$A$120=$B29)*ISNUMBER(INDEX(Inputs!$K$5:$AJ$120,0,MATCH(L$2,Inputs!$K$4:$AJ$4,0))))+SUMPRODUCT((Inputs!$C$5:$C$120=$B29)*ISNUMBER(INDEX(Inputs!$K$5:$AJ$120,0,MATCH(L$2,Inputs!$K$4:$AJ$4,0))))+SUMPRODUCT((Inputs!$E$5:$E$120=$B29)*ISNUMBER(INDEX(Inputs!$K$5:$AJ$120,0,MATCH(L$2,Inputs!$K$4:$AJ$4,0))))=0,NA(),SUMPRODUCT((Inputs!$A$5:$A$120=$B29)*Inputs!$B$5:$B$120*(((Inputs!$G$5:$G$120="moeda")+(Inputs!$G$5:$G$120="acoes"))*Inputs!$B$1+((Inputs!$G$5:$G$120&lt;&gt;"moeda")*(Inputs!$G$5:$G$120&lt;&gt;"acoes")))*INDEX(Inputs!$K$5:$AJ$120,0,MATCH(L$2,Inputs!$K$4:$AJ$4,0)))+SUMPRODUCT((Inputs!$C$5:$C$120=$B29)*Inputs!$D$5:$D$120*(((Inputs!$G$5:$G$120="moeda")+(Inputs!$G$5:$G$120="acoes"))*Inputs!$B$1+((Inputs!$G$5:$G$120&lt;&gt;"moeda")*(Inputs!$G$5:$G$120&lt;&gt;"acoes")))*INDEX(Inputs!$K$5:$AJ$120,0,MATCH(L$2,Inputs!$K$4:$AJ$4,0)))+SUMPRODUCT((Inputs!$E$5:$E$120=$B29)*Inputs!$F$5:$F$120*(((Inputs!$G$5:$G$120="moeda")+(Inputs!$G$5:$G$120="acoes"))*Inputs!$B$1+((Inputs!$G$5:$G$120&lt;&gt;"moeda")*(Inputs!$G$5:$G$120&lt;&gt;"acoes")))*INDEX(Inputs!$K$5:$AJ$120,0,MATCH(L$2,Inputs!$K$4:$AJ$4,0)))))</f>
        <v>0</v>
      </c>
      <c r="M29" s="268">
        <f>L29</f>
        <v>0</v>
      </c>
      <c r="N29" s="267">
        <f>IF(ISNA(MATCH(N$2,Inputs!$K$4:$AJ$4,0)),NA(),IF(SUMPRODUCT((Inputs!$A$5:$A$120=$B29)*ISNUMBER(INDEX(Inputs!$K$5:$AJ$120,0,MATCH(N$2,Inputs!$K$4:$AJ$4,0))))+SUMPRODUCT((Inputs!$C$5:$C$120=$B29)*ISNUMBER(INDEX(Inputs!$K$5:$AJ$120,0,MATCH(N$2,Inputs!$K$4:$AJ$4,0))))+SUMPRODUCT((Inputs!$E$5:$E$120=$B29)*ISNUMBER(INDEX(Inputs!$K$5:$AJ$120,0,MATCH(N$2,Inputs!$K$4:$AJ$4,0))))=0,NA(),SUMPRODUCT((Inputs!$A$5:$A$120=$B29)*Inputs!$B$5:$B$120*(((Inputs!$G$5:$G$120="moeda")+(Inputs!$G$5:$G$120="acoes"))*Inputs!$B$1+((Inputs!$G$5:$G$120&lt;&gt;"moeda")*(Inputs!$G$5:$G$120&lt;&gt;"acoes")))*INDEX(Inputs!$K$5:$AJ$120,0,MATCH(N$2,Inputs!$K$4:$AJ$4,0)))+SUMPRODUCT((Inputs!$C$5:$C$120=$B29)*Inputs!$D$5:$D$120*(((Inputs!$G$5:$G$120="moeda")+(Inputs!$G$5:$G$120="acoes"))*Inputs!$B$1+((Inputs!$G$5:$G$120&lt;&gt;"moeda")*(Inputs!$G$5:$G$120&lt;&gt;"acoes")))*INDEX(Inputs!$K$5:$AJ$120,0,MATCH(N$2,Inputs!$K$4:$AJ$4,0)))+SUMPRODUCT((Inputs!$E$5:$E$120=$B29)*Inputs!$F$5:$F$120*(((Inputs!$G$5:$G$120="moeda")+(Inputs!$G$5:$G$120="acoes"))*Inputs!$B$1+((Inputs!$G$5:$G$120&lt;&gt;"moeda")*(Inputs!$G$5:$G$120&lt;&gt;"acoes")))*INDEX(Inputs!$K$5:$AJ$120,0,MATCH(N$2,Inputs!$K$4:$AJ$4,0)))))</f>
        <v>0</v>
      </c>
      <c r="O29" s="267">
        <f>IF(ISNA(MATCH(O$2,Inputs!$K$4:$AJ$4,0)),NA(),IF(SUMPRODUCT((Inputs!$A$5:$A$120=$B29)*ISNUMBER(INDEX(Inputs!$K$5:$AJ$120,0,MATCH(O$2,Inputs!$K$4:$AJ$4,0))))+SUMPRODUCT((Inputs!$C$5:$C$120=$B29)*ISNUMBER(INDEX(Inputs!$K$5:$AJ$120,0,MATCH(O$2,Inputs!$K$4:$AJ$4,0))))+SUMPRODUCT((Inputs!$E$5:$E$120=$B29)*ISNUMBER(INDEX(Inputs!$K$5:$AJ$120,0,MATCH(O$2,Inputs!$K$4:$AJ$4,0))))=0,NA(),SUMPRODUCT((Inputs!$A$5:$A$120=$B29)*Inputs!$B$5:$B$120*(((Inputs!$G$5:$G$120="moeda")+(Inputs!$G$5:$G$120="acoes"))*Inputs!$B$1+((Inputs!$G$5:$G$120&lt;&gt;"moeda")*(Inputs!$G$5:$G$120&lt;&gt;"acoes")))*INDEX(Inputs!$K$5:$AJ$120,0,MATCH(O$2,Inputs!$K$4:$AJ$4,0)))+SUMPRODUCT((Inputs!$C$5:$C$120=$B29)*Inputs!$D$5:$D$120*(((Inputs!$G$5:$G$120="moeda")+(Inputs!$G$5:$G$120="acoes"))*Inputs!$B$1+((Inputs!$G$5:$G$120&lt;&gt;"moeda")*(Inputs!$G$5:$G$120&lt;&gt;"acoes")))*INDEX(Inputs!$K$5:$AJ$120,0,MATCH(O$2,Inputs!$K$4:$AJ$4,0)))+SUMPRODUCT((Inputs!$E$5:$E$120=$B29)*Inputs!$F$5:$F$120*(((Inputs!$G$5:$G$120="moeda")+(Inputs!$G$5:$G$120="acoes"))*Inputs!$B$1+((Inputs!$G$5:$G$120&lt;&gt;"moeda")*(Inputs!$G$5:$G$120&lt;&gt;"acoes")))*INDEX(Inputs!$K$5:$AJ$120,0,MATCH(O$2,Inputs!$K$4:$AJ$4,0)))))</f>
        <v>0</v>
      </c>
      <c r="P29" s="267">
        <f>IF(ISNA(MATCH(P$2,Inputs!$K$4:$AJ$4,0)),NA(),IF(SUMPRODUCT((Inputs!$A$5:$A$120=$B29)*ISNUMBER(INDEX(Inputs!$K$5:$AJ$120,0,MATCH(P$2,Inputs!$K$4:$AJ$4,0))))+SUMPRODUCT((Inputs!$C$5:$C$120=$B29)*ISNUMBER(INDEX(Inputs!$K$5:$AJ$120,0,MATCH(P$2,Inputs!$K$4:$AJ$4,0))))+SUMPRODUCT((Inputs!$E$5:$E$120=$B29)*ISNUMBER(INDEX(Inputs!$K$5:$AJ$120,0,MATCH(P$2,Inputs!$K$4:$AJ$4,0))))=0,NA(),SUMPRODUCT((Inputs!$A$5:$A$120=$B29)*Inputs!$B$5:$B$120*(((Inputs!$G$5:$G$120="moeda")+(Inputs!$G$5:$G$120="acoes"))*Inputs!$B$1+((Inputs!$G$5:$G$120&lt;&gt;"moeda")*(Inputs!$G$5:$G$120&lt;&gt;"acoes")))*INDEX(Inputs!$K$5:$AJ$120,0,MATCH(P$2,Inputs!$K$4:$AJ$4,0)))+SUMPRODUCT((Inputs!$C$5:$C$120=$B29)*Inputs!$D$5:$D$120*(((Inputs!$G$5:$G$120="moeda")+(Inputs!$G$5:$G$120="acoes"))*Inputs!$B$1+((Inputs!$G$5:$G$120&lt;&gt;"moeda")*(Inputs!$G$5:$G$120&lt;&gt;"acoes")))*INDEX(Inputs!$K$5:$AJ$120,0,MATCH(P$2,Inputs!$K$4:$AJ$4,0)))+SUMPRODUCT((Inputs!$E$5:$E$120=$B29)*Inputs!$F$5:$F$120*(((Inputs!$G$5:$G$120="moeda")+(Inputs!$G$5:$G$120="acoes"))*Inputs!$B$1+((Inputs!$G$5:$G$120&lt;&gt;"moeda")*(Inputs!$G$5:$G$120&lt;&gt;"acoes")))*INDEX(Inputs!$K$5:$AJ$120,0,MATCH(P$2,Inputs!$K$4:$AJ$4,0)))))</f>
        <v>0</v>
      </c>
      <c r="Q29" s="267">
        <f>IF(ISNA(MATCH(Q$2,Inputs!$K$4:$AJ$4,0)),NA(),IF(SUMPRODUCT((Inputs!$A$5:$A$120=$B29)*ISNUMBER(INDEX(Inputs!$K$5:$AJ$120,0,MATCH(Q$2,Inputs!$K$4:$AJ$4,0))))+SUMPRODUCT((Inputs!$C$5:$C$120=$B29)*ISNUMBER(INDEX(Inputs!$K$5:$AJ$120,0,MATCH(Q$2,Inputs!$K$4:$AJ$4,0))))+SUMPRODUCT((Inputs!$E$5:$E$120=$B29)*ISNUMBER(INDEX(Inputs!$K$5:$AJ$120,0,MATCH(Q$2,Inputs!$K$4:$AJ$4,0))))=0,NA(),SUMPRODUCT((Inputs!$A$5:$A$120=$B29)*Inputs!$B$5:$B$120*(((Inputs!$G$5:$G$120="moeda")+(Inputs!$G$5:$G$120="acoes"))*Inputs!$B$1+((Inputs!$G$5:$G$120&lt;&gt;"moeda")*(Inputs!$G$5:$G$120&lt;&gt;"acoes")))*INDEX(Inputs!$K$5:$AJ$120,0,MATCH(Q$2,Inputs!$K$4:$AJ$4,0)))+SUMPRODUCT((Inputs!$C$5:$C$120=$B29)*Inputs!$D$5:$D$120*(((Inputs!$G$5:$G$120="moeda")+(Inputs!$G$5:$G$120="acoes"))*Inputs!$B$1+((Inputs!$G$5:$G$120&lt;&gt;"moeda")*(Inputs!$G$5:$G$120&lt;&gt;"acoes")))*INDEX(Inputs!$K$5:$AJ$120,0,MATCH(Q$2,Inputs!$K$4:$AJ$4,0)))+SUMPRODUCT((Inputs!$E$5:$E$120=$B29)*Inputs!$F$5:$F$120*(((Inputs!$G$5:$G$120="moeda")+(Inputs!$G$5:$G$120="acoes"))*Inputs!$B$1+((Inputs!$G$5:$G$120&lt;&gt;"moeda")*(Inputs!$G$5:$G$120&lt;&gt;"acoes")))*INDEX(Inputs!$K$5:$AJ$120,0,MATCH(Q$2,Inputs!$K$4:$AJ$4,0)))))</f>
        <v>0</v>
      </c>
      <c r="R29" s="268">
        <f>Q29</f>
        <v>0</v>
      </c>
      <c r="S29" s="267">
        <f>IF(ISNA(MATCH(S$2,Inputs!$K$4:$AJ$4,0)),NA(),IF(SUMPRODUCT((Inputs!$A$5:$A$120=$B29)*ISNUMBER(INDEX(Inputs!$K$5:$AJ$120,0,MATCH(S$2,Inputs!$K$4:$AJ$4,0))))+SUMPRODUCT((Inputs!$C$5:$C$120=$B29)*ISNUMBER(INDEX(Inputs!$K$5:$AJ$120,0,MATCH(S$2,Inputs!$K$4:$AJ$4,0))))+SUMPRODUCT((Inputs!$E$5:$E$120=$B29)*ISNUMBER(INDEX(Inputs!$K$5:$AJ$120,0,MATCH(S$2,Inputs!$K$4:$AJ$4,0))))=0,NA(),SUMPRODUCT((Inputs!$A$5:$A$120=$B29)*Inputs!$B$5:$B$120*(((Inputs!$G$5:$G$120="moeda")+(Inputs!$G$5:$G$120="acoes"))*Inputs!$B$1+((Inputs!$G$5:$G$120&lt;&gt;"moeda")*(Inputs!$G$5:$G$120&lt;&gt;"acoes")))*INDEX(Inputs!$K$5:$AJ$120,0,MATCH(S$2,Inputs!$K$4:$AJ$4,0)))+SUMPRODUCT((Inputs!$C$5:$C$120=$B29)*Inputs!$D$5:$D$120*(((Inputs!$G$5:$G$120="moeda")+(Inputs!$G$5:$G$120="acoes"))*Inputs!$B$1+((Inputs!$G$5:$G$120&lt;&gt;"moeda")*(Inputs!$G$5:$G$120&lt;&gt;"acoes")))*INDEX(Inputs!$K$5:$AJ$120,0,MATCH(S$2,Inputs!$K$4:$AJ$4,0)))+SUMPRODUCT((Inputs!$E$5:$E$120=$B29)*Inputs!$F$5:$F$120*(((Inputs!$G$5:$G$120="moeda")+(Inputs!$G$5:$G$120="acoes"))*Inputs!$B$1+((Inputs!$G$5:$G$120&lt;&gt;"moeda")*(Inputs!$G$5:$G$120&lt;&gt;"acoes")))*INDEX(Inputs!$K$5:$AJ$120,0,MATCH(S$2,Inputs!$K$4:$AJ$4,0)))))</f>
        <v>0</v>
      </c>
      <c r="T29" s="267">
        <f>IF(ISNA(MATCH(T$2,Inputs!$K$4:$AJ$4,0)),NA(),IF(SUMPRODUCT((Inputs!$A$5:$A$120=$B29)*ISNUMBER(INDEX(Inputs!$K$5:$AJ$120,0,MATCH(T$2,Inputs!$K$4:$AJ$4,0))))+SUMPRODUCT((Inputs!$C$5:$C$120=$B29)*ISNUMBER(INDEX(Inputs!$K$5:$AJ$120,0,MATCH(T$2,Inputs!$K$4:$AJ$4,0))))+SUMPRODUCT((Inputs!$E$5:$E$120=$B29)*ISNUMBER(INDEX(Inputs!$K$5:$AJ$120,0,MATCH(T$2,Inputs!$K$4:$AJ$4,0))))=0,NA(),SUMPRODUCT((Inputs!$A$5:$A$120=$B29)*Inputs!$B$5:$B$120*(((Inputs!$G$5:$G$120="moeda")+(Inputs!$G$5:$G$120="acoes"))*Inputs!$B$1+((Inputs!$G$5:$G$120&lt;&gt;"moeda")*(Inputs!$G$5:$G$120&lt;&gt;"acoes")))*INDEX(Inputs!$K$5:$AJ$120,0,MATCH(T$2,Inputs!$K$4:$AJ$4,0)))+SUMPRODUCT((Inputs!$C$5:$C$120=$B29)*Inputs!$D$5:$D$120*(((Inputs!$G$5:$G$120="moeda")+(Inputs!$G$5:$G$120="acoes"))*Inputs!$B$1+((Inputs!$G$5:$G$120&lt;&gt;"moeda")*(Inputs!$G$5:$G$120&lt;&gt;"acoes")))*INDEX(Inputs!$K$5:$AJ$120,0,MATCH(T$2,Inputs!$K$4:$AJ$4,0)))+SUMPRODUCT((Inputs!$E$5:$E$120=$B29)*Inputs!$F$5:$F$120*(((Inputs!$G$5:$G$120="moeda")+(Inputs!$G$5:$G$120="acoes"))*Inputs!$B$1+((Inputs!$G$5:$G$120&lt;&gt;"moeda")*(Inputs!$G$5:$G$120&lt;&gt;"acoes")))*INDEX(Inputs!$K$5:$AJ$120,0,MATCH(T$2,Inputs!$K$4:$AJ$4,0)))))</f>
        <v>0</v>
      </c>
      <c r="U29" s="267">
        <f>IF(ISNA(MATCH(U$2,Inputs!$K$4:$AJ$4,0)),NA(),IF(SUMPRODUCT((Inputs!$A$5:$A$120=$B29)*ISNUMBER(INDEX(Inputs!$K$5:$AJ$120,0,MATCH(U$2,Inputs!$K$4:$AJ$4,0))))+SUMPRODUCT((Inputs!$C$5:$C$120=$B29)*ISNUMBER(INDEX(Inputs!$K$5:$AJ$120,0,MATCH(U$2,Inputs!$K$4:$AJ$4,0))))+SUMPRODUCT((Inputs!$E$5:$E$120=$B29)*ISNUMBER(INDEX(Inputs!$K$5:$AJ$120,0,MATCH(U$2,Inputs!$K$4:$AJ$4,0))))=0,NA(),SUMPRODUCT((Inputs!$A$5:$A$120=$B29)*Inputs!$B$5:$B$120*(((Inputs!$G$5:$G$120="moeda")+(Inputs!$G$5:$G$120="acoes"))*Inputs!$B$1+((Inputs!$G$5:$G$120&lt;&gt;"moeda")*(Inputs!$G$5:$G$120&lt;&gt;"acoes")))*INDEX(Inputs!$K$5:$AJ$120,0,MATCH(U$2,Inputs!$K$4:$AJ$4,0)))+SUMPRODUCT((Inputs!$C$5:$C$120=$B29)*Inputs!$D$5:$D$120*(((Inputs!$G$5:$G$120="moeda")+(Inputs!$G$5:$G$120="acoes"))*Inputs!$B$1+((Inputs!$G$5:$G$120&lt;&gt;"moeda")*(Inputs!$G$5:$G$120&lt;&gt;"acoes")))*INDEX(Inputs!$K$5:$AJ$120,0,MATCH(U$2,Inputs!$K$4:$AJ$4,0)))+SUMPRODUCT((Inputs!$E$5:$E$120=$B29)*Inputs!$F$5:$F$120*(((Inputs!$G$5:$G$120="moeda")+(Inputs!$G$5:$G$120="acoes"))*Inputs!$B$1+((Inputs!$G$5:$G$120&lt;&gt;"moeda")*(Inputs!$G$5:$G$120&lt;&gt;"acoes")))*INDEX(Inputs!$K$5:$AJ$120,0,MATCH(U$2,Inputs!$K$4:$AJ$4,0)))))</f>
        <v>0</v>
      </c>
      <c r="V29" s="267">
        <f>IF(ISNA(MATCH(V$2,Inputs!$K$4:$AJ$4,0)),NA(),IF(SUMPRODUCT((Inputs!$A$5:$A$120=$B29)*ISNUMBER(INDEX(Inputs!$K$5:$AJ$120,0,MATCH(V$2,Inputs!$K$4:$AJ$4,0))))+SUMPRODUCT((Inputs!$C$5:$C$120=$B29)*ISNUMBER(INDEX(Inputs!$K$5:$AJ$120,0,MATCH(V$2,Inputs!$K$4:$AJ$4,0))))+SUMPRODUCT((Inputs!$E$5:$E$120=$B29)*ISNUMBER(INDEX(Inputs!$K$5:$AJ$120,0,MATCH(V$2,Inputs!$K$4:$AJ$4,0))))=0,NA(),SUMPRODUCT((Inputs!$A$5:$A$120=$B29)*Inputs!$B$5:$B$120*(((Inputs!$G$5:$G$120="moeda")+(Inputs!$G$5:$G$120="acoes"))*Inputs!$B$1+((Inputs!$G$5:$G$120&lt;&gt;"moeda")*(Inputs!$G$5:$G$120&lt;&gt;"acoes")))*INDEX(Inputs!$K$5:$AJ$120,0,MATCH(V$2,Inputs!$K$4:$AJ$4,0)))+SUMPRODUCT((Inputs!$C$5:$C$120=$B29)*Inputs!$D$5:$D$120*(((Inputs!$G$5:$G$120="moeda")+(Inputs!$G$5:$G$120="acoes"))*Inputs!$B$1+((Inputs!$G$5:$G$120&lt;&gt;"moeda")*(Inputs!$G$5:$G$120&lt;&gt;"acoes")))*INDEX(Inputs!$K$5:$AJ$120,0,MATCH(V$2,Inputs!$K$4:$AJ$4,0)))+SUMPRODUCT((Inputs!$E$5:$E$120=$B29)*Inputs!$F$5:$F$120*(((Inputs!$G$5:$G$120="moeda")+(Inputs!$G$5:$G$120="acoes"))*Inputs!$B$1+((Inputs!$G$5:$G$120&lt;&gt;"moeda")*(Inputs!$G$5:$G$120&lt;&gt;"acoes")))*INDEX(Inputs!$K$5:$AJ$120,0,MATCH(V$2,Inputs!$K$4:$AJ$4,0)))))</f>
        <v>0</v>
      </c>
      <c r="W29" s="268">
        <f>V29</f>
        <v>0</v>
      </c>
      <c r="X29" s="267">
        <f>IF(ISNA(MATCH(X$2,Inputs!$K$4:$AJ$4,0)),NA(),IF(SUMPRODUCT((Inputs!$A$5:$A$120=$B29)*ISNUMBER(INDEX(Inputs!$K$5:$AJ$120,0,MATCH(X$2,Inputs!$K$4:$AJ$4,0))))+SUMPRODUCT((Inputs!$C$5:$C$120=$B29)*ISNUMBER(INDEX(Inputs!$K$5:$AJ$120,0,MATCH(X$2,Inputs!$K$4:$AJ$4,0))))+SUMPRODUCT((Inputs!$E$5:$E$120=$B29)*ISNUMBER(INDEX(Inputs!$K$5:$AJ$120,0,MATCH(X$2,Inputs!$K$4:$AJ$4,0))))=0,NA(),SUMPRODUCT((Inputs!$A$5:$A$120=$B29)*Inputs!$B$5:$B$120*(((Inputs!$G$5:$G$120="moeda")+(Inputs!$G$5:$G$120="acoes"))*Inputs!$B$1+((Inputs!$G$5:$G$120&lt;&gt;"moeda")*(Inputs!$G$5:$G$120&lt;&gt;"acoes")))*INDEX(Inputs!$K$5:$AJ$120,0,MATCH(X$2,Inputs!$K$4:$AJ$4,0)))+SUMPRODUCT((Inputs!$C$5:$C$120=$B29)*Inputs!$D$5:$D$120*(((Inputs!$G$5:$G$120="moeda")+(Inputs!$G$5:$G$120="acoes"))*Inputs!$B$1+((Inputs!$G$5:$G$120&lt;&gt;"moeda")*(Inputs!$G$5:$G$120&lt;&gt;"acoes")))*INDEX(Inputs!$K$5:$AJ$120,0,MATCH(X$2,Inputs!$K$4:$AJ$4,0)))+SUMPRODUCT((Inputs!$E$5:$E$120=$B29)*Inputs!$F$5:$F$120*(((Inputs!$G$5:$G$120="moeda")+(Inputs!$G$5:$G$120="acoes"))*Inputs!$B$1+((Inputs!$G$5:$G$120&lt;&gt;"moeda")*(Inputs!$G$5:$G$120&lt;&gt;"acoes")))*INDEX(Inputs!$K$5:$AJ$120,0,MATCH(X$2,Inputs!$K$4:$AJ$4,0)))))</f>
        <v>0</v>
      </c>
      <c r="Y29" s="267">
        <f>IF(ISNA(MATCH(Y$2,Inputs!$K$4:$AJ$4,0)),NA(),IF(SUMPRODUCT((Inputs!$A$5:$A$120=$B29)*ISNUMBER(INDEX(Inputs!$K$5:$AJ$120,0,MATCH(Y$2,Inputs!$K$4:$AJ$4,0))))+SUMPRODUCT((Inputs!$C$5:$C$120=$B29)*ISNUMBER(INDEX(Inputs!$K$5:$AJ$120,0,MATCH(Y$2,Inputs!$K$4:$AJ$4,0))))+SUMPRODUCT((Inputs!$E$5:$E$120=$B29)*ISNUMBER(INDEX(Inputs!$K$5:$AJ$120,0,MATCH(Y$2,Inputs!$K$4:$AJ$4,0))))=0,NA(),SUMPRODUCT((Inputs!$A$5:$A$120=$B29)*Inputs!$B$5:$B$120*(((Inputs!$G$5:$G$120="moeda")+(Inputs!$G$5:$G$120="acoes"))*Inputs!$B$1+((Inputs!$G$5:$G$120&lt;&gt;"moeda")*(Inputs!$G$5:$G$120&lt;&gt;"acoes")))*INDEX(Inputs!$K$5:$AJ$120,0,MATCH(Y$2,Inputs!$K$4:$AJ$4,0)))+SUMPRODUCT((Inputs!$C$5:$C$120=$B29)*Inputs!$D$5:$D$120*(((Inputs!$G$5:$G$120="moeda")+(Inputs!$G$5:$G$120="acoes"))*Inputs!$B$1+((Inputs!$G$5:$G$120&lt;&gt;"moeda")*(Inputs!$G$5:$G$120&lt;&gt;"acoes")))*INDEX(Inputs!$K$5:$AJ$120,0,MATCH(Y$2,Inputs!$K$4:$AJ$4,0)))+SUMPRODUCT((Inputs!$E$5:$E$120=$B29)*Inputs!$F$5:$F$120*(((Inputs!$G$5:$G$120="moeda")+(Inputs!$G$5:$G$120="acoes"))*Inputs!$B$1+((Inputs!$G$5:$G$120&lt;&gt;"moeda")*(Inputs!$G$5:$G$120&lt;&gt;"acoes")))*INDEX(Inputs!$K$5:$AJ$120,0,MATCH(Y$2,Inputs!$K$4:$AJ$4,0)))))</f>
        <v>0</v>
      </c>
      <c r="Z29" s="267">
        <f>IF(ISNA(MATCH(Z$2,Inputs!$K$4:$AJ$4,0)),NA(),IF(SUMPRODUCT((Inputs!$A$5:$A$120=$B29)*ISNUMBER(INDEX(Inputs!$K$5:$AJ$120,0,MATCH(Z$2,Inputs!$K$4:$AJ$4,0))))+SUMPRODUCT((Inputs!$C$5:$C$120=$B29)*ISNUMBER(INDEX(Inputs!$K$5:$AJ$120,0,MATCH(Z$2,Inputs!$K$4:$AJ$4,0))))+SUMPRODUCT((Inputs!$E$5:$E$120=$B29)*ISNUMBER(INDEX(Inputs!$K$5:$AJ$120,0,MATCH(Z$2,Inputs!$K$4:$AJ$4,0))))=0,NA(),SUMPRODUCT((Inputs!$A$5:$A$120=$B29)*Inputs!$B$5:$B$120*(((Inputs!$G$5:$G$120="moeda")+(Inputs!$G$5:$G$120="acoes"))*Inputs!$B$1+((Inputs!$G$5:$G$120&lt;&gt;"moeda")*(Inputs!$G$5:$G$120&lt;&gt;"acoes")))*INDEX(Inputs!$K$5:$AJ$120,0,MATCH(Z$2,Inputs!$K$4:$AJ$4,0)))+SUMPRODUCT((Inputs!$C$5:$C$120=$B29)*Inputs!$D$5:$D$120*(((Inputs!$G$5:$G$120="moeda")+(Inputs!$G$5:$G$120="acoes"))*Inputs!$B$1+((Inputs!$G$5:$G$120&lt;&gt;"moeda")*(Inputs!$G$5:$G$120&lt;&gt;"acoes")))*INDEX(Inputs!$K$5:$AJ$120,0,MATCH(Z$2,Inputs!$K$4:$AJ$4,0)))+SUMPRODUCT((Inputs!$E$5:$E$120=$B29)*Inputs!$F$5:$F$120*(((Inputs!$G$5:$G$120="moeda")+(Inputs!$G$5:$G$120="acoes"))*Inputs!$B$1+((Inputs!$G$5:$G$120&lt;&gt;"moeda")*(Inputs!$G$5:$G$120&lt;&gt;"acoes")))*INDEX(Inputs!$K$5:$AJ$120,0,MATCH(Z$2,Inputs!$K$4:$AJ$4,0)))))</f>
        <v>0</v>
      </c>
      <c r="AA29" s="267">
        <f>IF(ISNA(MATCH(AA$2,Inputs!$K$4:$AJ$4,0)),NA(),IF(SUMPRODUCT((Inputs!$A$5:$A$120=$B29)*ISNUMBER(INDEX(Inputs!$K$5:$AJ$120,0,MATCH(AA$2,Inputs!$K$4:$AJ$4,0))))+SUMPRODUCT((Inputs!$C$5:$C$120=$B29)*ISNUMBER(INDEX(Inputs!$K$5:$AJ$120,0,MATCH(AA$2,Inputs!$K$4:$AJ$4,0))))+SUMPRODUCT((Inputs!$E$5:$E$120=$B29)*ISNUMBER(INDEX(Inputs!$K$5:$AJ$120,0,MATCH(AA$2,Inputs!$K$4:$AJ$4,0))))=0,NA(),SUMPRODUCT((Inputs!$A$5:$A$120=$B29)*Inputs!$B$5:$B$120*(((Inputs!$G$5:$G$120="moeda")+(Inputs!$G$5:$G$120="acoes"))*Inputs!$B$1+((Inputs!$G$5:$G$120&lt;&gt;"moeda")*(Inputs!$G$5:$G$120&lt;&gt;"acoes")))*INDEX(Inputs!$K$5:$AJ$120,0,MATCH(AA$2,Inputs!$K$4:$AJ$4,0)))+SUMPRODUCT((Inputs!$C$5:$C$120=$B29)*Inputs!$D$5:$D$120*(((Inputs!$G$5:$G$120="moeda")+(Inputs!$G$5:$G$120="acoes"))*Inputs!$B$1+((Inputs!$G$5:$G$120&lt;&gt;"moeda")*(Inputs!$G$5:$G$120&lt;&gt;"acoes")))*INDEX(Inputs!$K$5:$AJ$120,0,MATCH(AA$2,Inputs!$K$4:$AJ$4,0)))+SUMPRODUCT((Inputs!$E$5:$E$120=$B29)*Inputs!$F$5:$F$120*(((Inputs!$G$5:$G$120="moeda")+(Inputs!$G$5:$G$120="acoes"))*Inputs!$B$1+((Inputs!$G$5:$G$120&lt;&gt;"moeda")*(Inputs!$G$5:$G$120&lt;&gt;"acoes")))*INDEX(Inputs!$K$5:$AJ$120,0,MATCH(AA$2,Inputs!$K$4:$AJ$4,0)))))</f>
        <v>0</v>
      </c>
      <c r="AB29" s="268">
        <f>AA29</f>
        <v>0</v>
      </c>
      <c r="AC29" s="267">
        <f>IF(ISNA(MATCH(AC$2,Inputs!$K$4:$AJ$4,0)),NA(),IF(SUMPRODUCT((Inputs!$A$5:$A$120=$B29)*ISNUMBER(INDEX(Inputs!$K$5:$AJ$120,0,MATCH(AC$2,Inputs!$K$4:$AJ$4,0))))+SUMPRODUCT((Inputs!$C$5:$C$120=$B29)*ISNUMBER(INDEX(Inputs!$K$5:$AJ$120,0,MATCH(AC$2,Inputs!$K$4:$AJ$4,0))))+SUMPRODUCT((Inputs!$E$5:$E$120=$B29)*ISNUMBER(INDEX(Inputs!$K$5:$AJ$120,0,MATCH(AC$2,Inputs!$K$4:$AJ$4,0))))=0,NA(),SUMPRODUCT((Inputs!$A$5:$A$120=$B29)*Inputs!$B$5:$B$120*(((Inputs!$G$5:$G$120="moeda")+(Inputs!$G$5:$G$120="acoes"))*Inputs!$B$1+((Inputs!$G$5:$G$120&lt;&gt;"moeda")*(Inputs!$G$5:$G$120&lt;&gt;"acoes")))*INDEX(Inputs!$K$5:$AJ$120,0,MATCH(AC$2,Inputs!$K$4:$AJ$4,0)))+SUMPRODUCT((Inputs!$C$5:$C$120=$B29)*Inputs!$D$5:$D$120*(((Inputs!$G$5:$G$120="moeda")+(Inputs!$G$5:$G$120="acoes"))*Inputs!$B$1+((Inputs!$G$5:$G$120&lt;&gt;"moeda")*(Inputs!$G$5:$G$120&lt;&gt;"acoes")))*INDEX(Inputs!$K$5:$AJ$120,0,MATCH(AC$2,Inputs!$K$4:$AJ$4,0)))+SUMPRODUCT((Inputs!$E$5:$E$120=$B29)*Inputs!$F$5:$F$120*(((Inputs!$G$5:$G$120="moeda")+(Inputs!$G$5:$G$120="acoes"))*Inputs!$B$1+((Inputs!$G$5:$G$120&lt;&gt;"moeda")*(Inputs!$G$5:$G$120&lt;&gt;"acoes")))*INDEX(Inputs!$K$5:$AJ$120,0,MATCH(AC$2,Inputs!$K$4:$AJ$4,0)))))</f>
        <v>0</v>
      </c>
      <c r="AD29" s="267">
        <f>IF(ISNA(MATCH(AD$2,Inputs!$K$4:$AJ$4,0)),NA(),IF(SUMPRODUCT((Inputs!$A$5:$A$120=$B29)*ISNUMBER(INDEX(Inputs!$K$5:$AJ$120,0,MATCH(AD$2,Inputs!$K$4:$AJ$4,0))))+SUMPRODUCT((Inputs!$C$5:$C$120=$B29)*ISNUMBER(INDEX(Inputs!$K$5:$AJ$120,0,MATCH(AD$2,Inputs!$K$4:$AJ$4,0))))+SUMPRODUCT((Inputs!$E$5:$E$120=$B29)*ISNUMBER(INDEX(Inputs!$K$5:$AJ$120,0,MATCH(AD$2,Inputs!$K$4:$AJ$4,0))))=0,NA(),SUMPRODUCT((Inputs!$A$5:$A$120=$B29)*Inputs!$B$5:$B$120*(((Inputs!$G$5:$G$120="moeda")+(Inputs!$G$5:$G$120="acoes"))*Inputs!$B$1+((Inputs!$G$5:$G$120&lt;&gt;"moeda")*(Inputs!$G$5:$G$120&lt;&gt;"acoes")))*INDEX(Inputs!$K$5:$AJ$120,0,MATCH(AD$2,Inputs!$K$4:$AJ$4,0)))+SUMPRODUCT((Inputs!$C$5:$C$120=$B29)*Inputs!$D$5:$D$120*(((Inputs!$G$5:$G$120="moeda")+(Inputs!$G$5:$G$120="acoes"))*Inputs!$B$1+((Inputs!$G$5:$G$120&lt;&gt;"moeda")*(Inputs!$G$5:$G$120&lt;&gt;"acoes")))*INDEX(Inputs!$K$5:$AJ$120,0,MATCH(AD$2,Inputs!$K$4:$AJ$4,0)))+SUMPRODUCT((Inputs!$E$5:$E$120=$B29)*Inputs!$F$5:$F$120*(((Inputs!$G$5:$G$120="moeda")+(Inputs!$G$5:$G$120="acoes"))*Inputs!$B$1+((Inputs!$G$5:$G$120&lt;&gt;"moeda")*(Inputs!$G$5:$G$120&lt;&gt;"acoes")))*INDEX(Inputs!$K$5:$AJ$120,0,MATCH(AD$2,Inputs!$K$4:$AJ$4,0)))))</f>
        <v>0</v>
      </c>
      <c r="AE29" s="267" t="e">
        <f>IF(ISNA(MATCH(AE$2,Inputs!$K$4:$AJ$4,0)),NA(),IF(SUMPRODUCT((Inputs!$A$5:$A$120=$B29)*ISNUMBER(INDEX(Inputs!$K$5:$AJ$120,0,MATCH(AE$2,Inputs!$K$4:$AJ$4,0))))+SUMPRODUCT((Inputs!$C$5:$C$120=$B29)*ISNUMBER(INDEX(Inputs!$K$5:$AJ$120,0,MATCH(AE$2,Inputs!$K$4:$AJ$4,0))))+SUMPRODUCT((Inputs!$E$5:$E$120=$B29)*ISNUMBER(INDEX(Inputs!$K$5:$AJ$120,0,MATCH(AE$2,Inputs!$K$4:$AJ$4,0))))=0,NA(),SUMPRODUCT((Inputs!$A$5:$A$120=$B29)*Inputs!$B$5:$B$120*(((Inputs!$G$5:$G$120="moeda")+(Inputs!$G$5:$G$120="acoes"))*Inputs!$B$1+((Inputs!$G$5:$G$120&lt;&gt;"moeda")*(Inputs!$G$5:$G$120&lt;&gt;"acoes")))*INDEX(Inputs!$K$5:$AJ$120,0,MATCH(AE$2,Inputs!$K$4:$AJ$4,0)))+SUMPRODUCT((Inputs!$C$5:$C$120=$B29)*Inputs!$D$5:$D$120*(((Inputs!$G$5:$G$120="moeda")+(Inputs!$G$5:$G$120="acoes"))*Inputs!$B$1+((Inputs!$G$5:$G$120&lt;&gt;"moeda")*(Inputs!$G$5:$G$120&lt;&gt;"acoes")))*INDEX(Inputs!$K$5:$AJ$120,0,MATCH(AE$2,Inputs!$K$4:$AJ$4,0)))+SUMPRODUCT((Inputs!$E$5:$E$120=$B29)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29" s="267" t="e">
        <f>IF(ISNA(MATCH(AF$2,Inputs!$K$4:$AJ$4,0)),NA(),IF(SUMPRODUCT((Inputs!$A$5:$A$120=$B29)*ISNUMBER(INDEX(Inputs!$K$5:$AJ$120,0,MATCH(AF$2,Inputs!$K$4:$AJ$4,0))))+SUMPRODUCT((Inputs!$C$5:$C$120=$B29)*ISNUMBER(INDEX(Inputs!$K$5:$AJ$120,0,MATCH(AF$2,Inputs!$K$4:$AJ$4,0))))+SUMPRODUCT((Inputs!$E$5:$E$120=$B29)*ISNUMBER(INDEX(Inputs!$K$5:$AJ$120,0,MATCH(AF$2,Inputs!$K$4:$AJ$4,0))))=0,NA(),SUMPRODUCT((Inputs!$A$5:$A$120=$B29)*Inputs!$B$5:$B$120*(((Inputs!$G$5:$G$120="moeda")+(Inputs!$G$5:$G$120="acoes"))*Inputs!$B$1+((Inputs!$G$5:$G$120&lt;&gt;"moeda")*(Inputs!$G$5:$G$120&lt;&gt;"acoes")))*INDEX(Inputs!$K$5:$AJ$120,0,MATCH(AF$2,Inputs!$K$4:$AJ$4,0)))+SUMPRODUCT((Inputs!$C$5:$C$120=$B29)*Inputs!$D$5:$D$120*(((Inputs!$G$5:$G$120="moeda")+(Inputs!$G$5:$G$120="acoes"))*Inputs!$B$1+((Inputs!$G$5:$G$120&lt;&gt;"moeda")*(Inputs!$G$5:$G$120&lt;&gt;"acoes")))*INDEX(Inputs!$K$5:$AJ$120,0,MATCH(AF$2,Inputs!$K$4:$AJ$4,0)))+SUMPRODUCT((Inputs!$E$5:$E$120=$B29)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29" s="268" t="e">
        <f>AF29</f>
        <v>#N/A</v>
      </c>
      <c r="AH29" s="267">
        <f>IF(ISNA(MATCH(AH$2,Inputs!$K$4:$AJ$4,0)),NA(),IF(SUMPRODUCT((Inputs!$A$5:$A$120=$B29)*ISNUMBER(INDEX(Inputs!$K$5:$AJ$120,0,MATCH(AH$2,Inputs!$K$4:$AJ$4,0))))+SUMPRODUCT((Inputs!$C$5:$C$120=$B29)*ISNUMBER(INDEX(Inputs!$K$5:$AJ$120,0,MATCH(AH$2,Inputs!$K$4:$AJ$4,0))))+SUMPRODUCT((Inputs!$E$5:$E$120=$B29)*ISNUMBER(INDEX(Inputs!$K$5:$AJ$120,0,MATCH(AH$2,Inputs!$K$4:$AJ$4,0))))=0,NA(),SUMPRODUCT((Inputs!$A$5:$A$120=$B29)*Inputs!$B$5:$B$120*(((Inputs!$G$5:$G$120="moeda")+(Inputs!$G$5:$G$120="acoes"))*Inputs!$B$1+((Inputs!$G$5:$G$120&lt;&gt;"moeda")*(Inputs!$G$5:$G$120&lt;&gt;"acoes")))*INDEX(Inputs!$K$5:$AJ$120,0,MATCH(AH$2,Inputs!$K$4:$AJ$4,0)))+SUMPRODUCT((Inputs!$C$5:$C$120=$B29)*Inputs!$D$5:$D$120*(((Inputs!$G$5:$G$120="moeda")+(Inputs!$G$5:$G$120="acoes"))*Inputs!$B$1+((Inputs!$G$5:$G$120&lt;&gt;"moeda")*(Inputs!$G$5:$G$120&lt;&gt;"acoes")))*INDEX(Inputs!$K$5:$AJ$120,0,MATCH(AH$2,Inputs!$K$4:$AJ$4,0)))+SUMPRODUCT((Inputs!$E$5:$E$120=$B29)*Inputs!$F$5:$F$120*(((Inputs!$G$5:$G$120="moeda")+(Inputs!$G$5:$G$120="acoes"))*Inputs!$B$1+((Inputs!$G$5:$G$120&lt;&gt;"moeda")*(Inputs!$G$5:$G$120&lt;&gt;"acoes")))*INDEX(Inputs!$K$5:$AJ$120,0,MATCH(AH$2,Inputs!$K$4:$AJ$4,0)))))</f>
        <v>0</v>
      </c>
      <c r="AI29" s="267">
        <f>IF(ISNA(MATCH(AI$2,Inputs!$K$4:$AJ$4,0)),NA(),IF(SUMPRODUCT((Inputs!$A$5:$A$120=$B29)*ISNUMBER(INDEX(Inputs!$K$5:$AJ$120,0,MATCH(AI$2,Inputs!$K$4:$AJ$4,0))))+SUMPRODUCT((Inputs!$C$5:$C$120=$B29)*ISNUMBER(INDEX(Inputs!$K$5:$AJ$120,0,MATCH(AI$2,Inputs!$K$4:$AJ$4,0))))+SUMPRODUCT((Inputs!$E$5:$E$120=$B29)*ISNUMBER(INDEX(Inputs!$K$5:$AJ$120,0,MATCH(AI$2,Inputs!$K$4:$AJ$4,0))))=0,NA(),SUMPRODUCT((Inputs!$A$5:$A$120=$B29)*Inputs!$B$5:$B$120*(((Inputs!$G$5:$G$120="moeda")+(Inputs!$G$5:$G$120="acoes"))*Inputs!$B$1+((Inputs!$G$5:$G$120&lt;&gt;"moeda")*(Inputs!$G$5:$G$120&lt;&gt;"acoes")))*INDEX(Inputs!$K$5:$AJ$120,0,MATCH(AI$2,Inputs!$K$4:$AJ$4,0)))+SUMPRODUCT((Inputs!$C$5:$C$120=$B29)*Inputs!$D$5:$D$120*(((Inputs!$G$5:$G$120="moeda")+(Inputs!$G$5:$G$120="acoes"))*Inputs!$B$1+((Inputs!$G$5:$G$120&lt;&gt;"moeda")*(Inputs!$G$5:$G$120&lt;&gt;"acoes")))*INDEX(Inputs!$K$5:$AJ$120,0,MATCH(AI$2,Inputs!$K$4:$AJ$4,0)))+SUMPRODUCT((Inputs!$E$5:$E$120=$B29)*Inputs!$F$5:$F$120*(((Inputs!$G$5:$G$120="moeda")+(Inputs!$G$5:$G$120="acoes"))*Inputs!$B$1+((Inputs!$G$5:$G$120&lt;&gt;"moeda")*(Inputs!$G$5:$G$120&lt;&gt;"acoes")))*INDEX(Inputs!$K$5:$AJ$120,0,MATCH(AI$2,Inputs!$K$4:$AJ$4,0)))))</f>
        <v>0</v>
      </c>
      <c r="AJ29" s="267">
        <f>IF(ISNA(MATCH(AJ$2,Inputs!$K$4:$AJ$4,0)),NA(),IF(SUMPRODUCT((Inputs!$A$5:$A$120=$B29)*ISNUMBER(INDEX(Inputs!$K$5:$AJ$120,0,MATCH(AJ$2,Inputs!$K$4:$AJ$4,0))))+SUMPRODUCT((Inputs!$C$5:$C$120=$B29)*ISNUMBER(INDEX(Inputs!$K$5:$AJ$120,0,MATCH(AJ$2,Inputs!$K$4:$AJ$4,0))))+SUMPRODUCT((Inputs!$E$5:$E$120=$B29)*ISNUMBER(INDEX(Inputs!$K$5:$AJ$120,0,MATCH(AJ$2,Inputs!$K$4:$AJ$4,0))))=0,NA(),SUMPRODUCT((Inputs!$A$5:$A$120=$B29)*Inputs!$B$5:$B$120*(((Inputs!$G$5:$G$120="moeda")+(Inputs!$G$5:$G$120="acoes"))*Inputs!$B$1+((Inputs!$G$5:$G$120&lt;&gt;"moeda")*(Inputs!$G$5:$G$120&lt;&gt;"acoes")))*INDEX(Inputs!$K$5:$AJ$120,0,MATCH(AJ$2,Inputs!$K$4:$AJ$4,0)))+SUMPRODUCT((Inputs!$C$5:$C$120=$B29)*Inputs!$D$5:$D$120*(((Inputs!$G$5:$G$120="moeda")+(Inputs!$G$5:$G$120="acoes"))*Inputs!$B$1+((Inputs!$G$5:$G$120&lt;&gt;"moeda")*(Inputs!$G$5:$G$120&lt;&gt;"acoes")))*INDEX(Inputs!$K$5:$AJ$120,0,MATCH(AJ$2,Inputs!$K$4:$AJ$4,0)))+SUMPRODUCT((Inputs!$E$5:$E$120=$B29)*Inputs!$F$5:$F$120*(((Inputs!$G$5:$G$120="moeda")+(Inputs!$G$5:$G$120="acoes"))*Inputs!$B$1+((Inputs!$G$5:$G$120&lt;&gt;"moeda")*(Inputs!$G$5:$G$120&lt;&gt;"acoes")))*INDEX(Inputs!$K$5:$AJ$120,0,MATCH(AJ$2,Inputs!$K$4:$AJ$4,0)))))</f>
        <v>0</v>
      </c>
      <c r="AK29" s="267">
        <f>IF(ISNA(MATCH(AK$2,Inputs!$K$4:$AJ$4,0)),NA(),IF(SUMPRODUCT((Inputs!$A$5:$A$120=$B29)*ISNUMBER(INDEX(Inputs!$K$5:$AJ$120,0,MATCH(AK$2,Inputs!$K$4:$AJ$4,0))))+SUMPRODUCT((Inputs!$C$5:$C$120=$B29)*ISNUMBER(INDEX(Inputs!$K$5:$AJ$120,0,MATCH(AK$2,Inputs!$K$4:$AJ$4,0))))+SUMPRODUCT((Inputs!$E$5:$E$120=$B29)*ISNUMBER(INDEX(Inputs!$K$5:$AJ$120,0,MATCH(AK$2,Inputs!$K$4:$AJ$4,0))))=0,NA(),SUMPRODUCT((Inputs!$A$5:$A$120=$B29)*Inputs!$B$5:$B$120*(((Inputs!$G$5:$G$120="moeda")+(Inputs!$G$5:$G$120="acoes"))*Inputs!$B$1+((Inputs!$G$5:$G$120&lt;&gt;"moeda")*(Inputs!$G$5:$G$120&lt;&gt;"acoes")))*INDEX(Inputs!$K$5:$AJ$120,0,MATCH(AK$2,Inputs!$K$4:$AJ$4,0)))+SUMPRODUCT((Inputs!$C$5:$C$120=$B29)*Inputs!$D$5:$D$120*(((Inputs!$G$5:$G$120="moeda")+(Inputs!$G$5:$G$120="acoes"))*Inputs!$B$1+((Inputs!$G$5:$G$120&lt;&gt;"moeda")*(Inputs!$G$5:$G$120&lt;&gt;"acoes")))*INDEX(Inputs!$K$5:$AJ$120,0,MATCH(AK$2,Inputs!$K$4:$AJ$4,0)))+SUMPRODUCT((Inputs!$E$5:$E$120=$B29)*Inputs!$F$5:$F$120*(((Inputs!$G$5:$G$120="moeda")+(Inputs!$G$5:$G$120="acoes"))*Inputs!$B$1+((Inputs!$G$5:$G$120&lt;&gt;"moeda")*(Inputs!$G$5:$G$120&lt;&gt;"acoes")))*INDEX(Inputs!$K$5:$AJ$120,0,MATCH(AK$2,Inputs!$K$4:$AJ$4,0)))))</f>
        <v>0</v>
      </c>
      <c r="AL29" s="268">
        <f>AK29</f>
        <v>0</v>
      </c>
    </row>
    <row r="30" ht="12.75" customHeight="1" s="255">
      <c r="B30" s="265" t="n">
        <v>25</v>
      </c>
      <c r="C30" s="270" t="inlineStr">
        <is>
          <t>Taxes payable</t>
        </is>
      </c>
      <c r="D30" s="267">
        <f>IF(ISNA(MATCH(D$2,Inputs!$K$4:$AJ$4,0)),NA(),IF(SUMPRODUCT((Inputs!$A$5:$A$120=$B30)*ISNUMBER(INDEX(Inputs!$K$5:$AJ$120,0,MATCH(D$2,Inputs!$K$4:$AJ$4,0))))+SUMPRODUCT((Inputs!$C$5:$C$120=$B30)*ISNUMBER(INDEX(Inputs!$K$5:$AJ$120,0,MATCH(D$2,Inputs!$K$4:$AJ$4,0))))+SUMPRODUCT((Inputs!$E$5:$E$120=$B30)*ISNUMBER(INDEX(Inputs!$K$5:$AJ$120,0,MATCH(D$2,Inputs!$K$4:$AJ$4,0))))=0,NA(),SUMPRODUCT((Inputs!$A$5:$A$120=$B30)*Inputs!$B$5:$B$120*(((Inputs!$G$5:$G$120="moeda")+(Inputs!$G$5:$G$120="acoes"))*Inputs!$B$1+((Inputs!$G$5:$G$120&lt;&gt;"moeda")*(Inputs!$G$5:$G$120&lt;&gt;"acoes")))*INDEX(Inputs!$K$5:$AJ$120,0,MATCH(D$2,Inputs!$K$4:$AJ$4,0)))+SUMPRODUCT((Inputs!$C$5:$C$120=$B30)*Inputs!$D$5:$D$120*(((Inputs!$G$5:$G$120="moeda")+(Inputs!$G$5:$G$120="acoes"))*Inputs!$B$1+((Inputs!$G$5:$G$120&lt;&gt;"moeda")*(Inputs!$G$5:$G$120&lt;&gt;"acoes")))*INDEX(Inputs!$K$5:$AJ$120,0,MATCH(D$2,Inputs!$K$4:$AJ$4,0)))+SUMPRODUCT((Inputs!$E$5:$E$120=$B30)*Inputs!$F$5:$F$120*(((Inputs!$G$5:$G$120="moeda")+(Inputs!$G$5:$G$120="acoes"))*Inputs!$B$1+((Inputs!$G$5:$G$120&lt;&gt;"moeda")*(Inputs!$G$5:$G$120&lt;&gt;"acoes")))*INDEX(Inputs!$K$5:$AJ$120,0,MATCH(D$2,Inputs!$K$4:$AJ$4,0)))))</f>
        <v>647</v>
      </c>
      <c r="E30" s="267">
        <f>IF(ISNA(MATCH(E$2,Inputs!$K$4:$AJ$4,0)),NA(),IF(SUMPRODUCT((Inputs!$A$5:$A$120=$B30)*ISNUMBER(INDEX(Inputs!$K$5:$AJ$120,0,MATCH(E$2,Inputs!$K$4:$AJ$4,0))))+SUMPRODUCT((Inputs!$C$5:$C$120=$B30)*ISNUMBER(INDEX(Inputs!$K$5:$AJ$120,0,MATCH(E$2,Inputs!$K$4:$AJ$4,0))))+SUMPRODUCT((Inputs!$E$5:$E$120=$B30)*ISNUMBER(INDEX(Inputs!$K$5:$AJ$120,0,MATCH(E$2,Inputs!$K$4:$AJ$4,0))))=0,NA(),SUMPRODUCT((Inputs!$A$5:$A$120=$B30)*Inputs!$B$5:$B$120*(((Inputs!$G$5:$G$120="moeda")+(Inputs!$G$5:$G$120="acoes"))*Inputs!$B$1+((Inputs!$G$5:$G$120&lt;&gt;"moeda")*(Inputs!$G$5:$G$120&lt;&gt;"acoes")))*INDEX(Inputs!$K$5:$AJ$120,0,MATCH(E$2,Inputs!$K$4:$AJ$4,0)))+SUMPRODUCT((Inputs!$C$5:$C$120=$B30)*Inputs!$D$5:$D$120*(((Inputs!$G$5:$G$120="moeda")+(Inputs!$G$5:$G$120="acoes"))*Inputs!$B$1+((Inputs!$G$5:$G$120&lt;&gt;"moeda")*(Inputs!$G$5:$G$120&lt;&gt;"acoes")))*INDEX(Inputs!$K$5:$AJ$120,0,MATCH(E$2,Inputs!$K$4:$AJ$4,0)))+SUMPRODUCT((Inputs!$E$5:$E$120=$B30)*Inputs!$F$5:$F$120*(((Inputs!$G$5:$G$120="moeda")+(Inputs!$G$5:$G$120="acoes"))*Inputs!$B$1+((Inputs!$G$5:$G$120&lt;&gt;"moeda")*(Inputs!$G$5:$G$120&lt;&gt;"acoes")))*INDEX(Inputs!$K$5:$AJ$120,0,MATCH(E$2,Inputs!$K$4:$AJ$4,0)))))</f>
        <v>919</v>
      </c>
      <c r="F30" s="267">
        <f>IF(ISNA(MATCH(F$2,Inputs!$K$4:$AJ$4,0)),NA(),IF(SUMPRODUCT((Inputs!$A$5:$A$120=$B30)*ISNUMBER(INDEX(Inputs!$K$5:$AJ$120,0,MATCH(F$2,Inputs!$K$4:$AJ$4,0))))+SUMPRODUCT((Inputs!$C$5:$C$120=$B30)*ISNUMBER(INDEX(Inputs!$K$5:$AJ$120,0,MATCH(F$2,Inputs!$K$4:$AJ$4,0))))+SUMPRODUCT((Inputs!$E$5:$E$120=$B30)*ISNUMBER(INDEX(Inputs!$K$5:$AJ$120,0,MATCH(F$2,Inputs!$K$4:$AJ$4,0))))=0,NA(),SUMPRODUCT((Inputs!$A$5:$A$120=$B30)*Inputs!$B$5:$B$120*(((Inputs!$G$5:$G$120="moeda")+(Inputs!$G$5:$G$120="acoes"))*Inputs!$B$1+((Inputs!$G$5:$G$120&lt;&gt;"moeda")*(Inputs!$G$5:$G$120&lt;&gt;"acoes")))*INDEX(Inputs!$K$5:$AJ$120,0,MATCH(F$2,Inputs!$K$4:$AJ$4,0)))+SUMPRODUCT((Inputs!$C$5:$C$120=$B30)*Inputs!$D$5:$D$120*(((Inputs!$G$5:$G$120="moeda")+(Inputs!$G$5:$G$120="acoes"))*Inputs!$B$1+((Inputs!$G$5:$G$120&lt;&gt;"moeda")*(Inputs!$G$5:$G$120&lt;&gt;"acoes")))*INDEX(Inputs!$K$5:$AJ$120,0,MATCH(F$2,Inputs!$K$4:$AJ$4,0)))+SUMPRODUCT((Inputs!$E$5:$E$120=$B30)*Inputs!$F$5:$F$120*(((Inputs!$G$5:$G$120="moeda")+(Inputs!$G$5:$G$120="acoes"))*Inputs!$B$1+((Inputs!$G$5:$G$120&lt;&gt;"moeda")*(Inputs!$G$5:$G$120&lt;&gt;"acoes")))*INDEX(Inputs!$K$5:$AJ$120,0,MATCH(F$2,Inputs!$K$4:$AJ$4,0)))))</f>
        <v>1237</v>
      </c>
      <c r="G30" s="267">
        <f>IF(ISNA(MATCH(G$2,Inputs!$K$4:$AJ$4,0)),NA(),IF(SUMPRODUCT((Inputs!$A$5:$A$120=$B30)*ISNUMBER(INDEX(Inputs!$K$5:$AJ$120,0,MATCH(G$2,Inputs!$K$4:$AJ$4,0))))+SUMPRODUCT((Inputs!$C$5:$C$120=$B30)*ISNUMBER(INDEX(Inputs!$K$5:$AJ$120,0,MATCH(G$2,Inputs!$K$4:$AJ$4,0))))+SUMPRODUCT((Inputs!$E$5:$E$120=$B30)*ISNUMBER(INDEX(Inputs!$K$5:$AJ$120,0,MATCH(G$2,Inputs!$K$4:$AJ$4,0))))=0,NA(),SUMPRODUCT((Inputs!$A$5:$A$120=$B30)*Inputs!$B$5:$B$120*(((Inputs!$G$5:$G$120="moeda")+(Inputs!$G$5:$G$120="acoes"))*Inputs!$B$1+((Inputs!$G$5:$G$120&lt;&gt;"moeda")*(Inputs!$G$5:$G$120&lt;&gt;"acoes")))*INDEX(Inputs!$K$5:$AJ$120,0,MATCH(G$2,Inputs!$K$4:$AJ$4,0)))+SUMPRODUCT((Inputs!$C$5:$C$120=$B30)*Inputs!$D$5:$D$120*(((Inputs!$G$5:$G$120="moeda")+(Inputs!$G$5:$G$120="acoes"))*Inputs!$B$1+((Inputs!$G$5:$G$120&lt;&gt;"moeda")*(Inputs!$G$5:$G$120&lt;&gt;"acoes")))*INDEX(Inputs!$K$5:$AJ$120,0,MATCH(G$2,Inputs!$K$4:$AJ$4,0)))+SUMPRODUCT((Inputs!$E$5:$E$120=$B30)*Inputs!$F$5:$F$120*(((Inputs!$G$5:$G$120="moeda")+(Inputs!$G$5:$G$120="acoes"))*Inputs!$B$1+((Inputs!$G$5:$G$120&lt;&gt;"moeda")*(Inputs!$G$5:$G$120&lt;&gt;"acoes")))*INDEX(Inputs!$K$5:$AJ$120,0,MATCH(G$2,Inputs!$K$4:$AJ$4,0)))))</f>
        <v>1541</v>
      </c>
      <c r="H30" s="268">
        <f>G30</f>
        <v>1541</v>
      </c>
      <c r="I30" s="267">
        <f>IF(ISNA(MATCH(I$2,Inputs!$K$4:$AJ$4,0)),NA(),IF(SUMPRODUCT((Inputs!$A$5:$A$120=$B30)*ISNUMBER(INDEX(Inputs!$K$5:$AJ$120,0,MATCH(I$2,Inputs!$K$4:$AJ$4,0))))+SUMPRODUCT((Inputs!$C$5:$C$120=$B30)*ISNUMBER(INDEX(Inputs!$K$5:$AJ$120,0,MATCH(I$2,Inputs!$K$4:$AJ$4,0))))+SUMPRODUCT((Inputs!$E$5:$E$120=$B30)*ISNUMBER(INDEX(Inputs!$K$5:$AJ$120,0,MATCH(I$2,Inputs!$K$4:$AJ$4,0))))=0,NA(),SUMPRODUCT((Inputs!$A$5:$A$120=$B30)*Inputs!$B$5:$B$120*(((Inputs!$G$5:$G$120="moeda")+(Inputs!$G$5:$G$120="acoes"))*Inputs!$B$1+((Inputs!$G$5:$G$120&lt;&gt;"moeda")*(Inputs!$G$5:$G$120&lt;&gt;"acoes")))*INDEX(Inputs!$K$5:$AJ$120,0,MATCH(I$2,Inputs!$K$4:$AJ$4,0)))+SUMPRODUCT((Inputs!$C$5:$C$120=$B30)*Inputs!$D$5:$D$120*(((Inputs!$G$5:$G$120="moeda")+(Inputs!$G$5:$G$120="acoes"))*Inputs!$B$1+((Inputs!$G$5:$G$120&lt;&gt;"moeda")*(Inputs!$G$5:$G$120&lt;&gt;"acoes")))*INDEX(Inputs!$K$5:$AJ$120,0,MATCH(I$2,Inputs!$K$4:$AJ$4,0)))+SUMPRODUCT((Inputs!$E$5:$E$120=$B30)*Inputs!$F$5:$F$120*(((Inputs!$G$5:$G$120="moeda")+(Inputs!$G$5:$G$120="acoes"))*Inputs!$B$1+((Inputs!$G$5:$G$120&lt;&gt;"moeda")*(Inputs!$G$5:$G$120&lt;&gt;"acoes")))*INDEX(Inputs!$K$5:$AJ$120,0,MATCH(I$2,Inputs!$K$4:$AJ$4,0)))))</f>
        <v>1392</v>
      </c>
      <c r="J30" s="267">
        <f>IF(ISNA(MATCH(J$2,Inputs!$K$4:$AJ$4,0)),NA(),IF(SUMPRODUCT((Inputs!$A$5:$A$120=$B30)*ISNUMBER(INDEX(Inputs!$K$5:$AJ$120,0,MATCH(J$2,Inputs!$K$4:$AJ$4,0))))+SUMPRODUCT((Inputs!$C$5:$C$120=$B30)*ISNUMBER(INDEX(Inputs!$K$5:$AJ$120,0,MATCH(J$2,Inputs!$K$4:$AJ$4,0))))+SUMPRODUCT((Inputs!$E$5:$E$120=$B30)*ISNUMBER(INDEX(Inputs!$K$5:$AJ$120,0,MATCH(J$2,Inputs!$K$4:$AJ$4,0))))=0,NA(),SUMPRODUCT((Inputs!$A$5:$A$120=$B30)*Inputs!$B$5:$B$120*(((Inputs!$G$5:$G$120="moeda")+(Inputs!$G$5:$G$120="acoes"))*Inputs!$B$1+((Inputs!$G$5:$G$120&lt;&gt;"moeda")*(Inputs!$G$5:$G$120&lt;&gt;"acoes")))*INDEX(Inputs!$K$5:$AJ$120,0,MATCH(J$2,Inputs!$K$4:$AJ$4,0)))+SUMPRODUCT((Inputs!$C$5:$C$120=$B30)*Inputs!$D$5:$D$120*(((Inputs!$G$5:$G$120="moeda")+(Inputs!$G$5:$G$120="acoes"))*Inputs!$B$1+((Inputs!$G$5:$G$120&lt;&gt;"moeda")*(Inputs!$G$5:$G$120&lt;&gt;"acoes")))*INDEX(Inputs!$K$5:$AJ$120,0,MATCH(J$2,Inputs!$K$4:$AJ$4,0)))+SUMPRODUCT((Inputs!$E$5:$E$120=$B30)*Inputs!$F$5:$F$120*(((Inputs!$G$5:$G$120="moeda")+(Inputs!$G$5:$G$120="acoes"))*Inputs!$B$1+((Inputs!$G$5:$G$120&lt;&gt;"moeda")*(Inputs!$G$5:$G$120&lt;&gt;"acoes")))*INDEX(Inputs!$K$5:$AJ$120,0,MATCH(J$2,Inputs!$K$4:$AJ$4,0)))))</f>
        <v>507</v>
      </c>
      <c r="K30" s="267">
        <f>IF(ISNA(MATCH(K$2,Inputs!$K$4:$AJ$4,0)),NA(),IF(SUMPRODUCT((Inputs!$A$5:$A$120=$B30)*ISNUMBER(INDEX(Inputs!$K$5:$AJ$120,0,MATCH(K$2,Inputs!$K$4:$AJ$4,0))))+SUMPRODUCT((Inputs!$C$5:$C$120=$B30)*ISNUMBER(INDEX(Inputs!$K$5:$AJ$120,0,MATCH(K$2,Inputs!$K$4:$AJ$4,0))))+SUMPRODUCT((Inputs!$E$5:$E$120=$B30)*ISNUMBER(INDEX(Inputs!$K$5:$AJ$120,0,MATCH(K$2,Inputs!$K$4:$AJ$4,0))))=0,NA(),SUMPRODUCT((Inputs!$A$5:$A$120=$B30)*Inputs!$B$5:$B$120*(((Inputs!$G$5:$G$120="moeda")+(Inputs!$G$5:$G$120="acoes"))*Inputs!$B$1+((Inputs!$G$5:$G$120&lt;&gt;"moeda")*(Inputs!$G$5:$G$120&lt;&gt;"acoes")))*INDEX(Inputs!$K$5:$AJ$120,0,MATCH(K$2,Inputs!$K$4:$AJ$4,0)))+SUMPRODUCT((Inputs!$C$5:$C$120=$B30)*Inputs!$D$5:$D$120*(((Inputs!$G$5:$G$120="moeda")+(Inputs!$G$5:$G$120="acoes"))*Inputs!$B$1+((Inputs!$G$5:$G$120&lt;&gt;"moeda")*(Inputs!$G$5:$G$120&lt;&gt;"acoes")))*INDEX(Inputs!$K$5:$AJ$120,0,MATCH(K$2,Inputs!$K$4:$AJ$4,0)))+SUMPRODUCT((Inputs!$E$5:$E$120=$B30)*Inputs!$F$5:$F$120*(((Inputs!$G$5:$G$120="moeda")+(Inputs!$G$5:$G$120="acoes"))*Inputs!$B$1+((Inputs!$G$5:$G$120&lt;&gt;"moeda")*(Inputs!$G$5:$G$120&lt;&gt;"acoes")))*INDEX(Inputs!$K$5:$AJ$120,0,MATCH(K$2,Inputs!$K$4:$AJ$4,0)))))</f>
        <v>439</v>
      </c>
      <c r="L30" s="267">
        <f>IF(ISNA(MATCH(L$2,Inputs!$K$4:$AJ$4,0)),NA(),IF(SUMPRODUCT((Inputs!$A$5:$A$120=$B30)*ISNUMBER(INDEX(Inputs!$K$5:$AJ$120,0,MATCH(L$2,Inputs!$K$4:$AJ$4,0))))+SUMPRODUCT((Inputs!$C$5:$C$120=$B30)*ISNUMBER(INDEX(Inputs!$K$5:$AJ$120,0,MATCH(L$2,Inputs!$K$4:$AJ$4,0))))+SUMPRODUCT((Inputs!$E$5:$E$120=$B30)*ISNUMBER(INDEX(Inputs!$K$5:$AJ$120,0,MATCH(L$2,Inputs!$K$4:$AJ$4,0))))=0,NA(),SUMPRODUCT((Inputs!$A$5:$A$120=$B30)*Inputs!$B$5:$B$120*(((Inputs!$G$5:$G$120="moeda")+(Inputs!$G$5:$G$120="acoes"))*Inputs!$B$1+((Inputs!$G$5:$G$120&lt;&gt;"moeda")*(Inputs!$G$5:$G$120&lt;&gt;"acoes")))*INDEX(Inputs!$K$5:$AJ$120,0,MATCH(L$2,Inputs!$K$4:$AJ$4,0)))+SUMPRODUCT((Inputs!$C$5:$C$120=$B30)*Inputs!$D$5:$D$120*(((Inputs!$G$5:$G$120="moeda")+(Inputs!$G$5:$G$120="acoes"))*Inputs!$B$1+((Inputs!$G$5:$G$120&lt;&gt;"moeda")*(Inputs!$G$5:$G$120&lt;&gt;"acoes")))*INDEX(Inputs!$K$5:$AJ$120,0,MATCH(L$2,Inputs!$K$4:$AJ$4,0)))+SUMPRODUCT((Inputs!$E$5:$E$120=$B30)*Inputs!$F$5:$F$120*(((Inputs!$G$5:$G$120="moeda")+(Inputs!$G$5:$G$120="acoes"))*Inputs!$B$1+((Inputs!$G$5:$G$120&lt;&gt;"moeda")*(Inputs!$G$5:$G$120&lt;&gt;"acoes")))*INDEX(Inputs!$K$5:$AJ$120,0,MATCH(L$2,Inputs!$K$4:$AJ$4,0)))))</f>
        <v>744</v>
      </c>
      <c r="M30" s="268">
        <f>L30</f>
        <v>744</v>
      </c>
      <c r="N30" s="267">
        <f>IF(ISNA(MATCH(N$2,Inputs!$K$4:$AJ$4,0)),NA(),IF(SUMPRODUCT((Inputs!$A$5:$A$120=$B30)*ISNUMBER(INDEX(Inputs!$K$5:$AJ$120,0,MATCH(N$2,Inputs!$K$4:$AJ$4,0))))+SUMPRODUCT((Inputs!$C$5:$C$120=$B30)*ISNUMBER(INDEX(Inputs!$K$5:$AJ$120,0,MATCH(N$2,Inputs!$K$4:$AJ$4,0))))+SUMPRODUCT((Inputs!$E$5:$E$120=$B30)*ISNUMBER(INDEX(Inputs!$K$5:$AJ$120,0,MATCH(N$2,Inputs!$K$4:$AJ$4,0))))=0,NA(),SUMPRODUCT((Inputs!$A$5:$A$120=$B30)*Inputs!$B$5:$B$120*(((Inputs!$G$5:$G$120="moeda")+(Inputs!$G$5:$G$120="acoes"))*Inputs!$B$1+((Inputs!$G$5:$G$120&lt;&gt;"moeda")*(Inputs!$G$5:$G$120&lt;&gt;"acoes")))*INDEX(Inputs!$K$5:$AJ$120,0,MATCH(N$2,Inputs!$K$4:$AJ$4,0)))+SUMPRODUCT((Inputs!$C$5:$C$120=$B30)*Inputs!$D$5:$D$120*(((Inputs!$G$5:$G$120="moeda")+(Inputs!$G$5:$G$120="acoes"))*Inputs!$B$1+((Inputs!$G$5:$G$120&lt;&gt;"moeda")*(Inputs!$G$5:$G$120&lt;&gt;"acoes")))*INDEX(Inputs!$K$5:$AJ$120,0,MATCH(N$2,Inputs!$K$4:$AJ$4,0)))+SUMPRODUCT((Inputs!$E$5:$E$120=$B30)*Inputs!$F$5:$F$120*(((Inputs!$G$5:$G$120="moeda")+(Inputs!$G$5:$G$120="acoes"))*Inputs!$B$1+((Inputs!$G$5:$G$120&lt;&gt;"moeda")*(Inputs!$G$5:$G$120&lt;&gt;"acoes")))*INDEX(Inputs!$K$5:$AJ$120,0,MATCH(N$2,Inputs!$K$4:$AJ$4,0)))))</f>
        <v>846</v>
      </c>
      <c r="O30" s="267">
        <f>IF(ISNA(MATCH(O$2,Inputs!$K$4:$AJ$4,0)),NA(),IF(SUMPRODUCT((Inputs!$A$5:$A$120=$B30)*ISNUMBER(INDEX(Inputs!$K$5:$AJ$120,0,MATCH(O$2,Inputs!$K$4:$AJ$4,0))))+SUMPRODUCT((Inputs!$C$5:$C$120=$B30)*ISNUMBER(INDEX(Inputs!$K$5:$AJ$120,0,MATCH(O$2,Inputs!$K$4:$AJ$4,0))))+SUMPRODUCT((Inputs!$E$5:$E$120=$B30)*ISNUMBER(INDEX(Inputs!$K$5:$AJ$120,0,MATCH(O$2,Inputs!$K$4:$AJ$4,0))))=0,NA(),SUMPRODUCT((Inputs!$A$5:$A$120=$B30)*Inputs!$B$5:$B$120*(((Inputs!$G$5:$G$120="moeda")+(Inputs!$G$5:$G$120="acoes"))*Inputs!$B$1+((Inputs!$G$5:$G$120&lt;&gt;"moeda")*(Inputs!$G$5:$G$120&lt;&gt;"acoes")))*INDEX(Inputs!$K$5:$AJ$120,0,MATCH(O$2,Inputs!$K$4:$AJ$4,0)))+SUMPRODUCT((Inputs!$C$5:$C$120=$B30)*Inputs!$D$5:$D$120*(((Inputs!$G$5:$G$120="moeda")+(Inputs!$G$5:$G$120="acoes"))*Inputs!$B$1+((Inputs!$G$5:$G$120&lt;&gt;"moeda")*(Inputs!$G$5:$G$120&lt;&gt;"acoes")))*INDEX(Inputs!$K$5:$AJ$120,0,MATCH(O$2,Inputs!$K$4:$AJ$4,0)))+SUMPRODUCT((Inputs!$E$5:$E$120=$B30)*Inputs!$F$5:$F$120*(((Inputs!$G$5:$G$120="moeda")+(Inputs!$G$5:$G$120="acoes"))*Inputs!$B$1+((Inputs!$G$5:$G$120&lt;&gt;"moeda")*(Inputs!$G$5:$G$120&lt;&gt;"acoes")))*INDEX(Inputs!$K$5:$AJ$120,0,MATCH(O$2,Inputs!$K$4:$AJ$4,0)))))</f>
        <v>531</v>
      </c>
      <c r="P30" s="267">
        <f>IF(ISNA(MATCH(P$2,Inputs!$K$4:$AJ$4,0)),NA(),IF(SUMPRODUCT((Inputs!$A$5:$A$120=$B30)*ISNUMBER(INDEX(Inputs!$K$5:$AJ$120,0,MATCH(P$2,Inputs!$K$4:$AJ$4,0))))+SUMPRODUCT((Inputs!$C$5:$C$120=$B30)*ISNUMBER(INDEX(Inputs!$K$5:$AJ$120,0,MATCH(P$2,Inputs!$K$4:$AJ$4,0))))+SUMPRODUCT((Inputs!$E$5:$E$120=$B30)*ISNUMBER(INDEX(Inputs!$K$5:$AJ$120,0,MATCH(P$2,Inputs!$K$4:$AJ$4,0))))=0,NA(),SUMPRODUCT((Inputs!$A$5:$A$120=$B30)*Inputs!$B$5:$B$120*(((Inputs!$G$5:$G$120="moeda")+(Inputs!$G$5:$G$120="acoes"))*Inputs!$B$1+((Inputs!$G$5:$G$120&lt;&gt;"moeda")*(Inputs!$G$5:$G$120&lt;&gt;"acoes")))*INDEX(Inputs!$K$5:$AJ$120,0,MATCH(P$2,Inputs!$K$4:$AJ$4,0)))+SUMPRODUCT((Inputs!$C$5:$C$120=$B30)*Inputs!$D$5:$D$120*(((Inputs!$G$5:$G$120="moeda")+(Inputs!$G$5:$G$120="acoes"))*Inputs!$B$1+((Inputs!$G$5:$G$120&lt;&gt;"moeda")*(Inputs!$G$5:$G$120&lt;&gt;"acoes")))*INDEX(Inputs!$K$5:$AJ$120,0,MATCH(P$2,Inputs!$K$4:$AJ$4,0)))+SUMPRODUCT((Inputs!$E$5:$E$120=$B30)*Inputs!$F$5:$F$120*(((Inputs!$G$5:$G$120="moeda")+(Inputs!$G$5:$G$120="acoes"))*Inputs!$B$1+((Inputs!$G$5:$G$120&lt;&gt;"moeda")*(Inputs!$G$5:$G$120&lt;&gt;"acoes")))*INDEX(Inputs!$K$5:$AJ$120,0,MATCH(P$2,Inputs!$K$4:$AJ$4,0)))))</f>
        <v>489</v>
      </c>
      <c r="Q30" s="267">
        <f>IF(ISNA(MATCH(Q$2,Inputs!$K$4:$AJ$4,0)),NA(),IF(SUMPRODUCT((Inputs!$A$5:$A$120=$B30)*ISNUMBER(INDEX(Inputs!$K$5:$AJ$120,0,MATCH(Q$2,Inputs!$K$4:$AJ$4,0))))+SUMPRODUCT((Inputs!$C$5:$C$120=$B30)*ISNUMBER(INDEX(Inputs!$K$5:$AJ$120,0,MATCH(Q$2,Inputs!$K$4:$AJ$4,0))))+SUMPRODUCT((Inputs!$E$5:$E$120=$B30)*ISNUMBER(INDEX(Inputs!$K$5:$AJ$120,0,MATCH(Q$2,Inputs!$K$4:$AJ$4,0))))=0,NA(),SUMPRODUCT((Inputs!$A$5:$A$120=$B30)*Inputs!$B$5:$B$120*(((Inputs!$G$5:$G$120="moeda")+(Inputs!$G$5:$G$120="acoes"))*Inputs!$B$1+((Inputs!$G$5:$G$120&lt;&gt;"moeda")*(Inputs!$G$5:$G$120&lt;&gt;"acoes")))*INDEX(Inputs!$K$5:$AJ$120,0,MATCH(Q$2,Inputs!$K$4:$AJ$4,0)))+SUMPRODUCT((Inputs!$C$5:$C$120=$B30)*Inputs!$D$5:$D$120*(((Inputs!$G$5:$G$120="moeda")+(Inputs!$G$5:$G$120="acoes"))*Inputs!$B$1+((Inputs!$G$5:$G$120&lt;&gt;"moeda")*(Inputs!$G$5:$G$120&lt;&gt;"acoes")))*INDEX(Inputs!$K$5:$AJ$120,0,MATCH(Q$2,Inputs!$K$4:$AJ$4,0)))+SUMPRODUCT((Inputs!$E$5:$E$120=$B30)*Inputs!$F$5:$F$120*(((Inputs!$G$5:$G$120="moeda")+(Inputs!$G$5:$G$120="acoes"))*Inputs!$B$1+((Inputs!$G$5:$G$120&lt;&gt;"moeda")*(Inputs!$G$5:$G$120&lt;&gt;"acoes")))*INDEX(Inputs!$K$5:$AJ$120,0,MATCH(Q$2,Inputs!$K$4:$AJ$4,0)))))</f>
        <v>786</v>
      </c>
      <c r="R30" s="268">
        <f>Q30</f>
        <v>786</v>
      </c>
      <c r="S30" s="267">
        <f>IF(ISNA(MATCH(S$2,Inputs!$K$4:$AJ$4,0)),NA(),IF(SUMPRODUCT((Inputs!$A$5:$A$120=$B30)*ISNUMBER(INDEX(Inputs!$K$5:$AJ$120,0,MATCH(S$2,Inputs!$K$4:$AJ$4,0))))+SUMPRODUCT((Inputs!$C$5:$C$120=$B30)*ISNUMBER(INDEX(Inputs!$K$5:$AJ$120,0,MATCH(S$2,Inputs!$K$4:$AJ$4,0))))+SUMPRODUCT((Inputs!$E$5:$E$120=$B30)*ISNUMBER(INDEX(Inputs!$K$5:$AJ$120,0,MATCH(S$2,Inputs!$K$4:$AJ$4,0))))=0,NA(),SUMPRODUCT((Inputs!$A$5:$A$120=$B30)*Inputs!$B$5:$B$120*(((Inputs!$G$5:$G$120="moeda")+(Inputs!$G$5:$G$120="acoes"))*Inputs!$B$1+((Inputs!$G$5:$G$120&lt;&gt;"moeda")*(Inputs!$G$5:$G$120&lt;&gt;"acoes")))*INDEX(Inputs!$K$5:$AJ$120,0,MATCH(S$2,Inputs!$K$4:$AJ$4,0)))+SUMPRODUCT((Inputs!$C$5:$C$120=$B30)*Inputs!$D$5:$D$120*(((Inputs!$G$5:$G$120="moeda")+(Inputs!$G$5:$G$120="acoes"))*Inputs!$B$1+((Inputs!$G$5:$G$120&lt;&gt;"moeda")*(Inputs!$G$5:$G$120&lt;&gt;"acoes")))*INDEX(Inputs!$K$5:$AJ$120,0,MATCH(S$2,Inputs!$K$4:$AJ$4,0)))+SUMPRODUCT((Inputs!$E$5:$E$120=$B30)*Inputs!$F$5:$F$120*(((Inputs!$G$5:$G$120="moeda")+(Inputs!$G$5:$G$120="acoes"))*Inputs!$B$1+((Inputs!$G$5:$G$120&lt;&gt;"moeda")*(Inputs!$G$5:$G$120&lt;&gt;"acoes")))*INDEX(Inputs!$K$5:$AJ$120,0,MATCH(S$2,Inputs!$K$4:$AJ$4,0)))))</f>
        <v>1322</v>
      </c>
      <c r="T30" s="267">
        <f>IF(ISNA(MATCH(T$2,Inputs!$K$4:$AJ$4,0)),NA(),IF(SUMPRODUCT((Inputs!$A$5:$A$120=$B30)*ISNUMBER(INDEX(Inputs!$K$5:$AJ$120,0,MATCH(T$2,Inputs!$K$4:$AJ$4,0))))+SUMPRODUCT((Inputs!$C$5:$C$120=$B30)*ISNUMBER(INDEX(Inputs!$K$5:$AJ$120,0,MATCH(T$2,Inputs!$K$4:$AJ$4,0))))+SUMPRODUCT((Inputs!$E$5:$E$120=$B30)*ISNUMBER(INDEX(Inputs!$K$5:$AJ$120,0,MATCH(T$2,Inputs!$K$4:$AJ$4,0))))=0,NA(),SUMPRODUCT((Inputs!$A$5:$A$120=$B30)*Inputs!$B$5:$B$120*(((Inputs!$G$5:$G$120="moeda")+(Inputs!$G$5:$G$120="acoes"))*Inputs!$B$1+((Inputs!$G$5:$G$120&lt;&gt;"moeda")*(Inputs!$G$5:$G$120&lt;&gt;"acoes")))*INDEX(Inputs!$K$5:$AJ$120,0,MATCH(T$2,Inputs!$K$4:$AJ$4,0)))+SUMPRODUCT((Inputs!$C$5:$C$120=$B30)*Inputs!$D$5:$D$120*(((Inputs!$G$5:$G$120="moeda")+(Inputs!$G$5:$G$120="acoes"))*Inputs!$B$1+((Inputs!$G$5:$G$120&lt;&gt;"moeda")*(Inputs!$G$5:$G$120&lt;&gt;"acoes")))*INDEX(Inputs!$K$5:$AJ$120,0,MATCH(T$2,Inputs!$K$4:$AJ$4,0)))+SUMPRODUCT((Inputs!$E$5:$E$120=$B30)*Inputs!$F$5:$F$120*(((Inputs!$G$5:$G$120="moeda")+(Inputs!$G$5:$G$120="acoes"))*Inputs!$B$1+((Inputs!$G$5:$G$120&lt;&gt;"moeda")*(Inputs!$G$5:$G$120&lt;&gt;"acoes")))*INDEX(Inputs!$K$5:$AJ$120,0,MATCH(T$2,Inputs!$K$4:$AJ$4,0)))))</f>
        <v>898</v>
      </c>
      <c r="U30" s="267">
        <f>IF(ISNA(MATCH(U$2,Inputs!$K$4:$AJ$4,0)),NA(),IF(SUMPRODUCT((Inputs!$A$5:$A$120=$B30)*ISNUMBER(INDEX(Inputs!$K$5:$AJ$120,0,MATCH(U$2,Inputs!$K$4:$AJ$4,0))))+SUMPRODUCT((Inputs!$C$5:$C$120=$B30)*ISNUMBER(INDEX(Inputs!$K$5:$AJ$120,0,MATCH(U$2,Inputs!$K$4:$AJ$4,0))))+SUMPRODUCT((Inputs!$E$5:$E$120=$B30)*ISNUMBER(INDEX(Inputs!$K$5:$AJ$120,0,MATCH(U$2,Inputs!$K$4:$AJ$4,0))))=0,NA(),SUMPRODUCT((Inputs!$A$5:$A$120=$B30)*Inputs!$B$5:$B$120*(((Inputs!$G$5:$G$120="moeda")+(Inputs!$G$5:$G$120="acoes"))*Inputs!$B$1+((Inputs!$G$5:$G$120&lt;&gt;"moeda")*(Inputs!$G$5:$G$120&lt;&gt;"acoes")))*INDEX(Inputs!$K$5:$AJ$120,0,MATCH(U$2,Inputs!$K$4:$AJ$4,0)))+SUMPRODUCT((Inputs!$C$5:$C$120=$B30)*Inputs!$D$5:$D$120*(((Inputs!$G$5:$G$120="moeda")+(Inputs!$G$5:$G$120="acoes"))*Inputs!$B$1+((Inputs!$G$5:$G$120&lt;&gt;"moeda")*(Inputs!$G$5:$G$120&lt;&gt;"acoes")))*INDEX(Inputs!$K$5:$AJ$120,0,MATCH(U$2,Inputs!$K$4:$AJ$4,0)))+SUMPRODUCT((Inputs!$E$5:$E$120=$B30)*Inputs!$F$5:$F$120*(((Inputs!$G$5:$G$120="moeda")+(Inputs!$G$5:$G$120="acoes"))*Inputs!$B$1+((Inputs!$G$5:$G$120&lt;&gt;"moeda")*(Inputs!$G$5:$G$120&lt;&gt;"acoes")))*INDEX(Inputs!$K$5:$AJ$120,0,MATCH(U$2,Inputs!$K$4:$AJ$4,0)))))</f>
        <v>1072</v>
      </c>
      <c r="V30" s="267">
        <f>IF(ISNA(MATCH(V$2,Inputs!$K$4:$AJ$4,0)),NA(),IF(SUMPRODUCT((Inputs!$A$5:$A$120=$B30)*ISNUMBER(INDEX(Inputs!$K$5:$AJ$120,0,MATCH(V$2,Inputs!$K$4:$AJ$4,0))))+SUMPRODUCT((Inputs!$C$5:$C$120=$B30)*ISNUMBER(INDEX(Inputs!$K$5:$AJ$120,0,MATCH(V$2,Inputs!$K$4:$AJ$4,0))))+SUMPRODUCT((Inputs!$E$5:$E$120=$B30)*ISNUMBER(INDEX(Inputs!$K$5:$AJ$120,0,MATCH(V$2,Inputs!$K$4:$AJ$4,0))))=0,NA(),SUMPRODUCT((Inputs!$A$5:$A$120=$B30)*Inputs!$B$5:$B$120*(((Inputs!$G$5:$G$120="moeda")+(Inputs!$G$5:$G$120="acoes"))*Inputs!$B$1+((Inputs!$G$5:$G$120&lt;&gt;"moeda")*(Inputs!$G$5:$G$120&lt;&gt;"acoes")))*INDEX(Inputs!$K$5:$AJ$120,0,MATCH(V$2,Inputs!$K$4:$AJ$4,0)))+SUMPRODUCT((Inputs!$C$5:$C$120=$B30)*Inputs!$D$5:$D$120*(((Inputs!$G$5:$G$120="moeda")+(Inputs!$G$5:$G$120="acoes"))*Inputs!$B$1+((Inputs!$G$5:$G$120&lt;&gt;"moeda")*(Inputs!$G$5:$G$120&lt;&gt;"acoes")))*INDEX(Inputs!$K$5:$AJ$120,0,MATCH(V$2,Inputs!$K$4:$AJ$4,0)))+SUMPRODUCT((Inputs!$E$5:$E$120=$B30)*Inputs!$F$5:$F$120*(((Inputs!$G$5:$G$120="moeda")+(Inputs!$G$5:$G$120="acoes"))*Inputs!$B$1+((Inputs!$G$5:$G$120&lt;&gt;"moeda")*(Inputs!$G$5:$G$120&lt;&gt;"acoes")))*INDEX(Inputs!$K$5:$AJ$120,0,MATCH(V$2,Inputs!$K$4:$AJ$4,0)))))</f>
        <v>859</v>
      </c>
      <c r="W30" s="268">
        <f>V30</f>
        <v>859</v>
      </c>
      <c r="X30" s="267">
        <f>IF(ISNA(MATCH(X$2,Inputs!$K$4:$AJ$4,0)),NA(),IF(SUMPRODUCT((Inputs!$A$5:$A$120=$B30)*ISNUMBER(INDEX(Inputs!$K$5:$AJ$120,0,MATCH(X$2,Inputs!$K$4:$AJ$4,0))))+SUMPRODUCT((Inputs!$C$5:$C$120=$B30)*ISNUMBER(INDEX(Inputs!$K$5:$AJ$120,0,MATCH(X$2,Inputs!$K$4:$AJ$4,0))))+SUMPRODUCT((Inputs!$E$5:$E$120=$B30)*ISNUMBER(INDEX(Inputs!$K$5:$AJ$120,0,MATCH(X$2,Inputs!$K$4:$AJ$4,0))))=0,NA(),SUMPRODUCT((Inputs!$A$5:$A$120=$B30)*Inputs!$B$5:$B$120*(((Inputs!$G$5:$G$120="moeda")+(Inputs!$G$5:$G$120="acoes"))*Inputs!$B$1+((Inputs!$G$5:$G$120&lt;&gt;"moeda")*(Inputs!$G$5:$G$120&lt;&gt;"acoes")))*INDEX(Inputs!$K$5:$AJ$120,0,MATCH(X$2,Inputs!$K$4:$AJ$4,0)))+SUMPRODUCT((Inputs!$C$5:$C$120=$B30)*Inputs!$D$5:$D$120*(((Inputs!$G$5:$G$120="moeda")+(Inputs!$G$5:$G$120="acoes"))*Inputs!$B$1+((Inputs!$G$5:$G$120&lt;&gt;"moeda")*(Inputs!$G$5:$G$120&lt;&gt;"acoes")))*INDEX(Inputs!$K$5:$AJ$120,0,MATCH(X$2,Inputs!$K$4:$AJ$4,0)))+SUMPRODUCT((Inputs!$E$5:$E$120=$B30)*Inputs!$F$5:$F$120*(((Inputs!$G$5:$G$120="moeda")+(Inputs!$G$5:$G$120="acoes"))*Inputs!$B$1+((Inputs!$G$5:$G$120&lt;&gt;"moeda")*(Inputs!$G$5:$G$120&lt;&gt;"acoes")))*INDEX(Inputs!$K$5:$AJ$120,0,MATCH(X$2,Inputs!$K$4:$AJ$4,0)))))</f>
        <v>857</v>
      </c>
      <c r="Y30" s="267">
        <f>IF(ISNA(MATCH(Y$2,Inputs!$K$4:$AJ$4,0)),NA(),IF(SUMPRODUCT((Inputs!$A$5:$A$120=$B30)*ISNUMBER(INDEX(Inputs!$K$5:$AJ$120,0,MATCH(Y$2,Inputs!$K$4:$AJ$4,0))))+SUMPRODUCT((Inputs!$C$5:$C$120=$B30)*ISNUMBER(INDEX(Inputs!$K$5:$AJ$120,0,MATCH(Y$2,Inputs!$K$4:$AJ$4,0))))+SUMPRODUCT((Inputs!$E$5:$E$120=$B30)*ISNUMBER(INDEX(Inputs!$K$5:$AJ$120,0,MATCH(Y$2,Inputs!$K$4:$AJ$4,0))))=0,NA(),SUMPRODUCT((Inputs!$A$5:$A$120=$B30)*Inputs!$B$5:$B$120*(((Inputs!$G$5:$G$120="moeda")+(Inputs!$G$5:$G$120="acoes"))*Inputs!$B$1+((Inputs!$G$5:$G$120&lt;&gt;"moeda")*(Inputs!$G$5:$G$120&lt;&gt;"acoes")))*INDEX(Inputs!$K$5:$AJ$120,0,MATCH(Y$2,Inputs!$K$4:$AJ$4,0)))+SUMPRODUCT((Inputs!$C$5:$C$120=$B30)*Inputs!$D$5:$D$120*(((Inputs!$G$5:$G$120="moeda")+(Inputs!$G$5:$G$120="acoes"))*Inputs!$B$1+((Inputs!$G$5:$G$120&lt;&gt;"moeda")*(Inputs!$G$5:$G$120&lt;&gt;"acoes")))*INDEX(Inputs!$K$5:$AJ$120,0,MATCH(Y$2,Inputs!$K$4:$AJ$4,0)))+SUMPRODUCT((Inputs!$E$5:$E$120=$B30)*Inputs!$F$5:$F$120*(((Inputs!$G$5:$G$120="moeda")+(Inputs!$G$5:$G$120="acoes"))*Inputs!$B$1+((Inputs!$G$5:$G$120&lt;&gt;"moeda")*(Inputs!$G$5:$G$120&lt;&gt;"acoes")))*INDEX(Inputs!$K$5:$AJ$120,0,MATCH(Y$2,Inputs!$K$4:$AJ$4,0)))))</f>
        <v>389</v>
      </c>
      <c r="Z30" s="267">
        <f>IF(ISNA(MATCH(Z$2,Inputs!$K$4:$AJ$4,0)),NA(),IF(SUMPRODUCT((Inputs!$A$5:$A$120=$B30)*ISNUMBER(INDEX(Inputs!$K$5:$AJ$120,0,MATCH(Z$2,Inputs!$K$4:$AJ$4,0))))+SUMPRODUCT((Inputs!$C$5:$C$120=$B30)*ISNUMBER(INDEX(Inputs!$K$5:$AJ$120,0,MATCH(Z$2,Inputs!$K$4:$AJ$4,0))))+SUMPRODUCT((Inputs!$E$5:$E$120=$B30)*ISNUMBER(INDEX(Inputs!$K$5:$AJ$120,0,MATCH(Z$2,Inputs!$K$4:$AJ$4,0))))=0,NA(),SUMPRODUCT((Inputs!$A$5:$A$120=$B30)*Inputs!$B$5:$B$120*(((Inputs!$G$5:$G$120="moeda")+(Inputs!$G$5:$G$120="acoes"))*Inputs!$B$1+((Inputs!$G$5:$G$120&lt;&gt;"moeda")*(Inputs!$G$5:$G$120&lt;&gt;"acoes")))*INDEX(Inputs!$K$5:$AJ$120,0,MATCH(Z$2,Inputs!$K$4:$AJ$4,0)))+SUMPRODUCT((Inputs!$C$5:$C$120=$B30)*Inputs!$D$5:$D$120*(((Inputs!$G$5:$G$120="moeda")+(Inputs!$G$5:$G$120="acoes"))*Inputs!$B$1+((Inputs!$G$5:$G$120&lt;&gt;"moeda")*(Inputs!$G$5:$G$120&lt;&gt;"acoes")))*INDEX(Inputs!$K$5:$AJ$120,0,MATCH(Z$2,Inputs!$K$4:$AJ$4,0)))+SUMPRODUCT((Inputs!$E$5:$E$120=$B30)*Inputs!$F$5:$F$120*(((Inputs!$G$5:$G$120="moeda")+(Inputs!$G$5:$G$120="acoes"))*Inputs!$B$1+((Inputs!$G$5:$G$120&lt;&gt;"moeda")*(Inputs!$G$5:$G$120&lt;&gt;"acoes")))*INDEX(Inputs!$K$5:$AJ$120,0,MATCH(Z$2,Inputs!$K$4:$AJ$4,0)))))</f>
        <v>528</v>
      </c>
      <c r="AA30" s="267">
        <f>IF(ISNA(MATCH(AA$2,Inputs!$K$4:$AJ$4,0)),NA(),IF(SUMPRODUCT((Inputs!$A$5:$A$120=$B30)*ISNUMBER(INDEX(Inputs!$K$5:$AJ$120,0,MATCH(AA$2,Inputs!$K$4:$AJ$4,0))))+SUMPRODUCT((Inputs!$C$5:$C$120=$B30)*ISNUMBER(INDEX(Inputs!$K$5:$AJ$120,0,MATCH(AA$2,Inputs!$K$4:$AJ$4,0))))+SUMPRODUCT((Inputs!$E$5:$E$120=$B30)*ISNUMBER(INDEX(Inputs!$K$5:$AJ$120,0,MATCH(AA$2,Inputs!$K$4:$AJ$4,0))))=0,NA(),SUMPRODUCT((Inputs!$A$5:$A$120=$B30)*Inputs!$B$5:$B$120*(((Inputs!$G$5:$G$120="moeda")+(Inputs!$G$5:$G$120="acoes"))*Inputs!$B$1+((Inputs!$G$5:$G$120&lt;&gt;"moeda")*(Inputs!$G$5:$G$120&lt;&gt;"acoes")))*INDEX(Inputs!$K$5:$AJ$120,0,MATCH(AA$2,Inputs!$K$4:$AJ$4,0)))+SUMPRODUCT((Inputs!$C$5:$C$120=$B30)*Inputs!$D$5:$D$120*(((Inputs!$G$5:$G$120="moeda")+(Inputs!$G$5:$G$120="acoes"))*Inputs!$B$1+((Inputs!$G$5:$G$120&lt;&gt;"moeda")*(Inputs!$G$5:$G$120&lt;&gt;"acoes")))*INDEX(Inputs!$K$5:$AJ$120,0,MATCH(AA$2,Inputs!$K$4:$AJ$4,0)))+SUMPRODUCT((Inputs!$E$5:$E$120=$B30)*Inputs!$F$5:$F$120*(((Inputs!$G$5:$G$120="moeda")+(Inputs!$G$5:$G$120="acoes"))*Inputs!$B$1+((Inputs!$G$5:$G$120&lt;&gt;"moeda")*(Inputs!$G$5:$G$120&lt;&gt;"acoes")))*INDEX(Inputs!$K$5:$AJ$120,0,MATCH(AA$2,Inputs!$K$4:$AJ$4,0)))))</f>
        <v>456</v>
      </c>
      <c r="AB30" s="268">
        <f>AA30</f>
        <v>456</v>
      </c>
      <c r="AC30" s="267">
        <f>IF(ISNA(MATCH(AC$2,Inputs!$K$4:$AJ$4,0)),NA(),IF(SUMPRODUCT((Inputs!$A$5:$A$120=$B30)*ISNUMBER(INDEX(Inputs!$K$5:$AJ$120,0,MATCH(AC$2,Inputs!$K$4:$AJ$4,0))))+SUMPRODUCT((Inputs!$C$5:$C$120=$B30)*ISNUMBER(INDEX(Inputs!$K$5:$AJ$120,0,MATCH(AC$2,Inputs!$K$4:$AJ$4,0))))+SUMPRODUCT((Inputs!$E$5:$E$120=$B30)*ISNUMBER(INDEX(Inputs!$K$5:$AJ$120,0,MATCH(AC$2,Inputs!$K$4:$AJ$4,0))))=0,NA(),SUMPRODUCT((Inputs!$A$5:$A$120=$B30)*Inputs!$B$5:$B$120*(((Inputs!$G$5:$G$120="moeda")+(Inputs!$G$5:$G$120="acoes"))*Inputs!$B$1+((Inputs!$G$5:$G$120&lt;&gt;"moeda")*(Inputs!$G$5:$G$120&lt;&gt;"acoes")))*INDEX(Inputs!$K$5:$AJ$120,0,MATCH(AC$2,Inputs!$K$4:$AJ$4,0)))+SUMPRODUCT((Inputs!$C$5:$C$120=$B30)*Inputs!$D$5:$D$120*(((Inputs!$G$5:$G$120="moeda")+(Inputs!$G$5:$G$120="acoes"))*Inputs!$B$1+((Inputs!$G$5:$G$120&lt;&gt;"moeda")*(Inputs!$G$5:$G$120&lt;&gt;"acoes")))*INDEX(Inputs!$K$5:$AJ$120,0,MATCH(AC$2,Inputs!$K$4:$AJ$4,0)))+SUMPRODUCT((Inputs!$E$5:$E$120=$B30)*Inputs!$F$5:$F$120*(((Inputs!$G$5:$G$120="moeda")+(Inputs!$G$5:$G$120="acoes"))*Inputs!$B$1+((Inputs!$G$5:$G$120&lt;&gt;"moeda")*(Inputs!$G$5:$G$120&lt;&gt;"acoes")))*INDEX(Inputs!$K$5:$AJ$120,0,MATCH(AC$2,Inputs!$K$4:$AJ$4,0)))))</f>
        <v>725</v>
      </c>
      <c r="AD30" s="267">
        <f>IF(ISNA(MATCH(AD$2,Inputs!$K$4:$AJ$4,0)),NA(),IF(SUMPRODUCT((Inputs!$A$5:$A$120=$B30)*ISNUMBER(INDEX(Inputs!$K$5:$AJ$120,0,MATCH(AD$2,Inputs!$K$4:$AJ$4,0))))+SUMPRODUCT((Inputs!$C$5:$C$120=$B30)*ISNUMBER(INDEX(Inputs!$K$5:$AJ$120,0,MATCH(AD$2,Inputs!$K$4:$AJ$4,0))))+SUMPRODUCT((Inputs!$E$5:$E$120=$B30)*ISNUMBER(INDEX(Inputs!$K$5:$AJ$120,0,MATCH(AD$2,Inputs!$K$4:$AJ$4,0))))=0,NA(),SUMPRODUCT((Inputs!$A$5:$A$120=$B30)*Inputs!$B$5:$B$120*(((Inputs!$G$5:$G$120="moeda")+(Inputs!$G$5:$G$120="acoes"))*Inputs!$B$1+((Inputs!$G$5:$G$120&lt;&gt;"moeda")*(Inputs!$G$5:$G$120&lt;&gt;"acoes")))*INDEX(Inputs!$K$5:$AJ$120,0,MATCH(AD$2,Inputs!$K$4:$AJ$4,0)))+SUMPRODUCT((Inputs!$C$5:$C$120=$B30)*Inputs!$D$5:$D$120*(((Inputs!$G$5:$G$120="moeda")+(Inputs!$G$5:$G$120="acoes"))*Inputs!$B$1+((Inputs!$G$5:$G$120&lt;&gt;"moeda")*(Inputs!$G$5:$G$120&lt;&gt;"acoes")))*INDEX(Inputs!$K$5:$AJ$120,0,MATCH(AD$2,Inputs!$K$4:$AJ$4,0)))+SUMPRODUCT((Inputs!$E$5:$E$120=$B30)*Inputs!$F$5:$F$120*(((Inputs!$G$5:$G$120="moeda")+(Inputs!$G$5:$G$120="acoes"))*Inputs!$B$1+((Inputs!$G$5:$G$120&lt;&gt;"moeda")*(Inputs!$G$5:$G$120&lt;&gt;"acoes")))*INDEX(Inputs!$K$5:$AJ$120,0,MATCH(AD$2,Inputs!$K$4:$AJ$4,0)))))</f>
        <v>509</v>
      </c>
      <c r="AE30" s="267" t="e">
        <f>IF(ISNA(MATCH(AE$2,Inputs!$K$4:$AJ$4,0)),NA(),IF(SUMPRODUCT((Inputs!$A$5:$A$120=$B30)*ISNUMBER(INDEX(Inputs!$K$5:$AJ$120,0,MATCH(AE$2,Inputs!$K$4:$AJ$4,0))))+SUMPRODUCT((Inputs!$C$5:$C$120=$B30)*ISNUMBER(INDEX(Inputs!$K$5:$AJ$120,0,MATCH(AE$2,Inputs!$K$4:$AJ$4,0))))+SUMPRODUCT((Inputs!$E$5:$E$120=$B30)*ISNUMBER(INDEX(Inputs!$K$5:$AJ$120,0,MATCH(AE$2,Inputs!$K$4:$AJ$4,0))))=0,NA(),SUMPRODUCT((Inputs!$A$5:$A$120=$B30)*Inputs!$B$5:$B$120*(((Inputs!$G$5:$G$120="moeda")+(Inputs!$G$5:$G$120="acoes"))*Inputs!$B$1+((Inputs!$G$5:$G$120&lt;&gt;"moeda")*(Inputs!$G$5:$G$120&lt;&gt;"acoes")))*INDEX(Inputs!$K$5:$AJ$120,0,MATCH(AE$2,Inputs!$K$4:$AJ$4,0)))+SUMPRODUCT((Inputs!$C$5:$C$120=$B30)*Inputs!$D$5:$D$120*(((Inputs!$G$5:$G$120="moeda")+(Inputs!$G$5:$G$120="acoes"))*Inputs!$B$1+((Inputs!$G$5:$G$120&lt;&gt;"moeda")*(Inputs!$G$5:$G$120&lt;&gt;"acoes")))*INDEX(Inputs!$K$5:$AJ$120,0,MATCH(AE$2,Inputs!$K$4:$AJ$4,0)))+SUMPRODUCT((Inputs!$E$5:$E$120=$B30)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0" s="267" t="e">
        <f>IF(ISNA(MATCH(AF$2,Inputs!$K$4:$AJ$4,0)),NA(),IF(SUMPRODUCT((Inputs!$A$5:$A$120=$B30)*ISNUMBER(INDEX(Inputs!$K$5:$AJ$120,0,MATCH(AF$2,Inputs!$K$4:$AJ$4,0))))+SUMPRODUCT((Inputs!$C$5:$C$120=$B30)*ISNUMBER(INDEX(Inputs!$K$5:$AJ$120,0,MATCH(AF$2,Inputs!$K$4:$AJ$4,0))))+SUMPRODUCT((Inputs!$E$5:$E$120=$B30)*ISNUMBER(INDEX(Inputs!$K$5:$AJ$120,0,MATCH(AF$2,Inputs!$K$4:$AJ$4,0))))=0,NA(),SUMPRODUCT((Inputs!$A$5:$A$120=$B30)*Inputs!$B$5:$B$120*(((Inputs!$G$5:$G$120="moeda")+(Inputs!$G$5:$G$120="acoes"))*Inputs!$B$1+((Inputs!$G$5:$G$120&lt;&gt;"moeda")*(Inputs!$G$5:$G$120&lt;&gt;"acoes")))*INDEX(Inputs!$K$5:$AJ$120,0,MATCH(AF$2,Inputs!$K$4:$AJ$4,0)))+SUMPRODUCT((Inputs!$C$5:$C$120=$B30)*Inputs!$D$5:$D$120*(((Inputs!$G$5:$G$120="moeda")+(Inputs!$G$5:$G$120="acoes"))*Inputs!$B$1+((Inputs!$G$5:$G$120&lt;&gt;"moeda")*(Inputs!$G$5:$G$120&lt;&gt;"acoes")))*INDEX(Inputs!$K$5:$AJ$120,0,MATCH(AF$2,Inputs!$K$4:$AJ$4,0)))+SUMPRODUCT((Inputs!$E$5:$E$120=$B30)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0" s="268" t="e">
        <f>AF30</f>
        <v>#N/A</v>
      </c>
      <c r="AH30" s="267">
        <f>IF(ISNA(MATCH(AH$2,Inputs!$K$4:$AJ$4,0)),NA(),IF(SUMPRODUCT((Inputs!$A$5:$A$120=$B30)*ISNUMBER(INDEX(Inputs!$K$5:$AJ$120,0,MATCH(AH$2,Inputs!$K$4:$AJ$4,0))))+SUMPRODUCT((Inputs!$C$5:$C$120=$B30)*ISNUMBER(INDEX(Inputs!$K$5:$AJ$120,0,MATCH(AH$2,Inputs!$K$4:$AJ$4,0))))+SUMPRODUCT((Inputs!$E$5:$E$120=$B30)*ISNUMBER(INDEX(Inputs!$K$5:$AJ$120,0,MATCH(AH$2,Inputs!$K$4:$AJ$4,0))))=0,NA(),SUMPRODUCT((Inputs!$A$5:$A$120=$B30)*Inputs!$B$5:$B$120*(((Inputs!$G$5:$G$120="moeda")+(Inputs!$G$5:$G$120="acoes"))*Inputs!$B$1+((Inputs!$G$5:$G$120&lt;&gt;"moeda")*(Inputs!$G$5:$G$120&lt;&gt;"acoes")))*INDEX(Inputs!$K$5:$AJ$120,0,MATCH(AH$2,Inputs!$K$4:$AJ$4,0)))+SUMPRODUCT((Inputs!$C$5:$C$120=$B30)*Inputs!$D$5:$D$120*(((Inputs!$G$5:$G$120="moeda")+(Inputs!$G$5:$G$120="acoes"))*Inputs!$B$1+((Inputs!$G$5:$G$120&lt;&gt;"moeda")*(Inputs!$G$5:$G$120&lt;&gt;"acoes")))*INDEX(Inputs!$K$5:$AJ$120,0,MATCH(AH$2,Inputs!$K$4:$AJ$4,0)))+SUMPRODUCT((Inputs!$E$5:$E$120=$B30)*Inputs!$F$5:$F$120*(((Inputs!$G$5:$G$120="moeda")+(Inputs!$G$5:$G$120="acoes"))*Inputs!$B$1+((Inputs!$G$5:$G$120&lt;&gt;"moeda")*(Inputs!$G$5:$G$120&lt;&gt;"acoes")))*INDEX(Inputs!$K$5:$AJ$120,0,MATCH(AH$2,Inputs!$K$4:$AJ$4,0)))))</f>
        <v>128</v>
      </c>
      <c r="AI30" s="267">
        <f>IF(ISNA(MATCH(AI$2,Inputs!$K$4:$AJ$4,0)),NA(),IF(SUMPRODUCT((Inputs!$A$5:$A$120=$B30)*ISNUMBER(INDEX(Inputs!$K$5:$AJ$120,0,MATCH(AI$2,Inputs!$K$4:$AJ$4,0))))+SUMPRODUCT((Inputs!$C$5:$C$120=$B30)*ISNUMBER(INDEX(Inputs!$K$5:$AJ$120,0,MATCH(AI$2,Inputs!$K$4:$AJ$4,0))))+SUMPRODUCT((Inputs!$E$5:$E$120=$B30)*ISNUMBER(INDEX(Inputs!$K$5:$AJ$120,0,MATCH(AI$2,Inputs!$K$4:$AJ$4,0))))=0,NA(),SUMPRODUCT((Inputs!$A$5:$A$120=$B30)*Inputs!$B$5:$B$120*(((Inputs!$G$5:$G$120="moeda")+(Inputs!$G$5:$G$120="acoes"))*Inputs!$B$1+((Inputs!$G$5:$G$120&lt;&gt;"moeda")*(Inputs!$G$5:$G$120&lt;&gt;"acoes")))*INDEX(Inputs!$K$5:$AJ$120,0,MATCH(AI$2,Inputs!$K$4:$AJ$4,0)))+SUMPRODUCT((Inputs!$C$5:$C$120=$B30)*Inputs!$D$5:$D$120*(((Inputs!$G$5:$G$120="moeda")+(Inputs!$G$5:$G$120="acoes"))*Inputs!$B$1+((Inputs!$G$5:$G$120&lt;&gt;"moeda")*(Inputs!$G$5:$G$120&lt;&gt;"acoes")))*INDEX(Inputs!$K$5:$AJ$120,0,MATCH(AI$2,Inputs!$K$4:$AJ$4,0)))+SUMPRODUCT((Inputs!$E$5:$E$120=$B30)*Inputs!$F$5:$F$120*(((Inputs!$G$5:$G$120="moeda")+(Inputs!$G$5:$G$120="acoes"))*Inputs!$B$1+((Inputs!$G$5:$G$120&lt;&gt;"moeda")*(Inputs!$G$5:$G$120&lt;&gt;"acoes")))*INDEX(Inputs!$K$5:$AJ$120,0,MATCH(AI$2,Inputs!$K$4:$AJ$4,0)))))</f>
        <v>47</v>
      </c>
      <c r="AJ30" s="267">
        <f>IF(ISNA(MATCH(AJ$2,Inputs!$K$4:$AJ$4,0)),NA(),IF(SUMPRODUCT((Inputs!$A$5:$A$120=$B30)*ISNUMBER(INDEX(Inputs!$K$5:$AJ$120,0,MATCH(AJ$2,Inputs!$K$4:$AJ$4,0))))+SUMPRODUCT((Inputs!$C$5:$C$120=$B30)*ISNUMBER(INDEX(Inputs!$K$5:$AJ$120,0,MATCH(AJ$2,Inputs!$K$4:$AJ$4,0))))+SUMPRODUCT((Inputs!$E$5:$E$120=$B30)*ISNUMBER(INDEX(Inputs!$K$5:$AJ$120,0,MATCH(AJ$2,Inputs!$K$4:$AJ$4,0))))=0,NA(),SUMPRODUCT((Inputs!$A$5:$A$120=$B30)*Inputs!$B$5:$B$120*(((Inputs!$G$5:$G$120="moeda")+(Inputs!$G$5:$G$120="acoes"))*Inputs!$B$1+((Inputs!$G$5:$G$120&lt;&gt;"moeda")*(Inputs!$G$5:$G$120&lt;&gt;"acoes")))*INDEX(Inputs!$K$5:$AJ$120,0,MATCH(AJ$2,Inputs!$K$4:$AJ$4,0)))+SUMPRODUCT((Inputs!$C$5:$C$120=$B30)*Inputs!$D$5:$D$120*(((Inputs!$G$5:$G$120="moeda")+(Inputs!$G$5:$G$120="acoes"))*Inputs!$B$1+((Inputs!$G$5:$G$120&lt;&gt;"moeda")*(Inputs!$G$5:$G$120&lt;&gt;"acoes")))*INDEX(Inputs!$K$5:$AJ$120,0,MATCH(AJ$2,Inputs!$K$4:$AJ$4,0)))+SUMPRODUCT((Inputs!$E$5:$E$120=$B30)*Inputs!$F$5:$F$120*(((Inputs!$G$5:$G$120="moeda")+(Inputs!$G$5:$G$120="acoes"))*Inputs!$B$1+((Inputs!$G$5:$G$120&lt;&gt;"moeda")*(Inputs!$G$5:$G$120&lt;&gt;"acoes")))*INDEX(Inputs!$K$5:$AJ$120,0,MATCH(AJ$2,Inputs!$K$4:$AJ$4,0)))))</f>
        <v>119</v>
      </c>
      <c r="AK30" s="267">
        <f>IF(ISNA(MATCH(AK$2,Inputs!$K$4:$AJ$4,0)),NA(),IF(SUMPRODUCT((Inputs!$A$5:$A$120=$B30)*ISNUMBER(INDEX(Inputs!$K$5:$AJ$120,0,MATCH(AK$2,Inputs!$K$4:$AJ$4,0))))+SUMPRODUCT((Inputs!$C$5:$C$120=$B30)*ISNUMBER(INDEX(Inputs!$K$5:$AJ$120,0,MATCH(AK$2,Inputs!$K$4:$AJ$4,0))))+SUMPRODUCT((Inputs!$E$5:$E$120=$B30)*ISNUMBER(INDEX(Inputs!$K$5:$AJ$120,0,MATCH(AK$2,Inputs!$K$4:$AJ$4,0))))=0,NA(),SUMPRODUCT((Inputs!$A$5:$A$120=$B30)*Inputs!$B$5:$B$120*(((Inputs!$G$5:$G$120="moeda")+(Inputs!$G$5:$G$120="acoes"))*Inputs!$B$1+((Inputs!$G$5:$G$120&lt;&gt;"moeda")*(Inputs!$G$5:$G$120&lt;&gt;"acoes")))*INDEX(Inputs!$K$5:$AJ$120,0,MATCH(AK$2,Inputs!$K$4:$AJ$4,0)))+SUMPRODUCT((Inputs!$C$5:$C$120=$B30)*Inputs!$D$5:$D$120*(((Inputs!$G$5:$G$120="moeda")+(Inputs!$G$5:$G$120="acoes"))*Inputs!$B$1+((Inputs!$G$5:$G$120&lt;&gt;"moeda")*(Inputs!$G$5:$G$120&lt;&gt;"acoes")))*INDEX(Inputs!$K$5:$AJ$120,0,MATCH(AK$2,Inputs!$K$4:$AJ$4,0)))+SUMPRODUCT((Inputs!$E$5:$E$120=$B30)*Inputs!$F$5:$F$120*(((Inputs!$G$5:$G$120="moeda")+(Inputs!$G$5:$G$120="acoes"))*Inputs!$B$1+((Inputs!$G$5:$G$120&lt;&gt;"moeda")*(Inputs!$G$5:$G$120&lt;&gt;"acoes")))*INDEX(Inputs!$K$5:$AJ$120,0,MATCH(AK$2,Inputs!$K$4:$AJ$4,0)))))</f>
        <v>324</v>
      </c>
      <c r="AL30" s="268">
        <f>AK30</f>
        <v>324</v>
      </c>
    </row>
    <row r="31" ht="12.75" customHeight="1" s="255">
      <c r="B31" s="265" t="n">
        <v>26</v>
      </c>
      <c r="C31" s="270" t="inlineStr">
        <is>
          <t>Other current liabilities (non-debt)</t>
        </is>
      </c>
      <c r="D31" s="267">
        <f>IF(ISNA(MATCH(D$2,Inputs!$K$4:$AJ$4,0)),NA(),IF(SUMPRODUCT((Inputs!$A$5:$A$120=$B31)*ISNUMBER(INDEX(Inputs!$K$5:$AJ$120,0,MATCH(D$2,Inputs!$K$4:$AJ$4,0))))+SUMPRODUCT((Inputs!$C$5:$C$120=$B31)*ISNUMBER(INDEX(Inputs!$K$5:$AJ$120,0,MATCH(D$2,Inputs!$K$4:$AJ$4,0))))+SUMPRODUCT((Inputs!$E$5:$E$120=$B31)*ISNUMBER(INDEX(Inputs!$K$5:$AJ$120,0,MATCH(D$2,Inputs!$K$4:$AJ$4,0))))=0,NA(),SUMPRODUCT((Inputs!$A$5:$A$120=$B31)*Inputs!$B$5:$B$120*(((Inputs!$G$5:$G$120="moeda")+(Inputs!$G$5:$G$120="acoes"))*Inputs!$B$1+((Inputs!$G$5:$G$120&lt;&gt;"moeda")*(Inputs!$G$5:$G$120&lt;&gt;"acoes")))*INDEX(Inputs!$K$5:$AJ$120,0,MATCH(D$2,Inputs!$K$4:$AJ$4,0)))+SUMPRODUCT((Inputs!$C$5:$C$120=$B31)*Inputs!$D$5:$D$120*(((Inputs!$G$5:$G$120="moeda")+(Inputs!$G$5:$G$120="acoes"))*Inputs!$B$1+((Inputs!$G$5:$G$120&lt;&gt;"moeda")*(Inputs!$G$5:$G$120&lt;&gt;"acoes")))*INDEX(Inputs!$K$5:$AJ$120,0,MATCH(D$2,Inputs!$K$4:$AJ$4,0)))+SUMPRODUCT((Inputs!$E$5:$E$120=$B31)*Inputs!$F$5:$F$120*(((Inputs!$G$5:$G$120="moeda")+(Inputs!$G$5:$G$120="acoes"))*Inputs!$B$1+((Inputs!$G$5:$G$120&lt;&gt;"moeda")*(Inputs!$G$5:$G$120&lt;&gt;"acoes")))*INDEX(Inputs!$K$5:$AJ$120,0,MATCH(D$2,Inputs!$K$4:$AJ$4,0)))))</f>
        <v>442</v>
      </c>
      <c r="E31" s="267">
        <f>IF(ISNA(MATCH(E$2,Inputs!$K$4:$AJ$4,0)),NA(),IF(SUMPRODUCT((Inputs!$A$5:$A$120=$B31)*ISNUMBER(INDEX(Inputs!$K$5:$AJ$120,0,MATCH(E$2,Inputs!$K$4:$AJ$4,0))))+SUMPRODUCT((Inputs!$C$5:$C$120=$B31)*ISNUMBER(INDEX(Inputs!$K$5:$AJ$120,0,MATCH(E$2,Inputs!$K$4:$AJ$4,0))))+SUMPRODUCT((Inputs!$E$5:$E$120=$B31)*ISNUMBER(INDEX(Inputs!$K$5:$AJ$120,0,MATCH(E$2,Inputs!$K$4:$AJ$4,0))))=0,NA(),SUMPRODUCT((Inputs!$A$5:$A$120=$B31)*Inputs!$B$5:$B$120*(((Inputs!$G$5:$G$120="moeda")+(Inputs!$G$5:$G$120="acoes"))*Inputs!$B$1+((Inputs!$G$5:$G$120&lt;&gt;"moeda")*(Inputs!$G$5:$G$120&lt;&gt;"acoes")))*INDEX(Inputs!$K$5:$AJ$120,0,MATCH(E$2,Inputs!$K$4:$AJ$4,0)))+SUMPRODUCT((Inputs!$C$5:$C$120=$B31)*Inputs!$D$5:$D$120*(((Inputs!$G$5:$G$120="moeda")+(Inputs!$G$5:$G$120="acoes"))*Inputs!$B$1+((Inputs!$G$5:$G$120&lt;&gt;"moeda")*(Inputs!$G$5:$G$120&lt;&gt;"acoes")))*INDEX(Inputs!$K$5:$AJ$120,0,MATCH(E$2,Inputs!$K$4:$AJ$4,0)))+SUMPRODUCT((Inputs!$E$5:$E$120=$B31)*Inputs!$F$5:$F$120*(((Inputs!$G$5:$G$120="moeda")+(Inputs!$G$5:$G$120="acoes"))*Inputs!$B$1+((Inputs!$G$5:$G$120&lt;&gt;"moeda")*(Inputs!$G$5:$G$120&lt;&gt;"acoes")))*INDEX(Inputs!$K$5:$AJ$120,0,MATCH(E$2,Inputs!$K$4:$AJ$4,0)))))</f>
        <v>445</v>
      </c>
      <c r="F31" s="267">
        <f>IF(ISNA(MATCH(F$2,Inputs!$K$4:$AJ$4,0)),NA(),IF(SUMPRODUCT((Inputs!$A$5:$A$120=$B31)*ISNUMBER(INDEX(Inputs!$K$5:$AJ$120,0,MATCH(F$2,Inputs!$K$4:$AJ$4,0))))+SUMPRODUCT((Inputs!$C$5:$C$120=$B31)*ISNUMBER(INDEX(Inputs!$K$5:$AJ$120,0,MATCH(F$2,Inputs!$K$4:$AJ$4,0))))+SUMPRODUCT((Inputs!$E$5:$E$120=$B31)*ISNUMBER(INDEX(Inputs!$K$5:$AJ$120,0,MATCH(F$2,Inputs!$K$4:$AJ$4,0))))=0,NA(),SUMPRODUCT((Inputs!$A$5:$A$120=$B31)*Inputs!$B$5:$B$120*(((Inputs!$G$5:$G$120="moeda")+(Inputs!$G$5:$G$120="acoes"))*Inputs!$B$1+((Inputs!$G$5:$G$120&lt;&gt;"moeda")*(Inputs!$G$5:$G$120&lt;&gt;"acoes")))*INDEX(Inputs!$K$5:$AJ$120,0,MATCH(F$2,Inputs!$K$4:$AJ$4,0)))+SUMPRODUCT((Inputs!$C$5:$C$120=$B31)*Inputs!$D$5:$D$120*(((Inputs!$G$5:$G$120="moeda")+(Inputs!$G$5:$G$120="acoes"))*Inputs!$B$1+((Inputs!$G$5:$G$120&lt;&gt;"moeda")*(Inputs!$G$5:$G$120&lt;&gt;"acoes")))*INDEX(Inputs!$K$5:$AJ$120,0,MATCH(F$2,Inputs!$K$4:$AJ$4,0)))+SUMPRODUCT((Inputs!$E$5:$E$120=$B31)*Inputs!$F$5:$F$120*(((Inputs!$G$5:$G$120="moeda")+(Inputs!$G$5:$G$120="acoes"))*Inputs!$B$1+((Inputs!$G$5:$G$120&lt;&gt;"moeda")*(Inputs!$G$5:$G$120&lt;&gt;"acoes")))*INDEX(Inputs!$K$5:$AJ$120,0,MATCH(F$2,Inputs!$K$4:$AJ$4,0)))))</f>
        <v>440</v>
      </c>
      <c r="G31" s="267">
        <f>IF(ISNA(MATCH(G$2,Inputs!$K$4:$AJ$4,0)),NA(),IF(SUMPRODUCT((Inputs!$A$5:$A$120=$B31)*ISNUMBER(INDEX(Inputs!$K$5:$AJ$120,0,MATCH(G$2,Inputs!$K$4:$AJ$4,0))))+SUMPRODUCT((Inputs!$C$5:$C$120=$B31)*ISNUMBER(INDEX(Inputs!$K$5:$AJ$120,0,MATCH(G$2,Inputs!$K$4:$AJ$4,0))))+SUMPRODUCT((Inputs!$E$5:$E$120=$B31)*ISNUMBER(INDEX(Inputs!$K$5:$AJ$120,0,MATCH(G$2,Inputs!$K$4:$AJ$4,0))))=0,NA(),SUMPRODUCT((Inputs!$A$5:$A$120=$B31)*Inputs!$B$5:$B$120*(((Inputs!$G$5:$G$120="moeda")+(Inputs!$G$5:$G$120="acoes"))*Inputs!$B$1+((Inputs!$G$5:$G$120&lt;&gt;"moeda")*(Inputs!$G$5:$G$120&lt;&gt;"acoes")))*INDEX(Inputs!$K$5:$AJ$120,0,MATCH(G$2,Inputs!$K$4:$AJ$4,0)))+SUMPRODUCT((Inputs!$C$5:$C$120=$B31)*Inputs!$D$5:$D$120*(((Inputs!$G$5:$G$120="moeda")+(Inputs!$G$5:$G$120="acoes"))*Inputs!$B$1+((Inputs!$G$5:$G$120&lt;&gt;"moeda")*(Inputs!$G$5:$G$120&lt;&gt;"acoes")))*INDEX(Inputs!$K$5:$AJ$120,0,MATCH(G$2,Inputs!$K$4:$AJ$4,0)))+SUMPRODUCT((Inputs!$E$5:$E$120=$B31)*Inputs!$F$5:$F$120*(((Inputs!$G$5:$G$120="moeda")+(Inputs!$G$5:$G$120="acoes"))*Inputs!$B$1+((Inputs!$G$5:$G$120&lt;&gt;"moeda")*(Inputs!$G$5:$G$120&lt;&gt;"acoes")))*INDEX(Inputs!$K$5:$AJ$120,0,MATCH(G$2,Inputs!$K$4:$AJ$4,0)))))</f>
        <v>484</v>
      </c>
      <c r="H31" s="268">
        <f>G31</f>
        <v>484</v>
      </c>
      <c r="I31" s="267">
        <f>IF(ISNA(MATCH(I$2,Inputs!$K$4:$AJ$4,0)),NA(),IF(SUMPRODUCT((Inputs!$A$5:$A$120=$B31)*ISNUMBER(INDEX(Inputs!$K$5:$AJ$120,0,MATCH(I$2,Inputs!$K$4:$AJ$4,0))))+SUMPRODUCT((Inputs!$C$5:$C$120=$B31)*ISNUMBER(INDEX(Inputs!$K$5:$AJ$120,0,MATCH(I$2,Inputs!$K$4:$AJ$4,0))))+SUMPRODUCT((Inputs!$E$5:$E$120=$B31)*ISNUMBER(INDEX(Inputs!$K$5:$AJ$120,0,MATCH(I$2,Inputs!$K$4:$AJ$4,0))))=0,NA(),SUMPRODUCT((Inputs!$A$5:$A$120=$B31)*Inputs!$B$5:$B$120*(((Inputs!$G$5:$G$120="moeda")+(Inputs!$G$5:$G$120="acoes"))*Inputs!$B$1+((Inputs!$G$5:$G$120&lt;&gt;"moeda")*(Inputs!$G$5:$G$120&lt;&gt;"acoes")))*INDEX(Inputs!$K$5:$AJ$120,0,MATCH(I$2,Inputs!$K$4:$AJ$4,0)))+SUMPRODUCT((Inputs!$C$5:$C$120=$B31)*Inputs!$D$5:$D$120*(((Inputs!$G$5:$G$120="moeda")+(Inputs!$G$5:$G$120="acoes"))*Inputs!$B$1+((Inputs!$G$5:$G$120&lt;&gt;"moeda")*(Inputs!$G$5:$G$120&lt;&gt;"acoes")))*INDEX(Inputs!$K$5:$AJ$120,0,MATCH(I$2,Inputs!$K$4:$AJ$4,0)))+SUMPRODUCT((Inputs!$E$5:$E$120=$B31)*Inputs!$F$5:$F$120*(((Inputs!$G$5:$G$120="moeda")+(Inputs!$G$5:$G$120="acoes"))*Inputs!$B$1+((Inputs!$G$5:$G$120&lt;&gt;"moeda")*(Inputs!$G$5:$G$120&lt;&gt;"acoes")))*INDEX(Inputs!$K$5:$AJ$120,0,MATCH(I$2,Inputs!$K$4:$AJ$4,0)))))</f>
        <v>534</v>
      </c>
      <c r="J31" s="267">
        <f>IF(ISNA(MATCH(J$2,Inputs!$K$4:$AJ$4,0)),NA(),IF(SUMPRODUCT((Inputs!$A$5:$A$120=$B31)*ISNUMBER(INDEX(Inputs!$K$5:$AJ$120,0,MATCH(J$2,Inputs!$K$4:$AJ$4,0))))+SUMPRODUCT((Inputs!$C$5:$C$120=$B31)*ISNUMBER(INDEX(Inputs!$K$5:$AJ$120,0,MATCH(J$2,Inputs!$K$4:$AJ$4,0))))+SUMPRODUCT((Inputs!$E$5:$E$120=$B31)*ISNUMBER(INDEX(Inputs!$K$5:$AJ$120,0,MATCH(J$2,Inputs!$K$4:$AJ$4,0))))=0,NA(),SUMPRODUCT((Inputs!$A$5:$A$120=$B31)*Inputs!$B$5:$B$120*(((Inputs!$G$5:$G$120="moeda")+(Inputs!$G$5:$G$120="acoes"))*Inputs!$B$1+((Inputs!$G$5:$G$120&lt;&gt;"moeda")*(Inputs!$G$5:$G$120&lt;&gt;"acoes")))*INDEX(Inputs!$K$5:$AJ$120,0,MATCH(J$2,Inputs!$K$4:$AJ$4,0)))+SUMPRODUCT((Inputs!$C$5:$C$120=$B31)*Inputs!$D$5:$D$120*(((Inputs!$G$5:$G$120="moeda")+(Inputs!$G$5:$G$120="acoes"))*Inputs!$B$1+((Inputs!$G$5:$G$120&lt;&gt;"moeda")*(Inputs!$G$5:$G$120&lt;&gt;"acoes")))*INDEX(Inputs!$K$5:$AJ$120,0,MATCH(J$2,Inputs!$K$4:$AJ$4,0)))+SUMPRODUCT((Inputs!$E$5:$E$120=$B31)*Inputs!$F$5:$F$120*(((Inputs!$G$5:$G$120="moeda")+(Inputs!$G$5:$G$120="acoes"))*Inputs!$B$1+((Inputs!$G$5:$G$120&lt;&gt;"moeda")*(Inputs!$G$5:$G$120&lt;&gt;"acoes")))*INDEX(Inputs!$K$5:$AJ$120,0,MATCH(J$2,Inputs!$K$4:$AJ$4,0)))))</f>
        <v>534</v>
      </c>
      <c r="K31" s="267">
        <f>IF(ISNA(MATCH(K$2,Inputs!$K$4:$AJ$4,0)),NA(),IF(SUMPRODUCT((Inputs!$A$5:$A$120=$B31)*ISNUMBER(INDEX(Inputs!$K$5:$AJ$120,0,MATCH(K$2,Inputs!$K$4:$AJ$4,0))))+SUMPRODUCT((Inputs!$C$5:$C$120=$B31)*ISNUMBER(INDEX(Inputs!$K$5:$AJ$120,0,MATCH(K$2,Inputs!$K$4:$AJ$4,0))))+SUMPRODUCT((Inputs!$E$5:$E$120=$B31)*ISNUMBER(INDEX(Inputs!$K$5:$AJ$120,0,MATCH(K$2,Inputs!$K$4:$AJ$4,0))))=0,NA(),SUMPRODUCT((Inputs!$A$5:$A$120=$B31)*Inputs!$B$5:$B$120*(((Inputs!$G$5:$G$120="moeda")+(Inputs!$G$5:$G$120="acoes"))*Inputs!$B$1+((Inputs!$G$5:$G$120&lt;&gt;"moeda")*(Inputs!$G$5:$G$120&lt;&gt;"acoes")))*INDEX(Inputs!$K$5:$AJ$120,0,MATCH(K$2,Inputs!$K$4:$AJ$4,0)))+SUMPRODUCT((Inputs!$C$5:$C$120=$B31)*Inputs!$D$5:$D$120*(((Inputs!$G$5:$G$120="moeda")+(Inputs!$G$5:$G$120="acoes"))*Inputs!$B$1+((Inputs!$G$5:$G$120&lt;&gt;"moeda")*(Inputs!$G$5:$G$120&lt;&gt;"acoes")))*INDEX(Inputs!$K$5:$AJ$120,0,MATCH(K$2,Inputs!$K$4:$AJ$4,0)))+SUMPRODUCT((Inputs!$E$5:$E$120=$B31)*Inputs!$F$5:$F$120*(((Inputs!$G$5:$G$120="moeda")+(Inputs!$G$5:$G$120="acoes"))*Inputs!$B$1+((Inputs!$G$5:$G$120&lt;&gt;"moeda")*(Inputs!$G$5:$G$120&lt;&gt;"acoes")))*INDEX(Inputs!$K$5:$AJ$120,0,MATCH(K$2,Inputs!$K$4:$AJ$4,0)))))</f>
        <v>581</v>
      </c>
      <c r="L31" s="267">
        <f>IF(ISNA(MATCH(L$2,Inputs!$K$4:$AJ$4,0)),NA(),IF(SUMPRODUCT((Inputs!$A$5:$A$120=$B31)*ISNUMBER(INDEX(Inputs!$K$5:$AJ$120,0,MATCH(L$2,Inputs!$K$4:$AJ$4,0))))+SUMPRODUCT((Inputs!$C$5:$C$120=$B31)*ISNUMBER(INDEX(Inputs!$K$5:$AJ$120,0,MATCH(L$2,Inputs!$K$4:$AJ$4,0))))+SUMPRODUCT((Inputs!$E$5:$E$120=$B31)*ISNUMBER(INDEX(Inputs!$K$5:$AJ$120,0,MATCH(L$2,Inputs!$K$4:$AJ$4,0))))=0,NA(),SUMPRODUCT((Inputs!$A$5:$A$120=$B31)*Inputs!$B$5:$B$120*(((Inputs!$G$5:$G$120="moeda")+(Inputs!$G$5:$G$120="acoes"))*Inputs!$B$1+((Inputs!$G$5:$G$120&lt;&gt;"moeda")*(Inputs!$G$5:$G$120&lt;&gt;"acoes")))*INDEX(Inputs!$K$5:$AJ$120,0,MATCH(L$2,Inputs!$K$4:$AJ$4,0)))+SUMPRODUCT((Inputs!$C$5:$C$120=$B31)*Inputs!$D$5:$D$120*(((Inputs!$G$5:$G$120="moeda")+(Inputs!$G$5:$G$120="acoes"))*Inputs!$B$1+((Inputs!$G$5:$G$120&lt;&gt;"moeda")*(Inputs!$G$5:$G$120&lt;&gt;"acoes")))*INDEX(Inputs!$K$5:$AJ$120,0,MATCH(L$2,Inputs!$K$4:$AJ$4,0)))+SUMPRODUCT((Inputs!$E$5:$E$120=$B31)*Inputs!$F$5:$F$120*(((Inputs!$G$5:$G$120="moeda")+(Inputs!$G$5:$G$120="acoes"))*Inputs!$B$1+((Inputs!$G$5:$G$120&lt;&gt;"moeda")*(Inputs!$G$5:$G$120&lt;&gt;"acoes")))*INDEX(Inputs!$K$5:$AJ$120,0,MATCH(L$2,Inputs!$K$4:$AJ$4,0)))))</f>
        <v>537</v>
      </c>
      <c r="M31" s="268">
        <f>L31</f>
        <v>537</v>
      </c>
      <c r="N31" s="267">
        <f>IF(ISNA(MATCH(N$2,Inputs!$K$4:$AJ$4,0)),NA(),IF(SUMPRODUCT((Inputs!$A$5:$A$120=$B31)*ISNUMBER(INDEX(Inputs!$K$5:$AJ$120,0,MATCH(N$2,Inputs!$K$4:$AJ$4,0))))+SUMPRODUCT((Inputs!$C$5:$C$120=$B31)*ISNUMBER(INDEX(Inputs!$K$5:$AJ$120,0,MATCH(N$2,Inputs!$K$4:$AJ$4,0))))+SUMPRODUCT((Inputs!$E$5:$E$120=$B31)*ISNUMBER(INDEX(Inputs!$K$5:$AJ$120,0,MATCH(N$2,Inputs!$K$4:$AJ$4,0))))=0,NA(),SUMPRODUCT((Inputs!$A$5:$A$120=$B31)*Inputs!$B$5:$B$120*(((Inputs!$G$5:$G$120="moeda")+(Inputs!$G$5:$G$120="acoes"))*Inputs!$B$1+((Inputs!$G$5:$G$120&lt;&gt;"moeda")*(Inputs!$G$5:$G$120&lt;&gt;"acoes")))*INDEX(Inputs!$K$5:$AJ$120,0,MATCH(N$2,Inputs!$K$4:$AJ$4,0)))+SUMPRODUCT((Inputs!$C$5:$C$120=$B31)*Inputs!$D$5:$D$120*(((Inputs!$G$5:$G$120="moeda")+(Inputs!$G$5:$G$120="acoes"))*Inputs!$B$1+((Inputs!$G$5:$G$120&lt;&gt;"moeda")*(Inputs!$G$5:$G$120&lt;&gt;"acoes")))*INDEX(Inputs!$K$5:$AJ$120,0,MATCH(N$2,Inputs!$K$4:$AJ$4,0)))+SUMPRODUCT((Inputs!$E$5:$E$120=$B31)*Inputs!$F$5:$F$120*(((Inputs!$G$5:$G$120="moeda")+(Inputs!$G$5:$G$120="acoes"))*Inputs!$B$1+((Inputs!$G$5:$G$120&lt;&gt;"moeda")*(Inputs!$G$5:$G$120&lt;&gt;"acoes")))*INDEX(Inputs!$K$5:$AJ$120,0,MATCH(N$2,Inputs!$K$4:$AJ$4,0)))))</f>
        <v>550</v>
      </c>
      <c r="O31" s="267">
        <f>IF(ISNA(MATCH(O$2,Inputs!$K$4:$AJ$4,0)),NA(),IF(SUMPRODUCT((Inputs!$A$5:$A$120=$B31)*ISNUMBER(INDEX(Inputs!$K$5:$AJ$120,0,MATCH(O$2,Inputs!$K$4:$AJ$4,0))))+SUMPRODUCT((Inputs!$C$5:$C$120=$B31)*ISNUMBER(INDEX(Inputs!$K$5:$AJ$120,0,MATCH(O$2,Inputs!$K$4:$AJ$4,0))))+SUMPRODUCT((Inputs!$E$5:$E$120=$B31)*ISNUMBER(INDEX(Inputs!$K$5:$AJ$120,0,MATCH(O$2,Inputs!$K$4:$AJ$4,0))))=0,NA(),SUMPRODUCT((Inputs!$A$5:$A$120=$B31)*Inputs!$B$5:$B$120*(((Inputs!$G$5:$G$120="moeda")+(Inputs!$G$5:$G$120="acoes"))*Inputs!$B$1+((Inputs!$G$5:$G$120&lt;&gt;"moeda")*(Inputs!$G$5:$G$120&lt;&gt;"acoes")))*INDEX(Inputs!$K$5:$AJ$120,0,MATCH(O$2,Inputs!$K$4:$AJ$4,0)))+SUMPRODUCT((Inputs!$C$5:$C$120=$B31)*Inputs!$D$5:$D$120*(((Inputs!$G$5:$G$120="moeda")+(Inputs!$G$5:$G$120="acoes"))*Inputs!$B$1+((Inputs!$G$5:$G$120&lt;&gt;"moeda")*(Inputs!$G$5:$G$120&lt;&gt;"acoes")))*INDEX(Inputs!$K$5:$AJ$120,0,MATCH(O$2,Inputs!$K$4:$AJ$4,0)))+SUMPRODUCT((Inputs!$E$5:$E$120=$B31)*Inputs!$F$5:$F$120*(((Inputs!$G$5:$G$120="moeda")+(Inputs!$G$5:$G$120="acoes"))*Inputs!$B$1+((Inputs!$G$5:$G$120&lt;&gt;"moeda")*(Inputs!$G$5:$G$120&lt;&gt;"acoes")))*INDEX(Inputs!$K$5:$AJ$120,0,MATCH(O$2,Inputs!$K$4:$AJ$4,0)))))</f>
        <v>578</v>
      </c>
      <c r="P31" s="267">
        <f>IF(ISNA(MATCH(P$2,Inputs!$K$4:$AJ$4,0)),NA(),IF(SUMPRODUCT((Inputs!$A$5:$A$120=$B31)*ISNUMBER(INDEX(Inputs!$K$5:$AJ$120,0,MATCH(P$2,Inputs!$K$4:$AJ$4,0))))+SUMPRODUCT((Inputs!$C$5:$C$120=$B31)*ISNUMBER(INDEX(Inputs!$K$5:$AJ$120,0,MATCH(P$2,Inputs!$K$4:$AJ$4,0))))+SUMPRODUCT((Inputs!$E$5:$E$120=$B31)*ISNUMBER(INDEX(Inputs!$K$5:$AJ$120,0,MATCH(P$2,Inputs!$K$4:$AJ$4,0))))=0,NA(),SUMPRODUCT((Inputs!$A$5:$A$120=$B31)*Inputs!$B$5:$B$120*(((Inputs!$G$5:$G$120="moeda")+(Inputs!$G$5:$G$120="acoes"))*Inputs!$B$1+((Inputs!$G$5:$G$120&lt;&gt;"moeda")*(Inputs!$G$5:$G$120&lt;&gt;"acoes")))*INDEX(Inputs!$K$5:$AJ$120,0,MATCH(P$2,Inputs!$K$4:$AJ$4,0)))+SUMPRODUCT((Inputs!$C$5:$C$120=$B31)*Inputs!$D$5:$D$120*(((Inputs!$G$5:$G$120="moeda")+(Inputs!$G$5:$G$120="acoes"))*Inputs!$B$1+((Inputs!$G$5:$G$120&lt;&gt;"moeda")*(Inputs!$G$5:$G$120&lt;&gt;"acoes")))*INDEX(Inputs!$K$5:$AJ$120,0,MATCH(P$2,Inputs!$K$4:$AJ$4,0)))+SUMPRODUCT((Inputs!$E$5:$E$120=$B31)*Inputs!$F$5:$F$120*(((Inputs!$G$5:$G$120="moeda")+(Inputs!$G$5:$G$120="acoes"))*Inputs!$B$1+((Inputs!$G$5:$G$120&lt;&gt;"moeda")*(Inputs!$G$5:$G$120&lt;&gt;"acoes")))*INDEX(Inputs!$K$5:$AJ$120,0,MATCH(P$2,Inputs!$K$4:$AJ$4,0)))))</f>
        <v>612</v>
      </c>
      <c r="Q31" s="267">
        <f>IF(ISNA(MATCH(Q$2,Inputs!$K$4:$AJ$4,0)),NA(),IF(SUMPRODUCT((Inputs!$A$5:$A$120=$B31)*ISNUMBER(INDEX(Inputs!$K$5:$AJ$120,0,MATCH(Q$2,Inputs!$K$4:$AJ$4,0))))+SUMPRODUCT((Inputs!$C$5:$C$120=$B31)*ISNUMBER(INDEX(Inputs!$K$5:$AJ$120,0,MATCH(Q$2,Inputs!$K$4:$AJ$4,0))))+SUMPRODUCT((Inputs!$E$5:$E$120=$B31)*ISNUMBER(INDEX(Inputs!$K$5:$AJ$120,0,MATCH(Q$2,Inputs!$K$4:$AJ$4,0))))=0,NA(),SUMPRODUCT((Inputs!$A$5:$A$120=$B31)*Inputs!$B$5:$B$120*(((Inputs!$G$5:$G$120="moeda")+(Inputs!$G$5:$G$120="acoes"))*Inputs!$B$1+((Inputs!$G$5:$G$120&lt;&gt;"moeda")*(Inputs!$G$5:$G$120&lt;&gt;"acoes")))*INDEX(Inputs!$K$5:$AJ$120,0,MATCH(Q$2,Inputs!$K$4:$AJ$4,0)))+SUMPRODUCT((Inputs!$C$5:$C$120=$B31)*Inputs!$D$5:$D$120*(((Inputs!$G$5:$G$120="moeda")+(Inputs!$G$5:$G$120="acoes"))*Inputs!$B$1+((Inputs!$G$5:$G$120&lt;&gt;"moeda")*(Inputs!$G$5:$G$120&lt;&gt;"acoes")))*INDEX(Inputs!$K$5:$AJ$120,0,MATCH(Q$2,Inputs!$K$4:$AJ$4,0)))+SUMPRODUCT((Inputs!$E$5:$E$120=$B31)*Inputs!$F$5:$F$120*(((Inputs!$G$5:$G$120="moeda")+(Inputs!$G$5:$G$120="acoes"))*Inputs!$B$1+((Inputs!$G$5:$G$120&lt;&gt;"moeda")*(Inputs!$G$5:$G$120&lt;&gt;"acoes")))*INDEX(Inputs!$K$5:$AJ$120,0,MATCH(Q$2,Inputs!$K$4:$AJ$4,0)))))</f>
        <v>534</v>
      </c>
      <c r="R31" s="268">
        <f>Q31</f>
        <v>534</v>
      </c>
      <c r="S31" s="267">
        <f>IF(ISNA(MATCH(S$2,Inputs!$K$4:$AJ$4,0)),NA(),IF(SUMPRODUCT((Inputs!$A$5:$A$120=$B31)*ISNUMBER(INDEX(Inputs!$K$5:$AJ$120,0,MATCH(S$2,Inputs!$K$4:$AJ$4,0))))+SUMPRODUCT((Inputs!$C$5:$C$120=$B31)*ISNUMBER(INDEX(Inputs!$K$5:$AJ$120,0,MATCH(S$2,Inputs!$K$4:$AJ$4,0))))+SUMPRODUCT((Inputs!$E$5:$E$120=$B31)*ISNUMBER(INDEX(Inputs!$K$5:$AJ$120,0,MATCH(S$2,Inputs!$K$4:$AJ$4,0))))=0,NA(),SUMPRODUCT((Inputs!$A$5:$A$120=$B31)*Inputs!$B$5:$B$120*(((Inputs!$G$5:$G$120="moeda")+(Inputs!$G$5:$G$120="acoes"))*Inputs!$B$1+((Inputs!$G$5:$G$120&lt;&gt;"moeda")*(Inputs!$G$5:$G$120&lt;&gt;"acoes")))*INDEX(Inputs!$K$5:$AJ$120,0,MATCH(S$2,Inputs!$K$4:$AJ$4,0)))+SUMPRODUCT((Inputs!$C$5:$C$120=$B31)*Inputs!$D$5:$D$120*(((Inputs!$G$5:$G$120="moeda")+(Inputs!$G$5:$G$120="acoes"))*Inputs!$B$1+((Inputs!$G$5:$G$120&lt;&gt;"moeda")*(Inputs!$G$5:$G$120&lt;&gt;"acoes")))*INDEX(Inputs!$K$5:$AJ$120,0,MATCH(S$2,Inputs!$K$4:$AJ$4,0)))+SUMPRODUCT((Inputs!$E$5:$E$120=$B31)*Inputs!$F$5:$F$120*(((Inputs!$G$5:$G$120="moeda")+(Inputs!$G$5:$G$120="acoes"))*Inputs!$B$1+((Inputs!$G$5:$G$120&lt;&gt;"moeda")*(Inputs!$G$5:$G$120&lt;&gt;"acoes")))*INDEX(Inputs!$K$5:$AJ$120,0,MATCH(S$2,Inputs!$K$4:$AJ$4,0)))))</f>
        <v>542</v>
      </c>
      <c r="T31" s="267">
        <f>IF(ISNA(MATCH(T$2,Inputs!$K$4:$AJ$4,0)),NA(),IF(SUMPRODUCT((Inputs!$A$5:$A$120=$B31)*ISNUMBER(INDEX(Inputs!$K$5:$AJ$120,0,MATCH(T$2,Inputs!$K$4:$AJ$4,0))))+SUMPRODUCT((Inputs!$C$5:$C$120=$B31)*ISNUMBER(INDEX(Inputs!$K$5:$AJ$120,0,MATCH(T$2,Inputs!$K$4:$AJ$4,0))))+SUMPRODUCT((Inputs!$E$5:$E$120=$B31)*ISNUMBER(INDEX(Inputs!$K$5:$AJ$120,0,MATCH(T$2,Inputs!$K$4:$AJ$4,0))))=0,NA(),SUMPRODUCT((Inputs!$A$5:$A$120=$B31)*Inputs!$B$5:$B$120*(((Inputs!$G$5:$G$120="moeda")+(Inputs!$G$5:$G$120="acoes"))*Inputs!$B$1+((Inputs!$G$5:$G$120&lt;&gt;"moeda")*(Inputs!$G$5:$G$120&lt;&gt;"acoes")))*INDEX(Inputs!$K$5:$AJ$120,0,MATCH(T$2,Inputs!$K$4:$AJ$4,0)))+SUMPRODUCT((Inputs!$C$5:$C$120=$B31)*Inputs!$D$5:$D$120*(((Inputs!$G$5:$G$120="moeda")+(Inputs!$G$5:$G$120="acoes"))*Inputs!$B$1+((Inputs!$G$5:$G$120&lt;&gt;"moeda")*(Inputs!$G$5:$G$120&lt;&gt;"acoes")))*INDEX(Inputs!$K$5:$AJ$120,0,MATCH(T$2,Inputs!$K$4:$AJ$4,0)))+SUMPRODUCT((Inputs!$E$5:$E$120=$B31)*Inputs!$F$5:$F$120*(((Inputs!$G$5:$G$120="moeda")+(Inputs!$G$5:$G$120="acoes"))*Inputs!$B$1+((Inputs!$G$5:$G$120&lt;&gt;"moeda")*(Inputs!$G$5:$G$120&lt;&gt;"acoes")))*INDEX(Inputs!$K$5:$AJ$120,0,MATCH(T$2,Inputs!$K$4:$AJ$4,0)))))</f>
        <v>560</v>
      </c>
      <c r="U31" s="267">
        <f>IF(ISNA(MATCH(U$2,Inputs!$K$4:$AJ$4,0)),NA(),IF(SUMPRODUCT((Inputs!$A$5:$A$120=$B31)*ISNUMBER(INDEX(Inputs!$K$5:$AJ$120,0,MATCH(U$2,Inputs!$K$4:$AJ$4,0))))+SUMPRODUCT((Inputs!$C$5:$C$120=$B31)*ISNUMBER(INDEX(Inputs!$K$5:$AJ$120,0,MATCH(U$2,Inputs!$K$4:$AJ$4,0))))+SUMPRODUCT((Inputs!$E$5:$E$120=$B31)*ISNUMBER(INDEX(Inputs!$K$5:$AJ$120,0,MATCH(U$2,Inputs!$K$4:$AJ$4,0))))=0,NA(),SUMPRODUCT((Inputs!$A$5:$A$120=$B31)*Inputs!$B$5:$B$120*(((Inputs!$G$5:$G$120="moeda")+(Inputs!$G$5:$G$120="acoes"))*Inputs!$B$1+((Inputs!$G$5:$G$120&lt;&gt;"moeda")*(Inputs!$G$5:$G$120&lt;&gt;"acoes")))*INDEX(Inputs!$K$5:$AJ$120,0,MATCH(U$2,Inputs!$K$4:$AJ$4,0)))+SUMPRODUCT((Inputs!$C$5:$C$120=$B31)*Inputs!$D$5:$D$120*(((Inputs!$G$5:$G$120="moeda")+(Inputs!$G$5:$G$120="acoes"))*Inputs!$B$1+((Inputs!$G$5:$G$120&lt;&gt;"moeda")*(Inputs!$G$5:$G$120&lt;&gt;"acoes")))*INDEX(Inputs!$K$5:$AJ$120,0,MATCH(U$2,Inputs!$K$4:$AJ$4,0)))+SUMPRODUCT((Inputs!$E$5:$E$120=$B31)*Inputs!$F$5:$F$120*(((Inputs!$G$5:$G$120="moeda")+(Inputs!$G$5:$G$120="acoes"))*Inputs!$B$1+((Inputs!$G$5:$G$120&lt;&gt;"moeda")*(Inputs!$G$5:$G$120&lt;&gt;"acoes")))*INDEX(Inputs!$K$5:$AJ$120,0,MATCH(U$2,Inputs!$K$4:$AJ$4,0)))))</f>
        <v>582</v>
      </c>
      <c r="V31" s="267">
        <f>IF(ISNA(MATCH(V$2,Inputs!$K$4:$AJ$4,0)),NA(),IF(SUMPRODUCT((Inputs!$A$5:$A$120=$B31)*ISNUMBER(INDEX(Inputs!$K$5:$AJ$120,0,MATCH(V$2,Inputs!$K$4:$AJ$4,0))))+SUMPRODUCT((Inputs!$C$5:$C$120=$B31)*ISNUMBER(INDEX(Inputs!$K$5:$AJ$120,0,MATCH(V$2,Inputs!$K$4:$AJ$4,0))))+SUMPRODUCT((Inputs!$E$5:$E$120=$B31)*ISNUMBER(INDEX(Inputs!$K$5:$AJ$120,0,MATCH(V$2,Inputs!$K$4:$AJ$4,0))))=0,NA(),SUMPRODUCT((Inputs!$A$5:$A$120=$B31)*Inputs!$B$5:$B$120*(((Inputs!$G$5:$G$120="moeda")+(Inputs!$G$5:$G$120="acoes"))*Inputs!$B$1+((Inputs!$G$5:$G$120&lt;&gt;"moeda")*(Inputs!$G$5:$G$120&lt;&gt;"acoes")))*INDEX(Inputs!$K$5:$AJ$120,0,MATCH(V$2,Inputs!$K$4:$AJ$4,0)))+SUMPRODUCT((Inputs!$C$5:$C$120=$B31)*Inputs!$D$5:$D$120*(((Inputs!$G$5:$G$120="moeda")+(Inputs!$G$5:$G$120="acoes"))*Inputs!$B$1+((Inputs!$G$5:$G$120&lt;&gt;"moeda")*(Inputs!$G$5:$G$120&lt;&gt;"acoes")))*INDEX(Inputs!$K$5:$AJ$120,0,MATCH(V$2,Inputs!$K$4:$AJ$4,0)))+SUMPRODUCT((Inputs!$E$5:$E$120=$B31)*Inputs!$F$5:$F$120*(((Inputs!$G$5:$G$120="moeda")+(Inputs!$G$5:$G$120="acoes"))*Inputs!$B$1+((Inputs!$G$5:$G$120&lt;&gt;"moeda")*(Inputs!$G$5:$G$120&lt;&gt;"acoes")))*INDEX(Inputs!$K$5:$AJ$120,0,MATCH(V$2,Inputs!$K$4:$AJ$4,0)))))</f>
        <v>539</v>
      </c>
      <c r="W31" s="268">
        <f>V31</f>
        <v>539</v>
      </c>
      <c r="X31" s="267">
        <f>IF(ISNA(MATCH(X$2,Inputs!$K$4:$AJ$4,0)),NA(),IF(SUMPRODUCT((Inputs!$A$5:$A$120=$B31)*ISNUMBER(INDEX(Inputs!$K$5:$AJ$120,0,MATCH(X$2,Inputs!$K$4:$AJ$4,0))))+SUMPRODUCT((Inputs!$C$5:$C$120=$B31)*ISNUMBER(INDEX(Inputs!$K$5:$AJ$120,0,MATCH(X$2,Inputs!$K$4:$AJ$4,0))))+SUMPRODUCT((Inputs!$E$5:$E$120=$B31)*ISNUMBER(INDEX(Inputs!$K$5:$AJ$120,0,MATCH(X$2,Inputs!$K$4:$AJ$4,0))))=0,NA(),SUMPRODUCT((Inputs!$A$5:$A$120=$B31)*Inputs!$B$5:$B$120*(((Inputs!$G$5:$G$120="moeda")+(Inputs!$G$5:$G$120="acoes"))*Inputs!$B$1+((Inputs!$G$5:$G$120&lt;&gt;"moeda")*(Inputs!$G$5:$G$120&lt;&gt;"acoes")))*INDEX(Inputs!$K$5:$AJ$120,0,MATCH(X$2,Inputs!$K$4:$AJ$4,0)))+SUMPRODUCT((Inputs!$C$5:$C$120=$B31)*Inputs!$D$5:$D$120*(((Inputs!$G$5:$G$120="moeda")+(Inputs!$G$5:$G$120="acoes"))*Inputs!$B$1+((Inputs!$G$5:$G$120&lt;&gt;"moeda")*(Inputs!$G$5:$G$120&lt;&gt;"acoes")))*INDEX(Inputs!$K$5:$AJ$120,0,MATCH(X$2,Inputs!$K$4:$AJ$4,0)))+SUMPRODUCT((Inputs!$E$5:$E$120=$B31)*Inputs!$F$5:$F$120*(((Inputs!$G$5:$G$120="moeda")+(Inputs!$G$5:$G$120="acoes"))*Inputs!$B$1+((Inputs!$G$5:$G$120&lt;&gt;"moeda")*(Inputs!$G$5:$G$120&lt;&gt;"acoes")))*INDEX(Inputs!$K$5:$AJ$120,0,MATCH(X$2,Inputs!$K$4:$AJ$4,0)))))</f>
        <v>513</v>
      </c>
      <c r="Y31" s="267">
        <f>IF(ISNA(MATCH(Y$2,Inputs!$K$4:$AJ$4,0)),NA(),IF(SUMPRODUCT((Inputs!$A$5:$A$120=$B31)*ISNUMBER(INDEX(Inputs!$K$5:$AJ$120,0,MATCH(Y$2,Inputs!$K$4:$AJ$4,0))))+SUMPRODUCT((Inputs!$C$5:$C$120=$B31)*ISNUMBER(INDEX(Inputs!$K$5:$AJ$120,0,MATCH(Y$2,Inputs!$K$4:$AJ$4,0))))+SUMPRODUCT((Inputs!$E$5:$E$120=$B31)*ISNUMBER(INDEX(Inputs!$K$5:$AJ$120,0,MATCH(Y$2,Inputs!$K$4:$AJ$4,0))))=0,NA(),SUMPRODUCT((Inputs!$A$5:$A$120=$B31)*Inputs!$B$5:$B$120*(((Inputs!$G$5:$G$120="moeda")+(Inputs!$G$5:$G$120="acoes"))*Inputs!$B$1+((Inputs!$G$5:$G$120&lt;&gt;"moeda")*(Inputs!$G$5:$G$120&lt;&gt;"acoes")))*INDEX(Inputs!$K$5:$AJ$120,0,MATCH(Y$2,Inputs!$K$4:$AJ$4,0)))+SUMPRODUCT((Inputs!$C$5:$C$120=$B31)*Inputs!$D$5:$D$120*(((Inputs!$G$5:$G$120="moeda")+(Inputs!$G$5:$G$120="acoes"))*Inputs!$B$1+((Inputs!$G$5:$G$120&lt;&gt;"moeda")*(Inputs!$G$5:$G$120&lt;&gt;"acoes")))*INDEX(Inputs!$K$5:$AJ$120,0,MATCH(Y$2,Inputs!$K$4:$AJ$4,0)))+SUMPRODUCT((Inputs!$E$5:$E$120=$B31)*Inputs!$F$5:$F$120*(((Inputs!$G$5:$G$120="moeda")+(Inputs!$G$5:$G$120="acoes"))*Inputs!$B$1+((Inputs!$G$5:$G$120&lt;&gt;"moeda")*(Inputs!$G$5:$G$120&lt;&gt;"acoes")))*INDEX(Inputs!$K$5:$AJ$120,0,MATCH(Y$2,Inputs!$K$4:$AJ$4,0)))))</f>
        <v>516</v>
      </c>
      <c r="Z31" s="267">
        <f>IF(ISNA(MATCH(Z$2,Inputs!$K$4:$AJ$4,0)),NA(),IF(SUMPRODUCT((Inputs!$A$5:$A$120=$B31)*ISNUMBER(INDEX(Inputs!$K$5:$AJ$120,0,MATCH(Z$2,Inputs!$K$4:$AJ$4,0))))+SUMPRODUCT((Inputs!$C$5:$C$120=$B31)*ISNUMBER(INDEX(Inputs!$K$5:$AJ$120,0,MATCH(Z$2,Inputs!$K$4:$AJ$4,0))))+SUMPRODUCT((Inputs!$E$5:$E$120=$B31)*ISNUMBER(INDEX(Inputs!$K$5:$AJ$120,0,MATCH(Z$2,Inputs!$K$4:$AJ$4,0))))=0,NA(),SUMPRODUCT((Inputs!$A$5:$A$120=$B31)*Inputs!$B$5:$B$120*(((Inputs!$G$5:$G$120="moeda")+(Inputs!$G$5:$G$120="acoes"))*Inputs!$B$1+((Inputs!$G$5:$G$120&lt;&gt;"moeda")*(Inputs!$G$5:$G$120&lt;&gt;"acoes")))*INDEX(Inputs!$K$5:$AJ$120,0,MATCH(Z$2,Inputs!$K$4:$AJ$4,0)))+SUMPRODUCT((Inputs!$C$5:$C$120=$B31)*Inputs!$D$5:$D$120*(((Inputs!$G$5:$G$120="moeda")+(Inputs!$G$5:$G$120="acoes"))*Inputs!$B$1+((Inputs!$G$5:$G$120&lt;&gt;"moeda")*(Inputs!$G$5:$G$120&lt;&gt;"acoes")))*INDEX(Inputs!$K$5:$AJ$120,0,MATCH(Z$2,Inputs!$K$4:$AJ$4,0)))+SUMPRODUCT((Inputs!$E$5:$E$120=$B31)*Inputs!$F$5:$F$120*(((Inputs!$G$5:$G$120="moeda")+(Inputs!$G$5:$G$120="acoes"))*Inputs!$B$1+((Inputs!$G$5:$G$120&lt;&gt;"moeda")*(Inputs!$G$5:$G$120&lt;&gt;"acoes")))*INDEX(Inputs!$K$5:$AJ$120,0,MATCH(Z$2,Inputs!$K$4:$AJ$4,0)))))</f>
        <v>517</v>
      </c>
      <c r="AA31" s="267">
        <f>IF(ISNA(MATCH(AA$2,Inputs!$K$4:$AJ$4,0)),NA(),IF(SUMPRODUCT((Inputs!$A$5:$A$120=$B31)*ISNUMBER(INDEX(Inputs!$K$5:$AJ$120,0,MATCH(AA$2,Inputs!$K$4:$AJ$4,0))))+SUMPRODUCT((Inputs!$C$5:$C$120=$B31)*ISNUMBER(INDEX(Inputs!$K$5:$AJ$120,0,MATCH(AA$2,Inputs!$K$4:$AJ$4,0))))+SUMPRODUCT((Inputs!$E$5:$E$120=$B31)*ISNUMBER(INDEX(Inputs!$K$5:$AJ$120,0,MATCH(AA$2,Inputs!$K$4:$AJ$4,0))))=0,NA(),SUMPRODUCT((Inputs!$A$5:$A$120=$B31)*Inputs!$B$5:$B$120*(((Inputs!$G$5:$G$120="moeda")+(Inputs!$G$5:$G$120="acoes"))*Inputs!$B$1+((Inputs!$G$5:$G$120&lt;&gt;"moeda")*(Inputs!$G$5:$G$120&lt;&gt;"acoes")))*INDEX(Inputs!$K$5:$AJ$120,0,MATCH(AA$2,Inputs!$K$4:$AJ$4,0)))+SUMPRODUCT((Inputs!$C$5:$C$120=$B31)*Inputs!$D$5:$D$120*(((Inputs!$G$5:$G$120="moeda")+(Inputs!$G$5:$G$120="acoes"))*Inputs!$B$1+((Inputs!$G$5:$G$120&lt;&gt;"moeda")*(Inputs!$G$5:$G$120&lt;&gt;"acoes")))*INDEX(Inputs!$K$5:$AJ$120,0,MATCH(AA$2,Inputs!$K$4:$AJ$4,0)))+SUMPRODUCT((Inputs!$E$5:$E$120=$B31)*Inputs!$F$5:$F$120*(((Inputs!$G$5:$G$120="moeda")+(Inputs!$G$5:$G$120="acoes"))*Inputs!$B$1+((Inputs!$G$5:$G$120&lt;&gt;"moeda")*(Inputs!$G$5:$G$120&lt;&gt;"acoes")))*INDEX(Inputs!$K$5:$AJ$120,0,MATCH(AA$2,Inputs!$K$4:$AJ$4,0)))))</f>
        <v>532</v>
      </c>
      <c r="AB31" s="268">
        <f>AA31</f>
        <v>532</v>
      </c>
      <c r="AC31" s="267">
        <f>IF(ISNA(MATCH(AC$2,Inputs!$K$4:$AJ$4,0)),NA(),IF(SUMPRODUCT((Inputs!$A$5:$A$120=$B31)*ISNUMBER(INDEX(Inputs!$K$5:$AJ$120,0,MATCH(AC$2,Inputs!$K$4:$AJ$4,0))))+SUMPRODUCT((Inputs!$C$5:$C$120=$B31)*ISNUMBER(INDEX(Inputs!$K$5:$AJ$120,0,MATCH(AC$2,Inputs!$K$4:$AJ$4,0))))+SUMPRODUCT((Inputs!$E$5:$E$120=$B31)*ISNUMBER(INDEX(Inputs!$K$5:$AJ$120,0,MATCH(AC$2,Inputs!$K$4:$AJ$4,0))))=0,NA(),SUMPRODUCT((Inputs!$A$5:$A$120=$B31)*Inputs!$B$5:$B$120*(((Inputs!$G$5:$G$120="moeda")+(Inputs!$G$5:$G$120="acoes"))*Inputs!$B$1+((Inputs!$G$5:$G$120&lt;&gt;"moeda")*(Inputs!$G$5:$G$120&lt;&gt;"acoes")))*INDEX(Inputs!$K$5:$AJ$120,0,MATCH(AC$2,Inputs!$K$4:$AJ$4,0)))+SUMPRODUCT((Inputs!$C$5:$C$120=$B31)*Inputs!$D$5:$D$120*(((Inputs!$G$5:$G$120="moeda")+(Inputs!$G$5:$G$120="acoes"))*Inputs!$B$1+((Inputs!$G$5:$G$120&lt;&gt;"moeda")*(Inputs!$G$5:$G$120&lt;&gt;"acoes")))*INDEX(Inputs!$K$5:$AJ$120,0,MATCH(AC$2,Inputs!$K$4:$AJ$4,0)))+SUMPRODUCT((Inputs!$E$5:$E$120=$B31)*Inputs!$F$5:$F$120*(((Inputs!$G$5:$G$120="moeda")+(Inputs!$G$5:$G$120="acoes"))*Inputs!$B$1+((Inputs!$G$5:$G$120&lt;&gt;"moeda")*(Inputs!$G$5:$G$120&lt;&gt;"acoes")))*INDEX(Inputs!$K$5:$AJ$120,0,MATCH(AC$2,Inputs!$K$4:$AJ$4,0)))))</f>
        <v>540</v>
      </c>
      <c r="AD31" s="267">
        <f>IF(ISNA(MATCH(AD$2,Inputs!$K$4:$AJ$4,0)),NA(),IF(SUMPRODUCT((Inputs!$A$5:$A$120=$B31)*ISNUMBER(INDEX(Inputs!$K$5:$AJ$120,0,MATCH(AD$2,Inputs!$K$4:$AJ$4,0))))+SUMPRODUCT((Inputs!$C$5:$C$120=$B31)*ISNUMBER(INDEX(Inputs!$K$5:$AJ$120,0,MATCH(AD$2,Inputs!$K$4:$AJ$4,0))))+SUMPRODUCT((Inputs!$E$5:$E$120=$B31)*ISNUMBER(INDEX(Inputs!$K$5:$AJ$120,0,MATCH(AD$2,Inputs!$K$4:$AJ$4,0))))=0,NA(),SUMPRODUCT((Inputs!$A$5:$A$120=$B31)*Inputs!$B$5:$B$120*(((Inputs!$G$5:$G$120="moeda")+(Inputs!$G$5:$G$120="acoes"))*Inputs!$B$1+((Inputs!$G$5:$G$120&lt;&gt;"moeda")*(Inputs!$G$5:$G$120&lt;&gt;"acoes")))*INDEX(Inputs!$K$5:$AJ$120,0,MATCH(AD$2,Inputs!$K$4:$AJ$4,0)))+SUMPRODUCT((Inputs!$C$5:$C$120=$B31)*Inputs!$D$5:$D$120*(((Inputs!$G$5:$G$120="moeda")+(Inputs!$G$5:$G$120="acoes"))*Inputs!$B$1+((Inputs!$G$5:$G$120&lt;&gt;"moeda")*(Inputs!$G$5:$G$120&lt;&gt;"acoes")))*INDEX(Inputs!$K$5:$AJ$120,0,MATCH(AD$2,Inputs!$K$4:$AJ$4,0)))+SUMPRODUCT((Inputs!$E$5:$E$120=$B31)*Inputs!$F$5:$F$120*(((Inputs!$G$5:$G$120="moeda")+(Inputs!$G$5:$G$120="acoes"))*Inputs!$B$1+((Inputs!$G$5:$G$120&lt;&gt;"moeda")*(Inputs!$G$5:$G$120&lt;&gt;"acoes")))*INDEX(Inputs!$K$5:$AJ$120,0,MATCH(AD$2,Inputs!$K$4:$AJ$4,0)))))</f>
        <v>545</v>
      </c>
      <c r="AE31" s="267" t="e">
        <f>IF(ISNA(MATCH(AE$2,Inputs!$K$4:$AJ$4,0)),NA(),IF(SUMPRODUCT((Inputs!$A$5:$A$120=$B31)*ISNUMBER(INDEX(Inputs!$K$5:$AJ$120,0,MATCH(AE$2,Inputs!$K$4:$AJ$4,0))))+SUMPRODUCT((Inputs!$C$5:$C$120=$B31)*ISNUMBER(INDEX(Inputs!$K$5:$AJ$120,0,MATCH(AE$2,Inputs!$K$4:$AJ$4,0))))+SUMPRODUCT((Inputs!$E$5:$E$120=$B31)*ISNUMBER(INDEX(Inputs!$K$5:$AJ$120,0,MATCH(AE$2,Inputs!$K$4:$AJ$4,0))))=0,NA(),SUMPRODUCT((Inputs!$A$5:$A$120=$B31)*Inputs!$B$5:$B$120*(((Inputs!$G$5:$G$120="moeda")+(Inputs!$G$5:$G$120="acoes"))*Inputs!$B$1+((Inputs!$G$5:$G$120&lt;&gt;"moeda")*(Inputs!$G$5:$G$120&lt;&gt;"acoes")))*INDEX(Inputs!$K$5:$AJ$120,0,MATCH(AE$2,Inputs!$K$4:$AJ$4,0)))+SUMPRODUCT((Inputs!$C$5:$C$120=$B31)*Inputs!$D$5:$D$120*(((Inputs!$G$5:$G$120="moeda")+(Inputs!$G$5:$G$120="acoes"))*Inputs!$B$1+((Inputs!$G$5:$G$120&lt;&gt;"moeda")*(Inputs!$G$5:$G$120&lt;&gt;"acoes")))*INDEX(Inputs!$K$5:$AJ$120,0,MATCH(AE$2,Inputs!$K$4:$AJ$4,0)))+SUMPRODUCT((Inputs!$E$5:$E$120=$B31)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1" s="267" t="e">
        <f>IF(ISNA(MATCH(AF$2,Inputs!$K$4:$AJ$4,0)),NA(),IF(SUMPRODUCT((Inputs!$A$5:$A$120=$B31)*ISNUMBER(INDEX(Inputs!$K$5:$AJ$120,0,MATCH(AF$2,Inputs!$K$4:$AJ$4,0))))+SUMPRODUCT((Inputs!$C$5:$C$120=$B31)*ISNUMBER(INDEX(Inputs!$K$5:$AJ$120,0,MATCH(AF$2,Inputs!$K$4:$AJ$4,0))))+SUMPRODUCT((Inputs!$E$5:$E$120=$B31)*ISNUMBER(INDEX(Inputs!$K$5:$AJ$120,0,MATCH(AF$2,Inputs!$K$4:$AJ$4,0))))=0,NA(),SUMPRODUCT((Inputs!$A$5:$A$120=$B31)*Inputs!$B$5:$B$120*(((Inputs!$G$5:$G$120="moeda")+(Inputs!$G$5:$G$120="acoes"))*Inputs!$B$1+((Inputs!$G$5:$G$120&lt;&gt;"moeda")*(Inputs!$G$5:$G$120&lt;&gt;"acoes")))*INDEX(Inputs!$K$5:$AJ$120,0,MATCH(AF$2,Inputs!$K$4:$AJ$4,0)))+SUMPRODUCT((Inputs!$C$5:$C$120=$B31)*Inputs!$D$5:$D$120*(((Inputs!$G$5:$G$120="moeda")+(Inputs!$G$5:$G$120="acoes"))*Inputs!$B$1+((Inputs!$G$5:$G$120&lt;&gt;"moeda")*(Inputs!$G$5:$G$120&lt;&gt;"acoes")))*INDEX(Inputs!$K$5:$AJ$120,0,MATCH(AF$2,Inputs!$K$4:$AJ$4,0)))+SUMPRODUCT((Inputs!$E$5:$E$120=$B31)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1" s="268" t="e">
        <f>AF31</f>
        <v>#N/A</v>
      </c>
      <c r="AH31" s="267">
        <f>IF(ISNA(MATCH(AH$2,Inputs!$K$4:$AJ$4,0)),NA(),IF(SUMPRODUCT((Inputs!$A$5:$A$120=$B31)*ISNUMBER(INDEX(Inputs!$K$5:$AJ$120,0,MATCH(AH$2,Inputs!$K$4:$AJ$4,0))))+SUMPRODUCT((Inputs!$C$5:$C$120=$B31)*ISNUMBER(INDEX(Inputs!$K$5:$AJ$120,0,MATCH(AH$2,Inputs!$K$4:$AJ$4,0))))+SUMPRODUCT((Inputs!$E$5:$E$120=$B31)*ISNUMBER(INDEX(Inputs!$K$5:$AJ$120,0,MATCH(AH$2,Inputs!$K$4:$AJ$4,0))))=0,NA(),SUMPRODUCT((Inputs!$A$5:$A$120=$B31)*Inputs!$B$5:$B$120*(((Inputs!$G$5:$G$120="moeda")+(Inputs!$G$5:$G$120="acoes"))*Inputs!$B$1+((Inputs!$G$5:$G$120&lt;&gt;"moeda")*(Inputs!$G$5:$G$120&lt;&gt;"acoes")))*INDEX(Inputs!$K$5:$AJ$120,0,MATCH(AH$2,Inputs!$K$4:$AJ$4,0)))+SUMPRODUCT((Inputs!$C$5:$C$120=$B31)*Inputs!$D$5:$D$120*(((Inputs!$G$5:$G$120="moeda")+(Inputs!$G$5:$G$120="acoes"))*Inputs!$B$1+((Inputs!$G$5:$G$120&lt;&gt;"moeda")*(Inputs!$G$5:$G$120&lt;&gt;"acoes")))*INDEX(Inputs!$K$5:$AJ$120,0,MATCH(AH$2,Inputs!$K$4:$AJ$4,0)))+SUMPRODUCT((Inputs!$E$5:$E$120=$B31)*Inputs!$F$5:$F$120*(((Inputs!$G$5:$G$120="moeda")+(Inputs!$G$5:$G$120="acoes"))*Inputs!$B$1+((Inputs!$G$5:$G$120&lt;&gt;"moeda")*(Inputs!$G$5:$G$120&lt;&gt;"acoes")))*INDEX(Inputs!$K$5:$AJ$120,0,MATCH(AH$2,Inputs!$K$4:$AJ$4,0)))))</f>
        <v>305</v>
      </c>
      <c r="AI31" s="267">
        <f>IF(ISNA(MATCH(AI$2,Inputs!$K$4:$AJ$4,0)),NA(),IF(SUMPRODUCT((Inputs!$A$5:$A$120=$B31)*ISNUMBER(INDEX(Inputs!$K$5:$AJ$120,0,MATCH(AI$2,Inputs!$K$4:$AJ$4,0))))+SUMPRODUCT((Inputs!$C$5:$C$120=$B31)*ISNUMBER(INDEX(Inputs!$K$5:$AJ$120,0,MATCH(AI$2,Inputs!$K$4:$AJ$4,0))))+SUMPRODUCT((Inputs!$E$5:$E$120=$B31)*ISNUMBER(INDEX(Inputs!$K$5:$AJ$120,0,MATCH(AI$2,Inputs!$K$4:$AJ$4,0))))=0,NA(),SUMPRODUCT((Inputs!$A$5:$A$120=$B31)*Inputs!$B$5:$B$120*(((Inputs!$G$5:$G$120="moeda")+(Inputs!$G$5:$G$120="acoes"))*Inputs!$B$1+((Inputs!$G$5:$G$120&lt;&gt;"moeda")*(Inputs!$G$5:$G$120&lt;&gt;"acoes")))*INDEX(Inputs!$K$5:$AJ$120,0,MATCH(AI$2,Inputs!$K$4:$AJ$4,0)))+SUMPRODUCT((Inputs!$C$5:$C$120=$B31)*Inputs!$D$5:$D$120*(((Inputs!$G$5:$G$120="moeda")+(Inputs!$G$5:$G$120="acoes"))*Inputs!$B$1+((Inputs!$G$5:$G$120&lt;&gt;"moeda")*(Inputs!$G$5:$G$120&lt;&gt;"acoes")))*INDEX(Inputs!$K$5:$AJ$120,0,MATCH(AI$2,Inputs!$K$4:$AJ$4,0)))+SUMPRODUCT((Inputs!$E$5:$E$120=$B31)*Inputs!$F$5:$F$120*(((Inputs!$G$5:$G$120="moeda")+(Inputs!$G$5:$G$120="acoes"))*Inputs!$B$1+((Inputs!$G$5:$G$120&lt;&gt;"moeda")*(Inputs!$G$5:$G$120&lt;&gt;"acoes")))*INDEX(Inputs!$K$5:$AJ$120,0,MATCH(AI$2,Inputs!$K$4:$AJ$4,0)))))</f>
        <v>298</v>
      </c>
      <c r="AJ31" s="267">
        <f>IF(ISNA(MATCH(AJ$2,Inputs!$K$4:$AJ$4,0)),NA(),IF(SUMPRODUCT((Inputs!$A$5:$A$120=$B31)*ISNUMBER(INDEX(Inputs!$K$5:$AJ$120,0,MATCH(AJ$2,Inputs!$K$4:$AJ$4,0))))+SUMPRODUCT((Inputs!$C$5:$C$120=$B31)*ISNUMBER(INDEX(Inputs!$K$5:$AJ$120,0,MATCH(AJ$2,Inputs!$K$4:$AJ$4,0))))+SUMPRODUCT((Inputs!$E$5:$E$120=$B31)*ISNUMBER(INDEX(Inputs!$K$5:$AJ$120,0,MATCH(AJ$2,Inputs!$K$4:$AJ$4,0))))=0,NA(),SUMPRODUCT((Inputs!$A$5:$A$120=$B31)*Inputs!$B$5:$B$120*(((Inputs!$G$5:$G$120="moeda")+(Inputs!$G$5:$G$120="acoes"))*Inputs!$B$1+((Inputs!$G$5:$G$120&lt;&gt;"moeda")*(Inputs!$G$5:$G$120&lt;&gt;"acoes")))*INDEX(Inputs!$K$5:$AJ$120,0,MATCH(AJ$2,Inputs!$K$4:$AJ$4,0)))+SUMPRODUCT((Inputs!$C$5:$C$120=$B31)*Inputs!$D$5:$D$120*(((Inputs!$G$5:$G$120="moeda")+(Inputs!$G$5:$G$120="acoes"))*Inputs!$B$1+((Inputs!$G$5:$G$120&lt;&gt;"moeda")*(Inputs!$G$5:$G$120&lt;&gt;"acoes")))*INDEX(Inputs!$K$5:$AJ$120,0,MATCH(AJ$2,Inputs!$K$4:$AJ$4,0)))+SUMPRODUCT((Inputs!$E$5:$E$120=$B31)*Inputs!$F$5:$F$120*(((Inputs!$G$5:$G$120="moeda")+(Inputs!$G$5:$G$120="acoes"))*Inputs!$B$1+((Inputs!$G$5:$G$120&lt;&gt;"moeda")*(Inputs!$G$5:$G$120&lt;&gt;"acoes")))*INDEX(Inputs!$K$5:$AJ$120,0,MATCH(AJ$2,Inputs!$K$4:$AJ$4,0)))))</f>
        <v>397</v>
      </c>
      <c r="AK31" s="267">
        <f>IF(ISNA(MATCH(AK$2,Inputs!$K$4:$AJ$4,0)),NA(),IF(SUMPRODUCT((Inputs!$A$5:$A$120=$B31)*ISNUMBER(INDEX(Inputs!$K$5:$AJ$120,0,MATCH(AK$2,Inputs!$K$4:$AJ$4,0))))+SUMPRODUCT((Inputs!$C$5:$C$120=$B31)*ISNUMBER(INDEX(Inputs!$K$5:$AJ$120,0,MATCH(AK$2,Inputs!$K$4:$AJ$4,0))))+SUMPRODUCT((Inputs!$E$5:$E$120=$B31)*ISNUMBER(INDEX(Inputs!$K$5:$AJ$120,0,MATCH(AK$2,Inputs!$K$4:$AJ$4,0))))=0,NA(),SUMPRODUCT((Inputs!$A$5:$A$120=$B31)*Inputs!$B$5:$B$120*(((Inputs!$G$5:$G$120="moeda")+(Inputs!$G$5:$G$120="acoes"))*Inputs!$B$1+((Inputs!$G$5:$G$120&lt;&gt;"moeda")*(Inputs!$G$5:$G$120&lt;&gt;"acoes")))*INDEX(Inputs!$K$5:$AJ$120,0,MATCH(AK$2,Inputs!$K$4:$AJ$4,0)))+SUMPRODUCT((Inputs!$C$5:$C$120=$B31)*Inputs!$D$5:$D$120*(((Inputs!$G$5:$G$120="moeda")+(Inputs!$G$5:$G$120="acoes"))*Inputs!$B$1+((Inputs!$G$5:$G$120&lt;&gt;"moeda")*(Inputs!$G$5:$G$120&lt;&gt;"acoes")))*INDEX(Inputs!$K$5:$AJ$120,0,MATCH(AK$2,Inputs!$K$4:$AJ$4,0)))+SUMPRODUCT((Inputs!$E$5:$E$120=$B31)*Inputs!$F$5:$F$120*(((Inputs!$G$5:$G$120="moeda")+(Inputs!$G$5:$G$120="acoes"))*Inputs!$B$1+((Inputs!$G$5:$G$120&lt;&gt;"moeda")*(Inputs!$G$5:$G$120&lt;&gt;"acoes")))*INDEX(Inputs!$K$5:$AJ$120,0,MATCH(AK$2,Inputs!$K$4:$AJ$4,0)))))</f>
        <v>351</v>
      </c>
      <c r="AL31" s="268">
        <f>AK31</f>
        <v>351</v>
      </c>
    </row>
    <row r="32" ht="12.75" customHeight="1" s="255">
      <c r="B32" s="265" t="n">
        <v>27</v>
      </c>
      <c r="C32" s="270" t="inlineStr">
        <is>
          <t>Current portion of long-term debt</t>
        </is>
      </c>
      <c r="D32" s="267">
        <f>IF(ISNA(MATCH(D$2,Inputs!$K$4:$AJ$4,0)),NA(),IF(SUMPRODUCT((Inputs!$A$5:$A$120=$B32)*ISNUMBER(INDEX(Inputs!$K$5:$AJ$120,0,MATCH(D$2,Inputs!$K$4:$AJ$4,0))))+SUMPRODUCT((Inputs!$C$5:$C$120=$B32)*ISNUMBER(INDEX(Inputs!$K$5:$AJ$120,0,MATCH(D$2,Inputs!$K$4:$AJ$4,0))))+SUMPRODUCT((Inputs!$E$5:$E$120=$B32)*ISNUMBER(INDEX(Inputs!$K$5:$AJ$120,0,MATCH(D$2,Inputs!$K$4:$AJ$4,0))))=0,NA(),SUMPRODUCT((Inputs!$A$5:$A$120=$B32)*Inputs!$B$5:$B$120*(((Inputs!$G$5:$G$120="moeda")+(Inputs!$G$5:$G$120="acoes"))*Inputs!$B$1+((Inputs!$G$5:$G$120&lt;&gt;"moeda")*(Inputs!$G$5:$G$120&lt;&gt;"acoes")))*INDEX(Inputs!$K$5:$AJ$120,0,MATCH(D$2,Inputs!$K$4:$AJ$4,0)))+SUMPRODUCT((Inputs!$C$5:$C$120=$B32)*Inputs!$D$5:$D$120*(((Inputs!$G$5:$G$120="moeda")+(Inputs!$G$5:$G$120="acoes"))*Inputs!$B$1+((Inputs!$G$5:$G$120&lt;&gt;"moeda")*(Inputs!$G$5:$G$120&lt;&gt;"acoes")))*INDEX(Inputs!$K$5:$AJ$120,0,MATCH(D$2,Inputs!$K$4:$AJ$4,0)))+SUMPRODUCT((Inputs!$E$5:$E$120=$B32)*Inputs!$F$5:$F$120*(((Inputs!$G$5:$G$120="moeda")+(Inputs!$G$5:$G$120="acoes"))*Inputs!$B$1+((Inputs!$G$5:$G$120&lt;&gt;"moeda")*(Inputs!$G$5:$G$120&lt;&gt;"acoes")))*INDEX(Inputs!$K$5:$AJ$120,0,MATCH(D$2,Inputs!$K$4:$AJ$4,0)))))</f>
        <v>656</v>
      </c>
      <c r="E32" s="267">
        <f>IF(ISNA(MATCH(E$2,Inputs!$K$4:$AJ$4,0)),NA(),IF(SUMPRODUCT((Inputs!$A$5:$A$120=$B32)*ISNUMBER(INDEX(Inputs!$K$5:$AJ$120,0,MATCH(E$2,Inputs!$K$4:$AJ$4,0))))+SUMPRODUCT((Inputs!$C$5:$C$120=$B32)*ISNUMBER(INDEX(Inputs!$K$5:$AJ$120,0,MATCH(E$2,Inputs!$K$4:$AJ$4,0))))+SUMPRODUCT((Inputs!$E$5:$E$120=$B32)*ISNUMBER(INDEX(Inputs!$K$5:$AJ$120,0,MATCH(E$2,Inputs!$K$4:$AJ$4,0))))=0,NA(),SUMPRODUCT((Inputs!$A$5:$A$120=$B32)*Inputs!$B$5:$B$120*(((Inputs!$G$5:$G$120="moeda")+(Inputs!$G$5:$G$120="acoes"))*Inputs!$B$1+((Inputs!$G$5:$G$120&lt;&gt;"moeda")*(Inputs!$G$5:$G$120&lt;&gt;"acoes")))*INDEX(Inputs!$K$5:$AJ$120,0,MATCH(E$2,Inputs!$K$4:$AJ$4,0)))+SUMPRODUCT((Inputs!$C$5:$C$120=$B32)*Inputs!$D$5:$D$120*(((Inputs!$G$5:$G$120="moeda")+(Inputs!$G$5:$G$120="acoes"))*Inputs!$B$1+((Inputs!$G$5:$G$120&lt;&gt;"moeda")*(Inputs!$G$5:$G$120&lt;&gt;"acoes")))*INDEX(Inputs!$K$5:$AJ$120,0,MATCH(E$2,Inputs!$K$4:$AJ$4,0)))+SUMPRODUCT((Inputs!$E$5:$E$120=$B32)*Inputs!$F$5:$F$120*(((Inputs!$G$5:$G$120="moeda")+(Inputs!$G$5:$G$120="acoes"))*Inputs!$B$1+((Inputs!$G$5:$G$120&lt;&gt;"moeda")*(Inputs!$G$5:$G$120&lt;&gt;"acoes")))*INDEX(Inputs!$K$5:$AJ$120,0,MATCH(E$2,Inputs!$K$4:$AJ$4,0)))))</f>
        <v>1057</v>
      </c>
      <c r="F32" s="267">
        <f>IF(ISNA(MATCH(F$2,Inputs!$K$4:$AJ$4,0)),NA(),IF(SUMPRODUCT((Inputs!$A$5:$A$120=$B32)*ISNUMBER(INDEX(Inputs!$K$5:$AJ$120,0,MATCH(F$2,Inputs!$K$4:$AJ$4,0))))+SUMPRODUCT((Inputs!$C$5:$C$120=$B32)*ISNUMBER(INDEX(Inputs!$K$5:$AJ$120,0,MATCH(F$2,Inputs!$K$4:$AJ$4,0))))+SUMPRODUCT((Inputs!$E$5:$E$120=$B32)*ISNUMBER(INDEX(Inputs!$K$5:$AJ$120,0,MATCH(F$2,Inputs!$K$4:$AJ$4,0))))=0,NA(),SUMPRODUCT((Inputs!$A$5:$A$120=$B32)*Inputs!$B$5:$B$120*(((Inputs!$G$5:$G$120="moeda")+(Inputs!$G$5:$G$120="acoes"))*Inputs!$B$1+((Inputs!$G$5:$G$120&lt;&gt;"moeda")*(Inputs!$G$5:$G$120&lt;&gt;"acoes")))*INDEX(Inputs!$K$5:$AJ$120,0,MATCH(F$2,Inputs!$K$4:$AJ$4,0)))+SUMPRODUCT((Inputs!$C$5:$C$120=$B32)*Inputs!$D$5:$D$120*(((Inputs!$G$5:$G$120="moeda")+(Inputs!$G$5:$G$120="acoes"))*Inputs!$B$1+((Inputs!$G$5:$G$120&lt;&gt;"moeda")*(Inputs!$G$5:$G$120&lt;&gt;"acoes")))*INDEX(Inputs!$K$5:$AJ$120,0,MATCH(F$2,Inputs!$K$4:$AJ$4,0)))+SUMPRODUCT((Inputs!$E$5:$E$120=$B32)*Inputs!$F$5:$F$120*(((Inputs!$G$5:$G$120="moeda")+(Inputs!$G$5:$G$120="acoes"))*Inputs!$B$1+((Inputs!$G$5:$G$120&lt;&gt;"moeda")*(Inputs!$G$5:$G$120&lt;&gt;"acoes")))*INDEX(Inputs!$K$5:$AJ$120,0,MATCH(F$2,Inputs!$K$4:$AJ$4,0)))))</f>
        <v>897</v>
      </c>
      <c r="G32" s="267">
        <f>IF(ISNA(MATCH(G$2,Inputs!$K$4:$AJ$4,0)),NA(),IF(SUMPRODUCT((Inputs!$A$5:$A$120=$B32)*ISNUMBER(INDEX(Inputs!$K$5:$AJ$120,0,MATCH(G$2,Inputs!$K$4:$AJ$4,0))))+SUMPRODUCT((Inputs!$C$5:$C$120=$B32)*ISNUMBER(INDEX(Inputs!$K$5:$AJ$120,0,MATCH(G$2,Inputs!$K$4:$AJ$4,0))))+SUMPRODUCT((Inputs!$E$5:$E$120=$B32)*ISNUMBER(INDEX(Inputs!$K$5:$AJ$120,0,MATCH(G$2,Inputs!$K$4:$AJ$4,0))))=0,NA(),SUMPRODUCT((Inputs!$A$5:$A$120=$B32)*Inputs!$B$5:$B$120*(((Inputs!$G$5:$G$120="moeda")+(Inputs!$G$5:$G$120="acoes"))*Inputs!$B$1+((Inputs!$G$5:$G$120&lt;&gt;"moeda")*(Inputs!$G$5:$G$120&lt;&gt;"acoes")))*INDEX(Inputs!$K$5:$AJ$120,0,MATCH(G$2,Inputs!$K$4:$AJ$4,0)))+SUMPRODUCT((Inputs!$C$5:$C$120=$B32)*Inputs!$D$5:$D$120*(((Inputs!$G$5:$G$120="moeda")+(Inputs!$G$5:$G$120="acoes"))*Inputs!$B$1+((Inputs!$G$5:$G$120&lt;&gt;"moeda")*(Inputs!$G$5:$G$120&lt;&gt;"acoes")))*INDEX(Inputs!$K$5:$AJ$120,0,MATCH(G$2,Inputs!$K$4:$AJ$4,0)))+SUMPRODUCT((Inputs!$E$5:$E$120=$B32)*Inputs!$F$5:$F$120*(((Inputs!$G$5:$G$120="moeda")+(Inputs!$G$5:$G$120="acoes"))*Inputs!$B$1+((Inputs!$G$5:$G$120&lt;&gt;"moeda")*(Inputs!$G$5:$G$120&lt;&gt;"acoes")))*INDEX(Inputs!$K$5:$AJ$120,0,MATCH(G$2,Inputs!$K$4:$AJ$4,0)))))</f>
        <v>372</v>
      </c>
      <c r="H32" s="268">
        <f>G32</f>
        <v>372</v>
      </c>
      <c r="I32" s="267">
        <f>IF(ISNA(MATCH(I$2,Inputs!$K$4:$AJ$4,0)),NA(),IF(SUMPRODUCT((Inputs!$A$5:$A$120=$B32)*ISNUMBER(INDEX(Inputs!$K$5:$AJ$120,0,MATCH(I$2,Inputs!$K$4:$AJ$4,0))))+SUMPRODUCT((Inputs!$C$5:$C$120=$B32)*ISNUMBER(INDEX(Inputs!$K$5:$AJ$120,0,MATCH(I$2,Inputs!$K$4:$AJ$4,0))))+SUMPRODUCT((Inputs!$E$5:$E$120=$B32)*ISNUMBER(INDEX(Inputs!$K$5:$AJ$120,0,MATCH(I$2,Inputs!$K$4:$AJ$4,0))))=0,NA(),SUMPRODUCT((Inputs!$A$5:$A$120=$B32)*Inputs!$B$5:$B$120*(((Inputs!$G$5:$G$120="moeda")+(Inputs!$G$5:$G$120="acoes"))*Inputs!$B$1+((Inputs!$G$5:$G$120&lt;&gt;"moeda")*(Inputs!$G$5:$G$120&lt;&gt;"acoes")))*INDEX(Inputs!$K$5:$AJ$120,0,MATCH(I$2,Inputs!$K$4:$AJ$4,0)))+SUMPRODUCT((Inputs!$C$5:$C$120=$B32)*Inputs!$D$5:$D$120*(((Inputs!$G$5:$G$120="moeda")+(Inputs!$G$5:$G$120="acoes"))*Inputs!$B$1+((Inputs!$G$5:$G$120&lt;&gt;"moeda")*(Inputs!$G$5:$G$120&lt;&gt;"acoes")))*INDEX(Inputs!$K$5:$AJ$120,0,MATCH(I$2,Inputs!$K$4:$AJ$4,0)))+SUMPRODUCT((Inputs!$E$5:$E$120=$B32)*Inputs!$F$5:$F$120*(((Inputs!$G$5:$G$120="moeda")+(Inputs!$G$5:$G$120="acoes"))*Inputs!$B$1+((Inputs!$G$5:$G$120&lt;&gt;"moeda")*(Inputs!$G$5:$G$120&lt;&gt;"acoes")))*INDEX(Inputs!$K$5:$AJ$120,0,MATCH(I$2,Inputs!$K$4:$AJ$4,0)))))</f>
        <v>1365</v>
      </c>
      <c r="J32" s="267">
        <f>IF(ISNA(MATCH(J$2,Inputs!$K$4:$AJ$4,0)),NA(),IF(SUMPRODUCT((Inputs!$A$5:$A$120=$B32)*ISNUMBER(INDEX(Inputs!$K$5:$AJ$120,0,MATCH(J$2,Inputs!$K$4:$AJ$4,0))))+SUMPRODUCT((Inputs!$C$5:$C$120=$B32)*ISNUMBER(INDEX(Inputs!$K$5:$AJ$120,0,MATCH(J$2,Inputs!$K$4:$AJ$4,0))))+SUMPRODUCT((Inputs!$E$5:$E$120=$B32)*ISNUMBER(INDEX(Inputs!$K$5:$AJ$120,0,MATCH(J$2,Inputs!$K$4:$AJ$4,0))))=0,NA(),SUMPRODUCT((Inputs!$A$5:$A$120=$B32)*Inputs!$B$5:$B$120*(((Inputs!$G$5:$G$120="moeda")+(Inputs!$G$5:$G$120="acoes"))*Inputs!$B$1+((Inputs!$G$5:$G$120&lt;&gt;"moeda")*(Inputs!$G$5:$G$120&lt;&gt;"acoes")))*INDEX(Inputs!$K$5:$AJ$120,0,MATCH(J$2,Inputs!$K$4:$AJ$4,0)))+SUMPRODUCT((Inputs!$C$5:$C$120=$B32)*Inputs!$D$5:$D$120*(((Inputs!$G$5:$G$120="moeda")+(Inputs!$G$5:$G$120="acoes"))*Inputs!$B$1+((Inputs!$G$5:$G$120&lt;&gt;"moeda")*(Inputs!$G$5:$G$120&lt;&gt;"acoes")))*INDEX(Inputs!$K$5:$AJ$120,0,MATCH(J$2,Inputs!$K$4:$AJ$4,0)))+SUMPRODUCT((Inputs!$E$5:$E$120=$B32)*Inputs!$F$5:$F$120*(((Inputs!$G$5:$G$120="moeda")+(Inputs!$G$5:$G$120="acoes"))*Inputs!$B$1+((Inputs!$G$5:$G$120&lt;&gt;"moeda")*(Inputs!$G$5:$G$120&lt;&gt;"acoes")))*INDEX(Inputs!$K$5:$AJ$120,0,MATCH(J$2,Inputs!$K$4:$AJ$4,0)))))</f>
        <v>1038</v>
      </c>
      <c r="K32" s="267">
        <f>IF(ISNA(MATCH(K$2,Inputs!$K$4:$AJ$4,0)),NA(),IF(SUMPRODUCT((Inputs!$A$5:$A$120=$B32)*ISNUMBER(INDEX(Inputs!$K$5:$AJ$120,0,MATCH(K$2,Inputs!$K$4:$AJ$4,0))))+SUMPRODUCT((Inputs!$C$5:$C$120=$B32)*ISNUMBER(INDEX(Inputs!$K$5:$AJ$120,0,MATCH(K$2,Inputs!$K$4:$AJ$4,0))))+SUMPRODUCT((Inputs!$E$5:$E$120=$B32)*ISNUMBER(INDEX(Inputs!$K$5:$AJ$120,0,MATCH(K$2,Inputs!$K$4:$AJ$4,0))))=0,NA(),SUMPRODUCT((Inputs!$A$5:$A$120=$B32)*Inputs!$B$5:$B$120*(((Inputs!$G$5:$G$120="moeda")+(Inputs!$G$5:$G$120="acoes"))*Inputs!$B$1+((Inputs!$G$5:$G$120&lt;&gt;"moeda")*(Inputs!$G$5:$G$120&lt;&gt;"acoes")))*INDEX(Inputs!$K$5:$AJ$120,0,MATCH(K$2,Inputs!$K$4:$AJ$4,0)))+SUMPRODUCT((Inputs!$C$5:$C$120=$B32)*Inputs!$D$5:$D$120*(((Inputs!$G$5:$G$120="moeda")+(Inputs!$G$5:$G$120="acoes"))*Inputs!$B$1+((Inputs!$G$5:$G$120&lt;&gt;"moeda")*(Inputs!$G$5:$G$120&lt;&gt;"acoes")))*INDEX(Inputs!$K$5:$AJ$120,0,MATCH(K$2,Inputs!$K$4:$AJ$4,0)))+SUMPRODUCT((Inputs!$E$5:$E$120=$B32)*Inputs!$F$5:$F$120*(((Inputs!$G$5:$G$120="moeda")+(Inputs!$G$5:$G$120="acoes"))*Inputs!$B$1+((Inputs!$G$5:$G$120&lt;&gt;"moeda")*(Inputs!$G$5:$G$120&lt;&gt;"acoes")))*INDEX(Inputs!$K$5:$AJ$120,0,MATCH(K$2,Inputs!$K$4:$AJ$4,0)))))</f>
        <v>1032</v>
      </c>
      <c r="L32" s="267">
        <f>IF(ISNA(MATCH(L$2,Inputs!$K$4:$AJ$4,0)),NA(),IF(SUMPRODUCT((Inputs!$A$5:$A$120=$B32)*ISNUMBER(INDEX(Inputs!$K$5:$AJ$120,0,MATCH(L$2,Inputs!$K$4:$AJ$4,0))))+SUMPRODUCT((Inputs!$C$5:$C$120=$B32)*ISNUMBER(INDEX(Inputs!$K$5:$AJ$120,0,MATCH(L$2,Inputs!$K$4:$AJ$4,0))))+SUMPRODUCT((Inputs!$E$5:$E$120=$B32)*ISNUMBER(INDEX(Inputs!$K$5:$AJ$120,0,MATCH(L$2,Inputs!$K$4:$AJ$4,0))))=0,NA(),SUMPRODUCT((Inputs!$A$5:$A$120=$B32)*Inputs!$B$5:$B$120*(((Inputs!$G$5:$G$120="moeda")+(Inputs!$G$5:$G$120="acoes"))*Inputs!$B$1+((Inputs!$G$5:$G$120&lt;&gt;"moeda")*(Inputs!$G$5:$G$120&lt;&gt;"acoes")))*INDEX(Inputs!$K$5:$AJ$120,0,MATCH(L$2,Inputs!$K$4:$AJ$4,0)))+SUMPRODUCT((Inputs!$C$5:$C$120=$B32)*Inputs!$D$5:$D$120*(((Inputs!$G$5:$G$120="moeda")+(Inputs!$G$5:$G$120="acoes"))*Inputs!$B$1+((Inputs!$G$5:$G$120&lt;&gt;"moeda")*(Inputs!$G$5:$G$120&lt;&gt;"acoes")))*INDEX(Inputs!$K$5:$AJ$120,0,MATCH(L$2,Inputs!$K$4:$AJ$4,0)))+SUMPRODUCT((Inputs!$E$5:$E$120=$B32)*Inputs!$F$5:$F$120*(((Inputs!$G$5:$G$120="moeda")+(Inputs!$G$5:$G$120="acoes"))*Inputs!$B$1+((Inputs!$G$5:$G$120&lt;&gt;"moeda")*(Inputs!$G$5:$G$120&lt;&gt;"acoes")))*INDEX(Inputs!$K$5:$AJ$120,0,MATCH(L$2,Inputs!$K$4:$AJ$4,0)))))</f>
        <v>1037</v>
      </c>
      <c r="M32" s="268">
        <f>L32</f>
        <v>1037</v>
      </c>
      <c r="N32" s="267">
        <f>IF(ISNA(MATCH(N$2,Inputs!$K$4:$AJ$4,0)),NA(),IF(SUMPRODUCT((Inputs!$A$5:$A$120=$B32)*ISNUMBER(INDEX(Inputs!$K$5:$AJ$120,0,MATCH(N$2,Inputs!$K$4:$AJ$4,0))))+SUMPRODUCT((Inputs!$C$5:$C$120=$B32)*ISNUMBER(INDEX(Inputs!$K$5:$AJ$120,0,MATCH(N$2,Inputs!$K$4:$AJ$4,0))))+SUMPRODUCT((Inputs!$E$5:$E$120=$B32)*ISNUMBER(INDEX(Inputs!$K$5:$AJ$120,0,MATCH(N$2,Inputs!$K$4:$AJ$4,0))))=0,NA(),SUMPRODUCT((Inputs!$A$5:$A$120=$B32)*Inputs!$B$5:$B$120*(((Inputs!$G$5:$G$120="moeda")+(Inputs!$G$5:$G$120="acoes"))*Inputs!$B$1+((Inputs!$G$5:$G$120&lt;&gt;"moeda")*(Inputs!$G$5:$G$120&lt;&gt;"acoes")))*INDEX(Inputs!$K$5:$AJ$120,0,MATCH(N$2,Inputs!$K$4:$AJ$4,0)))+SUMPRODUCT((Inputs!$C$5:$C$120=$B32)*Inputs!$D$5:$D$120*(((Inputs!$G$5:$G$120="moeda")+(Inputs!$G$5:$G$120="acoes"))*Inputs!$B$1+((Inputs!$G$5:$G$120&lt;&gt;"moeda")*(Inputs!$G$5:$G$120&lt;&gt;"acoes")))*INDEX(Inputs!$K$5:$AJ$120,0,MATCH(N$2,Inputs!$K$4:$AJ$4,0)))+SUMPRODUCT((Inputs!$E$5:$E$120=$B32)*Inputs!$F$5:$F$120*(((Inputs!$G$5:$G$120="moeda")+(Inputs!$G$5:$G$120="acoes"))*Inputs!$B$1+((Inputs!$G$5:$G$120&lt;&gt;"moeda")*(Inputs!$G$5:$G$120&lt;&gt;"acoes")))*INDEX(Inputs!$K$5:$AJ$120,0,MATCH(N$2,Inputs!$K$4:$AJ$4,0)))))</f>
        <v>49</v>
      </c>
      <c r="O32" s="267">
        <f>IF(ISNA(MATCH(O$2,Inputs!$K$4:$AJ$4,0)),NA(),IF(SUMPRODUCT((Inputs!$A$5:$A$120=$B32)*ISNUMBER(INDEX(Inputs!$K$5:$AJ$120,0,MATCH(O$2,Inputs!$K$4:$AJ$4,0))))+SUMPRODUCT((Inputs!$C$5:$C$120=$B32)*ISNUMBER(INDEX(Inputs!$K$5:$AJ$120,0,MATCH(O$2,Inputs!$K$4:$AJ$4,0))))+SUMPRODUCT((Inputs!$E$5:$E$120=$B32)*ISNUMBER(INDEX(Inputs!$K$5:$AJ$120,0,MATCH(O$2,Inputs!$K$4:$AJ$4,0))))=0,NA(),SUMPRODUCT((Inputs!$A$5:$A$120=$B32)*Inputs!$B$5:$B$120*(((Inputs!$G$5:$G$120="moeda")+(Inputs!$G$5:$G$120="acoes"))*Inputs!$B$1+((Inputs!$G$5:$G$120&lt;&gt;"moeda")*(Inputs!$G$5:$G$120&lt;&gt;"acoes")))*INDEX(Inputs!$K$5:$AJ$120,0,MATCH(O$2,Inputs!$K$4:$AJ$4,0)))+SUMPRODUCT((Inputs!$C$5:$C$120=$B32)*Inputs!$D$5:$D$120*(((Inputs!$G$5:$G$120="moeda")+(Inputs!$G$5:$G$120="acoes"))*Inputs!$B$1+((Inputs!$G$5:$G$120&lt;&gt;"moeda")*(Inputs!$G$5:$G$120&lt;&gt;"acoes")))*INDEX(Inputs!$K$5:$AJ$120,0,MATCH(O$2,Inputs!$K$4:$AJ$4,0)))+SUMPRODUCT((Inputs!$E$5:$E$120=$B32)*Inputs!$F$5:$F$120*(((Inputs!$G$5:$G$120="moeda")+(Inputs!$G$5:$G$120="acoes"))*Inputs!$B$1+((Inputs!$G$5:$G$120&lt;&gt;"moeda")*(Inputs!$G$5:$G$120&lt;&gt;"acoes")))*INDEX(Inputs!$K$5:$AJ$120,0,MATCH(O$2,Inputs!$K$4:$AJ$4,0)))))</f>
        <v>37</v>
      </c>
      <c r="P32" s="267">
        <f>IF(ISNA(MATCH(P$2,Inputs!$K$4:$AJ$4,0)),NA(),IF(SUMPRODUCT((Inputs!$A$5:$A$120=$B32)*ISNUMBER(INDEX(Inputs!$K$5:$AJ$120,0,MATCH(P$2,Inputs!$K$4:$AJ$4,0))))+SUMPRODUCT((Inputs!$C$5:$C$120=$B32)*ISNUMBER(INDEX(Inputs!$K$5:$AJ$120,0,MATCH(P$2,Inputs!$K$4:$AJ$4,0))))+SUMPRODUCT((Inputs!$E$5:$E$120=$B32)*ISNUMBER(INDEX(Inputs!$K$5:$AJ$120,0,MATCH(P$2,Inputs!$K$4:$AJ$4,0))))=0,NA(),SUMPRODUCT((Inputs!$A$5:$A$120=$B32)*Inputs!$B$5:$B$120*(((Inputs!$G$5:$G$120="moeda")+(Inputs!$G$5:$G$120="acoes"))*Inputs!$B$1+((Inputs!$G$5:$G$120&lt;&gt;"moeda")*(Inputs!$G$5:$G$120&lt;&gt;"acoes")))*INDEX(Inputs!$K$5:$AJ$120,0,MATCH(P$2,Inputs!$K$4:$AJ$4,0)))+SUMPRODUCT((Inputs!$C$5:$C$120=$B32)*Inputs!$D$5:$D$120*(((Inputs!$G$5:$G$120="moeda")+(Inputs!$G$5:$G$120="acoes"))*Inputs!$B$1+((Inputs!$G$5:$G$120&lt;&gt;"moeda")*(Inputs!$G$5:$G$120&lt;&gt;"acoes")))*INDEX(Inputs!$K$5:$AJ$120,0,MATCH(P$2,Inputs!$K$4:$AJ$4,0)))+SUMPRODUCT((Inputs!$E$5:$E$120=$B32)*Inputs!$F$5:$F$120*(((Inputs!$G$5:$G$120="moeda")+(Inputs!$G$5:$G$120="acoes"))*Inputs!$B$1+((Inputs!$G$5:$G$120&lt;&gt;"moeda")*(Inputs!$G$5:$G$120&lt;&gt;"acoes")))*INDEX(Inputs!$K$5:$AJ$120,0,MATCH(P$2,Inputs!$K$4:$AJ$4,0)))))</f>
        <v>35</v>
      </c>
      <c r="Q32" s="267">
        <f>IF(ISNA(MATCH(Q$2,Inputs!$K$4:$AJ$4,0)),NA(),IF(SUMPRODUCT((Inputs!$A$5:$A$120=$B32)*ISNUMBER(INDEX(Inputs!$K$5:$AJ$120,0,MATCH(Q$2,Inputs!$K$4:$AJ$4,0))))+SUMPRODUCT((Inputs!$C$5:$C$120=$B32)*ISNUMBER(INDEX(Inputs!$K$5:$AJ$120,0,MATCH(Q$2,Inputs!$K$4:$AJ$4,0))))+SUMPRODUCT((Inputs!$E$5:$E$120=$B32)*ISNUMBER(INDEX(Inputs!$K$5:$AJ$120,0,MATCH(Q$2,Inputs!$K$4:$AJ$4,0))))=0,NA(),SUMPRODUCT((Inputs!$A$5:$A$120=$B32)*Inputs!$B$5:$B$120*(((Inputs!$G$5:$G$120="moeda")+(Inputs!$G$5:$G$120="acoes"))*Inputs!$B$1+((Inputs!$G$5:$G$120&lt;&gt;"moeda")*(Inputs!$G$5:$G$120&lt;&gt;"acoes")))*INDEX(Inputs!$K$5:$AJ$120,0,MATCH(Q$2,Inputs!$K$4:$AJ$4,0)))+SUMPRODUCT((Inputs!$C$5:$C$120=$B32)*Inputs!$D$5:$D$120*(((Inputs!$G$5:$G$120="moeda")+(Inputs!$G$5:$G$120="acoes"))*Inputs!$B$1+((Inputs!$G$5:$G$120&lt;&gt;"moeda")*(Inputs!$G$5:$G$120&lt;&gt;"acoes")))*INDEX(Inputs!$K$5:$AJ$120,0,MATCH(Q$2,Inputs!$K$4:$AJ$4,0)))+SUMPRODUCT((Inputs!$E$5:$E$120=$B32)*Inputs!$F$5:$F$120*(((Inputs!$G$5:$G$120="moeda")+(Inputs!$G$5:$G$120="acoes"))*Inputs!$B$1+((Inputs!$G$5:$G$120&lt;&gt;"moeda")*(Inputs!$G$5:$G$120&lt;&gt;"acoes")))*INDEX(Inputs!$K$5:$AJ$120,0,MATCH(Q$2,Inputs!$K$4:$AJ$4,0)))))</f>
        <v>766</v>
      </c>
      <c r="R32" s="268">
        <f>Q32</f>
        <v>766</v>
      </c>
      <c r="S32" s="267">
        <f>IF(ISNA(MATCH(S$2,Inputs!$K$4:$AJ$4,0)),NA(),IF(SUMPRODUCT((Inputs!$A$5:$A$120=$B32)*ISNUMBER(INDEX(Inputs!$K$5:$AJ$120,0,MATCH(S$2,Inputs!$K$4:$AJ$4,0))))+SUMPRODUCT((Inputs!$C$5:$C$120=$B32)*ISNUMBER(INDEX(Inputs!$K$5:$AJ$120,0,MATCH(S$2,Inputs!$K$4:$AJ$4,0))))+SUMPRODUCT((Inputs!$E$5:$E$120=$B32)*ISNUMBER(INDEX(Inputs!$K$5:$AJ$120,0,MATCH(S$2,Inputs!$K$4:$AJ$4,0))))=0,NA(),SUMPRODUCT((Inputs!$A$5:$A$120=$B32)*Inputs!$B$5:$B$120*(((Inputs!$G$5:$G$120="moeda")+(Inputs!$G$5:$G$120="acoes"))*Inputs!$B$1+((Inputs!$G$5:$G$120&lt;&gt;"moeda")*(Inputs!$G$5:$G$120&lt;&gt;"acoes")))*INDEX(Inputs!$K$5:$AJ$120,0,MATCH(S$2,Inputs!$K$4:$AJ$4,0)))+SUMPRODUCT((Inputs!$C$5:$C$120=$B32)*Inputs!$D$5:$D$120*(((Inputs!$G$5:$G$120="moeda")+(Inputs!$G$5:$G$120="acoes"))*Inputs!$B$1+((Inputs!$G$5:$G$120&lt;&gt;"moeda")*(Inputs!$G$5:$G$120&lt;&gt;"acoes")))*INDEX(Inputs!$K$5:$AJ$120,0,MATCH(S$2,Inputs!$K$4:$AJ$4,0)))+SUMPRODUCT((Inputs!$E$5:$E$120=$B32)*Inputs!$F$5:$F$120*(((Inputs!$G$5:$G$120="moeda")+(Inputs!$G$5:$G$120="acoes"))*Inputs!$B$1+((Inputs!$G$5:$G$120&lt;&gt;"moeda")*(Inputs!$G$5:$G$120&lt;&gt;"acoes")))*INDEX(Inputs!$K$5:$AJ$120,0,MATCH(S$2,Inputs!$K$4:$AJ$4,0)))))</f>
        <v>769</v>
      </c>
      <c r="T32" s="267">
        <f>IF(ISNA(MATCH(T$2,Inputs!$K$4:$AJ$4,0)),NA(),IF(SUMPRODUCT((Inputs!$A$5:$A$120=$B32)*ISNUMBER(INDEX(Inputs!$K$5:$AJ$120,0,MATCH(T$2,Inputs!$K$4:$AJ$4,0))))+SUMPRODUCT((Inputs!$C$5:$C$120=$B32)*ISNUMBER(INDEX(Inputs!$K$5:$AJ$120,0,MATCH(T$2,Inputs!$K$4:$AJ$4,0))))+SUMPRODUCT((Inputs!$E$5:$E$120=$B32)*ISNUMBER(INDEX(Inputs!$K$5:$AJ$120,0,MATCH(T$2,Inputs!$K$4:$AJ$4,0))))=0,NA(),SUMPRODUCT((Inputs!$A$5:$A$120=$B32)*Inputs!$B$5:$B$120*(((Inputs!$G$5:$G$120="moeda")+(Inputs!$G$5:$G$120="acoes"))*Inputs!$B$1+((Inputs!$G$5:$G$120&lt;&gt;"moeda")*(Inputs!$G$5:$G$120&lt;&gt;"acoes")))*INDEX(Inputs!$K$5:$AJ$120,0,MATCH(T$2,Inputs!$K$4:$AJ$4,0)))+SUMPRODUCT((Inputs!$C$5:$C$120=$B32)*Inputs!$D$5:$D$120*(((Inputs!$G$5:$G$120="moeda")+(Inputs!$G$5:$G$120="acoes"))*Inputs!$B$1+((Inputs!$G$5:$G$120&lt;&gt;"moeda")*(Inputs!$G$5:$G$120&lt;&gt;"acoes")))*INDEX(Inputs!$K$5:$AJ$120,0,MATCH(T$2,Inputs!$K$4:$AJ$4,0)))+SUMPRODUCT((Inputs!$E$5:$E$120=$B32)*Inputs!$F$5:$F$120*(((Inputs!$G$5:$G$120="moeda")+(Inputs!$G$5:$G$120="acoes"))*Inputs!$B$1+((Inputs!$G$5:$G$120&lt;&gt;"moeda")*(Inputs!$G$5:$G$120&lt;&gt;"acoes")))*INDEX(Inputs!$K$5:$AJ$120,0,MATCH(T$2,Inputs!$K$4:$AJ$4,0)))))</f>
        <v>768</v>
      </c>
      <c r="U32" s="267">
        <f>IF(ISNA(MATCH(U$2,Inputs!$K$4:$AJ$4,0)),NA(),IF(SUMPRODUCT((Inputs!$A$5:$A$120=$B32)*ISNUMBER(INDEX(Inputs!$K$5:$AJ$120,0,MATCH(U$2,Inputs!$K$4:$AJ$4,0))))+SUMPRODUCT((Inputs!$C$5:$C$120=$B32)*ISNUMBER(INDEX(Inputs!$K$5:$AJ$120,0,MATCH(U$2,Inputs!$K$4:$AJ$4,0))))+SUMPRODUCT((Inputs!$E$5:$E$120=$B32)*ISNUMBER(INDEX(Inputs!$K$5:$AJ$120,0,MATCH(U$2,Inputs!$K$4:$AJ$4,0))))=0,NA(),SUMPRODUCT((Inputs!$A$5:$A$120=$B32)*Inputs!$B$5:$B$120*(((Inputs!$G$5:$G$120="moeda")+(Inputs!$G$5:$G$120="acoes"))*Inputs!$B$1+((Inputs!$G$5:$G$120&lt;&gt;"moeda")*(Inputs!$G$5:$G$120&lt;&gt;"acoes")))*INDEX(Inputs!$K$5:$AJ$120,0,MATCH(U$2,Inputs!$K$4:$AJ$4,0)))+SUMPRODUCT((Inputs!$C$5:$C$120=$B32)*Inputs!$D$5:$D$120*(((Inputs!$G$5:$G$120="moeda")+(Inputs!$G$5:$G$120="acoes"))*Inputs!$B$1+((Inputs!$G$5:$G$120&lt;&gt;"moeda")*(Inputs!$G$5:$G$120&lt;&gt;"acoes")))*INDEX(Inputs!$K$5:$AJ$120,0,MATCH(U$2,Inputs!$K$4:$AJ$4,0)))+SUMPRODUCT((Inputs!$E$5:$E$120=$B32)*Inputs!$F$5:$F$120*(((Inputs!$G$5:$G$120="moeda")+(Inputs!$G$5:$G$120="acoes"))*Inputs!$B$1+((Inputs!$G$5:$G$120&lt;&gt;"moeda")*(Inputs!$G$5:$G$120&lt;&gt;"acoes")))*INDEX(Inputs!$K$5:$AJ$120,0,MATCH(U$2,Inputs!$K$4:$AJ$4,0)))))</f>
        <v>769</v>
      </c>
      <c r="V32" s="267">
        <f>IF(ISNA(MATCH(V$2,Inputs!$K$4:$AJ$4,0)),NA(),IF(SUMPRODUCT((Inputs!$A$5:$A$120=$B32)*ISNUMBER(INDEX(Inputs!$K$5:$AJ$120,0,MATCH(V$2,Inputs!$K$4:$AJ$4,0))))+SUMPRODUCT((Inputs!$C$5:$C$120=$B32)*ISNUMBER(INDEX(Inputs!$K$5:$AJ$120,0,MATCH(V$2,Inputs!$K$4:$AJ$4,0))))+SUMPRODUCT((Inputs!$E$5:$E$120=$B32)*ISNUMBER(INDEX(Inputs!$K$5:$AJ$120,0,MATCH(V$2,Inputs!$K$4:$AJ$4,0))))=0,NA(),SUMPRODUCT((Inputs!$A$5:$A$120=$B32)*Inputs!$B$5:$B$120*(((Inputs!$G$5:$G$120="moeda")+(Inputs!$G$5:$G$120="acoes"))*Inputs!$B$1+((Inputs!$G$5:$G$120&lt;&gt;"moeda")*(Inputs!$G$5:$G$120&lt;&gt;"acoes")))*INDEX(Inputs!$K$5:$AJ$120,0,MATCH(V$2,Inputs!$K$4:$AJ$4,0)))+SUMPRODUCT((Inputs!$C$5:$C$120=$B32)*Inputs!$D$5:$D$120*(((Inputs!$G$5:$G$120="moeda")+(Inputs!$G$5:$G$120="acoes"))*Inputs!$B$1+((Inputs!$G$5:$G$120&lt;&gt;"moeda")*(Inputs!$G$5:$G$120&lt;&gt;"acoes")))*INDEX(Inputs!$K$5:$AJ$120,0,MATCH(V$2,Inputs!$K$4:$AJ$4,0)))+SUMPRODUCT((Inputs!$E$5:$E$120=$B32)*Inputs!$F$5:$F$120*(((Inputs!$G$5:$G$120="moeda")+(Inputs!$G$5:$G$120="acoes"))*Inputs!$B$1+((Inputs!$G$5:$G$120&lt;&gt;"moeda")*(Inputs!$G$5:$G$120&lt;&gt;"acoes")))*INDEX(Inputs!$K$5:$AJ$120,0,MATCH(V$2,Inputs!$K$4:$AJ$4,0)))))</f>
        <v>41</v>
      </c>
      <c r="W32" s="268">
        <f>V32</f>
        <v>41</v>
      </c>
      <c r="X32" s="267">
        <f>IF(ISNA(MATCH(X$2,Inputs!$K$4:$AJ$4,0)),NA(),IF(SUMPRODUCT((Inputs!$A$5:$A$120=$B32)*ISNUMBER(INDEX(Inputs!$K$5:$AJ$120,0,MATCH(X$2,Inputs!$K$4:$AJ$4,0))))+SUMPRODUCT((Inputs!$C$5:$C$120=$B32)*ISNUMBER(INDEX(Inputs!$K$5:$AJ$120,0,MATCH(X$2,Inputs!$K$4:$AJ$4,0))))+SUMPRODUCT((Inputs!$E$5:$E$120=$B32)*ISNUMBER(INDEX(Inputs!$K$5:$AJ$120,0,MATCH(X$2,Inputs!$K$4:$AJ$4,0))))=0,NA(),SUMPRODUCT((Inputs!$A$5:$A$120=$B32)*Inputs!$B$5:$B$120*(((Inputs!$G$5:$G$120="moeda")+(Inputs!$G$5:$G$120="acoes"))*Inputs!$B$1+((Inputs!$G$5:$G$120&lt;&gt;"moeda")*(Inputs!$G$5:$G$120&lt;&gt;"acoes")))*INDEX(Inputs!$K$5:$AJ$120,0,MATCH(X$2,Inputs!$K$4:$AJ$4,0)))+SUMPRODUCT((Inputs!$C$5:$C$120=$B32)*Inputs!$D$5:$D$120*(((Inputs!$G$5:$G$120="moeda")+(Inputs!$G$5:$G$120="acoes"))*Inputs!$B$1+((Inputs!$G$5:$G$120&lt;&gt;"moeda")*(Inputs!$G$5:$G$120&lt;&gt;"acoes")))*INDEX(Inputs!$K$5:$AJ$120,0,MATCH(X$2,Inputs!$K$4:$AJ$4,0)))+SUMPRODUCT((Inputs!$E$5:$E$120=$B32)*Inputs!$F$5:$F$120*(((Inputs!$G$5:$G$120="moeda")+(Inputs!$G$5:$G$120="acoes"))*Inputs!$B$1+((Inputs!$G$5:$G$120&lt;&gt;"moeda")*(Inputs!$G$5:$G$120&lt;&gt;"acoes")))*INDEX(Inputs!$K$5:$AJ$120,0,MATCH(X$2,Inputs!$K$4:$AJ$4,0)))))</f>
        <v>495</v>
      </c>
      <c r="Y32" s="267">
        <f>IF(ISNA(MATCH(Y$2,Inputs!$K$4:$AJ$4,0)),NA(),IF(SUMPRODUCT((Inputs!$A$5:$A$120=$B32)*ISNUMBER(INDEX(Inputs!$K$5:$AJ$120,0,MATCH(Y$2,Inputs!$K$4:$AJ$4,0))))+SUMPRODUCT((Inputs!$C$5:$C$120=$B32)*ISNUMBER(INDEX(Inputs!$K$5:$AJ$120,0,MATCH(Y$2,Inputs!$K$4:$AJ$4,0))))+SUMPRODUCT((Inputs!$E$5:$E$120=$B32)*ISNUMBER(INDEX(Inputs!$K$5:$AJ$120,0,MATCH(Y$2,Inputs!$K$4:$AJ$4,0))))=0,NA(),SUMPRODUCT((Inputs!$A$5:$A$120=$B32)*Inputs!$B$5:$B$120*(((Inputs!$G$5:$G$120="moeda")+(Inputs!$G$5:$G$120="acoes"))*Inputs!$B$1+((Inputs!$G$5:$G$120&lt;&gt;"moeda")*(Inputs!$G$5:$G$120&lt;&gt;"acoes")))*INDEX(Inputs!$K$5:$AJ$120,0,MATCH(Y$2,Inputs!$K$4:$AJ$4,0)))+SUMPRODUCT((Inputs!$C$5:$C$120=$B32)*Inputs!$D$5:$D$120*(((Inputs!$G$5:$G$120="moeda")+(Inputs!$G$5:$G$120="acoes"))*Inputs!$B$1+((Inputs!$G$5:$G$120&lt;&gt;"moeda")*(Inputs!$G$5:$G$120&lt;&gt;"acoes")))*INDEX(Inputs!$K$5:$AJ$120,0,MATCH(Y$2,Inputs!$K$4:$AJ$4,0)))+SUMPRODUCT((Inputs!$E$5:$E$120=$B32)*Inputs!$F$5:$F$120*(((Inputs!$G$5:$G$120="moeda")+(Inputs!$G$5:$G$120="acoes"))*Inputs!$B$1+((Inputs!$G$5:$G$120&lt;&gt;"moeda")*(Inputs!$G$5:$G$120&lt;&gt;"acoes")))*INDEX(Inputs!$K$5:$AJ$120,0,MATCH(Y$2,Inputs!$K$4:$AJ$4,0)))))</f>
        <v>338</v>
      </c>
      <c r="Z32" s="267">
        <f>IF(ISNA(MATCH(Z$2,Inputs!$K$4:$AJ$4,0)),NA(),IF(SUMPRODUCT((Inputs!$A$5:$A$120=$B32)*ISNUMBER(INDEX(Inputs!$K$5:$AJ$120,0,MATCH(Z$2,Inputs!$K$4:$AJ$4,0))))+SUMPRODUCT((Inputs!$C$5:$C$120=$B32)*ISNUMBER(INDEX(Inputs!$K$5:$AJ$120,0,MATCH(Z$2,Inputs!$K$4:$AJ$4,0))))+SUMPRODUCT((Inputs!$E$5:$E$120=$B32)*ISNUMBER(INDEX(Inputs!$K$5:$AJ$120,0,MATCH(Z$2,Inputs!$K$4:$AJ$4,0))))=0,NA(),SUMPRODUCT((Inputs!$A$5:$A$120=$B32)*Inputs!$B$5:$B$120*(((Inputs!$G$5:$G$120="moeda")+(Inputs!$G$5:$G$120="acoes"))*Inputs!$B$1+((Inputs!$G$5:$G$120&lt;&gt;"moeda")*(Inputs!$G$5:$G$120&lt;&gt;"acoes")))*INDEX(Inputs!$K$5:$AJ$120,0,MATCH(Z$2,Inputs!$K$4:$AJ$4,0)))+SUMPRODUCT((Inputs!$C$5:$C$120=$B32)*Inputs!$D$5:$D$120*(((Inputs!$G$5:$G$120="moeda")+(Inputs!$G$5:$G$120="acoes"))*Inputs!$B$1+((Inputs!$G$5:$G$120&lt;&gt;"moeda")*(Inputs!$G$5:$G$120&lt;&gt;"acoes")))*INDEX(Inputs!$K$5:$AJ$120,0,MATCH(Z$2,Inputs!$K$4:$AJ$4,0)))+SUMPRODUCT((Inputs!$E$5:$E$120=$B32)*Inputs!$F$5:$F$120*(((Inputs!$G$5:$G$120="moeda")+(Inputs!$G$5:$G$120="acoes"))*Inputs!$B$1+((Inputs!$G$5:$G$120&lt;&gt;"moeda")*(Inputs!$G$5:$G$120&lt;&gt;"acoes")))*INDEX(Inputs!$K$5:$AJ$120,0,MATCH(Z$2,Inputs!$K$4:$AJ$4,0)))))</f>
        <v>383</v>
      </c>
      <c r="AA32" s="267">
        <f>IF(ISNA(MATCH(AA$2,Inputs!$K$4:$AJ$4,0)),NA(),IF(SUMPRODUCT((Inputs!$A$5:$A$120=$B32)*ISNUMBER(INDEX(Inputs!$K$5:$AJ$120,0,MATCH(AA$2,Inputs!$K$4:$AJ$4,0))))+SUMPRODUCT((Inputs!$C$5:$C$120=$B32)*ISNUMBER(INDEX(Inputs!$K$5:$AJ$120,0,MATCH(AA$2,Inputs!$K$4:$AJ$4,0))))+SUMPRODUCT((Inputs!$E$5:$E$120=$B32)*ISNUMBER(INDEX(Inputs!$K$5:$AJ$120,0,MATCH(AA$2,Inputs!$K$4:$AJ$4,0))))=0,NA(),SUMPRODUCT((Inputs!$A$5:$A$120=$B32)*Inputs!$B$5:$B$120*(((Inputs!$G$5:$G$120="moeda")+(Inputs!$G$5:$G$120="acoes"))*Inputs!$B$1+((Inputs!$G$5:$G$120&lt;&gt;"moeda")*(Inputs!$G$5:$G$120&lt;&gt;"acoes")))*INDEX(Inputs!$K$5:$AJ$120,0,MATCH(AA$2,Inputs!$K$4:$AJ$4,0)))+SUMPRODUCT((Inputs!$C$5:$C$120=$B32)*Inputs!$D$5:$D$120*(((Inputs!$G$5:$G$120="moeda")+(Inputs!$G$5:$G$120="acoes"))*Inputs!$B$1+((Inputs!$G$5:$G$120&lt;&gt;"moeda")*(Inputs!$G$5:$G$120&lt;&gt;"acoes")))*INDEX(Inputs!$K$5:$AJ$120,0,MATCH(AA$2,Inputs!$K$4:$AJ$4,0)))+SUMPRODUCT((Inputs!$E$5:$E$120=$B32)*Inputs!$F$5:$F$120*(((Inputs!$G$5:$G$120="moeda")+(Inputs!$G$5:$G$120="acoes"))*Inputs!$B$1+((Inputs!$G$5:$G$120&lt;&gt;"moeda")*(Inputs!$G$5:$G$120&lt;&gt;"acoes")))*INDEX(Inputs!$K$5:$AJ$120,0,MATCH(AA$2,Inputs!$K$4:$AJ$4,0)))))</f>
        <v>466</v>
      </c>
      <c r="AB32" s="268">
        <f>AA32</f>
        <v>466</v>
      </c>
      <c r="AC32" s="267">
        <f>IF(ISNA(MATCH(AC$2,Inputs!$K$4:$AJ$4,0)),NA(),IF(SUMPRODUCT((Inputs!$A$5:$A$120=$B32)*ISNUMBER(INDEX(Inputs!$K$5:$AJ$120,0,MATCH(AC$2,Inputs!$K$4:$AJ$4,0))))+SUMPRODUCT((Inputs!$C$5:$C$120=$B32)*ISNUMBER(INDEX(Inputs!$K$5:$AJ$120,0,MATCH(AC$2,Inputs!$K$4:$AJ$4,0))))+SUMPRODUCT((Inputs!$E$5:$E$120=$B32)*ISNUMBER(INDEX(Inputs!$K$5:$AJ$120,0,MATCH(AC$2,Inputs!$K$4:$AJ$4,0))))=0,NA(),SUMPRODUCT((Inputs!$A$5:$A$120=$B32)*Inputs!$B$5:$B$120*(((Inputs!$G$5:$G$120="moeda")+(Inputs!$G$5:$G$120="acoes"))*Inputs!$B$1+((Inputs!$G$5:$G$120&lt;&gt;"moeda")*(Inputs!$G$5:$G$120&lt;&gt;"acoes")))*INDEX(Inputs!$K$5:$AJ$120,0,MATCH(AC$2,Inputs!$K$4:$AJ$4,0)))+SUMPRODUCT((Inputs!$C$5:$C$120=$B32)*Inputs!$D$5:$D$120*(((Inputs!$G$5:$G$120="moeda")+(Inputs!$G$5:$G$120="acoes"))*Inputs!$B$1+((Inputs!$G$5:$G$120&lt;&gt;"moeda")*(Inputs!$G$5:$G$120&lt;&gt;"acoes")))*INDEX(Inputs!$K$5:$AJ$120,0,MATCH(AC$2,Inputs!$K$4:$AJ$4,0)))+SUMPRODUCT((Inputs!$E$5:$E$120=$B32)*Inputs!$F$5:$F$120*(((Inputs!$G$5:$G$120="moeda")+(Inputs!$G$5:$G$120="acoes"))*Inputs!$B$1+((Inputs!$G$5:$G$120&lt;&gt;"moeda")*(Inputs!$G$5:$G$120&lt;&gt;"acoes")))*INDEX(Inputs!$K$5:$AJ$120,0,MATCH(AC$2,Inputs!$K$4:$AJ$4,0)))))</f>
        <v>500</v>
      </c>
      <c r="AD32" s="267">
        <f>IF(ISNA(MATCH(AD$2,Inputs!$K$4:$AJ$4,0)),NA(),IF(SUMPRODUCT((Inputs!$A$5:$A$120=$B32)*ISNUMBER(INDEX(Inputs!$K$5:$AJ$120,0,MATCH(AD$2,Inputs!$K$4:$AJ$4,0))))+SUMPRODUCT((Inputs!$C$5:$C$120=$B32)*ISNUMBER(INDEX(Inputs!$K$5:$AJ$120,0,MATCH(AD$2,Inputs!$K$4:$AJ$4,0))))+SUMPRODUCT((Inputs!$E$5:$E$120=$B32)*ISNUMBER(INDEX(Inputs!$K$5:$AJ$120,0,MATCH(AD$2,Inputs!$K$4:$AJ$4,0))))=0,NA(),SUMPRODUCT((Inputs!$A$5:$A$120=$B32)*Inputs!$B$5:$B$120*(((Inputs!$G$5:$G$120="moeda")+(Inputs!$G$5:$G$120="acoes"))*Inputs!$B$1+((Inputs!$G$5:$G$120&lt;&gt;"moeda")*(Inputs!$G$5:$G$120&lt;&gt;"acoes")))*INDEX(Inputs!$K$5:$AJ$120,0,MATCH(AD$2,Inputs!$K$4:$AJ$4,0)))+SUMPRODUCT((Inputs!$C$5:$C$120=$B32)*Inputs!$D$5:$D$120*(((Inputs!$G$5:$G$120="moeda")+(Inputs!$G$5:$G$120="acoes"))*Inputs!$B$1+((Inputs!$G$5:$G$120&lt;&gt;"moeda")*(Inputs!$G$5:$G$120&lt;&gt;"acoes")))*INDEX(Inputs!$K$5:$AJ$120,0,MATCH(AD$2,Inputs!$K$4:$AJ$4,0)))+SUMPRODUCT((Inputs!$E$5:$E$120=$B32)*Inputs!$F$5:$F$120*(((Inputs!$G$5:$G$120="moeda")+(Inputs!$G$5:$G$120="acoes"))*Inputs!$B$1+((Inputs!$G$5:$G$120&lt;&gt;"moeda")*(Inputs!$G$5:$G$120&lt;&gt;"acoes")))*INDEX(Inputs!$K$5:$AJ$120,0,MATCH(AD$2,Inputs!$K$4:$AJ$4,0)))))</f>
        <v>1220</v>
      </c>
      <c r="AE32" s="267" t="e">
        <f>IF(ISNA(MATCH(AE$2,Inputs!$K$4:$AJ$4,0)),NA(),IF(SUMPRODUCT((Inputs!$A$5:$A$120=$B32)*ISNUMBER(INDEX(Inputs!$K$5:$AJ$120,0,MATCH(AE$2,Inputs!$K$4:$AJ$4,0))))+SUMPRODUCT((Inputs!$C$5:$C$120=$B32)*ISNUMBER(INDEX(Inputs!$K$5:$AJ$120,0,MATCH(AE$2,Inputs!$K$4:$AJ$4,0))))+SUMPRODUCT((Inputs!$E$5:$E$120=$B32)*ISNUMBER(INDEX(Inputs!$K$5:$AJ$120,0,MATCH(AE$2,Inputs!$K$4:$AJ$4,0))))=0,NA(),SUMPRODUCT((Inputs!$A$5:$A$120=$B32)*Inputs!$B$5:$B$120*(((Inputs!$G$5:$G$120="moeda")+(Inputs!$G$5:$G$120="acoes"))*Inputs!$B$1+((Inputs!$G$5:$G$120&lt;&gt;"moeda")*(Inputs!$G$5:$G$120&lt;&gt;"acoes")))*INDEX(Inputs!$K$5:$AJ$120,0,MATCH(AE$2,Inputs!$K$4:$AJ$4,0)))+SUMPRODUCT((Inputs!$C$5:$C$120=$B32)*Inputs!$D$5:$D$120*(((Inputs!$G$5:$G$120="moeda")+(Inputs!$G$5:$G$120="acoes"))*Inputs!$B$1+((Inputs!$G$5:$G$120&lt;&gt;"moeda")*(Inputs!$G$5:$G$120&lt;&gt;"acoes")))*INDEX(Inputs!$K$5:$AJ$120,0,MATCH(AE$2,Inputs!$K$4:$AJ$4,0)))+SUMPRODUCT((Inputs!$E$5:$E$120=$B32)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2" s="267" t="e">
        <f>IF(ISNA(MATCH(AF$2,Inputs!$K$4:$AJ$4,0)),NA(),IF(SUMPRODUCT((Inputs!$A$5:$A$120=$B32)*ISNUMBER(INDEX(Inputs!$K$5:$AJ$120,0,MATCH(AF$2,Inputs!$K$4:$AJ$4,0))))+SUMPRODUCT((Inputs!$C$5:$C$120=$B32)*ISNUMBER(INDEX(Inputs!$K$5:$AJ$120,0,MATCH(AF$2,Inputs!$K$4:$AJ$4,0))))+SUMPRODUCT((Inputs!$E$5:$E$120=$B32)*ISNUMBER(INDEX(Inputs!$K$5:$AJ$120,0,MATCH(AF$2,Inputs!$K$4:$AJ$4,0))))=0,NA(),SUMPRODUCT((Inputs!$A$5:$A$120=$B32)*Inputs!$B$5:$B$120*(((Inputs!$G$5:$G$120="moeda")+(Inputs!$G$5:$G$120="acoes"))*Inputs!$B$1+((Inputs!$G$5:$G$120&lt;&gt;"moeda")*(Inputs!$G$5:$G$120&lt;&gt;"acoes")))*INDEX(Inputs!$K$5:$AJ$120,0,MATCH(AF$2,Inputs!$K$4:$AJ$4,0)))+SUMPRODUCT((Inputs!$C$5:$C$120=$B32)*Inputs!$D$5:$D$120*(((Inputs!$G$5:$G$120="moeda")+(Inputs!$G$5:$G$120="acoes"))*Inputs!$B$1+((Inputs!$G$5:$G$120&lt;&gt;"moeda")*(Inputs!$G$5:$G$120&lt;&gt;"acoes")))*INDEX(Inputs!$K$5:$AJ$120,0,MATCH(AF$2,Inputs!$K$4:$AJ$4,0)))+SUMPRODUCT((Inputs!$E$5:$E$120=$B32)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2" s="268" t="e">
        <f>AF32</f>
        <v>#N/A</v>
      </c>
      <c r="AH32" s="267">
        <f>IF(ISNA(MATCH(AH$2,Inputs!$K$4:$AJ$4,0)),NA(),IF(SUMPRODUCT((Inputs!$A$5:$A$120=$B32)*ISNUMBER(INDEX(Inputs!$K$5:$AJ$120,0,MATCH(AH$2,Inputs!$K$4:$AJ$4,0))))+SUMPRODUCT((Inputs!$C$5:$C$120=$B32)*ISNUMBER(INDEX(Inputs!$K$5:$AJ$120,0,MATCH(AH$2,Inputs!$K$4:$AJ$4,0))))+SUMPRODUCT((Inputs!$E$5:$E$120=$B32)*ISNUMBER(INDEX(Inputs!$K$5:$AJ$120,0,MATCH(AH$2,Inputs!$K$4:$AJ$4,0))))=0,NA(),SUMPRODUCT((Inputs!$A$5:$A$120=$B32)*Inputs!$B$5:$B$120*(((Inputs!$G$5:$G$120="moeda")+(Inputs!$G$5:$G$120="acoes"))*Inputs!$B$1+((Inputs!$G$5:$G$120&lt;&gt;"moeda")*(Inputs!$G$5:$G$120&lt;&gt;"acoes")))*INDEX(Inputs!$K$5:$AJ$120,0,MATCH(AH$2,Inputs!$K$4:$AJ$4,0)))+SUMPRODUCT((Inputs!$C$5:$C$120=$B32)*Inputs!$D$5:$D$120*(((Inputs!$G$5:$G$120="moeda")+(Inputs!$G$5:$G$120="acoes"))*Inputs!$B$1+((Inputs!$G$5:$G$120&lt;&gt;"moeda")*(Inputs!$G$5:$G$120&lt;&gt;"acoes")))*INDEX(Inputs!$K$5:$AJ$120,0,MATCH(AH$2,Inputs!$K$4:$AJ$4,0)))+SUMPRODUCT((Inputs!$E$5:$E$120=$B32)*Inputs!$F$5:$F$120*(((Inputs!$G$5:$G$120="moeda")+(Inputs!$G$5:$G$120="acoes"))*Inputs!$B$1+((Inputs!$G$5:$G$120&lt;&gt;"moeda")*(Inputs!$G$5:$G$120&lt;&gt;"acoes")))*INDEX(Inputs!$K$5:$AJ$120,0,MATCH(AH$2,Inputs!$K$4:$AJ$4,0)))))</f>
        <v>245</v>
      </c>
      <c r="AI32" s="267">
        <f>IF(ISNA(MATCH(AI$2,Inputs!$K$4:$AJ$4,0)),NA(),IF(SUMPRODUCT((Inputs!$A$5:$A$120=$B32)*ISNUMBER(INDEX(Inputs!$K$5:$AJ$120,0,MATCH(AI$2,Inputs!$K$4:$AJ$4,0))))+SUMPRODUCT((Inputs!$C$5:$C$120=$B32)*ISNUMBER(INDEX(Inputs!$K$5:$AJ$120,0,MATCH(AI$2,Inputs!$K$4:$AJ$4,0))))+SUMPRODUCT((Inputs!$E$5:$E$120=$B32)*ISNUMBER(INDEX(Inputs!$K$5:$AJ$120,0,MATCH(AI$2,Inputs!$K$4:$AJ$4,0))))=0,NA(),SUMPRODUCT((Inputs!$A$5:$A$120=$B32)*Inputs!$B$5:$B$120*(((Inputs!$G$5:$G$120="moeda")+(Inputs!$G$5:$G$120="acoes"))*Inputs!$B$1+((Inputs!$G$5:$G$120&lt;&gt;"moeda")*(Inputs!$G$5:$G$120&lt;&gt;"acoes")))*INDEX(Inputs!$K$5:$AJ$120,0,MATCH(AI$2,Inputs!$K$4:$AJ$4,0)))+SUMPRODUCT((Inputs!$C$5:$C$120=$B32)*Inputs!$D$5:$D$120*(((Inputs!$G$5:$G$120="moeda")+(Inputs!$G$5:$G$120="acoes"))*Inputs!$B$1+((Inputs!$G$5:$G$120&lt;&gt;"moeda")*(Inputs!$G$5:$G$120&lt;&gt;"acoes")))*INDEX(Inputs!$K$5:$AJ$120,0,MATCH(AI$2,Inputs!$K$4:$AJ$4,0)))+SUMPRODUCT((Inputs!$E$5:$E$120=$B32)*Inputs!$F$5:$F$120*(((Inputs!$G$5:$G$120="moeda")+(Inputs!$G$5:$G$120="acoes"))*Inputs!$B$1+((Inputs!$G$5:$G$120&lt;&gt;"moeda")*(Inputs!$G$5:$G$120&lt;&gt;"acoes")))*INDEX(Inputs!$K$5:$AJ$120,0,MATCH(AI$2,Inputs!$K$4:$AJ$4,0)))))</f>
        <v>90</v>
      </c>
      <c r="AJ32" s="267">
        <f>IF(ISNA(MATCH(AJ$2,Inputs!$K$4:$AJ$4,0)),NA(),IF(SUMPRODUCT((Inputs!$A$5:$A$120=$B32)*ISNUMBER(INDEX(Inputs!$K$5:$AJ$120,0,MATCH(AJ$2,Inputs!$K$4:$AJ$4,0))))+SUMPRODUCT((Inputs!$C$5:$C$120=$B32)*ISNUMBER(INDEX(Inputs!$K$5:$AJ$120,0,MATCH(AJ$2,Inputs!$K$4:$AJ$4,0))))+SUMPRODUCT((Inputs!$E$5:$E$120=$B32)*ISNUMBER(INDEX(Inputs!$K$5:$AJ$120,0,MATCH(AJ$2,Inputs!$K$4:$AJ$4,0))))=0,NA(),SUMPRODUCT((Inputs!$A$5:$A$120=$B32)*Inputs!$B$5:$B$120*(((Inputs!$G$5:$G$120="moeda")+(Inputs!$G$5:$G$120="acoes"))*Inputs!$B$1+((Inputs!$G$5:$G$120&lt;&gt;"moeda")*(Inputs!$G$5:$G$120&lt;&gt;"acoes")))*INDEX(Inputs!$K$5:$AJ$120,0,MATCH(AJ$2,Inputs!$K$4:$AJ$4,0)))+SUMPRODUCT((Inputs!$C$5:$C$120=$B32)*Inputs!$D$5:$D$120*(((Inputs!$G$5:$G$120="moeda")+(Inputs!$G$5:$G$120="acoes"))*Inputs!$B$1+((Inputs!$G$5:$G$120&lt;&gt;"moeda")*(Inputs!$G$5:$G$120&lt;&gt;"acoes")))*INDEX(Inputs!$K$5:$AJ$120,0,MATCH(AJ$2,Inputs!$K$4:$AJ$4,0)))+SUMPRODUCT((Inputs!$E$5:$E$120=$B32)*Inputs!$F$5:$F$120*(((Inputs!$G$5:$G$120="moeda")+(Inputs!$G$5:$G$120="acoes"))*Inputs!$B$1+((Inputs!$G$5:$G$120&lt;&gt;"moeda")*(Inputs!$G$5:$G$120&lt;&gt;"acoes")))*INDEX(Inputs!$K$5:$AJ$120,0,MATCH(AJ$2,Inputs!$K$4:$AJ$4,0)))))</f>
        <v>47</v>
      </c>
      <c r="AK32" s="267">
        <f>IF(ISNA(MATCH(AK$2,Inputs!$K$4:$AJ$4,0)),NA(),IF(SUMPRODUCT((Inputs!$A$5:$A$120=$B32)*ISNUMBER(INDEX(Inputs!$K$5:$AJ$120,0,MATCH(AK$2,Inputs!$K$4:$AJ$4,0))))+SUMPRODUCT((Inputs!$C$5:$C$120=$B32)*ISNUMBER(INDEX(Inputs!$K$5:$AJ$120,0,MATCH(AK$2,Inputs!$K$4:$AJ$4,0))))+SUMPRODUCT((Inputs!$E$5:$E$120=$B32)*ISNUMBER(INDEX(Inputs!$K$5:$AJ$120,0,MATCH(AK$2,Inputs!$K$4:$AJ$4,0))))=0,NA(),SUMPRODUCT((Inputs!$A$5:$A$120=$B32)*Inputs!$B$5:$B$120*(((Inputs!$G$5:$G$120="moeda")+(Inputs!$G$5:$G$120="acoes"))*Inputs!$B$1+((Inputs!$G$5:$G$120&lt;&gt;"moeda")*(Inputs!$G$5:$G$120&lt;&gt;"acoes")))*INDEX(Inputs!$K$5:$AJ$120,0,MATCH(AK$2,Inputs!$K$4:$AJ$4,0)))+SUMPRODUCT((Inputs!$C$5:$C$120=$B32)*Inputs!$D$5:$D$120*(((Inputs!$G$5:$G$120="moeda")+(Inputs!$G$5:$G$120="acoes"))*Inputs!$B$1+((Inputs!$G$5:$G$120&lt;&gt;"moeda")*(Inputs!$G$5:$G$120&lt;&gt;"acoes")))*INDEX(Inputs!$K$5:$AJ$120,0,MATCH(AK$2,Inputs!$K$4:$AJ$4,0)))+SUMPRODUCT((Inputs!$E$5:$E$120=$B32)*Inputs!$F$5:$F$120*(((Inputs!$G$5:$G$120="moeda")+(Inputs!$G$5:$G$120="acoes"))*Inputs!$B$1+((Inputs!$G$5:$G$120&lt;&gt;"moeda")*(Inputs!$G$5:$G$120&lt;&gt;"acoes")))*INDEX(Inputs!$K$5:$AJ$120,0,MATCH(AK$2,Inputs!$K$4:$AJ$4,0)))))</f>
        <v>34</v>
      </c>
      <c r="AL32" s="268">
        <f>AK32</f>
        <v>34</v>
      </c>
    </row>
    <row r="33" ht="12.75" customHeight="1" s="255">
      <c r="B33" s="265" t="n">
        <v>28</v>
      </c>
      <c r="C33" s="270" t="inlineStr">
        <is>
          <t>Short term debt (Revolving credit facility)</t>
        </is>
      </c>
      <c r="D33" s="267">
        <f>IF(ISNA(MATCH(D$2,Inputs!$K$4:$AJ$4,0)),NA(),IF(SUMPRODUCT((Inputs!$A$5:$A$120=$B33)*ISNUMBER(INDEX(Inputs!$K$5:$AJ$120,0,MATCH(D$2,Inputs!$K$4:$AJ$4,0))))+SUMPRODUCT((Inputs!$C$5:$C$120=$B33)*ISNUMBER(INDEX(Inputs!$K$5:$AJ$120,0,MATCH(D$2,Inputs!$K$4:$AJ$4,0))))+SUMPRODUCT((Inputs!$E$5:$E$120=$B33)*ISNUMBER(INDEX(Inputs!$K$5:$AJ$120,0,MATCH(D$2,Inputs!$K$4:$AJ$4,0))))=0,NA(),SUMPRODUCT((Inputs!$A$5:$A$120=$B33)*Inputs!$B$5:$B$120*(((Inputs!$G$5:$G$120="moeda")+(Inputs!$G$5:$G$120="acoes"))*Inputs!$B$1+((Inputs!$G$5:$G$120&lt;&gt;"moeda")*(Inputs!$G$5:$G$120&lt;&gt;"acoes")))*INDEX(Inputs!$K$5:$AJ$120,0,MATCH(D$2,Inputs!$K$4:$AJ$4,0)))+SUMPRODUCT((Inputs!$C$5:$C$120=$B33)*Inputs!$D$5:$D$120*(((Inputs!$G$5:$G$120="moeda")+(Inputs!$G$5:$G$120="acoes"))*Inputs!$B$1+((Inputs!$G$5:$G$120&lt;&gt;"moeda")*(Inputs!$G$5:$G$120&lt;&gt;"acoes")))*INDEX(Inputs!$K$5:$AJ$120,0,MATCH(D$2,Inputs!$K$4:$AJ$4,0)))+SUMPRODUCT((Inputs!$E$5:$E$120=$B33)*Inputs!$F$5:$F$120*(((Inputs!$G$5:$G$120="moeda")+(Inputs!$G$5:$G$120="acoes"))*Inputs!$B$1+((Inputs!$G$5:$G$120&lt;&gt;"moeda")*(Inputs!$G$5:$G$120&lt;&gt;"acoes")))*INDEX(Inputs!$K$5:$AJ$120,0,MATCH(D$2,Inputs!$K$4:$AJ$4,0)))))</f>
        <v>0</v>
      </c>
      <c r="E33" s="267">
        <f>IF(ISNA(MATCH(E$2,Inputs!$K$4:$AJ$4,0)),NA(),IF(SUMPRODUCT((Inputs!$A$5:$A$120=$B33)*ISNUMBER(INDEX(Inputs!$K$5:$AJ$120,0,MATCH(E$2,Inputs!$K$4:$AJ$4,0))))+SUMPRODUCT((Inputs!$C$5:$C$120=$B33)*ISNUMBER(INDEX(Inputs!$K$5:$AJ$120,0,MATCH(E$2,Inputs!$K$4:$AJ$4,0))))+SUMPRODUCT((Inputs!$E$5:$E$120=$B33)*ISNUMBER(INDEX(Inputs!$K$5:$AJ$120,0,MATCH(E$2,Inputs!$K$4:$AJ$4,0))))=0,NA(),SUMPRODUCT((Inputs!$A$5:$A$120=$B33)*Inputs!$B$5:$B$120*(((Inputs!$G$5:$G$120="moeda")+(Inputs!$G$5:$G$120="acoes"))*Inputs!$B$1+((Inputs!$G$5:$G$120&lt;&gt;"moeda")*(Inputs!$G$5:$G$120&lt;&gt;"acoes")))*INDEX(Inputs!$K$5:$AJ$120,0,MATCH(E$2,Inputs!$K$4:$AJ$4,0)))+SUMPRODUCT((Inputs!$C$5:$C$120=$B33)*Inputs!$D$5:$D$120*(((Inputs!$G$5:$G$120="moeda")+(Inputs!$G$5:$G$120="acoes"))*Inputs!$B$1+((Inputs!$G$5:$G$120&lt;&gt;"moeda")*(Inputs!$G$5:$G$120&lt;&gt;"acoes")))*INDEX(Inputs!$K$5:$AJ$120,0,MATCH(E$2,Inputs!$K$4:$AJ$4,0)))+SUMPRODUCT((Inputs!$E$5:$E$120=$B33)*Inputs!$F$5:$F$120*(((Inputs!$G$5:$G$120="moeda")+(Inputs!$G$5:$G$120="acoes"))*Inputs!$B$1+((Inputs!$G$5:$G$120&lt;&gt;"moeda")*(Inputs!$G$5:$G$120&lt;&gt;"acoes")))*INDEX(Inputs!$K$5:$AJ$120,0,MATCH(E$2,Inputs!$K$4:$AJ$4,0)))))</f>
        <v>0</v>
      </c>
      <c r="F33" s="267">
        <f>IF(ISNA(MATCH(F$2,Inputs!$K$4:$AJ$4,0)),NA(),IF(SUMPRODUCT((Inputs!$A$5:$A$120=$B33)*ISNUMBER(INDEX(Inputs!$K$5:$AJ$120,0,MATCH(F$2,Inputs!$K$4:$AJ$4,0))))+SUMPRODUCT((Inputs!$C$5:$C$120=$B33)*ISNUMBER(INDEX(Inputs!$K$5:$AJ$120,0,MATCH(F$2,Inputs!$K$4:$AJ$4,0))))+SUMPRODUCT((Inputs!$E$5:$E$120=$B33)*ISNUMBER(INDEX(Inputs!$K$5:$AJ$120,0,MATCH(F$2,Inputs!$K$4:$AJ$4,0))))=0,NA(),SUMPRODUCT((Inputs!$A$5:$A$120=$B33)*Inputs!$B$5:$B$120*(((Inputs!$G$5:$G$120="moeda")+(Inputs!$G$5:$G$120="acoes"))*Inputs!$B$1+((Inputs!$G$5:$G$120&lt;&gt;"moeda")*(Inputs!$G$5:$G$120&lt;&gt;"acoes")))*INDEX(Inputs!$K$5:$AJ$120,0,MATCH(F$2,Inputs!$K$4:$AJ$4,0)))+SUMPRODUCT((Inputs!$C$5:$C$120=$B33)*Inputs!$D$5:$D$120*(((Inputs!$G$5:$G$120="moeda")+(Inputs!$G$5:$G$120="acoes"))*Inputs!$B$1+((Inputs!$G$5:$G$120&lt;&gt;"moeda")*(Inputs!$G$5:$G$120&lt;&gt;"acoes")))*INDEX(Inputs!$K$5:$AJ$120,0,MATCH(F$2,Inputs!$K$4:$AJ$4,0)))+SUMPRODUCT((Inputs!$E$5:$E$120=$B33)*Inputs!$F$5:$F$120*(((Inputs!$G$5:$G$120="moeda")+(Inputs!$G$5:$G$120="acoes"))*Inputs!$B$1+((Inputs!$G$5:$G$120&lt;&gt;"moeda")*(Inputs!$G$5:$G$120&lt;&gt;"acoes")))*INDEX(Inputs!$K$5:$AJ$120,0,MATCH(F$2,Inputs!$K$4:$AJ$4,0)))))</f>
        <v>0</v>
      </c>
      <c r="G33" s="267">
        <f>IF(ISNA(MATCH(G$2,Inputs!$K$4:$AJ$4,0)),NA(),IF(SUMPRODUCT((Inputs!$A$5:$A$120=$B33)*ISNUMBER(INDEX(Inputs!$K$5:$AJ$120,0,MATCH(G$2,Inputs!$K$4:$AJ$4,0))))+SUMPRODUCT((Inputs!$C$5:$C$120=$B33)*ISNUMBER(INDEX(Inputs!$K$5:$AJ$120,0,MATCH(G$2,Inputs!$K$4:$AJ$4,0))))+SUMPRODUCT((Inputs!$E$5:$E$120=$B33)*ISNUMBER(INDEX(Inputs!$K$5:$AJ$120,0,MATCH(G$2,Inputs!$K$4:$AJ$4,0))))=0,NA(),SUMPRODUCT((Inputs!$A$5:$A$120=$B33)*Inputs!$B$5:$B$120*(((Inputs!$G$5:$G$120="moeda")+(Inputs!$G$5:$G$120="acoes"))*Inputs!$B$1+((Inputs!$G$5:$G$120&lt;&gt;"moeda")*(Inputs!$G$5:$G$120&lt;&gt;"acoes")))*INDEX(Inputs!$K$5:$AJ$120,0,MATCH(G$2,Inputs!$K$4:$AJ$4,0)))+SUMPRODUCT((Inputs!$C$5:$C$120=$B33)*Inputs!$D$5:$D$120*(((Inputs!$G$5:$G$120="moeda")+(Inputs!$G$5:$G$120="acoes"))*Inputs!$B$1+((Inputs!$G$5:$G$120&lt;&gt;"moeda")*(Inputs!$G$5:$G$120&lt;&gt;"acoes")))*INDEX(Inputs!$K$5:$AJ$120,0,MATCH(G$2,Inputs!$K$4:$AJ$4,0)))+SUMPRODUCT((Inputs!$E$5:$E$120=$B33)*Inputs!$F$5:$F$120*(((Inputs!$G$5:$G$120="moeda")+(Inputs!$G$5:$G$120="acoes"))*Inputs!$B$1+((Inputs!$G$5:$G$120&lt;&gt;"moeda")*(Inputs!$G$5:$G$120&lt;&gt;"acoes")))*INDEX(Inputs!$K$5:$AJ$120,0,MATCH(G$2,Inputs!$K$4:$AJ$4,0)))))</f>
        <v>0</v>
      </c>
      <c r="H33" s="268">
        <f>G33</f>
        <v>0</v>
      </c>
      <c r="I33" s="267">
        <f>IF(ISNA(MATCH(I$2,Inputs!$K$4:$AJ$4,0)),NA(),IF(SUMPRODUCT((Inputs!$A$5:$A$120=$B33)*ISNUMBER(INDEX(Inputs!$K$5:$AJ$120,0,MATCH(I$2,Inputs!$K$4:$AJ$4,0))))+SUMPRODUCT((Inputs!$C$5:$C$120=$B33)*ISNUMBER(INDEX(Inputs!$K$5:$AJ$120,0,MATCH(I$2,Inputs!$K$4:$AJ$4,0))))+SUMPRODUCT((Inputs!$E$5:$E$120=$B33)*ISNUMBER(INDEX(Inputs!$K$5:$AJ$120,0,MATCH(I$2,Inputs!$K$4:$AJ$4,0))))=0,NA(),SUMPRODUCT((Inputs!$A$5:$A$120=$B33)*Inputs!$B$5:$B$120*(((Inputs!$G$5:$G$120="moeda")+(Inputs!$G$5:$G$120="acoes"))*Inputs!$B$1+((Inputs!$G$5:$G$120&lt;&gt;"moeda")*(Inputs!$G$5:$G$120&lt;&gt;"acoes")))*INDEX(Inputs!$K$5:$AJ$120,0,MATCH(I$2,Inputs!$K$4:$AJ$4,0)))+SUMPRODUCT((Inputs!$C$5:$C$120=$B33)*Inputs!$D$5:$D$120*(((Inputs!$G$5:$G$120="moeda")+(Inputs!$G$5:$G$120="acoes"))*Inputs!$B$1+((Inputs!$G$5:$G$120&lt;&gt;"moeda")*(Inputs!$G$5:$G$120&lt;&gt;"acoes")))*INDEX(Inputs!$K$5:$AJ$120,0,MATCH(I$2,Inputs!$K$4:$AJ$4,0)))+SUMPRODUCT((Inputs!$E$5:$E$120=$B33)*Inputs!$F$5:$F$120*(((Inputs!$G$5:$G$120="moeda")+(Inputs!$G$5:$G$120="acoes"))*Inputs!$B$1+((Inputs!$G$5:$G$120&lt;&gt;"moeda")*(Inputs!$G$5:$G$120&lt;&gt;"acoes")))*INDEX(Inputs!$K$5:$AJ$120,0,MATCH(I$2,Inputs!$K$4:$AJ$4,0)))))</f>
        <v>0</v>
      </c>
      <c r="J33" s="267">
        <f>IF(ISNA(MATCH(J$2,Inputs!$K$4:$AJ$4,0)),NA(),IF(SUMPRODUCT((Inputs!$A$5:$A$120=$B33)*ISNUMBER(INDEX(Inputs!$K$5:$AJ$120,0,MATCH(J$2,Inputs!$K$4:$AJ$4,0))))+SUMPRODUCT((Inputs!$C$5:$C$120=$B33)*ISNUMBER(INDEX(Inputs!$K$5:$AJ$120,0,MATCH(J$2,Inputs!$K$4:$AJ$4,0))))+SUMPRODUCT((Inputs!$E$5:$E$120=$B33)*ISNUMBER(INDEX(Inputs!$K$5:$AJ$120,0,MATCH(J$2,Inputs!$K$4:$AJ$4,0))))=0,NA(),SUMPRODUCT((Inputs!$A$5:$A$120=$B33)*Inputs!$B$5:$B$120*(((Inputs!$G$5:$G$120="moeda")+(Inputs!$G$5:$G$120="acoes"))*Inputs!$B$1+((Inputs!$G$5:$G$120&lt;&gt;"moeda")*(Inputs!$G$5:$G$120&lt;&gt;"acoes")))*INDEX(Inputs!$K$5:$AJ$120,0,MATCH(J$2,Inputs!$K$4:$AJ$4,0)))+SUMPRODUCT((Inputs!$C$5:$C$120=$B33)*Inputs!$D$5:$D$120*(((Inputs!$G$5:$G$120="moeda")+(Inputs!$G$5:$G$120="acoes"))*Inputs!$B$1+((Inputs!$G$5:$G$120&lt;&gt;"moeda")*(Inputs!$G$5:$G$120&lt;&gt;"acoes")))*INDEX(Inputs!$K$5:$AJ$120,0,MATCH(J$2,Inputs!$K$4:$AJ$4,0)))+SUMPRODUCT((Inputs!$E$5:$E$120=$B33)*Inputs!$F$5:$F$120*(((Inputs!$G$5:$G$120="moeda")+(Inputs!$G$5:$G$120="acoes"))*Inputs!$B$1+((Inputs!$G$5:$G$120&lt;&gt;"moeda")*(Inputs!$G$5:$G$120&lt;&gt;"acoes")))*INDEX(Inputs!$K$5:$AJ$120,0,MATCH(J$2,Inputs!$K$4:$AJ$4,0)))))</f>
        <v>0</v>
      </c>
      <c r="K33" s="267">
        <f>IF(ISNA(MATCH(K$2,Inputs!$K$4:$AJ$4,0)),NA(),IF(SUMPRODUCT((Inputs!$A$5:$A$120=$B33)*ISNUMBER(INDEX(Inputs!$K$5:$AJ$120,0,MATCH(K$2,Inputs!$K$4:$AJ$4,0))))+SUMPRODUCT((Inputs!$C$5:$C$120=$B33)*ISNUMBER(INDEX(Inputs!$K$5:$AJ$120,0,MATCH(K$2,Inputs!$K$4:$AJ$4,0))))+SUMPRODUCT((Inputs!$E$5:$E$120=$B33)*ISNUMBER(INDEX(Inputs!$K$5:$AJ$120,0,MATCH(K$2,Inputs!$K$4:$AJ$4,0))))=0,NA(),SUMPRODUCT((Inputs!$A$5:$A$120=$B33)*Inputs!$B$5:$B$120*(((Inputs!$G$5:$G$120="moeda")+(Inputs!$G$5:$G$120="acoes"))*Inputs!$B$1+((Inputs!$G$5:$G$120&lt;&gt;"moeda")*(Inputs!$G$5:$G$120&lt;&gt;"acoes")))*INDEX(Inputs!$K$5:$AJ$120,0,MATCH(K$2,Inputs!$K$4:$AJ$4,0)))+SUMPRODUCT((Inputs!$C$5:$C$120=$B33)*Inputs!$D$5:$D$120*(((Inputs!$G$5:$G$120="moeda")+(Inputs!$G$5:$G$120="acoes"))*Inputs!$B$1+((Inputs!$G$5:$G$120&lt;&gt;"moeda")*(Inputs!$G$5:$G$120&lt;&gt;"acoes")))*INDEX(Inputs!$K$5:$AJ$120,0,MATCH(K$2,Inputs!$K$4:$AJ$4,0)))+SUMPRODUCT((Inputs!$E$5:$E$120=$B33)*Inputs!$F$5:$F$120*(((Inputs!$G$5:$G$120="moeda")+(Inputs!$G$5:$G$120="acoes"))*Inputs!$B$1+((Inputs!$G$5:$G$120&lt;&gt;"moeda")*(Inputs!$G$5:$G$120&lt;&gt;"acoes")))*INDEX(Inputs!$K$5:$AJ$120,0,MATCH(K$2,Inputs!$K$4:$AJ$4,0)))))</f>
        <v>0</v>
      </c>
      <c r="L33" s="267">
        <f>IF(ISNA(MATCH(L$2,Inputs!$K$4:$AJ$4,0)),NA(),IF(SUMPRODUCT((Inputs!$A$5:$A$120=$B33)*ISNUMBER(INDEX(Inputs!$K$5:$AJ$120,0,MATCH(L$2,Inputs!$K$4:$AJ$4,0))))+SUMPRODUCT((Inputs!$C$5:$C$120=$B33)*ISNUMBER(INDEX(Inputs!$K$5:$AJ$120,0,MATCH(L$2,Inputs!$K$4:$AJ$4,0))))+SUMPRODUCT((Inputs!$E$5:$E$120=$B33)*ISNUMBER(INDEX(Inputs!$K$5:$AJ$120,0,MATCH(L$2,Inputs!$K$4:$AJ$4,0))))=0,NA(),SUMPRODUCT((Inputs!$A$5:$A$120=$B33)*Inputs!$B$5:$B$120*(((Inputs!$G$5:$G$120="moeda")+(Inputs!$G$5:$G$120="acoes"))*Inputs!$B$1+((Inputs!$G$5:$G$120&lt;&gt;"moeda")*(Inputs!$G$5:$G$120&lt;&gt;"acoes")))*INDEX(Inputs!$K$5:$AJ$120,0,MATCH(L$2,Inputs!$K$4:$AJ$4,0)))+SUMPRODUCT((Inputs!$C$5:$C$120=$B33)*Inputs!$D$5:$D$120*(((Inputs!$G$5:$G$120="moeda")+(Inputs!$G$5:$G$120="acoes"))*Inputs!$B$1+((Inputs!$G$5:$G$120&lt;&gt;"moeda")*(Inputs!$G$5:$G$120&lt;&gt;"acoes")))*INDEX(Inputs!$K$5:$AJ$120,0,MATCH(L$2,Inputs!$K$4:$AJ$4,0)))+SUMPRODUCT((Inputs!$E$5:$E$120=$B33)*Inputs!$F$5:$F$120*(((Inputs!$G$5:$G$120="moeda")+(Inputs!$G$5:$G$120="acoes"))*Inputs!$B$1+((Inputs!$G$5:$G$120&lt;&gt;"moeda")*(Inputs!$G$5:$G$120&lt;&gt;"acoes")))*INDEX(Inputs!$K$5:$AJ$120,0,MATCH(L$2,Inputs!$K$4:$AJ$4,0)))))</f>
        <v>0</v>
      </c>
      <c r="M33" s="268">
        <f>L33</f>
        <v>0</v>
      </c>
      <c r="N33" s="267">
        <f>IF(ISNA(MATCH(N$2,Inputs!$K$4:$AJ$4,0)),NA(),IF(SUMPRODUCT((Inputs!$A$5:$A$120=$B33)*ISNUMBER(INDEX(Inputs!$K$5:$AJ$120,0,MATCH(N$2,Inputs!$K$4:$AJ$4,0))))+SUMPRODUCT((Inputs!$C$5:$C$120=$B33)*ISNUMBER(INDEX(Inputs!$K$5:$AJ$120,0,MATCH(N$2,Inputs!$K$4:$AJ$4,0))))+SUMPRODUCT((Inputs!$E$5:$E$120=$B33)*ISNUMBER(INDEX(Inputs!$K$5:$AJ$120,0,MATCH(N$2,Inputs!$K$4:$AJ$4,0))))=0,NA(),SUMPRODUCT((Inputs!$A$5:$A$120=$B33)*Inputs!$B$5:$B$120*(((Inputs!$G$5:$G$120="moeda")+(Inputs!$G$5:$G$120="acoes"))*Inputs!$B$1+((Inputs!$G$5:$G$120&lt;&gt;"moeda")*(Inputs!$G$5:$G$120&lt;&gt;"acoes")))*INDEX(Inputs!$K$5:$AJ$120,0,MATCH(N$2,Inputs!$K$4:$AJ$4,0)))+SUMPRODUCT((Inputs!$C$5:$C$120=$B33)*Inputs!$D$5:$D$120*(((Inputs!$G$5:$G$120="moeda")+(Inputs!$G$5:$G$120="acoes"))*Inputs!$B$1+((Inputs!$G$5:$G$120&lt;&gt;"moeda")*(Inputs!$G$5:$G$120&lt;&gt;"acoes")))*INDEX(Inputs!$K$5:$AJ$120,0,MATCH(N$2,Inputs!$K$4:$AJ$4,0)))+SUMPRODUCT((Inputs!$E$5:$E$120=$B33)*Inputs!$F$5:$F$120*(((Inputs!$G$5:$G$120="moeda")+(Inputs!$G$5:$G$120="acoes"))*Inputs!$B$1+((Inputs!$G$5:$G$120&lt;&gt;"moeda")*(Inputs!$G$5:$G$120&lt;&gt;"acoes")))*INDEX(Inputs!$K$5:$AJ$120,0,MATCH(N$2,Inputs!$K$4:$AJ$4,0)))))</f>
        <v>0</v>
      </c>
      <c r="O33" s="267">
        <f>IF(ISNA(MATCH(O$2,Inputs!$K$4:$AJ$4,0)),NA(),IF(SUMPRODUCT((Inputs!$A$5:$A$120=$B33)*ISNUMBER(INDEX(Inputs!$K$5:$AJ$120,0,MATCH(O$2,Inputs!$K$4:$AJ$4,0))))+SUMPRODUCT((Inputs!$C$5:$C$120=$B33)*ISNUMBER(INDEX(Inputs!$K$5:$AJ$120,0,MATCH(O$2,Inputs!$K$4:$AJ$4,0))))+SUMPRODUCT((Inputs!$E$5:$E$120=$B33)*ISNUMBER(INDEX(Inputs!$K$5:$AJ$120,0,MATCH(O$2,Inputs!$K$4:$AJ$4,0))))=0,NA(),SUMPRODUCT((Inputs!$A$5:$A$120=$B33)*Inputs!$B$5:$B$120*(((Inputs!$G$5:$G$120="moeda")+(Inputs!$G$5:$G$120="acoes"))*Inputs!$B$1+((Inputs!$G$5:$G$120&lt;&gt;"moeda")*(Inputs!$G$5:$G$120&lt;&gt;"acoes")))*INDEX(Inputs!$K$5:$AJ$120,0,MATCH(O$2,Inputs!$K$4:$AJ$4,0)))+SUMPRODUCT((Inputs!$C$5:$C$120=$B33)*Inputs!$D$5:$D$120*(((Inputs!$G$5:$G$120="moeda")+(Inputs!$G$5:$G$120="acoes"))*Inputs!$B$1+((Inputs!$G$5:$G$120&lt;&gt;"moeda")*(Inputs!$G$5:$G$120&lt;&gt;"acoes")))*INDEX(Inputs!$K$5:$AJ$120,0,MATCH(O$2,Inputs!$K$4:$AJ$4,0)))+SUMPRODUCT((Inputs!$E$5:$E$120=$B33)*Inputs!$F$5:$F$120*(((Inputs!$G$5:$G$120="moeda")+(Inputs!$G$5:$G$120="acoes"))*Inputs!$B$1+((Inputs!$G$5:$G$120&lt;&gt;"moeda")*(Inputs!$G$5:$G$120&lt;&gt;"acoes")))*INDEX(Inputs!$K$5:$AJ$120,0,MATCH(O$2,Inputs!$K$4:$AJ$4,0)))))</f>
        <v>0</v>
      </c>
      <c r="P33" s="267">
        <f>IF(ISNA(MATCH(P$2,Inputs!$K$4:$AJ$4,0)),NA(),IF(SUMPRODUCT((Inputs!$A$5:$A$120=$B33)*ISNUMBER(INDEX(Inputs!$K$5:$AJ$120,0,MATCH(P$2,Inputs!$K$4:$AJ$4,0))))+SUMPRODUCT((Inputs!$C$5:$C$120=$B33)*ISNUMBER(INDEX(Inputs!$K$5:$AJ$120,0,MATCH(P$2,Inputs!$K$4:$AJ$4,0))))+SUMPRODUCT((Inputs!$E$5:$E$120=$B33)*ISNUMBER(INDEX(Inputs!$K$5:$AJ$120,0,MATCH(P$2,Inputs!$K$4:$AJ$4,0))))=0,NA(),SUMPRODUCT((Inputs!$A$5:$A$120=$B33)*Inputs!$B$5:$B$120*(((Inputs!$G$5:$G$120="moeda")+(Inputs!$G$5:$G$120="acoes"))*Inputs!$B$1+((Inputs!$G$5:$G$120&lt;&gt;"moeda")*(Inputs!$G$5:$G$120&lt;&gt;"acoes")))*INDEX(Inputs!$K$5:$AJ$120,0,MATCH(P$2,Inputs!$K$4:$AJ$4,0)))+SUMPRODUCT((Inputs!$C$5:$C$120=$B33)*Inputs!$D$5:$D$120*(((Inputs!$G$5:$G$120="moeda")+(Inputs!$G$5:$G$120="acoes"))*Inputs!$B$1+((Inputs!$G$5:$G$120&lt;&gt;"moeda")*(Inputs!$G$5:$G$120&lt;&gt;"acoes")))*INDEX(Inputs!$K$5:$AJ$120,0,MATCH(P$2,Inputs!$K$4:$AJ$4,0)))+SUMPRODUCT((Inputs!$E$5:$E$120=$B33)*Inputs!$F$5:$F$120*(((Inputs!$G$5:$G$120="moeda")+(Inputs!$G$5:$G$120="acoes"))*Inputs!$B$1+((Inputs!$G$5:$G$120&lt;&gt;"moeda")*(Inputs!$G$5:$G$120&lt;&gt;"acoes")))*INDEX(Inputs!$K$5:$AJ$120,0,MATCH(P$2,Inputs!$K$4:$AJ$4,0)))))</f>
        <v>0</v>
      </c>
      <c r="Q33" s="267">
        <f>IF(ISNA(MATCH(Q$2,Inputs!$K$4:$AJ$4,0)),NA(),IF(SUMPRODUCT((Inputs!$A$5:$A$120=$B33)*ISNUMBER(INDEX(Inputs!$K$5:$AJ$120,0,MATCH(Q$2,Inputs!$K$4:$AJ$4,0))))+SUMPRODUCT((Inputs!$C$5:$C$120=$B33)*ISNUMBER(INDEX(Inputs!$K$5:$AJ$120,0,MATCH(Q$2,Inputs!$K$4:$AJ$4,0))))+SUMPRODUCT((Inputs!$E$5:$E$120=$B33)*ISNUMBER(INDEX(Inputs!$K$5:$AJ$120,0,MATCH(Q$2,Inputs!$K$4:$AJ$4,0))))=0,NA(),SUMPRODUCT((Inputs!$A$5:$A$120=$B33)*Inputs!$B$5:$B$120*(((Inputs!$G$5:$G$120="moeda")+(Inputs!$G$5:$G$120="acoes"))*Inputs!$B$1+((Inputs!$G$5:$G$120&lt;&gt;"moeda")*(Inputs!$G$5:$G$120&lt;&gt;"acoes")))*INDEX(Inputs!$K$5:$AJ$120,0,MATCH(Q$2,Inputs!$K$4:$AJ$4,0)))+SUMPRODUCT((Inputs!$C$5:$C$120=$B33)*Inputs!$D$5:$D$120*(((Inputs!$G$5:$G$120="moeda")+(Inputs!$G$5:$G$120="acoes"))*Inputs!$B$1+((Inputs!$G$5:$G$120&lt;&gt;"moeda")*(Inputs!$G$5:$G$120&lt;&gt;"acoes")))*INDEX(Inputs!$K$5:$AJ$120,0,MATCH(Q$2,Inputs!$K$4:$AJ$4,0)))+SUMPRODUCT((Inputs!$E$5:$E$120=$B33)*Inputs!$F$5:$F$120*(((Inputs!$G$5:$G$120="moeda")+(Inputs!$G$5:$G$120="acoes"))*Inputs!$B$1+((Inputs!$G$5:$G$120&lt;&gt;"moeda")*(Inputs!$G$5:$G$120&lt;&gt;"acoes")))*INDEX(Inputs!$K$5:$AJ$120,0,MATCH(Q$2,Inputs!$K$4:$AJ$4,0)))))</f>
        <v>0</v>
      </c>
      <c r="R33" s="268">
        <f>Q33</f>
        <v>0</v>
      </c>
      <c r="S33" s="267">
        <f>IF(ISNA(MATCH(S$2,Inputs!$K$4:$AJ$4,0)),NA(),IF(SUMPRODUCT((Inputs!$A$5:$A$120=$B33)*ISNUMBER(INDEX(Inputs!$K$5:$AJ$120,0,MATCH(S$2,Inputs!$K$4:$AJ$4,0))))+SUMPRODUCT((Inputs!$C$5:$C$120=$B33)*ISNUMBER(INDEX(Inputs!$K$5:$AJ$120,0,MATCH(S$2,Inputs!$K$4:$AJ$4,0))))+SUMPRODUCT((Inputs!$E$5:$E$120=$B33)*ISNUMBER(INDEX(Inputs!$K$5:$AJ$120,0,MATCH(S$2,Inputs!$K$4:$AJ$4,0))))=0,NA(),SUMPRODUCT((Inputs!$A$5:$A$120=$B33)*Inputs!$B$5:$B$120*(((Inputs!$G$5:$G$120="moeda")+(Inputs!$G$5:$G$120="acoes"))*Inputs!$B$1+((Inputs!$G$5:$G$120&lt;&gt;"moeda")*(Inputs!$G$5:$G$120&lt;&gt;"acoes")))*INDEX(Inputs!$K$5:$AJ$120,0,MATCH(S$2,Inputs!$K$4:$AJ$4,0)))+SUMPRODUCT((Inputs!$C$5:$C$120=$B33)*Inputs!$D$5:$D$120*(((Inputs!$G$5:$G$120="moeda")+(Inputs!$G$5:$G$120="acoes"))*Inputs!$B$1+((Inputs!$G$5:$G$120&lt;&gt;"moeda")*(Inputs!$G$5:$G$120&lt;&gt;"acoes")))*INDEX(Inputs!$K$5:$AJ$120,0,MATCH(S$2,Inputs!$K$4:$AJ$4,0)))+SUMPRODUCT((Inputs!$E$5:$E$120=$B33)*Inputs!$F$5:$F$120*(((Inputs!$G$5:$G$120="moeda")+(Inputs!$G$5:$G$120="acoes"))*Inputs!$B$1+((Inputs!$G$5:$G$120&lt;&gt;"moeda")*(Inputs!$G$5:$G$120&lt;&gt;"acoes")))*INDEX(Inputs!$K$5:$AJ$120,0,MATCH(S$2,Inputs!$K$4:$AJ$4,0)))))</f>
        <v>0</v>
      </c>
      <c r="T33" s="267">
        <f>IF(ISNA(MATCH(T$2,Inputs!$K$4:$AJ$4,0)),NA(),IF(SUMPRODUCT((Inputs!$A$5:$A$120=$B33)*ISNUMBER(INDEX(Inputs!$K$5:$AJ$120,0,MATCH(T$2,Inputs!$K$4:$AJ$4,0))))+SUMPRODUCT((Inputs!$C$5:$C$120=$B33)*ISNUMBER(INDEX(Inputs!$K$5:$AJ$120,0,MATCH(T$2,Inputs!$K$4:$AJ$4,0))))+SUMPRODUCT((Inputs!$E$5:$E$120=$B33)*ISNUMBER(INDEX(Inputs!$K$5:$AJ$120,0,MATCH(T$2,Inputs!$K$4:$AJ$4,0))))=0,NA(),SUMPRODUCT((Inputs!$A$5:$A$120=$B33)*Inputs!$B$5:$B$120*(((Inputs!$G$5:$G$120="moeda")+(Inputs!$G$5:$G$120="acoes"))*Inputs!$B$1+((Inputs!$G$5:$G$120&lt;&gt;"moeda")*(Inputs!$G$5:$G$120&lt;&gt;"acoes")))*INDEX(Inputs!$K$5:$AJ$120,0,MATCH(T$2,Inputs!$K$4:$AJ$4,0)))+SUMPRODUCT((Inputs!$C$5:$C$120=$B33)*Inputs!$D$5:$D$120*(((Inputs!$G$5:$G$120="moeda")+(Inputs!$G$5:$G$120="acoes"))*Inputs!$B$1+((Inputs!$G$5:$G$120&lt;&gt;"moeda")*(Inputs!$G$5:$G$120&lt;&gt;"acoes")))*INDEX(Inputs!$K$5:$AJ$120,0,MATCH(T$2,Inputs!$K$4:$AJ$4,0)))+SUMPRODUCT((Inputs!$E$5:$E$120=$B33)*Inputs!$F$5:$F$120*(((Inputs!$G$5:$G$120="moeda")+(Inputs!$G$5:$G$120="acoes"))*Inputs!$B$1+((Inputs!$G$5:$G$120&lt;&gt;"moeda")*(Inputs!$G$5:$G$120&lt;&gt;"acoes")))*INDEX(Inputs!$K$5:$AJ$120,0,MATCH(T$2,Inputs!$K$4:$AJ$4,0)))))</f>
        <v>0</v>
      </c>
      <c r="U33" s="267">
        <f>IF(ISNA(MATCH(U$2,Inputs!$K$4:$AJ$4,0)),NA(),IF(SUMPRODUCT((Inputs!$A$5:$A$120=$B33)*ISNUMBER(INDEX(Inputs!$K$5:$AJ$120,0,MATCH(U$2,Inputs!$K$4:$AJ$4,0))))+SUMPRODUCT((Inputs!$C$5:$C$120=$B33)*ISNUMBER(INDEX(Inputs!$K$5:$AJ$120,0,MATCH(U$2,Inputs!$K$4:$AJ$4,0))))+SUMPRODUCT((Inputs!$E$5:$E$120=$B33)*ISNUMBER(INDEX(Inputs!$K$5:$AJ$120,0,MATCH(U$2,Inputs!$K$4:$AJ$4,0))))=0,NA(),SUMPRODUCT((Inputs!$A$5:$A$120=$B33)*Inputs!$B$5:$B$120*(((Inputs!$G$5:$G$120="moeda")+(Inputs!$G$5:$G$120="acoes"))*Inputs!$B$1+((Inputs!$G$5:$G$120&lt;&gt;"moeda")*(Inputs!$G$5:$G$120&lt;&gt;"acoes")))*INDEX(Inputs!$K$5:$AJ$120,0,MATCH(U$2,Inputs!$K$4:$AJ$4,0)))+SUMPRODUCT((Inputs!$C$5:$C$120=$B33)*Inputs!$D$5:$D$120*(((Inputs!$G$5:$G$120="moeda")+(Inputs!$G$5:$G$120="acoes"))*Inputs!$B$1+((Inputs!$G$5:$G$120&lt;&gt;"moeda")*(Inputs!$G$5:$G$120&lt;&gt;"acoes")))*INDEX(Inputs!$K$5:$AJ$120,0,MATCH(U$2,Inputs!$K$4:$AJ$4,0)))+SUMPRODUCT((Inputs!$E$5:$E$120=$B33)*Inputs!$F$5:$F$120*(((Inputs!$G$5:$G$120="moeda")+(Inputs!$G$5:$G$120="acoes"))*Inputs!$B$1+((Inputs!$G$5:$G$120&lt;&gt;"moeda")*(Inputs!$G$5:$G$120&lt;&gt;"acoes")))*INDEX(Inputs!$K$5:$AJ$120,0,MATCH(U$2,Inputs!$K$4:$AJ$4,0)))))</f>
        <v>0</v>
      </c>
      <c r="V33" s="267">
        <f>IF(ISNA(MATCH(V$2,Inputs!$K$4:$AJ$4,0)),NA(),IF(SUMPRODUCT((Inputs!$A$5:$A$120=$B33)*ISNUMBER(INDEX(Inputs!$K$5:$AJ$120,0,MATCH(V$2,Inputs!$K$4:$AJ$4,0))))+SUMPRODUCT((Inputs!$C$5:$C$120=$B33)*ISNUMBER(INDEX(Inputs!$K$5:$AJ$120,0,MATCH(V$2,Inputs!$K$4:$AJ$4,0))))+SUMPRODUCT((Inputs!$E$5:$E$120=$B33)*ISNUMBER(INDEX(Inputs!$K$5:$AJ$120,0,MATCH(V$2,Inputs!$K$4:$AJ$4,0))))=0,NA(),SUMPRODUCT((Inputs!$A$5:$A$120=$B33)*Inputs!$B$5:$B$120*(((Inputs!$G$5:$G$120="moeda")+(Inputs!$G$5:$G$120="acoes"))*Inputs!$B$1+((Inputs!$G$5:$G$120&lt;&gt;"moeda")*(Inputs!$G$5:$G$120&lt;&gt;"acoes")))*INDEX(Inputs!$K$5:$AJ$120,0,MATCH(V$2,Inputs!$K$4:$AJ$4,0)))+SUMPRODUCT((Inputs!$C$5:$C$120=$B33)*Inputs!$D$5:$D$120*(((Inputs!$G$5:$G$120="moeda")+(Inputs!$G$5:$G$120="acoes"))*Inputs!$B$1+((Inputs!$G$5:$G$120&lt;&gt;"moeda")*(Inputs!$G$5:$G$120&lt;&gt;"acoes")))*INDEX(Inputs!$K$5:$AJ$120,0,MATCH(V$2,Inputs!$K$4:$AJ$4,0)))+SUMPRODUCT((Inputs!$E$5:$E$120=$B33)*Inputs!$F$5:$F$120*(((Inputs!$G$5:$G$120="moeda")+(Inputs!$G$5:$G$120="acoes"))*Inputs!$B$1+((Inputs!$G$5:$G$120&lt;&gt;"moeda")*(Inputs!$G$5:$G$120&lt;&gt;"acoes")))*INDEX(Inputs!$K$5:$AJ$120,0,MATCH(V$2,Inputs!$K$4:$AJ$4,0)))))</f>
        <v>0</v>
      </c>
      <c r="W33" s="268">
        <f>V33</f>
        <v>0</v>
      </c>
      <c r="X33" s="267">
        <f>IF(ISNA(MATCH(X$2,Inputs!$K$4:$AJ$4,0)),NA(),IF(SUMPRODUCT((Inputs!$A$5:$A$120=$B33)*ISNUMBER(INDEX(Inputs!$K$5:$AJ$120,0,MATCH(X$2,Inputs!$K$4:$AJ$4,0))))+SUMPRODUCT((Inputs!$C$5:$C$120=$B33)*ISNUMBER(INDEX(Inputs!$K$5:$AJ$120,0,MATCH(X$2,Inputs!$K$4:$AJ$4,0))))+SUMPRODUCT((Inputs!$E$5:$E$120=$B33)*ISNUMBER(INDEX(Inputs!$K$5:$AJ$120,0,MATCH(X$2,Inputs!$K$4:$AJ$4,0))))=0,NA(),SUMPRODUCT((Inputs!$A$5:$A$120=$B33)*Inputs!$B$5:$B$120*(((Inputs!$G$5:$G$120="moeda")+(Inputs!$G$5:$G$120="acoes"))*Inputs!$B$1+((Inputs!$G$5:$G$120&lt;&gt;"moeda")*(Inputs!$G$5:$G$120&lt;&gt;"acoes")))*INDEX(Inputs!$K$5:$AJ$120,0,MATCH(X$2,Inputs!$K$4:$AJ$4,0)))+SUMPRODUCT((Inputs!$C$5:$C$120=$B33)*Inputs!$D$5:$D$120*(((Inputs!$G$5:$G$120="moeda")+(Inputs!$G$5:$G$120="acoes"))*Inputs!$B$1+((Inputs!$G$5:$G$120&lt;&gt;"moeda")*(Inputs!$G$5:$G$120&lt;&gt;"acoes")))*INDEX(Inputs!$K$5:$AJ$120,0,MATCH(X$2,Inputs!$K$4:$AJ$4,0)))+SUMPRODUCT((Inputs!$E$5:$E$120=$B33)*Inputs!$F$5:$F$120*(((Inputs!$G$5:$G$120="moeda")+(Inputs!$G$5:$G$120="acoes"))*Inputs!$B$1+((Inputs!$G$5:$G$120&lt;&gt;"moeda")*(Inputs!$G$5:$G$120&lt;&gt;"acoes")))*INDEX(Inputs!$K$5:$AJ$120,0,MATCH(X$2,Inputs!$K$4:$AJ$4,0)))))</f>
        <v>0</v>
      </c>
      <c r="Y33" s="267">
        <f>IF(ISNA(MATCH(Y$2,Inputs!$K$4:$AJ$4,0)),NA(),IF(SUMPRODUCT((Inputs!$A$5:$A$120=$B33)*ISNUMBER(INDEX(Inputs!$K$5:$AJ$120,0,MATCH(Y$2,Inputs!$K$4:$AJ$4,0))))+SUMPRODUCT((Inputs!$C$5:$C$120=$B33)*ISNUMBER(INDEX(Inputs!$K$5:$AJ$120,0,MATCH(Y$2,Inputs!$K$4:$AJ$4,0))))+SUMPRODUCT((Inputs!$E$5:$E$120=$B33)*ISNUMBER(INDEX(Inputs!$K$5:$AJ$120,0,MATCH(Y$2,Inputs!$K$4:$AJ$4,0))))=0,NA(),SUMPRODUCT((Inputs!$A$5:$A$120=$B33)*Inputs!$B$5:$B$120*(((Inputs!$G$5:$G$120="moeda")+(Inputs!$G$5:$G$120="acoes"))*Inputs!$B$1+((Inputs!$G$5:$G$120&lt;&gt;"moeda")*(Inputs!$G$5:$G$120&lt;&gt;"acoes")))*INDEX(Inputs!$K$5:$AJ$120,0,MATCH(Y$2,Inputs!$K$4:$AJ$4,0)))+SUMPRODUCT((Inputs!$C$5:$C$120=$B33)*Inputs!$D$5:$D$120*(((Inputs!$G$5:$G$120="moeda")+(Inputs!$G$5:$G$120="acoes"))*Inputs!$B$1+((Inputs!$G$5:$G$120&lt;&gt;"moeda")*(Inputs!$G$5:$G$120&lt;&gt;"acoes")))*INDEX(Inputs!$K$5:$AJ$120,0,MATCH(Y$2,Inputs!$K$4:$AJ$4,0)))+SUMPRODUCT((Inputs!$E$5:$E$120=$B33)*Inputs!$F$5:$F$120*(((Inputs!$G$5:$G$120="moeda")+(Inputs!$G$5:$G$120="acoes"))*Inputs!$B$1+((Inputs!$G$5:$G$120&lt;&gt;"moeda")*(Inputs!$G$5:$G$120&lt;&gt;"acoes")))*INDEX(Inputs!$K$5:$AJ$120,0,MATCH(Y$2,Inputs!$K$4:$AJ$4,0)))))</f>
        <v>0</v>
      </c>
      <c r="Z33" s="267">
        <f>IF(ISNA(MATCH(Z$2,Inputs!$K$4:$AJ$4,0)),NA(),IF(SUMPRODUCT((Inputs!$A$5:$A$120=$B33)*ISNUMBER(INDEX(Inputs!$K$5:$AJ$120,0,MATCH(Z$2,Inputs!$K$4:$AJ$4,0))))+SUMPRODUCT((Inputs!$C$5:$C$120=$B33)*ISNUMBER(INDEX(Inputs!$K$5:$AJ$120,0,MATCH(Z$2,Inputs!$K$4:$AJ$4,0))))+SUMPRODUCT((Inputs!$E$5:$E$120=$B33)*ISNUMBER(INDEX(Inputs!$K$5:$AJ$120,0,MATCH(Z$2,Inputs!$K$4:$AJ$4,0))))=0,NA(),SUMPRODUCT((Inputs!$A$5:$A$120=$B33)*Inputs!$B$5:$B$120*(((Inputs!$G$5:$G$120="moeda")+(Inputs!$G$5:$G$120="acoes"))*Inputs!$B$1+((Inputs!$G$5:$G$120&lt;&gt;"moeda")*(Inputs!$G$5:$G$120&lt;&gt;"acoes")))*INDEX(Inputs!$K$5:$AJ$120,0,MATCH(Z$2,Inputs!$K$4:$AJ$4,0)))+SUMPRODUCT((Inputs!$C$5:$C$120=$B33)*Inputs!$D$5:$D$120*(((Inputs!$G$5:$G$120="moeda")+(Inputs!$G$5:$G$120="acoes"))*Inputs!$B$1+((Inputs!$G$5:$G$120&lt;&gt;"moeda")*(Inputs!$G$5:$G$120&lt;&gt;"acoes")))*INDEX(Inputs!$K$5:$AJ$120,0,MATCH(Z$2,Inputs!$K$4:$AJ$4,0)))+SUMPRODUCT((Inputs!$E$5:$E$120=$B33)*Inputs!$F$5:$F$120*(((Inputs!$G$5:$G$120="moeda")+(Inputs!$G$5:$G$120="acoes"))*Inputs!$B$1+((Inputs!$G$5:$G$120&lt;&gt;"moeda")*(Inputs!$G$5:$G$120&lt;&gt;"acoes")))*INDEX(Inputs!$K$5:$AJ$120,0,MATCH(Z$2,Inputs!$K$4:$AJ$4,0)))))</f>
        <v>0</v>
      </c>
      <c r="AA33" s="267">
        <f>IF(ISNA(MATCH(AA$2,Inputs!$K$4:$AJ$4,0)),NA(),IF(SUMPRODUCT((Inputs!$A$5:$A$120=$B33)*ISNUMBER(INDEX(Inputs!$K$5:$AJ$120,0,MATCH(AA$2,Inputs!$K$4:$AJ$4,0))))+SUMPRODUCT((Inputs!$C$5:$C$120=$B33)*ISNUMBER(INDEX(Inputs!$K$5:$AJ$120,0,MATCH(AA$2,Inputs!$K$4:$AJ$4,0))))+SUMPRODUCT((Inputs!$E$5:$E$120=$B33)*ISNUMBER(INDEX(Inputs!$K$5:$AJ$120,0,MATCH(AA$2,Inputs!$K$4:$AJ$4,0))))=0,NA(),SUMPRODUCT((Inputs!$A$5:$A$120=$B33)*Inputs!$B$5:$B$120*(((Inputs!$G$5:$G$120="moeda")+(Inputs!$G$5:$G$120="acoes"))*Inputs!$B$1+((Inputs!$G$5:$G$120&lt;&gt;"moeda")*(Inputs!$G$5:$G$120&lt;&gt;"acoes")))*INDEX(Inputs!$K$5:$AJ$120,0,MATCH(AA$2,Inputs!$K$4:$AJ$4,0)))+SUMPRODUCT((Inputs!$C$5:$C$120=$B33)*Inputs!$D$5:$D$120*(((Inputs!$G$5:$G$120="moeda")+(Inputs!$G$5:$G$120="acoes"))*Inputs!$B$1+((Inputs!$G$5:$G$120&lt;&gt;"moeda")*(Inputs!$G$5:$G$120&lt;&gt;"acoes")))*INDEX(Inputs!$K$5:$AJ$120,0,MATCH(AA$2,Inputs!$K$4:$AJ$4,0)))+SUMPRODUCT((Inputs!$E$5:$E$120=$B33)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3" s="268">
        <f>AA33</f>
        <v>0</v>
      </c>
      <c r="AC33" s="267">
        <f>IF(ISNA(MATCH(AC$2,Inputs!$K$4:$AJ$4,0)),NA(),IF(SUMPRODUCT((Inputs!$A$5:$A$120=$B33)*ISNUMBER(INDEX(Inputs!$K$5:$AJ$120,0,MATCH(AC$2,Inputs!$K$4:$AJ$4,0))))+SUMPRODUCT((Inputs!$C$5:$C$120=$B33)*ISNUMBER(INDEX(Inputs!$K$5:$AJ$120,0,MATCH(AC$2,Inputs!$K$4:$AJ$4,0))))+SUMPRODUCT((Inputs!$E$5:$E$120=$B33)*ISNUMBER(INDEX(Inputs!$K$5:$AJ$120,0,MATCH(AC$2,Inputs!$K$4:$AJ$4,0))))=0,NA(),SUMPRODUCT((Inputs!$A$5:$A$120=$B33)*Inputs!$B$5:$B$120*(((Inputs!$G$5:$G$120="moeda")+(Inputs!$G$5:$G$120="acoes"))*Inputs!$B$1+((Inputs!$G$5:$G$120&lt;&gt;"moeda")*(Inputs!$G$5:$G$120&lt;&gt;"acoes")))*INDEX(Inputs!$K$5:$AJ$120,0,MATCH(AC$2,Inputs!$K$4:$AJ$4,0)))+SUMPRODUCT((Inputs!$C$5:$C$120=$B33)*Inputs!$D$5:$D$120*(((Inputs!$G$5:$G$120="moeda")+(Inputs!$G$5:$G$120="acoes"))*Inputs!$B$1+((Inputs!$G$5:$G$120&lt;&gt;"moeda")*(Inputs!$G$5:$G$120&lt;&gt;"acoes")))*INDEX(Inputs!$K$5:$AJ$120,0,MATCH(AC$2,Inputs!$K$4:$AJ$4,0)))+SUMPRODUCT((Inputs!$E$5:$E$120=$B33)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3" s="267">
        <f>IF(ISNA(MATCH(AD$2,Inputs!$K$4:$AJ$4,0)),NA(),IF(SUMPRODUCT((Inputs!$A$5:$A$120=$B33)*ISNUMBER(INDEX(Inputs!$K$5:$AJ$120,0,MATCH(AD$2,Inputs!$K$4:$AJ$4,0))))+SUMPRODUCT((Inputs!$C$5:$C$120=$B33)*ISNUMBER(INDEX(Inputs!$K$5:$AJ$120,0,MATCH(AD$2,Inputs!$K$4:$AJ$4,0))))+SUMPRODUCT((Inputs!$E$5:$E$120=$B33)*ISNUMBER(INDEX(Inputs!$K$5:$AJ$120,0,MATCH(AD$2,Inputs!$K$4:$AJ$4,0))))=0,NA(),SUMPRODUCT((Inputs!$A$5:$A$120=$B33)*Inputs!$B$5:$B$120*(((Inputs!$G$5:$G$120="moeda")+(Inputs!$G$5:$G$120="acoes"))*Inputs!$B$1+((Inputs!$G$5:$G$120&lt;&gt;"moeda")*(Inputs!$G$5:$G$120&lt;&gt;"acoes")))*INDEX(Inputs!$K$5:$AJ$120,0,MATCH(AD$2,Inputs!$K$4:$AJ$4,0)))+SUMPRODUCT((Inputs!$C$5:$C$120=$B33)*Inputs!$D$5:$D$120*(((Inputs!$G$5:$G$120="moeda")+(Inputs!$G$5:$G$120="acoes"))*Inputs!$B$1+((Inputs!$G$5:$G$120&lt;&gt;"moeda")*(Inputs!$G$5:$G$120&lt;&gt;"acoes")))*INDEX(Inputs!$K$5:$AJ$120,0,MATCH(AD$2,Inputs!$K$4:$AJ$4,0)))+SUMPRODUCT((Inputs!$E$5:$E$120=$B33)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3" s="267" t="e">
        <f>IF(ISNA(MATCH(AE$2,Inputs!$K$4:$AJ$4,0)),NA(),IF(SUMPRODUCT((Inputs!$A$5:$A$120=$B33)*ISNUMBER(INDEX(Inputs!$K$5:$AJ$120,0,MATCH(AE$2,Inputs!$K$4:$AJ$4,0))))+SUMPRODUCT((Inputs!$C$5:$C$120=$B33)*ISNUMBER(INDEX(Inputs!$K$5:$AJ$120,0,MATCH(AE$2,Inputs!$K$4:$AJ$4,0))))+SUMPRODUCT((Inputs!$E$5:$E$120=$B33)*ISNUMBER(INDEX(Inputs!$K$5:$AJ$120,0,MATCH(AE$2,Inputs!$K$4:$AJ$4,0))))=0,NA(),SUMPRODUCT((Inputs!$A$5:$A$120=$B33)*Inputs!$B$5:$B$120*(((Inputs!$G$5:$G$120="moeda")+(Inputs!$G$5:$G$120="acoes"))*Inputs!$B$1+((Inputs!$G$5:$G$120&lt;&gt;"moeda")*(Inputs!$G$5:$G$120&lt;&gt;"acoes")))*INDEX(Inputs!$K$5:$AJ$120,0,MATCH(AE$2,Inputs!$K$4:$AJ$4,0)))+SUMPRODUCT((Inputs!$C$5:$C$120=$B33)*Inputs!$D$5:$D$120*(((Inputs!$G$5:$G$120="moeda")+(Inputs!$G$5:$G$120="acoes"))*Inputs!$B$1+((Inputs!$G$5:$G$120&lt;&gt;"moeda")*(Inputs!$G$5:$G$120&lt;&gt;"acoes")))*INDEX(Inputs!$K$5:$AJ$120,0,MATCH(AE$2,Inputs!$K$4:$AJ$4,0)))+SUMPRODUCT((Inputs!$E$5:$E$120=$B33)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3" s="267" t="e">
        <f>IF(ISNA(MATCH(AF$2,Inputs!$K$4:$AJ$4,0)),NA(),IF(SUMPRODUCT((Inputs!$A$5:$A$120=$B33)*ISNUMBER(INDEX(Inputs!$K$5:$AJ$120,0,MATCH(AF$2,Inputs!$K$4:$AJ$4,0))))+SUMPRODUCT((Inputs!$C$5:$C$120=$B33)*ISNUMBER(INDEX(Inputs!$K$5:$AJ$120,0,MATCH(AF$2,Inputs!$K$4:$AJ$4,0))))+SUMPRODUCT((Inputs!$E$5:$E$120=$B33)*ISNUMBER(INDEX(Inputs!$K$5:$AJ$120,0,MATCH(AF$2,Inputs!$K$4:$AJ$4,0))))=0,NA(),SUMPRODUCT((Inputs!$A$5:$A$120=$B33)*Inputs!$B$5:$B$120*(((Inputs!$G$5:$G$120="moeda")+(Inputs!$G$5:$G$120="acoes"))*Inputs!$B$1+((Inputs!$G$5:$G$120&lt;&gt;"moeda")*(Inputs!$G$5:$G$120&lt;&gt;"acoes")))*INDEX(Inputs!$K$5:$AJ$120,0,MATCH(AF$2,Inputs!$K$4:$AJ$4,0)))+SUMPRODUCT((Inputs!$C$5:$C$120=$B33)*Inputs!$D$5:$D$120*(((Inputs!$G$5:$G$120="moeda")+(Inputs!$G$5:$G$120="acoes"))*Inputs!$B$1+((Inputs!$G$5:$G$120&lt;&gt;"moeda")*(Inputs!$G$5:$G$120&lt;&gt;"acoes")))*INDEX(Inputs!$K$5:$AJ$120,0,MATCH(AF$2,Inputs!$K$4:$AJ$4,0)))+SUMPRODUCT((Inputs!$E$5:$E$120=$B33)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3" s="268" t="e">
        <f>AF33</f>
        <v>#N/A</v>
      </c>
      <c r="AH33" s="267">
        <f>IF(ISNA(MATCH(AH$2,Inputs!$K$4:$AJ$4,0)),NA(),IF(SUMPRODUCT((Inputs!$A$5:$A$120=$B33)*ISNUMBER(INDEX(Inputs!$K$5:$AJ$120,0,MATCH(AH$2,Inputs!$K$4:$AJ$4,0))))+SUMPRODUCT((Inputs!$C$5:$C$120=$B33)*ISNUMBER(INDEX(Inputs!$K$5:$AJ$120,0,MATCH(AH$2,Inputs!$K$4:$AJ$4,0))))+SUMPRODUCT((Inputs!$E$5:$E$120=$B33)*ISNUMBER(INDEX(Inputs!$K$5:$AJ$120,0,MATCH(AH$2,Inputs!$K$4:$AJ$4,0))))=0,NA(),SUMPRODUCT((Inputs!$A$5:$A$120=$B33)*Inputs!$B$5:$B$120*(((Inputs!$G$5:$G$120="moeda")+(Inputs!$G$5:$G$120="acoes"))*Inputs!$B$1+((Inputs!$G$5:$G$120&lt;&gt;"moeda")*(Inputs!$G$5:$G$120&lt;&gt;"acoes")))*INDEX(Inputs!$K$5:$AJ$120,0,MATCH(AH$2,Inputs!$K$4:$AJ$4,0)))+SUMPRODUCT((Inputs!$C$5:$C$120=$B33)*Inputs!$D$5:$D$120*(((Inputs!$G$5:$G$120="moeda")+(Inputs!$G$5:$G$120="acoes"))*Inputs!$B$1+((Inputs!$G$5:$G$120&lt;&gt;"moeda")*(Inputs!$G$5:$G$120&lt;&gt;"acoes")))*INDEX(Inputs!$K$5:$AJ$120,0,MATCH(AH$2,Inputs!$K$4:$AJ$4,0)))+SUMPRODUCT((Inputs!$E$5:$E$120=$B33)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3" s="267">
        <f>IF(ISNA(MATCH(AI$2,Inputs!$K$4:$AJ$4,0)),NA(),IF(SUMPRODUCT((Inputs!$A$5:$A$120=$B33)*ISNUMBER(INDEX(Inputs!$K$5:$AJ$120,0,MATCH(AI$2,Inputs!$K$4:$AJ$4,0))))+SUMPRODUCT((Inputs!$C$5:$C$120=$B33)*ISNUMBER(INDEX(Inputs!$K$5:$AJ$120,0,MATCH(AI$2,Inputs!$K$4:$AJ$4,0))))+SUMPRODUCT((Inputs!$E$5:$E$120=$B33)*ISNUMBER(INDEX(Inputs!$K$5:$AJ$120,0,MATCH(AI$2,Inputs!$K$4:$AJ$4,0))))=0,NA(),SUMPRODUCT((Inputs!$A$5:$A$120=$B33)*Inputs!$B$5:$B$120*(((Inputs!$G$5:$G$120="moeda")+(Inputs!$G$5:$G$120="acoes"))*Inputs!$B$1+((Inputs!$G$5:$G$120&lt;&gt;"moeda")*(Inputs!$G$5:$G$120&lt;&gt;"acoes")))*INDEX(Inputs!$K$5:$AJ$120,0,MATCH(AI$2,Inputs!$K$4:$AJ$4,0)))+SUMPRODUCT((Inputs!$C$5:$C$120=$B33)*Inputs!$D$5:$D$120*(((Inputs!$G$5:$G$120="moeda")+(Inputs!$G$5:$G$120="acoes"))*Inputs!$B$1+((Inputs!$G$5:$G$120&lt;&gt;"moeda")*(Inputs!$G$5:$G$120&lt;&gt;"acoes")))*INDEX(Inputs!$K$5:$AJ$120,0,MATCH(AI$2,Inputs!$K$4:$AJ$4,0)))+SUMPRODUCT((Inputs!$E$5:$E$120=$B33)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3" s="267">
        <f>IF(ISNA(MATCH(AJ$2,Inputs!$K$4:$AJ$4,0)),NA(),IF(SUMPRODUCT((Inputs!$A$5:$A$120=$B33)*ISNUMBER(INDEX(Inputs!$K$5:$AJ$120,0,MATCH(AJ$2,Inputs!$K$4:$AJ$4,0))))+SUMPRODUCT((Inputs!$C$5:$C$120=$B33)*ISNUMBER(INDEX(Inputs!$K$5:$AJ$120,0,MATCH(AJ$2,Inputs!$K$4:$AJ$4,0))))+SUMPRODUCT((Inputs!$E$5:$E$120=$B33)*ISNUMBER(INDEX(Inputs!$K$5:$AJ$120,0,MATCH(AJ$2,Inputs!$K$4:$AJ$4,0))))=0,NA(),SUMPRODUCT((Inputs!$A$5:$A$120=$B33)*Inputs!$B$5:$B$120*(((Inputs!$G$5:$G$120="moeda")+(Inputs!$G$5:$G$120="acoes"))*Inputs!$B$1+((Inputs!$G$5:$G$120&lt;&gt;"moeda")*(Inputs!$G$5:$G$120&lt;&gt;"acoes")))*INDEX(Inputs!$K$5:$AJ$120,0,MATCH(AJ$2,Inputs!$K$4:$AJ$4,0)))+SUMPRODUCT((Inputs!$C$5:$C$120=$B33)*Inputs!$D$5:$D$120*(((Inputs!$G$5:$G$120="moeda")+(Inputs!$G$5:$G$120="acoes"))*Inputs!$B$1+((Inputs!$G$5:$G$120&lt;&gt;"moeda")*(Inputs!$G$5:$G$120&lt;&gt;"acoes")))*INDEX(Inputs!$K$5:$AJ$120,0,MATCH(AJ$2,Inputs!$K$4:$AJ$4,0)))+SUMPRODUCT((Inputs!$E$5:$E$120=$B33)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3" s="267">
        <f>IF(ISNA(MATCH(AK$2,Inputs!$K$4:$AJ$4,0)),NA(),IF(SUMPRODUCT((Inputs!$A$5:$A$120=$B33)*ISNUMBER(INDEX(Inputs!$K$5:$AJ$120,0,MATCH(AK$2,Inputs!$K$4:$AJ$4,0))))+SUMPRODUCT((Inputs!$C$5:$C$120=$B33)*ISNUMBER(INDEX(Inputs!$K$5:$AJ$120,0,MATCH(AK$2,Inputs!$K$4:$AJ$4,0))))+SUMPRODUCT((Inputs!$E$5:$E$120=$B33)*ISNUMBER(INDEX(Inputs!$K$5:$AJ$120,0,MATCH(AK$2,Inputs!$K$4:$AJ$4,0))))=0,NA(),SUMPRODUCT((Inputs!$A$5:$A$120=$B33)*Inputs!$B$5:$B$120*(((Inputs!$G$5:$G$120="moeda")+(Inputs!$G$5:$G$120="acoes"))*Inputs!$B$1+((Inputs!$G$5:$G$120&lt;&gt;"moeda")*(Inputs!$G$5:$G$120&lt;&gt;"acoes")))*INDEX(Inputs!$K$5:$AJ$120,0,MATCH(AK$2,Inputs!$K$4:$AJ$4,0)))+SUMPRODUCT((Inputs!$C$5:$C$120=$B33)*Inputs!$D$5:$D$120*(((Inputs!$G$5:$G$120="moeda")+(Inputs!$G$5:$G$120="acoes"))*Inputs!$B$1+((Inputs!$G$5:$G$120&lt;&gt;"moeda")*(Inputs!$G$5:$G$120&lt;&gt;"acoes")))*INDEX(Inputs!$K$5:$AJ$120,0,MATCH(AK$2,Inputs!$K$4:$AJ$4,0)))+SUMPRODUCT((Inputs!$E$5:$E$120=$B33)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3" s="268">
        <f>AK33</f>
        <v>0</v>
      </c>
    </row>
    <row r="34" ht="12.75" customHeight="1" s="255">
      <c r="B34" s="265" t="n">
        <v>29</v>
      </c>
      <c r="C34" s="270" t="inlineStr">
        <is>
          <t>Short term operating leases</t>
        </is>
      </c>
      <c r="D34" s="267">
        <f>IF(ISNA(MATCH(D$2,Inputs!$K$4:$AJ$4,0)),NA(),IF(SUMPRODUCT((Inputs!$A$5:$A$120=$B34)*ISNUMBER(INDEX(Inputs!$K$5:$AJ$120,0,MATCH(D$2,Inputs!$K$4:$AJ$4,0))))+SUMPRODUCT((Inputs!$C$5:$C$120=$B34)*ISNUMBER(INDEX(Inputs!$K$5:$AJ$120,0,MATCH(D$2,Inputs!$K$4:$AJ$4,0))))+SUMPRODUCT((Inputs!$E$5:$E$120=$B34)*ISNUMBER(INDEX(Inputs!$K$5:$AJ$120,0,MATCH(D$2,Inputs!$K$4:$AJ$4,0))))=0,NA(),SUMPRODUCT((Inputs!$A$5:$A$120=$B34)*Inputs!$B$5:$B$120*(((Inputs!$G$5:$G$120="moeda")+(Inputs!$G$5:$G$120="acoes"))*Inputs!$B$1+((Inputs!$G$5:$G$120&lt;&gt;"moeda")*(Inputs!$G$5:$G$120&lt;&gt;"acoes")))*INDEX(Inputs!$K$5:$AJ$120,0,MATCH(D$2,Inputs!$K$4:$AJ$4,0)))+SUMPRODUCT((Inputs!$C$5:$C$120=$B34)*Inputs!$D$5:$D$120*(((Inputs!$G$5:$G$120="moeda")+(Inputs!$G$5:$G$120="acoes"))*Inputs!$B$1+((Inputs!$G$5:$G$120&lt;&gt;"moeda")*(Inputs!$G$5:$G$120&lt;&gt;"acoes")))*INDEX(Inputs!$K$5:$AJ$120,0,MATCH(D$2,Inputs!$K$4:$AJ$4,0)))+SUMPRODUCT((Inputs!$E$5:$E$120=$B34)*Inputs!$F$5:$F$120*(((Inputs!$G$5:$G$120="moeda")+(Inputs!$G$5:$G$120="acoes"))*Inputs!$B$1+((Inputs!$G$5:$G$120&lt;&gt;"moeda")*(Inputs!$G$5:$G$120&lt;&gt;"acoes")))*INDEX(Inputs!$K$5:$AJ$120,0,MATCH(D$2,Inputs!$K$4:$AJ$4,0)))))</f>
        <v>0</v>
      </c>
      <c r="E34" s="267">
        <f>IF(ISNA(MATCH(E$2,Inputs!$K$4:$AJ$4,0)),NA(),IF(SUMPRODUCT((Inputs!$A$5:$A$120=$B34)*ISNUMBER(INDEX(Inputs!$K$5:$AJ$120,0,MATCH(E$2,Inputs!$K$4:$AJ$4,0))))+SUMPRODUCT((Inputs!$C$5:$C$120=$B34)*ISNUMBER(INDEX(Inputs!$K$5:$AJ$120,0,MATCH(E$2,Inputs!$K$4:$AJ$4,0))))+SUMPRODUCT((Inputs!$E$5:$E$120=$B34)*ISNUMBER(INDEX(Inputs!$K$5:$AJ$120,0,MATCH(E$2,Inputs!$K$4:$AJ$4,0))))=0,NA(),SUMPRODUCT((Inputs!$A$5:$A$120=$B34)*Inputs!$B$5:$B$120*(((Inputs!$G$5:$G$120="moeda")+(Inputs!$G$5:$G$120="acoes"))*Inputs!$B$1+((Inputs!$G$5:$G$120&lt;&gt;"moeda")*(Inputs!$G$5:$G$120&lt;&gt;"acoes")))*INDEX(Inputs!$K$5:$AJ$120,0,MATCH(E$2,Inputs!$K$4:$AJ$4,0)))+SUMPRODUCT((Inputs!$C$5:$C$120=$B34)*Inputs!$D$5:$D$120*(((Inputs!$G$5:$G$120="moeda")+(Inputs!$G$5:$G$120="acoes"))*Inputs!$B$1+((Inputs!$G$5:$G$120&lt;&gt;"moeda")*(Inputs!$G$5:$G$120&lt;&gt;"acoes")))*INDEX(Inputs!$K$5:$AJ$120,0,MATCH(E$2,Inputs!$K$4:$AJ$4,0)))+SUMPRODUCT((Inputs!$E$5:$E$120=$B34)*Inputs!$F$5:$F$120*(((Inputs!$G$5:$G$120="moeda")+(Inputs!$G$5:$G$120="acoes"))*Inputs!$B$1+((Inputs!$G$5:$G$120&lt;&gt;"moeda")*(Inputs!$G$5:$G$120&lt;&gt;"acoes")))*INDEX(Inputs!$K$5:$AJ$120,0,MATCH(E$2,Inputs!$K$4:$AJ$4,0)))))</f>
        <v>0</v>
      </c>
      <c r="F34" s="267">
        <f>IF(ISNA(MATCH(F$2,Inputs!$K$4:$AJ$4,0)),NA(),IF(SUMPRODUCT((Inputs!$A$5:$A$120=$B34)*ISNUMBER(INDEX(Inputs!$K$5:$AJ$120,0,MATCH(F$2,Inputs!$K$4:$AJ$4,0))))+SUMPRODUCT((Inputs!$C$5:$C$120=$B34)*ISNUMBER(INDEX(Inputs!$K$5:$AJ$120,0,MATCH(F$2,Inputs!$K$4:$AJ$4,0))))+SUMPRODUCT((Inputs!$E$5:$E$120=$B34)*ISNUMBER(INDEX(Inputs!$K$5:$AJ$120,0,MATCH(F$2,Inputs!$K$4:$AJ$4,0))))=0,NA(),SUMPRODUCT((Inputs!$A$5:$A$120=$B34)*Inputs!$B$5:$B$120*(((Inputs!$G$5:$G$120="moeda")+(Inputs!$G$5:$G$120="acoes"))*Inputs!$B$1+((Inputs!$G$5:$G$120&lt;&gt;"moeda")*(Inputs!$G$5:$G$120&lt;&gt;"acoes")))*INDEX(Inputs!$K$5:$AJ$120,0,MATCH(F$2,Inputs!$K$4:$AJ$4,0)))+SUMPRODUCT((Inputs!$C$5:$C$120=$B34)*Inputs!$D$5:$D$120*(((Inputs!$G$5:$G$120="moeda")+(Inputs!$G$5:$G$120="acoes"))*Inputs!$B$1+((Inputs!$G$5:$G$120&lt;&gt;"moeda")*(Inputs!$G$5:$G$120&lt;&gt;"acoes")))*INDEX(Inputs!$K$5:$AJ$120,0,MATCH(F$2,Inputs!$K$4:$AJ$4,0)))+SUMPRODUCT((Inputs!$E$5:$E$120=$B34)*Inputs!$F$5:$F$120*(((Inputs!$G$5:$G$120="moeda")+(Inputs!$G$5:$G$120="acoes"))*Inputs!$B$1+((Inputs!$G$5:$G$120&lt;&gt;"moeda")*(Inputs!$G$5:$G$120&lt;&gt;"acoes")))*INDEX(Inputs!$K$5:$AJ$120,0,MATCH(F$2,Inputs!$K$4:$AJ$4,0)))))</f>
        <v>0</v>
      </c>
      <c r="G34" s="267">
        <f>IF(ISNA(MATCH(G$2,Inputs!$K$4:$AJ$4,0)),NA(),IF(SUMPRODUCT((Inputs!$A$5:$A$120=$B34)*ISNUMBER(INDEX(Inputs!$K$5:$AJ$120,0,MATCH(G$2,Inputs!$K$4:$AJ$4,0))))+SUMPRODUCT((Inputs!$C$5:$C$120=$B34)*ISNUMBER(INDEX(Inputs!$K$5:$AJ$120,0,MATCH(G$2,Inputs!$K$4:$AJ$4,0))))+SUMPRODUCT((Inputs!$E$5:$E$120=$B34)*ISNUMBER(INDEX(Inputs!$K$5:$AJ$120,0,MATCH(G$2,Inputs!$K$4:$AJ$4,0))))=0,NA(),SUMPRODUCT((Inputs!$A$5:$A$120=$B34)*Inputs!$B$5:$B$120*(((Inputs!$G$5:$G$120="moeda")+(Inputs!$G$5:$G$120="acoes"))*Inputs!$B$1+((Inputs!$G$5:$G$120&lt;&gt;"moeda")*(Inputs!$G$5:$G$120&lt;&gt;"acoes")))*INDEX(Inputs!$K$5:$AJ$120,0,MATCH(G$2,Inputs!$K$4:$AJ$4,0)))+SUMPRODUCT((Inputs!$C$5:$C$120=$B34)*Inputs!$D$5:$D$120*(((Inputs!$G$5:$G$120="moeda")+(Inputs!$G$5:$G$120="acoes"))*Inputs!$B$1+((Inputs!$G$5:$G$120&lt;&gt;"moeda")*(Inputs!$G$5:$G$120&lt;&gt;"acoes")))*INDEX(Inputs!$K$5:$AJ$120,0,MATCH(G$2,Inputs!$K$4:$AJ$4,0)))+SUMPRODUCT((Inputs!$E$5:$E$120=$B34)*Inputs!$F$5:$F$120*(((Inputs!$G$5:$G$120="moeda")+(Inputs!$G$5:$G$120="acoes"))*Inputs!$B$1+((Inputs!$G$5:$G$120&lt;&gt;"moeda")*(Inputs!$G$5:$G$120&lt;&gt;"acoes")))*INDEX(Inputs!$K$5:$AJ$120,0,MATCH(G$2,Inputs!$K$4:$AJ$4,0)))))</f>
        <v>0</v>
      </c>
      <c r="H34" s="268">
        <f>G34</f>
        <v>0</v>
      </c>
      <c r="I34" s="267">
        <f>IF(ISNA(MATCH(I$2,Inputs!$K$4:$AJ$4,0)),NA(),IF(SUMPRODUCT((Inputs!$A$5:$A$120=$B34)*ISNUMBER(INDEX(Inputs!$K$5:$AJ$120,0,MATCH(I$2,Inputs!$K$4:$AJ$4,0))))+SUMPRODUCT((Inputs!$C$5:$C$120=$B34)*ISNUMBER(INDEX(Inputs!$K$5:$AJ$120,0,MATCH(I$2,Inputs!$K$4:$AJ$4,0))))+SUMPRODUCT((Inputs!$E$5:$E$120=$B34)*ISNUMBER(INDEX(Inputs!$K$5:$AJ$120,0,MATCH(I$2,Inputs!$K$4:$AJ$4,0))))=0,NA(),SUMPRODUCT((Inputs!$A$5:$A$120=$B34)*Inputs!$B$5:$B$120*(((Inputs!$G$5:$G$120="moeda")+(Inputs!$G$5:$G$120="acoes"))*Inputs!$B$1+((Inputs!$G$5:$G$120&lt;&gt;"moeda")*(Inputs!$G$5:$G$120&lt;&gt;"acoes")))*INDEX(Inputs!$K$5:$AJ$120,0,MATCH(I$2,Inputs!$K$4:$AJ$4,0)))+SUMPRODUCT((Inputs!$C$5:$C$120=$B34)*Inputs!$D$5:$D$120*(((Inputs!$G$5:$G$120="moeda")+(Inputs!$G$5:$G$120="acoes"))*Inputs!$B$1+((Inputs!$G$5:$G$120&lt;&gt;"moeda")*(Inputs!$G$5:$G$120&lt;&gt;"acoes")))*INDEX(Inputs!$K$5:$AJ$120,0,MATCH(I$2,Inputs!$K$4:$AJ$4,0)))+SUMPRODUCT((Inputs!$E$5:$E$120=$B34)*Inputs!$F$5:$F$120*(((Inputs!$G$5:$G$120="moeda")+(Inputs!$G$5:$G$120="acoes"))*Inputs!$B$1+((Inputs!$G$5:$G$120&lt;&gt;"moeda")*(Inputs!$G$5:$G$120&lt;&gt;"acoes")))*INDEX(Inputs!$K$5:$AJ$120,0,MATCH(I$2,Inputs!$K$4:$AJ$4,0)))))</f>
        <v>0</v>
      </c>
      <c r="J34" s="267">
        <f>IF(ISNA(MATCH(J$2,Inputs!$K$4:$AJ$4,0)),NA(),IF(SUMPRODUCT((Inputs!$A$5:$A$120=$B34)*ISNUMBER(INDEX(Inputs!$K$5:$AJ$120,0,MATCH(J$2,Inputs!$K$4:$AJ$4,0))))+SUMPRODUCT((Inputs!$C$5:$C$120=$B34)*ISNUMBER(INDEX(Inputs!$K$5:$AJ$120,0,MATCH(J$2,Inputs!$K$4:$AJ$4,0))))+SUMPRODUCT((Inputs!$E$5:$E$120=$B34)*ISNUMBER(INDEX(Inputs!$K$5:$AJ$120,0,MATCH(J$2,Inputs!$K$4:$AJ$4,0))))=0,NA(),SUMPRODUCT((Inputs!$A$5:$A$120=$B34)*Inputs!$B$5:$B$120*(((Inputs!$G$5:$G$120="moeda")+(Inputs!$G$5:$G$120="acoes"))*Inputs!$B$1+((Inputs!$G$5:$G$120&lt;&gt;"moeda")*(Inputs!$G$5:$G$120&lt;&gt;"acoes")))*INDEX(Inputs!$K$5:$AJ$120,0,MATCH(J$2,Inputs!$K$4:$AJ$4,0)))+SUMPRODUCT((Inputs!$C$5:$C$120=$B34)*Inputs!$D$5:$D$120*(((Inputs!$G$5:$G$120="moeda")+(Inputs!$G$5:$G$120="acoes"))*Inputs!$B$1+((Inputs!$G$5:$G$120&lt;&gt;"moeda")*(Inputs!$G$5:$G$120&lt;&gt;"acoes")))*INDEX(Inputs!$K$5:$AJ$120,0,MATCH(J$2,Inputs!$K$4:$AJ$4,0)))+SUMPRODUCT((Inputs!$E$5:$E$120=$B34)*Inputs!$F$5:$F$120*(((Inputs!$G$5:$G$120="moeda")+(Inputs!$G$5:$G$120="acoes"))*Inputs!$B$1+((Inputs!$G$5:$G$120&lt;&gt;"moeda")*(Inputs!$G$5:$G$120&lt;&gt;"acoes")))*INDEX(Inputs!$K$5:$AJ$120,0,MATCH(J$2,Inputs!$K$4:$AJ$4,0)))))</f>
        <v>0</v>
      </c>
      <c r="K34" s="267">
        <f>IF(ISNA(MATCH(K$2,Inputs!$K$4:$AJ$4,0)),NA(),IF(SUMPRODUCT((Inputs!$A$5:$A$120=$B34)*ISNUMBER(INDEX(Inputs!$K$5:$AJ$120,0,MATCH(K$2,Inputs!$K$4:$AJ$4,0))))+SUMPRODUCT((Inputs!$C$5:$C$120=$B34)*ISNUMBER(INDEX(Inputs!$K$5:$AJ$120,0,MATCH(K$2,Inputs!$K$4:$AJ$4,0))))+SUMPRODUCT((Inputs!$E$5:$E$120=$B34)*ISNUMBER(INDEX(Inputs!$K$5:$AJ$120,0,MATCH(K$2,Inputs!$K$4:$AJ$4,0))))=0,NA(),SUMPRODUCT((Inputs!$A$5:$A$120=$B34)*Inputs!$B$5:$B$120*(((Inputs!$G$5:$G$120="moeda")+(Inputs!$G$5:$G$120="acoes"))*Inputs!$B$1+((Inputs!$G$5:$G$120&lt;&gt;"moeda")*(Inputs!$G$5:$G$120&lt;&gt;"acoes")))*INDEX(Inputs!$K$5:$AJ$120,0,MATCH(K$2,Inputs!$K$4:$AJ$4,0)))+SUMPRODUCT((Inputs!$C$5:$C$120=$B34)*Inputs!$D$5:$D$120*(((Inputs!$G$5:$G$120="moeda")+(Inputs!$G$5:$G$120="acoes"))*Inputs!$B$1+((Inputs!$G$5:$G$120&lt;&gt;"moeda")*(Inputs!$G$5:$G$120&lt;&gt;"acoes")))*INDEX(Inputs!$K$5:$AJ$120,0,MATCH(K$2,Inputs!$K$4:$AJ$4,0)))+SUMPRODUCT((Inputs!$E$5:$E$120=$B34)*Inputs!$F$5:$F$120*(((Inputs!$G$5:$G$120="moeda")+(Inputs!$G$5:$G$120="acoes"))*Inputs!$B$1+((Inputs!$G$5:$G$120&lt;&gt;"moeda")*(Inputs!$G$5:$G$120&lt;&gt;"acoes")))*INDEX(Inputs!$K$5:$AJ$120,0,MATCH(K$2,Inputs!$K$4:$AJ$4,0)))))</f>
        <v>0</v>
      </c>
      <c r="L34" s="267">
        <f>IF(ISNA(MATCH(L$2,Inputs!$K$4:$AJ$4,0)),NA(),IF(SUMPRODUCT((Inputs!$A$5:$A$120=$B34)*ISNUMBER(INDEX(Inputs!$K$5:$AJ$120,0,MATCH(L$2,Inputs!$K$4:$AJ$4,0))))+SUMPRODUCT((Inputs!$C$5:$C$120=$B34)*ISNUMBER(INDEX(Inputs!$K$5:$AJ$120,0,MATCH(L$2,Inputs!$K$4:$AJ$4,0))))+SUMPRODUCT((Inputs!$E$5:$E$120=$B34)*ISNUMBER(INDEX(Inputs!$K$5:$AJ$120,0,MATCH(L$2,Inputs!$K$4:$AJ$4,0))))=0,NA(),SUMPRODUCT((Inputs!$A$5:$A$120=$B34)*Inputs!$B$5:$B$120*(((Inputs!$G$5:$G$120="moeda")+(Inputs!$G$5:$G$120="acoes"))*Inputs!$B$1+((Inputs!$G$5:$G$120&lt;&gt;"moeda")*(Inputs!$G$5:$G$120&lt;&gt;"acoes")))*INDEX(Inputs!$K$5:$AJ$120,0,MATCH(L$2,Inputs!$K$4:$AJ$4,0)))+SUMPRODUCT((Inputs!$C$5:$C$120=$B34)*Inputs!$D$5:$D$120*(((Inputs!$G$5:$G$120="moeda")+(Inputs!$G$5:$G$120="acoes"))*Inputs!$B$1+((Inputs!$G$5:$G$120&lt;&gt;"moeda")*(Inputs!$G$5:$G$120&lt;&gt;"acoes")))*INDEX(Inputs!$K$5:$AJ$120,0,MATCH(L$2,Inputs!$K$4:$AJ$4,0)))+SUMPRODUCT((Inputs!$E$5:$E$120=$B34)*Inputs!$F$5:$F$120*(((Inputs!$G$5:$G$120="moeda")+(Inputs!$G$5:$G$120="acoes"))*Inputs!$B$1+((Inputs!$G$5:$G$120&lt;&gt;"moeda")*(Inputs!$G$5:$G$120&lt;&gt;"acoes")))*INDEX(Inputs!$K$5:$AJ$120,0,MATCH(L$2,Inputs!$K$4:$AJ$4,0)))))</f>
        <v>0</v>
      </c>
      <c r="M34" s="268">
        <f>L34</f>
        <v>0</v>
      </c>
      <c r="N34" s="267">
        <f>IF(ISNA(MATCH(N$2,Inputs!$K$4:$AJ$4,0)),NA(),IF(SUMPRODUCT((Inputs!$A$5:$A$120=$B34)*ISNUMBER(INDEX(Inputs!$K$5:$AJ$120,0,MATCH(N$2,Inputs!$K$4:$AJ$4,0))))+SUMPRODUCT((Inputs!$C$5:$C$120=$B34)*ISNUMBER(INDEX(Inputs!$K$5:$AJ$120,0,MATCH(N$2,Inputs!$K$4:$AJ$4,0))))+SUMPRODUCT((Inputs!$E$5:$E$120=$B34)*ISNUMBER(INDEX(Inputs!$K$5:$AJ$120,0,MATCH(N$2,Inputs!$K$4:$AJ$4,0))))=0,NA(),SUMPRODUCT((Inputs!$A$5:$A$120=$B34)*Inputs!$B$5:$B$120*(((Inputs!$G$5:$G$120="moeda")+(Inputs!$G$5:$G$120="acoes"))*Inputs!$B$1+((Inputs!$G$5:$G$120&lt;&gt;"moeda")*(Inputs!$G$5:$G$120&lt;&gt;"acoes")))*INDEX(Inputs!$K$5:$AJ$120,0,MATCH(N$2,Inputs!$K$4:$AJ$4,0)))+SUMPRODUCT((Inputs!$C$5:$C$120=$B34)*Inputs!$D$5:$D$120*(((Inputs!$G$5:$G$120="moeda")+(Inputs!$G$5:$G$120="acoes"))*Inputs!$B$1+((Inputs!$G$5:$G$120&lt;&gt;"moeda")*(Inputs!$G$5:$G$120&lt;&gt;"acoes")))*INDEX(Inputs!$K$5:$AJ$120,0,MATCH(N$2,Inputs!$K$4:$AJ$4,0)))+SUMPRODUCT((Inputs!$E$5:$E$120=$B34)*Inputs!$F$5:$F$120*(((Inputs!$G$5:$G$120="moeda")+(Inputs!$G$5:$G$120="acoes"))*Inputs!$B$1+((Inputs!$G$5:$G$120&lt;&gt;"moeda")*(Inputs!$G$5:$G$120&lt;&gt;"acoes")))*INDEX(Inputs!$K$5:$AJ$120,0,MATCH(N$2,Inputs!$K$4:$AJ$4,0)))))</f>
        <v>0</v>
      </c>
      <c r="O34" s="267">
        <f>IF(ISNA(MATCH(O$2,Inputs!$K$4:$AJ$4,0)),NA(),IF(SUMPRODUCT((Inputs!$A$5:$A$120=$B34)*ISNUMBER(INDEX(Inputs!$K$5:$AJ$120,0,MATCH(O$2,Inputs!$K$4:$AJ$4,0))))+SUMPRODUCT((Inputs!$C$5:$C$120=$B34)*ISNUMBER(INDEX(Inputs!$K$5:$AJ$120,0,MATCH(O$2,Inputs!$K$4:$AJ$4,0))))+SUMPRODUCT((Inputs!$E$5:$E$120=$B34)*ISNUMBER(INDEX(Inputs!$K$5:$AJ$120,0,MATCH(O$2,Inputs!$K$4:$AJ$4,0))))=0,NA(),SUMPRODUCT((Inputs!$A$5:$A$120=$B34)*Inputs!$B$5:$B$120*(((Inputs!$G$5:$G$120="moeda")+(Inputs!$G$5:$G$120="acoes"))*Inputs!$B$1+((Inputs!$G$5:$G$120&lt;&gt;"moeda")*(Inputs!$G$5:$G$120&lt;&gt;"acoes")))*INDEX(Inputs!$K$5:$AJ$120,0,MATCH(O$2,Inputs!$K$4:$AJ$4,0)))+SUMPRODUCT((Inputs!$C$5:$C$120=$B34)*Inputs!$D$5:$D$120*(((Inputs!$G$5:$G$120="moeda")+(Inputs!$G$5:$G$120="acoes"))*Inputs!$B$1+((Inputs!$G$5:$G$120&lt;&gt;"moeda")*(Inputs!$G$5:$G$120&lt;&gt;"acoes")))*INDEX(Inputs!$K$5:$AJ$120,0,MATCH(O$2,Inputs!$K$4:$AJ$4,0)))+SUMPRODUCT((Inputs!$E$5:$E$120=$B34)*Inputs!$F$5:$F$120*(((Inputs!$G$5:$G$120="moeda")+(Inputs!$G$5:$G$120="acoes"))*Inputs!$B$1+((Inputs!$G$5:$G$120&lt;&gt;"moeda")*(Inputs!$G$5:$G$120&lt;&gt;"acoes")))*INDEX(Inputs!$K$5:$AJ$120,0,MATCH(O$2,Inputs!$K$4:$AJ$4,0)))))</f>
        <v>0</v>
      </c>
      <c r="P34" s="267">
        <f>IF(ISNA(MATCH(P$2,Inputs!$K$4:$AJ$4,0)),NA(),IF(SUMPRODUCT((Inputs!$A$5:$A$120=$B34)*ISNUMBER(INDEX(Inputs!$K$5:$AJ$120,0,MATCH(P$2,Inputs!$K$4:$AJ$4,0))))+SUMPRODUCT((Inputs!$C$5:$C$120=$B34)*ISNUMBER(INDEX(Inputs!$K$5:$AJ$120,0,MATCH(P$2,Inputs!$K$4:$AJ$4,0))))+SUMPRODUCT((Inputs!$E$5:$E$120=$B34)*ISNUMBER(INDEX(Inputs!$K$5:$AJ$120,0,MATCH(P$2,Inputs!$K$4:$AJ$4,0))))=0,NA(),SUMPRODUCT((Inputs!$A$5:$A$120=$B34)*Inputs!$B$5:$B$120*(((Inputs!$G$5:$G$120="moeda")+(Inputs!$G$5:$G$120="acoes"))*Inputs!$B$1+((Inputs!$G$5:$G$120&lt;&gt;"moeda")*(Inputs!$G$5:$G$120&lt;&gt;"acoes")))*INDEX(Inputs!$K$5:$AJ$120,0,MATCH(P$2,Inputs!$K$4:$AJ$4,0)))+SUMPRODUCT((Inputs!$C$5:$C$120=$B34)*Inputs!$D$5:$D$120*(((Inputs!$G$5:$G$120="moeda")+(Inputs!$G$5:$G$120="acoes"))*Inputs!$B$1+((Inputs!$G$5:$G$120&lt;&gt;"moeda")*(Inputs!$G$5:$G$120&lt;&gt;"acoes")))*INDEX(Inputs!$K$5:$AJ$120,0,MATCH(P$2,Inputs!$K$4:$AJ$4,0)))+SUMPRODUCT((Inputs!$E$5:$E$120=$B34)*Inputs!$F$5:$F$120*(((Inputs!$G$5:$G$120="moeda")+(Inputs!$G$5:$G$120="acoes"))*Inputs!$B$1+((Inputs!$G$5:$G$120&lt;&gt;"moeda")*(Inputs!$G$5:$G$120&lt;&gt;"acoes")))*INDEX(Inputs!$K$5:$AJ$120,0,MATCH(P$2,Inputs!$K$4:$AJ$4,0)))))</f>
        <v>0</v>
      </c>
      <c r="Q34" s="267">
        <f>IF(ISNA(MATCH(Q$2,Inputs!$K$4:$AJ$4,0)),NA(),IF(SUMPRODUCT((Inputs!$A$5:$A$120=$B34)*ISNUMBER(INDEX(Inputs!$K$5:$AJ$120,0,MATCH(Q$2,Inputs!$K$4:$AJ$4,0))))+SUMPRODUCT((Inputs!$C$5:$C$120=$B34)*ISNUMBER(INDEX(Inputs!$K$5:$AJ$120,0,MATCH(Q$2,Inputs!$K$4:$AJ$4,0))))+SUMPRODUCT((Inputs!$E$5:$E$120=$B34)*ISNUMBER(INDEX(Inputs!$K$5:$AJ$120,0,MATCH(Q$2,Inputs!$K$4:$AJ$4,0))))=0,NA(),SUMPRODUCT((Inputs!$A$5:$A$120=$B34)*Inputs!$B$5:$B$120*(((Inputs!$G$5:$G$120="moeda")+(Inputs!$G$5:$G$120="acoes"))*Inputs!$B$1+((Inputs!$G$5:$G$120&lt;&gt;"moeda")*(Inputs!$G$5:$G$120&lt;&gt;"acoes")))*INDEX(Inputs!$K$5:$AJ$120,0,MATCH(Q$2,Inputs!$K$4:$AJ$4,0)))+SUMPRODUCT((Inputs!$C$5:$C$120=$B34)*Inputs!$D$5:$D$120*(((Inputs!$G$5:$G$120="moeda")+(Inputs!$G$5:$G$120="acoes"))*Inputs!$B$1+((Inputs!$G$5:$G$120&lt;&gt;"moeda")*(Inputs!$G$5:$G$120&lt;&gt;"acoes")))*INDEX(Inputs!$K$5:$AJ$120,0,MATCH(Q$2,Inputs!$K$4:$AJ$4,0)))+SUMPRODUCT((Inputs!$E$5:$E$120=$B34)*Inputs!$F$5:$F$120*(((Inputs!$G$5:$G$120="moeda")+(Inputs!$G$5:$G$120="acoes"))*Inputs!$B$1+((Inputs!$G$5:$G$120&lt;&gt;"moeda")*(Inputs!$G$5:$G$120&lt;&gt;"acoes")))*INDEX(Inputs!$K$5:$AJ$120,0,MATCH(Q$2,Inputs!$K$4:$AJ$4,0)))))</f>
        <v>0</v>
      </c>
      <c r="R34" s="268">
        <f>Q34</f>
        <v>0</v>
      </c>
      <c r="S34" s="267">
        <f>IF(ISNA(MATCH(S$2,Inputs!$K$4:$AJ$4,0)),NA(),IF(SUMPRODUCT((Inputs!$A$5:$A$120=$B34)*ISNUMBER(INDEX(Inputs!$K$5:$AJ$120,0,MATCH(S$2,Inputs!$K$4:$AJ$4,0))))+SUMPRODUCT((Inputs!$C$5:$C$120=$B34)*ISNUMBER(INDEX(Inputs!$K$5:$AJ$120,0,MATCH(S$2,Inputs!$K$4:$AJ$4,0))))+SUMPRODUCT((Inputs!$E$5:$E$120=$B34)*ISNUMBER(INDEX(Inputs!$K$5:$AJ$120,0,MATCH(S$2,Inputs!$K$4:$AJ$4,0))))=0,NA(),SUMPRODUCT((Inputs!$A$5:$A$120=$B34)*Inputs!$B$5:$B$120*(((Inputs!$G$5:$G$120="moeda")+(Inputs!$G$5:$G$120="acoes"))*Inputs!$B$1+((Inputs!$G$5:$G$120&lt;&gt;"moeda")*(Inputs!$G$5:$G$120&lt;&gt;"acoes")))*INDEX(Inputs!$K$5:$AJ$120,0,MATCH(S$2,Inputs!$K$4:$AJ$4,0)))+SUMPRODUCT((Inputs!$C$5:$C$120=$B34)*Inputs!$D$5:$D$120*(((Inputs!$G$5:$G$120="moeda")+(Inputs!$G$5:$G$120="acoes"))*Inputs!$B$1+((Inputs!$G$5:$G$120&lt;&gt;"moeda")*(Inputs!$G$5:$G$120&lt;&gt;"acoes")))*INDEX(Inputs!$K$5:$AJ$120,0,MATCH(S$2,Inputs!$K$4:$AJ$4,0)))+SUMPRODUCT((Inputs!$E$5:$E$120=$B34)*Inputs!$F$5:$F$120*(((Inputs!$G$5:$G$120="moeda")+(Inputs!$G$5:$G$120="acoes"))*Inputs!$B$1+((Inputs!$G$5:$G$120&lt;&gt;"moeda")*(Inputs!$G$5:$G$120&lt;&gt;"acoes")))*INDEX(Inputs!$K$5:$AJ$120,0,MATCH(S$2,Inputs!$K$4:$AJ$4,0)))))</f>
        <v>0</v>
      </c>
      <c r="T34" s="267">
        <f>IF(ISNA(MATCH(T$2,Inputs!$K$4:$AJ$4,0)),NA(),IF(SUMPRODUCT((Inputs!$A$5:$A$120=$B34)*ISNUMBER(INDEX(Inputs!$K$5:$AJ$120,0,MATCH(T$2,Inputs!$K$4:$AJ$4,0))))+SUMPRODUCT((Inputs!$C$5:$C$120=$B34)*ISNUMBER(INDEX(Inputs!$K$5:$AJ$120,0,MATCH(T$2,Inputs!$K$4:$AJ$4,0))))+SUMPRODUCT((Inputs!$E$5:$E$120=$B34)*ISNUMBER(INDEX(Inputs!$K$5:$AJ$120,0,MATCH(T$2,Inputs!$K$4:$AJ$4,0))))=0,NA(),SUMPRODUCT((Inputs!$A$5:$A$120=$B34)*Inputs!$B$5:$B$120*(((Inputs!$G$5:$G$120="moeda")+(Inputs!$G$5:$G$120="acoes"))*Inputs!$B$1+((Inputs!$G$5:$G$120&lt;&gt;"moeda")*(Inputs!$G$5:$G$120&lt;&gt;"acoes")))*INDEX(Inputs!$K$5:$AJ$120,0,MATCH(T$2,Inputs!$K$4:$AJ$4,0)))+SUMPRODUCT((Inputs!$C$5:$C$120=$B34)*Inputs!$D$5:$D$120*(((Inputs!$G$5:$G$120="moeda")+(Inputs!$G$5:$G$120="acoes"))*Inputs!$B$1+((Inputs!$G$5:$G$120&lt;&gt;"moeda")*(Inputs!$G$5:$G$120&lt;&gt;"acoes")))*INDEX(Inputs!$K$5:$AJ$120,0,MATCH(T$2,Inputs!$K$4:$AJ$4,0)))+SUMPRODUCT((Inputs!$E$5:$E$120=$B34)*Inputs!$F$5:$F$120*(((Inputs!$G$5:$G$120="moeda")+(Inputs!$G$5:$G$120="acoes"))*Inputs!$B$1+((Inputs!$G$5:$G$120&lt;&gt;"moeda")*(Inputs!$G$5:$G$120&lt;&gt;"acoes")))*INDEX(Inputs!$K$5:$AJ$120,0,MATCH(T$2,Inputs!$K$4:$AJ$4,0)))))</f>
        <v>0</v>
      </c>
      <c r="U34" s="267">
        <f>IF(ISNA(MATCH(U$2,Inputs!$K$4:$AJ$4,0)),NA(),IF(SUMPRODUCT((Inputs!$A$5:$A$120=$B34)*ISNUMBER(INDEX(Inputs!$K$5:$AJ$120,0,MATCH(U$2,Inputs!$K$4:$AJ$4,0))))+SUMPRODUCT((Inputs!$C$5:$C$120=$B34)*ISNUMBER(INDEX(Inputs!$K$5:$AJ$120,0,MATCH(U$2,Inputs!$K$4:$AJ$4,0))))+SUMPRODUCT((Inputs!$E$5:$E$120=$B34)*ISNUMBER(INDEX(Inputs!$K$5:$AJ$120,0,MATCH(U$2,Inputs!$K$4:$AJ$4,0))))=0,NA(),SUMPRODUCT((Inputs!$A$5:$A$120=$B34)*Inputs!$B$5:$B$120*(((Inputs!$G$5:$G$120="moeda")+(Inputs!$G$5:$G$120="acoes"))*Inputs!$B$1+((Inputs!$G$5:$G$120&lt;&gt;"moeda")*(Inputs!$G$5:$G$120&lt;&gt;"acoes")))*INDEX(Inputs!$K$5:$AJ$120,0,MATCH(U$2,Inputs!$K$4:$AJ$4,0)))+SUMPRODUCT((Inputs!$C$5:$C$120=$B34)*Inputs!$D$5:$D$120*(((Inputs!$G$5:$G$120="moeda")+(Inputs!$G$5:$G$120="acoes"))*Inputs!$B$1+((Inputs!$G$5:$G$120&lt;&gt;"moeda")*(Inputs!$G$5:$G$120&lt;&gt;"acoes")))*INDEX(Inputs!$K$5:$AJ$120,0,MATCH(U$2,Inputs!$K$4:$AJ$4,0)))+SUMPRODUCT((Inputs!$E$5:$E$120=$B34)*Inputs!$F$5:$F$120*(((Inputs!$G$5:$G$120="moeda")+(Inputs!$G$5:$G$120="acoes"))*Inputs!$B$1+((Inputs!$G$5:$G$120&lt;&gt;"moeda")*(Inputs!$G$5:$G$120&lt;&gt;"acoes")))*INDEX(Inputs!$K$5:$AJ$120,0,MATCH(U$2,Inputs!$K$4:$AJ$4,0)))))</f>
        <v>0</v>
      </c>
      <c r="V34" s="267">
        <f>IF(ISNA(MATCH(V$2,Inputs!$K$4:$AJ$4,0)),NA(),IF(SUMPRODUCT((Inputs!$A$5:$A$120=$B34)*ISNUMBER(INDEX(Inputs!$K$5:$AJ$120,0,MATCH(V$2,Inputs!$K$4:$AJ$4,0))))+SUMPRODUCT((Inputs!$C$5:$C$120=$B34)*ISNUMBER(INDEX(Inputs!$K$5:$AJ$120,0,MATCH(V$2,Inputs!$K$4:$AJ$4,0))))+SUMPRODUCT((Inputs!$E$5:$E$120=$B34)*ISNUMBER(INDEX(Inputs!$K$5:$AJ$120,0,MATCH(V$2,Inputs!$K$4:$AJ$4,0))))=0,NA(),SUMPRODUCT((Inputs!$A$5:$A$120=$B34)*Inputs!$B$5:$B$120*(((Inputs!$G$5:$G$120="moeda")+(Inputs!$G$5:$G$120="acoes"))*Inputs!$B$1+((Inputs!$G$5:$G$120&lt;&gt;"moeda")*(Inputs!$G$5:$G$120&lt;&gt;"acoes")))*INDEX(Inputs!$K$5:$AJ$120,0,MATCH(V$2,Inputs!$K$4:$AJ$4,0)))+SUMPRODUCT((Inputs!$C$5:$C$120=$B34)*Inputs!$D$5:$D$120*(((Inputs!$G$5:$G$120="moeda")+(Inputs!$G$5:$G$120="acoes"))*Inputs!$B$1+((Inputs!$G$5:$G$120&lt;&gt;"moeda")*(Inputs!$G$5:$G$120&lt;&gt;"acoes")))*INDEX(Inputs!$K$5:$AJ$120,0,MATCH(V$2,Inputs!$K$4:$AJ$4,0)))+SUMPRODUCT((Inputs!$E$5:$E$120=$B34)*Inputs!$F$5:$F$120*(((Inputs!$G$5:$G$120="moeda")+(Inputs!$G$5:$G$120="acoes"))*Inputs!$B$1+((Inputs!$G$5:$G$120&lt;&gt;"moeda")*(Inputs!$G$5:$G$120&lt;&gt;"acoes")))*INDEX(Inputs!$K$5:$AJ$120,0,MATCH(V$2,Inputs!$K$4:$AJ$4,0)))))</f>
        <v>0</v>
      </c>
      <c r="W34" s="268">
        <f>V34</f>
        <v>0</v>
      </c>
      <c r="X34" s="267">
        <f>IF(ISNA(MATCH(X$2,Inputs!$K$4:$AJ$4,0)),NA(),IF(SUMPRODUCT((Inputs!$A$5:$A$120=$B34)*ISNUMBER(INDEX(Inputs!$K$5:$AJ$120,0,MATCH(X$2,Inputs!$K$4:$AJ$4,0))))+SUMPRODUCT((Inputs!$C$5:$C$120=$B34)*ISNUMBER(INDEX(Inputs!$K$5:$AJ$120,0,MATCH(X$2,Inputs!$K$4:$AJ$4,0))))+SUMPRODUCT((Inputs!$E$5:$E$120=$B34)*ISNUMBER(INDEX(Inputs!$K$5:$AJ$120,0,MATCH(X$2,Inputs!$K$4:$AJ$4,0))))=0,NA(),SUMPRODUCT((Inputs!$A$5:$A$120=$B34)*Inputs!$B$5:$B$120*(((Inputs!$G$5:$G$120="moeda")+(Inputs!$G$5:$G$120="acoes"))*Inputs!$B$1+((Inputs!$G$5:$G$120&lt;&gt;"moeda")*(Inputs!$G$5:$G$120&lt;&gt;"acoes")))*INDEX(Inputs!$K$5:$AJ$120,0,MATCH(X$2,Inputs!$K$4:$AJ$4,0)))+SUMPRODUCT((Inputs!$C$5:$C$120=$B34)*Inputs!$D$5:$D$120*(((Inputs!$G$5:$G$120="moeda")+(Inputs!$G$5:$G$120="acoes"))*Inputs!$B$1+((Inputs!$G$5:$G$120&lt;&gt;"moeda")*(Inputs!$G$5:$G$120&lt;&gt;"acoes")))*INDEX(Inputs!$K$5:$AJ$120,0,MATCH(X$2,Inputs!$K$4:$AJ$4,0)))+SUMPRODUCT((Inputs!$E$5:$E$120=$B34)*Inputs!$F$5:$F$120*(((Inputs!$G$5:$G$120="moeda")+(Inputs!$G$5:$G$120="acoes"))*Inputs!$B$1+((Inputs!$G$5:$G$120&lt;&gt;"moeda")*(Inputs!$G$5:$G$120&lt;&gt;"acoes")))*INDEX(Inputs!$K$5:$AJ$120,0,MATCH(X$2,Inputs!$K$4:$AJ$4,0)))))</f>
        <v>0</v>
      </c>
      <c r="Y34" s="267">
        <f>IF(ISNA(MATCH(Y$2,Inputs!$K$4:$AJ$4,0)),NA(),IF(SUMPRODUCT((Inputs!$A$5:$A$120=$B34)*ISNUMBER(INDEX(Inputs!$K$5:$AJ$120,0,MATCH(Y$2,Inputs!$K$4:$AJ$4,0))))+SUMPRODUCT((Inputs!$C$5:$C$120=$B34)*ISNUMBER(INDEX(Inputs!$K$5:$AJ$120,0,MATCH(Y$2,Inputs!$K$4:$AJ$4,0))))+SUMPRODUCT((Inputs!$E$5:$E$120=$B34)*ISNUMBER(INDEX(Inputs!$K$5:$AJ$120,0,MATCH(Y$2,Inputs!$K$4:$AJ$4,0))))=0,NA(),SUMPRODUCT((Inputs!$A$5:$A$120=$B34)*Inputs!$B$5:$B$120*(((Inputs!$G$5:$G$120="moeda")+(Inputs!$G$5:$G$120="acoes"))*Inputs!$B$1+((Inputs!$G$5:$G$120&lt;&gt;"moeda")*(Inputs!$G$5:$G$120&lt;&gt;"acoes")))*INDEX(Inputs!$K$5:$AJ$120,0,MATCH(Y$2,Inputs!$K$4:$AJ$4,0)))+SUMPRODUCT((Inputs!$C$5:$C$120=$B34)*Inputs!$D$5:$D$120*(((Inputs!$G$5:$G$120="moeda")+(Inputs!$G$5:$G$120="acoes"))*Inputs!$B$1+((Inputs!$G$5:$G$120&lt;&gt;"moeda")*(Inputs!$G$5:$G$120&lt;&gt;"acoes")))*INDEX(Inputs!$K$5:$AJ$120,0,MATCH(Y$2,Inputs!$K$4:$AJ$4,0)))+SUMPRODUCT((Inputs!$E$5:$E$120=$B34)*Inputs!$F$5:$F$120*(((Inputs!$G$5:$G$120="moeda")+(Inputs!$G$5:$G$120="acoes"))*Inputs!$B$1+((Inputs!$G$5:$G$120&lt;&gt;"moeda")*(Inputs!$G$5:$G$120&lt;&gt;"acoes")))*INDEX(Inputs!$K$5:$AJ$120,0,MATCH(Y$2,Inputs!$K$4:$AJ$4,0)))))</f>
        <v>0</v>
      </c>
      <c r="Z34" s="267">
        <f>IF(ISNA(MATCH(Z$2,Inputs!$K$4:$AJ$4,0)),NA(),IF(SUMPRODUCT((Inputs!$A$5:$A$120=$B34)*ISNUMBER(INDEX(Inputs!$K$5:$AJ$120,0,MATCH(Z$2,Inputs!$K$4:$AJ$4,0))))+SUMPRODUCT((Inputs!$C$5:$C$120=$B34)*ISNUMBER(INDEX(Inputs!$K$5:$AJ$120,0,MATCH(Z$2,Inputs!$K$4:$AJ$4,0))))+SUMPRODUCT((Inputs!$E$5:$E$120=$B34)*ISNUMBER(INDEX(Inputs!$K$5:$AJ$120,0,MATCH(Z$2,Inputs!$K$4:$AJ$4,0))))=0,NA(),SUMPRODUCT((Inputs!$A$5:$A$120=$B34)*Inputs!$B$5:$B$120*(((Inputs!$G$5:$G$120="moeda")+(Inputs!$G$5:$G$120="acoes"))*Inputs!$B$1+((Inputs!$G$5:$G$120&lt;&gt;"moeda")*(Inputs!$G$5:$G$120&lt;&gt;"acoes")))*INDEX(Inputs!$K$5:$AJ$120,0,MATCH(Z$2,Inputs!$K$4:$AJ$4,0)))+SUMPRODUCT((Inputs!$C$5:$C$120=$B34)*Inputs!$D$5:$D$120*(((Inputs!$G$5:$G$120="moeda")+(Inputs!$G$5:$G$120="acoes"))*Inputs!$B$1+((Inputs!$G$5:$G$120&lt;&gt;"moeda")*(Inputs!$G$5:$G$120&lt;&gt;"acoes")))*INDEX(Inputs!$K$5:$AJ$120,0,MATCH(Z$2,Inputs!$K$4:$AJ$4,0)))+SUMPRODUCT((Inputs!$E$5:$E$120=$B34)*Inputs!$F$5:$F$120*(((Inputs!$G$5:$G$120="moeda")+(Inputs!$G$5:$G$120="acoes"))*Inputs!$B$1+((Inputs!$G$5:$G$120&lt;&gt;"moeda")*(Inputs!$G$5:$G$120&lt;&gt;"acoes")))*INDEX(Inputs!$K$5:$AJ$120,0,MATCH(Z$2,Inputs!$K$4:$AJ$4,0)))))</f>
        <v>0</v>
      </c>
      <c r="AA34" s="267">
        <f>IF(ISNA(MATCH(AA$2,Inputs!$K$4:$AJ$4,0)),NA(),IF(SUMPRODUCT((Inputs!$A$5:$A$120=$B34)*ISNUMBER(INDEX(Inputs!$K$5:$AJ$120,0,MATCH(AA$2,Inputs!$K$4:$AJ$4,0))))+SUMPRODUCT((Inputs!$C$5:$C$120=$B34)*ISNUMBER(INDEX(Inputs!$K$5:$AJ$120,0,MATCH(AA$2,Inputs!$K$4:$AJ$4,0))))+SUMPRODUCT((Inputs!$E$5:$E$120=$B34)*ISNUMBER(INDEX(Inputs!$K$5:$AJ$120,0,MATCH(AA$2,Inputs!$K$4:$AJ$4,0))))=0,NA(),SUMPRODUCT((Inputs!$A$5:$A$120=$B34)*Inputs!$B$5:$B$120*(((Inputs!$G$5:$G$120="moeda")+(Inputs!$G$5:$G$120="acoes"))*Inputs!$B$1+((Inputs!$G$5:$G$120&lt;&gt;"moeda")*(Inputs!$G$5:$G$120&lt;&gt;"acoes")))*INDEX(Inputs!$K$5:$AJ$120,0,MATCH(AA$2,Inputs!$K$4:$AJ$4,0)))+SUMPRODUCT((Inputs!$C$5:$C$120=$B34)*Inputs!$D$5:$D$120*(((Inputs!$G$5:$G$120="moeda")+(Inputs!$G$5:$G$120="acoes"))*Inputs!$B$1+((Inputs!$G$5:$G$120&lt;&gt;"moeda")*(Inputs!$G$5:$G$120&lt;&gt;"acoes")))*INDEX(Inputs!$K$5:$AJ$120,0,MATCH(AA$2,Inputs!$K$4:$AJ$4,0)))+SUMPRODUCT((Inputs!$E$5:$E$120=$B34)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4" s="268">
        <f>AA34</f>
        <v>0</v>
      </c>
      <c r="AC34" s="267">
        <f>IF(ISNA(MATCH(AC$2,Inputs!$K$4:$AJ$4,0)),NA(),IF(SUMPRODUCT((Inputs!$A$5:$A$120=$B34)*ISNUMBER(INDEX(Inputs!$K$5:$AJ$120,0,MATCH(AC$2,Inputs!$K$4:$AJ$4,0))))+SUMPRODUCT((Inputs!$C$5:$C$120=$B34)*ISNUMBER(INDEX(Inputs!$K$5:$AJ$120,0,MATCH(AC$2,Inputs!$K$4:$AJ$4,0))))+SUMPRODUCT((Inputs!$E$5:$E$120=$B34)*ISNUMBER(INDEX(Inputs!$K$5:$AJ$120,0,MATCH(AC$2,Inputs!$K$4:$AJ$4,0))))=0,NA(),SUMPRODUCT((Inputs!$A$5:$A$120=$B34)*Inputs!$B$5:$B$120*(((Inputs!$G$5:$G$120="moeda")+(Inputs!$G$5:$G$120="acoes"))*Inputs!$B$1+((Inputs!$G$5:$G$120&lt;&gt;"moeda")*(Inputs!$G$5:$G$120&lt;&gt;"acoes")))*INDEX(Inputs!$K$5:$AJ$120,0,MATCH(AC$2,Inputs!$K$4:$AJ$4,0)))+SUMPRODUCT((Inputs!$C$5:$C$120=$B34)*Inputs!$D$5:$D$120*(((Inputs!$G$5:$G$120="moeda")+(Inputs!$G$5:$G$120="acoes"))*Inputs!$B$1+((Inputs!$G$5:$G$120&lt;&gt;"moeda")*(Inputs!$G$5:$G$120&lt;&gt;"acoes")))*INDEX(Inputs!$K$5:$AJ$120,0,MATCH(AC$2,Inputs!$K$4:$AJ$4,0)))+SUMPRODUCT((Inputs!$E$5:$E$120=$B34)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4" s="267">
        <f>IF(ISNA(MATCH(AD$2,Inputs!$K$4:$AJ$4,0)),NA(),IF(SUMPRODUCT((Inputs!$A$5:$A$120=$B34)*ISNUMBER(INDEX(Inputs!$K$5:$AJ$120,0,MATCH(AD$2,Inputs!$K$4:$AJ$4,0))))+SUMPRODUCT((Inputs!$C$5:$C$120=$B34)*ISNUMBER(INDEX(Inputs!$K$5:$AJ$120,0,MATCH(AD$2,Inputs!$K$4:$AJ$4,0))))+SUMPRODUCT((Inputs!$E$5:$E$120=$B34)*ISNUMBER(INDEX(Inputs!$K$5:$AJ$120,0,MATCH(AD$2,Inputs!$K$4:$AJ$4,0))))=0,NA(),SUMPRODUCT((Inputs!$A$5:$A$120=$B34)*Inputs!$B$5:$B$120*(((Inputs!$G$5:$G$120="moeda")+(Inputs!$G$5:$G$120="acoes"))*Inputs!$B$1+((Inputs!$G$5:$G$120&lt;&gt;"moeda")*(Inputs!$G$5:$G$120&lt;&gt;"acoes")))*INDEX(Inputs!$K$5:$AJ$120,0,MATCH(AD$2,Inputs!$K$4:$AJ$4,0)))+SUMPRODUCT((Inputs!$C$5:$C$120=$B34)*Inputs!$D$5:$D$120*(((Inputs!$G$5:$G$120="moeda")+(Inputs!$G$5:$G$120="acoes"))*Inputs!$B$1+((Inputs!$G$5:$G$120&lt;&gt;"moeda")*(Inputs!$G$5:$G$120&lt;&gt;"acoes")))*INDEX(Inputs!$K$5:$AJ$120,0,MATCH(AD$2,Inputs!$K$4:$AJ$4,0)))+SUMPRODUCT((Inputs!$E$5:$E$120=$B34)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4" s="267" t="e">
        <f>IF(ISNA(MATCH(AE$2,Inputs!$K$4:$AJ$4,0)),NA(),IF(SUMPRODUCT((Inputs!$A$5:$A$120=$B34)*ISNUMBER(INDEX(Inputs!$K$5:$AJ$120,0,MATCH(AE$2,Inputs!$K$4:$AJ$4,0))))+SUMPRODUCT((Inputs!$C$5:$C$120=$B34)*ISNUMBER(INDEX(Inputs!$K$5:$AJ$120,0,MATCH(AE$2,Inputs!$K$4:$AJ$4,0))))+SUMPRODUCT((Inputs!$E$5:$E$120=$B34)*ISNUMBER(INDEX(Inputs!$K$5:$AJ$120,0,MATCH(AE$2,Inputs!$K$4:$AJ$4,0))))=0,NA(),SUMPRODUCT((Inputs!$A$5:$A$120=$B34)*Inputs!$B$5:$B$120*(((Inputs!$G$5:$G$120="moeda")+(Inputs!$G$5:$G$120="acoes"))*Inputs!$B$1+((Inputs!$G$5:$G$120&lt;&gt;"moeda")*(Inputs!$G$5:$G$120&lt;&gt;"acoes")))*INDEX(Inputs!$K$5:$AJ$120,0,MATCH(AE$2,Inputs!$K$4:$AJ$4,0)))+SUMPRODUCT((Inputs!$C$5:$C$120=$B34)*Inputs!$D$5:$D$120*(((Inputs!$G$5:$G$120="moeda")+(Inputs!$G$5:$G$120="acoes"))*Inputs!$B$1+((Inputs!$G$5:$G$120&lt;&gt;"moeda")*(Inputs!$G$5:$G$120&lt;&gt;"acoes")))*INDEX(Inputs!$K$5:$AJ$120,0,MATCH(AE$2,Inputs!$K$4:$AJ$4,0)))+SUMPRODUCT((Inputs!$E$5:$E$120=$B34)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4" s="267" t="e">
        <f>IF(ISNA(MATCH(AF$2,Inputs!$K$4:$AJ$4,0)),NA(),IF(SUMPRODUCT((Inputs!$A$5:$A$120=$B34)*ISNUMBER(INDEX(Inputs!$K$5:$AJ$120,0,MATCH(AF$2,Inputs!$K$4:$AJ$4,0))))+SUMPRODUCT((Inputs!$C$5:$C$120=$B34)*ISNUMBER(INDEX(Inputs!$K$5:$AJ$120,0,MATCH(AF$2,Inputs!$K$4:$AJ$4,0))))+SUMPRODUCT((Inputs!$E$5:$E$120=$B34)*ISNUMBER(INDEX(Inputs!$K$5:$AJ$120,0,MATCH(AF$2,Inputs!$K$4:$AJ$4,0))))=0,NA(),SUMPRODUCT((Inputs!$A$5:$A$120=$B34)*Inputs!$B$5:$B$120*(((Inputs!$G$5:$G$120="moeda")+(Inputs!$G$5:$G$120="acoes"))*Inputs!$B$1+((Inputs!$G$5:$G$120&lt;&gt;"moeda")*(Inputs!$G$5:$G$120&lt;&gt;"acoes")))*INDEX(Inputs!$K$5:$AJ$120,0,MATCH(AF$2,Inputs!$K$4:$AJ$4,0)))+SUMPRODUCT((Inputs!$C$5:$C$120=$B34)*Inputs!$D$5:$D$120*(((Inputs!$G$5:$G$120="moeda")+(Inputs!$G$5:$G$120="acoes"))*Inputs!$B$1+((Inputs!$G$5:$G$120&lt;&gt;"moeda")*(Inputs!$G$5:$G$120&lt;&gt;"acoes")))*INDEX(Inputs!$K$5:$AJ$120,0,MATCH(AF$2,Inputs!$K$4:$AJ$4,0)))+SUMPRODUCT((Inputs!$E$5:$E$120=$B34)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4" s="268" t="e">
        <f>AF34</f>
        <v>#N/A</v>
      </c>
      <c r="AH34" s="267">
        <f>IF(ISNA(MATCH(AH$2,Inputs!$K$4:$AJ$4,0)),NA(),IF(SUMPRODUCT((Inputs!$A$5:$A$120=$B34)*ISNUMBER(INDEX(Inputs!$K$5:$AJ$120,0,MATCH(AH$2,Inputs!$K$4:$AJ$4,0))))+SUMPRODUCT((Inputs!$C$5:$C$120=$B34)*ISNUMBER(INDEX(Inputs!$K$5:$AJ$120,0,MATCH(AH$2,Inputs!$K$4:$AJ$4,0))))+SUMPRODUCT((Inputs!$E$5:$E$120=$B34)*ISNUMBER(INDEX(Inputs!$K$5:$AJ$120,0,MATCH(AH$2,Inputs!$K$4:$AJ$4,0))))=0,NA(),SUMPRODUCT((Inputs!$A$5:$A$120=$B34)*Inputs!$B$5:$B$120*(((Inputs!$G$5:$G$120="moeda")+(Inputs!$G$5:$G$120="acoes"))*Inputs!$B$1+((Inputs!$G$5:$G$120&lt;&gt;"moeda")*(Inputs!$G$5:$G$120&lt;&gt;"acoes")))*INDEX(Inputs!$K$5:$AJ$120,0,MATCH(AH$2,Inputs!$K$4:$AJ$4,0)))+SUMPRODUCT((Inputs!$C$5:$C$120=$B34)*Inputs!$D$5:$D$120*(((Inputs!$G$5:$G$120="moeda")+(Inputs!$G$5:$G$120="acoes"))*Inputs!$B$1+((Inputs!$G$5:$G$120&lt;&gt;"moeda")*(Inputs!$G$5:$G$120&lt;&gt;"acoes")))*INDEX(Inputs!$K$5:$AJ$120,0,MATCH(AH$2,Inputs!$K$4:$AJ$4,0)))+SUMPRODUCT((Inputs!$E$5:$E$120=$B34)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4" s="267">
        <f>IF(ISNA(MATCH(AI$2,Inputs!$K$4:$AJ$4,0)),NA(),IF(SUMPRODUCT((Inputs!$A$5:$A$120=$B34)*ISNUMBER(INDEX(Inputs!$K$5:$AJ$120,0,MATCH(AI$2,Inputs!$K$4:$AJ$4,0))))+SUMPRODUCT((Inputs!$C$5:$C$120=$B34)*ISNUMBER(INDEX(Inputs!$K$5:$AJ$120,0,MATCH(AI$2,Inputs!$K$4:$AJ$4,0))))+SUMPRODUCT((Inputs!$E$5:$E$120=$B34)*ISNUMBER(INDEX(Inputs!$K$5:$AJ$120,0,MATCH(AI$2,Inputs!$K$4:$AJ$4,0))))=0,NA(),SUMPRODUCT((Inputs!$A$5:$A$120=$B34)*Inputs!$B$5:$B$120*(((Inputs!$G$5:$G$120="moeda")+(Inputs!$G$5:$G$120="acoes"))*Inputs!$B$1+((Inputs!$G$5:$G$120&lt;&gt;"moeda")*(Inputs!$G$5:$G$120&lt;&gt;"acoes")))*INDEX(Inputs!$K$5:$AJ$120,0,MATCH(AI$2,Inputs!$K$4:$AJ$4,0)))+SUMPRODUCT((Inputs!$C$5:$C$120=$B34)*Inputs!$D$5:$D$120*(((Inputs!$G$5:$G$120="moeda")+(Inputs!$G$5:$G$120="acoes"))*Inputs!$B$1+((Inputs!$G$5:$G$120&lt;&gt;"moeda")*(Inputs!$G$5:$G$120&lt;&gt;"acoes")))*INDEX(Inputs!$K$5:$AJ$120,0,MATCH(AI$2,Inputs!$K$4:$AJ$4,0)))+SUMPRODUCT((Inputs!$E$5:$E$120=$B34)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4" s="267">
        <f>IF(ISNA(MATCH(AJ$2,Inputs!$K$4:$AJ$4,0)),NA(),IF(SUMPRODUCT((Inputs!$A$5:$A$120=$B34)*ISNUMBER(INDEX(Inputs!$K$5:$AJ$120,0,MATCH(AJ$2,Inputs!$K$4:$AJ$4,0))))+SUMPRODUCT((Inputs!$C$5:$C$120=$B34)*ISNUMBER(INDEX(Inputs!$K$5:$AJ$120,0,MATCH(AJ$2,Inputs!$K$4:$AJ$4,0))))+SUMPRODUCT((Inputs!$E$5:$E$120=$B34)*ISNUMBER(INDEX(Inputs!$K$5:$AJ$120,0,MATCH(AJ$2,Inputs!$K$4:$AJ$4,0))))=0,NA(),SUMPRODUCT((Inputs!$A$5:$A$120=$B34)*Inputs!$B$5:$B$120*(((Inputs!$G$5:$G$120="moeda")+(Inputs!$G$5:$G$120="acoes"))*Inputs!$B$1+((Inputs!$G$5:$G$120&lt;&gt;"moeda")*(Inputs!$G$5:$G$120&lt;&gt;"acoes")))*INDEX(Inputs!$K$5:$AJ$120,0,MATCH(AJ$2,Inputs!$K$4:$AJ$4,0)))+SUMPRODUCT((Inputs!$C$5:$C$120=$B34)*Inputs!$D$5:$D$120*(((Inputs!$G$5:$G$120="moeda")+(Inputs!$G$5:$G$120="acoes"))*Inputs!$B$1+((Inputs!$G$5:$G$120&lt;&gt;"moeda")*(Inputs!$G$5:$G$120&lt;&gt;"acoes")))*INDEX(Inputs!$K$5:$AJ$120,0,MATCH(AJ$2,Inputs!$K$4:$AJ$4,0)))+SUMPRODUCT((Inputs!$E$5:$E$120=$B34)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4" s="267">
        <f>IF(ISNA(MATCH(AK$2,Inputs!$K$4:$AJ$4,0)),NA(),IF(SUMPRODUCT((Inputs!$A$5:$A$120=$B34)*ISNUMBER(INDEX(Inputs!$K$5:$AJ$120,0,MATCH(AK$2,Inputs!$K$4:$AJ$4,0))))+SUMPRODUCT((Inputs!$C$5:$C$120=$B34)*ISNUMBER(INDEX(Inputs!$K$5:$AJ$120,0,MATCH(AK$2,Inputs!$K$4:$AJ$4,0))))+SUMPRODUCT((Inputs!$E$5:$E$120=$B34)*ISNUMBER(INDEX(Inputs!$K$5:$AJ$120,0,MATCH(AK$2,Inputs!$K$4:$AJ$4,0))))=0,NA(),SUMPRODUCT((Inputs!$A$5:$A$120=$B34)*Inputs!$B$5:$B$120*(((Inputs!$G$5:$G$120="moeda")+(Inputs!$G$5:$G$120="acoes"))*Inputs!$B$1+((Inputs!$G$5:$G$120&lt;&gt;"moeda")*(Inputs!$G$5:$G$120&lt;&gt;"acoes")))*INDEX(Inputs!$K$5:$AJ$120,0,MATCH(AK$2,Inputs!$K$4:$AJ$4,0)))+SUMPRODUCT((Inputs!$C$5:$C$120=$B34)*Inputs!$D$5:$D$120*(((Inputs!$G$5:$G$120="moeda")+(Inputs!$G$5:$G$120="acoes"))*Inputs!$B$1+((Inputs!$G$5:$G$120&lt;&gt;"moeda")*(Inputs!$G$5:$G$120&lt;&gt;"acoes")))*INDEX(Inputs!$K$5:$AJ$120,0,MATCH(AK$2,Inputs!$K$4:$AJ$4,0)))+SUMPRODUCT((Inputs!$E$5:$E$120=$B34)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4" s="268">
        <f>AK34</f>
        <v>0</v>
      </c>
    </row>
    <row r="35" ht="12.75" customHeight="1" s="255">
      <c r="B35" s="265" t="n">
        <v>30</v>
      </c>
      <c r="C35" s="270" t="inlineStr">
        <is>
          <t>Long term debt</t>
        </is>
      </c>
      <c r="D35" s="267">
        <f>IF(ISNA(MATCH(D$2,Inputs!$K$4:$AJ$4,0)),NA(),IF(SUMPRODUCT((Inputs!$A$5:$A$120=$B35)*ISNUMBER(INDEX(Inputs!$K$5:$AJ$120,0,MATCH(D$2,Inputs!$K$4:$AJ$4,0))))+SUMPRODUCT((Inputs!$C$5:$C$120=$B35)*ISNUMBER(INDEX(Inputs!$K$5:$AJ$120,0,MATCH(D$2,Inputs!$K$4:$AJ$4,0))))+SUMPRODUCT((Inputs!$E$5:$E$120=$B35)*ISNUMBER(INDEX(Inputs!$K$5:$AJ$120,0,MATCH(D$2,Inputs!$K$4:$AJ$4,0))))=0,NA(),SUMPRODUCT((Inputs!$A$5:$A$120=$B35)*Inputs!$B$5:$B$120*(((Inputs!$G$5:$G$120="moeda")+(Inputs!$G$5:$G$120="acoes"))*Inputs!$B$1+((Inputs!$G$5:$G$120&lt;&gt;"moeda")*(Inputs!$G$5:$G$120&lt;&gt;"acoes")))*INDEX(Inputs!$K$5:$AJ$120,0,MATCH(D$2,Inputs!$K$4:$AJ$4,0)))+SUMPRODUCT((Inputs!$C$5:$C$120=$B35)*Inputs!$D$5:$D$120*(((Inputs!$G$5:$G$120="moeda")+(Inputs!$G$5:$G$120="acoes"))*Inputs!$B$1+((Inputs!$G$5:$G$120&lt;&gt;"moeda")*(Inputs!$G$5:$G$120&lt;&gt;"acoes")))*INDEX(Inputs!$K$5:$AJ$120,0,MATCH(D$2,Inputs!$K$4:$AJ$4,0)))+SUMPRODUCT((Inputs!$E$5:$E$120=$B35)*Inputs!$F$5:$F$120*(((Inputs!$G$5:$G$120="moeda")+(Inputs!$G$5:$G$120="acoes"))*Inputs!$B$1+((Inputs!$G$5:$G$120&lt;&gt;"moeda")*(Inputs!$G$5:$G$120&lt;&gt;"acoes")))*INDEX(Inputs!$K$5:$AJ$120,0,MATCH(D$2,Inputs!$K$4:$AJ$4,0)))))</f>
        <v>9153</v>
      </c>
      <c r="E35" s="267">
        <f>IF(ISNA(MATCH(E$2,Inputs!$K$4:$AJ$4,0)),NA(),IF(SUMPRODUCT((Inputs!$A$5:$A$120=$B35)*ISNUMBER(INDEX(Inputs!$K$5:$AJ$120,0,MATCH(E$2,Inputs!$K$4:$AJ$4,0))))+SUMPRODUCT((Inputs!$C$5:$C$120=$B35)*ISNUMBER(INDEX(Inputs!$K$5:$AJ$120,0,MATCH(E$2,Inputs!$K$4:$AJ$4,0))))+SUMPRODUCT((Inputs!$E$5:$E$120=$B35)*ISNUMBER(INDEX(Inputs!$K$5:$AJ$120,0,MATCH(E$2,Inputs!$K$4:$AJ$4,0))))=0,NA(),SUMPRODUCT((Inputs!$A$5:$A$120=$B35)*Inputs!$B$5:$B$120*(((Inputs!$G$5:$G$120="moeda")+(Inputs!$G$5:$G$120="acoes"))*Inputs!$B$1+((Inputs!$G$5:$G$120&lt;&gt;"moeda")*(Inputs!$G$5:$G$120&lt;&gt;"acoes")))*INDEX(Inputs!$K$5:$AJ$120,0,MATCH(E$2,Inputs!$K$4:$AJ$4,0)))+SUMPRODUCT((Inputs!$C$5:$C$120=$B35)*Inputs!$D$5:$D$120*(((Inputs!$G$5:$G$120="moeda")+(Inputs!$G$5:$G$120="acoes"))*Inputs!$B$1+((Inputs!$G$5:$G$120&lt;&gt;"moeda")*(Inputs!$G$5:$G$120&lt;&gt;"acoes")))*INDEX(Inputs!$K$5:$AJ$120,0,MATCH(E$2,Inputs!$K$4:$AJ$4,0)))+SUMPRODUCT((Inputs!$E$5:$E$120=$B35)*Inputs!$F$5:$F$120*(((Inputs!$G$5:$G$120="moeda")+(Inputs!$G$5:$G$120="acoes"))*Inputs!$B$1+((Inputs!$G$5:$G$120&lt;&gt;"moeda")*(Inputs!$G$5:$G$120&lt;&gt;"acoes")))*INDEX(Inputs!$K$5:$AJ$120,0,MATCH(E$2,Inputs!$K$4:$AJ$4,0)))))</f>
        <v>8638</v>
      </c>
      <c r="F35" s="267">
        <f>IF(ISNA(MATCH(F$2,Inputs!$K$4:$AJ$4,0)),NA(),IF(SUMPRODUCT((Inputs!$A$5:$A$120=$B35)*ISNUMBER(INDEX(Inputs!$K$5:$AJ$120,0,MATCH(F$2,Inputs!$K$4:$AJ$4,0))))+SUMPRODUCT((Inputs!$C$5:$C$120=$B35)*ISNUMBER(INDEX(Inputs!$K$5:$AJ$120,0,MATCH(F$2,Inputs!$K$4:$AJ$4,0))))+SUMPRODUCT((Inputs!$E$5:$E$120=$B35)*ISNUMBER(INDEX(Inputs!$K$5:$AJ$120,0,MATCH(F$2,Inputs!$K$4:$AJ$4,0))))=0,NA(),SUMPRODUCT((Inputs!$A$5:$A$120=$B35)*Inputs!$B$5:$B$120*(((Inputs!$G$5:$G$120="moeda")+(Inputs!$G$5:$G$120="acoes"))*Inputs!$B$1+((Inputs!$G$5:$G$120&lt;&gt;"moeda")*(Inputs!$G$5:$G$120&lt;&gt;"acoes")))*INDEX(Inputs!$K$5:$AJ$120,0,MATCH(F$2,Inputs!$K$4:$AJ$4,0)))+SUMPRODUCT((Inputs!$C$5:$C$120=$B35)*Inputs!$D$5:$D$120*(((Inputs!$G$5:$G$120="moeda")+(Inputs!$G$5:$G$120="acoes"))*Inputs!$B$1+((Inputs!$G$5:$G$120&lt;&gt;"moeda")*(Inputs!$G$5:$G$120&lt;&gt;"acoes")))*INDEX(Inputs!$K$5:$AJ$120,0,MATCH(F$2,Inputs!$K$4:$AJ$4,0)))+SUMPRODUCT((Inputs!$E$5:$E$120=$B35)*Inputs!$F$5:$F$120*(((Inputs!$G$5:$G$120="moeda")+(Inputs!$G$5:$G$120="acoes"))*Inputs!$B$1+((Inputs!$G$5:$G$120&lt;&gt;"moeda")*(Inputs!$G$5:$G$120&lt;&gt;"acoes")))*INDEX(Inputs!$K$5:$AJ$120,0,MATCH(F$2,Inputs!$K$4:$AJ$4,0)))))</f>
        <v>8768</v>
      </c>
      <c r="G35" s="267">
        <f>IF(ISNA(MATCH(G$2,Inputs!$K$4:$AJ$4,0)),NA(),IF(SUMPRODUCT((Inputs!$A$5:$A$120=$B35)*ISNUMBER(INDEX(Inputs!$K$5:$AJ$120,0,MATCH(G$2,Inputs!$K$4:$AJ$4,0))))+SUMPRODUCT((Inputs!$C$5:$C$120=$B35)*ISNUMBER(INDEX(Inputs!$K$5:$AJ$120,0,MATCH(G$2,Inputs!$K$4:$AJ$4,0))))+SUMPRODUCT((Inputs!$E$5:$E$120=$B35)*ISNUMBER(INDEX(Inputs!$K$5:$AJ$120,0,MATCH(G$2,Inputs!$K$4:$AJ$4,0))))=0,NA(),SUMPRODUCT((Inputs!$A$5:$A$120=$B35)*Inputs!$B$5:$B$120*(((Inputs!$G$5:$G$120="moeda")+(Inputs!$G$5:$G$120="acoes"))*Inputs!$B$1+((Inputs!$G$5:$G$120&lt;&gt;"moeda")*(Inputs!$G$5:$G$120&lt;&gt;"acoes")))*INDEX(Inputs!$K$5:$AJ$120,0,MATCH(G$2,Inputs!$K$4:$AJ$4,0)))+SUMPRODUCT((Inputs!$C$5:$C$120=$B35)*Inputs!$D$5:$D$120*(((Inputs!$G$5:$G$120="moeda")+(Inputs!$G$5:$G$120="acoes"))*Inputs!$B$1+((Inputs!$G$5:$G$120&lt;&gt;"moeda")*(Inputs!$G$5:$G$120&lt;&gt;"acoes")))*INDEX(Inputs!$K$5:$AJ$120,0,MATCH(G$2,Inputs!$K$4:$AJ$4,0)))+SUMPRODUCT((Inputs!$E$5:$E$120=$B35)*Inputs!$F$5:$F$120*(((Inputs!$G$5:$G$120="moeda")+(Inputs!$G$5:$G$120="acoes"))*Inputs!$B$1+((Inputs!$G$5:$G$120&lt;&gt;"moeda")*(Inputs!$G$5:$G$120&lt;&gt;"acoes")))*INDEX(Inputs!$K$5:$AJ$120,0,MATCH(G$2,Inputs!$K$4:$AJ$4,0)))))</f>
        <v>9078</v>
      </c>
      <c r="H35" s="268">
        <f>G35</f>
        <v>9078</v>
      </c>
      <c r="I35" s="267">
        <f>IF(ISNA(MATCH(I$2,Inputs!$K$4:$AJ$4,0)),NA(),IF(SUMPRODUCT((Inputs!$A$5:$A$120=$B35)*ISNUMBER(INDEX(Inputs!$K$5:$AJ$120,0,MATCH(I$2,Inputs!$K$4:$AJ$4,0))))+SUMPRODUCT((Inputs!$C$5:$C$120=$B35)*ISNUMBER(INDEX(Inputs!$K$5:$AJ$120,0,MATCH(I$2,Inputs!$K$4:$AJ$4,0))))+SUMPRODUCT((Inputs!$E$5:$E$120=$B35)*ISNUMBER(INDEX(Inputs!$K$5:$AJ$120,0,MATCH(I$2,Inputs!$K$4:$AJ$4,0))))=0,NA(),SUMPRODUCT((Inputs!$A$5:$A$120=$B35)*Inputs!$B$5:$B$120*(((Inputs!$G$5:$G$120="moeda")+(Inputs!$G$5:$G$120="acoes"))*Inputs!$B$1+((Inputs!$G$5:$G$120&lt;&gt;"moeda")*(Inputs!$G$5:$G$120&lt;&gt;"acoes")))*INDEX(Inputs!$K$5:$AJ$120,0,MATCH(I$2,Inputs!$K$4:$AJ$4,0)))+SUMPRODUCT((Inputs!$C$5:$C$120=$B35)*Inputs!$D$5:$D$120*(((Inputs!$G$5:$G$120="moeda")+(Inputs!$G$5:$G$120="acoes"))*Inputs!$B$1+((Inputs!$G$5:$G$120&lt;&gt;"moeda")*(Inputs!$G$5:$G$120&lt;&gt;"acoes")))*INDEX(Inputs!$K$5:$AJ$120,0,MATCH(I$2,Inputs!$K$4:$AJ$4,0)))+SUMPRODUCT((Inputs!$E$5:$E$120=$B35)*Inputs!$F$5:$F$120*(((Inputs!$G$5:$G$120="moeda")+(Inputs!$G$5:$G$120="acoes"))*Inputs!$B$1+((Inputs!$G$5:$G$120&lt;&gt;"moeda")*(Inputs!$G$5:$G$120&lt;&gt;"acoes")))*INDEX(Inputs!$K$5:$AJ$120,0,MATCH(I$2,Inputs!$K$4:$AJ$4,0)))))</f>
        <v>8256</v>
      </c>
      <c r="J35" s="267">
        <f>IF(ISNA(MATCH(J$2,Inputs!$K$4:$AJ$4,0)),NA(),IF(SUMPRODUCT((Inputs!$A$5:$A$120=$B35)*ISNUMBER(INDEX(Inputs!$K$5:$AJ$120,0,MATCH(J$2,Inputs!$K$4:$AJ$4,0))))+SUMPRODUCT((Inputs!$C$5:$C$120=$B35)*ISNUMBER(INDEX(Inputs!$K$5:$AJ$120,0,MATCH(J$2,Inputs!$K$4:$AJ$4,0))))+SUMPRODUCT((Inputs!$E$5:$E$120=$B35)*ISNUMBER(INDEX(Inputs!$K$5:$AJ$120,0,MATCH(J$2,Inputs!$K$4:$AJ$4,0))))=0,NA(),SUMPRODUCT((Inputs!$A$5:$A$120=$B35)*Inputs!$B$5:$B$120*(((Inputs!$G$5:$G$120="moeda")+(Inputs!$G$5:$G$120="acoes"))*Inputs!$B$1+((Inputs!$G$5:$G$120&lt;&gt;"moeda")*(Inputs!$G$5:$G$120&lt;&gt;"acoes")))*INDEX(Inputs!$K$5:$AJ$120,0,MATCH(J$2,Inputs!$K$4:$AJ$4,0)))+SUMPRODUCT((Inputs!$C$5:$C$120=$B35)*Inputs!$D$5:$D$120*(((Inputs!$G$5:$G$120="moeda")+(Inputs!$G$5:$G$120="acoes"))*Inputs!$B$1+((Inputs!$G$5:$G$120&lt;&gt;"moeda")*(Inputs!$G$5:$G$120&lt;&gt;"acoes")))*INDEX(Inputs!$K$5:$AJ$120,0,MATCH(J$2,Inputs!$K$4:$AJ$4,0)))+SUMPRODUCT((Inputs!$E$5:$E$120=$B35)*Inputs!$F$5:$F$120*(((Inputs!$G$5:$G$120="moeda")+(Inputs!$G$5:$G$120="acoes"))*Inputs!$B$1+((Inputs!$G$5:$G$120&lt;&gt;"moeda")*(Inputs!$G$5:$G$120&lt;&gt;"acoes")))*INDEX(Inputs!$K$5:$AJ$120,0,MATCH(J$2,Inputs!$K$4:$AJ$4,0)))))</f>
        <v>10054</v>
      </c>
      <c r="K35" s="267">
        <f>IF(ISNA(MATCH(K$2,Inputs!$K$4:$AJ$4,0)),NA(),IF(SUMPRODUCT((Inputs!$A$5:$A$120=$B35)*ISNUMBER(INDEX(Inputs!$K$5:$AJ$120,0,MATCH(K$2,Inputs!$K$4:$AJ$4,0))))+SUMPRODUCT((Inputs!$C$5:$C$120=$B35)*ISNUMBER(INDEX(Inputs!$K$5:$AJ$120,0,MATCH(K$2,Inputs!$K$4:$AJ$4,0))))+SUMPRODUCT((Inputs!$E$5:$E$120=$B35)*ISNUMBER(INDEX(Inputs!$K$5:$AJ$120,0,MATCH(K$2,Inputs!$K$4:$AJ$4,0))))=0,NA(),SUMPRODUCT((Inputs!$A$5:$A$120=$B35)*Inputs!$B$5:$B$120*(((Inputs!$G$5:$G$120="moeda")+(Inputs!$G$5:$G$120="acoes"))*Inputs!$B$1+((Inputs!$G$5:$G$120&lt;&gt;"moeda")*(Inputs!$G$5:$G$120&lt;&gt;"acoes")))*INDEX(Inputs!$K$5:$AJ$120,0,MATCH(K$2,Inputs!$K$4:$AJ$4,0)))+SUMPRODUCT((Inputs!$C$5:$C$120=$B35)*Inputs!$D$5:$D$120*(((Inputs!$G$5:$G$120="moeda")+(Inputs!$G$5:$G$120="acoes"))*Inputs!$B$1+((Inputs!$G$5:$G$120&lt;&gt;"moeda")*(Inputs!$G$5:$G$120&lt;&gt;"acoes")))*INDEX(Inputs!$K$5:$AJ$120,0,MATCH(K$2,Inputs!$K$4:$AJ$4,0)))+SUMPRODUCT((Inputs!$E$5:$E$120=$B35)*Inputs!$F$5:$F$120*(((Inputs!$G$5:$G$120="moeda")+(Inputs!$G$5:$G$120="acoes"))*Inputs!$B$1+((Inputs!$G$5:$G$120&lt;&gt;"moeda")*(Inputs!$G$5:$G$120&lt;&gt;"acoes")))*INDEX(Inputs!$K$5:$AJ$120,0,MATCH(K$2,Inputs!$K$4:$AJ$4,0)))))</f>
        <v>9658</v>
      </c>
      <c r="L35" s="267">
        <f>IF(ISNA(MATCH(L$2,Inputs!$K$4:$AJ$4,0)),NA(),IF(SUMPRODUCT((Inputs!$A$5:$A$120=$B35)*ISNUMBER(INDEX(Inputs!$K$5:$AJ$120,0,MATCH(L$2,Inputs!$K$4:$AJ$4,0))))+SUMPRODUCT((Inputs!$C$5:$C$120=$B35)*ISNUMBER(INDEX(Inputs!$K$5:$AJ$120,0,MATCH(L$2,Inputs!$K$4:$AJ$4,0))))+SUMPRODUCT((Inputs!$E$5:$E$120=$B35)*ISNUMBER(INDEX(Inputs!$K$5:$AJ$120,0,MATCH(L$2,Inputs!$K$4:$AJ$4,0))))=0,NA(),SUMPRODUCT((Inputs!$A$5:$A$120=$B35)*Inputs!$B$5:$B$120*(((Inputs!$G$5:$G$120="moeda")+(Inputs!$G$5:$G$120="acoes"))*Inputs!$B$1+((Inputs!$G$5:$G$120&lt;&gt;"moeda")*(Inputs!$G$5:$G$120&lt;&gt;"acoes")))*INDEX(Inputs!$K$5:$AJ$120,0,MATCH(L$2,Inputs!$K$4:$AJ$4,0)))+SUMPRODUCT((Inputs!$C$5:$C$120=$B35)*Inputs!$D$5:$D$120*(((Inputs!$G$5:$G$120="moeda")+(Inputs!$G$5:$G$120="acoes"))*Inputs!$B$1+((Inputs!$G$5:$G$120&lt;&gt;"moeda")*(Inputs!$G$5:$G$120&lt;&gt;"acoes")))*INDEX(Inputs!$K$5:$AJ$120,0,MATCH(L$2,Inputs!$K$4:$AJ$4,0)))+SUMPRODUCT((Inputs!$E$5:$E$120=$B35)*Inputs!$F$5:$F$120*(((Inputs!$G$5:$G$120="moeda")+(Inputs!$G$5:$G$120="acoes"))*Inputs!$B$1+((Inputs!$G$5:$G$120&lt;&gt;"moeda")*(Inputs!$G$5:$G$120&lt;&gt;"acoes")))*INDEX(Inputs!$K$5:$AJ$120,0,MATCH(L$2,Inputs!$K$4:$AJ$4,0)))))</f>
        <v>9583</v>
      </c>
      <c r="M35" s="268">
        <f>L35</f>
        <v>9583</v>
      </c>
      <c r="N35" s="267">
        <f>IF(ISNA(MATCH(N$2,Inputs!$K$4:$AJ$4,0)),NA(),IF(SUMPRODUCT((Inputs!$A$5:$A$120=$B35)*ISNUMBER(INDEX(Inputs!$K$5:$AJ$120,0,MATCH(N$2,Inputs!$K$4:$AJ$4,0))))+SUMPRODUCT((Inputs!$C$5:$C$120=$B35)*ISNUMBER(INDEX(Inputs!$K$5:$AJ$120,0,MATCH(N$2,Inputs!$K$4:$AJ$4,0))))+SUMPRODUCT((Inputs!$E$5:$E$120=$B35)*ISNUMBER(INDEX(Inputs!$K$5:$AJ$120,0,MATCH(N$2,Inputs!$K$4:$AJ$4,0))))=0,NA(),SUMPRODUCT((Inputs!$A$5:$A$120=$B35)*Inputs!$B$5:$B$120*(((Inputs!$G$5:$G$120="moeda")+(Inputs!$G$5:$G$120="acoes"))*Inputs!$B$1+((Inputs!$G$5:$G$120&lt;&gt;"moeda")*(Inputs!$G$5:$G$120&lt;&gt;"acoes")))*INDEX(Inputs!$K$5:$AJ$120,0,MATCH(N$2,Inputs!$K$4:$AJ$4,0)))+SUMPRODUCT((Inputs!$C$5:$C$120=$B35)*Inputs!$D$5:$D$120*(((Inputs!$G$5:$G$120="moeda")+(Inputs!$G$5:$G$120="acoes"))*Inputs!$B$1+((Inputs!$G$5:$G$120&lt;&gt;"moeda")*(Inputs!$G$5:$G$120&lt;&gt;"acoes")))*INDEX(Inputs!$K$5:$AJ$120,0,MATCH(N$2,Inputs!$K$4:$AJ$4,0)))+SUMPRODUCT((Inputs!$E$5:$E$120=$B35)*Inputs!$F$5:$F$120*(((Inputs!$G$5:$G$120="moeda")+(Inputs!$G$5:$G$120="acoes"))*Inputs!$B$1+((Inputs!$G$5:$G$120&lt;&gt;"moeda")*(Inputs!$G$5:$G$120&lt;&gt;"acoes")))*INDEX(Inputs!$K$5:$AJ$120,0,MATCH(N$2,Inputs!$K$4:$AJ$4,0)))))</f>
        <v>9586</v>
      </c>
      <c r="O35" s="267">
        <f>IF(ISNA(MATCH(O$2,Inputs!$K$4:$AJ$4,0)),NA(),IF(SUMPRODUCT((Inputs!$A$5:$A$120=$B35)*ISNUMBER(INDEX(Inputs!$K$5:$AJ$120,0,MATCH(O$2,Inputs!$K$4:$AJ$4,0))))+SUMPRODUCT((Inputs!$C$5:$C$120=$B35)*ISNUMBER(INDEX(Inputs!$K$5:$AJ$120,0,MATCH(O$2,Inputs!$K$4:$AJ$4,0))))+SUMPRODUCT((Inputs!$E$5:$E$120=$B35)*ISNUMBER(INDEX(Inputs!$K$5:$AJ$120,0,MATCH(O$2,Inputs!$K$4:$AJ$4,0))))=0,NA(),SUMPRODUCT((Inputs!$A$5:$A$120=$B35)*Inputs!$B$5:$B$120*(((Inputs!$G$5:$G$120="moeda")+(Inputs!$G$5:$G$120="acoes"))*Inputs!$B$1+((Inputs!$G$5:$G$120&lt;&gt;"moeda")*(Inputs!$G$5:$G$120&lt;&gt;"acoes")))*INDEX(Inputs!$K$5:$AJ$120,0,MATCH(O$2,Inputs!$K$4:$AJ$4,0)))+SUMPRODUCT((Inputs!$C$5:$C$120=$B35)*Inputs!$D$5:$D$120*(((Inputs!$G$5:$G$120="moeda")+(Inputs!$G$5:$G$120="acoes"))*Inputs!$B$1+((Inputs!$G$5:$G$120&lt;&gt;"moeda")*(Inputs!$G$5:$G$120&lt;&gt;"acoes")))*INDEX(Inputs!$K$5:$AJ$120,0,MATCH(O$2,Inputs!$K$4:$AJ$4,0)))+SUMPRODUCT((Inputs!$E$5:$E$120=$B35)*Inputs!$F$5:$F$120*(((Inputs!$G$5:$G$120="moeda")+(Inputs!$G$5:$G$120="acoes"))*Inputs!$B$1+((Inputs!$G$5:$G$120&lt;&gt;"moeda")*(Inputs!$G$5:$G$120&lt;&gt;"acoes")))*INDEX(Inputs!$K$5:$AJ$120,0,MATCH(O$2,Inputs!$K$4:$AJ$4,0)))))</f>
        <v>9458</v>
      </c>
      <c r="P35" s="267">
        <f>IF(ISNA(MATCH(P$2,Inputs!$K$4:$AJ$4,0)),NA(),IF(SUMPRODUCT((Inputs!$A$5:$A$120=$B35)*ISNUMBER(INDEX(Inputs!$K$5:$AJ$120,0,MATCH(P$2,Inputs!$K$4:$AJ$4,0))))+SUMPRODUCT((Inputs!$C$5:$C$120=$B35)*ISNUMBER(INDEX(Inputs!$K$5:$AJ$120,0,MATCH(P$2,Inputs!$K$4:$AJ$4,0))))+SUMPRODUCT((Inputs!$E$5:$E$120=$B35)*ISNUMBER(INDEX(Inputs!$K$5:$AJ$120,0,MATCH(P$2,Inputs!$K$4:$AJ$4,0))))=0,NA(),SUMPRODUCT((Inputs!$A$5:$A$120=$B35)*Inputs!$B$5:$B$120*(((Inputs!$G$5:$G$120="moeda")+(Inputs!$G$5:$G$120="acoes"))*Inputs!$B$1+((Inputs!$G$5:$G$120&lt;&gt;"moeda")*(Inputs!$G$5:$G$120&lt;&gt;"acoes")))*INDEX(Inputs!$K$5:$AJ$120,0,MATCH(P$2,Inputs!$K$4:$AJ$4,0)))+SUMPRODUCT((Inputs!$C$5:$C$120=$B35)*Inputs!$D$5:$D$120*(((Inputs!$G$5:$G$120="moeda")+(Inputs!$G$5:$G$120="acoes"))*Inputs!$B$1+((Inputs!$G$5:$G$120&lt;&gt;"moeda")*(Inputs!$G$5:$G$120&lt;&gt;"acoes")))*INDEX(Inputs!$K$5:$AJ$120,0,MATCH(P$2,Inputs!$K$4:$AJ$4,0)))+SUMPRODUCT((Inputs!$E$5:$E$120=$B35)*Inputs!$F$5:$F$120*(((Inputs!$G$5:$G$120="moeda")+(Inputs!$G$5:$G$120="acoes"))*Inputs!$B$1+((Inputs!$G$5:$G$120&lt;&gt;"moeda")*(Inputs!$G$5:$G$120&lt;&gt;"acoes")))*INDEX(Inputs!$K$5:$AJ$120,0,MATCH(P$2,Inputs!$K$4:$AJ$4,0)))))</f>
        <v>9370</v>
      </c>
      <c r="Q35" s="267">
        <f>IF(ISNA(MATCH(Q$2,Inputs!$K$4:$AJ$4,0)),NA(),IF(SUMPRODUCT((Inputs!$A$5:$A$120=$B35)*ISNUMBER(INDEX(Inputs!$K$5:$AJ$120,0,MATCH(Q$2,Inputs!$K$4:$AJ$4,0))))+SUMPRODUCT((Inputs!$C$5:$C$120=$B35)*ISNUMBER(INDEX(Inputs!$K$5:$AJ$120,0,MATCH(Q$2,Inputs!$K$4:$AJ$4,0))))+SUMPRODUCT((Inputs!$E$5:$E$120=$B35)*ISNUMBER(INDEX(Inputs!$K$5:$AJ$120,0,MATCH(Q$2,Inputs!$K$4:$AJ$4,0))))=0,NA(),SUMPRODUCT((Inputs!$A$5:$A$120=$B35)*Inputs!$B$5:$B$120*(((Inputs!$G$5:$G$120="moeda")+(Inputs!$G$5:$G$120="acoes"))*Inputs!$B$1+((Inputs!$G$5:$G$120&lt;&gt;"moeda")*(Inputs!$G$5:$G$120&lt;&gt;"acoes")))*INDEX(Inputs!$K$5:$AJ$120,0,MATCH(Q$2,Inputs!$K$4:$AJ$4,0)))+SUMPRODUCT((Inputs!$C$5:$C$120=$B35)*Inputs!$D$5:$D$120*(((Inputs!$G$5:$G$120="moeda")+(Inputs!$G$5:$G$120="acoes"))*Inputs!$B$1+((Inputs!$G$5:$G$120&lt;&gt;"moeda")*(Inputs!$G$5:$G$120&lt;&gt;"acoes")))*INDEX(Inputs!$K$5:$AJ$120,0,MATCH(Q$2,Inputs!$K$4:$AJ$4,0)))+SUMPRODUCT((Inputs!$E$5:$E$120=$B35)*Inputs!$F$5:$F$120*(((Inputs!$G$5:$G$120="moeda")+(Inputs!$G$5:$G$120="acoes"))*Inputs!$B$1+((Inputs!$G$5:$G$120&lt;&gt;"moeda")*(Inputs!$G$5:$G$120&lt;&gt;"acoes")))*INDEX(Inputs!$K$5:$AJ$120,0,MATCH(Q$2,Inputs!$K$4:$AJ$4,0)))))</f>
        <v>8656</v>
      </c>
      <c r="R35" s="268">
        <f>Q35</f>
        <v>8656</v>
      </c>
      <c r="S35" s="267">
        <f>IF(ISNA(MATCH(S$2,Inputs!$K$4:$AJ$4,0)),NA(),IF(SUMPRODUCT((Inputs!$A$5:$A$120=$B35)*ISNUMBER(INDEX(Inputs!$K$5:$AJ$120,0,MATCH(S$2,Inputs!$K$4:$AJ$4,0))))+SUMPRODUCT((Inputs!$C$5:$C$120=$B35)*ISNUMBER(INDEX(Inputs!$K$5:$AJ$120,0,MATCH(S$2,Inputs!$K$4:$AJ$4,0))))+SUMPRODUCT((Inputs!$E$5:$E$120=$B35)*ISNUMBER(INDEX(Inputs!$K$5:$AJ$120,0,MATCH(S$2,Inputs!$K$4:$AJ$4,0))))=0,NA(),SUMPRODUCT((Inputs!$A$5:$A$120=$B35)*Inputs!$B$5:$B$120*(((Inputs!$G$5:$G$120="moeda")+(Inputs!$G$5:$G$120="acoes"))*Inputs!$B$1+((Inputs!$G$5:$G$120&lt;&gt;"moeda")*(Inputs!$G$5:$G$120&lt;&gt;"acoes")))*INDEX(Inputs!$K$5:$AJ$120,0,MATCH(S$2,Inputs!$K$4:$AJ$4,0)))+SUMPRODUCT((Inputs!$C$5:$C$120=$B35)*Inputs!$D$5:$D$120*(((Inputs!$G$5:$G$120="moeda")+(Inputs!$G$5:$G$120="acoes"))*Inputs!$B$1+((Inputs!$G$5:$G$120&lt;&gt;"moeda")*(Inputs!$G$5:$G$120&lt;&gt;"acoes")))*INDEX(Inputs!$K$5:$AJ$120,0,MATCH(S$2,Inputs!$K$4:$AJ$4,0)))+SUMPRODUCT((Inputs!$E$5:$E$120=$B35)*Inputs!$F$5:$F$120*(((Inputs!$G$5:$G$120="moeda")+(Inputs!$G$5:$G$120="acoes"))*Inputs!$B$1+((Inputs!$G$5:$G$120&lt;&gt;"moeda")*(Inputs!$G$5:$G$120&lt;&gt;"acoes")))*INDEX(Inputs!$K$5:$AJ$120,0,MATCH(S$2,Inputs!$K$4:$AJ$4,0)))))</f>
        <v>8656</v>
      </c>
      <c r="T35" s="267">
        <f>IF(ISNA(MATCH(T$2,Inputs!$K$4:$AJ$4,0)),NA(),IF(SUMPRODUCT((Inputs!$A$5:$A$120=$B35)*ISNUMBER(INDEX(Inputs!$K$5:$AJ$120,0,MATCH(T$2,Inputs!$K$4:$AJ$4,0))))+SUMPRODUCT((Inputs!$C$5:$C$120=$B35)*ISNUMBER(INDEX(Inputs!$K$5:$AJ$120,0,MATCH(T$2,Inputs!$K$4:$AJ$4,0))))+SUMPRODUCT((Inputs!$E$5:$E$120=$B35)*ISNUMBER(INDEX(Inputs!$K$5:$AJ$120,0,MATCH(T$2,Inputs!$K$4:$AJ$4,0))))=0,NA(),SUMPRODUCT((Inputs!$A$5:$A$120=$B35)*Inputs!$B$5:$B$120*(((Inputs!$G$5:$G$120="moeda")+(Inputs!$G$5:$G$120="acoes"))*Inputs!$B$1+((Inputs!$G$5:$G$120&lt;&gt;"moeda")*(Inputs!$G$5:$G$120&lt;&gt;"acoes")))*INDEX(Inputs!$K$5:$AJ$120,0,MATCH(T$2,Inputs!$K$4:$AJ$4,0)))+SUMPRODUCT((Inputs!$C$5:$C$120=$B35)*Inputs!$D$5:$D$120*(((Inputs!$G$5:$G$120="moeda")+(Inputs!$G$5:$G$120="acoes"))*Inputs!$B$1+((Inputs!$G$5:$G$120&lt;&gt;"moeda")*(Inputs!$G$5:$G$120&lt;&gt;"acoes")))*INDEX(Inputs!$K$5:$AJ$120,0,MATCH(T$2,Inputs!$K$4:$AJ$4,0)))+SUMPRODUCT((Inputs!$E$5:$E$120=$B35)*Inputs!$F$5:$F$120*(((Inputs!$G$5:$G$120="moeda")+(Inputs!$G$5:$G$120="acoes"))*Inputs!$B$1+((Inputs!$G$5:$G$120&lt;&gt;"moeda")*(Inputs!$G$5:$G$120&lt;&gt;"acoes")))*INDEX(Inputs!$K$5:$AJ$120,0,MATCH(T$2,Inputs!$K$4:$AJ$4,0)))))</f>
        <v>8658</v>
      </c>
      <c r="U35" s="267">
        <f>IF(ISNA(MATCH(U$2,Inputs!$K$4:$AJ$4,0)),NA(),IF(SUMPRODUCT((Inputs!$A$5:$A$120=$B35)*ISNUMBER(INDEX(Inputs!$K$5:$AJ$120,0,MATCH(U$2,Inputs!$K$4:$AJ$4,0))))+SUMPRODUCT((Inputs!$C$5:$C$120=$B35)*ISNUMBER(INDEX(Inputs!$K$5:$AJ$120,0,MATCH(U$2,Inputs!$K$4:$AJ$4,0))))+SUMPRODUCT((Inputs!$E$5:$E$120=$B35)*ISNUMBER(INDEX(Inputs!$K$5:$AJ$120,0,MATCH(U$2,Inputs!$K$4:$AJ$4,0))))=0,NA(),SUMPRODUCT((Inputs!$A$5:$A$120=$B35)*Inputs!$B$5:$B$120*(((Inputs!$G$5:$G$120="moeda")+(Inputs!$G$5:$G$120="acoes"))*Inputs!$B$1+((Inputs!$G$5:$G$120&lt;&gt;"moeda")*(Inputs!$G$5:$G$120&lt;&gt;"acoes")))*INDEX(Inputs!$K$5:$AJ$120,0,MATCH(U$2,Inputs!$K$4:$AJ$4,0)))+SUMPRODUCT((Inputs!$C$5:$C$120=$B35)*Inputs!$D$5:$D$120*(((Inputs!$G$5:$G$120="moeda")+(Inputs!$G$5:$G$120="acoes"))*Inputs!$B$1+((Inputs!$G$5:$G$120&lt;&gt;"moeda")*(Inputs!$G$5:$G$120&lt;&gt;"acoes")))*INDEX(Inputs!$K$5:$AJ$120,0,MATCH(U$2,Inputs!$K$4:$AJ$4,0)))+SUMPRODUCT((Inputs!$E$5:$E$120=$B35)*Inputs!$F$5:$F$120*(((Inputs!$G$5:$G$120="moeda")+(Inputs!$G$5:$G$120="acoes"))*Inputs!$B$1+((Inputs!$G$5:$G$120&lt;&gt;"moeda")*(Inputs!$G$5:$G$120&lt;&gt;"acoes")))*INDEX(Inputs!$K$5:$AJ$120,0,MATCH(U$2,Inputs!$K$4:$AJ$4,0)))))</f>
        <v>8910</v>
      </c>
      <c r="V35" s="267">
        <f>IF(ISNA(MATCH(V$2,Inputs!$K$4:$AJ$4,0)),NA(),IF(SUMPRODUCT((Inputs!$A$5:$A$120=$B35)*ISNUMBER(INDEX(Inputs!$K$5:$AJ$120,0,MATCH(V$2,Inputs!$K$4:$AJ$4,0))))+SUMPRODUCT((Inputs!$C$5:$C$120=$B35)*ISNUMBER(INDEX(Inputs!$K$5:$AJ$120,0,MATCH(V$2,Inputs!$K$4:$AJ$4,0))))+SUMPRODUCT((Inputs!$E$5:$E$120=$B35)*ISNUMBER(INDEX(Inputs!$K$5:$AJ$120,0,MATCH(V$2,Inputs!$K$4:$AJ$4,0))))=0,NA(),SUMPRODUCT((Inputs!$A$5:$A$120=$B35)*Inputs!$B$5:$B$120*(((Inputs!$G$5:$G$120="moeda")+(Inputs!$G$5:$G$120="acoes"))*Inputs!$B$1+((Inputs!$G$5:$G$120&lt;&gt;"moeda")*(Inputs!$G$5:$G$120&lt;&gt;"acoes")))*INDEX(Inputs!$K$5:$AJ$120,0,MATCH(V$2,Inputs!$K$4:$AJ$4,0)))+SUMPRODUCT((Inputs!$C$5:$C$120=$B35)*Inputs!$D$5:$D$120*(((Inputs!$G$5:$G$120="moeda")+(Inputs!$G$5:$G$120="acoes"))*Inputs!$B$1+((Inputs!$G$5:$G$120&lt;&gt;"moeda")*(Inputs!$G$5:$G$120&lt;&gt;"acoes")))*INDEX(Inputs!$K$5:$AJ$120,0,MATCH(V$2,Inputs!$K$4:$AJ$4,0)))+SUMPRODUCT((Inputs!$E$5:$E$120=$B35)*Inputs!$F$5:$F$120*(((Inputs!$G$5:$G$120="moeda")+(Inputs!$G$5:$G$120="acoes"))*Inputs!$B$1+((Inputs!$G$5:$G$120&lt;&gt;"moeda")*(Inputs!$G$5:$G$120&lt;&gt;"acoes")))*INDEX(Inputs!$K$5:$AJ$120,0,MATCH(V$2,Inputs!$K$4:$AJ$4,0)))))</f>
        <v>8907</v>
      </c>
      <c r="W35" s="268">
        <f>V35</f>
        <v>8907</v>
      </c>
      <c r="X35" s="267">
        <f>IF(ISNA(MATCH(X$2,Inputs!$K$4:$AJ$4,0)),NA(),IF(SUMPRODUCT((Inputs!$A$5:$A$120=$B35)*ISNUMBER(INDEX(Inputs!$K$5:$AJ$120,0,MATCH(X$2,Inputs!$K$4:$AJ$4,0))))+SUMPRODUCT((Inputs!$C$5:$C$120=$B35)*ISNUMBER(INDEX(Inputs!$K$5:$AJ$120,0,MATCH(X$2,Inputs!$K$4:$AJ$4,0))))+SUMPRODUCT((Inputs!$E$5:$E$120=$B35)*ISNUMBER(INDEX(Inputs!$K$5:$AJ$120,0,MATCH(X$2,Inputs!$K$4:$AJ$4,0))))=0,NA(),SUMPRODUCT((Inputs!$A$5:$A$120=$B35)*Inputs!$B$5:$B$120*(((Inputs!$G$5:$G$120="moeda")+(Inputs!$G$5:$G$120="acoes"))*Inputs!$B$1+((Inputs!$G$5:$G$120&lt;&gt;"moeda")*(Inputs!$G$5:$G$120&lt;&gt;"acoes")))*INDEX(Inputs!$K$5:$AJ$120,0,MATCH(X$2,Inputs!$K$4:$AJ$4,0)))+SUMPRODUCT((Inputs!$C$5:$C$120=$B35)*Inputs!$D$5:$D$120*(((Inputs!$G$5:$G$120="moeda")+(Inputs!$G$5:$G$120="acoes"))*Inputs!$B$1+((Inputs!$G$5:$G$120&lt;&gt;"moeda")*(Inputs!$G$5:$G$120&lt;&gt;"acoes")))*INDEX(Inputs!$K$5:$AJ$120,0,MATCH(X$2,Inputs!$K$4:$AJ$4,0)))+SUMPRODUCT((Inputs!$E$5:$E$120=$B35)*Inputs!$F$5:$F$120*(((Inputs!$G$5:$G$120="moeda")+(Inputs!$G$5:$G$120="acoes"))*Inputs!$B$1+((Inputs!$G$5:$G$120&lt;&gt;"moeda")*(Inputs!$G$5:$G$120&lt;&gt;"acoes")))*INDEX(Inputs!$K$5:$AJ$120,0,MATCH(X$2,Inputs!$K$4:$AJ$4,0)))))</f>
        <v>8909</v>
      </c>
      <c r="Y35" s="267">
        <f>IF(ISNA(MATCH(Y$2,Inputs!$K$4:$AJ$4,0)),NA(),IF(SUMPRODUCT((Inputs!$A$5:$A$120=$B35)*ISNUMBER(INDEX(Inputs!$K$5:$AJ$120,0,MATCH(Y$2,Inputs!$K$4:$AJ$4,0))))+SUMPRODUCT((Inputs!$C$5:$C$120=$B35)*ISNUMBER(INDEX(Inputs!$K$5:$AJ$120,0,MATCH(Y$2,Inputs!$K$4:$AJ$4,0))))+SUMPRODUCT((Inputs!$E$5:$E$120=$B35)*ISNUMBER(INDEX(Inputs!$K$5:$AJ$120,0,MATCH(Y$2,Inputs!$K$4:$AJ$4,0))))=0,NA(),SUMPRODUCT((Inputs!$A$5:$A$120=$B35)*Inputs!$B$5:$B$120*(((Inputs!$G$5:$G$120="moeda")+(Inputs!$G$5:$G$120="acoes"))*Inputs!$B$1+((Inputs!$G$5:$G$120&lt;&gt;"moeda")*(Inputs!$G$5:$G$120&lt;&gt;"acoes")))*INDEX(Inputs!$K$5:$AJ$120,0,MATCH(Y$2,Inputs!$K$4:$AJ$4,0)))+SUMPRODUCT((Inputs!$C$5:$C$120=$B35)*Inputs!$D$5:$D$120*(((Inputs!$G$5:$G$120="moeda")+(Inputs!$G$5:$G$120="acoes"))*Inputs!$B$1+((Inputs!$G$5:$G$120&lt;&gt;"moeda")*(Inputs!$G$5:$G$120&lt;&gt;"acoes")))*INDEX(Inputs!$K$5:$AJ$120,0,MATCH(Y$2,Inputs!$K$4:$AJ$4,0)))+SUMPRODUCT((Inputs!$E$5:$E$120=$B35)*Inputs!$F$5:$F$120*(((Inputs!$G$5:$G$120="moeda")+(Inputs!$G$5:$G$120="acoes"))*Inputs!$B$1+((Inputs!$G$5:$G$120&lt;&gt;"moeda")*(Inputs!$G$5:$G$120&lt;&gt;"acoes")))*INDEX(Inputs!$K$5:$AJ$120,0,MATCH(Y$2,Inputs!$K$4:$AJ$4,0)))))</f>
        <v>8913</v>
      </c>
      <c r="Z35" s="267">
        <f>IF(ISNA(MATCH(Z$2,Inputs!$K$4:$AJ$4,0)),NA(),IF(SUMPRODUCT((Inputs!$A$5:$A$120=$B35)*ISNUMBER(INDEX(Inputs!$K$5:$AJ$120,0,MATCH(Z$2,Inputs!$K$4:$AJ$4,0))))+SUMPRODUCT((Inputs!$C$5:$C$120=$B35)*ISNUMBER(INDEX(Inputs!$K$5:$AJ$120,0,MATCH(Z$2,Inputs!$K$4:$AJ$4,0))))+SUMPRODUCT((Inputs!$E$5:$E$120=$B35)*ISNUMBER(INDEX(Inputs!$K$5:$AJ$120,0,MATCH(Z$2,Inputs!$K$4:$AJ$4,0))))=0,NA(),SUMPRODUCT((Inputs!$A$5:$A$120=$B35)*Inputs!$B$5:$B$120*(((Inputs!$G$5:$G$120="moeda")+(Inputs!$G$5:$G$120="acoes"))*Inputs!$B$1+((Inputs!$G$5:$G$120&lt;&gt;"moeda")*(Inputs!$G$5:$G$120&lt;&gt;"acoes")))*INDEX(Inputs!$K$5:$AJ$120,0,MATCH(Z$2,Inputs!$K$4:$AJ$4,0)))+SUMPRODUCT((Inputs!$C$5:$C$120=$B35)*Inputs!$D$5:$D$120*(((Inputs!$G$5:$G$120="moeda")+(Inputs!$G$5:$G$120="acoes"))*Inputs!$B$1+((Inputs!$G$5:$G$120&lt;&gt;"moeda")*(Inputs!$G$5:$G$120&lt;&gt;"acoes")))*INDEX(Inputs!$K$5:$AJ$120,0,MATCH(Z$2,Inputs!$K$4:$AJ$4,0)))+SUMPRODUCT((Inputs!$E$5:$E$120=$B35)*Inputs!$F$5:$F$120*(((Inputs!$G$5:$G$120="moeda")+(Inputs!$G$5:$G$120="acoes"))*Inputs!$B$1+((Inputs!$G$5:$G$120&lt;&gt;"moeda")*(Inputs!$G$5:$G$120&lt;&gt;"acoes")))*INDEX(Inputs!$K$5:$AJ$120,0,MATCH(Z$2,Inputs!$K$4:$AJ$4,0)))))</f>
        <v>8915</v>
      </c>
      <c r="AA35" s="267">
        <f>IF(ISNA(MATCH(AA$2,Inputs!$K$4:$AJ$4,0)),NA(),IF(SUMPRODUCT((Inputs!$A$5:$A$120=$B35)*ISNUMBER(INDEX(Inputs!$K$5:$AJ$120,0,MATCH(AA$2,Inputs!$K$4:$AJ$4,0))))+SUMPRODUCT((Inputs!$C$5:$C$120=$B35)*ISNUMBER(INDEX(Inputs!$K$5:$AJ$120,0,MATCH(AA$2,Inputs!$K$4:$AJ$4,0))))+SUMPRODUCT((Inputs!$E$5:$E$120=$B35)*ISNUMBER(INDEX(Inputs!$K$5:$AJ$120,0,MATCH(AA$2,Inputs!$K$4:$AJ$4,0))))=0,NA(),SUMPRODUCT((Inputs!$A$5:$A$120=$B35)*Inputs!$B$5:$B$120*(((Inputs!$G$5:$G$120="moeda")+(Inputs!$G$5:$G$120="acoes"))*Inputs!$B$1+((Inputs!$G$5:$G$120&lt;&gt;"moeda")*(Inputs!$G$5:$G$120&lt;&gt;"acoes")))*INDEX(Inputs!$K$5:$AJ$120,0,MATCH(AA$2,Inputs!$K$4:$AJ$4,0)))+SUMPRODUCT((Inputs!$C$5:$C$120=$B35)*Inputs!$D$5:$D$120*(((Inputs!$G$5:$G$120="moeda")+(Inputs!$G$5:$G$120="acoes"))*Inputs!$B$1+((Inputs!$G$5:$G$120&lt;&gt;"moeda")*(Inputs!$G$5:$G$120&lt;&gt;"acoes")))*INDEX(Inputs!$K$5:$AJ$120,0,MATCH(AA$2,Inputs!$K$4:$AJ$4,0)))+SUMPRODUCT((Inputs!$E$5:$E$120=$B35)*Inputs!$F$5:$F$120*(((Inputs!$G$5:$G$120="moeda")+(Inputs!$G$5:$G$120="acoes"))*Inputs!$B$1+((Inputs!$G$5:$G$120&lt;&gt;"moeda")*(Inputs!$G$5:$G$120&lt;&gt;"acoes")))*INDEX(Inputs!$K$5:$AJ$120,0,MATCH(AA$2,Inputs!$K$4:$AJ$4,0)))))</f>
        <v>8913</v>
      </c>
      <c r="AB35" s="268">
        <f>AA35</f>
        <v>8913</v>
      </c>
      <c r="AC35" s="267">
        <f>IF(ISNA(MATCH(AC$2,Inputs!$K$4:$AJ$4,0)),NA(),IF(SUMPRODUCT((Inputs!$A$5:$A$120=$B35)*ISNUMBER(INDEX(Inputs!$K$5:$AJ$120,0,MATCH(AC$2,Inputs!$K$4:$AJ$4,0))))+SUMPRODUCT((Inputs!$C$5:$C$120=$B35)*ISNUMBER(INDEX(Inputs!$K$5:$AJ$120,0,MATCH(AC$2,Inputs!$K$4:$AJ$4,0))))+SUMPRODUCT((Inputs!$E$5:$E$120=$B35)*ISNUMBER(INDEX(Inputs!$K$5:$AJ$120,0,MATCH(AC$2,Inputs!$K$4:$AJ$4,0))))=0,NA(),SUMPRODUCT((Inputs!$A$5:$A$120=$B35)*Inputs!$B$5:$B$120*(((Inputs!$G$5:$G$120="moeda")+(Inputs!$G$5:$G$120="acoes"))*Inputs!$B$1+((Inputs!$G$5:$G$120&lt;&gt;"moeda")*(Inputs!$G$5:$G$120&lt;&gt;"acoes")))*INDEX(Inputs!$K$5:$AJ$120,0,MATCH(AC$2,Inputs!$K$4:$AJ$4,0)))+SUMPRODUCT((Inputs!$C$5:$C$120=$B35)*Inputs!$D$5:$D$120*(((Inputs!$G$5:$G$120="moeda")+(Inputs!$G$5:$G$120="acoes"))*Inputs!$B$1+((Inputs!$G$5:$G$120&lt;&gt;"moeda")*(Inputs!$G$5:$G$120&lt;&gt;"acoes")))*INDEX(Inputs!$K$5:$AJ$120,0,MATCH(AC$2,Inputs!$K$4:$AJ$4,0)))+SUMPRODUCT((Inputs!$E$5:$E$120=$B35)*Inputs!$F$5:$F$120*(((Inputs!$G$5:$G$120="moeda")+(Inputs!$G$5:$G$120="acoes"))*Inputs!$B$1+((Inputs!$G$5:$G$120&lt;&gt;"moeda")*(Inputs!$G$5:$G$120&lt;&gt;"acoes")))*INDEX(Inputs!$K$5:$AJ$120,0,MATCH(AC$2,Inputs!$K$4:$AJ$4,0)))))</f>
        <v>8914</v>
      </c>
      <c r="AD35" s="267">
        <f>IF(ISNA(MATCH(AD$2,Inputs!$K$4:$AJ$4,0)),NA(),IF(SUMPRODUCT((Inputs!$A$5:$A$120=$B35)*ISNUMBER(INDEX(Inputs!$K$5:$AJ$120,0,MATCH(AD$2,Inputs!$K$4:$AJ$4,0))))+SUMPRODUCT((Inputs!$C$5:$C$120=$B35)*ISNUMBER(INDEX(Inputs!$K$5:$AJ$120,0,MATCH(AD$2,Inputs!$K$4:$AJ$4,0))))+SUMPRODUCT((Inputs!$E$5:$E$120=$B35)*ISNUMBER(INDEX(Inputs!$K$5:$AJ$120,0,MATCH(AD$2,Inputs!$K$4:$AJ$4,0))))=0,NA(),SUMPRODUCT((Inputs!$A$5:$A$120=$B35)*Inputs!$B$5:$B$120*(((Inputs!$G$5:$G$120="moeda")+(Inputs!$G$5:$G$120="acoes"))*Inputs!$B$1+((Inputs!$G$5:$G$120&lt;&gt;"moeda")*(Inputs!$G$5:$G$120&lt;&gt;"acoes")))*INDEX(Inputs!$K$5:$AJ$120,0,MATCH(AD$2,Inputs!$K$4:$AJ$4,0)))+SUMPRODUCT((Inputs!$C$5:$C$120=$B35)*Inputs!$D$5:$D$120*(((Inputs!$G$5:$G$120="moeda")+(Inputs!$G$5:$G$120="acoes"))*Inputs!$B$1+((Inputs!$G$5:$G$120&lt;&gt;"moeda")*(Inputs!$G$5:$G$120&lt;&gt;"acoes")))*INDEX(Inputs!$K$5:$AJ$120,0,MATCH(AD$2,Inputs!$K$4:$AJ$4,0)))+SUMPRODUCT((Inputs!$E$5:$E$120=$B35)*Inputs!$F$5:$F$120*(((Inputs!$G$5:$G$120="moeda")+(Inputs!$G$5:$G$120="acoes"))*Inputs!$B$1+((Inputs!$G$5:$G$120&lt;&gt;"moeda")*(Inputs!$G$5:$G$120&lt;&gt;"acoes")))*INDEX(Inputs!$K$5:$AJ$120,0,MATCH(AD$2,Inputs!$K$4:$AJ$4,0)))))</f>
        <v>8166</v>
      </c>
      <c r="AE35" s="267" t="e">
        <f>IF(ISNA(MATCH(AE$2,Inputs!$K$4:$AJ$4,0)),NA(),IF(SUMPRODUCT((Inputs!$A$5:$A$120=$B35)*ISNUMBER(INDEX(Inputs!$K$5:$AJ$120,0,MATCH(AE$2,Inputs!$K$4:$AJ$4,0))))+SUMPRODUCT((Inputs!$C$5:$C$120=$B35)*ISNUMBER(INDEX(Inputs!$K$5:$AJ$120,0,MATCH(AE$2,Inputs!$K$4:$AJ$4,0))))+SUMPRODUCT((Inputs!$E$5:$E$120=$B35)*ISNUMBER(INDEX(Inputs!$K$5:$AJ$120,0,MATCH(AE$2,Inputs!$K$4:$AJ$4,0))))=0,NA(),SUMPRODUCT((Inputs!$A$5:$A$120=$B35)*Inputs!$B$5:$B$120*(((Inputs!$G$5:$G$120="moeda")+(Inputs!$G$5:$G$120="acoes"))*Inputs!$B$1+((Inputs!$G$5:$G$120&lt;&gt;"moeda")*(Inputs!$G$5:$G$120&lt;&gt;"acoes")))*INDEX(Inputs!$K$5:$AJ$120,0,MATCH(AE$2,Inputs!$K$4:$AJ$4,0)))+SUMPRODUCT((Inputs!$C$5:$C$120=$B35)*Inputs!$D$5:$D$120*(((Inputs!$G$5:$G$120="moeda")+(Inputs!$G$5:$G$120="acoes"))*Inputs!$B$1+((Inputs!$G$5:$G$120&lt;&gt;"moeda")*(Inputs!$G$5:$G$120&lt;&gt;"acoes")))*INDEX(Inputs!$K$5:$AJ$120,0,MATCH(AE$2,Inputs!$K$4:$AJ$4,0)))+SUMPRODUCT((Inputs!$E$5:$E$120=$B35)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5" s="267" t="e">
        <f>IF(ISNA(MATCH(AF$2,Inputs!$K$4:$AJ$4,0)),NA(),IF(SUMPRODUCT((Inputs!$A$5:$A$120=$B35)*ISNUMBER(INDEX(Inputs!$K$5:$AJ$120,0,MATCH(AF$2,Inputs!$K$4:$AJ$4,0))))+SUMPRODUCT((Inputs!$C$5:$C$120=$B35)*ISNUMBER(INDEX(Inputs!$K$5:$AJ$120,0,MATCH(AF$2,Inputs!$K$4:$AJ$4,0))))+SUMPRODUCT((Inputs!$E$5:$E$120=$B35)*ISNUMBER(INDEX(Inputs!$K$5:$AJ$120,0,MATCH(AF$2,Inputs!$K$4:$AJ$4,0))))=0,NA(),SUMPRODUCT((Inputs!$A$5:$A$120=$B35)*Inputs!$B$5:$B$120*(((Inputs!$G$5:$G$120="moeda")+(Inputs!$G$5:$G$120="acoes"))*Inputs!$B$1+((Inputs!$G$5:$G$120&lt;&gt;"moeda")*(Inputs!$G$5:$G$120&lt;&gt;"acoes")))*INDEX(Inputs!$K$5:$AJ$120,0,MATCH(AF$2,Inputs!$K$4:$AJ$4,0)))+SUMPRODUCT((Inputs!$C$5:$C$120=$B35)*Inputs!$D$5:$D$120*(((Inputs!$G$5:$G$120="moeda")+(Inputs!$G$5:$G$120="acoes"))*Inputs!$B$1+((Inputs!$G$5:$G$120&lt;&gt;"moeda")*(Inputs!$G$5:$G$120&lt;&gt;"acoes")))*INDEX(Inputs!$K$5:$AJ$120,0,MATCH(AF$2,Inputs!$K$4:$AJ$4,0)))+SUMPRODUCT((Inputs!$E$5:$E$120=$B35)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5" s="268" t="e">
        <f>AF35</f>
        <v>#N/A</v>
      </c>
      <c r="AH35" s="267">
        <f>IF(ISNA(MATCH(AH$2,Inputs!$K$4:$AJ$4,0)),NA(),IF(SUMPRODUCT((Inputs!$A$5:$A$120=$B35)*ISNUMBER(INDEX(Inputs!$K$5:$AJ$120,0,MATCH(AH$2,Inputs!$K$4:$AJ$4,0))))+SUMPRODUCT((Inputs!$C$5:$C$120=$B35)*ISNUMBER(INDEX(Inputs!$K$5:$AJ$120,0,MATCH(AH$2,Inputs!$K$4:$AJ$4,0))))+SUMPRODUCT((Inputs!$E$5:$E$120=$B35)*ISNUMBER(INDEX(Inputs!$K$5:$AJ$120,0,MATCH(AH$2,Inputs!$K$4:$AJ$4,0))))=0,NA(),SUMPRODUCT((Inputs!$A$5:$A$120=$B35)*Inputs!$B$5:$B$120*(((Inputs!$G$5:$G$120="moeda")+(Inputs!$G$5:$G$120="acoes"))*Inputs!$B$1+((Inputs!$G$5:$G$120&lt;&gt;"moeda")*(Inputs!$G$5:$G$120&lt;&gt;"acoes")))*INDEX(Inputs!$K$5:$AJ$120,0,MATCH(AH$2,Inputs!$K$4:$AJ$4,0)))+SUMPRODUCT((Inputs!$C$5:$C$120=$B35)*Inputs!$D$5:$D$120*(((Inputs!$G$5:$G$120="moeda")+(Inputs!$G$5:$G$120="acoes"))*Inputs!$B$1+((Inputs!$G$5:$G$120&lt;&gt;"moeda")*(Inputs!$G$5:$G$120&lt;&gt;"acoes")))*INDEX(Inputs!$K$5:$AJ$120,0,MATCH(AH$2,Inputs!$K$4:$AJ$4,0)))+SUMPRODUCT((Inputs!$E$5:$E$120=$B35)*Inputs!$F$5:$F$120*(((Inputs!$G$5:$G$120="moeda")+(Inputs!$G$5:$G$120="acoes"))*Inputs!$B$1+((Inputs!$G$5:$G$120&lt;&gt;"moeda")*(Inputs!$G$5:$G$120&lt;&gt;"acoes")))*INDEX(Inputs!$K$5:$AJ$120,0,MATCH(AH$2,Inputs!$K$4:$AJ$4,0)))))</f>
        <v>9829</v>
      </c>
      <c r="AI35" s="267">
        <f>IF(ISNA(MATCH(AI$2,Inputs!$K$4:$AJ$4,0)),NA(),IF(SUMPRODUCT((Inputs!$A$5:$A$120=$B35)*ISNUMBER(INDEX(Inputs!$K$5:$AJ$120,0,MATCH(AI$2,Inputs!$K$4:$AJ$4,0))))+SUMPRODUCT((Inputs!$C$5:$C$120=$B35)*ISNUMBER(INDEX(Inputs!$K$5:$AJ$120,0,MATCH(AI$2,Inputs!$K$4:$AJ$4,0))))+SUMPRODUCT((Inputs!$E$5:$E$120=$B35)*ISNUMBER(INDEX(Inputs!$K$5:$AJ$120,0,MATCH(AI$2,Inputs!$K$4:$AJ$4,0))))=0,NA(),SUMPRODUCT((Inputs!$A$5:$A$120=$B35)*Inputs!$B$5:$B$120*(((Inputs!$G$5:$G$120="moeda")+(Inputs!$G$5:$G$120="acoes"))*Inputs!$B$1+((Inputs!$G$5:$G$120&lt;&gt;"moeda")*(Inputs!$G$5:$G$120&lt;&gt;"acoes")))*INDEX(Inputs!$K$5:$AJ$120,0,MATCH(AI$2,Inputs!$K$4:$AJ$4,0)))+SUMPRODUCT((Inputs!$C$5:$C$120=$B35)*Inputs!$D$5:$D$120*(((Inputs!$G$5:$G$120="moeda")+(Inputs!$G$5:$G$120="acoes"))*Inputs!$B$1+((Inputs!$G$5:$G$120&lt;&gt;"moeda")*(Inputs!$G$5:$G$120&lt;&gt;"acoes")))*INDEX(Inputs!$K$5:$AJ$120,0,MATCH(AI$2,Inputs!$K$4:$AJ$4,0)))+SUMPRODUCT((Inputs!$E$5:$E$120=$B35)*Inputs!$F$5:$F$120*(((Inputs!$G$5:$G$120="moeda")+(Inputs!$G$5:$G$120="acoes"))*Inputs!$B$1+((Inputs!$G$5:$G$120&lt;&gt;"moeda")*(Inputs!$G$5:$G$120&lt;&gt;"acoes")))*INDEX(Inputs!$K$5:$AJ$120,0,MATCH(AI$2,Inputs!$K$4:$AJ$4,0)))))</f>
        <v>9824</v>
      </c>
      <c r="AJ35" s="267">
        <f>IF(ISNA(MATCH(AJ$2,Inputs!$K$4:$AJ$4,0)),NA(),IF(SUMPRODUCT((Inputs!$A$5:$A$120=$B35)*ISNUMBER(INDEX(Inputs!$K$5:$AJ$120,0,MATCH(AJ$2,Inputs!$K$4:$AJ$4,0))))+SUMPRODUCT((Inputs!$C$5:$C$120=$B35)*ISNUMBER(INDEX(Inputs!$K$5:$AJ$120,0,MATCH(AJ$2,Inputs!$K$4:$AJ$4,0))))+SUMPRODUCT((Inputs!$E$5:$E$120=$B35)*ISNUMBER(INDEX(Inputs!$K$5:$AJ$120,0,MATCH(AJ$2,Inputs!$K$4:$AJ$4,0))))=0,NA(),SUMPRODUCT((Inputs!$A$5:$A$120=$B35)*Inputs!$B$5:$B$120*(((Inputs!$G$5:$G$120="moeda")+(Inputs!$G$5:$G$120="acoes"))*Inputs!$B$1+((Inputs!$G$5:$G$120&lt;&gt;"moeda")*(Inputs!$G$5:$G$120&lt;&gt;"acoes")))*INDEX(Inputs!$K$5:$AJ$120,0,MATCH(AJ$2,Inputs!$K$4:$AJ$4,0)))+SUMPRODUCT((Inputs!$C$5:$C$120=$B35)*Inputs!$D$5:$D$120*(((Inputs!$G$5:$G$120="moeda")+(Inputs!$G$5:$G$120="acoes"))*Inputs!$B$1+((Inputs!$G$5:$G$120&lt;&gt;"moeda")*(Inputs!$G$5:$G$120&lt;&gt;"acoes")))*INDEX(Inputs!$K$5:$AJ$120,0,MATCH(AJ$2,Inputs!$K$4:$AJ$4,0)))+SUMPRODUCT((Inputs!$E$5:$E$120=$B35)*Inputs!$F$5:$F$120*(((Inputs!$G$5:$G$120="moeda")+(Inputs!$G$5:$G$120="acoes"))*Inputs!$B$1+((Inputs!$G$5:$G$120&lt;&gt;"moeda")*(Inputs!$G$5:$G$120&lt;&gt;"acoes")))*INDEX(Inputs!$K$5:$AJ$120,0,MATCH(AJ$2,Inputs!$K$4:$AJ$4,0)))))</f>
        <v>9983</v>
      </c>
      <c r="AK35" s="267">
        <f>IF(ISNA(MATCH(AK$2,Inputs!$K$4:$AJ$4,0)),NA(),IF(SUMPRODUCT((Inputs!$A$5:$A$120=$B35)*ISNUMBER(INDEX(Inputs!$K$5:$AJ$120,0,MATCH(AK$2,Inputs!$K$4:$AJ$4,0))))+SUMPRODUCT((Inputs!$C$5:$C$120=$B35)*ISNUMBER(INDEX(Inputs!$K$5:$AJ$120,0,MATCH(AK$2,Inputs!$K$4:$AJ$4,0))))+SUMPRODUCT((Inputs!$E$5:$E$120=$B35)*ISNUMBER(INDEX(Inputs!$K$5:$AJ$120,0,MATCH(AK$2,Inputs!$K$4:$AJ$4,0))))=0,NA(),SUMPRODUCT((Inputs!$A$5:$A$120=$B35)*Inputs!$B$5:$B$120*(((Inputs!$G$5:$G$120="moeda")+(Inputs!$G$5:$G$120="acoes"))*Inputs!$B$1+((Inputs!$G$5:$G$120&lt;&gt;"moeda")*(Inputs!$G$5:$G$120&lt;&gt;"acoes")))*INDEX(Inputs!$K$5:$AJ$120,0,MATCH(AK$2,Inputs!$K$4:$AJ$4,0)))+SUMPRODUCT((Inputs!$C$5:$C$120=$B35)*Inputs!$D$5:$D$120*(((Inputs!$G$5:$G$120="moeda")+(Inputs!$G$5:$G$120="acoes"))*Inputs!$B$1+((Inputs!$G$5:$G$120&lt;&gt;"moeda")*(Inputs!$G$5:$G$120&lt;&gt;"acoes")))*INDEX(Inputs!$K$5:$AJ$120,0,MATCH(AK$2,Inputs!$K$4:$AJ$4,0)))+SUMPRODUCT((Inputs!$E$5:$E$120=$B35)*Inputs!$F$5:$F$120*(((Inputs!$G$5:$G$120="moeda")+(Inputs!$G$5:$G$120="acoes"))*Inputs!$B$1+((Inputs!$G$5:$G$120&lt;&gt;"moeda")*(Inputs!$G$5:$G$120&lt;&gt;"acoes")))*INDEX(Inputs!$K$5:$AJ$120,0,MATCH(AK$2,Inputs!$K$4:$AJ$4,0)))))</f>
        <v>9677</v>
      </c>
      <c r="AL35" s="268">
        <f>AK35</f>
        <v>9677</v>
      </c>
    </row>
    <row r="36" ht="12.75" customHeight="1" s="255">
      <c r="B36" s="265" t="n">
        <v>31</v>
      </c>
      <c r="C36" s="270" t="inlineStr">
        <is>
          <t>Long term operating leases</t>
        </is>
      </c>
      <c r="D36" s="267">
        <f>IF(ISNA(MATCH(D$2,Inputs!$K$4:$AJ$4,0)),NA(),IF(SUMPRODUCT((Inputs!$A$5:$A$120=$B36)*ISNUMBER(INDEX(Inputs!$K$5:$AJ$120,0,MATCH(D$2,Inputs!$K$4:$AJ$4,0))))+SUMPRODUCT((Inputs!$C$5:$C$120=$B36)*ISNUMBER(INDEX(Inputs!$K$5:$AJ$120,0,MATCH(D$2,Inputs!$K$4:$AJ$4,0))))+SUMPRODUCT((Inputs!$E$5:$E$120=$B36)*ISNUMBER(INDEX(Inputs!$K$5:$AJ$120,0,MATCH(D$2,Inputs!$K$4:$AJ$4,0))))=0,NA(),SUMPRODUCT((Inputs!$A$5:$A$120=$B36)*Inputs!$B$5:$B$120*(((Inputs!$G$5:$G$120="moeda")+(Inputs!$G$5:$G$120="acoes"))*Inputs!$B$1+((Inputs!$G$5:$G$120&lt;&gt;"moeda")*(Inputs!$G$5:$G$120&lt;&gt;"acoes")))*INDEX(Inputs!$K$5:$AJ$120,0,MATCH(D$2,Inputs!$K$4:$AJ$4,0)))+SUMPRODUCT((Inputs!$C$5:$C$120=$B36)*Inputs!$D$5:$D$120*(((Inputs!$G$5:$G$120="moeda")+(Inputs!$G$5:$G$120="acoes"))*Inputs!$B$1+((Inputs!$G$5:$G$120&lt;&gt;"moeda")*(Inputs!$G$5:$G$120&lt;&gt;"acoes")))*INDEX(Inputs!$K$5:$AJ$120,0,MATCH(D$2,Inputs!$K$4:$AJ$4,0)))+SUMPRODUCT((Inputs!$E$5:$E$120=$B36)*Inputs!$F$5:$F$120*(((Inputs!$G$5:$G$120="moeda")+(Inputs!$G$5:$G$120="acoes"))*Inputs!$B$1+((Inputs!$G$5:$G$120&lt;&gt;"moeda")*(Inputs!$G$5:$G$120&lt;&gt;"acoes")))*INDEX(Inputs!$K$5:$AJ$120,0,MATCH(D$2,Inputs!$K$4:$AJ$4,0)))))</f>
        <v>0</v>
      </c>
      <c r="E36" s="267">
        <f>IF(ISNA(MATCH(E$2,Inputs!$K$4:$AJ$4,0)),NA(),IF(SUMPRODUCT((Inputs!$A$5:$A$120=$B36)*ISNUMBER(INDEX(Inputs!$K$5:$AJ$120,0,MATCH(E$2,Inputs!$K$4:$AJ$4,0))))+SUMPRODUCT((Inputs!$C$5:$C$120=$B36)*ISNUMBER(INDEX(Inputs!$K$5:$AJ$120,0,MATCH(E$2,Inputs!$K$4:$AJ$4,0))))+SUMPRODUCT((Inputs!$E$5:$E$120=$B36)*ISNUMBER(INDEX(Inputs!$K$5:$AJ$120,0,MATCH(E$2,Inputs!$K$4:$AJ$4,0))))=0,NA(),SUMPRODUCT((Inputs!$A$5:$A$120=$B36)*Inputs!$B$5:$B$120*(((Inputs!$G$5:$G$120="moeda")+(Inputs!$G$5:$G$120="acoes"))*Inputs!$B$1+((Inputs!$G$5:$G$120&lt;&gt;"moeda")*(Inputs!$G$5:$G$120&lt;&gt;"acoes")))*INDEX(Inputs!$K$5:$AJ$120,0,MATCH(E$2,Inputs!$K$4:$AJ$4,0)))+SUMPRODUCT((Inputs!$C$5:$C$120=$B36)*Inputs!$D$5:$D$120*(((Inputs!$G$5:$G$120="moeda")+(Inputs!$G$5:$G$120="acoes"))*Inputs!$B$1+((Inputs!$G$5:$G$120&lt;&gt;"moeda")*(Inputs!$G$5:$G$120&lt;&gt;"acoes")))*INDEX(Inputs!$K$5:$AJ$120,0,MATCH(E$2,Inputs!$K$4:$AJ$4,0)))+SUMPRODUCT((Inputs!$E$5:$E$120=$B36)*Inputs!$F$5:$F$120*(((Inputs!$G$5:$G$120="moeda")+(Inputs!$G$5:$G$120="acoes"))*Inputs!$B$1+((Inputs!$G$5:$G$120&lt;&gt;"moeda")*(Inputs!$G$5:$G$120&lt;&gt;"acoes")))*INDEX(Inputs!$K$5:$AJ$120,0,MATCH(E$2,Inputs!$K$4:$AJ$4,0)))))</f>
        <v>0</v>
      </c>
      <c r="F36" s="267">
        <f>IF(ISNA(MATCH(F$2,Inputs!$K$4:$AJ$4,0)),NA(),IF(SUMPRODUCT((Inputs!$A$5:$A$120=$B36)*ISNUMBER(INDEX(Inputs!$K$5:$AJ$120,0,MATCH(F$2,Inputs!$K$4:$AJ$4,0))))+SUMPRODUCT((Inputs!$C$5:$C$120=$B36)*ISNUMBER(INDEX(Inputs!$K$5:$AJ$120,0,MATCH(F$2,Inputs!$K$4:$AJ$4,0))))+SUMPRODUCT((Inputs!$E$5:$E$120=$B36)*ISNUMBER(INDEX(Inputs!$K$5:$AJ$120,0,MATCH(F$2,Inputs!$K$4:$AJ$4,0))))=0,NA(),SUMPRODUCT((Inputs!$A$5:$A$120=$B36)*Inputs!$B$5:$B$120*(((Inputs!$G$5:$G$120="moeda")+(Inputs!$G$5:$G$120="acoes"))*Inputs!$B$1+((Inputs!$G$5:$G$120&lt;&gt;"moeda")*(Inputs!$G$5:$G$120&lt;&gt;"acoes")))*INDEX(Inputs!$K$5:$AJ$120,0,MATCH(F$2,Inputs!$K$4:$AJ$4,0)))+SUMPRODUCT((Inputs!$C$5:$C$120=$B36)*Inputs!$D$5:$D$120*(((Inputs!$G$5:$G$120="moeda")+(Inputs!$G$5:$G$120="acoes"))*Inputs!$B$1+((Inputs!$G$5:$G$120&lt;&gt;"moeda")*(Inputs!$G$5:$G$120&lt;&gt;"acoes")))*INDEX(Inputs!$K$5:$AJ$120,0,MATCH(F$2,Inputs!$K$4:$AJ$4,0)))+SUMPRODUCT((Inputs!$E$5:$E$120=$B36)*Inputs!$F$5:$F$120*(((Inputs!$G$5:$G$120="moeda")+(Inputs!$G$5:$G$120="acoes"))*Inputs!$B$1+((Inputs!$G$5:$G$120&lt;&gt;"moeda")*(Inputs!$G$5:$G$120&lt;&gt;"acoes")))*INDEX(Inputs!$K$5:$AJ$120,0,MATCH(F$2,Inputs!$K$4:$AJ$4,0)))))</f>
        <v>0</v>
      </c>
      <c r="G36" s="267">
        <f>IF(ISNA(MATCH(G$2,Inputs!$K$4:$AJ$4,0)),NA(),IF(SUMPRODUCT((Inputs!$A$5:$A$120=$B36)*ISNUMBER(INDEX(Inputs!$K$5:$AJ$120,0,MATCH(G$2,Inputs!$K$4:$AJ$4,0))))+SUMPRODUCT((Inputs!$C$5:$C$120=$B36)*ISNUMBER(INDEX(Inputs!$K$5:$AJ$120,0,MATCH(G$2,Inputs!$K$4:$AJ$4,0))))+SUMPRODUCT((Inputs!$E$5:$E$120=$B36)*ISNUMBER(INDEX(Inputs!$K$5:$AJ$120,0,MATCH(G$2,Inputs!$K$4:$AJ$4,0))))=0,NA(),SUMPRODUCT((Inputs!$A$5:$A$120=$B36)*Inputs!$B$5:$B$120*(((Inputs!$G$5:$G$120="moeda")+(Inputs!$G$5:$G$120="acoes"))*Inputs!$B$1+((Inputs!$G$5:$G$120&lt;&gt;"moeda")*(Inputs!$G$5:$G$120&lt;&gt;"acoes")))*INDEX(Inputs!$K$5:$AJ$120,0,MATCH(G$2,Inputs!$K$4:$AJ$4,0)))+SUMPRODUCT((Inputs!$C$5:$C$120=$B36)*Inputs!$D$5:$D$120*(((Inputs!$G$5:$G$120="moeda")+(Inputs!$G$5:$G$120="acoes"))*Inputs!$B$1+((Inputs!$G$5:$G$120&lt;&gt;"moeda")*(Inputs!$G$5:$G$120&lt;&gt;"acoes")))*INDEX(Inputs!$K$5:$AJ$120,0,MATCH(G$2,Inputs!$K$4:$AJ$4,0)))+SUMPRODUCT((Inputs!$E$5:$E$120=$B36)*Inputs!$F$5:$F$120*(((Inputs!$G$5:$G$120="moeda")+(Inputs!$G$5:$G$120="acoes"))*Inputs!$B$1+((Inputs!$G$5:$G$120&lt;&gt;"moeda")*(Inputs!$G$5:$G$120&lt;&gt;"acoes")))*INDEX(Inputs!$K$5:$AJ$120,0,MATCH(G$2,Inputs!$K$4:$AJ$4,0)))))</f>
        <v>0</v>
      </c>
      <c r="H36" s="268">
        <f>G36</f>
        <v>0</v>
      </c>
      <c r="I36" s="267">
        <f>IF(ISNA(MATCH(I$2,Inputs!$K$4:$AJ$4,0)),NA(),IF(SUMPRODUCT((Inputs!$A$5:$A$120=$B36)*ISNUMBER(INDEX(Inputs!$K$5:$AJ$120,0,MATCH(I$2,Inputs!$K$4:$AJ$4,0))))+SUMPRODUCT((Inputs!$C$5:$C$120=$B36)*ISNUMBER(INDEX(Inputs!$K$5:$AJ$120,0,MATCH(I$2,Inputs!$K$4:$AJ$4,0))))+SUMPRODUCT((Inputs!$E$5:$E$120=$B36)*ISNUMBER(INDEX(Inputs!$K$5:$AJ$120,0,MATCH(I$2,Inputs!$K$4:$AJ$4,0))))=0,NA(),SUMPRODUCT((Inputs!$A$5:$A$120=$B36)*Inputs!$B$5:$B$120*(((Inputs!$G$5:$G$120="moeda")+(Inputs!$G$5:$G$120="acoes"))*Inputs!$B$1+((Inputs!$G$5:$G$120&lt;&gt;"moeda")*(Inputs!$G$5:$G$120&lt;&gt;"acoes")))*INDEX(Inputs!$K$5:$AJ$120,0,MATCH(I$2,Inputs!$K$4:$AJ$4,0)))+SUMPRODUCT((Inputs!$C$5:$C$120=$B36)*Inputs!$D$5:$D$120*(((Inputs!$G$5:$G$120="moeda")+(Inputs!$G$5:$G$120="acoes"))*Inputs!$B$1+((Inputs!$G$5:$G$120&lt;&gt;"moeda")*(Inputs!$G$5:$G$120&lt;&gt;"acoes")))*INDEX(Inputs!$K$5:$AJ$120,0,MATCH(I$2,Inputs!$K$4:$AJ$4,0)))+SUMPRODUCT((Inputs!$E$5:$E$120=$B36)*Inputs!$F$5:$F$120*(((Inputs!$G$5:$G$120="moeda")+(Inputs!$G$5:$G$120="acoes"))*Inputs!$B$1+((Inputs!$G$5:$G$120&lt;&gt;"moeda")*(Inputs!$G$5:$G$120&lt;&gt;"acoes")))*INDEX(Inputs!$K$5:$AJ$120,0,MATCH(I$2,Inputs!$K$4:$AJ$4,0)))))</f>
        <v>0</v>
      </c>
      <c r="J36" s="267">
        <f>IF(ISNA(MATCH(J$2,Inputs!$K$4:$AJ$4,0)),NA(),IF(SUMPRODUCT((Inputs!$A$5:$A$120=$B36)*ISNUMBER(INDEX(Inputs!$K$5:$AJ$120,0,MATCH(J$2,Inputs!$K$4:$AJ$4,0))))+SUMPRODUCT((Inputs!$C$5:$C$120=$B36)*ISNUMBER(INDEX(Inputs!$K$5:$AJ$120,0,MATCH(J$2,Inputs!$K$4:$AJ$4,0))))+SUMPRODUCT((Inputs!$E$5:$E$120=$B36)*ISNUMBER(INDEX(Inputs!$K$5:$AJ$120,0,MATCH(J$2,Inputs!$K$4:$AJ$4,0))))=0,NA(),SUMPRODUCT((Inputs!$A$5:$A$120=$B36)*Inputs!$B$5:$B$120*(((Inputs!$G$5:$G$120="moeda")+(Inputs!$G$5:$G$120="acoes"))*Inputs!$B$1+((Inputs!$G$5:$G$120&lt;&gt;"moeda")*(Inputs!$G$5:$G$120&lt;&gt;"acoes")))*INDEX(Inputs!$K$5:$AJ$120,0,MATCH(J$2,Inputs!$K$4:$AJ$4,0)))+SUMPRODUCT((Inputs!$C$5:$C$120=$B36)*Inputs!$D$5:$D$120*(((Inputs!$G$5:$G$120="moeda")+(Inputs!$G$5:$G$120="acoes"))*Inputs!$B$1+((Inputs!$G$5:$G$120&lt;&gt;"moeda")*(Inputs!$G$5:$G$120&lt;&gt;"acoes")))*INDEX(Inputs!$K$5:$AJ$120,0,MATCH(J$2,Inputs!$K$4:$AJ$4,0)))+SUMPRODUCT((Inputs!$E$5:$E$120=$B36)*Inputs!$F$5:$F$120*(((Inputs!$G$5:$G$120="moeda")+(Inputs!$G$5:$G$120="acoes"))*Inputs!$B$1+((Inputs!$G$5:$G$120&lt;&gt;"moeda")*(Inputs!$G$5:$G$120&lt;&gt;"acoes")))*INDEX(Inputs!$K$5:$AJ$120,0,MATCH(J$2,Inputs!$K$4:$AJ$4,0)))))</f>
        <v>0</v>
      </c>
      <c r="K36" s="267">
        <f>IF(ISNA(MATCH(K$2,Inputs!$K$4:$AJ$4,0)),NA(),IF(SUMPRODUCT((Inputs!$A$5:$A$120=$B36)*ISNUMBER(INDEX(Inputs!$K$5:$AJ$120,0,MATCH(K$2,Inputs!$K$4:$AJ$4,0))))+SUMPRODUCT((Inputs!$C$5:$C$120=$B36)*ISNUMBER(INDEX(Inputs!$K$5:$AJ$120,0,MATCH(K$2,Inputs!$K$4:$AJ$4,0))))+SUMPRODUCT((Inputs!$E$5:$E$120=$B36)*ISNUMBER(INDEX(Inputs!$K$5:$AJ$120,0,MATCH(K$2,Inputs!$K$4:$AJ$4,0))))=0,NA(),SUMPRODUCT((Inputs!$A$5:$A$120=$B36)*Inputs!$B$5:$B$120*(((Inputs!$G$5:$G$120="moeda")+(Inputs!$G$5:$G$120="acoes"))*Inputs!$B$1+((Inputs!$G$5:$G$120&lt;&gt;"moeda")*(Inputs!$G$5:$G$120&lt;&gt;"acoes")))*INDEX(Inputs!$K$5:$AJ$120,0,MATCH(K$2,Inputs!$K$4:$AJ$4,0)))+SUMPRODUCT((Inputs!$C$5:$C$120=$B36)*Inputs!$D$5:$D$120*(((Inputs!$G$5:$G$120="moeda")+(Inputs!$G$5:$G$120="acoes"))*Inputs!$B$1+((Inputs!$G$5:$G$120&lt;&gt;"moeda")*(Inputs!$G$5:$G$120&lt;&gt;"acoes")))*INDEX(Inputs!$K$5:$AJ$120,0,MATCH(K$2,Inputs!$K$4:$AJ$4,0)))+SUMPRODUCT((Inputs!$E$5:$E$120=$B36)*Inputs!$F$5:$F$120*(((Inputs!$G$5:$G$120="moeda")+(Inputs!$G$5:$G$120="acoes"))*Inputs!$B$1+((Inputs!$G$5:$G$120&lt;&gt;"moeda")*(Inputs!$G$5:$G$120&lt;&gt;"acoes")))*INDEX(Inputs!$K$5:$AJ$120,0,MATCH(K$2,Inputs!$K$4:$AJ$4,0)))))</f>
        <v>0</v>
      </c>
      <c r="L36" s="267">
        <f>IF(ISNA(MATCH(L$2,Inputs!$K$4:$AJ$4,0)),NA(),IF(SUMPRODUCT((Inputs!$A$5:$A$120=$B36)*ISNUMBER(INDEX(Inputs!$K$5:$AJ$120,0,MATCH(L$2,Inputs!$K$4:$AJ$4,0))))+SUMPRODUCT((Inputs!$C$5:$C$120=$B36)*ISNUMBER(INDEX(Inputs!$K$5:$AJ$120,0,MATCH(L$2,Inputs!$K$4:$AJ$4,0))))+SUMPRODUCT((Inputs!$E$5:$E$120=$B36)*ISNUMBER(INDEX(Inputs!$K$5:$AJ$120,0,MATCH(L$2,Inputs!$K$4:$AJ$4,0))))=0,NA(),SUMPRODUCT((Inputs!$A$5:$A$120=$B36)*Inputs!$B$5:$B$120*(((Inputs!$G$5:$G$120="moeda")+(Inputs!$G$5:$G$120="acoes"))*Inputs!$B$1+((Inputs!$G$5:$G$120&lt;&gt;"moeda")*(Inputs!$G$5:$G$120&lt;&gt;"acoes")))*INDEX(Inputs!$K$5:$AJ$120,0,MATCH(L$2,Inputs!$K$4:$AJ$4,0)))+SUMPRODUCT((Inputs!$C$5:$C$120=$B36)*Inputs!$D$5:$D$120*(((Inputs!$G$5:$G$120="moeda")+(Inputs!$G$5:$G$120="acoes"))*Inputs!$B$1+((Inputs!$G$5:$G$120&lt;&gt;"moeda")*(Inputs!$G$5:$G$120&lt;&gt;"acoes")))*INDEX(Inputs!$K$5:$AJ$120,0,MATCH(L$2,Inputs!$K$4:$AJ$4,0)))+SUMPRODUCT((Inputs!$E$5:$E$120=$B36)*Inputs!$F$5:$F$120*(((Inputs!$G$5:$G$120="moeda")+(Inputs!$G$5:$G$120="acoes"))*Inputs!$B$1+((Inputs!$G$5:$G$120&lt;&gt;"moeda")*(Inputs!$G$5:$G$120&lt;&gt;"acoes")))*INDEX(Inputs!$K$5:$AJ$120,0,MATCH(L$2,Inputs!$K$4:$AJ$4,0)))))</f>
        <v>0</v>
      </c>
      <c r="M36" s="268">
        <f>L36</f>
        <v>0</v>
      </c>
      <c r="N36" s="267">
        <f>IF(ISNA(MATCH(N$2,Inputs!$K$4:$AJ$4,0)),NA(),IF(SUMPRODUCT((Inputs!$A$5:$A$120=$B36)*ISNUMBER(INDEX(Inputs!$K$5:$AJ$120,0,MATCH(N$2,Inputs!$K$4:$AJ$4,0))))+SUMPRODUCT((Inputs!$C$5:$C$120=$B36)*ISNUMBER(INDEX(Inputs!$K$5:$AJ$120,0,MATCH(N$2,Inputs!$K$4:$AJ$4,0))))+SUMPRODUCT((Inputs!$E$5:$E$120=$B36)*ISNUMBER(INDEX(Inputs!$K$5:$AJ$120,0,MATCH(N$2,Inputs!$K$4:$AJ$4,0))))=0,NA(),SUMPRODUCT((Inputs!$A$5:$A$120=$B36)*Inputs!$B$5:$B$120*(((Inputs!$G$5:$G$120="moeda")+(Inputs!$G$5:$G$120="acoes"))*Inputs!$B$1+((Inputs!$G$5:$G$120&lt;&gt;"moeda")*(Inputs!$G$5:$G$120&lt;&gt;"acoes")))*INDEX(Inputs!$K$5:$AJ$120,0,MATCH(N$2,Inputs!$K$4:$AJ$4,0)))+SUMPRODUCT((Inputs!$C$5:$C$120=$B36)*Inputs!$D$5:$D$120*(((Inputs!$G$5:$G$120="moeda")+(Inputs!$G$5:$G$120="acoes"))*Inputs!$B$1+((Inputs!$G$5:$G$120&lt;&gt;"moeda")*(Inputs!$G$5:$G$120&lt;&gt;"acoes")))*INDEX(Inputs!$K$5:$AJ$120,0,MATCH(N$2,Inputs!$K$4:$AJ$4,0)))+SUMPRODUCT((Inputs!$E$5:$E$120=$B36)*Inputs!$F$5:$F$120*(((Inputs!$G$5:$G$120="moeda")+(Inputs!$G$5:$G$120="acoes"))*Inputs!$B$1+((Inputs!$G$5:$G$120&lt;&gt;"moeda")*(Inputs!$G$5:$G$120&lt;&gt;"acoes")))*INDEX(Inputs!$K$5:$AJ$120,0,MATCH(N$2,Inputs!$K$4:$AJ$4,0)))))</f>
        <v>0</v>
      </c>
      <c r="O36" s="267">
        <f>IF(ISNA(MATCH(O$2,Inputs!$K$4:$AJ$4,0)),NA(),IF(SUMPRODUCT((Inputs!$A$5:$A$120=$B36)*ISNUMBER(INDEX(Inputs!$K$5:$AJ$120,0,MATCH(O$2,Inputs!$K$4:$AJ$4,0))))+SUMPRODUCT((Inputs!$C$5:$C$120=$B36)*ISNUMBER(INDEX(Inputs!$K$5:$AJ$120,0,MATCH(O$2,Inputs!$K$4:$AJ$4,0))))+SUMPRODUCT((Inputs!$E$5:$E$120=$B36)*ISNUMBER(INDEX(Inputs!$K$5:$AJ$120,0,MATCH(O$2,Inputs!$K$4:$AJ$4,0))))=0,NA(),SUMPRODUCT((Inputs!$A$5:$A$120=$B36)*Inputs!$B$5:$B$120*(((Inputs!$G$5:$G$120="moeda")+(Inputs!$G$5:$G$120="acoes"))*Inputs!$B$1+((Inputs!$G$5:$G$120&lt;&gt;"moeda")*(Inputs!$G$5:$G$120&lt;&gt;"acoes")))*INDEX(Inputs!$K$5:$AJ$120,0,MATCH(O$2,Inputs!$K$4:$AJ$4,0)))+SUMPRODUCT((Inputs!$C$5:$C$120=$B36)*Inputs!$D$5:$D$120*(((Inputs!$G$5:$G$120="moeda")+(Inputs!$G$5:$G$120="acoes"))*Inputs!$B$1+((Inputs!$G$5:$G$120&lt;&gt;"moeda")*(Inputs!$G$5:$G$120&lt;&gt;"acoes")))*INDEX(Inputs!$K$5:$AJ$120,0,MATCH(O$2,Inputs!$K$4:$AJ$4,0)))+SUMPRODUCT((Inputs!$E$5:$E$120=$B36)*Inputs!$F$5:$F$120*(((Inputs!$G$5:$G$120="moeda")+(Inputs!$G$5:$G$120="acoes"))*Inputs!$B$1+((Inputs!$G$5:$G$120&lt;&gt;"moeda")*(Inputs!$G$5:$G$120&lt;&gt;"acoes")))*INDEX(Inputs!$K$5:$AJ$120,0,MATCH(O$2,Inputs!$K$4:$AJ$4,0)))))</f>
        <v>0</v>
      </c>
      <c r="P36" s="267">
        <f>IF(ISNA(MATCH(P$2,Inputs!$K$4:$AJ$4,0)),NA(),IF(SUMPRODUCT((Inputs!$A$5:$A$120=$B36)*ISNUMBER(INDEX(Inputs!$K$5:$AJ$120,0,MATCH(P$2,Inputs!$K$4:$AJ$4,0))))+SUMPRODUCT((Inputs!$C$5:$C$120=$B36)*ISNUMBER(INDEX(Inputs!$K$5:$AJ$120,0,MATCH(P$2,Inputs!$K$4:$AJ$4,0))))+SUMPRODUCT((Inputs!$E$5:$E$120=$B36)*ISNUMBER(INDEX(Inputs!$K$5:$AJ$120,0,MATCH(P$2,Inputs!$K$4:$AJ$4,0))))=0,NA(),SUMPRODUCT((Inputs!$A$5:$A$120=$B36)*Inputs!$B$5:$B$120*(((Inputs!$G$5:$G$120="moeda")+(Inputs!$G$5:$G$120="acoes"))*Inputs!$B$1+((Inputs!$G$5:$G$120&lt;&gt;"moeda")*(Inputs!$G$5:$G$120&lt;&gt;"acoes")))*INDEX(Inputs!$K$5:$AJ$120,0,MATCH(P$2,Inputs!$K$4:$AJ$4,0)))+SUMPRODUCT((Inputs!$C$5:$C$120=$B36)*Inputs!$D$5:$D$120*(((Inputs!$G$5:$G$120="moeda")+(Inputs!$G$5:$G$120="acoes"))*Inputs!$B$1+((Inputs!$G$5:$G$120&lt;&gt;"moeda")*(Inputs!$G$5:$G$120&lt;&gt;"acoes")))*INDEX(Inputs!$K$5:$AJ$120,0,MATCH(P$2,Inputs!$K$4:$AJ$4,0)))+SUMPRODUCT((Inputs!$E$5:$E$120=$B36)*Inputs!$F$5:$F$120*(((Inputs!$G$5:$G$120="moeda")+(Inputs!$G$5:$G$120="acoes"))*Inputs!$B$1+((Inputs!$G$5:$G$120&lt;&gt;"moeda")*(Inputs!$G$5:$G$120&lt;&gt;"acoes")))*INDEX(Inputs!$K$5:$AJ$120,0,MATCH(P$2,Inputs!$K$4:$AJ$4,0)))))</f>
        <v>0</v>
      </c>
      <c r="Q36" s="267">
        <f>IF(ISNA(MATCH(Q$2,Inputs!$K$4:$AJ$4,0)),NA(),IF(SUMPRODUCT((Inputs!$A$5:$A$120=$B36)*ISNUMBER(INDEX(Inputs!$K$5:$AJ$120,0,MATCH(Q$2,Inputs!$K$4:$AJ$4,0))))+SUMPRODUCT((Inputs!$C$5:$C$120=$B36)*ISNUMBER(INDEX(Inputs!$K$5:$AJ$120,0,MATCH(Q$2,Inputs!$K$4:$AJ$4,0))))+SUMPRODUCT((Inputs!$E$5:$E$120=$B36)*ISNUMBER(INDEX(Inputs!$K$5:$AJ$120,0,MATCH(Q$2,Inputs!$K$4:$AJ$4,0))))=0,NA(),SUMPRODUCT((Inputs!$A$5:$A$120=$B36)*Inputs!$B$5:$B$120*(((Inputs!$G$5:$G$120="moeda")+(Inputs!$G$5:$G$120="acoes"))*Inputs!$B$1+((Inputs!$G$5:$G$120&lt;&gt;"moeda")*(Inputs!$G$5:$G$120&lt;&gt;"acoes")))*INDEX(Inputs!$K$5:$AJ$120,0,MATCH(Q$2,Inputs!$K$4:$AJ$4,0)))+SUMPRODUCT((Inputs!$C$5:$C$120=$B36)*Inputs!$D$5:$D$120*(((Inputs!$G$5:$G$120="moeda")+(Inputs!$G$5:$G$120="acoes"))*Inputs!$B$1+((Inputs!$G$5:$G$120&lt;&gt;"moeda")*(Inputs!$G$5:$G$120&lt;&gt;"acoes")))*INDEX(Inputs!$K$5:$AJ$120,0,MATCH(Q$2,Inputs!$K$4:$AJ$4,0)))+SUMPRODUCT((Inputs!$E$5:$E$120=$B36)*Inputs!$F$5:$F$120*(((Inputs!$G$5:$G$120="moeda")+(Inputs!$G$5:$G$120="acoes"))*Inputs!$B$1+((Inputs!$G$5:$G$120&lt;&gt;"moeda")*(Inputs!$G$5:$G$120&lt;&gt;"acoes")))*INDEX(Inputs!$K$5:$AJ$120,0,MATCH(Q$2,Inputs!$K$4:$AJ$4,0)))))</f>
        <v>0</v>
      </c>
      <c r="R36" s="268">
        <f>Q36</f>
        <v>0</v>
      </c>
      <c r="S36" s="267">
        <f>IF(ISNA(MATCH(S$2,Inputs!$K$4:$AJ$4,0)),NA(),IF(SUMPRODUCT((Inputs!$A$5:$A$120=$B36)*ISNUMBER(INDEX(Inputs!$K$5:$AJ$120,0,MATCH(S$2,Inputs!$K$4:$AJ$4,0))))+SUMPRODUCT((Inputs!$C$5:$C$120=$B36)*ISNUMBER(INDEX(Inputs!$K$5:$AJ$120,0,MATCH(S$2,Inputs!$K$4:$AJ$4,0))))+SUMPRODUCT((Inputs!$E$5:$E$120=$B36)*ISNUMBER(INDEX(Inputs!$K$5:$AJ$120,0,MATCH(S$2,Inputs!$K$4:$AJ$4,0))))=0,NA(),SUMPRODUCT((Inputs!$A$5:$A$120=$B36)*Inputs!$B$5:$B$120*(((Inputs!$G$5:$G$120="moeda")+(Inputs!$G$5:$G$120="acoes"))*Inputs!$B$1+((Inputs!$G$5:$G$120&lt;&gt;"moeda")*(Inputs!$G$5:$G$120&lt;&gt;"acoes")))*INDEX(Inputs!$K$5:$AJ$120,0,MATCH(S$2,Inputs!$K$4:$AJ$4,0)))+SUMPRODUCT((Inputs!$C$5:$C$120=$B36)*Inputs!$D$5:$D$120*(((Inputs!$G$5:$G$120="moeda")+(Inputs!$G$5:$G$120="acoes"))*Inputs!$B$1+((Inputs!$G$5:$G$120&lt;&gt;"moeda")*(Inputs!$G$5:$G$120&lt;&gt;"acoes")))*INDEX(Inputs!$K$5:$AJ$120,0,MATCH(S$2,Inputs!$K$4:$AJ$4,0)))+SUMPRODUCT((Inputs!$E$5:$E$120=$B36)*Inputs!$F$5:$F$120*(((Inputs!$G$5:$G$120="moeda")+(Inputs!$G$5:$G$120="acoes"))*Inputs!$B$1+((Inputs!$G$5:$G$120&lt;&gt;"moeda")*(Inputs!$G$5:$G$120&lt;&gt;"acoes")))*INDEX(Inputs!$K$5:$AJ$120,0,MATCH(S$2,Inputs!$K$4:$AJ$4,0)))))</f>
        <v>0</v>
      </c>
      <c r="T36" s="267">
        <f>IF(ISNA(MATCH(T$2,Inputs!$K$4:$AJ$4,0)),NA(),IF(SUMPRODUCT((Inputs!$A$5:$A$120=$B36)*ISNUMBER(INDEX(Inputs!$K$5:$AJ$120,0,MATCH(T$2,Inputs!$K$4:$AJ$4,0))))+SUMPRODUCT((Inputs!$C$5:$C$120=$B36)*ISNUMBER(INDEX(Inputs!$K$5:$AJ$120,0,MATCH(T$2,Inputs!$K$4:$AJ$4,0))))+SUMPRODUCT((Inputs!$E$5:$E$120=$B36)*ISNUMBER(INDEX(Inputs!$K$5:$AJ$120,0,MATCH(T$2,Inputs!$K$4:$AJ$4,0))))=0,NA(),SUMPRODUCT((Inputs!$A$5:$A$120=$B36)*Inputs!$B$5:$B$120*(((Inputs!$G$5:$G$120="moeda")+(Inputs!$G$5:$G$120="acoes"))*Inputs!$B$1+((Inputs!$G$5:$G$120&lt;&gt;"moeda")*(Inputs!$G$5:$G$120&lt;&gt;"acoes")))*INDEX(Inputs!$K$5:$AJ$120,0,MATCH(T$2,Inputs!$K$4:$AJ$4,0)))+SUMPRODUCT((Inputs!$C$5:$C$120=$B36)*Inputs!$D$5:$D$120*(((Inputs!$G$5:$G$120="moeda")+(Inputs!$G$5:$G$120="acoes"))*Inputs!$B$1+((Inputs!$G$5:$G$120&lt;&gt;"moeda")*(Inputs!$G$5:$G$120&lt;&gt;"acoes")))*INDEX(Inputs!$K$5:$AJ$120,0,MATCH(T$2,Inputs!$K$4:$AJ$4,0)))+SUMPRODUCT((Inputs!$E$5:$E$120=$B36)*Inputs!$F$5:$F$120*(((Inputs!$G$5:$G$120="moeda")+(Inputs!$G$5:$G$120="acoes"))*Inputs!$B$1+((Inputs!$G$5:$G$120&lt;&gt;"moeda")*(Inputs!$G$5:$G$120&lt;&gt;"acoes")))*INDEX(Inputs!$K$5:$AJ$120,0,MATCH(T$2,Inputs!$K$4:$AJ$4,0)))))</f>
        <v>0</v>
      </c>
      <c r="U36" s="267">
        <f>IF(ISNA(MATCH(U$2,Inputs!$K$4:$AJ$4,0)),NA(),IF(SUMPRODUCT((Inputs!$A$5:$A$120=$B36)*ISNUMBER(INDEX(Inputs!$K$5:$AJ$120,0,MATCH(U$2,Inputs!$K$4:$AJ$4,0))))+SUMPRODUCT((Inputs!$C$5:$C$120=$B36)*ISNUMBER(INDEX(Inputs!$K$5:$AJ$120,0,MATCH(U$2,Inputs!$K$4:$AJ$4,0))))+SUMPRODUCT((Inputs!$E$5:$E$120=$B36)*ISNUMBER(INDEX(Inputs!$K$5:$AJ$120,0,MATCH(U$2,Inputs!$K$4:$AJ$4,0))))=0,NA(),SUMPRODUCT((Inputs!$A$5:$A$120=$B36)*Inputs!$B$5:$B$120*(((Inputs!$G$5:$G$120="moeda")+(Inputs!$G$5:$G$120="acoes"))*Inputs!$B$1+((Inputs!$G$5:$G$120&lt;&gt;"moeda")*(Inputs!$G$5:$G$120&lt;&gt;"acoes")))*INDEX(Inputs!$K$5:$AJ$120,0,MATCH(U$2,Inputs!$K$4:$AJ$4,0)))+SUMPRODUCT((Inputs!$C$5:$C$120=$B36)*Inputs!$D$5:$D$120*(((Inputs!$G$5:$G$120="moeda")+(Inputs!$G$5:$G$120="acoes"))*Inputs!$B$1+((Inputs!$G$5:$G$120&lt;&gt;"moeda")*(Inputs!$G$5:$G$120&lt;&gt;"acoes")))*INDEX(Inputs!$K$5:$AJ$120,0,MATCH(U$2,Inputs!$K$4:$AJ$4,0)))+SUMPRODUCT((Inputs!$E$5:$E$120=$B36)*Inputs!$F$5:$F$120*(((Inputs!$G$5:$G$120="moeda")+(Inputs!$G$5:$G$120="acoes"))*Inputs!$B$1+((Inputs!$G$5:$G$120&lt;&gt;"moeda")*(Inputs!$G$5:$G$120&lt;&gt;"acoes")))*INDEX(Inputs!$K$5:$AJ$120,0,MATCH(U$2,Inputs!$K$4:$AJ$4,0)))))</f>
        <v>0</v>
      </c>
      <c r="V36" s="267">
        <f>IF(ISNA(MATCH(V$2,Inputs!$K$4:$AJ$4,0)),NA(),IF(SUMPRODUCT((Inputs!$A$5:$A$120=$B36)*ISNUMBER(INDEX(Inputs!$K$5:$AJ$120,0,MATCH(V$2,Inputs!$K$4:$AJ$4,0))))+SUMPRODUCT((Inputs!$C$5:$C$120=$B36)*ISNUMBER(INDEX(Inputs!$K$5:$AJ$120,0,MATCH(V$2,Inputs!$K$4:$AJ$4,0))))+SUMPRODUCT((Inputs!$E$5:$E$120=$B36)*ISNUMBER(INDEX(Inputs!$K$5:$AJ$120,0,MATCH(V$2,Inputs!$K$4:$AJ$4,0))))=0,NA(),SUMPRODUCT((Inputs!$A$5:$A$120=$B36)*Inputs!$B$5:$B$120*(((Inputs!$G$5:$G$120="moeda")+(Inputs!$G$5:$G$120="acoes"))*Inputs!$B$1+((Inputs!$G$5:$G$120&lt;&gt;"moeda")*(Inputs!$G$5:$G$120&lt;&gt;"acoes")))*INDEX(Inputs!$K$5:$AJ$120,0,MATCH(V$2,Inputs!$K$4:$AJ$4,0)))+SUMPRODUCT((Inputs!$C$5:$C$120=$B36)*Inputs!$D$5:$D$120*(((Inputs!$G$5:$G$120="moeda")+(Inputs!$G$5:$G$120="acoes"))*Inputs!$B$1+((Inputs!$G$5:$G$120&lt;&gt;"moeda")*(Inputs!$G$5:$G$120&lt;&gt;"acoes")))*INDEX(Inputs!$K$5:$AJ$120,0,MATCH(V$2,Inputs!$K$4:$AJ$4,0)))+SUMPRODUCT((Inputs!$E$5:$E$120=$B36)*Inputs!$F$5:$F$120*(((Inputs!$G$5:$G$120="moeda")+(Inputs!$G$5:$G$120="acoes"))*Inputs!$B$1+((Inputs!$G$5:$G$120&lt;&gt;"moeda")*(Inputs!$G$5:$G$120&lt;&gt;"acoes")))*INDEX(Inputs!$K$5:$AJ$120,0,MATCH(V$2,Inputs!$K$4:$AJ$4,0)))))</f>
        <v>0</v>
      </c>
      <c r="W36" s="268">
        <f>V36</f>
        <v>0</v>
      </c>
      <c r="X36" s="267">
        <f>IF(ISNA(MATCH(X$2,Inputs!$K$4:$AJ$4,0)),NA(),IF(SUMPRODUCT((Inputs!$A$5:$A$120=$B36)*ISNUMBER(INDEX(Inputs!$K$5:$AJ$120,0,MATCH(X$2,Inputs!$K$4:$AJ$4,0))))+SUMPRODUCT((Inputs!$C$5:$C$120=$B36)*ISNUMBER(INDEX(Inputs!$K$5:$AJ$120,0,MATCH(X$2,Inputs!$K$4:$AJ$4,0))))+SUMPRODUCT((Inputs!$E$5:$E$120=$B36)*ISNUMBER(INDEX(Inputs!$K$5:$AJ$120,0,MATCH(X$2,Inputs!$K$4:$AJ$4,0))))=0,NA(),SUMPRODUCT((Inputs!$A$5:$A$120=$B36)*Inputs!$B$5:$B$120*(((Inputs!$G$5:$G$120="moeda")+(Inputs!$G$5:$G$120="acoes"))*Inputs!$B$1+((Inputs!$G$5:$G$120&lt;&gt;"moeda")*(Inputs!$G$5:$G$120&lt;&gt;"acoes")))*INDEX(Inputs!$K$5:$AJ$120,0,MATCH(X$2,Inputs!$K$4:$AJ$4,0)))+SUMPRODUCT((Inputs!$C$5:$C$120=$B36)*Inputs!$D$5:$D$120*(((Inputs!$G$5:$G$120="moeda")+(Inputs!$G$5:$G$120="acoes"))*Inputs!$B$1+((Inputs!$G$5:$G$120&lt;&gt;"moeda")*(Inputs!$G$5:$G$120&lt;&gt;"acoes")))*INDEX(Inputs!$K$5:$AJ$120,0,MATCH(X$2,Inputs!$K$4:$AJ$4,0)))+SUMPRODUCT((Inputs!$E$5:$E$120=$B36)*Inputs!$F$5:$F$120*(((Inputs!$G$5:$G$120="moeda")+(Inputs!$G$5:$G$120="acoes"))*Inputs!$B$1+((Inputs!$G$5:$G$120&lt;&gt;"moeda")*(Inputs!$G$5:$G$120&lt;&gt;"acoes")))*INDEX(Inputs!$K$5:$AJ$120,0,MATCH(X$2,Inputs!$K$4:$AJ$4,0)))))</f>
        <v>0</v>
      </c>
      <c r="Y36" s="267">
        <f>IF(ISNA(MATCH(Y$2,Inputs!$K$4:$AJ$4,0)),NA(),IF(SUMPRODUCT((Inputs!$A$5:$A$120=$B36)*ISNUMBER(INDEX(Inputs!$K$5:$AJ$120,0,MATCH(Y$2,Inputs!$K$4:$AJ$4,0))))+SUMPRODUCT((Inputs!$C$5:$C$120=$B36)*ISNUMBER(INDEX(Inputs!$K$5:$AJ$120,0,MATCH(Y$2,Inputs!$K$4:$AJ$4,0))))+SUMPRODUCT((Inputs!$E$5:$E$120=$B36)*ISNUMBER(INDEX(Inputs!$K$5:$AJ$120,0,MATCH(Y$2,Inputs!$K$4:$AJ$4,0))))=0,NA(),SUMPRODUCT((Inputs!$A$5:$A$120=$B36)*Inputs!$B$5:$B$120*(((Inputs!$G$5:$G$120="moeda")+(Inputs!$G$5:$G$120="acoes"))*Inputs!$B$1+((Inputs!$G$5:$G$120&lt;&gt;"moeda")*(Inputs!$G$5:$G$120&lt;&gt;"acoes")))*INDEX(Inputs!$K$5:$AJ$120,0,MATCH(Y$2,Inputs!$K$4:$AJ$4,0)))+SUMPRODUCT((Inputs!$C$5:$C$120=$B36)*Inputs!$D$5:$D$120*(((Inputs!$G$5:$G$120="moeda")+(Inputs!$G$5:$G$120="acoes"))*Inputs!$B$1+((Inputs!$G$5:$G$120&lt;&gt;"moeda")*(Inputs!$G$5:$G$120&lt;&gt;"acoes")))*INDEX(Inputs!$K$5:$AJ$120,0,MATCH(Y$2,Inputs!$K$4:$AJ$4,0)))+SUMPRODUCT((Inputs!$E$5:$E$120=$B36)*Inputs!$F$5:$F$120*(((Inputs!$G$5:$G$120="moeda")+(Inputs!$G$5:$G$120="acoes"))*Inputs!$B$1+((Inputs!$G$5:$G$120&lt;&gt;"moeda")*(Inputs!$G$5:$G$120&lt;&gt;"acoes")))*INDEX(Inputs!$K$5:$AJ$120,0,MATCH(Y$2,Inputs!$K$4:$AJ$4,0)))))</f>
        <v>0</v>
      </c>
      <c r="Z36" s="267">
        <f>IF(ISNA(MATCH(Z$2,Inputs!$K$4:$AJ$4,0)),NA(),IF(SUMPRODUCT((Inputs!$A$5:$A$120=$B36)*ISNUMBER(INDEX(Inputs!$K$5:$AJ$120,0,MATCH(Z$2,Inputs!$K$4:$AJ$4,0))))+SUMPRODUCT((Inputs!$C$5:$C$120=$B36)*ISNUMBER(INDEX(Inputs!$K$5:$AJ$120,0,MATCH(Z$2,Inputs!$K$4:$AJ$4,0))))+SUMPRODUCT((Inputs!$E$5:$E$120=$B36)*ISNUMBER(INDEX(Inputs!$K$5:$AJ$120,0,MATCH(Z$2,Inputs!$K$4:$AJ$4,0))))=0,NA(),SUMPRODUCT((Inputs!$A$5:$A$120=$B36)*Inputs!$B$5:$B$120*(((Inputs!$G$5:$G$120="moeda")+(Inputs!$G$5:$G$120="acoes"))*Inputs!$B$1+((Inputs!$G$5:$G$120&lt;&gt;"moeda")*(Inputs!$G$5:$G$120&lt;&gt;"acoes")))*INDEX(Inputs!$K$5:$AJ$120,0,MATCH(Z$2,Inputs!$K$4:$AJ$4,0)))+SUMPRODUCT((Inputs!$C$5:$C$120=$B36)*Inputs!$D$5:$D$120*(((Inputs!$G$5:$G$120="moeda")+(Inputs!$G$5:$G$120="acoes"))*Inputs!$B$1+((Inputs!$G$5:$G$120&lt;&gt;"moeda")*(Inputs!$G$5:$G$120&lt;&gt;"acoes")))*INDEX(Inputs!$K$5:$AJ$120,0,MATCH(Z$2,Inputs!$K$4:$AJ$4,0)))+SUMPRODUCT((Inputs!$E$5:$E$120=$B36)*Inputs!$F$5:$F$120*(((Inputs!$G$5:$G$120="moeda")+(Inputs!$G$5:$G$120="acoes"))*Inputs!$B$1+((Inputs!$G$5:$G$120&lt;&gt;"moeda")*(Inputs!$G$5:$G$120&lt;&gt;"acoes")))*INDEX(Inputs!$K$5:$AJ$120,0,MATCH(Z$2,Inputs!$K$4:$AJ$4,0)))))</f>
        <v>0</v>
      </c>
      <c r="AA36" s="267">
        <f>IF(ISNA(MATCH(AA$2,Inputs!$K$4:$AJ$4,0)),NA(),IF(SUMPRODUCT((Inputs!$A$5:$A$120=$B36)*ISNUMBER(INDEX(Inputs!$K$5:$AJ$120,0,MATCH(AA$2,Inputs!$K$4:$AJ$4,0))))+SUMPRODUCT((Inputs!$C$5:$C$120=$B36)*ISNUMBER(INDEX(Inputs!$K$5:$AJ$120,0,MATCH(AA$2,Inputs!$K$4:$AJ$4,0))))+SUMPRODUCT((Inputs!$E$5:$E$120=$B36)*ISNUMBER(INDEX(Inputs!$K$5:$AJ$120,0,MATCH(AA$2,Inputs!$K$4:$AJ$4,0))))=0,NA(),SUMPRODUCT((Inputs!$A$5:$A$120=$B36)*Inputs!$B$5:$B$120*(((Inputs!$G$5:$G$120="moeda")+(Inputs!$G$5:$G$120="acoes"))*Inputs!$B$1+((Inputs!$G$5:$G$120&lt;&gt;"moeda")*(Inputs!$G$5:$G$120&lt;&gt;"acoes")))*INDEX(Inputs!$K$5:$AJ$120,0,MATCH(AA$2,Inputs!$K$4:$AJ$4,0)))+SUMPRODUCT((Inputs!$C$5:$C$120=$B36)*Inputs!$D$5:$D$120*(((Inputs!$G$5:$G$120="moeda")+(Inputs!$G$5:$G$120="acoes"))*Inputs!$B$1+((Inputs!$G$5:$G$120&lt;&gt;"moeda")*(Inputs!$G$5:$G$120&lt;&gt;"acoes")))*INDEX(Inputs!$K$5:$AJ$120,0,MATCH(AA$2,Inputs!$K$4:$AJ$4,0)))+SUMPRODUCT((Inputs!$E$5:$E$120=$B36)*Inputs!$F$5:$F$120*(((Inputs!$G$5:$G$120="moeda")+(Inputs!$G$5:$G$120="acoes"))*Inputs!$B$1+((Inputs!$G$5:$G$120&lt;&gt;"moeda")*(Inputs!$G$5:$G$120&lt;&gt;"acoes")))*INDEX(Inputs!$K$5:$AJ$120,0,MATCH(AA$2,Inputs!$K$4:$AJ$4,0)))))</f>
        <v>1010</v>
      </c>
      <c r="AB36" s="268">
        <f>AA36</f>
        <v>1010</v>
      </c>
      <c r="AC36" s="267">
        <f>IF(ISNA(MATCH(AC$2,Inputs!$K$4:$AJ$4,0)),NA(),IF(SUMPRODUCT((Inputs!$A$5:$A$120=$B36)*ISNUMBER(INDEX(Inputs!$K$5:$AJ$120,0,MATCH(AC$2,Inputs!$K$4:$AJ$4,0))))+SUMPRODUCT((Inputs!$C$5:$C$120=$B36)*ISNUMBER(INDEX(Inputs!$K$5:$AJ$120,0,MATCH(AC$2,Inputs!$K$4:$AJ$4,0))))+SUMPRODUCT((Inputs!$E$5:$E$120=$B36)*ISNUMBER(INDEX(Inputs!$K$5:$AJ$120,0,MATCH(AC$2,Inputs!$K$4:$AJ$4,0))))=0,NA(),SUMPRODUCT((Inputs!$A$5:$A$120=$B36)*Inputs!$B$5:$B$120*(((Inputs!$G$5:$G$120="moeda")+(Inputs!$G$5:$G$120="acoes"))*Inputs!$B$1+((Inputs!$G$5:$G$120&lt;&gt;"moeda")*(Inputs!$G$5:$G$120&lt;&gt;"acoes")))*INDEX(Inputs!$K$5:$AJ$120,0,MATCH(AC$2,Inputs!$K$4:$AJ$4,0)))+SUMPRODUCT((Inputs!$C$5:$C$120=$B36)*Inputs!$D$5:$D$120*(((Inputs!$G$5:$G$120="moeda")+(Inputs!$G$5:$G$120="acoes"))*Inputs!$B$1+((Inputs!$G$5:$G$120&lt;&gt;"moeda")*(Inputs!$G$5:$G$120&lt;&gt;"acoes")))*INDEX(Inputs!$K$5:$AJ$120,0,MATCH(AC$2,Inputs!$K$4:$AJ$4,0)))+SUMPRODUCT((Inputs!$E$5:$E$120=$B36)*Inputs!$F$5:$F$120*(((Inputs!$G$5:$G$120="moeda")+(Inputs!$G$5:$G$120="acoes"))*Inputs!$B$1+((Inputs!$G$5:$G$120&lt;&gt;"moeda")*(Inputs!$G$5:$G$120&lt;&gt;"acoes")))*INDEX(Inputs!$K$5:$AJ$120,0,MATCH(AC$2,Inputs!$K$4:$AJ$4,0)))))</f>
        <v>987</v>
      </c>
      <c r="AD36" s="267">
        <f>IF(ISNA(MATCH(AD$2,Inputs!$K$4:$AJ$4,0)),NA(),IF(SUMPRODUCT((Inputs!$A$5:$A$120=$B36)*ISNUMBER(INDEX(Inputs!$K$5:$AJ$120,0,MATCH(AD$2,Inputs!$K$4:$AJ$4,0))))+SUMPRODUCT((Inputs!$C$5:$C$120=$B36)*ISNUMBER(INDEX(Inputs!$K$5:$AJ$120,0,MATCH(AD$2,Inputs!$K$4:$AJ$4,0))))+SUMPRODUCT((Inputs!$E$5:$E$120=$B36)*ISNUMBER(INDEX(Inputs!$K$5:$AJ$120,0,MATCH(AD$2,Inputs!$K$4:$AJ$4,0))))=0,NA(),SUMPRODUCT((Inputs!$A$5:$A$120=$B36)*Inputs!$B$5:$B$120*(((Inputs!$G$5:$G$120="moeda")+(Inputs!$G$5:$G$120="acoes"))*Inputs!$B$1+((Inputs!$G$5:$G$120&lt;&gt;"moeda")*(Inputs!$G$5:$G$120&lt;&gt;"acoes")))*INDEX(Inputs!$K$5:$AJ$120,0,MATCH(AD$2,Inputs!$K$4:$AJ$4,0)))+SUMPRODUCT((Inputs!$C$5:$C$120=$B36)*Inputs!$D$5:$D$120*(((Inputs!$G$5:$G$120="moeda")+(Inputs!$G$5:$G$120="acoes"))*Inputs!$B$1+((Inputs!$G$5:$G$120&lt;&gt;"moeda")*(Inputs!$G$5:$G$120&lt;&gt;"acoes")))*INDEX(Inputs!$K$5:$AJ$120,0,MATCH(AD$2,Inputs!$K$4:$AJ$4,0)))+SUMPRODUCT((Inputs!$E$5:$E$120=$B36)*Inputs!$F$5:$F$120*(((Inputs!$G$5:$G$120="moeda")+(Inputs!$G$5:$G$120="acoes"))*Inputs!$B$1+((Inputs!$G$5:$G$120&lt;&gt;"moeda")*(Inputs!$G$5:$G$120&lt;&gt;"acoes")))*INDEX(Inputs!$K$5:$AJ$120,0,MATCH(AD$2,Inputs!$K$4:$AJ$4,0)))))</f>
        <v>973</v>
      </c>
      <c r="AE36" s="267" t="e">
        <f>IF(ISNA(MATCH(AE$2,Inputs!$K$4:$AJ$4,0)),NA(),IF(SUMPRODUCT((Inputs!$A$5:$A$120=$B36)*ISNUMBER(INDEX(Inputs!$K$5:$AJ$120,0,MATCH(AE$2,Inputs!$K$4:$AJ$4,0))))+SUMPRODUCT((Inputs!$C$5:$C$120=$B36)*ISNUMBER(INDEX(Inputs!$K$5:$AJ$120,0,MATCH(AE$2,Inputs!$K$4:$AJ$4,0))))+SUMPRODUCT((Inputs!$E$5:$E$120=$B36)*ISNUMBER(INDEX(Inputs!$K$5:$AJ$120,0,MATCH(AE$2,Inputs!$K$4:$AJ$4,0))))=0,NA(),SUMPRODUCT((Inputs!$A$5:$A$120=$B36)*Inputs!$B$5:$B$120*(((Inputs!$G$5:$G$120="moeda")+(Inputs!$G$5:$G$120="acoes"))*Inputs!$B$1+((Inputs!$G$5:$G$120&lt;&gt;"moeda")*(Inputs!$G$5:$G$120&lt;&gt;"acoes")))*INDEX(Inputs!$K$5:$AJ$120,0,MATCH(AE$2,Inputs!$K$4:$AJ$4,0)))+SUMPRODUCT((Inputs!$C$5:$C$120=$B36)*Inputs!$D$5:$D$120*(((Inputs!$G$5:$G$120="moeda")+(Inputs!$G$5:$G$120="acoes"))*Inputs!$B$1+((Inputs!$G$5:$G$120&lt;&gt;"moeda")*(Inputs!$G$5:$G$120&lt;&gt;"acoes")))*INDEX(Inputs!$K$5:$AJ$120,0,MATCH(AE$2,Inputs!$K$4:$AJ$4,0)))+SUMPRODUCT((Inputs!$E$5:$E$120=$B36)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6" s="267" t="e">
        <f>IF(ISNA(MATCH(AF$2,Inputs!$K$4:$AJ$4,0)),NA(),IF(SUMPRODUCT((Inputs!$A$5:$A$120=$B36)*ISNUMBER(INDEX(Inputs!$K$5:$AJ$120,0,MATCH(AF$2,Inputs!$K$4:$AJ$4,0))))+SUMPRODUCT((Inputs!$C$5:$C$120=$B36)*ISNUMBER(INDEX(Inputs!$K$5:$AJ$120,0,MATCH(AF$2,Inputs!$K$4:$AJ$4,0))))+SUMPRODUCT((Inputs!$E$5:$E$120=$B36)*ISNUMBER(INDEX(Inputs!$K$5:$AJ$120,0,MATCH(AF$2,Inputs!$K$4:$AJ$4,0))))=0,NA(),SUMPRODUCT((Inputs!$A$5:$A$120=$B36)*Inputs!$B$5:$B$120*(((Inputs!$G$5:$G$120="moeda")+(Inputs!$G$5:$G$120="acoes"))*Inputs!$B$1+((Inputs!$G$5:$G$120&lt;&gt;"moeda")*(Inputs!$G$5:$G$120&lt;&gt;"acoes")))*INDEX(Inputs!$K$5:$AJ$120,0,MATCH(AF$2,Inputs!$K$4:$AJ$4,0)))+SUMPRODUCT((Inputs!$C$5:$C$120=$B36)*Inputs!$D$5:$D$120*(((Inputs!$G$5:$G$120="moeda")+(Inputs!$G$5:$G$120="acoes"))*Inputs!$B$1+((Inputs!$G$5:$G$120&lt;&gt;"moeda")*(Inputs!$G$5:$G$120&lt;&gt;"acoes")))*INDEX(Inputs!$K$5:$AJ$120,0,MATCH(AF$2,Inputs!$K$4:$AJ$4,0)))+SUMPRODUCT((Inputs!$E$5:$E$120=$B36)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6" s="268" t="e">
        <f>AF36</f>
        <v>#N/A</v>
      </c>
      <c r="AH36" s="267">
        <f>IF(ISNA(MATCH(AH$2,Inputs!$K$4:$AJ$4,0)),NA(),IF(SUMPRODUCT((Inputs!$A$5:$A$120=$B36)*ISNUMBER(INDEX(Inputs!$K$5:$AJ$120,0,MATCH(AH$2,Inputs!$K$4:$AJ$4,0))))+SUMPRODUCT((Inputs!$C$5:$C$120=$B36)*ISNUMBER(INDEX(Inputs!$K$5:$AJ$120,0,MATCH(AH$2,Inputs!$K$4:$AJ$4,0))))+SUMPRODUCT((Inputs!$E$5:$E$120=$B36)*ISNUMBER(INDEX(Inputs!$K$5:$AJ$120,0,MATCH(AH$2,Inputs!$K$4:$AJ$4,0))))=0,NA(),SUMPRODUCT((Inputs!$A$5:$A$120=$B36)*Inputs!$B$5:$B$120*(((Inputs!$G$5:$G$120="moeda")+(Inputs!$G$5:$G$120="acoes"))*Inputs!$B$1+((Inputs!$G$5:$G$120&lt;&gt;"moeda")*(Inputs!$G$5:$G$120&lt;&gt;"acoes")))*INDEX(Inputs!$K$5:$AJ$120,0,MATCH(AH$2,Inputs!$K$4:$AJ$4,0)))+SUMPRODUCT((Inputs!$C$5:$C$120=$B36)*Inputs!$D$5:$D$120*(((Inputs!$G$5:$G$120="moeda")+(Inputs!$G$5:$G$120="acoes"))*Inputs!$B$1+((Inputs!$G$5:$G$120&lt;&gt;"moeda")*(Inputs!$G$5:$G$120&lt;&gt;"acoes")))*INDEX(Inputs!$K$5:$AJ$120,0,MATCH(AH$2,Inputs!$K$4:$AJ$4,0)))+SUMPRODUCT((Inputs!$E$5:$E$120=$B36)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6" s="267">
        <f>IF(ISNA(MATCH(AI$2,Inputs!$K$4:$AJ$4,0)),NA(),IF(SUMPRODUCT((Inputs!$A$5:$A$120=$B36)*ISNUMBER(INDEX(Inputs!$K$5:$AJ$120,0,MATCH(AI$2,Inputs!$K$4:$AJ$4,0))))+SUMPRODUCT((Inputs!$C$5:$C$120=$B36)*ISNUMBER(INDEX(Inputs!$K$5:$AJ$120,0,MATCH(AI$2,Inputs!$K$4:$AJ$4,0))))+SUMPRODUCT((Inputs!$E$5:$E$120=$B36)*ISNUMBER(INDEX(Inputs!$K$5:$AJ$120,0,MATCH(AI$2,Inputs!$K$4:$AJ$4,0))))=0,NA(),SUMPRODUCT((Inputs!$A$5:$A$120=$B36)*Inputs!$B$5:$B$120*(((Inputs!$G$5:$G$120="moeda")+(Inputs!$G$5:$G$120="acoes"))*Inputs!$B$1+((Inputs!$G$5:$G$120&lt;&gt;"moeda")*(Inputs!$G$5:$G$120&lt;&gt;"acoes")))*INDEX(Inputs!$K$5:$AJ$120,0,MATCH(AI$2,Inputs!$K$4:$AJ$4,0)))+SUMPRODUCT((Inputs!$C$5:$C$120=$B36)*Inputs!$D$5:$D$120*(((Inputs!$G$5:$G$120="moeda")+(Inputs!$G$5:$G$120="acoes"))*Inputs!$B$1+((Inputs!$G$5:$G$120&lt;&gt;"moeda")*(Inputs!$G$5:$G$120&lt;&gt;"acoes")))*INDEX(Inputs!$K$5:$AJ$120,0,MATCH(AI$2,Inputs!$K$4:$AJ$4,0)))+SUMPRODUCT((Inputs!$E$5:$E$120=$B36)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6" s="267">
        <f>IF(ISNA(MATCH(AJ$2,Inputs!$K$4:$AJ$4,0)),NA(),IF(SUMPRODUCT((Inputs!$A$5:$A$120=$B36)*ISNUMBER(INDEX(Inputs!$K$5:$AJ$120,0,MATCH(AJ$2,Inputs!$K$4:$AJ$4,0))))+SUMPRODUCT((Inputs!$C$5:$C$120=$B36)*ISNUMBER(INDEX(Inputs!$K$5:$AJ$120,0,MATCH(AJ$2,Inputs!$K$4:$AJ$4,0))))+SUMPRODUCT((Inputs!$E$5:$E$120=$B36)*ISNUMBER(INDEX(Inputs!$K$5:$AJ$120,0,MATCH(AJ$2,Inputs!$K$4:$AJ$4,0))))=0,NA(),SUMPRODUCT((Inputs!$A$5:$A$120=$B36)*Inputs!$B$5:$B$120*(((Inputs!$G$5:$G$120="moeda")+(Inputs!$G$5:$G$120="acoes"))*Inputs!$B$1+((Inputs!$G$5:$G$120&lt;&gt;"moeda")*(Inputs!$G$5:$G$120&lt;&gt;"acoes")))*INDEX(Inputs!$K$5:$AJ$120,0,MATCH(AJ$2,Inputs!$K$4:$AJ$4,0)))+SUMPRODUCT((Inputs!$C$5:$C$120=$B36)*Inputs!$D$5:$D$120*(((Inputs!$G$5:$G$120="moeda")+(Inputs!$G$5:$G$120="acoes"))*Inputs!$B$1+((Inputs!$G$5:$G$120&lt;&gt;"moeda")*(Inputs!$G$5:$G$120&lt;&gt;"acoes")))*INDEX(Inputs!$K$5:$AJ$120,0,MATCH(AJ$2,Inputs!$K$4:$AJ$4,0)))+SUMPRODUCT((Inputs!$E$5:$E$120=$B36)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6" s="267">
        <f>IF(ISNA(MATCH(AK$2,Inputs!$K$4:$AJ$4,0)),NA(),IF(SUMPRODUCT((Inputs!$A$5:$A$120=$B36)*ISNUMBER(INDEX(Inputs!$K$5:$AJ$120,0,MATCH(AK$2,Inputs!$K$4:$AJ$4,0))))+SUMPRODUCT((Inputs!$C$5:$C$120=$B36)*ISNUMBER(INDEX(Inputs!$K$5:$AJ$120,0,MATCH(AK$2,Inputs!$K$4:$AJ$4,0))))+SUMPRODUCT((Inputs!$E$5:$E$120=$B36)*ISNUMBER(INDEX(Inputs!$K$5:$AJ$120,0,MATCH(AK$2,Inputs!$K$4:$AJ$4,0))))=0,NA(),SUMPRODUCT((Inputs!$A$5:$A$120=$B36)*Inputs!$B$5:$B$120*(((Inputs!$G$5:$G$120="moeda")+(Inputs!$G$5:$G$120="acoes"))*Inputs!$B$1+((Inputs!$G$5:$G$120&lt;&gt;"moeda")*(Inputs!$G$5:$G$120&lt;&gt;"acoes")))*INDEX(Inputs!$K$5:$AJ$120,0,MATCH(AK$2,Inputs!$K$4:$AJ$4,0)))+SUMPRODUCT((Inputs!$C$5:$C$120=$B36)*Inputs!$D$5:$D$120*(((Inputs!$G$5:$G$120="moeda")+(Inputs!$G$5:$G$120="acoes"))*Inputs!$B$1+((Inputs!$G$5:$G$120&lt;&gt;"moeda")*(Inputs!$G$5:$G$120&lt;&gt;"acoes")))*INDEX(Inputs!$K$5:$AJ$120,0,MATCH(AK$2,Inputs!$K$4:$AJ$4,0)))+SUMPRODUCT((Inputs!$E$5:$E$120=$B36)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6" s="268">
        <f>AK36</f>
        <v>0</v>
      </c>
    </row>
    <row r="37" ht="12.75" customHeight="1" s="255">
      <c r="B37" s="265" t="n">
        <v>32</v>
      </c>
      <c r="C37" s="270" t="inlineStr">
        <is>
          <t>Convertible debt</t>
        </is>
      </c>
      <c r="D37" s="267">
        <f>IF(ISNA(MATCH(D$2,Inputs!$K$4:$AJ$4,0)),NA(),IF(SUMPRODUCT((Inputs!$A$5:$A$120=$B37)*ISNUMBER(INDEX(Inputs!$K$5:$AJ$120,0,MATCH(D$2,Inputs!$K$4:$AJ$4,0))))+SUMPRODUCT((Inputs!$C$5:$C$120=$B37)*ISNUMBER(INDEX(Inputs!$K$5:$AJ$120,0,MATCH(D$2,Inputs!$K$4:$AJ$4,0))))+SUMPRODUCT((Inputs!$E$5:$E$120=$B37)*ISNUMBER(INDEX(Inputs!$K$5:$AJ$120,0,MATCH(D$2,Inputs!$K$4:$AJ$4,0))))=0,NA(),SUMPRODUCT((Inputs!$A$5:$A$120=$B37)*Inputs!$B$5:$B$120*(((Inputs!$G$5:$G$120="moeda")+(Inputs!$G$5:$G$120="acoes"))*Inputs!$B$1+((Inputs!$G$5:$G$120&lt;&gt;"moeda")*(Inputs!$G$5:$G$120&lt;&gt;"acoes")))*INDEX(Inputs!$K$5:$AJ$120,0,MATCH(D$2,Inputs!$K$4:$AJ$4,0)))+SUMPRODUCT((Inputs!$C$5:$C$120=$B37)*Inputs!$D$5:$D$120*(((Inputs!$G$5:$G$120="moeda")+(Inputs!$G$5:$G$120="acoes"))*Inputs!$B$1+((Inputs!$G$5:$G$120&lt;&gt;"moeda")*(Inputs!$G$5:$G$120&lt;&gt;"acoes")))*INDEX(Inputs!$K$5:$AJ$120,0,MATCH(D$2,Inputs!$K$4:$AJ$4,0)))+SUMPRODUCT((Inputs!$E$5:$E$120=$B37)*Inputs!$F$5:$F$120*(((Inputs!$G$5:$G$120="moeda")+(Inputs!$G$5:$G$120="acoes"))*Inputs!$B$1+((Inputs!$G$5:$G$120&lt;&gt;"moeda")*(Inputs!$G$5:$G$120&lt;&gt;"acoes")))*INDEX(Inputs!$K$5:$AJ$120,0,MATCH(D$2,Inputs!$K$4:$AJ$4,0)))))</f>
        <v>0</v>
      </c>
      <c r="E37" s="267">
        <f>IF(ISNA(MATCH(E$2,Inputs!$K$4:$AJ$4,0)),NA(),IF(SUMPRODUCT((Inputs!$A$5:$A$120=$B37)*ISNUMBER(INDEX(Inputs!$K$5:$AJ$120,0,MATCH(E$2,Inputs!$K$4:$AJ$4,0))))+SUMPRODUCT((Inputs!$C$5:$C$120=$B37)*ISNUMBER(INDEX(Inputs!$K$5:$AJ$120,0,MATCH(E$2,Inputs!$K$4:$AJ$4,0))))+SUMPRODUCT((Inputs!$E$5:$E$120=$B37)*ISNUMBER(INDEX(Inputs!$K$5:$AJ$120,0,MATCH(E$2,Inputs!$K$4:$AJ$4,0))))=0,NA(),SUMPRODUCT((Inputs!$A$5:$A$120=$B37)*Inputs!$B$5:$B$120*(((Inputs!$G$5:$G$120="moeda")+(Inputs!$G$5:$G$120="acoes"))*Inputs!$B$1+((Inputs!$G$5:$G$120&lt;&gt;"moeda")*(Inputs!$G$5:$G$120&lt;&gt;"acoes")))*INDEX(Inputs!$K$5:$AJ$120,0,MATCH(E$2,Inputs!$K$4:$AJ$4,0)))+SUMPRODUCT((Inputs!$C$5:$C$120=$B37)*Inputs!$D$5:$D$120*(((Inputs!$G$5:$G$120="moeda")+(Inputs!$G$5:$G$120="acoes"))*Inputs!$B$1+((Inputs!$G$5:$G$120&lt;&gt;"moeda")*(Inputs!$G$5:$G$120&lt;&gt;"acoes")))*INDEX(Inputs!$K$5:$AJ$120,0,MATCH(E$2,Inputs!$K$4:$AJ$4,0)))+SUMPRODUCT((Inputs!$E$5:$E$120=$B37)*Inputs!$F$5:$F$120*(((Inputs!$G$5:$G$120="moeda")+(Inputs!$G$5:$G$120="acoes"))*Inputs!$B$1+((Inputs!$G$5:$G$120&lt;&gt;"moeda")*(Inputs!$G$5:$G$120&lt;&gt;"acoes")))*INDEX(Inputs!$K$5:$AJ$120,0,MATCH(E$2,Inputs!$K$4:$AJ$4,0)))))</f>
        <v>0</v>
      </c>
      <c r="F37" s="267">
        <f>IF(ISNA(MATCH(F$2,Inputs!$K$4:$AJ$4,0)),NA(),IF(SUMPRODUCT((Inputs!$A$5:$A$120=$B37)*ISNUMBER(INDEX(Inputs!$K$5:$AJ$120,0,MATCH(F$2,Inputs!$K$4:$AJ$4,0))))+SUMPRODUCT((Inputs!$C$5:$C$120=$B37)*ISNUMBER(INDEX(Inputs!$K$5:$AJ$120,0,MATCH(F$2,Inputs!$K$4:$AJ$4,0))))+SUMPRODUCT((Inputs!$E$5:$E$120=$B37)*ISNUMBER(INDEX(Inputs!$K$5:$AJ$120,0,MATCH(F$2,Inputs!$K$4:$AJ$4,0))))=0,NA(),SUMPRODUCT((Inputs!$A$5:$A$120=$B37)*Inputs!$B$5:$B$120*(((Inputs!$G$5:$G$120="moeda")+(Inputs!$G$5:$G$120="acoes"))*Inputs!$B$1+((Inputs!$G$5:$G$120&lt;&gt;"moeda")*(Inputs!$G$5:$G$120&lt;&gt;"acoes")))*INDEX(Inputs!$K$5:$AJ$120,0,MATCH(F$2,Inputs!$K$4:$AJ$4,0)))+SUMPRODUCT((Inputs!$C$5:$C$120=$B37)*Inputs!$D$5:$D$120*(((Inputs!$G$5:$G$120="moeda")+(Inputs!$G$5:$G$120="acoes"))*Inputs!$B$1+((Inputs!$G$5:$G$120&lt;&gt;"moeda")*(Inputs!$G$5:$G$120&lt;&gt;"acoes")))*INDEX(Inputs!$K$5:$AJ$120,0,MATCH(F$2,Inputs!$K$4:$AJ$4,0)))+SUMPRODUCT((Inputs!$E$5:$E$120=$B37)*Inputs!$F$5:$F$120*(((Inputs!$G$5:$G$120="moeda")+(Inputs!$G$5:$G$120="acoes"))*Inputs!$B$1+((Inputs!$G$5:$G$120&lt;&gt;"moeda")*(Inputs!$G$5:$G$120&lt;&gt;"acoes")))*INDEX(Inputs!$K$5:$AJ$120,0,MATCH(F$2,Inputs!$K$4:$AJ$4,0)))))</f>
        <v>0</v>
      </c>
      <c r="G37" s="267">
        <f>IF(ISNA(MATCH(G$2,Inputs!$K$4:$AJ$4,0)),NA(),IF(SUMPRODUCT((Inputs!$A$5:$A$120=$B37)*ISNUMBER(INDEX(Inputs!$K$5:$AJ$120,0,MATCH(G$2,Inputs!$K$4:$AJ$4,0))))+SUMPRODUCT((Inputs!$C$5:$C$120=$B37)*ISNUMBER(INDEX(Inputs!$K$5:$AJ$120,0,MATCH(G$2,Inputs!$K$4:$AJ$4,0))))+SUMPRODUCT((Inputs!$E$5:$E$120=$B37)*ISNUMBER(INDEX(Inputs!$K$5:$AJ$120,0,MATCH(G$2,Inputs!$K$4:$AJ$4,0))))=0,NA(),SUMPRODUCT((Inputs!$A$5:$A$120=$B37)*Inputs!$B$5:$B$120*(((Inputs!$G$5:$G$120="moeda")+(Inputs!$G$5:$G$120="acoes"))*Inputs!$B$1+((Inputs!$G$5:$G$120&lt;&gt;"moeda")*(Inputs!$G$5:$G$120&lt;&gt;"acoes")))*INDEX(Inputs!$K$5:$AJ$120,0,MATCH(G$2,Inputs!$K$4:$AJ$4,0)))+SUMPRODUCT((Inputs!$C$5:$C$120=$B37)*Inputs!$D$5:$D$120*(((Inputs!$G$5:$G$120="moeda")+(Inputs!$G$5:$G$120="acoes"))*Inputs!$B$1+((Inputs!$G$5:$G$120&lt;&gt;"moeda")*(Inputs!$G$5:$G$120&lt;&gt;"acoes")))*INDEX(Inputs!$K$5:$AJ$120,0,MATCH(G$2,Inputs!$K$4:$AJ$4,0)))+SUMPRODUCT((Inputs!$E$5:$E$120=$B37)*Inputs!$F$5:$F$120*(((Inputs!$G$5:$G$120="moeda")+(Inputs!$G$5:$G$120="acoes"))*Inputs!$B$1+((Inputs!$G$5:$G$120&lt;&gt;"moeda")*(Inputs!$G$5:$G$120&lt;&gt;"acoes")))*INDEX(Inputs!$K$5:$AJ$120,0,MATCH(G$2,Inputs!$K$4:$AJ$4,0)))))</f>
        <v>0</v>
      </c>
      <c r="H37" s="268">
        <f>G37</f>
        <v>0</v>
      </c>
      <c r="I37" s="267">
        <f>IF(ISNA(MATCH(I$2,Inputs!$K$4:$AJ$4,0)),NA(),IF(SUMPRODUCT((Inputs!$A$5:$A$120=$B37)*ISNUMBER(INDEX(Inputs!$K$5:$AJ$120,0,MATCH(I$2,Inputs!$K$4:$AJ$4,0))))+SUMPRODUCT((Inputs!$C$5:$C$120=$B37)*ISNUMBER(INDEX(Inputs!$K$5:$AJ$120,0,MATCH(I$2,Inputs!$K$4:$AJ$4,0))))+SUMPRODUCT((Inputs!$E$5:$E$120=$B37)*ISNUMBER(INDEX(Inputs!$K$5:$AJ$120,0,MATCH(I$2,Inputs!$K$4:$AJ$4,0))))=0,NA(),SUMPRODUCT((Inputs!$A$5:$A$120=$B37)*Inputs!$B$5:$B$120*(((Inputs!$G$5:$G$120="moeda")+(Inputs!$G$5:$G$120="acoes"))*Inputs!$B$1+((Inputs!$G$5:$G$120&lt;&gt;"moeda")*(Inputs!$G$5:$G$120&lt;&gt;"acoes")))*INDEX(Inputs!$K$5:$AJ$120,0,MATCH(I$2,Inputs!$K$4:$AJ$4,0)))+SUMPRODUCT((Inputs!$C$5:$C$120=$B37)*Inputs!$D$5:$D$120*(((Inputs!$G$5:$G$120="moeda")+(Inputs!$G$5:$G$120="acoes"))*Inputs!$B$1+((Inputs!$G$5:$G$120&lt;&gt;"moeda")*(Inputs!$G$5:$G$120&lt;&gt;"acoes")))*INDEX(Inputs!$K$5:$AJ$120,0,MATCH(I$2,Inputs!$K$4:$AJ$4,0)))+SUMPRODUCT((Inputs!$E$5:$E$120=$B37)*Inputs!$F$5:$F$120*(((Inputs!$G$5:$G$120="moeda")+(Inputs!$G$5:$G$120="acoes"))*Inputs!$B$1+((Inputs!$G$5:$G$120&lt;&gt;"moeda")*(Inputs!$G$5:$G$120&lt;&gt;"acoes")))*INDEX(Inputs!$K$5:$AJ$120,0,MATCH(I$2,Inputs!$K$4:$AJ$4,0)))))</f>
        <v>0</v>
      </c>
      <c r="J37" s="267">
        <f>IF(ISNA(MATCH(J$2,Inputs!$K$4:$AJ$4,0)),NA(),IF(SUMPRODUCT((Inputs!$A$5:$A$120=$B37)*ISNUMBER(INDEX(Inputs!$K$5:$AJ$120,0,MATCH(J$2,Inputs!$K$4:$AJ$4,0))))+SUMPRODUCT((Inputs!$C$5:$C$120=$B37)*ISNUMBER(INDEX(Inputs!$K$5:$AJ$120,0,MATCH(J$2,Inputs!$K$4:$AJ$4,0))))+SUMPRODUCT((Inputs!$E$5:$E$120=$B37)*ISNUMBER(INDEX(Inputs!$K$5:$AJ$120,0,MATCH(J$2,Inputs!$K$4:$AJ$4,0))))=0,NA(),SUMPRODUCT((Inputs!$A$5:$A$120=$B37)*Inputs!$B$5:$B$120*(((Inputs!$G$5:$G$120="moeda")+(Inputs!$G$5:$G$120="acoes"))*Inputs!$B$1+((Inputs!$G$5:$G$120&lt;&gt;"moeda")*(Inputs!$G$5:$G$120&lt;&gt;"acoes")))*INDEX(Inputs!$K$5:$AJ$120,0,MATCH(J$2,Inputs!$K$4:$AJ$4,0)))+SUMPRODUCT((Inputs!$C$5:$C$120=$B37)*Inputs!$D$5:$D$120*(((Inputs!$G$5:$G$120="moeda")+(Inputs!$G$5:$G$120="acoes"))*Inputs!$B$1+((Inputs!$G$5:$G$120&lt;&gt;"moeda")*(Inputs!$G$5:$G$120&lt;&gt;"acoes")))*INDEX(Inputs!$K$5:$AJ$120,0,MATCH(J$2,Inputs!$K$4:$AJ$4,0)))+SUMPRODUCT((Inputs!$E$5:$E$120=$B37)*Inputs!$F$5:$F$120*(((Inputs!$G$5:$G$120="moeda")+(Inputs!$G$5:$G$120="acoes"))*Inputs!$B$1+((Inputs!$G$5:$G$120&lt;&gt;"moeda")*(Inputs!$G$5:$G$120&lt;&gt;"acoes")))*INDEX(Inputs!$K$5:$AJ$120,0,MATCH(J$2,Inputs!$K$4:$AJ$4,0)))))</f>
        <v>0</v>
      </c>
      <c r="K37" s="267">
        <f>IF(ISNA(MATCH(K$2,Inputs!$K$4:$AJ$4,0)),NA(),IF(SUMPRODUCT((Inputs!$A$5:$A$120=$B37)*ISNUMBER(INDEX(Inputs!$K$5:$AJ$120,0,MATCH(K$2,Inputs!$K$4:$AJ$4,0))))+SUMPRODUCT((Inputs!$C$5:$C$120=$B37)*ISNUMBER(INDEX(Inputs!$K$5:$AJ$120,0,MATCH(K$2,Inputs!$K$4:$AJ$4,0))))+SUMPRODUCT((Inputs!$E$5:$E$120=$B37)*ISNUMBER(INDEX(Inputs!$K$5:$AJ$120,0,MATCH(K$2,Inputs!$K$4:$AJ$4,0))))=0,NA(),SUMPRODUCT((Inputs!$A$5:$A$120=$B37)*Inputs!$B$5:$B$120*(((Inputs!$G$5:$G$120="moeda")+(Inputs!$G$5:$G$120="acoes"))*Inputs!$B$1+((Inputs!$G$5:$G$120&lt;&gt;"moeda")*(Inputs!$G$5:$G$120&lt;&gt;"acoes")))*INDEX(Inputs!$K$5:$AJ$120,0,MATCH(K$2,Inputs!$K$4:$AJ$4,0)))+SUMPRODUCT((Inputs!$C$5:$C$120=$B37)*Inputs!$D$5:$D$120*(((Inputs!$G$5:$G$120="moeda")+(Inputs!$G$5:$G$120="acoes"))*Inputs!$B$1+((Inputs!$G$5:$G$120&lt;&gt;"moeda")*(Inputs!$G$5:$G$120&lt;&gt;"acoes")))*INDEX(Inputs!$K$5:$AJ$120,0,MATCH(K$2,Inputs!$K$4:$AJ$4,0)))+SUMPRODUCT((Inputs!$E$5:$E$120=$B37)*Inputs!$F$5:$F$120*(((Inputs!$G$5:$G$120="moeda")+(Inputs!$G$5:$G$120="acoes"))*Inputs!$B$1+((Inputs!$G$5:$G$120&lt;&gt;"moeda")*(Inputs!$G$5:$G$120&lt;&gt;"acoes")))*INDEX(Inputs!$K$5:$AJ$120,0,MATCH(K$2,Inputs!$K$4:$AJ$4,0)))))</f>
        <v>0</v>
      </c>
      <c r="L37" s="267">
        <f>IF(ISNA(MATCH(L$2,Inputs!$K$4:$AJ$4,0)),NA(),IF(SUMPRODUCT((Inputs!$A$5:$A$120=$B37)*ISNUMBER(INDEX(Inputs!$K$5:$AJ$120,0,MATCH(L$2,Inputs!$K$4:$AJ$4,0))))+SUMPRODUCT((Inputs!$C$5:$C$120=$B37)*ISNUMBER(INDEX(Inputs!$K$5:$AJ$120,0,MATCH(L$2,Inputs!$K$4:$AJ$4,0))))+SUMPRODUCT((Inputs!$E$5:$E$120=$B37)*ISNUMBER(INDEX(Inputs!$K$5:$AJ$120,0,MATCH(L$2,Inputs!$K$4:$AJ$4,0))))=0,NA(),SUMPRODUCT((Inputs!$A$5:$A$120=$B37)*Inputs!$B$5:$B$120*(((Inputs!$G$5:$G$120="moeda")+(Inputs!$G$5:$G$120="acoes"))*Inputs!$B$1+((Inputs!$G$5:$G$120&lt;&gt;"moeda")*(Inputs!$G$5:$G$120&lt;&gt;"acoes")))*INDEX(Inputs!$K$5:$AJ$120,0,MATCH(L$2,Inputs!$K$4:$AJ$4,0)))+SUMPRODUCT((Inputs!$C$5:$C$120=$B37)*Inputs!$D$5:$D$120*(((Inputs!$G$5:$G$120="moeda")+(Inputs!$G$5:$G$120="acoes"))*Inputs!$B$1+((Inputs!$G$5:$G$120&lt;&gt;"moeda")*(Inputs!$G$5:$G$120&lt;&gt;"acoes")))*INDEX(Inputs!$K$5:$AJ$120,0,MATCH(L$2,Inputs!$K$4:$AJ$4,0)))+SUMPRODUCT((Inputs!$E$5:$E$120=$B37)*Inputs!$F$5:$F$120*(((Inputs!$G$5:$G$120="moeda")+(Inputs!$G$5:$G$120="acoes"))*Inputs!$B$1+((Inputs!$G$5:$G$120&lt;&gt;"moeda")*(Inputs!$G$5:$G$120&lt;&gt;"acoes")))*INDEX(Inputs!$K$5:$AJ$120,0,MATCH(L$2,Inputs!$K$4:$AJ$4,0)))))</f>
        <v>0</v>
      </c>
      <c r="M37" s="268">
        <f>L37</f>
        <v>0</v>
      </c>
      <c r="N37" s="267">
        <f>IF(ISNA(MATCH(N$2,Inputs!$K$4:$AJ$4,0)),NA(),IF(SUMPRODUCT((Inputs!$A$5:$A$120=$B37)*ISNUMBER(INDEX(Inputs!$K$5:$AJ$120,0,MATCH(N$2,Inputs!$K$4:$AJ$4,0))))+SUMPRODUCT((Inputs!$C$5:$C$120=$B37)*ISNUMBER(INDEX(Inputs!$K$5:$AJ$120,0,MATCH(N$2,Inputs!$K$4:$AJ$4,0))))+SUMPRODUCT((Inputs!$E$5:$E$120=$B37)*ISNUMBER(INDEX(Inputs!$K$5:$AJ$120,0,MATCH(N$2,Inputs!$K$4:$AJ$4,0))))=0,NA(),SUMPRODUCT((Inputs!$A$5:$A$120=$B37)*Inputs!$B$5:$B$120*(((Inputs!$G$5:$G$120="moeda")+(Inputs!$G$5:$G$120="acoes"))*Inputs!$B$1+((Inputs!$G$5:$G$120&lt;&gt;"moeda")*(Inputs!$G$5:$G$120&lt;&gt;"acoes")))*INDEX(Inputs!$K$5:$AJ$120,0,MATCH(N$2,Inputs!$K$4:$AJ$4,0)))+SUMPRODUCT((Inputs!$C$5:$C$120=$B37)*Inputs!$D$5:$D$120*(((Inputs!$G$5:$G$120="moeda")+(Inputs!$G$5:$G$120="acoes"))*Inputs!$B$1+((Inputs!$G$5:$G$120&lt;&gt;"moeda")*(Inputs!$G$5:$G$120&lt;&gt;"acoes")))*INDEX(Inputs!$K$5:$AJ$120,0,MATCH(N$2,Inputs!$K$4:$AJ$4,0)))+SUMPRODUCT((Inputs!$E$5:$E$120=$B37)*Inputs!$F$5:$F$120*(((Inputs!$G$5:$G$120="moeda")+(Inputs!$G$5:$G$120="acoes"))*Inputs!$B$1+((Inputs!$G$5:$G$120&lt;&gt;"moeda")*(Inputs!$G$5:$G$120&lt;&gt;"acoes")))*INDEX(Inputs!$K$5:$AJ$120,0,MATCH(N$2,Inputs!$K$4:$AJ$4,0)))))</f>
        <v>0</v>
      </c>
      <c r="O37" s="267">
        <f>IF(ISNA(MATCH(O$2,Inputs!$K$4:$AJ$4,0)),NA(),IF(SUMPRODUCT((Inputs!$A$5:$A$120=$B37)*ISNUMBER(INDEX(Inputs!$K$5:$AJ$120,0,MATCH(O$2,Inputs!$K$4:$AJ$4,0))))+SUMPRODUCT((Inputs!$C$5:$C$120=$B37)*ISNUMBER(INDEX(Inputs!$K$5:$AJ$120,0,MATCH(O$2,Inputs!$K$4:$AJ$4,0))))+SUMPRODUCT((Inputs!$E$5:$E$120=$B37)*ISNUMBER(INDEX(Inputs!$K$5:$AJ$120,0,MATCH(O$2,Inputs!$K$4:$AJ$4,0))))=0,NA(),SUMPRODUCT((Inputs!$A$5:$A$120=$B37)*Inputs!$B$5:$B$120*(((Inputs!$G$5:$G$120="moeda")+(Inputs!$G$5:$G$120="acoes"))*Inputs!$B$1+((Inputs!$G$5:$G$120&lt;&gt;"moeda")*(Inputs!$G$5:$G$120&lt;&gt;"acoes")))*INDEX(Inputs!$K$5:$AJ$120,0,MATCH(O$2,Inputs!$K$4:$AJ$4,0)))+SUMPRODUCT((Inputs!$C$5:$C$120=$B37)*Inputs!$D$5:$D$120*(((Inputs!$G$5:$G$120="moeda")+(Inputs!$G$5:$G$120="acoes"))*Inputs!$B$1+((Inputs!$G$5:$G$120&lt;&gt;"moeda")*(Inputs!$G$5:$G$120&lt;&gt;"acoes")))*INDEX(Inputs!$K$5:$AJ$120,0,MATCH(O$2,Inputs!$K$4:$AJ$4,0)))+SUMPRODUCT((Inputs!$E$5:$E$120=$B37)*Inputs!$F$5:$F$120*(((Inputs!$G$5:$G$120="moeda")+(Inputs!$G$5:$G$120="acoes"))*Inputs!$B$1+((Inputs!$G$5:$G$120&lt;&gt;"moeda")*(Inputs!$G$5:$G$120&lt;&gt;"acoes")))*INDEX(Inputs!$K$5:$AJ$120,0,MATCH(O$2,Inputs!$K$4:$AJ$4,0)))))</f>
        <v>0</v>
      </c>
      <c r="P37" s="267">
        <f>IF(ISNA(MATCH(P$2,Inputs!$K$4:$AJ$4,0)),NA(),IF(SUMPRODUCT((Inputs!$A$5:$A$120=$B37)*ISNUMBER(INDEX(Inputs!$K$5:$AJ$120,0,MATCH(P$2,Inputs!$K$4:$AJ$4,0))))+SUMPRODUCT((Inputs!$C$5:$C$120=$B37)*ISNUMBER(INDEX(Inputs!$K$5:$AJ$120,0,MATCH(P$2,Inputs!$K$4:$AJ$4,0))))+SUMPRODUCT((Inputs!$E$5:$E$120=$B37)*ISNUMBER(INDEX(Inputs!$K$5:$AJ$120,0,MATCH(P$2,Inputs!$K$4:$AJ$4,0))))=0,NA(),SUMPRODUCT((Inputs!$A$5:$A$120=$B37)*Inputs!$B$5:$B$120*(((Inputs!$G$5:$G$120="moeda")+(Inputs!$G$5:$G$120="acoes"))*Inputs!$B$1+((Inputs!$G$5:$G$120&lt;&gt;"moeda")*(Inputs!$G$5:$G$120&lt;&gt;"acoes")))*INDEX(Inputs!$K$5:$AJ$120,0,MATCH(P$2,Inputs!$K$4:$AJ$4,0)))+SUMPRODUCT((Inputs!$C$5:$C$120=$B37)*Inputs!$D$5:$D$120*(((Inputs!$G$5:$G$120="moeda")+(Inputs!$G$5:$G$120="acoes"))*Inputs!$B$1+((Inputs!$G$5:$G$120&lt;&gt;"moeda")*(Inputs!$G$5:$G$120&lt;&gt;"acoes")))*INDEX(Inputs!$K$5:$AJ$120,0,MATCH(P$2,Inputs!$K$4:$AJ$4,0)))+SUMPRODUCT((Inputs!$E$5:$E$120=$B37)*Inputs!$F$5:$F$120*(((Inputs!$G$5:$G$120="moeda")+(Inputs!$G$5:$G$120="acoes"))*Inputs!$B$1+((Inputs!$G$5:$G$120&lt;&gt;"moeda")*(Inputs!$G$5:$G$120&lt;&gt;"acoes")))*INDEX(Inputs!$K$5:$AJ$120,0,MATCH(P$2,Inputs!$K$4:$AJ$4,0)))))</f>
        <v>0</v>
      </c>
      <c r="Q37" s="267">
        <f>IF(ISNA(MATCH(Q$2,Inputs!$K$4:$AJ$4,0)),NA(),IF(SUMPRODUCT((Inputs!$A$5:$A$120=$B37)*ISNUMBER(INDEX(Inputs!$K$5:$AJ$120,0,MATCH(Q$2,Inputs!$K$4:$AJ$4,0))))+SUMPRODUCT((Inputs!$C$5:$C$120=$B37)*ISNUMBER(INDEX(Inputs!$K$5:$AJ$120,0,MATCH(Q$2,Inputs!$K$4:$AJ$4,0))))+SUMPRODUCT((Inputs!$E$5:$E$120=$B37)*ISNUMBER(INDEX(Inputs!$K$5:$AJ$120,0,MATCH(Q$2,Inputs!$K$4:$AJ$4,0))))=0,NA(),SUMPRODUCT((Inputs!$A$5:$A$120=$B37)*Inputs!$B$5:$B$120*(((Inputs!$G$5:$G$120="moeda")+(Inputs!$G$5:$G$120="acoes"))*Inputs!$B$1+((Inputs!$G$5:$G$120&lt;&gt;"moeda")*(Inputs!$G$5:$G$120&lt;&gt;"acoes")))*INDEX(Inputs!$K$5:$AJ$120,0,MATCH(Q$2,Inputs!$K$4:$AJ$4,0)))+SUMPRODUCT((Inputs!$C$5:$C$120=$B37)*Inputs!$D$5:$D$120*(((Inputs!$G$5:$G$120="moeda")+(Inputs!$G$5:$G$120="acoes"))*Inputs!$B$1+((Inputs!$G$5:$G$120&lt;&gt;"moeda")*(Inputs!$G$5:$G$120&lt;&gt;"acoes")))*INDEX(Inputs!$K$5:$AJ$120,0,MATCH(Q$2,Inputs!$K$4:$AJ$4,0)))+SUMPRODUCT((Inputs!$E$5:$E$120=$B37)*Inputs!$F$5:$F$120*(((Inputs!$G$5:$G$120="moeda")+(Inputs!$G$5:$G$120="acoes"))*Inputs!$B$1+((Inputs!$G$5:$G$120&lt;&gt;"moeda")*(Inputs!$G$5:$G$120&lt;&gt;"acoes")))*INDEX(Inputs!$K$5:$AJ$120,0,MATCH(Q$2,Inputs!$K$4:$AJ$4,0)))))</f>
        <v>0</v>
      </c>
      <c r="R37" s="268">
        <f>Q37</f>
        <v>0</v>
      </c>
      <c r="S37" s="267">
        <f>IF(ISNA(MATCH(S$2,Inputs!$K$4:$AJ$4,0)),NA(),IF(SUMPRODUCT((Inputs!$A$5:$A$120=$B37)*ISNUMBER(INDEX(Inputs!$K$5:$AJ$120,0,MATCH(S$2,Inputs!$K$4:$AJ$4,0))))+SUMPRODUCT((Inputs!$C$5:$C$120=$B37)*ISNUMBER(INDEX(Inputs!$K$5:$AJ$120,0,MATCH(S$2,Inputs!$K$4:$AJ$4,0))))+SUMPRODUCT((Inputs!$E$5:$E$120=$B37)*ISNUMBER(INDEX(Inputs!$K$5:$AJ$120,0,MATCH(S$2,Inputs!$K$4:$AJ$4,0))))=0,NA(),SUMPRODUCT((Inputs!$A$5:$A$120=$B37)*Inputs!$B$5:$B$120*(((Inputs!$G$5:$G$120="moeda")+(Inputs!$G$5:$G$120="acoes"))*Inputs!$B$1+((Inputs!$G$5:$G$120&lt;&gt;"moeda")*(Inputs!$G$5:$G$120&lt;&gt;"acoes")))*INDEX(Inputs!$K$5:$AJ$120,0,MATCH(S$2,Inputs!$K$4:$AJ$4,0)))+SUMPRODUCT((Inputs!$C$5:$C$120=$B37)*Inputs!$D$5:$D$120*(((Inputs!$G$5:$G$120="moeda")+(Inputs!$G$5:$G$120="acoes"))*Inputs!$B$1+((Inputs!$G$5:$G$120&lt;&gt;"moeda")*(Inputs!$G$5:$G$120&lt;&gt;"acoes")))*INDEX(Inputs!$K$5:$AJ$120,0,MATCH(S$2,Inputs!$K$4:$AJ$4,0)))+SUMPRODUCT((Inputs!$E$5:$E$120=$B37)*Inputs!$F$5:$F$120*(((Inputs!$G$5:$G$120="moeda")+(Inputs!$G$5:$G$120="acoes"))*Inputs!$B$1+((Inputs!$G$5:$G$120&lt;&gt;"moeda")*(Inputs!$G$5:$G$120&lt;&gt;"acoes")))*INDEX(Inputs!$K$5:$AJ$120,0,MATCH(S$2,Inputs!$K$4:$AJ$4,0)))))</f>
        <v>0</v>
      </c>
      <c r="T37" s="267">
        <f>IF(ISNA(MATCH(T$2,Inputs!$K$4:$AJ$4,0)),NA(),IF(SUMPRODUCT((Inputs!$A$5:$A$120=$B37)*ISNUMBER(INDEX(Inputs!$K$5:$AJ$120,0,MATCH(T$2,Inputs!$K$4:$AJ$4,0))))+SUMPRODUCT((Inputs!$C$5:$C$120=$B37)*ISNUMBER(INDEX(Inputs!$K$5:$AJ$120,0,MATCH(T$2,Inputs!$K$4:$AJ$4,0))))+SUMPRODUCT((Inputs!$E$5:$E$120=$B37)*ISNUMBER(INDEX(Inputs!$K$5:$AJ$120,0,MATCH(T$2,Inputs!$K$4:$AJ$4,0))))=0,NA(),SUMPRODUCT((Inputs!$A$5:$A$120=$B37)*Inputs!$B$5:$B$120*(((Inputs!$G$5:$G$120="moeda")+(Inputs!$G$5:$G$120="acoes"))*Inputs!$B$1+((Inputs!$G$5:$G$120&lt;&gt;"moeda")*(Inputs!$G$5:$G$120&lt;&gt;"acoes")))*INDEX(Inputs!$K$5:$AJ$120,0,MATCH(T$2,Inputs!$K$4:$AJ$4,0)))+SUMPRODUCT((Inputs!$C$5:$C$120=$B37)*Inputs!$D$5:$D$120*(((Inputs!$G$5:$G$120="moeda")+(Inputs!$G$5:$G$120="acoes"))*Inputs!$B$1+((Inputs!$G$5:$G$120&lt;&gt;"moeda")*(Inputs!$G$5:$G$120&lt;&gt;"acoes")))*INDEX(Inputs!$K$5:$AJ$120,0,MATCH(T$2,Inputs!$K$4:$AJ$4,0)))+SUMPRODUCT((Inputs!$E$5:$E$120=$B37)*Inputs!$F$5:$F$120*(((Inputs!$G$5:$G$120="moeda")+(Inputs!$G$5:$G$120="acoes"))*Inputs!$B$1+((Inputs!$G$5:$G$120&lt;&gt;"moeda")*(Inputs!$G$5:$G$120&lt;&gt;"acoes")))*INDEX(Inputs!$K$5:$AJ$120,0,MATCH(T$2,Inputs!$K$4:$AJ$4,0)))))</f>
        <v>0</v>
      </c>
      <c r="U37" s="267">
        <f>IF(ISNA(MATCH(U$2,Inputs!$K$4:$AJ$4,0)),NA(),IF(SUMPRODUCT((Inputs!$A$5:$A$120=$B37)*ISNUMBER(INDEX(Inputs!$K$5:$AJ$120,0,MATCH(U$2,Inputs!$K$4:$AJ$4,0))))+SUMPRODUCT((Inputs!$C$5:$C$120=$B37)*ISNUMBER(INDEX(Inputs!$K$5:$AJ$120,0,MATCH(U$2,Inputs!$K$4:$AJ$4,0))))+SUMPRODUCT((Inputs!$E$5:$E$120=$B37)*ISNUMBER(INDEX(Inputs!$K$5:$AJ$120,0,MATCH(U$2,Inputs!$K$4:$AJ$4,0))))=0,NA(),SUMPRODUCT((Inputs!$A$5:$A$120=$B37)*Inputs!$B$5:$B$120*(((Inputs!$G$5:$G$120="moeda")+(Inputs!$G$5:$G$120="acoes"))*Inputs!$B$1+((Inputs!$G$5:$G$120&lt;&gt;"moeda")*(Inputs!$G$5:$G$120&lt;&gt;"acoes")))*INDEX(Inputs!$K$5:$AJ$120,0,MATCH(U$2,Inputs!$K$4:$AJ$4,0)))+SUMPRODUCT((Inputs!$C$5:$C$120=$B37)*Inputs!$D$5:$D$120*(((Inputs!$G$5:$G$120="moeda")+(Inputs!$G$5:$G$120="acoes"))*Inputs!$B$1+((Inputs!$G$5:$G$120&lt;&gt;"moeda")*(Inputs!$G$5:$G$120&lt;&gt;"acoes")))*INDEX(Inputs!$K$5:$AJ$120,0,MATCH(U$2,Inputs!$K$4:$AJ$4,0)))+SUMPRODUCT((Inputs!$E$5:$E$120=$B37)*Inputs!$F$5:$F$120*(((Inputs!$G$5:$G$120="moeda")+(Inputs!$G$5:$G$120="acoes"))*Inputs!$B$1+((Inputs!$G$5:$G$120&lt;&gt;"moeda")*(Inputs!$G$5:$G$120&lt;&gt;"acoes")))*INDEX(Inputs!$K$5:$AJ$120,0,MATCH(U$2,Inputs!$K$4:$AJ$4,0)))))</f>
        <v>0</v>
      </c>
      <c r="V37" s="267">
        <f>IF(ISNA(MATCH(V$2,Inputs!$K$4:$AJ$4,0)),NA(),IF(SUMPRODUCT((Inputs!$A$5:$A$120=$B37)*ISNUMBER(INDEX(Inputs!$K$5:$AJ$120,0,MATCH(V$2,Inputs!$K$4:$AJ$4,0))))+SUMPRODUCT((Inputs!$C$5:$C$120=$B37)*ISNUMBER(INDEX(Inputs!$K$5:$AJ$120,0,MATCH(V$2,Inputs!$K$4:$AJ$4,0))))+SUMPRODUCT((Inputs!$E$5:$E$120=$B37)*ISNUMBER(INDEX(Inputs!$K$5:$AJ$120,0,MATCH(V$2,Inputs!$K$4:$AJ$4,0))))=0,NA(),SUMPRODUCT((Inputs!$A$5:$A$120=$B37)*Inputs!$B$5:$B$120*(((Inputs!$G$5:$G$120="moeda")+(Inputs!$G$5:$G$120="acoes"))*Inputs!$B$1+((Inputs!$G$5:$G$120&lt;&gt;"moeda")*(Inputs!$G$5:$G$120&lt;&gt;"acoes")))*INDEX(Inputs!$K$5:$AJ$120,0,MATCH(V$2,Inputs!$K$4:$AJ$4,0)))+SUMPRODUCT((Inputs!$C$5:$C$120=$B37)*Inputs!$D$5:$D$120*(((Inputs!$G$5:$G$120="moeda")+(Inputs!$G$5:$G$120="acoes"))*Inputs!$B$1+((Inputs!$G$5:$G$120&lt;&gt;"moeda")*(Inputs!$G$5:$G$120&lt;&gt;"acoes")))*INDEX(Inputs!$K$5:$AJ$120,0,MATCH(V$2,Inputs!$K$4:$AJ$4,0)))+SUMPRODUCT((Inputs!$E$5:$E$120=$B37)*Inputs!$F$5:$F$120*(((Inputs!$G$5:$G$120="moeda")+(Inputs!$G$5:$G$120="acoes"))*Inputs!$B$1+((Inputs!$G$5:$G$120&lt;&gt;"moeda")*(Inputs!$G$5:$G$120&lt;&gt;"acoes")))*INDEX(Inputs!$K$5:$AJ$120,0,MATCH(V$2,Inputs!$K$4:$AJ$4,0)))))</f>
        <v>0</v>
      </c>
      <c r="W37" s="268">
        <f>V37</f>
        <v>0</v>
      </c>
      <c r="X37" s="267">
        <f>IF(ISNA(MATCH(X$2,Inputs!$K$4:$AJ$4,0)),NA(),IF(SUMPRODUCT((Inputs!$A$5:$A$120=$B37)*ISNUMBER(INDEX(Inputs!$K$5:$AJ$120,0,MATCH(X$2,Inputs!$K$4:$AJ$4,0))))+SUMPRODUCT((Inputs!$C$5:$C$120=$B37)*ISNUMBER(INDEX(Inputs!$K$5:$AJ$120,0,MATCH(X$2,Inputs!$K$4:$AJ$4,0))))+SUMPRODUCT((Inputs!$E$5:$E$120=$B37)*ISNUMBER(INDEX(Inputs!$K$5:$AJ$120,0,MATCH(X$2,Inputs!$K$4:$AJ$4,0))))=0,NA(),SUMPRODUCT((Inputs!$A$5:$A$120=$B37)*Inputs!$B$5:$B$120*(((Inputs!$G$5:$G$120="moeda")+(Inputs!$G$5:$G$120="acoes"))*Inputs!$B$1+((Inputs!$G$5:$G$120&lt;&gt;"moeda")*(Inputs!$G$5:$G$120&lt;&gt;"acoes")))*INDEX(Inputs!$K$5:$AJ$120,0,MATCH(X$2,Inputs!$K$4:$AJ$4,0)))+SUMPRODUCT((Inputs!$C$5:$C$120=$B37)*Inputs!$D$5:$D$120*(((Inputs!$G$5:$G$120="moeda")+(Inputs!$G$5:$G$120="acoes"))*Inputs!$B$1+((Inputs!$G$5:$G$120&lt;&gt;"moeda")*(Inputs!$G$5:$G$120&lt;&gt;"acoes")))*INDEX(Inputs!$K$5:$AJ$120,0,MATCH(X$2,Inputs!$K$4:$AJ$4,0)))+SUMPRODUCT((Inputs!$E$5:$E$120=$B37)*Inputs!$F$5:$F$120*(((Inputs!$G$5:$G$120="moeda")+(Inputs!$G$5:$G$120="acoes"))*Inputs!$B$1+((Inputs!$G$5:$G$120&lt;&gt;"moeda")*(Inputs!$G$5:$G$120&lt;&gt;"acoes")))*INDEX(Inputs!$K$5:$AJ$120,0,MATCH(X$2,Inputs!$K$4:$AJ$4,0)))))</f>
        <v>0</v>
      </c>
      <c r="Y37" s="267">
        <f>IF(ISNA(MATCH(Y$2,Inputs!$K$4:$AJ$4,0)),NA(),IF(SUMPRODUCT((Inputs!$A$5:$A$120=$B37)*ISNUMBER(INDEX(Inputs!$K$5:$AJ$120,0,MATCH(Y$2,Inputs!$K$4:$AJ$4,0))))+SUMPRODUCT((Inputs!$C$5:$C$120=$B37)*ISNUMBER(INDEX(Inputs!$K$5:$AJ$120,0,MATCH(Y$2,Inputs!$K$4:$AJ$4,0))))+SUMPRODUCT((Inputs!$E$5:$E$120=$B37)*ISNUMBER(INDEX(Inputs!$K$5:$AJ$120,0,MATCH(Y$2,Inputs!$K$4:$AJ$4,0))))=0,NA(),SUMPRODUCT((Inputs!$A$5:$A$120=$B37)*Inputs!$B$5:$B$120*(((Inputs!$G$5:$G$120="moeda")+(Inputs!$G$5:$G$120="acoes"))*Inputs!$B$1+((Inputs!$G$5:$G$120&lt;&gt;"moeda")*(Inputs!$G$5:$G$120&lt;&gt;"acoes")))*INDEX(Inputs!$K$5:$AJ$120,0,MATCH(Y$2,Inputs!$K$4:$AJ$4,0)))+SUMPRODUCT((Inputs!$C$5:$C$120=$B37)*Inputs!$D$5:$D$120*(((Inputs!$G$5:$G$120="moeda")+(Inputs!$G$5:$G$120="acoes"))*Inputs!$B$1+((Inputs!$G$5:$G$120&lt;&gt;"moeda")*(Inputs!$G$5:$G$120&lt;&gt;"acoes")))*INDEX(Inputs!$K$5:$AJ$120,0,MATCH(Y$2,Inputs!$K$4:$AJ$4,0)))+SUMPRODUCT((Inputs!$E$5:$E$120=$B37)*Inputs!$F$5:$F$120*(((Inputs!$G$5:$G$120="moeda")+(Inputs!$G$5:$G$120="acoes"))*Inputs!$B$1+((Inputs!$G$5:$G$120&lt;&gt;"moeda")*(Inputs!$G$5:$G$120&lt;&gt;"acoes")))*INDEX(Inputs!$K$5:$AJ$120,0,MATCH(Y$2,Inputs!$K$4:$AJ$4,0)))))</f>
        <v>0</v>
      </c>
      <c r="Z37" s="267">
        <f>IF(ISNA(MATCH(Z$2,Inputs!$K$4:$AJ$4,0)),NA(),IF(SUMPRODUCT((Inputs!$A$5:$A$120=$B37)*ISNUMBER(INDEX(Inputs!$K$5:$AJ$120,0,MATCH(Z$2,Inputs!$K$4:$AJ$4,0))))+SUMPRODUCT((Inputs!$C$5:$C$120=$B37)*ISNUMBER(INDEX(Inputs!$K$5:$AJ$120,0,MATCH(Z$2,Inputs!$K$4:$AJ$4,0))))+SUMPRODUCT((Inputs!$E$5:$E$120=$B37)*ISNUMBER(INDEX(Inputs!$K$5:$AJ$120,0,MATCH(Z$2,Inputs!$K$4:$AJ$4,0))))=0,NA(),SUMPRODUCT((Inputs!$A$5:$A$120=$B37)*Inputs!$B$5:$B$120*(((Inputs!$G$5:$G$120="moeda")+(Inputs!$G$5:$G$120="acoes"))*Inputs!$B$1+((Inputs!$G$5:$G$120&lt;&gt;"moeda")*(Inputs!$G$5:$G$120&lt;&gt;"acoes")))*INDEX(Inputs!$K$5:$AJ$120,0,MATCH(Z$2,Inputs!$K$4:$AJ$4,0)))+SUMPRODUCT((Inputs!$C$5:$C$120=$B37)*Inputs!$D$5:$D$120*(((Inputs!$G$5:$G$120="moeda")+(Inputs!$G$5:$G$120="acoes"))*Inputs!$B$1+((Inputs!$G$5:$G$120&lt;&gt;"moeda")*(Inputs!$G$5:$G$120&lt;&gt;"acoes")))*INDEX(Inputs!$K$5:$AJ$120,0,MATCH(Z$2,Inputs!$K$4:$AJ$4,0)))+SUMPRODUCT((Inputs!$E$5:$E$120=$B37)*Inputs!$F$5:$F$120*(((Inputs!$G$5:$G$120="moeda")+(Inputs!$G$5:$G$120="acoes"))*Inputs!$B$1+((Inputs!$G$5:$G$120&lt;&gt;"moeda")*(Inputs!$G$5:$G$120&lt;&gt;"acoes")))*INDEX(Inputs!$K$5:$AJ$120,0,MATCH(Z$2,Inputs!$K$4:$AJ$4,0)))))</f>
        <v>0</v>
      </c>
      <c r="AA37" s="267">
        <f>IF(ISNA(MATCH(AA$2,Inputs!$K$4:$AJ$4,0)),NA(),IF(SUMPRODUCT((Inputs!$A$5:$A$120=$B37)*ISNUMBER(INDEX(Inputs!$K$5:$AJ$120,0,MATCH(AA$2,Inputs!$K$4:$AJ$4,0))))+SUMPRODUCT((Inputs!$C$5:$C$120=$B37)*ISNUMBER(INDEX(Inputs!$K$5:$AJ$120,0,MATCH(AA$2,Inputs!$K$4:$AJ$4,0))))+SUMPRODUCT((Inputs!$E$5:$E$120=$B37)*ISNUMBER(INDEX(Inputs!$K$5:$AJ$120,0,MATCH(AA$2,Inputs!$K$4:$AJ$4,0))))=0,NA(),SUMPRODUCT((Inputs!$A$5:$A$120=$B37)*Inputs!$B$5:$B$120*(((Inputs!$G$5:$G$120="moeda")+(Inputs!$G$5:$G$120="acoes"))*Inputs!$B$1+((Inputs!$G$5:$G$120&lt;&gt;"moeda")*(Inputs!$G$5:$G$120&lt;&gt;"acoes")))*INDEX(Inputs!$K$5:$AJ$120,0,MATCH(AA$2,Inputs!$K$4:$AJ$4,0)))+SUMPRODUCT((Inputs!$C$5:$C$120=$B37)*Inputs!$D$5:$D$120*(((Inputs!$G$5:$G$120="moeda")+(Inputs!$G$5:$G$120="acoes"))*Inputs!$B$1+((Inputs!$G$5:$G$120&lt;&gt;"moeda")*(Inputs!$G$5:$G$120&lt;&gt;"acoes")))*INDEX(Inputs!$K$5:$AJ$120,0,MATCH(AA$2,Inputs!$K$4:$AJ$4,0)))+SUMPRODUCT((Inputs!$E$5:$E$120=$B37)*Inputs!$F$5:$F$120*(((Inputs!$G$5:$G$120="moeda")+(Inputs!$G$5:$G$120="acoes"))*Inputs!$B$1+((Inputs!$G$5:$G$120&lt;&gt;"moeda")*(Inputs!$G$5:$G$120&lt;&gt;"acoes")))*INDEX(Inputs!$K$5:$AJ$120,0,MATCH(AA$2,Inputs!$K$4:$AJ$4,0)))))</f>
        <v>0</v>
      </c>
      <c r="AB37" s="268">
        <f>AA37</f>
        <v>0</v>
      </c>
      <c r="AC37" s="267">
        <f>IF(ISNA(MATCH(AC$2,Inputs!$K$4:$AJ$4,0)),NA(),IF(SUMPRODUCT((Inputs!$A$5:$A$120=$B37)*ISNUMBER(INDEX(Inputs!$K$5:$AJ$120,0,MATCH(AC$2,Inputs!$K$4:$AJ$4,0))))+SUMPRODUCT((Inputs!$C$5:$C$120=$B37)*ISNUMBER(INDEX(Inputs!$K$5:$AJ$120,0,MATCH(AC$2,Inputs!$K$4:$AJ$4,0))))+SUMPRODUCT((Inputs!$E$5:$E$120=$B37)*ISNUMBER(INDEX(Inputs!$K$5:$AJ$120,0,MATCH(AC$2,Inputs!$K$4:$AJ$4,0))))=0,NA(),SUMPRODUCT((Inputs!$A$5:$A$120=$B37)*Inputs!$B$5:$B$120*(((Inputs!$G$5:$G$120="moeda")+(Inputs!$G$5:$G$120="acoes"))*Inputs!$B$1+((Inputs!$G$5:$G$120&lt;&gt;"moeda")*(Inputs!$G$5:$G$120&lt;&gt;"acoes")))*INDEX(Inputs!$K$5:$AJ$120,0,MATCH(AC$2,Inputs!$K$4:$AJ$4,0)))+SUMPRODUCT((Inputs!$C$5:$C$120=$B37)*Inputs!$D$5:$D$120*(((Inputs!$G$5:$G$120="moeda")+(Inputs!$G$5:$G$120="acoes"))*Inputs!$B$1+((Inputs!$G$5:$G$120&lt;&gt;"moeda")*(Inputs!$G$5:$G$120&lt;&gt;"acoes")))*INDEX(Inputs!$K$5:$AJ$120,0,MATCH(AC$2,Inputs!$K$4:$AJ$4,0)))+SUMPRODUCT((Inputs!$E$5:$E$120=$B37)*Inputs!$F$5:$F$120*(((Inputs!$G$5:$G$120="moeda")+(Inputs!$G$5:$G$120="acoes"))*Inputs!$B$1+((Inputs!$G$5:$G$120&lt;&gt;"moeda")*(Inputs!$G$5:$G$120&lt;&gt;"acoes")))*INDEX(Inputs!$K$5:$AJ$120,0,MATCH(AC$2,Inputs!$K$4:$AJ$4,0)))))</f>
        <v>0</v>
      </c>
      <c r="AD37" s="267">
        <f>IF(ISNA(MATCH(AD$2,Inputs!$K$4:$AJ$4,0)),NA(),IF(SUMPRODUCT((Inputs!$A$5:$A$120=$B37)*ISNUMBER(INDEX(Inputs!$K$5:$AJ$120,0,MATCH(AD$2,Inputs!$K$4:$AJ$4,0))))+SUMPRODUCT((Inputs!$C$5:$C$120=$B37)*ISNUMBER(INDEX(Inputs!$K$5:$AJ$120,0,MATCH(AD$2,Inputs!$K$4:$AJ$4,0))))+SUMPRODUCT((Inputs!$E$5:$E$120=$B37)*ISNUMBER(INDEX(Inputs!$K$5:$AJ$120,0,MATCH(AD$2,Inputs!$K$4:$AJ$4,0))))=0,NA(),SUMPRODUCT((Inputs!$A$5:$A$120=$B37)*Inputs!$B$5:$B$120*(((Inputs!$G$5:$G$120="moeda")+(Inputs!$G$5:$G$120="acoes"))*Inputs!$B$1+((Inputs!$G$5:$G$120&lt;&gt;"moeda")*(Inputs!$G$5:$G$120&lt;&gt;"acoes")))*INDEX(Inputs!$K$5:$AJ$120,0,MATCH(AD$2,Inputs!$K$4:$AJ$4,0)))+SUMPRODUCT((Inputs!$C$5:$C$120=$B37)*Inputs!$D$5:$D$120*(((Inputs!$G$5:$G$120="moeda")+(Inputs!$G$5:$G$120="acoes"))*Inputs!$B$1+((Inputs!$G$5:$G$120&lt;&gt;"moeda")*(Inputs!$G$5:$G$120&lt;&gt;"acoes")))*INDEX(Inputs!$K$5:$AJ$120,0,MATCH(AD$2,Inputs!$K$4:$AJ$4,0)))+SUMPRODUCT((Inputs!$E$5:$E$120=$B37)*Inputs!$F$5:$F$120*(((Inputs!$G$5:$G$120="moeda")+(Inputs!$G$5:$G$120="acoes"))*Inputs!$B$1+((Inputs!$G$5:$G$120&lt;&gt;"moeda")*(Inputs!$G$5:$G$120&lt;&gt;"acoes")))*INDEX(Inputs!$K$5:$AJ$120,0,MATCH(AD$2,Inputs!$K$4:$AJ$4,0)))))</f>
        <v>0</v>
      </c>
      <c r="AE37" s="267" t="e">
        <f>IF(ISNA(MATCH(AE$2,Inputs!$K$4:$AJ$4,0)),NA(),IF(SUMPRODUCT((Inputs!$A$5:$A$120=$B37)*ISNUMBER(INDEX(Inputs!$K$5:$AJ$120,0,MATCH(AE$2,Inputs!$K$4:$AJ$4,0))))+SUMPRODUCT((Inputs!$C$5:$C$120=$B37)*ISNUMBER(INDEX(Inputs!$K$5:$AJ$120,0,MATCH(AE$2,Inputs!$K$4:$AJ$4,0))))+SUMPRODUCT((Inputs!$E$5:$E$120=$B37)*ISNUMBER(INDEX(Inputs!$K$5:$AJ$120,0,MATCH(AE$2,Inputs!$K$4:$AJ$4,0))))=0,NA(),SUMPRODUCT((Inputs!$A$5:$A$120=$B37)*Inputs!$B$5:$B$120*(((Inputs!$G$5:$G$120="moeda")+(Inputs!$G$5:$G$120="acoes"))*Inputs!$B$1+((Inputs!$G$5:$G$120&lt;&gt;"moeda")*(Inputs!$G$5:$G$120&lt;&gt;"acoes")))*INDEX(Inputs!$K$5:$AJ$120,0,MATCH(AE$2,Inputs!$K$4:$AJ$4,0)))+SUMPRODUCT((Inputs!$C$5:$C$120=$B37)*Inputs!$D$5:$D$120*(((Inputs!$G$5:$G$120="moeda")+(Inputs!$G$5:$G$120="acoes"))*Inputs!$B$1+((Inputs!$G$5:$G$120&lt;&gt;"moeda")*(Inputs!$G$5:$G$120&lt;&gt;"acoes")))*INDEX(Inputs!$K$5:$AJ$120,0,MATCH(AE$2,Inputs!$K$4:$AJ$4,0)))+SUMPRODUCT((Inputs!$E$5:$E$120=$B37)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7" s="267" t="e">
        <f>IF(ISNA(MATCH(AF$2,Inputs!$K$4:$AJ$4,0)),NA(),IF(SUMPRODUCT((Inputs!$A$5:$A$120=$B37)*ISNUMBER(INDEX(Inputs!$K$5:$AJ$120,0,MATCH(AF$2,Inputs!$K$4:$AJ$4,0))))+SUMPRODUCT((Inputs!$C$5:$C$120=$B37)*ISNUMBER(INDEX(Inputs!$K$5:$AJ$120,0,MATCH(AF$2,Inputs!$K$4:$AJ$4,0))))+SUMPRODUCT((Inputs!$E$5:$E$120=$B37)*ISNUMBER(INDEX(Inputs!$K$5:$AJ$120,0,MATCH(AF$2,Inputs!$K$4:$AJ$4,0))))=0,NA(),SUMPRODUCT((Inputs!$A$5:$A$120=$B37)*Inputs!$B$5:$B$120*(((Inputs!$G$5:$G$120="moeda")+(Inputs!$G$5:$G$120="acoes"))*Inputs!$B$1+((Inputs!$G$5:$G$120&lt;&gt;"moeda")*(Inputs!$G$5:$G$120&lt;&gt;"acoes")))*INDEX(Inputs!$K$5:$AJ$120,0,MATCH(AF$2,Inputs!$K$4:$AJ$4,0)))+SUMPRODUCT((Inputs!$C$5:$C$120=$B37)*Inputs!$D$5:$D$120*(((Inputs!$G$5:$G$120="moeda")+(Inputs!$G$5:$G$120="acoes"))*Inputs!$B$1+((Inputs!$G$5:$G$120&lt;&gt;"moeda")*(Inputs!$G$5:$G$120&lt;&gt;"acoes")))*INDEX(Inputs!$K$5:$AJ$120,0,MATCH(AF$2,Inputs!$K$4:$AJ$4,0)))+SUMPRODUCT((Inputs!$E$5:$E$120=$B37)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7" s="268" t="e">
        <f>AF37</f>
        <v>#N/A</v>
      </c>
      <c r="AH37" s="267">
        <f>IF(ISNA(MATCH(AH$2,Inputs!$K$4:$AJ$4,0)),NA(),IF(SUMPRODUCT((Inputs!$A$5:$A$120=$B37)*ISNUMBER(INDEX(Inputs!$K$5:$AJ$120,0,MATCH(AH$2,Inputs!$K$4:$AJ$4,0))))+SUMPRODUCT((Inputs!$C$5:$C$120=$B37)*ISNUMBER(INDEX(Inputs!$K$5:$AJ$120,0,MATCH(AH$2,Inputs!$K$4:$AJ$4,0))))+SUMPRODUCT((Inputs!$E$5:$E$120=$B37)*ISNUMBER(INDEX(Inputs!$K$5:$AJ$120,0,MATCH(AH$2,Inputs!$K$4:$AJ$4,0))))=0,NA(),SUMPRODUCT((Inputs!$A$5:$A$120=$B37)*Inputs!$B$5:$B$120*(((Inputs!$G$5:$G$120="moeda")+(Inputs!$G$5:$G$120="acoes"))*Inputs!$B$1+((Inputs!$G$5:$G$120&lt;&gt;"moeda")*(Inputs!$G$5:$G$120&lt;&gt;"acoes")))*INDEX(Inputs!$K$5:$AJ$120,0,MATCH(AH$2,Inputs!$K$4:$AJ$4,0)))+SUMPRODUCT((Inputs!$C$5:$C$120=$B37)*Inputs!$D$5:$D$120*(((Inputs!$G$5:$G$120="moeda")+(Inputs!$G$5:$G$120="acoes"))*Inputs!$B$1+((Inputs!$G$5:$G$120&lt;&gt;"moeda")*(Inputs!$G$5:$G$120&lt;&gt;"acoes")))*INDEX(Inputs!$K$5:$AJ$120,0,MATCH(AH$2,Inputs!$K$4:$AJ$4,0)))+SUMPRODUCT((Inputs!$E$5:$E$120=$B37)*Inputs!$F$5:$F$120*(((Inputs!$G$5:$G$120="moeda")+(Inputs!$G$5:$G$120="acoes"))*Inputs!$B$1+((Inputs!$G$5:$G$120&lt;&gt;"moeda")*(Inputs!$G$5:$G$120&lt;&gt;"acoes")))*INDEX(Inputs!$K$5:$AJ$120,0,MATCH(AH$2,Inputs!$K$4:$AJ$4,0)))))</f>
        <v>0</v>
      </c>
      <c r="AI37" s="267">
        <f>IF(ISNA(MATCH(AI$2,Inputs!$K$4:$AJ$4,0)),NA(),IF(SUMPRODUCT((Inputs!$A$5:$A$120=$B37)*ISNUMBER(INDEX(Inputs!$K$5:$AJ$120,0,MATCH(AI$2,Inputs!$K$4:$AJ$4,0))))+SUMPRODUCT((Inputs!$C$5:$C$120=$B37)*ISNUMBER(INDEX(Inputs!$K$5:$AJ$120,0,MATCH(AI$2,Inputs!$K$4:$AJ$4,0))))+SUMPRODUCT((Inputs!$E$5:$E$120=$B37)*ISNUMBER(INDEX(Inputs!$K$5:$AJ$120,0,MATCH(AI$2,Inputs!$K$4:$AJ$4,0))))=0,NA(),SUMPRODUCT((Inputs!$A$5:$A$120=$B37)*Inputs!$B$5:$B$120*(((Inputs!$G$5:$G$120="moeda")+(Inputs!$G$5:$G$120="acoes"))*Inputs!$B$1+((Inputs!$G$5:$G$120&lt;&gt;"moeda")*(Inputs!$G$5:$G$120&lt;&gt;"acoes")))*INDEX(Inputs!$K$5:$AJ$120,0,MATCH(AI$2,Inputs!$K$4:$AJ$4,0)))+SUMPRODUCT((Inputs!$C$5:$C$120=$B37)*Inputs!$D$5:$D$120*(((Inputs!$G$5:$G$120="moeda")+(Inputs!$G$5:$G$120="acoes"))*Inputs!$B$1+((Inputs!$G$5:$G$120&lt;&gt;"moeda")*(Inputs!$G$5:$G$120&lt;&gt;"acoes")))*INDEX(Inputs!$K$5:$AJ$120,0,MATCH(AI$2,Inputs!$K$4:$AJ$4,0)))+SUMPRODUCT((Inputs!$E$5:$E$120=$B37)*Inputs!$F$5:$F$120*(((Inputs!$G$5:$G$120="moeda")+(Inputs!$G$5:$G$120="acoes"))*Inputs!$B$1+((Inputs!$G$5:$G$120&lt;&gt;"moeda")*(Inputs!$G$5:$G$120&lt;&gt;"acoes")))*INDEX(Inputs!$K$5:$AJ$120,0,MATCH(AI$2,Inputs!$K$4:$AJ$4,0)))))</f>
        <v>0</v>
      </c>
      <c r="AJ37" s="267">
        <f>IF(ISNA(MATCH(AJ$2,Inputs!$K$4:$AJ$4,0)),NA(),IF(SUMPRODUCT((Inputs!$A$5:$A$120=$B37)*ISNUMBER(INDEX(Inputs!$K$5:$AJ$120,0,MATCH(AJ$2,Inputs!$K$4:$AJ$4,0))))+SUMPRODUCT((Inputs!$C$5:$C$120=$B37)*ISNUMBER(INDEX(Inputs!$K$5:$AJ$120,0,MATCH(AJ$2,Inputs!$K$4:$AJ$4,0))))+SUMPRODUCT((Inputs!$E$5:$E$120=$B37)*ISNUMBER(INDEX(Inputs!$K$5:$AJ$120,0,MATCH(AJ$2,Inputs!$K$4:$AJ$4,0))))=0,NA(),SUMPRODUCT((Inputs!$A$5:$A$120=$B37)*Inputs!$B$5:$B$120*(((Inputs!$G$5:$G$120="moeda")+(Inputs!$G$5:$G$120="acoes"))*Inputs!$B$1+((Inputs!$G$5:$G$120&lt;&gt;"moeda")*(Inputs!$G$5:$G$120&lt;&gt;"acoes")))*INDEX(Inputs!$K$5:$AJ$120,0,MATCH(AJ$2,Inputs!$K$4:$AJ$4,0)))+SUMPRODUCT((Inputs!$C$5:$C$120=$B37)*Inputs!$D$5:$D$120*(((Inputs!$G$5:$G$120="moeda")+(Inputs!$G$5:$G$120="acoes"))*Inputs!$B$1+((Inputs!$G$5:$G$120&lt;&gt;"moeda")*(Inputs!$G$5:$G$120&lt;&gt;"acoes")))*INDEX(Inputs!$K$5:$AJ$120,0,MATCH(AJ$2,Inputs!$K$4:$AJ$4,0)))+SUMPRODUCT((Inputs!$E$5:$E$120=$B37)*Inputs!$F$5:$F$120*(((Inputs!$G$5:$G$120="moeda")+(Inputs!$G$5:$G$120="acoes"))*Inputs!$B$1+((Inputs!$G$5:$G$120&lt;&gt;"moeda")*(Inputs!$G$5:$G$120&lt;&gt;"acoes")))*INDEX(Inputs!$K$5:$AJ$120,0,MATCH(AJ$2,Inputs!$K$4:$AJ$4,0)))))</f>
        <v>0</v>
      </c>
      <c r="AK37" s="267">
        <f>IF(ISNA(MATCH(AK$2,Inputs!$K$4:$AJ$4,0)),NA(),IF(SUMPRODUCT((Inputs!$A$5:$A$120=$B37)*ISNUMBER(INDEX(Inputs!$K$5:$AJ$120,0,MATCH(AK$2,Inputs!$K$4:$AJ$4,0))))+SUMPRODUCT((Inputs!$C$5:$C$120=$B37)*ISNUMBER(INDEX(Inputs!$K$5:$AJ$120,0,MATCH(AK$2,Inputs!$K$4:$AJ$4,0))))+SUMPRODUCT((Inputs!$E$5:$E$120=$B37)*ISNUMBER(INDEX(Inputs!$K$5:$AJ$120,0,MATCH(AK$2,Inputs!$K$4:$AJ$4,0))))=0,NA(),SUMPRODUCT((Inputs!$A$5:$A$120=$B37)*Inputs!$B$5:$B$120*(((Inputs!$G$5:$G$120="moeda")+(Inputs!$G$5:$G$120="acoes"))*Inputs!$B$1+((Inputs!$G$5:$G$120&lt;&gt;"moeda")*(Inputs!$G$5:$G$120&lt;&gt;"acoes")))*INDEX(Inputs!$K$5:$AJ$120,0,MATCH(AK$2,Inputs!$K$4:$AJ$4,0)))+SUMPRODUCT((Inputs!$C$5:$C$120=$B37)*Inputs!$D$5:$D$120*(((Inputs!$G$5:$G$120="moeda")+(Inputs!$G$5:$G$120="acoes"))*Inputs!$B$1+((Inputs!$G$5:$G$120&lt;&gt;"moeda")*(Inputs!$G$5:$G$120&lt;&gt;"acoes")))*INDEX(Inputs!$K$5:$AJ$120,0,MATCH(AK$2,Inputs!$K$4:$AJ$4,0)))+SUMPRODUCT((Inputs!$E$5:$E$120=$B37)*Inputs!$F$5:$F$120*(((Inputs!$G$5:$G$120="moeda")+(Inputs!$G$5:$G$120="acoes"))*Inputs!$B$1+((Inputs!$G$5:$G$120&lt;&gt;"moeda")*(Inputs!$G$5:$G$120&lt;&gt;"acoes")))*INDEX(Inputs!$K$5:$AJ$120,0,MATCH(AK$2,Inputs!$K$4:$AJ$4,0)))))</f>
        <v>0</v>
      </c>
      <c r="AL37" s="268">
        <f>AK37</f>
        <v>0</v>
      </c>
    </row>
    <row r="38" ht="12.75" customHeight="1" s="255">
      <c r="B38" s="265" t="n">
        <v>33</v>
      </c>
      <c r="C38" s="270" t="inlineStr">
        <is>
          <t>Deferred income taxes</t>
        </is>
      </c>
      <c r="D38" s="267">
        <f>IF(ISNA(MATCH(D$2,Inputs!$K$4:$AJ$4,0)),NA(),IF(SUMPRODUCT((Inputs!$A$5:$A$120=$B38)*ISNUMBER(INDEX(Inputs!$K$5:$AJ$120,0,MATCH(D$2,Inputs!$K$4:$AJ$4,0))))+SUMPRODUCT((Inputs!$C$5:$C$120=$B38)*ISNUMBER(INDEX(Inputs!$K$5:$AJ$120,0,MATCH(D$2,Inputs!$K$4:$AJ$4,0))))+SUMPRODUCT((Inputs!$E$5:$E$120=$B38)*ISNUMBER(INDEX(Inputs!$K$5:$AJ$120,0,MATCH(D$2,Inputs!$K$4:$AJ$4,0))))=0,NA(),SUMPRODUCT((Inputs!$A$5:$A$120=$B38)*Inputs!$B$5:$B$120*(((Inputs!$G$5:$G$120="moeda")+(Inputs!$G$5:$G$120="acoes"))*Inputs!$B$1+((Inputs!$G$5:$G$120&lt;&gt;"moeda")*(Inputs!$G$5:$G$120&lt;&gt;"acoes")))*INDEX(Inputs!$K$5:$AJ$120,0,MATCH(D$2,Inputs!$K$4:$AJ$4,0)))+SUMPRODUCT((Inputs!$C$5:$C$120=$B38)*Inputs!$D$5:$D$120*(((Inputs!$G$5:$G$120="moeda")+(Inputs!$G$5:$G$120="acoes"))*Inputs!$B$1+((Inputs!$G$5:$G$120&lt;&gt;"moeda")*(Inputs!$G$5:$G$120&lt;&gt;"acoes")))*INDEX(Inputs!$K$5:$AJ$120,0,MATCH(D$2,Inputs!$K$4:$AJ$4,0)))+SUMPRODUCT((Inputs!$E$5:$E$120=$B38)*Inputs!$F$5:$F$120*(((Inputs!$G$5:$G$120="moeda")+(Inputs!$G$5:$G$120="acoes"))*Inputs!$B$1+((Inputs!$G$5:$G$120&lt;&gt;"moeda")*(Inputs!$G$5:$G$120&lt;&gt;"acoes")))*INDEX(Inputs!$K$5:$AJ$120,0,MATCH(D$2,Inputs!$K$4:$AJ$4,0)))))</f>
        <v>4446</v>
      </c>
      <c r="E38" s="267">
        <f>IF(ISNA(MATCH(E$2,Inputs!$K$4:$AJ$4,0)),NA(),IF(SUMPRODUCT((Inputs!$A$5:$A$120=$B38)*ISNUMBER(INDEX(Inputs!$K$5:$AJ$120,0,MATCH(E$2,Inputs!$K$4:$AJ$4,0))))+SUMPRODUCT((Inputs!$C$5:$C$120=$B38)*ISNUMBER(INDEX(Inputs!$K$5:$AJ$120,0,MATCH(E$2,Inputs!$K$4:$AJ$4,0))))+SUMPRODUCT((Inputs!$E$5:$E$120=$B38)*ISNUMBER(INDEX(Inputs!$K$5:$AJ$120,0,MATCH(E$2,Inputs!$K$4:$AJ$4,0))))=0,NA(),SUMPRODUCT((Inputs!$A$5:$A$120=$B38)*Inputs!$B$5:$B$120*(((Inputs!$G$5:$G$120="moeda")+(Inputs!$G$5:$G$120="acoes"))*Inputs!$B$1+((Inputs!$G$5:$G$120&lt;&gt;"moeda")*(Inputs!$G$5:$G$120&lt;&gt;"acoes")))*INDEX(Inputs!$K$5:$AJ$120,0,MATCH(E$2,Inputs!$K$4:$AJ$4,0)))+SUMPRODUCT((Inputs!$C$5:$C$120=$B38)*Inputs!$D$5:$D$120*(((Inputs!$G$5:$G$120="moeda")+(Inputs!$G$5:$G$120="acoes"))*Inputs!$B$1+((Inputs!$G$5:$G$120&lt;&gt;"moeda")*(Inputs!$G$5:$G$120&lt;&gt;"acoes")))*INDEX(Inputs!$K$5:$AJ$120,0,MATCH(E$2,Inputs!$K$4:$AJ$4,0)))+SUMPRODUCT((Inputs!$E$5:$E$120=$B38)*Inputs!$F$5:$F$120*(((Inputs!$G$5:$G$120="moeda")+(Inputs!$G$5:$G$120="acoes"))*Inputs!$B$1+((Inputs!$G$5:$G$120&lt;&gt;"moeda")*(Inputs!$G$5:$G$120&lt;&gt;"acoes")))*INDEX(Inputs!$K$5:$AJ$120,0,MATCH(E$2,Inputs!$K$4:$AJ$4,0)))))</f>
        <v>4486</v>
      </c>
      <c r="F38" s="267">
        <f>IF(ISNA(MATCH(F$2,Inputs!$K$4:$AJ$4,0)),NA(),IF(SUMPRODUCT((Inputs!$A$5:$A$120=$B38)*ISNUMBER(INDEX(Inputs!$K$5:$AJ$120,0,MATCH(F$2,Inputs!$K$4:$AJ$4,0))))+SUMPRODUCT((Inputs!$C$5:$C$120=$B38)*ISNUMBER(INDEX(Inputs!$K$5:$AJ$120,0,MATCH(F$2,Inputs!$K$4:$AJ$4,0))))+SUMPRODUCT((Inputs!$E$5:$E$120=$B38)*ISNUMBER(INDEX(Inputs!$K$5:$AJ$120,0,MATCH(F$2,Inputs!$K$4:$AJ$4,0))))=0,NA(),SUMPRODUCT((Inputs!$A$5:$A$120=$B38)*Inputs!$B$5:$B$120*(((Inputs!$G$5:$G$120="moeda")+(Inputs!$G$5:$G$120="acoes"))*Inputs!$B$1+((Inputs!$G$5:$G$120&lt;&gt;"moeda")*(Inputs!$G$5:$G$120&lt;&gt;"acoes")))*INDEX(Inputs!$K$5:$AJ$120,0,MATCH(F$2,Inputs!$K$4:$AJ$4,0)))+SUMPRODUCT((Inputs!$C$5:$C$120=$B38)*Inputs!$D$5:$D$120*(((Inputs!$G$5:$G$120="moeda")+(Inputs!$G$5:$G$120="acoes"))*Inputs!$B$1+((Inputs!$G$5:$G$120&lt;&gt;"moeda")*(Inputs!$G$5:$G$120&lt;&gt;"acoes")))*INDEX(Inputs!$K$5:$AJ$120,0,MATCH(F$2,Inputs!$K$4:$AJ$4,0)))+SUMPRODUCT((Inputs!$E$5:$E$120=$B38)*Inputs!$F$5:$F$120*(((Inputs!$G$5:$G$120="moeda")+(Inputs!$G$5:$G$120="acoes"))*Inputs!$B$1+((Inputs!$G$5:$G$120&lt;&gt;"moeda")*(Inputs!$G$5:$G$120&lt;&gt;"acoes")))*INDEX(Inputs!$K$5:$AJ$120,0,MATCH(F$2,Inputs!$K$4:$AJ$4,0)))))</f>
        <v>4500</v>
      </c>
      <c r="G38" s="267">
        <f>IF(ISNA(MATCH(G$2,Inputs!$K$4:$AJ$4,0)),NA(),IF(SUMPRODUCT((Inputs!$A$5:$A$120=$B38)*ISNUMBER(INDEX(Inputs!$K$5:$AJ$120,0,MATCH(G$2,Inputs!$K$4:$AJ$4,0))))+SUMPRODUCT((Inputs!$C$5:$C$120=$B38)*ISNUMBER(INDEX(Inputs!$K$5:$AJ$120,0,MATCH(G$2,Inputs!$K$4:$AJ$4,0))))+SUMPRODUCT((Inputs!$E$5:$E$120=$B38)*ISNUMBER(INDEX(Inputs!$K$5:$AJ$120,0,MATCH(G$2,Inputs!$K$4:$AJ$4,0))))=0,NA(),SUMPRODUCT((Inputs!$A$5:$A$120=$B38)*Inputs!$B$5:$B$120*(((Inputs!$G$5:$G$120="moeda")+(Inputs!$G$5:$G$120="acoes"))*Inputs!$B$1+((Inputs!$G$5:$G$120&lt;&gt;"moeda")*(Inputs!$G$5:$G$120&lt;&gt;"acoes")))*INDEX(Inputs!$K$5:$AJ$120,0,MATCH(G$2,Inputs!$K$4:$AJ$4,0)))+SUMPRODUCT((Inputs!$C$5:$C$120=$B38)*Inputs!$D$5:$D$120*(((Inputs!$G$5:$G$120="moeda")+(Inputs!$G$5:$G$120="acoes"))*Inputs!$B$1+((Inputs!$G$5:$G$120&lt;&gt;"moeda")*(Inputs!$G$5:$G$120&lt;&gt;"acoes")))*INDEX(Inputs!$K$5:$AJ$120,0,MATCH(G$2,Inputs!$K$4:$AJ$4,0)))+SUMPRODUCT((Inputs!$E$5:$E$120=$B38)*Inputs!$F$5:$F$120*(((Inputs!$G$5:$G$120="moeda")+(Inputs!$G$5:$G$120="acoes"))*Inputs!$B$1+((Inputs!$G$5:$G$120&lt;&gt;"moeda")*(Inputs!$G$5:$G$120&lt;&gt;"acoes")))*INDEX(Inputs!$K$5:$AJ$120,0,MATCH(G$2,Inputs!$K$4:$AJ$4,0)))))</f>
        <v>4234</v>
      </c>
      <c r="H38" s="268">
        <f>G38</f>
        <v>4234</v>
      </c>
      <c r="I38" s="267">
        <f>IF(ISNA(MATCH(I$2,Inputs!$K$4:$AJ$4,0)),NA(),IF(SUMPRODUCT((Inputs!$A$5:$A$120=$B38)*ISNUMBER(INDEX(Inputs!$K$5:$AJ$120,0,MATCH(I$2,Inputs!$K$4:$AJ$4,0))))+SUMPRODUCT((Inputs!$C$5:$C$120=$B38)*ISNUMBER(INDEX(Inputs!$K$5:$AJ$120,0,MATCH(I$2,Inputs!$K$4:$AJ$4,0))))+SUMPRODUCT((Inputs!$E$5:$E$120=$B38)*ISNUMBER(INDEX(Inputs!$K$5:$AJ$120,0,MATCH(I$2,Inputs!$K$4:$AJ$4,0))))=0,NA(),SUMPRODUCT((Inputs!$A$5:$A$120=$B38)*Inputs!$B$5:$B$120*(((Inputs!$G$5:$G$120="moeda")+(Inputs!$G$5:$G$120="acoes"))*Inputs!$B$1+((Inputs!$G$5:$G$120&lt;&gt;"moeda")*(Inputs!$G$5:$G$120&lt;&gt;"acoes")))*INDEX(Inputs!$K$5:$AJ$120,0,MATCH(I$2,Inputs!$K$4:$AJ$4,0)))+SUMPRODUCT((Inputs!$C$5:$C$120=$B38)*Inputs!$D$5:$D$120*(((Inputs!$G$5:$G$120="moeda")+(Inputs!$G$5:$G$120="acoes"))*Inputs!$B$1+((Inputs!$G$5:$G$120&lt;&gt;"moeda")*(Inputs!$G$5:$G$120&lt;&gt;"acoes")))*INDEX(Inputs!$K$5:$AJ$120,0,MATCH(I$2,Inputs!$K$4:$AJ$4,0)))+SUMPRODUCT((Inputs!$E$5:$E$120=$B38)*Inputs!$F$5:$F$120*(((Inputs!$G$5:$G$120="moeda")+(Inputs!$G$5:$G$120="acoes"))*Inputs!$B$1+((Inputs!$G$5:$G$120&lt;&gt;"moeda")*(Inputs!$G$5:$G$120&lt;&gt;"acoes")))*INDEX(Inputs!$K$5:$AJ$120,0,MATCH(I$2,Inputs!$K$4:$AJ$4,0)))))</f>
        <v>4282</v>
      </c>
      <c r="J38" s="267">
        <f>IF(ISNA(MATCH(J$2,Inputs!$K$4:$AJ$4,0)),NA(),IF(SUMPRODUCT((Inputs!$A$5:$A$120=$B38)*ISNUMBER(INDEX(Inputs!$K$5:$AJ$120,0,MATCH(J$2,Inputs!$K$4:$AJ$4,0))))+SUMPRODUCT((Inputs!$C$5:$C$120=$B38)*ISNUMBER(INDEX(Inputs!$K$5:$AJ$120,0,MATCH(J$2,Inputs!$K$4:$AJ$4,0))))+SUMPRODUCT((Inputs!$E$5:$E$120=$B38)*ISNUMBER(INDEX(Inputs!$K$5:$AJ$120,0,MATCH(J$2,Inputs!$K$4:$AJ$4,0))))=0,NA(),SUMPRODUCT((Inputs!$A$5:$A$120=$B38)*Inputs!$B$5:$B$120*(((Inputs!$G$5:$G$120="moeda")+(Inputs!$G$5:$G$120="acoes"))*Inputs!$B$1+((Inputs!$G$5:$G$120&lt;&gt;"moeda")*(Inputs!$G$5:$G$120&lt;&gt;"acoes")))*INDEX(Inputs!$K$5:$AJ$120,0,MATCH(J$2,Inputs!$K$4:$AJ$4,0)))+SUMPRODUCT((Inputs!$C$5:$C$120=$B38)*Inputs!$D$5:$D$120*(((Inputs!$G$5:$G$120="moeda")+(Inputs!$G$5:$G$120="acoes"))*Inputs!$B$1+((Inputs!$G$5:$G$120&lt;&gt;"moeda")*(Inputs!$G$5:$G$120&lt;&gt;"acoes")))*INDEX(Inputs!$K$5:$AJ$120,0,MATCH(J$2,Inputs!$K$4:$AJ$4,0)))+SUMPRODUCT((Inputs!$E$5:$E$120=$B38)*Inputs!$F$5:$F$120*(((Inputs!$G$5:$G$120="moeda")+(Inputs!$G$5:$G$120="acoes"))*Inputs!$B$1+((Inputs!$G$5:$G$120&lt;&gt;"moeda")*(Inputs!$G$5:$G$120&lt;&gt;"acoes")))*INDEX(Inputs!$K$5:$AJ$120,0,MATCH(J$2,Inputs!$K$4:$AJ$4,0)))))</f>
        <v>4297</v>
      </c>
      <c r="K38" s="267">
        <f>IF(ISNA(MATCH(K$2,Inputs!$K$4:$AJ$4,0)),NA(),IF(SUMPRODUCT((Inputs!$A$5:$A$120=$B38)*ISNUMBER(INDEX(Inputs!$K$5:$AJ$120,0,MATCH(K$2,Inputs!$K$4:$AJ$4,0))))+SUMPRODUCT((Inputs!$C$5:$C$120=$B38)*ISNUMBER(INDEX(Inputs!$K$5:$AJ$120,0,MATCH(K$2,Inputs!$K$4:$AJ$4,0))))+SUMPRODUCT((Inputs!$E$5:$E$120=$B38)*ISNUMBER(INDEX(Inputs!$K$5:$AJ$120,0,MATCH(K$2,Inputs!$K$4:$AJ$4,0))))=0,NA(),SUMPRODUCT((Inputs!$A$5:$A$120=$B38)*Inputs!$B$5:$B$120*(((Inputs!$G$5:$G$120="moeda")+(Inputs!$G$5:$G$120="acoes"))*Inputs!$B$1+((Inputs!$G$5:$G$120&lt;&gt;"moeda")*(Inputs!$G$5:$G$120&lt;&gt;"acoes")))*INDEX(Inputs!$K$5:$AJ$120,0,MATCH(K$2,Inputs!$K$4:$AJ$4,0)))+SUMPRODUCT((Inputs!$C$5:$C$120=$B38)*Inputs!$D$5:$D$120*(((Inputs!$G$5:$G$120="moeda")+(Inputs!$G$5:$G$120="acoes"))*Inputs!$B$1+((Inputs!$G$5:$G$120&lt;&gt;"moeda")*(Inputs!$G$5:$G$120&lt;&gt;"acoes")))*INDEX(Inputs!$K$5:$AJ$120,0,MATCH(K$2,Inputs!$K$4:$AJ$4,0)))+SUMPRODUCT((Inputs!$E$5:$E$120=$B38)*Inputs!$F$5:$F$120*(((Inputs!$G$5:$G$120="moeda")+(Inputs!$G$5:$G$120="acoes"))*Inputs!$B$1+((Inputs!$G$5:$G$120&lt;&gt;"moeda")*(Inputs!$G$5:$G$120&lt;&gt;"acoes")))*INDEX(Inputs!$K$5:$AJ$120,0,MATCH(K$2,Inputs!$K$4:$AJ$4,0)))))</f>
        <v>4316</v>
      </c>
      <c r="L38" s="267">
        <f>IF(ISNA(MATCH(L$2,Inputs!$K$4:$AJ$4,0)),NA(),IF(SUMPRODUCT((Inputs!$A$5:$A$120=$B38)*ISNUMBER(INDEX(Inputs!$K$5:$AJ$120,0,MATCH(L$2,Inputs!$K$4:$AJ$4,0))))+SUMPRODUCT((Inputs!$C$5:$C$120=$B38)*ISNUMBER(INDEX(Inputs!$K$5:$AJ$120,0,MATCH(L$2,Inputs!$K$4:$AJ$4,0))))+SUMPRODUCT((Inputs!$E$5:$E$120=$B38)*ISNUMBER(INDEX(Inputs!$K$5:$AJ$120,0,MATCH(L$2,Inputs!$K$4:$AJ$4,0))))=0,NA(),SUMPRODUCT((Inputs!$A$5:$A$120=$B38)*Inputs!$B$5:$B$120*(((Inputs!$G$5:$G$120="moeda")+(Inputs!$G$5:$G$120="acoes"))*Inputs!$B$1+((Inputs!$G$5:$G$120&lt;&gt;"moeda")*(Inputs!$G$5:$G$120&lt;&gt;"acoes")))*INDEX(Inputs!$K$5:$AJ$120,0,MATCH(L$2,Inputs!$K$4:$AJ$4,0)))+SUMPRODUCT((Inputs!$C$5:$C$120=$B38)*Inputs!$D$5:$D$120*(((Inputs!$G$5:$G$120="moeda")+(Inputs!$G$5:$G$120="acoes"))*Inputs!$B$1+((Inputs!$G$5:$G$120&lt;&gt;"moeda")*(Inputs!$G$5:$G$120&lt;&gt;"acoes")))*INDEX(Inputs!$K$5:$AJ$120,0,MATCH(L$2,Inputs!$K$4:$AJ$4,0)))+SUMPRODUCT((Inputs!$E$5:$E$120=$B38)*Inputs!$F$5:$F$120*(((Inputs!$G$5:$G$120="moeda")+(Inputs!$G$5:$G$120="acoes"))*Inputs!$B$1+((Inputs!$G$5:$G$120&lt;&gt;"moeda")*(Inputs!$G$5:$G$120&lt;&gt;"acoes")))*INDEX(Inputs!$K$5:$AJ$120,0,MATCH(L$2,Inputs!$K$4:$AJ$4,0)))))</f>
        <v>4269</v>
      </c>
      <c r="M38" s="268">
        <f>L38</f>
        <v>4269</v>
      </c>
      <c r="N38" s="267">
        <f>IF(ISNA(MATCH(N$2,Inputs!$K$4:$AJ$4,0)),NA(),IF(SUMPRODUCT((Inputs!$A$5:$A$120=$B38)*ISNUMBER(INDEX(Inputs!$K$5:$AJ$120,0,MATCH(N$2,Inputs!$K$4:$AJ$4,0))))+SUMPRODUCT((Inputs!$C$5:$C$120=$B38)*ISNUMBER(INDEX(Inputs!$K$5:$AJ$120,0,MATCH(N$2,Inputs!$K$4:$AJ$4,0))))+SUMPRODUCT((Inputs!$E$5:$E$120=$B38)*ISNUMBER(INDEX(Inputs!$K$5:$AJ$120,0,MATCH(N$2,Inputs!$K$4:$AJ$4,0))))=0,NA(),SUMPRODUCT((Inputs!$A$5:$A$120=$B38)*Inputs!$B$5:$B$120*(((Inputs!$G$5:$G$120="moeda")+(Inputs!$G$5:$G$120="acoes"))*Inputs!$B$1+((Inputs!$G$5:$G$120&lt;&gt;"moeda")*(Inputs!$G$5:$G$120&lt;&gt;"acoes")))*INDEX(Inputs!$K$5:$AJ$120,0,MATCH(N$2,Inputs!$K$4:$AJ$4,0)))+SUMPRODUCT((Inputs!$C$5:$C$120=$B38)*Inputs!$D$5:$D$120*(((Inputs!$G$5:$G$120="moeda")+(Inputs!$G$5:$G$120="acoes"))*Inputs!$B$1+((Inputs!$G$5:$G$120&lt;&gt;"moeda")*(Inputs!$G$5:$G$120&lt;&gt;"acoes")))*INDEX(Inputs!$K$5:$AJ$120,0,MATCH(N$2,Inputs!$K$4:$AJ$4,0)))+SUMPRODUCT((Inputs!$E$5:$E$120=$B38)*Inputs!$F$5:$F$120*(((Inputs!$G$5:$G$120="moeda")+(Inputs!$G$5:$G$120="acoes"))*Inputs!$B$1+((Inputs!$G$5:$G$120&lt;&gt;"moeda")*(Inputs!$G$5:$G$120&lt;&gt;"acoes")))*INDEX(Inputs!$K$5:$AJ$120,0,MATCH(N$2,Inputs!$K$4:$AJ$4,0)))))</f>
        <v>4305</v>
      </c>
      <c r="O38" s="267">
        <f>IF(ISNA(MATCH(O$2,Inputs!$K$4:$AJ$4,0)),NA(),IF(SUMPRODUCT((Inputs!$A$5:$A$120=$B38)*ISNUMBER(INDEX(Inputs!$K$5:$AJ$120,0,MATCH(O$2,Inputs!$K$4:$AJ$4,0))))+SUMPRODUCT((Inputs!$C$5:$C$120=$B38)*ISNUMBER(INDEX(Inputs!$K$5:$AJ$120,0,MATCH(O$2,Inputs!$K$4:$AJ$4,0))))+SUMPRODUCT((Inputs!$E$5:$E$120=$B38)*ISNUMBER(INDEX(Inputs!$K$5:$AJ$120,0,MATCH(O$2,Inputs!$K$4:$AJ$4,0))))=0,NA(),SUMPRODUCT((Inputs!$A$5:$A$120=$B38)*Inputs!$B$5:$B$120*(((Inputs!$G$5:$G$120="moeda")+(Inputs!$G$5:$G$120="acoes"))*Inputs!$B$1+((Inputs!$G$5:$G$120&lt;&gt;"moeda")*(Inputs!$G$5:$G$120&lt;&gt;"acoes")))*INDEX(Inputs!$K$5:$AJ$120,0,MATCH(O$2,Inputs!$K$4:$AJ$4,0)))+SUMPRODUCT((Inputs!$C$5:$C$120=$B38)*Inputs!$D$5:$D$120*(((Inputs!$G$5:$G$120="moeda")+(Inputs!$G$5:$G$120="acoes"))*Inputs!$B$1+((Inputs!$G$5:$G$120&lt;&gt;"moeda")*(Inputs!$G$5:$G$120&lt;&gt;"acoes")))*INDEX(Inputs!$K$5:$AJ$120,0,MATCH(O$2,Inputs!$K$4:$AJ$4,0)))+SUMPRODUCT((Inputs!$E$5:$E$120=$B38)*Inputs!$F$5:$F$120*(((Inputs!$G$5:$G$120="moeda")+(Inputs!$G$5:$G$120="acoes"))*Inputs!$B$1+((Inputs!$G$5:$G$120&lt;&gt;"moeda")*(Inputs!$G$5:$G$120&lt;&gt;"acoes")))*INDEX(Inputs!$K$5:$AJ$120,0,MATCH(O$2,Inputs!$K$4:$AJ$4,0)))))</f>
        <v>4343</v>
      </c>
      <c r="P38" s="267">
        <f>IF(ISNA(MATCH(P$2,Inputs!$K$4:$AJ$4,0)),NA(),IF(SUMPRODUCT((Inputs!$A$5:$A$120=$B38)*ISNUMBER(INDEX(Inputs!$K$5:$AJ$120,0,MATCH(P$2,Inputs!$K$4:$AJ$4,0))))+SUMPRODUCT((Inputs!$C$5:$C$120=$B38)*ISNUMBER(INDEX(Inputs!$K$5:$AJ$120,0,MATCH(P$2,Inputs!$K$4:$AJ$4,0))))+SUMPRODUCT((Inputs!$E$5:$E$120=$B38)*ISNUMBER(INDEX(Inputs!$K$5:$AJ$120,0,MATCH(P$2,Inputs!$K$4:$AJ$4,0))))=0,NA(),SUMPRODUCT((Inputs!$A$5:$A$120=$B38)*Inputs!$B$5:$B$120*(((Inputs!$G$5:$G$120="moeda")+(Inputs!$G$5:$G$120="acoes"))*Inputs!$B$1+((Inputs!$G$5:$G$120&lt;&gt;"moeda")*(Inputs!$G$5:$G$120&lt;&gt;"acoes")))*INDEX(Inputs!$K$5:$AJ$120,0,MATCH(P$2,Inputs!$K$4:$AJ$4,0)))+SUMPRODUCT((Inputs!$C$5:$C$120=$B38)*Inputs!$D$5:$D$120*(((Inputs!$G$5:$G$120="moeda")+(Inputs!$G$5:$G$120="acoes"))*Inputs!$B$1+((Inputs!$G$5:$G$120&lt;&gt;"moeda")*(Inputs!$G$5:$G$120&lt;&gt;"acoes")))*INDEX(Inputs!$K$5:$AJ$120,0,MATCH(P$2,Inputs!$K$4:$AJ$4,0)))+SUMPRODUCT((Inputs!$E$5:$E$120=$B38)*Inputs!$F$5:$F$120*(((Inputs!$G$5:$G$120="moeda")+(Inputs!$G$5:$G$120="acoes"))*Inputs!$B$1+((Inputs!$G$5:$G$120&lt;&gt;"moeda")*(Inputs!$G$5:$G$120&lt;&gt;"acoes")))*INDEX(Inputs!$K$5:$AJ$120,0,MATCH(P$2,Inputs!$K$4:$AJ$4,0)))))</f>
        <v>4399</v>
      </c>
      <c r="Q38" s="267">
        <f>IF(ISNA(MATCH(Q$2,Inputs!$K$4:$AJ$4,0)),NA(),IF(SUMPRODUCT((Inputs!$A$5:$A$120=$B38)*ISNUMBER(INDEX(Inputs!$K$5:$AJ$120,0,MATCH(Q$2,Inputs!$K$4:$AJ$4,0))))+SUMPRODUCT((Inputs!$C$5:$C$120=$B38)*ISNUMBER(INDEX(Inputs!$K$5:$AJ$120,0,MATCH(Q$2,Inputs!$K$4:$AJ$4,0))))+SUMPRODUCT((Inputs!$E$5:$E$120=$B38)*ISNUMBER(INDEX(Inputs!$K$5:$AJ$120,0,MATCH(Q$2,Inputs!$K$4:$AJ$4,0))))=0,NA(),SUMPRODUCT((Inputs!$A$5:$A$120=$B38)*Inputs!$B$5:$B$120*(((Inputs!$G$5:$G$120="moeda")+(Inputs!$G$5:$G$120="acoes"))*Inputs!$B$1+((Inputs!$G$5:$G$120&lt;&gt;"moeda")*(Inputs!$G$5:$G$120&lt;&gt;"acoes")))*INDEX(Inputs!$K$5:$AJ$120,0,MATCH(Q$2,Inputs!$K$4:$AJ$4,0)))+SUMPRODUCT((Inputs!$C$5:$C$120=$B38)*Inputs!$D$5:$D$120*(((Inputs!$G$5:$G$120="moeda")+(Inputs!$G$5:$G$120="acoes"))*Inputs!$B$1+((Inputs!$G$5:$G$120&lt;&gt;"moeda")*(Inputs!$G$5:$G$120&lt;&gt;"acoes")))*INDEX(Inputs!$K$5:$AJ$120,0,MATCH(Q$2,Inputs!$K$4:$AJ$4,0)))+SUMPRODUCT((Inputs!$E$5:$E$120=$B38)*Inputs!$F$5:$F$120*(((Inputs!$G$5:$G$120="moeda")+(Inputs!$G$5:$G$120="acoes"))*Inputs!$B$1+((Inputs!$G$5:$G$120&lt;&gt;"moeda")*(Inputs!$G$5:$G$120&lt;&gt;"acoes")))*INDEX(Inputs!$K$5:$AJ$120,0,MATCH(Q$2,Inputs!$K$4:$AJ$4,0)))))</f>
        <v>4453</v>
      </c>
      <c r="R38" s="268">
        <f>Q38</f>
        <v>4453</v>
      </c>
      <c r="S38" s="267">
        <f>IF(ISNA(MATCH(S$2,Inputs!$K$4:$AJ$4,0)),NA(),IF(SUMPRODUCT((Inputs!$A$5:$A$120=$B38)*ISNUMBER(INDEX(Inputs!$K$5:$AJ$120,0,MATCH(S$2,Inputs!$K$4:$AJ$4,0))))+SUMPRODUCT((Inputs!$C$5:$C$120=$B38)*ISNUMBER(INDEX(Inputs!$K$5:$AJ$120,0,MATCH(S$2,Inputs!$K$4:$AJ$4,0))))+SUMPRODUCT((Inputs!$E$5:$E$120=$B38)*ISNUMBER(INDEX(Inputs!$K$5:$AJ$120,0,MATCH(S$2,Inputs!$K$4:$AJ$4,0))))=0,NA(),SUMPRODUCT((Inputs!$A$5:$A$120=$B38)*Inputs!$B$5:$B$120*(((Inputs!$G$5:$G$120="moeda")+(Inputs!$G$5:$G$120="acoes"))*Inputs!$B$1+((Inputs!$G$5:$G$120&lt;&gt;"moeda")*(Inputs!$G$5:$G$120&lt;&gt;"acoes")))*INDEX(Inputs!$K$5:$AJ$120,0,MATCH(S$2,Inputs!$K$4:$AJ$4,0)))+SUMPRODUCT((Inputs!$C$5:$C$120=$B38)*Inputs!$D$5:$D$120*(((Inputs!$G$5:$G$120="moeda")+(Inputs!$G$5:$G$120="acoes"))*Inputs!$B$1+((Inputs!$G$5:$G$120&lt;&gt;"moeda")*(Inputs!$G$5:$G$120&lt;&gt;"acoes")))*INDEX(Inputs!$K$5:$AJ$120,0,MATCH(S$2,Inputs!$K$4:$AJ$4,0)))+SUMPRODUCT((Inputs!$E$5:$E$120=$B38)*Inputs!$F$5:$F$120*(((Inputs!$G$5:$G$120="moeda")+(Inputs!$G$5:$G$120="acoes"))*Inputs!$B$1+((Inputs!$G$5:$G$120&lt;&gt;"moeda")*(Inputs!$G$5:$G$120&lt;&gt;"acoes")))*INDEX(Inputs!$K$5:$AJ$120,0,MATCH(S$2,Inputs!$K$4:$AJ$4,0)))))</f>
        <v>4500</v>
      </c>
      <c r="T38" s="267">
        <f>IF(ISNA(MATCH(T$2,Inputs!$K$4:$AJ$4,0)),NA(),IF(SUMPRODUCT((Inputs!$A$5:$A$120=$B38)*ISNUMBER(INDEX(Inputs!$K$5:$AJ$120,0,MATCH(T$2,Inputs!$K$4:$AJ$4,0))))+SUMPRODUCT((Inputs!$C$5:$C$120=$B38)*ISNUMBER(INDEX(Inputs!$K$5:$AJ$120,0,MATCH(T$2,Inputs!$K$4:$AJ$4,0))))+SUMPRODUCT((Inputs!$E$5:$E$120=$B38)*ISNUMBER(INDEX(Inputs!$K$5:$AJ$120,0,MATCH(T$2,Inputs!$K$4:$AJ$4,0))))=0,NA(),SUMPRODUCT((Inputs!$A$5:$A$120=$B38)*Inputs!$B$5:$B$120*(((Inputs!$G$5:$G$120="moeda")+(Inputs!$G$5:$G$120="acoes"))*Inputs!$B$1+((Inputs!$G$5:$G$120&lt;&gt;"moeda")*(Inputs!$G$5:$G$120&lt;&gt;"acoes")))*INDEX(Inputs!$K$5:$AJ$120,0,MATCH(T$2,Inputs!$K$4:$AJ$4,0)))+SUMPRODUCT((Inputs!$C$5:$C$120=$B38)*Inputs!$D$5:$D$120*(((Inputs!$G$5:$G$120="moeda")+(Inputs!$G$5:$G$120="acoes"))*Inputs!$B$1+((Inputs!$G$5:$G$120&lt;&gt;"moeda")*(Inputs!$G$5:$G$120&lt;&gt;"acoes")))*INDEX(Inputs!$K$5:$AJ$120,0,MATCH(T$2,Inputs!$K$4:$AJ$4,0)))+SUMPRODUCT((Inputs!$E$5:$E$120=$B38)*Inputs!$F$5:$F$120*(((Inputs!$G$5:$G$120="moeda")+(Inputs!$G$5:$G$120="acoes"))*Inputs!$B$1+((Inputs!$G$5:$G$120&lt;&gt;"moeda")*(Inputs!$G$5:$G$120&lt;&gt;"acoes")))*INDEX(Inputs!$K$5:$AJ$120,0,MATCH(T$2,Inputs!$K$4:$AJ$4,0)))))</f>
        <v>4491</v>
      </c>
      <c r="U38" s="267">
        <f>IF(ISNA(MATCH(U$2,Inputs!$K$4:$AJ$4,0)),NA(),IF(SUMPRODUCT((Inputs!$A$5:$A$120=$B38)*ISNUMBER(INDEX(Inputs!$K$5:$AJ$120,0,MATCH(U$2,Inputs!$K$4:$AJ$4,0))))+SUMPRODUCT((Inputs!$C$5:$C$120=$B38)*ISNUMBER(INDEX(Inputs!$K$5:$AJ$120,0,MATCH(U$2,Inputs!$K$4:$AJ$4,0))))+SUMPRODUCT((Inputs!$E$5:$E$120=$B38)*ISNUMBER(INDEX(Inputs!$K$5:$AJ$120,0,MATCH(U$2,Inputs!$K$4:$AJ$4,0))))=0,NA(),SUMPRODUCT((Inputs!$A$5:$A$120=$B38)*Inputs!$B$5:$B$120*(((Inputs!$G$5:$G$120="moeda")+(Inputs!$G$5:$G$120="acoes"))*Inputs!$B$1+((Inputs!$G$5:$G$120&lt;&gt;"moeda")*(Inputs!$G$5:$G$120&lt;&gt;"acoes")))*INDEX(Inputs!$K$5:$AJ$120,0,MATCH(U$2,Inputs!$K$4:$AJ$4,0)))+SUMPRODUCT((Inputs!$C$5:$C$120=$B38)*Inputs!$D$5:$D$120*(((Inputs!$G$5:$G$120="moeda")+(Inputs!$G$5:$G$120="acoes"))*Inputs!$B$1+((Inputs!$G$5:$G$120&lt;&gt;"moeda")*(Inputs!$G$5:$G$120&lt;&gt;"acoes")))*INDEX(Inputs!$K$5:$AJ$120,0,MATCH(U$2,Inputs!$K$4:$AJ$4,0)))+SUMPRODUCT((Inputs!$E$5:$E$120=$B38)*Inputs!$F$5:$F$120*(((Inputs!$G$5:$G$120="moeda")+(Inputs!$G$5:$G$120="acoes"))*Inputs!$B$1+((Inputs!$G$5:$G$120&lt;&gt;"moeda")*(Inputs!$G$5:$G$120&lt;&gt;"acoes")))*INDEX(Inputs!$K$5:$AJ$120,0,MATCH(U$2,Inputs!$K$4:$AJ$4,0)))))</f>
        <v>4492</v>
      </c>
      <c r="V38" s="267">
        <f>IF(ISNA(MATCH(V$2,Inputs!$K$4:$AJ$4,0)),NA(),IF(SUMPRODUCT((Inputs!$A$5:$A$120=$B38)*ISNUMBER(INDEX(Inputs!$K$5:$AJ$120,0,MATCH(V$2,Inputs!$K$4:$AJ$4,0))))+SUMPRODUCT((Inputs!$C$5:$C$120=$B38)*ISNUMBER(INDEX(Inputs!$K$5:$AJ$120,0,MATCH(V$2,Inputs!$K$4:$AJ$4,0))))+SUMPRODUCT((Inputs!$E$5:$E$120=$B38)*ISNUMBER(INDEX(Inputs!$K$5:$AJ$120,0,MATCH(V$2,Inputs!$K$4:$AJ$4,0))))=0,NA(),SUMPRODUCT((Inputs!$A$5:$A$120=$B38)*Inputs!$B$5:$B$120*(((Inputs!$G$5:$G$120="moeda")+(Inputs!$G$5:$G$120="acoes"))*Inputs!$B$1+((Inputs!$G$5:$G$120&lt;&gt;"moeda")*(Inputs!$G$5:$G$120&lt;&gt;"acoes")))*INDEX(Inputs!$K$5:$AJ$120,0,MATCH(V$2,Inputs!$K$4:$AJ$4,0)))+SUMPRODUCT((Inputs!$C$5:$C$120=$B38)*Inputs!$D$5:$D$120*(((Inputs!$G$5:$G$120="moeda")+(Inputs!$G$5:$G$120="acoes"))*Inputs!$B$1+((Inputs!$G$5:$G$120&lt;&gt;"moeda")*(Inputs!$G$5:$G$120&lt;&gt;"acoes")))*INDEX(Inputs!$K$5:$AJ$120,0,MATCH(V$2,Inputs!$K$4:$AJ$4,0)))+SUMPRODUCT((Inputs!$E$5:$E$120=$B38)*Inputs!$F$5:$F$120*(((Inputs!$G$5:$G$120="moeda")+(Inputs!$G$5:$G$120="acoes"))*Inputs!$B$1+((Inputs!$G$5:$G$120&lt;&gt;"moeda")*(Inputs!$G$5:$G$120&lt;&gt;"acoes")))*INDEX(Inputs!$K$5:$AJ$120,0,MATCH(V$2,Inputs!$K$4:$AJ$4,0)))))</f>
        <v>4376</v>
      </c>
      <c r="W38" s="268">
        <f>V38</f>
        <v>4376</v>
      </c>
      <c r="X38" s="267">
        <f>IF(ISNA(MATCH(X$2,Inputs!$K$4:$AJ$4,0)),NA(),IF(SUMPRODUCT((Inputs!$A$5:$A$120=$B38)*ISNUMBER(INDEX(Inputs!$K$5:$AJ$120,0,MATCH(X$2,Inputs!$K$4:$AJ$4,0))))+SUMPRODUCT((Inputs!$C$5:$C$120=$B38)*ISNUMBER(INDEX(Inputs!$K$5:$AJ$120,0,MATCH(X$2,Inputs!$K$4:$AJ$4,0))))+SUMPRODUCT((Inputs!$E$5:$E$120=$B38)*ISNUMBER(INDEX(Inputs!$K$5:$AJ$120,0,MATCH(X$2,Inputs!$K$4:$AJ$4,0))))=0,NA(),SUMPRODUCT((Inputs!$A$5:$A$120=$B38)*Inputs!$B$5:$B$120*(((Inputs!$G$5:$G$120="moeda")+(Inputs!$G$5:$G$120="acoes"))*Inputs!$B$1+((Inputs!$G$5:$G$120&lt;&gt;"moeda")*(Inputs!$G$5:$G$120&lt;&gt;"acoes")))*INDEX(Inputs!$K$5:$AJ$120,0,MATCH(X$2,Inputs!$K$4:$AJ$4,0)))+SUMPRODUCT((Inputs!$C$5:$C$120=$B38)*Inputs!$D$5:$D$120*(((Inputs!$G$5:$G$120="moeda")+(Inputs!$G$5:$G$120="acoes"))*Inputs!$B$1+((Inputs!$G$5:$G$120&lt;&gt;"moeda")*(Inputs!$G$5:$G$120&lt;&gt;"acoes")))*INDEX(Inputs!$K$5:$AJ$120,0,MATCH(X$2,Inputs!$K$4:$AJ$4,0)))+SUMPRODUCT((Inputs!$E$5:$E$120=$B38)*Inputs!$F$5:$F$120*(((Inputs!$G$5:$G$120="moeda")+(Inputs!$G$5:$G$120="acoes"))*Inputs!$B$1+((Inputs!$G$5:$G$120&lt;&gt;"moeda")*(Inputs!$G$5:$G$120&lt;&gt;"acoes")))*INDEX(Inputs!$K$5:$AJ$120,0,MATCH(X$2,Inputs!$K$4:$AJ$4,0)))))</f>
        <v>4402</v>
      </c>
      <c r="Y38" s="267">
        <f>IF(ISNA(MATCH(Y$2,Inputs!$K$4:$AJ$4,0)),NA(),IF(SUMPRODUCT((Inputs!$A$5:$A$120=$B38)*ISNUMBER(INDEX(Inputs!$K$5:$AJ$120,0,MATCH(Y$2,Inputs!$K$4:$AJ$4,0))))+SUMPRODUCT((Inputs!$C$5:$C$120=$B38)*ISNUMBER(INDEX(Inputs!$K$5:$AJ$120,0,MATCH(Y$2,Inputs!$K$4:$AJ$4,0))))+SUMPRODUCT((Inputs!$E$5:$E$120=$B38)*ISNUMBER(INDEX(Inputs!$K$5:$AJ$120,0,MATCH(Y$2,Inputs!$K$4:$AJ$4,0))))=0,NA(),SUMPRODUCT((Inputs!$A$5:$A$120=$B38)*Inputs!$B$5:$B$120*(((Inputs!$G$5:$G$120="moeda")+(Inputs!$G$5:$G$120="acoes"))*Inputs!$B$1+((Inputs!$G$5:$G$120&lt;&gt;"moeda")*(Inputs!$G$5:$G$120&lt;&gt;"acoes")))*INDEX(Inputs!$K$5:$AJ$120,0,MATCH(Y$2,Inputs!$K$4:$AJ$4,0)))+SUMPRODUCT((Inputs!$C$5:$C$120=$B38)*Inputs!$D$5:$D$120*(((Inputs!$G$5:$G$120="moeda")+(Inputs!$G$5:$G$120="acoes"))*Inputs!$B$1+((Inputs!$G$5:$G$120&lt;&gt;"moeda")*(Inputs!$G$5:$G$120&lt;&gt;"acoes")))*INDEX(Inputs!$K$5:$AJ$120,0,MATCH(Y$2,Inputs!$K$4:$AJ$4,0)))+SUMPRODUCT((Inputs!$E$5:$E$120=$B38)*Inputs!$F$5:$F$120*(((Inputs!$G$5:$G$120="moeda")+(Inputs!$G$5:$G$120="acoes"))*Inputs!$B$1+((Inputs!$G$5:$G$120&lt;&gt;"moeda")*(Inputs!$G$5:$G$120&lt;&gt;"acoes")))*INDEX(Inputs!$K$5:$AJ$120,0,MATCH(Y$2,Inputs!$K$4:$AJ$4,0)))))</f>
        <v>4410</v>
      </c>
      <c r="Z38" s="267">
        <f>IF(ISNA(MATCH(Z$2,Inputs!$K$4:$AJ$4,0)),NA(),IF(SUMPRODUCT((Inputs!$A$5:$A$120=$B38)*ISNUMBER(INDEX(Inputs!$K$5:$AJ$120,0,MATCH(Z$2,Inputs!$K$4:$AJ$4,0))))+SUMPRODUCT((Inputs!$C$5:$C$120=$B38)*ISNUMBER(INDEX(Inputs!$K$5:$AJ$120,0,MATCH(Z$2,Inputs!$K$4:$AJ$4,0))))+SUMPRODUCT((Inputs!$E$5:$E$120=$B38)*ISNUMBER(INDEX(Inputs!$K$5:$AJ$120,0,MATCH(Z$2,Inputs!$K$4:$AJ$4,0))))=0,NA(),SUMPRODUCT((Inputs!$A$5:$A$120=$B38)*Inputs!$B$5:$B$120*(((Inputs!$G$5:$G$120="moeda")+(Inputs!$G$5:$G$120="acoes"))*Inputs!$B$1+((Inputs!$G$5:$G$120&lt;&gt;"moeda")*(Inputs!$G$5:$G$120&lt;&gt;"acoes")))*INDEX(Inputs!$K$5:$AJ$120,0,MATCH(Z$2,Inputs!$K$4:$AJ$4,0)))+SUMPRODUCT((Inputs!$C$5:$C$120=$B38)*Inputs!$D$5:$D$120*(((Inputs!$G$5:$G$120="moeda")+(Inputs!$G$5:$G$120="acoes"))*Inputs!$B$1+((Inputs!$G$5:$G$120&lt;&gt;"moeda")*(Inputs!$G$5:$G$120&lt;&gt;"acoes")))*INDEX(Inputs!$K$5:$AJ$120,0,MATCH(Z$2,Inputs!$K$4:$AJ$4,0)))+SUMPRODUCT((Inputs!$E$5:$E$120=$B38)*Inputs!$F$5:$F$120*(((Inputs!$G$5:$G$120="moeda")+(Inputs!$G$5:$G$120="acoes"))*Inputs!$B$1+((Inputs!$G$5:$G$120&lt;&gt;"moeda")*(Inputs!$G$5:$G$120&lt;&gt;"acoes")))*INDEX(Inputs!$K$5:$AJ$120,0,MATCH(Z$2,Inputs!$K$4:$AJ$4,0)))))</f>
        <v>4359</v>
      </c>
      <c r="AA38" s="267">
        <f>IF(ISNA(MATCH(AA$2,Inputs!$K$4:$AJ$4,0)),NA(),IF(SUMPRODUCT((Inputs!$A$5:$A$120=$B38)*ISNUMBER(INDEX(Inputs!$K$5:$AJ$120,0,MATCH(AA$2,Inputs!$K$4:$AJ$4,0))))+SUMPRODUCT((Inputs!$C$5:$C$120=$B38)*ISNUMBER(INDEX(Inputs!$K$5:$AJ$120,0,MATCH(AA$2,Inputs!$K$4:$AJ$4,0))))+SUMPRODUCT((Inputs!$E$5:$E$120=$B38)*ISNUMBER(INDEX(Inputs!$K$5:$AJ$120,0,MATCH(AA$2,Inputs!$K$4:$AJ$4,0))))=0,NA(),SUMPRODUCT((Inputs!$A$5:$A$120=$B38)*Inputs!$B$5:$B$120*(((Inputs!$G$5:$G$120="moeda")+(Inputs!$G$5:$G$120="acoes"))*Inputs!$B$1+((Inputs!$G$5:$G$120&lt;&gt;"moeda")*(Inputs!$G$5:$G$120&lt;&gt;"acoes")))*INDEX(Inputs!$K$5:$AJ$120,0,MATCH(AA$2,Inputs!$K$4:$AJ$4,0)))+SUMPRODUCT((Inputs!$C$5:$C$120=$B38)*Inputs!$D$5:$D$120*(((Inputs!$G$5:$G$120="moeda")+(Inputs!$G$5:$G$120="acoes"))*Inputs!$B$1+((Inputs!$G$5:$G$120&lt;&gt;"moeda")*(Inputs!$G$5:$G$120&lt;&gt;"acoes")))*INDEX(Inputs!$K$5:$AJ$120,0,MATCH(AA$2,Inputs!$K$4:$AJ$4,0)))+SUMPRODUCT((Inputs!$E$5:$E$120=$B38)*Inputs!$F$5:$F$120*(((Inputs!$G$5:$G$120="moeda")+(Inputs!$G$5:$G$120="acoes"))*Inputs!$B$1+((Inputs!$G$5:$G$120&lt;&gt;"moeda")*(Inputs!$G$5:$G$120&lt;&gt;"acoes")))*INDEX(Inputs!$K$5:$AJ$120,0,MATCH(AA$2,Inputs!$K$4:$AJ$4,0)))))</f>
        <v>4622</v>
      </c>
      <c r="AB38" s="268">
        <f>AA38</f>
        <v>4622</v>
      </c>
      <c r="AC38" s="267">
        <f>IF(ISNA(MATCH(AC$2,Inputs!$K$4:$AJ$4,0)),NA(),IF(SUMPRODUCT((Inputs!$A$5:$A$120=$B38)*ISNUMBER(INDEX(Inputs!$K$5:$AJ$120,0,MATCH(AC$2,Inputs!$K$4:$AJ$4,0))))+SUMPRODUCT((Inputs!$C$5:$C$120=$B38)*ISNUMBER(INDEX(Inputs!$K$5:$AJ$120,0,MATCH(AC$2,Inputs!$K$4:$AJ$4,0))))+SUMPRODUCT((Inputs!$E$5:$E$120=$B38)*ISNUMBER(INDEX(Inputs!$K$5:$AJ$120,0,MATCH(AC$2,Inputs!$K$4:$AJ$4,0))))=0,NA(),SUMPRODUCT((Inputs!$A$5:$A$120=$B38)*Inputs!$B$5:$B$120*(((Inputs!$G$5:$G$120="moeda")+(Inputs!$G$5:$G$120="acoes"))*Inputs!$B$1+((Inputs!$G$5:$G$120&lt;&gt;"moeda")*(Inputs!$G$5:$G$120&lt;&gt;"acoes")))*INDEX(Inputs!$K$5:$AJ$120,0,MATCH(AC$2,Inputs!$K$4:$AJ$4,0)))+SUMPRODUCT((Inputs!$C$5:$C$120=$B38)*Inputs!$D$5:$D$120*(((Inputs!$G$5:$G$120="moeda")+(Inputs!$G$5:$G$120="acoes"))*Inputs!$B$1+((Inputs!$G$5:$G$120&lt;&gt;"moeda")*(Inputs!$G$5:$G$120&lt;&gt;"acoes")))*INDEX(Inputs!$K$5:$AJ$120,0,MATCH(AC$2,Inputs!$K$4:$AJ$4,0)))+SUMPRODUCT((Inputs!$E$5:$E$120=$B38)*Inputs!$F$5:$F$120*(((Inputs!$G$5:$G$120="moeda")+(Inputs!$G$5:$G$120="acoes"))*Inputs!$B$1+((Inputs!$G$5:$G$120&lt;&gt;"moeda")*(Inputs!$G$5:$G$120&lt;&gt;"acoes")))*INDEX(Inputs!$K$5:$AJ$120,0,MATCH(AC$2,Inputs!$K$4:$AJ$4,0)))))</f>
        <v>4641</v>
      </c>
      <c r="AD38" s="267">
        <f>IF(ISNA(MATCH(AD$2,Inputs!$K$4:$AJ$4,0)),NA(),IF(SUMPRODUCT((Inputs!$A$5:$A$120=$B38)*ISNUMBER(INDEX(Inputs!$K$5:$AJ$120,0,MATCH(AD$2,Inputs!$K$4:$AJ$4,0))))+SUMPRODUCT((Inputs!$C$5:$C$120=$B38)*ISNUMBER(INDEX(Inputs!$K$5:$AJ$120,0,MATCH(AD$2,Inputs!$K$4:$AJ$4,0))))+SUMPRODUCT((Inputs!$E$5:$E$120=$B38)*ISNUMBER(INDEX(Inputs!$K$5:$AJ$120,0,MATCH(AD$2,Inputs!$K$4:$AJ$4,0))))=0,NA(),SUMPRODUCT((Inputs!$A$5:$A$120=$B38)*Inputs!$B$5:$B$120*(((Inputs!$G$5:$G$120="moeda")+(Inputs!$G$5:$G$120="acoes"))*Inputs!$B$1+((Inputs!$G$5:$G$120&lt;&gt;"moeda")*(Inputs!$G$5:$G$120&lt;&gt;"acoes")))*INDEX(Inputs!$K$5:$AJ$120,0,MATCH(AD$2,Inputs!$K$4:$AJ$4,0)))+SUMPRODUCT((Inputs!$C$5:$C$120=$B38)*Inputs!$D$5:$D$120*(((Inputs!$G$5:$G$120="moeda")+(Inputs!$G$5:$G$120="acoes"))*Inputs!$B$1+((Inputs!$G$5:$G$120&lt;&gt;"moeda")*(Inputs!$G$5:$G$120&lt;&gt;"acoes")))*INDEX(Inputs!$K$5:$AJ$120,0,MATCH(AD$2,Inputs!$K$4:$AJ$4,0)))+SUMPRODUCT((Inputs!$E$5:$E$120=$B38)*Inputs!$F$5:$F$120*(((Inputs!$G$5:$G$120="moeda")+(Inputs!$G$5:$G$120="acoes"))*Inputs!$B$1+((Inputs!$G$5:$G$120&lt;&gt;"moeda")*(Inputs!$G$5:$G$120&lt;&gt;"acoes")))*INDEX(Inputs!$K$5:$AJ$120,0,MATCH(AD$2,Inputs!$K$4:$AJ$4,0)))))</f>
        <v>4658</v>
      </c>
      <c r="AE38" s="267" t="e">
        <f>IF(ISNA(MATCH(AE$2,Inputs!$K$4:$AJ$4,0)),NA(),IF(SUMPRODUCT((Inputs!$A$5:$A$120=$B38)*ISNUMBER(INDEX(Inputs!$K$5:$AJ$120,0,MATCH(AE$2,Inputs!$K$4:$AJ$4,0))))+SUMPRODUCT((Inputs!$C$5:$C$120=$B38)*ISNUMBER(INDEX(Inputs!$K$5:$AJ$120,0,MATCH(AE$2,Inputs!$K$4:$AJ$4,0))))+SUMPRODUCT((Inputs!$E$5:$E$120=$B38)*ISNUMBER(INDEX(Inputs!$K$5:$AJ$120,0,MATCH(AE$2,Inputs!$K$4:$AJ$4,0))))=0,NA(),SUMPRODUCT((Inputs!$A$5:$A$120=$B38)*Inputs!$B$5:$B$120*(((Inputs!$G$5:$G$120="moeda")+(Inputs!$G$5:$G$120="acoes"))*Inputs!$B$1+((Inputs!$G$5:$G$120&lt;&gt;"moeda")*(Inputs!$G$5:$G$120&lt;&gt;"acoes")))*INDEX(Inputs!$K$5:$AJ$120,0,MATCH(AE$2,Inputs!$K$4:$AJ$4,0)))+SUMPRODUCT((Inputs!$C$5:$C$120=$B38)*Inputs!$D$5:$D$120*(((Inputs!$G$5:$G$120="moeda")+(Inputs!$G$5:$G$120="acoes"))*Inputs!$B$1+((Inputs!$G$5:$G$120&lt;&gt;"moeda")*(Inputs!$G$5:$G$120&lt;&gt;"acoes")))*INDEX(Inputs!$K$5:$AJ$120,0,MATCH(AE$2,Inputs!$K$4:$AJ$4,0)))+SUMPRODUCT((Inputs!$E$5:$E$120=$B38)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8" s="267" t="e">
        <f>IF(ISNA(MATCH(AF$2,Inputs!$K$4:$AJ$4,0)),NA(),IF(SUMPRODUCT((Inputs!$A$5:$A$120=$B38)*ISNUMBER(INDEX(Inputs!$K$5:$AJ$120,0,MATCH(AF$2,Inputs!$K$4:$AJ$4,0))))+SUMPRODUCT((Inputs!$C$5:$C$120=$B38)*ISNUMBER(INDEX(Inputs!$K$5:$AJ$120,0,MATCH(AF$2,Inputs!$K$4:$AJ$4,0))))+SUMPRODUCT((Inputs!$E$5:$E$120=$B38)*ISNUMBER(INDEX(Inputs!$K$5:$AJ$120,0,MATCH(AF$2,Inputs!$K$4:$AJ$4,0))))=0,NA(),SUMPRODUCT((Inputs!$A$5:$A$120=$B38)*Inputs!$B$5:$B$120*(((Inputs!$G$5:$G$120="moeda")+(Inputs!$G$5:$G$120="acoes"))*Inputs!$B$1+((Inputs!$G$5:$G$120&lt;&gt;"moeda")*(Inputs!$G$5:$G$120&lt;&gt;"acoes")))*INDEX(Inputs!$K$5:$AJ$120,0,MATCH(AF$2,Inputs!$K$4:$AJ$4,0)))+SUMPRODUCT((Inputs!$C$5:$C$120=$B38)*Inputs!$D$5:$D$120*(((Inputs!$G$5:$G$120="moeda")+(Inputs!$G$5:$G$120="acoes"))*Inputs!$B$1+((Inputs!$G$5:$G$120&lt;&gt;"moeda")*(Inputs!$G$5:$G$120&lt;&gt;"acoes")))*INDEX(Inputs!$K$5:$AJ$120,0,MATCH(AF$2,Inputs!$K$4:$AJ$4,0)))+SUMPRODUCT((Inputs!$E$5:$E$120=$B38)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8" s="268" t="e">
        <f>AF38</f>
        <v>#N/A</v>
      </c>
      <c r="AH38" s="267">
        <f>IF(ISNA(MATCH(AH$2,Inputs!$K$4:$AJ$4,0)),NA(),IF(SUMPRODUCT((Inputs!$A$5:$A$120=$B38)*ISNUMBER(INDEX(Inputs!$K$5:$AJ$120,0,MATCH(AH$2,Inputs!$K$4:$AJ$4,0))))+SUMPRODUCT((Inputs!$C$5:$C$120=$B38)*ISNUMBER(INDEX(Inputs!$K$5:$AJ$120,0,MATCH(AH$2,Inputs!$K$4:$AJ$4,0))))+SUMPRODUCT((Inputs!$E$5:$E$120=$B38)*ISNUMBER(INDEX(Inputs!$K$5:$AJ$120,0,MATCH(AH$2,Inputs!$K$4:$AJ$4,0))))=0,NA(),SUMPRODUCT((Inputs!$A$5:$A$120=$B38)*Inputs!$B$5:$B$120*(((Inputs!$G$5:$G$120="moeda")+(Inputs!$G$5:$G$120="acoes"))*Inputs!$B$1+((Inputs!$G$5:$G$120&lt;&gt;"moeda")*(Inputs!$G$5:$G$120&lt;&gt;"acoes")))*INDEX(Inputs!$K$5:$AJ$120,0,MATCH(AH$2,Inputs!$K$4:$AJ$4,0)))+SUMPRODUCT((Inputs!$C$5:$C$120=$B38)*Inputs!$D$5:$D$120*(((Inputs!$G$5:$G$120="moeda")+(Inputs!$G$5:$G$120="acoes"))*Inputs!$B$1+((Inputs!$G$5:$G$120&lt;&gt;"moeda")*(Inputs!$G$5:$G$120&lt;&gt;"acoes")))*INDEX(Inputs!$K$5:$AJ$120,0,MATCH(AH$2,Inputs!$K$4:$AJ$4,0)))+SUMPRODUCT((Inputs!$E$5:$E$120=$B38)*Inputs!$F$5:$F$120*(((Inputs!$G$5:$G$120="moeda")+(Inputs!$G$5:$G$120="acoes"))*Inputs!$B$1+((Inputs!$G$5:$G$120&lt;&gt;"moeda")*(Inputs!$G$5:$G$120&lt;&gt;"acoes")))*INDEX(Inputs!$K$5:$AJ$120,0,MATCH(AH$2,Inputs!$K$4:$AJ$4,0)))))</f>
        <v>4087</v>
      </c>
      <c r="AI38" s="267">
        <f>IF(ISNA(MATCH(AI$2,Inputs!$K$4:$AJ$4,0)),NA(),IF(SUMPRODUCT((Inputs!$A$5:$A$120=$B38)*ISNUMBER(INDEX(Inputs!$K$5:$AJ$120,0,MATCH(AI$2,Inputs!$K$4:$AJ$4,0))))+SUMPRODUCT((Inputs!$C$5:$C$120=$B38)*ISNUMBER(INDEX(Inputs!$K$5:$AJ$120,0,MATCH(AI$2,Inputs!$K$4:$AJ$4,0))))+SUMPRODUCT((Inputs!$E$5:$E$120=$B38)*ISNUMBER(INDEX(Inputs!$K$5:$AJ$120,0,MATCH(AI$2,Inputs!$K$4:$AJ$4,0))))=0,NA(),SUMPRODUCT((Inputs!$A$5:$A$120=$B38)*Inputs!$B$5:$B$120*(((Inputs!$G$5:$G$120="moeda")+(Inputs!$G$5:$G$120="acoes"))*Inputs!$B$1+((Inputs!$G$5:$G$120&lt;&gt;"moeda")*(Inputs!$G$5:$G$120&lt;&gt;"acoes")))*INDEX(Inputs!$K$5:$AJ$120,0,MATCH(AI$2,Inputs!$K$4:$AJ$4,0)))+SUMPRODUCT((Inputs!$C$5:$C$120=$B38)*Inputs!$D$5:$D$120*(((Inputs!$G$5:$G$120="moeda")+(Inputs!$G$5:$G$120="acoes"))*Inputs!$B$1+((Inputs!$G$5:$G$120&lt;&gt;"moeda")*(Inputs!$G$5:$G$120&lt;&gt;"acoes")))*INDEX(Inputs!$K$5:$AJ$120,0,MATCH(AI$2,Inputs!$K$4:$AJ$4,0)))+SUMPRODUCT((Inputs!$E$5:$E$120=$B38)*Inputs!$F$5:$F$120*(((Inputs!$G$5:$G$120="moeda")+(Inputs!$G$5:$G$120="acoes"))*Inputs!$B$1+((Inputs!$G$5:$G$120&lt;&gt;"moeda")*(Inputs!$G$5:$G$120&lt;&gt;"acoes")))*INDEX(Inputs!$K$5:$AJ$120,0,MATCH(AI$2,Inputs!$K$4:$AJ$4,0)))))</f>
        <v>4180</v>
      </c>
      <c r="AJ38" s="267">
        <f>IF(ISNA(MATCH(AJ$2,Inputs!$K$4:$AJ$4,0)),NA(),IF(SUMPRODUCT((Inputs!$A$5:$A$120=$B38)*ISNUMBER(INDEX(Inputs!$K$5:$AJ$120,0,MATCH(AJ$2,Inputs!$K$4:$AJ$4,0))))+SUMPRODUCT((Inputs!$C$5:$C$120=$B38)*ISNUMBER(INDEX(Inputs!$K$5:$AJ$120,0,MATCH(AJ$2,Inputs!$K$4:$AJ$4,0))))+SUMPRODUCT((Inputs!$E$5:$E$120=$B38)*ISNUMBER(INDEX(Inputs!$K$5:$AJ$120,0,MATCH(AJ$2,Inputs!$K$4:$AJ$4,0))))=0,NA(),SUMPRODUCT((Inputs!$A$5:$A$120=$B38)*Inputs!$B$5:$B$120*(((Inputs!$G$5:$G$120="moeda")+(Inputs!$G$5:$G$120="acoes"))*Inputs!$B$1+((Inputs!$G$5:$G$120&lt;&gt;"moeda")*(Inputs!$G$5:$G$120&lt;&gt;"acoes")))*INDEX(Inputs!$K$5:$AJ$120,0,MATCH(AJ$2,Inputs!$K$4:$AJ$4,0)))+SUMPRODUCT((Inputs!$C$5:$C$120=$B38)*Inputs!$D$5:$D$120*(((Inputs!$G$5:$G$120="moeda")+(Inputs!$G$5:$G$120="acoes"))*Inputs!$B$1+((Inputs!$G$5:$G$120&lt;&gt;"moeda")*(Inputs!$G$5:$G$120&lt;&gt;"acoes")))*INDEX(Inputs!$K$5:$AJ$120,0,MATCH(AJ$2,Inputs!$K$4:$AJ$4,0)))+SUMPRODUCT((Inputs!$E$5:$E$120=$B38)*Inputs!$F$5:$F$120*(((Inputs!$G$5:$G$120="moeda")+(Inputs!$G$5:$G$120="acoes"))*Inputs!$B$1+((Inputs!$G$5:$G$120&lt;&gt;"moeda")*(Inputs!$G$5:$G$120&lt;&gt;"acoes")))*INDEX(Inputs!$K$5:$AJ$120,0,MATCH(AJ$2,Inputs!$K$4:$AJ$4,0)))))</f>
        <v>4325</v>
      </c>
      <c r="AK38" s="267">
        <f>IF(ISNA(MATCH(AK$2,Inputs!$K$4:$AJ$4,0)),NA(),IF(SUMPRODUCT((Inputs!$A$5:$A$120=$B38)*ISNUMBER(INDEX(Inputs!$K$5:$AJ$120,0,MATCH(AK$2,Inputs!$K$4:$AJ$4,0))))+SUMPRODUCT((Inputs!$C$5:$C$120=$B38)*ISNUMBER(INDEX(Inputs!$K$5:$AJ$120,0,MATCH(AK$2,Inputs!$K$4:$AJ$4,0))))+SUMPRODUCT((Inputs!$E$5:$E$120=$B38)*ISNUMBER(INDEX(Inputs!$K$5:$AJ$120,0,MATCH(AK$2,Inputs!$K$4:$AJ$4,0))))=0,NA(),SUMPRODUCT((Inputs!$A$5:$A$120=$B38)*Inputs!$B$5:$B$120*(((Inputs!$G$5:$G$120="moeda")+(Inputs!$G$5:$G$120="acoes"))*Inputs!$B$1+((Inputs!$G$5:$G$120&lt;&gt;"moeda")*(Inputs!$G$5:$G$120&lt;&gt;"acoes")))*INDEX(Inputs!$K$5:$AJ$120,0,MATCH(AK$2,Inputs!$K$4:$AJ$4,0)))+SUMPRODUCT((Inputs!$C$5:$C$120=$B38)*Inputs!$D$5:$D$120*(((Inputs!$G$5:$G$120="moeda")+(Inputs!$G$5:$G$120="acoes"))*Inputs!$B$1+((Inputs!$G$5:$G$120&lt;&gt;"moeda")*(Inputs!$G$5:$G$120&lt;&gt;"acoes")))*INDEX(Inputs!$K$5:$AJ$120,0,MATCH(AK$2,Inputs!$K$4:$AJ$4,0)))+SUMPRODUCT((Inputs!$E$5:$E$120=$B38)*Inputs!$F$5:$F$120*(((Inputs!$G$5:$G$120="moeda")+(Inputs!$G$5:$G$120="acoes"))*Inputs!$B$1+((Inputs!$G$5:$G$120&lt;&gt;"moeda")*(Inputs!$G$5:$G$120&lt;&gt;"acoes")))*INDEX(Inputs!$K$5:$AJ$120,0,MATCH(AK$2,Inputs!$K$4:$AJ$4,0)))))</f>
        <v>4408</v>
      </c>
      <c r="AL38" s="268">
        <f>AK38</f>
        <v>4408</v>
      </c>
    </row>
    <row r="39" ht="12.75" customHeight="1" s="255">
      <c r="B39" s="265" t="n">
        <v>34</v>
      </c>
      <c r="C39" s="270" t="inlineStr">
        <is>
          <t>Other non-current liabilities</t>
        </is>
      </c>
      <c r="D39" s="267">
        <f>IF(ISNA(MATCH(D$2,Inputs!$K$4:$AJ$4,0)),NA(),IF(SUMPRODUCT((Inputs!$A$5:$A$120=$B39)*ISNUMBER(INDEX(Inputs!$K$5:$AJ$120,0,MATCH(D$2,Inputs!$K$4:$AJ$4,0))))+SUMPRODUCT((Inputs!$C$5:$C$120=$B39)*ISNUMBER(INDEX(Inputs!$K$5:$AJ$120,0,MATCH(D$2,Inputs!$K$4:$AJ$4,0))))+SUMPRODUCT((Inputs!$E$5:$E$120=$B39)*ISNUMBER(INDEX(Inputs!$K$5:$AJ$120,0,MATCH(D$2,Inputs!$K$4:$AJ$4,0))))=0,NA(),SUMPRODUCT((Inputs!$A$5:$A$120=$B39)*Inputs!$B$5:$B$120*(((Inputs!$G$5:$G$120="moeda")+(Inputs!$G$5:$G$120="acoes"))*Inputs!$B$1+((Inputs!$G$5:$G$120&lt;&gt;"moeda")*(Inputs!$G$5:$G$120&lt;&gt;"acoes")))*INDEX(Inputs!$K$5:$AJ$120,0,MATCH(D$2,Inputs!$K$4:$AJ$4,0)))+SUMPRODUCT((Inputs!$C$5:$C$120=$B39)*Inputs!$D$5:$D$120*(((Inputs!$G$5:$G$120="moeda")+(Inputs!$G$5:$G$120="acoes"))*Inputs!$B$1+((Inputs!$G$5:$G$120&lt;&gt;"moeda")*(Inputs!$G$5:$G$120&lt;&gt;"acoes")))*INDEX(Inputs!$K$5:$AJ$120,0,MATCH(D$2,Inputs!$K$4:$AJ$4,0)))+SUMPRODUCT((Inputs!$E$5:$E$120=$B39)*Inputs!$F$5:$F$120*(((Inputs!$G$5:$G$120="moeda")+(Inputs!$G$5:$G$120="acoes"))*Inputs!$B$1+((Inputs!$G$5:$G$120&lt;&gt;"moeda")*(Inputs!$G$5:$G$120&lt;&gt;"acoes")))*INDEX(Inputs!$K$5:$AJ$120,0,MATCH(D$2,Inputs!$K$4:$AJ$4,0)))))</f>
        <v>5860</v>
      </c>
      <c r="E39" s="267">
        <f>IF(ISNA(MATCH(E$2,Inputs!$K$4:$AJ$4,0)),NA(),IF(SUMPRODUCT((Inputs!$A$5:$A$120=$B39)*ISNUMBER(INDEX(Inputs!$K$5:$AJ$120,0,MATCH(E$2,Inputs!$K$4:$AJ$4,0))))+SUMPRODUCT((Inputs!$C$5:$C$120=$B39)*ISNUMBER(INDEX(Inputs!$K$5:$AJ$120,0,MATCH(E$2,Inputs!$K$4:$AJ$4,0))))+SUMPRODUCT((Inputs!$E$5:$E$120=$B39)*ISNUMBER(INDEX(Inputs!$K$5:$AJ$120,0,MATCH(E$2,Inputs!$K$4:$AJ$4,0))))=0,NA(),SUMPRODUCT((Inputs!$A$5:$A$120=$B39)*Inputs!$B$5:$B$120*(((Inputs!$G$5:$G$120="moeda")+(Inputs!$G$5:$G$120="acoes"))*Inputs!$B$1+((Inputs!$G$5:$G$120&lt;&gt;"moeda")*(Inputs!$G$5:$G$120&lt;&gt;"acoes")))*INDEX(Inputs!$K$5:$AJ$120,0,MATCH(E$2,Inputs!$K$4:$AJ$4,0)))+SUMPRODUCT((Inputs!$C$5:$C$120=$B39)*Inputs!$D$5:$D$120*(((Inputs!$G$5:$G$120="moeda")+(Inputs!$G$5:$G$120="acoes"))*Inputs!$B$1+((Inputs!$G$5:$G$120&lt;&gt;"moeda")*(Inputs!$G$5:$G$120&lt;&gt;"acoes")))*INDEX(Inputs!$K$5:$AJ$120,0,MATCH(E$2,Inputs!$K$4:$AJ$4,0)))+SUMPRODUCT((Inputs!$E$5:$E$120=$B39)*Inputs!$F$5:$F$120*(((Inputs!$G$5:$G$120="moeda")+(Inputs!$G$5:$G$120="acoes"))*Inputs!$B$1+((Inputs!$G$5:$G$120&lt;&gt;"moeda")*(Inputs!$G$5:$G$120&lt;&gt;"acoes")))*INDEX(Inputs!$K$5:$AJ$120,0,MATCH(E$2,Inputs!$K$4:$AJ$4,0)))))</f>
        <v>5850</v>
      </c>
      <c r="F39" s="267">
        <f>IF(ISNA(MATCH(F$2,Inputs!$K$4:$AJ$4,0)),NA(),IF(SUMPRODUCT((Inputs!$A$5:$A$120=$B39)*ISNUMBER(INDEX(Inputs!$K$5:$AJ$120,0,MATCH(F$2,Inputs!$K$4:$AJ$4,0))))+SUMPRODUCT((Inputs!$C$5:$C$120=$B39)*ISNUMBER(INDEX(Inputs!$K$5:$AJ$120,0,MATCH(F$2,Inputs!$K$4:$AJ$4,0))))+SUMPRODUCT((Inputs!$E$5:$E$120=$B39)*ISNUMBER(INDEX(Inputs!$K$5:$AJ$120,0,MATCH(F$2,Inputs!$K$4:$AJ$4,0))))=0,NA(),SUMPRODUCT((Inputs!$A$5:$A$120=$B39)*Inputs!$B$5:$B$120*(((Inputs!$G$5:$G$120="moeda")+(Inputs!$G$5:$G$120="acoes"))*Inputs!$B$1+((Inputs!$G$5:$G$120&lt;&gt;"moeda")*(Inputs!$G$5:$G$120&lt;&gt;"acoes")))*INDEX(Inputs!$K$5:$AJ$120,0,MATCH(F$2,Inputs!$K$4:$AJ$4,0)))+SUMPRODUCT((Inputs!$C$5:$C$120=$B39)*Inputs!$D$5:$D$120*(((Inputs!$G$5:$G$120="moeda")+(Inputs!$G$5:$G$120="acoes"))*Inputs!$B$1+((Inputs!$G$5:$G$120&lt;&gt;"moeda")*(Inputs!$G$5:$G$120&lt;&gt;"acoes")))*INDEX(Inputs!$K$5:$AJ$120,0,MATCH(F$2,Inputs!$K$4:$AJ$4,0)))+SUMPRODUCT((Inputs!$E$5:$E$120=$B39)*Inputs!$F$5:$F$120*(((Inputs!$G$5:$G$120="moeda")+(Inputs!$G$5:$G$120="acoes"))*Inputs!$B$1+((Inputs!$G$5:$G$120&lt;&gt;"moeda")*(Inputs!$G$5:$G$120&lt;&gt;"acoes")))*INDEX(Inputs!$K$5:$AJ$120,0,MATCH(F$2,Inputs!$K$4:$AJ$4,0)))))</f>
        <v>5595</v>
      </c>
      <c r="G39" s="267">
        <f>IF(ISNA(MATCH(G$2,Inputs!$K$4:$AJ$4,0)),NA(),IF(SUMPRODUCT((Inputs!$A$5:$A$120=$B39)*ISNUMBER(INDEX(Inputs!$K$5:$AJ$120,0,MATCH(G$2,Inputs!$K$4:$AJ$4,0))))+SUMPRODUCT((Inputs!$C$5:$C$120=$B39)*ISNUMBER(INDEX(Inputs!$K$5:$AJ$120,0,MATCH(G$2,Inputs!$K$4:$AJ$4,0))))+SUMPRODUCT((Inputs!$E$5:$E$120=$B39)*ISNUMBER(INDEX(Inputs!$K$5:$AJ$120,0,MATCH(G$2,Inputs!$K$4:$AJ$4,0))))=0,NA(),SUMPRODUCT((Inputs!$A$5:$A$120=$B39)*Inputs!$B$5:$B$120*(((Inputs!$G$5:$G$120="moeda")+(Inputs!$G$5:$G$120="acoes"))*Inputs!$B$1+((Inputs!$G$5:$G$120&lt;&gt;"moeda")*(Inputs!$G$5:$G$120&lt;&gt;"acoes")))*INDEX(Inputs!$K$5:$AJ$120,0,MATCH(G$2,Inputs!$K$4:$AJ$4,0)))+SUMPRODUCT((Inputs!$C$5:$C$120=$B39)*Inputs!$D$5:$D$120*(((Inputs!$G$5:$G$120="moeda")+(Inputs!$G$5:$G$120="acoes"))*Inputs!$B$1+((Inputs!$G$5:$G$120&lt;&gt;"moeda")*(Inputs!$G$5:$G$120&lt;&gt;"acoes")))*INDEX(Inputs!$K$5:$AJ$120,0,MATCH(G$2,Inputs!$K$4:$AJ$4,0)))+SUMPRODUCT((Inputs!$E$5:$E$120=$B39)*Inputs!$F$5:$F$120*(((Inputs!$G$5:$G$120="moeda")+(Inputs!$G$5:$G$120="acoes"))*Inputs!$B$1+((Inputs!$G$5:$G$120&lt;&gt;"moeda")*(Inputs!$G$5:$G$120&lt;&gt;"acoes")))*INDEX(Inputs!$K$5:$AJ$120,0,MATCH(G$2,Inputs!$K$4:$AJ$4,0)))))</f>
        <v>5799</v>
      </c>
      <c r="H39" s="268">
        <f>G39</f>
        <v>5799</v>
      </c>
      <c r="I39" s="267">
        <f>IF(ISNA(MATCH(I$2,Inputs!$K$4:$AJ$4,0)),NA(),IF(SUMPRODUCT((Inputs!$A$5:$A$120=$B39)*ISNUMBER(INDEX(Inputs!$K$5:$AJ$120,0,MATCH(I$2,Inputs!$K$4:$AJ$4,0))))+SUMPRODUCT((Inputs!$C$5:$C$120=$B39)*ISNUMBER(INDEX(Inputs!$K$5:$AJ$120,0,MATCH(I$2,Inputs!$K$4:$AJ$4,0))))+SUMPRODUCT((Inputs!$E$5:$E$120=$B39)*ISNUMBER(INDEX(Inputs!$K$5:$AJ$120,0,MATCH(I$2,Inputs!$K$4:$AJ$4,0))))=0,NA(),SUMPRODUCT((Inputs!$A$5:$A$120=$B39)*Inputs!$B$5:$B$120*(((Inputs!$G$5:$G$120="moeda")+(Inputs!$G$5:$G$120="acoes"))*Inputs!$B$1+((Inputs!$G$5:$G$120&lt;&gt;"moeda")*(Inputs!$G$5:$G$120&lt;&gt;"acoes")))*INDEX(Inputs!$K$5:$AJ$120,0,MATCH(I$2,Inputs!$K$4:$AJ$4,0)))+SUMPRODUCT((Inputs!$C$5:$C$120=$B39)*Inputs!$D$5:$D$120*(((Inputs!$G$5:$G$120="moeda")+(Inputs!$G$5:$G$120="acoes"))*Inputs!$B$1+((Inputs!$G$5:$G$120&lt;&gt;"moeda")*(Inputs!$G$5:$G$120&lt;&gt;"acoes")))*INDEX(Inputs!$K$5:$AJ$120,0,MATCH(I$2,Inputs!$K$4:$AJ$4,0)))+SUMPRODUCT((Inputs!$E$5:$E$120=$B39)*Inputs!$F$5:$F$120*(((Inputs!$G$5:$G$120="moeda")+(Inputs!$G$5:$G$120="acoes"))*Inputs!$B$1+((Inputs!$G$5:$G$120&lt;&gt;"moeda")*(Inputs!$G$5:$G$120&lt;&gt;"acoes")))*INDEX(Inputs!$K$5:$AJ$120,0,MATCH(I$2,Inputs!$K$4:$AJ$4,0)))))</f>
        <v>5798</v>
      </c>
      <c r="J39" s="267">
        <f>IF(ISNA(MATCH(J$2,Inputs!$K$4:$AJ$4,0)),NA(),IF(SUMPRODUCT((Inputs!$A$5:$A$120=$B39)*ISNUMBER(INDEX(Inputs!$K$5:$AJ$120,0,MATCH(J$2,Inputs!$K$4:$AJ$4,0))))+SUMPRODUCT((Inputs!$C$5:$C$120=$B39)*ISNUMBER(INDEX(Inputs!$K$5:$AJ$120,0,MATCH(J$2,Inputs!$K$4:$AJ$4,0))))+SUMPRODUCT((Inputs!$E$5:$E$120=$B39)*ISNUMBER(INDEX(Inputs!$K$5:$AJ$120,0,MATCH(J$2,Inputs!$K$4:$AJ$4,0))))=0,NA(),SUMPRODUCT((Inputs!$A$5:$A$120=$B39)*Inputs!$B$5:$B$120*(((Inputs!$G$5:$G$120="moeda")+(Inputs!$G$5:$G$120="acoes"))*Inputs!$B$1+((Inputs!$G$5:$G$120&lt;&gt;"moeda")*(Inputs!$G$5:$G$120&lt;&gt;"acoes")))*INDEX(Inputs!$K$5:$AJ$120,0,MATCH(J$2,Inputs!$K$4:$AJ$4,0)))+SUMPRODUCT((Inputs!$C$5:$C$120=$B39)*Inputs!$D$5:$D$120*(((Inputs!$G$5:$G$120="moeda")+(Inputs!$G$5:$G$120="acoes"))*Inputs!$B$1+((Inputs!$G$5:$G$120&lt;&gt;"moeda")*(Inputs!$G$5:$G$120&lt;&gt;"acoes")))*INDEX(Inputs!$K$5:$AJ$120,0,MATCH(J$2,Inputs!$K$4:$AJ$4,0)))+SUMPRODUCT((Inputs!$E$5:$E$120=$B39)*Inputs!$F$5:$F$120*(((Inputs!$G$5:$G$120="moeda")+(Inputs!$G$5:$G$120="acoes"))*Inputs!$B$1+((Inputs!$G$5:$G$120&lt;&gt;"moeda")*(Inputs!$G$5:$G$120&lt;&gt;"acoes")))*INDEX(Inputs!$K$5:$AJ$120,0,MATCH(J$2,Inputs!$K$4:$AJ$4,0)))))</f>
        <v>5783</v>
      </c>
      <c r="K39" s="267">
        <f>IF(ISNA(MATCH(K$2,Inputs!$K$4:$AJ$4,0)),NA(),IF(SUMPRODUCT((Inputs!$A$5:$A$120=$B39)*ISNUMBER(INDEX(Inputs!$K$5:$AJ$120,0,MATCH(K$2,Inputs!$K$4:$AJ$4,0))))+SUMPRODUCT((Inputs!$C$5:$C$120=$B39)*ISNUMBER(INDEX(Inputs!$K$5:$AJ$120,0,MATCH(K$2,Inputs!$K$4:$AJ$4,0))))+SUMPRODUCT((Inputs!$E$5:$E$120=$B39)*ISNUMBER(INDEX(Inputs!$K$5:$AJ$120,0,MATCH(K$2,Inputs!$K$4:$AJ$4,0))))=0,NA(),SUMPRODUCT((Inputs!$A$5:$A$120=$B39)*Inputs!$B$5:$B$120*(((Inputs!$G$5:$G$120="moeda")+(Inputs!$G$5:$G$120="acoes"))*Inputs!$B$1+((Inputs!$G$5:$G$120&lt;&gt;"moeda")*(Inputs!$G$5:$G$120&lt;&gt;"acoes")))*INDEX(Inputs!$K$5:$AJ$120,0,MATCH(K$2,Inputs!$K$4:$AJ$4,0)))+SUMPRODUCT((Inputs!$C$5:$C$120=$B39)*Inputs!$D$5:$D$120*(((Inputs!$G$5:$G$120="moeda")+(Inputs!$G$5:$G$120="acoes"))*Inputs!$B$1+((Inputs!$G$5:$G$120&lt;&gt;"moeda")*(Inputs!$G$5:$G$120&lt;&gt;"acoes")))*INDEX(Inputs!$K$5:$AJ$120,0,MATCH(K$2,Inputs!$K$4:$AJ$4,0)))+SUMPRODUCT((Inputs!$E$5:$E$120=$B39)*Inputs!$F$5:$F$120*(((Inputs!$G$5:$G$120="moeda")+(Inputs!$G$5:$G$120="acoes"))*Inputs!$B$1+((Inputs!$G$5:$G$120&lt;&gt;"moeda")*(Inputs!$G$5:$G$120&lt;&gt;"acoes")))*INDEX(Inputs!$K$5:$AJ$120,0,MATCH(K$2,Inputs!$K$4:$AJ$4,0)))))</f>
        <v>5773</v>
      </c>
      <c r="L39" s="267">
        <f>IF(ISNA(MATCH(L$2,Inputs!$K$4:$AJ$4,0)),NA(),IF(SUMPRODUCT((Inputs!$A$5:$A$120=$B39)*ISNUMBER(INDEX(Inputs!$K$5:$AJ$120,0,MATCH(L$2,Inputs!$K$4:$AJ$4,0))))+SUMPRODUCT((Inputs!$C$5:$C$120=$B39)*ISNUMBER(INDEX(Inputs!$K$5:$AJ$120,0,MATCH(L$2,Inputs!$K$4:$AJ$4,0))))+SUMPRODUCT((Inputs!$E$5:$E$120=$B39)*ISNUMBER(INDEX(Inputs!$K$5:$AJ$120,0,MATCH(L$2,Inputs!$K$4:$AJ$4,0))))=0,NA(),SUMPRODUCT((Inputs!$A$5:$A$120=$B39)*Inputs!$B$5:$B$120*(((Inputs!$G$5:$G$120="moeda")+(Inputs!$G$5:$G$120="acoes"))*Inputs!$B$1+((Inputs!$G$5:$G$120&lt;&gt;"moeda")*(Inputs!$G$5:$G$120&lt;&gt;"acoes")))*INDEX(Inputs!$K$5:$AJ$120,0,MATCH(L$2,Inputs!$K$4:$AJ$4,0)))+SUMPRODUCT((Inputs!$C$5:$C$120=$B39)*Inputs!$D$5:$D$120*(((Inputs!$G$5:$G$120="moeda")+(Inputs!$G$5:$G$120="acoes"))*Inputs!$B$1+((Inputs!$G$5:$G$120&lt;&gt;"moeda")*(Inputs!$G$5:$G$120&lt;&gt;"acoes")))*INDEX(Inputs!$K$5:$AJ$120,0,MATCH(L$2,Inputs!$K$4:$AJ$4,0)))+SUMPRODUCT((Inputs!$E$5:$E$120=$B39)*Inputs!$F$5:$F$120*(((Inputs!$G$5:$G$120="moeda")+(Inputs!$G$5:$G$120="acoes"))*Inputs!$B$1+((Inputs!$G$5:$G$120&lt;&gt;"moeda")*(Inputs!$G$5:$G$120&lt;&gt;"acoes")))*INDEX(Inputs!$K$5:$AJ$120,0,MATCH(L$2,Inputs!$K$4:$AJ$4,0)))))</f>
        <v>6025</v>
      </c>
      <c r="M39" s="268">
        <f>L39</f>
        <v>6025</v>
      </c>
      <c r="N39" s="267">
        <f>IF(ISNA(MATCH(N$2,Inputs!$K$4:$AJ$4,0)),NA(),IF(SUMPRODUCT((Inputs!$A$5:$A$120=$B39)*ISNUMBER(INDEX(Inputs!$K$5:$AJ$120,0,MATCH(N$2,Inputs!$K$4:$AJ$4,0))))+SUMPRODUCT((Inputs!$C$5:$C$120=$B39)*ISNUMBER(INDEX(Inputs!$K$5:$AJ$120,0,MATCH(N$2,Inputs!$K$4:$AJ$4,0))))+SUMPRODUCT((Inputs!$E$5:$E$120=$B39)*ISNUMBER(INDEX(Inputs!$K$5:$AJ$120,0,MATCH(N$2,Inputs!$K$4:$AJ$4,0))))=0,NA(),SUMPRODUCT((Inputs!$A$5:$A$120=$B39)*Inputs!$B$5:$B$120*(((Inputs!$G$5:$G$120="moeda")+(Inputs!$G$5:$G$120="acoes"))*Inputs!$B$1+((Inputs!$G$5:$G$120&lt;&gt;"moeda")*(Inputs!$G$5:$G$120&lt;&gt;"acoes")))*INDEX(Inputs!$K$5:$AJ$120,0,MATCH(N$2,Inputs!$K$4:$AJ$4,0)))+SUMPRODUCT((Inputs!$C$5:$C$120=$B39)*Inputs!$D$5:$D$120*(((Inputs!$G$5:$G$120="moeda")+(Inputs!$G$5:$G$120="acoes"))*Inputs!$B$1+((Inputs!$G$5:$G$120&lt;&gt;"moeda")*(Inputs!$G$5:$G$120&lt;&gt;"acoes")))*INDEX(Inputs!$K$5:$AJ$120,0,MATCH(N$2,Inputs!$K$4:$AJ$4,0)))+SUMPRODUCT((Inputs!$E$5:$E$120=$B39)*Inputs!$F$5:$F$120*(((Inputs!$G$5:$G$120="moeda")+(Inputs!$G$5:$G$120="acoes"))*Inputs!$B$1+((Inputs!$G$5:$G$120&lt;&gt;"moeda")*(Inputs!$G$5:$G$120&lt;&gt;"acoes")))*INDEX(Inputs!$K$5:$AJ$120,0,MATCH(N$2,Inputs!$K$4:$AJ$4,0)))))</f>
        <v>6089</v>
      </c>
      <c r="O39" s="267">
        <f>IF(ISNA(MATCH(O$2,Inputs!$K$4:$AJ$4,0)),NA(),IF(SUMPRODUCT((Inputs!$A$5:$A$120=$B39)*ISNUMBER(INDEX(Inputs!$K$5:$AJ$120,0,MATCH(O$2,Inputs!$K$4:$AJ$4,0))))+SUMPRODUCT((Inputs!$C$5:$C$120=$B39)*ISNUMBER(INDEX(Inputs!$K$5:$AJ$120,0,MATCH(O$2,Inputs!$K$4:$AJ$4,0))))+SUMPRODUCT((Inputs!$E$5:$E$120=$B39)*ISNUMBER(INDEX(Inputs!$K$5:$AJ$120,0,MATCH(O$2,Inputs!$K$4:$AJ$4,0))))=0,NA(),SUMPRODUCT((Inputs!$A$5:$A$120=$B39)*Inputs!$B$5:$B$120*(((Inputs!$G$5:$G$120="moeda")+(Inputs!$G$5:$G$120="acoes"))*Inputs!$B$1+((Inputs!$G$5:$G$120&lt;&gt;"moeda")*(Inputs!$G$5:$G$120&lt;&gt;"acoes")))*INDEX(Inputs!$K$5:$AJ$120,0,MATCH(O$2,Inputs!$K$4:$AJ$4,0)))+SUMPRODUCT((Inputs!$C$5:$C$120=$B39)*Inputs!$D$5:$D$120*(((Inputs!$G$5:$G$120="moeda")+(Inputs!$G$5:$G$120="acoes"))*Inputs!$B$1+((Inputs!$G$5:$G$120&lt;&gt;"moeda")*(Inputs!$G$5:$G$120&lt;&gt;"acoes")))*INDEX(Inputs!$K$5:$AJ$120,0,MATCH(O$2,Inputs!$K$4:$AJ$4,0)))+SUMPRODUCT((Inputs!$E$5:$E$120=$B39)*Inputs!$F$5:$F$120*(((Inputs!$G$5:$G$120="moeda")+(Inputs!$G$5:$G$120="acoes"))*Inputs!$B$1+((Inputs!$G$5:$G$120&lt;&gt;"moeda")*(Inputs!$G$5:$G$120&lt;&gt;"acoes")))*INDEX(Inputs!$K$5:$AJ$120,0,MATCH(O$2,Inputs!$K$4:$AJ$4,0)))))</f>
        <v>6291</v>
      </c>
      <c r="P39" s="267">
        <f>IF(ISNA(MATCH(P$2,Inputs!$K$4:$AJ$4,0)),NA(),IF(SUMPRODUCT((Inputs!$A$5:$A$120=$B39)*ISNUMBER(INDEX(Inputs!$K$5:$AJ$120,0,MATCH(P$2,Inputs!$K$4:$AJ$4,0))))+SUMPRODUCT((Inputs!$C$5:$C$120=$B39)*ISNUMBER(INDEX(Inputs!$K$5:$AJ$120,0,MATCH(P$2,Inputs!$K$4:$AJ$4,0))))+SUMPRODUCT((Inputs!$E$5:$E$120=$B39)*ISNUMBER(INDEX(Inputs!$K$5:$AJ$120,0,MATCH(P$2,Inputs!$K$4:$AJ$4,0))))=0,NA(),SUMPRODUCT((Inputs!$A$5:$A$120=$B39)*Inputs!$B$5:$B$120*(((Inputs!$G$5:$G$120="moeda")+(Inputs!$G$5:$G$120="acoes"))*Inputs!$B$1+((Inputs!$G$5:$G$120&lt;&gt;"moeda")*(Inputs!$G$5:$G$120&lt;&gt;"acoes")))*INDEX(Inputs!$K$5:$AJ$120,0,MATCH(P$2,Inputs!$K$4:$AJ$4,0)))+SUMPRODUCT((Inputs!$C$5:$C$120=$B39)*Inputs!$D$5:$D$120*(((Inputs!$G$5:$G$120="moeda")+(Inputs!$G$5:$G$120="acoes"))*Inputs!$B$1+((Inputs!$G$5:$G$120&lt;&gt;"moeda")*(Inputs!$G$5:$G$120&lt;&gt;"acoes")))*INDEX(Inputs!$K$5:$AJ$120,0,MATCH(P$2,Inputs!$K$4:$AJ$4,0)))+SUMPRODUCT((Inputs!$E$5:$E$120=$B39)*Inputs!$F$5:$F$120*(((Inputs!$G$5:$G$120="moeda")+(Inputs!$G$5:$G$120="acoes"))*Inputs!$B$1+((Inputs!$G$5:$G$120&lt;&gt;"moeda")*(Inputs!$G$5:$G$120&lt;&gt;"acoes")))*INDEX(Inputs!$K$5:$AJ$120,0,MATCH(P$2,Inputs!$K$4:$AJ$4,0)))))</f>
        <v>6342</v>
      </c>
      <c r="Q39" s="267">
        <f>IF(ISNA(MATCH(Q$2,Inputs!$K$4:$AJ$4,0)),NA(),IF(SUMPRODUCT((Inputs!$A$5:$A$120=$B39)*ISNUMBER(INDEX(Inputs!$K$5:$AJ$120,0,MATCH(Q$2,Inputs!$K$4:$AJ$4,0))))+SUMPRODUCT((Inputs!$C$5:$C$120=$B39)*ISNUMBER(INDEX(Inputs!$K$5:$AJ$120,0,MATCH(Q$2,Inputs!$K$4:$AJ$4,0))))+SUMPRODUCT((Inputs!$E$5:$E$120=$B39)*ISNUMBER(INDEX(Inputs!$K$5:$AJ$120,0,MATCH(Q$2,Inputs!$K$4:$AJ$4,0))))=0,NA(),SUMPRODUCT((Inputs!$A$5:$A$120=$B39)*Inputs!$B$5:$B$120*(((Inputs!$G$5:$G$120="moeda")+(Inputs!$G$5:$G$120="acoes"))*Inputs!$B$1+((Inputs!$G$5:$G$120&lt;&gt;"moeda")*(Inputs!$G$5:$G$120&lt;&gt;"acoes")))*INDEX(Inputs!$K$5:$AJ$120,0,MATCH(Q$2,Inputs!$K$4:$AJ$4,0)))+SUMPRODUCT((Inputs!$C$5:$C$120=$B39)*Inputs!$D$5:$D$120*(((Inputs!$G$5:$G$120="moeda")+(Inputs!$G$5:$G$120="acoes"))*Inputs!$B$1+((Inputs!$G$5:$G$120&lt;&gt;"moeda")*(Inputs!$G$5:$G$120&lt;&gt;"acoes")))*INDEX(Inputs!$K$5:$AJ$120,0,MATCH(Q$2,Inputs!$K$4:$AJ$4,0)))+SUMPRODUCT((Inputs!$E$5:$E$120=$B39)*Inputs!$F$5:$F$120*(((Inputs!$G$5:$G$120="moeda")+(Inputs!$G$5:$G$120="acoes"))*Inputs!$B$1+((Inputs!$G$5:$G$120&lt;&gt;"moeda")*(Inputs!$G$5:$G$120&lt;&gt;"acoes")))*INDEX(Inputs!$K$5:$AJ$120,0,MATCH(Q$2,Inputs!$K$4:$AJ$4,0)))))</f>
        <v>6272</v>
      </c>
      <c r="R39" s="268">
        <f>Q39</f>
        <v>6272</v>
      </c>
      <c r="S39" s="267">
        <f>IF(ISNA(MATCH(S$2,Inputs!$K$4:$AJ$4,0)),NA(),IF(SUMPRODUCT((Inputs!$A$5:$A$120=$B39)*ISNUMBER(INDEX(Inputs!$K$5:$AJ$120,0,MATCH(S$2,Inputs!$K$4:$AJ$4,0))))+SUMPRODUCT((Inputs!$C$5:$C$120=$B39)*ISNUMBER(INDEX(Inputs!$K$5:$AJ$120,0,MATCH(S$2,Inputs!$K$4:$AJ$4,0))))+SUMPRODUCT((Inputs!$E$5:$E$120=$B39)*ISNUMBER(INDEX(Inputs!$K$5:$AJ$120,0,MATCH(S$2,Inputs!$K$4:$AJ$4,0))))=0,NA(),SUMPRODUCT((Inputs!$A$5:$A$120=$B39)*Inputs!$B$5:$B$120*(((Inputs!$G$5:$G$120="moeda")+(Inputs!$G$5:$G$120="acoes"))*Inputs!$B$1+((Inputs!$G$5:$G$120&lt;&gt;"moeda")*(Inputs!$G$5:$G$120&lt;&gt;"acoes")))*INDEX(Inputs!$K$5:$AJ$120,0,MATCH(S$2,Inputs!$K$4:$AJ$4,0)))+SUMPRODUCT((Inputs!$C$5:$C$120=$B39)*Inputs!$D$5:$D$120*(((Inputs!$G$5:$G$120="moeda")+(Inputs!$G$5:$G$120="acoes"))*Inputs!$B$1+((Inputs!$G$5:$G$120&lt;&gt;"moeda")*(Inputs!$G$5:$G$120&lt;&gt;"acoes")))*INDEX(Inputs!$K$5:$AJ$120,0,MATCH(S$2,Inputs!$K$4:$AJ$4,0)))+SUMPRODUCT((Inputs!$E$5:$E$120=$B39)*Inputs!$F$5:$F$120*(((Inputs!$G$5:$G$120="moeda")+(Inputs!$G$5:$G$120="acoes"))*Inputs!$B$1+((Inputs!$G$5:$G$120&lt;&gt;"moeda")*(Inputs!$G$5:$G$120&lt;&gt;"acoes")))*INDEX(Inputs!$K$5:$AJ$120,0,MATCH(S$2,Inputs!$K$4:$AJ$4,0)))))</f>
        <v>6632</v>
      </c>
      <c r="T39" s="267">
        <f>IF(ISNA(MATCH(T$2,Inputs!$K$4:$AJ$4,0)),NA(),IF(SUMPRODUCT((Inputs!$A$5:$A$120=$B39)*ISNUMBER(INDEX(Inputs!$K$5:$AJ$120,0,MATCH(T$2,Inputs!$K$4:$AJ$4,0))))+SUMPRODUCT((Inputs!$C$5:$C$120=$B39)*ISNUMBER(INDEX(Inputs!$K$5:$AJ$120,0,MATCH(T$2,Inputs!$K$4:$AJ$4,0))))+SUMPRODUCT((Inputs!$E$5:$E$120=$B39)*ISNUMBER(INDEX(Inputs!$K$5:$AJ$120,0,MATCH(T$2,Inputs!$K$4:$AJ$4,0))))=0,NA(),SUMPRODUCT((Inputs!$A$5:$A$120=$B39)*Inputs!$B$5:$B$120*(((Inputs!$G$5:$G$120="moeda")+(Inputs!$G$5:$G$120="acoes"))*Inputs!$B$1+((Inputs!$G$5:$G$120&lt;&gt;"moeda")*(Inputs!$G$5:$G$120&lt;&gt;"acoes")))*INDEX(Inputs!$K$5:$AJ$120,0,MATCH(T$2,Inputs!$K$4:$AJ$4,0)))+SUMPRODUCT((Inputs!$C$5:$C$120=$B39)*Inputs!$D$5:$D$120*(((Inputs!$G$5:$G$120="moeda")+(Inputs!$G$5:$G$120="acoes"))*Inputs!$B$1+((Inputs!$G$5:$G$120&lt;&gt;"moeda")*(Inputs!$G$5:$G$120&lt;&gt;"acoes")))*INDEX(Inputs!$K$5:$AJ$120,0,MATCH(T$2,Inputs!$K$4:$AJ$4,0)))+SUMPRODUCT((Inputs!$E$5:$E$120=$B39)*Inputs!$F$5:$F$120*(((Inputs!$G$5:$G$120="moeda")+(Inputs!$G$5:$G$120="acoes"))*Inputs!$B$1+((Inputs!$G$5:$G$120&lt;&gt;"moeda")*(Inputs!$G$5:$G$120&lt;&gt;"acoes")))*INDEX(Inputs!$K$5:$AJ$120,0,MATCH(T$2,Inputs!$K$4:$AJ$4,0)))))</f>
        <v>6664</v>
      </c>
      <c r="U39" s="267">
        <f>IF(ISNA(MATCH(U$2,Inputs!$K$4:$AJ$4,0)),NA(),IF(SUMPRODUCT((Inputs!$A$5:$A$120=$B39)*ISNUMBER(INDEX(Inputs!$K$5:$AJ$120,0,MATCH(U$2,Inputs!$K$4:$AJ$4,0))))+SUMPRODUCT((Inputs!$C$5:$C$120=$B39)*ISNUMBER(INDEX(Inputs!$K$5:$AJ$120,0,MATCH(U$2,Inputs!$K$4:$AJ$4,0))))+SUMPRODUCT((Inputs!$E$5:$E$120=$B39)*ISNUMBER(INDEX(Inputs!$K$5:$AJ$120,0,MATCH(U$2,Inputs!$K$4:$AJ$4,0))))=0,NA(),SUMPRODUCT((Inputs!$A$5:$A$120=$B39)*Inputs!$B$5:$B$120*(((Inputs!$G$5:$G$120="moeda")+(Inputs!$G$5:$G$120="acoes"))*Inputs!$B$1+((Inputs!$G$5:$G$120&lt;&gt;"moeda")*(Inputs!$G$5:$G$120&lt;&gt;"acoes")))*INDEX(Inputs!$K$5:$AJ$120,0,MATCH(U$2,Inputs!$K$4:$AJ$4,0)))+SUMPRODUCT((Inputs!$C$5:$C$120=$B39)*Inputs!$D$5:$D$120*(((Inputs!$G$5:$G$120="moeda")+(Inputs!$G$5:$G$120="acoes"))*Inputs!$B$1+((Inputs!$G$5:$G$120&lt;&gt;"moeda")*(Inputs!$G$5:$G$120&lt;&gt;"acoes")))*INDEX(Inputs!$K$5:$AJ$120,0,MATCH(U$2,Inputs!$K$4:$AJ$4,0)))+SUMPRODUCT((Inputs!$E$5:$E$120=$B39)*Inputs!$F$5:$F$120*(((Inputs!$G$5:$G$120="moeda")+(Inputs!$G$5:$G$120="acoes"))*Inputs!$B$1+((Inputs!$G$5:$G$120&lt;&gt;"moeda")*(Inputs!$G$5:$G$120&lt;&gt;"acoes")))*INDEX(Inputs!$K$5:$AJ$120,0,MATCH(U$2,Inputs!$K$4:$AJ$4,0)))))</f>
        <v>6885</v>
      </c>
      <c r="V39" s="267">
        <f>IF(ISNA(MATCH(V$2,Inputs!$K$4:$AJ$4,0)),NA(),IF(SUMPRODUCT((Inputs!$A$5:$A$120=$B39)*ISNUMBER(INDEX(Inputs!$K$5:$AJ$120,0,MATCH(V$2,Inputs!$K$4:$AJ$4,0))))+SUMPRODUCT((Inputs!$C$5:$C$120=$B39)*ISNUMBER(INDEX(Inputs!$K$5:$AJ$120,0,MATCH(V$2,Inputs!$K$4:$AJ$4,0))))+SUMPRODUCT((Inputs!$E$5:$E$120=$B39)*ISNUMBER(INDEX(Inputs!$K$5:$AJ$120,0,MATCH(V$2,Inputs!$K$4:$AJ$4,0))))=0,NA(),SUMPRODUCT((Inputs!$A$5:$A$120=$B39)*Inputs!$B$5:$B$120*(((Inputs!$G$5:$G$120="moeda")+(Inputs!$G$5:$G$120="acoes"))*Inputs!$B$1+((Inputs!$G$5:$G$120&lt;&gt;"moeda")*(Inputs!$G$5:$G$120&lt;&gt;"acoes")))*INDEX(Inputs!$K$5:$AJ$120,0,MATCH(V$2,Inputs!$K$4:$AJ$4,0)))+SUMPRODUCT((Inputs!$C$5:$C$120=$B39)*Inputs!$D$5:$D$120*(((Inputs!$G$5:$G$120="moeda")+(Inputs!$G$5:$G$120="acoes"))*Inputs!$B$1+((Inputs!$G$5:$G$120&lt;&gt;"moeda")*(Inputs!$G$5:$G$120&lt;&gt;"acoes")))*INDEX(Inputs!$K$5:$AJ$120,0,MATCH(V$2,Inputs!$K$4:$AJ$4,0)))+SUMPRODUCT((Inputs!$E$5:$E$120=$B39)*Inputs!$F$5:$F$120*(((Inputs!$G$5:$G$120="moeda")+(Inputs!$G$5:$G$120="acoes"))*Inputs!$B$1+((Inputs!$G$5:$G$120&lt;&gt;"moeda")*(Inputs!$G$5:$G$120&lt;&gt;"acoes")))*INDEX(Inputs!$K$5:$AJ$120,0,MATCH(V$2,Inputs!$K$4:$AJ$4,0)))))</f>
        <v>7291</v>
      </c>
      <c r="W39" s="268">
        <f>V39</f>
        <v>7291</v>
      </c>
      <c r="X39" s="267">
        <f>IF(ISNA(MATCH(X$2,Inputs!$K$4:$AJ$4,0)),NA(),IF(SUMPRODUCT((Inputs!$A$5:$A$120=$B39)*ISNUMBER(INDEX(Inputs!$K$5:$AJ$120,0,MATCH(X$2,Inputs!$K$4:$AJ$4,0))))+SUMPRODUCT((Inputs!$C$5:$C$120=$B39)*ISNUMBER(INDEX(Inputs!$K$5:$AJ$120,0,MATCH(X$2,Inputs!$K$4:$AJ$4,0))))+SUMPRODUCT((Inputs!$E$5:$E$120=$B39)*ISNUMBER(INDEX(Inputs!$K$5:$AJ$120,0,MATCH(X$2,Inputs!$K$4:$AJ$4,0))))=0,NA(),SUMPRODUCT((Inputs!$A$5:$A$120=$B39)*Inputs!$B$5:$B$120*(((Inputs!$G$5:$G$120="moeda")+(Inputs!$G$5:$G$120="acoes"))*Inputs!$B$1+((Inputs!$G$5:$G$120&lt;&gt;"moeda")*(Inputs!$G$5:$G$120&lt;&gt;"acoes")))*INDEX(Inputs!$K$5:$AJ$120,0,MATCH(X$2,Inputs!$K$4:$AJ$4,0)))+SUMPRODUCT((Inputs!$C$5:$C$120=$B39)*Inputs!$D$5:$D$120*(((Inputs!$G$5:$G$120="moeda")+(Inputs!$G$5:$G$120="acoes"))*Inputs!$B$1+((Inputs!$G$5:$G$120&lt;&gt;"moeda")*(Inputs!$G$5:$G$120&lt;&gt;"acoes")))*INDEX(Inputs!$K$5:$AJ$120,0,MATCH(X$2,Inputs!$K$4:$AJ$4,0)))+SUMPRODUCT((Inputs!$E$5:$E$120=$B39)*Inputs!$F$5:$F$120*(((Inputs!$G$5:$G$120="moeda")+(Inputs!$G$5:$G$120="acoes"))*Inputs!$B$1+((Inputs!$G$5:$G$120&lt;&gt;"moeda")*(Inputs!$G$5:$G$120&lt;&gt;"acoes")))*INDEX(Inputs!$K$5:$AJ$120,0,MATCH(X$2,Inputs!$K$4:$AJ$4,0)))))</f>
        <v>7554</v>
      </c>
      <c r="Y39" s="267">
        <f>IF(ISNA(MATCH(Y$2,Inputs!$K$4:$AJ$4,0)),NA(),IF(SUMPRODUCT((Inputs!$A$5:$A$120=$B39)*ISNUMBER(INDEX(Inputs!$K$5:$AJ$120,0,MATCH(Y$2,Inputs!$K$4:$AJ$4,0))))+SUMPRODUCT((Inputs!$C$5:$C$120=$B39)*ISNUMBER(INDEX(Inputs!$K$5:$AJ$120,0,MATCH(Y$2,Inputs!$K$4:$AJ$4,0))))+SUMPRODUCT((Inputs!$E$5:$E$120=$B39)*ISNUMBER(INDEX(Inputs!$K$5:$AJ$120,0,MATCH(Y$2,Inputs!$K$4:$AJ$4,0))))=0,NA(),SUMPRODUCT((Inputs!$A$5:$A$120=$B39)*Inputs!$B$5:$B$120*(((Inputs!$G$5:$G$120="moeda")+(Inputs!$G$5:$G$120="acoes"))*Inputs!$B$1+((Inputs!$G$5:$G$120&lt;&gt;"moeda")*(Inputs!$G$5:$G$120&lt;&gt;"acoes")))*INDEX(Inputs!$K$5:$AJ$120,0,MATCH(Y$2,Inputs!$K$4:$AJ$4,0)))+SUMPRODUCT((Inputs!$C$5:$C$120=$B39)*Inputs!$D$5:$D$120*(((Inputs!$G$5:$G$120="moeda")+(Inputs!$G$5:$G$120="acoes"))*Inputs!$B$1+((Inputs!$G$5:$G$120&lt;&gt;"moeda")*(Inputs!$G$5:$G$120&lt;&gt;"acoes")))*INDEX(Inputs!$K$5:$AJ$120,0,MATCH(Y$2,Inputs!$K$4:$AJ$4,0)))+SUMPRODUCT((Inputs!$E$5:$E$120=$B39)*Inputs!$F$5:$F$120*(((Inputs!$G$5:$G$120="moeda")+(Inputs!$G$5:$G$120="acoes"))*Inputs!$B$1+((Inputs!$G$5:$G$120&lt;&gt;"moeda")*(Inputs!$G$5:$G$120&lt;&gt;"acoes")))*INDEX(Inputs!$K$5:$AJ$120,0,MATCH(Y$2,Inputs!$K$4:$AJ$4,0)))))</f>
        <v>7642</v>
      </c>
      <c r="Z39" s="267">
        <f>IF(ISNA(MATCH(Z$2,Inputs!$K$4:$AJ$4,0)),NA(),IF(SUMPRODUCT((Inputs!$A$5:$A$120=$B39)*ISNUMBER(INDEX(Inputs!$K$5:$AJ$120,0,MATCH(Z$2,Inputs!$K$4:$AJ$4,0))))+SUMPRODUCT((Inputs!$C$5:$C$120=$B39)*ISNUMBER(INDEX(Inputs!$K$5:$AJ$120,0,MATCH(Z$2,Inputs!$K$4:$AJ$4,0))))+SUMPRODUCT((Inputs!$E$5:$E$120=$B39)*ISNUMBER(INDEX(Inputs!$K$5:$AJ$120,0,MATCH(Z$2,Inputs!$K$4:$AJ$4,0))))=0,NA(),SUMPRODUCT((Inputs!$A$5:$A$120=$B39)*Inputs!$B$5:$B$120*(((Inputs!$G$5:$G$120="moeda")+(Inputs!$G$5:$G$120="acoes"))*Inputs!$B$1+((Inputs!$G$5:$G$120&lt;&gt;"moeda")*(Inputs!$G$5:$G$120&lt;&gt;"acoes")))*INDEX(Inputs!$K$5:$AJ$120,0,MATCH(Z$2,Inputs!$K$4:$AJ$4,0)))+SUMPRODUCT((Inputs!$C$5:$C$120=$B39)*Inputs!$D$5:$D$120*(((Inputs!$G$5:$G$120="moeda")+(Inputs!$G$5:$G$120="acoes"))*Inputs!$B$1+((Inputs!$G$5:$G$120&lt;&gt;"moeda")*(Inputs!$G$5:$G$120&lt;&gt;"acoes")))*INDEX(Inputs!$K$5:$AJ$120,0,MATCH(Z$2,Inputs!$K$4:$AJ$4,0)))+SUMPRODUCT((Inputs!$E$5:$E$120=$B39)*Inputs!$F$5:$F$120*(((Inputs!$G$5:$G$120="moeda")+(Inputs!$G$5:$G$120="acoes"))*Inputs!$B$1+((Inputs!$G$5:$G$120&lt;&gt;"moeda")*(Inputs!$G$5:$G$120&lt;&gt;"acoes")))*INDEX(Inputs!$K$5:$AJ$120,0,MATCH(Z$2,Inputs!$K$4:$AJ$4,0)))))</f>
        <v>7631</v>
      </c>
      <c r="AA39" s="267">
        <f>IF(ISNA(MATCH(AA$2,Inputs!$K$4:$AJ$4,0)),NA(),IF(SUMPRODUCT((Inputs!$A$5:$A$120=$B39)*ISNUMBER(INDEX(Inputs!$K$5:$AJ$120,0,MATCH(AA$2,Inputs!$K$4:$AJ$4,0))))+SUMPRODUCT((Inputs!$C$5:$C$120=$B39)*ISNUMBER(INDEX(Inputs!$K$5:$AJ$120,0,MATCH(AA$2,Inputs!$K$4:$AJ$4,0))))+SUMPRODUCT((Inputs!$E$5:$E$120=$B39)*ISNUMBER(INDEX(Inputs!$K$5:$AJ$120,0,MATCH(AA$2,Inputs!$K$4:$AJ$4,0))))=0,NA(),SUMPRODUCT((Inputs!$A$5:$A$120=$B39)*Inputs!$B$5:$B$120*(((Inputs!$G$5:$G$120="moeda")+(Inputs!$G$5:$G$120="acoes"))*Inputs!$B$1+((Inputs!$G$5:$G$120&lt;&gt;"moeda")*(Inputs!$G$5:$G$120&lt;&gt;"acoes")))*INDEX(Inputs!$K$5:$AJ$120,0,MATCH(AA$2,Inputs!$K$4:$AJ$4,0)))+SUMPRODUCT((Inputs!$C$5:$C$120=$B39)*Inputs!$D$5:$D$120*(((Inputs!$G$5:$G$120="moeda")+(Inputs!$G$5:$G$120="acoes"))*Inputs!$B$1+((Inputs!$G$5:$G$120&lt;&gt;"moeda")*(Inputs!$G$5:$G$120&lt;&gt;"acoes")))*INDEX(Inputs!$K$5:$AJ$120,0,MATCH(AA$2,Inputs!$K$4:$AJ$4,0)))+SUMPRODUCT((Inputs!$E$5:$E$120=$B39)*Inputs!$F$5:$F$120*(((Inputs!$G$5:$G$120="moeda")+(Inputs!$G$5:$G$120="acoes"))*Inputs!$B$1+((Inputs!$G$5:$G$120&lt;&gt;"moeda")*(Inputs!$G$5:$G$120&lt;&gt;"acoes")))*INDEX(Inputs!$K$5:$AJ$120,0,MATCH(AA$2,Inputs!$K$4:$AJ$4,0)))))</f>
        <v>6837</v>
      </c>
      <c r="AB39" s="268">
        <f>AA39</f>
        <v>6837</v>
      </c>
      <c r="AC39" s="267">
        <f>IF(ISNA(MATCH(AC$2,Inputs!$K$4:$AJ$4,0)),NA(),IF(SUMPRODUCT((Inputs!$A$5:$A$120=$B39)*ISNUMBER(INDEX(Inputs!$K$5:$AJ$120,0,MATCH(AC$2,Inputs!$K$4:$AJ$4,0))))+SUMPRODUCT((Inputs!$C$5:$C$120=$B39)*ISNUMBER(INDEX(Inputs!$K$5:$AJ$120,0,MATCH(AC$2,Inputs!$K$4:$AJ$4,0))))+SUMPRODUCT((Inputs!$E$5:$E$120=$B39)*ISNUMBER(INDEX(Inputs!$K$5:$AJ$120,0,MATCH(AC$2,Inputs!$K$4:$AJ$4,0))))=0,NA(),SUMPRODUCT((Inputs!$A$5:$A$120=$B39)*Inputs!$B$5:$B$120*(((Inputs!$G$5:$G$120="moeda")+(Inputs!$G$5:$G$120="acoes"))*Inputs!$B$1+((Inputs!$G$5:$G$120&lt;&gt;"moeda")*(Inputs!$G$5:$G$120&lt;&gt;"acoes")))*INDEX(Inputs!$K$5:$AJ$120,0,MATCH(AC$2,Inputs!$K$4:$AJ$4,0)))+SUMPRODUCT((Inputs!$C$5:$C$120=$B39)*Inputs!$D$5:$D$120*(((Inputs!$G$5:$G$120="moeda")+(Inputs!$G$5:$G$120="acoes"))*Inputs!$B$1+((Inputs!$G$5:$G$120&lt;&gt;"moeda")*(Inputs!$G$5:$G$120&lt;&gt;"acoes")))*INDEX(Inputs!$K$5:$AJ$120,0,MATCH(AC$2,Inputs!$K$4:$AJ$4,0)))+SUMPRODUCT((Inputs!$E$5:$E$120=$B39)*Inputs!$F$5:$F$120*(((Inputs!$G$5:$G$120="moeda")+(Inputs!$G$5:$G$120="acoes"))*Inputs!$B$1+((Inputs!$G$5:$G$120&lt;&gt;"moeda")*(Inputs!$G$5:$G$120&lt;&gt;"acoes")))*INDEX(Inputs!$K$5:$AJ$120,0,MATCH(AC$2,Inputs!$K$4:$AJ$4,0)))))</f>
        <v>6880</v>
      </c>
      <c r="AD39" s="267">
        <f>IF(ISNA(MATCH(AD$2,Inputs!$K$4:$AJ$4,0)),NA(),IF(SUMPRODUCT((Inputs!$A$5:$A$120=$B39)*ISNUMBER(INDEX(Inputs!$K$5:$AJ$120,0,MATCH(AD$2,Inputs!$K$4:$AJ$4,0))))+SUMPRODUCT((Inputs!$C$5:$C$120=$B39)*ISNUMBER(INDEX(Inputs!$K$5:$AJ$120,0,MATCH(AD$2,Inputs!$K$4:$AJ$4,0))))+SUMPRODUCT((Inputs!$E$5:$E$120=$B39)*ISNUMBER(INDEX(Inputs!$K$5:$AJ$120,0,MATCH(AD$2,Inputs!$K$4:$AJ$4,0))))=0,NA(),SUMPRODUCT((Inputs!$A$5:$A$120=$B39)*Inputs!$B$5:$B$120*(((Inputs!$G$5:$G$120="moeda")+(Inputs!$G$5:$G$120="acoes"))*Inputs!$B$1+((Inputs!$G$5:$G$120&lt;&gt;"moeda")*(Inputs!$G$5:$G$120&lt;&gt;"acoes")))*INDEX(Inputs!$K$5:$AJ$120,0,MATCH(AD$2,Inputs!$K$4:$AJ$4,0)))+SUMPRODUCT((Inputs!$C$5:$C$120=$B39)*Inputs!$D$5:$D$120*(((Inputs!$G$5:$G$120="moeda")+(Inputs!$G$5:$G$120="acoes"))*Inputs!$B$1+((Inputs!$G$5:$G$120&lt;&gt;"moeda")*(Inputs!$G$5:$G$120&lt;&gt;"acoes")))*INDEX(Inputs!$K$5:$AJ$120,0,MATCH(AD$2,Inputs!$K$4:$AJ$4,0)))+SUMPRODUCT((Inputs!$E$5:$E$120=$B39)*Inputs!$F$5:$F$120*(((Inputs!$G$5:$G$120="moeda")+(Inputs!$G$5:$G$120="acoes"))*Inputs!$B$1+((Inputs!$G$5:$G$120&lt;&gt;"moeda")*(Inputs!$G$5:$G$120&lt;&gt;"acoes")))*INDEX(Inputs!$K$5:$AJ$120,0,MATCH(AD$2,Inputs!$K$4:$AJ$4,0)))))</f>
        <v>6852</v>
      </c>
      <c r="AE39" s="267" t="e">
        <f>IF(ISNA(MATCH(AE$2,Inputs!$K$4:$AJ$4,0)),NA(),IF(SUMPRODUCT((Inputs!$A$5:$A$120=$B39)*ISNUMBER(INDEX(Inputs!$K$5:$AJ$120,0,MATCH(AE$2,Inputs!$K$4:$AJ$4,0))))+SUMPRODUCT((Inputs!$C$5:$C$120=$B39)*ISNUMBER(INDEX(Inputs!$K$5:$AJ$120,0,MATCH(AE$2,Inputs!$K$4:$AJ$4,0))))+SUMPRODUCT((Inputs!$E$5:$E$120=$B39)*ISNUMBER(INDEX(Inputs!$K$5:$AJ$120,0,MATCH(AE$2,Inputs!$K$4:$AJ$4,0))))=0,NA(),SUMPRODUCT((Inputs!$A$5:$A$120=$B39)*Inputs!$B$5:$B$120*(((Inputs!$G$5:$G$120="moeda")+(Inputs!$G$5:$G$120="acoes"))*Inputs!$B$1+((Inputs!$G$5:$G$120&lt;&gt;"moeda")*(Inputs!$G$5:$G$120&lt;&gt;"acoes")))*INDEX(Inputs!$K$5:$AJ$120,0,MATCH(AE$2,Inputs!$K$4:$AJ$4,0)))+SUMPRODUCT((Inputs!$C$5:$C$120=$B39)*Inputs!$D$5:$D$120*(((Inputs!$G$5:$G$120="moeda")+(Inputs!$G$5:$G$120="acoes"))*Inputs!$B$1+((Inputs!$G$5:$G$120&lt;&gt;"moeda")*(Inputs!$G$5:$G$120&lt;&gt;"acoes")))*INDEX(Inputs!$K$5:$AJ$120,0,MATCH(AE$2,Inputs!$K$4:$AJ$4,0)))+SUMPRODUCT((Inputs!$E$5:$E$120=$B39)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39" s="267" t="e">
        <f>IF(ISNA(MATCH(AF$2,Inputs!$K$4:$AJ$4,0)),NA(),IF(SUMPRODUCT((Inputs!$A$5:$A$120=$B39)*ISNUMBER(INDEX(Inputs!$K$5:$AJ$120,0,MATCH(AF$2,Inputs!$K$4:$AJ$4,0))))+SUMPRODUCT((Inputs!$C$5:$C$120=$B39)*ISNUMBER(INDEX(Inputs!$K$5:$AJ$120,0,MATCH(AF$2,Inputs!$K$4:$AJ$4,0))))+SUMPRODUCT((Inputs!$E$5:$E$120=$B39)*ISNUMBER(INDEX(Inputs!$K$5:$AJ$120,0,MATCH(AF$2,Inputs!$K$4:$AJ$4,0))))=0,NA(),SUMPRODUCT((Inputs!$A$5:$A$120=$B39)*Inputs!$B$5:$B$120*(((Inputs!$G$5:$G$120="moeda")+(Inputs!$G$5:$G$120="acoes"))*Inputs!$B$1+((Inputs!$G$5:$G$120&lt;&gt;"moeda")*(Inputs!$G$5:$G$120&lt;&gt;"acoes")))*INDEX(Inputs!$K$5:$AJ$120,0,MATCH(AF$2,Inputs!$K$4:$AJ$4,0)))+SUMPRODUCT((Inputs!$C$5:$C$120=$B39)*Inputs!$D$5:$D$120*(((Inputs!$G$5:$G$120="moeda")+(Inputs!$G$5:$G$120="acoes"))*Inputs!$B$1+((Inputs!$G$5:$G$120&lt;&gt;"moeda")*(Inputs!$G$5:$G$120&lt;&gt;"acoes")))*INDEX(Inputs!$K$5:$AJ$120,0,MATCH(AF$2,Inputs!$K$4:$AJ$4,0)))+SUMPRODUCT((Inputs!$E$5:$E$120=$B39)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39" s="268" t="e">
        <f>AF39</f>
        <v>#N/A</v>
      </c>
      <c r="AH39" s="267">
        <f>IF(ISNA(MATCH(AH$2,Inputs!$K$4:$AJ$4,0)),NA(),IF(SUMPRODUCT((Inputs!$A$5:$A$120=$B39)*ISNUMBER(INDEX(Inputs!$K$5:$AJ$120,0,MATCH(AH$2,Inputs!$K$4:$AJ$4,0))))+SUMPRODUCT((Inputs!$C$5:$C$120=$B39)*ISNUMBER(INDEX(Inputs!$K$5:$AJ$120,0,MATCH(AH$2,Inputs!$K$4:$AJ$4,0))))+SUMPRODUCT((Inputs!$E$5:$E$120=$B39)*ISNUMBER(INDEX(Inputs!$K$5:$AJ$120,0,MATCH(AH$2,Inputs!$K$4:$AJ$4,0))))=0,NA(),SUMPRODUCT((Inputs!$A$5:$A$120=$B39)*Inputs!$B$5:$B$120*(((Inputs!$G$5:$G$120="moeda")+(Inputs!$G$5:$G$120="acoes"))*Inputs!$B$1+((Inputs!$G$5:$G$120&lt;&gt;"moeda")*(Inputs!$G$5:$G$120&lt;&gt;"acoes")))*INDEX(Inputs!$K$5:$AJ$120,0,MATCH(AH$2,Inputs!$K$4:$AJ$4,0)))+SUMPRODUCT((Inputs!$C$5:$C$120=$B39)*Inputs!$D$5:$D$120*(((Inputs!$G$5:$G$120="moeda")+(Inputs!$G$5:$G$120="acoes"))*Inputs!$B$1+((Inputs!$G$5:$G$120&lt;&gt;"moeda")*(Inputs!$G$5:$G$120&lt;&gt;"acoes")))*INDEX(Inputs!$K$5:$AJ$120,0,MATCH(AH$2,Inputs!$K$4:$AJ$4,0)))+SUMPRODUCT((Inputs!$E$5:$E$120=$B39)*Inputs!$F$5:$F$120*(((Inputs!$G$5:$G$120="moeda")+(Inputs!$G$5:$G$120="acoes"))*Inputs!$B$1+((Inputs!$G$5:$G$120&lt;&gt;"moeda")*(Inputs!$G$5:$G$120&lt;&gt;"acoes")))*INDEX(Inputs!$K$5:$AJ$120,0,MATCH(AH$2,Inputs!$K$4:$AJ$4,0)))))</f>
        <v>6197</v>
      </c>
      <c r="AI39" s="267">
        <f>IF(ISNA(MATCH(AI$2,Inputs!$K$4:$AJ$4,0)),NA(),IF(SUMPRODUCT((Inputs!$A$5:$A$120=$B39)*ISNUMBER(INDEX(Inputs!$K$5:$AJ$120,0,MATCH(AI$2,Inputs!$K$4:$AJ$4,0))))+SUMPRODUCT((Inputs!$C$5:$C$120=$B39)*ISNUMBER(INDEX(Inputs!$K$5:$AJ$120,0,MATCH(AI$2,Inputs!$K$4:$AJ$4,0))))+SUMPRODUCT((Inputs!$E$5:$E$120=$B39)*ISNUMBER(INDEX(Inputs!$K$5:$AJ$120,0,MATCH(AI$2,Inputs!$K$4:$AJ$4,0))))=0,NA(),SUMPRODUCT((Inputs!$A$5:$A$120=$B39)*Inputs!$B$5:$B$120*(((Inputs!$G$5:$G$120="moeda")+(Inputs!$G$5:$G$120="acoes"))*Inputs!$B$1+((Inputs!$G$5:$G$120&lt;&gt;"moeda")*(Inputs!$G$5:$G$120&lt;&gt;"acoes")))*INDEX(Inputs!$K$5:$AJ$120,0,MATCH(AI$2,Inputs!$K$4:$AJ$4,0)))+SUMPRODUCT((Inputs!$C$5:$C$120=$B39)*Inputs!$D$5:$D$120*(((Inputs!$G$5:$G$120="moeda")+(Inputs!$G$5:$G$120="acoes"))*Inputs!$B$1+((Inputs!$G$5:$G$120&lt;&gt;"moeda")*(Inputs!$G$5:$G$120&lt;&gt;"acoes")))*INDEX(Inputs!$K$5:$AJ$120,0,MATCH(AI$2,Inputs!$K$4:$AJ$4,0)))+SUMPRODUCT((Inputs!$E$5:$E$120=$B39)*Inputs!$F$5:$F$120*(((Inputs!$G$5:$G$120="moeda")+(Inputs!$G$5:$G$120="acoes"))*Inputs!$B$1+((Inputs!$G$5:$G$120&lt;&gt;"moeda")*(Inputs!$G$5:$G$120&lt;&gt;"acoes")))*INDEX(Inputs!$K$5:$AJ$120,0,MATCH(AI$2,Inputs!$K$4:$AJ$4,0)))))</f>
        <v>6165</v>
      </c>
      <c r="AJ39" s="267">
        <f>IF(ISNA(MATCH(AJ$2,Inputs!$K$4:$AJ$4,0)),NA(),IF(SUMPRODUCT((Inputs!$A$5:$A$120=$B39)*ISNUMBER(INDEX(Inputs!$K$5:$AJ$120,0,MATCH(AJ$2,Inputs!$K$4:$AJ$4,0))))+SUMPRODUCT((Inputs!$C$5:$C$120=$B39)*ISNUMBER(INDEX(Inputs!$K$5:$AJ$120,0,MATCH(AJ$2,Inputs!$K$4:$AJ$4,0))))+SUMPRODUCT((Inputs!$E$5:$E$120=$B39)*ISNUMBER(INDEX(Inputs!$K$5:$AJ$120,0,MATCH(AJ$2,Inputs!$K$4:$AJ$4,0))))=0,NA(),SUMPRODUCT((Inputs!$A$5:$A$120=$B39)*Inputs!$B$5:$B$120*(((Inputs!$G$5:$G$120="moeda")+(Inputs!$G$5:$G$120="acoes"))*Inputs!$B$1+((Inputs!$G$5:$G$120&lt;&gt;"moeda")*(Inputs!$G$5:$G$120&lt;&gt;"acoes")))*INDEX(Inputs!$K$5:$AJ$120,0,MATCH(AJ$2,Inputs!$K$4:$AJ$4,0)))+SUMPRODUCT((Inputs!$C$5:$C$120=$B39)*Inputs!$D$5:$D$120*(((Inputs!$G$5:$G$120="moeda")+(Inputs!$G$5:$G$120="acoes"))*Inputs!$B$1+((Inputs!$G$5:$G$120&lt;&gt;"moeda")*(Inputs!$G$5:$G$120&lt;&gt;"acoes")))*INDEX(Inputs!$K$5:$AJ$120,0,MATCH(AJ$2,Inputs!$K$4:$AJ$4,0)))+SUMPRODUCT((Inputs!$E$5:$E$120=$B39)*Inputs!$F$5:$F$120*(((Inputs!$G$5:$G$120="moeda")+(Inputs!$G$5:$G$120="acoes"))*Inputs!$B$1+((Inputs!$G$5:$G$120&lt;&gt;"moeda")*(Inputs!$G$5:$G$120&lt;&gt;"acoes")))*INDEX(Inputs!$K$5:$AJ$120,0,MATCH(AJ$2,Inputs!$K$4:$AJ$4,0)))))</f>
        <v>6133</v>
      </c>
      <c r="AK39" s="267">
        <f>IF(ISNA(MATCH(AK$2,Inputs!$K$4:$AJ$4,0)),NA(),IF(SUMPRODUCT((Inputs!$A$5:$A$120=$B39)*ISNUMBER(INDEX(Inputs!$K$5:$AJ$120,0,MATCH(AK$2,Inputs!$K$4:$AJ$4,0))))+SUMPRODUCT((Inputs!$C$5:$C$120=$B39)*ISNUMBER(INDEX(Inputs!$K$5:$AJ$120,0,MATCH(AK$2,Inputs!$K$4:$AJ$4,0))))+SUMPRODUCT((Inputs!$E$5:$E$120=$B39)*ISNUMBER(INDEX(Inputs!$K$5:$AJ$120,0,MATCH(AK$2,Inputs!$K$4:$AJ$4,0))))=0,NA(),SUMPRODUCT((Inputs!$A$5:$A$120=$B39)*Inputs!$B$5:$B$120*(((Inputs!$G$5:$G$120="moeda")+(Inputs!$G$5:$G$120="acoes"))*Inputs!$B$1+((Inputs!$G$5:$G$120&lt;&gt;"moeda")*(Inputs!$G$5:$G$120&lt;&gt;"acoes")))*INDEX(Inputs!$K$5:$AJ$120,0,MATCH(AK$2,Inputs!$K$4:$AJ$4,0)))+SUMPRODUCT((Inputs!$C$5:$C$120=$B39)*Inputs!$D$5:$D$120*(((Inputs!$G$5:$G$120="moeda")+(Inputs!$G$5:$G$120="acoes"))*Inputs!$B$1+((Inputs!$G$5:$G$120&lt;&gt;"moeda")*(Inputs!$G$5:$G$120&lt;&gt;"acoes")))*INDEX(Inputs!$K$5:$AJ$120,0,MATCH(AK$2,Inputs!$K$4:$AJ$4,0)))+SUMPRODUCT((Inputs!$E$5:$E$120=$B39)*Inputs!$F$5:$F$120*(((Inputs!$G$5:$G$120="moeda")+(Inputs!$G$5:$G$120="acoes"))*Inputs!$B$1+((Inputs!$G$5:$G$120&lt;&gt;"moeda")*(Inputs!$G$5:$G$120&lt;&gt;"acoes")))*INDEX(Inputs!$K$5:$AJ$120,0,MATCH(AK$2,Inputs!$K$4:$AJ$4,0)))))</f>
        <v>5974</v>
      </c>
      <c r="AL39" s="268">
        <f>AK39</f>
        <v>5974</v>
      </c>
    </row>
    <row r="40" ht="12.75" customHeight="1" s="255">
      <c r="C40" s="259" t="n"/>
    </row>
    <row r="41" ht="12.75" customHeight="1" s="255">
      <c r="B41" s="265" t="n">
        <v>35</v>
      </c>
      <c r="C41" s="270" t="inlineStr">
        <is>
          <t>Minority interest</t>
        </is>
      </c>
      <c r="D41" s="267">
        <f>IF(ISNA(MATCH(D$2,Inputs!$K$4:$AJ$4,0)),NA(),IF(SUMPRODUCT((Inputs!$A$5:$A$120=$B41)*ISNUMBER(INDEX(Inputs!$K$5:$AJ$120,0,MATCH(D$2,Inputs!$K$4:$AJ$4,0))))+SUMPRODUCT((Inputs!$C$5:$C$120=$B41)*ISNUMBER(INDEX(Inputs!$K$5:$AJ$120,0,MATCH(D$2,Inputs!$K$4:$AJ$4,0))))+SUMPRODUCT((Inputs!$E$5:$E$120=$B41)*ISNUMBER(INDEX(Inputs!$K$5:$AJ$120,0,MATCH(D$2,Inputs!$K$4:$AJ$4,0))))=0,NA(),SUMPRODUCT((Inputs!$A$5:$A$120=$B41)*Inputs!$B$5:$B$120*(((Inputs!$G$5:$G$120="moeda")+(Inputs!$G$5:$G$120="acoes"))*Inputs!$B$1+((Inputs!$G$5:$G$120&lt;&gt;"moeda")*(Inputs!$G$5:$G$120&lt;&gt;"acoes")))*INDEX(Inputs!$K$5:$AJ$120,0,MATCH(D$2,Inputs!$K$4:$AJ$4,0)))+SUMPRODUCT((Inputs!$C$5:$C$120=$B41)*Inputs!$D$5:$D$120*(((Inputs!$G$5:$G$120="moeda")+(Inputs!$G$5:$G$120="acoes"))*Inputs!$B$1+((Inputs!$G$5:$G$120&lt;&gt;"moeda")*(Inputs!$G$5:$G$120&lt;&gt;"acoes")))*INDEX(Inputs!$K$5:$AJ$120,0,MATCH(D$2,Inputs!$K$4:$AJ$4,0)))+SUMPRODUCT((Inputs!$E$5:$E$120=$B41)*Inputs!$F$5:$F$120*(((Inputs!$G$5:$G$120="moeda")+(Inputs!$G$5:$G$120="acoes"))*Inputs!$B$1+((Inputs!$G$5:$G$120&lt;&gt;"moeda")*(Inputs!$G$5:$G$120&lt;&gt;"acoes")))*INDEX(Inputs!$K$5:$AJ$120,0,MATCH(D$2,Inputs!$K$4:$AJ$4,0)))))</f>
        <v>8653</v>
      </c>
      <c r="E41" s="267">
        <f>IF(ISNA(MATCH(E$2,Inputs!$K$4:$AJ$4,0)),NA(),IF(SUMPRODUCT((Inputs!$A$5:$A$120=$B41)*ISNUMBER(INDEX(Inputs!$K$5:$AJ$120,0,MATCH(E$2,Inputs!$K$4:$AJ$4,0))))+SUMPRODUCT((Inputs!$C$5:$C$120=$B41)*ISNUMBER(INDEX(Inputs!$K$5:$AJ$120,0,MATCH(E$2,Inputs!$K$4:$AJ$4,0))))+SUMPRODUCT((Inputs!$E$5:$E$120=$B41)*ISNUMBER(INDEX(Inputs!$K$5:$AJ$120,0,MATCH(E$2,Inputs!$K$4:$AJ$4,0))))=0,NA(),SUMPRODUCT((Inputs!$A$5:$A$120=$B41)*Inputs!$B$5:$B$120*(((Inputs!$G$5:$G$120="moeda")+(Inputs!$G$5:$G$120="acoes"))*Inputs!$B$1+((Inputs!$G$5:$G$120&lt;&gt;"moeda")*(Inputs!$G$5:$G$120&lt;&gt;"acoes")))*INDEX(Inputs!$K$5:$AJ$120,0,MATCH(E$2,Inputs!$K$4:$AJ$4,0)))+SUMPRODUCT((Inputs!$C$5:$C$120=$B41)*Inputs!$D$5:$D$120*(((Inputs!$G$5:$G$120="moeda")+(Inputs!$G$5:$G$120="acoes"))*Inputs!$B$1+((Inputs!$G$5:$G$120&lt;&gt;"moeda")*(Inputs!$G$5:$G$120&lt;&gt;"acoes")))*INDEX(Inputs!$K$5:$AJ$120,0,MATCH(E$2,Inputs!$K$4:$AJ$4,0)))+SUMPRODUCT((Inputs!$E$5:$E$120=$B41)*Inputs!$F$5:$F$120*(((Inputs!$G$5:$G$120="moeda")+(Inputs!$G$5:$G$120="acoes"))*Inputs!$B$1+((Inputs!$G$5:$G$120&lt;&gt;"moeda")*(Inputs!$G$5:$G$120&lt;&gt;"acoes")))*INDEX(Inputs!$K$5:$AJ$120,0,MATCH(E$2,Inputs!$K$4:$AJ$4,0)))))</f>
        <v>8924</v>
      </c>
      <c r="F41" s="267">
        <f>IF(ISNA(MATCH(F$2,Inputs!$K$4:$AJ$4,0)),NA(),IF(SUMPRODUCT((Inputs!$A$5:$A$120=$B41)*ISNUMBER(INDEX(Inputs!$K$5:$AJ$120,0,MATCH(F$2,Inputs!$K$4:$AJ$4,0))))+SUMPRODUCT((Inputs!$C$5:$C$120=$B41)*ISNUMBER(INDEX(Inputs!$K$5:$AJ$120,0,MATCH(F$2,Inputs!$K$4:$AJ$4,0))))+SUMPRODUCT((Inputs!$E$5:$E$120=$B41)*ISNUMBER(INDEX(Inputs!$K$5:$AJ$120,0,MATCH(F$2,Inputs!$K$4:$AJ$4,0))))=0,NA(),SUMPRODUCT((Inputs!$A$5:$A$120=$B41)*Inputs!$B$5:$B$120*(((Inputs!$G$5:$G$120="moeda")+(Inputs!$G$5:$G$120="acoes"))*Inputs!$B$1+((Inputs!$G$5:$G$120&lt;&gt;"moeda")*(Inputs!$G$5:$G$120&lt;&gt;"acoes")))*INDEX(Inputs!$K$5:$AJ$120,0,MATCH(F$2,Inputs!$K$4:$AJ$4,0)))+SUMPRODUCT((Inputs!$C$5:$C$120=$B41)*Inputs!$D$5:$D$120*(((Inputs!$G$5:$G$120="moeda")+(Inputs!$G$5:$G$120="acoes"))*Inputs!$B$1+((Inputs!$G$5:$G$120&lt;&gt;"moeda")*(Inputs!$G$5:$G$120&lt;&gt;"acoes")))*INDEX(Inputs!$K$5:$AJ$120,0,MATCH(F$2,Inputs!$K$4:$AJ$4,0)))+SUMPRODUCT((Inputs!$E$5:$E$120=$B41)*Inputs!$F$5:$F$120*(((Inputs!$G$5:$G$120="moeda")+(Inputs!$G$5:$G$120="acoes"))*Inputs!$B$1+((Inputs!$G$5:$G$120&lt;&gt;"moeda")*(Inputs!$G$5:$G$120&lt;&gt;"acoes")))*INDEX(Inputs!$K$5:$AJ$120,0,MATCH(F$2,Inputs!$K$4:$AJ$4,0)))))</f>
        <v>9178</v>
      </c>
      <c r="G41" s="267">
        <f>IF(ISNA(MATCH(G$2,Inputs!$K$4:$AJ$4,0)),NA(),IF(SUMPRODUCT((Inputs!$A$5:$A$120=$B41)*ISNUMBER(INDEX(Inputs!$K$5:$AJ$120,0,MATCH(G$2,Inputs!$K$4:$AJ$4,0))))+SUMPRODUCT((Inputs!$C$5:$C$120=$B41)*ISNUMBER(INDEX(Inputs!$K$5:$AJ$120,0,MATCH(G$2,Inputs!$K$4:$AJ$4,0))))+SUMPRODUCT((Inputs!$E$5:$E$120=$B41)*ISNUMBER(INDEX(Inputs!$K$5:$AJ$120,0,MATCH(G$2,Inputs!$K$4:$AJ$4,0))))=0,NA(),SUMPRODUCT((Inputs!$A$5:$A$120=$B41)*Inputs!$B$5:$B$120*(((Inputs!$G$5:$G$120="moeda")+(Inputs!$G$5:$G$120="acoes"))*Inputs!$B$1+((Inputs!$G$5:$G$120&lt;&gt;"moeda")*(Inputs!$G$5:$G$120&lt;&gt;"acoes")))*INDEX(Inputs!$K$5:$AJ$120,0,MATCH(G$2,Inputs!$K$4:$AJ$4,0)))+SUMPRODUCT((Inputs!$C$5:$C$120=$B41)*Inputs!$D$5:$D$120*(((Inputs!$G$5:$G$120="moeda")+(Inputs!$G$5:$G$120="acoes"))*Inputs!$B$1+((Inputs!$G$5:$G$120&lt;&gt;"moeda")*(Inputs!$G$5:$G$120&lt;&gt;"acoes")))*INDEX(Inputs!$K$5:$AJ$120,0,MATCH(G$2,Inputs!$K$4:$AJ$4,0)))+SUMPRODUCT((Inputs!$E$5:$E$120=$B41)*Inputs!$F$5:$F$120*(((Inputs!$G$5:$G$120="moeda")+(Inputs!$G$5:$G$120="acoes"))*Inputs!$B$1+((Inputs!$G$5:$G$120&lt;&gt;"moeda")*(Inputs!$G$5:$G$120&lt;&gt;"acoes")))*INDEX(Inputs!$K$5:$AJ$120,0,MATCH(G$2,Inputs!$K$4:$AJ$4,0)))))</f>
        <v>9039</v>
      </c>
      <c r="H41" s="268">
        <f>G41</f>
        <v>9039</v>
      </c>
      <c r="I41" s="267">
        <f>IF(ISNA(MATCH(I$2,Inputs!$K$4:$AJ$4,0)),NA(),IF(SUMPRODUCT((Inputs!$A$5:$A$120=$B41)*ISNUMBER(INDEX(Inputs!$K$5:$AJ$120,0,MATCH(I$2,Inputs!$K$4:$AJ$4,0))))+SUMPRODUCT((Inputs!$C$5:$C$120=$B41)*ISNUMBER(INDEX(Inputs!$K$5:$AJ$120,0,MATCH(I$2,Inputs!$K$4:$AJ$4,0))))+SUMPRODUCT((Inputs!$E$5:$E$120=$B41)*ISNUMBER(INDEX(Inputs!$K$5:$AJ$120,0,MATCH(I$2,Inputs!$K$4:$AJ$4,0))))=0,NA(),SUMPRODUCT((Inputs!$A$5:$A$120=$B41)*Inputs!$B$5:$B$120*(((Inputs!$G$5:$G$120="moeda")+(Inputs!$G$5:$G$120="acoes"))*Inputs!$B$1+((Inputs!$G$5:$G$120&lt;&gt;"moeda")*(Inputs!$G$5:$G$120&lt;&gt;"acoes")))*INDEX(Inputs!$K$5:$AJ$120,0,MATCH(I$2,Inputs!$K$4:$AJ$4,0)))+SUMPRODUCT((Inputs!$C$5:$C$120=$B41)*Inputs!$D$5:$D$120*(((Inputs!$G$5:$G$120="moeda")+(Inputs!$G$5:$G$120="acoes"))*Inputs!$B$1+((Inputs!$G$5:$G$120&lt;&gt;"moeda")*(Inputs!$G$5:$G$120&lt;&gt;"acoes")))*INDEX(Inputs!$K$5:$AJ$120,0,MATCH(I$2,Inputs!$K$4:$AJ$4,0)))+SUMPRODUCT((Inputs!$E$5:$E$120=$B41)*Inputs!$F$5:$F$120*(((Inputs!$G$5:$G$120="moeda")+(Inputs!$G$5:$G$120="acoes"))*Inputs!$B$1+((Inputs!$G$5:$G$120&lt;&gt;"moeda")*(Inputs!$G$5:$G$120&lt;&gt;"acoes")))*INDEX(Inputs!$K$5:$AJ$120,0,MATCH(I$2,Inputs!$K$4:$AJ$4,0)))))</f>
        <v>9176</v>
      </c>
      <c r="J41" s="267">
        <f>IF(ISNA(MATCH(J$2,Inputs!$K$4:$AJ$4,0)),NA(),IF(SUMPRODUCT((Inputs!$A$5:$A$120=$B41)*ISNUMBER(INDEX(Inputs!$K$5:$AJ$120,0,MATCH(J$2,Inputs!$K$4:$AJ$4,0))))+SUMPRODUCT((Inputs!$C$5:$C$120=$B41)*ISNUMBER(INDEX(Inputs!$K$5:$AJ$120,0,MATCH(J$2,Inputs!$K$4:$AJ$4,0))))+SUMPRODUCT((Inputs!$E$5:$E$120=$B41)*ISNUMBER(INDEX(Inputs!$K$5:$AJ$120,0,MATCH(J$2,Inputs!$K$4:$AJ$4,0))))=0,NA(),SUMPRODUCT((Inputs!$A$5:$A$120=$B41)*Inputs!$B$5:$B$120*(((Inputs!$G$5:$G$120="moeda")+(Inputs!$G$5:$G$120="acoes"))*Inputs!$B$1+((Inputs!$G$5:$G$120&lt;&gt;"moeda")*(Inputs!$G$5:$G$120&lt;&gt;"acoes")))*INDEX(Inputs!$K$5:$AJ$120,0,MATCH(J$2,Inputs!$K$4:$AJ$4,0)))+SUMPRODUCT((Inputs!$C$5:$C$120=$B41)*Inputs!$D$5:$D$120*(((Inputs!$G$5:$G$120="moeda")+(Inputs!$G$5:$G$120="acoes"))*Inputs!$B$1+((Inputs!$G$5:$G$120&lt;&gt;"moeda")*(Inputs!$G$5:$G$120&lt;&gt;"acoes")))*INDEX(Inputs!$K$5:$AJ$120,0,MATCH(J$2,Inputs!$K$4:$AJ$4,0)))+SUMPRODUCT((Inputs!$E$5:$E$120=$B41)*Inputs!$F$5:$F$120*(((Inputs!$G$5:$G$120="moeda")+(Inputs!$G$5:$G$120="acoes"))*Inputs!$B$1+((Inputs!$G$5:$G$120&lt;&gt;"moeda")*(Inputs!$G$5:$G$120&lt;&gt;"acoes")))*INDEX(Inputs!$K$5:$AJ$120,0,MATCH(J$2,Inputs!$K$4:$AJ$4,0)))))</f>
        <v>9158</v>
      </c>
      <c r="K41" s="267">
        <f>IF(ISNA(MATCH(K$2,Inputs!$K$4:$AJ$4,0)),NA(),IF(SUMPRODUCT((Inputs!$A$5:$A$120=$B41)*ISNUMBER(INDEX(Inputs!$K$5:$AJ$120,0,MATCH(K$2,Inputs!$K$4:$AJ$4,0))))+SUMPRODUCT((Inputs!$C$5:$C$120=$B41)*ISNUMBER(INDEX(Inputs!$K$5:$AJ$120,0,MATCH(K$2,Inputs!$K$4:$AJ$4,0))))+SUMPRODUCT((Inputs!$E$5:$E$120=$B41)*ISNUMBER(INDEX(Inputs!$K$5:$AJ$120,0,MATCH(K$2,Inputs!$K$4:$AJ$4,0))))=0,NA(),SUMPRODUCT((Inputs!$A$5:$A$120=$B41)*Inputs!$B$5:$B$120*(((Inputs!$G$5:$G$120="moeda")+(Inputs!$G$5:$G$120="acoes"))*Inputs!$B$1+((Inputs!$G$5:$G$120&lt;&gt;"moeda")*(Inputs!$G$5:$G$120&lt;&gt;"acoes")))*INDEX(Inputs!$K$5:$AJ$120,0,MATCH(K$2,Inputs!$K$4:$AJ$4,0)))+SUMPRODUCT((Inputs!$C$5:$C$120=$B41)*Inputs!$D$5:$D$120*(((Inputs!$G$5:$G$120="moeda")+(Inputs!$G$5:$G$120="acoes"))*Inputs!$B$1+((Inputs!$G$5:$G$120&lt;&gt;"moeda")*(Inputs!$G$5:$G$120&lt;&gt;"acoes")))*INDEX(Inputs!$K$5:$AJ$120,0,MATCH(K$2,Inputs!$K$4:$AJ$4,0)))+SUMPRODUCT((Inputs!$E$5:$E$120=$B41)*Inputs!$F$5:$F$120*(((Inputs!$G$5:$G$120="moeda")+(Inputs!$G$5:$G$120="acoes"))*Inputs!$B$1+((Inputs!$G$5:$G$120&lt;&gt;"moeda")*(Inputs!$G$5:$G$120&lt;&gt;"acoes")))*INDEX(Inputs!$K$5:$AJ$120,0,MATCH(K$2,Inputs!$K$4:$AJ$4,0)))))</f>
        <v>9227</v>
      </c>
      <c r="L41" s="267">
        <f>IF(ISNA(MATCH(L$2,Inputs!$K$4:$AJ$4,0)),NA(),IF(SUMPRODUCT((Inputs!$A$5:$A$120=$B41)*ISNUMBER(INDEX(Inputs!$K$5:$AJ$120,0,MATCH(L$2,Inputs!$K$4:$AJ$4,0))))+SUMPRODUCT((Inputs!$C$5:$C$120=$B41)*ISNUMBER(INDEX(Inputs!$K$5:$AJ$120,0,MATCH(L$2,Inputs!$K$4:$AJ$4,0))))+SUMPRODUCT((Inputs!$E$5:$E$120=$B41)*ISNUMBER(INDEX(Inputs!$K$5:$AJ$120,0,MATCH(L$2,Inputs!$K$4:$AJ$4,0))))=0,NA(),SUMPRODUCT((Inputs!$A$5:$A$120=$B41)*Inputs!$B$5:$B$120*(((Inputs!$G$5:$G$120="moeda")+(Inputs!$G$5:$G$120="acoes"))*Inputs!$B$1+((Inputs!$G$5:$G$120&lt;&gt;"moeda")*(Inputs!$G$5:$G$120&lt;&gt;"acoes")))*INDEX(Inputs!$K$5:$AJ$120,0,MATCH(L$2,Inputs!$K$4:$AJ$4,0)))+SUMPRODUCT((Inputs!$C$5:$C$120=$B41)*Inputs!$D$5:$D$120*(((Inputs!$G$5:$G$120="moeda")+(Inputs!$G$5:$G$120="acoes"))*Inputs!$B$1+((Inputs!$G$5:$G$120&lt;&gt;"moeda")*(Inputs!$G$5:$G$120&lt;&gt;"acoes")))*INDEX(Inputs!$K$5:$AJ$120,0,MATCH(L$2,Inputs!$K$4:$AJ$4,0)))+SUMPRODUCT((Inputs!$E$5:$E$120=$B41)*Inputs!$F$5:$F$120*(((Inputs!$G$5:$G$120="moeda")+(Inputs!$G$5:$G$120="acoes"))*Inputs!$B$1+((Inputs!$G$5:$G$120&lt;&gt;"moeda")*(Inputs!$G$5:$G$120&lt;&gt;"acoes")))*INDEX(Inputs!$K$5:$AJ$120,0,MATCH(L$2,Inputs!$K$4:$AJ$4,0)))))</f>
        <v>9316</v>
      </c>
      <c r="M41" s="268">
        <f>L41</f>
        <v>9316</v>
      </c>
      <c r="N41" s="267">
        <f>IF(ISNA(MATCH(N$2,Inputs!$K$4:$AJ$4,0)),NA(),IF(SUMPRODUCT((Inputs!$A$5:$A$120=$B41)*ISNUMBER(INDEX(Inputs!$K$5:$AJ$120,0,MATCH(N$2,Inputs!$K$4:$AJ$4,0))))+SUMPRODUCT((Inputs!$C$5:$C$120=$B41)*ISNUMBER(INDEX(Inputs!$K$5:$AJ$120,0,MATCH(N$2,Inputs!$K$4:$AJ$4,0))))+SUMPRODUCT((Inputs!$E$5:$E$120=$B41)*ISNUMBER(INDEX(Inputs!$K$5:$AJ$120,0,MATCH(N$2,Inputs!$K$4:$AJ$4,0))))=0,NA(),SUMPRODUCT((Inputs!$A$5:$A$120=$B41)*Inputs!$B$5:$B$120*(((Inputs!$G$5:$G$120="moeda")+(Inputs!$G$5:$G$120="acoes"))*Inputs!$B$1+((Inputs!$G$5:$G$120&lt;&gt;"moeda")*(Inputs!$G$5:$G$120&lt;&gt;"acoes")))*INDEX(Inputs!$K$5:$AJ$120,0,MATCH(N$2,Inputs!$K$4:$AJ$4,0)))+SUMPRODUCT((Inputs!$C$5:$C$120=$B41)*Inputs!$D$5:$D$120*(((Inputs!$G$5:$G$120="moeda")+(Inputs!$G$5:$G$120="acoes"))*Inputs!$B$1+((Inputs!$G$5:$G$120&lt;&gt;"moeda")*(Inputs!$G$5:$G$120&lt;&gt;"acoes")))*INDEX(Inputs!$K$5:$AJ$120,0,MATCH(N$2,Inputs!$K$4:$AJ$4,0)))+SUMPRODUCT((Inputs!$E$5:$E$120=$B41)*Inputs!$F$5:$F$120*(((Inputs!$G$5:$G$120="moeda")+(Inputs!$G$5:$G$120="acoes"))*Inputs!$B$1+((Inputs!$G$5:$G$120&lt;&gt;"moeda")*(Inputs!$G$5:$G$120&lt;&gt;"acoes")))*INDEX(Inputs!$K$5:$AJ$120,0,MATCH(N$2,Inputs!$K$4:$AJ$4,0)))))</f>
        <v>9591</v>
      </c>
      <c r="O41" s="267">
        <f>IF(ISNA(MATCH(O$2,Inputs!$K$4:$AJ$4,0)),NA(),IF(SUMPRODUCT((Inputs!$A$5:$A$120=$B41)*ISNUMBER(INDEX(Inputs!$K$5:$AJ$120,0,MATCH(O$2,Inputs!$K$4:$AJ$4,0))))+SUMPRODUCT((Inputs!$C$5:$C$120=$B41)*ISNUMBER(INDEX(Inputs!$K$5:$AJ$120,0,MATCH(O$2,Inputs!$K$4:$AJ$4,0))))+SUMPRODUCT((Inputs!$E$5:$E$120=$B41)*ISNUMBER(INDEX(Inputs!$K$5:$AJ$120,0,MATCH(O$2,Inputs!$K$4:$AJ$4,0))))=0,NA(),SUMPRODUCT((Inputs!$A$5:$A$120=$B41)*Inputs!$B$5:$B$120*(((Inputs!$G$5:$G$120="moeda")+(Inputs!$G$5:$G$120="acoes"))*Inputs!$B$1+((Inputs!$G$5:$G$120&lt;&gt;"moeda")*(Inputs!$G$5:$G$120&lt;&gt;"acoes")))*INDEX(Inputs!$K$5:$AJ$120,0,MATCH(O$2,Inputs!$K$4:$AJ$4,0)))+SUMPRODUCT((Inputs!$C$5:$C$120=$B41)*Inputs!$D$5:$D$120*(((Inputs!$G$5:$G$120="moeda")+(Inputs!$G$5:$G$120="acoes"))*Inputs!$B$1+((Inputs!$G$5:$G$120&lt;&gt;"moeda")*(Inputs!$G$5:$G$120&lt;&gt;"acoes")))*INDEX(Inputs!$K$5:$AJ$120,0,MATCH(O$2,Inputs!$K$4:$AJ$4,0)))+SUMPRODUCT((Inputs!$E$5:$E$120=$B41)*Inputs!$F$5:$F$120*(((Inputs!$G$5:$G$120="moeda")+(Inputs!$G$5:$G$120="acoes"))*Inputs!$B$1+((Inputs!$G$5:$G$120&lt;&gt;"moeda")*(Inputs!$G$5:$G$120&lt;&gt;"acoes")))*INDEX(Inputs!$K$5:$AJ$120,0,MATCH(O$2,Inputs!$K$4:$AJ$4,0)))))</f>
        <v>9825</v>
      </c>
      <c r="P41" s="267">
        <f>IF(ISNA(MATCH(P$2,Inputs!$K$4:$AJ$4,0)),NA(),IF(SUMPRODUCT((Inputs!$A$5:$A$120=$B41)*ISNUMBER(INDEX(Inputs!$K$5:$AJ$120,0,MATCH(P$2,Inputs!$K$4:$AJ$4,0))))+SUMPRODUCT((Inputs!$C$5:$C$120=$B41)*ISNUMBER(INDEX(Inputs!$K$5:$AJ$120,0,MATCH(P$2,Inputs!$K$4:$AJ$4,0))))+SUMPRODUCT((Inputs!$E$5:$E$120=$B41)*ISNUMBER(INDEX(Inputs!$K$5:$AJ$120,0,MATCH(P$2,Inputs!$K$4:$AJ$4,0))))=0,NA(),SUMPRODUCT((Inputs!$A$5:$A$120=$B41)*Inputs!$B$5:$B$120*(((Inputs!$G$5:$G$120="moeda")+(Inputs!$G$5:$G$120="acoes"))*Inputs!$B$1+((Inputs!$G$5:$G$120&lt;&gt;"moeda")*(Inputs!$G$5:$G$120&lt;&gt;"acoes")))*INDEX(Inputs!$K$5:$AJ$120,0,MATCH(P$2,Inputs!$K$4:$AJ$4,0)))+SUMPRODUCT((Inputs!$C$5:$C$120=$B41)*Inputs!$D$5:$D$120*(((Inputs!$G$5:$G$120="moeda")+(Inputs!$G$5:$G$120="acoes"))*Inputs!$B$1+((Inputs!$G$5:$G$120&lt;&gt;"moeda")*(Inputs!$G$5:$G$120&lt;&gt;"acoes")))*INDEX(Inputs!$K$5:$AJ$120,0,MATCH(P$2,Inputs!$K$4:$AJ$4,0)))+SUMPRODUCT((Inputs!$E$5:$E$120=$B41)*Inputs!$F$5:$F$120*(((Inputs!$G$5:$G$120="moeda")+(Inputs!$G$5:$G$120="acoes"))*Inputs!$B$1+((Inputs!$G$5:$G$120&lt;&gt;"moeda")*(Inputs!$G$5:$G$120&lt;&gt;"acoes")))*INDEX(Inputs!$K$5:$AJ$120,0,MATCH(P$2,Inputs!$K$4:$AJ$4,0)))))</f>
        <v>10218</v>
      </c>
      <c r="Q41" s="267">
        <f>IF(ISNA(MATCH(Q$2,Inputs!$K$4:$AJ$4,0)),NA(),IF(SUMPRODUCT((Inputs!$A$5:$A$120=$B41)*ISNUMBER(INDEX(Inputs!$K$5:$AJ$120,0,MATCH(Q$2,Inputs!$K$4:$AJ$4,0))))+SUMPRODUCT((Inputs!$C$5:$C$120=$B41)*ISNUMBER(INDEX(Inputs!$K$5:$AJ$120,0,MATCH(Q$2,Inputs!$K$4:$AJ$4,0))))+SUMPRODUCT((Inputs!$E$5:$E$120=$B41)*ISNUMBER(INDEX(Inputs!$K$5:$AJ$120,0,MATCH(Q$2,Inputs!$K$4:$AJ$4,0))))=0,NA(),SUMPRODUCT((Inputs!$A$5:$A$120=$B41)*Inputs!$B$5:$B$120*(((Inputs!$G$5:$G$120="moeda")+(Inputs!$G$5:$G$120="acoes"))*Inputs!$B$1+((Inputs!$G$5:$G$120&lt;&gt;"moeda")*(Inputs!$G$5:$G$120&lt;&gt;"acoes")))*INDEX(Inputs!$K$5:$AJ$120,0,MATCH(Q$2,Inputs!$K$4:$AJ$4,0)))+SUMPRODUCT((Inputs!$C$5:$C$120=$B41)*Inputs!$D$5:$D$120*(((Inputs!$G$5:$G$120="moeda")+(Inputs!$G$5:$G$120="acoes"))*Inputs!$B$1+((Inputs!$G$5:$G$120&lt;&gt;"moeda")*(Inputs!$G$5:$G$120&lt;&gt;"acoes")))*INDEX(Inputs!$K$5:$AJ$120,0,MATCH(Q$2,Inputs!$K$4:$AJ$4,0)))+SUMPRODUCT((Inputs!$E$5:$E$120=$B41)*Inputs!$F$5:$F$120*(((Inputs!$G$5:$G$120="moeda")+(Inputs!$G$5:$G$120="acoes"))*Inputs!$B$1+((Inputs!$G$5:$G$120&lt;&gt;"moeda")*(Inputs!$G$5:$G$120&lt;&gt;"acoes")))*INDEX(Inputs!$K$5:$AJ$120,0,MATCH(Q$2,Inputs!$K$4:$AJ$4,0)))))</f>
        <v>10617</v>
      </c>
      <c r="R41" s="268">
        <f>Q41</f>
        <v>10617</v>
      </c>
      <c r="S41" s="267">
        <f>IF(ISNA(MATCH(S$2,Inputs!$K$4:$AJ$4,0)),NA(),IF(SUMPRODUCT((Inputs!$A$5:$A$120=$B41)*ISNUMBER(INDEX(Inputs!$K$5:$AJ$120,0,MATCH(S$2,Inputs!$K$4:$AJ$4,0))))+SUMPRODUCT((Inputs!$C$5:$C$120=$B41)*ISNUMBER(INDEX(Inputs!$K$5:$AJ$120,0,MATCH(S$2,Inputs!$K$4:$AJ$4,0))))+SUMPRODUCT((Inputs!$E$5:$E$120=$B41)*ISNUMBER(INDEX(Inputs!$K$5:$AJ$120,0,MATCH(S$2,Inputs!$K$4:$AJ$4,0))))=0,NA(),SUMPRODUCT((Inputs!$A$5:$A$120=$B41)*Inputs!$B$5:$B$120*(((Inputs!$G$5:$G$120="moeda")+(Inputs!$G$5:$G$120="acoes"))*Inputs!$B$1+((Inputs!$G$5:$G$120&lt;&gt;"moeda")*(Inputs!$G$5:$G$120&lt;&gt;"acoes")))*INDEX(Inputs!$K$5:$AJ$120,0,MATCH(S$2,Inputs!$K$4:$AJ$4,0)))+SUMPRODUCT((Inputs!$C$5:$C$120=$B41)*Inputs!$D$5:$D$120*(((Inputs!$G$5:$G$120="moeda")+(Inputs!$G$5:$G$120="acoes"))*Inputs!$B$1+((Inputs!$G$5:$G$120&lt;&gt;"moeda")*(Inputs!$G$5:$G$120&lt;&gt;"acoes")))*INDEX(Inputs!$K$5:$AJ$120,0,MATCH(S$2,Inputs!$K$4:$AJ$4,0)))+SUMPRODUCT((Inputs!$E$5:$E$120=$B41)*Inputs!$F$5:$F$120*(((Inputs!$G$5:$G$120="moeda")+(Inputs!$G$5:$G$120="acoes"))*Inputs!$B$1+((Inputs!$G$5:$G$120&lt;&gt;"moeda")*(Inputs!$G$5:$G$120&lt;&gt;"acoes")))*INDEX(Inputs!$K$5:$AJ$120,0,MATCH(S$2,Inputs!$K$4:$AJ$4,0)))))</f>
        <v>11132</v>
      </c>
      <c r="T41" s="267">
        <f>IF(ISNA(MATCH(T$2,Inputs!$K$4:$AJ$4,0)),NA(),IF(SUMPRODUCT((Inputs!$A$5:$A$120=$B41)*ISNUMBER(INDEX(Inputs!$K$5:$AJ$120,0,MATCH(T$2,Inputs!$K$4:$AJ$4,0))))+SUMPRODUCT((Inputs!$C$5:$C$120=$B41)*ISNUMBER(INDEX(Inputs!$K$5:$AJ$120,0,MATCH(T$2,Inputs!$K$4:$AJ$4,0))))+SUMPRODUCT((Inputs!$E$5:$E$120=$B41)*ISNUMBER(INDEX(Inputs!$K$5:$AJ$120,0,MATCH(T$2,Inputs!$K$4:$AJ$4,0))))=0,NA(),SUMPRODUCT((Inputs!$A$5:$A$120=$B41)*Inputs!$B$5:$B$120*(((Inputs!$G$5:$G$120="moeda")+(Inputs!$G$5:$G$120="acoes"))*Inputs!$B$1+((Inputs!$G$5:$G$120&lt;&gt;"moeda")*(Inputs!$G$5:$G$120&lt;&gt;"acoes")))*INDEX(Inputs!$K$5:$AJ$120,0,MATCH(T$2,Inputs!$K$4:$AJ$4,0)))+SUMPRODUCT((Inputs!$C$5:$C$120=$B41)*Inputs!$D$5:$D$120*(((Inputs!$G$5:$G$120="moeda")+(Inputs!$G$5:$G$120="acoes"))*Inputs!$B$1+((Inputs!$G$5:$G$120&lt;&gt;"moeda")*(Inputs!$G$5:$G$120&lt;&gt;"acoes")))*INDEX(Inputs!$K$5:$AJ$120,0,MATCH(T$2,Inputs!$K$4:$AJ$4,0)))+SUMPRODUCT((Inputs!$E$5:$E$120=$B41)*Inputs!$F$5:$F$120*(((Inputs!$G$5:$G$120="moeda")+(Inputs!$G$5:$G$120="acoes"))*Inputs!$B$1+((Inputs!$G$5:$G$120&lt;&gt;"moeda")*(Inputs!$G$5:$G$120&lt;&gt;"acoes")))*INDEX(Inputs!$K$5:$AJ$120,0,MATCH(T$2,Inputs!$K$4:$AJ$4,0)))))</f>
        <v>11282</v>
      </c>
      <c r="U41" s="267">
        <f>IF(ISNA(MATCH(U$2,Inputs!$K$4:$AJ$4,0)),NA(),IF(SUMPRODUCT((Inputs!$A$5:$A$120=$B41)*ISNUMBER(INDEX(Inputs!$K$5:$AJ$120,0,MATCH(U$2,Inputs!$K$4:$AJ$4,0))))+SUMPRODUCT((Inputs!$C$5:$C$120=$B41)*ISNUMBER(INDEX(Inputs!$K$5:$AJ$120,0,MATCH(U$2,Inputs!$K$4:$AJ$4,0))))+SUMPRODUCT((Inputs!$E$5:$E$120=$B41)*ISNUMBER(INDEX(Inputs!$K$5:$AJ$120,0,MATCH(U$2,Inputs!$K$4:$AJ$4,0))))=0,NA(),SUMPRODUCT((Inputs!$A$5:$A$120=$B41)*Inputs!$B$5:$B$120*(((Inputs!$G$5:$G$120="moeda")+(Inputs!$G$5:$G$120="acoes"))*Inputs!$B$1+((Inputs!$G$5:$G$120&lt;&gt;"moeda")*(Inputs!$G$5:$G$120&lt;&gt;"acoes")))*INDEX(Inputs!$K$5:$AJ$120,0,MATCH(U$2,Inputs!$K$4:$AJ$4,0)))+SUMPRODUCT((Inputs!$C$5:$C$120=$B41)*Inputs!$D$5:$D$120*(((Inputs!$G$5:$G$120="moeda")+(Inputs!$G$5:$G$120="acoes"))*Inputs!$B$1+((Inputs!$G$5:$G$120&lt;&gt;"moeda")*(Inputs!$G$5:$G$120&lt;&gt;"acoes")))*INDEX(Inputs!$K$5:$AJ$120,0,MATCH(U$2,Inputs!$K$4:$AJ$4,0)))+SUMPRODUCT((Inputs!$E$5:$E$120=$B41)*Inputs!$F$5:$F$120*(((Inputs!$G$5:$G$120="moeda")+(Inputs!$G$5:$G$120="acoes"))*Inputs!$B$1+((Inputs!$G$5:$G$120&lt;&gt;"moeda")*(Inputs!$G$5:$G$120&lt;&gt;"acoes")))*INDEX(Inputs!$K$5:$AJ$120,0,MATCH(U$2,Inputs!$K$4:$AJ$4,0)))))</f>
        <v>11318</v>
      </c>
      <c r="V41" s="267">
        <f>IF(ISNA(MATCH(V$2,Inputs!$K$4:$AJ$4,0)),NA(),IF(SUMPRODUCT((Inputs!$A$5:$A$120=$B41)*ISNUMBER(INDEX(Inputs!$K$5:$AJ$120,0,MATCH(V$2,Inputs!$K$4:$AJ$4,0))))+SUMPRODUCT((Inputs!$C$5:$C$120=$B41)*ISNUMBER(INDEX(Inputs!$K$5:$AJ$120,0,MATCH(V$2,Inputs!$K$4:$AJ$4,0))))+SUMPRODUCT((Inputs!$E$5:$E$120=$B41)*ISNUMBER(INDEX(Inputs!$K$5:$AJ$120,0,MATCH(V$2,Inputs!$K$4:$AJ$4,0))))=0,NA(),SUMPRODUCT((Inputs!$A$5:$A$120=$B41)*Inputs!$B$5:$B$120*(((Inputs!$G$5:$G$120="moeda")+(Inputs!$G$5:$G$120="acoes"))*Inputs!$B$1+((Inputs!$G$5:$G$120&lt;&gt;"moeda")*(Inputs!$G$5:$G$120&lt;&gt;"acoes")))*INDEX(Inputs!$K$5:$AJ$120,0,MATCH(V$2,Inputs!$K$4:$AJ$4,0)))+SUMPRODUCT((Inputs!$C$5:$C$120=$B41)*Inputs!$D$5:$D$120*(((Inputs!$G$5:$G$120="moeda")+(Inputs!$G$5:$G$120="acoes"))*Inputs!$B$1+((Inputs!$G$5:$G$120&lt;&gt;"moeda")*(Inputs!$G$5:$G$120&lt;&gt;"acoes")))*INDEX(Inputs!$K$5:$AJ$120,0,MATCH(V$2,Inputs!$K$4:$AJ$4,0)))+SUMPRODUCT((Inputs!$E$5:$E$120=$B41)*Inputs!$F$5:$F$120*(((Inputs!$G$5:$G$120="moeda")+(Inputs!$G$5:$G$120="acoes"))*Inputs!$B$1+((Inputs!$G$5:$G$120&lt;&gt;"moeda")*(Inputs!$G$5:$G$120&lt;&gt;"acoes")))*INDEX(Inputs!$K$5:$AJ$120,0,MATCH(V$2,Inputs!$K$4:$AJ$4,0)))))</f>
        <v>11197</v>
      </c>
      <c r="W41" s="268">
        <f>V41</f>
        <v>11197</v>
      </c>
      <c r="X41" s="267">
        <f>IF(ISNA(MATCH(X$2,Inputs!$K$4:$AJ$4,0)),NA(),IF(SUMPRODUCT((Inputs!$A$5:$A$120=$B41)*ISNUMBER(INDEX(Inputs!$K$5:$AJ$120,0,MATCH(X$2,Inputs!$K$4:$AJ$4,0))))+SUMPRODUCT((Inputs!$C$5:$C$120=$B41)*ISNUMBER(INDEX(Inputs!$K$5:$AJ$120,0,MATCH(X$2,Inputs!$K$4:$AJ$4,0))))+SUMPRODUCT((Inputs!$E$5:$E$120=$B41)*ISNUMBER(INDEX(Inputs!$K$5:$AJ$120,0,MATCH(X$2,Inputs!$K$4:$AJ$4,0))))=0,NA(),SUMPRODUCT((Inputs!$A$5:$A$120=$B41)*Inputs!$B$5:$B$120*(((Inputs!$G$5:$G$120="moeda")+(Inputs!$G$5:$G$120="acoes"))*Inputs!$B$1+((Inputs!$G$5:$G$120&lt;&gt;"moeda")*(Inputs!$G$5:$G$120&lt;&gt;"acoes")))*INDEX(Inputs!$K$5:$AJ$120,0,MATCH(X$2,Inputs!$K$4:$AJ$4,0)))+SUMPRODUCT((Inputs!$C$5:$C$120=$B41)*Inputs!$D$5:$D$120*(((Inputs!$G$5:$G$120="moeda")+(Inputs!$G$5:$G$120="acoes"))*Inputs!$B$1+((Inputs!$G$5:$G$120&lt;&gt;"moeda")*(Inputs!$G$5:$G$120&lt;&gt;"acoes")))*INDEX(Inputs!$K$5:$AJ$120,0,MATCH(X$2,Inputs!$K$4:$AJ$4,0)))+SUMPRODUCT((Inputs!$E$5:$E$120=$B41)*Inputs!$F$5:$F$120*(((Inputs!$G$5:$G$120="moeda")+(Inputs!$G$5:$G$120="acoes"))*Inputs!$B$1+((Inputs!$G$5:$G$120&lt;&gt;"moeda")*(Inputs!$G$5:$G$120&lt;&gt;"acoes")))*INDEX(Inputs!$K$5:$AJ$120,0,MATCH(X$2,Inputs!$K$4:$AJ$4,0)))))</f>
        <v>11526</v>
      </c>
      <c r="Y41" s="267">
        <f>IF(ISNA(MATCH(Y$2,Inputs!$K$4:$AJ$4,0)),NA(),IF(SUMPRODUCT((Inputs!$A$5:$A$120=$B41)*ISNUMBER(INDEX(Inputs!$K$5:$AJ$120,0,MATCH(Y$2,Inputs!$K$4:$AJ$4,0))))+SUMPRODUCT((Inputs!$C$5:$C$120=$B41)*ISNUMBER(INDEX(Inputs!$K$5:$AJ$120,0,MATCH(Y$2,Inputs!$K$4:$AJ$4,0))))+SUMPRODUCT((Inputs!$E$5:$E$120=$B41)*ISNUMBER(INDEX(Inputs!$K$5:$AJ$120,0,MATCH(Y$2,Inputs!$K$4:$AJ$4,0))))=0,NA(),SUMPRODUCT((Inputs!$A$5:$A$120=$B41)*Inputs!$B$5:$B$120*(((Inputs!$G$5:$G$120="moeda")+(Inputs!$G$5:$G$120="acoes"))*Inputs!$B$1+((Inputs!$G$5:$G$120&lt;&gt;"moeda")*(Inputs!$G$5:$G$120&lt;&gt;"acoes")))*INDEX(Inputs!$K$5:$AJ$120,0,MATCH(Y$2,Inputs!$K$4:$AJ$4,0)))+SUMPRODUCT((Inputs!$C$5:$C$120=$B41)*Inputs!$D$5:$D$120*(((Inputs!$G$5:$G$120="moeda")+(Inputs!$G$5:$G$120="acoes"))*Inputs!$B$1+((Inputs!$G$5:$G$120&lt;&gt;"moeda")*(Inputs!$G$5:$G$120&lt;&gt;"acoes")))*INDEX(Inputs!$K$5:$AJ$120,0,MATCH(Y$2,Inputs!$K$4:$AJ$4,0)))+SUMPRODUCT((Inputs!$E$5:$E$120=$B41)*Inputs!$F$5:$F$120*(((Inputs!$G$5:$G$120="moeda")+(Inputs!$G$5:$G$120="acoes"))*Inputs!$B$1+((Inputs!$G$5:$G$120&lt;&gt;"moeda")*(Inputs!$G$5:$G$120&lt;&gt;"acoes")))*INDEX(Inputs!$K$5:$AJ$120,0,MATCH(Y$2,Inputs!$K$4:$AJ$4,0)))))</f>
        <v>11788</v>
      </c>
      <c r="Z41" s="267">
        <f>IF(ISNA(MATCH(Z$2,Inputs!$K$4:$AJ$4,0)),NA(),IF(SUMPRODUCT((Inputs!$A$5:$A$120=$B41)*ISNUMBER(INDEX(Inputs!$K$5:$AJ$120,0,MATCH(Z$2,Inputs!$K$4:$AJ$4,0))))+SUMPRODUCT((Inputs!$C$5:$C$120=$B41)*ISNUMBER(INDEX(Inputs!$K$5:$AJ$120,0,MATCH(Z$2,Inputs!$K$4:$AJ$4,0))))+SUMPRODUCT((Inputs!$E$5:$E$120=$B41)*ISNUMBER(INDEX(Inputs!$K$5:$AJ$120,0,MATCH(Z$2,Inputs!$K$4:$AJ$4,0))))=0,NA(),SUMPRODUCT((Inputs!$A$5:$A$120=$B41)*Inputs!$B$5:$B$120*(((Inputs!$G$5:$G$120="moeda")+(Inputs!$G$5:$G$120="acoes"))*Inputs!$B$1+((Inputs!$G$5:$G$120&lt;&gt;"moeda")*(Inputs!$G$5:$G$120&lt;&gt;"acoes")))*INDEX(Inputs!$K$5:$AJ$120,0,MATCH(Z$2,Inputs!$K$4:$AJ$4,0)))+SUMPRODUCT((Inputs!$C$5:$C$120=$B41)*Inputs!$D$5:$D$120*(((Inputs!$G$5:$G$120="moeda")+(Inputs!$G$5:$G$120="acoes"))*Inputs!$B$1+((Inputs!$G$5:$G$120&lt;&gt;"moeda")*(Inputs!$G$5:$G$120&lt;&gt;"acoes")))*INDEX(Inputs!$K$5:$AJ$120,0,MATCH(Z$2,Inputs!$K$4:$AJ$4,0)))+SUMPRODUCT((Inputs!$E$5:$E$120=$B41)*Inputs!$F$5:$F$120*(((Inputs!$G$5:$G$120="moeda")+(Inputs!$G$5:$G$120="acoes"))*Inputs!$B$1+((Inputs!$G$5:$G$120&lt;&gt;"moeda")*(Inputs!$G$5:$G$120&lt;&gt;"acoes")))*INDEX(Inputs!$K$5:$AJ$120,0,MATCH(Z$2,Inputs!$K$4:$AJ$4,0)))))</f>
        <v>11712</v>
      </c>
      <c r="AA41" s="267">
        <f>IF(ISNA(MATCH(AA$2,Inputs!$K$4:$AJ$4,0)),NA(),IF(SUMPRODUCT((Inputs!$A$5:$A$120=$B41)*ISNUMBER(INDEX(Inputs!$K$5:$AJ$120,0,MATCH(AA$2,Inputs!$K$4:$AJ$4,0))))+SUMPRODUCT((Inputs!$C$5:$C$120=$B41)*ISNUMBER(INDEX(Inputs!$K$5:$AJ$120,0,MATCH(AA$2,Inputs!$K$4:$AJ$4,0))))+SUMPRODUCT((Inputs!$E$5:$E$120=$B41)*ISNUMBER(INDEX(Inputs!$K$5:$AJ$120,0,MATCH(AA$2,Inputs!$K$4:$AJ$4,0))))=0,NA(),SUMPRODUCT((Inputs!$A$5:$A$120=$B41)*Inputs!$B$5:$B$120*(((Inputs!$G$5:$G$120="moeda")+(Inputs!$G$5:$G$120="acoes"))*Inputs!$B$1+((Inputs!$G$5:$G$120&lt;&gt;"moeda")*(Inputs!$G$5:$G$120&lt;&gt;"acoes")))*INDEX(Inputs!$K$5:$AJ$120,0,MATCH(AA$2,Inputs!$K$4:$AJ$4,0)))+SUMPRODUCT((Inputs!$C$5:$C$120=$B41)*Inputs!$D$5:$D$120*(((Inputs!$G$5:$G$120="moeda")+(Inputs!$G$5:$G$120="acoes"))*Inputs!$B$1+((Inputs!$G$5:$G$120&lt;&gt;"moeda")*(Inputs!$G$5:$G$120&lt;&gt;"acoes")))*INDEX(Inputs!$K$5:$AJ$120,0,MATCH(AA$2,Inputs!$K$4:$AJ$4,0)))+SUMPRODUCT((Inputs!$E$5:$E$120=$B41)*Inputs!$F$5:$F$120*(((Inputs!$G$5:$G$120="moeda")+(Inputs!$G$5:$G$120="acoes"))*Inputs!$B$1+((Inputs!$G$5:$G$120&lt;&gt;"moeda")*(Inputs!$G$5:$G$120&lt;&gt;"acoes")))*INDEX(Inputs!$K$5:$AJ$120,0,MATCH(AA$2,Inputs!$K$4:$AJ$4,0)))))</f>
        <v>11867</v>
      </c>
      <c r="AB41" s="268">
        <f>AA41</f>
        <v>11867</v>
      </c>
      <c r="AC41" s="267">
        <f>IF(ISNA(MATCH(AC$2,Inputs!$K$4:$AJ$4,0)),NA(),IF(SUMPRODUCT((Inputs!$A$5:$A$120=$B41)*ISNUMBER(INDEX(Inputs!$K$5:$AJ$120,0,MATCH(AC$2,Inputs!$K$4:$AJ$4,0))))+SUMPRODUCT((Inputs!$C$5:$C$120=$B41)*ISNUMBER(INDEX(Inputs!$K$5:$AJ$120,0,MATCH(AC$2,Inputs!$K$4:$AJ$4,0))))+SUMPRODUCT((Inputs!$E$5:$E$120=$B41)*ISNUMBER(INDEX(Inputs!$K$5:$AJ$120,0,MATCH(AC$2,Inputs!$K$4:$AJ$4,0))))=0,NA(),SUMPRODUCT((Inputs!$A$5:$A$120=$B41)*Inputs!$B$5:$B$120*(((Inputs!$G$5:$G$120="moeda")+(Inputs!$G$5:$G$120="acoes"))*Inputs!$B$1+((Inputs!$G$5:$G$120&lt;&gt;"moeda")*(Inputs!$G$5:$G$120&lt;&gt;"acoes")))*INDEX(Inputs!$K$5:$AJ$120,0,MATCH(AC$2,Inputs!$K$4:$AJ$4,0)))+SUMPRODUCT((Inputs!$C$5:$C$120=$B41)*Inputs!$D$5:$D$120*(((Inputs!$G$5:$G$120="moeda")+(Inputs!$G$5:$G$120="acoes"))*Inputs!$B$1+((Inputs!$G$5:$G$120&lt;&gt;"moeda")*(Inputs!$G$5:$G$120&lt;&gt;"acoes")))*INDEX(Inputs!$K$5:$AJ$120,0,MATCH(AC$2,Inputs!$K$4:$AJ$4,0)))+SUMPRODUCT((Inputs!$E$5:$E$120=$B41)*Inputs!$F$5:$F$120*(((Inputs!$G$5:$G$120="moeda")+(Inputs!$G$5:$G$120="acoes"))*Inputs!$B$1+((Inputs!$G$5:$G$120&lt;&gt;"moeda")*(Inputs!$G$5:$G$120&lt;&gt;"acoes")))*INDEX(Inputs!$K$5:$AJ$120,0,MATCH(AC$2,Inputs!$K$4:$AJ$4,0)))))</f>
        <v>12006</v>
      </c>
      <c r="AD41" s="267">
        <f>IF(ISNA(MATCH(AD$2,Inputs!$K$4:$AJ$4,0)),NA(),IF(SUMPRODUCT((Inputs!$A$5:$A$120=$B41)*ISNUMBER(INDEX(Inputs!$K$5:$AJ$120,0,MATCH(AD$2,Inputs!$K$4:$AJ$4,0))))+SUMPRODUCT((Inputs!$C$5:$C$120=$B41)*ISNUMBER(INDEX(Inputs!$K$5:$AJ$120,0,MATCH(AD$2,Inputs!$K$4:$AJ$4,0))))+SUMPRODUCT((Inputs!$E$5:$E$120=$B41)*ISNUMBER(INDEX(Inputs!$K$5:$AJ$120,0,MATCH(AD$2,Inputs!$K$4:$AJ$4,0))))=0,NA(),SUMPRODUCT((Inputs!$A$5:$A$120=$B41)*Inputs!$B$5:$B$120*(((Inputs!$G$5:$G$120="moeda")+(Inputs!$G$5:$G$120="acoes"))*Inputs!$B$1+((Inputs!$G$5:$G$120&lt;&gt;"moeda")*(Inputs!$G$5:$G$120&lt;&gt;"acoes")))*INDEX(Inputs!$K$5:$AJ$120,0,MATCH(AD$2,Inputs!$K$4:$AJ$4,0)))+SUMPRODUCT((Inputs!$C$5:$C$120=$B41)*Inputs!$D$5:$D$120*(((Inputs!$G$5:$G$120="moeda")+(Inputs!$G$5:$G$120="acoes"))*Inputs!$B$1+((Inputs!$G$5:$G$120&lt;&gt;"moeda")*(Inputs!$G$5:$G$120&lt;&gt;"acoes")))*INDEX(Inputs!$K$5:$AJ$120,0,MATCH(AD$2,Inputs!$K$4:$AJ$4,0)))+SUMPRODUCT((Inputs!$E$5:$E$120=$B41)*Inputs!$F$5:$F$120*(((Inputs!$G$5:$G$120="moeda")+(Inputs!$G$5:$G$120="acoes"))*Inputs!$B$1+((Inputs!$G$5:$G$120&lt;&gt;"moeda")*(Inputs!$G$5:$G$120&lt;&gt;"acoes")))*INDEX(Inputs!$K$5:$AJ$120,0,MATCH(AD$2,Inputs!$K$4:$AJ$4,0)))))</f>
        <v>12113</v>
      </c>
      <c r="AE41" s="267" t="e">
        <f>IF(ISNA(MATCH(AE$2,Inputs!$K$4:$AJ$4,0)),NA(),IF(SUMPRODUCT((Inputs!$A$5:$A$120=$B41)*ISNUMBER(INDEX(Inputs!$K$5:$AJ$120,0,MATCH(AE$2,Inputs!$K$4:$AJ$4,0))))+SUMPRODUCT((Inputs!$C$5:$C$120=$B41)*ISNUMBER(INDEX(Inputs!$K$5:$AJ$120,0,MATCH(AE$2,Inputs!$K$4:$AJ$4,0))))+SUMPRODUCT((Inputs!$E$5:$E$120=$B41)*ISNUMBER(INDEX(Inputs!$K$5:$AJ$120,0,MATCH(AE$2,Inputs!$K$4:$AJ$4,0))))=0,NA(),SUMPRODUCT((Inputs!$A$5:$A$120=$B41)*Inputs!$B$5:$B$120*(((Inputs!$G$5:$G$120="moeda")+(Inputs!$G$5:$G$120="acoes"))*Inputs!$B$1+((Inputs!$G$5:$G$120&lt;&gt;"moeda")*(Inputs!$G$5:$G$120&lt;&gt;"acoes")))*INDEX(Inputs!$K$5:$AJ$120,0,MATCH(AE$2,Inputs!$K$4:$AJ$4,0)))+SUMPRODUCT((Inputs!$C$5:$C$120=$B41)*Inputs!$D$5:$D$120*(((Inputs!$G$5:$G$120="moeda")+(Inputs!$G$5:$G$120="acoes"))*Inputs!$B$1+((Inputs!$G$5:$G$120&lt;&gt;"moeda")*(Inputs!$G$5:$G$120&lt;&gt;"acoes")))*INDEX(Inputs!$K$5:$AJ$120,0,MATCH(AE$2,Inputs!$K$4:$AJ$4,0)))+SUMPRODUCT((Inputs!$E$5:$E$120=$B41)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1" s="267" t="e">
        <f>IF(ISNA(MATCH(AF$2,Inputs!$K$4:$AJ$4,0)),NA(),IF(SUMPRODUCT((Inputs!$A$5:$A$120=$B41)*ISNUMBER(INDEX(Inputs!$K$5:$AJ$120,0,MATCH(AF$2,Inputs!$K$4:$AJ$4,0))))+SUMPRODUCT((Inputs!$C$5:$C$120=$B41)*ISNUMBER(INDEX(Inputs!$K$5:$AJ$120,0,MATCH(AF$2,Inputs!$K$4:$AJ$4,0))))+SUMPRODUCT((Inputs!$E$5:$E$120=$B41)*ISNUMBER(INDEX(Inputs!$K$5:$AJ$120,0,MATCH(AF$2,Inputs!$K$4:$AJ$4,0))))=0,NA(),SUMPRODUCT((Inputs!$A$5:$A$120=$B41)*Inputs!$B$5:$B$120*(((Inputs!$G$5:$G$120="moeda")+(Inputs!$G$5:$G$120="acoes"))*Inputs!$B$1+((Inputs!$G$5:$G$120&lt;&gt;"moeda")*(Inputs!$G$5:$G$120&lt;&gt;"acoes")))*INDEX(Inputs!$K$5:$AJ$120,0,MATCH(AF$2,Inputs!$K$4:$AJ$4,0)))+SUMPRODUCT((Inputs!$C$5:$C$120=$B41)*Inputs!$D$5:$D$120*(((Inputs!$G$5:$G$120="moeda")+(Inputs!$G$5:$G$120="acoes"))*Inputs!$B$1+((Inputs!$G$5:$G$120&lt;&gt;"moeda")*(Inputs!$G$5:$G$120&lt;&gt;"acoes")))*INDEX(Inputs!$K$5:$AJ$120,0,MATCH(AF$2,Inputs!$K$4:$AJ$4,0)))+SUMPRODUCT((Inputs!$E$5:$E$120=$B41)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1" s="268" t="e">
        <f>AF41</f>
        <v>#N/A</v>
      </c>
      <c r="AH41" s="267">
        <f>IF(ISNA(MATCH(AH$2,Inputs!$K$4:$AJ$4,0)),NA(),IF(SUMPRODUCT((Inputs!$A$5:$A$120=$B41)*ISNUMBER(INDEX(Inputs!$K$5:$AJ$120,0,MATCH(AH$2,Inputs!$K$4:$AJ$4,0))))+SUMPRODUCT((Inputs!$C$5:$C$120=$B41)*ISNUMBER(INDEX(Inputs!$K$5:$AJ$120,0,MATCH(AH$2,Inputs!$K$4:$AJ$4,0))))+SUMPRODUCT((Inputs!$E$5:$E$120=$B41)*ISNUMBER(INDEX(Inputs!$K$5:$AJ$120,0,MATCH(AH$2,Inputs!$K$4:$AJ$4,0))))=0,NA(),SUMPRODUCT((Inputs!$A$5:$A$120=$B41)*Inputs!$B$5:$B$120*(((Inputs!$G$5:$G$120="moeda")+(Inputs!$G$5:$G$120="acoes"))*Inputs!$B$1+((Inputs!$G$5:$G$120&lt;&gt;"moeda")*(Inputs!$G$5:$G$120&lt;&gt;"acoes")))*INDEX(Inputs!$K$5:$AJ$120,0,MATCH(AH$2,Inputs!$K$4:$AJ$4,0)))+SUMPRODUCT((Inputs!$C$5:$C$120=$B41)*Inputs!$D$5:$D$120*(((Inputs!$G$5:$G$120="moeda")+(Inputs!$G$5:$G$120="acoes"))*Inputs!$B$1+((Inputs!$G$5:$G$120&lt;&gt;"moeda")*(Inputs!$G$5:$G$120&lt;&gt;"acoes")))*INDEX(Inputs!$K$5:$AJ$120,0,MATCH(AH$2,Inputs!$K$4:$AJ$4,0)))+SUMPRODUCT((Inputs!$E$5:$E$120=$B41)*Inputs!$F$5:$F$120*(((Inputs!$G$5:$G$120="moeda")+(Inputs!$G$5:$G$120="acoes"))*Inputs!$B$1+((Inputs!$G$5:$G$120&lt;&gt;"moeda")*(Inputs!$G$5:$G$120&lt;&gt;"acoes")))*INDEX(Inputs!$K$5:$AJ$120,0,MATCH(AH$2,Inputs!$K$4:$AJ$4,0)))))</f>
        <v>8108</v>
      </c>
      <c r="AI41" s="267">
        <f>IF(ISNA(MATCH(AI$2,Inputs!$K$4:$AJ$4,0)),NA(),IF(SUMPRODUCT((Inputs!$A$5:$A$120=$B41)*ISNUMBER(INDEX(Inputs!$K$5:$AJ$120,0,MATCH(AI$2,Inputs!$K$4:$AJ$4,0))))+SUMPRODUCT((Inputs!$C$5:$C$120=$B41)*ISNUMBER(INDEX(Inputs!$K$5:$AJ$120,0,MATCH(AI$2,Inputs!$K$4:$AJ$4,0))))+SUMPRODUCT((Inputs!$E$5:$E$120=$B41)*ISNUMBER(INDEX(Inputs!$K$5:$AJ$120,0,MATCH(AI$2,Inputs!$K$4:$AJ$4,0))))=0,NA(),SUMPRODUCT((Inputs!$A$5:$A$120=$B41)*Inputs!$B$5:$B$120*(((Inputs!$G$5:$G$120="moeda")+(Inputs!$G$5:$G$120="acoes"))*Inputs!$B$1+((Inputs!$G$5:$G$120&lt;&gt;"moeda")*(Inputs!$G$5:$G$120&lt;&gt;"acoes")))*INDEX(Inputs!$K$5:$AJ$120,0,MATCH(AI$2,Inputs!$K$4:$AJ$4,0)))+SUMPRODUCT((Inputs!$C$5:$C$120=$B41)*Inputs!$D$5:$D$120*(((Inputs!$G$5:$G$120="moeda")+(Inputs!$G$5:$G$120="acoes"))*Inputs!$B$1+((Inputs!$G$5:$G$120&lt;&gt;"moeda")*(Inputs!$G$5:$G$120&lt;&gt;"acoes")))*INDEX(Inputs!$K$5:$AJ$120,0,MATCH(AI$2,Inputs!$K$4:$AJ$4,0)))+SUMPRODUCT((Inputs!$E$5:$E$120=$B41)*Inputs!$F$5:$F$120*(((Inputs!$G$5:$G$120="moeda")+(Inputs!$G$5:$G$120="acoes"))*Inputs!$B$1+((Inputs!$G$5:$G$120&lt;&gt;"moeda")*(Inputs!$G$5:$G$120&lt;&gt;"acoes")))*INDEX(Inputs!$K$5:$AJ$120,0,MATCH(AI$2,Inputs!$K$4:$AJ$4,0)))))</f>
        <v>8201</v>
      </c>
      <c r="AJ41" s="267">
        <f>IF(ISNA(MATCH(AJ$2,Inputs!$K$4:$AJ$4,0)),NA(),IF(SUMPRODUCT((Inputs!$A$5:$A$120=$B41)*ISNUMBER(INDEX(Inputs!$K$5:$AJ$120,0,MATCH(AJ$2,Inputs!$K$4:$AJ$4,0))))+SUMPRODUCT((Inputs!$C$5:$C$120=$B41)*ISNUMBER(INDEX(Inputs!$K$5:$AJ$120,0,MATCH(AJ$2,Inputs!$K$4:$AJ$4,0))))+SUMPRODUCT((Inputs!$E$5:$E$120=$B41)*ISNUMBER(INDEX(Inputs!$K$5:$AJ$120,0,MATCH(AJ$2,Inputs!$K$4:$AJ$4,0))))=0,NA(),SUMPRODUCT((Inputs!$A$5:$A$120=$B41)*Inputs!$B$5:$B$120*(((Inputs!$G$5:$G$120="moeda")+(Inputs!$G$5:$G$120="acoes"))*Inputs!$B$1+((Inputs!$G$5:$G$120&lt;&gt;"moeda")*(Inputs!$G$5:$G$120&lt;&gt;"acoes")))*INDEX(Inputs!$K$5:$AJ$120,0,MATCH(AJ$2,Inputs!$K$4:$AJ$4,0)))+SUMPRODUCT((Inputs!$C$5:$C$120=$B41)*Inputs!$D$5:$D$120*(((Inputs!$G$5:$G$120="moeda")+(Inputs!$G$5:$G$120="acoes"))*Inputs!$B$1+((Inputs!$G$5:$G$120&lt;&gt;"moeda")*(Inputs!$G$5:$G$120&lt;&gt;"acoes")))*INDEX(Inputs!$K$5:$AJ$120,0,MATCH(AJ$2,Inputs!$K$4:$AJ$4,0)))+SUMPRODUCT((Inputs!$E$5:$E$120=$B41)*Inputs!$F$5:$F$120*(((Inputs!$G$5:$G$120="moeda")+(Inputs!$G$5:$G$120="acoes"))*Inputs!$B$1+((Inputs!$G$5:$G$120&lt;&gt;"moeda")*(Inputs!$G$5:$G$120&lt;&gt;"acoes")))*INDEX(Inputs!$K$5:$AJ$120,0,MATCH(AJ$2,Inputs!$K$4:$AJ$4,0)))))</f>
        <v>8326</v>
      </c>
      <c r="AK41" s="267">
        <f>IF(ISNA(MATCH(AK$2,Inputs!$K$4:$AJ$4,0)),NA(),IF(SUMPRODUCT((Inputs!$A$5:$A$120=$B41)*ISNUMBER(INDEX(Inputs!$K$5:$AJ$120,0,MATCH(AK$2,Inputs!$K$4:$AJ$4,0))))+SUMPRODUCT((Inputs!$C$5:$C$120=$B41)*ISNUMBER(INDEX(Inputs!$K$5:$AJ$120,0,MATCH(AK$2,Inputs!$K$4:$AJ$4,0))))+SUMPRODUCT((Inputs!$E$5:$E$120=$B41)*ISNUMBER(INDEX(Inputs!$K$5:$AJ$120,0,MATCH(AK$2,Inputs!$K$4:$AJ$4,0))))=0,NA(),SUMPRODUCT((Inputs!$A$5:$A$120=$B41)*Inputs!$B$5:$B$120*(((Inputs!$G$5:$G$120="moeda")+(Inputs!$G$5:$G$120="acoes"))*Inputs!$B$1+((Inputs!$G$5:$G$120&lt;&gt;"moeda")*(Inputs!$G$5:$G$120&lt;&gt;"acoes")))*INDEX(Inputs!$K$5:$AJ$120,0,MATCH(AK$2,Inputs!$K$4:$AJ$4,0)))+SUMPRODUCT((Inputs!$C$5:$C$120=$B41)*Inputs!$D$5:$D$120*(((Inputs!$G$5:$G$120="moeda")+(Inputs!$G$5:$G$120="acoes"))*Inputs!$B$1+((Inputs!$G$5:$G$120&lt;&gt;"moeda")*(Inputs!$G$5:$G$120&lt;&gt;"acoes")))*INDEX(Inputs!$K$5:$AJ$120,0,MATCH(AK$2,Inputs!$K$4:$AJ$4,0)))+SUMPRODUCT((Inputs!$E$5:$E$120=$B41)*Inputs!$F$5:$F$120*(((Inputs!$G$5:$G$120="moeda")+(Inputs!$G$5:$G$120="acoes"))*Inputs!$B$1+((Inputs!$G$5:$G$120&lt;&gt;"moeda")*(Inputs!$G$5:$G$120&lt;&gt;"acoes")))*INDEX(Inputs!$K$5:$AJ$120,0,MATCH(AK$2,Inputs!$K$4:$AJ$4,0)))))</f>
        <v>8494</v>
      </c>
      <c r="AL41" s="268">
        <f>AK41</f>
        <v>8494</v>
      </c>
    </row>
    <row r="42" ht="12.75" customHeight="1" s="255">
      <c r="B42" s="265" t="n">
        <v>36</v>
      </c>
      <c r="C42" s="270" t="inlineStr">
        <is>
          <t>Convertible Preferred Stock</t>
        </is>
      </c>
      <c r="D42" s="267" t="e">
        <f>IF(ISNA(MATCH(D$2,Inputs!$K$4:$AJ$4,0)),NA(),IF(SUMPRODUCT((Inputs!$A$5:$A$120=$B42)*ISNUMBER(INDEX(Inputs!$K$5:$AJ$120,0,MATCH(D$2,Inputs!$K$4:$AJ$4,0))))+SUMPRODUCT((Inputs!$C$5:$C$120=$B42)*ISNUMBER(INDEX(Inputs!$K$5:$AJ$120,0,MATCH(D$2,Inputs!$K$4:$AJ$4,0))))+SUMPRODUCT((Inputs!$E$5:$E$120=$B42)*ISNUMBER(INDEX(Inputs!$K$5:$AJ$120,0,MATCH(D$2,Inputs!$K$4:$AJ$4,0))))=0,NA(),SUMPRODUCT((Inputs!$A$5:$A$120=$B42)*Inputs!$B$5:$B$120*(((Inputs!$G$5:$G$120="moeda")+(Inputs!$G$5:$G$120="acoes"))*Inputs!$B$1+((Inputs!$G$5:$G$120&lt;&gt;"moeda")*(Inputs!$G$5:$G$120&lt;&gt;"acoes")))*INDEX(Inputs!$K$5:$AJ$120,0,MATCH(D$2,Inputs!$K$4:$AJ$4,0)))+SUMPRODUCT((Inputs!$C$5:$C$120=$B42)*Inputs!$D$5:$D$120*(((Inputs!$G$5:$G$120="moeda")+(Inputs!$G$5:$G$120="acoes"))*Inputs!$B$1+((Inputs!$G$5:$G$120&lt;&gt;"moeda")*(Inputs!$G$5:$G$120&lt;&gt;"acoes")))*INDEX(Inputs!$K$5:$AJ$120,0,MATCH(D$2,Inputs!$K$4:$AJ$4,0)))+SUMPRODUCT((Inputs!$E$5:$E$120=$B42)*Inputs!$F$5:$F$120*(((Inputs!$G$5:$G$120="moeda")+(Inputs!$G$5:$G$120="acoes"))*Inputs!$B$1+((Inputs!$G$5:$G$120&lt;&gt;"moeda")*(Inputs!$G$5:$G$120&lt;&gt;"acoes")))*INDEX(Inputs!$K$5:$AJ$120,0,MATCH(D$2,Inputs!$K$4:$AJ$4,0)))))</f>
        <v>#N/A</v>
      </c>
      <c r="E42" s="267" t="e">
        <f>IF(ISNA(MATCH(E$2,Inputs!$K$4:$AJ$4,0)),NA(),IF(SUMPRODUCT((Inputs!$A$5:$A$120=$B42)*ISNUMBER(INDEX(Inputs!$K$5:$AJ$120,0,MATCH(E$2,Inputs!$K$4:$AJ$4,0))))+SUMPRODUCT((Inputs!$C$5:$C$120=$B42)*ISNUMBER(INDEX(Inputs!$K$5:$AJ$120,0,MATCH(E$2,Inputs!$K$4:$AJ$4,0))))+SUMPRODUCT((Inputs!$E$5:$E$120=$B42)*ISNUMBER(INDEX(Inputs!$K$5:$AJ$120,0,MATCH(E$2,Inputs!$K$4:$AJ$4,0))))=0,NA(),SUMPRODUCT((Inputs!$A$5:$A$120=$B42)*Inputs!$B$5:$B$120*(((Inputs!$G$5:$G$120="moeda")+(Inputs!$G$5:$G$120="acoes"))*Inputs!$B$1+((Inputs!$G$5:$G$120&lt;&gt;"moeda")*(Inputs!$G$5:$G$120&lt;&gt;"acoes")))*INDEX(Inputs!$K$5:$AJ$120,0,MATCH(E$2,Inputs!$K$4:$AJ$4,0)))+SUMPRODUCT((Inputs!$C$5:$C$120=$B42)*Inputs!$D$5:$D$120*(((Inputs!$G$5:$G$120="moeda")+(Inputs!$G$5:$G$120="acoes"))*Inputs!$B$1+((Inputs!$G$5:$G$120&lt;&gt;"moeda")*(Inputs!$G$5:$G$120&lt;&gt;"acoes")))*INDEX(Inputs!$K$5:$AJ$120,0,MATCH(E$2,Inputs!$K$4:$AJ$4,0)))+SUMPRODUCT((Inputs!$E$5:$E$120=$B42)*Inputs!$F$5:$F$120*(((Inputs!$G$5:$G$120="moeda")+(Inputs!$G$5:$G$120="acoes"))*Inputs!$B$1+((Inputs!$G$5:$G$120&lt;&gt;"moeda")*(Inputs!$G$5:$G$120&lt;&gt;"acoes")))*INDEX(Inputs!$K$5:$AJ$120,0,MATCH(E$2,Inputs!$K$4:$AJ$4,0)))))</f>
        <v>#N/A</v>
      </c>
      <c r="F42" s="267" t="e">
        <f>IF(ISNA(MATCH(F$2,Inputs!$K$4:$AJ$4,0)),NA(),IF(SUMPRODUCT((Inputs!$A$5:$A$120=$B42)*ISNUMBER(INDEX(Inputs!$K$5:$AJ$120,0,MATCH(F$2,Inputs!$K$4:$AJ$4,0))))+SUMPRODUCT((Inputs!$C$5:$C$120=$B42)*ISNUMBER(INDEX(Inputs!$K$5:$AJ$120,0,MATCH(F$2,Inputs!$K$4:$AJ$4,0))))+SUMPRODUCT((Inputs!$E$5:$E$120=$B42)*ISNUMBER(INDEX(Inputs!$K$5:$AJ$120,0,MATCH(F$2,Inputs!$K$4:$AJ$4,0))))=0,NA(),SUMPRODUCT((Inputs!$A$5:$A$120=$B42)*Inputs!$B$5:$B$120*(((Inputs!$G$5:$G$120="moeda")+(Inputs!$G$5:$G$120="acoes"))*Inputs!$B$1+((Inputs!$G$5:$G$120&lt;&gt;"moeda")*(Inputs!$G$5:$G$120&lt;&gt;"acoes")))*INDEX(Inputs!$K$5:$AJ$120,0,MATCH(F$2,Inputs!$K$4:$AJ$4,0)))+SUMPRODUCT((Inputs!$C$5:$C$120=$B42)*Inputs!$D$5:$D$120*(((Inputs!$G$5:$G$120="moeda")+(Inputs!$G$5:$G$120="acoes"))*Inputs!$B$1+((Inputs!$G$5:$G$120&lt;&gt;"moeda")*(Inputs!$G$5:$G$120&lt;&gt;"acoes")))*INDEX(Inputs!$K$5:$AJ$120,0,MATCH(F$2,Inputs!$K$4:$AJ$4,0)))+SUMPRODUCT((Inputs!$E$5:$E$120=$B42)*Inputs!$F$5:$F$120*(((Inputs!$G$5:$G$120="moeda")+(Inputs!$G$5:$G$120="acoes"))*Inputs!$B$1+((Inputs!$G$5:$G$120&lt;&gt;"moeda")*(Inputs!$G$5:$G$120&lt;&gt;"acoes")))*INDEX(Inputs!$K$5:$AJ$120,0,MATCH(F$2,Inputs!$K$4:$AJ$4,0)))))</f>
        <v>#N/A</v>
      </c>
      <c r="G42" s="267" t="e">
        <f>IF(ISNA(MATCH(G$2,Inputs!$K$4:$AJ$4,0)),NA(),IF(SUMPRODUCT((Inputs!$A$5:$A$120=$B42)*ISNUMBER(INDEX(Inputs!$K$5:$AJ$120,0,MATCH(G$2,Inputs!$K$4:$AJ$4,0))))+SUMPRODUCT((Inputs!$C$5:$C$120=$B42)*ISNUMBER(INDEX(Inputs!$K$5:$AJ$120,0,MATCH(G$2,Inputs!$K$4:$AJ$4,0))))+SUMPRODUCT((Inputs!$E$5:$E$120=$B42)*ISNUMBER(INDEX(Inputs!$K$5:$AJ$120,0,MATCH(G$2,Inputs!$K$4:$AJ$4,0))))=0,NA(),SUMPRODUCT((Inputs!$A$5:$A$120=$B42)*Inputs!$B$5:$B$120*(((Inputs!$G$5:$G$120="moeda")+(Inputs!$G$5:$G$120="acoes"))*Inputs!$B$1+((Inputs!$G$5:$G$120&lt;&gt;"moeda")*(Inputs!$G$5:$G$120&lt;&gt;"acoes")))*INDEX(Inputs!$K$5:$AJ$120,0,MATCH(G$2,Inputs!$K$4:$AJ$4,0)))+SUMPRODUCT((Inputs!$C$5:$C$120=$B42)*Inputs!$D$5:$D$120*(((Inputs!$G$5:$G$120="moeda")+(Inputs!$G$5:$G$120="acoes"))*Inputs!$B$1+((Inputs!$G$5:$G$120&lt;&gt;"moeda")*(Inputs!$G$5:$G$120&lt;&gt;"acoes")))*INDEX(Inputs!$K$5:$AJ$120,0,MATCH(G$2,Inputs!$K$4:$AJ$4,0)))+SUMPRODUCT((Inputs!$E$5:$E$120=$B42)*Inputs!$F$5:$F$120*(((Inputs!$G$5:$G$120="moeda")+(Inputs!$G$5:$G$120="acoes"))*Inputs!$B$1+((Inputs!$G$5:$G$120&lt;&gt;"moeda")*(Inputs!$G$5:$G$120&lt;&gt;"acoes")))*INDEX(Inputs!$K$5:$AJ$120,0,MATCH(G$2,Inputs!$K$4:$AJ$4,0)))))</f>
        <v>#N/A</v>
      </c>
      <c r="H42" s="268" t="e">
        <f>G42</f>
        <v>#N/A</v>
      </c>
      <c r="I42" s="267" t="e">
        <f>IF(ISNA(MATCH(I$2,Inputs!$K$4:$AJ$4,0)),NA(),IF(SUMPRODUCT((Inputs!$A$5:$A$120=$B42)*ISNUMBER(INDEX(Inputs!$K$5:$AJ$120,0,MATCH(I$2,Inputs!$K$4:$AJ$4,0))))+SUMPRODUCT((Inputs!$C$5:$C$120=$B42)*ISNUMBER(INDEX(Inputs!$K$5:$AJ$120,0,MATCH(I$2,Inputs!$K$4:$AJ$4,0))))+SUMPRODUCT((Inputs!$E$5:$E$120=$B42)*ISNUMBER(INDEX(Inputs!$K$5:$AJ$120,0,MATCH(I$2,Inputs!$K$4:$AJ$4,0))))=0,NA(),SUMPRODUCT((Inputs!$A$5:$A$120=$B42)*Inputs!$B$5:$B$120*(((Inputs!$G$5:$G$120="moeda")+(Inputs!$G$5:$G$120="acoes"))*Inputs!$B$1+((Inputs!$G$5:$G$120&lt;&gt;"moeda")*(Inputs!$G$5:$G$120&lt;&gt;"acoes")))*INDEX(Inputs!$K$5:$AJ$120,0,MATCH(I$2,Inputs!$K$4:$AJ$4,0)))+SUMPRODUCT((Inputs!$C$5:$C$120=$B42)*Inputs!$D$5:$D$120*(((Inputs!$G$5:$G$120="moeda")+(Inputs!$G$5:$G$120="acoes"))*Inputs!$B$1+((Inputs!$G$5:$G$120&lt;&gt;"moeda")*(Inputs!$G$5:$G$120&lt;&gt;"acoes")))*INDEX(Inputs!$K$5:$AJ$120,0,MATCH(I$2,Inputs!$K$4:$AJ$4,0)))+SUMPRODUCT((Inputs!$E$5:$E$120=$B42)*Inputs!$F$5:$F$120*(((Inputs!$G$5:$G$120="moeda")+(Inputs!$G$5:$G$120="acoes"))*Inputs!$B$1+((Inputs!$G$5:$G$120&lt;&gt;"moeda")*(Inputs!$G$5:$G$120&lt;&gt;"acoes")))*INDEX(Inputs!$K$5:$AJ$120,0,MATCH(I$2,Inputs!$K$4:$AJ$4,0)))))</f>
        <v>#N/A</v>
      </c>
      <c r="J42" s="267" t="e">
        <f>IF(ISNA(MATCH(J$2,Inputs!$K$4:$AJ$4,0)),NA(),IF(SUMPRODUCT((Inputs!$A$5:$A$120=$B42)*ISNUMBER(INDEX(Inputs!$K$5:$AJ$120,0,MATCH(J$2,Inputs!$K$4:$AJ$4,0))))+SUMPRODUCT((Inputs!$C$5:$C$120=$B42)*ISNUMBER(INDEX(Inputs!$K$5:$AJ$120,0,MATCH(J$2,Inputs!$K$4:$AJ$4,0))))+SUMPRODUCT((Inputs!$E$5:$E$120=$B42)*ISNUMBER(INDEX(Inputs!$K$5:$AJ$120,0,MATCH(J$2,Inputs!$K$4:$AJ$4,0))))=0,NA(),SUMPRODUCT((Inputs!$A$5:$A$120=$B42)*Inputs!$B$5:$B$120*(((Inputs!$G$5:$G$120="moeda")+(Inputs!$G$5:$G$120="acoes"))*Inputs!$B$1+((Inputs!$G$5:$G$120&lt;&gt;"moeda")*(Inputs!$G$5:$G$120&lt;&gt;"acoes")))*INDEX(Inputs!$K$5:$AJ$120,0,MATCH(J$2,Inputs!$K$4:$AJ$4,0)))+SUMPRODUCT((Inputs!$C$5:$C$120=$B42)*Inputs!$D$5:$D$120*(((Inputs!$G$5:$G$120="moeda")+(Inputs!$G$5:$G$120="acoes"))*Inputs!$B$1+((Inputs!$G$5:$G$120&lt;&gt;"moeda")*(Inputs!$G$5:$G$120&lt;&gt;"acoes")))*INDEX(Inputs!$K$5:$AJ$120,0,MATCH(J$2,Inputs!$K$4:$AJ$4,0)))+SUMPRODUCT((Inputs!$E$5:$E$120=$B42)*Inputs!$F$5:$F$120*(((Inputs!$G$5:$G$120="moeda")+(Inputs!$G$5:$G$120="acoes"))*Inputs!$B$1+((Inputs!$G$5:$G$120&lt;&gt;"moeda")*(Inputs!$G$5:$G$120&lt;&gt;"acoes")))*INDEX(Inputs!$K$5:$AJ$120,0,MATCH(J$2,Inputs!$K$4:$AJ$4,0)))))</f>
        <v>#N/A</v>
      </c>
      <c r="K42" s="267" t="e">
        <f>IF(ISNA(MATCH(K$2,Inputs!$K$4:$AJ$4,0)),NA(),IF(SUMPRODUCT((Inputs!$A$5:$A$120=$B42)*ISNUMBER(INDEX(Inputs!$K$5:$AJ$120,0,MATCH(K$2,Inputs!$K$4:$AJ$4,0))))+SUMPRODUCT((Inputs!$C$5:$C$120=$B42)*ISNUMBER(INDEX(Inputs!$K$5:$AJ$120,0,MATCH(K$2,Inputs!$K$4:$AJ$4,0))))+SUMPRODUCT((Inputs!$E$5:$E$120=$B42)*ISNUMBER(INDEX(Inputs!$K$5:$AJ$120,0,MATCH(K$2,Inputs!$K$4:$AJ$4,0))))=0,NA(),SUMPRODUCT((Inputs!$A$5:$A$120=$B42)*Inputs!$B$5:$B$120*(((Inputs!$G$5:$G$120="moeda")+(Inputs!$G$5:$G$120="acoes"))*Inputs!$B$1+((Inputs!$G$5:$G$120&lt;&gt;"moeda")*(Inputs!$G$5:$G$120&lt;&gt;"acoes")))*INDEX(Inputs!$K$5:$AJ$120,0,MATCH(K$2,Inputs!$K$4:$AJ$4,0)))+SUMPRODUCT((Inputs!$C$5:$C$120=$B42)*Inputs!$D$5:$D$120*(((Inputs!$G$5:$G$120="moeda")+(Inputs!$G$5:$G$120="acoes"))*Inputs!$B$1+((Inputs!$G$5:$G$120&lt;&gt;"moeda")*(Inputs!$G$5:$G$120&lt;&gt;"acoes")))*INDEX(Inputs!$K$5:$AJ$120,0,MATCH(K$2,Inputs!$K$4:$AJ$4,0)))+SUMPRODUCT((Inputs!$E$5:$E$120=$B42)*Inputs!$F$5:$F$120*(((Inputs!$G$5:$G$120="moeda")+(Inputs!$G$5:$G$120="acoes"))*Inputs!$B$1+((Inputs!$G$5:$G$120&lt;&gt;"moeda")*(Inputs!$G$5:$G$120&lt;&gt;"acoes")))*INDEX(Inputs!$K$5:$AJ$120,0,MATCH(K$2,Inputs!$K$4:$AJ$4,0)))))</f>
        <v>#N/A</v>
      </c>
      <c r="L42" s="267" t="e">
        <f>IF(ISNA(MATCH(L$2,Inputs!$K$4:$AJ$4,0)),NA(),IF(SUMPRODUCT((Inputs!$A$5:$A$120=$B42)*ISNUMBER(INDEX(Inputs!$K$5:$AJ$120,0,MATCH(L$2,Inputs!$K$4:$AJ$4,0))))+SUMPRODUCT((Inputs!$C$5:$C$120=$B42)*ISNUMBER(INDEX(Inputs!$K$5:$AJ$120,0,MATCH(L$2,Inputs!$K$4:$AJ$4,0))))+SUMPRODUCT((Inputs!$E$5:$E$120=$B42)*ISNUMBER(INDEX(Inputs!$K$5:$AJ$120,0,MATCH(L$2,Inputs!$K$4:$AJ$4,0))))=0,NA(),SUMPRODUCT((Inputs!$A$5:$A$120=$B42)*Inputs!$B$5:$B$120*(((Inputs!$G$5:$G$120="moeda")+(Inputs!$G$5:$G$120="acoes"))*Inputs!$B$1+((Inputs!$G$5:$G$120&lt;&gt;"moeda")*(Inputs!$G$5:$G$120&lt;&gt;"acoes")))*INDEX(Inputs!$K$5:$AJ$120,0,MATCH(L$2,Inputs!$K$4:$AJ$4,0)))+SUMPRODUCT((Inputs!$C$5:$C$120=$B42)*Inputs!$D$5:$D$120*(((Inputs!$G$5:$G$120="moeda")+(Inputs!$G$5:$G$120="acoes"))*Inputs!$B$1+((Inputs!$G$5:$G$120&lt;&gt;"moeda")*(Inputs!$G$5:$G$120&lt;&gt;"acoes")))*INDEX(Inputs!$K$5:$AJ$120,0,MATCH(L$2,Inputs!$K$4:$AJ$4,0)))+SUMPRODUCT((Inputs!$E$5:$E$120=$B42)*Inputs!$F$5:$F$120*(((Inputs!$G$5:$G$120="moeda")+(Inputs!$G$5:$G$120="acoes"))*Inputs!$B$1+((Inputs!$G$5:$G$120&lt;&gt;"moeda")*(Inputs!$G$5:$G$120&lt;&gt;"acoes")))*INDEX(Inputs!$K$5:$AJ$120,0,MATCH(L$2,Inputs!$K$4:$AJ$4,0)))))</f>
        <v>#N/A</v>
      </c>
      <c r="M42" s="268" t="e">
        <f>L42</f>
        <v>#N/A</v>
      </c>
      <c r="N42" s="267" t="e">
        <f>IF(ISNA(MATCH(N$2,Inputs!$K$4:$AJ$4,0)),NA(),IF(SUMPRODUCT((Inputs!$A$5:$A$120=$B42)*ISNUMBER(INDEX(Inputs!$K$5:$AJ$120,0,MATCH(N$2,Inputs!$K$4:$AJ$4,0))))+SUMPRODUCT((Inputs!$C$5:$C$120=$B42)*ISNUMBER(INDEX(Inputs!$K$5:$AJ$120,0,MATCH(N$2,Inputs!$K$4:$AJ$4,0))))+SUMPRODUCT((Inputs!$E$5:$E$120=$B42)*ISNUMBER(INDEX(Inputs!$K$5:$AJ$120,0,MATCH(N$2,Inputs!$K$4:$AJ$4,0))))=0,NA(),SUMPRODUCT((Inputs!$A$5:$A$120=$B42)*Inputs!$B$5:$B$120*(((Inputs!$G$5:$G$120="moeda")+(Inputs!$G$5:$G$120="acoes"))*Inputs!$B$1+((Inputs!$G$5:$G$120&lt;&gt;"moeda")*(Inputs!$G$5:$G$120&lt;&gt;"acoes")))*INDEX(Inputs!$K$5:$AJ$120,0,MATCH(N$2,Inputs!$K$4:$AJ$4,0)))+SUMPRODUCT((Inputs!$C$5:$C$120=$B42)*Inputs!$D$5:$D$120*(((Inputs!$G$5:$G$120="moeda")+(Inputs!$G$5:$G$120="acoes"))*Inputs!$B$1+((Inputs!$G$5:$G$120&lt;&gt;"moeda")*(Inputs!$G$5:$G$120&lt;&gt;"acoes")))*INDEX(Inputs!$K$5:$AJ$120,0,MATCH(N$2,Inputs!$K$4:$AJ$4,0)))+SUMPRODUCT((Inputs!$E$5:$E$120=$B42)*Inputs!$F$5:$F$120*(((Inputs!$G$5:$G$120="moeda")+(Inputs!$G$5:$G$120="acoes"))*Inputs!$B$1+((Inputs!$G$5:$G$120&lt;&gt;"moeda")*(Inputs!$G$5:$G$120&lt;&gt;"acoes")))*INDEX(Inputs!$K$5:$AJ$120,0,MATCH(N$2,Inputs!$K$4:$AJ$4,0)))))</f>
        <v>#N/A</v>
      </c>
      <c r="O42" s="267" t="e">
        <f>IF(ISNA(MATCH(O$2,Inputs!$K$4:$AJ$4,0)),NA(),IF(SUMPRODUCT((Inputs!$A$5:$A$120=$B42)*ISNUMBER(INDEX(Inputs!$K$5:$AJ$120,0,MATCH(O$2,Inputs!$K$4:$AJ$4,0))))+SUMPRODUCT((Inputs!$C$5:$C$120=$B42)*ISNUMBER(INDEX(Inputs!$K$5:$AJ$120,0,MATCH(O$2,Inputs!$K$4:$AJ$4,0))))+SUMPRODUCT((Inputs!$E$5:$E$120=$B42)*ISNUMBER(INDEX(Inputs!$K$5:$AJ$120,0,MATCH(O$2,Inputs!$K$4:$AJ$4,0))))=0,NA(),SUMPRODUCT((Inputs!$A$5:$A$120=$B42)*Inputs!$B$5:$B$120*(((Inputs!$G$5:$G$120="moeda")+(Inputs!$G$5:$G$120="acoes"))*Inputs!$B$1+((Inputs!$G$5:$G$120&lt;&gt;"moeda")*(Inputs!$G$5:$G$120&lt;&gt;"acoes")))*INDEX(Inputs!$K$5:$AJ$120,0,MATCH(O$2,Inputs!$K$4:$AJ$4,0)))+SUMPRODUCT((Inputs!$C$5:$C$120=$B42)*Inputs!$D$5:$D$120*(((Inputs!$G$5:$G$120="moeda")+(Inputs!$G$5:$G$120="acoes"))*Inputs!$B$1+((Inputs!$G$5:$G$120&lt;&gt;"moeda")*(Inputs!$G$5:$G$120&lt;&gt;"acoes")))*INDEX(Inputs!$K$5:$AJ$120,0,MATCH(O$2,Inputs!$K$4:$AJ$4,0)))+SUMPRODUCT((Inputs!$E$5:$E$120=$B42)*Inputs!$F$5:$F$120*(((Inputs!$G$5:$G$120="moeda")+(Inputs!$G$5:$G$120="acoes"))*Inputs!$B$1+((Inputs!$G$5:$G$120&lt;&gt;"moeda")*(Inputs!$G$5:$G$120&lt;&gt;"acoes")))*INDEX(Inputs!$K$5:$AJ$120,0,MATCH(O$2,Inputs!$K$4:$AJ$4,0)))))</f>
        <v>#N/A</v>
      </c>
      <c r="P42" s="267" t="e">
        <f>IF(ISNA(MATCH(P$2,Inputs!$K$4:$AJ$4,0)),NA(),IF(SUMPRODUCT((Inputs!$A$5:$A$120=$B42)*ISNUMBER(INDEX(Inputs!$K$5:$AJ$120,0,MATCH(P$2,Inputs!$K$4:$AJ$4,0))))+SUMPRODUCT((Inputs!$C$5:$C$120=$B42)*ISNUMBER(INDEX(Inputs!$K$5:$AJ$120,0,MATCH(P$2,Inputs!$K$4:$AJ$4,0))))+SUMPRODUCT((Inputs!$E$5:$E$120=$B42)*ISNUMBER(INDEX(Inputs!$K$5:$AJ$120,0,MATCH(P$2,Inputs!$K$4:$AJ$4,0))))=0,NA(),SUMPRODUCT((Inputs!$A$5:$A$120=$B42)*Inputs!$B$5:$B$120*(((Inputs!$G$5:$G$120="moeda")+(Inputs!$G$5:$G$120="acoes"))*Inputs!$B$1+((Inputs!$G$5:$G$120&lt;&gt;"moeda")*(Inputs!$G$5:$G$120&lt;&gt;"acoes")))*INDEX(Inputs!$K$5:$AJ$120,0,MATCH(P$2,Inputs!$K$4:$AJ$4,0)))+SUMPRODUCT((Inputs!$C$5:$C$120=$B42)*Inputs!$D$5:$D$120*(((Inputs!$G$5:$G$120="moeda")+(Inputs!$G$5:$G$120="acoes"))*Inputs!$B$1+((Inputs!$G$5:$G$120&lt;&gt;"moeda")*(Inputs!$G$5:$G$120&lt;&gt;"acoes")))*INDEX(Inputs!$K$5:$AJ$120,0,MATCH(P$2,Inputs!$K$4:$AJ$4,0)))+SUMPRODUCT((Inputs!$E$5:$E$120=$B42)*Inputs!$F$5:$F$120*(((Inputs!$G$5:$G$120="moeda")+(Inputs!$G$5:$G$120="acoes"))*Inputs!$B$1+((Inputs!$G$5:$G$120&lt;&gt;"moeda")*(Inputs!$G$5:$G$120&lt;&gt;"acoes")))*INDEX(Inputs!$K$5:$AJ$120,0,MATCH(P$2,Inputs!$K$4:$AJ$4,0)))))</f>
        <v>#N/A</v>
      </c>
      <c r="Q42" s="267" t="e">
        <f>IF(ISNA(MATCH(Q$2,Inputs!$K$4:$AJ$4,0)),NA(),IF(SUMPRODUCT((Inputs!$A$5:$A$120=$B42)*ISNUMBER(INDEX(Inputs!$K$5:$AJ$120,0,MATCH(Q$2,Inputs!$K$4:$AJ$4,0))))+SUMPRODUCT((Inputs!$C$5:$C$120=$B42)*ISNUMBER(INDEX(Inputs!$K$5:$AJ$120,0,MATCH(Q$2,Inputs!$K$4:$AJ$4,0))))+SUMPRODUCT((Inputs!$E$5:$E$120=$B42)*ISNUMBER(INDEX(Inputs!$K$5:$AJ$120,0,MATCH(Q$2,Inputs!$K$4:$AJ$4,0))))=0,NA(),SUMPRODUCT((Inputs!$A$5:$A$120=$B42)*Inputs!$B$5:$B$120*(((Inputs!$G$5:$G$120="moeda")+(Inputs!$G$5:$G$120="acoes"))*Inputs!$B$1+((Inputs!$G$5:$G$120&lt;&gt;"moeda")*(Inputs!$G$5:$G$120&lt;&gt;"acoes")))*INDEX(Inputs!$K$5:$AJ$120,0,MATCH(Q$2,Inputs!$K$4:$AJ$4,0)))+SUMPRODUCT((Inputs!$C$5:$C$120=$B42)*Inputs!$D$5:$D$120*(((Inputs!$G$5:$G$120="moeda")+(Inputs!$G$5:$G$120="acoes"))*Inputs!$B$1+((Inputs!$G$5:$G$120&lt;&gt;"moeda")*(Inputs!$G$5:$G$120&lt;&gt;"acoes")))*INDEX(Inputs!$K$5:$AJ$120,0,MATCH(Q$2,Inputs!$K$4:$AJ$4,0)))+SUMPRODUCT((Inputs!$E$5:$E$120=$B42)*Inputs!$F$5:$F$120*(((Inputs!$G$5:$G$120="moeda")+(Inputs!$G$5:$G$120="acoes"))*Inputs!$B$1+((Inputs!$G$5:$G$120&lt;&gt;"moeda")*(Inputs!$G$5:$G$120&lt;&gt;"acoes")))*INDEX(Inputs!$K$5:$AJ$120,0,MATCH(Q$2,Inputs!$K$4:$AJ$4,0)))))</f>
        <v>#N/A</v>
      </c>
      <c r="R42" s="268" t="e">
        <f>Q42</f>
        <v>#N/A</v>
      </c>
      <c r="S42" s="267" t="e">
        <f>IF(ISNA(MATCH(S$2,Inputs!$K$4:$AJ$4,0)),NA(),IF(SUMPRODUCT((Inputs!$A$5:$A$120=$B42)*ISNUMBER(INDEX(Inputs!$K$5:$AJ$120,0,MATCH(S$2,Inputs!$K$4:$AJ$4,0))))+SUMPRODUCT((Inputs!$C$5:$C$120=$B42)*ISNUMBER(INDEX(Inputs!$K$5:$AJ$120,0,MATCH(S$2,Inputs!$K$4:$AJ$4,0))))+SUMPRODUCT((Inputs!$E$5:$E$120=$B42)*ISNUMBER(INDEX(Inputs!$K$5:$AJ$120,0,MATCH(S$2,Inputs!$K$4:$AJ$4,0))))=0,NA(),SUMPRODUCT((Inputs!$A$5:$A$120=$B42)*Inputs!$B$5:$B$120*(((Inputs!$G$5:$G$120="moeda")+(Inputs!$G$5:$G$120="acoes"))*Inputs!$B$1+((Inputs!$G$5:$G$120&lt;&gt;"moeda")*(Inputs!$G$5:$G$120&lt;&gt;"acoes")))*INDEX(Inputs!$K$5:$AJ$120,0,MATCH(S$2,Inputs!$K$4:$AJ$4,0)))+SUMPRODUCT((Inputs!$C$5:$C$120=$B42)*Inputs!$D$5:$D$120*(((Inputs!$G$5:$G$120="moeda")+(Inputs!$G$5:$G$120="acoes"))*Inputs!$B$1+((Inputs!$G$5:$G$120&lt;&gt;"moeda")*(Inputs!$G$5:$G$120&lt;&gt;"acoes")))*INDEX(Inputs!$K$5:$AJ$120,0,MATCH(S$2,Inputs!$K$4:$AJ$4,0)))+SUMPRODUCT((Inputs!$E$5:$E$120=$B42)*Inputs!$F$5:$F$120*(((Inputs!$G$5:$G$120="moeda")+(Inputs!$G$5:$G$120="acoes"))*Inputs!$B$1+((Inputs!$G$5:$G$120&lt;&gt;"moeda")*(Inputs!$G$5:$G$120&lt;&gt;"acoes")))*INDEX(Inputs!$K$5:$AJ$120,0,MATCH(S$2,Inputs!$K$4:$AJ$4,0)))))</f>
        <v>#N/A</v>
      </c>
      <c r="T42" s="267" t="e">
        <f>IF(ISNA(MATCH(T$2,Inputs!$K$4:$AJ$4,0)),NA(),IF(SUMPRODUCT((Inputs!$A$5:$A$120=$B42)*ISNUMBER(INDEX(Inputs!$K$5:$AJ$120,0,MATCH(T$2,Inputs!$K$4:$AJ$4,0))))+SUMPRODUCT((Inputs!$C$5:$C$120=$B42)*ISNUMBER(INDEX(Inputs!$K$5:$AJ$120,0,MATCH(T$2,Inputs!$K$4:$AJ$4,0))))+SUMPRODUCT((Inputs!$E$5:$E$120=$B42)*ISNUMBER(INDEX(Inputs!$K$5:$AJ$120,0,MATCH(T$2,Inputs!$K$4:$AJ$4,0))))=0,NA(),SUMPRODUCT((Inputs!$A$5:$A$120=$B42)*Inputs!$B$5:$B$120*(((Inputs!$G$5:$G$120="moeda")+(Inputs!$G$5:$G$120="acoes"))*Inputs!$B$1+((Inputs!$G$5:$G$120&lt;&gt;"moeda")*(Inputs!$G$5:$G$120&lt;&gt;"acoes")))*INDEX(Inputs!$K$5:$AJ$120,0,MATCH(T$2,Inputs!$K$4:$AJ$4,0)))+SUMPRODUCT((Inputs!$C$5:$C$120=$B42)*Inputs!$D$5:$D$120*(((Inputs!$G$5:$G$120="moeda")+(Inputs!$G$5:$G$120="acoes"))*Inputs!$B$1+((Inputs!$G$5:$G$120&lt;&gt;"moeda")*(Inputs!$G$5:$G$120&lt;&gt;"acoes")))*INDEX(Inputs!$K$5:$AJ$120,0,MATCH(T$2,Inputs!$K$4:$AJ$4,0)))+SUMPRODUCT((Inputs!$E$5:$E$120=$B42)*Inputs!$F$5:$F$120*(((Inputs!$G$5:$G$120="moeda")+(Inputs!$G$5:$G$120="acoes"))*Inputs!$B$1+((Inputs!$G$5:$G$120&lt;&gt;"moeda")*(Inputs!$G$5:$G$120&lt;&gt;"acoes")))*INDEX(Inputs!$K$5:$AJ$120,0,MATCH(T$2,Inputs!$K$4:$AJ$4,0)))))</f>
        <v>#N/A</v>
      </c>
      <c r="U42" s="267" t="e">
        <f>IF(ISNA(MATCH(U$2,Inputs!$K$4:$AJ$4,0)),NA(),IF(SUMPRODUCT((Inputs!$A$5:$A$120=$B42)*ISNUMBER(INDEX(Inputs!$K$5:$AJ$120,0,MATCH(U$2,Inputs!$K$4:$AJ$4,0))))+SUMPRODUCT((Inputs!$C$5:$C$120=$B42)*ISNUMBER(INDEX(Inputs!$K$5:$AJ$120,0,MATCH(U$2,Inputs!$K$4:$AJ$4,0))))+SUMPRODUCT((Inputs!$E$5:$E$120=$B42)*ISNUMBER(INDEX(Inputs!$K$5:$AJ$120,0,MATCH(U$2,Inputs!$K$4:$AJ$4,0))))=0,NA(),SUMPRODUCT((Inputs!$A$5:$A$120=$B42)*Inputs!$B$5:$B$120*(((Inputs!$G$5:$G$120="moeda")+(Inputs!$G$5:$G$120="acoes"))*Inputs!$B$1+((Inputs!$G$5:$G$120&lt;&gt;"moeda")*(Inputs!$G$5:$G$120&lt;&gt;"acoes")))*INDEX(Inputs!$K$5:$AJ$120,0,MATCH(U$2,Inputs!$K$4:$AJ$4,0)))+SUMPRODUCT((Inputs!$C$5:$C$120=$B42)*Inputs!$D$5:$D$120*(((Inputs!$G$5:$G$120="moeda")+(Inputs!$G$5:$G$120="acoes"))*Inputs!$B$1+((Inputs!$G$5:$G$120&lt;&gt;"moeda")*(Inputs!$G$5:$G$120&lt;&gt;"acoes")))*INDEX(Inputs!$K$5:$AJ$120,0,MATCH(U$2,Inputs!$K$4:$AJ$4,0)))+SUMPRODUCT((Inputs!$E$5:$E$120=$B42)*Inputs!$F$5:$F$120*(((Inputs!$G$5:$G$120="moeda")+(Inputs!$G$5:$G$120="acoes"))*Inputs!$B$1+((Inputs!$G$5:$G$120&lt;&gt;"moeda")*(Inputs!$G$5:$G$120&lt;&gt;"acoes")))*INDEX(Inputs!$K$5:$AJ$120,0,MATCH(U$2,Inputs!$K$4:$AJ$4,0)))))</f>
        <v>#N/A</v>
      </c>
      <c r="V42" s="267" t="e">
        <f>IF(ISNA(MATCH(V$2,Inputs!$K$4:$AJ$4,0)),NA(),IF(SUMPRODUCT((Inputs!$A$5:$A$120=$B42)*ISNUMBER(INDEX(Inputs!$K$5:$AJ$120,0,MATCH(V$2,Inputs!$K$4:$AJ$4,0))))+SUMPRODUCT((Inputs!$C$5:$C$120=$B42)*ISNUMBER(INDEX(Inputs!$K$5:$AJ$120,0,MATCH(V$2,Inputs!$K$4:$AJ$4,0))))+SUMPRODUCT((Inputs!$E$5:$E$120=$B42)*ISNUMBER(INDEX(Inputs!$K$5:$AJ$120,0,MATCH(V$2,Inputs!$K$4:$AJ$4,0))))=0,NA(),SUMPRODUCT((Inputs!$A$5:$A$120=$B42)*Inputs!$B$5:$B$120*(((Inputs!$G$5:$G$120="moeda")+(Inputs!$G$5:$G$120="acoes"))*Inputs!$B$1+((Inputs!$G$5:$G$120&lt;&gt;"moeda")*(Inputs!$G$5:$G$120&lt;&gt;"acoes")))*INDEX(Inputs!$K$5:$AJ$120,0,MATCH(V$2,Inputs!$K$4:$AJ$4,0)))+SUMPRODUCT((Inputs!$C$5:$C$120=$B42)*Inputs!$D$5:$D$120*(((Inputs!$G$5:$G$120="moeda")+(Inputs!$G$5:$G$120="acoes"))*Inputs!$B$1+((Inputs!$G$5:$G$120&lt;&gt;"moeda")*(Inputs!$G$5:$G$120&lt;&gt;"acoes")))*INDEX(Inputs!$K$5:$AJ$120,0,MATCH(V$2,Inputs!$K$4:$AJ$4,0)))+SUMPRODUCT((Inputs!$E$5:$E$120=$B42)*Inputs!$F$5:$F$120*(((Inputs!$G$5:$G$120="moeda")+(Inputs!$G$5:$G$120="acoes"))*Inputs!$B$1+((Inputs!$G$5:$G$120&lt;&gt;"moeda")*(Inputs!$G$5:$G$120&lt;&gt;"acoes")))*INDEX(Inputs!$K$5:$AJ$120,0,MATCH(V$2,Inputs!$K$4:$AJ$4,0)))))</f>
        <v>#N/A</v>
      </c>
      <c r="W42" s="268" t="e">
        <f>V42</f>
        <v>#N/A</v>
      </c>
      <c r="X42" s="267" t="e">
        <f>IF(ISNA(MATCH(X$2,Inputs!$K$4:$AJ$4,0)),NA(),IF(SUMPRODUCT((Inputs!$A$5:$A$120=$B42)*ISNUMBER(INDEX(Inputs!$K$5:$AJ$120,0,MATCH(X$2,Inputs!$K$4:$AJ$4,0))))+SUMPRODUCT((Inputs!$C$5:$C$120=$B42)*ISNUMBER(INDEX(Inputs!$K$5:$AJ$120,0,MATCH(X$2,Inputs!$K$4:$AJ$4,0))))+SUMPRODUCT((Inputs!$E$5:$E$120=$B42)*ISNUMBER(INDEX(Inputs!$K$5:$AJ$120,0,MATCH(X$2,Inputs!$K$4:$AJ$4,0))))=0,NA(),SUMPRODUCT((Inputs!$A$5:$A$120=$B42)*Inputs!$B$5:$B$120*(((Inputs!$G$5:$G$120="moeda")+(Inputs!$G$5:$G$120="acoes"))*Inputs!$B$1+((Inputs!$G$5:$G$120&lt;&gt;"moeda")*(Inputs!$G$5:$G$120&lt;&gt;"acoes")))*INDEX(Inputs!$K$5:$AJ$120,0,MATCH(X$2,Inputs!$K$4:$AJ$4,0)))+SUMPRODUCT((Inputs!$C$5:$C$120=$B42)*Inputs!$D$5:$D$120*(((Inputs!$G$5:$G$120="moeda")+(Inputs!$G$5:$G$120="acoes"))*Inputs!$B$1+((Inputs!$G$5:$G$120&lt;&gt;"moeda")*(Inputs!$G$5:$G$120&lt;&gt;"acoes")))*INDEX(Inputs!$K$5:$AJ$120,0,MATCH(X$2,Inputs!$K$4:$AJ$4,0)))+SUMPRODUCT((Inputs!$E$5:$E$120=$B42)*Inputs!$F$5:$F$120*(((Inputs!$G$5:$G$120="moeda")+(Inputs!$G$5:$G$120="acoes"))*Inputs!$B$1+((Inputs!$G$5:$G$120&lt;&gt;"moeda")*(Inputs!$G$5:$G$120&lt;&gt;"acoes")))*INDEX(Inputs!$K$5:$AJ$120,0,MATCH(X$2,Inputs!$K$4:$AJ$4,0)))))</f>
        <v>#N/A</v>
      </c>
      <c r="Y42" s="267" t="e">
        <f>IF(ISNA(MATCH(Y$2,Inputs!$K$4:$AJ$4,0)),NA(),IF(SUMPRODUCT((Inputs!$A$5:$A$120=$B42)*ISNUMBER(INDEX(Inputs!$K$5:$AJ$120,0,MATCH(Y$2,Inputs!$K$4:$AJ$4,0))))+SUMPRODUCT((Inputs!$C$5:$C$120=$B42)*ISNUMBER(INDEX(Inputs!$K$5:$AJ$120,0,MATCH(Y$2,Inputs!$K$4:$AJ$4,0))))+SUMPRODUCT((Inputs!$E$5:$E$120=$B42)*ISNUMBER(INDEX(Inputs!$K$5:$AJ$120,0,MATCH(Y$2,Inputs!$K$4:$AJ$4,0))))=0,NA(),SUMPRODUCT((Inputs!$A$5:$A$120=$B42)*Inputs!$B$5:$B$120*(((Inputs!$G$5:$G$120="moeda")+(Inputs!$G$5:$G$120="acoes"))*Inputs!$B$1+((Inputs!$G$5:$G$120&lt;&gt;"moeda")*(Inputs!$G$5:$G$120&lt;&gt;"acoes")))*INDEX(Inputs!$K$5:$AJ$120,0,MATCH(Y$2,Inputs!$K$4:$AJ$4,0)))+SUMPRODUCT((Inputs!$C$5:$C$120=$B42)*Inputs!$D$5:$D$120*(((Inputs!$G$5:$G$120="moeda")+(Inputs!$G$5:$G$120="acoes"))*Inputs!$B$1+((Inputs!$G$5:$G$120&lt;&gt;"moeda")*(Inputs!$G$5:$G$120&lt;&gt;"acoes")))*INDEX(Inputs!$K$5:$AJ$120,0,MATCH(Y$2,Inputs!$K$4:$AJ$4,0)))+SUMPRODUCT((Inputs!$E$5:$E$120=$B42)*Inputs!$F$5:$F$120*(((Inputs!$G$5:$G$120="moeda")+(Inputs!$G$5:$G$120="acoes"))*Inputs!$B$1+((Inputs!$G$5:$G$120&lt;&gt;"moeda")*(Inputs!$G$5:$G$120&lt;&gt;"acoes")))*INDEX(Inputs!$K$5:$AJ$120,0,MATCH(Y$2,Inputs!$K$4:$AJ$4,0)))))</f>
        <v>#N/A</v>
      </c>
      <c r="Z42" s="267" t="e">
        <f>IF(ISNA(MATCH(Z$2,Inputs!$K$4:$AJ$4,0)),NA(),IF(SUMPRODUCT((Inputs!$A$5:$A$120=$B42)*ISNUMBER(INDEX(Inputs!$K$5:$AJ$120,0,MATCH(Z$2,Inputs!$K$4:$AJ$4,0))))+SUMPRODUCT((Inputs!$C$5:$C$120=$B42)*ISNUMBER(INDEX(Inputs!$K$5:$AJ$120,0,MATCH(Z$2,Inputs!$K$4:$AJ$4,0))))+SUMPRODUCT((Inputs!$E$5:$E$120=$B42)*ISNUMBER(INDEX(Inputs!$K$5:$AJ$120,0,MATCH(Z$2,Inputs!$K$4:$AJ$4,0))))=0,NA(),SUMPRODUCT((Inputs!$A$5:$A$120=$B42)*Inputs!$B$5:$B$120*(((Inputs!$G$5:$G$120="moeda")+(Inputs!$G$5:$G$120="acoes"))*Inputs!$B$1+((Inputs!$G$5:$G$120&lt;&gt;"moeda")*(Inputs!$G$5:$G$120&lt;&gt;"acoes")))*INDEX(Inputs!$K$5:$AJ$120,0,MATCH(Z$2,Inputs!$K$4:$AJ$4,0)))+SUMPRODUCT((Inputs!$C$5:$C$120=$B42)*Inputs!$D$5:$D$120*(((Inputs!$G$5:$G$120="moeda")+(Inputs!$G$5:$G$120="acoes"))*Inputs!$B$1+((Inputs!$G$5:$G$120&lt;&gt;"moeda")*(Inputs!$G$5:$G$120&lt;&gt;"acoes")))*INDEX(Inputs!$K$5:$AJ$120,0,MATCH(Z$2,Inputs!$K$4:$AJ$4,0)))+SUMPRODUCT((Inputs!$E$5:$E$120=$B42)*Inputs!$F$5:$F$120*(((Inputs!$G$5:$G$120="moeda")+(Inputs!$G$5:$G$120="acoes"))*Inputs!$B$1+((Inputs!$G$5:$G$120&lt;&gt;"moeda")*(Inputs!$G$5:$G$120&lt;&gt;"acoes")))*INDEX(Inputs!$K$5:$AJ$120,0,MATCH(Z$2,Inputs!$K$4:$AJ$4,0)))))</f>
        <v>#N/A</v>
      </c>
      <c r="AA42" s="267" t="e">
        <f>IF(ISNA(MATCH(AA$2,Inputs!$K$4:$AJ$4,0)),NA(),IF(SUMPRODUCT((Inputs!$A$5:$A$120=$B42)*ISNUMBER(INDEX(Inputs!$K$5:$AJ$120,0,MATCH(AA$2,Inputs!$K$4:$AJ$4,0))))+SUMPRODUCT((Inputs!$C$5:$C$120=$B42)*ISNUMBER(INDEX(Inputs!$K$5:$AJ$120,0,MATCH(AA$2,Inputs!$K$4:$AJ$4,0))))+SUMPRODUCT((Inputs!$E$5:$E$120=$B42)*ISNUMBER(INDEX(Inputs!$K$5:$AJ$120,0,MATCH(AA$2,Inputs!$K$4:$AJ$4,0))))=0,NA(),SUMPRODUCT((Inputs!$A$5:$A$120=$B42)*Inputs!$B$5:$B$120*(((Inputs!$G$5:$G$120="moeda")+(Inputs!$G$5:$G$120="acoes"))*Inputs!$B$1+((Inputs!$G$5:$G$120&lt;&gt;"moeda")*(Inputs!$G$5:$G$120&lt;&gt;"acoes")))*INDEX(Inputs!$K$5:$AJ$120,0,MATCH(AA$2,Inputs!$K$4:$AJ$4,0)))+SUMPRODUCT((Inputs!$C$5:$C$120=$B42)*Inputs!$D$5:$D$120*(((Inputs!$G$5:$G$120="moeda")+(Inputs!$G$5:$G$120="acoes"))*Inputs!$B$1+((Inputs!$G$5:$G$120&lt;&gt;"moeda")*(Inputs!$G$5:$G$120&lt;&gt;"acoes")))*INDEX(Inputs!$K$5:$AJ$120,0,MATCH(AA$2,Inputs!$K$4:$AJ$4,0)))+SUMPRODUCT((Inputs!$E$5:$E$120=$B42)*Inputs!$F$5:$F$120*(((Inputs!$G$5:$G$120="moeda")+(Inputs!$G$5:$G$120="acoes"))*Inputs!$B$1+((Inputs!$G$5:$G$120&lt;&gt;"moeda")*(Inputs!$G$5:$G$120&lt;&gt;"acoes")))*INDEX(Inputs!$K$5:$AJ$120,0,MATCH(AA$2,Inputs!$K$4:$AJ$4,0)))))</f>
        <v>#N/A</v>
      </c>
      <c r="AB42" s="268" t="e">
        <f>AA42</f>
        <v>#N/A</v>
      </c>
      <c r="AC42" s="267" t="e">
        <f>IF(ISNA(MATCH(AC$2,Inputs!$K$4:$AJ$4,0)),NA(),IF(SUMPRODUCT((Inputs!$A$5:$A$120=$B42)*ISNUMBER(INDEX(Inputs!$K$5:$AJ$120,0,MATCH(AC$2,Inputs!$K$4:$AJ$4,0))))+SUMPRODUCT((Inputs!$C$5:$C$120=$B42)*ISNUMBER(INDEX(Inputs!$K$5:$AJ$120,0,MATCH(AC$2,Inputs!$K$4:$AJ$4,0))))+SUMPRODUCT((Inputs!$E$5:$E$120=$B42)*ISNUMBER(INDEX(Inputs!$K$5:$AJ$120,0,MATCH(AC$2,Inputs!$K$4:$AJ$4,0))))=0,NA(),SUMPRODUCT((Inputs!$A$5:$A$120=$B42)*Inputs!$B$5:$B$120*(((Inputs!$G$5:$G$120="moeda")+(Inputs!$G$5:$G$120="acoes"))*Inputs!$B$1+((Inputs!$G$5:$G$120&lt;&gt;"moeda")*(Inputs!$G$5:$G$120&lt;&gt;"acoes")))*INDEX(Inputs!$K$5:$AJ$120,0,MATCH(AC$2,Inputs!$K$4:$AJ$4,0)))+SUMPRODUCT((Inputs!$C$5:$C$120=$B42)*Inputs!$D$5:$D$120*(((Inputs!$G$5:$G$120="moeda")+(Inputs!$G$5:$G$120="acoes"))*Inputs!$B$1+((Inputs!$G$5:$G$120&lt;&gt;"moeda")*(Inputs!$G$5:$G$120&lt;&gt;"acoes")))*INDEX(Inputs!$K$5:$AJ$120,0,MATCH(AC$2,Inputs!$K$4:$AJ$4,0)))+SUMPRODUCT((Inputs!$E$5:$E$120=$B42)*Inputs!$F$5:$F$120*(((Inputs!$G$5:$G$120="moeda")+(Inputs!$G$5:$G$120="acoes"))*Inputs!$B$1+((Inputs!$G$5:$G$120&lt;&gt;"moeda")*(Inputs!$G$5:$G$120&lt;&gt;"acoes")))*INDEX(Inputs!$K$5:$AJ$120,0,MATCH(AC$2,Inputs!$K$4:$AJ$4,0)))))</f>
        <v>#N/A</v>
      </c>
      <c r="AD42" s="267" t="e">
        <f>IF(ISNA(MATCH(AD$2,Inputs!$K$4:$AJ$4,0)),NA(),IF(SUMPRODUCT((Inputs!$A$5:$A$120=$B42)*ISNUMBER(INDEX(Inputs!$K$5:$AJ$120,0,MATCH(AD$2,Inputs!$K$4:$AJ$4,0))))+SUMPRODUCT((Inputs!$C$5:$C$120=$B42)*ISNUMBER(INDEX(Inputs!$K$5:$AJ$120,0,MATCH(AD$2,Inputs!$K$4:$AJ$4,0))))+SUMPRODUCT((Inputs!$E$5:$E$120=$B42)*ISNUMBER(INDEX(Inputs!$K$5:$AJ$120,0,MATCH(AD$2,Inputs!$K$4:$AJ$4,0))))=0,NA(),SUMPRODUCT((Inputs!$A$5:$A$120=$B42)*Inputs!$B$5:$B$120*(((Inputs!$G$5:$G$120="moeda")+(Inputs!$G$5:$G$120="acoes"))*Inputs!$B$1+((Inputs!$G$5:$G$120&lt;&gt;"moeda")*(Inputs!$G$5:$G$120&lt;&gt;"acoes")))*INDEX(Inputs!$K$5:$AJ$120,0,MATCH(AD$2,Inputs!$K$4:$AJ$4,0)))+SUMPRODUCT((Inputs!$C$5:$C$120=$B42)*Inputs!$D$5:$D$120*(((Inputs!$G$5:$G$120="moeda")+(Inputs!$G$5:$G$120="acoes"))*Inputs!$B$1+((Inputs!$G$5:$G$120&lt;&gt;"moeda")*(Inputs!$G$5:$G$120&lt;&gt;"acoes")))*INDEX(Inputs!$K$5:$AJ$120,0,MATCH(AD$2,Inputs!$K$4:$AJ$4,0)))+SUMPRODUCT((Inputs!$E$5:$E$120=$B42)*Inputs!$F$5:$F$120*(((Inputs!$G$5:$G$120="moeda")+(Inputs!$G$5:$G$120="acoes"))*Inputs!$B$1+((Inputs!$G$5:$G$120&lt;&gt;"moeda")*(Inputs!$G$5:$G$120&lt;&gt;"acoes")))*INDEX(Inputs!$K$5:$AJ$120,0,MATCH(AD$2,Inputs!$K$4:$AJ$4,0)))))</f>
        <v>#N/A</v>
      </c>
      <c r="AE42" s="267" t="e">
        <f>IF(ISNA(MATCH(AE$2,Inputs!$K$4:$AJ$4,0)),NA(),IF(SUMPRODUCT((Inputs!$A$5:$A$120=$B42)*ISNUMBER(INDEX(Inputs!$K$5:$AJ$120,0,MATCH(AE$2,Inputs!$K$4:$AJ$4,0))))+SUMPRODUCT((Inputs!$C$5:$C$120=$B42)*ISNUMBER(INDEX(Inputs!$K$5:$AJ$120,0,MATCH(AE$2,Inputs!$K$4:$AJ$4,0))))+SUMPRODUCT((Inputs!$E$5:$E$120=$B42)*ISNUMBER(INDEX(Inputs!$K$5:$AJ$120,0,MATCH(AE$2,Inputs!$K$4:$AJ$4,0))))=0,NA(),SUMPRODUCT((Inputs!$A$5:$A$120=$B42)*Inputs!$B$5:$B$120*(((Inputs!$G$5:$G$120="moeda")+(Inputs!$G$5:$G$120="acoes"))*Inputs!$B$1+((Inputs!$G$5:$G$120&lt;&gt;"moeda")*(Inputs!$G$5:$G$120&lt;&gt;"acoes")))*INDEX(Inputs!$K$5:$AJ$120,0,MATCH(AE$2,Inputs!$K$4:$AJ$4,0)))+SUMPRODUCT((Inputs!$C$5:$C$120=$B42)*Inputs!$D$5:$D$120*(((Inputs!$G$5:$G$120="moeda")+(Inputs!$G$5:$G$120="acoes"))*Inputs!$B$1+((Inputs!$G$5:$G$120&lt;&gt;"moeda")*(Inputs!$G$5:$G$120&lt;&gt;"acoes")))*INDEX(Inputs!$K$5:$AJ$120,0,MATCH(AE$2,Inputs!$K$4:$AJ$4,0)))+SUMPRODUCT((Inputs!$E$5:$E$120=$B42)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2" s="267" t="e">
        <f>IF(ISNA(MATCH(AF$2,Inputs!$K$4:$AJ$4,0)),NA(),IF(SUMPRODUCT((Inputs!$A$5:$A$120=$B42)*ISNUMBER(INDEX(Inputs!$K$5:$AJ$120,0,MATCH(AF$2,Inputs!$K$4:$AJ$4,0))))+SUMPRODUCT((Inputs!$C$5:$C$120=$B42)*ISNUMBER(INDEX(Inputs!$K$5:$AJ$120,0,MATCH(AF$2,Inputs!$K$4:$AJ$4,0))))+SUMPRODUCT((Inputs!$E$5:$E$120=$B42)*ISNUMBER(INDEX(Inputs!$K$5:$AJ$120,0,MATCH(AF$2,Inputs!$K$4:$AJ$4,0))))=0,NA(),SUMPRODUCT((Inputs!$A$5:$A$120=$B42)*Inputs!$B$5:$B$120*(((Inputs!$G$5:$G$120="moeda")+(Inputs!$G$5:$G$120="acoes"))*Inputs!$B$1+((Inputs!$G$5:$G$120&lt;&gt;"moeda")*(Inputs!$G$5:$G$120&lt;&gt;"acoes")))*INDEX(Inputs!$K$5:$AJ$120,0,MATCH(AF$2,Inputs!$K$4:$AJ$4,0)))+SUMPRODUCT((Inputs!$C$5:$C$120=$B42)*Inputs!$D$5:$D$120*(((Inputs!$G$5:$G$120="moeda")+(Inputs!$G$5:$G$120="acoes"))*Inputs!$B$1+((Inputs!$G$5:$G$120&lt;&gt;"moeda")*(Inputs!$G$5:$G$120&lt;&gt;"acoes")))*INDEX(Inputs!$K$5:$AJ$120,0,MATCH(AF$2,Inputs!$K$4:$AJ$4,0)))+SUMPRODUCT((Inputs!$E$5:$E$120=$B42)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2" s="268" t="e">
        <f>AF42</f>
        <v>#N/A</v>
      </c>
      <c r="AH42" s="267" t="e">
        <f>IF(ISNA(MATCH(AH$2,Inputs!$K$4:$AJ$4,0)),NA(),IF(SUMPRODUCT((Inputs!$A$5:$A$120=$B42)*ISNUMBER(INDEX(Inputs!$K$5:$AJ$120,0,MATCH(AH$2,Inputs!$K$4:$AJ$4,0))))+SUMPRODUCT((Inputs!$C$5:$C$120=$B42)*ISNUMBER(INDEX(Inputs!$K$5:$AJ$120,0,MATCH(AH$2,Inputs!$K$4:$AJ$4,0))))+SUMPRODUCT((Inputs!$E$5:$E$120=$B42)*ISNUMBER(INDEX(Inputs!$K$5:$AJ$120,0,MATCH(AH$2,Inputs!$K$4:$AJ$4,0))))=0,NA(),SUMPRODUCT((Inputs!$A$5:$A$120=$B42)*Inputs!$B$5:$B$120*(((Inputs!$G$5:$G$120="moeda")+(Inputs!$G$5:$G$120="acoes"))*Inputs!$B$1+((Inputs!$G$5:$G$120&lt;&gt;"moeda")*(Inputs!$G$5:$G$120&lt;&gt;"acoes")))*INDEX(Inputs!$K$5:$AJ$120,0,MATCH(AH$2,Inputs!$K$4:$AJ$4,0)))+SUMPRODUCT((Inputs!$C$5:$C$120=$B42)*Inputs!$D$5:$D$120*(((Inputs!$G$5:$G$120="moeda")+(Inputs!$G$5:$G$120="acoes"))*Inputs!$B$1+((Inputs!$G$5:$G$120&lt;&gt;"moeda")*(Inputs!$G$5:$G$120&lt;&gt;"acoes")))*INDEX(Inputs!$K$5:$AJ$120,0,MATCH(AH$2,Inputs!$K$4:$AJ$4,0)))+SUMPRODUCT((Inputs!$E$5:$E$120=$B42)*Inputs!$F$5:$F$120*(((Inputs!$G$5:$G$120="moeda")+(Inputs!$G$5:$G$120="acoes"))*Inputs!$B$1+((Inputs!$G$5:$G$120&lt;&gt;"moeda")*(Inputs!$G$5:$G$120&lt;&gt;"acoes")))*INDEX(Inputs!$K$5:$AJ$120,0,MATCH(AH$2,Inputs!$K$4:$AJ$4,0)))))</f>
        <v>#N/A</v>
      </c>
      <c r="AI42" s="267" t="e">
        <f>IF(ISNA(MATCH(AI$2,Inputs!$K$4:$AJ$4,0)),NA(),IF(SUMPRODUCT((Inputs!$A$5:$A$120=$B42)*ISNUMBER(INDEX(Inputs!$K$5:$AJ$120,0,MATCH(AI$2,Inputs!$K$4:$AJ$4,0))))+SUMPRODUCT((Inputs!$C$5:$C$120=$B42)*ISNUMBER(INDEX(Inputs!$K$5:$AJ$120,0,MATCH(AI$2,Inputs!$K$4:$AJ$4,0))))+SUMPRODUCT((Inputs!$E$5:$E$120=$B42)*ISNUMBER(INDEX(Inputs!$K$5:$AJ$120,0,MATCH(AI$2,Inputs!$K$4:$AJ$4,0))))=0,NA(),SUMPRODUCT((Inputs!$A$5:$A$120=$B42)*Inputs!$B$5:$B$120*(((Inputs!$G$5:$G$120="moeda")+(Inputs!$G$5:$G$120="acoes"))*Inputs!$B$1+((Inputs!$G$5:$G$120&lt;&gt;"moeda")*(Inputs!$G$5:$G$120&lt;&gt;"acoes")))*INDEX(Inputs!$K$5:$AJ$120,0,MATCH(AI$2,Inputs!$K$4:$AJ$4,0)))+SUMPRODUCT((Inputs!$C$5:$C$120=$B42)*Inputs!$D$5:$D$120*(((Inputs!$G$5:$G$120="moeda")+(Inputs!$G$5:$G$120="acoes"))*Inputs!$B$1+((Inputs!$G$5:$G$120&lt;&gt;"moeda")*(Inputs!$G$5:$G$120&lt;&gt;"acoes")))*INDEX(Inputs!$K$5:$AJ$120,0,MATCH(AI$2,Inputs!$K$4:$AJ$4,0)))+SUMPRODUCT((Inputs!$E$5:$E$120=$B42)*Inputs!$F$5:$F$120*(((Inputs!$G$5:$G$120="moeda")+(Inputs!$G$5:$G$120="acoes"))*Inputs!$B$1+((Inputs!$G$5:$G$120&lt;&gt;"moeda")*(Inputs!$G$5:$G$120&lt;&gt;"acoes")))*INDEX(Inputs!$K$5:$AJ$120,0,MATCH(AI$2,Inputs!$K$4:$AJ$4,0)))))</f>
        <v>#N/A</v>
      </c>
      <c r="AJ42" s="267" t="e">
        <f>IF(ISNA(MATCH(AJ$2,Inputs!$K$4:$AJ$4,0)),NA(),IF(SUMPRODUCT((Inputs!$A$5:$A$120=$B42)*ISNUMBER(INDEX(Inputs!$K$5:$AJ$120,0,MATCH(AJ$2,Inputs!$K$4:$AJ$4,0))))+SUMPRODUCT((Inputs!$C$5:$C$120=$B42)*ISNUMBER(INDEX(Inputs!$K$5:$AJ$120,0,MATCH(AJ$2,Inputs!$K$4:$AJ$4,0))))+SUMPRODUCT((Inputs!$E$5:$E$120=$B42)*ISNUMBER(INDEX(Inputs!$K$5:$AJ$120,0,MATCH(AJ$2,Inputs!$K$4:$AJ$4,0))))=0,NA(),SUMPRODUCT((Inputs!$A$5:$A$120=$B42)*Inputs!$B$5:$B$120*(((Inputs!$G$5:$G$120="moeda")+(Inputs!$G$5:$G$120="acoes"))*Inputs!$B$1+((Inputs!$G$5:$G$120&lt;&gt;"moeda")*(Inputs!$G$5:$G$120&lt;&gt;"acoes")))*INDEX(Inputs!$K$5:$AJ$120,0,MATCH(AJ$2,Inputs!$K$4:$AJ$4,0)))+SUMPRODUCT((Inputs!$C$5:$C$120=$B42)*Inputs!$D$5:$D$120*(((Inputs!$G$5:$G$120="moeda")+(Inputs!$G$5:$G$120="acoes"))*Inputs!$B$1+((Inputs!$G$5:$G$120&lt;&gt;"moeda")*(Inputs!$G$5:$G$120&lt;&gt;"acoes")))*INDEX(Inputs!$K$5:$AJ$120,0,MATCH(AJ$2,Inputs!$K$4:$AJ$4,0)))+SUMPRODUCT((Inputs!$E$5:$E$120=$B42)*Inputs!$F$5:$F$120*(((Inputs!$G$5:$G$120="moeda")+(Inputs!$G$5:$G$120="acoes"))*Inputs!$B$1+((Inputs!$G$5:$G$120&lt;&gt;"moeda")*(Inputs!$G$5:$G$120&lt;&gt;"acoes")))*INDEX(Inputs!$K$5:$AJ$120,0,MATCH(AJ$2,Inputs!$K$4:$AJ$4,0)))))</f>
        <v>#N/A</v>
      </c>
      <c r="AK42" s="267" t="e">
        <f>IF(ISNA(MATCH(AK$2,Inputs!$K$4:$AJ$4,0)),NA(),IF(SUMPRODUCT((Inputs!$A$5:$A$120=$B42)*ISNUMBER(INDEX(Inputs!$K$5:$AJ$120,0,MATCH(AK$2,Inputs!$K$4:$AJ$4,0))))+SUMPRODUCT((Inputs!$C$5:$C$120=$B42)*ISNUMBER(INDEX(Inputs!$K$5:$AJ$120,0,MATCH(AK$2,Inputs!$K$4:$AJ$4,0))))+SUMPRODUCT((Inputs!$E$5:$E$120=$B42)*ISNUMBER(INDEX(Inputs!$K$5:$AJ$120,0,MATCH(AK$2,Inputs!$K$4:$AJ$4,0))))=0,NA(),SUMPRODUCT((Inputs!$A$5:$A$120=$B42)*Inputs!$B$5:$B$120*(((Inputs!$G$5:$G$120="moeda")+(Inputs!$G$5:$G$120="acoes"))*Inputs!$B$1+((Inputs!$G$5:$G$120&lt;&gt;"moeda")*(Inputs!$G$5:$G$120&lt;&gt;"acoes")))*INDEX(Inputs!$K$5:$AJ$120,0,MATCH(AK$2,Inputs!$K$4:$AJ$4,0)))+SUMPRODUCT((Inputs!$C$5:$C$120=$B42)*Inputs!$D$5:$D$120*(((Inputs!$G$5:$G$120="moeda")+(Inputs!$G$5:$G$120="acoes"))*Inputs!$B$1+((Inputs!$G$5:$G$120&lt;&gt;"moeda")*(Inputs!$G$5:$G$120&lt;&gt;"acoes")))*INDEX(Inputs!$K$5:$AJ$120,0,MATCH(AK$2,Inputs!$K$4:$AJ$4,0)))+SUMPRODUCT((Inputs!$E$5:$E$120=$B42)*Inputs!$F$5:$F$120*(((Inputs!$G$5:$G$120="moeda")+(Inputs!$G$5:$G$120="acoes"))*Inputs!$B$1+((Inputs!$G$5:$G$120&lt;&gt;"moeda")*(Inputs!$G$5:$G$120&lt;&gt;"acoes")))*INDEX(Inputs!$K$5:$AJ$120,0,MATCH(AK$2,Inputs!$K$4:$AJ$4,0)))))</f>
        <v>#N/A</v>
      </c>
      <c r="AL42" s="268" t="e">
        <f>AK42</f>
        <v>#N/A</v>
      </c>
    </row>
    <row r="43" ht="12.75" customHeight="1" s="255">
      <c r="B43" s="265" t="n">
        <v>37</v>
      </c>
      <c r="C43" s="269" t="inlineStr">
        <is>
          <t>Common Stock and APIC</t>
        </is>
      </c>
      <c r="D43" s="267">
        <f>IF(ISNA(MATCH(D$2,Inputs!$K$4:$AJ$4,0)),NA(),IF(SUMPRODUCT((Inputs!$A$5:$A$120=$B43)*ISNUMBER(INDEX(Inputs!$K$5:$AJ$120,0,MATCH(D$2,Inputs!$K$4:$AJ$4,0))))+SUMPRODUCT((Inputs!$C$5:$C$120=$B43)*ISNUMBER(INDEX(Inputs!$K$5:$AJ$120,0,MATCH(D$2,Inputs!$K$4:$AJ$4,0))))+SUMPRODUCT((Inputs!$E$5:$E$120=$B43)*ISNUMBER(INDEX(Inputs!$K$5:$AJ$120,0,MATCH(D$2,Inputs!$K$4:$AJ$4,0))))=0,NA(),SUMPRODUCT((Inputs!$A$5:$A$120=$B43)*Inputs!$B$5:$B$120*(((Inputs!$G$5:$G$120="moeda")+(Inputs!$G$5:$G$120="acoes"))*Inputs!$B$1+((Inputs!$G$5:$G$120&lt;&gt;"moeda")*(Inputs!$G$5:$G$120&lt;&gt;"acoes")))*INDEX(Inputs!$K$5:$AJ$120,0,MATCH(D$2,Inputs!$K$4:$AJ$4,0)))+SUMPRODUCT((Inputs!$C$5:$C$120=$B43)*Inputs!$D$5:$D$120*(((Inputs!$G$5:$G$120="moeda")+(Inputs!$G$5:$G$120="acoes"))*Inputs!$B$1+((Inputs!$G$5:$G$120&lt;&gt;"moeda")*(Inputs!$G$5:$G$120&lt;&gt;"acoes")))*INDEX(Inputs!$K$5:$AJ$120,0,MATCH(D$2,Inputs!$K$4:$AJ$4,0)))+SUMPRODUCT((Inputs!$E$5:$E$120=$B43)*Inputs!$F$5:$F$120*(((Inputs!$G$5:$G$120="moeda")+(Inputs!$G$5:$G$120="acoes"))*Inputs!$B$1+((Inputs!$G$5:$G$120&lt;&gt;"moeda")*(Inputs!$G$5:$G$120&lt;&gt;"acoes")))*INDEX(Inputs!$K$5:$AJ$120,0,MATCH(D$2,Inputs!$K$4:$AJ$4,0)))))</f>
        <v>26240</v>
      </c>
      <c r="E43" s="267">
        <f>IF(ISNA(MATCH(E$2,Inputs!$K$4:$AJ$4,0)),NA(),IF(SUMPRODUCT((Inputs!$A$5:$A$120=$B43)*ISNUMBER(INDEX(Inputs!$K$5:$AJ$120,0,MATCH(E$2,Inputs!$K$4:$AJ$4,0))))+SUMPRODUCT((Inputs!$C$5:$C$120=$B43)*ISNUMBER(INDEX(Inputs!$K$5:$AJ$120,0,MATCH(E$2,Inputs!$K$4:$AJ$4,0))))+SUMPRODUCT((Inputs!$E$5:$E$120=$B43)*ISNUMBER(INDEX(Inputs!$K$5:$AJ$120,0,MATCH(E$2,Inputs!$K$4:$AJ$4,0))))=0,NA(),SUMPRODUCT((Inputs!$A$5:$A$120=$B43)*Inputs!$B$5:$B$120*(((Inputs!$G$5:$G$120="moeda")+(Inputs!$G$5:$G$120="acoes"))*Inputs!$B$1+((Inputs!$G$5:$G$120&lt;&gt;"moeda")*(Inputs!$G$5:$G$120&lt;&gt;"acoes")))*INDEX(Inputs!$K$5:$AJ$120,0,MATCH(E$2,Inputs!$K$4:$AJ$4,0)))+SUMPRODUCT((Inputs!$C$5:$C$120=$B43)*Inputs!$D$5:$D$120*(((Inputs!$G$5:$G$120="moeda")+(Inputs!$G$5:$G$120="acoes"))*Inputs!$B$1+((Inputs!$G$5:$G$120&lt;&gt;"moeda")*(Inputs!$G$5:$G$120&lt;&gt;"acoes")))*INDEX(Inputs!$K$5:$AJ$120,0,MATCH(E$2,Inputs!$K$4:$AJ$4,0)))+SUMPRODUCT((Inputs!$E$5:$E$120=$B43)*Inputs!$F$5:$F$120*(((Inputs!$G$5:$G$120="moeda")+(Inputs!$G$5:$G$120="acoes"))*Inputs!$B$1+((Inputs!$G$5:$G$120&lt;&gt;"moeda")*(Inputs!$G$5:$G$120&lt;&gt;"acoes")))*INDEX(Inputs!$K$5:$AJ$120,0,MATCH(E$2,Inputs!$K$4:$AJ$4,0)))))</f>
        <v>26244</v>
      </c>
      <c r="F43" s="267">
        <f>IF(ISNA(MATCH(F$2,Inputs!$K$4:$AJ$4,0)),NA(),IF(SUMPRODUCT((Inputs!$A$5:$A$120=$B43)*ISNUMBER(INDEX(Inputs!$K$5:$AJ$120,0,MATCH(F$2,Inputs!$K$4:$AJ$4,0))))+SUMPRODUCT((Inputs!$C$5:$C$120=$B43)*ISNUMBER(INDEX(Inputs!$K$5:$AJ$120,0,MATCH(F$2,Inputs!$K$4:$AJ$4,0))))+SUMPRODUCT((Inputs!$E$5:$E$120=$B43)*ISNUMBER(INDEX(Inputs!$K$5:$AJ$120,0,MATCH(F$2,Inputs!$K$4:$AJ$4,0))))=0,NA(),SUMPRODUCT((Inputs!$A$5:$A$120=$B43)*Inputs!$B$5:$B$120*(((Inputs!$G$5:$G$120="moeda")+(Inputs!$G$5:$G$120="acoes"))*Inputs!$B$1+((Inputs!$G$5:$G$120&lt;&gt;"moeda")*(Inputs!$G$5:$G$120&lt;&gt;"acoes")))*INDEX(Inputs!$K$5:$AJ$120,0,MATCH(F$2,Inputs!$K$4:$AJ$4,0)))+SUMPRODUCT((Inputs!$C$5:$C$120=$B43)*Inputs!$D$5:$D$120*(((Inputs!$G$5:$G$120="moeda")+(Inputs!$G$5:$G$120="acoes"))*Inputs!$B$1+((Inputs!$G$5:$G$120&lt;&gt;"moeda")*(Inputs!$G$5:$G$120&lt;&gt;"acoes")))*INDEX(Inputs!$K$5:$AJ$120,0,MATCH(F$2,Inputs!$K$4:$AJ$4,0)))+SUMPRODUCT((Inputs!$E$5:$E$120=$B43)*Inputs!$F$5:$F$120*(((Inputs!$G$5:$G$120="moeda")+(Inputs!$G$5:$G$120="acoes"))*Inputs!$B$1+((Inputs!$G$5:$G$120&lt;&gt;"moeda")*(Inputs!$G$5:$G$120&lt;&gt;"acoes")))*INDEX(Inputs!$K$5:$AJ$120,0,MATCH(F$2,Inputs!$K$4:$AJ$4,0)))))</f>
        <v>26183</v>
      </c>
      <c r="G43" s="267">
        <f>IF(ISNA(MATCH(G$2,Inputs!$K$4:$AJ$4,0)),NA(),IF(SUMPRODUCT((Inputs!$A$5:$A$120=$B43)*ISNUMBER(INDEX(Inputs!$K$5:$AJ$120,0,MATCH(G$2,Inputs!$K$4:$AJ$4,0))))+SUMPRODUCT((Inputs!$C$5:$C$120=$B43)*ISNUMBER(INDEX(Inputs!$K$5:$AJ$120,0,MATCH(G$2,Inputs!$K$4:$AJ$4,0))))+SUMPRODUCT((Inputs!$E$5:$E$120=$B43)*ISNUMBER(INDEX(Inputs!$K$5:$AJ$120,0,MATCH(G$2,Inputs!$K$4:$AJ$4,0))))=0,NA(),SUMPRODUCT((Inputs!$A$5:$A$120=$B43)*Inputs!$B$5:$B$120*(((Inputs!$G$5:$G$120="moeda")+(Inputs!$G$5:$G$120="acoes"))*Inputs!$B$1+((Inputs!$G$5:$G$120&lt;&gt;"moeda")*(Inputs!$G$5:$G$120&lt;&gt;"acoes")))*INDEX(Inputs!$K$5:$AJ$120,0,MATCH(G$2,Inputs!$K$4:$AJ$4,0)))+SUMPRODUCT((Inputs!$C$5:$C$120=$B43)*Inputs!$D$5:$D$120*(((Inputs!$G$5:$G$120="moeda")+(Inputs!$G$5:$G$120="acoes"))*Inputs!$B$1+((Inputs!$G$5:$G$120&lt;&gt;"moeda")*(Inputs!$G$5:$G$120&lt;&gt;"acoes")))*INDEX(Inputs!$K$5:$AJ$120,0,MATCH(G$2,Inputs!$K$4:$AJ$4,0)))+SUMPRODUCT((Inputs!$E$5:$E$120=$B43)*Inputs!$F$5:$F$120*(((Inputs!$G$5:$G$120="moeda")+(Inputs!$G$5:$G$120="acoes"))*Inputs!$B$1+((Inputs!$G$5:$G$120&lt;&gt;"moeda")*(Inputs!$G$5:$G$120&lt;&gt;"acoes")))*INDEX(Inputs!$K$5:$AJ$120,0,MATCH(G$2,Inputs!$K$4:$AJ$4,0)))))</f>
        <v>26035</v>
      </c>
      <c r="H43" s="268">
        <f>G43</f>
        <v>26035</v>
      </c>
      <c r="I43" s="267">
        <f>IF(ISNA(MATCH(I$2,Inputs!$K$4:$AJ$4,0)),NA(),IF(SUMPRODUCT((Inputs!$A$5:$A$120=$B43)*ISNUMBER(INDEX(Inputs!$K$5:$AJ$120,0,MATCH(I$2,Inputs!$K$4:$AJ$4,0))))+SUMPRODUCT((Inputs!$C$5:$C$120=$B43)*ISNUMBER(INDEX(Inputs!$K$5:$AJ$120,0,MATCH(I$2,Inputs!$K$4:$AJ$4,0))))+SUMPRODUCT((Inputs!$E$5:$E$120=$B43)*ISNUMBER(INDEX(Inputs!$K$5:$AJ$120,0,MATCH(I$2,Inputs!$K$4:$AJ$4,0))))=0,NA(),SUMPRODUCT((Inputs!$A$5:$A$120=$B43)*Inputs!$B$5:$B$120*(((Inputs!$G$5:$G$120="moeda")+(Inputs!$G$5:$G$120="acoes"))*Inputs!$B$1+((Inputs!$G$5:$G$120&lt;&gt;"moeda")*(Inputs!$G$5:$G$120&lt;&gt;"acoes")))*INDEX(Inputs!$K$5:$AJ$120,0,MATCH(I$2,Inputs!$K$4:$AJ$4,0)))+SUMPRODUCT((Inputs!$C$5:$C$120=$B43)*Inputs!$D$5:$D$120*(((Inputs!$G$5:$G$120="moeda")+(Inputs!$G$5:$G$120="acoes"))*Inputs!$B$1+((Inputs!$G$5:$G$120&lt;&gt;"moeda")*(Inputs!$G$5:$G$120&lt;&gt;"acoes")))*INDEX(Inputs!$K$5:$AJ$120,0,MATCH(I$2,Inputs!$K$4:$AJ$4,0)))+SUMPRODUCT((Inputs!$E$5:$E$120=$B43)*Inputs!$F$5:$F$120*(((Inputs!$G$5:$G$120="moeda")+(Inputs!$G$5:$G$120="acoes"))*Inputs!$B$1+((Inputs!$G$5:$G$120&lt;&gt;"moeda")*(Inputs!$G$5:$G$120&lt;&gt;"acoes")))*INDEX(Inputs!$K$5:$AJ$120,0,MATCH(I$2,Inputs!$K$4:$AJ$4,0)))))</f>
        <v>25996</v>
      </c>
      <c r="J43" s="267">
        <f>IF(ISNA(MATCH(J$2,Inputs!$K$4:$AJ$4,0)),NA(),IF(SUMPRODUCT((Inputs!$A$5:$A$120=$B43)*ISNUMBER(INDEX(Inputs!$K$5:$AJ$120,0,MATCH(J$2,Inputs!$K$4:$AJ$4,0))))+SUMPRODUCT((Inputs!$C$5:$C$120=$B43)*ISNUMBER(INDEX(Inputs!$K$5:$AJ$120,0,MATCH(J$2,Inputs!$K$4:$AJ$4,0))))+SUMPRODUCT((Inputs!$E$5:$E$120=$B43)*ISNUMBER(INDEX(Inputs!$K$5:$AJ$120,0,MATCH(J$2,Inputs!$K$4:$AJ$4,0))))=0,NA(),SUMPRODUCT((Inputs!$A$5:$A$120=$B43)*Inputs!$B$5:$B$120*(((Inputs!$G$5:$G$120="moeda")+(Inputs!$G$5:$G$120="acoes"))*Inputs!$B$1+((Inputs!$G$5:$G$120&lt;&gt;"moeda")*(Inputs!$G$5:$G$120&lt;&gt;"acoes")))*INDEX(Inputs!$K$5:$AJ$120,0,MATCH(J$2,Inputs!$K$4:$AJ$4,0)))+SUMPRODUCT((Inputs!$C$5:$C$120=$B43)*Inputs!$D$5:$D$120*(((Inputs!$G$5:$G$120="moeda")+(Inputs!$G$5:$G$120="acoes"))*Inputs!$B$1+((Inputs!$G$5:$G$120&lt;&gt;"moeda")*(Inputs!$G$5:$G$120&lt;&gt;"acoes")))*INDEX(Inputs!$K$5:$AJ$120,0,MATCH(J$2,Inputs!$K$4:$AJ$4,0)))+SUMPRODUCT((Inputs!$E$5:$E$120=$B43)*Inputs!$F$5:$F$120*(((Inputs!$G$5:$G$120="moeda")+(Inputs!$G$5:$G$120="acoes"))*Inputs!$B$1+((Inputs!$G$5:$G$120&lt;&gt;"moeda")*(Inputs!$G$5:$G$120&lt;&gt;"acoes")))*INDEX(Inputs!$K$5:$AJ$120,0,MATCH(J$2,Inputs!$K$4:$AJ$4,0)))))</f>
        <v>25822</v>
      </c>
      <c r="K43" s="267">
        <f>IF(ISNA(MATCH(K$2,Inputs!$K$4:$AJ$4,0)),NA(),IF(SUMPRODUCT((Inputs!$A$5:$A$120=$B43)*ISNUMBER(INDEX(Inputs!$K$5:$AJ$120,0,MATCH(K$2,Inputs!$K$4:$AJ$4,0))))+SUMPRODUCT((Inputs!$C$5:$C$120=$B43)*ISNUMBER(INDEX(Inputs!$K$5:$AJ$120,0,MATCH(K$2,Inputs!$K$4:$AJ$4,0))))+SUMPRODUCT((Inputs!$E$5:$E$120=$B43)*ISNUMBER(INDEX(Inputs!$K$5:$AJ$120,0,MATCH(K$2,Inputs!$K$4:$AJ$4,0))))=0,NA(),SUMPRODUCT((Inputs!$A$5:$A$120=$B43)*Inputs!$B$5:$B$120*(((Inputs!$G$5:$G$120="moeda")+(Inputs!$G$5:$G$120="acoes"))*Inputs!$B$1+((Inputs!$G$5:$G$120&lt;&gt;"moeda")*(Inputs!$G$5:$G$120&lt;&gt;"acoes")))*INDEX(Inputs!$K$5:$AJ$120,0,MATCH(K$2,Inputs!$K$4:$AJ$4,0)))+SUMPRODUCT((Inputs!$C$5:$C$120=$B43)*Inputs!$D$5:$D$120*(((Inputs!$G$5:$G$120="moeda")+(Inputs!$G$5:$G$120="acoes"))*Inputs!$B$1+((Inputs!$G$5:$G$120&lt;&gt;"moeda")*(Inputs!$G$5:$G$120&lt;&gt;"acoes")))*INDEX(Inputs!$K$5:$AJ$120,0,MATCH(K$2,Inputs!$K$4:$AJ$4,0)))+SUMPRODUCT((Inputs!$E$5:$E$120=$B43)*Inputs!$F$5:$F$120*(((Inputs!$G$5:$G$120="moeda")+(Inputs!$G$5:$G$120="acoes"))*Inputs!$B$1+((Inputs!$G$5:$G$120&lt;&gt;"moeda")*(Inputs!$G$5:$G$120&lt;&gt;"acoes")))*INDEX(Inputs!$K$5:$AJ$120,0,MATCH(K$2,Inputs!$K$4:$AJ$4,0)))))</f>
        <v>25644</v>
      </c>
      <c r="L43" s="267">
        <f>IF(ISNA(MATCH(L$2,Inputs!$K$4:$AJ$4,0)),NA(),IF(SUMPRODUCT((Inputs!$A$5:$A$120=$B43)*ISNUMBER(INDEX(Inputs!$K$5:$AJ$120,0,MATCH(L$2,Inputs!$K$4:$AJ$4,0))))+SUMPRODUCT((Inputs!$C$5:$C$120=$B43)*ISNUMBER(INDEX(Inputs!$K$5:$AJ$120,0,MATCH(L$2,Inputs!$K$4:$AJ$4,0))))+SUMPRODUCT((Inputs!$E$5:$E$120=$B43)*ISNUMBER(INDEX(Inputs!$K$5:$AJ$120,0,MATCH(L$2,Inputs!$K$4:$AJ$4,0))))=0,NA(),SUMPRODUCT((Inputs!$A$5:$A$120=$B43)*Inputs!$B$5:$B$120*(((Inputs!$G$5:$G$120="moeda")+(Inputs!$G$5:$G$120="acoes"))*Inputs!$B$1+((Inputs!$G$5:$G$120&lt;&gt;"moeda")*(Inputs!$G$5:$G$120&lt;&gt;"acoes")))*INDEX(Inputs!$K$5:$AJ$120,0,MATCH(L$2,Inputs!$K$4:$AJ$4,0)))+SUMPRODUCT((Inputs!$C$5:$C$120=$B43)*Inputs!$D$5:$D$120*(((Inputs!$G$5:$G$120="moeda")+(Inputs!$G$5:$G$120="acoes"))*Inputs!$B$1+((Inputs!$G$5:$G$120&lt;&gt;"moeda")*(Inputs!$G$5:$G$120&lt;&gt;"acoes")))*INDEX(Inputs!$K$5:$AJ$120,0,MATCH(L$2,Inputs!$K$4:$AJ$4,0)))+SUMPRODUCT((Inputs!$E$5:$E$120=$B43)*Inputs!$F$5:$F$120*(((Inputs!$G$5:$G$120="moeda")+(Inputs!$G$5:$G$120="acoes"))*Inputs!$B$1+((Inputs!$G$5:$G$120&lt;&gt;"moeda")*(Inputs!$G$5:$G$120&lt;&gt;"acoes")))*INDEX(Inputs!$K$5:$AJ$120,0,MATCH(L$2,Inputs!$K$4:$AJ$4,0)))))</f>
        <v>25483</v>
      </c>
      <c r="M43" s="268">
        <f>L43</f>
        <v>25483</v>
      </c>
      <c r="N43" s="267">
        <f>IF(ISNA(MATCH(N$2,Inputs!$K$4:$AJ$4,0)),NA(),IF(SUMPRODUCT((Inputs!$A$5:$A$120=$B43)*ISNUMBER(INDEX(Inputs!$K$5:$AJ$120,0,MATCH(N$2,Inputs!$K$4:$AJ$4,0))))+SUMPRODUCT((Inputs!$C$5:$C$120=$B43)*ISNUMBER(INDEX(Inputs!$K$5:$AJ$120,0,MATCH(N$2,Inputs!$K$4:$AJ$4,0))))+SUMPRODUCT((Inputs!$E$5:$E$120=$B43)*ISNUMBER(INDEX(Inputs!$K$5:$AJ$120,0,MATCH(N$2,Inputs!$K$4:$AJ$4,0))))=0,NA(),SUMPRODUCT((Inputs!$A$5:$A$120=$B43)*Inputs!$B$5:$B$120*(((Inputs!$G$5:$G$120="moeda")+(Inputs!$G$5:$G$120="acoes"))*Inputs!$B$1+((Inputs!$G$5:$G$120&lt;&gt;"moeda")*(Inputs!$G$5:$G$120&lt;&gt;"acoes")))*INDEX(Inputs!$K$5:$AJ$120,0,MATCH(N$2,Inputs!$K$4:$AJ$4,0)))+SUMPRODUCT((Inputs!$C$5:$C$120=$B43)*Inputs!$D$5:$D$120*(((Inputs!$G$5:$G$120="moeda")+(Inputs!$G$5:$G$120="acoes"))*Inputs!$B$1+((Inputs!$G$5:$G$120&lt;&gt;"moeda")*(Inputs!$G$5:$G$120&lt;&gt;"acoes")))*INDEX(Inputs!$K$5:$AJ$120,0,MATCH(N$2,Inputs!$K$4:$AJ$4,0)))+SUMPRODUCT((Inputs!$E$5:$E$120=$B43)*Inputs!$F$5:$F$120*(((Inputs!$G$5:$G$120="moeda")+(Inputs!$G$5:$G$120="acoes"))*Inputs!$B$1+((Inputs!$G$5:$G$120&lt;&gt;"moeda")*(Inputs!$G$5:$G$120&lt;&gt;"acoes")))*INDEX(Inputs!$K$5:$AJ$120,0,MATCH(N$2,Inputs!$K$4:$AJ$4,0)))))</f>
        <v>25389</v>
      </c>
      <c r="O43" s="267">
        <f>IF(ISNA(MATCH(O$2,Inputs!$K$4:$AJ$4,0)),NA(),IF(SUMPRODUCT((Inputs!$A$5:$A$120=$B43)*ISNUMBER(INDEX(Inputs!$K$5:$AJ$120,0,MATCH(O$2,Inputs!$K$4:$AJ$4,0))))+SUMPRODUCT((Inputs!$C$5:$C$120=$B43)*ISNUMBER(INDEX(Inputs!$K$5:$AJ$120,0,MATCH(O$2,Inputs!$K$4:$AJ$4,0))))+SUMPRODUCT((Inputs!$E$5:$E$120=$B43)*ISNUMBER(INDEX(Inputs!$K$5:$AJ$120,0,MATCH(O$2,Inputs!$K$4:$AJ$4,0))))=0,NA(),SUMPRODUCT((Inputs!$A$5:$A$120=$B43)*Inputs!$B$5:$B$120*(((Inputs!$G$5:$G$120="moeda")+(Inputs!$G$5:$G$120="acoes"))*Inputs!$B$1+((Inputs!$G$5:$G$120&lt;&gt;"moeda")*(Inputs!$G$5:$G$120&lt;&gt;"acoes")))*INDEX(Inputs!$K$5:$AJ$120,0,MATCH(O$2,Inputs!$K$4:$AJ$4,0)))+SUMPRODUCT((Inputs!$C$5:$C$120=$B43)*Inputs!$D$5:$D$120*(((Inputs!$G$5:$G$120="moeda")+(Inputs!$G$5:$G$120="acoes"))*Inputs!$B$1+((Inputs!$G$5:$G$120&lt;&gt;"moeda")*(Inputs!$G$5:$G$120&lt;&gt;"acoes")))*INDEX(Inputs!$K$5:$AJ$120,0,MATCH(O$2,Inputs!$K$4:$AJ$4,0)))+SUMPRODUCT((Inputs!$E$5:$E$120=$B43)*Inputs!$F$5:$F$120*(((Inputs!$G$5:$G$120="moeda")+(Inputs!$G$5:$G$120="acoes"))*Inputs!$B$1+((Inputs!$G$5:$G$120&lt;&gt;"moeda")*(Inputs!$G$5:$G$120&lt;&gt;"acoes")))*INDEX(Inputs!$K$5:$AJ$120,0,MATCH(O$2,Inputs!$K$4:$AJ$4,0)))))</f>
        <v>25190</v>
      </c>
      <c r="P43" s="267">
        <f>IF(ISNA(MATCH(P$2,Inputs!$K$4:$AJ$4,0)),NA(),IF(SUMPRODUCT((Inputs!$A$5:$A$120=$B43)*ISNUMBER(INDEX(Inputs!$K$5:$AJ$120,0,MATCH(P$2,Inputs!$K$4:$AJ$4,0))))+SUMPRODUCT((Inputs!$C$5:$C$120=$B43)*ISNUMBER(INDEX(Inputs!$K$5:$AJ$120,0,MATCH(P$2,Inputs!$K$4:$AJ$4,0))))+SUMPRODUCT((Inputs!$E$5:$E$120=$B43)*ISNUMBER(INDEX(Inputs!$K$5:$AJ$120,0,MATCH(P$2,Inputs!$K$4:$AJ$4,0))))=0,NA(),SUMPRODUCT((Inputs!$A$5:$A$120=$B43)*Inputs!$B$5:$B$120*(((Inputs!$G$5:$G$120="moeda")+(Inputs!$G$5:$G$120="acoes"))*Inputs!$B$1+((Inputs!$G$5:$G$120&lt;&gt;"moeda")*(Inputs!$G$5:$G$120&lt;&gt;"acoes")))*INDEX(Inputs!$K$5:$AJ$120,0,MATCH(P$2,Inputs!$K$4:$AJ$4,0)))+SUMPRODUCT((Inputs!$C$5:$C$120=$B43)*Inputs!$D$5:$D$120*(((Inputs!$G$5:$G$120="moeda")+(Inputs!$G$5:$G$120="acoes"))*Inputs!$B$1+((Inputs!$G$5:$G$120&lt;&gt;"moeda")*(Inputs!$G$5:$G$120&lt;&gt;"acoes")))*INDEX(Inputs!$K$5:$AJ$120,0,MATCH(P$2,Inputs!$K$4:$AJ$4,0)))+SUMPRODUCT((Inputs!$E$5:$E$120=$B43)*Inputs!$F$5:$F$120*(((Inputs!$G$5:$G$120="moeda")+(Inputs!$G$5:$G$120="acoes"))*Inputs!$B$1+((Inputs!$G$5:$G$120&lt;&gt;"moeda")*(Inputs!$G$5:$G$120&lt;&gt;"acoes")))*INDEX(Inputs!$K$5:$AJ$120,0,MATCH(P$2,Inputs!$K$4:$AJ$4,0)))))</f>
        <v>24995</v>
      </c>
      <c r="Q43" s="267">
        <f>IF(ISNA(MATCH(Q$2,Inputs!$K$4:$AJ$4,0)),NA(),IF(SUMPRODUCT((Inputs!$A$5:$A$120=$B43)*ISNUMBER(INDEX(Inputs!$K$5:$AJ$120,0,MATCH(Q$2,Inputs!$K$4:$AJ$4,0))))+SUMPRODUCT((Inputs!$C$5:$C$120=$B43)*ISNUMBER(INDEX(Inputs!$K$5:$AJ$120,0,MATCH(Q$2,Inputs!$K$4:$AJ$4,0))))+SUMPRODUCT((Inputs!$E$5:$E$120=$B43)*ISNUMBER(INDEX(Inputs!$K$5:$AJ$120,0,MATCH(Q$2,Inputs!$K$4:$AJ$4,0))))=0,NA(),SUMPRODUCT((Inputs!$A$5:$A$120=$B43)*Inputs!$B$5:$B$120*(((Inputs!$G$5:$G$120="moeda")+(Inputs!$G$5:$G$120="acoes"))*Inputs!$B$1+((Inputs!$G$5:$G$120&lt;&gt;"moeda")*(Inputs!$G$5:$G$120&lt;&gt;"acoes")))*INDEX(Inputs!$K$5:$AJ$120,0,MATCH(Q$2,Inputs!$K$4:$AJ$4,0)))+SUMPRODUCT((Inputs!$C$5:$C$120=$B43)*Inputs!$D$5:$D$120*(((Inputs!$G$5:$G$120="moeda")+(Inputs!$G$5:$G$120="acoes"))*Inputs!$B$1+((Inputs!$G$5:$G$120&lt;&gt;"moeda")*(Inputs!$G$5:$G$120&lt;&gt;"acoes")))*INDEX(Inputs!$K$5:$AJ$120,0,MATCH(Q$2,Inputs!$K$4:$AJ$4,0)))+SUMPRODUCT((Inputs!$E$5:$E$120=$B43)*Inputs!$F$5:$F$120*(((Inputs!$G$5:$G$120="moeda")+(Inputs!$G$5:$G$120="acoes"))*Inputs!$B$1+((Inputs!$G$5:$G$120&lt;&gt;"moeda")*(Inputs!$G$5:$G$120&lt;&gt;"acoes")))*INDEX(Inputs!$K$5:$AJ$120,0,MATCH(Q$2,Inputs!$K$4:$AJ$4,0)))))</f>
        <v>24799</v>
      </c>
      <c r="R43" s="268">
        <f>Q43</f>
        <v>24799</v>
      </c>
      <c r="S43" s="267">
        <f>IF(ISNA(MATCH(S$2,Inputs!$K$4:$AJ$4,0)),NA(),IF(SUMPRODUCT((Inputs!$A$5:$A$120=$B43)*ISNUMBER(INDEX(Inputs!$K$5:$AJ$120,0,MATCH(S$2,Inputs!$K$4:$AJ$4,0))))+SUMPRODUCT((Inputs!$C$5:$C$120=$B43)*ISNUMBER(INDEX(Inputs!$K$5:$AJ$120,0,MATCH(S$2,Inputs!$K$4:$AJ$4,0))))+SUMPRODUCT((Inputs!$E$5:$E$120=$B43)*ISNUMBER(INDEX(Inputs!$K$5:$AJ$120,0,MATCH(S$2,Inputs!$K$4:$AJ$4,0))))=0,NA(),SUMPRODUCT((Inputs!$A$5:$A$120=$B43)*Inputs!$B$5:$B$120*(((Inputs!$G$5:$G$120="moeda")+(Inputs!$G$5:$G$120="acoes"))*Inputs!$B$1+((Inputs!$G$5:$G$120&lt;&gt;"moeda")*(Inputs!$G$5:$G$120&lt;&gt;"acoes")))*INDEX(Inputs!$K$5:$AJ$120,0,MATCH(S$2,Inputs!$K$4:$AJ$4,0)))+SUMPRODUCT((Inputs!$C$5:$C$120=$B43)*Inputs!$D$5:$D$120*(((Inputs!$G$5:$G$120="moeda")+(Inputs!$G$5:$G$120="acoes"))*Inputs!$B$1+((Inputs!$G$5:$G$120&lt;&gt;"moeda")*(Inputs!$G$5:$G$120&lt;&gt;"acoes")))*INDEX(Inputs!$K$5:$AJ$120,0,MATCH(S$2,Inputs!$K$4:$AJ$4,0)))+SUMPRODUCT((Inputs!$E$5:$E$120=$B43)*Inputs!$F$5:$F$120*(((Inputs!$G$5:$G$120="moeda")+(Inputs!$G$5:$G$120="acoes"))*Inputs!$B$1+((Inputs!$G$5:$G$120&lt;&gt;"moeda")*(Inputs!$G$5:$G$120&lt;&gt;"acoes")))*INDEX(Inputs!$K$5:$AJ$120,0,MATCH(S$2,Inputs!$K$4:$AJ$4,0)))))</f>
        <v>24650</v>
      </c>
      <c r="T43" s="267">
        <f>IF(ISNA(MATCH(T$2,Inputs!$K$4:$AJ$4,0)),NA(),IF(SUMPRODUCT((Inputs!$A$5:$A$120=$B43)*ISNUMBER(INDEX(Inputs!$K$5:$AJ$120,0,MATCH(T$2,Inputs!$K$4:$AJ$4,0))))+SUMPRODUCT((Inputs!$C$5:$C$120=$B43)*ISNUMBER(INDEX(Inputs!$K$5:$AJ$120,0,MATCH(T$2,Inputs!$K$4:$AJ$4,0))))+SUMPRODUCT((Inputs!$E$5:$E$120=$B43)*ISNUMBER(INDEX(Inputs!$K$5:$AJ$120,0,MATCH(T$2,Inputs!$K$4:$AJ$4,0))))=0,NA(),SUMPRODUCT((Inputs!$A$5:$A$120=$B43)*Inputs!$B$5:$B$120*(((Inputs!$G$5:$G$120="moeda")+(Inputs!$G$5:$G$120="acoes"))*Inputs!$B$1+((Inputs!$G$5:$G$120&lt;&gt;"moeda")*(Inputs!$G$5:$G$120&lt;&gt;"acoes")))*INDEX(Inputs!$K$5:$AJ$120,0,MATCH(T$2,Inputs!$K$4:$AJ$4,0)))+SUMPRODUCT((Inputs!$C$5:$C$120=$B43)*Inputs!$D$5:$D$120*(((Inputs!$G$5:$G$120="moeda")+(Inputs!$G$5:$G$120="acoes"))*Inputs!$B$1+((Inputs!$G$5:$G$120&lt;&gt;"moeda")*(Inputs!$G$5:$G$120&lt;&gt;"acoes")))*INDEX(Inputs!$K$5:$AJ$120,0,MATCH(T$2,Inputs!$K$4:$AJ$4,0)))+SUMPRODUCT((Inputs!$E$5:$E$120=$B43)*Inputs!$F$5:$F$120*(((Inputs!$G$5:$G$120="moeda")+(Inputs!$G$5:$G$120="acoes"))*Inputs!$B$1+((Inputs!$G$5:$G$120&lt;&gt;"moeda")*(Inputs!$G$5:$G$120&lt;&gt;"acoes")))*INDEX(Inputs!$K$5:$AJ$120,0,MATCH(T$2,Inputs!$K$4:$AJ$4,0)))))</f>
        <v>24483</v>
      </c>
      <c r="U43" s="267">
        <f>IF(ISNA(MATCH(U$2,Inputs!$K$4:$AJ$4,0)),NA(),IF(SUMPRODUCT((Inputs!$A$5:$A$120=$B43)*ISNUMBER(INDEX(Inputs!$K$5:$AJ$120,0,MATCH(U$2,Inputs!$K$4:$AJ$4,0))))+SUMPRODUCT((Inputs!$C$5:$C$120=$B43)*ISNUMBER(INDEX(Inputs!$K$5:$AJ$120,0,MATCH(U$2,Inputs!$K$4:$AJ$4,0))))+SUMPRODUCT((Inputs!$E$5:$E$120=$B43)*ISNUMBER(INDEX(Inputs!$K$5:$AJ$120,0,MATCH(U$2,Inputs!$K$4:$AJ$4,0))))=0,NA(),SUMPRODUCT((Inputs!$A$5:$A$120=$B43)*Inputs!$B$5:$B$120*(((Inputs!$G$5:$G$120="moeda")+(Inputs!$G$5:$G$120="acoes"))*Inputs!$B$1+((Inputs!$G$5:$G$120&lt;&gt;"moeda")*(Inputs!$G$5:$G$120&lt;&gt;"acoes")))*INDEX(Inputs!$K$5:$AJ$120,0,MATCH(U$2,Inputs!$K$4:$AJ$4,0)))+SUMPRODUCT((Inputs!$C$5:$C$120=$B43)*Inputs!$D$5:$D$120*(((Inputs!$G$5:$G$120="moeda")+(Inputs!$G$5:$G$120="acoes"))*Inputs!$B$1+((Inputs!$G$5:$G$120&lt;&gt;"moeda")*(Inputs!$G$5:$G$120&lt;&gt;"acoes")))*INDEX(Inputs!$K$5:$AJ$120,0,MATCH(U$2,Inputs!$K$4:$AJ$4,0)))+SUMPRODUCT((Inputs!$E$5:$E$120=$B43)*Inputs!$F$5:$F$120*(((Inputs!$G$5:$G$120="moeda")+(Inputs!$G$5:$G$120="acoes"))*Inputs!$B$1+((Inputs!$G$5:$G$120&lt;&gt;"moeda")*(Inputs!$G$5:$G$120&lt;&gt;"acoes")))*INDEX(Inputs!$K$5:$AJ$120,0,MATCH(U$2,Inputs!$K$4:$AJ$4,0)))))</f>
        <v>24159</v>
      </c>
      <c r="V43" s="267">
        <f>IF(ISNA(MATCH(V$2,Inputs!$K$4:$AJ$4,0)),NA(),IF(SUMPRODUCT((Inputs!$A$5:$A$120=$B43)*ISNUMBER(INDEX(Inputs!$K$5:$AJ$120,0,MATCH(V$2,Inputs!$K$4:$AJ$4,0))))+SUMPRODUCT((Inputs!$C$5:$C$120=$B43)*ISNUMBER(INDEX(Inputs!$K$5:$AJ$120,0,MATCH(V$2,Inputs!$K$4:$AJ$4,0))))+SUMPRODUCT((Inputs!$E$5:$E$120=$B43)*ISNUMBER(INDEX(Inputs!$K$5:$AJ$120,0,MATCH(V$2,Inputs!$K$4:$AJ$4,0))))=0,NA(),SUMPRODUCT((Inputs!$A$5:$A$120=$B43)*Inputs!$B$5:$B$120*(((Inputs!$G$5:$G$120="moeda")+(Inputs!$G$5:$G$120="acoes"))*Inputs!$B$1+((Inputs!$G$5:$G$120&lt;&gt;"moeda")*(Inputs!$G$5:$G$120&lt;&gt;"acoes")))*INDEX(Inputs!$K$5:$AJ$120,0,MATCH(V$2,Inputs!$K$4:$AJ$4,0)))+SUMPRODUCT((Inputs!$C$5:$C$120=$B43)*Inputs!$D$5:$D$120*(((Inputs!$G$5:$G$120="moeda")+(Inputs!$G$5:$G$120="acoes"))*Inputs!$B$1+((Inputs!$G$5:$G$120&lt;&gt;"moeda")*(Inputs!$G$5:$G$120&lt;&gt;"acoes")))*INDEX(Inputs!$K$5:$AJ$120,0,MATCH(V$2,Inputs!$K$4:$AJ$4,0)))+SUMPRODUCT((Inputs!$E$5:$E$120=$B43)*Inputs!$F$5:$F$120*(((Inputs!$G$5:$G$120="moeda")+(Inputs!$G$5:$G$120="acoes"))*Inputs!$B$1+((Inputs!$G$5:$G$120&lt;&gt;"moeda")*(Inputs!$G$5:$G$120&lt;&gt;"acoes")))*INDEX(Inputs!$K$5:$AJ$120,0,MATCH(V$2,Inputs!$K$4:$AJ$4,0)))))</f>
        <v>23959</v>
      </c>
      <c r="W43" s="268">
        <f>V43</f>
        <v>23959</v>
      </c>
      <c r="X43" s="267">
        <f>IF(ISNA(MATCH(X$2,Inputs!$K$4:$AJ$4,0)),NA(),IF(SUMPRODUCT((Inputs!$A$5:$A$120=$B43)*ISNUMBER(INDEX(Inputs!$K$5:$AJ$120,0,MATCH(X$2,Inputs!$K$4:$AJ$4,0))))+SUMPRODUCT((Inputs!$C$5:$C$120=$B43)*ISNUMBER(INDEX(Inputs!$K$5:$AJ$120,0,MATCH(X$2,Inputs!$K$4:$AJ$4,0))))+SUMPRODUCT((Inputs!$E$5:$E$120=$B43)*ISNUMBER(INDEX(Inputs!$K$5:$AJ$120,0,MATCH(X$2,Inputs!$K$4:$AJ$4,0))))=0,NA(),SUMPRODUCT((Inputs!$A$5:$A$120=$B43)*Inputs!$B$5:$B$120*(((Inputs!$G$5:$G$120="moeda")+(Inputs!$G$5:$G$120="acoes"))*Inputs!$B$1+((Inputs!$G$5:$G$120&lt;&gt;"moeda")*(Inputs!$G$5:$G$120&lt;&gt;"acoes")))*INDEX(Inputs!$K$5:$AJ$120,0,MATCH(X$2,Inputs!$K$4:$AJ$4,0)))+SUMPRODUCT((Inputs!$C$5:$C$120=$B43)*Inputs!$D$5:$D$120*(((Inputs!$G$5:$G$120="moeda")+(Inputs!$G$5:$G$120="acoes"))*Inputs!$B$1+((Inputs!$G$5:$G$120&lt;&gt;"moeda")*(Inputs!$G$5:$G$120&lt;&gt;"acoes")))*INDEX(Inputs!$K$5:$AJ$120,0,MATCH(X$2,Inputs!$K$4:$AJ$4,0)))+SUMPRODUCT((Inputs!$E$5:$E$120=$B43)*Inputs!$F$5:$F$120*(((Inputs!$G$5:$G$120="moeda")+(Inputs!$G$5:$G$120="acoes"))*Inputs!$B$1+((Inputs!$G$5:$G$120&lt;&gt;"moeda")*(Inputs!$G$5:$G$120&lt;&gt;"acoes")))*INDEX(Inputs!$K$5:$AJ$120,0,MATCH(X$2,Inputs!$K$4:$AJ$4,0)))))</f>
        <v>23790</v>
      </c>
      <c r="Y43" s="267">
        <f>IF(ISNA(MATCH(Y$2,Inputs!$K$4:$AJ$4,0)),NA(),IF(SUMPRODUCT((Inputs!$A$5:$A$120=$B43)*ISNUMBER(INDEX(Inputs!$K$5:$AJ$120,0,MATCH(Y$2,Inputs!$K$4:$AJ$4,0))))+SUMPRODUCT((Inputs!$C$5:$C$120=$B43)*ISNUMBER(INDEX(Inputs!$K$5:$AJ$120,0,MATCH(Y$2,Inputs!$K$4:$AJ$4,0))))+SUMPRODUCT((Inputs!$E$5:$E$120=$B43)*ISNUMBER(INDEX(Inputs!$K$5:$AJ$120,0,MATCH(Y$2,Inputs!$K$4:$AJ$4,0))))=0,NA(),SUMPRODUCT((Inputs!$A$5:$A$120=$B43)*Inputs!$B$5:$B$120*(((Inputs!$G$5:$G$120="moeda")+(Inputs!$G$5:$G$120="acoes"))*Inputs!$B$1+((Inputs!$G$5:$G$120&lt;&gt;"moeda")*(Inputs!$G$5:$G$120&lt;&gt;"acoes")))*INDEX(Inputs!$K$5:$AJ$120,0,MATCH(Y$2,Inputs!$K$4:$AJ$4,0)))+SUMPRODUCT((Inputs!$C$5:$C$120=$B43)*Inputs!$D$5:$D$120*(((Inputs!$G$5:$G$120="moeda")+(Inputs!$G$5:$G$120="acoes"))*Inputs!$B$1+((Inputs!$G$5:$G$120&lt;&gt;"moeda")*(Inputs!$G$5:$G$120&lt;&gt;"acoes")))*INDEX(Inputs!$K$5:$AJ$120,0,MATCH(Y$2,Inputs!$K$4:$AJ$4,0)))+SUMPRODUCT((Inputs!$E$5:$E$120=$B43)*Inputs!$F$5:$F$120*(((Inputs!$G$5:$G$120="moeda")+(Inputs!$G$5:$G$120="acoes"))*Inputs!$B$1+((Inputs!$G$5:$G$120&lt;&gt;"moeda")*(Inputs!$G$5:$G$120&lt;&gt;"acoes")))*INDEX(Inputs!$K$5:$AJ$120,0,MATCH(Y$2,Inputs!$K$4:$AJ$4,0)))))</f>
        <v>23805</v>
      </c>
      <c r="Z43" s="267">
        <f>IF(ISNA(MATCH(Z$2,Inputs!$K$4:$AJ$4,0)),NA(),IF(SUMPRODUCT((Inputs!$A$5:$A$120=$B43)*ISNUMBER(INDEX(Inputs!$K$5:$AJ$120,0,MATCH(Z$2,Inputs!$K$4:$AJ$4,0))))+SUMPRODUCT((Inputs!$C$5:$C$120=$B43)*ISNUMBER(INDEX(Inputs!$K$5:$AJ$120,0,MATCH(Z$2,Inputs!$K$4:$AJ$4,0))))+SUMPRODUCT((Inputs!$E$5:$E$120=$B43)*ISNUMBER(INDEX(Inputs!$K$5:$AJ$120,0,MATCH(Z$2,Inputs!$K$4:$AJ$4,0))))=0,NA(),SUMPRODUCT((Inputs!$A$5:$A$120=$B43)*Inputs!$B$5:$B$120*(((Inputs!$G$5:$G$120="moeda")+(Inputs!$G$5:$G$120="acoes"))*Inputs!$B$1+((Inputs!$G$5:$G$120&lt;&gt;"moeda")*(Inputs!$G$5:$G$120&lt;&gt;"acoes")))*INDEX(Inputs!$K$5:$AJ$120,0,MATCH(Z$2,Inputs!$K$4:$AJ$4,0)))+SUMPRODUCT((Inputs!$C$5:$C$120=$B43)*Inputs!$D$5:$D$120*(((Inputs!$G$5:$G$120="moeda")+(Inputs!$G$5:$G$120="acoes"))*Inputs!$B$1+((Inputs!$G$5:$G$120&lt;&gt;"moeda")*(Inputs!$G$5:$G$120&lt;&gt;"acoes")))*INDEX(Inputs!$K$5:$AJ$120,0,MATCH(Z$2,Inputs!$K$4:$AJ$4,0)))+SUMPRODUCT((Inputs!$E$5:$E$120=$B43)*Inputs!$F$5:$F$120*(((Inputs!$G$5:$G$120="moeda")+(Inputs!$G$5:$G$120="acoes"))*Inputs!$B$1+((Inputs!$G$5:$G$120&lt;&gt;"moeda")*(Inputs!$G$5:$G$120&lt;&gt;"acoes")))*INDEX(Inputs!$K$5:$AJ$120,0,MATCH(Z$2,Inputs!$K$4:$AJ$4,0)))))</f>
        <v>23823</v>
      </c>
      <c r="AA43" s="267">
        <f>IF(ISNA(MATCH(AA$2,Inputs!$K$4:$AJ$4,0)),NA(),IF(SUMPRODUCT((Inputs!$A$5:$A$120=$B43)*ISNUMBER(INDEX(Inputs!$K$5:$AJ$120,0,MATCH(AA$2,Inputs!$K$4:$AJ$4,0))))+SUMPRODUCT((Inputs!$C$5:$C$120=$B43)*ISNUMBER(INDEX(Inputs!$K$5:$AJ$120,0,MATCH(AA$2,Inputs!$K$4:$AJ$4,0))))+SUMPRODUCT((Inputs!$E$5:$E$120=$B43)*ISNUMBER(INDEX(Inputs!$K$5:$AJ$120,0,MATCH(AA$2,Inputs!$K$4:$AJ$4,0))))=0,NA(),SUMPRODUCT((Inputs!$A$5:$A$120=$B43)*Inputs!$B$5:$B$120*(((Inputs!$G$5:$G$120="moeda")+(Inputs!$G$5:$G$120="acoes"))*Inputs!$B$1+((Inputs!$G$5:$G$120&lt;&gt;"moeda")*(Inputs!$G$5:$G$120&lt;&gt;"acoes")))*INDEX(Inputs!$K$5:$AJ$120,0,MATCH(AA$2,Inputs!$K$4:$AJ$4,0)))+SUMPRODUCT((Inputs!$C$5:$C$120=$B43)*Inputs!$D$5:$D$120*(((Inputs!$G$5:$G$120="moeda")+(Inputs!$G$5:$G$120="acoes"))*Inputs!$B$1+((Inputs!$G$5:$G$120&lt;&gt;"moeda")*(Inputs!$G$5:$G$120&lt;&gt;"acoes")))*INDEX(Inputs!$K$5:$AJ$120,0,MATCH(AA$2,Inputs!$K$4:$AJ$4,0)))+SUMPRODUCT((Inputs!$E$5:$E$120=$B43)*Inputs!$F$5:$F$120*(((Inputs!$G$5:$G$120="moeda")+(Inputs!$G$5:$G$120="acoes"))*Inputs!$B$1+((Inputs!$G$5:$G$120&lt;&gt;"moeda")*(Inputs!$G$5:$G$120&lt;&gt;"acoes")))*INDEX(Inputs!$K$5:$AJ$120,0,MATCH(AA$2,Inputs!$K$4:$AJ$4,0)))))</f>
        <v>23843</v>
      </c>
      <c r="AB43" s="268">
        <f>AA43</f>
        <v>23843</v>
      </c>
      <c r="AC43" s="267">
        <f>IF(ISNA(MATCH(AC$2,Inputs!$K$4:$AJ$4,0)),NA(),IF(SUMPRODUCT((Inputs!$A$5:$A$120=$B43)*ISNUMBER(INDEX(Inputs!$K$5:$AJ$120,0,MATCH(AC$2,Inputs!$K$4:$AJ$4,0))))+SUMPRODUCT((Inputs!$C$5:$C$120=$B43)*ISNUMBER(INDEX(Inputs!$K$5:$AJ$120,0,MATCH(AC$2,Inputs!$K$4:$AJ$4,0))))+SUMPRODUCT((Inputs!$E$5:$E$120=$B43)*ISNUMBER(INDEX(Inputs!$K$5:$AJ$120,0,MATCH(AC$2,Inputs!$K$4:$AJ$4,0))))=0,NA(),SUMPRODUCT((Inputs!$A$5:$A$120=$B43)*Inputs!$B$5:$B$120*(((Inputs!$G$5:$G$120="moeda")+(Inputs!$G$5:$G$120="acoes"))*Inputs!$B$1+((Inputs!$G$5:$G$120&lt;&gt;"moeda")*(Inputs!$G$5:$G$120&lt;&gt;"acoes")))*INDEX(Inputs!$K$5:$AJ$120,0,MATCH(AC$2,Inputs!$K$4:$AJ$4,0)))+SUMPRODUCT((Inputs!$C$5:$C$120=$B43)*Inputs!$D$5:$D$120*(((Inputs!$G$5:$G$120="moeda")+(Inputs!$G$5:$G$120="acoes"))*Inputs!$B$1+((Inputs!$G$5:$G$120&lt;&gt;"moeda")*(Inputs!$G$5:$G$120&lt;&gt;"acoes")))*INDEX(Inputs!$K$5:$AJ$120,0,MATCH(AC$2,Inputs!$K$4:$AJ$4,0)))+SUMPRODUCT((Inputs!$E$5:$E$120=$B43)*Inputs!$F$5:$F$120*(((Inputs!$G$5:$G$120="moeda")+(Inputs!$G$5:$G$120="acoes"))*Inputs!$B$1+((Inputs!$G$5:$G$120&lt;&gt;"moeda")*(Inputs!$G$5:$G$120&lt;&gt;"acoes")))*INDEX(Inputs!$K$5:$AJ$120,0,MATCH(AC$2,Inputs!$K$4:$AJ$4,0)))))</f>
        <v>23876</v>
      </c>
      <c r="AD43" s="267">
        <f>IF(ISNA(MATCH(AD$2,Inputs!$K$4:$AJ$4,0)),NA(),IF(SUMPRODUCT((Inputs!$A$5:$A$120=$B43)*ISNUMBER(INDEX(Inputs!$K$5:$AJ$120,0,MATCH(AD$2,Inputs!$K$4:$AJ$4,0))))+SUMPRODUCT((Inputs!$C$5:$C$120=$B43)*ISNUMBER(INDEX(Inputs!$K$5:$AJ$120,0,MATCH(AD$2,Inputs!$K$4:$AJ$4,0))))+SUMPRODUCT((Inputs!$E$5:$E$120=$B43)*ISNUMBER(INDEX(Inputs!$K$5:$AJ$120,0,MATCH(AD$2,Inputs!$K$4:$AJ$4,0))))=0,NA(),SUMPRODUCT((Inputs!$A$5:$A$120=$B43)*Inputs!$B$5:$B$120*(((Inputs!$G$5:$G$120="moeda")+(Inputs!$G$5:$G$120="acoes"))*Inputs!$B$1+((Inputs!$G$5:$G$120&lt;&gt;"moeda")*(Inputs!$G$5:$G$120&lt;&gt;"acoes")))*INDEX(Inputs!$K$5:$AJ$120,0,MATCH(AD$2,Inputs!$K$4:$AJ$4,0)))+SUMPRODUCT((Inputs!$C$5:$C$120=$B43)*Inputs!$D$5:$D$120*(((Inputs!$G$5:$G$120="moeda")+(Inputs!$G$5:$G$120="acoes"))*Inputs!$B$1+((Inputs!$G$5:$G$120&lt;&gt;"moeda")*(Inputs!$G$5:$G$120&lt;&gt;"acoes")))*INDEX(Inputs!$K$5:$AJ$120,0,MATCH(AD$2,Inputs!$K$4:$AJ$4,0)))+SUMPRODUCT((Inputs!$E$5:$E$120=$B43)*Inputs!$F$5:$F$120*(((Inputs!$G$5:$G$120="moeda")+(Inputs!$G$5:$G$120="acoes"))*Inputs!$B$1+((Inputs!$G$5:$G$120&lt;&gt;"moeda")*(Inputs!$G$5:$G$120&lt;&gt;"acoes")))*INDEX(Inputs!$K$5:$AJ$120,0,MATCH(AD$2,Inputs!$K$4:$AJ$4,0)))))</f>
        <v>23822</v>
      </c>
      <c r="AE43" s="267" t="e">
        <f>IF(ISNA(MATCH(AE$2,Inputs!$K$4:$AJ$4,0)),NA(),IF(SUMPRODUCT((Inputs!$A$5:$A$120=$B43)*ISNUMBER(INDEX(Inputs!$K$5:$AJ$120,0,MATCH(AE$2,Inputs!$K$4:$AJ$4,0))))+SUMPRODUCT((Inputs!$C$5:$C$120=$B43)*ISNUMBER(INDEX(Inputs!$K$5:$AJ$120,0,MATCH(AE$2,Inputs!$K$4:$AJ$4,0))))+SUMPRODUCT((Inputs!$E$5:$E$120=$B43)*ISNUMBER(INDEX(Inputs!$K$5:$AJ$120,0,MATCH(AE$2,Inputs!$K$4:$AJ$4,0))))=0,NA(),SUMPRODUCT((Inputs!$A$5:$A$120=$B43)*Inputs!$B$5:$B$120*(((Inputs!$G$5:$G$120="moeda")+(Inputs!$G$5:$G$120="acoes"))*Inputs!$B$1+((Inputs!$G$5:$G$120&lt;&gt;"moeda")*(Inputs!$G$5:$G$120&lt;&gt;"acoes")))*INDEX(Inputs!$K$5:$AJ$120,0,MATCH(AE$2,Inputs!$K$4:$AJ$4,0)))+SUMPRODUCT((Inputs!$C$5:$C$120=$B43)*Inputs!$D$5:$D$120*(((Inputs!$G$5:$G$120="moeda")+(Inputs!$G$5:$G$120="acoes"))*Inputs!$B$1+((Inputs!$G$5:$G$120&lt;&gt;"moeda")*(Inputs!$G$5:$G$120&lt;&gt;"acoes")))*INDEX(Inputs!$K$5:$AJ$120,0,MATCH(AE$2,Inputs!$K$4:$AJ$4,0)))+SUMPRODUCT((Inputs!$E$5:$E$120=$B43)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3" s="267" t="e">
        <f>IF(ISNA(MATCH(AF$2,Inputs!$K$4:$AJ$4,0)),NA(),IF(SUMPRODUCT((Inputs!$A$5:$A$120=$B43)*ISNUMBER(INDEX(Inputs!$K$5:$AJ$120,0,MATCH(AF$2,Inputs!$K$4:$AJ$4,0))))+SUMPRODUCT((Inputs!$C$5:$C$120=$B43)*ISNUMBER(INDEX(Inputs!$K$5:$AJ$120,0,MATCH(AF$2,Inputs!$K$4:$AJ$4,0))))+SUMPRODUCT((Inputs!$E$5:$E$120=$B43)*ISNUMBER(INDEX(Inputs!$K$5:$AJ$120,0,MATCH(AF$2,Inputs!$K$4:$AJ$4,0))))=0,NA(),SUMPRODUCT((Inputs!$A$5:$A$120=$B43)*Inputs!$B$5:$B$120*(((Inputs!$G$5:$G$120="moeda")+(Inputs!$G$5:$G$120="acoes"))*Inputs!$B$1+((Inputs!$G$5:$G$120&lt;&gt;"moeda")*(Inputs!$G$5:$G$120&lt;&gt;"acoes")))*INDEX(Inputs!$K$5:$AJ$120,0,MATCH(AF$2,Inputs!$K$4:$AJ$4,0)))+SUMPRODUCT((Inputs!$C$5:$C$120=$B43)*Inputs!$D$5:$D$120*(((Inputs!$G$5:$G$120="moeda")+(Inputs!$G$5:$G$120="acoes"))*Inputs!$B$1+((Inputs!$G$5:$G$120&lt;&gt;"moeda")*(Inputs!$G$5:$G$120&lt;&gt;"acoes")))*INDEX(Inputs!$K$5:$AJ$120,0,MATCH(AF$2,Inputs!$K$4:$AJ$4,0)))+SUMPRODUCT((Inputs!$E$5:$E$120=$B43)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3" s="268" t="e">
        <f>AF43</f>
        <v>#N/A</v>
      </c>
      <c r="AH43" s="267">
        <f>IF(ISNA(MATCH(AH$2,Inputs!$K$4:$AJ$4,0)),NA(),IF(SUMPRODUCT((Inputs!$A$5:$A$120=$B43)*ISNUMBER(INDEX(Inputs!$K$5:$AJ$120,0,MATCH(AH$2,Inputs!$K$4:$AJ$4,0))))+SUMPRODUCT((Inputs!$C$5:$C$120=$B43)*ISNUMBER(INDEX(Inputs!$K$5:$AJ$120,0,MATCH(AH$2,Inputs!$K$4:$AJ$4,0))))+SUMPRODUCT((Inputs!$E$5:$E$120=$B43)*ISNUMBER(INDEX(Inputs!$K$5:$AJ$120,0,MATCH(AH$2,Inputs!$K$4:$AJ$4,0))))=0,NA(),SUMPRODUCT((Inputs!$A$5:$A$120=$B43)*Inputs!$B$5:$B$120*(((Inputs!$G$5:$G$120="moeda")+(Inputs!$G$5:$G$120="acoes"))*Inputs!$B$1+((Inputs!$G$5:$G$120&lt;&gt;"moeda")*(Inputs!$G$5:$G$120&lt;&gt;"acoes")))*INDEX(Inputs!$K$5:$AJ$120,0,MATCH(AH$2,Inputs!$K$4:$AJ$4,0)))+SUMPRODUCT((Inputs!$C$5:$C$120=$B43)*Inputs!$D$5:$D$120*(((Inputs!$G$5:$G$120="moeda")+(Inputs!$G$5:$G$120="acoes"))*Inputs!$B$1+((Inputs!$G$5:$G$120&lt;&gt;"moeda")*(Inputs!$G$5:$G$120&lt;&gt;"acoes")))*INDEX(Inputs!$K$5:$AJ$120,0,MATCH(AH$2,Inputs!$K$4:$AJ$4,0)))+SUMPRODUCT((Inputs!$E$5:$E$120=$B43)*Inputs!$F$5:$F$120*(((Inputs!$G$5:$G$120="moeda")+(Inputs!$G$5:$G$120="acoes"))*Inputs!$B$1+((Inputs!$G$5:$G$120&lt;&gt;"moeda")*(Inputs!$G$5:$G$120&lt;&gt;"acoes")))*INDEX(Inputs!$K$5:$AJ$120,0,MATCH(AH$2,Inputs!$K$4:$AJ$4,0)))))</f>
        <v>26033</v>
      </c>
      <c r="AI43" s="267">
        <f>IF(ISNA(MATCH(AI$2,Inputs!$K$4:$AJ$4,0)),NA(),IF(SUMPRODUCT((Inputs!$A$5:$A$120=$B43)*ISNUMBER(INDEX(Inputs!$K$5:$AJ$120,0,MATCH(AI$2,Inputs!$K$4:$AJ$4,0))))+SUMPRODUCT((Inputs!$C$5:$C$120=$B43)*ISNUMBER(INDEX(Inputs!$K$5:$AJ$120,0,MATCH(AI$2,Inputs!$K$4:$AJ$4,0))))+SUMPRODUCT((Inputs!$E$5:$E$120=$B43)*ISNUMBER(INDEX(Inputs!$K$5:$AJ$120,0,MATCH(AI$2,Inputs!$K$4:$AJ$4,0))))=0,NA(),SUMPRODUCT((Inputs!$A$5:$A$120=$B43)*Inputs!$B$5:$B$120*(((Inputs!$G$5:$G$120="moeda")+(Inputs!$G$5:$G$120="acoes"))*Inputs!$B$1+((Inputs!$G$5:$G$120&lt;&gt;"moeda")*(Inputs!$G$5:$G$120&lt;&gt;"acoes")))*INDEX(Inputs!$K$5:$AJ$120,0,MATCH(AI$2,Inputs!$K$4:$AJ$4,0)))+SUMPRODUCT((Inputs!$C$5:$C$120=$B43)*Inputs!$D$5:$D$120*(((Inputs!$G$5:$G$120="moeda")+(Inputs!$G$5:$G$120="acoes"))*Inputs!$B$1+((Inputs!$G$5:$G$120&lt;&gt;"moeda")*(Inputs!$G$5:$G$120&lt;&gt;"acoes")))*INDEX(Inputs!$K$5:$AJ$120,0,MATCH(AI$2,Inputs!$K$4:$AJ$4,0)))+SUMPRODUCT((Inputs!$E$5:$E$120=$B43)*Inputs!$F$5:$F$120*(((Inputs!$G$5:$G$120="moeda")+(Inputs!$G$5:$G$120="acoes"))*Inputs!$B$1+((Inputs!$G$5:$G$120&lt;&gt;"moeda")*(Inputs!$G$5:$G$120&lt;&gt;"acoes")))*INDEX(Inputs!$K$5:$AJ$120,0,MATCH(AI$2,Inputs!$K$4:$AJ$4,0)))))</f>
        <v>26063</v>
      </c>
      <c r="AJ43" s="267">
        <f>IF(ISNA(MATCH(AJ$2,Inputs!$K$4:$AJ$4,0)),NA(),IF(SUMPRODUCT((Inputs!$A$5:$A$120=$B43)*ISNUMBER(INDEX(Inputs!$K$5:$AJ$120,0,MATCH(AJ$2,Inputs!$K$4:$AJ$4,0))))+SUMPRODUCT((Inputs!$C$5:$C$120=$B43)*ISNUMBER(INDEX(Inputs!$K$5:$AJ$120,0,MATCH(AJ$2,Inputs!$K$4:$AJ$4,0))))+SUMPRODUCT((Inputs!$E$5:$E$120=$B43)*ISNUMBER(INDEX(Inputs!$K$5:$AJ$120,0,MATCH(AJ$2,Inputs!$K$4:$AJ$4,0))))=0,NA(),SUMPRODUCT((Inputs!$A$5:$A$120=$B43)*Inputs!$B$5:$B$120*(((Inputs!$G$5:$G$120="moeda")+(Inputs!$G$5:$G$120="acoes"))*Inputs!$B$1+((Inputs!$G$5:$G$120&lt;&gt;"moeda")*(Inputs!$G$5:$G$120&lt;&gt;"acoes")))*INDEX(Inputs!$K$5:$AJ$120,0,MATCH(AJ$2,Inputs!$K$4:$AJ$4,0)))+SUMPRODUCT((Inputs!$C$5:$C$120=$B43)*Inputs!$D$5:$D$120*(((Inputs!$G$5:$G$120="moeda")+(Inputs!$G$5:$G$120="acoes"))*Inputs!$B$1+((Inputs!$G$5:$G$120&lt;&gt;"moeda")*(Inputs!$G$5:$G$120&lt;&gt;"acoes")))*INDEX(Inputs!$K$5:$AJ$120,0,MATCH(AJ$2,Inputs!$K$4:$AJ$4,0)))+SUMPRODUCT((Inputs!$E$5:$E$120=$B43)*Inputs!$F$5:$F$120*(((Inputs!$G$5:$G$120="moeda")+(Inputs!$G$5:$G$120="acoes"))*Inputs!$B$1+((Inputs!$G$5:$G$120&lt;&gt;"moeda")*(Inputs!$G$5:$G$120&lt;&gt;"acoes")))*INDEX(Inputs!$K$5:$AJ$120,0,MATCH(AJ$2,Inputs!$K$4:$AJ$4,0)))))</f>
        <v>26092</v>
      </c>
      <c r="AK43" s="267">
        <f>IF(ISNA(MATCH(AK$2,Inputs!$K$4:$AJ$4,0)),NA(),IF(SUMPRODUCT((Inputs!$A$5:$A$120=$B43)*ISNUMBER(INDEX(Inputs!$K$5:$AJ$120,0,MATCH(AK$2,Inputs!$K$4:$AJ$4,0))))+SUMPRODUCT((Inputs!$C$5:$C$120=$B43)*ISNUMBER(INDEX(Inputs!$K$5:$AJ$120,0,MATCH(AK$2,Inputs!$K$4:$AJ$4,0))))+SUMPRODUCT((Inputs!$E$5:$E$120=$B43)*ISNUMBER(INDEX(Inputs!$K$5:$AJ$120,0,MATCH(AK$2,Inputs!$K$4:$AJ$4,0))))=0,NA(),SUMPRODUCT((Inputs!$A$5:$A$120=$B43)*Inputs!$B$5:$B$120*(((Inputs!$G$5:$G$120="moeda")+(Inputs!$G$5:$G$120="acoes"))*Inputs!$B$1+((Inputs!$G$5:$G$120&lt;&gt;"moeda")*(Inputs!$G$5:$G$120&lt;&gt;"acoes")))*INDEX(Inputs!$K$5:$AJ$120,0,MATCH(AK$2,Inputs!$K$4:$AJ$4,0)))+SUMPRODUCT((Inputs!$C$5:$C$120=$B43)*Inputs!$D$5:$D$120*(((Inputs!$G$5:$G$120="moeda")+(Inputs!$G$5:$G$120="acoes"))*Inputs!$B$1+((Inputs!$G$5:$G$120&lt;&gt;"moeda")*(Inputs!$G$5:$G$120&lt;&gt;"acoes")))*INDEX(Inputs!$K$5:$AJ$120,0,MATCH(AK$2,Inputs!$K$4:$AJ$4,0)))+SUMPRODUCT((Inputs!$E$5:$E$120=$B43)*Inputs!$F$5:$F$120*(((Inputs!$G$5:$G$120="moeda")+(Inputs!$G$5:$G$120="acoes"))*Inputs!$B$1+((Inputs!$G$5:$G$120&lt;&gt;"moeda")*(Inputs!$G$5:$G$120&lt;&gt;"acoes")))*INDEX(Inputs!$K$5:$AJ$120,0,MATCH(AK$2,Inputs!$K$4:$AJ$4,0)))))</f>
        <v>26196</v>
      </c>
      <c r="AL43" s="268">
        <f>AK43</f>
        <v>26196</v>
      </c>
    </row>
    <row r="44" ht="12.75" customHeight="1" s="255">
      <c r="B44" s="265" t="n">
        <v>38</v>
      </c>
      <c r="C44" s="270" t="inlineStr">
        <is>
          <t>Treasury stock (contra account)</t>
        </is>
      </c>
      <c r="D44" s="267">
        <f>IF(ISNA(MATCH(D$2,Inputs!$K$4:$AJ$4,0)),NA(),IF(SUMPRODUCT((Inputs!$A$5:$A$120=$B44)*ISNUMBER(INDEX(Inputs!$K$5:$AJ$120,0,MATCH(D$2,Inputs!$K$4:$AJ$4,0))))+SUMPRODUCT((Inputs!$C$5:$C$120=$B44)*ISNUMBER(INDEX(Inputs!$K$5:$AJ$120,0,MATCH(D$2,Inputs!$K$4:$AJ$4,0))))+SUMPRODUCT((Inputs!$E$5:$E$120=$B44)*ISNUMBER(INDEX(Inputs!$K$5:$AJ$120,0,MATCH(D$2,Inputs!$K$4:$AJ$4,0))))=0,NA(),SUMPRODUCT((Inputs!$A$5:$A$120=$B44)*Inputs!$B$5:$B$120*(((Inputs!$G$5:$G$120="moeda")+(Inputs!$G$5:$G$120="acoes"))*Inputs!$B$1+((Inputs!$G$5:$G$120&lt;&gt;"moeda")*(Inputs!$G$5:$G$120&lt;&gt;"acoes")))*INDEX(Inputs!$K$5:$AJ$120,0,MATCH(D$2,Inputs!$K$4:$AJ$4,0)))+SUMPRODUCT((Inputs!$C$5:$C$120=$B44)*Inputs!$D$5:$D$120*(((Inputs!$G$5:$G$120="moeda")+(Inputs!$G$5:$G$120="acoes"))*Inputs!$B$1+((Inputs!$G$5:$G$120&lt;&gt;"moeda")*(Inputs!$G$5:$G$120&lt;&gt;"acoes")))*INDEX(Inputs!$K$5:$AJ$120,0,MATCH(D$2,Inputs!$K$4:$AJ$4,0)))+SUMPRODUCT((Inputs!$E$5:$E$120=$B44)*Inputs!$F$5:$F$120*(((Inputs!$G$5:$G$120="moeda")+(Inputs!$G$5:$G$120="acoes"))*Inputs!$B$1+((Inputs!$G$5:$G$120&lt;&gt;"moeda")*(Inputs!$G$5:$G$120&lt;&gt;"acoes")))*INDEX(Inputs!$K$5:$AJ$120,0,MATCH(D$2,Inputs!$K$4:$AJ$4,0)))))</f>
        <v>-3777</v>
      </c>
      <c r="E44" s="267">
        <f>IF(ISNA(MATCH(E$2,Inputs!$K$4:$AJ$4,0)),NA(),IF(SUMPRODUCT((Inputs!$A$5:$A$120=$B44)*ISNUMBER(INDEX(Inputs!$K$5:$AJ$120,0,MATCH(E$2,Inputs!$K$4:$AJ$4,0))))+SUMPRODUCT((Inputs!$C$5:$C$120=$B44)*ISNUMBER(INDEX(Inputs!$K$5:$AJ$120,0,MATCH(E$2,Inputs!$K$4:$AJ$4,0))))+SUMPRODUCT((Inputs!$E$5:$E$120=$B44)*ISNUMBER(INDEX(Inputs!$K$5:$AJ$120,0,MATCH(E$2,Inputs!$K$4:$AJ$4,0))))=0,NA(),SUMPRODUCT((Inputs!$A$5:$A$120=$B44)*Inputs!$B$5:$B$120*(((Inputs!$G$5:$G$120="moeda")+(Inputs!$G$5:$G$120="acoes"))*Inputs!$B$1+((Inputs!$G$5:$G$120&lt;&gt;"moeda")*(Inputs!$G$5:$G$120&lt;&gt;"acoes")))*INDEX(Inputs!$K$5:$AJ$120,0,MATCH(E$2,Inputs!$K$4:$AJ$4,0)))+SUMPRODUCT((Inputs!$C$5:$C$120=$B44)*Inputs!$D$5:$D$120*(((Inputs!$G$5:$G$120="moeda")+(Inputs!$G$5:$G$120="acoes"))*Inputs!$B$1+((Inputs!$G$5:$G$120&lt;&gt;"moeda")*(Inputs!$G$5:$G$120&lt;&gt;"acoes")))*INDEX(Inputs!$K$5:$AJ$120,0,MATCH(E$2,Inputs!$K$4:$AJ$4,0)))+SUMPRODUCT((Inputs!$E$5:$E$120=$B44)*Inputs!$F$5:$F$120*(((Inputs!$G$5:$G$120="moeda")+(Inputs!$G$5:$G$120="acoes"))*Inputs!$B$1+((Inputs!$G$5:$G$120&lt;&gt;"moeda")*(Inputs!$G$5:$G$120&lt;&gt;"acoes")))*INDEX(Inputs!$K$5:$AJ$120,0,MATCH(E$2,Inputs!$K$4:$AJ$4,0)))))</f>
        <v>-3777</v>
      </c>
      <c r="F44" s="267">
        <f>IF(ISNA(MATCH(F$2,Inputs!$K$4:$AJ$4,0)),NA(),IF(SUMPRODUCT((Inputs!$A$5:$A$120=$B44)*ISNUMBER(INDEX(Inputs!$K$5:$AJ$120,0,MATCH(F$2,Inputs!$K$4:$AJ$4,0))))+SUMPRODUCT((Inputs!$C$5:$C$120=$B44)*ISNUMBER(INDEX(Inputs!$K$5:$AJ$120,0,MATCH(F$2,Inputs!$K$4:$AJ$4,0))))+SUMPRODUCT((Inputs!$E$5:$E$120=$B44)*ISNUMBER(INDEX(Inputs!$K$5:$AJ$120,0,MATCH(F$2,Inputs!$K$4:$AJ$4,0))))=0,NA(),SUMPRODUCT((Inputs!$A$5:$A$120=$B44)*Inputs!$B$5:$B$120*(((Inputs!$G$5:$G$120="moeda")+(Inputs!$G$5:$G$120="acoes"))*Inputs!$B$1+((Inputs!$G$5:$G$120&lt;&gt;"moeda")*(Inputs!$G$5:$G$120&lt;&gt;"acoes")))*INDEX(Inputs!$K$5:$AJ$120,0,MATCH(F$2,Inputs!$K$4:$AJ$4,0)))+SUMPRODUCT((Inputs!$C$5:$C$120=$B44)*Inputs!$D$5:$D$120*(((Inputs!$G$5:$G$120="moeda")+(Inputs!$G$5:$G$120="acoes"))*Inputs!$B$1+((Inputs!$G$5:$G$120&lt;&gt;"moeda")*(Inputs!$G$5:$G$120&lt;&gt;"acoes")))*INDEX(Inputs!$K$5:$AJ$120,0,MATCH(F$2,Inputs!$K$4:$AJ$4,0)))+SUMPRODUCT((Inputs!$E$5:$E$120=$B44)*Inputs!$F$5:$F$120*(((Inputs!$G$5:$G$120="moeda")+(Inputs!$G$5:$G$120="acoes"))*Inputs!$B$1+((Inputs!$G$5:$G$120&lt;&gt;"moeda")*(Inputs!$G$5:$G$120&lt;&gt;"acoes")))*INDEX(Inputs!$K$5:$AJ$120,0,MATCH(F$2,Inputs!$K$4:$AJ$4,0)))))</f>
        <v>-3777</v>
      </c>
      <c r="G44" s="267">
        <f>IF(ISNA(MATCH(G$2,Inputs!$K$4:$AJ$4,0)),NA(),IF(SUMPRODUCT((Inputs!$A$5:$A$120=$B44)*ISNUMBER(INDEX(Inputs!$K$5:$AJ$120,0,MATCH(G$2,Inputs!$K$4:$AJ$4,0))))+SUMPRODUCT((Inputs!$C$5:$C$120=$B44)*ISNUMBER(INDEX(Inputs!$K$5:$AJ$120,0,MATCH(G$2,Inputs!$K$4:$AJ$4,0))))+SUMPRODUCT((Inputs!$E$5:$E$120=$B44)*ISNUMBER(INDEX(Inputs!$K$5:$AJ$120,0,MATCH(G$2,Inputs!$K$4:$AJ$4,0))))=0,NA(),SUMPRODUCT((Inputs!$A$5:$A$120=$B44)*Inputs!$B$5:$B$120*(((Inputs!$G$5:$G$120="moeda")+(Inputs!$G$5:$G$120="acoes"))*Inputs!$B$1+((Inputs!$G$5:$G$120&lt;&gt;"moeda")*(Inputs!$G$5:$G$120&lt;&gt;"acoes")))*INDEX(Inputs!$K$5:$AJ$120,0,MATCH(G$2,Inputs!$K$4:$AJ$4,0)))+SUMPRODUCT((Inputs!$C$5:$C$120=$B44)*Inputs!$D$5:$D$120*(((Inputs!$G$5:$G$120="moeda")+(Inputs!$G$5:$G$120="acoes"))*Inputs!$B$1+((Inputs!$G$5:$G$120&lt;&gt;"moeda")*(Inputs!$G$5:$G$120&lt;&gt;"acoes")))*INDEX(Inputs!$K$5:$AJ$120,0,MATCH(G$2,Inputs!$K$4:$AJ$4,0)))+SUMPRODUCT((Inputs!$E$5:$E$120=$B44)*Inputs!$F$5:$F$120*(((Inputs!$G$5:$G$120="moeda")+(Inputs!$G$5:$G$120="acoes"))*Inputs!$B$1+((Inputs!$G$5:$G$120&lt;&gt;"moeda")*(Inputs!$G$5:$G$120&lt;&gt;"acoes")))*INDEX(Inputs!$K$5:$AJ$120,0,MATCH(G$2,Inputs!$K$4:$AJ$4,0)))))</f>
        <v>-4292</v>
      </c>
      <c r="H44" s="268">
        <f>G44</f>
        <v>-4292</v>
      </c>
      <c r="I44" s="267">
        <f>IF(ISNA(MATCH(I$2,Inputs!$K$4:$AJ$4,0)),NA(),IF(SUMPRODUCT((Inputs!$A$5:$A$120=$B44)*ISNUMBER(INDEX(Inputs!$K$5:$AJ$120,0,MATCH(I$2,Inputs!$K$4:$AJ$4,0))))+SUMPRODUCT((Inputs!$C$5:$C$120=$B44)*ISNUMBER(INDEX(Inputs!$K$5:$AJ$120,0,MATCH(I$2,Inputs!$K$4:$AJ$4,0))))+SUMPRODUCT((Inputs!$E$5:$E$120=$B44)*ISNUMBER(INDEX(Inputs!$K$5:$AJ$120,0,MATCH(I$2,Inputs!$K$4:$AJ$4,0))))=0,NA(),SUMPRODUCT((Inputs!$A$5:$A$120=$B44)*Inputs!$B$5:$B$120*(((Inputs!$G$5:$G$120="moeda")+(Inputs!$G$5:$G$120="acoes"))*Inputs!$B$1+((Inputs!$G$5:$G$120&lt;&gt;"moeda")*(Inputs!$G$5:$G$120&lt;&gt;"acoes")))*INDEX(Inputs!$K$5:$AJ$120,0,MATCH(I$2,Inputs!$K$4:$AJ$4,0)))+SUMPRODUCT((Inputs!$C$5:$C$120=$B44)*Inputs!$D$5:$D$120*(((Inputs!$G$5:$G$120="moeda")+(Inputs!$G$5:$G$120="acoes"))*Inputs!$B$1+((Inputs!$G$5:$G$120&lt;&gt;"moeda")*(Inputs!$G$5:$G$120&lt;&gt;"acoes")))*INDEX(Inputs!$K$5:$AJ$120,0,MATCH(I$2,Inputs!$K$4:$AJ$4,0)))+SUMPRODUCT((Inputs!$E$5:$E$120=$B44)*Inputs!$F$5:$F$120*(((Inputs!$G$5:$G$120="moeda")+(Inputs!$G$5:$G$120="acoes"))*Inputs!$B$1+((Inputs!$G$5:$G$120&lt;&gt;"moeda")*(Inputs!$G$5:$G$120&lt;&gt;"acoes")))*INDEX(Inputs!$K$5:$AJ$120,0,MATCH(I$2,Inputs!$K$4:$AJ$4,0)))))</f>
        <v>-4895</v>
      </c>
      <c r="J44" s="267">
        <f>IF(ISNA(MATCH(J$2,Inputs!$K$4:$AJ$4,0)),NA(),IF(SUMPRODUCT((Inputs!$A$5:$A$120=$B44)*ISNUMBER(INDEX(Inputs!$K$5:$AJ$120,0,MATCH(J$2,Inputs!$K$4:$AJ$4,0))))+SUMPRODUCT((Inputs!$C$5:$C$120=$B44)*ISNUMBER(INDEX(Inputs!$K$5:$AJ$120,0,MATCH(J$2,Inputs!$K$4:$AJ$4,0))))+SUMPRODUCT((Inputs!$E$5:$E$120=$B44)*ISNUMBER(INDEX(Inputs!$K$5:$AJ$120,0,MATCH(J$2,Inputs!$K$4:$AJ$4,0))))=0,NA(),SUMPRODUCT((Inputs!$A$5:$A$120=$B44)*Inputs!$B$5:$B$120*(((Inputs!$G$5:$G$120="moeda")+(Inputs!$G$5:$G$120="acoes"))*Inputs!$B$1+((Inputs!$G$5:$G$120&lt;&gt;"moeda")*(Inputs!$G$5:$G$120&lt;&gt;"acoes")))*INDEX(Inputs!$K$5:$AJ$120,0,MATCH(J$2,Inputs!$K$4:$AJ$4,0)))+SUMPRODUCT((Inputs!$C$5:$C$120=$B44)*Inputs!$D$5:$D$120*(((Inputs!$G$5:$G$120="moeda")+(Inputs!$G$5:$G$120="acoes"))*Inputs!$B$1+((Inputs!$G$5:$G$120&lt;&gt;"moeda")*(Inputs!$G$5:$G$120&lt;&gt;"acoes")))*INDEX(Inputs!$K$5:$AJ$120,0,MATCH(J$2,Inputs!$K$4:$AJ$4,0)))+SUMPRODUCT((Inputs!$E$5:$E$120=$B44)*Inputs!$F$5:$F$120*(((Inputs!$G$5:$G$120="moeda")+(Inputs!$G$5:$G$120="acoes"))*Inputs!$B$1+((Inputs!$G$5:$G$120&lt;&gt;"moeda")*(Inputs!$G$5:$G$120&lt;&gt;"acoes")))*INDEX(Inputs!$K$5:$AJ$120,0,MATCH(J$2,Inputs!$K$4:$AJ$4,0)))))</f>
        <v>-5539</v>
      </c>
      <c r="K44" s="267">
        <f>IF(ISNA(MATCH(K$2,Inputs!$K$4:$AJ$4,0)),NA(),IF(SUMPRODUCT((Inputs!$A$5:$A$120=$B44)*ISNUMBER(INDEX(Inputs!$K$5:$AJ$120,0,MATCH(K$2,Inputs!$K$4:$AJ$4,0))))+SUMPRODUCT((Inputs!$C$5:$C$120=$B44)*ISNUMBER(INDEX(Inputs!$K$5:$AJ$120,0,MATCH(K$2,Inputs!$K$4:$AJ$4,0))))+SUMPRODUCT((Inputs!$E$5:$E$120=$B44)*ISNUMBER(INDEX(Inputs!$K$5:$AJ$120,0,MATCH(K$2,Inputs!$K$4:$AJ$4,0))))=0,NA(),SUMPRODUCT((Inputs!$A$5:$A$120=$B44)*Inputs!$B$5:$B$120*(((Inputs!$G$5:$G$120="moeda")+(Inputs!$G$5:$G$120="acoes"))*Inputs!$B$1+((Inputs!$G$5:$G$120&lt;&gt;"moeda")*(Inputs!$G$5:$G$120&lt;&gt;"acoes")))*INDEX(Inputs!$K$5:$AJ$120,0,MATCH(K$2,Inputs!$K$4:$AJ$4,0)))+SUMPRODUCT((Inputs!$C$5:$C$120=$B44)*Inputs!$D$5:$D$120*(((Inputs!$G$5:$G$120="moeda")+(Inputs!$G$5:$G$120="acoes"))*Inputs!$B$1+((Inputs!$G$5:$G$120&lt;&gt;"moeda")*(Inputs!$G$5:$G$120&lt;&gt;"acoes")))*INDEX(Inputs!$K$5:$AJ$120,0,MATCH(K$2,Inputs!$K$4:$AJ$4,0)))+SUMPRODUCT((Inputs!$E$5:$E$120=$B44)*Inputs!$F$5:$F$120*(((Inputs!$G$5:$G$120="moeda")+(Inputs!$G$5:$G$120="acoes"))*Inputs!$B$1+((Inputs!$G$5:$G$120&lt;&gt;"moeda")*(Inputs!$G$5:$G$120&lt;&gt;"acoes")))*INDEX(Inputs!$K$5:$AJ$120,0,MATCH(K$2,Inputs!$K$4:$AJ$4,0)))))</f>
        <v>-5701</v>
      </c>
      <c r="L44" s="267">
        <f>IF(ISNA(MATCH(L$2,Inputs!$K$4:$AJ$4,0)),NA(),IF(SUMPRODUCT((Inputs!$A$5:$A$120=$B44)*ISNUMBER(INDEX(Inputs!$K$5:$AJ$120,0,MATCH(L$2,Inputs!$K$4:$AJ$4,0))))+SUMPRODUCT((Inputs!$C$5:$C$120=$B44)*ISNUMBER(INDEX(Inputs!$K$5:$AJ$120,0,MATCH(L$2,Inputs!$K$4:$AJ$4,0))))+SUMPRODUCT((Inputs!$E$5:$E$120=$B44)*ISNUMBER(INDEX(Inputs!$K$5:$AJ$120,0,MATCH(L$2,Inputs!$K$4:$AJ$4,0))))=0,NA(),SUMPRODUCT((Inputs!$A$5:$A$120=$B44)*Inputs!$B$5:$B$120*(((Inputs!$G$5:$G$120="moeda")+(Inputs!$G$5:$G$120="acoes"))*Inputs!$B$1+((Inputs!$G$5:$G$120&lt;&gt;"moeda")*(Inputs!$G$5:$G$120&lt;&gt;"acoes")))*INDEX(Inputs!$K$5:$AJ$120,0,MATCH(L$2,Inputs!$K$4:$AJ$4,0)))+SUMPRODUCT((Inputs!$C$5:$C$120=$B44)*Inputs!$D$5:$D$120*(((Inputs!$G$5:$G$120="moeda")+(Inputs!$G$5:$G$120="acoes"))*Inputs!$B$1+((Inputs!$G$5:$G$120&lt;&gt;"moeda")*(Inputs!$G$5:$G$120&lt;&gt;"acoes")))*INDEX(Inputs!$K$5:$AJ$120,0,MATCH(L$2,Inputs!$K$4:$AJ$4,0)))+SUMPRODUCT((Inputs!$E$5:$E$120=$B44)*Inputs!$F$5:$F$120*(((Inputs!$G$5:$G$120="moeda")+(Inputs!$G$5:$G$120="acoes"))*Inputs!$B$1+((Inputs!$G$5:$G$120&lt;&gt;"moeda")*(Inputs!$G$5:$G$120&lt;&gt;"acoes")))*INDEX(Inputs!$K$5:$AJ$120,0,MATCH(L$2,Inputs!$K$4:$AJ$4,0)))))</f>
        <v>-5701</v>
      </c>
      <c r="M44" s="268">
        <f>L44</f>
        <v>-5701</v>
      </c>
      <c r="N44" s="267">
        <f>IF(ISNA(MATCH(N$2,Inputs!$K$4:$AJ$4,0)),NA(),IF(SUMPRODUCT((Inputs!$A$5:$A$120=$B44)*ISNUMBER(INDEX(Inputs!$K$5:$AJ$120,0,MATCH(N$2,Inputs!$K$4:$AJ$4,0))))+SUMPRODUCT((Inputs!$C$5:$C$120=$B44)*ISNUMBER(INDEX(Inputs!$K$5:$AJ$120,0,MATCH(N$2,Inputs!$K$4:$AJ$4,0))))+SUMPRODUCT((Inputs!$E$5:$E$120=$B44)*ISNUMBER(INDEX(Inputs!$K$5:$AJ$120,0,MATCH(N$2,Inputs!$K$4:$AJ$4,0))))=0,NA(),SUMPRODUCT((Inputs!$A$5:$A$120=$B44)*Inputs!$B$5:$B$120*(((Inputs!$G$5:$G$120="moeda")+(Inputs!$G$5:$G$120="acoes"))*Inputs!$B$1+((Inputs!$G$5:$G$120&lt;&gt;"moeda")*(Inputs!$G$5:$G$120&lt;&gt;"acoes")))*INDEX(Inputs!$K$5:$AJ$120,0,MATCH(N$2,Inputs!$K$4:$AJ$4,0)))+SUMPRODUCT((Inputs!$C$5:$C$120=$B44)*Inputs!$D$5:$D$120*(((Inputs!$G$5:$G$120="moeda")+(Inputs!$G$5:$G$120="acoes"))*Inputs!$B$1+((Inputs!$G$5:$G$120&lt;&gt;"moeda")*(Inputs!$G$5:$G$120&lt;&gt;"acoes")))*INDEX(Inputs!$K$5:$AJ$120,0,MATCH(N$2,Inputs!$K$4:$AJ$4,0)))+SUMPRODUCT((Inputs!$E$5:$E$120=$B44)*Inputs!$F$5:$F$120*(((Inputs!$G$5:$G$120="moeda")+(Inputs!$G$5:$G$120="acoes"))*Inputs!$B$1+((Inputs!$G$5:$G$120&lt;&gt;"moeda")*(Inputs!$G$5:$G$120&lt;&gt;"acoes")))*INDEX(Inputs!$K$5:$AJ$120,0,MATCH(N$2,Inputs!$K$4:$AJ$4,0)))))</f>
        <v>-5769</v>
      </c>
      <c r="O44" s="267">
        <f>IF(ISNA(MATCH(O$2,Inputs!$K$4:$AJ$4,0)),NA(),IF(SUMPRODUCT((Inputs!$A$5:$A$120=$B44)*ISNUMBER(INDEX(Inputs!$K$5:$AJ$120,0,MATCH(O$2,Inputs!$K$4:$AJ$4,0))))+SUMPRODUCT((Inputs!$C$5:$C$120=$B44)*ISNUMBER(INDEX(Inputs!$K$5:$AJ$120,0,MATCH(O$2,Inputs!$K$4:$AJ$4,0))))+SUMPRODUCT((Inputs!$E$5:$E$120=$B44)*ISNUMBER(INDEX(Inputs!$K$5:$AJ$120,0,MATCH(O$2,Inputs!$K$4:$AJ$4,0))))=0,NA(),SUMPRODUCT((Inputs!$A$5:$A$120=$B44)*Inputs!$B$5:$B$120*(((Inputs!$G$5:$G$120="moeda")+(Inputs!$G$5:$G$120="acoes"))*Inputs!$B$1+((Inputs!$G$5:$G$120&lt;&gt;"moeda")*(Inputs!$G$5:$G$120&lt;&gt;"acoes")))*INDEX(Inputs!$K$5:$AJ$120,0,MATCH(O$2,Inputs!$K$4:$AJ$4,0)))+SUMPRODUCT((Inputs!$C$5:$C$120=$B44)*Inputs!$D$5:$D$120*(((Inputs!$G$5:$G$120="moeda")+(Inputs!$G$5:$G$120="acoes"))*Inputs!$B$1+((Inputs!$G$5:$G$120&lt;&gt;"moeda")*(Inputs!$G$5:$G$120&lt;&gt;"acoes")))*INDEX(Inputs!$K$5:$AJ$120,0,MATCH(O$2,Inputs!$K$4:$AJ$4,0)))+SUMPRODUCT((Inputs!$E$5:$E$120=$B44)*Inputs!$F$5:$F$120*(((Inputs!$G$5:$G$120="moeda")+(Inputs!$G$5:$G$120="acoes"))*Inputs!$B$1+((Inputs!$G$5:$G$120&lt;&gt;"moeda")*(Inputs!$G$5:$G$120&lt;&gt;"acoes")))*INDEX(Inputs!$K$5:$AJ$120,0,MATCH(O$2,Inputs!$K$4:$AJ$4,0)))))</f>
        <v>-5769</v>
      </c>
      <c r="P44" s="267">
        <f>IF(ISNA(MATCH(P$2,Inputs!$K$4:$AJ$4,0)),NA(),IF(SUMPRODUCT((Inputs!$A$5:$A$120=$B44)*ISNUMBER(INDEX(Inputs!$K$5:$AJ$120,0,MATCH(P$2,Inputs!$K$4:$AJ$4,0))))+SUMPRODUCT((Inputs!$C$5:$C$120=$B44)*ISNUMBER(INDEX(Inputs!$K$5:$AJ$120,0,MATCH(P$2,Inputs!$K$4:$AJ$4,0))))+SUMPRODUCT((Inputs!$E$5:$E$120=$B44)*ISNUMBER(INDEX(Inputs!$K$5:$AJ$120,0,MATCH(P$2,Inputs!$K$4:$AJ$4,0))))=0,NA(),SUMPRODUCT((Inputs!$A$5:$A$120=$B44)*Inputs!$B$5:$B$120*(((Inputs!$G$5:$G$120="moeda")+(Inputs!$G$5:$G$120="acoes"))*Inputs!$B$1+((Inputs!$G$5:$G$120&lt;&gt;"moeda")*(Inputs!$G$5:$G$120&lt;&gt;"acoes")))*INDEX(Inputs!$K$5:$AJ$120,0,MATCH(P$2,Inputs!$K$4:$AJ$4,0)))+SUMPRODUCT((Inputs!$C$5:$C$120=$B44)*Inputs!$D$5:$D$120*(((Inputs!$G$5:$G$120="moeda")+(Inputs!$G$5:$G$120="acoes"))*Inputs!$B$1+((Inputs!$G$5:$G$120&lt;&gt;"moeda")*(Inputs!$G$5:$G$120&lt;&gt;"acoes")))*INDEX(Inputs!$K$5:$AJ$120,0,MATCH(P$2,Inputs!$K$4:$AJ$4,0)))+SUMPRODUCT((Inputs!$E$5:$E$120=$B44)*Inputs!$F$5:$F$120*(((Inputs!$G$5:$G$120="moeda")+(Inputs!$G$5:$G$120="acoes"))*Inputs!$B$1+((Inputs!$G$5:$G$120&lt;&gt;"moeda")*(Inputs!$G$5:$G$120&lt;&gt;"acoes")))*INDEX(Inputs!$K$5:$AJ$120,0,MATCH(P$2,Inputs!$K$4:$AJ$4,0)))))</f>
        <v>-5772</v>
      </c>
      <c r="Q44" s="267">
        <f>IF(ISNA(MATCH(Q$2,Inputs!$K$4:$AJ$4,0)),NA(),IF(SUMPRODUCT((Inputs!$A$5:$A$120=$B44)*ISNUMBER(INDEX(Inputs!$K$5:$AJ$120,0,MATCH(Q$2,Inputs!$K$4:$AJ$4,0))))+SUMPRODUCT((Inputs!$C$5:$C$120=$B44)*ISNUMBER(INDEX(Inputs!$K$5:$AJ$120,0,MATCH(Q$2,Inputs!$K$4:$AJ$4,0))))+SUMPRODUCT((Inputs!$E$5:$E$120=$B44)*ISNUMBER(INDEX(Inputs!$K$5:$AJ$120,0,MATCH(Q$2,Inputs!$K$4:$AJ$4,0))))=0,NA(),SUMPRODUCT((Inputs!$A$5:$A$120=$B44)*Inputs!$B$5:$B$120*(((Inputs!$G$5:$G$120="moeda")+(Inputs!$G$5:$G$120="acoes"))*Inputs!$B$1+((Inputs!$G$5:$G$120&lt;&gt;"moeda")*(Inputs!$G$5:$G$120&lt;&gt;"acoes")))*INDEX(Inputs!$K$5:$AJ$120,0,MATCH(Q$2,Inputs!$K$4:$AJ$4,0)))+SUMPRODUCT((Inputs!$C$5:$C$120=$B44)*Inputs!$D$5:$D$120*(((Inputs!$G$5:$G$120="moeda")+(Inputs!$G$5:$G$120="acoes"))*Inputs!$B$1+((Inputs!$G$5:$G$120&lt;&gt;"moeda")*(Inputs!$G$5:$G$120&lt;&gt;"acoes")))*INDEX(Inputs!$K$5:$AJ$120,0,MATCH(Q$2,Inputs!$K$4:$AJ$4,0)))+SUMPRODUCT((Inputs!$E$5:$E$120=$B44)*Inputs!$F$5:$F$120*(((Inputs!$G$5:$G$120="moeda")+(Inputs!$G$5:$G$120="acoes"))*Inputs!$B$1+((Inputs!$G$5:$G$120&lt;&gt;"moeda")*(Inputs!$G$5:$G$120&lt;&gt;"acoes")))*INDEX(Inputs!$K$5:$AJ$120,0,MATCH(Q$2,Inputs!$K$4:$AJ$4,0)))))</f>
        <v>-5773</v>
      </c>
      <c r="R44" s="268">
        <f>Q44</f>
        <v>-5773</v>
      </c>
      <c r="S44" s="267">
        <f>IF(ISNA(MATCH(S$2,Inputs!$K$4:$AJ$4,0)),NA(),IF(SUMPRODUCT((Inputs!$A$5:$A$120=$B44)*ISNUMBER(INDEX(Inputs!$K$5:$AJ$120,0,MATCH(S$2,Inputs!$K$4:$AJ$4,0))))+SUMPRODUCT((Inputs!$C$5:$C$120=$B44)*ISNUMBER(INDEX(Inputs!$K$5:$AJ$120,0,MATCH(S$2,Inputs!$K$4:$AJ$4,0))))+SUMPRODUCT((Inputs!$E$5:$E$120=$B44)*ISNUMBER(INDEX(Inputs!$K$5:$AJ$120,0,MATCH(S$2,Inputs!$K$4:$AJ$4,0))))=0,NA(),SUMPRODUCT((Inputs!$A$5:$A$120=$B44)*Inputs!$B$5:$B$120*(((Inputs!$G$5:$G$120="moeda")+(Inputs!$G$5:$G$120="acoes"))*Inputs!$B$1+((Inputs!$G$5:$G$120&lt;&gt;"moeda")*(Inputs!$G$5:$G$120&lt;&gt;"acoes")))*INDEX(Inputs!$K$5:$AJ$120,0,MATCH(S$2,Inputs!$K$4:$AJ$4,0)))+SUMPRODUCT((Inputs!$C$5:$C$120=$B44)*Inputs!$D$5:$D$120*(((Inputs!$G$5:$G$120="moeda")+(Inputs!$G$5:$G$120="acoes"))*Inputs!$B$1+((Inputs!$G$5:$G$120&lt;&gt;"moeda")*(Inputs!$G$5:$G$120&lt;&gt;"acoes")))*INDEX(Inputs!$K$5:$AJ$120,0,MATCH(S$2,Inputs!$K$4:$AJ$4,0)))+SUMPRODUCT((Inputs!$E$5:$E$120=$B44)*Inputs!$F$5:$F$120*(((Inputs!$G$5:$G$120="moeda")+(Inputs!$G$5:$G$120="acoes"))*Inputs!$B$1+((Inputs!$G$5:$G$120&lt;&gt;"moeda")*(Inputs!$G$5:$G$120&lt;&gt;"acoes")))*INDEX(Inputs!$K$5:$AJ$120,0,MATCH(S$2,Inputs!$K$4:$AJ$4,0)))))</f>
        <v>-5817</v>
      </c>
      <c r="T44" s="267">
        <f>IF(ISNA(MATCH(T$2,Inputs!$K$4:$AJ$4,0)),NA(),IF(SUMPRODUCT((Inputs!$A$5:$A$120=$B44)*ISNUMBER(INDEX(Inputs!$K$5:$AJ$120,0,MATCH(T$2,Inputs!$K$4:$AJ$4,0))))+SUMPRODUCT((Inputs!$C$5:$C$120=$B44)*ISNUMBER(INDEX(Inputs!$K$5:$AJ$120,0,MATCH(T$2,Inputs!$K$4:$AJ$4,0))))+SUMPRODUCT((Inputs!$E$5:$E$120=$B44)*ISNUMBER(INDEX(Inputs!$K$5:$AJ$120,0,MATCH(T$2,Inputs!$K$4:$AJ$4,0))))=0,NA(),SUMPRODUCT((Inputs!$A$5:$A$120=$B44)*Inputs!$B$5:$B$120*(((Inputs!$G$5:$G$120="moeda")+(Inputs!$G$5:$G$120="acoes"))*Inputs!$B$1+((Inputs!$G$5:$G$120&lt;&gt;"moeda")*(Inputs!$G$5:$G$120&lt;&gt;"acoes")))*INDEX(Inputs!$K$5:$AJ$120,0,MATCH(T$2,Inputs!$K$4:$AJ$4,0)))+SUMPRODUCT((Inputs!$C$5:$C$120=$B44)*Inputs!$D$5:$D$120*(((Inputs!$G$5:$G$120="moeda")+(Inputs!$G$5:$G$120="acoes"))*Inputs!$B$1+((Inputs!$G$5:$G$120&lt;&gt;"moeda")*(Inputs!$G$5:$G$120&lt;&gt;"acoes")))*INDEX(Inputs!$K$5:$AJ$120,0,MATCH(T$2,Inputs!$K$4:$AJ$4,0)))+SUMPRODUCT((Inputs!$E$5:$E$120=$B44)*Inputs!$F$5:$F$120*(((Inputs!$G$5:$G$120="moeda")+(Inputs!$G$5:$G$120="acoes"))*Inputs!$B$1+((Inputs!$G$5:$G$120&lt;&gt;"moeda")*(Inputs!$G$5:$G$120&lt;&gt;"acoes")))*INDEX(Inputs!$K$5:$AJ$120,0,MATCH(T$2,Inputs!$K$4:$AJ$4,0)))))</f>
        <v>-5835</v>
      </c>
      <c r="U44" s="267">
        <f>IF(ISNA(MATCH(U$2,Inputs!$K$4:$AJ$4,0)),NA(),IF(SUMPRODUCT((Inputs!$A$5:$A$120=$B44)*ISNUMBER(INDEX(Inputs!$K$5:$AJ$120,0,MATCH(U$2,Inputs!$K$4:$AJ$4,0))))+SUMPRODUCT((Inputs!$C$5:$C$120=$B44)*ISNUMBER(INDEX(Inputs!$K$5:$AJ$120,0,MATCH(U$2,Inputs!$K$4:$AJ$4,0))))+SUMPRODUCT((Inputs!$E$5:$E$120=$B44)*ISNUMBER(INDEX(Inputs!$K$5:$AJ$120,0,MATCH(U$2,Inputs!$K$4:$AJ$4,0))))=0,NA(),SUMPRODUCT((Inputs!$A$5:$A$120=$B44)*Inputs!$B$5:$B$120*(((Inputs!$G$5:$G$120="moeda")+(Inputs!$G$5:$G$120="acoes"))*Inputs!$B$1+((Inputs!$G$5:$G$120&lt;&gt;"moeda")*(Inputs!$G$5:$G$120&lt;&gt;"acoes")))*INDEX(Inputs!$K$5:$AJ$120,0,MATCH(U$2,Inputs!$K$4:$AJ$4,0)))+SUMPRODUCT((Inputs!$C$5:$C$120=$B44)*Inputs!$D$5:$D$120*(((Inputs!$G$5:$G$120="moeda")+(Inputs!$G$5:$G$120="acoes"))*Inputs!$B$1+((Inputs!$G$5:$G$120&lt;&gt;"moeda")*(Inputs!$G$5:$G$120&lt;&gt;"acoes")))*INDEX(Inputs!$K$5:$AJ$120,0,MATCH(U$2,Inputs!$K$4:$AJ$4,0)))+SUMPRODUCT((Inputs!$E$5:$E$120=$B44)*Inputs!$F$5:$F$120*(((Inputs!$G$5:$G$120="moeda")+(Inputs!$G$5:$G$120="acoes"))*Inputs!$B$1+((Inputs!$G$5:$G$120&lt;&gt;"moeda")*(Inputs!$G$5:$G$120&lt;&gt;"acoes")))*INDEX(Inputs!$K$5:$AJ$120,0,MATCH(U$2,Inputs!$K$4:$AJ$4,0)))))</f>
        <v>-5894</v>
      </c>
      <c r="V44" s="267">
        <f>IF(ISNA(MATCH(V$2,Inputs!$K$4:$AJ$4,0)),NA(),IF(SUMPRODUCT((Inputs!$A$5:$A$120=$B44)*ISNUMBER(INDEX(Inputs!$K$5:$AJ$120,0,MATCH(V$2,Inputs!$K$4:$AJ$4,0))))+SUMPRODUCT((Inputs!$C$5:$C$120=$B44)*ISNUMBER(INDEX(Inputs!$K$5:$AJ$120,0,MATCH(V$2,Inputs!$K$4:$AJ$4,0))))+SUMPRODUCT((Inputs!$E$5:$E$120=$B44)*ISNUMBER(INDEX(Inputs!$K$5:$AJ$120,0,MATCH(V$2,Inputs!$K$4:$AJ$4,0))))=0,NA(),SUMPRODUCT((Inputs!$A$5:$A$120=$B44)*Inputs!$B$5:$B$120*(((Inputs!$G$5:$G$120="moeda")+(Inputs!$G$5:$G$120="acoes"))*Inputs!$B$1+((Inputs!$G$5:$G$120&lt;&gt;"moeda")*(Inputs!$G$5:$G$120&lt;&gt;"acoes")))*INDEX(Inputs!$K$5:$AJ$120,0,MATCH(V$2,Inputs!$K$4:$AJ$4,0)))+SUMPRODUCT((Inputs!$C$5:$C$120=$B44)*Inputs!$D$5:$D$120*(((Inputs!$G$5:$G$120="moeda")+(Inputs!$G$5:$G$120="acoes"))*Inputs!$B$1+((Inputs!$G$5:$G$120&lt;&gt;"moeda")*(Inputs!$G$5:$G$120&lt;&gt;"acoes")))*INDEX(Inputs!$K$5:$AJ$120,0,MATCH(V$2,Inputs!$K$4:$AJ$4,0)))+SUMPRODUCT((Inputs!$E$5:$E$120=$B44)*Inputs!$F$5:$F$120*(((Inputs!$G$5:$G$120="moeda")+(Inputs!$G$5:$G$120="acoes"))*Inputs!$B$1+((Inputs!$G$5:$G$120&lt;&gt;"moeda")*(Inputs!$G$5:$G$120&lt;&gt;"acoes")))*INDEX(Inputs!$K$5:$AJ$120,0,MATCH(V$2,Inputs!$K$4:$AJ$4,0)))))</f>
        <v>-5894</v>
      </c>
      <c r="W44" s="268">
        <f>V44</f>
        <v>-5894</v>
      </c>
      <c r="X44" s="267">
        <f>IF(ISNA(MATCH(X$2,Inputs!$K$4:$AJ$4,0)),NA(),IF(SUMPRODUCT((Inputs!$A$5:$A$120=$B44)*ISNUMBER(INDEX(Inputs!$K$5:$AJ$120,0,MATCH(X$2,Inputs!$K$4:$AJ$4,0))))+SUMPRODUCT((Inputs!$C$5:$C$120=$B44)*ISNUMBER(INDEX(Inputs!$K$5:$AJ$120,0,MATCH(X$2,Inputs!$K$4:$AJ$4,0))))+SUMPRODUCT((Inputs!$E$5:$E$120=$B44)*ISNUMBER(INDEX(Inputs!$K$5:$AJ$120,0,MATCH(X$2,Inputs!$K$4:$AJ$4,0))))=0,NA(),SUMPRODUCT((Inputs!$A$5:$A$120=$B44)*Inputs!$B$5:$B$120*(((Inputs!$G$5:$G$120="moeda")+(Inputs!$G$5:$G$120="acoes"))*Inputs!$B$1+((Inputs!$G$5:$G$120&lt;&gt;"moeda")*(Inputs!$G$5:$G$120&lt;&gt;"acoes")))*INDEX(Inputs!$K$5:$AJ$120,0,MATCH(X$2,Inputs!$K$4:$AJ$4,0)))+SUMPRODUCT((Inputs!$C$5:$C$120=$B44)*Inputs!$D$5:$D$120*(((Inputs!$G$5:$G$120="moeda")+(Inputs!$G$5:$G$120="acoes"))*Inputs!$B$1+((Inputs!$G$5:$G$120&lt;&gt;"moeda")*(Inputs!$G$5:$G$120&lt;&gt;"acoes")))*INDEX(Inputs!$K$5:$AJ$120,0,MATCH(X$2,Inputs!$K$4:$AJ$4,0)))+SUMPRODUCT((Inputs!$E$5:$E$120=$B44)*Inputs!$F$5:$F$120*(((Inputs!$G$5:$G$120="moeda")+(Inputs!$G$5:$G$120="acoes"))*Inputs!$B$1+((Inputs!$G$5:$G$120&lt;&gt;"moeda")*(Inputs!$G$5:$G$120&lt;&gt;"acoes")))*INDEX(Inputs!$K$5:$AJ$120,0,MATCH(X$2,Inputs!$K$4:$AJ$4,0)))))</f>
        <v>-5971</v>
      </c>
      <c r="Y44" s="267">
        <f>IF(ISNA(MATCH(Y$2,Inputs!$K$4:$AJ$4,0)),NA(),IF(SUMPRODUCT((Inputs!$A$5:$A$120=$B44)*ISNUMBER(INDEX(Inputs!$K$5:$AJ$120,0,MATCH(Y$2,Inputs!$K$4:$AJ$4,0))))+SUMPRODUCT((Inputs!$C$5:$C$120=$B44)*ISNUMBER(INDEX(Inputs!$K$5:$AJ$120,0,MATCH(Y$2,Inputs!$K$4:$AJ$4,0))))+SUMPRODUCT((Inputs!$E$5:$E$120=$B44)*ISNUMBER(INDEX(Inputs!$K$5:$AJ$120,0,MATCH(Y$2,Inputs!$K$4:$AJ$4,0))))=0,NA(),SUMPRODUCT((Inputs!$A$5:$A$120=$B44)*Inputs!$B$5:$B$120*(((Inputs!$G$5:$G$120="moeda")+(Inputs!$G$5:$G$120="acoes"))*Inputs!$B$1+((Inputs!$G$5:$G$120&lt;&gt;"moeda")*(Inputs!$G$5:$G$120&lt;&gt;"acoes")))*INDEX(Inputs!$K$5:$AJ$120,0,MATCH(Y$2,Inputs!$K$4:$AJ$4,0)))+SUMPRODUCT((Inputs!$C$5:$C$120=$B44)*Inputs!$D$5:$D$120*(((Inputs!$G$5:$G$120="moeda")+(Inputs!$G$5:$G$120="acoes"))*Inputs!$B$1+((Inputs!$G$5:$G$120&lt;&gt;"moeda")*(Inputs!$G$5:$G$120&lt;&gt;"acoes")))*INDEX(Inputs!$K$5:$AJ$120,0,MATCH(Y$2,Inputs!$K$4:$AJ$4,0)))+SUMPRODUCT((Inputs!$E$5:$E$120=$B44)*Inputs!$F$5:$F$120*(((Inputs!$G$5:$G$120="moeda")+(Inputs!$G$5:$G$120="acoes"))*Inputs!$B$1+((Inputs!$G$5:$G$120&lt;&gt;"moeda")*(Inputs!$G$5:$G$120&lt;&gt;"acoes")))*INDEX(Inputs!$K$5:$AJ$120,0,MATCH(Y$2,Inputs!$K$4:$AJ$4,0)))))</f>
        <v>-6024</v>
      </c>
      <c r="Z44" s="267">
        <f>IF(ISNA(MATCH(Z$2,Inputs!$K$4:$AJ$4,0)),NA(),IF(SUMPRODUCT((Inputs!$A$5:$A$120=$B44)*ISNUMBER(INDEX(Inputs!$K$5:$AJ$120,0,MATCH(Z$2,Inputs!$K$4:$AJ$4,0))))+SUMPRODUCT((Inputs!$C$5:$C$120=$B44)*ISNUMBER(INDEX(Inputs!$K$5:$AJ$120,0,MATCH(Z$2,Inputs!$K$4:$AJ$4,0))))+SUMPRODUCT((Inputs!$E$5:$E$120=$B44)*ISNUMBER(INDEX(Inputs!$K$5:$AJ$120,0,MATCH(Z$2,Inputs!$K$4:$AJ$4,0))))=0,NA(),SUMPRODUCT((Inputs!$A$5:$A$120=$B44)*Inputs!$B$5:$B$120*(((Inputs!$G$5:$G$120="moeda")+(Inputs!$G$5:$G$120="acoes"))*Inputs!$B$1+((Inputs!$G$5:$G$120&lt;&gt;"moeda")*(Inputs!$G$5:$G$120&lt;&gt;"acoes")))*INDEX(Inputs!$K$5:$AJ$120,0,MATCH(Z$2,Inputs!$K$4:$AJ$4,0)))+SUMPRODUCT((Inputs!$C$5:$C$120=$B44)*Inputs!$D$5:$D$120*(((Inputs!$G$5:$G$120="moeda")+(Inputs!$G$5:$G$120="acoes"))*Inputs!$B$1+((Inputs!$G$5:$G$120&lt;&gt;"moeda")*(Inputs!$G$5:$G$120&lt;&gt;"acoes")))*INDEX(Inputs!$K$5:$AJ$120,0,MATCH(Z$2,Inputs!$K$4:$AJ$4,0)))+SUMPRODUCT((Inputs!$E$5:$E$120=$B44)*Inputs!$F$5:$F$120*(((Inputs!$G$5:$G$120="moeda")+(Inputs!$G$5:$G$120="acoes"))*Inputs!$B$1+((Inputs!$G$5:$G$120&lt;&gt;"moeda")*(Inputs!$G$5:$G$120&lt;&gt;"acoes")))*INDEX(Inputs!$K$5:$AJ$120,0,MATCH(Z$2,Inputs!$K$4:$AJ$4,0)))))</f>
        <v>-6024</v>
      </c>
      <c r="AA44" s="267">
        <f>IF(ISNA(MATCH(AA$2,Inputs!$K$4:$AJ$4,0)),NA(),IF(SUMPRODUCT((Inputs!$A$5:$A$120=$B44)*ISNUMBER(INDEX(Inputs!$K$5:$AJ$120,0,MATCH(AA$2,Inputs!$K$4:$AJ$4,0))))+SUMPRODUCT((Inputs!$C$5:$C$120=$B44)*ISNUMBER(INDEX(Inputs!$K$5:$AJ$120,0,MATCH(AA$2,Inputs!$K$4:$AJ$4,0))))+SUMPRODUCT((Inputs!$E$5:$E$120=$B44)*ISNUMBER(INDEX(Inputs!$K$5:$AJ$120,0,MATCH(AA$2,Inputs!$K$4:$AJ$4,0))))=0,NA(),SUMPRODUCT((Inputs!$A$5:$A$120=$B44)*Inputs!$B$5:$B$120*(((Inputs!$G$5:$G$120="moeda")+(Inputs!$G$5:$G$120="acoes"))*Inputs!$B$1+((Inputs!$G$5:$G$120&lt;&gt;"moeda")*(Inputs!$G$5:$G$120&lt;&gt;"acoes")))*INDEX(Inputs!$K$5:$AJ$120,0,MATCH(AA$2,Inputs!$K$4:$AJ$4,0)))+SUMPRODUCT((Inputs!$C$5:$C$120=$B44)*Inputs!$D$5:$D$120*(((Inputs!$G$5:$G$120="moeda")+(Inputs!$G$5:$G$120="acoes"))*Inputs!$B$1+((Inputs!$G$5:$G$120&lt;&gt;"moeda")*(Inputs!$G$5:$G$120&lt;&gt;"acoes")))*INDEX(Inputs!$K$5:$AJ$120,0,MATCH(AA$2,Inputs!$K$4:$AJ$4,0)))+SUMPRODUCT((Inputs!$E$5:$E$120=$B44)*Inputs!$F$5:$F$120*(((Inputs!$G$5:$G$120="moeda")+(Inputs!$G$5:$G$120="acoes"))*Inputs!$B$1+((Inputs!$G$5:$G$120&lt;&gt;"moeda")*(Inputs!$G$5:$G$120&lt;&gt;"acoes")))*INDEX(Inputs!$K$5:$AJ$120,0,MATCH(AA$2,Inputs!$K$4:$AJ$4,0)))))</f>
        <v>-6024</v>
      </c>
      <c r="AB44" s="268">
        <f>AA44</f>
        <v>-6024</v>
      </c>
      <c r="AC44" s="267">
        <f>IF(ISNA(MATCH(AC$2,Inputs!$K$4:$AJ$4,0)),NA(),IF(SUMPRODUCT((Inputs!$A$5:$A$120=$B44)*ISNUMBER(INDEX(Inputs!$K$5:$AJ$120,0,MATCH(AC$2,Inputs!$K$4:$AJ$4,0))))+SUMPRODUCT((Inputs!$C$5:$C$120=$B44)*ISNUMBER(INDEX(Inputs!$K$5:$AJ$120,0,MATCH(AC$2,Inputs!$K$4:$AJ$4,0))))+SUMPRODUCT((Inputs!$E$5:$E$120=$B44)*ISNUMBER(INDEX(Inputs!$K$5:$AJ$120,0,MATCH(AC$2,Inputs!$K$4:$AJ$4,0))))=0,NA(),SUMPRODUCT((Inputs!$A$5:$A$120=$B44)*Inputs!$B$5:$B$120*(((Inputs!$G$5:$G$120="moeda")+(Inputs!$G$5:$G$120="acoes"))*Inputs!$B$1+((Inputs!$G$5:$G$120&lt;&gt;"moeda")*(Inputs!$G$5:$G$120&lt;&gt;"acoes")))*INDEX(Inputs!$K$5:$AJ$120,0,MATCH(AC$2,Inputs!$K$4:$AJ$4,0)))+SUMPRODUCT((Inputs!$C$5:$C$120=$B44)*Inputs!$D$5:$D$120*(((Inputs!$G$5:$G$120="moeda")+(Inputs!$G$5:$G$120="acoes"))*Inputs!$B$1+((Inputs!$G$5:$G$120&lt;&gt;"moeda")*(Inputs!$G$5:$G$120&lt;&gt;"acoes")))*INDEX(Inputs!$K$5:$AJ$120,0,MATCH(AC$2,Inputs!$K$4:$AJ$4,0)))+SUMPRODUCT((Inputs!$E$5:$E$120=$B44)*Inputs!$F$5:$F$120*(((Inputs!$G$5:$G$120="moeda")+(Inputs!$G$5:$G$120="acoes"))*Inputs!$B$1+((Inputs!$G$5:$G$120&lt;&gt;"moeda")*(Inputs!$G$5:$G$120&lt;&gt;"acoes")))*INDEX(Inputs!$K$5:$AJ$120,0,MATCH(AC$2,Inputs!$K$4:$AJ$4,0)))))</f>
        <v>-6117</v>
      </c>
      <c r="AD44" s="267">
        <f>IF(ISNA(MATCH(AD$2,Inputs!$K$4:$AJ$4,0)),NA(),IF(SUMPRODUCT((Inputs!$A$5:$A$120=$B44)*ISNUMBER(INDEX(Inputs!$K$5:$AJ$120,0,MATCH(AD$2,Inputs!$K$4:$AJ$4,0))))+SUMPRODUCT((Inputs!$C$5:$C$120=$B44)*ISNUMBER(INDEX(Inputs!$K$5:$AJ$120,0,MATCH(AD$2,Inputs!$K$4:$AJ$4,0))))+SUMPRODUCT((Inputs!$E$5:$E$120=$B44)*ISNUMBER(INDEX(Inputs!$K$5:$AJ$120,0,MATCH(AD$2,Inputs!$K$4:$AJ$4,0))))=0,NA(),SUMPRODUCT((Inputs!$A$5:$A$120=$B44)*Inputs!$B$5:$B$120*(((Inputs!$G$5:$G$120="moeda")+(Inputs!$G$5:$G$120="acoes"))*Inputs!$B$1+((Inputs!$G$5:$G$120&lt;&gt;"moeda")*(Inputs!$G$5:$G$120&lt;&gt;"acoes")))*INDEX(Inputs!$K$5:$AJ$120,0,MATCH(AD$2,Inputs!$K$4:$AJ$4,0)))+SUMPRODUCT((Inputs!$C$5:$C$120=$B44)*Inputs!$D$5:$D$120*(((Inputs!$G$5:$G$120="moeda")+(Inputs!$G$5:$G$120="acoes"))*Inputs!$B$1+((Inputs!$G$5:$G$120&lt;&gt;"moeda")*(Inputs!$G$5:$G$120&lt;&gt;"acoes")))*INDEX(Inputs!$K$5:$AJ$120,0,MATCH(AD$2,Inputs!$K$4:$AJ$4,0)))+SUMPRODUCT((Inputs!$E$5:$E$120=$B44)*Inputs!$F$5:$F$120*(((Inputs!$G$5:$G$120="moeda")+(Inputs!$G$5:$G$120="acoes"))*Inputs!$B$1+((Inputs!$G$5:$G$120&lt;&gt;"moeda")*(Inputs!$G$5:$G$120&lt;&gt;"acoes")))*INDEX(Inputs!$K$5:$AJ$120,0,MATCH(AD$2,Inputs!$K$4:$AJ$4,0)))))</f>
        <v>-6227</v>
      </c>
      <c r="AE44" s="267" t="e">
        <f>IF(ISNA(MATCH(AE$2,Inputs!$K$4:$AJ$4,0)),NA(),IF(SUMPRODUCT((Inputs!$A$5:$A$120=$B44)*ISNUMBER(INDEX(Inputs!$K$5:$AJ$120,0,MATCH(AE$2,Inputs!$K$4:$AJ$4,0))))+SUMPRODUCT((Inputs!$C$5:$C$120=$B44)*ISNUMBER(INDEX(Inputs!$K$5:$AJ$120,0,MATCH(AE$2,Inputs!$K$4:$AJ$4,0))))+SUMPRODUCT((Inputs!$E$5:$E$120=$B44)*ISNUMBER(INDEX(Inputs!$K$5:$AJ$120,0,MATCH(AE$2,Inputs!$K$4:$AJ$4,0))))=0,NA(),SUMPRODUCT((Inputs!$A$5:$A$120=$B44)*Inputs!$B$5:$B$120*(((Inputs!$G$5:$G$120="moeda")+(Inputs!$G$5:$G$120="acoes"))*Inputs!$B$1+((Inputs!$G$5:$G$120&lt;&gt;"moeda")*(Inputs!$G$5:$G$120&lt;&gt;"acoes")))*INDEX(Inputs!$K$5:$AJ$120,0,MATCH(AE$2,Inputs!$K$4:$AJ$4,0)))+SUMPRODUCT((Inputs!$C$5:$C$120=$B44)*Inputs!$D$5:$D$120*(((Inputs!$G$5:$G$120="moeda")+(Inputs!$G$5:$G$120="acoes"))*Inputs!$B$1+((Inputs!$G$5:$G$120&lt;&gt;"moeda")*(Inputs!$G$5:$G$120&lt;&gt;"acoes")))*INDEX(Inputs!$K$5:$AJ$120,0,MATCH(AE$2,Inputs!$K$4:$AJ$4,0)))+SUMPRODUCT((Inputs!$E$5:$E$120=$B44)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4" s="267" t="e">
        <f>IF(ISNA(MATCH(AF$2,Inputs!$K$4:$AJ$4,0)),NA(),IF(SUMPRODUCT((Inputs!$A$5:$A$120=$B44)*ISNUMBER(INDEX(Inputs!$K$5:$AJ$120,0,MATCH(AF$2,Inputs!$K$4:$AJ$4,0))))+SUMPRODUCT((Inputs!$C$5:$C$120=$B44)*ISNUMBER(INDEX(Inputs!$K$5:$AJ$120,0,MATCH(AF$2,Inputs!$K$4:$AJ$4,0))))+SUMPRODUCT((Inputs!$E$5:$E$120=$B44)*ISNUMBER(INDEX(Inputs!$K$5:$AJ$120,0,MATCH(AF$2,Inputs!$K$4:$AJ$4,0))))=0,NA(),SUMPRODUCT((Inputs!$A$5:$A$120=$B44)*Inputs!$B$5:$B$120*(((Inputs!$G$5:$G$120="moeda")+(Inputs!$G$5:$G$120="acoes"))*Inputs!$B$1+((Inputs!$G$5:$G$120&lt;&gt;"moeda")*(Inputs!$G$5:$G$120&lt;&gt;"acoes")))*INDEX(Inputs!$K$5:$AJ$120,0,MATCH(AF$2,Inputs!$K$4:$AJ$4,0)))+SUMPRODUCT((Inputs!$C$5:$C$120=$B44)*Inputs!$D$5:$D$120*(((Inputs!$G$5:$G$120="moeda")+(Inputs!$G$5:$G$120="acoes"))*Inputs!$B$1+((Inputs!$G$5:$G$120&lt;&gt;"moeda")*(Inputs!$G$5:$G$120&lt;&gt;"acoes")))*INDEX(Inputs!$K$5:$AJ$120,0,MATCH(AF$2,Inputs!$K$4:$AJ$4,0)))+SUMPRODUCT((Inputs!$E$5:$E$120=$B44)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4" s="268" t="e">
        <f>AF44</f>
        <v>#N/A</v>
      </c>
      <c r="AH44" s="267">
        <f>IF(ISNA(MATCH(AH$2,Inputs!$K$4:$AJ$4,0)),NA(),IF(SUMPRODUCT((Inputs!$A$5:$A$120=$B44)*ISNUMBER(INDEX(Inputs!$K$5:$AJ$120,0,MATCH(AH$2,Inputs!$K$4:$AJ$4,0))))+SUMPRODUCT((Inputs!$C$5:$C$120=$B44)*ISNUMBER(INDEX(Inputs!$K$5:$AJ$120,0,MATCH(AH$2,Inputs!$K$4:$AJ$4,0))))+SUMPRODUCT((Inputs!$E$5:$E$120=$B44)*ISNUMBER(INDEX(Inputs!$K$5:$AJ$120,0,MATCH(AH$2,Inputs!$K$4:$AJ$4,0))))=0,NA(),SUMPRODUCT((Inputs!$A$5:$A$120=$B44)*Inputs!$B$5:$B$120*(((Inputs!$G$5:$G$120="moeda")+(Inputs!$G$5:$G$120="acoes"))*Inputs!$B$1+((Inputs!$G$5:$G$120&lt;&gt;"moeda")*(Inputs!$G$5:$G$120&lt;&gt;"acoes")))*INDEX(Inputs!$K$5:$AJ$120,0,MATCH(AH$2,Inputs!$K$4:$AJ$4,0)))+SUMPRODUCT((Inputs!$C$5:$C$120=$B44)*Inputs!$D$5:$D$120*(((Inputs!$G$5:$G$120="moeda")+(Inputs!$G$5:$G$120="acoes"))*Inputs!$B$1+((Inputs!$G$5:$G$120&lt;&gt;"moeda")*(Inputs!$G$5:$G$120&lt;&gt;"acoes")))*INDEX(Inputs!$K$5:$AJ$120,0,MATCH(AH$2,Inputs!$K$4:$AJ$4,0)))+SUMPRODUCT((Inputs!$E$5:$E$120=$B44)*Inputs!$F$5:$F$120*(((Inputs!$G$5:$G$120="moeda")+(Inputs!$G$5:$G$120="acoes"))*Inputs!$B$1+((Inputs!$G$5:$G$120&lt;&gt;"moeda")*(Inputs!$G$5:$G$120&lt;&gt;"acoes")))*INDEX(Inputs!$K$5:$AJ$120,0,MATCH(AH$2,Inputs!$K$4:$AJ$4,0)))))</f>
        <v>-3739</v>
      </c>
      <c r="AI44" s="267">
        <f>IF(ISNA(MATCH(AI$2,Inputs!$K$4:$AJ$4,0)),NA(),IF(SUMPRODUCT((Inputs!$A$5:$A$120=$B44)*ISNUMBER(INDEX(Inputs!$K$5:$AJ$120,0,MATCH(AI$2,Inputs!$K$4:$AJ$4,0))))+SUMPRODUCT((Inputs!$C$5:$C$120=$B44)*ISNUMBER(INDEX(Inputs!$K$5:$AJ$120,0,MATCH(AI$2,Inputs!$K$4:$AJ$4,0))))+SUMPRODUCT((Inputs!$E$5:$E$120=$B44)*ISNUMBER(INDEX(Inputs!$K$5:$AJ$120,0,MATCH(AI$2,Inputs!$K$4:$AJ$4,0))))=0,NA(),SUMPRODUCT((Inputs!$A$5:$A$120=$B44)*Inputs!$B$5:$B$120*(((Inputs!$G$5:$G$120="moeda")+(Inputs!$G$5:$G$120="acoes"))*Inputs!$B$1+((Inputs!$G$5:$G$120&lt;&gt;"moeda")*(Inputs!$G$5:$G$120&lt;&gt;"acoes")))*INDEX(Inputs!$K$5:$AJ$120,0,MATCH(AI$2,Inputs!$K$4:$AJ$4,0)))+SUMPRODUCT((Inputs!$C$5:$C$120=$B44)*Inputs!$D$5:$D$120*(((Inputs!$G$5:$G$120="moeda")+(Inputs!$G$5:$G$120="acoes"))*Inputs!$B$1+((Inputs!$G$5:$G$120&lt;&gt;"moeda")*(Inputs!$G$5:$G$120&lt;&gt;"acoes")))*INDEX(Inputs!$K$5:$AJ$120,0,MATCH(AI$2,Inputs!$K$4:$AJ$4,0)))+SUMPRODUCT((Inputs!$E$5:$E$120=$B44)*Inputs!$F$5:$F$120*(((Inputs!$G$5:$G$120="moeda")+(Inputs!$G$5:$G$120="acoes"))*Inputs!$B$1+((Inputs!$G$5:$G$120&lt;&gt;"moeda")*(Inputs!$G$5:$G$120&lt;&gt;"acoes")))*INDEX(Inputs!$K$5:$AJ$120,0,MATCH(AI$2,Inputs!$K$4:$AJ$4,0)))))</f>
        <v>-3739</v>
      </c>
      <c r="AJ44" s="267">
        <f>IF(ISNA(MATCH(AJ$2,Inputs!$K$4:$AJ$4,0)),NA(),IF(SUMPRODUCT((Inputs!$A$5:$A$120=$B44)*ISNUMBER(INDEX(Inputs!$K$5:$AJ$120,0,MATCH(AJ$2,Inputs!$K$4:$AJ$4,0))))+SUMPRODUCT((Inputs!$C$5:$C$120=$B44)*ISNUMBER(INDEX(Inputs!$K$5:$AJ$120,0,MATCH(AJ$2,Inputs!$K$4:$AJ$4,0))))+SUMPRODUCT((Inputs!$E$5:$E$120=$B44)*ISNUMBER(INDEX(Inputs!$K$5:$AJ$120,0,MATCH(AJ$2,Inputs!$K$4:$AJ$4,0))))=0,NA(),SUMPRODUCT((Inputs!$A$5:$A$120=$B44)*Inputs!$B$5:$B$120*(((Inputs!$G$5:$G$120="moeda")+(Inputs!$G$5:$G$120="acoes"))*Inputs!$B$1+((Inputs!$G$5:$G$120&lt;&gt;"moeda")*(Inputs!$G$5:$G$120&lt;&gt;"acoes")))*INDEX(Inputs!$K$5:$AJ$120,0,MATCH(AJ$2,Inputs!$K$4:$AJ$4,0)))+SUMPRODUCT((Inputs!$C$5:$C$120=$B44)*Inputs!$D$5:$D$120*(((Inputs!$G$5:$G$120="moeda")+(Inputs!$G$5:$G$120="acoes"))*Inputs!$B$1+((Inputs!$G$5:$G$120&lt;&gt;"moeda")*(Inputs!$G$5:$G$120&lt;&gt;"acoes")))*INDEX(Inputs!$K$5:$AJ$120,0,MATCH(AJ$2,Inputs!$K$4:$AJ$4,0)))+SUMPRODUCT((Inputs!$E$5:$E$120=$B44)*Inputs!$F$5:$F$120*(((Inputs!$G$5:$G$120="moeda")+(Inputs!$G$5:$G$120="acoes"))*Inputs!$B$1+((Inputs!$G$5:$G$120&lt;&gt;"moeda")*(Inputs!$G$5:$G$120&lt;&gt;"acoes")))*INDEX(Inputs!$K$5:$AJ$120,0,MATCH(AJ$2,Inputs!$K$4:$AJ$4,0)))))</f>
        <v>-3739</v>
      </c>
      <c r="AK44" s="267">
        <f>IF(ISNA(MATCH(AK$2,Inputs!$K$4:$AJ$4,0)),NA(),IF(SUMPRODUCT((Inputs!$A$5:$A$120=$B44)*ISNUMBER(INDEX(Inputs!$K$5:$AJ$120,0,MATCH(AK$2,Inputs!$K$4:$AJ$4,0))))+SUMPRODUCT((Inputs!$C$5:$C$120=$B44)*ISNUMBER(INDEX(Inputs!$K$5:$AJ$120,0,MATCH(AK$2,Inputs!$K$4:$AJ$4,0))))+SUMPRODUCT((Inputs!$E$5:$E$120=$B44)*ISNUMBER(INDEX(Inputs!$K$5:$AJ$120,0,MATCH(AK$2,Inputs!$K$4:$AJ$4,0))))=0,NA(),SUMPRODUCT((Inputs!$A$5:$A$120=$B44)*Inputs!$B$5:$B$120*(((Inputs!$G$5:$G$120="moeda")+(Inputs!$G$5:$G$120="acoes"))*Inputs!$B$1+((Inputs!$G$5:$G$120&lt;&gt;"moeda")*(Inputs!$G$5:$G$120&lt;&gt;"acoes")))*INDEX(Inputs!$K$5:$AJ$120,0,MATCH(AK$2,Inputs!$K$4:$AJ$4,0)))+SUMPRODUCT((Inputs!$C$5:$C$120=$B44)*Inputs!$D$5:$D$120*(((Inputs!$G$5:$G$120="moeda")+(Inputs!$G$5:$G$120="acoes"))*Inputs!$B$1+((Inputs!$G$5:$G$120&lt;&gt;"moeda")*(Inputs!$G$5:$G$120&lt;&gt;"acoes")))*INDEX(Inputs!$K$5:$AJ$120,0,MATCH(AK$2,Inputs!$K$4:$AJ$4,0)))+SUMPRODUCT((Inputs!$E$5:$E$120=$B44)*Inputs!$F$5:$F$120*(((Inputs!$G$5:$G$120="moeda")+(Inputs!$G$5:$G$120="acoes"))*Inputs!$B$1+((Inputs!$G$5:$G$120&lt;&gt;"moeda")*(Inputs!$G$5:$G$120&lt;&gt;"acoes")))*INDEX(Inputs!$K$5:$AJ$120,0,MATCH(AK$2,Inputs!$K$4:$AJ$4,0)))))</f>
        <v>-3758</v>
      </c>
      <c r="AL44" s="268">
        <f>AK44</f>
        <v>-3758</v>
      </c>
    </row>
    <row r="45" ht="12.75" customHeight="1" s="255">
      <c r="B45" s="265" t="n">
        <v>39</v>
      </c>
      <c r="C45" s="270" t="inlineStr">
        <is>
          <t>Comprehensive (accumulated) loss</t>
        </is>
      </c>
      <c r="D45" s="267">
        <f>IF(ISNA(MATCH(D$2,Inputs!$K$4:$AJ$4,0)),NA(),IF(SUMPRODUCT((Inputs!$A$5:$A$120=$B45)*ISNUMBER(INDEX(Inputs!$K$5:$AJ$120,0,MATCH(D$2,Inputs!$K$4:$AJ$4,0))))+SUMPRODUCT((Inputs!$C$5:$C$120=$B45)*ISNUMBER(INDEX(Inputs!$K$5:$AJ$120,0,MATCH(D$2,Inputs!$K$4:$AJ$4,0))))+SUMPRODUCT((Inputs!$E$5:$E$120=$B45)*ISNUMBER(INDEX(Inputs!$K$5:$AJ$120,0,MATCH(D$2,Inputs!$K$4:$AJ$4,0))))=0,NA(),SUMPRODUCT((Inputs!$A$5:$A$120=$B45)*Inputs!$B$5:$B$120*(((Inputs!$G$5:$G$120="moeda")+(Inputs!$G$5:$G$120="acoes"))*Inputs!$B$1+((Inputs!$G$5:$G$120&lt;&gt;"moeda")*(Inputs!$G$5:$G$120&lt;&gt;"acoes")))*INDEX(Inputs!$K$5:$AJ$120,0,MATCH(D$2,Inputs!$K$4:$AJ$4,0)))+SUMPRODUCT((Inputs!$C$5:$C$120=$B45)*Inputs!$D$5:$D$120*(((Inputs!$G$5:$G$120="moeda")+(Inputs!$G$5:$G$120="acoes"))*Inputs!$B$1+((Inputs!$G$5:$G$120&lt;&gt;"moeda")*(Inputs!$G$5:$G$120&lt;&gt;"acoes")))*INDEX(Inputs!$K$5:$AJ$120,0,MATCH(D$2,Inputs!$K$4:$AJ$4,0)))+SUMPRODUCT((Inputs!$E$5:$E$120=$B45)*Inputs!$F$5:$F$120*(((Inputs!$G$5:$G$120="moeda")+(Inputs!$G$5:$G$120="acoes"))*Inputs!$B$1+((Inputs!$G$5:$G$120&lt;&gt;"moeda")*(Inputs!$G$5:$G$120&lt;&gt;"acoes")))*INDEX(Inputs!$K$5:$AJ$120,0,MATCH(D$2,Inputs!$K$4:$AJ$4,0)))))</f>
        <v>-580</v>
      </c>
      <c r="E45" s="267">
        <f>IF(ISNA(MATCH(E$2,Inputs!$K$4:$AJ$4,0)),NA(),IF(SUMPRODUCT((Inputs!$A$5:$A$120=$B45)*ISNUMBER(INDEX(Inputs!$K$5:$AJ$120,0,MATCH(E$2,Inputs!$K$4:$AJ$4,0))))+SUMPRODUCT((Inputs!$C$5:$C$120=$B45)*ISNUMBER(INDEX(Inputs!$K$5:$AJ$120,0,MATCH(E$2,Inputs!$K$4:$AJ$4,0))))+SUMPRODUCT((Inputs!$E$5:$E$120=$B45)*ISNUMBER(INDEX(Inputs!$K$5:$AJ$120,0,MATCH(E$2,Inputs!$K$4:$AJ$4,0))))=0,NA(),SUMPRODUCT((Inputs!$A$5:$A$120=$B45)*Inputs!$B$5:$B$120*(((Inputs!$G$5:$G$120="moeda")+(Inputs!$G$5:$G$120="acoes"))*Inputs!$B$1+((Inputs!$G$5:$G$120&lt;&gt;"moeda")*(Inputs!$G$5:$G$120&lt;&gt;"acoes")))*INDEX(Inputs!$K$5:$AJ$120,0,MATCH(E$2,Inputs!$K$4:$AJ$4,0)))+SUMPRODUCT((Inputs!$C$5:$C$120=$B45)*Inputs!$D$5:$D$120*(((Inputs!$G$5:$G$120="moeda")+(Inputs!$G$5:$G$120="acoes"))*Inputs!$B$1+((Inputs!$G$5:$G$120&lt;&gt;"moeda")*(Inputs!$G$5:$G$120&lt;&gt;"acoes")))*INDEX(Inputs!$K$5:$AJ$120,0,MATCH(E$2,Inputs!$K$4:$AJ$4,0)))+SUMPRODUCT((Inputs!$E$5:$E$120=$B45)*Inputs!$F$5:$F$120*(((Inputs!$G$5:$G$120="moeda")+(Inputs!$G$5:$G$120="acoes"))*Inputs!$B$1+((Inputs!$G$5:$G$120&lt;&gt;"moeda")*(Inputs!$G$5:$G$120&lt;&gt;"acoes")))*INDEX(Inputs!$K$5:$AJ$120,0,MATCH(E$2,Inputs!$K$4:$AJ$4,0)))))</f>
        <v>-576</v>
      </c>
      <c r="F45" s="267">
        <f>IF(ISNA(MATCH(F$2,Inputs!$K$4:$AJ$4,0)),NA(),IF(SUMPRODUCT((Inputs!$A$5:$A$120=$B45)*ISNUMBER(INDEX(Inputs!$K$5:$AJ$120,0,MATCH(F$2,Inputs!$K$4:$AJ$4,0))))+SUMPRODUCT((Inputs!$C$5:$C$120=$B45)*ISNUMBER(INDEX(Inputs!$K$5:$AJ$120,0,MATCH(F$2,Inputs!$K$4:$AJ$4,0))))+SUMPRODUCT((Inputs!$E$5:$E$120=$B45)*ISNUMBER(INDEX(Inputs!$K$5:$AJ$120,0,MATCH(F$2,Inputs!$K$4:$AJ$4,0))))=0,NA(),SUMPRODUCT((Inputs!$A$5:$A$120=$B45)*Inputs!$B$5:$B$120*(((Inputs!$G$5:$G$120="moeda")+(Inputs!$G$5:$G$120="acoes"))*Inputs!$B$1+((Inputs!$G$5:$G$120&lt;&gt;"moeda")*(Inputs!$G$5:$G$120&lt;&gt;"acoes")))*INDEX(Inputs!$K$5:$AJ$120,0,MATCH(F$2,Inputs!$K$4:$AJ$4,0)))+SUMPRODUCT((Inputs!$C$5:$C$120=$B45)*Inputs!$D$5:$D$120*(((Inputs!$G$5:$G$120="moeda")+(Inputs!$G$5:$G$120="acoes"))*Inputs!$B$1+((Inputs!$G$5:$G$120&lt;&gt;"moeda")*(Inputs!$G$5:$G$120&lt;&gt;"acoes")))*INDEX(Inputs!$K$5:$AJ$120,0,MATCH(F$2,Inputs!$K$4:$AJ$4,0)))+SUMPRODUCT((Inputs!$E$5:$E$120=$B45)*Inputs!$F$5:$F$120*(((Inputs!$G$5:$G$120="moeda")+(Inputs!$G$5:$G$120="acoes"))*Inputs!$B$1+((Inputs!$G$5:$G$120&lt;&gt;"moeda")*(Inputs!$G$5:$G$120&lt;&gt;"acoes")))*INDEX(Inputs!$K$5:$AJ$120,0,MATCH(F$2,Inputs!$K$4:$AJ$4,0)))))</f>
        <v>-572</v>
      </c>
      <c r="G45" s="267">
        <f>IF(ISNA(MATCH(G$2,Inputs!$K$4:$AJ$4,0)),NA(),IF(SUMPRODUCT((Inputs!$A$5:$A$120=$B45)*ISNUMBER(INDEX(Inputs!$K$5:$AJ$120,0,MATCH(G$2,Inputs!$K$4:$AJ$4,0))))+SUMPRODUCT((Inputs!$C$5:$C$120=$B45)*ISNUMBER(INDEX(Inputs!$K$5:$AJ$120,0,MATCH(G$2,Inputs!$K$4:$AJ$4,0))))+SUMPRODUCT((Inputs!$E$5:$E$120=$B45)*ISNUMBER(INDEX(Inputs!$K$5:$AJ$120,0,MATCH(G$2,Inputs!$K$4:$AJ$4,0))))=0,NA(),SUMPRODUCT((Inputs!$A$5:$A$120=$B45)*Inputs!$B$5:$B$120*(((Inputs!$G$5:$G$120="moeda")+(Inputs!$G$5:$G$120="acoes"))*Inputs!$B$1+((Inputs!$G$5:$G$120&lt;&gt;"moeda")*(Inputs!$G$5:$G$120&lt;&gt;"acoes")))*INDEX(Inputs!$K$5:$AJ$120,0,MATCH(G$2,Inputs!$K$4:$AJ$4,0)))+SUMPRODUCT((Inputs!$C$5:$C$120=$B45)*Inputs!$D$5:$D$120*(((Inputs!$G$5:$G$120="moeda")+(Inputs!$G$5:$G$120="acoes"))*Inputs!$B$1+((Inputs!$G$5:$G$120&lt;&gt;"moeda")*(Inputs!$G$5:$G$120&lt;&gt;"acoes")))*INDEX(Inputs!$K$5:$AJ$120,0,MATCH(G$2,Inputs!$K$4:$AJ$4,0)))+SUMPRODUCT((Inputs!$E$5:$E$120=$B45)*Inputs!$F$5:$F$120*(((Inputs!$G$5:$G$120="moeda")+(Inputs!$G$5:$G$120="acoes"))*Inputs!$B$1+((Inputs!$G$5:$G$120&lt;&gt;"moeda")*(Inputs!$G$5:$G$120&lt;&gt;"acoes")))*INDEX(Inputs!$K$5:$AJ$120,0,MATCH(G$2,Inputs!$K$4:$AJ$4,0)))))</f>
        <v>-388</v>
      </c>
      <c r="H45" s="268">
        <f>G45</f>
        <v>-388</v>
      </c>
      <c r="I45" s="267">
        <f>IF(ISNA(MATCH(I$2,Inputs!$K$4:$AJ$4,0)),NA(),IF(SUMPRODUCT((Inputs!$A$5:$A$120=$B45)*ISNUMBER(INDEX(Inputs!$K$5:$AJ$120,0,MATCH(I$2,Inputs!$K$4:$AJ$4,0))))+SUMPRODUCT((Inputs!$C$5:$C$120=$B45)*ISNUMBER(INDEX(Inputs!$K$5:$AJ$120,0,MATCH(I$2,Inputs!$K$4:$AJ$4,0))))+SUMPRODUCT((Inputs!$E$5:$E$120=$B45)*ISNUMBER(INDEX(Inputs!$K$5:$AJ$120,0,MATCH(I$2,Inputs!$K$4:$AJ$4,0))))=0,NA(),SUMPRODUCT((Inputs!$A$5:$A$120=$B45)*Inputs!$B$5:$B$120*(((Inputs!$G$5:$G$120="moeda")+(Inputs!$G$5:$G$120="acoes"))*Inputs!$B$1+((Inputs!$G$5:$G$120&lt;&gt;"moeda")*(Inputs!$G$5:$G$120&lt;&gt;"acoes")))*INDEX(Inputs!$K$5:$AJ$120,0,MATCH(I$2,Inputs!$K$4:$AJ$4,0)))+SUMPRODUCT((Inputs!$C$5:$C$120=$B45)*Inputs!$D$5:$D$120*(((Inputs!$G$5:$G$120="moeda")+(Inputs!$G$5:$G$120="acoes"))*Inputs!$B$1+((Inputs!$G$5:$G$120&lt;&gt;"moeda")*(Inputs!$G$5:$G$120&lt;&gt;"acoes")))*INDEX(Inputs!$K$5:$AJ$120,0,MATCH(I$2,Inputs!$K$4:$AJ$4,0)))+SUMPRODUCT((Inputs!$E$5:$E$120=$B45)*Inputs!$F$5:$F$120*(((Inputs!$G$5:$G$120="moeda")+(Inputs!$G$5:$G$120="acoes"))*Inputs!$B$1+((Inputs!$G$5:$G$120&lt;&gt;"moeda")*(Inputs!$G$5:$G$120&lt;&gt;"acoes")))*INDEX(Inputs!$K$5:$AJ$120,0,MATCH(I$2,Inputs!$K$4:$AJ$4,0)))))</f>
        <v>-387</v>
      </c>
      <c r="J45" s="267">
        <f>IF(ISNA(MATCH(J$2,Inputs!$K$4:$AJ$4,0)),NA(),IF(SUMPRODUCT((Inputs!$A$5:$A$120=$B45)*ISNUMBER(INDEX(Inputs!$K$5:$AJ$120,0,MATCH(J$2,Inputs!$K$4:$AJ$4,0))))+SUMPRODUCT((Inputs!$C$5:$C$120=$B45)*ISNUMBER(INDEX(Inputs!$K$5:$AJ$120,0,MATCH(J$2,Inputs!$K$4:$AJ$4,0))))+SUMPRODUCT((Inputs!$E$5:$E$120=$B45)*ISNUMBER(INDEX(Inputs!$K$5:$AJ$120,0,MATCH(J$2,Inputs!$K$4:$AJ$4,0))))=0,NA(),SUMPRODUCT((Inputs!$A$5:$A$120=$B45)*Inputs!$B$5:$B$120*(((Inputs!$G$5:$G$120="moeda")+(Inputs!$G$5:$G$120="acoes"))*Inputs!$B$1+((Inputs!$G$5:$G$120&lt;&gt;"moeda")*(Inputs!$G$5:$G$120&lt;&gt;"acoes")))*INDEX(Inputs!$K$5:$AJ$120,0,MATCH(J$2,Inputs!$K$4:$AJ$4,0)))+SUMPRODUCT((Inputs!$C$5:$C$120=$B45)*Inputs!$D$5:$D$120*(((Inputs!$G$5:$G$120="moeda")+(Inputs!$G$5:$G$120="acoes"))*Inputs!$B$1+((Inputs!$G$5:$G$120&lt;&gt;"moeda")*(Inputs!$G$5:$G$120&lt;&gt;"acoes")))*INDEX(Inputs!$K$5:$AJ$120,0,MATCH(J$2,Inputs!$K$4:$AJ$4,0)))+SUMPRODUCT((Inputs!$E$5:$E$120=$B45)*Inputs!$F$5:$F$120*(((Inputs!$G$5:$G$120="moeda")+(Inputs!$G$5:$G$120="acoes"))*Inputs!$B$1+((Inputs!$G$5:$G$120&lt;&gt;"moeda")*(Inputs!$G$5:$G$120&lt;&gt;"acoes")))*INDEX(Inputs!$K$5:$AJ$120,0,MATCH(J$2,Inputs!$K$4:$AJ$4,0)))))</f>
        <v>-386</v>
      </c>
      <c r="K45" s="267">
        <f>IF(ISNA(MATCH(K$2,Inputs!$K$4:$AJ$4,0)),NA(),IF(SUMPRODUCT((Inputs!$A$5:$A$120=$B45)*ISNUMBER(INDEX(Inputs!$K$5:$AJ$120,0,MATCH(K$2,Inputs!$K$4:$AJ$4,0))))+SUMPRODUCT((Inputs!$C$5:$C$120=$B45)*ISNUMBER(INDEX(Inputs!$K$5:$AJ$120,0,MATCH(K$2,Inputs!$K$4:$AJ$4,0))))+SUMPRODUCT((Inputs!$E$5:$E$120=$B45)*ISNUMBER(INDEX(Inputs!$K$5:$AJ$120,0,MATCH(K$2,Inputs!$K$4:$AJ$4,0))))=0,NA(),SUMPRODUCT((Inputs!$A$5:$A$120=$B45)*Inputs!$B$5:$B$120*(((Inputs!$G$5:$G$120="moeda")+(Inputs!$G$5:$G$120="acoes"))*Inputs!$B$1+((Inputs!$G$5:$G$120&lt;&gt;"moeda")*(Inputs!$G$5:$G$120&lt;&gt;"acoes")))*INDEX(Inputs!$K$5:$AJ$120,0,MATCH(K$2,Inputs!$K$4:$AJ$4,0)))+SUMPRODUCT((Inputs!$C$5:$C$120=$B45)*Inputs!$D$5:$D$120*(((Inputs!$G$5:$G$120="moeda")+(Inputs!$G$5:$G$120="acoes"))*Inputs!$B$1+((Inputs!$G$5:$G$120&lt;&gt;"moeda")*(Inputs!$G$5:$G$120&lt;&gt;"acoes")))*INDEX(Inputs!$K$5:$AJ$120,0,MATCH(K$2,Inputs!$K$4:$AJ$4,0)))+SUMPRODUCT((Inputs!$E$5:$E$120=$B45)*Inputs!$F$5:$F$120*(((Inputs!$G$5:$G$120="moeda")+(Inputs!$G$5:$G$120="acoes"))*Inputs!$B$1+((Inputs!$G$5:$G$120&lt;&gt;"moeda")*(Inputs!$G$5:$G$120&lt;&gt;"acoes")))*INDEX(Inputs!$K$5:$AJ$120,0,MATCH(K$2,Inputs!$K$4:$AJ$4,0)))))</f>
        <v>-385</v>
      </c>
      <c r="L45" s="267">
        <f>IF(ISNA(MATCH(L$2,Inputs!$K$4:$AJ$4,0)),NA(),IF(SUMPRODUCT((Inputs!$A$5:$A$120=$B45)*ISNUMBER(INDEX(Inputs!$K$5:$AJ$120,0,MATCH(L$2,Inputs!$K$4:$AJ$4,0))))+SUMPRODUCT((Inputs!$C$5:$C$120=$B45)*ISNUMBER(INDEX(Inputs!$K$5:$AJ$120,0,MATCH(L$2,Inputs!$K$4:$AJ$4,0))))+SUMPRODUCT((Inputs!$E$5:$E$120=$B45)*ISNUMBER(INDEX(Inputs!$K$5:$AJ$120,0,MATCH(L$2,Inputs!$K$4:$AJ$4,0))))=0,NA(),SUMPRODUCT((Inputs!$A$5:$A$120=$B45)*Inputs!$B$5:$B$120*(((Inputs!$G$5:$G$120="moeda")+(Inputs!$G$5:$G$120="acoes"))*Inputs!$B$1+((Inputs!$G$5:$G$120&lt;&gt;"moeda")*(Inputs!$G$5:$G$120&lt;&gt;"acoes")))*INDEX(Inputs!$K$5:$AJ$120,0,MATCH(L$2,Inputs!$K$4:$AJ$4,0)))+SUMPRODUCT((Inputs!$C$5:$C$120=$B45)*Inputs!$D$5:$D$120*(((Inputs!$G$5:$G$120="moeda")+(Inputs!$G$5:$G$120="acoes"))*Inputs!$B$1+((Inputs!$G$5:$G$120&lt;&gt;"moeda")*(Inputs!$G$5:$G$120&lt;&gt;"acoes")))*INDEX(Inputs!$K$5:$AJ$120,0,MATCH(L$2,Inputs!$K$4:$AJ$4,0)))+SUMPRODUCT((Inputs!$E$5:$E$120=$B45)*Inputs!$F$5:$F$120*(((Inputs!$G$5:$G$120="moeda")+(Inputs!$G$5:$G$120="acoes"))*Inputs!$B$1+((Inputs!$G$5:$G$120&lt;&gt;"moeda")*(Inputs!$G$5:$G$120&lt;&gt;"acoes")))*INDEX(Inputs!$K$5:$AJ$120,0,MATCH(L$2,Inputs!$K$4:$AJ$4,0)))))</f>
        <v>-320</v>
      </c>
      <c r="M45" s="268">
        <f>L45</f>
        <v>-320</v>
      </c>
      <c r="N45" s="267">
        <f>IF(ISNA(MATCH(N$2,Inputs!$K$4:$AJ$4,0)),NA(),IF(SUMPRODUCT((Inputs!$A$5:$A$120=$B45)*ISNUMBER(INDEX(Inputs!$K$5:$AJ$120,0,MATCH(N$2,Inputs!$K$4:$AJ$4,0))))+SUMPRODUCT((Inputs!$C$5:$C$120=$B45)*ISNUMBER(INDEX(Inputs!$K$5:$AJ$120,0,MATCH(N$2,Inputs!$K$4:$AJ$4,0))))+SUMPRODUCT((Inputs!$E$5:$E$120=$B45)*ISNUMBER(INDEX(Inputs!$K$5:$AJ$120,0,MATCH(N$2,Inputs!$K$4:$AJ$4,0))))=0,NA(),SUMPRODUCT((Inputs!$A$5:$A$120=$B45)*Inputs!$B$5:$B$120*(((Inputs!$G$5:$G$120="moeda")+(Inputs!$G$5:$G$120="acoes"))*Inputs!$B$1+((Inputs!$G$5:$G$120&lt;&gt;"moeda")*(Inputs!$G$5:$G$120&lt;&gt;"acoes")))*INDEX(Inputs!$K$5:$AJ$120,0,MATCH(N$2,Inputs!$K$4:$AJ$4,0)))+SUMPRODUCT((Inputs!$C$5:$C$120=$B45)*Inputs!$D$5:$D$120*(((Inputs!$G$5:$G$120="moeda")+(Inputs!$G$5:$G$120="acoes"))*Inputs!$B$1+((Inputs!$G$5:$G$120&lt;&gt;"moeda")*(Inputs!$G$5:$G$120&lt;&gt;"acoes")))*INDEX(Inputs!$K$5:$AJ$120,0,MATCH(N$2,Inputs!$K$4:$AJ$4,0)))+SUMPRODUCT((Inputs!$E$5:$E$120=$B45)*Inputs!$F$5:$F$120*(((Inputs!$G$5:$G$120="moeda")+(Inputs!$G$5:$G$120="acoes"))*Inputs!$B$1+((Inputs!$G$5:$G$120&lt;&gt;"moeda")*(Inputs!$G$5:$G$120&lt;&gt;"acoes")))*INDEX(Inputs!$K$5:$AJ$120,0,MATCH(N$2,Inputs!$K$4:$AJ$4,0)))))</f>
        <v>-319</v>
      </c>
      <c r="O45" s="267">
        <f>IF(ISNA(MATCH(O$2,Inputs!$K$4:$AJ$4,0)),NA(),IF(SUMPRODUCT((Inputs!$A$5:$A$120=$B45)*ISNUMBER(INDEX(Inputs!$K$5:$AJ$120,0,MATCH(O$2,Inputs!$K$4:$AJ$4,0))))+SUMPRODUCT((Inputs!$C$5:$C$120=$B45)*ISNUMBER(INDEX(Inputs!$K$5:$AJ$120,0,MATCH(O$2,Inputs!$K$4:$AJ$4,0))))+SUMPRODUCT((Inputs!$E$5:$E$120=$B45)*ISNUMBER(INDEX(Inputs!$K$5:$AJ$120,0,MATCH(O$2,Inputs!$K$4:$AJ$4,0))))=0,NA(),SUMPRODUCT((Inputs!$A$5:$A$120=$B45)*Inputs!$B$5:$B$120*(((Inputs!$G$5:$G$120="moeda")+(Inputs!$G$5:$G$120="acoes"))*Inputs!$B$1+((Inputs!$G$5:$G$120&lt;&gt;"moeda")*(Inputs!$G$5:$G$120&lt;&gt;"acoes")))*INDEX(Inputs!$K$5:$AJ$120,0,MATCH(O$2,Inputs!$K$4:$AJ$4,0)))+SUMPRODUCT((Inputs!$C$5:$C$120=$B45)*Inputs!$D$5:$D$120*(((Inputs!$G$5:$G$120="moeda")+(Inputs!$G$5:$G$120="acoes"))*Inputs!$B$1+((Inputs!$G$5:$G$120&lt;&gt;"moeda")*(Inputs!$G$5:$G$120&lt;&gt;"acoes")))*INDEX(Inputs!$K$5:$AJ$120,0,MATCH(O$2,Inputs!$K$4:$AJ$4,0)))+SUMPRODUCT((Inputs!$E$5:$E$120=$B45)*Inputs!$F$5:$F$120*(((Inputs!$G$5:$G$120="moeda")+(Inputs!$G$5:$G$120="acoes"))*Inputs!$B$1+((Inputs!$G$5:$G$120&lt;&gt;"moeda")*(Inputs!$G$5:$G$120&lt;&gt;"acoes")))*INDEX(Inputs!$K$5:$AJ$120,0,MATCH(O$2,Inputs!$K$4:$AJ$4,0)))))</f>
        <v>-318</v>
      </c>
      <c r="P45" s="267">
        <f>IF(ISNA(MATCH(P$2,Inputs!$K$4:$AJ$4,0)),NA(),IF(SUMPRODUCT((Inputs!$A$5:$A$120=$B45)*ISNUMBER(INDEX(Inputs!$K$5:$AJ$120,0,MATCH(P$2,Inputs!$K$4:$AJ$4,0))))+SUMPRODUCT((Inputs!$C$5:$C$120=$B45)*ISNUMBER(INDEX(Inputs!$K$5:$AJ$120,0,MATCH(P$2,Inputs!$K$4:$AJ$4,0))))+SUMPRODUCT((Inputs!$E$5:$E$120=$B45)*ISNUMBER(INDEX(Inputs!$K$5:$AJ$120,0,MATCH(P$2,Inputs!$K$4:$AJ$4,0))))=0,NA(),SUMPRODUCT((Inputs!$A$5:$A$120=$B45)*Inputs!$B$5:$B$120*(((Inputs!$G$5:$G$120="moeda")+(Inputs!$G$5:$G$120="acoes"))*Inputs!$B$1+((Inputs!$G$5:$G$120&lt;&gt;"moeda")*(Inputs!$G$5:$G$120&lt;&gt;"acoes")))*INDEX(Inputs!$K$5:$AJ$120,0,MATCH(P$2,Inputs!$K$4:$AJ$4,0)))+SUMPRODUCT((Inputs!$C$5:$C$120=$B45)*Inputs!$D$5:$D$120*(((Inputs!$G$5:$G$120="moeda")+(Inputs!$G$5:$G$120="acoes"))*Inputs!$B$1+((Inputs!$G$5:$G$120&lt;&gt;"moeda")*(Inputs!$G$5:$G$120&lt;&gt;"acoes")))*INDEX(Inputs!$K$5:$AJ$120,0,MATCH(P$2,Inputs!$K$4:$AJ$4,0)))+SUMPRODUCT((Inputs!$E$5:$E$120=$B45)*Inputs!$F$5:$F$120*(((Inputs!$G$5:$G$120="moeda")+(Inputs!$G$5:$G$120="acoes"))*Inputs!$B$1+((Inputs!$G$5:$G$120&lt;&gt;"moeda")*(Inputs!$G$5:$G$120&lt;&gt;"acoes")))*INDEX(Inputs!$K$5:$AJ$120,0,MATCH(P$2,Inputs!$K$4:$AJ$4,0)))))</f>
        <v>-317</v>
      </c>
      <c r="Q45" s="267">
        <f>IF(ISNA(MATCH(Q$2,Inputs!$K$4:$AJ$4,0)),NA(),IF(SUMPRODUCT((Inputs!$A$5:$A$120=$B45)*ISNUMBER(INDEX(Inputs!$K$5:$AJ$120,0,MATCH(Q$2,Inputs!$K$4:$AJ$4,0))))+SUMPRODUCT((Inputs!$C$5:$C$120=$B45)*ISNUMBER(INDEX(Inputs!$K$5:$AJ$120,0,MATCH(Q$2,Inputs!$K$4:$AJ$4,0))))+SUMPRODUCT((Inputs!$E$5:$E$120=$B45)*ISNUMBER(INDEX(Inputs!$K$5:$AJ$120,0,MATCH(Q$2,Inputs!$K$4:$AJ$4,0))))=0,NA(),SUMPRODUCT((Inputs!$A$5:$A$120=$B45)*Inputs!$B$5:$B$120*(((Inputs!$G$5:$G$120="moeda")+(Inputs!$G$5:$G$120="acoes"))*Inputs!$B$1+((Inputs!$G$5:$G$120&lt;&gt;"moeda")*(Inputs!$G$5:$G$120&lt;&gt;"acoes")))*INDEX(Inputs!$K$5:$AJ$120,0,MATCH(Q$2,Inputs!$K$4:$AJ$4,0)))+SUMPRODUCT((Inputs!$C$5:$C$120=$B45)*Inputs!$D$5:$D$120*(((Inputs!$G$5:$G$120="moeda")+(Inputs!$G$5:$G$120="acoes"))*Inputs!$B$1+((Inputs!$G$5:$G$120&lt;&gt;"moeda")*(Inputs!$G$5:$G$120&lt;&gt;"acoes")))*INDEX(Inputs!$K$5:$AJ$120,0,MATCH(Q$2,Inputs!$K$4:$AJ$4,0)))+SUMPRODUCT((Inputs!$E$5:$E$120=$B45)*Inputs!$F$5:$F$120*(((Inputs!$G$5:$G$120="moeda")+(Inputs!$G$5:$G$120="acoes"))*Inputs!$B$1+((Inputs!$G$5:$G$120&lt;&gt;"moeda")*(Inputs!$G$5:$G$120&lt;&gt;"acoes")))*INDEX(Inputs!$K$5:$AJ$120,0,MATCH(Q$2,Inputs!$K$4:$AJ$4,0)))))</f>
        <v>-274</v>
      </c>
      <c r="R45" s="268">
        <f>Q45</f>
        <v>-274</v>
      </c>
      <c r="S45" s="267">
        <f>IF(ISNA(MATCH(S$2,Inputs!$K$4:$AJ$4,0)),NA(),IF(SUMPRODUCT((Inputs!$A$5:$A$120=$B45)*ISNUMBER(INDEX(Inputs!$K$5:$AJ$120,0,MATCH(S$2,Inputs!$K$4:$AJ$4,0))))+SUMPRODUCT((Inputs!$C$5:$C$120=$B45)*ISNUMBER(INDEX(Inputs!$K$5:$AJ$120,0,MATCH(S$2,Inputs!$K$4:$AJ$4,0))))+SUMPRODUCT((Inputs!$E$5:$E$120=$B45)*ISNUMBER(INDEX(Inputs!$K$5:$AJ$120,0,MATCH(S$2,Inputs!$K$4:$AJ$4,0))))=0,NA(),SUMPRODUCT((Inputs!$A$5:$A$120=$B45)*Inputs!$B$5:$B$120*(((Inputs!$G$5:$G$120="moeda")+(Inputs!$G$5:$G$120="acoes"))*Inputs!$B$1+((Inputs!$G$5:$G$120&lt;&gt;"moeda")*(Inputs!$G$5:$G$120&lt;&gt;"acoes")))*INDEX(Inputs!$K$5:$AJ$120,0,MATCH(S$2,Inputs!$K$4:$AJ$4,0)))+SUMPRODUCT((Inputs!$C$5:$C$120=$B45)*Inputs!$D$5:$D$120*(((Inputs!$G$5:$G$120="moeda")+(Inputs!$G$5:$G$120="acoes"))*Inputs!$B$1+((Inputs!$G$5:$G$120&lt;&gt;"moeda")*(Inputs!$G$5:$G$120&lt;&gt;"acoes")))*INDEX(Inputs!$K$5:$AJ$120,0,MATCH(S$2,Inputs!$K$4:$AJ$4,0)))+SUMPRODUCT((Inputs!$E$5:$E$120=$B45)*Inputs!$F$5:$F$120*(((Inputs!$G$5:$G$120="moeda")+(Inputs!$G$5:$G$120="acoes"))*Inputs!$B$1+((Inputs!$G$5:$G$120&lt;&gt;"moeda")*(Inputs!$G$5:$G$120&lt;&gt;"acoes")))*INDEX(Inputs!$K$5:$AJ$120,0,MATCH(S$2,Inputs!$K$4:$AJ$4,0)))))</f>
        <v>-274</v>
      </c>
      <c r="T45" s="267">
        <f>IF(ISNA(MATCH(T$2,Inputs!$K$4:$AJ$4,0)),NA(),IF(SUMPRODUCT((Inputs!$A$5:$A$120=$B45)*ISNUMBER(INDEX(Inputs!$K$5:$AJ$120,0,MATCH(T$2,Inputs!$K$4:$AJ$4,0))))+SUMPRODUCT((Inputs!$C$5:$C$120=$B45)*ISNUMBER(INDEX(Inputs!$K$5:$AJ$120,0,MATCH(T$2,Inputs!$K$4:$AJ$4,0))))+SUMPRODUCT((Inputs!$E$5:$E$120=$B45)*ISNUMBER(INDEX(Inputs!$K$5:$AJ$120,0,MATCH(T$2,Inputs!$K$4:$AJ$4,0))))=0,NA(),SUMPRODUCT((Inputs!$A$5:$A$120=$B45)*Inputs!$B$5:$B$120*(((Inputs!$G$5:$G$120="moeda")+(Inputs!$G$5:$G$120="acoes"))*Inputs!$B$1+((Inputs!$G$5:$G$120&lt;&gt;"moeda")*(Inputs!$G$5:$G$120&lt;&gt;"acoes")))*INDEX(Inputs!$K$5:$AJ$120,0,MATCH(T$2,Inputs!$K$4:$AJ$4,0)))+SUMPRODUCT((Inputs!$C$5:$C$120=$B45)*Inputs!$D$5:$D$120*(((Inputs!$G$5:$G$120="moeda")+(Inputs!$G$5:$G$120="acoes"))*Inputs!$B$1+((Inputs!$G$5:$G$120&lt;&gt;"moeda")*(Inputs!$G$5:$G$120&lt;&gt;"acoes")))*INDEX(Inputs!$K$5:$AJ$120,0,MATCH(T$2,Inputs!$K$4:$AJ$4,0)))+SUMPRODUCT((Inputs!$E$5:$E$120=$B45)*Inputs!$F$5:$F$120*(((Inputs!$G$5:$G$120="moeda")+(Inputs!$G$5:$G$120="acoes"))*Inputs!$B$1+((Inputs!$G$5:$G$120&lt;&gt;"moeda")*(Inputs!$G$5:$G$120&lt;&gt;"acoes")))*INDEX(Inputs!$K$5:$AJ$120,0,MATCH(T$2,Inputs!$K$4:$AJ$4,0)))))</f>
        <v>-274</v>
      </c>
      <c r="U45" s="267">
        <f>IF(ISNA(MATCH(U$2,Inputs!$K$4:$AJ$4,0)),NA(),IF(SUMPRODUCT((Inputs!$A$5:$A$120=$B45)*ISNUMBER(INDEX(Inputs!$K$5:$AJ$120,0,MATCH(U$2,Inputs!$K$4:$AJ$4,0))))+SUMPRODUCT((Inputs!$C$5:$C$120=$B45)*ISNUMBER(INDEX(Inputs!$K$5:$AJ$120,0,MATCH(U$2,Inputs!$K$4:$AJ$4,0))))+SUMPRODUCT((Inputs!$E$5:$E$120=$B45)*ISNUMBER(INDEX(Inputs!$K$5:$AJ$120,0,MATCH(U$2,Inputs!$K$4:$AJ$4,0))))=0,NA(),SUMPRODUCT((Inputs!$A$5:$A$120=$B45)*Inputs!$B$5:$B$120*(((Inputs!$G$5:$G$120="moeda")+(Inputs!$G$5:$G$120="acoes"))*Inputs!$B$1+((Inputs!$G$5:$G$120&lt;&gt;"moeda")*(Inputs!$G$5:$G$120&lt;&gt;"acoes")))*INDEX(Inputs!$K$5:$AJ$120,0,MATCH(U$2,Inputs!$K$4:$AJ$4,0)))+SUMPRODUCT((Inputs!$C$5:$C$120=$B45)*Inputs!$D$5:$D$120*(((Inputs!$G$5:$G$120="moeda")+(Inputs!$G$5:$G$120="acoes"))*Inputs!$B$1+((Inputs!$G$5:$G$120&lt;&gt;"moeda")*(Inputs!$G$5:$G$120&lt;&gt;"acoes")))*INDEX(Inputs!$K$5:$AJ$120,0,MATCH(U$2,Inputs!$K$4:$AJ$4,0)))+SUMPRODUCT((Inputs!$E$5:$E$120=$B45)*Inputs!$F$5:$F$120*(((Inputs!$G$5:$G$120="moeda")+(Inputs!$G$5:$G$120="acoes"))*Inputs!$B$1+((Inputs!$G$5:$G$120&lt;&gt;"moeda")*(Inputs!$G$5:$G$120&lt;&gt;"acoes")))*INDEX(Inputs!$K$5:$AJ$120,0,MATCH(U$2,Inputs!$K$4:$AJ$4,0)))))</f>
        <v>-273</v>
      </c>
      <c r="V45" s="267">
        <f>IF(ISNA(MATCH(V$2,Inputs!$K$4:$AJ$4,0)),NA(),IF(SUMPRODUCT((Inputs!$A$5:$A$120=$B45)*ISNUMBER(INDEX(Inputs!$K$5:$AJ$120,0,MATCH(V$2,Inputs!$K$4:$AJ$4,0))))+SUMPRODUCT((Inputs!$C$5:$C$120=$B45)*ISNUMBER(INDEX(Inputs!$K$5:$AJ$120,0,MATCH(V$2,Inputs!$K$4:$AJ$4,0))))+SUMPRODUCT((Inputs!$E$5:$E$120=$B45)*ISNUMBER(INDEX(Inputs!$K$5:$AJ$120,0,MATCH(V$2,Inputs!$K$4:$AJ$4,0))))=0,NA(),SUMPRODUCT((Inputs!$A$5:$A$120=$B45)*Inputs!$B$5:$B$120*(((Inputs!$G$5:$G$120="moeda")+(Inputs!$G$5:$G$120="acoes"))*Inputs!$B$1+((Inputs!$G$5:$G$120&lt;&gt;"moeda")*(Inputs!$G$5:$G$120&lt;&gt;"acoes")))*INDEX(Inputs!$K$5:$AJ$120,0,MATCH(V$2,Inputs!$K$4:$AJ$4,0)))+SUMPRODUCT((Inputs!$C$5:$C$120=$B45)*Inputs!$D$5:$D$120*(((Inputs!$G$5:$G$120="moeda")+(Inputs!$G$5:$G$120="acoes"))*Inputs!$B$1+((Inputs!$G$5:$G$120&lt;&gt;"moeda")*(Inputs!$G$5:$G$120&lt;&gt;"acoes")))*INDEX(Inputs!$K$5:$AJ$120,0,MATCH(V$2,Inputs!$K$4:$AJ$4,0)))+SUMPRODUCT((Inputs!$E$5:$E$120=$B45)*Inputs!$F$5:$F$120*(((Inputs!$G$5:$G$120="moeda")+(Inputs!$G$5:$G$120="acoes"))*Inputs!$B$1+((Inputs!$G$5:$G$120&lt;&gt;"moeda")*(Inputs!$G$5:$G$120&lt;&gt;"acoes")))*INDEX(Inputs!$K$5:$AJ$120,0,MATCH(V$2,Inputs!$K$4:$AJ$4,0)))))</f>
        <v>-314</v>
      </c>
      <c r="W45" s="268">
        <f>V45</f>
        <v>-314</v>
      </c>
      <c r="X45" s="267">
        <f>IF(ISNA(MATCH(X$2,Inputs!$K$4:$AJ$4,0)),NA(),IF(SUMPRODUCT((Inputs!$A$5:$A$120=$B45)*ISNUMBER(INDEX(Inputs!$K$5:$AJ$120,0,MATCH(X$2,Inputs!$K$4:$AJ$4,0))))+SUMPRODUCT((Inputs!$C$5:$C$120=$B45)*ISNUMBER(INDEX(Inputs!$K$5:$AJ$120,0,MATCH(X$2,Inputs!$K$4:$AJ$4,0))))+SUMPRODUCT((Inputs!$E$5:$E$120=$B45)*ISNUMBER(INDEX(Inputs!$K$5:$AJ$120,0,MATCH(X$2,Inputs!$K$4:$AJ$4,0))))=0,NA(),SUMPRODUCT((Inputs!$A$5:$A$120=$B45)*Inputs!$B$5:$B$120*(((Inputs!$G$5:$G$120="moeda")+(Inputs!$G$5:$G$120="acoes"))*Inputs!$B$1+((Inputs!$G$5:$G$120&lt;&gt;"moeda")*(Inputs!$G$5:$G$120&lt;&gt;"acoes")))*INDEX(Inputs!$K$5:$AJ$120,0,MATCH(X$2,Inputs!$K$4:$AJ$4,0)))+SUMPRODUCT((Inputs!$C$5:$C$120=$B45)*Inputs!$D$5:$D$120*(((Inputs!$G$5:$G$120="moeda")+(Inputs!$G$5:$G$120="acoes"))*Inputs!$B$1+((Inputs!$G$5:$G$120&lt;&gt;"moeda")*(Inputs!$G$5:$G$120&lt;&gt;"acoes")))*INDEX(Inputs!$K$5:$AJ$120,0,MATCH(X$2,Inputs!$K$4:$AJ$4,0)))+SUMPRODUCT((Inputs!$E$5:$E$120=$B45)*Inputs!$F$5:$F$120*(((Inputs!$G$5:$G$120="moeda")+(Inputs!$G$5:$G$120="acoes"))*Inputs!$B$1+((Inputs!$G$5:$G$120&lt;&gt;"moeda")*(Inputs!$G$5:$G$120&lt;&gt;"acoes")))*INDEX(Inputs!$K$5:$AJ$120,0,MATCH(X$2,Inputs!$K$4:$AJ$4,0)))))</f>
        <v>-313</v>
      </c>
      <c r="Y45" s="267">
        <f>IF(ISNA(MATCH(Y$2,Inputs!$K$4:$AJ$4,0)),NA(),IF(SUMPRODUCT((Inputs!$A$5:$A$120=$B45)*ISNUMBER(INDEX(Inputs!$K$5:$AJ$120,0,MATCH(Y$2,Inputs!$K$4:$AJ$4,0))))+SUMPRODUCT((Inputs!$C$5:$C$120=$B45)*ISNUMBER(INDEX(Inputs!$K$5:$AJ$120,0,MATCH(Y$2,Inputs!$K$4:$AJ$4,0))))+SUMPRODUCT((Inputs!$E$5:$E$120=$B45)*ISNUMBER(INDEX(Inputs!$K$5:$AJ$120,0,MATCH(Y$2,Inputs!$K$4:$AJ$4,0))))=0,NA(),SUMPRODUCT((Inputs!$A$5:$A$120=$B45)*Inputs!$B$5:$B$120*(((Inputs!$G$5:$G$120="moeda")+(Inputs!$G$5:$G$120="acoes"))*Inputs!$B$1+((Inputs!$G$5:$G$120&lt;&gt;"moeda")*(Inputs!$G$5:$G$120&lt;&gt;"acoes")))*INDEX(Inputs!$K$5:$AJ$120,0,MATCH(Y$2,Inputs!$K$4:$AJ$4,0)))+SUMPRODUCT((Inputs!$C$5:$C$120=$B45)*Inputs!$D$5:$D$120*(((Inputs!$G$5:$G$120="moeda")+(Inputs!$G$5:$G$120="acoes"))*Inputs!$B$1+((Inputs!$G$5:$G$120&lt;&gt;"moeda")*(Inputs!$G$5:$G$120&lt;&gt;"acoes")))*INDEX(Inputs!$K$5:$AJ$120,0,MATCH(Y$2,Inputs!$K$4:$AJ$4,0)))+SUMPRODUCT((Inputs!$E$5:$E$120=$B45)*Inputs!$F$5:$F$120*(((Inputs!$G$5:$G$120="moeda")+(Inputs!$G$5:$G$120="acoes"))*Inputs!$B$1+((Inputs!$G$5:$G$120&lt;&gt;"moeda")*(Inputs!$G$5:$G$120&lt;&gt;"acoes")))*INDEX(Inputs!$K$5:$AJ$120,0,MATCH(Y$2,Inputs!$K$4:$AJ$4,0)))))</f>
        <v>-311</v>
      </c>
      <c r="Z45" s="267">
        <f>IF(ISNA(MATCH(Z$2,Inputs!$K$4:$AJ$4,0)),NA(),IF(SUMPRODUCT((Inputs!$A$5:$A$120=$B45)*ISNUMBER(INDEX(Inputs!$K$5:$AJ$120,0,MATCH(Z$2,Inputs!$K$4:$AJ$4,0))))+SUMPRODUCT((Inputs!$C$5:$C$120=$B45)*ISNUMBER(INDEX(Inputs!$K$5:$AJ$120,0,MATCH(Z$2,Inputs!$K$4:$AJ$4,0))))+SUMPRODUCT((Inputs!$E$5:$E$120=$B45)*ISNUMBER(INDEX(Inputs!$K$5:$AJ$120,0,MATCH(Z$2,Inputs!$K$4:$AJ$4,0))))=0,NA(),SUMPRODUCT((Inputs!$A$5:$A$120=$B45)*Inputs!$B$5:$B$120*(((Inputs!$G$5:$G$120="moeda")+(Inputs!$G$5:$G$120="acoes"))*Inputs!$B$1+((Inputs!$G$5:$G$120&lt;&gt;"moeda")*(Inputs!$G$5:$G$120&lt;&gt;"acoes")))*INDEX(Inputs!$K$5:$AJ$120,0,MATCH(Z$2,Inputs!$K$4:$AJ$4,0)))+SUMPRODUCT((Inputs!$C$5:$C$120=$B45)*Inputs!$D$5:$D$120*(((Inputs!$G$5:$G$120="moeda")+(Inputs!$G$5:$G$120="acoes"))*Inputs!$B$1+((Inputs!$G$5:$G$120&lt;&gt;"moeda")*(Inputs!$G$5:$G$120&lt;&gt;"acoes")))*INDEX(Inputs!$K$5:$AJ$120,0,MATCH(Z$2,Inputs!$K$4:$AJ$4,0)))+SUMPRODUCT((Inputs!$E$5:$E$120=$B45)*Inputs!$F$5:$F$120*(((Inputs!$G$5:$G$120="moeda")+(Inputs!$G$5:$G$120="acoes"))*Inputs!$B$1+((Inputs!$G$5:$G$120&lt;&gt;"moeda")*(Inputs!$G$5:$G$120&lt;&gt;"acoes")))*INDEX(Inputs!$K$5:$AJ$120,0,MATCH(Z$2,Inputs!$K$4:$AJ$4,0)))))</f>
        <v>-310</v>
      </c>
      <c r="AA45" s="267">
        <f>IF(ISNA(MATCH(AA$2,Inputs!$K$4:$AJ$4,0)),NA(),IF(SUMPRODUCT((Inputs!$A$5:$A$120=$B45)*ISNUMBER(INDEX(Inputs!$K$5:$AJ$120,0,MATCH(AA$2,Inputs!$K$4:$AJ$4,0))))+SUMPRODUCT((Inputs!$C$5:$C$120=$B45)*ISNUMBER(INDEX(Inputs!$K$5:$AJ$120,0,MATCH(AA$2,Inputs!$K$4:$AJ$4,0))))+SUMPRODUCT((Inputs!$E$5:$E$120=$B45)*ISNUMBER(INDEX(Inputs!$K$5:$AJ$120,0,MATCH(AA$2,Inputs!$K$4:$AJ$4,0))))=0,NA(),SUMPRODUCT((Inputs!$A$5:$A$120=$B45)*Inputs!$B$5:$B$120*(((Inputs!$G$5:$G$120="moeda")+(Inputs!$G$5:$G$120="acoes"))*Inputs!$B$1+((Inputs!$G$5:$G$120&lt;&gt;"moeda")*(Inputs!$G$5:$G$120&lt;&gt;"acoes")))*INDEX(Inputs!$K$5:$AJ$120,0,MATCH(AA$2,Inputs!$K$4:$AJ$4,0)))+SUMPRODUCT((Inputs!$C$5:$C$120=$B45)*Inputs!$D$5:$D$120*(((Inputs!$G$5:$G$120="moeda")+(Inputs!$G$5:$G$120="acoes"))*Inputs!$B$1+((Inputs!$G$5:$G$120&lt;&gt;"moeda")*(Inputs!$G$5:$G$120&lt;&gt;"acoes")))*INDEX(Inputs!$K$5:$AJ$120,0,MATCH(AA$2,Inputs!$K$4:$AJ$4,0)))+SUMPRODUCT((Inputs!$E$5:$E$120=$B45)*Inputs!$F$5:$F$120*(((Inputs!$G$5:$G$120="moeda")+(Inputs!$G$5:$G$120="acoes"))*Inputs!$B$1+((Inputs!$G$5:$G$120&lt;&gt;"moeda")*(Inputs!$G$5:$G$120&lt;&gt;"acoes")))*INDEX(Inputs!$K$5:$AJ$120,0,MATCH(AA$2,Inputs!$K$4:$AJ$4,0)))))</f>
        <v>-305</v>
      </c>
      <c r="AB45" s="268">
        <f>AA45</f>
        <v>-305</v>
      </c>
      <c r="AC45" s="267">
        <f>IF(ISNA(MATCH(AC$2,Inputs!$K$4:$AJ$4,0)),NA(),IF(SUMPRODUCT((Inputs!$A$5:$A$120=$B45)*ISNUMBER(INDEX(Inputs!$K$5:$AJ$120,0,MATCH(AC$2,Inputs!$K$4:$AJ$4,0))))+SUMPRODUCT((Inputs!$C$5:$C$120=$B45)*ISNUMBER(INDEX(Inputs!$K$5:$AJ$120,0,MATCH(AC$2,Inputs!$K$4:$AJ$4,0))))+SUMPRODUCT((Inputs!$E$5:$E$120=$B45)*ISNUMBER(INDEX(Inputs!$K$5:$AJ$120,0,MATCH(AC$2,Inputs!$K$4:$AJ$4,0))))=0,NA(),SUMPRODUCT((Inputs!$A$5:$A$120=$B45)*Inputs!$B$5:$B$120*(((Inputs!$G$5:$G$120="moeda")+(Inputs!$G$5:$G$120="acoes"))*Inputs!$B$1+((Inputs!$G$5:$G$120&lt;&gt;"moeda")*(Inputs!$G$5:$G$120&lt;&gt;"acoes")))*INDEX(Inputs!$K$5:$AJ$120,0,MATCH(AC$2,Inputs!$K$4:$AJ$4,0)))+SUMPRODUCT((Inputs!$C$5:$C$120=$B45)*Inputs!$D$5:$D$120*(((Inputs!$G$5:$G$120="moeda")+(Inputs!$G$5:$G$120="acoes"))*Inputs!$B$1+((Inputs!$G$5:$G$120&lt;&gt;"moeda")*(Inputs!$G$5:$G$120&lt;&gt;"acoes")))*INDEX(Inputs!$K$5:$AJ$120,0,MATCH(AC$2,Inputs!$K$4:$AJ$4,0)))+SUMPRODUCT((Inputs!$E$5:$E$120=$B45)*Inputs!$F$5:$F$120*(((Inputs!$G$5:$G$120="moeda")+(Inputs!$G$5:$G$120="acoes"))*Inputs!$B$1+((Inputs!$G$5:$G$120&lt;&gt;"moeda")*(Inputs!$G$5:$G$120&lt;&gt;"acoes")))*INDEX(Inputs!$K$5:$AJ$120,0,MATCH(AC$2,Inputs!$K$4:$AJ$4,0)))))</f>
        <v>-304</v>
      </c>
      <c r="AD45" s="267">
        <f>IF(ISNA(MATCH(AD$2,Inputs!$K$4:$AJ$4,0)),NA(),IF(SUMPRODUCT((Inputs!$A$5:$A$120=$B45)*ISNUMBER(INDEX(Inputs!$K$5:$AJ$120,0,MATCH(AD$2,Inputs!$K$4:$AJ$4,0))))+SUMPRODUCT((Inputs!$C$5:$C$120=$B45)*ISNUMBER(INDEX(Inputs!$K$5:$AJ$120,0,MATCH(AD$2,Inputs!$K$4:$AJ$4,0))))+SUMPRODUCT((Inputs!$E$5:$E$120=$B45)*ISNUMBER(INDEX(Inputs!$K$5:$AJ$120,0,MATCH(AD$2,Inputs!$K$4:$AJ$4,0))))=0,NA(),SUMPRODUCT((Inputs!$A$5:$A$120=$B45)*Inputs!$B$5:$B$120*(((Inputs!$G$5:$G$120="moeda")+(Inputs!$G$5:$G$120="acoes"))*Inputs!$B$1+((Inputs!$G$5:$G$120&lt;&gt;"moeda")*(Inputs!$G$5:$G$120&lt;&gt;"acoes")))*INDEX(Inputs!$K$5:$AJ$120,0,MATCH(AD$2,Inputs!$K$4:$AJ$4,0)))+SUMPRODUCT((Inputs!$C$5:$C$120=$B45)*Inputs!$D$5:$D$120*(((Inputs!$G$5:$G$120="moeda")+(Inputs!$G$5:$G$120="acoes"))*Inputs!$B$1+((Inputs!$G$5:$G$120&lt;&gt;"moeda")*(Inputs!$G$5:$G$120&lt;&gt;"acoes")))*INDEX(Inputs!$K$5:$AJ$120,0,MATCH(AD$2,Inputs!$K$4:$AJ$4,0)))+SUMPRODUCT((Inputs!$E$5:$E$120=$B45)*Inputs!$F$5:$F$120*(((Inputs!$G$5:$G$120="moeda")+(Inputs!$G$5:$G$120="acoes"))*Inputs!$B$1+((Inputs!$G$5:$G$120&lt;&gt;"moeda")*(Inputs!$G$5:$G$120&lt;&gt;"acoes")))*INDEX(Inputs!$K$5:$AJ$120,0,MATCH(AD$2,Inputs!$K$4:$AJ$4,0)))))</f>
        <v>-303</v>
      </c>
      <c r="AE45" s="267" t="e">
        <f>IF(ISNA(MATCH(AE$2,Inputs!$K$4:$AJ$4,0)),NA(),IF(SUMPRODUCT((Inputs!$A$5:$A$120=$B45)*ISNUMBER(INDEX(Inputs!$K$5:$AJ$120,0,MATCH(AE$2,Inputs!$K$4:$AJ$4,0))))+SUMPRODUCT((Inputs!$C$5:$C$120=$B45)*ISNUMBER(INDEX(Inputs!$K$5:$AJ$120,0,MATCH(AE$2,Inputs!$K$4:$AJ$4,0))))+SUMPRODUCT((Inputs!$E$5:$E$120=$B45)*ISNUMBER(INDEX(Inputs!$K$5:$AJ$120,0,MATCH(AE$2,Inputs!$K$4:$AJ$4,0))))=0,NA(),SUMPRODUCT((Inputs!$A$5:$A$120=$B45)*Inputs!$B$5:$B$120*(((Inputs!$G$5:$G$120="moeda")+(Inputs!$G$5:$G$120="acoes"))*Inputs!$B$1+((Inputs!$G$5:$G$120&lt;&gt;"moeda")*(Inputs!$G$5:$G$120&lt;&gt;"acoes")))*INDEX(Inputs!$K$5:$AJ$120,0,MATCH(AE$2,Inputs!$K$4:$AJ$4,0)))+SUMPRODUCT((Inputs!$C$5:$C$120=$B45)*Inputs!$D$5:$D$120*(((Inputs!$G$5:$G$120="moeda")+(Inputs!$G$5:$G$120="acoes"))*Inputs!$B$1+((Inputs!$G$5:$G$120&lt;&gt;"moeda")*(Inputs!$G$5:$G$120&lt;&gt;"acoes")))*INDEX(Inputs!$K$5:$AJ$120,0,MATCH(AE$2,Inputs!$K$4:$AJ$4,0)))+SUMPRODUCT((Inputs!$E$5:$E$120=$B45)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5" s="267" t="e">
        <f>IF(ISNA(MATCH(AF$2,Inputs!$K$4:$AJ$4,0)),NA(),IF(SUMPRODUCT((Inputs!$A$5:$A$120=$B45)*ISNUMBER(INDEX(Inputs!$K$5:$AJ$120,0,MATCH(AF$2,Inputs!$K$4:$AJ$4,0))))+SUMPRODUCT((Inputs!$C$5:$C$120=$B45)*ISNUMBER(INDEX(Inputs!$K$5:$AJ$120,0,MATCH(AF$2,Inputs!$K$4:$AJ$4,0))))+SUMPRODUCT((Inputs!$E$5:$E$120=$B45)*ISNUMBER(INDEX(Inputs!$K$5:$AJ$120,0,MATCH(AF$2,Inputs!$K$4:$AJ$4,0))))=0,NA(),SUMPRODUCT((Inputs!$A$5:$A$120=$B45)*Inputs!$B$5:$B$120*(((Inputs!$G$5:$G$120="moeda")+(Inputs!$G$5:$G$120="acoes"))*Inputs!$B$1+((Inputs!$G$5:$G$120&lt;&gt;"moeda")*(Inputs!$G$5:$G$120&lt;&gt;"acoes")))*INDEX(Inputs!$K$5:$AJ$120,0,MATCH(AF$2,Inputs!$K$4:$AJ$4,0)))+SUMPRODUCT((Inputs!$C$5:$C$120=$B45)*Inputs!$D$5:$D$120*(((Inputs!$G$5:$G$120="moeda")+(Inputs!$G$5:$G$120="acoes"))*Inputs!$B$1+((Inputs!$G$5:$G$120&lt;&gt;"moeda")*(Inputs!$G$5:$G$120&lt;&gt;"acoes")))*INDEX(Inputs!$K$5:$AJ$120,0,MATCH(AF$2,Inputs!$K$4:$AJ$4,0)))+SUMPRODUCT((Inputs!$E$5:$E$120=$B45)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5" s="268" t="e">
        <f>AF45</f>
        <v>#N/A</v>
      </c>
      <c r="AH45" s="267">
        <f>IF(ISNA(MATCH(AH$2,Inputs!$K$4:$AJ$4,0)),NA(),IF(SUMPRODUCT((Inputs!$A$5:$A$120=$B45)*ISNUMBER(INDEX(Inputs!$K$5:$AJ$120,0,MATCH(AH$2,Inputs!$K$4:$AJ$4,0))))+SUMPRODUCT((Inputs!$C$5:$C$120=$B45)*ISNUMBER(INDEX(Inputs!$K$5:$AJ$120,0,MATCH(AH$2,Inputs!$K$4:$AJ$4,0))))+SUMPRODUCT((Inputs!$E$5:$E$120=$B45)*ISNUMBER(INDEX(Inputs!$K$5:$AJ$120,0,MATCH(AH$2,Inputs!$K$4:$AJ$4,0))))=0,NA(),SUMPRODUCT((Inputs!$A$5:$A$120=$B45)*Inputs!$B$5:$B$120*(((Inputs!$G$5:$G$120="moeda")+(Inputs!$G$5:$G$120="acoes"))*Inputs!$B$1+((Inputs!$G$5:$G$120&lt;&gt;"moeda")*(Inputs!$G$5:$G$120&lt;&gt;"acoes")))*INDEX(Inputs!$K$5:$AJ$120,0,MATCH(AH$2,Inputs!$K$4:$AJ$4,0)))+SUMPRODUCT((Inputs!$C$5:$C$120=$B45)*Inputs!$D$5:$D$120*(((Inputs!$G$5:$G$120="moeda")+(Inputs!$G$5:$G$120="acoes"))*Inputs!$B$1+((Inputs!$G$5:$G$120&lt;&gt;"moeda")*(Inputs!$G$5:$G$120&lt;&gt;"acoes")))*INDEX(Inputs!$K$5:$AJ$120,0,MATCH(AH$2,Inputs!$K$4:$AJ$4,0)))+SUMPRODUCT((Inputs!$E$5:$E$120=$B45)*Inputs!$F$5:$F$120*(((Inputs!$G$5:$G$120="moeda")+(Inputs!$G$5:$G$120="acoes"))*Inputs!$B$1+((Inputs!$G$5:$G$120&lt;&gt;"moeda")*(Inputs!$G$5:$G$120&lt;&gt;"acoes")))*INDEX(Inputs!$K$5:$AJ$120,0,MATCH(AH$2,Inputs!$K$4:$AJ$4,0)))))</f>
        <v>-668</v>
      </c>
      <c r="AI45" s="267">
        <f>IF(ISNA(MATCH(AI$2,Inputs!$K$4:$AJ$4,0)),NA(),IF(SUMPRODUCT((Inputs!$A$5:$A$120=$B45)*ISNUMBER(INDEX(Inputs!$K$5:$AJ$120,0,MATCH(AI$2,Inputs!$K$4:$AJ$4,0))))+SUMPRODUCT((Inputs!$C$5:$C$120=$B45)*ISNUMBER(INDEX(Inputs!$K$5:$AJ$120,0,MATCH(AI$2,Inputs!$K$4:$AJ$4,0))))+SUMPRODUCT((Inputs!$E$5:$E$120=$B45)*ISNUMBER(INDEX(Inputs!$K$5:$AJ$120,0,MATCH(AI$2,Inputs!$K$4:$AJ$4,0))))=0,NA(),SUMPRODUCT((Inputs!$A$5:$A$120=$B45)*Inputs!$B$5:$B$120*(((Inputs!$G$5:$G$120="moeda")+(Inputs!$G$5:$G$120="acoes"))*Inputs!$B$1+((Inputs!$G$5:$G$120&lt;&gt;"moeda")*(Inputs!$G$5:$G$120&lt;&gt;"acoes")))*INDEX(Inputs!$K$5:$AJ$120,0,MATCH(AI$2,Inputs!$K$4:$AJ$4,0)))+SUMPRODUCT((Inputs!$C$5:$C$120=$B45)*Inputs!$D$5:$D$120*(((Inputs!$G$5:$G$120="moeda")+(Inputs!$G$5:$G$120="acoes"))*Inputs!$B$1+((Inputs!$G$5:$G$120&lt;&gt;"moeda")*(Inputs!$G$5:$G$120&lt;&gt;"acoes")))*INDEX(Inputs!$K$5:$AJ$120,0,MATCH(AI$2,Inputs!$K$4:$AJ$4,0)))+SUMPRODUCT((Inputs!$E$5:$E$120=$B45)*Inputs!$F$5:$F$120*(((Inputs!$G$5:$G$120="moeda")+(Inputs!$G$5:$G$120="acoes"))*Inputs!$B$1+((Inputs!$G$5:$G$120&lt;&gt;"moeda")*(Inputs!$G$5:$G$120&lt;&gt;"acoes")))*INDEX(Inputs!$K$5:$AJ$120,0,MATCH(AI$2,Inputs!$K$4:$AJ$4,0)))))</f>
        <v>-652</v>
      </c>
      <c r="AJ45" s="267">
        <f>IF(ISNA(MATCH(AJ$2,Inputs!$K$4:$AJ$4,0)),NA(),IF(SUMPRODUCT((Inputs!$A$5:$A$120=$B45)*ISNUMBER(INDEX(Inputs!$K$5:$AJ$120,0,MATCH(AJ$2,Inputs!$K$4:$AJ$4,0))))+SUMPRODUCT((Inputs!$C$5:$C$120=$B45)*ISNUMBER(INDEX(Inputs!$K$5:$AJ$120,0,MATCH(AJ$2,Inputs!$K$4:$AJ$4,0))))+SUMPRODUCT((Inputs!$E$5:$E$120=$B45)*ISNUMBER(INDEX(Inputs!$K$5:$AJ$120,0,MATCH(AJ$2,Inputs!$K$4:$AJ$4,0))))=0,NA(),SUMPRODUCT((Inputs!$A$5:$A$120=$B45)*Inputs!$B$5:$B$120*(((Inputs!$G$5:$G$120="moeda")+(Inputs!$G$5:$G$120="acoes"))*Inputs!$B$1+((Inputs!$G$5:$G$120&lt;&gt;"moeda")*(Inputs!$G$5:$G$120&lt;&gt;"acoes")))*INDEX(Inputs!$K$5:$AJ$120,0,MATCH(AJ$2,Inputs!$K$4:$AJ$4,0)))+SUMPRODUCT((Inputs!$C$5:$C$120=$B45)*Inputs!$D$5:$D$120*(((Inputs!$G$5:$G$120="moeda")+(Inputs!$G$5:$G$120="acoes"))*Inputs!$B$1+((Inputs!$G$5:$G$120&lt;&gt;"moeda")*(Inputs!$G$5:$G$120&lt;&gt;"acoes")))*INDEX(Inputs!$K$5:$AJ$120,0,MATCH(AJ$2,Inputs!$K$4:$AJ$4,0)))+SUMPRODUCT((Inputs!$E$5:$E$120=$B45)*Inputs!$F$5:$F$120*(((Inputs!$G$5:$G$120="moeda")+(Inputs!$G$5:$G$120="acoes"))*Inputs!$B$1+((Inputs!$G$5:$G$120&lt;&gt;"moeda")*(Inputs!$G$5:$G$120&lt;&gt;"acoes")))*INDEX(Inputs!$K$5:$AJ$120,0,MATCH(AJ$2,Inputs!$K$4:$AJ$4,0)))))</f>
        <v>-728</v>
      </c>
      <c r="AK45" s="267">
        <f>IF(ISNA(MATCH(AK$2,Inputs!$K$4:$AJ$4,0)),NA(),IF(SUMPRODUCT((Inputs!$A$5:$A$120=$B45)*ISNUMBER(INDEX(Inputs!$K$5:$AJ$120,0,MATCH(AK$2,Inputs!$K$4:$AJ$4,0))))+SUMPRODUCT((Inputs!$C$5:$C$120=$B45)*ISNUMBER(INDEX(Inputs!$K$5:$AJ$120,0,MATCH(AK$2,Inputs!$K$4:$AJ$4,0))))+SUMPRODUCT((Inputs!$E$5:$E$120=$B45)*ISNUMBER(INDEX(Inputs!$K$5:$AJ$120,0,MATCH(AK$2,Inputs!$K$4:$AJ$4,0))))=0,NA(),SUMPRODUCT((Inputs!$A$5:$A$120=$B45)*Inputs!$B$5:$B$120*(((Inputs!$G$5:$G$120="moeda")+(Inputs!$G$5:$G$120="acoes"))*Inputs!$B$1+((Inputs!$G$5:$G$120&lt;&gt;"moeda")*(Inputs!$G$5:$G$120&lt;&gt;"acoes")))*INDEX(Inputs!$K$5:$AJ$120,0,MATCH(AK$2,Inputs!$K$4:$AJ$4,0)))+SUMPRODUCT((Inputs!$C$5:$C$120=$B45)*Inputs!$D$5:$D$120*(((Inputs!$G$5:$G$120="moeda")+(Inputs!$G$5:$G$120="acoes"))*Inputs!$B$1+((Inputs!$G$5:$G$120&lt;&gt;"moeda")*(Inputs!$G$5:$G$120&lt;&gt;"acoes")))*INDEX(Inputs!$K$5:$AJ$120,0,MATCH(AK$2,Inputs!$K$4:$AJ$4,0)))+SUMPRODUCT((Inputs!$E$5:$E$120=$B45)*Inputs!$F$5:$F$120*(((Inputs!$G$5:$G$120="moeda")+(Inputs!$G$5:$G$120="acoes"))*Inputs!$B$1+((Inputs!$G$5:$G$120&lt;&gt;"moeda")*(Inputs!$G$5:$G$120&lt;&gt;"acoes")))*INDEX(Inputs!$K$5:$AJ$120,0,MATCH(AK$2,Inputs!$K$4:$AJ$4,0)))))</f>
        <v>-583</v>
      </c>
      <c r="AL45" s="268">
        <f>AK45</f>
        <v>-583</v>
      </c>
    </row>
    <row r="46" ht="12.75" customHeight="1" s="255">
      <c r="B46" s="265" t="n">
        <v>40</v>
      </c>
      <c r="C46" s="270" t="inlineStr">
        <is>
          <t>Other equity account</t>
        </is>
      </c>
      <c r="D46" s="267">
        <f>IF(ISNA(MATCH(D$2,Inputs!$K$4:$AJ$4,0)),NA(),IF(SUMPRODUCT((Inputs!$A$5:$A$120=$B46)*ISNUMBER(INDEX(Inputs!$K$5:$AJ$120,0,MATCH(D$2,Inputs!$K$4:$AJ$4,0))))+SUMPRODUCT((Inputs!$C$5:$C$120=$B46)*ISNUMBER(INDEX(Inputs!$K$5:$AJ$120,0,MATCH(D$2,Inputs!$K$4:$AJ$4,0))))+SUMPRODUCT((Inputs!$E$5:$E$120=$B46)*ISNUMBER(INDEX(Inputs!$K$5:$AJ$120,0,MATCH(D$2,Inputs!$K$4:$AJ$4,0))))=0,NA(),SUMPRODUCT((Inputs!$A$5:$A$120=$B46)*Inputs!$B$5:$B$120*(((Inputs!$G$5:$G$120="moeda")+(Inputs!$G$5:$G$120="acoes"))*Inputs!$B$1+((Inputs!$G$5:$G$120&lt;&gt;"moeda")*(Inputs!$G$5:$G$120&lt;&gt;"acoes")))*INDEX(Inputs!$K$5:$AJ$120,0,MATCH(D$2,Inputs!$K$4:$AJ$4,0)))+SUMPRODUCT((Inputs!$C$5:$C$120=$B46)*Inputs!$D$5:$D$120*(((Inputs!$G$5:$G$120="moeda")+(Inputs!$G$5:$G$120="acoes"))*Inputs!$B$1+((Inputs!$G$5:$G$120&lt;&gt;"moeda")*(Inputs!$G$5:$G$120&lt;&gt;"acoes")))*INDEX(Inputs!$K$5:$AJ$120,0,MATCH(D$2,Inputs!$K$4:$AJ$4,0)))+SUMPRODUCT((Inputs!$E$5:$E$120=$B46)*Inputs!$F$5:$F$120*(((Inputs!$G$5:$G$120="moeda")+(Inputs!$G$5:$G$120="acoes"))*Inputs!$B$1+((Inputs!$G$5:$G$120&lt;&gt;"moeda")*(Inputs!$G$5:$G$120&lt;&gt;"acoes")))*INDEX(Inputs!$K$5:$AJ$120,0,MATCH(D$2,Inputs!$K$4:$AJ$4,0)))))</f>
        <v>0</v>
      </c>
      <c r="E46" s="267">
        <f>IF(ISNA(MATCH(E$2,Inputs!$K$4:$AJ$4,0)),NA(),IF(SUMPRODUCT((Inputs!$A$5:$A$120=$B46)*ISNUMBER(INDEX(Inputs!$K$5:$AJ$120,0,MATCH(E$2,Inputs!$K$4:$AJ$4,0))))+SUMPRODUCT((Inputs!$C$5:$C$120=$B46)*ISNUMBER(INDEX(Inputs!$K$5:$AJ$120,0,MATCH(E$2,Inputs!$K$4:$AJ$4,0))))+SUMPRODUCT((Inputs!$E$5:$E$120=$B46)*ISNUMBER(INDEX(Inputs!$K$5:$AJ$120,0,MATCH(E$2,Inputs!$K$4:$AJ$4,0))))=0,NA(),SUMPRODUCT((Inputs!$A$5:$A$120=$B46)*Inputs!$B$5:$B$120*(((Inputs!$G$5:$G$120="moeda")+(Inputs!$G$5:$G$120="acoes"))*Inputs!$B$1+((Inputs!$G$5:$G$120&lt;&gt;"moeda")*(Inputs!$G$5:$G$120&lt;&gt;"acoes")))*INDEX(Inputs!$K$5:$AJ$120,0,MATCH(E$2,Inputs!$K$4:$AJ$4,0)))+SUMPRODUCT((Inputs!$C$5:$C$120=$B46)*Inputs!$D$5:$D$120*(((Inputs!$G$5:$G$120="moeda")+(Inputs!$G$5:$G$120="acoes"))*Inputs!$B$1+((Inputs!$G$5:$G$120&lt;&gt;"moeda")*(Inputs!$G$5:$G$120&lt;&gt;"acoes")))*INDEX(Inputs!$K$5:$AJ$120,0,MATCH(E$2,Inputs!$K$4:$AJ$4,0)))+SUMPRODUCT((Inputs!$E$5:$E$120=$B46)*Inputs!$F$5:$F$120*(((Inputs!$G$5:$G$120="moeda")+(Inputs!$G$5:$G$120="acoes"))*Inputs!$B$1+((Inputs!$G$5:$G$120&lt;&gt;"moeda")*(Inputs!$G$5:$G$120&lt;&gt;"acoes")))*INDEX(Inputs!$K$5:$AJ$120,0,MATCH(E$2,Inputs!$K$4:$AJ$4,0)))))</f>
        <v>0</v>
      </c>
      <c r="F46" s="267">
        <f>IF(ISNA(MATCH(F$2,Inputs!$K$4:$AJ$4,0)),NA(),IF(SUMPRODUCT((Inputs!$A$5:$A$120=$B46)*ISNUMBER(INDEX(Inputs!$K$5:$AJ$120,0,MATCH(F$2,Inputs!$K$4:$AJ$4,0))))+SUMPRODUCT((Inputs!$C$5:$C$120=$B46)*ISNUMBER(INDEX(Inputs!$K$5:$AJ$120,0,MATCH(F$2,Inputs!$K$4:$AJ$4,0))))+SUMPRODUCT((Inputs!$E$5:$E$120=$B46)*ISNUMBER(INDEX(Inputs!$K$5:$AJ$120,0,MATCH(F$2,Inputs!$K$4:$AJ$4,0))))=0,NA(),SUMPRODUCT((Inputs!$A$5:$A$120=$B46)*Inputs!$B$5:$B$120*(((Inputs!$G$5:$G$120="moeda")+(Inputs!$G$5:$G$120="acoes"))*Inputs!$B$1+((Inputs!$G$5:$G$120&lt;&gt;"moeda")*(Inputs!$G$5:$G$120&lt;&gt;"acoes")))*INDEX(Inputs!$K$5:$AJ$120,0,MATCH(F$2,Inputs!$K$4:$AJ$4,0)))+SUMPRODUCT((Inputs!$C$5:$C$120=$B46)*Inputs!$D$5:$D$120*(((Inputs!$G$5:$G$120="moeda")+(Inputs!$G$5:$G$120="acoes"))*Inputs!$B$1+((Inputs!$G$5:$G$120&lt;&gt;"moeda")*(Inputs!$G$5:$G$120&lt;&gt;"acoes")))*INDEX(Inputs!$K$5:$AJ$120,0,MATCH(F$2,Inputs!$K$4:$AJ$4,0)))+SUMPRODUCT((Inputs!$E$5:$E$120=$B46)*Inputs!$F$5:$F$120*(((Inputs!$G$5:$G$120="moeda")+(Inputs!$G$5:$G$120="acoes"))*Inputs!$B$1+((Inputs!$G$5:$G$120&lt;&gt;"moeda")*(Inputs!$G$5:$G$120&lt;&gt;"acoes")))*INDEX(Inputs!$K$5:$AJ$120,0,MATCH(F$2,Inputs!$K$4:$AJ$4,0)))))</f>
        <v>0</v>
      </c>
      <c r="G46" s="267">
        <f>IF(ISNA(MATCH(G$2,Inputs!$K$4:$AJ$4,0)),NA(),IF(SUMPRODUCT((Inputs!$A$5:$A$120=$B46)*ISNUMBER(INDEX(Inputs!$K$5:$AJ$120,0,MATCH(G$2,Inputs!$K$4:$AJ$4,0))))+SUMPRODUCT((Inputs!$C$5:$C$120=$B46)*ISNUMBER(INDEX(Inputs!$K$5:$AJ$120,0,MATCH(G$2,Inputs!$K$4:$AJ$4,0))))+SUMPRODUCT((Inputs!$E$5:$E$120=$B46)*ISNUMBER(INDEX(Inputs!$K$5:$AJ$120,0,MATCH(G$2,Inputs!$K$4:$AJ$4,0))))=0,NA(),SUMPRODUCT((Inputs!$A$5:$A$120=$B46)*Inputs!$B$5:$B$120*(((Inputs!$G$5:$G$120="moeda")+(Inputs!$G$5:$G$120="acoes"))*Inputs!$B$1+((Inputs!$G$5:$G$120&lt;&gt;"moeda")*(Inputs!$G$5:$G$120&lt;&gt;"acoes")))*INDEX(Inputs!$K$5:$AJ$120,0,MATCH(G$2,Inputs!$K$4:$AJ$4,0)))+SUMPRODUCT((Inputs!$C$5:$C$120=$B46)*Inputs!$D$5:$D$120*(((Inputs!$G$5:$G$120="moeda")+(Inputs!$G$5:$G$120="acoes"))*Inputs!$B$1+((Inputs!$G$5:$G$120&lt;&gt;"moeda")*(Inputs!$G$5:$G$120&lt;&gt;"acoes")))*INDEX(Inputs!$K$5:$AJ$120,0,MATCH(G$2,Inputs!$K$4:$AJ$4,0)))+SUMPRODUCT((Inputs!$E$5:$E$120=$B46)*Inputs!$F$5:$F$120*(((Inputs!$G$5:$G$120="moeda")+(Inputs!$G$5:$G$120="acoes"))*Inputs!$B$1+((Inputs!$G$5:$G$120&lt;&gt;"moeda")*(Inputs!$G$5:$G$120&lt;&gt;"acoes")))*INDEX(Inputs!$K$5:$AJ$120,0,MATCH(G$2,Inputs!$K$4:$AJ$4,0)))))</f>
        <v>0</v>
      </c>
      <c r="H46" s="268">
        <f>G46</f>
        <v>0</v>
      </c>
      <c r="I46" s="267">
        <f>IF(ISNA(MATCH(I$2,Inputs!$K$4:$AJ$4,0)),NA(),IF(SUMPRODUCT((Inputs!$A$5:$A$120=$B46)*ISNUMBER(INDEX(Inputs!$K$5:$AJ$120,0,MATCH(I$2,Inputs!$K$4:$AJ$4,0))))+SUMPRODUCT((Inputs!$C$5:$C$120=$B46)*ISNUMBER(INDEX(Inputs!$K$5:$AJ$120,0,MATCH(I$2,Inputs!$K$4:$AJ$4,0))))+SUMPRODUCT((Inputs!$E$5:$E$120=$B46)*ISNUMBER(INDEX(Inputs!$K$5:$AJ$120,0,MATCH(I$2,Inputs!$K$4:$AJ$4,0))))=0,NA(),SUMPRODUCT((Inputs!$A$5:$A$120=$B46)*Inputs!$B$5:$B$120*(((Inputs!$G$5:$G$120="moeda")+(Inputs!$G$5:$G$120="acoes"))*Inputs!$B$1+((Inputs!$G$5:$G$120&lt;&gt;"moeda")*(Inputs!$G$5:$G$120&lt;&gt;"acoes")))*INDEX(Inputs!$K$5:$AJ$120,0,MATCH(I$2,Inputs!$K$4:$AJ$4,0)))+SUMPRODUCT((Inputs!$C$5:$C$120=$B46)*Inputs!$D$5:$D$120*(((Inputs!$G$5:$G$120="moeda")+(Inputs!$G$5:$G$120="acoes"))*Inputs!$B$1+((Inputs!$G$5:$G$120&lt;&gt;"moeda")*(Inputs!$G$5:$G$120&lt;&gt;"acoes")))*INDEX(Inputs!$K$5:$AJ$120,0,MATCH(I$2,Inputs!$K$4:$AJ$4,0)))+SUMPRODUCT((Inputs!$E$5:$E$120=$B46)*Inputs!$F$5:$F$120*(((Inputs!$G$5:$G$120="moeda")+(Inputs!$G$5:$G$120="acoes"))*Inputs!$B$1+((Inputs!$G$5:$G$120&lt;&gt;"moeda")*(Inputs!$G$5:$G$120&lt;&gt;"acoes")))*INDEX(Inputs!$K$5:$AJ$120,0,MATCH(I$2,Inputs!$K$4:$AJ$4,0)))))</f>
        <v>0</v>
      </c>
      <c r="J46" s="267">
        <f>IF(ISNA(MATCH(J$2,Inputs!$K$4:$AJ$4,0)),NA(),IF(SUMPRODUCT((Inputs!$A$5:$A$120=$B46)*ISNUMBER(INDEX(Inputs!$K$5:$AJ$120,0,MATCH(J$2,Inputs!$K$4:$AJ$4,0))))+SUMPRODUCT((Inputs!$C$5:$C$120=$B46)*ISNUMBER(INDEX(Inputs!$K$5:$AJ$120,0,MATCH(J$2,Inputs!$K$4:$AJ$4,0))))+SUMPRODUCT((Inputs!$E$5:$E$120=$B46)*ISNUMBER(INDEX(Inputs!$K$5:$AJ$120,0,MATCH(J$2,Inputs!$K$4:$AJ$4,0))))=0,NA(),SUMPRODUCT((Inputs!$A$5:$A$120=$B46)*Inputs!$B$5:$B$120*(((Inputs!$G$5:$G$120="moeda")+(Inputs!$G$5:$G$120="acoes"))*Inputs!$B$1+((Inputs!$G$5:$G$120&lt;&gt;"moeda")*(Inputs!$G$5:$G$120&lt;&gt;"acoes")))*INDEX(Inputs!$K$5:$AJ$120,0,MATCH(J$2,Inputs!$K$4:$AJ$4,0)))+SUMPRODUCT((Inputs!$C$5:$C$120=$B46)*Inputs!$D$5:$D$120*(((Inputs!$G$5:$G$120="moeda")+(Inputs!$G$5:$G$120="acoes"))*Inputs!$B$1+((Inputs!$G$5:$G$120&lt;&gt;"moeda")*(Inputs!$G$5:$G$120&lt;&gt;"acoes")))*INDEX(Inputs!$K$5:$AJ$120,0,MATCH(J$2,Inputs!$K$4:$AJ$4,0)))+SUMPRODUCT((Inputs!$E$5:$E$120=$B46)*Inputs!$F$5:$F$120*(((Inputs!$G$5:$G$120="moeda")+(Inputs!$G$5:$G$120="acoes"))*Inputs!$B$1+((Inputs!$G$5:$G$120&lt;&gt;"moeda")*(Inputs!$G$5:$G$120&lt;&gt;"acoes")))*INDEX(Inputs!$K$5:$AJ$120,0,MATCH(J$2,Inputs!$K$4:$AJ$4,0)))))</f>
        <v>0</v>
      </c>
      <c r="K46" s="267">
        <f>IF(ISNA(MATCH(K$2,Inputs!$K$4:$AJ$4,0)),NA(),IF(SUMPRODUCT((Inputs!$A$5:$A$120=$B46)*ISNUMBER(INDEX(Inputs!$K$5:$AJ$120,0,MATCH(K$2,Inputs!$K$4:$AJ$4,0))))+SUMPRODUCT((Inputs!$C$5:$C$120=$B46)*ISNUMBER(INDEX(Inputs!$K$5:$AJ$120,0,MATCH(K$2,Inputs!$K$4:$AJ$4,0))))+SUMPRODUCT((Inputs!$E$5:$E$120=$B46)*ISNUMBER(INDEX(Inputs!$K$5:$AJ$120,0,MATCH(K$2,Inputs!$K$4:$AJ$4,0))))=0,NA(),SUMPRODUCT((Inputs!$A$5:$A$120=$B46)*Inputs!$B$5:$B$120*(((Inputs!$G$5:$G$120="moeda")+(Inputs!$G$5:$G$120="acoes"))*Inputs!$B$1+((Inputs!$G$5:$G$120&lt;&gt;"moeda")*(Inputs!$G$5:$G$120&lt;&gt;"acoes")))*INDEX(Inputs!$K$5:$AJ$120,0,MATCH(K$2,Inputs!$K$4:$AJ$4,0)))+SUMPRODUCT((Inputs!$C$5:$C$120=$B46)*Inputs!$D$5:$D$120*(((Inputs!$G$5:$G$120="moeda")+(Inputs!$G$5:$G$120="acoes"))*Inputs!$B$1+((Inputs!$G$5:$G$120&lt;&gt;"moeda")*(Inputs!$G$5:$G$120&lt;&gt;"acoes")))*INDEX(Inputs!$K$5:$AJ$120,0,MATCH(K$2,Inputs!$K$4:$AJ$4,0)))+SUMPRODUCT((Inputs!$E$5:$E$120=$B46)*Inputs!$F$5:$F$120*(((Inputs!$G$5:$G$120="moeda")+(Inputs!$G$5:$G$120="acoes"))*Inputs!$B$1+((Inputs!$G$5:$G$120&lt;&gt;"moeda")*(Inputs!$G$5:$G$120&lt;&gt;"acoes")))*INDEX(Inputs!$K$5:$AJ$120,0,MATCH(K$2,Inputs!$K$4:$AJ$4,0)))))</f>
        <v>0</v>
      </c>
      <c r="L46" s="267">
        <f>IF(ISNA(MATCH(L$2,Inputs!$K$4:$AJ$4,0)),NA(),IF(SUMPRODUCT((Inputs!$A$5:$A$120=$B46)*ISNUMBER(INDEX(Inputs!$K$5:$AJ$120,0,MATCH(L$2,Inputs!$K$4:$AJ$4,0))))+SUMPRODUCT((Inputs!$C$5:$C$120=$B46)*ISNUMBER(INDEX(Inputs!$K$5:$AJ$120,0,MATCH(L$2,Inputs!$K$4:$AJ$4,0))))+SUMPRODUCT((Inputs!$E$5:$E$120=$B46)*ISNUMBER(INDEX(Inputs!$K$5:$AJ$120,0,MATCH(L$2,Inputs!$K$4:$AJ$4,0))))=0,NA(),SUMPRODUCT((Inputs!$A$5:$A$120=$B46)*Inputs!$B$5:$B$120*(((Inputs!$G$5:$G$120="moeda")+(Inputs!$G$5:$G$120="acoes"))*Inputs!$B$1+((Inputs!$G$5:$G$120&lt;&gt;"moeda")*(Inputs!$G$5:$G$120&lt;&gt;"acoes")))*INDEX(Inputs!$K$5:$AJ$120,0,MATCH(L$2,Inputs!$K$4:$AJ$4,0)))+SUMPRODUCT((Inputs!$C$5:$C$120=$B46)*Inputs!$D$5:$D$120*(((Inputs!$G$5:$G$120="moeda")+(Inputs!$G$5:$G$120="acoes"))*Inputs!$B$1+((Inputs!$G$5:$G$120&lt;&gt;"moeda")*(Inputs!$G$5:$G$120&lt;&gt;"acoes")))*INDEX(Inputs!$K$5:$AJ$120,0,MATCH(L$2,Inputs!$K$4:$AJ$4,0)))+SUMPRODUCT((Inputs!$E$5:$E$120=$B46)*Inputs!$F$5:$F$120*(((Inputs!$G$5:$G$120="moeda")+(Inputs!$G$5:$G$120="acoes"))*Inputs!$B$1+((Inputs!$G$5:$G$120&lt;&gt;"moeda")*(Inputs!$G$5:$G$120&lt;&gt;"acoes")))*INDEX(Inputs!$K$5:$AJ$120,0,MATCH(L$2,Inputs!$K$4:$AJ$4,0)))))</f>
        <v>0</v>
      </c>
      <c r="M46" s="268">
        <f>L46</f>
        <v>0</v>
      </c>
      <c r="N46" s="267">
        <f>IF(ISNA(MATCH(N$2,Inputs!$K$4:$AJ$4,0)),NA(),IF(SUMPRODUCT((Inputs!$A$5:$A$120=$B46)*ISNUMBER(INDEX(Inputs!$K$5:$AJ$120,0,MATCH(N$2,Inputs!$K$4:$AJ$4,0))))+SUMPRODUCT((Inputs!$C$5:$C$120=$B46)*ISNUMBER(INDEX(Inputs!$K$5:$AJ$120,0,MATCH(N$2,Inputs!$K$4:$AJ$4,0))))+SUMPRODUCT((Inputs!$E$5:$E$120=$B46)*ISNUMBER(INDEX(Inputs!$K$5:$AJ$120,0,MATCH(N$2,Inputs!$K$4:$AJ$4,0))))=0,NA(),SUMPRODUCT((Inputs!$A$5:$A$120=$B46)*Inputs!$B$5:$B$120*(((Inputs!$G$5:$G$120="moeda")+(Inputs!$G$5:$G$120="acoes"))*Inputs!$B$1+((Inputs!$G$5:$G$120&lt;&gt;"moeda")*(Inputs!$G$5:$G$120&lt;&gt;"acoes")))*INDEX(Inputs!$K$5:$AJ$120,0,MATCH(N$2,Inputs!$K$4:$AJ$4,0)))+SUMPRODUCT((Inputs!$C$5:$C$120=$B46)*Inputs!$D$5:$D$120*(((Inputs!$G$5:$G$120="moeda")+(Inputs!$G$5:$G$120="acoes"))*Inputs!$B$1+((Inputs!$G$5:$G$120&lt;&gt;"moeda")*(Inputs!$G$5:$G$120&lt;&gt;"acoes")))*INDEX(Inputs!$K$5:$AJ$120,0,MATCH(N$2,Inputs!$K$4:$AJ$4,0)))+SUMPRODUCT((Inputs!$E$5:$E$120=$B46)*Inputs!$F$5:$F$120*(((Inputs!$G$5:$G$120="moeda")+(Inputs!$G$5:$G$120="acoes"))*Inputs!$B$1+((Inputs!$G$5:$G$120&lt;&gt;"moeda")*(Inputs!$G$5:$G$120&lt;&gt;"acoes")))*INDEX(Inputs!$K$5:$AJ$120,0,MATCH(N$2,Inputs!$K$4:$AJ$4,0)))))</f>
        <v>0</v>
      </c>
      <c r="O46" s="267">
        <f>IF(ISNA(MATCH(O$2,Inputs!$K$4:$AJ$4,0)),NA(),IF(SUMPRODUCT((Inputs!$A$5:$A$120=$B46)*ISNUMBER(INDEX(Inputs!$K$5:$AJ$120,0,MATCH(O$2,Inputs!$K$4:$AJ$4,0))))+SUMPRODUCT((Inputs!$C$5:$C$120=$B46)*ISNUMBER(INDEX(Inputs!$K$5:$AJ$120,0,MATCH(O$2,Inputs!$K$4:$AJ$4,0))))+SUMPRODUCT((Inputs!$E$5:$E$120=$B46)*ISNUMBER(INDEX(Inputs!$K$5:$AJ$120,0,MATCH(O$2,Inputs!$K$4:$AJ$4,0))))=0,NA(),SUMPRODUCT((Inputs!$A$5:$A$120=$B46)*Inputs!$B$5:$B$120*(((Inputs!$G$5:$G$120="moeda")+(Inputs!$G$5:$G$120="acoes"))*Inputs!$B$1+((Inputs!$G$5:$G$120&lt;&gt;"moeda")*(Inputs!$G$5:$G$120&lt;&gt;"acoes")))*INDEX(Inputs!$K$5:$AJ$120,0,MATCH(O$2,Inputs!$K$4:$AJ$4,0)))+SUMPRODUCT((Inputs!$C$5:$C$120=$B46)*Inputs!$D$5:$D$120*(((Inputs!$G$5:$G$120="moeda")+(Inputs!$G$5:$G$120="acoes"))*Inputs!$B$1+((Inputs!$G$5:$G$120&lt;&gt;"moeda")*(Inputs!$G$5:$G$120&lt;&gt;"acoes")))*INDEX(Inputs!$K$5:$AJ$120,0,MATCH(O$2,Inputs!$K$4:$AJ$4,0)))+SUMPRODUCT((Inputs!$E$5:$E$120=$B46)*Inputs!$F$5:$F$120*(((Inputs!$G$5:$G$120="moeda")+(Inputs!$G$5:$G$120="acoes"))*Inputs!$B$1+((Inputs!$G$5:$G$120&lt;&gt;"moeda")*(Inputs!$G$5:$G$120&lt;&gt;"acoes")))*INDEX(Inputs!$K$5:$AJ$120,0,MATCH(O$2,Inputs!$K$4:$AJ$4,0)))))</f>
        <v>0</v>
      </c>
      <c r="P46" s="267">
        <f>IF(ISNA(MATCH(P$2,Inputs!$K$4:$AJ$4,0)),NA(),IF(SUMPRODUCT((Inputs!$A$5:$A$120=$B46)*ISNUMBER(INDEX(Inputs!$K$5:$AJ$120,0,MATCH(P$2,Inputs!$K$4:$AJ$4,0))))+SUMPRODUCT((Inputs!$C$5:$C$120=$B46)*ISNUMBER(INDEX(Inputs!$K$5:$AJ$120,0,MATCH(P$2,Inputs!$K$4:$AJ$4,0))))+SUMPRODUCT((Inputs!$E$5:$E$120=$B46)*ISNUMBER(INDEX(Inputs!$K$5:$AJ$120,0,MATCH(P$2,Inputs!$K$4:$AJ$4,0))))=0,NA(),SUMPRODUCT((Inputs!$A$5:$A$120=$B46)*Inputs!$B$5:$B$120*(((Inputs!$G$5:$G$120="moeda")+(Inputs!$G$5:$G$120="acoes"))*Inputs!$B$1+((Inputs!$G$5:$G$120&lt;&gt;"moeda")*(Inputs!$G$5:$G$120&lt;&gt;"acoes")))*INDEX(Inputs!$K$5:$AJ$120,0,MATCH(P$2,Inputs!$K$4:$AJ$4,0)))+SUMPRODUCT((Inputs!$C$5:$C$120=$B46)*Inputs!$D$5:$D$120*(((Inputs!$G$5:$G$120="moeda")+(Inputs!$G$5:$G$120="acoes"))*Inputs!$B$1+((Inputs!$G$5:$G$120&lt;&gt;"moeda")*(Inputs!$G$5:$G$120&lt;&gt;"acoes")))*INDEX(Inputs!$K$5:$AJ$120,0,MATCH(P$2,Inputs!$K$4:$AJ$4,0)))+SUMPRODUCT((Inputs!$E$5:$E$120=$B46)*Inputs!$F$5:$F$120*(((Inputs!$G$5:$G$120="moeda")+(Inputs!$G$5:$G$120="acoes"))*Inputs!$B$1+((Inputs!$G$5:$G$120&lt;&gt;"moeda")*(Inputs!$G$5:$G$120&lt;&gt;"acoes")))*INDEX(Inputs!$K$5:$AJ$120,0,MATCH(P$2,Inputs!$K$4:$AJ$4,0)))))</f>
        <v>0</v>
      </c>
      <c r="Q46" s="267">
        <f>IF(ISNA(MATCH(Q$2,Inputs!$K$4:$AJ$4,0)),NA(),IF(SUMPRODUCT((Inputs!$A$5:$A$120=$B46)*ISNUMBER(INDEX(Inputs!$K$5:$AJ$120,0,MATCH(Q$2,Inputs!$K$4:$AJ$4,0))))+SUMPRODUCT((Inputs!$C$5:$C$120=$B46)*ISNUMBER(INDEX(Inputs!$K$5:$AJ$120,0,MATCH(Q$2,Inputs!$K$4:$AJ$4,0))))+SUMPRODUCT((Inputs!$E$5:$E$120=$B46)*ISNUMBER(INDEX(Inputs!$K$5:$AJ$120,0,MATCH(Q$2,Inputs!$K$4:$AJ$4,0))))=0,NA(),SUMPRODUCT((Inputs!$A$5:$A$120=$B46)*Inputs!$B$5:$B$120*(((Inputs!$G$5:$G$120="moeda")+(Inputs!$G$5:$G$120="acoes"))*Inputs!$B$1+((Inputs!$G$5:$G$120&lt;&gt;"moeda")*(Inputs!$G$5:$G$120&lt;&gt;"acoes")))*INDEX(Inputs!$K$5:$AJ$120,0,MATCH(Q$2,Inputs!$K$4:$AJ$4,0)))+SUMPRODUCT((Inputs!$C$5:$C$120=$B46)*Inputs!$D$5:$D$120*(((Inputs!$G$5:$G$120="moeda")+(Inputs!$G$5:$G$120="acoes"))*Inputs!$B$1+((Inputs!$G$5:$G$120&lt;&gt;"moeda")*(Inputs!$G$5:$G$120&lt;&gt;"acoes")))*INDEX(Inputs!$K$5:$AJ$120,0,MATCH(Q$2,Inputs!$K$4:$AJ$4,0)))+SUMPRODUCT((Inputs!$E$5:$E$120=$B46)*Inputs!$F$5:$F$120*(((Inputs!$G$5:$G$120="moeda")+(Inputs!$G$5:$G$120="acoes"))*Inputs!$B$1+((Inputs!$G$5:$G$120&lt;&gt;"moeda")*(Inputs!$G$5:$G$120&lt;&gt;"acoes")))*INDEX(Inputs!$K$5:$AJ$120,0,MATCH(Q$2,Inputs!$K$4:$AJ$4,0)))))</f>
        <v>0</v>
      </c>
      <c r="R46" s="268">
        <f>Q46</f>
        <v>0</v>
      </c>
      <c r="S46" s="267">
        <f>IF(ISNA(MATCH(S$2,Inputs!$K$4:$AJ$4,0)),NA(),IF(SUMPRODUCT((Inputs!$A$5:$A$120=$B46)*ISNUMBER(INDEX(Inputs!$K$5:$AJ$120,0,MATCH(S$2,Inputs!$K$4:$AJ$4,0))))+SUMPRODUCT((Inputs!$C$5:$C$120=$B46)*ISNUMBER(INDEX(Inputs!$K$5:$AJ$120,0,MATCH(S$2,Inputs!$K$4:$AJ$4,0))))+SUMPRODUCT((Inputs!$E$5:$E$120=$B46)*ISNUMBER(INDEX(Inputs!$K$5:$AJ$120,0,MATCH(S$2,Inputs!$K$4:$AJ$4,0))))=0,NA(),SUMPRODUCT((Inputs!$A$5:$A$120=$B46)*Inputs!$B$5:$B$120*(((Inputs!$G$5:$G$120="moeda")+(Inputs!$G$5:$G$120="acoes"))*Inputs!$B$1+((Inputs!$G$5:$G$120&lt;&gt;"moeda")*(Inputs!$G$5:$G$120&lt;&gt;"acoes")))*INDEX(Inputs!$K$5:$AJ$120,0,MATCH(S$2,Inputs!$K$4:$AJ$4,0)))+SUMPRODUCT((Inputs!$C$5:$C$120=$B46)*Inputs!$D$5:$D$120*(((Inputs!$G$5:$G$120="moeda")+(Inputs!$G$5:$G$120="acoes"))*Inputs!$B$1+((Inputs!$G$5:$G$120&lt;&gt;"moeda")*(Inputs!$G$5:$G$120&lt;&gt;"acoes")))*INDEX(Inputs!$K$5:$AJ$120,0,MATCH(S$2,Inputs!$K$4:$AJ$4,0)))+SUMPRODUCT((Inputs!$E$5:$E$120=$B46)*Inputs!$F$5:$F$120*(((Inputs!$G$5:$G$120="moeda")+(Inputs!$G$5:$G$120="acoes"))*Inputs!$B$1+((Inputs!$G$5:$G$120&lt;&gt;"moeda")*(Inputs!$G$5:$G$120&lt;&gt;"acoes")))*INDEX(Inputs!$K$5:$AJ$120,0,MATCH(S$2,Inputs!$K$4:$AJ$4,0)))))</f>
        <v>0</v>
      </c>
      <c r="T46" s="267">
        <f>IF(ISNA(MATCH(T$2,Inputs!$K$4:$AJ$4,0)),NA(),IF(SUMPRODUCT((Inputs!$A$5:$A$120=$B46)*ISNUMBER(INDEX(Inputs!$K$5:$AJ$120,0,MATCH(T$2,Inputs!$K$4:$AJ$4,0))))+SUMPRODUCT((Inputs!$C$5:$C$120=$B46)*ISNUMBER(INDEX(Inputs!$K$5:$AJ$120,0,MATCH(T$2,Inputs!$K$4:$AJ$4,0))))+SUMPRODUCT((Inputs!$E$5:$E$120=$B46)*ISNUMBER(INDEX(Inputs!$K$5:$AJ$120,0,MATCH(T$2,Inputs!$K$4:$AJ$4,0))))=0,NA(),SUMPRODUCT((Inputs!$A$5:$A$120=$B46)*Inputs!$B$5:$B$120*(((Inputs!$G$5:$G$120="moeda")+(Inputs!$G$5:$G$120="acoes"))*Inputs!$B$1+((Inputs!$G$5:$G$120&lt;&gt;"moeda")*(Inputs!$G$5:$G$120&lt;&gt;"acoes")))*INDEX(Inputs!$K$5:$AJ$120,0,MATCH(T$2,Inputs!$K$4:$AJ$4,0)))+SUMPRODUCT((Inputs!$C$5:$C$120=$B46)*Inputs!$D$5:$D$120*(((Inputs!$G$5:$G$120="moeda")+(Inputs!$G$5:$G$120="acoes"))*Inputs!$B$1+((Inputs!$G$5:$G$120&lt;&gt;"moeda")*(Inputs!$G$5:$G$120&lt;&gt;"acoes")))*INDEX(Inputs!$K$5:$AJ$120,0,MATCH(T$2,Inputs!$K$4:$AJ$4,0)))+SUMPRODUCT((Inputs!$E$5:$E$120=$B46)*Inputs!$F$5:$F$120*(((Inputs!$G$5:$G$120="moeda")+(Inputs!$G$5:$G$120="acoes"))*Inputs!$B$1+((Inputs!$G$5:$G$120&lt;&gt;"moeda")*(Inputs!$G$5:$G$120&lt;&gt;"acoes")))*INDEX(Inputs!$K$5:$AJ$120,0,MATCH(T$2,Inputs!$K$4:$AJ$4,0)))))</f>
        <v>0</v>
      </c>
      <c r="U46" s="267">
        <f>IF(ISNA(MATCH(U$2,Inputs!$K$4:$AJ$4,0)),NA(),IF(SUMPRODUCT((Inputs!$A$5:$A$120=$B46)*ISNUMBER(INDEX(Inputs!$K$5:$AJ$120,0,MATCH(U$2,Inputs!$K$4:$AJ$4,0))))+SUMPRODUCT((Inputs!$C$5:$C$120=$B46)*ISNUMBER(INDEX(Inputs!$K$5:$AJ$120,0,MATCH(U$2,Inputs!$K$4:$AJ$4,0))))+SUMPRODUCT((Inputs!$E$5:$E$120=$B46)*ISNUMBER(INDEX(Inputs!$K$5:$AJ$120,0,MATCH(U$2,Inputs!$K$4:$AJ$4,0))))=0,NA(),SUMPRODUCT((Inputs!$A$5:$A$120=$B46)*Inputs!$B$5:$B$120*(((Inputs!$G$5:$G$120="moeda")+(Inputs!$G$5:$G$120="acoes"))*Inputs!$B$1+((Inputs!$G$5:$G$120&lt;&gt;"moeda")*(Inputs!$G$5:$G$120&lt;&gt;"acoes")))*INDEX(Inputs!$K$5:$AJ$120,0,MATCH(U$2,Inputs!$K$4:$AJ$4,0)))+SUMPRODUCT((Inputs!$C$5:$C$120=$B46)*Inputs!$D$5:$D$120*(((Inputs!$G$5:$G$120="moeda")+(Inputs!$G$5:$G$120="acoes"))*Inputs!$B$1+((Inputs!$G$5:$G$120&lt;&gt;"moeda")*(Inputs!$G$5:$G$120&lt;&gt;"acoes")))*INDEX(Inputs!$K$5:$AJ$120,0,MATCH(U$2,Inputs!$K$4:$AJ$4,0)))+SUMPRODUCT((Inputs!$E$5:$E$120=$B46)*Inputs!$F$5:$F$120*(((Inputs!$G$5:$G$120="moeda")+(Inputs!$G$5:$G$120="acoes"))*Inputs!$B$1+((Inputs!$G$5:$G$120&lt;&gt;"moeda")*(Inputs!$G$5:$G$120&lt;&gt;"acoes")))*INDEX(Inputs!$K$5:$AJ$120,0,MATCH(U$2,Inputs!$K$4:$AJ$4,0)))))</f>
        <v>0</v>
      </c>
      <c r="V46" s="267">
        <f>IF(ISNA(MATCH(V$2,Inputs!$K$4:$AJ$4,0)),NA(),IF(SUMPRODUCT((Inputs!$A$5:$A$120=$B46)*ISNUMBER(INDEX(Inputs!$K$5:$AJ$120,0,MATCH(V$2,Inputs!$K$4:$AJ$4,0))))+SUMPRODUCT((Inputs!$C$5:$C$120=$B46)*ISNUMBER(INDEX(Inputs!$K$5:$AJ$120,0,MATCH(V$2,Inputs!$K$4:$AJ$4,0))))+SUMPRODUCT((Inputs!$E$5:$E$120=$B46)*ISNUMBER(INDEX(Inputs!$K$5:$AJ$120,0,MATCH(V$2,Inputs!$K$4:$AJ$4,0))))=0,NA(),SUMPRODUCT((Inputs!$A$5:$A$120=$B46)*Inputs!$B$5:$B$120*(((Inputs!$G$5:$G$120="moeda")+(Inputs!$G$5:$G$120="acoes"))*Inputs!$B$1+((Inputs!$G$5:$G$120&lt;&gt;"moeda")*(Inputs!$G$5:$G$120&lt;&gt;"acoes")))*INDEX(Inputs!$K$5:$AJ$120,0,MATCH(V$2,Inputs!$K$4:$AJ$4,0)))+SUMPRODUCT((Inputs!$C$5:$C$120=$B46)*Inputs!$D$5:$D$120*(((Inputs!$G$5:$G$120="moeda")+(Inputs!$G$5:$G$120="acoes"))*Inputs!$B$1+((Inputs!$G$5:$G$120&lt;&gt;"moeda")*(Inputs!$G$5:$G$120&lt;&gt;"acoes")))*INDEX(Inputs!$K$5:$AJ$120,0,MATCH(V$2,Inputs!$K$4:$AJ$4,0)))+SUMPRODUCT((Inputs!$E$5:$E$120=$B46)*Inputs!$F$5:$F$120*(((Inputs!$G$5:$G$120="moeda")+(Inputs!$G$5:$G$120="acoes"))*Inputs!$B$1+((Inputs!$G$5:$G$120&lt;&gt;"moeda")*(Inputs!$G$5:$G$120&lt;&gt;"acoes")))*INDEX(Inputs!$K$5:$AJ$120,0,MATCH(V$2,Inputs!$K$4:$AJ$4,0)))))</f>
        <v>0</v>
      </c>
      <c r="W46" s="268">
        <f>V46</f>
        <v>0</v>
      </c>
      <c r="X46" s="267">
        <f>IF(ISNA(MATCH(X$2,Inputs!$K$4:$AJ$4,0)),NA(),IF(SUMPRODUCT((Inputs!$A$5:$A$120=$B46)*ISNUMBER(INDEX(Inputs!$K$5:$AJ$120,0,MATCH(X$2,Inputs!$K$4:$AJ$4,0))))+SUMPRODUCT((Inputs!$C$5:$C$120=$B46)*ISNUMBER(INDEX(Inputs!$K$5:$AJ$120,0,MATCH(X$2,Inputs!$K$4:$AJ$4,0))))+SUMPRODUCT((Inputs!$E$5:$E$120=$B46)*ISNUMBER(INDEX(Inputs!$K$5:$AJ$120,0,MATCH(X$2,Inputs!$K$4:$AJ$4,0))))=0,NA(),SUMPRODUCT((Inputs!$A$5:$A$120=$B46)*Inputs!$B$5:$B$120*(((Inputs!$G$5:$G$120="moeda")+(Inputs!$G$5:$G$120="acoes"))*Inputs!$B$1+((Inputs!$G$5:$G$120&lt;&gt;"moeda")*(Inputs!$G$5:$G$120&lt;&gt;"acoes")))*INDEX(Inputs!$K$5:$AJ$120,0,MATCH(X$2,Inputs!$K$4:$AJ$4,0)))+SUMPRODUCT((Inputs!$C$5:$C$120=$B46)*Inputs!$D$5:$D$120*(((Inputs!$G$5:$G$120="moeda")+(Inputs!$G$5:$G$120="acoes"))*Inputs!$B$1+((Inputs!$G$5:$G$120&lt;&gt;"moeda")*(Inputs!$G$5:$G$120&lt;&gt;"acoes")))*INDEX(Inputs!$K$5:$AJ$120,0,MATCH(X$2,Inputs!$K$4:$AJ$4,0)))+SUMPRODUCT((Inputs!$E$5:$E$120=$B46)*Inputs!$F$5:$F$120*(((Inputs!$G$5:$G$120="moeda")+(Inputs!$G$5:$G$120="acoes"))*Inputs!$B$1+((Inputs!$G$5:$G$120&lt;&gt;"moeda")*(Inputs!$G$5:$G$120&lt;&gt;"acoes")))*INDEX(Inputs!$K$5:$AJ$120,0,MATCH(X$2,Inputs!$K$4:$AJ$4,0)))))</f>
        <v>0</v>
      </c>
      <c r="Y46" s="267">
        <f>IF(ISNA(MATCH(Y$2,Inputs!$K$4:$AJ$4,0)),NA(),IF(SUMPRODUCT((Inputs!$A$5:$A$120=$B46)*ISNUMBER(INDEX(Inputs!$K$5:$AJ$120,0,MATCH(Y$2,Inputs!$K$4:$AJ$4,0))))+SUMPRODUCT((Inputs!$C$5:$C$120=$B46)*ISNUMBER(INDEX(Inputs!$K$5:$AJ$120,0,MATCH(Y$2,Inputs!$K$4:$AJ$4,0))))+SUMPRODUCT((Inputs!$E$5:$E$120=$B46)*ISNUMBER(INDEX(Inputs!$K$5:$AJ$120,0,MATCH(Y$2,Inputs!$K$4:$AJ$4,0))))=0,NA(),SUMPRODUCT((Inputs!$A$5:$A$120=$B46)*Inputs!$B$5:$B$120*(((Inputs!$G$5:$G$120="moeda")+(Inputs!$G$5:$G$120="acoes"))*Inputs!$B$1+((Inputs!$G$5:$G$120&lt;&gt;"moeda")*(Inputs!$G$5:$G$120&lt;&gt;"acoes")))*INDEX(Inputs!$K$5:$AJ$120,0,MATCH(Y$2,Inputs!$K$4:$AJ$4,0)))+SUMPRODUCT((Inputs!$C$5:$C$120=$B46)*Inputs!$D$5:$D$120*(((Inputs!$G$5:$G$120="moeda")+(Inputs!$G$5:$G$120="acoes"))*Inputs!$B$1+((Inputs!$G$5:$G$120&lt;&gt;"moeda")*(Inputs!$G$5:$G$120&lt;&gt;"acoes")))*INDEX(Inputs!$K$5:$AJ$120,0,MATCH(Y$2,Inputs!$K$4:$AJ$4,0)))+SUMPRODUCT((Inputs!$E$5:$E$120=$B46)*Inputs!$F$5:$F$120*(((Inputs!$G$5:$G$120="moeda")+(Inputs!$G$5:$G$120="acoes"))*Inputs!$B$1+((Inputs!$G$5:$G$120&lt;&gt;"moeda")*(Inputs!$G$5:$G$120&lt;&gt;"acoes")))*INDEX(Inputs!$K$5:$AJ$120,0,MATCH(Y$2,Inputs!$K$4:$AJ$4,0)))))</f>
        <v>0</v>
      </c>
      <c r="Z46" s="267">
        <f>IF(ISNA(MATCH(Z$2,Inputs!$K$4:$AJ$4,0)),NA(),IF(SUMPRODUCT((Inputs!$A$5:$A$120=$B46)*ISNUMBER(INDEX(Inputs!$K$5:$AJ$120,0,MATCH(Z$2,Inputs!$K$4:$AJ$4,0))))+SUMPRODUCT((Inputs!$C$5:$C$120=$B46)*ISNUMBER(INDEX(Inputs!$K$5:$AJ$120,0,MATCH(Z$2,Inputs!$K$4:$AJ$4,0))))+SUMPRODUCT((Inputs!$E$5:$E$120=$B46)*ISNUMBER(INDEX(Inputs!$K$5:$AJ$120,0,MATCH(Z$2,Inputs!$K$4:$AJ$4,0))))=0,NA(),SUMPRODUCT((Inputs!$A$5:$A$120=$B46)*Inputs!$B$5:$B$120*(((Inputs!$G$5:$G$120="moeda")+(Inputs!$G$5:$G$120="acoes"))*Inputs!$B$1+((Inputs!$G$5:$G$120&lt;&gt;"moeda")*(Inputs!$G$5:$G$120&lt;&gt;"acoes")))*INDEX(Inputs!$K$5:$AJ$120,0,MATCH(Z$2,Inputs!$K$4:$AJ$4,0)))+SUMPRODUCT((Inputs!$C$5:$C$120=$B46)*Inputs!$D$5:$D$120*(((Inputs!$G$5:$G$120="moeda")+(Inputs!$G$5:$G$120="acoes"))*Inputs!$B$1+((Inputs!$G$5:$G$120&lt;&gt;"moeda")*(Inputs!$G$5:$G$120&lt;&gt;"acoes")))*INDEX(Inputs!$K$5:$AJ$120,0,MATCH(Z$2,Inputs!$K$4:$AJ$4,0)))+SUMPRODUCT((Inputs!$E$5:$E$120=$B46)*Inputs!$F$5:$F$120*(((Inputs!$G$5:$G$120="moeda")+(Inputs!$G$5:$G$120="acoes"))*Inputs!$B$1+((Inputs!$G$5:$G$120&lt;&gt;"moeda")*(Inputs!$G$5:$G$120&lt;&gt;"acoes")))*INDEX(Inputs!$K$5:$AJ$120,0,MATCH(Z$2,Inputs!$K$4:$AJ$4,0)))))</f>
        <v>0</v>
      </c>
      <c r="AA46" s="267">
        <f>IF(ISNA(MATCH(AA$2,Inputs!$K$4:$AJ$4,0)),NA(),IF(SUMPRODUCT((Inputs!$A$5:$A$120=$B46)*ISNUMBER(INDEX(Inputs!$K$5:$AJ$120,0,MATCH(AA$2,Inputs!$K$4:$AJ$4,0))))+SUMPRODUCT((Inputs!$C$5:$C$120=$B46)*ISNUMBER(INDEX(Inputs!$K$5:$AJ$120,0,MATCH(AA$2,Inputs!$K$4:$AJ$4,0))))+SUMPRODUCT((Inputs!$E$5:$E$120=$B46)*ISNUMBER(INDEX(Inputs!$K$5:$AJ$120,0,MATCH(AA$2,Inputs!$K$4:$AJ$4,0))))=0,NA(),SUMPRODUCT((Inputs!$A$5:$A$120=$B46)*Inputs!$B$5:$B$120*(((Inputs!$G$5:$G$120="moeda")+(Inputs!$G$5:$G$120="acoes"))*Inputs!$B$1+((Inputs!$G$5:$G$120&lt;&gt;"moeda")*(Inputs!$G$5:$G$120&lt;&gt;"acoes")))*INDEX(Inputs!$K$5:$AJ$120,0,MATCH(AA$2,Inputs!$K$4:$AJ$4,0)))+SUMPRODUCT((Inputs!$C$5:$C$120=$B46)*Inputs!$D$5:$D$120*(((Inputs!$G$5:$G$120="moeda")+(Inputs!$G$5:$G$120="acoes"))*Inputs!$B$1+((Inputs!$G$5:$G$120&lt;&gt;"moeda")*(Inputs!$G$5:$G$120&lt;&gt;"acoes")))*INDEX(Inputs!$K$5:$AJ$120,0,MATCH(AA$2,Inputs!$K$4:$AJ$4,0)))+SUMPRODUCT((Inputs!$E$5:$E$120=$B46)*Inputs!$F$5:$F$120*(((Inputs!$G$5:$G$120="moeda")+(Inputs!$G$5:$G$120="acoes"))*Inputs!$B$1+((Inputs!$G$5:$G$120&lt;&gt;"moeda")*(Inputs!$G$5:$G$120&lt;&gt;"acoes")))*INDEX(Inputs!$K$5:$AJ$120,0,MATCH(AA$2,Inputs!$K$4:$AJ$4,0)))))</f>
        <v>0</v>
      </c>
      <c r="AB46" s="268">
        <f>AA46</f>
        <v>0</v>
      </c>
      <c r="AC46" s="267">
        <f>IF(ISNA(MATCH(AC$2,Inputs!$K$4:$AJ$4,0)),NA(),IF(SUMPRODUCT((Inputs!$A$5:$A$120=$B46)*ISNUMBER(INDEX(Inputs!$K$5:$AJ$120,0,MATCH(AC$2,Inputs!$K$4:$AJ$4,0))))+SUMPRODUCT((Inputs!$C$5:$C$120=$B46)*ISNUMBER(INDEX(Inputs!$K$5:$AJ$120,0,MATCH(AC$2,Inputs!$K$4:$AJ$4,0))))+SUMPRODUCT((Inputs!$E$5:$E$120=$B46)*ISNUMBER(INDEX(Inputs!$K$5:$AJ$120,0,MATCH(AC$2,Inputs!$K$4:$AJ$4,0))))=0,NA(),SUMPRODUCT((Inputs!$A$5:$A$120=$B46)*Inputs!$B$5:$B$120*(((Inputs!$G$5:$G$120="moeda")+(Inputs!$G$5:$G$120="acoes"))*Inputs!$B$1+((Inputs!$G$5:$G$120&lt;&gt;"moeda")*(Inputs!$G$5:$G$120&lt;&gt;"acoes")))*INDEX(Inputs!$K$5:$AJ$120,0,MATCH(AC$2,Inputs!$K$4:$AJ$4,0)))+SUMPRODUCT((Inputs!$C$5:$C$120=$B46)*Inputs!$D$5:$D$120*(((Inputs!$G$5:$G$120="moeda")+(Inputs!$G$5:$G$120="acoes"))*Inputs!$B$1+((Inputs!$G$5:$G$120&lt;&gt;"moeda")*(Inputs!$G$5:$G$120&lt;&gt;"acoes")))*INDEX(Inputs!$K$5:$AJ$120,0,MATCH(AC$2,Inputs!$K$4:$AJ$4,0)))+SUMPRODUCT((Inputs!$E$5:$E$120=$B46)*Inputs!$F$5:$F$120*(((Inputs!$G$5:$G$120="moeda")+(Inputs!$G$5:$G$120="acoes"))*Inputs!$B$1+((Inputs!$G$5:$G$120&lt;&gt;"moeda")*(Inputs!$G$5:$G$120&lt;&gt;"acoes")))*INDEX(Inputs!$K$5:$AJ$120,0,MATCH(AC$2,Inputs!$K$4:$AJ$4,0)))))</f>
        <v>0</v>
      </c>
      <c r="AD46" s="267">
        <f>IF(ISNA(MATCH(AD$2,Inputs!$K$4:$AJ$4,0)),NA(),IF(SUMPRODUCT((Inputs!$A$5:$A$120=$B46)*ISNUMBER(INDEX(Inputs!$K$5:$AJ$120,0,MATCH(AD$2,Inputs!$K$4:$AJ$4,0))))+SUMPRODUCT((Inputs!$C$5:$C$120=$B46)*ISNUMBER(INDEX(Inputs!$K$5:$AJ$120,0,MATCH(AD$2,Inputs!$K$4:$AJ$4,0))))+SUMPRODUCT((Inputs!$E$5:$E$120=$B46)*ISNUMBER(INDEX(Inputs!$K$5:$AJ$120,0,MATCH(AD$2,Inputs!$K$4:$AJ$4,0))))=0,NA(),SUMPRODUCT((Inputs!$A$5:$A$120=$B46)*Inputs!$B$5:$B$120*(((Inputs!$G$5:$G$120="moeda")+(Inputs!$G$5:$G$120="acoes"))*Inputs!$B$1+((Inputs!$G$5:$G$120&lt;&gt;"moeda")*(Inputs!$G$5:$G$120&lt;&gt;"acoes")))*INDEX(Inputs!$K$5:$AJ$120,0,MATCH(AD$2,Inputs!$K$4:$AJ$4,0)))+SUMPRODUCT((Inputs!$C$5:$C$120=$B46)*Inputs!$D$5:$D$120*(((Inputs!$G$5:$G$120="moeda")+(Inputs!$G$5:$G$120="acoes"))*Inputs!$B$1+((Inputs!$G$5:$G$120&lt;&gt;"moeda")*(Inputs!$G$5:$G$120&lt;&gt;"acoes")))*INDEX(Inputs!$K$5:$AJ$120,0,MATCH(AD$2,Inputs!$K$4:$AJ$4,0)))+SUMPRODUCT((Inputs!$E$5:$E$120=$B46)*Inputs!$F$5:$F$120*(((Inputs!$G$5:$G$120="moeda")+(Inputs!$G$5:$G$120="acoes"))*Inputs!$B$1+((Inputs!$G$5:$G$120&lt;&gt;"moeda")*(Inputs!$G$5:$G$120&lt;&gt;"acoes")))*INDEX(Inputs!$K$5:$AJ$120,0,MATCH(AD$2,Inputs!$K$4:$AJ$4,0)))))</f>
        <v>0</v>
      </c>
      <c r="AE46" s="267" t="e">
        <f>IF(ISNA(MATCH(AE$2,Inputs!$K$4:$AJ$4,0)),NA(),IF(SUMPRODUCT((Inputs!$A$5:$A$120=$B46)*ISNUMBER(INDEX(Inputs!$K$5:$AJ$120,0,MATCH(AE$2,Inputs!$K$4:$AJ$4,0))))+SUMPRODUCT((Inputs!$C$5:$C$120=$B46)*ISNUMBER(INDEX(Inputs!$K$5:$AJ$120,0,MATCH(AE$2,Inputs!$K$4:$AJ$4,0))))+SUMPRODUCT((Inputs!$E$5:$E$120=$B46)*ISNUMBER(INDEX(Inputs!$K$5:$AJ$120,0,MATCH(AE$2,Inputs!$K$4:$AJ$4,0))))=0,NA(),SUMPRODUCT((Inputs!$A$5:$A$120=$B46)*Inputs!$B$5:$B$120*(((Inputs!$G$5:$G$120="moeda")+(Inputs!$G$5:$G$120="acoes"))*Inputs!$B$1+((Inputs!$G$5:$G$120&lt;&gt;"moeda")*(Inputs!$G$5:$G$120&lt;&gt;"acoes")))*INDEX(Inputs!$K$5:$AJ$120,0,MATCH(AE$2,Inputs!$K$4:$AJ$4,0)))+SUMPRODUCT((Inputs!$C$5:$C$120=$B46)*Inputs!$D$5:$D$120*(((Inputs!$G$5:$G$120="moeda")+(Inputs!$G$5:$G$120="acoes"))*Inputs!$B$1+((Inputs!$G$5:$G$120&lt;&gt;"moeda")*(Inputs!$G$5:$G$120&lt;&gt;"acoes")))*INDEX(Inputs!$K$5:$AJ$120,0,MATCH(AE$2,Inputs!$K$4:$AJ$4,0)))+SUMPRODUCT((Inputs!$E$5:$E$120=$B46)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6" s="267" t="e">
        <f>IF(ISNA(MATCH(AF$2,Inputs!$K$4:$AJ$4,0)),NA(),IF(SUMPRODUCT((Inputs!$A$5:$A$120=$B46)*ISNUMBER(INDEX(Inputs!$K$5:$AJ$120,0,MATCH(AF$2,Inputs!$K$4:$AJ$4,0))))+SUMPRODUCT((Inputs!$C$5:$C$120=$B46)*ISNUMBER(INDEX(Inputs!$K$5:$AJ$120,0,MATCH(AF$2,Inputs!$K$4:$AJ$4,0))))+SUMPRODUCT((Inputs!$E$5:$E$120=$B46)*ISNUMBER(INDEX(Inputs!$K$5:$AJ$120,0,MATCH(AF$2,Inputs!$K$4:$AJ$4,0))))=0,NA(),SUMPRODUCT((Inputs!$A$5:$A$120=$B46)*Inputs!$B$5:$B$120*(((Inputs!$G$5:$G$120="moeda")+(Inputs!$G$5:$G$120="acoes"))*Inputs!$B$1+((Inputs!$G$5:$G$120&lt;&gt;"moeda")*(Inputs!$G$5:$G$120&lt;&gt;"acoes")))*INDEX(Inputs!$K$5:$AJ$120,0,MATCH(AF$2,Inputs!$K$4:$AJ$4,0)))+SUMPRODUCT((Inputs!$C$5:$C$120=$B46)*Inputs!$D$5:$D$120*(((Inputs!$G$5:$G$120="moeda")+(Inputs!$G$5:$G$120="acoes"))*Inputs!$B$1+((Inputs!$G$5:$G$120&lt;&gt;"moeda")*(Inputs!$G$5:$G$120&lt;&gt;"acoes")))*INDEX(Inputs!$K$5:$AJ$120,0,MATCH(AF$2,Inputs!$K$4:$AJ$4,0)))+SUMPRODUCT((Inputs!$E$5:$E$120=$B46)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6" s="268" t="e">
        <f>AF46</f>
        <v>#N/A</v>
      </c>
      <c r="AH46" s="267">
        <f>IF(ISNA(MATCH(AH$2,Inputs!$K$4:$AJ$4,0)),NA(),IF(SUMPRODUCT((Inputs!$A$5:$A$120=$B46)*ISNUMBER(INDEX(Inputs!$K$5:$AJ$120,0,MATCH(AH$2,Inputs!$K$4:$AJ$4,0))))+SUMPRODUCT((Inputs!$C$5:$C$120=$B46)*ISNUMBER(INDEX(Inputs!$K$5:$AJ$120,0,MATCH(AH$2,Inputs!$K$4:$AJ$4,0))))+SUMPRODUCT((Inputs!$E$5:$E$120=$B46)*ISNUMBER(INDEX(Inputs!$K$5:$AJ$120,0,MATCH(AH$2,Inputs!$K$4:$AJ$4,0))))=0,NA(),SUMPRODUCT((Inputs!$A$5:$A$120=$B46)*Inputs!$B$5:$B$120*(((Inputs!$G$5:$G$120="moeda")+(Inputs!$G$5:$G$120="acoes"))*Inputs!$B$1+((Inputs!$G$5:$G$120&lt;&gt;"moeda")*(Inputs!$G$5:$G$120&lt;&gt;"acoes")))*INDEX(Inputs!$K$5:$AJ$120,0,MATCH(AH$2,Inputs!$K$4:$AJ$4,0)))+SUMPRODUCT((Inputs!$C$5:$C$120=$B46)*Inputs!$D$5:$D$120*(((Inputs!$G$5:$G$120="moeda")+(Inputs!$G$5:$G$120="acoes"))*Inputs!$B$1+((Inputs!$G$5:$G$120&lt;&gt;"moeda")*(Inputs!$G$5:$G$120&lt;&gt;"acoes")))*INDEX(Inputs!$K$5:$AJ$120,0,MATCH(AH$2,Inputs!$K$4:$AJ$4,0)))+SUMPRODUCT((Inputs!$E$5:$E$120=$B46)*Inputs!$F$5:$F$120*(((Inputs!$G$5:$G$120="moeda")+(Inputs!$G$5:$G$120="acoes"))*Inputs!$B$1+((Inputs!$G$5:$G$120&lt;&gt;"moeda")*(Inputs!$G$5:$G$120&lt;&gt;"acoes")))*INDEX(Inputs!$K$5:$AJ$120,0,MATCH(AH$2,Inputs!$K$4:$AJ$4,0)))))</f>
        <v>0</v>
      </c>
      <c r="AI46" s="267">
        <f>IF(ISNA(MATCH(AI$2,Inputs!$K$4:$AJ$4,0)),NA(),IF(SUMPRODUCT((Inputs!$A$5:$A$120=$B46)*ISNUMBER(INDEX(Inputs!$K$5:$AJ$120,0,MATCH(AI$2,Inputs!$K$4:$AJ$4,0))))+SUMPRODUCT((Inputs!$C$5:$C$120=$B46)*ISNUMBER(INDEX(Inputs!$K$5:$AJ$120,0,MATCH(AI$2,Inputs!$K$4:$AJ$4,0))))+SUMPRODUCT((Inputs!$E$5:$E$120=$B46)*ISNUMBER(INDEX(Inputs!$K$5:$AJ$120,0,MATCH(AI$2,Inputs!$K$4:$AJ$4,0))))=0,NA(),SUMPRODUCT((Inputs!$A$5:$A$120=$B46)*Inputs!$B$5:$B$120*(((Inputs!$G$5:$G$120="moeda")+(Inputs!$G$5:$G$120="acoes"))*Inputs!$B$1+((Inputs!$G$5:$G$120&lt;&gt;"moeda")*(Inputs!$G$5:$G$120&lt;&gt;"acoes")))*INDEX(Inputs!$K$5:$AJ$120,0,MATCH(AI$2,Inputs!$K$4:$AJ$4,0)))+SUMPRODUCT((Inputs!$C$5:$C$120=$B46)*Inputs!$D$5:$D$120*(((Inputs!$G$5:$G$120="moeda")+(Inputs!$G$5:$G$120="acoes"))*Inputs!$B$1+((Inputs!$G$5:$G$120&lt;&gt;"moeda")*(Inputs!$G$5:$G$120&lt;&gt;"acoes")))*INDEX(Inputs!$K$5:$AJ$120,0,MATCH(AI$2,Inputs!$K$4:$AJ$4,0)))+SUMPRODUCT((Inputs!$E$5:$E$120=$B46)*Inputs!$F$5:$F$120*(((Inputs!$G$5:$G$120="moeda")+(Inputs!$G$5:$G$120="acoes"))*Inputs!$B$1+((Inputs!$G$5:$G$120&lt;&gt;"moeda")*(Inputs!$G$5:$G$120&lt;&gt;"acoes")))*INDEX(Inputs!$K$5:$AJ$120,0,MATCH(AI$2,Inputs!$K$4:$AJ$4,0)))))</f>
        <v>0</v>
      </c>
      <c r="AJ46" s="267">
        <f>IF(ISNA(MATCH(AJ$2,Inputs!$K$4:$AJ$4,0)),NA(),IF(SUMPRODUCT((Inputs!$A$5:$A$120=$B46)*ISNUMBER(INDEX(Inputs!$K$5:$AJ$120,0,MATCH(AJ$2,Inputs!$K$4:$AJ$4,0))))+SUMPRODUCT((Inputs!$C$5:$C$120=$B46)*ISNUMBER(INDEX(Inputs!$K$5:$AJ$120,0,MATCH(AJ$2,Inputs!$K$4:$AJ$4,0))))+SUMPRODUCT((Inputs!$E$5:$E$120=$B46)*ISNUMBER(INDEX(Inputs!$K$5:$AJ$120,0,MATCH(AJ$2,Inputs!$K$4:$AJ$4,0))))=0,NA(),SUMPRODUCT((Inputs!$A$5:$A$120=$B46)*Inputs!$B$5:$B$120*(((Inputs!$G$5:$G$120="moeda")+(Inputs!$G$5:$G$120="acoes"))*Inputs!$B$1+((Inputs!$G$5:$G$120&lt;&gt;"moeda")*(Inputs!$G$5:$G$120&lt;&gt;"acoes")))*INDEX(Inputs!$K$5:$AJ$120,0,MATCH(AJ$2,Inputs!$K$4:$AJ$4,0)))+SUMPRODUCT((Inputs!$C$5:$C$120=$B46)*Inputs!$D$5:$D$120*(((Inputs!$G$5:$G$120="moeda")+(Inputs!$G$5:$G$120="acoes"))*Inputs!$B$1+((Inputs!$G$5:$G$120&lt;&gt;"moeda")*(Inputs!$G$5:$G$120&lt;&gt;"acoes")))*INDEX(Inputs!$K$5:$AJ$120,0,MATCH(AJ$2,Inputs!$K$4:$AJ$4,0)))+SUMPRODUCT((Inputs!$E$5:$E$120=$B46)*Inputs!$F$5:$F$120*(((Inputs!$G$5:$G$120="moeda")+(Inputs!$G$5:$G$120="acoes"))*Inputs!$B$1+((Inputs!$G$5:$G$120&lt;&gt;"moeda")*(Inputs!$G$5:$G$120&lt;&gt;"acoes")))*INDEX(Inputs!$K$5:$AJ$120,0,MATCH(AJ$2,Inputs!$K$4:$AJ$4,0)))))</f>
        <v>0</v>
      </c>
      <c r="AK46" s="267">
        <f>IF(ISNA(MATCH(AK$2,Inputs!$K$4:$AJ$4,0)),NA(),IF(SUMPRODUCT((Inputs!$A$5:$A$120=$B46)*ISNUMBER(INDEX(Inputs!$K$5:$AJ$120,0,MATCH(AK$2,Inputs!$K$4:$AJ$4,0))))+SUMPRODUCT((Inputs!$C$5:$C$120=$B46)*ISNUMBER(INDEX(Inputs!$K$5:$AJ$120,0,MATCH(AK$2,Inputs!$K$4:$AJ$4,0))))+SUMPRODUCT((Inputs!$E$5:$E$120=$B46)*ISNUMBER(INDEX(Inputs!$K$5:$AJ$120,0,MATCH(AK$2,Inputs!$K$4:$AJ$4,0))))=0,NA(),SUMPRODUCT((Inputs!$A$5:$A$120=$B46)*Inputs!$B$5:$B$120*(((Inputs!$G$5:$G$120="moeda")+(Inputs!$G$5:$G$120="acoes"))*Inputs!$B$1+((Inputs!$G$5:$G$120&lt;&gt;"moeda")*(Inputs!$G$5:$G$120&lt;&gt;"acoes")))*INDEX(Inputs!$K$5:$AJ$120,0,MATCH(AK$2,Inputs!$K$4:$AJ$4,0)))+SUMPRODUCT((Inputs!$C$5:$C$120=$B46)*Inputs!$D$5:$D$120*(((Inputs!$G$5:$G$120="moeda")+(Inputs!$G$5:$G$120="acoes"))*Inputs!$B$1+((Inputs!$G$5:$G$120&lt;&gt;"moeda")*(Inputs!$G$5:$G$120&lt;&gt;"acoes")))*INDEX(Inputs!$K$5:$AJ$120,0,MATCH(AK$2,Inputs!$K$4:$AJ$4,0)))+SUMPRODUCT((Inputs!$E$5:$E$120=$B46)*Inputs!$F$5:$F$120*(((Inputs!$G$5:$G$120="moeda")+(Inputs!$G$5:$G$120="acoes"))*Inputs!$B$1+((Inputs!$G$5:$G$120&lt;&gt;"moeda")*(Inputs!$G$5:$G$120&lt;&gt;"acoes")))*INDEX(Inputs!$K$5:$AJ$120,0,MATCH(AK$2,Inputs!$K$4:$AJ$4,0)))))</f>
        <v>0</v>
      </c>
      <c r="AL46" s="268">
        <f>AK46</f>
        <v>0</v>
      </c>
    </row>
    <row r="47" ht="12.75" customHeight="1" s="255">
      <c r="B47" s="265" t="n">
        <v>41</v>
      </c>
      <c r="C47" s="271" t="inlineStr">
        <is>
          <t>Retained earnings</t>
        </is>
      </c>
      <c r="D47" s="267">
        <f>IF(ISNA(MATCH(D$2,Inputs!$K$4:$AJ$4,0)),NA(),IF(SUMPRODUCT((Inputs!$A$5:$A$120=$B47)*ISNUMBER(INDEX(Inputs!$K$5:$AJ$120,0,MATCH(D$2,Inputs!$K$4:$AJ$4,0))))+SUMPRODUCT((Inputs!$C$5:$C$120=$B47)*ISNUMBER(INDEX(Inputs!$K$5:$AJ$120,0,MATCH(D$2,Inputs!$K$4:$AJ$4,0))))+SUMPRODUCT((Inputs!$E$5:$E$120=$B47)*ISNUMBER(INDEX(Inputs!$K$5:$AJ$120,0,MATCH(D$2,Inputs!$K$4:$AJ$4,0))))=0,NA(),SUMPRODUCT((Inputs!$A$5:$A$120=$B47)*Inputs!$B$5:$B$120*(((Inputs!$G$5:$G$120="moeda")+(Inputs!$G$5:$G$120="acoes"))*Inputs!$B$1+((Inputs!$G$5:$G$120&lt;&gt;"moeda")*(Inputs!$G$5:$G$120&lt;&gt;"acoes")))*INDEX(Inputs!$K$5:$AJ$120,0,MATCH(D$2,Inputs!$K$4:$AJ$4,0)))+SUMPRODUCT((Inputs!$C$5:$C$120=$B47)*Inputs!$D$5:$D$120*(((Inputs!$G$5:$G$120="moeda")+(Inputs!$G$5:$G$120="acoes"))*Inputs!$B$1+((Inputs!$G$5:$G$120&lt;&gt;"moeda")*(Inputs!$G$5:$G$120&lt;&gt;"acoes")))*INDEX(Inputs!$K$5:$AJ$120,0,MATCH(D$2,Inputs!$K$4:$AJ$4,0)))+SUMPRODUCT((Inputs!$E$5:$E$120=$B47)*Inputs!$F$5:$F$120*(((Inputs!$G$5:$G$120="moeda")+(Inputs!$G$5:$G$120="acoes"))*Inputs!$B$1+((Inputs!$G$5:$G$120&lt;&gt;"moeda")*(Inputs!$G$5:$G$120&lt;&gt;"acoes")))*INDEX(Inputs!$K$5:$AJ$120,0,MATCH(D$2,Inputs!$K$4:$AJ$4,0)))))</f>
        <v>-10963</v>
      </c>
      <c r="E47" s="267">
        <f>IF(ISNA(MATCH(E$2,Inputs!$K$4:$AJ$4,0)),NA(),IF(SUMPRODUCT((Inputs!$A$5:$A$120=$B47)*ISNUMBER(INDEX(Inputs!$K$5:$AJ$120,0,MATCH(E$2,Inputs!$K$4:$AJ$4,0))))+SUMPRODUCT((Inputs!$C$5:$C$120=$B47)*ISNUMBER(INDEX(Inputs!$K$5:$AJ$120,0,MATCH(E$2,Inputs!$K$4:$AJ$4,0))))+SUMPRODUCT((Inputs!$E$5:$E$120=$B47)*ISNUMBER(INDEX(Inputs!$K$5:$AJ$120,0,MATCH(E$2,Inputs!$K$4:$AJ$4,0))))=0,NA(),SUMPRODUCT((Inputs!$A$5:$A$120=$B47)*Inputs!$B$5:$B$120*(((Inputs!$G$5:$G$120="moeda")+(Inputs!$G$5:$G$120="acoes"))*Inputs!$B$1+((Inputs!$G$5:$G$120&lt;&gt;"moeda")*(Inputs!$G$5:$G$120&lt;&gt;"acoes")))*INDEX(Inputs!$K$5:$AJ$120,0,MATCH(E$2,Inputs!$K$4:$AJ$4,0)))+SUMPRODUCT((Inputs!$C$5:$C$120=$B47)*Inputs!$D$5:$D$120*(((Inputs!$G$5:$G$120="moeda")+(Inputs!$G$5:$G$120="acoes"))*Inputs!$B$1+((Inputs!$G$5:$G$120&lt;&gt;"moeda")*(Inputs!$G$5:$G$120&lt;&gt;"acoes")))*INDEX(Inputs!$K$5:$AJ$120,0,MATCH(E$2,Inputs!$K$4:$AJ$4,0)))+SUMPRODUCT((Inputs!$E$5:$E$120=$B47)*Inputs!$F$5:$F$120*(((Inputs!$G$5:$G$120="moeda")+(Inputs!$G$5:$G$120="acoes"))*Inputs!$B$1+((Inputs!$G$5:$G$120&lt;&gt;"moeda")*(Inputs!$G$5:$G$120&lt;&gt;"acoes")))*INDEX(Inputs!$K$5:$AJ$120,0,MATCH(E$2,Inputs!$K$4:$AJ$4,0)))))</f>
        <v>-9880</v>
      </c>
      <c r="F47" s="267">
        <f>IF(ISNA(MATCH(F$2,Inputs!$K$4:$AJ$4,0)),NA(),IF(SUMPRODUCT((Inputs!$A$5:$A$120=$B47)*ISNUMBER(INDEX(Inputs!$K$5:$AJ$120,0,MATCH(F$2,Inputs!$K$4:$AJ$4,0))))+SUMPRODUCT((Inputs!$C$5:$C$120=$B47)*ISNUMBER(INDEX(Inputs!$K$5:$AJ$120,0,MATCH(F$2,Inputs!$K$4:$AJ$4,0))))+SUMPRODUCT((Inputs!$E$5:$E$120=$B47)*ISNUMBER(INDEX(Inputs!$K$5:$AJ$120,0,MATCH(F$2,Inputs!$K$4:$AJ$4,0))))=0,NA(),SUMPRODUCT((Inputs!$A$5:$A$120=$B47)*Inputs!$B$5:$B$120*(((Inputs!$G$5:$G$120="moeda")+(Inputs!$G$5:$G$120="acoes"))*Inputs!$B$1+((Inputs!$G$5:$G$120&lt;&gt;"moeda")*(Inputs!$G$5:$G$120&lt;&gt;"acoes")))*INDEX(Inputs!$K$5:$AJ$120,0,MATCH(F$2,Inputs!$K$4:$AJ$4,0)))+SUMPRODUCT((Inputs!$C$5:$C$120=$B47)*Inputs!$D$5:$D$120*(((Inputs!$G$5:$G$120="moeda")+(Inputs!$G$5:$G$120="acoes"))*Inputs!$B$1+((Inputs!$G$5:$G$120&lt;&gt;"moeda")*(Inputs!$G$5:$G$120&lt;&gt;"acoes")))*INDEX(Inputs!$K$5:$AJ$120,0,MATCH(F$2,Inputs!$K$4:$AJ$4,0)))+SUMPRODUCT((Inputs!$E$5:$E$120=$B47)*Inputs!$F$5:$F$120*(((Inputs!$G$5:$G$120="moeda")+(Inputs!$G$5:$G$120="acoes"))*Inputs!$B$1+((Inputs!$G$5:$G$120&lt;&gt;"moeda")*(Inputs!$G$5:$G$120&lt;&gt;"acoes")))*INDEX(Inputs!$K$5:$AJ$120,0,MATCH(F$2,Inputs!$K$4:$AJ$4,0)))))</f>
        <v>-8481</v>
      </c>
      <c r="G47" s="267">
        <f>IF(ISNA(MATCH(G$2,Inputs!$K$4:$AJ$4,0)),NA(),IF(SUMPRODUCT((Inputs!$A$5:$A$120=$B47)*ISNUMBER(INDEX(Inputs!$K$5:$AJ$120,0,MATCH(G$2,Inputs!$K$4:$AJ$4,0))))+SUMPRODUCT((Inputs!$C$5:$C$120=$B47)*ISNUMBER(INDEX(Inputs!$K$5:$AJ$120,0,MATCH(G$2,Inputs!$K$4:$AJ$4,0))))+SUMPRODUCT((Inputs!$E$5:$E$120=$B47)*ISNUMBER(INDEX(Inputs!$K$5:$AJ$120,0,MATCH(G$2,Inputs!$K$4:$AJ$4,0))))=0,NA(),SUMPRODUCT((Inputs!$A$5:$A$120=$B47)*Inputs!$B$5:$B$120*(((Inputs!$G$5:$G$120="moeda")+(Inputs!$G$5:$G$120="acoes"))*Inputs!$B$1+((Inputs!$G$5:$G$120&lt;&gt;"moeda")*(Inputs!$G$5:$G$120&lt;&gt;"acoes")))*INDEX(Inputs!$K$5:$AJ$120,0,MATCH(G$2,Inputs!$K$4:$AJ$4,0)))+SUMPRODUCT((Inputs!$C$5:$C$120=$B47)*Inputs!$D$5:$D$120*(((Inputs!$G$5:$G$120="moeda")+(Inputs!$G$5:$G$120="acoes"))*Inputs!$B$1+((Inputs!$G$5:$G$120&lt;&gt;"moeda")*(Inputs!$G$5:$G$120&lt;&gt;"acoes")))*INDEX(Inputs!$K$5:$AJ$120,0,MATCH(G$2,Inputs!$K$4:$AJ$4,0)))+SUMPRODUCT((Inputs!$E$5:$E$120=$B47)*Inputs!$F$5:$F$120*(((Inputs!$G$5:$G$120="moeda")+(Inputs!$G$5:$G$120="acoes"))*Inputs!$B$1+((Inputs!$G$5:$G$120&lt;&gt;"moeda")*(Inputs!$G$5:$G$120&lt;&gt;"acoes")))*INDEX(Inputs!$K$5:$AJ$120,0,MATCH(G$2,Inputs!$K$4:$AJ$4,0)))))</f>
        <v>-7375</v>
      </c>
      <c r="H47" s="268">
        <f>G47</f>
        <v>-7375</v>
      </c>
      <c r="I47" s="267">
        <f>IF(ISNA(MATCH(I$2,Inputs!$K$4:$AJ$4,0)),NA(),IF(SUMPRODUCT((Inputs!$A$5:$A$120=$B47)*ISNUMBER(INDEX(Inputs!$K$5:$AJ$120,0,MATCH(I$2,Inputs!$K$4:$AJ$4,0))))+SUMPRODUCT((Inputs!$C$5:$C$120=$B47)*ISNUMBER(INDEX(Inputs!$K$5:$AJ$120,0,MATCH(I$2,Inputs!$K$4:$AJ$4,0))))+SUMPRODUCT((Inputs!$E$5:$E$120=$B47)*ISNUMBER(INDEX(Inputs!$K$5:$AJ$120,0,MATCH(I$2,Inputs!$K$4:$AJ$4,0))))=0,NA(),SUMPRODUCT((Inputs!$A$5:$A$120=$B47)*Inputs!$B$5:$B$120*(((Inputs!$G$5:$G$120="moeda")+(Inputs!$G$5:$G$120="acoes"))*Inputs!$B$1+((Inputs!$G$5:$G$120&lt;&gt;"moeda")*(Inputs!$G$5:$G$120&lt;&gt;"acoes")))*INDEX(Inputs!$K$5:$AJ$120,0,MATCH(I$2,Inputs!$K$4:$AJ$4,0)))+SUMPRODUCT((Inputs!$C$5:$C$120=$B47)*Inputs!$D$5:$D$120*(((Inputs!$G$5:$G$120="moeda")+(Inputs!$G$5:$G$120="acoes"))*Inputs!$B$1+((Inputs!$G$5:$G$120&lt;&gt;"moeda")*(Inputs!$G$5:$G$120&lt;&gt;"acoes")))*INDEX(Inputs!$K$5:$AJ$120,0,MATCH(I$2,Inputs!$K$4:$AJ$4,0)))+SUMPRODUCT((Inputs!$E$5:$E$120=$B47)*Inputs!$F$5:$F$120*(((Inputs!$G$5:$G$120="moeda")+(Inputs!$G$5:$G$120="acoes"))*Inputs!$B$1+((Inputs!$G$5:$G$120&lt;&gt;"moeda")*(Inputs!$G$5:$G$120&lt;&gt;"acoes")))*INDEX(Inputs!$K$5:$AJ$120,0,MATCH(I$2,Inputs!$K$4:$AJ$4,0)))))</f>
        <v>-5848</v>
      </c>
      <c r="J47" s="267">
        <f>IF(ISNA(MATCH(J$2,Inputs!$K$4:$AJ$4,0)),NA(),IF(SUMPRODUCT((Inputs!$A$5:$A$120=$B47)*ISNUMBER(INDEX(Inputs!$K$5:$AJ$120,0,MATCH(J$2,Inputs!$K$4:$AJ$4,0))))+SUMPRODUCT((Inputs!$C$5:$C$120=$B47)*ISNUMBER(INDEX(Inputs!$K$5:$AJ$120,0,MATCH(J$2,Inputs!$K$4:$AJ$4,0))))+SUMPRODUCT((Inputs!$E$5:$E$120=$B47)*ISNUMBER(INDEX(Inputs!$K$5:$AJ$120,0,MATCH(J$2,Inputs!$K$4:$AJ$4,0))))=0,NA(),SUMPRODUCT((Inputs!$A$5:$A$120=$B47)*Inputs!$B$5:$B$120*(((Inputs!$G$5:$G$120="moeda")+(Inputs!$G$5:$G$120="acoes"))*Inputs!$B$1+((Inputs!$G$5:$G$120&lt;&gt;"moeda")*(Inputs!$G$5:$G$120&lt;&gt;"acoes")))*INDEX(Inputs!$K$5:$AJ$120,0,MATCH(J$2,Inputs!$K$4:$AJ$4,0)))+SUMPRODUCT((Inputs!$C$5:$C$120=$B47)*Inputs!$D$5:$D$120*(((Inputs!$G$5:$G$120="moeda")+(Inputs!$G$5:$G$120="acoes"))*Inputs!$B$1+((Inputs!$G$5:$G$120&lt;&gt;"moeda")*(Inputs!$G$5:$G$120&lt;&gt;"acoes")))*INDEX(Inputs!$K$5:$AJ$120,0,MATCH(J$2,Inputs!$K$4:$AJ$4,0)))+SUMPRODUCT((Inputs!$E$5:$E$120=$B47)*Inputs!$F$5:$F$120*(((Inputs!$G$5:$G$120="moeda")+(Inputs!$G$5:$G$120="acoes"))*Inputs!$B$1+((Inputs!$G$5:$G$120&lt;&gt;"moeda")*(Inputs!$G$5:$G$120&lt;&gt;"acoes")))*INDEX(Inputs!$K$5:$AJ$120,0,MATCH(J$2,Inputs!$K$4:$AJ$4,0)))))</f>
        <v>-5008</v>
      </c>
      <c r="K47" s="267">
        <f>IF(ISNA(MATCH(K$2,Inputs!$K$4:$AJ$4,0)),NA(),IF(SUMPRODUCT((Inputs!$A$5:$A$120=$B47)*ISNUMBER(INDEX(Inputs!$K$5:$AJ$120,0,MATCH(K$2,Inputs!$K$4:$AJ$4,0))))+SUMPRODUCT((Inputs!$C$5:$C$120=$B47)*ISNUMBER(INDEX(Inputs!$K$5:$AJ$120,0,MATCH(K$2,Inputs!$K$4:$AJ$4,0))))+SUMPRODUCT((Inputs!$E$5:$E$120=$B47)*ISNUMBER(INDEX(Inputs!$K$5:$AJ$120,0,MATCH(K$2,Inputs!$K$4:$AJ$4,0))))=0,NA(),SUMPRODUCT((Inputs!$A$5:$A$120=$B47)*Inputs!$B$5:$B$120*(((Inputs!$G$5:$G$120="moeda")+(Inputs!$G$5:$G$120="acoes"))*Inputs!$B$1+((Inputs!$G$5:$G$120&lt;&gt;"moeda")*(Inputs!$G$5:$G$120&lt;&gt;"acoes")))*INDEX(Inputs!$K$5:$AJ$120,0,MATCH(K$2,Inputs!$K$4:$AJ$4,0)))+SUMPRODUCT((Inputs!$C$5:$C$120=$B47)*Inputs!$D$5:$D$120*(((Inputs!$G$5:$G$120="moeda")+(Inputs!$G$5:$G$120="acoes"))*Inputs!$B$1+((Inputs!$G$5:$G$120&lt;&gt;"moeda")*(Inputs!$G$5:$G$120&lt;&gt;"acoes")))*INDEX(Inputs!$K$5:$AJ$120,0,MATCH(K$2,Inputs!$K$4:$AJ$4,0)))+SUMPRODUCT((Inputs!$E$5:$E$120=$B47)*Inputs!$F$5:$F$120*(((Inputs!$G$5:$G$120="moeda")+(Inputs!$G$5:$G$120="acoes"))*Inputs!$B$1+((Inputs!$G$5:$G$120&lt;&gt;"moeda")*(Inputs!$G$5:$G$120&lt;&gt;"acoes")))*INDEX(Inputs!$K$5:$AJ$120,0,MATCH(K$2,Inputs!$K$4:$AJ$4,0)))))</f>
        <v>-4604</v>
      </c>
      <c r="L47" s="267">
        <f>IF(ISNA(MATCH(L$2,Inputs!$K$4:$AJ$4,0)),NA(),IF(SUMPRODUCT((Inputs!$A$5:$A$120=$B47)*ISNUMBER(INDEX(Inputs!$K$5:$AJ$120,0,MATCH(L$2,Inputs!$K$4:$AJ$4,0))))+SUMPRODUCT((Inputs!$C$5:$C$120=$B47)*ISNUMBER(INDEX(Inputs!$K$5:$AJ$120,0,MATCH(L$2,Inputs!$K$4:$AJ$4,0))))+SUMPRODUCT((Inputs!$E$5:$E$120=$B47)*ISNUMBER(INDEX(Inputs!$K$5:$AJ$120,0,MATCH(L$2,Inputs!$K$4:$AJ$4,0))))=0,NA(),SUMPRODUCT((Inputs!$A$5:$A$120=$B47)*Inputs!$B$5:$B$120*(((Inputs!$G$5:$G$120="moeda")+(Inputs!$G$5:$G$120="acoes"))*Inputs!$B$1+((Inputs!$G$5:$G$120&lt;&gt;"moeda")*(Inputs!$G$5:$G$120&lt;&gt;"acoes")))*INDEX(Inputs!$K$5:$AJ$120,0,MATCH(L$2,Inputs!$K$4:$AJ$4,0)))+SUMPRODUCT((Inputs!$C$5:$C$120=$B47)*Inputs!$D$5:$D$120*(((Inputs!$G$5:$G$120="moeda")+(Inputs!$G$5:$G$120="acoes"))*Inputs!$B$1+((Inputs!$G$5:$G$120&lt;&gt;"moeda")*(Inputs!$G$5:$G$120&lt;&gt;"acoes")))*INDEX(Inputs!$K$5:$AJ$120,0,MATCH(L$2,Inputs!$K$4:$AJ$4,0)))+SUMPRODUCT((Inputs!$E$5:$E$120=$B47)*Inputs!$F$5:$F$120*(((Inputs!$G$5:$G$120="moeda")+(Inputs!$G$5:$G$120="acoes"))*Inputs!$B$1+((Inputs!$G$5:$G$120&lt;&gt;"moeda")*(Inputs!$G$5:$G$120&lt;&gt;"acoes")))*INDEX(Inputs!$K$5:$AJ$120,0,MATCH(L$2,Inputs!$K$4:$AJ$4,0)))))</f>
        <v>-3907</v>
      </c>
      <c r="M47" s="268">
        <f>L47</f>
        <v>-3907</v>
      </c>
      <c r="N47" s="267">
        <f>IF(ISNA(MATCH(N$2,Inputs!$K$4:$AJ$4,0)),NA(),IF(SUMPRODUCT((Inputs!$A$5:$A$120=$B47)*ISNUMBER(INDEX(Inputs!$K$5:$AJ$120,0,MATCH(N$2,Inputs!$K$4:$AJ$4,0))))+SUMPRODUCT((Inputs!$C$5:$C$120=$B47)*ISNUMBER(INDEX(Inputs!$K$5:$AJ$120,0,MATCH(N$2,Inputs!$K$4:$AJ$4,0))))+SUMPRODUCT((Inputs!$E$5:$E$120=$B47)*ISNUMBER(INDEX(Inputs!$K$5:$AJ$120,0,MATCH(N$2,Inputs!$K$4:$AJ$4,0))))=0,NA(),SUMPRODUCT((Inputs!$A$5:$A$120=$B47)*Inputs!$B$5:$B$120*(((Inputs!$G$5:$G$120="moeda")+(Inputs!$G$5:$G$120="acoes"))*Inputs!$B$1+((Inputs!$G$5:$G$120&lt;&gt;"moeda")*(Inputs!$G$5:$G$120&lt;&gt;"acoes")))*INDEX(Inputs!$K$5:$AJ$120,0,MATCH(N$2,Inputs!$K$4:$AJ$4,0)))+SUMPRODUCT((Inputs!$C$5:$C$120=$B47)*Inputs!$D$5:$D$120*(((Inputs!$G$5:$G$120="moeda")+(Inputs!$G$5:$G$120="acoes"))*Inputs!$B$1+((Inputs!$G$5:$G$120&lt;&gt;"moeda")*(Inputs!$G$5:$G$120&lt;&gt;"acoes")))*INDEX(Inputs!$K$5:$AJ$120,0,MATCH(N$2,Inputs!$K$4:$AJ$4,0)))+SUMPRODUCT((Inputs!$E$5:$E$120=$B47)*Inputs!$F$5:$F$120*(((Inputs!$G$5:$G$120="moeda")+(Inputs!$G$5:$G$120="acoes"))*Inputs!$B$1+((Inputs!$G$5:$G$120&lt;&gt;"moeda")*(Inputs!$G$5:$G$120&lt;&gt;"acoes")))*INDEX(Inputs!$K$5:$AJ$120,0,MATCH(N$2,Inputs!$K$4:$AJ$4,0)))))</f>
        <v>-3244</v>
      </c>
      <c r="O47" s="267">
        <f>IF(ISNA(MATCH(O$2,Inputs!$K$4:$AJ$4,0)),NA(),IF(SUMPRODUCT((Inputs!$A$5:$A$120=$B47)*ISNUMBER(INDEX(Inputs!$K$5:$AJ$120,0,MATCH(O$2,Inputs!$K$4:$AJ$4,0))))+SUMPRODUCT((Inputs!$C$5:$C$120=$B47)*ISNUMBER(INDEX(Inputs!$K$5:$AJ$120,0,MATCH(O$2,Inputs!$K$4:$AJ$4,0))))+SUMPRODUCT((Inputs!$E$5:$E$120=$B47)*ISNUMBER(INDEX(Inputs!$K$5:$AJ$120,0,MATCH(O$2,Inputs!$K$4:$AJ$4,0))))=0,NA(),SUMPRODUCT((Inputs!$A$5:$A$120=$B47)*Inputs!$B$5:$B$120*(((Inputs!$G$5:$G$120="moeda")+(Inputs!$G$5:$G$120="acoes"))*Inputs!$B$1+((Inputs!$G$5:$G$120&lt;&gt;"moeda")*(Inputs!$G$5:$G$120&lt;&gt;"acoes")))*INDEX(Inputs!$K$5:$AJ$120,0,MATCH(O$2,Inputs!$K$4:$AJ$4,0)))+SUMPRODUCT((Inputs!$C$5:$C$120=$B47)*Inputs!$D$5:$D$120*(((Inputs!$G$5:$G$120="moeda")+(Inputs!$G$5:$G$120="acoes"))*Inputs!$B$1+((Inputs!$G$5:$G$120&lt;&gt;"moeda")*(Inputs!$G$5:$G$120&lt;&gt;"acoes")))*INDEX(Inputs!$K$5:$AJ$120,0,MATCH(O$2,Inputs!$K$4:$AJ$4,0)))+SUMPRODUCT((Inputs!$E$5:$E$120=$B47)*Inputs!$F$5:$F$120*(((Inputs!$G$5:$G$120="moeda")+(Inputs!$G$5:$G$120="acoes"))*Inputs!$B$1+((Inputs!$G$5:$G$120&lt;&gt;"moeda")*(Inputs!$G$5:$G$120&lt;&gt;"acoes")))*INDEX(Inputs!$K$5:$AJ$120,0,MATCH(O$2,Inputs!$K$4:$AJ$4,0)))))</f>
        <v>-2901</v>
      </c>
      <c r="P47" s="267">
        <f>IF(ISNA(MATCH(P$2,Inputs!$K$4:$AJ$4,0)),NA(),IF(SUMPRODUCT((Inputs!$A$5:$A$120=$B47)*ISNUMBER(INDEX(Inputs!$K$5:$AJ$120,0,MATCH(P$2,Inputs!$K$4:$AJ$4,0))))+SUMPRODUCT((Inputs!$C$5:$C$120=$B47)*ISNUMBER(INDEX(Inputs!$K$5:$AJ$120,0,MATCH(P$2,Inputs!$K$4:$AJ$4,0))))+SUMPRODUCT((Inputs!$E$5:$E$120=$B47)*ISNUMBER(INDEX(Inputs!$K$5:$AJ$120,0,MATCH(P$2,Inputs!$K$4:$AJ$4,0))))=0,NA(),SUMPRODUCT((Inputs!$A$5:$A$120=$B47)*Inputs!$B$5:$B$120*(((Inputs!$G$5:$G$120="moeda")+(Inputs!$G$5:$G$120="acoes"))*Inputs!$B$1+((Inputs!$G$5:$G$120&lt;&gt;"moeda")*(Inputs!$G$5:$G$120&lt;&gt;"acoes")))*INDEX(Inputs!$K$5:$AJ$120,0,MATCH(P$2,Inputs!$K$4:$AJ$4,0)))+SUMPRODUCT((Inputs!$C$5:$C$120=$B47)*Inputs!$D$5:$D$120*(((Inputs!$G$5:$G$120="moeda")+(Inputs!$G$5:$G$120="acoes"))*Inputs!$B$1+((Inputs!$G$5:$G$120&lt;&gt;"moeda")*(Inputs!$G$5:$G$120&lt;&gt;"acoes")))*INDEX(Inputs!$K$5:$AJ$120,0,MATCH(P$2,Inputs!$K$4:$AJ$4,0)))+SUMPRODUCT((Inputs!$E$5:$E$120=$B47)*Inputs!$F$5:$F$120*(((Inputs!$G$5:$G$120="moeda")+(Inputs!$G$5:$G$120="acoes"))*Inputs!$B$1+((Inputs!$G$5:$G$120&lt;&gt;"moeda")*(Inputs!$G$5:$G$120&lt;&gt;"acoes")))*INDEX(Inputs!$K$5:$AJ$120,0,MATCH(P$2,Inputs!$K$4:$AJ$4,0)))))</f>
        <v>-2447</v>
      </c>
      <c r="Q47" s="267">
        <f>IF(ISNA(MATCH(Q$2,Inputs!$K$4:$AJ$4,0)),NA(),IF(SUMPRODUCT((Inputs!$A$5:$A$120=$B47)*ISNUMBER(INDEX(Inputs!$K$5:$AJ$120,0,MATCH(Q$2,Inputs!$K$4:$AJ$4,0))))+SUMPRODUCT((Inputs!$C$5:$C$120=$B47)*ISNUMBER(INDEX(Inputs!$K$5:$AJ$120,0,MATCH(Q$2,Inputs!$K$4:$AJ$4,0))))+SUMPRODUCT((Inputs!$E$5:$E$120=$B47)*ISNUMBER(INDEX(Inputs!$K$5:$AJ$120,0,MATCH(Q$2,Inputs!$K$4:$AJ$4,0))))=0,NA(),SUMPRODUCT((Inputs!$A$5:$A$120=$B47)*Inputs!$B$5:$B$120*(((Inputs!$G$5:$G$120="moeda")+(Inputs!$G$5:$G$120="acoes"))*Inputs!$B$1+((Inputs!$G$5:$G$120&lt;&gt;"moeda")*(Inputs!$G$5:$G$120&lt;&gt;"acoes")))*INDEX(Inputs!$K$5:$AJ$120,0,MATCH(Q$2,Inputs!$K$4:$AJ$4,0)))+SUMPRODUCT((Inputs!$C$5:$C$120=$B47)*Inputs!$D$5:$D$120*(((Inputs!$G$5:$G$120="moeda")+(Inputs!$G$5:$G$120="acoes"))*Inputs!$B$1+((Inputs!$G$5:$G$120&lt;&gt;"moeda")*(Inputs!$G$5:$G$120&lt;&gt;"acoes")))*INDEX(Inputs!$K$5:$AJ$120,0,MATCH(Q$2,Inputs!$K$4:$AJ$4,0)))+SUMPRODUCT((Inputs!$E$5:$E$120=$B47)*Inputs!$F$5:$F$120*(((Inputs!$G$5:$G$120="moeda")+(Inputs!$G$5:$G$120="acoes"))*Inputs!$B$1+((Inputs!$G$5:$G$120&lt;&gt;"moeda")*(Inputs!$G$5:$G$120&lt;&gt;"acoes")))*INDEX(Inputs!$K$5:$AJ$120,0,MATCH(Q$2,Inputs!$K$4:$AJ$4,0)))))</f>
        <v>-2059</v>
      </c>
      <c r="R47" s="268">
        <f>Q47</f>
        <v>-2059</v>
      </c>
      <c r="S47" s="267">
        <f>IF(ISNA(MATCH(S$2,Inputs!$K$4:$AJ$4,0)),NA(),IF(SUMPRODUCT((Inputs!$A$5:$A$120=$B47)*ISNUMBER(INDEX(Inputs!$K$5:$AJ$120,0,MATCH(S$2,Inputs!$K$4:$AJ$4,0))))+SUMPRODUCT((Inputs!$C$5:$C$120=$B47)*ISNUMBER(INDEX(Inputs!$K$5:$AJ$120,0,MATCH(S$2,Inputs!$K$4:$AJ$4,0))))+SUMPRODUCT((Inputs!$E$5:$E$120=$B47)*ISNUMBER(INDEX(Inputs!$K$5:$AJ$120,0,MATCH(S$2,Inputs!$K$4:$AJ$4,0))))=0,NA(),SUMPRODUCT((Inputs!$A$5:$A$120=$B47)*Inputs!$B$5:$B$120*(((Inputs!$G$5:$G$120="moeda")+(Inputs!$G$5:$G$120="acoes"))*Inputs!$B$1+((Inputs!$G$5:$G$120&lt;&gt;"moeda")*(Inputs!$G$5:$G$120&lt;&gt;"acoes")))*INDEX(Inputs!$K$5:$AJ$120,0,MATCH(S$2,Inputs!$K$4:$AJ$4,0)))+SUMPRODUCT((Inputs!$C$5:$C$120=$B47)*Inputs!$D$5:$D$120*(((Inputs!$G$5:$G$120="moeda")+(Inputs!$G$5:$G$120="acoes"))*Inputs!$B$1+((Inputs!$G$5:$G$120&lt;&gt;"moeda")*(Inputs!$G$5:$G$120&lt;&gt;"acoes")))*INDEX(Inputs!$K$5:$AJ$120,0,MATCH(S$2,Inputs!$K$4:$AJ$4,0)))+SUMPRODUCT((Inputs!$E$5:$E$120=$B47)*Inputs!$F$5:$F$120*(((Inputs!$G$5:$G$120="moeda")+(Inputs!$G$5:$G$120="acoes"))*Inputs!$B$1+((Inputs!$G$5:$G$120&lt;&gt;"moeda")*(Inputs!$G$5:$G$120&lt;&gt;"acoes")))*INDEX(Inputs!$K$5:$AJ$120,0,MATCH(S$2,Inputs!$K$4:$AJ$4,0)))))</f>
        <v>-1586</v>
      </c>
      <c r="T47" s="267">
        <f>IF(ISNA(MATCH(T$2,Inputs!$K$4:$AJ$4,0)),NA(),IF(SUMPRODUCT((Inputs!$A$5:$A$120=$B47)*ISNUMBER(INDEX(Inputs!$K$5:$AJ$120,0,MATCH(T$2,Inputs!$K$4:$AJ$4,0))))+SUMPRODUCT((Inputs!$C$5:$C$120=$B47)*ISNUMBER(INDEX(Inputs!$K$5:$AJ$120,0,MATCH(T$2,Inputs!$K$4:$AJ$4,0))))+SUMPRODUCT((Inputs!$E$5:$E$120=$B47)*ISNUMBER(INDEX(Inputs!$K$5:$AJ$120,0,MATCH(T$2,Inputs!$K$4:$AJ$4,0))))=0,NA(),SUMPRODUCT((Inputs!$A$5:$A$120=$B47)*Inputs!$B$5:$B$120*(((Inputs!$G$5:$G$120="moeda")+(Inputs!$G$5:$G$120="acoes"))*Inputs!$B$1+((Inputs!$G$5:$G$120&lt;&gt;"moeda")*(Inputs!$G$5:$G$120&lt;&gt;"acoes")))*INDEX(Inputs!$K$5:$AJ$120,0,MATCH(T$2,Inputs!$K$4:$AJ$4,0)))+SUMPRODUCT((Inputs!$C$5:$C$120=$B47)*Inputs!$D$5:$D$120*(((Inputs!$G$5:$G$120="moeda")+(Inputs!$G$5:$G$120="acoes"))*Inputs!$B$1+((Inputs!$G$5:$G$120&lt;&gt;"moeda")*(Inputs!$G$5:$G$120&lt;&gt;"acoes")))*INDEX(Inputs!$K$5:$AJ$120,0,MATCH(T$2,Inputs!$K$4:$AJ$4,0)))+SUMPRODUCT((Inputs!$E$5:$E$120=$B47)*Inputs!$F$5:$F$120*(((Inputs!$G$5:$G$120="moeda")+(Inputs!$G$5:$G$120="acoes"))*Inputs!$B$1+((Inputs!$G$5:$G$120&lt;&gt;"moeda")*(Inputs!$G$5:$G$120&lt;&gt;"acoes")))*INDEX(Inputs!$K$5:$AJ$120,0,MATCH(T$2,Inputs!$K$4:$AJ$4,0)))))</f>
        <v>-970</v>
      </c>
      <c r="U47" s="267">
        <f>IF(ISNA(MATCH(U$2,Inputs!$K$4:$AJ$4,0)),NA(),IF(SUMPRODUCT((Inputs!$A$5:$A$120=$B47)*ISNUMBER(INDEX(Inputs!$K$5:$AJ$120,0,MATCH(U$2,Inputs!$K$4:$AJ$4,0))))+SUMPRODUCT((Inputs!$C$5:$C$120=$B47)*ISNUMBER(INDEX(Inputs!$K$5:$AJ$120,0,MATCH(U$2,Inputs!$K$4:$AJ$4,0))))+SUMPRODUCT((Inputs!$E$5:$E$120=$B47)*ISNUMBER(INDEX(Inputs!$K$5:$AJ$120,0,MATCH(U$2,Inputs!$K$4:$AJ$4,0))))=0,NA(),SUMPRODUCT((Inputs!$A$5:$A$120=$B47)*Inputs!$B$5:$B$120*(((Inputs!$G$5:$G$120="moeda")+(Inputs!$G$5:$G$120="acoes"))*Inputs!$B$1+((Inputs!$G$5:$G$120&lt;&gt;"moeda")*(Inputs!$G$5:$G$120&lt;&gt;"acoes")))*INDEX(Inputs!$K$5:$AJ$120,0,MATCH(U$2,Inputs!$K$4:$AJ$4,0)))+SUMPRODUCT((Inputs!$C$5:$C$120=$B47)*Inputs!$D$5:$D$120*(((Inputs!$G$5:$G$120="moeda")+(Inputs!$G$5:$G$120="acoes"))*Inputs!$B$1+((Inputs!$G$5:$G$120&lt;&gt;"moeda")*(Inputs!$G$5:$G$120&lt;&gt;"acoes")))*INDEX(Inputs!$K$5:$AJ$120,0,MATCH(U$2,Inputs!$K$4:$AJ$4,0)))+SUMPRODUCT((Inputs!$E$5:$E$120=$B47)*Inputs!$F$5:$F$120*(((Inputs!$G$5:$G$120="moeda")+(Inputs!$G$5:$G$120="acoes"))*Inputs!$B$1+((Inputs!$G$5:$G$120&lt;&gt;"moeda")*(Inputs!$G$5:$G$120&lt;&gt;"acoes")))*INDEX(Inputs!$K$5:$AJ$120,0,MATCH(U$2,Inputs!$K$4:$AJ$4,0)))))</f>
        <v>-444</v>
      </c>
      <c r="V47" s="267">
        <f>IF(ISNA(MATCH(V$2,Inputs!$K$4:$AJ$4,0)),NA(),IF(SUMPRODUCT((Inputs!$A$5:$A$120=$B47)*ISNUMBER(INDEX(Inputs!$K$5:$AJ$120,0,MATCH(V$2,Inputs!$K$4:$AJ$4,0))))+SUMPRODUCT((Inputs!$C$5:$C$120=$B47)*ISNUMBER(INDEX(Inputs!$K$5:$AJ$120,0,MATCH(V$2,Inputs!$K$4:$AJ$4,0))))+SUMPRODUCT((Inputs!$E$5:$E$120=$B47)*ISNUMBER(INDEX(Inputs!$K$5:$AJ$120,0,MATCH(V$2,Inputs!$K$4:$AJ$4,0))))=0,NA(),SUMPRODUCT((Inputs!$A$5:$A$120=$B47)*Inputs!$B$5:$B$120*(((Inputs!$G$5:$G$120="moeda")+(Inputs!$G$5:$G$120="acoes"))*Inputs!$B$1+((Inputs!$G$5:$G$120&lt;&gt;"moeda")*(Inputs!$G$5:$G$120&lt;&gt;"acoes")))*INDEX(Inputs!$K$5:$AJ$120,0,MATCH(V$2,Inputs!$K$4:$AJ$4,0)))+SUMPRODUCT((Inputs!$C$5:$C$120=$B47)*Inputs!$D$5:$D$120*(((Inputs!$G$5:$G$120="moeda")+(Inputs!$G$5:$G$120="acoes"))*Inputs!$B$1+((Inputs!$G$5:$G$120&lt;&gt;"moeda")*(Inputs!$G$5:$G$120&lt;&gt;"acoes")))*INDEX(Inputs!$K$5:$AJ$120,0,MATCH(V$2,Inputs!$K$4:$AJ$4,0)))+SUMPRODUCT((Inputs!$E$5:$E$120=$B47)*Inputs!$F$5:$F$120*(((Inputs!$G$5:$G$120="moeda")+(Inputs!$G$5:$G$120="acoes"))*Inputs!$B$1+((Inputs!$G$5:$G$120&lt;&gt;"moeda")*(Inputs!$G$5:$G$120&lt;&gt;"acoes")))*INDEX(Inputs!$K$5:$AJ$120,0,MATCH(V$2,Inputs!$K$4:$AJ$4,0)))))</f>
        <v>-170</v>
      </c>
      <c r="W47" s="268">
        <f>V47</f>
        <v>-170</v>
      </c>
      <c r="X47" s="267">
        <f>IF(ISNA(MATCH(X$2,Inputs!$K$4:$AJ$4,0)),NA(),IF(SUMPRODUCT((Inputs!$A$5:$A$120=$B47)*ISNUMBER(INDEX(Inputs!$K$5:$AJ$120,0,MATCH(X$2,Inputs!$K$4:$AJ$4,0))))+SUMPRODUCT((Inputs!$C$5:$C$120=$B47)*ISNUMBER(INDEX(Inputs!$K$5:$AJ$120,0,MATCH(X$2,Inputs!$K$4:$AJ$4,0))))+SUMPRODUCT((Inputs!$E$5:$E$120=$B47)*ISNUMBER(INDEX(Inputs!$K$5:$AJ$120,0,MATCH(X$2,Inputs!$K$4:$AJ$4,0))))=0,NA(),SUMPRODUCT((Inputs!$A$5:$A$120=$B47)*Inputs!$B$5:$B$120*(((Inputs!$G$5:$G$120="moeda")+(Inputs!$G$5:$G$120="acoes"))*Inputs!$B$1+((Inputs!$G$5:$G$120&lt;&gt;"moeda")*(Inputs!$G$5:$G$120&lt;&gt;"acoes")))*INDEX(Inputs!$K$5:$AJ$120,0,MATCH(X$2,Inputs!$K$4:$AJ$4,0)))+SUMPRODUCT((Inputs!$C$5:$C$120=$B47)*Inputs!$D$5:$D$120*(((Inputs!$G$5:$G$120="moeda")+(Inputs!$G$5:$G$120="acoes"))*Inputs!$B$1+((Inputs!$G$5:$G$120&lt;&gt;"moeda")*(Inputs!$G$5:$G$120&lt;&gt;"acoes")))*INDEX(Inputs!$K$5:$AJ$120,0,MATCH(X$2,Inputs!$K$4:$AJ$4,0)))+SUMPRODUCT((Inputs!$E$5:$E$120=$B47)*Inputs!$F$5:$F$120*(((Inputs!$G$5:$G$120="moeda")+(Inputs!$G$5:$G$120="acoes"))*Inputs!$B$1+((Inputs!$G$5:$G$120&lt;&gt;"moeda")*(Inputs!$G$5:$G$120&lt;&gt;"acoes")))*INDEX(Inputs!$K$5:$AJ$120,0,MATCH(X$2,Inputs!$K$4:$AJ$4,0)))))</f>
        <v>182</v>
      </c>
      <c r="Y47" s="267">
        <f>IF(ISNA(MATCH(Y$2,Inputs!$K$4:$AJ$4,0)),NA(),IF(SUMPRODUCT((Inputs!$A$5:$A$120=$B47)*ISNUMBER(INDEX(Inputs!$K$5:$AJ$120,0,MATCH(Y$2,Inputs!$K$4:$AJ$4,0))))+SUMPRODUCT((Inputs!$C$5:$C$120=$B47)*ISNUMBER(INDEX(Inputs!$K$5:$AJ$120,0,MATCH(Y$2,Inputs!$K$4:$AJ$4,0))))+SUMPRODUCT((Inputs!$E$5:$E$120=$B47)*ISNUMBER(INDEX(Inputs!$K$5:$AJ$120,0,MATCH(Y$2,Inputs!$K$4:$AJ$4,0))))=0,NA(),SUMPRODUCT((Inputs!$A$5:$A$120=$B47)*Inputs!$B$5:$B$120*(((Inputs!$G$5:$G$120="moeda")+(Inputs!$G$5:$G$120="acoes"))*Inputs!$B$1+((Inputs!$G$5:$G$120&lt;&gt;"moeda")*(Inputs!$G$5:$G$120&lt;&gt;"acoes")))*INDEX(Inputs!$K$5:$AJ$120,0,MATCH(Y$2,Inputs!$K$4:$AJ$4,0)))+SUMPRODUCT((Inputs!$C$5:$C$120=$B47)*Inputs!$D$5:$D$120*(((Inputs!$G$5:$G$120="moeda")+(Inputs!$G$5:$G$120="acoes"))*Inputs!$B$1+((Inputs!$G$5:$G$120&lt;&gt;"moeda")*(Inputs!$G$5:$G$120&lt;&gt;"acoes")))*INDEX(Inputs!$K$5:$AJ$120,0,MATCH(Y$2,Inputs!$K$4:$AJ$4,0)))+SUMPRODUCT((Inputs!$E$5:$E$120=$B47)*Inputs!$F$5:$F$120*(((Inputs!$G$5:$G$120="moeda")+(Inputs!$G$5:$G$120="acoes"))*Inputs!$B$1+((Inputs!$G$5:$G$120&lt;&gt;"moeda")*(Inputs!$G$5:$G$120&lt;&gt;"acoes")))*INDEX(Inputs!$K$5:$AJ$120,0,MATCH(Y$2,Inputs!$K$4:$AJ$4,0)))))</f>
        <v>738</v>
      </c>
      <c r="Z47" s="267">
        <f>IF(ISNA(MATCH(Z$2,Inputs!$K$4:$AJ$4,0)),NA(),IF(SUMPRODUCT((Inputs!$A$5:$A$120=$B47)*ISNUMBER(INDEX(Inputs!$K$5:$AJ$120,0,MATCH(Z$2,Inputs!$K$4:$AJ$4,0))))+SUMPRODUCT((Inputs!$C$5:$C$120=$B47)*ISNUMBER(INDEX(Inputs!$K$5:$AJ$120,0,MATCH(Z$2,Inputs!$K$4:$AJ$4,0))))+SUMPRODUCT((Inputs!$E$5:$E$120=$B47)*ISNUMBER(INDEX(Inputs!$K$5:$AJ$120,0,MATCH(Z$2,Inputs!$K$4:$AJ$4,0))))=0,NA(),SUMPRODUCT((Inputs!$A$5:$A$120=$B47)*Inputs!$B$5:$B$120*(((Inputs!$G$5:$G$120="moeda")+(Inputs!$G$5:$G$120="acoes"))*Inputs!$B$1+((Inputs!$G$5:$G$120&lt;&gt;"moeda")*(Inputs!$G$5:$G$120&lt;&gt;"acoes")))*INDEX(Inputs!$K$5:$AJ$120,0,MATCH(Z$2,Inputs!$K$4:$AJ$4,0)))+SUMPRODUCT((Inputs!$C$5:$C$120=$B47)*Inputs!$D$5:$D$120*(((Inputs!$G$5:$G$120="moeda")+(Inputs!$G$5:$G$120="acoes"))*Inputs!$B$1+((Inputs!$G$5:$G$120&lt;&gt;"moeda")*(Inputs!$G$5:$G$120&lt;&gt;"acoes")))*INDEX(Inputs!$K$5:$AJ$120,0,MATCH(Z$2,Inputs!$K$4:$AJ$4,0)))+SUMPRODUCT((Inputs!$E$5:$E$120=$B47)*Inputs!$F$5:$F$120*(((Inputs!$G$5:$G$120="moeda")+(Inputs!$G$5:$G$120="acoes"))*Inputs!$B$1+((Inputs!$G$5:$G$120&lt;&gt;"moeda")*(Inputs!$G$5:$G$120&lt;&gt;"acoes")))*INDEX(Inputs!$K$5:$AJ$120,0,MATCH(Z$2,Inputs!$K$4:$AJ$4,0)))))</f>
        <v>1196</v>
      </c>
      <c r="AA47" s="267">
        <f>IF(ISNA(MATCH(AA$2,Inputs!$K$4:$AJ$4,0)),NA(),IF(SUMPRODUCT((Inputs!$A$5:$A$120=$B47)*ISNUMBER(INDEX(Inputs!$K$5:$AJ$120,0,MATCH(AA$2,Inputs!$K$4:$AJ$4,0))))+SUMPRODUCT((Inputs!$C$5:$C$120=$B47)*ISNUMBER(INDEX(Inputs!$K$5:$AJ$120,0,MATCH(AA$2,Inputs!$K$4:$AJ$4,0))))+SUMPRODUCT((Inputs!$E$5:$E$120=$B47)*ISNUMBER(INDEX(Inputs!$K$5:$AJ$120,0,MATCH(AA$2,Inputs!$K$4:$AJ$4,0))))=0,NA(),SUMPRODUCT((Inputs!$A$5:$A$120=$B47)*Inputs!$B$5:$B$120*(((Inputs!$G$5:$G$120="moeda")+(Inputs!$G$5:$G$120="acoes"))*Inputs!$B$1+((Inputs!$G$5:$G$120&lt;&gt;"moeda")*(Inputs!$G$5:$G$120&lt;&gt;"acoes")))*INDEX(Inputs!$K$5:$AJ$120,0,MATCH(AA$2,Inputs!$K$4:$AJ$4,0)))+SUMPRODUCT((Inputs!$C$5:$C$120=$B47)*Inputs!$D$5:$D$120*(((Inputs!$G$5:$G$120="moeda")+(Inputs!$G$5:$G$120="acoes"))*Inputs!$B$1+((Inputs!$G$5:$G$120&lt;&gt;"moeda")*(Inputs!$G$5:$G$120&lt;&gt;"acoes")))*INDEX(Inputs!$K$5:$AJ$120,0,MATCH(AA$2,Inputs!$K$4:$AJ$4,0)))+SUMPRODUCT((Inputs!$E$5:$E$120=$B47)*Inputs!$F$5:$F$120*(((Inputs!$G$5:$G$120="moeda")+(Inputs!$G$5:$G$120="acoes"))*Inputs!$B$1+((Inputs!$G$5:$G$120&lt;&gt;"moeda")*(Inputs!$G$5:$G$120&lt;&gt;"acoes")))*INDEX(Inputs!$K$5:$AJ$120,0,MATCH(AA$2,Inputs!$K$4:$AJ$4,0)))))</f>
        <v>1385</v>
      </c>
      <c r="AB47" s="268">
        <f>AA47</f>
        <v>1385</v>
      </c>
      <c r="AC47" s="267">
        <f>IF(ISNA(MATCH(AC$2,Inputs!$K$4:$AJ$4,0)),NA(),IF(SUMPRODUCT((Inputs!$A$5:$A$120=$B47)*ISNUMBER(INDEX(Inputs!$K$5:$AJ$120,0,MATCH(AC$2,Inputs!$K$4:$AJ$4,0))))+SUMPRODUCT((Inputs!$C$5:$C$120=$B47)*ISNUMBER(INDEX(Inputs!$K$5:$AJ$120,0,MATCH(AC$2,Inputs!$K$4:$AJ$4,0))))+SUMPRODUCT((Inputs!$E$5:$E$120=$B47)*ISNUMBER(INDEX(Inputs!$K$5:$AJ$120,0,MATCH(AC$2,Inputs!$K$4:$AJ$4,0))))=0,NA(),SUMPRODUCT((Inputs!$A$5:$A$120=$B47)*Inputs!$B$5:$B$120*(((Inputs!$G$5:$G$120="moeda")+(Inputs!$G$5:$G$120="acoes"))*Inputs!$B$1+((Inputs!$G$5:$G$120&lt;&gt;"moeda")*(Inputs!$G$5:$G$120&lt;&gt;"acoes")))*INDEX(Inputs!$K$5:$AJ$120,0,MATCH(AC$2,Inputs!$K$4:$AJ$4,0)))+SUMPRODUCT((Inputs!$C$5:$C$120=$B47)*Inputs!$D$5:$D$120*(((Inputs!$G$5:$G$120="moeda")+(Inputs!$G$5:$G$120="acoes"))*Inputs!$B$1+((Inputs!$G$5:$G$120&lt;&gt;"moeda")*(Inputs!$G$5:$G$120&lt;&gt;"acoes")))*INDEX(Inputs!$K$5:$AJ$120,0,MATCH(AC$2,Inputs!$K$4:$AJ$4,0)))+SUMPRODUCT((Inputs!$E$5:$E$120=$B47)*Inputs!$F$5:$F$120*(((Inputs!$G$5:$G$120="moeda")+(Inputs!$G$5:$G$120="acoes"))*Inputs!$B$1+((Inputs!$G$5:$G$120&lt;&gt;"moeda")*(Inputs!$G$5:$G$120&lt;&gt;"acoes")))*INDEX(Inputs!$K$5:$AJ$120,0,MATCH(AC$2,Inputs!$K$4:$AJ$4,0)))))</f>
        <v>2050</v>
      </c>
      <c r="AD47" s="267">
        <f>IF(ISNA(MATCH(AD$2,Inputs!$K$4:$AJ$4,0)),NA(),IF(SUMPRODUCT((Inputs!$A$5:$A$120=$B47)*ISNUMBER(INDEX(Inputs!$K$5:$AJ$120,0,MATCH(AD$2,Inputs!$K$4:$AJ$4,0))))+SUMPRODUCT((Inputs!$C$5:$C$120=$B47)*ISNUMBER(INDEX(Inputs!$K$5:$AJ$120,0,MATCH(AD$2,Inputs!$K$4:$AJ$4,0))))+SUMPRODUCT((Inputs!$E$5:$E$120=$B47)*ISNUMBER(INDEX(Inputs!$K$5:$AJ$120,0,MATCH(AD$2,Inputs!$K$4:$AJ$4,0))))=0,NA(),SUMPRODUCT((Inputs!$A$5:$A$120=$B47)*Inputs!$B$5:$B$120*(((Inputs!$G$5:$G$120="moeda")+(Inputs!$G$5:$G$120="acoes"))*Inputs!$B$1+((Inputs!$G$5:$G$120&lt;&gt;"moeda")*(Inputs!$G$5:$G$120&lt;&gt;"acoes")))*INDEX(Inputs!$K$5:$AJ$120,0,MATCH(AD$2,Inputs!$K$4:$AJ$4,0)))+SUMPRODUCT((Inputs!$C$5:$C$120=$B47)*Inputs!$D$5:$D$120*(((Inputs!$G$5:$G$120="moeda")+(Inputs!$G$5:$G$120="acoes"))*Inputs!$B$1+((Inputs!$G$5:$G$120&lt;&gt;"moeda")*(Inputs!$G$5:$G$120&lt;&gt;"acoes")))*INDEX(Inputs!$K$5:$AJ$120,0,MATCH(AD$2,Inputs!$K$4:$AJ$4,0)))+SUMPRODUCT((Inputs!$E$5:$E$120=$B47)*Inputs!$F$5:$F$120*(((Inputs!$G$5:$G$120="moeda")+(Inputs!$G$5:$G$120="acoes"))*Inputs!$B$1+((Inputs!$G$5:$G$120&lt;&gt;"moeda")*(Inputs!$G$5:$G$120&lt;&gt;"acoes")))*INDEX(Inputs!$K$5:$AJ$120,0,MATCH(AD$2,Inputs!$K$4:$AJ$4,0)))))</f>
        <v>2817</v>
      </c>
      <c r="AE47" s="267" t="e">
        <f>IF(ISNA(MATCH(AE$2,Inputs!$K$4:$AJ$4,0)),NA(),IF(SUMPRODUCT((Inputs!$A$5:$A$120=$B47)*ISNUMBER(INDEX(Inputs!$K$5:$AJ$120,0,MATCH(AE$2,Inputs!$K$4:$AJ$4,0))))+SUMPRODUCT((Inputs!$C$5:$C$120=$B47)*ISNUMBER(INDEX(Inputs!$K$5:$AJ$120,0,MATCH(AE$2,Inputs!$K$4:$AJ$4,0))))+SUMPRODUCT((Inputs!$E$5:$E$120=$B47)*ISNUMBER(INDEX(Inputs!$K$5:$AJ$120,0,MATCH(AE$2,Inputs!$K$4:$AJ$4,0))))=0,NA(),SUMPRODUCT((Inputs!$A$5:$A$120=$B47)*Inputs!$B$5:$B$120*(((Inputs!$G$5:$G$120="moeda")+(Inputs!$G$5:$G$120="acoes"))*Inputs!$B$1+((Inputs!$G$5:$G$120&lt;&gt;"moeda")*(Inputs!$G$5:$G$120&lt;&gt;"acoes")))*INDEX(Inputs!$K$5:$AJ$120,0,MATCH(AE$2,Inputs!$K$4:$AJ$4,0)))+SUMPRODUCT((Inputs!$C$5:$C$120=$B47)*Inputs!$D$5:$D$120*(((Inputs!$G$5:$G$120="moeda")+(Inputs!$G$5:$G$120="acoes"))*Inputs!$B$1+((Inputs!$G$5:$G$120&lt;&gt;"moeda")*(Inputs!$G$5:$G$120&lt;&gt;"acoes")))*INDEX(Inputs!$K$5:$AJ$120,0,MATCH(AE$2,Inputs!$K$4:$AJ$4,0)))+SUMPRODUCT((Inputs!$E$5:$E$120=$B47)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47" s="267" t="e">
        <f>IF(ISNA(MATCH(AF$2,Inputs!$K$4:$AJ$4,0)),NA(),IF(SUMPRODUCT((Inputs!$A$5:$A$120=$B47)*ISNUMBER(INDEX(Inputs!$K$5:$AJ$120,0,MATCH(AF$2,Inputs!$K$4:$AJ$4,0))))+SUMPRODUCT((Inputs!$C$5:$C$120=$B47)*ISNUMBER(INDEX(Inputs!$K$5:$AJ$120,0,MATCH(AF$2,Inputs!$K$4:$AJ$4,0))))+SUMPRODUCT((Inputs!$E$5:$E$120=$B47)*ISNUMBER(INDEX(Inputs!$K$5:$AJ$120,0,MATCH(AF$2,Inputs!$K$4:$AJ$4,0))))=0,NA(),SUMPRODUCT((Inputs!$A$5:$A$120=$B47)*Inputs!$B$5:$B$120*(((Inputs!$G$5:$G$120="moeda")+(Inputs!$G$5:$G$120="acoes"))*Inputs!$B$1+((Inputs!$G$5:$G$120&lt;&gt;"moeda")*(Inputs!$G$5:$G$120&lt;&gt;"acoes")))*INDEX(Inputs!$K$5:$AJ$120,0,MATCH(AF$2,Inputs!$K$4:$AJ$4,0)))+SUMPRODUCT((Inputs!$C$5:$C$120=$B47)*Inputs!$D$5:$D$120*(((Inputs!$G$5:$G$120="moeda")+(Inputs!$G$5:$G$120="acoes"))*Inputs!$B$1+((Inputs!$G$5:$G$120&lt;&gt;"moeda")*(Inputs!$G$5:$G$120&lt;&gt;"acoes")))*INDEX(Inputs!$K$5:$AJ$120,0,MATCH(AF$2,Inputs!$K$4:$AJ$4,0)))+SUMPRODUCT((Inputs!$E$5:$E$120=$B47)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47" s="268" t="e">
        <f>AF47</f>
        <v>#N/A</v>
      </c>
      <c r="AH47" s="267">
        <f>IF(ISNA(MATCH(AH$2,Inputs!$K$4:$AJ$4,0)),NA(),IF(SUMPRODUCT((Inputs!$A$5:$A$120=$B47)*ISNUMBER(INDEX(Inputs!$K$5:$AJ$120,0,MATCH(AH$2,Inputs!$K$4:$AJ$4,0))))+SUMPRODUCT((Inputs!$C$5:$C$120=$B47)*ISNUMBER(INDEX(Inputs!$K$5:$AJ$120,0,MATCH(AH$2,Inputs!$K$4:$AJ$4,0))))+SUMPRODUCT((Inputs!$E$5:$E$120=$B47)*ISNUMBER(INDEX(Inputs!$K$5:$AJ$120,0,MATCH(AH$2,Inputs!$K$4:$AJ$4,0))))=0,NA(),SUMPRODUCT((Inputs!$A$5:$A$120=$B47)*Inputs!$B$5:$B$120*(((Inputs!$G$5:$G$120="moeda")+(Inputs!$G$5:$G$120="acoes"))*Inputs!$B$1+((Inputs!$G$5:$G$120&lt;&gt;"moeda")*(Inputs!$G$5:$G$120&lt;&gt;"acoes")))*INDEX(Inputs!$K$5:$AJ$120,0,MATCH(AH$2,Inputs!$K$4:$AJ$4,0)))+SUMPRODUCT((Inputs!$C$5:$C$120=$B47)*Inputs!$D$5:$D$120*(((Inputs!$G$5:$G$120="moeda")+(Inputs!$G$5:$G$120="acoes"))*Inputs!$B$1+((Inputs!$G$5:$G$120&lt;&gt;"moeda")*(Inputs!$G$5:$G$120&lt;&gt;"acoes")))*INDEX(Inputs!$K$5:$AJ$120,0,MATCH(AH$2,Inputs!$K$4:$AJ$4,0)))+SUMPRODUCT((Inputs!$E$5:$E$120=$B47)*Inputs!$F$5:$F$120*(((Inputs!$G$5:$G$120="moeda")+(Inputs!$G$5:$G$120="acoes"))*Inputs!$B$1+((Inputs!$G$5:$G$120&lt;&gt;"moeda")*(Inputs!$G$5:$G$120&lt;&gt;"acoes")))*INDEX(Inputs!$K$5:$AJ$120,0,MATCH(AH$2,Inputs!$K$4:$AJ$4,0)))))</f>
        <v>-12771</v>
      </c>
      <c r="AI47" s="267">
        <f>IF(ISNA(MATCH(AI$2,Inputs!$K$4:$AJ$4,0)),NA(),IF(SUMPRODUCT((Inputs!$A$5:$A$120=$B47)*ISNUMBER(INDEX(Inputs!$K$5:$AJ$120,0,MATCH(AI$2,Inputs!$K$4:$AJ$4,0))))+SUMPRODUCT((Inputs!$C$5:$C$120=$B47)*ISNUMBER(INDEX(Inputs!$K$5:$AJ$120,0,MATCH(AI$2,Inputs!$K$4:$AJ$4,0))))+SUMPRODUCT((Inputs!$E$5:$E$120=$B47)*ISNUMBER(INDEX(Inputs!$K$5:$AJ$120,0,MATCH(AI$2,Inputs!$K$4:$AJ$4,0))))=0,NA(),SUMPRODUCT((Inputs!$A$5:$A$120=$B47)*Inputs!$B$5:$B$120*(((Inputs!$G$5:$G$120="moeda")+(Inputs!$G$5:$G$120="acoes"))*Inputs!$B$1+((Inputs!$G$5:$G$120&lt;&gt;"moeda")*(Inputs!$G$5:$G$120&lt;&gt;"acoes")))*INDEX(Inputs!$K$5:$AJ$120,0,MATCH(AI$2,Inputs!$K$4:$AJ$4,0)))+SUMPRODUCT((Inputs!$C$5:$C$120=$B47)*Inputs!$D$5:$D$120*(((Inputs!$G$5:$G$120="moeda")+(Inputs!$G$5:$G$120="acoes"))*Inputs!$B$1+((Inputs!$G$5:$G$120&lt;&gt;"moeda")*(Inputs!$G$5:$G$120&lt;&gt;"acoes")))*INDEX(Inputs!$K$5:$AJ$120,0,MATCH(AI$2,Inputs!$K$4:$AJ$4,0)))+SUMPRODUCT((Inputs!$E$5:$E$120=$B47)*Inputs!$F$5:$F$120*(((Inputs!$G$5:$G$120="moeda")+(Inputs!$G$5:$G$120="acoes"))*Inputs!$B$1+((Inputs!$G$5:$G$120&lt;&gt;"moeda")*(Inputs!$G$5:$G$120&lt;&gt;"acoes")))*INDEX(Inputs!$K$5:$AJ$120,0,MATCH(AI$2,Inputs!$K$4:$AJ$4,0)))))</f>
        <v>-12718</v>
      </c>
      <c r="AJ47" s="267">
        <f>IF(ISNA(MATCH(AJ$2,Inputs!$K$4:$AJ$4,0)),NA(),IF(SUMPRODUCT((Inputs!$A$5:$A$120=$B47)*ISNUMBER(INDEX(Inputs!$K$5:$AJ$120,0,MATCH(AJ$2,Inputs!$K$4:$AJ$4,0))))+SUMPRODUCT((Inputs!$C$5:$C$120=$B47)*ISNUMBER(INDEX(Inputs!$K$5:$AJ$120,0,MATCH(AJ$2,Inputs!$K$4:$AJ$4,0))))+SUMPRODUCT((Inputs!$E$5:$E$120=$B47)*ISNUMBER(INDEX(Inputs!$K$5:$AJ$120,0,MATCH(AJ$2,Inputs!$K$4:$AJ$4,0))))=0,NA(),SUMPRODUCT((Inputs!$A$5:$A$120=$B47)*Inputs!$B$5:$B$120*(((Inputs!$G$5:$G$120="moeda")+(Inputs!$G$5:$G$120="acoes"))*Inputs!$B$1+((Inputs!$G$5:$G$120&lt;&gt;"moeda")*(Inputs!$G$5:$G$120&lt;&gt;"acoes")))*INDEX(Inputs!$K$5:$AJ$120,0,MATCH(AJ$2,Inputs!$K$4:$AJ$4,0)))+SUMPRODUCT((Inputs!$C$5:$C$120=$B47)*Inputs!$D$5:$D$120*(((Inputs!$G$5:$G$120="moeda")+(Inputs!$G$5:$G$120="acoes"))*Inputs!$B$1+((Inputs!$G$5:$G$120&lt;&gt;"moeda")*(Inputs!$G$5:$G$120&lt;&gt;"acoes")))*INDEX(Inputs!$K$5:$AJ$120,0,MATCH(AJ$2,Inputs!$K$4:$AJ$4,0)))+SUMPRODUCT((Inputs!$E$5:$E$120=$B47)*Inputs!$F$5:$F$120*(((Inputs!$G$5:$G$120="moeda")+(Inputs!$G$5:$G$120="acoes"))*Inputs!$B$1+((Inputs!$G$5:$G$120&lt;&gt;"moeda")*(Inputs!$G$5:$G$120&lt;&gt;"acoes")))*INDEX(Inputs!$K$5:$AJ$120,0,MATCH(AJ$2,Inputs!$K$4:$AJ$4,0)))))</f>
        <v>-12389</v>
      </c>
      <c r="AK47" s="267">
        <f>IF(ISNA(MATCH(AK$2,Inputs!$K$4:$AJ$4,0)),NA(),IF(SUMPRODUCT((Inputs!$A$5:$A$120=$B47)*ISNUMBER(INDEX(Inputs!$K$5:$AJ$120,0,MATCH(AK$2,Inputs!$K$4:$AJ$4,0))))+SUMPRODUCT((Inputs!$C$5:$C$120=$B47)*ISNUMBER(INDEX(Inputs!$K$5:$AJ$120,0,MATCH(AK$2,Inputs!$K$4:$AJ$4,0))))+SUMPRODUCT((Inputs!$E$5:$E$120=$B47)*ISNUMBER(INDEX(Inputs!$K$5:$AJ$120,0,MATCH(AK$2,Inputs!$K$4:$AJ$4,0))))=0,NA(),SUMPRODUCT((Inputs!$A$5:$A$120=$B47)*Inputs!$B$5:$B$120*(((Inputs!$G$5:$G$120="moeda")+(Inputs!$G$5:$G$120="acoes"))*Inputs!$B$1+((Inputs!$G$5:$G$120&lt;&gt;"moeda")*(Inputs!$G$5:$G$120&lt;&gt;"acoes")))*INDEX(Inputs!$K$5:$AJ$120,0,MATCH(AK$2,Inputs!$K$4:$AJ$4,0)))+SUMPRODUCT((Inputs!$C$5:$C$120=$B47)*Inputs!$D$5:$D$120*(((Inputs!$G$5:$G$120="moeda")+(Inputs!$G$5:$G$120="acoes"))*Inputs!$B$1+((Inputs!$G$5:$G$120&lt;&gt;"moeda")*(Inputs!$G$5:$G$120&lt;&gt;"acoes")))*INDEX(Inputs!$K$5:$AJ$120,0,MATCH(AK$2,Inputs!$K$4:$AJ$4,0)))+SUMPRODUCT((Inputs!$E$5:$E$120=$B47)*Inputs!$F$5:$F$120*(((Inputs!$G$5:$G$120="moeda")+(Inputs!$G$5:$G$120="acoes"))*Inputs!$B$1+((Inputs!$G$5:$G$120&lt;&gt;"moeda")*(Inputs!$G$5:$G$120&lt;&gt;"acoes")))*INDEX(Inputs!$K$5:$AJ$120,0,MATCH(AK$2,Inputs!$K$4:$AJ$4,0)))))</f>
        <v>-11681</v>
      </c>
      <c r="AL47" s="268">
        <f>AK47</f>
        <v>-11681</v>
      </c>
    </row>
    <row r="48"/>
    <row r="49" ht="12.75" customFormat="1" customHeight="1" s="259">
      <c r="C49" s="260" t="n"/>
      <c r="D49" s="272" t="n"/>
      <c r="E49" s="272" t="n"/>
      <c r="F49" s="272" t="n"/>
      <c r="G49" s="272" t="n"/>
      <c r="H49" s="268" t="n"/>
      <c r="I49" s="272" t="n"/>
      <c r="J49" s="272" t="n"/>
      <c r="K49" s="272" t="n"/>
      <c r="L49" s="272" t="n"/>
      <c r="M49" s="268" t="n"/>
      <c r="N49" s="272" t="n"/>
      <c r="O49" s="272" t="n"/>
      <c r="P49" s="272" t="n"/>
      <c r="Q49" s="272" t="n"/>
      <c r="R49" s="268" t="n"/>
      <c r="S49" s="272" t="n"/>
      <c r="T49" s="272" t="n"/>
      <c r="U49" s="272" t="n"/>
      <c r="V49" s="272" t="n"/>
      <c r="W49" s="268" t="n"/>
      <c r="X49" s="272" t="n"/>
      <c r="Y49" s="272" t="n"/>
      <c r="Z49" s="272" t="n"/>
      <c r="AA49" s="272" t="n"/>
      <c r="AC49" s="272" t="n"/>
      <c r="AD49" s="272" t="n"/>
      <c r="AE49" s="272" t="n"/>
      <c r="AF49" s="272" t="n"/>
    </row>
    <row r="50" ht="12.75" customHeight="1" s="255">
      <c r="B50" s="265" t="n">
        <v>44</v>
      </c>
      <c r="C50" s="269" t="inlineStr">
        <is>
          <t>Net income reported (lucro liquido) - memo p/ check IS [Model linha 4]</t>
        </is>
      </c>
      <c r="D50" s="267">
        <f>IF(ISNA(MATCH(D$2,Inputs!$K$4:$AJ$4,0)),NA(),IF(SUMPRODUCT((Inputs!$A$5:$A$120=$B50)*ISNUMBER(INDEX(Inputs!$K$5:$AJ$120,0,MATCH(D$2,Inputs!$K$4:$AJ$4,0))))+SUMPRODUCT((Inputs!$C$5:$C$120=$B50)*ISNUMBER(INDEX(Inputs!$K$5:$AJ$120,0,MATCH(D$2,Inputs!$K$4:$AJ$4,0))))+SUMPRODUCT((Inputs!$E$5:$E$120=$B50)*ISNUMBER(INDEX(Inputs!$K$5:$AJ$120,0,MATCH(D$2,Inputs!$K$4:$AJ$4,0))))=0,NA(),SUMPRODUCT((Inputs!$A$5:$A$120=$B50)*Inputs!$B$5:$B$120*(((Inputs!$G$5:$G$120="moeda")+(Inputs!$G$5:$G$120="acoes"))*Inputs!$B$1+((Inputs!$G$5:$G$120&lt;&gt;"moeda")*(Inputs!$G$5:$G$120&lt;&gt;"acoes")))*INDEX(Inputs!$K$5:$AJ$120,0,MATCH(D$2,Inputs!$K$4:$AJ$4,0)))+SUMPRODUCT((Inputs!$C$5:$C$120=$B50)*Inputs!$D$5:$D$120*(((Inputs!$G$5:$G$120="moeda")+(Inputs!$G$5:$G$120="acoes"))*Inputs!$B$1+((Inputs!$G$5:$G$120&lt;&gt;"moeda")*(Inputs!$G$5:$G$120&lt;&gt;"acoes")))*INDEX(Inputs!$K$5:$AJ$120,0,MATCH(D$2,Inputs!$K$4:$AJ$4,0)))+SUMPRODUCT((Inputs!$E$5:$E$120=$B50)*Inputs!$F$5:$F$120*(((Inputs!$G$5:$G$120="moeda")+(Inputs!$G$5:$G$120="acoes"))*Inputs!$B$1+((Inputs!$G$5:$G$120&lt;&gt;"moeda")*(Inputs!$G$5:$G$120&lt;&gt;"acoes")))*INDEX(Inputs!$K$5:$AJ$120,0,MATCH(D$2,Inputs!$K$4:$AJ$4,0)))))</f>
        <v>718</v>
      </c>
      <c r="E50" s="267">
        <f>IF(ISNA(MATCH(E$2,Inputs!$K$4:$AJ$4,0)),NA(),IF(SUMPRODUCT((Inputs!$A$5:$A$120=$B50)*ISNUMBER(INDEX(Inputs!$K$5:$AJ$120,0,MATCH(E$2,Inputs!$K$4:$AJ$4,0))))+SUMPRODUCT((Inputs!$C$5:$C$120=$B50)*ISNUMBER(INDEX(Inputs!$K$5:$AJ$120,0,MATCH(E$2,Inputs!$K$4:$AJ$4,0))))+SUMPRODUCT((Inputs!$E$5:$E$120=$B50)*ISNUMBER(INDEX(Inputs!$K$5:$AJ$120,0,MATCH(E$2,Inputs!$K$4:$AJ$4,0))))=0,NA(),SUMPRODUCT((Inputs!$A$5:$A$120=$B50)*Inputs!$B$5:$B$120*(((Inputs!$G$5:$G$120="moeda")+(Inputs!$G$5:$G$120="acoes"))*Inputs!$B$1+((Inputs!$G$5:$G$120&lt;&gt;"moeda")*(Inputs!$G$5:$G$120&lt;&gt;"acoes")))*INDEX(Inputs!$K$5:$AJ$120,0,MATCH(E$2,Inputs!$K$4:$AJ$4,0)))+SUMPRODUCT((Inputs!$C$5:$C$120=$B50)*Inputs!$D$5:$D$120*(((Inputs!$G$5:$G$120="moeda")+(Inputs!$G$5:$G$120="acoes"))*Inputs!$B$1+((Inputs!$G$5:$G$120&lt;&gt;"moeda")*(Inputs!$G$5:$G$120&lt;&gt;"acoes")))*INDEX(Inputs!$K$5:$AJ$120,0,MATCH(E$2,Inputs!$K$4:$AJ$4,0)))+SUMPRODUCT((Inputs!$E$5:$E$120=$B50)*Inputs!$F$5:$F$120*(((Inputs!$G$5:$G$120="moeda")+(Inputs!$G$5:$G$120="acoes"))*Inputs!$B$1+((Inputs!$G$5:$G$120&lt;&gt;"moeda")*(Inputs!$G$5:$G$120&lt;&gt;"acoes")))*INDEX(Inputs!$K$5:$AJ$120,0,MATCH(E$2,Inputs!$K$4:$AJ$4,0)))))</f>
        <v>1083</v>
      </c>
      <c r="F50" s="267">
        <f>IF(ISNA(MATCH(F$2,Inputs!$K$4:$AJ$4,0)),NA(),IF(SUMPRODUCT((Inputs!$A$5:$A$120=$B50)*ISNUMBER(INDEX(Inputs!$K$5:$AJ$120,0,MATCH(F$2,Inputs!$K$4:$AJ$4,0))))+SUMPRODUCT((Inputs!$C$5:$C$120=$B50)*ISNUMBER(INDEX(Inputs!$K$5:$AJ$120,0,MATCH(F$2,Inputs!$K$4:$AJ$4,0))))+SUMPRODUCT((Inputs!$E$5:$E$120=$B50)*ISNUMBER(INDEX(Inputs!$K$5:$AJ$120,0,MATCH(F$2,Inputs!$K$4:$AJ$4,0))))=0,NA(),SUMPRODUCT((Inputs!$A$5:$A$120=$B50)*Inputs!$B$5:$B$120*(((Inputs!$G$5:$G$120="moeda")+(Inputs!$G$5:$G$120="acoes"))*Inputs!$B$1+((Inputs!$G$5:$G$120&lt;&gt;"moeda")*(Inputs!$G$5:$G$120&lt;&gt;"acoes")))*INDEX(Inputs!$K$5:$AJ$120,0,MATCH(F$2,Inputs!$K$4:$AJ$4,0)))+SUMPRODUCT((Inputs!$C$5:$C$120=$B50)*Inputs!$D$5:$D$120*(((Inputs!$G$5:$G$120="moeda")+(Inputs!$G$5:$G$120="acoes"))*Inputs!$B$1+((Inputs!$G$5:$G$120&lt;&gt;"moeda")*(Inputs!$G$5:$G$120&lt;&gt;"acoes")))*INDEX(Inputs!$K$5:$AJ$120,0,MATCH(F$2,Inputs!$K$4:$AJ$4,0)))+SUMPRODUCT((Inputs!$E$5:$E$120=$B50)*Inputs!$F$5:$F$120*(((Inputs!$G$5:$G$120="moeda")+(Inputs!$G$5:$G$120="acoes"))*Inputs!$B$1+((Inputs!$G$5:$G$120&lt;&gt;"moeda")*(Inputs!$G$5:$G$120&lt;&gt;"acoes")))*INDEX(Inputs!$K$5:$AJ$120,0,MATCH(F$2,Inputs!$K$4:$AJ$4,0)))))</f>
        <v>1399</v>
      </c>
      <c r="G50" s="267">
        <f>IF(ISNA(MATCH(G$2,Inputs!$K$4:$AJ$4,0)),NA(),IF(SUMPRODUCT((Inputs!$A$5:$A$120=$B50)*ISNUMBER(INDEX(Inputs!$K$5:$AJ$120,0,MATCH(G$2,Inputs!$K$4:$AJ$4,0))))+SUMPRODUCT((Inputs!$C$5:$C$120=$B50)*ISNUMBER(INDEX(Inputs!$K$5:$AJ$120,0,MATCH(G$2,Inputs!$K$4:$AJ$4,0))))+SUMPRODUCT((Inputs!$E$5:$E$120=$B50)*ISNUMBER(INDEX(Inputs!$K$5:$AJ$120,0,MATCH(G$2,Inputs!$K$4:$AJ$4,0))))=0,NA(),SUMPRODUCT((Inputs!$A$5:$A$120=$B50)*Inputs!$B$5:$B$120*(((Inputs!$G$5:$G$120="moeda")+(Inputs!$G$5:$G$120="acoes"))*Inputs!$B$1+((Inputs!$G$5:$G$120&lt;&gt;"moeda")*(Inputs!$G$5:$G$120&lt;&gt;"acoes")))*INDEX(Inputs!$K$5:$AJ$120,0,MATCH(G$2,Inputs!$K$4:$AJ$4,0)))+SUMPRODUCT((Inputs!$C$5:$C$120=$B50)*Inputs!$D$5:$D$120*(((Inputs!$G$5:$G$120="moeda")+(Inputs!$G$5:$G$120="acoes"))*Inputs!$B$1+((Inputs!$G$5:$G$120&lt;&gt;"moeda")*(Inputs!$G$5:$G$120&lt;&gt;"acoes")))*INDEX(Inputs!$K$5:$AJ$120,0,MATCH(G$2,Inputs!$K$4:$AJ$4,0)))+SUMPRODUCT((Inputs!$E$5:$E$120=$B50)*Inputs!$F$5:$F$120*(((Inputs!$G$5:$G$120="moeda")+(Inputs!$G$5:$G$120="acoes"))*Inputs!$B$1+((Inputs!$G$5:$G$120&lt;&gt;"moeda")*(Inputs!$G$5:$G$120&lt;&gt;"acoes")))*INDEX(Inputs!$K$5:$AJ$120,0,MATCH(G$2,Inputs!$K$4:$AJ$4,0)))))</f>
        <v>1106</v>
      </c>
      <c r="H50" s="268">
        <f>SUM(D50:G50)</f>
        <v>4306</v>
      </c>
      <c r="I50" s="267">
        <f>IF(ISNA(MATCH(I$2,Inputs!$K$4:$AJ$4,0)),NA(),IF(SUMPRODUCT((Inputs!$A$5:$A$120=$B50)*ISNUMBER(INDEX(Inputs!$K$5:$AJ$120,0,MATCH(I$2,Inputs!$K$4:$AJ$4,0))))+SUMPRODUCT((Inputs!$C$5:$C$120=$B50)*ISNUMBER(INDEX(Inputs!$K$5:$AJ$120,0,MATCH(I$2,Inputs!$K$4:$AJ$4,0))))+SUMPRODUCT((Inputs!$E$5:$E$120=$B50)*ISNUMBER(INDEX(Inputs!$K$5:$AJ$120,0,MATCH(I$2,Inputs!$K$4:$AJ$4,0))))=0,NA(),SUMPRODUCT((Inputs!$A$5:$A$120=$B50)*Inputs!$B$5:$B$120*(((Inputs!$G$5:$G$120="moeda")+(Inputs!$G$5:$G$120="acoes"))*Inputs!$B$1+((Inputs!$G$5:$G$120&lt;&gt;"moeda")*(Inputs!$G$5:$G$120&lt;&gt;"acoes")))*INDEX(Inputs!$K$5:$AJ$120,0,MATCH(I$2,Inputs!$K$4:$AJ$4,0)))+SUMPRODUCT((Inputs!$C$5:$C$120=$B50)*Inputs!$D$5:$D$120*(((Inputs!$G$5:$G$120="moeda")+(Inputs!$G$5:$G$120="acoes"))*Inputs!$B$1+((Inputs!$G$5:$G$120&lt;&gt;"moeda")*(Inputs!$G$5:$G$120&lt;&gt;"acoes")))*INDEX(Inputs!$K$5:$AJ$120,0,MATCH(I$2,Inputs!$K$4:$AJ$4,0)))+SUMPRODUCT((Inputs!$E$5:$E$120=$B50)*Inputs!$F$5:$F$120*(((Inputs!$G$5:$G$120="moeda")+(Inputs!$G$5:$G$120="acoes"))*Inputs!$B$1+((Inputs!$G$5:$G$120&lt;&gt;"moeda")*(Inputs!$G$5:$G$120&lt;&gt;"acoes")))*INDEX(Inputs!$K$5:$AJ$120,0,MATCH(I$2,Inputs!$K$4:$AJ$4,0)))))</f>
        <v>1527</v>
      </c>
      <c r="J50" s="267">
        <f>IF(ISNA(MATCH(J$2,Inputs!$K$4:$AJ$4,0)),NA(),IF(SUMPRODUCT((Inputs!$A$5:$A$120=$B50)*ISNUMBER(INDEX(Inputs!$K$5:$AJ$120,0,MATCH(J$2,Inputs!$K$4:$AJ$4,0))))+SUMPRODUCT((Inputs!$C$5:$C$120=$B50)*ISNUMBER(INDEX(Inputs!$K$5:$AJ$120,0,MATCH(J$2,Inputs!$K$4:$AJ$4,0))))+SUMPRODUCT((Inputs!$E$5:$E$120=$B50)*ISNUMBER(INDEX(Inputs!$K$5:$AJ$120,0,MATCH(J$2,Inputs!$K$4:$AJ$4,0))))=0,NA(),SUMPRODUCT((Inputs!$A$5:$A$120=$B50)*Inputs!$B$5:$B$120*(((Inputs!$G$5:$G$120="moeda")+(Inputs!$G$5:$G$120="acoes"))*Inputs!$B$1+((Inputs!$G$5:$G$120&lt;&gt;"moeda")*(Inputs!$G$5:$G$120&lt;&gt;"acoes")))*INDEX(Inputs!$K$5:$AJ$120,0,MATCH(J$2,Inputs!$K$4:$AJ$4,0)))+SUMPRODUCT((Inputs!$C$5:$C$120=$B50)*Inputs!$D$5:$D$120*(((Inputs!$G$5:$G$120="moeda")+(Inputs!$G$5:$G$120="acoes"))*Inputs!$B$1+((Inputs!$G$5:$G$120&lt;&gt;"moeda")*(Inputs!$G$5:$G$120&lt;&gt;"acoes")))*INDEX(Inputs!$K$5:$AJ$120,0,MATCH(J$2,Inputs!$K$4:$AJ$4,0)))+SUMPRODUCT((Inputs!$E$5:$E$120=$B50)*Inputs!$F$5:$F$120*(((Inputs!$G$5:$G$120="moeda")+(Inputs!$G$5:$G$120="acoes"))*Inputs!$B$1+((Inputs!$G$5:$G$120&lt;&gt;"moeda")*(Inputs!$G$5:$G$120&lt;&gt;"acoes")))*INDEX(Inputs!$K$5:$AJ$120,0,MATCH(J$2,Inputs!$K$4:$AJ$4,0)))))</f>
        <v>840</v>
      </c>
      <c r="K50" s="267">
        <f>IF(ISNA(MATCH(K$2,Inputs!$K$4:$AJ$4,0)),NA(),IF(SUMPRODUCT((Inputs!$A$5:$A$120=$B50)*ISNUMBER(INDEX(Inputs!$K$5:$AJ$120,0,MATCH(K$2,Inputs!$K$4:$AJ$4,0))))+SUMPRODUCT((Inputs!$C$5:$C$120=$B50)*ISNUMBER(INDEX(Inputs!$K$5:$AJ$120,0,MATCH(K$2,Inputs!$K$4:$AJ$4,0))))+SUMPRODUCT((Inputs!$E$5:$E$120=$B50)*ISNUMBER(INDEX(Inputs!$K$5:$AJ$120,0,MATCH(K$2,Inputs!$K$4:$AJ$4,0))))=0,NA(),SUMPRODUCT((Inputs!$A$5:$A$120=$B50)*Inputs!$B$5:$B$120*(((Inputs!$G$5:$G$120="moeda")+(Inputs!$G$5:$G$120="acoes"))*Inputs!$B$1+((Inputs!$G$5:$G$120&lt;&gt;"moeda")*(Inputs!$G$5:$G$120&lt;&gt;"acoes")))*INDEX(Inputs!$K$5:$AJ$120,0,MATCH(K$2,Inputs!$K$4:$AJ$4,0)))+SUMPRODUCT((Inputs!$C$5:$C$120=$B50)*Inputs!$D$5:$D$120*(((Inputs!$G$5:$G$120="moeda")+(Inputs!$G$5:$G$120="acoes"))*Inputs!$B$1+((Inputs!$G$5:$G$120&lt;&gt;"moeda")*(Inputs!$G$5:$G$120&lt;&gt;"acoes")))*INDEX(Inputs!$K$5:$AJ$120,0,MATCH(K$2,Inputs!$K$4:$AJ$4,0)))+SUMPRODUCT((Inputs!$E$5:$E$120=$B50)*Inputs!$F$5:$F$120*(((Inputs!$G$5:$G$120="moeda")+(Inputs!$G$5:$G$120="acoes"))*Inputs!$B$1+((Inputs!$G$5:$G$120&lt;&gt;"moeda")*(Inputs!$G$5:$G$120&lt;&gt;"acoes")))*INDEX(Inputs!$K$5:$AJ$120,0,MATCH(K$2,Inputs!$K$4:$AJ$4,0)))))</f>
        <v>404</v>
      </c>
      <c r="L50" s="267">
        <f>IF(ISNA(MATCH(L$2,Inputs!$K$4:$AJ$4,0)),NA(),IF(SUMPRODUCT((Inputs!$A$5:$A$120=$B50)*ISNUMBER(INDEX(Inputs!$K$5:$AJ$120,0,MATCH(L$2,Inputs!$K$4:$AJ$4,0))))+SUMPRODUCT((Inputs!$C$5:$C$120=$B50)*ISNUMBER(INDEX(Inputs!$K$5:$AJ$120,0,MATCH(L$2,Inputs!$K$4:$AJ$4,0))))+SUMPRODUCT((Inputs!$E$5:$E$120=$B50)*ISNUMBER(INDEX(Inputs!$K$5:$AJ$120,0,MATCH(L$2,Inputs!$K$4:$AJ$4,0))))=0,NA(),SUMPRODUCT((Inputs!$A$5:$A$120=$B50)*Inputs!$B$5:$B$120*(((Inputs!$G$5:$G$120="moeda")+(Inputs!$G$5:$G$120="acoes"))*Inputs!$B$1+((Inputs!$G$5:$G$120&lt;&gt;"moeda")*(Inputs!$G$5:$G$120&lt;&gt;"acoes")))*INDEX(Inputs!$K$5:$AJ$120,0,MATCH(L$2,Inputs!$K$4:$AJ$4,0)))+SUMPRODUCT((Inputs!$C$5:$C$120=$B50)*Inputs!$D$5:$D$120*(((Inputs!$G$5:$G$120="moeda")+(Inputs!$G$5:$G$120="acoes"))*Inputs!$B$1+((Inputs!$G$5:$G$120&lt;&gt;"moeda")*(Inputs!$G$5:$G$120&lt;&gt;"acoes")))*INDEX(Inputs!$K$5:$AJ$120,0,MATCH(L$2,Inputs!$K$4:$AJ$4,0)))+SUMPRODUCT((Inputs!$E$5:$E$120=$B50)*Inputs!$F$5:$F$120*(((Inputs!$G$5:$G$120="moeda")+(Inputs!$G$5:$G$120="acoes"))*Inputs!$B$1+((Inputs!$G$5:$G$120&lt;&gt;"moeda")*(Inputs!$G$5:$G$120&lt;&gt;"acoes")))*INDEX(Inputs!$K$5:$AJ$120,0,MATCH(L$2,Inputs!$K$4:$AJ$4,0)))))</f>
        <v>697</v>
      </c>
      <c r="M50" s="268">
        <f>SUM(I50:L50)</f>
        <v>3468</v>
      </c>
      <c r="N50" s="267">
        <f>IF(ISNA(MATCH(N$2,Inputs!$K$4:$AJ$4,0)),NA(),IF(SUMPRODUCT((Inputs!$A$5:$A$120=$B50)*ISNUMBER(INDEX(Inputs!$K$5:$AJ$120,0,MATCH(N$2,Inputs!$K$4:$AJ$4,0))))+SUMPRODUCT((Inputs!$C$5:$C$120=$B50)*ISNUMBER(INDEX(Inputs!$K$5:$AJ$120,0,MATCH(N$2,Inputs!$K$4:$AJ$4,0))))+SUMPRODUCT((Inputs!$E$5:$E$120=$B50)*ISNUMBER(INDEX(Inputs!$K$5:$AJ$120,0,MATCH(N$2,Inputs!$K$4:$AJ$4,0))))=0,NA(),SUMPRODUCT((Inputs!$A$5:$A$120=$B50)*Inputs!$B$5:$B$120*(((Inputs!$G$5:$G$120="moeda")+(Inputs!$G$5:$G$120="acoes"))*Inputs!$B$1+((Inputs!$G$5:$G$120&lt;&gt;"moeda")*(Inputs!$G$5:$G$120&lt;&gt;"acoes")))*INDEX(Inputs!$K$5:$AJ$120,0,MATCH(N$2,Inputs!$K$4:$AJ$4,0)))+SUMPRODUCT((Inputs!$C$5:$C$120=$B50)*Inputs!$D$5:$D$120*(((Inputs!$G$5:$G$120="moeda")+(Inputs!$G$5:$G$120="acoes"))*Inputs!$B$1+((Inputs!$G$5:$G$120&lt;&gt;"moeda")*(Inputs!$G$5:$G$120&lt;&gt;"acoes")))*INDEX(Inputs!$K$5:$AJ$120,0,MATCH(N$2,Inputs!$K$4:$AJ$4,0)))+SUMPRODUCT((Inputs!$E$5:$E$120=$B50)*Inputs!$F$5:$F$120*(((Inputs!$G$5:$G$120="moeda")+(Inputs!$G$5:$G$120="acoes"))*Inputs!$B$1+((Inputs!$G$5:$G$120&lt;&gt;"moeda")*(Inputs!$G$5:$G$120&lt;&gt;"acoes")))*INDEX(Inputs!$K$5:$AJ$120,0,MATCH(N$2,Inputs!$K$4:$AJ$4,0)))))</f>
        <v>663</v>
      </c>
      <c r="O50" s="267">
        <f>IF(ISNA(MATCH(O$2,Inputs!$K$4:$AJ$4,0)),NA(),IF(SUMPRODUCT((Inputs!$A$5:$A$120=$B50)*ISNUMBER(INDEX(Inputs!$K$5:$AJ$120,0,MATCH(O$2,Inputs!$K$4:$AJ$4,0))))+SUMPRODUCT((Inputs!$C$5:$C$120=$B50)*ISNUMBER(INDEX(Inputs!$K$5:$AJ$120,0,MATCH(O$2,Inputs!$K$4:$AJ$4,0))))+SUMPRODUCT((Inputs!$E$5:$E$120=$B50)*ISNUMBER(INDEX(Inputs!$K$5:$AJ$120,0,MATCH(O$2,Inputs!$K$4:$AJ$4,0))))=0,NA(),SUMPRODUCT((Inputs!$A$5:$A$120=$B50)*Inputs!$B$5:$B$120*(((Inputs!$G$5:$G$120="moeda")+(Inputs!$G$5:$G$120="acoes"))*Inputs!$B$1+((Inputs!$G$5:$G$120&lt;&gt;"moeda")*(Inputs!$G$5:$G$120&lt;&gt;"acoes")))*INDEX(Inputs!$K$5:$AJ$120,0,MATCH(O$2,Inputs!$K$4:$AJ$4,0)))+SUMPRODUCT((Inputs!$C$5:$C$120=$B50)*Inputs!$D$5:$D$120*(((Inputs!$G$5:$G$120="moeda")+(Inputs!$G$5:$G$120="acoes"))*Inputs!$B$1+((Inputs!$G$5:$G$120&lt;&gt;"moeda")*(Inputs!$G$5:$G$120&lt;&gt;"acoes")))*INDEX(Inputs!$K$5:$AJ$120,0,MATCH(O$2,Inputs!$K$4:$AJ$4,0)))+SUMPRODUCT((Inputs!$E$5:$E$120=$B50)*Inputs!$F$5:$F$120*(((Inputs!$G$5:$G$120="moeda")+(Inputs!$G$5:$G$120="acoes"))*Inputs!$B$1+((Inputs!$G$5:$G$120&lt;&gt;"moeda")*(Inputs!$G$5:$G$120&lt;&gt;"acoes")))*INDEX(Inputs!$K$5:$AJ$120,0,MATCH(O$2,Inputs!$K$4:$AJ$4,0)))))</f>
        <v>343</v>
      </c>
      <c r="P50" s="267">
        <f>IF(ISNA(MATCH(P$2,Inputs!$K$4:$AJ$4,0)),NA(),IF(SUMPRODUCT((Inputs!$A$5:$A$120=$B50)*ISNUMBER(INDEX(Inputs!$K$5:$AJ$120,0,MATCH(P$2,Inputs!$K$4:$AJ$4,0))))+SUMPRODUCT((Inputs!$C$5:$C$120=$B50)*ISNUMBER(INDEX(Inputs!$K$5:$AJ$120,0,MATCH(P$2,Inputs!$K$4:$AJ$4,0))))+SUMPRODUCT((Inputs!$E$5:$E$120=$B50)*ISNUMBER(INDEX(Inputs!$K$5:$AJ$120,0,MATCH(P$2,Inputs!$K$4:$AJ$4,0))))=0,NA(),SUMPRODUCT((Inputs!$A$5:$A$120=$B50)*Inputs!$B$5:$B$120*(((Inputs!$G$5:$G$120="moeda")+(Inputs!$G$5:$G$120="acoes"))*Inputs!$B$1+((Inputs!$G$5:$G$120&lt;&gt;"moeda")*(Inputs!$G$5:$G$120&lt;&gt;"acoes")))*INDEX(Inputs!$K$5:$AJ$120,0,MATCH(P$2,Inputs!$K$4:$AJ$4,0)))+SUMPRODUCT((Inputs!$C$5:$C$120=$B50)*Inputs!$D$5:$D$120*(((Inputs!$G$5:$G$120="moeda")+(Inputs!$G$5:$G$120="acoes"))*Inputs!$B$1+((Inputs!$G$5:$G$120&lt;&gt;"moeda")*(Inputs!$G$5:$G$120&lt;&gt;"acoes")))*INDEX(Inputs!$K$5:$AJ$120,0,MATCH(P$2,Inputs!$K$4:$AJ$4,0)))+SUMPRODUCT((Inputs!$E$5:$E$120=$B50)*Inputs!$F$5:$F$120*(((Inputs!$G$5:$G$120="moeda")+(Inputs!$G$5:$G$120="acoes"))*Inputs!$B$1+((Inputs!$G$5:$G$120&lt;&gt;"moeda")*(Inputs!$G$5:$G$120&lt;&gt;"acoes")))*INDEX(Inputs!$K$5:$AJ$120,0,MATCH(P$2,Inputs!$K$4:$AJ$4,0)))))</f>
        <v>454</v>
      </c>
      <c r="Q50" s="267">
        <f>IF(ISNA(MATCH(Q$2,Inputs!$K$4:$AJ$4,0)),NA(),IF(SUMPRODUCT((Inputs!$A$5:$A$120=$B50)*ISNUMBER(INDEX(Inputs!$K$5:$AJ$120,0,MATCH(Q$2,Inputs!$K$4:$AJ$4,0))))+SUMPRODUCT((Inputs!$C$5:$C$120=$B50)*ISNUMBER(INDEX(Inputs!$K$5:$AJ$120,0,MATCH(Q$2,Inputs!$K$4:$AJ$4,0))))+SUMPRODUCT((Inputs!$E$5:$E$120=$B50)*ISNUMBER(INDEX(Inputs!$K$5:$AJ$120,0,MATCH(Q$2,Inputs!$K$4:$AJ$4,0))))=0,NA(),SUMPRODUCT((Inputs!$A$5:$A$120=$B50)*Inputs!$B$5:$B$120*(((Inputs!$G$5:$G$120="moeda")+(Inputs!$G$5:$G$120="acoes"))*Inputs!$B$1+((Inputs!$G$5:$G$120&lt;&gt;"moeda")*(Inputs!$G$5:$G$120&lt;&gt;"acoes")))*INDEX(Inputs!$K$5:$AJ$120,0,MATCH(Q$2,Inputs!$K$4:$AJ$4,0)))+SUMPRODUCT((Inputs!$C$5:$C$120=$B50)*Inputs!$D$5:$D$120*(((Inputs!$G$5:$G$120="moeda")+(Inputs!$G$5:$G$120="acoes"))*Inputs!$B$1+((Inputs!$G$5:$G$120&lt;&gt;"moeda")*(Inputs!$G$5:$G$120&lt;&gt;"acoes")))*INDEX(Inputs!$K$5:$AJ$120,0,MATCH(Q$2,Inputs!$K$4:$AJ$4,0)))+SUMPRODUCT((Inputs!$E$5:$E$120=$B50)*Inputs!$F$5:$F$120*(((Inputs!$G$5:$G$120="moeda")+(Inputs!$G$5:$G$120="acoes"))*Inputs!$B$1+((Inputs!$G$5:$G$120&lt;&gt;"moeda")*(Inputs!$G$5:$G$120&lt;&gt;"acoes")))*INDEX(Inputs!$K$5:$AJ$120,0,MATCH(Q$2,Inputs!$K$4:$AJ$4,0)))))</f>
        <v>388</v>
      </c>
      <c r="R50" s="268">
        <f>SUM(N50:Q50)</f>
        <v>1848</v>
      </c>
      <c r="S50" s="267">
        <f>IF(ISNA(MATCH(S$2,Inputs!$K$4:$AJ$4,0)),NA(),IF(SUMPRODUCT((Inputs!$A$5:$A$120=$B50)*ISNUMBER(INDEX(Inputs!$K$5:$AJ$120,0,MATCH(S$2,Inputs!$K$4:$AJ$4,0))))+SUMPRODUCT((Inputs!$C$5:$C$120=$B50)*ISNUMBER(INDEX(Inputs!$K$5:$AJ$120,0,MATCH(S$2,Inputs!$K$4:$AJ$4,0))))+SUMPRODUCT((Inputs!$E$5:$E$120=$B50)*ISNUMBER(INDEX(Inputs!$K$5:$AJ$120,0,MATCH(S$2,Inputs!$K$4:$AJ$4,0))))=0,NA(),SUMPRODUCT((Inputs!$A$5:$A$120=$B50)*Inputs!$B$5:$B$120*(((Inputs!$G$5:$G$120="moeda")+(Inputs!$G$5:$G$120="acoes"))*Inputs!$B$1+((Inputs!$G$5:$G$120&lt;&gt;"moeda")*(Inputs!$G$5:$G$120&lt;&gt;"acoes")))*INDEX(Inputs!$K$5:$AJ$120,0,MATCH(S$2,Inputs!$K$4:$AJ$4,0)))+SUMPRODUCT((Inputs!$C$5:$C$120=$B50)*Inputs!$D$5:$D$120*(((Inputs!$G$5:$G$120="moeda")+(Inputs!$G$5:$G$120="acoes"))*Inputs!$B$1+((Inputs!$G$5:$G$120&lt;&gt;"moeda")*(Inputs!$G$5:$G$120&lt;&gt;"acoes")))*INDEX(Inputs!$K$5:$AJ$120,0,MATCH(S$2,Inputs!$K$4:$AJ$4,0)))+SUMPRODUCT((Inputs!$E$5:$E$120=$B50)*Inputs!$F$5:$F$120*(((Inputs!$G$5:$G$120="moeda")+(Inputs!$G$5:$G$120="acoes"))*Inputs!$B$1+((Inputs!$G$5:$G$120&lt;&gt;"moeda")*(Inputs!$G$5:$G$120&lt;&gt;"acoes")))*INDEX(Inputs!$K$5:$AJ$120,0,MATCH(S$2,Inputs!$K$4:$AJ$4,0)))))</f>
        <v>473</v>
      </c>
      <c r="T50" s="267">
        <f>IF(ISNA(MATCH(T$2,Inputs!$K$4:$AJ$4,0)),NA(),IF(SUMPRODUCT((Inputs!$A$5:$A$120=$B50)*ISNUMBER(INDEX(Inputs!$K$5:$AJ$120,0,MATCH(T$2,Inputs!$K$4:$AJ$4,0))))+SUMPRODUCT((Inputs!$C$5:$C$120=$B50)*ISNUMBER(INDEX(Inputs!$K$5:$AJ$120,0,MATCH(T$2,Inputs!$K$4:$AJ$4,0))))+SUMPRODUCT((Inputs!$E$5:$E$120=$B50)*ISNUMBER(INDEX(Inputs!$K$5:$AJ$120,0,MATCH(T$2,Inputs!$K$4:$AJ$4,0))))=0,NA(),SUMPRODUCT((Inputs!$A$5:$A$120=$B50)*Inputs!$B$5:$B$120*(((Inputs!$G$5:$G$120="moeda")+(Inputs!$G$5:$G$120="acoes"))*Inputs!$B$1+((Inputs!$G$5:$G$120&lt;&gt;"moeda")*(Inputs!$G$5:$G$120&lt;&gt;"acoes")))*INDEX(Inputs!$K$5:$AJ$120,0,MATCH(T$2,Inputs!$K$4:$AJ$4,0)))+SUMPRODUCT((Inputs!$C$5:$C$120=$B50)*Inputs!$D$5:$D$120*(((Inputs!$G$5:$G$120="moeda")+(Inputs!$G$5:$G$120="acoes"))*Inputs!$B$1+((Inputs!$G$5:$G$120&lt;&gt;"moeda")*(Inputs!$G$5:$G$120&lt;&gt;"acoes")))*INDEX(Inputs!$K$5:$AJ$120,0,MATCH(T$2,Inputs!$K$4:$AJ$4,0)))+SUMPRODUCT((Inputs!$E$5:$E$120=$B50)*Inputs!$F$5:$F$120*(((Inputs!$G$5:$G$120="moeda")+(Inputs!$G$5:$G$120="acoes"))*Inputs!$B$1+((Inputs!$G$5:$G$120&lt;&gt;"moeda")*(Inputs!$G$5:$G$120&lt;&gt;"acoes")))*INDEX(Inputs!$K$5:$AJ$120,0,MATCH(T$2,Inputs!$K$4:$AJ$4,0)))))</f>
        <v>616</v>
      </c>
      <c r="U50" s="267">
        <f>IF(ISNA(MATCH(U$2,Inputs!$K$4:$AJ$4,0)),NA(),IF(SUMPRODUCT((Inputs!$A$5:$A$120=$B50)*ISNUMBER(INDEX(Inputs!$K$5:$AJ$120,0,MATCH(U$2,Inputs!$K$4:$AJ$4,0))))+SUMPRODUCT((Inputs!$C$5:$C$120=$B50)*ISNUMBER(INDEX(Inputs!$K$5:$AJ$120,0,MATCH(U$2,Inputs!$K$4:$AJ$4,0))))+SUMPRODUCT((Inputs!$E$5:$E$120=$B50)*ISNUMBER(INDEX(Inputs!$K$5:$AJ$120,0,MATCH(U$2,Inputs!$K$4:$AJ$4,0))))=0,NA(),SUMPRODUCT((Inputs!$A$5:$A$120=$B50)*Inputs!$B$5:$B$120*(((Inputs!$G$5:$G$120="moeda")+(Inputs!$G$5:$G$120="acoes"))*Inputs!$B$1+((Inputs!$G$5:$G$120&lt;&gt;"moeda")*(Inputs!$G$5:$G$120&lt;&gt;"acoes")))*INDEX(Inputs!$K$5:$AJ$120,0,MATCH(U$2,Inputs!$K$4:$AJ$4,0)))+SUMPRODUCT((Inputs!$C$5:$C$120=$B50)*Inputs!$D$5:$D$120*(((Inputs!$G$5:$G$120="moeda")+(Inputs!$G$5:$G$120="acoes"))*Inputs!$B$1+((Inputs!$G$5:$G$120&lt;&gt;"moeda")*(Inputs!$G$5:$G$120&lt;&gt;"acoes")))*INDEX(Inputs!$K$5:$AJ$120,0,MATCH(U$2,Inputs!$K$4:$AJ$4,0)))+SUMPRODUCT((Inputs!$E$5:$E$120=$B50)*Inputs!$F$5:$F$120*(((Inputs!$G$5:$G$120="moeda")+(Inputs!$G$5:$G$120="acoes"))*Inputs!$B$1+((Inputs!$G$5:$G$120&lt;&gt;"moeda")*(Inputs!$G$5:$G$120&lt;&gt;"acoes")))*INDEX(Inputs!$K$5:$AJ$120,0,MATCH(U$2,Inputs!$K$4:$AJ$4,0)))))</f>
        <v>526</v>
      </c>
      <c r="V50" s="267">
        <f>IF(ISNA(MATCH(V$2,Inputs!$K$4:$AJ$4,0)),NA(),IF(SUMPRODUCT((Inputs!$A$5:$A$120=$B50)*ISNUMBER(INDEX(Inputs!$K$5:$AJ$120,0,MATCH(V$2,Inputs!$K$4:$AJ$4,0))))+SUMPRODUCT((Inputs!$C$5:$C$120=$B50)*ISNUMBER(INDEX(Inputs!$K$5:$AJ$120,0,MATCH(V$2,Inputs!$K$4:$AJ$4,0))))+SUMPRODUCT((Inputs!$E$5:$E$120=$B50)*ISNUMBER(INDEX(Inputs!$K$5:$AJ$120,0,MATCH(V$2,Inputs!$K$4:$AJ$4,0))))=0,NA(),SUMPRODUCT((Inputs!$A$5:$A$120=$B50)*Inputs!$B$5:$B$120*(((Inputs!$G$5:$G$120="moeda")+(Inputs!$G$5:$G$120="acoes"))*Inputs!$B$1+((Inputs!$G$5:$G$120&lt;&gt;"moeda")*(Inputs!$G$5:$G$120&lt;&gt;"acoes")))*INDEX(Inputs!$K$5:$AJ$120,0,MATCH(V$2,Inputs!$K$4:$AJ$4,0)))+SUMPRODUCT((Inputs!$C$5:$C$120=$B50)*Inputs!$D$5:$D$120*(((Inputs!$G$5:$G$120="moeda")+(Inputs!$G$5:$G$120="acoes"))*Inputs!$B$1+((Inputs!$G$5:$G$120&lt;&gt;"moeda")*(Inputs!$G$5:$G$120&lt;&gt;"acoes")))*INDEX(Inputs!$K$5:$AJ$120,0,MATCH(V$2,Inputs!$K$4:$AJ$4,0)))+SUMPRODUCT((Inputs!$E$5:$E$120=$B50)*Inputs!$F$5:$F$120*(((Inputs!$G$5:$G$120="moeda")+(Inputs!$G$5:$G$120="acoes"))*Inputs!$B$1+((Inputs!$G$5:$G$120&lt;&gt;"moeda")*(Inputs!$G$5:$G$120&lt;&gt;"acoes")))*INDEX(Inputs!$K$5:$AJ$120,0,MATCH(V$2,Inputs!$K$4:$AJ$4,0)))))</f>
        <v>274</v>
      </c>
      <c r="W50" s="268">
        <f>SUM(S50:V50)</f>
        <v>1889</v>
      </c>
      <c r="X50" s="267">
        <f>IF(ISNA(MATCH(X$2,Inputs!$K$4:$AJ$4,0)),NA(),IF(SUMPRODUCT((Inputs!$A$5:$A$120=$B50)*ISNUMBER(INDEX(Inputs!$K$5:$AJ$120,0,MATCH(X$2,Inputs!$K$4:$AJ$4,0))))+SUMPRODUCT((Inputs!$C$5:$C$120=$B50)*ISNUMBER(INDEX(Inputs!$K$5:$AJ$120,0,MATCH(X$2,Inputs!$K$4:$AJ$4,0))))+SUMPRODUCT((Inputs!$E$5:$E$120=$B50)*ISNUMBER(INDEX(Inputs!$K$5:$AJ$120,0,MATCH(X$2,Inputs!$K$4:$AJ$4,0))))=0,NA(),SUMPRODUCT((Inputs!$A$5:$A$120=$B50)*Inputs!$B$5:$B$120*(((Inputs!$G$5:$G$120="moeda")+(Inputs!$G$5:$G$120="acoes"))*Inputs!$B$1+((Inputs!$G$5:$G$120&lt;&gt;"moeda")*(Inputs!$G$5:$G$120&lt;&gt;"acoes")))*INDEX(Inputs!$K$5:$AJ$120,0,MATCH(X$2,Inputs!$K$4:$AJ$4,0)))+SUMPRODUCT((Inputs!$C$5:$C$120=$B50)*Inputs!$D$5:$D$120*(((Inputs!$G$5:$G$120="moeda")+(Inputs!$G$5:$G$120="acoes"))*Inputs!$B$1+((Inputs!$G$5:$G$120&lt;&gt;"moeda")*(Inputs!$G$5:$G$120&lt;&gt;"acoes")))*INDEX(Inputs!$K$5:$AJ$120,0,MATCH(X$2,Inputs!$K$4:$AJ$4,0)))+SUMPRODUCT((Inputs!$E$5:$E$120=$B50)*Inputs!$F$5:$F$120*(((Inputs!$G$5:$G$120="moeda")+(Inputs!$G$5:$G$120="acoes"))*Inputs!$B$1+((Inputs!$G$5:$G$120&lt;&gt;"moeda")*(Inputs!$G$5:$G$120&lt;&gt;"acoes")))*INDEX(Inputs!$K$5:$AJ$120,0,MATCH(X$2,Inputs!$K$4:$AJ$4,0)))))</f>
        <v>352</v>
      </c>
      <c r="Y50" s="267">
        <f>IF(ISNA(MATCH(Y$2,Inputs!$K$4:$AJ$4,0)),NA(),IF(SUMPRODUCT((Inputs!$A$5:$A$120=$B50)*ISNUMBER(INDEX(Inputs!$K$5:$AJ$120,0,MATCH(Y$2,Inputs!$K$4:$AJ$4,0))))+SUMPRODUCT((Inputs!$C$5:$C$120=$B50)*ISNUMBER(INDEX(Inputs!$K$5:$AJ$120,0,MATCH(Y$2,Inputs!$K$4:$AJ$4,0))))+SUMPRODUCT((Inputs!$E$5:$E$120=$B50)*ISNUMBER(INDEX(Inputs!$K$5:$AJ$120,0,MATCH(Y$2,Inputs!$K$4:$AJ$4,0))))=0,NA(),SUMPRODUCT((Inputs!$A$5:$A$120=$B50)*Inputs!$B$5:$B$120*(((Inputs!$G$5:$G$120="moeda")+(Inputs!$G$5:$G$120="acoes"))*Inputs!$B$1+((Inputs!$G$5:$G$120&lt;&gt;"moeda")*(Inputs!$G$5:$G$120&lt;&gt;"acoes")))*INDEX(Inputs!$K$5:$AJ$120,0,MATCH(Y$2,Inputs!$K$4:$AJ$4,0)))+SUMPRODUCT((Inputs!$C$5:$C$120=$B50)*Inputs!$D$5:$D$120*(((Inputs!$G$5:$G$120="moeda")+(Inputs!$G$5:$G$120="acoes"))*Inputs!$B$1+((Inputs!$G$5:$G$120&lt;&gt;"moeda")*(Inputs!$G$5:$G$120&lt;&gt;"acoes")))*INDEX(Inputs!$K$5:$AJ$120,0,MATCH(Y$2,Inputs!$K$4:$AJ$4,0)))+SUMPRODUCT((Inputs!$E$5:$E$120=$B50)*Inputs!$F$5:$F$120*(((Inputs!$G$5:$G$120="moeda")+(Inputs!$G$5:$G$120="acoes"))*Inputs!$B$1+((Inputs!$G$5:$G$120&lt;&gt;"moeda")*(Inputs!$G$5:$G$120&lt;&gt;"acoes")))*INDEX(Inputs!$K$5:$AJ$120,0,MATCH(Y$2,Inputs!$K$4:$AJ$4,0)))))</f>
        <v>772</v>
      </c>
      <c r="Z50" s="267">
        <f>IF(ISNA(MATCH(Z$2,Inputs!$K$4:$AJ$4,0)),NA(),IF(SUMPRODUCT((Inputs!$A$5:$A$120=$B50)*ISNUMBER(INDEX(Inputs!$K$5:$AJ$120,0,MATCH(Z$2,Inputs!$K$4:$AJ$4,0))))+SUMPRODUCT((Inputs!$C$5:$C$120=$B50)*ISNUMBER(INDEX(Inputs!$K$5:$AJ$120,0,MATCH(Z$2,Inputs!$K$4:$AJ$4,0))))+SUMPRODUCT((Inputs!$E$5:$E$120=$B50)*ISNUMBER(INDEX(Inputs!$K$5:$AJ$120,0,MATCH(Z$2,Inputs!$K$4:$AJ$4,0))))=0,NA(),SUMPRODUCT((Inputs!$A$5:$A$120=$B50)*Inputs!$B$5:$B$120*(((Inputs!$G$5:$G$120="moeda")+(Inputs!$G$5:$G$120="acoes"))*Inputs!$B$1+((Inputs!$G$5:$G$120&lt;&gt;"moeda")*(Inputs!$G$5:$G$120&lt;&gt;"acoes")))*INDEX(Inputs!$K$5:$AJ$120,0,MATCH(Z$2,Inputs!$K$4:$AJ$4,0)))+SUMPRODUCT((Inputs!$C$5:$C$120=$B50)*Inputs!$D$5:$D$120*(((Inputs!$G$5:$G$120="moeda")+(Inputs!$G$5:$G$120="acoes"))*Inputs!$B$1+((Inputs!$G$5:$G$120&lt;&gt;"moeda")*(Inputs!$G$5:$G$120&lt;&gt;"acoes")))*INDEX(Inputs!$K$5:$AJ$120,0,MATCH(Z$2,Inputs!$K$4:$AJ$4,0)))+SUMPRODUCT((Inputs!$E$5:$E$120=$B50)*Inputs!$F$5:$F$120*(((Inputs!$G$5:$G$120="moeda")+(Inputs!$G$5:$G$120="acoes"))*Inputs!$B$1+((Inputs!$G$5:$G$120&lt;&gt;"moeda")*(Inputs!$G$5:$G$120&lt;&gt;"acoes")))*INDEX(Inputs!$K$5:$AJ$120,0,MATCH(Z$2,Inputs!$K$4:$AJ$4,0)))))</f>
        <v>674</v>
      </c>
      <c r="AA50" s="267">
        <f>IF(ISNA(MATCH(AA$2,Inputs!$K$4:$AJ$4,0)),NA(),IF(SUMPRODUCT((Inputs!$A$5:$A$120=$B50)*ISNUMBER(INDEX(Inputs!$K$5:$AJ$120,0,MATCH(AA$2,Inputs!$K$4:$AJ$4,0))))+SUMPRODUCT((Inputs!$C$5:$C$120=$B50)*ISNUMBER(INDEX(Inputs!$K$5:$AJ$120,0,MATCH(AA$2,Inputs!$K$4:$AJ$4,0))))+SUMPRODUCT((Inputs!$E$5:$E$120=$B50)*ISNUMBER(INDEX(Inputs!$K$5:$AJ$120,0,MATCH(AA$2,Inputs!$K$4:$AJ$4,0))))=0,NA(),SUMPRODUCT((Inputs!$A$5:$A$120=$B50)*Inputs!$B$5:$B$120*(((Inputs!$G$5:$G$120="moeda")+(Inputs!$G$5:$G$120="acoes"))*Inputs!$B$1+((Inputs!$G$5:$G$120&lt;&gt;"moeda")*(Inputs!$G$5:$G$120&lt;&gt;"acoes")))*INDEX(Inputs!$K$5:$AJ$120,0,MATCH(AA$2,Inputs!$K$4:$AJ$4,0)))+SUMPRODUCT((Inputs!$C$5:$C$120=$B50)*Inputs!$D$5:$D$120*(((Inputs!$G$5:$G$120="moeda")+(Inputs!$G$5:$G$120="acoes"))*Inputs!$B$1+((Inputs!$G$5:$G$120&lt;&gt;"moeda")*(Inputs!$G$5:$G$120&lt;&gt;"acoes")))*INDEX(Inputs!$K$5:$AJ$120,0,MATCH(AA$2,Inputs!$K$4:$AJ$4,0)))+SUMPRODUCT((Inputs!$E$5:$E$120=$B50)*Inputs!$F$5:$F$120*(((Inputs!$G$5:$G$120="moeda")+(Inputs!$G$5:$G$120="acoes"))*Inputs!$B$1+((Inputs!$G$5:$G$120&lt;&gt;"moeda")*(Inputs!$G$5:$G$120&lt;&gt;"acoes")))*INDEX(Inputs!$K$5:$AJ$120,0,MATCH(AA$2,Inputs!$K$4:$AJ$4,0)))))</f>
        <v>406</v>
      </c>
      <c r="AB50" s="268">
        <f>SUM(X50:AA50)</f>
        <v>2204</v>
      </c>
      <c r="AC50" s="267">
        <f>IF(ISNA(MATCH(AC$2,Inputs!$K$4:$AJ$4,0)),NA(),IF(SUMPRODUCT((Inputs!$A$5:$A$120=$B50)*ISNUMBER(INDEX(Inputs!$K$5:$AJ$120,0,MATCH(AC$2,Inputs!$K$4:$AJ$4,0))))+SUMPRODUCT((Inputs!$C$5:$C$120=$B50)*ISNUMBER(INDEX(Inputs!$K$5:$AJ$120,0,MATCH(AC$2,Inputs!$K$4:$AJ$4,0))))+SUMPRODUCT((Inputs!$E$5:$E$120=$B50)*ISNUMBER(INDEX(Inputs!$K$5:$AJ$120,0,MATCH(AC$2,Inputs!$K$4:$AJ$4,0))))=0,NA(),SUMPRODUCT((Inputs!$A$5:$A$120=$B50)*Inputs!$B$5:$B$120*(((Inputs!$G$5:$G$120="moeda")+(Inputs!$G$5:$G$120="acoes"))*Inputs!$B$1+((Inputs!$G$5:$G$120&lt;&gt;"moeda")*(Inputs!$G$5:$G$120&lt;&gt;"acoes")))*INDEX(Inputs!$K$5:$AJ$120,0,MATCH(AC$2,Inputs!$K$4:$AJ$4,0)))+SUMPRODUCT((Inputs!$C$5:$C$120=$B50)*Inputs!$D$5:$D$120*(((Inputs!$G$5:$G$120="moeda")+(Inputs!$G$5:$G$120="acoes"))*Inputs!$B$1+((Inputs!$G$5:$G$120&lt;&gt;"moeda")*(Inputs!$G$5:$G$120&lt;&gt;"acoes")))*INDEX(Inputs!$K$5:$AJ$120,0,MATCH(AC$2,Inputs!$K$4:$AJ$4,0)))+SUMPRODUCT((Inputs!$E$5:$E$120=$B50)*Inputs!$F$5:$F$120*(((Inputs!$G$5:$G$120="moeda")+(Inputs!$G$5:$G$120="acoes"))*Inputs!$B$1+((Inputs!$G$5:$G$120&lt;&gt;"moeda")*(Inputs!$G$5:$G$120&lt;&gt;"acoes")))*INDEX(Inputs!$K$5:$AJ$120,0,MATCH(AC$2,Inputs!$K$4:$AJ$4,0)))))</f>
        <v>881</v>
      </c>
      <c r="AD50" s="267">
        <f>IF(ISNA(MATCH(AD$2,Inputs!$K$4:$AJ$4,0)),NA(),IF(SUMPRODUCT((Inputs!$A$5:$A$120=$B50)*ISNUMBER(INDEX(Inputs!$K$5:$AJ$120,0,MATCH(AD$2,Inputs!$K$4:$AJ$4,0))))+SUMPRODUCT((Inputs!$C$5:$C$120=$B50)*ISNUMBER(INDEX(Inputs!$K$5:$AJ$120,0,MATCH(AD$2,Inputs!$K$4:$AJ$4,0))))+SUMPRODUCT((Inputs!$E$5:$E$120=$B50)*ISNUMBER(INDEX(Inputs!$K$5:$AJ$120,0,MATCH(AD$2,Inputs!$K$4:$AJ$4,0))))=0,NA(),SUMPRODUCT((Inputs!$A$5:$A$120=$B50)*Inputs!$B$5:$B$120*(((Inputs!$G$5:$G$120="moeda")+(Inputs!$G$5:$G$120="acoes"))*Inputs!$B$1+((Inputs!$G$5:$G$120&lt;&gt;"moeda")*(Inputs!$G$5:$G$120&lt;&gt;"acoes")))*INDEX(Inputs!$K$5:$AJ$120,0,MATCH(AD$2,Inputs!$K$4:$AJ$4,0)))+SUMPRODUCT((Inputs!$C$5:$C$120=$B50)*Inputs!$D$5:$D$120*(((Inputs!$G$5:$G$120="moeda")+(Inputs!$G$5:$G$120="acoes"))*Inputs!$B$1+((Inputs!$G$5:$G$120&lt;&gt;"moeda")*(Inputs!$G$5:$G$120&lt;&gt;"acoes")))*INDEX(Inputs!$K$5:$AJ$120,0,MATCH(AD$2,Inputs!$K$4:$AJ$4,0)))+SUMPRODUCT((Inputs!$E$5:$E$120=$B50)*Inputs!$F$5:$F$120*(((Inputs!$G$5:$G$120="moeda")+(Inputs!$G$5:$G$120="acoes"))*Inputs!$B$1+((Inputs!$G$5:$G$120&lt;&gt;"moeda")*(Inputs!$G$5:$G$120&lt;&gt;"acoes")))*INDEX(Inputs!$K$5:$AJ$120,0,MATCH(AD$2,Inputs!$K$4:$AJ$4,0)))))</f>
        <v>984</v>
      </c>
      <c r="AE50" s="267" t="e">
        <f>IF(ISNA(MATCH(AE$2,Inputs!$K$4:$AJ$4,0)),NA(),IF(SUMPRODUCT((Inputs!$A$5:$A$120=$B50)*ISNUMBER(INDEX(Inputs!$K$5:$AJ$120,0,MATCH(AE$2,Inputs!$K$4:$AJ$4,0))))+SUMPRODUCT((Inputs!$C$5:$C$120=$B50)*ISNUMBER(INDEX(Inputs!$K$5:$AJ$120,0,MATCH(AE$2,Inputs!$K$4:$AJ$4,0))))+SUMPRODUCT((Inputs!$E$5:$E$120=$B50)*ISNUMBER(INDEX(Inputs!$K$5:$AJ$120,0,MATCH(AE$2,Inputs!$K$4:$AJ$4,0))))=0,NA(),SUMPRODUCT((Inputs!$A$5:$A$120=$B50)*Inputs!$B$5:$B$120*(((Inputs!$G$5:$G$120="moeda")+(Inputs!$G$5:$G$120="acoes"))*Inputs!$B$1+((Inputs!$G$5:$G$120&lt;&gt;"moeda")*(Inputs!$G$5:$G$120&lt;&gt;"acoes")))*INDEX(Inputs!$K$5:$AJ$120,0,MATCH(AE$2,Inputs!$K$4:$AJ$4,0)))+SUMPRODUCT((Inputs!$C$5:$C$120=$B50)*Inputs!$D$5:$D$120*(((Inputs!$G$5:$G$120="moeda")+(Inputs!$G$5:$G$120="acoes"))*Inputs!$B$1+((Inputs!$G$5:$G$120&lt;&gt;"moeda")*(Inputs!$G$5:$G$120&lt;&gt;"acoes")))*INDEX(Inputs!$K$5:$AJ$120,0,MATCH(AE$2,Inputs!$K$4:$AJ$4,0)))+SUMPRODUCT((Inputs!$E$5:$E$120=$B50)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0" s="267" t="e">
        <f>IF(ISNA(MATCH(AF$2,Inputs!$K$4:$AJ$4,0)),NA(),IF(SUMPRODUCT((Inputs!$A$5:$A$120=$B50)*ISNUMBER(INDEX(Inputs!$K$5:$AJ$120,0,MATCH(AF$2,Inputs!$K$4:$AJ$4,0))))+SUMPRODUCT((Inputs!$C$5:$C$120=$B50)*ISNUMBER(INDEX(Inputs!$K$5:$AJ$120,0,MATCH(AF$2,Inputs!$K$4:$AJ$4,0))))+SUMPRODUCT((Inputs!$E$5:$E$120=$B50)*ISNUMBER(INDEX(Inputs!$K$5:$AJ$120,0,MATCH(AF$2,Inputs!$K$4:$AJ$4,0))))=0,NA(),SUMPRODUCT((Inputs!$A$5:$A$120=$B50)*Inputs!$B$5:$B$120*(((Inputs!$G$5:$G$120="moeda")+(Inputs!$G$5:$G$120="acoes"))*Inputs!$B$1+((Inputs!$G$5:$G$120&lt;&gt;"moeda")*(Inputs!$G$5:$G$120&lt;&gt;"acoes")))*INDEX(Inputs!$K$5:$AJ$120,0,MATCH(AF$2,Inputs!$K$4:$AJ$4,0)))+SUMPRODUCT((Inputs!$C$5:$C$120=$B50)*Inputs!$D$5:$D$120*(((Inputs!$G$5:$G$120="moeda")+(Inputs!$G$5:$G$120="acoes"))*Inputs!$B$1+((Inputs!$G$5:$G$120&lt;&gt;"moeda")*(Inputs!$G$5:$G$120&lt;&gt;"acoes")))*INDEX(Inputs!$K$5:$AJ$120,0,MATCH(AF$2,Inputs!$K$4:$AJ$4,0)))+SUMPRODUCT((Inputs!$E$5:$E$120=$B50)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0" s="268" t="e">
        <f>SUM(AC50:AF50)</f>
        <v>#N/A</v>
      </c>
      <c r="AH50" s="260">
        <f>IF(ISNA(MATCH(AH$2,Inputs!$K$4:$AJ$4,0)),NA(),IF(SUMPRODUCT((Inputs!$A$5:$A$120=$B50)*ISNUMBER(INDEX(Inputs!$K$5:$AJ$120,0,MATCH(AH$2,Inputs!$K$4:$AJ$4,0))))+SUMPRODUCT((Inputs!$C$5:$C$120=$B50)*ISNUMBER(INDEX(Inputs!$K$5:$AJ$120,0,MATCH(AH$2,Inputs!$K$4:$AJ$4,0))))+SUMPRODUCT((Inputs!$E$5:$E$120=$B50)*ISNUMBER(INDEX(Inputs!$K$5:$AJ$120,0,MATCH(AH$2,Inputs!$K$4:$AJ$4,0))))=0,NA(),SUMPRODUCT((Inputs!$A$5:$A$120=$B50)*Inputs!$B$5:$B$120*(((Inputs!$G$5:$G$120="moeda")+(Inputs!$G$5:$G$120="acoes"))*Inputs!$B$1+((Inputs!$G$5:$G$120&lt;&gt;"moeda")*(Inputs!$G$5:$G$120&lt;&gt;"acoes")))*INDEX(Inputs!$K$5:$AJ$120,0,MATCH(AH$2,Inputs!$K$4:$AJ$4,0)))+SUMPRODUCT((Inputs!$C$5:$C$120=$B50)*Inputs!$D$5:$D$120*(((Inputs!$G$5:$G$120="moeda")+(Inputs!$G$5:$G$120="acoes"))*Inputs!$B$1+((Inputs!$G$5:$G$120&lt;&gt;"moeda")*(Inputs!$G$5:$G$120&lt;&gt;"acoes")))*INDEX(Inputs!$K$5:$AJ$120,0,MATCH(AH$2,Inputs!$K$4:$AJ$4,0)))+SUMPRODUCT((Inputs!$E$5:$E$120=$B50)*Inputs!$F$5:$F$120*(((Inputs!$G$5:$G$120="moeda")+(Inputs!$G$5:$G$120="acoes"))*Inputs!$B$1+((Inputs!$G$5:$G$120&lt;&gt;"moeda")*(Inputs!$G$5:$G$120&lt;&gt;"acoes")))*INDEX(Inputs!$K$5:$AJ$120,0,MATCH(AH$2,Inputs!$K$4:$AJ$4,0)))))</f>
        <v>-491</v>
      </c>
      <c r="AI50" s="260">
        <f>IF(ISNA(MATCH(AI$2,Inputs!$K$4:$AJ$4,0)),NA(),IF(SUMPRODUCT((Inputs!$A$5:$A$120=$B50)*ISNUMBER(INDEX(Inputs!$K$5:$AJ$120,0,MATCH(AI$2,Inputs!$K$4:$AJ$4,0))))+SUMPRODUCT((Inputs!$C$5:$C$120=$B50)*ISNUMBER(INDEX(Inputs!$K$5:$AJ$120,0,MATCH(AI$2,Inputs!$K$4:$AJ$4,0))))+SUMPRODUCT((Inputs!$E$5:$E$120=$B50)*ISNUMBER(INDEX(Inputs!$K$5:$AJ$120,0,MATCH(AI$2,Inputs!$K$4:$AJ$4,0))))=0,NA(),SUMPRODUCT((Inputs!$A$5:$A$120=$B50)*Inputs!$B$5:$B$120*(((Inputs!$G$5:$G$120="moeda")+(Inputs!$G$5:$G$120="acoes"))*Inputs!$B$1+((Inputs!$G$5:$G$120&lt;&gt;"moeda")*(Inputs!$G$5:$G$120&lt;&gt;"acoes")))*INDEX(Inputs!$K$5:$AJ$120,0,MATCH(AI$2,Inputs!$K$4:$AJ$4,0)))+SUMPRODUCT((Inputs!$C$5:$C$120=$B50)*Inputs!$D$5:$D$120*(((Inputs!$G$5:$G$120="moeda")+(Inputs!$G$5:$G$120="acoes"))*Inputs!$B$1+((Inputs!$G$5:$G$120&lt;&gt;"moeda")*(Inputs!$G$5:$G$120&lt;&gt;"acoes")))*INDEX(Inputs!$K$5:$AJ$120,0,MATCH(AI$2,Inputs!$K$4:$AJ$4,0)))+SUMPRODUCT((Inputs!$E$5:$E$120=$B50)*Inputs!$F$5:$F$120*(((Inputs!$G$5:$G$120="moeda")+(Inputs!$G$5:$G$120="acoes"))*Inputs!$B$1+((Inputs!$G$5:$G$120&lt;&gt;"moeda")*(Inputs!$G$5:$G$120&lt;&gt;"acoes")))*INDEX(Inputs!$K$5:$AJ$120,0,MATCH(AI$2,Inputs!$K$4:$AJ$4,0)))))</f>
        <v>53</v>
      </c>
      <c r="AJ50" s="260">
        <f>IF(ISNA(MATCH(AJ$2,Inputs!$K$4:$AJ$4,0)),NA(),IF(SUMPRODUCT((Inputs!$A$5:$A$120=$B50)*ISNUMBER(INDEX(Inputs!$K$5:$AJ$120,0,MATCH(AJ$2,Inputs!$K$4:$AJ$4,0))))+SUMPRODUCT((Inputs!$C$5:$C$120=$B50)*ISNUMBER(INDEX(Inputs!$K$5:$AJ$120,0,MATCH(AJ$2,Inputs!$K$4:$AJ$4,0))))+SUMPRODUCT((Inputs!$E$5:$E$120=$B50)*ISNUMBER(INDEX(Inputs!$K$5:$AJ$120,0,MATCH(AJ$2,Inputs!$K$4:$AJ$4,0))))=0,NA(),SUMPRODUCT((Inputs!$A$5:$A$120=$B50)*Inputs!$B$5:$B$120*(((Inputs!$G$5:$G$120="moeda")+(Inputs!$G$5:$G$120="acoes"))*Inputs!$B$1+((Inputs!$G$5:$G$120&lt;&gt;"moeda")*(Inputs!$G$5:$G$120&lt;&gt;"acoes")))*INDEX(Inputs!$K$5:$AJ$120,0,MATCH(AJ$2,Inputs!$K$4:$AJ$4,0)))+SUMPRODUCT((Inputs!$C$5:$C$120=$B50)*Inputs!$D$5:$D$120*(((Inputs!$G$5:$G$120="moeda")+(Inputs!$G$5:$G$120="acoes"))*Inputs!$B$1+((Inputs!$G$5:$G$120&lt;&gt;"moeda")*(Inputs!$G$5:$G$120&lt;&gt;"acoes")))*INDEX(Inputs!$K$5:$AJ$120,0,MATCH(AJ$2,Inputs!$K$4:$AJ$4,0)))+SUMPRODUCT((Inputs!$E$5:$E$120=$B50)*Inputs!$F$5:$F$120*(((Inputs!$G$5:$G$120="moeda")+(Inputs!$G$5:$G$120="acoes"))*Inputs!$B$1+((Inputs!$G$5:$G$120&lt;&gt;"moeda")*(Inputs!$G$5:$G$120&lt;&gt;"acoes")))*INDEX(Inputs!$K$5:$AJ$120,0,MATCH(AJ$2,Inputs!$K$4:$AJ$4,0)))))</f>
        <v>329</v>
      </c>
      <c r="AK50" s="260">
        <f>IF(ISNA(MATCH(AK$2,Inputs!$K$4:$AJ$4,0)),NA(),IF(SUMPRODUCT((Inputs!$A$5:$A$120=$B50)*ISNUMBER(INDEX(Inputs!$K$5:$AJ$120,0,MATCH(AK$2,Inputs!$K$4:$AJ$4,0))))+SUMPRODUCT((Inputs!$C$5:$C$120=$B50)*ISNUMBER(INDEX(Inputs!$K$5:$AJ$120,0,MATCH(AK$2,Inputs!$K$4:$AJ$4,0))))+SUMPRODUCT((Inputs!$E$5:$E$120=$B50)*ISNUMBER(INDEX(Inputs!$K$5:$AJ$120,0,MATCH(AK$2,Inputs!$K$4:$AJ$4,0))))=0,NA(),SUMPRODUCT((Inputs!$A$5:$A$120=$B50)*Inputs!$B$5:$B$120*(((Inputs!$G$5:$G$120="moeda")+(Inputs!$G$5:$G$120="acoes"))*Inputs!$B$1+((Inputs!$G$5:$G$120&lt;&gt;"moeda")*(Inputs!$G$5:$G$120&lt;&gt;"acoes")))*INDEX(Inputs!$K$5:$AJ$120,0,MATCH(AK$2,Inputs!$K$4:$AJ$4,0)))+SUMPRODUCT((Inputs!$C$5:$C$120=$B50)*Inputs!$D$5:$D$120*(((Inputs!$G$5:$G$120="moeda")+(Inputs!$G$5:$G$120="acoes"))*Inputs!$B$1+((Inputs!$G$5:$G$120&lt;&gt;"moeda")*(Inputs!$G$5:$G$120&lt;&gt;"acoes")))*INDEX(Inputs!$K$5:$AJ$120,0,MATCH(AK$2,Inputs!$K$4:$AJ$4,0)))+SUMPRODUCT((Inputs!$E$5:$E$120=$B50)*Inputs!$F$5:$F$120*(((Inputs!$G$5:$G$120="moeda")+(Inputs!$G$5:$G$120="acoes"))*Inputs!$B$1+((Inputs!$G$5:$G$120&lt;&gt;"moeda")*(Inputs!$G$5:$G$120&lt;&gt;"acoes")))*INDEX(Inputs!$K$5:$AJ$120,0,MATCH(AK$2,Inputs!$K$4:$AJ$4,0)))))</f>
        <v>708</v>
      </c>
      <c r="AL50" s="260">
        <f>SUM(AH50:AK50)</f>
        <v>599</v>
      </c>
    </row>
    <row r="52">
      <c r="C52" s="511" t="inlineStr">
        <is>
          <t>Drivers de receita (memo) - codigos 45+ [Model, bloco abaixo da receita liquida]</t>
        </is>
      </c>
    </row>
    <row r="53">
      <c r="B53" s="265" t="n">
        <v>45</v>
      </c>
      <c r="C53" s="266" t="inlineStr">
        <is>
          <t>Morenci - receita (USD)</t>
        </is>
      </c>
      <c r="D53" s="513">
        <f>IF(ISNA(MATCH(D$2,Inputs!$K$4:$AJ$4,0)),NA(),IF(SUMPRODUCT((Inputs!$A$5:$A$120=$B53)*ISNUMBER(INDEX(Inputs!$K$5:$AJ$120,0,MATCH(D$2,Inputs!$K$4:$AJ$4,0))))+SUMPRODUCT((Inputs!$C$5:$C$120=$B53)*ISNUMBER(INDEX(Inputs!$K$5:$AJ$120,0,MATCH(D$2,Inputs!$K$4:$AJ$4,0))))+SUMPRODUCT((Inputs!$E$5:$E$120=$B53)*ISNUMBER(INDEX(Inputs!$K$5:$AJ$120,0,MATCH(D$2,Inputs!$K$4:$AJ$4,0))))=0,NA(),SUMPRODUCT((Inputs!$A$5:$A$120=$B53)*Inputs!$B$5:$B$120*(((Inputs!$G$5:$G$120="moeda")+(Inputs!$G$5:$G$120="acoes"))*Inputs!$B$1+((Inputs!$G$5:$G$120&lt;&gt;"moeda")*(Inputs!$G$5:$G$120&lt;&gt;"acoes")))*INDEX(Inputs!$K$5:$AJ$120,0,MATCH(D$2,Inputs!$K$4:$AJ$4,0)))+SUMPRODUCT((Inputs!$C$5:$C$120=$B53)*Inputs!$D$5:$D$120*(((Inputs!$G$5:$G$120="moeda")+(Inputs!$G$5:$G$120="acoes"))*Inputs!$B$1+((Inputs!$G$5:$G$120&lt;&gt;"moeda")*(Inputs!$G$5:$G$120&lt;&gt;"acoes")))*INDEX(Inputs!$K$5:$AJ$120,0,MATCH(D$2,Inputs!$K$4:$AJ$4,0)))+SUMPRODUCT((Inputs!$E$5:$E$120=$B53)*Inputs!$F$5:$F$120*(((Inputs!$G$5:$G$120="moeda")+(Inputs!$G$5:$G$120="acoes"))*Inputs!$B$1+((Inputs!$G$5:$G$120&lt;&gt;"moeda")*(Inputs!$G$5:$G$120&lt;&gt;"acoes")))*INDEX(Inputs!$K$5:$AJ$120,0,MATCH(D$2,Inputs!$K$4:$AJ$4,0)))))</f>
        <v>568</v>
      </c>
      <c r="E53" s="513">
        <f>IF(ISNA(MATCH(E$2,Inputs!$K$4:$AJ$4,0)),NA(),IF(SUMPRODUCT((Inputs!$A$5:$A$120=$B53)*ISNUMBER(INDEX(Inputs!$K$5:$AJ$120,0,MATCH(E$2,Inputs!$K$4:$AJ$4,0))))+SUMPRODUCT((Inputs!$C$5:$C$120=$B53)*ISNUMBER(INDEX(Inputs!$K$5:$AJ$120,0,MATCH(E$2,Inputs!$K$4:$AJ$4,0))))+SUMPRODUCT((Inputs!$E$5:$E$120=$B53)*ISNUMBER(INDEX(Inputs!$K$5:$AJ$120,0,MATCH(E$2,Inputs!$K$4:$AJ$4,0))))=0,NA(),SUMPRODUCT((Inputs!$A$5:$A$120=$B53)*Inputs!$B$5:$B$120*(((Inputs!$G$5:$G$120="moeda")+(Inputs!$G$5:$G$120="acoes"))*Inputs!$B$1+((Inputs!$G$5:$G$120&lt;&gt;"moeda")*(Inputs!$G$5:$G$120&lt;&gt;"acoes")))*INDEX(Inputs!$K$5:$AJ$120,0,MATCH(E$2,Inputs!$K$4:$AJ$4,0)))+SUMPRODUCT((Inputs!$C$5:$C$120=$B53)*Inputs!$D$5:$D$120*(((Inputs!$G$5:$G$120="moeda")+(Inputs!$G$5:$G$120="acoes"))*Inputs!$B$1+((Inputs!$G$5:$G$120&lt;&gt;"moeda")*(Inputs!$G$5:$G$120&lt;&gt;"acoes")))*INDEX(Inputs!$K$5:$AJ$120,0,MATCH(E$2,Inputs!$K$4:$AJ$4,0)))+SUMPRODUCT((Inputs!$E$5:$E$120=$B53)*Inputs!$F$5:$F$120*(((Inputs!$G$5:$G$120="moeda")+(Inputs!$G$5:$G$120="acoes"))*Inputs!$B$1+((Inputs!$G$5:$G$120&lt;&gt;"moeda")*(Inputs!$G$5:$G$120&lt;&gt;"acoes")))*INDEX(Inputs!$K$5:$AJ$120,0,MATCH(E$2,Inputs!$K$4:$AJ$4,0)))))</f>
        <v>778</v>
      </c>
      <c r="F53" s="513">
        <f>IF(ISNA(MATCH(F$2,Inputs!$K$4:$AJ$4,0)),NA(),IF(SUMPRODUCT((Inputs!$A$5:$A$120=$B53)*ISNUMBER(INDEX(Inputs!$K$5:$AJ$120,0,MATCH(F$2,Inputs!$K$4:$AJ$4,0))))+SUMPRODUCT((Inputs!$C$5:$C$120=$B53)*ISNUMBER(INDEX(Inputs!$K$5:$AJ$120,0,MATCH(F$2,Inputs!$K$4:$AJ$4,0))))+SUMPRODUCT((Inputs!$E$5:$E$120=$B53)*ISNUMBER(INDEX(Inputs!$K$5:$AJ$120,0,MATCH(F$2,Inputs!$K$4:$AJ$4,0))))=0,NA(),SUMPRODUCT((Inputs!$A$5:$A$120=$B53)*Inputs!$B$5:$B$120*(((Inputs!$G$5:$G$120="moeda")+(Inputs!$G$5:$G$120="acoes"))*Inputs!$B$1+((Inputs!$G$5:$G$120&lt;&gt;"moeda")*(Inputs!$G$5:$G$120&lt;&gt;"acoes")))*INDEX(Inputs!$K$5:$AJ$120,0,MATCH(F$2,Inputs!$K$4:$AJ$4,0)))+SUMPRODUCT((Inputs!$C$5:$C$120=$B53)*Inputs!$D$5:$D$120*(((Inputs!$G$5:$G$120="moeda")+(Inputs!$G$5:$G$120="acoes"))*Inputs!$B$1+((Inputs!$G$5:$G$120&lt;&gt;"moeda")*(Inputs!$G$5:$G$120&lt;&gt;"acoes")))*INDEX(Inputs!$K$5:$AJ$120,0,MATCH(F$2,Inputs!$K$4:$AJ$4,0)))+SUMPRODUCT((Inputs!$E$5:$E$120=$B53)*Inputs!$F$5:$F$120*(((Inputs!$G$5:$G$120="moeda")+(Inputs!$G$5:$G$120="acoes"))*Inputs!$B$1+((Inputs!$G$5:$G$120&lt;&gt;"moeda")*(Inputs!$G$5:$G$120&lt;&gt;"acoes")))*INDEX(Inputs!$K$5:$AJ$120,0,MATCH(F$2,Inputs!$K$4:$AJ$4,0)))))</f>
        <v>727</v>
      </c>
      <c r="G53" s="513">
        <f>IF(ISNA(MATCH(G$2,Inputs!$K$4:$AJ$4,0)),NA(),IF(SUMPRODUCT((Inputs!$A$5:$A$120=$B53)*ISNUMBER(INDEX(Inputs!$K$5:$AJ$120,0,MATCH(G$2,Inputs!$K$4:$AJ$4,0))))+SUMPRODUCT((Inputs!$C$5:$C$120=$B53)*ISNUMBER(INDEX(Inputs!$K$5:$AJ$120,0,MATCH(G$2,Inputs!$K$4:$AJ$4,0))))+SUMPRODUCT((Inputs!$E$5:$E$120=$B53)*ISNUMBER(INDEX(Inputs!$K$5:$AJ$120,0,MATCH(G$2,Inputs!$K$4:$AJ$4,0))))=0,NA(),SUMPRODUCT((Inputs!$A$5:$A$120=$B53)*Inputs!$B$5:$B$120*(((Inputs!$G$5:$G$120="moeda")+(Inputs!$G$5:$G$120="acoes"))*Inputs!$B$1+((Inputs!$G$5:$G$120&lt;&gt;"moeda")*(Inputs!$G$5:$G$120&lt;&gt;"acoes")))*INDEX(Inputs!$K$5:$AJ$120,0,MATCH(G$2,Inputs!$K$4:$AJ$4,0)))+SUMPRODUCT((Inputs!$C$5:$C$120=$B53)*Inputs!$D$5:$D$120*(((Inputs!$G$5:$G$120="moeda")+(Inputs!$G$5:$G$120="acoes"))*Inputs!$B$1+((Inputs!$G$5:$G$120&lt;&gt;"moeda")*(Inputs!$G$5:$G$120&lt;&gt;"acoes")))*INDEX(Inputs!$K$5:$AJ$120,0,MATCH(G$2,Inputs!$K$4:$AJ$4,0)))+SUMPRODUCT((Inputs!$E$5:$E$120=$B53)*Inputs!$F$5:$F$120*(((Inputs!$G$5:$G$120="moeda")+(Inputs!$G$5:$G$120="acoes"))*Inputs!$B$1+((Inputs!$G$5:$G$120&lt;&gt;"moeda")*(Inputs!$G$5:$G$120&lt;&gt;"acoes")))*INDEX(Inputs!$K$5:$AJ$120,0,MATCH(G$2,Inputs!$K$4:$AJ$4,0)))))</f>
        <v>737</v>
      </c>
      <c r="H53" s="514">
        <f>SUM(D53:G53)</f>
        <v>2810</v>
      </c>
      <c r="I53" s="513">
        <f>IF(ISNA(MATCH(I$2,Inputs!$K$4:$AJ$4,0)),NA(),IF(SUMPRODUCT((Inputs!$A$5:$A$120=$B53)*ISNUMBER(INDEX(Inputs!$K$5:$AJ$120,0,MATCH(I$2,Inputs!$K$4:$AJ$4,0))))+SUMPRODUCT((Inputs!$C$5:$C$120=$B53)*ISNUMBER(INDEX(Inputs!$K$5:$AJ$120,0,MATCH(I$2,Inputs!$K$4:$AJ$4,0))))+SUMPRODUCT((Inputs!$E$5:$E$120=$B53)*ISNUMBER(INDEX(Inputs!$K$5:$AJ$120,0,MATCH(I$2,Inputs!$K$4:$AJ$4,0))))=0,NA(),SUMPRODUCT((Inputs!$A$5:$A$120=$B53)*Inputs!$B$5:$B$120*(((Inputs!$G$5:$G$120="moeda")+(Inputs!$G$5:$G$120="acoes"))*Inputs!$B$1+((Inputs!$G$5:$G$120&lt;&gt;"moeda")*(Inputs!$G$5:$G$120&lt;&gt;"acoes")))*INDEX(Inputs!$K$5:$AJ$120,0,MATCH(I$2,Inputs!$K$4:$AJ$4,0)))+SUMPRODUCT((Inputs!$C$5:$C$120=$B53)*Inputs!$D$5:$D$120*(((Inputs!$G$5:$G$120="moeda")+(Inputs!$G$5:$G$120="acoes"))*Inputs!$B$1+((Inputs!$G$5:$G$120&lt;&gt;"moeda")*(Inputs!$G$5:$G$120&lt;&gt;"acoes")))*INDEX(Inputs!$K$5:$AJ$120,0,MATCH(I$2,Inputs!$K$4:$AJ$4,0)))+SUMPRODUCT((Inputs!$E$5:$E$120=$B53)*Inputs!$F$5:$F$120*(((Inputs!$G$5:$G$120="moeda")+(Inputs!$G$5:$G$120="acoes"))*Inputs!$B$1+((Inputs!$G$5:$G$120&lt;&gt;"moeda")*(Inputs!$G$5:$G$120&lt;&gt;"acoes")))*INDEX(Inputs!$K$5:$AJ$120,0,MATCH(I$2,Inputs!$K$4:$AJ$4,0)))))</f>
        <v>801</v>
      </c>
      <c r="J53" s="513">
        <f>IF(ISNA(MATCH(J$2,Inputs!$K$4:$AJ$4,0)),NA(),IF(SUMPRODUCT((Inputs!$A$5:$A$120=$B53)*ISNUMBER(INDEX(Inputs!$K$5:$AJ$120,0,MATCH(J$2,Inputs!$K$4:$AJ$4,0))))+SUMPRODUCT((Inputs!$C$5:$C$120=$B53)*ISNUMBER(INDEX(Inputs!$K$5:$AJ$120,0,MATCH(J$2,Inputs!$K$4:$AJ$4,0))))+SUMPRODUCT((Inputs!$E$5:$E$120=$B53)*ISNUMBER(INDEX(Inputs!$K$5:$AJ$120,0,MATCH(J$2,Inputs!$K$4:$AJ$4,0))))=0,NA(),SUMPRODUCT((Inputs!$A$5:$A$120=$B53)*Inputs!$B$5:$B$120*(((Inputs!$G$5:$G$120="moeda")+(Inputs!$G$5:$G$120="acoes"))*Inputs!$B$1+((Inputs!$G$5:$G$120&lt;&gt;"moeda")*(Inputs!$G$5:$G$120&lt;&gt;"acoes")))*INDEX(Inputs!$K$5:$AJ$120,0,MATCH(J$2,Inputs!$K$4:$AJ$4,0)))+SUMPRODUCT((Inputs!$C$5:$C$120=$B53)*Inputs!$D$5:$D$120*(((Inputs!$G$5:$G$120="moeda")+(Inputs!$G$5:$G$120="acoes"))*Inputs!$B$1+((Inputs!$G$5:$G$120&lt;&gt;"moeda")*(Inputs!$G$5:$G$120&lt;&gt;"acoes")))*INDEX(Inputs!$K$5:$AJ$120,0,MATCH(J$2,Inputs!$K$4:$AJ$4,0)))+SUMPRODUCT((Inputs!$E$5:$E$120=$B53)*Inputs!$F$5:$F$120*(((Inputs!$G$5:$G$120="moeda")+(Inputs!$G$5:$G$120="acoes"))*Inputs!$B$1+((Inputs!$G$5:$G$120&lt;&gt;"moeda")*(Inputs!$G$5:$G$120&lt;&gt;"acoes")))*INDEX(Inputs!$K$5:$AJ$120,0,MATCH(J$2,Inputs!$K$4:$AJ$4,0)))))</f>
        <v>747</v>
      </c>
      <c r="K53" s="513">
        <f>IF(ISNA(MATCH(K$2,Inputs!$K$4:$AJ$4,0)),NA(),IF(SUMPRODUCT((Inputs!$A$5:$A$120=$B53)*ISNUMBER(INDEX(Inputs!$K$5:$AJ$120,0,MATCH(K$2,Inputs!$K$4:$AJ$4,0))))+SUMPRODUCT((Inputs!$C$5:$C$120=$B53)*ISNUMBER(INDEX(Inputs!$K$5:$AJ$120,0,MATCH(K$2,Inputs!$K$4:$AJ$4,0))))+SUMPRODUCT((Inputs!$E$5:$E$120=$B53)*ISNUMBER(INDEX(Inputs!$K$5:$AJ$120,0,MATCH(K$2,Inputs!$K$4:$AJ$4,0))))=0,NA(),SUMPRODUCT((Inputs!$A$5:$A$120=$B53)*Inputs!$B$5:$B$120*(((Inputs!$G$5:$G$120="moeda")+(Inputs!$G$5:$G$120="acoes"))*Inputs!$B$1+((Inputs!$G$5:$G$120&lt;&gt;"moeda")*(Inputs!$G$5:$G$120&lt;&gt;"acoes")))*INDEX(Inputs!$K$5:$AJ$120,0,MATCH(K$2,Inputs!$K$4:$AJ$4,0)))+SUMPRODUCT((Inputs!$C$5:$C$120=$B53)*Inputs!$D$5:$D$120*(((Inputs!$G$5:$G$120="moeda")+(Inputs!$G$5:$G$120="acoes"))*Inputs!$B$1+((Inputs!$G$5:$G$120&lt;&gt;"moeda")*(Inputs!$G$5:$G$120&lt;&gt;"acoes")))*INDEX(Inputs!$K$5:$AJ$120,0,MATCH(K$2,Inputs!$K$4:$AJ$4,0)))+SUMPRODUCT((Inputs!$E$5:$E$120=$B53)*Inputs!$F$5:$F$120*(((Inputs!$G$5:$G$120="moeda")+(Inputs!$G$5:$G$120="acoes"))*Inputs!$B$1+((Inputs!$G$5:$G$120&lt;&gt;"moeda")*(Inputs!$G$5:$G$120&lt;&gt;"acoes")))*INDEX(Inputs!$K$5:$AJ$120,0,MATCH(K$2,Inputs!$K$4:$AJ$4,0)))))</f>
        <v>569</v>
      </c>
      <c r="L53" s="513">
        <f>IF(ISNA(MATCH(L$2,Inputs!$K$4:$AJ$4,0)),NA(),IF(SUMPRODUCT((Inputs!$A$5:$A$120=$B53)*ISNUMBER(INDEX(Inputs!$K$5:$AJ$120,0,MATCH(L$2,Inputs!$K$4:$AJ$4,0))))+SUMPRODUCT((Inputs!$C$5:$C$120=$B53)*ISNUMBER(INDEX(Inputs!$K$5:$AJ$120,0,MATCH(L$2,Inputs!$K$4:$AJ$4,0))))+SUMPRODUCT((Inputs!$E$5:$E$120=$B53)*ISNUMBER(INDEX(Inputs!$K$5:$AJ$120,0,MATCH(L$2,Inputs!$K$4:$AJ$4,0))))=0,NA(),SUMPRODUCT((Inputs!$A$5:$A$120=$B53)*Inputs!$B$5:$B$120*(((Inputs!$G$5:$G$120="moeda")+(Inputs!$G$5:$G$120="acoes"))*Inputs!$B$1+((Inputs!$G$5:$G$120&lt;&gt;"moeda")*(Inputs!$G$5:$G$120&lt;&gt;"acoes")))*INDEX(Inputs!$K$5:$AJ$120,0,MATCH(L$2,Inputs!$K$4:$AJ$4,0)))+SUMPRODUCT((Inputs!$C$5:$C$120=$B53)*Inputs!$D$5:$D$120*(((Inputs!$G$5:$G$120="moeda")+(Inputs!$G$5:$G$120="acoes"))*Inputs!$B$1+((Inputs!$G$5:$G$120&lt;&gt;"moeda")*(Inputs!$G$5:$G$120&lt;&gt;"acoes")))*INDEX(Inputs!$K$5:$AJ$120,0,MATCH(L$2,Inputs!$K$4:$AJ$4,0)))+SUMPRODUCT((Inputs!$E$5:$E$120=$B53)*Inputs!$F$5:$F$120*(((Inputs!$G$5:$G$120="moeda")+(Inputs!$G$5:$G$120="acoes"))*Inputs!$B$1+((Inputs!$G$5:$G$120&lt;&gt;"moeda")*(Inputs!$G$5:$G$120&lt;&gt;"acoes")))*INDEX(Inputs!$K$5:$AJ$120,0,MATCH(L$2,Inputs!$K$4:$AJ$4,0)))))</f>
        <v>572</v>
      </c>
      <c r="M53" s="514">
        <f>SUM(I53:L53)</f>
        <v>2689</v>
      </c>
      <c r="N53" s="513">
        <f>IF(ISNA(MATCH(N$2,Inputs!$K$4:$AJ$4,0)),NA(),IF(SUMPRODUCT((Inputs!$A$5:$A$120=$B53)*ISNUMBER(INDEX(Inputs!$K$5:$AJ$120,0,MATCH(N$2,Inputs!$K$4:$AJ$4,0))))+SUMPRODUCT((Inputs!$C$5:$C$120=$B53)*ISNUMBER(INDEX(Inputs!$K$5:$AJ$120,0,MATCH(N$2,Inputs!$K$4:$AJ$4,0))))+SUMPRODUCT((Inputs!$E$5:$E$120=$B53)*ISNUMBER(INDEX(Inputs!$K$5:$AJ$120,0,MATCH(N$2,Inputs!$K$4:$AJ$4,0))))=0,NA(),SUMPRODUCT((Inputs!$A$5:$A$120=$B53)*Inputs!$B$5:$B$120*(((Inputs!$G$5:$G$120="moeda")+(Inputs!$G$5:$G$120="acoes"))*Inputs!$B$1+((Inputs!$G$5:$G$120&lt;&gt;"moeda")*(Inputs!$G$5:$G$120&lt;&gt;"acoes")))*INDEX(Inputs!$K$5:$AJ$120,0,MATCH(N$2,Inputs!$K$4:$AJ$4,0)))+SUMPRODUCT((Inputs!$C$5:$C$120=$B53)*Inputs!$D$5:$D$120*(((Inputs!$G$5:$G$120="moeda")+(Inputs!$G$5:$G$120="acoes"))*Inputs!$B$1+((Inputs!$G$5:$G$120&lt;&gt;"moeda")*(Inputs!$G$5:$G$120&lt;&gt;"acoes")))*INDEX(Inputs!$K$5:$AJ$120,0,MATCH(N$2,Inputs!$K$4:$AJ$4,0)))+SUMPRODUCT((Inputs!$E$5:$E$120=$B53)*Inputs!$F$5:$F$120*(((Inputs!$G$5:$G$120="moeda")+(Inputs!$G$5:$G$120="acoes"))*Inputs!$B$1+((Inputs!$G$5:$G$120&lt;&gt;"moeda")*(Inputs!$G$5:$G$120&lt;&gt;"acoes")))*INDEX(Inputs!$K$5:$AJ$120,0,MATCH(N$2,Inputs!$K$4:$AJ$4,0)))))</f>
        <v>625</v>
      </c>
      <c r="O53" s="513">
        <f>IF(ISNA(MATCH(O$2,Inputs!$K$4:$AJ$4,0)),NA(),IF(SUMPRODUCT((Inputs!$A$5:$A$120=$B53)*ISNUMBER(INDEX(Inputs!$K$5:$AJ$120,0,MATCH(O$2,Inputs!$K$4:$AJ$4,0))))+SUMPRODUCT((Inputs!$C$5:$C$120=$B53)*ISNUMBER(INDEX(Inputs!$K$5:$AJ$120,0,MATCH(O$2,Inputs!$K$4:$AJ$4,0))))+SUMPRODUCT((Inputs!$E$5:$E$120=$B53)*ISNUMBER(INDEX(Inputs!$K$5:$AJ$120,0,MATCH(O$2,Inputs!$K$4:$AJ$4,0))))=0,NA(),SUMPRODUCT((Inputs!$A$5:$A$120=$B53)*Inputs!$B$5:$B$120*(((Inputs!$G$5:$G$120="moeda")+(Inputs!$G$5:$G$120="acoes"))*Inputs!$B$1+((Inputs!$G$5:$G$120&lt;&gt;"moeda")*(Inputs!$G$5:$G$120&lt;&gt;"acoes")))*INDEX(Inputs!$K$5:$AJ$120,0,MATCH(O$2,Inputs!$K$4:$AJ$4,0)))+SUMPRODUCT((Inputs!$C$5:$C$120=$B53)*Inputs!$D$5:$D$120*(((Inputs!$G$5:$G$120="moeda")+(Inputs!$G$5:$G$120="acoes"))*Inputs!$B$1+((Inputs!$G$5:$G$120&lt;&gt;"moeda")*(Inputs!$G$5:$G$120&lt;&gt;"acoes")))*INDEX(Inputs!$K$5:$AJ$120,0,MATCH(O$2,Inputs!$K$4:$AJ$4,0)))+SUMPRODUCT((Inputs!$E$5:$E$120=$B53)*Inputs!$F$5:$F$120*(((Inputs!$G$5:$G$120="moeda")+(Inputs!$G$5:$G$120="acoes"))*Inputs!$B$1+((Inputs!$G$5:$G$120&lt;&gt;"moeda")*(Inputs!$G$5:$G$120&lt;&gt;"acoes")))*INDEX(Inputs!$K$5:$AJ$120,0,MATCH(O$2,Inputs!$K$4:$AJ$4,0)))))</f>
        <v>596</v>
      </c>
      <c r="P53" s="513">
        <f>IF(ISNA(MATCH(P$2,Inputs!$K$4:$AJ$4,0)),NA(),IF(SUMPRODUCT((Inputs!$A$5:$A$120=$B53)*ISNUMBER(INDEX(Inputs!$K$5:$AJ$120,0,MATCH(P$2,Inputs!$K$4:$AJ$4,0))))+SUMPRODUCT((Inputs!$C$5:$C$120=$B53)*ISNUMBER(INDEX(Inputs!$K$5:$AJ$120,0,MATCH(P$2,Inputs!$K$4:$AJ$4,0))))+SUMPRODUCT((Inputs!$E$5:$E$120=$B53)*ISNUMBER(INDEX(Inputs!$K$5:$AJ$120,0,MATCH(P$2,Inputs!$K$4:$AJ$4,0))))=0,NA(),SUMPRODUCT((Inputs!$A$5:$A$120=$B53)*Inputs!$B$5:$B$120*(((Inputs!$G$5:$G$120="moeda")+(Inputs!$G$5:$G$120="acoes"))*Inputs!$B$1+((Inputs!$G$5:$G$120&lt;&gt;"moeda")*(Inputs!$G$5:$G$120&lt;&gt;"acoes")))*INDEX(Inputs!$K$5:$AJ$120,0,MATCH(P$2,Inputs!$K$4:$AJ$4,0)))+SUMPRODUCT((Inputs!$C$5:$C$120=$B53)*Inputs!$D$5:$D$120*(((Inputs!$G$5:$G$120="moeda")+(Inputs!$G$5:$G$120="acoes"))*Inputs!$B$1+((Inputs!$G$5:$G$120&lt;&gt;"moeda")*(Inputs!$G$5:$G$120&lt;&gt;"acoes")))*INDEX(Inputs!$K$5:$AJ$120,0,MATCH(P$2,Inputs!$K$4:$AJ$4,0)))+SUMPRODUCT((Inputs!$E$5:$E$120=$B53)*Inputs!$F$5:$F$120*(((Inputs!$G$5:$G$120="moeda")+(Inputs!$G$5:$G$120="acoes"))*Inputs!$B$1+((Inputs!$G$5:$G$120&lt;&gt;"moeda")*(Inputs!$G$5:$G$120&lt;&gt;"acoes")))*INDEX(Inputs!$K$5:$AJ$120,0,MATCH(P$2,Inputs!$K$4:$AJ$4,0)))))</f>
        <v>641</v>
      </c>
      <c r="Q53" s="513">
        <f>IF(ISNA(MATCH(Q$2,Inputs!$K$4:$AJ$4,0)),NA(),IF(SUMPRODUCT((Inputs!$A$5:$A$120=$B53)*ISNUMBER(INDEX(Inputs!$K$5:$AJ$120,0,MATCH(Q$2,Inputs!$K$4:$AJ$4,0))))+SUMPRODUCT((Inputs!$C$5:$C$120=$B53)*ISNUMBER(INDEX(Inputs!$K$5:$AJ$120,0,MATCH(Q$2,Inputs!$K$4:$AJ$4,0))))+SUMPRODUCT((Inputs!$E$5:$E$120=$B53)*ISNUMBER(INDEX(Inputs!$K$5:$AJ$120,0,MATCH(Q$2,Inputs!$K$4:$AJ$4,0))))=0,NA(),SUMPRODUCT((Inputs!$A$5:$A$120=$B53)*Inputs!$B$5:$B$120*(((Inputs!$G$5:$G$120="moeda")+(Inputs!$G$5:$G$120="acoes"))*Inputs!$B$1+((Inputs!$G$5:$G$120&lt;&gt;"moeda")*(Inputs!$G$5:$G$120&lt;&gt;"acoes")))*INDEX(Inputs!$K$5:$AJ$120,0,MATCH(Q$2,Inputs!$K$4:$AJ$4,0)))+SUMPRODUCT((Inputs!$C$5:$C$120=$B53)*Inputs!$D$5:$D$120*(((Inputs!$G$5:$G$120="moeda")+(Inputs!$G$5:$G$120="acoes"))*Inputs!$B$1+((Inputs!$G$5:$G$120&lt;&gt;"moeda")*(Inputs!$G$5:$G$120&lt;&gt;"acoes")))*INDEX(Inputs!$K$5:$AJ$120,0,MATCH(Q$2,Inputs!$K$4:$AJ$4,0)))+SUMPRODUCT((Inputs!$E$5:$E$120=$B53)*Inputs!$F$5:$F$120*(((Inputs!$G$5:$G$120="moeda")+(Inputs!$G$5:$G$120="acoes"))*Inputs!$B$1+((Inputs!$G$5:$G$120&lt;&gt;"moeda")*(Inputs!$G$5:$G$120&lt;&gt;"acoes")))*INDEX(Inputs!$K$5:$AJ$120,0,MATCH(Q$2,Inputs!$K$4:$AJ$4,0)))))</f>
        <v>557</v>
      </c>
      <c r="R53" s="514">
        <f>SUM(N53:Q53)</f>
        <v>2419</v>
      </c>
      <c r="S53" s="513">
        <f>IF(ISNA(MATCH(S$2,Inputs!$K$4:$AJ$4,0)),NA(),IF(SUMPRODUCT((Inputs!$A$5:$A$120=$B53)*ISNUMBER(INDEX(Inputs!$K$5:$AJ$120,0,MATCH(S$2,Inputs!$K$4:$AJ$4,0))))+SUMPRODUCT((Inputs!$C$5:$C$120=$B53)*ISNUMBER(INDEX(Inputs!$K$5:$AJ$120,0,MATCH(S$2,Inputs!$K$4:$AJ$4,0))))+SUMPRODUCT((Inputs!$E$5:$E$120=$B53)*ISNUMBER(INDEX(Inputs!$K$5:$AJ$120,0,MATCH(S$2,Inputs!$K$4:$AJ$4,0))))=0,NA(),SUMPRODUCT((Inputs!$A$5:$A$120=$B53)*Inputs!$B$5:$B$120*(((Inputs!$G$5:$G$120="moeda")+(Inputs!$G$5:$G$120="acoes"))*Inputs!$B$1+((Inputs!$G$5:$G$120&lt;&gt;"moeda")*(Inputs!$G$5:$G$120&lt;&gt;"acoes")))*INDEX(Inputs!$K$5:$AJ$120,0,MATCH(S$2,Inputs!$K$4:$AJ$4,0)))+SUMPRODUCT((Inputs!$C$5:$C$120=$B53)*Inputs!$D$5:$D$120*(((Inputs!$G$5:$G$120="moeda")+(Inputs!$G$5:$G$120="acoes"))*Inputs!$B$1+((Inputs!$G$5:$G$120&lt;&gt;"moeda")*(Inputs!$G$5:$G$120&lt;&gt;"acoes")))*INDEX(Inputs!$K$5:$AJ$120,0,MATCH(S$2,Inputs!$K$4:$AJ$4,0)))+SUMPRODUCT((Inputs!$E$5:$E$120=$B53)*Inputs!$F$5:$F$120*(((Inputs!$G$5:$G$120="moeda")+(Inputs!$G$5:$G$120="acoes"))*Inputs!$B$1+((Inputs!$G$5:$G$120&lt;&gt;"moeda")*(Inputs!$G$5:$G$120&lt;&gt;"acoes")))*INDEX(Inputs!$K$5:$AJ$120,0,MATCH(S$2,Inputs!$K$4:$AJ$4,0)))))</f>
        <v>577</v>
      </c>
      <c r="T53" s="513">
        <f>IF(ISNA(MATCH(T$2,Inputs!$K$4:$AJ$4,0)),NA(),IF(SUMPRODUCT((Inputs!$A$5:$A$120=$B53)*ISNUMBER(INDEX(Inputs!$K$5:$AJ$120,0,MATCH(T$2,Inputs!$K$4:$AJ$4,0))))+SUMPRODUCT((Inputs!$C$5:$C$120=$B53)*ISNUMBER(INDEX(Inputs!$K$5:$AJ$120,0,MATCH(T$2,Inputs!$K$4:$AJ$4,0))))+SUMPRODUCT((Inputs!$E$5:$E$120=$B53)*ISNUMBER(INDEX(Inputs!$K$5:$AJ$120,0,MATCH(T$2,Inputs!$K$4:$AJ$4,0))))=0,NA(),SUMPRODUCT((Inputs!$A$5:$A$120=$B53)*Inputs!$B$5:$B$120*(((Inputs!$G$5:$G$120="moeda")+(Inputs!$G$5:$G$120="acoes"))*Inputs!$B$1+((Inputs!$G$5:$G$120&lt;&gt;"moeda")*(Inputs!$G$5:$G$120&lt;&gt;"acoes")))*INDEX(Inputs!$K$5:$AJ$120,0,MATCH(T$2,Inputs!$K$4:$AJ$4,0)))+SUMPRODUCT((Inputs!$C$5:$C$120=$B53)*Inputs!$D$5:$D$120*(((Inputs!$G$5:$G$120="moeda")+(Inputs!$G$5:$G$120="acoes"))*Inputs!$B$1+((Inputs!$G$5:$G$120&lt;&gt;"moeda")*(Inputs!$G$5:$G$120&lt;&gt;"acoes")))*INDEX(Inputs!$K$5:$AJ$120,0,MATCH(T$2,Inputs!$K$4:$AJ$4,0)))+SUMPRODUCT((Inputs!$E$5:$E$120=$B53)*Inputs!$F$5:$F$120*(((Inputs!$G$5:$G$120="moeda")+(Inputs!$G$5:$G$120="acoes"))*Inputs!$B$1+((Inputs!$G$5:$G$120&lt;&gt;"moeda")*(Inputs!$G$5:$G$120&lt;&gt;"acoes")))*INDEX(Inputs!$K$5:$AJ$120,0,MATCH(T$2,Inputs!$K$4:$AJ$4,0)))))</f>
        <v>600</v>
      </c>
      <c r="U53" s="513">
        <f>IF(ISNA(MATCH(U$2,Inputs!$K$4:$AJ$4,0)),NA(),IF(SUMPRODUCT((Inputs!$A$5:$A$120=$B53)*ISNUMBER(INDEX(Inputs!$K$5:$AJ$120,0,MATCH(U$2,Inputs!$K$4:$AJ$4,0))))+SUMPRODUCT((Inputs!$C$5:$C$120=$B53)*ISNUMBER(INDEX(Inputs!$K$5:$AJ$120,0,MATCH(U$2,Inputs!$K$4:$AJ$4,0))))+SUMPRODUCT((Inputs!$E$5:$E$120=$B53)*ISNUMBER(INDEX(Inputs!$K$5:$AJ$120,0,MATCH(U$2,Inputs!$K$4:$AJ$4,0))))=0,NA(),SUMPRODUCT((Inputs!$A$5:$A$120=$B53)*Inputs!$B$5:$B$120*(((Inputs!$G$5:$G$120="moeda")+(Inputs!$G$5:$G$120="acoes"))*Inputs!$B$1+((Inputs!$G$5:$G$120&lt;&gt;"moeda")*(Inputs!$G$5:$G$120&lt;&gt;"acoes")))*INDEX(Inputs!$K$5:$AJ$120,0,MATCH(U$2,Inputs!$K$4:$AJ$4,0)))+SUMPRODUCT((Inputs!$C$5:$C$120=$B53)*Inputs!$D$5:$D$120*(((Inputs!$G$5:$G$120="moeda")+(Inputs!$G$5:$G$120="acoes"))*Inputs!$B$1+((Inputs!$G$5:$G$120&lt;&gt;"moeda")*(Inputs!$G$5:$G$120&lt;&gt;"acoes")))*INDEX(Inputs!$K$5:$AJ$120,0,MATCH(U$2,Inputs!$K$4:$AJ$4,0)))+SUMPRODUCT((Inputs!$E$5:$E$120=$B53)*Inputs!$F$5:$F$120*(((Inputs!$G$5:$G$120="moeda")+(Inputs!$G$5:$G$120="acoes"))*Inputs!$B$1+((Inputs!$G$5:$G$120&lt;&gt;"moeda")*(Inputs!$G$5:$G$120&lt;&gt;"acoes")))*INDEX(Inputs!$K$5:$AJ$120,0,MATCH(U$2,Inputs!$K$4:$AJ$4,0)))))</f>
        <v>593</v>
      </c>
      <c r="V53" s="513">
        <f>IF(ISNA(MATCH(V$2,Inputs!$K$4:$AJ$4,0)),NA(),IF(SUMPRODUCT((Inputs!$A$5:$A$120=$B53)*ISNUMBER(INDEX(Inputs!$K$5:$AJ$120,0,MATCH(V$2,Inputs!$K$4:$AJ$4,0))))+SUMPRODUCT((Inputs!$C$5:$C$120=$B53)*ISNUMBER(INDEX(Inputs!$K$5:$AJ$120,0,MATCH(V$2,Inputs!$K$4:$AJ$4,0))))+SUMPRODUCT((Inputs!$E$5:$E$120=$B53)*ISNUMBER(INDEX(Inputs!$K$5:$AJ$120,0,MATCH(V$2,Inputs!$K$4:$AJ$4,0))))=0,NA(),SUMPRODUCT((Inputs!$A$5:$A$120=$B53)*Inputs!$B$5:$B$120*(((Inputs!$G$5:$G$120="moeda")+(Inputs!$G$5:$G$120="acoes"))*Inputs!$B$1+((Inputs!$G$5:$G$120&lt;&gt;"moeda")*(Inputs!$G$5:$G$120&lt;&gt;"acoes")))*INDEX(Inputs!$K$5:$AJ$120,0,MATCH(V$2,Inputs!$K$4:$AJ$4,0)))+SUMPRODUCT((Inputs!$C$5:$C$120=$B53)*Inputs!$D$5:$D$120*(((Inputs!$G$5:$G$120="moeda")+(Inputs!$G$5:$G$120="acoes"))*Inputs!$B$1+((Inputs!$G$5:$G$120&lt;&gt;"moeda")*(Inputs!$G$5:$G$120&lt;&gt;"acoes")))*INDEX(Inputs!$K$5:$AJ$120,0,MATCH(V$2,Inputs!$K$4:$AJ$4,0)))+SUMPRODUCT((Inputs!$E$5:$E$120=$B53)*Inputs!$F$5:$F$120*(((Inputs!$G$5:$G$120="moeda")+(Inputs!$G$5:$G$120="acoes"))*Inputs!$B$1+((Inputs!$G$5:$G$120&lt;&gt;"moeda")*(Inputs!$G$5:$G$120&lt;&gt;"acoes")))*INDEX(Inputs!$K$5:$AJ$120,0,MATCH(V$2,Inputs!$K$4:$AJ$4,0)))))</f>
        <v>577</v>
      </c>
      <c r="W53" s="514">
        <f>SUM(S53:V53)</f>
        <v>2347</v>
      </c>
      <c r="X53" s="513">
        <f>IF(ISNA(MATCH(X$2,Inputs!$K$4:$AJ$4,0)),NA(),IF(SUMPRODUCT((Inputs!$A$5:$A$120=$B53)*ISNUMBER(INDEX(Inputs!$K$5:$AJ$120,0,MATCH(X$2,Inputs!$K$4:$AJ$4,0))))+SUMPRODUCT((Inputs!$C$5:$C$120=$B53)*ISNUMBER(INDEX(Inputs!$K$5:$AJ$120,0,MATCH(X$2,Inputs!$K$4:$AJ$4,0))))+SUMPRODUCT((Inputs!$E$5:$E$120=$B53)*ISNUMBER(INDEX(Inputs!$K$5:$AJ$120,0,MATCH(X$2,Inputs!$K$4:$AJ$4,0))))=0,NA(),SUMPRODUCT((Inputs!$A$5:$A$120=$B53)*Inputs!$B$5:$B$120*(((Inputs!$G$5:$G$120="moeda")+(Inputs!$G$5:$G$120="acoes"))*Inputs!$B$1+((Inputs!$G$5:$G$120&lt;&gt;"moeda")*(Inputs!$G$5:$G$120&lt;&gt;"acoes")))*INDEX(Inputs!$K$5:$AJ$120,0,MATCH(X$2,Inputs!$K$4:$AJ$4,0)))+SUMPRODUCT((Inputs!$C$5:$C$120=$B53)*Inputs!$D$5:$D$120*(((Inputs!$G$5:$G$120="moeda")+(Inputs!$G$5:$G$120="acoes"))*Inputs!$B$1+((Inputs!$G$5:$G$120&lt;&gt;"moeda")*(Inputs!$G$5:$G$120&lt;&gt;"acoes")))*INDEX(Inputs!$K$5:$AJ$120,0,MATCH(X$2,Inputs!$K$4:$AJ$4,0)))+SUMPRODUCT((Inputs!$E$5:$E$120=$B53)*Inputs!$F$5:$F$120*(((Inputs!$G$5:$G$120="moeda")+(Inputs!$G$5:$G$120="acoes"))*Inputs!$B$1+((Inputs!$G$5:$G$120&lt;&gt;"moeda")*(Inputs!$G$5:$G$120&lt;&gt;"acoes")))*INDEX(Inputs!$K$5:$AJ$120,0,MATCH(X$2,Inputs!$K$4:$AJ$4,0)))))</f>
        <v>577</v>
      </c>
      <c r="Y53" s="513">
        <f>IF(ISNA(MATCH(Y$2,Inputs!$K$4:$AJ$4,0)),NA(),IF(SUMPRODUCT((Inputs!$A$5:$A$120=$B53)*ISNUMBER(INDEX(Inputs!$K$5:$AJ$120,0,MATCH(Y$2,Inputs!$K$4:$AJ$4,0))))+SUMPRODUCT((Inputs!$C$5:$C$120=$B53)*ISNUMBER(INDEX(Inputs!$K$5:$AJ$120,0,MATCH(Y$2,Inputs!$K$4:$AJ$4,0))))+SUMPRODUCT((Inputs!$E$5:$E$120=$B53)*ISNUMBER(INDEX(Inputs!$K$5:$AJ$120,0,MATCH(Y$2,Inputs!$K$4:$AJ$4,0))))=0,NA(),SUMPRODUCT((Inputs!$A$5:$A$120=$B53)*Inputs!$B$5:$B$120*(((Inputs!$G$5:$G$120="moeda")+(Inputs!$G$5:$G$120="acoes"))*Inputs!$B$1+((Inputs!$G$5:$G$120&lt;&gt;"moeda")*(Inputs!$G$5:$G$120&lt;&gt;"acoes")))*INDEX(Inputs!$K$5:$AJ$120,0,MATCH(Y$2,Inputs!$K$4:$AJ$4,0)))+SUMPRODUCT((Inputs!$C$5:$C$120=$B53)*Inputs!$D$5:$D$120*(((Inputs!$G$5:$G$120="moeda")+(Inputs!$G$5:$G$120="acoes"))*Inputs!$B$1+((Inputs!$G$5:$G$120&lt;&gt;"moeda")*(Inputs!$G$5:$G$120&lt;&gt;"acoes")))*INDEX(Inputs!$K$5:$AJ$120,0,MATCH(Y$2,Inputs!$K$4:$AJ$4,0)))+SUMPRODUCT((Inputs!$E$5:$E$120=$B53)*Inputs!$F$5:$F$120*(((Inputs!$G$5:$G$120="moeda")+(Inputs!$G$5:$G$120="acoes"))*Inputs!$B$1+((Inputs!$G$5:$G$120&lt;&gt;"moeda")*(Inputs!$G$5:$G$120&lt;&gt;"acoes")))*INDEX(Inputs!$K$5:$AJ$120,0,MATCH(Y$2,Inputs!$K$4:$AJ$4,0)))))</f>
        <v>622</v>
      </c>
      <c r="Z53" s="513">
        <f>IF(ISNA(MATCH(Z$2,Inputs!$K$4:$AJ$4,0)),NA(),IF(SUMPRODUCT((Inputs!$A$5:$A$120=$B53)*ISNUMBER(INDEX(Inputs!$K$5:$AJ$120,0,MATCH(Z$2,Inputs!$K$4:$AJ$4,0))))+SUMPRODUCT((Inputs!$C$5:$C$120=$B53)*ISNUMBER(INDEX(Inputs!$K$5:$AJ$120,0,MATCH(Z$2,Inputs!$K$4:$AJ$4,0))))+SUMPRODUCT((Inputs!$E$5:$E$120=$B53)*ISNUMBER(INDEX(Inputs!$K$5:$AJ$120,0,MATCH(Z$2,Inputs!$K$4:$AJ$4,0))))=0,NA(),SUMPRODUCT((Inputs!$A$5:$A$120=$B53)*Inputs!$B$5:$B$120*(((Inputs!$G$5:$G$120="moeda")+(Inputs!$G$5:$G$120="acoes"))*Inputs!$B$1+((Inputs!$G$5:$G$120&lt;&gt;"moeda")*(Inputs!$G$5:$G$120&lt;&gt;"acoes")))*INDEX(Inputs!$K$5:$AJ$120,0,MATCH(Z$2,Inputs!$K$4:$AJ$4,0)))+SUMPRODUCT((Inputs!$C$5:$C$120=$B53)*Inputs!$D$5:$D$120*(((Inputs!$G$5:$G$120="moeda")+(Inputs!$G$5:$G$120="acoes"))*Inputs!$B$1+((Inputs!$G$5:$G$120&lt;&gt;"moeda")*(Inputs!$G$5:$G$120&lt;&gt;"acoes")))*INDEX(Inputs!$K$5:$AJ$120,0,MATCH(Z$2,Inputs!$K$4:$AJ$4,0)))+SUMPRODUCT((Inputs!$E$5:$E$120=$B53)*Inputs!$F$5:$F$120*(((Inputs!$G$5:$G$120="moeda")+(Inputs!$G$5:$G$120="acoes"))*Inputs!$B$1+((Inputs!$G$5:$G$120&lt;&gt;"moeda")*(Inputs!$G$5:$G$120&lt;&gt;"acoes")))*INDEX(Inputs!$K$5:$AJ$120,0,MATCH(Z$2,Inputs!$K$4:$AJ$4,0)))))</f>
        <v>699</v>
      </c>
      <c r="AA53" s="513">
        <f>IF(ISNA(MATCH(AA$2,Inputs!$K$4:$AJ$4,0)),NA(),IF(SUMPRODUCT((Inputs!$A$5:$A$120=$B53)*ISNUMBER(INDEX(Inputs!$K$5:$AJ$120,0,MATCH(AA$2,Inputs!$K$4:$AJ$4,0))))+SUMPRODUCT((Inputs!$C$5:$C$120=$B53)*ISNUMBER(INDEX(Inputs!$K$5:$AJ$120,0,MATCH(AA$2,Inputs!$K$4:$AJ$4,0))))+SUMPRODUCT((Inputs!$E$5:$E$120=$B53)*ISNUMBER(INDEX(Inputs!$K$5:$AJ$120,0,MATCH(AA$2,Inputs!$K$4:$AJ$4,0))))=0,NA(),SUMPRODUCT((Inputs!$A$5:$A$120=$B53)*Inputs!$B$5:$B$120*(((Inputs!$G$5:$G$120="moeda")+(Inputs!$G$5:$G$120="acoes"))*Inputs!$B$1+((Inputs!$G$5:$G$120&lt;&gt;"moeda")*(Inputs!$G$5:$G$120&lt;&gt;"acoes")))*INDEX(Inputs!$K$5:$AJ$120,0,MATCH(AA$2,Inputs!$K$4:$AJ$4,0)))+SUMPRODUCT((Inputs!$C$5:$C$120=$B53)*Inputs!$D$5:$D$120*(((Inputs!$G$5:$G$120="moeda")+(Inputs!$G$5:$G$120="acoes"))*Inputs!$B$1+((Inputs!$G$5:$G$120&lt;&gt;"moeda")*(Inputs!$G$5:$G$120&lt;&gt;"acoes")))*INDEX(Inputs!$K$5:$AJ$120,0,MATCH(AA$2,Inputs!$K$4:$AJ$4,0)))+SUMPRODUCT((Inputs!$E$5:$E$120=$B53)*Inputs!$F$5:$F$120*(((Inputs!$G$5:$G$120="moeda")+(Inputs!$G$5:$G$120="acoes"))*Inputs!$B$1+((Inputs!$G$5:$G$120&lt;&gt;"moeda")*(Inputs!$G$5:$G$120&lt;&gt;"acoes")))*INDEX(Inputs!$K$5:$AJ$120,0,MATCH(AA$2,Inputs!$K$4:$AJ$4,0)))))</f>
        <v>750</v>
      </c>
      <c r="AB53" s="514">
        <f>SUM(X53:AA53)</f>
        <v>2648</v>
      </c>
      <c r="AC53" s="513">
        <f>IF(ISNA(MATCH(AC$2,Inputs!$K$4:$AJ$4,0)),NA(),IF(SUMPRODUCT((Inputs!$A$5:$A$120=$B53)*ISNUMBER(INDEX(Inputs!$K$5:$AJ$120,0,MATCH(AC$2,Inputs!$K$4:$AJ$4,0))))+SUMPRODUCT((Inputs!$C$5:$C$120=$B53)*ISNUMBER(INDEX(Inputs!$K$5:$AJ$120,0,MATCH(AC$2,Inputs!$K$4:$AJ$4,0))))+SUMPRODUCT((Inputs!$E$5:$E$120=$B53)*ISNUMBER(INDEX(Inputs!$K$5:$AJ$120,0,MATCH(AC$2,Inputs!$K$4:$AJ$4,0))))=0,NA(),SUMPRODUCT((Inputs!$A$5:$A$120=$B53)*Inputs!$B$5:$B$120*(((Inputs!$G$5:$G$120="moeda")+(Inputs!$G$5:$G$120="acoes"))*Inputs!$B$1+((Inputs!$G$5:$G$120&lt;&gt;"moeda")*(Inputs!$G$5:$G$120&lt;&gt;"acoes")))*INDEX(Inputs!$K$5:$AJ$120,0,MATCH(AC$2,Inputs!$K$4:$AJ$4,0)))+SUMPRODUCT((Inputs!$C$5:$C$120=$B53)*Inputs!$D$5:$D$120*(((Inputs!$G$5:$G$120="moeda")+(Inputs!$G$5:$G$120="acoes"))*Inputs!$B$1+((Inputs!$G$5:$G$120&lt;&gt;"moeda")*(Inputs!$G$5:$G$120&lt;&gt;"acoes")))*INDEX(Inputs!$K$5:$AJ$120,0,MATCH(AC$2,Inputs!$K$4:$AJ$4,0)))+SUMPRODUCT((Inputs!$E$5:$E$120=$B53)*Inputs!$F$5:$F$120*(((Inputs!$G$5:$G$120="moeda")+(Inputs!$G$5:$G$120="acoes"))*Inputs!$B$1+((Inputs!$G$5:$G$120&lt;&gt;"moeda")*(Inputs!$G$5:$G$120&lt;&gt;"acoes")))*INDEX(Inputs!$K$5:$AJ$120,0,MATCH(AC$2,Inputs!$K$4:$AJ$4,0)))))</f>
        <v>776</v>
      </c>
      <c r="AD53" s="513">
        <f>IF(ISNA(MATCH(AD$2,Inputs!$K$4:$AJ$4,0)),NA(),IF(SUMPRODUCT((Inputs!$A$5:$A$120=$B53)*ISNUMBER(INDEX(Inputs!$K$5:$AJ$120,0,MATCH(AD$2,Inputs!$K$4:$AJ$4,0))))+SUMPRODUCT((Inputs!$C$5:$C$120=$B53)*ISNUMBER(INDEX(Inputs!$K$5:$AJ$120,0,MATCH(AD$2,Inputs!$K$4:$AJ$4,0))))+SUMPRODUCT((Inputs!$E$5:$E$120=$B53)*ISNUMBER(INDEX(Inputs!$K$5:$AJ$120,0,MATCH(AD$2,Inputs!$K$4:$AJ$4,0))))=0,NA(),SUMPRODUCT((Inputs!$A$5:$A$120=$B53)*Inputs!$B$5:$B$120*(((Inputs!$G$5:$G$120="moeda")+(Inputs!$G$5:$G$120="acoes"))*Inputs!$B$1+((Inputs!$G$5:$G$120&lt;&gt;"moeda")*(Inputs!$G$5:$G$120&lt;&gt;"acoes")))*INDEX(Inputs!$K$5:$AJ$120,0,MATCH(AD$2,Inputs!$K$4:$AJ$4,0)))+SUMPRODUCT((Inputs!$C$5:$C$120=$B53)*Inputs!$D$5:$D$120*(((Inputs!$G$5:$G$120="moeda")+(Inputs!$G$5:$G$120="acoes"))*Inputs!$B$1+((Inputs!$G$5:$G$120&lt;&gt;"moeda")*(Inputs!$G$5:$G$120&lt;&gt;"acoes")))*INDEX(Inputs!$K$5:$AJ$120,0,MATCH(AD$2,Inputs!$K$4:$AJ$4,0)))+SUMPRODUCT((Inputs!$E$5:$E$120=$B53)*Inputs!$F$5:$F$120*(((Inputs!$G$5:$G$120="moeda")+(Inputs!$G$5:$G$120="acoes"))*Inputs!$B$1+((Inputs!$G$5:$G$120&lt;&gt;"moeda")*(Inputs!$G$5:$G$120&lt;&gt;"acoes")))*INDEX(Inputs!$K$5:$AJ$120,0,MATCH(AD$2,Inputs!$K$4:$AJ$4,0)))))</f>
        <v>756</v>
      </c>
      <c r="AE53" s="513" t="e">
        <f>IF(ISNA(MATCH(AE$2,Inputs!$K$4:$AJ$4,0)),NA(),IF(SUMPRODUCT((Inputs!$A$5:$A$120=$B53)*ISNUMBER(INDEX(Inputs!$K$5:$AJ$120,0,MATCH(AE$2,Inputs!$K$4:$AJ$4,0))))+SUMPRODUCT((Inputs!$C$5:$C$120=$B53)*ISNUMBER(INDEX(Inputs!$K$5:$AJ$120,0,MATCH(AE$2,Inputs!$K$4:$AJ$4,0))))+SUMPRODUCT((Inputs!$E$5:$E$120=$B53)*ISNUMBER(INDEX(Inputs!$K$5:$AJ$120,0,MATCH(AE$2,Inputs!$K$4:$AJ$4,0))))=0,NA(),SUMPRODUCT((Inputs!$A$5:$A$120=$B53)*Inputs!$B$5:$B$120*(((Inputs!$G$5:$G$120="moeda")+(Inputs!$G$5:$G$120="acoes"))*Inputs!$B$1+((Inputs!$G$5:$G$120&lt;&gt;"moeda")*(Inputs!$G$5:$G$120&lt;&gt;"acoes")))*INDEX(Inputs!$K$5:$AJ$120,0,MATCH(AE$2,Inputs!$K$4:$AJ$4,0)))+SUMPRODUCT((Inputs!$C$5:$C$120=$B53)*Inputs!$D$5:$D$120*(((Inputs!$G$5:$G$120="moeda")+(Inputs!$G$5:$G$120="acoes"))*Inputs!$B$1+((Inputs!$G$5:$G$120&lt;&gt;"moeda")*(Inputs!$G$5:$G$120&lt;&gt;"acoes")))*INDEX(Inputs!$K$5:$AJ$120,0,MATCH(AE$2,Inputs!$K$4:$AJ$4,0)))+SUMPRODUCT((Inputs!$E$5:$E$120=$B53)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3" s="513" t="e">
        <f>IF(ISNA(MATCH(AF$2,Inputs!$K$4:$AJ$4,0)),NA(),IF(SUMPRODUCT((Inputs!$A$5:$A$120=$B53)*ISNUMBER(INDEX(Inputs!$K$5:$AJ$120,0,MATCH(AF$2,Inputs!$K$4:$AJ$4,0))))+SUMPRODUCT((Inputs!$C$5:$C$120=$B53)*ISNUMBER(INDEX(Inputs!$K$5:$AJ$120,0,MATCH(AF$2,Inputs!$K$4:$AJ$4,0))))+SUMPRODUCT((Inputs!$E$5:$E$120=$B53)*ISNUMBER(INDEX(Inputs!$K$5:$AJ$120,0,MATCH(AF$2,Inputs!$K$4:$AJ$4,0))))=0,NA(),SUMPRODUCT((Inputs!$A$5:$A$120=$B53)*Inputs!$B$5:$B$120*(((Inputs!$G$5:$G$120="moeda")+(Inputs!$G$5:$G$120="acoes"))*Inputs!$B$1+((Inputs!$G$5:$G$120&lt;&gt;"moeda")*(Inputs!$G$5:$G$120&lt;&gt;"acoes")))*INDEX(Inputs!$K$5:$AJ$120,0,MATCH(AF$2,Inputs!$K$4:$AJ$4,0)))+SUMPRODUCT((Inputs!$C$5:$C$120=$B53)*Inputs!$D$5:$D$120*(((Inputs!$G$5:$G$120="moeda")+(Inputs!$G$5:$G$120="acoes"))*Inputs!$B$1+((Inputs!$G$5:$G$120&lt;&gt;"moeda")*(Inputs!$G$5:$G$120&lt;&gt;"acoes")))*INDEX(Inputs!$K$5:$AJ$120,0,MATCH(AF$2,Inputs!$K$4:$AJ$4,0)))+SUMPRODUCT((Inputs!$E$5:$E$120=$B53)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3" s="514" t="e">
        <f>SUM(AC53:AF53)</f>
        <v>#N/A</v>
      </c>
      <c r="AH53" s="513">
        <f>IF(ISNA(MATCH(AH$2,Inputs!$K$4:$AJ$4,0)),NA(),IF(SUMPRODUCT((Inputs!$A$5:$A$120=$B53)*ISNUMBER(INDEX(Inputs!$K$5:$AJ$120,0,MATCH(AH$2,Inputs!$K$4:$AJ$4,0))))+SUMPRODUCT((Inputs!$C$5:$C$120=$B53)*ISNUMBER(INDEX(Inputs!$K$5:$AJ$120,0,MATCH(AH$2,Inputs!$K$4:$AJ$4,0))))+SUMPRODUCT((Inputs!$E$5:$E$120=$B53)*ISNUMBER(INDEX(Inputs!$K$5:$AJ$120,0,MATCH(AH$2,Inputs!$K$4:$AJ$4,0))))=0,NA(),SUMPRODUCT((Inputs!$A$5:$A$120=$B53)*Inputs!$B$5:$B$120*(((Inputs!$G$5:$G$120="moeda")+(Inputs!$G$5:$G$120="acoes"))*Inputs!$B$1+((Inputs!$G$5:$G$120&lt;&gt;"moeda")*(Inputs!$G$5:$G$120&lt;&gt;"acoes")))*INDEX(Inputs!$K$5:$AJ$120,0,MATCH(AH$2,Inputs!$K$4:$AJ$4,0)))+SUMPRODUCT((Inputs!$C$5:$C$120=$B53)*Inputs!$D$5:$D$120*(((Inputs!$G$5:$G$120="moeda")+(Inputs!$G$5:$G$120="acoes"))*Inputs!$B$1+((Inputs!$G$5:$G$120&lt;&gt;"moeda")*(Inputs!$G$5:$G$120&lt;&gt;"acoes")))*INDEX(Inputs!$K$5:$AJ$120,0,MATCH(AH$2,Inputs!$K$4:$AJ$4,0)))+SUMPRODUCT((Inputs!$E$5:$E$120=$B53)*Inputs!$F$5:$F$120*(((Inputs!$G$5:$G$120="moeda")+(Inputs!$G$5:$G$120="acoes"))*Inputs!$B$1+((Inputs!$G$5:$G$120&lt;&gt;"moeda")*(Inputs!$G$5:$G$120&lt;&gt;"acoes")))*INDEX(Inputs!$K$5:$AJ$120,0,MATCH(AH$2,Inputs!$K$4:$AJ$4,0)))))</f>
        <v>444</v>
      </c>
      <c r="AI53" s="513">
        <f>IF(ISNA(MATCH(AI$2,Inputs!$K$4:$AJ$4,0)),NA(),IF(SUMPRODUCT((Inputs!$A$5:$A$120=$B53)*ISNUMBER(INDEX(Inputs!$K$5:$AJ$120,0,MATCH(AI$2,Inputs!$K$4:$AJ$4,0))))+SUMPRODUCT((Inputs!$C$5:$C$120=$B53)*ISNUMBER(INDEX(Inputs!$K$5:$AJ$120,0,MATCH(AI$2,Inputs!$K$4:$AJ$4,0))))+SUMPRODUCT((Inputs!$E$5:$E$120=$B53)*ISNUMBER(INDEX(Inputs!$K$5:$AJ$120,0,MATCH(AI$2,Inputs!$K$4:$AJ$4,0))))=0,NA(),SUMPRODUCT((Inputs!$A$5:$A$120=$B53)*Inputs!$B$5:$B$120*(((Inputs!$G$5:$G$120="moeda")+(Inputs!$G$5:$G$120="acoes"))*Inputs!$B$1+((Inputs!$G$5:$G$120&lt;&gt;"moeda")*(Inputs!$G$5:$G$120&lt;&gt;"acoes")))*INDEX(Inputs!$K$5:$AJ$120,0,MATCH(AI$2,Inputs!$K$4:$AJ$4,0)))+SUMPRODUCT((Inputs!$C$5:$C$120=$B53)*Inputs!$D$5:$D$120*(((Inputs!$G$5:$G$120="moeda")+(Inputs!$G$5:$G$120="acoes"))*Inputs!$B$1+((Inputs!$G$5:$G$120&lt;&gt;"moeda")*(Inputs!$G$5:$G$120&lt;&gt;"acoes")))*INDEX(Inputs!$K$5:$AJ$120,0,MATCH(AI$2,Inputs!$K$4:$AJ$4,0)))+SUMPRODUCT((Inputs!$E$5:$E$120=$B53)*Inputs!$F$5:$F$120*(((Inputs!$G$5:$G$120="moeda")+(Inputs!$G$5:$G$120="acoes"))*Inputs!$B$1+((Inputs!$G$5:$G$120&lt;&gt;"moeda")*(Inputs!$G$5:$G$120&lt;&gt;"acoes")))*INDEX(Inputs!$K$5:$AJ$120,0,MATCH(AI$2,Inputs!$K$4:$AJ$4,0)))))</f>
        <v>467</v>
      </c>
      <c r="AJ53" s="513">
        <f>IF(ISNA(MATCH(AJ$2,Inputs!$K$4:$AJ$4,0)),NA(),IF(SUMPRODUCT((Inputs!$A$5:$A$120=$B53)*ISNUMBER(INDEX(Inputs!$K$5:$AJ$120,0,MATCH(AJ$2,Inputs!$K$4:$AJ$4,0))))+SUMPRODUCT((Inputs!$C$5:$C$120=$B53)*ISNUMBER(INDEX(Inputs!$K$5:$AJ$120,0,MATCH(AJ$2,Inputs!$K$4:$AJ$4,0))))+SUMPRODUCT((Inputs!$E$5:$E$120=$B53)*ISNUMBER(INDEX(Inputs!$K$5:$AJ$120,0,MATCH(AJ$2,Inputs!$K$4:$AJ$4,0))))=0,NA(),SUMPRODUCT((Inputs!$A$5:$A$120=$B53)*Inputs!$B$5:$B$120*(((Inputs!$G$5:$G$120="moeda")+(Inputs!$G$5:$G$120="acoes"))*Inputs!$B$1+((Inputs!$G$5:$G$120&lt;&gt;"moeda")*(Inputs!$G$5:$G$120&lt;&gt;"acoes")))*INDEX(Inputs!$K$5:$AJ$120,0,MATCH(AJ$2,Inputs!$K$4:$AJ$4,0)))+SUMPRODUCT((Inputs!$C$5:$C$120=$B53)*Inputs!$D$5:$D$120*(((Inputs!$G$5:$G$120="moeda")+(Inputs!$G$5:$G$120="acoes"))*Inputs!$B$1+((Inputs!$G$5:$G$120&lt;&gt;"moeda")*(Inputs!$G$5:$G$120&lt;&gt;"acoes")))*INDEX(Inputs!$K$5:$AJ$120,0,MATCH(AJ$2,Inputs!$K$4:$AJ$4,0)))+SUMPRODUCT((Inputs!$E$5:$E$120=$B53)*Inputs!$F$5:$F$120*(((Inputs!$G$5:$G$120="moeda")+(Inputs!$G$5:$G$120="acoes"))*Inputs!$B$1+((Inputs!$G$5:$G$120&lt;&gt;"moeda")*(Inputs!$G$5:$G$120&lt;&gt;"acoes")))*INDEX(Inputs!$K$5:$AJ$120,0,MATCH(AJ$2,Inputs!$K$4:$AJ$4,0)))))</f>
        <v>588</v>
      </c>
      <c r="AK53" s="513">
        <f>IF(ISNA(MATCH(AK$2,Inputs!$K$4:$AJ$4,0)),NA(),IF(SUMPRODUCT((Inputs!$A$5:$A$120=$B53)*ISNUMBER(INDEX(Inputs!$K$5:$AJ$120,0,MATCH(AK$2,Inputs!$K$4:$AJ$4,0))))+SUMPRODUCT((Inputs!$C$5:$C$120=$B53)*ISNUMBER(INDEX(Inputs!$K$5:$AJ$120,0,MATCH(AK$2,Inputs!$K$4:$AJ$4,0))))+SUMPRODUCT((Inputs!$E$5:$E$120=$B53)*ISNUMBER(INDEX(Inputs!$K$5:$AJ$120,0,MATCH(AK$2,Inputs!$K$4:$AJ$4,0))))=0,NA(),SUMPRODUCT((Inputs!$A$5:$A$120=$B53)*Inputs!$B$5:$B$120*(((Inputs!$G$5:$G$120="moeda")+(Inputs!$G$5:$G$120="acoes"))*Inputs!$B$1+((Inputs!$G$5:$G$120&lt;&gt;"moeda")*(Inputs!$G$5:$G$120&lt;&gt;"acoes")))*INDEX(Inputs!$K$5:$AJ$120,0,MATCH(AK$2,Inputs!$K$4:$AJ$4,0)))+SUMPRODUCT((Inputs!$C$5:$C$120=$B53)*Inputs!$D$5:$D$120*(((Inputs!$G$5:$G$120="moeda")+(Inputs!$G$5:$G$120="acoes"))*Inputs!$B$1+((Inputs!$G$5:$G$120&lt;&gt;"moeda")*(Inputs!$G$5:$G$120&lt;&gt;"acoes")))*INDEX(Inputs!$K$5:$AJ$120,0,MATCH(AK$2,Inputs!$K$4:$AJ$4,0)))+SUMPRODUCT((Inputs!$E$5:$E$120=$B53)*Inputs!$F$5:$F$120*(((Inputs!$G$5:$G$120="moeda")+(Inputs!$G$5:$G$120="acoes"))*Inputs!$B$1+((Inputs!$G$5:$G$120&lt;&gt;"moeda")*(Inputs!$G$5:$G$120&lt;&gt;"acoes")))*INDEX(Inputs!$K$5:$AJ$120,0,MATCH(AK$2,Inputs!$K$4:$AJ$4,0)))))</f>
        <v>545</v>
      </c>
      <c r="AL53" s="514">
        <f>SUM(AH53:AK53)</f>
        <v>2044</v>
      </c>
    </row>
    <row r="54">
      <c r="B54" s="265" t="n">
        <v>46</v>
      </c>
      <c r="C54" s="266" t="inlineStr">
        <is>
          <t>Morenci - lucro do segmento (USD)</t>
        </is>
      </c>
      <c r="D54" s="513">
        <f>IF(ISNA(MATCH(D$2,Inputs!$K$4:$AJ$4,0)),NA(),IF(SUMPRODUCT((Inputs!$A$5:$A$120=$B54)*ISNUMBER(INDEX(Inputs!$K$5:$AJ$120,0,MATCH(D$2,Inputs!$K$4:$AJ$4,0))))+SUMPRODUCT((Inputs!$C$5:$C$120=$B54)*ISNUMBER(INDEX(Inputs!$K$5:$AJ$120,0,MATCH(D$2,Inputs!$K$4:$AJ$4,0))))+SUMPRODUCT((Inputs!$E$5:$E$120=$B54)*ISNUMBER(INDEX(Inputs!$K$5:$AJ$120,0,MATCH(D$2,Inputs!$K$4:$AJ$4,0))))=0,NA(),SUMPRODUCT((Inputs!$A$5:$A$120=$B54)*Inputs!$B$5:$B$120*(((Inputs!$G$5:$G$120="moeda")+(Inputs!$G$5:$G$120="acoes"))*Inputs!$B$1+((Inputs!$G$5:$G$120&lt;&gt;"moeda")*(Inputs!$G$5:$G$120&lt;&gt;"acoes")))*INDEX(Inputs!$K$5:$AJ$120,0,MATCH(D$2,Inputs!$K$4:$AJ$4,0)))+SUMPRODUCT((Inputs!$C$5:$C$120=$B54)*Inputs!$D$5:$D$120*(((Inputs!$G$5:$G$120="moeda")+(Inputs!$G$5:$G$120="acoes"))*Inputs!$B$1+((Inputs!$G$5:$G$120&lt;&gt;"moeda")*(Inputs!$G$5:$G$120&lt;&gt;"acoes")))*INDEX(Inputs!$K$5:$AJ$120,0,MATCH(D$2,Inputs!$K$4:$AJ$4,0)))+SUMPRODUCT((Inputs!$E$5:$E$120=$B54)*Inputs!$F$5:$F$120*(((Inputs!$G$5:$G$120="moeda")+(Inputs!$G$5:$G$120="acoes"))*Inputs!$B$1+((Inputs!$G$5:$G$120&lt;&gt;"moeda")*(Inputs!$G$5:$G$120&lt;&gt;"acoes")))*INDEX(Inputs!$K$5:$AJ$120,0,MATCH(D$2,Inputs!$K$4:$AJ$4,0)))))</f>
        <v>265</v>
      </c>
      <c r="E54" s="513">
        <f>IF(ISNA(MATCH(E$2,Inputs!$K$4:$AJ$4,0)),NA(),IF(SUMPRODUCT((Inputs!$A$5:$A$120=$B54)*ISNUMBER(INDEX(Inputs!$K$5:$AJ$120,0,MATCH(E$2,Inputs!$K$4:$AJ$4,0))))+SUMPRODUCT((Inputs!$C$5:$C$120=$B54)*ISNUMBER(INDEX(Inputs!$K$5:$AJ$120,0,MATCH(E$2,Inputs!$K$4:$AJ$4,0))))+SUMPRODUCT((Inputs!$E$5:$E$120=$B54)*ISNUMBER(INDEX(Inputs!$K$5:$AJ$120,0,MATCH(E$2,Inputs!$K$4:$AJ$4,0))))=0,NA(),SUMPRODUCT((Inputs!$A$5:$A$120=$B54)*Inputs!$B$5:$B$120*(((Inputs!$G$5:$G$120="moeda")+(Inputs!$G$5:$G$120="acoes"))*Inputs!$B$1+((Inputs!$G$5:$G$120&lt;&gt;"moeda")*(Inputs!$G$5:$G$120&lt;&gt;"acoes")))*INDEX(Inputs!$K$5:$AJ$120,0,MATCH(E$2,Inputs!$K$4:$AJ$4,0)))+SUMPRODUCT((Inputs!$C$5:$C$120=$B54)*Inputs!$D$5:$D$120*(((Inputs!$G$5:$G$120="moeda")+(Inputs!$G$5:$G$120="acoes"))*Inputs!$B$1+((Inputs!$G$5:$G$120&lt;&gt;"moeda")*(Inputs!$G$5:$G$120&lt;&gt;"acoes")))*INDEX(Inputs!$K$5:$AJ$120,0,MATCH(E$2,Inputs!$K$4:$AJ$4,0)))+SUMPRODUCT((Inputs!$E$5:$E$120=$B54)*Inputs!$F$5:$F$120*(((Inputs!$G$5:$G$120="moeda")+(Inputs!$G$5:$G$120="acoes"))*Inputs!$B$1+((Inputs!$G$5:$G$120&lt;&gt;"moeda")*(Inputs!$G$5:$G$120&lt;&gt;"acoes")))*INDEX(Inputs!$K$5:$AJ$120,0,MATCH(E$2,Inputs!$K$4:$AJ$4,0)))))</f>
        <v>385</v>
      </c>
      <c r="F54" s="513">
        <f>IF(ISNA(MATCH(F$2,Inputs!$K$4:$AJ$4,0)),NA(),IF(SUMPRODUCT((Inputs!$A$5:$A$120=$B54)*ISNUMBER(INDEX(Inputs!$K$5:$AJ$120,0,MATCH(F$2,Inputs!$K$4:$AJ$4,0))))+SUMPRODUCT((Inputs!$C$5:$C$120=$B54)*ISNUMBER(INDEX(Inputs!$K$5:$AJ$120,0,MATCH(F$2,Inputs!$K$4:$AJ$4,0))))+SUMPRODUCT((Inputs!$E$5:$E$120=$B54)*ISNUMBER(INDEX(Inputs!$K$5:$AJ$120,0,MATCH(F$2,Inputs!$K$4:$AJ$4,0))))=0,NA(),SUMPRODUCT((Inputs!$A$5:$A$120=$B54)*Inputs!$B$5:$B$120*(((Inputs!$G$5:$G$120="moeda")+(Inputs!$G$5:$G$120="acoes"))*Inputs!$B$1+((Inputs!$G$5:$G$120&lt;&gt;"moeda")*(Inputs!$G$5:$G$120&lt;&gt;"acoes")))*INDEX(Inputs!$K$5:$AJ$120,0,MATCH(F$2,Inputs!$K$4:$AJ$4,0)))+SUMPRODUCT((Inputs!$C$5:$C$120=$B54)*Inputs!$D$5:$D$120*(((Inputs!$G$5:$G$120="moeda")+(Inputs!$G$5:$G$120="acoes"))*Inputs!$B$1+((Inputs!$G$5:$G$120&lt;&gt;"moeda")*(Inputs!$G$5:$G$120&lt;&gt;"acoes")))*INDEX(Inputs!$K$5:$AJ$120,0,MATCH(F$2,Inputs!$K$4:$AJ$4,0)))+SUMPRODUCT((Inputs!$E$5:$E$120=$B54)*Inputs!$F$5:$F$120*(((Inputs!$G$5:$G$120="moeda")+(Inputs!$G$5:$G$120="acoes"))*Inputs!$B$1+((Inputs!$G$5:$G$120&lt;&gt;"moeda")*(Inputs!$G$5:$G$120&lt;&gt;"acoes")))*INDEX(Inputs!$K$5:$AJ$120,0,MATCH(F$2,Inputs!$K$4:$AJ$4,0)))))</f>
        <v>363</v>
      </c>
      <c r="G54" s="513">
        <f>IF(ISNA(MATCH(G$2,Inputs!$K$4:$AJ$4,0)),NA(),IF(SUMPRODUCT((Inputs!$A$5:$A$120=$B54)*ISNUMBER(INDEX(Inputs!$K$5:$AJ$120,0,MATCH(G$2,Inputs!$K$4:$AJ$4,0))))+SUMPRODUCT((Inputs!$C$5:$C$120=$B54)*ISNUMBER(INDEX(Inputs!$K$5:$AJ$120,0,MATCH(G$2,Inputs!$K$4:$AJ$4,0))))+SUMPRODUCT((Inputs!$E$5:$E$120=$B54)*ISNUMBER(INDEX(Inputs!$K$5:$AJ$120,0,MATCH(G$2,Inputs!$K$4:$AJ$4,0))))=0,NA(),SUMPRODUCT((Inputs!$A$5:$A$120=$B54)*Inputs!$B$5:$B$120*(((Inputs!$G$5:$G$120="moeda")+(Inputs!$G$5:$G$120="acoes"))*Inputs!$B$1+((Inputs!$G$5:$G$120&lt;&gt;"moeda")*(Inputs!$G$5:$G$120&lt;&gt;"acoes")))*INDEX(Inputs!$K$5:$AJ$120,0,MATCH(G$2,Inputs!$K$4:$AJ$4,0)))+SUMPRODUCT((Inputs!$C$5:$C$120=$B54)*Inputs!$D$5:$D$120*(((Inputs!$G$5:$G$120="moeda")+(Inputs!$G$5:$G$120="acoes"))*Inputs!$B$1+((Inputs!$G$5:$G$120&lt;&gt;"moeda")*(Inputs!$G$5:$G$120&lt;&gt;"acoes")))*INDEX(Inputs!$K$5:$AJ$120,0,MATCH(G$2,Inputs!$K$4:$AJ$4,0)))+SUMPRODUCT((Inputs!$E$5:$E$120=$B54)*Inputs!$F$5:$F$120*(((Inputs!$G$5:$G$120="moeda")+(Inputs!$G$5:$G$120="acoes"))*Inputs!$B$1+((Inputs!$G$5:$G$120&lt;&gt;"moeda")*(Inputs!$G$5:$G$120&lt;&gt;"acoes")))*INDEX(Inputs!$K$5:$AJ$120,0,MATCH(G$2,Inputs!$K$4:$AJ$4,0)))))</f>
        <v>404</v>
      </c>
      <c r="H54" s="514">
        <f>SUM(D54:G54)</f>
        <v>1417</v>
      </c>
      <c r="I54" s="513">
        <f>IF(ISNA(MATCH(I$2,Inputs!$K$4:$AJ$4,0)),NA(),IF(SUMPRODUCT((Inputs!$A$5:$A$120=$B54)*ISNUMBER(INDEX(Inputs!$K$5:$AJ$120,0,MATCH(I$2,Inputs!$K$4:$AJ$4,0))))+SUMPRODUCT((Inputs!$C$5:$C$120=$B54)*ISNUMBER(INDEX(Inputs!$K$5:$AJ$120,0,MATCH(I$2,Inputs!$K$4:$AJ$4,0))))+SUMPRODUCT((Inputs!$E$5:$E$120=$B54)*ISNUMBER(INDEX(Inputs!$K$5:$AJ$120,0,MATCH(I$2,Inputs!$K$4:$AJ$4,0))))=0,NA(),SUMPRODUCT((Inputs!$A$5:$A$120=$B54)*Inputs!$B$5:$B$120*(((Inputs!$G$5:$G$120="moeda")+(Inputs!$G$5:$G$120="acoes"))*Inputs!$B$1+((Inputs!$G$5:$G$120&lt;&gt;"moeda")*(Inputs!$G$5:$G$120&lt;&gt;"acoes")))*INDEX(Inputs!$K$5:$AJ$120,0,MATCH(I$2,Inputs!$K$4:$AJ$4,0)))+SUMPRODUCT((Inputs!$C$5:$C$120=$B54)*Inputs!$D$5:$D$120*(((Inputs!$G$5:$G$120="moeda")+(Inputs!$G$5:$G$120="acoes"))*Inputs!$B$1+((Inputs!$G$5:$G$120&lt;&gt;"moeda")*(Inputs!$G$5:$G$120&lt;&gt;"acoes")))*INDEX(Inputs!$K$5:$AJ$120,0,MATCH(I$2,Inputs!$K$4:$AJ$4,0)))+SUMPRODUCT((Inputs!$E$5:$E$120=$B54)*Inputs!$F$5:$F$120*(((Inputs!$G$5:$G$120="moeda")+(Inputs!$G$5:$G$120="acoes"))*Inputs!$B$1+((Inputs!$G$5:$G$120&lt;&gt;"moeda")*(Inputs!$G$5:$G$120&lt;&gt;"acoes")))*INDEX(Inputs!$K$5:$AJ$120,0,MATCH(I$2,Inputs!$K$4:$AJ$4,0)))))</f>
        <v>394</v>
      </c>
      <c r="J54" s="513">
        <f>IF(ISNA(MATCH(J$2,Inputs!$K$4:$AJ$4,0)),NA(),IF(SUMPRODUCT((Inputs!$A$5:$A$120=$B54)*ISNUMBER(INDEX(Inputs!$K$5:$AJ$120,0,MATCH(J$2,Inputs!$K$4:$AJ$4,0))))+SUMPRODUCT((Inputs!$C$5:$C$120=$B54)*ISNUMBER(INDEX(Inputs!$K$5:$AJ$120,0,MATCH(J$2,Inputs!$K$4:$AJ$4,0))))+SUMPRODUCT((Inputs!$E$5:$E$120=$B54)*ISNUMBER(INDEX(Inputs!$K$5:$AJ$120,0,MATCH(J$2,Inputs!$K$4:$AJ$4,0))))=0,NA(),SUMPRODUCT((Inputs!$A$5:$A$120=$B54)*Inputs!$B$5:$B$120*(((Inputs!$G$5:$G$120="moeda")+(Inputs!$G$5:$G$120="acoes"))*Inputs!$B$1+((Inputs!$G$5:$G$120&lt;&gt;"moeda")*(Inputs!$G$5:$G$120&lt;&gt;"acoes")))*INDEX(Inputs!$K$5:$AJ$120,0,MATCH(J$2,Inputs!$K$4:$AJ$4,0)))+SUMPRODUCT((Inputs!$C$5:$C$120=$B54)*Inputs!$D$5:$D$120*(((Inputs!$G$5:$G$120="moeda")+(Inputs!$G$5:$G$120="acoes"))*Inputs!$B$1+((Inputs!$G$5:$G$120&lt;&gt;"moeda")*(Inputs!$G$5:$G$120&lt;&gt;"acoes")))*INDEX(Inputs!$K$5:$AJ$120,0,MATCH(J$2,Inputs!$K$4:$AJ$4,0)))+SUMPRODUCT((Inputs!$E$5:$E$120=$B54)*Inputs!$F$5:$F$120*(((Inputs!$G$5:$G$120="moeda")+(Inputs!$G$5:$G$120="acoes"))*Inputs!$B$1+((Inputs!$G$5:$G$120&lt;&gt;"moeda")*(Inputs!$G$5:$G$120&lt;&gt;"acoes")))*INDEX(Inputs!$K$5:$AJ$120,0,MATCH(J$2,Inputs!$K$4:$AJ$4,0)))))</f>
        <v>318</v>
      </c>
      <c r="K54" s="513">
        <f>IF(ISNA(MATCH(K$2,Inputs!$K$4:$AJ$4,0)),NA(),IF(SUMPRODUCT((Inputs!$A$5:$A$120=$B54)*ISNUMBER(INDEX(Inputs!$K$5:$AJ$120,0,MATCH(K$2,Inputs!$K$4:$AJ$4,0))))+SUMPRODUCT((Inputs!$C$5:$C$120=$B54)*ISNUMBER(INDEX(Inputs!$K$5:$AJ$120,0,MATCH(K$2,Inputs!$K$4:$AJ$4,0))))+SUMPRODUCT((Inputs!$E$5:$E$120=$B54)*ISNUMBER(INDEX(Inputs!$K$5:$AJ$120,0,MATCH(K$2,Inputs!$K$4:$AJ$4,0))))=0,NA(),SUMPRODUCT((Inputs!$A$5:$A$120=$B54)*Inputs!$B$5:$B$120*(((Inputs!$G$5:$G$120="moeda")+(Inputs!$G$5:$G$120="acoes"))*Inputs!$B$1+((Inputs!$G$5:$G$120&lt;&gt;"moeda")*(Inputs!$G$5:$G$120&lt;&gt;"acoes")))*INDEX(Inputs!$K$5:$AJ$120,0,MATCH(K$2,Inputs!$K$4:$AJ$4,0)))+SUMPRODUCT((Inputs!$C$5:$C$120=$B54)*Inputs!$D$5:$D$120*(((Inputs!$G$5:$G$120="moeda")+(Inputs!$G$5:$G$120="acoes"))*Inputs!$B$1+((Inputs!$G$5:$G$120&lt;&gt;"moeda")*(Inputs!$G$5:$G$120&lt;&gt;"acoes")))*INDEX(Inputs!$K$5:$AJ$120,0,MATCH(K$2,Inputs!$K$4:$AJ$4,0)))+SUMPRODUCT((Inputs!$E$5:$E$120=$B54)*Inputs!$F$5:$F$120*(((Inputs!$G$5:$G$120="moeda")+(Inputs!$G$5:$G$120="acoes"))*Inputs!$B$1+((Inputs!$G$5:$G$120&lt;&gt;"moeda")*(Inputs!$G$5:$G$120&lt;&gt;"acoes")))*INDEX(Inputs!$K$5:$AJ$120,0,MATCH(K$2,Inputs!$K$4:$AJ$4,0)))))</f>
        <v>115</v>
      </c>
      <c r="L54" s="513">
        <f>IF(ISNA(MATCH(L$2,Inputs!$K$4:$AJ$4,0)),NA(),IF(SUMPRODUCT((Inputs!$A$5:$A$120=$B54)*ISNUMBER(INDEX(Inputs!$K$5:$AJ$120,0,MATCH(L$2,Inputs!$K$4:$AJ$4,0))))+SUMPRODUCT((Inputs!$C$5:$C$120=$B54)*ISNUMBER(INDEX(Inputs!$K$5:$AJ$120,0,MATCH(L$2,Inputs!$K$4:$AJ$4,0))))+SUMPRODUCT((Inputs!$E$5:$E$120=$B54)*ISNUMBER(INDEX(Inputs!$K$5:$AJ$120,0,MATCH(L$2,Inputs!$K$4:$AJ$4,0))))=0,NA(),SUMPRODUCT((Inputs!$A$5:$A$120=$B54)*Inputs!$B$5:$B$120*(((Inputs!$G$5:$G$120="moeda")+(Inputs!$G$5:$G$120="acoes"))*Inputs!$B$1+((Inputs!$G$5:$G$120&lt;&gt;"moeda")*(Inputs!$G$5:$G$120&lt;&gt;"acoes")))*INDEX(Inputs!$K$5:$AJ$120,0,MATCH(L$2,Inputs!$K$4:$AJ$4,0)))+SUMPRODUCT((Inputs!$C$5:$C$120=$B54)*Inputs!$D$5:$D$120*(((Inputs!$G$5:$G$120="moeda")+(Inputs!$G$5:$G$120="acoes"))*Inputs!$B$1+((Inputs!$G$5:$G$120&lt;&gt;"moeda")*(Inputs!$G$5:$G$120&lt;&gt;"acoes")))*INDEX(Inputs!$K$5:$AJ$120,0,MATCH(L$2,Inputs!$K$4:$AJ$4,0)))+SUMPRODUCT((Inputs!$E$5:$E$120=$B54)*Inputs!$F$5:$F$120*(((Inputs!$G$5:$G$120="moeda")+(Inputs!$G$5:$G$120="acoes"))*Inputs!$B$1+((Inputs!$G$5:$G$120&lt;&gt;"moeda")*(Inputs!$G$5:$G$120&lt;&gt;"acoes")))*INDEX(Inputs!$K$5:$AJ$120,0,MATCH(L$2,Inputs!$K$4:$AJ$4,0)))))</f>
        <v>138</v>
      </c>
      <c r="M54" s="514">
        <f>SUM(I54:L54)</f>
        <v>965</v>
      </c>
      <c r="N54" s="513">
        <f>IF(ISNA(MATCH(N$2,Inputs!$K$4:$AJ$4,0)),NA(),IF(SUMPRODUCT((Inputs!$A$5:$A$120=$B54)*ISNUMBER(INDEX(Inputs!$K$5:$AJ$120,0,MATCH(N$2,Inputs!$K$4:$AJ$4,0))))+SUMPRODUCT((Inputs!$C$5:$C$120=$B54)*ISNUMBER(INDEX(Inputs!$K$5:$AJ$120,0,MATCH(N$2,Inputs!$K$4:$AJ$4,0))))+SUMPRODUCT((Inputs!$E$5:$E$120=$B54)*ISNUMBER(INDEX(Inputs!$K$5:$AJ$120,0,MATCH(N$2,Inputs!$K$4:$AJ$4,0))))=0,NA(),SUMPRODUCT((Inputs!$A$5:$A$120=$B54)*Inputs!$B$5:$B$120*(((Inputs!$G$5:$G$120="moeda")+(Inputs!$G$5:$G$120="acoes"))*Inputs!$B$1+((Inputs!$G$5:$G$120&lt;&gt;"moeda")*(Inputs!$G$5:$G$120&lt;&gt;"acoes")))*INDEX(Inputs!$K$5:$AJ$120,0,MATCH(N$2,Inputs!$K$4:$AJ$4,0)))+SUMPRODUCT((Inputs!$C$5:$C$120=$B54)*Inputs!$D$5:$D$120*(((Inputs!$G$5:$G$120="moeda")+(Inputs!$G$5:$G$120="acoes"))*Inputs!$B$1+((Inputs!$G$5:$G$120&lt;&gt;"moeda")*(Inputs!$G$5:$G$120&lt;&gt;"acoes")))*INDEX(Inputs!$K$5:$AJ$120,0,MATCH(N$2,Inputs!$K$4:$AJ$4,0)))+SUMPRODUCT((Inputs!$E$5:$E$120=$B54)*Inputs!$F$5:$F$120*(((Inputs!$G$5:$G$120="moeda")+(Inputs!$G$5:$G$120="acoes"))*Inputs!$B$1+((Inputs!$G$5:$G$120&lt;&gt;"moeda")*(Inputs!$G$5:$G$120&lt;&gt;"acoes")))*INDEX(Inputs!$K$5:$AJ$120,0,MATCH(N$2,Inputs!$K$4:$AJ$4,0)))))</f>
        <v>198</v>
      </c>
      <c r="O54" s="513">
        <f>IF(ISNA(MATCH(O$2,Inputs!$K$4:$AJ$4,0)),NA(),IF(SUMPRODUCT((Inputs!$A$5:$A$120=$B54)*ISNUMBER(INDEX(Inputs!$K$5:$AJ$120,0,MATCH(O$2,Inputs!$K$4:$AJ$4,0))))+SUMPRODUCT((Inputs!$C$5:$C$120=$B54)*ISNUMBER(INDEX(Inputs!$K$5:$AJ$120,0,MATCH(O$2,Inputs!$K$4:$AJ$4,0))))+SUMPRODUCT((Inputs!$E$5:$E$120=$B54)*ISNUMBER(INDEX(Inputs!$K$5:$AJ$120,0,MATCH(O$2,Inputs!$K$4:$AJ$4,0))))=0,NA(),SUMPRODUCT((Inputs!$A$5:$A$120=$B54)*Inputs!$B$5:$B$120*(((Inputs!$G$5:$G$120="moeda")+(Inputs!$G$5:$G$120="acoes"))*Inputs!$B$1+((Inputs!$G$5:$G$120&lt;&gt;"moeda")*(Inputs!$G$5:$G$120&lt;&gt;"acoes")))*INDEX(Inputs!$K$5:$AJ$120,0,MATCH(O$2,Inputs!$K$4:$AJ$4,0)))+SUMPRODUCT((Inputs!$C$5:$C$120=$B54)*Inputs!$D$5:$D$120*(((Inputs!$G$5:$G$120="moeda")+(Inputs!$G$5:$G$120="acoes"))*Inputs!$B$1+((Inputs!$G$5:$G$120&lt;&gt;"moeda")*(Inputs!$G$5:$G$120&lt;&gt;"acoes")))*INDEX(Inputs!$K$5:$AJ$120,0,MATCH(O$2,Inputs!$K$4:$AJ$4,0)))+SUMPRODUCT((Inputs!$E$5:$E$120=$B54)*Inputs!$F$5:$F$120*(((Inputs!$G$5:$G$120="moeda")+(Inputs!$G$5:$G$120="acoes"))*Inputs!$B$1+((Inputs!$G$5:$G$120&lt;&gt;"moeda")*(Inputs!$G$5:$G$120&lt;&gt;"acoes")))*INDEX(Inputs!$K$5:$AJ$120,0,MATCH(O$2,Inputs!$K$4:$AJ$4,0)))))</f>
        <v>127</v>
      </c>
      <c r="P54" s="513">
        <f>IF(ISNA(MATCH(P$2,Inputs!$K$4:$AJ$4,0)),NA(),IF(SUMPRODUCT((Inputs!$A$5:$A$120=$B54)*ISNUMBER(INDEX(Inputs!$K$5:$AJ$120,0,MATCH(P$2,Inputs!$K$4:$AJ$4,0))))+SUMPRODUCT((Inputs!$C$5:$C$120=$B54)*ISNUMBER(INDEX(Inputs!$K$5:$AJ$120,0,MATCH(P$2,Inputs!$K$4:$AJ$4,0))))+SUMPRODUCT((Inputs!$E$5:$E$120=$B54)*ISNUMBER(INDEX(Inputs!$K$5:$AJ$120,0,MATCH(P$2,Inputs!$K$4:$AJ$4,0))))=0,NA(),SUMPRODUCT((Inputs!$A$5:$A$120=$B54)*Inputs!$B$5:$B$120*(((Inputs!$G$5:$G$120="moeda")+(Inputs!$G$5:$G$120="acoes"))*Inputs!$B$1+((Inputs!$G$5:$G$120&lt;&gt;"moeda")*(Inputs!$G$5:$G$120&lt;&gt;"acoes")))*INDEX(Inputs!$K$5:$AJ$120,0,MATCH(P$2,Inputs!$K$4:$AJ$4,0)))+SUMPRODUCT((Inputs!$C$5:$C$120=$B54)*Inputs!$D$5:$D$120*(((Inputs!$G$5:$G$120="moeda")+(Inputs!$G$5:$G$120="acoes"))*Inputs!$B$1+((Inputs!$G$5:$G$120&lt;&gt;"moeda")*(Inputs!$G$5:$G$120&lt;&gt;"acoes")))*INDEX(Inputs!$K$5:$AJ$120,0,MATCH(P$2,Inputs!$K$4:$AJ$4,0)))+SUMPRODUCT((Inputs!$E$5:$E$120=$B54)*Inputs!$F$5:$F$120*(((Inputs!$G$5:$G$120="moeda")+(Inputs!$G$5:$G$120="acoes"))*Inputs!$B$1+((Inputs!$G$5:$G$120&lt;&gt;"moeda")*(Inputs!$G$5:$G$120&lt;&gt;"acoes")))*INDEX(Inputs!$K$5:$AJ$120,0,MATCH(P$2,Inputs!$K$4:$AJ$4,0)))))</f>
        <v>112</v>
      </c>
      <c r="Q54" s="513">
        <f>IF(ISNA(MATCH(Q$2,Inputs!$K$4:$AJ$4,0)),NA(),IF(SUMPRODUCT((Inputs!$A$5:$A$120=$B54)*ISNUMBER(INDEX(Inputs!$K$5:$AJ$120,0,MATCH(Q$2,Inputs!$K$4:$AJ$4,0))))+SUMPRODUCT((Inputs!$C$5:$C$120=$B54)*ISNUMBER(INDEX(Inputs!$K$5:$AJ$120,0,MATCH(Q$2,Inputs!$K$4:$AJ$4,0))))+SUMPRODUCT((Inputs!$E$5:$E$120=$B54)*ISNUMBER(INDEX(Inputs!$K$5:$AJ$120,0,MATCH(Q$2,Inputs!$K$4:$AJ$4,0))))=0,NA(),SUMPRODUCT((Inputs!$A$5:$A$120=$B54)*Inputs!$B$5:$B$120*(((Inputs!$G$5:$G$120="moeda")+(Inputs!$G$5:$G$120="acoes"))*Inputs!$B$1+((Inputs!$G$5:$G$120&lt;&gt;"moeda")*(Inputs!$G$5:$G$120&lt;&gt;"acoes")))*INDEX(Inputs!$K$5:$AJ$120,0,MATCH(Q$2,Inputs!$K$4:$AJ$4,0)))+SUMPRODUCT((Inputs!$C$5:$C$120=$B54)*Inputs!$D$5:$D$120*(((Inputs!$G$5:$G$120="moeda")+(Inputs!$G$5:$G$120="acoes"))*Inputs!$B$1+((Inputs!$G$5:$G$120&lt;&gt;"moeda")*(Inputs!$G$5:$G$120&lt;&gt;"acoes")))*INDEX(Inputs!$K$5:$AJ$120,0,MATCH(Q$2,Inputs!$K$4:$AJ$4,0)))+SUMPRODUCT((Inputs!$E$5:$E$120=$B54)*Inputs!$F$5:$F$120*(((Inputs!$G$5:$G$120="moeda")+(Inputs!$G$5:$G$120="acoes"))*Inputs!$B$1+((Inputs!$G$5:$G$120&lt;&gt;"moeda")*(Inputs!$G$5:$G$120&lt;&gt;"acoes")))*INDEX(Inputs!$K$5:$AJ$120,0,MATCH(Q$2,Inputs!$K$4:$AJ$4,0)))))</f>
        <v>68</v>
      </c>
      <c r="R54" s="514">
        <f>SUM(N54:Q54)</f>
        <v>505</v>
      </c>
      <c r="S54" s="513">
        <f>IF(ISNA(MATCH(S$2,Inputs!$K$4:$AJ$4,0)),NA(),IF(SUMPRODUCT((Inputs!$A$5:$A$120=$B54)*ISNUMBER(INDEX(Inputs!$K$5:$AJ$120,0,MATCH(S$2,Inputs!$K$4:$AJ$4,0))))+SUMPRODUCT((Inputs!$C$5:$C$120=$B54)*ISNUMBER(INDEX(Inputs!$K$5:$AJ$120,0,MATCH(S$2,Inputs!$K$4:$AJ$4,0))))+SUMPRODUCT((Inputs!$E$5:$E$120=$B54)*ISNUMBER(INDEX(Inputs!$K$5:$AJ$120,0,MATCH(S$2,Inputs!$K$4:$AJ$4,0))))=0,NA(),SUMPRODUCT((Inputs!$A$5:$A$120=$B54)*Inputs!$B$5:$B$120*(((Inputs!$G$5:$G$120="moeda")+(Inputs!$G$5:$G$120="acoes"))*Inputs!$B$1+((Inputs!$G$5:$G$120&lt;&gt;"moeda")*(Inputs!$G$5:$G$120&lt;&gt;"acoes")))*INDEX(Inputs!$K$5:$AJ$120,0,MATCH(S$2,Inputs!$K$4:$AJ$4,0)))+SUMPRODUCT((Inputs!$C$5:$C$120=$B54)*Inputs!$D$5:$D$120*(((Inputs!$G$5:$G$120="moeda")+(Inputs!$G$5:$G$120="acoes"))*Inputs!$B$1+((Inputs!$G$5:$G$120&lt;&gt;"moeda")*(Inputs!$G$5:$G$120&lt;&gt;"acoes")))*INDEX(Inputs!$K$5:$AJ$120,0,MATCH(S$2,Inputs!$K$4:$AJ$4,0)))+SUMPRODUCT((Inputs!$E$5:$E$120=$B54)*Inputs!$F$5:$F$120*(((Inputs!$G$5:$G$120="moeda")+(Inputs!$G$5:$G$120="acoes"))*Inputs!$B$1+((Inputs!$G$5:$G$120&lt;&gt;"moeda")*(Inputs!$G$5:$G$120&lt;&gt;"acoes")))*INDEX(Inputs!$K$5:$AJ$120,0,MATCH(S$2,Inputs!$K$4:$AJ$4,0)))))</f>
        <v>66</v>
      </c>
      <c r="T54" s="513">
        <f>IF(ISNA(MATCH(T$2,Inputs!$K$4:$AJ$4,0)),NA(),IF(SUMPRODUCT((Inputs!$A$5:$A$120=$B54)*ISNUMBER(INDEX(Inputs!$K$5:$AJ$120,0,MATCH(T$2,Inputs!$K$4:$AJ$4,0))))+SUMPRODUCT((Inputs!$C$5:$C$120=$B54)*ISNUMBER(INDEX(Inputs!$K$5:$AJ$120,0,MATCH(T$2,Inputs!$K$4:$AJ$4,0))))+SUMPRODUCT((Inputs!$E$5:$E$120=$B54)*ISNUMBER(INDEX(Inputs!$K$5:$AJ$120,0,MATCH(T$2,Inputs!$K$4:$AJ$4,0))))=0,NA(),SUMPRODUCT((Inputs!$A$5:$A$120=$B54)*Inputs!$B$5:$B$120*(((Inputs!$G$5:$G$120="moeda")+(Inputs!$G$5:$G$120="acoes"))*Inputs!$B$1+((Inputs!$G$5:$G$120&lt;&gt;"moeda")*(Inputs!$G$5:$G$120&lt;&gt;"acoes")))*INDEX(Inputs!$K$5:$AJ$120,0,MATCH(T$2,Inputs!$K$4:$AJ$4,0)))+SUMPRODUCT((Inputs!$C$5:$C$120=$B54)*Inputs!$D$5:$D$120*(((Inputs!$G$5:$G$120="moeda")+(Inputs!$G$5:$G$120="acoes"))*Inputs!$B$1+((Inputs!$G$5:$G$120&lt;&gt;"moeda")*(Inputs!$G$5:$G$120&lt;&gt;"acoes")))*INDEX(Inputs!$K$5:$AJ$120,0,MATCH(T$2,Inputs!$K$4:$AJ$4,0)))+SUMPRODUCT((Inputs!$E$5:$E$120=$B54)*Inputs!$F$5:$F$120*(((Inputs!$G$5:$G$120="moeda")+(Inputs!$G$5:$G$120="acoes"))*Inputs!$B$1+((Inputs!$G$5:$G$120&lt;&gt;"moeda")*(Inputs!$G$5:$G$120&lt;&gt;"acoes")))*INDEX(Inputs!$K$5:$AJ$120,0,MATCH(T$2,Inputs!$K$4:$AJ$4,0)))))</f>
        <v>111</v>
      </c>
      <c r="U54" s="513">
        <f>IF(ISNA(MATCH(U$2,Inputs!$K$4:$AJ$4,0)),NA(),IF(SUMPRODUCT((Inputs!$A$5:$A$120=$B54)*ISNUMBER(INDEX(Inputs!$K$5:$AJ$120,0,MATCH(U$2,Inputs!$K$4:$AJ$4,0))))+SUMPRODUCT((Inputs!$C$5:$C$120=$B54)*ISNUMBER(INDEX(Inputs!$K$5:$AJ$120,0,MATCH(U$2,Inputs!$K$4:$AJ$4,0))))+SUMPRODUCT((Inputs!$E$5:$E$120=$B54)*ISNUMBER(INDEX(Inputs!$K$5:$AJ$120,0,MATCH(U$2,Inputs!$K$4:$AJ$4,0))))=0,NA(),SUMPRODUCT((Inputs!$A$5:$A$120=$B54)*Inputs!$B$5:$B$120*(((Inputs!$G$5:$G$120="moeda")+(Inputs!$G$5:$G$120="acoes"))*Inputs!$B$1+((Inputs!$G$5:$G$120&lt;&gt;"moeda")*(Inputs!$G$5:$G$120&lt;&gt;"acoes")))*INDEX(Inputs!$K$5:$AJ$120,0,MATCH(U$2,Inputs!$K$4:$AJ$4,0)))+SUMPRODUCT((Inputs!$C$5:$C$120=$B54)*Inputs!$D$5:$D$120*(((Inputs!$G$5:$G$120="moeda")+(Inputs!$G$5:$G$120="acoes"))*Inputs!$B$1+((Inputs!$G$5:$G$120&lt;&gt;"moeda")*(Inputs!$G$5:$G$120&lt;&gt;"acoes")))*INDEX(Inputs!$K$5:$AJ$120,0,MATCH(U$2,Inputs!$K$4:$AJ$4,0)))+SUMPRODUCT((Inputs!$E$5:$E$120=$B54)*Inputs!$F$5:$F$120*(((Inputs!$G$5:$G$120="moeda")+(Inputs!$G$5:$G$120="acoes"))*Inputs!$B$1+((Inputs!$G$5:$G$120&lt;&gt;"moeda")*(Inputs!$G$5:$G$120&lt;&gt;"acoes")))*INDEX(Inputs!$K$5:$AJ$120,0,MATCH(U$2,Inputs!$K$4:$AJ$4,0)))))</f>
        <v>50</v>
      </c>
      <c r="V54" s="513">
        <f>IF(ISNA(MATCH(V$2,Inputs!$K$4:$AJ$4,0)),NA(),IF(SUMPRODUCT((Inputs!$A$5:$A$120=$B54)*ISNUMBER(INDEX(Inputs!$K$5:$AJ$120,0,MATCH(V$2,Inputs!$K$4:$AJ$4,0))))+SUMPRODUCT((Inputs!$C$5:$C$120=$B54)*ISNUMBER(INDEX(Inputs!$K$5:$AJ$120,0,MATCH(V$2,Inputs!$K$4:$AJ$4,0))))+SUMPRODUCT((Inputs!$E$5:$E$120=$B54)*ISNUMBER(INDEX(Inputs!$K$5:$AJ$120,0,MATCH(V$2,Inputs!$K$4:$AJ$4,0))))=0,NA(),SUMPRODUCT((Inputs!$A$5:$A$120=$B54)*Inputs!$B$5:$B$120*(((Inputs!$G$5:$G$120="moeda")+(Inputs!$G$5:$G$120="acoes"))*Inputs!$B$1+((Inputs!$G$5:$G$120&lt;&gt;"moeda")*(Inputs!$G$5:$G$120&lt;&gt;"acoes")))*INDEX(Inputs!$K$5:$AJ$120,0,MATCH(V$2,Inputs!$K$4:$AJ$4,0)))+SUMPRODUCT((Inputs!$C$5:$C$120=$B54)*Inputs!$D$5:$D$120*(((Inputs!$G$5:$G$120="moeda")+(Inputs!$G$5:$G$120="acoes"))*Inputs!$B$1+((Inputs!$G$5:$G$120&lt;&gt;"moeda")*(Inputs!$G$5:$G$120&lt;&gt;"acoes")))*INDEX(Inputs!$K$5:$AJ$120,0,MATCH(V$2,Inputs!$K$4:$AJ$4,0)))+SUMPRODUCT((Inputs!$E$5:$E$120=$B54)*Inputs!$F$5:$F$120*(((Inputs!$G$5:$G$120="moeda")+(Inputs!$G$5:$G$120="acoes"))*Inputs!$B$1+((Inputs!$G$5:$G$120&lt;&gt;"moeda")*(Inputs!$G$5:$G$120&lt;&gt;"acoes")))*INDEX(Inputs!$K$5:$AJ$120,0,MATCH(V$2,Inputs!$K$4:$AJ$4,0)))))</f>
        <v>88</v>
      </c>
      <c r="W54" s="514">
        <f>SUM(S54:V54)</f>
        <v>315</v>
      </c>
      <c r="X54" s="513">
        <f>IF(ISNA(MATCH(X$2,Inputs!$K$4:$AJ$4,0)),NA(),IF(SUMPRODUCT((Inputs!$A$5:$A$120=$B54)*ISNUMBER(INDEX(Inputs!$K$5:$AJ$120,0,MATCH(X$2,Inputs!$K$4:$AJ$4,0))))+SUMPRODUCT((Inputs!$C$5:$C$120=$B54)*ISNUMBER(INDEX(Inputs!$K$5:$AJ$120,0,MATCH(X$2,Inputs!$K$4:$AJ$4,0))))+SUMPRODUCT((Inputs!$E$5:$E$120=$B54)*ISNUMBER(INDEX(Inputs!$K$5:$AJ$120,0,MATCH(X$2,Inputs!$K$4:$AJ$4,0))))=0,NA(),SUMPRODUCT((Inputs!$A$5:$A$120=$B54)*Inputs!$B$5:$B$120*(((Inputs!$G$5:$G$120="moeda")+(Inputs!$G$5:$G$120="acoes"))*Inputs!$B$1+((Inputs!$G$5:$G$120&lt;&gt;"moeda")*(Inputs!$G$5:$G$120&lt;&gt;"acoes")))*INDEX(Inputs!$K$5:$AJ$120,0,MATCH(X$2,Inputs!$K$4:$AJ$4,0)))+SUMPRODUCT((Inputs!$C$5:$C$120=$B54)*Inputs!$D$5:$D$120*(((Inputs!$G$5:$G$120="moeda")+(Inputs!$G$5:$G$120="acoes"))*Inputs!$B$1+((Inputs!$G$5:$G$120&lt;&gt;"moeda")*(Inputs!$G$5:$G$120&lt;&gt;"acoes")))*INDEX(Inputs!$K$5:$AJ$120,0,MATCH(X$2,Inputs!$K$4:$AJ$4,0)))+SUMPRODUCT((Inputs!$E$5:$E$120=$B54)*Inputs!$F$5:$F$120*(((Inputs!$G$5:$G$120="moeda")+(Inputs!$G$5:$G$120="acoes"))*Inputs!$B$1+((Inputs!$G$5:$G$120&lt;&gt;"moeda")*(Inputs!$G$5:$G$120&lt;&gt;"acoes")))*INDEX(Inputs!$K$5:$AJ$120,0,MATCH(X$2,Inputs!$K$4:$AJ$4,0)))))</f>
        <v>109</v>
      </c>
      <c r="Y54" s="513">
        <f>IF(ISNA(MATCH(Y$2,Inputs!$K$4:$AJ$4,0)),NA(),IF(SUMPRODUCT((Inputs!$A$5:$A$120=$B54)*ISNUMBER(INDEX(Inputs!$K$5:$AJ$120,0,MATCH(Y$2,Inputs!$K$4:$AJ$4,0))))+SUMPRODUCT((Inputs!$C$5:$C$120=$B54)*ISNUMBER(INDEX(Inputs!$K$5:$AJ$120,0,MATCH(Y$2,Inputs!$K$4:$AJ$4,0))))+SUMPRODUCT((Inputs!$E$5:$E$120=$B54)*ISNUMBER(INDEX(Inputs!$K$5:$AJ$120,0,MATCH(Y$2,Inputs!$K$4:$AJ$4,0))))=0,NA(),SUMPRODUCT((Inputs!$A$5:$A$120=$B54)*Inputs!$B$5:$B$120*(((Inputs!$G$5:$G$120="moeda")+(Inputs!$G$5:$G$120="acoes"))*Inputs!$B$1+((Inputs!$G$5:$G$120&lt;&gt;"moeda")*(Inputs!$G$5:$G$120&lt;&gt;"acoes")))*INDEX(Inputs!$K$5:$AJ$120,0,MATCH(Y$2,Inputs!$K$4:$AJ$4,0)))+SUMPRODUCT((Inputs!$C$5:$C$120=$B54)*Inputs!$D$5:$D$120*(((Inputs!$G$5:$G$120="moeda")+(Inputs!$G$5:$G$120="acoes"))*Inputs!$B$1+((Inputs!$G$5:$G$120&lt;&gt;"moeda")*(Inputs!$G$5:$G$120&lt;&gt;"acoes")))*INDEX(Inputs!$K$5:$AJ$120,0,MATCH(Y$2,Inputs!$K$4:$AJ$4,0)))+SUMPRODUCT((Inputs!$E$5:$E$120=$B54)*Inputs!$F$5:$F$120*(((Inputs!$G$5:$G$120="moeda")+(Inputs!$G$5:$G$120="acoes"))*Inputs!$B$1+((Inputs!$G$5:$G$120&lt;&gt;"moeda")*(Inputs!$G$5:$G$120&lt;&gt;"acoes")))*INDEX(Inputs!$K$5:$AJ$120,0,MATCH(Y$2,Inputs!$K$4:$AJ$4,0)))))</f>
        <v>132</v>
      </c>
      <c r="Z54" s="513">
        <f>IF(ISNA(MATCH(Z$2,Inputs!$K$4:$AJ$4,0)),NA(),IF(SUMPRODUCT((Inputs!$A$5:$A$120=$B54)*ISNUMBER(INDEX(Inputs!$K$5:$AJ$120,0,MATCH(Z$2,Inputs!$K$4:$AJ$4,0))))+SUMPRODUCT((Inputs!$C$5:$C$120=$B54)*ISNUMBER(INDEX(Inputs!$K$5:$AJ$120,0,MATCH(Z$2,Inputs!$K$4:$AJ$4,0))))+SUMPRODUCT((Inputs!$E$5:$E$120=$B54)*ISNUMBER(INDEX(Inputs!$K$5:$AJ$120,0,MATCH(Z$2,Inputs!$K$4:$AJ$4,0))))=0,NA(),SUMPRODUCT((Inputs!$A$5:$A$120=$B54)*Inputs!$B$5:$B$120*(((Inputs!$G$5:$G$120="moeda")+(Inputs!$G$5:$G$120="acoes"))*Inputs!$B$1+((Inputs!$G$5:$G$120&lt;&gt;"moeda")*(Inputs!$G$5:$G$120&lt;&gt;"acoes")))*INDEX(Inputs!$K$5:$AJ$120,0,MATCH(Z$2,Inputs!$K$4:$AJ$4,0)))+SUMPRODUCT((Inputs!$C$5:$C$120=$B54)*Inputs!$D$5:$D$120*(((Inputs!$G$5:$G$120="moeda")+(Inputs!$G$5:$G$120="acoes"))*Inputs!$B$1+((Inputs!$G$5:$G$120&lt;&gt;"moeda")*(Inputs!$G$5:$G$120&lt;&gt;"acoes")))*INDEX(Inputs!$K$5:$AJ$120,0,MATCH(Z$2,Inputs!$K$4:$AJ$4,0)))+SUMPRODUCT((Inputs!$E$5:$E$120=$B54)*Inputs!$F$5:$F$120*(((Inputs!$G$5:$G$120="moeda")+(Inputs!$G$5:$G$120="acoes"))*Inputs!$B$1+((Inputs!$G$5:$G$120&lt;&gt;"moeda")*(Inputs!$G$5:$G$120&lt;&gt;"acoes")))*INDEX(Inputs!$K$5:$AJ$120,0,MATCH(Z$2,Inputs!$K$4:$AJ$4,0)))))</f>
        <v>134</v>
      </c>
      <c r="AA54" s="513">
        <f>IF(ISNA(MATCH(AA$2,Inputs!$K$4:$AJ$4,0)),NA(),IF(SUMPRODUCT((Inputs!$A$5:$A$120=$B54)*ISNUMBER(INDEX(Inputs!$K$5:$AJ$120,0,MATCH(AA$2,Inputs!$K$4:$AJ$4,0))))+SUMPRODUCT((Inputs!$C$5:$C$120=$B54)*ISNUMBER(INDEX(Inputs!$K$5:$AJ$120,0,MATCH(AA$2,Inputs!$K$4:$AJ$4,0))))+SUMPRODUCT((Inputs!$E$5:$E$120=$B54)*ISNUMBER(INDEX(Inputs!$K$5:$AJ$120,0,MATCH(AA$2,Inputs!$K$4:$AJ$4,0))))=0,NA(),SUMPRODUCT((Inputs!$A$5:$A$120=$B54)*Inputs!$B$5:$B$120*(((Inputs!$G$5:$G$120="moeda")+(Inputs!$G$5:$G$120="acoes"))*Inputs!$B$1+((Inputs!$G$5:$G$120&lt;&gt;"moeda")*(Inputs!$G$5:$G$120&lt;&gt;"acoes")))*INDEX(Inputs!$K$5:$AJ$120,0,MATCH(AA$2,Inputs!$K$4:$AJ$4,0)))+SUMPRODUCT((Inputs!$C$5:$C$120=$B54)*Inputs!$D$5:$D$120*(((Inputs!$G$5:$G$120="moeda")+(Inputs!$G$5:$G$120="acoes"))*Inputs!$B$1+((Inputs!$G$5:$G$120&lt;&gt;"moeda")*(Inputs!$G$5:$G$120&lt;&gt;"acoes")))*INDEX(Inputs!$K$5:$AJ$120,0,MATCH(AA$2,Inputs!$K$4:$AJ$4,0)))+SUMPRODUCT((Inputs!$E$5:$E$120=$B54)*Inputs!$F$5:$F$120*(((Inputs!$G$5:$G$120="moeda")+(Inputs!$G$5:$G$120="acoes"))*Inputs!$B$1+((Inputs!$G$5:$G$120&lt;&gt;"moeda")*(Inputs!$G$5:$G$120&lt;&gt;"acoes")))*INDEX(Inputs!$K$5:$AJ$120,0,MATCH(AA$2,Inputs!$K$4:$AJ$4,0)))))</f>
        <v>232</v>
      </c>
      <c r="AB54" s="514">
        <f>SUM(X54:AA54)</f>
        <v>607</v>
      </c>
      <c r="AC54" s="513">
        <f>IF(ISNA(MATCH(AC$2,Inputs!$K$4:$AJ$4,0)),NA(),IF(SUMPRODUCT((Inputs!$A$5:$A$120=$B54)*ISNUMBER(INDEX(Inputs!$K$5:$AJ$120,0,MATCH(AC$2,Inputs!$K$4:$AJ$4,0))))+SUMPRODUCT((Inputs!$C$5:$C$120=$B54)*ISNUMBER(INDEX(Inputs!$K$5:$AJ$120,0,MATCH(AC$2,Inputs!$K$4:$AJ$4,0))))+SUMPRODUCT((Inputs!$E$5:$E$120=$B54)*ISNUMBER(INDEX(Inputs!$K$5:$AJ$120,0,MATCH(AC$2,Inputs!$K$4:$AJ$4,0))))=0,NA(),SUMPRODUCT((Inputs!$A$5:$A$120=$B54)*Inputs!$B$5:$B$120*(((Inputs!$G$5:$G$120="moeda")+(Inputs!$G$5:$G$120="acoes"))*Inputs!$B$1+((Inputs!$G$5:$G$120&lt;&gt;"moeda")*(Inputs!$G$5:$G$120&lt;&gt;"acoes")))*INDEX(Inputs!$K$5:$AJ$120,0,MATCH(AC$2,Inputs!$K$4:$AJ$4,0)))+SUMPRODUCT((Inputs!$C$5:$C$120=$B54)*Inputs!$D$5:$D$120*(((Inputs!$G$5:$G$120="moeda")+(Inputs!$G$5:$G$120="acoes"))*Inputs!$B$1+((Inputs!$G$5:$G$120&lt;&gt;"moeda")*(Inputs!$G$5:$G$120&lt;&gt;"acoes")))*INDEX(Inputs!$K$5:$AJ$120,0,MATCH(AC$2,Inputs!$K$4:$AJ$4,0)))+SUMPRODUCT((Inputs!$E$5:$E$120=$B54)*Inputs!$F$5:$F$120*(((Inputs!$G$5:$G$120="moeda")+(Inputs!$G$5:$G$120="acoes"))*Inputs!$B$1+((Inputs!$G$5:$G$120&lt;&gt;"moeda")*(Inputs!$G$5:$G$120&lt;&gt;"acoes")))*INDEX(Inputs!$K$5:$AJ$120,0,MATCH(AC$2,Inputs!$K$4:$AJ$4,0)))))</f>
        <v>262</v>
      </c>
      <c r="AD54" s="513">
        <f>IF(ISNA(MATCH(AD$2,Inputs!$K$4:$AJ$4,0)),NA(),IF(SUMPRODUCT((Inputs!$A$5:$A$120=$B54)*ISNUMBER(INDEX(Inputs!$K$5:$AJ$120,0,MATCH(AD$2,Inputs!$K$4:$AJ$4,0))))+SUMPRODUCT((Inputs!$C$5:$C$120=$B54)*ISNUMBER(INDEX(Inputs!$K$5:$AJ$120,0,MATCH(AD$2,Inputs!$K$4:$AJ$4,0))))+SUMPRODUCT((Inputs!$E$5:$E$120=$B54)*ISNUMBER(INDEX(Inputs!$K$5:$AJ$120,0,MATCH(AD$2,Inputs!$K$4:$AJ$4,0))))=0,NA(),SUMPRODUCT((Inputs!$A$5:$A$120=$B54)*Inputs!$B$5:$B$120*(((Inputs!$G$5:$G$120="moeda")+(Inputs!$G$5:$G$120="acoes"))*Inputs!$B$1+((Inputs!$G$5:$G$120&lt;&gt;"moeda")*(Inputs!$G$5:$G$120&lt;&gt;"acoes")))*INDEX(Inputs!$K$5:$AJ$120,0,MATCH(AD$2,Inputs!$K$4:$AJ$4,0)))+SUMPRODUCT((Inputs!$C$5:$C$120=$B54)*Inputs!$D$5:$D$120*(((Inputs!$G$5:$G$120="moeda")+(Inputs!$G$5:$G$120="acoes"))*Inputs!$B$1+((Inputs!$G$5:$G$120&lt;&gt;"moeda")*(Inputs!$G$5:$G$120&lt;&gt;"acoes")))*INDEX(Inputs!$K$5:$AJ$120,0,MATCH(AD$2,Inputs!$K$4:$AJ$4,0)))+SUMPRODUCT((Inputs!$E$5:$E$120=$B54)*Inputs!$F$5:$F$120*(((Inputs!$G$5:$G$120="moeda")+(Inputs!$G$5:$G$120="acoes"))*Inputs!$B$1+((Inputs!$G$5:$G$120&lt;&gt;"moeda")*(Inputs!$G$5:$G$120&lt;&gt;"acoes")))*INDEX(Inputs!$K$5:$AJ$120,0,MATCH(AD$2,Inputs!$K$4:$AJ$4,0)))))</f>
        <v>265</v>
      </c>
      <c r="AE54" s="513" t="e">
        <f>IF(ISNA(MATCH(AE$2,Inputs!$K$4:$AJ$4,0)),NA(),IF(SUMPRODUCT((Inputs!$A$5:$A$120=$B54)*ISNUMBER(INDEX(Inputs!$K$5:$AJ$120,0,MATCH(AE$2,Inputs!$K$4:$AJ$4,0))))+SUMPRODUCT((Inputs!$C$5:$C$120=$B54)*ISNUMBER(INDEX(Inputs!$K$5:$AJ$120,0,MATCH(AE$2,Inputs!$K$4:$AJ$4,0))))+SUMPRODUCT((Inputs!$E$5:$E$120=$B54)*ISNUMBER(INDEX(Inputs!$K$5:$AJ$120,0,MATCH(AE$2,Inputs!$K$4:$AJ$4,0))))=0,NA(),SUMPRODUCT((Inputs!$A$5:$A$120=$B54)*Inputs!$B$5:$B$120*(((Inputs!$G$5:$G$120="moeda")+(Inputs!$G$5:$G$120="acoes"))*Inputs!$B$1+((Inputs!$G$5:$G$120&lt;&gt;"moeda")*(Inputs!$G$5:$G$120&lt;&gt;"acoes")))*INDEX(Inputs!$K$5:$AJ$120,0,MATCH(AE$2,Inputs!$K$4:$AJ$4,0)))+SUMPRODUCT((Inputs!$C$5:$C$120=$B54)*Inputs!$D$5:$D$120*(((Inputs!$G$5:$G$120="moeda")+(Inputs!$G$5:$G$120="acoes"))*Inputs!$B$1+((Inputs!$G$5:$G$120&lt;&gt;"moeda")*(Inputs!$G$5:$G$120&lt;&gt;"acoes")))*INDEX(Inputs!$K$5:$AJ$120,0,MATCH(AE$2,Inputs!$K$4:$AJ$4,0)))+SUMPRODUCT((Inputs!$E$5:$E$120=$B54)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4" s="513" t="e">
        <f>IF(ISNA(MATCH(AF$2,Inputs!$K$4:$AJ$4,0)),NA(),IF(SUMPRODUCT((Inputs!$A$5:$A$120=$B54)*ISNUMBER(INDEX(Inputs!$K$5:$AJ$120,0,MATCH(AF$2,Inputs!$K$4:$AJ$4,0))))+SUMPRODUCT((Inputs!$C$5:$C$120=$B54)*ISNUMBER(INDEX(Inputs!$K$5:$AJ$120,0,MATCH(AF$2,Inputs!$K$4:$AJ$4,0))))+SUMPRODUCT((Inputs!$E$5:$E$120=$B54)*ISNUMBER(INDEX(Inputs!$K$5:$AJ$120,0,MATCH(AF$2,Inputs!$K$4:$AJ$4,0))))=0,NA(),SUMPRODUCT((Inputs!$A$5:$A$120=$B54)*Inputs!$B$5:$B$120*(((Inputs!$G$5:$G$120="moeda")+(Inputs!$G$5:$G$120="acoes"))*Inputs!$B$1+((Inputs!$G$5:$G$120&lt;&gt;"moeda")*(Inputs!$G$5:$G$120&lt;&gt;"acoes")))*INDEX(Inputs!$K$5:$AJ$120,0,MATCH(AF$2,Inputs!$K$4:$AJ$4,0)))+SUMPRODUCT((Inputs!$C$5:$C$120=$B54)*Inputs!$D$5:$D$120*(((Inputs!$G$5:$G$120="moeda")+(Inputs!$G$5:$G$120="acoes"))*Inputs!$B$1+((Inputs!$G$5:$G$120&lt;&gt;"moeda")*(Inputs!$G$5:$G$120&lt;&gt;"acoes")))*INDEX(Inputs!$K$5:$AJ$120,0,MATCH(AF$2,Inputs!$K$4:$AJ$4,0)))+SUMPRODUCT((Inputs!$E$5:$E$120=$B54)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4" s="514" t="e">
        <f>SUM(AC54:AF54)</f>
        <v>#N/A</v>
      </c>
      <c r="AH54" s="513">
        <f>IF(ISNA(MATCH(AH$2,Inputs!$K$4:$AJ$4,0)),NA(),IF(SUMPRODUCT((Inputs!$A$5:$A$120=$B54)*ISNUMBER(INDEX(Inputs!$K$5:$AJ$120,0,MATCH(AH$2,Inputs!$K$4:$AJ$4,0))))+SUMPRODUCT((Inputs!$C$5:$C$120=$B54)*ISNUMBER(INDEX(Inputs!$K$5:$AJ$120,0,MATCH(AH$2,Inputs!$K$4:$AJ$4,0))))+SUMPRODUCT((Inputs!$E$5:$E$120=$B54)*ISNUMBER(INDEX(Inputs!$K$5:$AJ$120,0,MATCH(AH$2,Inputs!$K$4:$AJ$4,0))))=0,NA(),SUMPRODUCT((Inputs!$A$5:$A$120=$B54)*Inputs!$B$5:$B$120*(((Inputs!$G$5:$G$120="moeda")+(Inputs!$G$5:$G$120="acoes"))*Inputs!$B$1+((Inputs!$G$5:$G$120&lt;&gt;"moeda")*(Inputs!$G$5:$G$120&lt;&gt;"acoes")))*INDEX(Inputs!$K$5:$AJ$120,0,MATCH(AH$2,Inputs!$K$4:$AJ$4,0)))+SUMPRODUCT((Inputs!$C$5:$C$120=$B54)*Inputs!$D$5:$D$120*(((Inputs!$G$5:$G$120="moeda")+(Inputs!$G$5:$G$120="acoes"))*Inputs!$B$1+((Inputs!$G$5:$G$120&lt;&gt;"moeda")*(Inputs!$G$5:$G$120&lt;&gt;"acoes")))*INDEX(Inputs!$K$5:$AJ$120,0,MATCH(AH$2,Inputs!$K$4:$AJ$4,0)))+SUMPRODUCT((Inputs!$E$5:$E$120=$B54)*Inputs!$F$5:$F$120*(((Inputs!$G$5:$G$120="moeda")+(Inputs!$G$5:$G$120="acoes"))*Inputs!$B$1+((Inputs!$G$5:$G$120&lt;&gt;"moeda")*(Inputs!$G$5:$G$120&lt;&gt;"acoes")))*INDEX(Inputs!$K$5:$AJ$120,0,MATCH(AH$2,Inputs!$K$4:$AJ$4,0)))))</f>
        <v>46</v>
      </c>
      <c r="AI54" s="513">
        <f>IF(ISNA(MATCH(AI$2,Inputs!$K$4:$AJ$4,0)),NA(),IF(SUMPRODUCT((Inputs!$A$5:$A$120=$B54)*ISNUMBER(INDEX(Inputs!$K$5:$AJ$120,0,MATCH(AI$2,Inputs!$K$4:$AJ$4,0))))+SUMPRODUCT((Inputs!$C$5:$C$120=$B54)*ISNUMBER(INDEX(Inputs!$K$5:$AJ$120,0,MATCH(AI$2,Inputs!$K$4:$AJ$4,0))))+SUMPRODUCT((Inputs!$E$5:$E$120=$B54)*ISNUMBER(INDEX(Inputs!$K$5:$AJ$120,0,MATCH(AI$2,Inputs!$K$4:$AJ$4,0))))=0,NA(),SUMPRODUCT((Inputs!$A$5:$A$120=$B54)*Inputs!$B$5:$B$120*(((Inputs!$G$5:$G$120="moeda")+(Inputs!$G$5:$G$120="acoes"))*Inputs!$B$1+((Inputs!$G$5:$G$120&lt;&gt;"moeda")*(Inputs!$G$5:$G$120&lt;&gt;"acoes")))*INDEX(Inputs!$K$5:$AJ$120,0,MATCH(AI$2,Inputs!$K$4:$AJ$4,0)))+SUMPRODUCT((Inputs!$C$5:$C$120=$B54)*Inputs!$D$5:$D$120*(((Inputs!$G$5:$G$120="moeda")+(Inputs!$G$5:$G$120="acoes"))*Inputs!$B$1+((Inputs!$G$5:$G$120&lt;&gt;"moeda")*(Inputs!$G$5:$G$120&lt;&gt;"acoes")))*INDEX(Inputs!$K$5:$AJ$120,0,MATCH(AI$2,Inputs!$K$4:$AJ$4,0)))+SUMPRODUCT((Inputs!$E$5:$E$120=$B54)*Inputs!$F$5:$F$120*(((Inputs!$G$5:$G$120="moeda")+(Inputs!$G$5:$G$120="acoes"))*Inputs!$B$1+((Inputs!$G$5:$G$120&lt;&gt;"moeda")*(Inputs!$G$5:$G$120&lt;&gt;"acoes")))*INDEX(Inputs!$K$5:$AJ$120,0,MATCH(AI$2,Inputs!$K$4:$AJ$4,0)))))</f>
        <v>76</v>
      </c>
      <c r="AJ54" s="513">
        <f>IF(ISNA(MATCH(AJ$2,Inputs!$K$4:$AJ$4,0)),NA(),IF(SUMPRODUCT((Inputs!$A$5:$A$120=$B54)*ISNUMBER(INDEX(Inputs!$K$5:$AJ$120,0,MATCH(AJ$2,Inputs!$K$4:$AJ$4,0))))+SUMPRODUCT((Inputs!$C$5:$C$120=$B54)*ISNUMBER(INDEX(Inputs!$K$5:$AJ$120,0,MATCH(AJ$2,Inputs!$K$4:$AJ$4,0))))+SUMPRODUCT((Inputs!$E$5:$E$120=$B54)*ISNUMBER(INDEX(Inputs!$K$5:$AJ$120,0,MATCH(AJ$2,Inputs!$K$4:$AJ$4,0))))=0,NA(),SUMPRODUCT((Inputs!$A$5:$A$120=$B54)*Inputs!$B$5:$B$120*(((Inputs!$G$5:$G$120="moeda")+(Inputs!$G$5:$G$120="acoes"))*Inputs!$B$1+((Inputs!$G$5:$G$120&lt;&gt;"moeda")*(Inputs!$G$5:$G$120&lt;&gt;"acoes")))*INDEX(Inputs!$K$5:$AJ$120,0,MATCH(AJ$2,Inputs!$K$4:$AJ$4,0)))+SUMPRODUCT((Inputs!$C$5:$C$120=$B54)*Inputs!$D$5:$D$120*(((Inputs!$G$5:$G$120="moeda")+(Inputs!$G$5:$G$120="acoes"))*Inputs!$B$1+((Inputs!$G$5:$G$120&lt;&gt;"moeda")*(Inputs!$G$5:$G$120&lt;&gt;"acoes")))*INDEX(Inputs!$K$5:$AJ$120,0,MATCH(AJ$2,Inputs!$K$4:$AJ$4,0)))+SUMPRODUCT((Inputs!$E$5:$E$120=$B54)*Inputs!$F$5:$F$120*(((Inputs!$G$5:$G$120="moeda")+(Inputs!$G$5:$G$120="acoes"))*Inputs!$B$1+((Inputs!$G$5:$G$120&lt;&gt;"moeda")*(Inputs!$G$5:$G$120&lt;&gt;"acoes")))*INDEX(Inputs!$K$5:$AJ$120,0,MATCH(AJ$2,Inputs!$K$4:$AJ$4,0)))))</f>
        <v>237</v>
      </c>
      <c r="AK54" s="513">
        <f>IF(ISNA(MATCH(AK$2,Inputs!$K$4:$AJ$4,0)),NA(),IF(SUMPRODUCT((Inputs!$A$5:$A$120=$B54)*ISNUMBER(INDEX(Inputs!$K$5:$AJ$120,0,MATCH(AK$2,Inputs!$K$4:$AJ$4,0))))+SUMPRODUCT((Inputs!$C$5:$C$120=$B54)*ISNUMBER(INDEX(Inputs!$K$5:$AJ$120,0,MATCH(AK$2,Inputs!$K$4:$AJ$4,0))))+SUMPRODUCT((Inputs!$E$5:$E$120=$B54)*ISNUMBER(INDEX(Inputs!$K$5:$AJ$120,0,MATCH(AK$2,Inputs!$K$4:$AJ$4,0))))=0,NA(),SUMPRODUCT((Inputs!$A$5:$A$120=$B54)*Inputs!$B$5:$B$120*(((Inputs!$G$5:$G$120="moeda")+(Inputs!$G$5:$G$120="acoes"))*Inputs!$B$1+((Inputs!$G$5:$G$120&lt;&gt;"moeda")*(Inputs!$G$5:$G$120&lt;&gt;"acoes")))*INDEX(Inputs!$K$5:$AJ$120,0,MATCH(AK$2,Inputs!$K$4:$AJ$4,0)))+SUMPRODUCT((Inputs!$C$5:$C$120=$B54)*Inputs!$D$5:$D$120*(((Inputs!$G$5:$G$120="moeda")+(Inputs!$G$5:$G$120="acoes"))*Inputs!$B$1+((Inputs!$G$5:$G$120&lt;&gt;"moeda")*(Inputs!$G$5:$G$120&lt;&gt;"acoes")))*INDEX(Inputs!$K$5:$AJ$120,0,MATCH(AK$2,Inputs!$K$4:$AJ$4,0)))+SUMPRODUCT((Inputs!$E$5:$E$120=$B54)*Inputs!$F$5:$F$120*(((Inputs!$G$5:$G$120="moeda")+(Inputs!$G$5:$G$120="acoes"))*Inputs!$B$1+((Inputs!$G$5:$G$120&lt;&gt;"moeda")*(Inputs!$G$5:$G$120&lt;&gt;"acoes")))*INDEX(Inputs!$K$5:$AJ$120,0,MATCH(AK$2,Inputs!$K$4:$AJ$4,0)))))</f>
        <v>244</v>
      </c>
      <c r="AL54" s="514">
        <f>SUM(AH54:AK54)</f>
        <v>603</v>
      </c>
    </row>
    <row r="55">
      <c r="B55" s="265" t="n">
        <v>47</v>
      </c>
      <c r="C55" s="266" t="inlineStr">
        <is>
          <t>Cerro Verde - receita (USD)</t>
        </is>
      </c>
      <c r="D55" s="513">
        <f>IF(ISNA(MATCH(D$2,Inputs!$K$4:$AJ$4,0)),NA(),IF(SUMPRODUCT((Inputs!$A$5:$A$120=$B55)*ISNUMBER(INDEX(Inputs!$K$5:$AJ$120,0,MATCH(D$2,Inputs!$K$4:$AJ$4,0))))+SUMPRODUCT((Inputs!$C$5:$C$120=$B55)*ISNUMBER(INDEX(Inputs!$K$5:$AJ$120,0,MATCH(D$2,Inputs!$K$4:$AJ$4,0))))+SUMPRODUCT((Inputs!$E$5:$E$120=$B55)*ISNUMBER(INDEX(Inputs!$K$5:$AJ$120,0,MATCH(D$2,Inputs!$K$4:$AJ$4,0))))=0,NA(),SUMPRODUCT((Inputs!$A$5:$A$120=$B55)*Inputs!$B$5:$B$120*(((Inputs!$G$5:$G$120="moeda")+(Inputs!$G$5:$G$120="acoes"))*Inputs!$B$1+((Inputs!$G$5:$G$120&lt;&gt;"moeda")*(Inputs!$G$5:$G$120&lt;&gt;"acoes")))*INDEX(Inputs!$K$5:$AJ$120,0,MATCH(D$2,Inputs!$K$4:$AJ$4,0)))+SUMPRODUCT((Inputs!$C$5:$C$120=$B55)*Inputs!$D$5:$D$120*(((Inputs!$G$5:$G$120="moeda")+(Inputs!$G$5:$G$120="acoes"))*Inputs!$B$1+((Inputs!$G$5:$G$120&lt;&gt;"moeda")*(Inputs!$G$5:$G$120&lt;&gt;"acoes")))*INDEX(Inputs!$K$5:$AJ$120,0,MATCH(D$2,Inputs!$K$4:$AJ$4,0)))+SUMPRODUCT((Inputs!$E$5:$E$120=$B55)*Inputs!$F$5:$F$120*(((Inputs!$G$5:$G$120="moeda")+(Inputs!$G$5:$G$120="acoes"))*Inputs!$B$1+((Inputs!$G$5:$G$120&lt;&gt;"moeda")*(Inputs!$G$5:$G$120&lt;&gt;"acoes")))*INDEX(Inputs!$K$5:$AJ$120,0,MATCH(D$2,Inputs!$K$4:$AJ$4,0)))))</f>
        <v>962</v>
      </c>
      <c r="E55" s="513">
        <f>IF(ISNA(MATCH(E$2,Inputs!$K$4:$AJ$4,0)),NA(),IF(SUMPRODUCT((Inputs!$A$5:$A$120=$B55)*ISNUMBER(INDEX(Inputs!$K$5:$AJ$120,0,MATCH(E$2,Inputs!$K$4:$AJ$4,0))))+SUMPRODUCT((Inputs!$C$5:$C$120=$B55)*ISNUMBER(INDEX(Inputs!$K$5:$AJ$120,0,MATCH(E$2,Inputs!$K$4:$AJ$4,0))))+SUMPRODUCT((Inputs!$E$5:$E$120=$B55)*ISNUMBER(INDEX(Inputs!$K$5:$AJ$120,0,MATCH(E$2,Inputs!$K$4:$AJ$4,0))))=0,NA(),SUMPRODUCT((Inputs!$A$5:$A$120=$B55)*Inputs!$B$5:$B$120*(((Inputs!$G$5:$G$120="moeda")+(Inputs!$G$5:$G$120="acoes"))*Inputs!$B$1+((Inputs!$G$5:$G$120&lt;&gt;"moeda")*(Inputs!$G$5:$G$120&lt;&gt;"acoes")))*INDEX(Inputs!$K$5:$AJ$120,0,MATCH(E$2,Inputs!$K$4:$AJ$4,0)))+SUMPRODUCT((Inputs!$C$5:$C$120=$B55)*Inputs!$D$5:$D$120*(((Inputs!$G$5:$G$120="moeda")+(Inputs!$G$5:$G$120="acoes"))*Inputs!$B$1+((Inputs!$G$5:$G$120&lt;&gt;"moeda")*(Inputs!$G$5:$G$120&lt;&gt;"acoes")))*INDEX(Inputs!$K$5:$AJ$120,0,MATCH(E$2,Inputs!$K$4:$AJ$4,0)))+SUMPRODUCT((Inputs!$E$5:$E$120=$B55)*Inputs!$F$5:$F$120*(((Inputs!$G$5:$G$120="moeda")+(Inputs!$G$5:$G$120="acoes"))*Inputs!$B$1+((Inputs!$G$5:$G$120&lt;&gt;"moeda")*(Inputs!$G$5:$G$120&lt;&gt;"acoes")))*INDEX(Inputs!$K$5:$AJ$120,0,MATCH(E$2,Inputs!$K$4:$AJ$4,0)))))</f>
        <v>945</v>
      </c>
      <c r="F55" s="513">
        <f>IF(ISNA(MATCH(F$2,Inputs!$K$4:$AJ$4,0)),NA(),IF(SUMPRODUCT((Inputs!$A$5:$A$120=$B55)*ISNUMBER(INDEX(Inputs!$K$5:$AJ$120,0,MATCH(F$2,Inputs!$K$4:$AJ$4,0))))+SUMPRODUCT((Inputs!$C$5:$C$120=$B55)*ISNUMBER(INDEX(Inputs!$K$5:$AJ$120,0,MATCH(F$2,Inputs!$K$4:$AJ$4,0))))+SUMPRODUCT((Inputs!$E$5:$E$120=$B55)*ISNUMBER(INDEX(Inputs!$K$5:$AJ$120,0,MATCH(F$2,Inputs!$K$4:$AJ$4,0))))=0,NA(),SUMPRODUCT((Inputs!$A$5:$A$120=$B55)*Inputs!$B$5:$B$120*(((Inputs!$G$5:$G$120="moeda")+(Inputs!$G$5:$G$120="acoes"))*Inputs!$B$1+((Inputs!$G$5:$G$120&lt;&gt;"moeda")*(Inputs!$G$5:$G$120&lt;&gt;"acoes")))*INDEX(Inputs!$K$5:$AJ$120,0,MATCH(F$2,Inputs!$K$4:$AJ$4,0)))+SUMPRODUCT((Inputs!$C$5:$C$120=$B55)*Inputs!$D$5:$D$120*(((Inputs!$G$5:$G$120="moeda")+(Inputs!$G$5:$G$120="acoes"))*Inputs!$B$1+((Inputs!$G$5:$G$120&lt;&gt;"moeda")*(Inputs!$G$5:$G$120&lt;&gt;"acoes")))*INDEX(Inputs!$K$5:$AJ$120,0,MATCH(F$2,Inputs!$K$4:$AJ$4,0)))+SUMPRODUCT((Inputs!$E$5:$E$120=$B55)*Inputs!$F$5:$F$120*(((Inputs!$G$5:$G$120="moeda")+(Inputs!$G$5:$G$120="acoes"))*Inputs!$B$1+((Inputs!$G$5:$G$120&lt;&gt;"moeda")*(Inputs!$G$5:$G$120&lt;&gt;"acoes")))*INDEX(Inputs!$K$5:$AJ$120,0,MATCH(F$2,Inputs!$K$4:$AJ$4,0)))))</f>
        <v>1074</v>
      </c>
      <c r="G55" s="513">
        <f>IF(ISNA(MATCH(G$2,Inputs!$K$4:$AJ$4,0)),NA(),IF(SUMPRODUCT((Inputs!$A$5:$A$120=$B55)*ISNUMBER(INDEX(Inputs!$K$5:$AJ$120,0,MATCH(G$2,Inputs!$K$4:$AJ$4,0))))+SUMPRODUCT((Inputs!$C$5:$C$120=$B55)*ISNUMBER(INDEX(Inputs!$K$5:$AJ$120,0,MATCH(G$2,Inputs!$K$4:$AJ$4,0))))+SUMPRODUCT((Inputs!$E$5:$E$120=$B55)*ISNUMBER(INDEX(Inputs!$K$5:$AJ$120,0,MATCH(G$2,Inputs!$K$4:$AJ$4,0))))=0,NA(),SUMPRODUCT((Inputs!$A$5:$A$120=$B55)*Inputs!$B$5:$B$120*(((Inputs!$G$5:$G$120="moeda")+(Inputs!$G$5:$G$120="acoes"))*Inputs!$B$1+((Inputs!$G$5:$G$120&lt;&gt;"moeda")*(Inputs!$G$5:$G$120&lt;&gt;"acoes")))*INDEX(Inputs!$K$5:$AJ$120,0,MATCH(G$2,Inputs!$K$4:$AJ$4,0)))+SUMPRODUCT((Inputs!$C$5:$C$120=$B55)*Inputs!$D$5:$D$120*(((Inputs!$G$5:$G$120="moeda")+(Inputs!$G$5:$G$120="acoes"))*Inputs!$B$1+((Inputs!$G$5:$G$120&lt;&gt;"moeda")*(Inputs!$G$5:$G$120&lt;&gt;"acoes")))*INDEX(Inputs!$K$5:$AJ$120,0,MATCH(G$2,Inputs!$K$4:$AJ$4,0)))+SUMPRODUCT((Inputs!$E$5:$E$120=$B55)*Inputs!$F$5:$F$120*(((Inputs!$G$5:$G$120="moeda")+(Inputs!$G$5:$G$120="acoes"))*Inputs!$B$1+((Inputs!$G$5:$G$120&lt;&gt;"moeda")*(Inputs!$G$5:$G$120&lt;&gt;"acoes")))*INDEX(Inputs!$K$5:$AJ$120,0,MATCH(G$2,Inputs!$K$4:$AJ$4,0)))))</f>
        <v>1215</v>
      </c>
      <c r="H55" s="514">
        <f>SUM(D55:G55)</f>
        <v>4196</v>
      </c>
      <c r="I55" s="513">
        <f>IF(ISNA(MATCH(I$2,Inputs!$K$4:$AJ$4,0)),NA(),IF(SUMPRODUCT((Inputs!$A$5:$A$120=$B55)*ISNUMBER(INDEX(Inputs!$K$5:$AJ$120,0,MATCH(I$2,Inputs!$K$4:$AJ$4,0))))+SUMPRODUCT((Inputs!$C$5:$C$120=$B55)*ISNUMBER(INDEX(Inputs!$K$5:$AJ$120,0,MATCH(I$2,Inputs!$K$4:$AJ$4,0))))+SUMPRODUCT((Inputs!$E$5:$E$120=$B55)*ISNUMBER(INDEX(Inputs!$K$5:$AJ$120,0,MATCH(I$2,Inputs!$K$4:$AJ$4,0))))=0,NA(),SUMPRODUCT((Inputs!$A$5:$A$120=$B55)*Inputs!$B$5:$B$120*(((Inputs!$G$5:$G$120="moeda")+(Inputs!$G$5:$G$120="acoes"))*Inputs!$B$1+((Inputs!$G$5:$G$120&lt;&gt;"moeda")*(Inputs!$G$5:$G$120&lt;&gt;"acoes")))*INDEX(Inputs!$K$5:$AJ$120,0,MATCH(I$2,Inputs!$K$4:$AJ$4,0)))+SUMPRODUCT((Inputs!$C$5:$C$120=$B55)*Inputs!$D$5:$D$120*(((Inputs!$G$5:$G$120="moeda")+(Inputs!$G$5:$G$120="acoes"))*Inputs!$B$1+((Inputs!$G$5:$G$120&lt;&gt;"moeda")*(Inputs!$G$5:$G$120&lt;&gt;"acoes")))*INDEX(Inputs!$K$5:$AJ$120,0,MATCH(I$2,Inputs!$K$4:$AJ$4,0)))+SUMPRODUCT((Inputs!$E$5:$E$120=$B55)*Inputs!$F$5:$F$120*(((Inputs!$G$5:$G$120="moeda")+(Inputs!$G$5:$G$120="acoes"))*Inputs!$B$1+((Inputs!$G$5:$G$120&lt;&gt;"moeda")*(Inputs!$G$5:$G$120&lt;&gt;"acoes")))*INDEX(Inputs!$K$5:$AJ$120,0,MATCH(I$2,Inputs!$K$4:$AJ$4,0)))))</f>
        <v>1214</v>
      </c>
      <c r="J55" s="513">
        <f>IF(ISNA(MATCH(J$2,Inputs!$K$4:$AJ$4,0)),NA(),IF(SUMPRODUCT((Inputs!$A$5:$A$120=$B55)*ISNUMBER(INDEX(Inputs!$K$5:$AJ$120,0,MATCH(J$2,Inputs!$K$4:$AJ$4,0))))+SUMPRODUCT((Inputs!$C$5:$C$120=$B55)*ISNUMBER(INDEX(Inputs!$K$5:$AJ$120,0,MATCH(J$2,Inputs!$K$4:$AJ$4,0))))+SUMPRODUCT((Inputs!$E$5:$E$120=$B55)*ISNUMBER(INDEX(Inputs!$K$5:$AJ$120,0,MATCH(J$2,Inputs!$K$4:$AJ$4,0))))=0,NA(),SUMPRODUCT((Inputs!$A$5:$A$120=$B55)*Inputs!$B$5:$B$120*(((Inputs!$G$5:$G$120="moeda")+(Inputs!$G$5:$G$120="acoes"))*Inputs!$B$1+((Inputs!$G$5:$G$120&lt;&gt;"moeda")*(Inputs!$G$5:$G$120&lt;&gt;"acoes")))*INDEX(Inputs!$K$5:$AJ$120,0,MATCH(J$2,Inputs!$K$4:$AJ$4,0)))+SUMPRODUCT((Inputs!$C$5:$C$120=$B55)*Inputs!$D$5:$D$120*(((Inputs!$G$5:$G$120="moeda")+(Inputs!$G$5:$G$120="acoes"))*Inputs!$B$1+((Inputs!$G$5:$G$120&lt;&gt;"moeda")*(Inputs!$G$5:$G$120&lt;&gt;"acoes")))*INDEX(Inputs!$K$5:$AJ$120,0,MATCH(J$2,Inputs!$K$4:$AJ$4,0)))+SUMPRODUCT((Inputs!$E$5:$E$120=$B55)*Inputs!$F$5:$F$120*(((Inputs!$G$5:$G$120="moeda")+(Inputs!$G$5:$G$120="acoes"))*Inputs!$B$1+((Inputs!$G$5:$G$120&lt;&gt;"moeda")*(Inputs!$G$5:$G$120&lt;&gt;"acoes")))*INDEX(Inputs!$K$5:$AJ$120,0,MATCH(J$2,Inputs!$K$4:$AJ$4,0)))))</f>
        <v>836</v>
      </c>
      <c r="K55" s="513">
        <f>IF(ISNA(MATCH(K$2,Inputs!$K$4:$AJ$4,0)),NA(),IF(SUMPRODUCT((Inputs!$A$5:$A$120=$B55)*ISNUMBER(INDEX(Inputs!$K$5:$AJ$120,0,MATCH(K$2,Inputs!$K$4:$AJ$4,0))))+SUMPRODUCT((Inputs!$C$5:$C$120=$B55)*ISNUMBER(INDEX(Inputs!$K$5:$AJ$120,0,MATCH(K$2,Inputs!$K$4:$AJ$4,0))))+SUMPRODUCT((Inputs!$E$5:$E$120=$B55)*ISNUMBER(INDEX(Inputs!$K$5:$AJ$120,0,MATCH(K$2,Inputs!$K$4:$AJ$4,0))))=0,NA(),SUMPRODUCT((Inputs!$A$5:$A$120=$B55)*Inputs!$B$5:$B$120*(((Inputs!$G$5:$G$120="moeda")+(Inputs!$G$5:$G$120="acoes"))*Inputs!$B$1+((Inputs!$G$5:$G$120&lt;&gt;"moeda")*(Inputs!$G$5:$G$120&lt;&gt;"acoes")))*INDEX(Inputs!$K$5:$AJ$120,0,MATCH(K$2,Inputs!$K$4:$AJ$4,0)))+SUMPRODUCT((Inputs!$C$5:$C$120=$B55)*Inputs!$D$5:$D$120*(((Inputs!$G$5:$G$120="moeda")+(Inputs!$G$5:$G$120="acoes"))*Inputs!$B$1+((Inputs!$G$5:$G$120&lt;&gt;"moeda")*(Inputs!$G$5:$G$120&lt;&gt;"acoes")))*INDEX(Inputs!$K$5:$AJ$120,0,MATCH(K$2,Inputs!$K$4:$AJ$4,0)))+SUMPRODUCT((Inputs!$E$5:$E$120=$B55)*Inputs!$F$5:$F$120*(((Inputs!$G$5:$G$120="moeda")+(Inputs!$G$5:$G$120="acoes"))*Inputs!$B$1+((Inputs!$G$5:$G$120&lt;&gt;"moeda")*(Inputs!$G$5:$G$120&lt;&gt;"acoes")))*INDEX(Inputs!$K$5:$AJ$120,0,MATCH(K$2,Inputs!$K$4:$AJ$4,0)))))</f>
        <v>749</v>
      </c>
      <c r="L55" s="513">
        <f>IF(ISNA(MATCH(L$2,Inputs!$K$4:$AJ$4,0)),NA(),IF(SUMPRODUCT((Inputs!$A$5:$A$120=$B55)*ISNUMBER(INDEX(Inputs!$K$5:$AJ$120,0,MATCH(L$2,Inputs!$K$4:$AJ$4,0))))+SUMPRODUCT((Inputs!$C$5:$C$120=$B55)*ISNUMBER(INDEX(Inputs!$K$5:$AJ$120,0,MATCH(L$2,Inputs!$K$4:$AJ$4,0))))+SUMPRODUCT((Inputs!$E$5:$E$120=$B55)*ISNUMBER(INDEX(Inputs!$K$5:$AJ$120,0,MATCH(L$2,Inputs!$K$4:$AJ$4,0))))=0,NA(),SUMPRODUCT((Inputs!$A$5:$A$120=$B55)*Inputs!$B$5:$B$120*(((Inputs!$G$5:$G$120="moeda")+(Inputs!$G$5:$G$120="acoes"))*Inputs!$B$1+((Inputs!$G$5:$G$120&lt;&gt;"moeda")*(Inputs!$G$5:$G$120&lt;&gt;"acoes")))*INDEX(Inputs!$K$5:$AJ$120,0,MATCH(L$2,Inputs!$K$4:$AJ$4,0)))+SUMPRODUCT((Inputs!$C$5:$C$120=$B55)*Inputs!$D$5:$D$120*(((Inputs!$G$5:$G$120="moeda")+(Inputs!$G$5:$G$120="acoes"))*Inputs!$B$1+((Inputs!$G$5:$G$120&lt;&gt;"moeda")*(Inputs!$G$5:$G$120&lt;&gt;"acoes")))*INDEX(Inputs!$K$5:$AJ$120,0,MATCH(L$2,Inputs!$K$4:$AJ$4,0)))+SUMPRODUCT((Inputs!$E$5:$E$120=$B55)*Inputs!$F$5:$F$120*(((Inputs!$G$5:$G$120="moeda")+(Inputs!$G$5:$G$120="acoes"))*Inputs!$B$1+((Inputs!$G$5:$G$120&lt;&gt;"moeda")*(Inputs!$G$5:$G$120&lt;&gt;"acoes")))*INDEX(Inputs!$K$5:$AJ$120,0,MATCH(L$2,Inputs!$K$4:$AJ$4,0)))))</f>
        <v>1151</v>
      </c>
      <c r="M55" s="514">
        <f>SUM(I55:L55)</f>
        <v>3950</v>
      </c>
      <c r="N55" s="513">
        <f>IF(ISNA(MATCH(N$2,Inputs!$K$4:$AJ$4,0)),NA(),IF(SUMPRODUCT((Inputs!$A$5:$A$120=$B55)*ISNUMBER(INDEX(Inputs!$K$5:$AJ$120,0,MATCH(N$2,Inputs!$K$4:$AJ$4,0))))+SUMPRODUCT((Inputs!$C$5:$C$120=$B55)*ISNUMBER(INDEX(Inputs!$K$5:$AJ$120,0,MATCH(N$2,Inputs!$K$4:$AJ$4,0))))+SUMPRODUCT((Inputs!$E$5:$E$120=$B55)*ISNUMBER(INDEX(Inputs!$K$5:$AJ$120,0,MATCH(N$2,Inputs!$K$4:$AJ$4,0))))=0,NA(),SUMPRODUCT((Inputs!$A$5:$A$120=$B55)*Inputs!$B$5:$B$120*(((Inputs!$G$5:$G$120="moeda")+(Inputs!$G$5:$G$120="acoes"))*Inputs!$B$1+((Inputs!$G$5:$G$120&lt;&gt;"moeda")*(Inputs!$G$5:$G$120&lt;&gt;"acoes")))*INDEX(Inputs!$K$5:$AJ$120,0,MATCH(N$2,Inputs!$K$4:$AJ$4,0)))+SUMPRODUCT((Inputs!$C$5:$C$120=$B55)*Inputs!$D$5:$D$120*(((Inputs!$G$5:$G$120="moeda")+(Inputs!$G$5:$G$120="acoes"))*Inputs!$B$1+((Inputs!$G$5:$G$120&lt;&gt;"moeda")*(Inputs!$G$5:$G$120&lt;&gt;"acoes")))*INDEX(Inputs!$K$5:$AJ$120,0,MATCH(N$2,Inputs!$K$4:$AJ$4,0)))+SUMPRODUCT((Inputs!$E$5:$E$120=$B55)*Inputs!$F$5:$F$120*(((Inputs!$G$5:$G$120="moeda")+(Inputs!$G$5:$G$120="acoes"))*Inputs!$B$1+((Inputs!$G$5:$G$120&lt;&gt;"moeda")*(Inputs!$G$5:$G$120&lt;&gt;"acoes")))*INDEX(Inputs!$K$5:$AJ$120,0,MATCH(N$2,Inputs!$K$4:$AJ$4,0)))))</f>
        <v>1202</v>
      </c>
      <c r="O55" s="513">
        <f>IF(ISNA(MATCH(O$2,Inputs!$K$4:$AJ$4,0)),NA(),IF(SUMPRODUCT((Inputs!$A$5:$A$120=$B55)*ISNUMBER(INDEX(Inputs!$K$5:$AJ$120,0,MATCH(O$2,Inputs!$K$4:$AJ$4,0))))+SUMPRODUCT((Inputs!$C$5:$C$120=$B55)*ISNUMBER(INDEX(Inputs!$K$5:$AJ$120,0,MATCH(O$2,Inputs!$K$4:$AJ$4,0))))+SUMPRODUCT((Inputs!$E$5:$E$120=$B55)*ISNUMBER(INDEX(Inputs!$K$5:$AJ$120,0,MATCH(O$2,Inputs!$K$4:$AJ$4,0))))=0,NA(),SUMPRODUCT((Inputs!$A$5:$A$120=$B55)*Inputs!$B$5:$B$120*(((Inputs!$G$5:$G$120="moeda")+(Inputs!$G$5:$G$120="acoes"))*Inputs!$B$1+((Inputs!$G$5:$G$120&lt;&gt;"moeda")*(Inputs!$G$5:$G$120&lt;&gt;"acoes")))*INDEX(Inputs!$K$5:$AJ$120,0,MATCH(O$2,Inputs!$K$4:$AJ$4,0)))+SUMPRODUCT((Inputs!$C$5:$C$120=$B55)*Inputs!$D$5:$D$120*(((Inputs!$G$5:$G$120="moeda")+(Inputs!$G$5:$G$120="acoes"))*Inputs!$B$1+((Inputs!$G$5:$G$120&lt;&gt;"moeda")*(Inputs!$G$5:$G$120&lt;&gt;"acoes")))*INDEX(Inputs!$K$5:$AJ$120,0,MATCH(O$2,Inputs!$K$4:$AJ$4,0)))+SUMPRODUCT((Inputs!$E$5:$E$120=$B55)*Inputs!$F$5:$F$120*(((Inputs!$G$5:$G$120="moeda")+(Inputs!$G$5:$G$120="acoes"))*Inputs!$B$1+((Inputs!$G$5:$G$120&lt;&gt;"moeda")*(Inputs!$G$5:$G$120&lt;&gt;"acoes")))*INDEX(Inputs!$K$5:$AJ$120,0,MATCH(O$2,Inputs!$K$4:$AJ$4,0)))))</f>
        <v>958</v>
      </c>
      <c r="P55" s="513">
        <f>IF(ISNA(MATCH(P$2,Inputs!$K$4:$AJ$4,0)),NA(),IF(SUMPRODUCT((Inputs!$A$5:$A$120=$B55)*ISNUMBER(INDEX(Inputs!$K$5:$AJ$120,0,MATCH(P$2,Inputs!$K$4:$AJ$4,0))))+SUMPRODUCT((Inputs!$C$5:$C$120=$B55)*ISNUMBER(INDEX(Inputs!$K$5:$AJ$120,0,MATCH(P$2,Inputs!$K$4:$AJ$4,0))))+SUMPRODUCT((Inputs!$E$5:$E$120=$B55)*ISNUMBER(INDEX(Inputs!$K$5:$AJ$120,0,MATCH(P$2,Inputs!$K$4:$AJ$4,0))))=0,NA(),SUMPRODUCT((Inputs!$A$5:$A$120=$B55)*Inputs!$B$5:$B$120*(((Inputs!$G$5:$G$120="moeda")+(Inputs!$G$5:$G$120="acoes"))*Inputs!$B$1+((Inputs!$G$5:$G$120&lt;&gt;"moeda")*(Inputs!$G$5:$G$120&lt;&gt;"acoes")))*INDEX(Inputs!$K$5:$AJ$120,0,MATCH(P$2,Inputs!$K$4:$AJ$4,0)))+SUMPRODUCT((Inputs!$C$5:$C$120=$B55)*Inputs!$D$5:$D$120*(((Inputs!$G$5:$G$120="moeda")+(Inputs!$G$5:$G$120="acoes"))*Inputs!$B$1+((Inputs!$G$5:$G$120&lt;&gt;"moeda")*(Inputs!$G$5:$G$120&lt;&gt;"acoes")))*INDEX(Inputs!$K$5:$AJ$120,0,MATCH(P$2,Inputs!$K$4:$AJ$4,0)))+SUMPRODUCT((Inputs!$E$5:$E$120=$B55)*Inputs!$F$5:$F$120*(((Inputs!$G$5:$G$120="moeda")+(Inputs!$G$5:$G$120="acoes"))*Inputs!$B$1+((Inputs!$G$5:$G$120&lt;&gt;"moeda")*(Inputs!$G$5:$G$120&lt;&gt;"acoes")))*INDEX(Inputs!$K$5:$AJ$120,0,MATCH(P$2,Inputs!$K$4:$AJ$4,0)))))</f>
        <v>1041</v>
      </c>
      <c r="Q55" s="513">
        <f>IF(ISNA(MATCH(Q$2,Inputs!$K$4:$AJ$4,0)),NA(),IF(SUMPRODUCT((Inputs!$A$5:$A$120=$B55)*ISNUMBER(INDEX(Inputs!$K$5:$AJ$120,0,MATCH(Q$2,Inputs!$K$4:$AJ$4,0))))+SUMPRODUCT((Inputs!$C$5:$C$120=$B55)*ISNUMBER(INDEX(Inputs!$K$5:$AJ$120,0,MATCH(Q$2,Inputs!$K$4:$AJ$4,0))))+SUMPRODUCT((Inputs!$E$5:$E$120=$B55)*ISNUMBER(INDEX(Inputs!$K$5:$AJ$120,0,MATCH(Q$2,Inputs!$K$4:$AJ$4,0))))=0,NA(),SUMPRODUCT((Inputs!$A$5:$A$120=$B55)*Inputs!$B$5:$B$120*(((Inputs!$G$5:$G$120="moeda")+(Inputs!$G$5:$G$120="acoes"))*Inputs!$B$1+((Inputs!$G$5:$G$120&lt;&gt;"moeda")*(Inputs!$G$5:$G$120&lt;&gt;"acoes")))*INDEX(Inputs!$K$5:$AJ$120,0,MATCH(Q$2,Inputs!$K$4:$AJ$4,0)))+SUMPRODUCT((Inputs!$C$5:$C$120=$B55)*Inputs!$D$5:$D$120*(((Inputs!$G$5:$G$120="moeda")+(Inputs!$G$5:$G$120="acoes"))*Inputs!$B$1+((Inputs!$G$5:$G$120&lt;&gt;"moeda")*(Inputs!$G$5:$G$120&lt;&gt;"acoes")))*INDEX(Inputs!$K$5:$AJ$120,0,MATCH(Q$2,Inputs!$K$4:$AJ$4,0)))+SUMPRODUCT((Inputs!$E$5:$E$120=$B55)*Inputs!$F$5:$F$120*(((Inputs!$G$5:$G$120="moeda")+(Inputs!$G$5:$G$120="acoes"))*Inputs!$B$1+((Inputs!$G$5:$G$120&lt;&gt;"moeda")*(Inputs!$G$5:$G$120&lt;&gt;"acoes")))*INDEX(Inputs!$K$5:$AJ$120,0,MATCH(Q$2,Inputs!$K$4:$AJ$4,0)))))</f>
        <v>916</v>
      </c>
      <c r="R55" s="514">
        <f>SUM(N55:Q55)</f>
        <v>4117</v>
      </c>
      <c r="S55" s="513">
        <f>IF(ISNA(MATCH(S$2,Inputs!$K$4:$AJ$4,0)),NA(),IF(SUMPRODUCT((Inputs!$A$5:$A$120=$B55)*ISNUMBER(INDEX(Inputs!$K$5:$AJ$120,0,MATCH(S$2,Inputs!$K$4:$AJ$4,0))))+SUMPRODUCT((Inputs!$C$5:$C$120=$B55)*ISNUMBER(INDEX(Inputs!$K$5:$AJ$120,0,MATCH(S$2,Inputs!$K$4:$AJ$4,0))))+SUMPRODUCT((Inputs!$E$5:$E$120=$B55)*ISNUMBER(INDEX(Inputs!$K$5:$AJ$120,0,MATCH(S$2,Inputs!$K$4:$AJ$4,0))))=0,NA(),SUMPRODUCT((Inputs!$A$5:$A$120=$B55)*Inputs!$B$5:$B$120*(((Inputs!$G$5:$G$120="moeda")+(Inputs!$G$5:$G$120="acoes"))*Inputs!$B$1+((Inputs!$G$5:$G$120&lt;&gt;"moeda")*(Inputs!$G$5:$G$120&lt;&gt;"acoes")))*INDEX(Inputs!$K$5:$AJ$120,0,MATCH(S$2,Inputs!$K$4:$AJ$4,0)))+SUMPRODUCT((Inputs!$C$5:$C$120=$B55)*Inputs!$D$5:$D$120*(((Inputs!$G$5:$G$120="moeda")+(Inputs!$G$5:$G$120="acoes"))*Inputs!$B$1+((Inputs!$G$5:$G$120&lt;&gt;"moeda")*(Inputs!$G$5:$G$120&lt;&gt;"acoes")))*INDEX(Inputs!$K$5:$AJ$120,0,MATCH(S$2,Inputs!$K$4:$AJ$4,0)))+SUMPRODUCT((Inputs!$E$5:$E$120=$B55)*Inputs!$F$5:$F$120*(((Inputs!$G$5:$G$120="moeda")+(Inputs!$G$5:$G$120="acoes"))*Inputs!$B$1+((Inputs!$G$5:$G$120&lt;&gt;"moeda")*(Inputs!$G$5:$G$120&lt;&gt;"acoes")))*INDEX(Inputs!$K$5:$AJ$120,0,MATCH(S$2,Inputs!$K$4:$AJ$4,0)))))</f>
        <v>928</v>
      </c>
      <c r="T55" s="513">
        <f>IF(ISNA(MATCH(T$2,Inputs!$K$4:$AJ$4,0)),NA(),IF(SUMPRODUCT((Inputs!$A$5:$A$120=$B55)*ISNUMBER(INDEX(Inputs!$K$5:$AJ$120,0,MATCH(T$2,Inputs!$K$4:$AJ$4,0))))+SUMPRODUCT((Inputs!$C$5:$C$120=$B55)*ISNUMBER(INDEX(Inputs!$K$5:$AJ$120,0,MATCH(T$2,Inputs!$K$4:$AJ$4,0))))+SUMPRODUCT((Inputs!$E$5:$E$120=$B55)*ISNUMBER(INDEX(Inputs!$K$5:$AJ$120,0,MATCH(T$2,Inputs!$K$4:$AJ$4,0))))=0,NA(),SUMPRODUCT((Inputs!$A$5:$A$120=$B55)*Inputs!$B$5:$B$120*(((Inputs!$G$5:$G$120="moeda")+(Inputs!$G$5:$G$120="acoes"))*Inputs!$B$1+((Inputs!$G$5:$G$120&lt;&gt;"moeda")*(Inputs!$G$5:$G$120&lt;&gt;"acoes")))*INDEX(Inputs!$K$5:$AJ$120,0,MATCH(T$2,Inputs!$K$4:$AJ$4,0)))+SUMPRODUCT((Inputs!$C$5:$C$120=$B55)*Inputs!$D$5:$D$120*(((Inputs!$G$5:$G$120="moeda")+(Inputs!$G$5:$G$120="acoes"))*Inputs!$B$1+((Inputs!$G$5:$G$120&lt;&gt;"moeda")*(Inputs!$G$5:$G$120&lt;&gt;"acoes")))*INDEX(Inputs!$K$5:$AJ$120,0,MATCH(T$2,Inputs!$K$4:$AJ$4,0)))+SUMPRODUCT((Inputs!$E$5:$E$120=$B55)*Inputs!$F$5:$F$120*(((Inputs!$G$5:$G$120="moeda")+(Inputs!$G$5:$G$120="acoes"))*Inputs!$B$1+((Inputs!$G$5:$G$120&lt;&gt;"moeda")*(Inputs!$G$5:$G$120&lt;&gt;"acoes")))*INDEX(Inputs!$K$5:$AJ$120,0,MATCH(T$2,Inputs!$K$4:$AJ$4,0)))))</f>
        <v>1257</v>
      </c>
      <c r="U55" s="513">
        <f>IF(ISNA(MATCH(U$2,Inputs!$K$4:$AJ$4,0)),NA(),IF(SUMPRODUCT((Inputs!$A$5:$A$120=$B55)*ISNUMBER(INDEX(Inputs!$K$5:$AJ$120,0,MATCH(U$2,Inputs!$K$4:$AJ$4,0))))+SUMPRODUCT((Inputs!$C$5:$C$120=$B55)*ISNUMBER(INDEX(Inputs!$K$5:$AJ$120,0,MATCH(U$2,Inputs!$K$4:$AJ$4,0))))+SUMPRODUCT((Inputs!$E$5:$E$120=$B55)*ISNUMBER(INDEX(Inputs!$K$5:$AJ$120,0,MATCH(U$2,Inputs!$K$4:$AJ$4,0))))=0,NA(),SUMPRODUCT((Inputs!$A$5:$A$120=$B55)*Inputs!$B$5:$B$120*(((Inputs!$G$5:$G$120="moeda")+(Inputs!$G$5:$G$120="acoes"))*Inputs!$B$1+((Inputs!$G$5:$G$120&lt;&gt;"moeda")*(Inputs!$G$5:$G$120&lt;&gt;"acoes")))*INDEX(Inputs!$K$5:$AJ$120,0,MATCH(U$2,Inputs!$K$4:$AJ$4,0)))+SUMPRODUCT((Inputs!$C$5:$C$120=$B55)*Inputs!$D$5:$D$120*(((Inputs!$G$5:$G$120="moeda")+(Inputs!$G$5:$G$120="acoes"))*Inputs!$B$1+((Inputs!$G$5:$G$120&lt;&gt;"moeda")*(Inputs!$G$5:$G$120&lt;&gt;"acoes")))*INDEX(Inputs!$K$5:$AJ$120,0,MATCH(U$2,Inputs!$K$4:$AJ$4,0)))+SUMPRODUCT((Inputs!$E$5:$E$120=$B55)*Inputs!$F$5:$F$120*(((Inputs!$G$5:$G$120="moeda")+(Inputs!$G$5:$G$120="acoes"))*Inputs!$B$1+((Inputs!$G$5:$G$120&lt;&gt;"moeda")*(Inputs!$G$5:$G$120&lt;&gt;"acoes")))*INDEX(Inputs!$K$5:$AJ$120,0,MATCH(U$2,Inputs!$K$4:$AJ$4,0)))))</f>
        <v>1079</v>
      </c>
      <c r="V55" s="513">
        <f>IF(ISNA(MATCH(V$2,Inputs!$K$4:$AJ$4,0)),NA(),IF(SUMPRODUCT((Inputs!$A$5:$A$120=$B55)*ISNUMBER(INDEX(Inputs!$K$5:$AJ$120,0,MATCH(V$2,Inputs!$K$4:$AJ$4,0))))+SUMPRODUCT((Inputs!$C$5:$C$120=$B55)*ISNUMBER(INDEX(Inputs!$K$5:$AJ$120,0,MATCH(V$2,Inputs!$K$4:$AJ$4,0))))+SUMPRODUCT((Inputs!$E$5:$E$120=$B55)*ISNUMBER(INDEX(Inputs!$K$5:$AJ$120,0,MATCH(V$2,Inputs!$K$4:$AJ$4,0))))=0,NA(),SUMPRODUCT((Inputs!$A$5:$A$120=$B55)*Inputs!$B$5:$B$120*(((Inputs!$G$5:$G$120="moeda")+(Inputs!$G$5:$G$120="acoes"))*Inputs!$B$1+((Inputs!$G$5:$G$120&lt;&gt;"moeda")*(Inputs!$G$5:$G$120&lt;&gt;"acoes")))*INDEX(Inputs!$K$5:$AJ$120,0,MATCH(V$2,Inputs!$K$4:$AJ$4,0)))+SUMPRODUCT((Inputs!$C$5:$C$120=$B55)*Inputs!$D$5:$D$120*(((Inputs!$G$5:$G$120="moeda")+(Inputs!$G$5:$G$120="acoes"))*Inputs!$B$1+((Inputs!$G$5:$G$120&lt;&gt;"moeda")*(Inputs!$G$5:$G$120&lt;&gt;"acoes")))*INDEX(Inputs!$K$5:$AJ$120,0,MATCH(V$2,Inputs!$K$4:$AJ$4,0)))+SUMPRODUCT((Inputs!$E$5:$E$120=$B55)*Inputs!$F$5:$F$120*(((Inputs!$G$5:$G$120="moeda")+(Inputs!$G$5:$G$120="acoes"))*Inputs!$B$1+((Inputs!$G$5:$G$120&lt;&gt;"moeda")*(Inputs!$G$5:$G$120&lt;&gt;"acoes")))*INDEX(Inputs!$K$5:$AJ$120,0,MATCH(V$2,Inputs!$K$4:$AJ$4,0)))))</f>
        <v>992</v>
      </c>
      <c r="W55" s="514">
        <f>SUM(S55:V55)</f>
        <v>4256</v>
      </c>
      <c r="X55" s="513">
        <f>IF(ISNA(MATCH(X$2,Inputs!$K$4:$AJ$4,0)),NA(),IF(SUMPRODUCT((Inputs!$A$5:$A$120=$B55)*ISNUMBER(INDEX(Inputs!$K$5:$AJ$120,0,MATCH(X$2,Inputs!$K$4:$AJ$4,0))))+SUMPRODUCT((Inputs!$C$5:$C$120=$B55)*ISNUMBER(INDEX(Inputs!$K$5:$AJ$120,0,MATCH(X$2,Inputs!$K$4:$AJ$4,0))))+SUMPRODUCT((Inputs!$E$5:$E$120=$B55)*ISNUMBER(INDEX(Inputs!$K$5:$AJ$120,0,MATCH(X$2,Inputs!$K$4:$AJ$4,0))))=0,NA(),SUMPRODUCT((Inputs!$A$5:$A$120=$B55)*Inputs!$B$5:$B$120*(((Inputs!$G$5:$G$120="moeda")+(Inputs!$G$5:$G$120="acoes"))*Inputs!$B$1+((Inputs!$G$5:$G$120&lt;&gt;"moeda")*(Inputs!$G$5:$G$120&lt;&gt;"acoes")))*INDEX(Inputs!$K$5:$AJ$120,0,MATCH(X$2,Inputs!$K$4:$AJ$4,0)))+SUMPRODUCT((Inputs!$C$5:$C$120=$B55)*Inputs!$D$5:$D$120*(((Inputs!$G$5:$G$120="moeda")+(Inputs!$G$5:$G$120="acoes"))*Inputs!$B$1+((Inputs!$G$5:$G$120&lt;&gt;"moeda")*(Inputs!$G$5:$G$120&lt;&gt;"acoes")))*INDEX(Inputs!$K$5:$AJ$120,0,MATCH(X$2,Inputs!$K$4:$AJ$4,0)))+SUMPRODUCT((Inputs!$E$5:$E$120=$B55)*Inputs!$F$5:$F$120*(((Inputs!$G$5:$G$120="moeda")+(Inputs!$G$5:$G$120="acoes"))*Inputs!$B$1+((Inputs!$G$5:$G$120&lt;&gt;"moeda")*(Inputs!$G$5:$G$120&lt;&gt;"acoes")))*INDEX(Inputs!$K$5:$AJ$120,0,MATCH(X$2,Inputs!$K$4:$AJ$4,0)))))</f>
        <v>1091</v>
      </c>
      <c r="Y55" s="513">
        <f>IF(ISNA(MATCH(Y$2,Inputs!$K$4:$AJ$4,0)),NA(),IF(SUMPRODUCT((Inputs!$A$5:$A$120=$B55)*ISNUMBER(INDEX(Inputs!$K$5:$AJ$120,0,MATCH(Y$2,Inputs!$K$4:$AJ$4,0))))+SUMPRODUCT((Inputs!$C$5:$C$120=$B55)*ISNUMBER(INDEX(Inputs!$K$5:$AJ$120,0,MATCH(Y$2,Inputs!$K$4:$AJ$4,0))))+SUMPRODUCT((Inputs!$E$5:$E$120=$B55)*ISNUMBER(INDEX(Inputs!$K$5:$AJ$120,0,MATCH(Y$2,Inputs!$K$4:$AJ$4,0))))=0,NA(),SUMPRODUCT((Inputs!$A$5:$A$120=$B55)*Inputs!$B$5:$B$120*(((Inputs!$G$5:$G$120="moeda")+(Inputs!$G$5:$G$120="acoes"))*Inputs!$B$1+((Inputs!$G$5:$G$120&lt;&gt;"moeda")*(Inputs!$G$5:$G$120&lt;&gt;"acoes")))*INDEX(Inputs!$K$5:$AJ$120,0,MATCH(Y$2,Inputs!$K$4:$AJ$4,0)))+SUMPRODUCT((Inputs!$C$5:$C$120=$B55)*Inputs!$D$5:$D$120*(((Inputs!$G$5:$G$120="moeda")+(Inputs!$G$5:$G$120="acoes"))*Inputs!$B$1+((Inputs!$G$5:$G$120&lt;&gt;"moeda")*(Inputs!$G$5:$G$120&lt;&gt;"acoes")))*INDEX(Inputs!$K$5:$AJ$120,0,MATCH(Y$2,Inputs!$K$4:$AJ$4,0)))+SUMPRODUCT((Inputs!$E$5:$E$120=$B55)*Inputs!$F$5:$F$120*(((Inputs!$G$5:$G$120="moeda")+(Inputs!$G$5:$G$120="acoes"))*Inputs!$B$1+((Inputs!$G$5:$G$120&lt;&gt;"moeda")*(Inputs!$G$5:$G$120&lt;&gt;"acoes")))*INDEX(Inputs!$K$5:$AJ$120,0,MATCH(Y$2,Inputs!$K$4:$AJ$4,0)))))</f>
        <v>1029</v>
      </c>
      <c r="Z55" s="513">
        <f>IF(ISNA(MATCH(Z$2,Inputs!$K$4:$AJ$4,0)),NA(),IF(SUMPRODUCT((Inputs!$A$5:$A$120=$B55)*ISNUMBER(INDEX(Inputs!$K$5:$AJ$120,0,MATCH(Z$2,Inputs!$K$4:$AJ$4,0))))+SUMPRODUCT((Inputs!$C$5:$C$120=$B55)*ISNUMBER(INDEX(Inputs!$K$5:$AJ$120,0,MATCH(Z$2,Inputs!$K$4:$AJ$4,0))))+SUMPRODUCT((Inputs!$E$5:$E$120=$B55)*ISNUMBER(INDEX(Inputs!$K$5:$AJ$120,0,MATCH(Z$2,Inputs!$K$4:$AJ$4,0))))=0,NA(),SUMPRODUCT((Inputs!$A$5:$A$120=$B55)*Inputs!$B$5:$B$120*(((Inputs!$G$5:$G$120="moeda")+(Inputs!$G$5:$G$120="acoes"))*Inputs!$B$1+((Inputs!$G$5:$G$120&lt;&gt;"moeda")*(Inputs!$G$5:$G$120&lt;&gt;"acoes")))*INDEX(Inputs!$K$5:$AJ$120,0,MATCH(Z$2,Inputs!$K$4:$AJ$4,0)))+SUMPRODUCT((Inputs!$C$5:$C$120=$B55)*Inputs!$D$5:$D$120*(((Inputs!$G$5:$G$120="moeda")+(Inputs!$G$5:$G$120="acoes"))*Inputs!$B$1+((Inputs!$G$5:$G$120&lt;&gt;"moeda")*(Inputs!$G$5:$G$120&lt;&gt;"acoes")))*INDEX(Inputs!$K$5:$AJ$120,0,MATCH(Z$2,Inputs!$K$4:$AJ$4,0)))+SUMPRODUCT((Inputs!$E$5:$E$120=$B55)*Inputs!$F$5:$F$120*(((Inputs!$G$5:$G$120="moeda")+(Inputs!$G$5:$G$120="acoes"))*Inputs!$B$1+((Inputs!$G$5:$G$120&lt;&gt;"moeda")*(Inputs!$G$5:$G$120&lt;&gt;"acoes")))*INDEX(Inputs!$K$5:$AJ$120,0,MATCH(Z$2,Inputs!$K$4:$AJ$4,0)))))</f>
        <v>1205</v>
      </c>
      <c r="AA55" s="513">
        <f>IF(ISNA(MATCH(AA$2,Inputs!$K$4:$AJ$4,0)),NA(),IF(SUMPRODUCT((Inputs!$A$5:$A$120=$B55)*ISNUMBER(INDEX(Inputs!$K$5:$AJ$120,0,MATCH(AA$2,Inputs!$K$4:$AJ$4,0))))+SUMPRODUCT((Inputs!$C$5:$C$120=$B55)*ISNUMBER(INDEX(Inputs!$K$5:$AJ$120,0,MATCH(AA$2,Inputs!$K$4:$AJ$4,0))))+SUMPRODUCT((Inputs!$E$5:$E$120=$B55)*ISNUMBER(INDEX(Inputs!$K$5:$AJ$120,0,MATCH(AA$2,Inputs!$K$4:$AJ$4,0))))=0,NA(),SUMPRODUCT((Inputs!$A$5:$A$120=$B55)*Inputs!$B$5:$B$120*(((Inputs!$G$5:$G$120="moeda")+(Inputs!$G$5:$G$120="acoes"))*Inputs!$B$1+((Inputs!$G$5:$G$120&lt;&gt;"moeda")*(Inputs!$G$5:$G$120&lt;&gt;"acoes")))*INDEX(Inputs!$K$5:$AJ$120,0,MATCH(AA$2,Inputs!$K$4:$AJ$4,0)))+SUMPRODUCT((Inputs!$C$5:$C$120=$B55)*Inputs!$D$5:$D$120*(((Inputs!$G$5:$G$120="moeda")+(Inputs!$G$5:$G$120="acoes"))*Inputs!$B$1+((Inputs!$G$5:$G$120&lt;&gt;"moeda")*(Inputs!$G$5:$G$120&lt;&gt;"acoes")))*INDEX(Inputs!$K$5:$AJ$120,0,MATCH(AA$2,Inputs!$K$4:$AJ$4,0)))+SUMPRODUCT((Inputs!$E$5:$E$120=$B55)*Inputs!$F$5:$F$120*(((Inputs!$G$5:$G$120="moeda")+(Inputs!$G$5:$G$120="acoes"))*Inputs!$B$1+((Inputs!$G$5:$G$120&lt;&gt;"moeda")*(Inputs!$G$5:$G$120&lt;&gt;"acoes")))*INDEX(Inputs!$K$5:$AJ$120,0,MATCH(AA$2,Inputs!$K$4:$AJ$4,0)))))</f>
        <v>1381</v>
      </c>
      <c r="AB55" s="514">
        <f>SUM(X55:AA55)</f>
        <v>4706</v>
      </c>
      <c r="AC55" s="513">
        <f>IF(ISNA(MATCH(AC$2,Inputs!$K$4:$AJ$4,0)),NA(),IF(SUMPRODUCT((Inputs!$A$5:$A$120=$B55)*ISNUMBER(INDEX(Inputs!$K$5:$AJ$120,0,MATCH(AC$2,Inputs!$K$4:$AJ$4,0))))+SUMPRODUCT((Inputs!$C$5:$C$120=$B55)*ISNUMBER(INDEX(Inputs!$K$5:$AJ$120,0,MATCH(AC$2,Inputs!$K$4:$AJ$4,0))))+SUMPRODUCT((Inputs!$E$5:$E$120=$B55)*ISNUMBER(INDEX(Inputs!$K$5:$AJ$120,0,MATCH(AC$2,Inputs!$K$4:$AJ$4,0))))=0,NA(),SUMPRODUCT((Inputs!$A$5:$A$120=$B55)*Inputs!$B$5:$B$120*(((Inputs!$G$5:$G$120="moeda")+(Inputs!$G$5:$G$120="acoes"))*Inputs!$B$1+((Inputs!$G$5:$G$120&lt;&gt;"moeda")*(Inputs!$G$5:$G$120&lt;&gt;"acoes")))*INDEX(Inputs!$K$5:$AJ$120,0,MATCH(AC$2,Inputs!$K$4:$AJ$4,0)))+SUMPRODUCT((Inputs!$C$5:$C$120=$B55)*Inputs!$D$5:$D$120*(((Inputs!$G$5:$G$120="moeda")+(Inputs!$G$5:$G$120="acoes"))*Inputs!$B$1+((Inputs!$G$5:$G$120&lt;&gt;"moeda")*(Inputs!$G$5:$G$120&lt;&gt;"acoes")))*INDEX(Inputs!$K$5:$AJ$120,0,MATCH(AC$2,Inputs!$K$4:$AJ$4,0)))+SUMPRODUCT((Inputs!$E$5:$E$120=$B55)*Inputs!$F$5:$F$120*(((Inputs!$G$5:$G$120="moeda")+(Inputs!$G$5:$G$120="acoes"))*Inputs!$B$1+((Inputs!$G$5:$G$120&lt;&gt;"moeda")*(Inputs!$G$5:$G$120&lt;&gt;"acoes")))*INDEX(Inputs!$K$5:$AJ$120,0,MATCH(AC$2,Inputs!$K$4:$AJ$4,0)))))</f>
        <v>1381</v>
      </c>
      <c r="AD55" s="513">
        <f>IF(ISNA(MATCH(AD$2,Inputs!$K$4:$AJ$4,0)),NA(),IF(SUMPRODUCT((Inputs!$A$5:$A$120=$B55)*ISNUMBER(INDEX(Inputs!$K$5:$AJ$120,0,MATCH(AD$2,Inputs!$K$4:$AJ$4,0))))+SUMPRODUCT((Inputs!$C$5:$C$120=$B55)*ISNUMBER(INDEX(Inputs!$K$5:$AJ$120,0,MATCH(AD$2,Inputs!$K$4:$AJ$4,0))))+SUMPRODUCT((Inputs!$E$5:$E$120=$B55)*ISNUMBER(INDEX(Inputs!$K$5:$AJ$120,0,MATCH(AD$2,Inputs!$K$4:$AJ$4,0))))=0,NA(),SUMPRODUCT((Inputs!$A$5:$A$120=$B55)*Inputs!$B$5:$B$120*(((Inputs!$G$5:$G$120="moeda")+(Inputs!$G$5:$G$120="acoes"))*Inputs!$B$1+((Inputs!$G$5:$G$120&lt;&gt;"moeda")*(Inputs!$G$5:$G$120&lt;&gt;"acoes")))*INDEX(Inputs!$K$5:$AJ$120,0,MATCH(AD$2,Inputs!$K$4:$AJ$4,0)))+SUMPRODUCT((Inputs!$C$5:$C$120=$B55)*Inputs!$D$5:$D$120*(((Inputs!$G$5:$G$120="moeda")+(Inputs!$G$5:$G$120="acoes"))*Inputs!$B$1+((Inputs!$G$5:$G$120&lt;&gt;"moeda")*(Inputs!$G$5:$G$120&lt;&gt;"acoes")))*INDEX(Inputs!$K$5:$AJ$120,0,MATCH(AD$2,Inputs!$K$4:$AJ$4,0)))+SUMPRODUCT((Inputs!$E$5:$E$120=$B55)*Inputs!$F$5:$F$120*(((Inputs!$G$5:$G$120="moeda")+(Inputs!$G$5:$G$120="acoes"))*Inputs!$B$1+((Inputs!$G$5:$G$120&lt;&gt;"moeda")*(Inputs!$G$5:$G$120&lt;&gt;"acoes")))*INDEX(Inputs!$K$5:$AJ$120,0,MATCH(AD$2,Inputs!$K$4:$AJ$4,0)))))</f>
        <v>1487</v>
      </c>
      <c r="AE55" s="513" t="e">
        <f>IF(ISNA(MATCH(AE$2,Inputs!$K$4:$AJ$4,0)),NA(),IF(SUMPRODUCT((Inputs!$A$5:$A$120=$B55)*ISNUMBER(INDEX(Inputs!$K$5:$AJ$120,0,MATCH(AE$2,Inputs!$K$4:$AJ$4,0))))+SUMPRODUCT((Inputs!$C$5:$C$120=$B55)*ISNUMBER(INDEX(Inputs!$K$5:$AJ$120,0,MATCH(AE$2,Inputs!$K$4:$AJ$4,0))))+SUMPRODUCT((Inputs!$E$5:$E$120=$B55)*ISNUMBER(INDEX(Inputs!$K$5:$AJ$120,0,MATCH(AE$2,Inputs!$K$4:$AJ$4,0))))=0,NA(),SUMPRODUCT((Inputs!$A$5:$A$120=$B55)*Inputs!$B$5:$B$120*(((Inputs!$G$5:$G$120="moeda")+(Inputs!$G$5:$G$120="acoes"))*Inputs!$B$1+((Inputs!$G$5:$G$120&lt;&gt;"moeda")*(Inputs!$G$5:$G$120&lt;&gt;"acoes")))*INDEX(Inputs!$K$5:$AJ$120,0,MATCH(AE$2,Inputs!$K$4:$AJ$4,0)))+SUMPRODUCT((Inputs!$C$5:$C$120=$B55)*Inputs!$D$5:$D$120*(((Inputs!$G$5:$G$120="moeda")+(Inputs!$G$5:$G$120="acoes"))*Inputs!$B$1+((Inputs!$G$5:$G$120&lt;&gt;"moeda")*(Inputs!$G$5:$G$120&lt;&gt;"acoes")))*INDEX(Inputs!$K$5:$AJ$120,0,MATCH(AE$2,Inputs!$K$4:$AJ$4,0)))+SUMPRODUCT((Inputs!$E$5:$E$120=$B55)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5" s="513" t="e">
        <f>IF(ISNA(MATCH(AF$2,Inputs!$K$4:$AJ$4,0)),NA(),IF(SUMPRODUCT((Inputs!$A$5:$A$120=$B55)*ISNUMBER(INDEX(Inputs!$K$5:$AJ$120,0,MATCH(AF$2,Inputs!$K$4:$AJ$4,0))))+SUMPRODUCT((Inputs!$C$5:$C$120=$B55)*ISNUMBER(INDEX(Inputs!$K$5:$AJ$120,0,MATCH(AF$2,Inputs!$K$4:$AJ$4,0))))+SUMPRODUCT((Inputs!$E$5:$E$120=$B55)*ISNUMBER(INDEX(Inputs!$K$5:$AJ$120,0,MATCH(AF$2,Inputs!$K$4:$AJ$4,0))))=0,NA(),SUMPRODUCT((Inputs!$A$5:$A$120=$B55)*Inputs!$B$5:$B$120*(((Inputs!$G$5:$G$120="moeda")+(Inputs!$G$5:$G$120="acoes"))*Inputs!$B$1+((Inputs!$G$5:$G$120&lt;&gt;"moeda")*(Inputs!$G$5:$G$120&lt;&gt;"acoes")))*INDEX(Inputs!$K$5:$AJ$120,0,MATCH(AF$2,Inputs!$K$4:$AJ$4,0)))+SUMPRODUCT((Inputs!$C$5:$C$120=$B55)*Inputs!$D$5:$D$120*(((Inputs!$G$5:$G$120="moeda")+(Inputs!$G$5:$G$120="acoes"))*Inputs!$B$1+((Inputs!$G$5:$G$120&lt;&gt;"moeda")*(Inputs!$G$5:$G$120&lt;&gt;"acoes")))*INDEX(Inputs!$K$5:$AJ$120,0,MATCH(AF$2,Inputs!$K$4:$AJ$4,0)))+SUMPRODUCT((Inputs!$E$5:$E$120=$B55)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5" s="514" t="e">
        <f>SUM(AC55:AF55)</f>
        <v>#N/A</v>
      </c>
      <c r="AH55" s="513">
        <f>IF(ISNA(MATCH(AH$2,Inputs!$K$4:$AJ$4,0)),NA(),IF(SUMPRODUCT((Inputs!$A$5:$A$120=$B55)*ISNUMBER(INDEX(Inputs!$K$5:$AJ$120,0,MATCH(AH$2,Inputs!$K$4:$AJ$4,0))))+SUMPRODUCT((Inputs!$C$5:$C$120=$B55)*ISNUMBER(INDEX(Inputs!$K$5:$AJ$120,0,MATCH(AH$2,Inputs!$K$4:$AJ$4,0))))+SUMPRODUCT((Inputs!$E$5:$E$120=$B55)*ISNUMBER(INDEX(Inputs!$K$5:$AJ$120,0,MATCH(AH$2,Inputs!$K$4:$AJ$4,0))))=0,NA(),SUMPRODUCT((Inputs!$A$5:$A$120=$B55)*Inputs!$B$5:$B$120*(((Inputs!$G$5:$G$120="moeda")+(Inputs!$G$5:$G$120="acoes"))*Inputs!$B$1+((Inputs!$G$5:$G$120&lt;&gt;"moeda")*(Inputs!$G$5:$G$120&lt;&gt;"acoes")))*INDEX(Inputs!$K$5:$AJ$120,0,MATCH(AH$2,Inputs!$K$4:$AJ$4,0)))+SUMPRODUCT((Inputs!$C$5:$C$120=$B55)*Inputs!$D$5:$D$120*(((Inputs!$G$5:$G$120="moeda")+(Inputs!$G$5:$G$120="acoes"))*Inputs!$B$1+((Inputs!$G$5:$G$120&lt;&gt;"moeda")*(Inputs!$G$5:$G$120&lt;&gt;"acoes")))*INDEX(Inputs!$K$5:$AJ$120,0,MATCH(AH$2,Inputs!$K$4:$AJ$4,0)))+SUMPRODUCT((Inputs!$E$5:$E$120=$B55)*Inputs!$F$5:$F$120*(((Inputs!$G$5:$G$120="moeda")+(Inputs!$G$5:$G$120="acoes"))*Inputs!$B$1+((Inputs!$G$5:$G$120&lt;&gt;"moeda")*(Inputs!$G$5:$G$120&lt;&gt;"acoes")))*INDEX(Inputs!$K$5:$AJ$120,0,MATCH(AH$2,Inputs!$K$4:$AJ$4,0)))))</f>
        <v>414</v>
      </c>
      <c r="AI55" s="513">
        <f>IF(ISNA(MATCH(AI$2,Inputs!$K$4:$AJ$4,0)),NA(),IF(SUMPRODUCT((Inputs!$A$5:$A$120=$B55)*ISNUMBER(INDEX(Inputs!$K$5:$AJ$120,0,MATCH(AI$2,Inputs!$K$4:$AJ$4,0))))+SUMPRODUCT((Inputs!$C$5:$C$120=$B55)*ISNUMBER(INDEX(Inputs!$K$5:$AJ$120,0,MATCH(AI$2,Inputs!$K$4:$AJ$4,0))))+SUMPRODUCT((Inputs!$E$5:$E$120=$B55)*ISNUMBER(INDEX(Inputs!$K$5:$AJ$120,0,MATCH(AI$2,Inputs!$K$4:$AJ$4,0))))=0,NA(),SUMPRODUCT((Inputs!$A$5:$A$120=$B55)*Inputs!$B$5:$B$120*(((Inputs!$G$5:$G$120="moeda")+(Inputs!$G$5:$G$120="acoes"))*Inputs!$B$1+((Inputs!$G$5:$G$120&lt;&gt;"moeda")*(Inputs!$G$5:$G$120&lt;&gt;"acoes")))*INDEX(Inputs!$K$5:$AJ$120,0,MATCH(AI$2,Inputs!$K$4:$AJ$4,0)))+SUMPRODUCT((Inputs!$C$5:$C$120=$B55)*Inputs!$D$5:$D$120*(((Inputs!$G$5:$G$120="moeda")+(Inputs!$G$5:$G$120="acoes"))*Inputs!$B$1+((Inputs!$G$5:$G$120&lt;&gt;"moeda")*(Inputs!$G$5:$G$120&lt;&gt;"acoes")))*INDEX(Inputs!$K$5:$AJ$120,0,MATCH(AI$2,Inputs!$K$4:$AJ$4,0)))+SUMPRODUCT((Inputs!$E$5:$E$120=$B55)*Inputs!$F$5:$F$120*(((Inputs!$G$5:$G$120="moeda")+(Inputs!$G$5:$G$120="acoes"))*Inputs!$B$1+((Inputs!$G$5:$G$120&lt;&gt;"moeda")*(Inputs!$G$5:$G$120&lt;&gt;"acoes")))*INDEX(Inputs!$K$5:$AJ$120,0,MATCH(AI$2,Inputs!$K$4:$AJ$4,0)))))</f>
        <v>523</v>
      </c>
      <c r="AJ55" s="513">
        <f>IF(ISNA(MATCH(AJ$2,Inputs!$K$4:$AJ$4,0)),NA(),IF(SUMPRODUCT((Inputs!$A$5:$A$120=$B55)*ISNUMBER(INDEX(Inputs!$K$5:$AJ$120,0,MATCH(AJ$2,Inputs!$K$4:$AJ$4,0))))+SUMPRODUCT((Inputs!$C$5:$C$120=$B55)*ISNUMBER(INDEX(Inputs!$K$5:$AJ$120,0,MATCH(AJ$2,Inputs!$K$4:$AJ$4,0))))+SUMPRODUCT((Inputs!$E$5:$E$120=$B55)*ISNUMBER(INDEX(Inputs!$K$5:$AJ$120,0,MATCH(AJ$2,Inputs!$K$4:$AJ$4,0))))=0,NA(),SUMPRODUCT((Inputs!$A$5:$A$120=$B55)*Inputs!$B$5:$B$120*(((Inputs!$G$5:$G$120="moeda")+(Inputs!$G$5:$G$120="acoes"))*Inputs!$B$1+((Inputs!$G$5:$G$120&lt;&gt;"moeda")*(Inputs!$G$5:$G$120&lt;&gt;"acoes")))*INDEX(Inputs!$K$5:$AJ$120,0,MATCH(AJ$2,Inputs!$K$4:$AJ$4,0)))+SUMPRODUCT((Inputs!$C$5:$C$120=$B55)*Inputs!$D$5:$D$120*(((Inputs!$G$5:$G$120="moeda")+(Inputs!$G$5:$G$120="acoes"))*Inputs!$B$1+((Inputs!$G$5:$G$120&lt;&gt;"moeda")*(Inputs!$G$5:$G$120&lt;&gt;"acoes")))*INDEX(Inputs!$K$5:$AJ$120,0,MATCH(AJ$2,Inputs!$K$4:$AJ$4,0)))+SUMPRODUCT((Inputs!$E$5:$E$120=$B55)*Inputs!$F$5:$F$120*(((Inputs!$G$5:$G$120="moeda")+(Inputs!$G$5:$G$120="acoes"))*Inputs!$B$1+((Inputs!$G$5:$G$120&lt;&gt;"moeda")*(Inputs!$G$5:$G$120&lt;&gt;"acoes")))*INDEX(Inputs!$K$5:$AJ$120,0,MATCH(AJ$2,Inputs!$K$4:$AJ$4,0)))))</f>
        <v>698</v>
      </c>
      <c r="AK55" s="513">
        <f>IF(ISNA(MATCH(AK$2,Inputs!$K$4:$AJ$4,0)),NA(),IF(SUMPRODUCT((Inputs!$A$5:$A$120=$B55)*ISNUMBER(INDEX(Inputs!$K$5:$AJ$120,0,MATCH(AK$2,Inputs!$K$4:$AJ$4,0))))+SUMPRODUCT((Inputs!$C$5:$C$120=$B55)*ISNUMBER(INDEX(Inputs!$K$5:$AJ$120,0,MATCH(AK$2,Inputs!$K$4:$AJ$4,0))))+SUMPRODUCT((Inputs!$E$5:$E$120=$B55)*ISNUMBER(INDEX(Inputs!$K$5:$AJ$120,0,MATCH(AK$2,Inputs!$K$4:$AJ$4,0))))=0,NA(),SUMPRODUCT((Inputs!$A$5:$A$120=$B55)*Inputs!$B$5:$B$120*(((Inputs!$G$5:$G$120="moeda")+(Inputs!$G$5:$G$120="acoes"))*Inputs!$B$1+((Inputs!$G$5:$G$120&lt;&gt;"moeda")*(Inputs!$G$5:$G$120&lt;&gt;"acoes")))*INDEX(Inputs!$K$5:$AJ$120,0,MATCH(AK$2,Inputs!$K$4:$AJ$4,0)))+SUMPRODUCT((Inputs!$C$5:$C$120=$B55)*Inputs!$D$5:$D$120*(((Inputs!$G$5:$G$120="moeda")+(Inputs!$G$5:$G$120="acoes"))*Inputs!$B$1+((Inputs!$G$5:$G$120&lt;&gt;"moeda")*(Inputs!$G$5:$G$120&lt;&gt;"acoes")))*INDEX(Inputs!$K$5:$AJ$120,0,MATCH(AK$2,Inputs!$K$4:$AJ$4,0)))+SUMPRODUCT((Inputs!$E$5:$E$120=$B55)*Inputs!$F$5:$F$120*(((Inputs!$G$5:$G$120="moeda")+(Inputs!$G$5:$G$120="acoes"))*Inputs!$B$1+((Inputs!$G$5:$G$120&lt;&gt;"moeda")*(Inputs!$G$5:$G$120&lt;&gt;"acoes")))*INDEX(Inputs!$K$5:$AJ$120,0,MATCH(AK$2,Inputs!$K$4:$AJ$4,0)))))</f>
        <v>889</v>
      </c>
      <c r="AL55" s="514">
        <f>SUM(AH55:AK55)</f>
        <v>2524</v>
      </c>
    </row>
    <row r="56">
      <c r="B56" s="265" t="n">
        <v>48</v>
      </c>
      <c r="C56" s="266" t="inlineStr">
        <is>
          <t>Cerro Verde - lucro do segmento (USD)</t>
        </is>
      </c>
      <c r="D56" s="513">
        <f>IF(ISNA(MATCH(D$2,Inputs!$K$4:$AJ$4,0)),NA(),IF(SUMPRODUCT((Inputs!$A$5:$A$120=$B56)*ISNUMBER(INDEX(Inputs!$K$5:$AJ$120,0,MATCH(D$2,Inputs!$K$4:$AJ$4,0))))+SUMPRODUCT((Inputs!$C$5:$C$120=$B56)*ISNUMBER(INDEX(Inputs!$K$5:$AJ$120,0,MATCH(D$2,Inputs!$K$4:$AJ$4,0))))+SUMPRODUCT((Inputs!$E$5:$E$120=$B56)*ISNUMBER(INDEX(Inputs!$K$5:$AJ$120,0,MATCH(D$2,Inputs!$K$4:$AJ$4,0))))=0,NA(),SUMPRODUCT((Inputs!$A$5:$A$120=$B56)*Inputs!$B$5:$B$120*(((Inputs!$G$5:$G$120="moeda")+(Inputs!$G$5:$G$120="acoes"))*Inputs!$B$1+((Inputs!$G$5:$G$120&lt;&gt;"moeda")*(Inputs!$G$5:$G$120&lt;&gt;"acoes")))*INDEX(Inputs!$K$5:$AJ$120,0,MATCH(D$2,Inputs!$K$4:$AJ$4,0)))+SUMPRODUCT((Inputs!$C$5:$C$120=$B56)*Inputs!$D$5:$D$120*(((Inputs!$G$5:$G$120="moeda")+(Inputs!$G$5:$G$120="acoes"))*Inputs!$B$1+((Inputs!$G$5:$G$120&lt;&gt;"moeda")*(Inputs!$G$5:$G$120&lt;&gt;"acoes")))*INDEX(Inputs!$K$5:$AJ$120,0,MATCH(D$2,Inputs!$K$4:$AJ$4,0)))+SUMPRODUCT((Inputs!$E$5:$E$120=$B56)*Inputs!$F$5:$F$120*(((Inputs!$G$5:$G$120="moeda")+(Inputs!$G$5:$G$120="acoes"))*Inputs!$B$1+((Inputs!$G$5:$G$120&lt;&gt;"moeda")*(Inputs!$G$5:$G$120&lt;&gt;"acoes")))*INDEX(Inputs!$K$5:$AJ$120,0,MATCH(D$2,Inputs!$K$4:$AJ$4,0)))))</f>
        <v>435</v>
      </c>
      <c r="E56" s="513">
        <f>IF(ISNA(MATCH(E$2,Inputs!$K$4:$AJ$4,0)),NA(),IF(SUMPRODUCT((Inputs!$A$5:$A$120=$B56)*ISNUMBER(INDEX(Inputs!$K$5:$AJ$120,0,MATCH(E$2,Inputs!$K$4:$AJ$4,0))))+SUMPRODUCT((Inputs!$C$5:$C$120=$B56)*ISNUMBER(INDEX(Inputs!$K$5:$AJ$120,0,MATCH(E$2,Inputs!$K$4:$AJ$4,0))))+SUMPRODUCT((Inputs!$E$5:$E$120=$B56)*ISNUMBER(INDEX(Inputs!$K$5:$AJ$120,0,MATCH(E$2,Inputs!$K$4:$AJ$4,0))))=0,NA(),SUMPRODUCT((Inputs!$A$5:$A$120=$B56)*Inputs!$B$5:$B$120*(((Inputs!$G$5:$G$120="moeda")+(Inputs!$G$5:$G$120="acoes"))*Inputs!$B$1+((Inputs!$G$5:$G$120&lt;&gt;"moeda")*(Inputs!$G$5:$G$120&lt;&gt;"acoes")))*INDEX(Inputs!$K$5:$AJ$120,0,MATCH(E$2,Inputs!$K$4:$AJ$4,0)))+SUMPRODUCT((Inputs!$C$5:$C$120=$B56)*Inputs!$D$5:$D$120*(((Inputs!$G$5:$G$120="moeda")+(Inputs!$G$5:$G$120="acoes"))*Inputs!$B$1+((Inputs!$G$5:$G$120&lt;&gt;"moeda")*(Inputs!$G$5:$G$120&lt;&gt;"acoes")))*INDEX(Inputs!$K$5:$AJ$120,0,MATCH(E$2,Inputs!$K$4:$AJ$4,0)))+SUMPRODUCT((Inputs!$E$5:$E$120=$B56)*Inputs!$F$5:$F$120*(((Inputs!$G$5:$G$120="moeda")+(Inputs!$G$5:$G$120="acoes"))*Inputs!$B$1+((Inputs!$G$5:$G$120&lt;&gt;"moeda")*(Inputs!$G$5:$G$120&lt;&gt;"acoes")))*INDEX(Inputs!$K$5:$AJ$120,0,MATCH(E$2,Inputs!$K$4:$AJ$4,0)))))</f>
        <v>367</v>
      </c>
      <c r="F56" s="513">
        <f>IF(ISNA(MATCH(F$2,Inputs!$K$4:$AJ$4,0)),NA(),IF(SUMPRODUCT((Inputs!$A$5:$A$120=$B56)*ISNUMBER(INDEX(Inputs!$K$5:$AJ$120,0,MATCH(F$2,Inputs!$K$4:$AJ$4,0))))+SUMPRODUCT((Inputs!$C$5:$C$120=$B56)*ISNUMBER(INDEX(Inputs!$K$5:$AJ$120,0,MATCH(F$2,Inputs!$K$4:$AJ$4,0))))+SUMPRODUCT((Inputs!$E$5:$E$120=$B56)*ISNUMBER(INDEX(Inputs!$K$5:$AJ$120,0,MATCH(F$2,Inputs!$K$4:$AJ$4,0))))=0,NA(),SUMPRODUCT((Inputs!$A$5:$A$120=$B56)*Inputs!$B$5:$B$120*(((Inputs!$G$5:$G$120="moeda")+(Inputs!$G$5:$G$120="acoes"))*Inputs!$B$1+((Inputs!$G$5:$G$120&lt;&gt;"moeda")*(Inputs!$G$5:$G$120&lt;&gt;"acoes")))*INDEX(Inputs!$K$5:$AJ$120,0,MATCH(F$2,Inputs!$K$4:$AJ$4,0)))+SUMPRODUCT((Inputs!$C$5:$C$120=$B56)*Inputs!$D$5:$D$120*(((Inputs!$G$5:$G$120="moeda")+(Inputs!$G$5:$G$120="acoes"))*Inputs!$B$1+((Inputs!$G$5:$G$120&lt;&gt;"moeda")*(Inputs!$G$5:$G$120&lt;&gt;"acoes")))*INDEX(Inputs!$K$5:$AJ$120,0,MATCH(F$2,Inputs!$K$4:$AJ$4,0)))+SUMPRODUCT((Inputs!$E$5:$E$120=$B56)*Inputs!$F$5:$F$120*(((Inputs!$G$5:$G$120="moeda")+(Inputs!$G$5:$G$120="acoes"))*Inputs!$B$1+((Inputs!$G$5:$G$120&lt;&gt;"moeda")*(Inputs!$G$5:$G$120&lt;&gt;"acoes")))*INDEX(Inputs!$K$5:$AJ$120,0,MATCH(F$2,Inputs!$K$4:$AJ$4,0)))))</f>
        <v>438</v>
      </c>
      <c r="G56" s="513">
        <f>IF(ISNA(MATCH(G$2,Inputs!$K$4:$AJ$4,0)),NA(),IF(SUMPRODUCT((Inputs!$A$5:$A$120=$B56)*ISNUMBER(INDEX(Inputs!$K$5:$AJ$120,0,MATCH(G$2,Inputs!$K$4:$AJ$4,0))))+SUMPRODUCT((Inputs!$C$5:$C$120=$B56)*ISNUMBER(INDEX(Inputs!$K$5:$AJ$120,0,MATCH(G$2,Inputs!$K$4:$AJ$4,0))))+SUMPRODUCT((Inputs!$E$5:$E$120=$B56)*ISNUMBER(INDEX(Inputs!$K$5:$AJ$120,0,MATCH(G$2,Inputs!$K$4:$AJ$4,0))))=0,NA(),SUMPRODUCT((Inputs!$A$5:$A$120=$B56)*Inputs!$B$5:$B$120*(((Inputs!$G$5:$G$120="moeda")+(Inputs!$G$5:$G$120="acoes"))*Inputs!$B$1+((Inputs!$G$5:$G$120&lt;&gt;"moeda")*(Inputs!$G$5:$G$120&lt;&gt;"acoes")))*INDEX(Inputs!$K$5:$AJ$120,0,MATCH(G$2,Inputs!$K$4:$AJ$4,0)))+SUMPRODUCT((Inputs!$C$5:$C$120=$B56)*Inputs!$D$5:$D$120*(((Inputs!$G$5:$G$120="moeda")+(Inputs!$G$5:$G$120="acoes"))*Inputs!$B$1+((Inputs!$G$5:$G$120&lt;&gt;"moeda")*(Inputs!$G$5:$G$120&lt;&gt;"acoes")))*INDEX(Inputs!$K$5:$AJ$120,0,MATCH(G$2,Inputs!$K$4:$AJ$4,0)))+SUMPRODUCT((Inputs!$E$5:$E$120=$B56)*Inputs!$F$5:$F$120*(((Inputs!$G$5:$G$120="moeda")+(Inputs!$G$5:$G$120="acoes"))*Inputs!$B$1+((Inputs!$G$5:$G$120&lt;&gt;"moeda")*(Inputs!$G$5:$G$120&lt;&gt;"acoes")))*INDEX(Inputs!$K$5:$AJ$120,0,MATCH(G$2,Inputs!$K$4:$AJ$4,0)))))</f>
        <v>582</v>
      </c>
      <c r="H56" s="514">
        <f>SUM(D56:G56)</f>
        <v>1822</v>
      </c>
      <c r="I56" s="513">
        <f>IF(ISNA(MATCH(I$2,Inputs!$K$4:$AJ$4,0)),NA(),IF(SUMPRODUCT((Inputs!$A$5:$A$120=$B56)*ISNUMBER(INDEX(Inputs!$K$5:$AJ$120,0,MATCH(I$2,Inputs!$K$4:$AJ$4,0))))+SUMPRODUCT((Inputs!$C$5:$C$120=$B56)*ISNUMBER(INDEX(Inputs!$K$5:$AJ$120,0,MATCH(I$2,Inputs!$K$4:$AJ$4,0))))+SUMPRODUCT((Inputs!$E$5:$E$120=$B56)*ISNUMBER(INDEX(Inputs!$K$5:$AJ$120,0,MATCH(I$2,Inputs!$K$4:$AJ$4,0))))=0,NA(),SUMPRODUCT((Inputs!$A$5:$A$120=$B56)*Inputs!$B$5:$B$120*(((Inputs!$G$5:$G$120="moeda")+(Inputs!$G$5:$G$120="acoes"))*Inputs!$B$1+((Inputs!$G$5:$G$120&lt;&gt;"moeda")*(Inputs!$G$5:$G$120&lt;&gt;"acoes")))*INDEX(Inputs!$K$5:$AJ$120,0,MATCH(I$2,Inputs!$K$4:$AJ$4,0)))+SUMPRODUCT((Inputs!$C$5:$C$120=$B56)*Inputs!$D$5:$D$120*(((Inputs!$G$5:$G$120="moeda")+(Inputs!$G$5:$G$120="acoes"))*Inputs!$B$1+((Inputs!$G$5:$G$120&lt;&gt;"moeda")*(Inputs!$G$5:$G$120&lt;&gt;"acoes")))*INDEX(Inputs!$K$5:$AJ$120,0,MATCH(I$2,Inputs!$K$4:$AJ$4,0)))+SUMPRODUCT((Inputs!$E$5:$E$120=$B56)*Inputs!$F$5:$F$120*(((Inputs!$G$5:$G$120="moeda")+(Inputs!$G$5:$G$120="acoes"))*Inputs!$B$1+((Inputs!$G$5:$G$120&lt;&gt;"moeda")*(Inputs!$G$5:$G$120&lt;&gt;"acoes")))*INDEX(Inputs!$K$5:$AJ$120,0,MATCH(I$2,Inputs!$K$4:$AJ$4,0)))))</f>
        <v>567</v>
      </c>
      <c r="J56" s="513">
        <f>IF(ISNA(MATCH(J$2,Inputs!$K$4:$AJ$4,0)),NA(),IF(SUMPRODUCT((Inputs!$A$5:$A$120=$B56)*ISNUMBER(INDEX(Inputs!$K$5:$AJ$120,0,MATCH(J$2,Inputs!$K$4:$AJ$4,0))))+SUMPRODUCT((Inputs!$C$5:$C$120=$B56)*ISNUMBER(INDEX(Inputs!$K$5:$AJ$120,0,MATCH(J$2,Inputs!$K$4:$AJ$4,0))))+SUMPRODUCT((Inputs!$E$5:$E$120=$B56)*ISNUMBER(INDEX(Inputs!$K$5:$AJ$120,0,MATCH(J$2,Inputs!$K$4:$AJ$4,0))))=0,NA(),SUMPRODUCT((Inputs!$A$5:$A$120=$B56)*Inputs!$B$5:$B$120*(((Inputs!$G$5:$G$120="moeda")+(Inputs!$G$5:$G$120="acoes"))*Inputs!$B$1+((Inputs!$G$5:$G$120&lt;&gt;"moeda")*(Inputs!$G$5:$G$120&lt;&gt;"acoes")))*INDEX(Inputs!$K$5:$AJ$120,0,MATCH(J$2,Inputs!$K$4:$AJ$4,0)))+SUMPRODUCT((Inputs!$C$5:$C$120=$B56)*Inputs!$D$5:$D$120*(((Inputs!$G$5:$G$120="moeda")+(Inputs!$G$5:$G$120="acoes"))*Inputs!$B$1+((Inputs!$G$5:$G$120&lt;&gt;"moeda")*(Inputs!$G$5:$G$120&lt;&gt;"acoes")))*INDEX(Inputs!$K$5:$AJ$120,0,MATCH(J$2,Inputs!$K$4:$AJ$4,0)))+SUMPRODUCT((Inputs!$E$5:$E$120=$B56)*Inputs!$F$5:$F$120*(((Inputs!$G$5:$G$120="moeda")+(Inputs!$G$5:$G$120="acoes"))*Inputs!$B$1+((Inputs!$G$5:$G$120&lt;&gt;"moeda")*(Inputs!$G$5:$G$120&lt;&gt;"acoes")))*INDEX(Inputs!$K$5:$AJ$120,0,MATCH(J$2,Inputs!$K$4:$AJ$4,0)))))</f>
        <v>169</v>
      </c>
      <c r="K56" s="513">
        <f>IF(ISNA(MATCH(K$2,Inputs!$K$4:$AJ$4,0)),NA(),IF(SUMPRODUCT((Inputs!$A$5:$A$120=$B56)*ISNUMBER(INDEX(Inputs!$K$5:$AJ$120,0,MATCH(K$2,Inputs!$K$4:$AJ$4,0))))+SUMPRODUCT((Inputs!$C$5:$C$120=$B56)*ISNUMBER(INDEX(Inputs!$K$5:$AJ$120,0,MATCH(K$2,Inputs!$K$4:$AJ$4,0))))+SUMPRODUCT((Inputs!$E$5:$E$120=$B56)*ISNUMBER(INDEX(Inputs!$K$5:$AJ$120,0,MATCH(K$2,Inputs!$K$4:$AJ$4,0))))=0,NA(),SUMPRODUCT((Inputs!$A$5:$A$120=$B56)*Inputs!$B$5:$B$120*(((Inputs!$G$5:$G$120="moeda")+(Inputs!$G$5:$G$120="acoes"))*Inputs!$B$1+((Inputs!$G$5:$G$120&lt;&gt;"moeda")*(Inputs!$G$5:$G$120&lt;&gt;"acoes")))*INDEX(Inputs!$K$5:$AJ$120,0,MATCH(K$2,Inputs!$K$4:$AJ$4,0)))+SUMPRODUCT((Inputs!$C$5:$C$120=$B56)*Inputs!$D$5:$D$120*(((Inputs!$G$5:$G$120="moeda")+(Inputs!$G$5:$G$120="acoes"))*Inputs!$B$1+((Inputs!$G$5:$G$120&lt;&gt;"moeda")*(Inputs!$G$5:$G$120&lt;&gt;"acoes")))*INDEX(Inputs!$K$5:$AJ$120,0,MATCH(K$2,Inputs!$K$4:$AJ$4,0)))+SUMPRODUCT((Inputs!$E$5:$E$120=$B56)*Inputs!$F$5:$F$120*(((Inputs!$G$5:$G$120="moeda")+(Inputs!$G$5:$G$120="acoes"))*Inputs!$B$1+((Inputs!$G$5:$G$120&lt;&gt;"moeda")*(Inputs!$G$5:$G$120&lt;&gt;"acoes")))*INDEX(Inputs!$K$5:$AJ$120,0,MATCH(K$2,Inputs!$K$4:$AJ$4,0)))))</f>
        <v>82</v>
      </c>
      <c r="L56" s="513">
        <f>IF(ISNA(MATCH(L$2,Inputs!$K$4:$AJ$4,0)),NA(),IF(SUMPRODUCT((Inputs!$A$5:$A$120=$B56)*ISNUMBER(INDEX(Inputs!$K$5:$AJ$120,0,MATCH(L$2,Inputs!$K$4:$AJ$4,0))))+SUMPRODUCT((Inputs!$C$5:$C$120=$B56)*ISNUMBER(INDEX(Inputs!$K$5:$AJ$120,0,MATCH(L$2,Inputs!$K$4:$AJ$4,0))))+SUMPRODUCT((Inputs!$E$5:$E$120=$B56)*ISNUMBER(INDEX(Inputs!$K$5:$AJ$120,0,MATCH(L$2,Inputs!$K$4:$AJ$4,0))))=0,NA(),SUMPRODUCT((Inputs!$A$5:$A$120=$B56)*Inputs!$B$5:$B$120*(((Inputs!$G$5:$G$120="moeda")+(Inputs!$G$5:$G$120="acoes"))*Inputs!$B$1+((Inputs!$G$5:$G$120&lt;&gt;"moeda")*(Inputs!$G$5:$G$120&lt;&gt;"acoes")))*INDEX(Inputs!$K$5:$AJ$120,0,MATCH(L$2,Inputs!$K$4:$AJ$4,0)))+SUMPRODUCT((Inputs!$C$5:$C$120=$B56)*Inputs!$D$5:$D$120*(((Inputs!$G$5:$G$120="moeda")+(Inputs!$G$5:$G$120="acoes"))*Inputs!$B$1+((Inputs!$G$5:$G$120&lt;&gt;"moeda")*(Inputs!$G$5:$G$120&lt;&gt;"acoes")))*INDEX(Inputs!$K$5:$AJ$120,0,MATCH(L$2,Inputs!$K$4:$AJ$4,0)))+SUMPRODUCT((Inputs!$E$5:$E$120=$B56)*Inputs!$F$5:$F$120*(((Inputs!$G$5:$G$120="moeda")+(Inputs!$G$5:$G$120="acoes"))*Inputs!$B$1+((Inputs!$G$5:$G$120&lt;&gt;"moeda")*(Inputs!$G$5:$G$120&lt;&gt;"acoes")))*INDEX(Inputs!$K$5:$AJ$120,0,MATCH(L$2,Inputs!$K$4:$AJ$4,0)))))</f>
        <v>398</v>
      </c>
      <c r="M56" s="514">
        <f>SUM(I56:L56)</f>
        <v>1216</v>
      </c>
      <c r="N56" s="513">
        <f>IF(ISNA(MATCH(N$2,Inputs!$K$4:$AJ$4,0)),NA(),IF(SUMPRODUCT((Inputs!$A$5:$A$120=$B56)*ISNUMBER(INDEX(Inputs!$K$5:$AJ$120,0,MATCH(N$2,Inputs!$K$4:$AJ$4,0))))+SUMPRODUCT((Inputs!$C$5:$C$120=$B56)*ISNUMBER(INDEX(Inputs!$K$5:$AJ$120,0,MATCH(N$2,Inputs!$K$4:$AJ$4,0))))+SUMPRODUCT((Inputs!$E$5:$E$120=$B56)*ISNUMBER(INDEX(Inputs!$K$5:$AJ$120,0,MATCH(N$2,Inputs!$K$4:$AJ$4,0))))=0,NA(),SUMPRODUCT((Inputs!$A$5:$A$120=$B56)*Inputs!$B$5:$B$120*(((Inputs!$G$5:$G$120="moeda")+(Inputs!$G$5:$G$120="acoes"))*Inputs!$B$1+((Inputs!$G$5:$G$120&lt;&gt;"moeda")*(Inputs!$G$5:$G$120&lt;&gt;"acoes")))*INDEX(Inputs!$K$5:$AJ$120,0,MATCH(N$2,Inputs!$K$4:$AJ$4,0)))+SUMPRODUCT((Inputs!$C$5:$C$120=$B56)*Inputs!$D$5:$D$120*(((Inputs!$G$5:$G$120="moeda")+(Inputs!$G$5:$G$120="acoes"))*Inputs!$B$1+((Inputs!$G$5:$G$120&lt;&gt;"moeda")*(Inputs!$G$5:$G$120&lt;&gt;"acoes")))*INDEX(Inputs!$K$5:$AJ$120,0,MATCH(N$2,Inputs!$K$4:$AJ$4,0)))+SUMPRODUCT((Inputs!$E$5:$E$120=$B56)*Inputs!$F$5:$F$120*(((Inputs!$G$5:$G$120="moeda")+(Inputs!$G$5:$G$120="acoes"))*Inputs!$B$1+((Inputs!$G$5:$G$120&lt;&gt;"moeda")*(Inputs!$G$5:$G$120&lt;&gt;"acoes")))*INDEX(Inputs!$K$5:$AJ$120,0,MATCH(N$2,Inputs!$K$4:$AJ$4,0)))))</f>
        <v>488</v>
      </c>
      <c r="O56" s="513">
        <f>IF(ISNA(MATCH(O$2,Inputs!$K$4:$AJ$4,0)),NA(),IF(SUMPRODUCT((Inputs!$A$5:$A$120=$B56)*ISNUMBER(INDEX(Inputs!$K$5:$AJ$120,0,MATCH(O$2,Inputs!$K$4:$AJ$4,0))))+SUMPRODUCT((Inputs!$C$5:$C$120=$B56)*ISNUMBER(INDEX(Inputs!$K$5:$AJ$120,0,MATCH(O$2,Inputs!$K$4:$AJ$4,0))))+SUMPRODUCT((Inputs!$E$5:$E$120=$B56)*ISNUMBER(INDEX(Inputs!$K$5:$AJ$120,0,MATCH(O$2,Inputs!$K$4:$AJ$4,0))))=0,NA(),SUMPRODUCT((Inputs!$A$5:$A$120=$B56)*Inputs!$B$5:$B$120*(((Inputs!$G$5:$G$120="moeda")+(Inputs!$G$5:$G$120="acoes"))*Inputs!$B$1+((Inputs!$G$5:$G$120&lt;&gt;"moeda")*(Inputs!$G$5:$G$120&lt;&gt;"acoes")))*INDEX(Inputs!$K$5:$AJ$120,0,MATCH(O$2,Inputs!$K$4:$AJ$4,0)))+SUMPRODUCT((Inputs!$C$5:$C$120=$B56)*Inputs!$D$5:$D$120*(((Inputs!$G$5:$G$120="moeda")+(Inputs!$G$5:$G$120="acoes"))*Inputs!$B$1+((Inputs!$G$5:$G$120&lt;&gt;"moeda")*(Inputs!$G$5:$G$120&lt;&gt;"acoes")))*INDEX(Inputs!$K$5:$AJ$120,0,MATCH(O$2,Inputs!$K$4:$AJ$4,0)))+SUMPRODUCT((Inputs!$E$5:$E$120=$B56)*Inputs!$F$5:$F$120*(((Inputs!$G$5:$G$120="moeda")+(Inputs!$G$5:$G$120="acoes"))*Inputs!$B$1+((Inputs!$G$5:$G$120&lt;&gt;"moeda")*(Inputs!$G$5:$G$120&lt;&gt;"acoes")))*INDEX(Inputs!$K$5:$AJ$120,0,MATCH(O$2,Inputs!$K$4:$AJ$4,0)))))</f>
        <v>227</v>
      </c>
      <c r="P56" s="513">
        <f>IF(ISNA(MATCH(P$2,Inputs!$K$4:$AJ$4,0)),NA(),IF(SUMPRODUCT((Inputs!$A$5:$A$120=$B56)*ISNUMBER(INDEX(Inputs!$K$5:$AJ$120,0,MATCH(P$2,Inputs!$K$4:$AJ$4,0))))+SUMPRODUCT((Inputs!$C$5:$C$120=$B56)*ISNUMBER(INDEX(Inputs!$K$5:$AJ$120,0,MATCH(P$2,Inputs!$K$4:$AJ$4,0))))+SUMPRODUCT((Inputs!$E$5:$E$120=$B56)*ISNUMBER(INDEX(Inputs!$K$5:$AJ$120,0,MATCH(P$2,Inputs!$K$4:$AJ$4,0))))=0,NA(),SUMPRODUCT((Inputs!$A$5:$A$120=$B56)*Inputs!$B$5:$B$120*(((Inputs!$G$5:$G$120="moeda")+(Inputs!$G$5:$G$120="acoes"))*Inputs!$B$1+((Inputs!$G$5:$G$120&lt;&gt;"moeda")*(Inputs!$G$5:$G$120&lt;&gt;"acoes")))*INDEX(Inputs!$K$5:$AJ$120,0,MATCH(P$2,Inputs!$K$4:$AJ$4,0)))+SUMPRODUCT((Inputs!$C$5:$C$120=$B56)*Inputs!$D$5:$D$120*(((Inputs!$G$5:$G$120="moeda")+(Inputs!$G$5:$G$120="acoes"))*Inputs!$B$1+((Inputs!$G$5:$G$120&lt;&gt;"moeda")*(Inputs!$G$5:$G$120&lt;&gt;"acoes")))*INDEX(Inputs!$K$5:$AJ$120,0,MATCH(P$2,Inputs!$K$4:$AJ$4,0)))+SUMPRODUCT((Inputs!$E$5:$E$120=$B56)*Inputs!$F$5:$F$120*(((Inputs!$G$5:$G$120="moeda")+(Inputs!$G$5:$G$120="acoes"))*Inputs!$B$1+((Inputs!$G$5:$G$120&lt;&gt;"moeda")*(Inputs!$G$5:$G$120&lt;&gt;"acoes")))*INDEX(Inputs!$K$5:$AJ$120,0,MATCH(P$2,Inputs!$K$4:$AJ$4,0)))))</f>
        <v>293</v>
      </c>
      <c r="Q56" s="513">
        <f>IF(ISNA(MATCH(Q$2,Inputs!$K$4:$AJ$4,0)),NA(),IF(SUMPRODUCT((Inputs!$A$5:$A$120=$B56)*ISNUMBER(INDEX(Inputs!$K$5:$AJ$120,0,MATCH(Q$2,Inputs!$K$4:$AJ$4,0))))+SUMPRODUCT((Inputs!$C$5:$C$120=$B56)*ISNUMBER(INDEX(Inputs!$K$5:$AJ$120,0,MATCH(Q$2,Inputs!$K$4:$AJ$4,0))))+SUMPRODUCT((Inputs!$E$5:$E$120=$B56)*ISNUMBER(INDEX(Inputs!$K$5:$AJ$120,0,MATCH(Q$2,Inputs!$K$4:$AJ$4,0))))=0,NA(),SUMPRODUCT((Inputs!$A$5:$A$120=$B56)*Inputs!$B$5:$B$120*(((Inputs!$G$5:$G$120="moeda")+(Inputs!$G$5:$G$120="acoes"))*Inputs!$B$1+((Inputs!$G$5:$G$120&lt;&gt;"moeda")*(Inputs!$G$5:$G$120&lt;&gt;"acoes")))*INDEX(Inputs!$K$5:$AJ$120,0,MATCH(Q$2,Inputs!$K$4:$AJ$4,0)))+SUMPRODUCT((Inputs!$C$5:$C$120=$B56)*Inputs!$D$5:$D$120*(((Inputs!$G$5:$G$120="moeda")+(Inputs!$G$5:$G$120="acoes"))*Inputs!$B$1+((Inputs!$G$5:$G$120&lt;&gt;"moeda")*(Inputs!$G$5:$G$120&lt;&gt;"acoes")))*INDEX(Inputs!$K$5:$AJ$120,0,MATCH(Q$2,Inputs!$K$4:$AJ$4,0)))+SUMPRODUCT((Inputs!$E$5:$E$120=$B56)*Inputs!$F$5:$F$120*(((Inputs!$G$5:$G$120="moeda")+(Inputs!$G$5:$G$120="acoes"))*Inputs!$B$1+((Inputs!$G$5:$G$120&lt;&gt;"moeda")*(Inputs!$G$5:$G$120&lt;&gt;"acoes")))*INDEX(Inputs!$K$5:$AJ$120,0,MATCH(Q$2,Inputs!$K$4:$AJ$4,0)))))</f>
        <v>170</v>
      </c>
      <c r="R56" s="514">
        <f>SUM(N56:Q56)</f>
        <v>1178</v>
      </c>
      <c r="S56" s="513">
        <f>IF(ISNA(MATCH(S$2,Inputs!$K$4:$AJ$4,0)),NA(),IF(SUMPRODUCT((Inputs!$A$5:$A$120=$B56)*ISNUMBER(INDEX(Inputs!$K$5:$AJ$120,0,MATCH(S$2,Inputs!$K$4:$AJ$4,0))))+SUMPRODUCT((Inputs!$C$5:$C$120=$B56)*ISNUMBER(INDEX(Inputs!$K$5:$AJ$120,0,MATCH(S$2,Inputs!$K$4:$AJ$4,0))))+SUMPRODUCT((Inputs!$E$5:$E$120=$B56)*ISNUMBER(INDEX(Inputs!$K$5:$AJ$120,0,MATCH(S$2,Inputs!$K$4:$AJ$4,0))))=0,NA(),SUMPRODUCT((Inputs!$A$5:$A$120=$B56)*Inputs!$B$5:$B$120*(((Inputs!$G$5:$G$120="moeda")+(Inputs!$G$5:$G$120="acoes"))*Inputs!$B$1+((Inputs!$G$5:$G$120&lt;&gt;"moeda")*(Inputs!$G$5:$G$120&lt;&gt;"acoes")))*INDEX(Inputs!$K$5:$AJ$120,0,MATCH(S$2,Inputs!$K$4:$AJ$4,0)))+SUMPRODUCT((Inputs!$C$5:$C$120=$B56)*Inputs!$D$5:$D$120*(((Inputs!$G$5:$G$120="moeda")+(Inputs!$G$5:$G$120="acoes"))*Inputs!$B$1+((Inputs!$G$5:$G$120&lt;&gt;"moeda")*(Inputs!$G$5:$G$120&lt;&gt;"acoes")))*INDEX(Inputs!$K$5:$AJ$120,0,MATCH(S$2,Inputs!$K$4:$AJ$4,0)))+SUMPRODUCT((Inputs!$E$5:$E$120=$B56)*Inputs!$F$5:$F$120*(((Inputs!$G$5:$G$120="moeda")+(Inputs!$G$5:$G$120="acoes"))*Inputs!$B$1+((Inputs!$G$5:$G$120&lt;&gt;"moeda")*(Inputs!$G$5:$G$120&lt;&gt;"acoes")))*INDEX(Inputs!$K$5:$AJ$120,0,MATCH(S$2,Inputs!$K$4:$AJ$4,0)))))</f>
        <v>228</v>
      </c>
      <c r="T56" s="513">
        <f>IF(ISNA(MATCH(T$2,Inputs!$K$4:$AJ$4,0)),NA(),IF(SUMPRODUCT((Inputs!$A$5:$A$120=$B56)*ISNUMBER(INDEX(Inputs!$K$5:$AJ$120,0,MATCH(T$2,Inputs!$K$4:$AJ$4,0))))+SUMPRODUCT((Inputs!$C$5:$C$120=$B56)*ISNUMBER(INDEX(Inputs!$K$5:$AJ$120,0,MATCH(T$2,Inputs!$K$4:$AJ$4,0))))+SUMPRODUCT((Inputs!$E$5:$E$120=$B56)*ISNUMBER(INDEX(Inputs!$K$5:$AJ$120,0,MATCH(T$2,Inputs!$K$4:$AJ$4,0))))=0,NA(),SUMPRODUCT((Inputs!$A$5:$A$120=$B56)*Inputs!$B$5:$B$120*(((Inputs!$G$5:$G$120="moeda")+(Inputs!$G$5:$G$120="acoes"))*Inputs!$B$1+((Inputs!$G$5:$G$120&lt;&gt;"moeda")*(Inputs!$G$5:$G$120&lt;&gt;"acoes")))*INDEX(Inputs!$K$5:$AJ$120,0,MATCH(T$2,Inputs!$K$4:$AJ$4,0)))+SUMPRODUCT((Inputs!$C$5:$C$120=$B56)*Inputs!$D$5:$D$120*(((Inputs!$G$5:$G$120="moeda")+(Inputs!$G$5:$G$120="acoes"))*Inputs!$B$1+((Inputs!$G$5:$G$120&lt;&gt;"moeda")*(Inputs!$G$5:$G$120&lt;&gt;"acoes")))*INDEX(Inputs!$K$5:$AJ$120,0,MATCH(T$2,Inputs!$K$4:$AJ$4,0)))+SUMPRODUCT((Inputs!$E$5:$E$120=$B56)*Inputs!$F$5:$F$120*(((Inputs!$G$5:$G$120="moeda")+(Inputs!$G$5:$G$120="acoes"))*Inputs!$B$1+((Inputs!$G$5:$G$120&lt;&gt;"moeda")*(Inputs!$G$5:$G$120&lt;&gt;"acoes")))*INDEX(Inputs!$K$5:$AJ$120,0,MATCH(T$2,Inputs!$K$4:$AJ$4,0)))))</f>
        <v>476</v>
      </c>
      <c r="U56" s="513">
        <f>IF(ISNA(MATCH(U$2,Inputs!$K$4:$AJ$4,0)),NA(),IF(SUMPRODUCT((Inputs!$A$5:$A$120=$B56)*ISNUMBER(INDEX(Inputs!$K$5:$AJ$120,0,MATCH(U$2,Inputs!$K$4:$AJ$4,0))))+SUMPRODUCT((Inputs!$C$5:$C$120=$B56)*ISNUMBER(INDEX(Inputs!$K$5:$AJ$120,0,MATCH(U$2,Inputs!$K$4:$AJ$4,0))))+SUMPRODUCT((Inputs!$E$5:$E$120=$B56)*ISNUMBER(INDEX(Inputs!$K$5:$AJ$120,0,MATCH(U$2,Inputs!$K$4:$AJ$4,0))))=0,NA(),SUMPRODUCT((Inputs!$A$5:$A$120=$B56)*Inputs!$B$5:$B$120*(((Inputs!$G$5:$G$120="moeda")+(Inputs!$G$5:$G$120="acoes"))*Inputs!$B$1+((Inputs!$G$5:$G$120&lt;&gt;"moeda")*(Inputs!$G$5:$G$120&lt;&gt;"acoes")))*INDEX(Inputs!$K$5:$AJ$120,0,MATCH(U$2,Inputs!$K$4:$AJ$4,0)))+SUMPRODUCT((Inputs!$C$5:$C$120=$B56)*Inputs!$D$5:$D$120*(((Inputs!$G$5:$G$120="moeda")+(Inputs!$G$5:$G$120="acoes"))*Inputs!$B$1+((Inputs!$G$5:$G$120&lt;&gt;"moeda")*(Inputs!$G$5:$G$120&lt;&gt;"acoes")))*INDEX(Inputs!$K$5:$AJ$120,0,MATCH(U$2,Inputs!$K$4:$AJ$4,0)))+SUMPRODUCT((Inputs!$E$5:$E$120=$B56)*Inputs!$F$5:$F$120*(((Inputs!$G$5:$G$120="moeda")+(Inputs!$G$5:$G$120="acoes"))*Inputs!$B$1+((Inputs!$G$5:$G$120&lt;&gt;"moeda")*(Inputs!$G$5:$G$120&lt;&gt;"acoes")))*INDEX(Inputs!$K$5:$AJ$120,0,MATCH(U$2,Inputs!$K$4:$AJ$4,0)))))</f>
        <v>352</v>
      </c>
      <c r="V56" s="513">
        <f>IF(ISNA(MATCH(V$2,Inputs!$K$4:$AJ$4,0)),NA(),IF(SUMPRODUCT((Inputs!$A$5:$A$120=$B56)*ISNUMBER(INDEX(Inputs!$K$5:$AJ$120,0,MATCH(V$2,Inputs!$K$4:$AJ$4,0))))+SUMPRODUCT((Inputs!$C$5:$C$120=$B56)*ISNUMBER(INDEX(Inputs!$K$5:$AJ$120,0,MATCH(V$2,Inputs!$K$4:$AJ$4,0))))+SUMPRODUCT((Inputs!$E$5:$E$120=$B56)*ISNUMBER(INDEX(Inputs!$K$5:$AJ$120,0,MATCH(V$2,Inputs!$K$4:$AJ$4,0))))=0,NA(),SUMPRODUCT((Inputs!$A$5:$A$120=$B56)*Inputs!$B$5:$B$120*(((Inputs!$G$5:$G$120="moeda")+(Inputs!$G$5:$G$120="acoes"))*Inputs!$B$1+((Inputs!$G$5:$G$120&lt;&gt;"moeda")*(Inputs!$G$5:$G$120&lt;&gt;"acoes")))*INDEX(Inputs!$K$5:$AJ$120,0,MATCH(V$2,Inputs!$K$4:$AJ$4,0)))+SUMPRODUCT((Inputs!$C$5:$C$120=$B56)*Inputs!$D$5:$D$120*(((Inputs!$G$5:$G$120="moeda")+(Inputs!$G$5:$G$120="acoes"))*Inputs!$B$1+((Inputs!$G$5:$G$120&lt;&gt;"moeda")*(Inputs!$G$5:$G$120&lt;&gt;"acoes")))*INDEX(Inputs!$K$5:$AJ$120,0,MATCH(V$2,Inputs!$K$4:$AJ$4,0)))+SUMPRODUCT((Inputs!$E$5:$E$120=$B56)*Inputs!$F$5:$F$120*(((Inputs!$G$5:$G$120="moeda")+(Inputs!$G$5:$G$120="acoes"))*Inputs!$B$1+((Inputs!$G$5:$G$120&lt;&gt;"moeda")*(Inputs!$G$5:$G$120&lt;&gt;"acoes")))*INDEX(Inputs!$K$5:$AJ$120,0,MATCH(V$2,Inputs!$K$4:$AJ$4,0)))))</f>
        <v>271</v>
      </c>
      <c r="W56" s="514">
        <f>SUM(S56:V56)</f>
        <v>1327</v>
      </c>
      <c r="X56" s="513">
        <f>IF(ISNA(MATCH(X$2,Inputs!$K$4:$AJ$4,0)),NA(),IF(SUMPRODUCT((Inputs!$A$5:$A$120=$B56)*ISNUMBER(INDEX(Inputs!$K$5:$AJ$120,0,MATCH(X$2,Inputs!$K$4:$AJ$4,0))))+SUMPRODUCT((Inputs!$C$5:$C$120=$B56)*ISNUMBER(INDEX(Inputs!$K$5:$AJ$120,0,MATCH(X$2,Inputs!$K$4:$AJ$4,0))))+SUMPRODUCT((Inputs!$E$5:$E$120=$B56)*ISNUMBER(INDEX(Inputs!$K$5:$AJ$120,0,MATCH(X$2,Inputs!$K$4:$AJ$4,0))))=0,NA(),SUMPRODUCT((Inputs!$A$5:$A$120=$B56)*Inputs!$B$5:$B$120*(((Inputs!$G$5:$G$120="moeda")+(Inputs!$G$5:$G$120="acoes"))*Inputs!$B$1+((Inputs!$G$5:$G$120&lt;&gt;"moeda")*(Inputs!$G$5:$G$120&lt;&gt;"acoes")))*INDEX(Inputs!$K$5:$AJ$120,0,MATCH(X$2,Inputs!$K$4:$AJ$4,0)))+SUMPRODUCT((Inputs!$C$5:$C$120=$B56)*Inputs!$D$5:$D$120*(((Inputs!$G$5:$G$120="moeda")+(Inputs!$G$5:$G$120="acoes"))*Inputs!$B$1+((Inputs!$G$5:$G$120&lt;&gt;"moeda")*(Inputs!$G$5:$G$120&lt;&gt;"acoes")))*INDEX(Inputs!$K$5:$AJ$120,0,MATCH(X$2,Inputs!$K$4:$AJ$4,0)))+SUMPRODUCT((Inputs!$E$5:$E$120=$B56)*Inputs!$F$5:$F$120*(((Inputs!$G$5:$G$120="moeda")+(Inputs!$G$5:$G$120="acoes"))*Inputs!$B$1+((Inputs!$G$5:$G$120&lt;&gt;"moeda")*(Inputs!$G$5:$G$120&lt;&gt;"acoes")))*INDEX(Inputs!$K$5:$AJ$120,0,MATCH(X$2,Inputs!$K$4:$AJ$4,0)))))</f>
        <v>409</v>
      </c>
      <c r="Y56" s="513">
        <f>IF(ISNA(MATCH(Y$2,Inputs!$K$4:$AJ$4,0)),NA(),IF(SUMPRODUCT((Inputs!$A$5:$A$120=$B56)*ISNUMBER(INDEX(Inputs!$K$5:$AJ$120,0,MATCH(Y$2,Inputs!$K$4:$AJ$4,0))))+SUMPRODUCT((Inputs!$C$5:$C$120=$B56)*ISNUMBER(INDEX(Inputs!$K$5:$AJ$120,0,MATCH(Y$2,Inputs!$K$4:$AJ$4,0))))+SUMPRODUCT((Inputs!$E$5:$E$120=$B56)*ISNUMBER(INDEX(Inputs!$K$5:$AJ$120,0,MATCH(Y$2,Inputs!$K$4:$AJ$4,0))))=0,NA(),SUMPRODUCT((Inputs!$A$5:$A$120=$B56)*Inputs!$B$5:$B$120*(((Inputs!$G$5:$G$120="moeda")+(Inputs!$G$5:$G$120="acoes"))*Inputs!$B$1+((Inputs!$G$5:$G$120&lt;&gt;"moeda")*(Inputs!$G$5:$G$120&lt;&gt;"acoes")))*INDEX(Inputs!$K$5:$AJ$120,0,MATCH(Y$2,Inputs!$K$4:$AJ$4,0)))+SUMPRODUCT((Inputs!$C$5:$C$120=$B56)*Inputs!$D$5:$D$120*(((Inputs!$G$5:$G$120="moeda")+(Inputs!$G$5:$G$120="acoes"))*Inputs!$B$1+((Inputs!$G$5:$G$120&lt;&gt;"moeda")*(Inputs!$G$5:$G$120&lt;&gt;"acoes")))*INDEX(Inputs!$K$5:$AJ$120,0,MATCH(Y$2,Inputs!$K$4:$AJ$4,0)))+SUMPRODUCT((Inputs!$E$5:$E$120=$B56)*Inputs!$F$5:$F$120*(((Inputs!$G$5:$G$120="moeda")+(Inputs!$G$5:$G$120="acoes"))*Inputs!$B$1+((Inputs!$G$5:$G$120&lt;&gt;"moeda")*(Inputs!$G$5:$G$120&lt;&gt;"acoes")))*INDEX(Inputs!$K$5:$AJ$120,0,MATCH(Y$2,Inputs!$K$4:$AJ$4,0)))))</f>
        <v>340</v>
      </c>
      <c r="Z56" s="513">
        <f>IF(ISNA(MATCH(Z$2,Inputs!$K$4:$AJ$4,0)),NA(),IF(SUMPRODUCT((Inputs!$A$5:$A$120=$B56)*ISNUMBER(INDEX(Inputs!$K$5:$AJ$120,0,MATCH(Z$2,Inputs!$K$4:$AJ$4,0))))+SUMPRODUCT((Inputs!$C$5:$C$120=$B56)*ISNUMBER(INDEX(Inputs!$K$5:$AJ$120,0,MATCH(Z$2,Inputs!$K$4:$AJ$4,0))))+SUMPRODUCT((Inputs!$E$5:$E$120=$B56)*ISNUMBER(INDEX(Inputs!$K$5:$AJ$120,0,MATCH(Z$2,Inputs!$K$4:$AJ$4,0))))=0,NA(),SUMPRODUCT((Inputs!$A$5:$A$120=$B56)*Inputs!$B$5:$B$120*(((Inputs!$G$5:$G$120="moeda")+(Inputs!$G$5:$G$120="acoes"))*Inputs!$B$1+((Inputs!$G$5:$G$120&lt;&gt;"moeda")*(Inputs!$G$5:$G$120&lt;&gt;"acoes")))*INDEX(Inputs!$K$5:$AJ$120,0,MATCH(Z$2,Inputs!$K$4:$AJ$4,0)))+SUMPRODUCT((Inputs!$C$5:$C$120=$B56)*Inputs!$D$5:$D$120*(((Inputs!$G$5:$G$120="moeda")+(Inputs!$G$5:$G$120="acoes"))*Inputs!$B$1+((Inputs!$G$5:$G$120&lt;&gt;"moeda")*(Inputs!$G$5:$G$120&lt;&gt;"acoes")))*INDEX(Inputs!$K$5:$AJ$120,0,MATCH(Z$2,Inputs!$K$4:$AJ$4,0)))+SUMPRODUCT((Inputs!$E$5:$E$120=$B56)*Inputs!$F$5:$F$120*(((Inputs!$G$5:$G$120="moeda")+(Inputs!$G$5:$G$120="acoes"))*Inputs!$B$1+((Inputs!$G$5:$G$120&lt;&gt;"moeda")*(Inputs!$G$5:$G$120&lt;&gt;"acoes")))*INDEX(Inputs!$K$5:$AJ$120,0,MATCH(Z$2,Inputs!$K$4:$AJ$4,0)))))</f>
        <v>467</v>
      </c>
      <c r="AA56" s="513">
        <f>IF(ISNA(MATCH(AA$2,Inputs!$K$4:$AJ$4,0)),NA(),IF(SUMPRODUCT((Inputs!$A$5:$A$120=$B56)*ISNUMBER(INDEX(Inputs!$K$5:$AJ$120,0,MATCH(AA$2,Inputs!$K$4:$AJ$4,0))))+SUMPRODUCT((Inputs!$C$5:$C$120=$B56)*ISNUMBER(INDEX(Inputs!$K$5:$AJ$120,0,MATCH(AA$2,Inputs!$K$4:$AJ$4,0))))+SUMPRODUCT((Inputs!$E$5:$E$120=$B56)*ISNUMBER(INDEX(Inputs!$K$5:$AJ$120,0,MATCH(AA$2,Inputs!$K$4:$AJ$4,0))))=0,NA(),SUMPRODUCT((Inputs!$A$5:$A$120=$B56)*Inputs!$B$5:$B$120*(((Inputs!$G$5:$G$120="moeda")+(Inputs!$G$5:$G$120="acoes"))*Inputs!$B$1+((Inputs!$G$5:$G$120&lt;&gt;"moeda")*(Inputs!$G$5:$G$120&lt;&gt;"acoes")))*INDEX(Inputs!$K$5:$AJ$120,0,MATCH(AA$2,Inputs!$K$4:$AJ$4,0)))+SUMPRODUCT((Inputs!$C$5:$C$120=$B56)*Inputs!$D$5:$D$120*(((Inputs!$G$5:$G$120="moeda")+(Inputs!$G$5:$G$120="acoes"))*Inputs!$B$1+((Inputs!$G$5:$G$120&lt;&gt;"moeda")*(Inputs!$G$5:$G$120&lt;&gt;"acoes")))*INDEX(Inputs!$K$5:$AJ$120,0,MATCH(AA$2,Inputs!$K$4:$AJ$4,0)))+SUMPRODUCT((Inputs!$E$5:$E$120=$B56)*Inputs!$F$5:$F$120*(((Inputs!$G$5:$G$120="moeda")+(Inputs!$G$5:$G$120="acoes"))*Inputs!$B$1+((Inputs!$G$5:$G$120&lt;&gt;"moeda")*(Inputs!$G$5:$G$120&lt;&gt;"acoes")))*INDEX(Inputs!$K$5:$AJ$120,0,MATCH(AA$2,Inputs!$K$4:$AJ$4,0)))))</f>
        <v>602</v>
      </c>
      <c r="AB56" s="514">
        <f>SUM(X56:AA56)</f>
        <v>1818</v>
      </c>
      <c r="AC56" s="513">
        <f>IF(ISNA(MATCH(AC$2,Inputs!$K$4:$AJ$4,0)),NA(),IF(SUMPRODUCT((Inputs!$A$5:$A$120=$B56)*ISNUMBER(INDEX(Inputs!$K$5:$AJ$120,0,MATCH(AC$2,Inputs!$K$4:$AJ$4,0))))+SUMPRODUCT((Inputs!$C$5:$C$120=$B56)*ISNUMBER(INDEX(Inputs!$K$5:$AJ$120,0,MATCH(AC$2,Inputs!$K$4:$AJ$4,0))))+SUMPRODUCT((Inputs!$E$5:$E$120=$B56)*ISNUMBER(INDEX(Inputs!$K$5:$AJ$120,0,MATCH(AC$2,Inputs!$K$4:$AJ$4,0))))=0,NA(),SUMPRODUCT((Inputs!$A$5:$A$120=$B56)*Inputs!$B$5:$B$120*(((Inputs!$G$5:$G$120="moeda")+(Inputs!$G$5:$G$120="acoes"))*Inputs!$B$1+((Inputs!$G$5:$G$120&lt;&gt;"moeda")*(Inputs!$G$5:$G$120&lt;&gt;"acoes")))*INDEX(Inputs!$K$5:$AJ$120,0,MATCH(AC$2,Inputs!$K$4:$AJ$4,0)))+SUMPRODUCT((Inputs!$C$5:$C$120=$B56)*Inputs!$D$5:$D$120*(((Inputs!$G$5:$G$120="moeda")+(Inputs!$G$5:$G$120="acoes"))*Inputs!$B$1+((Inputs!$G$5:$G$120&lt;&gt;"moeda")*(Inputs!$G$5:$G$120&lt;&gt;"acoes")))*INDEX(Inputs!$K$5:$AJ$120,0,MATCH(AC$2,Inputs!$K$4:$AJ$4,0)))+SUMPRODUCT((Inputs!$E$5:$E$120=$B56)*Inputs!$F$5:$F$120*(((Inputs!$G$5:$G$120="moeda")+(Inputs!$G$5:$G$120="acoes"))*Inputs!$B$1+((Inputs!$G$5:$G$120&lt;&gt;"moeda")*(Inputs!$G$5:$G$120&lt;&gt;"acoes")))*INDEX(Inputs!$K$5:$AJ$120,0,MATCH(AC$2,Inputs!$K$4:$AJ$4,0)))))</f>
        <v>638</v>
      </c>
      <c r="AD56" s="513">
        <f>IF(ISNA(MATCH(AD$2,Inputs!$K$4:$AJ$4,0)),NA(),IF(SUMPRODUCT((Inputs!$A$5:$A$120=$B56)*ISNUMBER(INDEX(Inputs!$K$5:$AJ$120,0,MATCH(AD$2,Inputs!$K$4:$AJ$4,0))))+SUMPRODUCT((Inputs!$C$5:$C$120=$B56)*ISNUMBER(INDEX(Inputs!$K$5:$AJ$120,0,MATCH(AD$2,Inputs!$K$4:$AJ$4,0))))+SUMPRODUCT((Inputs!$E$5:$E$120=$B56)*ISNUMBER(INDEX(Inputs!$K$5:$AJ$120,0,MATCH(AD$2,Inputs!$K$4:$AJ$4,0))))=0,NA(),SUMPRODUCT((Inputs!$A$5:$A$120=$B56)*Inputs!$B$5:$B$120*(((Inputs!$G$5:$G$120="moeda")+(Inputs!$G$5:$G$120="acoes"))*Inputs!$B$1+((Inputs!$G$5:$G$120&lt;&gt;"moeda")*(Inputs!$G$5:$G$120&lt;&gt;"acoes")))*INDEX(Inputs!$K$5:$AJ$120,0,MATCH(AD$2,Inputs!$K$4:$AJ$4,0)))+SUMPRODUCT((Inputs!$C$5:$C$120=$B56)*Inputs!$D$5:$D$120*(((Inputs!$G$5:$G$120="moeda")+(Inputs!$G$5:$G$120="acoes"))*Inputs!$B$1+((Inputs!$G$5:$G$120&lt;&gt;"moeda")*(Inputs!$G$5:$G$120&lt;&gt;"acoes")))*INDEX(Inputs!$K$5:$AJ$120,0,MATCH(AD$2,Inputs!$K$4:$AJ$4,0)))+SUMPRODUCT((Inputs!$E$5:$E$120=$B56)*Inputs!$F$5:$F$120*(((Inputs!$G$5:$G$120="moeda")+(Inputs!$G$5:$G$120="acoes"))*Inputs!$B$1+((Inputs!$G$5:$G$120&lt;&gt;"moeda")*(Inputs!$G$5:$G$120&lt;&gt;"acoes")))*INDEX(Inputs!$K$5:$AJ$120,0,MATCH(AD$2,Inputs!$K$4:$AJ$4,0)))))</f>
        <v>736</v>
      </c>
      <c r="AE56" s="513" t="e">
        <f>IF(ISNA(MATCH(AE$2,Inputs!$K$4:$AJ$4,0)),NA(),IF(SUMPRODUCT((Inputs!$A$5:$A$120=$B56)*ISNUMBER(INDEX(Inputs!$K$5:$AJ$120,0,MATCH(AE$2,Inputs!$K$4:$AJ$4,0))))+SUMPRODUCT((Inputs!$C$5:$C$120=$B56)*ISNUMBER(INDEX(Inputs!$K$5:$AJ$120,0,MATCH(AE$2,Inputs!$K$4:$AJ$4,0))))+SUMPRODUCT((Inputs!$E$5:$E$120=$B56)*ISNUMBER(INDEX(Inputs!$K$5:$AJ$120,0,MATCH(AE$2,Inputs!$K$4:$AJ$4,0))))=0,NA(),SUMPRODUCT((Inputs!$A$5:$A$120=$B56)*Inputs!$B$5:$B$120*(((Inputs!$G$5:$G$120="moeda")+(Inputs!$G$5:$G$120="acoes"))*Inputs!$B$1+((Inputs!$G$5:$G$120&lt;&gt;"moeda")*(Inputs!$G$5:$G$120&lt;&gt;"acoes")))*INDEX(Inputs!$K$5:$AJ$120,0,MATCH(AE$2,Inputs!$K$4:$AJ$4,0)))+SUMPRODUCT((Inputs!$C$5:$C$120=$B56)*Inputs!$D$5:$D$120*(((Inputs!$G$5:$G$120="moeda")+(Inputs!$G$5:$G$120="acoes"))*Inputs!$B$1+((Inputs!$G$5:$G$120&lt;&gt;"moeda")*(Inputs!$G$5:$G$120&lt;&gt;"acoes")))*INDEX(Inputs!$K$5:$AJ$120,0,MATCH(AE$2,Inputs!$K$4:$AJ$4,0)))+SUMPRODUCT((Inputs!$E$5:$E$120=$B56)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6" s="513" t="e">
        <f>IF(ISNA(MATCH(AF$2,Inputs!$K$4:$AJ$4,0)),NA(),IF(SUMPRODUCT((Inputs!$A$5:$A$120=$B56)*ISNUMBER(INDEX(Inputs!$K$5:$AJ$120,0,MATCH(AF$2,Inputs!$K$4:$AJ$4,0))))+SUMPRODUCT((Inputs!$C$5:$C$120=$B56)*ISNUMBER(INDEX(Inputs!$K$5:$AJ$120,0,MATCH(AF$2,Inputs!$K$4:$AJ$4,0))))+SUMPRODUCT((Inputs!$E$5:$E$120=$B56)*ISNUMBER(INDEX(Inputs!$K$5:$AJ$120,0,MATCH(AF$2,Inputs!$K$4:$AJ$4,0))))=0,NA(),SUMPRODUCT((Inputs!$A$5:$A$120=$B56)*Inputs!$B$5:$B$120*(((Inputs!$G$5:$G$120="moeda")+(Inputs!$G$5:$G$120="acoes"))*Inputs!$B$1+((Inputs!$G$5:$G$120&lt;&gt;"moeda")*(Inputs!$G$5:$G$120&lt;&gt;"acoes")))*INDEX(Inputs!$K$5:$AJ$120,0,MATCH(AF$2,Inputs!$K$4:$AJ$4,0)))+SUMPRODUCT((Inputs!$C$5:$C$120=$B56)*Inputs!$D$5:$D$120*(((Inputs!$G$5:$G$120="moeda")+(Inputs!$G$5:$G$120="acoes"))*Inputs!$B$1+((Inputs!$G$5:$G$120&lt;&gt;"moeda")*(Inputs!$G$5:$G$120&lt;&gt;"acoes")))*INDEX(Inputs!$K$5:$AJ$120,0,MATCH(AF$2,Inputs!$K$4:$AJ$4,0)))+SUMPRODUCT((Inputs!$E$5:$E$120=$B56)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6" s="514" t="e">
        <f>SUM(AC56:AF56)</f>
        <v>#N/A</v>
      </c>
      <c r="AH56" s="513">
        <f>IF(ISNA(MATCH(AH$2,Inputs!$K$4:$AJ$4,0)),NA(),IF(SUMPRODUCT((Inputs!$A$5:$A$120=$B56)*ISNUMBER(INDEX(Inputs!$K$5:$AJ$120,0,MATCH(AH$2,Inputs!$K$4:$AJ$4,0))))+SUMPRODUCT((Inputs!$C$5:$C$120=$B56)*ISNUMBER(INDEX(Inputs!$K$5:$AJ$120,0,MATCH(AH$2,Inputs!$K$4:$AJ$4,0))))+SUMPRODUCT((Inputs!$E$5:$E$120=$B56)*ISNUMBER(INDEX(Inputs!$K$5:$AJ$120,0,MATCH(AH$2,Inputs!$K$4:$AJ$4,0))))=0,NA(),SUMPRODUCT((Inputs!$A$5:$A$120=$B56)*Inputs!$B$5:$B$120*(((Inputs!$G$5:$G$120="moeda")+(Inputs!$G$5:$G$120="acoes"))*Inputs!$B$1+((Inputs!$G$5:$G$120&lt;&gt;"moeda")*(Inputs!$G$5:$G$120&lt;&gt;"acoes")))*INDEX(Inputs!$K$5:$AJ$120,0,MATCH(AH$2,Inputs!$K$4:$AJ$4,0)))+SUMPRODUCT((Inputs!$C$5:$C$120=$B56)*Inputs!$D$5:$D$120*(((Inputs!$G$5:$G$120="moeda")+(Inputs!$G$5:$G$120="acoes"))*Inputs!$B$1+((Inputs!$G$5:$G$120&lt;&gt;"moeda")*(Inputs!$G$5:$G$120&lt;&gt;"acoes")))*INDEX(Inputs!$K$5:$AJ$120,0,MATCH(AH$2,Inputs!$K$4:$AJ$4,0)))+SUMPRODUCT((Inputs!$E$5:$E$120=$B56)*Inputs!$F$5:$F$120*(((Inputs!$G$5:$G$120="moeda")+(Inputs!$G$5:$G$120="acoes"))*Inputs!$B$1+((Inputs!$G$5:$G$120&lt;&gt;"moeda")*(Inputs!$G$5:$G$120&lt;&gt;"acoes")))*INDEX(Inputs!$K$5:$AJ$120,0,MATCH(AH$2,Inputs!$K$4:$AJ$4,0)))))</f>
        <v>-105</v>
      </c>
      <c r="AI56" s="513">
        <f>IF(ISNA(MATCH(AI$2,Inputs!$K$4:$AJ$4,0)),NA(),IF(SUMPRODUCT((Inputs!$A$5:$A$120=$B56)*ISNUMBER(INDEX(Inputs!$K$5:$AJ$120,0,MATCH(AI$2,Inputs!$K$4:$AJ$4,0))))+SUMPRODUCT((Inputs!$C$5:$C$120=$B56)*ISNUMBER(INDEX(Inputs!$K$5:$AJ$120,0,MATCH(AI$2,Inputs!$K$4:$AJ$4,0))))+SUMPRODUCT((Inputs!$E$5:$E$120=$B56)*ISNUMBER(INDEX(Inputs!$K$5:$AJ$120,0,MATCH(AI$2,Inputs!$K$4:$AJ$4,0))))=0,NA(),SUMPRODUCT((Inputs!$A$5:$A$120=$B56)*Inputs!$B$5:$B$120*(((Inputs!$G$5:$G$120="moeda")+(Inputs!$G$5:$G$120="acoes"))*Inputs!$B$1+((Inputs!$G$5:$G$120&lt;&gt;"moeda")*(Inputs!$G$5:$G$120&lt;&gt;"acoes")))*INDEX(Inputs!$K$5:$AJ$120,0,MATCH(AI$2,Inputs!$K$4:$AJ$4,0)))+SUMPRODUCT((Inputs!$C$5:$C$120=$B56)*Inputs!$D$5:$D$120*(((Inputs!$G$5:$G$120="moeda")+(Inputs!$G$5:$G$120="acoes"))*Inputs!$B$1+((Inputs!$G$5:$G$120&lt;&gt;"moeda")*(Inputs!$G$5:$G$120&lt;&gt;"acoes")))*INDEX(Inputs!$K$5:$AJ$120,0,MATCH(AI$2,Inputs!$K$4:$AJ$4,0)))+SUMPRODUCT((Inputs!$E$5:$E$120=$B56)*Inputs!$F$5:$F$120*(((Inputs!$G$5:$G$120="moeda")+(Inputs!$G$5:$G$120="acoes"))*Inputs!$B$1+((Inputs!$G$5:$G$120&lt;&gt;"moeda")*(Inputs!$G$5:$G$120&lt;&gt;"acoes")))*INDEX(Inputs!$K$5:$AJ$120,0,MATCH(AI$2,Inputs!$K$4:$AJ$4,0)))))</f>
        <v>100</v>
      </c>
      <c r="AJ56" s="513">
        <f>IF(ISNA(MATCH(AJ$2,Inputs!$K$4:$AJ$4,0)),NA(),IF(SUMPRODUCT((Inputs!$A$5:$A$120=$B56)*ISNUMBER(INDEX(Inputs!$K$5:$AJ$120,0,MATCH(AJ$2,Inputs!$K$4:$AJ$4,0))))+SUMPRODUCT((Inputs!$C$5:$C$120=$B56)*ISNUMBER(INDEX(Inputs!$K$5:$AJ$120,0,MATCH(AJ$2,Inputs!$K$4:$AJ$4,0))))+SUMPRODUCT((Inputs!$E$5:$E$120=$B56)*ISNUMBER(INDEX(Inputs!$K$5:$AJ$120,0,MATCH(AJ$2,Inputs!$K$4:$AJ$4,0))))=0,NA(),SUMPRODUCT((Inputs!$A$5:$A$120=$B56)*Inputs!$B$5:$B$120*(((Inputs!$G$5:$G$120="moeda")+(Inputs!$G$5:$G$120="acoes"))*Inputs!$B$1+((Inputs!$G$5:$G$120&lt;&gt;"moeda")*(Inputs!$G$5:$G$120&lt;&gt;"acoes")))*INDEX(Inputs!$K$5:$AJ$120,0,MATCH(AJ$2,Inputs!$K$4:$AJ$4,0)))+SUMPRODUCT((Inputs!$C$5:$C$120=$B56)*Inputs!$D$5:$D$120*(((Inputs!$G$5:$G$120="moeda")+(Inputs!$G$5:$G$120="acoes"))*Inputs!$B$1+((Inputs!$G$5:$G$120&lt;&gt;"moeda")*(Inputs!$G$5:$G$120&lt;&gt;"acoes")))*INDEX(Inputs!$K$5:$AJ$120,0,MATCH(AJ$2,Inputs!$K$4:$AJ$4,0)))+SUMPRODUCT((Inputs!$E$5:$E$120=$B56)*Inputs!$F$5:$F$120*(((Inputs!$G$5:$G$120="moeda")+(Inputs!$G$5:$G$120="acoes"))*Inputs!$B$1+((Inputs!$G$5:$G$120&lt;&gt;"moeda")*(Inputs!$G$5:$G$120&lt;&gt;"acoes")))*INDEX(Inputs!$K$5:$AJ$120,0,MATCH(AJ$2,Inputs!$K$4:$AJ$4,0)))))</f>
        <v>210</v>
      </c>
      <c r="AK56" s="513">
        <f>IF(ISNA(MATCH(AK$2,Inputs!$K$4:$AJ$4,0)),NA(),IF(SUMPRODUCT((Inputs!$A$5:$A$120=$B56)*ISNUMBER(INDEX(Inputs!$K$5:$AJ$120,0,MATCH(AK$2,Inputs!$K$4:$AJ$4,0))))+SUMPRODUCT((Inputs!$C$5:$C$120=$B56)*ISNUMBER(INDEX(Inputs!$K$5:$AJ$120,0,MATCH(AK$2,Inputs!$K$4:$AJ$4,0))))+SUMPRODUCT((Inputs!$E$5:$E$120=$B56)*ISNUMBER(INDEX(Inputs!$K$5:$AJ$120,0,MATCH(AK$2,Inputs!$K$4:$AJ$4,0))))=0,NA(),SUMPRODUCT((Inputs!$A$5:$A$120=$B56)*Inputs!$B$5:$B$120*(((Inputs!$G$5:$G$120="moeda")+(Inputs!$G$5:$G$120="acoes"))*Inputs!$B$1+((Inputs!$G$5:$G$120&lt;&gt;"moeda")*(Inputs!$G$5:$G$120&lt;&gt;"acoes")))*INDEX(Inputs!$K$5:$AJ$120,0,MATCH(AK$2,Inputs!$K$4:$AJ$4,0)))+SUMPRODUCT((Inputs!$C$5:$C$120=$B56)*Inputs!$D$5:$D$120*(((Inputs!$G$5:$G$120="moeda")+(Inputs!$G$5:$G$120="acoes"))*Inputs!$B$1+((Inputs!$G$5:$G$120&lt;&gt;"moeda")*(Inputs!$G$5:$G$120&lt;&gt;"acoes")))*INDEX(Inputs!$K$5:$AJ$120,0,MATCH(AK$2,Inputs!$K$4:$AJ$4,0)))+SUMPRODUCT((Inputs!$E$5:$E$120=$B56)*Inputs!$F$5:$F$120*(((Inputs!$G$5:$G$120="moeda")+(Inputs!$G$5:$G$120="acoes"))*Inputs!$B$1+((Inputs!$G$5:$G$120&lt;&gt;"moeda")*(Inputs!$G$5:$G$120&lt;&gt;"acoes")))*INDEX(Inputs!$K$5:$AJ$120,0,MATCH(AK$2,Inputs!$K$4:$AJ$4,0)))))</f>
        <v>347</v>
      </c>
      <c r="AL56" s="514">
        <f>SUM(AH56:AK56)</f>
        <v>552</v>
      </c>
    </row>
    <row r="57">
      <c r="B57" s="265" t="n">
        <v>49</v>
      </c>
      <c r="C57" s="266" t="inlineStr">
        <is>
          <t>Grasberg (Indonésia) - receita (USD)</t>
        </is>
      </c>
      <c r="D57" s="513">
        <f>IF(ISNA(MATCH(D$2,Inputs!$K$4:$AJ$4,0)),NA(),IF(SUMPRODUCT((Inputs!$A$5:$A$120=$B57)*ISNUMBER(INDEX(Inputs!$K$5:$AJ$120,0,MATCH(D$2,Inputs!$K$4:$AJ$4,0))))+SUMPRODUCT((Inputs!$C$5:$C$120=$B57)*ISNUMBER(INDEX(Inputs!$K$5:$AJ$120,0,MATCH(D$2,Inputs!$K$4:$AJ$4,0))))+SUMPRODUCT((Inputs!$E$5:$E$120=$B57)*ISNUMBER(INDEX(Inputs!$K$5:$AJ$120,0,MATCH(D$2,Inputs!$K$4:$AJ$4,0))))=0,NA(),SUMPRODUCT((Inputs!$A$5:$A$120=$B57)*Inputs!$B$5:$B$120*(((Inputs!$G$5:$G$120="moeda")+(Inputs!$G$5:$G$120="acoes"))*Inputs!$B$1+((Inputs!$G$5:$G$120&lt;&gt;"moeda")*(Inputs!$G$5:$G$120&lt;&gt;"acoes")))*INDEX(Inputs!$K$5:$AJ$120,0,MATCH(D$2,Inputs!$K$4:$AJ$4,0)))+SUMPRODUCT((Inputs!$C$5:$C$120=$B57)*Inputs!$D$5:$D$120*(((Inputs!$G$5:$G$120="moeda")+(Inputs!$G$5:$G$120="acoes"))*Inputs!$B$1+((Inputs!$G$5:$G$120&lt;&gt;"moeda")*(Inputs!$G$5:$G$120&lt;&gt;"acoes")))*INDEX(Inputs!$K$5:$AJ$120,0,MATCH(D$2,Inputs!$K$4:$AJ$4,0)))+SUMPRODUCT((Inputs!$E$5:$E$120=$B57)*Inputs!$F$5:$F$120*(((Inputs!$G$5:$G$120="moeda")+(Inputs!$G$5:$G$120="acoes"))*Inputs!$B$1+((Inputs!$G$5:$G$120&lt;&gt;"moeda")*(Inputs!$G$5:$G$120&lt;&gt;"acoes")))*INDEX(Inputs!$K$5:$AJ$120,0,MATCH(D$2,Inputs!$K$4:$AJ$4,0)))))</f>
        <v>1435</v>
      </c>
      <c r="E57" s="513">
        <f>IF(ISNA(MATCH(E$2,Inputs!$K$4:$AJ$4,0)),NA(),IF(SUMPRODUCT((Inputs!$A$5:$A$120=$B57)*ISNUMBER(INDEX(Inputs!$K$5:$AJ$120,0,MATCH(E$2,Inputs!$K$4:$AJ$4,0))))+SUMPRODUCT((Inputs!$C$5:$C$120=$B57)*ISNUMBER(INDEX(Inputs!$K$5:$AJ$120,0,MATCH(E$2,Inputs!$K$4:$AJ$4,0))))+SUMPRODUCT((Inputs!$E$5:$E$120=$B57)*ISNUMBER(INDEX(Inputs!$K$5:$AJ$120,0,MATCH(E$2,Inputs!$K$4:$AJ$4,0))))=0,NA(),SUMPRODUCT((Inputs!$A$5:$A$120=$B57)*Inputs!$B$5:$B$120*(((Inputs!$G$5:$G$120="moeda")+(Inputs!$G$5:$G$120="acoes"))*Inputs!$B$1+((Inputs!$G$5:$G$120&lt;&gt;"moeda")*(Inputs!$G$5:$G$120&lt;&gt;"acoes")))*INDEX(Inputs!$K$5:$AJ$120,0,MATCH(E$2,Inputs!$K$4:$AJ$4,0)))+SUMPRODUCT((Inputs!$C$5:$C$120=$B57)*Inputs!$D$5:$D$120*(((Inputs!$G$5:$G$120="moeda")+(Inputs!$G$5:$G$120="acoes"))*Inputs!$B$1+((Inputs!$G$5:$G$120&lt;&gt;"moeda")*(Inputs!$G$5:$G$120&lt;&gt;"acoes")))*INDEX(Inputs!$K$5:$AJ$120,0,MATCH(E$2,Inputs!$K$4:$AJ$4,0)))+SUMPRODUCT((Inputs!$E$5:$E$120=$B57)*Inputs!$F$5:$F$120*(((Inputs!$G$5:$G$120="moeda")+(Inputs!$G$5:$G$120="acoes"))*Inputs!$B$1+((Inputs!$G$5:$G$120&lt;&gt;"moeda")*(Inputs!$G$5:$G$120&lt;&gt;"acoes")))*INDEX(Inputs!$K$5:$AJ$120,0,MATCH(E$2,Inputs!$K$4:$AJ$4,0)))))</f>
        <v>1809</v>
      </c>
      <c r="F57" s="513">
        <f>IF(ISNA(MATCH(F$2,Inputs!$K$4:$AJ$4,0)),NA(),IF(SUMPRODUCT((Inputs!$A$5:$A$120=$B57)*ISNUMBER(INDEX(Inputs!$K$5:$AJ$120,0,MATCH(F$2,Inputs!$K$4:$AJ$4,0))))+SUMPRODUCT((Inputs!$C$5:$C$120=$B57)*ISNUMBER(INDEX(Inputs!$K$5:$AJ$120,0,MATCH(F$2,Inputs!$K$4:$AJ$4,0))))+SUMPRODUCT((Inputs!$E$5:$E$120=$B57)*ISNUMBER(INDEX(Inputs!$K$5:$AJ$120,0,MATCH(F$2,Inputs!$K$4:$AJ$4,0))))=0,NA(),SUMPRODUCT((Inputs!$A$5:$A$120=$B57)*Inputs!$B$5:$B$120*(((Inputs!$G$5:$G$120="moeda")+(Inputs!$G$5:$G$120="acoes"))*Inputs!$B$1+((Inputs!$G$5:$G$120&lt;&gt;"moeda")*(Inputs!$G$5:$G$120&lt;&gt;"acoes")))*INDEX(Inputs!$K$5:$AJ$120,0,MATCH(F$2,Inputs!$K$4:$AJ$4,0)))+SUMPRODUCT((Inputs!$C$5:$C$120=$B57)*Inputs!$D$5:$D$120*(((Inputs!$G$5:$G$120="moeda")+(Inputs!$G$5:$G$120="acoes"))*Inputs!$B$1+((Inputs!$G$5:$G$120&lt;&gt;"moeda")*(Inputs!$G$5:$G$120&lt;&gt;"acoes")))*INDEX(Inputs!$K$5:$AJ$120,0,MATCH(F$2,Inputs!$K$4:$AJ$4,0)))+SUMPRODUCT((Inputs!$E$5:$E$120=$B57)*Inputs!$F$5:$F$120*(((Inputs!$G$5:$G$120="moeda")+(Inputs!$G$5:$G$120="acoes"))*Inputs!$B$1+((Inputs!$G$5:$G$120&lt;&gt;"moeda")*(Inputs!$G$5:$G$120&lt;&gt;"acoes")))*INDEX(Inputs!$K$5:$AJ$120,0,MATCH(F$2,Inputs!$K$4:$AJ$4,0)))))</f>
        <v>2042</v>
      </c>
      <c r="G57" s="513">
        <f>IF(ISNA(MATCH(G$2,Inputs!$K$4:$AJ$4,0)),NA(),IF(SUMPRODUCT((Inputs!$A$5:$A$120=$B57)*ISNUMBER(INDEX(Inputs!$K$5:$AJ$120,0,MATCH(G$2,Inputs!$K$4:$AJ$4,0))))+SUMPRODUCT((Inputs!$C$5:$C$120=$B57)*ISNUMBER(INDEX(Inputs!$K$5:$AJ$120,0,MATCH(G$2,Inputs!$K$4:$AJ$4,0))))+SUMPRODUCT((Inputs!$E$5:$E$120=$B57)*ISNUMBER(INDEX(Inputs!$K$5:$AJ$120,0,MATCH(G$2,Inputs!$K$4:$AJ$4,0))))=0,NA(),SUMPRODUCT((Inputs!$A$5:$A$120=$B57)*Inputs!$B$5:$B$120*(((Inputs!$G$5:$G$120="moeda")+(Inputs!$G$5:$G$120="acoes"))*Inputs!$B$1+((Inputs!$G$5:$G$120&lt;&gt;"moeda")*(Inputs!$G$5:$G$120&lt;&gt;"acoes")))*INDEX(Inputs!$K$5:$AJ$120,0,MATCH(G$2,Inputs!$K$4:$AJ$4,0)))+SUMPRODUCT((Inputs!$C$5:$C$120=$B57)*Inputs!$D$5:$D$120*(((Inputs!$G$5:$G$120="moeda")+(Inputs!$G$5:$G$120="acoes"))*Inputs!$B$1+((Inputs!$G$5:$G$120&lt;&gt;"moeda")*(Inputs!$G$5:$G$120&lt;&gt;"acoes")))*INDEX(Inputs!$K$5:$AJ$120,0,MATCH(G$2,Inputs!$K$4:$AJ$4,0)))+SUMPRODUCT((Inputs!$E$5:$E$120=$B57)*Inputs!$F$5:$F$120*(((Inputs!$G$5:$G$120="moeda")+(Inputs!$G$5:$G$120="acoes"))*Inputs!$B$1+((Inputs!$G$5:$G$120&lt;&gt;"moeda")*(Inputs!$G$5:$G$120&lt;&gt;"acoes")))*INDEX(Inputs!$K$5:$AJ$120,0,MATCH(G$2,Inputs!$K$4:$AJ$4,0)))))</f>
        <v>2237</v>
      </c>
      <c r="H57" s="514">
        <f>SUM(D57:G57)</f>
        <v>7523</v>
      </c>
      <c r="I57" s="513">
        <f>IF(ISNA(MATCH(I$2,Inputs!$K$4:$AJ$4,0)),NA(),IF(SUMPRODUCT((Inputs!$A$5:$A$120=$B57)*ISNUMBER(INDEX(Inputs!$K$5:$AJ$120,0,MATCH(I$2,Inputs!$K$4:$AJ$4,0))))+SUMPRODUCT((Inputs!$C$5:$C$120=$B57)*ISNUMBER(INDEX(Inputs!$K$5:$AJ$120,0,MATCH(I$2,Inputs!$K$4:$AJ$4,0))))+SUMPRODUCT((Inputs!$E$5:$E$120=$B57)*ISNUMBER(INDEX(Inputs!$K$5:$AJ$120,0,MATCH(I$2,Inputs!$K$4:$AJ$4,0))))=0,NA(),SUMPRODUCT((Inputs!$A$5:$A$120=$B57)*Inputs!$B$5:$B$120*(((Inputs!$G$5:$G$120="moeda")+(Inputs!$G$5:$G$120="acoes"))*Inputs!$B$1+((Inputs!$G$5:$G$120&lt;&gt;"moeda")*(Inputs!$G$5:$G$120&lt;&gt;"acoes")))*INDEX(Inputs!$K$5:$AJ$120,0,MATCH(I$2,Inputs!$K$4:$AJ$4,0)))+SUMPRODUCT((Inputs!$C$5:$C$120=$B57)*Inputs!$D$5:$D$120*(((Inputs!$G$5:$G$120="moeda")+(Inputs!$G$5:$G$120="acoes"))*Inputs!$B$1+((Inputs!$G$5:$G$120&lt;&gt;"moeda")*(Inputs!$G$5:$G$120&lt;&gt;"acoes")))*INDEX(Inputs!$K$5:$AJ$120,0,MATCH(I$2,Inputs!$K$4:$AJ$4,0)))+SUMPRODUCT((Inputs!$E$5:$E$120=$B57)*Inputs!$F$5:$F$120*(((Inputs!$G$5:$G$120="moeda")+(Inputs!$G$5:$G$120="acoes"))*Inputs!$B$1+((Inputs!$G$5:$G$120&lt;&gt;"moeda")*(Inputs!$G$5:$G$120&lt;&gt;"acoes")))*INDEX(Inputs!$K$5:$AJ$120,0,MATCH(I$2,Inputs!$K$4:$AJ$4,0)))))</f>
        <v>2404</v>
      </c>
      <c r="J57" s="513">
        <f>IF(ISNA(MATCH(J$2,Inputs!$K$4:$AJ$4,0)),NA(),IF(SUMPRODUCT((Inputs!$A$5:$A$120=$B57)*ISNUMBER(INDEX(Inputs!$K$5:$AJ$120,0,MATCH(J$2,Inputs!$K$4:$AJ$4,0))))+SUMPRODUCT((Inputs!$C$5:$C$120=$B57)*ISNUMBER(INDEX(Inputs!$K$5:$AJ$120,0,MATCH(J$2,Inputs!$K$4:$AJ$4,0))))+SUMPRODUCT((Inputs!$E$5:$E$120=$B57)*ISNUMBER(INDEX(Inputs!$K$5:$AJ$120,0,MATCH(J$2,Inputs!$K$4:$AJ$4,0))))=0,NA(),SUMPRODUCT((Inputs!$A$5:$A$120=$B57)*Inputs!$B$5:$B$120*(((Inputs!$G$5:$G$120="moeda")+(Inputs!$G$5:$G$120="acoes"))*Inputs!$B$1+((Inputs!$G$5:$G$120&lt;&gt;"moeda")*(Inputs!$G$5:$G$120&lt;&gt;"acoes")))*INDEX(Inputs!$K$5:$AJ$120,0,MATCH(J$2,Inputs!$K$4:$AJ$4,0)))+SUMPRODUCT((Inputs!$C$5:$C$120=$B57)*Inputs!$D$5:$D$120*(((Inputs!$G$5:$G$120="moeda")+(Inputs!$G$5:$G$120="acoes"))*Inputs!$B$1+((Inputs!$G$5:$G$120&lt;&gt;"moeda")*(Inputs!$G$5:$G$120&lt;&gt;"acoes")))*INDEX(Inputs!$K$5:$AJ$120,0,MATCH(J$2,Inputs!$K$4:$AJ$4,0)))+SUMPRODUCT((Inputs!$E$5:$E$120=$B57)*Inputs!$F$5:$F$120*(((Inputs!$G$5:$G$120="moeda")+(Inputs!$G$5:$G$120="acoes"))*Inputs!$B$1+((Inputs!$G$5:$G$120&lt;&gt;"moeda")*(Inputs!$G$5:$G$120&lt;&gt;"acoes")))*INDEX(Inputs!$K$5:$AJ$120,0,MATCH(J$2,Inputs!$K$4:$AJ$4,0)))))</f>
        <v>1978</v>
      </c>
      <c r="K57" s="513">
        <f>IF(ISNA(MATCH(K$2,Inputs!$K$4:$AJ$4,0)),NA(),IF(SUMPRODUCT((Inputs!$A$5:$A$120=$B57)*ISNUMBER(INDEX(Inputs!$K$5:$AJ$120,0,MATCH(K$2,Inputs!$K$4:$AJ$4,0))))+SUMPRODUCT((Inputs!$C$5:$C$120=$B57)*ISNUMBER(INDEX(Inputs!$K$5:$AJ$120,0,MATCH(K$2,Inputs!$K$4:$AJ$4,0))))+SUMPRODUCT((Inputs!$E$5:$E$120=$B57)*ISNUMBER(INDEX(Inputs!$K$5:$AJ$120,0,MATCH(K$2,Inputs!$K$4:$AJ$4,0))))=0,NA(),SUMPRODUCT((Inputs!$A$5:$A$120=$B57)*Inputs!$B$5:$B$120*(((Inputs!$G$5:$G$120="moeda")+(Inputs!$G$5:$G$120="acoes"))*Inputs!$B$1+((Inputs!$G$5:$G$120&lt;&gt;"moeda")*(Inputs!$G$5:$G$120&lt;&gt;"acoes")))*INDEX(Inputs!$K$5:$AJ$120,0,MATCH(K$2,Inputs!$K$4:$AJ$4,0)))+SUMPRODUCT((Inputs!$C$5:$C$120=$B57)*Inputs!$D$5:$D$120*(((Inputs!$G$5:$G$120="moeda")+(Inputs!$G$5:$G$120="acoes"))*Inputs!$B$1+((Inputs!$G$5:$G$120&lt;&gt;"moeda")*(Inputs!$G$5:$G$120&lt;&gt;"acoes")))*INDEX(Inputs!$K$5:$AJ$120,0,MATCH(K$2,Inputs!$K$4:$AJ$4,0)))+SUMPRODUCT((Inputs!$E$5:$E$120=$B57)*Inputs!$F$5:$F$120*(((Inputs!$G$5:$G$120="moeda")+(Inputs!$G$5:$G$120="acoes"))*Inputs!$B$1+((Inputs!$G$5:$G$120&lt;&gt;"moeda")*(Inputs!$G$5:$G$120&lt;&gt;"acoes")))*INDEX(Inputs!$K$5:$AJ$120,0,MATCH(K$2,Inputs!$K$4:$AJ$4,0)))))</f>
        <v>1798</v>
      </c>
      <c r="L57" s="513">
        <f>IF(ISNA(MATCH(L$2,Inputs!$K$4:$AJ$4,0)),NA(),IF(SUMPRODUCT((Inputs!$A$5:$A$120=$B57)*ISNUMBER(INDEX(Inputs!$K$5:$AJ$120,0,MATCH(L$2,Inputs!$K$4:$AJ$4,0))))+SUMPRODUCT((Inputs!$C$5:$C$120=$B57)*ISNUMBER(INDEX(Inputs!$K$5:$AJ$120,0,MATCH(L$2,Inputs!$K$4:$AJ$4,0))))+SUMPRODUCT((Inputs!$E$5:$E$120=$B57)*ISNUMBER(INDEX(Inputs!$K$5:$AJ$120,0,MATCH(L$2,Inputs!$K$4:$AJ$4,0))))=0,NA(),SUMPRODUCT((Inputs!$A$5:$A$120=$B57)*Inputs!$B$5:$B$120*(((Inputs!$G$5:$G$120="moeda")+(Inputs!$G$5:$G$120="acoes"))*Inputs!$B$1+((Inputs!$G$5:$G$120&lt;&gt;"moeda")*(Inputs!$G$5:$G$120&lt;&gt;"acoes")))*INDEX(Inputs!$K$5:$AJ$120,0,MATCH(L$2,Inputs!$K$4:$AJ$4,0)))+SUMPRODUCT((Inputs!$C$5:$C$120=$B57)*Inputs!$D$5:$D$120*(((Inputs!$G$5:$G$120="moeda")+(Inputs!$G$5:$G$120="acoes"))*Inputs!$B$1+((Inputs!$G$5:$G$120&lt;&gt;"moeda")*(Inputs!$G$5:$G$120&lt;&gt;"acoes")))*INDEX(Inputs!$K$5:$AJ$120,0,MATCH(L$2,Inputs!$K$4:$AJ$4,0)))+SUMPRODUCT((Inputs!$E$5:$E$120=$B57)*Inputs!$F$5:$F$120*(((Inputs!$G$5:$G$120="moeda")+(Inputs!$G$5:$G$120="acoes"))*Inputs!$B$1+((Inputs!$G$5:$G$120&lt;&gt;"moeda")*(Inputs!$G$5:$G$120&lt;&gt;"acoes")))*INDEX(Inputs!$K$5:$AJ$120,0,MATCH(L$2,Inputs!$K$4:$AJ$4,0)))))</f>
        <v>2246</v>
      </c>
      <c r="M57" s="514">
        <f>SUM(I57:L57)</f>
        <v>8426</v>
      </c>
      <c r="N57" s="513">
        <f>IF(ISNA(MATCH(N$2,Inputs!$K$4:$AJ$4,0)),NA(),IF(SUMPRODUCT((Inputs!$A$5:$A$120=$B57)*ISNUMBER(INDEX(Inputs!$K$5:$AJ$120,0,MATCH(N$2,Inputs!$K$4:$AJ$4,0))))+SUMPRODUCT((Inputs!$C$5:$C$120=$B57)*ISNUMBER(INDEX(Inputs!$K$5:$AJ$120,0,MATCH(N$2,Inputs!$K$4:$AJ$4,0))))+SUMPRODUCT((Inputs!$E$5:$E$120=$B57)*ISNUMBER(INDEX(Inputs!$K$5:$AJ$120,0,MATCH(N$2,Inputs!$K$4:$AJ$4,0))))=0,NA(),SUMPRODUCT((Inputs!$A$5:$A$120=$B57)*Inputs!$B$5:$B$120*(((Inputs!$G$5:$G$120="moeda")+(Inputs!$G$5:$G$120="acoes"))*Inputs!$B$1+((Inputs!$G$5:$G$120&lt;&gt;"moeda")*(Inputs!$G$5:$G$120&lt;&gt;"acoes")))*INDEX(Inputs!$K$5:$AJ$120,0,MATCH(N$2,Inputs!$K$4:$AJ$4,0)))+SUMPRODUCT((Inputs!$C$5:$C$120=$B57)*Inputs!$D$5:$D$120*(((Inputs!$G$5:$G$120="moeda")+(Inputs!$G$5:$G$120="acoes"))*Inputs!$B$1+((Inputs!$G$5:$G$120&lt;&gt;"moeda")*(Inputs!$G$5:$G$120&lt;&gt;"acoes")))*INDEX(Inputs!$K$5:$AJ$120,0,MATCH(N$2,Inputs!$K$4:$AJ$4,0)))+SUMPRODUCT((Inputs!$E$5:$E$120=$B57)*Inputs!$F$5:$F$120*(((Inputs!$G$5:$G$120="moeda")+(Inputs!$G$5:$G$120="acoes"))*Inputs!$B$1+((Inputs!$G$5:$G$120&lt;&gt;"moeda")*(Inputs!$G$5:$G$120&lt;&gt;"acoes")))*INDEX(Inputs!$K$5:$AJ$120,0,MATCH(N$2,Inputs!$K$4:$AJ$4,0)))))</f>
        <v>1368</v>
      </c>
      <c r="O57" s="513">
        <f>IF(ISNA(MATCH(O$2,Inputs!$K$4:$AJ$4,0)),NA(),IF(SUMPRODUCT((Inputs!$A$5:$A$120=$B57)*ISNUMBER(INDEX(Inputs!$K$5:$AJ$120,0,MATCH(O$2,Inputs!$K$4:$AJ$4,0))))+SUMPRODUCT((Inputs!$C$5:$C$120=$B57)*ISNUMBER(INDEX(Inputs!$K$5:$AJ$120,0,MATCH(O$2,Inputs!$K$4:$AJ$4,0))))+SUMPRODUCT((Inputs!$E$5:$E$120=$B57)*ISNUMBER(INDEX(Inputs!$K$5:$AJ$120,0,MATCH(O$2,Inputs!$K$4:$AJ$4,0))))=0,NA(),SUMPRODUCT((Inputs!$A$5:$A$120=$B57)*Inputs!$B$5:$B$120*(((Inputs!$G$5:$G$120="moeda")+(Inputs!$G$5:$G$120="acoes"))*Inputs!$B$1+((Inputs!$G$5:$G$120&lt;&gt;"moeda")*(Inputs!$G$5:$G$120&lt;&gt;"acoes")))*INDEX(Inputs!$K$5:$AJ$120,0,MATCH(O$2,Inputs!$K$4:$AJ$4,0)))+SUMPRODUCT((Inputs!$C$5:$C$120=$B57)*Inputs!$D$5:$D$120*(((Inputs!$G$5:$G$120="moeda")+(Inputs!$G$5:$G$120="acoes"))*Inputs!$B$1+((Inputs!$G$5:$G$120&lt;&gt;"moeda")*(Inputs!$G$5:$G$120&lt;&gt;"acoes")))*INDEX(Inputs!$K$5:$AJ$120,0,MATCH(O$2,Inputs!$K$4:$AJ$4,0)))+SUMPRODUCT((Inputs!$E$5:$E$120=$B57)*Inputs!$F$5:$F$120*(((Inputs!$G$5:$G$120="moeda")+(Inputs!$G$5:$G$120="acoes"))*Inputs!$B$1+((Inputs!$G$5:$G$120&lt;&gt;"moeda")*(Inputs!$G$5:$G$120&lt;&gt;"acoes")))*INDEX(Inputs!$K$5:$AJ$120,0,MATCH(O$2,Inputs!$K$4:$AJ$4,0)))))</f>
        <v>2237</v>
      </c>
      <c r="P57" s="513">
        <f>IF(ISNA(MATCH(P$2,Inputs!$K$4:$AJ$4,0)),NA(),IF(SUMPRODUCT((Inputs!$A$5:$A$120=$B57)*ISNUMBER(INDEX(Inputs!$K$5:$AJ$120,0,MATCH(P$2,Inputs!$K$4:$AJ$4,0))))+SUMPRODUCT((Inputs!$C$5:$C$120=$B57)*ISNUMBER(INDEX(Inputs!$K$5:$AJ$120,0,MATCH(P$2,Inputs!$K$4:$AJ$4,0))))+SUMPRODUCT((Inputs!$E$5:$E$120=$B57)*ISNUMBER(INDEX(Inputs!$K$5:$AJ$120,0,MATCH(P$2,Inputs!$K$4:$AJ$4,0))))=0,NA(),SUMPRODUCT((Inputs!$A$5:$A$120=$B57)*Inputs!$B$5:$B$120*(((Inputs!$G$5:$G$120="moeda")+(Inputs!$G$5:$G$120="acoes"))*Inputs!$B$1+((Inputs!$G$5:$G$120&lt;&gt;"moeda")*(Inputs!$G$5:$G$120&lt;&gt;"acoes")))*INDEX(Inputs!$K$5:$AJ$120,0,MATCH(P$2,Inputs!$K$4:$AJ$4,0)))+SUMPRODUCT((Inputs!$C$5:$C$120=$B57)*Inputs!$D$5:$D$120*(((Inputs!$G$5:$G$120="moeda")+(Inputs!$G$5:$G$120="acoes"))*Inputs!$B$1+((Inputs!$G$5:$G$120&lt;&gt;"moeda")*(Inputs!$G$5:$G$120&lt;&gt;"acoes")))*INDEX(Inputs!$K$5:$AJ$120,0,MATCH(P$2,Inputs!$K$4:$AJ$4,0)))+SUMPRODUCT((Inputs!$E$5:$E$120=$B57)*Inputs!$F$5:$F$120*(((Inputs!$G$5:$G$120="moeda")+(Inputs!$G$5:$G$120="acoes"))*Inputs!$B$1+((Inputs!$G$5:$G$120&lt;&gt;"moeda")*(Inputs!$G$5:$G$120&lt;&gt;"acoes")))*INDEX(Inputs!$K$5:$AJ$120,0,MATCH(P$2,Inputs!$K$4:$AJ$4,0)))))</f>
        <v>2095</v>
      </c>
      <c r="Q57" s="513">
        <f>IF(ISNA(MATCH(Q$2,Inputs!$K$4:$AJ$4,0)),NA(),IF(SUMPRODUCT((Inputs!$A$5:$A$120=$B57)*ISNUMBER(INDEX(Inputs!$K$5:$AJ$120,0,MATCH(Q$2,Inputs!$K$4:$AJ$4,0))))+SUMPRODUCT((Inputs!$C$5:$C$120=$B57)*ISNUMBER(INDEX(Inputs!$K$5:$AJ$120,0,MATCH(Q$2,Inputs!$K$4:$AJ$4,0))))+SUMPRODUCT((Inputs!$E$5:$E$120=$B57)*ISNUMBER(INDEX(Inputs!$K$5:$AJ$120,0,MATCH(Q$2,Inputs!$K$4:$AJ$4,0))))=0,NA(),SUMPRODUCT((Inputs!$A$5:$A$120=$B57)*Inputs!$B$5:$B$120*(((Inputs!$G$5:$G$120="moeda")+(Inputs!$G$5:$G$120="acoes"))*Inputs!$B$1+((Inputs!$G$5:$G$120&lt;&gt;"moeda")*(Inputs!$G$5:$G$120&lt;&gt;"acoes")))*INDEX(Inputs!$K$5:$AJ$120,0,MATCH(Q$2,Inputs!$K$4:$AJ$4,0)))+SUMPRODUCT((Inputs!$C$5:$C$120=$B57)*Inputs!$D$5:$D$120*(((Inputs!$G$5:$G$120="moeda")+(Inputs!$G$5:$G$120="acoes"))*Inputs!$B$1+((Inputs!$G$5:$G$120&lt;&gt;"moeda")*(Inputs!$G$5:$G$120&lt;&gt;"acoes")))*INDEX(Inputs!$K$5:$AJ$120,0,MATCH(Q$2,Inputs!$K$4:$AJ$4,0)))+SUMPRODUCT((Inputs!$E$5:$E$120=$B57)*Inputs!$F$5:$F$120*(((Inputs!$G$5:$G$120="moeda")+(Inputs!$G$5:$G$120="acoes"))*Inputs!$B$1+((Inputs!$G$5:$G$120&lt;&gt;"moeda")*(Inputs!$G$5:$G$120&lt;&gt;"acoes")))*INDEX(Inputs!$K$5:$AJ$120,0,MATCH(Q$2,Inputs!$K$4:$AJ$4,0)))))</f>
        <v>2737</v>
      </c>
      <c r="R57" s="514">
        <f>SUM(N57:Q57)</f>
        <v>8437</v>
      </c>
      <c r="S57" s="513">
        <f>IF(ISNA(MATCH(S$2,Inputs!$K$4:$AJ$4,0)),NA(),IF(SUMPRODUCT((Inputs!$A$5:$A$120=$B57)*ISNUMBER(INDEX(Inputs!$K$5:$AJ$120,0,MATCH(S$2,Inputs!$K$4:$AJ$4,0))))+SUMPRODUCT((Inputs!$C$5:$C$120=$B57)*ISNUMBER(INDEX(Inputs!$K$5:$AJ$120,0,MATCH(S$2,Inputs!$K$4:$AJ$4,0))))+SUMPRODUCT((Inputs!$E$5:$E$120=$B57)*ISNUMBER(INDEX(Inputs!$K$5:$AJ$120,0,MATCH(S$2,Inputs!$K$4:$AJ$4,0))))=0,NA(),SUMPRODUCT((Inputs!$A$5:$A$120=$B57)*Inputs!$B$5:$B$120*(((Inputs!$G$5:$G$120="moeda")+(Inputs!$G$5:$G$120="acoes"))*Inputs!$B$1+((Inputs!$G$5:$G$120&lt;&gt;"moeda")*(Inputs!$G$5:$G$120&lt;&gt;"acoes")))*INDEX(Inputs!$K$5:$AJ$120,0,MATCH(S$2,Inputs!$K$4:$AJ$4,0)))+SUMPRODUCT((Inputs!$C$5:$C$120=$B57)*Inputs!$D$5:$D$120*(((Inputs!$G$5:$G$120="moeda")+(Inputs!$G$5:$G$120="acoes"))*Inputs!$B$1+((Inputs!$G$5:$G$120&lt;&gt;"moeda")*(Inputs!$G$5:$G$120&lt;&gt;"acoes")))*INDEX(Inputs!$K$5:$AJ$120,0,MATCH(S$2,Inputs!$K$4:$AJ$4,0)))+SUMPRODUCT((Inputs!$E$5:$E$120=$B57)*Inputs!$F$5:$F$120*(((Inputs!$G$5:$G$120="moeda")+(Inputs!$G$5:$G$120="acoes"))*Inputs!$B$1+((Inputs!$G$5:$G$120&lt;&gt;"moeda")*(Inputs!$G$5:$G$120&lt;&gt;"acoes")))*INDEX(Inputs!$K$5:$AJ$120,0,MATCH(S$2,Inputs!$K$4:$AJ$4,0)))))</f>
        <v>2825</v>
      </c>
      <c r="T57" s="513">
        <f>IF(ISNA(MATCH(T$2,Inputs!$K$4:$AJ$4,0)),NA(),IF(SUMPRODUCT((Inputs!$A$5:$A$120=$B57)*ISNUMBER(INDEX(Inputs!$K$5:$AJ$120,0,MATCH(T$2,Inputs!$K$4:$AJ$4,0))))+SUMPRODUCT((Inputs!$C$5:$C$120=$B57)*ISNUMBER(INDEX(Inputs!$K$5:$AJ$120,0,MATCH(T$2,Inputs!$K$4:$AJ$4,0))))+SUMPRODUCT((Inputs!$E$5:$E$120=$B57)*ISNUMBER(INDEX(Inputs!$K$5:$AJ$120,0,MATCH(T$2,Inputs!$K$4:$AJ$4,0))))=0,NA(),SUMPRODUCT((Inputs!$A$5:$A$120=$B57)*Inputs!$B$5:$B$120*(((Inputs!$G$5:$G$120="moeda")+(Inputs!$G$5:$G$120="acoes"))*Inputs!$B$1+((Inputs!$G$5:$G$120&lt;&gt;"moeda")*(Inputs!$G$5:$G$120&lt;&gt;"acoes")))*INDEX(Inputs!$K$5:$AJ$120,0,MATCH(T$2,Inputs!$K$4:$AJ$4,0)))+SUMPRODUCT((Inputs!$C$5:$C$120=$B57)*Inputs!$D$5:$D$120*(((Inputs!$G$5:$G$120="moeda")+(Inputs!$G$5:$G$120="acoes"))*Inputs!$B$1+((Inputs!$G$5:$G$120&lt;&gt;"moeda")*(Inputs!$G$5:$G$120&lt;&gt;"acoes")))*INDEX(Inputs!$K$5:$AJ$120,0,MATCH(T$2,Inputs!$K$4:$AJ$4,0)))+SUMPRODUCT((Inputs!$E$5:$E$120=$B57)*Inputs!$F$5:$F$120*(((Inputs!$G$5:$G$120="moeda")+(Inputs!$G$5:$G$120="acoes"))*Inputs!$B$1+((Inputs!$G$5:$G$120&lt;&gt;"moeda")*(Inputs!$G$5:$G$120&lt;&gt;"acoes")))*INDEX(Inputs!$K$5:$AJ$120,0,MATCH(T$2,Inputs!$K$4:$AJ$4,0)))))</f>
        <v>2268</v>
      </c>
      <c r="U57" s="513">
        <f>IF(ISNA(MATCH(U$2,Inputs!$K$4:$AJ$4,0)),NA(),IF(SUMPRODUCT((Inputs!$A$5:$A$120=$B57)*ISNUMBER(INDEX(Inputs!$K$5:$AJ$120,0,MATCH(U$2,Inputs!$K$4:$AJ$4,0))))+SUMPRODUCT((Inputs!$C$5:$C$120=$B57)*ISNUMBER(INDEX(Inputs!$K$5:$AJ$120,0,MATCH(U$2,Inputs!$K$4:$AJ$4,0))))+SUMPRODUCT((Inputs!$E$5:$E$120=$B57)*ISNUMBER(INDEX(Inputs!$K$5:$AJ$120,0,MATCH(U$2,Inputs!$K$4:$AJ$4,0))))=0,NA(),SUMPRODUCT((Inputs!$A$5:$A$120=$B57)*Inputs!$B$5:$B$120*(((Inputs!$G$5:$G$120="moeda")+(Inputs!$G$5:$G$120="acoes"))*Inputs!$B$1+((Inputs!$G$5:$G$120&lt;&gt;"moeda")*(Inputs!$G$5:$G$120&lt;&gt;"acoes")))*INDEX(Inputs!$K$5:$AJ$120,0,MATCH(U$2,Inputs!$K$4:$AJ$4,0)))+SUMPRODUCT((Inputs!$C$5:$C$120=$B57)*Inputs!$D$5:$D$120*(((Inputs!$G$5:$G$120="moeda")+(Inputs!$G$5:$G$120="acoes"))*Inputs!$B$1+((Inputs!$G$5:$G$120&lt;&gt;"moeda")*(Inputs!$G$5:$G$120&lt;&gt;"acoes")))*INDEX(Inputs!$K$5:$AJ$120,0,MATCH(U$2,Inputs!$K$4:$AJ$4,0)))+SUMPRODUCT((Inputs!$E$5:$E$120=$B57)*Inputs!$F$5:$F$120*(((Inputs!$G$5:$G$120="moeda")+(Inputs!$G$5:$G$120="acoes"))*Inputs!$B$1+((Inputs!$G$5:$G$120&lt;&gt;"moeda")*(Inputs!$G$5:$G$120&lt;&gt;"acoes")))*INDEX(Inputs!$K$5:$AJ$120,0,MATCH(U$2,Inputs!$K$4:$AJ$4,0)))))</f>
        <v>2982</v>
      </c>
      <c r="V57" s="513">
        <f>IF(ISNA(MATCH(V$2,Inputs!$K$4:$AJ$4,0)),NA(),IF(SUMPRODUCT((Inputs!$A$5:$A$120=$B57)*ISNUMBER(INDEX(Inputs!$K$5:$AJ$120,0,MATCH(V$2,Inputs!$K$4:$AJ$4,0))))+SUMPRODUCT((Inputs!$C$5:$C$120=$B57)*ISNUMBER(INDEX(Inputs!$K$5:$AJ$120,0,MATCH(V$2,Inputs!$K$4:$AJ$4,0))))+SUMPRODUCT((Inputs!$E$5:$E$120=$B57)*ISNUMBER(INDEX(Inputs!$K$5:$AJ$120,0,MATCH(V$2,Inputs!$K$4:$AJ$4,0))))=0,NA(),SUMPRODUCT((Inputs!$A$5:$A$120=$B57)*Inputs!$B$5:$B$120*(((Inputs!$G$5:$G$120="moeda")+(Inputs!$G$5:$G$120="acoes"))*Inputs!$B$1+((Inputs!$G$5:$G$120&lt;&gt;"moeda")*(Inputs!$G$5:$G$120&lt;&gt;"acoes")))*INDEX(Inputs!$K$5:$AJ$120,0,MATCH(V$2,Inputs!$K$4:$AJ$4,0)))+SUMPRODUCT((Inputs!$C$5:$C$120=$B57)*Inputs!$D$5:$D$120*(((Inputs!$G$5:$G$120="moeda")+(Inputs!$G$5:$G$120="acoes"))*Inputs!$B$1+((Inputs!$G$5:$G$120&lt;&gt;"moeda")*(Inputs!$G$5:$G$120&lt;&gt;"acoes")))*INDEX(Inputs!$K$5:$AJ$120,0,MATCH(V$2,Inputs!$K$4:$AJ$4,0)))+SUMPRODUCT((Inputs!$E$5:$E$120=$B57)*Inputs!$F$5:$F$120*(((Inputs!$G$5:$G$120="moeda")+(Inputs!$G$5:$G$120="acoes"))*Inputs!$B$1+((Inputs!$G$5:$G$120&lt;&gt;"moeda")*(Inputs!$G$5:$G$120&lt;&gt;"acoes")))*INDEX(Inputs!$K$5:$AJ$120,0,MATCH(V$2,Inputs!$K$4:$AJ$4,0)))))</f>
        <v>2243</v>
      </c>
      <c r="W57" s="514">
        <f>SUM(S57:V57)</f>
        <v>10318</v>
      </c>
      <c r="X57" s="513">
        <f>IF(ISNA(MATCH(X$2,Inputs!$K$4:$AJ$4,0)),NA(),IF(SUMPRODUCT((Inputs!$A$5:$A$120=$B57)*ISNUMBER(INDEX(Inputs!$K$5:$AJ$120,0,MATCH(X$2,Inputs!$K$4:$AJ$4,0))))+SUMPRODUCT((Inputs!$C$5:$C$120=$B57)*ISNUMBER(INDEX(Inputs!$K$5:$AJ$120,0,MATCH(X$2,Inputs!$K$4:$AJ$4,0))))+SUMPRODUCT((Inputs!$E$5:$E$120=$B57)*ISNUMBER(INDEX(Inputs!$K$5:$AJ$120,0,MATCH(X$2,Inputs!$K$4:$AJ$4,0))))=0,NA(),SUMPRODUCT((Inputs!$A$5:$A$120=$B57)*Inputs!$B$5:$B$120*(((Inputs!$G$5:$G$120="moeda")+(Inputs!$G$5:$G$120="acoes"))*Inputs!$B$1+((Inputs!$G$5:$G$120&lt;&gt;"moeda")*(Inputs!$G$5:$G$120&lt;&gt;"acoes")))*INDEX(Inputs!$K$5:$AJ$120,0,MATCH(X$2,Inputs!$K$4:$AJ$4,0)))+SUMPRODUCT((Inputs!$C$5:$C$120=$B57)*Inputs!$D$5:$D$120*(((Inputs!$G$5:$G$120="moeda")+(Inputs!$G$5:$G$120="acoes"))*Inputs!$B$1+((Inputs!$G$5:$G$120&lt;&gt;"moeda")*(Inputs!$G$5:$G$120&lt;&gt;"acoes")))*INDEX(Inputs!$K$5:$AJ$120,0,MATCH(X$2,Inputs!$K$4:$AJ$4,0)))+SUMPRODUCT((Inputs!$E$5:$E$120=$B57)*Inputs!$F$5:$F$120*(((Inputs!$G$5:$G$120="moeda")+(Inputs!$G$5:$G$120="acoes"))*Inputs!$B$1+((Inputs!$G$5:$G$120&lt;&gt;"moeda")*(Inputs!$G$5:$G$120&lt;&gt;"acoes")))*INDEX(Inputs!$K$5:$AJ$120,0,MATCH(X$2,Inputs!$K$4:$AJ$4,0)))))</f>
        <v>1570</v>
      </c>
      <c r="Y57" s="513">
        <f>IF(ISNA(MATCH(Y$2,Inputs!$K$4:$AJ$4,0)),NA(),IF(SUMPRODUCT((Inputs!$A$5:$A$120=$B57)*ISNUMBER(INDEX(Inputs!$K$5:$AJ$120,0,MATCH(Y$2,Inputs!$K$4:$AJ$4,0))))+SUMPRODUCT((Inputs!$C$5:$C$120=$B57)*ISNUMBER(INDEX(Inputs!$K$5:$AJ$120,0,MATCH(Y$2,Inputs!$K$4:$AJ$4,0))))+SUMPRODUCT((Inputs!$E$5:$E$120=$B57)*ISNUMBER(INDEX(Inputs!$K$5:$AJ$120,0,MATCH(Y$2,Inputs!$K$4:$AJ$4,0))))=0,NA(),SUMPRODUCT((Inputs!$A$5:$A$120=$B57)*Inputs!$B$5:$B$120*(((Inputs!$G$5:$G$120="moeda")+(Inputs!$G$5:$G$120="acoes"))*Inputs!$B$1+((Inputs!$G$5:$G$120&lt;&gt;"moeda")*(Inputs!$G$5:$G$120&lt;&gt;"acoes")))*INDEX(Inputs!$K$5:$AJ$120,0,MATCH(Y$2,Inputs!$K$4:$AJ$4,0)))+SUMPRODUCT((Inputs!$C$5:$C$120=$B57)*Inputs!$D$5:$D$120*(((Inputs!$G$5:$G$120="moeda")+(Inputs!$G$5:$G$120="acoes"))*Inputs!$B$1+((Inputs!$G$5:$G$120&lt;&gt;"moeda")*(Inputs!$G$5:$G$120&lt;&gt;"acoes")))*INDEX(Inputs!$K$5:$AJ$120,0,MATCH(Y$2,Inputs!$K$4:$AJ$4,0)))+SUMPRODUCT((Inputs!$E$5:$E$120=$B57)*Inputs!$F$5:$F$120*(((Inputs!$G$5:$G$120="moeda")+(Inputs!$G$5:$G$120="acoes"))*Inputs!$B$1+((Inputs!$G$5:$G$120&lt;&gt;"moeda")*(Inputs!$G$5:$G$120&lt;&gt;"acoes")))*INDEX(Inputs!$K$5:$AJ$120,0,MATCH(Y$2,Inputs!$K$4:$AJ$4,0)))))</f>
        <v>3417</v>
      </c>
      <c r="Z57" s="513">
        <f>IF(ISNA(MATCH(Z$2,Inputs!$K$4:$AJ$4,0)),NA(),IF(SUMPRODUCT((Inputs!$A$5:$A$120=$B57)*ISNUMBER(INDEX(Inputs!$K$5:$AJ$120,0,MATCH(Z$2,Inputs!$K$4:$AJ$4,0))))+SUMPRODUCT((Inputs!$C$5:$C$120=$B57)*ISNUMBER(INDEX(Inputs!$K$5:$AJ$120,0,MATCH(Z$2,Inputs!$K$4:$AJ$4,0))))+SUMPRODUCT((Inputs!$E$5:$E$120=$B57)*ISNUMBER(INDEX(Inputs!$K$5:$AJ$120,0,MATCH(Z$2,Inputs!$K$4:$AJ$4,0))))=0,NA(),SUMPRODUCT((Inputs!$A$5:$A$120=$B57)*Inputs!$B$5:$B$120*(((Inputs!$G$5:$G$120="moeda")+(Inputs!$G$5:$G$120="acoes"))*Inputs!$B$1+((Inputs!$G$5:$G$120&lt;&gt;"moeda")*(Inputs!$G$5:$G$120&lt;&gt;"acoes")))*INDEX(Inputs!$K$5:$AJ$120,0,MATCH(Z$2,Inputs!$K$4:$AJ$4,0)))+SUMPRODUCT((Inputs!$C$5:$C$120=$B57)*Inputs!$D$5:$D$120*(((Inputs!$G$5:$G$120="moeda")+(Inputs!$G$5:$G$120="acoes"))*Inputs!$B$1+((Inputs!$G$5:$G$120&lt;&gt;"moeda")*(Inputs!$G$5:$G$120&lt;&gt;"acoes")))*INDEX(Inputs!$K$5:$AJ$120,0,MATCH(Z$2,Inputs!$K$4:$AJ$4,0)))+SUMPRODUCT((Inputs!$E$5:$E$120=$B57)*Inputs!$F$5:$F$120*(((Inputs!$G$5:$G$120="moeda")+(Inputs!$G$5:$G$120="acoes"))*Inputs!$B$1+((Inputs!$G$5:$G$120&lt;&gt;"moeda")*(Inputs!$G$5:$G$120&lt;&gt;"acoes")))*INDEX(Inputs!$K$5:$AJ$120,0,MATCH(Z$2,Inputs!$K$4:$AJ$4,0)))))</f>
        <v>2675</v>
      </c>
      <c r="AA57" s="513">
        <f>IF(ISNA(MATCH(AA$2,Inputs!$K$4:$AJ$4,0)),NA(),IF(SUMPRODUCT((Inputs!$A$5:$A$120=$B57)*ISNUMBER(INDEX(Inputs!$K$5:$AJ$120,0,MATCH(AA$2,Inputs!$K$4:$AJ$4,0))))+SUMPRODUCT((Inputs!$C$5:$C$120=$B57)*ISNUMBER(INDEX(Inputs!$K$5:$AJ$120,0,MATCH(AA$2,Inputs!$K$4:$AJ$4,0))))+SUMPRODUCT((Inputs!$E$5:$E$120=$B57)*ISNUMBER(INDEX(Inputs!$K$5:$AJ$120,0,MATCH(AA$2,Inputs!$K$4:$AJ$4,0))))=0,NA(),SUMPRODUCT((Inputs!$A$5:$A$120=$B57)*Inputs!$B$5:$B$120*(((Inputs!$G$5:$G$120="moeda")+(Inputs!$G$5:$G$120="acoes"))*Inputs!$B$1+((Inputs!$G$5:$G$120&lt;&gt;"moeda")*(Inputs!$G$5:$G$120&lt;&gt;"acoes")))*INDEX(Inputs!$K$5:$AJ$120,0,MATCH(AA$2,Inputs!$K$4:$AJ$4,0)))+SUMPRODUCT((Inputs!$C$5:$C$120=$B57)*Inputs!$D$5:$D$120*(((Inputs!$G$5:$G$120="moeda")+(Inputs!$G$5:$G$120="acoes"))*Inputs!$B$1+((Inputs!$G$5:$G$120&lt;&gt;"moeda")*(Inputs!$G$5:$G$120&lt;&gt;"acoes")))*INDEX(Inputs!$K$5:$AJ$120,0,MATCH(AA$2,Inputs!$K$4:$AJ$4,0)))+SUMPRODUCT((Inputs!$E$5:$E$120=$B57)*Inputs!$F$5:$F$120*(((Inputs!$G$5:$G$120="moeda")+(Inputs!$G$5:$G$120="acoes"))*Inputs!$B$1+((Inputs!$G$5:$G$120&lt;&gt;"moeda")*(Inputs!$G$5:$G$120&lt;&gt;"acoes")))*INDEX(Inputs!$K$5:$AJ$120,0,MATCH(AA$2,Inputs!$K$4:$AJ$4,0)))))</f>
        <v>960</v>
      </c>
      <c r="AB57" s="514">
        <f>SUM(X57:AA57)</f>
        <v>8622</v>
      </c>
      <c r="AC57" s="513">
        <f>IF(ISNA(MATCH(AC$2,Inputs!$K$4:$AJ$4,0)),NA(),IF(SUMPRODUCT((Inputs!$A$5:$A$120=$B57)*ISNUMBER(INDEX(Inputs!$K$5:$AJ$120,0,MATCH(AC$2,Inputs!$K$4:$AJ$4,0))))+SUMPRODUCT((Inputs!$C$5:$C$120=$B57)*ISNUMBER(INDEX(Inputs!$K$5:$AJ$120,0,MATCH(AC$2,Inputs!$K$4:$AJ$4,0))))+SUMPRODUCT((Inputs!$E$5:$E$120=$B57)*ISNUMBER(INDEX(Inputs!$K$5:$AJ$120,0,MATCH(AC$2,Inputs!$K$4:$AJ$4,0))))=0,NA(),SUMPRODUCT((Inputs!$A$5:$A$120=$B57)*Inputs!$B$5:$B$120*(((Inputs!$G$5:$G$120="moeda")+(Inputs!$G$5:$G$120="acoes"))*Inputs!$B$1+((Inputs!$G$5:$G$120&lt;&gt;"moeda")*(Inputs!$G$5:$G$120&lt;&gt;"acoes")))*INDEX(Inputs!$K$5:$AJ$120,0,MATCH(AC$2,Inputs!$K$4:$AJ$4,0)))+SUMPRODUCT((Inputs!$C$5:$C$120=$B57)*Inputs!$D$5:$D$120*(((Inputs!$G$5:$G$120="moeda")+(Inputs!$G$5:$G$120="acoes"))*Inputs!$B$1+((Inputs!$G$5:$G$120&lt;&gt;"moeda")*(Inputs!$G$5:$G$120&lt;&gt;"acoes")))*INDEX(Inputs!$K$5:$AJ$120,0,MATCH(AC$2,Inputs!$K$4:$AJ$4,0)))+SUMPRODUCT((Inputs!$E$5:$E$120=$B57)*Inputs!$F$5:$F$120*(((Inputs!$G$5:$G$120="moeda")+(Inputs!$G$5:$G$120="acoes"))*Inputs!$B$1+((Inputs!$G$5:$G$120&lt;&gt;"moeda")*(Inputs!$G$5:$G$120&lt;&gt;"acoes")))*INDEX(Inputs!$K$5:$AJ$120,0,MATCH(AC$2,Inputs!$K$4:$AJ$4,0)))))</f>
        <v>1072</v>
      </c>
      <c r="AD57" s="513">
        <f>IF(ISNA(MATCH(AD$2,Inputs!$K$4:$AJ$4,0)),NA(),IF(SUMPRODUCT((Inputs!$A$5:$A$120=$B57)*ISNUMBER(INDEX(Inputs!$K$5:$AJ$120,0,MATCH(AD$2,Inputs!$K$4:$AJ$4,0))))+SUMPRODUCT((Inputs!$C$5:$C$120=$B57)*ISNUMBER(INDEX(Inputs!$K$5:$AJ$120,0,MATCH(AD$2,Inputs!$K$4:$AJ$4,0))))+SUMPRODUCT((Inputs!$E$5:$E$120=$B57)*ISNUMBER(INDEX(Inputs!$K$5:$AJ$120,0,MATCH(AD$2,Inputs!$K$4:$AJ$4,0))))=0,NA(),SUMPRODUCT((Inputs!$A$5:$A$120=$B57)*Inputs!$B$5:$B$120*(((Inputs!$G$5:$G$120="moeda")+(Inputs!$G$5:$G$120="acoes"))*Inputs!$B$1+((Inputs!$G$5:$G$120&lt;&gt;"moeda")*(Inputs!$G$5:$G$120&lt;&gt;"acoes")))*INDEX(Inputs!$K$5:$AJ$120,0,MATCH(AD$2,Inputs!$K$4:$AJ$4,0)))+SUMPRODUCT((Inputs!$C$5:$C$120=$B57)*Inputs!$D$5:$D$120*(((Inputs!$G$5:$G$120="moeda")+(Inputs!$G$5:$G$120="acoes"))*Inputs!$B$1+((Inputs!$G$5:$G$120&lt;&gt;"moeda")*(Inputs!$G$5:$G$120&lt;&gt;"acoes")))*INDEX(Inputs!$K$5:$AJ$120,0,MATCH(AD$2,Inputs!$K$4:$AJ$4,0)))+SUMPRODUCT((Inputs!$E$5:$E$120=$B57)*Inputs!$F$5:$F$120*(((Inputs!$G$5:$G$120="moeda")+(Inputs!$G$5:$G$120="acoes"))*Inputs!$B$1+((Inputs!$G$5:$G$120&lt;&gt;"moeda")*(Inputs!$G$5:$G$120&lt;&gt;"acoes")))*INDEX(Inputs!$K$5:$AJ$120,0,MATCH(AD$2,Inputs!$K$4:$AJ$4,0)))))</f>
        <v>1483</v>
      </c>
      <c r="AE57" s="513" t="e">
        <f>IF(ISNA(MATCH(AE$2,Inputs!$K$4:$AJ$4,0)),NA(),IF(SUMPRODUCT((Inputs!$A$5:$A$120=$B57)*ISNUMBER(INDEX(Inputs!$K$5:$AJ$120,0,MATCH(AE$2,Inputs!$K$4:$AJ$4,0))))+SUMPRODUCT((Inputs!$C$5:$C$120=$B57)*ISNUMBER(INDEX(Inputs!$K$5:$AJ$120,0,MATCH(AE$2,Inputs!$K$4:$AJ$4,0))))+SUMPRODUCT((Inputs!$E$5:$E$120=$B57)*ISNUMBER(INDEX(Inputs!$K$5:$AJ$120,0,MATCH(AE$2,Inputs!$K$4:$AJ$4,0))))=0,NA(),SUMPRODUCT((Inputs!$A$5:$A$120=$B57)*Inputs!$B$5:$B$120*(((Inputs!$G$5:$G$120="moeda")+(Inputs!$G$5:$G$120="acoes"))*Inputs!$B$1+((Inputs!$G$5:$G$120&lt;&gt;"moeda")*(Inputs!$G$5:$G$120&lt;&gt;"acoes")))*INDEX(Inputs!$K$5:$AJ$120,0,MATCH(AE$2,Inputs!$K$4:$AJ$4,0)))+SUMPRODUCT((Inputs!$C$5:$C$120=$B57)*Inputs!$D$5:$D$120*(((Inputs!$G$5:$G$120="moeda")+(Inputs!$G$5:$G$120="acoes"))*Inputs!$B$1+((Inputs!$G$5:$G$120&lt;&gt;"moeda")*(Inputs!$G$5:$G$120&lt;&gt;"acoes")))*INDEX(Inputs!$K$5:$AJ$120,0,MATCH(AE$2,Inputs!$K$4:$AJ$4,0)))+SUMPRODUCT((Inputs!$E$5:$E$120=$B57)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7" s="513" t="e">
        <f>IF(ISNA(MATCH(AF$2,Inputs!$K$4:$AJ$4,0)),NA(),IF(SUMPRODUCT((Inputs!$A$5:$A$120=$B57)*ISNUMBER(INDEX(Inputs!$K$5:$AJ$120,0,MATCH(AF$2,Inputs!$K$4:$AJ$4,0))))+SUMPRODUCT((Inputs!$C$5:$C$120=$B57)*ISNUMBER(INDEX(Inputs!$K$5:$AJ$120,0,MATCH(AF$2,Inputs!$K$4:$AJ$4,0))))+SUMPRODUCT((Inputs!$E$5:$E$120=$B57)*ISNUMBER(INDEX(Inputs!$K$5:$AJ$120,0,MATCH(AF$2,Inputs!$K$4:$AJ$4,0))))=0,NA(),SUMPRODUCT((Inputs!$A$5:$A$120=$B57)*Inputs!$B$5:$B$120*(((Inputs!$G$5:$G$120="moeda")+(Inputs!$G$5:$G$120="acoes"))*Inputs!$B$1+((Inputs!$G$5:$G$120&lt;&gt;"moeda")*(Inputs!$G$5:$G$120&lt;&gt;"acoes")))*INDEX(Inputs!$K$5:$AJ$120,0,MATCH(AF$2,Inputs!$K$4:$AJ$4,0)))+SUMPRODUCT((Inputs!$C$5:$C$120=$B57)*Inputs!$D$5:$D$120*(((Inputs!$G$5:$G$120="moeda")+(Inputs!$G$5:$G$120="acoes"))*Inputs!$B$1+((Inputs!$G$5:$G$120&lt;&gt;"moeda")*(Inputs!$G$5:$G$120&lt;&gt;"acoes")))*INDEX(Inputs!$K$5:$AJ$120,0,MATCH(AF$2,Inputs!$K$4:$AJ$4,0)))+SUMPRODUCT((Inputs!$E$5:$E$120=$B57)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7" s="514" t="e">
        <f>SUM(AC57:AF57)</f>
        <v>#N/A</v>
      </c>
      <c r="AH57" s="513">
        <f>IF(ISNA(MATCH(AH$2,Inputs!$K$4:$AJ$4,0)),NA(),IF(SUMPRODUCT((Inputs!$A$5:$A$120=$B57)*ISNUMBER(INDEX(Inputs!$K$5:$AJ$120,0,MATCH(AH$2,Inputs!$K$4:$AJ$4,0))))+SUMPRODUCT((Inputs!$C$5:$C$120=$B57)*ISNUMBER(INDEX(Inputs!$K$5:$AJ$120,0,MATCH(AH$2,Inputs!$K$4:$AJ$4,0))))+SUMPRODUCT((Inputs!$E$5:$E$120=$B57)*ISNUMBER(INDEX(Inputs!$K$5:$AJ$120,0,MATCH(AH$2,Inputs!$K$4:$AJ$4,0))))=0,NA(),SUMPRODUCT((Inputs!$A$5:$A$120=$B57)*Inputs!$B$5:$B$120*(((Inputs!$G$5:$G$120="moeda")+(Inputs!$G$5:$G$120="acoes"))*Inputs!$B$1+((Inputs!$G$5:$G$120&lt;&gt;"moeda")*(Inputs!$G$5:$G$120&lt;&gt;"acoes")))*INDEX(Inputs!$K$5:$AJ$120,0,MATCH(AH$2,Inputs!$K$4:$AJ$4,0)))+SUMPRODUCT((Inputs!$C$5:$C$120=$B57)*Inputs!$D$5:$D$120*(((Inputs!$G$5:$G$120="moeda")+(Inputs!$G$5:$G$120="acoes"))*Inputs!$B$1+((Inputs!$G$5:$G$120&lt;&gt;"moeda")*(Inputs!$G$5:$G$120&lt;&gt;"acoes")))*INDEX(Inputs!$K$5:$AJ$120,0,MATCH(AH$2,Inputs!$K$4:$AJ$4,0)))+SUMPRODUCT((Inputs!$E$5:$E$120=$B57)*Inputs!$F$5:$F$120*(((Inputs!$G$5:$G$120="moeda")+(Inputs!$G$5:$G$120="acoes"))*Inputs!$B$1+((Inputs!$G$5:$G$120&lt;&gt;"moeda")*(Inputs!$G$5:$G$120&lt;&gt;"acoes")))*INDEX(Inputs!$K$5:$AJ$120,0,MATCH(AH$2,Inputs!$K$4:$AJ$4,0)))))</f>
        <v>445</v>
      </c>
      <c r="AI57" s="513">
        <f>IF(ISNA(MATCH(AI$2,Inputs!$K$4:$AJ$4,0)),NA(),IF(SUMPRODUCT((Inputs!$A$5:$A$120=$B57)*ISNUMBER(INDEX(Inputs!$K$5:$AJ$120,0,MATCH(AI$2,Inputs!$K$4:$AJ$4,0))))+SUMPRODUCT((Inputs!$C$5:$C$120=$B57)*ISNUMBER(INDEX(Inputs!$K$5:$AJ$120,0,MATCH(AI$2,Inputs!$K$4:$AJ$4,0))))+SUMPRODUCT((Inputs!$E$5:$E$120=$B57)*ISNUMBER(INDEX(Inputs!$K$5:$AJ$120,0,MATCH(AI$2,Inputs!$K$4:$AJ$4,0))))=0,NA(),SUMPRODUCT((Inputs!$A$5:$A$120=$B57)*Inputs!$B$5:$B$120*(((Inputs!$G$5:$G$120="moeda")+(Inputs!$G$5:$G$120="acoes"))*Inputs!$B$1+((Inputs!$G$5:$G$120&lt;&gt;"moeda")*(Inputs!$G$5:$G$120&lt;&gt;"acoes")))*INDEX(Inputs!$K$5:$AJ$120,0,MATCH(AI$2,Inputs!$K$4:$AJ$4,0)))+SUMPRODUCT((Inputs!$C$5:$C$120=$B57)*Inputs!$D$5:$D$120*(((Inputs!$G$5:$G$120="moeda")+(Inputs!$G$5:$G$120="acoes"))*Inputs!$B$1+((Inputs!$G$5:$G$120&lt;&gt;"moeda")*(Inputs!$G$5:$G$120&lt;&gt;"acoes")))*INDEX(Inputs!$K$5:$AJ$120,0,MATCH(AI$2,Inputs!$K$4:$AJ$4,0)))+SUMPRODUCT((Inputs!$E$5:$E$120=$B57)*Inputs!$F$5:$F$120*(((Inputs!$G$5:$G$120="moeda")+(Inputs!$G$5:$G$120="acoes"))*Inputs!$B$1+((Inputs!$G$5:$G$120&lt;&gt;"moeda")*(Inputs!$G$5:$G$120&lt;&gt;"acoes")))*INDEX(Inputs!$K$5:$AJ$120,0,MATCH(AI$2,Inputs!$K$4:$AJ$4,0)))))</f>
        <v>718</v>
      </c>
      <c r="AJ57" s="513">
        <f>IF(ISNA(MATCH(AJ$2,Inputs!$K$4:$AJ$4,0)),NA(),IF(SUMPRODUCT((Inputs!$A$5:$A$120=$B57)*ISNUMBER(INDEX(Inputs!$K$5:$AJ$120,0,MATCH(AJ$2,Inputs!$K$4:$AJ$4,0))))+SUMPRODUCT((Inputs!$C$5:$C$120=$B57)*ISNUMBER(INDEX(Inputs!$K$5:$AJ$120,0,MATCH(AJ$2,Inputs!$K$4:$AJ$4,0))))+SUMPRODUCT((Inputs!$E$5:$E$120=$B57)*ISNUMBER(INDEX(Inputs!$K$5:$AJ$120,0,MATCH(AJ$2,Inputs!$K$4:$AJ$4,0))))=0,NA(),SUMPRODUCT((Inputs!$A$5:$A$120=$B57)*Inputs!$B$5:$B$120*(((Inputs!$G$5:$G$120="moeda")+(Inputs!$G$5:$G$120="acoes"))*Inputs!$B$1+((Inputs!$G$5:$G$120&lt;&gt;"moeda")*(Inputs!$G$5:$G$120&lt;&gt;"acoes")))*INDEX(Inputs!$K$5:$AJ$120,0,MATCH(AJ$2,Inputs!$K$4:$AJ$4,0)))+SUMPRODUCT((Inputs!$C$5:$C$120=$B57)*Inputs!$D$5:$D$120*(((Inputs!$G$5:$G$120="moeda")+(Inputs!$G$5:$G$120="acoes"))*Inputs!$B$1+((Inputs!$G$5:$G$120&lt;&gt;"moeda")*(Inputs!$G$5:$G$120&lt;&gt;"acoes")))*INDEX(Inputs!$K$5:$AJ$120,0,MATCH(AJ$2,Inputs!$K$4:$AJ$4,0)))+SUMPRODUCT((Inputs!$E$5:$E$120=$B57)*Inputs!$F$5:$F$120*(((Inputs!$G$5:$G$120="moeda")+(Inputs!$G$5:$G$120="acoes"))*Inputs!$B$1+((Inputs!$G$5:$G$120&lt;&gt;"moeda")*(Inputs!$G$5:$G$120&lt;&gt;"acoes")))*INDEX(Inputs!$K$5:$AJ$120,0,MATCH(AJ$2,Inputs!$K$4:$AJ$4,0)))))</f>
        <v>1026</v>
      </c>
      <c r="AK57" s="513">
        <f>IF(ISNA(MATCH(AK$2,Inputs!$K$4:$AJ$4,0)),NA(),IF(SUMPRODUCT((Inputs!$A$5:$A$120=$B57)*ISNUMBER(INDEX(Inputs!$K$5:$AJ$120,0,MATCH(AK$2,Inputs!$K$4:$AJ$4,0))))+SUMPRODUCT((Inputs!$C$5:$C$120=$B57)*ISNUMBER(INDEX(Inputs!$K$5:$AJ$120,0,MATCH(AK$2,Inputs!$K$4:$AJ$4,0))))+SUMPRODUCT((Inputs!$E$5:$E$120=$B57)*ISNUMBER(INDEX(Inputs!$K$5:$AJ$120,0,MATCH(AK$2,Inputs!$K$4:$AJ$4,0))))=0,NA(),SUMPRODUCT((Inputs!$A$5:$A$120=$B57)*Inputs!$B$5:$B$120*(((Inputs!$G$5:$G$120="moeda")+(Inputs!$G$5:$G$120="acoes"))*Inputs!$B$1+((Inputs!$G$5:$G$120&lt;&gt;"moeda")*(Inputs!$G$5:$G$120&lt;&gt;"acoes")))*INDEX(Inputs!$K$5:$AJ$120,0,MATCH(AK$2,Inputs!$K$4:$AJ$4,0)))+SUMPRODUCT((Inputs!$C$5:$C$120=$B57)*Inputs!$D$5:$D$120*(((Inputs!$G$5:$G$120="moeda")+(Inputs!$G$5:$G$120="acoes"))*Inputs!$B$1+((Inputs!$G$5:$G$120&lt;&gt;"moeda")*(Inputs!$G$5:$G$120&lt;&gt;"acoes")))*INDEX(Inputs!$K$5:$AJ$120,0,MATCH(AK$2,Inputs!$K$4:$AJ$4,0)))+SUMPRODUCT((Inputs!$E$5:$E$120=$B57)*Inputs!$F$5:$F$120*(((Inputs!$G$5:$G$120="moeda")+(Inputs!$G$5:$G$120="acoes"))*Inputs!$B$1+((Inputs!$G$5:$G$120&lt;&gt;"moeda")*(Inputs!$G$5:$G$120&lt;&gt;"acoes")))*INDEX(Inputs!$K$5:$AJ$120,0,MATCH(AK$2,Inputs!$K$4:$AJ$4,0)))))</f>
        <v>1425</v>
      </c>
      <c r="AL57" s="514">
        <f>SUM(AH57:AK57)</f>
        <v>3614</v>
      </c>
    </row>
    <row r="58">
      <c r="B58" s="265" t="n">
        <v>50</v>
      </c>
      <c r="C58" s="266" t="inlineStr">
        <is>
          <t>Grasberg (Indonésia) - lucro do segmento (USD)</t>
        </is>
      </c>
      <c r="D58" s="513">
        <f>IF(ISNA(MATCH(D$2,Inputs!$K$4:$AJ$4,0)),NA(),IF(SUMPRODUCT((Inputs!$A$5:$A$120=$B58)*ISNUMBER(INDEX(Inputs!$K$5:$AJ$120,0,MATCH(D$2,Inputs!$K$4:$AJ$4,0))))+SUMPRODUCT((Inputs!$C$5:$C$120=$B58)*ISNUMBER(INDEX(Inputs!$K$5:$AJ$120,0,MATCH(D$2,Inputs!$K$4:$AJ$4,0))))+SUMPRODUCT((Inputs!$E$5:$E$120=$B58)*ISNUMBER(INDEX(Inputs!$K$5:$AJ$120,0,MATCH(D$2,Inputs!$K$4:$AJ$4,0))))=0,NA(),SUMPRODUCT((Inputs!$A$5:$A$120=$B58)*Inputs!$B$5:$B$120*(((Inputs!$G$5:$G$120="moeda")+(Inputs!$G$5:$G$120="acoes"))*Inputs!$B$1+((Inputs!$G$5:$G$120&lt;&gt;"moeda")*(Inputs!$G$5:$G$120&lt;&gt;"acoes")))*INDEX(Inputs!$K$5:$AJ$120,0,MATCH(D$2,Inputs!$K$4:$AJ$4,0)))+SUMPRODUCT((Inputs!$C$5:$C$120=$B58)*Inputs!$D$5:$D$120*(((Inputs!$G$5:$G$120="moeda")+(Inputs!$G$5:$G$120="acoes"))*Inputs!$B$1+((Inputs!$G$5:$G$120&lt;&gt;"moeda")*(Inputs!$G$5:$G$120&lt;&gt;"acoes")))*INDEX(Inputs!$K$5:$AJ$120,0,MATCH(D$2,Inputs!$K$4:$AJ$4,0)))+SUMPRODUCT((Inputs!$E$5:$E$120=$B58)*Inputs!$F$5:$F$120*(((Inputs!$G$5:$G$120="moeda")+(Inputs!$G$5:$G$120="acoes"))*Inputs!$B$1+((Inputs!$G$5:$G$120&lt;&gt;"moeda")*(Inputs!$G$5:$G$120&lt;&gt;"acoes")))*INDEX(Inputs!$K$5:$AJ$120,0,MATCH(D$2,Inputs!$K$4:$AJ$4,0)))))</f>
        <v>755</v>
      </c>
      <c r="E58" s="513">
        <f>IF(ISNA(MATCH(E$2,Inputs!$K$4:$AJ$4,0)),NA(),IF(SUMPRODUCT((Inputs!$A$5:$A$120=$B58)*ISNUMBER(INDEX(Inputs!$K$5:$AJ$120,0,MATCH(E$2,Inputs!$K$4:$AJ$4,0))))+SUMPRODUCT((Inputs!$C$5:$C$120=$B58)*ISNUMBER(INDEX(Inputs!$K$5:$AJ$120,0,MATCH(E$2,Inputs!$K$4:$AJ$4,0))))+SUMPRODUCT((Inputs!$E$5:$E$120=$B58)*ISNUMBER(INDEX(Inputs!$K$5:$AJ$120,0,MATCH(E$2,Inputs!$K$4:$AJ$4,0))))=0,NA(),SUMPRODUCT((Inputs!$A$5:$A$120=$B58)*Inputs!$B$5:$B$120*(((Inputs!$G$5:$G$120="moeda")+(Inputs!$G$5:$G$120="acoes"))*Inputs!$B$1+((Inputs!$G$5:$G$120&lt;&gt;"moeda")*(Inputs!$G$5:$G$120&lt;&gt;"acoes")))*INDEX(Inputs!$K$5:$AJ$120,0,MATCH(E$2,Inputs!$K$4:$AJ$4,0)))+SUMPRODUCT((Inputs!$C$5:$C$120=$B58)*Inputs!$D$5:$D$120*(((Inputs!$G$5:$G$120="moeda")+(Inputs!$G$5:$G$120="acoes"))*Inputs!$B$1+((Inputs!$G$5:$G$120&lt;&gt;"moeda")*(Inputs!$G$5:$G$120&lt;&gt;"acoes")))*INDEX(Inputs!$K$5:$AJ$120,0,MATCH(E$2,Inputs!$K$4:$AJ$4,0)))+SUMPRODUCT((Inputs!$E$5:$E$120=$B58)*Inputs!$F$5:$F$120*(((Inputs!$G$5:$G$120="moeda")+(Inputs!$G$5:$G$120="acoes"))*Inputs!$B$1+((Inputs!$G$5:$G$120&lt;&gt;"moeda")*(Inputs!$G$5:$G$120&lt;&gt;"acoes")))*INDEX(Inputs!$K$5:$AJ$120,0,MATCH(E$2,Inputs!$K$4:$AJ$4,0)))))</f>
        <v>1007</v>
      </c>
      <c r="F58" s="513">
        <f>IF(ISNA(MATCH(F$2,Inputs!$K$4:$AJ$4,0)),NA(),IF(SUMPRODUCT((Inputs!$A$5:$A$120=$B58)*ISNUMBER(INDEX(Inputs!$K$5:$AJ$120,0,MATCH(F$2,Inputs!$K$4:$AJ$4,0))))+SUMPRODUCT((Inputs!$C$5:$C$120=$B58)*ISNUMBER(INDEX(Inputs!$K$5:$AJ$120,0,MATCH(F$2,Inputs!$K$4:$AJ$4,0))))+SUMPRODUCT((Inputs!$E$5:$E$120=$B58)*ISNUMBER(INDEX(Inputs!$K$5:$AJ$120,0,MATCH(F$2,Inputs!$K$4:$AJ$4,0))))=0,NA(),SUMPRODUCT((Inputs!$A$5:$A$120=$B58)*Inputs!$B$5:$B$120*(((Inputs!$G$5:$G$120="moeda")+(Inputs!$G$5:$G$120="acoes"))*Inputs!$B$1+((Inputs!$G$5:$G$120&lt;&gt;"moeda")*(Inputs!$G$5:$G$120&lt;&gt;"acoes")))*INDEX(Inputs!$K$5:$AJ$120,0,MATCH(F$2,Inputs!$K$4:$AJ$4,0)))+SUMPRODUCT((Inputs!$C$5:$C$120=$B58)*Inputs!$D$5:$D$120*(((Inputs!$G$5:$G$120="moeda")+(Inputs!$G$5:$G$120="acoes"))*Inputs!$B$1+((Inputs!$G$5:$G$120&lt;&gt;"moeda")*(Inputs!$G$5:$G$120&lt;&gt;"acoes")))*INDEX(Inputs!$K$5:$AJ$120,0,MATCH(F$2,Inputs!$K$4:$AJ$4,0)))+SUMPRODUCT((Inputs!$E$5:$E$120=$B58)*Inputs!$F$5:$F$120*(((Inputs!$G$5:$G$120="moeda")+(Inputs!$G$5:$G$120="acoes"))*Inputs!$B$1+((Inputs!$G$5:$G$120&lt;&gt;"moeda")*(Inputs!$G$5:$G$120&lt;&gt;"acoes")))*INDEX(Inputs!$K$5:$AJ$120,0,MATCH(F$2,Inputs!$K$4:$AJ$4,0)))))</f>
        <v>1165</v>
      </c>
      <c r="G58" s="513">
        <f>IF(ISNA(MATCH(G$2,Inputs!$K$4:$AJ$4,0)),NA(),IF(SUMPRODUCT((Inputs!$A$5:$A$120=$B58)*ISNUMBER(INDEX(Inputs!$K$5:$AJ$120,0,MATCH(G$2,Inputs!$K$4:$AJ$4,0))))+SUMPRODUCT((Inputs!$C$5:$C$120=$B58)*ISNUMBER(INDEX(Inputs!$K$5:$AJ$120,0,MATCH(G$2,Inputs!$K$4:$AJ$4,0))))+SUMPRODUCT((Inputs!$E$5:$E$120=$B58)*ISNUMBER(INDEX(Inputs!$K$5:$AJ$120,0,MATCH(G$2,Inputs!$K$4:$AJ$4,0))))=0,NA(),SUMPRODUCT((Inputs!$A$5:$A$120=$B58)*Inputs!$B$5:$B$120*(((Inputs!$G$5:$G$120="moeda")+(Inputs!$G$5:$G$120="acoes"))*Inputs!$B$1+((Inputs!$G$5:$G$120&lt;&gt;"moeda")*(Inputs!$G$5:$G$120&lt;&gt;"acoes")))*INDEX(Inputs!$K$5:$AJ$120,0,MATCH(G$2,Inputs!$K$4:$AJ$4,0)))+SUMPRODUCT((Inputs!$C$5:$C$120=$B58)*Inputs!$D$5:$D$120*(((Inputs!$G$5:$G$120="moeda")+(Inputs!$G$5:$G$120="acoes"))*Inputs!$B$1+((Inputs!$G$5:$G$120&lt;&gt;"moeda")*(Inputs!$G$5:$G$120&lt;&gt;"acoes")))*INDEX(Inputs!$K$5:$AJ$120,0,MATCH(G$2,Inputs!$K$4:$AJ$4,0)))+SUMPRODUCT((Inputs!$E$5:$E$120=$B58)*Inputs!$F$5:$F$120*(((Inputs!$G$5:$G$120="moeda")+(Inputs!$G$5:$G$120="acoes"))*Inputs!$B$1+((Inputs!$G$5:$G$120&lt;&gt;"moeda")*(Inputs!$G$5:$G$120&lt;&gt;"acoes")))*INDEX(Inputs!$K$5:$AJ$120,0,MATCH(G$2,Inputs!$K$4:$AJ$4,0)))))</f>
        <v>1011</v>
      </c>
      <c r="H58" s="514">
        <f>SUM(D58:G58)</f>
        <v>3938</v>
      </c>
      <c r="I58" s="513">
        <f>IF(ISNA(MATCH(I$2,Inputs!$K$4:$AJ$4,0)),NA(),IF(SUMPRODUCT((Inputs!$A$5:$A$120=$B58)*ISNUMBER(INDEX(Inputs!$K$5:$AJ$120,0,MATCH(I$2,Inputs!$K$4:$AJ$4,0))))+SUMPRODUCT((Inputs!$C$5:$C$120=$B58)*ISNUMBER(INDEX(Inputs!$K$5:$AJ$120,0,MATCH(I$2,Inputs!$K$4:$AJ$4,0))))+SUMPRODUCT((Inputs!$E$5:$E$120=$B58)*ISNUMBER(INDEX(Inputs!$K$5:$AJ$120,0,MATCH(I$2,Inputs!$K$4:$AJ$4,0))))=0,NA(),SUMPRODUCT((Inputs!$A$5:$A$120=$B58)*Inputs!$B$5:$B$120*(((Inputs!$G$5:$G$120="moeda")+(Inputs!$G$5:$G$120="acoes"))*Inputs!$B$1+((Inputs!$G$5:$G$120&lt;&gt;"moeda")*(Inputs!$G$5:$G$120&lt;&gt;"acoes")))*INDEX(Inputs!$K$5:$AJ$120,0,MATCH(I$2,Inputs!$K$4:$AJ$4,0)))+SUMPRODUCT((Inputs!$C$5:$C$120=$B58)*Inputs!$D$5:$D$120*(((Inputs!$G$5:$G$120="moeda")+(Inputs!$G$5:$G$120="acoes"))*Inputs!$B$1+((Inputs!$G$5:$G$120&lt;&gt;"moeda")*(Inputs!$G$5:$G$120&lt;&gt;"acoes")))*INDEX(Inputs!$K$5:$AJ$120,0,MATCH(I$2,Inputs!$K$4:$AJ$4,0)))+SUMPRODUCT((Inputs!$E$5:$E$120=$B58)*Inputs!$F$5:$F$120*(((Inputs!$G$5:$G$120="moeda")+(Inputs!$G$5:$G$120="acoes"))*Inputs!$B$1+((Inputs!$G$5:$G$120&lt;&gt;"moeda")*(Inputs!$G$5:$G$120&lt;&gt;"acoes")))*INDEX(Inputs!$K$5:$AJ$120,0,MATCH(I$2,Inputs!$K$4:$AJ$4,0)))))</f>
        <v>1503</v>
      </c>
      <c r="J58" s="513">
        <f>IF(ISNA(MATCH(J$2,Inputs!$K$4:$AJ$4,0)),NA(),IF(SUMPRODUCT((Inputs!$A$5:$A$120=$B58)*ISNUMBER(INDEX(Inputs!$K$5:$AJ$120,0,MATCH(J$2,Inputs!$K$4:$AJ$4,0))))+SUMPRODUCT((Inputs!$C$5:$C$120=$B58)*ISNUMBER(INDEX(Inputs!$K$5:$AJ$120,0,MATCH(J$2,Inputs!$K$4:$AJ$4,0))))+SUMPRODUCT((Inputs!$E$5:$E$120=$B58)*ISNUMBER(INDEX(Inputs!$K$5:$AJ$120,0,MATCH(J$2,Inputs!$K$4:$AJ$4,0))))=0,NA(),SUMPRODUCT((Inputs!$A$5:$A$120=$B58)*Inputs!$B$5:$B$120*(((Inputs!$G$5:$G$120="moeda")+(Inputs!$G$5:$G$120="acoes"))*Inputs!$B$1+((Inputs!$G$5:$G$120&lt;&gt;"moeda")*(Inputs!$G$5:$G$120&lt;&gt;"acoes")))*INDEX(Inputs!$K$5:$AJ$120,0,MATCH(J$2,Inputs!$K$4:$AJ$4,0)))+SUMPRODUCT((Inputs!$C$5:$C$120=$B58)*Inputs!$D$5:$D$120*(((Inputs!$G$5:$G$120="moeda")+(Inputs!$G$5:$G$120="acoes"))*Inputs!$B$1+((Inputs!$G$5:$G$120&lt;&gt;"moeda")*(Inputs!$G$5:$G$120&lt;&gt;"acoes")))*INDEX(Inputs!$K$5:$AJ$120,0,MATCH(J$2,Inputs!$K$4:$AJ$4,0)))+SUMPRODUCT((Inputs!$E$5:$E$120=$B58)*Inputs!$F$5:$F$120*(((Inputs!$G$5:$G$120="moeda")+(Inputs!$G$5:$G$120="acoes"))*Inputs!$B$1+((Inputs!$G$5:$G$120&lt;&gt;"moeda")*(Inputs!$G$5:$G$120&lt;&gt;"acoes")))*INDEX(Inputs!$K$5:$AJ$120,0,MATCH(J$2,Inputs!$K$4:$AJ$4,0)))))</f>
        <v>1122</v>
      </c>
      <c r="K58" s="513">
        <f>IF(ISNA(MATCH(K$2,Inputs!$K$4:$AJ$4,0)),NA(),IF(SUMPRODUCT((Inputs!$A$5:$A$120=$B58)*ISNUMBER(INDEX(Inputs!$K$5:$AJ$120,0,MATCH(K$2,Inputs!$K$4:$AJ$4,0))))+SUMPRODUCT((Inputs!$C$5:$C$120=$B58)*ISNUMBER(INDEX(Inputs!$K$5:$AJ$120,0,MATCH(K$2,Inputs!$K$4:$AJ$4,0))))+SUMPRODUCT((Inputs!$E$5:$E$120=$B58)*ISNUMBER(INDEX(Inputs!$K$5:$AJ$120,0,MATCH(K$2,Inputs!$K$4:$AJ$4,0))))=0,NA(),SUMPRODUCT((Inputs!$A$5:$A$120=$B58)*Inputs!$B$5:$B$120*(((Inputs!$G$5:$G$120="moeda")+(Inputs!$G$5:$G$120="acoes"))*Inputs!$B$1+((Inputs!$G$5:$G$120&lt;&gt;"moeda")*(Inputs!$G$5:$G$120&lt;&gt;"acoes")))*INDEX(Inputs!$K$5:$AJ$120,0,MATCH(K$2,Inputs!$K$4:$AJ$4,0)))+SUMPRODUCT((Inputs!$C$5:$C$120=$B58)*Inputs!$D$5:$D$120*(((Inputs!$G$5:$G$120="moeda")+(Inputs!$G$5:$G$120="acoes"))*Inputs!$B$1+((Inputs!$G$5:$G$120&lt;&gt;"moeda")*(Inputs!$G$5:$G$120&lt;&gt;"acoes")))*INDEX(Inputs!$K$5:$AJ$120,0,MATCH(K$2,Inputs!$K$4:$AJ$4,0)))+SUMPRODUCT((Inputs!$E$5:$E$120=$B58)*Inputs!$F$5:$F$120*(((Inputs!$G$5:$G$120="moeda")+(Inputs!$G$5:$G$120="acoes"))*Inputs!$B$1+((Inputs!$G$5:$G$120&lt;&gt;"moeda")*(Inputs!$G$5:$G$120&lt;&gt;"acoes")))*INDEX(Inputs!$K$5:$AJ$120,0,MATCH(K$2,Inputs!$K$4:$AJ$4,0)))))</f>
        <v>844</v>
      </c>
      <c r="L58" s="513">
        <f>IF(ISNA(MATCH(L$2,Inputs!$K$4:$AJ$4,0)),NA(),IF(SUMPRODUCT((Inputs!$A$5:$A$120=$B58)*ISNUMBER(INDEX(Inputs!$K$5:$AJ$120,0,MATCH(L$2,Inputs!$K$4:$AJ$4,0))))+SUMPRODUCT((Inputs!$C$5:$C$120=$B58)*ISNUMBER(INDEX(Inputs!$K$5:$AJ$120,0,MATCH(L$2,Inputs!$K$4:$AJ$4,0))))+SUMPRODUCT((Inputs!$E$5:$E$120=$B58)*ISNUMBER(INDEX(Inputs!$K$5:$AJ$120,0,MATCH(L$2,Inputs!$K$4:$AJ$4,0))))=0,NA(),SUMPRODUCT((Inputs!$A$5:$A$120=$B58)*Inputs!$B$5:$B$120*(((Inputs!$G$5:$G$120="moeda")+(Inputs!$G$5:$G$120="acoes"))*Inputs!$B$1+((Inputs!$G$5:$G$120&lt;&gt;"moeda")*(Inputs!$G$5:$G$120&lt;&gt;"acoes")))*INDEX(Inputs!$K$5:$AJ$120,0,MATCH(L$2,Inputs!$K$4:$AJ$4,0)))+SUMPRODUCT((Inputs!$C$5:$C$120=$B58)*Inputs!$D$5:$D$120*(((Inputs!$G$5:$G$120="moeda")+(Inputs!$G$5:$G$120="acoes"))*Inputs!$B$1+((Inputs!$G$5:$G$120&lt;&gt;"moeda")*(Inputs!$G$5:$G$120&lt;&gt;"acoes")))*INDEX(Inputs!$K$5:$AJ$120,0,MATCH(L$2,Inputs!$K$4:$AJ$4,0)))+SUMPRODUCT((Inputs!$E$5:$E$120=$B58)*Inputs!$F$5:$F$120*(((Inputs!$G$5:$G$120="moeda")+(Inputs!$G$5:$G$120="acoes"))*Inputs!$B$1+((Inputs!$G$5:$G$120&lt;&gt;"moeda")*(Inputs!$G$5:$G$120&lt;&gt;"acoes")))*INDEX(Inputs!$K$5:$AJ$120,0,MATCH(L$2,Inputs!$K$4:$AJ$4,0)))))</f>
        <v>1131</v>
      </c>
      <c r="M58" s="514">
        <f>SUM(I58:L58)</f>
        <v>4600</v>
      </c>
      <c r="N58" s="513">
        <f>IF(ISNA(MATCH(N$2,Inputs!$K$4:$AJ$4,0)),NA(),IF(SUMPRODUCT((Inputs!$A$5:$A$120=$B58)*ISNUMBER(INDEX(Inputs!$K$5:$AJ$120,0,MATCH(N$2,Inputs!$K$4:$AJ$4,0))))+SUMPRODUCT((Inputs!$C$5:$C$120=$B58)*ISNUMBER(INDEX(Inputs!$K$5:$AJ$120,0,MATCH(N$2,Inputs!$K$4:$AJ$4,0))))+SUMPRODUCT((Inputs!$E$5:$E$120=$B58)*ISNUMBER(INDEX(Inputs!$K$5:$AJ$120,0,MATCH(N$2,Inputs!$K$4:$AJ$4,0))))=0,NA(),SUMPRODUCT((Inputs!$A$5:$A$120=$B58)*Inputs!$B$5:$B$120*(((Inputs!$G$5:$G$120="moeda")+(Inputs!$G$5:$G$120="acoes"))*Inputs!$B$1+((Inputs!$G$5:$G$120&lt;&gt;"moeda")*(Inputs!$G$5:$G$120&lt;&gt;"acoes")))*INDEX(Inputs!$K$5:$AJ$120,0,MATCH(N$2,Inputs!$K$4:$AJ$4,0)))+SUMPRODUCT((Inputs!$C$5:$C$120=$B58)*Inputs!$D$5:$D$120*(((Inputs!$G$5:$G$120="moeda")+(Inputs!$G$5:$G$120="acoes"))*Inputs!$B$1+((Inputs!$G$5:$G$120&lt;&gt;"moeda")*(Inputs!$G$5:$G$120&lt;&gt;"acoes")))*INDEX(Inputs!$K$5:$AJ$120,0,MATCH(N$2,Inputs!$K$4:$AJ$4,0)))+SUMPRODUCT((Inputs!$E$5:$E$120=$B58)*Inputs!$F$5:$F$120*(((Inputs!$G$5:$G$120="moeda")+(Inputs!$G$5:$G$120="acoes"))*Inputs!$B$1+((Inputs!$G$5:$G$120&lt;&gt;"moeda")*(Inputs!$G$5:$G$120&lt;&gt;"acoes")))*INDEX(Inputs!$K$5:$AJ$120,0,MATCH(N$2,Inputs!$K$4:$AJ$4,0)))))</f>
        <v>854</v>
      </c>
      <c r="O58" s="513">
        <f>IF(ISNA(MATCH(O$2,Inputs!$K$4:$AJ$4,0)),NA(),IF(SUMPRODUCT((Inputs!$A$5:$A$120=$B58)*ISNUMBER(INDEX(Inputs!$K$5:$AJ$120,0,MATCH(O$2,Inputs!$K$4:$AJ$4,0))))+SUMPRODUCT((Inputs!$C$5:$C$120=$B58)*ISNUMBER(INDEX(Inputs!$K$5:$AJ$120,0,MATCH(O$2,Inputs!$K$4:$AJ$4,0))))+SUMPRODUCT((Inputs!$E$5:$E$120=$B58)*ISNUMBER(INDEX(Inputs!$K$5:$AJ$120,0,MATCH(O$2,Inputs!$K$4:$AJ$4,0))))=0,NA(),SUMPRODUCT((Inputs!$A$5:$A$120=$B58)*Inputs!$B$5:$B$120*(((Inputs!$G$5:$G$120="moeda")+(Inputs!$G$5:$G$120="acoes"))*Inputs!$B$1+((Inputs!$G$5:$G$120&lt;&gt;"moeda")*(Inputs!$G$5:$G$120&lt;&gt;"acoes")))*INDEX(Inputs!$K$5:$AJ$120,0,MATCH(O$2,Inputs!$K$4:$AJ$4,0)))+SUMPRODUCT((Inputs!$C$5:$C$120=$B58)*Inputs!$D$5:$D$120*(((Inputs!$G$5:$G$120="moeda")+(Inputs!$G$5:$G$120="acoes"))*Inputs!$B$1+((Inputs!$G$5:$G$120&lt;&gt;"moeda")*(Inputs!$G$5:$G$120&lt;&gt;"acoes")))*INDEX(Inputs!$K$5:$AJ$120,0,MATCH(O$2,Inputs!$K$4:$AJ$4,0)))+SUMPRODUCT((Inputs!$E$5:$E$120=$B58)*Inputs!$F$5:$F$120*(((Inputs!$G$5:$G$120="moeda")+(Inputs!$G$5:$G$120="acoes"))*Inputs!$B$1+((Inputs!$G$5:$G$120&lt;&gt;"moeda")*(Inputs!$G$5:$G$120&lt;&gt;"acoes")))*INDEX(Inputs!$K$5:$AJ$120,0,MATCH(O$2,Inputs!$K$4:$AJ$4,0)))))</f>
        <v>1071</v>
      </c>
      <c r="P58" s="513">
        <f>IF(ISNA(MATCH(P$2,Inputs!$K$4:$AJ$4,0)),NA(),IF(SUMPRODUCT((Inputs!$A$5:$A$120=$B58)*ISNUMBER(INDEX(Inputs!$K$5:$AJ$120,0,MATCH(P$2,Inputs!$K$4:$AJ$4,0))))+SUMPRODUCT((Inputs!$C$5:$C$120=$B58)*ISNUMBER(INDEX(Inputs!$K$5:$AJ$120,0,MATCH(P$2,Inputs!$K$4:$AJ$4,0))))+SUMPRODUCT((Inputs!$E$5:$E$120=$B58)*ISNUMBER(INDEX(Inputs!$K$5:$AJ$120,0,MATCH(P$2,Inputs!$K$4:$AJ$4,0))))=0,NA(),SUMPRODUCT((Inputs!$A$5:$A$120=$B58)*Inputs!$B$5:$B$120*(((Inputs!$G$5:$G$120="moeda")+(Inputs!$G$5:$G$120="acoes"))*Inputs!$B$1+((Inputs!$G$5:$G$120&lt;&gt;"moeda")*(Inputs!$G$5:$G$120&lt;&gt;"acoes")))*INDEX(Inputs!$K$5:$AJ$120,0,MATCH(P$2,Inputs!$K$4:$AJ$4,0)))+SUMPRODUCT((Inputs!$C$5:$C$120=$B58)*Inputs!$D$5:$D$120*(((Inputs!$G$5:$G$120="moeda")+(Inputs!$G$5:$G$120="acoes"))*Inputs!$B$1+((Inputs!$G$5:$G$120&lt;&gt;"moeda")*(Inputs!$G$5:$G$120&lt;&gt;"acoes")))*INDEX(Inputs!$K$5:$AJ$120,0,MATCH(P$2,Inputs!$K$4:$AJ$4,0)))+SUMPRODUCT((Inputs!$E$5:$E$120=$B58)*Inputs!$F$5:$F$120*(((Inputs!$G$5:$G$120="moeda")+(Inputs!$G$5:$G$120="acoes"))*Inputs!$B$1+((Inputs!$G$5:$G$120&lt;&gt;"moeda")*(Inputs!$G$5:$G$120&lt;&gt;"acoes")))*INDEX(Inputs!$K$5:$AJ$120,0,MATCH(P$2,Inputs!$K$4:$AJ$4,0)))))</f>
        <v>1120</v>
      </c>
      <c r="Q58" s="513">
        <f>IF(ISNA(MATCH(Q$2,Inputs!$K$4:$AJ$4,0)),NA(),IF(SUMPRODUCT((Inputs!$A$5:$A$120=$B58)*ISNUMBER(INDEX(Inputs!$K$5:$AJ$120,0,MATCH(Q$2,Inputs!$K$4:$AJ$4,0))))+SUMPRODUCT((Inputs!$C$5:$C$120=$B58)*ISNUMBER(INDEX(Inputs!$K$5:$AJ$120,0,MATCH(Q$2,Inputs!$K$4:$AJ$4,0))))+SUMPRODUCT((Inputs!$E$5:$E$120=$B58)*ISNUMBER(INDEX(Inputs!$K$5:$AJ$120,0,MATCH(Q$2,Inputs!$K$4:$AJ$4,0))))=0,NA(),SUMPRODUCT((Inputs!$A$5:$A$120=$B58)*Inputs!$B$5:$B$120*(((Inputs!$G$5:$G$120="moeda")+(Inputs!$G$5:$G$120="acoes"))*Inputs!$B$1+((Inputs!$G$5:$G$120&lt;&gt;"moeda")*(Inputs!$G$5:$G$120&lt;&gt;"acoes")))*INDEX(Inputs!$K$5:$AJ$120,0,MATCH(Q$2,Inputs!$K$4:$AJ$4,0)))+SUMPRODUCT((Inputs!$C$5:$C$120=$B58)*Inputs!$D$5:$D$120*(((Inputs!$G$5:$G$120="moeda")+(Inputs!$G$5:$G$120="acoes"))*Inputs!$B$1+((Inputs!$G$5:$G$120&lt;&gt;"moeda")*(Inputs!$G$5:$G$120&lt;&gt;"acoes")))*INDEX(Inputs!$K$5:$AJ$120,0,MATCH(Q$2,Inputs!$K$4:$AJ$4,0)))+SUMPRODUCT((Inputs!$E$5:$E$120=$B58)*Inputs!$F$5:$F$120*(((Inputs!$G$5:$G$120="moeda")+(Inputs!$G$5:$G$120="acoes"))*Inputs!$B$1+((Inputs!$G$5:$G$120&lt;&gt;"moeda")*(Inputs!$G$5:$G$120&lt;&gt;"acoes")))*INDEX(Inputs!$K$5:$AJ$120,0,MATCH(Q$2,Inputs!$K$4:$AJ$4,0)))))</f>
        <v>1672</v>
      </c>
      <c r="R58" s="514">
        <f>SUM(N58:Q58)</f>
        <v>4717</v>
      </c>
      <c r="S58" s="513">
        <f>IF(ISNA(MATCH(S$2,Inputs!$K$4:$AJ$4,0)),NA(),IF(SUMPRODUCT((Inputs!$A$5:$A$120=$B58)*ISNUMBER(INDEX(Inputs!$K$5:$AJ$120,0,MATCH(S$2,Inputs!$K$4:$AJ$4,0))))+SUMPRODUCT((Inputs!$C$5:$C$120=$B58)*ISNUMBER(INDEX(Inputs!$K$5:$AJ$120,0,MATCH(S$2,Inputs!$K$4:$AJ$4,0))))+SUMPRODUCT((Inputs!$E$5:$E$120=$B58)*ISNUMBER(INDEX(Inputs!$K$5:$AJ$120,0,MATCH(S$2,Inputs!$K$4:$AJ$4,0))))=0,NA(),SUMPRODUCT((Inputs!$A$5:$A$120=$B58)*Inputs!$B$5:$B$120*(((Inputs!$G$5:$G$120="moeda")+(Inputs!$G$5:$G$120="acoes"))*Inputs!$B$1+((Inputs!$G$5:$G$120&lt;&gt;"moeda")*(Inputs!$G$5:$G$120&lt;&gt;"acoes")))*INDEX(Inputs!$K$5:$AJ$120,0,MATCH(S$2,Inputs!$K$4:$AJ$4,0)))+SUMPRODUCT((Inputs!$C$5:$C$120=$B58)*Inputs!$D$5:$D$120*(((Inputs!$G$5:$G$120="moeda")+(Inputs!$G$5:$G$120="acoes"))*Inputs!$B$1+((Inputs!$G$5:$G$120&lt;&gt;"moeda")*(Inputs!$G$5:$G$120&lt;&gt;"acoes")))*INDEX(Inputs!$K$5:$AJ$120,0,MATCH(S$2,Inputs!$K$4:$AJ$4,0)))+SUMPRODUCT((Inputs!$E$5:$E$120=$B58)*Inputs!$F$5:$F$120*(((Inputs!$G$5:$G$120="moeda")+(Inputs!$G$5:$G$120="acoes"))*Inputs!$B$1+((Inputs!$G$5:$G$120&lt;&gt;"moeda")*(Inputs!$G$5:$G$120&lt;&gt;"acoes")))*INDEX(Inputs!$K$5:$AJ$120,0,MATCH(S$2,Inputs!$K$4:$AJ$4,0)))))</f>
        <v>1596</v>
      </c>
      <c r="T58" s="513">
        <f>IF(ISNA(MATCH(T$2,Inputs!$K$4:$AJ$4,0)),NA(),IF(SUMPRODUCT((Inputs!$A$5:$A$120=$B58)*ISNUMBER(INDEX(Inputs!$K$5:$AJ$120,0,MATCH(T$2,Inputs!$K$4:$AJ$4,0))))+SUMPRODUCT((Inputs!$C$5:$C$120=$B58)*ISNUMBER(INDEX(Inputs!$K$5:$AJ$120,0,MATCH(T$2,Inputs!$K$4:$AJ$4,0))))+SUMPRODUCT((Inputs!$E$5:$E$120=$B58)*ISNUMBER(INDEX(Inputs!$K$5:$AJ$120,0,MATCH(T$2,Inputs!$K$4:$AJ$4,0))))=0,NA(),SUMPRODUCT((Inputs!$A$5:$A$120=$B58)*Inputs!$B$5:$B$120*(((Inputs!$G$5:$G$120="moeda")+(Inputs!$G$5:$G$120="acoes"))*Inputs!$B$1+((Inputs!$G$5:$G$120&lt;&gt;"moeda")*(Inputs!$G$5:$G$120&lt;&gt;"acoes")))*INDEX(Inputs!$K$5:$AJ$120,0,MATCH(T$2,Inputs!$K$4:$AJ$4,0)))+SUMPRODUCT((Inputs!$C$5:$C$120=$B58)*Inputs!$D$5:$D$120*(((Inputs!$G$5:$G$120="moeda")+(Inputs!$G$5:$G$120="acoes"))*Inputs!$B$1+((Inputs!$G$5:$G$120&lt;&gt;"moeda")*(Inputs!$G$5:$G$120&lt;&gt;"acoes")))*INDEX(Inputs!$K$5:$AJ$120,0,MATCH(T$2,Inputs!$K$4:$AJ$4,0)))+SUMPRODUCT((Inputs!$E$5:$E$120=$B58)*Inputs!$F$5:$F$120*(((Inputs!$G$5:$G$120="moeda")+(Inputs!$G$5:$G$120="acoes"))*Inputs!$B$1+((Inputs!$G$5:$G$120&lt;&gt;"moeda")*(Inputs!$G$5:$G$120&lt;&gt;"acoes")))*INDEX(Inputs!$K$5:$AJ$120,0,MATCH(T$2,Inputs!$K$4:$AJ$4,0)))))</f>
        <v>1314</v>
      </c>
      <c r="U58" s="513">
        <f>IF(ISNA(MATCH(U$2,Inputs!$K$4:$AJ$4,0)),NA(),IF(SUMPRODUCT((Inputs!$A$5:$A$120=$B58)*ISNUMBER(INDEX(Inputs!$K$5:$AJ$120,0,MATCH(U$2,Inputs!$K$4:$AJ$4,0))))+SUMPRODUCT((Inputs!$C$5:$C$120=$B58)*ISNUMBER(INDEX(Inputs!$K$5:$AJ$120,0,MATCH(U$2,Inputs!$K$4:$AJ$4,0))))+SUMPRODUCT((Inputs!$E$5:$E$120=$B58)*ISNUMBER(INDEX(Inputs!$K$5:$AJ$120,0,MATCH(U$2,Inputs!$K$4:$AJ$4,0))))=0,NA(),SUMPRODUCT((Inputs!$A$5:$A$120=$B58)*Inputs!$B$5:$B$120*(((Inputs!$G$5:$G$120="moeda")+(Inputs!$G$5:$G$120="acoes"))*Inputs!$B$1+((Inputs!$G$5:$G$120&lt;&gt;"moeda")*(Inputs!$G$5:$G$120&lt;&gt;"acoes")))*INDEX(Inputs!$K$5:$AJ$120,0,MATCH(U$2,Inputs!$K$4:$AJ$4,0)))+SUMPRODUCT((Inputs!$C$5:$C$120=$B58)*Inputs!$D$5:$D$120*(((Inputs!$G$5:$G$120="moeda")+(Inputs!$G$5:$G$120="acoes"))*Inputs!$B$1+((Inputs!$G$5:$G$120&lt;&gt;"moeda")*(Inputs!$G$5:$G$120&lt;&gt;"acoes")))*INDEX(Inputs!$K$5:$AJ$120,0,MATCH(U$2,Inputs!$K$4:$AJ$4,0)))+SUMPRODUCT((Inputs!$E$5:$E$120=$B58)*Inputs!$F$5:$F$120*(((Inputs!$G$5:$G$120="moeda")+(Inputs!$G$5:$G$120="acoes"))*Inputs!$B$1+((Inputs!$G$5:$G$120&lt;&gt;"moeda")*(Inputs!$G$5:$G$120&lt;&gt;"acoes")))*INDEX(Inputs!$K$5:$AJ$120,0,MATCH(U$2,Inputs!$K$4:$AJ$4,0)))))</f>
        <v>1690</v>
      </c>
      <c r="V58" s="513">
        <f>IF(ISNA(MATCH(V$2,Inputs!$K$4:$AJ$4,0)),NA(),IF(SUMPRODUCT((Inputs!$A$5:$A$120=$B58)*ISNUMBER(INDEX(Inputs!$K$5:$AJ$120,0,MATCH(V$2,Inputs!$K$4:$AJ$4,0))))+SUMPRODUCT((Inputs!$C$5:$C$120=$B58)*ISNUMBER(INDEX(Inputs!$K$5:$AJ$120,0,MATCH(V$2,Inputs!$K$4:$AJ$4,0))))+SUMPRODUCT((Inputs!$E$5:$E$120=$B58)*ISNUMBER(INDEX(Inputs!$K$5:$AJ$120,0,MATCH(V$2,Inputs!$K$4:$AJ$4,0))))=0,NA(),SUMPRODUCT((Inputs!$A$5:$A$120=$B58)*Inputs!$B$5:$B$120*(((Inputs!$G$5:$G$120="moeda")+(Inputs!$G$5:$G$120="acoes"))*Inputs!$B$1+((Inputs!$G$5:$G$120&lt;&gt;"moeda")*(Inputs!$G$5:$G$120&lt;&gt;"acoes")))*INDEX(Inputs!$K$5:$AJ$120,0,MATCH(V$2,Inputs!$K$4:$AJ$4,0)))+SUMPRODUCT((Inputs!$C$5:$C$120=$B58)*Inputs!$D$5:$D$120*(((Inputs!$G$5:$G$120="moeda")+(Inputs!$G$5:$G$120="acoes"))*Inputs!$B$1+((Inputs!$G$5:$G$120&lt;&gt;"moeda")*(Inputs!$G$5:$G$120&lt;&gt;"acoes")))*INDEX(Inputs!$K$5:$AJ$120,0,MATCH(V$2,Inputs!$K$4:$AJ$4,0)))+SUMPRODUCT((Inputs!$E$5:$E$120=$B58)*Inputs!$F$5:$F$120*(((Inputs!$G$5:$G$120="moeda")+(Inputs!$G$5:$G$120="acoes"))*Inputs!$B$1+((Inputs!$G$5:$G$120&lt;&gt;"moeda")*(Inputs!$G$5:$G$120&lt;&gt;"acoes")))*INDEX(Inputs!$K$5:$AJ$120,0,MATCH(V$2,Inputs!$K$4:$AJ$4,0)))))</f>
        <v>1022</v>
      </c>
      <c r="W58" s="514">
        <f>SUM(S58:V58)</f>
        <v>5622</v>
      </c>
      <c r="X58" s="513">
        <f>IF(ISNA(MATCH(X$2,Inputs!$K$4:$AJ$4,0)),NA(),IF(SUMPRODUCT((Inputs!$A$5:$A$120=$B58)*ISNUMBER(INDEX(Inputs!$K$5:$AJ$120,0,MATCH(X$2,Inputs!$K$4:$AJ$4,0))))+SUMPRODUCT((Inputs!$C$5:$C$120=$B58)*ISNUMBER(INDEX(Inputs!$K$5:$AJ$120,0,MATCH(X$2,Inputs!$K$4:$AJ$4,0))))+SUMPRODUCT((Inputs!$E$5:$E$120=$B58)*ISNUMBER(INDEX(Inputs!$K$5:$AJ$120,0,MATCH(X$2,Inputs!$K$4:$AJ$4,0))))=0,NA(),SUMPRODUCT((Inputs!$A$5:$A$120=$B58)*Inputs!$B$5:$B$120*(((Inputs!$G$5:$G$120="moeda")+(Inputs!$G$5:$G$120="acoes"))*Inputs!$B$1+((Inputs!$G$5:$G$120&lt;&gt;"moeda")*(Inputs!$G$5:$G$120&lt;&gt;"acoes")))*INDEX(Inputs!$K$5:$AJ$120,0,MATCH(X$2,Inputs!$K$4:$AJ$4,0)))+SUMPRODUCT((Inputs!$C$5:$C$120=$B58)*Inputs!$D$5:$D$120*(((Inputs!$G$5:$G$120="moeda")+(Inputs!$G$5:$G$120="acoes"))*Inputs!$B$1+((Inputs!$G$5:$G$120&lt;&gt;"moeda")*(Inputs!$G$5:$G$120&lt;&gt;"acoes")))*INDEX(Inputs!$K$5:$AJ$120,0,MATCH(X$2,Inputs!$K$4:$AJ$4,0)))+SUMPRODUCT((Inputs!$E$5:$E$120=$B58)*Inputs!$F$5:$F$120*(((Inputs!$G$5:$G$120="moeda")+(Inputs!$G$5:$G$120="acoes"))*Inputs!$B$1+((Inputs!$G$5:$G$120&lt;&gt;"moeda")*(Inputs!$G$5:$G$120&lt;&gt;"acoes")))*INDEX(Inputs!$K$5:$AJ$120,0,MATCH(X$2,Inputs!$K$4:$AJ$4,0)))))</f>
        <v>777</v>
      </c>
      <c r="Y58" s="513">
        <f>IF(ISNA(MATCH(Y$2,Inputs!$K$4:$AJ$4,0)),NA(),IF(SUMPRODUCT((Inputs!$A$5:$A$120=$B58)*ISNUMBER(INDEX(Inputs!$K$5:$AJ$120,0,MATCH(Y$2,Inputs!$K$4:$AJ$4,0))))+SUMPRODUCT((Inputs!$C$5:$C$120=$B58)*ISNUMBER(INDEX(Inputs!$K$5:$AJ$120,0,MATCH(Y$2,Inputs!$K$4:$AJ$4,0))))+SUMPRODUCT((Inputs!$E$5:$E$120=$B58)*ISNUMBER(INDEX(Inputs!$K$5:$AJ$120,0,MATCH(Y$2,Inputs!$K$4:$AJ$4,0))))=0,NA(),SUMPRODUCT((Inputs!$A$5:$A$120=$B58)*Inputs!$B$5:$B$120*(((Inputs!$G$5:$G$120="moeda")+(Inputs!$G$5:$G$120="acoes"))*Inputs!$B$1+((Inputs!$G$5:$G$120&lt;&gt;"moeda")*(Inputs!$G$5:$G$120&lt;&gt;"acoes")))*INDEX(Inputs!$K$5:$AJ$120,0,MATCH(Y$2,Inputs!$K$4:$AJ$4,0)))+SUMPRODUCT((Inputs!$C$5:$C$120=$B58)*Inputs!$D$5:$D$120*(((Inputs!$G$5:$G$120="moeda")+(Inputs!$G$5:$G$120="acoes"))*Inputs!$B$1+((Inputs!$G$5:$G$120&lt;&gt;"moeda")*(Inputs!$G$5:$G$120&lt;&gt;"acoes")))*INDEX(Inputs!$K$5:$AJ$120,0,MATCH(Y$2,Inputs!$K$4:$AJ$4,0)))+SUMPRODUCT((Inputs!$E$5:$E$120=$B58)*Inputs!$F$5:$F$120*(((Inputs!$G$5:$G$120="moeda")+(Inputs!$G$5:$G$120="acoes"))*Inputs!$B$1+((Inputs!$G$5:$G$120&lt;&gt;"moeda")*(Inputs!$G$5:$G$120&lt;&gt;"acoes")))*INDEX(Inputs!$K$5:$AJ$120,0,MATCH(Y$2,Inputs!$K$4:$AJ$4,0)))))</f>
        <v>1868</v>
      </c>
      <c r="Z58" s="513">
        <f>IF(ISNA(MATCH(Z$2,Inputs!$K$4:$AJ$4,0)),NA(),IF(SUMPRODUCT((Inputs!$A$5:$A$120=$B58)*ISNUMBER(INDEX(Inputs!$K$5:$AJ$120,0,MATCH(Z$2,Inputs!$K$4:$AJ$4,0))))+SUMPRODUCT((Inputs!$C$5:$C$120=$B58)*ISNUMBER(INDEX(Inputs!$K$5:$AJ$120,0,MATCH(Z$2,Inputs!$K$4:$AJ$4,0))))+SUMPRODUCT((Inputs!$E$5:$E$120=$B58)*ISNUMBER(INDEX(Inputs!$K$5:$AJ$120,0,MATCH(Z$2,Inputs!$K$4:$AJ$4,0))))=0,NA(),SUMPRODUCT((Inputs!$A$5:$A$120=$B58)*Inputs!$B$5:$B$120*(((Inputs!$G$5:$G$120="moeda")+(Inputs!$G$5:$G$120="acoes"))*Inputs!$B$1+((Inputs!$G$5:$G$120&lt;&gt;"moeda")*(Inputs!$G$5:$G$120&lt;&gt;"acoes")))*INDEX(Inputs!$K$5:$AJ$120,0,MATCH(Z$2,Inputs!$K$4:$AJ$4,0)))+SUMPRODUCT((Inputs!$C$5:$C$120=$B58)*Inputs!$D$5:$D$120*(((Inputs!$G$5:$G$120="moeda")+(Inputs!$G$5:$G$120="acoes"))*Inputs!$B$1+((Inputs!$G$5:$G$120&lt;&gt;"moeda")*(Inputs!$G$5:$G$120&lt;&gt;"acoes")))*INDEX(Inputs!$K$5:$AJ$120,0,MATCH(Z$2,Inputs!$K$4:$AJ$4,0)))+SUMPRODUCT((Inputs!$E$5:$E$120=$B58)*Inputs!$F$5:$F$120*(((Inputs!$G$5:$G$120="moeda")+(Inputs!$G$5:$G$120="acoes"))*Inputs!$B$1+((Inputs!$G$5:$G$120&lt;&gt;"moeda")*(Inputs!$G$5:$G$120&lt;&gt;"acoes")))*INDEX(Inputs!$K$5:$AJ$120,0,MATCH(Z$2,Inputs!$K$4:$AJ$4,0)))))</f>
        <v>1282</v>
      </c>
      <c r="AA58" s="513">
        <f>IF(ISNA(MATCH(AA$2,Inputs!$K$4:$AJ$4,0)),NA(),IF(SUMPRODUCT((Inputs!$A$5:$A$120=$B58)*ISNUMBER(INDEX(Inputs!$K$5:$AJ$120,0,MATCH(AA$2,Inputs!$K$4:$AJ$4,0))))+SUMPRODUCT((Inputs!$C$5:$C$120=$B58)*ISNUMBER(INDEX(Inputs!$K$5:$AJ$120,0,MATCH(AA$2,Inputs!$K$4:$AJ$4,0))))+SUMPRODUCT((Inputs!$E$5:$E$120=$B58)*ISNUMBER(INDEX(Inputs!$K$5:$AJ$120,0,MATCH(AA$2,Inputs!$K$4:$AJ$4,0))))=0,NA(),SUMPRODUCT((Inputs!$A$5:$A$120=$B58)*Inputs!$B$5:$B$120*(((Inputs!$G$5:$G$120="moeda")+(Inputs!$G$5:$G$120="acoes"))*Inputs!$B$1+((Inputs!$G$5:$G$120&lt;&gt;"moeda")*(Inputs!$G$5:$G$120&lt;&gt;"acoes")))*INDEX(Inputs!$K$5:$AJ$120,0,MATCH(AA$2,Inputs!$K$4:$AJ$4,0)))+SUMPRODUCT((Inputs!$C$5:$C$120=$B58)*Inputs!$D$5:$D$120*(((Inputs!$G$5:$G$120="moeda")+(Inputs!$G$5:$G$120="acoes"))*Inputs!$B$1+((Inputs!$G$5:$G$120&lt;&gt;"moeda")*(Inputs!$G$5:$G$120&lt;&gt;"acoes")))*INDEX(Inputs!$K$5:$AJ$120,0,MATCH(AA$2,Inputs!$K$4:$AJ$4,0)))+SUMPRODUCT((Inputs!$E$5:$E$120=$B58)*Inputs!$F$5:$F$120*(((Inputs!$G$5:$G$120="moeda")+(Inputs!$G$5:$G$120="acoes"))*Inputs!$B$1+((Inputs!$G$5:$G$120&lt;&gt;"moeda")*(Inputs!$G$5:$G$120&lt;&gt;"acoes")))*INDEX(Inputs!$K$5:$AJ$120,0,MATCH(AA$2,Inputs!$K$4:$AJ$4,0)))))</f>
        <v>-87</v>
      </c>
      <c r="AB58" s="514">
        <f>SUM(X58:AA58)</f>
        <v>3840</v>
      </c>
      <c r="AC58" s="513">
        <f>IF(ISNA(MATCH(AC$2,Inputs!$K$4:$AJ$4,0)),NA(),IF(SUMPRODUCT((Inputs!$A$5:$A$120=$B58)*ISNUMBER(INDEX(Inputs!$K$5:$AJ$120,0,MATCH(AC$2,Inputs!$K$4:$AJ$4,0))))+SUMPRODUCT((Inputs!$C$5:$C$120=$B58)*ISNUMBER(INDEX(Inputs!$K$5:$AJ$120,0,MATCH(AC$2,Inputs!$K$4:$AJ$4,0))))+SUMPRODUCT((Inputs!$E$5:$E$120=$B58)*ISNUMBER(INDEX(Inputs!$K$5:$AJ$120,0,MATCH(AC$2,Inputs!$K$4:$AJ$4,0))))=0,NA(),SUMPRODUCT((Inputs!$A$5:$A$120=$B58)*Inputs!$B$5:$B$120*(((Inputs!$G$5:$G$120="moeda")+(Inputs!$G$5:$G$120="acoes"))*Inputs!$B$1+((Inputs!$G$5:$G$120&lt;&gt;"moeda")*(Inputs!$G$5:$G$120&lt;&gt;"acoes")))*INDEX(Inputs!$K$5:$AJ$120,0,MATCH(AC$2,Inputs!$K$4:$AJ$4,0)))+SUMPRODUCT((Inputs!$C$5:$C$120=$B58)*Inputs!$D$5:$D$120*(((Inputs!$G$5:$G$120="moeda")+(Inputs!$G$5:$G$120="acoes"))*Inputs!$B$1+((Inputs!$G$5:$G$120&lt;&gt;"moeda")*(Inputs!$G$5:$G$120&lt;&gt;"acoes")))*INDEX(Inputs!$K$5:$AJ$120,0,MATCH(AC$2,Inputs!$K$4:$AJ$4,0)))+SUMPRODUCT((Inputs!$E$5:$E$120=$B58)*Inputs!$F$5:$F$120*(((Inputs!$G$5:$G$120="moeda")+(Inputs!$G$5:$G$120="acoes"))*Inputs!$B$1+((Inputs!$G$5:$G$120&lt;&gt;"moeda")*(Inputs!$G$5:$G$120&lt;&gt;"acoes")))*INDEX(Inputs!$K$5:$AJ$120,0,MATCH(AC$2,Inputs!$K$4:$AJ$4,0)))))</f>
        <v>842</v>
      </c>
      <c r="AD58" s="513">
        <f>IF(ISNA(MATCH(AD$2,Inputs!$K$4:$AJ$4,0)),NA(),IF(SUMPRODUCT((Inputs!$A$5:$A$120=$B58)*ISNUMBER(INDEX(Inputs!$K$5:$AJ$120,0,MATCH(AD$2,Inputs!$K$4:$AJ$4,0))))+SUMPRODUCT((Inputs!$C$5:$C$120=$B58)*ISNUMBER(INDEX(Inputs!$K$5:$AJ$120,0,MATCH(AD$2,Inputs!$K$4:$AJ$4,0))))+SUMPRODUCT((Inputs!$E$5:$E$120=$B58)*ISNUMBER(INDEX(Inputs!$K$5:$AJ$120,0,MATCH(AD$2,Inputs!$K$4:$AJ$4,0))))=0,NA(),SUMPRODUCT((Inputs!$A$5:$A$120=$B58)*Inputs!$B$5:$B$120*(((Inputs!$G$5:$G$120="moeda")+(Inputs!$G$5:$G$120="acoes"))*Inputs!$B$1+((Inputs!$G$5:$G$120&lt;&gt;"moeda")*(Inputs!$G$5:$G$120&lt;&gt;"acoes")))*INDEX(Inputs!$K$5:$AJ$120,0,MATCH(AD$2,Inputs!$K$4:$AJ$4,0)))+SUMPRODUCT((Inputs!$C$5:$C$120=$B58)*Inputs!$D$5:$D$120*(((Inputs!$G$5:$G$120="moeda")+(Inputs!$G$5:$G$120="acoes"))*Inputs!$B$1+((Inputs!$G$5:$G$120&lt;&gt;"moeda")*(Inputs!$G$5:$G$120&lt;&gt;"acoes")))*INDEX(Inputs!$K$5:$AJ$120,0,MATCH(AD$2,Inputs!$K$4:$AJ$4,0)))+SUMPRODUCT((Inputs!$E$5:$E$120=$B58)*Inputs!$F$5:$F$120*(((Inputs!$G$5:$G$120="moeda")+(Inputs!$G$5:$G$120="acoes"))*Inputs!$B$1+((Inputs!$G$5:$G$120&lt;&gt;"moeda")*(Inputs!$G$5:$G$120&lt;&gt;"acoes")))*INDEX(Inputs!$K$5:$AJ$120,0,MATCH(AD$2,Inputs!$K$4:$AJ$4,0)))))</f>
        <v>499</v>
      </c>
      <c r="AE58" s="513" t="e">
        <f>IF(ISNA(MATCH(AE$2,Inputs!$K$4:$AJ$4,0)),NA(),IF(SUMPRODUCT((Inputs!$A$5:$A$120=$B58)*ISNUMBER(INDEX(Inputs!$K$5:$AJ$120,0,MATCH(AE$2,Inputs!$K$4:$AJ$4,0))))+SUMPRODUCT((Inputs!$C$5:$C$120=$B58)*ISNUMBER(INDEX(Inputs!$K$5:$AJ$120,0,MATCH(AE$2,Inputs!$K$4:$AJ$4,0))))+SUMPRODUCT((Inputs!$E$5:$E$120=$B58)*ISNUMBER(INDEX(Inputs!$K$5:$AJ$120,0,MATCH(AE$2,Inputs!$K$4:$AJ$4,0))))=0,NA(),SUMPRODUCT((Inputs!$A$5:$A$120=$B58)*Inputs!$B$5:$B$120*(((Inputs!$G$5:$G$120="moeda")+(Inputs!$G$5:$G$120="acoes"))*Inputs!$B$1+((Inputs!$G$5:$G$120&lt;&gt;"moeda")*(Inputs!$G$5:$G$120&lt;&gt;"acoes")))*INDEX(Inputs!$K$5:$AJ$120,0,MATCH(AE$2,Inputs!$K$4:$AJ$4,0)))+SUMPRODUCT((Inputs!$C$5:$C$120=$B58)*Inputs!$D$5:$D$120*(((Inputs!$G$5:$G$120="moeda")+(Inputs!$G$5:$G$120="acoes"))*Inputs!$B$1+((Inputs!$G$5:$G$120&lt;&gt;"moeda")*(Inputs!$G$5:$G$120&lt;&gt;"acoes")))*INDEX(Inputs!$K$5:$AJ$120,0,MATCH(AE$2,Inputs!$K$4:$AJ$4,0)))+SUMPRODUCT((Inputs!$E$5:$E$120=$B58)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8" s="513" t="e">
        <f>IF(ISNA(MATCH(AF$2,Inputs!$K$4:$AJ$4,0)),NA(),IF(SUMPRODUCT((Inputs!$A$5:$A$120=$B58)*ISNUMBER(INDEX(Inputs!$K$5:$AJ$120,0,MATCH(AF$2,Inputs!$K$4:$AJ$4,0))))+SUMPRODUCT((Inputs!$C$5:$C$120=$B58)*ISNUMBER(INDEX(Inputs!$K$5:$AJ$120,0,MATCH(AF$2,Inputs!$K$4:$AJ$4,0))))+SUMPRODUCT((Inputs!$E$5:$E$120=$B58)*ISNUMBER(INDEX(Inputs!$K$5:$AJ$120,0,MATCH(AF$2,Inputs!$K$4:$AJ$4,0))))=0,NA(),SUMPRODUCT((Inputs!$A$5:$A$120=$B58)*Inputs!$B$5:$B$120*(((Inputs!$G$5:$G$120="moeda")+(Inputs!$G$5:$G$120="acoes"))*Inputs!$B$1+((Inputs!$G$5:$G$120&lt;&gt;"moeda")*(Inputs!$G$5:$G$120&lt;&gt;"acoes")))*INDEX(Inputs!$K$5:$AJ$120,0,MATCH(AF$2,Inputs!$K$4:$AJ$4,0)))+SUMPRODUCT((Inputs!$C$5:$C$120=$B58)*Inputs!$D$5:$D$120*(((Inputs!$G$5:$G$120="moeda")+(Inputs!$G$5:$G$120="acoes"))*Inputs!$B$1+((Inputs!$G$5:$G$120&lt;&gt;"moeda")*(Inputs!$G$5:$G$120&lt;&gt;"acoes")))*INDEX(Inputs!$K$5:$AJ$120,0,MATCH(AF$2,Inputs!$K$4:$AJ$4,0)))+SUMPRODUCT((Inputs!$E$5:$E$120=$B58)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8" s="514" t="e">
        <f>SUM(AC58:AF58)</f>
        <v>#N/A</v>
      </c>
      <c r="AH58" s="513">
        <f>IF(ISNA(MATCH(AH$2,Inputs!$K$4:$AJ$4,0)),NA(),IF(SUMPRODUCT((Inputs!$A$5:$A$120=$B58)*ISNUMBER(INDEX(Inputs!$K$5:$AJ$120,0,MATCH(AH$2,Inputs!$K$4:$AJ$4,0))))+SUMPRODUCT((Inputs!$C$5:$C$120=$B58)*ISNUMBER(INDEX(Inputs!$K$5:$AJ$120,0,MATCH(AH$2,Inputs!$K$4:$AJ$4,0))))+SUMPRODUCT((Inputs!$E$5:$E$120=$B58)*ISNUMBER(INDEX(Inputs!$K$5:$AJ$120,0,MATCH(AH$2,Inputs!$K$4:$AJ$4,0))))=0,NA(),SUMPRODUCT((Inputs!$A$5:$A$120=$B58)*Inputs!$B$5:$B$120*(((Inputs!$G$5:$G$120="moeda")+(Inputs!$G$5:$G$120="acoes"))*Inputs!$B$1+((Inputs!$G$5:$G$120&lt;&gt;"moeda")*(Inputs!$G$5:$G$120&lt;&gt;"acoes")))*INDEX(Inputs!$K$5:$AJ$120,0,MATCH(AH$2,Inputs!$K$4:$AJ$4,0)))+SUMPRODUCT((Inputs!$C$5:$C$120=$B58)*Inputs!$D$5:$D$120*(((Inputs!$G$5:$G$120="moeda")+(Inputs!$G$5:$G$120="acoes"))*Inputs!$B$1+((Inputs!$G$5:$G$120&lt;&gt;"moeda")*(Inputs!$G$5:$G$120&lt;&gt;"acoes")))*INDEX(Inputs!$K$5:$AJ$120,0,MATCH(AH$2,Inputs!$K$4:$AJ$4,0)))+SUMPRODUCT((Inputs!$E$5:$E$120=$B58)*Inputs!$F$5:$F$120*(((Inputs!$G$5:$G$120="moeda")+(Inputs!$G$5:$G$120="acoes"))*Inputs!$B$1+((Inputs!$G$5:$G$120&lt;&gt;"moeda")*(Inputs!$G$5:$G$120&lt;&gt;"acoes")))*INDEX(Inputs!$K$5:$AJ$120,0,MATCH(AH$2,Inputs!$K$4:$AJ$4,0)))))</f>
        <v>-27</v>
      </c>
      <c r="AI58" s="513">
        <f>IF(ISNA(MATCH(AI$2,Inputs!$K$4:$AJ$4,0)),NA(),IF(SUMPRODUCT((Inputs!$A$5:$A$120=$B58)*ISNUMBER(INDEX(Inputs!$K$5:$AJ$120,0,MATCH(AI$2,Inputs!$K$4:$AJ$4,0))))+SUMPRODUCT((Inputs!$C$5:$C$120=$B58)*ISNUMBER(INDEX(Inputs!$K$5:$AJ$120,0,MATCH(AI$2,Inputs!$K$4:$AJ$4,0))))+SUMPRODUCT((Inputs!$E$5:$E$120=$B58)*ISNUMBER(INDEX(Inputs!$K$5:$AJ$120,0,MATCH(AI$2,Inputs!$K$4:$AJ$4,0))))=0,NA(),SUMPRODUCT((Inputs!$A$5:$A$120=$B58)*Inputs!$B$5:$B$120*(((Inputs!$G$5:$G$120="moeda")+(Inputs!$G$5:$G$120="acoes"))*Inputs!$B$1+((Inputs!$G$5:$G$120&lt;&gt;"moeda")*(Inputs!$G$5:$G$120&lt;&gt;"acoes")))*INDEX(Inputs!$K$5:$AJ$120,0,MATCH(AI$2,Inputs!$K$4:$AJ$4,0)))+SUMPRODUCT((Inputs!$C$5:$C$120=$B58)*Inputs!$D$5:$D$120*(((Inputs!$G$5:$G$120="moeda")+(Inputs!$G$5:$G$120="acoes"))*Inputs!$B$1+((Inputs!$G$5:$G$120&lt;&gt;"moeda")*(Inputs!$G$5:$G$120&lt;&gt;"acoes")))*INDEX(Inputs!$K$5:$AJ$120,0,MATCH(AI$2,Inputs!$K$4:$AJ$4,0)))+SUMPRODUCT((Inputs!$E$5:$E$120=$B58)*Inputs!$F$5:$F$120*(((Inputs!$G$5:$G$120="moeda")+(Inputs!$G$5:$G$120="acoes"))*Inputs!$B$1+((Inputs!$G$5:$G$120&lt;&gt;"moeda")*(Inputs!$G$5:$G$120&lt;&gt;"acoes")))*INDEX(Inputs!$K$5:$AJ$120,0,MATCH(AI$2,Inputs!$K$4:$AJ$4,0)))))</f>
        <v>188</v>
      </c>
      <c r="AJ58" s="513">
        <f>IF(ISNA(MATCH(AJ$2,Inputs!$K$4:$AJ$4,0)),NA(),IF(SUMPRODUCT((Inputs!$A$5:$A$120=$B58)*ISNUMBER(INDEX(Inputs!$K$5:$AJ$120,0,MATCH(AJ$2,Inputs!$K$4:$AJ$4,0))))+SUMPRODUCT((Inputs!$C$5:$C$120=$B58)*ISNUMBER(INDEX(Inputs!$K$5:$AJ$120,0,MATCH(AJ$2,Inputs!$K$4:$AJ$4,0))))+SUMPRODUCT((Inputs!$E$5:$E$120=$B58)*ISNUMBER(INDEX(Inputs!$K$5:$AJ$120,0,MATCH(AJ$2,Inputs!$K$4:$AJ$4,0))))=0,NA(),SUMPRODUCT((Inputs!$A$5:$A$120=$B58)*Inputs!$B$5:$B$120*(((Inputs!$G$5:$G$120="moeda")+(Inputs!$G$5:$G$120="acoes"))*Inputs!$B$1+((Inputs!$G$5:$G$120&lt;&gt;"moeda")*(Inputs!$G$5:$G$120&lt;&gt;"acoes")))*INDEX(Inputs!$K$5:$AJ$120,0,MATCH(AJ$2,Inputs!$K$4:$AJ$4,0)))+SUMPRODUCT((Inputs!$C$5:$C$120=$B58)*Inputs!$D$5:$D$120*(((Inputs!$G$5:$G$120="moeda")+(Inputs!$G$5:$G$120="acoes"))*Inputs!$B$1+((Inputs!$G$5:$G$120&lt;&gt;"moeda")*(Inputs!$G$5:$G$120&lt;&gt;"acoes")))*INDEX(Inputs!$K$5:$AJ$120,0,MATCH(AJ$2,Inputs!$K$4:$AJ$4,0)))+SUMPRODUCT((Inputs!$E$5:$E$120=$B58)*Inputs!$F$5:$F$120*(((Inputs!$G$5:$G$120="moeda")+(Inputs!$G$5:$G$120="acoes"))*Inputs!$B$1+((Inputs!$G$5:$G$120&lt;&gt;"moeda")*(Inputs!$G$5:$G$120&lt;&gt;"acoes")))*INDEX(Inputs!$K$5:$AJ$120,0,MATCH(AJ$2,Inputs!$K$4:$AJ$4,0)))))</f>
        <v>442</v>
      </c>
      <c r="AK58" s="513">
        <f>IF(ISNA(MATCH(AK$2,Inputs!$K$4:$AJ$4,0)),NA(),IF(SUMPRODUCT((Inputs!$A$5:$A$120=$B58)*ISNUMBER(INDEX(Inputs!$K$5:$AJ$120,0,MATCH(AK$2,Inputs!$K$4:$AJ$4,0))))+SUMPRODUCT((Inputs!$C$5:$C$120=$B58)*ISNUMBER(INDEX(Inputs!$K$5:$AJ$120,0,MATCH(AK$2,Inputs!$K$4:$AJ$4,0))))+SUMPRODUCT((Inputs!$E$5:$E$120=$B58)*ISNUMBER(INDEX(Inputs!$K$5:$AJ$120,0,MATCH(AK$2,Inputs!$K$4:$AJ$4,0))))=0,NA(),SUMPRODUCT((Inputs!$A$5:$A$120=$B58)*Inputs!$B$5:$B$120*(((Inputs!$G$5:$G$120="moeda")+(Inputs!$G$5:$G$120="acoes"))*Inputs!$B$1+((Inputs!$G$5:$G$120&lt;&gt;"moeda")*(Inputs!$G$5:$G$120&lt;&gt;"acoes")))*INDEX(Inputs!$K$5:$AJ$120,0,MATCH(AK$2,Inputs!$K$4:$AJ$4,0)))+SUMPRODUCT((Inputs!$C$5:$C$120=$B58)*Inputs!$D$5:$D$120*(((Inputs!$G$5:$G$120="moeda")+(Inputs!$G$5:$G$120="acoes"))*Inputs!$B$1+((Inputs!$G$5:$G$120&lt;&gt;"moeda")*(Inputs!$G$5:$G$120&lt;&gt;"acoes")))*INDEX(Inputs!$K$5:$AJ$120,0,MATCH(AK$2,Inputs!$K$4:$AJ$4,0)))+SUMPRODUCT((Inputs!$E$5:$E$120=$B58)*Inputs!$F$5:$F$120*(((Inputs!$G$5:$G$120="moeda")+(Inputs!$G$5:$G$120="acoes"))*Inputs!$B$1+((Inputs!$G$5:$G$120&lt;&gt;"moeda")*(Inputs!$G$5:$G$120&lt;&gt;"acoes")))*INDEX(Inputs!$K$5:$AJ$120,0,MATCH(AK$2,Inputs!$K$4:$AJ$4,0)))))</f>
        <v>717</v>
      </c>
      <c r="AL58" s="514">
        <f>SUM(AH58:AK58)</f>
        <v>1320</v>
      </c>
    </row>
    <row r="59">
      <c r="B59" s="265" t="n">
        <v>51</v>
      </c>
      <c r="C59" s="266" t="inlineStr">
        <is>
          <t>Rod &amp; Refining - receita (USD)</t>
        </is>
      </c>
      <c r="D59" s="513">
        <f>IF(ISNA(MATCH(D$2,Inputs!$K$4:$AJ$4,0)),NA(),IF(SUMPRODUCT((Inputs!$A$5:$A$120=$B59)*ISNUMBER(INDEX(Inputs!$K$5:$AJ$120,0,MATCH(D$2,Inputs!$K$4:$AJ$4,0))))+SUMPRODUCT((Inputs!$C$5:$C$120=$B59)*ISNUMBER(INDEX(Inputs!$K$5:$AJ$120,0,MATCH(D$2,Inputs!$K$4:$AJ$4,0))))+SUMPRODUCT((Inputs!$E$5:$E$120=$B59)*ISNUMBER(INDEX(Inputs!$K$5:$AJ$120,0,MATCH(D$2,Inputs!$K$4:$AJ$4,0))))=0,NA(),SUMPRODUCT((Inputs!$A$5:$A$120=$B59)*Inputs!$B$5:$B$120*(((Inputs!$G$5:$G$120="moeda")+(Inputs!$G$5:$G$120="acoes"))*Inputs!$B$1+((Inputs!$G$5:$G$120&lt;&gt;"moeda")*(Inputs!$G$5:$G$120&lt;&gt;"acoes")))*INDEX(Inputs!$K$5:$AJ$120,0,MATCH(D$2,Inputs!$K$4:$AJ$4,0)))+SUMPRODUCT((Inputs!$C$5:$C$120=$B59)*Inputs!$D$5:$D$120*(((Inputs!$G$5:$G$120="moeda")+(Inputs!$G$5:$G$120="acoes"))*Inputs!$B$1+((Inputs!$G$5:$G$120&lt;&gt;"moeda")*(Inputs!$G$5:$G$120&lt;&gt;"acoes")))*INDEX(Inputs!$K$5:$AJ$120,0,MATCH(D$2,Inputs!$K$4:$AJ$4,0)))+SUMPRODUCT((Inputs!$E$5:$E$120=$B59)*Inputs!$F$5:$F$120*(((Inputs!$G$5:$G$120="moeda")+(Inputs!$G$5:$G$120="acoes"))*Inputs!$B$1+((Inputs!$G$5:$G$120&lt;&gt;"moeda")*(Inputs!$G$5:$G$120&lt;&gt;"acoes")))*INDEX(Inputs!$K$5:$AJ$120,0,MATCH(D$2,Inputs!$K$4:$AJ$4,0)))))</f>
        <v>1316</v>
      </c>
      <c r="E59" s="513">
        <f>IF(ISNA(MATCH(E$2,Inputs!$K$4:$AJ$4,0)),NA(),IF(SUMPRODUCT((Inputs!$A$5:$A$120=$B59)*ISNUMBER(INDEX(Inputs!$K$5:$AJ$120,0,MATCH(E$2,Inputs!$K$4:$AJ$4,0))))+SUMPRODUCT((Inputs!$C$5:$C$120=$B59)*ISNUMBER(INDEX(Inputs!$K$5:$AJ$120,0,MATCH(E$2,Inputs!$K$4:$AJ$4,0))))+SUMPRODUCT((Inputs!$E$5:$E$120=$B59)*ISNUMBER(INDEX(Inputs!$K$5:$AJ$120,0,MATCH(E$2,Inputs!$K$4:$AJ$4,0))))=0,NA(),SUMPRODUCT((Inputs!$A$5:$A$120=$B59)*Inputs!$B$5:$B$120*(((Inputs!$G$5:$G$120="moeda")+(Inputs!$G$5:$G$120="acoes"))*Inputs!$B$1+((Inputs!$G$5:$G$120&lt;&gt;"moeda")*(Inputs!$G$5:$G$120&lt;&gt;"acoes")))*INDEX(Inputs!$K$5:$AJ$120,0,MATCH(E$2,Inputs!$K$4:$AJ$4,0)))+SUMPRODUCT((Inputs!$C$5:$C$120=$B59)*Inputs!$D$5:$D$120*(((Inputs!$G$5:$G$120="moeda")+(Inputs!$G$5:$G$120="acoes"))*Inputs!$B$1+((Inputs!$G$5:$G$120&lt;&gt;"moeda")*(Inputs!$G$5:$G$120&lt;&gt;"acoes")))*INDEX(Inputs!$K$5:$AJ$120,0,MATCH(E$2,Inputs!$K$4:$AJ$4,0)))+SUMPRODUCT((Inputs!$E$5:$E$120=$B59)*Inputs!$F$5:$F$120*(((Inputs!$G$5:$G$120="moeda")+(Inputs!$G$5:$G$120="acoes"))*Inputs!$B$1+((Inputs!$G$5:$G$120&lt;&gt;"moeda")*(Inputs!$G$5:$G$120&lt;&gt;"acoes")))*INDEX(Inputs!$K$5:$AJ$120,0,MATCH(E$2,Inputs!$K$4:$AJ$4,0)))))</f>
        <v>1695</v>
      </c>
      <c r="F59" s="513">
        <f>IF(ISNA(MATCH(F$2,Inputs!$K$4:$AJ$4,0)),NA(),IF(SUMPRODUCT((Inputs!$A$5:$A$120=$B59)*ISNUMBER(INDEX(Inputs!$K$5:$AJ$120,0,MATCH(F$2,Inputs!$K$4:$AJ$4,0))))+SUMPRODUCT((Inputs!$C$5:$C$120=$B59)*ISNUMBER(INDEX(Inputs!$K$5:$AJ$120,0,MATCH(F$2,Inputs!$K$4:$AJ$4,0))))+SUMPRODUCT((Inputs!$E$5:$E$120=$B59)*ISNUMBER(INDEX(Inputs!$K$5:$AJ$120,0,MATCH(F$2,Inputs!$K$4:$AJ$4,0))))=0,NA(),SUMPRODUCT((Inputs!$A$5:$A$120=$B59)*Inputs!$B$5:$B$120*(((Inputs!$G$5:$G$120="moeda")+(Inputs!$G$5:$G$120="acoes"))*Inputs!$B$1+((Inputs!$G$5:$G$120&lt;&gt;"moeda")*(Inputs!$G$5:$G$120&lt;&gt;"acoes")))*INDEX(Inputs!$K$5:$AJ$120,0,MATCH(F$2,Inputs!$K$4:$AJ$4,0)))+SUMPRODUCT((Inputs!$C$5:$C$120=$B59)*Inputs!$D$5:$D$120*(((Inputs!$G$5:$G$120="moeda")+(Inputs!$G$5:$G$120="acoes"))*Inputs!$B$1+((Inputs!$G$5:$G$120&lt;&gt;"moeda")*(Inputs!$G$5:$G$120&lt;&gt;"acoes")))*INDEX(Inputs!$K$5:$AJ$120,0,MATCH(F$2,Inputs!$K$4:$AJ$4,0)))+SUMPRODUCT((Inputs!$E$5:$E$120=$B59)*Inputs!$F$5:$F$120*(((Inputs!$G$5:$G$120="moeda")+(Inputs!$G$5:$G$120="acoes"))*Inputs!$B$1+((Inputs!$G$5:$G$120&lt;&gt;"moeda")*(Inputs!$G$5:$G$120&lt;&gt;"acoes")))*INDEX(Inputs!$K$5:$AJ$120,0,MATCH(F$2,Inputs!$K$4:$AJ$4,0)))))</f>
        <v>1704</v>
      </c>
      <c r="G59" s="513">
        <f>IF(ISNA(MATCH(G$2,Inputs!$K$4:$AJ$4,0)),NA(),IF(SUMPRODUCT((Inputs!$A$5:$A$120=$B59)*ISNUMBER(INDEX(Inputs!$K$5:$AJ$120,0,MATCH(G$2,Inputs!$K$4:$AJ$4,0))))+SUMPRODUCT((Inputs!$C$5:$C$120=$B59)*ISNUMBER(INDEX(Inputs!$K$5:$AJ$120,0,MATCH(G$2,Inputs!$K$4:$AJ$4,0))))+SUMPRODUCT((Inputs!$E$5:$E$120=$B59)*ISNUMBER(INDEX(Inputs!$K$5:$AJ$120,0,MATCH(G$2,Inputs!$K$4:$AJ$4,0))))=0,NA(),SUMPRODUCT((Inputs!$A$5:$A$120=$B59)*Inputs!$B$5:$B$120*(((Inputs!$G$5:$G$120="moeda")+(Inputs!$G$5:$G$120="acoes"))*Inputs!$B$1+((Inputs!$G$5:$G$120&lt;&gt;"moeda")*(Inputs!$G$5:$G$120&lt;&gt;"acoes")))*INDEX(Inputs!$K$5:$AJ$120,0,MATCH(G$2,Inputs!$K$4:$AJ$4,0)))+SUMPRODUCT((Inputs!$C$5:$C$120=$B59)*Inputs!$D$5:$D$120*(((Inputs!$G$5:$G$120="moeda")+(Inputs!$G$5:$G$120="acoes"))*Inputs!$B$1+((Inputs!$G$5:$G$120&lt;&gt;"moeda")*(Inputs!$G$5:$G$120&lt;&gt;"acoes")))*INDEX(Inputs!$K$5:$AJ$120,0,MATCH(G$2,Inputs!$K$4:$AJ$4,0)))+SUMPRODUCT((Inputs!$E$5:$E$120=$B59)*Inputs!$F$5:$F$120*(((Inputs!$G$5:$G$120="moeda")+(Inputs!$G$5:$G$120="acoes"))*Inputs!$B$1+((Inputs!$G$5:$G$120&lt;&gt;"moeda")*(Inputs!$G$5:$G$120&lt;&gt;"acoes")))*INDEX(Inputs!$K$5:$AJ$120,0,MATCH(G$2,Inputs!$K$4:$AJ$4,0)))))</f>
        <v>1670</v>
      </c>
      <c r="H59" s="514">
        <f>SUM(D59:G59)</f>
        <v>6385</v>
      </c>
      <c r="I59" s="513">
        <f>IF(ISNA(MATCH(I$2,Inputs!$K$4:$AJ$4,0)),NA(),IF(SUMPRODUCT((Inputs!$A$5:$A$120=$B59)*ISNUMBER(INDEX(Inputs!$K$5:$AJ$120,0,MATCH(I$2,Inputs!$K$4:$AJ$4,0))))+SUMPRODUCT((Inputs!$C$5:$C$120=$B59)*ISNUMBER(INDEX(Inputs!$K$5:$AJ$120,0,MATCH(I$2,Inputs!$K$4:$AJ$4,0))))+SUMPRODUCT((Inputs!$E$5:$E$120=$B59)*ISNUMBER(INDEX(Inputs!$K$5:$AJ$120,0,MATCH(I$2,Inputs!$K$4:$AJ$4,0))))=0,NA(),SUMPRODUCT((Inputs!$A$5:$A$120=$B59)*Inputs!$B$5:$B$120*(((Inputs!$G$5:$G$120="moeda")+(Inputs!$G$5:$G$120="acoes"))*Inputs!$B$1+((Inputs!$G$5:$G$120&lt;&gt;"moeda")*(Inputs!$G$5:$G$120&lt;&gt;"acoes")))*INDEX(Inputs!$K$5:$AJ$120,0,MATCH(I$2,Inputs!$K$4:$AJ$4,0)))+SUMPRODUCT((Inputs!$C$5:$C$120=$B59)*Inputs!$D$5:$D$120*(((Inputs!$G$5:$G$120="moeda")+(Inputs!$G$5:$G$120="acoes"))*Inputs!$B$1+((Inputs!$G$5:$G$120&lt;&gt;"moeda")*(Inputs!$G$5:$G$120&lt;&gt;"acoes")))*INDEX(Inputs!$K$5:$AJ$120,0,MATCH(I$2,Inputs!$K$4:$AJ$4,0)))+SUMPRODUCT((Inputs!$E$5:$E$120=$B59)*Inputs!$F$5:$F$120*(((Inputs!$G$5:$G$120="moeda")+(Inputs!$G$5:$G$120="acoes"))*Inputs!$B$1+((Inputs!$G$5:$G$120&lt;&gt;"moeda")*(Inputs!$G$5:$G$120&lt;&gt;"acoes")))*INDEX(Inputs!$K$5:$AJ$120,0,MATCH(I$2,Inputs!$K$4:$AJ$4,0)))))</f>
        <v>1752</v>
      </c>
      <c r="J59" s="513">
        <f>IF(ISNA(MATCH(J$2,Inputs!$K$4:$AJ$4,0)),NA(),IF(SUMPRODUCT((Inputs!$A$5:$A$120=$B59)*ISNUMBER(INDEX(Inputs!$K$5:$AJ$120,0,MATCH(J$2,Inputs!$K$4:$AJ$4,0))))+SUMPRODUCT((Inputs!$C$5:$C$120=$B59)*ISNUMBER(INDEX(Inputs!$K$5:$AJ$120,0,MATCH(J$2,Inputs!$K$4:$AJ$4,0))))+SUMPRODUCT((Inputs!$E$5:$E$120=$B59)*ISNUMBER(INDEX(Inputs!$K$5:$AJ$120,0,MATCH(J$2,Inputs!$K$4:$AJ$4,0))))=0,NA(),SUMPRODUCT((Inputs!$A$5:$A$120=$B59)*Inputs!$B$5:$B$120*(((Inputs!$G$5:$G$120="moeda")+(Inputs!$G$5:$G$120="acoes"))*Inputs!$B$1+((Inputs!$G$5:$G$120&lt;&gt;"moeda")*(Inputs!$G$5:$G$120&lt;&gt;"acoes")))*INDEX(Inputs!$K$5:$AJ$120,0,MATCH(J$2,Inputs!$K$4:$AJ$4,0)))+SUMPRODUCT((Inputs!$C$5:$C$120=$B59)*Inputs!$D$5:$D$120*(((Inputs!$G$5:$G$120="moeda")+(Inputs!$G$5:$G$120="acoes"))*Inputs!$B$1+((Inputs!$G$5:$G$120&lt;&gt;"moeda")*(Inputs!$G$5:$G$120&lt;&gt;"acoes")))*INDEX(Inputs!$K$5:$AJ$120,0,MATCH(J$2,Inputs!$K$4:$AJ$4,0)))+SUMPRODUCT((Inputs!$E$5:$E$120=$B59)*Inputs!$F$5:$F$120*(((Inputs!$G$5:$G$120="moeda")+(Inputs!$G$5:$G$120="acoes"))*Inputs!$B$1+((Inputs!$G$5:$G$120&lt;&gt;"moeda")*(Inputs!$G$5:$G$120&lt;&gt;"acoes")))*INDEX(Inputs!$K$5:$AJ$120,0,MATCH(J$2,Inputs!$K$4:$AJ$4,0)))))</f>
        <v>1761</v>
      </c>
      <c r="K59" s="513">
        <f>IF(ISNA(MATCH(K$2,Inputs!$K$4:$AJ$4,0)),NA(),IF(SUMPRODUCT((Inputs!$A$5:$A$120=$B59)*ISNUMBER(INDEX(Inputs!$K$5:$AJ$120,0,MATCH(K$2,Inputs!$K$4:$AJ$4,0))))+SUMPRODUCT((Inputs!$C$5:$C$120=$B59)*ISNUMBER(INDEX(Inputs!$K$5:$AJ$120,0,MATCH(K$2,Inputs!$K$4:$AJ$4,0))))+SUMPRODUCT((Inputs!$E$5:$E$120=$B59)*ISNUMBER(INDEX(Inputs!$K$5:$AJ$120,0,MATCH(K$2,Inputs!$K$4:$AJ$4,0))))=0,NA(),SUMPRODUCT((Inputs!$A$5:$A$120=$B59)*Inputs!$B$5:$B$120*(((Inputs!$G$5:$G$120="moeda")+(Inputs!$G$5:$G$120="acoes"))*Inputs!$B$1+((Inputs!$G$5:$G$120&lt;&gt;"moeda")*(Inputs!$G$5:$G$120&lt;&gt;"acoes")))*INDEX(Inputs!$K$5:$AJ$120,0,MATCH(K$2,Inputs!$K$4:$AJ$4,0)))+SUMPRODUCT((Inputs!$C$5:$C$120=$B59)*Inputs!$D$5:$D$120*(((Inputs!$G$5:$G$120="moeda")+(Inputs!$G$5:$G$120="acoes"))*Inputs!$B$1+((Inputs!$G$5:$G$120&lt;&gt;"moeda")*(Inputs!$G$5:$G$120&lt;&gt;"acoes")))*INDEX(Inputs!$K$5:$AJ$120,0,MATCH(K$2,Inputs!$K$4:$AJ$4,0)))+SUMPRODUCT((Inputs!$E$5:$E$120=$B59)*Inputs!$F$5:$F$120*(((Inputs!$G$5:$G$120="moeda")+(Inputs!$G$5:$G$120="acoes"))*Inputs!$B$1+((Inputs!$G$5:$G$120&lt;&gt;"moeda")*(Inputs!$G$5:$G$120&lt;&gt;"acoes")))*INDEX(Inputs!$K$5:$AJ$120,0,MATCH(K$2,Inputs!$K$4:$AJ$4,0)))))</f>
        <v>1443</v>
      </c>
      <c r="L59" s="513">
        <f>IF(ISNA(MATCH(L$2,Inputs!$K$4:$AJ$4,0)),NA(),IF(SUMPRODUCT((Inputs!$A$5:$A$120=$B59)*ISNUMBER(INDEX(Inputs!$K$5:$AJ$120,0,MATCH(L$2,Inputs!$K$4:$AJ$4,0))))+SUMPRODUCT((Inputs!$C$5:$C$120=$B59)*ISNUMBER(INDEX(Inputs!$K$5:$AJ$120,0,MATCH(L$2,Inputs!$K$4:$AJ$4,0))))+SUMPRODUCT((Inputs!$E$5:$E$120=$B59)*ISNUMBER(INDEX(Inputs!$K$5:$AJ$120,0,MATCH(L$2,Inputs!$K$4:$AJ$4,0))))=0,NA(),SUMPRODUCT((Inputs!$A$5:$A$120=$B59)*Inputs!$B$5:$B$120*(((Inputs!$G$5:$G$120="moeda")+(Inputs!$G$5:$G$120="acoes"))*Inputs!$B$1+((Inputs!$G$5:$G$120&lt;&gt;"moeda")*(Inputs!$G$5:$G$120&lt;&gt;"acoes")))*INDEX(Inputs!$K$5:$AJ$120,0,MATCH(L$2,Inputs!$K$4:$AJ$4,0)))+SUMPRODUCT((Inputs!$C$5:$C$120=$B59)*Inputs!$D$5:$D$120*(((Inputs!$G$5:$G$120="moeda")+(Inputs!$G$5:$G$120="acoes"))*Inputs!$B$1+((Inputs!$G$5:$G$120&lt;&gt;"moeda")*(Inputs!$G$5:$G$120&lt;&gt;"acoes")))*INDEX(Inputs!$K$5:$AJ$120,0,MATCH(L$2,Inputs!$K$4:$AJ$4,0)))+SUMPRODUCT((Inputs!$E$5:$E$120=$B59)*Inputs!$F$5:$F$120*(((Inputs!$G$5:$G$120="moeda")+(Inputs!$G$5:$G$120="acoes"))*Inputs!$B$1+((Inputs!$G$5:$G$120&lt;&gt;"moeda")*(Inputs!$G$5:$G$120&lt;&gt;"acoes")))*INDEX(Inputs!$K$5:$AJ$120,0,MATCH(L$2,Inputs!$K$4:$AJ$4,0)))))</f>
        <v>1356</v>
      </c>
      <c r="M59" s="514">
        <f>SUM(I59:L59)</f>
        <v>6312</v>
      </c>
      <c r="N59" s="513">
        <f>IF(ISNA(MATCH(N$2,Inputs!$K$4:$AJ$4,0)),NA(),IF(SUMPRODUCT((Inputs!$A$5:$A$120=$B59)*ISNUMBER(INDEX(Inputs!$K$5:$AJ$120,0,MATCH(N$2,Inputs!$K$4:$AJ$4,0))))+SUMPRODUCT((Inputs!$C$5:$C$120=$B59)*ISNUMBER(INDEX(Inputs!$K$5:$AJ$120,0,MATCH(N$2,Inputs!$K$4:$AJ$4,0))))+SUMPRODUCT((Inputs!$E$5:$E$120=$B59)*ISNUMBER(INDEX(Inputs!$K$5:$AJ$120,0,MATCH(N$2,Inputs!$K$4:$AJ$4,0))))=0,NA(),SUMPRODUCT((Inputs!$A$5:$A$120=$B59)*Inputs!$B$5:$B$120*(((Inputs!$G$5:$G$120="moeda")+(Inputs!$G$5:$G$120="acoes"))*Inputs!$B$1+((Inputs!$G$5:$G$120&lt;&gt;"moeda")*(Inputs!$G$5:$G$120&lt;&gt;"acoes")))*INDEX(Inputs!$K$5:$AJ$120,0,MATCH(N$2,Inputs!$K$4:$AJ$4,0)))+SUMPRODUCT((Inputs!$C$5:$C$120=$B59)*Inputs!$D$5:$D$120*(((Inputs!$G$5:$G$120="moeda")+(Inputs!$G$5:$G$120="acoes"))*Inputs!$B$1+((Inputs!$G$5:$G$120&lt;&gt;"moeda")*(Inputs!$G$5:$G$120&lt;&gt;"acoes")))*INDEX(Inputs!$K$5:$AJ$120,0,MATCH(N$2,Inputs!$K$4:$AJ$4,0)))+SUMPRODUCT((Inputs!$E$5:$E$120=$B59)*Inputs!$F$5:$F$120*(((Inputs!$G$5:$G$120="moeda")+(Inputs!$G$5:$G$120="acoes"))*Inputs!$B$1+((Inputs!$G$5:$G$120&lt;&gt;"moeda")*(Inputs!$G$5:$G$120&lt;&gt;"acoes")))*INDEX(Inputs!$K$5:$AJ$120,0,MATCH(N$2,Inputs!$K$4:$AJ$4,0)))))</f>
        <v>1529</v>
      </c>
      <c r="O59" s="513">
        <f>IF(ISNA(MATCH(O$2,Inputs!$K$4:$AJ$4,0)),NA(),IF(SUMPRODUCT((Inputs!$A$5:$A$120=$B59)*ISNUMBER(INDEX(Inputs!$K$5:$AJ$120,0,MATCH(O$2,Inputs!$K$4:$AJ$4,0))))+SUMPRODUCT((Inputs!$C$5:$C$120=$B59)*ISNUMBER(INDEX(Inputs!$K$5:$AJ$120,0,MATCH(O$2,Inputs!$K$4:$AJ$4,0))))+SUMPRODUCT((Inputs!$E$5:$E$120=$B59)*ISNUMBER(INDEX(Inputs!$K$5:$AJ$120,0,MATCH(O$2,Inputs!$K$4:$AJ$4,0))))=0,NA(),SUMPRODUCT((Inputs!$A$5:$A$120=$B59)*Inputs!$B$5:$B$120*(((Inputs!$G$5:$G$120="moeda")+(Inputs!$G$5:$G$120="acoes"))*Inputs!$B$1+((Inputs!$G$5:$G$120&lt;&gt;"moeda")*(Inputs!$G$5:$G$120&lt;&gt;"acoes")))*INDEX(Inputs!$K$5:$AJ$120,0,MATCH(O$2,Inputs!$K$4:$AJ$4,0)))+SUMPRODUCT((Inputs!$C$5:$C$120=$B59)*Inputs!$D$5:$D$120*(((Inputs!$G$5:$G$120="moeda")+(Inputs!$G$5:$G$120="acoes"))*Inputs!$B$1+((Inputs!$G$5:$G$120&lt;&gt;"moeda")*(Inputs!$G$5:$G$120&lt;&gt;"acoes")))*INDEX(Inputs!$K$5:$AJ$120,0,MATCH(O$2,Inputs!$K$4:$AJ$4,0)))+SUMPRODUCT((Inputs!$E$5:$E$120=$B59)*Inputs!$F$5:$F$120*(((Inputs!$G$5:$G$120="moeda")+(Inputs!$G$5:$G$120="acoes"))*Inputs!$B$1+((Inputs!$G$5:$G$120&lt;&gt;"moeda")*(Inputs!$G$5:$G$120&lt;&gt;"acoes")))*INDEX(Inputs!$K$5:$AJ$120,0,MATCH(O$2,Inputs!$K$4:$AJ$4,0)))))</f>
        <v>1473</v>
      </c>
      <c r="P59" s="513">
        <f>IF(ISNA(MATCH(P$2,Inputs!$K$4:$AJ$4,0)),NA(),IF(SUMPRODUCT((Inputs!$A$5:$A$120=$B59)*ISNUMBER(INDEX(Inputs!$K$5:$AJ$120,0,MATCH(P$2,Inputs!$K$4:$AJ$4,0))))+SUMPRODUCT((Inputs!$C$5:$C$120=$B59)*ISNUMBER(INDEX(Inputs!$K$5:$AJ$120,0,MATCH(P$2,Inputs!$K$4:$AJ$4,0))))+SUMPRODUCT((Inputs!$E$5:$E$120=$B59)*ISNUMBER(INDEX(Inputs!$K$5:$AJ$120,0,MATCH(P$2,Inputs!$K$4:$AJ$4,0))))=0,NA(),SUMPRODUCT((Inputs!$A$5:$A$120=$B59)*Inputs!$B$5:$B$120*(((Inputs!$G$5:$G$120="moeda")+(Inputs!$G$5:$G$120="acoes"))*Inputs!$B$1+((Inputs!$G$5:$G$120&lt;&gt;"moeda")*(Inputs!$G$5:$G$120&lt;&gt;"acoes")))*INDEX(Inputs!$K$5:$AJ$120,0,MATCH(P$2,Inputs!$K$4:$AJ$4,0)))+SUMPRODUCT((Inputs!$C$5:$C$120=$B59)*Inputs!$D$5:$D$120*(((Inputs!$G$5:$G$120="moeda")+(Inputs!$G$5:$G$120="acoes"))*Inputs!$B$1+((Inputs!$G$5:$G$120&lt;&gt;"moeda")*(Inputs!$G$5:$G$120&lt;&gt;"acoes")))*INDEX(Inputs!$K$5:$AJ$120,0,MATCH(P$2,Inputs!$K$4:$AJ$4,0)))+SUMPRODUCT((Inputs!$E$5:$E$120=$B59)*Inputs!$F$5:$F$120*(((Inputs!$G$5:$G$120="moeda")+(Inputs!$G$5:$G$120="acoes"))*Inputs!$B$1+((Inputs!$G$5:$G$120&lt;&gt;"moeda")*(Inputs!$G$5:$G$120&lt;&gt;"acoes")))*INDEX(Inputs!$K$5:$AJ$120,0,MATCH(P$2,Inputs!$K$4:$AJ$4,0)))))</f>
        <v>1578</v>
      </c>
      <c r="Q59" s="513">
        <f>IF(ISNA(MATCH(Q$2,Inputs!$K$4:$AJ$4,0)),NA(),IF(SUMPRODUCT((Inputs!$A$5:$A$120=$B59)*ISNUMBER(INDEX(Inputs!$K$5:$AJ$120,0,MATCH(Q$2,Inputs!$K$4:$AJ$4,0))))+SUMPRODUCT((Inputs!$C$5:$C$120=$B59)*ISNUMBER(INDEX(Inputs!$K$5:$AJ$120,0,MATCH(Q$2,Inputs!$K$4:$AJ$4,0))))+SUMPRODUCT((Inputs!$E$5:$E$120=$B59)*ISNUMBER(INDEX(Inputs!$K$5:$AJ$120,0,MATCH(Q$2,Inputs!$K$4:$AJ$4,0))))=0,NA(),SUMPRODUCT((Inputs!$A$5:$A$120=$B59)*Inputs!$B$5:$B$120*(((Inputs!$G$5:$G$120="moeda")+(Inputs!$G$5:$G$120="acoes"))*Inputs!$B$1+((Inputs!$G$5:$G$120&lt;&gt;"moeda")*(Inputs!$G$5:$G$120&lt;&gt;"acoes")))*INDEX(Inputs!$K$5:$AJ$120,0,MATCH(Q$2,Inputs!$K$4:$AJ$4,0)))+SUMPRODUCT((Inputs!$C$5:$C$120=$B59)*Inputs!$D$5:$D$120*(((Inputs!$G$5:$G$120="moeda")+(Inputs!$G$5:$G$120="acoes"))*Inputs!$B$1+((Inputs!$G$5:$G$120&lt;&gt;"moeda")*(Inputs!$G$5:$G$120&lt;&gt;"acoes")))*INDEX(Inputs!$K$5:$AJ$120,0,MATCH(Q$2,Inputs!$K$4:$AJ$4,0)))+SUMPRODUCT((Inputs!$E$5:$E$120=$B59)*Inputs!$F$5:$F$120*(((Inputs!$G$5:$G$120="moeda")+(Inputs!$G$5:$G$120="acoes"))*Inputs!$B$1+((Inputs!$G$5:$G$120&lt;&gt;"moeda")*(Inputs!$G$5:$G$120&lt;&gt;"acoes")))*INDEX(Inputs!$K$5:$AJ$120,0,MATCH(Q$2,Inputs!$K$4:$AJ$4,0)))))</f>
        <v>1346</v>
      </c>
      <c r="R59" s="514">
        <f>SUM(N59:Q59)</f>
        <v>5926</v>
      </c>
      <c r="S59" s="513">
        <f>IF(ISNA(MATCH(S$2,Inputs!$K$4:$AJ$4,0)),NA(),IF(SUMPRODUCT((Inputs!$A$5:$A$120=$B59)*ISNUMBER(INDEX(Inputs!$K$5:$AJ$120,0,MATCH(S$2,Inputs!$K$4:$AJ$4,0))))+SUMPRODUCT((Inputs!$C$5:$C$120=$B59)*ISNUMBER(INDEX(Inputs!$K$5:$AJ$120,0,MATCH(S$2,Inputs!$K$4:$AJ$4,0))))+SUMPRODUCT((Inputs!$E$5:$E$120=$B59)*ISNUMBER(INDEX(Inputs!$K$5:$AJ$120,0,MATCH(S$2,Inputs!$K$4:$AJ$4,0))))=0,NA(),SUMPRODUCT((Inputs!$A$5:$A$120=$B59)*Inputs!$B$5:$B$120*(((Inputs!$G$5:$G$120="moeda")+(Inputs!$G$5:$G$120="acoes"))*Inputs!$B$1+((Inputs!$G$5:$G$120&lt;&gt;"moeda")*(Inputs!$G$5:$G$120&lt;&gt;"acoes")))*INDEX(Inputs!$K$5:$AJ$120,0,MATCH(S$2,Inputs!$K$4:$AJ$4,0)))+SUMPRODUCT((Inputs!$C$5:$C$120=$B59)*Inputs!$D$5:$D$120*(((Inputs!$G$5:$G$120="moeda")+(Inputs!$G$5:$G$120="acoes"))*Inputs!$B$1+((Inputs!$G$5:$G$120&lt;&gt;"moeda")*(Inputs!$G$5:$G$120&lt;&gt;"acoes")))*INDEX(Inputs!$K$5:$AJ$120,0,MATCH(S$2,Inputs!$K$4:$AJ$4,0)))+SUMPRODUCT((Inputs!$E$5:$E$120=$B59)*Inputs!$F$5:$F$120*(((Inputs!$G$5:$G$120="moeda")+(Inputs!$G$5:$G$120="acoes"))*Inputs!$B$1+((Inputs!$G$5:$G$120&lt;&gt;"moeda")*(Inputs!$G$5:$G$120&lt;&gt;"acoes")))*INDEX(Inputs!$K$5:$AJ$120,0,MATCH(S$2,Inputs!$K$4:$AJ$4,0)))))</f>
        <v>1499</v>
      </c>
      <c r="T59" s="513">
        <f>IF(ISNA(MATCH(T$2,Inputs!$K$4:$AJ$4,0)),NA(),IF(SUMPRODUCT((Inputs!$A$5:$A$120=$B59)*ISNUMBER(INDEX(Inputs!$K$5:$AJ$120,0,MATCH(T$2,Inputs!$K$4:$AJ$4,0))))+SUMPRODUCT((Inputs!$C$5:$C$120=$B59)*ISNUMBER(INDEX(Inputs!$K$5:$AJ$120,0,MATCH(T$2,Inputs!$K$4:$AJ$4,0))))+SUMPRODUCT((Inputs!$E$5:$E$120=$B59)*ISNUMBER(INDEX(Inputs!$K$5:$AJ$120,0,MATCH(T$2,Inputs!$K$4:$AJ$4,0))))=0,NA(),SUMPRODUCT((Inputs!$A$5:$A$120=$B59)*Inputs!$B$5:$B$120*(((Inputs!$G$5:$G$120="moeda")+(Inputs!$G$5:$G$120="acoes"))*Inputs!$B$1+((Inputs!$G$5:$G$120&lt;&gt;"moeda")*(Inputs!$G$5:$G$120&lt;&gt;"acoes")))*INDEX(Inputs!$K$5:$AJ$120,0,MATCH(T$2,Inputs!$K$4:$AJ$4,0)))+SUMPRODUCT((Inputs!$C$5:$C$120=$B59)*Inputs!$D$5:$D$120*(((Inputs!$G$5:$G$120="moeda")+(Inputs!$G$5:$G$120="acoes"))*Inputs!$B$1+((Inputs!$G$5:$G$120&lt;&gt;"moeda")*(Inputs!$G$5:$G$120&lt;&gt;"acoes")))*INDEX(Inputs!$K$5:$AJ$120,0,MATCH(T$2,Inputs!$K$4:$AJ$4,0)))+SUMPRODUCT((Inputs!$E$5:$E$120=$B59)*Inputs!$F$5:$F$120*(((Inputs!$G$5:$G$120="moeda")+(Inputs!$G$5:$G$120="acoes"))*Inputs!$B$1+((Inputs!$G$5:$G$120&lt;&gt;"moeda")*(Inputs!$G$5:$G$120&lt;&gt;"acoes")))*INDEX(Inputs!$K$5:$AJ$120,0,MATCH(T$2,Inputs!$K$4:$AJ$4,0)))))</f>
        <v>1704</v>
      </c>
      <c r="U59" s="513">
        <f>IF(ISNA(MATCH(U$2,Inputs!$K$4:$AJ$4,0)),NA(),IF(SUMPRODUCT((Inputs!$A$5:$A$120=$B59)*ISNUMBER(INDEX(Inputs!$K$5:$AJ$120,0,MATCH(U$2,Inputs!$K$4:$AJ$4,0))))+SUMPRODUCT((Inputs!$C$5:$C$120=$B59)*ISNUMBER(INDEX(Inputs!$K$5:$AJ$120,0,MATCH(U$2,Inputs!$K$4:$AJ$4,0))))+SUMPRODUCT((Inputs!$E$5:$E$120=$B59)*ISNUMBER(INDEX(Inputs!$K$5:$AJ$120,0,MATCH(U$2,Inputs!$K$4:$AJ$4,0))))=0,NA(),SUMPRODUCT((Inputs!$A$5:$A$120=$B59)*Inputs!$B$5:$B$120*(((Inputs!$G$5:$G$120="moeda")+(Inputs!$G$5:$G$120="acoes"))*Inputs!$B$1+((Inputs!$G$5:$G$120&lt;&gt;"moeda")*(Inputs!$G$5:$G$120&lt;&gt;"acoes")))*INDEX(Inputs!$K$5:$AJ$120,0,MATCH(U$2,Inputs!$K$4:$AJ$4,0)))+SUMPRODUCT((Inputs!$C$5:$C$120=$B59)*Inputs!$D$5:$D$120*(((Inputs!$G$5:$G$120="moeda")+(Inputs!$G$5:$G$120="acoes"))*Inputs!$B$1+((Inputs!$G$5:$G$120&lt;&gt;"moeda")*(Inputs!$G$5:$G$120&lt;&gt;"acoes")))*INDEX(Inputs!$K$5:$AJ$120,0,MATCH(U$2,Inputs!$K$4:$AJ$4,0)))+SUMPRODUCT((Inputs!$E$5:$E$120=$B59)*Inputs!$F$5:$F$120*(((Inputs!$G$5:$G$120="moeda")+(Inputs!$G$5:$G$120="acoes"))*Inputs!$B$1+((Inputs!$G$5:$G$120&lt;&gt;"moeda")*(Inputs!$G$5:$G$120&lt;&gt;"acoes")))*INDEX(Inputs!$K$5:$AJ$120,0,MATCH(U$2,Inputs!$K$4:$AJ$4,0)))))</f>
        <v>1571</v>
      </c>
      <c r="V59" s="513">
        <f>IF(ISNA(MATCH(V$2,Inputs!$K$4:$AJ$4,0)),NA(),IF(SUMPRODUCT((Inputs!$A$5:$A$120=$B59)*ISNUMBER(INDEX(Inputs!$K$5:$AJ$120,0,MATCH(V$2,Inputs!$K$4:$AJ$4,0))))+SUMPRODUCT((Inputs!$C$5:$C$120=$B59)*ISNUMBER(INDEX(Inputs!$K$5:$AJ$120,0,MATCH(V$2,Inputs!$K$4:$AJ$4,0))))+SUMPRODUCT((Inputs!$E$5:$E$120=$B59)*ISNUMBER(INDEX(Inputs!$K$5:$AJ$120,0,MATCH(V$2,Inputs!$K$4:$AJ$4,0))))=0,NA(),SUMPRODUCT((Inputs!$A$5:$A$120=$B59)*Inputs!$B$5:$B$120*(((Inputs!$G$5:$G$120="moeda")+(Inputs!$G$5:$G$120="acoes"))*Inputs!$B$1+((Inputs!$G$5:$G$120&lt;&gt;"moeda")*(Inputs!$G$5:$G$120&lt;&gt;"acoes")))*INDEX(Inputs!$K$5:$AJ$120,0,MATCH(V$2,Inputs!$K$4:$AJ$4,0)))+SUMPRODUCT((Inputs!$C$5:$C$120=$B59)*Inputs!$D$5:$D$120*(((Inputs!$G$5:$G$120="moeda")+(Inputs!$G$5:$G$120="acoes"))*Inputs!$B$1+((Inputs!$G$5:$G$120&lt;&gt;"moeda")*(Inputs!$G$5:$G$120&lt;&gt;"acoes")))*INDEX(Inputs!$K$5:$AJ$120,0,MATCH(V$2,Inputs!$K$4:$AJ$4,0)))+SUMPRODUCT((Inputs!$E$5:$E$120=$B59)*Inputs!$F$5:$F$120*(((Inputs!$G$5:$G$120="moeda")+(Inputs!$G$5:$G$120="acoes"))*Inputs!$B$1+((Inputs!$G$5:$G$120&lt;&gt;"moeda")*(Inputs!$G$5:$G$120&lt;&gt;"acoes")))*INDEX(Inputs!$K$5:$AJ$120,0,MATCH(V$2,Inputs!$K$4:$AJ$4,0)))))</f>
        <v>1465</v>
      </c>
      <c r="W59" s="514">
        <f>SUM(S59:V59)</f>
        <v>6239</v>
      </c>
      <c r="X59" s="513">
        <f>IF(ISNA(MATCH(X$2,Inputs!$K$4:$AJ$4,0)),NA(),IF(SUMPRODUCT((Inputs!$A$5:$A$120=$B59)*ISNUMBER(INDEX(Inputs!$K$5:$AJ$120,0,MATCH(X$2,Inputs!$K$4:$AJ$4,0))))+SUMPRODUCT((Inputs!$C$5:$C$120=$B59)*ISNUMBER(INDEX(Inputs!$K$5:$AJ$120,0,MATCH(X$2,Inputs!$K$4:$AJ$4,0))))+SUMPRODUCT((Inputs!$E$5:$E$120=$B59)*ISNUMBER(INDEX(Inputs!$K$5:$AJ$120,0,MATCH(X$2,Inputs!$K$4:$AJ$4,0))))=0,NA(),SUMPRODUCT((Inputs!$A$5:$A$120=$B59)*Inputs!$B$5:$B$120*(((Inputs!$G$5:$G$120="moeda")+(Inputs!$G$5:$G$120="acoes"))*Inputs!$B$1+((Inputs!$G$5:$G$120&lt;&gt;"moeda")*(Inputs!$G$5:$G$120&lt;&gt;"acoes")))*INDEX(Inputs!$K$5:$AJ$120,0,MATCH(X$2,Inputs!$K$4:$AJ$4,0)))+SUMPRODUCT((Inputs!$C$5:$C$120=$B59)*Inputs!$D$5:$D$120*(((Inputs!$G$5:$G$120="moeda")+(Inputs!$G$5:$G$120="acoes"))*Inputs!$B$1+((Inputs!$G$5:$G$120&lt;&gt;"moeda")*(Inputs!$G$5:$G$120&lt;&gt;"acoes")))*INDEX(Inputs!$K$5:$AJ$120,0,MATCH(X$2,Inputs!$K$4:$AJ$4,0)))+SUMPRODUCT((Inputs!$E$5:$E$120=$B59)*Inputs!$F$5:$F$120*(((Inputs!$G$5:$G$120="moeda")+(Inputs!$G$5:$G$120="acoes"))*Inputs!$B$1+((Inputs!$G$5:$G$120&lt;&gt;"moeda")*(Inputs!$G$5:$G$120&lt;&gt;"acoes")))*INDEX(Inputs!$K$5:$AJ$120,0,MATCH(X$2,Inputs!$K$4:$AJ$4,0)))))</f>
        <v>1632</v>
      </c>
      <c r="Y59" s="513">
        <f>IF(ISNA(MATCH(Y$2,Inputs!$K$4:$AJ$4,0)),NA(),IF(SUMPRODUCT((Inputs!$A$5:$A$120=$B59)*ISNUMBER(INDEX(Inputs!$K$5:$AJ$120,0,MATCH(Y$2,Inputs!$K$4:$AJ$4,0))))+SUMPRODUCT((Inputs!$C$5:$C$120=$B59)*ISNUMBER(INDEX(Inputs!$K$5:$AJ$120,0,MATCH(Y$2,Inputs!$K$4:$AJ$4,0))))+SUMPRODUCT((Inputs!$E$5:$E$120=$B59)*ISNUMBER(INDEX(Inputs!$K$5:$AJ$120,0,MATCH(Y$2,Inputs!$K$4:$AJ$4,0))))=0,NA(),SUMPRODUCT((Inputs!$A$5:$A$120=$B59)*Inputs!$B$5:$B$120*(((Inputs!$G$5:$G$120="moeda")+(Inputs!$G$5:$G$120="acoes"))*Inputs!$B$1+((Inputs!$G$5:$G$120&lt;&gt;"moeda")*(Inputs!$G$5:$G$120&lt;&gt;"acoes")))*INDEX(Inputs!$K$5:$AJ$120,0,MATCH(Y$2,Inputs!$K$4:$AJ$4,0)))+SUMPRODUCT((Inputs!$C$5:$C$120=$B59)*Inputs!$D$5:$D$120*(((Inputs!$G$5:$G$120="moeda")+(Inputs!$G$5:$G$120="acoes"))*Inputs!$B$1+((Inputs!$G$5:$G$120&lt;&gt;"moeda")*(Inputs!$G$5:$G$120&lt;&gt;"acoes")))*INDEX(Inputs!$K$5:$AJ$120,0,MATCH(Y$2,Inputs!$K$4:$AJ$4,0)))+SUMPRODUCT((Inputs!$E$5:$E$120=$B59)*Inputs!$F$5:$F$120*(((Inputs!$G$5:$G$120="moeda")+(Inputs!$G$5:$G$120="acoes"))*Inputs!$B$1+((Inputs!$G$5:$G$120&lt;&gt;"moeda")*(Inputs!$G$5:$G$120&lt;&gt;"acoes")))*INDEX(Inputs!$K$5:$AJ$120,0,MATCH(Y$2,Inputs!$K$4:$AJ$4,0)))))</f>
        <v>1701</v>
      </c>
      <c r="Z59" s="513">
        <f>IF(ISNA(MATCH(Z$2,Inputs!$K$4:$AJ$4,0)),NA(),IF(SUMPRODUCT((Inputs!$A$5:$A$120=$B59)*ISNUMBER(INDEX(Inputs!$K$5:$AJ$120,0,MATCH(Z$2,Inputs!$K$4:$AJ$4,0))))+SUMPRODUCT((Inputs!$C$5:$C$120=$B59)*ISNUMBER(INDEX(Inputs!$K$5:$AJ$120,0,MATCH(Z$2,Inputs!$K$4:$AJ$4,0))))+SUMPRODUCT((Inputs!$E$5:$E$120=$B59)*ISNUMBER(INDEX(Inputs!$K$5:$AJ$120,0,MATCH(Z$2,Inputs!$K$4:$AJ$4,0))))=0,NA(),SUMPRODUCT((Inputs!$A$5:$A$120=$B59)*Inputs!$B$5:$B$120*(((Inputs!$G$5:$G$120="moeda")+(Inputs!$G$5:$G$120="acoes"))*Inputs!$B$1+((Inputs!$G$5:$G$120&lt;&gt;"moeda")*(Inputs!$G$5:$G$120&lt;&gt;"acoes")))*INDEX(Inputs!$K$5:$AJ$120,0,MATCH(Z$2,Inputs!$K$4:$AJ$4,0)))+SUMPRODUCT((Inputs!$C$5:$C$120=$B59)*Inputs!$D$5:$D$120*(((Inputs!$G$5:$G$120="moeda")+(Inputs!$G$5:$G$120="acoes"))*Inputs!$B$1+((Inputs!$G$5:$G$120&lt;&gt;"moeda")*(Inputs!$G$5:$G$120&lt;&gt;"acoes")))*INDEX(Inputs!$K$5:$AJ$120,0,MATCH(Z$2,Inputs!$K$4:$AJ$4,0)))+SUMPRODUCT((Inputs!$E$5:$E$120=$B59)*Inputs!$F$5:$F$120*(((Inputs!$G$5:$G$120="moeda")+(Inputs!$G$5:$G$120="acoes"))*Inputs!$B$1+((Inputs!$G$5:$G$120&lt;&gt;"moeda")*(Inputs!$G$5:$G$120&lt;&gt;"acoes")))*INDEX(Inputs!$K$5:$AJ$120,0,MATCH(Z$2,Inputs!$K$4:$AJ$4,0)))))</f>
        <v>1786</v>
      </c>
      <c r="AA59" s="513">
        <f>IF(ISNA(MATCH(AA$2,Inputs!$K$4:$AJ$4,0)),NA(),IF(SUMPRODUCT((Inputs!$A$5:$A$120=$B59)*ISNUMBER(INDEX(Inputs!$K$5:$AJ$120,0,MATCH(AA$2,Inputs!$K$4:$AJ$4,0))))+SUMPRODUCT((Inputs!$C$5:$C$120=$B59)*ISNUMBER(INDEX(Inputs!$K$5:$AJ$120,0,MATCH(AA$2,Inputs!$K$4:$AJ$4,0))))+SUMPRODUCT((Inputs!$E$5:$E$120=$B59)*ISNUMBER(INDEX(Inputs!$K$5:$AJ$120,0,MATCH(AA$2,Inputs!$K$4:$AJ$4,0))))=0,NA(),SUMPRODUCT((Inputs!$A$5:$A$120=$B59)*Inputs!$B$5:$B$120*(((Inputs!$G$5:$G$120="moeda")+(Inputs!$G$5:$G$120="acoes"))*Inputs!$B$1+((Inputs!$G$5:$G$120&lt;&gt;"moeda")*(Inputs!$G$5:$G$120&lt;&gt;"acoes")))*INDEX(Inputs!$K$5:$AJ$120,0,MATCH(AA$2,Inputs!$K$4:$AJ$4,0)))+SUMPRODUCT((Inputs!$C$5:$C$120=$B59)*Inputs!$D$5:$D$120*(((Inputs!$G$5:$G$120="moeda")+(Inputs!$G$5:$G$120="acoes"))*Inputs!$B$1+((Inputs!$G$5:$G$120&lt;&gt;"moeda")*(Inputs!$G$5:$G$120&lt;&gt;"acoes")))*INDEX(Inputs!$K$5:$AJ$120,0,MATCH(AA$2,Inputs!$K$4:$AJ$4,0)))+SUMPRODUCT((Inputs!$E$5:$E$120=$B59)*Inputs!$F$5:$F$120*(((Inputs!$G$5:$G$120="moeda")+(Inputs!$G$5:$G$120="acoes"))*Inputs!$B$1+((Inputs!$G$5:$G$120&lt;&gt;"moeda")*(Inputs!$G$5:$G$120&lt;&gt;"acoes")))*INDEX(Inputs!$K$5:$AJ$120,0,MATCH(AA$2,Inputs!$K$4:$AJ$4,0)))))</f>
        <v>1800</v>
      </c>
      <c r="AB59" s="514">
        <f>SUM(X59:AA59)</f>
        <v>6919</v>
      </c>
      <c r="AC59" s="513">
        <f>IF(ISNA(MATCH(AC$2,Inputs!$K$4:$AJ$4,0)),NA(),IF(SUMPRODUCT((Inputs!$A$5:$A$120=$B59)*ISNUMBER(INDEX(Inputs!$K$5:$AJ$120,0,MATCH(AC$2,Inputs!$K$4:$AJ$4,0))))+SUMPRODUCT((Inputs!$C$5:$C$120=$B59)*ISNUMBER(INDEX(Inputs!$K$5:$AJ$120,0,MATCH(AC$2,Inputs!$K$4:$AJ$4,0))))+SUMPRODUCT((Inputs!$E$5:$E$120=$B59)*ISNUMBER(INDEX(Inputs!$K$5:$AJ$120,0,MATCH(AC$2,Inputs!$K$4:$AJ$4,0))))=0,NA(),SUMPRODUCT((Inputs!$A$5:$A$120=$B59)*Inputs!$B$5:$B$120*(((Inputs!$G$5:$G$120="moeda")+(Inputs!$G$5:$G$120="acoes"))*Inputs!$B$1+((Inputs!$G$5:$G$120&lt;&gt;"moeda")*(Inputs!$G$5:$G$120&lt;&gt;"acoes")))*INDEX(Inputs!$K$5:$AJ$120,0,MATCH(AC$2,Inputs!$K$4:$AJ$4,0)))+SUMPRODUCT((Inputs!$C$5:$C$120=$B59)*Inputs!$D$5:$D$120*(((Inputs!$G$5:$G$120="moeda")+(Inputs!$G$5:$G$120="acoes"))*Inputs!$B$1+((Inputs!$G$5:$G$120&lt;&gt;"moeda")*(Inputs!$G$5:$G$120&lt;&gt;"acoes")))*INDEX(Inputs!$K$5:$AJ$120,0,MATCH(AC$2,Inputs!$K$4:$AJ$4,0)))+SUMPRODUCT((Inputs!$E$5:$E$120=$B59)*Inputs!$F$5:$F$120*(((Inputs!$G$5:$G$120="moeda")+(Inputs!$G$5:$G$120="acoes"))*Inputs!$B$1+((Inputs!$G$5:$G$120&lt;&gt;"moeda")*(Inputs!$G$5:$G$120&lt;&gt;"acoes")))*INDEX(Inputs!$K$5:$AJ$120,0,MATCH(AC$2,Inputs!$K$4:$AJ$4,0)))))</f>
        <v>2062</v>
      </c>
      <c r="AD59" s="513">
        <f>IF(ISNA(MATCH(AD$2,Inputs!$K$4:$AJ$4,0)),NA(),IF(SUMPRODUCT((Inputs!$A$5:$A$120=$B59)*ISNUMBER(INDEX(Inputs!$K$5:$AJ$120,0,MATCH(AD$2,Inputs!$K$4:$AJ$4,0))))+SUMPRODUCT((Inputs!$C$5:$C$120=$B59)*ISNUMBER(INDEX(Inputs!$K$5:$AJ$120,0,MATCH(AD$2,Inputs!$K$4:$AJ$4,0))))+SUMPRODUCT((Inputs!$E$5:$E$120=$B59)*ISNUMBER(INDEX(Inputs!$K$5:$AJ$120,0,MATCH(AD$2,Inputs!$K$4:$AJ$4,0))))=0,NA(),SUMPRODUCT((Inputs!$A$5:$A$120=$B59)*Inputs!$B$5:$B$120*(((Inputs!$G$5:$G$120="moeda")+(Inputs!$G$5:$G$120="acoes"))*Inputs!$B$1+((Inputs!$G$5:$G$120&lt;&gt;"moeda")*(Inputs!$G$5:$G$120&lt;&gt;"acoes")))*INDEX(Inputs!$K$5:$AJ$120,0,MATCH(AD$2,Inputs!$K$4:$AJ$4,0)))+SUMPRODUCT((Inputs!$C$5:$C$120=$B59)*Inputs!$D$5:$D$120*(((Inputs!$G$5:$G$120="moeda")+(Inputs!$G$5:$G$120="acoes"))*Inputs!$B$1+((Inputs!$G$5:$G$120&lt;&gt;"moeda")*(Inputs!$G$5:$G$120&lt;&gt;"acoes")))*INDEX(Inputs!$K$5:$AJ$120,0,MATCH(AD$2,Inputs!$K$4:$AJ$4,0)))+SUMPRODUCT((Inputs!$E$5:$E$120=$B59)*Inputs!$F$5:$F$120*(((Inputs!$G$5:$G$120="moeda")+(Inputs!$G$5:$G$120="acoes"))*Inputs!$B$1+((Inputs!$G$5:$G$120&lt;&gt;"moeda")*(Inputs!$G$5:$G$120&lt;&gt;"acoes")))*INDEX(Inputs!$K$5:$AJ$120,0,MATCH(AD$2,Inputs!$K$4:$AJ$4,0)))))</f>
        <v>2239</v>
      </c>
      <c r="AE59" s="513" t="e">
        <f>IF(ISNA(MATCH(AE$2,Inputs!$K$4:$AJ$4,0)),NA(),IF(SUMPRODUCT((Inputs!$A$5:$A$120=$B59)*ISNUMBER(INDEX(Inputs!$K$5:$AJ$120,0,MATCH(AE$2,Inputs!$K$4:$AJ$4,0))))+SUMPRODUCT((Inputs!$C$5:$C$120=$B59)*ISNUMBER(INDEX(Inputs!$K$5:$AJ$120,0,MATCH(AE$2,Inputs!$K$4:$AJ$4,0))))+SUMPRODUCT((Inputs!$E$5:$E$120=$B59)*ISNUMBER(INDEX(Inputs!$K$5:$AJ$120,0,MATCH(AE$2,Inputs!$K$4:$AJ$4,0))))=0,NA(),SUMPRODUCT((Inputs!$A$5:$A$120=$B59)*Inputs!$B$5:$B$120*(((Inputs!$G$5:$G$120="moeda")+(Inputs!$G$5:$G$120="acoes"))*Inputs!$B$1+((Inputs!$G$5:$G$120&lt;&gt;"moeda")*(Inputs!$G$5:$G$120&lt;&gt;"acoes")))*INDEX(Inputs!$K$5:$AJ$120,0,MATCH(AE$2,Inputs!$K$4:$AJ$4,0)))+SUMPRODUCT((Inputs!$C$5:$C$120=$B59)*Inputs!$D$5:$D$120*(((Inputs!$G$5:$G$120="moeda")+(Inputs!$G$5:$G$120="acoes"))*Inputs!$B$1+((Inputs!$G$5:$G$120&lt;&gt;"moeda")*(Inputs!$G$5:$G$120&lt;&gt;"acoes")))*INDEX(Inputs!$K$5:$AJ$120,0,MATCH(AE$2,Inputs!$K$4:$AJ$4,0)))+SUMPRODUCT((Inputs!$E$5:$E$120=$B59)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59" s="513" t="e">
        <f>IF(ISNA(MATCH(AF$2,Inputs!$K$4:$AJ$4,0)),NA(),IF(SUMPRODUCT((Inputs!$A$5:$A$120=$B59)*ISNUMBER(INDEX(Inputs!$K$5:$AJ$120,0,MATCH(AF$2,Inputs!$K$4:$AJ$4,0))))+SUMPRODUCT((Inputs!$C$5:$C$120=$B59)*ISNUMBER(INDEX(Inputs!$K$5:$AJ$120,0,MATCH(AF$2,Inputs!$K$4:$AJ$4,0))))+SUMPRODUCT((Inputs!$E$5:$E$120=$B59)*ISNUMBER(INDEX(Inputs!$K$5:$AJ$120,0,MATCH(AF$2,Inputs!$K$4:$AJ$4,0))))=0,NA(),SUMPRODUCT((Inputs!$A$5:$A$120=$B59)*Inputs!$B$5:$B$120*(((Inputs!$G$5:$G$120="moeda")+(Inputs!$G$5:$G$120="acoes"))*Inputs!$B$1+((Inputs!$G$5:$G$120&lt;&gt;"moeda")*(Inputs!$G$5:$G$120&lt;&gt;"acoes")))*INDEX(Inputs!$K$5:$AJ$120,0,MATCH(AF$2,Inputs!$K$4:$AJ$4,0)))+SUMPRODUCT((Inputs!$C$5:$C$120=$B59)*Inputs!$D$5:$D$120*(((Inputs!$G$5:$G$120="moeda")+(Inputs!$G$5:$G$120="acoes"))*Inputs!$B$1+((Inputs!$G$5:$G$120&lt;&gt;"moeda")*(Inputs!$G$5:$G$120&lt;&gt;"acoes")))*INDEX(Inputs!$K$5:$AJ$120,0,MATCH(AF$2,Inputs!$K$4:$AJ$4,0)))+SUMPRODUCT((Inputs!$E$5:$E$120=$B59)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59" s="514" t="e">
        <f>SUM(AC59:AF59)</f>
        <v>#N/A</v>
      </c>
      <c r="AH59" s="513">
        <f>IF(ISNA(MATCH(AH$2,Inputs!$K$4:$AJ$4,0)),NA(),IF(SUMPRODUCT((Inputs!$A$5:$A$120=$B59)*ISNUMBER(INDEX(Inputs!$K$5:$AJ$120,0,MATCH(AH$2,Inputs!$K$4:$AJ$4,0))))+SUMPRODUCT((Inputs!$C$5:$C$120=$B59)*ISNUMBER(INDEX(Inputs!$K$5:$AJ$120,0,MATCH(AH$2,Inputs!$K$4:$AJ$4,0))))+SUMPRODUCT((Inputs!$E$5:$E$120=$B59)*ISNUMBER(INDEX(Inputs!$K$5:$AJ$120,0,MATCH(AH$2,Inputs!$K$4:$AJ$4,0))))=0,NA(),SUMPRODUCT((Inputs!$A$5:$A$120=$B59)*Inputs!$B$5:$B$120*(((Inputs!$G$5:$G$120="moeda")+(Inputs!$G$5:$G$120="acoes"))*Inputs!$B$1+((Inputs!$G$5:$G$120&lt;&gt;"moeda")*(Inputs!$G$5:$G$120&lt;&gt;"acoes")))*INDEX(Inputs!$K$5:$AJ$120,0,MATCH(AH$2,Inputs!$K$4:$AJ$4,0)))+SUMPRODUCT((Inputs!$C$5:$C$120=$B59)*Inputs!$D$5:$D$120*(((Inputs!$G$5:$G$120="moeda")+(Inputs!$G$5:$G$120="acoes"))*Inputs!$B$1+((Inputs!$G$5:$G$120&lt;&gt;"moeda")*(Inputs!$G$5:$G$120&lt;&gt;"acoes")))*INDEX(Inputs!$K$5:$AJ$120,0,MATCH(AH$2,Inputs!$K$4:$AJ$4,0)))+SUMPRODUCT((Inputs!$E$5:$E$120=$B59)*Inputs!$F$5:$F$120*(((Inputs!$G$5:$G$120="moeda")+(Inputs!$G$5:$G$120="acoes"))*Inputs!$B$1+((Inputs!$G$5:$G$120&lt;&gt;"moeda")*(Inputs!$G$5:$G$120&lt;&gt;"acoes")))*INDEX(Inputs!$K$5:$AJ$120,0,MATCH(AH$2,Inputs!$K$4:$AJ$4,0)))))</f>
        <v>1123</v>
      </c>
      <c r="AI59" s="513">
        <f>IF(ISNA(MATCH(AI$2,Inputs!$K$4:$AJ$4,0)),NA(),IF(SUMPRODUCT((Inputs!$A$5:$A$120=$B59)*ISNUMBER(INDEX(Inputs!$K$5:$AJ$120,0,MATCH(AI$2,Inputs!$K$4:$AJ$4,0))))+SUMPRODUCT((Inputs!$C$5:$C$120=$B59)*ISNUMBER(INDEX(Inputs!$K$5:$AJ$120,0,MATCH(AI$2,Inputs!$K$4:$AJ$4,0))))+SUMPRODUCT((Inputs!$E$5:$E$120=$B59)*ISNUMBER(INDEX(Inputs!$K$5:$AJ$120,0,MATCH(AI$2,Inputs!$K$4:$AJ$4,0))))=0,NA(),SUMPRODUCT((Inputs!$A$5:$A$120=$B59)*Inputs!$B$5:$B$120*(((Inputs!$G$5:$G$120="moeda")+(Inputs!$G$5:$G$120="acoes"))*Inputs!$B$1+((Inputs!$G$5:$G$120&lt;&gt;"moeda")*(Inputs!$G$5:$G$120&lt;&gt;"acoes")))*INDEX(Inputs!$K$5:$AJ$120,0,MATCH(AI$2,Inputs!$K$4:$AJ$4,0)))+SUMPRODUCT((Inputs!$C$5:$C$120=$B59)*Inputs!$D$5:$D$120*(((Inputs!$G$5:$G$120="moeda")+(Inputs!$G$5:$G$120="acoes"))*Inputs!$B$1+((Inputs!$G$5:$G$120&lt;&gt;"moeda")*(Inputs!$G$5:$G$120&lt;&gt;"acoes")))*INDEX(Inputs!$K$5:$AJ$120,0,MATCH(AI$2,Inputs!$K$4:$AJ$4,0)))+SUMPRODUCT((Inputs!$E$5:$E$120=$B59)*Inputs!$F$5:$F$120*(((Inputs!$G$5:$G$120="moeda")+(Inputs!$G$5:$G$120="acoes"))*Inputs!$B$1+((Inputs!$G$5:$G$120&lt;&gt;"moeda")*(Inputs!$G$5:$G$120&lt;&gt;"acoes")))*INDEX(Inputs!$K$5:$AJ$120,0,MATCH(AI$2,Inputs!$K$4:$AJ$4,0)))))</f>
        <v>1114</v>
      </c>
      <c r="AJ59" s="513">
        <f>IF(ISNA(MATCH(AJ$2,Inputs!$K$4:$AJ$4,0)),NA(),IF(SUMPRODUCT((Inputs!$A$5:$A$120=$B59)*ISNUMBER(INDEX(Inputs!$K$5:$AJ$120,0,MATCH(AJ$2,Inputs!$K$4:$AJ$4,0))))+SUMPRODUCT((Inputs!$C$5:$C$120=$B59)*ISNUMBER(INDEX(Inputs!$K$5:$AJ$120,0,MATCH(AJ$2,Inputs!$K$4:$AJ$4,0))))+SUMPRODUCT((Inputs!$E$5:$E$120=$B59)*ISNUMBER(INDEX(Inputs!$K$5:$AJ$120,0,MATCH(AJ$2,Inputs!$K$4:$AJ$4,0))))=0,NA(),SUMPRODUCT((Inputs!$A$5:$A$120=$B59)*Inputs!$B$5:$B$120*(((Inputs!$G$5:$G$120="moeda")+(Inputs!$G$5:$G$120="acoes"))*Inputs!$B$1+((Inputs!$G$5:$G$120&lt;&gt;"moeda")*(Inputs!$G$5:$G$120&lt;&gt;"acoes")))*INDEX(Inputs!$K$5:$AJ$120,0,MATCH(AJ$2,Inputs!$K$4:$AJ$4,0)))+SUMPRODUCT((Inputs!$C$5:$C$120=$B59)*Inputs!$D$5:$D$120*(((Inputs!$G$5:$G$120="moeda")+(Inputs!$G$5:$G$120="acoes"))*Inputs!$B$1+((Inputs!$G$5:$G$120&lt;&gt;"moeda")*(Inputs!$G$5:$G$120&lt;&gt;"acoes")))*INDEX(Inputs!$K$5:$AJ$120,0,MATCH(AJ$2,Inputs!$K$4:$AJ$4,0)))+SUMPRODUCT((Inputs!$E$5:$E$120=$B59)*Inputs!$F$5:$F$120*(((Inputs!$G$5:$G$120="moeda")+(Inputs!$G$5:$G$120="acoes"))*Inputs!$B$1+((Inputs!$G$5:$G$120&lt;&gt;"moeda")*(Inputs!$G$5:$G$120&lt;&gt;"acoes")))*INDEX(Inputs!$K$5:$AJ$120,0,MATCH(AJ$2,Inputs!$K$4:$AJ$4,0)))))</f>
        <v>1278</v>
      </c>
      <c r="AK59" s="513">
        <f>IF(ISNA(MATCH(AK$2,Inputs!$K$4:$AJ$4,0)),NA(),IF(SUMPRODUCT((Inputs!$A$5:$A$120=$B59)*ISNUMBER(INDEX(Inputs!$K$5:$AJ$120,0,MATCH(AK$2,Inputs!$K$4:$AJ$4,0))))+SUMPRODUCT((Inputs!$C$5:$C$120=$B59)*ISNUMBER(INDEX(Inputs!$K$5:$AJ$120,0,MATCH(AK$2,Inputs!$K$4:$AJ$4,0))))+SUMPRODUCT((Inputs!$E$5:$E$120=$B59)*ISNUMBER(INDEX(Inputs!$K$5:$AJ$120,0,MATCH(AK$2,Inputs!$K$4:$AJ$4,0))))=0,NA(),SUMPRODUCT((Inputs!$A$5:$A$120=$B59)*Inputs!$B$5:$B$120*(((Inputs!$G$5:$G$120="moeda")+(Inputs!$G$5:$G$120="acoes"))*Inputs!$B$1+((Inputs!$G$5:$G$120&lt;&gt;"moeda")*(Inputs!$G$5:$G$120&lt;&gt;"acoes")))*INDEX(Inputs!$K$5:$AJ$120,0,MATCH(AK$2,Inputs!$K$4:$AJ$4,0)))+SUMPRODUCT((Inputs!$C$5:$C$120=$B59)*Inputs!$D$5:$D$120*(((Inputs!$G$5:$G$120="moeda")+(Inputs!$G$5:$G$120="acoes"))*Inputs!$B$1+((Inputs!$G$5:$G$120&lt;&gt;"moeda")*(Inputs!$G$5:$G$120&lt;&gt;"acoes")))*INDEX(Inputs!$K$5:$AJ$120,0,MATCH(AK$2,Inputs!$K$4:$AJ$4,0)))+SUMPRODUCT((Inputs!$E$5:$E$120=$B59)*Inputs!$F$5:$F$120*(((Inputs!$G$5:$G$120="moeda")+(Inputs!$G$5:$G$120="acoes"))*Inputs!$B$1+((Inputs!$G$5:$G$120&lt;&gt;"moeda")*(Inputs!$G$5:$G$120&lt;&gt;"acoes")))*INDEX(Inputs!$K$5:$AJ$120,0,MATCH(AK$2,Inputs!$K$4:$AJ$4,0)))))</f>
        <v>1299</v>
      </c>
      <c r="AL59" s="514">
        <f>SUM(AH59:AK59)</f>
        <v>4814</v>
      </c>
    </row>
    <row r="60">
      <c r="B60" s="265" t="n">
        <v>52</v>
      </c>
      <c r="C60" s="266" t="inlineStr">
        <is>
          <t>Rod &amp; Refining - lucro do segmento (USD)</t>
        </is>
      </c>
      <c r="D60" s="513">
        <f>IF(ISNA(MATCH(D$2,Inputs!$K$4:$AJ$4,0)),NA(),IF(SUMPRODUCT((Inputs!$A$5:$A$120=$B60)*ISNUMBER(INDEX(Inputs!$K$5:$AJ$120,0,MATCH(D$2,Inputs!$K$4:$AJ$4,0))))+SUMPRODUCT((Inputs!$C$5:$C$120=$B60)*ISNUMBER(INDEX(Inputs!$K$5:$AJ$120,0,MATCH(D$2,Inputs!$K$4:$AJ$4,0))))+SUMPRODUCT((Inputs!$E$5:$E$120=$B60)*ISNUMBER(INDEX(Inputs!$K$5:$AJ$120,0,MATCH(D$2,Inputs!$K$4:$AJ$4,0))))=0,NA(),SUMPRODUCT((Inputs!$A$5:$A$120=$B60)*Inputs!$B$5:$B$120*(((Inputs!$G$5:$G$120="moeda")+(Inputs!$G$5:$G$120="acoes"))*Inputs!$B$1+((Inputs!$G$5:$G$120&lt;&gt;"moeda")*(Inputs!$G$5:$G$120&lt;&gt;"acoes")))*INDEX(Inputs!$K$5:$AJ$120,0,MATCH(D$2,Inputs!$K$4:$AJ$4,0)))+SUMPRODUCT((Inputs!$C$5:$C$120=$B60)*Inputs!$D$5:$D$120*(((Inputs!$G$5:$G$120="moeda")+(Inputs!$G$5:$G$120="acoes"))*Inputs!$B$1+((Inputs!$G$5:$G$120&lt;&gt;"moeda")*(Inputs!$G$5:$G$120&lt;&gt;"acoes")))*INDEX(Inputs!$K$5:$AJ$120,0,MATCH(D$2,Inputs!$K$4:$AJ$4,0)))+SUMPRODUCT((Inputs!$E$5:$E$120=$B60)*Inputs!$F$5:$F$120*(((Inputs!$G$5:$G$120="moeda")+(Inputs!$G$5:$G$120="acoes"))*Inputs!$B$1+((Inputs!$G$5:$G$120&lt;&gt;"moeda")*(Inputs!$G$5:$G$120&lt;&gt;"acoes")))*INDEX(Inputs!$K$5:$AJ$120,0,MATCH(D$2,Inputs!$K$4:$AJ$4,0)))))</f>
        <v>-1</v>
      </c>
      <c r="E60" s="513">
        <f>IF(ISNA(MATCH(E$2,Inputs!$K$4:$AJ$4,0)),NA(),IF(SUMPRODUCT((Inputs!$A$5:$A$120=$B60)*ISNUMBER(INDEX(Inputs!$K$5:$AJ$120,0,MATCH(E$2,Inputs!$K$4:$AJ$4,0))))+SUMPRODUCT((Inputs!$C$5:$C$120=$B60)*ISNUMBER(INDEX(Inputs!$K$5:$AJ$120,0,MATCH(E$2,Inputs!$K$4:$AJ$4,0))))+SUMPRODUCT((Inputs!$E$5:$E$120=$B60)*ISNUMBER(INDEX(Inputs!$K$5:$AJ$120,0,MATCH(E$2,Inputs!$K$4:$AJ$4,0))))=0,NA(),SUMPRODUCT((Inputs!$A$5:$A$120=$B60)*Inputs!$B$5:$B$120*(((Inputs!$G$5:$G$120="moeda")+(Inputs!$G$5:$G$120="acoes"))*Inputs!$B$1+((Inputs!$G$5:$G$120&lt;&gt;"moeda")*(Inputs!$G$5:$G$120&lt;&gt;"acoes")))*INDEX(Inputs!$K$5:$AJ$120,0,MATCH(E$2,Inputs!$K$4:$AJ$4,0)))+SUMPRODUCT((Inputs!$C$5:$C$120=$B60)*Inputs!$D$5:$D$120*(((Inputs!$G$5:$G$120="moeda")+(Inputs!$G$5:$G$120="acoes"))*Inputs!$B$1+((Inputs!$G$5:$G$120&lt;&gt;"moeda")*(Inputs!$G$5:$G$120&lt;&gt;"acoes")))*INDEX(Inputs!$K$5:$AJ$120,0,MATCH(E$2,Inputs!$K$4:$AJ$4,0)))+SUMPRODUCT((Inputs!$E$5:$E$120=$B60)*Inputs!$F$5:$F$120*(((Inputs!$G$5:$G$120="moeda")+(Inputs!$G$5:$G$120="acoes"))*Inputs!$B$1+((Inputs!$G$5:$G$120&lt;&gt;"moeda")*(Inputs!$G$5:$G$120&lt;&gt;"acoes")))*INDEX(Inputs!$K$5:$AJ$120,0,MATCH(E$2,Inputs!$K$4:$AJ$4,0)))))</f>
        <v>3</v>
      </c>
      <c r="F60" s="513">
        <f>IF(ISNA(MATCH(F$2,Inputs!$K$4:$AJ$4,0)),NA(),IF(SUMPRODUCT((Inputs!$A$5:$A$120=$B60)*ISNUMBER(INDEX(Inputs!$K$5:$AJ$120,0,MATCH(F$2,Inputs!$K$4:$AJ$4,0))))+SUMPRODUCT((Inputs!$C$5:$C$120=$B60)*ISNUMBER(INDEX(Inputs!$K$5:$AJ$120,0,MATCH(F$2,Inputs!$K$4:$AJ$4,0))))+SUMPRODUCT((Inputs!$E$5:$E$120=$B60)*ISNUMBER(INDEX(Inputs!$K$5:$AJ$120,0,MATCH(F$2,Inputs!$K$4:$AJ$4,0))))=0,NA(),SUMPRODUCT((Inputs!$A$5:$A$120=$B60)*Inputs!$B$5:$B$120*(((Inputs!$G$5:$G$120="moeda")+(Inputs!$G$5:$G$120="acoes"))*Inputs!$B$1+((Inputs!$G$5:$G$120&lt;&gt;"moeda")*(Inputs!$G$5:$G$120&lt;&gt;"acoes")))*INDEX(Inputs!$K$5:$AJ$120,0,MATCH(F$2,Inputs!$K$4:$AJ$4,0)))+SUMPRODUCT((Inputs!$C$5:$C$120=$B60)*Inputs!$D$5:$D$120*(((Inputs!$G$5:$G$120="moeda")+(Inputs!$G$5:$G$120="acoes"))*Inputs!$B$1+((Inputs!$G$5:$G$120&lt;&gt;"moeda")*(Inputs!$G$5:$G$120&lt;&gt;"acoes")))*INDEX(Inputs!$K$5:$AJ$120,0,MATCH(F$2,Inputs!$K$4:$AJ$4,0)))+SUMPRODUCT((Inputs!$E$5:$E$120=$B60)*Inputs!$F$5:$F$120*(((Inputs!$G$5:$G$120="moeda")+(Inputs!$G$5:$G$120="acoes"))*Inputs!$B$1+((Inputs!$G$5:$G$120&lt;&gt;"moeda")*(Inputs!$G$5:$G$120&lt;&gt;"acoes")))*INDEX(Inputs!$K$5:$AJ$120,0,MATCH(F$2,Inputs!$K$4:$AJ$4,0)))))</f>
        <v>2</v>
      </c>
      <c r="G60" s="513">
        <f>IF(ISNA(MATCH(G$2,Inputs!$K$4:$AJ$4,0)),NA(),IF(SUMPRODUCT((Inputs!$A$5:$A$120=$B60)*ISNUMBER(INDEX(Inputs!$K$5:$AJ$120,0,MATCH(G$2,Inputs!$K$4:$AJ$4,0))))+SUMPRODUCT((Inputs!$C$5:$C$120=$B60)*ISNUMBER(INDEX(Inputs!$K$5:$AJ$120,0,MATCH(G$2,Inputs!$K$4:$AJ$4,0))))+SUMPRODUCT((Inputs!$E$5:$E$120=$B60)*ISNUMBER(INDEX(Inputs!$K$5:$AJ$120,0,MATCH(G$2,Inputs!$K$4:$AJ$4,0))))=0,NA(),SUMPRODUCT((Inputs!$A$5:$A$120=$B60)*Inputs!$B$5:$B$120*(((Inputs!$G$5:$G$120="moeda")+(Inputs!$G$5:$G$120="acoes"))*Inputs!$B$1+((Inputs!$G$5:$G$120&lt;&gt;"moeda")*(Inputs!$G$5:$G$120&lt;&gt;"acoes")))*INDEX(Inputs!$K$5:$AJ$120,0,MATCH(G$2,Inputs!$K$4:$AJ$4,0)))+SUMPRODUCT((Inputs!$C$5:$C$120=$B60)*Inputs!$D$5:$D$120*(((Inputs!$G$5:$G$120="moeda")+(Inputs!$G$5:$G$120="acoes"))*Inputs!$B$1+((Inputs!$G$5:$G$120&lt;&gt;"moeda")*(Inputs!$G$5:$G$120&lt;&gt;"acoes")))*INDEX(Inputs!$K$5:$AJ$120,0,MATCH(G$2,Inputs!$K$4:$AJ$4,0)))+SUMPRODUCT((Inputs!$E$5:$E$120=$B60)*Inputs!$F$5:$F$120*(((Inputs!$G$5:$G$120="moeda")+(Inputs!$G$5:$G$120="acoes"))*Inputs!$B$1+((Inputs!$G$5:$G$120&lt;&gt;"moeda")*(Inputs!$G$5:$G$120&lt;&gt;"acoes")))*INDEX(Inputs!$K$5:$AJ$120,0,MATCH(G$2,Inputs!$K$4:$AJ$4,0)))))</f>
        <v>-5</v>
      </c>
      <c r="H60" s="514">
        <f>SUM(D60:G60)</f>
        <v>-1</v>
      </c>
      <c r="I60" s="513">
        <f>IF(ISNA(MATCH(I$2,Inputs!$K$4:$AJ$4,0)),NA(),IF(SUMPRODUCT((Inputs!$A$5:$A$120=$B60)*ISNUMBER(INDEX(Inputs!$K$5:$AJ$120,0,MATCH(I$2,Inputs!$K$4:$AJ$4,0))))+SUMPRODUCT((Inputs!$C$5:$C$120=$B60)*ISNUMBER(INDEX(Inputs!$K$5:$AJ$120,0,MATCH(I$2,Inputs!$K$4:$AJ$4,0))))+SUMPRODUCT((Inputs!$E$5:$E$120=$B60)*ISNUMBER(INDEX(Inputs!$K$5:$AJ$120,0,MATCH(I$2,Inputs!$K$4:$AJ$4,0))))=0,NA(),SUMPRODUCT((Inputs!$A$5:$A$120=$B60)*Inputs!$B$5:$B$120*(((Inputs!$G$5:$G$120="moeda")+(Inputs!$G$5:$G$120="acoes"))*Inputs!$B$1+((Inputs!$G$5:$G$120&lt;&gt;"moeda")*(Inputs!$G$5:$G$120&lt;&gt;"acoes")))*INDEX(Inputs!$K$5:$AJ$120,0,MATCH(I$2,Inputs!$K$4:$AJ$4,0)))+SUMPRODUCT((Inputs!$C$5:$C$120=$B60)*Inputs!$D$5:$D$120*(((Inputs!$G$5:$G$120="moeda")+(Inputs!$G$5:$G$120="acoes"))*Inputs!$B$1+((Inputs!$G$5:$G$120&lt;&gt;"moeda")*(Inputs!$G$5:$G$120&lt;&gt;"acoes")))*INDEX(Inputs!$K$5:$AJ$120,0,MATCH(I$2,Inputs!$K$4:$AJ$4,0)))+SUMPRODUCT((Inputs!$E$5:$E$120=$B60)*Inputs!$F$5:$F$120*(((Inputs!$G$5:$G$120="moeda")+(Inputs!$G$5:$G$120="acoes"))*Inputs!$B$1+((Inputs!$G$5:$G$120&lt;&gt;"moeda")*(Inputs!$G$5:$G$120&lt;&gt;"acoes")))*INDEX(Inputs!$K$5:$AJ$120,0,MATCH(I$2,Inputs!$K$4:$AJ$4,0)))))</f>
        <v>-3</v>
      </c>
      <c r="J60" s="513">
        <f>IF(ISNA(MATCH(J$2,Inputs!$K$4:$AJ$4,0)),NA(),IF(SUMPRODUCT((Inputs!$A$5:$A$120=$B60)*ISNUMBER(INDEX(Inputs!$K$5:$AJ$120,0,MATCH(J$2,Inputs!$K$4:$AJ$4,0))))+SUMPRODUCT((Inputs!$C$5:$C$120=$B60)*ISNUMBER(INDEX(Inputs!$K$5:$AJ$120,0,MATCH(J$2,Inputs!$K$4:$AJ$4,0))))+SUMPRODUCT((Inputs!$E$5:$E$120=$B60)*ISNUMBER(INDEX(Inputs!$K$5:$AJ$120,0,MATCH(J$2,Inputs!$K$4:$AJ$4,0))))=0,NA(),SUMPRODUCT((Inputs!$A$5:$A$120=$B60)*Inputs!$B$5:$B$120*(((Inputs!$G$5:$G$120="moeda")+(Inputs!$G$5:$G$120="acoes"))*Inputs!$B$1+((Inputs!$G$5:$G$120&lt;&gt;"moeda")*(Inputs!$G$5:$G$120&lt;&gt;"acoes")))*INDEX(Inputs!$K$5:$AJ$120,0,MATCH(J$2,Inputs!$K$4:$AJ$4,0)))+SUMPRODUCT((Inputs!$C$5:$C$120=$B60)*Inputs!$D$5:$D$120*(((Inputs!$G$5:$G$120="moeda")+(Inputs!$G$5:$G$120="acoes"))*Inputs!$B$1+((Inputs!$G$5:$G$120&lt;&gt;"moeda")*(Inputs!$G$5:$G$120&lt;&gt;"acoes")))*INDEX(Inputs!$K$5:$AJ$120,0,MATCH(J$2,Inputs!$K$4:$AJ$4,0)))+SUMPRODUCT((Inputs!$E$5:$E$120=$B60)*Inputs!$F$5:$F$120*(((Inputs!$G$5:$G$120="moeda")+(Inputs!$G$5:$G$120="acoes"))*Inputs!$B$1+((Inputs!$G$5:$G$120&lt;&gt;"moeda")*(Inputs!$G$5:$G$120&lt;&gt;"acoes")))*INDEX(Inputs!$K$5:$AJ$120,0,MATCH(J$2,Inputs!$K$4:$AJ$4,0)))))</f>
        <v>-5</v>
      </c>
      <c r="K60" s="513">
        <f>IF(ISNA(MATCH(K$2,Inputs!$K$4:$AJ$4,0)),NA(),IF(SUMPRODUCT((Inputs!$A$5:$A$120=$B60)*ISNUMBER(INDEX(Inputs!$K$5:$AJ$120,0,MATCH(K$2,Inputs!$K$4:$AJ$4,0))))+SUMPRODUCT((Inputs!$C$5:$C$120=$B60)*ISNUMBER(INDEX(Inputs!$K$5:$AJ$120,0,MATCH(K$2,Inputs!$K$4:$AJ$4,0))))+SUMPRODUCT((Inputs!$E$5:$E$120=$B60)*ISNUMBER(INDEX(Inputs!$K$5:$AJ$120,0,MATCH(K$2,Inputs!$K$4:$AJ$4,0))))=0,NA(),SUMPRODUCT((Inputs!$A$5:$A$120=$B60)*Inputs!$B$5:$B$120*(((Inputs!$G$5:$G$120="moeda")+(Inputs!$G$5:$G$120="acoes"))*Inputs!$B$1+((Inputs!$G$5:$G$120&lt;&gt;"moeda")*(Inputs!$G$5:$G$120&lt;&gt;"acoes")))*INDEX(Inputs!$K$5:$AJ$120,0,MATCH(K$2,Inputs!$K$4:$AJ$4,0)))+SUMPRODUCT((Inputs!$C$5:$C$120=$B60)*Inputs!$D$5:$D$120*(((Inputs!$G$5:$G$120="moeda")+(Inputs!$G$5:$G$120="acoes"))*Inputs!$B$1+((Inputs!$G$5:$G$120&lt;&gt;"moeda")*(Inputs!$G$5:$G$120&lt;&gt;"acoes")))*INDEX(Inputs!$K$5:$AJ$120,0,MATCH(K$2,Inputs!$K$4:$AJ$4,0)))+SUMPRODUCT((Inputs!$E$5:$E$120=$B60)*Inputs!$F$5:$F$120*(((Inputs!$G$5:$G$120="moeda")+(Inputs!$G$5:$G$120="acoes"))*Inputs!$B$1+((Inputs!$G$5:$G$120&lt;&gt;"moeda")*(Inputs!$G$5:$G$120&lt;&gt;"acoes")))*INDEX(Inputs!$K$5:$AJ$120,0,MATCH(K$2,Inputs!$K$4:$AJ$4,0)))))</f>
        <v>-8</v>
      </c>
      <c r="L60" s="513">
        <f>IF(ISNA(MATCH(L$2,Inputs!$K$4:$AJ$4,0)),NA(),IF(SUMPRODUCT((Inputs!$A$5:$A$120=$B60)*ISNUMBER(INDEX(Inputs!$K$5:$AJ$120,0,MATCH(L$2,Inputs!$K$4:$AJ$4,0))))+SUMPRODUCT((Inputs!$C$5:$C$120=$B60)*ISNUMBER(INDEX(Inputs!$K$5:$AJ$120,0,MATCH(L$2,Inputs!$K$4:$AJ$4,0))))+SUMPRODUCT((Inputs!$E$5:$E$120=$B60)*ISNUMBER(INDEX(Inputs!$K$5:$AJ$120,0,MATCH(L$2,Inputs!$K$4:$AJ$4,0))))=0,NA(),SUMPRODUCT((Inputs!$A$5:$A$120=$B60)*Inputs!$B$5:$B$120*(((Inputs!$G$5:$G$120="moeda")+(Inputs!$G$5:$G$120="acoes"))*Inputs!$B$1+((Inputs!$G$5:$G$120&lt;&gt;"moeda")*(Inputs!$G$5:$G$120&lt;&gt;"acoes")))*INDEX(Inputs!$K$5:$AJ$120,0,MATCH(L$2,Inputs!$K$4:$AJ$4,0)))+SUMPRODUCT((Inputs!$C$5:$C$120=$B60)*Inputs!$D$5:$D$120*(((Inputs!$G$5:$G$120="moeda")+(Inputs!$G$5:$G$120="acoes"))*Inputs!$B$1+((Inputs!$G$5:$G$120&lt;&gt;"moeda")*(Inputs!$G$5:$G$120&lt;&gt;"acoes")))*INDEX(Inputs!$K$5:$AJ$120,0,MATCH(L$2,Inputs!$K$4:$AJ$4,0)))+SUMPRODUCT((Inputs!$E$5:$E$120=$B60)*Inputs!$F$5:$F$120*(((Inputs!$G$5:$G$120="moeda")+(Inputs!$G$5:$G$120="acoes"))*Inputs!$B$1+((Inputs!$G$5:$G$120&lt;&gt;"moeda")*(Inputs!$G$5:$G$120&lt;&gt;"acoes")))*INDEX(Inputs!$K$5:$AJ$120,0,MATCH(L$2,Inputs!$K$4:$AJ$4,0)))))</f>
        <v>-7</v>
      </c>
      <c r="M60" s="514">
        <f>SUM(I60:L60)</f>
        <v>-23</v>
      </c>
      <c r="N60" s="513">
        <f>IF(ISNA(MATCH(N$2,Inputs!$K$4:$AJ$4,0)),NA(),IF(SUMPRODUCT((Inputs!$A$5:$A$120=$B60)*ISNUMBER(INDEX(Inputs!$K$5:$AJ$120,0,MATCH(N$2,Inputs!$K$4:$AJ$4,0))))+SUMPRODUCT((Inputs!$C$5:$C$120=$B60)*ISNUMBER(INDEX(Inputs!$K$5:$AJ$120,0,MATCH(N$2,Inputs!$K$4:$AJ$4,0))))+SUMPRODUCT((Inputs!$E$5:$E$120=$B60)*ISNUMBER(INDEX(Inputs!$K$5:$AJ$120,0,MATCH(N$2,Inputs!$K$4:$AJ$4,0))))=0,NA(),SUMPRODUCT((Inputs!$A$5:$A$120=$B60)*Inputs!$B$5:$B$120*(((Inputs!$G$5:$G$120="moeda")+(Inputs!$G$5:$G$120="acoes"))*Inputs!$B$1+((Inputs!$G$5:$G$120&lt;&gt;"moeda")*(Inputs!$G$5:$G$120&lt;&gt;"acoes")))*INDEX(Inputs!$K$5:$AJ$120,0,MATCH(N$2,Inputs!$K$4:$AJ$4,0)))+SUMPRODUCT((Inputs!$C$5:$C$120=$B60)*Inputs!$D$5:$D$120*(((Inputs!$G$5:$G$120="moeda")+(Inputs!$G$5:$G$120="acoes"))*Inputs!$B$1+((Inputs!$G$5:$G$120&lt;&gt;"moeda")*(Inputs!$G$5:$G$120&lt;&gt;"acoes")))*INDEX(Inputs!$K$5:$AJ$120,0,MATCH(N$2,Inputs!$K$4:$AJ$4,0)))+SUMPRODUCT((Inputs!$E$5:$E$120=$B60)*Inputs!$F$5:$F$120*(((Inputs!$G$5:$G$120="moeda")+(Inputs!$G$5:$G$120="acoes"))*Inputs!$B$1+((Inputs!$G$5:$G$120&lt;&gt;"moeda")*(Inputs!$G$5:$G$120&lt;&gt;"acoes")))*INDEX(Inputs!$K$5:$AJ$120,0,MATCH(N$2,Inputs!$K$4:$AJ$4,0)))))</f>
        <v>1</v>
      </c>
      <c r="O60" s="513">
        <f>IF(ISNA(MATCH(O$2,Inputs!$K$4:$AJ$4,0)),NA(),IF(SUMPRODUCT((Inputs!$A$5:$A$120=$B60)*ISNUMBER(INDEX(Inputs!$K$5:$AJ$120,0,MATCH(O$2,Inputs!$K$4:$AJ$4,0))))+SUMPRODUCT((Inputs!$C$5:$C$120=$B60)*ISNUMBER(INDEX(Inputs!$K$5:$AJ$120,0,MATCH(O$2,Inputs!$K$4:$AJ$4,0))))+SUMPRODUCT((Inputs!$E$5:$E$120=$B60)*ISNUMBER(INDEX(Inputs!$K$5:$AJ$120,0,MATCH(O$2,Inputs!$K$4:$AJ$4,0))))=0,NA(),SUMPRODUCT((Inputs!$A$5:$A$120=$B60)*Inputs!$B$5:$B$120*(((Inputs!$G$5:$G$120="moeda")+(Inputs!$G$5:$G$120="acoes"))*Inputs!$B$1+((Inputs!$G$5:$G$120&lt;&gt;"moeda")*(Inputs!$G$5:$G$120&lt;&gt;"acoes")))*INDEX(Inputs!$K$5:$AJ$120,0,MATCH(O$2,Inputs!$K$4:$AJ$4,0)))+SUMPRODUCT((Inputs!$C$5:$C$120=$B60)*Inputs!$D$5:$D$120*(((Inputs!$G$5:$G$120="moeda")+(Inputs!$G$5:$G$120="acoes"))*Inputs!$B$1+((Inputs!$G$5:$G$120&lt;&gt;"moeda")*(Inputs!$G$5:$G$120&lt;&gt;"acoes")))*INDEX(Inputs!$K$5:$AJ$120,0,MATCH(O$2,Inputs!$K$4:$AJ$4,0)))+SUMPRODUCT((Inputs!$E$5:$E$120=$B60)*Inputs!$F$5:$F$120*(((Inputs!$G$5:$G$120="moeda")+(Inputs!$G$5:$G$120="acoes"))*Inputs!$B$1+((Inputs!$G$5:$G$120&lt;&gt;"moeda")*(Inputs!$G$5:$G$120&lt;&gt;"acoes")))*INDEX(Inputs!$K$5:$AJ$120,0,MATCH(O$2,Inputs!$K$4:$AJ$4,0)))))</f>
        <v>7</v>
      </c>
      <c r="P60" s="513">
        <f>IF(ISNA(MATCH(P$2,Inputs!$K$4:$AJ$4,0)),NA(),IF(SUMPRODUCT((Inputs!$A$5:$A$120=$B60)*ISNUMBER(INDEX(Inputs!$K$5:$AJ$120,0,MATCH(P$2,Inputs!$K$4:$AJ$4,0))))+SUMPRODUCT((Inputs!$C$5:$C$120=$B60)*ISNUMBER(INDEX(Inputs!$K$5:$AJ$120,0,MATCH(P$2,Inputs!$K$4:$AJ$4,0))))+SUMPRODUCT((Inputs!$E$5:$E$120=$B60)*ISNUMBER(INDEX(Inputs!$K$5:$AJ$120,0,MATCH(P$2,Inputs!$K$4:$AJ$4,0))))=0,NA(),SUMPRODUCT((Inputs!$A$5:$A$120=$B60)*Inputs!$B$5:$B$120*(((Inputs!$G$5:$G$120="moeda")+(Inputs!$G$5:$G$120="acoes"))*Inputs!$B$1+((Inputs!$G$5:$G$120&lt;&gt;"moeda")*(Inputs!$G$5:$G$120&lt;&gt;"acoes")))*INDEX(Inputs!$K$5:$AJ$120,0,MATCH(P$2,Inputs!$K$4:$AJ$4,0)))+SUMPRODUCT((Inputs!$C$5:$C$120=$B60)*Inputs!$D$5:$D$120*(((Inputs!$G$5:$G$120="moeda")+(Inputs!$G$5:$G$120="acoes"))*Inputs!$B$1+((Inputs!$G$5:$G$120&lt;&gt;"moeda")*(Inputs!$G$5:$G$120&lt;&gt;"acoes")))*INDEX(Inputs!$K$5:$AJ$120,0,MATCH(P$2,Inputs!$K$4:$AJ$4,0)))+SUMPRODUCT((Inputs!$E$5:$E$120=$B60)*Inputs!$F$5:$F$120*(((Inputs!$G$5:$G$120="moeda")+(Inputs!$G$5:$G$120="acoes"))*Inputs!$B$1+((Inputs!$G$5:$G$120&lt;&gt;"moeda")*(Inputs!$G$5:$G$120&lt;&gt;"acoes")))*INDEX(Inputs!$K$5:$AJ$120,0,MATCH(P$2,Inputs!$K$4:$AJ$4,0)))))</f>
        <v>10</v>
      </c>
      <c r="Q60" s="513">
        <f>IF(ISNA(MATCH(Q$2,Inputs!$K$4:$AJ$4,0)),NA(),IF(SUMPRODUCT((Inputs!$A$5:$A$120=$B60)*ISNUMBER(INDEX(Inputs!$K$5:$AJ$120,0,MATCH(Q$2,Inputs!$K$4:$AJ$4,0))))+SUMPRODUCT((Inputs!$C$5:$C$120=$B60)*ISNUMBER(INDEX(Inputs!$K$5:$AJ$120,0,MATCH(Q$2,Inputs!$K$4:$AJ$4,0))))+SUMPRODUCT((Inputs!$E$5:$E$120=$B60)*ISNUMBER(INDEX(Inputs!$K$5:$AJ$120,0,MATCH(Q$2,Inputs!$K$4:$AJ$4,0))))=0,NA(),SUMPRODUCT((Inputs!$A$5:$A$120=$B60)*Inputs!$B$5:$B$120*(((Inputs!$G$5:$G$120="moeda")+(Inputs!$G$5:$G$120="acoes"))*Inputs!$B$1+((Inputs!$G$5:$G$120&lt;&gt;"moeda")*(Inputs!$G$5:$G$120&lt;&gt;"acoes")))*INDEX(Inputs!$K$5:$AJ$120,0,MATCH(Q$2,Inputs!$K$4:$AJ$4,0)))+SUMPRODUCT((Inputs!$C$5:$C$120=$B60)*Inputs!$D$5:$D$120*(((Inputs!$G$5:$G$120="moeda")+(Inputs!$G$5:$G$120="acoes"))*Inputs!$B$1+((Inputs!$G$5:$G$120&lt;&gt;"moeda")*(Inputs!$G$5:$G$120&lt;&gt;"acoes")))*INDEX(Inputs!$K$5:$AJ$120,0,MATCH(Q$2,Inputs!$K$4:$AJ$4,0)))+SUMPRODUCT((Inputs!$E$5:$E$120=$B60)*Inputs!$F$5:$F$120*(((Inputs!$G$5:$G$120="moeda")+(Inputs!$G$5:$G$120="acoes"))*Inputs!$B$1+((Inputs!$G$5:$G$120&lt;&gt;"moeda")*(Inputs!$G$5:$G$120&lt;&gt;"acoes")))*INDEX(Inputs!$K$5:$AJ$120,0,MATCH(Q$2,Inputs!$K$4:$AJ$4,0)))))</f>
        <v>2</v>
      </c>
      <c r="R60" s="514">
        <f>SUM(N60:Q60)</f>
        <v>20</v>
      </c>
      <c r="S60" s="513">
        <f>IF(ISNA(MATCH(S$2,Inputs!$K$4:$AJ$4,0)),NA(),IF(SUMPRODUCT((Inputs!$A$5:$A$120=$B60)*ISNUMBER(INDEX(Inputs!$K$5:$AJ$120,0,MATCH(S$2,Inputs!$K$4:$AJ$4,0))))+SUMPRODUCT((Inputs!$C$5:$C$120=$B60)*ISNUMBER(INDEX(Inputs!$K$5:$AJ$120,0,MATCH(S$2,Inputs!$K$4:$AJ$4,0))))+SUMPRODUCT((Inputs!$E$5:$E$120=$B60)*ISNUMBER(INDEX(Inputs!$K$5:$AJ$120,0,MATCH(S$2,Inputs!$K$4:$AJ$4,0))))=0,NA(),SUMPRODUCT((Inputs!$A$5:$A$120=$B60)*Inputs!$B$5:$B$120*(((Inputs!$G$5:$G$120="moeda")+(Inputs!$G$5:$G$120="acoes"))*Inputs!$B$1+((Inputs!$G$5:$G$120&lt;&gt;"moeda")*(Inputs!$G$5:$G$120&lt;&gt;"acoes")))*INDEX(Inputs!$K$5:$AJ$120,0,MATCH(S$2,Inputs!$K$4:$AJ$4,0)))+SUMPRODUCT((Inputs!$C$5:$C$120=$B60)*Inputs!$D$5:$D$120*(((Inputs!$G$5:$G$120="moeda")+(Inputs!$G$5:$G$120="acoes"))*Inputs!$B$1+((Inputs!$G$5:$G$120&lt;&gt;"moeda")*(Inputs!$G$5:$G$120&lt;&gt;"acoes")))*INDEX(Inputs!$K$5:$AJ$120,0,MATCH(S$2,Inputs!$K$4:$AJ$4,0)))+SUMPRODUCT((Inputs!$E$5:$E$120=$B60)*Inputs!$F$5:$F$120*(((Inputs!$G$5:$G$120="moeda")+(Inputs!$G$5:$G$120="acoes"))*Inputs!$B$1+((Inputs!$G$5:$G$120&lt;&gt;"moeda")*(Inputs!$G$5:$G$120&lt;&gt;"acoes")))*INDEX(Inputs!$K$5:$AJ$120,0,MATCH(S$2,Inputs!$K$4:$AJ$4,0)))))</f>
        <v>11</v>
      </c>
      <c r="T60" s="513">
        <f>IF(ISNA(MATCH(T$2,Inputs!$K$4:$AJ$4,0)),NA(),IF(SUMPRODUCT((Inputs!$A$5:$A$120=$B60)*ISNUMBER(INDEX(Inputs!$K$5:$AJ$120,0,MATCH(T$2,Inputs!$K$4:$AJ$4,0))))+SUMPRODUCT((Inputs!$C$5:$C$120=$B60)*ISNUMBER(INDEX(Inputs!$K$5:$AJ$120,0,MATCH(T$2,Inputs!$K$4:$AJ$4,0))))+SUMPRODUCT((Inputs!$E$5:$E$120=$B60)*ISNUMBER(INDEX(Inputs!$K$5:$AJ$120,0,MATCH(T$2,Inputs!$K$4:$AJ$4,0))))=0,NA(),SUMPRODUCT((Inputs!$A$5:$A$120=$B60)*Inputs!$B$5:$B$120*(((Inputs!$G$5:$G$120="moeda")+(Inputs!$G$5:$G$120="acoes"))*Inputs!$B$1+((Inputs!$G$5:$G$120&lt;&gt;"moeda")*(Inputs!$G$5:$G$120&lt;&gt;"acoes")))*INDEX(Inputs!$K$5:$AJ$120,0,MATCH(T$2,Inputs!$K$4:$AJ$4,0)))+SUMPRODUCT((Inputs!$C$5:$C$120=$B60)*Inputs!$D$5:$D$120*(((Inputs!$G$5:$G$120="moeda")+(Inputs!$G$5:$G$120="acoes"))*Inputs!$B$1+((Inputs!$G$5:$G$120&lt;&gt;"moeda")*(Inputs!$G$5:$G$120&lt;&gt;"acoes")))*INDEX(Inputs!$K$5:$AJ$120,0,MATCH(T$2,Inputs!$K$4:$AJ$4,0)))+SUMPRODUCT((Inputs!$E$5:$E$120=$B60)*Inputs!$F$5:$F$120*(((Inputs!$G$5:$G$120="moeda")+(Inputs!$G$5:$G$120="acoes"))*Inputs!$B$1+((Inputs!$G$5:$G$120&lt;&gt;"moeda")*(Inputs!$G$5:$G$120&lt;&gt;"acoes")))*INDEX(Inputs!$K$5:$AJ$120,0,MATCH(T$2,Inputs!$K$4:$AJ$4,0)))))</f>
        <v>11</v>
      </c>
      <c r="U60" s="513">
        <f>IF(ISNA(MATCH(U$2,Inputs!$K$4:$AJ$4,0)),NA(),IF(SUMPRODUCT((Inputs!$A$5:$A$120=$B60)*ISNUMBER(INDEX(Inputs!$K$5:$AJ$120,0,MATCH(U$2,Inputs!$K$4:$AJ$4,0))))+SUMPRODUCT((Inputs!$C$5:$C$120=$B60)*ISNUMBER(INDEX(Inputs!$K$5:$AJ$120,0,MATCH(U$2,Inputs!$K$4:$AJ$4,0))))+SUMPRODUCT((Inputs!$E$5:$E$120=$B60)*ISNUMBER(INDEX(Inputs!$K$5:$AJ$120,0,MATCH(U$2,Inputs!$K$4:$AJ$4,0))))=0,NA(),SUMPRODUCT((Inputs!$A$5:$A$120=$B60)*Inputs!$B$5:$B$120*(((Inputs!$G$5:$G$120="moeda")+(Inputs!$G$5:$G$120="acoes"))*Inputs!$B$1+((Inputs!$G$5:$G$120&lt;&gt;"moeda")*(Inputs!$G$5:$G$120&lt;&gt;"acoes")))*INDEX(Inputs!$K$5:$AJ$120,0,MATCH(U$2,Inputs!$K$4:$AJ$4,0)))+SUMPRODUCT((Inputs!$C$5:$C$120=$B60)*Inputs!$D$5:$D$120*(((Inputs!$G$5:$G$120="moeda")+(Inputs!$G$5:$G$120="acoes"))*Inputs!$B$1+((Inputs!$G$5:$G$120&lt;&gt;"moeda")*(Inputs!$G$5:$G$120&lt;&gt;"acoes")))*INDEX(Inputs!$K$5:$AJ$120,0,MATCH(U$2,Inputs!$K$4:$AJ$4,0)))+SUMPRODUCT((Inputs!$E$5:$E$120=$B60)*Inputs!$F$5:$F$120*(((Inputs!$G$5:$G$120="moeda")+(Inputs!$G$5:$G$120="acoes"))*Inputs!$B$1+((Inputs!$G$5:$G$120&lt;&gt;"moeda")*(Inputs!$G$5:$G$120&lt;&gt;"acoes")))*INDEX(Inputs!$K$5:$AJ$120,0,MATCH(U$2,Inputs!$K$4:$AJ$4,0)))))</f>
        <v>7</v>
      </c>
      <c r="V60" s="513">
        <f>IF(ISNA(MATCH(V$2,Inputs!$K$4:$AJ$4,0)),NA(),IF(SUMPRODUCT((Inputs!$A$5:$A$120=$B60)*ISNUMBER(INDEX(Inputs!$K$5:$AJ$120,0,MATCH(V$2,Inputs!$K$4:$AJ$4,0))))+SUMPRODUCT((Inputs!$C$5:$C$120=$B60)*ISNUMBER(INDEX(Inputs!$K$5:$AJ$120,0,MATCH(V$2,Inputs!$K$4:$AJ$4,0))))+SUMPRODUCT((Inputs!$E$5:$E$120=$B60)*ISNUMBER(INDEX(Inputs!$K$5:$AJ$120,0,MATCH(V$2,Inputs!$K$4:$AJ$4,0))))=0,NA(),SUMPRODUCT((Inputs!$A$5:$A$120=$B60)*Inputs!$B$5:$B$120*(((Inputs!$G$5:$G$120="moeda")+(Inputs!$G$5:$G$120="acoes"))*Inputs!$B$1+((Inputs!$G$5:$G$120&lt;&gt;"moeda")*(Inputs!$G$5:$G$120&lt;&gt;"acoes")))*INDEX(Inputs!$K$5:$AJ$120,0,MATCH(V$2,Inputs!$K$4:$AJ$4,0)))+SUMPRODUCT((Inputs!$C$5:$C$120=$B60)*Inputs!$D$5:$D$120*(((Inputs!$G$5:$G$120="moeda")+(Inputs!$G$5:$G$120="acoes"))*Inputs!$B$1+((Inputs!$G$5:$G$120&lt;&gt;"moeda")*(Inputs!$G$5:$G$120&lt;&gt;"acoes")))*INDEX(Inputs!$K$5:$AJ$120,0,MATCH(V$2,Inputs!$K$4:$AJ$4,0)))+SUMPRODUCT((Inputs!$E$5:$E$120=$B60)*Inputs!$F$5:$F$120*(((Inputs!$G$5:$G$120="moeda")+(Inputs!$G$5:$G$120="acoes"))*Inputs!$B$1+((Inputs!$G$5:$G$120&lt;&gt;"moeda")*(Inputs!$G$5:$G$120&lt;&gt;"acoes")))*INDEX(Inputs!$K$5:$AJ$120,0,MATCH(V$2,Inputs!$K$4:$AJ$4,0)))))</f>
        <v>0</v>
      </c>
      <c r="W60" s="514">
        <f>SUM(S60:V60)</f>
        <v>29</v>
      </c>
      <c r="X60" s="513">
        <f>IF(ISNA(MATCH(X$2,Inputs!$K$4:$AJ$4,0)),NA(),IF(SUMPRODUCT((Inputs!$A$5:$A$120=$B60)*ISNUMBER(INDEX(Inputs!$K$5:$AJ$120,0,MATCH(X$2,Inputs!$K$4:$AJ$4,0))))+SUMPRODUCT((Inputs!$C$5:$C$120=$B60)*ISNUMBER(INDEX(Inputs!$K$5:$AJ$120,0,MATCH(X$2,Inputs!$K$4:$AJ$4,0))))+SUMPRODUCT((Inputs!$E$5:$E$120=$B60)*ISNUMBER(INDEX(Inputs!$K$5:$AJ$120,0,MATCH(X$2,Inputs!$K$4:$AJ$4,0))))=0,NA(),SUMPRODUCT((Inputs!$A$5:$A$120=$B60)*Inputs!$B$5:$B$120*(((Inputs!$G$5:$G$120="moeda")+(Inputs!$G$5:$G$120="acoes"))*Inputs!$B$1+((Inputs!$G$5:$G$120&lt;&gt;"moeda")*(Inputs!$G$5:$G$120&lt;&gt;"acoes")))*INDEX(Inputs!$K$5:$AJ$120,0,MATCH(X$2,Inputs!$K$4:$AJ$4,0)))+SUMPRODUCT((Inputs!$C$5:$C$120=$B60)*Inputs!$D$5:$D$120*(((Inputs!$G$5:$G$120="moeda")+(Inputs!$G$5:$G$120="acoes"))*Inputs!$B$1+((Inputs!$G$5:$G$120&lt;&gt;"moeda")*(Inputs!$G$5:$G$120&lt;&gt;"acoes")))*INDEX(Inputs!$K$5:$AJ$120,0,MATCH(X$2,Inputs!$K$4:$AJ$4,0)))+SUMPRODUCT((Inputs!$E$5:$E$120=$B60)*Inputs!$F$5:$F$120*(((Inputs!$G$5:$G$120="moeda")+(Inputs!$G$5:$G$120="acoes"))*Inputs!$B$1+((Inputs!$G$5:$G$120&lt;&gt;"moeda")*(Inputs!$G$5:$G$120&lt;&gt;"acoes")))*INDEX(Inputs!$K$5:$AJ$120,0,MATCH(X$2,Inputs!$K$4:$AJ$4,0)))))</f>
        <v>9</v>
      </c>
      <c r="Y60" s="513">
        <f>IF(ISNA(MATCH(Y$2,Inputs!$K$4:$AJ$4,0)),NA(),IF(SUMPRODUCT((Inputs!$A$5:$A$120=$B60)*ISNUMBER(INDEX(Inputs!$K$5:$AJ$120,0,MATCH(Y$2,Inputs!$K$4:$AJ$4,0))))+SUMPRODUCT((Inputs!$C$5:$C$120=$B60)*ISNUMBER(INDEX(Inputs!$K$5:$AJ$120,0,MATCH(Y$2,Inputs!$K$4:$AJ$4,0))))+SUMPRODUCT((Inputs!$E$5:$E$120=$B60)*ISNUMBER(INDEX(Inputs!$K$5:$AJ$120,0,MATCH(Y$2,Inputs!$K$4:$AJ$4,0))))=0,NA(),SUMPRODUCT((Inputs!$A$5:$A$120=$B60)*Inputs!$B$5:$B$120*(((Inputs!$G$5:$G$120="moeda")+(Inputs!$G$5:$G$120="acoes"))*Inputs!$B$1+((Inputs!$G$5:$G$120&lt;&gt;"moeda")*(Inputs!$G$5:$G$120&lt;&gt;"acoes")))*INDEX(Inputs!$K$5:$AJ$120,0,MATCH(Y$2,Inputs!$K$4:$AJ$4,0)))+SUMPRODUCT((Inputs!$C$5:$C$120=$B60)*Inputs!$D$5:$D$120*(((Inputs!$G$5:$G$120="moeda")+(Inputs!$G$5:$G$120="acoes"))*Inputs!$B$1+((Inputs!$G$5:$G$120&lt;&gt;"moeda")*(Inputs!$G$5:$G$120&lt;&gt;"acoes")))*INDEX(Inputs!$K$5:$AJ$120,0,MATCH(Y$2,Inputs!$K$4:$AJ$4,0)))+SUMPRODUCT((Inputs!$E$5:$E$120=$B60)*Inputs!$F$5:$F$120*(((Inputs!$G$5:$G$120="moeda")+(Inputs!$G$5:$G$120="acoes"))*Inputs!$B$1+((Inputs!$G$5:$G$120&lt;&gt;"moeda")*(Inputs!$G$5:$G$120&lt;&gt;"acoes")))*INDEX(Inputs!$K$5:$AJ$120,0,MATCH(Y$2,Inputs!$K$4:$AJ$4,0)))))</f>
        <v>7</v>
      </c>
      <c r="Z60" s="513">
        <f>IF(ISNA(MATCH(Z$2,Inputs!$K$4:$AJ$4,0)),NA(),IF(SUMPRODUCT((Inputs!$A$5:$A$120=$B60)*ISNUMBER(INDEX(Inputs!$K$5:$AJ$120,0,MATCH(Z$2,Inputs!$K$4:$AJ$4,0))))+SUMPRODUCT((Inputs!$C$5:$C$120=$B60)*ISNUMBER(INDEX(Inputs!$K$5:$AJ$120,0,MATCH(Z$2,Inputs!$K$4:$AJ$4,0))))+SUMPRODUCT((Inputs!$E$5:$E$120=$B60)*ISNUMBER(INDEX(Inputs!$K$5:$AJ$120,0,MATCH(Z$2,Inputs!$K$4:$AJ$4,0))))=0,NA(),SUMPRODUCT((Inputs!$A$5:$A$120=$B60)*Inputs!$B$5:$B$120*(((Inputs!$G$5:$G$120="moeda")+(Inputs!$G$5:$G$120="acoes"))*Inputs!$B$1+((Inputs!$G$5:$G$120&lt;&gt;"moeda")*(Inputs!$G$5:$G$120&lt;&gt;"acoes")))*INDEX(Inputs!$K$5:$AJ$120,0,MATCH(Z$2,Inputs!$K$4:$AJ$4,0)))+SUMPRODUCT((Inputs!$C$5:$C$120=$B60)*Inputs!$D$5:$D$120*(((Inputs!$G$5:$G$120="moeda")+(Inputs!$G$5:$G$120="acoes"))*Inputs!$B$1+((Inputs!$G$5:$G$120&lt;&gt;"moeda")*(Inputs!$G$5:$G$120&lt;&gt;"acoes")))*INDEX(Inputs!$K$5:$AJ$120,0,MATCH(Z$2,Inputs!$K$4:$AJ$4,0)))+SUMPRODUCT((Inputs!$E$5:$E$120=$B60)*Inputs!$F$5:$F$120*(((Inputs!$G$5:$G$120="moeda")+(Inputs!$G$5:$G$120="acoes"))*Inputs!$B$1+((Inputs!$G$5:$G$120&lt;&gt;"moeda")*(Inputs!$G$5:$G$120&lt;&gt;"acoes")))*INDEX(Inputs!$K$5:$AJ$120,0,MATCH(Z$2,Inputs!$K$4:$AJ$4,0)))))</f>
        <v>11</v>
      </c>
      <c r="AA60" s="513">
        <f>IF(ISNA(MATCH(AA$2,Inputs!$K$4:$AJ$4,0)),NA(),IF(SUMPRODUCT((Inputs!$A$5:$A$120=$B60)*ISNUMBER(INDEX(Inputs!$K$5:$AJ$120,0,MATCH(AA$2,Inputs!$K$4:$AJ$4,0))))+SUMPRODUCT((Inputs!$C$5:$C$120=$B60)*ISNUMBER(INDEX(Inputs!$K$5:$AJ$120,0,MATCH(AA$2,Inputs!$K$4:$AJ$4,0))))+SUMPRODUCT((Inputs!$E$5:$E$120=$B60)*ISNUMBER(INDEX(Inputs!$K$5:$AJ$120,0,MATCH(AA$2,Inputs!$K$4:$AJ$4,0))))=0,NA(),SUMPRODUCT((Inputs!$A$5:$A$120=$B60)*Inputs!$B$5:$B$120*(((Inputs!$G$5:$G$120="moeda")+(Inputs!$G$5:$G$120="acoes"))*Inputs!$B$1+((Inputs!$G$5:$G$120&lt;&gt;"moeda")*(Inputs!$G$5:$G$120&lt;&gt;"acoes")))*INDEX(Inputs!$K$5:$AJ$120,0,MATCH(AA$2,Inputs!$K$4:$AJ$4,0)))+SUMPRODUCT((Inputs!$C$5:$C$120=$B60)*Inputs!$D$5:$D$120*(((Inputs!$G$5:$G$120="moeda")+(Inputs!$G$5:$G$120="acoes"))*Inputs!$B$1+((Inputs!$G$5:$G$120&lt;&gt;"moeda")*(Inputs!$G$5:$G$120&lt;&gt;"acoes")))*INDEX(Inputs!$K$5:$AJ$120,0,MATCH(AA$2,Inputs!$K$4:$AJ$4,0)))+SUMPRODUCT((Inputs!$E$5:$E$120=$B60)*Inputs!$F$5:$F$120*(((Inputs!$G$5:$G$120="moeda")+(Inputs!$G$5:$G$120="acoes"))*Inputs!$B$1+((Inputs!$G$5:$G$120&lt;&gt;"moeda")*(Inputs!$G$5:$G$120&lt;&gt;"acoes")))*INDEX(Inputs!$K$5:$AJ$120,0,MATCH(AA$2,Inputs!$K$4:$AJ$4,0)))))</f>
        <v>4</v>
      </c>
      <c r="AB60" s="514">
        <f>SUM(X60:AA60)</f>
        <v>31</v>
      </c>
      <c r="AC60" s="513">
        <f>IF(ISNA(MATCH(AC$2,Inputs!$K$4:$AJ$4,0)),NA(),IF(SUMPRODUCT((Inputs!$A$5:$A$120=$B60)*ISNUMBER(INDEX(Inputs!$K$5:$AJ$120,0,MATCH(AC$2,Inputs!$K$4:$AJ$4,0))))+SUMPRODUCT((Inputs!$C$5:$C$120=$B60)*ISNUMBER(INDEX(Inputs!$K$5:$AJ$120,0,MATCH(AC$2,Inputs!$K$4:$AJ$4,0))))+SUMPRODUCT((Inputs!$E$5:$E$120=$B60)*ISNUMBER(INDEX(Inputs!$K$5:$AJ$120,0,MATCH(AC$2,Inputs!$K$4:$AJ$4,0))))=0,NA(),SUMPRODUCT((Inputs!$A$5:$A$120=$B60)*Inputs!$B$5:$B$120*(((Inputs!$G$5:$G$120="moeda")+(Inputs!$G$5:$G$120="acoes"))*Inputs!$B$1+((Inputs!$G$5:$G$120&lt;&gt;"moeda")*(Inputs!$G$5:$G$120&lt;&gt;"acoes")))*INDEX(Inputs!$K$5:$AJ$120,0,MATCH(AC$2,Inputs!$K$4:$AJ$4,0)))+SUMPRODUCT((Inputs!$C$5:$C$120=$B60)*Inputs!$D$5:$D$120*(((Inputs!$G$5:$G$120="moeda")+(Inputs!$G$5:$G$120="acoes"))*Inputs!$B$1+((Inputs!$G$5:$G$120&lt;&gt;"moeda")*(Inputs!$G$5:$G$120&lt;&gt;"acoes")))*INDEX(Inputs!$K$5:$AJ$120,0,MATCH(AC$2,Inputs!$K$4:$AJ$4,0)))+SUMPRODUCT((Inputs!$E$5:$E$120=$B60)*Inputs!$F$5:$F$120*(((Inputs!$G$5:$G$120="moeda")+(Inputs!$G$5:$G$120="acoes"))*Inputs!$B$1+((Inputs!$G$5:$G$120&lt;&gt;"moeda")*(Inputs!$G$5:$G$120&lt;&gt;"acoes")))*INDEX(Inputs!$K$5:$AJ$120,0,MATCH(AC$2,Inputs!$K$4:$AJ$4,0)))))</f>
        <v>15</v>
      </c>
      <c r="AD60" s="513">
        <f>IF(ISNA(MATCH(AD$2,Inputs!$K$4:$AJ$4,0)),NA(),IF(SUMPRODUCT((Inputs!$A$5:$A$120=$B60)*ISNUMBER(INDEX(Inputs!$K$5:$AJ$120,0,MATCH(AD$2,Inputs!$K$4:$AJ$4,0))))+SUMPRODUCT((Inputs!$C$5:$C$120=$B60)*ISNUMBER(INDEX(Inputs!$K$5:$AJ$120,0,MATCH(AD$2,Inputs!$K$4:$AJ$4,0))))+SUMPRODUCT((Inputs!$E$5:$E$120=$B60)*ISNUMBER(INDEX(Inputs!$K$5:$AJ$120,0,MATCH(AD$2,Inputs!$K$4:$AJ$4,0))))=0,NA(),SUMPRODUCT((Inputs!$A$5:$A$120=$B60)*Inputs!$B$5:$B$120*(((Inputs!$G$5:$G$120="moeda")+(Inputs!$G$5:$G$120="acoes"))*Inputs!$B$1+((Inputs!$G$5:$G$120&lt;&gt;"moeda")*(Inputs!$G$5:$G$120&lt;&gt;"acoes")))*INDEX(Inputs!$K$5:$AJ$120,0,MATCH(AD$2,Inputs!$K$4:$AJ$4,0)))+SUMPRODUCT((Inputs!$C$5:$C$120=$B60)*Inputs!$D$5:$D$120*(((Inputs!$G$5:$G$120="moeda")+(Inputs!$G$5:$G$120="acoes"))*Inputs!$B$1+((Inputs!$G$5:$G$120&lt;&gt;"moeda")*(Inputs!$G$5:$G$120&lt;&gt;"acoes")))*INDEX(Inputs!$K$5:$AJ$120,0,MATCH(AD$2,Inputs!$K$4:$AJ$4,0)))+SUMPRODUCT((Inputs!$E$5:$E$120=$B60)*Inputs!$F$5:$F$120*(((Inputs!$G$5:$G$120="moeda")+(Inputs!$G$5:$G$120="acoes"))*Inputs!$B$1+((Inputs!$G$5:$G$120&lt;&gt;"moeda")*(Inputs!$G$5:$G$120&lt;&gt;"acoes")))*INDEX(Inputs!$K$5:$AJ$120,0,MATCH(AD$2,Inputs!$K$4:$AJ$4,0)))))</f>
        <v>22</v>
      </c>
      <c r="AE60" s="513" t="e">
        <f>IF(ISNA(MATCH(AE$2,Inputs!$K$4:$AJ$4,0)),NA(),IF(SUMPRODUCT((Inputs!$A$5:$A$120=$B60)*ISNUMBER(INDEX(Inputs!$K$5:$AJ$120,0,MATCH(AE$2,Inputs!$K$4:$AJ$4,0))))+SUMPRODUCT((Inputs!$C$5:$C$120=$B60)*ISNUMBER(INDEX(Inputs!$K$5:$AJ$120,0,MATCH(AE$2,Inputs!$K$4:$AJ$4,0))))+SUMPRODUCT((Inputs!$E$5:$E$120=$B60)*ISNUMBER(INDEX(Inputs!$K$5:$AJ$120,0,MATCH(AE$2,Inputs!$K$4:$AJ$4,0))))=0,NA(),SUMPRODUCT((Inputs!$A$5:$A$120=$B60)*Inputs!$B$5:$B$120*(((Inputs!$G$5:$G$120="moeda")+(Inputs!$G$5:$G$120="acoes"))*Inputs!$B$1+((Inputs!$G$5:$G$120&lt;&gt;"moeda")*(Inputs!$G$5:$G$120&lt;&gt;"acoes")))*INDEX(Inputs!$K$5:$AJ$120,0,MATCH(AE$2,Inputs!$K$4:$AJ$4,0)))+SUMPRODUCT((Inputs!$C$5:$C$120=$B60)*Inputs!$D$5:$D$120*(((Inputs!$G$5:$G$120="moeda")+(Inputs!$G$5:$G$120="acoes"))*Inputs!$B$1+((Inputs!$G$5:$G$120&lt;&gt;"moeda")*(Inputs!$G$5:$G$120&lt;&gt;"acoes")))*INDEX(Inputs!$K$5:$AJ$120,0,MATCH(AE$2,Inputs!$K$4:$AJ$4,0)))+SUMPRODUCT((Inputs!$E$5:$E$120=$B60)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0" s="513" t="e">
        <f>IF(ISNA(MATCH(AF$2,Inputs!$K$4:$AJ$4,0)),NA(),IF(SUMPRODUCT((Inputs!$A$5:$A$120=$B60)*ISNUMBER(INDEX(Inputs!$K$5:$AJ$120,0,MATCH(AF$2,Inputs!$K$4:$AJ$4,0))))+SUMPRODUCT((Inputs!$C$5:$C$120=$B60)*ISNUMBER(INDEX(Inputs!$K$5:$AJ$120,0,MATCH(AF$2,Inputs!$K$4:$AJ$4,0))))+SUMPRODUCT((Inputs!$E$5:$E$120=$B60)*ISNUMBER(INDEX(Inputs!$K$5:$AJ$120,0,MATCH(AF$2,Inputs!$K$4:$AJ$4,0))))=0,NA(),SUMPRODUCT((Inputs!$A$5:$A$120=$B60)*Inputs!$B$5:$B$120*(((Inputs!$G$5:$G$120="moeda")+(Inputs!$G$5:$G$120="acoes"))*Inputs!$B$1+((Inputs!$G$5:$G$120&lt;&gt;"moeda")*(Inputs!$G$5:$G$120&lt;&gt;"acoes")))*INDEX(Inputs!$K$5:$AJ$120,0,MATCH(AF$2,Inputs!$K$4:$AJ$4,0)))+SUMPRODUCT((Inputs!$C$5:$C$120=$B60)*Inputs!$D$5:$D$120*(((Inputs!$G$5:$G$120="moeda")+(Inputs!$G$5:$G$120="acoes"))*Inputs!$B$1+((Inputs!$G$5:$G$120&lt;&gt;"moeda")*(Inputs!$G$5:$G$120&lt;&gt;"acoes")))*INDEX(Inputs!$K$5:$AJ$120,0,MATCH(AF$2,Inputs!$K$4:$AJ$4,0)))+SUMPRODUCT((Inputs!$E$5:$E$120=$B60)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0" s="514" t="e">
        <f>SUM(AC60:AF60)</f>
        <v>#N/A</v>
      </c>
      <c r="AH60" s="513">
        <f>IF(ISNA(MATCH(AH$2,Inputs!$K$4:$AJ$4,0)),NA(),IF(SUMPRODUCT((Inputs!$A$5:$A$120=$B60)*ISNUMBER(INDEX(Inputs!$K$5:$AJ$120,0,MATCH(AH$2,Inputs!$K$4:$AJ$4,0))))+SUMPRODUCT((Inputs!$C$5:$C$120=$B60)*ISNUMBER(INDEX(Inputs!$K$5:$AJ$120,0,MATCH(AH$2,Inputs!$K$4:$AJ$4,0))))+SUMPRODUCT((Inputs!$E$5:$E$120=$B60)*ISNUMBER(INDEX(Inputs!$K$5:$AJ$120,0,MATCH(AH$2,Inputs!$K$4:$AJ$4,0))))=0,NA(),SUMPRODUCT((Inputs!$A$5:$A$120=$B60)*Inputs!$B$5:$B$120*(((Inputs!$G$5:$G$120="moeda")+(Inputs!$G$5:$G$120="acoes"))*Inputs!$B$1+((Inputs!$G$5:$G$120&lt;&gt;"moeda")*(Inputs!$G$5:$G$120&lt;&gt;"acoes")))*INDEX(Inputs!$K$5:$AJ$120,0,MATCH(AH$2,Inputs!$K$4:$AJ$4,0)))+SUMPRODUCT((Inputs!$C$5:$C$120=$B60)*Inputs!$D$5:$D$120*(((Inputs!$G$5:$G$120="moeda")+(Inputs!$G$5:$G$120="acoes"))*Inputs!$B$1+((Inputs!$G$5:$G$120&lt;&gt;"moeda")*(Inputs!$G$5:$G$120&lt;&gt;"acoes")))*INDEX(Inputs!$K$5:$AJ$120,0,MATCH(AH$2,Inputs!$K$4:$AJ$4,0)))+SUMPRODUCT((Inputs!$E$5:$E$120=$B60)*Inputs!$F$5:$F$120*(((Inputs!$G$5:$G$120="moeda")+(Inputs!$G$5:$G$120="acoes"))*Inputs!$B$1+((Inputs!$G$5:$G$120&lt;&gt;"moeda")*(Inputs!$G$5:$G$120&lt;&gt;"acoes")))*INDEX(Inputs!$K$5:$AJ$120,0,MATCH(AH$2,Inputs!$K$4:$AJ$4,0)))))</f>
        <v>1</v>
      </c>
      <c r="AI60" s="513">
        <f>IF(ISNA(MATCH(AI$2,Inputs!$K$4:$AJ$4,0)),NA(),IF(SUMPRODUCT((Inputs!$A$5:$A$120=$B60)*ISNUMBER(INDEX(Inputs!$K$5:$AJ$120,0,MATCH(AI$2,Inputs!$K$4:$AJ$4,0))))+SUMPRODUCT((Inputs!$C$5:$C$120=$B60)*ISNUMBER(INDEX(Inputs!$K$5:$AJ$120,0,MATCH(AI$2,Inputs!$K$4:$AJ$4,0))))+SUMPRODUCT((Inputs!$E$5:$E$120=$B60)*ISNUMBER(INDEX(Inputs!$K$5:$AJ$120,0,MATCH(AI$2,Inputs!$K$4:$AJ$4,0))))=0,NA(),SUMPRODUCT((Inputs!$A$5:$A$120=$B60)*Inputs!$B$5:$B$120*(((Inputs!$G$5:$G$120="moeda")+(Inputs!$G$5:$G$120="acoes"))*Inputs!$B$1+((Inputs!$G$5:$G$120&lt;&gt;"moeda")*(Inputs!$G$5:$G$120&lt;&gt;"acoes")))*INDEX(Inputs!$K$5:$AJ$120,0,MATCH(AI$2,Inputs!$K$4:$AJ$4,0)))+SUMPRODUCT((Inputs!$C$5:$C$120=$B60)*Inputs!$D$5:$D$120*(((Inputs!$G$5:$G$120="moeda")+(Inputs!$G$5:$G$120="acoes"))*Inputs!$B$1+((Inputs!$G$5:$G$120&lt;&gt;"moeda")*(Inputs!$G$5:$G$120&lt;&gt;"acoes")))*INDEX(Inputs!$K$5:$AJ$120,0,MATCH(AI$2,Inputs!$K$4:$AJ$4,0)))+SUMPRODUCT((Inputs!$E$5:$E$120=$B60)*Inputs!$F$5:$F$120*(((Inputs!$G$5:$G$120="moeda")+(Inputs!$G$5:$G$120="acoes"))*Inputs!$B$1+((Inputs!$G$5:$G$120&lt;&gt;"moeda")*(Inputs!$G$5:$G$120&lt;&gt;"acoes")))*INDEX(Inputs!$K$5:$AJ$120,0,MATCH(AI$2,Inputs!$K$4:$AJ$4,0)))))</f>
        <v>-31</v>
      </c>
      <c r="AJ60" s="513">
        <f>IF(ISNA(MATCH(AJ$2,Inputs!$K$4:$AJ$4,0)),NA(),IF(SUMPRODUCT((Inputs!$A$5:$A$120=$B60)*ISNUMBER(INDEX(Inputs!$K$5:$AJ$120,0,MATCH(AJ$2,Inputs!$K$4:$AJ$4,0))))+SUMPRODUCT((Inputs!$C$5:$C$120=$B60)*ISNUMBER(INDEX(Inputs!$K$5:$AJ$120,0,MATCH(AJ$2,Inputs!$K$4:$AJ$4,0))))+SUMPRODUCT((Inputs!$E$5:$E$120=$B60)*ISNUMBER(INDEX(Inputs!$K$5:$AJ$120,0,MATCH(AJ$2,Inputs!$K$4:$AJ$4,0))))=0,NA(),SUMPRODUCT((Inputs!$A$5:$A$120=$B60)*Inputs!$B$5:$B$120*(((Inputs!$G$5:$G$120="moeda")+(Inputs!$G$5:$G$120="acoes"))*Inputs!$B$1+((Inputs!$G$5:$G$120&lt;&gt;"moeda")*(Inputs!$G$5:$G$120&lt;&gt;"acoes")))*INDEX(Inputs!$K$5:$AJ$120,0,MATCH(AJ$2,Inputs!$K$4:$AJ$4,0)))+SUMPRODUCT((Inputs!$C$5:$C$120=$B60)*Inputs!$D$5:$D$120*(((Inputs!$G$5:$G$120="moeda")+(Inputs!$G$5:$G$120="acoes"))*Inputs!$B$1+((Inputs!$G$5:$G$120&lt;&gt;"moeda")*(Inputs!$G$5:$G$120&lt;&gt;"acoes")))*INDEX(Inputs!$K$5:$AJ$120,0,MATCH(AJ$2,Inputs!$K$4:$AJ$4,0)))+SUMPRODUCT((Inputs!$E$5:$E$120=$B60)*Inputs!$F$5:$F$120*(((Inputs!$G$5:$G$120="moeda")+(Inputs!$G$5:$G$120="acoes"))*Inputs!$B$1+((Inputs!$G$5:$G$120&lt;&gt;"moeda")*(Inputs!$G$5:$G$120&lt;&gt;"acoes")))*INDEX(Inputs!$K$5:$AJ$120,0,MATCH(AJ$2,Inputs!$K$4:$AJ$4,0)))))</f>
        <v>-2</v>
      </c>
      <c r="AK60" s="513">
        <f>IF(ISNA(MATCH(AK$2,Inputs!$K$4:$AJ$4,0)),NA(),IF(SUMPRODUCT((Inputs!$A$5:$A$120=$B60)*ISNUMBER(INDEX(Inputs!$K$5:$AJ$120,0,MATCH(AK$2,Inputs!$K$4:$AJ$4,0))))+SUMPRODUCT((Inputs!$C$5:$C$120=$B60)*ISNUMBER(INDEX(Inputs!$K$5:$AJ$120,0,MATCH(AK$2,Inputs!$K$4:$AJ$4,0))))+SUMPRODUCT((Inputs!$E$5:$E$120=$B60)*ISNUMBER(INDEX(Inputs!$K$5:$AJ$120,0,MATCH(AK$2,Inputs!$K$4:$AJ$4,0))))=0,NA(),SUMPRODUCT((Inputs!$A$5:$A$120=$B60)*Inputs!$B$5:$B$120*(((Inputs!$G$5:$G$120="moeda")+(Inputs!$G$5:$G$120="acoes"))*Inputs!$B$1+((Inputs!$G$5:$G$120&lt;&gt;"moeda")*(Inputs!$G$5:$G$120&lt;&gt;"acoes")))*INDEX(Inputs!$K$5:$AJ$120,0,MATCH(AK$2,Inputs!$K$4:$AJ$4,0)))+SUMPRODUCT((Inputs!$C$5:$C$120=$B60)*Inputs!$D$5:$D$120*(((Inputs!$G$5:$G$120="moeda")+(Inputs!$G$5:$G$120="acoes"))*Inputs!$B$1+((Inputs!$G$5:$G$120&lt;&gt;"moeda")*(Inputs!$G$5:$G$120&lt;&gt;"acoes")))*INDEX(Inputs!$K$5:$AJ$120,0,MATCH(AK$2,Inputs!$K$4:$AJ$4,0)))+SUMPRODUCT((Inputs!$E$5:$E$120=$B60)*Inputs!$F$5:$F$120*(((Inputs!$G$5:$G$120="moeda")+(Inputs!$G$5:$G$120="acoes"))*Inputs!$B$1+((Inputs!$G$5:$G$120&lt;&gt;"moeda")*(Inputs!$G$5:$G$120&lt;&gt;"acoes")))*INDEX(Inputs!$K$5:$AJ$120,0,MATCH(AK$2,Inputs!$K$4:$AJ$4,0)))))</f>
        <v>7</v>
      </c>
      <c r="AL60" s="514">
        <f>SUM(AH60:AK60)</f>
        <v>-25</v>
      </c>
    </row>
    <row r="61">
      <c r="B61" s="265" t="n">
        <v>53</v>
      </c>
      <c r="C61" s="266" t="inlineStr">
        <is>
          <t>Atlantic Copper - receita (USD)</t>
        </is>
      </c>
      <c r="D61" s="513">
        <f>IF(ISNA(MATCH(D$2,Inputs!$K$4:$AJ$4,0)),NA(),IF(SUMPRODUCT((Inputs!$A$5:$A$120=$B61)*ISNUMBER(INDEX(Inputs!$K$5:$AJ$120,0,MATCH(D$2,Inputs!$K$4:$AJ$4,0))))+SUMPRODUCT((Inputs!$C$5:$C$120=$B61)*ISNUMBER(INDEX(Inputs!$K$5:$AJ$120,0,MATCH(D$2,Inputs!$K$4:$AJ$4,0))))+SUMPRODUCT((Inputs!$E$5:$E$120=$B61)*ISNUMBER(INDEX(Inputs!$K$5:$AJ$120,0,MATCH(D$2,Inputs!$K$4:$AJ$4,0))))=0,NA(),SUMPRODUCT((Inputs!$A$5:$A$120=$B61)*Inputs!$B$5:$B$120*(((Inputs!$G$5:$G$120="moeda")+(Inputs!$G$5:$G$120="acoes"))*Inputs!$B$1+((Inputs!$G$5:$G$120&lt;&gt;"moeda")*(Inputs!$G$5:$G$120&lt;&gt;"acoes")))*INDEX(Inputs!$K$5:$AJ$120,0,MATCH(D$2,Inputs!$K$4:$AJ$4,0)))+SUMPRODUCT((Inputs!$C$5:$C$120=$B61)*Inputs!$D$5:$D$120*(((Inputs!$G$5:$G$120="moeda")+(Inputs!$G$5:$G$120="acoes"))*Inputs!$B$1+((Inputs!$G$5:$G$120&lt;&gt;"moeda")*(Inputs!$G$5:$G$120&lt;&gt;"acoes")))*INDEX(Inputs!$K$5:$AJ$120,0,MATCH(D$2,Inputs!$K$4:$AJ$4,0)))+SUMPRODUCT((Inputs!$E$5:$E$120=$B61)*Inputs!$F$5:$F$120*(((Inputs!$G$5:$G$120="moeda")+(Inputs!$G$5:$G$120="acoes"))*Inputs!$B$1+((Inputs!$G$5:$G$120&lt;&gt;"moeda")*(Inputs!$G$5:$G$120&lt;&gt;"acoes")))*INDEX(Inputs!$K$5:$AJ$120,0,MATCH(D$2,Inputs!$K$4:$AJ$4,0)))))</f>
        <v>687</v>
      </c>
      <c r="E61" s="513">
        <f>IF(ISNA(MATCH(E$2,Inputs!$K$4:$AJ$4,0)),NA(),IF(SUMPRODUCT((Inputs!$A$5:$A$120=$B61)*ISNUMBER(INDEX(Inputs!$K$5:$AJ$120,0,MATCH(E$2,Inputs!$K$4:$AJ$4,0))))+SUMPRODUCT((Inputs!$C$5:$C$120=$B61)*ISNUMBER(INDEX(Inputs!$K$5:$AJ$120,0,MATCH(E$2,Inputs!$K$4:$AJ$4,0))))+SUMPRODUCT((Inputs!$E$5:$E$120=$B61)*ISNUMBER(INDEX(Inputs!$K$5:$AJ$120,0,MATCH(E$2,Inputs!$K$4:$AJ$4,0))))=0,NA(),SUMPRODUCT((Inputs!$A$5:$A$120=$B61)*Inputs!$B$5:$B$120*(((Inputs!$G$5:$G$120="moeda")+(Inputs!$G$5:$G$120="acoes"))*Inputs!$B$1+((Inputs!$G$5:$G$120&lt;&gt;"moeda")*(Inputs!$G$5:$G$120&lt;&gt;"acoes")))*INDEX(Inputs!$K$5:$AJ$120,0,MATCH(E$2,Inputs!$K$4:$AJ$4,0)))+SUMPRODUCT((Inputs!$C$5:$C$120=$B61)*Inputs!$D$5:$D$120*(((Inputs!$G$5:$G$120="moeda")+(Inputs!$G$5:$G$120="acoes"))*Inputs!$B$1+((Inputs!$G$5:$G$120&lt;&gt;"moeda")*(Inputs!$G$5:$G$120&lt;&gt;"acoes")))*INDEX(Inputs!$K$5:$AJ$120,0,MATCH(E$2,Inputs!$K$4:$AJ$4,0)))+SUMPRODUCT((Inputs!$E$5:$E$120=$B61)*Inputs!$F$5:$F$120*(((Inputs!$G$5:$G$120="moeda")+(Inputs!$G$5:$G$120="acoes"))*Inputs!$B$1+((Inputs!$G$5:$G$120&lt;&gt;"moeda")*(Inputs!$G$5:$G$120&lt;&gt;"acoes")))*INDEX(Inputs!$K$5:$AJ$120,0,MATCH(E$2,Inputs!$K$4:$AJ$4,0)))))</f>
        <v>794</v>
      </c>
      <c r="F61" s="513">
        <f>IF(ISNA(MATCH(F$2,Inputs!$K$4:$AJ$4,0)),NA(),IF(SUMPRODUCT((Inputs!$A$5:$A$120=$B61)*ISNUMBER(INDEX(Inputs!$K$5:$AJ$120,0,MATCH(F$2,Inputs!$K$4:$AJ$4,0))))+SUMPRODUCT((Inputs!$C$5:$C$120=$B61)*ISNUMBER(INDEX(Inputs!$K$5:$AJ$120,0,MATCH(F$2,Inputs!$K$4:$AJ$4,0))))+SUMPRODUCT((Inputs!$E$5:$E$120=$B61)*ISNUMBER(INDEX(Inputs!$K$5:$AJ$120,0,MATCH(F$2,Inputs!$K$4:$AJ$4,0))))=0,NA(),SUMPRODUCT((Inputs!$A$5:$A$120=$B61)*Inputs!$B$5:$B$120*(((Inputs!$G$5:$G$120="moeda")+(Inputs!$G$5:$G$120="acoes"))*Inputs!$B$1+((Inputs!$G$5:$G$120&lt;&gt;"moeda")*(Inputs!$G$5:$G$120&lt;&gt;"acoes")))*INDEX(Inputs!$K$5:$AJ$120,0,MATCH(F$2,Inputs!$K$4:$AJ$4,0)))+SUMPRODUCT((Inputs!$C$5:$C$120=$B61)*Inputs!$D$5:$D$120*(((Inputs!$G$5:$G$120="moeda")+(Inputs!$G$5:$G$120="acoes"))*Inputs!$B$1+((Inputs!$G$5:$G$120&lt;&gt;"moeda")*(Inputs!$G$5:$G$120&lt;&gt;"acoes")))*INDEX(Inputs!$K$5:$AJ$120,0,MATCH(F$2,Inputs!$K$4:$AJ$4,0)))+SUMPRODUCT((Inputs!$E$5:$E$120=$B61)*Inputs!$F$5:$F$120*(((Inputs!$G$5:$G$120="moeda")+(Inputs!$G$5:$G$120="acoes"))*Inputs!$B$1+((Inputs!$G$5:$G$120&lt;&gt;"moeda")*(Inputs!$G$5:$G$120&lt;&gt;"acoes")))*INDEX(Inputs!$K$5:$AJ$120,0,MATCH(F$2,Inputs!$K$4:$AJ$4,0)))))</f>
        <v>783</v>
      </c>
      <c r="G61" s="513">
        <f>IF(ISNA(MATCH(G$2,Inputs!$K$4:$AJ$4,0)),NA(),IF(SUMPRODUCT((Inputs!$A$5:$A$120=$B61)*ISNUMBER(INDEX(Inputs!$K$5:$AJ$120,0,MATCH(G$2,Inputs!$K$4:$AJ$4,0))))+SUMPRODUCT((Inputs!$C$5:$C$120=$B61)*ISNUMBER(INDEX(Inputs!$K$5:$AJ$120,0,MATCH(G$2,Inputs!$K$4:$AJ$4,0))))+SUMPRODUCT((Inputs!$E$5:$E$120=$B61)*ISNUMBER(INDEX(Inputs!$K$5:$AJ$120,0,MATCH(G$2,Inputs!$K$4:$AJ$4,0))))=0,NA(),SUMPRODUCT((Inputs!$A$5:$A$120=$B61)*Inputs!$B$5:$B$120*(((Inputs!$G$5:$G$120="moeda")+(Inputs!$G$5:$G$120="acoes"))*Inputs!$B$1+((Inputs!$G$5:$G$120&lt;&gt;"moeda")*(Inputs!$G$5:$G$120&lt;&gt;"acoes")))*INDEX(Inputs!$K$5:$AJ$120,0,MATCH(G$2,Inputs!$K$4:$AJ$4,0)))+SUMPRODUCT((Inputs!$C$5:$C$120=$B61)*Inputs!$D$5:$D$120*(((Inputs!$G$5:$G$120="moeda")+(Inputs!$G$5:$G$120="acoes"))*Inputs!$B$1+((Inputs!$G$5:$G$120&lt;&gt;"moeda")*(Inputs!$G$5:$G$120&lt;&gt;"acoes")))*INDEX(Inputs!$K$5:$AJ$120,0,MATCH(G$2,Inputs!$K$4:$AJ$4,0)))+SUMPRODUCT((Inputs!$E$5:$E$120=$B61)*Inputs!$F$5:$F$120*(((Inputs!$G$5:$G$120="moeda")+(Inputs!$G$5:$G$120="acoes"))*Inputs!$B$1+((Inputs!$G$5:$G$120&lt;&gt;"moeda")*(Inputs!$G$5:$G$120&lt;&gt;"acoes")))*INDEX(Inputs!$K$5:$AJ$120,0,MATCH(G$2,Inputs!$K$4:$AJ$4,0)))))</f>
        <v>697</v>
      </c>
      <c r="H61" s="514">
        <f>SUM(D61:G61)</f>
        <v>2961</v>
      </c>
      <c r="I61" s="513">
        <f>IF(ISNA(MATCH(I$2,Inputs!$K$4:$AJ$4,0)),NA(),IF(SUMPRODUCT((Inputs!$A$5:$A$120=$B61)*ISNUMBER(INDEX(Inputs!$K$5:$AJ$120,0,MATCH(I$2,Inputs!$K$4:$AJ$4,0))))+SUMPRODUCT((Inputs!$C$5:$C$120=$B61)*ISNUMBER(INDEX(Inputs!$K$5:$AJ$120,0,MATCH(I$2,Inputs!$K$4:$AJ$4,0))))+SUMPRODUCT((Inputs!$E$5:$E$120=$B61)*ISNUMBER(INDEX(Inputs!$K$5:$AJ$120,0,MATCH(I$2,Inputs!$K$4:$AJ$4,0))))=0,NA(),SUMPRODUCT((Inputs!$A$5:$A$120=$B61)*Inputs!$B$5:$B$120*(((Inputs!$G$5:$G$120="moeda")+(Inputs!$G$5:$G$120="acoes"))*Inputs!$B$1+((Inputs!$G$5:$G$120&lt;&gt;"moeda")*(Inputs!$G$5:$G$120&lt;&gt;"acoes")))*INDEX(Inputs!$K$5:$AJ$120,0,MATCH(I$2,Inputs!$K$4:$AJ$4,0)))+SUMPRODUCT((Inputs!$C$5:$C$120=$B61)*Inputs!$D$5:$D$120*(((Inputs!$G$5:$G$120="moeda")+(Inputs!$G$5:$G$120="acoes"))*Inputs!$B$1+((Inputs!$G$5:$G$120&lt;&gt;"moeda")*(Inputs!$G$5:$G$120&lt;&gt;"acoes")))*INDEX(Inputs!$K$5:$AJ$120,0,MATCH(I$2,Inputs!$K$4:$AJ$4,0)))+SUMPRODUCT((Inputs!$E$5:$E$120=$B61)*Inputs!$F$5:$F$120*(((Inputs!$G$5:$G$120="moeda")+(Inputs!$G$5:$G$120="acoes"))*Inputs!$B$1+((Inputs!$G$5:$G$120&lt;&gt;"moeda")*(Inputs!$G$5:$G$120&lt;&gt;"acoes")))*INDEX(Inputs!$K$5:$AJ$120,0,MATCH(I$2,Inputs!$K$4:$AJ$4,0)))))</f>
        <v>718</v>
      </c>
      <c r="J61" s="513">
        <f>IF(ISNA(MATCH(J$2,Inputs!$K$4:$AJ$4,0)),NA(),IF(SUMPRODUCT((Inputs!$A$5:$A$120=$B61)*ISNUMBER(INDEX(Inputs!$K$5:$AJ$120,0,MATCH(J$2,Inputs!$K$4:$AJ$4,0))))+SUMPRODUCT((Inputs!$C$5:$C$120=$B61)*ISNUMBER(INDEX(Inputs!$K$5:$AJ$120,0,MATCH(J$2,Inputs!$K$4:$AJ$4,0))))+SUMPRODUCT((Inputs!$E$5:$E$120=$B61)*ISNUMBER(INDEX(Inputs!$K$5:$AJ$120,0,MATCH(J$2,Inputs!$K$4:$AJ$4,0))))=0,NA(),SUMPRODUCT((Inputs!$A$5:$A$120=$B61)*Inputs!$B$5:$B$120*(((Inputs!$G$5:$G$120="moeda")+(Inputs!$G$5:$G$120="acoes"))*Inputs!$B$1+((Inputs!$G$5:$G$120&lt;&gt;"moeda")*(Inputs!$G$5:$G$120&lt;&gt;"acoes")))*INDEX(Inputs!$K$5:$AJ$120,0,MATCH(J$2,Inputs!$K$4:$AJ$4,0)))+SUMPRODUCT((Inputs!$C$5:$C$120=$B61)*Inputs!$D$5:$D$120*(((Inputs!$G$5:$G$120="moeda")+(Inputs!$G$5:$G$120="acoes"))*Inputs!$B$1+((Inputs!$G$5:$G$120&lt;&gt;"moeda")*(Inputs!$G$5:$G$120&lt;&gt;"acoes")))*INDEX(Inputs!$K$5:$AJ$120,0,MATCH(J$2,Inputs!$K$4:$AJ$4,0)))+SUMPRODUCT((Inputs!$E$5:$E$120=$B61)*Inputs!$F$5:$F$120*(((Inputs!$G$5:$G$120="moeda")+(Inputs!$G$5:$G$120="acoes"))*Inputs!$B$1+((Inputs!$G$5:$G$120&lt;&gt;"moeda")*(Inputs!$G$5:$G$120&lt;&gt;"acoes")))*INDEX(Inputs!$K$5:$AJ$120,0,MATCH(J$2,Inputs!$K$4:$AJ$4,0)))))</f>
        <v>433</v>
      </c>
      <c r="K61" s="513">
        <f>IF(ISNA(MATCH(K$2,Inputs!$K$4:$AJ$4,0)),NA(),IF(SUMPRODUCT((Inputs!$A$5:$A$120=$B61)*ISNUMBER(INDEX(Inputs!$K$5:$AJ$120,0,MATCH(K$2,Inputs!$K$4:$AJ$4,0))))+SUMPRODUCT((Inputs!$C$5:$C$120=$B61)*ISNUMBER(INDEX(Inputs!$K$5:$AJ$120,0,MATCH(K$2,Inputs!$K$4:$AJ$4,0))))+SUMPRODUCT((Inputs!$E$5:$E$120=$B61)*ISNUMBER(INDEX(Inputs!$K$5:$AJ$120,0,MATCH(K$2,Inputs!$K$4:$AJ$4,0))))=0,NA(),SUMPRODUCT((Inputs!$A$5:$A$120=$B61)*Inputs!$B$5:$B$120*(((Inputs!$G$5:$G$120="moeda")+(Inputs!$G$5:$G$120="acoes"))*Inputs!$B$1+((Inputs!$G$5:$G$120&lt;&gt;"moeda")*(Inputs!$G$5:$G$120&lt;&gt;"acoes")))*INDEX(Inputs!$K$5:$AJ$120,0,MATCH(K$2,Inputs!$K$4:$AJ$4,0)))+SUMPRODUCT((Inputs!$C$5:$C$120=$B61)*Inputs!$D$5:$D$120*(((Inputs!$G$5:$G$120="moeda")+(Inputs!$G$5:$G$120="acoes"))*Inputs!$B$1+((Inputs!$G$5:$G$120&lt;&gt;"moeda")*(Inputs!$G$5:$G$120&lt;&gt;"acoes")))*INDEX(Inputs!$K$5:$AJ$120,0,MATCH(K$2,Inputs!$K$4:$AJ$4,0)))+SUMPRODUCT((Inputs!$E$5:$E$120=$B61)*Inputs!$F$5:$F$120*(((Inputs!$G$5:$G$120="moeda")+(Inputs!$G$5:$G$120="acoes"))*Inputs!$B$1+((Inputs!$G$5:$G$120&lt;&gt;"moeda")*(Inputs!$G$5:$G$120&lt;&gt;"acoes")))*INDEX(Inputs!$K$5:$AJ$120,0,MATCH(K$2,Inputs!$K$4:$AJ$4,0)))))</f>
        <v>609</v>
      </c>
      <c r="L61" s="513">
        <f>IF(ISNA(MATCH(L$2,Inputs!$K$4:$AJ$4,0)),NA(),IF(SUMPRODUCT((Inputs!$A$5:$A$120=$B61)*ISNUMBER(INDEX(Inputs!$K$5:$AJ$120,0,MATCH(L$2,Inputs!$K$4:$AJ$4,0))))+SUMPRODUCT((Inputs!$C$5:$C$120=$B61)*ISNUMBER(INDEX(Inputs!$K$5:$AJ$120,0,MATCH(L$2,Inputs!$K$4:$AJ$4,0))))+SUMPRODUCT((Inputs!$E$5:$E$120=$B61)*ISNUMBER(INDEX(Inputs!$K$5:$AJ$120,0,MATCH(L$2,Inputs!$K$4:$AJ$4,0))))=0,NA(),SUMPRODUCT((Inputs!$A$5:$A$120=$B61)*Inputs!$B$5:$B$120*(((Inputs!$G$5:$G$120="moeda")+(Inputs!$G$5:$G$120="acoes"))*Inputs!$B$1+((Inputs!$G$5:$G$120&lt;&gt;"moeda")*(Inputs!$G$5:$G$120&lt;&gt;"acoes")))*INDEX(Inputs!$K$5:$AJ$120,0,MATCH(L$2,Inputs!$K$4:$AJ$4,0)))+SUMPRODUCT((Inputs!$C$5:$C$120=$B61)*Inputs!$D$5:$D$120*(((Inputs!$G$5:$G$120="moeda")+(Inputs!$G$5:$G$120="acoes"))*Inputs!$B$1+((Inputs!$G$5:$G$120&lt;&gt;"moeda")*(Inputs!$G$5:$G$120&lt;&gt;"acoes")))*INDEX(Inputs!$K$5:$AJ$120,0,MATCH(L$2,Inputs!$K$4:$AJ$4,0)))+SUMPRODUCT((Inputs!$E$5:$E$120=$B61)*Inputs!$F$5:$F$120*(((Inputs!$G$5:$G$120="moeda")+(Inputs!$G$5:$G$120="acoes"))*Inputs!$B$1+((Inputs!$G$5:$G$120&lt;&gt;"moeda")*(Inputs!$G$5:$G$120&lt;&gt;"acoes")))*INDEX(Inputs!$K$5:$AJ$120,0,MATCH(L$2,Inputs!$K$4:$AJ$4,0)))))</f>
        <v>683</v>
      </c>
      <c r="M61" s="514">
        <f>SUM(I61:L61)</f>
        <v>2443</v>
      </c>
      <c r="N61" s="513">
        <f>IF(ISNA(MATCH(N$2,Inputs!$K$4:$AJ$4,0)),NA(),IF(SUMPRODUCT((Inputs!$A$5:$A$120=$B61)*ISNUMBER(INDEX(Inputs!$K$5:$AJ$120,0,MATCH(N$2,Inputs!$K$4:$AJ$4,0))))+SUMPRODUCT((Inputs!$C$5:$C$120=$B61)*ISNUMBER(INDEX(Inputs!$K$5:$AJ$120,0,MATCH(N$2,Inputs!$K$4:$AJ$4,0))))+SUMPRODUCT((Inputs!$E$5:$E$120=$B61)*ISNUMBER(INDEX(Inputs!$K$5:$AJ$120,0,MATCH(N$2,Inputs!$K$4:$AJ$4,0))))=0,NA(),SUMPRODUCT((Inputs!$A$5:$A$120=$B61)*Inputs!$B$5:$B$120*(((Inputs!$G$5:$G$120="moeda")+(Inputs!$G$5:$G$120="acoes"))*Inputs!$B$1+((Inputs!$G$5:$G$120&lt;&gt;"moeda")*(Inputs!$G$5:$G$120&lt;&gt;"acoes")))*INDEX(Inputs!$K$5:$AJ$120,0,MATCH(N$2,Inputs!$K$4:$AJ$4,0)))+SUMPRODUCT((Inputs!$C$5:$C$120=$B61)*Inputs!$D$5:$D$120*(((Inputs!$G$5:$G$120="moeda")+(Inputs!$G$5:$G$120="acoes"))*Inputs!$B$1+((Inputs!$G$5:$G$120&lt;&gt;"moeda")*(Inputs!$G$5:$G$120&lt;&gt;"acoes")))*INDEX(Inputs!$K$5:$AJ$120,0,MATCH(N$2,Inputs!$K$4:$AJ$4,0)))+SUMPRODUCT((Inputs!$E$5:$E$120=$B61)*Inputs!$F$5:$F$120*(((Inputs!$G$5:$G$120="moeda")+(Inputs!$G$5:$G$120="acoes"))*Inputs!$B$1+((Inputs!$G$5:$G$120&lt;&gt;"moeda")*(Inputs!$G$5:$G$120&lt;&gt;"acoes")))*INDEX(Inputs!$K$5:$AJ$120,0,MATCH(N$2,Inputs!$K$4:$AJ$4,0)))))</f>
        <v>756</v>
      </c>
      <c r="O61" s="513">
        <f>IF(ISNA(MATCH(O$2,Inputs!$K$4:$AJ$4,0)),NA(),IF(SUMPRODUCT((Inputs!$A$5:$A$120=$B61)*ISNUMBER(INDEX(Inputs!$K$5:$AJ$120,0,MATCH(O$2,Inputs!$K$4:$AJ$4,0))))+SUMPRODUCT((Inputs!$C$5:$C$120=$B61)*ISNUMBER(INDEX(Inputs!$K$5:$AJ$120,0,MATCH(O$2,Inputs!$K$4:$AJ$4,0))))+SUMPRODUCT((Inputs!$E$5:$E$120=$B61)*ISNUMBER(INDEX(Inputs!$K$5:$AJ$120,0,MATCH(O$2,Inputs!$K$4:$AJ$4,0))))=0,NA(),SUMPRODUCT((Inputs!$A$5:$A$120=$B61)*Inputs!$B$5:$B$120*(((Inputs!$G$5:$G$120="moeda")+(Inputs!$G$5:$G$120="acoes"))*Inputs!$B$1+((Inputs!$G$5:$G$120&lt;&gt;"moeda")*(Inputs!$G$5:$G$120&lt;&gt;"acoes")))*INDEX(Inputs!$K$5:$AJ$120,0,MATCH(O$2,Inputs!$K$4:$AJ$4,0)))+SUMPRODUCT((Inputs!$C$5:$C$120=$B61)*Inputs!$D$5:$D$120*(((Inputs!$G$5:$G$120="moeda")+(Inputs!$G$5:$G$120="acoes"))*Inputs!$B$1+((Inputs!$G$5:$G$120&lt;&gt;"moeda")*(Inputs!$G$5:$G$120&lt;&gt;"acoes")))*INDEX(Inputs!$K$5:$AJ$120,0,MATCH(O$2,Inputs!$K$4:$AJ$4,0)))+SUMPRODUCT((Inputs!$E$5:$E$120=$B61)*Inputs!$F$5:$F$120*(((Inputs!$G$5:$G$120="moeda")+(Inputs!$G$5:$G$120="acoes"))*Inputs!$B$1+((Inputs!$G$5:$G$120&lt;&gt;"moeda")*(Inputs!$G$5:$G$120&lt;&gt;"acoes")))*INDEX(Inputs!$K$5:$AJ$120,0,MATCH(O$2,Inputs!$K$4:$AJ$4,0)))))</f>
        <v>748</v>
      </c>
      <c r="P61" s="513">
        <f>IF(ISNA(MATCH(P$2,Inputs!$K$4:$AJ$4,0)),NA(),IF(SUMPRODUCT((Inputs!$A$5:$A$120=$B61)*ISNUMBER(INDEX(Inputs!$K$5:$AJ$120,0,MATCH(P$2,Inputs!$K$4:$AJ$4,0))))+SUMPRODUCT((Inputs!$C$5:$C$120=$B61)*ISNUMBER(INDEX(Inputs!$K$5:$AJ$120,0,MATCH(P$2,Inputs!$K$4:$AJ$4,0))))+SUMPRODUCT((Inputs!$E$5:$E$120=$B61)*ISNUMBER(INDEX(Inputs!$K$5:$AJ$120,0,MATCH(P$2,Inputs!$K$4:$AJ$4,0))))=0,NA(),SUMPRODUCT((Inputs!$A$5:$A$120=$B61)*Inputs!$B$5:$B$120*(((Inputs!$G$5:$G$120="moeda")+(Inputs!$G$5:$G$120="acoes"))*Inputs!$B$1+((Inputs!$G$5:$G$120&lt;&gt;"moeda")*(Inputs!$G$5:$G$120&lt;&gt;"acoes")))*INDEX(Inputs!$K$5:$AJ$120,0,MATCH(P$2,Inputs!$K$4:$AJ$4,0)))+SUMPRODUCT((Inputs!$C$5:$C$120=$B61)*Inputs!$D$5:$D$120*(((Inputs!$G$5:$G$120="moeda")+(Inputs!$G$5:$G$120="acoes"))*Inputs!$B$1+((Inputs!$G$5:$G$120&lt;&gt;"moeda")*(Inputs!$G$5:$G$120&lt;&gt;"acoes")))*INDEX(Inputs!$K$5:$AJ$120,0,MATCH(P$2,Inputs!$K$4:$AJ$4,0)))+SUMPRODUCT((Inputs!$E$5:$E$120=$B61)*Inputs!$F$5:$F$120*(((Inputs!$G$5:$G$120="moeda")+(Inputs!$G$5:$G$120="acoes"))*Inputs!$B$1+((Inputs!$G$5:$G$120&lt;&gt;"moeda")*(Inputs!$G$5:$G$120&lt;&gt;"acoes")))*INDEX(Inputs!$K$5:$AJ$120,0,MATCH(P$2,Inputs!$K$4:$AJ$4,0)))))</f>
        <v>700</v>
      </c>
      <c r="Q61" s="513">
        <f>IF(ISNA(MATCH(Q$2,Inputs!$K$4:$AJ$4,0)),NA(),IF(SUMPRODUCT((Inputs!$A$5:$A$120=$B61)*ISNUMBER(INDEX(Inputs!$K$5:$AJ$120,0,MATCH(Q$2,Inputs!$K$4:$AJ$4,0))))+SUMPRODUCT((Inputs!$C$5:$C$120=$B61)*ISNUMBER(INDEX(Inputs!$K$5:$AJ$120,0,MATCH(Q$2,Inputs!$K$4:$AJ$4,0))))+SUMPRODUCT((Inputs!$E$5:$E$120=$B61)*ISNUMBER(INDEX(Inputs!$K$5:$AJ$120,0,MATCH(Q$2,Inputs!$K$4:$AJ$4,0))))=0,NA(),SUMPRODUCT((Inputs!$A$5:$A$120=$B61)*Inputs!$B$5:$B$120*(((Inputs!$G$5:$G$120="moeda")+(Inputs!$G$5:$G$120="acoes"))*Inputs!$B$1+((Inputs!$G$5:$G$120&lt;&gt;"moeda")*(Inputs!$G$5:$G$120&lt;&gt;"acoes")))*INDEX(Inputs!$K$5:$AJ$120,0,MATCH(Q$2,Inputs!$K$4:$AJ$4,0)))+SUMPRODUCT((Inputs!$C$5:$C$120=$B61)*Inputs!$D$5:$D$120*(((Inputs!$G$5:$G$120="moeda")+(Inputs!$G$5:$G$120="acoes"))*Inputs!$B$1+((Inputs!$G$5:$G$120&lt;&gt;"moeda")*(Inputs!$G$5:$G$120&lt;&gt;"acoes")))*INDEX(Inputs!$K$5:$AJ$120,0,MATCH(Q$2,Inputs!$K$4:$AJ$4,0)))+SUMPRODUCT((Inputs!$E$5:$E$120=$B61)*Inputs!$F$5:$F$120*(((Inputs!$G$5:$G$120="moeda")+(Inputs!$G$5:$G$120="acoes"))*Inputs!$B$1+((Inputs!$G$5:$G$120&lt;&gt;"moeda")*(Inputs!$G$5:$G$120&lt;&gt;"acoes")))*INDEX(Inputs!$K$5:$AJ$120,0,MATCH(Q$2,Inputs!$K$4:$AJ$4,0)))))</f>
        <v>606</v>
      </c>
      <c r="R61" s="514">
        <f>SUM(N61:Q61)</f>
        <v>2810</v>
      </c>
      <c r="S61" s="513">
        <f>IF(ISNA(MATCH(S$2,Inputs!$K$4:$AJ$4,0)),NA(),IF(SUMPRODUCT((Inputs!$A$5:$A$120=$B61)*ISNUMBER(INDEX(Inputs!$K$5:$AJ$120,0,MATCH(S$2,Inputs!$K$4:$AJ$4,0))))+SUMPRODUCT((Inputs!$C$5:$C$120=$B61)*ISNUMBER(INDEX(Inputs!$K$5:$AJ$120,0,MATCH(S$2,Inputs!$K$4:$AJ$4,0))))+SUMPRODUCT((Inputs!$E$5:$E$120=$B61)*ISNUMBER(INDEX(Inputs!$K$5:$AJ$120,0,MATCH(S$2,Inputs!$K$4:$AJ$4,0))))=0,NA(),SUMPRODUCT((Inputs!$A$5:$A$120=$B61)*Inputs!$B$5:$B$120*(((Inputs!$G$5:$G$120="moeda")+(Inputs!$G$5:$G$120="acoes"))*Inputs!$B$1+((Inputs!$G$5:$G$120&lt;&gt;"moeda")*(Inputs!$G$5:$G$120&lt;&gt;"acoes")))*INDEX(Inputs!$K$5:$AJ$120,0,MATCH(S$2,Inputs!$K$4:$AJ$4,0)))+SUMPRODUCT((Inputs!$C$5:$C$120=$B61)*Inputs!$D$5:$D$120*(((Inputs!$G$5:$G$120="moeda")+(Inputs!$G$5:$G$120="acoes"))*Inputs!$B$1+((Inputs!$G$5:$G$120&lt;&gt;"moeda")*(Inputs!$G$5:$G$120&lt;&gt;"acoes")))*INDEX(Inputs!$K$5:$AJ$120,0,MATCH(S$2,Inputs!$K$4:$AJ$4,0)))+SUMPRODUCT((Inputs!$E$5:$E$120=$B61)*Inputs!$F$5:$F$120*(((Inputs!$G$5:$G$120="moeda")+(Inputs!$G$5:$G$120="acoes"))*Inputs!$B$1+((Inputs!$G$5:$G$120&lt;&gt;"moeda")*(Inputs!$G$5:$G$120&lt;&gt;"acoes")))*INDEX(Inputs!$K$5:$AJ$120,0,MATCH(S$2,Inputs!$K$4:$AJ$4,0)))))</f>
        <v>673</v>
      </c>
      <c r="T61" s="513">
        <f>IF(ISNA(MATCH(T$2,Inputs!$K$4:$AJ$4,0)),NA(),IF(SUMPRODUCT((Inputs!$A$5:$A$120=$B61)*ISNUMBER(INDEX(Inputs!$K$5:$AJ$120,0,MATCH(T$2,Inputs!$K$4:$AJ$4,0))))+SUMPRODUCT((Inputs!$C$5:$C$120=$B61)*ISNUMBER(INDEX(Inputs!$K$5:$AJ$120,0,MATCH(T$2,Inputs!$K$4:$AJ$4,0))))+SUMPRODUCT((Inputs!$E$5:$E$120=$B61)*ISNUMBER(INDEX(Inputs!$K$5:$AJ$120,0,MATCH(T$2,Inputs!$K$4:$AJ$4,0))))=0,NA(),SUMPRODUCT((Inputs!$A$5:$A$120=$B61)*Inputs!$B$5:$B$120*(((Inputs!$G$5:$G$120="moeda")+(Inputs!$G$5:$G$120="acoes"))*Inputs!$B$1+((Inputs!$G$5:$G$120&lt;&gt;"moeda")*(Inputs!$G$5:$G$120&lt;&gt;"acoes")))*INDEX(Inputs!$K$5:$AJ$120,0,MATCH(T$2,Inputs!$K$4:$AJ$4,0)))+SUMPRODUCT((Inputs!$C$5:$C$120=$B61)*Inputs!$D$5:$D$120*(((Inputs!$G$5:$G$120="moeda")+(Inputs!$G$5:$G$120="acoes"))*Inputs!$B$1+((Inputs!$G$5:$G$120&lt;&gt;"moeda")*(Inputs!$G$5:$G$120&lt;&gt;"acoes")))*INDEX(Inputs!$K$5:$AJ$120,0,MATCH(T$2,Inputs!$K$4:$AJ$4,0)))+SUMPRODUCT((Inputs!$E$5:$E$120=$B61)*Inputs!$F$5:$F$120*(((Inputs!$G$5:$G$120="moeda")+(Inputs!$G$5:$G$120="acoes"))*Inputs!$B$1+((Inputs!$G$5:$G$120&lt;&gt;"moeda")*(Inputs!$G$5:$G$120&lt;&gt;"acoes")))*INDEX(Inputs!$K$5:$AJ$120,0,MATCH(T$2,Inputs!$K$4:$AJ$4,0)))))</f>
        <v>900</v>
      </c>
      <c r="U61" s="513">
        <f>IF(ISNA(MATCH(U$2,Inputs!$K$4:$AJ$4,0)),NA(),IF(SUMPRODUCT((Inputs!$A$5:$A$120=$B61)*ISNUMBER(INDEX(Inputs!$K$5:$AJ$120,0,MATCH(U$2,Inputs!$K$4:$AJ$4,0))))+SUMPRODUCT((Inputs!$C$5:$C$120=$B61)*ISNUMBER(INDEX(Inputs!$K$5:$AJ$120,0,MATCH(U$2,Inputs!$K$4:$AJ$4,0))))+SUMPRODUCT((Inputs!$E$5:$E$120=$B61)*ISNUMBER(INDEX(Inputs!$K$5:$AJ$120,0,MATCH(U$2,Inputs!$K$4:$AJ$4,0))))=0,NA(),SUMPRODUCT((Inputs!$A$5:$A$120=$B61)*Inputs!$B$5:$B$120*(((Inputs!$G$5:$G$120="moeda")+(Inputs!$G$5:$G$120="acoes"))*Inputs!$B$1+((Inputs!$G$5:$G$120&lt;&gt;"moeda")*(Inputs!$G$5:$G$120&lt;&gt;"acoes")))*INDEX(Inputs!$K$5:$AJ$120,0,MATCH(U$2,Inputs!$K$4:$AJ$4,0)))+SUMPRODUCT((Inputs!$C$5:$C$120=$B61)*Inputs!$D$5:$D$120*(((Inputs!$G$5:$G$120="moeda")+(Inputs!$G$5:$G$120="acoes"))*Inputs!$B$1+((Inputs!$G$5:$G$120&lt;&gt;"moeda")*(Inputs!$G$5:$G$120&lt;&gt;"acoes")))*INDEX(Inputs!$K$5:$AJ$120,0,MATCH(U$2,Inputs!$K$4:$AJ$4,0)))+SUMPRODUCT((Inputs!$E$5:$E$120=$B61)*Inputs!$F$5:$F$120*(((Inputs!$G$5:$G$120="moeda")+(Inputs!$G$5:$G$120="acoes"))*Inputs!$B$1+((Inputs!$G$5:$G$120&lt;&gt;"moeda")*(Inputs!$G$5:$G$120&lt;&gt;"acoes")))*INDEX(Inputs!$K$5:$AJ$120,0,MATCH(U$2,Inputs!$K$4:$AJ$4,0)))))</f>
        <v>765</v>
      </c>
      <c r="V61" s="513">
        <f>IF(ISNA(MATCH(V$2,Inputs!$K$4:$AJ$4,0)),NA(),IF(SUMPRODUCT((Inputs!$A$5:$A$120=$B61)*ISNUMBER(INDEX(Inputs!$K$5:$AJ$120,0,MATCH(V$2,Inputs!$K$4:$AJ$4,0))))+SUMPRODUCT((Inputs!$C$5:$C$120=$B61)*ISNUMBER(INDEX(Inputs!$K$5:$AJ$120,0,MATCH(V$2,Inputs!$K$4:$AJ$4,0))))+SUMPRODUCT((Inputs!$E$5:$E$120=$B61)*ISNUMBER(INDEX(Inputs!$K$5:$AJ$120,0,MATCH(V$2,Inputs!$K$4:$AJ$4,0))))=0,NA(),SUMPRODUCT((Inputs!$A$5:$A$120=$B61)*Inputs!$B$5:$B$120*(((Inputs!$G$5:$G$120="moeda")+(Inputs!$G$5:$G$120="acoes"))*Inputs!$B$1+((Inputs!$G$5:$G$120&lt;&gt;"moeda")*(Inputs!$G$5:$G$120&lt;&gt;"acoes")))*INDEX(Inputs!$K$5:$AJ$120,0,MATCH(V$2,Inputs!$K$4:$AJ$4,0)))+SUMPRODUCT((Inputs!$C$5:$C$120=$B61)*Inputs!$D$5:$D$120*(((Inputs!$G$5:$G$120="moeda")+(Inputs!$G$5:$G$120="acoes"))*Inputs!$B$1+((Inputs!$G$5:$G$120&lt;&gt;"moeda")*(Inputs!$G$5:$G$120&lt;&gt;"acoes")))*INDEX(Inputs!$K$5:$AJ$120,0,MATCH(V$2,Inputs!$K$4:$AJ$4,0)))+SUMPRODUCT((Inputs!$E$5:$E$120=$B61)*Inputs!$F$5:$F$120*(((Inputs!$G$5:$G$120="moeda")+(Inputs!$G$5:$G$120="acoes"))*Inputs!$B$1+((Inputs!$G$5:$G$120&lt;&gt;"moeda")*(Inputs!$G$5:$G$120&lt;&gt;"acoes")))*INDEX(Inputs!$K$5:$AJ$120,0,MATCH(V$2,Inputs!$K$4:$AJ$4,0)))))</f>
        <v>679</v>
      </c>
      <c r="W61" s="514">
        <f>SUM(S61:V61)</f>
        <v>3017</v>
      </c>
      <c r="X61" s="513">
        <f>IF(ISNA(MATCH(X$2,Inputs!$K$4:$AJ$4,0)),NA(),IF(SUMPRODUCT((Inputs!$A$5:$A$120=$B61)*ISNUMBER(INDEX(Inputs!$K$5:$AJ$120,0,MATCH(X$2,Inputs!$K$4:$AJ$4,0))))+SUMPRODUCT((Inputs!$C$5:$C$120=$B61)*ISNUMBER(INDEX(Inputs!$K$5:$AJ$120,0,MATCH(X$2,Inputs!$K$4:$AJ$4,0))))+SUMPRODUCT((Inputs!$E$5:$E$120=$B61)*ISNUMBER(INDEX(Inputs!$K$5:$AJ$120,0,MATCH(X$2,Inputs!$K$4:$AJ$4,0))))=0,NA(),SUMPRODUCT((Inputs!$A$5:$A$120=$B61)*Inputs!$B$5:$B$120*(((Inputs!$G$5:$G$120="moeda")+(Inputs!$G$5:$G$120="acoes"))*Inputs!$B$1+((Inputs!$G$5:$G$120&lt;&gt;"moeda")*(Inputs!$G$5:$G$120&lt;&gt;"acoes")))*INDEX(Inputs!$K$5:$AJ$120,0,MATCH(X$2,Inputs!$K$4:$AJ$4,0)))+SUMPRODUCT((Inputs!$C$5:$C$120=$B61)*Inputs!$D$5:$D$120*(((Inputs!$G$5:$G$120="moeda")+(Inputs!$G$5:$G$120="acoes"))*Inputs!$B$1+((Inputs!$G$5:$G$120&lt;&gt;"moeda")*(Inputs!$G$5:$G$120&lt;&gt;"acoes")))*INDEX(Inputs!$K$5:$AJ$120,0,MATCH(X$2,Inputs!$K$4:$AJ$4,0)))+SUMPRODUCT((Inputs!$E$5:$E$120=$B61)*Inputs!$F$5:$F$120*(((Inputs!$G$5:$G$120="moeda")+(Inputs!$G$5:$G$120="acoes"))*Inputs!$B$1+((Inputs!$G$5:$G$120&lt;&gt;"moeda")*(Inputs!$G$5:$G$120&lt;&gt;"acoes")))*INDEX(Inputs!$K$5:$AJ$120,0,MATCH(X$2,Inputs!$K$4:$AJ$4,0)))))</f>
        <v>755</v>
      </c>
      <c r="Y61" s="513">
        <f>IF(ISNA(MATCH(Y$2,Inputs!$K$4:$AJ$4,0)),NA(),IF(SUMPRODUCT((Inputs!$A$5:$A$120=$B61)*ISNUMBER(INDEX(Inputs!$K$5:$AJ$120,0,MATCH(Y$2,Inputs!$K$4:$AJ$4,0))))+SUMPRODUCT((Inputs!$C$5:$C$120=$B61)*ISNUMBER(INDEX(Inputs!$K$5:$AJ$120,0,MATCH(Y$2,Inputs!$K$4:$AJ$4,0))))+SUMPRODUCT((Inputs!$E$5:$E$120=$B61)*ISNUMBER(INDEX(Inputs!$K$5:$AJ$120,0,MATCH(Y$2,Inputs!$K$4:$AJ$4,0))))=0,NA(),SUMPRODUCT((Inputs!$A$5:$A$120=$B61)*Inputs!$B$5:$B$120*(((Inputs!$G$5:$G$120="moeda")+(Inputs!$G$5:$G$120="acoes"))*Inputs!$B$1+((Inputs!$G$5:$G$120&lt;&gt;"moeda")*(Inputs!$G$5:$G$120&lt;&gt;"acoes")))*INDEX(Inputs!$K$5:$AJ$120,0,MATCH(Y$2,Inputs!$K$4:$AJ$4,0)))+SUMPRODUCT((Inputs!$C$5:$C$120=$B61)*Inputs!$D$5:$D$120*(((Inputs!$G$5:$G$120="moeda")+(Inputs!$G$5:$G$120="acoes"))*Inputs!$B$1+((Inputs!$G$5:$G$120&lt;&gt;"moeda")*(Inputs!$G$5:$G$120&lt;&gt;"acoes")))*INDEX(Inputs!$K$5:$AJ$120,0,MATCH(Y$2,Inputs!$K$4:$AJ$4,0)))+SUMPRODUCT((Inputs!$E$5:$E$120=$B61)*Inputs!$F$5:$F$120*(((Inputs!$G$5:$G$120="moeda")+(Inputs!$G$5:$G$120="acoes"))*Inputs!$B$1+((Inputs!$G$5:$G$120&lt;&gt;"moeda")*(Inputs!$G$5:$G$120&lt;&gt;"acoes")))*INDEX(Inputs!$K$5:$AJ$120,0,MATCH(Y$2,Inputs!$K$4:$AJ$4,0)))))</f>
        <v>818</v>
      </c>
      <c r="Z61" s="513">
        <f>IF(ISNA(MATCH(Z$2,Inputs!$K$4:$AJ$4,0)),NA(),IF(SUMPRODUCT((Inputs!$A$5:$A$120=$B61)*ISNUMBER(INDEX(Inputs!$K$5:$AJ$120,0,MATCH(Z$2,Inputs!$K$4:$AJ$4,0))))+SUMPRODUCT((Inputs!$C$5:$C$120=$B61)*ISNUMBER(INDEX(Inputs!$K$5:$AJ$120,0,MATCH(Z$2,Inputs!$K$4:$AJ$4,0))))+SUMPRODUCT((Inputs!$E$5:$E$120=$B61)*ISNUMBER(INDEX(Inputs!$K$5:$AJ$120,0,MATCH(Z$2,Inputs!$K$4:$AJ$4,0))))=0,NA(),SUMPRODUCT((Inputs!$A$5:$A$120=$B61)*Inputs!$B$5:$B$120*(((Inputs!$G$5:$G$120="moeda")+(Inputs!$G$5:$G$120="acoes"))*Inputs!$B$1+((Inputs!$G$5:$G$120&lt;&gt;"moeda")*(Inputs!$G$5:$G$120&lt;&gt;"acoes")))*INDEX(Inputs!$K$5:$AJ$120,0,MATCH(Z$2,Inputs!$K$4:$AJ$4,0)))+SUMPRODUCT((Inputs!$C$5:$C$120=$B61)*Inputs!$D$5:$D$120*(((Inputs!$G$5:$G$120="moeda")+(Inputs!$G$5:$G$120="acoes"))*Inputs!$B$1+((Inputs!$G$5:$G$120&lt;&gt;"moeda")*(Inputs!$G$5:$G$120&lt;&gt;"acoes")))*INDEX(Inputs!$K$5:$AJ$120,0,MATCH(Z$2,Inputs!$K$4:$AJ$4,0)))+SUMPRODUCT((Inputs!$E$5:$E$120=$B61)*Inputs!$F$5:$F$120*(((Inputs!$G$5:$G$120="moeda")+(Inputs!$G$5:$G$120="acoes"))*Inputs!$B$1+((Inputs!$G$5:$G$120&lt;&gt;"moeda")*(Inputs!$G$5:$G$120&lt;&gt;"acoes")))*INDEX(Inputs!$K$5:$AJ$120,0,MATCH(Z$2,Inputs!$K$4:$AJ$4,0)))))</f>
        <v>774</v>
      </c>
      <c r="AA61" s="513">
        <f>IF(ISNA(MATCH(AA$2,Inputs!$K$4:$AJ$4,0)),NA(),IF(SUMPRODUCT((Inputs!$A$5:$A$120=$B61)*ISNUMBER(INDEX(Inputs!$K$5:$AJ$120,0,MATCH(AA$2,Inputs!$K$4:$AJ$4,0))))+SUMPRODUCT((Inputs!$C$5:$C$120=$B61)*ISNUMBER(INDEX(Inputs!$K$5:$AJ$120,0,MATCH(AA$2,Inputs!$K$4:$AJ$4,0))))+SUMPRODUCT((Inputs!$E$5:$E$120=$B61)*ISNUMBER(INDEX(Inputs!$K$5:$AJ$120,0,MATCH(AA$2,Inputs!$K$4:$AJ$4,0))))=0,NA(),SUMPRODUCT((Inputs!$A$5:$A$120=$B61)*Inputs!$B$5:$B$120*(((Inputs!$G$5:$G$120="moeda")+(Inputs!$G$5:$G$120="acoes"))*Inputs!$B$1+((Inputs!$G$5:$G$120&lt;&gt;"moeda")*(Inputs!$G$5:$G$120&lt;&gt;"acoes")))*INDEX(Inputs!$K$5:$AJ$120,0,MATCH(AA$2,Inputs!$K$4:$AJ$4,0)))+SUMPRODUCT((Inputs!$C$5:$C$120=$B61)*Inputs!$D$5:$D$120*(((Inputs!$G$5:$G$120="moeda")+(Inputs!$G$5:$G$120="acoes"))*Inputs!$B$1+((Inputs!$G$5:$G$120&lt;&gt;"moeda")*(Inputs!$G$5:$G$120&lt;&gt;"acoes")))*INDEX(Inputs!$K$5:$AJ$120,0,MATCH(AA$2,Inputs!$K$4:$AJ$4,0)))+SUMPRODUCT((Inputs!$E$5:$E$120=$B61)*Inputs!$F$5:$F$120*(((Inputs!$G$5:$G$120="moeda")+(Inputs!$G$5:$G$120="acoes"))*Inputs!$B$1+((Inputs!$G$5:$G$120&lt;&gt;"moeda")*(Inputs!$G$5:$G$120&lt;&gt;"acoes")))*INDEX(Inputs!$K$5:$AJ$120,0,MATCH(AA$2,Inputs!$K$4:$AJ$4,0)))))</f>
        <v>834</v>
      </c>
      <c r="AB61" s="514">
        <f>SUM(X61:AA61)</f>
        <v>3181</v>
      </c>
      <c r="AC61" s="513">
        <f>IF(ISNA(MATCH(AC$2,Inputs!$K$4:$AJ$4,0)),NA(),IF(SUMPRODUCT((Inputs!$A$5:$A$120=$B61)*ISNUMBER(INDEX(Inputs!$K$5:$AJ$120,0,MATCH(AC$2,Inputs!$K$4:$AJ$4,0))))+SUMPRODUCT((Inputs!$C$5:$C$120=$B61)*ISNUMBER(INDEX(Inputs!$K$5:$AJ$120,0,MATCH(AC$2,Inputs!$K$4:$AJ$4,0))))+SUMPRODUCT((Inputs!$E$5:$E$120=$B61)*ISNUMBER(INDEX(Inputs!$K$5:$AJ$120,0,MATCH(AC$2,Inputs!$K$4:$AJ$4,0))))=0,NA(),SUMPRODUCT((Inputs!$A$5:$A$120=$B61)*Inputs!$B$5:$B$120*(((Inputs!$G$5:$G$120="moeda")+(Inputs!$G$5:$G$120="acoes"))*Inputs!$B$1+((Inputs!$G$5:$G$120&lt;&gt;"moeda")*(Inputs!$G$5:$G$120&lt;&gt;"acoes")))*INDEX(Inputs!$K$5:$AJ$120,0,MATCH(AC$2,Inputs!$K$4:$AJ$4,0)))+SUMPRODUCT((Inputs!$C$5:$C$120=$B61)*Inputs!$D$5:$D$120*(((Inputs!$G$5:$G$120="moeda")+(Inputs!$G$5:$G$120="acoes"))*Inputs!$B$1+((Inputs!$G$5:$G$120&lt;&gt;"moeda")*(Inputs!$G$5:$G$120&lt;&gt;"acoes")))*INDEX(Inputs!$K$5:$AJ$120,0,MATCH(AC$2,Inputs!$K$4:$AJ$4,0)))+SUMPRODUCT((Inputs!$E$5:$E$120=$B61)*Inputs!$F$5:$F$120*(((Inputs!$G$5:$G$120="moeda")+(Inputs!$G$5:$G$120="acoes"))*Inputs!$B$1+((Inputs!$G$5:$G$120&lt;&gt;"moeda")*(Inputs!$G$5:$G$120&lt;&gt;"acoes")))*INDEX(Inputs!$K$5:$AJ$120,0,MATCH(AC$2,Inputs!$K$4:$AJ$4,0)))))</f>
        <v>969</v>
      </c>
      <c r="AD61" s="513">
        <f>IF(ISNA(MATCH(AD$2,Inputs!$K$4:$AJ$4,0)),NA(),IF(SUMPRODUCT((Inputs!$A$5:$A$120=$B61)*ISNUMBER(INDEX(Inputs!$K$5:$AJ$120,0,MATCH(AD$2,Inputs!$K$4:$AJ$4,0))))+SUMPRODUCT((Inputs!$C$5:$C$120=$B61)*ISNUMBER(INDEX(Inputs!$K$5:$AJ$120,0,MATCH(AD$2,Inputs!$K$4:$AJ$4,0))))+SUMPRODUCT((Inputs!$E$5:$E$120=$B61)*ISNUMBER(INDEX(Inputs!$K$5:$AJ$120,0,MATCH(AD$2,Inputs!$K$4:$AJ$4,0))))=0,NA(),SUMPRODUCT((Inputs!$A$5:$A$120=$B61)*Inputs!$B$5:$B$120*(((Inputs!$G$5:$G$120="moeda")+(Inputs!$G$5:$G$120="acoes"))*Inputs!$B$1+((Inputs!$G$5:$G$120&lt;&gt;"moeda")*(Inputs!$G$5:$G$120&lt;&gt;"acoes")))*INDEX(Inputs!$K$5:$AJ$120,0,MATCH(AD$2,Inputs!$K$4:$AJ$4,0)))+SUMPRODUCT((Inputs!$C$5:$C$120=$B61)*Inputs!$D$5:$D$120*(((Inputs!$G$5:$G$120="moeda")+(Inputs!$G$5:$G$120="acoes"))*Inputs!$B$1+((Inputs!$G$5:$G$120&lt;&gt;"moeda")*(Inputs!$G$5:$G$120&lt;&gt;"acoes")))*INDEX(Inputs!$K$5:$AJ$120,0,MATCH(AD$2,Inputs!$K$4:$AJ$4,0)))+SUMPRODUCT((Inputs!$E$5:$E$120=$B61)*Inputs!$F$5:$F$120*(((Inputs!$G$5:$G$120="moeda")+(Inputs!$G$5:$G$120="acoes"))*Inputs!$B$1+((Inputs!$G$5:$G$120&lt;&gt;"moeda")*(Inputs!$G$5:$G$120&lt;&gt;"acoes")))*INDEX(Inputs!$K$5:$AJ$120,0,MATCH(AD$2,Inputs!$K$4:$AJ$4,0)))))</f>
        <v>1030</v>
      </c>
      <c r="AE61" s="513" t="e">
        <f>IF(ISNA(MATCH(AE$2,Inputs!$K$4:$AJ$4,0)),NA(),IF(SUMPRODUCT((Inputs!$A$5:$A$120=$B61)*ISNUMBER(INDEX(Inputs!$K$5:$AJ$120,0,MATCH(AE$2,Inputs!$K$4:$AJ$4,0))))+SUMPRODUCT((Inputs!$C$5:$C$120=$B61)*ISNUMBER(INDEX(Inputs!$K$5:$AJ$120,0,MATCH(AE$2,Inputs!$K$4:$AJ$4,0))))+SUMPRODUCT((Inputs!$E$5:$E$120=$B61)*ISNUMBER(INDEX(Inputs!$K$5:$AJ$120,0,MATCH(AE$2,Inputs!$K$4:$AJ$4,0))))=0,NA(),SUMPRODUCT((Inputs!$A$5:$A$120=$B61)*Inputs!$B$5:$B$120*(((Inputs!$G$5:$G$120="moeda")+(Inputs!$G$5:$G$120="acoes"))*Inputs!$B$1+((Inputs!$G$5:$G$120&lt;&gt;"moeda")*(Inputs!$G$5:$G$120&lt;&gt;"acoes")))*INDEX(Inputs!$K$5:$AJ$120,0,MATCH(AE$2,Inputs!$K$4:$AJ$4,0)))+SUMPRODUCT((Inputs!$C$5:$C$120=$B61)*Inputs!$D$5:$D$120*(((Inputs!$G$5:$G$120="moeda")+(Inputs!$G$5:$G$120="acoes"))*Inputs!$B$1+((Inputs!$G$5:$G$120&lt;&gt;"moeda")*(Inputs!$G$5:$G$120&lt;&gt;"acoes")))*INDEX(Inputs!$K$5:$AJ$120,0,MATCH(AE$2,Inputs!$K$4:$AJ$4,0)))+SUMPRODUCT((Inputs!$E$5:$E$120=$B61)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1" s="513" t="e">
        <f>IF(ISNA(MATCH(AF$2,Inputs!$K$4:$AJ$4,0)),NA(),IF(SUMPRODUCT((Inputs!$A$5:$A$120=$B61)*ISNUMBER(INDEX(Inputs!$K$5:$AJ$120,0,MATCH(AF$2,Inputs!$K$4:$AJ$4,0))))+SUMPRODUCT((Inputs!$C$5:$C$120=$B61)*ISNUMBER(INDEX(Inputs!$K$5:$AJ$120,0,MATCH(AF$2,Inputs!$K$4:$AJ$4,0))))+SUMPRODUCT((Inputs!$E$5:$E$120=$B61)*ISNUMBER(INDEX(Inputs!$K$5:$AJ$120,0,MATCH(AF$2,Inputs!$K$4:$AJ$4,0))))=0,NA(),SUMPRODUCT((Inputs!$A$5:$A$120=$B61)*Inputs!$B$5:$B$120*(((Inputs!$G$5:$G$120="moeda")+(Inputs!$G$5:$G$120="acoes"))*Inputs!$B$1+((Inputs!$G$5:$G$120&lt;&gt;"moeda")*(Inputs!$G$5:$G$120&lt;&gt;"acoes")))*INDEX(Inputs!$K$5:$AJ$120,0,MATCH(AF$2,Inputs!$K$4:$AJ$4,0)))+SUMPRODUCT((Inputs!$C$5:$C$120=$B61)*Inputs!$D$5:$D$120*(((Inputs!$G$5:$G$120="moeda")+(Inputs!$G$5:$G$120="acoes"))*Inputs!$B$1+((Inputs!$G$5:$G$120&lt;&gt;"moeda")*(Inputs!$G$5:$G$120&lt;&gt;"acoes")))*INDEX(Inputs!$K$5:$AJ$120,0,MATCH(AF$2,Inputs!$K$4:$AJ$4,0)))+SUMPRODUCT((Inputs!$E$5:$E$120=$B61)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1" s="514" t="e">
        <f>SUM(AC61:AF61)</f>
        <v>#N/A</v>
      </c>
      <c r="AH61" s="513">
        <f>IF(ISNA(MATCH(AH$2,Inputs!$K$4:$AJ$4,0)),NA(),IF(SUMPRODUCT((Inputs!$A$5:$A$120=$B61)*ISNUMBER(INDEX(Inputs!$K$5:$AJ$120,0,MATCH(AH$2,Inputs!$K$4:$AJ$4,0))))+SUMPRODUCT((Inputs!$C$5:$C$120=$B61)*ISNUMBER(INDEX(Inputs!$K$5:$AJ$120,0,MATCH(AH$2,Inputs!$K$4:$AJ$4,0))))+SUMPRODUCT((Inputs!$E$5:$E$120=$B61)*ISNUMBER(INDEX(Inputs!$K$5:$AJ$120,0,MATCH(AH$2,Inputs!$K$4:$AJ$4,0))))=0,NA(),SUMPRODUCT((Inputs!$A$5:$A$120=$B61)*Inputs!$B$5:$B$120*(((Inputs!$G$5:$G$120="moeda")+(Inputs!$G$5:$G$120="acoes"))*Inputs!$B$1+((Inputs!$G$5:$G$120&lt;&gt;"moeda")*(Inputs!$G$5:$G$120&lt;&gt;"acoes")))*INDEX(Inputs!$K$5:$AJ$120,0,MATCH(AH$2,Inputs!$K$4:$AJ$4,0)))+SUMPRODUCT((Inputs!$C$5:$C$120=$B61)*Inputs!$D$5:$D$120*(((Inputs!$G$5:$G$120="moeda")+(Inputs!$G$5:$G$120="acoes"))*Inputs!$B$1+((Inputs!$G$5:$G$120&lt;&gt;"moeda")*(Inputs!$G$5:$G$120&lt;&gt;"acoes")))*INDEX(Inputs!$K$5:$AJ$120,0,MATCH(AH$2,Inputs!$K$4:$AJ$4,0)))+SUMPRODUCT((Inputs!$E$5:$E$120=$B61)*Inputs!$F$5:$F$120*(((Inputs!$G$5:$G$120="moeda")+(Inputs!$G$5:$G$120="acoes"))*Inputs!$B$1+((Inputs!$G$5:$G$120&lt;&gt;"moeda")*(Inputs!$G$5:$G$120&lt;&gt;"acoes")))*INDEX(Inputs!$K$5:$AJ$120,0,MATCH(AH$2,Inputs!$K$4:$AJ$4,0)))))</f>
        <v>440</v>
      </c>
      <c r="AI61" s="513">
        <f>IF(ISNA(MATCH(AI$2,Inputs!$K$4:$AJ$4,0)),NA(),IF(SUMPRODUCT((Inputs!$A$5:$A$120=$B61)*ISNUMBER(INDEX(Inputs!$K$5:$AJ$120,0,MATCH(AI$2,Inputs!$K$4:$AJ$4,0))))+SUMPRODUCT((Inputs!$C$5:$C$120=$B61)*ISNUMBER(INDEX(Inputs!$K$5:$AJ$120,0,MATCH(AI$2,Inputs!$K$4:$AJ$4,0))))+SUMPRODUCT((Inputs!$E$5:$E$120=$B61)*ISNUMBER(INDEX(Inputs!$K$5:$AJ$120,0,MATCH(AI$2,Inputs!$K$4:$AJ$4,0))))=0,NA(),SUMPRODUCT((Inputs!$A$5:$A$120=$B61)*Inputs!$B$5:$B$120*(((Inputs!$G$5:$G$120="moeda")+(Inputs!$G$5:$G$120="acoes"))*Inputs!$B$1+((Inputs!$G$5:$G$120&lt;&gt;"moeda")*(Inputs!$G$5:$G$120&lt;&gt;"acoes")))*INDEX(Inputs!$K$5:$AJ$120,0,MATCH(AI$2,Inputs!$K$4:$AJ$4,0)))+SUMPRODUCT((Inputs!$C$5:$C$120=$B61)*Inputs!$D$5:$D$120*(((Inputs!$G$5:$G$120="moeda")+(Inputs!$G$5:$G$120="acoes"))*Inputs!$B$1+((Inputs!$G$5:$G$120&lt;&gt;"moeda")*(Inputs!$G$5:$G$120&lt;&gt;"acoes")))*INDEX(Inputs!$K$5:$AJ$120,0,MATCH(AI$2,Inputs!$K$4:$AJ$4,0)))+SUMPRODUCT((Inputs!$E$5:$E$120=$B61)*Inputs!$F$5:$F$120*(((Inputs!$G$5:$G$120="moeda")+(Inputs!$G$5:$G$120="acoes"))*Inputs!$B$1+((Inputs!$G$5:$G$120&lt;&gt;"moeda")*(Inputs!$G$5:$G$120&lt;&gt;"acoes")))*INDEX(Inputs!$K$5:$AJ$120,0,MATCH(AI$2,Inputs!$K$4:$AJ$4,0)))))</f>
        <v>466</v>
      </c>
      <c r="AJ61" s="513">
        <f>IF(ISNA(MATCH(AJ$2,Inputs!$K$4:$AJ$4,0)),NA(),IF(SUMPRODUCT((Inputs!$A$5:$A$120=$B61)*ISNUMBER(INDEX(Inputs!$K$5:$AJ$120,0,MATCH(AJ$2,Inputs!$K$4:$AJ$4,0))))+SUMPRODUCT((Inputs!$C$5:$C$120=$B61)*ISNUMBER(INDEX(Inputs!$K$5:$AJ$120,0,MATCH(AJ$2,Inputs!$K$4:$AJ$4,0))))+SUMPRODUCT((Inputs!$E$5:$E$120=$B61)*ISNUMBER(INDEX(Inputs!$K$5:$AJ$120,0,MATCH(AJ$2,Inputs!$K$4:$AJ$4,0))))=0,NA(),SUMPRODUCT((Inputs!$A$5:$A$120=$B61)*Inputs!$B$5:$B$120*(((Inputs!$G$5:$G$120="moeda")+(Inputs!$G$5:$G$120="acoes"))*Inputs!$B$1+((Inputs!$G$5:$G$120&lt;&gt;"moeda")*(Inputs!$G$5:$G$120&lt;&gt;"acoes")))*INDEX(Inputs!$K$5:$AJ$120,0,MATCH(AJ$2,Inputs!$K$4:$AJ$4,0)))+SUMPRODUCT((Inputs!$C$5:$C$120=$B61)*Inputs!$D$5:$D$120*(((Inputs!$G$5:$G$120="moeda")+(Inputs!$G$5:$G$120="acoes"))*Inputs!$B$1+((Inputs!$G$5:$G$120&lt;&gt;"moeda")*(Inputs!$G$5:$G$120&lt;&gt;"acoes")))*INDEX(Inputs!$K$5:$AJ$120,0,MATCH(AJ$2,Inputs!$K$4:$AJ$4,0)))+SUMPRODUCT((Inputs!$E$5:$E$120=$B61)*Inputs!$F$5:$F$120*(((Inputs!$G$5:$G$120="moeda")+(Inputs!$G$5:$G$120="acoes"))*Inputs!$B$1+((Inputs!$G$5:$G$120&lt;&gt;"moeda")*(Inputs!$G$5:$G$120&lt;&gt;"acoes")))*INDEX(Inputs!$K$5:$AJ$120,0,MATCH(AJ$2,Inputs!$K$4:$AJ$4,0)))))</f>
        <v>539</v>
      </c>
      <c r="AK61" s="513">
        <f>IF(ISNA(MATCH(AK$2,Inputs!$K$4:$AJ$4,0)),NA(),IF(SUMPRODUCT((Inputs!$A$5:$A$120=$B61)*ISNUMBER(INDEX(Inputs!$K$5:$AJ$120,0,MATCH(AK$2,Inputs!$K$4:$AJ$4,0))))+SUMPRODUCT((Inputs!$C$5:$C$120=$B61)*ISNUMBER(INDEX(Inputs!$K$5:$AJ$120,0,MATCH(AK$2,Inputs!$K$4:$AJ$4,0))))+SUMPRODUCT((Inputs!$E$5:$E$120=$B61)*ISNUMBER(INDEX(Inputs!$K$5:$AJ$120,0,MATCH(AK$2,Inputs!$K$4:$AJ$4,0))))=0,NA(),SUMPRODUCT((Inputs!$A$5:$A$120=$B61)*Inputs!$B$5:$B$120*(((Inputs!$G$5:$G$120="moeda")+(Inputs!$G$5:$G$120="acoes"))*Inputs!$B$1+((Inputs!$G$5:$G$120&lt;&gt;"moeda")*(Inputs!$G$5:$G$120&lt;&gt;"acoes")))*INDEX(Inputs!$K$5:$AJ$120,0,MATCH(AK$2,Inputs!$K$4:$AJ$4,0)))+SUMPRODUCT((Inputs!$C$5:$C$120=$B61)*Inputs!$D$5:$D$120*(((Inputs!$G$5:$G$120="moeda")+(Inputs!$G$5:$G$120="acoes"))*Inputs!$B$1+((Inputs!$G$5:$G$120&lt;&gt;"moeda")*(Inputs!$G$5:$G$120&lt;&gt;"acoes")))*INDEX(Inputs!$K$5:$AJ$120,0,MATCH(AK$2,Inputs!$K$4:$AJ$4,0)))+SUMPRODUCT((Inputs!$E$5:$E$120=$B61)*Inputs!$F$5:$F$120*(((Inputs!$G$5:$G$120="moeda")+(Inputs!$G$5:$G$120="acoes"))*Inputs!$B$1+((Inputs!$G$5:$G$120&lt;&gt;"moeda")*(Inputs!$G$5:$G$120&lt;&gt;"acoes")))*INDEX(Inputs!$K$5:$AJ$120,0,MATCH(AK$2,Inputs!$K$4:$AJ$4,0)))))</f>
        <v>592</v>
      </c>
      <c r="AL61" s="514">
        <f>SUM(AH61:AK61)</f>
        <v>2037</v>
      </c>
    </row>
    <row r="62">
      <c r="B62" s="265" t="n">
        <v>54</v>
      </c>
      <c r="C62" s="266" t="inlineStr">
        <is>
          <t>Atlantic Copper - lucro do segmento (USD)</t>
        </is>
      </c>
      <c r="D62" s="513">
        <f>IF(ISNA(MATCH(D$2,Inputs!$K$4:$AJ$4,0)),NA(),IF(SUMPRODUCT((Inputs!$A$5:$A$120=$B62)*ISNUMBER(INDEX(Inputs!$K$5:$AJ$120,0,MATCH(D$2,Inputs!$K$4:$AJ$4,0))))+SUMPRODUCT((Inputs!$C$5:$C$120=$B62)*ISNUMBER(INDEX(Inputs!$K$5:$AJ$120,0,MATCH(D$2,Inputs!$K$4:$AJ$4,0))))+SUMPRODUCT((Inputs!$E$5:$E$120=$B62)*ISNUMBER(INDEX(Inputs!$K$5:$AJ$120,0,MATCH(D$2,Inputs!$K$4:$AJ$4,0))))=0,NA(),SUMPRODUCT((Inputs!$A$5:$A$120=$B62)*Inputs!$B$5:$B$120*(((Inputs!$G$5:$G$120="moeda")+(Inputs!$G$5:$G$120="acoes"))*Inputs!$B$1+((Inputs!$G$5:$G$120&lt;&gt;"moeda")*(Inputs!$G$5:$G$120&lt;&gt;"acoes")))*INDEX(Inputs!$K$5:$AJ$120,0,MATCH(D$2,Inputs!$K$4:$AJ$4,0)))+SUMPRODUCT((Inputs!$C$5:$C$120=$B62)*Inputs!$D$5:$D$120*(((Inputs!$G$5:$G$120="moeda")+(Inputs!$G$5:$G$120="acoes"))*Inputs!$B$1+((Inputs!$G$5:$G$120&lt;&gt;"moeda")*(Inputs!$G$5:$G$120&lt;&gt;"acoes")))*INDEX(Inputs!$K$5:$AJ$120,0,MATCH(D$2,Inputs!$K$4:$AJ$4,0)))+SUMPRODUCT((Inputs!$E$5:$E$120=$B62)*Inputs!$F$5:$F$120*(((Inputs!$G$5:$G$120="moeda")+(Inputs!$G$5:$G$120="acoes"))*Inputs!$B$1+((Inputs!$G$5:$G$120&lt;&gt;"moeda")*(Inputs!$G$5:$G$120&lt;&gt;"acoes")))*INDEX(Inputs!$K$5:$AJ$120,0,MATCH(D$2,Inputs!$K$4:$AJ$4,0)))))</f>
        <v>0</v>
      </c>
      <c r="E62" s="513">
        <f>IF(ISNA(MATCH(E$2,Inputs!$K$4:$AJ$4,0)),NA(),IF(SUMPRODUCT((Inputs!$A$5:$A$120=$B62)*ISNUMBER(INDEX(Inputs!$K$5:$AJ$120,0,MATCH(E$2,Inputs!$K$4:$AJ$4,0))))+SUMPRODUCT((Inputs!$C$5:$C$120=$B62)*ISNUMBER(INDEX(Inputs!$K$5:$AJ$120,0,MATCH(E$2,Inputs!$K$4:$AJ$4,0))))+SUMPRODUCT((Inputs!$E$5:$E$120=$B62)*ISNUMBER(INDEX(Inputs!$K$5:$AJ$120,0,MATCH(E$2,Inputs!$K$4:$AJ$4,0))))=0,NA(),SUMPRODUCT((Inputs!$A$5:$A$120=$B62)*Inputs!$B$5:$B$120*(((Inputs!$G$5:$G$120="moeda")+(Inputs!$G$5:$G$120="acoes"))*Inputs!$B$1+((Inputs!$G$5:$G$120&lt;&gt;"moeda")*(Inputs!$G$5:$G$120&lt;&gt;"acoes")))*INDEX(Inputs!$K$5:$AJ$120,0,MATCH(E$2,Inputs!$K$4:$AJ$4,0)))+SUMPRODUCT((Inputs!$C$5:$C$120=$B62)*Inputs!$D$5:$D$120*(((Inputs!$G$5:$G$120="moeda")+(Inputs!$G$5:$G$120="acoes"))*Inputs!$B$1+((Inputs!$G$5:$G$120&lt;&gt;"moeda")*(Inputs!$G$5:$G$120&lt;&gt;"acoes")))*INDEX(Inputs!$K$5:$AJ$120,0,MATCH(E$2,Inputs!$K$4:$AJ$4,0)))+SUMPRODUCT((Inputs!$E$5:$E$120=$B62)*Inputs!$F$5:$F$120*(((Inputs!$G$5:$G$120="moeda")+(Inputs!$G$5:$G$120="acoes"))*Inputs!$B$1+((Inputs!$G$5:$G$120&lt;&gt;"moeda")*(Inputs!$G$5:$G$120&lt;&gt;"acoes")))*INDEX(Inputs!$K$5:$AJ$120,0,MATCH(E$2,Inputs!$K$4:$AJ$4,0)))))</f>
        <v>6</v>
      </c>
      <c r="F62" s="513">
        <f>IF(ISNA(MATCH(F$2,Inputs!$K$4:$AJ$4,0)),NA(),IF(SUMPRODUCT((Inputs!$A$5:$A$120=$B62)*ISNUMBER(INDEX(Inputs!$K$5:$AJ$120,0,MATCH(F$2,Inputs!$K$4:$AJ$4,0))))+SUMPRODUCT((Inputs!$C$5:$C$120=$B62)*ISNUMBER(INDEX(Inputs!$K$5:$AJ$120,0,MATCH(F$2,Inputs!$K$4:$AJ$4,0))))+SUMPRODUCT((Inputs!$E$5:$E$120=$B62)*ISNUMBER(INDEX(Inputs!$K$5:$AJ$120,0,MATCH(F$2,Inputs!$K$4:$AJ$4,0))))=0,NA(),SUMPRODUCT((Inputs!$A$5:$A$120=$B62)*Inputs!$B$5:$B$120*(((Inputs!$G$5:$G$120="moeda")+(Inputs!$G$5:$G$120="acoes"))*Inputs!$B$1+((Inputs!$G$5:$G$120&lt;&gt;"moeda")*(Inputs!$G$5:$G$120&lt;&gt;"acoes")))*INDEX(Inputs!$K$5:$AJ$120,0,MATCH(F$2,Inputs!$K$4:$AJ$4,0)))+SUMPRODUCT((Inputs!$C$5:$C$120=$B62)*Inputs!$D$5:$D$120*(((Inputs!$G$5:$G$120="moeda")+(Inputs!$G$5:$G$120="acoes"))*Inputs!$B$1+((Inputs!$G$5:$G$120&lt;&gt;"moeda")*(Inputs!$G$5:$G$120&lt;&gt;"acoes")))*INDEX(Inputs!$K$5:$AJ$120,0,MATCH(F$2,Inputs!$K$4:$AJ$4,0)))+SUMPRODUCT((Inputs!$E$5:$E$120=$B62)*Inputs!$F$5:$F$120*(((Inputs!$G$5:$G$120="moeda")+(Inputs!$G$5:$G$120="acoes"))*Inputs!$B$1+((Inputs!$G$5:$G$120&lt;&gt;"moeda")*(Inputs!$G$5:$G$120&lt;&gt;"acoes")))*INDEX(Inputs!$K$5:$AJ$120,0,MATCH(F$2,Inputs!$K$4:$AJ$4,0)))))</f>
        <v>6</v>
      </c>
      <c r="G62" s="513">
        <f>IF(ISNA(MATCH(G$2,Inputs!$K$4:$AJ$4,0)),NA(),IF(SUMPRODUCT((Inputs!$A$5:$A$120=$B62)*ISNUMBER(INDEX(Inputs!$K$5:$AJ$120,0,MATCH(G$2,Inputs!$K$4:$AJ$4,0))))+SUMPRODUCT((Inputs!$C$5:$C$120=$B62)*ISNUMBER(INDEX(Inputs!$K$5:$AJ$120,0,MATCH(G$2,Inputs!$K$4:$AJ$4,0))))+SUMPRODUCT((Inputs!$E$5:$E$120=$B62)*ISNUMBER(INDEX(Inputs!$K$5:$AJ$120,0,MATCH(G$2,Inputs!$K$4:$AJ$4,0))))=0,NA(),SUMPRODUCT((Inputs!$A$5:$A$120=$B62)*Inputs!$B$5:$B$120*(((Inputs!$G$5:$G$120="moeda")+(Inputs!$G$5:$G$120="acoes"))*Inputs!$B$1+((Inputs!$G$5:$G$120&lt;&gt;"moeda")*(Inputs!$G$5:$G$120&lt;&gt;"acoes")))*INDEX(Inputs!$K$5:$AJ$120,0,MATCH(G$2,Inputs!$K$4:$AJ$4,0)))+SUMPRODUCT((Inputs!$C$5:$C$120=$B62)*Inputs!$D$5:$D$120*(((Inputs!$G$5:$G$120="moeda")+(Inputs!$G$5:$G$120="acoes"))*Inputs!$B$1+((Inputs!$G$5:$G$120&lt;&gt;"moeda")*(Inputs!$G$5:$G$120&lt;&gt;"acoes")))*INDEX(Inputs!$K$5:$AJ$120,0,MATCH(G$2,Inputs!$K$4:$AJ$4,0)))+SUMPRODUCT((Inputs!$E$5:$E$120=$B62)*Inputs!$F$5:$F$120*(((Inputs!$G$5:$G$120="moeda")+(Inputs!$G$5:$G$120="acoes"))*Inputs!$B$1+((Inputs!$G$5:$G$120&lt;&gt;"moeda")*(Inputs!$G$5:$G$120&lt;&gt;"acoes")))*INDEX(Inputs!$K$5:$AJ$120,0,MATCH(G$2,Inputs!$K$4:$AJ$4,0)))))</f>
        <v>9</v>
      </c>
      <c r="H62" s="514">
        <f>SUM(D62:G62)</f>
        <v>21</v>
      </c>
      <c r="I62" s="513">
        <f>IF(ISNA(MATCH(I$2,Inputs!$K$4:$AJ$4,0)),NA(),IF(SUMPRODUCT((Inputs!$A$5:$A$120=$B62)*ISNUMBER(INDEX(Inputs!$K$5:$AJ$120,0,MATCH(I$2,Inputs!$K$4:$AJ$4,0))))+SUMPRODUCT((Inputs!$C$5:$C$120=$B62)*ISNUMBER(INDEX(Inputs!$K$5:$AJ$120,0,MATCH(I$2,Inputs!$K$4:$AJ$4,0))))+SUMPRODUCT((Inputs!$E$5:$E$120=$B62)*ISNUMBER(INDEX(Inputs!$K$5:$AJ$120,0,MATCH(I$2,Inputs!$K$4:$AJ$4,0))))=0,NA(),SUMPRODUCT((Inputs!$A$5:$A$120=$B62)*Inputs!$B$5:$B$120*(((Inputs!$G$5:$G$120="moeda")+(Inputs!$G$5:$G$120="acoes"))*Inputs!$B$1+((Inputs!$G$5:$G$120&lt;&gt;"moeda")*(Inputs!$G$5:$G$120&lt;&gt;"acoes")))*INDEX(Inputs!$K$5:$AJ$120,0,MATCH(I$2,Inputs!$K$4:$AJ$4,0)))+SUMPRODUCT((Inputs!$C$5:$C$120=$B62)*Inputs!$D$5:$D$120*(((Inputs!$G$5:$G$120="moeda")+(Inputs!$G$5:$G$120="acoes"))*Inputs!$B$1+((Inputs!$G$5:$G$120&lt;&gt;"moeda")*(Inputs!$G$5:$G$120&lt;&gt;"acoes")))*INDEX(Inputs!$K$5:$AJ$120,0,MATCH(I$2,Inputs!$K$4:$AJ$4,0)))+SUMPRODUCT((Inputs!$E$5:$E$120=$B62)*Inputs!$F$5:$F$120*(((Inputs!$G$5:$G$120="moeda")+(Inputs!$G$5:$G$120="acoes"))*Inputs!$B$1+((Inputs!$G$5:$G$120&lt;&gt;"moeda")*(Inputs!$G$5:$G$120&lt;&gt;"acoes")))*INDEX(Inputs!$K$5:$AJ$120,0,MATCH(I$2,Inputs!$K$4:$AJ$4,0)))))</f>
        <v>-18</v>
      </c>
      <c r="J62" s="513">
        <f>IF(ISNA(MATCH(J$2,Inputs!$K$4:$AJ$4,0)),NA(),IF(SUMPRODUCT((Inputs!$A$5:$A$120=$B62)*ISNUMBER(INDEX(Inputs!$K$5:$AJ$120,0,MATCH(J$2,Inputs!$K$4:$AJ$4,0))))+SUMPRODUCT((Inputs!$C$5:$C$120=$B62)*ISNUMBER(INDEX(Inputs!$K$5:$AJ$120,0,MATCH(J$2,Inputs!$K$4:$AJ$4,0))))+SUMPRODUCT((Inputs!$E$5:$E$120=$B62)*ISNUMBER(INDEX(Inputs!$K$5:$AJ$120,0,MATCH(J$2,Inputs!$K$4:$AJ$4,0))))=0,NA(),SUMPRODUCT((Inputs!$A$5:$A$120=$B62)*Inputs!$B$5:$B$120*(((Inputs!$G$5:$G$120="moeda")+(Inputs!$G$5:$G$120="acoes"))*Inputs!$B$1+((Inputs!$G$5:$G$120&lt;&gt;"moeda")*(Inputs!$G$5:$G$120&lt;&gt;"acoes")))*INDEX(Inputs!$K$5:$AJ$120,0,MATCH(J$2,Inputs!$K$4:$AJ$4,0)))+SUMPRODUCT((Inputs!$C$5:$C$120=$B62)*Inputs!$D$5:$D$120*(((Inputs!$G$5:$G$120="moeda")+(Inputs!$G$5:$G$120="acoes"))*Inputs!$B$1+((Inputs!$G$5:$G$120&lt;&gt;"moeda")*(Inputs!$G$5:$G$120&lt;&gt;"acoes")))*INDEX(Inputs!$K$5:$AJ$120,0,MATCH(J$2,Inputs!$K$4:$AJ$4,0)))+SUMPRODUCT((Inputs!$E$5:$E$120=$B62)*Inputs!$F$5:$F$120*(((Inputs!$G$5:$G$120="moeda")+(Inputs!$G$5:$G$120="acoes"))*Inputs!$B$1+((Inputs!$G$5:$G$120&lt;&gt;"moeda")*(Inputs!$G$5:$G$120&lt;&gt;"acoes")))*INDEX(Inputs!$K$5:$AJ$120,0,MATCH(J$2,Inputs!$K$4:$AJ$4,0)))))</f>
        <v>-41</v>
      </c>
      <c r="K62" s="513">
        <f>IF(ISNA(MATCH(K$2,Inputs!$K$4:$AJ$4,0)),NA(),IF(SUMPRODUCT((Inputs!$A$5:$A$120=$B62)*ISNUMBER(INDEX(Inputs!$K$5:$AJ$120,0,MATCH(K$2,Inputs!$K$4:$AJ$4,0))))+SUMPRODUCT((Inputs!$C$5:$C$120=$B62)*ISNUMBER(INDEX(Inputs!$K$5:$AJ$120,0,MATCH(K$2,Inputs!$K$4:$AJ$4,0))))+SUMPRODUCT((Inputs!$E$5:$E$120=$B62)*ISNUMBER(INDEX(Inputs!$K$5:$AJ$120,0,MATCH(K$2,Inputs!$K$4:$AJ$4,0))))=0,NA(),SUMPRODUCT((Inputs!$A$5:$A$120=$B62)*Inputs!$B$5:$B$120*(((Inputs!$G$5:$G$120="moeda")+(Inputs!$G$5:$G$120="acoes"))*Inputs!$B$1+((Inputs!$G$5:$G$120&lt;&gt;"moeda")*(Inputs!$G$5:$G$120&lt;&gt;"acoes")))*INDEX(Inputs!$K$5:$AJ$120,0,MATCH(K$2,Inputs!$K$4:$AJ$4,0)))+SUMPRODUCT((Inputs!$C$5:$C$120=$B62)*Inputs!$D$5:$D$120*(((Inputs!$G$5:$G$120="moeda")+(Inputs!$G$5:$G$120="acoes"))*Inputs!$B$1+((Inputs!$G$5:$G$120&lt;&gt;"moeda")*(Inputs!$G$5:$G$120&lt;&gt;"acoes")))*INDEX(Inputs!$K$5:$AJ$120,0,MATCH(K$2,Inputs!$K$4:$AJ$4,0)))+SUMPRODUCT((Inputs!$E$5:$E$120=$B62)*Inputs!$F$5:$F$120*(((Inputs!$G$5:$G$120="moeda")+(Inputs!$G$5:$G$120="acoes"))*Inputs!$B$1+((Inputs!$G$5:$G$120&lt;&gt;"moeda")*(Inputs!$G$5:$G$120&lt;&gt;"acoes")))*INDEX(Inputs!$K$5:$AJ$120,0,MATCH(K$2,Inputs!$K$4:$AJ$4,0)))))</f>
        <v>-9</v>
      </c>
      <c r="L62" s="513">
        <f>IF(ISNA(MATCH(L$2,Inputs!$K$4:$AJ$4,0)),NA(),IF(SUMPRODUCT((Inputs!$A$5:$A$120=$B62)*ISNUMBER(INDEX(Inputs!$K$5:$AJ$120,0,MATCH(L$2,Inputs!$K$4:$AJ$4,0))))+SUMPRODUCT((Inputs!$C$5:$C$120=$B62)*ISNUMBER(INDEX(Inputs!$K$5:$AJ$120,0,MATCH(L$2,Inputs!$K$4:$AJ$4,0))))+SUMPRODUCT((Inputs!$E$5:$E$120=$B62)*ISNUMBER(INDEX(Inputs!$K$5:$AJ$120,0,MATCH(L$2,Inputs!$K$4:$AJ$4,0))))=0,NA(),SUMPRODUCT((Inputs!$A$5:$A$120=$B62)*Inputs!$B$5:$B$120*(((Inputs!$G$5:$G$120="moeda")+(Inputs!$G$5:$G$120="acoes"))*Inputs!$B$1+((Inputs!$G$5:$G$120&lt;&gt;"moeda")*(Inputs!$G$5:$G$120&lt;&gt;"acoes")))*INDEX(Inputs!$K$5:$AJ$120,0,MATCH(L$2,Inputs!$K$4:$AJ$4,0)))+SUMPRODUCT((Inputs!$C$5:$C$120=$B62)*Inputs!$D$5:$D$120*(((Inputs!$G$5:$G$120="moeda")+(Inputs!$G$5:$G$120="acoes"))*Inputs!$B$1+((Inputs!$G$5:$G$120&lt;&gt;"moeda")*(Inputs!$G$5:$G$120&lt;&gt;"acoes")))*INDEX(Inputs!$K$5:$AJ$120,0,MATCH(L$2,Inputs!$K$4:$AJ$4,0)))+SUMPRODUCT((Inputs!$E$5:$E$120=$B62)*Inputs!$F$5:$F$120*(((Inputs!$G$5:$G$120="moeda")+(Inputs!$G$5:$G$120="acoes"))*Inputs!$B$1+((Inputs!$G$5:$G$120&lt;&gt;"moeda")*(Inputs!$G$5:$G$120&lt;&gt;"acoes")))*INDEX(Inputs!$K$5:$AJ$120,0,MATCH(L$2,Inputs!$K$4:$AJ$4,0)))))</f>
        <v>7</v>
      </c>
      <c r="M62" s="514">
        <f>SUM(I62:L62)</f>
        <v>-61</v>
      </c>
      <c r="N62" s="513">
        <f>IF(ISNA(MATCH(N$2,Inputs!$K$4:$AJ$4,0)),NA(),IF(SUMPRODUCT((Inputs!$A$5:$A$120=$B62)*ISNUMBER(INDEX(Inputs!$K$5:$AJ$120,0,MATCH(N$2,Inputs!$K$4:$AJ$4,0))))+SUMPRODUCT((Inputs!$C$5:$C$120=$B62)*ISNUMBER(INDEX(Inputs!$K$5:$AJ$120,0,MATCH(N$2,Inputs!$K$4:$AJ$4,0))))+SUMPRODUCT((Inputs!$E$5:$E$120=$B62)*ISNUMBER(INDEX(Inputs!$K$5:$AJ$120,0,MATCH(N$2,Inputs!$K$4:$AJ$4,0))))=0,NA(),SUMPRODUCT((Inputs!$A$5:$A$120=$B62)*Inputs!$B$5:$B$120*(((Inputs!$G$5:$G$120="moeda")+(Inputs!$G$5:$G$120="acoes"))*Inputs!$B$1+((Inputs!$G$5:$G$120&lt;&gt;"moeda")*(Inputs!$G$5:$G$120&lt;&gt;"acoes")))*INDEX(Inputs!$K$5:$AJ$120,0,MATCH(N$2,Inputs!$K$4:$AJ$4,0)))+SUMPRODUCT((Inputs!$C$5:$C$120=$B62)*Inputs!$D$5:$D$120*(((Inputs!$G$5:$G$120="moeda")+(Inputs!$G$5:$G$120="acoes"))*Inputs!$B$1+((Inputs!$G$5:$G$120&lt;&gt;"moeda")*(Inputs!$G$5:$G$120&lt;&gt;"acoes")))*INDEX(Inputs!$K$5:$AJ$120,0,MATCH(N$2,Inputs!$K$4:$AJ$4,0)))+SUMPRODUCT((Inputs!$E$5:$E$120=$B62)*Inputs!$F$5:$F$120*(((Inputs!$G$5:$G$120="moeda")+(Inputs!$G$5:$G$120="acoes"))*Inputs!$B$1+((Inputs!$G$5:$G$120&lt;&gt;"moeda")*(Inputs!$G$5:$G$120&lt;&gt;"acoes")))*INDEX(Inputs!$K$5:$AJ$120,0,MATCH(N$2,Inputs!$K$4:$AJ$4,0)))))</f>
        <v>7</v>
      </c>
      <c r="O62" s="513">
        <f>IF(ISNA(MATCH(O$2,Inputs!$K$4:$AJ$4,0)),NA(),IF(SUMPRODUCT((Inputs!$A$5:$A$120=$B62)*ISNUMBER(INDEX(Inputs!$K$5:$AJ$120,0,MATCH(O$2,Inputs!$K$4:$AJ$4,0))))+SUMPRODUCT((Inputs!$C$5:$C$120=$B62)*ISNUMBER(INDEX(Inputs!$K$5:$AJ$120,0,MATCH(O$2,Inputs!$K$4:$AJ$4,0))))+SUMPRODUCT((Inputs!$E$5:$E$120=$B62)*ISNUMBER(INDEX(Inputs!$K$5:$AJ$120,0,MATCH(O$2,Inputs!$K$4:$AJ$4,0))))=0,NA(),SUMPRODUCT((Inputs!$A$5:$A$120=$B62)*Inputs!$B$5:$B$120*(((Inputs!$G$5:$G$120="moeda")+(Inputs!$G$5:$G$120="acoes"))*Inputs!$B$1+((Inputs!$G$5:$G$120&lt;&gt;"moeda")*(Inputs!$G$5:$G$120&lt;&gt;"acoes")))*INDEX(Inputs!$K$5:$AJ$120,0,MATCH(O$2,Inputs!$K$4:$AJ$4,0)))+SUMPRODUCT((Inputs!$C$5:$C$120=$B62)*Inputs!$D$5:$D$120*(((Inputs!$G$5:$G$120="moeda")+(Inputs!$G$5:$G$120="acoes"))*Inputs!$B$1+((Inputs!$G$5:$G$120&lt;&gt;"moeda")*(Inputs!$G$5:$G$120&lt;&gt;"acoes")))*INDEX(Inputs!$K$5:$AJ$120,0,MATCH(O$2,Inputs!$K$4:$AJ$4,0)))+SUMPRODUCT((Inputs!$E$5:$E$120=$B62)*Inputs!$F$5:$F$120*(((Inputs!$G$5:$G$120="moeda")+(Inputs!$G$5:$G$120="acoes"))*Inputs!$B$1+((Inputs!$G$5:$G$120&lt;&gt;"moeda")*(Inputs!$G$5:$G$120&lt;&gt;"acoes")))*INDEX(Inputs!$K$5:$AJ$120,0,MATCH(O$2,Inputs!$K$4:$AJ$4,0)))))</f>
        <v>9</v>
      </c>
      <c r="P62" s="513">
        <f>IF(ISNA(MATCH(P$2,Inputs!$K$4:$AJ$4,0)),NA(),IF(SUMPRODUCT((Inputs!$A$5:$A$120=$B62)*ISNUMBER(INDEX(Inputs!$K$5:$AJ$120,0,MATCH(P$2,Inputs!$K$4:$AJ$4,0))))+SUMPRODUCT((Inputs!$C$5:$C$120=$B62)*ISNUMBER(INDEX(Inputs!$K$5:$AJ$120,0,MATCH(P$2,Inputs!$K$4:$AJ$4,0))))+SUMPRODUCT((Inputs!$E$5:$E$120=$B62)*ISNUMBER(INDEX(Inputs!$K$5:$AJ$120,0,MATCH(P$2,Inputs!$K$4:$AJ$4,0))))=0,NA(),SUMPRODUCT((Inputs!$A$5:$A$120=$B62)*Inputs!$B$5:$B$120*(((Inputs!$G$5:$G$120="moeda")+(Inputs!$G$5:$G$120="acoes"))*Inputs!$B$1+((Inputs!$G$5:$G$120&lt;&gt;"moeda")*(Inputs!$G$5:$G$120&lt;&gt;"acoes")))*INDEX(Inputs!$K$5:$AJ$120,0,MATCH(P$2,Inputs!$K$4:$AJ$4,0)))+SUMPRODUCT((Inputs!$C$5:$C$120=$B62)*Inputs!$D$5:$D$120*(((Inputs!$G$5:$G$120="moeda")+(Inputs!$G$5:$G$120="acoes"))*Inputs!$B$1+((Inputs!$G$5:$G$120&lt;&gt;"moeda")*(Inputs!$G$5:$G$120&lt;&gt;"acoes")))*INDEX(Inputs!$K$5:$AJ$120,0,MATCH(P$2,Inputs!$K$4:$AJ$4,0)))+SUMPRODUCT((Inputs!$E$5:$E$120=$B62)*Inputs!$F$5:$F$120*(((Inputs!$G$5:$G$120="moeda")+(Inputs!$G$5:$G$120="acoes"))*Inputs!$B$1+((Inputs!$G$5:$G$120&lt;&gt;"moeda")*(Inputs!$G$5:$G$120&lt;&gt;"acoes")))*INDEX(Inputs!$K$5:$AJ$120,0,MATCH(P$2,Inputs!$K$4:$AJ$4,0)))))</f>
        <v>7</v>
      </c>
      <c r="Q62" s="513">
        <f>IF(ISNA(MATCH(Q$2,Inputs!$K$4:$AJ$4,0)),NA(),IF(SUMPRODUCT((Inputs!$A$5:$A$120=$B62)*ISNUMBER(INDEX(Inputs!$K$5:$AJ$120,0,MATCH(Q$2,Inputs!$K$4:$AJ$4,0))))+SUMPRODUCT((Inputs!$C$5:$C$120=$B62)*ISNUMBER(INDEX(Inputs!$K$5:$AJ$120,0,MATCH(Q$2,Inputs!$K$4:$AJ$4,0))))+SUMPRODUCT((Inputs!$E$5:$E$120=$B62)*ISNUMBER(INDEX(Inputs!$K$5:$AJ$120,0,MATCH(Q$2,Inputs!$K$4:$AJ$4,0))))=0,NA(),SUMPRODUCT((Inputs!$A$5:$A$120=$B62)*Inputs!$B$5:$B$120*(((Inputs!$G$5:$G$120="moeda")+(Inputs!$G$5:$G$120="acoes"))*Inputs!$B$1+((Inputs!$G$5:$G$120&lt;&gt;"moeda")*(Inputs!$G$5:$G$120&lt;&gt;"acoes")))*INDEX(Inputs!$K$5:$AJ$120,0,MATCH(Q$2,Inputs!$K$4:$AJ$4,0)))+SUMPRODUCT((Inputs!$C$5:$C$120=$B62)*Inputs!$D$5:$D$120*(((Inputs!$G$5:$G$120="moeda")+(Inputs!$G$5:$G$120="acoes"))*Inputs!$B$1+((Inputs!$G$5:$G$120&lt;&gt;"moeda")*(Inputs!$G$5:$G$120&lt;&gt;"acoes")))*INDEX(Inputs!$K$5:$AJ$120,0,MATCH(Q$2,Inputs!$K$4:$AJ$4,0)))+SUMPRODUCT((Inputs!$E$5:$E$120=$B62)*Inputs!$F$5:$F$120*(((Inputs!$G$5:$G$120="moeda")+(Inputs!$G$5:$G$120="acoes"))*Inputs!$B$1+((Inputs!$G$5:$G$120&lt;&gt;"moeda")*(Inputs!$G$5:$G$120&lt;&gt;"acoes")))*INDEX(Inputs!$K$5:$AJ$120,0,MATCH(Q$2,Inputs!$K$4:$AJ$4,0)))))</f>
        <v>13</v>
      </c>
      <c r="R62" s="514">
        <f>SUM(N62:Q62)</f>
        <v>36</v>
      </c>
      <c r="S62" s="513">
        <f>IF(ISNA(MATCH(S$2,Inputs!$K$4:$AJ$4,0)),NA(),IF(SUMPRODUCT((Inputs!$A$5:$A$120=$B62)*ISNUMBER(INDEX(Inputs!$K$5:$AJ$120,0,MATCH(S$2,Inputs!$K$4:$AJ$4,0))))+SUMPRODUCT((Inputs!$C$5:$C$120=$B62)*ISNUMBER(INDEX(Inputs!$K$5:$AJ$120,0,MATCH(S$2,Inputs!$K$4:$AJ$4,0))))+SUMPRODUCT((Inputs!$E$5:$E$120=$B62)*ISNUMBER(INDEX(Inputs!$K$5:$AJ$120,0,MATCH(S$2,Inputs!$K$4:$AJ$4,0))))=0,NA(),SUMPRODUCT((Inputs!$A$5:$A$120=$B62)*Inputs!$B$5:$B$120*(((Inputs!$G$5:$G$120="moeda")+(Inputs!$G$5:$G$120="acoes"))*Inputs!$B$1+((Inputs!$G$5:$G$120&lt;&gt;"moeda")*(Inputs!$G$5:$G$120&lt;&gt;"acoes")))*INDEX(Inputs!$K$5:$AJ$120,0,MATCH(S$2,Inputs!$K$4:$AJ$4,0)))+SUMPRODUCT((Inputs!$C$5:$C$120=$B62)*Inputs!$D$5:$D$120*(((Inputs!$G$5:$G$120="moeda")+(Inputs!$G$5:$G$120="acoes"))*Inputs!$B$1+((Inputs!$G$5:$G$120&lt;&gt;"moeda")*(Inputs!$G$5:$G$120&lt;&gt;"acoes")))*INDEX(Inputs!$K$5:$AJ$120,0,MATCH(S$2,Inputs!$K$4:$AJ$4,0)))+SUMPRODUCT((Inputs!$E$5:$E$120=$B62)*Inputs!$F$5:$F$120*(((Inputs!$G$5:$G$120="moeda")+(Inputs!$G$5:$G$120="acoes"))*Inputs!$B$1+((Inputs!$G$5:$G$120&lt;&gt;"moeda")*(Inputs!$G$5:$G$120&lt;&gt;"acoes")))*INDEX(Inputs!$K$5:$AJ$120,0,MATCH(S$2,Inputs!$K$4:$AJ$4,0)))))</f>
        <v>7</v>
      </c>
      <c r="T62" s="513">
        <f>IF(ISNA(MATCH(T$2,Inputs!$K$4:$AJ$4,0)),NA(),IF(SUMPRODUCT((Inputs!$A$5:$A$120=$B62)*ISNUMBER(INDEX(Inputs!$K$5:$AJ$120,0,MATCH(T$2,Inputs!$K$4:$AJ$4,0))))+SUMPRODUCT((Inputs!$C$5:$C$120=$B62)*ISNUMBER(INDEX(Inputs!$K$5:$AJ$120,0,MATCH(T$2,Inputs!$K$4:$AJ$4,0))))+SUMPRODUCT((Inputs!$E$5:$E$120=$B62)*ISNUMBER(INDEX(Inputs!$K$5:$AJ$120,0,MATCH(T$2,Inputs!$K$4:$AJ$4,0))))=0,NA(),SUMPRODUCT((Inputs!$A$5:$A$120=$B62)*Inputs!$B$5:$B$120*(((Inputs!$G$5:$G$120="moeda")+(Inputs!$G$5:$G$120="acoes"))*Inputs!$B$1+((Inputs!$G$5:$G$120&lt;&gt;"moeda")*(Inputs!$G$5:$G$120&lt;&gt;"acoes")))*INDEX(Inputs!$K$5:$AJ$120,0,MATCH(T$2,Inputs!$K$4:$AJ$4,0)))+SUMPRODUCT((Inputs!$C$5:$C$120=$B62)*Inputs!$D$5:$D$120*(((Inputs!$G$5:$G$120="moeda")+(Inputs!$G$5:$G$120="acoes"))*Inputs!$B$1+((Inputs!$G$5:$G$120&lt;&gt;"moeda")*(Inputs!$G$5:$G$120&lt;&gt;"acoes")))*INDEX(Inputs!$K$5:$AJ$120,0,MATCH(T$2,Inputs!$K$4:$AJ$4,0)))+SUMPRODUCT((Inputs!$E$5:$E$120=$B62)*Inputs!$F$5:$F$120*(((Inputs!$G$5:$G$120="moeda")+(Inputs!$G$5:$G$120="acoes"))*Inputs!$B$1+((Inputs!$G$5:$G$120&lt;&gt;"moeda")*(Inputs!$G$5:$G$120&lt;&gt;"acoes")))*INDEX(Inputs!$K$5:$AJ$120,0,MATCH(T$2,Inputs!$K$4:$AJ$4,0)))))</f>
        <v>28</v>
      </c>
      <c r="U62" s="513">
        <f>IF(ISNA(MATCH(U$2,Inputs!$K$4:$AJ$4,0)),NA(),IF(SUMPRODUCT((Inputs!$A$5:$A$120=$B62)*ISNUMBER(INDEX(Inputs!$K$5:$AJ$120,0,MATCH(U$2,Inputs!$K$4:$AJ$4,0))))+SUMPRODUCT((Inputs!$C$5:$C$120=$B62)*ISNUMBER(INDEX(Inputs!$K$5:$AJ$120,0,MATCH(U$2,Inputs!$K$4:$AJ$4,0))))+SUMPRODUCT((Inputs!$E$5:$E$120=$B62)*ISNUMBER(INDEX(Inputs!$K$5:$AJ$120,0,MATCH(U$2,Inputs!$K$4:$AJ$4,0))))=0,NA(),SUMPRODUCT((Inputs!$A$5:$A$120=$B62)*Inputs!$B$5:$B$120*(((Inputs!$G$5:$G$120="moeda")+(Inputs!$G$5:$G$120="acoes"))*Inputs!$B$1+((Inputs!$G$5:$G$120&lt;&gt;"moeda")*(Inputs!$G$5:$G$120&lt;&gt;"acoes")))*INDEX(Inputs!$K$5:$AJ$120,0,MATCH(U$2,Inputs!$K$4:$AJ$4,0)))+SUMPRODUCT((Inputs!$C$5:$C$120=$B62)*Inputs!$D$5:$D$120*(((Inputs!$G$5:$G$120="moeda")+(Inputs!$G$5:$G$120="acoes"))*Inputs!$B$1+((Inputs!$G$5:$G$120&lt;&gt;"moeda")*(Inputs!$G$5:$G$120&lt;&gt;"acoes")))*INDEX(Inputs!$K$5:$AJ$120,0,MATCH(U$2,Inputs!$K$4:$AJ$4,0)))+SUMPRODUCT((Inputs!$E$5:$E$120=$B62)*Inputs!$F$5:$F$120*(((Inputs!$G$5:$G$120="moeda")+(Inputs!$G$5:$G$120="acoes"))*Inputs!$B$1+((Inputs!$G$5:$G$120&lt;&gt;"moeda")*(Inputs!$G$5:$G$120&lt;&gt;"acoes")))*INDEX(Inputs!$K$5:$AJ$120,0,MATCH(U$2,Inputs!$K$4:$AJ$4,0)))))</f>
        <v>-1</v>
      </c>
      <c r="V62" s="513">
        <f>IF(ISNA(MATCH(V$2,Inputs!$K$4:$AJ$4,0)),NA(),IF(SUMPRODUCT((Inputs!$A$5:$A$120=$B62)*ISNUMBER(INDEX(Inputs!$K$5:$AJ$120,0,MATCH(V$2,Inputs!$K$4:$AJ$4,0))))+SUMPRODUCT((Inputs!$C$5:$C$120=$B62)*ISNUMBER(INDEX(Inputs!$K$5:$AJ$120,0,MATCH(V$2,Inputs!$K$4:$AJ$4,0))))+SUMPRODUCT((Inputs!$E$5:$E$120=$B62)*ISNUMBER(INDEX(Inputs!$K$5:$AJ$120,0,MATCH(V$2,Inputs!$K$4:$AJ$4,0))))=0,NA(),SUMPRODUCT((Inputs!$A$5:$A$120=$B62)*Inputs!$B$5:$B$120*(((Inputs!$G$5:$G$120="moeda")+(Inputs!$G$5:$G$120="acoes"))*Inputs!$B$1+((Inputs!$G$5:$G$120&lt;&gt;"moeda")*(Inputs!$G$5:$G$120&lt;&gt;"acoes")))*INDEX(Inputs!$K$5:$AJ$120,0,MATCH(V$2,Inputs!$K$4:$AJ$4,0)))+SUMPRODUCT((Inputs!$C$5:$C$120=$B62)*Inputs!$D$5:$D$120*(((Inputs!$G$5:$G$120="moeda")+(Inputs!$G$5:$G$120="acoes"))*Inputs!$B$1+((Inputs!$G$5:$G$120&lt;&gt;"moeda")*(Inputs!$G$5:$G$120&lt;&gt;"acoes")))*INDEX(Inputs!$K$5:$AJ$120,0,MATCH(V$2,Inputs!$K$4:$AJ$4,0)))+SUMPRODUCT((Inputs!$E$5:$E$120=$B62)*Inputs!$F$5:$F$120*(((Inputs!$G$5:$G$120="moeda")+(Inputs!$G$5:$G$120="acoes"))*Inputs!$B$1+((Inputs!$G$5:$G$120&lt;&gt;"moeda")*(Inputs!$G$5:$G$120&lt;&gt;"acoes")))*INDEX(Inputs!$K$5:$AJ$120,0,MATCH(V$2,Inputs!$K$4:$AJ$4,0)))))</f>
        <v>15</v>
      </c>
      <c r="W62" s="514">
        <f>SUM(S62:V62)</f>
        <v>49</v>
      </c>
      <c r="X62" s="513">
        <f>IF(ISNA(MATCH(X$2,Inputs!$K$4:$AJ$4,0)),NA(),IF(SUMPRODUCT((Inputs!$A$5:$A$120=$B62)*ISNUMBER(INDEX(Inputs!$K$5:$AJ$120,0,MATCH(X$2,Inputs!$K$4:$AJ$4,0))))+SUMPRODUCT((Inputs!$C$5:$C$120=$B62)*ISNUMBER(INDEX(Inputs!$K$5:$AJ$120,0,MATCH(X$2,Inputs!$K$4:$AJ$4,0))))+SUMPRODUCT((Inputs!$E$5:$E$120=$B62)*ISNUMBER(INDEX(Inputs!$K$5:$AJ$120,0,MATCH(X$2,Inputs!$K$4:$AJ$4,0))))=0,NA(),SUMPRODUCT((Inputs!$A$5:$A$120=$B62)*Inputs!$B$5:$B$120*(((Inputs!$G$5:$G$120="moeda")+(Inputs!$G$5:$G$120="acoes"))*Inputs!$B$1+((Inputs!$G$5:$G$120&lt;&gt;"moeda")*(Inputs!$G$5:$G$120&lt;&gt;"acoes")))*INDEX(Inputs!$K$5:$AJ$120,0,MATCH(X$2,Inputs!$K$4:$AJ$4,0)))+SUMPRODUCT((Inputs!$C$5:$C$120=$B62)*Inputs!$D$5:$D$120*(((Inputs!$G$5:$G$120="moeda")+(Inputs!$G$5:$G$120="acoes"))*Inputs!$B$1+((Inputs!$G$5:$G$120&lt;&gt;"moeda")*(Inputs!$G$5:$G$120&lt;&gt;"acoes")))*INDEX(Inputs!$K$5:$AJ$120,0,MATCH(X$2,Inputs!$K$4:$AJ$4,0)))+SUMPRODUCT((Inputs!$E$5:$E$120=$B62)*Inputs!$F$5:$F$120*(((Inputs!$G$5:$G$120="moeda")+(Inputs!$G$5:$G$120="acoes"))*Inputs!$B$1+((Inputs!$G$5:$G$120&lt;&gt;"moeda")*(Inputs!$G$5:$G$120&lt;&gt;"acoes")))*INDEX(Inputs!$K$5:$AJ$120,0,MATCH(X$2,Inputs!$K$4:$AJ$4,0)))))</f>
        <v>5</v>
      </c>
      <c r="Y62" s="513">
        <f>IF(ISNA(MATCH(Y$2,Inputs!$K$4:$AJ$4,0)),NA(),IF(SUMPRODUCT((Inputs!$A$5:$A$120=$B62)*ISNUMBER(INDEX(Inputs!$K$5:$AJ$120,0,MATCH(Y$2,Inputs!$K$4:$AJ$4,0))))+SUMPRODUCT((Inputs!$C$5:$C$120=$B62)*ISNUMBER(INDEX(Inputs!$K$5:$AJ$120,0,MATCH(Y$2,Inputs!$K$4:$AJ$4,0))))+SUMPRODUCT((Inputs!$E$5:$E$120=$B62)*ISNUMBER(INDEX(Inputs!$K$5:$AJ$120,0,MATCH(Y$2,Inputs!$K$4:$AJ$4,0))))=0,NA(),SUMPRODUCT((Inputs!$A$5:$A$120=$B62)*Inputs!$B$5:$B$120*(((Inputs!$G$5:$G$120="moeda")+(Inputs!$G$5:$G$120="acoes"))*Inputs!$B$1+((Inputs!$G$5:$G$120&lt;&gt;"moeda")*(Inputs!$G$5:$G$120&lt;&gt;"acoes")))*INDEX(Inputs!$K$5:$AJ$120,0,MATCH(Y$2,Inputs!$K$4:$AJ$4,0)))+SUMPRODUCT((Inputs!$C$5:$C$120=$B62)*Inputs!$D$5:$D$120*(((Inputs!$G$5:$G$120="moeda")+(Inputs!$G$5:$G$120="acoes"))*Inputs!$B$1+((Inputs!$G$5:$G$120&lt;&gt;"moeda")*(Inputs!$G$5:$G$120&lt;&gt;"acoes")))*INDEX(Inputs!$K$5:$AJ$120,0,MATCH(Y$2,Inputs!$K$4:$AJ$4,0)))+SUMPRODUCT((Inputs!$E$5:$E$120=$B62)*Inputs!$F$5:$F$120*(((Inputs!$G$5:$G$120="moeda")+(Inputs!$G$5:$G$120="acoes"))*Inputs!$B$1+((Inputs!$G$5:$G$120&lt;&gt;"moeda")*(Inputs!$G$5:$G$120&lt;&gt;"acoes")))*INDEX(Inputs!$K$5:$AJ$120,0,MATCH(Y$2,Inputs!$K$4:$AJ$4,0)))))</f>
        <v>13</v>
      </c>
      <c r="Z62" s="513">
        <f>IF(ISNA(MATCH(Z$2,Inputs!$K$4:$AJ$4,0)),NA(),IF(SUMPRODUCT((Inputs!$A$5:$A$120=$B62)*ISNUMBER(INDEX(Inputs!$K$5:$AJ$120,0,MATCH(Z$2,Inputs!$K$4:$AJ$4,0))))+SUMPRODUCT((Inputs!$C$5:$C$120=$B62)*ISNUMBER(INDEX(Inputs!$K$5:$AJ$120,0,MATCH(Z$2,Inputs!$K$4:$AJ$4,0))))+SUMPRODUCT((Inputs!$E$5:$E$120=$B62)*ISNUMBER(INDEX(Inputs!$K$5:$AJ$120,0,MATCH(Z$2,Inputs!$K$4:$AJ$4,0))))=0,NA(),SUMPRODUCT((Inputs!$A$5:$A$120=$B62)*Inputs!$B$5:$B$120*(((Inputs!$G$5:$G$120="moeda")+(Inputs!$G$5:$G$120="acoes"))*Inputs!$B$1+((Inputs!$G$5:$G$120&lt;&gt;"moeda")*(Inputs!$G$5:$G$120&lt;&gt;"acoes")))*INDEX(Inputs!$K$5:$AJ$120,0,MATCH(Z$2,Inputs!$K$4:$AJ$4,0)))+SUMPRODUCT((Inputs!$C$5:$C$120=$B62)*Inputs!$D$5:$D$120*(((Inputs!$G$5:$G$120="moeda")+(Inputs!$G$5:$G$120="acoes"))*Inputs!$B$1+((Inputs!$G$5:$G$120&lt;&gt;"moeda")*(Inputs!$G$5:$G$120&lt;&gt;"acoes")))*INDEX(Inputs!$K$5:$AJ$120,0,MATCH(Z$2,Inputs!$K$4:$AJ$4,0)))+SUMPRODUCT((Inputs!$E$5:$E$120=$B62)*Inputs!$F$5:$F$120*(((Inputs!$G$5:$G$120="moeda")+(Inputs!$G$5:$G$120="acoes"))*Inputs!$B$1+((Inputs!$G$5:$G$120&lt;&gt;"moeda")*(Inputs!$G$5:$G$120&lt;&gt;"acoes")))*INDEX(Inputs!$K$5:$AJ$120,0,MATCH(Z$2,Inputs!$K$4:$AJ$4,0)))))</f>
        <v>7</v>
      </c>
      <c r="AA62" s="513">
        <f>IF(ISNA(MATCH(AA$2,Inputs!$K$4:$AJ$4,0)),NA(),IF(SUMPRODUCT((Inputs!$A$5:$A$120=$B62)*ISNUMBER(INDEX(Inputs!$K$5:$AJ$120,0,MATCH(AA$2,Inputs!$K$4:$AJ$4,0))))+SUMPRODUCT((Inputs!$C$5:$C$120=$B62)*ISNUMBER(INDEX(Inputs!$K$5:$AJ$120,0,MATCH(AA$2,Inputs!$K$4:$AJ$4,0))))+SUMPRODUCT((Inputs!$E$5:$E$120=$B62)*ISNUMBER(INDEX(Inputs!$K$5:$AJ$120,0,MATCH(AA$2,Inputs!$K$4:$AJ$4,0))))=0,NA(),SUMPRODUCT((Inputs!$A$5:$A$120=$B62)*Inputs!$B$5:$B$120*(((Inputs!$G$5:$G$120="moeda")+(Inputs!$G$5:$G$120="acoes"))*Inputs!$B$1+((Inputs!$G$5:$G$120&lt;&gt;"moeda")*(Inputs!$G$5:$G$120&lt;&gt;"acoes")))*INDEX(Inputs!$K$5:$AJ$120,0,MATCH(AA$2,Inputs!$K$4:$AJ$4,0)))+SUMPRODUCT((Inputs!$C$5:$C$120=$B62)*Inputs!$D$5:$D$120*(((Inputs!$G$5:$G$120="moeda")+(Inputs!$G$5:$G$120="acoes"))*Inputs!$B$1+((Inputs!$G$5:$G$120&lt;&gt;"moeda")*(Inputs!$G$5:$G$120&lt;&gt;"acoes")))*INDEX(Inputs!$K$5:$AJ$120,0,MATCH(AA$2,Inputs!$K$4:$AJ$4,0)))+SUMPRODUCT((Inputs!$E$5:$E$120=$B62)*Inputs!$F$5:$F$120*(((Inputs!$G$5:$G$120="moeda")+(Inputs!$G$5:$G$120="acoes"))*Inputs!$B$1+((Inputs!$G$5:$G$120&lt;&gt;"moeda")*(Inputs!$G$5:$G$120&lt;&gt;"acoes")))*INDEX(Inputs!$K$5:$AJ$120,0,MATCH(AA$2,Inputs!$K$4:$AJ$4,0)))))</f>
        <v>-14</v>
      </c>
      <c r="AB62" s="514">
        <f>SUM(X62:AA62)</f>
        <v>11</v>
      </c>
      <c r="AC62" s="513">
        <f>IF(ISNA(MATCH(AC$2,Inputs!$K$4:$AJ$4,0)),NA(),IF(SUMPRODUCT((Inputs!$A$5:$A$120=$B62)*ISNUMBER(INDEX(Inputs!$K$5:$AJ$120,0,MATCH(AC$2,Inputs!$K$4:$AJ$4,0))))+SUMPRODUCT((Inputs!$C$5:$C$120=$B62)*ISNUMBER(INDEX(Inputs!$K$5:$AJ$120,0,MATCH(AC$2,Inputs!$K$4:$AJ$4,0))))+SUMPRODUCT((Inputs!$E$5:$E$120=$B62)*ISNUMBER(INDEX(Inputs!$K$5:$AJ$120,0,MATCH(AC$2,Inputs!$K$4:$AJ$4,0))))=0,NA(),SUMPRODUCT((Inputs!$A$5:$A$120=$B62)*Inputs!$B$5:$B$120*(((Inputs!$G$5:$G$120="moeda")+(Inputs!$G$5:$G$120="acoes"))*Inputs!$B$1+((Inputs!$G$5:$G$120&lt;&gt;"moeda")*(Inputs!$G$5:$G$120&lt;&gt;"acoes")))*INDEX(Inputs!$K$5:$AJ$120,0,MATCH(AC$2,Inputs!$K$4:$AJ$4,0)))+SUMPRODUCT((Inputs!$C$5:$C$120=$B62)*Inputs!$D$5:$D$120*(((Inputs!$G$5:$G$120="moeda")+(Inputs!$G$5:$G$120="acoes"))*Inputs!$B$1+((Inputs!$G$5:$G$120&lt;&gt;"moeda")*(Inputs!$G$5:$G$120&lt;&gt;"acoes")))*INDEX(Inputs!$K$5:$AJ$120,0,MATCH(AC$2,Inputs!$K$4:$AJ$4,0)))+SUMPRODUCT((Inputs!$E$5:$E$120=$B62)*Inputs!$F$5:$F$120*(((Inputs!$G$5:$G$120="moeda")+(Inputs!$G$5:$G$120="acoes"))*Inputs!$B$1+((Inputs!$G$5:$G$120&lt;&gt;"moeda")*(Inputs!$G$5:$G$120&lt;&gt;"acoes")))*INDEX(Inputs!$K$5:$AJ$120,0,MATCH(AC$2,Inputs!$K$4:$AJ$4,0)))))</f>
        <v>22</v>
      </c>
      <c r="AD62" s="513">
        <f>IF(ISNA(MATCH(AD$2,Inputs!$K$4:$AJ$4,0)),NA(),IF(SUMPRODUCT((Inputs!$A$5:$A$120=$B62)*ISNUMBER(INDEX(Inputs!$K$5:$AJ$120,0,MATCH(AD$2,Inputs!$K$4:$AJ$4,0))))+SUMPRODUCT((Inputs!$C$5:$C$120=$B62)*ISNUMBER(INDEX(Inputs!$K$5:$AJ$120,0,MATCH(AD$2,Inputs!$K$4:$AJ$4,0))))+SUMPRODUCT((Inputs!$E$5:$E$120=$B62)*ISNUMBER(INDEX(Inputs!$K$5:$AJ$120,0,MATCH(AD$2,Inputs!$K$4:$AJ$4,0))))=0,NA(),SUMPRODUCT((Inputs!$A$5:$A$120=$B62)*Inputs!$B$5:$B$120*(((Inputs!$G$5:$G$120="moeda")+(Inputs!$G$5:$G$120="acoes"))*Inputs!$B$1+((Inputs!$G$5:$G$120&lt;&gt;"moeda")*(Inputs!$G$5:$G$120&lt;&gt;"acoes")))*INDEX(Inputs!$K$5:$AJ$120,0,MATCH(AD$2,Inputs!$K$4:$AJ$4,0)))+SUMPRODUCT((Inputs!$C$5:$C$120=$B62)*Inputs!$D$5:$D$120*(((Inputs!$G$5:$G$120="moeda")+(Inputs!$G$5:$G$120="acoes"))*Inputs!$B$1+((Inputs!$G$5:$G$120&lt;&gt;"moeda")*(Inputs!$G$5:$G$120&lt;&gt;"acoes")))*INDEX(Inputs!$K$5:$AJ$120,0,MATCH(AD$2,Inputs!$K$4:$AJ$4,0)))+SUMPRODUCT((Inputs!$E$5:$E$120=$B62)*Inputs!$F$5:$F$120*(((Inputs!$G$5:$G$120="moeda")+(Inputs!$G$5:$G$120="acoes"))*Inputs!$B$1+((Inputs!$G$5:$G$120&lt;&gt;"moeda")*(Inputs!$G$5:$G$120&lt;&gt;"acoes")))*INDEX(Inputs!$K$5:$AJ$120,0,MATCH(AD$2,Inputs!$K$4:$AJ$4,0)))))</f>
        <v>26</v>
      </c>
      <c r="AE62" s="513" t="e">
        <f>IF(ISNA(MATCH(AE$2,Inputs!$K$4:$AJ$4,0)),NA(),IF(SUMPRODUCT((Inputs!$A$5:$A$120=$B62)*ISNUMBER(INDEX(Inputs!$K$5:$AJ$120,0,MATCH(AE$2,Inputs!$K$4:$AJ$4,0))))+SUMPRODUCT((Inputs!$C$5:$C$120=$B62)*ISNUMBER(INDEX(Inputs!$K$5:$AJ$120,0,MATCH(AE$2,Inputs!$K$4:$AJ$4,0))))+SUMPRODUCT((Inputs!$E$5:$E$120=$B62)*ISNUMBER(INDEX(Inputs!$K$5:$AJ$120,0,MATCH(AE$2,Inputs!$K$4:$AJ$4,0))))=0,NA(),SUMPRODUCT((Inputs!$A$5:$A$120=$B62)*Inputs!$B$5:$B$120*(((Inputs!$G$5:$G$120="moeda")+(Inputs!$G$5:$G$120="acoes"))*Inputs!$B$1+((Inputs!$G$5:$G$120&lt;&gt;"moeda")*(Inputs!$G$5:$G$120&lt;&gt;"acoes")))*INDEX(Inputs!$K$5:$AJ$120,0,MATCH(AE$2,Inputs!$K$4:$AJ$4,0)))+SUMPRODUCT((Inputs!$C$5:$C$120=$B62)*Inputs!$D$5:$D$120*(((Inputs!$G$5:$G$120="moeda")+(Inputs!$G$5:$G$120="acoes"))*Inputs!$B$1+((Inputs!$G$5:$G$120&lt;&gt;"moeda")*(Inputs!$G$5:$G$120&lt;&gt;"acoes")))*INDEX(Inputs!$K$5:$AJ$120,0,MATCH(AE$2,Inputs!$K$4:$AJ$4,0)))+SUMPRODUCT((Inputs!$E$5:$E$120=$B62)*Inputs!$F$5:$F$120*(((Inputs!$G$5:$G$120="moeda")+(Inputs!$G$5:$G$120="acoes"))*Inputs!$B$1+((Inputs!$G$5:$G$120&lt;&gt;"moeda")*(Inputs!$G$5:$G$120&lt;&gt;"acoes")))*INDEX(Inputs!$K$5:$AJ$120,0,MATCH(AE$2,Inputs!$K$4:$AJ$4,0)))))</f>
        <v>#N/A</v>
      </c>
      <c r="AF62" s="513" t="e">
        <f>IF(ISNA(MATCH(AF$2,Inputs!$K$4:$AJ$4,0)),NA(),IF(SUMPRODUCT((Inputs!$A$5:$A$120=$B62)*ISNUMBER(INDEX(Inputs!$K$5:$AJ$120,0,MATCH(AF$2,Inputs!$K$4:$AJ$4,0))))+SUMPRODUCT((Inputs!$C$5:$C$120=$B62)*ISNUMBER(INDEX(Inputs!$K$5:$AJ$120,0,MATCH(AF$2,Inputs!$K$4:$AJ$4,0))))+SUMPRODUCT((Inputs!$E$5:$E$120=$B62)*ISNUMBER(INDEX(Inputs!$K$5:$AJ$120,0,MATCH(AF$2,Inputs!$K$4:$AJ$4,0))))=0,NA(),SUMPRODUCT((Inputs!$A$5:$A$120=$B62)*Inputs!$B$5:$B$120*(((Inputs!$G$5:$G$120="moeda")+(Inputs!$G$5:$G$120="acoes"))*Inputs!$B$1+((Inputs!$G$5:$G$120&lt;&gt;"moeda")*(Inputs!$G$5:$G$120&lt;&gt;"acoes")))*INDEX(Inputs!$K$5:$AJ$120,0,MATCH(AF$2,Inputs!$K$4:$AJ$4,0)))+SUMPRODUCT((Inputs!$C$5:$C$120=$B62)*Inputs!$D$5:$D$120*(((Inputs!$G$5:$G$120="moeda")+(Inputs!$G$5:$G$120="acoes"))*Inputs!$B$1+((Inputs!$G$5:$G$120&lt;&gt;"moeda")*(Inputs!$G$5:$G$120&lt;&gt;"acoes")))*INDEX(Inputs!$K$5:$AJ$120,0,MATCH(AF$2,Inputs!$K$4:$AJ$4,0)))+SUMPRODUCT((Inputs!$E$5:$E$120=$B62)*Inputs!$F$5:$F$120*(((Inputs!$G$5:$G$120="moeda")+(Inputs!$G$5:$G$120="acoes"))*Inputs!$B$1+((Inputs!$G$5:$G$120&lt;&gt;"moeda")*(Inputs!$G$5:$G$120&lt;&gt;"acoes")))*INDEX(Inputs!$K$5:$AJ$120,0,MATCH(AF$2,Inputs!$K$4:$AJ$4,0)))))</f>
        <v>#N/A</v>
      </c>
      <c r="AG62" s="514" t="e">
        <f>SUM(AC62:AF62)</f>
        <v>#N/A</v>
      </c>
      <c r="AH62" s="513">
        <f>IF(ISNA(MATCH(AH$2,Inputs!$K$4:$AJ$4,0)),NA(),IF(SUMPRODUCT((Inputs!$A$5:$A$120=$B62)*ISNUMBER(INDEX(Inputs!$K$5:$AJ$120,0,MATCH(AH$2,Inputs!$K$4:$AJ$4,0))))+SUMPRODUCT((Inputs!$C$5:$C$120=$B62)*ISNUMBER(INDEX(Inputs!$K$5:$AJ$120,0,MATCH(AH$2,Inputs!$K$4:$AJ$4,0))))+SUMPRODUCT((Inputs!$E$5:$E$120=$B62)*ISNUMBER(INDEX(Inputs!$K$5:$AJ$120,0,MATCH(AH$2,Inputs!$K$4:$AJ$4,0))))=0,NA(),SUMPRODUCT((Inputs!$A$5:$A$120=$B62)*Inputs!$B$5:$B$120*(((Inputs!$G$5:$G$120="moeda")+(Inputs!$G$5:$G$120="acoes"))*Inputs!$B$1+((Inputs!$G$5:$G$120&lt;&gt;"moeda")*(Inputs!$G$5:$G$120&lt;&gt;"acoes")))*INDEX(Inputs!$K$5:$AJ$120,0,MATCH(AH$2,Inputs!$K$4:$AJ$4,0)))+SUMPRODUCT((Inputs!$C$5:$C$120=$B62)*Inputs!$D$5:$D$120*(((Inputs!$G$5:$G$120="moeda")+(Inputs!$G$5:$G$120="acoes"))*Inputs!$B$1+((Inputs!$G$5:$G$120&lt;&gt;"moeda")*(Inputs!$G$5:$G$120&lt;&gt;"acoes")))*INDEX(Inputs!$K$5:$AJ$120,0,MATCH(AH$2,Inputs!$K$4:$AJ$4,0)))+SUMPRODUCT((Inputs!$E$5:$E$120=$B62)*Inputs!$F$5:$F$120*(((Inputs!$G$5:$G$120="moeda")+(Inputs!$G$5:$G$120="acoes"))*Inputs!$B$1+((Inputs!$G$5:$G$120&lt;&gt;"moeda")*(Inputs!$G$5:$G$120&lt;&gt;"acoes")))*INDEX(Inputs!$K$5:$AJ$120,0,MATCH(AH$2,Inputs!$K$4:$AJ$4,0)))))</f>
        <v>17</v>
      </c>
      <c r="AI62" s="513">
        <f>IF(ISNA(MATCH(AI$2,Inputs!$K$4:$AJ$4,0)),NA(),IF(SUMPRODUCT((Inputs!$A$5:$A$120=$B62)*ISNUMBER(INDEX(Inputs!$K$5:$AJ$120,0,MATCH(AI$2,Inputs!$K$4:$AJ$4,0))))+SUMPRODUCT((Inputs!$C$5:$C$120=$B62)*ISNUMBER(INDEX(Inputs!$K$5:$AJ$120,0,MATCH(AI$2,Inputs!$K$4:$AJ$4,0))))+SUMPRODUCT((Inputs!$E$5:$E$120=$B62)*ISNUMBER(INDEX(Inputs!$K$5:$AJ$120,0,MATCH(AI$2,Inputs!$K$4:$AJ$4,0))))=0,NA(),SUMPRODUCT((Inputs!$A$5:$A$120=$B62)*Inputs!$B$5:$B$120*(((Inputs!$G$5:$G$120="moeda")+(Inputs!$G$5:$G$120="acoes"))*Inputs!$B$1+((Inputs!$G$5:$G$120&lt;&gt;"moeda")*(Inputs!$G$5:$G$120&lt;&gt;"acoes")))*INDEX(Inputs!$K$5:$AJ$120,0,MATCH(AI$2,Inputs!$K$4:$AJ$4,0)))+SUMPRODUCT((Inputs!$C$5:$C$120=$B62)*Inputs!$D$5:$D$120*(((Inputs!$G$5:$G$120="moeda")+(Inputs!$G$5:$G$120="acoes"))*Inputs!$B$1+((Inputs!$G$5:$G$120&lt;&gt;"moeda")*(Inputs!$G$5:$G$120&lt;&gt;"acoes")))*INDEX(Inputs!$K$5:$AJ$120,0,MATCH(AI$2,Inputs!$K$4:$AJ$4,0)))+SUMPRODUCT((Inputs!$E$5:$E$120=$B62)*Inputs!$F$5:$F$120*(((Inputs!$G$5:$G$120="moeda")+(Inputs!$G$5:$G$120="acoes"))*Inputs!$B$1+((Inputs!$G$5:$G$120&lt;&gt;"moeda")*(Inputs!$G$5:$G$120&lt;&gt;"acoes")))*INDEX(Inputs!$K$5:$AJ$120,0,MATCH(AI$2,Inputs!$K$4:$AJ$4,0)))))</f>
        <v>8</v>
      </c>
      <c r="AJ62" s="513">
        <f>IF(ISNA(MATCH(AJ$2,Inputs!$K$4:$AJ$4,0)),NA(),IF(SUMPRODUCT((Inputs!$A$5:$A$120=$B62)*ISNUMBER(INDEX(Inputs!$K$5:$AJ$120,0,MATCH(AJ$2,Inputs!$K$4:$AJ$4,0))))+SUMPRODUCT((Inputs!$C$5:$C$120=$B62)*ISNUMBER(INDEX(Inputs!$K$5:$AJ$120,0,MATCH(AJ$2,Inputs!$K$4:$AJ$4,0))))+SUMPRODUCT((Inputs!$E$5:$E$120=$B62)*ISNUMBER(INDEX(Inputs!$K$5:$AJ$120,0,MATCH(AJ$2,Inputs!$K$4:$AJ$4,0))))=0,NA(),SUMPRODUCT((Inputs!$A$5:$A$120=$B62)*Inputs!$B$5:$B$120*(((Inputs!$G$5:$G$120="moeda")+(Inputs!$G$5:$G$120="acoes"))*Inputs!$B$1+((Inputs!$G$5:$G$120&lt;&gt;"moeda")*(Inputs!$G$5:$G$120&lt;&gt;"acoes")))*INDEX(Inputs!$K$5:$AJ$120,0,MATCH(AJ$2,Inputs!$K$4:$AJ$4,0)))+SUMPRODUCT((Inputs!$C$5:$C$120=$B62)*Inputs!$D$5:$D$120*(((Inputs!$G$5:$G$120="moeda")+(Inputs!$G$5:$G$120="acoes"))*Inputs!$B$1+((Inputs!$G$5:$G$120&lt;&gt;"moeda")*(Inputs!$G$5:$G$120&lt;&gt;"acoes")))*INDEX(Inputs!$K$5:$AJ$120,0,MATCH(AJ$2,Inputs!$K$4:$AJ$4,0)))+SUMPRODUCT((Inputs!$E$5:$E$120=$B62)*Inputs!$F$5:$F$120*(((Inputs!$G$5:$G$120="moeda")+(Inputs!$G$5:$G$120="acoes"))*Inputs!$B$1+((Inputs!$G$5:$G$120&lt;&gt;"moeda")*(Inputs!$G$5:$G$120&lt;&gt;"acoes")))*INDEX(Inputs!$K$5:$AJ$120,0,MATCH(AJ$2,Inputs!$K$4:$AJ$4,0)))))</f>
        <v>4</v>
      </c>
      <c r="AK62" s="513">
        <f>IF(ISNA(MATCH(AK$2,Inputs!$K$4:$AJ$4,0)),NA(),IF(SUMPRODUCT((Inputs!$A$5:$A$120=$B62)*ISNUMBER(INDEX(Inputs!$K$5:$AJ$120,0,MATCH(AK$2,Inputs!$K$4:$AJ$4,0))))+SUMPRODUCT((Inputs!$C$5:$C$120=$B62)*ISNUMBER(INDEX(Inputs!$K$5:$AJ$120,0,MATCH(AK$2,Inputs!$K$4:$AJ$4,0))))+SUMPRODUCT((Inputs!$E$5:$E$120=$B62)*ISNUMBER(INDEX(Inputs!$K$5:$AJ$120,0,MATCH(AK$2,Inputs!$K$4:$AJ$4,0))))=0,NA(),SUMPRODUCT((Inputs!$A$5:$A$120=$B62)*Inputs!$B$5:$B$120*(((Inputs!$G$5:$G$120="moeda")+(Inputs!$G$5:$G$120="acoes"))*Inputs!$B$1+((Inputs!$G$5:$G$120&lt;&gt;"moeda")*(Inputs!$G$5:$G$120&lt;&gt;"acoes")))*INDEX(Inputs!$K$5:$AJ$120,0,MATCH(AK$2,Inputs!$K$4:$AJ$4,0)))+SUMPRODUCT((Inputs!$C$5:$C$120=$B62)*Inputs!$D$5:$D$120*(((Inputs!$G$5:$G$120="moeda")+(Inputs!$G$5:$G$120="acoes"))*Inputs!$B$1+((Inputs!$G$5:$G$120&lt;&gt;"moeda")*(Inputs!$G$5:$G$120&lt;&gt;"acoes")))*INDEX(Inputs!$K$5:$AJ$120,0,MATCH(AK$2,Inputs!$K$4:$AJ$4,0)))+SUMPRODUCT((Inputs!$E$5:$E$120=$B62)*Inputs!$F$5:$F$120*(((Inputs!$G$5:$G$120="moeda")+(Inputs!$G$5:$G$120="acoes"))*Inputs!$B$1+((Inputs!$G$5:$G$120&lt;&gt;"moeda")*(Inputs!$G$5:$G$120&lt;&gt;"acoes")))*INDEX(Inputs!$K$5:$AJ$120,0,MATCH(AK$2,Inputs!$K$4:$AJ$4,0)))))</f>
        <v>-4</v>
      </c>
      <c r="AL62" s="514">
        <f>SUM(AH62:AK62)</f>
        <v>25</v>
      </c>
    </row>
  </sheetData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C384"/>
  <sheetViews>
    <sheetView showFormulas="0" showGridLines="0" showRowColHeaders="1" showZeros="1" rightToLeft="0" tabSelected="1" showOutlineSymbols="1" defaultGridColor="1" view="normal" topLeftCell="A1" colorId="64" zoomScale="85" zoomScaleNormal="85" zoomScalePageLayoutView="100" workbookViewId="0">
      <pane xSplit="3" ySplit="361" topLeftCell="D362" activePane="bottomRight" state="frozen"/>
      <selection pane="topRight" activeCell="A1" sqref="A1"/>
      <selection pane="bottomLeft" activeCell="A1" sqref="A1"/>
      <selection pane="bottomRight" activeCell="A1" activeCellId="0" sqref="A1"/>
      <selection pane="topRight" activeCell="D1" activeCellId="0" sqref="D1"/>
      <selection pane="bottomLeft" activeCell="A336" activeCellId="0" sqref="A336"/>
      <selection pane="bottomRight" activeCell="D298" activeCellId="0" sqref="D298"/>
    </sheetView>
  </sheetViews>
  <sheetFormatPr baseColWidth="8" defaultColWidth="9.140625" defaultRowHeight="12.75" zeroHeight="0" outlineLevelRow="1"/>
  <cols>
    <col width="1.71" customWidth="1" style="259" min="1" max="1"/>
    <col outlineLevel="1" width="7.85" customWidth="1" style="259" min="2" max="2"/>
    <col width="84.70999999999999" customWidth="1" style="260" min="3" max="3"/>
    <col outlineLevel="1" width="11.42" customWidth="1" style="260" min="4" max="7"/>
    <col width="11.42" customWidth="1" style="260" min="8" max="8"/>
    <col outlineLevel="1" width="11.42" customWidth="1" style="260" min="9" max="12"/>
    <col width="11.42" customWidth="1" style="260" min="13" max="13"/>
    <col outlineLevel="1" width="11.42" customWidth="1" style="260" min="14" max="17"/>
    <col width="11.42" customWidth="1" style="260" min="18" max="18"/>
    <col outlineLevel="1" width="11.42" customWidth="1" style="260" min="19" max="22"/>
    <col width="11.42" customWidth="1" style="260" min="23" max="23"/>
    <col outlineLevel="1" width="11.42" customWidth="1" style="260" min="24" max="24"/>
    <col outlineLevel="1" width="11.14" customWidth="1" style="260" min="25" max="25"/>
    <col outlineLevel="1" width="11.42" customWidth="1" style="260" min="26" max="27"/>
    <col width="11.14" customWidth="1" style="260" min="28" max="28"/>
    <col outlineLevel="1" width="12.28" customWidth="1" style="260" min="29" max="29"/>
    <col outlineLevel="1" width="13.28" customWidth="1" style="260" min="30" max="30"/>
    <col outlineLevel="1" width="11" customWidth="1" style="260" min="31" max="31"/>
    <col outlineLevel="1" width="10.14" customWidth="1" style="260" min="32" max="32"/>
    <col width="11" customWidth="1" style="260" min="33" max="33"/>
    <col outlineLevel="1" width="10.14" customWidth="1" style="260" min="34" max="34"/>
    <col outlineLevel="1" width="11.14" customWidth="1" style="260" min="35" max="35"/>
    <col outlineLevel="1" width="10.14" customWidth="1" style="260" min="36" max="37"/>
    <col width="10" customWidth="1" style="260" min="38" max="38"/>
    <col outlineLevel="1" width="10.14" customWidth="1" style="260" min="39" max="39"/>
    <col outlineLevel="1" width="11.14" customWidth="1" style="260" min="40" max="40"/>
    <col outlineLevel="1" width="10.14" customWidth="1" style="260" min="41" max="42"/>
    <col width="10" customWidth="1" style="260" min="43" max="43"/>
    <col outlineLevel="1" width="10.14" customWidth="1" style="260" min="44" max="44"/>
    <col outlineLevel="1" width="11.14" customWidth="1" style="260" min="45" max="45"/>
    <col outlineLevel="1" width="10.14" customWidth="1" style="260" min="46" max="47"/>
    <col width="10" customWidth="1" style="260" min="48" max="48"/>
    <col outlineLevel="1" width="10.14" customWidth="1" style="260" min="49" max="49"/>
    <col outlineLevel="1" width="11.14" customWidth="1" style="260" min="50" max="50"/>
    <col outlineLevel="1" width="10.14" customWidth="1" style="260" min="51" max="52"/>
    <col width="10" customWidth="1" style="260" min="53" max="53"/>
    <col outlineLevel="1" width="10.14" customWidth="1" style="260" min="54" max="54"/>
    <col outlineLevel="1" width="11.14" customWidth="1" style="260" min="55" max="55"/>
    <col outlineLevel="1" width="10.14" customWidth="1" style="260" min="56" max="57"/>
    <col width="10" customWidth="1" style="260" min="58" max="58"/>
    <col outlineLevel="1" width="10.14" customWidth="1" style="260" min="59" max="59"/>
    <col outlineLevel="1" width="11.14" customWidth="1" style="260" min="60" max="60"/>
    <col outlineLevel="1" width="10.14" customWidth="1" style="260" min="61" max="62"/>
    <col width="10" customWidth="1" style="260" min="63" max="63"/>
    <col outlineLevel="1" width="10.14" customWidth="1" style="260" min="64" max="64"/>
    <col outlineLevel="1" width="11.14" customWidth="1" style="260" min="65" max="65"/>
    <col outlineLevel="1" width="10.14" customWidth="1" style="260" min="66" max="67"/>
    <col width="10" customWidth="1" style="260" min="68" max="68"/>
    <col outlineLevel="1" width="10.14" customWidth="1" style="260" min="69" max="69"/>
    <col outlineLevel="1" width="11.14" customWidth="1" style="260" min="70" max="70"/>
    <col outlineLevel="1" width="10.14" customWidth="1" style="260" min="71" max="72"/>
    <col width="10" customWidth="1" style="260" min="73" max="73"/>
    <col outlineLevel="1" width="10.14" customWidth="1" style="260" min="74" max="74"/>
    <col outlineLevel="1" width="11.14" customWidth="1" style="260" min="75" max="75"/>
    <col outlineLevel="1" width="10.14" customWidth="1" style="260" min="76" max="77"/>
    <col width="10" customWidth="1" style="260" min="78" max="78"/>
    <col outlineLevel="1" width="10.14" customWidth="1" style="260" min="79" max="79"/>
    <col outlineLevel="1" width="11.14" customWidth="1" style="260" min="80" max="80"/>
    <col outlineLevel="1" width="10.14" customWidth="1" style="260" min="81" max="82"/>
    <col width="10" customWidth="1" style="260" min="83" max="83"/>
    <col outlineLevel="1" width="10.14" customWidth="1" style="260" min="84" max="84"/>
    <col outlineLevel="1" width="11.14" customWidth="1" style="260" min="85" max="85"/>
    <col outlineLevel="1" width="10.14" customWidth="1" style="260" min="86" max="87"/>
    <col width="10" customWidth="1" style="260" min="88" max="88"/>
    <col outlineLevel="1" width="10.14" customWidth="1" style="260" min="89" max="89"/>
    <col outlineLevel="1" width="11.14" customWidth="1" style="260" min="90" max="90"/>
    <col outlineLevel="1" width="10.14" customWidth="1" style="260" min="91" max="92"/>
    <col width="10" customWidth="1" style="260" min="93" max="93"/>
    <col outlineLevel="1" width="10.14" customWidth="1" style="260" min="94" max="94"/>
    <col outlineLevel="1" width="11.14" customWidth="1" style="260" min="95" max="95"/>
    <col outlineLevel="1" width="10.14" customWidth="1" style="260" min="96" max="97"/>
    <col width="10" customWidth="1" style="260" min="98" max="98"/>
    <col outlineLevel="1" width="10.14" customWidth="1" style="260" min="99" max="99"/>
    <col outlineLevel="1" width="11.14" customWidth="1" style="260" min="100" max="100"/>
    <col outlineLevel="1" width="10.14" customWidth="1" style="260" min="101" max="102"/>
    <col width="10" customWidth="1" style="260" min="103" max="103"/>
    <col width="9.140000000000001" customWidth="1" style="260" min="104" max="16384"/>
  </cols>
  <sheetData>
    <row r="1" ht="12.75" customHeight="1" s="255">
      <c r="C1" s="273" t="inlineStr">
        <is>
          <t>CHECKS</t>
        </is>
      </c>
      <c r="D1" s="268">
        <f>SUM(D2,D3)</f>
        <v>0</v>
      </c>
      <c r="E1" s="268">
        <f>SUM(E2,E3)</f>
        <v>0</v>
      </c>
      <c r="F1" s="268">
        <f>SUM(F2,F3)</f>
        <v>0</v>
      </c>
      <c r="G1" s="268">
        <f>SUM(G2,G3)</f>
        <v>0</v>
      </c>
      <c r="H1" s="268">
        <f>SUM(H2,H3)</f>
        <v>0</v>
      </c>
      <c r="I1" s="268">
        <f>SUM(I2,I3)</f>
        <v>0</v>
      </c>
      <c r="J1" s="268">
        <f>SUM(J2,J3)</f>
        <v>0</v>
      </c>
      <c r="K1" s="268">
        <f>SUM(K2,K3)</f>
        <v>0</v>
      </c>
      <c r="L1" s="268">
        <f>SUM(L2,L3)</f>
        <v>0</v>
      </c>
      <c r="M1" s="268">
        <f>SUM(M2,M3)</f>
        <v>0</v>
      </c>
      <c r="N1" s="268">
        <f>SUM(N2,N3)</f>
        <v>0</v>
      </c>
      <c r="O1" s="268">
        <f>SUM(O2,O3)</f>
        <v>0</v>
      </c>
      <c r="P1" s="268">
        <f>SUM(P2,P3)</f>
        <v>0</v>
      </c>
      <c r="Q1" s="268">
        <f>SUM(Q2,Q3)</f>
        <v>0</v>
      </c>
      <c r="R1" s="268">
        <f>SUM(R2,R3)</f>
        <v>0</v>
      </c>
      <c r="S1" s="268">
        <f>SUM(S2,S3)</f>
        <v>0</v>
      </c>
      <c r="T1" s="268">
        <f>SUM(T2,T3)</f>
        <v>0</v>
      </c>
      <c r="U1" s="268">
        <f>SUM(U2,U3)</f>
        <v>0</v>
      </c>
      <c r="V1" s="268">
        <f>SUM(V2,V3)</f>
        <v>0</v>
      </c>
      <c r="W1" s="268">
        <f>SUM(W2,W3)</f>
        <v>0</v>
      </c>
      <c r="X1" s="268">
        <f>SUM(X2,X3)</f>
        <v>0</v>
      </c>
      <c r="Y1" s="268">
        <f>SUM(Y2,Y3)</f>
        <v>0</v>
      </c>
      <c r="Z1" s="268">
        <f>SUM(Z2,Z3)</f>
        <v>0</v>
      </c>
      <c r="AA1" s="268">
        <f>SUM(AA2,AA3)</f>
        <v>0</v>
      </c>
      <c r="AB1" s="268">
        <f>SUM(AB2,AB3)</f>
        <v>0</v>
      </c>
      <c r="AC1" s="268">
        <f>SUM(AC2,AC3)</f>
        <v>0</v>
      </c>
      <c r="AD1" s="268">
        <f>SUM(AD2,AD3)</f>
        <v>0</v>
      </c>
      <c r="AE1" s="268">
        <f>SUM(AE2,AE3)</f>
        <v>0</v>
      </c>
      <c r="AF1" s="268">
        <f>SUM(AF2,AF3)</f>
        <v>0</v>
      </c>
      <c r="AG1" s="268">
        <f>SUM(AG2,AG3)</f>
        <v>0</v>
      </c>
      <c r="AH1" s="268">
        <f>SUM(AH2,AH3)</f>
        <v>0</v>
      </c>
      <c r="AI1" s="268">
        <f>SUM(AI2,AI3)</f>
        <v>0</v>
      </c>
      <c r="AJ1" s="268">
        <f>SUM(AJ2,AJ3)</f>
        <v>0</v>
      </c>
      <c r="AK1" s="268">
        <f>SUM(AK2,AK3)</f>
        <v>0</v>
      </c>
      <c r="AL1" s="268">
        <f>SUM(AL2,AL3)</f>
        <v>0</v>
      </c>
      <c r="AM1" s="268" t="e">
        <f>SUM(AM2,AM3)</f>
        <v>#DIV/0!</v>
      </c>
      <c r="AN1" s="268" t="e">
        <f>SUM(AN2,AN3)</f>
        <v>#DIV/0!</v>
      </c>
      <c r="AO1" s="268" t="e">
        <f>SUM(AO2,AO3)</f>
        <v>#DIV/0!</v>
      </c>
      <c r="AP1" s="268" t="e">
        <f>SUM(AP2,AP3)</f>
        <v>#DIV/0!</v>
      </c>
      <c r="AQ1" s="268" t="e">
        <f>SUM(AQ2,AQ3)</f>
        <v>#DIV/0!</v>
      </c>
      <c r="AR1" s="268" t="e">
        <f>SUM(AR2,AR3)</f>
        <v>#DIV/0!</v>
      </c>
      <c r="AS1" s="268" t="e">
        <f>SUM(AS2,AS3)</f>
        <v>#DIV/0!</v>
      </c>
      <c r="AT1" s="268" t="e">
        <f>SUM(AT2,AT3)</f>
        <v>#DIV/0!</v>
      </c>
      <c r="AU1" s="268" t="e">
        <f>SUM(AU2,AU3)</f>
        <v>#DIV/0!</v>
      </c>
      <c r="AV1" s="268" t="e">
        <f>SUM(AV2,AV3)</f>
        <v>#DIV/0!</v>
      </c>
      <c r="AW1" s="268" t="e">
        <f>SUM(AW2,AW3)</f>
        <v>#DIV/0!</v>
      </c>
      <c r="AX1" s="268" t="e">
        <f>SUM(AX2,AX3)</f>
        <v>#DIV/0!</v>
      </c>
      <c r="AY1" s="268" t="e">
        <f>SUM(AY2,AY3)</f>
        <v>#DIV/0!</v>
      </c>
      <c r="AZ1" s="268" t="e">
        <f>SUM(AZ2,AZ3)</f>
        <v>#DIV/0!</v>
      </c>
      <c r="BA1" s="268" t="e">
        <f>SUM(BA2,BA3)</f>
        <v>#DIV/0!</v>
      </c>
      <c r="BB1" s="268" t="e">
        <f>SUM(BB2,BB3)</f>
        <v>#DIV/0!</v>
      </c>
      <c r="BC1" s="268" t="e">
        <f>SUM(BC2,BC3)</f>
        <v>#DIV/0!</v>
      </c>
      <c r="BD1" s="268" t="e">
        <f>SUM(BD2,BD3)</f>
        <v>#DIV/0!</v>
      </c>
      <c r="BE1" s="268" t="e">
        <f>SUM(BE2,BE3)</f>
        <v>#DIV/0!</v>
      </c>
      <c r="BF1" s="268" t="e">
        <f>SUM(BF2,BF3)</f>
        <v>#DIV/0!</v>
      </c>
      <c r="BG1" s="268" t="e">
        <f>SUM(BG2,BG3)</f>
        <v>#DIV/0!</v>
      </c>
      <c r="BH1" s="268" t="e">
        <f>SUM(BH2,BH3)</f>
        <v>#DIV/0!</v>
      </c>
      <c r="BI1" s="268" t="e">
        <f>SUM(BI2,BI3)</f>
        <v>#DIV/0!</v>
      </c>
      <c r="BJ1" s="268" t="e">
        <f>SUM(BJ2,BJ3)</f>
        <v>#DIV/0!</v>
      </c>
      <c r="BK1" s="268" t="e">
        <f>SUM(BK2,BK3)</f>
        <v>#DIV/0!</v>
      </c>
      <c r="BL1" s="268" t="e">
        <f>SUM(BL2,BL3)</f>
        <v>#DIV/0!</v>
      </c>
      <c r="BM1" s="268" t="e">
        <f>SUM(BM2,BM3)</f>
        <v>#DIV/0!</v>
      </c>
      <c r="BN1" s="268" t="e">
        <f>SUM(BN2,BN3)</f>
        <v>#DIV/0!</v>
      </c>
      <c r="BO1" s="268" t="e">
        <f>SUM(BO2,BO3)</f>
        <v>#DIV/0!</v>
      </c>
      <c r="BP1" s="268" t="e">
        <f>SUM(BP2,BP3)</f>
        <v>#DIV/0!</v>
      </c>
      <c r="BQ1" s="268" t="e">
        <f>SUM(BQ2,BQ3)</f>
        <v>#DIV/0!</v>
      </c>
      <c r="BR1" s="268" t="e">
        <f>SUM(BR2,BR3)</f>
        <v>#DIV/0!</v>
      </c>
      <c r="BS1" s="268" t="e">
        <f>SUM(BS2,BS3)</f>
        <v>#DIV/0!</v>
      </c>
      <c r="BT1" s="268" t="e">
        <f>SUM(BT2,BT3)</f>
        <v>#DIV/0!</v>
      </c>
      <c r="BU1" s="268" t="e">
        <f>SUM(BU2,BU3)</f>
        <v>#DIV/0!</v>
      </c>
      <c r="BV1" s="268" t="e">
        <f>SUM(BV2,BV3)</f>
        <v>#DIV/0!</v>
      </c>
      <c r="BW1" s="268" t="e">
        <f>SUM(BW2,BW3)</f>
        <v>#DIV/0!</v>
      </c>
      <c r="BX1" s="268" t="e">
        <f>SUM(BX2,BX3)</f>
        <v>#DIV/0!</v>
      </c>
      <c r="BY1" s="268" t="e">
        <f>SUM(BY2,BY3)</f>
        <v>#DIV/0!</v>
      </c>
      <c r="BZ1" s="268" t="e">
        <f>SUM(BZ2,BZ3)</f>
        <v>#DIV/0!</v>
      </c>
      <c r="CA1" s="268" t="e">
        <f>SUM(CA2,CA3)</f>
        <v>#DIV/0!</v>
      </c>
      <c r="CB1" s="268" t="e">
        <f>SUM(CB2,CB3)</f>
        <v>#DIV/0!</v>
      </c>
      <c r="CC1" s="268" t="e">
        <f>SUM(CC2,CC3)</f>
        <v>#DIV/0!</v>
      </c>
      <c r="CD1" s="268" t="e">
        <f>SUM(CD2,CD3)</f>
        <v>#DIV/0!</v>
      </c>
      <c r="CE1" s="268" t="e">
        <f>SUM(CE2,CE3)</f>
        <v>#DIV/0!</v>
      </c>
      <c r="CF1" s="268" t="e">
        <f>SUM(CF2,CF3)</f>
        <v>#DIV/0!</v>
      </c>
      <c r="CG1" s="268" t="e">
        <f>SUM(CG2,CG3)</f>
        <v>#DIV/0!</v>
      </c>
      <c r="CH1" s="268" t="e">
        <f>SUM(CH2,CH3)</f>
        <v>#DIV/0!</v>
      </c>
      <c r="CI1" s="268" t="e">
        <f>SUM(CI2,CI3)</f>
        <v>#DIV/0!</v>
      </c>
      <c r="CJ1" s="268" t="e">
        <f>SUM(CJ2,CJ3)</f>
        <v>#DIV/0!</v>
      </c>
      <c r="CK1" s="268" t="e">
        <f>SUM(CK2,CK3)</f>
        <v>#DIV/0!</v>
      </c>
      <c r="CL1" s="268" t="e">
        <f>SUM(CL2,CL3)</f>
        <v>#DIV/0!</v>
      </c>
      <c r="CM1" s="268" t="e">
        <f>SUM(CM2,CM3)</f>
        <v>#DIV/0!</v>
      </c>
      <c r="CN1" s="268" t="e">
        <f>SUM(CN2,CN3)</f>
        <v>#DIV/0!</v>
      </c>
      <c r="CO1" s="268" t="e">
        <f>SUM(CO2,CO3)</f>
        <v>#DIV/0!</v>
      </c>
      <c r="CP1" s="268" t="e">
        <f>SUM(CP2,CP3)</f>
        <v>#DIV/0!</v>
      </c>
      <c r="CQ1" s="268" t="e">
        <f>SUM(CQ2,CQ3)</f>
        <v>#DIV/0!</v>
      </c>
      <c r="CR1" s="268" t="e">
        <f>SUM(CR2,CR3)</f>
        <v>#DIV/0!</v>
      </c>
      <c r="CS1" s="268" t="e">
        <f>SUM(CS2,CS3)</f>
        <v>#DIV/0!</v>
      </c>
      <c r="CT1" s="268" t="e">
        <f>SUM(CT2,CT3)</f>
        <v>#DIV/0!</v>
      </c>
      <c r="CU1" s="268" t="e">
        <f>SUM(CU2,CU3)</f>
        <v>#DIV/0!</v>
      </c>
      <c r="CV1" s="268" t="e">
        <f>SUM(CV2,CV3)</f>
        <v>#DIV/0!</v>
      </c>
      <c r="CW1" s="268" t="e">
        <f>SUM(CW2,CW3)</f>
        <v>#DIV/0!</v>
      </c>
      <c r="CX1" s="268" t="e">
        <f>SUM(CX2,CX3)</f>
        <v>#DIV/0!</v>
      </c>
      <c r="CY1" s="268" t="e">
        <f>SUM(CY2,CY3)</f>
        <v>#DIV/0!</v>
      </c>
    </row>
    <row r="2" outlineLevel="1" ht="12.75" customHeight="1" s="255">
      <c r="C2" s="274" t="inlineStr">
        <is>
          <t>BS</t>
        </is>
      </c>
      <c r="D2" s="268">
        <f>ABS(D189-D265)</f>
        <v>0</v>
      </c>
      <c r="E2" s="268">
        <f>ABS(E189-E265)</f>
        <v>0</v>
      </c>
      <c r="F2" s="268">
        <f>ABS(F189-F265)</f>
        <v>0</v>
      </c>
      <c r="G2" s="268">
        <f>ABS(G189-G265)</f>
        <v>0</v>
      </c>
      <c r="H2" s="268">
        <f>ABS(H189-H265)</f>
        <v>0</v>
      </c>
      <c r="I2" s="268">
        <f>ABS(I189-I265)</f>
        <v>0</v>
      </c>
      <c r="J2" s="268">
        <f>ABS(J189-J265)</f>
        <v>0</v>
      </c>
      <c r="K2" s="268">
        <f>ABS(K189-K265)</f>
        <v>0</v>
      </c>
      <c r="L2" s="268">
        <f>ABS(L189-L265)</f>
        <v>0</v>
      </c>
      <c r="M2" s="268">
        <f>ABS(M189-M265)</f>
        <v>0</v>
      </c>
      <c r="N2" s="268">
        <f>ABS(N189-N265)</f>
        <v>0</v>
      </c>
      <c r="O2" s="268">
        <f>ABS(O189-O265)</f>
        <v>0</v>
      </c>
      <c r="P2" s="268">
        <f>ABS(P189-P265)</f>
        <v>0</v>
      </c>
      <c r="Q2" s="268">
        <f>ABS(Q189-Q265)</f>
        <v>0</v>
      </c>
      <c r="R2" s="268">
        <f>ABS(R189-R265)</f>
        <v>0</v>
      </c>
      <c r="S2" s="268">
        <f>ABS(S189-S265)</f>
        <v>0</v>
      </c>
      <c r="T2" s="268">
        <f>ABS(T189-T265)</f>
        <v>0</v>
      </c>
      <c r="U2" s="268">
        <f>ABS(U189-U265)</f>
        <v>0</v>
      </c>
      <c r="V2" s="268">
        <f>ABS(V189-V265)</f>
        <v>0</v>
      </c>
      <c r="W2" s="268">
        <f>ABS(W189-W265)</f>
        <v>0</v>
      </c>
      <c r="X2" s="268">
        <f>ABS(X189-X265)</f>
        <v>0</v>
      </c>
      <c r="Y2" s="268">
        <f>ABS(Y189-Y265)</f>
        <v>0</v>
      </c>
      <c r="Z2" s="268">
        <f>ABS(Z189-Z265)</f>
        <v>0</v>
      </c>
      <c r="AA2" s="268">
        <f>ABS(AA189-AA265)</f>
        <v>0</v>
      </c>
      <c r="AB2" s="268">
        <f>ABS(AB189-AB265)</f>
        <v>0</v>
      </c>
      <c r="AC2" s="268">
        <f>ABS(AC189-AC265)</f>
        <v>0</v>
      </c>
      <c r="AD2" s="268">
        <f>ABS(AD189-AD265)</f>
        <v>0</v>
      </c>
      <c r="AE2" s="268">
        <f>ABS(AE189-AE265)</f>
        <v>0</v>
      </c>
      <c r="AF2" s="268">
        <f>ABS(AF189-AF265)</f>
        <v>0</v>
      </c>
      <c r="AG2" s="268">
        <f>ABS(AG189-AG265)</f>
        <v>0</v>
      </c>
      <c r="AH2" s="268">
        <f>ABS(AH189-AH265)</f>
        <v>0</v>
      </c>
      <c r="AI2" s="268">
        <f>ABS(AI189-AI265)</f>
        <v>0</v>
      </c>
      <c r="AJ2" s="268">
        <f>ABS(AJ189-AJ265)</f>
        <v>0</v>
      </c>
      <c r="AK2" s="268">
        <f>ABS(AK189-AK265)</f>
        <v>0</v>
      </c>
      <c r="AL2" s="268">
        <f>ABS(AL189-AL265)</f>
        <v>0</v>
      </c>
      <c r="AM2" s="268" t="e">
        <f>ABS(AM189-AM265)</f>
        <v>#DIV/0!</v>
      </c>
      <c r="AN2" s="268" t="e">
        <f>ABS(AN189-AN265)</f>
        <v>#DIV/0!</v>
      </c>
      <c r="AO2" s="268" t="e">
        <f>ABS(AO189-AO265)</f>
        <v>#DIV/0!</v>
      </c>
      <c r="AP2" s="268" t="e">
        <f>ABS(AP189-AP265)</f>
        <v>#DIV/0!</v>
      </c>
      <c r="AQ2" s="268" t="e">
        <f>ABS(AQ189-AQ265)</f>
        <v>#DIV/0!</v>
      </c>
      <c r="AR2" s="268" t="e">
        <f>ABS(AR189-AR265)</f>
        <v>#DIV/0!</v>
      </c>
      <c r="AS2" s="268" t="e">
        <f>ABS(AS189-AS265)</f>
        <v>#DIV/0!</v>
      </c>
      <c r="AT2" s="268" t="e">
        <f>ABS(AT189-AT265)</f>
        <v>#DIV/0!</v>
      </c>
      <c r="AU2" s="268" t="e">
        <f>ABS(AU189-AU265)</f>
        <v>#DIV/0!</v>
      </c>
      <c r="AV2" s="268" t="e">
        <f>ABS(AV189-AV265)</f>
        <v>#DIV/0!</v>
      </c>
      <c r="AW2" s="268" t="e">
        <f>ABS(AW189-AW265)</f>
        <v>#DIV/0!</v>
      </c>
      <c r="AX2" s="268" t="e">
        <f>ABS(AX189-AX265)</f>
        <v>#DIV/0!</v>
      </c>
      <c r="AY2" s="268" t="e">
        <f>ABS(AY189-AY265)</f>
        <v>#DIV/0!</v>
      </c>
      <c r="AZ2" s="268" t="e">
        <f>ABS(AZ189-AZ265)</f>
        <v>#DIV/0!</v>
      </c>
      <c r="BA2" s="268" t="e">
        <f>ABS(BA189-BA265)</f>
        <v>#DIV/0!</v>
      </c>
      <c r="BB2" s="268" t="e">
        <f>ABS(BB189-BB265)</f>
        <v>#DIV/0!</v>
      </c>
      <c r="BC2" s="268" t="e">
        <f>ABS(BC189-BC265)</f>
        <v>#DIV/0!</v>
      </c>
      <c r="BD2" s="268" t="e">
        <f>ABS(BD189-BD265)</f>
        <v>#DIV/0!</v>
      </c>
      <c r="BE2" s="268" t="e">
        <f>ABS(BE189-BE265)</f>
        <v>#DIV/0!</v>
      </c>
      <c r="BF2" s="268" t="e">
        <f>ABS(BF189-BF265)</f>
        <v>#DIV/0!</v>
      </c>
      <c r="BG2" s="268" t="e">
        <f>ABS(BG189-BG265)</f>
        <v>#DIV/0!</v>
      </c>
      <c r="BH2" s="268" t="e">
        <f>ABS(BH189-BH265)</f>
        <v>#DIV/0!</v>
      </c>
      <c r="BI2" s="268" t="e">
        <f>ABS(BI189-BI265)</f>
        <v>#DIV/0!</v>
      </c>
      <c r="BJ2" s="268" t="e">
        <f>ABS(BJ189-BJ265)</f>
        <v>#DIV/0!</v>
      </c>
      <c r="BK2" s="268" t="e">
        <f>ABS(BK189-BK265)</f>
        <v>#DIV/0!</v>
      </c>
      <c r="BL2" s="268" t="e">
        <f>ABS(BL189-BL265)</f>
        <v>#DIV/0!</v>
      </c>
      <c r="BM2" s="268" t="e">
        <f>ABS(BM189-BM265)</f>
        <v>#DIV/0!</v>
      </c>
      <c r="BN2" s="268" t="e">
        <f>ABS(BN189-BN265)</f>
        <v>#DIV/0!</v>
      </c>
      <c r="BO2" s="268" t="e">
        <f>ABS(BO189-BO265)</f>
        <v>#DIV/0!</v>
      </c>
      <c r="BP2" s="268" t="e">
        <f>ABS(BP189-BP265)</f>
        <v>#DIV/0!</v>
      </c>
      <c r="BQ2" s="268" t="e">
        <f>ABS(BQ189-BQ265)</f>
        <v>#DIV/0!</v>
      </c>
      <c r="BR2" s="268" t="e">
        <f>ABS(BR189-BR265)</f>
        <v>#DIV/0!</v>
      </c>
      <c r="BS2" s="268" t="e">
        <f>ABS(BS189-BS265)</f>
        <v>#DIV/0!</v>
      </c>
      <c r="BT2" s="268" t="e">
        <f>ABS(BT189-BT265)</f>
        <v>#DIV/0!</v>
      </c>
      <c r="BU2" s="268" t="e">
        <f>ABS(BU189-BU265)</f>
        <v>#DIV/0!</v>
      </c>
      <c r="BV2" s="268" t="e">
        <f>ABS(BV189-BV265)</f>
        <v>#DIV/0!</v>
      </c>
      <c r="BW2" s="268" t="e">
        <f>ABS(BW189-BW265)</f>
        <v>#DIV/0!</v>
      </c>
      <c r="BX2" s="268" t="e">
        <f>ABS(BX189-BX265)</f>
        <v>#DIV/0!</v>
      </c>
      <c r="BY2" s="268" t="e">
        <f>ABS(BY189-BY265)</f>
        <v>#DIV/0!</v>
      </c>
      <c r="BZ2" s="268" t="e">
        <f>ABS(BZ189-BZ265)</f>
        <v>#DIV/0!</v>
      </c>
      <c r="CA2" s="268" t="e">
        <f>ABS(CA189-CA265)</f>
        <v>#DIV/0!</v>
      </c>
      <c r="CB2" s="268" t="e">
        <f>ABS(CB189-CB265)</f>
        <v>#DIV/0!</v>
      </c>
      <c r="CC2" s="268" t="e">
        <f>ABS(CC189-CC265)</f>
        <v>#DIV/0!</v>
      </c>
      <c r="CD2" s="268" t="e">
        <f>ABS(CD189-CD265)</f>
        <v>#DIV/0!</v>
      </c>
      <c r="CE2" s="268" t="e">
        <f>ABS(CE189-CE265)</f>
        <v>#DIV/0!</v>
      </c>
      <c r="CF2" s="268" t="e">
        <f>ABS(CF189-CF265)</f>
        <v>#DIV/0!</v>
      </c>
      <c r="CG2" s="268" t="e">
        <f>ABS(CG189-CG265)</f>
        <v>#DIV/0!</v>
      </c>
      <c r="CH2" s="268" t="e">
        <f>ABS(CH189-CH265)</f>
        <v>#DIV/0!</v>
      </c>
      <c r="CI2" s="268" t="e">
        <f>ABS(CI189-CI265)</f>
        <v>#DIV/0!</v>
      </c>
      <c r="CJ2" s="268" t="e">
        <f>ABS(CJ189-CJ265)</f>
        <v>#DIV/0!</v>
      </c>
      <c r="CK2" s="268" t="e">
        <f>ABS(CK189-CK265)</f>
        <v>#DIV/0!</v>
      </c>
      <c r="CL2" s="268" t="e">
        <f>ABS(CL189-CL265)</f>
        <v>#DIV/0!</v>
      </c>
      <c r="CM2" s="268" t="e">
        <f>ABS(CM189-CM265)</f>
        <v>#DIV/0!</v>
      </c>
      <c r="CN2" s="268" t="e">
        <f>ABS(CN189-CN265)</f>
        <v>#DIV/0!</v>
      </c>
      <c r="CO2" s="268" t="e">
        <f>ABS(CO189-CO265)</f>
        <v>#DIV/0!</v>
      </c>
      <c r="CP2" s="268" t="e">
        <f>ABS(CP189-CP265)</f>
        <v>#DIV/0!</v>
      </c>
      <c r="CQ2" s="268" t="e">
        <f>ABS(CQ189-CQ265)</f>
        <v>#DIV/0!</v>
      </c>
      <c r="CR2" s="268" t="e">
        <f>ABS(CR189-CR265)</f>
        <v>#DIV/0!</v>
      </c>
      <c r="CS2" s="268" t="e">
        <f>ABS(CS189-CS265)</f>
        <v>#DIV/0!</v>
      </c>
      <c r="CT2" s="268" t="e">
        <f>ABS(CT189-CT265)</f>
        <v>#DIV/0!</v>
      </c>
      <c r="CU2" s="268" t="e">
        <f>ABS(CU189-CU265)</f>
        <v>#DIV/0!</v>
      </c>
      <c r="CV2" s="268" t="e">
        <f>ABS(CV189-CV265)</f>
        <v>#DIV/0!</v>
      </c>
      <c r="CW2" s="268" t="e">
        <f>ABS(CW189-CW265)</f>
        <v>#DIV/0!</v>
      </c>
      <c r="CX2" s="268" t="e">
        <f>ABS(CX189-CX265)</f>
        <v>#DIV/0!</v>
      </c>
      <c r="CY2" s="268" t="e">
        <f>ABS(CY189-CY265)</f>
        <v>#DIV/0!</v>
      </c>
    </row>
    <row r="3" outlineLevel="1" ht="12.75" customHeight="1" s="255">
      <c r="C3" s="274" t="inlineStr">
        <is>
          <t>IS</t>
        </is>
      </c>
      <c r="D3" s="268">
        <f>IF(COUNT(D4)=0,"",ABS(D129-D4))</f>
        <v>0</v>
      </c>
      <c r="E3" s="268">
        <f>IF(COUNT(E4)=0,"",ABS(E129-E4))</f>
        <v>0</v>
      </c>
      <c r="F3" s="268">
        <f>IF(COUNT(F4)=0,"",ABS(F129-F4))</f>
        <v>0</v>
      </c>
      <c r="G3" s="268">
        <f>IF(COUNT(G4)=0,"",ABS(G129-G4))</f>
        <v>0</v>
      </c>
      <c r="H3" s="268">
        <f>IF(COUNT(H4)=0,"",ABS(H129-H4))</f>
        <v>0</v>
      </c>
      <c r="I3" s="268">
        <f>IF(COUNT(I4)=0,"",ABS(I129-I4))</f>
        <v>0</v>
      </c>
      <c r="J3" s="268">
        <f>IF(COUNT(J4)=0,"",ABS(J129-J4))</f>
        <v>0</v>
      </c>
      <c r="K3" s="268">
        <f>IF(COUNT(K4)=0,"",ABS(K129-K4))</f>
        <v>0</v>
      </c>
      <c r="L3" s="268">
        <f>IF(COUNT(L4)=0,"",ABS(L129-L4))</f>
        <v>0</v>
      </c>
      <c r="M3" s="268">
        <f>IF(COUNT(M4)=0,"",ABS(M129-M4))</f>
        <v>0</v>
      </c>
      <c r="N3" s="268">
        <f>IF(COUNT(N4)=0,"",ABS(N129-N4))</f>
        <v>0</v>
      </c>
      <c r="O3" s="268">
        <f>IF(COUNT(O4)=0,"",ABS(O129-O4))</f>
        <v>0</v>
      </c>
      <c r="P3" s="268">
        <f>IF(COUNT(P4)=0,"",ABS(P129-P4))</f>
        <v>0</v>
      </c>
      <c r="Q3" s="268">
        <f>IF(COUNT(Q4)=0,"",ABS(Q129-Q4))</f>
        <v>0</v>
      </c>
      <c r="R3" s="268">
        <f>IF(COUNT(R4)=0,"",ABS(R129-R4))</f>
        <v>0</v>
      </c>
      <c r="S3" s="268">
        <f>IF(COUNT(S4)=0,"",ABS(S129-S4))</f>
        <v>0</v>
      </c>
      <c r="T3" s="268">
        <f>IF(COUNT(T4)=0,"",ABS(T129-T4))</f>
        <v>0</v>
      </c>
      <c r="U3" s="268">
        <f>IF(COUNT(U4)=0,"",ABS(U129-U4))</f>
        <v>0</v>
      </c>
      <c r="V3" s="268">
        <f>IF(COUNT(V4)=0,"",ABS(V129-V4))</f>
        <v>0</v>
      </c>
      <c r="W3" s="268">
        <f>IF(COUNT(W4)=0,"",ABS(W129-W4))</f>
        <v>0</v>
      </c>
      <c r="X3" s="268">
        <f>IF(COUNT(X4)=0,"",ABS(X129-X4))</f>
        <v>0</v>
      </c>
      <c r="Y3" s="268">
        <f>IF(COUNT(Y4)=0,"",ABS(Y129-Y4))</f>
        <v>0</v>
      </c>
      <c r="Z3" s="268">
        <f>IF(COUNT(Z4)=0,"",ABS(Z129-Z4))</f>
        <v>0</v>
      </c>
      <c r="AA3" s="268">
        <f>IF(COUNT(AA4)=0,"",ABS(AA129-AA4))</f>
        <v>0</v>
      </c>
      <c r="AB3" s="268">
        <f>IF(COUNT(AB4)=0,"",ABS(AB129-AB4))</f>
        <v>0</v>
      </c>
      <c r="AC3" s="268">
        <f>IF(COUNT(AC4)=0,"",ABS(AC129-AC4))</f>
        <v>0</v>
      </c>
      <c r="AD3" s="268">
        <f>IF(COUNT(AD4)=0,"",ABS(AD129-AD4))</f>
        <v>0</v>
      </c>
      <c r="AE3" s="268">
        <f>IF(COUNT(AE4)=0,"",ABS(AE129-AE4))</f>
        <v>0</v>
      </c>
      <c r="AF3" s="268">
        <f>IF(COUNT(AF4)=0,"",ABS(AF129-AF4))</f>
        <v>0</v>
      </c>
      <c r="AG3" s="268">
        <f>IF(COUNT(AG4)=0,"",ABS(AG129-AG4))</f>
        <v>0</v>
      </c>
      <c r="AH3" s="268">
        <f>IF(COUNT(AH4)=0,"",ABS(AH129-AH4))</f>
        <v>0</v>
      </c>
      <c r="AI3" s="268">
        <f>IF(COUNT(AI4)=0,"",ABS(AI129-AI4))</f>
        <v>0</v>
      </c>
      <c r="AJ3" s="268" t="str">
        <f>IF(COUNT(AJ4)=0,"",ABS(AJ129-AJ4))</f>
        <v/>
      </c>
      <c r="AK3" s="268" t="str">
        <f>IF(COUNT(AK4)=0,"",ABS(AK129-AK4))</f>
        <v/>
      </c>
      <c r="AL3" s="268" t="str">
        <f>IF(COUNT(AL4)=0,"",ABS(AL129-AL4))</f>
        <v/>
      </c>
      <c r="AM3" s="268" t="str">
        <f>IF(COUNT(AM4)=0,"",ABS(AM129-AM4))</f>
        <v/>
      </c>
      <c r="AN3" s="268" t="str">
        <f>IF(COUNT(AN4)=0,"",ABS(AN129-AN4))</f>
        <v/>
      </c>
      <c r="AO3" s="268" t="str">
        <f>IF(COUNT(AO4)=0,"",ABS(AO129-AO4))</f>
        <v/>
      </c>
      <c r="AP3" s="268" t="str">
        <f>IF(COUNT(AP4)=0,"",ABS(AP129-AP4))</f>
        <v/>
      </c>
      <c r="AQ3" s="268" t="str">
        <f>IF(COUNT(AQ4)=0,"",ABS(AQ129-AQ4))</f>
        <v/>
      </c>
      <c r="AR3" s="268" t="str">
        <f>IF(COUNT(AR4)=0,"",ABS(AR129-AR4))</f>
        <v/>
      </c>
      <c r="AS3" s="268" t="str">
        <f>IF(COUNT(AS4)=0,"",ABS(AS129-AS4))</f>
        <v/>
      </c>
      <c r="AT3" s="268" t="str">
        <f>IF(COUNT(AT4)=0,"",ABS(AT129-AT4))</f>
        <v/>
      </c>
      <c r="AU3" s="268" t="str">
        <f>IF(COUNT(AU4)=0,"",ABS(AU129-AU4))</f>
        <v/>
      </c>
      <c r="AV3" s="268" t="str">
        <f>IF(COUNT(AV4)=0,"",ABS(AV129-AV4))</f>
        <v/>
      </c>
      <c r="AW3" s="268" t="str">
        <f>IF(COUNT(AW4)=0,"",ABS(AW129-AW4))</f>
        <v/>
      </c>
      <c r="AX3" s="268" t="str">
        <f>IF(COUNT(AX4)=0,"",ABS(AX129-AX4))</f>
        <v/>
      </c>
      <c r="AY3" s="268" t="str">
        <f>IF(COUNT(AY4)=0,"",ABS(AY129-AY4))</f>
        <v/>
      </c>
      <c r="AZ3" s="268" t="str">
        <f>IF(COUNT(AZ4)=0,"",ABS(AZ129-AZ4))</f>
        <v/>
      </c>
      <c r="BA3" s="268" t="str">
        <f>IF(COUNT(BA4)=0,"",ABS(BA129-BA4))</f>
        <v/>
      </c>
      <c r="BB3" s="268" t="str">
        <f>IF(COUNT(BB4)=0,"",ABS(BB129-BB4))</f>
        <v/>
      </c>
      <c r="BC3" s="268" t="str">
        <f>IF(COUNT(BC4)=0,"",ABS(BC129-BC4))</f>
        <v/>
      </c>
      <c r="BD3" s="268" t="str">
        <f>IF(COUNT(BD4)=0,"",ABS(BD129-BD4))</f>
        <v/>
      </c>
      <c r="BE3" s="268" t="str">
        <f>IF(COUNT(BE4)=0,"",ABS(BE129-BE4))</f>
        <v/>
      </c>
      <c r="BF3" s="268" t="str">
        <f>IF(COUNT(BF4)=0,"",ABS(BF129-BF4))</f>
        <v/>
      </c>
      <c r="BG3" s="268" t="str">
        <f>IF(COUNT(BG4)=0,"",ABS(BG129-BG4))</f>
        <v/>
      </c>
      <c r="BH3" s="268" t="str">
        <f>IF(COUNT(BH4)=0,"",ABS(BH129-BH4))</f>
        <v/>
      </c>
      <c r="BI3" s="268" t="str">
        <f>IF(COUNT(BI4)=0,"",ABS(BI129-BI4))</f>
        <v/>
      </c>
      <c r="BJ3" s="268" t="str">
        <f>IF(COUNT(BJ4)=0,"",ABS(BJ129-BJ4))</f>
        <v/>
      </c>
      <c r="BK3" s="268" t="str">
        <f>IF(COUNT(BK4)=0,"",ABS(BK129-BK4))</f>
        <v/>
      </c>
      <c r="BL3" s="268" t="str">
        <f>IF(COUNT(BL4)=0,"",ABS(BL129-BL4))</f>
        <v/>
      </c>
      <c r="BM3" s="268" t="str">
        <f>IF(COUNT(BM4)=0,"",ABS(BM129-BM4))</f>
        <v/>
      </c>
      <c r="BN3" s="268" t="str">
        <f>IF(COUNT(BN4)=0,"",ABS(BN129-BN4))</f>
        <v/>
      </c>
      <c r="BO3" s="268" t="str">
        <f>IF(COUNT(BO4)=0,"",ABS(BO129-BO4))</f>
        <v/>
      </c>
      <c r="BP3" s="268" t="str">
        <f>IF(COUNT(BP4)=0,"",ABS(BP129-BP4))</f>
        <v/>
      </c>
      <c r="BQ3" s="268" t="str">
        <f>IF(COUNT(BQ4)=0,"",ABS(BQ129-BQ4))</f>
        <v/>
      </c>
      <c r="BR3" s="268" t="str">
        <f>IF(COUNT(BR4)=0,"",ABS(BR129-BR4))</f>
        <v/>
      </c>
      <c r="BS3" s="268" t="str">
        <f>IF(COUNT(BS4)=0,"",ABS(BS129-BS4))</f>
        <v/>
      </c>
      <c r="BT3" s="268" t="str">
        <f>IF(COUNT(BT4)=0,"",ABS(BT129-BT4))</f>
        <v/>
      </c>
      <c r="BU3" s="268" t="str">
        <f>IF(COUNT(BU4)=0,"",ABS(BU129-BU4))</f>
        <v/>
      </c>
      <c r="BV3" s="268" t="str">
        <f>IF(COUNT(BV4)=0,"",ABS(BV129-BV4))</f>
        <v/>
      </c>
      <c r="BW3" s="268" t="str">
        <f>IF(COUNT(BW4)=0,"",ABS(BW129-BW4))</f>
        <v/>
      </c>
      <c r="BX3" s="268" t="str">
        <f>IF(COUNT(BX4)=0,"",ABS(BX129-BX4))</f>
        <v/>
      </c>
      <c r="BY3" s="268" t="str">
        <f>IF(COUNT(BY4)=0,"",ABS(BY129-BY4))</f>
        <v/>
      </c>
      <c r="BZ3" s="268" t="str">
        <f>IF(COUNT(BZ4)=0,"",ABS(BZ129-BZ4))</f>
        <v/>
      </c>
      <c r="CA3" s="268" t="str">
        <f>IF(COUNT(CA4)=0,"",ABS(CA129-CA4))</f>
        <v/>
      </c>
      <c r="CB3" s="268" t="str">
        <f>IF(COUNT(CB4)=0,"",ABS(CB129-CB4))</f>
        <v/>
      </c>
      <c r="CC3" s="268" t="str">
        <f>IF(COUNT(CC4)=0,"",ABS(CC129-CC4))</f>
        <v/>
      </c>
      <c r="CD3" s="268" t="str">
        <f>IF(COUNT(CD4)=0,"",ABS(CD129-CD4))</f>
        <v/>
      </c>
      <c r="CE3" s="268" t="str">
        <f>IF(COUNT(CE4)=0,"",ABS(CE129-CE4))</f>
        <v/>
      </c>
      <c r="CF3" s="268" t="str">
        <f>IF(COUNT(CF4)=0,"",ABS(CF129-CF4))</f>
        <v/>
      </c>
      <c r="CG3" s="268" t="str">
        <f>IF(COUNT(CG4)=0,"",ABS(CG129-CG4))</f>
        <v/>
      </c>
      <c r="CH3" s="268" t="str">
        <f>IF(COUNT(CH4)=0,"",ABS(CH129-CH4))</f>
        <v/>
      </c>
      <c r="CI3" s="268" t="str">
        <f>IF(COUNT(CI4)=0,"",ABS(CI129-CI4))</f>
        <v/>
      </c>
      <c r="CJ3" s="268" t="str">
        <f>IF(COUNT(CJ4)=0,"",ABS(CJ129-CJ4))</f>
        <v/>
      </c>
      <c r="CK3" s="268" t="str">
        <f>IF(COUNT(CK4)=0,"",ABS(CK129-CK4))</f>
        <v/>
      </c>
      <c r="CL3" s="268" t="str">
        <f>IF(COUNT(CL4)=0,"",ABS(CL129-CL4))</f>
        <v/>
      </c>
      <c r="CM3" s="268" t="str">
        <f>IF(COUNT(CM4)=0,"",ABS(CM129-CM4))</f>
        <v/>
      </c>
      <c r="CN3" s="268" t="str">
        <f>IF(COUNT(CN4)=0,"",ABS(CN129-CN4))</f>
        <v/>
      </c>
      <c r="CO3" s="268" t="str">
        <f>IF(COUNT(CO4)=0,"",ABS(CO129-CO4))</f>
        <v/>
      </c>
      <c r="CP3" s="268" t="str">
        <f>IF(COUNT(CP4)=0,"",ABS(CP129-CP4))</f>
        <v/>
      </c>
      <c r="CQ3" s="268" t="str">
        <f>IF(COUNT(CQ4)=0,"",ABS(CQ129-CQ4))</f>
        <v/>
      </c>
      <c r="CR3" s="268" t="str">
        <f>IF(COUNT(CR4)=0,"",ABS(CR129-CR4))</f>
        <v/>
      </c>
      <c r="CS3" s="268" t="str">
        <f>IF(COUNT(CS4)=0,"",ABS(CS129-CS4))</f>
        <v/>
      </c>
      <c r="CT3" s="268" t="str">
        <f>IF(COUNT(CT4)=0,"",ABS(CT129-CT4))</f>
        <v/>
      </c>
      <c r="CU3" s="268" t="str">
        <f>IF(COUNT(CU4)=0,"",ABS(CU129-CU4))</f>
        <v/>
      </c>
      <c r="CV3" s="268" t="str">
        <f>IF(COUNT(CV4)=0,"",ABS(CV129-CV4))</f>
        <v/>
      </c>
      <c r="CW3" s="268" t="str">
        <f>IF(COUNT(CW4)=0,"",ABS(CW129-CW4))</f>
        <v/>
      </c>
      <c r="CX3" s="268" t="str">
        <f>IF(COUNT(CX4)=0,"",ABS(CX129-CX4))</f>
        <v/>
      </c>
      <c r="CY3" s="268" t="str">
        <f>IF(COUNT(CY4)=0,"",ABS(CY129-CY4))</f>
        <v/>
      </c>
    </row>
    <row r="4" outlineLevel="1" ht="12.75" customHeight="1" s="255">
      <c r="C4" s="275" t="inlineStr">
        <is>
          <t>Net Income reportado (lucro liquido) - base do check IS</t>
        </is>
      </c>
      <c r="D4" s="276">
        <f>INDEX('Inputs (2)'!$D$50:$AL$50,MATCH(D$7,'Inputs (2)'!$D$2:$AL$2,0))</f>
        <v>-491</v>
      </c>
      <c r="E4" s="276">
        <f>INDEX('Inputs (2)'!$D$50:$AL$50,MATCH(E$7,'Inputs (2)'!$D$2:$AL$2,0))</f>
        <v>53</v>
      </c>
      <c r="F4" s="276">
        <f>INDEX('Inputs (2)'!$D$50:$AL$50,MATCH(F$7,'Inputs (2)'!$D$2:$AL$2,0))</f>
        <v>329</v>
      </c>
      <c r="G4" s="276">
        <f>INDEX('Inputs (2)'!$D$50:$AL$50,MATCH(G$7,'Inputs (2)'!$D$2:$AL$2,0))</f>
        <v>708</v>
      </c>
      <c r="H4" s="276">
        <f>IF(COUNT(D4:G4)=4,SUM(D4:G4),"")</f>
        <v>599</v>
      </c>
      <c r="I4" s="276">
        <f>INDEX('Inputs (2)'!$D$50:$AL$50,MATCH(I$7,'Inputs (2)'!$D$2:$AL$2,0))</f>
        <v>718</v>
      </c>
      <c r="J4" s="276">
        <f>INDEX('Inputs (2)'!$D$50:$AL$50,MATCH(J$7,'Inputs (2)'!$D$2:$AL$2,0))</f>
        <v>1083</v>
      </c>
      <c r="K4" s="276">
        <f>INDEX('Inputs (2)'!$D$50:$AL$50,MATCH(K$7,'Inputs (2)'!$D$2:$AL$2,0))</f>
        <v>1399</v>
      </c>
      <c r="L4" s="276">
        <f>INDEX('Inputs (2)'!$D$50:$AL$50,MATCH(L$7,'Inputs (2)'!$D$2:$AL$2,0))</f>
        <v>1106</v>
      </c>
      <c r="M4" s="276">
        <f>IF(COUNT(I4:L4)=4,SUM(I4:L4),"")</f>
        <v>4306</v>
      </c>
      <c r="N4" s="276">
        <f>INDEX('Inputs (2)'!$D$50:$AL$50,MATCH(N$7,'Inputs (2)'!$D$2:$AL$2,0))</f>
        <v>1527</v>
      </c>
      <c r="O4" s="276">
        <f>INDEX('Inputs (2)'!$D$50:$AL$50,MATCH(O$7,'Inputs (2)'!$D$2:$AL$2,0))</f>
        <v>840</v>
      </c>
      <c r="P4" s="276">
        <f>INDEX('Inputs (2)'!$D$50:$AL$50,MATCH(P$7,'Inputs (2)'!$D$2:$AL$2,0))</f>
        <v>404</v>
      </c>
      <c r="Q4" s="276">
        <f>INDEX('Inputs (2)'!$D$50:$AL$50,MATCH(Q$7,'Inputs (2)'!$D$2:$AL$2,0))</f>
        <v>697</v>
      </c>
      <c r="R4" s="276">
        <f>IF(COUNT(N4:Q4)=4,SUM(N4:Q4),"")</f>
        <v>3468</v>
      </c>
      <c r="S4" s="276">
        <f>INDEX('Inputs (2)'!$D$50:$AL$50,MATCH(S$7,'Inputs (2)'!$D$2:$AL$2,0))</f>
        <v>663</v>
      </c>
      <c r="T4" s="276">
        <f>INDEX('Inputs (2)'!$D$50:$AL$50,MATCH(T$7,'Inputs (2)'!$D$2:$AL$2,0))</f>
        <v>343</v>
      </c>
      <c r="U4" s="276">
        <f>INDEX('Inputs (2)'!$D$50:$AL$50,MATCH(U$7,'Inputs (2)'!$D$2:$AL$2,0))</f>
        <v>454</v>
      </c>
      <c r="V4" s="276">
        <f>INDEX('Inputs (2)'!$D$50:$AL$50,MATCH(V$7,'Inputs (2)'!$D$2:$AL$2,0))</f>
        <v>388</v>
      </c>
      <c r="W4" s="276">
        <f>IF(COUNT(S4:V4)=4,SUM(S4:V4),"")</f>
        <v>1848</v>
      </c>
      <c r="X4" s="276">
        <f>INDEX('Inputs (2)'!$D$50:$AL$50,MATCH(X$7,'Inputs (2)'!$D$2:$AL$2,0))</f>
        <v>473</v>
      </c>
      <c r="Y4" s="276">
        <f>INDEX('Inputs (2)'!$D$50:$AL$50,MATCH(Y$7,'Inputs (2)'!$D$2:$AL$2,0))</f>
        <v>616</v>
      </c>
      <c r="Z4" s="276">
        <f>INDEX('Inputs (2)'!$D$50:$AL$50,MATCH(Z$7,'Inputs (2)'!$D$2:$AL$2,0))</f>
        <v>526</v>
      </c>
      <c r="AA4" s="276">
        <f>INDEX('Inputs (2)'!$D$50:$AL$50,MATCH(AA$7,'Inputs (2)'!$D$2:$AL$2,0))</f>
        <v>274</v>
      </c>
      <c r="AB4" s="276">
        <f>IF(COUNT(X4:AA4)=4,SUM(X4:AA4),"")</f>
        <v>1889</v>
      </c>
      <c r="AC4" s="276">
        <f>INDEX('Inputs (2)'!$D$50:$AL$50,MATCH(AC$7,'Inputs (2)'!$D$2:$AL$2,0))</f>
        <v>352</v>
      </c>
      <c r="AD4" s="276">
        <f>INDEX('Inputs (2)'!$D$50:$AL$50,MATCH(AD$7,'Inputs (2)'!$D$2:$AL$2,0))</f>
        <v>772</v>
      </c>
      <c r="AE4" s="276">
        <f>INDEX('Inputs (2)'!$D$50:$AL$50,MATCH(AE$7,'Inputs (2)'!$D$2:$AL$2,0))</f>
        <v>674</v>
      </c>
      <c r="AF4" s="276">
        <f>INDEX('Inputs (2)'!$D$50:$AL$50,MATCH(AF$7,'Inputs (2)'!$D$2:$AL$2,0))</f>
        <v>406</v>
      </c>
      <c r="AG4" s="276">
        <f>IF(COUNT(AC4:AF4)=4,SUM(AC4:AF4),"")</f>
        <v>2204</v>
      </c>
      <c r="AH4" s="267">
        <f>INDEX('Inputs (2)'!$D$50:$AL$50,MATCH(AH$7,'Inputs (2)'!$D$2:$AL$2,0))</f>
        <v>881</v>
      </c>
      <c r="AI4" s="267">
        <f>INDEX('Inputs (2)'!$D$50:$AL$50,MATCH(AI$7,'Inputs (2)'!$D$2:$AL$2,0))</f>
        <v>984</v>
      </c>
      <c r="AJ4" s="267" t="n"/>
      <c r="AK4" s="267" t="n"/>
      <c r="AL4" s="267" t="n"/>
      <c r="AM4" s="267" t="n"/>
      <c r="AN4" s="267" t="n"/>
      <c r="AO4" s="267" t="n"/>
      <c r="AP4" s="267" t="n"/>
      <c r="AQ4" s="267" t="n"/>
      <c r="AR4" s="267" t="n"/>
      <c r="AS4" s="267" t="n"/>
      <c r="AT4" s="267" t="n"/>
      <c r="AU4" s="267" t="n"/>
      <c r="AV4" s="267" t="n"/>
      <c r="AW4" s="267" t="n"/>
      <c r="AX4" s="267" t="n"/>
      <c r="AY4" s="267" t="n"/>
      <c r="AZ4" s="267" t="n"/>
      <c r="BA4" s="267" t="n"/>
      <c r="BB4" s="267" t="n"/>
      <c r="BC4" s="267" t="n"/>
      <c r="BD4" s="267" t="n"/>
      <c r="BE4" s="267" t="n"/>
      <c r="BF4" s="267" t="n"/>
      <c r="BG4" s="267" t="n"/>
      <c r="BH4" s="267" t="n"/>
      <c r="BI4" s="267" t="n"/>
      <c r="BJ4" s="267" t="n"/>
      <c r="BK4" s="267" t="n"/>
      <c r="BL4" s="267" t="n"/>
      <c r="BM4" s="267" t="n"/>
      <c r="BN4" s="267" t="n"/>
      <c r="BO4" s="267" t="n"/>
      <c r="BP4" s="267" t="n"/>
      <c r="BQ4" s="267" t="n"/>
      <c r="BR4" s="267" t="n"/>
      <c r="BS4" s="267" t="n"/>
      <c r="BT4" s="267" t="n"/>
      <c r="BU4" s="267" t="n"/>
      <c r="BV4" s="267" t="n"/>
      <c r="BW4" s="267" t="n"/>
      <c r="BX4" s="267" t="n"/>
      <c r="BY4" s="267" t="n"/>
      <c r="BZ4" s="267" t="n"/>
      <c r="CA4" s="267" t="n"/>
      <c r="CB4" s="267" t="n"/>
      <c r="CC4" s="267" t="n"/>
      <c r="CD4" s="267" t="n"/>
      <c r="CE4" s="267" t="n"/>
      <c r="CF4" s="267" t="n"/>
      <c r="CG4" s="267" t="n"/>
      <c r="CH4" s="267" t="n"/>
      <c r="CI4" s="267" t="n"/>
      <c r="CJ4" s="267" t="n"/>
      <c r="CK4" s="267" t="n"/>
      <c r="CL4" s="267" t="n"/>
      <c r="CM4" s="267" t="n"/>
      <c r="CN4" s="267" t="n"/>
      <c r="CO4" s="267" t="n"/>
      <c r="CP4" s="267" t="n"/>
      <c r="CQ4" s="267" t="n"/>
      <c r="CR4" s="267" t="n"/>
      <c r="CS4" s="267" t="n"/>
      <c r="CT4" s="267" t="n"/>
      <c r="CU4" s="267" t="n"/>
      <c r="CV4" s="267" t="n"/>
      <c r="CW4" s="267" t="n"/>
      <c r="CX4" s="267" t="n"/>
      <c r="CY4" s="267" t="n"/>
    </row>
    <row r="5" ht="12.75" customHeight="1" s="255">
      <c r="B5" s="277" t="n">
        <v>45930</v>
      </c>
      <c r="D5" s="278" t="n">
        <v>43921</v>
      </c>
      <c r="E5" s="279">
        <f>DATE(YEAR(D5),MONTH(D5)+3,DAY(D5)-1)</f>
        <v>44012.0</v>
      </c>
      <c r="F5" s="279">
        <f>DATE(YEAR(E5),MONTH(E5)+3,DAY(E5))</f>
        <v>44104.0</v>
      </c>
      <c r="G5" s="279">
        <f>DATE(YEAR(F5),MONTH(F5)+3,DAY(F5)+1)</f>
        <v>44196.0</v>
      </c>
      <c r="H5" s="280">
        <f>G5</f>
        <v>44196.0</v>
      </c>
      <c r="I5" s="278" t="n">
        <v>44286</v>
      </c>
      <c r="J5" s="279">
        <f>DATE(YEAR(I5),MONTH(I5)+3,DAY(I5)-1)</f>
        <v>44377.0</v>
      </c>
      <c r="K5" s="279">
        <f>DATE(YEAR(J5),MONTH(J5)+3,DAY(J5))</f>
        <v>44469.0</v>
      </c>
      <c r="L5" s="279">
        <f>DATE(YEAR(K5),MONTH(K5)+3,DAY(K5)+1)</f>
        <v>44561.0</v>
      </c>
      <c r="M5" s="280">
        <f>L5</f>
        <v>44561.0</v>
      </c>
      <c r="N5" s="279">
        <f>DATE(YEAR(M5),MONTH(M5)+3,DAY(M5))</f>
        <v>44651.0</v>
      </c>
      <c r="O5" s="279">
        <f>DATE(YEAR(N5),MONTH(N5)+3,DAY(N5)-1)</f>
        <v>44742.0</v>
      </c>
      <c r="P5" s="279">
        <f>DATE(YEAR(O5),MONTH(O5)+3,DAY(O5))</f>
        <v>44834.0</v>
      </c>
      <c r="Q5" s="279">
        <f>DATE(YEAR(P5),MONTH(P5)+3,DAY(P5)+1)</f>
        <v>44926.0</v>
      </c>
      <c r="R5" s="280">
        <f>Q5</f>
        <v>44926.0</v>
      </c>
      <c r="S5" s="279">
        <f>DATE(YEAR(R5),MONTH(R5)+3,DAY(R5))</f>
        <v>45016.0</v>
      </c>
      <c r="T5" s="279">
        <f>DATE(YEAR(S5),MONTH(S5)+3,DAY(S5))-1</f>
        <v>45107.0</v>
      </c>
      <c r="U5" s="279">
        <f>DATE(YEAR(T5),MONTH(T5)+3,DAY(T5))</f>
        <v>45199.0</v>
      </c>
      <c r="V5" s="279">
        <f>DATE(YEAR(U5),MONTH(U5)+3,DAY(U5))+1</f>
        <v>45291.0</v>
      </c>
      <c r="W5" s="280">
        <f>V5</f>
        <v>45291.0</v>
      </c>
      <c r="X5" s="279">
        <f>DATE(YEAR(W5),MONTH(W5)+3,DAY(W5))</f>
        <v>45382.0</v>
      </c>
      <c r="Y5" s="279">
        <f>DATE(YEAR(X5),MONTH(X5)+3,DAY(X5))-1</f>
        <v>45473.0</v>
      </c>
      <c r="Z5" s="279">
        <f>DATE(YEAR(Y5),MONTH(Y5)+3,DAY(Y5))</f>
        <v>45565.0</v>
      </c>
      <c r="AA5" s="279">
        <f>DATE(YEAR(Z5),MONTH(Z5)+3,DAY(Z5))+1</f>
        <v>45657.0</v>
      </c>
      <c r="AB5" s="280">
        <f>AA5</f>
        <v>45657.0</v>
      </c>
      <c r="AC5" s="279">
        <f>DATE(YEAR(AB5),MONTH(AB5)+3,DAY(AB5))</f>
        <v>45747.0</v>
      </c>
      <c r="AD5" s="279">
        <f>DATE(YEAR(AC5),MONTH(AC5)+3,DAY(AC5))-1</f>
        <v>45838.0</v>
      </c>
      <c r="AE5" s="279">
        <f>DATE(YEAR(AD5),MONTH(AD5)+3,DAY(AD5))</f>
        <v>45930.0</v>
      </c>
      <c r="AF5" s="279">
        <f>DATE(YEAR(AE5),MONTH(AE5)+3,DAY(AE5))+1</f>
        <v>46022.0</v>
      </c>
      <c r="AG5" s="280">
        <f>AF5</f>
        <v>46022.0</v>
      </c>
      <c r="AH5" s="279">
        <f>DATE(YEAR(AG5),MONTH(AG5)+3,DAY(AG5))</f>
        <v>46112.0</v>
      </c>
      <c r="AI5" s="279">
        <f>DATE(YEAR(AH5),MONTH(AH5)+3,DAY(AH5))-1</f>
        <v>46203.0</v>
      </c>
      <c r="AJ5" s="279">
        <f>DATE(YEAR(AI5),MONTH(AI5)+3,DAY(AI5))</f>
        <v>46295.0</v>
      </c>
      <c r="AK5" s="279">
        <f>DATE(YEAR(AJ5),MONTH(AJ5)+3,DAY(AJ5))+1</f>
        <v>46387.0</v>
      </c>
      <c r="AL5" s="280">
        <f>AK5</f>
        <v>46387.0</v>
      </c>
      <c r="AM5" s="279">
        <f>DATE(YEAR(AL5),MONTH(AL5)+3,DAY(AL5))</f>
        <v>46477.0</v>
      </c>
      <c r="AN5" s="279">
        <f>DATE(YEAR(AM5),MONTH(AM5)+3,DAY(AM5))-1</f>
        <v>46568.0</v>
      </c>
      <c r="AO5" s="279">
        <f>DATE(YEAR(AN5),MONTH(AN5)+3,DAY(AN5))</f>
        <v>46660.0</v>
      </c>
      <c r="AP5" s="279">
        <f>DATE(YEAR(AO5),MONTH(AO5)+3,DAY(AO5))+1</f>
        <v>46752.0</v>
      </c>
      <c r="AQ5" s="280">
        <f>AP5</f>
        <v>46752.0</v>
      </c>
      <c r="AR5" s="279">
        <f>DATE(YEAR(AQ5),MONTH(AQ5)+3,DAY(AQ5))</f>
        <v>46843.0</v>
      </c>
      <c r="AS5" s="279">
        <f>DATE(YEAR(AR5),MONTH(AR5)+3,DAY(AR5))-1</f>
        <v>46934.0</v>
      </c>
      <c r="AT5" s="279">
        <f>DATE(YEAR(AS5),MONTH(AS5)+3,DAY(AS5))</f>
        <v>47026.0</v>
      </c>
      <c r="AU5" s="279">
        <f>DATE(YEAR(AT5),MONTH(AT5)+3,DAY(AT5))+1</f>
        <v>47118.0</v>
      </c>
      <c r="AV5" s="280">
        <f>AU5</f>
        <v>47118.0</v>
      </c>
      <c r="AW5" s="279">
        <f>DATE(YEAR(AV5),MONTH(AV5)+3,DAY(AV5))</f>
        <v>47208.0</v>
      </c>
      <c r="AX5" s="279">
        <f>DATE(YEAR(AW5),MONTH(AW5)+3,DAY(AW5))-1</f>
        <v>47299.0</v>
      </c>
      <c r="AY5" s="279">
        <f>DATE(YEAR(AX5),MONTH(AX5)+3,DAY(AX5))</f>
        <v>47391.0</v>
      </c>
      <c r="AZ5" s="279">
        <f>DATE(YEAR(AY5),MONTH(AY5)+3,DAY(AY5))+1</f>
        <v>47483.0</v>
      </c>
      <c r="BA5" s="280">
        <f>AZ5</f>
        <v>47483.0</v>
      </c>
      <c r="BB5" s="279">
        <f>DATE(YEAR(BA5),MONTH(BA5)+3,DAY(BA5))</f>
        <v>47573.0</v>
      </c>
      <c r="BC5" s="279">
        <f>DATE(YEAR(BB5),MONTH(BB5)+3,DAY(BB5))-1</f>
        <v>47664.0</v>
      </c>
      <c r="BD5" s="279">
        <f>DATE(YEAR(BC5),MONTH(BC5)+3,DAY(BC5))</f>
        <v>47756.0</v>
      </c>
      <c r="BE5" s="279">
        <f>DATE(YEAR(BD5),MONTH(BD5)+3,DAY(BD5))+1</f>
        <v>47848.0</v>
      </c>
      <c r="BF5" s="280">
        <f>BE5</f>
        <v>47848.0</v>
      </c>
      <c r="BG5" s="279">
        <f>DATE(YEAR(BF5),MONTH(BF5)+3,DAY(BF5))</f>
        <v>47938.0</v>
      </c>
      <c r="BH5" s="279">
        <f>DATE(YEAR(BG5),MONTH(BG5)+3,DAY(BG5))-1</f>
        <v>48029.0</v>
      </c>
      <c r="BI5" s="279">
        <f>DATE(YEAR(BH5),MONTH(BH5)+3,DAY(BH5))</f>
        <v>48121.0</v>
      </c>
      <c r="BJ5" s="279">
        <f>DATE(YEAR(BI5),MONTH(BI5)+3,DAY(BI5))+1</f>
        <v>48213.0</v>
      </c>
      <c r="BK5" s="280">
        <f>BJ5</f>
        <v>48213.0</v>
      </c>
      <c r="BL5" s="279">
        <f>DATE(YEAR(BK5),MONTH(BK5)+3,DAY(BK5))</f>
        <v>48304.0</v>
      </c>
      <c r="BM5" s="279">
        <f>DATE(YEAR(BL5),MONTH(BL5)+3,DAY(BL5))-1</f>
        <v>48395.0</v>
      </c>
      <c r="BN5" s="279">
        <f>DATE(YEAR(BM5),MONTH(BM5)+3,DAY(BM5))</f>
        <v>48487.0</v>
      </c>
      <c r="BO5" s="279">
        <f>DATE(YEAR(BN5),MONTH(BN5)+3,DAY(BN5))+1</f>
        <v>48579.0</v>
      </c>
      <c r="BP5" s="280">
        <f>BO5</f>
        <v>48579.0</v>
      </c>
      <c r="BQ5" s="279">
        <f>DATE(YEAR(BP5),MONTH(BP5)+3,DAY(BP5))</f>
        <v>48669.0</v>
      </c>
      <c r="BR5" s="279">
        <f>DATE(YEAR(BQ5),MONTH(BQ5)+3,DAY(BQ5))-1</f>
        <v>48760.0</v>
      </c>
      <c r="BS5" s="279">
        <f>DATE(YEAR(BR5),MONTH(BR5)+3,DAY(BR5))</f>
        <v>48852.0</v>
      </c>
      <c r="BT5" s="279">
        <f>DATE(YEAR(BS5),MONTH(BS5)+3,DAY(BS5))+1</f>
        <v>48944.0</v>
      </c>
      <c r="BU5" s="280">
        <f>BT5</f>
        <v>48944.0</v>
      </c>
      <c r="BV5" s="279">
        <f>DATE(YEAR(BU5),MONTH(BU5)+3,DAY(BU5))</f>
        <v>49034.0</v>
      </c>
      <c r="BW5" s="279">
        <f>DATE(YEAR(BV5),MONTH(BV5)+3,DAY(BV5))-1</f>
        <v>49125.0</v>
      </c>
      <c r="BX5" s="279">
        <f>DATE(YEAR(BW5),MONTH(BW5)+3,DAY(BW5))</f>
        <v>49217.0</v>
      </c>
      <c r="BY5" s="279">
        <f>DATE(YEAR(BX5),MONTH(BX5)+3,DAY(BX5))+1</f>
        <v>49309.0</v>
      </c>
      <c r="BZ5" s="280">
        <f>BY5</f>
        <v>49309.0</v>
      </c>
      <c r="CA5" s="279">
        <f>DATE(YEAR(BZ5),MONTH(BZ5)+3,DAY(BZ5))</f>
        <v>49399.0</v>
      </c>
      <c r="CB5" s="279">
        <f>DATE(YEAR(CA5),MONTH(CA5)+3,DAY(CA5))-1</f>
        <v>49490.0</v>
      </c>
      <c r="CC5" s="279">
        <f>DATE(YEAR(CB5),MONTH(CB5)+3,DAY(CB5))</f>
        <v>49582.0</v>
      </c>
      <c r="CD5" s="279">
        <f>DATE(YEAR(CC5),MONTH(CC5)+3,DAY(CC5))+1</f>
        <v>49674.0</v>
      </c>
      <c r="CE5" s="280">
        <f>CD5</f>
        <v>49674.0</v>
      </c>
      <c r="CF5" s="279">
        <f>DATE(YEAR(CE5),MONTH(CE5)+3,DAY(CE5))</f>
        <v>49765.0</v>
      </c>
      <c r="CG5" s="279">
        <f>DATE(YEAR(CF5),MONTH(CF5)+3,DAY(CF5))-1</f>
        <v>49856.0</v>
      </c>
      <c r="CH5" s="279">
        <f>DATE(YEAR(CG5),MONTH(CG5)+3,DAY(CG5))</f>
        <v>49948.0</v>
      </c>
      <c r="CI5" s="279">
        <f>DATE(YEAR(CH5),MONTH(CH5)+3,DAY(CH5))+1</f>
        <v>50040.0</v>
      </c>
      <c r="CJ5" s="280">
        <f>CI5</f>
        <v>50040.0</v>
      </c>
      <c r="CK5" s="279">
        <f>DATE(YEAR(CJ5),MONTH(CJ5)+3,DAY(CJ5))</f>
        <v>50130.0</v>
      </c>
      <c r="CL5" s="279">
        <f>DATE(YEAR(CK5),MONTH(CK5)+3,DAY(CK5))-1</f>
        <v>50221.0</v>
      </c>
      <c r="CM5" s="279">
        <f>DATE(YEAR(CL5),MONTH(CL5)+3,DAY(CL5))</f>
        <v>50313.0</v>
      </c>
      <c r="CN5" s="279">
        <f>DATE(YEAR(CM5),MONTH(CM5)+3,DAY(CM5))+1</f>
        <v>50405.0</v>
      </c>
      <c r="CO5" s="280">
        <f>CN5</f>
        <v>50405.0</v>
      </c>
      <c r="CP5" s="279">
        <f>DATE(YEAR(CO5),MONTH(CO5)+3,DAY(CO5))</f>
        <v>50495.0</v>
      </c>
      <c r="CQ5" s="279">
        <f>DATE(YEAR(CP5),MONTH(CP5)+3,DAY(CP5))-1</f>
        <v>50586.0</v>
      </c>
      <c r="CR5" s="279">
        <f>DATE(YEAR(CQ5),MONTH(CQ5)+3,DAY(CQ5))</f>
        <v>50678.0</v>
      </c>
      <c r="CS5" s="279">
        <f>DATE(YEAR(CR5),MONTH(CR5)+3,DAY(CR5))+1</f>
        <v>50770.0</v>
      </c>
      <c r="CT5" s="280">
        <f>CS5</f>
        <v>50770.0</v>
      </c>
      <c r="CU5" s="279">
        <f>DATE(YEAR(CT5),MONTH(CT5)+3,DAY(CT5))</f>
        <v>50860.0</v>
      </c>
      <c r="CV5" s="279">
        <f>DATE(YEAR(CU5),MONTH(CU5)+3,DAY(CU5))-1</f>
        <v>50951.0</v>
      </c>
      <c r="CW5" s="279">
        <f>DATE(YEAR(CV5),MONTH(CV5)+3,DAY(CV5))</f>
        <v>51043.0</v>
      </c>
      <c r="CX5" s="279">
        <f>DATE(YEAR(CW5),MONTH(CW5)+3,DAY(CW5))+1</f>
        <v>51135.0</v>
      </c>
      <c r="CY5" s="280">
        <f>CX5</f>
        <v>51135.0</v>
      </c>
    </row>
    <row r="6" ht="12.75" customHeight="1" s="255">
      <c r="B6" s="281" t="n"/>
      <c r="D6" s="282">
        <f>YEAR(D5)</f>
        <v>2020</v>
      </c>
      <c r="E6" s="282">
        <f>YEAR(E5)</f>
        <v>2020</v>
      </c>
      <c r="F6" s="282">
        <f>YEAR(F5)</f>
        <v>2020</v>
      </c>
      <c r="G6" s="282">
        <f>YEAR(G5)</f>
        <v>2020</v>
      </c>
      <c r="H6" s="282">
        <f>YEAR(H5)</f>
        <v>2020</v>
      </c>
      <c r="I6" s="282">
        <f>YEAR(I5)</f>
        <v>2021</v>
      </c>
      <c r="J6" s="282">
        <f>YEAR(J5)</f>
        <v>2021</v>
      </c>
      <c r="K6" s="282">
        <f>YEAR(K5)</f>
        <v>2021</v>
      </c>
      <c r="L6" s="282">
        <f>YEAR(L5)</f>
        <v>2021</v>
      </c>
      <c r="M6" s="282">
        <f>YEAR(M5)</f>
        <v>2021</v>
      </c>
      <c r="N6" s="282">
        <f>YEAR(N5)</f>
        <v>2022</v>
      </c>
      <c r="O6" s="282">
        <f>YEAR(O5)</f>
        <v>2022</v>
      </c>
      <c r="P6" s="282">
        <f>YEAR(P5)</f>
        <v>2022</v>
      </c>
      <c r="Q6" s="282">
        <f>YEAR(Q5)</f>
        <v>2022</v>
      </c>
      <c r="R6" s="282">
        <f>YEAR(R5)</f>
        <v>2022</v>
      </c>
      <c r="S6" s="282">
        <f>YEAR(S5)</f>
        <v>2023</v>
      </c>
      <c r="T6" s="282">
        <f>YEAR(T5)</f>
        <v>2023</v>
      </c>
      <c r="U6" s="282">
        <f>YEAR(U5)</f>
        <v>2023</v>
      </c>
      <c r="V6" s="282">
        <f>YEAR(V5)</f>
        <v>2023</v>
      </c>
      <c r="W6" s="282">
        <f>YEAR(W5)</f>
        <v>2023</v>
      </c>
      <c r="X6" s="282">
        <f>YEAR(X5)</f>
        <v>2024</v>
      </c>
      <c r="Y6" s="282">
        <f>YEAR(Y5)</f>
        <v>2024</v>
      </c>
      <c r="Z6" s="282">
        <f>YEAR(Z5)</f>
        <v>2024</v>
      </c>
      <c r="AA6" s="282">
        <f>YEAR(AA5)</f>
        <v>2024</v>
      </c>
      <c r="AB6" s="282">
        <f>YEAR(AB5)</f>
        <v>2024</v>
      </c>
      <c r="AC6" s="282">
        <f>YEAR(AC5)</f>
        <v>2025</v>
      </c>
      <c r="AD6" s="282">
        <f>YEAR(AD5)</f>
        <v>2025</v>
      </c>
      <c r="AE6" s="282">
        <f>YEAR(AE5)</f>
        <v>2025</v>
      </c>
      <c r="AF6" s="282">
        <f>YEAR(AF5)</f>
        <v>2025</v>
      </c>
      <c r="AG6" s="282">
        <f>YEAR(AG5)</f>
        <v>2025</v>
      </c>
      <c r="AH6" s="282">
        <f>YEAR(AH5)</f>
        <v>2026</v>
      </c>
      <c r="AI6" s="282">
        <f>YEAR(AI5)</f>
        <v>2026</v>
      </c>
      <c r="AJ6" s="282">
        <f>YEAR(AJ5)</f>
        <v>2026</v>
      </c>
      <c r="AK6" s="282">
        <f>YEAR(AK5)</f>
        <v>2026</v>
      </c>
      <c r="AL6" s="282">
        <f>YEAR(AL5)</f>
        <v>2026</v>
      </c>
      <c r="AM6" s="282">
        <f>YEAR(AM5)</f>
        <v>2027</v>
      </c>
      <c r="AN6" s="282">
        <f>YEAR(AN5)</f>
        <v>2027</v>
      </c>
      <c r="AO6" s="282">
        <f>YEAR(AO5)</f>
        <v>2027</v>
      </c>
      <c r="AP6" s="282">
        <f>YEAR(AP5)</f>
        <v>2027</v>
      </c>
      <c r="AQ6" s="282">
        <f>YEAR(AQ5)</f>
        <v>2027</v>
      </c>
      <c r="AR6" s="282">
        <f>YEAR(AR5)</f>
        <v>2028</v>
      </c>
      <c r="AS6" s="282">
        <f>YEAR(AS5)</f>
        <v>2028</v>
      </c>
      <c r="AT6" s="282">
        <f>YEAR(AT5)</f>
        <v>2028</v>
      </c>
      <c r="AU6" s="282">
        <f>YEAR(AU5)</f>
        <v>2028</v>
      </c>
      <c r="AV6" s="282">
        <f>YEAR(AV5)</f>
        <v>2028</v>
      </c>
      <c r="AW6" s="282">
        <f>YEAR(AW5)</f>
        <v>2029</v>
      </c>
      <c r="AX6" s="282">
        <f>YEAR(AX5)</f>
        <v>2029</v>
      </c>
      <c r="AY6" s="282">
        <f>YEAR(AY5)</f>
        <v>2029</v>
      </c>
      <c r="AZ6" s="282">
        <f>YEAR(AZ5)</f>
        <v>2029</v>
      </c>
      <c r="BA6" s="282">
        <f>YEAR(BA5)</f>
        <v>2029</v>
      </c>
      <c r="BB6" s="282">
        <f>YEAR(BB5)</f>
        <v>2030</v>
      </c>
      <c r="BC6" s="282">
        <f>YEAR(BC5)</f>
        <v>2030</v>
      </c>
      <c r="BD6" s="282">
        <f>YEAR(BD5)</f>
        <v>2030</v>
      </c>
      <c r="BE6" s="282">
        <f>YEAR(BE5)</f>
        <v>2030</v>
      </c>
      <c r="BF6" s="282">
        <f>YEAR(BF5)</f>
        <v>2030</v>
      </c>
      <c r="BG6" s="282">
        <f>YEAR(BG5)</f>
        <v>2031</v>
      </c>
      <c r="BH6" s="282">
        <f>YEAR(BH5)</f>
        <v>2031</v>
      </c>
      <c r="BI6" s="282">
        <f>YEAR(BI5)</f>
        <v>2031</v>
      </c>
      <c r="BJ6" s="282">
        <f>YEAR(BJ5)</f>
        <v>2031</v>
      </c>
      <c r="BK6" s="282">
        <f>YEAR(BK5)</f>
        <v>2031</v>
      </c>
      <c r="BL6" s="282">
        <f>YEAR(BL5)</f>
        <v>2032</v>
      </c>
      <c r="BM6" s="282">
        <f>YEAR(BM5)</f>
        <v>2032</v>
      </c>
      <c r="BN6" s="282">
        <f>YEAR(BN5)</f>
        <v>2032</v>
      </c>
      <c r="BO6" s="282">
        <f>YEAR(BO5)</f>
        <v>2032</v>
      </c>
      <c r="BP6" s="282">
        <f>YEAR(BP5)</f>
        <v>2032</v>
      </c>
      <c r="BQ6" s="282">
        <f>YEAR(BQ5)</f>
        <v>2033</v>
      </c>
      <c r="BR6" s="282">
        <f>YEAR(BR5)</f>
        <v>2033</v>
      </c>
      <c r="BS6" s="282">
        <f>YEAR(BS5)</f>
        <v>2033</v>
      </c>
      <c r="BT6" s="282">
        <f>YEAR(BT5)</f>
        <v>2033</v>
      </c>
      <c r="BU6" s="282">
        <f>YEAR(BU5)</f>
        <v>2033</v>
      </c>
      <c r="BV6" s="282">
        <f>YEAR(BV5)</f>
        <v>2034</v>
      </c>
      <c r="BW6" s="282">
        <f>YEAR(BW5)</f>
        <v>2034</v>
      </c>
      <c r="BX6" s="282">
        <f>YEAR(BX5)</f>
        <v>2034</v>
      </c>
      <c r="BY6" s="282">
        <f>YEAR(BY5)</f>
        <v>2034</v>
      </c>
      <c r="BZ6" s="282">
        <f>YEAR(BZ5)</f>
        <v>2034</v>
      </c>
      <c r="CA6" s="282">
        <f>YEAR(CA5)</f>
        <v>2035</v>
      </c>
      <c r="CB6" s="282">
        <f>YEAR(CB5)</f>
        <v>2035</v>
      </c>
      <c r="CC6" s="282">
        <f>YEAR(CC5)</f>
        <v>2035</v>
      </c>
      <c r="CD6" s="282">
        <f>YEAR(CD5)</f>
        <v>2035</v>
      </c>
      <c r="CE6" s="282">
        <f>YEAR(CE5)</f>
        <v>2035</v>
      </c>
      <c r="CF6" s="282">
        <f>YEAR(CF5)</f>
        <v>2036</v>
      </c>
      <c r="CG6" s="282">
        <f>YEAR(CG5)</f>
        <v>2036</v>
      </c>
      <c r="CH6" s="282">
        <f>YEAR(CH5)</f>
        <v>2036</v>
      </c>
      <c r="CI6" s="282">
        <f>YEAR(CI5)</f>
        <v>2036</v>
      </c>
      <c r="CJ6" s="282">
        <f>YEAR(CJ5)</f>
        <v>2036</v>
      </c>
      <c r="CK6" s="282">
        <f>YEAR(CK5)</f>
        <v>2037</v>
      </c>
      <c r="CL6" s="282">
        <f>YEAR(CL5)</f>
        <v>2037</v>
      </c>
      <c r="CM6" s="282">
        <f>YEAR(CM5)</f>
        <v>2037</v>
      </c>
      <c r="CN6" s="282">
        <f>YEAR(CN5)</f>
        <v>2037</v>
      </c>
      <c r="CO6" s="282">
        <f>YEAR(CO5)</f>
        <v>2037</v>
      </c>
      <c r="CP6" s="282">
        <f>YEAR(CP5)</f>
        <v>2038</v>
      </c>
      <c r="CQ6" s="282">
        <f>YEAR(CQ5)</f>
        <v>2038</v>
      </c>
      <c r="CR6" s="282">
        <f>YEAR(CR5)</f>
        <v>2038</v>
      </c>
      <c r="CS6" s="282">
        <f>YEAR(CS5)</f>
        <v>2038</v>
      </c>
      <c r="CT6" s="282">
        <f>YEAR(CT5)</f>
        <v>2038</v>
      </c>
      <c r="CU6" s="282">
        <f>YEAR(CU5)</f>
        <v>2039</v>
      </c>
      <c r="CV6" s="282">
        <f>YEAR(CV5)</f>
        <v>2039</v>
      </c>
      <c r="CW6" s="282">
        <f>YEAR(CW5)</f>
        <v>2039</v>
      </c>
      <c r="CX6" s="282">
        <f>YEAR(CX5)</f>
        <v>2039</v>
      </c>
      <c r="CY6" s="282">
        <f>YEAR(CY5)</f>
        <v>2039</v>
      </c>
    </row>
    <row r="7" ht="12.75" customHeight="1" s="255">
      <c r="B7" s="260" t="n"/>
      <c r="D7" s="261" t="str">
        <f>"1Q"&amp;RIGHT(D6,2)</f>
        <v>1Q20</v>
      </c>
      <c r="E7" s="261" t="str">
        <f>"2Q"&amp;RIGHT(E6,2)</f>
        <v>2Q20</v>
      </c>
      <c r="F7" s="261" t="str">
        <f>"3Q"&amp;RIGHT(F6,2)</f>
        <v>3Q20</v>
      </c>
      <c r="G7" s="261" t="str">
        <f>"4Q"&amp;RIGHT(G6,2)</f>
        <v>4Q20</v>
      </c>
      <c r="H7" s="283" t="n">
        <v>2020</v>
      </c>
      <c r="I7" s="261" t="str">
        <f>"1Q"&amp;RIGHT(I6,2)</f>
        <v>1Q21</v>
      </c>
      <c r="J7" s="261" t="str">
        <f>"2Q"&amp;RIGHT(J6,2)</f>
        <v>2Q21</v>
      </c>
      <c r="K7" s="261" t="str">
        <f>"3Q"&amp;RIGHT(K6,2)</f>
        <v>3Q21</v>
      </c>
      <c r="L7" s="261" t="str">
        <f>"4Q"&amp;RIGHT(L6,2)</f>
        <v>4Q21</v>
      </c>
      <c r="M7" s="283">
        <f>H7+1</f>
        <v>2021</v>
      </c>
      <c r="N7" s="261" t="str">
        <f>"1Q"&amp;RIGHT(N6,2)</f>
        <v>1Q22</v>
      </c>
      <c r="O7" s="261" t="str">
        <f>"2Q"&amp;RIGHT(O6,2)</f>
        <v>2Q22</v>
      </c>
      <c r="P7" s="261" t="str">
        <f>"3Q"&amp;RIGHT(P6,2)</f>
        <v>3Q22</v>
      </c>
      <c r="Q7" s="261" t="str">
        <f>"4Q"&amp;RIGHT(Q6,2)</f>
        <v>4Q22</v>
      </c>
      <c r="R7" s="283">
        <f>M7+1</f>
        <v>2022</v>
      </c>
      <c r="S7" s="261" t="str">
        <f>"1Q"&amp;RIGHT(S6,2)</f>
        <v>1Q23</v>
      </c>
      <c r="T7" s="261" t="str">
        <f>"2Q"&amp;RIGHT(T6,2)</f>
        <v>2Q23</v>
      </c>
      <c r="U7" s="261" t="str">
        <f>"3Q"&amp;RIGHT(U6,2)</f>
        <v>3Q23</v>
      </c>
      <c r="V7" s="261" t="str">
        <f>"4Q"&amp;RIGHT(V6,2)</f>
        <v>4Q23</v>
      </c>
      <c r="W7" s="283">
        <f>R7+1</f>
        <v>2023</v>
      </c>
      <c r="X7" s="261" t="str">
        <f>"1Q"&amp;RIGHT(X6,2)</f>
        <v>1Q24</v>
      </c>
      <c r="Y7" s="261" t="str">
        <f>"2Q"&amp;RIGHT(Y6,2)</f>
        <v>2Q24</v>
      </c>
      <c r="Z7" s="261" t="str">
        <f>"3Q"&amp;RIGHT(Z6,2)</f>
        <v>3Q24</v>
      </c>
      <c r="AA7" s="261" t="str">
        <f>"4Q"&amp;RIGHT(AA6,2)</f>
        <v>4Q24</v>
      </c>
      <c r="AB7" s="283">
        <f>W7+1</f>
        <v>2024</v>
      </c>
      <c r="AC7" s="261" t="str">
        <f>"1Q"&amp;RIGHT(AC6,2)</f>
        <v>1Q25</v>
      </c>
      <c r="AD7" s="261" t="str">
        <f>"2Q"&amp;RIGHT(AD6,2)</f>
        <v>2Q25</v>
      </c>
      <c r="AE7" s="261" t="str">
        <f>"3Q"&amp;RIGHT(AE6,2)</f>
        <v>3Q25</v>
      </c>
      <c r="AF7" s="261" t="str">
        <f>"4Q"&amp;RIGHT(AF6,2)</f>
        <v>4Q25</v>
      </c>
      <c r="AG7" s="283">
        <f>AB7+1</f>
        <v>2025</v>
      </c>
      <c r="AH7" s="261" t="str">
        <f>"1Q"&amp;RIGHT(AH6,2)</f>
        <v>1Q26</v>
      </c>
      <c r="AI7" s="261" t="str">
        <f>"2Q"&amp;RIGHT(AI6,2)</f>
        <v>2Q26</v>
      </c>
      <c r="AJ7" s="261" t="str">
        <f>"3Q"&amp;RIGHT(AJ6,2)</f>
        <v>3Q26</v>
      </c>
      <c r="AK7" s="261" t="str">
        <f>"4Q"&amp;RIGHT(AK6,2)</f>
        <v>4Q26</v>
      </c>
      <c r="AL7" s="283">
        <f>AG7+1</f>
        <v>2026</v>
      </c>
      <c r="AM7" s="261" t="str">
        <f>"1Q"&amp;RIGHT(AM6,2)</f>
        <v>1Q27</v>
      </c>
      <c r="AN7" s="261" t="str">
        <f>"2Q"&amp;RIGHT(AN6,2)</f>
        <v>2Q27</v>
      </c>
      <c r="AO7" s="261" t="str">
        <f>"3Q"&amp;RIGHT(AO6,2)</f>
        <v>3Q27</v>
      </c>
      <c r="AP7" s="261" t="str">
        <f>"4Q"&amp;RIGHT(AP6,2)</f>
        <v>4Q27</v>
      </c>
      <c r="AQ7" s="283">
        <f>AL7+1</f>
        <v>2027</v>
      </c>
      <c r="AR7" s="261" t="str">
        <f>"1Q"&amp;RIGHT(AR6,2)</f>
        <v>1Q28</v>
      </c>
      <c r="AS7" s="261" t="str">
        <f>"2Q"&amp;RIGHT(AS6,2)</f>
        <v>2Q28</v>
      </c>
      <c r="AT7" s="261" t="str">
        <f>"3Q"&amp;RIGHT(AT6,2)</f>
        <v>3Q28</v>
      </c>
      <c r="AU7" s="261" t="str">
        <f>"4Q"&amp;RIGHT(AU6,2)</f>
        <v>4Q28</v>
      </c>
      <c r="AV7" s="283">
        <f>AQ7+1</f>
        <v>2028</v>
      </c>
      <c r="AW7" s="261" t="str">
        <f>"1Q"&amp;RIGHT(AW6,2)</f>
        <v>1Q29</v>
      </c>
      <c r="AX7" s="261" t="str">
        <f>"2Q"&amp;RIGHT(AX6,2)</f>
        <v>2Q29</v>
      </c>
      <c r="AY7" s="261" t="str">
        <f>"3Q"&amp;RIGHT(AY6,2)</f>
        <v>3Q29</v>
      </c>
      <c r="AZ7" s="261" t="str">
        <f>"4Q"&amp;RIGHT(AZ6,2)</f>
        <v>4Q29</v>
      </c>
      <c r="BA7" s="283">
        <f>AV7+1</f>
        <v>2029</v>
      </c>
      <c r="BB7" s="261" t="str">
        <f>"1Q"&amp;RIGHT(BB6,2)</f>
        <v>1Q30</v>
      </c>
      <c r="BC7" s="261" t="str">
        <f>"2Q"&amp;RIGHT(BC6,2)</f>
        <v>2Q30</v>
      </c>
      <c r="BD7" s="261" t="str">
        <f>"3Q"&amp;RIGHT(BD6,2)</f>
        <v>3Q30</v>
      </c>
      <c r="BE7" s="261" t="str">
        <f>"4Q"&amp;RIGHT(BE6,2)</f>
        <v>4Q30</v>
      </c>
      <c r="BF7" s="283">
        <f>BA7+1</f>
        <v>2030</v>
      </c>
      <c r="BG7" s="261" t="str">
        <f>"1Q"&amp;RIGHT(BG6,2)</f>
        <v>1Q31</v>
      </c>
      <c r="BH7" s="261" t="str">
        <f>"2Q"&amp;RIGHT(BH6,2)</f>
        <v>2Q31</v>
      </c>
      <c r="BI7" s="261" t="str">
        <f>"3Q"&amp;RIGHT(BI6,2)</f>
        <v>3Q31</v>
      </c>
      <c r="BJ7" s="261" t="str">
        <f>"4Q"&amp;RIGHT(BJ6,2)</f>
        <v>4Q31</v>
      </c>
      <c r="BK7" s="283">
        <f>BF7+1</f>
        <v>2031</v>
      </c>
      <c r="BL7" s="261" t="str">
        <f>"1Q"&amp;RIGHT(BL6,2)</f>
        <v>1Q32</v>
      </c>
      <c r="BM7" s="261" t="str">
        <f>"2Q"&amp;RIGHT(BM6,2)</f>
        <v>2Q32</v>
      </c>
      <c r="BN7" s="261" t="str">
        <f>"3Q"&amp;RIGHT(BN6,2)</f>
        <v>3Q32</v>
      </c>
      <c r="BO7" s="261" t="str">
        <f>"4Q"&amp;RIGHT(BO6,2)</f>
        <v>4Q32</v>
      </c>
      <c r="BP7" s="283">
        <f>BK7+1</f>
        <v>2032</v>
      </c>
      <c r="BQ7" s="261" t="str">
        <f>"1Q"&amp;RIGHT(BQ6,2)</f>
        <v>1Q33</v>
      </c>
      <c r="BR7" s="261" t="str">
        <f>"2Q"&amp;RIGHT(BR6,2)</f>
        <v>2Q33</v>
      </c>
      <c r="BS7" s="261" t="str">
        <f>"3Q"&amp;RIGHT(BS6,2)</f>
        <v>3Q33</v>
      </c>
      <c r="BT7" s="261" t="str">
        <f>"4Q"&amp;RIGHT(BT6,2)</f>
        <v>4Q33</v>
      </c>
      <c r="BU7" s="283">
        <f>BP7+1</f>
        <v>2033</v>
      </c>
      <c r="BV7" s="261" t="str">
        <f>"1Q"&amp;RIGHT(BV6,2)</f>
        <v>1Q34</v>
      </c>
      <c r="BW7" s="261" t="str">
        <f>"2Q"&amp;RIGHT(BW6,2)</f>
        <v>2Q34</v>
      </c>
      <c r="BX7" s="261" t="str">
        <f>"3Q"&amp;RIGHT(BX6,2)</f>
        <v>3Q34</v>
      </c>
      <c r="BY7" s="261" t="str">
        <f>"4Q"&amp;RIGHT(BY6,2)</f>
        <v>4Q34</v>
      </c>
      <c r="BZ7" s="283">
        <f>BU7+1</f>
        <v>2034</v>
      </c>
      <c r="CA7" s="261" t="str">
        <f>"1Q"&amp;RIGHT(CA6,2)</f>
        <v>1Q35</v>
      </c>
      <c r="CB7" s="261" t="str">
        <f>"2Q"&amp;RIGHT(CB6,2)</f>
        <v>2Q35</v>
      </c>
      <c r="CC7" s="261" t="str">
        <f>"3Q"&amp;RIGHT(CC6,2)</f>
        <v>3Q35</v>
      </c>
      <c r="CD7" s="261" t="str">
        <f>"4Q"&amp;RIGHT(CD6,2)</f>
        <v>4Q35</v>
      </c>
      <c r="CE7" s="283">
        <f>BZ7+1</f>
        <v>2035</v>
      </c>
      <c r="CF7" s="261" t="str">
        <f>"1Q"&amp;RIGHT(CF6,2)</f>
        <v>1Q36</v>
      </c>
      <c r="CG7" s="261" t="str">
        <f>"2Q"&amp;RIGHT(CG6,2)</f>
        <v>2Q36</v>
      </c>
      <c r="CH7" s="261" t="str">
        <f>"3Q"&amp;RIGHT(CH6,2)</f>
        <v>3Q36</v>
      </c>
      <c r="CI7" s="261" t="str">
        <f>"4Q"&amp;RIGHT(CI6,2)</f>
        <v>4Q36</v>
      </c>
      <c r="CJ7" s="283">
        <f>CE7+1</f>
        <v>2036</v>
      </c>
      <c r="CK7" s="261" t="str">
        <f>"1Q"&amp;RIGHT(CK6,2)</f>
        <v>1Q37</v>
      </c>
      <c r="CL7" s="261" t="str">
        <f>"2Q"&amp;RIGHT(CL6,2)</f>
        <v>2Q37</v>
      </c>
      <c r="CM7" s="261" t="str">
        <f>"3Q"&amp;RIGHT(CM6,2)</f>
        <v>3Q37</v>
      </c>
      <c r="CN7" s="261" t="str">
        <f>"4Q"&amp;RIGHT(CN6,2)</f>
        <v>4Q37</v>
      </c>
      <c r="CO7" s="283">
        <f>CJ7+1</f>
        <v>2037</v>
      </c>
      <c r="CP7" s="261" t="str">
        <f>"1Q"&amp;RIGHT(CP6,2)</f>
        <v>1Q38</v>
      </c>
      <c r="CQ7" s="261" t="str">
        <f>"2Q"&amp;RIGHT(CQ6,2)</f>
        <v>2Q38</v>
      </c>
      <c r="CR7" s="261" t="str">
        <f>"3Q"&amp;RIGHT(CR6,2)</f>
        <v>3Q38</v>
      </c>
      <c r="CS7" s="261" t="str">
        <f>"4Q"&amp;RIGHT(CS6,2)</f>
        <v>4Q38</v>
      </c>
      <c r="CT7" s="283">
        <f>CO7+1</f>
        <v>2038</v>
      </c>
      <c r="CU7" s="261" t="str">
        <f>"1Q"&amp;RIGHT(CU6,2)</f>
        <v>1Q39</v>
      </c>
      <c r="CV7" s="261" t="str">
        <f>"2Q"&amp;RIGHT(CV6,2)</f>
        <v>2Q39</v>
      </c>
      <c r="CW7" s="261" t="str">
        <f>"3Q"&amp;RIGHT(CW6,2)</f>
        <v>3Q39</v>
      </c>
      <c r="CX7" s="261" t="str">
        <f>"4Q"&amp;RIGHT(CX6,2)</f>
        <v>4Q39</v>
      </c>
      <c r="CY7" s="283">
        <f>CT7+1</f>
        <v>2039</v>
      </c>
    </row>
    <row r="8" ht="12.75" customHeight="1" s="255">
      <c r="B8" s="260" t="n"/>
      <c r="C8" s="260" t="inlineStr">
        <is>
          <t>IPCA</t>
        </is>
      </c>
      <c r="D8" s="261" t="n"/>
      <c r="E8" s="261" t="n"/>
      <c r="F8" s="261" t="n"/>
      <c r="G8" s="261" t="n"/>
      <c r="H8" s="284" t="n">
        <v>0.0485</v>
      </c>
      <c r="I8" s="261" t="n"/>
      <c r="J8" s="261" t="n"/>
      <c r="K8" s="261" t="n"/>
      <c r="L8" s="261" t="n"/>
      <c r="M8" s="284" t="n">
        <v>0.1006</v>
      </c>
      <c r="N8" s="261" t="n"/>
      <c r="O8" s="261" t="n"/>
      <c r="P8" s="261" t="n"/>
      <c r="Q8" s="261" t="n"/>
      <c r="R8" s="284" t="n">
        <v>0.0579</v>
      </c>
      <c r="S8" s="261" t="n"/>
      <c r="T8" s="261" t="n"/>
      <c r="U8" s="261" t="n"/>
      <c r="V8" s="261" t="n"/>
      <c r="W8" s="284" t="n">
        <v>0.0468</v>
      </c>
      <c r="X8" s="261" t="n"/>
      <c r="Y8" s="261" t="n"/>
      <c r="Z8" s="261" t="n"/>
      <c r="AA8" s="261" t="n"/>
      <c r="AB8" s="284" t="n">
        <v>0.0483</v>
      </c>
      <c r="AC8" s="261" t="n"/>
      <c r="AD8" s="261" t="n"/>
      <c r="AE8" s="261" t="n"/>
      <c r="AF8" s="261" t="n"/>
      <c r="AG8" s="284" t="n">
        <v>0.0468</v>
      </c>
      <c r="AH8" s="261" t="n"/>
      <c r="AI8" s="261" t="n"/>
      <c r="AJ8" s="261" t="n"/>
      <c r="AK8" s="261" t="n"/>
      <c r="AL8" s="285" t="n"/>
      <c r="AM8" s="261" t="n"/>
      <c r="AN8" s="261" t="n"/>
      <c r="AO8" s="261" t="n"/>
      <c r="AP8" s="261" t="n"/>
      <c r="AQ8" s="285" t="n"/>
      <c r="AR8" s="261" t="n"/>
      <c r="AS8" s="261" t="n"/>
      <c r="AT8" s="261" t="n"/>
      <c r="AU8" s="261" t="n"/>
      <c r="AV8" s="285" t="n"/>
      <c r="AW8" s="261" t="n"/>
      <c r="AX8" s="261" t="n"/>
      <c r="AY8" s="261" t="n"/>
      <c r="AZ8" s="261" t="n"/>
      <c r="BA8" s="285" t="n"/>
      <c r="BB8" s="261" t="n"/>
      <c r="BC8" s="261" t="n"/>
      <c r="BD8" s="261" t="n"/>
      <c r="BE8" s="261" t="n"/>
      <c r="BF8" s="285" t="n"/>
      <c r="BG8" s="261" t="n"/>
      <c r="BH8" s="261" t="n"/>
      <c r="BI8" s="261" t="n"/>
      <c r="BJ8" s="261" t="n"/>
      <c r="BK8" s="285" t="n"/>
      <c r="BL8" s="261" t="n"/>
      <c r="BM8" s="261" t="n"/>
      <c r="BN8" s="261" t="n"/>
      <c r="BO8" s="261" t="n"/>
      <c r="BP8" s="285" t="n"/>
      <c r="BQ8" s="261" t="n"/>
      <c r="BR8" s="261" t="n"/>
      <c r="BS8" s="261" t="n"/>
      <c r="BT8" s="261" t="n"/>
      <c r="BU8" s="285" t="n"/>
      <c r="BV8" s="261" t="n"/>
      <c r="BW8" s="261" t="n"/>
      <c r="BX8" s="261" t="n"/>
      <c r="BY8" s="261" t="n"/>
      <c r="BZ8" s="285" t="n"/>
      <c r="CA8" s="261" t="n"/>
      <c r="CB8" s="261" t="n"/>
      <c r="CC8" s="261" t="n"/>
      <c r="CD8" s="261" t="n"/>
      <c r="CE8" s="285" t="n"/>
      <c r="CF8" s="261" t="n"/>
      <c r="CG8" s="261" t="n"/>
      <c r="CH8" s="261" t="n"/>
      <c r="CI8" s="261" t="n"/>
      <c r="CJ8" s="285" t="n"/>
      <c r="CK8" s="261" t="n"/>
      <c r="CL8" s="261" t="n"/>
      <c r="CM8" s="261" t="n"/>
      <c r="CN8" s="261" t="n"/>
      <c r="CO8" s="285" t="n"/>
      <c r="CP8" s="261" t="n"/>
      <c r="CQ8" s="261" t="n"/>
      <c r="CR8" s="261" t="n"/>
      <c r="CS8" s="261" t="n"/>
      <c r="CT8" s="285" t="n"/>
      <c r="CU8" s="261" t="n"/>
      <c r="CV8" s="261" t="n"/>
      <c r="CW8" s="261" t="n"/>
      <c r="CX8" s="261" t="n"/>
      <c r="CY8" s="285" t="n"/>
    </row>
    <row r="9" ht="12.75" customHeight="1" s="255">
      <c r="B9" s="260" t="n"/>
      <c r="C9" s="260" t="inlineStr">
        <is>
          <t>GDP BRAZIL</t>
        </is>
      </c>
      <c r="D9" s="261" t="n"/>
      <c r="E9" s="261" t="n"/>
      <c r="F9" s="261" t="n"/>
      <c r="G9" s="261" t="n"/>
      <c r="H9" s="286" t="n">
        <v>-0.046</v>
      </c>
      <c r="I9" s="261" t="n"/>
      <c r="J9" s="261" t="n"/>
      <c r="K9" s="261" t="n"/>
      <c r="L9" s="261" t="n"/>
      <c r="M9" s="286" t="n">
        <v>0.046</v>
      </c>
      <c r="N9" s="261" t="n"/>
      <c r="O9" s="261" t="n"/>
      <c r="P9" s="261" t="n"/>
      <c r="Q9" s="261" t="n"/>
      <c r="R9" s="286" t="n"/>
      <c r="S9" s="261" t="n"/>
      <c r="T9" s="261" t="n"/>
      <c r="U9" s="261" t="n"/>
      <c r="V9" s="261" t="n"/>
      <c r="W9" s="286" t="n"/>
      <c r="X9" s="261" t="n"/>
      <c r="Y9" s="261" t="n"/>
      <c r="Z9" s="261" t="n"/>
      <c r="AA9" s="261" t="n"/>
      <c r="AB9" s="286" t="n"/>
      <c r="AC9" s="261" t="n"/>
      <c r="AD9" s="261" t="n"/>
      <c r="AE9" s="261" t="n"/>
      <c r="AF9" s="261" t="n"/>
      <c r="AG9" s="286" t="n"/>
      <c r="AH9" s="261" t="n"/>
      <c r="AI9" s="261" t="n"/>
      <c r="AJ9" s="261" t="n"/>
      <c r="AK9" s="261" t="n"/>
      <c r="AL9" s="285" t="n"/>
      <c r="AM9" s="261" t="n"/>
      <c r="AN9" s="261" t="n"/>
      <c r="AO9" s="261" t="n"/>
      <c r="AP9" s="261" t="n"/>
      <c r="AQ9" s="285" t="n"/>
      <c r="AR9" s="261" t="n"/>
      <c r="AS9" s="261" t="n"/>
      <c r="AT9" s="261" t="n"/>
      <c r="AU9" s="261" t="n"/>
      <c r="AV9" s="285" t="n"/>
      <c r="AW9" s="261" t="n"/>
      <c r="AX9" s="261" t="n"/>
      <c r="AY9" s="261" t="n"/>
      <c r="AZ9" s="261" t="n"/>
      <c r="BA9" s="285" t="n"/>
      <c r="BB9" s="261" t="n"/>
      <c r="BC9" s="261" t="n"/>
      <c r="BD9" s="261" t="n"/>
      <c r="BE9" s="261" t="n"/>
      <c r="BF9" s="285" t="n"/>
      <c r="BG9" s="261" t="n"/>
      <c r="BH9" s="261" t="n"/>
      <c r="BI9" s="261" t="n"/>
      <c r="BJ9" s="261" t="n"/>
      <c r="BK9" s="285" t="n"/>
      <c r="BL9" s="261" t="n"/>
      <c r="BM9" s="261" t="n"/>
      <c r="BN9" s="261" t="n"/>
      <c r="BO9" s="261" t="n"/>
      <c r="BP9" s="285" t="n"/>
      <c r="BQ9" s="261" t="n"/>
      <c r="BR9" s="261" t="n"/>
      <c r="BS9" s="261" t="n"/>
      <c r="BT9" s="261" t="n"/>
      <c r="BU9" s="285" t="n"/>
      <c r="BV9" s="261" t="n"/>
      <c r="BW9" s="261" t="n"/>
      <c r="BX9" s="261" t="n"/>
      <c r="BY9" s="261" t="n"/>
      <c r="BZ9" s="285" t="n"/>
      <c r="CA9" s="261" t="n"/>
      <c r="CB9" s="261" t="n"/>
      <c r="CC9" s="261" t="n"/>
      <c r="CD9" s="261" t="n"/>
      <c r="CE9" s="285" t="n"/>
      <c r="CF9" s="261" t="n"/>
      <c r="CG9" s="261" t="n"/>
      <c r="CH9" s="261" t="n"/>
      <c r="CI9" s="261" t="n"/>
      <c r="CJ9" s="285" t="n"/>
      <c r="CK9" s="261" t="n"/>
      <c r="CL9" s="261" t="n"/>
      <c r="CM9" s="261" t="n"/>
      <c r="CN9" s="261" t="n"/>
      <c r="CO9" s="285" t="n"/>
      <c r="CP9" s="261" t="n"/>
      <c r="CQ9" s="261" t="n"/>
      <c r="CR9" s="261" t="n"/>
      <c r="CS9" s="261" t="n"/>
      <c r="CT9" s="285" t="n"/>
      <c r="CU9" s="261" t="n"/>
      <c r="CV9" s="261" t="n"/>
      <c r="CW9" s="261" t="n"/>
      <c r="CX9" s="261" t="n"/>
      <c r="CY9" s="285" t="n"/>
    </row>
    <row r="10" ht="12.75" customHeight="1" s="255">
      <c r="C10" s="260" t="inlineStr">
        <is>
          <t>CDI</t>
        </is>
      </c>
      <c r="H10" s="286" t="n">
        <v>0.0275</v>
      </c>
      <c r="M10" s="286" t="n">
        <v>0.0442</v>
      </c>
      <c r="R10" s="286" t="n">
        <v>0.1239</v>
      </c>
      <c r="W10" s="286" t="n">
        <v>0.1304</v>
      </c>
      <c r="AB10" s="286" t="n">
        <v>0.1064</v>
      </c>
      <c r="AG10" s="286" t="n">
        <v>0.1464</v>
      </c>
    </row>
    <row r="13" ht="12.75" customFormat="1" customHeight="1" s="287">
      <c r="A13" s="288" t="n"/>
      <c r="B13" s="288" t="n"/>
      <c r="C13" s="289" t="inlineStr">
        <is>
          <t>Income Statement</t>
        </is>
      </c>
      <c r="D13" s="289" t="str">
        <f>D7</f>
        <v>1Q20</v>
      </c>
      <c r="E13" s="289" t="str">
        <f>E7</f>
        <v>2Q20</v>
      </c>
      <c r="F13" s="289" t="str">
        <f>F7</f>
        <v>3Q20</v>
      </c>
      <c r="G13" s="289" t="str">
        <f>G7</f>
        <v>4Q20</v>
      </c>
      <c r="H13" s="289">
        <f>H7</f>
        <v>2020</v>
      </c>
      <c r="I13" s="289" t="str">
        <f>I7</f>
        <v>1Q21</v>
      </c>
      <c r="J13" s="289" t="str">
        <f>J7</f>
        <v>2Q21</v>
      </c>
      <c r="K13" s="289" t="str">
        <f>K7</f>
        <v>3Q21</v>
      </c>
      <c r="L13" s="289" t="str">
        <f>L7</f>
        <v>4Q21</v>
      </c>
      <c r="M13" s="289">
        <f>M7</f>
        <v>2021</v>
      </c>
      <c r="N13" s="289" t="str">
        <f>N7</f>
        <v>1Q22</v>
      </c>
      <c r="O13" s="289" t="str">
        <f>O7</f>
        <v>2Q22</v>
      </c>
      <c r="P13" s="289" t="str">
        <f>P7</f>
        <v>3Q22</v>
      </c>
      <c r="Q13" s="289" t="str">
        <f>Q7</f>
        <v>4Q22</v>
      </c>
      <c r="R13" s="289">
        <f>R7</f>
        <v>2022</v>
      </c>
      <c r="S13" s="289" t="str">
        <f>S7</f>
        <v>1Q23</v>
      </c>
      <c r="T13" s="289" t="str">
        <f>T7</f>
        <v>2Q23</v>
      </c>
      <c r="U13" s="289" t="str">
        <f>U7</f>
        <v>3Q23</v>
      </c>
      <c r="V13" s="289" t="str">
        <f>V7</f>
        <v>4Q23</v>
      </c>
      <c r="W13" s="289">
        <f>W7</f>
        <v>2023</v>
      </c>
      <c r="X13" s="289" t="str">
        <f>X7</f>
        <v>1Q24</v>
      </c>
      <c r="Y13" s="289" t="str">
        <f>Y7</f>
        <v>2Q24</v>
      </c>
      <c r="Z13" s="289" t="str">
        <f>Z7</f>
        <v>3Q24</v>
      </c>
      <c r="AA13" s="289" t="str">
        <f>AA7</f>
        <v>4Q24</v>
      </c>
      <c r="AB13" s="289">
        <f>AB7</f>
        <v>2024</v>
      </c>
      <c r="AC13" s="289" t="str">
        <f>AC7</f>
        <v>1Q25</v>
      </c>
      <c r="AD13" s="289" t="str">
        <f>AD7</f>
        <v>2Q25</v>
      </c>
      <c r="AE13" s="289" t="str">
        <f>AE7</f>
        <v>3Q25</v>
      </c>
      <c r="AF13" s="289" t="str">
        <f>AF7</f>
        <v>4Q25</v>
      </c>
      <c r="AG13" s="289">
        <f>AG7</f>
        <v>2025</v>
      </c>
      <c r="AH13" s="289" t="str">
        <f>AH7</f>
        <v>1Q26</v>
      </c>
      <c r="AI13" s="289" t="str">
        <f>AI7</f>
        <v>2Q26</v>
      </c>
      <c r="AJ13" s="289" t="str">
        <f>AJ7</f>
        <v>3Q26</v>
      </c>
      <c r="AK13" s="289" t="str">
        <f>AK7</f>
        <v>4Q26</v>
      </c>
      <c r="AL13" s="289">
        <f>AL7</f>
        <v>2026</v>
      </c>
      <c r="AM13" s="289" t="str">
        <f>AM7</f>
        <v>1Q27</v>
      </c>
      <c r="AN13" s="289" t="str">
        <f>AN7</f>
        <v>2Q27</v>
      </c>
      <c r="AO13" s="289" t="str">
        <f>AO7</f>
        <v>3Q27</v>
      </c>
      <c r="AP13" s="289" t="str">
        <f>AP7</f>
        <v>4Q27</v>
      </c>
      <c r="AQ13" s="289">
        <f>AQ7</f>
        <v>2027</v>
      </c>
      <c r="AR13" s="289" t="str">
        <f>AR7</f>
        <v>1Q28</v>
      </c>
      <c r="AS13" s="289" t="str">
        <f>AS7</f>
        <v>2Q28</v>
      </c>
      <c r="AT13" s="289" t="str">
        <f>AT7</f>
        <v>3Q28</v>
      </c>
      <c r="AU13" s="289" t="str">
        <f>AU7</f>
        <v>4Q28</v>
      </c>
      <c r="AV13" s="289">
        <f>AV7</f>
        <v>2028</v>
      </c>
      <c r="AW13" s="289" t="str">
        <f>AW7</f>
        <v>1Q29</v>
      </c>
      <c r="AX13" s="289" t="str">
        <f>AX7</f>
        <v>2Q29</v>
      </c>
      <c r="AY13" s="289" t="str">
        <f>AY7</f>
        <v>3Q29</v>
      </c>
      <c r="AZ13" s="289" t="str">
        <f>AZ7</f>
        <v>4Q29</v>
      </c>
      <c r="BA13" s="289">
        <f>BA7</f>
        <v>2029</v>
      </c>
      <c r="BB13" s="289" t="str">
        <f>BB7</f>
        <v>1Q30</v>
      </c>
      <c r="BC13" s="289" t="str">
        <f>BC7</f>
        <v>2Q30</v>
      </c>
      <c r="BD13" s="289" t="str">
        <f>BD7</f>
        <v>3Q30</v>
      </c>
      <c r="BE13" s="289" t="str">
        <f>BE7</f>
        <v>4Q30</v>
      </c>
      <c r="BF13" s="289">
        <f>BF7</f>
        <v>2030</v>
      </c>
      <c r="BG13" s="289" t="str">
        <f>BG7</f>
        <v>1Q31</v>
      </c>
      <c r="BH13" s="289" t="str">
        <f>BH7</f>
        <v>2Q31</v>
      </c>
      <c r="BI13" s="289" t="str">
        <f>BI7</f>
        <v>3Q31</v>
      </c>
      <c r="BJ13" s="289" t="str">
        <f>BJ7</f>
        <v>4Q31</v>
      </c>
      <c r="BK13" s="289">
        <f>BK7</f>
        <v>2031</v>
      </c>
      <c r="BL13" s="289" t="str">
        <f>BL7</f>
        <v>1Q32</v>
      </c>
      <c r="BM13" s="289" t="str">
        <f>BM7</f>
        <v>2Q32</v>
      </c>
      <c r="BN13" s="289" t="str">
        <f>BN7</f>
        <v>3Q32</v>
      </c>
      <c r="BO13" s="289" t="str">
        <f>BO7</f>
        <v>4Q32</v>
      </c>
      <c r="BP13" s="289">
        <f>BP7</f>
        <v>2032</v>
      </c>
      <c r="BQ13" s="289" t="str">
        <f>BQ7</f>
        <v>1Q33</v>
      </c>
      <c r="BR13" s="289" t="str">
        <f>BR7</f>
        <v>2Q33</v>
      </c>
      <c r="BS13" s="289" t="str">
        <f>BS7</f>
        <v>3Q33</v>
      </c>
      <c r="BT13" s="289" t="str">
        <f>BT7</f>
        <v>4Q33</v>
      </c>
      <c r="BU13" s="289">
        <f>BU7</f>
        <v>2033</v>
      </c>
      <c r="BV13" s="289" t="str">
        <f>BV7</f>
        <v>1Q34</v>
      </c>
      <c r="BW13" s="289" t="str">
        <f>BW7</f>
        <v>2Q34</v>
      </c>
      <c r="BX13" s="289" t="str">
        <f>BX7</f>
        <v>3Q34</v>
      </c>
      <c r="BY13" s="289" t="str">
        <f>BY7</f>
        <v>4Q34</v>
      </c>
      <c r="BZ13" s="289">
        <f>BZ7</f>
        <v>2034</v>
      </c>
      <c r="CA13" s="289" t="str">
        <f>CA7</f>
        <v>1Q35</v>
      </c>
      <c r="CB13" s="289" t="str">
        <f>CB7</f>
        <v>2Q35</v>
      </c>
      <c r="CC13" s="289" t="str">
        <f>CC7</f>
        <v>3Q35</v>
      </c>
      <c r="CD13" s="289" t="str">
        <f>CD7</f>
        <v>4Q35</v>
      </c>
      <c r="CE13" s="289">
        <f>CE7</f>
        <v>2035</v>
      </c>
      <c r="CF13" s="289" t="str">
        <f>CF7</f>
        <v>1Q36</v>
      </c>
      <c r="CG13" s="289" t="str">
        <f>CG7</f>
        <v>2Q36</v>
      </c>
      <c r="CH13" s="289" t="str">
        <f>CH7</f>
        <v>3Q36</v>
      </c>
      <c r="CI13" s="289" t="str">
        <f>CI7</f>
        <v>4Q36</v>
      </c>
      <c r="CJ13" s="289">
        <f>CJ7</f>
        <v>2036</v>
      </c>
      <c r="CK13" s="289" t="str">
        <f>CK7</f>
        <v>1Q37</v>
      </c>
      <c r="CL13" s="289" t="str">
        <f>CL7</f>
        <v>2Q37</v>
      </c>
      <c r="CM13" s="289" t="str">
        <f>CM7</f>
        <v>3Q37</v>
      </c>
      <c r="CN13" s="289" t="str">
        <f>CN7</f>
        <v>4Q37</v>
      </c>
      <c r="CO13" s="289">
        <f>CO7</f>
        <v>2037</v>
      </c>
      <c r="CP13" s="289" t="str">
        <f>CP7</f>
        <v>1Q38</v>
      </c>
      <c r="CQ13" s="289" t="str">
        <f>CQ7</f>
        <v>2Q38</v>
      </c>
      <c r="CR13" s="289" t="str">
        <f>CR7</f>
        <v>3Q38</v>
      </c>
      <c r="CS13" s="289" t="str">
        <f>CS7</f>
        <v>4Q38</v>
      </c>
      <c r="CT13" s="289">
        <f>CT7</f>
        <v>2038</v>
      </c>
      <c r="CU13" s="289" t="str">
        <f>CU7</f>
        <v>1Q39</v>
      </c>
      <c r="CV13" s="289" t="str">
        <f>CV7</f>
        <v>2Q39</v>
      </c>
      <c r="CW13" s="289" t="str">
        <f>CW7</f>
        <v>3Q39</v>
      </c>
      <c r="CX13" s="289" t="str">
        <f>CX7</f>
        <v>4Q39</v>
      </c>
      <c r="CY13" s="289">
        <f>CY7</f>
        <v>2039</v>
      </c>
    </row>
    <row r="14" ht="12.75" customHeight="1" s="255">
      <c r="C14" s="273" t="n"/>
    </row>
    <row r="15" ht="12.75" customFormat="1" customHeight="1" s="287">
      <c r="A15" s="288" t="n"/>
      <c r="B15" s="259" t="n"/>
      <c r="C15" s="275" t="inlineStr">
        <is>
          <t>Net Revenues</t>
        </is>
      </c>
      <c r="D15" s="290">
        <f>INDEX('Inputs (2)'!$D$4:$AL$4,MATCH(D$7,'Inputs (2)'!$D$2:$AL$2,0))</f>
        <v>2798</v>
      </c>
      <c r="E15" s="290">
        <f>INDEX('Inputs (2)'!$D$4:$AL$4,MATCH(E$7,'Inputs (2)'!$D$2:$AL$2,0))</f>
        <v>3054</v>
      </c>
      <c r="F15" s="290">
        <f>INDEX('Inputs (2)'!$D$4:$AL$4,MATCH(F$7,'Inputs (2)'!$D$2:$AL$2,0))</f>
        <v>3851</v>
      </c>
      <c r="G15" s="290">
        <f>INDEX('Inputs (2)'!$D$4:$AL$4,MATCH(G$7,'Inputs (2)'!$D$2:$AL$2,0))</f>
        <v>4495</v>
      </c>
      <c r="H15" s="276">
        <f>SUM(D15:G15)</f>
        <v>14198</v>
      </c>
      <c r="I15" s="290">
        <f>INDEX('Inputs (2)'!$D$4:$AL$4,MATCH(I$7,'Inputs (2)'!$D$2:$AL$2,0))</f>
        <v>4850</v>
      </c>
      <c r="J15" s="290">
        <f>INDEX('Inputs (2)'!$D$4:$AL$4,MATCH(J$7,'Inputs (2)'!$D$2:$AL$2,0))</f>
        <v>5748</v>
      </c>
      <c r="K15" s="290">
        <f>INDEX('Inputs (2)'!$D$4:$AL$4,MATCH(K$7,'Inputs (2)'!$D$2:$AL$2,0))</f>
        <v>6083</v>
      </c>
      <c r="L15" s="290">
        <f>INDEX('Inputs (2)'!$D$4:$AL$4,MATCH(L$7,'Inputs (2)'!$D$2:$AL$2,0))</f>
        <v>6164</v>
      </c>
      <c r="M15" s="276">
        <f>SUM(I15:L15)</f>
        <v>22845</v>
      </c>
      <c r="N15" s="290">
        <f>INDEX('Inputs (2)'!$D$4:$AL$4,MATCH(N$7,'Inputs (2)'!$D$2:$AL$2,0))</f>
        <v>6603</v>
      </c>
      <c r="O15" s="290">
        <f>INDEX('Inputs (2)'!$D$4:$AL$4,MATCH(O$7,'Inputs (2)'!$D$2:$AL$2,0))</f>
        <v>5416</v>
      </c>
      <c r="P15" s="290">
        <f>INDEX('Inputs (2)'!$D$4:$AL$4,MATCH(P$7,'Inputs (2)'!$D$2:$AL$2,0))</f>
        <v>5003</v>
      </c>
      <c r="Q15" s="290">
        <f>INDEX('Inputs (2)'!$D$4:$AL$4,MATCH(Q$7,'Inputs (2)'!$D$2:$AL$2,0))</f>
        <v>5758</v>
      </c>
      <c r="R15" s="276">
        <f>SUM(N15:Q15)</f>
        <v>22780</v>
      </c>
      <c r="S15" s="290">
        <f>INDEX('Inputs (2)'!$D$4:$AL$4,MATCH(S$7,'Inputs (2)'!$D$2:$AL$2,0))</f>
        <v>5389</v>
      </c>
      <c r="T15" s="290">
        <f>INDEX('Inputs (2)'!$D$4:$AL$4,MATCH(T$7,'Inputs (2)'!$D$2:$AL$2,0))</f>
        <v>5737</v>
      </c>
      <c r="U15" s="290">
        <f>INDEX('Inputs (2)'!$D$4:$AL$4,MATCH(U$7,'Inputs (2)'!$D$2:$AL$2,0))</f>
        <v>5824</v>
      </c>
      <c r="V15" s="290">
        <f>INDEX('Inputs (2)'!$D$4:$AL$4,MATCH(V$7,'Inputs (2)'!$D$2:$AL$2,0))</f>
        <v>5905</v>
      </c>
      <c r="W15" s="276">
        <f>SUM(S15:V15)</f>
        <v>22855</v>
      </c>
      <c r="X15" s="290">
        <f>INDEX('Inputs (2)'!$D$4:$AL$4,MATCH(X$7,'Inputs (2)'!$D$2:$AL$2,0))</f>
        <v>6321</v>
      </c>
      <c r="Y15" s="290">
        <f>INDEX('Inputs (2)'!$D$4:$AL$4,MATCH(Y$7,'Inputs (2)'!$D$2:$AL$2,0))</f>
        <v>6624</v>
      </c>
      <c r="Z15" s="290">
        <f>INDEX('Inputs (2)'!$D$4:$AL$4,MATCH(Z$7,'Inputs (2)'!$D$2:$AL$2,0))</f>
        <v>6790</v>
      </c>
      <c r="AA15" s="290">
        <f>INDEX('Inputs (2)'!$D$4:$AL$4,MATCH(AA$7,'Inputs (2)'!$D$2:$AL$2,0))</f>
        <v>5720</v>
      </c>
      <c r="AB15" s="276">
        <f>SUM(X15:AA15)</f>
        <v>25455</v>
      </c>
      <c r="AC15" s="290">
        <f>INDEX('Inputs (2)'!$D$4:$AL$4,MATCH(AC$7,'Inputs (2)'!$D$2:$AL$2,0))</f>
        <v>5728</v>
      </c>
      <c r="AD15" s="290">
        <f>INDEX('Inputs (2)'!$D$4:$AL$4,MATCH(AD$7,'Inputs (2)'!$D$2:$AL$2,0))</f>
        <v>7582</v>
      </c>
      <c r="AE15" s="290">
        <f>INDEX('Inputs (2)'!$D$4:$AL$4,MATCH(AE$7,'Inputs (2)'!$D$2:$AL$2,0))</f>
        <v>6972</v>
      </c>
      <c r="AF15" s="290">
        <f>INDEX('Inputs (2)'!$D$4:$AL$4,MATCH(AF$7,'Inputs (2)'!$D$2:$AL$2,0))</f>
        <v>5633</v>
      </c>
      <c r="AG15" s="276">
        <f>SUM(AC15:AF15)</f>
        <v>25915</v>
      </c>
      <c r="AH15" s="276">
        <f>INDEX('Inputs (2)'!$D$4:$AL$4,MATCH(AH$7,'Inputs (2)'!$D$2:$AL$2,0))</f>
        <v>6234</v>
      </c>
      <c r="AI15" s="276">
        <f>INDEX('Inputs (2)'!$D$4:$AL$4,MATCH(AI$7,'Inputs (2)'!$D$2:$AL$2,0))</f>
        <v>7029</v>
      </c>
      <c r="AJ15" s="276">
        <f>AE15*(1+AJ16)</f>
        <v>6972</v>
      </c>
      <c r="AK15" s="276">
        <f>AF15*(1+AK16)</f>
        <v>5633</v>
      </c>
      <c r="AL15" s="276">
        <f>SUM(AH15:AK15)</f>
        <v>25868</v>
      </c>
      <c r="AM15" s="276">
        <f>AH15*(1+AM16)</f>
        <v>6234</v>
      </c>
      <c r="AN15" s="276">
        <f>AI15*(1+AN16)</f>
        <v>7029</v>
      </c>
      <c r="AO15" s="276">
        <f>AJ15*(1+AO16)</f>
        <v>6972</v>
      </c>
      <c r="AP15" s="276">
        <f>AK15*(1+AP16)</f>
        <v>5633</v>
      </c>
      <c r="AQ15" s="276">
        <f>SUM(AM15:AP15)</f>
        <v>25868</v>
      </c>
      <c r="AR15" s="276">
        <f>AM15*(1+AR16)</f>
        <v>6234</v>
      </c>
      <c r="AS15" s="276">
        <f>AN15*(1+AS16)</f>
        <v>7029</v>
      </c>
      <c r="AT15" s="276">
        <f>AO15*(1+AT16)</f>
        <v>6972</v>
      </c>
      <c r="AU15" s="276">
        <f>AP15*(1+AU16)</f>
        <v>5633</v>
      </c>
      <c r="AV15" s="276">
        <f>SUM(AR15:AU15)</f>
        <v>25868</v>
      </c>
      <c r="AW15" s="276">
        <f>AR15*(1+AW16)</f>
        <v>6234</v>
      </c>
      <c r="AX15" s="276">
        <f>AS15*(1+AX16)</f>
        <v>7029</v>
      </c>
      <c r="AY15" s="276">
        <f>AT15*(1+AY16)</f>
        <v>6972</v>
      </c>
      <c r="AZ15" s="276">
        <f>AU15*(1+AZ16)</f>
        <v>5633</v>
      </c>
      <c r="BA15" s="276">
        <f>SUM(AW15:AZ15)</f>
        <v>25868</v>
      </c>
      <c r="BB15" s="276">
        <f>AW15*(1+BB16)</f>
        <v>6234</v>
      </c>
      <c r="BC15" s="276">
        <f>AX15*(1+BC16)</f>
        <v>7029</v>
      </c>
      <c r="BD15" s="276">
        <f>AY15*(1+BD16)</f>
        <v>6972</v>
      </c>
      <c r="BE15" s="276">
        <f>AZ15*(1+BE16)</f>
        <v>5633</v>
      </c>
      <c r="BF15" s="276">
        <f>SUM(BB15:BE15)</f>
        <v>25868</v>
      </c>
      <c r="BG15" s="276">
        <f>BB15*(1+BG16)</f>
        <v>6234</v>
      </c>
      <c r="BH15" s="276">
        <f>BC15*(1+BH16)</f>
        <v>7029</v>
      </c>
      <c r="BI15" s="276">
        <f>BD15*(1+BI16)</f>
        <v>6972</v>
      </c>
      <c r="BJ15" s="276">
        <f>BE15*(1+BJ16)</f>
        <v>5633</v>
      </c>
      <c r="BK15" s="276">
        <f>SUM(BG15:BJ15)</f>
        <v>25868</v>
      </c>
      <c r="BL15" s="276">
        <f>BG15*(1+BL16)</f>
        <v>6234</v>
      </c>
      <c r="BM15" s="276">
        <f>BH15*(1+BM16)</f>
        <v>7029</v>
      </c>
      <c r="BN15" s="276">
        <f>BI15*(1+BN16)</f>
        <v>6972</v>
      </c>
      <c r="BO15" s="276">
        <f>BJ15*(1+BO16)</f>
        <v>5633</v>
      </c>
      <c r="BP15" s="276">
        <f>SUM(BL15:BO15)</f>
        <v>25868</v>
      </c>
      <c r="BQ15" s="276">
        <f>BL15*(1+BQ16)</f>
        <v>6234</v>
      </c>
      <c r="BR15" s="276">
        <f>BM15*(1+BR16)</f>
        <v>7029</v>
      </c>
      <c r="BS15" s="276">
        <f>BN15*(1+BS16)</f>
        <v>6972</v>
      </c>
      <c r="BT15" s="276">
        <f>BO15*(1+BT16)</f>
        <v>5633</v>
      </c>
      <c r="BU15" s="276">
        <f>SUM(BQ15:BT15)</f>
        <v>25868</v>
      </c>
      <c r="BV15" s="276">
        <f>BQ15*(1+BV16)</f>
        <v>6234</v>
      </c>
      <c r="BW15" s="276">
        <f>BR15*(1+BW16)</f>
        <v>7029</v>
      </c>
      <c r="BX15" s="276">
        <f>BS15*(1+BX16)</f>
        <v>6972</v>
      </c>
      <c r="BY15" s="276">
        <f>BT15*(1+BY16)</f>
        <v>5633</v>
      </c>
      <c r="BZ15" s="276">
        <f>SUM(BV15:BY15)</f>
        <v>25868</v>
      </c>
      <c r="CA15" s="276">
        <f>BV15*(1+CA16)</f>
        <v>6234</v>
      </c>
      <c r="CB15" s="276">
        <f>BW15*(1+CB16)</f>
        <v>7029</v>
      </c>
      <c r="CC15" s="276">
        <f>BX15*(1+CC16)</f>
        <v>6972</v>
      </c>
      <c r="CD15" s="276">
        <f>BY15*(1+CD16)</f>
        <v>5633</v>
      </c>
      <c r="CE15" s="276">
        <f>SUM(CA15:CD15)</f>
        <v>25868</v>
      </c>
      <c r="CF15" s="276">
        <f>CA15*(1+CF16)</f>
        <v>6234</v>
      </c>
      <c r="CG15" s="276">
        <f>CB15*(1+CG16)</f>
        <v>7029</v>
      </c>
      <c r="CH15" s="276">
        <f>CC15*(1+CH16)</f>
        <v>6972</v>
      </c>
      <c r="CI15" s="276">
        <f>CD15*(1+CI16)</f>
        <v>5633</v>
      </c>
      <c r="CJ15" s="276">
        <f>SUM(CF15:CI15)</f>
        <v>25868</v>
      </c>
      <c r="CK15" s="276">
        <f>CF15*(1+CK16)</f>
        <v>6234</v>
      </c>
      <c r="CL15" s="276">
        <f>CG15*(1+CL16)</f>
        <v>7029</v>
      </c>
      <c r="CM15" s="276">
        <f>CH15*(1+CM16)</f>
        <v>6972</v>
      </c>
      <c r="CN15" s="276">
        <f>CI15*(1+CN16)</f>
        <v>5633</v>
      </c>
      <c r="CO15" s="276">
        <f>SUM(CK15:CN15)</f>
        <v>25868</v>
      </c>
      <c r="CP15" s="276">
        <f>CK15*(1+CP16)</f>
        <v>6234</v>
      </c>
      <c r="CQ15" s="276">
        <f>CL15*(1+CQ16)</f>
        <v>7029</v>
      </c>
      <c r="CR15" s="276">
        <f>CM15*(1+CR16)</f>
        <v>6972</v>
      </c>
      <c r="CS15" s="276">
        <f>CN15*(1+CS16)</f>
        <v>5633</v>
      </c>
      <c r="CT15" s="276">
        <f>SUM(CP15:CS15)</f>
        <v>25868</v>
      </c>
      <c r="CU15" s="276">
        <f>CP15*(1+CU16)</f>
        <v>6234</v>
      </c>
      <c r="CV15" s="276">
        <f>CQ15*(1+CV16)</f>
        <v>7029</v>
      </c>
      <c r="CW15" s="276">
        <f>CR15*(1+CW16)</f>
        <v>6972</v>
      </c>
      <c r="CX15" s="276">
        <f>CS15*(1+CX16)</f>
        <v>5633</v>
      </c>
      <c r="CY15" s="276">
        <f>SUM(CU15:CX15)</f>
        <v>25868</v>
      </c>
    </row>
    <row r="16" hidden="1" outlineLevel="1" ht="12.75" customFormat="1" customHeight="1" s="291">
      <c r="A16" s="292" t="n"/>
      <c r="B16" s="293" t="n"/>
      <c r="C16" s="294" t="inlineStr">
        <is>
          <t>% YoY</t>
        </is>
      </c>
      <c r="D16" s="295" t="n"/>
      <c r="E16" s="296" t="n"/>
      <c r="F16" s="296" t="n"/>
      <c r="G16" s="296" t="n"/>
      <c r="H16" s="295" t="n"/>
      <c r="I16" s="295" t="n"/>
      <c r="J16" s="296" t="n"/>
      <c r="K16" s="296" t="n"/>
      <c r="L16" s="296" t="n"/>
      <c r="M16" s="295" t="n"/>
      <c r="N16" s="296">
        <f>N15/I15-1</f>
        <v>0.361443298969072</v>
      </c>
      <c r="O16" s="296">
        <f>O15/J15-1</f>
        <v>-0.0577592205984691</v>
      </c>
      <c r="P16" s="296">
        <f>P15/K15-1</f>
        <v>-0.177543975012329</v>
      </c>
      <c r="Q16" s="296">
        <f>Q15/L15-1</f>
        <v>-0.0658663205710578</v>
      </c>
      <c r="R16" s="296">
        <f>R15/M15-1</f>
        <v>-0.00284526154519593</v>
      </c>
      <c r="S16" s="296">
        <f>S15/N15-1</f>
        <v>-0.183855823110707</v>
      </c>
      <c r="T16" s="296">
        <f>T15/O15-1</f>
        <v>0.0592688330871491</v>
      </c>
      <c r="U16" s="296">
        <f>U15/P15-1</f>
        <v>0.164101539076554</v>
      </c>
      <c r="V16" s="296">
        <f>V15/Q15-1</f>
        <v>0.0255296978117401</v>
      </c>
      <c r="W16" s="296">
        <f>W15/R15-1</f>
        <v>0.00329236172080782</v>
      </c>
      <c r="X16" s="296">
        <f>X15/S15-1</f>
        <v>0.172944887734273</v>
      </c>
      <c r="Y16" s="296">
        <f>Y15/T15-1</f>
        <v>0.154610423566324</v>
      </c>
      <c r="Z16" s="296">
        <f>Z15/U15-1</f>
        <v>0.165865384615385</v>
      </c>
      <c r="AA16" s="296">
        <f>AA15/V15-1</f>
        <v>-0.0313293818797629</v>
      </c>
      <c r="AB16" s="296">
        <f>AB15/W15-1</f>
        <v>0.11376066506235</v>
      </c>
      <c r="AC16" s="296">
        <f>AC15/X15-1</f>
        <v>-0.0938142698940041</v>
      </c>
      <c r="AD16" s="296">
        <f>AD15/Y15-1</f>
        <v>0.144625603864734</v>
      </c>
      <c r="AE16" s="296">
        <f>AE15/Z15-1</f>
        <v>0.0268041237113401</v>
      </c>
      <c r="AF16" s="297">
        <f>AF15/AA15-1</f>
        <v>-0.0152097902097902</v>
      </c>
      <c r="AG16" s="296">
        <f>AG15/AB15-1</f>
        <v>0.0180711058731093</v>
      </c>
      <c r="AH16" s="297">
        <f>AH15/AC15-1</f>
        <v>0.0883379888268157</v>
      </c>
      <c r="AI16" s="297">
        <f>AI15/AD15-1</f>
        <v>-0.0729359008177262</v>
      </c>
      <c r="AJ16" s="297" t="n"/>
      <c r="AK16" s="297" t="n"/>
      <c r="AL16" s="298">
        <f>AL15/AG15-1</f>
        <v>-0.00181362145475594</v>
      </c>
      <c r="AM16" s="297" t="n"/>
      <c r="AN16" s="297" t="n"/>
      <c r="AO16" s="297" t="n"/>
      <c r="AP16" s="297" t="n"/>
      <c r="AQ16" s="298">
        <f>AQ15/AL15-1</f>
        <v>0</v>
      </c>
      <c r="AR16" s="297" t="n"/>
      <c r="AS16" s="297" t="n"/>
      <c r="AT16" s="297" t="n"/>
      <c r="AU16" s="297" t="n"/>
      <c r="AV16" s="298">
        <f>AV15/AQ15-1</f>
        <v>0</v>
      </c>
      <c r="AW16" s="297" t="n"/>
      <c r="AX16" s="297" t="n"/>
      <c r="AY16" s="297" t="n"/>
      <c r="AZ16" s="297" t="n"/>
      <c r="BA16" s="298">
        <f>BA15/AV15-1</f>
        <v>0</v>
      </c>
      <c r="BB16" s="297" t="n"/>
      <c r="BC16" s="297" t="n"/>
      <c r="BD16" s="297" t="n"/>
      <c r="BE16" s="297" t="n"/>
      <c r="BF16" s="298">
        <f>BF15/BA15-1</f>
        <v>0</v>
      </c>
      <c r="BG16" s="297" t="n"/>
      <c r="BH16" s="297" t="n"/>
      <c r="BI16" s="297" t="n"/>
      <c r="BJ16" s="297" t="n"/>
      <c r="BK16" s="298">
        <f>BK15/BF15-1</f>
        <v>0</v>
      </c>
      <c r="BL16" s="297" t="n"/>
      <c r="BM16" s="297" t="n"/>
      <c r="BN16" s="297" t="n"/>
      <c r="BO16" s="297" t="n"/>
      <c r="BP16" s="298">
        <f>BP15/BK15-1</f>
        <v>0</v>
      </c>
      <c r="BQ16" s="297" t="n"/>
      <c r="BR16" s="297" t="n"/>
      <c r="BS16" s="297" t="n"/>
      <c r="BT16" s="297" t="n"/>
      <c r="BU16" s="298">
        <f>BU15/BP15-1</f>
        <v>0</v>
      </c>
      <c r="BV16" s="297" t="n"/>
      <c r="BW16" s="297" t="n"/>
      <c r="BX16" s="297" t="n"/>
      <c r="BY16" s="297" t="n"/>
      <c r="BZ16" s="298">
        <f>BZ15/BU15-1</f>
        <v>0</v>
      </c>
      <c r="CA16" s="297" t="n"/>
      <c r="CB16" s="297" t="n"/>
      <c r="CC16" s="297" t="n"/>
      <c r="CD16" s="297" t="n"/>
      <c r="CE16" s="298">
        <f>CE15/BZ15-1</f>
        <v>0</v>
      </c>
      <c r="CF16" s="297" t="n"/>
      <c r="CG16" s="297" t="n"/>
      <c r="CH16" s="297" t="n"/>
      <c r="CI16" s="297" t="n"/>
      <c r="CJ16" s="298">
        <f>CJ15/CE15-1</f>
        <v>0</v>
      </c>
      <c r="CK16" s="297" t="n"/>
      <c r="CL16" s="297" t="n"/>
      <c r="CM16" s="297" t="n"/>
      <c r="CN16" s="297" t="n"/>
      <c r="CO16" s="298">
        <f>CO15/CJ15-1</f>
        <v>0</v>
      </c>
      <c r="CP16" s="297" t="n"/>
      <c r="CQ16" s="297" t="n"/>
      <c r="CR16" s="297" t="n"/>
      <c r="CS16" s="297" t="n"/>
      <c r="CT16" s="298">
        <f>CT15/CO15-1</f>
        <v>0</v>
      </c>
      <c r="CU16" s="297" t="n"/>
      <c r="CV16" s="297" t="n"/>
      <c r="CW16" s="297" t="n"/>
      <c r="CX16" s="297" t="n"/>
      <c r="CY16" s="298">
        <f>CY15/CT15-1</f>
        <v>0</v>
      </c>
    </row>
    <row r="17" hidden="1" outlineLevel="1" ht="12.75" customFormat="1" customHeight="1" s="291">
      <c r="A17" s="292" t="n"/>
      <c r="B17" s="293" t="n"/>
      <c r="C17" s="299" t="inlineStr">
        <is>
          <t>Receita não alocada aos segmentos (linha 15 - soma)</t>
        </is>
      </c>
      <c r="D17" s="290">
        <f>IF(COUNT(D25)=0,"",D25)</f>
        <v>-68</v>
      </c>
      <c r="E17" s="290">
        <f>IF(COUNT(E25)=0,"",E25)</f>
        <v>-234</v>
      </c>
      <c r="F17" s="290">
        <f>IF(COUNT(F25)=0,"",F25)</f>
        <v>-278</v>
      </c>
      <c r="G17" s="290">
        <f>IF(COUNT(G25)=0,"",G25)</f>
        <v>-255</v>
      </c>
      <c r="H17" s="276">
        <f>IF(COUNT(H25)=0,"",H25)</f>
        <v>-835</v>
      </c>
      <c r="I17" s="290">
        <f>IF(COUNT(I25)=0,"",I25)</f>
        <v>-118</v>
      </c>
      <c r="J17" s="290">
        <f>IF(COUNT(J25)=0,"",J25)</f>
        <v>-273</v>
      </c>
      <c r="K17" s="290">
        <f>IF(COUNT(K25)=0,"",K25)</f>
        <v>-247</v>
      </c>
      <c r="L17" s="290">
        <f>IF(COUNT(L25)=0,"",L25)</f>
        <v>-392</v>
      </c>
      <c r="M17" s="276">
        <f>IF(COUNT(M25)=0,"",M25)</f>
        <v>-1030</v>
      </c>
      <c r="N17" s="290">
        <f>IF(COUNT(N25)=0,"",N25)</f>
        <v>-286</v>
      </c>
      <c r="O17" s="290">
        <f>IF(COUNT(O25)=0,"",O25)</f>
        <v>-339</v>
      </c>
      <c r="P17" s="290">
        <f>IF(COUNT(P25)=0,"",P25)</f>
        <v>-165</v>
      </c>
      <c r="Q17" s="290">
        <f>IF(COUNT(Q25)=0,"",Q25)</f>
        <v>-250</v>
      </c>
      <c r="R17" s="276">
        <f>IF(COUNT(R25)=0,"",R25)</f>
        <v>-1040</v>
      </c>
      <c r="S17" s="290">
        <f>IF(COUNT(S25)=0,"",S25)</f>
        <v>-91</v>
      </c>
      <c r="T17" s="290">
        <f>IF(COUNT(T25)=0,"",T25)</f>
        <v>-275</v>
      </c>
      <c r="U17" s="290">
        <f>IF(COUNT(U25)=0,"",U25)</f>
        <v>-231</v>
      </c>
      <c r="V17" s="290">
        <f>IF(COUNT(V25)=0,"",V25)</f>
        <v>-257</v>
      </c>
      <c r="W17" s="276">
        <f>IF(COUNT(W25)=0,"",W25)</f>
        <v>-854</v>
      </c>
      <c r="X17" s="290">
        <f>IF(COUNT(X25)=0,"",X25)</f>
        <v>-181</v>
      </c>
      <c r="Y17" s="290">
        <f>IF(COUNT(Y25)=0,"",Y25)</f>
        <v>-105</v>
      </c>
      <c r="Z17" s="290">
        <f>IF(COUNT(Z25)=0,"",Z25)</f>
        <v>-200</v>
      </c>
      <c r="AA17" s="290">
        <f>IF(COUNT(AA25)=0,"",AA25)</f>
        <v>-236</v>
      </c>
      <c r="AB17" s="276">
        <f>IF(COUNT(AB25)=0,"",AB25)</f>
        <v>-722</v>
      </c>
      <c r="AC17" s="290">
        <f>IF(COUNT(AC25)=0,"",AC25)</f>
        <v>103</v>
      </c>
      <c r="AD17" s="290">
        <f>IF(COUNT(AD25)=0,"",AD25)</f>
        <v>-5</v>
      </c>
      <c r="AE17" s="290">
        <f>IF(COUNT(AE25)=0,"",AE25)</f>
        <v>-167</v>
      </c>
      <c r="AF17" s="290">
        <f>IF(COUNT(AF25)=0,"",AF25)</f>
        <v>-92</v>
      </c>
      <c r="AG17" s="276">
        <f>IF(COUNT(AG25)=0,"",AG25)</f>
        <v>-161</v>
      </c>
      <c r="AH17" s="276">
        <f>IF(COUNT(AH25)=0,"",AH25)</f>
        <v>-26</v>
      </c>
      <c r="AI17" s="276">
        <f>IF(COUNT(AI25)=0,"",AI25)</f>
        <v>34</v>
      </c>
      <c r="AJ17" s="297" t="n"/>
      <c r="AK17" s="297" t="n"/>
      <c r="AL17" s="298" t="n"/>
      <c r="AM17" s="297" t="n"/>
      <c r="AN17" s="297" t="n"/>
      <c r="AO17" s="297" t="n"/>
      <c r="AP17" s="297" t="n"/>
      <c r="AQ17" s="298" t="n"/>
      <c r="AR17" s="297" t="n"/>
      <c r="AS17" s="297" t="n"/>
      <c r="AT17" s="297" t="n"/>
      <c r="AU17" s="297" t="n"/>
      <c r="AV17" s="298" t="n"/>
      <c r="AW17" s="297" t="n"/>
      <c r="AX17" s="297" t="n"/>
      <c r="AY17" s="297" t="n"/>
      <c r="AZ17" s="297" t="n"/>
      <c r="BA17" s="298" t="n"/>
      <c r="BB17" s="297" t="n"/>
      <c r="BC17" s="297" t="n"/>
      <c r="BD17" s="297" t="n"/>
      <c r="BE17" s="297" t="n"/>
      <c r="BF17" s="298" t="n"/>
      <c r="BG17" s="297" t="n"/>
      <c r="BH17" s="297" t="n"/>
      <c r="BI17" s="297" t="n"/>
      <c r="BJ17" s="297" t="n"/>
      <c r="BK17" s="298" t="n"/>
      <c r="BL17" s="297" t="n"/>
      <c r="BM17" s="297" t="n"/>
      <c r="BN17" s="297" t="n"/>
      <c r="BO17" s="297" t="n"/>
      <c r="BP17" s="298" t="n"/>
      <c r="BQ17" s="297" t="n"/>
      <c r="BR17" s="297" t="n"/>
      <c r="BS17" s="297" t="n"/>
      <c r="BT17" s="297" t="n"/>
      <c r="BU17" s="298" t="n"/>
      <c r="BV17" s="297" t="n"/>
      <c r="BW17" s="297" t="n"/>
      <c r="BX17" s="297" t="n"/>
      <c r="BY17" s="297" t="n"/>
      <c r="BZ17" s="298" t="n"/>
      <c r="CA17" s="297" t="n"/>
      <c r="CB17" s="297" t="n"/>
      <c r="CC17" s="297" t="n"/>
      <c r="CD17" s="297" t="n"/>
      <c r="CE17" s="298" t="n"/>
      <c r="CF17" s="297" t="n"/>
      <c r="CG17" s="297" t="n"/>
      <c r="CH17" s="297" t="n"/>
      <c r="CI17" s="297" t="n"/>
      <c r="CJ17" s="298" t="n"/>
      <c r="CK17" s="297" t="n"/>
      <c r="CL17" s="297" t="n"/>
      <c r="CM17" s="297" t="n"/>
      <c r="CN17" s="297" t="n"/>
      <c r="CO17" s="298" t="n"/>
      <c r="CP17" s="297" t="n"/>
      <c r="CQ17" s="297" t="n"/>
      <c r="CR17" s="297" t="n"/>
      <c r="CS17" s="297" t="n"/>
      <c r="CT17" s="298" t="n"/>
      <c r="CU17" s="297" t="n"/>
      <c r="CV17" s="297" t="n"/>
      <c r="CW17" s="297" t="n"/>
      <c r="CX17" s="297" t="n"/>
      <c r="CY17" s="298" t="n"/>
    </row>
    <row r="18" s="255">
      <c r="C18" s="289" t="inlineStr">
        <is>
          <t>Segmentos - receita (USD milhões)</t>
        </is>
      </c>
      <c r="D18" s="289" t="str">
        <f>D7</f>
        <v>1Q20</v>
      </c>
      <c r="E18" s="289" t="str">
        <f>E7</f>
        <v>2Q20</v>
      </c>
      <c r="F18" s="289" t="str">
        <f>F7</f>
        <v>3Q20</v>
      </c>
      <c r="G18" s="289" t="str">
        <f>G7</f>
        <v>4Q20</v>
      </c>
      <c r="H18" s="289">
        <f>H7</f>
        <v>2020</v>
      </c>
      <c r="I18" s="289" t="str">
        <f>I7</f>
        <v>1Q21</v>
      </c>
      <c r="J18" s="289" t="str">
        <f>J7</f>
        <v>2Q21</v>
      </c>
      <c r="K18" s="289" t="str">
        <f>K7</f>
        <v>3Q21</v>
      </c>
      <c r="L18" s="289" t="str">
        <f>L7</f>
        <v>4Q21</v>
      </c>
      <c r="M18" s="289">
        <f>M7</f>
        <v>2021</v>
      </c>
      <c r="N18" s="289" t="str">
        <f>N7</f>
        <v>1Q22</v>
      </c>
      <c r="O18" s="289" t="str">
        <f>O7</f>
        <v>2Q22</v>
      </c>
      <c r="P18" s="289" t="str">
        <f>P7</f>
        <v>3Q22</v>
      </c>
      <c r="Q18" s="289" t="str">
        <f>Q7</f>
        <v>4Q22</v>
      </c>
      <c r="R18" s="289">
        <f>R7</f>
        <v>2022</v>
      </c>
      <c r="S18" s="289" t="str">
        <f>S7</f>
        <v>1Q23</v>
      </c>
      <c r="T18" s="289" t="str">
        <f>T7</f>
        <v>2Q23</v>
      </c>
      <c r="U18" s="289" t="str">
        <f>U7</f>
        <v>3Q23</v>
      </c>
      <c r="V18" s="289" t="str">
        <f>V7</f>
        <v>4Q23</v>
      </c>
      <c r="W18" s="289">
        <f>W7</f>
        <v>2023</v>
      </c>
      <c r="X18" s="289" t="str">
        <f>X7</f>
        <v>1Q24</v>
      </c>
      <c r="Y18" s="289" t="str">
        <f>Y7</f>
        <v>2Q24</v>
      </c>
      <c r="Z18" s="289" t="str">
        <f>Z7</f>
        <v>3Q24</v>
      </c>
      <c r="AA18" s="289" t="str">
        <f>AA7</f>
        <v>4Q24</v>
      </c>
      <c r="AB18" s="289">
        <f>AB7</f>
        <v>2024</v>
      </c>
      <c r="AC18" s="289" t="str">
        <f>AC7</f>
        <v>1Q25</v>
      </c>
      <c r="AD18" s="289" t="str">
        <f>AD7</f>
        <v>2Q25</v>
      </c>
      <c r="AE18" s="289" t="str">
        <f>AE7</f>
        <v>3Q25</v>
      </c>
      <c r="AF18" s="289" t="str">
        <f>AF7</f>
        <v>4Q25</v>
      </c>
      <c r="AG18" s="289">
        <f>AG7</f>
        <v>2025</v>
      </c>
      <c r="AH18" s="289" t="str">
        <f>AH7</f>
        <v>1Q26</v>
      </c>
      <c r="AI18" s="289" t="str">
        <f>AI7</f>
        <v>2Q26</v>
      </c>
    </row>
    <row r="19" s="255">
      <c r="C19" s="275" t="inlineStr">
        <is>
          <t xml:space="preserve">   Morenci</t>
        </is>
      </c>
      <c r="D19" s="515">
        <f>IFERROR(INDEX('Inputs (2)'!$D$53:$AL$53,MATCH(D$7,'Inputs (2)'!$D$2:$AL$2,0)),"")</f>
        <v>444</v>
      </c>
      <c r="E19" s="515">
        <f>IFERROR(INDEX('Inputs (2)'!$D$53:$AL$53,MATCH(E$7,'Inputs (2)'!$D$2:$AL$2,0)),"")</f>
        <v>467</v>
      </c>
      <c r="F19" s="515">
        <f>IFERROR(INDEX('Inputs (2)'!$D$53:$AL$53,MATCH(F$7,'Inputs (2)'!$D$2:$AL$2,0)),"")</f>
        <v>588</v>
      </c>
      <c r="G19" s="515">
        <f>IFERROR(INDEX('Inputs (2)'!$D$53:$AL$53,MATCH(G$7,'Inputs (2)'!$D$2:$AL$2,0)),"")</f>
        <v>545</v>
      </c>
      <c r="H19" s="516">
        <f>IF(COUNT(D19:G19)=4,SUM(D19:G19),"")</f>
        <v>2044</v>
      </c>
      <c r="I19" s="515">
        <f>IFERROR(INDEX('Inputs (2)'!$D$53:$AL$53,MATCH(I$7,'Inputs (2)'!$D$2:$AL$2,0)),"")</f>
        <v>568</v>
      </c>
      <c r="J19" s="515">
        <f>IFERROR(INDEX('Inputs (2)'!$D$53:$AL$53,MATCH(J$7,'Inputs (2)'!$D$2:$AL$2,0)),"")</f>
        <v>778</v>
      </c>
      <c r="K19" s="515">
        <f>IFERROR(INDEX('Inputs (2)'!$D$53:$AL$53,MATCH(K$7,'Inputs (2)'!$D$2:$AL$2,0)),"")</f>
        <v>727</v>
      </c>
      <c r="L19" s="515">
        <f>IFERROR(INDEX('Inputs (2)'!$D$53:$AL$53,MATCH(L$7,'Inputs (2)'!$D$2:$AL$2,0)),"")</f>
        <v>737</v>
      </c>
      <c r="M19" s="516">
        <f>IF(COUNT(I19:L19)=4,SUM(I19:L19),"")</f>
        <v>2810</v>
      </c>
      <c r="N19" s="515">
        <f>IFERROR(INDEX('Inputs (2)'!$D$53:$AL$53,MATCH(N$7,'Inputs (2)'!$D$2:$AL$2,0)),"")</f>
        <v>801</v>
      </c>
      <c r="O19" s="515">
        <f>IFERROR(INDEX('Inputs (2)'!$D$53:$AL$53,MATCH(O$7,'Inputs (2)'!$D$2:$AL$2,0)),"")</f>
        <v>747</v>
      </c>
      <c r="P19" s="515">
        <f>IFERROR(INDEX('Inputs (2)'!$D$53:$AL$53,MATCH(P$7,'Inputs (2)'!$D$2:$AL$2,0)),"")</f>
        <v>569</v>
      </c>
      <c r="Q19" s="515">
        <f>IFERROR(INDEX('Inputs (2)'!$D$53:$AL$53,MATCH(Q$7,'Inputs (2)'!$D$2:$AL$2,0)),"")</f>
        <v>572</v>
      </c>
      <c r="R19" s="516">
        <f>IF(COUNT(N19:Q19)=4,SUM(N19:Q19),"")</f>
        <v>2689</v>
      </c>
      <c r="S19" s="515">
        <f>IFERROR(INDEX('Inputs (2)'!$D$53:$AL$53,MATCH(S$7,'Inputs (2)'!$D$2:$AL$2,0)),"")</f>
        <v>625</v>
      </c>
      <c r="T19" s="515">
        <f>IFERROR(INDEX('Inputs (2)'!$D$53:$AL$53,MATCH(T$7,'Inputs (2)'!$D$2:$AL$2,0)),"")</f>
        <v>596</v>
      </c>
      <c r="U19" s="515">
        <f>IFERROR(INDEX('Inputs (2)'!$D$53:$AL$53,MATCH(U$7,'Inputs (2)'!$D$2:$AL$2,0)),"")</f>
        <v>641</v>
      </c>
      <c r="V19" s="515">
        <f>IFERROR(INDEX('Inputs (2)'!$D$53:$AL$53,MATCH(V$7,'Inputs (2)'!$D$2:$AL$2,0)),"")</f>
        <v>557</v>
      </c>
      <c r="W19" s="516">
        <f>IF(COUNT(S19:V19)=4,SUM(S19:V19),"")</f>
        <v>2419</v>
      </c>
      <c r="X19" s="515">
        <f>IFERROR(INDEX('Inputs (2)'!$D$53:$AL$53,MATCH(X$7,'Inputs (2)'!$D$2:$AL$2,0)),"")</f>
        <v>577</v>
      </c>
      <c r="Y19" s="515">
        <f>IFERROR(INDEX('Inputs (2)'!$D$53:$AL$53,MATCH(Y$7,'Inputs (2)'!$D$2:$AL$2,0)),"")</f>
        <v>600</v>
      </c>
      <c r="Z19" s="515">
        <f>IFERROR(INDEX('Inputs (2)'!$D$53:$AL$53,MATCH(Z$7,'Inputs (2)'!$D$2:$AL$2,0)),"")</f>
        <v>593</v>
      </c>
      <c r="AA19" s="515">
        <f>IFERROR(INDEX('Inputs (2)'!$D$53:$AL$53,MATCH(AA$7,'Inputs (2)'!$D$2:$AL$2,0)),"")</f>
        <v>577</v>
      </c>
      <c r="AB19" s="516">
        <f>IF(COUNT(X19:AA19)=4,SUM(X19:AA19),"")</f>
        <v>2347</v>
      </c>
      <c r="AC19" s="515">
        <f>IFERROR(INDEX('Inputs (2)'!$D$53:$AL$53,MATCH(AC$7,'Inputs (2)'!$D$2:$AL$2,0)),"")</f>
        <v>577</v>
      </c>
      <c r="AD19" s="515">
        <f>IFERROR(INDEX('Inputs (2)'!$D$53:$AL$53,MATCH(AD$7,'Inputs (2)'!$D$2:$AL$2,0)),"")</f>
        <v>622</v>
      </c>
      <c r="AE19" s="515">
        <f>IFERROR(INDEX('Inputs (2)'!$D$53:$AL$53,MATCH(AE$7,'Inputs (2)'!$D$2:$AL$2,0)),"")</f>
        <v>699</v>
      </c>
      <c r="AF19" s="515">
        <f>IFERROR(INDEX('Inputs (2)'!$D$53:$AL$53,MATCH(AF$7,'Inputs (2)'!$D$2:$AL$2,0)),"")</f>
        <v>750</v>
      </c>
      <c r="AG19" s="516">
        <f>IF(COUNT(AC19:AF19)=4,SUM(AC19:AF19),"")</f>
        <v>2648</v>
      </c>
      <c r="AH19" s="516">
        <f>IFERROR(INDEX('Inputs (2)'!$D$53:$AL$53,MATCH(AH$7,'Inputs (2)'!$D$2:$AL$2,0)),"")</f>
        <v>776</v>
      </c>
      <c r="AI19" s="516">
        <f>IFERROR(INDEX('Inputs (2)'!$D$53:$AL$53,MATCH(AI$7,'Inputs (2)'!$D$2:$AL$2,0)),"")</f>
        <v>756</v>
      </c>
    </row>
    <row r="20" s="255">
      <c r="C20" s="275" t="inlineStr">
        <is>
          <t xml:space="preserve">   Cerro Verde</t>
        </is>
      </c>
      <c r="D20" s="515">
        <f>IFERROR(INDEX('Inputs (2)'!$D$55:$AL$55,MATCH(D$7,'Inputs (2)'!$D$2:$AL$2,0)),"")</f>
        <v>414</v>
      </c>
      <c r="E20" s="515">
        <f>IFERROR(INDEX('Inputs (2)'!$D$55:$AL$55,MATCH(E$7,'Inputs (2)'!$D$2:$AL$2,0)),"")</f>
        <v>523</v>
      </c>
      <c r="F20" s="515">
        <f>IFERROR(INDEX('Inputs (2)'!$D$55:$AL$55,MATCH(F$7,'Inputs (2)'!$D$2:$AL$2,0)),"")</f>
        <v>698</v>
      </c>
      <c r="G20" s="515">
        <f>IFERROR(INDEX('Inputs (2)'!$D$55:$AL$55,MATCH(G$7,'Inputs (2)'!$D$2:$AL$2,0)),"")</f>
        <v>889</v>
      </c>
      <c r="H20" s="516">
        <f>IF(COUNT(D20:G20)=4,SUM(D20:G20),"")</f>
        <v>2524</v>
      </c>
      <c r="I20" s="515">
        <f>IFERROR(INDEX('Inputs (2)'!$D$55:$AL$55,MATCH(I$7,'Inputs (2)'!$D$2:$AL$2,0)),"")</f>
        <v>962</v>
      </c>
      <c r="J20" s="515">
        <f>IFERROR(INDEX('Inputs (2)'!$D$55:$AL$55,MATCH(J$7,'Inputs (2)'!$D$2:$AL$2,0)),"")</f>
        <v>945</v>
      </c>
      <c r="K20" s="515">
        <f>IFERROR(INDEX('Inputs (2)'!$D$55:$AL$55,MATCH(K$7,'Inputs (2)'!$D$2:$AL$2,0)),"")</f>
        <v>1074</v>
      </c>
      <c r="L20" s="515">
        <f>IFERROR(INDEX('Inputs (2)'!$D$55:$AL$55,MATCH(L$7,'Inputs (2)'!$D$2:$AL$2,0)),"")</f>
        <v>1215</v>
      </c>
      <c r="M20" s="516">
        <f>IF(COUNT(I20:L20)=4,SUM(I20:L20),"")</f>
        <v>4196</v>
      </c>
      <c r="N20" s="515">
        <f>IFERROR(INDEX('Inputs (2)'!$D$55:$AL$55,MATCH(N$7,'Inputs (2)'!$D$2:$AL$2,0)),"")</f>
        <v>1214</v>
      </c>
      <c r="O20" s="515">
        <f>IFERROR(INDEX('Inputs (2)'!$D$55:$AL$55,MATCH(O$7,'Inputs (2)'!$D$2:$AL$2,0)),"")</f>
        <v>836</v>
      </c>
      <c r="P20" s="515">
        <f>IFERROR(INDEX('Inputs (2)'!$D$55:$AL$55,MATCH(P$7,'Inputs (2)'!$D$2:$AL$2,0)),"")</f>
        <v>749</v>
      </c>
      <c r="Q20" s="515">
        <f>IFERROR(INDEX('Inputs (2)'!$D$55:$AL$55,MATCH(Q$7,'Inputs (2)'!$D$2:$AL$2,0)),"")</f>
        <v>1151</v>
      </c>
      <c r="R20" s="516">
        <f>IF(COUNT(N20:Q20)=4,SUM(N20:Q20),"")</f>
        <v>3950</v>
      </c>
      <c r="S20" s="515">
        <f>IFERROR(INDEX('Inputs (2)'!$D$55:$AL$55,MATCH(S$7,'Inputs (2)'!$D$2:$AL$2,0)),"")</f>
        <v>1202</v>
      </c>
      <c r="T20" s="515">
        <f>IFERROR(INDEX('Inputs (2)'!$D$55:$AL$55,MATCH(T$7,'Inputs (2)'!$D$2:$AL$2,0)),"")</f>
        <v>958</v>
      </c>
      <c r="U20" s="515">
        <f>IFERROR(INDEX('Inputs (2)'!$D$55:$AL$55,MATCH(U$7,'Inputs (2)'!$D$2:$AL$2,0)),"")</f>
        <v>1041</v>
      </c>
      <c r="V20" s="515">
        <f>IFERROR(INDEX('Inputs (2)'!$D$55:$AL$55,MATCH(V$7,'Inputs (2)'!$D$2:$AL$2,0)),"")</f>
        <v>916</v>
      </c>
      <c r="W20" s="516">
        <f>IF(COUNT(S20:V20)=4,SUM(S20:V20),"")</f>
        <v>4117</v>
      </c>
      <c r="X20" s="515">
        <f>IFERROR(INDEX('Inputs (2)'!$D$55:$AL$55,MATCH(X$7,'Inputs (2)'!$D$2:$AL$2,0)),"")</f>
        <v>928</v>
      </c>
      <c r="Y20" s="515">
        <f>IFERROR(INDEX('Inputs (2)'!$D$55:$AL$55,MATCH(Y$7,'Inputs (2)'!$D$2:$AL$2,0)),"")</f>
        <v>1257</v>
      </c>
      <c r="Z20" s="515">
        <f>IFERROR(INDEX('Inputs (2)'!$D$55:$AL$55,MATCH(Z$7,'Inputs (2)'!$D$2:$AL$2,0)),"")</f>
        <v>1079</v>
      </c>
      <c r="AA20" s="515">
        <f>IFERROR(INDEX('Inputs (2)'!$D$55:$AL$55,MATCH(AA$7,'Inputs (2)'!$D$2:$AL$2,0)),"")</f>
        <v>992</v>
      </c>
      <c r="AB20" s="516">
        <f>IF(COUNT(X20:AA20)=4,SUM(X20:AA20),"")</f>
        <v>4256</v>
      </c>
      <c r="AC20" s="515">
        <f>IFERROR(INDEX('Inputs (2)'!$D$55:$AL$55,MATCH(AC$7,'Inputs (2)'!$D$2:$AL$2,0)),"")</f>
        <v>1091</v>
      </c>
      <c r="AD20" s="515">
        <f>IFERROR(INDEX('Inputs (2)'!$D$55:$AL$55,MATCH(AD$7,'Inputs (2)'!$D$2:$AL$2,0)),"")</f>
        <v>1029</v>
      </c>
      <c r="AE20" s="515">
        <f>IFERROR(INDEX('Inputs (2)'!$D$55:$AL$55,MATCH(AE$7,'Inputs (2)'!$D$2:$AL$2,0)),"")</f>
        <v>1205</v>
      </c>
      <c r="AF20" s="515">
        <f>IFERROR(INDEX('Inputs (2)'!$D$55:$AL$55,MATCH(AF$7,'Inputs (2)'!$D$2:$AL$2,0)),"")</f>
        <v>1381</v>
      </c>
      <c r="AG20" s="516">
        <f>IF(COUNT(AC20:AF20)=4,SUM(AC20:AF20),"")</f>
        <v>4706</v>
      </c>
      <c r="AH20" s="516">
        <f>IFERROR(INDEX('Inputs (2)'!$D$55:$AL$55,MATCH(AH$7,'Inputs (2)'!$D$2:$AL$2,0)),"")</f>
        <v>1381</v>
      </c>
      <c r="AI20" s="516">
        <f>IFERROR(INDEX('Inputs (2)'!$D$55:$AL$55,MATCH(AI$7,'Inputs (2)'!$D$2:$AL$2,0)),"")</f>
        <v>1487</v>
      </c>
    </row>
    <row r="21" s="255">
      <c r="C21" s="275" t="inlineStr">
        <is>
          <t xml:space="preserve">   Grasberg (Indonésia)</t>
        </is>
      </c>
      <c r="D21" s="515">
        <f>IFERROR(INDEX('Inputs (2)'!$D$57:$AL$57,MATCH(D$7,'Inputs (2)'!$D$2:$AL$2,0)),"")</f>
        <v>445</v>
      </c>
      <c r="E21" s="515">
        <f>IFERROR(INDEX('Inputs (2)'!$D$57:$AL$57,MATCH(E$7,'Inputs (2)'!$D$2:$AL$2,0)),"")</f>
        <v>718</v>
      </c>
      <c r="F21" s="515">
        <f>IFERROR(INDEX('Inputs (2)'!$D$57:$AL$57,MATCH(F$7,'Inputs (2)'!$D$2:$AL$2,0)),"")</f>
        <v>1026</v>
      </c>
      <c r="G21" s="515">
        <f>IFERROR(INDEX('Inputs (2)'!$D$57:$AL$57,MATCH(G$7,'Inputs (2)'!$D$2:$AL$2,0)),"")</f>
        <v>1425</v>
      </c>
      <c r="H21" s="516">
        <f>IF(COUNT(D21:G21)=4,SUM(D21:G21),"")</f>
        <v>3614</v>
      </c>
      <c r="I21" s="515">
        <f>IFERROR(INDEX('Inputs (2)'!$D$57:$AL$57,MATCH(I$7,'Inputs (2)'!$D$2:$AL$2,0)),"")</f>
        <v>1435</v>
      </c>
      <c r="J21" s="515">
        <f>IFERROR(INDEX('Inputs (2)'!$D$57:$AL$57,MATCH(J$7,'Inputs (2)'!$D$2:$AL$2,0)),"")</f>
        <v>1809</v>
      </c>
      <c r="K21" s="515">
        <f>IFERROR(INDEX('Inputs (2)'!$D$57:$AL$57,MATCH(K$7,'Inputs (2)'!$D$2:$AL$2,0)),"")</f>
        <v>2042</v>
      </c>
      <c r="L21" s="515">
        <f>IFERROR(INDEX('Inputs (2)'!$D$57:$AL$57,MATCH(L$7,'Inputs (2)'!$D$2:$AL$2,0)),"")</f>
        <v>2237</v>
      </c>
      <c r="M21" s="516">
        <f>IF(COUNT(I21:L21)=4,SUM(I21:L21),"")</f>
        <v>7523</v>
      </c>
      <c r="N21" s="515">
        <f>IFERROR(INDEX('Inputs (2)'!$D$57:$AL$57,MATCH(N$7,'Inputs (2)'!$D$2:$AL$2,0)),"")</f>
        <v>2404</v>
      </c>
      <c r="O21" s="515">
        <f>IFERROR(INDEX('Inputs (2)'!$D$57:$AL$57,MATCH(O$7,'Inputs (2)'!$D$2:$AL$2,0)),"")</f>
        <v>1978</v>
      </c>
      <c r="P21" s="515">
        <f>IFERROR(INDEX('Inputs (2)'!$D$57:$AL$57,MATCH(P$7,'Inputs (2)'!$D$2:$AL$2,0)),"")</f>
        <v>1798</v>
      </c>
      <c r="Q21" s="515">
        <f>IFERROR(INDEX('Inputs (2)'!$D$57:$AL$57,MATCH(Q$7,'Inputs (2)'!$D$2:$AL$2,0)),"")</f>
        <v>2246</v>
      </c>
      <c r="R21" s="516">
        <f>IF(COUNT(N21:Q21)=4,SUM(N21:Q21),"")</f>
        <v>8426</v>
      </c>
      <c r="S21" s="515">
        <f>IFERROR(INDEX('Inputs (2)'!$D$57:$AL$57,MATCH(S$7,'Inputs (2)'!$D$2:$AL$2,0)),"")</f>
        <v>1368</v>
      </c>
      <c r="T21" s="515">
        <f>IFERROR(INDEX('Inputs (2)'!$D$57:$AL$57,MATCH(T$7,'Inputs (2)'!$D$2:$AL$2,0)),"")</f>
        <v>2237</v>
      </c>
      <c r="U21" s="515">
        <f>IFERROR(INDEX('Inputs (2)'!$D$57:$AL$57,MATCH(U$7,'Inputs (2)'!$D$2:$AL$2,0)),"")</f>
        <v>2095</v>
      </c>
      <c r="V21" s="515">
        <f>IFERROR(INDEX('Inputs (2)'!$D$57:$AL$57,MATCH(V$7,'Inputs (2)'!$D$2:$AL$2,0)),"")</f>
        <v>2737</v>
      </c>
      <c r="W21" s="516">
        <f>IF(COUNT(S21:V21)=4,SUM(S21:V21),"")</f>
        <v>8437</v>
      </c>
      <c r="X21" s="515">
        <f>IFERROR(INDEX('Inputs (2)'!$D$57:$AL$57,MATCH(X$7,'Inputs (2)'!$D$2:$AL$2,0)),"")</f>
        <v>2825</v>
      </c>
      <c r="Y21" s="515">
        <f>IFERROR(INDEX('Inputs (2)'!$D$57:$AL$57,MATCH(Y$7,'Inputs (2)'!$D$2:$AL$2,0)),"")</f>
        <v>2268</v>
      </c>
      <c r="Z21" s="515">
        <f>IFERROR(INDEX('Inputs (2)'!$D$57:$AL$57,MATCH(Z$7,'Inputs (2)'!$D$2:$AL$2,0)),"")</f>
        <v>2982</v>
      </c>
      <c r="AA21" s="515">
        <f>IFERROR(INDEX('Inputs (2)'!$D$57:$AL$57,MATCH(AA$7,'Inputs (2)'!$D$2:$AL$2,0)),"")</f>
        <v>2243</v>
      </c>
      <c r="AB21" s="516">
        <f>IF(COUNT(X21:AA21)=4,SUM(X21:AA21),"")</f>
        <v>10318</v>
      </c>
      <c r="AC21" s="515">
        <f>IFERROR(INDEX('Inputs (2)'!$D$57:$AL$57,MATCH(AC$7,'Inputs (2)'!$D$2:$AL$2,0)),"")</f>
        <v>1570</v>
      </c>
      <c r="AD21" s="515">
        <f>IFERROR(INDEX('Inputs (2)'!$D$57:$AL$57,MATCH(AD$7,'Inputs (2)'!$D$2:$AL$2,0)),"")</f>
        <v>3417</v>
      </c>
      <c r="AE21" s="515">
        <f>IFERROR(INDEX('Inputs (2)'!$D$57:$AL$57,MATCH(AE$7,'Inputs (2)'!$D$2:$AL$2,0)),"")</f>
        <v>2675</v>
      </c>
      <c r="AF21" s="515">
        <f>IFERROR(INDEX('Inputs (2)'!$D$57:$AL$57,MATCH(AF$7,'Inputs (2)'!$D$2:$AL$2,0)),"")</f>
        <v>960</v>
      </c>
      <c r="AG21" s="516">
        <f>IF(COUNT(AC21:AF21)=4,SUM(AC21:AF21),"")</f>
        <v>8622</v>
      </c>
      <c r="AH21" s="516">
        <f>IFERROR(INDEX('Inputs (2)'!$D$57:$AL$57,MATCH(AH$7,'Inputs (2)'!$D$2:$AL$2,0)),"")</f>
        <v>1072</v>
      </c>
      <c r="AI21" s="516">
        <f>IFERROR(INDEX('Inputs (2)'!$D$57:$AL$57,MATCH(AI$7,'Inputs (2)'!$D$2:$AL$2,0)),"")</f>
        <v>1483</v>
      </c>
    </row>
    <row r="22" s="255">
      <c r="C22" s="275" t="inlineStr">
        <is>
          <t xml:space="preserve">   Rod &amp; Refining</t>
        </is>
      </c>
      <c r="D22" s="515">
        <f>IFERROR(INDEX('Inputs (2)'!$D$59:$AL$59,MATCH(D$7,'Inputs (2)'!$D$2:$AL$2,0)),"")</f>
        <v>1123</v>
      </c>
      <c r="E22" s="515">
        <f>IFERROR(INDEX('Inputs (2)'!$D$59:$AL$59,MATCH(E$7,'Inputs (2)'!$D$2:$AL$2,0)),"")</f>
        <v>1114</v>
      </c>
      <c r="F22" s="515">
        <f>IFERROR(INDEX('Inputs (2)'!$D$59:$AL$59,MATCH(F$7,'Inputs (2)'!$D$2:$AL$2,0)),"")</f>
        <v>1278</v>
      </c>
      <c r="G22" s="515">
        <f>IFERROR(INDEX('Inputs (2)'!$D$59:$AL$59,MATCH(G$7,'Inputs (2)'!$D$2:$AL$2,0)),"")</f>
        <v>1299</v>
      </c>
      <c r="H22" s="516">
        <f>IF(COUNT(D22:G22)=4,SUM(D22:G22),"")</f>
        <v>4814</v>
      </c>
      <c r="I22" s="515">
        <f>IFERROR(INDEX('Inputs (2)'!$D$59:$AL$59,MATCH(I$7,'Inputs (2)'!$D$2:$AL$2,0)),"")</f>
        <v>1316</v>
      </c>
      <c r="J22" s="515">
        <f>IFERROR(INDEX('Inputs (2)'!$D$59:$AL$59,MATCH(J$7,'Inputs (2)'!$D$2:$AL$2,0)),"")</f>
        <v>1695</v>
      </c>
      <c r="K22" s="515">
        <f>IFERROR(INDEX('Inputs (2)'!$D$59:$AL$59,MATCH(K$7,'Inputs (2)'!$D$2:$AL$2,0)),"")</f>
        <v>1704</v>
      </c>
      <c r="L22" s="515">
        <f>IFERROR(INDEX('Inputs (2)'!$D$59:$AL$59,MATCH(L$7,'Inputs (2)'!$D$2:$AL$2,0)),"")</f>
        <v>1670</v>
      </c>
      <c r="M22" s="516">
        <f>IF(COUNT(I22:L22)=4,SUM(I22:L22),"")</f>
        <v>6385</v>
      </c>
      <c r="N22" s="515">
        <f>IFERROR(INDEX('Inputs (2)'!$D$59:$AL$59,MATCH(N$7,'Inputs (2)'!$D$2:$AL$2,0)),"")</f>
        <v>1752</v>
      </c>
      <c r="O22" s="515">
        <f>IFERROR(INDEX('Inputs (2)'!$D$59:$AL$59,MATCH(O$7,'Inputs (2)'!$D$2:$AL$2,0)),"")</f>
        <v>1761</v>
      </c>
      <c r="P22" s="515">
        <f>IFERROR(INDEX('Inputs (2)'!$D$59:$AL$59,MATCH(P$7,'Inputs (2)'!$D$2:$AL$2,0)),"")</f>
        <v>1443</v>
      </c>
      <c r="Q22" s="515">
        <f>IFERROR(INDEX('Inputs (2)'!$D$59:$AL$59,MATCH(Q$7,'Inputs (2)'!$D$2:$AL$2,0)),"")</f>
        <v>1356</v>
      </c>
      <c r="R22" s="516">
        <f>IF(COUNT(N22:Q22)=4,SUM(N22:Q22),"")</f>
        <v>6312</v>
      </c>
      <c r="S22" s="515">
        <f>IFERROR(INDEX('Inputs (2)'!$D$59:$AL$59,MATCH(S$7,'Inputs (2)'!$D$2:$AL$2,0)),"")</f>
        <v>1529</v>
      </c>
      <c r="T22" s="515">
        <f>IFERROR(INDEX('Inputs (2)'!$D$59:$AL$59,MATCH(T$7,'Inputs (2)'!$D$2:$AL$2,0)),"")</f>
        <v>1473</v>
      </c>
      <c r="U22" s="515">
        <f>IFERROR(INDEX('Inputs (2)'!$D$59:$AL$59,MATCH(U$7,'Inputs (2)'!$D$2:$AL$2,0)),"")</f>
        <v>1578</v>
      </c>
      <c r="V22" s="515">
        <f>IFERROR(INDEX('Inputs (2)'!$D$59:$AL$59,MATCH(V$7,'Inputs (2)'!$D$2:$AL$2,0)),"")</f>
        <v>1346</v>
      </c>
      <c r="W22" s="516">
        <f>IF(COUNT(S22:V22)=4,SUM(S22:V22),"")</f>
        <v>5926</v>
      </c>
      <c r="X22" s="515">
        <f>IFERROR(INDEX('Inputs (2)'!$D$59:$AL$59,MATCH(X$7,'Inputs (2)'!$D$2:$AL$2,0)),"")</f>
        <v>1499</v>
      </c>
      <c r="Y22" s="515">
        <f>IFERROR(INDEX('Inputs (2)'!$D$59:$AL$59,MATCH(Y$7,'Inputs (2)'!$D$2:$AL$2,0)),"")</f>
        <v>1704</v>
      </c>
      <c r="Z22" s="515">
        <f>IFERROR(INDEX('Inputs (2)'!$D$59:$AL$59,MATCH(Z$7,'Inputs (2)'!$D$2:$AL$2,0)),"")</f>
        <v>1571</v>
      </c>
      <c r="AA22" s="515">
        <f>IFERROR(INDEX('Inputs (2)'!$D$59:$AL$59,MATCH(AA$7,'Inputs (2)'!$D$2:$AL$2,0)),"")</f>
        <v>1465</v>
      </c>
      <c r="AB22" s="516">
        <f>IF(COUNT(X22:AA22)=4,SUM(X22:AA22),"")</f>
        <v>6239</v>
      </c>
      <c r="AC22" s="515">
        <f>IFERROR(INDEX('Inputs (2)'!$D$59:$AL$59,MATCH(AC$7,'Inputs (2)'!$D$2:$AL$2,0)),"")</f>
        <v>1632</v>
      </c>
      <c r="AD22" s="515">
        <f>IFERROR(INDEX('Inputs (2)'!$D$59:$AL$59,MATCH(AD$7,'Inputs (2)'!$D$2:$AL$2,0)),"")</f>
        <v>1701</v>
      </c>
      <c r="AE22" s="515">
        <f>IFERROR(INDEX('Inputs (2)'!$D$59:$AL$59,MATCH(AE$7,'Inputs (2)'!$D$2:$AL$2,0)),"")</f>
        <v>1786</v>
      </c>
      <c r="AF22" s="515">
        <f>IFERROR(INDEX('Inputs (2)'!$D$59:$AL$59,MATCH(AF$7,'Inputs (2)'!$D$2:$AL$2,0)),"")</f>
        <v>1800</v>
      </c>
      <c r="AG22" s="516">
        <f>IF(COUNT(AC22:AF22)=4,SUM(AC22:AF22),"")</f>
        <v>6919</v>
      </c>
      <c r="AH22" s="516">
        <f>IFERROR(INDEX('Inputs (2)'!$D$59:$AL$59,MATCH(AH$7,'Inputs (2)'!$D$2:$AL$2,0)),"")</f>
        <v>2062</v>
      </c>
      <c r="AI22" s="516">
        <f>IFERROR(INDEX('Inputs (2)'!$D$59:$AL$59,MATCH(AI$7,'Inputs (2)'!$D$2:$AL$2,0)),"")</f>
        <v>2239</v>
      </c>
    </row>
    <row r="23" s="255">
      <c r="C23" s="275" t="inlineStr">
        <is>
          <t xml:space="preserve">   Atlantic Copper</t>
        </is>
      </c>
      <c r="D23" s="515">
        <f>IFERROR(INDEX('Inputs (2)'!$D$61:$AL$61,MATCH(D$7,'Inputs (2)'!$D$2:$AL$2,0)),"")</f>
        <v>440</v>
      </c>
      <c r="E23" s="515">
        <f>IFERROR(INDEX('Inputs (2)'!$D$61:$AL$61,MATCH(E$7,'Inputs (2)'!$D$2:$AL$2,0)),"")</f>
        <v>466</v>
      </c>
      <c r="F23" s="515">
        <f>IFERROR(INDEX('Inputs (2)'!$D$61:$AL$61,MATCH(F$7,'Inputs (2)'!$D$2:$AL$2,0)),"")</f>
        <v>539</v>
      </c>
      <c r="G23" s="515">
        <f>IFERROR(INDEX('Inputs (2)'!$D$61:$AL$61,MATCH(G$7,'Inputs (2)'!$D$2:$AL$2,0)),"")</f>
        <v>592</v>
      </c>
      <c r="H23" s="516">
        <f>IF(COUNT(D23:G23)=4,SUM(D23:G23),"")</f>
        <v>2037</v>
      </c>
      <c r="I23" s="515">
        <f>IFERROR(INDEX('Inputs (2)'!$D$61:$AL$61,MATCH(I$7,'Inputs (2)'!$D$2:$AL$2,0)),"")</f>
        <v>687</v>
      </c>
      <c r="J23" s="515">
        <f>IFERROR(INDEX('Inputs (2)'!$D$61:$AL$61,MATCH(J$7,'Inputs (2)'!$D$2:$AL$2,0)),"")</f>
        <v>794</v>
      </c>
      <c r="K23" s="515">
        <f>IFERROR(INDEX('Inputs (2)'!$D$61:$AL$61,MATCH(K$7,'Inputs (2)'!$D$2:$AL$2,0)),"")</f>
        <v>783</v>
      </c>
      <c r="L23" s="515">
        <f>IFERROR(INDEX('Inputs (2)'!$D$61:$AL$61,MATCH(L$7,'Inputs (2)'!$D$2:$AL$2,0)),"")</f>
        <v>697</v>
      </c>
      <c r="M23" s="516">
        <f>IF(COUNT(I23:L23)=4,SUM(I23:L23),"")</f>
        <v>2961</v>
      </c>
      <c r="N23" s="515">
        <f>IFERROR(INDEX('Inputs (2)'!$D$61:$AL$61,MATCH(N$7,'Inputs (2)'!$D$2:$AL$2,0)),"")</f>
        <v>718</v>
      </c>
      <c r="O23" s="515">
        <f>IFERROR(INDEX('Inputs (2)'!$D$61:$AL$61,MATCH(O$7,'Inputs (2)'!$D$2:$AL$2,0)),"")</f>
        <v>433</v>
      </c>
      <c r="P23" s="515">
        <f>IFERROR(INDEX('Inputs (2)'!$D$61:$AL$61,MATCH(P$7,'Inputs (2)'!$D$2:$AL$2,0)),"")</f>
        <v>609</v>
      </c>
      <c r="Q23" s="515">
        <f>IFERROR(INDEX('Inputs (2)'!$D$61:$AL$61,MATCH(Q$7,'Inputs (2)'!$D$2:$AL$2,0)),"")</f>
        <v>683</v>
      </c>
      <c r="R23" s="516">
        <f>IF(COUNT(N23:Q23)=4,SUM(N23:Q23),"")</f>
        <v>2443</v>
      </c>
      <c r="S23" s="515">
        <f>IFERROR(INDEX('Inputs (2)'!$D$61:$AL$61,MATCH(S$7,'Inputs (2)'!$D$2:$AL$2,0)),"")</f>
        <v>756</v>
      </c>
      <c r="T23" s="515">
        <f>IFERROR(INDEX('Inputs (2)'!$D$61:$AL$61,MATCH(T$7,'Inputs (2)'!$D$2:$AL$2,0)),"")</f>
        <v>748</v>
      </c>
      <c r="U23" s="515">
        <f>IFERROR(INDEX('Inputs (2)'!$D$61:$AL$61,MATCH(U$7,'Inputs (2)'!$D$2:$AL$2,0)),"")</f>
        <v>700</v>
      </c>
      <c r="V23" s="515">
        <f>IFERROR(INDEX('Inputs (2)'!$D$61:$AL$61,MATCH(V$7,'Inputs (2)'!$D$2:$AL$2,0)),"")</f>
        <v>606</v>
      </c>
      <c r="W23" s="516">
        <f>IF(COUNT(S23:V23)=4,SUM(S23:V23),"")</f>
        <v>2810</v>
      </c>
      <c r="X23" s="515">
        <f>IFERROR(INDEX('Inputs (2)'!$D$61:$AL$61,MATCH(X$7,'Inputs (2)'!$D$2:$AL$2,0)),"")</f>
        <v>673</v>
      </c>
      <c r="Y23" s="515">
        <f>IFERROR(INDEX('Inputs (2)'!$D$61:$AL$61,MATCH(Y$7,'Inputs (2)'!$D$2:$AL$2,0)),"")</f>
        <v>900</v>
      </c>
      <c r="Z23" s="515">
        <f>IFERROR(INDEX('Inputs (2)'!$D$61:$AL$61,MATCH(Z$7,'Inputs (2)'!$D$2:$AL$2,0)),"")</f>
        <v>765</v>
      </c>
      <c r="AA23" s="515">
        <f>IFERROR(INDEX('Inputs (2)'!$D$61:$AL$61,MATCH(AA$7,'Inputs (2)'!$D$2:$AL$2,0)),"")</f>
        <v>679</v>
      </c>
      <c r="AB23" s="516">
        <f>IF(COUNT(X23:AA23)=4,SUM(X23:AA23),"")</f>
        <v>3017</v>
      </c>
      <c r="AC23" s="515">
        <f>IFERROR(INDEX('Inputs (2)'!$D$61:$AL$61,MATCH(AC$7,'Inputs (2)'!$D$2:$AL$2,0)),"")</f>
        <v>755</v>
      </c>
      <c r="AD23" s="515">
        <f>IFERROR(INDEX('Inputs (2)'!$D$61:$AL$61,MATCH(AD$7,'Inputs (2)'!$D$2:$AL$2,0)),"")</f>
        <v>818</v>
      </c>
      <c r="AE23" s="515">
        <f>IFERROR(INDEX('Inputs (2)'!$D$61:$AL$61,MATCH(AE$7,'Inputs (2)'!$D$2:$AL$2,0)),"")</f>
        <v>774</v>
      </c>
      <c r="AF23" s="515">
        <f>IFERROR(INDEX('Inputs (2)'!$D$61:$AL$61,MATCH(AF$7,'Inputs (2)'!$D$2:$AL$2,0)),"")</f>
        <v>834</v>
      </c>
      <c r="AG23" s="516">
        <f>IF(COUNT(AC23:AF23)=4,SUM(AC23:AF23),"")</f>
        <v>3181</v>
      </c>
      <c r="AH23" s="516">
        <f>IFERROR(INDEX('Inputs (2)'!$D$61:$AL$61,MATCH(AH$7,'Inputs (2)'!$D$2:$AL$2,0)),"")</f>
        <v>969</v>
      </c>
      <c r="AI23" s="516">
        <f>IFERROR(INDEX('Inputs (2)'!$D$61:$AL$61,MATCH(AI$7,'Inputs (2)'!$D$2:$AL$2,0)),"")</f>
        <v>1030</v>
      </c>
    </row>
    <row r="24" s="255">
      <c r="C24" s="517" t="inlineStr">
        <is>
          <t>Receita (soma dos segmentos)</t>
        </is>
      </c>
      <c r="D24" s="515">
        <f>IF(COUNT(D19,D20,D21,D22,D23)=0,"",N(D19)+N(D20)+N(D21)+N(D22)+N(D23))</f>
        <v>2866</v>
      </c>
      <c r="E24" s="515">
        <f>IF(COUNT(E19,E20,E21,E22,E23)=0,"",N(E19)+N(E20)+N(E21)+N(E22)+N(E23))</f>
        <v>3288</v>
      </c>
      <c r="F24" s="515">
        <f>IF(COUNT(F19,F20,F21,F22,F23)=0,"",N(F19)+N(F20)+N(F21)+N(F22)+N(F23))</f>
        <v>4129</v>
      </c>
      <c r="G24" s="515">
        <f>IF(COUNT(G19,G20,G21,G22,G23)=0,"",N(G19)+N(G20)+N(G21)+N(G22)+N(G23))</f>
        <v>4750</v>
      </c>
      <c r="H24" s="516">
        <f>IF(COUNT(H19,H20,H21,H22,H23)=0,"",N(H19)+N(H20)+N(H21)+N(H22)+N(H23))</f>
        <v>15033</v>
      </c>
      <c r="I24" s="515">
        <f>IF(COUNT(I19,I20,I21,I22,I23)=0,"",N(I19)+N(I20)+N(I21)+N(I22)+N(I23))</f>
        <v>4968</v>
      </c>
      <c r="J24" s="515">
        <f>IF(COUNT(J19,J20,J21,J22,J23)=0,"",N(J19)+N(J20)+N(J21)+N(J22)+N(J23))</f>
        <v>6021</v>
      </c>
      <c r="K24" s="515">
        <f>IF(COUNT(K19,K20,K21,K22,K23)=0,"",N(K19)+N(K20)+N(K21)+N(K22)+N(K23))</f>
        <v>6330</v>
      </c>
      <c r="L24" s="515">
        <f>IF(COUNT(L19,L20,L21,L22,L23)=0,"",N(L19)+N(L20)+N(L21)+N(L22)+N(L23))</f>
        <v>6556</v>
      </c>
      <c r="M24" s="516">
        <f>IF(COUNT(M19,M20,M21,M22,M23)=0,"",N(M19)+N(M20)+N(M21)+N(M22)+N(M23))</f>
        <v>23875</v>
      </c>
      <c r="N24" s="515">
        <f>IF(COUNT(N19,N20,N21,N22,N23)=0,"",N(N19)+N(N20)+N(N21)+N(N22)+N(N23))</f>
        <v>6889</v>
      </c>
      <c r="O24" s="515">
        <f>IF(COUNT(O19,O20,O21,O22,O23)=0,"",N(O19)+N(O20)+N(O21)+N(O22)+N(O23))</f>
        <v>5755</v>
      </c>
      <c r="P24" s="515">
        <f>IF(COUNT(P19,P20,P21,P22,P23)=0,"",N(P19)+N(P20)+N(P21)+N(P22)+N(P23))</f>
        <v>5168</v>
      </c>
      <c r="Q24" s="515">
        <f>IF(COUNT(Q19,Q20,Q21,Q22,Q23)=0,"",N(Q19)+N(Q20)+N(Q21)+N(Q22)+N(Q23))</f>
        <v>6008</v>
      </c>
      <c r="R24" s="516">
        <f>IF(COUNT(R19,R20,R21,R22,R23)=0,"",N(R19)+N(R20)+N(R21)+N(R22)+N(R23))</f>
        <v>23820</v>
      </c>
      <c r="S24" s="515">
        <f>IF(COUNT(S19,S20,S21,S22,S23)=0,"",N(S19)+N(S20)+N(S21)+N(S22)+N(S23))</f>
        <v>5480</v>
      </c>
      <c r="T24" s="515">
        <f>IF(COUNT(T19,T20,T21,T22,T23)=0,"",N(T19)+N(T20)+N(T21)+N(T22)+N(T23))</f>
        <v>6012</v>
      </c>
      <c r="U24" s="515">
        <f>IF(COUNT(U19,U20,U21,U22,U23)=0,"",N(U19)+N(U20)+N(U21)+N(U22)+N(U23))</f>
        <v>6055</v>
      </c>
      <c r="V24" s="515">
        <f>IF(COUNT(V19,V20,V21,V22,V23)=0,"",N(V19)+N(V20)+N(V21)+N(V22)+N(V23))</f>
        <v>6162</v>
      </c>
      <c r="W24" s="516">
        <f>IF(COUNT(W19,W20,W21,W22,W23)=0,"",N(W19)+N(W20)+N(W21)+N(W22)+N(W23))</f>
        <v>23709</v>
      </c>
      <c r="X24" s="515">
        <f>IF(COUNT(X19,X20,X21,X22,X23)=0,"",N(X19)+N(X20)+N(X21)+N(X22)+N(X23))</f>
        <v>6502</v>
      </c>
      <c r="Y24" s="515">
        <f>IF(COUNT(Y19,Y20,Y21,Y22,Y23)=0,"",N(Y19)+N(Y20)+N(Y21)+N(Y22)+N(Y23))</f>
        <v>6729</v>
      </c>
      <c r="Z24" s="515">
        <f>IF(COUNT(Z19,Z20,Z21,Z22,Z23)=0,"",N(Z19)+N(Z20)+N(Z21)+N(Z22)+N(Z23))</f>
        <v>6990</v>
      </c>
      <c r="AA24" s="515">
        <f>IF(COUNT(AA19,AA20,AA21,AA22,AA23)=0,"",N(AA19)+N(AA20)+N(AA21)+N(AA22)+N(AA23))</f>
        <v>5956</v>
      </c>
      <c r="AB24" s="516">
        <f>IF(COUNT(AB19,AB20,AB21,AB22,AB23)=0,"",N(AB19)+N(AB20)+N(AB21)+N(AB22)+N(AB23))</f>
        <v>26177</v>
      </c>
      <c r="AC24" s="515">
        <f>IF(COUNT(AC19,AC20,AC21,AC22,AC23)=0,"",N(AC19)+N(AC20)+N(AC21)+N(AC22)+N(AC23))</f>
        <v>5625</v>
      </c>
      <c r="AD24" s="515">
        <f>IF(COUNT(AD19,AD20,AD21,AD22,AD23)=0,"",N(AD19)+N(AD20)+N(AD21)+N(AD22)+N(AD23))</f>
        <v>7587</v>
      </c>
      <c r="AE24" s="515">
        <f>IF(COUNT(AE19,AE20,AE21,AE22,AE23)=0,"",N(AE19)+N(AE20)+N(AE21)+N(AE22)+N(AE23))</f>
        <v>7139</v>
      </c>
      <c r="AF24" s="515">
        <f>IF(COUNT(AF19,AF20,AF21,AF22,AF23)=0,"",N(AF19)+N(AF20)+N(AF21)+N(AF22)+N(AF23))</f>
        <v>5725</v>
      </c>
      <c r="AG24" s="516">
        <f>IF(COUNT(AG19,AG20,AG21,AG22,AG23)=0,"",N(AG19)+N(AG20)+N(AG21)+N(AG22)+N(AG23))</f>
        <v>26076</v>
      </c>
      <c r="AH24" s="516">
        <f>IF(COUNT(AH19,AH20,AH21,AH22,AH23)=0,"",N(AH19)+N(AH20)+N(AH21)+N(AH22)+N(AH23))</f>
        <v>6260</v>
      </c>
      <c r="AI24" s="516">
        <f>IF(COUNT(AI19,AI20,AI21,AI22,AI23)=0,"",N(AI19)+N(AI20)+N(AI21)+N(AI22)+N(AI23))</f>
        <v>6995</v>
      </c>
    </row>
    <row r="25" s="255">
      <c r="C25" s="275" t="inlineStr">
        <is>
          <t>Receita não alocada aos segmentos (linha 15 - soma)</t>
        </is>
      </c>
      <c r="D25" s="515">
        <f>IF(COUNT(D24)=0,"",ROUND(D15-D24,1))</f>
        <v>-68</v>
      </c>
      <c r="E25" s="515">
        <f>IF(COUNT(E24)=0,"",ROUND(E15-E24,1))</f>
        <v>-234</v>
      </c>
      <c r="F25" s="515">
        <f>IF(COUNT(F24)=0,"",ROUND(F15-F24,1))</f>
        <v>-278</v>
      </c>
      <c r="G25" s="515">
        <f>IF(COUNT(G24)=0,"",ROUND(G15-G24,1))</f>
        <v>-255</v>
      </c>
      <c r="H25" s="516">
        <f>IF(COUNT(H24)=0,"",ROUND(H15-H24,1))</f>
        <v>-835</v>
      </c>
      <c r="I25" s="515">
        <f>IF(COUNT(I24)=0,"",ROUND(I15-I24,1))</f>
        <v>-118</v>
      </c>
      <c r="J25" s="515">
        <f>IF(COUNT(J24)=0,"",ROUND(J15-J24,1))</f>
        <v>-273</v>
      </c>
      <c r="K25" s="515">
        <f>IF(COUNT(K24)=0,"",ROUND(K15-K24,1))</f>
        <v>-247</v>
      </c>
      <c r="L25" s="515">
        <f>IF(COUNT(L24)=0,"",ROUND(L15-L24,1))</f>
        <v>-392</v>
      </c>
      <c r="M25" s="516">
        <f>IF(COUNT(M24)=0,"",ROUND(M15-M24,1))</f>
        <v>-1030</v>
      </c>
      <c r="N25" s="515">
        <f>IF(COUNT(N24)=0,"",ROUND(N15-N24,1))</f>
        <v>-286</v>
      </c>
      <c r="O25" s="515">
        <f>IF(COUNT(O24)=0,"",ROUND(O15-O24,1))</f>
        <v>-339</v>
      </c>
      <c r="P25" s="515">
        <f>IF(COUNT(P24)=0,"",ROUND(P15-P24,1))</f>
        <v>-165</v>
      </c>
      <c r="Q25" s="515">
        <f>IF(COUNT(Q24)=0,"",ROUND(Q15-Q24,1))</f>
        <v>-250</v>
      </c>
      <c r="R25" s="516">
        <f>IF(COUNT(R24)=0,"",ROUND(R15-R24,1))</f>
        <v>-1040</v>
      </c>
      <c r="S25" s="515">
        <f>IF(COUNT(S24)=0,"",ROUND(S15-S24,1))</f>
        <v>-91</v>
      </c>
      <c r="T25" s="515">
        <f>IF(COUNT(T24)=0,"",ROUND(T15-T24,1))</f>
        <v>-275</v>
      </c>
      <c r="U25" s="515">
        <f>IF(COUNT(U24)=0,"",ROUND(U15-U24,1))</f>
        <v>-231</v>
      </c>
      <c r="V25" s="515">
        <f>IF(COUNT(V24)=0,"",ROUND(V15-V24,1))</f>
        <v>-257</v>
      </c>
      <c r="W25" s="516">
        <f>IF(COUNT(W24)=0,"",ROUND(W15-W24,1))</f>
        <v>-854</v>
      </c>
      <c r="X25" s="515">
        <f>IF(COUNT(X24)=0,"",ROUND(X15-X24,1))</f>
        <v>-181</v>
      </c>
      <c r="Y25" s="515">
        <f>IF(COUNT(Y24)=0,"",ROUND(Y15-Y24,1))</f>
        <v>-105</v>
      </c>
      <c r="Z25" s="515">
        <f>IF(COUNT(Z24)=0,"",ROUND(Z15-Z24,1))</f>
        <v>-200</v>
      </c>
      <c r="AA25" s="515">
        <f>IF(COUNT(AA24)=0,"",ROUND(AA15-AA24,1))</f>
        <v>-236</v>
      </c>
      <c r="AB25" s="516">
        <f>IF(COUNT(AB24)=0,"",ROUND(AB15-AB24,1))</f>
        <v>-722</v>
      </c>
      <c r="AC25" s="515">
        <f>IF(COUNT(AC24)=0,"",ROUND(AC15-AC24,1))</f>
        <v>103</v>
      </c>
      <c r="AD25" s="515">
        <f>IF(COUNT(AD24)=0,"",ROUND(AD15-AD24,1))</f>
        <v>-5</v>
      </c>
      <c r="AE25" s="515">
        <f>IF(COUNT(AE24)=0,"",ROUND(AE15-AE24,1))</f>
        <v>-167</v>
      </c>
      <c r="AF25" s="515">
        <f>IF(COUNT(AF24)=0,"",ROUND(AF15-AF24,1))</f>
        <v>-92</v>
      </c>
      <c r="AG25" s="516">
        <f>IF(COUNT(AG24)=0,"",ROUND(AG15-AG24,1))</f>
        <v>-161</v>
      </c>
      <c r="AH25" s="516">
        <f>IF(COUNT(AH24)=0,"",ROUND(AH15-AH24,1))</f>
        <v>-26</v>
      </c>
      <c r="AI25" s="516">
        <f>IF(COUNT(AI24)=0,"",ROUND(AI15-AI24,1))</f>
        <v>34</v>
      </c>
    </row>
    <row r="26" s="255">
      <c r="C26" s="275" t="inlineStr">
        <is>
          <t xml:space="preserve">   % YoY Morenci</t>
        </is>
      </c>
      <c r="D26" s="518" t="str">
        <f>""</f>
        <v/>
      </c>
      <c r="E26" s="518" t="str">
        <f>""</f>
        <v/>
      </c>
      <c r="F26" s="518" t="str">
        <f>""</f>
        <v/>
      </c>
      <c r="G26" s="518" t="str">
        <f>""</f>
        <v/>
      </c>
      <c r="H26" s="519" t="str">
        <f>""</f>
        <v/>
      </c>
      <c r="I26" s="518">
        <f>IFERROR(I19/D19-1,"")</f>
        <v>0.279279279279279</v>
      </c>
      <c r="J26" s="518">
        <f>IFERROR(J19/E19-1,"")</f>
        <v>0.665952890792291</v>
      </c>
      <c r="K26" s="518">
        <f>IFERROR(K19/F19-1,"")</f>
        <v>0.236394557823129</v>
      </c>
      <c r="L26" s="518">
        <f>IFERROR(L19/G19-1,"")</f>
        <v>0.352293577981651</v>
      </c>
      <c r="M26" s="519">
        <f>IFERROR(M19/H19-1,"")</f>
        <v>0.374755381604697</v>
      </c>
      <c r="N26" s="518">
        <f>IFERROR(N19/I19-1,"")</f>
        <v>0.410211267605634</v>
      </c>
      <c r="O26" s="518">
        <f>IFERROR(O19/J19-1,"")</f>
        <v>-0.0398457583547558</v>
      </c>
      <c r="P26" s="518">
        <f>IFERROR(P19/K19-1,"")</f>
        <v>-0.217331499312242</v>
      </c>
      <c r="Q26" s="518">
        <f>IFERROR(Q19/L19-1,"")</f>
        <v>-0.223880597014925</v>
      </c>
      <c r="R26" s="519">
        <f>IFERROR(R19/M19-1,"")</f>
        <v>-0.0430604982206406</v>
      </c>
      <c r="S26" s="518">
        <f>IFERROR(S19/N19-1,"")</f>
        <v>-0.219725343320849</v>
      </c>
      <c r="T26" s="518">
        <f>IFERROR(T19/O19-1,"")</f>
        <v>-0.202141900937082</v>
      </c>
      <c r="U26" s="518">
        <f>IFERROR(U19/P19-1,"")</f>
        <v>0.126537785588752</v>
      </c>
      <c r="V26" s="518">
        <f>IFERROR(V19/Q19-1,"")</f>
        <v>-0.0262237762237763</v>
      </c>
      <c r="W26" s="519">
        <f>IFERROR(W19/R19-1,"")</f>
        <v>-0.100409074005206</v>
      </c>
      <c r="X26" s="518">
        <f>IFERROR(X19/S19-1,"")</f>
        <v>-0.0768</v>
      </c>
      <c r="Y26" s="518">
        <f>IFERROR(Y19/T19-1,"")</f>
        <v>0.00671140939597326</v>
      </c>
      <c r="Z26" s="518">
        <f>IFERROR(Z19/U19-1,"")</f>
        <v>-0.0748829953198128</v>
      </c>
      <c r="AA26" s="518">
        <f>IFERROR(AA19/V19-1,"")</f>
        <v>0.0359066427289048</v>
      </c>
      <c r="AB26" s="519">
        <f>IFERROR(AB19/W19-1,"")</f>
        <v>-0.0297643654402646</v>
      </c>
      <c r="AC26" s="518">
        <f>IFERROR(AC19/X19-1,"")</f>
        <v>0</v>
      </c>
      <c r="AD26" s="518">
        <f>IFERROR(AD19/Y19-1,"")</f>
        <v>0.0366666666666666</v>
      </c>
      <c r="AE26" s="518">
        <f>IFERROR(AE19/Z19-1,"")</f>
        <v>0.178752107925801</v>
      </c>
      <c r="AF26" s="518">
        <f>IFERROR(AF19/AA19-1,"")</f>
        <v>0.299826689774697</v>
      </c>
      <c r="AG26" s="519">
        <f>IFERROR(AG19/AB19-1,"")</f>
        <v>0.128248828291436</v>
      </c>
      <c r="AH26" s="519">
        <f>IFERROR(AH19/AC19-1,"")</f>
        <v>0.344887348353553</v>
      </c>
      <c r="AI26" s="519">
        <f>IFERROR(AI19/AD19-1,"")</f>
        <v>0.215434083601286</v>
      </c>
    </row>
    <row r="27" s="255">
      <c r="C27" s="275" t="inlineStr">
        <is>
          <t xml:space="preserve">   % YoY Cerro Verde</t>
        </is>
      </c>
      <c r="D27" s="518" t="str">
        <f>""</f>
        <v/>
      </c>
      <c r="E27" s="518" t="str">
        <f>""</f>
        <v/>
      </c>
      <c r="F27" s="518" t="str">
        <f>""</f>
        <v/>
      </c>
      <c r="G27" s="518" t="str">
        <f>""</f>
        <v/>
      </c>
      <c r="H27" s="519" t="str">
        <f>""</f>
        <v/>
      </c>
      <c r="I27" s="518">
        <f>IFERROR(I20/D20-1,"")</f>
        <v>1.32367149758454</v>
      </c>
      <c r="J27" s="518">
        <f>IFERROR(J20/E20-1,"")</f>
        <v>0.806883365200765</v>
      </c>
      <c r="K27" s="518">
        <f>IFERROR(K20/F20-1,"")</f>
        <v>0.538681948424069</v>
      </c>
      <c r="L27" s="518">
        <f>IFERROR(L20/G20-1,"")</f>
        <v>0.366704161979753</v>
      </c>
      <c r="M27" s="519">
        <f>IFERROR(M20/H20-1,"")</f>
        <v>0.662440570522979</v>
      </c>
      <c r="N27" s="518">
        <f>IFERROR(N20/I20-1,"")</f>
        <v>0.261954261954262</v>
      </c>
      <c r="O27" s="518">
        <f>IFERROR(O20/J20-1,"")</f>
        <v>-0.115343915343915</v>
      </c>
      <c r="P27" s="518">
        <f>IFERROR(P20/K20-1,"")</f>
        <v>-0.302607076350093</v>
      </c>
      <c r="Q27" s="518">
        <f>IFERROR(Q20/L20-1,"")</f>
        <v>-0.0526748971193416</v>
      </c>
      <c r="R27" s="519">
        <f>IFERROR(R20/M20-1,"")</f>
        <v>-0.0586272640610105</v>
      </c>
      <c r="S27" s="518">
        <f>IFERROR(S20/N20-1,"")</f>
        <v>-0.00988467874794075</v>
      </c>
      <c r="T27" s="518">
        <f>IFERROR(T20/O20-1,"")</f>
        <v>0.145933014354067</v>
      </c>
      <c r="U27" s="518">
        <f>IFERROR(U20/P20-1,"")</f>
        <v>0.389853137516689</v>
      </c>
      <c r="V27" s="518">
        <f>IFERROR(V20/Q20-1,"")</f>
        <v>-0.204170286707211</v>
      </c>
      <c r="W27" s="519">
        <f>IFERROR(W20/R20-1,"")</f>
        <v>0.0422784810126582</v>
      </c>
      <c r="X27" s="518">
        <f>IFERROR(X20/S20-1,"")</f>
        <v>-0.227953410981697</v>
      </c>
      <c r="Y27" s="518">
        <f>IFERROR(Y20/T20-1,"")</f>
        <v>0.312108559498956</v>
      </c>
      <c r="Z27" s="518">
        <f>IFERROR(Z20/U20-1,"")</f>
        <v>0.0365033621517772</v>
      </c>
      <c r="AA27" s="518">
        <f>IFERROR(AA20/V20-1,"")</f>
        <v>0.0829694323144106</v>
      </c>
      <c r="AB27" s="519">
        <f>IFERROR(AB20/W20-1,"")</f>
        <v>0.0337624483847461</v>
      </c>
      <c r="AC27" s="518">
        <f>IFERROR(AC20/X20-1,"")</f>
        <v>0.175646551724138</v>
      </c>
      <c r="AD27" s="518">
        <f>IFERROR(AD20/Y20-1,"")</f>
        <v>-0.181384248210024</v>
      </c>
      <c r="AE27" s="518">
        <f>IFERROR(AE20/Z20-1,"")</f>
        <v>0.116774791473587</v>
      </c>
      <c r="AF27" s="518">
        <f>IFERROR(AF20/AA20-1,"")</f>
        <v>0.392137096774194</v>
      </c>
      <c r="AG27" s="519">
        <f>IFERROR(AG20/AB20-1,"")</f>
        <v>0.105733082706767</v>
      </c>
      <c r="AH27" s="519">
        <f>IFERROR(AH20/AC20-1,"")</f>
        <v>0.265811182401467</v>
      </c>
      <c r="AI27" s="519">
        <f>IFERROR(AI20/AD20-1,"")</f>
        <v>0.445092322643343</v>
      </c>
    </row>
    <row r="28" s="255">
      <c r="C28" s="275" t="inlineStr">
        <is>
          <t xml:space="preserve">   % YoY Grasberg (Indonésia)</t>
        </is>
      </c>
      <c r="D28" s="518" t="str">
        <f>""</f>
        <v/>
      </c>
      <c r="E28" s="518" t="str">
        <f>""</f>
        <v/>
      </c>
      <c r="F28" s="518" t="str">
        <f>""</f>
        <v/>
      </c>
      <c r="G28" s="518" t="str">
        <f>""</f>
        <v/>
      </c>
      <c r="H28" s="519" t="str">
        <f>""</f>
        <v/>
      </c>
      <c r="I28" s="518">
        <f>IFERROR(I21/D21-1,"")</f>
        <v>2.2247191011236</v>
      </c>
      <c r="J28" s="518">
        <f>IFERROR(J21/E21-1,"")</f>
        <v>1.51949860724234</v>
      </c>
      <c r="K28" s="518">
        <f>IFERROR(K21/F21-1,"")</f>
        <v>0.990253411306043</v>
      </c>
      <c r="L28" s="518">
        <f>IFERROR(L21/G21-1,"")</f>
        <v>0.569824561403509</v>
      </c>
      <c r="M28" s="519">
        <f>IFERROR(M21/H21-1,"")</f>
        <v>1.08162700608744</v>
      </c>
      <c r="N28" s="518">
        <f>IFERROR(N21/I21-1,"")</f>
        <v>0.675261324041812</v>
      </c>
      <c r="O28" s="518">
        <f>IFERROR(O21/J21-1,"")</f>
        <v>0.0934217799889441</v>
      </c>
      <c r="P28" s="518">
        <f>IFERROR(P21/K21-1,"")</f>
        <v>-0.11949069539667</v>
      </c>
      <c r="Q28" s="518">
        <f>IFERROR(Q21/L21-1,"")</f>
        <v>0.0040232454179705</v>
      </c>
      <c r="R28" s="519">
        <f>IFERROR(R21/M21-1,"")</f>
        <v>0.120031902166689</v>
      </c>
      <c r="S28" s="518">
        <f>IFERROR(S21/N21-1,"")</f>
        <v>-0.430948419301165</v>
      </c>
      <c r="T28" s="518">
        <f>IFERROR(T21/O21-1,"")</f>
        <v>0.130940343781597</v>
      </c>
      <c r="U28" s="518">
        <f>IFERROR(U21/P21-1,"")</f>
        <v>0.165183537263626</v>
      </c>
      <c r="V28" s="518">
        <f>IFERROR(V21/Q21-1,"")</f>
        <v>0.218610863757792</v>
      </c>
      <c r="W28" s="519">
        <f>IFERROR(W21/R21-1,"")</f>
        <v>0.00130548302872069</v>
      </c>
      <c r="X28" s="518">
        <f>IFERROR(X21/S21-1,"")</f>
        <v>1.06505847953216</v>
      </c>
      <c r="Y28" s="518">
        <f>IFERROR(Y21/T21-1,"")</f>
        <v>0.0138578453285649</v>
      </c>
      <c r="Z28" s="518">
        <f>IFERROR(Z21/U21-1,"")</f>
        <v>0.423389021479714</v>
      </c>
      <c r="AA28" s="518">
        <f>IFERROR(AA21/V21-1,"")</f>
        <v>-0.180489587139204</v>
      </c>
      <c r="AB28" s="519">
        <f>IFERROR(AB21/W21-1,"")</f>
        <v>0.222946544980443</v>
      </c>
      <c r="AC28" s="518">
        <f>IFERROR(AC21/X21-1,"")</f>
        <v>-0.444247787610619</v>
      </c>
      <c r="AD28" s="518">
        <f>IFERROR(AD21/Y21-1,"")</f>
        <v>0.506613756613757</v>
      </c>
      <c r="AE28" s="518">
        <f>IFERROR(AE21/Z21-1,"")</f>
        <v>-0.102951039570758</v>
      </c>
      <c r="AF28" s="518">
        <f>IFERROR(AF21/AA21-1,"")</f>
        <v>-0.572001783325903</v>
      </c>
      <c r="AG28" s="519">
        <f>IFERROR(AG21/AB21-1,"")</f>
        <v>-0.164372940492344</v>
      </c>
      <c r="AH28" s="519">
        <f>IFERROR(AH21/AC21-1,"")</f>
        <v>-0.317197452229299</v>
      </c>
      <c r="AI28" s="519">
        <f>IFERROR(AI21/AD21-1,"")</f>
        <v>-0.565993561603746</v>
      </c>
    </row>
    <row r="29" s="255"/>
    <row r="30" s="255">
      <c r="C30" s="289" t="inlineStr">
        <is>
          <t>Segmentos - lucro e margem (USD milhões)</t>
        </is>
      </c>
      <c r="D30" s="289" t="str">
        <f>D7</f>
        <v>1Q20</v>
      </c>
      <c r="E30" s="289" t="str">
        <f>E7</f>
        <v>2Q20</v>
      </c>
      <c r="F30" s="289" t="str">
        <f>F7</f>
        <v>3Q20</v>
      </c>
      <c r="G30" s="289" t="str">
        <f>G7</f>
        <v>4Q20</v>
      </c>
      <c r="H30" s="289">
        <f>H7</f>
        <v>2020</v>
      </c>
      <c r="I30" s="289" t="str">
        <f>I7</f>
        <v>1Q21</v>
      </c>
      <c r="J30" s="289" t="str">
        <f>J7</f>
        <v>2Q21</v>
      </c>
      <c r="K30" s="289" t="str">
        <f>K7</f>
        <v>3Q21</v>
      </c>
      <c r="L30" s="289" t="str">
        <f>L7</f>
        <v>4Q21</v>
      </c>
      <c r="M30" s="289">
        <f>M7</f>
        <v>2021</v>
      </c>
      <c r="N30" s="289" t="str">
        <f>N7</f>
        <v>1Q22</v>
      </c>
      <c r="O30" s="289" t="str">
        <f>O7</f>
        <v>2Q22</v>
      </c>
      <c r="P30" s="289" t="str">
        <f>P7</f>
        <v>3Q22</v>
      </c>
      <c r="Q30" s="289" t="str">
        <f>Q7</f>
        <v>4Q22</v>
      </c>
      <c r="R30" s="289">
        <f>R7</f>
        <v>2022</v>
      </c>
      <c r="S30" s="289" t="str">
        <f>S7</f>
        <v>1Q23</v>
      </c>
      <c r="T30" s="289" t="str">
        <f>T7</f>
        <v>2Q23</v>
      </c>
      <c r="U30" s="289" t="str">
        <f>U7</f>
        <v>3Q23</v>
      </c>
      <c r="V30" s="289" t="str">
        <f>V7</f>
        <v>4Q23</v>
      </c>
      <c r="W30" s="289">
        <f>W7</f>
        <v>2023</v>
      </c>
      <c r="X30" s="289" t="str">
        <f>X7</f>
        <v>1Q24</v>
      </c>
      <c r="Y30" s="289" t="str">
        <f>Y7</f>
        <v>2Q24</v>
      </c>
      <c r="Z30" s="289" t="str">
        <f>Z7</f>
        <v>3Q24</v>
      </c>
      <c r="AA30" s="289" t="str">
        <f>AA7</f>
        <v>4Q24</v>
      </c>
      <c r="AB30" s="289">
        <f>AB7</f>
        <v>2024</v>
      </c>
      <c r="AC30" s="289" t="str">
        <f>AC7</f>
        <v>1Q25</v>
      </c>
      <c r="AD30" s="289" t="str">
        <f>AD7</f>
        <v>2Q25</v>
      </c>
      <c r="AE30" s="289" t="str">
        <f>AE7</f>
        <v>3Q25</v>
      </c>
      <c r="AF30" s="289" t="str">
        <f>AF7</f>
        <v>4Q25</v>
      </c>
      <c r="AG30" s="289">
        <f>AG7</f>
        <v>2025</v>
      </c>
      <c r="AH30" s="289" t="str">
        <f>AH7</f>
        <v>1Q26</v>
      </c>
      <c r="AI30" s="289" t="str">
        <f>AI7</f>
        <v>2Q26</v>
      </c>
    </row>
    <row r="31" s="255">
      <c r="C31" s="275" t="inlineStr">
        <is>
          <t xml:space="preserve">   Morenci</t>
        </is>
      </c>
      <c r="D31" s="515">
        <f>IFERROR(INDEX('Inputs (2)'!$D$54:$AL$54,MATCH(D$7,'Inputs (2)'!$D$2:$AL$2,0)),"")</f>
        <v>46</v>
      </c>
      <c r="E31" s="515">
        <f>IFERROR(INDEX('Inputs (2)'!$D$54:$AL$54,MATCH(E$7,'Inputs (2)'!$D$2:$AL$2,0)),"")</f>
        <v>76</v>
      </c>
      <c r="F31" s="515">
        <f>IFERROR(INDEX('Inputs (2)'!$D$54:$AL$54,MATCH(F$7,'Inputs (2)'!$D$2:$AL$2,0)),"")</f>
        <v>237</v>
      </c>
      <c r="G31" s="515">
        <f>IFERROR(INDEX('Inputs (2)'!$D$54:$AL$54,MATCH(G$7,'Inputs (2)'!$D$2:$AL$2,0)),"")</f>
        <v>244</v>
      </c>
      <c r="H31" s="516">
        <f>IF(COUNT(D31:G31)=4,SUM(D31:G31),"")</f>
        <v>603</v>
      </c>
      <c r="I31" s="515">
        <f>IFERROR(INDEX('Inputs (2)'!$D$54:$AL$54,MATCH(I$7,'Inputs (2)'!$D$2:$AL$2,0)),"")</f>
        <v>265</v>
      </c>
      <c r="J31" s="515">
        <f>IFERROR(INDEX('Inputs (2)'!$D$54:$AL$54,MATCH(J$7,'Inputs (2)'!$D$2:$AL$2,0)),"")</f>
        <v>385</v>
      </c>
      <c r="K31" s="515">
        <f>IFERROR(INDEX('Inputs (2)'!$D$54:$AL$54,MATCH(K$7,'Inputs (2)'!$D$2:$AL$2,0)),"")</f>
        <v>363</v>
      </c>
      <c r="L31" s="515">
        <f>IFERROR(INDEX('Inputs (2)'!$D$54:$AL$54,MATCH(L$7,'Inputs (2)'!$D$2:$AL$2,0)),"")</f>
        <v>404</v>
      </c>
      <c r="M31" s="516">
        <f>IF(COUNT(I31:L31)=4,SUM(I31:L31),"")</f>
        <v>1417</v>
      </c>
      <c r="N31" s="515">
        <f>IFERROR(INDEX('Inputs (2)'!$D$54:$AL$54,MATCH(N$7,'Inputs (2)'!$D$2:$AL$2,0)),"")</f>
        <v>394</v>
      </c>
      <c r="O31" s="515">
        <f>IFERROR(INDEX('Inputs (2)'!$D$54:$AL$54,MATCH(O$7,'Inputs (2)'!$D$2:$AL$2,0)),"")</f>
        <v>318</v>
      </c>
      <c r="P31" s="515">
        <f>IFERROR(INDEX('Inputs (2)'!$D$54:$AL$54,MATCH(P$7,'Inputs (2)'!$D$2:$AL$2,0)),"")</f>
        <v>115</v>
      </c>
      <c r="Q31" s="515">
        <f>IFERROR(INDEX('Inputs (2)'!$D$54:$AL$54,MATCH(Q$7,'Inputs (2)'!$D$2:$AL$2,0)),"")</f>
        <v>138</v>
      </c>
      <c r="R31" s="516">
        <f>IF(COUNT(N31:Q31)=4,SUM(N31:Q31),"")</f>
        <v>965</v>
      </c>
      <c r="S31" s="515">
        <f>IFERROR(INDEX('Inputs (2)'!$D$54:$AL$54,MATCH(S$7,'Inputs (2)'!$D$2:$AL$2,0)),"")</f>
        <v>198</v>
      </c>
      <c r="T31" s="515">
        <f>IFERROR(INDEX('Inputs (2)'!$D$54:$AL$54,MATCH(T$7,'Inputs (2)'!$D$2:$AL$2,0)),"")</f>
        <v>127</v>
      </c>
      <c r="U31" s="515">
        <f>IFERROR(INDEX('Inputs (2)'!$D$54:$AL$54,MATCH(U$7,'Inputs (2)'!$D$2:$AL$2,0)),"")</f>
        <v>112</v>
      </c>
      <c r="V31" s="515">
        <f>IFERROR(INDEX('Inputs (2)'!$D$54:$AL$54,MATCH(V$7,'Inputs (2)'!$D$2:$AL$2,0)),"")</f>
        <v>68</v>
      </c>
      <c r="W31" s="516">
        <f>IF(COUNT(S31:V31)=4,SUM(S31:V31),"")</f>
        <v>505</v>
      </c>
      <c r="X31" s="515">
        <f>IFERROR(INDEX('Inputs (2)'!$D$54:$AL$54,MATCH(X$7,'Inputs (2)'!$D$2:$AL$2,0)),"")</f>
        <v>66</v>
      </c>
      <c r="Y31" s="515">
        <f>IFERROR(INDEX('Inputs (2)'!$D$54:$AL$54,MATCH(Y$7,'Inputs (2)'!$D$2:$AL$2,0)),"")</f>
        <v>111</v>
      </c>
      <c r="Z31" s="515">
        <f>IFERROR(INDEX('Inputs (2)'!$D$54:$AL$54,MATCH(Z$7,'Inputs (2)'!$D$2:$AL$2,0)),"")</f>
        <v>50</v>
      </c>
      <c r="AA31" s="515">
        <f>IFERROR(INDEX('Inputs (2)'!$D$54:$AL$54,MATCH(AA$7,'Inputs (2)'!$D$2:$AL$2,0)),"")</f>
        <v>88</v>
      </c>
      <c r="AB31" s="516">
        <f>IF(COUNT(X31:AA31)=4,SUM(X31:AA31),"")</f>
        <v>315</v>
      </c>
      <c r="AC31" s="515">
        <f>IFERROR(INDEX('Inputs (2)'!$D$54:$AL$54,MATCH(AC$7,'Inputs (2)'!$D$2:$AL$2,0)),"")</f>
        <v>109</v>
      </c>
      <c r="AD31" s="515">
        <f>IFERROR(INDEX('Inputs (2)'!$D$54:$AL$54,MATCH(AD$7,'Inputs (2)'!$D$2:$AL$2,0)),"")</f>
        <v>132</v>
      </c>
      <c r="AE31" s="515">
        <f>IFERROR(INDEX('Inputs (2)'!$D$54:$AL$54,MATCH(AE$7,'Inputs (2)'!$D$2:$AL$2,0)),"")</f>
        <v>134</v>
      </c>
      <c r="AF31" s="515">
        <f>IFERROR(INDEX('Inputs (2)'!$D$54:$AL$54,MATCH(AF$7,'Inputs (2)'!$D$2:$AL$2,0)),"")</f>
        <v>232</v>
      </c>
      <c r="AG31" s="516">
        <f>IF(COUNT(AC31:AF31)=4,SUM(AC31:AF31),"")</f>
        <v>607</v>
      </c>
      <c r="AH31" s="516">
        <f>IFERROR(INDEX('Inputs (2)'!$D$54:$AL$54,MATCH(AH$7,'Inputs (2)'!$D$2:$AL$2,0)),"")</f>
        <v>262</v>
      </c>
      <c r="AI31" s="516">
        <f>IFERROR(INDEX('Inputs (2)'!$D$54:$AL$54,MATCH(AI$7,'Inputs (2)'!$D$2:$AL$2,0)),"")</f>
        <v>265</v>
      </c>
    </row>
    <row r="32" s="255">
      <c r="C32" s="275" t="inlineStr">
        <is>
          <t xml:space="preserve">   Cerro Verde</t>
        </is>
      </c>
      <c r="D32" s="515">
        <f>IFERROR(INDEX('Inputs (2)'!$D$56:$AL$56,MATCH(D$7,'Inputs (2)'!$D$2:$AL$2,0)),"")</f>
        <v>-105</v>
      </c>
      <c r="E32" s="515">
        <f>IFERROR(INDEX('Inputs (2)'!$D$56:$AL$56,MATCH(E$7,'Inputs (2)'!$D$2:$AL$2,0)),"")</f>
        <v>100</v>
      </c>
      <c r="F32" s="515">
        <f>IFERROR(INDEX('Inputs (2)'!$D$56:$AL$56,MATCH(F$7,'Inputs (2)'!$D$2:$AL$2,0)),"")</f>
        <v>210</v>
      </c>
      <c r="G32" s="515">
        <f>IFERROR(INDEX('Inputs (2)'!$D$56:$AL$56,MATCH(G$7,'Inputs (2)'!$D$2:$AL$2,0)),"")</f>
        <v>347</v>
      </c>
      <c r="H32" s="516">
        <f>IF(COUNT(D32:G32)=4,SUM(D32:G32),"")</f>
        <v>552</v>
      </c>
      <c r="I32" s="515">
        <f>IFERROR(INDEX('Inputs (2)'!$D$56:$AL$56,MATCH(I$7,'Inputs (2)'!$D$2:$AL$2,0)),"")</f>
        <v>435</v>
      </c>
      <c r="J32" s="515">
        <f>IFERROR(INDEX('Inputs (2)'!$D$56:$AL$56,MATCH(J$7,'Inputs (2)'!$D$2:$AL$2,0)),"")</f>
        <v>367</v>
      </c>
      <c r="K32" s="515">
        <f>IFERROR(INDEX('Inputs (2)'!$D$56:$AL$56,MATCH(K$7,'Inputs (2)'!$D$2:$AL$2,0)),"")</f>
        <v>438</v>
      </c>
      <c r="L32" s="515">
        <f>IFERROR(INDEX('Inputs (2)'!$D$56:$AL$56,MATCH(L$7,'Inputs (2)'!$D$2:$AL$2,0)),"")</f>
        <v>582</v>
      </c>
      <c r="M32" s="516">
        <f>IF(COUNT(I32:L32)=4,SUM(I32:L32),"")</f>
        <v>1822</v>
      </c>
      <c r="N32" s="515">
        <f>IFERROR(INDEX('Inputs (2)'!$D$56:$AL$56,MATCH(N$7,'Inputs (2)'!$D$2:$AL$2,0)),"")</f>
        <v>567</v>
      </c>
      <c r="O32" s="515">
        <f>IFERROR(INDEX('Inputs (2)'!$D$56:$AL$56,MATCH(O$7,'Inputs (2)'!$D$2:$AL$2,0)),"")</f>
        <v>169</v>
      </c>
      <c r="P32" s="515">
        <f>IFERROR(INDEX('Inputs (2)'!$D$56:$AL$56,MATCH(P$7,'Inputs (2)'!$D$2:$AL$2,0)),"")</f>
        <v>82</v>
      </c>
      <c r="Q32" s="515">
        <f>IFERROR(INDEX('Inputs (2)'!$D$56:$AL$56,MATCH(Q$7,'Inputs (2)'!$D$2:$AL$2,0)),"")</f>
        <v>398</v>
      </c>
      <c r="R32" s="516">
        <f>IF(COUNT(N32:Q32)=4,SUM(N32:Q32),"")</f>
        <v>1216</v>
      </c>
      <c r="S32" s="515">
        <f>IFERROR(INDEX('Inputs (2)'!$D$56:$AL$56,MATCH(S$7,'Inputs (2)'!$D$2:$AL$2,0)),"")</f>
        <v>488</v>
      </c>
      <c r="T32" s="515">
        <f>IFERROR(INDEX('Inputs (2)'!$D$56:$AL$56,MATCH(T$7,'Inputs (2)'!$D$2:$AL$2,0)),"")</f>
        <v>227</v>
      </c>
      <c r="U32" s="515">
        <f>IFERROR(INDEX('Inputs (2)'!$D$56:$AL$56,MATCH(U$7,'Inputs (2)'!$D$2:$AL$2,0)),"")</f>
        <v>293</v>
      </c>
      <c r="V32" s="515">
        <f>IFERROR(INDEX('Inputs (2)'!$D$56:$AL$56,MATCH(V$7,'Inputs (2)'!$D$2:$AL$2,0)),"")</f>
        <v>170</v>
      </c>
      <c r="W32" s="516">
        <f>IF(COUNT(S32:V32)=4,SUM(S32:V32),"")</f>
        <v>1178</v>
      </c>
      <c r="X32" s="515">
        <f>IFERROR(INDEX('Inputs (2)'!$D$56:$AL$56,MATCH(X$7,'Inputs (2)'!$D$2:$AL$2,0)),"")</f>
        <v>228</v>
      </c>
      <c r="Y32" s="515">
        <f>IFERROR(INDEX('Inputs (2)'!$D$56:$AL$56,MATCH(Y$7,'Inputs (2)'!$D$2:$AL$2,0)),"")</f>
        <v>476</v>
      </c>
      <c r="Z32" s="515">
        <f>IFERROR(INDEX('Inputs (2)'!$D$56:$AL$56,MATCH(Z$7,'Inputs (2)'!$D$2:$AL$2,0)),"")</f>
        <v>352</v>
      </c>
      <c r="AA32" s="515">
        <f>IFERROR(INDEX('Inputs (2)'!$D$56:$AL$56,MATCH(AA$7,'Inputs (2)'!$D$2:$AL$2,0)),"")</f>
        <v>271</v>
      </c>
      <c r="AB32" s="516">
        <f>IF(COUNT(X32:AA32)=4,SUM(X32:AA32),"")</f>
        <v>1327</v>
      </c>
      <c r="AC32" s="515">
        <f>IFERROR(INDEX('Inputs (2)'!$D$56:$AL$56,MATCH(AC$7,'Inputs (2)'!$D$2:$AL$2,0)),"")</f>
        <v>409</v>
      </c>
      <c r="AD32" s="515">
        <f>IFERROR(INDEX('Inputs (2)'!$D$56:$AL$56,MATCH(AD$7,'Inputs (2)'!$D$2:$AL$2,0)),"")</f>
        <v>340</v>
      </c>
      <c r="AE32" s="515">
        <f>IFERROR(INDEX('Inputs (2)'!$D$56:$AL$56,MATCH(AE$7,'Inputs (2)'!$D$2:$AL$2,0)),"")</f>
        <v>467</v>
      </c>
      <c r="AF32" s="515">
        <f>IFERROR(INDEX('Inputs (2)'!$D$56:$AL$56,MATCH(AF$7,'Inputs (2)'!$D$2:$AL$2,0)),"")</f>
        <v>602</v>
      </c>
      <c r="AG32" s="516">
        <f>IF(COUNT(AC32:AF32)=4,SUM(AC32:AF32),"")</f>
        <v>1818</v>
      </c>
      <c r="AH32" s="516">
        <f>IFERROR(INDEX('Inputs (2)'!$D$56:$AL$56,MATCH(AH$7,'Inputs (2)'!$D$2:$AL$2,0)),"")</f>
        <v>638</v>
      </c>
      <c r="AI32" s="516">
        <f>IFERROR(INDEX('Inputs (2)'!$D$56:$AL$56,MATCH(AI$7,'Inputs (2)'!$D$2:$AL$2,0)),"")</f>
        <v>736</v>
      </c>
    </row>
    <row r="33" s="255">
      <c r="C33" s="275" t="inlineStr">
        <is>
          <t xml:space="preserve">   Grasberg (Indonésia)</t>
        </is>
      </c>
      <c r="D33" s="515">
        <f>IFERROR(INDEX('Inputs (2)'!$D$58:$AL$58,MATCH(D$7,'Inputs (2)'!$D$2:$AL$2,0)),"")</f>
        <v>-27</v>
      </c>
      <c r="E33" s="515">
        <f>IFERROR(INDEX('Inputs (2)'!$D$58:$AL$58,MATCH(E$7,'Inputs (2)'!$D$2:$AL$2,0)),"")</f>
        <v>188</v>
      </c>
      <c r="F33" s="515">
        <f>IFERROR(INDEX('Inputs (2)'!$D$58:$AL$58,MATCH(F$7,'Inputs (2)'!$D$2:$AL$2,0)),"")</f>
        <v>442</v>
      </c>
      <c r="G33" s="515">
        <f>IFERROR(INDEX('Inputs (2)'!$D$58:$AL$58,MATCH(G$7,'Inputs (2)'!$D$2:$AL$2,0)),"")</f>
        <v>717</v>
      </c>
      <c r="H33" s="516">
        <f>IF(COUNT(D33:G33)=4,SUM(D33:G33),"")</f>
        <v>1320</v>
      </c>
      <c r="I33" s="515">
        <f>IFERROR(INDEX('Inputs (2)'!$D$58:$AL$58,MATCH(I$7,'Inputs (2)'!$D$2:$AL$2,0)),"")</f>
        <v>755</v>
      </c>
      <c r="J33" s="515">
        <f>IFERROR(INDEX('Inputs (2)'!$D$58:$AL$58,MATCH(J$7,'Inputs (2)'!$D$2:$AL$2,0)),"")</f>
        <v>1007</v>
      </c>
      <c r="K33" s="515">
        <f>IFERROR(INDEX('Inputs (2)'!$D$58:$AL$58,MATCH(K$7,'Inputs (2)'!$D$2:$AL$2,0)),"")</f>
        <v>1165</v>
      </c>
      <c r="L33" s="515">
        <f>IFERROR(INDEX('Inputs (2)'!$D$58:$AL$58,MATCH(L$7,'Inputs (2)'!$D$2:$AL$2,0)),"")</f>
        <v>1011</v>
      </c>
      <c r="M33" s="516">
        <f>IF(COUNT(I33:L33)=4,SUM(I33:L33),"")</f>
        <v>3938</v>
      </c>
      <c r="N33" s="515">
        <f>IFERROR(INDEX('Inputs (2)'!$D$58:$AL$58,MATCH(N$7,'Inputs (2)'!$D$2:$AL$2,0)),"")</f>
        <v>1503</v>
      </c>
      <c r="O33" s="515">
        <f>IFERROR(INDEX('Inputs (2)'!$D$58:$AL$58,MATCH(O$7,'Inputs (2)'!$D$2:$AL$2,0)),"")</f>
        <v>1122</v>
      </c>
      <c r="P33" s="515">
        <f>IFERROR(INDEX('Inputs (2)'!$D$58:$AL$58,MATCH(P$7,'Inputs (2)'!$D$2:$AL$2,0)),"")</f>
        <v>844</v>
      </c>
      <c r="Q33" s="515">
        <f>IFERROR(INDEX('Inputs (2)'!$D$58:$AL$58,MATCH(Q$7,'Inputs (2)'!$D$2:$AL$2,0)),"")</f>
        <v>1131</v>
      </c>
      <c r="R33" s="516">
        <f>IF(COUNT(N33:Q33)=4,SUM(N33:Q33),"")</f>
        <v>4600</v>
      </c>
      <c r="S33" s="515">
        <f>IFERROR(INDEX('Inputs (2)'!$D$58:$AL$58,MATCH(S$7,'Inputs (2)'!$D$2:$AL$2,0)),"")</f>
        <v>854</v>
      </c>
      <c r="T33" s="515">
        <f>IFERROR(INDEX('Inputs (2)'!$D$58:$AL$58,MATCH(T$7,'Inputs (2)'!$D$2:$AL$2,0)),"")</f>
        <v>1071</v>
      </c>
      <c r="U33" s="515">
        <f>IFERROR(INDEX('Inputs (2)'!$D$58:$AL$58,MATCH(U$7,'Inputs (2)'!$D$2:$AL$2,0)),"")</f>
        <v>1120</v>
      </c>
      <c r="V33" s="515">
        <f>IFERROR(INDEX('Inputs (2)'!$D$58:$AL$58,MATCH(V$7,'Inputs (2)'!$D$2:$AL$2,0)),"")</f>
        <v>1672</v>
      </c>
      <c r="W33" s="516">
        <f>IF(COUNT(S33:V33)=4,SUM(S33:V33),"")</f>
        <v>4717</v>
      </c>
      <c r="X33" s="515">
        <f>IFERROR(INDEX('Inputs (2)'!$D$58:$AL$58,MATCH(X$7,'Inputs (2)'!$D$2:$AL$2,0)),"")</f>
        <v>1596</v>
      </c>
      <c r="Y33" s="515">
        <f>IFERROR(INDEX('Inputs (2)'!$D$58:$AL$58,MATCH(Y$7,'Inputs (2)'!$D$2:$AL$2,0)),"")</f>
        <v>1314</v>
      </c>
      <c r="Z33" s="515">
        <f>IFERROR(INDEX('Inputs (2)'!$D$58:$AL$58,MATCH(Z$7,'Inputs (2)'!$D$2:$AL$2,0)),"")</f>
        <v>1690</v>
      </c>
      <c r="AA33" s="515">
        <f>IFERROR(INDEX('Inputs (2)'!$D$58:$AL$58,MATCH(AA$7,'Inputs (2)'!$D$2:$AL$2,0)),"")</f>
        <v>1022</v>
      </c>
      <c r="AB33" s="516">
        <f>IF(COUNT(X33:AA33)=4,SUM(X33:AA33),"")</f>
        <v>5622</v>
      </c>
      <c r="AC33" s="515">
        <f>IFERROR(INDEX('Inputs (2)'!$D$58:$AL$58,MATCH(AC$7,'Inputs (2)'!$D$2:$AL$2,0)),"")</f>
        <v>777</v>
      </c>
      <c r="AD33" s="515">
        <f>IFERROR(INDEX('Inputs (2)'!$D$58:$AL$58,MATCH(AD$7,'Inputs (2)'!$D$2:$AL$2,0)),"")</f>
        <v>1868</v>
      </c>
      <c r="AE33" s="515">
        <f>IFERROR(INDEX('Inputs (2)'!$D$58:$AL$58,MATCH(AE$7,'Inputs (2)'!$D$2:$AL$2,0)),"")</f>
        <v>1282</v>
      </c>
      <c r="AF33" s="515">
        <f>IFERROR(INDEX('Inputs (2)'!$D$58:$AL$58,MATCH(AF$7,'Inputs (2)'!$D$2:$AL$2,0)),"")</f>
        <v>-87</v>
      </c>
      <c r="AG33" s="516">
        <f>IF(COUNT(AC33:AF33)=4,SUM(AC33:AF33),"")</f>
        <v>3840</v>
      </c>
      <c r="AH33" s="516">
        <f>IFERROR(INDEX('Inputs (2)'!$D$58:$AL$58,MATCH(AH$7,'Inputs (2)'!$D$2:$AL$2,0)),"")</f>
        <v>842</v>
      </c>
      <c r="AI33" s="516">
        <f>IFERROR(INDEX('Inputs (2)'!$D$58:$AL$58,MATCH(AI$7,'Inputs (2)'!$D$2:$AL$2,0)),"")</f>
        <v>499</v>
      </c>
    </row>
    <row r="34" s="255">
      <c r="C34" s="275" t="inlineStr">
        <is>
          <t xml:space="preserve">   Rod &amp; Refining</t>
        </is>
      </c>
      <c r="D34" s="515">
        <f>IFERROR(INDEX('Inputs (2)'!$D$60:$AL$60,MATCH(D$7,'Inputs (2)'!$D$2:$AL$2,0)),"")</f>
        <v>1</v>
      </c>
      <c r="E34" s="515">
        <f>IFERROR(INDEX('Inputs (2)'!$D$60:$AL$60,MATCH(E$7,'Inputs (2)'!$D$2:$AL$2,0)),"")</f>
        <v>-31</v>
      </c>
      <c r="F34" s="515">
        <f>IFERROR(INDEX('Inputs (2)'!$D$60:$AL$60,MATCH(F$7,'Inputs (2)'!$D$2:$AL$2,0)),"")</f>
        <v>-2</v>
      </c>
      <c r="G34" s="515">
        <f>IFERROR(INDEX('Inputs (2)'!$D$60:$AL$60,MATCH(G$7,'Inputs (2)'!$D$2:$AL$2,0)),"")</f>
        <v>7</v>
      </c>
      <c r="H34" s="516">
        <f>IF(COUNT(D34:G34)=4,SUM(D34:G34),"")</f>
        <v>-25</v>
      </c>
      <c r="I34" s="515">
        <f>IFERROR(INDEX('Inputs (2)'!$D$60:$AL$60,MATCH(I$7,'Inputs (2)'!$D$2:$AL$2,0)),"")</f>
        <v>-1</v>
      </c>
      <c r="J34" s="515">
        <f>IFERROR(INDEX('Inputs (2)'!$D$60:$AL$60,MATCH(J$7,'Inputs (2)'!$D$2:$AL$2,0)),"")</f>
        <v>3</v>
      </c>
      <c r="K34" s="515">
        <f>IFERROR(INDEX('Inputs (2)'!$D$60:$AL$60,MATCH(K$7,'Inputs (2)'!$D$2:$AL$2,0)),"")</f>
        <v>2</v>
      </c>
      <c r="L34" s="515">
        <f>IFERROR(INDEX('Inputs (2)'!$D$60:$AL$60,MATCH(L$7,'Inputs (2)'!$D$2:$AL$2,0)),"")</f>
        <v>-5</v>
      </c>
      <c r="M34" s="516">
        <f>IF(COUNT(I34:L34)=4,SUM(I34:L34),"")</f>
        <v>-1</v>
      </c>
      <c r="N34" s="515">
        <f>IFERROR(INDEX('Inputs (2)'!$D$60:$AL$60,MATCH(N$7,'Inputs (2)'!$D$2:$AL$2,0)),"")</f>
        <v>-3</v>
      </c>
      <c r="O34" s="515">
        <f>IFERROR(INDEX('Inputs (2)'!$D$60:$AL$60,MATCH(O$7,'Inputs (2)'!$D$2:$AL$2,0)),"")</f>
        <v>-5</v>
      </c>
      <c r="P34" s="515">
        <f>IFERROR(INDEX('Inputs (2)'!$D$60:$AL$60,MATCH(P$7,'Inputs (2)'!$D$2:$AL$2,0)),"")</f>
        <v>-8</v>
      </c>
      <c r="Q34" s="515">
        <f>IFERROR(INDEX('Inputs (2)'!$D$60:$AL$60,MATCH(Q$7,'Inputs (2)'!$D$2:$AL$2,0)),"")</f>
        <v>-7</v>
      </c>
      <c r="R34" s="516">
        <f>IF(COUNT(N34:Q34)=4,SUM(N34:Q34),"")</f>
        <v>-23</v>
      </c>
      <c r="S34" s="515">
        <f>IFERROR(INDEX('Inputs (2)'!$D$60:$AL$60,MATCH(S$7,'Inputs (2)'!$D$2:$AL$2,0)),"")</f>
        <v>1</v>
      </c>
      <c r="T34" s="515">
        <f>IFERROR(INDEX('Inputs (2)'!$D$60:$AL$60,MATCH(T$7,'Inputs (2)'!$D$2:$AL$2,0)),"")</f>
        <v>7</v>
      </c>
      <c r="U34" s="515">
        <f>IFERROR(INDEX('Inputs (2)'!$D$60:$AL$60,MATCH(U$7,'Inputs (2)'!$D$2:$AL$2,0)),"")</f>
        <v>10</v>
      </c>
      <c r="V34" s="515">
        <f>IFERROR(INDEX('Inputs (2)'!$D$60:$AL$60,MATCH(V$7,'Inputs (2)'!$D$2:$AL$2,0)),"")</f>
        <v>2</v>
      </c>
      <c r="W34" s="516">
        <f>IF(COUNT(S34:V34)=4,SUM(S34:V34),"")</f>
        <v>20</v>
      </c>
      <c r="X34" s="515">
        <f>IFERROR(INDEX('Inputs (2)'!$D$60:$AL$60,MATCH(X$7,'Inputs (2)'!$D$2:$AL$2,0)),"")</f>
        <v>11</v>
      </c>
      <c r="Y34" s="515">
        <f>IFERROR(INDEX('Inputs (2)'!$D$60:$AL$60,MATCH(Y$7,'Inputs (2)'!$D$2:$AL$2,0)),"")</f>
        <v>11</v>
      </c>
      <c r="Z34" s="515">
        <f>IFERROR(INDEX('Inputs (2)'!$D$60:$AL$60,MATCH(Z$7,'Inputs (2)'!$D$2:$AL$2,0)),"")</f>
        <v>7</v>
      </c>
      <c r="AA34" s="515">
        <f>IFERROR(INDEX('Inputs (2)'!$D$60:$AL$60,MATCH(AA$7,'Inputs (2)'!$D$2:$AL$2,0)),"")</f>
        <v>0</v>
      </c>
      <c r="AB34" s="516">
        <f>IF(COUNT(X34:AA34)=4,SUM(X34:AA34),"")</f>
        <v>29</v>
      </c>
      <c r="AC34" s="515">
        <f>IFERROR(INDEX('Inputs (2)'!$D$60:$AL$60,MATCH(AC$7,'Inputs (2)'!$D$2:$AL$2,0)),"")</f>
        <v>9</v>
      </c>
      <c r="AD34" s="515">
        <f>IFERROR(INDEX('Inputs (2)'!$D$60:$AL$60,MATCH(AD$7,'Inputs (2)'!$D$2:$AL$2,0)),"")</f>
        <v>7</v>
      </c>
      <c r="AE34" s="515">
        <f>IFERROR(INDEX('Inputs (2)'!$D$60:$AL$60,MATCH(AE$7,'Inputs (2)'!$D$2:$AL$2,0)),"")</f>
        <v>11</v>
      </c>
      <c r="AF34" s="515">
        <f>IFERROR(INDEX('Inputs (2)'!$D$60:$AL$60,MATCH(AF$7,'Inputs (2)'!$D$2:$AL$2,0)),"")</f>
        <v>4</v>
      </c>
      <c r="AG34" s="516">
        <f>IF(COUNT(AC34:AF34)=4,SUM(AC34:AF34),"")</f>
        <v>31</v>
      </c>
      <c r="AH34" s="516">
        <f>IFERROR(INDEX('Inputs (2)'!$D$60:$AL$60,MATCH(AH$7,'Inputs (2)'!$D$2:$AL$2,0)),"")</f>
        <v>15</v>
      </c>
      <c r="AI34" s="516">
        <f>IFERROR(INDEX('Inputs (2)'!$D$60:$AL$60,MATCH(AI$7,'Inputs (2)'!$D$2:$AL$2,0)),"")</f>
        <v>22</v>
      </c>
    </row>
    <row r="35" s="255">
      <c r="C35" s="275" t="inlineStr">
        <is>
          <t xml:space="preserve">   Atlantic Copper</t>
        </is>
      </c>
      <c r="D35" s="515">
        <f>IFERROR(INDEX('Inputs (2)'!$D$62:$AL$62,MATCH(D$7,'Inputs (2)'!$D$2:$AL$2,0)),"")</f>
        <v>17</v>
      </c>
      <c r="E35" s="515">
        <f>IFERROR(INDEX('Inputs (2)'!$D$62:$AL$62,MATCH(E$7,'Inputs (2)'!$D$2:$AL$2,0)),"")</f>
        <v>8</v>
      </c>
      <c r="F35" s="515">
        <f>IFERROR(INDEX('Inputs (2)'!$D$62:$AL$62,MATCH(F$7,'Inputs (2)'!$D$2:$AL$2,0)),"")</f>
        <v>4</v>
      </c>
      <c r="G35" s="515">
        <f>IFERROR(INDEX('Inputs (2)'!$D$62:$AL$62,MATCH(G$7,'Inputs (2)'!$D$2:$AL$2,0)),"")</f>
        <v>-4</v>
      </c>
      <c r="H35" s="516">
        <f>IF(COUNT(D35:G35)=4,SUM(D35:G35),"")</f>
        <v>25</v>
      </c>
      <c r="I35" s="515">
        <f>IFERROR(INDEX('Inputs (2)'!$D$62:$AL$62,MATCH(I$7,'Inputs (2)'!$D$2:$AL$2,0)),"")</f>
        <v>0</v>
      </c>
      <c r="J35" s="515">
        <f>IFERROR(INDEX('Inputs (2)'!$D$62:$AL$62,MATCH(J$7,'Inputs (2)'!$D$2:$AL$2,0)),"")</f>
        <v>6</v>
      </c>
      <c r="K35" s="515">
        <f>IFERROR(INDEX('Inputs (2)'!$D$62:$AL$62,MATCH(K$7,'Inputs (2)'!$D$2:$AL$2,0)),"")</f>
        <v>6</v>
      </c>
      <c r="L35" s="515">
        <f>IFERROR(INDEX('Inputs (2)'!$D$62:$AL$62,MATCH(L$7,'Inputs (2)'!$D$2:$AL$2,0)),"")</f>
        <v>9</v>
      </c>
      <c r="M35" s="516">
        <f>IF(COUNT(I35:L35)=4,SUM(I35:L35),"")</f>
        <v>21</v>
      </c>
      <c r="N35" s="515">
        <f>IFERROR(INDEX('Inputs (2)'!$D$62:$AL$62,MATCH(N$7,'Inputs (2)'!$D$2:$AL$2,0)),"")</f>
        <v>-18</v>
      </c>
      <c r="O35" s="515">
        <f>IFERROR(INDEX('Inputs (2)'!$D$62:$AL$62,MATCH(O$7,'Inputs (2)'!$D$2:$AL$2,0)),"")</f>
        <v>-41</v>
      </c>
      <c r="P35" s="515">
        <f>IFERROR(INDEX('Inputs (2)'!$D$62:$AL$62,MATCH(P$7,'Inputs (2)'!$D$2:$AL$2,0)),"")</f>
        <v>-9</v>
      </c>
      <c r="Q35" s="515">
        <f>IFERROR(INDEX('Inputs (2)'!$D$62:$AL$62,MATCH(Q$7,'Inputs (2)'!$D$2:$AL$2,0)),"")</f>
        <v>7</v>
      </c>
      <c r="R35" s="516">
        <f>IF(COUNT(N35:Q35)=4,SUM(N35:Q35),"")</f>
        <v>-61</v>
      </c>
      <c r="S35" s="515">
        <f>IFERROR(INDEX('Inputs (2)'!$D$62:$AL$62,MATCH(S$7,'Inputs (2)'!$D$2:$AL$2,0)),"")</f>
        <v>7</v>
      </c>
      <c r="T35" s="515">
        <f>IFERROR(INDEX('Inputs (2)'!$D$62:$AL$62,MATCH(T$7,'Inputs (2)'!$D$2:$AL$2,0)),"")</f>
        <v>9</v>
      </c>
      <c r="U35" s="515">
        <f>IFERROR(INDEX('Inputs (2)'!$D$62:$AL$62,MATCH(U$7,'Inputs (2)'!$D$2:$AL$2,0)),"")</f>
        <v>7</v>
      </c>
      <c r="V35" s="515">
        <f>IFERROR(INDEX('Inputs (2)'!$D$62:$AL$62,MATCH(V$7,'Inputs (2)'!$D$2:$AL$2,0)),"")</f>
        <v>13</v>
      </c>
      <c r="W35" s="516">
        <f>IF(COUNT(S35:V35)=4,SUM(S35:V35),"")</f>
        <v>36</v>
      </c>
      <c r="X35" s="515">
        <f>IFERROR(INDEX('Inputs (2)'!$D$62:$AL$62,MATCH(X$7,'Inputs (2)'!$D$2:$AL$2,0)),"")</f>
        <v>7</v>
      </c>
      <c r="Y35" s="515">
        <f>IFERROR(INDEX('Inputs (2)'!$D$62:$AL$62,MATCH(Y$7,'Inputs (2)'!$D$2:$AL$2,0)),"")</f>
        <v>28</v>
      </c>
      <c r="Z35" s="515">
        <f>IFERROR(INDEX('Inputs (2)'!$D$62:$AL$62,MATCH(Z$7,'Inputs (2)'!$D$2:$AL$2,0)),"")</f>
        <v>-1</v>
      </c>
      <c r="AA35" s="515">
        <f>IFERROR(INDEX('Inputs (2)'!$D$62:$AL$62,MATCH(AA$7,'Inputs (2)'!$D$2:$AL$2,0)),"")</f>
        <v>15</v>
      </c>
      <c r="AB35" s="516">
        <f>IF(COUNT(X35:AA35)=4,SUM(X35:AA35),"")</f>
        <v>49</v>
      </c>
      <c r="AC35" s="515">
        <f>IFERROR(INDEX('Inputs (2)'!$D$62:$AL$62,MATCH(AC$7,'Inputs (2)'!$D$2:$AL$2,0)),"")</f>
        <v>5</v>
      </c>
      <c r="AD35" s="515">
        <f>IFERROR(INDEX('Inputs (2)'!$D$62:$AL$62,MATCH(AD$7,'Inputs (2)'!$D$2:$AL$2,0)),"")</f>
        <v>13</v>
      </c>
      <c r="AE35" s="515">
        <f>IFERROR(INDEX('Inputs (2)'!$D$62:$AL$62,MATCH(AE$7,'Inputs (2)'!$D$2:$AL$2,0)),"")</f>
        <v>7</v>
      </c>
      <c r="AF35" s="515">
        <f>IFERROR(INDEX('Inputs (2)'!$D$62:$AL$62,MATCH(AF$7,'Inputs (2)'!$D$2:$AL$2,0)),"")</f>
        <v>-14</v>
      </c>
      <c r="AG35" s="516">
        <f>IF(COUNT(AC35:AF35)=4,SUM(AC35:AF35),"")</f>
        <v>11</v>
      </c>
      <c r="AH35" s="516">
        <f>IFERROR(INDEX('Inputs (2)'!$D$62:$AL$62,MATCH(AH$7,'Inputs (2)'!$D$2:$AL$2,0)),"")</f>
        <v>22</v>
      </c>
      <c r="AI35" s="516">
        <f>IFERROR(INDEX('Inputs (2)'!$D$62:$AL$62,MATCH(AI$7,'Inputs (2)'!$D$2:$AL$2,0)),"")</f>
        <v>26</v>
      </c>
    </row>
    <row r="36" s="255">
      <c r="C36" s="275" t="inlineStr">
        <is>
          <t xml:space="preserve">   Margem Morenci</t>
        </is>
      </c>
      <c r="D36" s="518">
        <f>IFERROR(D31/D19,"")</f>
        <v>0.103603603603604</v>
      </c>
      <c r="E36" s="518">
        <f>IFERROR(E31/E19,"")</f>
        <v>0.162740899357602</v>
      </c>
      <c r="F36" s="518">
        <f>IFERROR(F31/F19,"")</f>
        <v>0.403061224489796</v>
      </c>
      <c r="G36" s="518">
        <f>IFERROR(G31/G19,"")</f>
        <v>0.447706422018349</v>
      </c>
      <c r="H36" s="519">
        <f>IFERROR(H31/H19,"")</f>
        <v>0.295009784735812</v>
      </c>
      <c r="I36" s="518">
        <f>IFERROR(I31/I19,"")</f>
        <v>0.466549295774648</v>
      </c>
      <c r="J36" s="518">
        <f>IFERROR(J31/J19,"")</f>
        <v>0.494858611825193</v>
      </c>
      <c r="K36" s="518">
        <f>IFERROR(K31/K19,"")</f>
        <v>0.499312242090784</v>
      </c>
      <c r="L36" s="518">
        <f>IFERROR(L31/L19,"")</f>
        <v>0.548168249660787</v>
      </c>
      <c r="M36" s="519">
        <f>IFERROR(M31/M19,"")</f>
        <v>0.504270462633452</v>
      </c>
      <c r="N36" s="518">
        <f>IFERROR(N31/N19,"")</f>
        <v>0.491885143570537</v>
      </c>
      <c r="O36" s="518">
        <f>IFERROR(O31/O19,"")</f>
        <v>0.42570281124498</v>
      </c>
      <c r="P36" s="518">
        <f>IFERROR(P31/P19,"")</f>
        <v>0.202108963093146</v>
      </c>
      <c r="Q36" s="518">
        <f>IFERROR(Q31/Q19,"")</f>
        <v>0.241258741258741</v>
      </c>
      <c r="R36" s="519">
        <f>IFERROR(R31/R19,"")</f>
        <v>0.358869468203793</v>
      </c>
      <c r="S36" s="518">
        <f>IFERROR(S31/S19,"")</f>
        <v>0.3168</v>
      </c>
      <c r="T36" s="518">
        <f>IFERROR(T31/T19,"")</f>
        <v>0.213087248322148</v>
      </c>
      <c r="U36" s="518">
        <f>IFERROR(U31/U19,"")</f>
        <v>0.174726989079563</v>
      </c>
      <c r="V36" s="518">
        <f>IFERROR(V31/V19,"")</f>
        <v>0.122082585278276</v>
      </c>
      <c r="W36" s="519">
        <f>IFERROR(W31/W19,"")</f>
        <v>0.2087639520463</v>
      </c>
      <c r="X36" s="518">
        <f>IFERROR(X31/X19,"")</f>
        <v>0.114384748700173</v>
      </c>
      <c r="Y36" s="518">
        <f>IFERROR(Y31/Y19,"")</f>
        <v>0.185</v>
      </c>
      <c r="Z36" s="518">
        <f>IFERROR(Z31/Z19,"")</f>
        <v>0.0843170320404722</v>
      </c>
      <c r="AA36" s="518">
        <f>IFERROR(AA31/AA19,"")</f>
        <v>0.152512998266898</v>
      </c>
      <c r="AB36" s="519">
        <f>IFERROR(AB31/AB19,"")</f>
        <v>0.134213890072433</v>
      </c>
      <c r="AC36" s="518">
        <f>IFERROR(AC31/AC19,"")</f>
        <v>0.188908145580589</v>
      </c>
      <c r="AD36" s="518">
        <f>IFERROR(AD31/AD19,"")</f>
        <v>0.212218649517685</v>
      </c>
      <c r="AE36" s="518">
        <f>IFERROR(AE31/AE19,"")</f>
        <v>0.19170243204578</v>
      </c>
      <c r="AF36" s="518">
        <f>IFERROR(AF31/AF19,"")</f>
        <v>0.309333333333333</v>
      </c>
      <c r="AG36" s="519">
        <f>IFERROR(AG31/AG19,"")</f>
        <v>0.229229607250755</v>
      </c>
      <c r="AH36" s="519">
        <f>IFERROR(AH31/AH19,"")</f>
        <v>0.337628865979381</v>
      </c>
      <c r="AI36" s="519">
        <f>IFERROR(AI31/AI19,"")</f>
        <v>0.350529100529101</v>
      </c>
    </row>
    <row r="37" s="255">
      <c r="C37" s="275" t="inlineStr">
        <is>
          <t xml:space="preserve">   Margem Cerro Verde</t>
        </is>
      </c>
      <c r="D37" s="518">
        <f>IFERROR(D32/D20,"")</f>
        <v>-0.253623188405797</v>
      </c>
      <c r="E37" s="518">
        <f>IFERROR(E32/E20,"")</f>
        <v>0.191204588910134</v>
      </c>
      <c r="F37" s="518">
        <f>IFERROR(F32/F20,"")</f>
        <v>0.300859598853868</v>
      </c>
      <c r="G37" s="518">
        <f>IFERROR(G32/G20,"")</f>
        <v>0.390326209223847</v>
      </c>
      <c r="H37" s="519">
        <f>IFERROR(H32/H20,"")</f>
        <v>0.218700475435816</v>
      </c>
      <c r="I37" s="518">
        <f>IFERROR(I32/I20,"")</f>
        <v>0.452182952182952</v>
      </c>
      <c r="J37" s="518">
        <f>IFERROR(J32/J20,"")</f>
        <v>0.388359788359788</v>
      </c>
      <c r="K37" s="518">
        <f>IFERROR(K32/K20,"")</f>
        <v>0.407821229050279</v>
      </c>
      <c r="L37" s="518">
        <f>IFERROR(L32/L20,"")</f>
        <v>0.479012345679012</v>
      </c>
      <c r="M37" s="519">
        <f>IFERROR(M32/M20,"")</f>
        <v>0.434223069590086</v>
      </c>
      <c r="N37" s="518">
        <f>IFERROR(N32/N20,"")</f>
        <v>0.467051070840198</v>
      </c>
      <c r="O37" s="518">
        <f>IFERROR(O32/O20,"")</f>
        <v>0.202153110047847</v>
      </c>
      <c r="P37" s="518">
        <f>IFERROR(P32/P20,"")</f>
        <v>0.109479305740988</v>
      </c>
      <c r="Q37" s="518">
        <f>IFERROR(Q32/Q20,"")</f>
        <v>0.345786272806255</v>
      </c>
      <c r="R37" s="519">
        <f>IFERROR(R32/R20,"")</f>
        <v>0.307848101265823</v>
      </c>
      <c r="S37" s="518">
        <f>IFERROR(S32/S20,"")</f>
        <v>0.405990016638935</v>
      </c>
      <c r="T37" s="518">
        <f>IFERROR(T32/T20,"")</f>
        <v>0.236951983298539</v>
      </c>
      <c r="U37" s="518">
        <f>IFERROR(U32/U20,"")</f>
        <v>0.281460134486071</v>
      </c>
      <c r="V37" s="518">
        <f>IFERROR(V32/V20,"")</f>
        <v>0.185589519650655</v>
      </c>
      <c r="W37" s="519">
        <f>IFERROR(W32/W20,"")</f>
        <v>0.286130677677921</v>
      </c>
      <c r="X37" s="518">
        <f>IFERROR(X32/X20,"")</f>
        <v>0.245689655172414</v>
      </c>
      <c r="Y37" s="518">
        <f>IFERROR(Y32/Y20,"")</f>
        <v>0.378679395385839</v>
      </c>
      <c r="Z37" s="518">
        <f>IFERROR(Z32/Z20,"")</f>
        <v>0.326227988878591</v>
      </c>
      <c r="AA37" s="518">
        <f>IFERROR(AA32/AA20,"")</f>
        <v>0.273185483870968</v>
      </c>
      <c r="AB37" s="519">
        <f>IFERROR(AB32/AB20,"")</f>
        <v>0.311795112781955</v>
      </c>
      <c r="AC37" s="518">
        <f>IFERROR(AC32/AC20,"")</f>
        <v>0.374885426214482</v>
      </c>
      <c r="AD37" s="518">
        <f>IFERROR(AD32/AD20,"")</f>
        <v>0.33041788143829</v>
      </c>
      <c r="AE37" s="518">
        <f>IFERROR(AE32/AE20,"")</f>
        <v>0.387551867219917</v>
      </c>
      <c r="AF37" s="518">
        <f>IFERROR(AF32/AF20,"")</f>
        <v>0.435916002896452</v>
      </c>
      <c r="AG37" s="519">
        <f>IFERROR(AG32/AG20,"")</f>
        <v>0.386315342116447</v>
      </c>
      <c r="AH37" s="519">
        <f>IFERROR(AH32/AH20,"")</f>
        <v>0.461984069514844</v>
      </c>
      <c r="AI37" s="519">
        <f>IFERROR(AI32/AI20,"")</f>
        <v>0.494956287827841</v>
      </c>
    </row>
    <row r="38" s="255">
      <c r="C38" s="275" t="inlineStr">
        <is>
          <t xml:space="preserve">   Margem Grasberg (Indonésia)</t>
        </is>
      </c>
      <c r="D38" s="518">
        <f>IFERROR(D33/D21,"")</f>
        <v>-0.0606741573033708</v>
      </c>
      <c r="E38" s="518">
        <f>IFERROR(E33/E21,"")</f>
        <v>0.261838440111421</v>
      </c>
      <c r="F38" s="518">
        <f>IFERROR(F33/F21,"")</f>
        <v>0.430799220272904</v>
      </c>
      <c r="G38" s="518">
        <f>IFERROR(G33/G21,"")</f>
        <v>0.503157894736842</v>
      </c>
      <c r="H38" s="519">
        <f>IFERROR(H33/H21,"")</f>
        <v>0.36524626452684</v>
      </c>
      <c r="I38" s="518">
        <f>IFERROR(I33/I21,"")</f>
        <v>0.526132404181185</v>
      </c>
      <c r="J38" s="518">
        <f>IFERROR(J33/J21,"")</f>
        <v>0.556661138750691</v>
      </c>
      <c r="K38" s="518">
        <f>IFERROR(K33/K21,"")</f>
        <v>0.570519098922625</v>
      </c>
      <c r="L38" s="518">
        <f>IFERROR(L33/L21,"")</f>
        <v>0.451944568618686</v>
      </c>
      <c r="M38" s="519">
        <f>IFERROR(M33/M21,"")</f>
        <v>0.523461385085737</v>
      </c>
      <c r="N38" s="518">
        <f>IFERROR(N33/N21,"")</f>
        <v>0.625207986688852</v>
      </c>
      <c r="O38" s="518">
        <f>IFERROR(O33/O21,"")</f>
        <v>0.567239635995956</v>
      </c>
      <c r="P38" s="518">
        <f>IFERROR(P33/P21,"")</f>
        <v>0.469410456062291</v>
      </c>
      <c r="Q38" s="518">
        <f>IFERROR(Q33/Q21,"")</f>
        <v>0.503561887800534</v>
      </c>
      <c r="R38" s="519">
        <f>IFERROR(R33/R21,"")</f>
        <v>0.545929266555899</v>
      </c>
      <c r="S38" s="518">
        <f>IFERROR(S33/S21,"")</f>
        <v>0.624269005847953</v>
      </c>
      <c r="T38" s="518">
        <f>IFERROR(T33/T21,"")</f>
        <v>0.478766204738489</v>
      </c>
      <c r="U38" s="518">
        <f>IFERROR(U33/U21,"")</f>
        <v>0.534606205250597</v>
      </c>
      <c r="V38" s="518">
        <f>IFERROR(V33/V21,"")</f>
        <v>0.610887833394227</v>
      </c>
      <c r="W38" s="519">
        <f>IFERROR(W33/W21,"")</f>
        <v>0.559084982813796</v>
      </c>
      <c r="X38" s="518">
        <f>IFERROR(X33/X21,"")</f>
        <v>0.564955752212389</v>
      </c>
      <c r="Y38" s="518">
        <f>IFERROR(Y33/Y21,"")</f>
        <v>0.579365079365079</v>
      </c>
      <c r="Z38" s="518">
        <f>IFERROR(Z33/Z21,"")</f>
        <v>0.56673373574782</v>
      </c>
      <c r="AA38" s="518">
        <f>IFERROR(AA33/AA21,"")</f>
        <v>0.455639768167633</v>
      </c>
      <c r="AB38" s="519">
        <f>IFERROR(AB33/AB21,"")</f>
        <v>0.544873037410351</v>
      </c>
      <c r="AC38" s="518">
        <f>IFERROR(AC33/AC21,"")</f>
        <v>0.494904458598726</v>
      </c>
      <c r="AD38" s="518">
        <f>IFERROR(AD33/AD21,"")</f>
        <v>0.546678372841674</v>
      </c>
      <c r="AE38" s="518">
        <f>IFERROR(AE33/AE21,"")</f>
        <v>0.479252336448598</v>
      </c>
      <c r="AF38" s="518">
        <f>IFERROR(AF33/AF21,"")</f>
        <v>-0.090625</v>
      </c>
      <c r="AG38" s="519">
        <f>IFERROR(AG33/AG21,"")</f>
        <v>0.445372303409882</v>
      </c>
      <c r="AH38" s="519">
        <f>IFERROR(AH33/AH21,"")</f>
        <v>0.78544776119403</v>
      </c>
      <c r="AI38" s="519">
        <f>IFERROR(AI33/AI21,"")</f>
        <v>0.336480107889413</v>
      </c>
    </row>
    <row r="39" s="255">
      <c r="C39" s="275" t="inlineStr">
        <is>
          <t xml:space="preserve">   Margem Rod &amp; Refining</t>
        </is>
      </c>
      <c r="D39" s="518">
        <f>IFERROR(D34/D22,"")</f>
        <v>0.000890471950133571</v>
      </c>
      <c r="E39" s="518">
        <f>IFERROR(E34/E22,"")</f>
        <v>-0.0278276481149013</v>
      </c>
      <c r="F39" s="518">
        <f>IFERROR(F34/F22,"")</f>
        <v>-0.00156494522691706</v>
      </c>
      <c r="G39" s="518">
        <f>IFERROR(G34/G22,"")</f>
        <v>0.00538876058506544</v>
      </c>
      <c r="H39" s="519">
        <f>IFERROR(H34/H22,"")</f>
        <v>-0.00519318653926049</v>
      </c>
      <c r="I39" s="518">
        <f>IFERROR(I34/I22,"")</f>
        <v>-0.000759878419452888</v>
      </c>
      <c r="J39" s="518">
        <f>IFERROR(J34/J22,"")</f>
        <v>0.00176991150442478</v>
      </c>
      <c r="K39" s="518">
        <f>IFERROR(K34/K22,"")</f>
        <v>0.00117370892018779</v>
      </c>
      <c r="L39" s="518">
        <f>IFERROR(L34/L22,"")</f>
        <v>-0.0029940119760479</v>
      </c>
      <c r="M39" s="519">
        <f>IFERROR(M34/M22,"")</f>
        <v>-0.000156617071260767</v>
      </c>
      <c r="N39" s="518">
        <f>IFERROR(N34/N22,"")</f>
        <v>-0.00171232876712329</v>
      </c>
      <c r="O39" s="518">
        <f>IFERROR(O34/O22,"")</f>
        <v>-0.00283929585462805</v>
      </c>
      <c r="P39" s="518">
        <f>IFERROR(P34/P22,"")</f>
        <v>-0.00554400554400554</v>
      </c>
      <c r="Q39" s="518">
        <f>IFERROR(Q34/Q22,"")</f>
        <v>-0.00516224188790561</v>
      </c>
      <c r="R39" s="519">
        <f>IFERROR(R34/R22,"")</f>
        <v>-0.00364385297845374</v>
      </c>
      <c r="S39" s="518">
        <f>IFERROR(S34/S22,"")</f>
        <v>0.00065402223675605</v>
      </c>
      <c r="T39" s="518">
        <f>IFERROR(T34/T22,"")</f>
        <v>0.00475220638153428</v>
      </c>
      <c r="U39" s="518">
        <f>IFERROR(U34/U22,"")</f>
        <v>0.00633713561470215</v>
      </c>
      <c r="V39" s="518">
        <f>IFERROR(V34/V22,"")</f>
        <v>0.00148588410104012</v>
      </c>
      <c r="W39" s="519">
        <f>IFERROR(W34/W22,"")</f>
        <v>0.00337495781302734</v>
      </c>
      <c r="X39" s="518">
        <f>IFERROR(X34/X22,"")</f>
        <v>0.00733822548365577</v>
      </c>
      <c r="Y39" s="518">
        <f>IFERROR(Y34/Y22,"")</f>
        <v>0.00645539906103286</v>
      </c>
      <c r="Z39" s="518">
        <f>IFERROR(Z34/Z22,"")</f>
        <v>0.00445576066199873</v>
      </c>
      <c r="AA39" s="518">
        <f>IFERROR(AA34/AA22,"")</f>
        <v>0</v>
      </c>
      <c r="AB39" s="519">
        <f>IFERROR(AB34/AB22,"")</f>
        <v>0.00464818079820484</v>
      </c>
      <c r="AC39" s="518">
        <f>IFERROR(AC34/AC22,"")</f>
        <v>0.00551470588235294</v>
      </c>
      <c r="AD39" s="518">
        <f>IFERROR(AD34/AD22,"")</f>
        <v>0.00411522633744856</v>
      </c>
      <c r="AE39" s="518">
        <f>IFERROR(AE34/AE22,"")</f>
        <v>0.00615901455767077</v>
      </c>
      <c r="AF39" s="518">
        <f>IFERROR(AF34/AF22,"")</f>
        <v>0.00222222222222222</v>
      </c>
      <c r="AG39" s="519">
        <f>IFERROR(AG34/AG22,"")</f>
        <v>0.00448041624512213</v>
      </c>
      <c r="AH39" s="519">
        <f>IFERROR(AH34/AH22,"")</f>
        <v>0.007274490785645</v>
      </c>
      <c r="AI39" s="519">
        <f>IFERROR(AI34/AI22,"")</f>
        <v>0.00982581509602501</v>
      </c>
    </row>
    <row r="40" s="255">
      <c r="C40" s="275" t="inlineStr">
        <is>
          <t xml:space="preserve">   Margem Atlantic Copper</t>
        </is>
      </c>
      <c r="D40" s="518">
        <f>IFERROR(D35/D23,"")</f>
        <v>0.0386363636363636</v>
      </c>
      <c r="E40" s="518">
        <f>IFERROR(E35/E23,"")</f>
        <v>0.0171673819742489</v>
      </c>
      <c r="F40" s="518">
        <f>IFERROR(F35/F23,"")</f>
        <v>0.00742115027829314</v>
      </c>
      <c r="G40" s="518">
        <f>IFERROR(G35/G23,"")</f>
        <v>-0.00675675675675676</v>
      </c>
      <c r="H40" s="519">
        <f>IFERROR(H35/H23,"")</f>
        <v>0.0122729504172803</v>
      </c>
      <c r="I40" s="518">
        <f>IFERROR(I35/I23,"")</f>
        <v>0</v>
      </c>
      <c r="J40" s="518">
        <f>IFERROR(J35/J23,"")</f>
        <v>0.00755667506297229</v>
      </c>
      <c r="K40" s="518">
        <f>IFERROR(K35/K23,"")</f>
        <v>0.00766283524904215</v>
      </c>
      <c r="L40" s="518">
        <f>IFERROR(L35/L23,"")</f>
        <v>0.0129124820659971</v>
      </c>
      <c r="M40" s="519">
        <f>IFERROR(M35/M23,"")</f>
        <v>0.00709219858156028</v>
      </c>
      <c r="N40" s="518">
        <f>IFERROR(N35/N23,"")</f>
        <v>-0.0250696378830084</v>
      </c>
      <c r="O40" s="518">
        <f>IFERROR(O35/O23,"")</f>
        <v>-0.0946882217090069</v>
      </c>
      <c r="P40" s="518">
        <f>IFERROR(P35/P23,"")</f>
        <v>-0.0147783251231527</v>
      </c>
      <c r="Q40" s="518">
        <f>IFERROR(Q35/Q23,"")</f>
        <v>0.0102489019033675</v>
      </c>
      <c r="R40" s="519">
        <f>IFERROR(R35/R23,"")</f>
        <v>-0.0249693000409333</v>
      </c>
      <c r="S40" s="518">
        <f>IFERROR(S35/S23,"")</f>
        <v>0.00925925925925926</v>
      </c>
      <c r="T40" s="518">
        <f>IFERROR(T35/T23,"")</f>
        <v>0.0120320855614973</v>
      </c>
      <c r="U40" s="518">
        <f>IFERROR(U35/U23,"")</f>
        <v>0.01</v>
      </c>
      <c r="V40" s="518">
        <f>IFERROR(V35/V23,"")</f>
        <v>0.0214521452145215</v>
      </c>
      <c r="W40" s="519">
        <f>IFERROR(W35/W23,"")</f>
        <v>0.0128113879003559</v>
      </c>
      <c r="X40" s="518">
        <f>IFERROR(X35/X23,"")</f>
        <v>0.0104011887072808</v>
      </c>
      <c r="Y40" s="518">
        <f>IFERROR(Y35/Y23,"")</f>
        <v>0.0311111111111111</v>
      </c>
      <c r="Z40" s="518">
        <f>IFERROR(Z35/Z23,"")</f>
        <v>-0.00130718954248366</v>
      </c>
      <c r="AA40" s="518">
        <f>IFERROR(AA35/AA23,"")</f>
        <v>0.0220913107511046</v>
      </c>
      <c r="AB40" s="519">
        <f>IFERROR(AB35/AB23,"")</f>
        <v>0.0162412993039443</v>
      </c>
      <c r="AC40" s="518">
        <f>IFERROR(AC35/AC23,"")</f>
        <v>0.00662251655629139</v>
      </c>
      <c r="AD40" s="518">
        <f>IFERROR(AD35/AD23,"")</f>
        <v>0.0158924205378973</v>
      </c>
      <c r="AE40" s="518">
        <f>IFERROR(AE35/AE23,"")</f>
        <v>0.00904392764857881</v>
      </c>
      <c r="AF40" s="518">
        <f>IFERROR(AF35/AF23,"")</f>
        <v>-0.0167865707434053</v>
      </c>
      <c r="AG40" s="519">
        <f>IFERROR(AG35/AG23,"")</f>
        <v>0.00345803206538824</v>
      </c>
      <c r="AH40" s="519">
        <f>IFERROR(AH35/AH23,"")</f>
        <v>0.022703818369453</v>
      </c>
      <c r="AI40" s="519">
        <f>IFERROR(AI35/AI23,"")</f>
        <v>0.0252427184466019</v>
      </c>
    </row>
    <row r="41" s="255"/>
    <row r="42" s="255"/>
    <row r="43" s="255"/>
    <row r="44" hidden="1" outlineLevel="1" ht="12.75" customFormat="1" customHeight="1" s="291">
      <c r="A44" s="292" t="n"/>
      <c r="B44" s="293" t="n"/>
      <c r="C44" s="300" t="n"/>
      <c r="D44" s="295" t="n"/>
      <c r="E44" s="295" t="n"/>
      <c r="F44" s="295" t="n"/>
      <c r="G44" s="295" t="n"/>
      <c r="H44" s="295" t="n"/>
      <c r="I44" s="295" t="n"/>
      <c r="J44" s="295" t="n"/>
      <c r="K44" s="295" t="n"/>
      <c r="L44" s="295" t="n"/>
      <c r="M44" s="295" t="n"/>
      <c r="N44" s="295" t="n"/>
      <c r="O44" s="295" t="n"/>
      <c r="P44" s="295" t="n"/>
      <c r="Q44" s="295" t="n"/>
      <c r="R44" s="295" t="n"/>
      <c r="S44" s="295" t="n"/>
      <c r="T44" s="295" t="n"/>
      <c r="U44" s="295" t="n"/>
      <c r="V44" s="295" t="n"/>
      <c r="W44" s="295" t="n"/>
      <c r="X44" s="295" t="n"/>
      <c r="Y44" s="295" t="n"/>
      <c r="Z44" s="295" t="n"/>
      <c r="AA44" s="295" t="n"/>
      <c r="AB44" s="295" t="n"/>
      <c r="AC44" s="295" t="n"/>
      <c r="AD44" s="295" t="n"/>
      <c r="AE44" s="295" t="n"/>
      <c r="AF44" s="295" t="n"/>
      <c r="AG44" s="295" t="n"/>
      <c r="AH44" s="295" t="n"/>
      <c r="AI44" s="295" t="n"/>
      <c r="AJ44" s="295" t="n"/>
      <c r="AK44" s="295" t="n"/>
      <c r="AL44" s="295" t="n"/>
      <c r="AM44" s="295" t="n"/>
      <c r="AN44" s="295" t="n"/>
      <c r="AO44" s="295" t="n"/>
      <c r="AP44" s="295" t="n"/>
      <c r="AQ44" s="295" t="n"/>
      <c r="AR44" s="295" t="n"/>
      <c r="AS44" s="295" t="n"/>
      <c r="AT44" s="295" t="n"/>
      <c r="AU44" s="295" t="n"/>
      <c r="AV44" s="295" t="n"/>
      <c r="AW44" s="295" t="n"/>
      <c r="AX44" s="295" t="n"/>
      <c r="AY44" s="295" t="n"/>
      <c r="AZ44" s="295" t="n"/>
      <c r="BA44" s="295" t="n"/>
      <c r="BB44" s="295" t="n"/>
      <c r="BC44" s="295" t="n"/>
      <c r="BD44" s="295" t="n"/>
      <c r="BE44" s="295" t="n"/>
      <c r="BF44" s="295" t="n"/>
      <c r="BG44" s="295" t="n"/>
      <c r="BH44" s="295" t="n"/>
      <c r="BI44" s="295" t="n"/>
      <c r="BJ44" s="295" t="n"/>
      <c r="BK44" s="295" t="n"/>
      <c r="BL44" s="295" t="n"/>
      <c r="BM44" s="295" t="n"/>
      <c r="BN44" s="295" t="n"/>
      <c r="BO44" s="295" t="n"/>
      <c r="BP44" s="295" t="n"/>
      <c r="BQ44" s="295" t="n"/>
      <c r="BR44" s="295" t="n"/>
      <c r="BS44" s="295" t="n"/>
      <c r="BT44" s="295" t="n"/>
      <c r="BU44" s="295" t="n"/>
      <c r="BV44" s="295" t="n"/>
      <c r="BW44" s="295" t="n"/>
      <c r="BX44" s="295" t="n"/>
      <c r="BY44" s="295" t="n"/>
      <c r="BZ44" s="295" t="n"/>
      <c r="CA44" s="295" t="n"/>
      <c r="CB44" s="295" t="n"/>
      <c r="CC44" s="295" t="n"/>
      <c r="CD44" s="295" t="n"/>
      <c r="CE44" s="295" t="n"/>
      <c r="CF44" s="295" t="n"/>
      <c r="CG44" s="295" t="n"/>
      <c r="CH44" s="295" t="n"/>
      <c r="CI44" s="295" t="n"/>
      <c r="CJ44" s="295" t="n"/>
      <c r="CK44" s="295" t="n"/>
      <c r="CL44" s="295" t="n"/>
      <c r="CM44" s="295" t="n"/>
      <c r="CN44" s="295" t="n"/>
      <c r="CO44" s="295" t="n"/>
      <c r="CP44" s="295" t="n"/>
      <c r="CQ44" s="295" t="n"/>
      <c r="CR44" s="295" t="n"/>
      <c r="CS44" s="295" t="n"/>
      <c r="CT44" s="295" t="n"/>
      <c r="CU44" s="295" t="n"/>
      <c r="CV44" s="295" t="n"/>
      <c r="CW44" s="295" t="n"/>
      <c r="CX44" s="295" t="n"/>
      <c r="CY44" s="295" t="n"/>
    </row>
    <row r="45" hidden="1" outlineLevel="1" ht="12.75" customFormat="1" customHeight="1" s="291">
      <c r="A45" s="292" t="n"/>
      <c r="B45" s="293" t="n"/>
      <c r="C45" s="300" t="n"/>
      <c r="D45" s="295" t="n"/>
      <c r="E45" s="295" t="n"/>
      <c r="F45" s="295" t="n"/>
      <c r="G45" s="295" t="n"/>
      <c r="H45" s="295" t="n"/>
      <c r="I45" s="295" t="n"/>
      <c r="J45" s="295" t="n"/>
      <c r="K45" s="295" t="n"/>
      <c r="L45" s="295" t="n"/>
      <c r="M45" s="295" t="n"/>
      <c r="N45" s="295" t="n"/>
      <c r="O45" s="295" t="n"/>
      <c r="P45" s="295" t="n"/>
      <c r="Q45" s="295" t="n"/>
      <c r="R45" s="295" t="n"/>
      <c r="S45" s="295" t="n"/>
      <c r="T45" s="295" t="n"/>
      <c r="U45" s="295" t="n"/>
      <c r="V45" s="295" t="n"/>
      <c r="W45" s="295" t="n"/>
      <c r="X45" s="295" t="n"/>
      <c r="Y45" s="295" t="n"/>
      <c r="Z45" s="295" t="n"/>
      <c r="AA45" s="295" t="n"/>
      <c r="AB45" s="295" t="n"/>
      <c r="AC45" s="295" t="n"/>
      <c r="AD45" s="295" t="n"/>
      <c r="AE45" s="295" t="n"/>
      <c r="AF45" s="295" t="n"/>
      <c r="AG45" s="295" t="n"/>
      <c r="AH45" s="295" t="n"/>
      <c r="AI45" s="295" t="n"/>
      <c r="AJ45" s="295" t="n"/>
      <c r="AK45" s="295" t="n"/>
      <c r="AL45" s="295" t="n"/>
      <c r="AM45" s="295" t="n"/>
      <c r="AN45" s="295" t="n"/>
      <c r="AO45" s="295" t="n"/>
      <c r="AP45" s="295" t="n"/>
      <c r="AQ45" s="295" t="n"/>
      <c r="AR45" s="295" t="n"/>
      <c r="AS45" s="295" t="n"/>
      <c r="AT45" s="295" t="n"/>
      <c r="AU45" s="295" t="n"/>
      <c r="AV45" s="295" t="n"/>
      <c r="AW45" s="295" t="n"/>
      <c r="AX45" s="295" t="n"/>
      <c r="AY45" s="295" t="n"/>
      <c r="AZ45" s="295" t="n"/>
      <c r="BA45" s="295" t="n"/>
      <c r="BB45" s="295" t="n"/>
      <c r="BC45" s="295" t="n"/>
      <c r="BD45" s="295" t="n"/>
      <c r="BE45" s="295" t="n"/>
      <c r="BF45" s="295" t="n"/>
      <c r="BG45" s="295" t="n"/>
      <c r="BH45" s="295" t="n"/>
      <c r="BI45" s="295" t="n"/>
      <c r="BJ45" s="295" t="n"/>
      <c r="BK45" s="295" t="n"/>
      <c r="BL45" s="295" t="n"/>
      <c r="BM45" s="295" t="n"/>
      <c r="BN45" s="295" t="n"/>
      <c r="BO45" s="295" t="n"/>
      <c r="BP45" s="295" t="n"/>
      <c r="BQ45" s="295" t="n"/>
      <c r="BR45" s="295" t="n"/>
      <c r="BS45" s="295" t="n"/>
      <c r="BT45" s="295" t="n"/>
      <c r="BU45" s="295" t="n"/>
      <c r="BV45" s="295" t="n"/>
      <c r="BW45" s="295" t="n"/>
      <c r="BX45" s="295" t="n"/>
      <c r="BY45" s="295" t="n"/>
      <c r="BZ45" s="295" t="n"/>
      <c r="CA45" s="295" t="n"/>
      <c r="CB45" s="295" t="n"/>
      <c r="CC45" s="295" t="n"/>
      <c r="CD45" s="295" t="n"/>
      <c r="CE45" s="295" t="n"/>
      <c r="CF45" s="295" t="n"/>
      <c r="CG45" s="295" t="n"/>
      <c r="CH45" s="295" t="n"/>
      <c r="CI45" s="295" t="n"/>
      <c r="CJ45" s="295" t="n"/>
      <c r="CK45" s="295" t="n"/>
      <c r="CL45" s="295" t="n"/>
      <c r="CM45" s="295" t="n"/>
      <c r="CN45" s="295" t="n"/>
      <c r="CO45" s="295" t="n"/>
      <c r="CP45" s="295" t="n"/>
      <c r="CQ45" s="295" t="n"/>
      <c r="CR45" s="295" t="n"/>
      <c r="CS45" s="295" t="n"/>
      <c r="CT45" s="295" t="n"/>
      <c r="CU45" s="295" t="n"/>
      <c r="CV45" s="295" t="n"/>
      <c r="CW45" s="295" t="n"/>
      <c r="CX45" s="295" t="n"/>
      <c r="CY45" s="295" t="n"/>
    </row>
    <row r="46" ht="12.75" customHeight="1" s="255">
      <c r="C46" s="269" t="inlineStr">
        <is>
          <t>COGS (cash)</t>
        </is>
      </c>
      <c r="D46" s="301">
        <f>INDEX('Inputs (2)'!$D$5:$AL$5,MATCH(D$7,'Inputs (2)'!$D$2:$AL$2,0))</f>
        <v>-2767</v>
      </c>
      <c r="E46" s="301">
        <f>INDEX('Inputs (2)'!$D$5:$AL$5,MATCH(E$7,'Inputs (2)'!$D$2:$AL$2,0))</f>
        <v>-2255</v>
      </c>
      <c r="F46" s="301">
        <f>INDEX('Inputs (2)'!$D$5:$AL$5,MATCH(F$7,'Inputs (2)'!$D$2:$AL$2,0))</f>
        <v>-2474</v>
      </c>
      <c r="G46" s="301">
        <f>INDEX('Inputs (2)'!$D$5:$AL$5,MATCH(G$7,'Inputs (2)'!$D$2:$AL$2,0))</f>
        <v>-2631</v>
      </c>
      <c r="H46" s="268">
        <f>SUM(D46:G46)</f>
        <v>-10127</v>
      </c>
      <c r="I46" s="301">
        <f>INDEX('Inputs (2)'!$D$5:$AL$5,MATCH(I$7,'Inputs (2)'!$D$2:$AL$2,0))</f>
        <v>-2787</v>
      </c>
      <c r="J46" s="301">
        <f>INDEX('Inputs (2)'!$D$5:$AL$5,MATCH(J$7,'Inputs (2)'!$D$2:$AL$2,0))</f>
        <v>-3067</v>
      </c>
      <c r="K46" s="301">
        <f>INDEX('Inputs (2)'!$D$5:$AL$5,MATCH(K$7,'Inputs (2)'!$D$2:$AL$2,0))</f>
        <v>-3023</v>
      </c>
      <c r="L46" s="301">
        <f>INDEX('Inputs (2)'!$D$5:$AL$5,MATCH(L$7,'Inputs (2)'!$D$2:$AL$2,0))</f>
        <v>-3155</v>
      </c>
      <c r="M46" s="268">
        <f>SUM(I46:L46)</f>
        <v>-12032</v>
      </c>
      <c r="N46" s="301">
        <f>INDEX('Inputs (2)'!$D$5:$AL$5,MATCH(N$7,'Inputs (2)'!$D$2:$AL$2,0))</f>
        <v>-3150</v>
      </c>
      <c r="O46" s="301">
        <f>INDEX('Inputs (2)'!$D$5:$AL$5,MATCH(O$7,'Inputs (2)'!$D$2:$AL$2,0))</f>
        <v>-3021</v>
      </c>
      <c r="P46" s="301">
        <f>INDEX('Inputs (2)'!$D$5:$AL$5,MATCH(P$7,'Inputs (2)'!$D$2:$AL$2,0))</f>
        <v>-3391</v>
      </c>
      <c r="Q46" s="301">
        <f>INDEX('Inputs (2)'!$D$5:$AL$5,MATCH(Q$7,'Inputs (2)'!$D$2:$AL$2,0))</f>
        <v>-3508</v>
      </c>
      <c r="R46" s="268">
        <f>SUM(N46:Q46)</f>
        <v>-13070</v>
      </c>
      <c r="S46" s="301">
        <f>INDEX('Inputs (2)'!$D$5:$AL$5,MATCH(S$7,'Inputs (2)'!$D$2:$AL$2,0))</f>
        <v>-3165</v>
      </c>
      <c r="T46" s="301">
        <f>INDEX('Inputs (2)'!$D$5:$AL$5,MATCH(T$7,'Inputs (2)'!$D$2:$AL$2,0))</f>
        <v>-3549</v>
      </c>
      <c r="U46" s="301">
        <f>INDEX('Inputs (2)'!$D$5:$AL$5,MATCH(U$7,'Inputs (2)'!$D$2:$AL$2,0))</f>
        <v>-3553</v>
      </c>
      <c r="V46" s="301">
        <f>INDEX('Inputs (2)'!$D$5:$AL$5,MATCH(V$7,'Inputs (2)'!$D$2:$AL$2,0))</f>
        <v>-3360</v>
      </c>
      <c r="W46" s="268">
        <f>SUM(S46:V46)</f>
        <v>-13627</v>
      </c>
      <c r="X46" s="301">
        <f>INDEX('Inputs (2)'!$D$5:$AL$5,MATCH(X$7,'Inputs (2)'!$D$2:$AL$2,0))</f>
        <v>-3844</v>
      </c>
      <c r="Y46" s="301">
        <f>INDEX('Inputs (2)'!$D$5:$AL$5,MATCH(Y$7,'Inputs (2)'!$D$2:$AL$2,0))</f>
        <v>-3875</v>
      </c>
      <c r="Z46" s="301">
        <f>INDEX('Inputs (2)'!$D$5:$AL$5,MATCH(Z$7,'Inputs (2)'!$D$2:$AL$2,0))</f>
        <v>-4077</v>
      </c>
      <c r="AA46" s="301">
        <f>INDEX('Inputs (2)'!$D$5:$AL$5,MATCH(AA$7,'Inputs (2)'!$D$2:$AL$2,0))</f>
        <v>-3758</v>
      </c>
      <c r="AB46" s="268">
        <f>SUM(X46:AA46)</f>
        <v>-15554</v>
      </c>
      <c r="AC46" s="301">
        <f>INDEX('Inputs (2)'!$D$5:$AL$5,MATCH(AC$7,'Inputs (2)'!$D$2:$AL$2,0))</f>
        <v>-3756</v>
      </c>
      <c r="AD46" s="301">
        <f>INDEX('Inputs (2)'!$D$5:$AL$5,MATCH(AD$7,'Inputs (2)'!$D$2:$AL$2,0))</f>
        <v>-4282</v>
      </c>
      <c r="AE46" s="301">
        <f>INDEX('Inputs (2)'!$D$5:$AL$5,MATCH(AE$7,'Inputs (2)'!$D$2:$AL$2,0))</f>
        <v>-4205</v>
      </c>
      <c r="AF46" s="301">
        <f>INDEX('Inputs (2)'!$D$5:$AL$5,MATCH(AF$7,'Inputs (2)'!$D$2:$AL$2,0))</f>
        <v>-4131</v>
      </c>
      <c r="AG46" s="268">
        <f>SUM(AC46:AF46)</f>
        <v>-16374</v>
      </c>
      <c r="AH46" s="268">
        <f>INDEX('Inputs (2)'!$D$5:$AL$5,MATCH(AH$7,'Inputs (2)'!$D$2:$AL$2,0))</f>
        <v>-4065</v>
      </c>
      <c r="AI46" s="268">
        <f>INDEX('Inputs (2)'!$D$5:$AL$5,MATCH(AI$7,'Inputs (2)'!$D$2:$AL$2,0))</f>
        <v>-4320</v>
      </c>
      <c r="AJ46" s="268">
        <f>(100%-AJ47)*-AJ15</f>
        <v>-6972</v>
      </c>
      <c r="AK46" s="268">
        <f>(100%-AK47)*-AK15</f>
        <v>-5633</v>
      </c>
      <c r="AL46" s="268">
        <f>SUM(AH46:AK46)</f>
        <v>-20990</v>
      </c>
      <c r="AM46" s="268">
        <f>(100%-AM47)*-AM15</f>
        <v>-6234</v>
      </c>
      <c r="AN46" s="268">
        <f>(100%-AN47)*-AN15</f>
        <v>-7029</v>
      </c>
      <c r="AO46" s="268">
        <f>(100%-AO47)*-AO15</f>
        <v>-6972</v>
      </c>
      <c r="AP46" s="268">
        <f>(100%-AP47)*-AP15</f>
        <v>-5633</v>
      </c>
      <c r="AQ46" s="268">
        <f>SUM(AM46:AP46)</f>
        <v>-25868</v>
      </c>
      <c r="AR46" s="268">
        <f>(100%-AR47)*-AR15</f>
        <v>-6234</v>
      </c>
      <c r="AS46" s="268">
        <f>(100%-AS47)*-AS15</f>
        <v>-7029</v>
      </c>
      <c r="AT46" s="268">
        <f>(100%-AT47)*-AT15</f>
        <v>-6972</v>
      </c>
      <c r="AU46" s="268">
        <f>(100%-AU47)*-AU15</f>
        <v>-5633</v>
      </c>
      <c r="AV46" s="268">
        <f>SUM(AR46:AU46)</f>
        <v>-25868</v>
      </c>
      <c r="AW46" s="268">
        <f>(100%-AW47)*-AW15</f>
        <v>-6234</v>
      </c>
      <c r="AX46" s="268">
        <f>(100%-AX47)*-AX15</f>
        <v>-7029</v>
      </c>
      <c r="AY46" s="268">
        <f>(100%-AY47)*-AY15</f>
        <v>-6972</v>
      </c>
      <c r="AZ46" s="268">
        <f>(100%-AZ47)*-AZ15</f>
        <v>-5633</v>
      </c>
      <c r="BA46" s="268">
        <f>SUM(AW46:AZ46)</f>
        <v>-25868</v>
      </c>
      <c r="BB46" s="268">
        <f>(100%-BB47)*-BB15</f>
        <v>-6234</v>
      </c>
      <c r="BC46" s="268">
        <f>(100%-BC47)*-BC15</f>
        <v>-7029</v>
      </c>
      <c r="BD46" s="268">
        <f>(100%-BD47)*-BD15</f>
        <v>-6972</v>
      </c>
      <c r="BE46" s="268">
        <f>(100%-BE47)*-BE15</f>
        <v>-5633</v>
      </c>
      <c r="BF46" s="268">
        <f>SUM(BB46:BE46)</f>
        <v>-25868</v>
      </c>
      <c r="BG46" s="268">
        <f>(100%-BG47)*-BG15</f>
        <v>-6234</v>
      </c>
      <c r="BH46" s="268">
        <f>(100%-BH47)*-BH15</f>
        <v>-7029</v>
      </c>
      <c r="BI46" s="268">
        <f>(100%-BI47)*-BI15</f>
        <v>-6972</v>
      </c>
      <c r="BJ46" s="268">
        <f>(100%-BJ47)*-BJ15</f>
        <v>-5633</v>
      </c>
      <c r="BK46" s="268">
        <f>SUM(BG46:BJ46)</f>
        <v>-25868</v>
      </c>
      <c r="BL46" s="268">
        <f>(100%-BL47)*-BL15</f>
        <v>-6234</v>
      </c>
      <c r="BM46" s="268">
        <f>(100%-BM47)*-BM15</f>
        <v>-7029</v>
      </c>
      <c r="BN46" s="268">
        <f>(100%-BN47)*-BN15</f>
        <v>-6972</v>
      </c>
      <c r="BO46" s="268">
        <f>(100%-BO47)*-BO15</f>
        <v>-5633</v>
      </c>
      <c r="BP46" s="268">
        <f>SUM(BL46:BO46)</f>
        <v>-25868</v>
      </c>
      <c r="BQ46" s="268">
        <f>(100%-BQ47)*-BQ15</f>
        <v>-6234</v>
      </c>
      <c r="BR46" s="268">
        <f>(100%-BR47)*-BR15</f>
        <v>-7029</v>
      </c>
      <c r="BS46" s="268">
        <f>(100%-BS47)*-BS15</f>
        <v>-6972</v>
      </c>
      <c r="BT46" s="268">
        <f>(100%-BT47)*-BT15</f>
        <v>-5633</v>
      </c>
      <c r="BU46" s="268">
        <f>SUM(BQ46:BT46)</f>
        <v>-25868</v>
      </c>
      <c r="BV46" s="268">
        <f>(100%-BV47)*-BV15</f>
        <v>-6234</v>
      </c>
      <c r="BW46" s="268">
        <f>(100%-BW47)*-BW15</f>
        <v>-7029</v>
      </c>
      <c r="BX46" s="268">
        <f>(100%-BX47)*-BX15</f>
        <v>-6972</v>
      </c>
      <c r="BY46" s="268">
        <f>(100%-BY47)*-BY15</f>
        <v>-5633</v>
      </c>
      <c r="BZ46" s="268">
        <f>SUM(BV46:BY46)</f>
        <v>-25868</v>
      </c>
      <c r="CA46" s="268">
        <f>(100%-CA47)*-CA15</f>
        <v>-6234</v>
      </c>
      <c r="CB46" s="268">
        <f>(100%-CB47)*-CB15</f>
        <v>-7029</v>
      </c>
      <c r="CC46" s="268">
        <f>(100%-CC47)*-CC15</f>
        <v>-6972</v>
      </c>
      <c r="CD46" s="268">
        <f>(100%-CD47)*-CD15</f>
        <v>-5633</v>
      </c>
      <c r="CE46" s="268">
        <f>SUM(CA46:CD46)</f>
        <v>-25868</v>
      </c>
      <c r="CF46" s="268">
        <f>(100%-CF47)*-CF15</f>
        <v>-6234</v>
      </c>
      <c r="CG46" s="268">
        <f>(100%-CG47)*-CG15</f>
        <v>-7029</v>
      </c>
      <c r="CH46" s="268">
        <f>(100%-CH47)*-CH15</f>
        <v>-6972</v>
      </c>
      <c r="CI46" s="268">
        <f>(100%-CI47)*-CI15</f>
        <v>-5633</v>
      </c>
      <c r="CJ46" s="268">
        <f>SUM(CF46:CI46)</f>
        <v>-25868</v>
      </c>
      <c r="CK46" s="268">
        <f>(100%-CK47)*-CK15</f>
        <v>-6234</v>
      </c>
      <c r="CL46" s="268">
        <f>(100%-CL47)*-CL15</f>
        <v>-7029</v>
      </c>
      <c r="CM46" s="268">
        <f>(100%-CM47)*-CM15</f>
        <v>-6972</v>
      </c>
      <c r="CN46" s="268">
        <f>(100%-CN47)*-CN15</f>
        <v>-5633</v>
      </c>
      <c r="CO46" s="268">
        <f>SUM(CK46:CN46)</f>
        <v>-25868</v>
      </c>
      <c r="CP46" s="268">
        <f>(100%-CP47)*-CP15</f>
        <v>-6234</v>
      </c>
      <c r="CQ46" s="268">
        <f>(100%-CQ47)*-CQ15</f>
        <v>-7029</v>
      </c>
      <c r="CR46" s="268">
        <f>(100%-CR47)*-CR15</f>
        <v>-6972</v>
      </c>
      <c r="CS46" s="268">
        <f>(100%-CS47)*-CS15</f>
        <v>-5633</v>
      </c>
      <c r="CT46" s="268">
        <f>SUM(CP46:CS46)</f>
        <v>-25868</v>
      </c>
      <c r="CU46" s="268">
        <f>(100%-CU47)*-CU15</f>
        <v>-6234</v>
      </c>
      <c r="CV46" s="268">
        <f>(100%-CV47)*-CV15</f>
        <v>-7029</v>
      </c>
      <c r="CW46" s="268">
        <f>(100%-CW47)*-CW15</f>
        <v>-6972</v>
      </c>
      <c r="CX46" s="268">
        <f>(100%-CX47)*-CX15</f>
        <v>-5633</v>
      </c>
      <c r="CY46" s="268">
        <f>SUM(CU46:CX46)</f>
        <v>-25868</v>
      </c>
    </row>
    <row r="47" hidden="1" outlineLevel="1" ht="12.75" customFormat="1" customHeight="1" s="259">
      <c r="C47" s="302" t="inlineStr">
        <is>
          <t>% Gross Margin</t>
        </is>
      </c>
      <c r="D47" s="303">
        <f>(D15+D46)/D$15</f>
        <v>0.0110793423874196</v>
      </c>
      <c r="E47" s="303">
        <f>(E15+E46)/E$15</f>
        <v>0.261624099541585</v>
      </c>
      <c r="F47" s="303">
        <f>(F15+F46)/F$15</f>
        <v>0.357569462477279</v>
      </c>
      <c r="G47" s="303">
        <f>(G15+G46)/G$15</f>
        <v>0.4146829810901</v>
      </c>
      <c r="H47" s="303">
        <f>(H15+H46)/H$15</f>
        <v>0.286730525426116</v>
      </c>
      <c r="I47" s="303">
        <f>(I15+I46)/I$15</f>
        <v>0.425360824742268</v>
      </c>
      <c r="J47" s="303">
        <f>(J15+J46)/J$15</f>
        <v>0.466423103688239</v>
      </c>
      <c r="K47" s="303">
        <f>(K15+K46)/K$15</f>
        <v>0.503041262534933</v>
      </c>
      <c r="L47" s="303">
        <f>(L15+L46)/L$15</f>
        <v>0.488157040882544</v>
      </c>
      <c r="M47" s="303">
        <f>(M15+M46)/M$15</f>
        <v>0.473320201356971</v>
      </c>
      <c r="N47" s="303">
        <f>(N15+N46)/N$15</f>
        <v>0.522944116310768</v>
      </c>
      <c r="O47" s="303">
        <f>(O15+O46)/O$15</f>
        <v>0.442208271787297</v>
      </c>
      <c r="P47" s="303">
        <f>(P15+P46)/P$15</f>
        <v>0.322206675994403</v>
      </c>
      <c r="Q47" s="303">
        <f>(Q15+Q46)/Q$15</f>
        <v>0.390760680791942</v>
      </c>
      <c r="R47" s="303">
        <f>(R15+R46)/R$15</f>
        <v>0.426251097453907</v>
      </c>
      <c r="S47" s="303">
        <f>(S15+S46)/S$15</f>
        <v>0.412692521803674</v>
      </c>
      <c r="T47" s="303">
        <f>(T15+T46)/T$15</f>
        <v>0.381383998605543</v>
      </c>
      <c r="U47" s="303">
        <f>(U15+U46)/U$15</f>
        <v>0.389938186813187</v>
      </c>
      <c r="V47" s="303">
        <f>(V15+V46)/V$15</f>
        <v>0.430990685859441</v>
      </c>
      <c r="W47" s="303">
        <f>(W15+W46)/W$15</f>
        <v>0.403762852767447</v>
      </c>
      <c r="X47" s="303">
        <f>(X15+X46)/X$15</f>
        <v>0.39186837525708</v>
      </c>
      <c r="Y47" s="303">
        <f>(Y15+Y46)/Y$15</f>
        <v>0.415006038647343</v>
      </c>
      <c r="Z47" s="303">
        <f>(Z15+Z46)/Z$15</f>
        <v>0.399558173784978</v>
      </c>
      <c r="AA47" s="303">
        <f>(AA15+AA46)/AA$15</f>
        <v>0.343006993006993</v>
      </c>
      <c r="AB47" s="303">
        <f>(AB15+AB46)/AB$15</f>
        <v>0.388960911412296</v>
      </c>
      <c r="AC47" s="303">
        <f>(AC15+AC46)/AC$15</f>
        <v>0.34427374301676</v>
      </c>
      <c r="AD47" s="303">
        <f>(AD15+AD46)/AD$15</f>
        <v>0.435241361118438</v>
      </c>
      <c r="AE47" s="303">
        <f>(AE15+AE46)/AE$15</f>
        <v>0.396873207114171</v>
      </c>
      <c r="AF47" s="297">
        <f>(AF15+AF46)/AF$15</f>
        <v>0.266642996627019</v>
      </c>
      <c r="AG47" s="303">
        <f>(AG15+AG46)/AG$15</f>
        <v>0.368165155315454</v>
      </c>
      <c r="AH47" s="304">
        <f>(AH15+AH46)/AH$15</f>
        <v>0.347930702598653</v>
      </c>
      <c r="AI47" s="304">
        <f>(AI15+AI46)/AI$15</f>
        <v>0.385403329065301</v>
      </c>
      <c r="AJ47" s="304" t="n"/>
      <c r="AK47" s="304" t="n"/>
      <c r="AL47" s="303">
        <f>(AL15+AL46)/AL$15</f>
        <v>0.188572753981754</v>
      </c>
      <c r="AM47" s="304" t="n"/>
      <c r="AN47" s="304" t="n"/>
      <c r="AO47" s="304" t="n"/>
      <c r="AP47" s="304" t="n"/>
      <c r="AQ47" s="303">
        <f>(AQ15+AQ46)/AQ$15</f>
        <v>0</v>
      </c>
      <c r="AR47" s="304" t="n"/>
      <c r="AS47" s="304" t="n"/>
      <c r="AT47" s="304" t="n"/>
      <c r="AU47" s="304" t="n"/>
      <c r="AV47" s="303">
        <f>(AV15+AV46)/AV$15</f>
        <v>0</v>
      </c>
      <c r="AW47" s="304" t="n"/>
      <c r="AX47" s="304" t="n"/>
      <c r="AY47" s="304" t="n"/>
      <c r="AZ47" s="304" t="n"/>
      <c r="BA47" s="303">
        <f>(BA15+BA46)/BA$15</f>
        <v>0</v>
      </c>
      <c r="BB47" s="304" t="n"/>
      <c r="BC47" s="304" t="n"/>
      <c r="BD47" s="304" t="n"/>
      <c r="BE47" s="304" t="n"/>
      <c r="BF47" s="303">
        <f>(BF15+BF46)/BF$15</f>
        <v>0</v>
      </c>
      <c r="BG47" s="304" t="n"/>
      <c r="BH47" s="304" t="n"/>
      <c r="BI47" s="304" t="n"/>
      <c r="BJ47" s="304" t="n"/>
      <c r="BK47" s="303">
        <f>(BK15+BK46)/BK$15</f>
        <v>0</v>
      </c>
      <c r="BL47" s="304" t="n"/>
      <c r="BM47" s="304" t="n"/>
      <c r="BN47" s="304" t="n"/>
      <c r="BO47" s="304" t="n"/>
      <c r="BP47" s="303">
        <f>(BP15+BP46)/BP$15</f>
        <v>0</v>
      </c>
      <c r="BQ47" s="304" t="n"/>
      <c r="BR47" s="304" t="n"/>
      <c r="BS47" s="304" t="n"/>
      <c r="BT47" s="304" t="n"/>
      <c r="BU47" s="303">
        <f>(BU15+BU46)/BU$15</f>
        <v>0</v>
      </c>
      <c r="BV47" s="304" t="n"/>
      <c r="BW47" s="304" t="n"/>
      <c r="BX47" s="304" t="n"/>
      <c r="BY47" s="304" t="n"/>
      <c r="BZ47" s="303">
        <f>(BZ15+BZ46)/BZ$15</f>
        <v>0</v>
      </c>
      <c r="CA47" s="304" t="n"/>
      <c r="CB47" s="304" t="n"/>
      <c r="CC47" s="304" t="n"/>
      <c r="CD47" s="304" t="n"/>
      <c r="CE47" s="303">
        <f>(CE15+CE46)/CE$15</f>
        <v>0</v>
      </c>
      <c r="CF47" s="304" t="n"/>
      <c r="CG47" s="304" t="n"/>
      <c r="CH47" s="304" t="n"/>
      <c r="CI47" s="304" t="n"/>
      <c r="CJ47" s="303">
        <f>(CJ15+CJ46)/CJ$15</f>
        <v>0</v>
      </c>
      <c r="CK47" s="304" t="n"/>
      <c r="CL47" s="304" t="n"/>
      <c r="CM47" s="304" t="n"/>
      <c r="CN47" s="304" t="n"/>
      <c r="CO47" s="303">
        <f>(CO15+CO46)/CO$15</f>
        <v>0</v>
      </c>
      <c r="CP47" s="304" t="n"/>
      <c r="CQ47" s="304" t="n"/>
      <c r="CR47" s="304" t="n"/>
      <c r="CS47" s="304" t="n"/>
      <c r="CT47" s="303">
        <f>(CT15+CT46)/CT$15</f>
        <v>0</v>
      </c>
      <c r="CU47" s="304" t="n"/>
      <c r="CV47" s="304" t="n"/>
      <c r="CW47" s="304" t="n"/>
      <c r="CX47" s="304" t="n"/>
      <c r="CY47" s="303">
        <f>(CY15+CY46)/CY$15</f>
        <v>0</v>
      </c>
    </row>
    <row r="48" hidden="1" outlineLevel="1" ht="12.75" customHeight="1" s="255">
      <c r="C48" s="305" t="n"/>
      <c r="D48" s="305" t="n"/>
      <c r="E48" s="305" t="n"/>
      <c r="F48" s="305" t="n"/>
      <c r="G48" s="305" t="n"/>
      <c r="H48" s="305" t="n"/>
      <c r="I48" s="305" t="n"/>
      <c r="J48" s="305" t="n"/>
      <c r="K48" s="305" t="n"/>
      <c r="L48" s="305" t="n"/>
      <c r="M48" s="305" t="n"/>
      <c r="N48" s="305" t="n"/>
      <c r="O48" s="305" t="n"/>
      <c r="P48" s="305" t="n"/>
      <c r="Q48" s="305" t="n"/>
      <c r="R48" s="305" t="n"/>
      <c r="S48" s="305" t="n"/>
      <c r="T48" s="305" t="n"/>
      <c r="U48" s="305" t="n"/>
      <c r="V48" s="305" t="n"/>
      <c r="W48" s="305" t="n"/>
      <c r="X48" s="305" t="n"/>
      <c r="Y48" s="305" t="n"/>
      <c r="Z48" s="305" t="n"/>
      <c r="AA48" s="305" t="n"/>
      <c r="AB48" s="305" t="n"/>
      <c r="AC48" s="305" t="n"/>
      <c r="AD48" s="305" t="n"/>
      <c r="AE48" s="305" t="n"/>
      <c r="AF48" s="305" t="n"/>
      <c r="AG48" s="305" t="n"/>
      <c r="AH48" s="305" t="n"/>
      <c r="AI48" s="305" t="n"/>
      <c r="AJ48" s="305" t="n"/>
      <c r="AK48" s="305" t="n"/>
      <c r="AL48" s="305" t="n"/>
      <c r="AM48" s="305" t="n"/>
      <c r="AN48" s="305" t="n"/>
      <c r="AO48" s="305" t="n"/>
      <c r="AP48" s="305" t="n"/>
      <c r="AQ48" s="305" t="n"/>
      <c r="AR48" s="305" t="n"/>
      <c r="AS48" s="305" t="n"/>
      <c r="AT48" s="305" t="n"/>
      <c r="AU48" s="305" t="n"/>
      <c r="AV48" s="305" t="n"/>
      <c r="AW48" s="305" t="n"/>
      <c r="AX48" s="305" t="n"/>
      <c r="AY48" s="305" t="n"/>
      <c r="AZ48" s="305" t="n"/>
      <c r="BA48" s="305" t="n"/>
      <c r="BB48" s="305" t="n"/>
      <c r="BC48" s="305" t="n"/>
      <c r="BD48" s="305" t="n"/>
      <c r="BE48" s="305" t="n"/>
      <c r="BF48" s="305" t="n"/>
      <c r="BG48" s="305" t="n"/>
      <c r="BH48" s="305" t="n"/>
      <c r="BI48" s="305" t="n"/>
      <c r="BJ48" s="305" t="n"/>
      <c r="BK48" s="305" t="n"/>
      <c r="BL48" s="305" t="n"/>
      <c r="BM48" s="305" t="n"/>
      <c r="BN48" s="305" t="n"/>
      <c r="BO48" s="305" t="n"/>
      <c r="BP48" s="305" t="n"/>
      <c r="BQ48" s="305" t="n"/>
      <c r="BR48" s="305" t="n"/>
      <c r="BS48" s="305" t="n"/>
      <c r="BT48" s="305" t="n"/>
      <c r="BU48" s="305" t="n"/>
      <c r="BV48" s="305" t="n"/>
      <c r="BW48" s="305" t="n"/>
      <c r="BX48" s="305" t="n"/>
      <c r="BY48" s="305" t="n"/>
      <c r="BZ48" s="305" t="n"/>
      <c r="CA48" s="305" t="n"/>
      <c r="CB48" s="305" t="n"/>
      <c r="CC48" s="305" t="n"/>
      <c r="CD48" s="305" t="n"/>
      <c r="CE48" s="305" t="n"/>
      <c r="CF48" s="305" t="n"/>
      <c r="CG48" s="305" t="n"/>
      <c r="CH48" s="305" t="n"/>
      <c r="CI48" s="305" t="n"/>
      <c r="CJ48" s="305" t="n"/>
      <c r="CK48" s="305" t="n"/>
      <c r="CL48" s="305" t="n"/>
      <c r="CM48" s="305" t="n"/>
      <c r="CN48" s="305" t="n"/>
      <c r="CO48" s="305" t="n"/>
      <c r="CP48" s="305" t="n"/>
      <c r="CQ48" s="305" t="n"/>
      <c r="CR48" s="305" t="n"/>
      <c r="CS48" s="305" t="n"/>
      <c r="CT48" s="305" t="n"/>
      <c r="CU48" s="305" t="n"/>
      <c r="CV48" s="305" t="n"/>
      <c r="CW48" s="305" t="n"/>
      <c r="CX48" s="305" t="n"/>
      <c r="CY48" s="305" t="n"/>
    </row>
    <row r="49" hidden="1" outlineLevel="1" ht="12.75" customHeight="1" s="255">
      <c r="C49" s="305" t="n"/>
      <c r="D49" s="305" t="n"/>
      <c r="E49" s="305" t="n"/>
      <c r="F49" s="305" t="n"/>
      <c r="G49" s="305" t="n"/>
      <c r="H49" s="305" t="n"/>
      <c r="I49" s="305" t="n"/>
      <c r="J49" s="305" t="n"/>
      <c r="K49" s="305" t="n"/>
      <c r="L49" s="305" t="n"/>
      <c r="M49" s="305" t="n"/>
      <c r="N49" s="305" t="n"/>
      <c r="O49" s="305" t="n"/>
      <c r="P49" s="305" t="n"/>
      <c r="Q49" s="305" t="n"/>
      <c r="R49" s="305" t="n"/>
      <c r="S49" s="305" t="n"/>
      <c r="T49" s="305" t="n"/>
      <c r="U49" s="305" t="n"/>
      <c r="V49" s="305" t="n"/>
      <c r="W49" s="305" t="n"/>
      <c r="X49" s="305" t="n"/>
      <c r="Y49" s="305" t="n"/>
      <c r="Z49" s="305" t="n"/>
      <c r="AA49" s="305" t="n"/>
      <c r="AB49" s="305" t="n"/>
      <c r="AC49" s="305" t="n"/>
      <c r="AD49" s="305" t="n"/>
      <c r="AE49" s="305" t="n"/>
      <c r="AF49" s="305" t="n"/>
      <c r="AG49" s="305" t="n"/>
      <c r="AH49" s="305" t="n"/>
      <c r="AI49" s="305" t="n"/>
      <c r="AJ49" s="305" t="n"/>
      <c r="AK49" s="305" t="n"/>
      <c r="AL49" s="305" t="n"/>
      <c r="AM49" s="305" t="n"/>
      <c r="AN49" s="305" t="n"/>
      <c r="AO49" s="305" t="n"/>
      <c r="AP49" s="305" t="n"/>
      <c r="AQ49" s="305" t="n"/>
      <c r="AR49" s="305" t="n"/>
      <c r="AS49" s="305" t="n"/>
      <c r="AT49" s="305" t="n"/>
      <c r="AU49" s="305" t="n"/>
      <c r="AV49" s="305" t="n"/>
      <c r="AW49" s="305" t="n"/>
      <c r="AX49" s="305" t="n"/>
      <c r="AY49" s="305" t="n"/>
      <c r="AZ49" s="305" t="n"/>
      <c r="BA49" s="305" t="n"/>
      <c r="BB49" s="305" t="n"/>
      <c r="BC49" s="305" t="n"/>
      <c r="BD49" s="305" t="n"/>
      <c r="BE49" s="305" t="n"/>
      <c r="BF49" s="305" t="n"/>
      <c r="BG49" s="305" t="n"/>
      <c r="BH49" s="305" t="n"/>
      <c r="BI49" s="305" t="n"/>
      <c r="BJ49" s="305" t="n"/>
      <c r="BK49" s="305" t="n"/>
      <c r="BL49" s="305" t="n"/>
      <c r="BM49" s="305" t="n"/>
      <c r="BN49" s="305" t="n"/>
      <c r="BO49" s="305" t="n"/>
      <c r="BP49" s="305" t="n"/>
      <c r="BQ49" s="305" t="n"/>
      <c r="BR49" s="305" t="n"/>
      <c r="BS49" s="305" t="n"/>
      <c r="BT49" s="305" t="n"/>
      <c r="BU49" s="305" t="n"/>
      <c r="BV49" s="305" t="n"/>
      <c r="BW49" s="305" t="n"/>
      <c r="BX49" s="305" t="n"/>
      <c r="BY49" s="305" t="n"/>
      <c r="BZ49" s="305" t="n"/>
      <c r="CA49" s="305" t="n"/>
      <c r="CB49" s="305" t="n"/>
      <c r="CC49" s="305" t="n"/>
      <c r="CD49" s="305" t="n"/>
      <c r="CE49" s="305" t="n"/>
      <c r="CF49" s="305" t="n"/>
      <c r="CG49" s="305" t="n"/>
      <c r="CH49" s="305" t="n"/>
      <c r="CI49" s="305" t="n"/>
      <c r="CJ49" s="305" t="n"/>
      <c r="CK49" s="305" t="n"/>
      <c r="CL49" s="305" t="n"/>
      <c r="CM49" s="305" t="n"/>
      <c r="CN49" s="305" t="n"/>
      <c r="CO49" s="305" t="n"/>
      <c r="CP49" s="305" t="n"/>
      <c r="CQ49" s="305" t="n"/>
      <c r="CR49" s="305" t="n"/>
      <c r="CS49" s="305" t="n"/>
      <c r="CT49" s="305" t="n"/>
      <c r="CU49" s="305" t="n"/>
      <c r="CV49" s="305" t="n"/>
      <c r="CW49" s="305" t="n"/>
      <c r="CX49" s="305" t="n"/>
      <c r="CY49" s="305" t="n"/>
    </row>
    <row r="50" ht="12.75" customHeight="1" s="255">
      <c r="C50" s="269" t="inlineStr">
        <is>
          <t>SG&amp;A and Other (cash)</t>
        </is>
      </c>
      <c r="D50" s="301">
        <f>INDEX('Inputs (2)'!$D$6:$AL$6,MATCH(D$7,'Inputs (2)'!$D$2:$AL$2,0))</f>
        <v>-163</v>
      </c>
      <c r="E50" s="301">
        <f>INDEX('Inputs (2)'!$D$6:$AL$6,MATCH(E$7,'Inputs (2)'!$D$2:$AL$2,0))</f>
        <v>-120</v>
      </c>
      <c r="F50" s="301">
        <f>INDEX('Inputs (2)'!$D$6:$AL$6,MATCH(F$7,'Inputs (2)'!$D$2:$AL$2,0))</f>
        <v>-103</v>
      </c>
      <c r="G50" s="301">
        <f>INDEX('Inputs (2)'!$D$6:$AL$6,MATCH(G$7,'Inputs (2)'!$D$2:$AL$2,0))</f>
        <v>280</v>
      </c>
      <c r="H50" s="268">
        <f>SUM(D50:G50)</f>
        <v>-106</v>
      </c>
      <c r="I50" s="301">
        <f>INDEX('Inputs (2)'!$D$6:$AL$6,MATCH(I$7,'Inputs (2)'!$D$2:$AL$2,0))</f>
        <v>-112</v>
      </c>
      <c r="J50" s="301">
        <f>INDEX('Inputs (2)'!$D$6:$AL$6,MATCH(J$7,'Inputs (2)'!$D$2:$AL$2,0))</f>
        <v>-131</v>
      </c>
      <c r="K50" s="301">
        <f>INDEX('Inputs (2)'!$D$6:$AL$6,MATCH(K$7,'Inputs (2)'!$D$2:$AL$2,0))</f>
        <v>-70</v>
      </c>
      <c r="L50" s="301">
        <f>INDEX('Inputs (2)'!$D$6:$AL$6,MATCH(L$7,'Inputs (2)'!$D$2:$AL$2,0))</f>
        <v>-136</v>
      </c>
      <c r="M50" s="268">
        <f>SUM(I50:L50)</f>
        <v>-449</v>
      </c>
      <c r="N50" s="301">
        <f>INDEX('Inputs (2)'!$D$6:$AL$6,MATCH(N$7,'Inputs (2)'!$D$2:$AL$2,0))</f>
        <v>-155</v>
      </c>
      <c r="O50" s="301">
        <f>INDEX('Inputs (2)'!$D$6:$AL$6,MATCH(O$7,'Inputs (2)'!$D$2:$AL$2,0))</f>
        <v>-152</v>
      </c>
      <c r="P50" s="301">
        <f>INDEX('Inputs (2)'!$D$6:$AL$6,MATCH(P$7,'Inputs (2)'!$D$2:$AL$2,0))</f>
        <v>-142</v>
      </c>
      <c r="Q50" s="301">
        <f>INDEX('Inputs (2)'!$D$6:$AL$6,MATCH(Q$7,'Inputs (2)'!$D$2:$AL$2,0))</f>
        <v>-205</v>
      </c>
      <c r="R50" s="268">
        <f>SUM(N50:Q50)</f>
        <v>-654</v>
      </c>
      <c r="S50" s="301">
        <f>INDEX('Inputs (2)'!$D$6:$AL$6,MATCH(S$7,'Inputs (2)'!$D$2:$AL$2,0))</f>
        <v>-224</v>
      </c>
      <c r="T50" s="301">
        <f>INDEX('Inputs (2)'!$D$6:$AL$6,MATCH(T$7,'Inputs (2)'!$D$2:$AL$2,0))</f>
        <v>-231</v>
      </c>
      <c r="U50" s="301">
        <f>INDEX('Inputs (2)'!$D$6:$AL$6,MATCH(U$7,'Inputs (2)'!$D$2:$AL$2,0))</f>
        <v>-246</v>
      </c>
      <c r="V50" s="301">
        <f>INDEX('Inputs (2)'!$D$6:$AL$6,MATCH(V$7,'Inputs (2)'!$D$2:$AL$2,0))</f>
        <v>-234</v>
      </c>
      <c r="W50" s="268">
        <f>SUM(S50:V50)</f>
        <v>-935</v>
      </c>
      <c r="X50" s="301">
        <f>INDEX('Inputs (2)'!$D$6:$AL$6,MATCH(X$7,'Inputs (2)'!$D$2:$AL$2,0))</f>
        <v>-248</v>
      </c>
      <c r="Y50" s="301">
        <f>INDEX('Inputs (2)'!$D$6:$AL$6,MATCH(Y$7,'Inputs (2)'!$D$2:$AL$2,0))</f>
        <v>-191</v>
      </c>
      <c r="Z50" s="301">
        <f>INDEX('Inputs (2)'!$D$6:$AL$6,MATCH(Z$7,'Inputs (2)'!$D$2:$AL$2,0))</f>
        <v>-175</v>
      </c>
      <c r="AA50" s="301">
        <f>INDEX('Inputs (2)'!$D$6:$AL$6,MATCH(AA$7,'Inputs (2)'!$D$2:$AL$2,0))</f>
        <v>-182</v>
      </c>
      <c r="AB50" s="268">
        <f>SUM(X50:AA50)</f>
        <v>-796</v>
      </c>
      <c r="AC50" s="301">
        <f>INDEX('Inputs (2)'!$D$6:$AL$6,MATCH(AC$7,'Inputs (2)'!$D$2:$AL$2,0))</f>
        <v>-203</v>
      </c>
      <c r="AD50" s="301">
        <f>INDEX('Inputs (2)'!$D$6:$AL$6,MATCH(AD$7,'Inputs (2)'!$D$2:$AL$2,0))</f>
        <v>-200</v>
      </c>
      <c r="AE50" s="301">
        <f>INDEX('Inputs (2)'!$D$6:$AL$6,MATCH(AE$7,'Inputs (2)'!$D$2:$AL$2,0))</f>
        <v>-170</v>
      </c>
      <c r="AF50" s="301">
        <f>INDEX('Inputs (2)'!$D$6:$AL$6,MATCH(AF$7,'Inputs (2)'!$D$2:$AL$2,0))</f>
        <v>-206</v>
      </c>
      <c r="AG50" s="268">
        <f>SUM(AC50:AF50)</f>
        <v>-779</v>
      </c>
      <c r="AH50" s="268">
        <f>INDEX('Inputs (2)'!$D$6:$AL$6,MATCH(AH$7,'Inputs (2)'!$D$2:$AL$2,0))</f>
        <v>482</v>
      </c>
      <c r="AI50" s="268">
        <f>INDEX('Inputs (2)'!$D$6:$AL$6,MATCH(AI$7,'Inputs (2)'!$D$2:$AL$2,0))</f>
        <v>-183</v>
      </c>
      <c r="AJ50" s="268">
        <f>-AJ15*AJ51</f>
        <v>0</v>
      </c>
      <c r="AK50" s="268">
        <f>-AK15*AK51</f>
        <v>0</v>
      </c>
      <c r="AL50" s="268">
        <f>SUM(AH50:AK50)</f>
        <v>299</v>
      </c>
      <c r="AM50" s="268">
        <f>-AM15*AM51</f>
        <v>0</v>
      </c>
      <c r="AN50" s="268">
        <f>-AN15*AN51</f>
        <v>0</v>
      </c>
      <c r="AO50" s="268">
        <f>-AO15*AO51</f>
        <v>0</v>
      </c>
      <c r="AP50" s="268">
        <f>-AP15*AP51</f>
        <v>0</v>
      </c>
      <c r="AQ50" s="268">
        <f>SUM(AM50:AP50)</f>
        <v>0</v>
      </c>
      <c r="AR50" s="268">
        <f>-AR15*AR51</f>
        <v>0</v>
      </c>
      <c r="AS50" s="268">
        <f>-AS15*AS51</f>
        <v>0</v>
      </c>
      <c r="AT50" s="268">
        <f>-AT15*AT51</f>
        <v>0</v>
      </c>
      <c r="AU50" s="268">
        <f>-AU15*AU51</f>
        <v>0</v>
      </c>
      <c r="AV50" s="268">
        <f>SUM(AR50:AU50)</f>
        <v>0</v>
      </c>
      <c r="AW50" s="268">
        <f>-AW15*AW51</f>
        <v>0</v>
      </c>
      <c r="AX50" s="268">
        <f>-AX15*AX51</f>
        <v>0</v>
      </c>
      <c r="AY50" s="268">
        <f>-AY15*AY51</f>
        <v>0</v>
      </c>
      <c r="AZ50" s="268">
        <f>-AZ15*AZ51</f>
        <v>0</v>
      </c>
      <c r="BA50" s="268">
        <f>SUM(AW50:AZ50)</f>
        <v>0</v>
      </c>
      <c r="BB50" s="268">
        <f>-BB15*BB51</f>
        <v>0</v>
      </c>
      <c r="BC50" s="268">
        <f>-BC15*BC51</f>
        <v>0</v>
      </c>
      <c r="BD50" s="268">
        <f>-BD15*BD51</f>
        <v>0</v>
      </c>
      <c r="BE50" s="268">
        <f>-BE15*BE51</f>
        <v>0</v>
      </c>
      <c r="BF50" s="268">
        <f>SUM(BB50:BE50)</f>
        <v>0</v>
      </c>
      <c r="BG50" s="268">
        <f>-BG15*BG51</f>
        <v>0</v>
      </c>
      <c r="BH50" s="268">
        <f>-BH15*BH51</f>
        <v>0</v>
      </c>
      <c r="BI50" s="268">
        <f>-BI15*BI51</f>
        <v>0</v>
      </c>
      <c r="BJ50" s="268">
        <f>-BJ15*BJ51</f>
        <v>0</v>
      </c>
      <c r="BK50" s="268">
        <f>SUM(BG50:BJ50)</f>
        <v>0</v>
      </c>
      <c r="BL50" s="268">
        <f>-BL15*BL51</f>
        <v>0</v>
      </c>
      <c r="BM50" s="268">
        <f>-BM15*BM51</f>
        <v>0</v>
      </c>
      <c r="BN50" s="268">
        <f>-BN15*BN51</f>
        <v>0</v>
      </c>
      <c r="BO50" s="268">
        <f>-BO15*BO51</f>
        <v>0</v>
      </c>
      <c r="BP50" s="268">
        <f>SUM(BL50:BO50)</f>
        <v>0</v>
      </c>
      <c r="BQ50" s="268">
        <f>-BQ15*BQ51</f>
        <v>0</v>
      </c>
      <c r="BR50" s="268">
        <f>-BR15*BR51</f>
        <v>0</v>
      </c>
      <c r="BS50" s="268">
        <f>-BS15*BS51</f>
        <v>0</v>
      </c>
      <c r="BT50" s="268">
        <f>-BT15*BT51</f>
        <v>0</v>
      </c>
      <c r="BU50" s="268">
        <f>SUM(BQ50:BT50)</f>
        <v>0</v>
      </c>
      <c r="BV50" s="268">
        <f>-BV15*BV51</f>
        <v>0</v>
      </c>
      <c r="BW50" s="268">
        <f>-BW15*BW51</f>
        <v>0</v>
      </c>
      <c r="BX50" s="268">
        <f>-BX15*BX51</f>
        <v>0</v>
      </c>
      <c r="BY50" s="268">
        <f>-BY15*BY51</f>
        <v>0</v>
      </c>
      <c r="BZ50" s="268">
        <f>SUM(BV50:BY50)</f>
        <v>0</v>
      </c>
      <c r="CA50" s="268">
        <f>-CA15*CA51</f>
        <v>0</v>
      </c>
      <c r="CB50" s="268">
        <f>-CB15*CB51</f>
        <v>0</v>
      </c>
      <c r="CC50" s="268">
        <f>-CC15*CC51</f>
        <v>0</v>
      </c>
      <c r="CD50" s="268">
        <f>-CD15*CD51</f>
        <v>0</v>
      </c>
      <c r="CE50" s="268">
        <f>SUM(CA50:CD50)</f>
        <v>0</v>
      </c>
      <c r="CF50" s="268">
        <f>-CF15*CF51</f>
        <v>0</v>
      </c>
      <c r="CG50" s="268">
        <f>-CG15*CG51</f>
        <v>0</v>
      </c>
      <c r="CH50" s="268">
        <f>-CH15*CH51</f>
        <v>0</v>
      </c>
      <c r="CI50" s="268">
        <f>-CI15*CI51</f>
        <v>0</v>
      </c>
      <c r="CJ50" s="268">
        <f>SUM(CF50:CI50)</f>
        <v>0</v>
      </c>
      <c r="CK50" s="268">
        <f>-CK15*CK51</f>
        <v>0</v>
      </c>
      <c r="CL50" s="268">
        <f>-CL15*CL51</f>
        <v>0</v>
      </c>
      <c r="CM50" s="268">
        <f>-CM15*CM51</f>
        <v>0</v>
      </c>
      <c r="CN50" s="268">
        <f>-CN15*CN51</f>
        <v>0</v>
      </c>
      <c r="CO50" s="268">
        <f>SUM(CK50:CN50)</f>
        <v>0</v>
      </c>
      <c r="CP50" s="268">
        <f>-CP15*CP51</f>
        <v>0</v>
      </c>
      <c r="CQ50" s="268">
        <f>-CQ15*CQ51</f>
        <v>0</v>
      </c>
      <c r="CR50" s="268">
        <f>-CR15*CR51</f>
        <v>0</v>
      </c>
      <c r="CS50" s="268">
        <f>-CS15*CS51</f>
        <v>0</v>
      </c>
      <c r="CT50" s="268">
        <f>SUM(CP50:CS50)</f>
        <v>0</v>
      </c>
      <c r="CU50" s="268">
        <f>-CU15*CU51</f>
        <v>0</v>
      </c>
      <c r="CV50" s="268">
        <f>-CV15*CV51</f>
        <v>0</v>
      </c>
      <c r="CW50" s="268">
        <f>-CW15*CW51</f>
        <v>0</v>
      </c>
      <c r="CX50" s="268">
        <f>-CX15*CX51</f>
        <v>0</v>
      </c>
      <c r="CY50" s="268">
        <f>SUM(CU50:CX50)</f>
        <v>0</v>
      </c>
    </row>
    <row r="51" hidden="1" outlineLevel="1" ht="12.75" customHeight="1" s="255">
      <c r="C51" s="294" t="inlineStr">
        <is>
          <t>% SG&amp;A and Other Margin</t>
        </is>
      </c>
      <c r="D51" s="306">
        <f>-(D50/D$15)</f>
        <v>0.0582558970693352</v>
      </c>
      <c r="E51" s="306">
        <f>-(E50/E$15)</f>
        <v>0.0392927308447937</v>
      </c>
      <c r="F51" s="306">
        <f>-(F50/F$15)</f>
        <v>0.0267462996624253</v>
      </c>
      <c r="G51" s="306">
        <f>-(G50/G$15)</f>
        <v>-0.0622914349276974</v>
      </c>
      <c r="H51" s="306">
        <f>-(H50/H$15)</f>
        <v>0.00746584025919144</v>
      </c>
      <c r="I51" s="306">
        <f>-(I50/I$15)</f>
        <v>0.0230927835051546</v>
      </c>
      <c r="J51" s="306">
        <f>-(J50/J$15)</f>
        <v>0.0227905358385525</v>
      </c>
      <c r="K51" s="306">
        <f>-(K50/K$15)</f>
        <v>0.0115074798619102</v>
      </c>
      <c r="L51" s="306">
        <f>-(L50/L$15)</f>
        <v>0.0220635950681376</v>
      </c>
      <c r="M51" s="306">
        <f>-(M50/M$15)</f>
        <v>0.0196541912891223</v>
      </c>
      <c r="N51" s="306">
        <f>-(N50/N$15)</f>
        <v>0.0234741784037559</v>
      </c>
      <c r="O51" s="306">
        <f>-(O50/O$15)</f>
        <v>0.0280649926144756</v>
      </c>
      <c r="P51" s="306">
        <f>-(P50/P$15)</f>
        <v>0.0283829702178693</v>
      </c>
      <c r="Q51" s="306">
        <f>-(Q50/Q$15)</f>
        <v>0.035602639805488</v>
      </c>
      <c r="R51" s="306">
        <f>-(R50/R$15)</f>
        <v>0.0287093942054434</v>
      </c>
      <c r="S51" s="306">
        <f>-(S50/S$15)</f>
        <v>0.0415661532751902</v>
      </c>
      <c r="T51" s="306">
        <f>-(T50/T$15)</f>
        <v>0.0402649468363256</v>
      </c>
      <c r="U51" s="306">
        <f>-(U50/U$15)</f>
        <v>0.042239010989011</v>
      </c>
      <c r="V51" s="306">
        <f>-(V50/V$15)</f>
        <v>0.0396274343776461</v>
      </c>
      <c r="W51" s="306">
        <f>-(W50/W$15)</f>
        <v>0.0409100853204988</v>
      </c>
      <c r="X51" s="306">
        <f>-(X50/X$15)</f>
        <v>0.039234298370511</v>
      </c>
      <c r="Y51" s="306">
        <f>-(Y50/Y$15)</f>
        <v>0.0288345410628019</v>
      </c>
      <c r="Z51" s="306">
        <f>-(Z50/Z$15)</f>
        <v>0.0257731958762887</v>
      </c>
      <c r="AA51" s="306">
        <f>-(AA50/AA$15)</f>
        <v>0.0318181818181818</v>
      </c>
      <c r="AB51" s="306">
        <f>-(AB50/AB$15)</f>
        <v>0.0312708701630328</v>
      </c>
      <c r="AC51" s="306">
        <f>-(AC50/AC$15)</f>
        <v>0.0354399441340782</v>
      </c>
      <c r="AD51" s="306">
        <f>-(AD50/AD$15)</f>
        <v>0.0263782643102084</v>
      </c>
      <c r="AE51" s="306">
        <f>-(AE50/AE$15)</f>
        <v>0.0243832472748135</v>
      </c>
      <c r="AF51" s="297">
        <f>-(AF50/AF$15)</f>
        <v>0.0365702112551039</v>
      </c>
      <c r="AG51" s="306">
        <f>-(AG50/AG$15)</f>
        <v>0.0300598109203164</v>
      </c>
      <c r="AH51" s="307">
        <f>-(AH50/AH$15)</f>
        <v>-0.0773179339108117</v>
      </c>
      <c r="AI51" s="307">
        <f>-(AI50/AI$15)</f>
        <v>0.0260349978659838</v>
      </c>
      <c r="AJ51" s="307" t="n"/>
      <c r="AK51" s="307" t="n"/>
      <c r="AL51" s="306">
        <f>-(AL50/AL$15)</f>
        <v>-0.011558682542137</v>
      </c>
      <c r="AM51" s="307" t="n"/>
      <c r="AN51" s="307" t="n"/>
      <c r="AO51" s="307" t="n"/>
      <c r="AP51" s="307" t="n"/>
      <c r="AQ51" s="306">
        <f>-(AQ50/AQ$15)</f>
        <v>0</v>
      </c>
      <c r="AR51" s="307" t="n"/>
      <c r="AS51" s="307" t="n"/>
      <c r="AT51" s="307" t="n"/>
      <c r="AU51" s="307" t="n"/>
      <c r="AV51" s="306">
        <f>-(AV50/AV$15)</f>
        <v>0</v>
      </c>
      <c r="AW51" s="307" t="n"/>
      <c r="AX51" s="307" t="n"/>
      <c r="AY51" s="307" t="n"/>
      <c r="AZ51" s="307" t="n"/>
      <c r="BA51" s="306">
        <f>-(BA50/BA$15)</f>
        <v>0</v>
      </c>
      <c r="BB51" s="307" t="n"/>
      <c r="BC51" s="307" t="n"/>
      <c r="BD51" s="307" t="n"/>
      <c r="BE51" s="307" t="n"/>
      <c r="BF51" s="306">
        <f>-(BF50/BF$15)</f>
        <v>0</v>
      </c>
      <c r="BG51" s="307" t="n"/>
      <c r="BH51" s="307" t="n"/>
      <c r="BI51" s="307" t="n"/>
      <c r="BJ51" s="307" t="n"/>
      <c r="BK51" s="306">
        <f>-(BK50/BK$15)</f>
        <v>0</v>
      </c>
      <c r="BL51" s="307" t="n"/>
      <c r="BM51" s="307" t="n"/>
      <c r="BN51" s="307" t="n"/>
      <c r="BO51" s="307" t="n"/>
      <c r="BP51" s="306">
        <f>-(BP50/BP$15)</f>
        <v>0</v>
      </c>
      <c r="BQ51" s="307" t="n"/>
      <c r="BR51" s="307" t="n"/>
      <c r="BS51" s="307" t="n"/>
      <c r="BT51" s="307" t="n"/>
      <c r="BU51" s="306">
        <f>-(BU50/BU$15)</f>
        <v>0</v>
      </c>
      <c r="BV51" s="307" t="n"/>
      <c r="BW51" s="307" t="n"/>
      <c r="BX51" s="307" t="n"/>
      <c r="BY51" s="307" t="n"/>
      <c r="BZ51" s="306">
        <f>-(BZ50/BZ$15)</f>
        <v>0</v>
      </c>
      <c r="CA51" s="307" t="n"/>
      <c r="CB51" s="307" t="n"/>
      <c r="CC51" s="307" t="n"/>
      <c r="CD51" s="307" t="n"/>
      <c r="CE51" s="306">
        <f>-(CE50/CE$15)</f>
        <v>0</v>
      </c>
      <c r="CF51" s="307" t="n"/>
      <c r="CG51" s="307" t="n"/>
      <c r="CH51" s="307" t="n"/>
      <c r="CI51" s="307" t="n"/>
      <c r="CJ51" s="306">
        <f>-(CJ50/CJ$15)</f>
        <v>0</v>
      </c>
      <c r="CK51" s="307" t="n"/>
      <c r="CL51" s="307" t="n"/>
      <c r="CM51" s="307" t="n"/>
      <c r="CN51" s="307" t="n"/>
      <c r="CO51" s="306">
        <f>-(CO50/CO$15)</f>
        <v>0</v>
      </c>
      <c r="CP51" s="307" t="n"/>
      <c r="CQ51" s="307" t="n"/>
      <c r="CR51" s="307" t="n"/>
      <c r="CS51" s="307" t="n"/>
      <c r="CT51" s="306">
        <f>-(CT50/CT$15)</f>
        <v>0</v>
      </c>
      <c r="CU51" s="307" t="n"/>
      <c r="CV51" s="307" t="n"/>
      <c r="CW51" s="307" t="n"/>
      <c r="CX51" s="307" t="n"/>
      <c r="CY51" s="306">
        <f>-(CY50/CY$15)</f>
        <v>0</v>
      </c>
    </row>
    <row r="52" hidden="1" outlineLevel="1" ht="12.75" customHeight="1" s="255">
      <c r="C52" s="305" t="n"/>
      <c r="D52" s="305" t="n"/>
      <c r="E52" s="305" t="n"/>
      <c r="F52" s="305" t="n"/>
      <c r="G52" s="305" t="n"/>
      <c r="H52" s="305" t="n"/>
      <c r="I52" s="305" t="n"/>
      <c r="J52" s="305" t="n"/>
      <c r="K52" s="305" t="n"/>
      <c r="L52" s="305" t="n"/>
      <c r="M52" s="305" t="n"/>
      <c r="N52" s="305" t="n"/>
      <c r="O52" s="305" t="n"/>
      <c r="P52" s="305" t="n"/>
      <c r="Q52" s="305" t="n"/>
      <c r="R52" s="305" t="n"/>
      <c r="S52" s="305" t="n"/>
      <c r="T52" s="305" t="n"/>
      <c r="U52" s="305" t="n"/>
      <c r="V52" s="305" t="n"/>
      <c r="W52" s="305" t="n"/>
      <c r="X52" s="305" t="n"/>
      <c r="Y52" s="305" t="n"/>
      <c r="Z52" s="305" t="n"/>
      <c r="AA52" s="305" t="n"/>
      <c r="AB52" s="305" t="n"/>
      <c r="AC52" s="305" t="n"/>
      <c r="AD52" s="305" t="n"/>
      <c r="AE52" s="305" t="n"/>
      <c r="AF52" s="305" t="n"/>
      <c r="AG52" s="305" t="n"/>
      <c r="AH52" s="305" t="n"/>
      <c r="AI52" s="305" t="n"/>
      <c r="AJ52" s="305" t="n"/>
      <c r="AK52" s="305" t="n"/>
      <c r="AL52" s="305" t="n"/>
      <c r="AM52" s="305" t="n"/>
      <c r="AN52" s="305" t="n"/>
      <c r="AO52" s="305" t="n"/>
      <c r="AP52" s="305" t="n"/>
      <c r="AQ52" s="305" t="n"/>
      <c r="AR52" s="305" t="n"/>
      <c r="AS52" s="305" t="n"/>
      <c r="AT52" s="305" t="n"/>
      <c r="AU52" s="305" t="n"/>
      <c r="AV52" s="305" t="n"/>
      <c r="AW52" s="305" t="n"/>
      <c r="AX52" s="305" t="n"/>
      <c r="AY52" s="305" t="n"/>
      <c r="AZ52" s="305" t="n"/>
      <c r="BA52" s="305" t="n"/>
      <c r="BB52" s="305" t="n"/>
      <c r="BC52" s="305" t="n"/>
      <c r="BD52" s="305" t="n"/>
      <c r="BE52" s="305" t="n"/>
      <c r="BF52" s="305" t="n"/>
      <c r="BG52" s="305" t="n"/>
      <c r="BH52" s="305" t="n"/>
      <c r="BI52" s="305" t="n"/>
      <c r="BJ52" s="305" t="n"/>
      <c r="BK52" s="305" t="n"/>
      <c r="BL52" s="305" t="n"/>
      <c r="BM52" s="305" t="n"/>
      <c r="BN52" s="305" t="n"/>
      <c r="BO52" s="305" t="n"/>
      <c r="BP52" s="305" t="n"/>
      <c r="BQ52" s="305" t="n"/>
      <c r="BR52" s="305" t="n"/>
      <c r="BS52" s="305" t="n"/>
      <c r="BT52" s="305" t="n"/>
      <c r="BU52" s="305" t="n"/>
      <c r="BV52" s="305" t="n"/>
      <c r="BW52" s="305" t="n"/>
      <c r="BX52" s="305" t="n"/>
      <c r="BY52" s="305" t="n"/>
      <c r="BZ52" s="305" t="n"/>
      <c r="CA52" s="305" t="n"/>
      <c r="CB52" s="305" t="n"/>
      <c r="CC52" s="305" t="n"/>
      <c r="CD52" s="305" t="n"/>
      <c r="CE52" s="305" t="n"/>
      <c r="CF52" s="305" t="n"/>
      <c r="CG52" s="305" t="n"/>
      <c r="CH52" s="305" t="n"/>
      <c r="CI52" s="305" t="n"/>
      <c r="CJ52" s="305" t="n"/>
      <c r="CK52" s="305" t="n"/>
      <c r="CL52" s="305" t="n"/>
      <c r="CM52" s="305" t="n"/>
      <c r="CN52" s="305" t="n"/>
      <c r="CO52" s="305" t="n"/>
      <c r="CP52" s="305" t="n"/>
      <c r="CQ52" s="305" t="n"/>
      <c r="CR52" s="305" t="n"/>
      <c r="CS52" s="305" t="n"/>
      <c r="CT52" s="305" t="n"/>
      <c r="CU52" s="305" t="n"/>
      <c r="CV52" s="305" t="n"/>
      <c r="CW52" s="305" t="n"/>
      <c r="CX52" s="305" t="n"/>
      <c r="CY52" s="305" t="n"/>
    </row>
    <row r="53" hidden="1" outlineLevel="1" ht="12.75" customHeight="1" s="255">
      <c r="C53" s="305" t="inlineStr">
        <is>
          <t>Com Vendas</t>
        </is>
      </c>
      <c r="D53" s="267" t="n"/>
      <c r="E53" s="267" t="n"/>
      <c r="F53" s="267" t="n"/>
      <c r="G53" s="267" t="n"/>
      <c r="H53" s="305" t="n"/>
      <c r="I53" s="267" t="n"/>
      <c r="J53" s="267" t="n"/>
      <c r="K53" s="267" t="n"/>
      <c r="L53" s="267" t="n"/>
      <c r="M53" s="305" t="n"/>
      <c r="N53" s="267" t="n"/>
      <c r="O53" s="267" t="n"/>
      <c r="P53" s="267" t="n"/>
      <c r="Q53" s="267" t="n"/>
      <c r="R53" s="305" t="n"/>
      <c r="S53" s="267" t="n"/>
      <c r="T53" s="267" t="n"/>
      <c r="U53" s="267" t="n"/>
      <c r="V53" s="267" t="n"/>
      <c r="W53" s="305" t="n"/>
      <c r="X53" s="267" t="n"/>
      <c r="Y53" s="267" t="n"/>
      <c r="Z53" s="267" t="n"/>
      <c r="AA53" s="267" t="n"/>
      <c r="AB53" s="305" t="n"/>
      <c r="AC53" s="267" t="n"/>
      <c r="AD53" s="267" t="n"/>
      <c r="AE53" s="267" t="n"/>
      <c r="AF53" s="267" t="n"/>
      <c r="AG53" s="305" t="n"/>
      <c r="AH53" s="305" t="n"/>
      <c r="AI53" s="305" t="n"/>
      <c r="AJ53" s="305" t="n"/>
      <c r="AK53" s="305" t="n"/>
      <c r="AL53" s="305" t="n"/>
      <c r="AM53" s="305" t="n"/>
      <c r="AN53" s="305" t="n"/>
      <c r="AO53" s="305" t="n"/>
      <c r="AP53" s="305" t="n"/>
      <c r="AQ53" s="305" t="n"/>
      <c r="AR53" s="305" t="n"/>
      <c r="AS53" s="305" t="n"/>
      <c r="AT53" s="305" t="n"/>
      <c r="AU53" s="305" t="n"/>
      <c r="AV53" s="305" t="n"/>
      <c r="AW53" s="305" t="n"/>
      <c r="AX53" s="305" t="n"/>
      <c r="AY53" s="305" t="n"/>
      <c r="AZ53" s="305" t="n"/>
      <c r="BA53" s="305" t="n"/>
      <c r="BB53" s="305" t="n"/>
      <c r="BC53" s="305" t="n"/>
      <c r="BD53" s="305" t="n"/>
      <c r="BE53" s="305" t="n"/>
      <c r="BF53" s="305" t="n"/>
      <c r="BG53" s="305" t="n"/>
      <c r="BH53" s="305" t="n"/>
      <c r="BI53" s="305" t="n"/>
      <c r="BJ53" s="305" t="n"/>
      <c r="BK53" s="305" t="n"/>
      <c r="BL53" s="305" t="n"/>
      <c r="BM53" s="305" t="n"/>
      <c r="BN53" s="305" t="n"/>
      <c r="BO53" s="305" t="n"/>
      <c r="BP53" s="305" t="n"/>
      <c r="BQ53" s="305" t="n"/>
      <c r="BR53" s="305" t="n"/>
      <c r="BS53" s="305" t="n"/>
      <c r="BT53" s="305" t="n"/>
      <c r="BU53" s="305" t="n"/>
      <c r="BV53" s="305" t="n"/>
      <c r="BW53" s="305" t="n"/>
      <c r="BX53" s="305" t="n"/>
      <c r="BY53" s="305" t="n"/>
      <c r="BZ53" s="305" t="n"/>
      <c r="CA53" s="305" t="n"/>
      <c r="CB53" s="305" t="n"/>
      <c r="CC53" s="305" t="n"/>
      <c r="CD53" s="305" t="n"/>
      <c r="CE53" s="305" t="n"/>
      <c r="CF53" s="305" t="n"/>
      <c r="CG53" s="305" t="n"/>
      <c r="CH53" s="305" t="n"/>
      <c r="CI53" s="305" t="n"/>
      <c r="CJ53" s="305" t="n"/>
      <c r="CK53" s="305" t="n"/>
      <c r="CL53" s="305" t="n"/>
      <c r="CM53" s="305" t="n"/>
      <c r="CN53" s="305" t="n"/>
      <c r="CO53" s="305" t="n"/>
      <c r="CP53" s="305" t="n"/>
      <c r="CQ53" s="305" t="n"/>
      <c r="CR53" s="305" t="n"/>
      <c r="CS53" s="305" t="n"/>
      <c r="CT53" s="305" t="n"/>
      <c r="CU53" s="305" t="n"/>
      <c r="CV53" s="305" t="n"/>
      <c r="CW53" s="305" t="n"/>
      <c r="CX53" s="305" t="n"/>
      <c r="CY53" s="305" t="n"/>
    </row>
    <row r="54" hidden="1" outlineLevel="1" ht="12.75" customHeight="1" s="255">
      <c r="C54" s="305" t="inlineStr">
        <is>
          <t>Gerais &amp; Administrativas</t>
        </is>
      </c>
      <c r="D54" s="267" t="n"/>
      <c r="E54" s="267" t="n"/>
      <c r="F54" s="267" t="n"/>
      <c r="G54" s="267" t="n"/>
      <c r="H54" s="305" t="n"/>
      <c r="I54" s="267" t="n"/>
      <c r="J54" s="267" t="n"/>
      <c r="K54" s="267" t="n"/>
      <c r="L54" s="267" t="n"/>
      <c r="M54" s="305" t="n"/>
      <c r="N54" s="267" t="n"/>
      <c r="O54" s="267" t="n"/>
      <c r="P54" s="267" t="n"/>
      <c r="Q54" s="267" t="n"/>
      <c r="R54" s="305" t="n"/>
      <c r="S54" s="267" t="n"/>
      <c r="T54" s="267" t="n"/>
      <c r="U54" s="267" t="n"/>
      <c r="V54" s="267" t="n"/>
      <c r="W54" s="305" t="n"/>
      <c r="X54" s="267" t="n"/>
      <c r="Y54" s="267" t="n"/>
      <c r="Z54" s="267" t="n"/>
      <c r="AA54" s="267" t="n"/>
      <c r="AB54" s="305" t="n"/>
      <c r="AC54" s="267" t="n"/>
      <c r="AD54" s="267" t="n"/>
      <c r="AE54" s="267" t="n"/>
      <c r="AF54" s="267" t="n"/>
      <c r="AG54" s="305" t="n"/>
      <c r="AH54" s="305" t="n"/>
      <c r="AI54" s="305" t="n"/>
      <c r="AJ54" s="305" t="n"/>
      <c r="AK54" s="305" t="n"/>
      <c r="AL54" s="305" t="n"/>
      <c r="AM54" s="305" t="n"/>
      <c r="AN54" s="305" t="n"/>
      <c r="AO54" s="305" t="n"/>
      <c r="AP54" s="305" t="n"/>
      <c r="AQ54" s="305" t="n"/>
      <c r="AR54" s="305" t="n"/>
      <c r="AS54" s="305" t="n"/>
      <c r="AT54" s="305" t="n"/>
      <c r="AU54" s="305" t="n"/>
      <c r="AV54" s="305" t="n"/>
      <c r="AW54" s="305" t="n"/>
      <c r="AX54" s="305" t="n"/>
      <c r="AY54" s="305" t="n"/>
      <c r="AZ54" s="305" t="n"/>
      <c r="BA54" s="305" t="n"/>
      <c r="BB54" s="305" t="n"/>
      <c r="BC54" s="305" t="n"/>
      <c r="BD54" s="305" t="n"/>
      <c r="BE54" s="305" t="n"/>
      <c r="BF54" s="305" t="n"/>
      <c r="BG54" s="305" t="n"/>
      <c r="BH54" s="305" t="n"/>
      <c r="BI54" s="305" t="n"/>
      <c r="BJ54" s="305" t="n"/>
      <c r="BK54" s="305" t="n"/>
      <c r="BL54" s="305" t="n"/>
      <c r="BM54" s="305" t="n"/>
      <c r="BN54" s="305" t="n"/>
      <c r="BO54" s="305" t="n"/>
      <c r="BP54" s="305" t="n"/>
      <c r="BQ54" s="305" t="n"/>
      <c r="BR54" s="305" t="n"/>
      <c r="BS54" s="305" t="n"/>
      <c r="BT54" s="305" t="n"/>
      <c r="BU54" s="305" t="n"/>
      <c r="BV54" s="305" t="n"/>
      <c r="BW54" s="305" t="n"/>
      <c r="BX54" s="305" t="n"/>
      <c r="BY54" s="305" t="n"/>
      <c r="BZ54" s="305" t="n"/>
      <c r="CA54" s="305" t="n"/>
      <c r="CB54" s="305" t="n"/>
      <c r="CC54" s="305" t="n"/>
      <c r="CD54" s="305" t="n"/>
      <c r="CE54" s="305" t="n"/>
      <c r="CF54" s="305" t="n"/>
      <c r="CG54" s="305" t="n"/>
      <c r="CH54" s="305" t="n"/>
      <c r="CI54" s="305" t="n"/>
      <c r="CJ54" s="305" t="n"/>
      <c r="CK54" s="305" t="n"/>
      <c r="CL54" s="305" t="n"/>
      <c r="CM54" s="305" t="n"/>
      <c r="CN54" s="305" t="n"/>
      <c r="CO54" s="305" t="n"/>
      <c r="CP54" s="305" t="n"/>
      <c r="CQ54" s="305" t="n"/>
      <c r="CR54" s="305" t="n"/>
      <c r="CS54" s="305" t="n"/>
      <c r="CT54" s="305" t="n"/>
      <c r="CU54" s="305" t="n"/>
      <c r="CV54" s="305" t="n"/>
      <c r="CW54" s="305" t="n"/>
      <c r="CX54" s="305" t="n"/>
      <c r="CY54" s="305" t="n"/>
    </row>
    <row r="55" hidden="1" outlineLevel="1" ht="12.75" customHeight="1" s="255">
      <c r="C55" s="305" t="inlineStr">
        <is>
          <t>Outras Receitas (Despesas) Operacionais, Líquidas</t>
        </is>
      </c>
      <c r="D55" s="267" t="n"/>
      <c r="E55" s="267" t="n"/>
      <c r="F55" s="267" t="n"/>
      <c r="G55" s="267" t="n"/>
      <c r="H55" s="305" t="n"/>
      <c r="I55" s="267" t="n"/>
      <c r="J55" s="267" t="n"/>
      <c r="K55" s="267" t="n"/>
      <c r="L55" s="267" t="n"/>
      <c r="M55" s="305" t="n"/>
      <c r="N55" s="267" t="n"/>
      <c r="O55" s="267" t="n"/>
      <c r="P55" s="267" t="n"/>
      <c r="Q55" s="267" t="n"/>
      <c r="R55" s="305" t="n"/>
      <c r="S55" s="267" t="n"/>
      <c r="T55" s="267" t="n"/>
      <c r="U55" s="267" t="n"/>
      <c r="V55" s="267" t="n"/>
      <c r="W55" s="305" t="n"/>
      <c r="X55" s="267" t="n"/>
      <c r="Y55" s="267" t="n"/>
      <c r="Z55" s="267" t="n"/>
      <c r="AA55" s="267" t="n"/>
      <c r="AB55" s="305" t="n"/>
      <c r="AC55" s="267" t="n"/>
      <c r="AD55" s="267" t="n"/>
      <c r="AE55" s="267" t="n"/>
      <c r="AF55" s="267" t="n"/>
      <c r="AG55" s="305" t="n"/>
      <c r="AH55" s="305" t="n"/>
      <c r="AI55" s="305" t="n"/>
      <c r="AJ55" s="305" t="n"/>
      <c r="AK55" s="305" t="n"/>
      <c r="AL55" s="305" t="n"/>
      <c r="AM55" s="305" t="n"/>
      <c r="AN55" s="305" t="n"/>
      <c r="AO55" s="305" t="n"/>
      <c r="AP55" s="305" t="n"/>
      <c r="AQ55" s="305" t="n"/>
      <c r="AR55" s="305" t="n"/>
      <c r="AS55" s="305" t="n"/>
      <c r="AT55" s="305" t="n"/>
      <c r="AU55" s="305" t="n"/>
      <c r="AV55" s="305" t="n"/>
      <c r="AW55" s="305" t="n"/>
      <c r="AX55" s="305" t="n"/>
      <c r="AY55" s="305" t="n"/>
      <c r="AZ55" s="305" t="n"/>
      <c r="BA55" s="305" t="n"/>
      <c r="BB55" s="305" t="n"/>
      <c r="BC55" s="305" t="n"/>
      <c r="BD55" s="305" t="n"/>
      <c r="BE55" s="305" t="n"/>
      <c r="BF55" s="305" t="n"/>
      <c r="BG55" s="305" t="n"/>
      <c r="BH55" s="305" t="n"/>
      <c r="BI55" s="305" t="n"/>
      <c r="BJ55" s="305" t="n"/>
      <c r="BK55" s="305" t="n"/>
      <c r="BL55" s="305" t="n"/>
      <c r="BM55" s="305" t="n"/>
      <c r="BN55" s="305" t="n"/>
      <c r="BO55" s="305" t="n"/>
      <c r="BP55" s="305" t="n"/>
      <c r="BQ55" s="305" t="n"/>
      <c r="BR55" s="305" t="n"/>
      <c r="BS55" s="305" t="n"/>
      <c r="BT55" s="305" t="n"/>
      <c r="BU55" s="305" t="n"/>
      <c r="BV55" s="305" t="n"/>
      <c r="BW55" s="305" t="n"/>
      <c r="BX55" s="305" t="n"/>
      <c r="BY55" s="305" t="n"/>
      <c r="BZ55" s="305" t="n"/>
      <c r="CA55" s="305" t="n"/>
      <c r="CB55" s="305" t="n"/>
      <c r="CC55" s="305" t="n"/>
      <c r="CD55" s="305" t="n"/>
      <c r="CE55" s="305" t="n"/>
      <c r="CF55" s="305" t="n"/>
      <c r="CG55" s="305" t="n"/>
      <c r="CH55" s="305" t="n"/>
      <c r="CI55" s="305" t="n"/>
      <c r="CJ55" s="305" t="n"/>
      <c r="CK55" s="305" t="n"/>
      <c r="CL55" s="305" t="n"/>
      <c r="CM55" s="305" t="n"/>
      <c r="CN55" s="305" t="n"/>
      <c r="CO55" s="305" t="n"/>
      <c r="CP55" s="305" t="n"/>
      <c r="CQ55" s="305" t="n"/>
      <c r="CR55" s="305" t="n"/>
      <c r="CS55" s="305" t="n"/>
      <c r="CT55" s="305" t="n"/>
      <c r="CU55" s="305" t="n"/>
      <c r="CV55" s="305" t="n"/>
      <c r="CW55" s="305" t="n"/>
      <c r="CX55" s="305" t="n"/>
      <c r="CY55" s="305" t="n"/>
    </row>
    <row r="56" hidden="1" outlineLevel="1" ht="12.75" customHeight="1" s="255">
      <c r="C56" s="305" t="n"/>
      <c r="D56" s="305" t="n"/>
      <c r="E56" s="305" t="n"/>
      <c r="F56" s="305" t="n"/>
      <c r="G56" s="305" t="n"/>
      <c r="H56" s="305" t="n"/>
      <c r="I56" s="305" t="n"/>
      <c r="J56" s="305" t="n"/>
      <c r="K56" s="305" t="n"/>
      <c r="L56" s="305" t="n"/>
      <c r="M56" s="305" t="n"/>
      <c r="N56" s="305" t="n"/>
      <c r="O56" s="305" t="n"/>
      <c r="P56" s="305" t="n"/>
      <c r="Q56" s="305" t="n"/>
      <c r="R56" s="305" t="n"/>
      <c r="S56" s="305" t="n"/>
      <c r="T56" s="305" t="n"/>
      <c r="U56" s="305" t="n"/>
      <c r="V56" s="305" t="n"/>
      <c r="W56" s="305" t="n"/>
      <c r="X56" s="305" t="n"/>
      <c r="Y56" s="305" t="n"/>
      <c r="Z56" s="305" t="n"/>
      <c r="AA56" s="305" t="n"/>
      <c r="AB56" s="305" t="n"/>
      <c r="AC56" s="305" t="n"/>
      <c r="AD56" s="305" t="n"/>
      <c r="AE56" s="305" t="n"/>
      <c r="AF56" s="305" t="n"/>
      <c r="AG56" s="305" t="n"/>
      <c r="AH56" s="305" t="n"/>
      <c r="AI56" s="305" t="n"/>
      <c r="AJ56" s="305" t="n"/>
      <c r="AK56" s="305" t="n"/>
      <c r="AL56" s="305" t="n"/>
      <c r="AM56" s="305" t="n"/>
      <c r="AN56" s="305" t="n"/>
      <c r="AO56" s="305" t="n"/>
      <c r="AP56" s="305" t="n"/>
      <c r="AQ56" s="305" t="n"/>
      <c r="AR56" s="305" t="n"/>
      <c r="AS56" s="305" t="n"/>
      <c r="AT56" s="305" t="n"/>
      <c r="AU56" s="305" t="n"/>
      <c r="AV56" s="305" t="n"/>
      <c r="AW56" s="305" t="n"/>
      <c r="AX56" s="305" t="n"/>
      <c r="AY56" s="305" t="n"/>
      <c r="AZ56" s="305" t="n"/>
      <c r="BA56" s="305" t="n"/>
      <c r="BB56" s="305" t="n"/>
      <c r="BC56" s="305" t="n"/>
      <c r="BD56" s="305" t="n"/>
      <c r="BE56" s="305" t="n"/>
      <c r="BF56" s="305" t="n"/>
      <c r="BG56" s="305" t="n"/>
      <c r="BH56" s="305" t="n"/>
      <c r="BI56" s="305" t="n"/>
      <c r="BJ56" s="305" t="n"/>
      <c r="BK56" s="305" t="n"/>
      <c r="BL56" s="305" t="n"/>
      <c r="BM56" s="305" t="n"/>
      <c r="BN56" s="305" t="n"/>
      <c r="BO56" s="305" t="n"/>
      <c r="BP56" s="305" t="n"/>
      <c r="BQ56" s="305" t="n"/>
      <c r="BR56" s="305" t="n"/>
      <c r="BS56" s="305" t="n"/>
      <c r="BT56" s="305" t="n"/>
      <c r="BU56" s="305" t="n"/>
      <c r="BV56" s="305" t="n"/>
      <c r="BW56" s="305" t="n"/>
      <c r="BX56" s="305" t="n"/>
      <c r="BY56" s="305" t="n"/>
      <c r="BZ56" s="305" t="n"/>
      <c r="CA56" s="305" t="n"/>
      <c r="CB56" s="305" t="n"/>
      <c r="CC56" s="305" t="n"/>
      <c r="CD56" s="305" t="n"/>
      <c r="CE56" s="305" t="n"/>
      <c r="CF56" s="305" t="n"/>
      <c r="CG56" s="305" t="n"/>
      <c r="CH56" s="305" t="n"/>
      <c r="CI56" s="305" t="n"/>
      <c r="CJ56" s="305" t="n"/>
      <c r="CK56" s="305" t="n"/>
      <c r="CL56" s="305" t="n"/>
      <c r="CM56" s="305" t="n"/>
      <c r="CN56" s="305" t="n"/>
      <c r="CO56" s="305" t="n"/>
      <c r="CP56" s="305" t="n"/>
      <c r="CQ56" s="305" t="n"/>
      <c r="CR56" s="305" t="n"/>
      <c r="CS56" s="305" t="n"/>
      <c r="CT56" s="305" t="n"/>
      <c r="CU56" s="305" t="n"/>
      <c r="CV56" s="305" t="n"/>
      <c r="CW56" s="305" t="n"/>
      <c r="CX56" s="305" t="n"/>
      <c r="CY56" s="305" t="n"/>
    </row>
    <row r="57" hidden="1" outlineLevel="1" ht="12.75" customHeight="1" s="255">
      <c r="C57" s="305" t="inlineStr">
        <is>
          <t>Com Vendas (%)</t>
        </is>
      </c>
      <c r="D57" s="305" t="n"/>
      <c r="E57" s="305" t="n"/>
      <c r="F57" s="305" t="n"/>
      <c r="G57" s="305" t="n"/>
      <c r="H57" s="305" t="n"/>
      <c r="I57" s="305" t="n"/>
      <c r="J57" s="305" t="n"/>
      <c r="K57" s="305" t="n"/>
      <c r="L57" s="305" t="n"/>
      <c r="M57" s="305" t="n"/>
      <c r="N57" s="305" t="n"/>
      <c r="O57" s="305" t="n"/>
      <c r="P57" s="305" t="n"/>
      <c r="Q57" s="305" t="n"/>
      <c r="R57" s="305" t="n"/>
      <c r="S57" s="305" t="n"/>
      <c r="T57" s="305" t="n"/>
      <c r="U57" s="305" t="n"/>
      <c r="V57" s="305" t="n"/>
      <c r="W57" s="305" t="n"/>
      <c r="X57" s="305" t="n"/>
      <c r="Y57" s="305" t="n"/>
      <c r="Z57" s="305" t="n"/>
      <c r="AA57" s="305" t="n"/>
      <c r="AB57" s="305" t="n"/>
      <c r="AC57" s="305" t="n"/>
      <c r="AD57" s="305" t="n"/>
      <c r="AE57" s="305" t="n"/>
      <c r="AF57" s="305" t="n"/>
      <c r="AG57" s="305" t="n"/>
      <c r="AH57" s="305" t="n"/>
      <c r="AI57" s="305" t="n"/>
      <c r="AJ57" s="305" t="n"/>
      <c r="AK57" s="305" t="n"/>
      <c r="AL57" s="305" t="n"/>
      <c r="AM57" s="305" t="n"/>
      <c r="AN57" s="305" t="n"/>
      <c r="AO57" s="305" t="n"/>
      <c r="AP57" s="305" t="n"/>
      <c r="AQ57" s="305" t="n"/>
      <c r="AR57" s="305" t="n"/>
      <c r="AS57" s="305" t="n"/>
      <c r="AT57" s="305" t="n"/>
      <c r="AU57" s="305" t="n"/>
      <c r="AV57" s="305" t="n"/>
      <c r="AW57" s="305" t="n"/>
      <c r="AX57" s="305" t="n"/>
      <c r="AY57" s="305" t="n"/>
      <c r="AZ57" s="305" t="n"/>
      <c r="BA57" s="305" t="n"/>
      <c r="BB57" s="305" t="n"/>
      <c r="BC57" s="305" t="n"/>
      <c r="BD57" s="305" t="n"/>
      <c r="BE57" s="305" t="n"/>
      <c r="BF57" s="305" t="n"/>
      <c r="BG57" s="305" t="n"/>
      <c r="BH57" s="305" t="n"/>
      <c r="BI57" s="305" t="n"/>
      <c r="BJ57" s="305" t="n"/>
      <c r="BK57" s="305" t="n"/>
      <c r="BL57" s="305" t="n"/>
      <c r="BM57" s="305" t="n"/>
      <c r="BN57" s="305" t="n"/>
      <c r="BO57" s="305" t="n"/>
      <c r="BP57" s="305" t="n"/>
      <c r="BQ57" s="305" t="n"/>
      <c r="BR57" s="305" t="n"/>
      <c r="BS57" s="305" t="n"/>
      <c r="BT57" s="305" t="n"/>
      <c r="BU57" s="305" t="n"/>
      <c r="BV57" s="305" t="n"/>
      <c r="BW57" s="305" t="n"/>
      <c r="BX57" s="305" t="n"/>
      <c r="BY57" s="305" t="n"/>
      <c r="BZ57" s="305" t="n"/>
      <c r="CA57" s="305" t="n"/>
      <c r="CB57" s="305" t="n"/>
      <c r="CC57" s="305" t="n"/>
      <c r="CD57" s="305" t="n"/>
      <c r="CE57" s="305" t="n"/>
      <c r="CF57" s="305" t="n"/>
      <c r="CG57" s="305" t="n"/>
      <c r="CH57" s="305" t="n"/>
      <c r="CI57" s="305" t="n"/>
      <c r="CJ57" s="305" t="n"/>
      <c r="CK57" s="305" t="n"/>
      <c r="CL57" s="305" t="n"/>
      <c r="CM57" s="305" t="n"/>
      <c r="CN57" s="305" t="n"/>
      <c r="CO57" s="305" t="n"/>
      <c r="CP57" s="305" t="n"/>
      <c r="CQ57" s="305" t="n"/>
      <c r="CR57" s="305" t="n"/>
      <c r="CS57" s="305" t="n"/>
      <c r="CT57" s="305" t="n"/>
      <c r="CU57" s="305" t="n"/>
      <c r="CV57" s="305" t="n"/>
      <c r="CW57" s="305" t="n"/>
      <c r="CX57" s="305" t="n"/>
      <c r="CY57" s="305" t="n"/>
    </row>
    <row r="58" hidden="1" outlineLevel="1" ht="12.75" customHeight="1" s="255">
      <c r="C58" s="305" t="inlineStr">
        <is>
          <t>Gerais &amp; Administrativas (%)</t>
        </is>
      </c>
      <c r="D58" s="305" t="n"/>
      <c r="E58" s="305" t="n"/>
      <c r="F58" s="305" t="n"/>
      <c r="G58" s="305" t="n"/>
      <c r="H58" s="305" t="n"/>
      <c r="I58" s="305" t="n"/>
      <c r="J58" s="305" t="n"/>
      <c r="K58" s="305" t="n"/>
      <c r="L58" s="305" t="n"/>
      <c r="M58" s="305" t="n"/>
      <c r="N58" s="305" t="n"/>
      <c r="O58" s="305" t="n"/>
      <c r="P58" s="305" t="n"/>
      <c r="Q58" s="305" t="n"/>
      <c r="R58" s="305" t="n"/>
      <c r="S58" s="305" t="n"/>
      <c r="T58" s="305" t="n"/>
      <c r="U58" s="305" t="n"/>
      <c r="V58" s="305" t="n"/>
      <c r="W58" s="305" t="n"/>
      <c r="X58" s="305" t="n"/>
      <c r="Y58" s="305" t="n"/>
      <c r="Z58" s="305" t="n"/>
      <c r="AA58" s="305" t="n"/>
      <c r="AB58" s="305" t="n"/>
      <c r="AC58" s="305" t="n"/>
      <c r="AD58" s="305" t="n"/>
      <c r="AE58" s="305" t="n"/>
      <c r="AF58" s="305" t="n"/>
      <c r="AG58" s="305" t="n"/>
      <c r="AH58" s="305" t="n"/>
      <c r="AI58" s="305" t="n"/>
      <c r="AJ58" s="305" t="n"/>
      <c r="AK58" s="305" t="n"/>
      <c r="AL58" s="305" t="n"/>
      <c r="AM58" s="305" t="n"/>
      <c r="AN58" s="305" t="n"/>
      <c r="AO58" s="305" t="n"/>
      <c r="AP58" s="305" t="n"/>
      <c r="AQ58" s="305" t="n"/>
      <c r="AR58" s="305" t="n"/>
      <c r="AS58" s="305" t="n"/>
      <c r="AT58" s="305" t="n"/>
      <c r="AU58" s="305" t="n"/>
      <c r="AV58" s="305" t="n"/>
      <c r="AW58" s="305" t="n"/>
      <c r="AX58" s="305" t="n"/>
      <c r="AY58" s="305" t="n"/>
      <c r="AZ58" s="305" t="n"/>
      <c r="BA58" s="305" t="n"/>
      <c r="BB58" s="305" t="n"/>
      <c r="BC58" s="305" t="n"/>
      <c r="BD58" s="305" t="n"/>
      <c r="BE58" s="305" t="n"/>
      <c r="BF58" s="305" t="n"/>
      <c r="BG58" s="305" t="n"/>
      <c r="BH58" s="305" t="n"/>
      <c r="BI58" s="305" t="n"/>
      <c r="BJ58" s="305" t="n"/>
      <c r="BK58" s="305" t="n"/>
      <c r="BL58" s="305" t="n"/>
      <c r="BM58" s="305" t="n"/>
      <c r="BN58" s="305" t="n"/>
      <c r="BO58" s="305" t="n"/>
      <c r="BP58" s="305" t="n"/>
      <c r="BQ58" s="305" t="n"/>
      <c r="BR58" s="305" t="n"/>
      <c r="BS58" s="305" t="n"/>
      <c r="BT58" s="305" t="n"/>
      <c r="BU58" s="305" t="n"/>
      <c r="BV58" s="305" t="n"/>
      <c r="BW58" s="305" t="n"/>
      <c r="BX58" s="305" t="n"/>
      <c r="BY58" s="305" t="n"/>
      <c r="BZ58" s="305" t="n"/>
      <c r="CA58" s="305" t="n"/>
      <c r="CB58" s="305" t="n"/>
      <c r="CC58" s="305" t="n"/>
      <c r="CD58" s="305" t="n"/>
      <c r="CE58" s="305" t="n"/>
      <c r="CF58" s="305" t="n"/>
      <c r="CG58" s="305" t="n"/>
      <c r="CH58" s="305" t="n"/>
      <c r="CI58" s="305" t="n"/>
      <c r="CJ58" s="305" t="n"/>
      <c r="CK58" s="305" t="n"/>
      <c r="CL58" s="305" t="n"/>
      <c r="CM58" s="305" t="n"/>
      <c r="CN58" s="305" t="n"/>
      <c r="CO58" s="305" t="n"/>
      <c r="CP58" s="305" t="n"/>
      <c r="CQ58" s="305" t="n"/>
      <c r="CR58" s="305" t="n"/>
      <c r="CS58" s="305" t="n"/>
      <c r="CT58" s="305" t="n"/>
      <c r="CU58" s="305" t="n"/>
      <c r="CV58" s="305" t="n"/>
      <c r="CW58" s="305" t="n"/>
      <c r="CX58" s="305" t="n"/>
      <c r="CY58" s="305" t="n"/>
    </row>
    <row r="59" hidden="1" outlineLevel="1" ht="12.75" customHeight="1" s="255">
      <c r="C59" s="305" t="inlineStr">
        <is>
          <t>Outras Receitas (Despesas) Operacionais, Líquidas (%)</t>
        </is>
      </c>
      <c r="D59" s="305" t="n"/>
      <c r="E59" s="305" t="n"/>
      <c r="F59" s="305" t="n"/>
      <c r="G59" s="305" t="n"/>
      <c r="H59" s="305" t="n"/>
      <c r="I59" s="305" t="n"/>
      <c r="J59" s="305" t="n"/>
      <c r="K59" s="305" t="n"/>
      <c r="L59" s="305" t="n"/>
      <c r="M59" s="305" t="n"/>
      <c r="N59" s="305" t="n"/>
      <c r="O59" s="305" t="n"/>
      <c r="P59" s="305" t="n"/>
      <c r="Q59" s="305" t="n"/>
      <c r="R59" s="305" t="n"/>
      <c r="S59" s="305" t="n"/>
      <c r="T59" s="305" t="n"/>
      <c r="U59" s="305" t="n"/>
      <c r="V59" s="305" t="n"/>
      <c r="W59" s="305" t="n"/>
      <c r="X59" s="305" t="n"/>
      <c r="Y59" s="305" t="n"/>
      <c r="Z59" s="305" t="n"/>
      <c r="AA59" s="305" t="n"/>
      <c r="AB59" s="305" t="n"/>
      <c r="AC59" s="305" t="n"/>
      <c r="AD59" s="305" t="n"/>
      <c r="AE59" s="305" t="n"/>
      <c r="AF59" s="305" t="n"/>
      <c r="AG59" s="305" t="n"/>
      <c r="AH59" s="305" t="n"/>
      <c r="AI59" s="305" t="n"/>
      <c r="AJ59" s="305" t="n"/>
      <c r="AK59" s="305" t="n"/>
      <c r="AL59" s="305" t="n"/>
      <c r="AM59" s="305" t="n"/>
      <c r="AN59" s="305" t="n"/>
      <c r="AO59" s="305" t="n"/>
      <c r="AP59" s="305" t="n"/>
      <c r="AQ59" s="305" t="n"/>
      <c r="AR59" s="305" t="n"/>
      <c r="AS59" s="305" t="n"/>
      <c r="AT59" s="305" t="n"/>
      <c r="AU59" s="305" t="n"/>
      <c r="AV59" s="305" t="n"/>
      <c r="AW59" s="305" t="n"/>
      <c r="AX59" s="305" t="n"/>
      <c r="AY59" s="305" t="n"/>
      <c r="AZ59" s="305" t="n"/>
      <c r="BA59" s="305" t="n"/>
      <c r="BB59" s="305" t="n"/>
      <c r="BC59" s="305" t="n"/>
      <c r="BD59" s="305" t="n"/>
      <c r="BE59" s="305" t="n"/>
      <c r="BF59" s="305" t="n"/>
      <c r="BG59" s="305" t="n"/>
      <c r="BH59" s="305" t="n"/>
      <c r="BI59" s="305" t="n"/>
      <c r="BJ59" s="305" t="n"/>
      <c r="BK59" s="305" t="n"/>
      <c r="BL59" s="305" t="n"/>
      <c r="BM59" s="305" t="n"/>
      <c r="BN59" s="305" t="n"/>
      <c r="BO59" s="305" t="n"/>
      <c r="BP59" s="305" t="n"/>
      <c r="BQ59" s="305" t="n"/>
      <c r="BR59" s="305" t="n"/>
      <c r="BS59" s="305" t="n"/>
      <c r="BT59" s="305" t="n"/>
      <c r="BU59" s="305" t="n"/>
      <c r="BV59" s="305" t="n"/>
      <c r="BW59" s="305" t="n"/>
      <c r="BX59" s="305" t="n"/>
      <c r="BY59" s="305" t="n"/>
      <c r="BZ59" s="305" t="n"/>
      <c r="CA59" s="305" t="n"/>
      <c r="CB59" s="305" t="n"/>
      <c r="CC59" s="305" t="n"/>
      <c r="CD59" s="305" t="n"/>
      <c r="CE59" s="305" t="n"/>
      <c r="CF59" s="305" t="n"/>
      <c r="CG59" s="305" t="n"/>
      <c r="CH59" s="305" t="n"/>
      <c r="CI59" s="305" t="n"/>
      <c r="CJ59" s="305" t="n"/>
      <c r="CK59" s="305" t="n"/>
      <c r="CL59" s="305" t="n"/>
      <c r="CM59" s="305" t="n"/>
      <c r="CN59" s="305" t="n"/>
      <c r="CO59" s="305" t="n"/>
      <c r="CP59" s="305" t="n"/>
      <c r="CQ59" s="305" t="n"/>
      <c r="CR59" s="305" t="n"/>
      <c r="CS59" s="305" t="n"/>
      <c r="CT59" s="305" t="n"/>
      <c r="CU59" s="305" t="n"/>
      <c r="CV59" s="305" t="n"/>
      <c r="CW59" s="305" t="n"/>
      <c r="CX59" s="305" t="n"/>
      <c r="CY59" s="305" t="n"/>
    </row>
    <row r="60" hidden="1" outlineLevel="1" ht="12.75" customHeight="1" s="255">
      <c r="C60" s="305" t="n"/>
      <c r="D60" s="305" t="n"/>
      <c r="E60" s="305" t="n"/>
      <c r="F60" s="305" t="n"/>
      <c r="G60" s="305" t="n"/>
      <c r="H60" s="305" t="n"/>
      <c r="I60" s="305" t="n"/>
      <c r="J60" s="305" t="n"/>
      <c r="K60" s="305" t="n"/>
      <c r="L60" s="305" t="n"/>
      <c r="M60" s="305" t="n"/>
      <c r="N60" s="305" t="n"/>
      <c r="O60" s="305" t="n"/>
      <c r="P60" s="305" t="n"/>
      <c r="Q60" s="305" t="n"/>
      <c r="R60" s="305" t="n"/>
      <c r="S60" s="305" t="n"/>
      <c r="T60" s="305" t="n"/>
      <c r="U60" s="305" t="n"/>
      <c r="V60" s="305" t="n"/>
      <c r="W60" s="305" t="n"/>
      <c r="X60" s="305" t="n"/>
      <c r="Y60" s="305" t="n"/>
      <c r="Z60" s="305" t="n"/>
      <c r="AA60" s="305" t="n"/>
      <c r="AB60" s="305" t="n"/>
      <c r="AC60" s="305" t="n"/>
      <c r="AD60" s="305" t="n"/>
      <c r="AE60" s="305" t="n"/>
      <c r="AF60" s="305" t="n"/>
      <c r="AG60" s="305" t="n"/>
      <c r="AH60" s="305" t="n"/>
      <c r="AI60" s="305" t="n"/>
      <c r="AJ60" s="305" t="n"/>
      <c r="AK60" s="305" t="n"/>
      <c r="AL60" s="305" t="n"/>
      <c r="AM60" s="305" t="n"/>
      <c r="AN60" s="305" t="n"/>
      <c r="AO60" s="305" t="n"/>
      <c r="AP60" s="305" t="n"/>
      <c r="AQ60" s="305" t="n"/>
      <c r="AR60" s="305" t="n"/>
      <c r="AS60" s="305" t="n"/>
      <c r="AT60" s="305" t="n"/>
      <c r="AU60" s="305" t="n"/>
      <c r="AV60" s="305" t="n"/>
      <c r="AW60" s="305" t="n"/>
      <c r="AX60" s="305" t="n"/>
      <c r="AY60" s="305" t="n"/>
      <c r="AZ60" s="305" t="n"/>
      <c r="BA60" s="305" t="n"/>
      <c r="BB60" s="305" t="n"/>
      <c r="BC60" s="305" t="n"/>
      <c r="BD60" s="305" t="n"/>
      <c r="BE60" s="305" t="n"/>
      <c r="BF60" s="305" t="n"/>
      <c r="BG60" s="305" t="n"/>
      <c r="BH60" s="305" t="n"/>
      <c r="BI60" s="305" t="n"/>
      <c r="BJ60" s="305" t="n"/>
      <c r="BK60" s="305" t="n"/>
      <c r="BL60" s="305" t="n"/>
      <c r="BM60" s="305" t="n"/>
      <c r="BN60" s="305" t="n"/>
      <c r="BO60" s="305" t="n"/>
      <c r="BP60" s="305" t="n"/>
      <c r="BQ60" s="305" t="n"/>
      <c r="BR60" s="305" t="n"/>
      <c r="BS60" s="305" t="n"/>
      <c r="BT60" s="305" t="n"/>
      <c r="BU60" s="305" t="n"/>
      <c r="BV60" s="305" t="n"/>
      <c r="BW60" s="305" t="n"/>
      <c r="BX60" s="305" t="n"/>
      <c r="BY60" s="305" t="n"/>
      <c r="BZ60" s="305" t="n"/>
      <c r="CA60" s="305" t="n"/>
      <c r="CB60" s="305" t="n"/>
      <c r="CC60" s="305" t="n"/>
      <c r="CD60" s="305" t="n"/>
      <c r="CE60" s="305" t="n"/>
      <c r="CF60" s="305" t="n"/>
      <c r="CG60" s="305" t="n"/>
      <c r="CH60" s="305" t="n"/>
      <c r="CI60" s="305" t="n"/>
      <c r="CJ60" s="305" t="n"/>
      <c r="CK60" s="305" t="n"/>
      <c r="CL60" s="305" t="n"/>
      <c r="CM60" s="305" t="n"/>
      <c r="CN60" s="305" t="n"/>
      <c r="CO60" s="305" t="n"/>
      <c r="CP60" s="305" t="n"/>
      <c r="CQ60" s="305" t="n"/>
      <c r="CR60" s="305" t="n"/>
      <c r="CS60" s="305" t="n"/>
      <c r="CT60" s="305" t="n"/>
      <c r="CU60" s="305" t="n"/>
      <c r="CV60" s="305" t="n"/>
      <c r="CW60" s="305" t="n"/>
      <c r="CX60" s="305" t="n"/>
      <c r="CY60" s="305" t="n"/>
    </row>
    <row r="61" ht="12.75" customFormat="1" customHeight="1" s="287">
      <c r="A61" s="288" t="n"/>
      <c r="B61" s="259" t="n"/>
      <c r="C61" s="275" t="inlineStr">
        <is>
          <t>EBITDA</t>
        </is>
      </c>
      <c r="D61" s="276">
        <f>SUM(D15,D46,D50)</f>
        <v>-132</v>
      </c>
      <c r="E61" s="276">
        <f>SUM(E15,E46,E50)</f>
        <v>679</v>
      </c>
      <c r="F61" s="276">
        <f>SUM(F15,F46,F50)</f>
        <v>1274</v>
      </c>
      <c r="G61" s="276">
        <f>SUM(G15,G46,G50)</f>
        <v>2144</v>
      </c>
      <c r="H61" s="276">
        <f>SUM(D61:G61)</f>
        <v>3965</v>
      </c>
      <c r="I61" s="276">
        <f>SUM(I15,I46,I50)</f>
        <v>1951</v>
      </c>
      <c r="J61" s="276">
        <f>SUM(J15,J46,J50)</f>
        <v>2550</v>
      </c>
      <c r="K61" s="276">
        <f>SUM(K15,K46,K50)</f>
        <v>2990</v>
      </c>
      <c r="L61" s="276">
        <f>SUM(L15,L46,L50)</f>
        <v>2873</v>
      </c>
      <c r="M61" s="276">
        <f>SUM(I61:L61)</f>
        <v>10364</v>
      </c>
      <c r="N61" s="276">
        <f>SUM(N15,N46,N50)</f>
        <v>3298</v>
      </c>
      <c r="O61" s="276">
        <f>SUM(O15,O46,O50)</f>
        <v>2243</v>
      </c>
      <c r="P61" s="276">
        <f>SUM(P15,P46,P50)</f>
        <v>1470</v>
      </c>
      <c r="Q61" s="276">
        <f>SUM(Q15,Q46,Q50)</f>
        <v>2045</v>
      </c>
      <c r="R61" s="276">
        <f>SUM(N61:Q61)</f>
        <v>9056</v>
      </c>
      <c r="S61" s="276">
        <f>SUM(S15,S46,S50)</f>
        <v>2000</v>
      </c>
      <c r="T61" s="276">
        <f>SUM(T15,T46,T50)</f>
        <v>1957</v>
      </c>
      <c r="U61" s="276">
        <f>SUM(U15,U46,U50)</f>
        <v>2025</v>
      </c>
      <c r="V61" s="276">
        <f>SUM(V15,V46,V50)</f>
        <v>2311</v>
      </c>
      <c r="W61" s="276">
        <f>SUM(S61:V61)</f>
        <v>8293</v>
      </c>
      <c r="X61" s="276">
        <f>SUM(X15,X46,X50)</f>
        <v>2229</v>
      </c>
      <c r="Y61" s="276">
        <f>SUM(Y15,Y46,Y50)</f>
        <v>2558</v>
      </c>
      <c r="Z61" s="276">
        <f>SUM(Z15,Z46,Z50)</f>
        <v>2538</v>
      </c>
      <c r="AA61" s="276">
        <f>SUM(AA15,AA46,AA50)</f>
        <v>1780</v>
      </c>
      <c r="AB61" s="276">
        <f>SUM(X61:AA61)</f>
        <v>9105</v>
      </c>
      <c r="AC61" s="276">
        <f>SUM(AC15,AC46,AC50)</f>
        <v>1769</v>
      </c>
      <c r="AD61" s="276">
        <f>SUM(AD15,AD46,AD50)</f>
        <v>3100</v>
      </c>
      <c r="AE61" s="276">
        <f>SUM(AE15,AE46,AE50)</f>
        <v>2597</v>
      </c>
      <c r="AF61" s="276">
        <f>SUM(AF15,AF46,AF50)</f>
        <v>1296</v>
      </c>
      <c r="AG61" s="276">
        <f>SUM(AC61:AF61)</f>
        <v>8762</v>
      </c>
      <c r="AH61" s="276">
        <f>SUM(AH15,AH46,AH50)</f>
        <v>2651</v>
      </c>
      <c r="AI61" s="276">
        <f>SUM(AI15,AI46,AI50)</f>
        <v>2526</v>
      </c>
      <c r="AJ61" s="276">
        <f>SUM(AJ15,AJ46,AJ50)</f>
        <v>0</v>
      </c>
      <c r="AK61" s="276">
        <f>SUM(AK15,AK46,AK50)</f>
        <v>0</v>
      </c>
      <c r="AL61" s="276">
        <f>SUM(AH61:AK61)</f>
        <v>5177</v>
      </c>
      <c r="AM61" s="276">
        <f>SUM(AM15,AM46,AM50)</f>
        <v>0</v>
      </c>
      <c r="AN61" s="276">
        <f>SUM(AN15,AN46,AN50)</f>
        <v>0</v>
      </c>
      <c r="AO61" s="276">
        <f>SUM(AO15,AO46,AO50)</f>
        <v>0</v>
      </c>
      <c r="AP61" s="276">
        <f>SUM(AP15,AP46,AP50)</f>
        <v>0</v>
      </c>
      <c r="AQ61" s="276">
        <f>SUM(AM61:AP61)</f>
        <v>0</v>
      </c>
      <c r="AR61" s="276">
        <f>SUM(AR15,AR46,AR50)</f>
        <v>0</v>
      </c>
      <c r="AS61" s="276">
        <f>SUM(AS15,AS46,AS50)</f>
        <v>0</v>
      </c>
      <c r="AT61" s="276">
        <f>SUM(AT15,AT46,AT50)</f>
        <v>0</v>
      </c>
      <c r="AU61" s="276">
        <f>SUM(AU15,AU46,AU50)</f>
        <v>0</v>
      </c>
      <c r="AV61" s="276">
        <f>SUM(AR61:AU61)</f>
        <v>0</v>
      </c>
      <c r="AW61" s="276">
        <f>SUM(AW15,AW46,AW50)</f>
        <v>0</v>
      </c>
      <c r="AX61" s="276">
        <f>SUM(AX15,AX46,AX50)</f>
        <v>0</v>
      </c>
      <c r="AY61" s="276">
        <f>SUM(AY15,AY46,AY50)</f>
        <v>0</v>
      </c>
      <c r="AZ61" s="276">
        <f>SUM(AZ15,AZ46,AZ50)</f>
        <v>0</v>
      </c>
      <c r="BA61" s="276">
        <f>SUM(AW61:AZ61)</f>
        <v>0</v>
      </c>
      <c r="BB61" s="276">
        <f>SUM(BB15,BB46,BB50)</f>
        <v>0</v>
      </c>
      <c r="BC61" s="276">
        <f>SUM(BC15,BC46,BC50)</f>
        <v>0</v>
      </c>
      <c r="BD61" s="276">
        <f>SUM(BD15,BD46,BD50)</f>
        <v>0</v>
      </c>
      <c r="BE61" s="276">
        <f>SUM(BE15,BE46,BE50)</f>
        <v>0</v>
      </c>
      <c r="BF61" s="276">
        <f>SUM(BB61:BE61)</f>
        <v>0</v>
      </c>
      <c r="BG61" s="276">
        <f>SUM(BG15,BG46,BG50)</f>
        <v>0</v>
      </c>
      <c r="BH61" s="276">
        <f>SUM(BH15,BH46,BH50)</f>
        <v>0</v>
      </c>
      <c r="BI61" s="276">
        <f>SUM(BI15,BI46,BI50)</f>
        <v>0</v>
      </c>
      <c r="BJ61" s="276">
        <f>SUM(BJ15,BJ46,BJ50)</f>
        <v>0</v>
      </c>
      <c r="BK61" s="276">
        <f>SUM(BG61:BJ61)</f>
        <v>0</v>
      </c>
      <c r="BL61" s="276">
        <f>SUM(BL15,BL46,BL50)</f>
        <v>0</v>
      </c>
      <c r="BM61" s="276">
        <f>SUM(BM15,BM46,BM50)</f>
        <v>0</v>
      </c>
      <c r="BN61" s="276">
        <f>SUM(BN15,BN46,BN50)</f>
        <v>0</v>
      </c>
      <c r="BO61" s="276">
        <f>SUM(BO15,BO46,BO50)</f>
        <v>0</v>
      </c>
      <c r="BP61" s="276">
        <f>SUM(BL61:BO61)</f>
        <v>0</v>
      </c>
      <c r="BQ61" s="276">
        <f>SUM(BQ15,BQ46,BQ50)</f>
        <v>0</v>
      </c>
      <c r="BR61" s="276">
        <f>SUM(BR15,BR46,BR50)</f>
        <v>0</v>
      </c>
      <c r="BS61" s="276">
        <f>SUM(BS15,BS46,BS50)</f>
        <v>0</v>
      </c>
      <c r="BT61" s="276">
        <f>SUM(BT15,BT46,BT50)</f>
        <v>0</v>
      </c>
      <c r="BU61" s="276">
        <f>SUM(BQ61:BT61)</f>
        <v>0</v>
      </c>
      <c r="BV61" s="276">
        <f>SUM(BV15,BV46,BV50)</f>
        <v>0</v>
      </c>
      <c r="BW61" s="276">
        <f>SUM(BW15,BW46,BW50)</f>
        <v>0</v>
      </c>
      <c r="BX61" s="276">
        <f>SUM(BX15,BX46,BX50)</f>
        <v>0</v>
      </c>
      <c r="BY61" s="276">
        <f>SUM(BY15,BY46,BY50)</f>
        <v>0</v>
      </c>
      <c r="BZ61" s="276">
        <f>SUM(BV61:BY61)</f>
        <v>0</v>
      </c>
      <c r="CA61" s="276">
        <f>SUM(CA15,CA46,CA50)</f>
        <v>0</v>
      </c>
      <c r="CB61" s="276">
        <f>SUM(CB15,CB46,CB50)</f>
        <v>0</v>
      </c>
      <c r="CC61" s="276">
        <f>SUM(CC15,CC46,CC50)</f>
        <v>0</v>
      </c>
      <c r="CD61" s="276">
        <f>SUM(CD15,CD46,CD50)</f>
        <v>0</v>
      </c>
      <c r="CE61" s="276">
        <f>SUM(CA61:CD61)</f>
        <v>0</v>
      </c>
      <c r="CF61" s="276">
        <f>SUM(CF15,CF46,CF50)</f>
        <v>0</v>
      </c>
      <c r="CG61" s="276">
        <f>SUM(CG15,CG46,CG50)</f>
        <v>0</v>
      </c>
      <c r="CH61" s="276">
        <f>SUM(CH15,CH46,CH50)</f>
        <v>0</v>
      </c>
      <c r="CI61" s="276">
        <f>SUM(CI15,CI46,CI50)</f>
        <v>0</v>
      </c>
      <c r="CJ61" s="276">
        <f>SUM(CF61:CI61)</f>
        <v>0</v>
      </c>
      <c r="CK61" s="276">
        <f>SUM(CK15,CK46,CK50)</f>
        <v>0</v>
      </c>
      <c r="CL61" s="276">
        <f>SUM(CL15,CL46,CL50)</f>
        <v>0</v>
      </c>
      <c r="CM61" s="276">
        <f>SUM(CM15,CM46,CM50)</f>
        <v>0</v>
      </c>
      <c r="CN61" s="276">
        <f>SUM(CN15,CN46,CN50)</f>
        <v>0</v>
      </c>
      <c r="CO61" s="276">
        <f>SUM(CK61:CN61)</f>
        <v>0</v>
      </c>
      <c r="CP61" s="276">
        <f>SUM(CP15,CP46,CP50)</f>
        <v>0</v>
      </c>
      <c r="CQ61" s="276">
        <f>SUM(CQ15,CQ46,CQ50)</f>
        <v>0</v>
      </c>
      <c r="CR61" s="276">
        <f>SUM(CR15,CR46,CR50)</f>
        <v>0</v>
      </c>
      <c r="CS61" s="276">
        <f>SUM(CS15,CS46,CS50)</f>
        <v>0</v>
      </c>
      <c r="CT61" s="276">
        <f>SUM(CP61:CS61)</f>
        <v>0</v>
      </c>
      <c r="CU61" s="276">
        <f>SUM(CU15,CU46,CU50)</f>
        <v>0</v>
      </c>
      <c r="CV61" s="276">
        <f>SUM(CV15,CV46,CV50)</f>
        <v>0</v>
      </c>
      <c r="CW61" s="276">
        <f>SUM(CW15,CW46,CW50)</f>
        <v>0</v>
      </c>
      <c r="CX61" s="276">
        <f>SUM(CX15,CX46,CX50)</f>
        <v>0</v>
      </c>
      <c r="CY61" s="276">
        <f>SUM(CU61:CX61)</f>
        <v>0</v>
      </c>
    </row>
    <row r="62" ht="13.5" customHeight="1" s="255">
      <c r="C62" s="269" t="inlineStr">
        <is>
          <t>D&amp;A</t>
        </is>
      </c>
      <c r="D62" s="301">
        <f>INDEX('Inputs (2)'!$D$7:$AL$7,MATCH(D$7,'Inputs (2)'!$D$2:$AL$2,0))</f>
        <v>-341</v>
      </c>
      <c r="E62" s="301">
        <f>INDEX('Inputs (2)'!$D$7:$AL$7,MATCH(E$7,'Inputs (2)'!$D$2:$AL$2,0))</f>
        <v>-358</v>
      </c>
      <c r="F62" s="301">
        <f>INDEX('Inputs (2)'!$D$7:$AL$7,MATCH(F$7,'Inputs (2)'!$D$2:$AL$2,0))</f>
        <v>-394</v>
      </c>
      <c r="G62" s="301">
        <f>INDEX('Inputs (2)'!$D$7:$AL$7,MATCH(G$7,'Inputs (2)'!$D$2:$AL$2,0))</f>
        <v>-435</v>
      </c>
      <c r="H62" s="268">
        <f>SUM(D62:G62)</f>
        <v>-1528</v>
      </c>
      <c r="I62" s="301">
        <f>INDEX('Inputs (2)'!$D$7:$AL$7,MATCH(I$7,'Inputs (2)'!$D$2:$AL$2,0))</f>
        <v>-419</v>
      </c>
      <c r="J62" s="301">
        <f>INDEX('Inputs (2)'!$D$7:$AL$7,MATCH(J$7,'Inputs (2)'!$D$2:$AL$2,0))</f>
        <v>-483</v>
      </c>
      <c r="K62" s="301">
        <f>INDEX('Inputs (2)'!$D$7:$AL$7,MATCH(K$7,'Inputs (2)'!$D$2:$AL$2,0))</f>
        <v>-528</v>
      </c>
      <c r="L62" s="301">
        <f>INDEX('Inputs (2)'!$D$7:$AL$7,MATCH(L$7,'Inputs (2)'!$D$2:$AL$2,0))</f>
        <v>-568</v>
      </c>
      <c r="M62" s="268">
        <f>SUM(I62:L62)</f>
        <v>-1998</v>
      </c>
      <c r="N62" s="301">
        <f>INDEX('Inputs (2)'!$D$7:$AL$7,MATCH(N$7,'Inputs (2)'!$D$2:$AL$2,0))</f>
        <v>-489</v>
      </c>
      <c r="O62" s="301">
        <f>INDEX('Inputs (2)'!$D$7:$AL$7,MATCH(O$7,'Inputs (2)'!$D$2:$AL$2,0))</f>
        <v>-507</v>
      </c>
      <c r="P62" s="301">
        <f>INDEX('Inputs (2)'!$D$7:$AL$7,MATCH(P$7,'Inputs (2)'!$D$2:$AL$2,0))</f>
        <v>-508</v>
      </c>
      <c r="Q62" s="301">
        <f>INDEX('Inputs (2)'!$D$7:$AL$7,MATCH(Q$7,'Inputs (2)'!$D$2:$AL$2,0))</f>
        <v>-515</v>
      </c>
      <c r="R62" s="268">
        <f>SUM(N62:Q62)</f>
        <v>-2019</v>
      </c>
      <c r="S62" s="301">
        <f>INDEX('Inputs (2)'!$D$7:$AL$7,MATCH(S$7,'Inputs (2)'!$D$2:$AL$2,0))</f>
        <v>-399</v>
      </c>
      <c r="T62" s="301">
        <f>INDEX('Inputs (2)'!$D$7:$AL$7,MATCH(T$7,'Inputs (2)'!$D$2:$AL$2,0))</f>
        <v>-547</v>
      </c>
      <c r="U62" s="301">
        <f>INDEX('Inputs (2)'!$D$7:$AL$7,MATCH(U$7,'Inputs (2)'!$D$2:$AL$2,0))</f>
        <v>-533</v>
      </c>
      <c r="V62" s="301">
        <f>INDEX('Inputs (2)'!$D$7:$AL$7,MATCH(V$7,'Inputs (2)'!$D$2:$AL$2,0))</f>
        <v>-589</v>
      </c>
      <c r="W62" s="268">
        <f>SUM(S62:V62)</f>
        <v>-2068</v>
      </c>
      <c r="X62" s="301">
        <f>INDEX('Inputs (2)'!$D$7:$AL$7,MATCH(X$7,'Inputs (2)'!$D$2:$AL$2,0))</f>
        <v>-595</v>
      </c>
      <c r="Y62" s="301">
        <f>INDEX('Inputs (2)'!$D$7:$AL$7,MATCH(Y$7,'Inputs (2)'!$D$2:$AL$2,0))</f>
        <v>-509</v>
      </c>
      <c r="Z62" s="301">
        <f>INDEX('Inputs (2)'!$D$7:$AL$7,MATCH(Z$7,'Inputs (2)'!$D$2:$AL$2,0))</f>
        <v>-600</v>
      </c>
      <c r="AA62" s="301">
        <f>INDEX('Inputs (2)'!$D$7:$AL$7,MATCH(AA$7,'Inputs (2)'!$D$2:$AL$2,0))</f>
        <v>-537</v>
      </c>
      <c r="AB62" s="268">
        <f>SUM(X62:AA62)</f>
        <v>-2241</v>
      </c>
      <c r="AC62" s="301">
        <f>INDEX('Inputs (2)'!$D$7:$AL$7,MATCH(AC$7,'Inputs (2)'!$D$2:$AL$2,0))</f>
        <v>-466</v>
      </c>
      <c r="AD62" s="301">
        <f>INDEX('Inputs (2)'!$D$7:$AL$7,MATCH(AD$7,'Inputs (2)'!$D$2:$AL$2,0))</f>
        <v>-668</v>
      </c>
      <c r="AE62" s="301">
        <f>INDEX('Inputs (2)'!$D$7:$AL$7,MATCH(AE$7,'Inputs (2)'!$D$2:$AL$2,0))</f>
        <v>-625</v>
      </c>
      <c r="AF62" s="301">
        <f>INDEX('Inputs (2)'!$D$7:$AL$7,MATCH(AF$7,'Inputs (2)'!$D$2:$AL$2,0))</f>
        <v>-485</v>
      </c>
      <c r="AG62" s="268">
        <f>SUM(AC62:AF62)</f>
        <v>-2244</v>
      </c>
      <c r="AH62" s="268">
        <f>INDEX('Inputs (2)'!$D$7:$AL$7,MATCH(AH$7,'Inputs (2)'!$D$2:$AL$2,0))</f>
        <v>-514</v>
      </c>
      <c r="AI62" s="268">
        <f>INDEX('Inputs (2)'!$D$7:$AL$7,MATCH(AI$7,'Inputs (2)'!$D$2:$AL$2,0))</f>
        <v>-523</v>
      </c>
      <c r="AJ62" s="268">
        <f>-AJ63*AJ15</f>
        <v>0</v>
      </c>
      <c r="AK62" s="268">
        <f>-AK63*AK15</f>
        <v>0</v>
      </c>
      <c r="AL62" s="268">
        <f>SUM(AH62:AK62)</f>
        <v>-1037</v>
      </c>
      <c r="AM62" s="268">
        <f>-AM63*AM15</f>
        <v>0</v>
      </c>
      <c r="AN62" s="268">
        <f>-AN63*AN15</f>
        <v>0</v>
      </c>
      <c r="AO62" s="268">
        <f>-AO63*AO15</f>
        <v>0</v>
      </c>
      <c r="AP62" s="268">
        <f>-AP63*AP15</f>
        <v>0</v>
      </c>
      <c r="AQ62" s="268">
        <f>SUM(AM62:AP62)</f>
        <v>0</v>
      </c>
      <c r="AR62" s="268">
        <f>-AR63*AR15</f>
        <v>0</v>
      </c>
      <c r="AS62" s="268">
        <f>-AS63*AS15</f>
        <v>0</v>
      </c>
      <c r="AT62" s="268">
        <f>-AT63*AT15</f>
        <v>0</v>
      </c>
      <c r="AU62" s="268">
        <f>-AU63*AU15</f>
        <v>0</v>
      </c>
      <c r="AV62" s="268">
        <f>SUM(AR62:AU62)</f>
        <v>0</v>
      </c>
      <c r="AW62" s="268">
        <f>-AW63*AW15</f>
        <v>0</v>
      </c>
      <c r="AX62" s="268">
        <f>-AX63*AX15</f>
        <v>0</v>
      </c>
      <c r="AY62" s="268">
        <f>-AY63*AY15</f>
        <v>0</v>
      </c>
      <c r="AZ62" s="268">
        <f>-AZ63*AZ15</f>
        <v>0</v>
      </c>
      <c r="BA62" s="268">
        <f>SUM(AW62:AZ62)</f>
        <v>0</v>
      </c>
      <c r="BB62" s="268">
        <f>-BB63*BB15</f>
        <v>0</v>
      </c>
      <c r="BC62" s="268">
        <f>-BC63*BC15</f>
        <v>0</v>
      </c>
      <c r="BD62" s="268">
        <f>-BD63*BD15</f>
        <v>0</v>
      </c>
      <c r="BE62" s="268">
        <f>-BE63*BE15</f>
        <v>0</v>
      </c>
      <c r="BF62" s="268">
        <f>SUM(BB62:BE62)</f>
        <v>0</v>
      </c>
      <c r="BG62" s="268">
        <f>-BG63*BG15</f>
        <v>0</v>
      </c>
      <c r="BH62" s="268">
        <f>-BH63*BH15</f>
        <v>0</v>
      </c>
      <c r="BI62" s="268">
        <f>-BI63*BI15</f>
        <v>0</v>
      </c>
      <c r="BJ62" s="268">
        <f>-BJ63*BJ15</f>
        <v>0</v>
      </c>
      <c r="BK62" s="268">
        <f>SUM(BG62:BJ62)</f>
        <v>0</v>
      </c>
      <c r="BL62" s="268">
        <f>-BL63*BL15</f>
        <v>0</v>
      </c>
      <c r="BM62" s="268">
        <f>-BM63*BM15</f>
        <v>0</v>
      </c>
      <c r="BN62" s="268">
        <f>-BN63*BN15</f>
        <v>0</v>
      </c>
      <c r="BO62" s="268">
        <f>-BO63*BO15</f>
        <v>0</v>
      </c>
      <c r="BP62" s="268">
        <f>SUM(BL62:BO62)</f>
        <v>0</v>
      </c>
      <c r="BQ62" s="268">
        <f>-BQ63*BQ15</f>
        <v>0</v>
      </c>
      <c r="BR62" s="268">
        <f>-BR63*BR15</f>
        <v>0</v>
      </c>
      <c r="BS62" s="268">
        <f>-BS63*BS15</f>
        <v>0</v>
      </c>
      <c r="BT62" s="268">
        <f>-BT63*BT15</f>
        <v>0</v>
      </c>
      <c r="BU62" s="268">
        <f>SUM(BQ62:BT62)</f>
        <v>0</v>
      </c>
      <c r="BV62" s="268">
        <f>-BV63*BV15</f>
        <v>0</v>
      </c>
      <c r="BW62" s="268">
        <f>-BW63*BW15</f>
        <v>0</v>
      </c>
      <c r="BX62" s="268">
        <f>-BX63*BX15</f>
        <v>0</v>
      </c>
      <c r="BY62" s="268">
        <f>-BY63*BY15</f>
        <v>0</v>
      </c>
      <c r="BZ62" s="268">
        <f>SUM(BV62:BY62)</f>
        <v>0</v>
      </c>
      <c r="CA62" s="268">
        <f>-CA63*CA15</f>
        <v>0</v>
      </c>
      <c r="CB62" s="268">
        <f>-CB63*CB15</f>
        <v>0</v>
      </c>
      <c r="CC62" s="268">
        <f>-CC63*CC15</f>
        <v>0</v>
      </c>
      <c r="CD62" s="268">
        <f>-CD63*CD15</f>
        <v>0</v>
      </c>
      <c r="CE62" s="268">
        <f>SUM(CA62:CD62)</f>
        <v>0</v>
      </c>
      <c r="CF62" s="268">
        <f>-CF63*CF15</f>
        <v>0</v>
      </c>
      <c r="CG62" s="268">
        <f>-CG63*CG15</f>
        <v>0</v>
      </c>
      <c r="CH62" s="268">
        <f>-CH63*CH15</f>
        <v>0</v>
      </c>
      <c r="CI62" s="268">
        <f>-CI63*CI15</f>
        <v>0</v>
      </c>
      <c r="CJ62" s="268">
        <f>SUM(CF62:CI62)</f>
        <v>0</v>
      </c>
      <c r="CK62" s="268">
        <f>-CK63*CK15</f>
        <v>0</v>
      </c>
      <c r="CL62" s="268">
        <f>-CL63*CL15</f>
        <v>0</v>
      </c>
      <c r="CM62" s="268">
        <f>-CM63*CM15</f>
        <v>0</v>
      </c>
      <c r="CN62" s="268">
        <f>-CN63*CN15</f>
        <v>0</v>
      </c>
      <c r="CO62" s="268">
        <f>SUM(CK62:CN62)</f>
        <v>0</v>
      </c>
      <c r="CP62" s="268">
        <f>-CP63*CP15</f>
        <v>0</v>
      </c>
      <c r="CQ62" s="268">
        <f>-CQ63*CQ15</f>
        <v>0</v>
      </c>
      <c r="CR62" s="268">
        <f>-CR63*CR15</f>
        <v>0</v>
      </c>
      <c r="CS62" s="268">
        <f>-CS63*CS15</f>
        <v>0</v>
      </c>
      <c r="CT62" s="268">
        <f>SUM(CP62:CS62)</f>
        <v>0</v>
      </c>
      <c r="CU62" s="268">
        <f>-CU63*CU15</f>
        <v>0</v>
      </c>
      <c r="CV62" s="268">
        <f>-CV63*CV15</f>
        <v>0</v>
      </c>
      <c r="CW62" s="268">
        <f>-CW63*CW15</f>
        <v>0</v>
      </c>
      <c r="CX62" s="268">
        <f>-CX63*CX15</f>
        <v>0</v>
      </c>
      <c r="CY62" s="268">
        <f>SUM(CU62:CX62)</f>
        <v>0</v>
      </c>
    </row>
    <row r="63" hidden="1" outlineLevel="1" ht="12.75" customFormat="1" customHeight="1" s="308">
      <c r="A63" s="309" t="n"/>
      <c r="B63" s="309" t="n"/>
      <c r="C63" s="310" t="inlineStr">
        <is>
          <t>% of Revenue</t>
        </is>
      </c>
      <c r="D63" s="309">
        <f>-D62/D15</f>
        <v>0.121872766261615</v>
      </c>
      <c r="E63" s="309">
        <f>-E62/E15</f>
        <v>0.117223313686968</v>
      </c>
      <c r="F63" s="309">
        <f>-F62/F15</f>
        <v>0.102311088029083</v>
      </c>
      <c r="G63" s="309">
        <f>-G62/G15</f>
        <v>0.0967741935483871</v>
      </c>
      <c r="H63" s="309" t="n"/>
      <c r="I63" s="309">
        <f>-I62/I15</f>
        <v>0.0863917525773196</v>
      </c>
      <c r="J63" s="309">
        <f>-J62/J15</f>
        <v>0.0840292275574113</v>
      </c>
      <c r="K63" s="309">
        <f>-K62/K15</f>
        <v>0.0867992766726944</v>
      </c>
      <c r="L63" s="309">
        <f>-L62/L15</f>
        <v>0.0921479558728099</v>
      </c>
      <c r="M63" s="309" t="n"/>
      <c r="N63" s="309">
        <f>-N62/N15</f>
        <v>0.0740572467060427</v>
      </c>
      <c r="O63" s="309">
        <f>-O62/O15</f>
        <v>0.0936115214180207</v>
      </c>
      <c r="P63" s="309">
        <f>-P62/P15</f>
        <v>0.101539076554068</v>
      </c>
      <c r="Q63" s="309">
        <f>-Q62/Q15</f>
        <v>0.0894407780479333</v>
      </c>
      <c r="R63" s="309" t="n"/>
      <c r="S63" s="309">
        <f>-S62/S15</f>
        <v>0.0740397105214325</v>
      </c>
      <c r="T63" s="309">
        <f>-T62/T15</f>
        <v>0.0953459996513857</v>
      </c>
      <c r="U63" s="309">
        <f>-U62/U15</f>
        <v>0.0915178571428571</v>
      </c>
      <c r="V63" s="309">
        <f>-V62/V15</f>
        <v>0.0997459779847587</v>
      </c>
      <c r="W63" s="309" t="n"/>
      <c r="X63" s="309">
        <f>-X62/X15</f>
        <v>0.0941306755260244</v>
      </c>
      <c r="Y63" s="309">
        <f>-Y62/Y15</f>
        <v>0.0768417874396135</v>
      </c>
      <c r="Z63" s="309">
        <f>-Z62/Z15</f>
        <v>0.0883652430044183</v>
      </c>
      <c r="AA63" s="309">
        <f>-AA62/AA15</f>
        <v>0.0938811188811189</v>
      </c>
      <c r="AB63" s="309" t="n"/>
      <c r="AC63" s="309">
        <f>-AC62/AC15</f>
        <v>0.081354748603352</v>
      </c>
      <c r="AD63" s="309">
        <f>-AD62/AD15</f>
        <v>0.088103402796096</v>
      </c>
      <c r="AE63" s="309">
        <f>-AE62/AE15</f>
        <v>0.0896442914515204</v>
      </c>
      <c r="AF63" s="311">
        <f>-AF62/AF15</f>
        <v>0.0860997692171134</v>
      </c>
      <c r="AG63" s="309" t="n"/>
      <c r="AH63" s="311">
        <f>-AH62/AH15</f>
        <v>0.0824510747513635</v>
      </c>
      <c r="AI63" s="311">
        <f>-AI62/AI15</f>
        <v>0.074406032152511</v>
      </c>
      <c r="AJ63" s="311" t="n"/>
      <c r="AK63" s="311" t="n"/>
      <c r="AL63" s="309" t="n"/>
      <c r="AM63" s="311" t="n"/>
      <c r="AN63" s="311" t="n"/>
      <c r="AO63" s="311" t="n"/>
      <c r="AP63" s="311" t="n"/>
      <c r="AQ63" s="309" t="n"/>
      <c r="AR63" s="311" t="n"/>
      <c r="AS63" s="311" t="n"/>
      <c r="AT63" s="311" t="n"/>
      <c r="AU63" s="311" t="n"/>
      <c r="AV63" s="309" t="n"/>
      <c r="AW63" s="311" t="n"/>
      <c r="AX63" s="311" t="n"/>
      <c r="AY63" s="311" t="n"/>
      <c r="AZ63" s="311" t="n"/>
      <c r="BA63" s="309" t="n"/>
      <c r="BB63" s="311" t="n"/>
      <c r="BC63" s="311" t="n"/>
      <c r="BD63" s="311" t="n"/>
      <c r="BE63" s="311" t="n"/>
      <c r="BF63" s="309" t="n"/>
      <c r="BG63" s="311" t="n"/>
      <c r="BH63" s="311" t="n"/>
      <c r="BI63" s="311" t="n"/>
      <c r="BJ63" s="311" t="n"/>
      <c r="BK63" s="309" t="n"/>
      <c r="BL63" s="311" t="n"/>
      <c r="BM63" s="311" t="n"/>
      <c r="BN63" s="311" t="n"/>
      <c r="BO63" s="311" t="n"/>
      <c r="BP63" s="309" t="n"/>
      <c r="BQ63" s="311" t="n"/>
      <c r="BR63" s="311" t="n"/>
      <c r="BS63" s="311" t="n"/>
      <c r="BT63" s="311" t="n"/>
      <c r="BU63" s="309" t="n"/>
      <c r="BV63" s="311" t="n"/>
      <c r="BW63" s="311" t="n"/>
      <c r="BX63" s="311" t="n"/>
      <c r="BY63" s="311" t="n"/>
      <c r="BZ63" s="309" t="n"/>
      <c r="CA63" s="311" t="n"/>
      <c r="CB63" s="311" t="n"/>
      <c r="CC63" s="311" t="n"/>
      <c r="CD63" s="311" t="n"/>
      <c r="CE63" s="309" t="n"/>
      <c r="CF63" s="311" t="n"/>
      <c r="CG63" s="311" t="n"/>
      <c r="CH63" s="311" t="n"/>
      <c r="CI63" s="311" t="n"/>
      <c r="CJ63" s="309" t="n"/>
      <c r="CK63" s="311" t="n"/>
      <c r="CL63" s="311" t="n"/>
      <c r="CM63" s="311" t="n"/>
      <c r="CN63" s="311" t="n"/>
      <c r="CO63" s="309" t="n"/>
      <c r="CP63" s="311" t="n"/>
      <c r="CQ63" s="311" t="n"/>
      <c r="CR63" s="311" t="n"/>
      <c r="CS63" s="311" t="n"/>
      <c r="CT63" s="309" t="n"/>
      <c r="CU63" s="311" t="n"/>
      <c r="CV63" s="311" t="n"/>
      <c r="CW63" s="311" t="n"/>
      <c r="CX63" s="311" t="n"/>
      <c r="CY63" s="309" t="n"/>
    </row>
    <row r="64" hidden="1" outlineLevel="1" ht="12.75" customHeight="1" s="255">
      <c r="C64" s="305" t="n"/>
      <c r="D64" s="268" t="n"/>
      <c r="E64" s="268" t="n"/>
      <c r="F64" s="268" t="n"/>
      <c r="G64" s="268" t="n"/>
      <c r="H64" s="268" t="n"/>
      <c r="I64" s="268" t="n"/>
      <c r="J64" s="268" t="n"/>
      <c r="K64" s="268" t="n"/>
      <c r="L64" s="268" t="n"/>
      <c r="M64" s="268" t="n"/>
      <c r="N64" s="268" t="n"/>
      <c r="O64" s="268" t="n"/>
      <c r="P64" s="268" t="n"/>
      <c r="Q64" s="268" t="n"/>
      <c r="R64" s="268" t="n"/>
      <c r="S64" s="268" t="n"/>
      <c r="T64" s="268" t="n"/>
      <c r="U64" s="268" t="n"/>
      <c r="V64" s="268" t="n"/>
      <c r="W64" s="268" t="n"/>
      <c r="X64" s="268" t="n"/>
      <c r="Y64" s="268" t="n"/>
      <c r="Z64" s="268" t="n"/>
      <c r="AA64" s="268" t="n"/>
      <c r="AB64" s="268" t="n"/>
      <c r="AC64" s="268" t="n"/>
      <c r="AD64" s="268" t="n"/>
      <c r="AE64" s="268" t="n"/>
      <c r="AF64" s="268" t="n"/>
      <c r="AG64" s="268" t="n"/>
      <c r="AH64" s="268" t="n"/>
      <c r="AI64" s="268" t="n"/>
      <c r="AJ64" s="268" t="n"/>
      <c r="AK64" s="268" t="n"/>
      <c r="AL64" s="268" t="n"/>
      <c r="AM64" s="268" t="n"/>
      <c r="AN64" s="268" t="n"/>
      <c r="AO64" s="268" t="n"/>
      <c r="AP64" s="268" t="n"/>
      <c r="AQ64" s="268" t="n"/>
      <c r="AR64" s="268" t="n"/>
      <c r="AS64" s="268" t="n"/>
      <c r="AT64" s="268" t="n"/>
      <c r="AU64" s="268" t="n"/>
      <c r="AV64" s="268" t="n"/>
      <c r="AW64" s="268" t="n"/>
      <c r="AX64" s="268" t="n"/>
      <c r="AY64" s="268" t="n"/>
      <c r="AZ64" s="268" t="n"/>
      <c r="BA64" s="268" t="n"/>
      <c r="BB64" s="268" t="n"/>
      <c r="BC64" s="268" t="n"/>
      <c r="BD64" s="268" t="n"/>
      <c r="BE64" s="268" t="n"/>
      <c r="BF64" s="268" t="n"/>
      <c r="BG64" s="268" t="n"/>
      <c r="BH64" s="268" t="n"/>
      <c r="BI64" s="268" t="n"/>
      <c r="BJ64" s="268" t="n"/>
      <c r="BK64" s="268" t="n"/>
      <c r="BL64" s="268" t="n"/>
      <c r="BM64" s="268" t="n"/>
      <c r="BN64" s="268" t="n"/>
      <c r="BO64" s="268" t="n"/>
      <c r="BP64" s="268" t="n"/>
      <c r="BQ64" s="268" t="n"/>
      <c r="BR64" s="268" t="n"/>
      <c r="BS64" s="268" t="n"/>
      <c r="BT64" s="268" t="n"/>
      <c r="BU64" s="268" t="n"/>
      <c r="BV64" s="268" t="n"/>
      <c r="BW64" s="268" t="n"/>
      <c r="BX64" s="268" t="n"/>
      <c r="BY64" s="268" t="n"/>
      <c r="BZ64" s="268" t="n"/>
      <c r="CA64" s="268" t="n"/>
      <c r="CB64" s="268" t="n"/>
      <c r="CC64" s="268" t="n"/>
      <c r="CD64" s="268" t="n"/>
      <c r="CE64" s="268" t="n"/>
      <c r="CF64" s="268" t="n"/>
      <c r="CG64" s="268" t="n"/>
      <c r="CH64" s="268" t="n"/>
      <c r="CI64" s="268" t="n"/>
      <c r="CJ64" s="268" t="n"/>
      <c r="CK64" s="268" t="n"/>
      <c r="CL64" s="268" t="n"/>
      <c r="CM64" s="268" t="n"/>
      <c r="CN64" s="268" t="n"/>
      <c r="CO64" s="268" t="n"/>
      <c r="CP64" s="268" t="n"/>
      <c r="CQ64" s="268" t="n"/>
      <c r="CR64" s="268" t="n"/>
      <c r="CS64" s="268" t="n"/>
      <c r="CT64" s="268" t="n"/>
      <c r="CU64" s="268" t="n"/>
      <c r="CV64" s="268" t="n"/>
      <c r="CW64" s="268" t="n"/>
      <c r="CX64" s="268" t="n"/>
      <c r="CY64" s="268" t="n"/>
    </row>
    <row r="65" ht="12.75" customFormat="1" customHeight="1" s="287">
      <c r="A65" s="288" t="n"/>
      <c r="B65" s="259" t="n"/>
      <c r="C65" s="275" t="inlineStr">
        <is>
          <t>Operating Profit - EBIT</t>
        </is>
      </c>
      <c r="D65" s="276">
        <f>SUM(D61,D62)</f>
        <v>-473</v>
      </c>
      <c r="E65" s="276">
        <f>SUM(E61,E62)</f>
        <v>321</v>
      </c>
      <c r="F65" s="276">
        <f>SUM(F61,F62)</f>
        <v>880</v>
      </c>
      <c r="G65" s="276">
        <f>SUM(G61,G62)</f>
        <v>1709</v>
      </c>
      <c r="H65" s="276">
        <f>SUM(D65:G65)</f>
        <v>2437</v>
      </c>
      <c r="I65" s="276">
        <f>SUM(I61,I62)</f>
        <v>1532</v>
      </c>
      <c r="J65" s="276">
        <f>SUM(J61,J62)</f>
        <v>2067</v>
      </c>
      <c r="K65" s="276">
        <f>SUM(K61,K62)</f>
        <v>2462</v>
      </c>
      <c r="L65" s="276">
        <f>SUM(L61,L62)</f>
        <v>2305</v>
      </c>
      <c r="M65" s="276">
        <f>SUM(I65:L65)</f>
        <v>8366</v>
      </c>
      <c r="N65" s="276">
        <f>SUM(N61,N62)</f>
        <v>2809</v>
      </c>
      <c r="O65" s="276">
        <f>SUM(O61,O62)</f>
        <v>1736</v>
      </c>
      <c r="P65" s="276">
        <f>SUM(P61,P62)</f>
        <v>962</v>
      </c>
      <c r="Q65" s="276">
        <f>SUM(Q61,Q62)</f>
        <v>1530</v>
      </c>
      <c r="R65" s="276">
        <f>SUM(N65:Q65)</f>
        <v>7037</v>
      </c>
      <c r="S65" s="276">
        <f>SUM(S61,S62)</f>
        <v>1601</v>
      </c>
      <c r="T65" s="276">
        <f>SUM(T61,T62)</f>
        <v>1410</v>
      </c>
      <c r="U65" s="276">
        <f>SUM(U61,U62)</f>
        <v>1492</v>
      </c>
      <c r="V65" s="276">
        <f>SUM(V61,V62)</f>
        <v>1722</v>
      </c>
      <c r="W65" s="276">
        <f>SUM(S65:V65)</f>
        <v>6225</v>
      </c>
      <c r="X65" s="276">
        <f>SUM(X61,X62)</f>
        <v>1634</v>
      </c>
      <c r="Y65" s="276">
        <f>SUM(Y61,Y62)</f>
        <v>2049</v>
      </c>
      <c r="Z65" s="276">
        <f>SUM(Z61,Z62)</f>
        <v>1938</v>
      </c>
      <c r="AA65" s="276">
        <f>SUM(AA61,AA62)</f>
        <v>1243</v>
      </c>
      <c r="AB65" s="276">
        <f>SUM(X65:AA65)</f>
        <v>6864</v>
      </c>
      <c r="AC65" s="276">
        <f>SUM(AC61,AC62)</f>
        <v>1303</v>
      </c>
      <c r="AD65" s="276">
        <f>SUM(AD61,AD62)</f>
        <v>2432</v>
      </c>
      <c r="AE65" s="276">
        <f>SUM(AE61,AE62)</f>
        <v>1972</v>
      </c>
      <c r="AF65" s="276">
        <f>SUM(AF61,AF62)</f>
        <v>811</v>
      </c>
      <c r="AG65" s="276">
        <f>SUM(AC65:AF65)</f>
        <v>6518</v>
      </c>
      <c r="AH65" s="276">
        <f>SUM(AH61,AH62)</f>
        <v>2137</v>
      </c>
      <c r="AI65" s="276">
        <f>SUM(AI61,AI62)</f>
        <v>2003</v>
      </c>
      <c r="AJ65" s="276">
        <f>SUM(AJ61,AJ62)</f>
        <v>0</v>
      </c>
      <c r="AK65" s="276">
        <f>SUM(AK61,AK62)</f>
        <v>0</v>
      </c>
      <c r="AL65" s="276">
        <f>SUM(AL61,AL62)</f>
        <v>4140</v>
      </c>
      <c r="AM65" s="276">
        <f>SUM(AM61,AM62)</f>
        <v>0</v>
      </c>
      <c r="AN65" s="276">
        <f>SUM(AN61,AN62)</f>
        <v>0</v>
      </c>
      <c r="AO65" s="276">
        <f>SUM(AO61,AO62)</f>
        <v>0</v>
      </c>
      <c r="AP65" s="276">
        <f>SUM(AP61,AP62)</f>
        <v>0</v>
      </c>
      <c r="AQ65" s="276">
        <f>SUM(AQ61,AQ62)</f>
        <v>0</v>
      </c>
      <c r="AR65" s="276">
        <f>SUM(AR61,AR62)</f>
        <v>0</v>
      </c>
      <c r="AS65" s="276">
        <f>SUM(AS61,AS62)</f>
        <v>0</v>
      </c>
      <c r="AT65" s="276">
        <f>SUM(AT61,AT62)</f>
        <v>0</v>
      </c>
      <c r="AU65" s="276">
        <f>SUM(AU61,AU62)</f>
        <v>0</v>
      </c>
      <c r="AV65" s="276">
        <f>SUM(AV61,AV62)</f>
        <v>0</v>
      </c>
      <c r="AW65" s="276">
        <f>SUM(AW61,AW62)</f>
        <v>0</v>
      </c>
      <c r="AX65" s="276">
        <f>SUM(AX61,AX62)</f>
        <v>0</v>
      </c>
      <c r="AY65" s="276">
        <f>SUM(AY61,AY62)</f>
        <v>0</v>
      </c>
      <c r="AZ65" s="276">
        <f>SUM(AZ61,AZ62)</f>
        <v>0</v>
      </c>
      <c r="BA65" s="276">
        <f>SUM(BA61,BA62)</f>
        <v>0</v>
      </c>
      <c r="BB65" s="276">
        <f>SUM(BB61,BB62)</f>
        <v>0</v>
      </c>
      <c r="BC65" s="276">
        <f>SUM(BC61,BC62)</f>
        <v>0</v>
      </c>
      <c r="BD65" s="276">
        <f>SUM(BD61,BD62)</f>
        <v>0</v>
      </c>
      <c r="BE65" s="276">
        <f>SUM(BE61,BE62)</f>
        <v>0</v>
      </c>
      <c r="BF65" s="276">
        <f>SUM(BF61,BF62)</f>
        <v>0</v>
      </c>
      <c r="BG65" s="276">
        <f>SUM(BG61,BG62)</f>
        <v>0</v>
      </c>
      <c r="BH65" s="276">
        <f>SUM(BH61,BH62)</f>
        <v>0</v>
      </c>
      <c r="BI65" s="276">
        <f>SUM(BI61,BI62)</f>
        <v>0</v>
      </c>
      <c r="BJ65" s="276">
        <f>SUM(BJ61,BJ62)</f>
        <v>0</v>
      </c>
      <c r="BK65" s="276">
        <f>SUM(BK61,BK62)</f>
        <v>0</v>
      </c>
      <c r="BL65" s="276">
        <f>SUM(BL61,BL62)</f>
        <v>0</v>
      </c>
      <c r="BM65" s="276">
        <f>SUM(BM61,BM62)</f>
        <v>0</v>
      </c>
      <c r="BN65" s="276">
        <f>SUM(BN61,BN62)</f>
        <v>0</v>
      </c>
      <c r="BO65" s="276">
        <f>SUM(BO61,BO62)</f>
        <v>0</v>
      </c>
      <c r="BP65" s="276">
        <f>SUM(BP61,BP62)</f>
        <v>0</v>
      </c>
      <c r="BQ65" s="276">
        <f>SUM(BQ61,BQ62)</f>
        <v>0</v>
      </c>
      <c r="BR65" s="276">
        <f>SUM(BR61,BR62)</f>
        <v>0</v>
      </c>
      <c r="BS65" s="276">
        <f>SUM(BS61,BS62)</f>
        <v>0</v>
      </c>
      <c r="BT65" s="276">
        <f>SUM(BT61,BT62)</f>
        <v>0</v>
      </c>
      <c r="BU65" s="276">
        <f>SUM(BU61,BU62)</f>
        <v>0</v>
      </c>
      <c r="BV65" s="276">
        <f>SUM(BV61,BV62)</f>
        <v>0</v>
      </c>
      <c r="BW65" s="276">
        <f>SUM(BW61,BW62)</f>
        <v>0</v>
      </c>
      <c r="BX65" s="276">
        <f>SUM(BX61,BX62)</f>
        <v>0</v>
      </c>
      <c r="BY65" s="276">
        <f>SUM(BY61,BY62)</f>
        <v>0</v>
      </c>
      <c r="BZ65" s="276">
        <f>SUM(BZ61,BZ62)</f>
        <v>0</v>
      </c>
      <c r="CA65" s="276">
        <f>SUM(CA61,CA62)</f>
        <v>0</v>
      </c>
      <c r="CB65" s="276">
        <f>SUM(CB61,CB62)</f>
        <v>0</v>
      </c>
      <c r="CC65" s="276">
        <f>SUM(CC61,CC62)</f>
        <v>0</v>
      </c>
      <c r="CD65" s="276">
        <f>SUM(CD61,CD62)</f>
        <v>0</v>
      </c>
      <c r="CE65" s="276">
        <f>SUM(CE61,CE62)</f>
        <v>0</v>
      </c>
      <c r="CF65" s="276">
        <f>SUM(CF61,CF62)</f>
        <v>0</v>
      </c>
      <c r="CG65" s="276">
        <f>SUM(CG61,CG62)</f>
        <v>0</v>
      </c>
      <c r="CH65" s="276">
        <f>SUM(CH61,CH62)</f>
        <v>0</v>
      </c>
      <c r="CI65" s="276">
        <f>SUM(CI61,CI62)</f>
        <v>0</v>
      </c>
      <c r="CJ65" s="276">
        <f>SUM(CJ61,CJ62)</f>
        <v>0</v>
      </c>
      <c r="CK65" s="276">
        <f>SUM(CK61,CK62)</f>
        <v>0</v>
      </c>
      <c r="CL65" s="276">
        <f>SUM(CL61,CL62)</f>
        <v>0</v>
      </c>
      <c r="CM65" s="276">
        <f>SUM(CM61,CM62)</f>
        <v>0</v>
      </c>
      <c r="CN65" s="276">
        <f>SUM(CN61,CN62)</f>
        <v>0</v>
      </c>
      <c r="CO65" s="276">
        <f>SUM(CO61,CO62)</f>
        <v>0</v>
      </c>
      <c r="CP65" s="276">
        <f>SUM(CP61,CP62)</f>
        <v>0</v>
      </c>
      <c r="CQ65" s="276">
        <f>SUM(CQ61,CQ62)</f>
        <v>0</v>
      </c>
      <c r="CR65" s="276">
        <f>SUM(CR61,CR62)</f>
        <v>0</v>
      </c>
      <c r="CS65" s="276">
        <f>SUM(CS61,CS62)</f>
        <v>0</v>
      </c>
      <c r="CT65" s="276">
        <f>SUM(CT61,CT62)</f>
        <v>0</v>
      </c>
      <c r="CU65" s="276">
        <f>SUM(CU61,CU62)</f>
        <v>0</v>
      </c>
      <c r="CV65" s="276">
        <f>SUM(CV61,CV62)</f>
        <v>0</v>
      </c>
      <c r="CW65" s="276">
        <f>SUM(CW61,CW62)</f>
        <v>0</v>
      </c>
      <c r="CX65" s="276">
        <f>SUM(CX61,CX62)</f>
        <v>0</v>
      </c>
      <c r="CY65" s="276">
        <f>SUM(CY61,CY62)</f>
        <v>0</v>
      </c>
    </row>
    <row r="66" ht="12.75" customHeight="1" s="255">
      <c r="C66" s="270" t="inlineStr">
        <is>
          <t>Interest Expense</t>
        </is>
      </c>
      <c r="D66" s="301" t="n"/>
      <c r="E66" s="301" t="n"/>
      <c r="F66" s="301" t="n"/>
      <c r="G66" s="301" t="n"/>
      <c r="H66" s="268">
        <f>SUM(D66:G66)</f>
        <v>0</v>
      </c>
      <c r="I66" s="301" t="n"/>
      <c r="J66" s="301" t="n"/>
      <c r="K66" s="301" t="n"/>
      <c r="L66" s="301" t="n"/>
      <c r="M66" s="268">
        <f>SUM(I66:L66)</f>
        <v>0</v>
      </c>
      <c r="N66" s="301" t="n"/>
      <c r="O66" s="301" t="n"/>
      <c r="P66" s="301" t="n"/>
      <c r="Q66" s="301" t="n"/>
      <c r="R66" s="268">
        <f>SUM(N66:Q66)</f>
        <v>0</v>
      </c>
      <c r="S66" s="301" t="n"/>
      <c r="T66" s="301" t="n"/>
      <c r="U66" s="301" t="n"/>
      <c r="V66" s="301" t="n"/>
      <c r="W66" s="268">
        <f>SUM(S66:V66)</f>
        <v>0</v>
      </c>
      <c r="X66" s="301" t="n"/>
      <c r="Y66" s="301" t="n"/>
      <c r="Z66" s="301" t="n"/>
      <c r="AA66" s="301" t="n"/>
      <c r="AB66" s="268">
        <f>SUM(X66:AA66)</f>
        <v>0</v>
      </c>
      <c r="AC66" s="301" t="n"/>
      <c r="AD66" s="301" t="n"/>
      <c r="AE66" s="301" t="n"/>
      <c r="AF66" s="301" t="n"/>
      <c r="AG66" s="268">
        <f>SUM(AC66:AF66)</f>
        <v>0</v>
      </c>
      <c r="AH66" s="268" t="n"/>
      <c r="AI66" s="268" t="n"/>
      <c r="AJ66" s="268" t="n"/>
      <c r="AK66" s="268" t="n"/>
      <c r="AL66" s="268">
        <f>SUM(AH66:AK66)</f>
        <v>0</v>
      </c>
      <c r="AM66" s="268" t="n"/>
      <c r="AN66" s="268" t="n"/>
      <c r="AO66" s="268" t="n"/>
      <c r="AP66" s="268" t="n"/>
      <c r="AQ66" s="268">
        <f>SUM(AM66:AP66)</f>
        <v>0</v>
      </c>
      <c r="AR66" s="268" t="n"/>
      <c r="AS66" s="268" t="n"/>
      <c r="AT66" s="268" t="n"/>
      <c r="AU66" s="268" t="n"/>
      <c r="AV66" s="268">
        <f>SUM(AR66:AU66)</f>
        <v>0</v>
      </c>
      <c r="AW66" s="268" t="n"/>
      <c r="AX66" s="268" t="n"/>
      <c r="AY66" s="268" t="n"/>
      <c r="AZ66" s="268" t="n"/>
      <c r="BA66" s="268">
        <f>SUM(AW66:AZ66)</f>
        <v>0</v>
      </c>
      <c r="BB66" s="268" t="n"/>
      <c r="BC66" s="268" t="n"/>
      <c r="BD66" s="268" t="n"/>
      <c r="BE66" s="268" t="n"/>
      <c r="BF66" s="268">
        <f>SUM(BB66:BE66)</f>
        <v>0</v>
      </c>
      <c r="BG66" s="268" t="n"/>
      <c r="BH66" s="268" t="n"/>
      <c r="BI66" s="268" t="n"/>
      <c r="BJ66" s="268" t="n"/>
      <c r="BK66" s="268">
        <f>SUM(BG66:BJ66)</f>
        <v>0</v>
      </c>
      <c r="BL66" s="268" t="n"/>
      <c r="BM66" s="268" t="n"/>
      <c r="BN66" s="268" t="n"/>
      <c r="BO66" s="268" t="n"/>
      <c r="BP66" s="268">
        <f>SUM(BL66:BO66)</f>
        <v>0</v>
      </c>
      <c r="BQ66" s="268" t="n"/>
      <c r="BR66" s="268" t="n"/>
      <c r="BS66" s="268" t="n"/>
      <c r="BT66" s="268" t="n"/>
      <c r="BU66" s="268">
        <f>SUM(BQ66:BT66)</f>
        <v>0</v>
      </c>
      <c r="BV66" s="268" t="n"/>
      <c r="BW66" s="268" t="n"/>
      <c r="BX66" s="268" t="n"/>
      <c r="BY66" s="268" t="n"/>
      <c r="BZ66" s="268">
        <f>SUM(BV66:BY66)</f>
        <v>0</v>
      </c>
      <c r="CA66" s="268" t="n"/>
      <c r="CB66" s="268" t="n"/>
      <c r="CC66" s="268" t="n"/>
      <c r="CD66" s="268" t="n"/>
      <c r="CE66" s="268">
        <f>SUM(CA66:CD66)</f>
        <v>0</v>
      </c>
      <c r="CF66" s="268" t="n"/>
      <c r="CG66" s="268" t="n"/>
      <c r="CH66" s="268" t="n"/>
      <c r="CI66" s="268" t="n"/>
      <c r="CJ66" s="268">
        <f>SUM(CF66:CI66)</f>
        <v>0</v>
      </c>
      <c r="CK66" s="268" t="n"/>
      <c r="CL66" s="268" t="n"/>
      <c r="CM66" s="268" t="n"/>
      <c r="CN66" s="268" t="n"/>
      <c r="CO66" s="268">
        <f>SUM(CK66:CN66)</f>
        <v>0</v>
      </c>
      <c r="CP66" s="268" t="n"/>
      <c r="CQ66" s="268" t="n"/>
      <c r="CR66" s="268" t="n"/>
      <c r="CS66" s="268" t="n"/>
      <c r="CT66" s="268">
        <f>SUM(CP66:CS66)</f>
        <v>0</v>
      </c>
      <c r="CU66" s="268" t="n"/>
      <c r="CV66" s="268" t="n"/>
      <c r="CW66" s="268" t="n"/>
      <c r="CX66" s="268" t="n"/>
      <c r="CY66" s="268">
        <f>SUM(CU66:CX66)</f>
        <v>0</v>
      </c>
    </row>
    <row r="67" hidden="1" outlineLevel="1" ht="12.75" customHeight="1" s="255">
      <c r="C67" s="305" t="inlineStr">
        <is>
          <t>% of Debt</t>
        </is>
      </c>
      <c r="D67" s="309">
        <f>IFERROR(-D66/SUM(D204+D209),0)</f>
        <v>0</v>
      </c>
      <c r="E67" s="309">
        <f>IFERROR(-E66/SUM(E204+E209),0)</f>
        <v>0</v>
      </c>
      <c r="F67" s="309">
        <f>IFERROR(-F66/SUM(F204+F209),0)</f>
        <v>0</v>
      </c>
      <c r="G67" s="309">
        <f>IFERROR(-G66/SUM(G204+G209),0)</f>
        <v>0</v>
      </c>
      <c r="H67" s="268" t="n"/>
      <c r="I67" s="309">
        <f>IFERROR(-I66/SUM(I204+I209),0)</f>
        <v>0</v>
      </c>
      <c r="J67" s="309">
        <f>IFERROR(-J66/SUM(J204+J209),0)</f>
        <v>0</v>
      </c>
      <c r="K67" s="309">
        <f>IFERROR(-K66/SUM(K204+K209),0)</f>
        <v>0</v>
      </c>
      <c r="L67" s="309">
        <f>IFERROR(-L66/SUM(L204+L209),0)</f>
        <v>0</v>
      </c>
      <c r="M67" s="268" t="n"/>
      <c r="N67" s="309">
        <f>IFERROR(-N66/SUM(N204+N209),0)</f>
        <v>0</v>
      </c>
      <c r="O67" s="309">
        <f>IFERROR(-O66/SUM(O204+O209),0)</f>
        <v>0</v>
      </c>
      <c r="P67" s="309">
        <f>IFERROR(-P66/SUM(P204+P209),0)</f>
        <v>0</v>
      </c>
      <c r="Q67" s="309">
        <f>IFERROR(-Q66/SUM(Q204+Q209),0)</f>
        <v>0</v>
      </c>
      <c r="R67" s="268" t="n"/>
      <c r="S67" s="309">
        <f>IFERROR(-S66/SUM(S204+S209),0)</f>
        <v>0</v>
      </c>
      <c r="T67" s="309">
        <f>IFERROR(-T66/SUM(T204+T209),0)</f>
        <v>0</v>
      </c>
      <c r="U67" s="309">
        <f>IFERROR(-U66/SUM(U204+U209),0)</f>
        <v>0</v>
      </c>
      <c r="V67" s="309">
        <f>IFERROR(-V66/SUM(V204+V209),0)</f>
        <v>0</v>
      </c>
      <c r="W67" s="268" t="n"/>
      <c r="X67" s="309">
        <f>IFERROR(-X66/SUM(X204+X209),0)</f>
        <v>0</v>
      </c>
      <c r="Y67" s="309">
        <f>IFERROR(-Y66/SUM(Y204+Y209),0)</f>
        <v>0</v>
      </c>
      <c r="Z67" s="309">
        <f>IFERROR(-Z66/SUM(Z204+Z209),0)</f>
        <v>0</v>
      </c>
      <c r="AA67" s="309">
        <f>IFERROR(-AA66/SUM(AA204+AA209),0)</f>
        <v>0</v>
      </c>
      <c r="AB67" s="268" t="n"/>
      <c r="AC67" s="309">
        <f>IFERROR(-AC66/SUM(AC204+AC209),0)</f>
        <v>0</v>
      </c>
      <c r="AD67" s="309">
        <f>IFERROR(-AD66/SUM(AD204+AD209),0)</f>
        <v>0</v>
      </c>
      <c r="AE67" s="309">
        <f>IFERROR(-AE66/SUM(AE204+AE209),0)</f>
        <v>0</v>
      </c>
      <c r="AF67" s="311">
        <f>IFERROR(-AF66/SUM(AF204+AF209),0)</f>
        <v>0</v>
      </c>
      <c r="AG67" s="268" t="n"/>
      <c r="AH67" s="267">
        <f>IFERROR(-AH66/SUM(AH204+AH209),0)</f>
        <v>0</v>
      </c>
      <c r="AI67" s="267">
        <f>IFERROR(-AI66/SUM(AI204+AI209),0)</f>
        <v>0</v>
      </c>
      <c r="AJ67" s="267" t="n"/>
      <c r="AK67" s="267" t="n"/>
      <c r="AL67" s="268" t="n"/>
      <c r="AM67" s="267" t="n"/>
      <c r="AN67" s="267" t="n"/>
      <c r="AO67" s="267" t="n"/>
      <c r="AP67" s="267" t="n"/>
      <c r="AQ67" s="268" t="n"/>
      <c r="AR67" s="267" t="n"/>
      <c r="AS67" s="267" t="n"/>
      <c r="AT67" s="267" t="n"/>
      <c r="AU67" s="267" t="n"/>
      <c r="AV67" s="268" t="n"/>
      <c r="AW67" s="267" t="n"/>
      <c r="AX67" s="267" t="n"/>
      <c r="AY67" s="267" t="n"/>
      <c r="AZ67" s="267" t="n"/>
      <c r="BA67" s="268" t="n"/>
      <c r="BB67" s="267" t="n"/>
      <c r="BC67" s="267" t="n"/>
      <c r="BD67" s="267" t="n"/>
      <c r="BE67" s="267" t="n"/>
      <c r="BF67" s="268" t="n"/>
      <c r="BG67" s="267" t="n"/>
      <c r="BH67" s="267" t="n"/>
      <c r="BI67" s="267" t="n"/>
      <c r="BJ67" s="267" t="n"/>
      <c r="BK67" s="268" t="n"/>
      <c r="BL67" s="267" t="n"/>
      <c r="BM67" s="267" t="n"/>
      <c r="BN67" s="267" t="n"/>
      <c r="BO67" s="267" t="n"/>
      <c r="BP67" s="268" t="n"/>
      <c r="BQ67" s="267" t="n"/>
      <c r="BR67" s="267" t="n"/>
      <c r="BS67" s="267" t="n"/>
      <c r="BT67" s="267" t="n"/>
      <c r="BU67" s="268" t="n"/>
      <c r="BV67" s="267" t="n"/>
      <c r="BW67" s="267" t="n"/>
      <c r="BX67" s="267" t="n"/>
      <c r="BY67" s="267" t="n"/>
      <c r="BZ67" s="268" t="n"/>
      <c r="CA67" s="267" t="n"/>
      <c r="CB67" s="267" t="n"/>
      <c r="CC67" s="267" t="n"/>
      <c r="CD67" s="267" t="n"/>
      <c r="CE67" s="268" t="n"/>
      <c r="CF67" s="267" t="n"/>
      <c r="CG67" s="267" t="n"/>
      <c r="CH67" s="267" t="n"/>
      <c r="CI67" s="267" t="n"/>
      <c r="CJ67" s="268" t="n"/>
      <c r="CK67" s="267" t="n"/>
      <c r="CL67" s="267" t="n"/>
      <c r="CM67" s="267" t="n"/>
      <c r="CN67" s="267" t="n"/>
      <c r="CO67" s="268" t="n"/>
      <c r="CP67" s="267" t="n"/>
      <c r="CQ67" s="267" t="n"/>
      <c r="CR67" s="267" t="n"/>
      <c r="CS67" s="267" t="n"/>
      <c r="CT67" s="268" t="n"/>
      <c r="CU67" s="267" t="n"/>
      <c r="CV67" s="267" t="n"/>
      <c r="CW67" s="267" t="n"/>
      <c r="CX67" s="267" t="n"/>
      <c r="CY67" s="268" t="n"/>
    </row>
    <row r="68" hidden="1" outlineLevel="1" ht="12.75" customHeight="1" s="255">
      <c r="C68" s="305" t="inlineStr">
        <is>
          <t>%CDI</t>
        </is>
      </c>
      <c r="D68" s="267" t="n"/>
      <c r="E68" s="267" t="n"/>
      <c r="F68" s="267" t="n"/>
      <c r="G68" s="267" t="n"/>
      <c r="H68" s="268" t="n"/>
      <c r="I68" s="267" t="n"/>
      <c r="J68" s="267" t="n"/>
      <c r="K68" s="267" t="n"/>
      <c r="L68" s="267" t="n"/>
      <c r="M68" s="268" t="n"/>
      <c r="N68" s="267" t="n"/>
      <c r="O68" s="267" t="n"/>
      <c r="P68" s="267" t="n"/>
      <c r="Q68" s="267" t="n"/>
      <c r="R68" s="268" t="n"/>
      <c r="S68" s="267" t="n"/>
      <c r="T68" s="267" t="n"/>
      <c r="U68" s="267" t="n"/>
      <c r="V68" s="267" t="n"/>
      <c r="W68" s="268" t="n"/>
      <c r="X68" s="267" t="n"/>
      <c r="Y68" s="267" t="n"/>
      <c r="Z68" s="267" t="n"/>
      <c r="AA68" s="267" t="n"/>
      <c r="AB68" s="268" t="n"/>
      <c r="AC68" s="267" t="n"/>
      <c r="AD68" s="267" t="n"/>
      <c r="AE68" s="267" t="n"/>
      <c r="AF68" s="267" t="n"/>
      <c r="AG68" s="268" t="n"/>
      <c r="AH68" s="267" t="n"/>
      <c r="AI68" s="267" t="n"/>
      <c r="AJ68" s="267" t="n"/>
      <c r="AK68" s="267" t="n"/>
      <c r="AL68" s="268" t="n"/>
      <c r="AM68" s="267" t="n"/>
      <c r="AN68" s="267" t="n"/>
      <c r="AO68" s="267" t="n"/>
      <c r="AP68" s="267" t="n"/>
      <c r="AQ68" s="268" t="n"/>
      <c r="AR68" s="267" t="n"/>
      <c r="AS68" s="267" t="n"/>
      <c r="AT68" s="267" t="n"/>
      <c r="AU68" s="267" t="n"/>
      <c r="AV68" s="268" t="n"/>
      <c r="AW68" s="267" t="n"/>
      <c r="AX68" s="267" t="n"/>
      <c r="AY68" s="267" t="n"/>
      <c r="AZ68" s="267" t="n"/>
      <c r="BA68" s="268" t="n"/>
      <c r="BB68" s="267" t="n"/>
      <c r="BC68" s="267" t="n"/>
      <c r="BD68" s="267" t="n"/>
      <c r="BE68" s="267" t="n"/>
      <c r="BF68" s="268" t="n"/>
      <c r="BG68" s="267" t="n"/>
      <c r="BH68" s="267" t="n"/>
      <c r="BI68" s="267" t="n"/>
      <c r="BJ68" s="267" t="n"/>
      <c r="BK68" s="268" t="n"/>
      <c r="BL68" s="267" t="n"/>
      <c r="BM68" s="267" t="n"/>
      <c r="BN68" s="267" t="n"/>
      <c r="BO68" s="267" t="n"/>
      <c r="BP68" s="268" t="n"/>
      <c r="BQ68" s="267" t="n"/>
      <c r="BR68" s="267" t="n"/>
      <c r="BS68" s="267" t="n"/>
      <c r="BT68" s="267" t="n"/>
      <c r="BU68" s="268" t="n"/>
      <c r="BV68" s="267" t="n"/>
      <c r="BW68" s="267" t="n"/>
      <c r="BX68" s="267" t="n"/>
      <c r="BY68" s="267" t="n"/>
      <c r="BZ68" s="268" t="n"/>
      <c r="CA68" s="267" t="n"/>
      <c r="CB68" s="267" t="n"/>
      <c r="CC68" s="267" t="n"/>
      <c r="CD68" s="267" t="n"/>
      <c r="CE68" s="268" t="n"/>
      <c r="CF68" s="267" t="n"/>
      <c r="CG68" s="267" t="n"/>
      <c r="CH68" s="267" t="n"/>
      <c r="CI68" s="267" t="n"/>
      <c r="CJ68" s="268" t="n"/>
      <c r="CK68" s="267" t="n"/>
      <c r="CL68" s="267" t="n"/>
      <c r="CM68" s="267" t="n"/>
      <c r="CN68" s="267" t="n"/>
      <c r="CO68" s="268" t="n"/>
      <c r="CP68" s="267" t="n"/>
      <c r="CQ68" s="267" t="n"/>
      <c r="CR68" s="267" t="n"/>
      <c r="CS68" s="267" t="n"/>
      <c r="CT68" s="268" t="n"/>
      <c r="CU68" s="267" t="n"/>
      <c r="CV68" s="267" t="n"/>
      <c r="CW68" s="267" t="n"/>
      <c r="CX68" s="267" t="n"/>
      <c r="CY68" s="268" t="n"/>
    </row>
    <row r="69" hidden="1" outlineLevel="1" ht="12.75" customHeight="1" s="255">
      <c r="C69" s="312" t="n"/>
      <c r="D69" s="268" t="n"/>
      <c r="E69" s="268" t="n"/>
      <c r="F69" s="268" t="n"/>
      <c r="G69" s="268" t="n"/>
      <c r="H69" s="268" t="n"/>
      <c r="I69" s="268" t="n"/>
      <c r="J69" s="268" t="n"/>
      <c r="K69" s="268" t="n"/>
      <c r="L69" s="268" t="n"/>
      <c r="M69" s="268" t="n"/>
      <c r="N69" s="268" t="n"/>
      <c r="O69" s="268" t="n"/>
      <c r="P69" s="268" t="n"/>
      <c r="Q69" s="268" t="n"/>
      <c r="R69" s="268" t="n"/>
      <c r="S69" s="268" t="n"/>
      <c r="T69" s="268" t="n"/>
      <c r="U69" s="268" t="n"/>
      <c r="V69" s="268" t="n"/>
      <c r="W69" s="268" t="n"/>
      <c r="X69" s="268" t="n"/>
      <c r="Y69" s="268" t="n"/>
      <c r="Z69" s="268" t="n"/>
      <c r="AA69" s="268" t="n"/>
      <c r="AB69" s="268" t="n"/>
      <c r="AC69" s="268" t="n"/>
      <c r="AD69" s="268" t="n"/>
      <c r="AE69" s="268" t="n"/>
      <c r="AF69" s="268" t="n"/>
      <c r="AG69" s="268" t="n"/>
      <c r="AH69" s="268" t="n"/>
      <c r="AI69" s="268" t="n"/>
      <c r="AJ69" s="268" t="n"/>
      <c r="AK69" s="268" t="n"/>
      <c r="AL69" s="268" t="n"/>
      <c r="AM69" s="268" t="n"/>
      <c r="AN69" s="268" t="n"/>
      <c r="AO69" s="268" t="n"/>
      <c r="AP69" s="268" t="n"/>
      <c r="AQ69" s="268" t="n"/>
      <c r="AR69" s="268" t="n"/>
      <c r="AS69" s="268" t="n"/>
      <c r="AT69" s="268" t="n"/>
      <c r="AU69" s="268" t="n"/>
      <c r="AV69" s="268" t="n"/>
      <c r="AW69" s="268" t="n"/>
      <c r="AX69" s="268" t="n"/>
      <c r="AY69" s="268" t="n"/>
      <c r="AZ69" s="268" t="n"/>
      <c r="BA69" s="268" t="n"/>
      <c r="BB69" s="268" t="n"/>
      <c r="BC69" s="268" t="n"/>
      <c r="BD69" s="268" t="n"/>
      <c r="BE69" s="268" t="n"/>
      <c r="BF69" s="268" t="n"/>
      <c r="BG69" s="268" t="n"/>
      <c r="BH69" s="268" t="n"/>
      <c r="BI69" s="268" t="n"/>
      <c r="BJ69" s="268" t="n"/>
      <c r="BK69" s="268" t="n"/>
      <c r="BL69" s="268" t="n"/>
      <c r="BM69" s="268" t="n"/>
      <c r="BN69" s="268" t="n"/>
      <c r="BO69" s="268" t="n"/>
      <c r="BP69" s="268" t="n"/>
      <c r="BQ69" s="268" t="n"/>
      <c r="BR69" s="268" t="n"/>
      <c r="BS69" s="268" t="n"/>
      <c r="BT69" s="268" t="n"/>
      <c r="BU69" s="268" t="n"/>
      <c r="BV69" s="268" t="n"/>
      <c r="BW69" s="268" t="n"/>
      <c r="BX69" s="268" t="n"/>
      <c r="BY69" s="268" t="n"/>
      <c r="BZ69" s="268" t="n"/>
      <c r="CA69" s="268" t="n"/>
      <c r="CB69" s="268" t="n"/>
      <c r="CC69" s="268" t="n"/>
      <c r="CD69" s="268" t="n"/>
      <c r="CE69" s="268" t="n"/>
      <c r="CF69" s="268" t="n"/>
      <c r="CG69" s="268" t="n"/>
      <c r="CH69" s="268" t="n"/>
      <c r="CI69" s="268" t="n"/>
      <c r="CJ69" s="268" t="n"/>
      <c r="CK69" s="268" t="n"/>
      <c r="CL69" s="268" t="n"/>
      <c r="CM69" s="268" t="n"/>
      <c r="CN69" s="268" t="n"/>
      <c r="CO69" s="268" t="n"/>
      <c r="CP69" s="268" t="n"/>
      <c r="CQ69" s="268" t="n"/>
      <c r="CR69" s="268" t="n"/>
      <c r="CS69" s="268" t="n"/>
      <c r="CT69" s="268" t="n"/>
      <c r="CU69" s="268" t="n"/>
      <c r="CV69" s="268" t="n"/>
      <c r="CW69" s="268" t="n"/>
      <c r="CX69" s="268" t="n"/>
      <c r="CY69" s="268" t="n"/>
    </row>
    <row r="70" hidden="1" outlineLevel="1" ht="12.75" customHeight="1" s="255">
      <c r="C70" s="312" t="n"/>
      <c r="D70" s="268" t="n"/>
      <c r="E70" s="268" t="n"/>
      <c r="F70" s="268" t="n"/>
      <c r="G70" s="268" t="n"/>
      <c r="H70" s="268" t="n"/>
      <c r="I70" s="268" t="n"/>
      <c r="J70" s="268" t="n"/>
      <c r="K70" s="268" t="n"/>
      <c r="L70" s="268" t="n"/>
      <c r="M70" s="268" t="n"/>
      <c r="N70" s="268" t="n"/>
      <c r="O70" s="268" t="n"/>
      <c r="P70" s="268" t="n"/>
      <c r="Q70" s="268" t="n"/>
      <c r="R70" s="268" t="n"/>
      <c r="S70" s="268" t="n"/>
      <c r="T70" s="268" t="n"/>
      <c r="U70" s="268" t="n"/>
      <c r="V70" s="268" t="n"/>
      <c r="W70" s="268" t="n"/>
      <c r="X70" s="268" t="n"/>
      <c r="Y70" s="268" t="n"/>
      <c r="Z70" s="268" t="n"/>
      <c r="AA70" s="268" t="n"/>
      <c r="AB70" s="268" t="n"/>
      <c r="AC70" s="268" t="n"/>
      <c r="AD70" s="268" t="n"/>
      <c r="AE70" s="268" t="n"/>
      <c r="AF70" s="268" t="n"/>
      <c r="AG70" s="268" t="n"/>
      <c r="AH70" s="268" t="n"/>
      <c r="AI70" s="268" t="n"/>
      <c r="AJ70" s="268" t="n"/>
      <c r="AK70" s="268" t="n"/>
      <c r="AL70" s="268" t="n"/>
      <c r="AM70" s="268" t="n"/>
      <c r="AN70" s="268" t="n"/>
      <c r="AO70" s="268" t="n"/>
      <c r="AP70" s="268" t="n"/>
      <c r="AQ70" s="268" t="n"/>
      <c r="AR70" s="268" t="n"/>
      <c r="AS70" s="268" t="n"/>
      <c r="AT70" s="268" t="n"/>
      <c r="AU70" s="268" t="n"/>
      <c r="AV70" s="268" t="n"/>
      <c r="AW70" s="268" t="n"/>
      <c r="AX70" s="268" t="n"/>
      <c r="AY70" s="268" t="n"/>
      <c r="AZ70" s="268" t="n"/>
      <c r="BA70" s="268" t="n"/>
      <c r="BB70" s="268" t="n"/>
      <c r="BC70" s="268" t="n"/>
      <c r="BD70" s="268" t="n"/>
      <c r="BE70" s="268" t="n"/>
      <c r="BF70" s="268" t="n"/>
      <c r="BG70" s="268" t="n"/>
      <c r="BH70" s="268" t="n"/>
      <c r="BI70" s="268" t="n"/>
      <c r="BJ70" s="268" t="n"/>
      <c r="BK70" s="268" t="n"/>
      <c r="BL70" s="268" t="n"/>
      <c r="BM70" s="268" t="n"/>
      <c r="BN70" s="268" t="n"/>
      <c r="BO70" s="268" t="n"/>
      <c r="BP70" s="268" t="n"/>
      <c r="BQ70" s="268" t="n"/>
      <c r="BR70" s="268" t="n"/>
      <c r="BS70" s="268" t="n"/>
      <c r="BT70" s="268" t="n"/>
      <c r="BU70" s="268" t="n"/>
      <c r="BV70" s="268" t="n"/>
      <c r="BW70" s="268" t="n"/>
      <c r="BX70" s="268" t="n"/>
      <c r="BY70" s="268" t="n"/>
      <c r="BZ70" s="268" t="n"/>
      <c r="CA70" s="268" t="n"/>
      <c r="CB70" s="268" t="n"/>
      <c r="CC70" s="268" t="n"/>
      <c r="CD70" s="268" t="n"/>
      <c r="CE70" s="268" t="n"/>
      <c r="CF70" s="268" t="n"/>
      <c r="CG70" s="268" t="n"/>
      <c r="CH70" s="268" t="n"/>
      <c r="CI70" s="268" t="n"/>
      <c r="CJ70" s="268" t="n"/>
      <c r="CK70" s="268" t="n"/>
      <c r="CL70" s="268" t="n"/>
      <c r="CM70" s="268" t="n"/>
      <c r="CN70" s="268" t="n"/>
      <c r="CO70" s="268" t="n"/>
      <c r="CP70" s="268" t="n"/>
      <c r="CQ70" s="268" t="n"/>
      <c r="CR70" s="268" t="n"/>
      <c r="CS70" s="268" t="n"/>
      <c r="CT70" s="268" t="n"/>
      <c r="CU70" s="268" t="n"/>
      <c r="CV70" s="268" t="n"/>
      <c r="CW70" s="268" t="n"/>
      <c r="CX70" s="268" t="n"/>
      <c r="CY70" s="268" t="n"/>
    </row>
    <row r="71" hidden="1" outlineLevel="1" ht="12.75" customHeight="1" s="255">
      <c r="C71" s="312" t="inlineStr">
        <is>
          <t>RECEITA FINANCEIRA</t>
        </is>
      </c>
      <c r="D71" s="268" t="n"/>
      <c r="E71" s="268" t="n"/>
      <c r="F71" s="268" t="n"/>
      <c r="G71" s="268" t="n"/>
      <c r="H71" s="268" t="n"/>
      <c r="I71" s="268" t="n"/>
      <c r="J71" s="268" t="n"/>
      <c r="K71" s="268" t="n"/>
      <c r="L71" s="268" t="n"/>
      <c r="M71" s="268" t="n"/>
      <c r="N71" s="268" t="n"/>
      <c r="O71" s="268" t="n"/>
      <c r="P71" s="268" t="n"/>
      <c r="Q71" s="268" t="n"/>
      <c r="R71" s="268" t="n"/>
      <c r="S71" s="268" t="n"/>
      <c r="T71" s="268" t="n"/>
      <c r="U71" s="268" t="n"/>
      <c r="V71" s="268" t="n"/>
      <c r="W71" s="268" t="n"/>
      <c r="X71" s="268" t="n"/>
      <c r="Y71" s="268" t="n"/>
      <c r="Z71" s="268" t="n"/>
      <c r="AA71" s="268" t="n"/>
      <c r="AB71" s="268" t="n"/>
      <c r="AC71" s="268" t="n"/>
      <c r="AD71" s="268" t="n"/>
      <c r="AE71" s="268" t="n"/>
      <c r="AF71" s="268" t="n"/>
      <c r="AG71" s="268" t="n"/>
      <c r="AH71" s="268" t="n"/>
      <c r="AI71" s="268" t="n"/>
      <c r="AJ71" s="268" t="n"/>
      <c r="AK71" s="268" t="n"/>
      <c r="AL71" s="268" t="n"/>
      <c r="AM71" s="268" t="n"/>
      <c r="AN71" s="268" t="n"/>
      <c r="AO71" s="268" t="n"/>
      <c r="AP71" s="268" t="n"/>
      <c r="AQ71" s="268" t="n"/>
      <c r="AR71" s="268" t="n"/>
      <c r="AS71" s="268" t="n"/>
      <c r="AT71" s="268" t="n"/>
      <c r="AU71" s="268" t="n"/>
      <c r="AV71" s="268" t="n"/>
      <c r="AW71" s="268" t="n"/>
      <c r="AX71" s="268" t="n"/>
      <c r="AY71" s="268" t="n"/>
      <c r="AZ71" s="268" t="n"/>
      <c r="BA71" s="268" t="n"/>
      <c r="BB71" s="268" t="n"/>
      <c r="BC71" s="268" t="n"/>
      <c r="BD71" s="268" t="n"/>
      <c r="BE71" s="268" t="n"/>
      <c r="BF71" s="268" t="n"/>
      <c r="BG71" s="268" t="n"/>
      <c r="BH71" s="268" t="n"/>
      <c r="BI71" s="268" t="n"/>
      <c r="BJ71" s="268" t="n"/>
      <c r="BK71" s="268" t="n"/>
      <c r="BL71" s="268" t="n"/>
      <c r="BM71" s="268" t="n"/>
      <c r="BN71" s="268" t="n"/>
      <c r="BO71" s="268" t="n"/>
      <c r="BP71" s="268" t="n"/>
      <c r="BQ71" s="268" t="n"/>
      <c r="BR71" s="268" t="n"/>
      <c r="BS71" s="268" t="n"/>
      <c r="BT71" s="268" t="n"/>
      <c r="BU71" s="268" t="n"/>
      <c r="BV71" s="268" t="n"/>
      <c r="BW71" s="268" t="n"/>
      <c r="BX71" s="268" t="n"/>
      <c r="BY71" s="268" t="n"/>
      <c r="BZ71" s="268" t="n"/>
      <c r="CA71" s="268" t="n"/>
      <c r="CB71" s="268" t="n"/>
      <c r="CC71" s="268" t="n"/>
      <c r="CD71" s="268" t="n"/>
      <c r="CE71" s="268" t="n"/>
      <c r="CF71" s="268" t="n"/>
      <c r="CG71" s="268" t="n"/>
      <c r="CH71" s="268" t="n"/>
      <c r="CI71" s="268" t="n"/>
      <c r="CJ71" s="268" t="n"/>
      <c r="CK71" s="268" t="n"/>
      <c r="CL71" s="268" t="n"/>
      <c r="CM71" s="268" t="n"/>
      <c r="CN71" s="268" t="n"/>
      <c r="CO71" s="268" t="n"/>
      <c r="CP71" s="268" t="n"/>
      <c r="CQ71" s="268" t="n"/>
      <c r="CR71" s="268" t="n"/>
      <c r="CS71" s="268" t="n"/>
      <c r="CT71" s="268" t="n"/>
      <c r="CU71" s="268" t="n"/>
      <c r="CV71" s="268" t="n"/>
      <c r="CW71" s="268" t="n"/>
      <c r="CX71" s="268" t="n"/>
      <c r="CY71" s="268" t="n"/>
    </row>
    <row r="72" hidden="1" outlineLevel="1" ht="12.75" customHeight="1" s="255">
      <c r="C72" s="312" t="inlineStr">
        <is>
          <t>DESPESA FINANCEIRA</t>
        </is>
      </c>
      <c r="D72" s="268" t="n"/>
      <c r="E72" s="268" t="n"/>
      <c r="F72" s="268" t="n"/>
      <c r="G72" s="268" t="n"/>
      <c r="H72" s="268" t="n"/>
      <c r="I72" s="268" t="n"/>
      <c r="J72" s="268" t="n"/>
      <c r="K72" s="268" t="n"/>
      <c r="L72" s="268" t="n"/>
      <c r="M72" s="268" t="n"/>
      <c r="N72" s="268" t="n"/>
      <c r="O72" s="268" t="n"/>
      <c r="P72" s="268" t="n"/>
      <c r="Q72" s="268" t="n"/>
      <c r="R72" s="268" t="n"/>
      <c r="S72" s="268" t="n"/>
      <c r="T72" s="268" t="n"/>
      <c r="U72" s="268" t="n"/>
      <c r="V72" s="268" t="n"/>
      <c r="W72" s="268" t="n"/>
      <c r="X72" s="268" t="n"/>
      <c r="Y72" s="268" t="n"/>
      <c r="Z72" s="268" t="n"/>
      <c r="AA72" s="268" t="n"/>
      <c r="AB72" s="268" t="n"/>
      <c r="AC72" s="268" t="n"/>
      <c r="AD72" s="268" t="n"/>
      <c r="AE72" s="268" t="n"/>
      <c r="AF72" s="268" t="n"/>
      <c r="AG72" s="268" t="n"/>
      <c r="AH72" s="268" t="n"/>
      <c r="AI72" s="268" t="n"/>
      <c r="AJ72" s="268" t="n"/>
      <c r="AK72" s="268" t="n"/>
      <c r="AL72" s="268" t="n"/>
      <c r="AM72" s="268" t="n"/>
      <c r="AN72" s="268" t="n"/>
      <c r="AO72" s="268" t="n"/>
      <c r="AP72" s="268" t="n"/>
      <c r="AQ72" s="268" t="n"/>
      <c r="AR72" s="268" t="n"/>
      <c r="AS72" s="268" t="n"/>
      <c r="AT72" s="268" t="n"/>
      <c r="AU72" s="268" t="n"/>
      <c r="AV72" s="268" t="n"/>
      <c r="AW72" s="268" t="n"/>
      <c r="AX72" s="268" t="n"/>
      <c r="AY72" s="268" t="n"/>
      <c r="AZ72" s="268" t="n"/>
      <c r="BA72" s="268" t="n"/>
      <c r="BB72" s="268" t="n"/>
      <c r="BC72" s="268" t="n"/>
      <c r="BD72" s="268" t="n"/>
      <c r="BE72" s="268" t="n"/>
      <c r="BF72" s="268" t="n"/>
      <c r="BG72" s="268" t="n"/>
      <c r="BH72" s="268" t="n"/>
      <c r="BI72" s="268" t="n"/>
      <c r="BJ72" s="268" t="n"/>
      <c r="BK72" s="268" t="n"/>
      <c r="BL72" s="268" t="n"/>
      <c r="BM72" s="268" t="n"/>
      <c r="BN72" s="268" t="n"/>
      <c r="BO72" s="268" t="n"/>
      <c r="BP72" s="268" t="n"/>
      <c r="BQ72" s="268" t="n"/>
      <c r="BR72" s="268" t="n"/>
      <c r="BS72" s="268" t="n"/>
      <c r="BT72" s="268" t="n"/>
      <c r="BU72" s="268" t="n"/>
      <c r="BV72" s="268" t="n"/>
      <c r="BW72" s="268" t="n"/>
      <c r="BX72" s="268" t="n"/>
      <c r="BY72" s="268" t="n"/>
      <c r="BZ72" s="268" t="n"/>
      <c r="CA72" s="268" t="n"/>
      <c r="CB72" s="268" t="n"/>
      <c r="CC72" s="268" t="n"/>
      <c r="CD72" s="268" t="n"/>
      <c r="CE72" s="268" t="n"/>
      <c r="CF72" s="268" t="n"/>
      <c r="CG72" s="268" t="n"/>
      <c r="CH72" s="268" t="n"/>
      <c r="CI72" s="268" t="n"/>
      <c r="CJ72" s="268" t="n"/>
      <c r="CK72" s="268" t="n"/>
      <c r="CL72" s="268" t="n"/>
      <c r="CM72" s="268" t="n"/>
      <c r="CN72" s="268" t="n"/>
      <c r="CO72" s="268" t="n"/>
      <c r="CP72" s="268" t="n"/>
      <c r="CQ72" s="268" t="n"/>
      <c r="CR72" s="268" t="n"/>
      <c r="CS72" s="268" t="n"/>
      <c r="CT72" s="268" t="n"/>
      <c r="CU72" s="268" t="n"/>
      <c r="CV72" s="268" t="n"/>
      <c r="CW72" s="268" t="n"/>
      <c r="CX72" s="268" t="n"/>
      <c r="CY72" s="268" t="n"/>
    </row>
    <row r="73" hidden="1" outlineLevel="1" ht="12.75" customHeight="1" s="255">
      <c r="C73" s="312" t="inlineStr">
        <is>
          <t>OUTROS</t>
        </is>
      </c>
      <c r="D73" s="268" t="n"/>
      <c r="E73" s="268" t="n"/>
      <c r="F73" s="268" t="n"/>
      <c r="G73" s="268" t="n"/>
      <c r="H73" s="268" t="n"/>
      <c r="I73" s="268" t="n"/>
      <c r="J73" s="268" t="n"/>
      <c r="K73" s="268" t="n"/>
      <c r="L73" s="268" t="n"/>
      <c r="M73" s="268" t="n"/>
      <c r="N73" s="268" t="n"/>
      <c r="O73" s="268" t="n"/>
      <c r="P73" s="268" t="n"/>
      <c r="Q73" s="268" t="n"/>
      <c r="R73" s="268" t="n"/>
      <c r="S73" s="268" t="n"/>
      <c r="T73" s="268" t="n"/>
      <c r="U73" s="268" t="n"/>
      <c r="V73" s="268" t="n"/>
      <c r="W73" s="268" t="n"/>
      <c r="X73" s="268" t="n"/>
      <c r="Y73" s="268" t="n"/>
      <c r="Z73" s="268" t="n"/>
      <c r="AA73" s="268" t="n"/>
      <c r="AB73" s="268" t="n"/>
      <c r="AC73" s="268" t="n"/>
      <c r="AD73" s="268" t="n"/>
      <c r="AE73" s="268" t="n"/>
      <c r="AF73" s="268" t="n"/>
      <c r="AG73" s="268" t="n"/>
      <c r="AH73" s="268" t="n"/>
      <c r="AI73" s="268" t="n"/>
      <c r="AJ73" s="268" t="n"/>
      <c r="AK73" s="268" t="n"/>
      <c r="AL73" s="268" t="n"/>
      <c r="AM73" s="268" t="n"/>
      <c r="AN73" s="268" t="n"/>
      <c r="AO73" s="268" t="n"/>
      <c r="AP73" s="268" t="n"/>
      <c r="AQ73" s="268" t="n"/>
      <c r="AR73" s="268" t="n"/>
      <c r="AS73" s="268" t="n"/>
      <c r="AT73" s="268" t="n"/>
      <c r="AU73" s="268" t="n"/>
      <c r="AV73" s="268" t="n"/>
      <c r="AW73" s="268" t="n"/>
      <c r="AX73" s="268" t="n"/>
      <c r="AY73" s="268" t="n"/>
      <c r="AZ73" s="268" t="n"/>
      <c r="BA73" s="268" t="n"/>
      <c r="BB73" s="268" t="n"/>
      <c r="BC73" s="268" t="n"/>
      <c r="BD73" s="268" t="n"/>
      <c r="BE73" s="268" t="n"/>
      <c r="BF73" s="268" t="n"/>
      <c r="BG73" s="268" t="n"/>
      <c r="BH73" s="268" t="n"/>
      <c r="BI73" s="268" t="n"/>
      <c r="BJ73" s="268" t="n"/>
      <c r="BK73" s="268" t="n"/>
      <c r="BL73" s="268" t="n"/>
      <c r="BM73" s="268" t="n"/>
      <c r="BN73" s="268" t="n"/>
      <c r="BO73" s="268" t="n"/>
      <c r="BP73" s="268" t="n"/>
      <c r="BQ73" s="268" t="n"/>
      <c r="BR73" s="268" t="n"/>
      <c r="BS73" s="268" t="n"/>
      <c r="BT73" s="268" t="n"/>
      <c r="BU73" s="268" t="n"/>
      <c r="BV73" s="268" t="n"/>
      <c r="BW73" s="268" t="n"/>
      <c r="BX73" s="268" t="n"/>
      <c r="BY73" s="268" t="n"/>
      <c r="BZ73" s="268" t="n"/>
      <c r="CA73" s="268" t="n"/>
      <c r="CB73" s="268" t="n"/>
      <c r="CC73" s="268" t="n"/>
      <c r="CD73" s="268" t="n"/>
      <c r="CE73" s="268" t="n"/>
      <c r="CF73" s="268" t="n"/>
      <c r="CG73" s="268" t="n"/>
      <c r="CH73" s="268" t="n"/>
      <c r="CI73" s="268" t="n"/>
      <c r="CJ73" s="268" t="n"/>
      <c r="CK73" s="268" t="n"/>
      <c r="CL73" s="268" t="n"/>
      <c r="CM73" s="268" t="n"/>
      <c r="CN73" s="268" t="n"/>
      <c r="CO73" s="268" t="n"/>
      <c r="CP73" s="268" t="n"/>
      <c r="CQ73" s="268" t="n"/>
      <c r="CR73" s="268" t="n"/>
      <c r="CS73" s="268" t="n"/>
      <c r="CT73" s="268" t="n"/>
      <c r="CU73" s="268" t="n"/>
      <c r="CV73" s="268" t="n"/>
      <c r="CW73" s="268" t="n"/>
      <c r="CX73" s="268" t="n"/>
      <c r="CY73" s="268" t="n"/>
    </row>
    <row r="74" hidden="1" outlineLevel="1" ht="12.75" customHeight="1" s="255">
      <c r="C74" s="312" t="n"/>
      <c r="D74" s="268" t="n"/>
      <c r="E74" s="268" t="n"/>
      <c r="F74" s="268" t="n"/>
      <c r="G74" s="268" t="n"/>
      <c r="H74" s="268" t="n"/>
      <c r="I74" s="268" t="n"/>
      <c r="J74" s="268" t="n"/>
      <c r="K74" s="268" t="n"/>
      <c r="L74" s="268" t="n"/>
      <c r="M74" s="268" t="n"/>
      <c r="N74" s="268" t="n"/>
      <c r="O74" s="268" t="n"/>
      <c r="P74" s="268" t="n"/>
      <c r="Q74" s="268" t="n"/>
      <c r="R74" s="268" t="n"/>
      <c r="S74" s="268" t="n"/>
      <c r="T74" s="268" t="n"/>
      <c r="U74" s="268" t="n"/>
      <c r="V74" s="268" t="n"/>
      <c r="W74" s="268" t="n"/>
      <c r="X74" s="268" t="n"/>
      <c r="Y74" s="268" t="n"/>
      <c r="Z74" s="268" t="n"/>
      <c r="AA74" s="268" t="n"/>
      <c r="AB74" s="268" t="n"/>
      <c r="AC74" s="268" t="n"/>
      <c r="AD74" s="268" t="n"/>
      <c r="AE74" s="268" t="n"/>
      <c r="AF74" s="268" t="n"/>
      <c r="AG74" s="268" t="n"/>
      <c r="AH74" s="268" t="n"/>
      <c r="AI74" s="268" t="n"/>
      <c r="AJ74" s="268" t="n"/>
      <c r="AK74" s="268" t="n"/>
      <c r="AL74" s="268" t="n"/>
      <c r="AM74" s="268" t="n"/>
      <c r="AN74" s="268" t="n"/>
      <c r="AO74" s="268" t="n"/>
      <c r="AP74" s="268" t="n"/>
      <c r="AQ74" s="268" t="n"/>
      <c r="AR74" s="268" t="n"/>
      <c r="AS74" s="268" t="n"/>
      <c r="AT74" s="268" t="n"/>
      <c r="AU74" s="268" t="n"/>
      <c r="AV74" s="268" t="n"/>
      <c r="AW74" s="268" t="n"/>
      <c r="AX74" s="268" t="n"/>
      <c r="AY74" s="268" t="n"/>
      <c r="AZ74" s="268" t="n"/>
      <c r="BA74" s="268" t="n"/>
      <c r="BB74" s="268" t="n"/>
      <c r="BC74" s="268" t="n"/>
      <c r="BD74" s="268" t="n"/>
      <c r="BE74" s="268" t="n"/>
      <c r="BF74" s="268" t="n"/>
      <c r="BG74" s="268" t="n"/>
      <c r="BH74" s="268" t="n"/>
      <c r="BI74" s="268" t="n"/>
      <c r="BJ74" s="268" t="n"/>
      <c r="BK74" s="268" t="n"/>
      <c r="BL74" s="268" t="n"/>
      <c r="BM74" s="268" t="n"/>
      <c r="BN74" s="268" t="n"/>
      <c r="BO74" s="268" t="n"/>
      <c r="BP74" s="268" t="n"/>
      <c r="BQ74" s="268" t="n"/>
      <c r="BR74" s="268" t="n"/>
      <c r="BS74" s="268" t="n"/>
      <c r="BT74" s="268" t="n"/>
      <c r="BU74" s="268" t="n"/>
      <c r="BV74" s="268" t="n"/>
      <c r="BW74" s="268" t="n"/>
      <c r="BX74" s="268" t="n"/>
      <c r="BY74" s="268" t="n"/>
      <c r="BZ74" s="268" t="n"/>
      <c r="CA74" s="268" t="n"/>
      <c r="CB74" s="268" t="n"/>
      <c r="CC74" s="268" t="n"/>
      <c r="CD74" s="268" t="n"/>
      <c r="CE74" s="268" t="n"/>
      <c r="CF74" s="268" t="n"/>
      <c r="CG74" s="268" t="n"/>
      <c r="CH74" s="268" t="n"/>
      <c r="CI74" s="268" t="n"/>
      <c r="CJ74" s="268" t="n"/>
      <c r="CK74" s="268" t="n"/>
      <c r="CL74" s="268" t="n"/>
      <c r="CM74" s="268" t="n"/>
      <c r="CN74" s="268" t="n"/>
      <c r="CO74" s="268" t="n"/>
      <c r="CP74" s="268" t="n"/>
      <c r="CQ74" s="268" t="n"/>
      <c r="CR74" s="268" t="n"/>
      <c r="CS74" s="268" t="n"/>
      <c r="CT74" s="268" t="n"/>
      <c r="CU74" s="268" t="n"/>
      <c r="CV74" s="268" t="n"/>
      <c r="CW74" s="268" t="n"/>
      <c r="CX74" s="268" t="n"/>
      <c r="CY74" s="268" t="n"/>
    </row>
    <row r="75" hidden="1" outlineLevel="1" ht="12.75" customHeight="1" s="255">
      <c r="C75" s="312" t="inlineStr">
        <is>
          <t>Cash and equivalents (inc. investment securities)</t>
        </is>
      </c>
      <c r="D75" s="268" t="n"/>
      <c r="E75" s="268" t="n"/>
      <c r="F75" s="268" t="n"/>
      <c r="G75" s="268" t="n"/>
      <c r="H75" s="268" t="n"/>
      <c r="I75" s="268" t="n"/>
      <c r="J75" s="268" t="n"/>
      <c r="K75" s="268" t="n"/>
      <c r="L75" s="268" t="n"/>
      <c r="M75" s="268" t="n"/>
      <c r="N75" s="268" t="n"/>
      <c r="O75" s="268" t="n"/>
      <c r="P75" s="268" t="n"/>
      <c r="Q75" s="268" t="n"/>
      <c r="R75" s="268" t="n"/>
      <c r="S75" s="268" t="n"/>
      <c r="T75" s="268" t="n"/>
      <c r="U75" s="268" t="n"/>
      <c r="V75" s="268" t="n"/>
      <c r="W75" s="268" t="n"/>
      <c r="X75" s="268" t="n"/>
      <c r="Y75" s="268" t="n"/>
      <c r="Z75" s="268" t="n"/>
      <c r="AA75" s="268" t="n"/>
      <c r="AB75" s="268" t="n"/>
      <c r="AC75" s="268" t="n"/>
      <c r="AD75" s="268" t="n"/>
      <c r="AE75" s="268" t="n"/>
      <c r="AF75" s="268" t="n"/>
      <c r="AG75" s="268" t="n"/>
      <c r="AH75" s="268" t="n"/>
      <c r="AI75" s="268" t="n"/>
      <c r="AJ75" s="268" t="n"/>
      <c r="AK75" s="268" t="n"/>
      <c r="AL75" s="268" t="n"/>
      <c r="AM75" s="268" t="n"/>
      <c r="AN75" s="268" t="n"/>
      <c r="AO75" s="268" t="n"/>
      <c r="AP75" s="268" t="n"/>
      <c r="AQ75" s="268" t="n"/>
      <c r="AR75" s="268" t="n"/>
      <c r="AS75" s="268" t="n"/>
      <c r="AT75" s="268" t="n"/>
      <c r="AU75" s="268" t="n"/>
      <c r="AV75" s="268" t="n"/>
      <c r="AW75" s="268" t="n"/>
      <c r="AX75" s="268" t="n"/>
      <c r="AY75" s="268" t="n"/>
      <c r="AZ75" s="268" t="n"/>
      <c r="BA75" s="268" t="n"/>
      <c r="BB75" s="268" t="n"/>
      <c r="BC75" s="268" t="n"/>
      <c r="BD75" s="268" t="n"/>
      <c r="BE75" s="268" t="n"/>
      <c r="BF75" s="268" t="n"/>
      <c r="BG75" s="268" t="n"/>
      <c r="BH75" s="268" t="n"/>
      <c r="BI75" s="268" t="n"/>
      <c r="BJ75" s="268" t="n"/>
      <c r="BK75" s="268" t="n"/>
      <c r="BL75" s="268" t="n"/>
      <c r="BM75" s="268" t="n"/>
      <c r="BN75" s="268" t="n"/>
      <c r="BO75" s="268" t="n"/>
      <c r="BP75" s="268" t="n"/>
      <c r="BQ75" s="268" t="n"/>
      <c r="BR75" s="268" t="n"/>
      <c r="BS75" s="268" t="n"/>
      <c r="BT75" s="268" t="n"/>
      <c r="BU75" s="268" t="n"/>
      <c r="BV75" s="268" t="n"/>
      <c r="BW75" s="268" t="n"/>
      <c r="BX75" s="268" t="n"/>
      <c r="BY75" s="268" t="n"/>
      <c r="BZ75" s="268" t="n"/>
      <c r="CA75" s="268" t="n"/>
      <c r="CB75" s="268" t="n"/>
      <c r="CC75" s="268" t="n"/>
      <c r="CD75" s="268" t="n"/>
      <c r="CE75" s="268" t="n"/>
      <c r="CF75" s="268" t="n"/>
      <c r="CG75" s="268" t="n"/>
      <c r="CH75" s="268" t="n"/>
      <c r="CI75" s="268" t="n"/>
      <c r="CJ75" s="268" t="n"/>
      <c r="CK75" s="268" t="n"/>
      <c r="CL75" s="268" t="n"/>
      <c r="CM75" s="268" t="n"/>
      <c r="CN75" s="268" t="n"/>
      <c r="CO75" s="268" t="n"/>
      <c r="CP75" s="268" t="n"/>
      <c r="CQ75" s="268" t="n"/>
      <c r="CR75" s="268" t="n"/>
      <c r="CS75" s="268" t="n"/>
      <c r="CT75" s="268" t="n"/>
      <c r="CU75" s="268" t="n"/>
      <c r="CV75" s="268" t="n"/>
      <c r="CW75" s="268" t="n"/>
      <c r="CX75" s="268" t="n"/>
      <c r="CY75" s="268" t="n"/>
    </row>
    <row r="76" hidden="1" outlineLevel="1" ht="12.75" customHeight="1" s="255">
      <c r="C76" s="312" t="inlineStr">
        <is>
          <t>Interest on cash</t>
        </is>
      </c>
      <c r="D76" s="268" t="n"/>
      <c r="E76" s="268" t="n"/>
      <c r="F76" s="268" t="n"/>
      <c r="G76" s="268" t="n"/>
      <c r="H76" s="268" t="n"/>
      <c r="I76" s="268" t="n"/>
      <c r="J76" s="268" t="n"/>
      <c r="K76" s="268" t="n"/>
      <c r="L76" s="268" t="n"/>
      <c r="M76" s="268" t="n"/>
      <c r="N76" s="268" t="n"/>
      <c r="O76" s="268" t="n"/>
      <c r="P76" s="268" t="n"/>
      <c r="Q76" s="268" t="n"/>
      <c r="R76" s="268" t="n"/>
      <c r="S76" s="268" t="n"/>
      <c r="T76" s="268" t="n"/>
      <c r="U76" s="268" t="n"/>
      <c r="V76" s="268" t="n"/>
      <c r="W76" s="268" t="n"/>
      <c r="X76" s="268" t="n"/>
      <c r="Y76" s="268" t="n"/>
      <c r="Z76" s="268" t="n"/>
      <c r="AA76" s="268" t="n"/>
      <c r="AB76" s="268" t="n"/>
      <c r="AC76" s="268" t="n"/>
      <c r="AD76" s="268" t="n"/>
      <c r="AE76" s="268" t="n"/>
      <c r="AF76" s="268" t="n"/>
      <c r="AG76" s="268" t="n"/>
      <c r="AH76" s="268" t="n"/>
      <c r="AI76" s="268" t="n"/>
      <c r="AJ76" s="268" t="n"/>
      <c r="AK76" s="268" t="n"/>
      <c r="AL76" s="268" t="n"/>
      <c r="AM76" s="268" t="n"/>
      <c r="AN76" s="268" t="n"/>
      <c r="AO76" s="268" t="n"/>
      <c r="AP76" s="268" t="n"/>
      <c r="AQ76" s="268" t="n"/>
      <c r="AR76" s="268" t="n"/>
      <c r="AS76" s="268" t="n"/>
      <c r="AT76" s="268" t="n"/>
      <c r="AU76" s="268" t="n"/>
      <c r="AV76" s="268" t="n"/>
      <c r="AW76" s="268" t="n"/>
      <c r="AX76" s="268" t="n"/>
      <c r="AY76" s="268" t="n"/>
      <c r="AZ76" s="268" t="n"/>
      <c r="BA76" s="268" t="n"/>
      <c r="BB76" s="268" t="n"/>
      <c r="BC76" s="268" t="n"/>
      <c r="BD76" s="268" t="n"/>
      <c r="BE76" s="268" t="n"/>
      <c r="BF76" s="268" t="n"/>
      <c r="BG76" s="268" t="n"/>
      <c r="BH76" s="268" t="n"/>
      <c r="BI76" s="268" t="n"/>
      <c r="BJ76" s="268" t="n"/>
      <c r="BK76" s="268" t="n"/>
      <c r="BL76" s="268" t="n"/>
      <c r="BM76" s="268" t="n"/>
      <c r="BN76" s="268" t="n"/>
      <c r="BO76" s="268" t="n"/>
      <c r="BP76" s="268" t="n"/>
      <c r="BQ76" s="268" t="n"/>
      <c r="BR76" s="268" t="n"/>
      <c r="BS76" s="268" t="n"/>
      <c r="BT76" s="268" t="n"/>
      <c r="BU76" s="268" t="n"/>
      <c r="BV76" s="268" t="n"/>
      <c r="BW76" s="268" t="n"/>
      <c r="BX76" s="268" t="n"/>
      <c r="BY76" s="268" t="n"/>
      <c r="BZ76" s="268" t="n"/>
      <c r="CA76" s="268" t="n"/>
      <c r="CB76" s="268" t="n"/>
      <c r="CC76" s="268" t="n"/>
      <c r="CD76" s="268" t="n"/>
      <c r="CE76" s="268" t="n"/>
      <c r="CF76" s="268" t="n"/>
      <c r="CG76" s="268" t="n"/>
      <c r="CH76" s="268" t="n"/>
      <c r="CI76" s="268" t="n"/>
      <c r="CJ76" s="268" t="n"/>
      <c r="CK76" s="268" t="n"/>
      <c r="CL76" s="268" t="n"/>
      <c r="CM76" s="268" t="n"/>
      <c r="CN76" s="268" t="n"/>
      <c r="CO76" s="268" t="n"/>
      <c r="CP76" s="268" t="n"/>
      <c r="CQ76" s="268" t="n"/>
      <c r="CR76" s="268" t="n"/>
      <c r="CS76" s="268" t="n"/>
      <c r="CT76" s="268" t="n"/>
      <c r="CU76" s="268" t="n"/>
      <c r="CV76" s="268" t="n"/>
      <c r="CW76" s="268" t="n"/>
      <c r="CX76" s="268" t="n"/>
      <c r="CY76" s="268" t="n"/>
    </row>
    <row r="77" hidden="1" outlineLevel="1" ht="12.75" customHeight="1" s="255">
      <c r="C77" s="312" t="inlineStr">
        <is>
          <t>Average interest rate</t>
        </is>
      </c>
      <c r="D77" s="268" t="n"/>
      <c r="E77" s="268" t="n"/>
      <c r="F77" s="268" t="n"/>
      <c r="G77" s="268" t="n"/>
      <c r="H77" s="268" t="n"/>
      <c r="I77" s="268" t="n"/>
      <c r="J77" s="268" t="n"/>
      <c r="K77" s="268" t="n"/>
      <c r="L77" s="268" t="n"/>
      <c r="M77" s="268" t="n"/>
      <c r="N77" s="268" t="n"/>
      <c r="O77" s="268" t="n"/>
      <c r="P77" s="268" t="n"/>
      <c r="Q77" s="268" t="n"/>
      <c r="R77" s="268" t="n"/>
      <c r="S77" s="268" t="n"/>
      <c r="T77" s="268" t="n"/>
      <c r="U77" s="268" t="n"/>
      <c r="V77" s="268" t="n"/>
      <c r="W77" s="268" t="n"/>
      <c r="X77" s="268" t="n"/>
      <c r="Y77" s="268" t="n"/>
      <c r="Z77" s="268" t="n"/>
      <c r="AA77" s="268" t="n"/>
      <c r="AB77" s="268" t="n"/>
      <c r="AC77" s="268" t="n"/>
      <c r="AD77" s="268" t="n"/>
      <c r="AE77" s="268" t="n"/>
      <c r="AF77" s="268" t="n"/>
      <c r="AG77" s="268" t="n"/>
      <c r="AH77" s="268" t="n"/>
      <c r="AI77" s="268" t="n"/>
      <c r="AJ77" s="268" t="n"/>
      <c r="AK77" s="268" t="n"/>
      <c r="AL77" s="268" t="n"/>
      <c r="AM77" s="268" t="n"/>
      <c r="AN77" s="268" t="n"/>
      <c r="AO77" s="268" t="n"/>
      <c r="AP77" s="268" t="n"/>
      <c r="AQ77" s="268" t="n"/>
      <c r="AR77" s="268" t="n"/>
      <c r="AS77" s="268" t="n"/>
      <c r="AT77" s="268" t="n"/>
      <c r="AU77" s="268" t="n"/>
      <c r="AV77" s="268" t="n"/>
      <c r="AW77" s="268" t="n"/>
      <c r="AX77" s="268" t="n"/>
      <c r="AY77" s="268" t="n"/>
      <c r="AZ77" s="268" t="n"/>
      <c r="BA77" s="268" t="n"/>
      <c r="BB77" s="268" t="n"/>
      <c r="BC77" s="268" t="n"/>
      <c r="BD77" s="268" t="n"/>
      <c r="BE77" s="268" t="n"/>
      <c r="BF77" s="268" t="n"/>
      <c r="BG77" s="268" t="n"/>
      <c r="BH77" s="268" t="n"/>
      <c r="BI77" s="268" t="n"/>
      <c r="BJ77" s="268" t="n"/>
      <c r="BK77" s="268" t="n"/>
      <c r="BL77" s="268" t="n"/>
      <c r="BM77" s="268" t="n"/>
      <c r="BN77" s="268" t="n"/>
      <c r="BO77" s="268" t="n"/>
      <c r="BP77" s="268" t="n"/>
      <c r="BQ77" s="268" t="n"/>
      <c r="BR77" s="268" t="n"/>
      <c r="BS77" s="268" t="n"/>
      <c r="BT77" s="268" t="n"/>
      <c r="BU77" s="268" t="n"/>
      <c r="BV77" s="268" t="n"/>
      <c r="BW77" s="268" t="n"/>
      <c r="BX77" s="268" t="n"/>
      <c r="BY77" s="268" t="n"/>
      <c r="BZ77" s="268" t="n"/>
      <c r="CA77" s="268" t="n"/>
      <c r="CB77" s="268" t="n"/>
      <c r="CC77" s="268" t="n"/>
      <c r="CD77" s="268" t="n"/>
      <c r="CE77" s="268" t="n"/>
      <c r="CF77" s="268" t="n"/>
      <c r="CG77" s="268" t="n"/>
      <c r="CH77" s="268" t="n"/>
      <c r="CI77" s="268" t="n"/>
      <c r="CJ77" s="268" t="n"/>
      <c r="CK77" s="268" t="n"/>
      <c r="CL77" s="268" t="n"/>
      <c r="CM77" s="268" t="n"/>
      <c r="CN77" s="268" t="n"/>
      <c r="CO77" s="268" t="n"/>
      <c r="CP77" s="268" t="n"/>
      <c r="CQ77" s="268" t="n"/>
      <c r="CR77" s="268" t="n"/>
      <c r="CS77" s="268" t="n"/>
      <c r="CT77" s="268" t="n"/>
      <c r="CU77" s="268" t="n"/>
      <c r="CV77" s="268" t="n"/>
      <c r="CW77" s="268" t="n"/>
      <c r="CX77" s="268" t="n"/>
      <c r="CY77" s="268" t="n"/>
    </row>
    <row r="78" hidden="1" outlineLevel="1" ht="12.75" customHeight="1" s="255">
      <c r="C78" s="312" t="inlineStr">
        <is>
          <t>% CDI</t>
        </is>
      </c>
      <c r="D78" s="268" t="n"/>
      <c r="E78" s="268" t="n"/>
      <c r="F78" s="268" t="n"/>
      <c r="G78" s="268" t="n"/>
      <c r="H78" s="268" t="n"/>
      <c r="I78" s="268" t="n"/>
      <c r="J78" s="268" t="n"/>
      <c r="K78" s="268" t="n"/>
      <c r="L78" s="268" t="n"/>
      <c r="M78" s="268" t="n"/>
      <c r="N78" s="268" t="n"/>
      <c r="O78" s="268" t="n"/>
      <c r="P78" s="268" t="n"/>
      <c r="Q78" s="268" t="n"/>
      <c r="R78" s="268" t="n"/>
      <c r="S78" s="268" t="n"/>
      <c r="T78" s="268" t="n"/>
      <c r="U78" s="268" t="n"/>
      <c r="V78" s="268" t="n"/>
      <c r="W78" s="268" t="n"/>
      <c r="X78" s="268" t="n"/>
      <c r="Y78" s="268" t="n"/>
      <c r="Z78" s="268" t="n"/>
      <c r="AA78" s="268" t="n"/>
      <c r="AB78" s="268" t="n"/>
      <c r="AC78" s="268" t="n"/>
      <c r="AD78" s="268" t="n"/>
      <c r="AE78" s="268" t="n"/>
      <c r="AF78" s="268" t="n"/>
      <c r="AG78" s="268" t="n"/>
      <c r="AH78" s="268" t="n"/>
      <c r="AI78" s="268" t="n"/>
      <c r="AJ78" s="268" t="n"/>
      <c r="AK78" s="268" t="n"/>
      <c r="AL78" s="268" t="n"/>
      <c r="AM78" s="268" t="n"/>
      <c r="AN78" s="268" t="n"/>
      <c r="AO78" s="268" t="n"/>
      <c r="AP78" s="268" t="n"/>
      <c r="AQ78" s="268" t="n"/>
      <c r="AR78" s="268" t="n"/>
      <c r="AS78" s="268" t="n"/>
      <c r="AT78" s="268" t="n"/>
      <c r="AU78" s="268" t="n"/>
      <c r="AV78" s="268" t="n"/>
      <c r="AW78" s="268" t="n"/>
      <c r="AX78" s="268" t="n"/>
      <c r="AY78" s="268" t="n"/>
      <c r="AZ78" s="268" t="n"/>
      <c r="BA78" s="268" t="n"/>
      <c r="BB78" s="268" t="n"/>
      <c r="BC78" s="268" t="n"/>
      <c r="BD78" s="268" t="n"/>
      <c r="BE78" s="268" t="n"/>
      <c r="BF78" s="268" t="n"/>
      <c r="BG78" s="268" t="n"/>
      <c r="BH78" s="268" t="n"/>
      <c r="BI78" s="268" t="n"/>
      <c r="BJ78" s="268" t="n"/>
      <c r="BK78" s="268" t="n"/>
      <c r="BL78" s="268" t="n"/>
      <c r="BM78" s="268" t="n"/>
      <c r="BN78" s="268" t="n"/>
      <c r="BO78" s="268" t="n"/>
      <c r="BP78" s="268" t="n"/>
      <c r="BQ78" s="268" t="n"/>
      <c r="BR78" s="268" t="n"/>
      <c r="BS78" s="268" t="n"/>
      <c r="BT78" s="268" t="n"/>
      <c r="BU78" s="268" t="n"/>
      <c r="BV78" s="268" t="n"/>
      <c r="BW78" s="268" t="n"/>
      <c r="BX78" s="268" t="n"/>
      <c r="BY78" s="268" t="n"/>
      <c r="BZ78" s="268" t="n"/>
      <c r="CA78" s="268" t="n"/>
      <c r="CB78" s="268" t="n"/>
      <c r="CC78" s="268" t="n"/>
      <c r="CD78" s="268" t="n"/>
      <c r="CE78" s="268" t="n"/>
      <c r="CF78" s="268" t="n"/>
      <c r="CG78" s="268" t="n"/>
      <c r="CH78" s="268" t="n"/>
      <c r="CI78" s="268" t="n"/>
      <c r="CJ78" s="268" t="n"/>
      <c r="CK78" s="268" t="n"/>
      <c r="CL78" s="268" t="n"/>
      <c r="CM78" s="268" t="n"/>
      <c r="CN78" s="268" t="n"/>
      <c r="CO78" s="268" t="n"/>
      <c r="CP78" s="268" t="n"/>
      <c r="CQ78" s="268" t="n"/>
      <c r="CR78" s="268" t="n"/>
      <c r="CS78" s="268" t="n"/>
      <c r="CT78" s="268" t="n"/>
      <c r="CU78" s="268" t="n"/>
      <c r="CV78" s="268" t="n"/>
      <c r="CW78" s="268" t="n"/>
      <c r="CX78" s="268" t="n"/>
      <c r="CY78" s="268" t="n"/>
    </row>
    <row r="79" hidden="1" outlineLevel="1" ht="12.75" customHeight="1" s="255">
      <c r="C79" s="312" t="n"/>
      <c r="D79" s="268" t="n"/>
      <c r="E79" s="268" t="n"/>
      <c r="F79" s="268" t="n"/>
      <c r="G79" s="268" t="n"/>
      <c r="H79" s="268" t="n"/>
      <c r="I79" s="268" t="n"/>
      <c r="J79" s="268" t="n"/>
      <c r="K79" s="268" t="n"/>
      <c r="L79" s="268" t="n"/>
      <c r="M79" s="268" t="n"/>
      <c r="N79" s="268" t="n"/>
      <c r="O79" s="268" t="n"/>
      <c r="P79" s="268" t="n"/>
      <c r="Q79" s="268" t="n"/>
      <c r="R79" s="268" t="n"/>
      <c r="S79" s="268" t="n"/>
      <c r="T79" s="268" t="n"/>
      <c r="U79" s="268" t="n"/>
      <c r="V79" s="268" t="n"/>
      <c r="W79" s="268" t="n"/>
      <c r="X79" s="268" t="n"/>
      <c r="Y79" s="268" t="n"/>
      <c r="Z79" s="268" t="n"/>
      <c r="AA79" s="268" t="n"/>
      <c r="AB79" s="268" t="n"/>
      <c r="AC79" s="268" t="n"/>
      <c r="AD79" s="268" t="n"/>
      <c r="AE79" s="268" t="n"/>
      <c r="AF79" s="268" t="n"/>
      <c r="AG79" s="268" t="n"/>
      <c r="AH79" s="268" t="n"/>
      <c r="AI79" s="268" t="n"/>
      <c r="AJ79" s="268" t="n"/>
      <c r="AK79" s="268" t="n"/>
      <c r="AL79" s="268" t="n"/>
      <c r="AM79" s="268" t="n"/>
      <c r="AN79" s="268" t="n"/>
      <c r="AO79" s="268" t="n"/>
      <c r="AP79" s="268" t="n"/>
      <c r="AQ79" s="268" t="n"/>
      <c r="AR79" s="268" t="n"/>
      <c r="AS79" s="268" t="n"/>
      <c r="AT79" s="268" t="n"/>
      <c r="AU79" s="268" t="n"/>
      <c r="AV79" s="268" t="n"/>
      <c r="AW79" s="268" t="n"/>
      <c r="AX79" s="268" t="n"/>
      <c r="AY79" s="268" t="n"/>
      <c r="AZ79" s="268" t="n"/>
      <c r="BA79" s="268" t="n"/>
      <c r="BB79" s="268" t="n"/>
      <c r="BC79" s="268" t="n"/>
      <c r="BD79" s="268" t="n"/>
      <c r="BE79" s="268" t="n"/>
      <c r="BF79" s="268" t="n"/>
      <c r="BG79" s="268" t="n"/>
      <c r="BH79" s="268" t="n"/>
      <c r="BI79" s="268" t="n"/>
      <c r="BJ79" s="268" t="n"/>
      <c r="BK79" s="268" t="n"/>
      <c r="BL79" s="268" t="n"/>
      <c r="BM79" s="268" t="n"/>
      <c r="BN79" s="268" t="n"/>
      <c r="BO79" s="268" t="n"/>
      <c r="BP79" s="268" t="n"/>
      <c r="BQ79" s="268" t="n"/>
      <c r="BR79" s="268" t="n"/>
      <c r="BS79" s="268" t="n"/>
      <c r="BT79" s="268" t="n"/>
      <c r="BU79" s="268" t="n"/>
      <c r="BV79" s="268" t="n"/>
      <c r="BW79" s="268" t="n"/>
      <c r="BX79" s="268" t="n"/>
      <c r="BY79" s="268" t="n"/>
      <c r="BZ79" s="268" t="n"/>
      <c r="CA79" s="268" t="n"/>
      <c r="CB79" s="268" t="n"/>
      <c r="CC79" s="268" t="n"/>
      <c r="CD79" s="268" t="n"/>
      <c r="CE79" s="268" t="n"/>
      <c r="CF79" s="268" t="n"/>
      <c r="CG79" s="268" t="n"/>
      <c r="CH79" s="268" t="n"/>
      <c r="CI79" s="268" t="n"/>
      <c r="CJ79" s="268" t="n"/>
      <c r="CK79" s="268" t="n"/>
      <c r="CL79" s="268" t="n"/>
      <c r="CM79" s="268" t="n"/>
      <c r="CN79" s="268" t="n"/>
      <c r="CO79" s="268" t="n"/>
      <c r="CP79" s="268" t="n"/>
      <c r="CQ79" s="268" t="n"/>
      <c r="CR79" s="268" t="n"/>
      <c r="CS79" s="268" t="n"/>
      <c r="CT79" s="268" t="n"/>
      <c r="CU79" s="268" t="n"/>
      <c r="CV79" s="268" t="n"/>
      <c r="CW79" s="268" t="n"/>
      <c r="CX79" s="268" t="n"/>
      <c r="CY79" s="268" t="n"/>
    </row>
    <row r="80" hidden="1" outlineLevel="1" ht="12.75" customHeight="1" s="255">
      <c r="C80" s="312" t="inlineStr">
        <is>
          <t>Current portion of long-term debt</t>
        </is>
      </c>
      <c r="D80" s="268" t="n"/>
      <c r="E80" s="268" t="n"/>
      <c r="F80" s="268" t="n"/>
      <c r="G80" s="268" t="n"/>
      <c r="H80" s="268" t="n"/>
      <c r="I80" s="268" t="n"/>
      <c r="J80" s="268" t="n"/>
      <c r="K80" s="268" t="n"/>
      <c r="L80" s="268" t="n"/>
      <c r="M80" s="268" t="n"/>
      <c r="N80" s="268" t="n"/>
      <c r="O80" s="268" t="n"/>
      <c r="P80" s="268" t="n"/>
      <c r="Q80" s="268" t="n"/>
      <c r="R80" s="268" t="n"/>
      <c r="S80" s="268" t="n"/>
      <c r="T80" s="268" t="n"/>
      <c r="U80" s="268" t="n"/>
      <c r="V80" s="268" t="n"/>
      <c r="W80" s="268" t="n"/>
      <c r="X80" s="268" t="n"/>
      <c r="Y80" s="268" t="n"/>
      <c r="Z80" s="268" t="n"/>
      <c r="AA80" s="268" t="n"/>
      <c r="AB80" s="268" t="n"/>
      <c r="AC80" s="268" t="n"/>
      <c r="AD80" s="268" t="n"/>
      <c r="AE80" s="268" t="n"/>
      <c r="AF80" s="268" t="n"/>
      <c r="AG80" s="268" t="n"/>
      <c r="AH80" s="268" t="n"/>
      <c r="AI80" s="268" t="n"/>
      <c r="AJ80" s="268" t="n"/>
      <c r="AK80" s="268" t="n"/>
      <c r="AL80" s="268" t="n"/>
      <c r="AM80" s="268" t="n"/>
      <c r="AN80" s="268" t="n"/>
      <c r="AO80" s="268" t="n"/>
      <c r="AP80" s="268" t="n"/>
      <c r="AQ80" s="268" t="n"/>
      <c r="AR80" s="268" t="n"/>
      <c r="AS80" s="268" t="n"/>
      <c r="AT80" s="268" t="n"/>
      <c r="AU80" s="268" t="n"/>
      <c r="AV80" s="268" t="n"/>
      <c r="AW80" s="268" t="n"/>
      <c r="AX80" s="268" t="n"/>
      <c r="AY80" s="268" t="n"/>
      <c r="AZ80" s="268" t="n"/>
      <c r="BA80" s="268" t="n"/>
      <c r="BB80" s="268" t="n"/>
      <c r="BC80" s="268" t="n"/>
      <c r="BD80" s="268" t="n"/>
      <c r="BE80" s="268" t="n"/>
      <c r="BF80" s="268" t="n"/>
      <c r="BG80" s="268" t="n"/>
      <c r="BH80" s="268" t="n"/>
      <c r="BI80" s="268" t="n"/>
      <c r="BJ80" s="268" t="n"/>
      <c r="BK80" s="268" t="n"/>
      <c r="BL80" s="268" t="n"/>
      <c r="BM80" s="268" t="n"/>
      <c r="BN80" s="268" t="n"/>
      <c r="BO80" s="268" t="n"/>
      <c r="BP80" s="268" t="n"/>
      <c r="BQ80" s="268" t="n"/>
      <c r="BR80" s="268" t="n"/>
      <c r="BS80" s="268" t="n"/>
      <c r="BT80" s="268" t="n"/>
      <c r="BU80" s="268" t="n"/>
      <c r="BV80" s="268" t="n"/>
      <c r="BW80" s="268" t="n"/>
      <c r="BX80" s="268" t="n"/>
      <c r="BY80" s="268" t="n"/>
      <c r="BZ80" s="268" t="n"/>
      <c r="CA80" s="268" t="n"/>
      <c r="CB80" s="268" t="n"/>
      <c r="CC80" s="268" t="n"/>
      <c r="CD80" s="268" t="n"/>
      <c r="CE80" s="268" t="n"/>
      <c r="CF80" s="268" t="n"/>
      <c r="CG80" s="268" t="n"/>
      <c r="CH80" s="268" t="n"/>
      <c r="CI80" s="268" t="n"/>
      <c r="CJ80" s="268" t="n"/>
      <c r="CK80" s="268" t="n"/>
      <c r="CL80" s="268" t="n"/>
      <c r="CM80" s="268" t="n"/>
      <c r="CN80" s="268" t="n"/>
      <c r="CO80" s="268" t="n"/>
      <c r="CP80" s="268" t="n"/>
      <c r="CQ80" s="268" t="n"/>
      <c r="CR80" s="268" t="n"/>
      <c r="CS80" s="268" t="n"/>
      <c r="CT80" s="268" t="n"/>
      <c r="CU80" s="268" t="n"/>
      <c r="CV80" s="268" t="n"/>
      <c r="CW80" s="268" t="n"/>
      <c r="CX80" s="268" t="n"/>
      <c r="CY80" s="268" t="n"/>
    </row>
    <row r="81" hidden="1" outlineLevel="1" ht="12.75" customHeight="1" s="255">
      <c r="C81" s="312" t="inlineStr">
        <is>
          <t>Short term debt (Revolving credit facility)</t>
        </is>
      </c>
      <c r="D81" s="268" t="n"/>
      <c r="E81" s="268" t="n"/>
      <c r="F81" s="268" t="n"/>
      <c r="G81" s="268" t="n"/>
      <c r="H81" s="268" t="n"/>
      <c r="I81" s="268" t="n"/>
      <c r="J81" s="268" t="n"/>
      <c r="K81" s="268" t="n"/>
      <c r="L81" s="268" t="n"/>
      <c r="M81" s="268" t="n"/>
      <c r="N81" s="268" t="n"/>
      <c r="O81" s="268" t="n"/>
      <c r="P81" s="268" t="n"/>
      <c r="Q81" s="268" t="n"/>
      <c r="R81" s="268" t="n"/>
      <c r="S81" s="268" t="n"/>
      <c r="T81" s="268" t="n"/>
      <c r="U81" s="268" t="n"/>
      <c r="V81" s="268" t="n"/>
      <c r="W81" s="268" t="n"/>
      <c r="X81" s="268" t="n"/>
      <c r="Y81" s="268" t="n"/>
      <c r="Z81" s="268" t="n"/>
      <c r="AA81" s="268" t="n"/>
      <c r="AB81" s="268" t="n"/>
      <c r="AC81" s="268" t="n"/>
      <c r="AD81" s="268" t="n"/>
      <c r="AE81" s="268" t="n"/>
      <c r="AF81" s="268" t="n"/>
      <c r="AG81" s="268" t="n"/>
      <c r="AH81" s="268" t="n"/>
      <c r="AI81" s="268" t="n"/>
      <c r="AJ81" s="268" t="n"/>
      <c r="AK81" s="268" t="n"/>
      <c r="AL81" s="268" t="n"/>
      <c r="AM81" s="268" t="n"/>
      <c r="AN81" s="268" t="n"/>
      <c r="AO81" s="268" t="n"/>
      <c r="AP81" s="268" t="n"/>
      <c r="AQ81" s="268" t="n"/>
      <c r="AR81" s="268" t="n"/>
      <c r="AS81" s="268" t="n"/>
      <c r="AT81" s="268" t="n"/>
      <c r="AU81" s="268" t="n"/>
      <c r="AV81" s="268" t="n"/>
      <c r="AW81" s="268" t="n"/>
      <c r="AX81" s="268" t="n"/>
      <c r="AY81" s="268" t="n"/>
      <c r="AZ81" s="268" t="n"/>
      <c r="BA81" s="268" t="n"/>
      <c r="BB81" s="268" t="n"/>
      <c r="BC81" s="268" t="n"/>
      <c r="BD81" s="268" t="n"/>
      <c r="BE81" s="268" t="n"/>
      <c r="BF81" s="268" t="n"/>
      <c r="BG81" s="268" t="n"/>
      <c r="BH81" s="268" t="n"/>
      <c r="BI81" s="268" t="n"/>
      <c r="BJ81" s="268" t="n"/>
      <c r="BK81" s="268" t="n"/>
      <c r="BL81" s="268" t="n"/>
      <c r="BM81" s="268" t="n"/>
      <c r="BN81" s="268" t="n"/>
      <c r="BO81" s="268" t="n"/>
      <c r="BP81" s="268" t="n"/>
      <c r="BQ81" s="268" t="n"/>
      <c r="BR81" s="268" t="n"/>
      <c r="BS81" s="268" t="n"/>
      <c r="BT81" s="268" t="n"/>
      <c r="BU81" s="268" t="n"/>
      <c r="BV81" s="268" t="n"/>
      <c r="BW81" s="268" t="n"/>
      <c r="BX81" s="268" t="n"/>
      <c r="BY81" s="268" t="n"/>
      <c r="BZ81" s="268" t="n"/>
      <c r="CA81" s="268" t="n"/>
      <c r="CB81" s="268" t="n"/>
      <c r="CC81" s="268" t="n"/>
      <c r="CD81" s="268" t="n"/>
      <c r="CE81" s="268" t="n"/>
      <c r="CF81" s="268" t="n"/>
      <c r="CG81" s="268" t="n"/>
      <c r="CH81" s="268" t="n"/>
      <c r="CI81" s="268" t="n"/>
      <c r="CJ81" s="268" t="n"/>
      <c r="CK81" s="268" t="n"/>
      <c r="CL81" s="268" t="n"/>
      <c r="CM81" s="268" t="n"/>
      <c r="CN81" s="268" t="n"/>
      <c r="CO81" s="268" t="n"/>
      <c r="CP81" s="268" t="n"/>
      <c r="CQ81" s="268" t="n"/>
      <c r="CR81" s="268" t="n"/>
      <c r="CS81" s="268" t="n"/>
      <c r="CT81" s="268" t="n"/>
      <c r="CU81" s="268" t="n"/>
      <c r="CV81" s="268" t="n"/>
      <c r="CW81" s="268" t="n"/>
      <c r="CX81" s="268" t="n"/>
      <c r="CY81" s="268" t="n"/>
    </row>
    <row r="82" hidden="1" outlineLevel="1" ht="12.75" customHeight="1" s="255">
      <c r="C82" s="312" t="inlineStr">
        <is>
          <t>Long term debt</t>
        </is>
      </c>
      <c r="D82" s="268" t="n"/>
      <c r="E82" s="268" t="n"/>
      <c r="F82" s="268" t="n"/>
      <c r="G82" s="268" t="n"/>
      <c r="H82" s="268" t="n"/>
      <c r="I82" s="268" t="n"/>
      <c r="J82" s="268" t="n"/>
      <c r="K82" s="268" t="n"/>
      <c r="L82" s="268" t="n"/>
      <c r="M82" s="268" t="n"/>
      <c r="N82" s="268" t="n"/>
      <c r="O82" s="268" t="n"/>
      <c r="P82" s="268" t="n"/>
      <c r="Q82" s="268" t="n"/>
      <c r="R82" s="268" t="n"/>
      <c r="S82" s="268" t="n"/>
      <c r="T82" s="268" t="n"/>
      <c r="U82" s="268" t="n"/>
      <c r="V82" s="268" t="n"/>
      <c r="W82" s="268" t="n"/>
      <c r="X82" s="268" t="n"/>
      <c r="Y82" s="268" t="n"/>
      <c r="Z82" s="268" t="n"/>
      <c r="AA82" s="268" t="n"/>
      <c r="AB82" s="268" t="n"/>
      <c r="AC82" s="268" t="n"/>
      <c r="AD82" s="268" t="n"/>
      <c r="AE82" s="268" t="n"/>
      <c r="AF82" s="268" t="n"/>
      <c r="AG82" s="268" t="n"/>
      <c r="AH82" s="268" t="n"/>
      <c r="AI82" s="268" t="n"/>
      <c r="AJ82" s="268" t="n"/>
      <c r="AK82" s="268" t="n"/>
      <c r="AL82" s="268" t="n"/>
      <c r="AM82" s="268" t="n"/>
      <c r="AN82" s="268" t="n"/>
      <c r="AO82" s="268" t="n"/>
      <c r="AP82" s="268" t="n"/>
      <c r="AQ82" s="268" t="n"/>
      <c r="AR82" s="268" t="n"/>
      <c r="AS82" s="268" t="n"/>
      <c r="AT82" s="268" t="n"/>
      <c r="AU82" s="268" t="n"/>
      <c r="AV82" s="268" t="n"/>
      <c r="AW82" s="268" t="n"/>
      <c r="AX82" s="268" t="n"/>
      <c r="AY82" s="268" t="n"/>
      <c r="AZ82" s="268" t="n"/>
      <c r="BA82" s="268" t="n"/>
      <c r="BB82" s="268" t="n"/>
      <c r="BC82" s="268" t="n"/>
      <c r="BD82" s="268" t="n"/>
      <c r="BE82" s="268" t="n"/>
      <c r="BF82" s="268" t="n"/>
      <c r="BG82" s="268" t="n"/>
      <c r="BH82" s="268" t="n"/>
      <c r="BI82" s="268" t="n"/>
      <c r="BJ82" s="268" t="n"/>
      <c r="BK82" s="268" t="n"/>
      <c r="BL82" s="268" t="n"/>
      <c r="BM82" s="268" t="n"/>
      <c r="BN82" s="268" t="n"/>
      <c r="BO82" s="268" t="n"/>
      <c r="BP82" s="268" t="n"/>
      <c r="BQ82" s="268" t="n"/>
      <c r="BR82" s="268" t="n"/>
      <c r="BS82" s="268" t="n"/>
      <c r="BT82" s="268" t="n"/>
      <c r="BU82" s="268" t="n"/>
      <c r="BV82" s="268" t="n"/>
      <c r="BW82" s="268" t="n"/>
      <c r="BX82" s="268" t="n"/>
      <c r="BY82" s="268" t="n"/>
      <c r="BZ82" s="268" t="n"/>
      <c r="CA82" s="268" t="n"/>
      <c r="CB82" s="268" t="n"/>
      <c r="CC82" s="268" t="n"/>
      <c r="CD82" s="268" t="n"/>
      <c r="CE82" s="268" t="n"/>
      <c r="CF82" s="268" t="n"/>
      <c r="CG82" s="268" t="n"/>
      <c r="CH82" s="268" t="n"/>
      <c r="CI82" s="268" t="n"/>
      <c r="CJ82" s="268" t="n"/>
      <c r="CK82" s="268" t="n"/>
      <c r="CL82" s="268" t="n"/>
      <c r="CM82" s="268" t="n"/>
      <c r="CN82" s="268" t="n"/>
      <c r="CO82" s="268" t="n"/>
      <c r="CP82" s="268" t="n"/>
      <c r="CQ82" s="268" t="n"/>
      <c r="CR82" s="268" t="n"/>
      <c r="CS82" s="268" t="n"/>
      <c r="CT82" s="268" t="n"/>
      <c r="CU82" s="268" t="n"/>
      <c r="CV82" s="268" t="n"/>
      <c r="CW82" s="268" t="n"/>
      <c r="CX82" s="268" t="n"/>
      <c r="CY82" s="268" t="n"/>
    </row>
    <row r="83" hidden="1" outlineLevel="1" ht="12.75" customHeight="1" s="255">
      <c r="C83" s="312" t="inlineStr">
        <is>
          <t>Convertible debt</t>
        </is>
      </c>
      <c r="D83" s="268" t="n"/>
      <c r="E83" s="268" t="n"/>
      <c r="F83" s="268" t="n"/>
      <c r="G83" s="268" t="n"/>
      <c r="H83" s="268" t="n"/>
      <c r="I83" s="268" t="n"/>
      <c r="J83" s="268" t="n"/>
      <c r="K83" s="268" t="n"/>
      <c r="L83" s="268" t="n"/>
      <c r="M83" s="268" t="n"/>
      <c r="N83" s="268" t="n"/>
      <c r="O83" s="268" t="n"/>
      <c r="P83" s="268" t="n"/>
      <c r="Q83" s="268" t="n"/>
      <c r="R83" s="268" t="n"/>
      <c r="S83" s="268" t="n"/>
      <c r="T83" s="268" t="n"/>
      <c r="U83" s="268" t="n"/>
      <c r="V83" s="268" t="n"/>
      <c r="W83" s="268" t="n"/>
      <c r="X83" s="268" t="n"/>
      <c r="Y83" s="268" t="n"/>
      <c r="Z83" s="268" t="n"/>
      <c r="AA83" s="268" t="n"/>
      <c r="AB83" s="268" t="n"/>
      <c r="AC83" s="268" t="n"/>
      <c r="AD83" s="268" t="n"/>
      <c r="AE83" s="268" t="n"/>
      <c r="AF83" s="268" t="n"/>
      <c r="AG83" s="268" t="n"/>
      <c r="AH83" s="268" t="n"/>
      <c r="AI83" s="268" t="n"/>
      <c r="AJ83" s="268" t="n"/>
      <c r="AK83" s="268" t="n"/>
      <c r="AL83" s="268" t="n"/>
      <c r="AM83" s="268" t="n"/>
      <c r="AN83" s="268" t="n"/>
      <c r="AO83" s="268" t="n"/>
      <c r="AP83" s="268" t="n"/>
      <c r="AQ83" s="268" t="n"/>
      <c r="AR83" s="268" t="n"/>
      <c r="AS83" s="268" t="n"/>
      <c r="AT83" s="268" t="n"/>
      <c r="AU83" s="268" t="n"/>
      <c r="AV83" s="268" t="n"/>
      <c r="AW83" s="268" t="n"/>
      <c r="AX83" s="268" t="n"/>
      <c r="AY83" s="268" t="n"/>
      <c r="AZ83" s="268" t="n"/>
      <c r="BA83" s="268" t="n"/>
      <c r="BB83" s="268" t="n"/>
      <c r="BC83" s="268" t="n"/>
      <c r="BD83" s="268" t="n"/>
      <c r="BE83" s="268" t="n"/>
      <c r="BF83" s="268" t="n"/>
      <c r="BG83" s="268" t="n"/>
      <c r="BH83" s="268" t="n"/>
      <c r="BI83" s="268" t="n"/>
      <c r="BJ83" s="268" t="n"/>
      <c r="BK83" s="268" t="n"/>
      <c r="BL83" s="268" t="n"/>
      <c r="BM83" s="268" t="n"/>
      <c r="BN83" s="268" t="n"/>
      <c r="BO83" s="268" t="n"/>
      <c r="BP83" s="268" t="n"/>
      <c r="BQ83" s="268" t="n"/>
      <c r="BR83" s="268" t="n"/>
      <c r="BS83" s="268" t="n"/>
      <c r="BT83" s="268" t="n"/>
      <c r="BU83" s="268" t="n"/>
      <c r="BV83" s="268" t="n"/>
      <c r="BW83" s="268" t="n"/>
      <c r="BX83" s="268" t="n"/>
      <c r="BY83" s="268" t="n"/>
      <c r="BZ83" s="268" t="n"/>
      <c r="CA83" s="268" t="n"/>
      <c r="CB83" s="268" t="n"/>
      <c r="CC83" s="268" t="n"/>
      <c r="CD83" s="268" t="n"/>
      <c r="CE83" s="268" t="n"/>
      <c r="CF83" s="268" t="n"/>
      <c r="CG83" s="268" t="n"/>
      <c r="CH83" s="268" t="n"/>
      <c r="CI83" s="268" t="n"/>
      <c r="CJ83" s="268" t="n"/>
      <c r="CK83" s="268" t="n"/>
      <c r="CL83" s="268" t="n"/>
      <c r="CM83" s="268" t="n"/>
      <c r="CN83" s="268" t="n"/>
      <c r="CO83" s="268" t="n"/>
      <c r="CP83" s="268" t="n"/>
      <c r="CQ83" s="268" t="n"/>
      <c r="CR83" s="268" t="n"/>
      <c r="CS83" s="268" t="n"/>
      <c r="CT83" s="268" t="n"/>
      <c r="CU83" s="268" t="n"/>
      <c r="CV83" s="268" t="n"/>
      <c r="CW83" s="268" t="n"/>
      <c r="CX83" s="268" t="n"/>
      <c r="CY83" s="268" t="n"/>
    </row>
    <row r="84" hidden="1" outlineLevel="1" ht="12.75" customHeight="1" s="255">
      <c r="C84" s="312" t="inlineStr">
        <is>
          <t>Total debt</t>
        </is>
      </c>
      <c r="D84" s="268" t="n"/>
      <c r="E84" s="268" t="n"/>
      <c r="F84" s="268" t="n"/>
      <c r="G84" s="268" t="n"/>
      <c r="H84" s="268" t="n"/>
      <c r="I84" s="268" t="n"/>
      <c r="J84" s="268" t="n"/>
      <c r="K84" s="268" t="n"/>
      <c r="L84" s="268" t="n"/>
      <c r="M84" s="268" t="n"/>
      <c r="N84" s="268" t="n"/>
      <c r="O84" s="268" t="n"/>
      <c r="P84" s="268" t="n"/>
      <c r="Q84" s="268" t="n"/>
      <c r="R84" s="268" t="n"/>
      <c r="S84" s="268" t="n"/>
      <c r="T84" s="268" t="n"/>
      <c r="U84" s="268" t="n"/>
      <c r="V84" s="268" t="n"/>
      <c r="W84" s="268" t="n"/>
      <c r="X84" s="268" t="n"/>
      <c r="Y84" s="268" t="n"/>
      <c r="Z84" s="268" t="n"/>
      <c r="AA84" s="268" t="n"/>
      <c r="AB84" s="268" t="n"/>
      <c r="AC84" s="268" t="n"/>
      <c r="AD84" s="268" t="n"/>
      <c r="AE84" s="268" t="n"/>
      <c r="AF84" s="268" t="n"/>
      <c r="AG84" s="268" t="n"/>
      <c r="AH84" s="268" t="n"/>
      <c r="AI84" s="268" t="n"/>
      <c r="AJ84" s="268" t="n"/>
      <c r="AK84" s="268" t="n"/>
      <c r="AL84" s="268" t="n"/>
      <c r="AM84" s="268" t="n"/>
      <c r="AN84" s="268" t="n"/>
      <c r="AO84" s="268" t="n"/>
      <c r="AP84" s="268" t="n"/>
      <c r="AQ84" s="268" t="n"/>
      <c r="AR84" s="268" t="n"/>
      <c r="AS84" s="268" t="n"/>
      <c r="AT84" s="268" t="n"/>
      <c r="AU84" s="268" t="n"/>
      <c r="AV84" s="268" t="n"/>
      <c r="AW84" s="268" t="n"/>
      <c r="AX84" s="268" t="n"/>
      <c r="AY84" s="268" t="n"/>
      <c r="AZ84" s="268" t="n"/>
      <c r="BA84" s="268" t="n"/>
      <c r="BB84" s="268" t="n"/>
      <c r="BC84" s="268" t="n"/>
      <c r="BD84" s="268" t="n"/>
      <c r="BE84" s="268" t="n"/>
      <c r="BF84" s="268" t="n"/>
      <c r="BG84" s="268" t="n"/>
      <c r="BH84" s="268" t="n"/>
      <c r="BI84" s="268" t="n"/>
      <c r="BJ84" s="268" t="n"/>
      <c r="BK84" s="268" t="n"/>
      <c r="BL84" s="268" t="n"/>
      <c r="BM84" s="268" t="n"/>
      <c r="BN84" s="268" t="n"/>
      <c r="BO84" s="268" t="n"/>
      <c r="BP84" s="268" t="n"/>
      <c r="BQ84" s="268" t="n"/>
      <c r="BR84" s="268" t="n"/>
      <c r="BS84" s="268" t="n"/>
      <c r="BT84" s="268" t="n"/>
      <c r="BU84" s="268" t="n"/>
      <c r="BV84" s="268" t="n"/>
      <c r="BW84" s="268" t="n"/>
      <c r="BX84" s="268" t="n"/>
      <c r="BY84" s="268" t="n"/>
      <c r="BZ84" s="268" t="n"/>
      <c r="CA84" s="268" t="n"/>
      <c r="CB84" s="268" t="n"/>
      <c r="CC84" s="268" t="n"/>
      <c r="CD84" s="268" t="n"/>
      <c r="CE84" s="268" t="n"/>
      <c r="CF84" s="268" t="n"/>
      <c r="CG84" s="268" t="n"/>
      <c r="CH84" s="268" t="n"/>
      <c r="CI84" s="268" t="n"/>
      <c r="CJ84" s="268" t="n"/>
      <c r="CK84" s="268" t="n"/>
      <c r="CL84" s="268" t="n"/>
      <c r="CM84" s="268" t="n"/>
      <c r="CN84" s="268" t="n"/>
      <c r="CO84" s="268" t="n"/>
      <c r="CP84" s="268" t="n"/>
      <c r="CQ84" s="268" t="n"/>
      <c r="CR84" s="268" t="n"/>
      <c r="CS84" s="268" t="n"/>
      <c r="CT84" s="268" t="n"/>
      <c r="CU84" s="268" t="n"/>
      <c r="CV84" s="268" t="n"/>
      <c r="CW84" s="268" t="n"/>
      <c r="CX84" s="268" t="n"/>
      <c r="CY84" s="268" t="n"/>
    </row>
    <row r="85" hidden="1" outlineLevel="1" ht="12.75" customHeight="1" s="255">
      <c r="C85" s="312" t="inlineStr">
        <is>
          <t>Interest expense</t>
        </is>
      </c>
      <c r="D85" s="268" t="n"/>
      <c r="E85" s="268" t="n"/>
      <c r="F85" s="268" t="n"/>
      <c r="G85" s="268" t="n"/>
      <c r="H85" s="268" t="n"/>
      <c r="I85" s="268" t="n"/>
      <c r="J85" s="268" t="n"/>
      <c r="K85" s="268" t="n"/>
      <c r="L85" s="268" t="n"/>
      <c r="M85" s="268" t="n"/>
      <c r="N85" s="268" t="n"/>
      <c r="O85" s="268" t="n"/>
      <c r="P85" s="268" t="n"/>
      <c r="Q85" s="268" t="n"/>
      <c r="R85" s="268" t="n"/>
      <c r="S85" s="268" t="n"/>
      <c r="T85" s="268" t="n"/>
      <c r="U85" s="268" t="n"/>
      <c r="V85" s="268" t="n"/>
      <c r="W85" s="268" t="n"/>
      <c r="X85" s="268" t="n"/>
      <c r="Y85" s="268" t="n"/>
      <c r="Z85" s="268" t="n"/>
      <c r="AA85" s="268" t="n"/>
      <c r="AB85" s="268" t="n"/>
      <c r="AC85" s="268" t="n"/>
      <c r="AD85" s="268" t="n"/>
      <c r="AE85" s="268" t="n"/>
      <c r="AF85" s="268" t="n"/>
      <c r="AG85" s="268" t="n"/>
      <c r="AH85" s="268" t="n"/>
      <c r="AI85" s="268" t="n"/>
      <c r="AJ85" s="268" t="n"/>
      <c r="AK85" s="268" t="n"/>
      <c r="AL85" s="268" t="n"/>
      <c r="AM85" s="268" t="n"/>
      <c r="AN85" s="268" t="n"/>
      <c r="AO85" s="268" t="n"/>
      <c r="AP85" s="268" t="n"/>
      <c r="AQ85" s="268" t="n"/>
      <c r="AR85" s="268" t="n"/>
      <c r="AS85" s="268" t="n"/>
      <c r="AT85" s="268" t="n"/>
      <c r="AU85" s="268" t="n"/>
      <c r="AV85" s="268" t="n"/>
      <c r="AW85" s="268" t="n"/>
      <c r="AX85" s="268" t="n"/>
      <c r="AY85" s="268" t="n"/>
      <c r="AZ85" s="268" t="n"/>
      <c r="BA85" s="268" t="n"/>
      <c r="BB85" s="268" t="n"/>
      <c r="BC85" s="268" t="n"/>
      <c r="BD85" s="268" t="n"/>
      <c r="BE85" s="268" t="n"/>
      <c r="BF85" s="268" t="n"/>
      <c r="BG85" s="268" t="n"/>
      <c r="BH85" s="268" t="n"/>
      <c r="BI85" s="268" t="n"/>
      <c r="BJ85" s="268" t="n"/>
      <c r="BK85" s="268" t="n"/>
      <c r="BL85" s="268" t="n"/>
      <c r="BM85" s="268" t="n"/>
      <c r="BN85" s="268" t="n"/>
      <c r="BO85" s="268" t="n"/>
      <c r="BP85" s="268" t="n"/>
      <c r="BQ85" s="268" t="n"/>
      <c r="BR85" s="268" t="n"/>
      <c r="BS85" s="268" t="n"/>
      <c r="BT85" s="268" t="n"/>
      <c r="BU85" s="268" t="n"/>
      <c r="BV85" s="268" t="n"/>
      <c r="BW85" s="268" t="n"/>
      <c r="BX85" s="268" t="n"/>
      <c r="BY85" s="268" t="n"/>
      <c r="BZ85" s="268" t="n"/>
      <c r="CA85" s="268" t="n"/>
      <c r="CB85" s="268" t="n"/>
      <c r="CC85" s="268" t="n"/>
      <c r="CD85" s="268" t="n"/>
      <c r="CE85" s="268" t="n"/>
      <c r="CF85" s="268" t="n"/>
      <c r="CG85" s="268" t="n"/>
      <c r="CH85" s="268" t="n"/>
      <c r="CI85" s="268" t="n"/>
      <c r="CJ85" s="268" t="n"/>
      <c r="CK85" s="268" t="n"/>
      <c r="CL85" s="268" t="n"/>
      <c r="CM85" s="268" t="n"/>
      <c r="CN85" s="268" t="n"/>
      <c r="CO85" s="268" t="n"/>
      <c r="CP85" s="268" t="n"/>
      <c r="CQ85" s="268" t="n"/>
      <c r="CR85" s="268" t="n"/>
      <c r="CS85" s="268" t="n"/>
      <c r="CT85" s="268" t="n"/>
      <c r="CU85" s="268" t="n"/>
      <c r="CV85" s="268" t="n"/>
      <c r="CW85" s="268" t="n"/>
      <c r="CX85" s="268" t="n"/>
      <c r="CY85" s="268" t="n"/>
    </row>
    <row r="86" hidden="1" outlineLevel="1" ht="12.75" customHeight="1" s="255">
      <c r="C86" s="312" t="inlineStr">
        <is>
          <t>Average interest rate</t>
        </is>
      </c>
      <c r="D86" s="268" t="n"/>
      <c r="E86" s="268" t="n"/>
      <c r="F86" s="268" t="n"/>
      <c r="G86" s="268" t="n"/>
      <c r="H86" s="268" t="n"/>
      <c r="I86" s="268" t="n"/>
      <c r="J86" s="268" t="n"/>
      <c r="K86" s="268" t="n"/>
      <c r="L86" s="268" t="n"/>
      <c r="M86" s="268" t="n"/>
      <c r="N86" s="268" t="n"/>
      <c r="O86" s="268" t="n"/>
      <c r="P86" s="268" t="n"/>
      <c r="Q86" s="268" t="n"/>
      <c r="R86" s="268" t="n"/>
      <c r="S86" s="268" t="n"/>
      <c r="T86" s="268" t="n"/>
      <c r="U86" s="268" t="n"/>
      <c r="V86" s="268" t="n"/>
      <c r="W86" s="268" t="n"/>
      <c r="X86" s="268" t="n"/>
      <c r="Y86" s="268" t="n"/>
      <c r="Z86" s="268" t="n"/>
      <c r="AA86" s="268" t="n"/>
      <c r="AB86" s="268" t="n"/>
      <c r="AC86" s="268" t="n"/>
      <c r="AD86" s="268" t="n"/>
      <c r="AE86" s="268" t="n"/>
      <c r="AF86" s="268" t="n"/>
      <c r="AG86" s="268" t="n"/>
      <c r="AH86" s="268" t="n"/>
      <c r="AI86" s="268" t="n"/>
      <c r="AJ86" s="268" t="n"/>
      <c r="AK86" s="268" t="n"/>
      <c r="AL86" s="268" t="n"/>
      <c r="AM86" s="268" t="n"/>
      <c r="AN86" s="268" t="n"/>
      <c r="AO86" s="268" t="n"/>
      <c r="AP86" s="268" t="n"/>
      <c r="AQ86" s="268" t="n"/>
      <c r="AR86" s="268" t="n"/>
      <c r="AS86" s="268" t="n"/>
      <c r="AT86" s="268" t="n"/>
      <c r="AU86" s="268" t="n"/>
      <c r="AV86" s="268" t="n"/>
      <c r="AW86" s="268" t="n"/>
      <c r="AX86" s="268" t="n"/>
      <c r="AY86" s="268" t="n"/>
      <c r="AZ86" s="268" t="n"/>
      <c r="BA86" s="268" t="n"/>
      <c r="BB86" s="268" t="n"/>
      <c r="BC86" s="268" t="n"/>
      <c r="BD86" s="268" t="n"/>
      <c r="BE86" s="268" t="n"/>
      <c r="BF86" s="268" t="n"/>
      <c r="BG86" s="268" t="n"/>
      <c r="BH86" s="268" t="n"/>
      <c r="BI86" s="268" t="n"/>
      <c r="BJ86" s="268" t="n"/>
      <c r="BK86" s="268" t="n"/>
      <c r="BL86" s="268" t="n"/>
      <c r="BM86" s="268" t="n"/>
      <c r="BN86" s="268" t="n"/>
      <c r="BO86" s="268" t="n"/>
      <c r="BP86" s="268" t="n"/>
      <c r="BQ86" s="268" t="n"/>
      <c r="BR86" s="268" t="n"/>
      <c r="BS86" s="268" t="n"/>
      <c r="BT86" s="268" t="n"/>
      <c r="BU86" s="268" t="n"/>
      <c r="BV86" s="268" t="n"/>
      <c r="BW86" s="268" t="n"/>
      <c r="BX86" s="268" t="n"/>
      <c r="BY86" s="268" t="n"/>
      <c r="BZ86" s="268" t="n"/>
      <c r="CA86" s="268" t="n"/>
      <c r="CB86" s="268" t="n"/>
      <c r="CC86" s="268" t="n"/>
      <c r="CD86" s="268" t="n"/>
      <c r="CE86" s="268" t="n"/>
      <c r="CF86" s="268" t="n"/>
      <c r="CG86" s="268" t="n"/>
      <c r="CH86" s="268" t="n"/>
      <c r="CI86" s="268" t="n"/>
      <c r="CJ86" s="268" t="n"/>
      <c r="CK86" s="268" t="n"/>
      <c r="CL86" s="268" t="n"/>
      <c r="CM86" s="268" t="n"/>
      <c r="CN86" s="268" t="n"/>
      <c r="CO86" s="268" t="n"/>
      <c r="CP86" s="268" t="n"/>
      <c r="CQ86" s="268" t="n"/>
      <c r="CR86" s="268" t="n"/>
      <c r="CS86" s="268" t="n"/>
      <c r="CT86" s="268" t="n"/>
      <c r="CU86" s="268" t="n"/>
      <c r="CV86" s="268" t="n"/>
      <c r="CW86" s="268" t="n"/>
      <c r="CX86" s="268" t="n"/>
      <c r="CY86" s="268" t="n"/>
    </row>
    <row r="87" hidden="1" outlineLevel="1" ht="12.75" customHeight="1" s="255">
      <c r="C87" s="312" t="n"/>
      <c r="D87" s="268" t="n"/>
      <c r="E87" s="268" t="n"/>
      <c r="F87" s="268" t="n"/>
      <c r="G87" s="268" t="n"/>
      <c r="H87" s="268" t="n"/>
      <c r="I87" s="268" t="n"/>
      <c r="J87" s="268" t="n"/>
      <c r="K87" s="268" t="n"/>
      <c r="L87" s="268" t="n"/>
      <c r="M87" s="268" t="n"/>
      <c r="N87" s="268" t="n"/>
      <c r="O87" s="268" t="n"/>
      <c r="P87" s="268" t="n"/>
      <c r="Q87" s="268" t="n"/>
      <c r="R87" s="268" t="n"/>
      <c r="S87" s="268" t="n"/>
      <c r="T87" s="268" t="n"/>
      <c r="U87" s="268" t="n"/>
      <c r="V87" s="268" t="n"/>
      <c r="W87" s="268" t="n"/>
      <c r="X87" s="268" t="n"/>
      <c r="Y87" s="268" t="n"/>
      <c r="Z87" s="268" t="n"/>
      <c r="AA87" s="268" t="n"/>
      <c r="AB87" s="268" t="n"/>
      <c r="AC87" s="268" t="n"/>
      <c r="AD87" s="268" t="n"/>
      <c r="AE87" s="268" t="n"/>
      <c r="AF87" s="268" t="n"/>
      <c r="AG87" s="268" t="n"/>
      <c r="AH87" s="268" t="n"/>
      <c r="AI87" s="268" t="n"/>
      <c r="AJ87" s="268" t="n"/>
      <c r="AK87" s="268" t="n"/>
      <c r="AL87" s="268" t="n"/>
      <c r="AM87" s="268" t="n"/>
      <c r="AN87" s="268" t="n"/>
      <c r="AO87" s="268" t="n"/>
      <c r="AP87" s="268" t="n"/>
      <c r="AQ87" s="268" t="n"/>
      <c r="AR87" s="268" t="n"/>
      <c r="AS87" s="268" t="n"/>
      <c r="AT87" s="268" t="n"/>
      <c r="AU87" s="268" t="n"/>
      <c r="AV87" s="268" t="n"/>
      <c r="AW87" s="268" t="n"/>
      <c r="AX87" s="268" t="n"/>
      <c r="AY87" s="268" t="n"/>
      <c r="AZ87" s="268" t="n"/>
      <c r="BA87" s="268" t="n"/>
      <c r="BB87" s="268" t="n"/>
      <c r="BC87" s="268" t="n"/>
      <c r="BD87" s="268" t="n"/>
      <c r="BE87" s="268" t="n"/>
      <c r="BF87" s="268" t="n"/>
      <c r="BG87" s="268" t="n"/>
      <c r="BH87" s="268" t="n"/>
      <c r="BI87" s="268" t="n"/>
      <c r="BJ87" s="268" t="n"/>
      <c r="BK87" s="268" t="n"/>
      <c r="BL87" s="268" t="n"/>
      <c r="BM87" s="268" t="n"/>
      <c r="BN87" s="268" t="n"/>
      <c r="BO87" s="268" t="n"/>
      <c r="BP87" s="268" t="n"/>
      <c r="BQ87" s="268" t="n"/>
      <c r="BR87" s="268" t="n"/>
      <c r="BS87" s="268" t="n"/>
      <c r="BT87" s="268" t="n"/>
      <c r="BU87" s="268" t="n"/>
      <c r="BV87" s="268" t="n"/>
      <c r="BW87" s="268" t="n"/>
      <c r="BX87" s="268" t="n"/>
      <c r="BY87" s="268" t="n"/>
      <c r="BZ87" s="268" t="n"/>
      <c r="CA87" s="268" t="n"/>
      <c r="CB87" s="268" t="n"/>
      <c r="CC87" s="268" t="n"/>
      <c r="CD87" s="268" t="n"/>
      <c r="CE87" s="268" t="n"/>
      <c r="CF87" s="268" t="n"/>
      <c r="CG87" s="268" t="n"/>
      <c r="CH87" s="268" t="n"/>
      <c r="CI87" s="268" t="n"/>
      <c r="CJ87" s="268" t="n"/>
      <c r="CK87" s="268" t="n"/>
      <c r="CL87" s="268" t="n"/>
      <c r="CM87" s="268" t="n"/>
      <c r="CN87" s="268" t="n"/>
      <c r="CO87" s="268" t="n"/>
      <c r="CP87" s="268" t="n"/>
      <c r="CQ87" s="268" t="n"/>
      <c r="CR87" s="268" t="n"/>
      <c r="CS87" s="268" t="n"/>
      <c r="CT87" s="268" t="n"/>
      <c r="CU87" s="268" t="n"/>
      <c r="CV87" s="268" t="n"/>
      <c r="CW87" s="268" t="n"/>
      <c r="CX87" s="268" t="n"/>
      <c r="CY87" s="268" t="n"/>
    </row>
    <row r="88" hidden="1" outlineLevel="1" ht="12.75" customHeight="1" s="255">
      <c r="C88" s="312" t="inlineStr">
        <is>
          <t>Stake</t>
        </is>
      </c>
      <c r="D88" s="268" t="n"/>
      <c r="E88" s="268" t="n"/>
      <c r="F88" s="268" t="n"/>
      <c r="G88" s="268" t="n"/>
      <c r="H88" s="268" t="n"/>
      <c r="I88" s="268" t="n"/>
      <c r="J88" s="268" t="n"/>
      <c r="K88" s="268" t="n"/>
      <c r="L88" s="268" t="n"/>
      <c r="M88" s="268" t="n"/>
      <c r="N88" s="268" t="n"/>
      <c r="O88" s="268" t="n"/>
      <c r="P88" s="268" t="n"/>
      <c r="Q88" s="268" t="n"/>
      <c r="R88" s="268" t="n"/>
      <c r="S88" s="268" t="n"/>
      <c r="T88" s="268" t="n"/>
      <c r="U88" s="268" t="n"/>
      <c r="V88" s="268" t="n"/>
      <c r="W88" s="268" t="n"/>
      <c r="X88" s="268" t="n"/>
      <c r="Y88" s="268" t="n"/>
      <c r="Z88" s="268" t="n"/>
      <c r="AA88" s="268" t="n"/>
      <c r="AB88" s="268" t="n"/>
      <c r="AC88" s="268" t="n"/>
      <c r="AD88" s="268" t="n"/>
      <c r="AE88" s="268" t="n"/>
      <c r="AF88" s="268" t="n"/>
      <c r="AG88" s="268" t="n"/>
      <c r="AH88" s="268" t="n"/>
      <c r="AI88" s="268" t="n"/>
      <c r="AJ88" s="268" t="n"/>
      <c r="AK88" s="268" t="n"/>
      <c r="AL88" s="268" t="n"/>
      <c r="AM88" s="268" t="n"/>
      <c r="AN88" s="268" t="n"/>
      <c r="AO88" s="268" t="n"/>
      <c r="AP88" s="268" t="n"/>
      <c r="AQ88" s="268" t="n"/>
      <c r="AR88" s="268" t="n"/>
      <c r="AS88" s="268" t="n"/>
      <c r="AT88" s="268" t="n"/>
      <c r="AU88" s="268" t="n"/>
      <c r="AV88" s="268" t="n"/>
      <c r="AW88" s="268" t="n"/>
      <c r="AX88" s="268" t="n"/>
      <c r="AY88" s="268" t="n"/>
      <c r="AZ88" s="268" t="n"/>
      <c r="BA88" s="268" t="n"/>
      <c r="BB88" s="268" t="n"/>
      <c r="BC88" s="268" t="n"/>
      <c r="BD88" s="268" t="n"/>
      <c r="BE88" s="268" t="n"/>
      <c r="BF88" s="268" t="n"/>
      <c r="BG88" s="268" t="n"/>
      <c r="BH88" s="268" t="n"/>
      <c r="BI88" s="268" t="n"/>
      <c r="BJ88" s="268" t="n"/>
      <c r="BK88" s="268" t="n"/>
      <c r="BL88" s="268" t="n"/>
      <c r="BM88" s="268" t="n"/>
      <c r="BN88" s="268" t="n"/>
      <c r="BO88" s="268" t="n"/>
      <c r="BP88" s="268" t="n"/>
      <c r="BQ88" s="268" t="n"/>
      <c r="BR88" s="268" t="n"/>
      <c r="BS88" s="268" t="n"/>
      <c r="BT88" s="268" t="n"/>
      <c r="BU88" s="268" t="n"/>
      <c r="BV88" s="268" t="n"/>
      <c r="BW88" s="268" t="n"/>
      <c r="BX88" s="268" t="n"/>
      <c r="BY88" s="268" t="n"/>
      <c r="BZ88" s="268" t="n"/>
      <c r="CA88" s="268" t="n"/>
      <c r="CB88" s="268" t="n"/>
      <c r="CC88" s="268" t="n"/>
      <c r="CD88" s="268" t="n"/>
      <c r="CE88" s="268" t="n"/>
      <c r="CF88" s="268" t="n"/>
      <c r="CG88" s="268" t="n"/>
      <c r="CH88" s="268" t="n"/>
      <c r="CI88" s="268" t="n"/>
      <c r="CJ88" s="268" t="n"/>
      <c r="CK88" s="268" t="n"/>
      <c r="CL88" s="268" t="n"/>
      <c r="CM88" s="268" t="n"/>
      <c r="CN88" s="268" t="n"/>
      <c r="CO88" s="268" t="n"/>
      <c r="CP88" s="268" t="n"/>
      <c r="CQ88" s="268" t="n"/>
      <c r="CR88" s="268" t="n"/>
      <c r="CS88" s="268" t="n"/>
      <c r="CT88" s="268" t="n"/>
      <c r="CU88" s="268" t="n"/>
      <c r="CV88" s="268" t="n"/>
      <c r="CW88" s="268" t="n"/>
      <c r="CX88" s="268" t="n"/>
      <c r="CY88" s="268" t="n"/>
    </row>
    <row r="89" hidden="1" outlineLevel="1" ht="12.75" customHeight="1" s="255">
      <c r="C89" s="312" t="inlineStr">
        <is>
          <t>PRE</t>
        </is>
      </c>
      <c r="D89" s="268" t="n"/>
      <c r="E89" s="268" t="n"/>
      <c r="F89" s="268" t="n"/>
      <c r="G89" s="268" t="n"/>
      <c r="H89" s="268" t="n"/>
      <c r="I89" s="268" t="n"/>
      <c r="J89" s="268" t="n"/>
      <c r="K89" s="268" t="n"/>
      <c r="L89" s="268" t="n"/>
      <c r="M89" s="268" t="n"/>
      <c r="N89" s="268" t="n"/>
      <c r="O89" s="268" t="n"/>
      <c r="P89" s="268" t="n"/>
      <c r="Q89" s="268" t="n"/>
      <c r="R89" s="268" t="n"/>
      <c r="S89" s="268" t="n"/>
      <c r="T89" s="268" t="n"/>
      <c r="U89" s="268" t="n"/>
      <c r="V89" s="268" t="n"/>
      <c r="W89" s="268" t="n"/>
      <c r="X89" s="268" t="n"/>
      <c r="Y89" s="268" t="n"/>
      <c r="Z89" s="268" t="n"/>
      <c r="AA89" s="268" t="n"/>
      <c r="AB89" s="268" t="n"/>
      <c r="AC89" s="268" t="n"/>
      <c r="AD89" s="268" t="n"/>
      <c r="AE89" s="268" t="n"/>
      <c r="AF89" s="268" t="n"/>
      <c r="AG89" s="268" t="n"/>
      <c r="AH89" s="268" t="n"/>
      <c r="AI89" s="268" t="n"/>
      <c r="AJ89" s="268" t="n"/>
      <c r="AK89" s="268" t="n"/>
      <c r="AL89" s="268" t="n"/>
      <c r="AM89" s="268" t="n"/>
      <c r="AN89" s="268" t="n"/>
      <c r="AO89" s="268" t="n"/>
      <c r="AP89" s="268" t="n"/>
      <c r="AQ89" s="268" t="n"/>
      <c r="AR89" s="268" t="n"/>
      <c r="AS89" s="268" t="n"/>
      <c r="AT89" s="268" t="n"/>
      <c r="AU89" s="268" t="n"/>
      <c r="AV89" s="268" t="n"/>
      <c r="AW89" s="268" t="n"/>
      <c r="AX89" s="268" t="n"/>
      <c r="AY89" s="268" t="n"/>
      <c r="AZ89" s="268" t="n"/>
      <c r="BA89" s="268" t="n"/>
      <c r="BB89" s="268" t="n"/>
      <c r="BC89" s="268" t="n"/>
      <c r="BD89" s="268" t="n"/>
      <c r="BE89" s="268" t="n"/>
      <c r="BF89" s="268" t="n"/>
      <c r="BG89" s="268" t="n"/>
      <c r="BH89" s="268" t="n"/>
      <c r="BI89" s="268" t="n"/>
      <c r="BJ89" s="268" t="n"/>
      <c r="BK89" s="268" t="n"/>
      <c r="BL89" s="268" t="n"/>
      <c r="BM89" s="268" t="n"/>
      <c r="BN89" s="268" t="n"/>
      <c r="BO89" s="268" t="n"/>
      <c r="BP89" s="268" t="n"/>
      <c r="BQ89" s="268" t="n"/>
      <c r="BR89" s="268" t="n"/>
      <c r="BS89" s="268" t="n"/>
      <c r="BT89" s="268" t="n"/>
      <c r="BU89" s="268" t="n"/>
      <c r="BV89" s="268" t="n"/>
      <c r="BW89" s="268" t="n"/>
      <c r="BX89" s="268" t="n"/>
      <c r="BY89" s="268" t="n"/>
      <c r="BZ89" s="268" t="n"/>
      <c r="CA89" s="268" t="n"/>
      <c r="CB89" s="268" t="n"/>
      <c r="CC89" s="268" t="n"/>
      <c r="CD89" s="268" t="n"/>
      <c r="CE89" s="268" t="n"/>
      <c r="CF89" s="268" t="n"/>
      <c r="CG89" s="268" t="n"/>
      <c r="CH89" s="268" t="n"/>
      <c r="CI89" s="268" t="n"/>
      <c r="CJ89" s="268" t="n"/>
      <c r="CK89" s="268" t="n"/>
      <c r="CL89" s="268" t="n"/>
      <c r="CM89" s="268" t="n"/>
      <c r="CN89" s="268" t="n"/>
      <c r="CO89" s="268" t="n"/>
      <c r="CP89" s="268" t="n"/>
      <c r="CQ89" s="268" t="n"/>
      <c r="CR89" s="268" t="n"/>
      <c r="CS89" s="268" t="n"/>
      <c r="CT89" s="268" t="n"/>
      <c r="CU89" s="268" t="n"/>
      <c r="CV89" s="268" t="n"/>
      <c r="CW89" s="268" t="n"/>
      <c r="CX89" s="268" t="n"/>
      <c r="CY89" s="268" t="n"/>
    </row>
    <row r="90" hidden="1" outlineLevel="1" ht="12.75" customHeight="1" s="255">
      <c r="C90" s="312" t="inlineStr">
        <is>
          <t>CDI+</t>
        </is>
      </c>
      <c r="D90" s="268" t="n"/>
      <c r="E90" s="268" t="n"/>
      <c r="F90" s="268" t="n"/>
      <c r="G90" s="268" t="n"/>
      <c r="H90" s="268" t="n"/>
      <c r="I90" s="268" t="n"/>
      <c r="J90" s="268" t="n"/>
      <c r="K90" s="268" t="n"/>
      <c r="L90" s="268" t="n"/>
      <c r="M90" s="268" t="n"/>
      <c r="N90" s="268" t="n"/>
      <c r="O90" s="268" t="n"/>
      <c r="P90" s="268" t="n"/>
      <c r="Q90" s="268" t="n"/>
      <c r="R90" s="268" t="n"/>
      <c r="S90" s="268" t="n"/>
      <c r="T90" s="268" t="n"/>
      <c r="U90" s="268" t="n"/>
      <c r="V90" s="268" t="n"/>
      <c r="W90" s="268" t="n"/>
      <c r="X90" s="268" t="n"/>
      <c r="Y90" s="268" t="n"/>
      <c r="Z90" s="268" t="n"/>
      <c r="AA90" s="268" t="n"/>
      <c r="AB90" s="268" t="n"/>
      <c r="AC90" s="268" t="n"/>
      <c r="AD90" s="268" t="n"/>
      <c r="AE90" s="268" t="n"/>
      <c r="AF90" s="268" t="n"/>
      <c r="AG90" s="268" t="n"/>
      <c r="AH90" s="268" t="n"/>
      <c r="AI90" s="268" t="n"/>
      <c r="AJ90" s="268" t="n"/>
      <c r="AK90" s="268" t="n"/>
      <c r="AL90" s="268" t="n"/>
      <c r="AM90" s="268" t="n"/>
      <c r="AN90" s="268" t="n"/>
      <c r="AO90" s="268" t="n"/>
      <c r="AP90" s="268" t="n"/>
      <c r="AQ90" s="268" t="n"/>
      <c r="AR90" s="268" t="n"/>
      <c r="AS90" s="268" t="n"/>
      <c r="AT90" s="268" t="n"/>
      <c r="AU90" s="268" t="n"/>
      <c r="AV90" s="268" t="n"/>
      <c r="AW90" s="268" t="n"/>
      <c r="AX90" s="268" t="n"/>
      <c r="AY90" s="268" t="n"/>
      <c r="AZ90" s="268" t="n"/>
      <c r="BA90" s="268" t="n"/>
      <c r="BB90" s="268" t="n"/>
      <c r="BC90" s="268" t="n"/>
      <c r="BD90" s="268" t="n"/>
      <c r="BE90" s="268" t="n"/>
      <c r="BF90" s="268" t="n"/>
      <c r="BG90" s="268" t="n"/>
      <c r="BH90" s="268" t="n"/>
      <c r="BI90" s="268" t="n"/>
      <c r="BJ90" s="268" t="n"/>
      <c r="BK90" s="268" t="n"/>
      <c r="BL90" s="268" t="n"/>
      <c r="BM90" s="268" t="n"/>
      <c r="BN90" s="268" t="n"/>
      <c r="BO90" s="268" t="n"/>
      <c r="BP90" s="268" t="n"/>
      <c r="BQ90" s="268" t="n"/>
      <c r="BR90" s="268" t="n"/>
      <c r="BS90" s="268" t="n"/>
      <c r="BT90" s="268" t="n"/>
      <c r="BU90" s="268" t="n"/>
      <c r="BV90" s="268" t="n"/>
      <c r="BW90" s="268" t="n"/>
      <c r="BX90" s="268" t="n"/>
      <c r="BY90" s="268" t="n"/>
      <c r="BZ90" s="268" t="n"/>
      <c r="CA90" s="268" t="n"/>
      <c r="CB90" s="268" t="n"/>
      <c r="CC90" s="268" t="n"/>
      <c r="CD90" s="268" t="n"/>
      <c r="CE90" s="268" t="n"/>
      <c r="CF90" s="268" t="n"/>
      <c r="CG90" s="268" t="n"/>
      <c r="CH90" s="268" t="n"/>
      <c r="CI90" s="268" t="n"/>
      <c r="CJ90" s="268" t="n"/>
      <c r="CK90" s="268" t="n"/>
      <c r="CL90" s="268" t="n"/>
      <c r="CM90" s="268" t="n"/>
      <c r="CN90" s="268" t="n"/>
      <c r="CO90" s="268" t="n"/>
      <c r="CP90" s="268" t="n"/>
      <c r="CQ90" s="268" t="n"/>
      <c r="CR90" s="268" t="n"/>
      <c r="CS90" s="268" t="n"/>
      <c r="CT90" s="268" t="n"/>
      <c r="CU90" s="268" t="n"/>
      <c r="CV90" s="268" t="n"/>
      <c r="CW90" s="268" t="n"/>
      <c r="CX90" s="268" t="n"/>
      <c r="CY90" s="268" t="n"/>
    </row>
    <row r="91" hidden="1" outlineLevel="1" ht="12.75" customHeight="1" s="255">
      <c r="C91" s="312" t="n"/>
      <c r="D91" s="268" t="n"/>
      <c r="E91" s="268" t="n"/>
      <c r="F91" s="268" t="n"/>
      <c r="G91" s="268" t="n"/>
      <c r="H91" s="268" t="n"/>
      <c r="I91" s="268" t="n"/>
      <c r="J91" s="268" t="n"/>
      <c r="K91" s="268" t="n"/>
      <c r="L91" s="268" t="n"/>
      <c r="M91" s="268" t="n"/>
      <c r="N91" s="268" t="n"/>
      <c r="O91" s="268" t="n"/>
      <c r="P91" s="268" t="n"/>
      <c r="Q91" s="268" t="n"/>
      <c r="R91" s="268" t="n"/>
      <c r="S91" s="268" t="n"/>
      <c r="T91" s="268" t="n"/>
      <c r="U91" s="268" t="n"/>
      <c r="V91" s="268" t="n"/>
      <c r="W91" s="268" t="n"/>
      <c r="X91" s="268" t="n"/>
      <c r="Y91" s="268" t="n"/>
      <c r="Z91" s="268" t="n"/>
      <c r="AA91" s="268" t="n"/>
      <c r="AB91" s="268" t="n"/>
      <c r="AC91" s="268" t="n"/>
      <c r="AD91" s="268" t="n"/>
      <c r="AE91" s="268" t="n"/>
      <c r="AF91" s="268" t="n"/>
      <c r="AG91" s="268" t="n"/>
      <c r="AH91" s="268" t="n"/>
      <c r="AI91" s="268" t="n"/>
      <c r="AJ91" s="268" t="n"/>
      <c r="AK91" s="268" t="n"/>
      <c r="AL91" s="268" t="n"/>
      <c r="AM91" s="268" t="n"/>
      <c r="AN91" s="268" t="n"/>
      <c r="AO91" s="268" t="n"/>
      <c r="AP91" s="268" t="n"/>
      <c r="AQ91" s="268" t="n"/>
      <c r="AR91" s="268" t="n"/>
      <c r="AS91" s="268" t="n"/>
      <c r="AT91" s="268" t="n"/>
      <c r="AU91" s="268" t="n"/>
      <c r="AV91" s="268" t="n"/>
      <c r="AW91" s="268" t="n"/>
      <c r="AX91" s="268" t="n"/>
      <c r="AY91" s="268" t="n"/>
      <c r="AZ91" s="268" t="n"/>
      <c r="BA91" s="268" t="n"/>
      <c r="BB91" s="268" t="n"/>
      <c r="BC91" s="268" t="n"/>
      <c r="BD91" s="268" t="n"/>
      <c r="BE91" s="268" t="n"/>
      <c r="BF91" s="268" t="n"/>
      <c r="BG91" s="268" t="n"/>
      <c r="BH91" s="268" t="n"/>
      <c r="BI91" s="268" t="n"/>
      <c r="BJ91" s="268" t="n"/>
      <c r="BK91" s="268" t="n"/>
      <c r="BL91" s="268" t="n"/>
      <c r="BM91" s="268" t="n"/>
      <c r="BN91" s="268" t="n"/>
      <c r="BO91" s="268" t="n"/>
      <c r="BP91" s="268" t="n"/>
      <c r="BQ91" s="268" t="n"/>
      <c r="BR91" s="268" t="n"/>
      <c r="BS91" s="268" t="n"/>
      <c r="BT91" s="268" t="n"/>
      <c r="BU91" s="268" t="n"/>
      <c r="BV91" s="268" t="n"/>
      <c r="BW91" s="268" t="n"/>
      <c r="BX91" s="268" t="n"/>
      <c r="BY91" s="268" t="n"/>
      <c r="BZ91" s="268" t="n"/>
      <c r="CA91" s="268" t="n"/>
      <c r="CB91" s="268" t="n"/>
      <c r="CC91" s="268" t="n"/>
      <c r="CD91" s="268" t="n"/>
      <c r="CE91" s="268" t="n"/>
      <c r="CF91" s="268" t="n"/>
      <c r="CG91" s="268" t="n"/>
      <c r="CH91" s="268" t="n"/>
      <c r="CI91" s="268" t="n"/>
      <c r="CJ91" s="268" t="n"/>
      <c r="CK91" s="268" t="n"/>
      <c r="CL91" s="268" t="n"/>
      <c r="CM91" s="268" t="n"/>
      <c r="CN91" s="268" t="n"/>
      <c r="CO91" s="268" t="n"/>
      <c r="CP91" s="268" t="n"/>
      <c r="CQ91" s="268" t="n"/>
      <c r="CR91" s="268" t="n"/>
      <c r="CS91" s="268" t="n"/>
      <c r="CT91" s="268" t="n"/>
      <c r="CU91" s="268" t="n"/>
      <c r="CV91" s="268" t="n"/>
      <c r="CW91" s="268" t="n"/>
      <c r="CX91" s="268" t="n"/>
      <c r="CY91" s="268" t="n"/>
    </row>
    <row r="92" hidden="1" outlineLevel="1" ht="12.75" customHeight="1" s="255">
      <c r="C92" s="312" t="inlineStr">
        <is>
          <t>Spread</t>
        </is>
      </c>
      <c r="D92" s="268" t="n"/>
      <c r="E92" s="268" t="n"/>
      <c r="F92" s="268" t="n"/>
      <c r="G92" s="268" t="n"/>
      <c r="H92" s="268" t="n"/>
      <c r="I92" s="268" t="n"/>
      <c r="J92" s="268" t="n"/>
      <c r="K92" s="268" t="n"/>
      <c r="L92" s="268" t="n"/>
      <c r="M92" s="268" t="n"/>
      <c r="N92" s="268" t="n"/>
      <c r="O92" s="268" t="n"/>
      <c r="P92" s="268" t="n"/>
      <c r="Q92" s="268" t="n"/>
      <c r="R92" s="268" t="n"/>
      <c r="S92" s="268" t="n"/>
      <c r="T92" s="268" t="n"/>
      <c r="U92" s="268" t="n"/>
      <c r="V92" s="268" t="n"/>
      <c r="W92" s="268" t="n"/>
      <c r="X92" s="268" t="n"/>
      <c r="Y92" s="268" t="n"/>
      <c r="Z92" s="268" t="n"/>
      <c r="AA92" s="268" t="n"/>
      <c r="AB92" s="268" t="n"/>
      <c r="AC92" s="268" t="n"/>
      <c r="AD92" s="268" t="n"/>
      <c r="AE92" s="268" t="n"/>
      <c r="AF92" s="268" t="n"/>
      <c r="AG92" s="268" t="n"/>
      <c r="AH92" s="268" t="n"/>
      <c r="AI92" s="268" t="n"/>
      <c r="AJ92" s="268" t="n"/>
      <c r="AK92" s="268" t="n"/>
      <c r="AL92" s="268" t="n"/>
      <c r="AM92" s="268" t="n"/>
      <c r="AN92" s="268" t="n"/>
      <c r="AO92" s="268" t="n"/>
      <c r="AP92" s="268" t="n"/>
      <c r="AQ92" s="268" t="n"/>
      <c r="AR92" s="268" t="n"/>
      <c r="AS92" s="268" t="n"/>
      <c r="AT92" s="268" t="n"/>
      <c r="AU92" s="268" t="n"/>
      <c r="AV92" s="268" t="n"/>
      <c r="AW92" s="268" t="n"/>
      <c r="AX92" s="268" t="n"/>
      <c r="AY92" s="268" t="n"/>
      <c r="AZ92" s="268" t="n"/>
      <c r="BA92" s="268" t="n"/>
      <c r="BB92" s="268" t="n"/>
      <c r="BC92" s="268" t="n"/>
      <c r="BD92" s="268" t="n"/>
      <c r="BE92" s="268" t="n"/>
      <c r="BF92" s="268" t="n"/>
      <c r="BG92" s="268" t="n"/>
      <c r="BH92" s="268" t="n"/>
      <c r="BI92" s="268" t="n"/>
      <c r="BJ92" s="268" t="n"/>
      <c r="BK92" s="268" t="n"/>
      <c r="BL92" s="268" t="n"/>
      <c r="BM92" s="268" t="n"/>
      <c r="BN92" s="268" t="n"/>
      <c r="BO92" s="268" t="n"/>
      <c r="BP92" s="268" t="n"/>
      <c r="BQ92" s="268" t="n"/>
      <c r="BR92" s="268" t="n"/>
      <c r="BS92" s="268" t="n"/>
      <c r="BT92" s="268" t="n"/>
      <c r="BU92" s="268" t="n"/>
      <c r="BV92" s="268" t="n"/>
      <c r="BW92" s="268" t="n"/>
      <c r="BX92" s="268" t="n"/>
      <c r="BY92" s="268" t="n"/>
      <c r="BZ92" s="268" t="n"/>
      <c r="CA92" s="268" t="n"/>
      <c r="CB92" s="268" t="n"/>
      <c r="CC92" s="268" t="n"/>
      <c r="CD92" s="268" t="n"/>
      <c r="CE92" s="268" t="n"/>
      <c r="CF92" s="268" t="n"/>
      <c r="CG92" s="268" t="n"/>
      <c r="CH92" s="268" t="n"/>
      <c r="CI92" s="268" t="n"/>
      <c r="CJ92" s="268" t="n"/>
      <c r="CK92" s="268" t="n"/>
      <c r="CL92" s="268" t="n"/>
      <c r="CM92" s="268" t="n"/>
      <c r="CN92" s="268" t="n"/>
      <c r="CO92" s="268" t="n"/>
      <c r="CP92" s="268" t="n"/>
      <c r="CQ92" s="268" t="n"/>
      <c r="CR92" s="268" t="n"/>
      <c r="CS92" s="268" t="n"/>
      <c r="CT92" s="268" t="n"/>
      <c r="CU92" s="268" t="n"/>
      <c r="CV92" s="268" t="n"/>
      <c r="CW92" s="268" t="n"/>
      <c r="CX92" s="268" t="n"/>
      <c r="CY92" s="268" t="n"/>
    </row>
    <row r="93" hidden="1" outlineLevel="1" ht="12.75" customHeight="1" s="255">
      <c r="C93" s="312" t="inlineStr">
        <is>
          <t>PRE</t>
        </is>
      </c>
      <c r="D93" s="268" t="n"/>
      <c r="E93" s="268" t="n"/>
      <c r="F93" s="268" t="n"/>
      <c r="G93" s="268" t="n"/>
      <c r="H93" s="268" t="n"/>
      <c r="I93" s="268" t="n"/>
      <c r="J93" s="268" t="n"/>
      <c r="K93" s="268" t="n"/>
      <c r="L93" s="268" t="n"/>
      <c r="M93" s="268" t="n"/>
      <c r="N93" s="268" t="n"/>
      <c r="O93" s="268" t="n"/>
      <c r="P93" s="268" t="n"/>
      <c r="Q93" s="268" t="n"/>
      <c r="R93" s="268" t="n"/>
      <c r="S93" s="268" t="n"/>
      <c r="T93" s="268" t="n"/>
      <c r="U93" s="268" t="n"/>
      <c r="V93" s="268" t="n"/>
      <c r="W93" s="268" t="n"/>
      <c r="X93" s="268" t="n"/>
      <c r="Y93" s="268" t="n"/>
      <c r="Z93" s="268" t="n"/>
      <c r="AA93" s="268" t="n"/>
      <c r="AB93" s="268" t="n"/>
      <c r="AC93" s="268" t="n"/>
      <c r="AD93" s="268" t="n"/>
      <c r="AE93" s="268" t="n"/>
      <c r="AF93" s="268" t="n"/>
      <c r="AG93" s="268" t="n"/>
      <c r="AH93" s="268" t="n"/>
      <c r="AI93" s="268" t="n"/>
      <c r="AJ93" s="268" t="n"/>
      <c r="AK93" s="268" t="n"/>
      <c r="AL93" s="268" t="n"/>
      <c r="AM93" s="268" t="n"/>
      <c r="AN93" s="268" t="n"/>
      <c r="AO93" s="268" t="n"/>
      <c r="AP93" s="268" t="n"/>
      <c r="AQ93" s="268" t="n"/>
      <c r="AR93" s="268" t="n"/>
      <c r="AS93" s="268" t="n"/>
      <c r="AT93" s="268" t="n"/>
      <c r="AU93" s="268" t="n"/>
      <c r="AV93" s="268" t="n"/>
      <c r="AW93" s="268" t="n"/>
      <c r="AX93" s="268" t="n"/>
      <c r="AY93" s="268" t="n"/>
      <c r="AZ93" s="268" t="n"/>
      <c r="BA93" s="268" t="n"/>
      <c r="BB93" s="268" t="n"/>
      <c r="BC93" s="268" t="n"/>
      <c r="BD93" s="268" t="n"/>
      <c r="BE93" s="268" t="n"/>
      <c r="BF93" s="268" t="n"/>
      <c r="BG93" s="268" t="n"/>
      <c r="BH93" s="268" t="n"/>
      <c r="BI93" s="268" t="n"/>
      <c r="BJ93" s="268" t="n"/>
      <c r="BK93" s="268" t="n"/>
      <c r="BL93" s="268" t="n"/>
      <c r="BM93" s="268" t="n"/>
      <c r="BN93" s="268" t="n"/>
      <c r="BO93" s="268" t="n"/>
      <c r="BP93" s="268" t="n"/>
      <c r="BQ93" s="268" t="n"/>
      <c r="BR93" s="268" t="n"/>
      <c r="BS93" s="268" t="n"/>
      <c r="BT93" s="268" t="n"/>
      <c r="BU93" s="268" t="n"/>
      <c r="BV93" s="268" t="n"/>
      <c r="BW93" s="268" t="n"/>
      <c r="BX93" s="268" t="n"/>
      <c r="BY93" s="268" t="n"/>
      <c r="BZ93" s="268" t="n"/>
      <c r="CA93" s="268" t="n"/>
      <c r="CB93" s="268" t="n"/>
      <c r="CC93" s="268" t="n"/>
      <c r="CD93" s="268" t="n"/>
      <c r="CE93" s="268" t="n"/>
      <c r="CF93" s="268" t="n"/>
      <c r="CG93" s="268" t="n"/>
      <c r="CH93" s="268" t="n"/>
      <c r="CI93" s="268" t="n"/>
      <c r="CJ93" s="268" t="n"/>
      <c r="CK93" s="268" t="n"/>
      <c r="CL93" s="268" t="n"/>
      <c r="CM93" s="268" t="n"/>
      <c r="CN93" s="268" t="n"/>
      <c r="CO93" s="268" t="n"/>
      <c r="CP93" s="268" t="n"/>
      <c r="CQ93" s="268" t="n"/>
      <c r="CR93" s="268" t="n"/>
      <c r="CS93" s="268" t="n"/>
      <c r="CT93" s="268" t="n"/>
      <c r="CU93" s="268" t="n"/>
      <c r="CV93" s="268" t="n"/>
      <c r="CW93" s="268" t="n"/>
      <c r="CX93" s="268" t="n"/>
      <c r="CY93" s="268" t="n"/>
    </row>
    <row r="94" hidden="1" outlineLevel="1" ht="12.75" customHeight="1" s="255">
      <c r="C94" s="312" t="inlineStr">
        <is>
          <t>CDI+</t>
        </is>
      </c>
      <c r="D94" s="268" t="n"/>
      <c r="E94" s="268" t="n"/>
      <c r="F94" s="268" t="n"/>
      <c r="G94" s="268" t="n"/>
      <c r="H94" s="268" t="n"/>
      <c r="I94" s="268" t="n"/>
      <c r="J94" s="268" t="n"/>
      <c r="K94" s="268" t="n"/>
      <c r="L94" s="268" t="n"/>
      <c r="M94" s="268" t="n"/>
      <c r="N94" s="268" t="n"/>
      <c r="O94" s="268" t="n"/>
      <c r="P94" s="268" t="n"/>
      <c r="Q94" s="268" t="n"/>
      <c r="R94" s="268" t="n"/>
      <c r="S94" s="268" t="n"/>
      <c r="T94" s="268" t="n"/>
      <c r="U94" s="268" t="n"/>
      <c r="V94" s="268" t="n"/>
      <c r="W94" s="268" t="n"/>
      <c r="X94" s="268" t="n"/>
      <c r="Y94" s="268" t="n"/>
      <c r="Z94" s="268" t="n"/>
      <c r="AA94" s="268" t="n"/>
      <c r="AB94" s="268" t="n"/>
      <c r="AC94" s="268" t="n"/>
      <c r="AD94" s="268" t="n"/>
      <c r="AE94" s="268" t="n"/>
      <c r="AF94" s="268" t="n"/>
      <c r="AG94" s="268" t="n"/>
      <c r="AH94" s="268" t="n"/>
      <c r="AI94" s="268" t="n"/>
      <c r="AJ94" s="268" t="n"/>
      <c r="AK94" s="268" t="n"/>
      <c r="AL94" s="268" t="n"/>
      <c r="AM94" s="268" t="n"/>
      <c r="AN94" s="268" t="n"/>
      <c r="AO94" s="268" t="n"/>
      <c r="AP94" s="268" t="n"/>
      <c r="AQ94" s="268" t="n"/>
      <c r="AR94" s="268" t="n"/>
      <c r="AS94" s="268" t="n"/>
      <c r="AT94" s="268" t="n"/>
      <c r="AU94" s="268" t="n"/>
      <c r="AV94" s="268" t="n"/>
      <c r="AW94" s="268" t="n"/>
      <c r="AX94" s="268" t="n"/>
      <c r="AY94" s="268" t="n"/>
      <c r="AZ94" s="268" t="n"/>
      <c r="BA94" s="268" t="n"/>
      <c r="BB94" s="268" t="n"/>
      <c r="BC94" s="268" t="n"/>
      <c r="BD94" s="268" t="n"/>
      <c r="BE94" s="268" t="n"/>
      <c r="BF94" s="268" t="n"/>
      <c r="BG94" s="268" t="n"/>
      <c r="BH94" s="268" t="n"/>
      <c r="BI94" s="268" t="n"/>
      <c r="BJ94" s="268" t="n"/>
      <c r="BK94" s="268" t="n"/>
      <c r="BL94" s="268" t="n"/>
      <c r="BM94" s="268" t="n"/>
      <c r="BN94" s="268" t="n"/>
      <c r="BO94" s="268" t="n"/>
      <c r="BP94" s="268" t="n"/>
      <c r="BQ94" s="268" t="n"/>
      <c r="BR94" s="268" t="n"/>
      <c r="BS94" s="268" t="n"/>
      <c r="BT94" s="268" t="n"/>
      <c r="BU94" s="268" t="n"/>
      <c r="BV94" s="268" t="n"/>
      <c r="BW94" s="268" t="n"/>
      <c r="BX94" s="268" t="n"/>
      <c r="BY94" s="268" t="n"/>
      <c r="BZ94" s="268" t="n"/>
      <c r="CA94" s="268" t="n"/>
      <c r="CB94" s="268" t="n"/>
      <c r="CC94" s="268" t="n"/>
      <c r="CD94" s="268" t="n"/>
      <c r="CE94" s="268" t="n"/>
      <c r="CF94" s="268" t="n"/>
      <c r="CG94" s="268" t="n"/>
      <c r="CH94" s="268" t="n"/>
      <c r="CI94" s="268" t="n"/>
      <c r="CJ94" s="268" t="n"/>
      <c r="CK94" s="268" t="n"/>
      <c r="CL94" s="268" t="n"/>
      <c r="CM94" s="268" t="n"/>
      <c r="CN94" s="268" t="n"/>
      <c r="CO94" s="268" t="n"/>
      <c r="CP94" s="268" t="n"/>
      <c r="CQ94" s="268" t="n"/>
      <c r="CR94" s="268" t="n"/>
      <c r="CS94" s="268" t="n"/>
      <c r="CT94" s="268" t="n"/>
      <c r="CU94" s="268" t="n"/>
      <c r="CV94" s="268" t="n"/>
      <c r="CW94" s="268" t="n"/>
      <c r="CX94" s="268" t="n"/>
      <c r="CY94" s="268" t="n"/>
    </row>
    <row r="95" hidden="1" outlineLevel="1" ht="12.75" customHeight="1" s="255">
      <c r="C95" s="312" t="n"/>
      <c r="D95" s="268" t="n"/>
      <c r="E95" s="268" t="n"/>
      <c r="F95" s="268" t="n"/>
      <c r="G95" s="268" t="n"/>
      <c r="H95" s="268" t="n"/>
      <c r="I95" s="268" t="n"/>
      <c r="J95" s="268" t="n"/>
      <c r="K95" s="268" t="n"/>
      <c r="L95" s="268" t="n"/>
      <c r="M95" s="268" t="n"/>
      <c r="N95" s="268" t="n"/>
      <c r="O95" s="268" t="n"/>
      <c r="P95" s="268" t="n"/>
      <c r="Q95" s="268" t="n"/>
      <c r="R95" s="268" t="n"/>
      <c r="S95" s="268" t="n"/>
      <c r="T95" s="268" t="n"/>
      <c r="U95" s="268" t="n"/>
      <c r="V95" s="268" t="n"/>
      <c r="W95" s="268" t="n"/>
      <c r="X95" s="268" t="n"/>
      <c r="Y95" s="268" t="n"/>
      <c r="Z95" s="268" t="n"/>
      <c r="AA95" s="268" t="n"/>
      <c r="AB95" s="268" t="n"/>
      <c r="AC95" s="268" t="n"/>
      <c r="AD95" s="268" t="n"/>
      <c r="AE95" s="268" t="n"/>
      <c r="AF95" s="268" t="n"/>
      <c r="AG95" s="268" t="n"/>
      <c r="AH95" s="268" t="n"/>
      <c r="AI95" s="268" t="n"/>
      <c r="AJ95" s="268" t="n"/>
      <c r="AK95" s="268" t="n"/>
      <c r="AL95" s="268" t="n"/>
      <c r="AM95" s="268" t="n"/>
      <c r="AN95" s="268" t="n"/>
      <c r="AO95" s="268" t="n"/>
      <c r="AP95" s="268" t="n"/>
      <c r="AQ95" s="268" t="n"/>
      <c r="AR95" s="268" t="n"/>
      <c r="AS95" s="268" t="n"/>
      <c r="AT95" s="268" t="n"/>
      <c r="AU95" s="268" t="n"/>
      <c r="AV95" s="268" t="n"/>
      <c r="AW95" s="268" t="n"/>
      <c r="AX95" s="268" t="n"/>
      <c r="AY95" s="268" t="n"/>
      <c r="AZ95" s="268" t="n"/>
      <c r="BA95" s="268" t="n"/>
      <c r="BB95" s="268" t="n"/>
      <c r="BC95" s="268" t="n"/>
      <c r="BD95" s="268" t="n"/>
      <c r="BE95" s="268" t="n"/>
      <c r="BF95" s="268" t="n"/>
      <c r="BG95" s="268" t="n"/>
      <c r="BH95" s="268" t="n"/>
      <c r="BI95" s="268" t="n"/>
      <c r="BJ95" s="268" t="n"/>
      <c r="BK95" s="268" t="n"/>
      <c r="BL95" s="268" t="n"/>
      <c r="BM95" s="268" t="n"/>
      <c r="BN95" s="268" t="n"/>
      <c r="BO95" s="268" t="n"/>
      <c r="BP95" s="268" t="n"/>
      <c r="BQ95" s="268" t="n"/>
      <c r="BR95" s="268" t="n"/>
      <c r="BS95" s="268" t="n"/>
      <c r="BT95" s="268" t="n"/>
      <c r="BU95" s="268" t="n"/>
      <c r="BV95" s="268" t="n"/>
      <c r="BW95" s="268" t="n"/>
      <c r="BX95" s="268" t="n"/>
      <c r="BY95" s="268" t="n"/>
      <c r="BZ95" s="268" t="n"/>
      <c r="CA95" s="268" t="n"/>
      <c r="CB95" s="268" t="n"/>
      <c r="CC95" s="268" t="n"/>
      <c r="CD95" s="268" t="n"/>
      <c r="CE95" s="268" t="n"/>
      <c r="CF95" s="268" t="n"/>
      <c r="CG95" s="268" t="n"/>
      <c r="CH95" s="268" t="n"/>
      <c r="CI95" s="268" t="n"/>
      <c r="CJ95" s="268" t="n"/>
      <c r="CK95" s="268" t="n"/>
      <c r="CL95" s="268" t="n"/>
      <c r="CM95" s="268" t="n"/>
      <c r="CN95" s="268" t="n"/>
      <c r="CO95" s="268" t="n"/>
      <c r="CP95" s="268" t="n"/>
      <c r="CQ95" s="268" t="n"/>
      <c r="CR95" s="268" t="n"/>
      <c r="CS95" s="268" t="n"/>
      <c r="CT95" s="268" t="n"/>
      <c r="CU95" s="268" t="n"/>
      <c r="CV95" s="268" t="n"/>
      <c r="CW95" s="268" t="n"/>
      <c r="CX95" s="268" t="n"/>
      <c r="CY95" s="268" t="n"/>
    </row>
    <row r="96" hidden="1" outlineLevel="1" ht="12.75" customHeight="1" s="255">
      <c r="C96" s="312" t="inlineStr">
        <is>
          <t>RECEITAS FINANCEIRAS - Rendimentos de aplicações financeiras</t>
        </is>
      </c>
      <c r="D96" s="268" t="n"/>
      <c r="E96" s="268" t="n"/>
      <c r="F96" s="268" t="n"/>
      <c r="G96" s="268" t="n"/>
      <c r="H96" s="268" t="n"/>
      <c r="I96" s="268" t="n"/>
      <c r="J96" s="268" t="n"/>
      <c r="K96" s="268" t="n"/>
      <c r="L96" s="268" t="n"/>
      <c r="M96" s="268" t="n"/>
      <c r="N96" s="268" t="n"/>
      <c r="O96" s="268" t="n"/>
      <c r="P96" s="268" t="n"/>
      <c r="Q96" s="268" t="n"/>
      <c r="R96" s="268" t="n"/>
      <c r="S96" s="268" t="n"/>
      <c r="T96" s="268" t="n"/>
      <c r="U96" s="268" t="n"/>
      <c r="V96" s="268" t="n"/>
      <c r="W96" s="268" t="n"/>
      <c r="X96" s="268" t="n"/>
      <c r="Y96" s="268" t="n"/>
      <c r="Z96" s="268" t="n"/>
      <c r="AA96" s="268" t="n"/>
      <c r="AB96" s="268" t="n"/>
      <c r="AC96" s="268" t="n"/>
      <c r="AD96" s="268" t="n"/>
      <c r="AE96" s="268" t="n"/>
      <c r="AF96" s="268" t="n"/>
      <c r="AG96" s="268" t="n"/>
      <c r="AH96" s="268" t="n"/>
      <c r="AI96" s="268" t="n"/>
      <c r="AJ96" s="268" t="n"/>
      <c r="AK96" s="268" t="n"/>
      <c r="AL96" s="268" t="n"/>
      <c r="AM96" s="268" t="n"/>
      <c r="AN96" s="268" t="n"/>
      <c r="AO96" s="268" t="n"/>
      <c r="AP96" s="268" t="n"/>
      <c r="AQ96" s="268" t="n"/>
      <c r="AR96" s="268" t="n"/>
      <c r="AS96" s="268" t="n"/>
      <c r="AT96" s="268" t="n"/>
      <c r="AU96" s="268" t="n"/>
      <c r="AV96" s="268" t="n"/>
      <c r="AW96" s="268" t="n"/>
      <c r="AX96" s="268" t="n"/>
      <c r="AY96" s="268" t="n"/>
      <c r="AZ96" s="268" t="n"/>
      <c r="BA96" s="268" t="n"/>
      <c r="BB96" s="268" t="n"/>
      <c r="BC96" s="268" t="n"/>
      <c r="BD96" s="268" t="n"/>
      <c r="BE96" s="268" t="n"/>
      <c r="BF96" s="268" t="n"/>
      <c r="BG96" s="268" t="n"/>
      <c r="BH96" s="268" t="n"/>
      <c r="BI96" s="268" t="n"/>
      <c r="BJ96" s="268" t="n"/>
      <c r="BK96" s="268" t="n"/>
      <c r="BL96" s="268" t="n"/>
      <c r="BM96" s="268" t="n"/>
      <c r="BN96" s="268" t="n"/>
      <c r="BO96" s="268" t="n"/>
      <c r="BP96" s="268" t="n"/>
      <c r="BQ96" s="268" t="n"/>
      <c r="BR96" s="268" t="n"/>
      <c r="BS96" s="268" t="n"/>
      <c r="BT96" s="268" t="n"/>
      <c r="BU96" s="268" t="n"/>
      <c r="BV96" s="268" t="n"/>
      <c r="BW96" s="268" t="n"/>
      <c r="BX96" s="268" t="n"/>
      <c r="BY96" s="268" t="n"/>
      <c r="BZ96" s="268" t="n"/>
      <c r="CA96" s="268" t="n"/>
      <c r="CB96" s="268" t="n"/>
      <c r="CC96" s="268" t="n"/>
      <c r="CD96" s="268" t="n"/>
      <c r="CE96" s="268" t="n"/>
      <c r="CF96" s="268" t="n"/>
      <c r="CG96" s="268" t="n"/>
      <c r="CH96" s="268" t="n"/>
      <c r="CI96" s="268" t="n"/>
      <c r="CJ96" s="268" t="n"/>
      <c r="CK96" s="268" t="n"/>
      <c r="CL96" s="268" t="n"/>
      <c r="CM96" s="268" t="n"/>
      <c r="CN96" s="268" t="n"/>
      <c r="CO96" s="268" t="n"/>
      <c r="CP96" s="268" t="n"/>
      <c r="CQ96" s="268" t="n"/>
      <c r="CR96" s="268" t="n"/>
      <c r="CS96" s="268" t="n"/>
      <c r="CT96" s="268" t="n"/>
      <c r="CU96" s="268" t="n"/>
      <c r="CV96" s="268" t="n"/>
      <c r="CW96" s="268" t="n"/>
      <c r="CX96" s="268" t="n"/>
      <c r="CY96" s="268" t="n"/>
    </row>
    <row r="97" hidden="1" outlineLevel="1" ht="12.75" customHeight="1" s="255">
      <c r="C97" s="312" t="inlineStr">
        <is>
          <t>RECEITAS FINANCEIRAS - Variação cambial ativa</t>
        </is>
      </c>
      <c r="D97" s="268" t="n"/>
      <c r="E97" s="268" t="n"/>
      <c r="F97" s="268" t="n"/>
      <c r="G97" s="268" t="n"/>
      <c r="H97" s="268" t="n"/>
      <c r="I97" s="268" t="n"/>
      <c r="J97" s="268" t="n"/>
      <c r="K97" s="268" t="n"/>
      <c r="L97" s="268" t="n"/>
      <c r="M97" s="268" t="n"/>
      <c r="N97" s="268" t="n"/>
      <c r="O97" s="268" t="n"/>
      <c r="P97" s="268" t="n"/>
      <c r="Q97" s="268" t="n"/>
      <c r="R97" s="268" t="n"/>
      <c r="S97" s="268" t="n"/>
      <c r="T97" s="268" t="n"/>
      <c r="U97" s="268" t="n"/>
      <c r="V97" s="268" t="n"/>
      <c r="W97" s="268" t="n"/>
      <c r="X97" s="268" t="n"/>
      <c r="Y97" s="268" t="n"/>
      <c r="Z97" s="268" t="n"/>
      <c r="AA97" s="268" t="n"/>
      <c r="AB97" s="268" t="n"/>
      <c r="AC97" s="268" t="n"/>
      <c r="AD97" s="268" t="n"/>
      <c r="AE97" s="268" t="n"/>
      <c r="AF97" s="268" t="n"/>
      <c r="AG97" s="268" t="n"/>
      <c r="AH97" s="268" t="n"/>
      <c r="AI97" s="268" t="n"/>
      <c r="AJ97" s="268" t="n"/>
      <c r="AK97" s="268" t="n"/>
      <c r="AL97" s="268" t="n"/>
      <c r="AM97" s="268" t="n"/>
      <c r="AN97" s="268" t="n"/>
      <c r="AO97" s="268" t="n"/>
      <c r="AP97" s="268" t="n"/>
      <c r="AQ97" s="268" t="n"/>
      <c r="AR97" s="268" t="n"/>
      <c r="AS97" s="268" t="n"/>
      <c r="AT97" s="268" t="n"/>
      <c r="AU97" s="268" t="n"/>
      <c r="AV97" s="268" t="n"/>
      <c r="AW97" s="268" t="n"/>
      <c r="AX97" s="268" t="n"/>
      <c r="AY97" s="268" t="n"/>
      <c r="AZ97" s="268" t="n"/>
      <c r="BA97" s="268" t="n"/>
      <c r="BB97" s="268" t="n"/>
      <c r="BC97" s="268" t="n"/>
      <c r="BD97" s="268" t="n"/>
      <c r="BE97" s="268" t="n"/>
      <c r="BF97" s="268" t="n"/>
      <c r="BG97" s="268" t="n"/>
      <c r="BH97" s="268" t="n"/>
      <c r="BI97" s="268" t="n"/>
      <c r="BJ97" s="268" t="n"/>
      <c r="BK97" s="268" t="n"/>
      <c r="BL97" s="268" t="n"/>
      <c r="BM97" s="268" t="n"/>
      <c r="BN97" s="268" t="n"/>
      <c r="BO97" s="268" t="n"/>
      <c r="BP97" s="268" t="n"/>
      <c r="BQ97" s="268" t="n"/>
      <c r="BR97" s="268" t="n"/>
      <c r="BS97" s="268" t="n"/>
      <c r="BT97" s="268" t="n"/>
      <c r="BU97" s="268" t="n"/>
      <c r="BV97" s="268" t="n"/>
      <c r="BW97" s="268" t="n"/>
      <c r="BX97" s="268" t="n"/>
      <c r="BY97" s="268" t="n"/>
      <c r="BZ97" s="268" t="n"/>
      <c r="CA97" s="268" t="n"/>
      <c r="CB97" s="268" t="n"/>
      <c r="CC97" s="268" t="n"/>
      <c r="CD97" s="268" t="n"/>
      <c r="CE97" s="268" t="n"/>
      <c r="CF97" s="268" t="n"/>
      <c r="CG97" s="268" t="n"/>
      <c r="CH97" s="268" t="n"/>
      <c r="CI97" s="268" t="n"/>
      <c r="CJ97" s="268" t="n"/>
      <c r="CK97" s="268" t="n"/>
      <c r="CL97" s="268" t="n"/>
      <c r="CM97" s="268" t="n"/>
      <c r="CN97" s="268" t="n"/>
      <c r="CO97" s="268" t="n"/>
      <c r="CP97" s="268" t="n"/>
      <c r="CQ97" s="268" t="n"/>
      <c r="CR97" s="268" t="n"/>
      <c r="CS97" s="268" t="n"/>
      <c r="CT97" s="268" t="n"/>
      <c r="CU97" s="268" t="n"/>
      <c r="CV97" s="268" t="n"/>
      <c r="CW97" s="268" t="n"/>
      <c r="CX97" s="268" t="n"/>
      <c r="CY97" s="268" t="n"/>
    </row>
    <row r="98" hidden="1" outlineLevel="1" ht="12.75" customHeight="1" s="255">
      <c r="C98" s="312" t="inlineStr">
        <is>
          <t>RECEITAS FINANCEIRAS - Atualização de contas a pagar por aquisição de empresas</t>
        </is>
      </c>
      <c r="D98" s="268" t="n"/>
      <c r="E98" s="268" t="n"/>
      <c r="F98" s="268" t="n"/>
      <c r="G98" s="268" t="n"/>
      <c r="H98" s="268" t="n"/>
      <c r="I98" s="268" t="n"/>
      <c r="J98" s="268" t="n"/>
      <c r="K98" s="268" t="n"/>
      <c r="L98" s="268" t="n"/>
      <c r="M98" s="268" t="n"/>
      <c r="N98" s="268" t="n"/>
      <c r="O98" s="268" t="n"/>
      <c r="P98" s="268" t="n"/>
      <c r="Q98" s="268" t="n"/>
      <c r="R98" s="268" t="n"/>
      <c r="S98" s="268" t="n"/>
      <c r="T98" s="268" t="n"/>
      <c r="U98" s="268" t="n"/>
      <c r="V98" s="268" t="n"/>
      <c r="W98" s="268" t="n"/>
      <c r="X98" s="268" t="n"/>
      <c r="Y98" s="268" t="n"/>
      <c r="Z98" s="268" t="n"/>
      <c r="AA98" s="268" t="n"/>
      <c r="AB98" s="268" t="n"/>
      <c r="AC98" s="268" t="n"/>
      <c r="AD98" s="268" t="n"/>
      <c r="AE98" s="268" t="n"/>
      <c r="AF98" s="268" t="n"/>
      <c r="AG98" s="268" t="n"/>
      <c r="AH98" s="268" t="n"/>
      <c r="AI98" s="268" t="n"/>
      <c r="AJ98" s="268" t="n"/>
      <c r="AK98" s="268" t="n"/>
      <c r="AL98" s="268" t="n"/>
      <c r="AM98" s="268" t="n"/>
      <c r="AN98" s="268" t="n"/>
      <c r="AO98" s="268" t="n"/>
      <c r="AP98" s="268" t="n"/>
      <c r="AQ98" s="268" t="n"/>
      <c r="AR98" s="268" t="n"/>
      <c r="AS98" s="268" t="n"/>
      <c r="AT98" s="268" t="n"/>
      <c r="AU98" s="268" t="n"/>
      <c r="AV98" s="268" t="n"/>
      <c r="AW98" s="268" t="n"/>
      <c r="AX98" s="268" t="n"/>
      <c r="AY98" s="268" t="n"/>
      <c r="AZ98" s="268" t="n"/>
      <c r="BA98" s="268" t="n"/>
      <c r="BB98" s="268" t="n"/>
      <c r="BC98" s="268" t="n"/>
      <c r="BD98" s="268" t="n"/>
      <c r="BE98" s="268" t="n"/>
      <c r="BF98" s="268" t="n"/>
      <c r="BG98" s="268" t="n"/>
      <c r="BH98" s="268" t="n"/>
      <c r="BI98" s="268" t="n"/>
      <c r="BJ98" s="268" t="n"/>
      <c r="BK98" s="268" t="n"/>
      <c r="BL98" s="268" t="n"/>
      <c r="BM98" s="268" t="n"/>
      <c r="BN98" s="268" t="n"/>
      <c r="BO98" s="268" t="n"/>
      <c r="BP98" s="268" t="n"/>
      <c r="BQ98" s="268" t="n"/>
      <c r="BR98" s="268" t="n"/>
      <c r="BS98" s="268" t="n"/>
      <c r="BT98" s="268" t="n"/>
      <c r="BU98" s="268" t="n"/>
      <c r="BV98" s="268" t="n"/>
      <c r="BW98" s="268" t="n"/>
      <c r="BX98" s="268" t="n"/>
      <c r="BY98" s="268" t="n"/>
      <c r="BZ98" s="268" t="n"/>
      <c r="CA98" s="268" t="n"/>
      <c r="CB98" s="268" t="n"/>
      <c r="CC98" s="268" t="n"/>
      <c r="CD98" s="268" t="n"/>
      <c r="CE98" s="268" t="n"/>
      <c r="CF98" s="268" t="n"/>
      <c r="CG98" s="268" t="n"/>
      <c r="CH98" s="268" t="n"/>
      <c r="CI98" s="268" t="n"/>
      <c r="CJ98" s="268" t="n"/>
      <c r="CK98" s="268" t="n"/>
      <c r="CL98" s="268" t="n"/>
      <c r="CM98" s="268" t="n"/>
      <c r="CN98" s="268" t="n"/>
      <c r="CO98" s="268" t="n"/>
      <c r="CP98" s="268" t="n"/>
      <c r="CQ98" s="268" t="n"/>
      <c r="CR98" s="268" t="n"/>
      <c r="CS98" s="268" t="n"/>
      <c r="CT98" s="268" t="n"/>
      <c r="CU98" s="268" t="n"/>
      <c r="CV98" s="268" t="n"/>
      <c r="CW98" s="268" t="n"/>
      <c r="CX98" s="268" t="n"/>
      <c r="CY98" s="268" t="n"/>
    </row>
    <row r="99" hidden="1" outlineLevel="1" ht="12.75" customHeight="1" s="255">
      <c r="C99" s="312" t="inlineStr">
        <is>
          <t>RECEITAS FINANCEIRAS - Resultado positivo com instrumentos derivativos</t>
        </is>
      </c>
      <c r="D99" s="268" t="n"/>
      <c r="E99" s="268" t="n"/>
      <c r="F99" s="268" t="n"/>
      <c r="G99" s="268" t="n"/>
      <c r="H99" s="268" t="n"/>
      <c r="I99" s="268" t="n"/>
      <c r="J99" s="268" t="n"/>
      <c r="K99" s="268" t="n"/>
      <c r="L99" s="268" t="n"/>
      <c r="M99" s="268" t="n"/>
      <c r="N99" s="268" t="n"/>
      <c r="O99" s="268" t="n"/>
      <c r="P99" s="268" t="n"/>
      <c r="Q99" s="268" t="n"/>
      <c r="R99" s="268" t="n"/>
      <c r="S99" s="268" t="n"/>
      <c r="T99" s="268" t="n"/>
      <c r="U99" s="268" t="n"/>
      <c r="V99" s="268" t="n"/>
      <c r="W99" s="268" t="n"/>
      <c r="X99" s="268" t="n"/>
      <c r="Y99" s="268" t="n"/>
      <c r="Z99" s="268" t="n"/>
      <c r="AA99" s="268" t="n"/>
      <c r="AB99" s="268" t="n"/>
      <c r="AC99" s="268" t="n"/>
      <c r="AD99" s="268" t="n"/>
      <c r="AE99" s="268" t="n"/>
      <c r="AF99" s="268" t="n"/>
      <c r="AG99" s="268" t="n"/>
      <c r="AH99" s="268" t="n"/>
      <c r="AI99" s="268" t="n"/>
      <c r="AJ99" s="268" t="n"/>
      <c r="AK99" s="268" t="n"/>
      <c r="AL99" s="268" t="n"/>
      <c r="AM99" s="268" t="n"/>
      <c r="AN99" s="268" t="n"/>
      <c r="AO99" s="268" t="n"/>
      <c r="AP99" s="268" t="n"/>
      <c r="AQ99" s="268" t="n"/>
      <c r="AR99" s="268" t="n"/>
      <c r="AS99" s="268" t="n"/>
      <c r="AT99" s="268" t="n"/>
      <c r="AU99" s="268" t="n"/>
      <c r="AV99" s="268" t="n"/>
      <c r="AW99" s="268" t="n"/>
      <c r="AX99" s="268" t="n"/>
      <c r="AY99" s="268" t="n"/>
      <c r="AZ99" s="268" t="n"/>
      <c r="BA99" s="268" t="n"/>
      <c r="BB99" s="268" t="n"/>
      <c r="BC99" s="268" t="n"/>
      <c r="BD99" s="268" t="n"/>
      <c r="BE99" s="268" t="n"/>
      <c r="BF99" s="268" t="n"/>
      <c r="BG99" s="268" t="n"/>
      <c r="BH99" s="268" t="n"/>
      <c r="BI99" s="268" t="n"/>
      <c r="BJ99" s="268" t="n"/>
      <c r="BK99" s="268" t="n"/>
      <c r="BL99" s="268" t="n"/>
      <c r="BM99" s="268" t="n"/>
      <c r="BN99" s="268" t="n"/>
      <c r="BO99" s="268" t="n"/>
      <c r="BP99" s="268" t="n"/>
      <c r="BQ99" s="268" t="n"/>
      <c r="BR99" s="268" t="n"/>
      <c r="BS99" s="268" t="n"/>
      <c r="BT99" s="268" t="n"/>
      <c r="BU99" s="268" t="n"/>
      <c r="BV99" s="268" t="n"/>
      <c r="BW99" s="268" t="n"/>
      <c r="BX99" s="268" t="n"/>
      <c r="BY99" s="268" t="n"/>
      <c r="BZ99" s="268" t="n"/>
      <c r="CA99" s="268" t="n"/>
      <c r="CB99" s="268" t="n"/>
      <c r="CC99" s="268" t="n"/>
      <c r="CD99" s="268" t="n"/>
      <c r="CE99" s="268" t="n"/>
      <c r="CF99" s="268" t="n"/>
      <c r="CG99" s="268" t="n"/>
      <c r="CH99" s="268" t="n"/>
      <c r="CI99" s="268" t="n"/>
      <c r="CJ99" s="268" t="n"/>
      <c r="CK99" s="268" t="n"/>
      <c r="CL99" s="268" t="n"/>
      <c r="CM99" s="268" t="n"/>
      <c r="CN99" s="268" t="n"/>
      <c r="CO99" s="268" t="n"/>
      <c r="CP99" s="268" t="n"/>
      <c r="CQ99" s="268" t="n"/>
      <c r="CR99" s="268" t="n"/>
      <c r="CS99" s="268" t="n"/>
      <c r="CT99" s="268" t="n"/>
      <c r="CU99" s="268" t="n"/>
      <c r="CV99" s="268" t="n"/>
      <c r="CW99" s="268" t="n"/>
      <c r="CX99" s="268" t="n"/>
      <c r="CY99" s="268" t="n"/>
    </row>
    <row r="100" hidden="1" outlineLevel="1" ht="12.75" customHeight="1" s="255">
      <c r="C100" s="312" t="inlineStr">
        <is>
          <t>RECEITAS FINANCEIRAS - Descontos obtidos de fornecedores por antecipação</t>
        </is>
      </c>
      <c r="D100" s="268" t="n"/>
      <c r="E100" s="268" t="n"/>
      <c r="F100" s="268" t="n"/>
      <c r="G100" s="268" t="n"/>
      <c r="H100" s="268" t="n"/>
      <c r="I100" s="268" t="n"/>
      <c r="J100" s="268" t="n"/>
      <c r="K100" s="268" t="n"/>
      <c r="L100" s="268" t="n"/>
      <c r="M100" s="268" t="n"/>
      <c r="N100" s="268" t="n"/>
      <c r="O100" s="268" t="n"/>
      <c r="P100" s="268" t="n"/>
      <c r="Q100" s="268" t="n"/>
      <c r="R100" s="268" t="n"/>
      <c r="S100" s="268" t="n"/>
      <c r="T100" s="268" t="n"/>
      <c r="U100" s="268" t="n"/>
      <c r="V100" s="268" t="n"/>
      <c r="W100" s="268" t="n"/>
      <c r="X100" s="268" t="n"/>
      <c r="Y100" s="268" t="n"/>
      <c r="Z100" s="268" t="n"/>
      <c r="AA100" s="268" t="n"/>
      <c r="AB100" s="268" t="n"/>
      <c r="AC100" s="268" t="n"/>
      <c r="AD100" s="268" t="n"/>
      <c r="AE100" s="268" t="n"/>
      <c r="AF100" s="268" t="n"/>
      <c r="AG100" s="268" t="n"/>
      <c r="AH100" s="268" t="n"/>
      <c r="AI100" s="268" t="n"/>
      <c r="AJ100" s="268" t="n"/>
      <c r="AK100" s="268" t="n"/>
      <c r="AL100" s="268" t="n"/>
      <c r="AM100" s="268" t="n"/>
      <c r="AN100" s="268" t="n"/>
      <c r="AO100" s="268" t="n"/>
      <c r="AP100" s="268" t="n"/>
      <c r="AQ100" s="268" t="n"/>
      <c r="AR100" s="268" t="n"/>
      <c r="AS100" s="268" t="n"/>
      <c r="AT100" s="268" t="n"/>
      <c r="AU100" s="268" t="n"/>
      <c r="AV100" s="268" t="n"/>
      <c r="AW100" s="268" t="n"/>
      <c r="AX100" s="268" t="n"/>
      <c r="AY100" s="268" t="n"/>
      <c r="AZ100" s="268" t="n"/>
      <c r="BA100" s="268" t="n"/>
      <c r="BB100" s="268" t="n"/>
      <c r="BC100" s="268" t="n"/>
      <c r="BD100" s="268" t="n"/>
      <c r="BE100" s="268" t="n"/>
      <c r="BF100" s="268" t="n"/>
      <c r="BG100" s="268" t="n"/>
      <c r="BH100" s="268" t="n"/>
      <c r="BI100" s="268" t="n"/>
      <c r="BJ100" s="268" t="n"/>
      <c r="BK100" s="268" t="n"/>
      <c r="BL100" s="268" t="n"/>
      <c r="BM100" s="268" t="n"/>
      <c r="BN100" s="268" t="n"/>
      <c r="BO100" s="268" t="n"/>
      <c r="BP100" s="268" t="n"/>
      <c r="BQ100" s="268" t="n"/>
      <c r="BR100" s="268" t="n"/>
      <c r="BS100" s="268" t="n"/>
      <c r="BT100" s="268" t="n"/>
      <c r="BU100" s="268" t="n"/>
      <c r="BV100" s="268" t="n"/>
      <c r="BW100" s="268" t="n"/>
      <c r="BX100" s="268" t="n"/>
      <c r="BY100" s="268" t="n"/>
      <c r="BZ100" s="268" t="n"/>
      <c r="CA100" s="268" t="n"/>
      <c r="CB100" s="268" t="n"/>
      <c r="CC100" s="268" t="n"/>
      <c r="CD100" s="268" t="n"/>
      <c r="CE100" s="268" t="n"/>
      <c r="CF100" s="268" t="n"/>
      <c r="CG100" s="268" t="n"/>
      <c r="CH100" s="268" t="n"/>
      <c r="CI100" s="268" t="n"/>
      <c r="CJ100" s="268" t="n"/>
      <c r="CK100" s="268" t="n"/>
      <c r="CL100" s="268" t="n"/>
      <c r="CM100" s="268" t="n"/>
      <c r="CN100" s="268" t="n"/>
      <c r="CO100" s="268" t="n"/>
      <c r="CP100" s="268" t="n"/>
      <c r="CQ100" s="268" t="n"/>
      <c r="CR100" s="268" t="n"/>
      <c r="CS100" s="268" t="n"/>
      <c r="CT100" s="268" t="n"/>
      <c r="CU100" s="268" t="n"/>
      <c r="CV100" s="268" t="n"/>
      <c r="CW100" s="268" t="n"/>
      <c r="CX100" s="268" t="n"/>
      <c r="CY100" s="268" t="n"/>
    </row>
    <row r="101" hidden="1" outlineLevel="1" ht="12.75" customHeight="1" s="255">
      <c r="C101" s="312" t="inlineStr">
        <is>
          <t>RECEITAS FINANCEIRAS - Atualização monetária sobre Exclusão ICMS da base de PIS/COFINS (nota explicativa nº 7)</t>
        </is>
      </c>
      <c r="D101" s="268" t="n"/>
      <c r="E101" s="268" t="n"/>
      <c r="F101" s="268" t="n"/>
      <c r="G101" s="268" t="n"/>
      <c r="H101" s="268" t="n"/>
      <c r="I101" s="268" t="n"/>
      <c r="J101" s="268" t="n"/>
      <c r="K101" s="268" t="n"/>
      <c r="L101" s="268" t="n"/>
      <c r="M101" s="268" t="n"/>
      <c r="N101" s="268" t="n"/>
      <c r="O101" s="268" t="n"/>
      <c r="P101" s="268" t="n"/>
      <c r="Q101" s="268" t="n"/>
      <c r="R101" s="268" t="n"/>
      <c r="S101" s="268" t="n"/>
      <c r="T101" s="268" t="n"/>
      <c r="U101" s="268" t="n"/>
      <c r="V101" s="268" t="n"/>
      <c r="W101" s="268" t="n"/>
      <c r="X101" s="268" t="n"/>
      <c r="Y101" s="268" t="n"/>
      <c r="Z101" s="268" t="n"/>
      <c r="AA101" s="268" t="n"/>
      <c r="AB101" s="268" t="n"/>
      <c r="AC101" s="268" t="n"/>
      <c r="AD101" s="268" t="n"/>
      <c r="AE101" s="268" t="n"/>
      <c r="AF101" s="268" t="n"/>
      <c r="AG101" s="268" t="n"/>
      <c r="AH101" s="268" t="n"/>
      <c r="AI101" s="268" t="n"/>
      <c r="AJ101" s="268" t="n"/>
      <c r="AK101" s="268" t="n"/>
      <c r="AL101" s="268" t="n"/>
      <c r="AM101" s="268" t="n"/>
      <c r="AN101" s="268" t="n"/>
      <c r="AO101" s="268" t="n"/>
      <c r="AP101" s="268" t="n"/>
      <c r="AQ101" s="268" t="n"/>
      <c r="AR101" s="268" t="n"/>
      <c r="AS101" s="268" t="n"/>
      <c r="AT101" s="268" t="n"/>
      <c r="AU101" s="268" t="n"/>
      <c r="AV101" s="268" t="n"/>
      <c r="AW101" s="268" t="n"/>
      <c r="AX101" s="268" t="n"/>
      <c r="AY101" s="268" t="n"/>
      <c r="AZ101" s="268" t="n"/>
      <c r="BA101" s="268" t="n"/>
      <c r="BB101" s="268" t="n"/>
      <c r="BC101" s="268" t="n"/>
      <c r="BD101" s="268" t="n"/>
      <c r="BE101" s="268" t="n"/>
      <c r="BF101" s="268" t="n"/>
      <c r="BG101" s="268" t="n"/>
      <c r="BH101" s="268" t="n"/>
      <c r="BI101" s="268" t="n"/>
      <c r="BJ101" s="268" t="n"/>
      <c r="BK101" s="268" t="n"/>
      <c r="BL101" s="268" t="n"/>
      <c r="BM101" s="268" t="n"/>
      <c r="BN101" s="268" t="n"/>
      <c r="BO101" s="268" t="n"/>
      <c r="BP101" s="268" t="n"/>
      <c r="BQ101" s="268" t="n"/>
      <c r="BR101" s="268" t="n"/>
      <c r="BS101" s="268" t="n"/>
      <c r="BT101" s="268" t="n"/>
      <c r="BU101" s="268" t="n"/>
      <c r="BV101" s="268" t="n"/>
      <c r="BW101" s="268" t="n"/>
      <c r="BX101" s="268" t="n"/>
      <c r="BY101" s="268" t="n"/>
      <c r="BZ101" s="268" t="n"/>
      <c r="CA101" s="268" t="n"/>
      <c r="CB101" s="268" t="n"/>
      <c r="CC101" s="268" t="n"/>
      <c r="CD101" s="268" t="n"/>
      <c r="CE101" s="268" t="n"/>
      <c r="CF101" s="268" t="n"/>
      <c r="CG101" s="268" t="n"/>
      <c r="CH101" s="268" t="n"/>
      <c r="CI101" s="268" t="n"/>
      <c r="CJ101" s="268" t="n"/>
      <c r="CK101" s="268" t="n"/>
      <c r="CL101" s="268" t="n"/>
      <c r="CM101" s="268" t="n"/>
      <c r="CN101" s="268" t="n"/>
      <c r="CO101" s="268" t="n"/>
      <c r="CP101" s="268" t="n"/>
      <c r="CQ101" s="268" t="n"/>
      <c r="CR101" s="268" t="n"/>
      <c r="CS101" s="268" t="n"/>
      <c r="CT101" s="268" t="n"/>
      <c r="CU101" s="268" t="n"/>
      <c r="CV101" s="268" t="n"/>
      <c r="CW101" s="268" t="n"/>
      <c r="CX101" s="268" t="n"/>
      <c r="CY101" s="268" t="n"/>
    </row>
    <row r="102" hidden="1" outlineLevel="1" ht="12.75" customHeight="1" s="255">
      <c r="C102" s="312" t="inlineStr">
        <is>
          <t>RECEITAS FINANCEIRAS - Outras</t>
        </is>
      </c>
      <c r="D102" s="268" t="n"/>
      <c r="E102" s="268" t="n"/>
      <c r="F102" s="268" t="n"/>
      <c r="G102" s="268" t="n"/>
      <c r="H102" s="268" t="n"/>
      <c r="I102" s="268" t="n"/>
      <c r="J102" s="268" t="n"/>
      <c r="K102" s="268" t="n"/>
      <c r="L102" s="268" t="n"/>
      <c r="M102" s="268" t="n"/>
      <c r="N102" s="268" t="n"/>
      <c r="O102" s="268" t="n"/>
      <c r="P102" s="268" t="n"/>
      <c r="Q102" s="268" t="n"/>
      <c r="R102" s="268" t="n"/>
      <c r="S102" s="268" t="n"/>
      <c r="T102" s="268" t="n"/>
      <c r="U102" s="268" t="n"/>
      <c r="V102" s="268" t="n"/>
      <c r="W102" s="268" t="n"/>
      <c r="X102" s="268" t="n"/>
      <c r="Y102" s="268" t="n"/>
      <c r="Z102" s="268" t="n"/>
      <c r="AA102" s="268" t="n"/>
      <c r="AB102" s="268" t="n"/>
      <c r="AC102" s="268" t="n"/>
      <c r="AD102" s="268" t="n"/>
      <c r="AE102" s="268" t="n"/>
      <c r="AF102" s="268" t="n"/>
      <c r="AG102" s="268" t="n"/>
      <c r="AH102" s="268" t="n"/>
      <c r="AI102" s="268" t="n"/>
      <c r="AJ102" s="268" t="n"/>
      <c r="AK102" s="268" t="n"/>
      <c r="AL102" s="268" t="n"/>
      <c r="AM102" s="268" t="n"/>
      <c r="AN102" s="268" t="n"/>
      <c r="AO102" s="268" t="n"/>
      <c r="AP102" s="268" t="n"/>
      <c r="AQ102" s="268" t="n"/>
      <c r="AR102" s="268" t="n"/>
      <c r="AS102" s="268" t="n"/>
      <c r="AT102" s="268" t="n"/>
      <c r="AU102" s="268" t="n"/>
      <c r="AV102" s="268" t="n"/>
      <c r="AW102" s="268" t="n"/>
      <c r="AX102" s="268" t="n"/>
      <c r="AY102" s="268" t="n"/>
      <c r="AZ102" s="268" t="n"/>
      <c r="BA102" s="268" t="n"/>
      <c r="BB102" s="268" t="n"/>
      <c r="BC102" s="268" t="n"/>
      <c r="BD102" s="268" t="n"/>
      <c r="BE102" s="268" t="n"/>
      <c r="BF102" s="268" t="n"/>
      <c r="BG102" s="268" t="n"/>
      <c r="BH102" s="268" t="n"/>
      <c r="BI102" s="268" t="n"/>
      <c r="BJ102" s="268" t="n"/>
      <c r="BK102" s="268" t="n"/>
      <c r="BL102" s="268" t="n"/>
      <c r="BM102" s="268" t="n"/>
      <c r="BN102" s="268" t="n"/>
      <c r="BO102" s="268" t="n"/>
      <c r="BP102" s="268" t="n"/>
      <c r="BQ102" s="268" t="n"/>
      <c r="BR102" s="268" t="n"/>
      <c r="BS102" s="268" t="n"/>
      <c r="BT102" s="268" t="n"/>
      <c r="BU102" s="268" t="n"/>
      <c r="BV102" s="268" t="n"/>
      <c r="BW102" s="268" t="n"/>
      <c r="BX102" s="268" t="n"/>
      <c r="BY102" s="268" t="n"/>
      <c r="BZ102" s="268" t="n"/>
      <c r="CA102" s="268" t="n"/>
      <c r="CB102" s="268" t="n"/>
      <c r="CC102" s="268" t="n"/>
      <c r="CD102" s="268" t="n"/>
      <c r="CE102" s="268" t="n"/>
      <c r="CF102" s="268" t="n"/>
      <c r="CG102" s="268" t="n"/>
      <c r="CH102" s="268" t="n"/>
      <c r="CI102" s="268" t="n"/>
      <c r="CJ102" s="268" t="n"/>
      <c r="CK102" s="268" t="n"/>
      <c r="CL102" s="268" t="n"/>
      <c r="CM102" s="268" t="n"/>
      <c r="CN102" s="268" t="n"/>
      <c r="CO102" s="268" t="n"/>
      <c r="CP102" s="268" t="n"/>
      <c r="CQ102" s="268" t="n"/>
      <c r="CR102" s="268" t="n"/>
      <c r="CS102" s="268" t="n"/>
      <c r="CT102" s="268" t="n"/>
      <c r="CU102" s="268" t="n"/>
      <c r="CV102" s="268" t="n"/>
      <c r="CW102" s="268" t="n"/>
      <c r="CX102" s="268" t="n"/>
      <c r="CY102" s="268" t="n"/>
    </row>
    <row r="103" hidden="1" outlineLevel="1" ht="12.75" customHeight="1" s="255">
      <c r="C103" s="312" t="n"/>
      <c r="D103" s="268" t="n"/>
      <c r="E103" s="268" t="n"/>
      <c r="F103" s="268" t="n"/>
      <c r="G103" s="268" t="n"/>
      <c r="H103" s="268" t="n"/>
      <c r="I103" s="268" t="n"/>
      <c r="J103" s="268" t="n"/>
      <c r="K103" s="268" t="n"/>
      <c r="L103" s="268" t="n"/>
      <c r="M103" s="268" t="n"/>
      <c r="N103" s="268" t="n"/>
      <c r="O103" s="268" t="n"/>
      <c r="P103" s="268" t="n"/>
      <c r="Q103" s="268" t="n"/>
      <c r="R103" s="268" t="n"/>
      <c r="S103" s="268" t="n"/>
      <c r="T103" s="268" t="n"/>
      <c r="U103" s="268" t="n"/>
      <c r="V103" s="268" t="n"/>
      <c r="W103" s="268" t="n"/>
      <c r="X103" s="268" t="n"/>
      <c r="Y103" s="268" t="n"/>
      <c r="Z103" s="268" t="n"/>
      <c r="AA103" s="268" t="n"/>
      <c r="AB103" s="268" t="n"/>
      <c r="AC103" s="268" t="n"/>
      <c r="AD103" s="268" t="n"/>
      <c r="AE103" s="268" t="n"/>
      <c r="AF103" s="268" t="n"/>
      <c r="AG103" s="268" t="n"/>
      <c r="AH103" s="268" t="n"/>
      <c r="AI103" s="268" t="n"/>
      <c r="AJ103" s="268" t="n"/>
      <c r="AK103" s="268" t="n"/>
      <c r="AL103" s="268" t="n"/>
      <c r="AM103" s="268" t="n"/>
      <c r="AN103" s="268" t="n"/>
      <c r="AO103" s="268" t="n"/>
      <c r="AP103" s="268" t="n"/>
      <c r="AQ103" s="268" t="n"/>
      <c r="AR103" s="268" t="n"/>
      <c r="AS103" s="268" t="n"/>
      <c r="AT103" s="268" t="n"/>
      <c r="AU103" s="268" t="n"/>
      <c r="AV103" s="268" t="n"/>
      <c r="AW103" s="268" t="n"/>
      <c r="AX103" s="268" t="n"/>
      <c r="AY103" s="268" t="n"/>
      <c r="AZ103" s="268" t="n"/>
      <c r="BA103" s="268" t="n"/>
      <c r="BB103" s="268" t="n"/>
      <c r="BC103" s="268" t="n"/>
      <c r="BD103" s="268" t="n"/>
      <c r="BE103" s="268" t="n"/>
      <c r="BF103" s="268" t="n"/>
      <c r="BG103" s="268" t="n"/>
      <c r="BH103" s="268" t="n"/>
      <c r="BI103" s="268" t="n"/>
      <c r="BJ103" s="268" t="n"/>
      <c r="BK103" s="268" t="n"/>
      <c r="BL103" s="268" t="n"/>
      <c r="BM103" s="268" t="n"/>
      <c r="BN103" s="268" t="n"/>
      <c r="BO103" s="268" t="n"/>
      <c r="BP103" s="268" t="n"/>
      <c r="BQ103" s="268" t="n"/>
      <c r="BR103" s="268" t="n"/>
      <c r="BS103" s="268" t="n"/>
      <c r="BT103" s="268" t="n"/>
      <c r="BU103" s="268" t="n"/>
      <c r="BV103" s="268" t="n"/>
      <c r="BW103" s="268" t="n"/>
      <c r="BX103" s="268" t="n"/>
      <c r="BY103" s="268" t="n"/>
      <c r="BZ103" s="268" t="n"/>
      <c r="CA103" s="268" t="n"/>
      <c r="CB103" s="268" t="n"/>
      <c r="CC103" s="268" t="n"/>
      <c r="CD103" s="268" t="n"/>
      <c r="CE103" s="268" t="n"/>
      <c r="CF103" s="268" t="n"/>
      <c r="CG103" s="268" t="n"/>
      <c r="CH103" s="268" t="n"/>
      <c r="CI103" s="268" t="n"/>
      <c r="CJ103" s="268" t="n"/>
      <c r="CK103" s="268" t="n"/>
      <c r="CL103" s="268" t="n"/>
      <c r="CM103" s="268" t="n"/>
      <c r="CN103" s="268" t="n"/>
      <c r="CO103" s="268" t="n"/>
      <c r="CP103" s="268" t="n"/>
      <c r="CQ103" s="268" t="n"/>
      <c r="CR103" s="268" t="n"/>
      <c r="CS103" s="268" t="n"/>
      <c r="CT103" s="268" t="n"/>
      <c r="CU103" s="268" t="n"/>
      <c r="CV103" s="268" t="n"/>
      <c r="CW103" s="268" t="n"/>
      <c r="CX103" s="268" t="n"/>
      <c r="CY103" s="268" t="n"/>
    </row>
    <row r="104" hidden="1" outlineLevel="1" ht="12.75" customHeight="1" s="255">
      <c r="C104" s="312" t="inlineStr">
        <is>
          <t>DESPESAS FINANCEIRAS - Encargos sobre empréstimos, financiamentos e debêntures</t>
        </is>
      </c>
      <c r="D104" s="268" t="n"/>
      <c r="E104" s="268" t="n"/>
      <c r="F104" s="268" t="n"/>
      <c r="G104" s="268" t="n"/>
      <c r="H104" s="268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68" t="n"/>
      <c r="R104" s="268" t="n"/>
      <c r="S104" s="268" t="n"/>
      <c r="T104" s="268" t="n"/>
      <c r="U104" s="268" t="n"/>
      <c r="V104" s="268" t="n"/>
      <c r="W104" s="268" t="n"/>
      <c r="X104" s="268" t="n"/>
      <c r="Y104" s="268" t="n"/>
      <c r="Z104" s="268" t="n"/>
      <c r="AA104" s="268" t="n"/>
      <c r="AB104" s="268" t="n"/>
      <c r="AC104" s="268" t="n"/>
      <c r="AD104" s="268" t="n"/>
      <c r="AE104" s="268" t="n"/>
      <c r="AF104" s="268" t="n"/>
      <c r="AG104" s="268" t="n"/>
      <c r="AH104" s="268" t="n"/>
      <c r="AI104" s="268" t="n"/>
      <c r="AJ104" s="268" t="n"/>
      <c r="AK104" s="268" t="n"/>
      <c r="AL104" s="268" t="n"/>
      <c r="AM104" s="268" t="n"/>
      <c r="AN104" s="268" t="n"/>
      <c r="AO104" s="268" t="n"/>
      <c r="AP104" s="268" t="n"/>
      <c r="AQ104" s="268" t="n"/>
      <c r="AR104" s="268" t="n"/>
      <c r="AS104" s="268" t="n"/>
      <c r="AT104" s="268" t="n"/>
      <c r="AU104" s="268" t="n"/>
      <c r="AV104" s="268" t="n"/>
      <c r="AW104" s="268" t="n"/>
      <c r="AX104" s="268" t="n"/>
      <c r="AY104" s="268" t="n"/>
      <c r="AZ104" s="268" t="n"/>
      <c r="BA104" s="268" t="n"/>
      <c r="BB104" s="268" t="n"/>
      <c r="BC104" s="268" t="n"/>
      <c r="BD104" s="268" t="n"/>
      <c r="BE104" s="268" t="n"/>
      <c r="BF104" s="268" t="n"/>
      <c r="BG104" s="268" t="n"/>
      <c r="BH104" s="268" t="n"/>
      <c r="BI104" s="268" t="n"/>
      <c r="BJ104" s="268" t="n"/>
      <c r="BK104" s="268" t="n"/>
      <c r="BL104" s="268" t="n"/>
      <c r="BM104" s="268" t="n"/>
      <c r="BN104" s="268" t="n"/>
      <c r="BO104" s="268" t="n"/>
      <c r="BP104" s="268" t="n"/>
      <c r="BQ104" s="268" t="n"/>
      <c r="BR104" s="268" t="n"/>
      <c r="BS104" s="268" t="n"/>
      <c r="BT104" s="268" t="n"/>
      <c r="BU104" s="268" t="n"/>
      <c r="BV104" s="268" t="n"/>
      <c r="BW104" s="268" t="n"/>
      <c r="BX104" s="268" t="n"/>
      <c r="BY104" s="268" t="n"/>
      <c r="BZ104" s="268" t="n"/>
      <c r="CA104" s="268" t="n"/>
      <c r="CB104" s="268" t="n"/>
      <c r="CC104" s="268" t="n"/>
      <c r="CD104" s="268" t="n"/>
      <c r="CE104" s="268" t="n"/>
      <c r="CF104" s="268" t="n"/>
      <c r="CG104" s="268" t="n"/>
      <c r="CH104" s="268" t="n"/>
      <c r="CI104" s="268" t="n"/>
      <c r="CJ104" s="268" t="n"/>
      <c r="CK104" s="268" t="n"/>
      <c r="CL104" s="268" t="n"/>
      <c r="CM104" s="268" t="n"/>
      <c r="CN104" s="268" t="n"/>
      <c r="CO104" s="268" t="n"/>
      <c r="CP104" s="268" t="n"/>
      <c r="CQ104" s="268" t="n"/>
      <c r="CR104" s="268" t="n"/>
      <c r="CS104" s="268" t="n"/>
      <c r="CT104" s="268" t="n"/>
      <c r="CU104" s="268" t="n"/>
      <c r="CV104" s="268" t="n"/>
      <c r="CW104" s="268" t="n"/>
      <c r="CX104" s="268" t="n"/>
      <c r="CY104" s="268" t="n"/>
    </row>
    <row r="105" hidden="1" outlineLevel="1" ht="12.75" customHeight="1" s="255">
      <c r="C105" s="312" t="inlineStr">
        <is>
          <t>DESPESAS FINANCEIRAS - Variação cambial passiva</t>
        </is>
      </c>
      <c r="D105" s="268" t="n"/>
      <c r="E105" s="268" t="n"/>
      <c r="F105" s="268" t="n"/>
      <c r="G105" s="268" t="n"/>
      <c r="H105" s="268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68" t="n"/>
      <c r="R105" s="268" t="n"/>
      <c r="S105" s="268" t="n"/>
      <c r="T105" s="268" t="n"/>
      <c r="U105" s="268" t="n"/>
      <c r="V105" s="268" t="n"/>
      <c r="W105" s="268" t="n"/>
      <c r="X105" s="268" t="n"/>
      <c r="Y105" s="268" t="n"/>
      <c r="Z105" s="268" t="n"/>
      <c r="AA105" s="268" t="n"/>
      <c r="AB105" s="268" t="n"/>
      <c r="AC105" s="268" t="n"/>
      <c r="AD105" s="268" t="n"/>
      <c r="AE105" s="268" t="n"/>
      <c r="AF105" s="268" t="n"/>
      <c r="AG105" s="268" t="n"/>
      <c r="AH105" s="268" t="n"/>
      <c r="AI105" s="268" t="n"/>
      <c r="AJ105" s="268" t="n"/>
      <c r="AK105" s="268" t="n"/>
      <c r="AL105" s="268" t="n"/>
      <c r="AM105" s="268" t="n"/>
      <c r="AN105" s="268" t="n"/>
      <c r="AO105" s="268" t="n"/>
      <c r="AP105" s="268" t="n"/>
      <c r="AQ105" s="268" t="n"/>
      <c r="AR105" s="268" t="n"/>
      <c r="AS105" s="268" t="n"/>
      <c r="AT105" s="268" t="n"/>
      <c r="AU105" s="268" t="n"/>
      <c r="AV105" s="268" t="n"/>
      <c r="AW105" s="268" t="n"/>
      <c r="AX105" s="268" t="n"/>
      <c r="AY105" s="268" t="n"/>
      <c r="AZ105" s="268" t="n"/>
      <c r="BA105" s="268" t="n"/>
      <c r="BB105" s="268" t="n"/>
      <c r="BC105" s="268" t="n"/>
      <c r="BD105" s="268" t="n"/>
      <c r="BE105" s="268" t="n"/>
      <c r="BF105" s="268" t="n"/>
      <c r="BG105" s="268" t="n"/>
      <c r="BH105" s="268" t="n"/>
      <c r="BI105" s="268" t="n"/>
      <c r="BJ105" s="268" t="n"/>
      <c r="BK105" s="268" t="n"/>
      <c r="BL105" s="268" t="n"/>
      <c r="BM105" s="268" t="n"/>
      <c r="BN105" s="268" t="n"/>
      <c r="BO105" s="268" t="n"/>
      <c r="BP105" s="268" t="n"/>
      <c r="BQ105" s="268" t="n"/>
      <c r="BR105" s="268" t="n"/>
      <c r="BS105" s="268" t="n"/>
      <c r="BT105" s="268" t="n"/>
      <c r="BU105" s="268" t="n"/>
      <c r="BV105" s="268" t="n"/>
      <c r="BW105" s="268" t="n"/>
      <c r="BX105" s="268" t="n"/>
      <c r="BY105" s="268" t="n"/>
      <c r="BZ105" s="268" t="n"/>
      <c r="CA105" s="268" t="n"/>
      <c r="CB105" s="268" t="n"/>
      <c r="CC105" s="268" t="n"/>
      <c r="CD105" s="268" t="n"/>
      <c r="CE105" s="268" t="n"/>
      <c r="CF105" s="268" t="n"/>
      <c r="CG105" s="268" t="n"/>
      <c r="CH105" s="268" t="n"/>
      <c r="CI105" s="268" t="n"/>
      <c r="CJ105" s="268" t="n"/>
      <c r="CK105" s="268" t="n"/>
      <c r="CL105" s="268" t="n"/>
      <c r="CM105" s="268" t="n"/>
      <c r="CN105" s="268" t="n"/>
      <c r="CO105" s="268" t="n"/>
      <c r="CP105" s="268" t="n"/>
      <c r="CQ105" s="268" t="n"/>
      <c r="CR105" s="268" t="n"/>
      <c r="CS105" s="268" t="n"/>
      <c r="CT105" s="268" t="n"/>
      <c r="CU105" s="268" t="n"/>
      <c r="CV105" s="268" t="n"/>
      <c r="CW105" s="268" t="n"/>
      <c r="CX105" s="268" t="n"/>
      <c r="CY105" s="268" t="n"/>
    </row>
    <row r="106" hidden="1" outlineLevel="1" ht="12.75" customHeight="1" s="255">
      <c r="C106" s="312" t="inlineStr">
        <is>
          <t>DESPESAS FINANCEIRAS - Resultado negativo com instrumentos derivativos</t>
        </is>
      </c>
      <c r="D106" s="268" t="n"/>
      <c r="E106" s="268" t="n"/>
      <c r="F106" s="268" t="n"/>
      <c r="G106" s="268" t="n"/>
      <c r="H106" s="268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68" t="n"/>
      <c r="R106" s="268" t="n"/>
      <c r="S106" s="268" t="n"/>
      <c r="T106" s="268" t="n"/>
      <c r="U106" s="268" t="n"/>
      <c r="V106" s="268" t="n"/>
      <c r="W106" s="268" t="n"/>
      <c r="X106" s="268" t="n"/>
      <c r="Y106" s="268" t="n"/>
      <c r="Z106" s="268" t="n"/>
      <c r="AA106" s="268" t="n"/>
      <c r="AB106" s="268" t="n"/>
      <c r="AC106" s="268" t="n"/>
      <c r="AD106" s="268" t="n"/>
      <c r="AE106" s="268" t="n"/>
      <c r="AF106" s="268" t="n"/>
      <c r="AG106" s="268" t="n"/>
      <c r="AH106" s="268" t="n"/>
      <c r="AI106" s="268" t="n"/>
      <c r="AJ106" s="268" t="n"/>
      <c r="AK106" s="268" t="n"/>
      <c r="AL106" s="268" t="n"/>
      <c r="AM106" s="268" t="n"/>
      <c r="AN106" s="268" t="n"/>
      <c r="AO106" s="268" t="n"/>
      <c r="AP106" s="268" t="n"/>
      <c r="AQ106" s="268" t="n"/>
      <c r="AR106" s="268" t="n"/>
      <c r="AS106" s="268" t="n"/>
      <c r="AT106" s="268" t="n"/>
      <c r="AU106" s="268" t="n"/>
      <c r="AV106" s="268" t="n"/>
      <c r="AW106" s="268" t="n"/>
      <c r="AX106" s="268" t="n"/>
      <c r="AY106" s="268" t="n"/>
      <c r="AZ106" s="268" t="n"/>
      <c r="BA106" s="268" t="n"/>
      <c r="BB106" s="268" t="n"/>
      <c r="BC106" s="268" t="n"/>
      <c r="BD106" s="268" t="n"/>
      <c r="BE106" s="268" t="n"/>
      <c r="BF106" s="268" t="n"/>
      <c r="BG106" s="268" t="n"/>
      <c r="BH106" s="268" t="n"/>
      <c r="BI106" s="268" t="n"/>
      <c r="BJ106" s="268" t="n"/>
      <c r="BK106" s="268" t="n"/>
      <c r="BL106" s="268" t="n"/>
      <c r="BM106" s="268" t="n"/>
      <c r="BN106" s="268" t="n"/>
      <c r="BO106" s="268" t="n"/>
      <c r="BP106" s="268" t="n"/>
      <c r="BQ106" s="268" t="n"/>
      <c r="BR106" s="268" t="n"/>
      <c r="BS106" s="268" t="n"/>
      <c r="BT106" s="268" t="n"/>
      <c r="BU106" s="268" t="n"/>
      <c r="BV106" s="268" t="n"/>
      <c r="BW106" s="268" t="n"/>
      <c r="BX106" s="268" t="n"/>
      <c r="BY106" s="268" t="n"/>
      <c r="BZ106" s="268" t="n"/>
      <c r="CA106" s="268" t="n"/>
      <c r="CB106" s="268" t="n"/>
      <c r="CC106" s="268" t="n"/>
      <c r="CD106" s="268" t="n"/>
      <c r="CE106" s="268" t="n"/>
      <c r="CF106" s="268" t="n"/>
      <c r="CG106" s="268" t="n"/>
      <c r="CH106" s="268" t="n"/>
      <c r="CI106" s="268" t="n"/>
      <c r="CJ106" s="268" t="n"/>
      <c r="CK106" s="268" t="n"/>
      <c r="CL106" s="268" t="n"/>
      <c r="CM106" s="268" t="n"/>
      <c r="CN106" s="268" t="n"/>
      <c r="CO106" s="268" t="n"/>
      <c r="CP106" s="268" t="n"/>
      <c r="CQ106" s="268" t="n"/>
      <c r="CR106" s="268" t="n"/>
      <c r="CS106" s="268" t="n"/>
      <c r="CT106" s="268" t="n"/>
      <c r="CU106" s="268" t="n"/>
      <c r="CV106" s="268" t="n"/>
      <c r="CW106" s="268" t="n"/>
      <c r="CX106" s="268" t="n"/>
      <c r="CY106" s="268" t="n"/>
    </row>
    <row r="107" hidden="1" outlineLevel="1" ht="12.75" customHeight="1" s="255">
      <c r="C107" s="312" t="inlineStr">
        <is>
          <t>DESPESAS FINANCEIRAS - Juros sobre arrendamento - IFRS16</t>
        </is>
      </c>
      <c r="D107" s="268" t="n"/>
      <c r="E107" s="268" t="n"/>
      <c r="F107" s="268" t="n"/>
      <c r="G107" s="268" t="n"/>
      <c r="H107" s="268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68" t="n"/>
      <c r="R107" s="268" t="n"/>
      <c r="S107" s="268" t="n"/>
      <c r="T107" s="268" t="n"/>
      <c r="U107" s="268" t="n"/>
      <c r="V107" s="268" t="n"/>
      <c r="W107" s="268" t="n"/>
      <c r="X107" s="268" t="n"/>
      <c r="Y107" s="268" t="n"/>
      <c r="Z107" s="268" t="n"/>
      <c r="AA107" s="268" t="n"/>
      <c r="AB107" s="268" t="n"/>
      <c r="AC107" s="268" t="n"/>
      <c r="AD107" s="268" t="n"/>
      <c r="AE107" s="268" t="n"/>
      <c r="AF107" s="268" t="n"/>
      <c r="AG107" s="268" t="n"/>
      <c r="AH107" s="268" t="n"/>
      <c r="AI107" s="268" t="n"/>
      <c r="AJ107" s="268" t="n"/>
      <c r="AK107" s="268" t="n"/>
      <c r="AL107" s="268" t="n"/>
      <c r="AM107" s="268" t="n"/>
      <c r="AN107" s="268" t="n"/>
      <c r="AO107" s="268" t="n"/>
      <c r="AP107" s="268" t="n"/>
      <c r="AQ107" s="268" t="n"/>
      <c r="AR107" s="268" t="n"/>
      <c r="AS107" s="268" t="n"/>
      <c r="AT107" s="268" t="n"/>
      <c r="AU107" s="268" t="n"/>
      <c r="AV107" s="268" t="n"/>
      <c r="AW107" s="268" t="n"/>
      <c r="AX107" s="268" t="n"/>
      <c r="AY107" s="268" t="n"/>
      <c r="AZ107" s="268" t="n"/>
      <c r="BA107" s="268" t="n"/>
      <c r="BB107" s="268" t="n"/>
      <c r="BC107" s="268" t="n"/>
      <c r="BD107" s="268" t="n"/>
      <c r="BE107" s="268" t="n"/>
      <c r="BF107" s="268" t="n"/>
      <c r="BG107" s="268" t="n"/>
      <c r="BH107" s="268" t="n"/>
      <c r="BI107" s="268" t="n"/>
      <c r="BJ107" s="268" t="n"/>
      <c r="BK107" s="268" t="n"/>
      <c r="BL107" s="268" t="n"/>
      <c r="BM107" s="268" t="n"/>
      <c r="BN107" s="268" t="n"/>
      <c r="BO107" s="268" t="n"/>
      <c r="BP107" s="268" t="n"/>
      <c r="BQ107" s="268" t="n"/>
      <c r="BR107" s="268" t="n"/>
      <c r="BS107" s="268" t="n"/>
      <c r="BT107" s="268" t="n"/>
      <c r="BU107" s="268" t="n"/>
      <c r="BV107" s="268" t="n"/>
      <c r="BW107" s="268" t="n"/>
      <c r="BX107" s="268" t="n"/>
      <c r="BY107" s="268" t="n"/>
      <c r="BZ107" s="268" t="n"/>
      <c r="CA107" s="268" t="n"/>
      <c r="CB107" s="268" t="n"/>
      <c r="CC107" s="268" t="n"/>
      <c r="CD107" s="268" t="n"/>
      <c r="CE107" s="268" t="n"/>
      <c r="CF107" s="268" t="n"/>
      <c r="CG107" s="268" t="n"/>
      <c r="CH107" s="268" t="n"/>
      <c r="CI107" s="268" t="n"/>
      <c r="CJ107" s="268" t="n"/>
      <c r="CK107" s="268" t="n"/>
      <c r="CL107" s="268" t="n"/>
      <c r="CM107" s="268" t="n"/>
      <c r="CN107" s="268" t="n"/>
      <c r="CO107" s="268" t="n"/>
      <c r="CP107" s="268" t="n"/>
      <c r="CQ107" s="268" t="n"/>
      <c r="CR107" s="268" t="n"/>
      <c r="CS107" s="268" t="n"/>
      <c r="CT107" s="268" t="n"/>
      <c r="CU107" s="268" t="n"/>
      <c r="CV107" s="268" t="n"/>
      <c r="CW107" s="268" t="n"/>
      <c r="CX107" s="268" t="n"/>
      <c r="CY107" s="268" t="n"/>
    </row>
    <row r="108" hidden="1" outlineLevel="1" ht="12.75" customHeight="1" s="255">
      <c r="C108" s="312" t="inlineStr">
        <is>
          <t>DESPESAS FINANCEIRAS - Despesas bancárias</t>
        </is>
      </c>
      <c r="D108" s="268" t="n"/>
      <c r="E108" s="268" t="n"/>
      <c r="F108" s="268" t="n"/>
      <c r="G108" s="268" t="n"/>
      <c r="H108" s="268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68" t="n"/>
      <c r="R108" s="268" t="n"/>
      <c r="S108" s="268" t="n"/>
      <c r="T108" s="268" t="n"/>
      <c r="U108" s="268" t="n"/>
      <c r="V108" s="268" t="n"/>
      <c r="W108" s="268" t="n"/>
      <c r="X108" s="268" t="n"/>
      <c r="Y108" s="268" t="n"/>
      <c r="Z108" s="268" t="n"/>
      <c r="AA108" s="268" t="n"/>
      <c r="AB108" s="268" t="n"/>
      <c r="AC108" s="268" t="n"/>
      <c r="AD108" s="268" t="n"/>
      <c r="AE108" s="268" t="n"/>
      <c r="AF108" s="268" t="n"/>
      <c r="AG108" s="268" t="n"/>
      <c r="AH108" s="268" t="n"/>
      <c r="AI108" s="268" t="n"/>
      <c r="AJ108" s="268" t="n"/>
      <c r="AK108" s="268" t="n"/>
      <c r="AL108" s="268" t="n"/>
      <c r="AM108" s="268" t="n"/>
      <c r="AN108" s="268" t="n"/>
      <c r="AO108" s="268" t="n"/>
      <c r="AP108" s="268" t="n"/>
      <c r="AQ108" s="268" t="n"/>
      <c r="AR108" s="268" t="n"/>
      <c r="AS108" s="268" t="n"/>
      <c r="AT108" s="268" t="n"/>
      <c r="AU108" s="268" t="n"/>
      <c r="AV108" s="268" t="n"/>
      <c r="AW108" s="268" t="n"/>
      <c r="AX108" s="268" t="n"/>
      <c r="AY108" s="268" t="n"/>
      <c r="AZ108" s="268" t="n"/>
      <c r="BA108" s="268" t="n"/>
      <c r="BB108" s="268" t="n"/>
      <c r="BC108" s="268" t="n"/>
      <c r="BD108" s="268" t="n"/>
      <c r="BE108" s="268" t="n"/>
      <c r="BF108" s="268" t="n"/>
      <c r="BG108" s="268" t="n"/>
      <c r="BH108" s="268" t="n"/>
      <c r="BI108" s="268" t="n"/>
      <c r="BJ108" s="268" t="n"/>
      <c r="BK108" s="268" t="n"/>
      <c r="BL108" s="268" t="n"/>
      <c r="BM108" s="268" t="n"/>
      <c r="BN108" s="268" t="n"/>
      <c r="BO108" s="268" t="n"/>
      <c r="BP108" s="268" t="n"/>
      <c r="BQ108" s="268" t="n"/>
      <c r="BR108" s="268" t="n"/>
      <c r="BS108" s="268" t="n"/>
      <c r="BT108" s="268" t="n"/>
      <c r="BU108" s="268" t="n"/>
      <c r="BV108" s="268" t="n"/>
      <c r="BW108" s="268" t="n"/>
      <c r="BX108" s="268" t="n"/>
      <c r="BY108" s="268" t="n"/>
      <c r="BZ108" s="268" t="n"/>
      <c r="CA108" s="268" t="n"/>
      <c r="CB108" s="268" t="n"/>
      <c r="CC108" s="268" t="n"/>
      <c r="CD108" s="268" t="n"/>
      <c r="CE108" s="268" t="n"/>
      <c r="CF108" s="268" t="n"/>
      <c r="CG108" s="268" t="n"/>
      <c r="CH108" s="268" t="n"/>
      <c r="CI108" s="268" t="n"/>
      <c r="CJ108" s="268" t="n"/>
      <c r="CK108" s="268" t="n"/>
      <c r="CL108" s="268" t="n"/>
      <c r="CM108" s="268" t="n"/>
      <c r="CN108" s="268" t="n"/>
      <c r="CO108" s="268" t="n"/>
      <c r="CP108" s="268" t="n"/>
      <c r="CQ108" s="268" t="n"/>
      <c r="CR108" s="268" t="n"/>
      <c r="CS108" s="268" t="n"/>
      <c r="CT108" s="268" t="n"/>
      <c r="CU108" s="268" t="n"/>
      <c r="CV108" s="268" t="n"/>
      <c r="CW108" s="268" t="n"/>
      <c r="CX108" s="268" t="n"/>
      <c r="CY108" s="268" t="n"/>
    </row>
    <row r="109" hidden="1" outlineLevel="1" ht="12.75" customHeight="1" s="255">
      <c r="C109" s="312" t="inlineStr">
        <is>
          <t>DESPESAS FINANCEIRAS - Despesas com obtenção de empréstimos e financiamentos</t>
        </is>
      </c>
      <c r="D109" s="268" t="n"/>
      <c r="E109" s="268" t="n"/>
      <c r="F109" s="268" t="n"/>
      <c r="G109" s="268" t="n"/>
      <c r="H109" s="268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68" t="n"/>
      <c r="R109" s="268" t="n"/>
      <c r="S109" s="268" t="n"/>
      <c r="T109" s="268" t="n"/>
      <c r="U109" s="268" t="n"/>
      <c r="V109" s="268" t="n"/>
      <c r="W109" s="268" t="n"/>
      <c r="X109" s="268" t="n"/>
      <c r="Y109" s="268" t="n"/>
      <c r="Z109" s="268" t="n"/>
      <c r="AA109" s="268" t="n"/>
      <c r="AB109" s="268" t="n"/>
      <c r="AC109" s="268" t="n"/>
      <c r="AD109" s="268" t="n"/>
      <c r="AE109" s="268" t="n"/>
      <c r="AF109" s="268" t="n"/>
      <c r="AG109" s="268" t="n"/>
      <c r="AH109" s="268" t="n"/>
      <c r="AI109" s="268" t="n"/>
      <c r="AJ109" s="268" t="n"/>
      <c r="AK109" s="268" t="n"/>
      <c r="AL109" s="268" t="n"/>
      <c r="AM109" s="268" t="n"/>
      <c r="AN109" s="268" t="n"/>
      <c r="AO109" s="268" t="n"/>
      <c r="AP109" s="268" t="n"/>
      <c r="AQ109" s="268" t="n"/>
      <c r="AR109" s="268" t="n"/>
      <c r="AS109" s="268" t="n"/>
      <c r="AT109" s="268" t="n"/>
      <c r="AU109" s="268" t="n"/>
      <c r="AV109" s="268" t="n"/>
      <c r="AW109" s="268" t="n"/>
      <c r="AX109" s="268" t="n"/>
      <c r="AY109" s="268" t="n"/>
      <c r="AZ109" s="268" t="n"/>
      <c r="BA109" s="268" t="n"/>
      <c r="BB109" s="268" t="n"/>
      <c r="BC109" s="268" t="n"/>
      <c r="BD109" s="268" t="n"/>
      <c r="BE109" s="268" t="n"/>
      <c r="BF109" s="268" t="n"/>
      <c r="BG109" s="268" t="n"/>
      <c r="BH109" s="268" t="n"/>
      <c r="BI109" s="268" t="n"/>
      <c r="BJ109" s="268" t="n"/>
      <c r="BK109" s="268" t="n"/>
      <c r="BL109" s="268" t="n"/>
      <c r="BM109" s="268" t="n"/>
      <c r="BN109" s="268" t="n"/>
      <c r="BO109" s="268" t="n"/>
      <c r="BP109" s="268" t="n"/>
      <c r="BQ109" s="268" t="n"/>
      <c r="BR109" s="268" t="n"/>
      <c r="BS109" s="268" t="n"/>
      <c r="BT109" s="268" t="n"/>
      <c r="BU109" s="268" t="n"/>
      <c r="BV109" s="268" t="n"/>
      <c r="BW109" s="268" t="n"/>
      <c r="BX109" s="268" t="n"/>
      <c r="BY109" s="268" t="n"/>
      <c r="BZ109" s="268" t="n"/>
      <c r="CA109" s="268" t="n"/>
      <c r="CB109" s="268" t="n"/>
      <c r="CC109" s="268" t="n"/>
      <c r="CD109" s="268" t="n"/>
      <c r="CE109" s="268" t="n"/>
      <c r="CF109" s="268" t="n"/>
      <c r="CG109" s="268" t="n"/>
      <c r="CH109" s="268" t="n"/>
      <c r="CI109" s="268" t="n"/>
      <c r="CJ109" s="268" t="n"/>
      <c r="CK109" s="268" t="n"/>
      <c r="CL109" s="268" t="n"/>
      <c r="CM109" s="268" t="n"/>
      <c r="CN109" s="268" t="n"/>
      <c r="CO109" s="268" t="n"/>
      <c r="CP109" s="268" t="n"/>
      <c r="CQ109" s="268" t="n"/>
      <c r="CR109" s="268" t="n"/>
      <c r="CS109" s="268" t="n"/>
      <c r="CT109" s="268" t="n"/>
      <c r="CU109" s="268" t="n"/>
      <c r="CV109" s="268" t="n"/>
      <c r="CW109" s="268" t="n"/>
      <c r="CX109" s="268" t="n"/>
      <c r="CY109" s="268" t="n"/>
    </row>
    <row r="110" hidden="1" outlineLevel="1" ht="12.75" customHeight="1" s="255">
      <c r="C110" s="312" t="inlineStr">
        <is>
          <t>DESPESAS FINANCEIRAS - Atualização de contas a pagar por aquisição de empresas</t>
        </is>
      </c>
      <c r="D110" s="268" t="n"/>
      <c r="E110" s="268" t="n"/>
      <c r="F110" s="268" t="n"/>
      <c r="G110" s="268" t="n"/>
      <c r="H110" s="268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68" t="n"/>
      <c r="R110" s="268" t="n"/>
      <c r="S110" s="268" t="n"/>
      <c r="T110" s="268" t="n"/>
      <c r="U110" s="268" t="n"/>
      <c r="V110" s="268" t="n"/>
      <c r="W110" s="268" t="n"/>
      <c r="X110" s="268" t="n"/>
      <c r="Y110" s="268" t="n"/>
      <c r="Z110" s="268" t="n"/>
      <c r="AA110" s="268" t="n"/>
      <c r="AB110" s="268" t="n"/>
      <c r="AC110" s="268" t="n"/>
      <c r="AD110" s="268" t="n"/>
      <c r="AE110" s="268" t="n"/>
      <c r="AF110" s="268" t="n"/>
      <c r="AG110" s="268" t="n"/>
      <c r="AH110" s="268" t="n"/>
      <c r="AI110" s="268" t="n"/>
      <c r="AJ110" s="268" t="n"/>
      <c r="AK110" s="268" t="n"/>
      <c r="AL110" s="268" t="n"/>
      <c r="AM110" s="268" t="n"/>
      <c r="AN110" s="268" t="n"/>
      <c r="AO110" s="268" t="n"/>
      <c r="AP110" s="268" t="n"/>
      <c r="AQ110" s="268" t="n"/>
      <c r="AR110" s="268" t="n"/>
      <c r="AS110" s="268" t="n"/>
      <c r="AT110" s="268" t="n"/>
      <c r="AU110" s="268" t="n"/>
      <c r="AV110" s="268" t="n"/>
      <c r="AW110" s="268" t="n"/>
      <c r="AX110" s="268" t="n"/>
      <c r="AY110" s="268" t="n"/>
      <c r="AZ110" s="268" t="n"/>
      <c r="BA110" s="268" t="n"/>
      <c r="BB110" s="268" t="n"/>
      <c r="BC110" s="268" t="n"/>
      <c r="BD110" s="268" t="n"/>
      <c r="BE110" s="268" t="n"/>
      <c r="BF110" s="268" t="n"/>
      <c r="BG110" s="268" t="n"/>
      <c r="BH110" s="268" t="n"/>
      <c r="BI110" s="268" t="n"/>
      <c r="BJ110" s="268" t="n"/>
      <c r="BK110" s="268" t="n"/>
      <c r="BL110" s="268" t="n"/>
      <c r="BM110" s="268" t="n"/>
      <c r="BN110" s="268" t="n"/>
      <c r="BO110" s="268" t="n"/>
      <c r="BP110" s="268" t="n"/>
      <c r="BQ110" s="268" t="n"/>
      <c r="BR110" s="268" t="n"/>
      <c r="BS110" s="268" t="n"/>
      <c r="BT110" s="268" t="n"/>
      <c r="BU110" s="268" t="n"/>
      <c r="BV110" s="268" t="n"/>
      <c r="BW110" s="268" t="n"/>
      <c r="BX110" s="268" t="n"/>
      <c r="BY110" s="268" t="n"/>
      <c r="BZ110" s="268" t="n"/>
      <c r="CA110" s="268" t="n"/>
      <c r="CB110" s="268" t="n"/>
      <c r="CC110" s="268" t="n"/>
      <c r="CD110" s="268" t="n"/>
      <c r="CE110" s="268" t="n"/>
      <c r="CF110" s="268" t="n"/>
      <c r="CG110" s="268" t="n"/>
      <c r="CH110" s="268" t="n"/>
      <c r="CI110" s="268" t="n"/>
      <c r="CJ110" s="268" t="n"/>
      <c r="CK110" s="268" t="n"/>
      <c r="CL110" s="268" t="n"/>
      <c r="CM110" s="268" t="n"/>
      <c r="CN110" s="268" t="n"/>
      <c r="CO110" s="268" t="n"/>
      <c r="CP110" s="268" t="n"/>
      <c r="CQ110" s="268" t="n"/>
      <c r="CR110" s="268" t="n"/>
      <c r="CS110" s="268" t="n"/>
      <c r="CT110" s="268" t="n"/>
      <c r="CU110" s="268" t="n"/>
      <c r="CV110" s="268" t="n"/>
      <c r="CW110" s="268" t="n"/>
      <c r="CX110" s="268" t="n"/>
      <c r="CY110" s="268" t="n"/>
    </row>
    <row r="111" hidden="1" outlineLevel="1" ht="12.75" customHeight="1" s="255">
      <c r="C111" s="312" t="inlineStr">
        <is>
          <t>DESPESAS FINANCEIRAS - Outras</t>
        </is>
      </c>
      <c r="D111" s="268" t="n"/>
      <c r="E111" s="268" t="n"/>
      <c r="F111" s="268" t="n"/>
      <c r="G111" s="268" t="n"/>
      <c r="H111" s="268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68" t="n"/>
      <c r="R111" s="268" t="n"/>
      <c r="S111" s="268" t="n"/>
      <c r="T111" s="268" t="n"/>
      <c r="U111" s="268" t="n"/>
      <c r="V111" s="268" t="n"/>
      <c r="W111" s="268" t="n"/>
      <c r="X111" s="268" t="n"/>
      <c r="Y111" s="268" t="n"/>
      <c r="Z111" s="268" t="n"/>
      <c r="AA111" s="268" t="n"/>
      <c r="AB111" s="268" t="n"/>
      <c r="AC111" s="268" t="n"/>
      <c r="AD111" s="268" t="n"/>
      <c r="AE111" s="268" t="n"/>
      <c r="AF111" s="268" t="n"/>
      <c r="AG111" s="268" t="n"/>
      <c r="AH111" s="268" t="n"/>
      <c r="AI111" s="268" t="n"/>
      <c r="AJ111" s="268" t="n"/>
      <c r="AK111" s="268" t="n"/>
      <c r="AL111" s="268" t="n"/>
      <c r="AM111" s="268" t="n"/>
      <c r="AN111" s="268" t="n"/>
      <c r="AO111" s="268" t="n"/>
      <c r="AP111" s="268" t="n"/>
      <c r="AQ111" s="268" t="n"/>
      <c r="AR111" s="268" t="n"/>
      <c r="AS111" s="268" t="n"/>
      <c r="AT111" s="268" t="n"/>
      <c r="AU111" s="268" t="n"/>
      <c r="AV111" s="268" t="n"/>
      <c r="AW111" s="268" t="n"/>
      <c r="AX111" s="268" t="n"/>
      <c r="AY111" s="268" t="n"/>
      <c r="AZ111" s="268" t="n"/>
      <c r="BA111" s="268" t="n"/>
      <c r="BB111" s="268" t="n"/>
      <c r="BC111" s="268" t="n"/>
      <c r="BD111" s="268" t="n"/>
      <c r="BE111" s="268" t="n"/>
      <c r="BF111" s="268" t="n"/>
      <c r="BG111" s="268" t="n"/>
      <c r="BH111" s="268" t="n"/>
      <c r="BI111" s="268" t="n"/>
      <c r="BJ111" s="268" t="n"/>
      <c r="BK111" s="268" t="n"/>
      <c r="BL111" s="268" t="n"/>
      <c r="BM111" s="268" t="n"/>
      <c r="BN111" s="268" t="n"/>
      <c r="BO111" s="268" t="n"/>
      <c r="BP111" s="268" t="n"/>
      <c r="BQ111" s="268" t="n"/>
      <c r="BR111" s="268" t="n"/>
      <c r="BS111" s="268" t="n"/>
      <c r="BT111" s="268" t="n"/>
      <c r="BU111" s="268" t="n"/>
      <c r="BV111" s="268" t="n"/>
      <c r="BW111" s="268" t="n"/>
      <c r="BX111" s="268" t="n"/>
      <c r="BY111" s="268" t="n"/>
      <c r="BZ111" s="268" t="n"/>
      <c r="CA111" s="268" t="n"/>
      <c r="CB111" s="268" t="n"/>
      <c r="CC111" s="268" t="n"/>
      <c r="CD111" s="268" t="n"/>
      <c r="CE111" s="268" t="n"/>
      <c r="CF111" s="268" t="n"/>
      <c r="CG111" s="268" t="n"/>
      <c r="CH111" s="268" t="n"/>
      <c r="CI111" s="268" t="n"/>
      <c r="CJ111" s="268" t="n"/>
      <c r="CK111" s="268" t="n"/>
      <c r="CL111" s="268" t="n"/>
      <c r="CM111" s="268" t="n"/>
      <c r="CN111" s="268" t="n"/>
      <c r="CO111" s="268" t="n"/>
      <c r="CP111" s="268" t="n"/>
      <c r="CQ111" s="268" t="n"/>
      <c r="CR111" s="268" t="n"/>
      <c r="CS111" s="268" t="n"/>
      <c r="CT111" s="268" t="n"/>
      <c r="CU111" s="268" t="n"/>
      <c r="CV111" s="268" t="n"/>
      <c r="CW111" s="268" t="n"/>
      <c r="CX111" s="268" t="n"/>
      <c r="CY111" s="268" t="n"/>
    </row>
    <row r="112" hidden="1" outlineLevel="1" ht="12.75" customHeight="1" s="255">
      <c r="C112" s="312" t="n"/>
      <c r="D112" s="268" t="n"/>
      <c r="E112" s="268" t="n"/>
      <c r="F112" s="268" t="n"/>
      <c r="G112" s="268" t="n"/>
      <c r="H112" s="268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68" t="n"/>
      <c r="R112" s="268" t="n"/>
      <c r="S112" s="268" t="n"/>
      <c r="T112" s="268" t="n"/>
      <c r="U112" s="268" t="n"/>
      <c r="V112" s="268" t="n"/>
      <c r="W112" s="268" t="n"/>
      <c r="X112" s="268" t="n"/>
      <c r="Y112" s="268" t="n"/>
      <c r="Z112" s="268" t="n"/>
      <c r="AA112" s="268" t="n"/>
      <c r="AB112" s="268" t="n"/>
      <c r="AC112" s="268" t="n"/>
      <c r="AD112" s="268" t="n"/>
      <c r="AE112" s="268" t="n"/>
      <c r="AF112" s="268" t="n"/>
      <c r="AG112" s="268" t="n"/>
      <c r="AH112" s="268" t="n"/>
      <c r="AI112" s="268" t="n"/>
      <c r="AJ112" s="268" t="n"/>
      <c r="AK112" s="268" t="n"/>
      <c r="AL112" s="268" t="n"/>
      <c r="AM112" s="268" t="n"/>
      <c r="AN112" s="268" t="n"/>
      <c r="AO112" s="268" t="n"/>
      <c r="AP112" s="268" t="n"/>
      <c r="AQ112" s="268" t="n"/>
      <c r="AR112" s="268" t="n"/>
      <c r="AS112" s="268" t="n"/>
      <c r="AT112" s="268" t="n"/>
      <c r="AU112" s="268" t="n"/>
      <c r="AV112" s="268" t="n"/>
      <c r="AW112" s="268" t="n"/>
      <c r="AX112" s="268" t="n"/>
      <c r="AY112" s="268" t="n"/>
      <c r="AZ112" s="268" t="n"/>
      <c r="BA112" s="268" t="n"/>
      <c r="BB112" s="268" t="n"/>
      <c r="BC112" s="268" t="n"/>
      <c r="BD112" s="268" t="n"/>
      <c r="BE112" s="268" t="n"/>
      <c r="BF112" s="268" t="n"/>
      <c r="BG112" s="268" t="n"/>
      <c r="BH112" s="268" t="n"/>
      <c r="BI112" s="268" t="n"/>
      <c r="BJ112" s="268" t="n"/>
      <c r="BK112" s="268" t="n"/>
      <c r="BL112" s="268" t="n"/>
      <c r="BM112" s="268" t="n"/>
      <c r="BN112" s="268" t="n"/>
      <c r="BO112" s="268" t="n"/>
      <c r="BP112" s="268" t="n"/>
      <c r="BQ112" s="268" t="n"/>
      <c r="BR112" s="268" t="n"/>
      <c r="BS112" s="268" t="n"/>
      <c r="BT112" s="268" t="n"/>
      <c r="BU112" s="268" t="n"/>
      <c r="BV112" s="268" t="n"/>
      <c r="BW112" s="268" t="n"/>
      <c r="BX112" s="268" t="n"/>
      <c r="BY112" s="268" t="n"/>
      <c r="BZ112" s="268" t="n"/>
      <c r="CA112" s="268" t="n"/>
      <c r="CB112" s="268" t="n"/>
      <c r="CC112" s="268" t="n"/>
      <c r="CD112" s="268" t="n"/>
      <c r="CE112" s="268" t="n"/>
      <c r="CF112" s="268" t="n"/>
      <c r="CG112" s="268" t="n"/>
      <c r="CH112" s="268" t="n"/>
      <c r="CI112" s="268" t="n"/>
      <c r="CJ112" s="268" t="n"/>
      <c r="CK112" s="268" t="n"/>
      <c r="CL112" s="268" t="n"/>
      <c r="CM112" s="268" t="n"/>
      <c r="CN112" s="268" t="n"/>
      <c r="CO112" s="268" t="n"/>
      <c r="CP112" s="268" t="n"/>
      <c r="CQ112" s="268" t="n"/>
      <c r="CR112" s="268" t="n"/>
      <c r="CS112" s="268" t="n"/>
      <c r="CT112" s="268" t="n"/>
      <c r="CU112" s="268" t="n"/>
      <c r="CV112" s="268" t="n"/>
      <c r="CW112" s="268" t="n"/>
      <c r="CX112" s="268" t="n"/>
      <c r="CY112" s="268" t="n"/>
    </row>
    <row r="113" hidden="1" outlineLevel="1" ht="12.75" customHeight="1" s="255">
      <c r="C113" s="312" t="inlineStr">
        <is>
          <t>CHECK [EX IFRS-16]</t>
        </is>
      </c>
      <c r="D113" s="268" t="n"/>
      <c r="E113" s="268" t="n"/>
      <c r="F113" s="268" t="n"/>
      <c r="G113" s="268" t="n"/>
      <c r="H113" s="268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68" t="n"/>
      <c r="R113" s="268" t="n"/>
      <c r="S113" s="268" t="n"/>
      <c r="T113" s="268" t="n"/>
      <c r="U113" s="268" t="n"/>
      <c r="V113" s="268" t="n"/>
      <c r="W113" s="268" t="n"/>
      <c r="X113" s="268" t="n"/>
      <c r="Y113" s="268" t="n"/>
      <c r="Z113" s="268" t="n"/>
      <c r="AA113" s="268" t="n"/>
      <c r="AB113" s="268" t="n"/>
      <c r="AC113" s="268" t="n"/>
      <c r="AD113" s="268" t="n"/>
      <c r="AE113" s="268" t="n"/>
      <c r="AF113" s="268" t="n"/>
      <c r="AG113" s="268" t="n"/>
      <c r="AH113" s="268" t="n"/>
      <c r="AI113" s="268" t="n"/>
      <c r="AJ113" s="268" t="n"/>
      <c r="AK113" s="268" t="n"/>
      <c r="AL113" s="268" t="n"/>
      <c r="AM113" s="268" t="n"/>
      <c r="AN113" s="268" t="n"/>
      <c r="AO113" s="268" t="n"/>
      <c r="AP113" s="268" t="n"/>
      <c r="AQ113" s="268" t="n"/>
      <c r="AR113" s="268" t="n"/>
      <c r="AS113" s="268" t="n"/>
      <c r="AT113" s="268" t="n"/>
      <c r="AU113" s="268" t="n"/>
      <c r="AV113" s="268" t="n"/>
      <c r="AW113" s="268" t="n"/>
      <c r="AX113" s="268" t="n"/>
      <c r="AY113" s="268" t="n"/>
      <c r="AZ113" s="268" t="n"/>
      <c r="BA113" s="268" t="n"/>
      <c r="BB113" s="268" t="n"/>
      <c r="BC113" s="268" t="n"/>
      <c r="BD113" s="268" t="n"/>
      <c r="BE113" s="268" t="n"/>
      <c r="BF113" s="268" t="n"/>
      <c r="BG113" s="268" t="n"/>
      <c r="BH113" s="268" t="n"/>
      <c r="BI113" s="268" t="n"/>
      <c r="BJ113" s="268" t="n"/>
      <c r="BK113" s="268" t="n"/>
      <c r="BL113" s="268" t="n"/>
      <c r="BM113" s="268" t="n"/>
      <c r="BN113" s="268" t="n"/>
      <c r="BO113" s="268" t="n"/>
      <c r="BP113" s="268" t="n"/>
      <c r="BQ113" s="268" t="n"/>
      <c r="BR113" s="268" t="n"/>
      <c r="BS113" s="268" t="n"/>
      <c r="BT113" s="268" t="n"/>
      <c r="BU113" s="268" t="n"/>
      <c r="BV113" s="268" t="n"/>
      <c r="BW113" s="268" t="n"/>
      <c r="BX113" s="268" t="n"/>
      <c r="BY113" s="268" t="n"/>
      <c r="BZ113" s="268" t="n"/>
      <c r="CA113" s="268" t="n"/>
      <c r="CB113" s="268" t="n"/>
      <c r="CC113" s="268" t="n"/>
      <c r="CD113" s="268" t="n"/>
      <c r="CE113" s="268" t="n"/>
      <c r="CF113" s="268" t="n"/>
      <c r="CG113" s="268" t="n"/>
      <c r="CH113" s="268" t="n"/>
      <c r="CI113" s="268" t="n"/>
      <c r="CJ113" s="268" t="n"/>
      <c r="CK113" s="268" t="n"/>
      <c r="CL113" s="268" t="n"/>
      <c r="CM113" s="268" t="n"/>
      <c r="CN113" s="268" t="n"/>
      <c r="CO113" s="268" t="n"/>
      <c r="CP113" s="268" t="n"/>
      <c r="CQ113" s="268" t="n"/>
      <c r="CR113" s="268" t="n"/>
      <c r="CS113" s="268" t="n"/>
      <c r="CT113" s="268" t="n"/>
      <c r="CU113" s="268" t="n"/>
      <c r="CV113" s="268" t="n"/>
      <c r="CW113" s="268" t="n"/>
      <c r="CX113" s="268" t="n"/>
      <c r="CY113" s="268" t="n"/>
    </row>
    <row r="114" hidden="1" outlineLevel="1" ht="12.75" customHeight="1" s="255">
      <c r="C114" s="312" t="n"/>
      <c r="D114" s="268" t="n"/>
      <c r="E114" s="268" t="n"/>
      <c r="F114" s="268" t="n"/>
      <c r="G114" s="268" t="n"/>
      <c r="H114" s="268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68" t="n"/>
      <c r="R114" s="268" t="n"/>
      <c r="S114" s="268" t="n"/>
      <c r="T114" s="268" t="n"/>
      <c r="U114" s="268" t="n"/>
      <c r="V114" s="268" t="n"/>
      <c r="W114" s="268" t="n"/>
      <c r="X114" s="268" t="n"/>
      <c r="Y114" s="268" t="n"/>
      <c r="Z114" s="268" t="n"/>
      <c r="AA114" s="268" t="n"/>
      <c r="AB114" s="268" t="n"/>
      <c r="AC114" s="268" t="n"/>
      <c r="AD114" s="268" t="n"/>
      <c r="AE114" s="268" t="n"/>
      <c r="AF114" s="268" t="n"/>
      <c r="AG114" s="268" t="n"/>
      <c r="AH114" s="268" t="n"/>
      <c r="AI114" s="268" t="n"/>
      <c r="AJ114" s="268" t="n"/>
      <c r="AK114" s="268" t="n"/>
      <c r="AL114" s="268" t="n"/>
      <c r="AM114" s="268" t="n"/>
      <c r="AN114" s="268" t="n"/>
      <c r="AO114" s="268" t="n"/>
      <c r="AP114" s="268" t="n"/>
      <c r="AQ114" s="268" t="n"/>
      <c r="AR114" s="268" t="n"/>
      <c r="AS114" s="268" t="n"/>
      <c r="AT114" s="268" t="n"/>
      <c r="AU114" s="268" t="n"/>
      <c r="AV114" s="268" t="n"/>
      <c r="AW114" s="268" t="n"/>
      <c r="AX114" s="268" t="n"/>
      <c r="AY114" s="268" t="n"/>
      <c r="AZ114" s="268" t="n"/>
      <c r="BA114" s="268" t="n"/>
      <c r="BB114" s="268" t="n"/>
      <c r="BC114" s="268" t="n"/>
      <c r="BD114" s="268" t="n"/>
      <c r="BE114" s="268" t="n"/>
      <c r="BF114" s="268" t="n"/>
      <c r="BG114" s="268" t="n"/>
      <c r="BH114" s="268" t="n"/>
      <c r="BI114" s="268" t="n"/>
      <c r="BJ114" s="268" t="n"/>
      <c r="BK114" s="268" t="n"/>
      <c r="BL114" s="268" t="n"/>
      <c r="BM114" s="268" t="n"/>
      <c r="BN114" s="268" t="n"/>
      <c r="BO114" s="268" t="n"/>
      <c r="BP114" s="268" t="n"/>
      <c r="BQ114" s="268" t="n"/>
      <c r="BR114" s="268" t="n"/>
      <c r="BS114" s="268" t="n"/>
      <c r="BT114" s="268" t="n"/>
      <c r="BU114" s="268" t="n"/>
      <c r="BV114" s="268" t="n"/>
      <c r="BW114" s="268" t="n"/>
      <c r="BX114" s="268" t="n"/>
      <c r="BY114" s="268" t="n"/>
      <c r="BZ114" s="268" t="n"/>
      <c r="CA114" s="268" t="n"/>
      <c r="CB114" s="268" t="n"/>
      <c r="CC114" s="268" t="n"/>
      <c r="CD114" s="268" t="n"/>
      <c r="CE114" s="268" t="n"/>
      <c r="CF114" s="268" t="n"/>
      <c r="CG114" s="268" t="n"/>
      <c r="CH114" s="268" t="n"/>
      <c r="CI114" s="268" t="n"/>
      <c r="CJ114" s="268" t="n"/>
      <c r="CK114" s="268" t="n"/>
      <c r="CL114" s="268" t="n"/>
      <c r="CM114" s="268" t="n"/>
      <c r="CN114" s="268" t="n"/>
      <c r="CO114" s="268" t="n"/>
      <c r="CP114" s="268" t="n"/>
      <c r="CQ114" s="268" t="n"/>
      <c r="CR114" s="268" t="n"/>
      <c r="CS114" s="268" t="n"/>
      <c r="CT114" s="268" t="n"/>
      <c r="CU114" s="268" t="n"/>
      <c r="CV114" s="268" t="n"/>
      <c r="CW114" s="268" t="n"/>
      <c r="CX114" s="268" t="n"/>
      <c r="CY114" s="268" t="n"/>
    </row>
    <row r="115" ht="12.75" customHeight="1" s="255">
      <c r="C115" s="270" t="inlineStr">
        <is>
          <t>Nonoperating Income / (Loss)</t>
        </is>
      </c>
      <c r="D115" s="301">
        <f>INDEX('Inputs (2)'!$D$9:$AL$9,MATCH(D$7,'Inputs (2)'!$D$2:$AL$2,0))</f>
        <v>-139</v>
      </c>
      <c r="E115" s="301">
        <f>INDEX('Inputs (2)'!$D$9:$AL$9,MATCH(E$7,'Inputs (2)'!$D$2:$AL$2,0))</f>
        <v>-104</v>
      </c>
      <c r="F115" s="301">
        <f>INDEX('Inputs (2)'!$D$9:$AL$9,MATCH(F$7,'Inputs (2)'!$D$2:$AL$2,0))</f>
        <v>-157</v>
      </c>
      <c r="G115" s="301">
        <f>INDEX('Inputs (2)'!$D$9:$AL$9,MATCH(G$7,'Inputs (2)'!$D$2:$AL$2,0))</f>
        <v>-240</v>
      </c>
      <c r="H115" s="268">
        <f>SUM(D115:G115)</f>
        <v>-640</v>
      </c>
      <c r="I115" s="301">
        <f>INDEX('Inputs (2)'!$D$9:$AL$9,MATCH(I$7,'Inputs (2)'!$D$2:$AL$2,0))</f>
        <v>-134</v>
      </c>
      <c r="J115" s="301">
        <f>INDEX('Inputs (2)'!$D$9:$AL$9,MATCH(J$7,'Inputs (2)'!$D$2:$AL$2,0))</f>
        <v>-139</v>
      </c>
      <c r="K115" s="301">
        <f>INDEX('Inputs (2)'!$D$9:$AL$9,MATCH(K$7,'Inputs (2)'!$D$2:$AL$2,0))</f>
        <v>-102</v>
      </c>
      <c r="L115" s="301">
        <f>INDEX('Inputs (2)'!$D$9:$AL$9,MATCH(L$7,'Inputs (2)'!$D$2:$AL$2,0))</f>
        <v>-332</v>
      </c>
      <c r="M115" s="268">
        <f>SUM(I115:L115)</f>
        <v>-707</v>
      </c>
      <c r="N115" s="301">
        <f>INDEX('Inputs (2)'!$D$9:$AL$9,MATCH(N$7,'Inputs (2)'!$D$2:$AL$2,0))</f>
        <v>-96</v>
      </c>
      <c r="O115" s="301">
        <f>INDEX('Inputs (2)'!$D$9:$AL$9,MATCH(O$7,'Inputs (2)'!$D$2:$AL$2,0))</f>
        <v>-137</v>
      </c>
      <c r="P115" s="301">
        <f>INDEX('Inputs (2)'!$D$9:$AL$9,MATCH(P$7,'Inputs (2)'!$D$2:$AL$2,0))</f>
        <v>-95</v>
      </c>
      <c r="Q115" s="301">
        <f>INDEX('Inputs (2)'!$D$9:$AL$9,MATCH(Q$7,'Inputs (2)'!$D$2:$AL$2,0))</f>
        <v>6</v>
      </c>
      <c r="R115" s="268">
        <f>SUM(N115:Q115)</f>
        <v>-322</v>
      </c>
      <c r="S115" s="301">
        <f>INDEX('Inputs (2)'!$D$9:$AL$9,MATCH(S$7,'Inputs (2)'!$D$2:$AL$2,0))</f>
        <v>-63</v>
      </c>
      <c r="T115" s="301">
        <f>INDEX('Inputs (2)'!$D$9:$AL$9,MATCH(T$7,'Inputs (2)'!$D$2:$AL$2,0))</f>
        <v>-142</v>
      </c>
      <c r="U115" s="301">
        <f>INDEX('Inputs (2)'!$D$9:$AL$9,MATCH(U$7,'Inputs (2)'!$D$2:$AL$2,0))</f>
        <v>-20</v>
      </c>
      <c r="V115" s="301">
        <f>INDEX('Inputs (2)'!$D$9:$AL$9,MATCH(V$7,'Inputs (2)'!$D$2:$AL$2,0))</f>
        <v>6</v>
      </c>
      <c r="W115" s="268">
        <f>SUM(S115:V115)</f>
        <v>-219</v>
      </c>
      <c r="X115" s="301">
        <f>INDEX('Inputs (2)'!$D$9:$AL$9,MATCH(X$7,'Inputs (2)'!$D$2:$AL$2,0))</f>
        <v>40</v>
      </c>
      <c r="Y115" s="301">
        <f>INDEX('Inputs (2)'!$D$9:$AL$9,MATCH(Y$7,'Inputs (2)'!$D$2:$AL$2,0))</f>
        <v>-19</v>
      </c>
      <c r="Z115" s="301">
        <f>INDEX('Inputs (2)'!$D$9:$AL$9,MATCH(Z$7,'Inputs (2)'!$D$2:$AL$2,0))</f>
        <v>25</v>
      </c>
      <c r="AA115" s="301">
        <f>INDEX('Inputs (2)'!$D$9:$AL$9,MATCH(AA$7,'Inputs (2)'!$D$2:$AL$2,0))</f>
        <v>-3</v>
      </c>
      <c r="AB115" s="268">
        <f>SUM(X115:AA115)</f>
        <v>43</v>
      </c>
      <c r="AC115" s="301">
        <f>INDEX('Inputs (2)'!$D$9:$AL$9,MATCH(AC$7,'Inputs (2)'!$D$2:$AL$2,0))</f>
        <v>-12</v>
      </c>
      <c r="AD115" s="301">
        <f>INDEX('Inputs (2)'!$D$9:$AL$9,MATCH(AD$7,'Inputs (2)'!$D$2:$AL$2,0))</f>
        <v>-41</v>
      </c>
      <c r="AE115" s="301">
        <f>INDEX('Inputs (2)'!$D$9:$AL$9,MATCH(AE$7,'Inputs (2)'!$D$2:$AL$2,0))</f>
        <v>-48</v>
      </c>
      <c r="AF115" s="301">
        <f>INDEX('Inputs (2)'!$D$9:$AL$9,MATCH(AF$7,'Inputs (2)'!$D$2:$AL$2,0))</f>
        <v>-45</v>
      </c>
      <c r="AG115" s="268">
        <f>SUM(AC115:AF115)</f>
        <v>-146</v>
      </c>
      <c r="AH115" s="268">
        <f>INDEX('Inputs (2)'!$D$9:$AL$9,MATCH(AH$7,'Inputs (2)'!$D$2:$AL$2,0))</f>
        <v>-103</v>
      </c>
      <c r="AI115" s="268">
        <f>INDEX('Inputs (2)'!$D$9:$AL$9,MATCH(AI$7,'Inputs (2)'!$D$2:$AL$2,0))</f>
        <v>-73</v>
      </c>
      <c r="AJ115" s="268">
        <f>AH115</f>
        <v>-103</v>
      </c>
      <c r="AK115" s="268">
        <f>AI115</f>
        <v>-73</v>
      </c>
      <c r="AL115" s="268">
        <f>SUM(AH115:AK115)</f>
        <v>-352</v>
      </c>
      <c r="AM115" s="268">
        <f>AK115</f>
        <v>-73</v>
      </c>
      <c r="AN115" s="268">
        <f>AL115</f>
        <v>-352</v>
      </c>
      <c r="AO115" s="268">
        <f>AM115</f>
        <v>-73</v>
      </c>
      <c r="AP115" s="268">
        <f>AN115</f>
        <v>-352</v>
      </c>
      <c r="AQ115" s="268">
        <f>SUM(AM115:AP115)</f>
        <v>-850</v>
      </c>
      <c r="AR115" s="268">
        <f>AP115</f>
        <v>-352</v>
      </c>
      <c r="AS115" s="268">
        <f>AQ115</f>
        <v>-850</v>
      </c>
      <c r="AT115" s="268">
        <f>AR115</f>
        <v>-352</v>
      </c>
      <c r="AU115" s="268">
        <f>AS115</f>
        <v>-850</v>
      </c>
      <c r="AV115" s="268">
        <f>SUM(AR115:AU115)</f>
        <v>-2404</v>
      </c>
      <c r="AW115" s="268">
        <f>AU115</f>
        <v>-850</v>
      </c>
      <c r="AX115" s="268">
        <f>AV115</f>
        <v>-2404</v>
      </c>
      <c r="AY115" s="268">
        <f>AW115</f>
        <v>-850</v>
      </c>
      <c r="AZ115" s="268">
        <f>AX115</f>
        <v>-2404</v>
      </c>
      <c r="BA115" s="268">
        <f>SUM(AW115:AZ115)</f>
        <v>-6508</v>
      </c>
      <c r="BB115" s="268">
        <f>AZ115</f>
        <v>-2404</v>
      </c>
      <c r="BC115" s="268">
        <f>BA115</f>
        <v>-6508</v>
      </c>
      <c r="BD115" s="268">
        <f>BB115</f>
        <v>-2404</v>
      </c>
      <c r="BE115" s="268">
        <f>BC115</f>
        <v>-6508</v>
      </c>
      <c r="BF115" s="268">
        <f>SUM(BB115:BE115)</f>
        <v>-17824</v>
      </c>
      <c r="BG115" s="268">
        <f>BE115</f>
        <v>-6508</v>
      </c>
      <c r="BH115" s="268">
        <f>BF115</f>
        <v>-17824</v>
      </c>
      <c r="BI115" s="268">
        <f>BG115</f>
        <v>-6508</v>
      </c>
      <c r="BJ115" s="268">
        <f>BH115</f>
        <v>-17824</v>
      </c>
      <c r="BK115" s="268">
        <f>SUM(BG115:BJ115)</f>
        <v>-48664</v>
      </c>
      <c r="BL115" s="268">
        <f>BJ115</f>
        <v>-17824</v>
      </c>
      <c r="BM115" s="268">
        <f>BK115</f>
        <v>-48664</v>
      </c>
      <c r="BN115" s="268">
        <f>BL115</f>
        <v>-17824</v>
      </c>
      <c r="BO115" s="268">
        <f>BM115</f>
        <v>-48664</v>
      </c>
      <c r="BP115" s="268">
        <f>SUM(BL115:BO115)</f>
        <v>-132976</v>
      </c>
      <c r="BQ115" s="268">
        <f>BO115</f>
        <v>-48664</v>
      </c>
      <c r="BR115" s="268">
        <f>BP115</f>
        <v>-132976</v>
      </c>
      <c r="BS115" s="268">
        <f>BQ115</f>
        <v>-48664</v>
      </c>
      <c r="BT115" s="268">
        <f>BR115</f>
        <v>-132976</v>
      </c>
      <c r="BU115" s="268">
        <f>SUM(BQ115:BT115)</f>
        <v>-363280</v>
      </c>
      <c r="BV115" s="268">
        <f>BT115</f>
        <v>-132976</v>
      </c>
      <c r="BW115" s="268">
        <f>BU115</f>
        <v>-363280</v>
      </c>
      <c r="BX115" s="268">
        <f>BV115</f>
        <v>-132976</v>
      </c>
      <c r="BY115" s="268">
        <f>BW115</f>
        <v>-363280</v>
      </c>
      <c r="BZ115" s="268">
        <f>SUM(BV115:BY115)</f>
        <v>-992512</v>
      </c>
      <c r="CA115" s="268">
        <f>BY115</f>
        <v>-363280</v>
      </c>
      <c r="CB115" s="268">
        <f>BZ115</f>
        <v>-992512</v>
      </c>
      <c r="CC115" s="268">
        <f>CA115</f>
        <v>-363280</v>
      </c>
      <c r="CD115" s="268">
        <f>CB115</f>
        <v>-992512</v>
      </c>
      <c r="CE115" s="268">
        <f>SUM(CA115:CD115)</f>
        <v>-2711584</v>
      </c>
      <c r="CF115" s="268">
        <f>CD115</f>
        <v>-992512</v>
      </c>
      <c r="CG115" s="268">
        <f>CE115</f>
        <v>-2711584</v>
      </c>
      <c r="CH115" s="268">
        <f>CF115</f>
        <v>-992512</v>
      </c>
      <c r="CI115" s="268">
        <f>CG115</f>
        <v>-2711584</v>
      </c>
      <c r="CJ115" s="268">
        <f>SUM(CF115:CI115)</f>
        <v>-7408192</v>
      </c>
      <c r="CK115" s="268">
        <f>CI115</f>
        <v>-2711584</v>
      </c>
      <c r="CL115" s="268">
        <f>CJ115</f>
        <v>-7408192</v>
      </c>
      <c r="CM115" s="268">
        <f>CK115</f>
        <v>-2711584</v>
      </c>
      <c r="CN115" s="268">
        <f>CL115</f>
        <v>-7408192</v>
      </c>
      <c r="CO115" s="268">
        <f>SUM(CK115:CN115)</f>
        <v>-20239552</v>
      </c>
      <c r="CP115" s="268">
        <f>CN115</f>
        <v>-7408192</v>
      </c>
      <c r="CQ115" s="268">
        <f>CO115</f>
        <v>-20239552</v>
      </c>
      <c r="CR115" s="268">
        <f>CP115</f>
        <v>-7408192</v>
      </c>
      <c r="CS115" s="268">
        <f>CQ115</f>
        <v>-20239552</v>
      </c>
      <c r="CT115" s="268">
        <f>SUM(CP115:CS115)</f>
        <v>-55295488</v>
      </c>
      <c r="CU115" s="268">
        <f>CS115</f>
        <v>-20239552</v>
      </c>
      <c r="CV115" s="268">
        <f>CT115</f>
        <v>-55295488</v>
      </c>
      <c r="CW115" s="268">
        <f>CU115</f>
        <v>-20239552</v>
      </c>
      <c r="CX115" s="268">
        <f>CV115</f>
        <v>-55295488</v>
      </c>
      <c r="CY115" s="268">
        <f>SUM(CU115:CX115)</f>
        <v>-151070080</v>
      </c>
    </row>
    <row r="116" hidden="1" outlineLevel="1" ht="12.75" customHeight="1" s="255">
      <c r="C116" s="312" t="n"/>
      <c r="D116" s="268" t="n"/>
      <c r="E116" s="268" t="n"/>
      <c r="F116" s="268" t="n"/>
      <c r="G116" s="268" t="n"/>
      <c r="H116" s="268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68" t="n"/>
      <c r="R116" s="268" t="n"/>
      <c r="S116" s="268" t="n"/>
      <c r="T116" s="268" t="n"/>
      <c r="U116" s="268" t="n"/>
      <c r="V116" s="268" t="n"/>
      <c r="W116" s="268" t="n"/>
      <c r="X116" s="268" t="n"/>
      <c r="Y116" s="268" t="n"/>
      <c r="Z116" s="268" t="n"/>
      <c r="AA116" s="268" t="n"/>
      <c r="AB116" s="268" t="n"/>
      <c r="AC116" s="268" t="n"/>
      <c r="AD116" s="268" t="n"/>
      <c r="AE116" s="268" t="n"/>
      <c r="AF116" s="268" t="n"/>
      <c r="AG116" s="268" t="n"/>
      <c r="AH116" s="268" t="n"/>
      <c r="AI116" s="268" t="n"/>
      <c r="AJ116" s="268" t="n"/>
      <c r="AK116" s="268" t="n"/>
      <c r="AL116" s="268" t="n"/>
      <c r="AM116" s="268" t="n"/>
      <c r="AN116" s="268" t="n"/>
      <c r="AO116" s="268" t="n"/>
      <c r="AP116" s="268" t="n"/>
      <c r="AQ116" s="268" t="n"/>
      <c r="AR116" s="268" t="n"/>
      <c r="AS116" s="268" t="n"/>
      <c r="AT116" s="268" t="n"/>
      <c r="AU116" s="268" t="n"/>
      <c r="AV116" s="268" t="n"/>
      <c r="AW116" s="268" t="n"/>
      <c r="AX116" s="268" t="n"/>
      <c r="AY116" s="268" t="n"/>
      <c r="AZ116" s="268" t="n"/>
      <c r="BA116" s="268" t="n"/>
      <c r="BB116" s="268" t="n"/>
      <c r="BC116" s="268" t="n"/>
      <c r="BD116" s="268" t="n"/>
      <c r="BE116" s="268" t="n"/>
      <c r="BF116" s="268" t="n"/>
      <c r="BG116" s="268" t="n"/>
      <c r="BH116" s="268" t="n"/>
      <c r="BI116" s="268" t="n"/>
      <c r="BJ116" s="268" t="n"/>
      <c r="BK116" s="268" t="n"/>
      <c r="BL116" s="268" t="n"/>
      <c r="BM116" s="268" t="n"/>
      <c r="BN116" s="268" t="n"/>
      <c r="BO116" s="268" t="n"/>
      <c r="BP116" s="268" t="n"/>
      <c r="BQ116" s="268" t="n"/>
      <c r="BR116" s="268" t="n"/>
      <c r="BS116" s="268" t="n"/>
      <c r="BT116" s="268" t="n"/>
      <c r="BU116" s="268" t="n"/>
      <c r="BV116" s="268" t="n"/>
      <c r="BW116" s="268" t="n"/>
      <c r="BX116" s="268" t="n"/>
      <c r="BY116" s="268" t="n"/>
      <c r="BZ116" s="268" t="n"/>
      <c r="CA116" s="268" t="n"/>
      <c r="CB116" s="268" t="n"/>
      <c r="CC116" s="268" t="n"/>
      <c r="CD116" s="268" t="n"/>
      <c r="CE116" s="268" t="n"/>
      <c r="CF116" s="268" t="n"/>
      <c r="CG116" s="268" t="n"/>
      <c r="CH116" s="268" t="n"/>
      <c r="CI116" s="268" t="n"/>
      <c r="CJ116" s="268" t="n"/>
      <c r="CK116" s="268" t="n"/>
      <c r="CL116" s="268" t="n"/>
      <c r="CM116" s="268" t="n"/>
      <c r="CN116" s="268" t="n"/>
      <c r="CO116" s="268" t="n"/>
      <c r="CP116" s="268" t="n"/>
      <c r="CQ116" s="268" t="n"/>
      <c r="CR116" s="268" t="n"/>
      <c r="CS116" s="268" t="n"/>
      <c r="CT116" s="268" t="n"/>
      <c r="CU116" s="268" t="n"/>
      <c r="CV116" s="268" t="n"/>
      <c r="CW116" s="268" t="n"/>
      <c r="CX116" s="268" t="n"/>
      <c r="CY116" s="268" t="n"/>
    </row>
    <row r="117" hidden="1" outlineLevel="1" ht="12.75" customHeight="1" s="255">
      <c r="C117" s="305" t="inlineStr">
        <is>
          <t>Resultado Não Recorrente</t>
        </is>
      </c>
      <c r="D117" s="267" t="n"/>
      <c r="E117" s="267" t="n"/>
      <c r="F117" s="267" t="n"/>
      <c r="G117" s="267" t="n"/>
      <c r="H117" s="268" t="n"/>
      <c r="I117" s="267" t="n"/>
      <c r="J117" s="267" t="n"/>
      <c r="K117" s="267" t="n"/>
      <c r="L117" s="267" t="n"/>
      <c r="M117" s="268" t="n"/>
      <c r="N117" s="267" t="n"/>
      <c r="O117" s="267" t="n"/>
      <c r="P117" s="267" t="n"/>
      <c r="Q117" s="267" t="n"/>
      <c r="R117" s="268" t="n"/>
      <c r="S117" s="267" t="n"/>
      <c r="T117" s="267" t="n"/>
      <c r="U117" s="267" t="n"/>
      <c r="V117" s="267" t="n"/>
      <c r="W117" s="268" t="n"/>
      <c r="X117" s="267" t="n"/>
      <c r="Y117" s="267" t="n"/>
      <c r="Z117" s="267" t="n"/>
      <c r="AA117" s="267" t="n"/>
      <c r="AB117" s="268" t="n"/>
      <c r="AC117" s="267" t="n"/>
      <c r="AD117" s="267" t="n"/>
      <c r="AE117" s="267" t="n"/>
      <c r="AF117" s="267" t="n"/>
      <c r="AG117" s="268" t="n"/>
      <c r="AH117" s="268" t="n"/>
      <c r="AI117" s="268" t="n"/>
      <c r="AJ117" s="268" t="n"/>
      <c r="AK117" s="268" t="n"/>
      <c r="AL117" s="268" t="n"/>
      <c r="AM117" s="268" t="n"/>
      <c r="AN117" s="268" t="n"/>
      <c r="AO117" s="268" t="n"/>
      <c r="AP117" s="268" t="n"/>
      <c r="AQ117" s="268" t="n"/>
      <c r="AR117" s="268" t="n"/>
      <c r="AS117" s="268" t="n"/>
      <c r="AT117" s="268" t="n"/>
      <c r="AU117" s="268" t="n"/>
      <c r="AV117" s="268" t="n"/>
      <c r="AW117" s="268" t="n"/>
      <c r="AX117" s="268" t="n"/>
      <c r="AY117" s="268" t="n"/>
      <c r="AZ117" s="268" t="n"/>
      <c r="BA117" s="268" t="n"/>
      <c r="BB117" s="268" t="n"/>
      <c r="BC117" s="268" t="n"/>
      <c r="BD117" s="268" t="n"/>
      <c r="BE117" s="268" t="n"/>
      <c r="BF117" s="268" t="n"/>
      <c r="BG117" s="268" t="n"/>
      <c r="BH117" s="268" t="n"/>
      <c r="BI117" s="268" t="n"/>
      <c r="BJ117" s="268" t="n"/>
      <c r="BK117" s="268" t="n"/>
      <c r="BL117" s="268" t="n"/>
      <c r="BM117" s="268" t="n"/>
      <c r="BN117" s="268" t="n"/>
      <c r="BO117" s="268" t="n"/>
      <c r="BP117" s="268" t="n"/>
      <c r="BQ117" s="268" t="n"/>
      <c r="BR117" s="268" t="n"/>
      <c r="BS117" s="268" t="n"/>
      <c r="BT117" s="268" t="n"/>
      <c r="BU117" s="268" t="n"/>
      <c r="BV117" s="268" t="n"/>
      <c r="BW117" s="268" t="n"/>
      <c r="BX117" s="268" t="n"/>
      <c r="BY117" s="268" t="n"/>
      <c r="BZ117" s="268" t="n"/>
      <c r="CA117" s="268" t="n"/>
      <c r="CB117" s="268" t="n"/>
      <c r="CC117" s="268" t="n"/>
      <c r="CD117" s="268" t="n"/>
      <c r="CE117" s="268" t="n"/>
      <c r="CF117" s="268" t="n"/>
      <c r="CG117" s="268" t="n"/>
      <c r="CH117" s="268" t="n"/>
      <c r="CI117" s="268" t="n"/>
      <c r="CJ117" s="268" t="n"/>
      <c r="CK117" s="268" t="n"/>
      <c r="CL117" s="268" t="n"/>
      <c r="CM117" s="268" t="n"/>
      <c r="CN117" s="268" t="n"/>
      <c r="CO117" s="268" t="n"/>
      <c r="CP117" s="268" t="n"/>
      <c r="CQ117" s="268" t="n"/>
      <c r="CR117" s="268" t="n"/>
      <c r="CS117" s="268" t="n"/>
      <c r="CT117" s="268" t="n"/>
      <c r="CU117" s="268" t="n"/>
      <c r="CV117" s="268" t="n"/>
      <c r="CW117" s="268" t="n"/>
      <c r="CX117" s="268" t="n"/>
      <c r="CY117" s="268" t="n"/>
    </row>
    <row r="118" hidden="1" outlineLevel="1" ht="12.75" customHeight="1" s="255">
      <c r="C118" s="305" t="inlineStr">
        <is>
          <t>Plano de Opção de Compra de Ações</t>
        </is>
      </c>
      <c r="D118" s="267" t="n"/>
      <c r="E118" s="267" t="n"/>
      <c r="F118" s="267" t="n"/>
      <c r="G118" s="267" t="n"/>
      <c r="H118" s="268" t="n"/>
      <c r="I118" s="267" t="n"/>
      <c r="J118" s="267" t="n"/>
      <c r="K118" s="267" t="n"/>
      <c r="L118" s="267" t="n"/>
      <c r="M118" s="268" t="n"/>
      <c r="N118" s="267" t="n"/>
      <c r="O118" s="267" t="n"/>
      <c r="P118" s="267" t="n"/>
      <c r="Q118" s="267" t="n"/>
      <c r="R118" s="268" t="n"/>
      <c r="S118" s="267" t="n"/>
      <c r="T118" s="267" t="n"/>
      <c r="U118" s="267" t="n"/>
      <c r="V118" s="267" t="n"/>
      <c r="W118" s="268" t="n"/>
      <c r="X118" s="267" t="n"/>
      <c r="Y118" s="267" t="n"/>
      <c r="Z118" s="267" t="n"/>
      <c r="AA118" s="267" t="n"/>
      <c r="AB118" s="268" t="n"/>
      <c r="AC118" s="267" t="n"/>
      <c r="AD118" s="267" t="n"/>
      <c r="AE118" s="267" t="n"/>
      <c r="AF118" s="267" t="n"/>
      <c r="AG118" s="268" t="n"/>
      <c r="AH118" s="268" t="n"/>
      <c r="AI118" s="268" t="n"/>
      <c r="AJ118" s="268" t="n"/>
      <c r="AK118" s="268" t="n"/>
      <c r="AL118" s="268" t="n"/>
      <c r="AM118" s="268" t="n"/>
      <c r="AN118" s="268" t="n"/>
      <c r="AO118" s="268" t="n"/>
      <c r="AP118" s="268" t="n"/>
      <c r="AQ118" s="268" t="n"/>
      <c r="AR118" s="268" t="n"/>
      <c r="AS118" s="268" t="n"/>
      <c r="AT118" s="268" t="n"/>
      <c r="AU118" s="268" t="n"/>
      <c r="AV118" s="268" t="n"/>
      <c r="AW118" s="268" t="n"/>
      <c r="AX118" s="268" t="n"/>
      <c r="AY118" s="268" t="n"/>
      <c r="AZ118" s="268" t="n"/>
      <c r="BA118" s="268" t="n"/>
      <c r="BB118" s="268" t="n"/>
      <c r="BC118" s="268" t="n"/>
      <c r="BD118" s="268" t="n"/>
      <c r="BE118" s="268" t="n"/>
      <c r="BF118" s="268" t="n"/>
      <c r="BG118" s="268" t="n"/>
      <c r="BH118" s="268" t="n"/>
      <c r="BI118" s="268" t="n"/>
      <c r="BJ118" s="268" t="n"/>
      <c r="BK118" s="268" t="n"/>
      <c r="BL118" s="268" t="n"/>
      <c r="BM118" s="268" t="n"/>
      <c r="BN118" s="268" t="n"/>
      <c r="BO118" s="268" t="n"/>
      <c r="BP118" s="268" t="n"/>
      <c r="BQ118" s="268" t="n"/>
      <c r="BR118" s="268" t="n"/>
      <c r="BS118" s="268" t="n"/>
      <c r="BT118" s="268" t="n"/>
      <c r="BU118" s="268" t="n"/>
      <c r="BV118" s="268" t="n"/>
      <c r="BW118" s="268" t="n"/>
      <c r="BX118" s="268" t="n"/>
      <c r="BY118" s="268" t="n"/>
      <c r="BZ118" s="268" t="n"/>
      <c r="CA118" s="268" t="n"/>
      <c r="CB118" s="268" t="n"/>
      <c r="CC118" s="268" t="n"/>
      <c r="CD118" s="268" t="n"/>
      <c r="CE118" s="268" t="n"/>
      <c r="CF118" s="268" t="n"/>
      <c r="CG118" s="268" t="n"/>
      <c r="CH118" s="268" t="n"/>
      <c r="CI118" s="268" t="n"/>
      <c r="CJ118" s="268" t="n"/>
      <c r="CK118" s="268" t="n"/>
      <c r="CL118" s="268" t="n"/>
      <c r="CM118" s="268" t="n"/>
      <c r="CN118" s="268" t="n"/>
      <c r="CO118" s="268" t="n"/>
      <c r="CP118" s="268" t="n"/>
      <c r="CQ118" s="268" t="n"/>
      <c r="CR118" s="268" t="n"/>
      <c r="CS118" s="268" t="n"/>
      <c r="CT118" s="268" t="n"/>
      <c r="CU118" s="268" t="n"/>
      <c r="CV118" s="268" t="n"/>
      <c r="CW118" s="268" t="n"/>
      <c r="CX118" s="268" t="n"/>
      <c r="CY118" s="268" t="n"/>
    </row>
    <row r="119" hidden="1" outlineLevel="1" ht="12.75" customHeight="1" s="255">
      <c r="C119" s="305" t="inlineStr">
        <is>
          <t>Baixa Imobilizado</t>
        </is>
      </c>
      <c r="D119" s="267" t="n"/>
      <c r="E119" s="267" t="n"/>
      <c r="F119" s="267" t="n"/>
      <c r="G119" s="267" t="n"/>
      <c r="H119" s="268" t="n"/>
      <c r="I119" s="267" t="n"/>
      <c r="J119" s="267" t="n"/>
      <c r="K119" s="267" t="n"/>
      <c r="L119" s="267" t="n"/>
      <c r="M119" s="268" t="n"/>
      <c r="N119" s="267" t="n"/>
      <c r="O119" s="267" t="n"/>
      <c r="P119" s="267" t="n"/>
      <c r="Q119" s="267" t="n"/>
      <c r="R119" s="268" t="n"/>
      <c r="S119" s="267" t="n"/>
      <c r="T119" s="267" t="n"/>
      <c r="U119" s="267" t="n"/>
      <c r="V119" s="267" t="n"/>
      <c r="W119" s="268" t="n"/>
      <c r="X119" s="267" t="n"/>
      <c r="Y119" s="267" t="n"/>
      <c r="Z119" s="267" t="n"/>
      <c r="AA119" s="267" t="n"/>
      <c r="AB119" s="268" t="n"/>
      <c r="AC119" s="267" t="n"/>
      <c r="AD119" s="267" t="n"/>
      <c r="AE119" s="267" t="n"/>
      <c r="AF119" s="267" t="n"/>
      <c r="AG119" s="268" t="n"/>
      <c r="AH119" s="268" t="n"/>
      <c r="AI119" s="268" t="n"/>
      <c r="AJ119" s="268" t="n"/>
      <c r="AK119" s="268" t="n"/>
      <c r="AL119" s="268" t="n"/>
      <c r="AM119" s="268" t="n"/>
      <c r="AN119" s="268" t="n"/>
      <c r="AO119" s="268" t="n"/>
      <c r="AP119" s="268" t="n"/>
      <c r="AQ119" s="268" t="n"/>
      <c r="AR119" s="268" t="n"/>
      <c r="AS119" s="268" t="n"/>
      <c r="AT119" s="268" t="n"/>
      <c r="AU119" s="268" t="n"/>
      <c r="AV119" s="268" t="n"/>
      <c r="AW119" s="268" t="n"/>
      <c r="AX119" s="268" t="n"/>
      <c r="AY119" s="268" t="n"/>
      <c r="AZ119" s="268" t="n"/>
      <c r="BA119" s="268" t="n"/>
      <c r="BB119" s="268" t="n"/>
      <c r="BC119" s="268" t="n"/>
      <c r="BD119" s="268" t="n"/>
      <c r="BE119" s="268" t="n"/>
      <c r="BF119" s="268" t="n"/>
      <c r="BG119" s="268" t="n"/>
      <c r="BH119" s="268" t="n"/>
      <c r="BI119" s="268" t="n"/>
      <c r="BJ119" s="268" t="n"/>
      <c r="BK119" s="268" t="n"/>
      <c r="BL119" s="268" t="n"/>
      <c r="BM119" s="268" t="n"/>
      <c r="BN119" s="268" t="n"/>
      <c r="BO119" s="268" t="n"/>
      <c r="BP119" s="268" t="n"/>
      <c r="BQ119" s="268" t="n"/>
      <c r="BR119" s="268" t="n"/>
      <c r="BS119" s="268" t="n"/>
      <c r="BT119" s="268" t="n"/>
      <c r="BU119" s="268" t="n"/>
      <c r="BV119" s="268" t="n"/>
      <c r="BW119" s="268" t="n"/>
      <c r="BX119" s="268" t="n"/>
      <c r="BY119" s="268" t="n"/>
      <c r="BZ119" s="268" t="n"/>
      <c r="CA119" s="268" t="n"/>
      <c r="CB119" s="268" t="n"/>
      <c r="CC119" s="268" t="n"/>
      <c r="CD119" s="268" t="n"/>
      <c r="CE119" s="268" t="n"/>
      <c r="CF119" s="268" t="n"/>
      <c r="CG119" s="268" t="n"/>
      <c r="CH119" s="268" t="n"/>
      <c r="CI119" s="268" t="n"/>
      <c r="CJ119" s="268" t="n"/>
      <c r="CK119" s="268" t="n"/>
      <c r="CL119" s="268" t="n"/>
      <c r="CM119" s="268" t="n"/>
      <c r="CN119" s="268" t="n"/>
      <c r="CO119" s="268" t="n"/>
      <c r="CP119" s="268" t="n"/>
      <c r="CQ119" s="268" t="n"/>
      <c r="CR119" s="268" t="n"/>
      <c r="CS119" s="268" t="n"/>
      <c r="CT119" s="268" t="n"/>
      <c r="CU119" s="268" t="n"/>
      <c r="CV119" s="268" t="n"/>
      <c r="CW119" s="268" t="n"/>
      <c r="CX119" s="268" t="n"/>
      <c r="CY119" s="268" t="n"/>
    </row>
    <row r="120" hidden="1" outlineLevel="1" ht="12.75" customHeight="1" s="255">
      <c r="C120" s="312" t="n"/>
      <c r="D120" s="268" t="n"/>
      <c r="E120" s="268" t="n"/>
      <c r="F120" s="268" t="n"/>
      <c r="G120" s="268" t="n"/>
      <c r="H120" s="268" t="n"/>
      <c r="I120" s="268" t="n"/>
      <c r="J120" s="268" t="n"/>
      <c r="K120" s="268" t="n"/>
      <c r="L120" s="268" t="n"/>
      <c r="M120" s="268" t="n"/>
      <c r="N120" s="268" t="n"/>
      <c r="O120" s="268" t="n"/>
      <c r="P120" s="268" t="n"/>
      <c r="Q120" s="268" t="n"/>
      <c r="R120" s="268" t="n"/>
      <c r="S120" s="268" t="n"/>
      <c r="T120" s="268" t="n"/>
      <c r="U120" s="268" t="n"/>
      <c r="V120" s="268" t="n"/>
      <c r="W120" s="268" t="n"/>
      <c r="X120" s="268" t="n"/>
      <c r="Y120" s="268" t="n"/>
      <c r="Z120" s="268" t="n"/>
      <c r="AA120" s="268" t="n"/>
      <c r="AB120" s="268" t="n"/>
      <c r="AC120" s="268" t="n"/>
      <c r="AD120" s="268" t="n"/>
      <c r="AE120" s="268" t="n"/>
      <c r="AF120" s="268" t="n"/>
      <c r="AG120" s="268" t="n"/>
      <c r="AH120" s="268" t="n"/>
      <c r="AI120" s="268" t="n"/>
      <c r="AJ120" s="268" t="n"/>
      <c r="AK120" s="268" t="n"/>
      <c r="AL120" s="268" t="n"/>
      <c r="AM120" s="268" t="n"/>
      <c r="AN120" s="268" t="n"/>
      <c r="AO120" s="268" t="n"/>
      <c r="AP120" s="268" t="n"/>
      <c r="AQ120" s="268" t="n"/>
      <c r="AR120" s="268" t="n"/>
      <c r="AS120" s="268" t="n"/>
      <c r="AT120" s="268" t="n"/>
      <c r="AU120" s="268" t="n"/>
      <c r="AV120" s="268" t="n"/>
      <c r="AW120" s="268" t="n"/>
      <c r="AX120" s="268" t="n"/>
      <c r="AY120" s="268" t="n"/>
      <c r="AZ120" s="268" t="n"/>
      <c r="BA120" s="268" t="n"/>
      <c r="BB120" s="268" t="n"/>
      <c r="BC120" s="268" t="n"/>
      <c r="BD120" s="268" t="n"/>
      <c r="BE120" s="268" t="n"/>
      <c r="BF120" s="268" t="n"/>
      <c r="BG120" s="268" t="n"/>
      <c r="BH120" s="268" t="n"/>
      <c r="BI120" s="268" t="n"/>
      <c r="BJ120" s="268" t="n"/>
      <c r="BK120" s="268" t="n"/>
      <c r="BL120" s="268" t="n"/>
      <c r="BM120" s="268" t="n"/>
      <c r="BN120" s="268" t="n"/>
      <c r="BO120" s="268" t="n"/>
      <c r="BP120" s="268" t="n"/>
      <c r="BQ120" s="268" t="n"/>
      <c r="BR120" s="268" t="n"/>
      <c r="BS120" s="268" t="n"/>
      <c r="BT120" s="268" t="n"/>
      <c r="BU120" s="268" t="n"/>
      <c r="BV120" s="268" t="n"/>
      <c r="BW120" s="268" t="n"/>
      <c r="BX120" s="268" t="n"/>
      <c r="BY120" s="268" t="n"/>
      <c r="BZ120" s="268" t="n"/>
      <c r="CA120" s="268" t="n"/>
      <c r="CB120" s="268" t="n"/>
      <c r="CC120" s="268" t="n"/>
      <c r="CD120" s="268" t="n"/>
      <c r="CE120" s="268" t="n"/>
      <c r="CF120" s="268" t="n"/>
      <c r="CG120" s="268" t="n"/>
      <c r="CH120" s="268" t="n"/>
      <c r="CI120" s="268" t="n"/>
      <c r="CJ120" s="268" t="n"/>
      <c r="CK120" s="268" t="n"/>
      <c r="CL120" s="268" t="n"/>
      <c r="CM120" s="268" t="n"/>
      <c r="CN120" s="268" t="n"/>
      <c r="CO120" s="268" t="n"/>
      <c r="CP120" s="268" t="n"/>
      <c r="CQ120" s="268" t="n"/>
      <c r="CR120" s="268" t="n"/>
      <c r="CS120" s="268" t="n"/>
      <c r="CT120" s="268" t="n"/>
      <c r="CU120" s="268" t="n"/>
      <c r="CV120" s="268" t="n"/>
      <c r="CW120" s="268" t="n"/>
      <c r="CX120" s="268" t="n"/>
      <c r="CY120" s="268" t="n"/>
    </row>
    <row r="121" hidden="1" outlineLevel="1" ht="12.75" customHeight="1" s="255">
      <c r="C121" s="312" t="n"/>
      <c r="D121" s="268" t="n"/>
      <c r="E121" s="268" t="n"/>
      <c r="F121" s="268" t="n"/>
      <c r="G121" s="268" t="n"/>
      <c r="H121" s="268" t="n"/>
      <c r="I121" s="268" t="n"/>
      <c r="J121" s="268" t="n"/>
      <c r="K121" s="268" t="n"/>
      <c r="L121" s="268" t="n"/>
      <c r="M121" s="268" t="n"/>
      <c r="N121" s="268" t="n"/>
      <c r="O121" s="268" t="n"/>
      <c r="P121" s="268" t="n"/>
      <c r="Q121" s="268" t="n"/>
      <c r="R121" s="268" t="n"/>
      <c r="S121" s="268" t="n"/>
      <c r="T121" s="268" t="n"/>
      <c r="U121" s="268" t="n"/>
      <c r="V121" s="268" t="n"/>
      <c r="W121" s="268" t="n"/>
      <c r="X121" s="268" t="n"/>
      <c r="Y121" s="268" t="n"/>
      <c r="Z121" s="268" t="n"/>
      <c r="AA121" s="268" t="n"/>
      <c r="AB121" s="268" t="n"/>
      <c r="AC121" s="268" t="n"/>
      <c r="AD121" s="268" t="n"/>
      <c r="AE121" s="268" t="n"/>
      <c r="AF121" s="268" t="n"/>
      <c r="AG121" s="268" t="n"/>
      <c r="AH121" s="268" t="n"/>
      <c r="AI121" s="268" t="n"/>
      <c r="AJ121" s="268" t="n"/>
      <c r="AK121" s="268" t="n"/>
      <c r="AL121" s="268" t="n"/>
      <c r="AM121" s="268" t="n"/>
      <c r="AN121" s="268" t="n"/>
      <c r="AO121" s="268" t="n"/>
      <c r="AP121" s="268" t="n"/>
      <c r="AQ121" s="268" t="n"/>
      <c r="AR121" s="268" t="n"/>
      <c r="AS121" s="268" t="n"/>
      <c r="AT121" s="268" t="n"/>
      <c r="AU121" s="268" t="n"/>
      <c r="AV121" s="268" t="n"/>
      <c r="AW121" s="268" t="n"/>
      <c r="AX121" s="268" t="n"/>
      <c r="AY121" s="268" t="n"/>
      <c r="AZ121" s="268" t="n"/>
      <c r="BA121" s="268" t="n"/>
      <c r="BB121" s="268" t="n"/>
      <c r="BC121" s="268" t="n"/>
      <c r="BD121" s="268" t="n"/>
      <c r="BE121" s="268" t="n"/>
      <c r="BF121" s="268" t="n"/>
      <c r="BG121" s="268" t="n"/>
      <c r="BH121" s="268" t="n"/>
      <c r="BI121" s="268" t="n"/>
      <c r="BJ121" s="268" t="n"/>
      <c r="BK121" s="268" t="n"/>
      <c r="BL121" s="268" t="n"/>
      <c r="BM121" s="268" t="n"/>
      <c r="BN121" s="268" t="n"/>
      <c r="BO121" s="268" t="n"/>
      <c r="BP121" s="268" t="n"/>
      <c r="BQ121" s="268" t="n"/>
      <c r="BR121" s="268" t="n"/>
      <c r="BS121" s="268" t="n"/>
      <c r="BT121" s="268" t="n"/>
      <c r="BU121" s="268" t="n"/>
      <c r="BV121" s="268" t="n"/>
      <c r="BW121" s="268" t="n"/>
      <c r="BX121" s="268" t="n"/>
      <c r="BY121" s="268" t="n"/>
      <c r="BZ121" s="268" t="n"/>
      <c r="CA121" s="268" t="n"/>
      <c r="CB121" s="268" t="n"/>
      <c r="CC121" s="268" t="n"/>
      <c r="CD121" s="268" t="n"/>
      <c r="CE121" s="268" t="n"/>
      <c r="CF121" s="268" t="n"/>
      <c r="CG121" s="268" t="n"/>
      <c r="CH121" s="268" t="n"/>
      <c r="CI121" s="268" t="n"/>
      <c r="CJ121" s="268" t="n"/>
      <c r="CK121" s="268" t="n"/>
      <c r="CL121" s="268" t="n"/>
      <c r="CM121" s="268" t="n"/>
      <c r="CN121" s="268" t="n"/>
      <c r="CO121" s="268" t="n"/>
      <c r="CP121" s="268" t="n"/>
      <c r="CQ121" s="268" t="n"/>
      <c r="CR121" s="268" t="n"/>
      <c r="CS121" s="268" t="n"/>
      <c r="CT121" s="268" t="n"/>
      <c r="CU121" s="268" t="n"/>
      <c r="CV121" s="268" t="n"/>
      <c r="CW121" s="268" t="n"/>
      <c r="CX121" s="268" t="n"/>
      <c r="CY121" s="268" t="n"/>
    </row>
    <row r="122" ht="12.75" customFormat="1" customHeight="1" s="287">
      <c r="A122" s="288" t="n"/>
      <c r="B122" s="259" t="n"/>
      <c r="C122" s="275" t="inlineStr">
        <is>
          <t>Pretax Income - EBT</t>
        </is>
      </c>
      <c r="D122" s="276">
        <f>SUM(D65,D66,D115)</f>
        <v>-612</v>
      </c>
      <c r="E122" s="276">
        <f>SUM(E65,E66,E115)</f>
        <v>217</v>
      </c>
      <c r="F122" s="276">
        <f>SUM(F65,F66,F115)</f>
        <v>723</v>
      </c>
      <c r="G122" s="276">
        <f>SUM(G65,G66,G115)</f>
        <v>1469</v>
      </c>
      <c r="H122" s="276">
        <f>SUM(D122:G122)</f>
        <v>1797</v>
      </c>
      <c r="I122" s="276">
        <f>SUM(I65,I66,I115)</f>
        <v>1398</v>
      </c>
      <c r="J122" s="276">
        <f>SUM(J65,J66,J115)</f>
        <v>1928</v>
      </c>
      <c r="K122" s="276">
        <f>SUM(K65,K66,K115)</f>
        <v>2360</v>
      </c>
      <c r="L122" s="276">
        <f>SUM(L65,L66,L115)</f>
        <v>1973</v>
      </c>
      <c r="M122" s="276">
        <f>SUM(I122:L122)</f>
        <v>7659</v>
      </c>
      <c r="N122" s="276">
        <f>SUM(N65,N66,N115)</f>
        <v>2713</v>
      </c>
      <c r="O122" s="276">
        <f>SUM(O65,O66,O115)</f>
        <v>1599</v>
      </c>
      <c r="P122" s="276">
        <f>SUM(P65,P66,P115)</f>
        <v>867</v>
      </c>
      <c r="Q122" s="276">
        <f>SUM(Q65,Q66,Q115)</f>
        <v>1536</v>
      </c>
      <c r="R122" s="276">
        <f>SUM(N122:Q122)</f>
        <v>6715</v>
      </c>
      <c r="S122" s="276">
        <f>SUM(S65,S66,S115)</f>
        <v>1538</v>
      </c>
      <c r="T122" s="276">
        <f>SUM(T65,T66,T115)</f>
        <v>1268</v>
      </c>
      <c r="U122" s="276">
        <f>SUM(U65,U66,U115)</f>
        <v>1472</v>
      </c>
      <c r="V122" s="276">
        <f>SUM(V65,V66,V115)</f>
        <v>1728</v>
      </c>
      <c r="W122" s="276">
        <f>SUM(S122:V122)</f>
        <v>6006</v>
      </c>
      <c r="X122" s="276">
        <f>SUM(X65,X66,X115)</f>
        <v>1674</v>
      </c>
      <c r="Y122" s="276">
        <f>SUM(Y65,Y66,Y115)</f>
        <v>2030</v>
      </c>
      <c r="Z122" s="276">
        <f>SUM(Z65,Z66,Z115)</f>
        <v>1963</v>
      </c>
      <c r="AA122" s="276">
        <f>SUM(AA65,AA66,AA115)</f>
        <v>1240</v>
      </c>
      <c r="AB122" s="276">
        <f>SUM(X122:AA122)</f>
        <v>6907</v>
      </c>
      <c r="AC122" s="276">
        <f>SUM(AC65,AC66,AC115)</f>
        <v>1291</v>
      </c>
      <c r="AD122" s="276">
        <f>SUM(AD65,AD66,AD115)</f>
        <v>2391</v>
      </c>
      <c r="AE122" s="276">
        <f>SUM(AE65,AE66,AE115)</f>
        <v>1924</v>
      </c>
      <c r="AF122" s="276">
        <f>SUM(AF65,AF66,AF115)</f>
        <v>766</v>
      </c>
      <c r="AG122" s="276">
        <f>SUM(AC122:AF122)</f>
        <v>6372</v>
      </c>
      <c r="AH122" s="276">
        <f>SUM(AH65,AH66,AH115)</f>
        <v>2034</v>
      </c>
      <c r="AI122" s="276">
        <f>SUM(AI65,AI66,AI115)</f>
        <v>1930</v>
      </c>
      <c r="AJ122" s="276">
        <f>SUM(AJ65,AJ66,AJ115)</f>
        <v>-103</v>
      </c>
      <c r="AK122" s="276">
        <f>SUM(AK65,AK66,AK115)</f>
        <v>-73</v>
      </c>
      <c r="AL122" s="276">
        <f>SUM(AH122:AK122)</f>
        <v>3788</v>
      </c>
      <c r="AM122" s="276">
        <f>SUM(AM65,AM66,AM115)</f>
        <v>-73</v>
      </c>
      <c r="AN122" s="276">
        <f>SUM(AN65,AN66,AN115)</f>
        <v>-352</v>
      </c>
      <c r="AO122" s="276">
        <f>SUM(AO65,AO66,AO115)</f>
        <v>-73</v>
      </c>
      <c r="AP122" s="276">
        <f>SUM(AP65,AP66,AP115)</f>
        <v>-352</v>
      </c>
      <c r="AQ122" s="276">
        <f>SUM(AM122:AP122)</f>
        <v>-850</v>
      </c>
      <c r="AR122" s="276">
        <f>SUM(AR65,AR66,AR115)</f>
        <v>-352</v>
      </c>
      <c r="AS122" s="276">
        <f>SUM(AS65,AS66,AS115)</f>
        <v>-850</v>
      </c>
      <c r="AT122" s="276">
        <f>SUM(AT65,AT66,AT115)</f>
        <v>-352</v>
      </c>
      <c r="AU122" s="276">
        <f>SUM(AU65,AU66,AU115)</f>
        <v>-850</v>
      </c>
      <c r="AV122" s="276">
        <f>SUM(AR122:AU122)</f>
        <v>-2404</v>
      </c>
      <c r="AW122" s="276">
        <f>SUM(AW65,AW66,AW115)</f>
        <v>-850</v>
      </c>
      <c r="AX122" s="276">
        <f>SUM(AX65,AX66,AX115)</f>
        <v>-2404</v>
      </c>
      <c r="AY122" s="276">
        <f>SUM(AY65,AY66,AY115)</f>
        <v>-850</v>
      </c>
      <c r="AZ122" s="276">
        <f>SUM(AZ65,AZ66,AZ115)</f>
        <v>-2404</v>
      </c>
      <c r="BA122" s="276">
        <f>SUM(AW122:AZ122)</f>
        <v>-6508</v>
      </c>
      <c r="BB122" s="276">
        <f>SUM(BB65,BB66,BB115)</f>
        <v>-2404</v>
      </c>
      <c r="BC122" s="276">
        <f>SUM(BC65,BC66,BC115)</f>
        <v>-6508</v>
      </c>
      <c r="BD122" s="276">
        <f>SUM(BD65,BD66,BD115)</f>
        <v>-2404</v>
      </c>
      <c r="BE122" s="276">
        <f>SUM(BE65,BE66,BE115)</f>
        <v>-6508</v>
      </c>
      <c r="BF122" s="276">
        <f>SUM(BB122:BE122)</f>
        <v>-17824</v>
      </c>
      <c r="BG122" s="276">
        <f>SUM(BG65,BG66,BG115)</f>
        <v>-6508</v>
      </c>
      <c r="BH122" s="276">
        <f>SUM(BH65,BH66,BH115)</f>
        <v>-17824</v>
      </c>
      <c r="BI122" s="276">
        <f>SUM(BI65,BI66,BI115)</f>
        <v>-6508</v>
      </c>
      <c r="BJ122" s="276">
        <f>SUM(BJ65,BJ66,BJ115)</f>
        <v>-17824</v>
      </c>
      <c r="BK122" s="276">
        <f>SUM(BG122:BJ122)</f>
        <v>-48664</v>
      </c>
      <c r="BL122" s="276">
        <f>SUM(BL65,BL66,BL115)</f>
        <v>-17824</v>
      </c>
      <c r="BM122" s="276">
        <f>SUM(BM65,BM66,BM115)</f>
        <v>-48664</v>
      </c>
      <c r="BN122" s="276">
        <f>SUM(BN65,BN66,BN115)</f>
        <v>-17824</v>
      </c>
      <c r="BO122" s="276">
        <f>SUM(BO65,BO66,BO115)</f>
        <v>-48664</v>
      </c>
      <c r="BP122" s="276">
        <f>SUM(BL122:BO122)</f>
        <v>-132976</v>
      </c>
      <c r="BQ122" s="276">
        <f>SUM(BQ65,BQ66,BQ115)</f>
        <v>-48664</v>
      </c>
      <c r="BR122" s="276">
        <f>SUM(BR65,BR66,BR115)</f>
        <v>-132976</v>
      </c>
      <c r="BS122" s="276">
        <f>SUM(BS65,BS66,BS115)</f>
        <v>-48664</v>
      </c>
      <c r="BT122" s="276">
        <f>SUM(BT65,BT66,BT115)</f>
        <v>-132976</v>
      </c>
      <c r="BU122" s="276">
        <f>SUM(BQ122:BT122)</f>
        <v>-363280</v>
      </c>
      <c r="BV122" s="276">
        <f>SUM(BV65,BV66,BV115)</f>
        <v>-132976</v>
      </c>
      <c r="BW122" s="276">
        <f>SUM(BW65,BW66,BW115)</f>
        <v>-363280</v>
      </c>
      <c r="BX122" s="276">
        <f>SUM(BX65,BX66,BX115)</f>
        <v>-132976</v>
      </c>
      <c r="BY122" s="276">
        <f>SUM(BY65,BY66,BY115)</f>
        <v>-363280</v>
      </c>
      <c r="BZ122" s="276">
        <f>SUM(BV122:BY122)</f>
        <v>-992512</v>
      </c>
      <c r="CA122" s="276">
        <f>SUM(CA65,CA66,CA115)</f>
        <v>-363280</v>
      </c>
      <c r="CB122" s="276">
        <f>SUM(CB65,CB66,CB115)</f>
        <v>-992512</v>
      </c>
      <c r="CC122" s="276">
        <f>SUM(CC65,CC66,CC115)</f>
        <v>-363280</v>
      </c>
      <c r="CD122" s="276">
        <f>SUM(CD65,CD66,CD115)</f>
        <v>-992512</v>
      </c>
      <c r="CE122" s="276">
        <f>SUM(CA122:CD122)</f>
        <v>-2711584</v>
      </c>
      <c r="CF122" s="276">
        <f>SUM(CF65,CF66,CF115)</f>
        <v>-992512</v>
      </c>
      <c r="CG122" s="276">
        <f>SUM(CG65,CG66,CG115)</f>
        <v>-2711584</v>
      </c>
      <c r="CH122" s="276">
        <f>SUM(CH65,CH66,CH115)</f>
        <v>-992512</v>
      </c>
      <c r="CI122" s="276">
        <f>SUM(CI65,CI66,CI115)</f>
        <v>-2711584</v>
      </c>
      <c r="CJ122" s="276">
        <f>SUM(CF122:CI122)</f>
        <v>-7408192</v>
      </c>
      <c r="CK122" s="276">
        <f>SUM(CK65,CK66,CK115)</f>
        <v>-2711584</v>
      </c>
      <c r="CL122" s="276">
        <f>SUM(CL65,CL66,CL115)</f>
        <v>-7408192</v>
      </c>
      <c r="CM122" s="276">
        <f>SUM(CM65,CM66,CM115)</f>
        <v>-2711584</v>
      </c>
      <c r="CN122" s="276">
        <f>SUM(CN65,CN66,CN115)</f>
        <v>-7408192</v>
      </c>
      <c r="CO122" s="276">
        <f>SUM(CK122:CN122)</f>
        <v>-20239552</v>
      </c>
      <c r="CP122" s="276">
        <f>SUM(CP65,CP66,CP115)</f>
        <v>-7408192</v>
      </c>
      <c r="CQ122" s="276">
        <f>SUM(CQ65,CQ66,CQ115)</f>
        <v>-20239552</v>
      </c>
      <c r="CR122" s="276">
        <f>SUM(CR65,CR66,CR115)</f>
        <v>-7408192</v>
      </c>
      <c r="CS122" s="276">
        <f>SUM(CS65,CS66,CS115)</f>
        <v>-20239552</v>
      </c>
      <c r="CT122" s="276">
        <f>SUM(CP122:CS122)</f>
        <v>-55295488</v>
      </c>
      <c r="CU122" s="276">
        <f>SUM(CU65,CU66,CU115)</f>
        <v>-20239552</v>
      </c>
      <c r="CV122" s="276">
        <f>SUM(CV65,CV66,CV115)</f>
        <v>-55295488</v>
      </c>
      <c r="CW122" s="276">
        <f>SUM(CW65,CW66,CW115)</f>
        <v>-20239552</v>
      </c>
      <c r="CX122" s="276">
        <f>SUM(CX65,CX66,CX115)</f>
        <v>-55295488</v>
      </c>
      <c r="CY122" s="276">
        <f>SUM(CU122:CX122)</f>
        <v>-151070080</v>
      </c>
    </row>
    <row r="123" ht="12.75" customHeight="1" s="255">
      <c r="C123" s="270" t="inlineStr">
        <is>
          <t>Taxes</t>
        </is>
      </c>
      <c r="D123" s="301">
        <f>INDEX('Inputs (2)'!$D$10:$AL$10,MATCH(D$7,'Inputs (2)'!$D$2:$AL$2,0))</f>
        <v>60</v>
      </c>
      <c r="E123" s="301">
        <f>INDEX('Inputs (2)'!$D$10:$AL$10,MATCH(E$7,'Inputs (2)'!$D$2:$AL$2,0))</f>
        <v>-96</v>
      </c>
      <c r="F123" s="301">
        <f>INDEX('Inputs (2)'!$D$10:$AL$10,MATCH(F$7,'Inputs (2)'!$D$2:$AL$2,0))</f>
        <v>-297</v>
      </c>
      <c r="G123" s="301">
        <f>INDEX('Inputs (2)'!$D$10:$AL$10,MATCH(G$7,'Inputs (2)'!$D$2:$AL$2,0))</f>
        <v>-611</v>
      </c>
      <c r="H123" s="268">
        <f>SUM(D123:G123)</f>
        <v>-944</v>
      </c>
      <c r="I123" s="301">
        <f>INDEX('Inputs (2)'!$D$10:$AL$10,MATCH(I$7,'Inputs (2)'!$D$2:$AL$2,0))</f>
        <v>-443</v>
      </c>
      <c r="J123" s="301">
        <f>INDEX('Inputs (2)'!$D$10:$AL$10,MATCH(J$7,'Inputs (2)'!$D$2:$AL$2,0))</f>
        <v>-603</v>
      </c>
      <c r="K123" s="301">
        <f>INDEX('Inputs (2)'!$D$10:$AL$10,MATCH(K$7,'Inputs (2)'!$D$2:$AL$2,0))</f>
        <v>-628</v>
      </c>
      <c r="L123" s="301">
        <f>INDEX('Inputs (2)'!$D$10:$AL$10,MATCH(L$7,'Inputs (2)'!$D$2:$AL$2,0))</f>
        <v>-625</v>
      </c>
      <c r="M123" s="268">
        <f>SUM(I123:L123)</f>
        <v>-2299</v>
      </c>
      <c r="N123" s="301">
        <f>INDEX('Inputs (2)'!$D$10:$AL$10,MATCH(N$7,'Inputs (2)'!$D$2:$AL$2,0))</f>
        <v>-824</v>
      </c>
      <c r="O123" s="301">
        <f>INDEX('Inputs (2)'!$D$10:$AL$10,MATCH(O$7,'Inputs (2)'!$D$2:$AL$2,0))</f>
        <v>-571</v>
      </c>
      <c r="P123" s="301">
        <f>INDEX('Inputs (2)'!$D$10:$AL$10,MATCH(P$7,'Inputs (2)'!$D$2:$AL$2,0))</f>
        <v>-315</v>
      </c>
      <c r="Q123" s="301">
        <f>INDEX('Inputs (2)'!$D$10:$AL$10,MATCH(Q$7,'Inputs (2)'!$D$2:$AL$2,0))</f>
        <v>-557</v>
      </c>
      <c r="R123" s="268">
        <f>SUM(N123:Q123)</f>
        <v>-2267</v>
      </c>
      <c r="S123" s="301">
        <f>INDEX('Inputs (2)'!$D$10:$AL$10,MATCH(S$7,'Inputs (2)'!$D$2:$AL$2,0))</f>
        <v>-499</v>
      </c>
      <c r="T123" s="301">
        <f>INDEX('Inputs (2)'!$D$10:$AL$10,MATCH(T$7,'Inputs (2)'!$D$2:$AL$2,0))</f>
        <v>-539</v>
      </c>
      <c r="U123" s="301">
        <f>INDEX('Inputs (2)'!$D$10:$AL$10,MATCH(U$7,'Inputs (2)'!$D$2:$AL$2,0))</f>
        <v>-508</v>
      </c>
      <c r="V123" s="301">
        <f>INDEX('Inputs (2)'!$D$10:$AL$10,MATCH(V$7,'Inputs (2)'!$D$2:$AL$2,0))</f>
        <v>-724</v>
      </c>
      <c r="W123" s="268">
        <f>SUM(S123:V123)</f>
        <v>-2270</v>
      </c>
      <c r="X123" s="301">
        <f>INDEX('Inputs (2)'!$D$10:$AL$10,MATCH(X$7,'Inputs (2)'!$D$2:$AL$2,0))</f>
        <v>-512</v>
      </c>
      <c r="Y123" s="301">
        <f>INDEX('Inputs (2)'!$D$10:$AL$10,MATCH(Y$7,'Inputs (2)'!$D$2:$AL$2,0))</f>
        <v>-754</v>
      </c>
      <c r="Z123" s="301">
        <f>INDEX('Inputs (2)'!$D$10:$AL$10,MATCH(Z$7,'Inputs (2)'!$D$2:$AL$2,0))</f>
        <v>-737</v>
      </c>
      <c r="AA123" s="301">
        <f>INDEX('Inputs (2)'!$D$10:$AL$10,MATCH(AA$7,'Inputs (2)'!$D$2:$AL$2,0))</f>
        <v>-520</v>
      </c>
      <c r="AB123" s="268">
        <f>SUM(X123:AA123)</f>
        <v>-2523</v>
      </c>
      <c r="AC123" s="301">
        <f>INDEX('Inputs (2)'!$D$10:$AL$10,MATCH(AC$7,'Inputs (2)'!$D$2:$AL$2,0))</f>
        <v>-500</v>
      </c>
      <c r="AD123" s="301">
        <f>INDEX('Inputs (2)'!$D$10:$AL$10,MATCH(AD$7,'Inputs (2)'!$D$2:$AL$2,0))</f>
        <v>-850</v>
      </c>
      <c r="AE123" s="301">
        <f>INDEX('Inputs (2)'!$D$10:$AL$10,MATCH(AE$7,'Inputs (2)'!$D$2:$AL$2,0))</f>
        <v>-669</v>
      </c>
      <c r="AF123" s="301">
        <f>INDEX('Inputs (2)'!$D$10:$AL$10,MATCH(AF$7,'Inputs (2)'!$D$2:$AL$2,0))</f>
        <v>-202</v>
      </c>
      <c r="AG123" s="268">
        <f>SUM(AC123:AF123)</f>
        <v>-2221</v>
      </c>
      <c r="AH123" s="268">
        <f>INDEX('Inputs (2)'!$D$10:$AL$10,MATCH(AH$7,'Inputs (2)'!$D$2:$AL$2,0))</f>
        <v>-653</v>
      </c>
      <c r="AI123" s="268">
        <f>INDEX('Inputs (2)'!$D$10:$AL$10,MATCH(AI$7,'Inputs (2)'!$D$2:$AL$2,0))</f>
        <v>-544</v>
      </c>
      <c r="AJ123" s="268">
        <f>AJ124*-AJ122</f>
        <v>0</v>
      </c>
      <c r="AK123" s="268">
        <f>AK124*-AK122</f>
        <v>0</v>
      </c>
      <c r="AL123" s="268">
        <f>SUM(AH123:AK123)</f>
        <v>-1197</v>
      </c>
      <c r="AM123" s="268">
        <f>AM124*-AM122</f>
        <v>0</v>
      </c>
      <c r="AN123" s="268">
        <f>AN124*-AN122</f>
        <v>0</v>
      </c>
      <c r="AO123" s="268">
        <f>AO124*-AO122</f>
        <v>0</v>
      </c>
      <c r="AP123" s="268">
        <f>AP124*-AP122</f>
        <v>0</v>
      </c>
      <c r="AQ123" s="268">
        <f>SUM(AM123:AP123)</f>
        <v>0</v>
      </c>
      <c r="AR123" s="268">
        <f>AR124*-AR122</f>
        <v>0</v>
      </c>
      <c r="AS123" s="268">
        <f>AS124*-AS122</f>
        <v>0</v>
      </c>
      <c r="AT123" s="268">
        <f>AT124*-AT122</f>
        <v>0</v>
      </c>
      <c r="AU123" s="268">
        <f>AU124*-AU122</f>
        <v>0</v>
      </c>
      <c r="AV123" s="268">
        <f>SUM(AR123:AU123)</f>
        <v>0</v>
      </c>
      <c r="AW123" s="268">
        <f>AW124*-AW122</f>
        <v>0</v>
      </c>
      <c r="AX123" s="268">
        <f>AX124*-AX122</f>
        <v>0</v>
      </c>
      <c r="AY123" s="268">
        <f>AY124*-AY122</f>
        <v>0</v>
      </c>
      <c r="AZ123" s="268">
        <f>AZ124*-AZ122</f>
        <v>0</v>
      </c>
      <c r="BA123" s="268">
        <f>SUM(AW123:AZ123)</f>
        <v>0</v>
      </c>
      <c r="BB123" s="268">
        <f>BB124*-BB122</f>
        <v>0</v>
      </c>
      <c r="BC123" s="268">
        <f>BC124*-BC122</f>
        <v>0</v>
      </c>
      <c r="BD123" s="268">
        <f>BD124*-BD122</f>
        <v>0</v>
      </c>
      <c r="BE123" s="268">
        <f>BE124*-BE122</f>
        <v>0</v>
      </c>
      <c r="BF123" s="268">
        <f>SUM(BB123:BE123)</f>
        <v>0</v>
      </c>
      <c r="BG123" s="268">
        <f>BG124*-BG122</f>
        <v>0</v>
      </c>
      <c r="BH123" s="268">
        <f>BH124*-BH122</f>
        <v>0</v>
      </c>
      <c r="BI123" s="268">
        <f>BI124*-BI122</f>
        <v>0</v>
      </c>
      <c r="BJ123" s="268">
        <f>BJ124*-BJ122</f>
        <v>0</v>
      </c>
      <c r="BK123" s="268">
        <f>SUM(BG123:BJ123)</f>
        <v>0</v>
      </c>
      <c r="BL123" s="268">
        <f>BL124*-BL122</f>
        <v>0</v>
      </c>
      <c r="BM123" s="268">
        <f>BM124*-BM122</f>
        <v>0</v>
      </c>
      <c r="BN123" s="268">
        <f>BN124*-BN122</f>
        <v>0</v>
      </c>
      <c r="BO123" s="268">
        <f>BO124*-BO122</f>
        <v>0</v>
      </c>
      <c r="BP123" s="268">
        <f>SUM(BL123:BO123)</f>
        <v>0</v>
      </c>
      <c r="BQ123" s="268">
        <f>BQ124*-BQ122</f>
        <v>0</v>
      </c>
      <c r="BR123" s="268">
        <f>BR124*-BR122</f>
        <v>0</v>
      </c>
      <c r="BS123" s="268">
        <f>BS124*-BS122</f>
        <v>0</v>
      </c>
      <c r="BT123" s="268">
        <f>BT124*-BT122</f>
        <v>0</v>
      </c>
      <c r="BU123" s="268">
        <f>SUM(BQ123:BT123)</f>
        <v>0</v>
      </c>
      <c r="BV123" s="268">
        <f>BV124*-BV122</f>
        <v>0</v>
      </c>
      <c r="BW123" s="268">
        <f>BW124*-BW122</f>
        <v>0</v>
      </c>
      <c r="BX123" s="268">
        <f>BX124*-BX122</f>
        <v>0</v>
      </c>
      <c r="BY123" s="268">
        <f>BY124*-BY122</f>
        <v>0</v>
      </c>
      <c r="BZ123" s="268">
        <f>SUM(BV123:BY123)</f>
        <v>0</v>
      </c>
      <c r="CA123" s="268">
        <f>CA124*-CA122</f>
        <v>0</v>
      </c>
      <c r="CB123" s="268">
        <f>CB124*-CB122</f>
        <v>0</v>
      </c>
      <c r="CC123" s="268">
        <f>CC124*-CC122</f>
        <v>0</v>
      </c>
      <c r="CD123" s="268">
        <f>CD124*-CD122</f>
        <v>0</v>
      </c>
      <c r="CE123" s="268">
        <f>SUM(CA123:CD123)</f>
        <v>0</v>
      </c>
      <c r="CF123" s="268">
        <f>CF124*-CF122</f>
        <v>0</v>
      </c>
      <c r="CG123" s="268">
        <f>CG124*-CG122</f>
        <v>0</v>
      </c>
      <c r="CH123" s="268">
        <f>CH124*-CH122</f>
        <v>0</v>
      </c>
      <c r="CI123" s="268">
        <f>CI124*-CI122</f>
        <v>0</v>
      </c>
      <c r="CJ123" s="268">
        <f>SUM(CF123:CI123)</f>
        <v>0</v>
      </c>
      <c r="CK123" s="268">
        <f>CK124*-CK122</f>
        <v>0</v>
      </c>
      <c r="CL123" s="268">
        <f>CL124*-CL122</f>
        <v>0</v>
      </c>
      <c r="CM123" s="268">
        <f>CM124*-CM122</f>
        <v>0</v>
      </c>
      <c r="CN123" s="268">
        <f>CN124*-CN122</f>
        <v>0</v>
      </c>
      <c r="CO123" s="268">
        <f>SUM(CK123:CN123)</f>
        <v>0</v>
      </c>
      <c r="CP123" s="268">
        <f>CP124*-CP122</f>
        <v>0</v>
      </c>
      <c r="CQ123" s="268">
        <f>CQ124*-CQ122</f>
        <v>0</v>
      </c>
      <c r="CR123" s="268">
        <f>CR124*-CR122</f>
        <v>0</v>
      </c>
      <c r="CS123" s="268">
        <f>CS124*-CS122</f>
        <v>0</v>
      </c>
      <c r="CT123" s="268">
        <f>SUM(CP123:CS123)</f>
        <v>0</v>
      </c>
      <c r="CU123" s="268">
        <f>CU124*-CU122</f>
        <v>0</v>
      </c>
      <c r="CV123" s="268">
        <f>CV124*-CV122</f>
        <v>0</v>
      </c>
      <c r="CW123" s="268">
        <f>CW124*-CW122</f>
        <v>0</v>
      </c>
      <c r="CX123" s="268">
        <f>CX124*-CX122</f>
        <v>0</v>
      </c>
      <c r="CY123" s="268">
        <f>SUM(CU123:CX123)</f>
        <v>0</v>
      </c>
    </row>
    <row r="124" hidden="1" outlineLevel="1" ht="12.75" customHeight="1" s="255">
      <c r="C124" s="312" t="inlineStr">
        <is>
          <t>% ETR</t>
        </is>
      </c>
      <c r="D124" s="309">
        <f>-D123/D122</f>
        <v>0.0980392156862745</v>
      </c>
      <c r="E124" s="309">
        <f>-E123/E122</f>
        <v>0.442396313364055</v>
      </c>
      <c r="F124" s="309">
        <f>-F123/F122</f>
        <v>0.410788381742739</v>
      </c>
      <c r="G124" s="309">
        <f>-G123/G122</f>
        <v>0.415929203539823</v>
      </c>
      <c r="H124" s="309">
        <f>-H123/H122</f>
        <v>0.525319977740679</v>
      </c>
      <c r="I124" s="309">
        <f>-I123/I122</f>
        <v>0.316881258941345</v>
      </c>
      <c r="J124" s="309">
        <f>-J123/J122</f>
        <v>0.312759336099585</v>
      </c>
      <c r="K124" s="309">
        <f>-K123/K122</f>
        <v>0.266101694915254</v>
      </c>
      <c r="L124" s="309">
        <f>-L123/L122</f>
        <v>0.316776482513938</v>
      </c>
      <c r="M124" s="309">
        <f>-M123/M122</f>
        <v>0.300169734952344</v>
      </c>
      <c r="N124" s="309">
        <f>-N123/N122</f>
        <v>0.30372281607077</v>
      </c>
      <c r="O124" s="309">
        <f>-O123/O122</f>
        <v>0.357098186366479</v>
      </c>
      <c r="P124" s="309">
        <f>-P123/P122</f>
        <v>0.363321799307959</v>
      </c>
      <c r="Q124" s="309">
        <f>-Q123/Q122</f>
        <v>0.362630208333333</v>
      </c>
      <c r="R124" s="309">
        <f>-R123/R122</f>
        <v>0.337602382725242</v>
      </c>
      <c r="S124" s="309">
        <f>-S123/S122</f>
        <v>0.32444733420026</v>
      </c>
      <c r="T124" s="309">
        <f>-T123/T122</f>
        <v>0.425078864353312</v>
      </c>
      <c r="U124" s="309">
        <f>-U123/U122</f>
        <v>0.345108695652174</v>
      </c>
      <c r="V124" s="309">
        <f>-V123/V122</f>
        <v>0.418981481481481</v>
      </c>
      <c r="W124" s="309">
        <f>-W123/W122</f>
        <v>0.377955377955378</v>
      </c>
      <c r="X124" s="309">
        <f>-X123/X122</f>
        <v>0.305854241338112</v>
      </c>
      <c r="Y124" s="309">
        <f>-Y123/Y122</f>
        <v>0.371428571428571</v>
      </c>
      <c r="Z124" s="309">
        <f>-Z123/Z122</f>
        <v>0.375445746306673</v>
      </c>
      <c r="AA124" s="309">
        <f>-AA123/AA122</f>
        <v>0.419354838709677</v>
      </c>
      <c r="AB124" s="309">
        <f>-AB123/AB122</f>
        <v>0.365281598378457</v>
      </c>
      <c r="AC124" s="309">
        <f>-AC123/AC122</f>
        <v>0.387296669248645</v>
      </c>
      <c r="AD124" s="309">
        <f>-AD123/AD122</f>
        <v>0.355499790882476</v>
      </c>
      <c r="AE124" s="309">
        <f>-AE123/AE122</f>
        <v>0.347713097713098</v>
      </c>
      <c r="AF124" s="297">
        <f>-AF123/AF122</f>
        <v>0.263707571801567</v>
      </c>
      <c r="AG124" s="309">
        <f>-AG123/AG122</f>
        <v>0.348556183301946</v>
      </c>
      <c r="AH124" s="297">
        <f>-AH123/AH122</f>
        <v>0.321042281219272</v>
      </c>
      <c r="AI124" s="297">
        <f>-AI123/AI122</f>
        <v>0.281865284974093</v>
      </c>
      <c r="AJ124" s="297" t="n"/>
      <c r="AK124" s="297" t="n"/>
      <c r="AL124" s="309">
        <f>-AL123/AL122</f>
        <v>0.315997888067582</v>
      </c>
      <c r="AM124" s="297" t="n"/>
      <c r="AN124" s="297" t="n"/>
      <c r="AO124" s="297" t="n"/>
      <c r="AP124" s="297" t="n"/>
      <c r="AQ124" s="309">
        <f>-AQ123/AQ122</f>
        <v>0</v>
      </c>
      <c r="AR124" s="297" t="n"/>
      <c r="AS124" s="297" t="n"/>
      <c r="AT124" s="297" t="n"/>
      <c r="AU124" s="297" t="n"/>
      <c r="AV124" s="309">
        <f>-AV123/AV122</f>
        <v>0</v>
      </c>
      <c r="AW124" s="297" t="n"/>
      <c r="AX124" s="297" t="n"/>
      <c r="AY124" s="297" t="n"/>
      <c r="AZ124" s="297" t="n"/>
      <c r="BA124" s="309">
        <f>-BA123/BA122</f>
        <v>0</v>
      </c>
      <c r="BB124" s="297" t="n"/>
      <c r="BC124" s="297" t="n"/>
      <c r="BD124" s="297" t="n"/>
      <c r="BE124" s="297" t="n"/>
      <c r="BF124" s="309">
        <f>-BF123/BF122</f>
        <v>0</v>
      </c>
      <c r="BG124" s="297" t="n"/>
      <c r="BH124" s="297" t="n"/>
      <c r="BI124" s="297" t="n"/>
      <c r="BJ124" s="297" t="n"/>
      <c r="BK124" s="309">
        <f>-BK123/BK122</f>
        <v>0</v>
      </c>
      <c r="BL124" s="297" t="n"/>
      <c r="BM124" s="297" t="n"/>
      <c r="BN124" s="297" t="n"/>
      <c r="BO124" s="297" t="n"/>
      <c r="BP124" s="309">
        <f>-BP123/BP122</f>
        <v>0</v>
      </c>
      <c r="BQ124" s="297" t="n"/>
      <c r="BR124" s="297" t="n"/>
      <c r="BS124" s="297" t="n"/>
      <c r="BT124" s="297" t="n"/>
      <c r="BU124" s="309">
        <f>-BU123/BU122</f>
        <v>0</v>
      </c>
      <c r="BV124" s="297" t="n"/>
      <c r="BW124" s="297" t="n"/>
      <c r="BX124" s="297" t="n"/>
      <c r="BY124" s="297" t="n"/>
      <c r="BZ124" s="309">
        <f>-BZ123/BZ122</f>
        <v>0</v>
      </c>
      <c r="CA124" s="297" t="n"/>
      <c r="CB124" s="297" t="n"/>
      <c r="CC124" s="297" t="n"/>
      <c r="CD124" s="297" t="n"/>
      <c r="CE124" s="309">
        <f>-CE123/CE122</f>
        <v>0</v>
      </c>
      <c r="CF124" s="297" t="n"/>
      <c r="CG124" s="297" t="n"/>
      <c r="CH124" s="297" t="n"/>
      <c r="CI124" s="297" t="n"/>
      <c r="CJ124" s="309">
        <f>-CJ123/CJ122</f>
        <v>0</v>
      </c>
      <c r="CK124" s="297" t="n"/>
      <c r="CL124" s="297" t="n"/>
      <c r="CM124" s="297" t="n"/>
      <c r="CN124" s="297" t="n"/>
      <c r="CO124" s="309">
        <f>-CO123/CO122</f>
        <v>0</v>
      </c>
      <c r="CP124" s="297" t="n"/>
      <c r="CQ124" s="297" t="n"/>
      <c r="CR124" s="297" t="n"/>
      <c r="CS124" s="297" t="n"/>
      <c r="CT124" s="309">
        <f>-CT123/CT122</f>
        <v>0</v>
      </c>
      <c r="CU124" s="297" t="n"/>
      <c r="CV124" s="297" t="n"/>
      <c r="CW124" s="297" t="n"/>
      <c r="CX124" s="297" t="n"/>
      <c r="CY124" s="309">
        <f>-CY123/CY122</f>
        <v>0</v>
      </c>
    </row>
    <row r="125" hidden="1" outlineLevel="1" ht="12.75" customHeight="1" s="255">
      <c r="C125" s="312" t="n"/>
      <c r="D125" s="268" t="n"/>
      <c r="E125" s="268" t="n"/>
      <c r="F125" s="268" t="n"/>
      <c r="G125" s="268" t="n"/>
      <c r="H125" s="268" t="n"/>
      <c r="I125" s="268" t="n"/>
      <c r="J125" s="268" t="n"/>
      <c r="K125" s="268" t="n"/>
      <c r="L125" s="268" t="n"/>
      <c r="M125" s="268" t="n"/>
      <c r="N125" s="268" t="n"/>
      <c r="O125" s="268" t="n"/>
      <c r="P125" s="268" t="n"/>
      <c r="Q125" s="268" t="n"/>
      <c r="R125" s="268" t="n"/>
      <c r="S125" s="268" t="n"/>
      <c r="T125" s="268" t="n"/>
      <c r="U125" s="268" t="n"/>
      <c r="V125" s="268" t="n"/>
      <c r="W125" s="268" t="n"/>
      <c r="X125" s="268" t="n"/>
      <c r="Y125" s="268" t="n"/>
      <c r="Z125" s="268" t="n"/>
      <c r="AA125" s="268" t="n"/>
      <c r="AB125" s="268" t="n"/>
      <c r="AC125" s="268" t="n"/>
      <c r="AD125" s="268" t="n"/>
      <c r="AE125" s="268" t="n"/>
      <c r="AF125" s="268" t="n"/>
      <c r="AG125" s="268" t="n"/>
      <c r="AH125" s="268" t="n"/>
      <c r="AI125" s="268" t="n"/>
      <c r="AJ125" s="268" t="n"/>
      <c r="AK125" s="268" t="n"/>
      <c r="AL125" s="268" t="n"/>
      <c r="AM125" s="268" t="n"/>
      <c r="AN125" s="268" t="n"/>
      <c r="AO125" s="268" t="n"/>
      <c r="AP125" s="268" t="n"/>
      <c r="AQ125" s="268" t="n"/>
      <c r="AR125" s="268" t="n"/>
      <c r="AS125" s="268" t="n"/>
      <c r="AT125" s="268" t="n"/>
      <c r="AU125" s="268" t="n"/>
      <c r="AV125" s="268" t="n"/>
      <c r="AW125" s="268" t="n"/>
      <c r="AX125" s="268" t="n"/>
      <c r="AY125" s="268" t="n"/>
      <c r="AZ125" s="268" t="n"/>
      <c r="BA125" s="268" t="n"/>
      <c r="BB125" s="268" t="n"/>
      <c r="BC125" s="268" t="n"/>
      <c r="BD125" s="268" t="n"/>
      <c r="BE125" s="268" t="n"/>
      <c r="BF125" s="268" t="n"/>
      <c r="BG125" s="268" t="n"/>
      <c r="BH125" s="268" t="n"/>
      <c r="BI125" s="268" t="n"/>
      <c r="BJ125" s="268" t="n"/>
      <c r="BK125" s="268" t="n"/>
      <c r="BL125" s="268" t="n"/>
      <c r="BM125" s="268" t="n"/>
      <c r="BN125" s="268" t="n"/>
      <c r="BO125" s="268" t="n"/>
      <c r="BP125" s="268" t="n"/>
      <c r="BQ125" s="268" t="n"/>
      <c r="BR125" s="268" t="n"/>
      <c r="BS125" s="268" t="n"/>
      <c r="BT125" s="268" t="n"/>
      <c r="BU125" s="268" t="n"/>
      <c r="BV125" s="268" t="n"/>
      <c r="BW125" s="268" t="n"/>
      <c r="BX125" s="268" t="n"/>
      <c r="BY125" s="268" t="n"/>
      <c r="BZ125" s="268" t="n"/>
      <c r="CA125" s="268" t="n"/>
      <c r="CB125" s="268" t="n"/>
      <c r="CC125" s="268" t="n"/>
      <c r="CD125" s="268" t="n"/>
      <c r="CE125" s="268" t="n"/>
      <c r="CF125" s="268" t="n"/>
      <c r="CG125" s="268" t="n"/>
      <c r="CH125" s="268" t="n"/>
      <c r="CI125" s="268" t="n"/>
      <c r="CJ125" s="268" t="n"/>
      <c r="CK125" s="268" t="n"/>
      <c r="CL125" s="268" t="n"/>
      <c r="CM125" s="268" t="n"/>
      <c r="CN125" s="268" t="n"/>
      <c r="CO125" s="268" t="n"/>
      <c r="CP125" s="268" t="n"/>
      <c r="CQ125" s="268" t="n"/>
      <c r="CR125" s="268" t="n"/>
      <c r="CS125" s="268" t="n"/>
      <c r="CT125" s="268" t="n"/>
      <c r="CU125" s="268" t="n"/>
      <c r="CV125" s="268" t="n"/>
      <c r="CW125" s="268" t="n"/>
      <c r="CX125" s="268" t="n"/>
      <c r="CY125" s="268" t="n"/>
    </row>
    <row r="126" hidden="1" outlineLevel="1" ht="12.75" customHeight="1" s="255">
      <c r="C126" s="312" t="n"/>
      <c r="D126" s="268" t="n"/>
      <c r="E126" s="268" t="n"/>
      <c r="F126" s="268" t="n"/>
      <c r="G126" s="268" t="n"/>
      <c r="H126" s="268" t="n"/>
      <c r="I126" s="268" t="n"/>
      <c r="J126" s="268" t="n"/>
      <c r="K126" s="268" t="n"/>
      <c r="L126" s="268" t="n"/>
      <c r="M126" s="268" t="n"/>
      <c r="N126" s="268" t="n"/>
      <c r="O126" s="268" t="n"/>
      <c r="P126" s="268" t="n"/>
      <c r="Q126" s="268" t="n"/>
      <c r="R126" s="268" t="n"/>
      <c r="S126" s="268" t="n"/>
      <c r="T126" s="268" t="n"/>
      <c r="U126" s="268" t="n"/>
      <c r="V126" s="268" t="n"/>
      <c r="W126" s="268" t="n"/>
      <c r="X126" s="268" t="n"/>
      <c r="Y126" s="268" t="n"/>
      <c r="Z126" s="268" t="n"/>
      <c r="AA126" s="268" t="n"/>
      <c r="AB126" s="268" t="n"/>
      <c r="AC126" s="268" t="n"/>
      <c r="AD126" s="268" t="n"/>
      <c r="AE126" s="268" t="n"/>
      <c r="AF126" s="268" t="n"/>
      <c r="AG126" s="268" t="n"/>
      <c r="AH126" s="268" t="n"/>
      <c r="AI126" s="268" t="n"/>
      <c r="AJ126" s="268" t="n"/>
      <c r="AK126" s="268" t="n"/>
      <c r="AL126" s="268" t="n"/>
      <c r="AM126" s="268" t="n"/>
      <c r="AN126" s="268" t="n"/>
      <c r="AO126" s="268" t="n"/>
      <c r="AP126" s="268" t="n"/>
      <c r="AQ126" s="268" t="n"/>
      <c r="AR126" s="268" t="n"/>
      <c r="AS126" s="268" t="n"/>
      <c r="AT126" s="268" t="n"/>
      <c r="AU126" s="268" t="n"/>
      <c r="AV126" s="268" t="n"/>
      <c r="AW126" s="268" t="n"/>
      <c r="AX126" s="268" t="n"/>
      <c r="AY126" s="268" t="n"/>
      <c r="AZ126" s="268" t="n"/>
      <c r="BA126" s="268" t="n"/>
      <c r="BB126" s="268" t="n"/>
      <c r="BC126" s="268" t="n"/>
      <c r="BD126" s="268" t="n"/>
      <c r="BE126" s="268" t="n"/>
      <c r="BF126" s="268" t="n"/>
      <c r="BG126" s="268" t="n"/>
      <c r="BH126" s="268" t="n"/>
      <c r="BI126" s="268" t="n"/>
      <c r="BJ126" s="268" t="n"/>
      <c r="BK126" s="268" t="n"/>
      <c r="BL126" s="268" t="n"/>
      <c r="BM126" s="268" t="n"/>
      <c r="BN126" s="268" t="n"/>
      <c r="BO126" s="268" t="n"/>
      <c r="BP126" s="268" t="n"/>
      <c r="BQ126" s="268" t="n"/>
      <c r="BR126" s="268" t="n"/>
      <c r="BS126" s="268" t="n"/>
      <c r="BT126" s="268" t="n"/>
      <c r="BU126" s="268" t="n"/>
      <c r="BV126" s="268" t="n"/>
      <c r="BW126" s="268" t="n"/>
      <c r="BX126" s="268" t="n"/>
      <c r="BY126" s="268" t="n"/>
      <c r="BZ126" s="268" t="n"/>
      <c r="CA126" s="268" t="n"/>
      <c r="CB126" s="268" t="n"/>
      <c r="CC126" s="268" t="n"/>
      <c r="CD126" s="268" t="n"/>
      <c r="CE126" s="268" t="n"/>
      <c r="CF126" s="268" t="n"/>
      <c r="CG126" s="268" t="n"/>
      <c r="CH126" s="268" t="n"/>
      <c r="CI126" s="268" t="n"/>
      <c r="CJ126" s="268" t="n"/>
      <c r="CK126" s="268" t="n"/>
      <c r="CL126" s="268" t="n"/>
      <c r="CM126" s="268" t="n"/>
      <c r="CN126" s="268" t="n"/>
      <c r="CO126" s="268" t="n"/>
      <c r="CP126" s="268" t="n"/>
      <c r="CQ126" s="268" t="n"/>
      <c r="CR126" s="268" t="n"/>
      <c r="CS126" s="268" t="n"/>
      <c r="CT126" s="268" t="n"/>
      <c r="CU126" s="268" t="n"/>
      <c r="CV126" s="268" t="n"/>
      <c r="CW126" s="268" t="n"/>
      <c r="CX126" s="268" t="n"/>
      <c r="CY126" s="268" t="n"/>
    </row>
    <row r="127" ht="12.75" customHeight="1" s="255">
      <c r="C127" s="270" t="inlineStr">
        <is>
          <t>Equity in Income of Affiliates, after tax (enter as +)</t>
        </is>
      </c>
      <c r="D127" s="301">
        <f>INDEX('Inputs (2)'!$D$11:$AL$11,MATCH(D$7,'Inputs (2)'!$D$2:$AL$2,0))</f>
        <v>3</v>
      </c>
      <c r="E127" s="301">
        <f>INDEX('Inputs (2)'!$D$11:$AL$11,MATCH(E$7,'Inputs (2)'!$D$2:$AL$2,0))</f>
        <v>3</v>
      </c>
      <c r="F127" s="301">
        <f>INDEX('Inputs (2)'!$D$11:$AL$11,MATCH(F$7,'Inputs (2)'!$D$2:$AL$2,0))</f>
        <v>6</v>
      </c>
      <c r="G127" s="301">
        <f>INDEX('Inputs (2)'!$D$11:$AL$11,MATCH(G$7,'Inputs (2)'!$D$2:$AL$2,0))</f>
        <v>0</v>
      </c>
      <c r="H127" s="268">
        <f>SUM(D127:G127)</f>
        <v>12</v>
      </c>
      <c r="I127" s="301">
        <f>INDEX('Inputs (2)'!$D$11:$AL$11,MATCH(I$7,'Inputs (2)'!$D$2:$AL$2,0))</f>
        <v>-472</v>
      </c>
      <c r="J127" s="301">
        <f>INDEX('Inputs (2)'!$D$11:$AL$11,MATCH(J$7,'Inputs (2)'!$D$2:$AL$2,0))</f>
        <v>6</v>
      </c>
      <c r="K127" s="301">
        <f>INDEX('Inputs (2)'!$D$11:$AL$11,MATCH(K$7,'Inputs (2)'!$D$2:$AL$2,0))</f>
        <v>-9</v>
      </c>
      <c r="L127" s="301">
        <f>INDEX('Inputs (2)'!$D$11:$AL$11,MATCH(L$7,'Inputs (2)'!$D$2:$AL$2,0))</f>
        <v>-2108</v>
      </c>
      <c r="M127" s="268">
        <f>SUM(I127:L127)</f>
        <v>-2583</v>
      </c>
      <c r="N127" s="301">
        <f>INDEX('Inputs (2)'!$D$11:$AL$11,MATCH(N$7,'Inputs (2)'!$D$2:$AL$2,0))</f>
        <v>15</v>
      </c>
      <c r="O127" s="301">
        <f>INDEX('Inputs (2)'!$D$11:$AL$11,MATCH(O$7,'Inputs (2)'!$D$2:$AL$2,0))</f>
        <v>10</v>
      </c>
      <c r="P127" s="301">
        <f>INDEX('Inputs (2)'!$D$11:$AL$11,MATCH(P$7,'Inputs (2)'!$D$2:$AL$2,0))</f>
        <v>8</v>
      </c>
      <c r="Q127" s="301">
        <f>INDEX('Inputs (2)'!$D$11:$AL$11,MATCH(Q$7,'Inputs (2)'!$D$2:$AL$2,0))</f>
        <v>-2</v>
      </c>
      <c r="R127" s="268">
        <f>SUM(N127:Q127)</f>
        <v>31</v>
      </c>
      <c r="S127" s="301">
        <f>INDEX('Inputs (2)'!$D$11:$AL$11,MATCH(S$7,'Inputs (2)'!$D$2:$AL$2,0))</f>
        <v>10</v>
      </c>
      <c r="T127" s="301">
        <f>INDEX('Inputs (2)'!$D$11:$AL$11,MATCH(T$7,'Inputs (2)'!$D$2:$AL$2,0))</f>
        <v>2</v>
      </c>
      <c r="U127" s="301">
        <f>INDEX('Inputs (2)'!$D$11:$AL$11,MATCH(U$7,'Inputs (2)'!$D$2:$AL$2,0))</f>
        <v>0</v>
      </c>
      <c r="V127" s="301">
        <f>INDEX('Inputs (2)'!$D$11:$AL$11,MATCH(V$7,'Inputs (2)'!$D$2:$AL$2,0))</f>
        <v>3</v>
      </c>
      <c r="W127" s="268">
        <f>SUM(S127:V127)</f>
        <v>15</v>
      </c>
      <c r="X127" s="301">
        <f>INDEX('Inputs (2)'!$D$11:$AL$11,MATCH(X$7,'Inputs (2)'!$D$2:$AL$2,0))</f>
        <v>0</v>
      </c>
      <c r="Y127" s="301">
        <f>INDEX('Inputs (2)'!$D$11:$AL$11,MATCH(Y$7,'Inputs (2)'!$D$2:$AL$2,0))</f>
        <v>4</v>
      </c>
      <c r="Z127" s="301">
        <f>INDEX('Inputs (2)'!$D$11:$AL$11,MATCH(Z$7,'Inputs (2)'!$D$2:$AL$2,0))</f>
        <v>10</v>
      </c>
      <c r="AA127" s="301">
        <f>INDEX('Inputs (2)'!$D$11:$AL$11,MATCH(AA$7,'Inputs (2)'!$D$2:$AL$2,0))</f>
        <v>1</v>
      </c>
      <c r="AB127" s="268">
        <f>SUM(X127:AA127)</f>
        <v>15</v>
      </c>
      <c r="AC127" s="301">
        <f>INDEX('Inputs (2)'!$D$11:$AL$11,MATCH(AC$7,'Inputs (2)'!$D$2:$AL$2,0))</f>
        <v>2</v>
      </c>
      <c r="AD127" s="301">
        <f>INDEX('Inputs (2)'!$D$11:$AL$11,MATCH(AD$7,'Inputs (2)'!$D$2:$AL$2,0))</f>
        <v>6</v>
      </c>
      <c r="AE127" s="301">
        <f>INDEX('Inputs (2)'!$D$11:$AL$11,MATCH(AE$7,'Inputs (2)'!$D$2:$AL$2,0))</f>
        <v>-8</v>
      </c>
      <c r="AF127" s="301">
        <f>INDEX('Inputs (2)'!$D$11:$AL$11,MATCH(AF$7,'Inputs (2)'!$D$2:$AL$2,0))</f>
        <v>1</v>
      </c>
      <c r="AG127" s="268">
        <f>SUM(AC127:AF127)</f>
        <v>1</v>
      </c>
      <c r="AH127" s="268">
        <f>INDEX('Inputs (2)'!$D$11:$AL$11,MATCH(AH$7,'Inputs (2)'!$D$2:$AL$2,0))</f>
        <v>6</v>
      </c>
      <c r="AI127" s="268">
        <f>INDEX('Inputs (2)'!$D$11:$AL$11,MATCH(AI$7,'Inputs (2)'!$D$2:$AL$2,0))</f>
        <v>5</v>
      </c>
      <c r="AJ127" s="268">
        <f>AE127*(1+AJ155)</f>
        <v>-8</v>
      </c>
      <c r="AK127" s="268">
        <f>AF127*(1+AK155)</f>
        <v>1</v>
      </c>
      <c r="AL127" s="268">
        <f>SUM(AH127:AK127)</f>
        <v>4</v>
      </c>
      <c r="AM127" s="268">
        <f>AH127*(1+AM155)</f>
        <v>6</v>
      </c>
      <c r="AN127" s="268">
        <f>AI127*(1+AN155)</f>
        <v>5</v>
      </c>
      <c r="AO127" s="268">
        <f>AJ127*(1+AO155)</f>
        <v>-8</v>
      </c>
      <c r="AP127" s="268">
        <f>AK127*(1+AP155)</f>
        <v>1</v>
      </c>
      <c r="AQ127" s="268">
        <f>SUM(AM127:AP127)</f>
        <v>4</v>
      </c>
      <c r="AR127" s="268">
        <f>AM127*(1+AR155)</f>
        <v>6</v>
      </c>
      <c r="AS127" s="268">
        <f>AN127*(1+AS155)</f>
        <v>5</v>
      </c>
      <c r="AT127" s="268">
        <f>AO127*(1+AT155)</f>
        <v>-8</v>
      </c>
      <c r="AU127" s="268">
        <f>AP127*(1+AU155)</f>
        <v>1</v>
      </c>
      <c r="AV127" s="268">
        <f>SUM(AR127:AU127)</f>
        <v>4</v>
      </c>
      <c r="AW127" s="268">
        <f>AR127*(1+AW155)</f>
        <v>6</v>
      </c>
      <c r="AX127" s="268">
        <f>AS127*(1+AX155)</f>
        <v>5</v>
      </c>
      <c r="AY127" s="268">
        <f>AT127*(1+AY155)</f>
        <v>-8</v>
      </c>
      <c r="AZ127" s="268">
        <f>AU127*(1+AZ155)</f>
        <v>1</v>
      </c>
      <c r="BA127" s="268">
        <f>SUM(AW127:AZ127)</f>
        <v>4</v>
      </c>
      <c r="BB127" s="268">
        <f>AW127*(1+BB155)</f>
        <v>6</v>
      </c>
      <c r="BC127" s="268">
        <f>AX127*(1+BC155)</f>
        <v>5</v>
      </c>
      <c r="BD127" s="268">
        <f>AY127*(1+BD155)</f>
        <v>-8</v>
      </c>
      <c r="BE127" s="268">
        <f>AZ127*(1+BE155)</f>
        <v>1</v>
      </c>
      <c r="BF127" s="268">
        <f>SUM(BB127:BE127)</f>
        <v>4</v>
      </c>
      <c r="BG127" s="268">
        <f>BB127*(1+BG155)</f>
        <v>6</v>
      </c>
      <c r="BH127" s="268">
        <f>BC127*(1+BH155)</f>
        <v>5</v>
      </c>
      <c r="BI127" s="268">
        <f>BD127*(1+BI155)</f>
        <v>-8</v>
      </c>
      <c r="BJ127" s="268">
        <f>BE127*(1+BJ155)</f>
        <v>1</v>
      </c>
      <c r="BK127" s="268">
        <f>SUM(BG127:BJ127)</f>
        <v>4</v>
      </c>
      <c r="BL127" s="268">
        <f>BG127*(1+BL155)</f>
        <v>6</v>
      </c>
      <c r="BM127" s="268">
        <f>BH127*(1+BM155)</f>
        <v>5</v>
      </c>
      <c r="BN127" s="268">
        <f>BI127*(1+BN155)</f>
        <v>-8</v>
      </c>
      <c r="BO127" s="268">
        <f>BJ127*(1+BO155)</f>
        <v>1</v>
      </c>
      <c r="BP127" s="268">
        <f>SUM(BL127:BO127)</f>
        <v>4</v>
      </c>
      <c r="BQ127" s="268">
        <f>BL127*(1+BQ155)</f>
        <v>6</v>
      </c>
      <c r="BR127" s="268">
        <f>BM127*(1+BR155)</f>
        <v>5</v>
      </c>
      <c r="BS127" s="268">
        <f>BN127*(1+BS155)</f>
        <v>-8</v>
      </c>
      <c r="BT127" s="268">
        <f>BO127*(1+BT155)</f>
        <v>1</v>
      </c>
      <c r="BU127" s="268">
        <f>SUM(BQ127:BT127)</f>
        <v>4</v>
      </c>
      <c r="BV127" s="268">
        <f>BQ127*(1+BV155)</f>
        <v>6</v>
      </c>
      <c r="BW127" s="268">
        <f>BR127*(1+BW155)</f>
        <v>5</v>
      </c>
      <c r="BX127" s="268">
        <f>BS127*(1+BX155)</f>
        <v>-8</v>
      </c>
      <c r="BY127" s="268">
        <f>BT127*(1+BY155)</f>
        <v>1</v>
      </c>
      <c r="BZ127" s="268">
        <f>SUM(BV127:BY127)</f>
        <v>4</v>
      </c>
      <c r="CA127" s="268">
        <f>BV127*(1+CA155)</f>
        <v>6</v>
      </c>
      <c r="CB127" s="268">
        <f>BW127*(1+CB155)</f>
        <v>5</v>
      </c>
      <c r="CC127" s="268">
        <f>BX127*(1+CC155)</f>
        <v>-8</v>
      </c>
      <c r="CD127" s="268">
        <f>BY127*(1+CD155)</f>
        <v>1</v>
      </c>
      <c r="CE127" s="268">
        <f>SUM(CA127:CD127)</f>
        <v>4</v>
      </c>
      <c r="CF127" s="268">
        <f>CA127*(1+CF155)</f>
        <v>6</v>
      </c>
      <c r="CG127" s="268">
        <f>CB127*(1+CG155)</f>
        <v>5</v>
      </c>
      <c r="CH127" s="268">
        <f>CC127*(1+CH155)</f>
        <v>-8</v>
      </c>
      <c r="CI127" s="268">
        <f>CD127*(1+CI155)</f>
        <v>1</v>
      </c>
      <c r="CJ127" s="268">
        <f>SUM(CF127:CI127)</f>
        <v>4</v>
      </c>
      <c r="CK127" s="268">
        <f>CF127*(1+CK155)</f>
        <v>6</v>
      </c>
      <c r="CL127" s="268">
        <f>CG127*(1+CL155)</f>
        <v>5</v>
      </c>
      <c r="CM127" s="268">
        <f>CH127*(1+CM155)</f>
        <v>-8</v>
      </c>
      <c r="CN127" s="268">
        <f>CI127*(1+CN155)</f>
        <v>1</v>
      </c>
      <c r="CO127" s="268">
        <f>SUM(CK127:CN127)</f>
        <v>4</v>
      </c>
      <c r="CP127" s="268">
        <f>CK127*(1+CP155)</f>
        <v>6</v>
      </c>
      <c r="CQ127" s="268">
        <f>CL127*(1+CQ155)</f>
        <v>5</v>
      </c>
      <c r="CR127" s="268">
        <f>CM127*(1+CR155)</f>
        <v>-8</v>
      </c>
      <c r="CS127" s="268">
        <f>CN127*(1+CS155)</f>
        <v>1</v>
      </c>
      <c r="CT127" s="268">
        <f>SUM(CP127:CS127)</f>
        <v>4</v>
      </c>
      <c r="CU127" s="268">
        <f>CP127*(1+CU155)</f>
        <v>6</v>
      </c>
      <c r="CV127" s="268">
        <f>CQ127*(1+CV155)</f>
        <v>5</v>
      </c>
      <c r="CW127" s="268">
        <f>CR127*(1+CW155)</f>
        <v>-8</v>
      </c>
      <c r="CX127" s="268">
        <f>CS127*(1+CX155)</f>
        <v>1</v>
      </c>
      <c r="CY127" s="268">
        <f>SUM(CU127:CX127)</f>
        <v>4</v>
      </c>
    </row>
    <row r="128" ht="12.75" customHeight="1" s="255">
      <c r="C128" s="270" t="inlineStr">
        <is>
          <t>Minority Interest Expense, after tax (enter as - )</t>
        </is>
      </c>
      <c r="D128" s="301">
        <f>INDEX('Inputs (2)'!$D$12:$AL$12,MATCH(D$7,'Inputs (2)'!$D$2:$AL$2,0))</f>
        <v>58</v>
      </c>
      <c r="E128" s="301">
        <f>INDEX('Inputs (2)'!$D$12:$AL$12,MATCH(E$7,'Inputs (2)'!$D$2:$AL$2,0))</f>
        <v>-71</v>
      </c>
      <c r="F128" s="301">
        <f>INDEX('Inputs (2)'!$D$12:$AL$12,MATCH(F$7,'Inputs (2)'!$D$2:$AL$2,0))</f>
        <v>-103</v>
      </c>
      <c r="G128" s="301">
        <f>INDEX('Inputs (2)'!$D$12:$AL$12,MATCH(G$7,'Inputs (2)'!$D$2:$AL$2,0))</f>
        <v>-150</v>
      </c>
      <c r="H128" s="268">
        <f>SUM(D128:G128)</f>
        <v>-266</v>
      </c>
      <c r="I128" s="301">
        <f>INDEX('Inputs (2)'!$D$12:$AL$12,MATCH(I$7,'Inputs (2)'!$D$2:$AL$2,0))</f>
        <v>235</v>
      </c>
      <c r="J128" s="301">
        <f>INDEX('Inputs (2)'!$D$12:$AL$12,MATCH(J$7,'Inputs (2)'!$D$2:$AL$2,0))</f>
        <v>-248</v>
      </c>
      <c r="K128" s="301">
        <f>INDEX('Inputs (2)'!$D$12:$AL$12,MATCH(K$7,'Inputs (2)'!$D$2:$AL$2,0))</f>
        <v>-324</v>
      </c>
      <c r="L128" s="301">
        <f>INDEX('Inputs (2)'!$D$12:$AL$12,MATCH(L$7,'Inputs (2)'!$D$2:$AL$2,0))</f>
        <v>1866</v>
      </c>
      <c r="M128" s="268">
        <f>SUM(I128:L128)</f>
        <v>1529</v>
      </c>
      <c r="N128" s="301">
        <f>INDEX('Inputs (2)'!$D$12:$AL$12,MATCH(N$7,'Inputs (2)'!$D$2:$AL$2,0))</f>
        <v>-377</v>
      </c>
      <c r="O128" s="301">
        <f>INDEX('Inputs (2)'!$D$12:$AL$12,MATCH(O$7,'Inputs (2)'!$D$2:$AL$2,0))</f>
        <v>-198</v>
      </c>
      <c r="P128" s="301">
        <f>INDEX('Inputs (2)'!$D$12:$AL$12,MATCH(P$7,'Inputs (2)'!$D$2:$AL$2,0))</f>
        <v>-156</v>
      </c>
      <c r="Q128" s="301">
        <f>INDEX('Inputs (2)'!$D$12:$AL$12,MATCH(Q$7,'Inputs (2)'!$D$2:$AL$2,0))</f>
        <v>-280</v>
      </c>
      <c r="R128" s="268">
        <f>SUM(N128:Q128)</f>
        <v>-1011</v>
      </c>
      <c r="S128" s="301">
        <f>INDEX('Inputs (2)'!$D$12:$AL$12,MATCH(S$7,'Inputs (2)'!$D$2:$AL$2,0))</f>
        <v>-386</v>
      </c>
      <c r="T128" s="301">
        <f>INDEX('Inputs (2)'!$D$12:$AL$12,MATCH(T$7,'Inputs (2)'!$D$2:$AL$2,0))</f>
        <v>-388</v>
      </c>
      <c r="U128" s="301">
        <f>INDEX('Inputs (2)'!$D$12:$AL$12,MATCH(U$7,'Inputs (2)'!$D$2:$AL$2,0))</f>
        <v>-510</v>
      </c>
      <c r="V128" s="301">
        <f>INDEX('Inputs (2)'!$D$12:$AL$12,MATCH(V$7,'Inputs (2)'!$D$2:$AL$2,0))</f>
        <v>-619</v>
      </c>
      <c r="W128" s="268">
        <f>SUM(S128:V128)</f>
        <v>-1903</v>
      </c>
      <c r="X128" s="301">
        <f>INDEX('Inputs (2)'!$D$12:$AL$12,MATCH(X$7,'Inputs (2)'!$D$2:$AL$2,0))</f>
        <v>-689</v>
      </c>
      <c r="Y128" s="301">
        <f>INDEX('Inputs (2)'!$D$12:$AL$12,MATCH(Y$7,'Inputs (2)'!$D$2:$AL$2,0))</f>
        <v>-664</v>
      </c>
      <c r="Z128" s="301">
        <f>INDEX('Inputs (2)'!$D$12:$AL$12,MATCH(Z$7,'Inputs (2)'!$D$2:$AL$2,0))</f>
        <v>-710</v>
      </c>
      <c r="AA128" s="301">
        <f>INDEX('Inputs (2)'!$D$12:$AL$12,MATCH(AA$7,'Inputs (2)'!$D$2:$AL$2,0))</f>
        <v>-447</v>
      </c>
      <c r="AB128" s="268">
        <f>SUM(X128:AA128)</f>
        <v>-2510</v>
      </c>
      <c r="AC128" s="301">
        <f>INDEX('Inputs (2)'!$D$12:$AL$12,MATCH(AC$7,'Inputs (2)'!$D$2:$AL$2,0))</f>
        <v>-441</v>
      </c>
      <c r="AD128" s="301">
        <f>INDEX('Inputs (2)'!$D$12:$AL$12,MATCH(AD$7,'Inputs (2)'!$D$2:$AL$2,0))</f>
        <v>-775</v>
      </c>
      <c r="AE128" s="301">
        <f>INDEX('Inputs (2)'!$D$12:$AL$12,MATCH(AE$7,'Inputs (2)'!$D$2:$AL$2,0))</f>
        <v>-573</v>
      </c>
      <c r="AF128" s="301">
        <f>INDEX('Inputs (2)'!$D$12:$AL$12,MATCH(AF$7,'Inputs (2)'!$D$2:$AL$2,0))</f>
        <v>-159</v>
      </c>
      <c r="AG128" s="268">
        <f>SUM(AC128:AF128)</f>
        <v>-1948</v>
      </c>
      <c r="AH128" s="268">
        <f>INDEX('Inputs (2)'!$D$12:$AL$12,MATCH(AH$7,'Inputs (2)'!$D$2:$AL$2,0))</f>
        <v>-506</v>
      </c>
      <c r="AI128" s="268">
        <f>INDEX('Inputs (2)'!$D$12:$AL$12,MATCH(AI$7,'Inputs (2)'!$D$2:$AL$2,0))</f>
        <v>-407</v>
      </c>
      <c r="AJ128" s="268">
        <f>AE128*(1+AJ242)</f>
        <v>-573</v>
      </c>
      <c r="AK128" s="268">
        <f>AF128*(1+AK242)</f>
        <v>-159</v>
      </c>
      <c r="AL128" s="268">
        <f>SUM(AH128:AK128)</f>
        <v>-1645</v>
      </c>
      <c r="AM128" s="268">
        <f>AH128*(1+AM242)</f>
        <v>-506</v>
      </c>
      <c r="AN128" s="268">
        <f>AI128*(1+AN242)</f>
        <v>-407</v>
      </c>
      <c r="AO128" s="268">
        <f>AJ128*(1+AO242)</f>
        <v>-573</v>
      </c>
      <c r="AP128" s="268">
        <f>AK128*(1+AP242)</f>
        <v>-159</v>
      </c>
      <c r="AQ128" s="268">
        <f>SUM(AM128:AP128)</f>
        <v>-1645</v>
      </c>
      <c r="AR128" s="268">
        <f>AM128*(1+AR242)</f>
        <v>-506</v>
      </c>
      <c r="AS128" s="268">
        <f>AN128*(1+AS242)</f>
        <v>-407</v>
      </c>
      <c r="AT128" s="268">
        <f>AO128*(1+AT242)</f>
        <v>-573</v>
      </c>
      <c r="AU128" s="268">
        <f>AP128*(1+AU242)</f>
        <v>-159</v>
      </c>
      <c r="AV128" s="268">
        <f>SUM(AR128:AU128)</f>
        <v>-1645</v>
      </c>
      <c r="AW128" s="268">
        <f>AR128*(1+AW242)</f>
        <v>-506</v>
      </c>
      <c r="AX128" s="268">
        <f>AS128*(1+AX242)</f>
        <v>-407</v>
      </c>
      <c r="AY128" s="268">
        <f>AT128*(1+AY242)</f>
        <v>-573</v>
      </c>
      <c r="AZ128" s="268">
        <f>AU128*(1+AZ242)</f>
        <v>-159</v>
      </c>
      <c r="BA128" s="268">
        <f>SUM(AW128:AZ128)</f>
        <v>-1645</v>
      </c>
      <c r="BB128" s="268">
        <f>AW128*(1+BB242)</f>
        <v>-506</v>
      </c>
      <c r="BC128" s="268">
        <f>AX128*(1+BC242)</f>
        <v>-407</v>
      </c>
      <c r="BD128" s="268">
        <f>AY128*(1+BD242)</f>
        <v>-573</v>
      </c>
      <c r="BE128" s="268">
        <f>AZ128*(1+BE242)</f>
        <v>-159</v>
      </c>
      <c r="BF128" s="268">
        <f>SUM(BB128:BE128)</f>
        <v>-1645</v>
      </c>
      <c r="BG128" s="268">
        <f>BB128*(1+BG242)</f>
        <v>-506</v>
      </c>
      <c r="BH128" s="268">
        <f>BC128*(1+BH242)</f>
        <v>-407</v>
      </c>
      <c r="BI128" s="268">
        <f>BD128*(1+BI242)</f>
        <v>-573</v>
      </c>
      <c r="BJ128" s="268">
        <f>BE128*(1+BJ242)</f>
        <v>-159</v>
      </c>
      <c r="BK128" s="268">
        <f>SUM(BG128:BJ128)</f>
        <v>-1645</v>
      </c>
      <c r="BL128" s="268">
        <f>BG128*(1+BL242)</f>
        <v>-506</v>
      </c>
      <c r="BM128" s="268">
        <f>BH128*(1+BM242)</f>
        <v>-407</v>
      </c>
      <c r="BN128" s="268">
        <f>BI128*(1+BN242)</f>
        <v>-573</v>
      </c>
      <c r="BO128" s="268">
        <f>BJ128*(1+BO242)</f>
        <v>-159</v>
      </c>
      <c r="BP128" s="268">
        <f>SUM(BL128:BO128)</f>
        <v>-1645</v>
      </c>
      <c r="BQ128" s="268">
        <f>BL128*(1+BQ242)</f>
        <v>-506</v>
      </c>
      <c r="BR128" s="268">
        <f>BM128*(1+BR242)</f>
        <v>-407</v>
      </c>
      <c r="BS128" s="268">
        <f>BN128*(1+BS242)</f>
        <v>-573</v>
      </c>
      <c r="BT128" s="268">
        <f>BO128*(1+BT242)</f>
        <v>-159</v>
      </c>
      <c r="BU128" s="268">
        <f>SUM(BQ128:BT128)</f>
        <v>-1645</v>
      </c>
      <c r="BV128" s="268">
        <f>BQ128*(1+BV242)</f>
        <v>-506</v>
      </c>
      <c r="BW128" s="268">
        <f>BR128*(1+BW242)</f>
        <v>-407</v>
      </c>
      <c r="BX128" s="268">
        <f>BS128*(1+BX242)</f>
        <v>-573</v>
      </c>
      <c r="BY128" s="268">
        <f>BT128*(1+BY242)</f>
        <v>-159</v>
      </c>
      <c r="BZ128" s="268">
        <f>SUM(BV128:BY128)</f>
        <v>-1645</v>
      </c>
      <c r="CA128" s="268">
        <f>BV128*(1+CA242)</f>
        <v>-506</v>
      </c>
      <c r="CB128" s="268">
        <f>BW128*(1+CB242)</f>
        <v>-407</v>
      </c>
      <c r="CC128" s="268">
        <f>BX128*(1+CC242)</f>
        <v>-573</v>
      </c>
      <c r="CD128" s="268">
        <f>BY128*(1+CD242)</f>
        <v>-159</v>
      </c>
      <c r="CE128" s="268">
        <f>SUM(CA128:CD128)</f>
        <v>-1645</v>
      </c>
      <c r="CF128" s="268">
        <f>CA128*(1+CF242)</f>
        <v>-506</v>
      </c>
      <c r="CG128" s="268">
        <f>CB128*(1+CG242)</f>
        <v>-407</v>
      </c>
      <c r="CH128" s="268">
        <f>CC128*(1+CH242)</f>
        <v>-573</v>
      </c>
      <c r="CI128" s="268">
        <f>CD128*(1+CI242)</f>
        <v>-159</v>
      </c>
      <c r="CJ128" s="268">
        <f>SUM(CF128:CI128)</f>
        <v>-1645</v>
      </c>
      <c r="CK128" s="268">
        <f>CF128*(1+CK242)</f>
        <v>-506</v>
      </c>
      <c r="CL128" s="268">
        <f>CG128*(1+CL242)</f>
        <v>-407</v>
      </c>
      <c r="CM128" s="268">
        <f>CH128*(1+CM242)</f>
        <v>-573</v>
      </c>
      <c r="CN128" s="268">
        <f>CI128*(1+CN242)</f>
        <v>-159</v>
      </c>
      <c r="CO128" s="268">
        <f>SUM(CK128:CN128)</f>
        <v>-1645</v>
      </c>
      <c r="CP128" s="268">
        <f>CK128*(1+CP242)</f>
        <v>-506</v>
      </c>
      <c r="CQ128" s="268">
        <f>CL128*(1+CQ242)</f>
        <v>-407</v>
      </c>
      <c r="CR128" s="268">
        <f>CM128*(1+CR242)</f>
        <v>-573</v>
      </c>
      <c r="CS128" s="268">
        <f>CN128*(1+CS242)</f>
        <v>-159</v>
      </c>
      <c r="CT128" s="268">
        <f>SUM(CP128:CS128)</f>
        <v>-1645</v>
      </c>
      <c r="CU128" s="268">
        <f>CP128*(1+CU242)</f>
        <v>-506</v>
      </c>
      <c r="CV128" s="268">
        <f>CQ128*(1+CV242)</f>
        <v>-407</v>
      </c>
      <c r="CW128" s="268">
        <f>CR128*(1+CW242)</f>
        <v>-573</v>
      </c>
      <c r="CX128" s="268">
        <f>CS128*(1+CX242)</f>
        <v>-159</v>
      </c>
      <c r="CY128" s="268">
        <f>SUM(CU128:CX128)</f>
        <v>-1645</v>
      </c>
    </row>
    <row r="129" ht="12.75" customFormat="1" customHeight="1" s="287">
      <c r="A129" s="288" t="n"/>
      <c r="B129" s="259" t="n"/>
      <c r="C129" s="275" t="inlineStr">
        <is>
          <t>Net Income</t>
        </is>
      </c>
      <c r="D129" s="276">
        <f>SUM(D122,D123,D127,D128)</f>
        <v>-491</v>
      </c>
      <c r="E129" s="276">
        <f>SUM(E122,E123,E127,E128)</f>
        <v>53</v>
      </c>
      <c r="F129" s="276">
        <f>SUM(F122,F123,F127,F128)</f>
        <v>329</v>
      </c>
      <c r="G129" s="276">
        <f>SUM(G122,G123,G127,G128)</f>
        <v>708</v>
      </c>
      <c r="H129" s="276">
        <f>SUM(D129:G129)</f>
        <v>599</v>
      </c>
      <c r="I129" s="276">
        <f>SUM(I122,I123,I127,I128)</f>
        <v>718</v>
      </c>
      <c r="J129" s="276">
        <f>SUM(J122,J123,J127,J128)</f>
        <v>1083</v>
      </c>
      <c r="K129" s="276">
        <f>SUM(K122,K123,K127,K128)</f>
        <v>1399</v>
      </c>
      <c r="L129" s="276">
        <f>SUM(L122,L123,L127,L128)</f>
        <v>1106</v>
      </c>
      <c r="M129" s="276">
        <f>SUM(I129:L129)</f>
        <v>4306</v>
      </c>
      <c r="N129" s="276">
        <f>SUM(N122,N123,N127,N128)</f>
        <v>1527</v>
      </c>
      <c r="O129" s="276">
        <f>SUM(O122,O123,O127,O128)</f>
        <v>840</v>
      </c>
      <c r="P129" s="276">
        <f>SUM(P122,P123,P127,P128)</f>
        <v>404</v>
      </c>
      <c r="Q129" s="276">
        <f>SUM(Q122,Q123,Q127,Q128)</f>
        <v>697</v>
      </c>
      <c r="R129" s="276">
        <f>SUM(N129:Q129)</f>
        <v>3468</v>
      </c>
      <c r="S129" s="276">
        <f>SUM(S122,S123,S127,S128)</f>
        <v>663</v>
      </c>
      <c r="T129" s="276">
        <f>SUM(T122,T123,T127,T128)</f>
        <v>343</v>
      </c>
      <c r="U129" s="276">
        <f>SUM(U122,U123,U127,U128)</f>
        <v>454</v>
      </c>
      <c r="V129" s="276">
        <f>SUM(V122,V123,V127,V128)</f>
        <v>388</v>
      </c>
      <c r="W129" s="276">
        <f>SUM(S129:V129)</f>
        <v>1848</v>
      </c>
      <c r="X129" s="276">
        <f>SUM(X122,X123,X127,X128)</f>
        <v>473</v>
      </c>
      <c r="Y129" s="276">
        <f>SUM(Y122,Y123,Y127,Y128)</f>
        <v>616</v>
      </c>
      <c r="Z129" s="276">
        <f>SUM(Z122,Z123,Z127,Z128)</f>
        <v>526</v>
      </c>
      <c r="AA129" s="276">
        <f>SUM(AA122,AA123,AA127,AA128)</f>
        <v>274</v>
      </c>
      <c r="AB129" s="276">
        <f>SUM(X129:AA129)</f>
        <v>1889</v>
      </c>
      <c r="AC129" s="276">
        <f>SUM(AC122,AC123,AC127,AC128)</f>
        <v>352</v>
      </c>
      <c r="AD129" s="276">
        <f>SUM(AD122,AD123,AD127,AD128)</f>
        <v>772</v>
      </c>
      <c r="AE129" s="276">
        <f>SUM(AE122,AE123,AE127,AE128)</f>
        <v>674</v>
      </c>
      <c r="AF129" s="276">
        <f>SUM(AF122,AF123,AF127,AF128)</f>
        <v>406</v>
      </c>
      <c r="AG129" s="276">
        <f>SUM(AC129:AF129)</f>
        <v>2204</v>
      </c>
      <c r="AH129" s="276">
        <f>SUM(AH122,AH123,AH127,AH128)</f>
        <v>881</v>
      </c>
      <c r="AI129" s="276">
        <f>SUM(AI122,AI123,AI127,AI128)</f>
        <v>984</v>
      </c>
      <c r="AJ129" s="276">
        <f>SUM(AJ122,AJ123,AJ127,AJ128)</f>
        <v>-684</v>
      </c>
      <c r="AK129" s="276">
        <f>SUM(AK122,AK123,AK127,AK128)</f>
        <v>-231</v>
      </c>
      <c r="AL129" s="276">
        <f>SUM(AH129:AK129)</f>
        <v>950</v>
      </c>
      <c r="AM129" s="276">
        <f>SUM(AM122,AM123,AM127,AM128)</f>
        <v>-573</v>
      </c>
      <c r="AN129" s="276">
        <f>SUM(AN122,AN123,AN127,AN128)</f>
        <v>-754</v>
      </c>
      <c r="AO129" s="276">
        <f>SUM(AO122,AO123,AO127,AO128)</f>
        <v>-654</v>
      </c>
      <c r="AP129" s="276">
        <f>SUM(AP122,AP123,AP127,AP128)</f>
        <v>-510</v>
      </c>
      <c r="AQ129" s="276">
        <f>SUM(AM129:AP129)</f>
        <v>-2491</v>
      </c>
      <c r="AR129" s="276">
        <f>SUM(AR122,AR123,AR127,AR128)</f>
        <v>-852</v>
      </c>
      <c r="AS129" s="276">
        <f>SUM(AS122,AS123,AS127,AS128)</f>
        <v>-1252</v>
      </c>
      <c r="AT129" s="276">
        <f>SUM(AT122,AT123,AT127,AT128)</f>
        <v>-933</v>
      </c>
      <c r="AU129" s="276">
        <f>SUM(AU122,AU123,AU127,AU128)</f>
        <v>-1008</v>
      </c>
      <c r="AV129" s="276">
        <f>SUM(AR129:AU129)</f>
        <v>-4045</v>
      </c>
      <c r="AW129" s="276">
        <f>SUM(AW122,AW123,AW127,AW128)</f>
        <v>-1350</v>
      </c>
      <c r="AX129" s="276">
        <f>SUM(AX122,AX123,AX127,AX128)</f>
        <v>-2806</v>
      </c>
      <c r="AY129" s="276">
        <f>SUM(AY122,AY123,AY127,AY128)</f>
        <v>-1431</v>
      </c>
      <c r="AZ129" s="276">
        <f>SUM(AZ122,AZ123,AZ127,AZ128)</f>
        <v>-2562</v>
      </c>
      <c r="BA129" s="276">
        <f>SUM(AW129:AZ129)</f>
        <v>-8149</v>
      </c>
      <c r="BB129" s="276">
        <f>SUM(BB122,BB123,BB127,BB128)</f>
        <v>-2904</v>
      </c>
      <c r="BC129" s="276">
        <f>SUM(BC122,BC123,BC127,BC128)</f>
        <v>-6910</v>
      </c>
      <c r="BD129" s="276">
        <f>SUM(BD122,BD123,BD127,BD128)</f>
        <v>-2985</v>
      </c>
      <c r="BE129" s="276">
        <f>SUM(BE122,BE123,BE127,BE128)</f>
        <v>-6666</v>
      </c>
      <c r="BF129" s="276">
        <f>SUM(BB129:BE129)</f>
        <v>-19465</v>
      </c>
      <c r="BG129" s="276">
        <f>SUM(BG122,BG123,BG127,BG128)</f>
        <v>-7008</v>
      </c>
      <c r="BH129" s="276">
        <f>SUM(BH122,BH123,BH127,BH128)</f>
        <v>-18226</v>
      </c>
      <c r="BI129" s="276">
        <f>SUM(BI122,BI123,BI127,BI128)</f>
        <v>-7089</v>
      </c>
      <c r="BJ129" s="276">
        <f>SUM(BJ122,BJ123,BJ127,BJ128)</f>
        <v>-17982</v>
      </c>
      <c r="BK129" s="276">
        <f>SUM(BG129:BJ129)</f>
        <v>-50305</v>
      </c>
      <c r="BL129" s="276">
        <f>SUM(BL122,BL123,BL127,BL128)</f>
        <v>-18324</v>
      </c>
      <c r="BM129" s="276">
        <f>SUM(BM122,BM123,BM127,BM128)</f>
        <v>-49066</v>
      </c>
      <c r="BN129" s="276">
        <f>SUM(BN122,BN123,BN127,BN128)</f>
        <v>-18405</v>
      </c>
      <c r="BO129" s="276">
        <f>SUM(BO122,BO123,BO127,BO128)</f>
        <v>-48822</v>
      </c>
      <c r="BP129" s="276">
        <f>SUM(BL129:BO129)</f>
        <v>-134617</v>
      </c>
      <c r="BQ129" s="276">
        <f>SUM(BQ122,BQ123,BQ127,BQ128)</f>
        <v>-49164</v>
      </c>
      <c r="BR129" s="276">
        <f>SUM(BR122,BR123,BR127,BR128)</f>
        <v>-133378</v>
      </c>
      <c r="BS129" s="276">
        <f>SUM(BS122,BS123,BS127,BS128)</f>
        <v>-49245</v>
      </c>
      <c r="BT129" s="276">
        <f>SUM(BT122,BT123,BT127,BT128)</f>
        <v>-133134</v>
      </c>
      <c r="BU129" s="276">
        <f>SUM(BQ129:BT129)</f>
        <v>-364921</v>
      </c>
      <c r="BV129" s="276">
        <f>SUM(BV122,BV123,BV127,BV128)</f>
        <v>-133476</v>
      </c>
      <c r="BW129" s="276">
        <f>SUM(BW122,BW123,BW127,BW128)</f>
        <v>-363682</v>
      </c>
      <c r="BX129" s="276">
        <f>SUM(BX122,BX123,BX127,BX128)</f>
        <v>-133557</v>
      </c>
      <c r="BY129" s="276">
        <f>SUM(BY122,BY123,BY127,BY128)</f>
        <v>-363438</v>
      </c>
      <c r="BZ129" s="276">
        <f>SUM(BV129:BY129)</f>
        <v>-994153</v>
      </c>
      <c r="CA129" s="276">
        <f>SUM(CA122,CA123,CA127,CA128)</f>
        <v>-363780</v>
      </c>
      <c r="CB129" s="276">
        <f>SUM(CB122,CB123,CB127,CB128)</f>
        <v>-992914</v>
      </c>
      <c r="CC129" s="276">
        <f>SUM(CC122,CC123,CC127,CC128)</f>
        <v>-363861</v>
      </c>
      <c r="CD129" s="276">
        <f>SUM(CD122,CD123,CD127,CD128)</f>
        <v>-992670</v>
      </c>
      <c r="CE129" s="276">
        <f>SUM(CA129:CD129)</f>
        <v>-2713225</v>
      </c>
      <c r="CF129" s="276">
        <f>SUM(CF122,CF123,CF127,CF128)</f>
        <v>-993012</v>
      </c>
      <c r="CG129" s="276">
        <f>SUM(CG122,CG123,CG127,CG128)</f>
        <v>-2711986</v>
      </c>
      <c r="CH129" s="276">
        <f>SUM(CH122,CH123,CH127,CH128)</f>
        <v>-993093</v>
      </c>
      <c r="CI129" s="276">
        <f>SUM(CI122,CI123,CI127,CI128)</f>
        <v>-2711742</v>
      </c>
      <c r="CJ129" s="276">
        <f>SUM(CF129:CI129)</f>
        <v>-7409833</v>
      </c>
      <c r="CK129" s="276">
        <f>SUM(CK122,CK123,CK127,CK128)</f>
        <v>-2712084</v>
      </c>
      <c r="CL129" s="276">
        <f>SUM(CL122,CL123,CL127,CL128)</f>
        <v>-7408594</v>
      </c>
      <c r="CM129" s="276">
        <f>SUM(CM122,CM123,CM127,CM128)</f>
        <v>-2712165</v>
      </c>
      <c r="CN129" s="276">
        <f>SUM(CN122,CN123,CN127,CN128)</f>
        <v>-7408350</v>
      </c>
      <c r="CO129" s="276">
        <f>SUM(CK129:CN129)</f>
        <v>-20241193</v>
      </c>
      <c r="CP129" s="276">
        <f>SUM(CP122,CP123,CP127,CP128)</f>
        <v>-7408692</v>
      </c>
      <c r="CQ129" s="276">
        <f>SUM(CQ122,CQ123,CQ127,CQ128)</f>
        <v>-20239954</v>
      </c>
      <c r="CR129" s="276">
        <f>SUM(CR122,CR123,CR127,CR128)</f>
        <v>-7408773</v>
      </c>
      <c r="CS129" s="276">
        <f>SUM(CS122,CS123,CS127,CS128)</f>
        <v>-20239710</v>
      </c>
      <c r="CT129" s="276">
        <f>SUM(CP129:CS129)</f>
        <v>-55297129</v>
      </c>
      <c r="CU129" s="276">
        <f>SUM(CU122,CU123,CU127,CU128)</f>
        <v>-20240052</v>
      </c>
      <c r="CV129" s="276">
        <f>SUM(CV122,CV123,CV127,CV128)</f>
        <v>-55295890</v>
      </c>
      <c r="CW129" s="276">
        <f>SUM(CW122,CW123,CW127,CW128)</f>
        <v>-20240133</v>
      </c>
      <c r="CX129" s="276">
        <f>SUM(CX122,CX123,CX127,CX128)</f>
        <v>-55295646</v>
      </c>
      <c r="CY129" s="276">
        <f>SUM(CU129:CX129)</f>
        <v>-151071721</v>
      </c>
    </row>
    <row r="130" ht="12.75" customHeight="1" s="255">
      <c r="C130" s="269" t="inlineStr">
        <is>
          <t>Common Dividends</t>
        </is>
      </c>
      <c r="D130" s="301">
        <f>INDEX('Inputs (2)'!$D$13:$AL$13,MATCH(D$7,'Inputs (2)'!$D$2:$AL$2,0))</f>
        <v>-73</v>
      </c>
      <c r="E130" s="301">
        <f>INDEX('Inputs (2)'!$D$13:$AL$13,MATCH(E$7,'Inputs (2)'!$D$2:$AL$2,0))</f>
        <v>0</v>
      </c>
      <c r="F130" s="301">
        <f>INDEX('Inputs (2)'!$D$13:$AL$13,MATCH(F$7,'Inputs (2)'!$D$2:$AL$2,0))</f>
        <v>0</v>
      </c>
      <c r="G130" s="301">
        <f>INDEX('Inputs (2)'!$D$13:$AL$13,MATCH(G$7,'Inputs (2)'!$D$2:$AL$2,0))</f>
        <v>73</v>
      </c>
      <c r="H130" s="268">
        <f>SUM(D130:G130)</f>
        <v>0</v>
      </c>
      <c r="I130" s="301">
        <f>INDEX('Inputs (2)'!$D$13:$AL$13,MATCH(I$7,'Inputs (2)'!$D$2:$AL$2,0))</f>
        <v>0</v>
      </c>
      <c r="J130" s="301">
        <f>INDEX('Inputs (2)'!$D$13:$AL$13,MATCH(J$7,'Inputs (2)'!$D$2:$AL$2,0))</f>
        <v>-111</v>
      </c>
      <c r="K130" s="301">
        <f>INDEX('Inputs (2)'!$D$13:$AL$13,MATCH(K$7,'Inputs (2)'!$D$2:$AL$2,0))</f>
        <v>-109</v>
      </c>
      <c r="L130" s="301">
        <f>INDEX('Inputs (2)'!$D$13:$AL$13,MATCH(L$7,'Inputs (2)'!$D$2:$AL$2,0))</f>
        <v>-780</v>
      </c>
      <c r="M130" s="268">
        <f>SUM(I130:L130)</f>
        <v>-1000</v>
      </c>
      <c r="N130" s="301">
        <f>INDEX('Inputs (2)'!$D$13:$AL$13,MATCH(N$7,'Inputs (2)'!$D$2:$AL$2,0))</f>
        <v>-220</v>
      </c>
      <c r="O130" s="301">
        <f>INDEX('Inputs (2)'!$D$13:$AL$13,MATCH(O$7,'Inputs (2)'!$D$2:$AL$2,0))</f>
        <v>-218</v>
      </c>
      <c r="P130" s="301">
        <f>INDEX('Inputs (2)'!$D$13:$AL$13,MATCH(P$7,'Inputs (2)'!$D$2:$AL$2,0))</f>
        <v>-214</v>
      </c>
      <c r="Q130" s="301">
        <f>INDEX('Inputs (2)'!$D$13:$AL$13,MATCH(Q$7,'Inputs (2)'!$D$2:$AL$2,0))</f>
        <v>-214</v>
      </c>
      <c r="R130" s="268">
        <f>SUM(N130:Q130)</f>
        <v>-866</v>
      </c>
      <c r="S130" s="301">
        <f>INDEX('Inputs (2)'!$D$13:$AL$13,MATCH(S$7,'Inputs (2)'!$D$2:$AL$2,0))</f>
        <v>-217</v>
      </c>
      <c r="T130" s="301">
        <f>INDEX('Inputs (2)'!$D$13:$AL$13,MATCH(T$7,'Inputs (2)'!$D$2:$AL$2,0))</f>
        <v>-215</v>
      </c>
      <c r="U130" s="301">
        <f>INDEX('Inputs (2)'!$D$13:$AL$13,MATCH(U$7,'Inputs (2)'!$D$2:$AL$2,0))</f>
        <v>-215</v>
      </c>
      <c r="V130" s="301">
        <f>INDEX('Inputs (2)'!$D$13:$AL$13,MATCH(V$7,'Inputs (2)'!$D$2:$AL$2,0))</f>
        <v>-216</v>
      </c>
      <c r="W130" s="268">
        <f>SUM(S130:V130)</f>
        <v>-863</v>
      </c>
      <c r="X130" s="301">
        <f>INDEX('Inputs (2)'!$D$13:$AL$13,MATCH(X$7,'Inputs (2)'!$D$2:$AL$2,0))</f>
        <v>-218</v>
      </c>
      <c r="Y130" s="301">
        <f>INDEX('Inputs (2)'!$D$13:$AL$13,MATCH(Y$7,'Inputs (2)'!$D$2:$AL$2,0))</f>
        <v>-215</v>
      </c>
      <c r="Z130" s="301">
        <f>INDEX('Inputs (2)'!$D$13:$AL$13,MATCH(Z$7,'Inputs (2)'!$D$2:$AL$2,0))</f>
        <v>-216</v>
      </c>
      <c r="AA130" s="301">
        <f>INDEX('Inputs (2)'!$D$13:$AL$13,MATCH(AA$7,'Inputs (2)'!$D$2:$AL$2,0))</f>
        <v>-216</v>
      </c>
      <c r="AB130" s="268">
        <f>SUM(X130:AA130)</f>
        <v>-865</v>
      </c>
      <c r="AC130" s="301">
        <f>INDEX('Inputs (2)'!$D$13:$AL$13,MATCH(AC$7,'Inputs (2)'!$D$2:$AL$2,0))</f>
        <v>-218</v>
      </c>
      <c r="AD130" s="301">
        <f>INDEX('Inputs (2)'!$D$13:$AL$13,MATCH(AD$7,'Inputs (2)'!$D$2:$AL$2,0))</f>
        <v>-215</v>
      </c>
      <c r="AE130" s="301">
        <f>INDEX('Inputs (2)'!$D$13:$AL$13,MATCH(AE$7,'Inputs (2)'!$D$2:$AL$2,0))</f>
        <v>-216</v>
      </c>
      <c r="AF130" s="301">
        <f>INDEX('Inputs (2)'!$D$13:$AL$13,MATCH(AF$7,'Inputs (2)'!$D$2:$AL$2,0))</f>
        <v>-216</v>
      </c>
      <c r="AG130" s="268">
        <f>SUM(AC130:AF130)</f>
        <v>-865</v>
      </c>
      <c r="AH130" s="268">
        <f>INDEX('Inputs (2)'!$D$13:$AL$13,MATCH(AH$7,'Inputs (2)'!$D$2:$AL$2,0))</f>
        <v>-218</v>
      </c>
      <c r="AI130" s="268">
        <f>INDEX('Inputs (2)'!$D$13:$AL$13,MATCH(AI$7,'Inputs (2)'!$D$2:$AL$2,0))</f>
        <v>-216</v>
      </c>
      <c r="AJ130" s="268" t="n"/>
      <c r="AK130" s="268" t="n"/>
      <c r="AL130" s="268">
        <f>SUM(AH130:AK130)</f>
        <v>-434</v>
      </c>
      <c r="AM130" s="268" t="n"/>
      <c r="AN130" s="268" t="n"/>
      <c r="AO130" s="268" t="n"/>
      <c r="AP130" s="268" t="n"/>
      <c r="AQ130" s="268">
        <f>SUM(AM130:AP130)</f>
        <v>0</v>
      </c>
      <c r="AR130" s="268" t="n"/>
      <c r="AS130" s="268" t="n"/>
      <c r="AT130" s="268" t="n"/>
      <c r="AU130" s="268" t="n"/>
      <c r="AV130" s="268">
        <f>SUM(AR130:AU130)</f>
        <v>0</v>
      </c>
      <c r="AW130" s="268" t="n"/>
      <c r="AX130" s="268" t="n"/>
      <c r="AY130" s="268" t="n"/>
      <c r="AZ130" s="268" t="n"/>
      <c r="BA130" s="268">
        <f>SUM(AW130:AZ130)</f>
        <v>0</v>
      </c>
      <c r="BB130" s="268" t="n"/>
      <c r="BC130" s="268" t="n"/>
      <c r="BD130" s="268" t="n"/>
      <c r="BE130" s="268" t="n"/>
      <c r="BF130" s="268">
        <f>SUM(BB130:BE130)</f>
        <v>0</v>
      </c>
      <c r="BG130" s="268" t="n"/>
      <c r="BH130" s="268" t="n"/>
      <c r="BI130" s="268" t="n"/>
      <c r="BJ130" s="268" t="n"/>
      <c r="BK130" s="268">
        <f>SUM(BG130:BJ130)</f>
        <v>0</v>
      </c>
      <c r="BL130" s="268" t="n"/>
      <c r="BM130" s="268" t="n"/>
      <c r="BN130" s="268" t="n"/>
      <c r="BO130" s="268" t="n"/>
      <c r="BP130" s="268">
        <f>SUM(BL130:BO130)</f>
        <v>0</v>
      </c>
      <c r="BQ130" s="268" t="n"/>
      <c r="BR130" s="268" t="n"/>
      <c r="BS130" s="268" t="n"/>
      <c r="BT130" s="268" t="n"/>
      <c r="BU130" s="268">
        <f>SUM(BQ130:BT130)</f>
        <v>0</v>
      </c>
      <c r="BV130" s="268" t="n"/>
      <c r="BW130" s="268" t="n"/>
      <c r="BX130" s="268" t="n"/>
      <c r="BY130" s="268" t="n"/>
      <c r="BZ130" s="268">
        <f>SUM(BV130:BY130)</f>
        <v>0</v>
      </c>
      <c r="CA130" s="268" t="n"/>
      <c r="CB130" s="268" t="n"/>
      <c r="CC130" s="268" t="n"/>
      <c r="CD130" s="268" t="n"/>
      <c r="CE130" s="268">
        <f>SUM(CA130:CD130)</f>
        <v>0</v>
      </c>
      <c r="CF130" s="268" t="n"/>
      <c r="CG130" s="268" t="n"/>
      <c r="CH130" s="268" t="n"/>
      <c r="CI130" s="268" t="n"/>
      <c r="CJ130" s="268">
        <f>SUM(CF130:CI130)</f>
        <v>0</v>
      </c>
      <c r="CK130" s="268" t="n"/>
      <c r="CL130" s="268" t="n"/>
      <c r="CM130" s="268" t="n"/>
      <c r="CN130" s="268" t="n"/>
      <c r="CO130" s="268">
        <f>SUM(CK130:CN130)</f>
        <v>0</v>
      </c>
      <c r="CP130" s="268" t="n"/>
      <c r="CQ130" s="268" t="n"/>
      <c r="CR130" s="268" t="n"/>
      <c r="CS130" s="268" t="n"/>
      <c r="CT130" s="268">
        <f>SUM(CP130:CS130)</f>
        <v>0</v>
      </c>
      <c r="CU130" s="268" t="n"/>
      <c r="CV130" s="268" t="n"/>
      <c r="CW130" s="268" t="n"/>
      <c r="CX130" s="268" t="n"/>
      <c r="CY130" s="268">
        <f>SUM(CU130:CX130)</f>
        <v>0</v>
      </c>
    </row>
    <row r="131" hidden="1" outlineLevel="1" ht="12.75" customHeight="1" s="255">
      <c r="C131" s="305" t="inlineStr">
        <is>
          <t>% DVD Payout</t>
        </is>
      </c>
      <c r="D131" s="313">
        <f>-D130/D129</f>
        <v>-0.14867617107943</v>
      </c>
      <c r="E131" s="313">
        <f>-E130/E129</f>
        <v>0</v>
      </c>
      <c r="F131" s="313">
        <f>-F130/F129</f>
        <v>0</v>
      </c>
      <c r="G131" s="313">
        <f>-G130/G129</f>
        <v>-0.103107344632768</v>
      </c>
      <c r="H131" s="313">
        <f>-H130/H129</f>
        <v>0</v>
      </c>
      <c r="I131" s="313">
        <f>-I130/I129</f>
        <v>0</v>
      </c>
      <c r="J131" s="313">
        <f>-J130/J129</f>
        <v>0.102493074792244</v>
      </c>
      <c r="K131" s="313">
        <f>-K130/K129</f>
        <v>0.0779127948534668</v>
      </c>
      <c r="L131" s="313">
        <f>-L130/L129</f>
        <v>0.705244122965642</v>
      </c>
      <c r="M131" s="313">
        <f>-M130/M129</f>
        <v>0.2322340919647</v>
      </c>
      <c r="N131" s="313">
        <f>-N130/N129</f>
        <v>0.14407334643091</v>
      </c>
      <c r="O131" s="313">
        <f>-O130/O129</f>
        <v>0.25952380952381</v>
      </c>
      <c r="P131" s="313">
        <f>-P130/P129</f>
        <v>0.52970297029703</v>
      </c>
      <c r="Q131" s="313">
        <f>-Q130/Q129</f>
        <v>0.307030129124821</v>
      </c>
      <c r="R131" s="313">
        <f>-R130/R129</f>
        <v>0.249711649365629</v>
      </c>
      <c r="S131" s="313">
        <f>-S130/S129</f>
        <v>0.327300150829563</v>
      </c>
      <c r="T131" s="313">
        <f>-T130/T129</f>
        <v>0.626822157434402</v>
      </c>
      <c r="U131" s="313">
        <f>-U130/U129</f>
        <v>0.473568281938326</v>
      </c>
      <c r="V131" s="313">
        <f>-V130/V129</f>
        <v>0.556701030927835</v>
      </c>
      <c r="W131" s="313">
        <f>-W130/W129</f>
        <v>0.466991341991342</v>
      </c>
      <c r="X131" s="313">
        <f>-X130/X129</f>
        <v>0.460887949260042</v>
      </c>
      <c r="Y131" s="313">
        <f>-Y130/Y129</f>
        <v>0.349025974025974</v>
      </c>
      <c r="Z131" s="313">
        <f>-Z130/Z129</f>
        <v>0.4106463878327</v>
      </c>
      <c r="AA131" s="313">
        <f>-AA130/AA129</f>
        <v>0.788321167883212</v>
      </c>
      <c r="AB131" s="313">
        <f>-AB130/AB129</f>
        <v>0.457914240338804</v>
      </c>
      <c r="AC131" s="313">
        <f>-AC130/AC129</f>
        <v>0.619318181818182</v>
      </c>
      <c r="AD131" s="313">
        <f>-AD130/AD129</f>
        <v>0.278497409326425</v>
      </c>
      <c r="AE131" s="313">
        <f>-AE130/AE129</f>
        <v>0.320474777448071</v>
      </c>
      <c r="AF131" s="297">
        <f>-AF130/AF129</f>
        <v>0.532019704433498</v>
      </c>
      <c r="AG131" s="268" t="n"/>
      <c r="AH131" s="297">
        <f>-AH130/AH129</f>
        <v>0.24744608399546</v>
      </c>
      <c r="AI131" s="297">
        <f>-AI130/AI129</f>
        <v>0.219512195121951</v>
      </c>
      <c r="AJ131" s="297" t="n"/>
      <c r="AK131" s="297" t="n"/>
      <c r="AL131" s="268">
        <f>-AL130/AL129</f>
        <v>0.456842105263158</v>
      </c>
      <c r="AM131" s="297" t="n"/>
      <c r="AN131" s="297" t="n"/>
      <c r="AO131" s="297" t="n"/>
      <c r="AP131" s="297" t="n"/>
      <c r="AQ131" s="268">
        <f>-AQ130/AQ129</f>
        <v>0</v>
      </c>
      <c r="AR131" s="297" t="n"/>
      <c r="AS131" s="297" t="n"/>
      <c r="AT131" s="297" t="n"/>
      <c r="AU131" s="297" t="n"/>
      <c r="AV131" s="268">
        <f>-AV130/AV129</f>
        <v>0</v>
      </c>
      <c r="AW131" s="297" t="n"/>
      <c r="AX131" s="297" t="n"/>
      <c r="AY131" s="297" t="n"/>
      <c r="AZ131" s="297" t="n"/>
      <c r="BA131" s="268">
        <f>-BA130/BA129</f>
        <v>0</v>
      </c>
      <c r="BB131" s="297" t="n"/>
      <c r="BC131" s="297" t="n"/>
      <c r="BD131" s="297" t="n"/>
      <c r="BE131" s="297" t="n"/>
      <c r="BF131" s="268">
        <f>-BF130/BF129</f>
        <v>0</v>
      </c>
      <c r="BG131" s="297" t="n"/>
      <c r="BH131" s="297" t="n"/>
      <c r="BI131" s="297" t="n"/>
      <c r="BJ131" s="297" t="n"/>
      <c r="BK131" s="268">
        <f>-BK130/BK129</f>
        <v>0</v>
      </c>
      <c r="BL131" s="297" t="n"/>
      <c r="BM131" s="297" t="n"/>
      <c r="BN131" s="297" t="n"/>
      <c r="BO131" s="297" t="n"/>
      <c r="BP131" s="268">
        <f>-BP130/BP129</f>
        <v>0</v>
      </c>
      <c r="BQ131" s="297" t="n"/>
      <c r="BR131" s="297" t="n"/>
      <c r="BS131" s="297" t="n"/>
      <c r="BT131" s="297" t="n"/>
      <c r="BU131" s="268">
        <f>-BU130/BU129</f>
        <v>0</v>
      </c>
      <c r="BV131" s="297" t="n"/>
      <c r="BW131" s="297" t="n"/>
      <c r="BX131" s="297" t="n"/>
      <c r="BY131" s="297" t="n"/>
      <c r="BZ131" s="268">
        <f>-BZ130/BZ129</f>
        <v>0</v>
      </c>
      <c r="CA131" s="297" t="n"/>
      <c r="CB131" s="297" t="n"/>
      <c r="CC131" s="297" t="n"/>
      <c r="CD131" s="297" t="n"/>
      <c r="CE131" s="268">
        <f>-CE130/CE129</f>
        <v>0</v>
      </c>
      <c r="CF131" s="297" t="n"/>
      <c r="CG131" s="297" t="n"/>
      <c r="CH131" s="297" t="n"/>
      <c r="CI131" s="297" t="n"/>
      <c r="CJ131" s="268">
        <f>-CJ130/CJ129</f>
        <v>0</v>
      </c>
      <c r="CK131" s="297" t="n"/>
      <c r="CL131" s="297" t="n"/>
      <c r="CM131" s="297" t="n"/>
      <c r="CN131" s="297" t="n"/>
      <c r="CO131" s="268">
        <f>-CO130/CO129</f>
        <v>0</v>
      </c>
      <c r="CP131" s="297" t="n"/>
      <c r="CQ131" s="297" t="n"/>
      <c r="CR131" s="297" t="n"/>
      <c r="CS131" s="297" t="n"/>
      <c r="CT131" s="268">
        <f>-CT130/CT129</f>
        <v>0</v>
      </c>
      <c r="CU131" s="297" t="n"/>
      <c r="CV131" s="297" t="n"/>
      <c r="CW131" s="297" t="n"/>
      <c r="CX131" s="297" t="n"/>
      <c r="CY131" s="268">
        <f>-CY130/CY129</f>
        <v>0</v>
      </c>
    </row>
    <row r="132" hidden="1" outlineLevel="1" ht="12.75" customHeight="1" s="255">
      <c r="C132" s="274" t="n"/>
      <c r="D132" s="259" t="n"/>
      <c r="E132" s="259" t="n"/>
      <c r="F132" s="259" t="n"/>
      <c r="G132" s="259" t="n"/>
      <c r="H132" s="259" t="n"/>
      <c r="I132" s="259" t="n"/>
      <c r="J132" s="259" t="n"/>
      <c r="K132" s="259" t="n"/>
      <c r="L132" s="259" t="n"/>
      <c r="M132" s="259" t="n"/>
      <c r="N132" s="259" t="n"/>
      <c r="O132" s="259" t="n"/>
      <c r="P132" s="259" t="n"/>
      <c r="Q132" s="259" t="n"/>
      <c r="R132" s="259" t="n"/>
      <c r="S132" s="259" t="n"/>
      <c r="T132" s="259" t="n"/>
      <c r="U132" s="259" t="n"/>
      <c r="V132" s="259" t="n"/>
      <c r="W132" s="259" t="n"/>
      <c r="X132" s="259" t="n"/>
      <c r="Y132" s="259" t="n"/>
      <c r="Z132" s="259" t="n"/>
      <c r="AA132" s="259" t="n"/>
      <c r="AB132" s="259" t="n"/>
      <c r="AC132" s="259" t="n"/>
      <c r="AD132" s="259" t="n"/>
      <c r="AE132" s="259" t="n"/>
      <c r="AF132" s="259" t="n"/>
      <c r="AG132" s="259" t="n"/>
      <c r="AH132" s="259" t="n"/>
      <c r="AI132" s="259" t="n"/>
      <c r="AJ132" s="259" t="n"/>
      <c r="AK132" s="259" t="n"/>
      <c r="AL132" s="259" t="n"/>
      <c r="AM132" s="259" t="n"/>
      <c r="AN132" s="259" t="n"/>
      <c r="AO132" s="259" t="n"/>
      <c r="AP132" s="259" t="n"/>
      <c r="AQ132" s="259" t="n"/>
      <c r="AR132" s="259" t="n"/>
      <c r="AS132" s="259" t="n"/>
      <c r="AT132" s="259" t="n"/>
      <c r="AU132" s="259" t="n"/>
      <c r="AV132" s="259" t="n"/>
      <c r="AW132" s="259" t="n"/>
      <c r="AX132" s="259" t="n"/>
      <c r="AY132" s="259" t="n"/>
      <c r="AZ132" s="259" t="n"/>
      <c r="BA132" s="259" t="n"/>
      <c r="BB132" s="259" t="n"/>
      <c r="BC132" s="259" t="n"/>
      <c r="BD132" s="259" t="n"/>
      <c r="BE132" s="259" t="n"/>
      <c r="BF132" s="259" t="n"/>
      <c r="BG132" s="259" t="n"/>
      <c r="BH132" s="259" t="n"/>
      <c r="BI132" s="259" t="n"/>
      <c r="BJ132" s="259" t="n"/>
      <c r="BK132" s="259" t="n"/>
      <c r="BL132" s="259" t="n"/>
      <c r="BM132" s="259" t="n"/>
      <c r="BN132" s="259" t="n"/>
      <c r="BO132" s="259" t="n"/>
      <c r="BP132" s="259" t="n"/>
      <c r="BQ132" s="259" t="n"/>
      <c r="BR132" s="259" t="n"/>
      <c r="BS132" s="259" t="n"/>
      <c r="BT132" s="259" t="n"/>
      <c r="BU132" s="259" t="n"/>
      <c r="BV132" s="259" t="n"/>
      <c r="BW132" s="259" t="n"/>
      <c r="BX132" s="259" t="n"/>
      <c r="BY132" s="259" t="n"/>
      <c r="BZ132" s="259" t="n"/>
      <c r="CA132" s="259" t="n"/>
      <c r="CB132" s="259" t="n"/>
      <c r="CC132" s="259" t="n"/>
      <c r="CD132" s="259" t="n"/>
      <c r="CE132" s="259" t="n"/>
      <c r="CF132" s="259" t="n"/>
      <c r="CG132" s="259" t="n"/>
      <c r="CH132" s="259" t="n"/>
      <c r="CI132" s="259" t="n"/>
      <c r="CJ132" s="259" t="n"/>
      <c r="CK132" s="259" t="n"/>
      <c r="CL132" s="259" t="n"/>
      <c r="CM132" s="259" t="n"/>
      <c r="CN132" s="259" t="n"/>
      <c r="CO132" s="259" t="n"/>
      <c r="CP132" s="259" t="n"/>
      <c r="CQ132" s="259" t="n"/>
      <c r="CR132" s="259" t="n"/>
      <c r="CS132" s="259" t="n"/>
      <c r="CT132" s="259" t="n"/>
      <c r="CU132" s="259" t="n"/>
      <c r="CV132" s="259" t="n"/>
      <c r="CW132" s="259" t="n"/>
      <c r="CX132" s="259" t="n"/>
      <c r="CY132" s="259" t="n"/>
    </row>
    <row r="133" hidden="1" outlineLevel="1" ht="12.75" customHeight="1" s="255">
      <c r="C133" s="274" t="n"/>
      <c r="D133" s="259" t="n"/>
      <c r="E133" s="259" t="n"/>
      <c r="F133" s="259" t="n"/>
      <c r="G133" s="259" t="n"/>
      <c r="H133" s="259" t="n"/>
      <c r="I133" s="259" t="n"/>
      <c r="J133" s="259" t="n"/>
      <c r="K133" s="259" t="n"/>
      <c r="L133" s="259" t="n"/>
      <c r="M133" s="259" t="n"/>
      <c r="N133" s="259" t="n"/>
      <c r="O133" s="259" t="n"/>
      <c r="P133" s="259" t="n"/>
      <c r="Q133" s="259" t="n"/>
      <c r="R133" s="259" t="n"/>
      <c r="S133" s="259" t="n"/>
      <c r="T133" s="259" t="n"/>
      <c r="U133" s="259" t="n"/>
      <c r="V133" s="259" t="n"/>
      <c r="W133" s="259" t="n"/>
      <c r="X133" s="259" t="n"/>
      <c r="Y133" s="259" t="n"/>
      <c r="Z133" s="259" t="n"/>
      <c r="AA133" s="259" t="n"/>
      <c r="AB133" s="259" t="n"/>
      <c r="AC133" s="259" t="n"/>
      <c r="AD133" s="259" t="n"/>
      <c r="AE133" s="259" t="n"/>
      <c r="AF133" s="259" t="n"/>
      <c r="AG133" s="259" t="n"/>
      <c r="AH133" s="259" t="n"/>
      <c r="AI133" s="259" t="n"/>
      <c r="AJ133" s="259" t="n"/>
      <c r="AK133" s="259" t="n"/>
      <c r="AL133" s="259" t="n"/>
      <c r="AM133" s="259" t="n"/>
      <c r="AN133" s="259" t="n"/>
      <c r="AO133" s="259" t="n"/>
      <c r="AP133" s="259" t="n"/>
      <c r="AQ133" s="259" t="n"/>
      <c r="AR133" s="259" t="n"/>
      <c r="AS133" s="259" t="n"/>
      <c r="AT133" s="259" t="n"/>
      <c r="AU133" s="259" t="n"/>
      <c r="AV133" s="259" t="n"/>
      <c r="AW133" s="259" t="n"/>
      <c r="AX133" s="259" t="n"/>
      <c r="AY133" s="259" t="n"/>
      <c r="AZ133" s="259" t="n"/>
      <c r="BA133" s="259" t="n"/>
      <c r="BB133" s="259" t="n"/>
      <c r="BC133" s="259" t="n"/>
      <c r="BD133" s="259" t="n"/>
      <c r="BE133" s="259" t="n"/>
      <c r="BF133" s="259" t="n"/>
      <c r="BG133" s="259" t="n"/>
      <c r="BH133" s="259" t="n"/>
      <c r="BI133" s="259" t="n"/>
      <c r="BJ133" s="259" t="n"/>
      <c r="BK133" s="259" t="n"/>
      <c r="BL133" s="259" t="n"/>
      <c r="BM133" s="259" t="n"/>
      <c r="BN133" s="259" t="n"/>
      <c r="BO133" s="259" t="n"/>
      <c r="BP133" s="259" t="n"/>
      <c r="BQ133" s="259" t="n"/>
      <c r="BR133" s="259" t="n"/>
      <c r="BS133" s="259" t="n"/>
      <c r="BT133" s="259" t="n"/>
      <c r="BU133" s="259" t="n"/>
      <c r="BV133" s="259" t="n"/>
      <c r="BW133" s="259" t="n"/>
      <c r="BX133" s="259" t="n"/>
      <c r="BY133" s="259" t="n"/>
      <c r="BZ133" s="259" t="n"/>
      <c r="CA133" s="259" t="n"/>
      <c r="CB133" s="259" t="n"/>
      <c r="CC133" s="259" t="n"/>
      <c r="CD133" s="259" t="n"/>
      <c r="CE133" s="259" t="n"/>
      <c r="CF133" s="259" t="n"/>
      <c r="CG133" s="259" t="n"/>
      <c r="CH133" s="259" t="n"/>
      <c r="CI133" s="259" t="n"/>
      <c r="CJ133" s="259" t="n"/>
      <c r="CK133" s="259" t="n"/>
      <c r="CL133" s="259" t="n"/>
      <c r="CM133" s="259" t="n"/>
      <c r="CN133" s="259" t="n"/>
      <c r="CO133" s="259" t="n"/>
      <c r="CP133" s="259" t="n"/>
      <c r="CQ133" s="259" t="n"/>
      <c r="CR133" s="259" t="n"/>
      <c r="CS133" s="259" t="n"/>
      <c r="CT133" s="259" t="n"/>
      <c r="CU133" s="259" t="n"/>
      <c r="CV133" s="259" t="n"/>
      <c r="CW133" s="259" t="n"/>
      <c r="CX133" s="259" t="n"/>
      <c r="CY133" s="259" t="n"/>
    </row>
    <row r="134" ht="11.25" customHeight="1" s="255">
      <c r="C134" s="289" t="inlineStr">
        <is>
          <t>Balance Sheet</t>
        </is>
      </c>
      <c r="D134" s="289" t="str">
        <f>D13</f>
        <v>1Q20</v>
      </c>
      <c r="E134" s="289" t="str">
        <f>E13</f>
        <v>2Q20</v>
      </c>
      <c r="F134" s="289" t="str">
        <f>F13</f>
        <v>3Q20</v>
      </c>
      <c r="G134" s="289" t="str">
        <f>G13</f>
        <v>4Q20</v>
      </c>
      <c r="H134" s="289">
        <f>H13</f>
        <v>2020</v>
      </c>
      <c r="I134" s="289" t="str">
        <f>I13</f>
        <v>1Q21</v>
      </c>
      <c r="J134" s="289" t="str">
        <f>J13</f>
        <v>2Q21</v>
      </c>
      <c r="K134" s="289" t="str">
        <f>K13</f>
        <v>3Q21</v>
      </c>
      <c r="L134" s="289" t="str">
        <f>L13</f>
        <v>4Q21</v>
      </c>
      <c r="M134" s="289">
        <f>M13</f>
        <v>2021</v>
      </c>
      <c r="N134" s="289" t="str">
        <f>N13</f>
        <v>1Q22</v>
      </c>
      <c r="O134" s="289" t="str">
        <f>O13</f>
        <v>2Q22</v>
      </c>
      <c r="P134" s="289" t="str">
        <f>P13</f>
        <v>3Q22</v>
      </c>
      <c r="Q134" s="289" t="str">
        <f>Q13</f>
        <v>4Q22</v>
      </c>
      <c r="R134" s="289">
        <f>R13</f>
        <v>2022</v>
      </c>
      <c r="S134" s="289" t="str">
        <f>S13</f>
        <v>1Q23</v>
      </c>
      <c r="T134" s="289" t="str">
        <f>T13</f>
        <v>2Q23</v>
      </c>
      <c r="U134" s="289" t="str">
        <f>U13</f>
        <v>3Q23</v>
      </c>
      <c r="V134" s="289" t="str">
        <f>V13</f>
        <v>4Q23</v>
      </c>
      <c r="W134" s="289">
        <f>W13</f>
        <v>2023</v>
      </c>
      <c r="X134" s="289" t="str">
        <f>X13</f>
        <v>1Q24</v>
      </c>
      <c r="Y134" s="289" t="str">
        <f>Y13</f>
        <v>2Q24</v>
      </c>
      <c r="Z134" s="289" t="str">
        <f>Z13</f>
        <v>3Q24</v>
      </c>
      <c r="AA134" s="289" t="str">
        <f>AA13</f>
        <v>4Q24</v>
      </c>
      <c r="AB134" s="289">
        <f>AB13</f>
        <v>2024</v>
      </c>
      <c r="AC134" s="289" t="str">
        <f>AC13</f>
        <v>1Q25</v>
      </c>
      <c r="AD134" s="289" t="str">
        <f>AD13</f>
        <v>2Q25</v>
      </c>
      <c r="AE134" s="289" t="str">
        <f>AE13</f>
        <v>3Q25</v>
      </c>
      <c r="AF134" s="289" t="str">
        <f>AF13</f>
        <v>4Q25</v>
      </c>
      <c r="AG134" s="289">
        <f>AG13</f>
        <v>2025</v>
      </c>
      <c r="AH134" s="289" t="str">
        <f>AH13</f>
        <v>1Q26</v>
      </c>
      <c r="AI134" s="289" t="str">
        <f>AI13</f>
        <v>2Q26</v>
      </c>
      <c r="AJ134" s="289" t="str">
        <f>AJ13</f>
        <v>3Q26</v>
      </c>
      <c r="AK134" s="289" t="str">
        <f>AK13</f>
        <v>4Q26</v>
      </c>
      <c r="AL134" s="289">
        <f>AL13</f>
        <v>2026</v>
      </c>
      <c r="AM134" s="289" t="str">
        <f>AM13</f>
        <v>1Q27</v>
      </c>
      <c r="AN134" s="289" t="str">
        <f>AN13</f>
        <v>2Q27</v>
      </c>
      <c r="AO134" s="289" t="str">
        <f>AO13</f>
        <v>3Q27</v>
      </c>
      <c r="AP134" s="289" t="str">
        <f>AP13</f>
        <v>4Q27</v>
      </c>
      <c r="AQ134" s="289">
        <f>AQ13</f>
        <v>2027</v>
      </c>
      <c r="AR134" s="289" t="str">
        <f>AR13</f>
        <v>1Q28</v>
      </c>
      <c r="AS134" s="289" t="str">
        <f>AS13</f>
        <v>2Q28</v>
      </c>
      <c r="AT134" s="289" t="str">
        <f>AT13</f>
        <v>3Q28</v>
      </c>
      <c r="AU134" s="289" t="str">
        <f>AU13</f>
        <v>4Q28</v>
      </c>
      <c r="AV134" s="289">
        <f>AV13</f>
        <v>2028</v>
      </c>
      <c r="AW134" s="289" t="str">
        <f>AW13</f>
        <v>1Q29</v>
      </c>
      <c r="AX134" s="289" t="str">
        <f>AX13</f>
        <v>2Q29</v>
      </c>
      <c r="AY134" s="289" t="str">
        <f>AY13</f>
        <v>3Q29</v>
      </c>
      <c r="AZ134" s="289" t="str">
        <f>AZ13</f>
        <v>4Q29</v>
      </c>
      <c r="BA134" s="289">
        <f>BA13</f>
        <v>2029</v>
      </c>
      <c r="BB134" s="289" t="str">
        <f>BB13</f>
        <v>1Q30</v>
      </c>
      <c r="BC134" s="289" t="str">
        <f>BC13</f>
        <v>2Q30</v>
      </c>
      <c r="BD134" s="289" t="str">
        <f>BD13</f>
        <v>3Q30</v>
      </c>
      <c r="BE134" s="289" t="str">
        <f>BE13</f>
        <v>4Q30</v>
      </c>
      <c r="BF134" s="289">
        <f>BF13</f>
        <v>2030</v>
      </c>
      <c r="BG134" s="289" t="str">
        <f>BG13</f>
        <v>1Q31</v>
      </c>
      <c r="BH134" s="289" t="str">
        <f>BH13</f>
        <v>2Q31</v>
      </c>
      <c r="BI134" s="289" t="str">
        <f>BI13</f>
        <v>3Q31</v>
      </c>
      <c r="BJ134" s="289" t="str">
        <f>BJ13</f>
        <v>4Q31</v>
      </c>
      <c r="BK134" s="289">
        <f>BK13</f>
        <v>2031</v>
      </c>
      <c r="BL134" s="289" t="str">
        <f>BL13</f>
        <v>1Q32</v>
      </c>
      <c r="BM134" s="289" t="str">
        <f>BM13</f>
        <v>2Q32</v>
      </c>
      <c r="BN134" s="289" t="str">
        <f>BN13</f>
        <v>3Q32</v>
      </c>
      <c r="BO134" s="289" t="str">
        <f>BO13</f>
        <v>4Q32</v>
      </c>
      <c r="BP134" s="289">
        <f>BP13</f>
        <v>2032</v>
      </c>
      <c r="BQ134" s="289" t="str">
        <f>BQ13</f>
        <v>1Q33</v>
      </c>
      <c r="BR134" s="289" t="str">
        <f>BR13</f>
        <v>2Q33</v>
      </c>
      <c r="BS134" s="289" t="str">
        <f>BS13</f>
        <v>3Q33</v>
      </c>
      <c r="BT134" s="289" t="str">
        <f>BT13</f>
        <v>4Q33</v>
      </c>
      <c r="BU134" s="289">
        <f>BU13</f>
        <v>2033</v>
      </c>
      <c r="BV134" s="289" t="str">
        <f>BV13</f>
        <v>1Q34</v>
      </c>
      <c r="BW134" s="289" t="str">
        <f>BW13</f>
        <v>2Q34</v>
      </c>
      <c r="BX134" s="289" t="str">
        <f>BX13</f>
        <v>3Q34</v>
      </c>
      <c r="BY134" s="289" t="str">
        <f>BY13</f>
        <v>4Q34</v>
      </c>
      <c r="BZ134" s="289">
        <f>BZ13</f>
        <v>2034</v>
      </c>
      <c r="CA134" s="289" t="str">
        <f>CA13</f>
        <v>1Q35</v>
      </c>
      <c r="CB134" s="289" t="str">
        <f>CB13</f>
        <v>2Q35</v>
      </c>
      <c r="CC134" s="289" t="str">
        <f>CC13</f>
        <v>3Q35</v>
      </c>
      <c r="CD134" s="289" t="str">
        <f>CD13</f>
        <v>4Q35</v>
      </c>
      <c r="CE134" s="289">
        <f>CE13</f>
        <v>2035</v>
      </c>
      <c r="CF134" s="289" t="str">
        <f>CF13</f>
        <v>1Q36</v>
      </c>
      <c r="CG134" s="289" t="str">
        <f>CG13</f>
        <v>2Q36</v>
      </c>
      <c r="CH134" s="289" t="str">
        <f>CH13</f>
        <v>3Q36</v>
      </c>
      <c r="CI134" s="289" t="str">
        <f>CI13</f>
        <v>4Q36</v>
      </c>
      <c r="CJ134" s="289">
        <f>CJ13</f>
        <v>2036</v>
      </c>
      <c r="CK134" s="289" t="str">
        <f>CK13</f>
        <v>1Q37</v>
      </c>
      <c r="CL134" s="289" t="str">
        <f>CL13</f>
        <v>2Q37</v>
      </c>
      <c r="CM134" s="289" t="str">
        <f>CM13</f>
        <v>3Q37</v>
      </c>
      <c r="CN134" s="289" t="str">
        <f>CN13</f>
        <v>4Q37</v>
      </c>
      <c r="CO134" s="289">
        <f>CO13</f>
        <v>2037</v>
      </c>
      <c r="CP134" s="289" t="str">
        <f>CP13</f>
        <v>1Q38</v>
      </c>
      <c r="CQ134" s="289" t="str">
        <f>CQ13</f>
        <v>2Q38</v>
      </c>
      <c r="CR134" s="289" t="str">
        <f>CR13</f>
        <v>3Q38</v>
      </c>
      <c r="CS134" s="289" t="str">
        <f>CS13</f>
        <v>4Q38</v>
      </c>
      <c r="CT134" s="289">
        <f>CT13</f>
        <v>2038</v>
      </c>
      <c r="CU134" s="289" t="str">
        <f>CU13</f>
        <v>1Q39</v>
      </c>
      <c r="CV134" s="289" t="str">
        <f>CV13</f>
        <v>2Q39</v>
      </c>
      <c r="CW134" s="289" t="str">
        <f>CW13</f>
        <v>3Q39</v>
      </c>
      <c r="CX134" s="289" t="str">
        <f>CX13</f>
        <v>4Q39</v>
      </c>
      <c r="CY134" s="289">
        <f>CY13</f>
        <v>2039</v>
      </c>
    </row>
    <row r="135" ht="12.75" customHeight="1" s="255">
      <c r="C135" s="274" t="n"/>
      <c r="D135" s="259" t="n"/>
      <c r="E135" s="259" t="n"/>
      <c r="F135" s="259" t="n"/>
      <c r="G135" s="259" t="n"/>
      <c r="H135" s="259" t="n"/>
      <c r="I135" s="259" t="n"/>
      <c r="J135" s="259" t="n"/>
      <c r="K135" s="259" t="n"/>
      <c r="L135" s="259" t="n"/>
      <c r="M135" s="259" t="n"/>
      <c r="N135" s="259" t="n"/>
      <c r="O135" s="259" t="n"/>
      <c r="P135" s="259" t="n"/>
      <c r="Q135" s="259" t="n"/>
      <c r="R135" s="259" t="n"/>
      <c r="S135" s="259" t="n"/>
      <c r="T135" s="259" t="n"/>
      <c r="U135" s="259" t="n"/>
      <c r="V135" s="259" t="n"/>
      <c r="W135" s="259" t="n"/>
      <c r="X135" s="259" t="n"/>
      <c r="Y135" s="259" t="n"/>
      <c r="Z135" s="259" t="n"/>
      <c r="AA135" s="259" t="n"/>
      <c r="AB135" s="259" t="n"/>
      <c r="AC135" s="259" t="n"/>
      <c r="AD135" s="259" t="n"/>
      <c r="AE135" s="259" t="n"/>
      <c r="AF135" s="259" t="n"/>
      <c r="AG135" s="259" t="n"/>
      <c r="AH135" s="259" t="n"/>
      <c r="AI135" s="259" t="n"/>
      <c r="AJ135" s="259" t="n"/>
      <c r="AK135" s="259" t="n"/>
      <c r="AL135" s="259" t="n"/>
      <c r="AM135" s="259" t="n"/>
      <c r="AN135" s="259" t="n"/>
      <c r="AO135" s="259" t="n"/>
      <c r="AP135" s="259" t="n"/>
      <c r="AQ135" s="259" t="n"/>
      <c r="AR135" s="259" t="n"/>
      <c r="AS135" s="259" t="n"/>
      <c r="AT135" s="259" t="n"/>
      <c r="AU135" s="259" t="n"/>
      <c r="AV135" s="259" t="n"/>
      <c r="AW135" s="259" t="n"/>
      <c r="AX135" s="259" t="n"/>
      <c r="AY135" s="259" t="n"/>
      <c r="AZ135" s="259" t="n"/>
      <c r="BA135" s="259" t="n"/>
      <c r="BB135" s="259" t="n"/>
      <c r="BC135" s="259" t="n"/>
      <c r="BD135" s="259" t="n"/>
      <c r="BE135" s="259" t="n"/>
      <c r="BF135" s="259" t="n"/>
      <c r="BG135" s="259" t="n"/>
      <c r="BH135" s="259" t="n"/>
      <c r="BI135" s="259" t="n"/>
      <c r="BJ135" s="259" t="n"/>
      <c r="BK135" s="259" t="n"/>
      <c r="BL135" s="259" t="n"/>
      <c r="BM135" s="259" t="n"/>
      <c r="BN135" s="259" t="n"/>
      <c r="BO135" s="259" t="n"/>
      <c r="BP135" s="259" t="n"/>
      <c r="BQ135" s="259" t="n"/>
      <c r="BR135" s="259" t="n"/>
      <c r="BS135" s="259" t="n"/>
      <c r="BT135" s="259" t="n"/>
      <c r="BU135" s="259" t="n"/>
      <c r="BV135" s="259" t="n"/>
      <c r="BW135" s="259" t="n"/>
      <c r="BX135" s="259" t="n"/>
      <c r="BY135" s="259" t="n"/>
      <c r="BZ135" s="259" t="n"/>
      <c r="CA135" s="259" t="n"/>
      <c r="CB135" s="259" t="n"/>
      <c r="CC135" s="259" t="n"/>
      <c r="CD135" s="259" t="n"/>
      <c r="CE135" s="259" t="n"/>
      <c r="CF135" s="259" t="n"/>
      <c r="CG135" s="259" t="n"/>
      <c r="CH135" s="259" t="n"/>
      <c r="CI135" s="259" t="n"/>
      <c r="CJ135" s="259" t="n"/>
      <c r="CK135" s="259" t="n"/>
      <c r="CL135" s="259" t="n"/>
      <c r="CM135" s="259" t="n"/>
      <c r="CN135" s="259" t="n"/>
      <c r="CO135" s="259" t="n"/>
      <c r="CP135" s="259" t="n"/>
      <c r="CQ135" s="259" t="n"/>
      <c r="CR135" s="259" t="n"/>
      <c r="CS135" s="259" t="n"/>
      <c r="CT135" s="259" t="n"/>
      <c r="CU135" s="259" t="n"/>
      <c r="CV135" s="259" t="n"/>
      <c r="CW135" s="259" t="n"/>
      <c r="CX135" s="259" t="n"/>
      <c r="CY135" s="259" t="n"/>
    </row>
    <row r="136" ht="12.75" customHeight="1" s="255">
      <c r="C136" s="269" t="inlineStr">
        <is>
          <t>Cash and equivalents (inc. investment securities)</t>
        </is>
      </c>
      <c r="D136" s="301">
        <f>INDEX('Inputs (2)'!$D$15:$AL$15,MATCH(D$7,'Inputs (2)'!$D$2:$AL$2,0))</f>
        <v>1602</v>
      </c>
      <c r="E136" s="301">
        <f>INDEX('Inputs (2)'!$D$15:$AL$15,MATCH(E$7,'Inputs (2)'!$D$2:$AL$2,0))</f>
        <v>1465</v>
      </c>
      <c r="F136" s="301">
        <f>INDEX('Inputs (2)'!$D$15:$AL$15,MATCH(F$7,'Inputs (2)'!$D$2:$AL$2,0))</f>
        <v>2403</v>
      </c>
      <c r="G136" s="301">
        <f>INDEX('Inputs (2)'!$D$15:$AL$15,MATCH(G$7,'Inputs (2)'!$D$2:$AL$2,0))</f>
        <v>7560</v>
      </c>
      <c r="H136" s="268">
        <f>G136</f>
        <v>7560</v>
      </c>
      <c r="I136" s="301">
        <f>INDEX('Inputs (2)'!$D$15:$AL$15,MATCH(I$7,'Inputs (2)'!$D$2:$AL$2,0))</f>
        <v>4580</v>
      </c>
      <c r="J136" s="301">
        <f>INDEX('Inputs (2)'!$D$15:$AL$15,MATCH(J$7,'Inputs (2)'!$D$2:$AL$2,0))</f>
        <v>6313</v>
      </c>
      <c r="K136" s="301">
        <f>INDEX('Inputs (2)'!$D$15:$AL$15,MATCH(K$7,'Inputs (2)'!$D$2:$AL$2,0))</f>
        <v>7672</v>
      </c>
      <c r="L136" s="301">
        <f>INDEX('Inputs (2)'!$D$15:$AL$15,MATCH(L$7,'Inputs (2)'!$D$2:$AL$2,0))</f>
        <v>16382</v>
      </c>
      <c r="M136" s="268">
        <f>L136</f>
        <v>16382</v>
      </c>
      <c r="N136" s="301">
        <f>INDEX('Inputs (2)'!$D$15:$AL$15,MATCH(N$7,'Inputs (2)'!$D$2:$AL$2,0))</f>
        <v>8338</v>
      </c>
      <c r="O136" s="301">
        <f>INDEX('Inputs (2)'!$D$15:$AL$15,MATCH(O$7,'Inputs (2)'!$D$2:$AL$2,0))</f>
        <v>9492</v>
      </c>
      <c r="P136" s="301">
        <f>INDEX('Inputs (2)'!$D$15:$AL$15,MATCH(P$7,'Inputs (2)'!$D$2:$AL$2,0))</f>
        <v>8578</v>
      </c>
      <c r="Q136" s="301">
        <f>INDEX('Inputs (2)'!$D$15:$AL$15,MATCH(Q$7,'Inputs (2)'!$D$2:$AL$2,0))</f>
        <v>16536</v>
      </c>
      <c r="R136" s="268">
        <f>Q136</f>
        <v>16536</v>
      </c>
      <c r="S136" s="301">
        <f>INDEX('Inputs (2)'!$D$15:$AL$15,MATCH(S$7,'Inputs (2)'!$D$2:$AL$2,0))</f>
        <v>6852</v>
      </c>
      <c r="T136" s="301">
        <f>INDEX('Inputs (2)'!$D$15:$AL$15,MATCH(T$7,'Inputs (2)'!$D$2:$AL$2,0))</f>
        <v>6683</v>
      </c>
      <c r="U136" s="301">
        <f>INDEX('Inputs (2)'!$D$15:$AL$15,MATCH(U$7,'Inputs (2)'!$D$2:$AL$2,0))</f>
        <v>5745</v>
      </c>
      <c r="V136" s="301">
        <f>INDEX('Inputs (2)'!$D$15:$AL$15,MATCH(V$7,'Inputs (2)'!$D$2:$AL$2,0))</f>
        <v>10821</v>
      </c>
      <c r="W136" s="268">
        <f>V136</f>
        <v>10821</v>
      </c>
      <c r="X136" s="301">
        <f>INDEX('Inputs (2)'!$D$15:$AL$15,MATCH(X$7,'Inputs (2)'!$D$2:$AL$2,0))</f>
        <v>5208</v>
      </c>
      <c r="Y136" s="301">
        <f>INDEX('Inputs (2)'!$D$15:$AL$15,MATCH(Y$7,'Inputs (2)'!$D$2:$AL$2,0))</f>
        <v>5273</v>
      </c>
      <c r="Z136" s="301">
        <f>INDEX('Inputs (2)'!$D$15:$AL$15,MATCH(Z$7,'Inputs (2)'!$D$2:$AL$2,0))</f>
        <v>5000</v>
      </c>
      <c r="AA136" s="301">
        <f>INDEX('Inputs (2)'!$D$15:$AL$15,MATCH(AA$7,'Inputs (2)'!$D$2:$AL$2,0))</f>
        <v>8834</v>
      </c>
      <c r="AB136" s="268">
        <f>AA136</f>
        <v>8834</v>
      </c>
      <c r="AC136" s="301">
        <f>INDEX('Inputs (2)'!$D$15:$AL$15,MATCH(AC$7,'Inputs (2)'!$D$2:$AL$2,0))</f>
        <v>4385</v>
      </c>
      <c r="AD136" s="301">
        <f>INDEX('Inputs (2)'!$D$15:$AL$15,MATCH(AD$7,'Inputs (2)'!$D$2:$AL$2,0))</f>
        <v>4490</v>
      </c>
      <c r="AE136" s="301">
        <f>INDEX('Inputs (2)'!$D$15:$AL$15,MATCH(AE$7,'Inputs (2)'!$D$2:$AL$2,0))</f>
        <v>4318</v>
      </c>
      <c r="AF136" s="301">
        <f>INDEX('Inputs (2)'!$D$15:$AL$15,MATCH(AF$7,'Inputs (2)'!$D$2:$AL$2,0))</f>
        <v>7997</v>
      </c>
      <c r="AG136" s="268">
        <f>AF136</f>
        <v>7997</v>
      </c>
      <c r="AH136" s="268">
        <f>INDEX('Inputs (2)'!$D$15:$AL$15,MATCH(AH$7,'Inputs (2)'!$D$2:$AL$2,0))</f>
        <v>3737</v>
      </c>
      <c r="AI136" s="268">
        <f>INDEX('Inputs (2)'!$D$15:$AL$15,MATCH(AI$7,'Inputs (2)'!$D$2:$AL$2,0))</f>
        <v>4080</v>
      </c>
      <c r="AJ136" s="268">
        <f>AI136+AJ306</f>
        <v>-398</v>
      </c>
      <c r="AK136" s="268">
        <f>AJ136+AK306</f>
        <v>-471</v>
      </c>
      <c r="AL136" s="268">
        <f>AK136</f>
        <v>-471</v>
      </c>
      <c r="AM136" s="268" t="e">
        <f>AL136+AM306</f>
        <v>#DIV/0!</v>
      </c>
      <c r="AN136" s="268" t="e">
        <f>AM136+AN306</f>
        <v>#DIV/0!</v>
      </c>
      <c r="AO136" s="268" t="e">
        <f>AN136+AO306</f>
        <v>#DIV/0!</v>
      </c>
      <c r="AP136" s="268" t="e">
        <f>AO136+AP306</f>
        <v>#DIV/0!</v>
      </c>
      <c r="AQ136" s="268" t="e">
        <f>AP136</f>
        <v>#DIV/0!</v>
      </c>
      <c r="AR136" s="268" t="e">
        <f>AQ136+AR306</f>
        <v>#DIV/0!</v>
      </c>
      <c r="AS136" s="268" t="e">
        <f>AR136+AS306</f>
        <v>#DIV/0!</v>
      </c>
      <c r="AT136" s="268" t="e">
        <f>AS136+AT306</f>
        <v>#DIV/0!</v>
      </c>
      <c r="AU136" s="268" t="e">
        <f>AT136+AU306</f>
        <v>#DIV/0!</v>
      </c>
      <c r="AV136" s="268" t="e">
        <f>AU136</f>
        <v>#DIV/0!</v>
      </c>
      <c r="AW136" s="268" t="e">
        <f>AV136+AW306</f>
        <v>#DIV/0!</v>
      </c>
      <c r="AX136" s="268" t="e">
        <f>AW136+AX306</f>
        <v>#DIV/0!</v>
      </c>
      <c r="AY136" s="268" t="e">
        <f>AX136+AY306</f>
        <v>#DIV/0!</v>
      </c>
      <c r="AZ136" s="268" t="e">
        <f>AY136+AZ306</f>
        <v>#DIV/0!</v>
      </c>
      <c r="BA136" s="268" t="e">
        <f>AZ136</f>
        <v>#DIV/0!</v>
      </c>
      <c r="BB136" s="268" t="e">
        <f>BA136+BB306</f>
        <v>#DIV/0!</v>
      </c>
      <c r="BC136" s="268" t="e">
        <f>BB136+BC306</f>
        <v>#DIV/0!</v>
      </c>
      <c r="BD136" s="268" t="e">
        <f>BC136+BD306</f>
        <v>#DIV/0!</v>
      </c>
      <c r="BE136" s="268" t="e">
        <f>BD136+BE306</f>
        <v>#DIV/0!</v>
      </c>
      <c r="BF136" s="268" t="e">
        <f>BE136</f>
        <v>#DIV/0!</v>
      </c>
      <c r="BG136" s="268" t="e">
        <f>BF136+BG306</f>
        <v>#DIV/0!</v>
      </c>
      <c r="BH136" s="268" t="e">
        <f>BG136+BH306</f>
        <v>#DIV/0!</v>
      </c>
      <c r="BI136" s="268" t="e">
        <f>BH136+BI306</f>
        <v>#DIV/0!</v>
      </c>
      <c r="BJ136" s="268" t="e">
        <f>BI136+BJ306</f>
        <v>#DIV/0!</v>
      </c>
      <c r="BK136" s="268" t="e">
        <f>BJ136</f>
        <v>#DIV/0!</v>
      </c>
      <c r="BL136" s="268" t="e">
        <f>BK136+BL306</f>
        <v>#DIV/0!</v>
      </c>
      <c r="BM136" s="268" t="e">
        <f>BL136+BM306</f>
        <v>#DIV/0!</v>
      </c>
      <c r="BN136" s="268" t="e">
        <f>BM136+BN306</f>
        <v>#DIV/0!</v>
      </c>
      <c r="BO136" s="268" t="e">
        <f>BN136+BO306</f>
        <v>#DIV/0!</v>
      </c>
      <c r="BP136" s="268" t="e">
        <f>BO136</f>
        <v>#DIV/0!</v>
      </c>
      <c r="BQ136" s="268" t="e">
        <f>BP136+BQ306</f>
        <v>#DIV/0!</v>
      </c>
      <c r="BR136" s="268" t="e">
        <f>BQ136+BR306</f>
        <v>#DIV/0!</v>
      </c>
      <c r="BS136" s="268" t="e">
        <f>BR136+BS306</f>
        <v>#DIV/0!</v>
      </c>
      <c r="BT136" s="268" t="e">
        <f>BS136+BT306</f>
        <v>#DIV/0!</v>
      </c>
      <c r="BU136" s="268" t="e">
        <f>BT136</f>
        <v>#DIV/0!</v>
      </c>
      <c r="BV136" s="268" t="e">
        <f>BU136+BV306</f>
        <v>#DIV/0!</v>
      </c>
      <c r="BW136" s="268" t="e">
        <f>BV136+BW306</f>
        <v>#DIV/0!</v>
      </c>
      <c r="BX136" s="268" t="e">
        <f>BW136+BX306</f>
        <v>#DIV/0!</v>
      </c>
      <c r="BY136" s="268" t="e">
        <f>BX136+BY306</f>
        <v>#DIV/0!</v>
      </c>
      <c r="BZ136" s="268" t="e">
        <f>BY136</f>
        <v>#DIV/0!</v>
      </c>
      <c r="CA136" s="268" t="e">
        <f>BZ136+CA306</f>
        <v>#DIV/0!</v>
      </c>
      <c r="CB136" s="268" t="e">
        <f>CA136+CB306</f>
        <v>#DIV/0!</v>
      </c>
      <c r="CC136" s="268" t="e">
        <f>CB136+CC306</f>
        <v>#DIV/0!</v>
      </c>
      <c r="CD136" s="268" t="e">
        <f>CC136+CD306</f>
        <v>#DIV/0!</v>
      </c>
      <c r="CE136" s="268" t="e">
        <f>CD136</f>
        <v>#DIV/0!</v>
      </c>
      <c r="CF136" s="268" t="e">
        <f>CE136+CF306</f>
        <v>#DIV/0!</v>
      </c>
      <c r="CG136" s="268" t="e">
        <f>CF136+CG306</f>
        <v>#DIV/0!</v>
      </c>
      <c r="CH136" s="268" t="e">
        <f>CG136+CH306</f>
        <v>#DIV/0!</v>
      </c>
      <c r="CI136" s="268" t="e">
        <f>CH136+CI306</f>
        <v>#DIV/0!</v>
      </c>
      <c r="CJ136" s="268" t="e">
        <f>CI136</f>
        <v>#DIV/0!</v>
      </c>
      <c r="CK136" s="268" t="e">
        <f>CJ136+CK306</f>
        <v>#DIV/0!</v>
      </c>
      <c r="CL136" s="268" t="e">
        <f>CK136+CL306</f>
        <v>#DIV/0!</v>
      </c>
      <c r="CM136" s="268" t="e">
        <f>CL136+CM306</f>
        <v>#DIV/0!</v>
      </c>
      <c r="CN136" s="268" t="e">
        <f>CM136+CN306</f>
        <v>#DIV/0!</v>
      </c>
      <c r="CO136" s="268" t="e">
        <f>CN136</f>
        <v>#DIV/0!</v>
      </c>
      <c r="CP136" s="268" t="e">
        <f>CO136+CP306</f>
        <v>#DIV/0!</v>
      </c>
      <c r="CQ136" s="268" t="e">
        <f>CP136+CQ306</f>
        <v>#DIV/0!</v>
      </c>
      <c r="CR136" s="268" t="e">
        <f>CQ136+CR306</f>
        <v>#DIV/0!</v>
      </c>
      <c r="CS136" s="268" t="e">
        <f>CR136+CS306</f>
        <v>#DIV/0!</v>
      </c>
      <c r="CT136" s="268" t="e">
        <f>CS136</f>
        <v>#DIV/0!</v>
      </c>
      <c r="CU136" s="268" t="e">
        <f>CT136+CU306</f>
        <v>#DIV/0!</v>
      </c>
      <c r="CV136" s="268" t="e">
        <f>CU136+CV306</f>
        <v>#DIV/0!</v>
      </c>
      <c r="CW136" s="268" t="e">
        <f>CV136+CW306</f>
        <v>#DIV/0!</v>
      </c>
      <c r="CX136" s="268" t="e">
        <f>CW136+CX306</f>
        <v>#DIV/0!</v>
      </c>
      <c r="CY136" s="268" t="e">
        <f>CX136</f>
        <v>#DIV/0!</v>
      </c>
    </row>
    <row r="137" ht="12.75" customHeight="1" s="255">
      <c r="C137" s="270" t="inlineStr">
        <is>
          <t>Accounts receivable</t>
        </is>
      </c>
      <c r="D137" s="301">
        <f>INDEX('Inputs (2)'!$D$16:$AL$16,MATCH(D$7,'Inputs (2)'!$D$2:$AL$2,0))</f>
        <v>515</v>
      </c>
      <c r="E137" s="301">
        <f>INDEX('Inputs (2)'!$D$16:$AL$16,MATCH(E$7,'Inputs (2)'!$D$2:$AL$2,0))</f>
        <v>717</v>
      </c>
      <c r="F137" s="301">
        <f>INDEX('Inputs (2)'!$D$16:$AL$16,MATCH(F$7,'Inputs (2)'!$D$2:$AL$2,0))</f>
        <v>893</v>
      </c>
      <c r="G137" s="301">
        <f>INDEX('Inputs (2)'!$D$16:$AL$16,MATCH(G$7,'Inputs (2)'!$D$2:$AL$2,0))</f>
        <v>892</v>
      </c>
      <c r="H137" s="268">
        <f>G137</f>
        <v>892</v>
      </c>
      <c r="I137" s="301">
        <f>INDEX('Inputs (2)'!$D$16:$AL$16,MATCH(I$7,'Inputs (2)'!$D$2:$AL$2,0))</f>
        <v>1248</v>
      </c>
      <c r="J137" s="301">
        <f>INDEX('Inputs (2)'!$D$16:$AL$16,MATCH(J$7,'Inputs (2)'!$D$2:$AL$2,0))</f>
        <v>1100</v>
      </c>
      <c r="K137" s="301">
        <f>INDEX('Inputs (2)'!$D$16:$AL$16,MATCH(K$7,'Inputs (2)'!$D$2:$AL$2,0))</f>
        <v>931</v>
      </c>
      <c r="L137" s="301">
        <f>INDEX('Inputs (2)'!$D$16:$AL$16,MATCH(L$7,'Inputs (2)'!$D$2:$AL$2,0))</f>
        <v>1168</v>
      </c>
      <c r="M137" s="268">
        <f>L137</f>
        <v>1168</v>
      </c>
      <c r="N137" s="301">
        <f>INDEX('Inputs (2)'!$D$16:$AL$16,MATCH(N$7,'Inputs (2)'!$D$2:$AL$2,0))</f>
        <v>1537</v>
      </c>
      <c r="O137" s="301">
        <f>INDEX('Inputs (2)'!$D$16:$AL$16,MATCH(O$7,'Inputs (2)'!$D$2:$AL$2,0))</f>
        <v>977</v>
      </c>
      <c r="P137" s="301">
        <f>INDEX('Inputs (2)'!$D$16:$AL$16,MATCH(P$7,'Inputs (2)'!$D$2:$AL$2,0))</f>
        <v>844</v>
      </c>
      <c r="Q137" s="301">
        <f>INDEX('Inputs (2)'!$D$16:$AL$16,MATCH(Q$7,'Inputs (2)'!$D$2:$AL$2,0))</f>
        <v>1336</v>
      </c>
      <c r="R137" s="268">
        <f>Q137</f>
        <v>1336</v>
      </c>
      <c r="S137" s="301">
        <f>INDEX('Inputs (2)'!$D$16:$AL$16,MATCH(S$7,'Inputs (2)'!$D$2:$AL$2,0))</f>
        <v>1134</v>
      </c>
      <c r="T137" s="301">
        <f>INDEX('Inputs (2)'!$D$16:$AL$16,MATCH(T$7,'Inputs (2)'!$D$2:$AL$2,0))</f>
        <v>675</v>
      </c>
      <c r="U137" s="301">
        <f>INDEX('Inputs (2)'!$D$16:$AL$16,MATCH(U$7,'Inputs (2)'!$D$2:$AL$2,0))</f>
        <v>792</v>
      </c>
      <c r="V137" s="301">
        <f>INDEX('Inputs (2)'!$D$16:$AL$16,MATCH(V$7,'Inputs (2)'!$D$2:$AL$2,0))</f>
        <v>1209</v>
      </c>
      <c r="W137" s="268">
        <f>V137</f>
        <v>1209</v>
      </c>
      <c r="X137" s="301">
        <f>INDEX('Inputs (2)'!$D$16:$AL$16,MATCH(X$7,'Inputs (2)'!$D$2:$AL$2,0))</f>
        <v>1494</v>
      </c>
      <c r="Y137" s="301">
        <f>INDEX('Inputs (2)'!$D$16:$AL$16,MATCH(Y$7,'Inputs (2)'!$D$2:$AL$2,0))</f>
        <v>1128</v>
      </c>
      <c r="Z137" s="301">
        <f>INDEX('Inputs (2)'!$D$16:$AL$16,MATCH(Z$7,'Inputs (2)'!$D$2:$AL$2,0))</f>
        <v>979</v>
      </c>
      <c r="AA137" s="301">
        <f>INDEX('Inputs (2)'!$D$16:$AL$16,MATCH(AA$7,'Inputs (2)'!$D$2:$AL$2,0))</f>
        <v>578</v>
      </c>
      <c r="AB137" s="268">
        <f>AA137</f>
        <v>578</v>
      </c>
      <c r="AC137" s="301">
        <f>INDEX('Inputs (2)'!$D$16:$AL$16,MATCH(AC$7,'Inputs (2)'!$D$2:$AL$2,0))</f>
        <v>743</v>
      </c>
      <c r="AD137" s="301">
        <f>INDEX('Inputs (2)'!$D$16:$AL$16,MATCH(AD$7,'Inputs (2)'!$D$2:$AL$2,0))</f>
        <v>941</v>
      </c>
      <c r="AE137" s="301">
        <f>INDEX('Inputs (2)'!$D$16:$AL$16,MATCH(AE$7,'Inputs (2)'!$D$2:$AL$2,0))</f>
        <v>916</v>
      </c>
      <c r="AF137" s="301">
        <f>INDEX('Inputs (2)'!$D$16:$AL$16,MATCH(AF$7,'Inputs (2)'!$D$2:$AL$2,0))</f>
        <v>977</v>
      </c>
      <c r="AG137" s="268">
        <f>AF137</f>
        <v>977</v>
      </c>
      <c r="AH137" s="268">
        <f>INDEX('Inputs (2)'!$D$16:$AL$16,MATCH(AH$7,'Inputs (2)'!$D$2:$AL$2,0))</f>
        <v>681</v>
      </c>
      <c r="AI137" s="268">
        <f>INDEX('Inputs (2)'!$D$16:$AL$16,MATCH(AI$7,'Inputs (2)'!$D$2:$AL$2,0))</f>
        <v>716</v>
      </c>
      <c r="AJ137" s="268">
        <f>(AJ138/(AJ$5-AI$5))*AJ$15</f>
        <v>0</v>
      </c>
      <c r="AK137" s="268">
        <f>(AK138/(AK$5-AJ$5))*AK$15</f>
        <v>0</v>
      </c>
      <c r="AL137" s="268">
        <f>AK137</f>
        <v>0</v>
      </c>
      <c r="AM137" s="268">
        <f>(AM138/(AM$5-AL$5))*AM$15</f>
        <v>0</v>
      </c>
      <c r="AN137" s="268">
        <f>(AN138/(AN$5-AM$5))*AN$15</f>
        <v>0</v>
      </c>
      <c r="AO137" s="268">
        <f>(AO138/(AO$5-AN$5))*AO$15</f>
        <v>0</v>
      </c>
      <c r="AP137" s="268">
        <f>(AP138/(AP$5-AO$5))*AP$15</f>
        <v>0</v>
      </c>
      <c r="AQ137" s="268">
        <f>AP137</f>
        <v>0</v>
      </c>
      <c r="AR137" s="268">
        <f>(AR138/(AR$5-AQ$5))*AR$15</f>
        <v>0</v>
      </c>
      <c r="AS137" s="268">
        <f>(AS138/(AS$5-AR$5))*AS$15</f>
        <v>0</v>
      </c>
      <c r="AT137" s="268">
        <f>(AT138/(AT$5-AS$5))*AT$15</f>
        <v>0</v>
      </c>
      <c r="AU137" s="268">
        <f>(AU138/(AU$5-AT$5))*AU$15</f>
        <v>0</v>
      </c>
      <c r="AV137" s="268">
        <f>AU137</f>
        <v>0</v>
      </c>
      <c r="AW137" s="268">
        <f>(AW138/(AW$5-AV$5))*AW$15</f>
        <v>0</v>
      </c>
      <c r="AX137" s="268">
        <f>(AX138/(AX$5-AW$5))*AX$15</f>
        <v>0</v>
      </c>
      <c r="AY137" s="268">
        <f>(AY138/(AY$5-AX$5))*AY$15</f>
        <v>0</v>
      </c>
      <c r="AZ137" s="268">
        <f>(AZ138/(AZ$5-AY$5))*AZ$15</f>
        <v>0</v>
      </c>
      <c r="BA137" s="268">
        <f>AZ137</f>
        <v>0</v>
      </c>
      <c r="BB137" s="268">
        <f>(BB138/(BB$5-BA$5))*BB$15</f>
        <v>0</v>
      </c>
      <c r="BC137" s="268">
        <f>(BC138/(BC$5-BB$5))*BC$15</f>
        <v>0</v>
      </c>
      <c r="BD137" s="268">
        <f>(BD138/(BD$5-BC$5))*BD$15</f>
        <v>0</v>
      </c>
      <c r="BE137" s="268">
        <f>(BE138/(BE$5-BD$5))*BE$15</f>
        <v>0</v>
      </c>
      <c r="BF137" s="268">
        <f>BE137</f>
        <v>0</v>
      </c>
      <c r="BG137" s="268">
        <f>(BG138/(BG$5-BF$5))*BG$15</f>
        <v>0</v>
      </c>
      <c r="BH137" s="268">
        <f>(BH138/(BH$5-BG$5))*BH$15</f>
        <v>0</v>
      </c>
      <c r="BI137" s="268">
        <f>(BI138/(BI$5-BH$5))*BI$15</f>
        <v>0</v>
      </c>
      <c r="BJ137" s="268">
        <f>(BJ138/(BJ$5-BI$5))*BJ$15</f>
        <v>0</v>
      </c>
      <c r="BK137" s="268">
        <f>BJ137</f>
        <v>0</v>
      </c>
      <c r="BL137" s="268">
        <f>(BL138/(BL$5-BK$5))*BL$15</f>
        <v>0</v>
      </c>
      <c r="BM137" s="268">
        <f>(BM138/(BM$5-BL$5))*BM$15</f>
        <v>0</v>
      </c>
      <c r="BN137" s="268">
        <f>(BN138/(BN$5-BM$5))*BN$15</f>
        <v>0</v>
      </c>
      <c r="BO137" s="268">
        <f>(BO138/(BO$5-BN$5))*BO$15</f>
        <v>0</v>
      </c>
      <c r="BP137" s="268">
        <f>BO137</f>
        <v>0</v>
      </c>
      <c r="BQ137" s="268">
        <f>(BQ138/(BQ$5-BP$5))*BQ$15</f>
        <v>0</v>
      </c>
      <c r="BR137" s="268">
        <f>(BR138/(BR$5-BQ$5))*BR$15</f>
        <v>0</v>
      </c>
      <c r="BS137" s="268">
        <f>(BS138/(BS$5-BR$5))*BS$15</f>
        <v>0</v>
      </c>
      <c r="BT137" s="268">
        <f>(BT138/(BT$5-BS$5))*BT$15</f>
        <v>0</v>
      </c>
      <c r="BU137" s="268">
        <f>BT137</f>
        <v>0</v>
      </c>
      <c r="BV137" s="268">
        <f>(BV138/(BV$5-BU$5))*BV$15</f>
        <v>0</v>
      </c>
      <c r="BW137" s="268">
        <f>(BW138/(BW$5-BV$5))*BW$15</f>
        <v>0</v>
      </c>
      <c r="BX137" s="268">
        <f>(BX138/(BX$5-BW$5))*BX$15</f>
        <v>0</v>
      </c>
      <c r="BY137" s="268">
        <f>(BY138/(BY$5-BX$5))*BY$15</f>
        <v>0</v>
      </c>
      <c r="BZ137" s="268">
        <f>BY137</f>
        <v>0</v>
      </c>
      <c r="CA137" s="268">
        <f>(CA138/(CA$5-BZ$5))*CA$15</f>
        <v>0</v>
      </c>
      <c r="CB137" s="268">
        <f>(CB138/(CB$5-CA$5))*CB$15</f>
        <v>0</v>
      </c>
      <c r="CC137" s="268">
        <f>(CC138/(CC$5-CB$5))*CC$15</f>
        <v>0</v>
      </c>
      <c r="CD137" s="268">
        <f>(CD138/(CD$5-CC$5))*CD$15</f>
        <v>0</v>
      </c>
      <c r="CE137" s="268">
        <f>CD137</f>
        <v>0</v>
      </c>
      <c r="CF137" s="268">
        <f>(CF138/(CF$5-CE$5))*CF$15</f>
        <v>0</v>
      </c>
      <c r="CG137" s="268">
        <f>(CG138/(CG$5-CF$5))*CG$15</f>
        <v>0</v>
      </c>
      <c r="CH137" s="268">
        <f>(CH138/(CH$5-CG$5))*CH$15</f>
        <v>0</v>
      </c>
      <c r="CI137" s="268">
        <f>(CI138/(CI$5-CH$5))*CI$15</f>
        <v>0</v>
      </c>
      <c r="CJ137" s="268">
        <f>CI137</f>
        <v>0</v>
      </c>
      <c r="CK137" s="268">
        <f>(CK138/(CK$5-CJ$5))*CK$15</f>
        <v>0</v>
      </c>
      <c r="CL137" s="268">
        <f>(CL138/(CL$5-CK$5))*CL$15</f>
        <v>0</v>
      </c>
      <c r="CM137" s="268">
        <f>(CM138/(CM$5-CL$5))*CM$15</f>
        <v>0</v>
      </c>
      <c r="CN137" s="268">
        <f>(CN138/(CN$5-CM$5))*CN$15</f>
        <v>0</v>
      </c>
      <c r="CO137" s="268">
        <f>CN137</f>
        <v>0</v>
      </c>
      <c r="CP137" s="268">
        <f>(CP138/(CP$5-CO$5))*CP$15</f>
        <v>0</v>
      </c>
      <c r="CQ137" s="268">
        <f>(CQ138/(CQ$5-CP$5))*CQ$15</f>
        <v>0</v>
      </c>
      <c r="CR137" s="268">
        <f>(CR138/(CR$5-CQ$5))*CR$15</f>
        <v>0</v>
      </c>
      <c r="CS137" s="268">
        <f>(CS138/(CS$5-CR$5))*CS$15</f>
        <v>0</v>
      </c>
      <c r="CT137" s="268">
        <f>CS137</f>
        <v>0</v>
      </c>
      <c r="CU137" s="268">
        <f>(CU138/(CU$5-CT$5))*CU$15</f>
        <v>0</v>
      </c>
      <c r="CV137" s="268">
        <f>(CV138/(CV$5-CU$5))*CV$15</f>
        <v>0</v>
      </c>
      <c r="CW137" s="268">
        <f>(CW138/(CW$5-CV$5))*CW$15</f>
        <v>0</v>
      </c>
      <c r="CX137" s="268">
        <f>(CX138/(CX$5-CW$5))*CX$15</f>
        <v>0</v>
      </c>
      <c r="CY137" s="268">
        <f>CX137</f>
        <v>0</v>
      </c>
    </row>
    <row r="138" hidden="1" outlineLevel="1" ht="12.75" customHeight="1" s="255">
      <c r="C138" s="312" t="inlineStr">
        <is>
          <t>DSO</t>
        </is>
      </c>
      <c r="D138" s="268" t="n"/>
      <c r="E138" s="268">
        <f>(E137/E$15)*(E$5-D$5)</f>
        <v>21.3644400785855</v>
      </c>
      <c r="F138" s="268">
        <f>(F137/F$15)*(F$5-E$5)</f>
        <v>21.3336795637497</v>
      </c>
      <c r="G138" s="268">
        <f>(G137/G$15)*(G$5-F$5)</f>
        <v>18.2567296996663</v>
      </c>
      <c r="H138" s="268" t="n"/>
      <c r="I138" s="268">
        <f>(I137/I$15)*(I$5-H$5)</f>
        <v>23.1587628865979</v>
      </c>
      <c r="J138" s="268">
        <f>(J137/J$15)*(J$5-I$5)</f>
        <v>17.4147529575505</v>
      </c>
      <c r="K138" s="268">
        <f>(K137/K$15)*(K$5-J$5)</f>
        <v>14.0805523590334</v>
      </c>
      <c r="L138" s="268">
        <f>(L137/L$15)*(L$5-K$5)</f>
        <v>17.4328358208955</v>
      </c>
      <c r="M138" s="268" t="n"/>
      <c r="N138" s="268">
        <f>(N137/N$15)*(N$5-M$5)</f>
        <v>20.94956837801</v>
      </c>
      <c r="O138" s="268">
        <f>(O137/O$15)*(O$5-N$5)</f>
        <v>16.4156203840473</v>
      </c>
      <c r="P138" s="268">
        <f>(P137/P$15)*(P$5-O$5)</f>
        <v>15.5202878273036</v>
      </c>
      <c r="Q138" s="268">
        <f>(Q137/Q$15)*(Q$5-P$5)</f>
        <v>21.3463007988885</v>
      </c>
      <c r="R138" s="268" t="n"/>
      <c r="S138" s="268">
        <f>(S137/S$15)*(S$5-R$5)</f>
        <v>18.9385785860085</v>
      </c>
      <c r="T138" s="268">
        <f>(T137/T$15)*(T$5-S$5)</f>
        <v>10.7068154087502</v>
      </c>
      <c r="U138" s="268">
        <f>(U137/U$15)*(U$5-T$5)</f>
        <v>12.510989010989</v>
      </c>
      <c r="V138" s="268">
        <f>(V137/V$15)*(V$5-U$5)</f>
        <v>18.8362404741744</v>
      </c>
      <c r="W138" s="268" t="n"/>
      <c r="X138" s="268">
        <f>(X137/X$15)*(X$5-W$5)</f>
        <v>21.5083056478405</v>
      </c>
      <c r="Y138" s="268">
        <f>(Y137/Y$15)*(Y$5-X$5)</f>
        <v>15.4963768115942</v>
      </c>
      <c r="Z138" s="268">
        <f>(Z137/Z$15)*(Z$5-Y$5)</f>
        <v>13.2648011782032</v>
      </c>
      <c r="AA138" s="268">
        <f>(AA137/AA$15)*(AA$5-Z$5)</f>
        <v>9.2965034965035</v>
      </c>
      <c r="AB138" s="268" t="n"/>
      <c r="AC138" s="268">
        <f>(AC137/AC$15)*(AC$5-AB$5)</f>
        <v>11.6742318435754</v>
      </c>
      <c r="AD138" s="268">
        <f>(AD137/AD$15)*(AD$5-AC$5)</f>
        <v>11.2939857557373</v>
      </c>
      <c r="AE138" s="268">
        <f>(AE137/AE$15)*(AE$5-AD$5)</f>
        <v>12.087205966724</v>
      </c>
      <c r="AF138" s="267">
        <f>(AF137/AF$15)*(AF$5-AE$5)</f>
        <v>15.9566838274454</v>
      </c>
      <c r="AG138" s="268" t="n"/>
      <c r="AH138" s="267">
        <f>(AH137/AH$15)*(AH$5-AG$5)</f>
        <v>9.83156881616939</v>
      </c>
      <c r="AI138" s="267">
        <f>(AI137/AI$15)*(AI$5-AH$5)</f>
        <v>9.26959738227344</v>
      </c>
      <c r="AJ138" s="267" t="n"/>
      <c r="AK138" s="267" t="n"/>
      <c r="AL138" s="268" t="n"/>
      <c r="AM138" s="267" t="n"/>
      <c r="AN138" s="267" t="n"/>
      <c r="AO138" s="267" t="n"/>
      <c r="AP138" s="267" t="n"/>
      <c r="AQ138" s="268" t="n"/>
      <c r="AR138" s="267" t="n"/>
      <c r="AS138" s="267" t="n"/>
      <c r="AT138" s="267" t="n"/>
      <c r="AU138" s="267" t="n"/>
      <c r="AV138" s="268" t="n"/>
      <c r="AW138" s="267" t="n"/>
      <c r="AX138" s="267" t="n"/>
      <c r="AY138" s="267" t="n"/>
      <c r="AZ138" s="267" t="n"/>
      <c r="BA138" s="268" t="n"/>
      <c r="BB138" s="267" t="n"/>
      <c r="BC138" s="267" t="n"/>
      <c r="BD138" s="267" t="n"/>
      <c r="BE138" s="267" t="n"/>
      <c r="BF138" s="268" t="n"/>
      <c r="BG138" s="267" t="n"/>
      <c r="BH138" s="267" t="n"/>
      <c r="BI138" s="267" t="n"/>
      <c r="BJ138" s="267" t="n"/>
      <c r="BK138" s="268" t="n"/>
      <c r="BL138" s="267" t="n"/>
      <c r="BM138" s="267" t="n"/>
      <c r="BN138" s="267" t="n"/>
      <c r="BO138" s="267" t="n"/>
      <c r="BP138" s="268" t="n"/>
      <c r="BQ138" s="267" t="n"/>
      <c r="BR138" s="267" t="n"/>
      <c r="BS138" s="267" t="n"/>
      <c r="BT138" s="267" t="n"/>
      <c r="BU138" s="268" t="n"/>
      <c r="BV138" s="267" t="n"/>
      <c r="BW138" s="267" t="n"/>
      <c r="BX138" s="267" t="n"/>
      <c r="BY138" s="267" t="n"/>
      <c r="BZ138" s="268" t="n"/>
      <c r="CA138" s="267" t="n"/>
      <c r="CB138" s="267" t="n"/>
      <c r="CC138" s="267" t="n"/>
      <c r="CD138" s="267" t="n"/>
      <c r="CE138" s="268" t="n"/>
      <c r="CF138" s="267" t="n"/>
      <c r="CG138" s="267" t="n"/>
      <c r="CH138" s="267" t="n"/>
      <c r="CI138" s="267" t="n"/>
      <c r="CJ138" s="268" t="n"/>
      <c r="CK138" s="267" t="n"/>
      <c r="CL138" s="267" t="n"/>
      <c r="CM138" s="267" t="n"/>
      <c r="CN138" s="267" t="n"/>
      <c r="CO138" s="268" t="n"/>
      <c r="CP138" s="267" t="n"/>
      <c r="CQ138" s="267" t="n"/>
      <c r="CR138" s="267" t="n"/>
      <c r="CS138" s="267" t="n"/>
      <c r="CT138" s="268" t="n"/>
      <c r="CU138" s="267" t="n"/>
      <c r="CV138" s="267" t="n"/>
      <c r="CW138" s="267" t="n"/>
      <c r="CX138" s="267" t="n"/>
      <c r="CY138" s="268" t="n"/>
    </row>
    <row r="139" hidden="1" outlineLevel="1" ht="12.75" customHeight="1" s="255">
      <c r="C139" s="312" t="n"/>
      <c r="D139" s="268" t="n"/>
      <c r="E139" s="268" t="n"/>
      <c r="F139" s="268" t="n"/>
      <c r="G139" s="268" t="n"/>
      <c r="H139" s="268" t="n"/>
      <c r="I139" s="268" t="n"/>
      <c r="J139" s="268" t="n"/>
      <c r="K139" s="268" t="n"/>
      <c r="L139" s="268" t="n"/>
      <c r="M139" s="268" t="n"/>
      <c r="N139" s="268" t="n"/>
      <c r="O139" s="268" t="n"/>
      <c r="P139" s="268" t="n"/>
      <c r="Q139" s="268" t="n"/>
      <c r="R139" s="268" t="n"/>
      <c r="S139" s="268" t="n"/>
      <c r="T139" s="268" t="n"/>
      <c r="U139" s="268" t="n"/>
      <c r="V139" s="268" t="n"/>
      <c r="W139" s="268" t="n"/>
      <c r="X139" s="268" t="n"/>
      <c r="Y139" s="268" t="n"/>
      <c r="Z139" s="268" t="n"/>
      <c r="AA139" s="268" t="n"/>
      <c r="AB139" s="268" t="n"/>
      <c r="AC139" s="268" t="n"/>
      <c r="AD139" s="268" t="n"/>
      <c r="AE139" s="268" t="n"/>
      <c r="AF139" s="268" t="n"/>
      <c r="AG139" s="268" t="n"/>
      <c r="AH139" s="268" t="n"/>
      <c r="AI139" s="268" t="n"/>
      <c r="AJ139" s="268" t="n"/>
      <c r="AK139" s="268" t="n"/>
      <c r="AL139" s="268" t="n"/>
      <c r="AM139" s="268" t="n"/>
      <c r="AN139" s="268" t="n"/>
      <c r="AO139" s="268" t="n"/>
      <c r="AP139" s="268" t="n"/>
      <c r="AQ139" s="268" t="n"/>
      <c r="AR139" s="268" t="n"/>
      <c r="AS139" s="268" t="n"/>
      <c r="AT139" s="268" t="n"/>
      <c r="AU139" s="268" t="n"/>
      <c r="AV139" s="268" t="n"/>
      <c r="AW139" s="268" t="n"/>
      <c r="AX139" s="268" t="n"/>
      <c r="AY139" s="268" t="n"/>
      <c r="AZ139" s="268" t="n"/>
      <c r="BA139" s="268" t="n"/>
      <c r="BB139" s="268" t="n"/>
      <c r="BC139" s="268" t="n"/>
      <c r="BD139" s="268" t="n"/>
      <c r="BE139" s="268" t="n"/>
      <c r="BF139" s="268" t="n"/>
      <c r="BG139" s="268" t="n"/>
      <c r="BH139" s="268" t="n"/>
      <c r="BI139" s="268" t="n"/>
      <c r="BJ139" s="268" t="n"/>
      <c r="BK139" s="268" t="n"/>
      <c r="BL139" s="268" t="n"/>
      <c r="BM139" s="268" t="n"/>
      <c r="BN139" s="268" t="n"/>
      <c r="BO139" s="268" t="n"/>
      <c r="BP139" s="268" t="n"/>
      <c r="BQ139" s="268" t="n"/>
      <c r="BR139" s="268" t="n"/>
      <c r="BS139" s="268" t="n"/>
      <c r="BT139" s="268" t="n"/>
      <c r="BU139" s="268" t="n"/>
      <c r="BV139" s="268" t="n"/>
      <c r="BW139" s="268" t="n"/>
      <c r="BX139" s="268" t="n"/>
      <c r="BY139" s="268" t="n"/>
      <c r="BZ139" s="268" t="n"/>
      <c r="CA139" s="268" t="n"/>
      <c r="CB139" s="268" t="n"/>
      <c r="CC139" s="268" t="n"/>
      <c r="CD139" s="268" t="n"/>
      <c r="CE139" s="268" t="n"/>
      <c r="CF139" s="268" t="n"/>
      <c r="CG139" s="268" t="n"/>
      <c r="CH139" s="268" t="n"/>
      <c r="CI139" s="268" t="n"/>
      <c r="CJ139" s="268" t="n"/>
      <c r="CK139" s="268" t="n"/>
      <c r="CL139" s="268" t="n"/>
      <c r="CM139" s="268" t="n"/>
      <c r="CN139" s="268" t="n"/>
      <c r="CO139" s="268" t="n"/>
      <c r="CP139" s="268" t="n"/>
      <c r="CQ139" s="268" t="n"/>
      <c r="CR139" s="268" t="n"/>
      <c r="CS139" s="268" t="n"/>
      <c r="CT139" s="268" t="n"/>
      <c r="CU139" s="268" t="n"/>
      <c r="CV139" s="268" t="n"/>
      <c r="CW139" s="268" t="n"/>
      <c r="CX139" s="268" t="n"/>
      <c r="CY139" s="268" t="n"/>
    </row>
    <row r="140" hidden="1" outlineLevel="1" ht="12.75" customHeight="1" s="255">
      <c r="C140" s="312" t="n"/>
      <c r="D140" s="268" t="n"/>
      <c r="E140" s="268" t="n"/>
      <c r="F140" s="268" t="n"/>
      <c r="G140" s="268" t="n"/>
      <c r="H140" s="268" t="n"/>
      <c r="I140" s="268" t="n"/>
      <c r="J140" s="268" t="n"/>
      <c r="K140" s="268" t="n"/>
      <c r="L140" s="268" t="n"/>
      <c r="M140" s="268" t="n"/>
      <c r="N140" s="268" t="n"/>
      <c r="O140" s="268" t="n"/>
      <c r="P140" s="268" t="n"/>
      <c r="Q140" s="268" t="n"/>
      <c r="R140" s="268" t="n"/>
      <c r="S140" s="268" t="n"/>
      <c r="T140" s="268" t="n"/>
      <c r="U140" s="268" t="n"/>
      <c r="V140" s="268" t="n"/>
      <c r="W140" s="268" t="n"/>
      <c r="X140" s="268" t="n"/>
      <c r="Y140" s="268" t="n"/>
      <c r="Z140" s="268" t="n"/>
      <c r="AA140" s="268" t="n"/>
      <c r="AB140" s="268" t="n"/>
      <c r="AC140" s="268" t="n"/>
      <c r="AD140" s="268" t="n"/>
      <c r="AE140" s="268" t="n"/>
      <c r="AF140" s="268" t="n"/>
      <c r="AG140" s="268" t="n"/>
      <c r="AH140" s="268" t="n"/>
      <c r="AI140" s="268" t="n"/>
      <c r="AJ140" s="268" t="n"/>
      <c r="AK140" s="268" t="n"/>
      <c r="AL140" s="268" t="n"/>
      <c r="AM140" s="268" t="n"/>
      <c r="AN140" s="268" t="n"/>
      <c r="AO140" s="268" t="n"/>
      <c r="AP140" s="268" t="n"/>
      <c r="AQ140" s="268" t="n"/>
      <c r="AR140" s="268" t="n"/>
      <c r="AS140" s="268" t="n"/>
      <c r="AT140" s="268" t="n"/>
      <c r="AU140" s="268" t="n"/>
      <c r="AV140" s="268" t="n"/>
      <c r="AW140" s="268" t="n"/>
      <c r="AX140" s="268" t="n"/>
      <c r="AY140" s="268" t="n"/>
      <c r="AZ140" s="268" t="n"/>
      <c r="BA140" s="268" t="n"/>
      <c r="BB140" s="268" t="n"/>
      <c r="BC140" s="268" t="n"/>
      <c r="BD140" s="268" t="n"/>
      <c r="BE140" s="268" t="n"/>
      <c r="BF140" s="268" t="n"/>
      <c r="BG140" s="268" t="n"/>
      <c r="BH140" s="268" t="n"/>
      <c r="BI140" s="268" t="n"/>
      <c r="BJ140" s="268" t="n"/>
      <c r="BK140" s="268" t="n"/>
      <c r="BL140" s="268" t="n"/>
      <c r="BM140" s="268" t="n"/>
      <c r="BN140" s="268" t="n"/>
      <c r="BO140" s="268" t="n"/>
      <c r="BP140" s="268" t="n"/>
      <c r="BQ140" s="268" t="n"/>
      <c r="BR140" s="268" t="n"/>
      <c r="BS140" s="268" t="n"/>
      <c r="BT140" s="268" t="n"/>
      <c r="BU140" s="268" t="n"/>
      <c r="BV140" s="268" t="n"/>
      <c r="BW140" s="268" t="n"/>
      <c r="BX140" s="268" t="n"/>
      <c r="BY140" s="268" t="n"/>
      <c r="BZ140" s="268" t="n"/>
      <c r="CA140" s="268" t="n"/>
      <c r="CB140" s="268" t="n"/>
      <c r="CC140" s="268" t="n"/>
      <c r="CD140" s="268" t="n"/>
      <c r="CE140" s="268" t="n"/>
      <c r="CF140" s="268" t="n"/>
      <c r="CG140" s="268" t="n"/>
      <c r="CH140" s="268" t="n"/>
      <c r="CI140" s="268" t="n"/>
      <c r="CJ140" s="268" t="n"/>
      <c r="CK140" s="268" t="n"/>
      <c r="CL140" s="268" t="n"/>
      <c r="CM140" s="268" t="n"/>
      <c r="CN140" s="268" t="n"/>
      <c r="CO140" s="268" t="n"/>
      <c r="CP140" s="268" t="n"/>
      <c r="CQ140" s="268" t="n"/>
      <c r="CR140" s="268" t="n"/>
      <c r="CS140" s="268" t="n"/>
      <c r="CT140" s="268" t="n"/>
      <c r="CU140" s="268" t="n"/>
      <c r="CV140" s="268" t="n"/>
      <c r="CW140" s="268" t="n"/>
      <c r="CX140" s="268" t="n"/>
      <c r="CY140" s="268" t="n"/>
    </row>
    <row r="141" ht="12.75" customHeight="1" s="255">
      <c r="C141" s="270" t="inlineStr">
        <is>
          <t>Inventories</t>
        </is>
      </c>
      <c r="D141" s="301">
        <f>INDEX('Inputs (2)'!$D$17:$AL$17,MATCH(D$7,'Inputs (2)'!$D$2:$AL$2,0))</f>
        <v>0</v>
      </c>
      <c r="E141" s="301">
        <f>INDEX('Inputs (2)'!$D$17:$AL$17,MATCH(E$7,'Inputs (2)'!$D$2:$AL$2,0))</f>
        <v>0</v>
      </c>
      <c r="F141" s="301">
        <f>INDEX('Inputs (2)'!$D$17:$AL$17,MATCH(F$7,'Inputs (2)'!$D$2:$AL$2,0))</f>
        <v>0</v>
      </c>
      <c r="G141" s="301">
        <f>INDEX('Inputs (2)'!$D$17:$AL$17,MATCH(G$7,'Inputs (2)'!$D$2:$AL$2,0))</f>
        <v>0</v>
      </c>
      <c r="H141" s="268">
        <f>G141</f>
        <v>0</v>
      </c>
      <c r="I141" s="301">
        <f>INDEX('Inputs (2)'!$D$17:$AL$17,MATCH(I$7,'Inputs (2)'!$D$2:$AL$2,0))</f>
        <v>0</v>
      </c>
      <c r="J141" s="301">
        <f>INDEX('Inputs (2)'!$D$17:$AL$17,MATCH(J$7,'Inputs (2)'!$D$2:$AL$2,0))</f>
        <v>0</v>
      </c>
      <c r="K141" s="301">
        <f>INDEX('Inputs (2)'!$D$17:$AL$17,MATCH(K$7,'Inputs (2)'!$D$2:$AL$2,0))</f>
        <v>0</v>
      </c>
      <c r="L141" s="301">
        <f>INDEX('Inputs (2)'!$D$17:$AL$17,MATCH(L$7,'Inputs (2)'!$D$2:$AL$2,0))</f>
        <v>0</v>
      </c>
      <c r="M141" s="268">
        <f>L141</f>
        <v>0</v>
      </c>
      <c r="N141" s="301">
        <f>INDEX('Inputs (2)'!$D$17:$AL$17,MATCH(N$7,'Inputs (2)'!$D$2:$AL$2,0))</f>
        <v>0</v>
      </c>
      <c r="O141" s="301">
        <f>INDEX('Inputs (2)'!$D$17:$AL$17,MATCH(O$7,'Inputs (2)'!$D$2:$AL$2,0))</f>
        <v>0</v>
      </c>
      <c r="P141" s="301">
        <f>INDEX('Inputs (2)'!$D$17:$AL$17,MATCH(P$7,'Inputs (2)'!$D$2:$AL$2,0))</f>
        <v>0</v>
      </c>
      <c r="Q141" s="301">
        <f>INDEX('Inputs (2)'!$D$17:$AL$17,MATCH(Q$7,'Inputs (2)'!$D$2:$AL$2,0))</f>
        <v>0</v>
      </c>
      <c r="R141" s="268">
        <f>Q141</f>
        <v>0</v>
      </c>
      <c r="S141" s="301">
        <f>INDEX('Inputs (2)'!$D$17:$AL$17,MATCH(S$7,'Inputs (2)'!$D$2:$AL$2,0))</f>
        <v>0</v>
      </c>
      <c r="T141" s="301">
        <f>INDEX('Inputs (2)'!$D$17:$AL$17,MATCH(T$7,'Inputs (2)'!$D$2:$AL$2,0))</f>
        <v>0</v>
      </c>
      <c r="U141" s="301">
        <f>INDEX('Inputs (2)'!$D$17:$AL$17,MATCH(U$7,'Inputs (2)'!$D$2:$AL$2,0))</f>
        <v>0</v>
      </c>
      <c r="V141" s="301">
        <f>INDEX('Inputs (2)'!$D$17:$AL$17,MATCH(V$7,'Inputs (2)'!$D$2:$AL$2,0))</f>
        <v>0</v>
      </c>
      <c r="W141" s="268">
        <f>V141</f>
        <v>0</v>
      </c>
      <c r="X141" s="301">
        <f>INDEX('Inputs (2)'!$D$17:$AL$17,MATCH(X$7,'Inputs (2)'!$D$2:$AL$2,0))</f>
        <v>0</v>
      </c>
      <c r="Y141" s="301">
        <f>INDEX('Inputs (2)'!$D$17:$AL$17,MATCH(Y$7,'Inputs (2)'!$D$2:$AL$2,0))</f>
        <v>0</v>
      </c>
      <c r="Z141" s="301">
        <f>INDEX('Inputs (2)'!$D$17:$AL$17,MATCH(Z$7,'Inputs (2)'!$D$2:$AL$2,0))</f>
        <v>0</v>
      </c>
      <c r="AA141" s="301">
        <f>INDEX('Inputs (2)'!$D$17:$AL$17,MATCH(AA$7,'Inputs (2)'!$D$2:$AL$2,0))</f>
        <v>0</v>
      </c>
      <c r="AB141" s="268">
        <f>AA141</f>
        <v>0</v>
      </c>
      <c r="AC141" s="301">
        <f>INDEX('Inputs (2)'!$D$17:$AL$17,MATCH(AC$7,'Inputs (2)'!$D$2:$AL$2,0))</f>
        <v>0</v>
      </c>
      <c r="AD141" s="301">
        <f>INDEX('Inputs (2)'!$D$17:$AL$17,MATCH(AD$7,'Inputs (2)'!$D$2:$AL$2,0))</f>
        <v>0</v>
      </c>
      <c r="AE141" s="301">
        <f>INDEX('Inputs (2)'!$D$17:$AL$17,MATCH(AE$7,'Inputs (2)'!$D$2:$AL$2,0))</f>
        <v>0</v>
      </c>
      <c r="AF141" s="301">
        <f>INDEX('Inputs (2)'!$D$17:$AL$17,MATCH(AF$7,'Inputs (2)'!$D$2:$AL$2,0))</f>
        <v>0</v>
      </c>
      <c r="AG141" s="268">
        <f>AF141</f>
        <v>0</v>
      </c>
      <c r="AH141" s="268">
        <f>INDEX('Inputs (2)'!$D$17:$AL$17,MATCH(AH$7,'Inputs (2)'!$D$2:$AL$2,0))</f>
        <v>0</v>
      </c>
      <c r="AI141" s="268">
        <f>INDEX('Inputs (2)'!$D$17:$AL$17,MATCH(AI$7,'Inputs (2)'!$D$2:$AL$2,0))</f>
        <v>0</v>
      </c>
      <c r="AJ141" s="268">
        <f>(AJ142/(AJ$5-AI$5))*-AJ$46</f>
        <v>0</v>
      </c>
      <c r="AK141" s="268">
        <f>(AK142/(AK$5-AJ$5))*-AK$46</f>
        <v>0</v>
      </c>
      <c r="AL141" s="268">
        <f>AK141</f>
        <v>0</v>
      </c>
      <c r="AM141" s="268">
        <f>(AM142/(AM$5-AL$5))*-AM$46</f>
        <v>0</v>
      </c>
      <c r="AN141" s="268">
        <f>(AN142/(AN$5-AM$5))*-AN$46</f>
        <v>0</v>
      </c>
      <c r="AO141" s="268">
        <f>(AO142/(AO$5-AN$5))*-AO$46</f>
        <v>0</v>
      </c>
      <c r="AP141" s="268">
        <f>(AP142/(AP$5-AO$5))*-AP$46</f>
        <v>0</v>
      </c>
      <c r="AQ141" s="268">
        <f>AP141</f>
        <v>0</v>
      </c>
      <c r="AR141" s="268">
        <f>(AR142/(AR$5-AQ$5))*-AR$46</f>
        <v>0</v>
      </c>
      <c r="AS141" s="268">
        <f>(AS142/(AS$5-AR$5))*-AS$46</f>
        <v>0</v>
      </c>
      <c r="AT141" s="268">
        <f>(AT142/(AT$5-AS$5))*-AT$46</f>
        <v>0</v>
      </c>
      <c r="AU141" s="268">
        <f>(AU142/(AU$5-AT$5))*-AU$46</f>
        <v>0</v>
      </c>
      <c r="AV141" s="268">
        <f>AU141</f>
        <v>0</v>
      </c>
      <c r="AW141" s="268">
        <f>(AW142/(AW$5-AV$5))*-AW$46</f>
        <v>0</v>
      </c>
      <c r="AX141" s="268">
        <f>(AX142/(AX$5-AW$5))*-AX$46</f>
        <v>0</v>
      </c>
      <c r="AY141" s="268">
        <f>(AY142/(AY$5-AX$5))*-AY$46</f>
        <v>0</v>
      </c>
      <c r="AZ141" s="268">
        <f>(AZ142/(AZ$5-AY$5))*-AZ$46</f>
        <v>0</v>
      </c>
      <c r="BA141" s="268">
        <f>AZ141</f>
        <v>0</v>
      </c>
      <c r="BB141" s="268">
        <f>(BB142/(BB$5-BA$5))*-BB$46</f>
        <v>0</v>
      </c>
      <c r="BC141" s="268">
        <f>(BC142/(BC$5-BB$5))*-BC$46</f>
        <v>0</v>
      </c>
      <c r="BD141" s="268">
        <f>(BD142/(BD$5-BC$5))*-BD$46</f>
        <v>0</v>
      </c>
      <c r="BE141" s="268">
        <f>(BE142/(BE$5-BD$5))*-BE$46</f>
        <v>0</v>
      </c>
      <c r="BF141" s="268">
        <f>BE141</f>
        <v>0</v>
      </c>
      <c r="BG141" s="268">
        <f>(BG142/(BG$5-BF$5))*-BG$46</f>
        <v>0</v>
      </c>
      <c r="BH141" s="268">
        <f>(BH142/(BH$5-BG$5))*-BH$46</f>
        <v>0</v>
      </c>
      <c r="BI141" s="268">
        <f>(BI142/(BI$5-BH$5))*-BI$46</f>
        <v>0</v>
      </c>
      <c r="BJ141" s="268">
        <f>(BJ142/(BJ$5-BI$5))*-BJ$46</f>
        <v>0</v>
      </c>
      <c r="BK141" s="268">
        <f>BJ141</f>
        <v>0</v>
      </c>
      <c r="BL141" s="268">
        <f>(BL142/(BL$5-BK$5))*-BL$46</f>
        <v>0</v>
      </c>
      <c r="BM141" s="268">
        <f>(BM142/(BM$5-BL$5))*-BM$46</f>
        <v>0</v>
      </c>
      <c r="BN141" s="268">
        <f>(BN142/(BN$5-BM$5))*-BN$46</f>
        <v>0</v>
      </c>
      <c r="BO141" s="268">
        <f>(BO142/(BO$5-BN$5))*-BO$46</f>
        <v>0</v>
      </c>
      <c r="BP141" s="268">
        <f>BO141</f>
        <v>0</v>
      </c>
      <c r="BQ141" s="268">
        <f>(BQ142/(BQ$5-BP$5))*-BQ$46</f>
        <v>0</v>
      </c>
      <c r="BR141" s="268">
        <f>(BR142/(BR$5-BQ$5))*-BR$46</f>
        <v>0</v>
      </c>
      <c r="BS141" s="268">
        <f>(BS142/(BS$5-BR$5))*-BS$46</f>
        <v>0</v>
      </c>
      <c r="BT141" s="268">
        <f>(BT142/(BT$5-BS$5))*-BT$46</f>
        <v>0</v>
      </c>
      <c r="BU141" s="268">
        <f>BT141</f>
        <v>0</v>
      </c>
      <c r="BV141" s="268">
        <f>(BV142/(BV$5-BU$5))*-BV$46</f>
        <v>0</v>
      </c>
      <c r="BW141" s="268">
        <f>(BW142/(BW$5-BV$5))*-BW$46</f>
        <v>0</v>
      </c>
      <c r="BX141" s="268">
        <f>(BX142/(BX$5-BW$5))*-BX$46</f>
        <v>0</v>
      </c>
      <c r="BY141" s="268">
        <f>(BY142/(BY$5-BX$5))*-BY$46</f>
        <v>0</v>
      </c>
      <c r="BZ141" s="268">
        <f>BY141</f>
        <v>0</v>
      </c>
      <c r="CA141" s="268">
        <f>(CA142/(CA$5-BZ$5))*-CA$46</f>
        <v>0</v>
      </c>
      <c r="CB141" s="268">
        <f>(CB142/(CB$5-CA$5))*-CB$46</f>
        <v>0</v>
      </c>
      <c r="CC141" s="268">
        <f>(CC142/(CC$5-CB$5))*-CC$46</f>
        <v>0</v>
      </c>
      <c r="CD141" s="268">
        <f>(CD142/(CD$5-CC$5))*-CD$46</f>
        <v>0</v>
      </c>
      <c r="CE141" s="268">
        <f>CD141</f>
        <v>0</v>
      </c>
      <c r="CF141" s="268">
        <f>(CF142/(CF$5-CE$5))*-CF$46</f>
        <v>0</v>
      </c>
      <c r="CG141" s="268">
        <f>(CG142/(CG$5-CF$5))*-CG$46</f>
        <v>0</v>
      </c>
      <c r="CH141" s="268">
        <f>(CH142/(CH$5-CG$5))*-CH$46</f>
        <v>0</v>
      </c>
      <c r="CI141" s="268">
        <f>(CI142/(CI$5-CH$5))*-CI$46</f>
        <v>0</v>
      </c>
      <c r="CJ141" s="268">
        <f>CI141</f>
        <v>0</v>
      </c>
      <c r="CK141" s="268">
        <f>(CK142/(CK$5-CJ$5))*-CK$46</f>
        <v>0</v>
      </c>
      <c r="CL141" s="268">
        <f>(CL142/(CL$5-CK$5))*-CL$46</f>
        <v>0</v>
      </c>
      <c r="CM141" s="268">
        <f>(CM142/(CM$5-CL$5))*-CM$46</f>
        <v>0</v>
      </c>
      <c r="CN141" s="268">
        <f>(CN142/(CN$5-CM$5))*-CN$46</f>
        <v>0</v>
      </c>
      <c r="CO141" s="268">
        <f>CN141</f>
        <v>0</v>
      </c>
      <c r="CP141" s="268">
        <f>(CP142/(CP$5-CO$5))*-CP$46</f>
        <v>0</v>
      </c>
      <c r="CQ141" s="268">
        <f>(CQ142/(CQ$5-CP$5))*-CQ$46</f>
        <v>0</v>
      </c>
      <c r="CR141" s="268">
        <f>(CR142/(CR$5-CQ$5))*-CR$46</f>
        <v>0</v>
      </c>
      <c r="CS141" s="268">
        <f>(CS142/(CS$5-CR$5))*-CS$46</f>
        <v>0</v>
      </c>
      <c r="CT141" s="268">
        <f>CS141</f>
        <v>0</v>
      </c>
      <c r="CU141" s="268">
        <f>(CU142/(CU$5-CT$5))*-CU$46</f>
        <v>0</v>
      </c>
      <c r="CV141" s="268">
        <f>(CV142/(CV$5-CU$5))*-CV$46</f>
        <v>0</v>
      </c>
      <c r="CW141" s="268">
        <f>(CW142/(CW$5-CV$5))*-CW$46</f>
        <v>0</v>
      </c>
      <c r="CX141" s="268">
        <f>(CX142/(CX$5-CW$5))*-CX$46</f>
        <v>0</v>
      </c>
      <c r="CY141" s="268">
        <f>CX141</f>
        <v>0</v>
      </c>
    </row>
    <row r="142" hidden="1" outlineLevel="1" ht="12.75" customHeight="1" s="255">
      <c r="C142" s="312" t="inlineStr">
        <is>
          <t>DIO</t>
        </is>
      </c>
      <c r="D142" s="268" t="n"/>
      <c r="E142" s="268">
        <f>((E141/E$46)*(E$5-D$5))*-1</f>
        <v>0</v>
      </c>
      <c r="F142" s="268">
        <f>((F141/F$46)*(F$5-E$5))*-1</f>
        <v>0</v>
      </c>
      <c r="G142" s="268">
        <f>((G141/G$46)*(G$5-F$5))*-1</f>
        <v>0</v>
      </c>
      <c r="H142" s="268" t="n"/>
      <c r="I142" s="268">
        <f>((I141/I$46)*(I$5-H$5))*-1</f>
        <v>0</v>
      </c>
      <c r="J142" s="268">
        <f>((J141/J$46)*(J$5-I$5))*-1</f>
        <v>0</v>
      </c>
      <c r="K142" s="268">
        <f>((K141/K$46)*(K$5-J$5))*-1</f>
        <v>0</v>
      </c>
      <c r="L142" s="268">
        <f>((L141/L$46)*(L$5-K$5))*-1</f>
        <v>0</v>
      </c>
      <c r="M142" s="268" t="n"/>
      <c r="N142" s="268">
        <f>((N141/N$46)*(N$5-M$5))*-1</f>
        <v>0</v>
      </c>
      <c r="O142" s="268">
        <f>((O141/O$46)*(O$5-N$5))*-1</f>
        <v>0</v>
      </c>
      <c r="P142" s="268">
        <f>((P141/P$46)*(P$5-O$5))*-1</f>
        <v>0</v>
      </c>
      <c r="Q142" s="268">
        <f>((Q141/Q$46)*(Q$5-P$5))*-1</f>
        <v>0</v>
      </c>
      <c r="R142" s="268" t="n"/>
      <c r="S142" s="268">
        <f>((S141/S$46)*(S$5-R$5))*-1</f>
        <v>0</v>
      </c>
      <c r="T142" s="268">
        <f>((T141/T$46)*(T$5-S$5))*-1</f>
        <v>0</v>
      </c>
      <c r="U142" s="268">
        <f>((U141/U$46)*(U$5-T$5))*-1</f>
        <v>0</v>
      </c>
      <c r="V142" s="268">
        <f>((V141/V$46)*(V$5-U$5))*-1</f>
        <v>0</v>
      </c>
      <c r="W142" s="268" t="n"/>
      <c r="X142" s="268">
        <f>((X141/X$46)*(X$5-W$5))*-1</f>
        <v>0</v>
      </c>
      <c r="Y142" s="268">
        <f>((Y141/Y$46)*(Y$5-X$5))*-1</f>
        <v>0</v>
      </c>
      <c r="Z142" s="268">
        <f>((Z141/Z$46)*(Z$5-Y$5))*-1</f>
        <v>0</v>
      </c>
      <c r="AA142" s="268">
        <f>((AA141/AA$46)*(AA$5-Z$5))*-1</f>
        <v>0</v>
      </c>
      <c r="AB142" s="268" t="n"/>
      <c r="AC142" s="268">
        <f>((AC141/AC$46)*(AC$5-AB$5))*-1</f>
        <v>0</v>
      </c>
      <c r="AD142" s="268">
        <f>((AD141/AD$46)*(AD$5-AC$5))*-1</f>
        <v>0</v>
      </c>
      <c r="AE142" s="268">
        <f>((AE141/AE$46)*(AE$5-AD$5))*-1</f>
        <v>0</v>
      </c>
      <c r="AF142" s="267">
        <f>((AF141/AF$46)*(AF$5-AE$5))*-1</f>
        <v>0</v>
      </c>
      <c r="AG142" s="268" t="n"/>
      <c r="AH142" s="267">
        <f>((AH141/AH$46)*(AH$5-AG$5))*-1</f>
        <v>0</v>
      </c>
      <c r="AI142" s="267">
        <f>((AI141/AI$46)*(AI$5-AH$5))*-1</f>
        <v>0</v>
      </c>
      <c r="AJ142" s="267" t="n"/>
      <c r="AK142" s="267" t="n"/>
      <c r="AL142" s="268" t="n"/>
      <c r="AM142" s="267" t="n"/>
      <c r="AN142" s="267" t="n"/>
      <c r="AO142" s="267" t="n"/>
      <c r="AP142" s="267" t="n"/>
      <c r="AQ142" s="268" t="n"/>
      <c r="AR142" s="267" t="n"/>
      <c r="AS142" s="267" t="n"/>
      <c r="AT142" s="267" t="n"/>
      <c r="AU142" s="267" t="n"/>
      <c r="AV142" s="268" t="n"/>
      <c r="AW142" s="267" t="n"/>
      <c r="AX142" s="267" t="n"/>
      <c r="AY142" s="267" t="n"/>
      <c r="AZ142" s="267" t="n"/>
      <c r="BA142" s="268" t="n"/>
      <c r="BB142" s="267" t="n"/>
      <c r="BC142" s="267" t="n"/>
      <c r="BD142" s="267" t="n"/>
      <c r="BE142" s="267" t="n"/>
      <c r="BF142" s="268" t="n"/>
      <c r="BG142" s="267" t="n"/>
      <c r="BH142" s="267" t="n"/>
      <c r="BI142" s="267" t="n"/>
      <c r="BJ142" s="267" t="n"/>
      <c r="BK142" s="268" t="n"/>
      <c r="BL142" s="267" t="n"/>
      <c r="BM142" s="267" t="n"/>
      <c r="BN142" s="267" t="n"/>
      <c r="BO142" s="267" t="n"/>
      <c r="BP142" s="268" t="n"/>
      <c r="BQ142" s="267" t="n"/>
      <c r="BR142" s="267" t="n"/>
      <c r="BS142" s="267" t="n"/>
      <c r="BT142" s="267" t="n"/>
      <c r="BU142" s="268" t="n"/>
      <c r="BV142" s="267" t="n"/>
      <c r="BW142" s="267" t="n"/>
      <c r="BX142" s="267" t="n"/>
      <c r="BY142" s="267" t="n"/>
      <c r="BZ142" s="268" t="n"/>
      <c r="CA142" s="267" t="n"/>
      <c r="CB142" s="267" t="n"/>
      <c r="CC142" s="267" t="n"/>
      <c r="CD142" s="267" t="n"/>
      <c r="CE142" s="268" t="n"/>
      <c r="CF142" s="267" t="n"/>
      <c r="CG142" s="267" t="n"/>
      <c r="CH142" s="267" t="n"/>
      <c r="CI142" s="267" t="n"/>
      <c r="CJ142" s="268" t="n"/>
      <c r="CK142" s="267" t="n"/>
      <c r="CL142" s="267" t="n"/>
      <c r="CM142" s="267" t="n"/>
      <c r="CN142" s="267" t="n"/>
      <c r="CO142" s="268" t="n"/>
      <c r="CP142" s="267" t="n"/>
      <c r="CQ142" s="267" t="n"/>
      <c r="CR142" s="267" t="n"/>
      <c r="CS142" s="267" t="n"/>
      <c r="CT142" s="268" t="n"/>
      <c r="CU142" s="267" t="n"/>
      <c r="CV142" s="267" t="n"/>
      <c r="CW142" s="267" t="n"/>
      <c r="CX142" s="267" t="n"/>
      <c r="CY142" s="268" t="n"/>
    </row>
    <row r="143" hidden="1" outlineLevel="1" ht="12.75" customHeight="1" s="255">
      <c r="C143" s="312" t="n"/>
      <c r="D143" s="268" t="n"/>
      <c r="E143" s="268" t="n"/>
      <c r="F143" s="268" t="n"/>
      <c r="G143" s="268" t="n"/>
      <c r="H143" s="268" t="n"/>
      <c r="I143" s="268" t="n"/>
      <c r="J143" s="268" t="n"/>
      <c r="K143" s="268" t="n"/>
      <c r="L143" s="268" t="n"/>
      <c r="M143" s="268" t="n"/>
      <c r="N143" s="268" t="n"/>
      <c r="O143" s="268" t="n"/>
      <c r="P143" s="268" t="n"/>
      <c r="Q143" s="268" t="n"/>
      <c r="R143" s="268" t="n"/>
      <c r="S143" s="268" t="n"/>
      <c r="T143" s="268" t="n"/>
      <c r="U143" s="268" t="n"/>
      <c r="V143" s="268" t="n"/>
      <c r="W143" s="268" t="n"/>
      <c r="X143" s="268" t="n"/>
      <c r="Y143" s="268" t="n"/>
      <c r="Z143" s="268" t="n"/>
      <c r="AA143" s="268" t="n"/>
      <c r="AB143" s="268" t="n"/>
      <c r="AC143" s="268" t="n"/>
      <c r="AD143" s="268" t="n"/>
      <c r="AE143" s="268" t="n"/>
      <c r="AF143" s="268" t="n"/>
      <c r="AG143" s="268" t="n"/>
      <c r="AH143" s="268" t="n"/>
      <c r="AI143" s="268" t="n"/>
      <c r="AJ143" s="268" t="n"/>
      <c r="AK143" s="268" t="n"/>
      <c r="AL143" s="268" t="n"/>
      <c r="AM143" s="268" t="n"/>
      <c r="AN143" s="268" t="n"/>
      <c r="AO143" s="268" t="n"/>
      <c r="AP143" s="268" t="n"/>
      <c r="AQ143" s="268" t="n"/>
      <c r="AR143" s="268" t="n"/>
      <c r="AS143" s="268" t="n"/>
      <c r="AT143" s="268" t="n"/>
      <c r="AU143" s="268" t="n"/>
      <c r="AV143" s="268" t="n"/>
      <c r="AW143" s="268" t="n"/>
      <c r="AX143" s="268" t="n"/>
      <c r="AY143" s="268" t="n"/>
      <c r="AZ143" s="268" t="n"/>
      <c r="BA143" s="268" t="n"/>
      <c r="BB143" s="268" t="n"/>
      <c r="BC143" s="268" t="n"/>
      <c r="BD143" s="268" t="n"/>
      <c r="BE143" s="268" t="n"/>
      <c r="BF143" s="268" t="n"/>
      <c r="BG143" s="268" t="n"/>
      <c r="BH143" s="268" t="n"/>
      <c r="BI143" s="268" t="n"/>
      <c r="BJ143" s="268" t="n"/>
      <c r="BK143" s="268" t="n"/>
      <c r="BL143" s="268" t="n"/>
      <c r="BM143" s="268" t="n"/>
      <c r="BN143" s="268" t="n"/>
      <c r="BO143" s="268" t="n"/>
      <c r="BP143" s="268" t="n"/>
      <c r="BQ143" s="268" t="n"/>
      <c r="BR143" s="268" t="n"/>
      <c r="BS143" s="268" t="n"/>
      <c r="BT143" s="268" t="n"/>
      <c r="BU143" s="268" t="n"/>
      <c r="BV143" s="268" t="n"/>
      <c r="BW143" s="268" t="n"/>
      <c r="BX143" s="268" t="n"/>
      <c r="BY143" s="268" t="n"/>
      <c r="BZ143" s="268" t="n"/>
      <c r="CA143" s="268" t="n"/>
      <c r="CB143" s="268" t="n"/>
      <c r="CC143" s="268" t="n"/>
      <c r="CD143" s="268" t="n"/>
      <c r="CE143" s="268" t="n"/>
      <c r="CF143" s="268" t="n"/>
      <c r="CG143" s="268" t="n"/>
      <c r="CH143" s="268" t="n"/>
      <c r="CI143" s="268" t="n"/>
      <c r="CJ143" s="268" t="n"/>
      <c r="CK143" s="268" t="n"/>
      <c r="CL143" s="268" t="n"/>
      <c r="CM143" s="268" t="n"/>
      <c r="CN143" s="268" t="n"/>
      <c r="CO143" s="268" t="n"/>
      <c r="CP143" s="268" t="n"/>
      <c r="CQ143" s="268" t="n"/>
      <c r="CR143" s="268" t="n"/>
      <c r="CS143" s="268" t="n"/>
      <c r="CT143" s="268" t="n"/>
      <c r="CU143" s="268" t="n"/>
      <c r="CV143" s="268" t="n"/>
      <c r="CW143" s="268" t="n"/>
      <c r="CX143" s="268" t="n"/>
      <c r="CY143" s="268" t="n"/>
    </row>
    <row r="144" hidden="1" outlineLevel="1" ht="12.75" customHeight="1" s="255">
      <c r="C144" s="312" t="n"/>
      <c r="D144" s="268" t="n"/>
      <c r="E144" s="268" t="n"/>
      <c r="F144" s="268" t="n"/>
      <c r="G144" s="268" t="n"/>
      <c r="H144" s="268" t="n"/>
      <c r="I144" s="268" t="n"/>
      <c r="J144" s="268" t="n"/>
      <c r="K144" s="268" t="n"/>
      <c r="L144" s="268" t="n"/>
      <c r="M144" s="268" t="n"/>
      <c r="N144" s="268" t="n"/>
      <c r="O144" s="268" t="n"/>
      <c r="P144" s="268" t="n"/>
      <c r="Q144" s="268" t="n"/>
      <c r="R144" s="268" t="n"/>
      <c r="S144" s="268" t="n"/>
      <c r="T144" s="268" t="n"/>
      <c r="U144" s="268" t="n"/>
      <c r="V144" s="268" t="n"/>
      <c r="W144" s="268" t="n"/>
      <c r="X144" s="268" t="n"/>
      <c r="Y144" s="268" t="n"/>
      <c r="Z144" s="268" t="n"/>
      <c r="AA144" s="268" t="n"/>
      <c r="AB144" s="268" t="n"/>
      <c r="AC144" s="268" t="n"/>
      <c r="AD144" s="268" t="n"/>
      <c r="AE144" s="268" t="n"/>
      <c r="AF144" s="268" t="n"/>
      <c r="AG144" s="268" t="n"/>
      <c r="AH144" s="268" t="n"/>
      <c r="AI144" s="268" t="n"/>
      <c r="AJ144" s="268" t="n"/>
      <c r="AK144" s="268" t="n"/>
      <c r="AL144" s="268" t="n"/>
      <c r="AM144" s="268" t="n"/>
      <c r="AN144" s="268" t="n"/>
      <c r="AO144" s="268" t="n"/>
      <c r="AP144" s="268" t="n"/>
      <c r="AQ144" s="268" t="n"/>
      <c r="AR144" s="268" t="n"/>
      <c r="AS144" s="268" t="n"/>
      <c r="AT144" s="268" t="n"/>
      <c r="AU144" s="268" t="n"/>
      <c r="AV144" s="268" t="n"/>
      <c r="AW144" s="268" t="n"/>
      <c r="AX144" s="268" t="n"/>
      <c r="AY144" s="268" t="n"/>
      <c r="AZ144" s="268" t="n"/>
      <c r="BA144" s="268" t="n"/>
      <c r="BB144" s="268" t="n"/>
      <c r="BC144" s="268" t="n"/>
      <c r="BD144" s="268" t="n"/>
      <c r="BE144" s="268" t="n"/>
      <c r="BF144" s="268" t="n"/>
      <c r="BG144" s="268" t="n"/>
      <c r="BH144" s="268" t="n"/>
      <c r="BI144" s="268" t="n"/>
      <c r="BJ144" s="268" t="n"/>
      <c r="BK144" s="268" t="n"/>
      <c r="BL144" s="268" t="n"/>
      <c r="BM144" s="268" t="n"/>
      <c r="BN144" s="268" t="n"/>
      <c r="BO144" s="268" t="n"/>
      <c r="BP144" s="268" t="n"/>
      <c r="BQ144" s="268" t="n"/>
      <c r="BR144" s="268" t="n"/>
      <c r="BS144" s="268" t="n"/>
      <c r="BT144" s="268" t="n"/>
      <c r="BU144" s="268" t="n"/>
      <c r="BV144" s="268" t="n"/>
      <c r="BW144" s="268" t="n"/>
      <c r="BX144" s="268" t="n"/>
      <c r="BY144" s="268" t="n"/>
      <c r="BZ144" s="268" t="n"/>
      <c r="CA144" s="268" t="n"/>
      <c r="CB144" s="268" t="n"/>
      <c r="CC144" s="268" t="n"/>
      <c r="CD144" s="268" t="n"/>
      <c r="CE144" s="268" t="n"/>
      <c r="CF144" s="268" t="n"/>
      <c r="CG144" s="268" t="n"/>
      <c r="CH144" s="268" t="n"/>
      <c r="CI144" s="268" t="n"/>
      <c r="CJ144" s="268" t="n"/>
      <c r="CK144" s="268" t="n"/>
      <c r="CL144" s="268" t="n"/>
      <c r="CM144" s="268" t="n"/>
      <c r="CN144" s="268" t="n"/>
      <c r="CO144" s="268" t="n"/>
      <c r="CP144" s="268" t="n"/>
      <c r="CQ144" s="268" t="n"/>
      <c r="CR144" s="268" t="n"/>
      <c r="CS144" s="268" t="n"/>
      <c r="CT144" s="268" t="n"/>
      <c r="CU144" s="268" t="n"/>
      <c r="CV144" s="268" t="n"/>
      <c r="CW144" s="268" t="n"/>
      <c r="CX144" s="268" t="n"/>
      <c r="CY144" s="268" t="n"/>
    </row>
    <row r="145" ht="12.75" customHeight="1" s="255">
      <c r="C145" s="270" t="inlineStr">
        <is>
          <t>Deferred income taxes</t>
        </is>
      </c>
      <c r="D145" s="301">
        <f>INDEX('Inputs (2)'!$D$18:$AL$18,MATCH(D$7,'Inputs (2)'!$D$2:$AL$2,0))</f>
        <v>0</v>
      </c>
      <c r="E145" s="301">
        <f>INDEX('Inputs (2)'!$D$18:$AL$18,MATCH(E$7,'Inputs (2)'!$D$2:$AL$2,0))</f>
        <v>0</v>
      </c>
      <c r="F145" s="301">
        <f>INDEX('Inputs (2)'!$D$18:$AL$18,MATCH(F$7,'Inputs (2)'!$D$2:$AL$2,0))</f>
        <v>0</v>
      </c>
      <c r="G145" s="301">
        <f>INDEX('Inputs (2)'!$D$18:$AL$18,MATCH(G$7,'Inputs (2)'!$D$2:$AL$2,0))</f>
        <v>0</v>
      </c>
      <c r="H145" s="268">
        <f>G145</f>
        <v>0</v>
      </c>
      <c r="I145" s="301">
        <f>INDEX('Inputs (2)'!$D$18:$AL$18,MATCH(I$7,'Inputs (2)'!$D$2:$AL$2,0))</f>
        <v>0</v>
      </c>
      <c r="J145" s="301">
        <f>INDEX('Inputs (2)'!$D$18:$AL$18,MATCH(J$7,'Inputs (2)'!$D$2:$AL$2,0))</f>
        <v>0</v>
      </c>
      <c r="K145" s="301">
        <f>INDEX('Inputs (2)'!$D$18:$AL$18,MATCH(K$7,'Inputs (2)'!$D$2:$AL$2,0))</f>
        <v>0</v>
      </c>
      <c r="L145" s="301">
        <f>INDEX('Inputs (2)'!$D$18:$AL$18,MATCH(L$7,'Inputs (2)'!$D$2:$AL$2,0))</f>
        <v>0</v>
      </c>
      <c r="M145" s="268">
        <f>L145</f>
        <v>0</v>
      </c>
      <c r="N145" s="301">
        <f>INDEX('Inputs (2)'!$D$18:$AL$18,MATCH(N$7,'Inputs (2)'!$D$2:$AL$2,0))</f>
        <v>0</v>
      </c>
      <c r="O145" s="301">
        <f>INDEX('Inputs (2)'!$D$18:$AL$18,MATCH(O$7,'Inputs (2)'!$D$2:$AL$2,0))</f>
        <v>0</v>
      </c>
      <c r="P145" s="301">
        <f>INDEX('Inputs (2)'!$D$18:$AL$18,MATCH(P$7,'Inputs (2)'!$D$2:$AL$2,0))</f>
        <v>0</v>
      </c>
      <c r="Q145" s="301">
        <f>INDEX('Inputs (2)'!$D$18:$AL$18,MATCH(Q$7,'Inputs (2)'!$D$2:$AL$2,0))</f>
        <v>0</v>
      </c>
      <c r="R145" s="268">
        <f>Q145</f>
        <v>0</v>
      </c>
      <c r="S145" s="301">
        <f>INDEX('Inputs (2)'!$D$18:$AL$18,MATCH(S$7,'Inputs (2)'!$D$2:$AL$2,0))</f>
        <v>0</v>
      </c>
      <c r="T145" s="301">
        <f>INDEX('Inputs (2)'!$D$18:$AL$18,MATCH(T$7,'Inputs (2)'!$D$2:$AL$2,0))</f>
        <v>0</v>
      </c>
      <c r="U145" s="301">
        <f>INDEX('Inputs (2)'!$D$18:$AL$18,MATCH(U$7,'Inputs (2)'!$D$2:$AL$2,0))</f>
        <v>0</v>
      </c>
      <c r="V145" s="301">
        <f>INDEX('Inputs (2)'!$D$18:$AL$18,MATCH(V$7,'Inputs (2)'!$D$2:$AL$2,0))</f>
        <v>0</v>
      </c>
      <c r="W145" s="268">
        <f>V145</f>
        <v>0</v>
      </c>
      <c r="X145" s="301">
        <f>INDEX('Inputs (2)'!$D$18:$AL$18,MATCH(X$7,'Inputs (2)'!$D$2:$AL$2,0))</f>
        <v>0</v>
      </c>
      <c r="Y145" s="301">
        <f>INDEX('Inputs (2)'!$D$18:$AL$18,MATCH(Y$7,'Inputs (2)'!$D$2:$AL$2,0))</f>
        <v>0</v>
      </c>
      <c r="Z145" s="301">
        <f>INDEX('Inputs (2)'!$D$18:$AL$18,MATCH(Z$7,'Inputs (2)'!$D$2:$AL$2,0))</f>
        <v>0</v>
      </c>
      <c r="AA145" s="301">
        <f>INDEX('Inputs (2)'!$D$18:$AL$18,MATCH(AA$7,'Inputs (2)'!$D$2:$AL$2,0))</f>
        <v>0</v>
      </c>
      <c r="AB145" s="268">
        <f>AA145</f>
        <v>0</v>
      </c>
      <c r="AC145" s="301">
        <f>INDEX('Inputs (2)'!$D$18:$AL$18,MATCH(AC$7,'Inputs (2)'!$D$2:$AL$2,0))</f>
        <v>0</v>
      </c>
      <c r="AD145" s="301">
        <f>INDEX('Inputs (2)'!$D$18:$AL$18,MATCH(AD$7,'Inputs (2)'!$D$2:$AL$2,0))</f>
        <v>0</v>
      </c>
      <c r="AE145" s="301">
        <f>INDEX('Inputs (2)'!$D$18:$AL$18,MATCH(AE$7,'Inputs (2)'!$D$2:$AL$2,0))</f>
        <v>0</v>
      </c>
      <c r="AF145" s="301">
        <f>INDEX('Inputs (2)'!$D$18:$AL$18,MATCH(AF$7,'Inputs (2)'!$D$2:$AL$2,0))</f>
        <v>0</v>
      </c>
      <c r="AG145" s="268">
        <f>AF145</f>
        <v>0</v>
      </c>
      <c r="AH145" s="268">
        <f>INDEX('Inputs (2)'!$D$18:$AL$18,MATCH(AH$7,'Inputs (2)'!$D$2:$AL$2,0))</f>
        <v>0</v>
      </c>
      <c r="AI145" s="268">
        <f>INDEX('Inputs (2)'!$D$18:$AL$18,MATCH(AI$7,'Inputs (2)'!$D$2:$AL$2,0))</f>
        <v>0</v>
      </c>
      <c r="AJ145" s="268">
        <f>AI145</f>
        <v>0</v>
      </c>
      <c r="AK145" s="268">
        <f>AJ145</f>
        <v>0</v>
      </c>
      <c r="AL145" s="268">
        <f>AK145</f>
        <v>0</v>
      </c>
      <c r="AM145" s="268">
        <f>AL145</f>
        <v>0</v>
      </c>
      <c r="AN145" s="268">
        <f>AM145</f>
        <v>0</v>
      </c>
      <c r="AO145" s="268">
        <f>AN145</f>
        <v>0</v>
      </c>
      <c r="AP145" s="268">
        <f>AO145</f>
        <v>0</v>
      </c>
      <c r="AQ145" s="268">
        <f>AP145</f>
        <v>0</v>
      </c>
      <c r="AR145" s="268">
        <f>AQ145</f>
        <v>0</v>
      </c>
      <c r="AS145" s="268">
        <f>AR145</f>
        <v>0</v>
      </c>
      <c r="AT145" s="268">
        <f>AS145</f>
        <v>0</v>
      </c>
      <c r="AU145" s="268">
        <f>AT145</f>
        <v>0</v>
      </c>
      <c r="AV145" s="268">
        <f>AU145</f>
        <v>0</v>
      </c>
      <c r="AW145" s="268">
        <f>AV145</f>
        <v>0</v>
      </c>
      <c r="AX145" s="268">
        <f>AW145</f>
        <v>0</v>
      </c>
      <c r="AY145" s="268">
        <f>AX145</f>
        <v>0</v>
      </c>
      <c r="AZ145" s="268">
        <f>AY145</f>
        <v>0</v>
      </c>
      <c r="BA145" s="268">
        <f>AZ145</f>
        <v>0</v>
      </c>
      <c r="BB145" s="268">
        <f>BA145</f>
        <v>0</v>
      </c>
      <c r="BC145" s="268">
        <f>BB145</f>
        <v>0</v>
      </c>
      <c r="BD145" s="268">
        <f>BC145</f>
        <v>0</v>
      </c>
      <c r="BE145" s="268">
        <f>BD145</f>
        <v>0</v>
      </c>
      <c r="BF145" s="268">
        <f>BE145</f>
        <v>0</v>
      </c>
      <c r="BG145" s="268">
        <f>BF145</f>
        <v>0</v>
      </c>
      <c r="BH145" s="268">
        <f>BG145</f>
        <v>0</v>
      </c>
      <c r="BI145" s="268">
        <f>BH145</f>
        <v>0</v>
      </c>
      <c r="BJ145" s="268">
        <f>BI145</f>
        <v>0</v>
      </c>
      <c r="BK145" s="268">
        <f>BJ145</f>
        <v>0</v>
      </c>
      <c r="BL145" s="268">
        <f>BK145</f>
        <v>0</v>
      </c>
      <c r="BM145" s="268">
        <f>BL145</f>
        <v>0</v>
      </c>
      <c r="BN145" s="268">
        <f>BM145</f>
        <v>0</v>
      </c>
      <c r="BO145" s="268">
        <f>BN145</f>
        <v>0</v>
      </c>
      <c r="BP145" s="268">
        <f>BO145</f>
        <v>0</v>
      </c>
      <c r="BQ145" s="268">
        <f>BP145</f>
        <v>0</v>
      </c>
      <c r="BR145" s="268">
        <f>BQ145</f>
        <v>0</v>
      </c>
      <c r="BS145" s="268">
        <f>BR145</f>
        <v>0</v>
      </c>
      <c r="BT145" s="268">
        <f>BS145</f>
        <v>0</v>
      </c>
      <c r="BU145" s="268">
        <f>BT145</f>
        <v>0</v>
      </c>
      <c r="BV145" s="268">
        <f>BU145</f>
        <v>0</v>
      </c>
      <c r="BW145" s="268">
        <f>BV145</f>
        <v>0</v>
      </c>
      <c r="BX145" s="268">
        <f>BW145</f>
        <v>0</v>
      </c>
      <c r="BY145" s="268">
        <f>BX145</f>
        <v>0</v>
      </c>
      <c r="BZ145" s="268">
        <f>BY145</f>
        <v>0</v>
      </c>
      <c r="CA145" s="268">
        <f>BZ145</f>
        <v>0</v>
      </c>
      <c r="CB145" s="268">
        <f>CA145</f>
        <v>0</v>
      </c>
      <c r="CC145" s="268">
        <f>CB145</f>
        <v>0</v>
      </c>
      <c r="CD145" s="268">
        <f>CC145</f>
        <v>0</v>
      </c>
      <c r="CE145" s="268">
        <f>CD145</f>
        <v>0</v>
      </c>
      <c r="CF145" s="268">
        <f>CE145</f>
        <v>0</v>
      </c>
      <c r="CG145" s="268">
        <f>CF145</f>
        <v>0</v>
      </c>
      <c r="CH145" s="268">
        <f>CG145</f>
        <v>0</v>
      </c>
      <c r="CI145" s="268">
        <f>CH145</f>
        <v>0</v>
      </c>
      <c r="CJ145" s="268">
        <f>CI145</f>
        <v>0</v>
      </c>
      <c r="CK145" s="268">
        <f>CJ145</f>
        <v>0</v>
      </c>
      <c r="CL145" s="268">
        <f>CK145</f>
        <v>0</v>
      </c>
      <c r="CM145" s="268">
        <f>CL145</f>
        <v>0</v>
      </c>
      <c r="CN145" s="268">
        <f>CM145</f>
        <v>0</v>
      </c>
      <c r="CO145" s="268">
        <f>CN145</f>
        <v>0</v>
      </c>
      <c r="CP145" s="268">
        <f>CO145</f>
        <v>0</v>
      </c>
      <c r="CQ145" s="268">
        <f>CP145</f>
        <v>0</v>
      </c>
      <c r="CR145" s="268">
        <f>CQ145</f>
        <v>0</v>
      </c>
      <c r="CS145" s="268">
        <f>CR145</f>
        <v>0</v>
      </c>
      <c r="CT145" s="268">
        <f>CS145</f>
        <v>0</v>
      </c>
      <c r="CU145" s="268">
        <f>CT145</f>
        <v>0</v>
      </c>
      <c r="CV145" s="268">
        <f>CU145</f>
        <v>0</v>
      </c>
      <c r="CW145" s="268">
        <f>CV145</f>
        <v>0</v>
      </c>
      <c r="CX145" s="268">
        <f>CW145</f>
        <v>0</v>
      </c>
      <c r="CY145" s="268">
        <f>CX145</f>
        <v>0</v>
      </c>
    </row>
    <row r="146" ht="12.75" customHeight="1" s="255">
      <c r="C146" s="270" t="inlineStr">
        <is>
          <t>Prepaid expenses</t>
        </is>
      </c>
      <c r="D146" s="301">
        <f>INDEX('Inputs (2)'!$D$19:$AL$19,MATCH(D$7,'Inputs (2)'!$D$2:$AL$2,0))</f>
        <v>0</v>
      </c>
      <c r="E146" s="301">
        <f>INDEX('Inputs (2)'!$D$19:$AL$19,MATCH(E$7,'Inputs (2)'!$D$2:$AL$2,0))</f>
        <v>0</v>
      </c>
      <c r="F146" s="301">
        <f>INDEX('Inputs (2)'!$D$19:$AL$19,MATCH(F$7,'Inputs (2)'!$D$2:$AL$2,0))</f>
        <v>0</v>
      </c>
      <c r="G146" s="301">
        <f>INDEX('Inputs (2)'!$D$19:$AL$19,MATCH(G$7,'Inputs (2)'!$D$2:$AL$2,0))</f>
        <v>0</v>
      </c>
      <c r="H146" s="268">
        <f>G146</f>
        <v>0</v>
      </c>
      <c r="I146" s="301">
        <f>INDEX('Inputs (2)'!$D$19:$AL$19,MATCH(I$7,'Inputs (2)'!$D$2:$AL$2,0))</f>
        <v>0</v>
      </c>
      <c r="J146" s="301">
        <f>INDEX('Inputs (2)'!$D$19:$AL$19,MATCH(J$7,'Inputs (2)'!$D$2:$AL$2,0))</f>
        <v>0</v>
      </c>
      <c r="K146" s="301">
        <f>INDEX('Inputs (2)'!$D$19:$AL$19,MATCH(K$7,'Inputs (2)'!$D$2:$AL$2,0))</f>
        <v>0</v>
      </c>
      <c r="L146" s="301">
        <f>INDEX('Inputs (2)'!$D$19:$AL$19,MATCH(L$7,'Inputs (2)'!$D$2:$AL$2,0))</f>
        <v>0</v>
      </c>
      <c r="M146" s="268">
        <f>L146</f>
        <v>0</v>
      </c>
      <c r="N146" s="301">
        <f>INDEX('Inputs (2)'!$D$19:$AL$19,MATCH(N$7,'Inputs (2)'!$D$2:$AL$2,0))</f>
        <v>0</v>
      </c>
      <c r="O146" s="301">
        <f>INDEX('Inputs (2)'!$D$19:$AL$19,MATCH(O$7,'Inputs (2)'!$D$2:$AL$2,0))</f>
        <v>0</v>
      </c>
      <c r="P146" s="301">
        <f>INDEX('Inputs (2)'!$D$19:$AL$19,MATCH(P$7,'Inputs (2)'!$D$2:$AL$2,0))</f>
        <v>0</v>
      </c>
      <c r="Q146" s="301">
        <f>INDEX('Inputs (2)'!$D$19:$AL$19,MATCH(Q$7,'Inputs (2)'!$D$2:$AL$2,0))</f>
        <v>0</v>
      </c>
      <c r="R146" s="268">
        <f>Q146</f>
        <v>0</v>
      </c>
      <c r="S146" s="301">
        <f>INDEX('Inputs (2)'!$D$19:$AL$19,MATCH(S$7,'Inputs (2)'!$D$2:$AL$2,0))</f>
        <v>0</v>
      </c>
      <c r="T146" s="301">
        <f>INDEX('Inputs (2)'!$D$19:$AL$19,MATCH(T$7,'Inputs (2)'!$D$2:$AL$2,0))</f>
        <v>0</v>
      </c>
      <c r="U146" s="301">
        <f>INDEX('Inputs (2)'!$D$19:$AL$19,MATCH(U$7,'Inputs (2)'!$D$2:$AL$2,0))</f>
        <v>0</v>
      </c>
      <c r="V146" s="301">
        <f>INDEX('Inputs (2)'!$D$19:$AL$19,MATCH(V$7,'Inputs (2)'!$D$2:$AL$2,0))</f>
        <v>0</v>
      </c>
      <c r="W146" s="268">
        <f>V146</f>
        <v>0</v>
      </c>
      <c r="X146" s="301">
        <f>INDEX('Inputs (2)'!$D$19:$AL$19,MATCH(X$7,'Inputs (2)'!$D$2:$AL$2,0))</f>
        <v>0</v>
      </c>
      <c r="Y146" s="301">
        <f>INDEX('Inputs (2)'!$D$19:$AL$19,MATCH(Y$7,'Inputs (2)'!$D$2:$AL$2,0))</f>
        <v>0</v>
      </c>
      <c r="Z146" s="301">
        <f>INDEX('Inputs (2)'!$D$19:$AL$19,MATCH(Z$7,'Inputs (2)'!$D$2:$AL$2,0))</f>
        <v>0</v>
      </c>
      <c r="AA146" s="301">
        <f>INDEX('Inputs (2)'!$D$19:$AL$19,MATCH(AA$7,'Inputs (2)'!$D$2:$AL$2,0))</f>
        <v>0</v>
      </c>
      <c r="AB146" s="268">
        <f>AA146</f>
        <v>0</v>
      </c>
      <c r="AC146" s="301">
        <f>INDEX('Inputs (2)'!$D$19:$AL$19,MATCH(AC$7,'Inputs (2)'!$D$2:$AL$2,0))</f>
        <v>0</v>
      </c>
      <c r="AD146" s="301">
        <f>INDEX('Inputs (2)'!$D$19:$AL$19,MATCH(AD$7,'Inputs (2)'!$D$2:$AL$2,0))</f>
        <v>0</v>
      </c>
      <c r="AE146" s="301">
        <f>INDEX('Inputs (2)'!$D$19:$AL$19,MATCH(AE$7,'Inputs (2)'!$D$2:$AL$2,0))</f>
        <v>0</v>
      </c>
      <c r="AF146" s="301">
        <f>INDEX('Inputs (2)'!$D$19:$AL$19,MATCH(AF$7,'Inputs (2)'!$D$2:$AL$2,0))</f>
        <v>0</v>
      </c>
      <c r="AG146" s="268">
        <f>AF146</f>
        <v>0</v>
      </c>
      <c r="AH146" s="268">
        <f>INDEX('Inputs (2)'!$D$19:$AL$19,MATCH(AH$7,'Inputs (2)'!$D$2:$AL$2,0))</f>
        <v>0</v>
      </c>
      <c r="AI146" s="268">
        <f>INDEX('Inputs (2)'!$D$19:$AL$19,MATCH(AI$7,'Inputs (2)'!$D$2:$AL$2,0))</f>
        <v>0</v>
      </c>
      <c r="AJ146" s="268">
        <f>AI146</f>
        <v>0</v>
      </c>
      <c r="AK146" s="268">
        <f>AJ146</f>
        <v>0</v>
      </c>
      <c r="AL146" s="268">
        <f>AK146</f>
        <v>0</v>
      </c>
      <c r="AM146" s="268">
        <f>AL146</f>
        <v>0</v>
      </c>
      <c r="AN146" s="268">
        <f>AM146</f>
        <v>0</v>
      </c>
      <c r="AO146" s="268">
        <f>AN146</f>
        <v>0</v>
      </c>
      <c r="AP146" s="268">
        <f>AO146</f>
        <v>0</v>
      </c>
      <c r="AQ146" s="268">
        <f>AP146</f>
        <v>0</v>
      </c>
      <c r="AR146" s="268">
        <f>AQ146</f>
        <v>0</v>
      </c>
      <c r="AS146" s="268">
        <f>AR146</f>
        <v>0</v>
      </c>
      <c r="AT146" s="268">
        <f>AS146</f>
        <v>0</v>
      </c>
      <c r="AU146" s="268">
        <f>AT146</f>
        <v>0</v>
      </c>
      <c r="AV146" s="268">
        <f>AU146</f>
        <v>0</v>
      </c>
      <c r="AW146" s="268">
        <f>AV146</f>
        <v>0</v>
      </c>
      <c r="AX146" s="268">
        <f>AW146</f>
        <v>0</v>
      </c>
      <c r="AY146" s="268">
        <f>AX146</f>
        <v>0</v>
      </c>
      <c r="AZ146" s="268">
        <f>AY146</f>
        <v>0</v>
      </c>
      <c r="BA146" s="268">
        <f>AZ146</f>
        <v>0</v>
      </c>
      <c r="BB146" s="268">
        <f>BA146</f>
        <v>0</v>
      </c>
      <c r="BC146" s="268">
        <f>BB146</f>
        <v>0</v>
      </c>
      <c r="BD146" s="268">
        <f>BC146</f>
        <v>0</v>
      </c>
      <c r="BE146" s="268">
        <f>BD146</f>
        <v>0</v>
      </c>
      <c r="BF146" s="268">
        <f>BE146</f>
        <v>0</v>
      </c>
      <c r="BG146" s="268">
        <f>BF146</f>
        <v>0</v>
      </c>
      <c r="BH146" s="268">
        <f>BG146</f>
        <v>0</v>
      </c>
      <c r="BI146" s="268">
        <f>BH146</f>
        <v>0</v>
      </c>
      <c r="BJ146" s="268">
        <f>BI146</f>
        <v>0</v>
      </c>
      <c r="BK146" s="268">
        <f>BJ146</f>
        <v>0</v>
      </c>
      <c r="BL146" s="268">
        <f>BK146</f>
        <v>0</v>
      </c>
      <c r="BM146" s="268">
        <f>BL146</f>
        <v>0</v>
      </c>
      <c r="BN146" s="268">
        <f>BM146</f>
        <v>0</v>
      </c>
      <c r="BO146" s="268">
        <f>BN146</f>
        <v>0</v>
      </c>
      <c r="BP146" s="268">
        <f>BO146</f>
        <v>0</v>
      </c>
      <c r="BQ146" s="268">
        <f>BP146</f>
        <v>0</v>
      </c>
      <c r="BR146" s="268">
        <f>BQ146</f>
        <v>0</v>
      </c>
      <c r="BS146" s="268">
        <f>BR146</f>
        <v>0</v>
      </c>
      <c r="BT146" s="268">
        <f>BS146</f>
        <v>0</v>
      </c>
      <c r="BU146" s="268">
        <f>BT146</f>
        <v>0</v>
      </c>
      <c r="BV146" s="268">
        <f>BU146</f>
        <v>0</v>
      </c>
      <c r="BW146" s="268">
        <f>BV146</f>
        <v>0</v>
      </c>
      <c r="BX146" s="268">
        <f>BW146</f>
        <v>0</v>
      </c>
      <c r="BY146" s="268">
        <f>BX146</f>
        <v>0</v>
      </c>
      <c r="BZ146" s="268">
        <f>BY146</f>
        <v>0</v>
      </c>
      <c r="CA146" s="268">
        <f>BZ146</f>
        <v>0</v>
      </c>
      <c r="CB146" s="268">
        <f>CA146</f>
        <v>0</v>
      </c>
      <c r="CC146" s="268">
        <f>CB146</f>
        <v>0</v>
      </c>
      <c r="CD146" s="268">
        <f>CC146</f>
        <v>0</v>
      </c>
      <c r="CE146" s="268">
        <f>CD146</f>
        <v>0</v>
      </c>
      <c r="CF146" s="268">
        <f>CE146</f>
        <v>0</v>
      </c>
      <c r="CG146" s="268">
        <f>CF146</f>
        <v>0</v>
      </c>
      <c r="CH146" s="268">
        <f>CG146</f>
        <v>0</v>
      </c>
      <c r="CI146" s="268">
        <f>CH146</f>
        <v>0</v>
      </c>
      <c r="CJ146" s="268">
        <f>CI146</f>
        <v>0</v>
      </c>
      <c r="CK146" s="268">
        <f>CJ146</f>
        <v>0</v>
      </c>
      <c r="CL146" s="268">
        <f>CK146</f>
        <v>0</v>
      </c>
      <c r="CM146" s="268">
        <f>CL146</f>
        <v>0</v>
      </c>
      <c r="CN146" s="268">
        <f>CM146</f>
        <v>0</v>
      </c>
      <c r="CO146" s="268">
        <f>CN146</f>
        <v>0</v>
      </c>
      <c r="CP146" s="268">
        <f>CO146</f>
        <v>0</v>
      </c>
      <c r="CQ146" s="268">
        <f>CP146</f>
        <v>0</v>
      </c>
      <c r="CR146" s="268">
        <f>CQ146</f>
        <v>0</v>
      </c>
      <c r="CS146" s="268">
        <f>CR146</f>
        <v>0</v>
      </c>
      <c r="CT146" s="268">
        <f>CS146</f>
        <v>0</v>
      </c>
      <c r="CU146" s="268">
        <f>CT146</f>
        <v>0</v>
      </c>
      <c r="CV146" s="268">
        <f>CU146</f>
        <v>0</v>
      </c>
      <c r="CW146" s="268">
        <f>CV146</f>
        <v>0</v>
      </c>
      <c r="CX146" s="268">
        <f>CW146</f>
        <v>0</v>
      </c>
      <c r="CY146" s="268">
        <f>CX146</f>
        <v>0</v>
      </c>
    </row>
    <row r="147" ht="12.75" customHeight="1" s="255">
      <c r="C147" s="270" t="inlineStr">
        <is>
          <t>Other current assets</t>
        </is>
      </c>
      <c r="D147" s="301">
        <f>INDEX('Inputs (2)'!$D$20:$AL$20,MATCH(D$7,'Inputs (2)'!$D$2:$AL$2,0))</f>
        <v>5240</v>
      </c>
      <c r="E147" s="301">
        <f>INDEX('Inputs (2)'!$D$20:$AL$20,MATCH(E$7,'Inputs (2)'!$D$2:$AL$2,0))</f>
        <v>4973</v>
      </c>
      <c r="F147" s="301">
        <f>INDEX('Inputs (2)'!$D$20:$AL$20,MATCH(F$7,'Inputs (2)'!$D$2:$AL$2,0))</f>
        <v>4775</v>
      </c>
      <c r="G147" s="301">
        <f>INDEX('Inputs (2)'!$D$20:$AL$20,MATCH(G$7,'Inputs (2)'!$D$2:$AL$2,0))</f>
        <v>851</v>
      </c>
      <c r="H147" s="268">
        <f>G147</f>
        <v>851</v>
      </c>
      <c r="I147" s="301">
        <f>INDEX('Inputs (2)'!$D$20:$AL$20,MATCH(I$7,'Inputs (2)'!$D$2:$AL$2,0))</f>
        <v>5028</v>
      </c>
      <c r="J147" s="301">
        <f>INDEX('Inputs (2)'!$D$20:$AL$20,MATCH(J$7,'Inputs (2)'!$D$2:$AL$2,0))</f>
        <v>5186</v>
      </c>
      <c r="K147" s="301">
        <f>INDEX('Inputs (2)'!$D$20:$AL$20,MATCH(K$7,'Inputs (2)'!$D$2:$AL$2,0))</f>
        <v>5188</v>
      </c>
      <c r="L147" s="301">
        <f>INDEX('Inputs (2)'!$D$20:$AL$20,MATCH(L$7,'Inputs (2)'!$D$2:$AL$2,0))</f>
        <v>-2720</v>
      </c>
      <c r="M147" s="268">
        <f>L147</f>
        <v>-2720</v>
      </c>
      <c r="N147" s="301">
        <f>INDEX('Inputs (2)'!$D$20:$AL$20,MATCH(N$7,'Inputs (2)'!$D$2:$AL$2,0))</f>
        <v>5427</v>
      </c>
      <c r="O147" s="301">
        <f>INDEX('Inputs (2)'!$D$20:$AL$20,MATCH(O$7,'Inputs (2)'!$D$2:$AL$2,0))</f>
        <v>5713</v>
      </c>
      <c r="P147" s="301">
        <f>INDEX('Inputs (2)'!$D$20:$AL$20,MATCH(P$7,'Inputs (2)'!$D$2:$AL$2,0))</f>
        <v>5951</v>
      </c>
      <c r="Q147" s="301">
        <f>INDEX('Inputs (2)'!$D$20:$AL$20,MATCH(Q$7,'Inputs (2)'!$D$2:$AL$2,0))</f>
        <v>-2259</v>
      </c>
      <c r="R147" s="268">
        <f>Q147</f>
        <v>-2259</v>
      </c>
      <c r="S147" s="301">
        <f>INDEX('Inputs (2)'!$D$20:$AL$20,MATCH(S$7,'Inputs (2)'!$D$2:$AL$2,0))</f>
        <v>6760</v>
      </c>
      <c r="T147" s="301">
        <f>INDEX('Inputs (2)'!$D$20:$AL$20,MATCH(T$7,'Inputs (2)'!$D$2:$AL$2,0))</f>
        <v>6699</v>
      </c>
      <c r="U147" s="301">
        <f>INDEX('Inputs (2)'!$D$20:$AL$20,MATCH(U$7,'Inputs (2)'!$D$2:$AL$2,0))</f>
        <v>7540</v>
      </c>
      <c r="V147" s="301">
        <f>INDEX('Inputs (2)'!$D$20:$AL$20,MATCH(V$7,'Inputs (2)'!$D$2:$AL$2,0))</f>
        <v>2035</v>
      </c>
      <c r="W147" s="268">
        <f>V147</f>
        <v>2035</v>
      </c>
      <c r="X147" s="301">
        <f>INDEX('Inputs (2)'!$D$20:$AL$20,MATCH(X$7,'Inputs (2)'!$D$2:$AL$2,0))</f>
        <v>8140</v>
      </c>
      <c r="Y147" s="301">
        <f>INDEX('Inputs (2)'!$D$20:$AL$20,MATCH(Y$7,'Inputs (2)'!$D$2:$AL$2,0))</f>
        <v>8321</v>
      </c>
      <c r="Z147" s="301">
        <f>INDEX('Inputs (2)'!$D$20:$AL$20,MATCH(Z$7,'Inputs (2)'!$D$2:$AL$2,0))</f>
        <v>8566</v>
      </c>
      <c r="AA147" s="301">
        <f>INDEX('Inputs (2)'!$D$20:$AL$20,MATCH(AA$7,'Inputs (2)'!$D$2:$AL$2,0))</f>
        <v>3884</v>
      </c>
      <c r="AB147" s="268">
        <f>AA147</f>
        <v>3884</v>
      </c>
      <c r="AC147" s="301">
        <f>INDEX('Inputs (2)'!$D$20:$AL$20,MATCH(AC$7,'Inputs (2)'!$D$2:$AL$2,0))</f>
        <v>8674</v>
      </c>
      <c r="AD147" s="301">
        <f>INDEX('Inputs (2)'!$D$20:$AL$20,MATCH(AD$7,'Inputs (2)'!$D$2:$AL$2,0))</f>
        <v>8205</v>
      </c>
      <c r="AE147" s="301">
        <f>INDEX('Inputs (2)'!$D$20:$AL$20,MATCH(AE$7,'Inputs (2)'!$D$2:$AL$2,0))</f>
        <v>8330</v>
      </c>
      <c r="AF147" s="301">
        <f>INDEX('Inputs (2)'!$D$20:$AL$20,MATCH(AF$7,'Inputs (2)'!$D$2:$AL$2,0))</f>
        <v>4816</v>
      </c>
      <c r="AG147" s="268">
        <f>AF147</f>
        <v>4816</v>
      </c>
      <c r="AH147" s="268">
        <f>INDEX('Inputs (2)'!$D$20:$AL$20,MATCH(AH$7,'Inputs (2)'!$D$2:$AL$2,0))</f>
        <v>9674</v>
      </c>
      <c r="AI147" s="268">
        <f>INDEX('Inputs (2)'!$D$20:$AL$20,MATCH(AI$7,'Inputs (2)'!$D$2:$AL$2,0))</f>
        <v>9369</v>
      </c>
      <c r="AJ147" s="268">
        <f>AI147</f>
        <v>9369</v>
      </c>
      <c r="AK147" s="268">
        <f>AJ147</f>
        <v>9369</v>
      </c>
      <c r="AL147" s="268">
        <f>AK147</f>
        <v>9369</v>
      </c>
      <c r="AM147" s="268">
        <f>AL147</f>
        <v>9369</v>
      </c>
      <c r="AN147" s="268">
        <f>AM147</f>
        <v>9369</v>
      </c>
      <c r="AO147" s="268">
        <f>AN147</f>
        <v>9369</v>
      </c>
      <c r="AP147" s="268">
        <f>AO147</f>
        <v>9369</v>
      </c>
      <c r="AQ147" s="268">
        <f>AP147</f>
        <v>9369</v>
      </c>
      <c r="AR147" s="268">
        <f>AQ147</f>
        <v>9369</v>
      </c>
      <c r="AS147" s="268">
        <f>AR147</f>
        <v>9369</v>
      </c>
      <c r="AT147" s="268">
        <f>AS147</f>
        <v>9369</v>
      </c>
      <c r="AU147" s="268">
        <f>AT147</f>
        <v>9369</v>
      </c>
      <c r="AV147" s="268">
        <f>AU147</f>
        <v>9369</v>
      </c>
      <c r="AW147" s="268">
        <f>AV147</f>
        <v>9369</v>
      </c>
      <c r="AX147" s="268">
        <f>AW147</f>
        <v>9369</v>
      </c>
      <c r="AY147" s="268">
        <f>AX147</f>
        <v>9369</v>
      </c>
      <c r="AZ147" s="268">
        <f>AY147</f>
        <v>9369</v>
      </c>
      <c r="BA147" s="268">
        <f>AZ147</f>
        <v>9369</v>
      </c>
      <c r="BB147" s="268">
        <f>BA147</f>
        <v>9369</v>
      </c>
      <c r="BC147" s="268">
        <f>BB147</f>
        <v>9369</v>
      </c>
      <c r="BD147" s="268">
        <f>BC147</f>
        <v>9369</v>
      </c>
      <c r="BE147" s="268">
        <f>BD147</f>
        <v>9369</v>
      </c>
      <c r="BF147" s="268">
        <f>BE147</f>
        <v>9369</v>
      </c>
      <c r="BG147" s="268">
        <f>BF147</f>
        <v>9369</v>
      </c>
      <c r="BH147" s="268">
        <f>BG147</f>
        <v>9369</v>
      </c>
      <c r="BI147" s="268">
        <f>BH147</f>
        <v>9369</v>
      </c>
      <c r="BJ147" s="268">
        <f>BI147</f>
        <v>9369</v>
      </c>
      <c r="BK147" s="268">
        <f>BJ147</f>
        <v>9369</v>
      </c>
      <c r="BL147" s="268">
        <f>BK147</f>
        <v>9369</v>
      </c>
      <c r="BM147" s="268">
        <f>BL147</f>
        <v>9369</v>
      </c>
      <c r="BN147" s="268">
        <f>BM147</f>
        <v>9369</v>
      </c>
      <c r="BO147" s="268">
        <f>BN147</f>
        <v>9369</v>
      </c>
      <c r="BP147" s="268">
        <f>BO147</f>
        <v>9369</v>
      </c>
      <c r="BQ147" s="268">
        <f>BP147</f>
        <v>9369</v>
      </c>
      <c r="BR147" s="268">
        <f>BQ147</f>
        <v>9369</v>
      </c>
      <c r="BS147" s="268">
        <f>BR147</f>
        <v>9369</v>
      </c>
      <c r="BT147" s="268">
        <f>BS147</f>
        <v>9369</v>
      </c>
      <c r="BU147" s="268">
        <f>BT147</f>
        <v>9369</v>
      </c>
      <c r="BV147" s="268">
        <f>BU147</f>
        <v>9369</v>
      </c>
      <c r="BW147" s="268">
        <f>BV147</f>
        <v>9369</v>
      </c>
      <c r="BX147" s="268">
        <f>BW147</f>
        <v>9369</v>
      </c>
      <c r="BY147" s="268">
        <f>BX147</f>
        <v>9369</v>
      </c>
      <c r="BZ147" s="268">
        <f>BY147</f>
        <v>9369</v>
      </c>
      <c r="CA147" s="268">
        <f>BZ147</f>
        <v>9369</v>
      </c>
      <c r="CB147" s="268">
        <f>CA147</f>
        <v>9369</v>
      </c>
      <c r="CC147" s="268">
        <f>CB147</f>
        <v>9369</v>
      </c>
      <c r="CD147" s="268">
        <f>CC147</f>
        <v>9369</v>
      </c>
      <c r="CE147" s="268">
        <f>CD147</f>
        <v>9369</v>
      </c>
      <c r="CF147" s="268">
        <f>CE147</f>
        <v>9369</v>
      </c>
      <c r="CG147" s="268">
        <f>CF147</f>
        <v>9369</v>
      </c>
      <c r="CH147" s="268">
        <f>CG147</f>
        <v>9369</v>
      </c>
      <c r="CI147" s="268">
        <f>CH147</f>
        <v>9369</v>
      </c>
      <c r="CJ147" s="268">
        <f>CI147</f>
        <v>9369</v>
      </c>
      <c r="CK147" s="268">
        <f>CJ147</f>
        <v>9369</v>
      </c>
      <c r="CL147" s="268">
        <f>CK147</f>
        <v>9369</v>
      </c>
      <c r="CM147" s="268">
        <f>CL147</f>
        <v>9369</v>
      </c>
      <c r="CN147" s="268">
        <f>CM147</f>
        <v>9369</v>
      </c>
      <c r="CO147" s="268">
        <f>CN147</f>
        <v>9369</v>
      </c>
      <c r="CP147" s="268">
        <f>CO147</f>
        <v>9369</v>
      </c>
      <c r="CQ147" s="268">
        <f>CP147</f>
        <v>9369</v>
      </c>
      <c r="CR147" s="268">
        <f>CQ147</f>
        <v>9369</v>
      </c>
      <c r="CS147" s="268">
        <f>CR147</f>
        <v>9369</v>
      </c>
      <c r="CT147" s="268">
        <f>CS147</f>
        <v>9369</v>
      </c>
      <c r="CU147" s="268">
        <f>CT147</f>
        <v>9369</v>
      </c>
      <c r="CV147" s="268">
        <f>CU147</f>
        <v>9369</v>
      </c>
      <c r="CW147" s="268">
        <f>CV147</f>
        <v>9369</v>
      </c>
      <c r="CX147" s="268">
        <f>CW147</f>
        <v>9369</v>
      </c>
      <c r="CY147" s="268">
        <f>CX147</f>
        <v>9369</v>
      </c>
    </row>
    <row r="148" hidden="1" outlineLevel="1" ht="12.75" customHeight="1" s="255">
      <c r="C148" s="314" t="inlineStr">
        <is>
          <t>%(Var.)</t>
        </is>
      </c>
      <c r="D148" s="268" t="n"/>
      <c r="E148" s="296">
        <f>(E147-D147)/D147</f>
        <v>-0.0509541984732824</v>
      </c>
      <c r="F148" s="296">
        <f>(F147-E147)/E147</f>
        <v>-0.0398150010054293</v>
      </c>
      <c r="G148" s="296">
        <f>(G147-F147)/F147</f>
        <v>-0.821780104712042</v>
      </c>
      <c r="H148" s="268" t="n"/>
      <c r="I148" s="296">
        <f>(I147-H147)/H147</f>
        <v>4.90834312573443</v>
      </c>
      <c r="J148" s="296">
        <f>(J147-I147)/I147</f>
        <v>0.0314240254574383</v>
      </c>
      <c r="K148" s="296">
        <f>(K147-J147)/J147</f>
        <v>0.000385653682992673</v>
      </c>
      <c r="L148" s="296">
        <f>(L147-K147)/K147</f>
        <v>-1.5242868157286</v>
      </c>
      <c r="M148" s="268" t="n"/>
      <c r="N148" s="296">
        <f>(N147-M147)/M147</f>
        <v>-2.99522058823529</v>
      </c>
      <c r="O148" s="296">
        <f>(O147-N147)/N147</f>
        <v>0.052699465634789</v>
      </c>
      <c r="P148" s="296">
        <f>(P147-O147)/O147</f>
        <v>0.0416593733590058</v>
      </c>
      <c r="Q148" s="296">
        <f>(Q147-P147)/P147</f>
        <v>-1.37960006721559</v>
      </c>
      <c r="R148" s="268" t="n"/>
      <c r="S148" s="296">
        <f>(S147-R147)/R147</f>
        <v>-3.99247454625941</v>
      </c>
      <c r="T148" s="296">
        <f>(T147-S147)/S147</f>
        <v>-0.00902366863905326</v>
      </c>
      <c r="U148" s="296">
        <f>(U147-T147)/T147</f>
        <v>0.125541125541126</v>
      </c>
      <c r="V148" s="296">
        <f>(V147-U147)/U147</f>
        <v>-0.730106100795756</v>
      </c>
      <c r="W148" s="268" t="n"/>
      <c r="X148" s="296">
        <f>(X147-W147)/W147</f>
        <v>3</v>
      </c>
      <c r="Y148" s="296">
        <f>(Y147-X147)/X147</f>
        <v>0.0222358722358722</v>
      </c>
      <c r="Z148" s="296">
        <f>(Z147-Y147)/Y147</f>
        <v>0.02944357649321</v>
      </c>
      <c r="AA148" s="296">
        <f>(AA147-Z147)/Z147</f>
        <v>-0.546579500350222</v>
      </c>
      <c r="AB148" s="268" t="n"/>
      <c r="AC148" s="296">
        <f>(AC147-AB147)/AB147</f>
        <v>1.23326467559217</v>
      </c>
      <c r="AD148" s="296">
        <f>(AD147-AC147)/AC147</f>
        <v>-0.054069633387134</v>
      </c>
      <c r="AE148" s="296">
        <f>(AE147-AD147)/AD147</f>
        <v>0.0152346130408288</v>
      </c>
      <c r="AF148" s="311">
        <f>(AF147-AE147)/AE147</f>
        <v>-0.421848739495798</v>
      </c>
      <c r="AG148" s="268" t="n"/>
      <c r="AH148" s="268">
        <f>(AH147-AG147)/AG147</f>
        <v>1.00872093023256</v>
      </c>
      <c r="AI148" s="268">
        <f>(AI147-AH147)/AH147</f>
        <v>-0.031527806491627</v>
      </c>
      <c r="AJ148" s="268" t="n"/>
      <c r="AK148" s="268" t="n"/>
      <c r="AL148" s="268" t="n"/>
      <c r="AM148" s="268" t="n"/>
      <c r="AN148" s="268" t="n"/>
      <c r="AO148" s="268" t="n"/>
      <c r="AP148" s="268" t="n"/>
      <c r="AQ148" s="268" t="n"/>
      <c r="AR148" s="268" t="n"/>
      <c r="AS148" s="268" t="n"/>
      <c r="AT148" s="268" t="n"/>
      <c r="AU148" s="268" t="n"/>
      <c r="AV148" s="268" t="n"/>
      <c r="AW148" s="268" t="n"/>
      <c r="AX148" s="268" t="n"/>
      <c r="AY148" s="268" t="n"/>
      <c r="AZ148" s="268" t="n"/>
      <c r="BA148" s="268" t="n"/>
      <c r="BB148" s="268" t="n"/>
      <c r="BC148" s="268" t="n"/>
      <c r="BD148" s="268" t="n"/>
      <c r="BE148" s="268" t="n"/>
      <c r="BF148" s="268" t="n"/>
      <c r="BG148" s="268" t="n"/>
      <c r="BH148" s="268" t="n"/>
      <c r="BI148" s="268" t="n"/>
      <c r="BJ148" s="268" t="n"/>
      <c r="BK148" s="268" t="n"/>
      <c r="BL148" s="268" t="n"/>
      <c r="BM148" s="268" t="n"/>
      <c r="BN148" s="268" t="n"/>
      <c r="BO148" s="268" t="n"/>
      <c r="BP148" s="268" t="n"/>
      <c r="BQ148" s="268" t="n"/>
      <c r="BR148" s="268" t="n"/>
      <c r="BS148" s="268" t="n"/>
      <c r="BT148" s="268" t="n"/>
      <c r="BU148" s="268" t="n"/>
      <c r="BV148" s="268" t="n"/>
      <c r="BW148" s="268" t="n"/>
      <c r="BX148" s="268" t="n"/>
      <c r="BY148" s="268" t="n"/>
      <c r="BZ148" s="268" t="n"/>
      <c r="CA148" s="268" t="n"/>
      <c r="CB148" s="268" t="n"/>
      <c r="CC148" s="268" t="n"/>
      <c r="CD148" s="268" t="n"/>
      <c r="CE148" s="268" t="n"/>
      <c r="CF148" s="268" t="n"/>
      <c r="CG148" s="268" t="n"/>
      <c r="CH148" s="268" t="n"/>
      <c r="CI148" s="268" t="n"/>
      <c r="CJ148" s="268" t="n"/>
      <c r="CK148" s="268" t="n"/>
      <c r="CL148" s="268" t="n"/>
      <c r="CM148" s="268" t="n"/>
      <c r="CN148" s="268" t="n"/>
      <c r="CO148" s="268" t="n"/>
      <c r="CP148" s="268" t="n"/>
      <c r="CQ148" s="268" t="n"/>
      <c r="CR148" s="268" t="n"/>
      <c r="CS148" s="268" t="n"/>
      <c r="CT148" s="268" t="n"/>
      <c r="CU148" s="268" t="n"/>
      <c r="CV148" s="268" t="n"/>
      <c r="CW148" s="268" t="n"/>
      <c r="CX148" s="268" t="n"/>
      <c r="CY148" s="268" t="n"/>
    </row>
    <row r="149" hidden="1" outlineLevel="1" ht="12.75" customHeight="1" s="255">
      <c r="C149" s="312" t="n"/>
      <c r="D149" s="268" t="n"/>
      <c r="E149" s="296" t="n"/>
      <c r="F149" s="268" t="n"/>
      <c r="G149" s="268" t="n"/>
      <c r="H149" s="268" t="n"/>
      <c r="I149" s="268" t="n"/>
      <c r="J149" s="268" t="n"/>
      <c r="K149" s="268" t="n"/>
      <c r="L149" s="268" t="n"/>
      <c r="M149" s="268" t="n"/>
      <c r="N149" s="268" t="n"/>
      <c r="O149" s="268" t="n"/>
      <c r="P149" s="268" t="n"/>
      <c r="Q149" s="268" t="n"/>
      <c r="R149" s="268" t="n"/>
      <c r="S149" s="268" t="n"/>
      <c r="T149" s="268" t="n"/>
      <c r="U149" s="268" t="n"/>
      <c r="V149" s="268" t="n"/>
      <c r="W149" s="268" t="n"/>
      <c r="X149" s="268" t="n"/>
      <c r="Y149" s="268" t="n"/>
      <c r="Z149" s="268" t="n"/>
      <c r="AA149" s="268" t="n"/>
      <c r="AB149" s="268" t="n"/>
      <c r="AC149" s="268" t="n"/>
      <c r="AD149" s="268" t="n"/>
      <c r="AE149" s="268" t="n"/>
      <c r="AF149" s="268" t="n"/>
      <c r="AG149" s="268" t="n"/>
      <c r="AH149" s="268" t="n"/>
      <c r="AI149" s="268" t="n"/>
      <c r="AJ149" s="268" t="n"/>
      <c r="AK149" s="268" t="n"/>
      <c r="AL149" s="268" t="n"/>
      <c r="AM149" s="268" t="n"/>
      <c r="AN149" s="268" t="n"/>
      <c r="AO149" s="268" t="n"/>
      <c r="AP149" s="268" t="n"/>
      <c r="AQ149" s="268" t="n"/>
      <c r="AR149" s="268" t="n"/>
      <c r="AS149" s="268" t="n"/>
      <c r="AT149" s="268" t="n"/>
      <c r="AU149" s="268" t="n"/>
      <c r="AV149" s="268" t="n"/>
      <c r="AW149" s="268" t="n"/>
      <c r="AX149" s="268" t="n"/>
      <c r="AY149" s="268" t="n"/>
      <c r="AZ149" s="268" t="n"/>
      <c r="BA149" s="268" t="n"/>
      <c r="BB149" s="268" t="n"/>
      <c r="BC149" s="268" t="n"/>
      <c r="BD149" s="268" t="n"/>
      <c r="BE149" s="268" t="n"/>
      <c r="BF149" s="268" t="n"/>
      <c r="BG149" s="268" t="n"/>
      <c r="BH149" s="268" t="n"/>
      <c r="BI149" s="268" t="n"/>
      <c r="BJ149" s="268" t="n"/>
      <c r="BK149" s="268" t="n"/>
      <c r="BL149" s="268" t="n"/>
      <c r="BM149" s="268" t="n"/>
      <c r="BN149" s="268" t="n"/>
      <c r="BO149" s="268" t="n"/>
      <c r="BP149" s="268" t="n"/>
      <c r="BQ149" s="268" t="n"/>
      <c r="BR149" s="268" t="n"/>
      <c r="BS149" s="268" t="n"/>
      <c r="BT149" s="268" t="n"/>
      <c r="BU149" s="268" t="n"/>
      <c r="BV149" s="268" t="n"/>
      <c r="BW149" s="268" t="n"/>
      <c r="BX149" s="268" t="n"/>
      <c r="BY149" s="268" t="n"/>
      <c r="BZ149" s="268" t="n"/>
      <c r="CA149" s="268" t="n"/>
      <c r="CB149" s="268" t="n"/>
      <c r="CC149" s="268" t="n"/>
      <c r="CD149" s="268" t="n"/>
      <c r="CE149" s="268" t="n"/>
      <c r="CF149" s="268" t="n"/>
      <c r="CG149" s="268" t="n"/>
      <c r="CH149" s="268" t="n"/>
      <c r="CI149" s="268" t="n"/>
      <c r="CJ149" s="268" t="n"/>
      <c r="CK149" s="268" t="n"/>
      <c r="CL149" s="268" t="n"/>
      <c r="CM149" s="268" t="n"/>
      <c r="CN149" s="268" t="n"/>
      <c r="CO149" s="268" t="n"/>
      <c r="CP149" s="268" t="n"/>
      <c r="CQ149" s="268" t="n"/>
      <c r="CR149" s="268" t="n"/>
      <c r="CS149" s="268" t="n"/>
      <c r="CT149" s="268" t="n"/>
      <c r="CU149" s="268" t="n"/>
      <c r="CV149" s="268" t="n"/>
      <c r="CW149" s="268" t="n"/>
      <c r="CX149" s="268" t="n"/>
      <c r="CY149" s="268" t="n"/>
    </row>
    <row r="150" hidden="1" outlineLevel="1" ht="12.75" customHeight="1" s="255">
      <c r="C150" s="315" t="inlineStr">
        <is>
          <t xml:space="preserve">Impostos e Contribuições a Recuperar </t>
        </is>
      </c>
      <c r="D150" s="267" t="n"/>
      <c r="E150" s="267" t="n"/>
      <c r="F150" s="267" t="n"/>
      <c r="G150" s="267" t="n"/>
      <c r="H150" s="268" t="n"/>
      <c r="I150" s="267" t="n"/>
      <c r="J150" s="267" t="n"/>
      <c r="K150" s="267" t="n"/>
      <c r="L150" s="267" t="n"/>
      <c r="M150" s="268" t="n"/>
      <c r="N150" s="267" t="n"/>
      <c r="O150" s="267" t="n"/>
      <c r="P150" s="267" t="n"/>
      <c r="Q150" s="267" t="n"/>
      <c r="R150" s="268" t="n"/>
      <c r="S150" s="267" t="n"/>
      <c r="T150" s="267" t="n"/>
      <c r="U150" s="267" t="n"/>
      <c r="V150" s="267" t="n"/>
      <c r="W150" s="268" t="n"/>
      <c r="X150" s="267" t="n"/>
      <c r="Y150" s="267" t="n"/>
      <c r="Z150" s="267" t="n"/>
      <c r="AA150" s="267" t="n"/>
      <c r="AB150" s="268" t="n"/>
      <c r="AC150" s="267" t="n"/>
      <c r="AD150" s="267" t="n"/>
      <c r="AE150" s="267" t="n"/>
      <c r="AF150" s="267" t="n"/>
      <c r="AG150" s="268">
        <f>AF150</f>
        <v>0</v>
      </c>
      <c r="AH150" s="316">
        <f>AG150*AH15/AG15</f>
        <v>0</v>
      </c>
      <c r="AI150" s="316">
        <f>AH150*AI15/AH15</f>
        <v>0</v>
      </c>
      <c r="AJ150" s="316">
        <f>AI150*AJ15/AI15</f>
        <v>0</v>
      </c>
      <c r="AK150" s="316">
        <f>AJ150*AK15/AJ15</f>
        <v>0</v>
      </c>
      <c r="AL150" s="268">
        <f>AK150</f>
        <v>0</v>
      </c>
      <c r="AM150" s="268" t="n"/>
      <c r="AN150" s="268" t="n"/>
      <c r="AO150" s="268" t="n"/>
      <c r="AP150" s="268" t="n"/>
      <c r="AQ150" s="268" t="n"/>
      <c r="AR150" s="268" t="n"/>
      <c r="AS150" s="268" t="n"/>
      <c r="AT150" s="268" t="n"/>
      <c r="AU150" s="268" t="n"/>
      <c r="AV150" s="268" t="n"/>
      <c r="AW150" s="268" t="n"/>
      <c r="AX150" s="268" t="n"/>
      <c r="AY150" s="268" t="n"/>
      <c r="AZ150" s="268" t="n"/>
      <c r="BA150" s="268" t="n"/>
      <c r="BB150" s="268" t="n"/>
      <c r="BC150" s="268" t="n"/>
      <c r="BD150" s="268" t="n"/>
      <c r="BE150" s="268" t="n"/>
      <c r="BF150" s="268" t="n"/>
      <c r="BG150" s="268" t="n"/>
      <c r="BH150" s="268" t="n"/>
      <c r="BI150" s="268" t="n"/>
      <c r="BJ150" s="268" t="n"/>
      <c r="BK150" s="268" t="n"/>
      <c r="BL150" s="268" t="n"/>
      <c r="BM150" s="268" t="n"/>
      <c r="BN150" s="268" t="n"/>
      <c r="BO150" s="268" t="n"/>
      <c r="BP150" s="268" t="n"/>
      <c r="BQ150" s="268" t="n"/>
      <c r="BR150" s="268" t="n"/>
      <c r="BS150" s="268" t="n"/>
      <c r="BT150" s="268" t="n"/>
      <c r="BU150" s="268" t="n"/>
      <c r="BV150" s="268" t="n"/>
      <c r="BW150" s="268" t="n"/>
      <c r="BX150" s="268" t="n"/>
      <c r="BY150" s="268" t="n"/>
      <c r="BZ150" s="268" t="n"/>
      <c r="CA150" s="268" t="n"/>
      <c r="CB150" s="268" t="n"/>
      <c r="CC150" s="268" t="n"/>
      <c r="CD150" s="268" t="n"/>
      <c r="CE150" s="268" t="n"/>
      <c r="CF150" s="268" t="n"/>
      <c r="CG150" s="268" t="n"/>
      <c r="CH150" s="268" t="n"/>
      <c r="CI150" s="268" t="n"/>
      <c r="CJ150" s="268" t="n"/>
      <c r="CK150" s="268" t="n"/>
      <c r="CL150" s="268" t="n"/>
      <c r="CM150" s="268" t="n"/>
      <c r="CN150" s="268" t="n"/>
      <c r="CO150" s="268" t="n"/>
      <c r="CP150" s="268" t="n"/>
      <c r="CQ150" s="268" t="n"/>
      <c r="CR150" s="268" t="n"/>
      <c r="CS150" s="268" t="n"/>
      <c r="CT150" s="268" t="n"/>
      <c r="CU150" s="268" t="n"/>
      <c r="CV150" s="268" t="n"/>
      <c r="CW150" s="268" t="n"/>
      <c r="CX150" s="268" t="n"/>
      <c r="CY150" s="268" t="n"/>
    </row>
    <row r="151" hidden="1" outlineLevel="1" ht="12.75" customHeight="1" s="255">
      <c r="C151" s="315" t="inlineStr">
        <is>
          <t>Outros Créditos</t>
        </is>
      </c>
      <c r="D151" s="267" t="n"/>
      <c r="E151" s="267" t="n"/>
      <c r="F151" s="267" t="n"/>
      <c r="G151" s="267" t="n"/>
      <c r="H151" s="268" t="n"/>
      <c r="I151" s="267" t="n"/>
      <c r="J151" s="267" t="n"/>
      <c r="K151" s="267" t="n"/>
      <c r="L151" s="267" t="n"/>
      <c r="M151" s="268" t="n"/>
      <c r="N151" s="267" t="n"/>
      <c r="O151" s="267" t="n"/>
      <c r="P151" s="267" t="n"/>
      <c r="Q151" s="267" t="n"/>
      <c r="R151" s="268" t="n"/>
      <c r="S151" s="267" t="n"/>
      <c r="T151" s="267" t="n"/>
      <c r="U151" s="267" t="n"/>
      <c r="V151" s="267" t="n"/>
      <c r="W151" s="268" t="n"/>
      <c r="X151" s="267" t="n"/>
      <c r="Y151" s="267" t="n"/>
      <c r="Z151" s="267" t="n"/>
      <c r="AA151" s="267" t="n"/>
      <c r="AB151" s="268" t="n"/>
      <c r="AC151" s="267" t="n"/>
      <c r="AD151" s="267" t="n"/>
      <c r="AE151" s="267" t="n"/>
      <c r="AF151" s="267" t="n"/>
      <c r="AG151" s="268">
        <f>AF151</f>
        <v>0</v>
      </c>
      <c r="AH151" s="268">
        <f>AG151</f>
        <v>0</v>
      </c>
      <c r="AI151" s="268">
        <f>AH151</f>
        <v>0</v>
      </c>
      <c r="AJ151" s="268">
        <f>AI151</f>
        <v>0</v>
      </c>
      <c r="AK151" s="268">
        <f>AJ151</f>
        <v>0</v>
      </c>
      <c r="AL151" s="268">
        <f>AK151</f>
        <v>0</v>
      </c>
      <c r="AM151" s="268" t="n"/>
      <c r="AN151" s="268" t="n"/>
      <c r="AO151" s="268" t="n"/>
      <c r="AP151" s="268" t="n"/>
      <c r="AQ151" s="268" t="n"/>
      <c r="AR151" s="268" t="n"/>
      <c r="AS151" s="268" t="n"/>
      <c r="AT151" s="268" t="n"/>
      <c r="AU151" s="268" t="n"/>
      <c r="AV151" s="268" t="n"/>
      <c r="AW151" s="268" t="n"/>
      <c r="AX151" s="268" t="n"/>
      <c r="AY151" s="268" t="n"/>
      <c r="AZ151" s="268" t="n"/>
      <c r="BA151" s="268" t="n"/>
      <c r="BB151" s="268" t="n"/>
      <c r="BC151" s="268" t="n"/>
      <c r="BD151" s="268" t="n"/>
      <c r="BE151" s="268" t="n"/>
      <c r="BF151" s="268" t="n"/>
      <c r="BG151" s="268" t="n"/>
      <c r="BH151" s="268" t="n"/>
      <c r="BI151" s="268" t="n"/>
      <c r="BJ151" s="268" t="n"/>
      <c r="BK151" s="268" t="n"/>
      <c r="BL151" s="268" t="n"/>
      <c r="BM151" s="268" t="n"/>
      <c r="BN151" s="268" t="n"/>
      <c r="BO151" s="268" t="n"/>
      <c r="BP151" s="268" t="n"/>
      <c r="BQ151" s="268" t="n"/>
      <c r="BR151" s="268" t="n"/>
      <c r="BS151" s="268" t="n"/>
      <c r="BT151" s="268" t="n"/>
      <c r="BU151" s="268" t="n"/>
      <c r="BV151" s="268" t="n"/>
      <c r="BW151" s="268" t="n"/>
      <c r="BX151" s="268" t="n"/>
      <c r="BY151" s="268" t="n"/>
      <c r="BZ151" s="268" t="n"/>
      <c r="CA151" s="268" t="n"/>
      <c r="CB151" s="268" t="n"/>
      <c r="CC151" s="268" t="n"/>
      <c r="CD151" s="268" t="n"/>
      <c r="CE151" s="268" t="n"/>
      <c r="CF151" s="268" t="n"/>
      <c r="CG151" s="268" t="n"/>
      <c r="CH151" s="268" t="n"/>
      <c r="CI151" s="268" t="n"/>
      <c r="CJ151" s="268" t="n"/>
      <c r="CK151" s="268" t="n"/>
      <c r="CL151" s="268" t="n"/>
      <c r="CM151" s="268" t="n"/>
      <c r="CN151" s="268" t="n"/>
      <c r="CO151" s="268" t="n"/>
      <c r="CP151" s="268" t="n"/>
      <c r="CQ151" s="268" t="n"/>
      <c r="CR151" s="268" t="n"/>
      <c r="CS151" s="268" t="n"/>
      <c r="CT151" s="268" t="n"/>
      <c r="CU151" s="268" t="n"/>
      <c r="CV151" s="268" t="n"/>
      <c r="CW151" s="268" t="n"/>
      <c r="CX151" s="268" t="n"/>
      <c r="CY151" s="268" t="n"/>
    </row>
    <row r="152" hidden="1" outlineLevel="1" ht="12.75" customHeight="1" s="255">
      <c r="C152" s="312" t="n"/>
      <c r="D152" s="268" t="n"/>
      <c r="E152" s="268" t="n"/>
      <c r="F152" s="268" t="n"/>
      <c r="G152" s="268" t="n"/>
      <c r="H152" s="268" t="n"/>
      <c r="I152" s="268" t="n"/>
      <c r="J152" s="268" t="n"/>
      <c r="K152" s="268" t="n"/>
      <c r="L152" s="268" t="n"/>
      <c r="M152" s="268" t="n"/>
      <c r="N152" s="268" t="n"/>
      <c r="O152" s="268" t="n"/>
      <c r="P152" s="268" t="n"/>
      <c r="Q152" s="268" t="n"/>
      <c r="R152" s="268" t="n"/>
      <c r="S152" s="268" t="n"/>
      <c r="T152" s="268" t="n"/>
      <c r="U152" s="268" t="n"/>
      <c r="V152" s="268" t="n"/>
      <c r="W152" s="268" t="n"/>
      <c r="X152" s="268" t="n"/>
      <c r="Y152" s="268" t="n"/>
      <c r="Z152" s="268" t="n"/>
      <c r="AA152" s="268" t="n"/>
      <c r="AB152" s="268" t="n"/>
      <c r="AC152" s="268" t="n"/>
      <c r="AD152" s="268" t="n"/>
      <c r="AE152" s="268" t="n"/>
      <c r="AF152" s="268" t="n"/>
      <c r="AG152" s="268" t="n"/>
      <c r="AH152" s="268" t="n"/>
      <c r="AI152" s="268" t="n"/>
      <c r="AJ152" s="268" t="n"/>
      <c r="AK152" s="268" t="n"/>
      <c r="AL152" s="268" t="n"/>
      <c r="AM152" s="268" t="n"/>
      <c r="AN152" s="268" t="n"/>
      <c r="AO152" s="268" t="n"/>
      <c r="AP152" s="268" t="n"/>
      <c r="AQ152" s="268" t="n"/>
      <c r="AR152" s="268" t="n"/>
      <c r="AS152" s="268" t="n"/>
      <c r="AT152" s="268" t="n"/>
      <c r="AU152" s="268" t="n"/>
      <c r="AV152" s="268" t="n"/>
      <c r="AW152" s="268" t="n"/>
      <c r="AX152" s="268" t="n"/>
      <c r="AY152" s="268" t="n"/>
      <c r="AZ152" s="268" t="n"/>
      <c r="BA152" s="268" t="n"/>
      <c r="BB152" s="268" t="n"/>
      <c r="BC152" s="268" t="n"/>
      <c r="BD152" s="268" t="n"/>
      <c r="BE152" s="268" t="n"/>
      <c r="BF152" s="268" t="n"/>
      <c r="BG152" s="268" t="n"/>
      <c r="BH152" s="268" t="n"/>
      <c r="BI152" s="268" t="n"/>
      <c r="BJ152" s="268" t="n"/>
      <c r="BK152" s="268" t="n"/>
      <c r="BL152" s="268" t="n"/>
      <c r="BM152" s="268" t="n"/>
      <c r="BN152" s="268" t="n"/>
      <c r="BO152" s="268" t="n"/>
      <c r="BP152" s="268" t="n"/>
      <c r="BQ152" s="268" t="n"/>
      <c r="BR152" s="268" t="n"/>
      <c r="BS152" s="268" t="n"/>
      <c r="BT152" s="268" t="n"/>
      <c r="BU152" s="268" t="n"/>
      <c r="BV152" s="268" t="n"/>
      <c r="BW152" s="268" t="n"/>
      <c r="BX152" s="268" t="n"/>
      <c r="BY152" s="268" t="n"/>
      <c r="BZ152" s="268" t="n"/>
      <c r="CA152" s="268" t="n"/>
      <c r="CB152" s="268" t="n"/>
      <c r="CC152" s="268" t="n"/>
      <c r="CD152" s="268" t="n"/>
      <c r="CE152" s="268" t="n"/>
      <c r="CF152" s="268" t="n"/>
      <c r="CG152" s="268" t="n"/>
      <c r="CH152" s="268" t="n"/>
      <c r="CI152" s="268" t="n"/>
      <c r="CJ152" s="268" t="n"/>
      <c r="CK152" s="268" t="n"/>
      <c r="CL152" s="268" t="n"/>
      <c r="CM152" s="268" t="n"/>
      <c r="CN152" s="268" t="n"/>
      <c r="CO152" s="268" t="n"/>
      <c r="CP152" s="268" t="n"/>
      <c r="CQ152" s="268" t="n"/>
      <c r="CR152" s="268" t="n"/>
      <c r="CS152" s="268" t="n"/>
      <c r="CT152" s="268" t="n"/>
      <c r="CU152" s="268" t="n"/>
      <c r="CV152" s="268" t="n"/>
      <c r="CW152" s="268" t="n"/>
      <c r="CX152" s="268" t="n"/>
      <c r="CY152" s="268" t="n"/>
    </row>
    <row r="153" ht="12.75" customHeight="1" s="255">
      <c r="C153" s="270" t="inlineStr">
        <is>
          <t>Equity in affiliates</t>
        </is>
      </c>
      <c r="D153" s="301">
        <f>INDEX('Inputs (2)'!$D$21:$AL$21,MATCH(D$7,'Inputs (2)'!$D$2:$AL$2,0))</f>
        <v>0</v>
      </c>
      <c r="E153" s="301">
        <f>INDEX('Inputs (2)'!$D$21:$AL$21,MATCH(E$7,'Inputs (2)'!$D$2:$AL$2,0))</f>
        <v>0</v>
      </c>
      <c r="F153" s="301">
        <f>INDEX('Inputs (2)'!$D$21:$AL$21,MATCH(F$7,'Inputs (2)'!$D$2:$AL$2,0))</f>
        <v>0</v>
      </c>
      <c r="G153" s="301">
        <f>INDEX('Inputs (2)'!$D$21:$AL$21,MATCH(G$7,'Inputs (2)'!$D$2:$AL$2,0))</f>
        <v>0</v>
      </c>
      <c r="H153" s="268">
        <f>G153</f>
        <v>0</v>
      </c>
      <c r="I153" s="301">
        <f>INDEX('Inputs (2)'!$D$21:$AL$21,MATCH(I$7,'Inputs (2)'!$D$2:$AL$2,0))</f>
        <v>0</v>
      </c>
      <c r="J153" s="301">
        <f>INDEX('Inputs (2)'!$D$21:$AL$21,MATCH(J$7,'Inputs (2)'!$D$2:$AL$2,0))</f>
        <v>0</v>
      </c>
      <c r="K153" s="301">
        <f>INDEX('Inputs (2)'!$D$21:$AL$21,MATCH(K$7,'Inputs (2)'!$D$2:$AL$2,0))</f>
        <v>0</v>
      </c>
      <c r="L153" s="301">
        <f>INDEX('Inputs (2)'!$D$21:$AL$21,MATCH(L$7,'Inputs (2)'!$D$2:$AL$2,0))</f>
        <v>0</v>
      </c>
      <c r="M153" s="268">
        <f>L153</f>
        <v>0</v>
      </c>
      <c r="N153" s="301">
        <f>INDEX('Inputs (2)'!$D$21:$AL$21,MATCH(N$7,'Inputs (2)'!$D$2:$AL$2,0))</f>
        <v>0</v>
      </c>
      <c r="O153" s="301">
        <f>INDEX('Inputs (2)'!$D$21:$AL$21,MATCH(O$7,'Inputs (2)'!$D$2:$AL$2,0))</f>
        <v>0</v>
      </c>
      <c r="P153" s="301">
        <f>INDEX('Inputs (2)'!$D$21:$AL$21,MATCH(P$7,'Inputs (2)'!$D$2:$AL$2,0))</f>
        <v>0</v>
      </c>
      <c r="Q153" s="301">
        <f>INDEX('Inputs (2)'!$D$21:$AL$21,MATCH(Q$7,'Inputs (2)'!$D$2:$AL$2,0))</f>
        <v>0</v>
      </c>
      <c r="R153" s="268">
        <f>Q153</f>
        <v>0</v>
      </c>
      <c r="S153" s="301">
        <f>INDEX('Inputs (2)'!$D$21:$AL$21,MATCH(S$7,'Inputs (2)'!$D$2:$AL$2,0))</f>
        <v>0</v>
      </c>
      <c r="T153" s="301">
        <f>INDEX('Inputs (2)'!$D$21:$AL$21,MATCH(T$7,'Inputs (2)'!$D$2:$AL$2,0))</f>
        <v>0</v>
      </c>
      <c r="U153" s="301">
        <f>INDEX('Inputs (2)'!$D$21:$AL$21,MATCH(U$7,'Inputs (2)'!$D$2:$AL$2,0))</f>
        <v>0</v>
      </c>
      <c r="V153" s="301">
        <f>INDEX('Inputs (2)'!$D$21:$AL$21,MATCH(V$7,'Inputs (2)'!$D$2:$AL$2,0))</f>
        <v>0</v>
      </c>
      <c r="W153" s="268">
        <f>V153</f>
        <v>0</v>
      </c>
      <c r="X153" s="301">
        <f>INDEX('Inputs (2)'!$D$21:$AL$21,MATCH(X$7,'Inputs (2)'!$D$2:$AL$2,0))</f>
        <v>0</v>
      </c>
      <c r="Y153" s="301">
        <f>INDEX('Inputs (2)'!$D$21:$AL$21,MATCH(Y$7,'Inputs (2)'!$D$2:$AL$2,0))</f>
        <v>0</v>
      </c>
      <c r="Z153" s="301">
        <f>INDEX('Inputs (2)'!$D$21:$AL$21,MATCH(Z$7,'Inputs (2)'!$D$2:$AL$2,0))</f>
        <v>0</v>
      </c>
      <c r="AA153" s="301">
        <f>INDEX('Inputs (2)'!$D$21:$AL$21,MATCH(AA$7,'Inputs (2)'!$D$2:$AL$2,0))</f>
        <v>0</v>
      </c>
      <c r="AB153" s="268">
        <f>AA153</f>
        <v>0</v>
      </c>
      <c r="AC153" s="301">
        <f>INDEX('Inputs (2)'!$D$21:$AL$21,MATCH(AC$7,'Inputs (2)'!$D$2:$AL$2,0))</f>
        <v>0</v>
      </c>
      <c r="AD153" s="301">
        <f>INDEX('Inputs (2)'!$D$21:$AL$21,MATCH(AD$7,'Inputs (2)'!$D$2:$AL$2,0))</f>
        <v>0</v>
      </c>
      <c r="AE153" s="301">
        <f>INDEX('Inputs (2)'!$D$21:$AL$21,MATCH(AE$7,'Inputs (2)'!$D$2:$AL$2,0))</f>
        <v>0</v>
      </c>
      <c r="AF153" s="301">
        <f>INDEX('Inputs (2)'!$D$21:$AL$21,MATCH(AF$7,'Inputs (2)'!$D$2:$AL$2,0))</f>
        <v>0</v>
      </c>
      <c r="AG153" s="268">
        <f>AF153</f>
        <v>0</v>
      </c>
      <c r="AH153" s="268">
        <f>INDEX('Inputs (2)'!$D$21:$AL$21,MATCH(AH$7,'Inputs (2)'!$D$2:$AL$2,0))</f>
        <v>0</v>
      </c>
      <c r="AI153" s="268">
        <f>INDEX('Inputs (2)'!$D$21:$AL$21,MATCH(AI$7,'Inputs (2)'!$D$2:$AL$2,0))</f>
        <v>0</v>
      </c>
      <c r="AJ153" s="268">
        <f>AI153+AJ127+AJ156</f>
        <v>-8</v>
      </c>
      <c r="AK153" s="268">
        <f>AJ153+AK127+AK156</f>
        <v>-7</v>
      </c>
      <c r="AL153" s="268">
        <f>AK153</f>
        <v>-7</v>
      </c>
      <c r="AM153" s="268">
        <f>AL153+AM127+AM156</f>
        <v>-1</v>
      </c>
      <c r="AN153" s="268">
        <f>AM153+AN127+AN156</f>
        <v>4</v>
      </c>
      <c r="AO153" s="268">
        <f>AN153+AO127+AO156</f>
        <v>-4</v>
      </c>
      <c r="AP153" s="268">
        <f>AO153+AP127+AP156</f>
        <v>-3</v>
      </c>
      <c r="AQ153" s="268">
        <f>AP153</f>
        <v>-3</v>
      </c>
      <c r="AR153" s="268">
        <f>AQ153+AR127+AR156</f>
        <v>3</v>
      </c>
      <c r="AS153" s="268">
        <f>AR153+AS127+AS156</f>
        <v>8</v>
      </c>
      <c r="AT153" s="268">
        <f>AS153+AT127+AT156</f>
        <v>0</v>
      </c>
      <c r="AU153" s="268">
        <f>AT153+AU127+AU156</f>
        <v>1</v>
      </c>
      <c r="AV153" s="268">
        <f>AU153</f>
        <v>1</v>
      </c>
      <c r="AW153" s="268">
        <f>AV153+AW127+AW156</f>
        <v>7</v>
      </c>
      <c r="AX153" s="268">
        <f>AW153+AX127+AX156</f>
        <v>12</v>
      </c>
      <c r="AY153" s="268">
        <f>AX153+AY127+AY156</f>
        <v>4</v>
      </c>
      <c r="AZ153" s="268">
        <f>AY153+AZ127+AZ156</f>
        <v>5</v>
      </c>
      <c r="BA153" s="268">
        <f>AZ153</f>
        <v>5</v>
      </c>
      <c r="BB153" s="268">
        <f>BA153+BB127+BB156</f>
        <v>11</v>
      </c>
      <c r="BC153" s="268">
        <f>BB153+BC127+BC156</f>
        <v>16</v>
      </c>
      <c r="BD153" s="268">
        <f>BC153+BD127+BD156</f>
        <v>8</v>
      </c>
      <c r="BE153" s="268">
        <f>BD153+BE127+BE156</f>
        <v>9</v>
      </c>
      <c r="BF153" s="268">
        <f>BE153</f>
        <v>9</v>
      </c>
      <c r="BG153" s="268">
        <f>BF153+BG127+BG156</f>
        <v>15</v>
      </c>
      <c r="BH153" s="268">
        <f>BG153+BH127+BH156</f>
        <v>20</v>
      </c>
      <c r="BI153" s="268">
        <f>BH153+BI127+BI156</f>
        <v>12</v>
      </c>
      <c r="BJ153" s="268">
        <f>BI153+BJ127+BJ156</f>
        <v>13</v>
      </c>
      <c r="BK153" s="268">
        <f>BJ153</f>
        <v>13</v>
      </c>
      <c r="BL153" s="268">
        <f>BK153+BL127+BL156</f>
        <v>19</v>
      </c>
      <c r="BM153" s="268">
        <f>BL153+BM127+BM156</f>
        <v>24</v>
      </c>
      <c r="BN153" s="268">
        <f>BM153+BN127+BN156</f>
        <v>16</v>
      </c>
      <c r="BO153" s="268">
        <f>BN153+BO127+BO156</f>
        <v>17</v>
      </c>
      <c r="BP153" s="268">
        <f>BO153</f>
        <v>17</v>
      </c>
      <c r="BQ153" s="268">
        <f>BP153+BQ127+BQ156</f>
        <v>23</v>
      </c>
      <c r="BR153" s="268">
        <f>BQ153+BR127+BR156</f>
        <v>28</v>
      </c>
      <c r="BS153" s="268">
        <f>BR153+BS127+BS156</f>
        <v>20</v>
      </c>
      <c r="BT153" s="268">
        <f>BS153+BT127+BT156</f>
        <v>21</v>
      </c>
      <c r="BU153" s="268">
        <f>BT153</f>
        <v>21</v>
      </c>
      <c r="BV153" s="268">
        <f>BU153+BV127+BV156</f>
        <v>27</v>
      </c>
      <c r="BW153" s="268">
        <f>BV153+BW127+BW156</f>
        <v>32</v>
      </c>
      <c r="BX153" s="268">
        <f>BW153+BX127+BX156</f>
        <v>24</v>
      </c>
      <c r="BY153" s="268">
        <f>BX153+BY127+BY156</f>
        <v>25</v>
      </c>
      <c r="BZ153" s="268">
        <f>BY153</f>
        <v>25</v>
      </c>
      <c r="CA153" s="268">
        <f>BZ153+CA127+CA156</f>
        <v>31</v>
      </c>
      <c r="CB153" s="268">
        <f>CA153+CB127+CB156</f>
        <v>36</v>
      </c>
      <c r="CC153" s="268">
        <f>CB153+CC127+CC156</f>
        <v>28</v>
      </c>
      <c r="CD153" s="268">
        <f>CC153+CD127+CD156</f>
        <v>29</v>
      </c>
      <c r="CE153" s="268">
        <f>CD153</f>
        <v>29</v>
      </c>
      <c r="CF153" s="268">
        <f>CE153+CF127+CF156</f>
        <v>35</v>
      </c>
      <c r="CG153" s="268">
        <f>CF153+CG127+CG156</f>
        <v>40</v>
      </c>
      <c r="CH153" s="268">
        <f>CG153+CH127+CH156</f>
        <v>32</v>
      </c>
      <c r="CI153" s="268">
        <f>CH153+CI127+CI156</f>
        <v>33</v>
      </c>
      <c r="CJ153" s="268">
        <f>CI153</f>
        <v>33</v>
      </c>
      <c r="CK153" s="268">
        <f>CJ153+CK127+CK156</f>
        <v>39</v>
      </c>
      <c r="CL153" s="268">
        <f>CK153+CL127+CL156</f>
        <v>44</v>
      </c>
      <c r="CM153" s="268">
        <f>CL153+CM127+CM156</f>
        <v>36</v>
      </c>
      <c r="CN153" s="268">
        <f>CM153+CN127+CN156</f>
        <v>37</v>
      </c>
      <c r="CO153" s="268">
        <f>CN153</f>
        <v>37</v>
      </c>
      <c r="CP153" s="268">
        <f>CO153+CP127+CP156</f>
        <v>43</v>
      </c>
      <c r="CQ153" s="268">
        <f>CP153+CQ127+CQ156</f>
        <v>48</v>
      </c>
      <c r="CR153" s="268">
        <f>CQ153+CR127+CR156</f>
        <v>40</v>
      </c>
      <c r="CS153" s="268">
        <f>CR153+CS127+CS156</f>
        <v>41</v>
      </c>
      <c r="CT153" s="268">
        <f>CS153</f>
        <v>41</v>
      </c>
      <c r="CU153" s="268">
        <f>CT153+CU127+CU156</f>
        <v>47</v>
      </c>
      <c r="CV153" s="268">
        <f>CU153+CV127+CV156</f>
        <v>52</v>
      </c>
      <c r="CW153" s="268">
        <f>CV153+CW127+CW156</f>
        <v>44</v>
      </c>
      <c r="CX153" s="268">
        <f>CW153+CX127+CX156</f>
        <v>45</v>
      </c>
      <c r="CY153" s="268">
        <f>CX153</f>
        <v>45</v>
      </c>
    </row>
    <row r="154" hidden="1" outlineLevel="1" ht="12.75" customHeight="1" s="255">
      <c r="C154" s="312" t="n"/>
      <c r="D154" s="268" t="n"/>
      <c r="E154" s="268" t="n"/>
      <c r="F154" s="268" t="n"/>
      <c r="G154" s="268" t="n"/>
      <c r="H154" s="268" t="n"/>
      <c r="I154" s="268" t="n"/>
      <c r="J154" s="268" t="n"/>
      <c r="K154" s="268" t="n"/>
      <c r="L154" s="268" t="n"/>
      <c r="M154" s="268" t="n"/>
      <c r="N154" s="268" t="n"/>
      <c r="O154" s="268" t="n"/>
      <c r="P154" s="268" t="n"/>
      <c r="Q154" s="268" t="n"/>
      <c r="R154" s="268" t="n"/>
      <c r="S154" s="268" t="n"/>
      <c r="T154" s="268" t="n"/>
      <c r="U154" s="268" t="n"/>
      <c r="V154" s="268" t="n"/>
      <c r="W154" s="268" t="n"/>
      <c r="X154" s="268" t="n"/>
      <c r="Y154" s="268" t="n"/>
      <c r="Z154" s="268" t="n"/>
      <c r="AA154" s="268" t="n"/>
      <c r="AB154" s="268" t="n"/>
      <c r="AC154" s="268" t="n"/>
      <c r="AD154" s="268" t="n"/>
      <c r="AE154" s="268" t="n"/>
      <c r="AF154" s="268" t="n"/>
      <c r="AG154" s="268" t="n"/>
      <c r="AH154" s="268" t="n"/>
      <c r="AI154" s="268" t="n"/>
      <c r="AJ154" s="268" t="n"/>
      <c r="AK154" s="268" t="n"/>
      <c r="AL154" s="268" t="n"/>
      <c r="AM154" s="268" t="n"/>
      <c r="AN154" s="268" t="n"/>
      <c r="AO154" s="268" t="n"/>
      <c r="AP154" s="268" t="n"/>
      <c r="AQ154" s="268" t="n"/>
      <c r="AR154" s="268" t="n"/>
      <c r="AS154" s="268" t="n"/>
      <c r="AT154" s="268" t="n"/>
      <c r="AU154" s="268" t="n"/>
      <c r="AV154" s="268" t="n"/>
      <c r="AW154" s="268" t="n"/>
      <c r="AX154" s="268" t="n"/>
      <c r="AY154" s="268" t="n"/>
      <c r="AZ154" s="268" t="n"/>
      <c r="BA154" s="268" t="n"/>
      <c r="BB154" s="268" t="n"/>
      <c r="BC154" s="268" t="n"/>
      <c r="BD154" s="268" t="n"/>
      <c r="BE154" s="268" t="n"/>
      <c r="BF154" s="268" t="n"/>
      <c r="BG154" s="268" t="n"/>
      <c r="BH154" s="268" t="n"/>
      <c r="BI154" s="268" t="n"/>
      <c r="BJ154" s="268" t="n"/>
      <c r="BK154" s="268" t="n"/>
      <c r="BL154" s="268" t="n"/>
      <c r="BM154" s="268" t="n"/>
      <c r="BN154" s="268" t="n"/>
      <c r="BO154" s="268" t="n"/>
      <c r="BP154" s="268" t="n"/>
      <c r="BQ154" s="268" t="n"/>
      <c r="BR154" s="268" t="n"/>
      <c r="BS154" s="268" t="n"/>
      <c r="BT154" s="268" t="n"/>
      <c r="BU154" s="268" t="n"/>
      <c r="BV154" s="268" t="n"/>
      <c r="BW154" s="268" t="n"/>
      <c r="BX154" s="268" t="n"/>
      <c r="BY154" s="268" t="n"/>
      <c r="BZ154" s="268" t="n"/>
      <c r="CA154" s="268" t="n"/>
      <c r="CB154" s="268" t="n"/>
      <c r="CC154" s="268" t="n"/>
      <c r="CD154" s="268" t="n"/>
      <c r="CE154" s="268" t="n"/>
      <c r="CF154" s="268" t="n"/>
      <c r="CG154" s="268" t="n"/>
      <c r="CH154" s="268" t="n"/>
      <c r="CI154" s="268" t="n"/>
      <c r="CJ154" s="268" t="n"/>
      <c r="CK154" s="268" t="n"/>
      <c r="CL154" s="268" t="n"/>
      <c r="CM154" s="268" t="n"/>
      <c r="CN154" s="268" t="n"/>
      <c r="CO154" s="268" t="n"/>
      <c r="CP154" s="268" t="n"/>
      <c r="CQ154" s="268" t="n"/>
      <c r="CR154" s="268" t="n"/>
      <c r="CS154" s="268" t="n"/>
      <c r="CT154" s="268" t="n"/>
      <c r="CU154" s="268" t="n"/>
      <c r="CV154" s="268" t="n"/>
      <c r="CW154" s="268" t="n"/>
      <c r="CX154" s="268" t="n"/>
      <c r="CY154" s="268" t="n"/>
    </row>
    <row r="155" hidden="1" outlineLevel="1" ht="12.75" customHeight="1" s="255">
      <c r="C155" s="312" t="inlineStr">
        <is>
          <t>Equity in Income - % YoY</t>
        </is>
      </c>
      <c r="D155" s="268" t="n"/>
      <c r="E155" s="268" t="n"/>
      <c r="F155" s="268" t="n"/>
      <c r="G155" s="268" t="n"/>
      <c r="H155" s="268" t="n"/>
      <c r="I155" s="268" t="n"/>
      <c r="J155" s="268" t="n"/>
      <c r="K155" s="268" t="n"/>
      <c r="L155" s="268" t="n"/>
      <c r="M155" s="268" t="n"/>
      <c r="N155" s="268">
        <f>IF(I127=0,0,N127/I127-1)</f>
        <v>-1.03177966101695</v>
      </c>
      <c r="O155" s="268">
        <f>IF(J127=0,0,O127/J127-1)</f>
        <v>0.666666666666667</v>
      </c>
      <c r="P155" s="268">
        <f>IF(K127=0,0,P127/K127-1)</f>
        <v>-1.88888888888889</v>
      </c>
      <c r="Q155" s="268">
        <f>IF(L127=0,0,Q127/L127-1)</f>
        <v>-0.999051233396584</v>
      </c>
      <c r="R155" s="268" t="n"/>
      <c r="S155" s="268">
        <f>IF(N127=0,0,S127/N127-1)</f>
        <v>-0.333333333333333</v>
      </c>
      <c r="T155" s="268">
        <f>IF(O127=0,0,T127/O127-1)</f>
        <v>-0.8</v>
      </c>
      <c r="U155" s="268">
        <f>IF(P127=0,0,U127/P127-1)</f>
        <v>-1</v>
      </c>
      <c r="V155" s="268">
        <f>IF(Q127=0,0,V127/Q127-1)</f>
        <v>-2.5</v>
      </c>
      <c r="W155" s="268" t="n"/>
      <c r="X155" s="268">
        <f>IF(S127=0,0,X127/S127-1)</f>
        <v>-1</v>
      </c>
      <c r="Y155" s="268">
        <f>IF(T127=0,0,Y127/T127-1)</f>
        <v>1</v>
      </c>
      <c r="Z155" s="268">
        <f>IF(U127=0,0,Z127/U127-1)</f>
        <v>0</v>
      </c>
      <c r="AA155" s="268">
        <f>IF(V127=0,0,AA127/V127-1)</f>
        <v>-0.666666666666667</v>
      </c>
      <c r="AB155" s="268" t="n"/>
      <c r="AC155" s="268">
        <f>IF(X127=0,0,AC127/X127-1)</f>
        <v>0</v>
      </c>
      <c r="AD155" s="268">
        <f>IF(Y127=0,0,AD127/Y127-1)</f>
        <v>0.5</v>
      </c>
      <c r="AE155" s="268">
        <f>IF(Z127=0,0,AE127/Z127-1)</f>
        <v>-1.8</v>
      </c>
      <c r="AF155" s="268">
        <f>IF(AA127=0,0,AF127/AA127-1)</f>
        <v>0</v>
      </c>
      <c r="AG155" s="268" t="n"/>
      <c r="AH155" s="267">
        <f>IF(AC127=0,0,AH127/AC127-1)</f>
        <v>2</v>
      </c>
      <c r="AI155" s="267">
        <f>IF(AD127=0,0,AI127/AD127-1)</f>
        <v>-0.166666666666667</v>
      </c>
      <c r="AJ155" s="267" t="n"/>
      <c r="AK155" s="267" t="n"/>
      <c r="AL155" s="268" t="n"/>
      <c r="AM155" s="267" t="n"/>
      <c r="AN155" s="267" t="n"/>
      <c r="AO155" s="267" t="n"/>
      <c r="AP155" s="267" t="n"/>
      <c r="AQ155" s="268" t="n"/>
      <c r="AR155" s="267" t="n"/>
      <c r="AS155" s="267" t="n"/>
      <c r="AT155" s="267" t="n"/>
      <c r="AU155" s="267" t="n"/>
      <c r="AV155" s="268" t="n"/>
      <c r="AW155" s="267" t="n"/>
      <c r="AX155" s="267" t="n"/>
      <c r="AY155" s="267" t="n"/>
      <c r="AZ155" s="267" t="n"/>
      <c r="BA155" s="268" t="n"/>
      <c r="BB155" s="267" t="n"/>
      <c r="BC155" s="267" t="n"/>
      <c r="BD155" s="267" t="n"/>
      <c r="BE155" s="267" t="n"/>
      <c r="BF155" s="268" t="n"/>
      <c r="BG155" s="267" t="n"/>
      <c r="BH155" s="267" t="n"/>
      <c r="BI155" s="267" t="n"/>
      <c r="BJ155" s="267" t="n"/>
      <c r="BK155" s="268" t="n"/>
      <c r="BL155" s="267" t="n"/>
      <c r="BM155" s="267" t="n"/>
      <c r="BN155" s="267" t="n"/>
      <c r="BO155" s="267" t="n"/>
      <c r="BP155" s="268" t="n"/>
      <c r="BQ155" s="267" t="n"/>
      <c r="BR155" s="267" t="n"/>
      <c r="BS155" s="267" t="n"/>
      <c r="BT155" s="267" t="n"/>
      <c r="BU155" s="268" t="n"/>
      <c r="BV155" s="267" t="n"/>
      <c r="BW155" s="267" t="n"/>
      <c r="BX155" s="267" t="n"/>
      <c r="BY155" s="267" t="n"/>
      <c r="BZ155" s="268" t="n"/>
      <c r="CA155" s="267" t="n"/>
      <c r="CB155" s="267" t="n"/>
      <c r="CC155" s="267" t="n"/>
      <c r="CD155" s="267" t="n"/>
      <c r="CE155" s="268" t="n"/>
      <c r="CF155" s="267" t="n"/>
      <c r="CG155" s="267" t="n"/>
      <c r="CH155" s="267" t="n"/>
      <c r="CI155" s="267" t="n"/>
      <c r="CJ155" s="268" t="n"/>
      <c r="CK155" s="267" t="n"/>
      <c r="CL155" s="267" t="n"/>
      <c r="CM155" s="267" t="n"/>
      <c r="CN155" s="267" t="n"/>
      <c r="CO155" s="268" t="n"/>
      <c r="CP155" s="267" t="n"/>
      <c r="CQ155" s="267" t="n"/>
      <c r="CR155" s="267" t="n"/>
      <c r="CS155" s="267" t="n"/>
      <c r="CT155" s="268" t="n"/>
      <c r="CU155" s="267" t="n"/>
      <c r="CV155" s="267" t="n"/>
      <c r="CW155" s="267" t="n"/>
      <c r="CX155" s="267" t="n"/>
      <c r="CY155" s="268" t="n"/>
    </row>
    <row r="156" hidden="1" outlineLevel="1" ht="12.75" customHeight="1" s="255">
      <c r="C156" s="312" t="inlineStr">
        <is>
          <t>Dividends (enter as -)</t>
        </is>
      </c>
      <c r="D156" s="268" t="n"/>
      <c r="E156" s="268" t="n"/>
      <c r="F156" s="268" t="n"/>
      <c r="G156" s="268" t="n"/>
      <c r="H156" s="268" t="n"/>
      <c r="I156" s="268" t="n"/>
      <c r="J156" s="268" t="n"/>
      <c r="K156" s="268" t="n"/>
      <c r="L156" s="268" t="n"/>
      <c r="M156" s="268" t="n"/>
      <c r="N156" s="268" t="n"/>
      <c r="O156" s="268" t="n"/>
      <c r="P156" s="268" t="n"/>
      <c r="Q156" s="268" t="n"/>
      <c r="R156" s="268" t="n"/>
      <c r="S156" s="268" t="n"/>
      <c r="T156" s="268" t="n"/>
      <c r="U156" s="268" t="n"/>
      <c r="V156" s="268" t="n"/>
      <c r="W156" s="268" t="n"/>
      <c r="X156" s="268" t="n"/>
      <c r="Y156" s="268" t="n"/>
      <c r="Z156" s="268" t="n"/>
      <c r="AA156" s="268" t="n"/>
      <c r="AB156" s="268" t="n"/>
      <c r="AC156" s="268" t="n"/>
      <c r="AD156" s="268" t="n"/>
      <c r="AE156" s="268" t="n"/>
      <c r="AF156" s="268" t="n"/>
      <c r="AG156" s="268" t="n"/>
      <c r="AH156" s="267" t="n"/>
      <c r="AI156" s="267" t="n"/>
      <c r="AJ156" s="267" t="n"/>
      <c r="AK156" s="267" t="n"/>
      <c r="AL156" s="268" t="n"/>
      <c r="AM156" s="267" t="n"/>
      <c r="AN156" s="267" t="n"/>
      <c r="AO156" s="267" t="n"/>
      <c r="AP156" s="267" t="n"/>
      <c r="AQ156" s="268" t="n"/>
      <c r="AR156" s="267" t="n"/>
      <c r="AS156" s="267" t="n"/>
      <c r="AT156" s="267" t="n"/>
      <c r="AU156" s="267" t="n"/>
      <c r="AV156" s="268" t="n"/>
      <c r="AW156" s="267" t="n"/>
      <c r="AX156" s="267" t="n"/>
      <c r="AY156" s="267" t="n"/>
      <c r="AZ156" s="267" t="n"/>
      <c r="BA156" s="268" t="n"/>
      <c r="BB156" s="267" t="n"/>
      <c r="BC156" s="267" t="n"/>
      <c r="BD156" s="267" t="n"/>
      <c r="BE156" s="267" t="n"/>
      <c r="BF156" s="268" t="n"/>
      <c r="BG156" s="267" t="n"/>
      <c r="BH156" s="267" t="n"/>
      <c r="BI156" s="267" t="n"/>
      <c r="BJ156" s="267" t="n"/>
      <c r="BK156" s="268" t="n"/>
      <c r="BL156" s="267" t="n"/>
      <c r="BM156" s="267" t="n"/>
      <c r="BN156" s="267" t="n"/>
      <c r="BO156" s="267" t="n"/>
      <c r="BP156" s="268" t="n"/>
      <c r="BQ156" s="267" t="n"/>
      <c r="BR156" s="267" t="n"/>
      <c r="BS156" s="267" t="n"/>
      <c r="BT156" s="267" t="n"/>
      <c r="BU156" s="268" t="n"/>
      <c r="BV156" s="267" t="n"/>
      <c r="BW156" s="267" t="n"/>
      <c r="BX156" s="267" t="n"/>
      <c r="BY156" s="267" t="n"/>
      <c r="BZ156" s="268" t="n"/>
      <c r="CA156" s="267" t="n"/>
      <c r="CB156" s="267" t="n"/>
      <c r="CC156" s="267" t="n"/>
      <c r="CD156" s="267" t="n"/>
      <c r="CE156" s="268" t="n"/>
      <c r="CF156" s="267" t="n"/>
      <c r="CG156" s="267" t="n"/>
      <c r="CH156" s="267" t="n"/>
      <c r="CI156" s="267" t="n"/>
      <c r="CJ156" s="268" t="n"/>
      <c r="CK156" s="267" t="n"/>
      <c r="CL156" s="267" t="n"/>
      <c r="CM156" s="267" t="n"/>
      <c r="CN156" s="267" t="n"/>
      <c r="CO156" s="268" t="n"/>
      <c r="CP156" s="267" t="n"/>
      <c r="CQ156" s="267" t="n"/>
      <c r="CR156" s="267" t="n"/>
      <c r="CS156" s="267" t="n"/>
      <c r="CT156" s="268" t="n"/>
      <c r="CU156" s="267" t="n"/>
      <c r="CV156" s="267" t="n"/>
      <c r="CW156" s="267" t="n"/>
      <c r="CX156" s="267" t="n"/>
      <c r="CY156" s="268" t="n"/>
    </row>
    <row r="157" hidden="1" outlineLevel="1" ht="12.75" customHeight="1" s="255">
      <c r="C157" s="312" t="n"/>
      <c r="D157" s="268" t="n"/>
      <c r="E157" s="268" t="n"/>
      <c r="F157" s="268" t="n"/>
      <c r="G157" s="268" t="n"/>
      <c r="H157" s="268" t="n"/>
      <c r="I157" s="268" t="n"/>
      <c r="J157" s="268" t="n"/>
      <c r="K157" s="268" t="n"/>
      <c r="L157" s="268" t="n"/>
      <c r="M157" s="268" t="n"/>
      <c r="N157" s="268" t="n"/>
      <c r="O157" s="268" t="n"/>
      <c r="P157" s="268" t="n"/>
      <c r="Q157" s="268" t="n"/>
      <c r="R157" s="268" t="n"/>
      <c r="S157" s="268" t="n"/>
      <c r="T157" s="268" t="n"/>
      <c r="U157" s="268" t="n"/>
      <c r="V157" s="268" t="n"/>
      <c r="W157" s="268" t="n"/>
      <c r="X157" s="268" t="n"/>
      <c r="Y157" s="268" t="n"/>
      <c r="Z157" s="268" t="n"/>
      <c r="AA157" s="268" t="n"/>
      <c r="AB157" s="268" t="n"/>
      <c r="AC157" s="268" t="n"/>
      <c r="AD157" s="268" t="n"/>
      <c r="AE157" s="268" t="n"/>
      <c r="AF157" s="268" t="n"/>
      <c r="AG157" s="268" t="n"/>
      <c r="AH157" s="268" t="n"/>
      <c r="AI157" s="268" t="n"/>
      <c r="AJ157" s="268" t="n"/>
      <c r="AK157" s="268" t="n"/>
      <c r="AL157" s="268" t="n"/>
      <c r="AM157" s="268" t="n"/>
      <c r="AN157" s="268" t="n"/>
      <c r="AO157" s="268" t="n"/>
      <c r="AP157" s="268" t="n"/>
      <c r="AQ157" s="268" t="n"/>
      <c r="AR157" s="268" t="n"/>
      <c r="AS157" s="268" t="n"/>
      <c r="AT157" s="268" t="n"/>
      <c r="AU157" s="268" t="n"/>
      <c r="AV157" s="268" t="n"/>
      <c r="AW157" s="268" t="n"/>
      <c r="AX157" s="268" t="n"/>
      <c r="AY157" s="268" t="n"/>
      <c r="AZ157" s="268" t="n"/>
      <c r="BA157" s="268" t="n"/>
      <c r="BB157" s="268" t="n"/>
      <c r="BC157" s="268" t="n"/>
      <c r="BD157" s="268" t="n"/>
      <c r="BE157" s="268" t="n"/>
      <c r="BF157" s="268" t="n"/>
      <c r="BG157" s="268" t="n"/>
      <c r="BH157" s="268" t="n"/>
      <c r="BI157" s="268" t="n"/>
      <c r="BJ157" s="268" t="n"/>
      <c r="BK157" s="268" t="n"/>
      <c r="BL157" s="268" t="n"/>
      <c r="BM157" s="268" t="n"/>
      <c r="BN157" s="268" t="n"/>
      <c r="BO157" s="268" t="n"/>
      <c r="BP157" s="268" t="n"/>
      <c r="BQ157" s="268" t="n"/>
      <c r="BR157" s="268" t="n"/>
      <c r="BS157" s="268" t="n"/>
      <c r="BT157" s="268" t="n"/>
      <c r="BU157" s="268" t="n"/>
      <c r="BV157" s="268" t="n"/>
      <c r="BW157" s="268" t="n"/>
      <c r="BX157" s="268" t="n"/>
      <c r="BY157" s="268" t="n"/>
      <c r="BZ157" s="268" t="n"/>
      <c r="CA157" s="268" t="n"/>
      <c r="CB157" s="268" t="n"/>
      <c r="CC157" s="268" t="n"/>
      <c r="CD157" s="268" t="n"/>
      <c r="CE157" s="268" t="n"/>
      <c r="CF157" s="268" t="n"/>
      <c r="CG157" s="268" t="n"/>
      <c r="CH157" s="268" t="n"/>
      <c r="CI157" s="268" t="n"/>
      <c r="CJ157" s="268" t="n"/>
      <c r="CK157" s="268" t="n"/>
      <c r="CL157" s="268" t="n"/>
      <c r="CM157" s="268" t="n"/>
      <c r="CN157" s="268" t="n"/>
      <c r="CO157" s="268" t="n"/>
      <c r="CP157" s="268" t="n"/>
      <c r="CQ157" s="268" t="n"/>
      <c r="CR157" s="268" t="n"/>
      <c r="CS157" s="268" t="n"/>
      <c r="CT157" s="268" t="n"/>
      <c r="CU157" s="268" t="n"/>
      <c r="CV157" s="268" t="n"/>
      <c r="CW157" s="268" t="n"/>
      <c r="CX157" s="268" t="n"/>
      <c r="CY157" s="268" t="n"/>
    </row>
    <row r="158" ht="12.75" customHeight="1" s="255">
      <c r="C158" s="270" t="inlineStr">
        <is>
          <t>PP&amp;E</t>
        </is>
      </c>
      <c r="D158" s="301">
        <f>INDEX('Inputs (2)'!$D$22:$AL$22,MATCH(D$7,'Inputs (2)'!$D$2:$AL$2,0))</f>
        <v>29899</v>
      </c>
      <c r="E158" s="301">
        <f>INDEX('Inputs (2)'!$D$22:$AL$22,MATCH(E$7,'Inputs (2)'!$D$2:$AL$2,0))</f>
        <v>29936</v>
      </c>
      <c r="F158" s="301">
        <f>INDEX('Inputs (2)'!$D$22:$AL$22,MATCH(F$7,'Inputs (2)'!$D$2:$AL$2,0))</f>
        <v>29911</v>
      </c>
      <c r="G158" s="301">
        <f>INDEX('Inputs (2)'!$D$22:$AL$22,MATCH(G$7,'Inputs (2)'!$D$2:$AL$2,0))</f>
        <v>29818</v>
      </c>
      <c r="H158" s="268">
        <f>G158</f>
        <v>29818</v>
      </c>
      <c r="I158" s="301">
        <f>INDEX('Inputs (2)'!$D$22:$AL$22,MATCH(I$7,'Inputs (2)'!$D$2:$AL$2,0))</f>
        <v>29775</v>
      </c>
      <c r="J158" s="301">
        <f>INDEX('Inputs (2)'!$D$22:$AL$22,MATCH(J$7,'Inputs (2)'!$D$2:$AL$2,0))</f>
        <v>29836</v>
      </c>
      <c r="K158" s="301">
        <f>INDEX('Inputs (2)'!$D$22:$AL$22,MATCH(K$7,'Inputs (2)'!$D$2:$AL$2,0))</f>
        <v>30102</v>
      </c>
      <c r="L158" s="301">
        <f>INDEX('Inputs (2)'!$D$22:$AL$22,MATCH(L$7,'Inputs (2)'!$D$2:$AL$2,0))</f>
        <v>30345</v>
      </c>
      <c r="M158" s="268">
        <f>L158</f>
        <v>30345</v>
      </c>
      <c r="N158" s="301">
        <f>INDEX('Inputs (2)'!$D$22:$AL$22,MATCH(N$7,'Inputs (2)'!$D$2:$AL$2,0))</f>
        <v>30708</v>
      </c>
      <c r="O158" s="301">
        <f>INDEX('Inputs (2)'!$D$22:$AL$22,MATCH(O$7,'Inputs (2)'!$D$2:$AL$2,0))</f>
        <v>31200</v>
      </c>
      <c r="P158" s="301">
        <f>INDEX('Inputs (2)'!$D$22:$AL$22,MATCH(P$7,'Inputs (2)'!$D$2:$AL$2,0))</f>
        <v>31814</v>
      </c>
      <c r="Q158" s="301">
        <f>INDEX('Inputs (2)'!$D$22:$AL$22,MATCH(Q$7,'Inputs (2)'!$D$2:$AL$2,0))</f>
        <v>32627</v>
      </c>
      <c r="R158" s="268">
        <f>Q158</f>
        <v>32627</v>
      </c>
      <c r="S158" s="301">
        <f>INDEX('Inputs (2)'!$D$22:$AL$22,MATCH(S$7,'Inputs (2)'!$D$2:$AL$2,0))</f>
        <v>33159</v>
      </c>
      <c r="T158" s="301">
        <f>INDEX('Inputs (2)'!$D$22:$AL$22,MATCH(T$7,'Inputs (2)'!$D$2:$AL$2,0))</f>
        <v>33845</v>
      </c>
      <c r="U158" s="301">
        <f>INDEX('Inputs (2)'!$D$22:$AL$22,MATCH(U$7,'Inputs (2)'!$D$2:$AL$2,0))</f>
        <v>34535</v>
      </c>
      <c r="V158" s="301">
        <f>INDEX('Inputs (2)'!$D$22:$AL$22,MATCH(V$7,'Inputs (2)'!$D$2:$AL$2,0))</f>
        <v>35295</v>
      </c>
      <c r="W158" s="268">
        <f>V158</f>
        <v>35295</v>
      </c>
      <c r="X158" s="301">
        <f>INDEX('Inputs (2)'!$D$22:$AL$22,MATCH(X$7,'Inputs (2)'!$D$2:$AL$2,0))</f>
        <v>36197</v>
      </c>
      <c r="Y158" s="301">
        <f>INDEX('Inputs (2)'!$D$22:$AL$22,MATCH(Y$7,'Inputs (2)'!$D$2:$AL$2,0))</f>
        <v>36784</v>
      </c>
      <c r="Z158" s="301">
        <f>INDEX('Inputs (2)'!$D$22:$AL$22,MATCH(Z$7,'Inputs (2)'!$D$2:$AL$2,0))</f>
        <v>37750</v>
      </c>
      <c r="AA158" s="301">
        <f>INDEX('Inputs (2)'!$D$22:$AL$22,MATCH(AA$7,'Inputs (2)'!$D$2:$AL$2,0))</f>
        <v>38514</v>
      </c>
      <c r="AB158" s="268">
        <f>AA158</f>
        <v>38514</v>
      </c>
      <c r="AC158" s="301">
        <f>INDEX('Inputs (2)'!$D$22:$AL$22,MATCH(AC$7,'Inputs (2)'!$D$2:$AL$2,0))</f>
        <v>39200</v>
      </c>
      <c r="AD158" s="301">
        <f>INDEX('Inputs (2)'!$D$22:$AL$22,MATCH(AD$7,'Inputs (2)'!$D$2:$AL$2,0))</f>
        <v>39835</v>
      </c>
      <c r="AE158" s="301">
        <f>INDEX('Inputs (2)'!$D$22:$AL$22,MATCH(AE$7,'Inputs (2)'!$D$2:$AL$2,0))</f>
        <v>40257</v>
      </c>
      <c r="AF158" s="301">
        <f>INDEX('Inputs (2)'!$D$22:$AL$22,MATCH(AF$7,'Inputs (2)'!$D$2:$AL$2,0))</f>
        <v>40736</v>
      </c>
      <c r="AG158" s="268">
        <f>AF158</f>
        <v>40736</v>
      </c>
      <c r="AH158" s="268">
        <f>INDEX('Inputs (2)'!$D$22:$AL$22,MATCH(AH$7,'Inputs (2)'!$D$2:$AL$2,0))</f>
        <v>41101</v>
      </c>
      <c r="AI158" s="268">
        <f>INDEX('Inputs (2)'!$D$22:$AL$22,MATCH(AI$7,'Inputs (2)'!$D$2:$AL$2,0))</f>
        <v>41705</v>
      </c>
      <c r="AJ158" s="268">
        <f>AJ163</f>
        <v>41705</v>
      </c>
      <c r="AK158" s="268">
        <f>AK163</f>
        <v>41705</v>
      </c>
      <c r="AL158" s="268">
        <f>AK158</f>
        <v>41705</v>
      </c>
      <c r="AM158" s="268">
        <f>AM163</f>
        <v>41705</v>
      </c>
      <c r="AN158" s="268">
        <f>AN163</f>
        <v>41705</v>
      </c>
      <c r="AO158" s="268">
        <f>AO163</f>
        <v>41705</v>
      </c>
      <c r="AP158" s="268">
        <f>AP163</f>
        <v>41705</v>
      </c>
      <c r="AQ158" s="268">
        <f>AP158</f>
        <v>41705</v>
      </c>
      <c r="AR158" s="268">
        <f>AR163</f>
        <v>41705</v>
      </c>
      <c r="AS158" s="268">
        <f>AS163</f>
        <v>41705</v>
      </c>
      <c r="AT158" s="268">
        <f>AT163</f>
        <v>41705</v>
      </c>
      <c r="AU158" s="268">
        <f>AU163</f>
        <v>41705</v>
      </c>
      <c r="AV158" s="268">
        <f>AU158</f>
        <v>41705</v>
      </c>
      <c r="AW158" s="268">
        <f>AW163</f>
        <v>41705</v>
      </c>
      <c r="AX158" s="268">
        <f>AX163</f>
        <v>41705</v>
      </c>
      <c r="AY158" s="268">
        <f>AY163</f>
        <v>41705</v>
      </c>
      <c r="AZ158" s="268">
        <f>AZ163</f>
        <v>41705</v>
      </c>
      <c r="BA158" s="268">
        <f>AZ158</f>
        <v>41705</v>
      </c>
      <c r="BB158" s="268">
        <f>BB163</f>
        <v>41705</v>
      </c>
      <c r="BC158" s="268">
        <f>BC163</f>
        <v>41705</v>
      </c>
      <c r="BD158" s="268">
        <f>BD163</f>
        <v>41705</v>
      </c>
      <c r="BE158" s="268">
        <f>BE163</f>
        <v>41705</v>
      </c>
      <c r="BF158" s="268">
        <f>BE158</f>
        <v>41705</v>
      </c>
      <c r="BG158" s="268">
        <f>BG163</f>
        <v>41705</v>
      </c>
      <c r="BH158" s="268">
        <f>BH163</f>
        <v>41705</v>
      </c>
      <c r="BI158" s="268">
        <f>BI163</f>
        <v>41705</v>
      </c>
      <c r="BJ158" s="268">
        <f>BJ163</f>
        <v>41705</v>
      </c>
      <c r="BK158" s="268">
        <f>BJ158</f>
        <v>41705</v>
      </c>
      <c r="BL158" s="268">
        <f>BL163</f>
        <v>41705</v>
      </c>
      <c r="BM158" s="268">
        <f>BM163</f>
        <v>41705</v>
      </c>
      <c r="BN158" s="268">
        <f>BN163</f>
        <v>41705</v>
      </c>
      <c r="BO158" s="268">
        <f>BO163</f>
        <v>41705</v>
      </c>
      <c r="BP158" s="268">
        <f>BO158</f>
        <v>41705</v>
      </c>
      <c r="BQ158" s="268">
        <f>BQ163</f>
        <v>41705</v>
      </c>
      <c r="BR158" s="268">
        <f>BR163</f>
        <v>41705</v>
      </c>
      <c r="BS158" s="268">
        <f>BS163</f>
        <v>41705</v>
      </c>
      <c r="BT158" s="268">
        <f>BT163</f>
        <v>41705</v>
      </c>
      <c r="BU158" s="268">
        <f>BT158</f>
        <v>41705</v>
      </c>
      <c r="BV158" s="268">
        <f>BV163</f>
        <v>41705</v>
      </c>
      <c r="BW158" s="268">
        <f>BW163</f>
        <v>41705</v>
      </c>
      <c r="BX158" s="268">
        <f>BX163</f>
        <v>41705</v>
      </c>
      <c r="BY158" s="268">
        <f>BY163</f>
        <v>41705</v>
      </c>
      <c r="BZ158" s="268">
        <f>BY158</f>
        <v>41705</v>
      </c>
      <c r="CA158" s="268">
        <f>CA163</f>
        <v>41705</v>
      </c>
      <c r="CB158" s="268">
        <f>CB163</f>
        <v>41705</v>
      </c>
      <c r="CC158" s="268">
        <f>CC163</f>
        <v>41705</v>
      </c>
      <c r="CD158" s="268">
        <f>CD163</f>
        <v>41705</v>
      </c>
      <c r="CE158" s="268">
        <f>CD158</f>
        <v>41705</v>
      </c>
      <c r="CF158" s="268">
        <f>CF163</f>
        <v>41705</v>
      </c>
      <c r="CG158" s="268">
        <f>CG163</f>
        <v>41705</v>
      </c>
      <c r="CH158" s="268">
        <f>CH163</f>
        <v>41705</v>
      </c>
      <c r="CI158" s="268">
        <f>CI163</f>
        <v>41705</v>
      </c>
      <c r="CJ158" s="268">
        <f>CI158</f>
        <v>41705</v>
      </c>
      <c r="CK158" s="268">
        <f>CK163</f>
        <v>41705</v>
      </c>
      <c r="CL158" s="268">
        <f>CL163</f>
        <v>41705</v>
      </c>
      <c r="CM158" s="268">
        <f>CM163</f>
        <v>41705</v>
      </c>
      <c r="CN158" s="268">
        <f>CN163</f>
        <v>41705</v>
      </c>
      <c r="CO158" s="268">
        <f>CN158</f>
        <v>41705</v>
      </c>
      <c r="CP158" s="268">
        <f>CP163</f>
        <v>41705</v>
      </c>
      <c r="CQ158" s="268">
        <f>CQ163</f>
        <v>41705</v>
      </c>
      <c r="CR158" s="268">
        <f>CR163</f>
        <v>41705</v>
      </c>
      <c r="CS158" s="268">
        <f>CS163</f>
        <v>41705</v>
      </c>
      <c r="CT158" s="268">
        <f>CS158</f>
        <v>41705</v>
      </c>
      <c r="CU158" s="268">
        <f>CU163</f>
        <v>41705</v>
      </c>
      <c r="CV158" s="268">
        <f>CV163</f>
        <v>41705</v>
      </c>
      <c r="CW158" s="268">
        <f>CW163</f>
        <v>41705</v>
      </c>
      <c r="CX158" s="268">
        <f>CX163</f>
        <v>41705</v>
      </c>
      <c r="CY158" s="268">
        <f>CX158</f>
        <v>41705</v>
      </c>
    </row>
    <row r="159" hidden="1" outlineLevel="1" ht="12.75" customHeight="1" s="255">
      <c r="C159" s="312" t="n"/>
      <c r="D159" s="268" t="n"/>
      <c r="E159" s="268" t="n"/>
      <c r="F159" s="268" t="n"/>
      <c r="G159" s="268" t="n"/>
      <c r="H159" s="268" t="n"/>
      <c r="I159" s="268" t="n"/>
      <c r="J159" s="268" t="n"/>
      <c r="K159" s="268" t="n"/>
      <c r="L159" s="268" t="n"/>
      <c r="M159" s="268" t="n"/>
      <c r="N159" s="268" t="n"/>
      <c r="O159" s="268" t="n"/>
      <c r="P159" s="268" t="n"/>
      <c r="Q159" s="268" t="n"/>
      <c r="R159" s="268" t="n"/>
      <c r="S159" s="268" t="n"/>
      <c r="T159" s="268" t="n"/>
      <c r="U159" s="268" t="n"/>
      <c r="V159" s="268" t="n"/>
      <c r="W159" s="268" t="n"/>
      <c r="X159" s="268" t="n"/>
      <c r="Y159" s="268" t="n"/>
      <c r="Z159" s="268" t="n"/>
      <c r="AA159" s="268" t="n"/>
      <c r="AB159" s="268" t="n"/>
      <c r="AC159" s="268" t="n"/>
      <c r="AD159" s="268" t="n"/>
      <c r="AE159" s="268" t="n"/>
      <c r="AF159" s="268" t="n"/>
      <c r="AG159" s="268" t="n"/>
      <c r="AH159" s="268" t="n"/>
      <c r="AI159" s="268" t="n"/>
      <c r="AJ159" s="268" t="n"/>
      <c r="AK159" s="268" t="n"/>
      <c r="AL159" s="268" t="n"/>
      <c r="AM159" s="268" t="n"/>
      <c r="AN159" s="268" t="n"/>
      <c r="AO159" s="268" t="n"/>
      <c r="AP159" s="268" t="n"/>
      <c r="AQ159" s="268" t="n"/>
      <c r="AR159" s="268" t="n"/>
      <c r="AS159" s="268" t="n"/>
      <c r="AT159" s="268" t="n"/>
      <c r="AU159" s="268" t="n"/>
      <c r="AV159" s="268" t="n"/>
      <c r="AW159" s="268" t="n"/>
      <c r="AX159" s="268" t="n"/>
      <c r="AY159" s="268" t="n"/>
      <c r="AZ159" s="268" t="n"/>
      <c r="BA159" s="268" t="n"/>
      <c r="BB159" s="268" t="n"/>
      <c r="BC159" s="268" t="n"/>
      <c r="BD159" s="268" t="n"/>
      <c r="BE159" s="268" t="n"/>
      <c r="BF159" s="268" t="n"/>
      <c r="BG159" s="268" t="n"/>
      <c r="BH159" s="268" t="n"/>
      <c r="BI159" s="268" t="n"/>
      <c r="BJ159" s="268" t="n"/>
      <c r="BK159" s="268" t="n"/>
      <c r="BL159" s="268" t="n"/>
      <c r="BM159" s="268" t="n"/>
      <c r="BN159" s="268" t="n"/>
      <c r="BO159" s="268" t="n"/>
      <c r="BP159" s="268" t="n"/>
      <c r="BQ159" s="268" t="n"/>
      <c r="BR159" s="268" t="n"/>
      <c r="BS159" s="268" t="n"/>
      <c r="BT159" s="268" t="n"/>
      <c r="BU159" s="268" t="n"/>
      <c r="BV159" s="268" t="n"/>
      <c r="BW159" s="268" t="n"/>
      <c r="BX159" s="268" t="n"/>
      <c r="BY159" s="268" t="n"/>
      <c r="BZ159" s="268" t="n"/>
      <c r="CA159" s="268" t="n"/>
      <c r="CB159" s="268" t="n"/>
      <c r="CC159" s="268" t="n"/>
      <c r="CD159" s="268" t="n"/>
      <c r="CE159" s="268" t="n"/>
      <c r="CF159" s="268" t="n"/>
      <c r="CG159" s="268" t="n"/>
      <c r="CH159" s="268" t="n"/>
      <c r="CI159" s="268" t="n"/>
      <c r="CJ159" s="268" t="n"/>
      <c r="CK159" s="268" t="n"/>
      <c r="CL159" s="268" t="n"/>
      <c r="CM159" s="268" t="n"/>
      <c r="CN159" s="268" t="n"/>
      <c r="CO159" s="268" t="n"/>
      <c r="CP159" s="268" t="n"/>
      <c r="CQ159" s="268" t="n"/>
      <c r="CR159" s="268" t="n"/>
      <c r="CS159" s="268" t="n"/>
      <c r="CT159" s="268" t="n"/>
      <c r="CU159" s="268" t="n"/>
      <c r="CV159" s="268" t="n"/>
      <c r="CW159" s="268" t="n"/>
      <c r="CX159" s="268" t="n"/>
      <c r="CY159" s="268" t="n"/>
    </row>
    <row r="160" hidden="1" outlineLevel="1" ht="12.75" customHeight="1" s="255">
      <c r="C160" s="312" t="inlineStr">
        <is>
          <t>Capital expenditures</t>
        </is>
      </c>
      <c r="D160" s="268" t="n"/>
      <c r="E160" s="268">
        <f>E158-D158-E62</f>
        <v>395</v>
      </c>
      <c r="F160" s="268">
        <f>F158-E158-F62</f>
        <v>369</v>
      </c>
      <c r="G160" s="268">
        <f>G158-F158-G62</f>
        <v>342</v>
      </c>
      <c r="H160" s="268" t="n"/>
      <c r="I160" s="268">
        <f>I158-H158-I62</f>
        <v>376</v>
      </c>
      <c r="J160" s="268">
        <f>J158-I158-J62</f>
        <v>544</v>
      </c>
      <c r="K160" s="268">
        <f>K158-J158-K62</f>
        <v>794</v>
      </c>
      <c r="L160" s="268">
        <f>L158-K158-L62</f>
        <v>811</v>
      </c>
      <c r="M160" s="268" t="n"/>
      <c r="N160" s="268">
        <f>N158-M158-N62</f>
        <v>852</v>
      </c>
      <c r="O160" s="268">
        <f>O158-N158-O62</f>
        <v>999</v>
      </c>
      <c r="P160" s="268">
        <f>P158-O158-P62</f>
        <v>1122</v>
      </c>
      <c r="Q160" s="268">
        <f>Q158-P158-Q62</f>
        <v>1328</v>
      </c>
      <c r="R160" s="268" t="n"/>
      <c r="S160" s="268">
        <f>S158-R158-S62</f>
        <v>931</v>
      </c>
      <c r="T160" s="268">
        <f>T158-S158-T62</f>
        <v>1233</v>
      </c>
      <c r="U160" s="268">
        <f>U158-T158-U62</f>
        <v>1223</v>
      </c>
      <c r="V160" s="268">
        <f>V158-U158-V62</f>
        <v>1349</v>
      </c>
      <c r="W160" s="268" t="n"/>
      <c r="X160" s="268">
        <f>X158-W158-X62</f>
        <v>1497</v>
      </c>
      <c r="Y160" s="268">
        <f>Y158-X158-Y62</f>
        <v>1096</v>
      </c>
      <c r="Z160" s="268">
        <f>Z158-Y158-Z62</f>
        <v>1566</v>
      </c>
      <c r="AA160" s="268">
        <f>AA158-Z158-AA62</f>
        <v>1301</v>
      </c>
      <c r="AB160" s="268" t="n"/>
      <c r="AC160" s="268">
        <f>AC158-AB158-AC62</f>
        <v>1152</v>
      </c>
      <c r="AD160" s="268">
        <f>AD158-AC158-AD62</f>
        <v>1303</v>
      </c>
      <c r="AE160" s="268">
        <f>AE158-AD158-AE62</f>
        <v>1047</v>
      </c>
      <c r="AF160" s="267">
        <f>AF158-AE158-AF62</f>
        <v>964</v>
      </c>
      <c r="AG160" s="268">
        <f>SUM(AC160:AF160)</f>
        <v>4466</v>
      </c>
      <c r="AH160" s="267">
        <f>AH158-AG158-AH62</f>
        <v>879</v>
      </c>
      <c r="AI160" s="267">
        <f>AI158-AH158-AI62</f>
        <v>1127</v>
      </c>
      <c r="AJ160" s="267" t="n"/>
      <c r="AK160" s="267" t="n"/>
      <c r="AL160" s="268" t="n"/>
      <c r="AM160" s="267" t="n"/>
      <c r="AN160" s="267" t="n"/>
      <c r="AO160" s="267" t="n"/>
      <c r="AP160" s="267" t="n"/>
      <c r="AQ160" s="268" t="n"/>
      <c r="AR160" s="267" t="n"/>
      <c r="AS160" s="267" t="n"/>
      <c r="AT160" s="267" t="n"/>
      <c r="AU160" s="267" t="n"/>
      <c r="AV160" s="268" t="n"/>
      <c r="AW160" s="267" t="n"/>
      <c r="AX160" s="267" t="n"/>
      <c r="AY160" s="267" t="n"/>
      <c r="AZ160" s="267" t="n"/>
      <c r="BA160" s="268" t="n"/>
      <c r="BB160" s="267" t="n"/>
      <c r="BC160" s="267" t="n"/>
      <c r="BD160" s="267" t="n"/>
      <c r="BE160" s="267" t="n"/>
      <c r="BF160" s="268" t="n"/>
      <c r="BG160" s="267" t="n"/>
      <c r="BH160" s="267" t="n"/>
      <c r="BI160" s="267" t="n"/>
      <c r="BJ160" s="267" t="n"/>
      <c r="BK160" s="268" t="n"/>
      <c r="BL160" s="267" t="n"/>
      <c r="BM160" s="267" t="n"/>
      <c r="BN160" s="267" t="n"/>
      <c r="BO160" s="267" t="n"/>
      <c r="BP160" s="268" t="n"/>
      <c r="BQ160" s="267" t="n"/>
      <c r="BR160" s="267" t="n"/>
      <c r="BS160" s="267" t="n"/>
      <c r="BT160" s="267" t="n"/>
      <c r="BU160" s="268" t="n"/>
      <c r="BV160" s="267" t="n"/>
      <c r="BW160" s="267" t="n"/>
      <c r="BX160" s="267" t="n"/>
      <c r="BY160" s="267" t="n"/>
      <c r="BZ160" s="268" t="n"/>
      <c r="CA160" s="267" t="n"/>
      <c r="CB160" s="267" t="n"/>
      <c r="CC160" s="267" t="n"/>
      <c r="CD160" s="267" t="n"/>
      <c r="CE160" s="268" t="n"/>
      <c r="CF160" s="267" t="n"/>
      <c r="CG160" s="267" t="n"/>
      <c r="CH160" s="267" t="n"/>
      <c r="CI160" s="267" t="n"/>
      <c r="CJ160" s="268" t="n"/>
      <c r="CK160" s="267" t="n"/>
      <c r="CL160" s="267" t="n"/>
      <c r="CM160" s="267" t="n"/>
      <c r="CN160" s="267" t="n"/>
      <c r="CO160" s="268" t="n"/>
      <c r="CP160" s="267" t="n"/>
      <c r="CQ160" s="267" t="n"/>
      <c r="CR160" s="267" t="n"/>
      <c r="CS160" s="267" t="n"/>
      <c r="CT160" s="268" t="n"/>
      <c r="CU160" s="267" t="n"/>
      <c r="CV160" s="267" t="n"/>
      <c r="CW160" s="267" t="n"/>
      <c r="CX160" s="267" t="n"/>
      <c r="CY160" s="268" t="n"/>
    </row>
    <row r="161" hidden="1" outlineLevel="1" ht="12.75" customHeight="1" s="255">
      <c r="C161" s="312" t="inlineStr">
        <is>
          <t>Recurring asset sales (enter as -)</t>
        </is>
      </c>
      <c r="D161" s="268" t="n"/>
      <c r="E161" s="268" t="n"/>
      <c r="F161" s="268" t="n"/>
      <c r="G161" s="268" t="n"/>
      <c r="H161" s="268">
        <f>SUM(D161:G161)</f>
        <v>0</v>
      </c>
      <c r="I161" s="268" t="n"/>
      <c r="J161" s="268" t="n"/>
      <c r="K161" s="268" t="n"/>
      <c r="L161" s="268" t="n"/>
      <c r="M161" s="268">
        <f>SUM(I161:L161)</f>
        <v>0</v>
      </c>
      <c r="N161" s="268" t="n"/>
      <c r="O161" s="268" t="n"/>
      <c r="P161" s="268" t="n"/>
      <c r="Q161" s="268" t="n"/>
      <c r="R161" s="268">
        <f>SUM(N161:Q161)</f>
        <v>0</v>
      </c>
      <c r="S161" s="268" t="n"/>
      <c r="T161" s="268" t="n"/>
      <c r="U161" s="268" t="n"/>
      <c r="V161" s="268" t="n"/>
      <c r="W161" s="268">
        <f>SUM(S161:V161)</f>
        <v>0</v>
      </c>
      <c r="X161" s="268" t="n"/>
      <c r="Y161" s="268" t="n"/>
      <c r="Z161" s="268" t="n"/>
      <c r="AA161" s="268" t="n"/>
      <c r="AB161" s="268">
        <f>SUM(X161:AA161)</f>
        <v>0</v>
      </c>
      <c r="AC161" s="268" t="n"/>
      <c r="AD161" s="268" t="n"/>
      <c r="AE161" s="268" t="n"/>
      <c r="AF161" s="267" t="n"/>
      <c r="AG161" s="268" t="n"/>
      <c r="AH161" s="267" t="n"/>
      <c r="AI161" s="267" t="n"/>
      <c r="AJ161" s="267" t="n"/>
      <c r="AK161" s="267" t="n"/>
      <c r="AL161" s="268" t="n"/>
      <c r="AM161" s="267" t="n"/>
      <c r="AN161" s="267" t="n"/>
      <c r="AO161" s="267" t="n"/>
      <c r="AP161" s="267" t="n"/>
      <c r="AQ161" s="268" t="n"/>
      <c r="AR161" s="267" t="n"/>
      <c r="AS161" s="267" t="n"/>
      <c r="AT161" s="267" t="n"/>
      <c r="AU161" s="267" t="n"/>
      <c r="AV161" s="268" t="n"/>
      <c r="AW161" s="267" t="n"/>
      <c r="AX161" s="267" t="n"/>
      <c r="AY161" s="267" t="n"/>
      <c r="AZ161" s="267" t="n"/>
      <c r="BA161" s="268" t="n"/>
      <c r="BB161" s="267" t="n"/>
      <c r="BC161" s="267" t="n"/>
      <c r="BD161" s="267" t="n"/>
      <c r="BE161" s="267" t="n"/>
      <c r="BF161" s="268" t="n"/>
      <c r="BG161" s="267" t="n"/>
      <c r="BH161" s="267" t="n"/>
      <c r="BI161" s="267" t="n"/>
      <c r="BJ161" s="267" t="n"/>
      <c r="BK161" s="268" t="n"/>
      <c r="BL161" s="267" t="n"/>
      <c r="BM161" s="267" t="n"/>
      <c r="BN161" s="267" t="n"/>
      <c r="BO161" s="267" t="n"/>
      <c r="BP161" s="268" t="n"/>
      <c r="BQ161" s="267" t="n"/>
      <c r="BR161" s="267" t="n"/>
      <c r="BS161" s="267" t="n"/>
      <c r="BT161" s="267" t="n"/>
      <c r="BU161" s="268" t="n"/>
      <c r="BV161" s="267" t="n"/>
      <c r="BW161" s="267" t="n"/>
      <c r="BX161" s="267" t="n"/>
      <c r="BY161" s="267" t="n"/>
      <c r="BZ161" s="268" t="n"/>
      <c r="CA161" s="267" t="n"/>
      <c r="CB161" s="267" t="n"/>
      <c r="CC161" s="267" t="n"/>
      <c r="CD161" s="267" t="n"/>
      <c r="CE161" s="268" t="n"/>
      <c r="CF161" s="267" t="n"/>
      <c r="CG161" s="267" t="n"/>
      <c r="CH161" s="267" t="n"/>
      <c r="CI161" s="267" t="n"/>
      <c r="CJ161" s="268" t="n"/>
      <c r="CK161" s="267" t="n"/>
      <c r="CL161" s="267" t="n"/>
      <c r="CM161" s="267" t="n"/>
      <c r="CN161" s="267" t="n"/>
      <c r="CO161" s="268" t="n"/>
      <c r="CP161" s="267" t="n"/>
      <c r="CQ161" s="267" t="n"/>
      <c r="CR161" s="267" t="n"/>
      <c r="CS161" s="267" t="n"/>
      <c r="CT161" s="268" t="n"/>
      <c r="CU161" s="267" t="n"/>
      <c r="CV161" s="267" t="n"/>
      <c r="CW161" s="267" t="n"/>
      <c r="CX161" s="267" t="n"/>
      <c r="CY161" s="268" t="n"/>
    </row>
    <row r="162" hidden="1" outlineLevel="1" ht="12.75" customHeight="1" s="255">
      <c r="C162" s="312" t="inlineStr">
        <is>
          <t>Depreciation</t>
        </is>
      </c>
      <c r="D162" s="268">
        <f>D62</f>
        <v>-341</v>
      </c>
      <c r="E162" s="268">
        <f>E62</f>
        <v>-358</v>
      </c>
      <c r="F162" s="268">
        <f>F62</f>
        <v>-394</v>
      </c>
      <c r="G162" s="268">
        <f>G62</f>
        <v>-435</v>
      </c>
      <c r="H162" s="268" t="n"/>
      <c r="I162" s="268">
        <f>I62</f>
        <v>-419</v>
      </c>
      <c r="J162" s="268">
        <f>J62</f>
        <v>-483</v>
      </c>
      <c r="K162" s="268">
        <f>K62</f>
        <v>-528</v>
      </c>
      <c r="L162" s="268">
        <f>L62</f>
        <v>-568</v>
      </c>
      <c r="M162" s="268" t="n"/>
      <c r="N162" s="268">
        <f>N62</f>
        <v>-489</v>
      </c>
      <c r="O162" s="268">
        <f>O62</f>
        <v>-507</v>
      </c>
      <c r="P162" s="268">
        <f>P62</f>
        <v>-508</v>
      </c>
      <c r="Q162" s="268">
        <f>Q62</f>
        <v>-515</v>
      </c>
      <c r="R162" s="268" t="n"/>
      <c r="S162" s="268">
        <f>S62</f>
        <v>-399</v>
      </c>
      <c r="T162" s="268">
        <f>T62</f>
        <v>-547</v>
      </c>
      <c r="U162" s="268">
        <f>U62</f>
        <v>-533</v>
      </c>
      <c r="V162" s="268">
        <f>V62</f>
        <v>-589</v>
      </c>
      <c r="W162" s="268" t="n"/>
      <c r="X162" s="268">
        <f>X62</f>
        <v>-595</v>
      </c>
      <c r="Y162" s="268">
        <f>Y62</f>
        <v>-509</v>
      </c>
      <c r="Z162" s="268">
        <f>Z62</f>
        <v>-600</v>
      </c>
      <c r="AA162" s="268">
        <f>AA62</f>
        <v>-537</v>
      </c>
      <c r="AB162" s="268" t="n"/>
      <c r="AC162" s="268">
        <f>AC62</f>
        <v>-466</v>
      </c>
      <c r="AD162" s="268">
        <f>AD62</f>
        <v>-668</v>
      </c>
      <c r="AE162" s="268">
        <f>AE62</f>
        <v>-625</v>
      </c>
      <c r="AF162" s="268">
        <f>AF62</f>
        <v>-485</v>
      </c>
      <c r="AG162" s="268" t="n"/>
      <c r="AH162" s="268">
        <f>AH62</f>
        <v>-514</v>
      </c>
      <c r="AI162" s="268">
        <f>AI62</f>
        <v>-523</v>
      </c>
      <c r="AJ162" s="268">
        <f>AJ62</f>
        <v>0</v>
      </c>
      <c r="AK162" s="268">
        <f>AK62</f>
        <v>0</v>
      </c>
      <c r="AL162" s="268" t="n"/>
      <c r="AM162" s="268">
        <f>AM62</f>
        <v>0</v>
      </c>
      <c r="AN162" s="268">
        <f>AN62</f>
        <v>0</v>
      </c>
      <c r="AO162" s="268">
        <f>AO62</f>
        <v>0</v>
      </c>
      <c r="AP162" s="268">
        <f>AP62</f>
        <v>0</v>
      </c>
      <c r="AQ162" s="268" t="n"/>
      <c r="AR162" s="268">
        <f>AR62</f>
        <v>0</v>
      </c>
      <c r="AS162" s="268">
        <f>AS62</f>
        <v>0</v>
      </c>
      <c r="AT162" s="268">
        <f>AT62</f>
        <v>0</v>
      </c>
      <c r="AU162" s="268">
        <f>AU62</f>
        <v>0</v>
      </c>
      <c r="AV162" s="268" t="n"/>
      <c r="AW162" s="268">
        <f>AW62</f>
        <v>0</v>
      </c>
      <c r="AX162" s="268">
        <f>AX62</f>
        <v>0</v>
      </c>
      <c r="AY162" s="268">
        <f>AY62</f>
        <v>0</v>
      </c>
      <c r="AZ162" s="268">
        <f>AZ62</f>
        <v>0</v>
      </c>
      <c r="BA162" s="268" t="n"/>
      <c r="BB162" s="268">
        <f>BB62</f>
        <v>0</v>
      </c>
      <c r="BC162" s="268">
        <f>BC62</f>
        <v>0</v>
      </c>
      <c r="BD162" s="268">
        <f>BD62</f>
        <v>0</v>
      </c>
      <c r="BE162" s="268">
        <f>BE62</f>
        <v>0</v>
      </c>
      <c r="BF162" s="268" t="n"/>
      <c r="BG162" s="268">
        <f>BG62</f>
        <v>0</v>
      </c>
      <c r="BH162" s="268">
        <f>BH62</f>
        <v>0</v>
      </c>
      <c r="BI162" s="268">
        <f>BI62</f>
        <v>0</v>
      </c>
      <c r="BJ162" s="268">
        <f>BJ62</f>
        <v>0</v>
      </c>
      <c r="BK162" s="268" t="n"/>
      <c r="BL162" s="268">
        <f>BL62</f>
        <v>0</v>
      </c>
      <c r="BM162" s="268">
        <f>BM62</f>
        <v>0</v>
      </c>
      <c r="BN162" s="268">
        <f>BN62</f>
        <v>0</v>
      </c>
      <c r="BO162" s="268">
        <f>BO62</f>
        <v>0</v>
      </c>
      <c r="BP162" s="268" t="n"/>
      <c r="BQ162" s="268">
        <f>BQ62</f>
        <v>0</v>
      </c>
      <c r="BR162" s="268">
        <f>BR62</f>
        <v>0</v>
      </c>
      <c r="BS162" s="268">
        <f>BS62</f>
        <v>0</v>
      </c>
      <c r="BT162" s="268">
        <f>BT62</f>
        <v>0</v>
      </c>
      <c r="BU162" s="268" t="n"/>
      <c r="BV162" s="268">
        <f>BV62</f>
        <v>0</v>
      </c>
      <c r="BW162" s="268">
        <f>BW62</f>
        <v>0</v>
      </c>
      <c r="BX162" s="268">
        <f>BX62</f>
        <v>0</v>
      </c>
      <c r="BY162" s="268">
        <f>BY62</f>
        <v>0</v>
      </c>
      <c r="BZ162" s="268" t="n"/>
      <c r="CA162" s="268">
        <f>CA62</f>
        <v>0</v>
      </c>
      <c r="CB162" s="268">
        <f>CB62</f>
        <v>0</v>
      </c>
      <c r="CC162" s="268">
        <f>CC62</f>
        <v>0</v>
      </c>
      <c r="CD162" s="268">
        <f>CD62</f>
        <v>0</v>
      </c>
      <c r="CE162" s="268" t="n"/>
      <c r="CF162" s="268">
        <f>CF62</f>
        <v>0</v>
      </c>
      <c r="CG162" s="268">
        <f>CG62</f>
        <v>0</v>
      </c>
      <c r="CH162" s="268">
        <f>CH62</f>
        <v>0</v>
      </c>
      <c r="CI162" s="268">
        <f>CI62</f>
        <v>0</v>
      </c>
      <c r="CJ162" s="268" t="n"/>
      <c r="CK162" s="268">
        <f>CK62</f>
        <v>0</v>
      </c>
      <c r="CL162" s="268">
        <f>CL62</f>
        <v>0</v>
      </c>
      <c r="CM162" s="268">
        <f>CM62</f>
        <v>0</v>
      </c>
      <c r="CN162" s="268">
        <f>CN62</f>
        <v>0</v>
      </c>
      <c r="CO162" s="268" t="n"/>
      <c r="CP162" s="268">
        <f>CP62</f>
        <v>0</v>
      </c>
      <c r="CQ162" s="268">
        <f>CQ62</f>
        <v>0</v>
      </c>
      <c r="CR162" s="268">
        <f>CR62</f>
        <v>0</v>
      </c>
      <c r="CS162" s="268">
        <f>CS62</f>
        <v>0</v>
      </c>
      <c r="CT162" s="268" t="n"/>
      <c r="CU162" s="268">
        <f>CU62</f>
        <v>0</v>
      </c>
      <c r="CV162" s="268">
        <f>CV62</f>
        <v>0</v>
      </c>
      <c r="CW162" s="268">
        <f>CW62</f>
        <v>0</v>
      </c>
      <c r="CX162" s="268">
        <f>CX62</f>
        <v>0</v>
      </c>
      <c r="CY162" s="268" t="n"/>
    </row>
    <row r="163" hidden="1" outlineLevel="1" ht="12.75" customHeight="1" s="255">
      <c r="C163" s="312" t="inlineStr">
        <is>
          <t>PP&amp;E</t>
        </is>
      </c>
      <c r="D163" s="268">
        <f>D158</f>
        <v>29899</v>
      </c>
      <c r="E163" s="268">
        <f>E158</f>
        <v>29936</v>
      </c>
      <c r="F163" s="268">
        <f>F158</f>
        <v>29911</v>
      </c>
      <c r="G163" s="268">
        <f>G158</f>
        <v>29818</v>
      </c>
      <c r="H163" s="268" t="n"/>
      <c r="I163" s="268">
        <f>I158</f>
        <v>29775</v>
      </c>
      <c r="J163" s="268">
        <f>J158</f>
        <v>29836</v>
      </c>
      <c r="K163" s="268">
        <f>K158</f>
        <v>30102</v>
      </c>
      <c r="L163" s="268">
        <f>L158</f>
        <v>30345</v>
      </c>
      <c r="M163" s="268" t="n"/>
      <c r="N163" s="268">
        <f>N158</f>
        <v>30708</v>
      </c>
      <c r="O163" s="268">
        <f>O158</f>
        <v>31200</v>
      </c>
      <c r="P163" s="268">
        <f>P158</f>
        <v>31814</v>
      </c>
      <c r="Q163" s="268">
        <f>Q158</f>
        <v>32627</v>
      </c>
      <c r="R163" s="268" t="n"/>
      <c r="S163" s="268">
        <f>S158</f>
        <v>33159</v>
      </c>
      <c r="T163" s="268">
        <f>T158</f>
        <v>33845</v>
      </c>
      <c r="U163" s="268">
        <f>U158</f>
        <v>34535</v>
      </c>
      <c r="V163" s="268">
        <f>V158</f>
        <v>35295</v>
      </c>
      <c r="W163" s="268" t="n"/>
      <c r="X163" s="268">
        <f>X158</f>
        <v>36197</v>
      </c>
      <c r="Y163" s="268">
        <f>Y158</f>
        <v>36784</v>
      </c>
      <c r="Z163" s="268">
        <f>Z158</f>
        <v>37750</v>
      </c>
      <c r="AA163" s="268">
        <f>Y163+SUM(AA160:AA162)</f>
        <v>37548</v>
      </c>
      <c r="AB163" s="268" t="n"/>
      <c r="AC163" s="268">
        <f>AC158</f>
        <v>39200</v>
      </c>
      <c r="AD163" s="268">
        <f>AD158</f>
        <v>39835</v>
      </c>
      <c r="AE163" s="268">
        <f>AE158</f>
        <v>40257</v>
      </c>
      <c r="AF163" s="268">
        <f>AE163+SUM(AF160:AF162)</f>
        <v>40736</v>
      </c>
      <c r="AG163" s="268" t="n"/>
      <c r="AH163" s="268">
        <f>AH158</f>
        <v>41101</v>
      </c>
      <c r="AI163" s="268">
        <f>AI158</f>
        <v>41705</v>
      </c>
      <c r="AJ163" s="268">
        <f>AI163+SUM(AJ160:AJ162)</f>
        <v>41705</v>
      </c>
      <c r="AK163" s="268">
        <f>AJ163+SUM(AK160:AK162)</f>
        <v>41705</v>
      </c>
      <c r="AL163" s="268" t="n"/>
      <c r="AM163" s="268">
        <f>AK163+SUM(AM160:AM162)</f>
        <v>41705</v>
      </c>
      <c r="AN163" s="268">
        <f>AM163+SUM(AN160:AN162)</f>
        <v>41705</v>
      </c>
      <c r="AO163" s="268">
        <f>AN163+SUM(AO160:AO162)</f>
        <v>41705</v>
      </c>
      <c r="AP163" s="268">
        <f>AO163+SUM(AP160:AP162)</f>
        <v>41705</v>
      </c>
      <c r="AQ163" s="268" t="n"/>
      <c r="AR163" s="268">
        <f>AP163+SUM(AR160:AR162)</f>
        <v>41705</v>
      </c>
      <c r="AS163" s="268">
        <f>AR163+SUM(AS160:AS162)</f>
        <v>41705</v>
      </c>
      <c r="AT163" s="268">
        <f>AS163+SUM(AT160:AT162)</f>
        <v>41705</v>
      </c>
      <c r="AU163" s="268">
        <f>AT163+SUM(AU160:AU162)</f>
        <v>41705</v>
      </c>
      <c r="AV163" s="268" t="n"/>
      <c r="AW163" s="268">
        <f>AU163+SUM(AW160:AW162)</f>
        <v>41705</v>
      </c>
      <c r="AX163" s="268">
        <f>AW163+SUM(AX160:AX162)</f>
        <v>41705</v>
      </c>
      <c r="AY163" s="268">
        <f>AX163+SUM(AY160:AY162)</f>
        <v>41705</v>
      </c>
      <c r="AZ163" s="268">
        <f>AY163+SUM(AZ160:AZ162)</f>
        <v>41705</v>
      </c>
      <c r="BA163" s="268" t="n"/>
      <c r="BB163" s="268">
        <f>AZ163+SUM(BB160:BB162)</f>
        <v>41705</v>
      </c>
      <c r="BC163" s="268">
        <f>BB163+SUM(BC160:BC162)</f>
        <v>41705</v>
      </c>
      <c r="BD163" s="268">
        <f>BC163+SUM(BD160:BD162)</f>
        <v>41705</v>
      </c>
      <c r="BE163" s="268">
        <f>BD163+SUM(BE160:BE162)</f>
        <v>41705</v>
      </c>
      <c r="BF163" s="268" t="n"/>
      <c r="BG163" s="268">
        <f>BE163+SUM(BG160:BG162)</f>
        <v>41705</v>
      </c>
      <c r="BH163" s="268">
        <f>BG163+SUM(BH160:BH162)</f>
        <v>41705</v>
      </c>
      <c r="BI163" s="268">
        <f>BH163+SUM(BI160:BI162)</f>
        <v>41705</v>
      </c>
      <c r="BJ163" s="268">
        <f>BI163+SUM(BJ160:BJ162)</f>
        <v>41705</v>
      </c>
      <c r="BK163" s="268" t="n"/>
      <c r="BL163" s="268">
        <f>BJ163+SUM(BL160:BL162)</f>
        <v>41705</v>
      </c>
      <c r="BM163" s="268">
        <f>BL163+SUM(BM160:BM162)</f>
        <v>41705</v>
      </c>
      <c r="BN163" s="268">
        <f>BM163+SUM(BN160:BN162)</f>
        <v>41705</v>
      </c>
      <c r="BO163" s="268">
        <f>BN163+SUM(BO160:BO162)</f>
        <v>41705</v>
      </c>
      <c r="BP163" s="268" t="n"/>
      <c r="BQ163" s="268">
        <f>BO163+SUM(BQ160:BQ162)</f>
        <v>41705</v>
      </c>
      <c r="BR163" s="268">
        <f>BQ163+SUM(BR160:BR162)</f>
        <v>41705</v>
      </c>
      <c r="BS163" s="268">
        <f>BR163+SUM(BS160:BS162)</f>
        <v>41705</v>
      </c>
      <c r="BT163" s="268">
        <f>BS163+SUM(BT160:BT162)</f>
        <v>41705</v>
      </c>
      <c r="BU163" s="268" t="n"/>
      <c r="BV163" s="268">
        <f>BT163+SUM(BV160:BV162)</f>
        <v>41705</v>
      </c>
      <c r="BW163" s="268">
        <f>BV163+SUM(BW160:BW162)</f>
        <v>41705</v>
      </c>
      <c r="BX163" s="268">
        <f>BW163+SUM(BX160:BX162)</f>
        <v>41705</v>
      </c>
      <c r="BY163" s="268">
        <f>BX163+SUM(BY160:BY162)</f>
        <v>41705</v>
      </c>
      <c r="BZ163" s="268" t="n"/>
      <c r="CA163" s="268">
        <f>BY163+SUM(CA160:CA162)</f>
        <v>41705</v>
      </c>
      <c r="CB163" s="268">
        <f>CA163+SUM(CB160:CB162)</f>
        <v>41705</v>
      </c>
      <c r="CC163" s="268">
        <f>CB163+SUM(CC160:CC162)</f>
        <v>41705</v>
      </c>
      <c r="CD163" s="268">
        <f>CC163+SUM(CD160:CD162)</f>
        <v>41705</v>
      </c>
      <c r="CE163" s="268" t="n"/>
      <c r="CF163" s="268">
        <f>CD163+SUM(CF160:CF162)</f>
        <v>41705</v>
      </c>
      <c r="CG163" s="268">
        <f>CF163+SUM(CG160:CG162)</f>
        <v>41705</v>
      </c>
      <c r="CH163" s="268">
        <f>CG163+SUM(CH160:CH162)</f>
        <v>41705</v>
      </c>
      <c r="CI163" s="268">
        <f>CH163+SUM(CI160:CI162)</f>
        <v>41705</v>
      </c>
      <c r="CJ163" s="268" t="n"/>
      <c r="CK163" s="268">
        <f>CI163+SUM(CK160:CK162)</f>
        <v>41705</v>
      </c>
      <c r="CL163" s="268">
        <f>CK163+SUM(CL160:CL162)</f>
        <v>41705</v>
      </c>
      <c r="CM163" s="268">
        <f>CL163+SUM(CM160:CM162)</f>
        <v>41705</v>
      </c>
      <c r="CN163" s="268">
        <f>CM163+SUM(CN160:CN162)</f>
        <v>41705</v>
      </c>
      <c r="CO163" s="268" t="n"/>
      <c r="CP163" s="268">
        <f>CN163+SUM(CP160:CP162)</f>
        <v>41705</v>
      </c>
      <c r="CQ163" s="268">
        <f>CP163+SUM(CQ160:CQ162)</f>
        <v>41705</v>
      </c>
      <c r="CR163" s="268">
        <f>CQ163+SUM(CR160:CR162)</f>
        <v>41705</v>
      </c>
      <c r="CS163" s="268">
        <f>CR163+SUM(CS160:CS162)</f>
        <v>41705</v>
      </c>
      <c r="CT163" s="268" t="n"/>
      <c r="CU163" s="268">
        <f>CS163+SUM(CU160:CU162)</f>
        <v>41705</v>
      </c>
      <c r="CV163" s="268">
        <f>CU163+SUM(CV160:CV162)</f>
        <v>41705</v>
      </c>
      <c r="CW163" s="268">
        <f>CV163+SUM(CW160:CW162)</f>
        <v>41705</v>
      </c>
      <c r="CX163" s="268">
        <f>CW163+SUM(CX160:CX162)</f>
        <v>41705</v>
      </c>
      <c r="CY163" s="268" t="n"/>
      <c r="CZ163" s="260">
        <f>CX163+SUM(CZ160:CZ162)</f>
        <v>41705</v>
      </c>
      <c r="DA163" s="260">
        <f>CZ163+SUM(DA160:DA162)</f>
        <v>41705</v>
      </c>
      <c r="DB163" s="260">
        <f>DA163+SUM(DB160:DB162)</f>
        <v>41705</v>
      </c>
      <c r="DC163" s="260">
        <f>DB163+SUM(DC160:DC162)</f>
        <v>41705</v>
      </c>
    </row>
    <row r="164" hidden="1" outlineLevel="1" ht="12.75" customHeight="1" s="255">
      <c r="C164" s="312" t="n"/>
      <c r="D164" s="268" t="n"/>
      <c r="E164" s="268" t="n"/>
      <c r="F164" s="268" t="n"/>
      <c r="G164" s="268" t="n"/>
      <c r="H164" s="268" t="n"/>
      <c r="I164" s="268" t="n"/>
      <c r="J164" s="268" t="n"/>
      <c r="K164" s="268" t="n"/>
      <c r="L164" s="268" t="n"/>
      <c r="M164" s="268" t="n"/>
      <c r="N164" s="268" t="n"/>
      <c r="O164" s="268" t="n"/>
      <c r="P164" s="268" t="n"/>
      <c r="Q164" s="268" t="n"/>
      <c r="R164" s="268" t="n"/>
      <c r="S164" s="268" t="n"/>
      <c r="T164" s="268" t="n"/>
      <c r="U164" s="268" t="n"/>
      <c r="V164" s="268" t="n"/>
      <c r="W164" s="268" t="n"/>
      <c r="X164" s="268" t="n"/>
      <c r="Y164" s="268" t="n"/>
      <c r="Z164" s="268" t="n"/>
      <c r="AA164" s="268" t="n"/>
      <c r="AB164" s="268" t="n"/>
      <c r="AC164" s="268" t="n"/>
      <c r="AD164" s="268" t="n"/>
      <c r="AE164" s="268" t="n"/>
      <c r="AF164" s="268" t="n"/>
      <c r="AG164" s="268" t="n"/>
      <c r="AH164" s="268" t="n"/>
      <c r="AI164" s="268" t="n"/>
      <c r="AJ164" s="268" t="n"/>
      <c r="AK164" s="268" t="n"/>
      <c r="AL164" s="268" t="n"/>
      <c r="AM164" s="268" t="n"/>
      <c r="AN164" s="268" t="n"/>
      <c r="AO164" s="268" t="n"/>
      <c r="AP164" s="268" t="n"/>
      <c r="AQ164" s="268" t="n"/>
      <c r="AR164" s="268" t="n"/>
      <c r="AS164" s="268" t="n"/>
      <c r="AT164" s="268" t="n"/>
      <c r="AU164" s="268" t="n"/>
      <c r="AV164" s="268" t="n"/>
      <c r="AW164" s="268" t="n"/>
      <c r="AX164" s="268" t="n"/>
      <c r="AY164" s="268" t="n"/>
      <c r="AZ164" s="268" t="n"/>
      <c r="BA164" s="268" t="n"/>
      <c r="BB164" s="268" t="n"/>
      <c r="BC164" s="268" t="n"/>
      <c r="BD164" s="268" t="n"/>
      <c r="BE164" s="268" t="n"/>
      <c r="BF164" s="268" t="n"/>
      <c r="BG164" s="268" t="n"/>
      <c r="BH164" s="268" t="n"/>
      <c r="BI164" s="268" t="n"/>
      <c r="BJ164" s="268" t="n"/>
      <c r="BK164" s="268" t="n"/>
      <c r="BL164" s="268" t="n"/>
      <c r="BM164" s="268" t="n"/>
      <c r="BN164" s="268" t="n"/>
      <c r="BO164" s="268" t="n"/>
      <c r="BP164" s="268" t="n"/>
      <c r="BQ164" s="268" t="n"/>
      <c r="BR164" s="268" t="n"/>
      <c r="BS164" s="268" t="n"/>
      <c r="BT164" s="268" t="n"/>
      <c r="BU164" s="268" t="n"/>
      <c r="BV164" s="268" t="n"/>
      <c r="BW164" s="268" t="n"/>
      <c r="BX164" s="268" t="n"/>
      <c r="BY164" s="268" t="n"/>
      <c r="BZ164" s="268" t="n"/>
      <c r="CA164" s="268" t="n"/>
      <c r="CB164" s="268" t="n"/>
      <c r="CC164" s="268" t="n"/>
      <c r="CD164" s="268" t="n"/>
      <c r="CE164" s="268" t="n"/>
      <c r="CF164" s="268" t="n"/>
      <c r="CG164" s="268" t="n"/>
      <c r="CH164" s="268" t="n"/>
      <c r="CI164" s="268" t="n"/>
      <c r="CJ164" s="268" t="n"/>
      <c r="CK164" s="268" t="n"/>
      <c r="CL164" s="268" t="n"/>
      <c r="CM164" s="268" t="n"/>
      <c r="CN164" s="268" t="n"/>
      <c r="CO164" s="268" t="n"/>
      <c r="CP164" s="268" t="n"/>
      <c r="CQ164" s="268" t="n"/>
      <c r="CR164" s="268" t="n"/>
      <c r="CS164" s="268" t="n"/>
      <c r="CT164" s="268" t="n"/>
      <c r="CU164" s="268" t="n"/>
      <c r="CV164" s="268" t="n"/>
      <c r="CW164" s="268" t="n"/>
      <c r="CX164" s="268" t="n"/>
      <c r="CY164" s="268" t="n"/>
    </row>
    <row r="165" hidden="1" outlineLevel="1" ht="12.75" customHeight="1" s="255">
      <c r="C165" s="312" t="inlineStr">
        <is>
          <t>Capital expenditures (% Net Revenues)</t>
        </is>
      </c>
      <c r="D165" s="268" t="n"/>
      <c r="E165" s="268" t="n"/>
      <c r="F165" s="268" t="n"/>
      <c r="G165" s="268" t="n"/>
      <c r="H165" s="268" t="n"/>
      <c r="I165" s="268" t="n"/>
      <c r="J165" s="268" t="n"/>
      <c r="K165" s="268" t="n"/>
      <c r="L165" s="268" t="n"/>
      <c r="M165" s="268" t="n"/>
      <c r="N165" s="268" t="n"/>
      <c r="O165" s="268" t="n"/>
      <c r="P165" s="268" t="n"/>
      <c r="Q165" s="268" t="n"/>
      <c r="R165" s="268" t="n"/>
      <c r="S165" s="268" t="n"/>
      <c r="T165" s="268" t="n"/>
      <c r="U165" s="268" t="n"/>
      <c r="V165" s="268" t="n"/>
      <c r="W165" s="268" t="n"/>
      <c r="X165" s="268" t="n"/>
      <c r="Y165" s="268" t="n"/>
      <c r="Z165" s="268" t="n"/>
      <c r="AA165" s="268" t="n"/>
      <c r="AB165" s="268" t="n"/>
      <c r="AC165" s="268" t="n"/>
      <c r="AD165" s="268" t="n"/>
      <c r="AE165" s="268" t="n"/>
      <c r="AF165" s="313">
        <f>AF160/AF15</f>
        <v>0.171134386650098</v>
      </c>
      <c r="AG165" s="313">
        <f>AG160/AG15</f>
        <v>0.17233262589234</v>
      </c>
      <c r="AH165" s="313">
        <f>AH160/AH15</f>
        <v>0.141000962463908</v>
      </c>
      <c r="AI165" s="313">
        <f>AI160/AI15</f>
        <v>0.160335751885048</v>
      </c>
      <c r="AJ165" s="313">
        <f>AJ160/AJ15</f>
        <v>0</v>
      </c>
      <c r="AK165" s="313">
        <f>AK160/AK15</f>
        <v>0</v>
      </c>
      <c r="AL165" s="313">
        <f>AL160/AL15</f>
        <v>0</v>
      </c>
      <c r="AM165" s="313">
        <f>AM160/AM15</f>
        <v>0</v>
      </c>
      <c r="AN165" s="313">
        <f>AN160/AN15</f>
        <v>0</v>
      </c>
      <c r="AO165" s="313">
        <f>AO160/AO15</f>
        <v>0</v>
      </c>
      <c r="AP165" s="313">
        <f>AP160/AP15</f>
        <v>0</v>
      </c>
      <c r="AQ165" s="313">
        <f>AQ160/AQ15</f>
        <v>0</v>
      </c>
      <c r="AR165" s="313">
        <f>AR160/AR15</f>
        <v>0</v>
      </c>
      <c r="AS165" s="313">
        <f>AS160/AS15</f>
        <v>0</v>
      </c>
      <c r="AT165" s="313">
        <f>AT160/AT15</f>
        <v>0</v>
      </c>
      <c r="AU165" s="313">
        <f>AU160/AU15</f>
        <v>0</v>
      </c>
      <c r="AV165" s="313">
        <f>AV160/AV15</f>
        <v>0</v>
      </c>
      <c r="AW165" s="313">
        <f>AW160/AW15</f>
        <v>0</v>
      </c>
      <c r="AX165" s="313">
        <f>AX160/AX15</f>
        <v>0</v>
      </c>
      <c r="AY165" s="313">
        <f>AY160/AY15</f>
        <v>0</v>
      </c>
      <c r="AZ165" s="313">
        <f>AZ160/AZ15</f>
        <v>0</v>
      </c>
      <c r="BA165" s="313">
        <f>BA160/BA15</f>
        <v>0</v>
      </c>
      <c r="BB165" s="313">
        <f>BB160/BB15</f>
        <v>0</v>
      </c>
      <c r="BC165" s="313">
        <f>BC160/BC15</f>
        <v>0</v>
      </c>
      <c r="BD165" s="313">
        <f>BD160/BD15</f>
        <v>0</v>
      </c>
      <c r="BE165" s="313">
        <f>BE160/BE15</f>
        <v>0</v>
      </c>
      <c r="BF165" s="313">
        <f>BF160/BF15</f>
        <v>0</v>
      </c>
      <c r="BG165" s="313">
        <f>BG160/BG15</f>
        <v>0</v>
      </c>
      <c r="BH165" s="313">
        <f>BH160/BH15</f>
        <v>0</v>
      </c>
      <c r="BI165" s="313">
        <f>BI160/BI15</f>
        <v>0</v>
      </c>
      <c r="BJ165" s="313">
        <f>BJ160/BJ15</f>
        <v>0</v>
      </c>
      <c r="BK165" s="313">
        <f>BK160/BK15</f>
        <v>0</v>
      </c>
      <c r="BL165" s="313">
        <f>BL160/BL15</f>
        <v>0</v>
      </c>
      <c r="BM165" s="313">
        <f>BM160/BM15</f>
        <v>0</v>
      </c>
      <c r="BN165" s="313">
        <f>BN160/BN15</f>
        <v>0</v>
      </c>
      <c r="BO165" s="313">
        <f>BO160/BO15</f>
        <v>0</v>
      </c>
      <c r="BP165" s="313">
        <f>BP160/BP15</f>
        <v>0</v>
      </c>
      <c r="BQ165" s="313">
        <f>BQ160/BQ15</f>
        <v>0</v>
      </c>
      <c r="BR165" s="313">
        <f>BR160/BR15</f>
        <v>0</v>
      </c>
      <c r="BS165" s="313">
        <f>BS160/BS15</f>
        <v>0</v>
      </c>
      <c r="BT165" s="313">
        <f>BT160/BT15</f>
        <v>0</v>
      </c>
      <c r="BU165" s="313">
        <f>BU160/BU15</f>
        <v>0</v>
      </c>
      <c r="BV165" s="313">
        <f>BV160/BV15</f>
        <v>0</v>
      </c>
      <c r="BW165" s="313">
        <f>BW160/BW15</f>
        <v>0</v>
      </c>
      <c r="BX165" s="313">
        <f>BX160/BX15</f>
        <v>0</v>
      </c>
      <c r="BY165" s="313">
        <f>BY160/BY15</f>
        <v>0</v>
      </c>
      <c r="BZ165" s="313">
        <f>BZ160/BZ15</f>
        <v>0</v>
      </c>
      <c r="CA165" s="313">
        <f>CA160/CA15</f>
        <v>0</v>
      </c>
      <c r="CB165" s="313">
        <f>CB160/CB15</f>
        <v>0</v>
      </c>
      <c r="CC165" s="313">
        <f>CC160/CC15</f>
        <v>0</v>
      </c>
      <c r="CD165" s="313">
        <f>CD160/CD15</f>
        <v>0</v>
      </c>
      <c r="CE165" s="313">
        <f>CE160/CE15</f>
        <v>0</v>
      </c>
      <c r="CF165" s="313">
        <f>CF160/CF15</f>
        <v>0</v>
      </c>
      <c r="CG165" s="313">
        <f>CG160/CG15</f>
        <v>0</v>
      </c>
      <c r="CH165" s="313">
        <f>CH160/CH15</f>
        <v>0</v>
      </c>
      <c r="CI165" s="313">
        <f>CI160/CI15</f>
        <v>0</v>
      </c>
      <c r="CJ165" s="313">
        <f>CJ160/CJ15</f>
        <v>0</v>
      </c>
      <c r="CK165" s="313">
        <f>CK160/CK15</f>
        <v>0</v>
      </c>
      <c r="CL165" s="313">
        <f>CL160/CL15</f>
        <v>0</v>
      </c>
      <c r="CM165" s="313">
        <f>CM160/CM15</f>
        <v>0</v>
      </c>
      <c r="CN165" s="313">
        <f>CN160/CN15</f>
        <v>0</v>
      </c>
      <c r="CO165" s="313">
        <f>CO160/CO15</f>
        <v>0</v>
      </c>
      <c r="CP165" s="313">
        <f>CP160/CP15</f>
        <v>0</v>
      </c>
      <c r="CQ165" s="313">
        <f>CQ160/CQ15</f>
        <v>0</v>
      </c>
      <c r="CR165" s="313">
        <f>CR160/CR15</f>
        <v>0</v>
      </c>
      <c r="CS165" s="313">
        <f>CS160/CS15</f>
        <v>0</v>
      </c>
      <c r="CT165" s="313">
        <f>CT160/CT15</f>
        <v>0</v>
      </c>
      <c r="CU165" s="313">
        <f>CU160/CU15</f>
        <v>0</v>
      </c>
      <c r="CV165" s="313">
        <f>CV160/CV15</f>
        <v>0</v>
      </c>
      <c r="CW165" s="313">
        <f>CW160/CW15</f>
        <v>0</v>
      </c>
      <c r="CX165" s="313">
        <f>CX160/CX15</f>
        <v>0</v>
      </c>
      <c r="CY165" s="313">
        <f>CY160/CY15</f>
        <v>0</v>
      </c>
    </row>
    <row r="166" hidden="1" outlineLevel="1" ht="12.75" customHeight="1" s="255">
      <c r="C166" s="312" t="n"/>
      <c r="D166" s="268" t="n"/>
      <c r="E166" s="268" t="n"/>
      <c r="F166" s="268" t="n"/>
      <c r="G166" s="268" t="n"/>
      <c r="H166" s="268" t="n"/>
      <c r="I166" s="268" t="n"/>
      <c r="J166" s="268" t="n"/>
      <c r="K166" s="268" t="n"/>
      <c r="L166" s="268" t="n"/>
      <c r="M166" s="268" t="n"/>
      <c r="N166" s="268" t="n"/>
      <c r="O166" s="268" t="n"/>
      <c r="P166" s="268" t="n"/>
      <c r="Q166" s="268" t="n"/>
      <c r="R166" s="268" t="n"/>
      <c r="S166" s="268" t="n"/>
      <c r="T166" s="268" t="n"/>
      <c r="U166" s="268" t="n"/>
      <c r="V166" s="268" t="n"/>
      <c r="W166" s="268" t="n"/>
      <c r="X166" s="268" t="n"/>
      <c r="Y166" s="268" t="n"/>
      <c r="Z166" s="268" t="n"/>
      <c r="AA166" s="268" t="n"/>
      <c r="AB166" s="268" t="n"/>
      <c r="AC166" s="268" t="n"/>
      <c r="AD166" s="268" t="n"/>
      <c r="AE166" s="268" t="n"/>
      <c r="AF166" s="268" t="n"/>
      <c r="AG166" s="268" t="n"/>
      <c r="AH166" s="268" t="n"/>
      <c r="AI166" s="268" t="n"/>
      <c r="AJ166" s="268" t="n"/>
      <c r="AK166" s="268" t="n"/>
      <c r="AL166" s="268" t="n"/>
      <c r="AM166" s="268" t="n"/>
      <c r="AN166" s="268" t="n"/>
      <c r="AO166" s="268" t="n"/>
      <c r="AP166" s="268" t="n"/>
      <c r="AQ166" s="268" t="n"/>
      <c r="AR166" s="268" t="n"/>
      <c r="AS166" s="268" t="n"/>
      <c r="AT166" s="268" t="n"/>
      <c r="AU166" s="268" t="n"/>
      <c r="AV166" s="268" t="n"/>
      <c r="AW166" s="268" t="n"/>
      <c r="AX166" s="268" t="n"/>
      <c r="AY166" s="268" t="n"/>
      <c r="AZ166" s="268" t="n"/>
      <c r="BA166" s="268" t="n"/>
      <c r="BB166" s="268" t="n"/>
      <c r="BC166" s="268" t="n"/>
      <c r="BD166" s="268" t="n"/>
      <c r="BE166" s="268" t="n"/>
      <c r="BF166" s="268" t="n"/>
      <c r="BG166" s="268" t="n"/>
      <c r="BH166" s="268" t="n"/>
      <c r="BI166" s="268" t="n"/>
      <c r="BJ166" s="268" t="n"/>
      <c r="BK166" s="268" t="n"/>
      <c r="BL166" s="268" t="n"/>
      <c r="BM166" s="268" t="n"/>
      <c r="BN166" s="268" t="n"/>
      <c r="BO166" s="268" t="n"/>
      <c r="BP166" s="268" t="n"/>
      <c r="BQ166" s="268" t="n"/>
      <c r="BR166" s="268" t="n"/>
      <c r="BS166" s="268" t="n"/>
      <c r="BT166" s="268" t="n"/>
      <c r="BU166" s="268" t="n"/>
      <c r="BV166" s="268" t="n"/>
      <c r="BW166" s="268" t="n"/>
      <c r="BX166" s="268" t="n"/>
      <c r="BY166" s="268" t="n"/>
      <c r="BZ166" s="268" t="n"/>
      <c r="CA166" s="268" t="n"/>
      <c r="CB166" s="268" t="n"/>
      <c r="CC166" s="268" t="n"/>
      <c r="CD166" s="268" t="n"/>
      <c r="CE166" s="268" t="n"/>
      <c r="CF166" s="268" t="n"/>
      <c r="CG166" s="268" t="n"/>
      <c r="CH166" s="268" t="n"/>
      <c r="CI166" s="268" t="n"/>
      <c r="CJ166" s="268" t="n"/>
      <c r="CK166" s="268" t="n"/>
      <c r="CL166" s="268" t="n"/>
      <c r="CM166" s="268" t="n"/>
      <c r="CN166" s="268" t="n"/>
      <c r="CO166" s="268" t="n"/>
      <c r="CP166" s="268" t="n"/>
      <c r="CQ166" s="268" t="n"/>
      <c r="CR166" s="268" t="n"/>
      <c r="CS166" s="268" t="n"/>
      <c r="CT166" s="268" t="n"/>
      <c r="CU166" s="268" t="n"/>
      <c r="CV166" s="268" t="n"/>
      <c r="CW166" s="268" t="n"/>
      <c r="CX166" s="268" t="n"/>
      <c r="CY166" s="268" t="n"/>
    </row>
    <row r="167" hidden="1" outlineLevel="1" ht="12.75" customHeight="1" s="255">
      <c r="C167" s="312" t="n"/>
      <c r="D167" s="268" t="n"/>
      <c r="E167" s="268" t="n"/>
      <c r="F167" s="268" t="n"/>
      <c r="G167" s="268" t="n"/>
      <c r="H167" s="268" t="n"/>
      <c r="I167" s="268" t="n"/>
      <c r="J167" s="268" t="n"/>
      <c r="K167" s="268" t="n"/>
      <c r="L167" s="268" t="n"/>
      <c r="M167" s="268" t="n"/>
      <c r="N167" s="268" t="n"/>
      <c r="O167" s="268" t="n"/>
      <c r="P167" s="268" t="n"/>
      <c r="Q167" s="268" t="n"/>
      <c r="R167" s="268" t="n"/>
      <c r="S167" s="268" t="n"/>
      <c r="T167" s="268" t="n"/>
      <c r="U167" s="268" t="n"/>
      <c r="V167" s="268" t="n"/>
      <c r="W167" s="268" t="n"/>
      <c r="X167" s="268" t="n"/>
      <c r="Y167" s="268" t="n"/>
      <c r="Z167" s="268" t="n"/>
      <c r="AA167" s="268" t="n"/>
      <c r="AB167" s="268" t="n"/>
      <c r="AC167" s="268" t="n"/>
      <c r="AD167" s="268" t="n"/>
      <c r="AE167" s="268" t="n"/>
      <c r="AF167" s="268" t="n"/>
      <c r="AG167" s="268" t="n"/>
      <c r="AH167" s="268" t="n"/>
      <c r="AI167" s="268" t="n"/>
      <c r="AJ167" s="268" t="n"/>
      <c r="AK167" s="268" t="n"/>
      <c r="AL167" s="268" t="n"/>
      <c r="AM167" s="268" t="n"/>
      <c r="AN167" s="268" t="n"/>
      <c r="AO167" s="268" t="n"/>
      <c r="AP167" s="268" t="n"/>
      <c r="AQ167" s="268" t="n"/>
      <c r="AR167" s="268" t="n"/>
      <c r="AS167" s="268" t="n"/>
      <c r="AT167" s="268" t="n"/>
      <c r="AU167" s="268" t="n"/>
      <c r="AV167" s="268" t="n"/>
      <c r="AW167" s="268" t="n"/>
      <c r="AX167" s="268" t="n"/>
      <c r="AY167" s="268" t="n"/>
      <c r="AZ167" s="268" t="n"/>
      <c r="BA167" s="268" t="n"/>
      <c r="BB167" s="268" t="n"/>
      <c r="BC167" s="268" t="n"/>
      <c r="BD167" s="268" t="n"/>
      <c r="BE167" s="268" t="n"/>
      <c r="BF167" s="268" t="n"/>
      <c r="BG167" s="268" t="n"/>
      <c r="BH167" s="268" t="n"/>
      <c r="BI167" s="268" t="n"/>
      <c r="BJ167" s="268" t="n"/>
      <c r="BK167" s="268" t="n"/>
      <c r="BL167" s="268" t="n"/>
      <c r="BM167" s="268" t="n"/>
      <c r="BN167" s="268" t="n"/>
      <c r="BO167" s="268" t="n"/>
      <c r="BP167" s="268" t="n"/>
      <c r="BQ167" s="268" t="n"/>
      <c r="BR167" s="268" t="n"/>
      <c r="BS167" s="268" t="n"/>
      <c r="BT167" s="268" t="n"/>
      <c r="BU167" s="268" t="n"/>
      <c r="BV167" s="268" t="n"/>
      <c r="BW167" s="268" t="n"/>
      <c r="BX167" s="268" t="n"/>
      <c r="BY167" s="268" t="n"/>
      <c r="BZ167" s="268" t="n"/>
      <c r="CA167" s="268" t="n"/>
      <c r="CB167" s="268" t="n"/>
      <c r="CC167" s="268" t="n"/>
      <c r="CD167" s="268" t="n"/>
      <c r="CE167" s="268" t="n"/>
      <c r="CF167" s="268" t="n"/>
      <c r="CG167" s="268" t="n"/>
      <c r="CH167" s="268" t="n"/>
      <c r="CI167" s="268" t="n"/>
      <c r="CJ167" s="268" t="n"/>
      <c r="CK167" s="268" t="n"/>
      <c r="CL167" s="268" t="n"/>
      <c r="CM167" s="268" t="n"/>
      <c r="CN167" s="268" t="n"/>
      <c r="CO167" s="268" t="n"/>
      <c r="CP167" s="268" t="n"/>
      <c r="CQ167" s="268" t="n"/>
      <c r="CR167" s="268" t="n"/>
      <c r="CS167" s="268" t="n"/>
      <c r="CT167" s="268" t="n"/>
      <c r="CU167" s="268" t="n"/>
      <c r="CV167" s="268" t="n"/>
      <c r="CW167" s="268" t="n"/>
      <c r="CX167" s="268" t="n"/>
      <c r="CY167" s="268" t="n"/>
    </row>
    <row r="168" ht="12.75" customHeight="1" s="255">
      <c r="C168" s="270" t="inlineStr">
        <is>
          <t>Right-of-use-assets</t>
        </is>
      </c>
      <c r="D168" s="301">
        <f>INDEX('Inputs (2)'!$D$23:$AL$23,MATCH(D$7,'Inputs (2)'!$D$2:$AL$2,0))</f>
        <v>0</v>
      </c>
      <c r="E168" s="301">
        <f>INDEX('Inputs (2)'!$D$23:$AL$23,MATCH(E$7,'Inputs (2)'!$D$2:$AL$2,0))</f>
        <v>0</v>
      </c>
      <c r="F168" s="301">
        <f>INDEX('Inputs (2)'!$D$23:$AL$23,MATCH(F$7,'Inputs (2)'!$D$2:$AL$2,0))</f>
        <v>0</v>
      </c>
      <c r="G168" s="301">
        <f>INDEX('Inputs (2)'!$D$23:$AL$23,MATCH(G$7,'Inputs (2)'!$D$2:$AL$2,0))</f>
        <v>0</v>
      </c>
      <c r="H168" s="268">
        <f>G168</f>
        <v>0</v>
      </c>
      <c r="I168" s="301">
        <f>INDEX('Inputs (2)'!$D$23:$AL$23,MATCH(I$7,'Inputs (2)'!$D$2:$AL$2,0))</f>
        <v>0</v>
      </c>
      <c r="J168" s="301">
        <f>INDEX('Inputs (2)'!$D$23:$AL$23,MATCH(J$7,'Inputs (2)'!$D$2:$AL$2,0))</f>
        <v>0</v>
      </c>
      <c r="K168" s="301">
        <f>INDEX('Inputs (2)'!$D$23:$AL$23,MATCH(K$7,'Inputs (2)'!$D$2:$AL$2,0))</f>
        <v>0</v>
      </c>
      <c r="L168" s="301">
        <f>INDEX('Inputs (2)'!$D$23:$AL$23,MATCH(L$7,'Inputs (2)'!$D$2:$AL$2,0))</f>
        <v>0</v>
      </c>
      <c r="M168" s="268">
        <f>L168</f>
        <v>0</v>
      </c>
      <c r="N168" s="301">
        <f>INDEX('Inputs (2)'!$D$23:$AL$23,MATCH(N$7,'Inputs (2)'!$D$2:$AL$2,0))</f>
        <v>0</v>
      </c>
      <c r="O168" s="301">
        <f>INDEX('Inputs (2)'!$D$23:$AL$23,MATCH(O$7,'Inputs (2)'!$D$2:$AL$2,0))</f>
        <v>0</v>
      </c>
      <c r="P168" s="301">
        <f>INDEX('Inputs (2)'!$D$23:$AL$23,MATCH(P$7,'Inputs (2)'!$D$2:$AL$2,0))</f>
        <v>0</v>
      </c>
      <c r="Q168" s="301">
        <f>INDEX('Inputs (2)'!$D$23:$AL$23,MATCH(Q$7,'Inputs (2)'!$D$2:$AL$2,0))</f>
        <v>0</v>
      </c>
      <c r="R168" s="268">
        <f>Q168</f>
        <v>0</v>
      </c>
      <c r="S168" s="301">
        <f>INDEX('Inputs (2)'!$D$23:$AL$23,MATCH(S$7,'Inputs (2)'!$D$2:$AL$2,0))</f>
        <v>0</v>
      </c>
      <c r="T168" s="301">
        <f>INDEX('Inputs (2)'!$D$23:$AL$23,MATCH(T$7,'Inputs (2)'!$D$2:$AL$2,0))</f>
        <v>0</v>
      </c>
      <c r="U168" s="301">
        <f>INDEX('Inputs (2)'!$D$23:$AL$23,MATCH(U$7,'Inputs (2)'!$D$2:$AL$2,0))</f>
        <v>0</v>
      </c>
      <c r="V168" s="301">
        <f>INDEX('Inputs (2)'!$D$23:$AL$23,MATCH(V$7,'Inputs (2)'!$D$2:$AL$2,0))</f>
        <v>0</v>
      </c>
      <c r="W168" s="268">
        <f>V168</f>
        <v>0</v>
      </c>
      <c r="X168" s="301">
        <f>INDEX('Inputs (2)'!$D$23:$AL$23,MATCH(X$7,'Inputs (2)'!$D$2:$AL$2,0))</f>
        <v>0</v>
      </c>
      <c r="Y168" s="301">
        <f>INDEX('Inputs (2)'!$D$23:$AL$23,MATCH(Y$7,'Inputs (2)'!$D$2:$AL$2,0))</f>
        <v>0</v>
      </c>
      <c r="Z168" s="301">
        <f>INDEX('Inputs (2)'!$D$23:$AL$23,MATCH(Z$7,'Inputs (2)'!$D$2:$AL$2,0))</f>
        <v>0</v>
      </c>
      <c r="AA168" s="301">
        <f>INDEX('Inputs (2)'!$D$23:$AL$23,MATCH(AA$7,'Inputs (2)'!$D$2:$AL$2,0))</f>
        <v>0</v>
      </c>
      <c r="AB168" s="268">
        <f>AA168</f>
        <v>0</v>
      </c>
      <c r="AC168" s="301">
        <f>INDEX('Inputs (2)'!$D$23:$AL$23,MATCH(AC$7,'Inputs (2)'!$D$2:$AL$2,0))</f>
        <v>0</v>
      </c>
      <c r="AD168" s="301">
        <f>INDEX('Inputs (2)'!$D$23:$AL$23,MATCH(AD$7,'Inputs (2)'!$D$2:$AL$2,0))</f>
        <v>0</v>
      </c>
      <c r="AE168" s="301">
        <f>INDEX('Inputs (2)'!$D$23:$AL$23,MATCH(AE$7,'Inputs (2)'!$D$2:$AL$2,0))</f>
        <v>0</v>
      </c>
      <c r="AF168" s="301">
        <f>INDEX('Inputs (2)'!$D$23:$AL$23,MATCH(AF$7,'Inputs (2)'!$D$2:$AL$2,0))</f>
        <v>0</v>
      </c>
      <c r="AG168" s="268">
        <f>AF168</f>
        <v>0</v>
      </c>
      <c r="AH168" s="268">
        <f>INDEX('Inputs (2)'!$D$23:$AL$23,MATCH(AH$7,'Inputs (2)'!$D$2:$AL$2,0))</f>
        <v>0</v>
      </c>
      <c r="AI168" s="268">
        <f>INDEX('Inputs (2)'!$D$23:$AL$23,MATCH(AI$7,'Inputs (2)'!$D$2:$AL$2,0))</f>
        <v>0</v>
      </c>
      <c r="AJ168" s="268">
        <f>AI168</f>
        <v>0</v>
      </c>
      <c r="AK168" s="268">
        <f>AJ168</f>
        <v>0</v>
      </c>
      <c r="AL168" s="268">
        <f>AK168</f>
        <v>0</v>
      </c>
      <c r="AM168" s="268">
        <f>AL168</f>
        <v>0</v>
      </c>
      <c r="AN168" s="268">
        <f>AM168</f>
        <v>0</v>
      </c>
      <c r="AO168" s="268">
        <f>AN168</f>
        <v>0</v>
      </c>
      <c r="AP168" s="268">
        <f>AO168</f>
        <v>0</v>
      </c>
      <c r="AQ168" s="268">
        <f>AP168</f>
        <v>0</v>
      </c>
      <c r="AR168" s="268">
        <f>AQ168</f>
        <v>0</v>
      </c>
      <c r="AS168" s="268">
        <f>AR168</f>
        <v>0</v>
      </c>
      <c r="AT168" s="268">
        <f>AS168</f>
        <v>0</v>
      </c>
      <c r="AU168" s="268">
        <f>AT168</f>
        <v>0</v>
      </c>
      <c r="AV168" s="268">
        <f>AU168</f>
        <v>0</v>
      </c>
      <c r="AW168" s="268">
        <f>AV168</f>
        <v>0</v>
      </c>
      <c r="AX168" s="268">
        <f>AW168</f>
        <v>0</v>
      </c>
      <c r="AY168" s="268">
        <f>AX168</f>
        <v>0</v>
      </c>
      <c r="AZ168" s="268">
        <f>AY168</f>
        <v>0</v>
      </c>
      <c r="BA168" s="268">
        <f>AZ168</f>
        <v>0</v>
      </c>
      <c r="BB168" s="268">
        <f>BA168</f>
        <v>0</v>
      </c>
      <c r="BC168" s="268">
        <f>BB168</f>
        <v>0</v>
      </c>
      <c r="BD168" s="268">
        <f>BC168</f>
        <v>0</v>
      </c>
      <c r="BE168" s="268">
        <f>BD168</f>
        <v>0</v>
      </c>
      <c r="BF168" s="268">
        <f>BE168</f>
        <v>0</v>
      </c>
      <c r="BG168" s="268">
        <f>BF168</f>
        <v>0</v>
      </c>
      <c r="BH168" s="268">
        <f>BG168</f>
        <v>0</v>
      </c>
      <c r="BI168" s="268">
        <f>BH168</f>
        <v>0</v>
      </c>
      <c r="BJ168" s="268">
        <f>BI168</f>
        <v>0</v>
      </c>
      <c r="BK168" s="268">
        <f>BJ168</f>
        <v>0</v>
      </c>
      <c r="BL168" s="268">
        <f>BK168</f>
        <v>0</v>
      </c>
      <c r="BM168" s="268">
        <f>BL168</f>
        <v>0</v>
      </c>
      <c r="BN168" s="268">
        <f>BM168</f>
        <v>0</v>
      </c>
      <c r="BO168" s="268">
        <f>BN168</f>
        <v>0</v>
      </c>
      <c r="BP168" s="268">
        <f>BO168</f>
        <v>0</v>
      </c>
      <c r="BQ168" s="268">
        <f>BP168</f>
        <v>0</v>
      </c>
      <c r="BR168" s="268">
        <f>BQ168</f>
        <v>0</v>
      </c>
      <c r="BS168" s="268">
        <f>BR168</f>
        <v>0</v>
      </c>
      <c r="BT168" s="268">
        <f>BS168</f>
        <v>0</v>
      </c>
      <c r="BU168" s="268">
        <f>BT168</f>
        <v>0</v>
      </c>
      <c r="BV168" s="268">
        <f>BU168</f>
        <v>0</v>
      </c>
      <c r="BW168" s="268">
        <f>BV168</f>
        <v>0</v>
      </c>
      <c r="BX168" s="268">
        <f>BW168</f>
        <v>0</v>
      </c>
      <c r="BY168" s="268">
        <f>BX168</f>
        <v>0</v>
      </c>
      <c r="BZ168" s="268">
        <f>BY168</f>
        <v>0</v>
      </c>
      <c r="CA168" s="268">
        <f>BZ168</f>
        <v>0</v>
      </c>
      <c r="CB168" s="268">
        <f>CA168</f>
        <v>0</v>
      </c>
      <c r="CC168" s="268">
        <f>CB168</f>
        <v>0</v>
      </c>
      <c r="CD168" s="268">
        <f>CC168</f>
        <v>0</v>
      </c>
      <c r="CE168" s="268">
        <f>CD168</f>
        <v>0</v>
      </c>
      <c r="CF168" s="268">
        <f>CE168</f>
        <v>0</v>
      </c>
      <c r="CG168" s="268">
        <f>CF168</f>
        <v>0</v>
      </c>
      <c r="CH168" s="268">
        <f>CG168</f>
        <v>0</v>
      </c>
      <c r="CI168" s="268">
        <f>CH168</f>
        <v>0</v>
      </c>
      <c r="CJ168" s="268">
        <f>CI168</f>
        <v>0</v>
      </c>
      <c r="CK168" s="268">
        <f>CJ168</f>
        <v>0</v>
      </c>
      <c r="CL168" s="268">
        <f>CK168</f>
        <v>0</v>
      </c>
      <c r="CM168" s="268">
        <f>CL168</f>
        <v>0</v>
      </c>
      <c r="CN168" s="268">
        <f>CM168</f>
        <v>0</v>
      </c>
      <c r="CO168" s="268">
        <f>CN168</f>
        <v>0</v>
      </c>
      <c r="CP168" s="268">
        <f>CO168</f>
        <v>0</v>
      </c>
      <c r="CQ168" s="268">
        <f>CP168</f>
        <v>0</v>
      </c>
      <c r="CR168" s="268">
        <f>CQ168</f>
        <v>0</v>
      </c>
      <c r="CS168" s="268">
        <f>CR168</f>
        <v>0</v>
      </c>
      <c r="CT168" s="268">
        <f>CS168</f>
        <v>0</v>
      </c>
      <c r="CU168" s="268">
        <f>CT168</f>
        <v>0</v>
      </c>
      <c r="CV168" s="268">
        <f>CU168</f>
        <v>0</v>
      </c>
      <c r="CW168" s="268">
        <f>CV168</f>
        <v>0</v>
      </c>
      <c r="CX168" s="268">
        <f>CW168</f>
        <v>0</v>
      </c>
      <c r="CY168" s="268">
        <f>CX168</f>
        <v>0</v>
      </c>
    </row>
    <row r="169" hidden="1" outlineLevel="1" ht="12.75" customHeight="1" s="255">
      <c r="C169" s="314" t="inlineStr">
        <is>
          <t>%(Var.)</t>
        </is>
      </c>
      <c r="D169" s="268" t="n"/>
      <c r="E169" s="296">
        <f>IFERROR((E168-D168)/D168,0)</f>
        <v>0</v>
      </c>
      <c r="F169" s="296">
        <f>IFERROR((F168-E168)/E168,0)</f>
        <v>0</v>
      </c>
      <c r="G169" s="296">
        <f>IFERROR((G168-F168)/F168,0)</f>
        <v>0</v>
      </c>
      <c r="H169" s="268" t="n"/>
      <c r="I169" s="296">
        <f>IFERROR((I168-H168)/H168,0)</f>
        <v>0</v>
      </c>
      <c r="J169" s="296">
        <f>IFERROR((J168-I168)/I168,0)</f>
        <v>0</v>
      </c>
      <c r="K169" s="296">
        <f>IFERROR((K168-J168)/J168,0)</f>
        <v>0</v>
      </c>
      <c r="L169" s="296">
        <f>IFERROR((L168-K168)/K168,0)</f>
        <v>0</v>
      </c>
      <c r="M169" s="268" t="n"/>
      <c r="N169" s="296">
        <f>IFERROR((N168-M168)/M168,0)</f>
        <v>0</v>
      </c>
      <c r="O169" s="296">
        <f>IFERROR((O168-N168)/N168,0)</f>
        <v>0</v>
      </c>
      <c r="P169" s="296">
        <f>IFERROR((P168-O168)/O168,0)</f>
        <v>0</v>
      </c>
      <c r="Q169" s="296">
        <f>IFERROR((Q168-P168)/P168,0)</f>
        <v>0</v>
      </c>
      <c r="R169" s="268" t="n"/>
      <c r="S169" s="296">
        <f>IFERROR((S168-R168)/R168,0)</f>
        <v>0</v>
      </c>
      <c r="T169" s="296">
        <f>IFERROR((T168-S168)/S168,0)</f>
        <v>0</v>
      </c>
      <c r="U169" s="296">
        <f>IFERROR((U168-T168)/T168,0)</f>
        <v>0</v>
      </c>
      <c r="V169" s="296">
        <f>IFERROR((V168-U168)/U168,0)</f>
        <v>0</v>
      </c>
      <c r="W169" s="268" t="n"/>
      <c r="X169" s="296">
        <f>IFERROR((X168-W168)/W168,0)</f>
        <v>0</v>
      </c>
      <c r="Y169" s="296">
        <f>IFERROR((Y168-X168)/X168,0)</f>
        <v>0</v>
      </c>
      <c r="Z169" s="296">
        <f>IFERROR((Z168-Y168)/Y168,0)</f>
        <v>0</v>
      </c>
      <c r="AA169" s="296">
        <f>IFERROR((AA168-Z168)/Z168,0)</f>
        <v>0</v>
      </c>
      <c r="AB169" s="268" t="n"/>
      <c r="AC169" s="296">
        <f>IFERROR((AC168-AB168)/AB168,0)</f>
        <v>0</v>
      </c>
      <c r="AD169" s="296">
        <f>IFERROR((AD168-AC168)/AC168,0)</f>
        <v>0</v>
      </c>
      <c r="AE169" s="296">
        <f>IFERROR((AE168-AD168)/AD168,0)</f>
        <v>0</v>
      </c>
      <c r="AF169" s="311">
        <f>IFERROR((AF168-AE168)/AE168,0)</f>
        <v>0</v>
      </c>
      <c r="AG169" s="268" t="n"/>
      <c r="AH169" s="311">
        <f>IFERROR((AH168-AG168)/AG168,0)</f>
        <v>0</v>
      </c>
      <c r="AI169" s="311">
        <f>IFERROR((AI168-AH168)/AH168,0)</f>
        <v>0</v>
      </c>
      <c r="AJ169" s="311" t="n"/>
      <c r="AK169" s="311" t="n"/>
      <c r="AL169" s="268" t="n"/>
      <c r="AM169" s="311" t="n"/>
      <c r="AN169" s="311" t="n"/>
      <c r="AO169" s="311" t="n"/>
      <c r="AP169" s="311" t="n"/>
      <c r="AQ169" s="268" t="n"/>
      <c r="AR169" s="311" t="n"/>
      <c r="AS169" s="311" t="n"/>
      <c r="AT169" s="311" t="n"/>
      <c r="AU169" s="311" t="n"/>
      <c r="AV169" s="268" t="n"/>
      <c r="AW169" s="311" t="n"/>
      <c r="AX169" s="311" t="n"/>
      <c r="AY169" s="311" t="n"/>
      <c r="AZ169" s="311" t="n"/>
      <c r="BA169" s="268" t="n"/>
      <c r="BB169" s="311" t="n"/>
      <c r="BC169" s="311" t="n"/>
      <c r="BD169" s="311" t="n"/>
      <c r="BE169" s="311" t="n"/>
      <c r="BF169" s="268" t="n"/>
      <c r="BG169" s="311" t="n"/>
      <c r="BH169" s="311" t="n"/>
      <c r="BI169" s="311" t="n"/>
      <c r="BJ169" s="311" t="n"/>
      <c r="BK169" s="268" t="n"/>
      <c r="BL169" s="311" t="n"/>
      <c r="BM169" s="311" t="n"/>
      <c r="BN169" s="311" t="n"/>
      <c r="BO169" s="311" t="n"/>
      <c r="BP169" s="268" t="n"/>
      <c r="BQ169" s="311" t="n"/>
      <c r="BR169" s="311" t="n"/>
      <c r="BS169" s="311" t="n"/>
      <c r="BT169" s="311" t="n"/>
      <c r="BU169" s="268" t="n"/>
      <c r="BV169" s="311" t="n"/>
      <c r="BW169" s="311" t="n"/>
      <c r="BX169" s="311" t="n"/>
      <c r="BY169" s="311" t="n"/>
      <c r="BZ169" s="268" t="n"/>
      <c r="CA169" s="311" t="n"/>
      <c r="CB169" s="311" t="n"/>
      <c r="CC169" s="311" t="n"/>
      <c r="CD169" s="311" t="n"/>
      <c r="CE169" s="268" t="n"/>
      <c r="CF169" s="311" t="n"/>
      <c r="CG169" s="311" t="n"/>
      <c r="CH169" s="311" t="n"/>
      <c r="CI169" s="311" t="n"/>
      <c r="CJ169" s="268" t="n"/>
      <c r="CK169" s="311" t="n"/>
      <c r="CL169" s="311" t="n"/>
      <c r="CM169" s="311" t="n"/>
      <c r="CN169" s="311" t="n"/>
      <c r="CO169" s="268" t="n"/>
      <c r="CP169" s="311" t="n"/>
      <c r="CQ169" s="311" t="n"/>
      <c r="CR169" s="311" t="n"/>
      <c r="CS169" s="311" t="n"/>
      <c r="CT169" s="268" t="n"/>
      <c r="CU169" s="311" t="n"/>
      <c r="CV169" s="311" t="n"/>
      <c r="CW169" s="311" t="n"/>
      <c r="CX169" s="311" t="n"/>
      <c r="CY169" s="268" t="n"/>
    </row>
    <row r="170" hidden="1" outlineLevel="1" ht="12.75" customHeight="1" s="255">
      <c r="C170" s="312" t="n"/>
      <c r="D170" s="268" t="n"/>
      <c r="E170" s="268" t="n"/>
      <c r="F170" s="268" t="n"/>
      <c r="G170" s="268" t="n"/>
      <c r="H170" s="268" t="n"/>
      <c r="I170" s="268" t="n"/>
      <c r="J170" s="268" t="n"/>
      <c r="K170" s="268" t="n"/>
      <c r="L170" s="268" t="n"/>
      <c r="M170" s="268" t="n"/>
      <c r="N170" s="268" t="n"/>
      <c r="O170" s="268" t="n"/>
      <c r="P170" s="268" t="n"/>
      <c r="Q170" s="268" t="n"/>
      <c r="R170" s="268" t="n"/>
      <c r="S170" s="268" t="n"/>
      <c r="T170" s="268" t="n"/>
      <c r="U170" s="268" t="n"/>
      <c r="V170" s="268" t="n"/>
      <c r="W170" s="268" t="n"/>
      <c r="X170" s="268" t="n"/>
      <c r="Y170" s="268" t="n"/>
      <c r="Z170" s="268" t="n"/>
      <c r="AA170" s="268" t="n"/>
      <c r="AB170" s="268" t="n"/>
      <c r="AC170" s="268" t="n"/>
      <c r="AD170" s="268" t="n"/>
      <c r="AE170" s="268" t="n"/>
      <c r="AF170" s="268" t="n"/>
      <c r="AG170" s="268" t="n"/>
      <c r="AH170" s="268" t="n"/>
      <c r="AI170" s="268" t="n"/>
      <c r="AJ170" s="268" t="n"/>
      <c r="AK170" s="268" t="n"/>
      <c r="AL170" s="268" t="n"/>
      <c r="AM170" s="268" t="n"/>
      <c r="AN170" s="268" t="n"/>
      <c r="AO170" s="268" t="n"/>
      <c r="AP170" s="268" t="n"/>
      <c r="AQ170" s="268" t="n"/>
      <c r="AR170" s="268" t="n"/>
      <c r="AS170" s="268" t="n"/>
      <c r="AT170" s="268" t="n"/>
      <c r="AU170" s="268" t="n"/>
      <c r="AV170" s="268" t="n"/>
      <c r="AW170" s="268" t="n"/>
      <c r="AX170" s="268" t="n"/>
      <c r="AY170" s="268" t="n"/>
      <c r="AZ170" s="268" t="n"/>
      <c r="BA170" s="268" t="n"/>
      <c r="BB170" s="268" t="n"/>
      <c r="BC170" s="268" t="n"/>
      <c r="BD170" s="268" t="n"/>
      <c r="BE170" s="268" t="n"/>
      <c r="BF170" s="268" t="n"/>
      <c r="BG170" s="268" t="n"/>
      <c r="BH170" s="268" t="n"/>
      <c r="BI170" s="268" t="n"/>
      <c r="BJ170" s="268" t="n"/>
      <c r="BK170" s="268" t="n"/>
      <c r="BL170" s="268" t="n"/>
      <c r="BM170" s="268" t="n"/>
      <c r="BN170" s="268" t="n"/>
      <c r="BO170" s="268" t="n"/>
      <c r="BP170" s="268" t="n"/>
      <c r="BQ170" s="268" t="n"/>
      <c r="BR170" s="268" t="n"/>
      <c r="BS170" s="268" t="n"/>
      <c r="BT170" s="268" t="n"/>
      <c r="BU170" s="268" t="n"/>
      <c r="BV170" s="268" t="n"/>
      <c r="BW170" s="268" t="n"/>
      <c r="BX170" s="268" t="n"/>
      <c r="BY170" s="268" t="n"/>
      <c r="BZ170" s="268" t="n"/>
      <c r="CA170" s="268" t="n"/>
      <c r="CB170" s="268" t="n"/>
      <c r="CC170" s="268" t="n"/>
      <c r="CD170" s="268" t="n"/>
      <c r="CE170" s="268" t="n"/>
      <c r="CF170" s="268" t="n"/>
      <c r="CG170" s="268" t="n"/>
      <c r="CH170" s="268" t="n"/>
      <c r="CI170" s="268" t="n"/>
      <c r="CJ170" s="268" t="n"/>
      <c r="CK170" s="268" t="n"/>
      <c r="CL170" s="268" t="n"/>
      <c r="CM170" s="268" t="n"/>
      <c r="CN170" s="268" t="n"/>
      <c r="CO170" s="268" t="n"/>
      <c r="CP170" s="268" t="n"/>
      <c r="CQ170" s="268" t="n"/>
      <c r="CR170" s="268" t="n"/>
      <c r="CS170" s="268" t="n"/>
      <c r="CT170" s="268" t="n"/>
      <c r="CU170" s="268" t="n"/>
      <c r="CV170" s="268" t="n"/>
      <c r="CW170" s="268" t="n"/>
      <c r="CX170" s="268" t="n"/>
      <c r="CY170" s="268" t="n"/>
    </row>
    <row r="171" ht="12.75" customHeight="1" s="255">
      <c r="C171" s="270" t="inlineStr">
        <is>
          <t>Goodwill</t>
        </is>
      </c>
      <c r="D171" s="301">
        <f>INDEX('Inputs (2)'!$D$24:$AL$24,MATCH(D$7,'Inputs (2)'!$D$2:$AL$2,0))</f>
        <v>0</v>
      </c>
      <c r="E171" s="301">
        <f>INDEX('Inputs (2)'!$D$24:$AL$24,MATCH(E$7,'Inputs (2)'!$D$2:$AL$2,0))</f>
        <v>0</v>
      </c>
      <c r="F171" s="301">
        <f>INDEX('Inputs (2)'!$D$24:$AL$24,MATCH(F$7,'Inputs (2)'!$D$2:$AL$2,0))</f>
        <v>0</v>
      </c>
      <c r="G171" s="301">
        <f>INDEX('Inputs (2)'!$D$24:$AL$24,MATCH(G$7,'Inputs (2)'!$D$2:$AL$2,0))</f>
        <v>0</v>
      </c>
      <c r="H171" s="268">
        <f>G171</f>
        <v>0</v>
      </c>
      <c r="I171" s="301">
        <f>INDEX('Inputs (2)'!$D$24:$AL$24,MATCH(I$7,'Inputs (2)'!$D$2:$AL$2,0))</f>
        <v>0</v>
      </c>
      <c r="J171" s="301">
        <f>INDEX('Inputs (2)'!$D$24:$AL$24,MATCH(J$7,'Inputs (2)'!$D$2:$AL$2,0))</f>
        <v>0</v>
      </c>
      <c r="K171" s="301">
        <f>INDEX('Inputs (2)'!$D$24:$AL$24,MATCH(K$7,'Inputs (2)'!$D$2:$AL$2,0))</f>
        <v>0</v>
      </c>
      <c r="L171" s="301">
        <f>INDEX('Inputs (2)'!$D$24:$AL$24,MATCH(L$7,'Inputs (2)'!$D$2:$AL$2,0))</f>
        <v>0</v>
      </c>
      <c r="M171" s="268">
        <f>L171</f>
        <v>0</v>
      </c>
      <c r="N171" s="301">
        <f>INDEX('Inputs (2)'!$D$24:$AL$24,MATCH(N$7,'Inputs (2)'!$D$2:$AL$2,0))</f>
        <v>0</v>
      </c>
      <c r="O171" s="301">
        <f>INDEX('Inputs (2)'!$D$24:$AL$24,MATCH(O$7,'Inputs (2)'!$D$2:$AL$2,0))</f>
        <v>0</v>
      </c>
      <c r="P171" s="301">
        <f>INDEX('Inputs (2)'!$D$24:$AL$24,MATCH(P$7,'Inputs (2)'!$D$2:$AL$2,0))</f>
        <v>0</v>
      </c>
      <c r="Q171" s="301">
        <f>INDEX('Inputs (2)'!$D$24:$AL$24,MATCH(Q$7,'Inputs (2)'!$D$2:$AL$2,0))</f>
        <v>0</v>
      </c>
      <c r="R171" s="268">
        <f>Q171</f>
        <v>0</v>
      </c>
      <c r="S171" s="301">
        <f>INDEX('Inputs (2)'!$D$24:$AL$24,MATCH(S$7,'Inputs (2)'!$D$2:$AL$2,0))</f>
        <v>0</v>
      </c>
      <c r="T171" s="301">
        <f>INDEX('Inputs (2)'!$D$24:$AL$24,MATCH(T$7,'Inputs (2)'!$D$2:$AL$2,0))</f>
        <v>0</v>
      </c>
      <c r="U171" s="301">
        <f>INDEX('Inputs (2)'!$D$24:$AL$24,MATCH(U$7,'Inputs (2)'!$D$2:$AL$2,0))</f>
        <v>0</v>
      </c>
      <c r="V171" s="301">
        <f>INDEX('Inputs (2)'!$D$24:$AL$24,MATCH(V$7,'Inputs (2)'!$D$2:$AL$2,0))</f>
        <v>0</v>
      </c>
      <c r="W171" s="268">
        <f>V171</f>
        <v>0</v>
      </c>
      <c r="X171" s="301">
        <f>INDEX('Inputs (2)'!$D$24:$AL$24,MATCH(X$7,'Inputs (2)'!$D$2:$AL$2,0))</f>
        <v>0</v>
      </c>
      <c r="Y171" s="301">
        <f>INDEX('Inputs (2)'!$D$24:$AL$24,MATCH(Y$7,'Inputs (2)'!$D$2:$AL$2,0))</f>
        <v>0</v>
      </c>
      <c r="Z171" s="301">
        <f>INDEX('Inputs (2)'!$D$24:$AL$24,MATCH(Z$7,'Inputs (2)'!$D$2:$AL$2,0))</f>
        <v>0</v>
      </c>
      <c r="AA171" s="301">
        <f>INDEX('Inputs (2)'!$D$24:$AL$24,MATCH(AA$7,'Inputs (2)'!$D$2:$AL$2,0))</f>
        <v>0</v>
      </c>
      <c r="AB171" s="268">
        <f>AA171</f>
        <v>0</v>
      </c>
      <c r="AC171" s="301">
        <f>INDEX('Inputs (2)'!$D$24:$AL$24,MATCH(AC$7,'Inputs (2)'!$D$2:$AL$2,0))</f>
        <v>0</v>
      </c>
      <c r="AD171" s="301">
        <f>INDEX('Inputs (2)'!$D$24:$AL$24,MATCH(AD$7,'Inputs (2)'!$D$2:$AL$2,0))</f>
        <v>0</v>
      </c>
      <c r="AE171" s="301">
        <f>INDEX('Inputs (2)'!$D$24:$AL$24,MATCH(AE$7,'Inputs (2)'!$D$2:$AL$2,0))</f>
        <v>0</v>
      </c>
      <c r="AF171" s="301">
        <f>INDEX('Inputs (2)'!$D$24:$AL$24,MATCH(AF$7,'Inputs (2)'!$D$2:$AL$2,0))</f>
        <v>0</v>
      </c>
      <c r="AG171" s="268">
        <f>AF171</f>
        <v>0</v>
      </c>
      <c r="AH171" s="268">
        <f>INDEX('Inputs (2)'!$D$24:$AL$24,MATCH(AH$7,'Inputs (2)'!$D$2:$AL$2,0))</f>
        <v>0</v>
      </c>
      <c r="AI171" s="268">
        <f>INDEX('Inputs (2)'!$D$24:$AL$24,MATCH(AI$7,'Inputs (2)'!$D$2:$AL$2,0))</f>
        <v>0</v>
      </c>
      <c r="AJ171" s="268">
        <f>AI171</f>
        <v>0</v>
      </c>
      <c r="AK171" s="268">
        <f>AJ171</f>
        <v>0</v>
      </c>
      <c r="AL171" s="268">
        <f>AK171</f>
        <v>0</v>
      </c>
      <c r="AM171" s="268">
        <f>AL171</f>
        <v>0</v>
      </c>
      <c r="AN171" s="268">
        <f>AM171</f>
        <v>0</v>
      </c>
      <c r="AO171" s="268">
        <f>AN171</f>
        <v>0</v>
      </c>
      <c r="AP171" s="268">
        <f>AO171</f>
        <v>0</v>
      </c>
      <c r="AQ171" s="268">
        <f>AP171</f>
        <v>0</v>
      </c>
      <c r="AR171" s="268">
        <f>AQ171</f>
        <v>0</v>
      </c>
      <c r="AS171" s="268">
        <f>AR171</f>
        <v>0</v>
      </c>
      <c r="AT171" s="268">
        <f>AS171</f>
        <v>0</v>
      </c>
      <c r="AU171" s="268">
        <f>AT171</f>
        <v>0</v>
      </c>
      <c r="AV171" s="268">
        <f>AU171</f>
        <v>0</v>
      </c>
      <c r="AW171" s="268">
        <f>AV171</f>
        <v>0</v>
      </c>
      <c r="AX171" s="268">
        <f>AW171</f>
        <v>0</v>
      </c>
      <c r="AY171" s="268">
        <f>AX171</f>
        <v>0</v>
      </c>
      <c r="AZ171" s="268">
        <f>AY171</f>
        <v>0</v>
      </c>
      <c r="BA171" s="268">
        <f>AZ171</f>
        <v>0</v>
      </c>
      <c r="BB171" s="268">
        <f>BA171</f>
        <v>0</v>
      </c>
      <c r="BC171" s="268">
        <f>BB171</f>
        <v>0</v>
      </c>
      <c r="BD171" s="268">
        <f>BC171</f>
        <v>0</v>
      </c>
      <c r="BE171" s="268">
        <f>BD171</f>
        <v>0</v>
      </c>
      <c r="BF171" s="268">
        <f>BE171</f>
        <v>0</v>
      </c>
      <c r="BG171" s="268">
        <f>BF171</f>
        <v>0</v>
      </c>
      <c r="BH171" s="268">
        <f>BG171</f>
        <v>0</v>
      </c>
      <c r="BI171" s="268">
        <f>BH171</f>
        <v>0</v>
      </c>
      <c r="BJ171" s="268">
        <f>BI171</f>
        <v>0</v>
      </c>
      <c r="BK171" s="268">
        <f>BJ171</f>
        <v>0</v>
      </c>
      <c r="BL171" s="268">
        <f>BK171</f>
        <v>0</v>
      </c>
      <c r="BM171" s="268">
        <f>BL171</f>
        <v>0</v>
      </c>
      <c r="BN171" s="268">
        <f>BM171</f>
        <v>0</v>
      </c>
      <c r="BO171" s="268">
        <f>BN171</f>
        <v>0</v>
      </c>
      <c r="BP171" s="268">
        <f>BO171</f>
        <v>0</v>
      </c>
      <c r="BQ171" s="268">
        <f>BP171</f>
        <v>0</v>
      </c>
      <c r="BR171" s="268">
        <f>BQ171</f>
        <v>0</v>
      </c>
      <c r="BS171" s="268">
        <f>BR171</f>
        <v>0</v>
      </c>
      <c r="BT171" s="268">
        <f>BS171</f>
        <v>0</v>
      </c>
      <c r="BU171" s="268">
        <f>BT171</f>
        <v>0</v>
      </c>
      <c r="BV171" s="268">
        <f>BU171</f>
        <v>0</v>
      </c>
      <c r="BW171" s="268">
        <f>BV171</f>
        <v>0</v>
      </c>
      <c r="BX171" s="268">
        <f>BW171</f>
        <v>0</v>
      </c>
      <c r="BY171" s="268">
        <f>BX171</f>
        <v>0</v>
      </c>
      <c r="BZ171" s="268">
        <f>BY171</f>
        <v>0</v>
      </c>
      <c r="CA171" s="268">
        <f>BZ171</f>
        <v>0</v>
      </c>
      <c r="CB171" s="268">
        <f>CA171</f>
        <v>0</v>
      </c>
      <c r="CC171" s="268">
        <f>CB171</f>
        <v>0</v>
      </c>
      <c r="CD171" s="268">
        <f>CC171</f>
        <v>0</v>
      </c>
      <c r="CE171" s="268">
        <f>CD171</f>
        <v>0</v>
      </c>
      <c r="CF171" s="268">
        <f>CE171</f>
        <v>0</v>
      </c>
      <c r="CG171" s="268">
        <f>CF171</f>
        <v>0</v>
      </c>
      <c r="CH171" s="268">
        <f>CG171</f>
        <v>0</v>
      </c>
      <c r="CI171" s="268">
        <f>CH171</f>
        <v>0</v>
      </c>
      <c r="CJ171" s="268">
        <f>CI171</f>
        <v>0</v>
      </c>
      <c r="CK171" s="268">
        <f>CJ171</f>
        <v>0</v>
      </c>
      <c r="CL171" s="268">
        <f>CK171</f>
        <v>0</v>
      </c>
      <c r="CM171" s="268">
        <f>CL171</f>
        <v>0</v>
      </c>
      <c r="CN171" s="268">
        <f>CM171</f>
        <v>0</v>
      </c>
      <c r="CO171" s="268">
        <f>CN171</f>
        <v>0</v>
      </c>
      <c r="CP171" s="268">
        <f>CO171</f>
        <v>0</v>
      </c>
      <c r="CQ171" s="268">
        <f>CP171</f>
        <v>0</v>
      </c>
      <c r="CR171" s="268">
        <f>CQ171</f>
        <v>0</v>
      </c>
      <c r="CS171" s="268">
        <f>CR171</f>
        <v>0</v>
      </c>
      <c r="CT171" s="268">
        <f>CS171</f>
        <v>0</v>
      </c>
      <c r="CU171" s="268">
        <f>CT171</f>
        <v>0</v>
      </c>
      <c r="CV171" s="268">
        <f>CU171</f>
        <v>0</v>
      </c>
      <c r="CW171" s="268">
        <f>CV171</f>
        <v>0</v>
      </c>
      <c r="CX171" s="268">
        <f>CW171</f>
        <v>0</v>
      </c>
      <c r="CY171" s="268">
        <f>CX171</f>
        <v>0</v>
      </c>
    </row>
    <row r="172" ht="12.75" customHeight="1" s="255">
      <c r="C172" s="270" t="inlineStr">
        <is>
          <t>Intangibles</t>
        </is>
      </c>
      <c r="D172" s="301">
        <f>INDEX('Inputs (2)'!$D$25:$AL$25,MATCH(D$7,'Inputs (2)'!$D$2:$AL$2,0))</f>
        <v>0</v>
      </c>
      <c r="E172" s="301">
        <f>INDEX('Inputs (2)'!$D$25:$AL$25,MATCH(E$7,'Inputs (2)'!$D$2:$AL$2,0))</f>
        <v>0</v>
      </c>
      <c r="F172" s="301">
        <f>INDEX('Inputs (2)'!$D$25:$AL$25,MATCH(F$7,'Inputs (2)'!$D$2:$AL$2,0))</f>
        <v>0</v>
      </c>
      <c r="G172" s="301">
        <f>INDEX('Inputs (2)'!$D$25:$AL$25,MATCH(G$7,'Inputs (2)'!$D$2:$AL$2,0))</f>
        <v>0</v>
      </c>
      <c r="H172" s="268">
        <f>G172</f>
        <v>0</v>
      </c>
      <c r="I172" s="301">
        <f>INDEX('Inputs (2)'!$D$25:$AL$25,MATCH(I$7,'Inputs (2)'!$D$2:$AL$2,0))</f>
        <v>0</v>
      </c>
      <c r="J172" s="301">
        <f>INDEX('Inputs (2)'!$D$25:$AL$25,MATCH(J$7,'Inputs (2)'!$D$2:$AL$2,0))</f>
        <v>0</v>
      </c>
      <c r="K172" s="301">
        <f>INDEX('Inputs (2)'!$D$25:$AL$25,MATCH(K$7,'Inputs (2)'!$D$2:$AL$2,0))</f>
        <v>0</v>
      </c>
      <c r="L172" s="301">
        <f>INDEX('Inputs (2)'!$D$25:$AL$25,MATCH(L$7,'Inputs (2)'!$D$2:$AL$2,0))</f>
        <v>0</v>
      </c>
      <c r="M172" s="268">
        <f>L172</f>
        <v>0</v>
      </c>
      <c r="N172" s="301">
        <f>INDEX('Inputs (2)'!$D$25:$AL$25,MATCH(N$7,'Inputs (2)'!$D$2:$AL$2,0))</f>
        <v>0</v>
      </c>
      <c r="O172" s="301">
        <f>INDEX('Inputs (2)'!$D$25:$AL$25,MATCH(O$7,'Inputs (2)'!$D$2:$AL$2,0))</f>
        <v>0</v>
      </c>
      <c r="P172" s="301">
        <f>INDEX('Inputs (2)'!$D$25:$AL$25,MATCH(P$7,'Inputs (2)'!$D$2:$AL$2,0))</f>
        <v>0</v>
      </c>
      <c r="Q172" s="301">
        <f>INDEX('Inputs (2)'!$D$25:$AL$25,MATCH(Q$7,'Inputs (2)'!$D$2:$AL$2,0))</f>
        <v>0</v>
      </c>
      <c r="R172" s="268">
        <f>Q172</f>
        <v>0</v>
      </c>
      <c r="S172" s="301">
        <f>INDEX('Inputs (2)'!$D$25:$AL$25,MATCH(S$7,'Inputs (2)'!$D$2:$AL$2,0))</f>
        <v>0</v>
      </c>
      <c r="T172" s="301">
        <f>INDEX('Inputs (2)'!$D$25:$AL$25,MATCH(T$7,'Inputs (2)'!$D$2:$AL$2,0))</f>
        <v>0</v>
      </c>
      <c r="U172" s="301">
        <f>INDEX('Inputs (2)'!$D$25:$AL$25,MATCH(U$7,'Inputs (2)'!$D$2:$AL$2,0))</f>
        <v>0</v>
      </c>
      <c r="V172" s="301">
        <f>INDEX('Inputs (2)'!$D$25:$AL$25,MATCH(V$7,'Inputs (2)'!$D$2:$AL$2,0))</f>
        <v>0</v>
      </c>
      <c r="W172" s="268">
        <f>V172</f>
        <v>0</v>
      </c>
      <c r="X172" s="301">
        <f>INDEX('Inputs (2)'!$D$25:$AL$25,MATCH(X$7,'Inputs (2)'!$D$2:$AL$2,0))</f>
        <v>0</v>
      </c>
      <c r="Y172" s="301">
        <f>INDEX('Inputs (2)'!$D$25:$AL$25,MATCH(Y$7,'Inputs (2)'!$D$2:$AL$2,0))</f>
        <v>0</v>
      </c>
      <c r="Z172" s="301">
        <f>INDEX('Inputs (2)'!$D$25:$AL$25,MATCH(Z$7,'Inputs (2)'!$D$2:$AL$2,0))</f>
        <v>0</v>
      </c>
      <c r="AA172" s="301">
        <f>INDEX('Inputs (2)'!$D$25:$AL$25,MATCH(AA$7,'Inputs (2)'!$D$2:$AL$2,0))</f>
        <v>0</v>
      </c>
      <c r="AB172" s="268">
        <f>AA172</f>
        <v>0</v>
      </c>
      <c r="AC172" s="301">
        <f>INDEX('Inputs (2)'!$D$25:$AL$25,MATCH(AC$7,'Inputs (2)'!$D$2:$AL$2,0))</f>
        <v>0</v>
      </c>
      <c r="AD172" s="301">
        <f>INDEX('Inputs (2)'!$D$25:$AL$25,MATCH(AD$7,'Inputs (2)'!$D$2:$AL$2,0))</f>
        <v>0</v>
      </c>
      <c r="AE172" s="301">
        <f>INDEX('Inputs (2)'!$D$25:$AL$25,MATCH(AE$7,'Inputs (2)'!$D$2:$AL$2,0))</f>
        <v>0</v>
      </c>
      <c r="AF172" s="301">
        <f>INDEX('Inputs (2)'!$D$25:$AL$25,MATCH(AF$7,'Inputs (2)'!$D$2:$AL$2,0))</f>
        <v>0</v>
      </c>
      <c r="AG172" s="268">
        <f>AF172</f>
        <v>0</v>
      </c>
      <c r="AH172" s="268">
        <f>INDEX('Inputs (2)'!$D$25:$AL$25,MATCH(AH$7,'Inputs (2)'!$D$2:$AL$2,0))</f>
        <v>0</v>
      </c>
      <c r="AI172" s="268">
        <f>INDEX('Inputs (2)'!$D$25:$AL$25,MATCH(AI$7,'Inputs (2)'!$D$2:$AL$2,0))</f>
        <v>0</v>
      </c>
      <c r="AJ172" s="268" t="n"/>
      <c r="AK172" s="268" t="n"/>
      <c r="AL172" s="268">
        <f>AK172</f>
        <v>0</v>
      </c>
      <c r="AN172" s="268" t="n"/>
      <c r="AO172" s="268" t="n"/>
      <c r="AP172" s="268" t="n"/>
      <c r="AQ172" s="268">
        <f>AP172</f>
        <v>0</v>
      </c>
      <c r="AS172" s="268" t="n"/>
      <c r="AT172" s="268" t="n"/>
      <c r="AU172" s="268" t="n"/>
      <c r="AV172" s="268">
        <f>AU172</f>
        <v>0</v>
      </c>
      <c r="AX172" s="268" t="n"/>
      <c r="AY172" s="268" t="n"/>
      <c r="AZ172" s="268" t="n"/>
      <c r="BA172" s="268">
        <f>AZ172</f>
        <v>0</v>
      </c>
      <c r="BC172" s="268" t="n"/>
      <c r="BD172" s="268" t="n"/>
      <c r="BE172" s="268" t="n"/>
      <c r="BF172" s="268">
        <f>BE172</f>
        <v>0</v>
      </c>
      <c r="BH172" s="268" t="n"/>
      <c r="BI172" s="268" t="n"/>
      <c r="BJ172" s="268" t="n"/>
      <c r="BK172" s="268">
        <f>BJ172</f>
        <v>0</v>
      </c>
      <c r="BM172" s="268" t="n"/>
      <c r="BN172" s="268" t="n"/>
      <c r="BO172" s="268" t="n"/>
      <c r="BP172" s="268">
        <f>BO172</f>
        <v>0</v>
      </c>
      <c r="BR172" s="268" t="n"/>
      <c r="BS172" s="268" t="n"/>
      <c r="BT172" s="268" t="n"/>
      <c r="BU172" s="268">
        <f>BT172</f>
        <v>0</v>
      </c>
      <c r="BW172" s="268" t="n"/>
      <c r="BX172" s="268" t="n"/>
      <c r="BY172" s="268" t="n"/>
      <c r="BZ172" s="268">
        <f>BY172</f>
        <v>0</v>
      </c>
      <c r="CB172" s="268" t="n"/>
      <c r="CC172" s="268" t="n"/>
      <c r="CD172" s="268" t="n"/>
      <c r="CE172" s="268">
        <f>CD172</f>
        <v>0</v>
      </c>
      <c r="CG172" s="268" t="n"/>
      <c r="CH172" s="268" t="n"/>
      <c r="CI172" s="268" t="n"/>
      <c r="CJ172" s="268">
        <f>CI172</f>
        <v>0</v>
      </c>
      <c r="CL172" s="268" t="n"/>
      <c r="CM172" s="268" t="n"/>
      <c r="CN172" s="268" t="n"/>
      <c r="CO172" s="268">
        <f>CN172</f>
        <v>0</v>
      </c>
      <c r="CQ172" s="268" t="n"/>
      <c r="CR172" s="268" t="n"/>
      <c r="CS172" s="268" t="n"/>
      <c r="CT172" s="268">
        <f>CS172</f>
        <v>0</v>
      </c>
      <c r="CV172" s="268" t="n"/>
      <c r="CW172" s="268" t="n"/>
      <c r="CX172" s="268" t="n"/>
      <c r="CY172" s="268">
        <f>CX172</f>
        <v>0</v>
      </c>
    </row>
    <row r="173" hidden="1" outlineLevel="1" ht="12.75" customHeight="1" s="255">
      <c r="C173" s="312" t="n"/>
      <c r="D173" s="268" t="n"/>
      <c r="E173" s="268" t="n"/>
      <c r="F173" s="268" t="n"/>
      <c r="G173" s="268" t="n"/>
      <c r="H173" s="268" t="n"/>
      <c r="I173" s="268" t="n"/>
      <c r="J173" s="268" t="n"/>
      <c r="K173" s="268" t="n"/>
      <c r="L173" s="268" t="n"/>
      <c r="M173" s="268" t="n"/>
      <c r="N173" s="268" t="n"/>
      <c r="O173" s="268" t="n"/>
      <c r="P173" s="268" t="n"/>
      <c r="Q173" s="268" t="n"/>
      <c r="R173" s="268" t="n"/>
      <c r="S173" s="268" t="n"/>
      <c r="T173" s="268" t="n"/>
      <c r="U173" s="268" t="n"/>
      <c r="V173" s="268" t="n"/>
      <c r="W173" s="268" t="n"/>
      <c r="X173" s="268" t="n"/>
      <c r="Y173" s="268" t="n"/>
      <c r="Z173" s="268" t="n"/>
      <c r="AA173" s="268" t="n"/>
      <c r="AB173" s="268" t="n"/>
      <c r="AC173" s="268" t="n"/>
      <c r="AD173" s="268" t="n"/>
      <c r="AE173" s="268" t="n"/>
      <c r="AF173" s="268" t="n"/>
      <c r="AG173" s="268" t="n"/>
      <c r="AH173" s="268" t="n"/>
      <c r="AI173" s="268" t="n"/>
      <c r="AJ173" s="268" t="n"/>
      <c r="AK173" s="268" t="n"/>
      <c r="AL173" s="268" t="n"/>
      <c r="AM173" s="268" t="n"/>
      <c r="AN173" s="268" t="n"/>
      <c r="AO173" s="268" t="n"/>
      <c r="AP173" s="268" t="n"/>
      <c r="AQ173" s="268" t="n"/>
      <c r="AR173" s="268" t="n"/>
      <c r="AS173" s="268" t="n"/>
      <c r="AT173" s="268" t="n"/>
      <c r="AU173" s="268" t="n"/>
      <c r="AV173" s="268" t="n"/>
      <c r="AW173" s="268" t="n"/>
      <c r="AX173" s="268" t="n"/>
      <c r="AY173" s="268" t="n"/>
      <c r="AZ173" s="268" t="n"/>
      <c r="BA173" s="268" t="n"/>
      <c r="BB173" s="268" t="n"/>
      <c r="BC173" s="268" t="n"/>
      <c r="BD173" s="268" t="n"/>
      <c r="BE173" s="268" t="n"/>
      <c r="BF173" s="268" t="n"/>
      <c r="BG173" s="268" t="n"/>
      <c r="BH173" s="268" t="n"/>
      <c r="BI173" s="268" t="n"/>
      <c r="BJ173" s="268" t="n"/>
      <c r="BK173" s="268" t="n"/>
      <c r="BL173" s="268" t="n"/>
      <c r="BM173" s="268" t="n"/>
      <c r="BN173" s="268" t="n"/>
      <c r="BO173" s="268" t="n"/>
      <c r="BP173" s="268" t="n"/>
      <c r="BQ173" s="268" t="n"/>
      <c r="BR173" s="268" t="n"/>
      <c r="BS173" s="268" t="n"/>
      <c r="BT173" s="268" t="n"/>
      <c r="BU173" s="268" t="n"/>
      <c r="BV173" s="268" t="n"/>
      <c r="BW173" s="268" t="n"/>
      <c r="BX173" s="268" t="n"/>
      <c r="BY173" s="268" t="n"/>
      <c r="BZ173" s="268" t="n"/>
      <c r="CA173" s="268" t="n"/>
      <c r="CB173" s="268" t="n"/>
      <c r="CC173" s="268" t="n"/>
      <c r="CD173" s="268" t="n"/>
      <c r="CE173" s="268" t="n"/>
      <c r="CF173" s="268" t="n"/>
      <c r="CG173" s="268" t="n"/>
      <c r="CH173" s="268" t="n"/>
      <c r="CI173" s="268" t="n"/>
      <c r="CJ173" s="268" t="n"/>
      <c r="CK173" s="268" t="n"/>
      <c r="CL173" s="268" t="n"/>
      <c r="CM173" s="268" t="n"/>
      <c r="CN173" s="268" t="n"/>
      <c r="CO173" s="268" t="n"/>
      <c r="CP173" s="268" t="n"/>
      <c r="CQ173" s="268" t="n"/>
      <c r="CR173" s="268" t="n"/>
      <c r="CS173" s="268" t="n"/>
      <c r="CT173" s="268" t="n"/>
      <c r="CU173" s="268" t="n"/>
      <c r="CV173" s="268" t="n"/>
      <c r="CW173" s="268" t="n"/>
      <c r="CX173" s="268" t="n"/>
      <c r="CY173" s="268" t="n"/>
    </row>
    <row r="174" hidden="1" outlineLevel="1" ht="12.75" customHeight="1" s="255">
      <c r="C174" s="312" t="inlineStr">
        <is>
          <t>Purchase of intangible assets</t>
        </is>
      </c>
      <c r="D174" s="268" t="n"/>
      <c r="E174" s="268">
        <f>E172-D172-E76</f>
        <v>0</v>
      </c>
      <c r="F174" s="268">
        <f>F172-E172-F76</f>
        <v>0</v>
      </c>
      <c r="G174" s="268">
        <f>G172-F172-G76</f>
        <v>0</v>
      </c>
      <c r="H174" s="268" t="n"/>
      <c r="I174" s="268">
        <f>I172-H172-I76</f>
        <v>0</v>
      </c>
      <c r="J174" s="268">
        <f>J172-I172-J76</f>
        <v>0</v>
      </c>
      <c r="K174" s="268">
        <f>K172-J172-K76</f>
        <v>0</v>
      </c>
      <c r="L174" s="268">
        <f>L172-K172-L76</f>
        <v>0</v>
      </c>
      <c r="M174" s="268" t="n"/>
      <c r="N174" s="268">
        <f>N172-M172-N76</f>
        <v>0</v>
      </c>
      <c r="O174" s="268">
        <f>O172-N172-O76</f>
        <v>0</v>
      </c>
      <c r="P174" s="268">
        <f>P172-O172-P76</f>
        <v>0</v>
      </c>
      <c r="Q174" s="268">
        <f>Q172-P172-Q76</f>
        <v>0</v>
      </c>
      <c r="R174" s="268" t="n"/>
      <c r="S174" s="268">
        <f>S172-R172-S76</f>
        <v>0</v>
      </c>
      <c r="T174" s="268">
        <f>T172-S172-T76</f>
        <v>0</v>
      </c>
      <c r="U174" s="268">
        <f>U172-T172-U76</f>
        <v>0</v>
      </c>
      <c r="V174" s="268">
        <f>V172-U172-V76</f>
        <v>0</v>
      </c>
      <c r="W174" s="268" t="n"/>
      <c r="X174" s="268">
        <f>X172-W172-X76</f>
        <v>0</v>
      </c>
      <c r="Y174" s="268">
        <f>Y172-X172-Y76</f>
        <v>0</v>
      </c>
      <c r="Z174" s="268">
        <f>Z172-Y172-Z76</f>
        <v>0</v>
      </c>
      <c r="AA174" s="268">
        <f>AA172-Z172-AA76</f>
        <v>0</v>
      </c>
      <c r="AB174" s="268" t="n"/>
      <c r="AC174" s="268">
        <f>AC172-AB172-AC76</f>
        <v>0</v>
      </c>
      <c r="AD174" s="268">
        <f>AD172-AC172-AD76</f>
        <v>0</v>
      </c>
      <c r="AE174" s="268">
        <f>AE172-AD172-AE76</f>
        <v>0</v>
      </c>
      <c r="AF174" s="268" t="n"/>
      <c r="AG174" s="268" t="n"/>
      <c r="AH174" s="267">
        <f>AH172-AG172-AH76</f>
        <v>0</v>
      </c>
      <c r="AI174" s="267">
        <f>AI172-AH172-AI76</f>
        <v>0</v>
      </c>
      <c r="AJ174" s="267" t="n"/>
      <c r="AK174" s="267" t="n"/>
      <c r="AL174" s="268" t="n"/>
      <c r="AM174" s="267" t="n"/>
      <c r="AN174" s="267" t="n"/>
      <c r="AO174" s="267" t="n"/>
      <c r="AP174" s="267" t="n"/>
      <c r="AQ174" s="268" t="n"/>
      <c r="AR174" s="267" t="n"/>
      <c r="AS174" s="267" t="n"/>
      <c r="AT174" s="267" t="n"/>
      <c r="AU174" s="267" t="n"/>
      <c r="AV174" s="268" t="n"/>
      <c r="AW174" s="267" t="n"/>
      <c r="AX174" s="267" t="n"/>
      <c r="AY174" s="267" t="n"/>
      <c r="AZ174" s="267" t="n"/>
      <c r="BA174" s="268" t="n"/>
      <c r="BB174" s="267" t="n"/>
      <c r="BC174" s="267" t="n"/>
      <c r="BD174" s="267" t="n"/>
      <c r="BE174" s="267" t="n"/>
      <c r="BF174" s="268" t="n"/>
      <c r="BG174" s="267" t="n"/>
      <c r="BH174" s="267" t="n"/>
      <c r="BI174" s="267" t="n"/>
      <c r="BJ174" s="267" t="n"/>
      <c r="BK174" s="268" t="n"/>
      <c r="BL174" s="267" t="n"/>
      <c r="BM174" s="267" t="n"/>
      <c r="BN174" s="267" t="n"/>
      <c r="BO174" s="267" t="n"/>
      <c r="BP174" s="268" t="n"/>
      <c r="BQ174" s="267" t="n"/>
      <c r="BR174" s="267" t="n"/>
      <c r="BS174" s="267" t="n"/>
      <c r="BT174" s="267" t="n"/>
      <c r="BU174" s="268" t="n"/>
      <c r="BV174" s="267" t="n"/>
      <c r="BW174" s="267" t="n"/>
      <c r="BX174" s="267" t="n"/>
      <c r="BY174" s="267" t="n"/>
      <c r="BZ174" s="268" t="n"/>
      <c r="CA174" s="267" t="n"/>
      <c r="CB174" s="267" t="n"/>
      <c r="CC174" s="267" t="n"/>
      <c r="CD174" s="267" t="n"/>
      <c r="CE174" s="268" t="n"/>
      <c r="CF174" s="267" t="n"/>
      <c r="CG174" s="267" t="n"/>
      <c r="CH174" s="267" t="n"/>
      <c r="CI174" s="267" t="n"/>
      <c r="CJ174" s="268" t="n"/>
      <c r="CK174" s="267" t="n"/>
      <c r="CL174" s="267" t="n"/>
      <c r="CM174" s="267" t="n"/>
      <c r="CN174" s="267" t="n"/>
      <c r="CO174" s="268" t="n"/>
      <c r="CP174" s="267" t="n"/>
      <c r="CQ174" s="267" t="n"/>
      <c r="CR174" s="267" t="n"/>
      <c r="CS174" s="267" t="n"/>
      <c r="CT174" s="268" t="n"/>
      <c r="CU174" s="267" t="n"/>
      <c r="CV174" s="267" t="n"/>
      <c r="CW174" s="267" t="n"/>
      <c r="CX174" s="267" t="n"/>
      <c r="CY174" s="268" t="n"/>
    </row>
    <row r="175" hidden="1" outlineLevel="1" ht="12.75" customHeight="1" s="255">
      <c r="C175" s="312" t="inlineStr">
        <is>
          <t>Amortization (enter as -)</t>
        </is>
      </c>
      <c r="D175" s="268" t="n"/>
      <c r="E175" s="268">
        <f>E75</f>
        <v>0</v>
      </c>
      <c r="F175" s="268">
        <f>F75</f>
        <v>0</v>
      </c>
      <c r="G175" s="268">
        <f>G75</f>
        <v>0</v>
      </c>
      <c r="H175" s="268" t="n"/>
      <c r="I175" s="268">
        <f>I75</f>
        <v>0</v>
      </c>
      <c r="J175" s="268">
        <f>J75</f>
        <v>0</v>
      </c>
      <c r="K175" s="268">
        <f>K75</f>
        <v>0</v>
      </c>
      <c r="L175" s="268">
        <f>L75</f>
        <v>0</v>
      </c>
      <c r="M175" s="268" t="n"/>
      <c r="N175" s="268">
        <f>N75</f>
        <v>0</v>
      </c>
      <c r="O175" s="268">
        <f>O75</f>
        <v>0</v>
      </c>
      <c r="P175" s="268">
        <f>P75</f>
        <v>0</v>
      </c>
      <c r="Q175" s="268">
        <f>Q75</f>
        <v>0</v>
      </c>
      <c r="R175" s="268" t="n"/>
      <c r="S175" s="268">
        <f>S75</f>
        <v>0</v>
      </c>
      <c r="T175" s="268">
        <f>T75</f>
        <v>0</v>
      </c>
      <c r="U175" s="268">
        <f>U75</f>
        <v>0</v>
      </c>
      <c r="V175" s="268">
        <f>V75</f>
        <v>0</v>
      </c>
      <c r="W175" s="268" t="n"/>
      <c r="X175" s="268">
        <f>X75</f>
        <v>0</v>
      </c>
      <c r="Y175" s="268">
        <f>Y75</f>
        <v>0</v>
      </c>
      <c r="Z175" s="268">
        <f>Z75</f>
        <v>0</v>
      </c>
      <c r="AA175" s="268">
        <f>AA75</f>
        <v>0</v>
      </c>
      <c r="AB175" s="268" t="n"/>
      <c r="AC175" s="268">
        <f>AC75</f>
        <v>0</v>
      </c>
      <c r="AD175" s="268">
        <f>AD75</f>
        <v>0</v>
      </c>
      <c r="AE175" s="268">
        <f>AE75</f>
        <v>0</v>
      </c>
      <c r="AF175" s="268" t="n"/>
      <c r="AG175" s="268" t="n"/>
      <c r="AH175" s="268">
        <f>AH75</f>
        <v>0</v>
      </c>
      <c r="AI175" s="267">
        <f>AI75</f>
        <v>0</v>
      </c>
      <c r="AJ175" s="267" t="n"/>
      <c r="AK175" s="267" t="n"/>
      <c r="AL175" s="268" t="n"/>
      <c r="AM175" s="267" t="n"/>
      <c r="AN175" s="267" t="n"/>
      <c r="AO175" s="267" t="n"/>
      <c r="AP175" s="267" t="n"/>
      <c r="AQ175" s="268" t="n"/>
      <c r="AR175" s="267" t="n"/>
      <c r="AS175" s="267" t="n"/>
      <c r="AT175" s="267" t="n"/>
      <c r="AU175" s="267" t="n"/>
      <c r="AV175" s="268" t="n"/>
      <c r="AW175" s="267" t="n"/>
      <c r="AX175" s="267" t="n"/>
      <c r="AY175" s="267" t="n"/>
      <c r="AZ175" s="267" t="n"/>
      <c r="BA175" s="268" t="n"/>
      <c r="BB175" s="267" t="n"/>
      <c r="BC175" s="267" t="n"/>
      <c r="BD175" s="267" t="n"/>
      <c r="BE175" s="267" t="n"/>
      <c r="BF175" s="268" t="n"/>
      <c r="BG175" s="267" t="n"/>
      <c r="BH175" s="267" t="n"/>
      <c r="BI175" s="267" t="n"/>
      <c r="BJ175" s="267" t="n"/>
      <c r="BK175" s="268" t="n"/>
      <c r="BL175" s="267" t="n"/>
      <c r="BM175" s="267" t="n"/>
      <c r="BN175" s="267" t="n"/>
      <c r="BO175" s="267" t="n"/>
      <c r="BP175" s="268" t="n"/>
      <c r="BQ175" s="267" t="n"/>
      <c r="BR175" s="267" t="n"/>
      <c r="BS175" s="267" t="n"/>
      <c r="BT175" s="267" t="n"/>
      <c r="BU175" s="268" t="n"/>
      <c r="BV175" s="267" t="n"/>
      <c r="BW175" s="267" t="n"/>
      <c r="BX175" s="267" t="n"/>
      <c r="BY175" s="267" t="n"/>
      <c r="BZ175" s="268" t="n"/>
      <c r="CA175" s="267" t="n"/>
      <c r="CB175" s="267" t="n"/>
      <c r="CC175" s="267" t="n"/>
      <c r="CD175" s="267" t="n"/>
      <c r="CE175" s="268" t="n"/>
      <c r="CF175" s="267" t="n"/>
      <c r="CG175" s="267" t="n"/>
      <c r="CH175" s="267" t="n"/>
      <c r="CI175" s="267" t="n"/>
      <c r="CJ175" s="268" t="n"/>
      <c r="CK175" s="267" t="n"/>
      <c r="CL175" s="267" t="n"/>
      <c r="CM175" s="267" t="n"/>
      <c r="CN175" s="267" t="n"/>
      <c r="CO175" s="268" t="n"/>
      <c r="CP175" s="267" t="n"/>
      <c r="CQ175" s="267" t="n"/>
      <c r="CR175" s="267" t="n"/>
      <c r="CS175" s="267" t="n"/>
      <c r="CT175" s="268" t="n"/>
      <c r="CU175" s="267" t="n"/>
      <c r="CV175" s="267" t="n"/>
      <c r="CW175" s="267" t="n"/>
      <c r="CX175" s="267" t="n"/>
      <c r="CY175" s="268" t="n"/>
    </row>
    <row r="176" hidden="1" outlineLevel="1" ht="12.75" customHeight="1" s="255">
      <c r="C176" s="312" t="inlineStr">
        <is>
          <t>Intangibles</t>
        </is>
      </c>
      <c r="D176" s="268" t="n"/>
      <c r="E176" s="268">
        <f>E172</f>
        <v>0</v>
      </c>
      <c r="F176" s="268">
        <f>F172</f>
        <v>0</v>
      </c>
      <c r="G176" s="268">
        <f>G172</f>
        <v>0</v>
      </c>
      <c r="H176" s="268" t="n"/>
      <c r="I176" s="268">
        <f>I172</f>
        <v>0</v>
      </c>
      <c r="J176" s="268">
        <f>J172</f>
        <v>0</v>
      </c>
      <c r="K176" s="268">
        <f>K172</f>
        <v>0</v>
      </c>
      <c r="L176" s="268">
        <f>L172</f>
        <v>0</v>
      </c>
      <c r="M176" s="268" t="n"/>
      <c r="N176" s="268">
        <f>N172</f>
        <v>0</v>
      </c>
      <c r="O176" s="268">
        <f>O172</f>
        <v>0</v>
      </c>
      <c r="P176" s="268">
        <f>P172</f>
        <v>0</v>
      </c>
      <c r="Q176" s="268">
        <f>Q172</f>
        <v>0</v>
      </c>
      <c r="R176" s="268" t="n"/>
      <c r="S176" s="268">
        <f>S172</f>
        <v>0</v>
      </c>
      <c r="T176" s="268">
        <f>T172</f>
        <v>0</v>
      </c>
      <c r="U176" s="268">
        <f>U172</f>
        <v>0</v>
      </c>
      <c r="V176" s="268">
        <f>V172</f>
        <v>0</v>
      </c>
      <c r="W176" s="268" t="n"/>
      <c r="X176" s="268">
        <f>X172</f>
        <v>0</v>
      </c>
      <c r="Y176" s="268">
        <f>Y172</f>
        <v>0</v>
      </c>
      <c r="Z176" s="268">
        <f>Z172</f>
        <v>0</v>
      </c>
      <c r="AA176" s="268">
        <f>AA172</f>
        <v>0</v>
      </c>
      <c r="AB176" s="268" t="n"/>
      <c r="AC176" s="268">
        <f>AC172</f>
        <v>0</v>
      </c>
      <c r="AD176" s="268">
        <f>AD172</f>
        <v>0</v>
      </c>
      <c r="AE176" s="268">
        <f>AE172</f>
        <v>0</v>
      </c>
      <c r="AF176" s="268">
        <f>AF172</f>
        <v>0</v>
      </c>
      <c r="AG176" s="268" t="n"/>
      <c r="AH176" s="268">
        <f>AH172</f>
        <v>0</v>
      </c>
      <c r="AI176" s="268">
        <f>AI172</f>
        <v>0</v>
      </c>
      <c r="AJ176" s="268">
        <f>AI176+SUM(AJ174:AJ175)</f>
        <v>0</v>
      </c>
      <c r="AK176" s="268">
        <f>AJ176+SUM(AK174:AK175)</f>
        <v>0</v>
      </c>
      <c r="AL176" s="268" t="n"/>
      <c r="AM176" s="268">
        <f>AK176+SUM(AM174:AM175)</f>
        <v>0</v>
      </c>
      <c r="AN176" s="268">
        <f>AM176+SUM(AN174:AN175)</f>
        <v>0</v>
      </c>
      <c r="AO176" s="268">
        <f>AN176+SUM(AO174:AO175)</f>
        <v>0</v>
      </c>
      <c r="AP176" s="268">
        <f>AO176+SUM(AP174:AP175)</f>
        <v>0</v>
      </c>
      <c r="AQ176" s="268" t="n"/>
      <c r="AR176" s="268">
        <f>AP176+SUM(AR174:AR175)</f>
        <v>0</v>
      </c>
      <c r="AS176" s="268">
        <f>AR176+SUM(AS174:AS175)</f>
        <v>0</v>
      </c>
      <c r="AT176" s="268">
        <f>AS176+SUM(AT174:AT175)</f>
        <v>0</v>
      </c>
      <c r="AU176" s="268">
        <f>AT176+SUM(AU174:AU175)</f>
        <v>0</v>
      </c>
      <c r="AV176" s="268" t="n"/>
      <c r="AW176" s="268">
        <f>AU176+SUM(AW174:AW175)</f>
        <v>0</v>
      </c>
      <c r="AX176" s="268">
        <f>AW176+SUM(AX174:AX175)</f>
        <v>0</v>
      </c>
      <c r="AY176" s="268">
        <f>AX176+SUM(AY174:AY175)</f>
        <v>0</v>
      </c>
      <c r="AZ176" s="268">
        <f>AY176+SUM(AZ174:AZ175)</f>
        <v>0</v>
      </c>
      <c r="BA176" s="268" t="n"/>
      <c r="BB176" s="268">
        <f>AZ176+SUM(BB174:BB175)</f>
        <v>0</v>
      </c>
      <c r="BC176" s="268">
        <f>BB176+SUM(BC174:BC175)</f>
        <v>0</v>
      </c>
      <c r="BD176" s="268">
        <f>BC176+SUM(BD174:BD175)</f>
        <v>0</v>
      </c>
      <c r="BE176" s="268">
        <f>BD176+SUM(BE174:BE175)</f>
        <v>0</v>
      </c>
      <c r="BF176" s="268" t="n"/>
      <c r="BG176" s="268">
        <f>BE176+SUM(BG174:BG175)</f>
        <v>0</v>
      </c>
      <c r="BH176" s="268">
        <f>BG176+SUM(BH174:BH175)</f>
        <v>0</v>
      </c>
      <c r="BI176" s="268">
        <f>BH176+SUM(BI174:BI175)</f>
        <v>0</v>
      </c>
      <c r="BJ176" s="268">
        <f>BI176+SUM(BJ174:BJ175)</f>
        <v>0</v>
      </c>
      <c r="BK176" s="268" t="n"/>
      <c r="BL176" s="268">
        <f>BJ176+SUM(BL174:BL175)</f>
        <v>0</v>
      </c>
      <c r="BM176" s="268">
        <f>BL176+SUM(BM174:BM175)</f>
        <v>0</v>
      </c>
      <c r="BN176" s="268">
        <f>BM176+SUM(BN174:BN175)</f>
        <v>0</v>
      </c>
      <c r="BO176" s="268">
        <f>BN176+SUM(BO174:BO175)</f>
        <v>0</v>
      </c>
      <c r="BP176" s="268" t="n"/>
      <c r="BQ176" s="268">
        <f>BO176+SUM(BQ174:BQ175)</f>
        <v>0</v>
      </c>
      <c r="BR176" s="268">
        <f>BQ176+SUM(BR174:BR175)</f>
        <v>0</v>
      </c>
      <c r="BS176" s="268">
        <f>BR176+SUM(BS174:BS175)</f>
        <v>0</v>
      </c>
      <c r="BT176" s="268">
        <f>BS176+SUM(BT174:BT175)</f>
        <v>0</v>
      </c>
      <c r="BU176" s="268" t="n"/>
      <c r="BV176" s="268">
        <f>BT176+SUM(BV174:BV175)</f>
        <v>0</v>
      </c>
      <c r="BW176" s="268">
        <f>BV176+SUM(BW174:BW175)</f>
        <v>0</v>
      </c>
      <c r="BX176" s="268">
        <f>BW176+SUM(BX174:BX175)</f>
        <v>0</v>
      </c>
      <c r="BY176" s="268">
        <f>BX176+SUM(BY174:BY175)</f>
        <v>0</v>
      </c>
      <c r="BZ176" s="268" t="n"/>
      <c r="CA176" s="268">
        <f>BY176+SUM(CA174:CA175)</f>
        <v>0</v>
      </c>
      <c r="CB176" s="268">
        <f>CA176+SUM(CB174:CB175)</f>
        <v>0</v>
      </c>
      <c r="CC176" s="268">
        <f>CB176+SUM(CC174:CC175)</f>
        <v>0</v>
      </c>
      <c r="CD176" s="268">
        <f>CC176+SUM(CD174:CD175)</f>
        <v>0</v>
      </c>
      <c r="CE176" s="268" t="n"/>
      <c r="CF176" s="268">
        <f>CD176+SUM(CF174:CF175)</f>
        <v>0</v>
      </c>
      <c r="CG176" s="268">
        <f>CF176+SUM(CG174:CG175)</f>
        <v>0</v>
      </c>
      <c r="CH176" s="268">
        <f>CG176+SUM(CH174:CH175)</f>
        <v>0</v>
      </c>
      <c r="CI176" s="268">
        <f>CH176+SUM(CI174:CI175)</f>
        <v>0</v>
      </c>
      <c r="CJ176" s="268" t="n"/>
      <c r="CK176" s="268">
        <f>CI176+SUM(CK174:CK175)</f>
        <v>0</v>
      </c>
      <c r="CL176" s="268">
        <f>CK176+SUM(CL174:CL175)</f>
        <v>0</v>
      </c>
      <c r="CM176" s="268">
        <f>CL176+SUM(CM174:CM175)</f>
        <v>0</v>
      </c>
      <c r="CN176" s="268">
        <f>CM176+SUM(CN174:CN175)</f>
        <v>0</v>
      </c>
      <c r="CO176" s="268" t="n"/>
      <c r="CP176" s="268">
        <f>CN176+SUM(CP174:CP175)</f>
        <v>0</v>
      </c>
      <c r="CQ176" s="268">
        <f>CP176+SUM(CQ174:CQ175)</f>
        <v>0</v>
      </c>
      <c r="CR176" s="268">
        <f>CQ176+SUM(CR174:CR175)</f>
        <v>0</v>
      </c>
      <c r="CS176" s="268">
        <f>CR176+SUM(CS174:CS175)</f>
        <v>0</v>
      </c>
      <c r="CT176" s="268" t="n"/>
      <c r="CU176" s="268">
        <f>CS176+SUM(CU174:CU175)</f>
        <v>0</v>
      </c>
      <c r="CV176" s="268">
        <f>CU176+SUM(CV174:CV175)</f>
        <v>0</v>
      </c>
      <c r="CW176" s="268">
        <f>CV176+SUM(CW174:CW175)</f>
        <v>0</v>
      </c>
      <c r="CX176" s="268">
        <f>CW176+SUM(CX174:CX175)</f>
        <v>0</v>
      </c>
      <c r="CY176" s="268" t="n"/>
      <c r="CZ176" s="260">
        <f>CX176+SUM(CZ174:CZ175)</f>
        <v>0</v>
      </c>
      <c r="DA176" s="260">
        <f>CZ176+SUM(DA174:DA175)</f>
        <v>0</v>
      </c>
      <c r="DB176" s="260">
        <f>DA176+SUM(DB174:DB175)</f>
        <v>0</v>
      </c>
      <c r="DC176" s="260">
        <f>DB176+SUM(DC174:DC175)</f>
        <v>0</v>
      </c>
    </row>
    <row r="177" hidden="1" outlineLevel="1" ht="12.75" customHeight="1" s="255">
      <c r="C177" s="312" t="n"/>
      <c r="D177" s="268" t="n"/>
      <c r="E177" s="268" t="n"/>
      <c r="F177" s="268" t="n"/>
      <c r="G177" s="268" t="n"/>
      <c r="H177" s="268" t="n"/>
      <c r="I177" s="268" t="n"/>
      <c r="J177" s="268" t="n"/>
      <c r="K177" s="268" t="n"/>
      <c r="L177" s="268" t="n"/>
      <c r="M177" s="268" t="n"/>
      <c r="N177" s="268" t="n"/>
      <c r="O177" s="268" t="n"/>
      <c r="P177" s="268" t="n"/>
      <c r="Q177" s="268" t="n"/>
      <c r="R177" s="268" t="n"/>
      <c r="S177" s="268" t="n"/>
      <c r="T177" s="268" t="n"/>
      <c r="U177" s="268" t="n"/>
      <c r="V177" s="268" t="n"/>
      <c r="W177" s="268" t="n"/>
      <c r="X177" s="268" t="n"/>
      <c r="Y177" s="268" t="n"/>
      <c r="Z177" s="268" t="n"/>
      <c r="AA177" s="268" t="n"/>
      <c r="AB177" s="268" t="n"/>
      <c r="AC177" s="268" t="n"/>
      <c r="AD177" s="268" t="n"/>
      <c r="AE177" s="268" t="n"/>
      <c r="AF177" s="268" t="n"/>
      <c r="AG177" s="268" t="n"/>
      <c r="AH177" s="268" t="n"/>
      <c r="AI177" s="268" t="n"/>
      <c r="AJ177" s="268" t="n"/>
      <c r="AK177" s="268" t="n"/>
      <c r="AL177" s="268" t="n"/>
      <c r="AM177" s="268" t="n"/>
      <c r="AN177" s="268" t="n"/>
      <c r="AO177" s="268" t="n"/>
      <c r="AP177" s="268" t="n"/>
      <c r="AQ177" s="268" t="n"/>
      <c r="AR177" s="268" t="n"/>
      <c r="AS177" s="268" t="n"/>
      <c r="AT177" s="268" t="n"/>
      <c r="AU177" s="268" t="n"/>
      <c r="AV177" s="268" t="n"/>
      <c r="AW177" s="268" t="n"/>
      <c r="AX177" s="268" t="n"/>
      <c r="AY177" s="268" t="n"/>
      <c r="AZ177" s="268" t="n"/>
      <c r="BA177" s="268" t="n"/>
      <c r="BB177" s="268" t="n"/>
      <c r="BC177" s="268" t="n"/>
      <c r="BD177" s="268" t="n"/>
      <c r="BE177" s="268" t="n"/>
      <c r="BF177" s="268" t="n"/>
      <c r="BG177" s="268" t="n"/>
      <c r="BH177" s="268" t="n"/>
      <c r="BI177" s="268" t="n"/>
      <c r="BJ177" s="268" t="n"/>
      <c r="BK177" s="268" t="n"/>
      <c r="BL177" s="268" t="n"/>
      <c r="BM177" s="268" t="n"/>
      <c r="BN177" s="268" t="n"/>
      <c r="BO177" s="268" t="n"/>
      <c r="BP177" s="268" t="n"/>
      <c r="BQ177" s="268" t="n"/>
      <c r="BR177" s="268" t="n"/>
      <c r="BS177" s="268" t="n"/>
      <c r="BT177" s="268" t="n"/>
      <c r="BU177" s="268" t="n"/>
      <c r="BV177" s="268" t="n"/>
      <c r="BW177" s="268" t="n"/>
      <c r="BX177" s="268" t="n"/>
      <c r="BY177" s="268" t="n"/>
      <c r="BZ177" s="268" t="n"/>
      <c r="CA177" s="268" t="n"/>
      <c r="CB177" s="268" t="n"/>
      <c r="CC177" s="268" t="n"/>
      <c r="CD177" s="268" t="n"/>
      <c r="CE177" s="268" t="n"/>
      <c r="CF177" s="268" t="n"/>
      <c r="CG177" s="268" t="n"/>
      <c r="CH177" s="268" t="n"/>
      <c r="CI177" s="268" t="n"/>
      <c r="CJ177" s="268" t="n"/>
      <c r="CK177" s="268" t="n"/>
      <c r="CL177" s="268" t="n"/>
      <c r="CM177" s="268" t="n"/>
      <c r="CN177" s="268" t="n"/>
      <c r="CO177" s="268" t="n"/>
      <c r="CP177" s="268" t="n"/>
      <c r="CQ177" s="268" t="n"/>
      <c r="CR177" s="268" t="n"/>
      <c r="CS177" s="268" t="n"/>
      <c r="CT177" s="268" t="n"/>
      <c r="CU177" s="268" t="n"/>
      <c r="CV177" s="268" t="n"/>
      <c r="CW177" s="268" t="n"/>
      <c r="CX177" s="268" t="n"/>
      <c r="CY177" s="268" t="n"/>
    </row>
    <row r="178" hidden="1" outlineLevel="1" ht="12.75" customHeight="1" s="255">
      <c r="C178" s="312" t="inlineStr">
        <is>
          <t>Definir % do D&amp;A No PPE and Intagibles</t>
        </is>
      </c>
      <c r="D178" s="268" t="n"/>
      <c r="E178" s="268" t="n"/>
      <c r="F178" s="268" t="n"/>
      <c r="G178" s="268" t="n"/>
      <c r="H178" s="268" t="n"/>
      <c r="I178" s="268" t="n"/>
      <c r="J178" s="268" t="n"/>
      <c r="K178" s="268" t="n"/>
      <c r="L178" s="268" t="n"/>
      <c r="M178" s="268" t="n"/>
      <c r="N178" s="268" t="n"/>
      <c r="O178" s="268" t="n"/>
      <c r="P178" s="268" t="n"/>
      <c r="Q178" s="268" t="n"/>
      <c r="R178" s="268" t="n"/>
      <c r="S178" s="268" t="n"/>
      <c r="T178" s="268" t="n"/>
      <c r="U178" s="268" t="n"/>
      <c r="V178" s="268" t="n"/>
      <c r="W178" s="268" t="n"/>
      <c r="X178" s="268" t="n"/>
      <c r="Y178" s="268" t="n"/>
      <c r="Z178" s="268" t="n"/>
      <c r="AA178" s="268" t="n"/>
      <c r="AB178" s="268" t="n"/>
      <c r="AC178" s="268" t="n"/>
      <c r="AD178" s="268" t="n"/>
      <c r="AE178" s="268" t="n"/>
      <c r="AF178" s="268" t="n"/>
      <c r="AG178" s="268" t="n"/>
      <c r="AH178" s="268" t="n"/>
      <c r="AI178" s="268" t="n"/>
      <c r="AJ178" s="268" t="n"/>
      <c r="AK178" s="268" t="n"/>
      <c r="AL178" s="268" t="n"/>
      <c r="AM178" s="268" t="n"/>
      <c r="AN178" s="268" t="n"/>
      <c r="AO178" s="268" t="n"/>
      <c r="AP178" s="268" t="n"/>
      <c r="AQ178" s="268" t="n"/>
      <c r="AR178" s="268" t="n"/>
      <c r="AS178" s="268" t="n"/>
      <c r="AT178" s="268" t="n"/>
      <c r="AU178" s="268" t="n"/>
      <c r="AV178" s="268" t="n"/>
      <c r="AW178" s="268" t="n"/>
      <c r="AX178" s="268" t="n"/>
      <c r="AY178" s="268" t="n"/>
      <c r="AZ178" s="268" t="n"/>
      <c r="BA178" s="268" t="n"/>
      <c r="BB178" s="268" t="n"/>
      <c r="BC178" s="268" t="n"/>
      <c r="BD178" s="268" t="n"/>
      <c r="BE178" s="268" t="n"/>
      <c r="BF178" s="268" t="n"/>
      <c r="BG178" s="268" t="n"/>
      <c r="BH178" s="268" t="n"/>
      <c r="BI178" s="268" t="n"/>
      <c r="BJ178" s="268" t="n"/>
      <c r="BK178" s="268" t="n"/>
      <c r="BL178" s="268" t="n"/>
      <c r="BM178" s="268" t="n"/>
      <c r="BN178" s="268" t="n"/>
      <c r="BO178" s="268" t="n"/>
      <c r="BP178" s="268" t="n"/>
      <c r="BQ178" s="268" t="n"/>
      <c r="BR178" s="268" t="n"/>
      <c r="BS178" s="268" t="n"/>
      <c r="BT178" s="268" t="n"/>
      <c r="BU178" s="268" t="n"/>
      <c r="BV178" s="268" t="n"/>
      <c r="BW178" s="268" t="n"/>
      <c r="BX178" s="268" t="n"/>
      <c r="BY178" s="268" t="n"/>
      <c r="BZ178" s="268" t="n"/>
      <c r="CA178" s="268" t="n"/>
      <c r="CB178" s="268" t="n"/>
      <c r="CC178" s="268" t="n"/>
      <c r="CD178" s="268" t="n"/>
      <c r="CE178" s="268" t="n"/>
      <c r="CF178" s="268" t="n"/>
      <c r="CG178" s="268" t="n"/>
      <c r="CH178" s="268" t="n"/>
      <c r="CI178" s="268" t="n"/>
      <c r="CJ178" s="268" t="n"/>
      <c r="CK178" s="268" t="n"/>
      <c r="CL178" s="268" t="n"/>
      <c r="CM178" s="268" t="n"/>
      <c r="CN178" s="268" t="n"/>
      <c r="CO178" s="268" t="n"/>
      <c r="CP178" s="268" t="n"/>
      <c r="CQ178" s="268" t="n"/>
      <c r="CR178" s="268" t="n"/>
      <c r="CS178" s="268" t="n"/>
      <c r="CT178" s="268" t="n"/>
      <c r="CU178" s="268" t="n"/>
      <c r="CV178" s="268" t="n"/>
      <c r="CW178" s="268" t="n"/>
      <c r="CX178" s="268" t="n"/>
      <c r="CY178" s="268" t="n"/>
    </row>
    <row r="179" hidden="1" outlineLevel="1" ht="12.75" customHeight="1" s="255">
      <c r="C179" s="312" t="n"/>
      <c r="D179" s="268" t="n"/>
      <c r="E179" s="268" t="n"/>
      <c r="F179" s="268" t="n"/>
      <c r="G179" s="268" t="n"/>
      <c r="H179" s="268" t="n"/>
      <c r="I179" s="268" t="n"/>
      <c r="J179" s="268" t="n"/>
      <c r="K179" s="268" t="n"/>
      <c r="L179" s="268" t="n"/>
      <c r="M179" s="268" t="n"/>
      <c r="N179" s="268" t="n"/>
      <c r="O179" s="268" t="n"/>
      <c r="P179" s="268" t="n"/>
      <c r="Q179" s="268" t="n"/>
      <c r="R179" s="268" t="n"/>
      <c r="S179" s="268" t="n"/>
      <c r="T179" s="268" t="n"/>
      <c r="U179" s="268" t="n"/>
      <c r="V179" s="268" t="n"/>
      <c r="W179" s="268" t="n"/>
      <c r="X179" s="268" t="n"/>
      <c r="Y179" s="268" t="n"/>
      <c r="Z179" s="268" t="n"/>
      <c r="AA179" s="268" t="n"/>
      <c r="AB179" s="268" t="n"/>
      <c r="AC179" s="268" t="n"/>
      <c r="AD179" s="268" t="n"/>
      <c r="AE179" s="268" t="n"/>
      <c r="AF179" s="268" t="n"/>
      <c r="AG179" s="268" t="n"/>
      <c r="AH179" s="268" t="n"/>
      <c r="AI179" s="268" t="n"/>
      <c r="AJ179" s="268" t="n"/>
      <c r="AK179" s="268" t="n"/>
      <c r="AL179" s="268" t="n"/>
      <c r="AM179" s="268" t="n"/>
      <c r="AN179" s="268" t="n"/>
      <c r="AO179" s="268" t="n"/>
      <c r="AP179" s="268" t="n"/>
      <c r="AQ179" s="268" t="n"/>
      <c r="AR179" s="268" t="n"/>
      <c r="AS179" s="268" t="n"/>
      <c r="AT179" s="268" t="n"/>
      <c r="AU179" s="268" t="n"/>
      <c r="AV179" s="268" t="n"/>
      <c r="AW179" s="268" t="n"/>
      <c r="AX179" s="268" t="n"/>
      <c r="AY179" s="268" t="n"/>
      <c r="AZ179" s="268" t="n"/>
      <c r="BA179" s="268" t="n"/>
      <c r="BB179" s="268" t="n"/>
      <c r="BC179" s="268" t="n"/>
      <c r="BD179" s="268" t="n"/>
      <c r="BE179" s="268" t="n"/>
      <c r="BF179" s="268" t="n"/>
      <c r="BG179" s="268" t="n"/>
      <c r="BH179" s="268" t="n"/>
      <c r="BI179" s="268" t="n"/>
      <c r="BJ179" s="268" t="n"/>
      <c r="BK179" s="268" t="n"/>
      <c r="BL179" s="268" t="n"/>
      <c r="BM179" s="268" t="n"/>
      <c r="BN179" s="268" t="n"/>
      <c r="BO179" s="268" t="n"/>
      <c r="BP179" s="268" t="n"/>
      <c r="BQ179" s="268" t="n"/>
      <c r="BR179" s="268" t="n"/>
      <c r="BS179" s="268" t="n"/>
      <c r="BT179" s="268" t="n"/>
      <c r="BU179" s="268" t="n"/>
      <c r="BV179" s="268" t="n"/>
      <c r="BW179" s="268" t="n"/>
      <c r="BX179" s="268" t="n"/>
      <c r="BY179" s="268" t="n"/>
      <c r="BZ179" s="268" t="n"/>
      <c r="CA179" s="268" t="n"/>
      <c r="CB179" s="268" t="n"/>
      <c r="CC179" s="268" t="n"/>
      <c r="CD179" s="268" t="n"/>
      <c r="CE179" s="268" t="n"/>
      <c r="CF179" s="268" t="n"/>
      <c r="CG179" s="268" t="n"/>
      <c r="CH179" s="268" t="n"/>
      <c r="CI179" s="268" t="n"/>
      <c r="CJ179" s="268" t="n"/>
      <c r="CK179" s="268" t="n"/>
      <c r="CL179" s="268" t="n"/>
      <c r="CM179" s="268" t="n"/>
      <c r="CN179" s="268" t="n"/>
      <c r="CO179" s="268" t="n"/>
      <c r="CP179" s="268" t="n"/>
      <c r="CQ179" s="268" t="n"/>
      <c r="CR179" s="268" t="n"/>
      <c r="CS179" s="268" t="n"/>
      <c r="CT179" s="268" t="n"/>
      <c r="CU179" s="268" t="n"/>
      <c r="CV179" s="268" t="n"/>
      <c r="CW179" s="268" t="n"/>
      <c r="CX179" s="268" t="n"/>
      <c r="CY179" s="268" t="n"/>
    </row>
    <row r="180" hidden="1" outlineLevel="1" ht="12.75" customHeight="1" s="255">
      <c r="C180" s="312" t="n"/>
      <c r="D180" s="268" t="n"/>
      <c r="E180" s="268" t="n"/>
      <c r="F180" s="268" t="n"/>
      <c r="G180" s="268" t="n"/>
      <c r="H180" s="268" t="n"/>
      <c r="I180" s="268" t="n"/>
      <c r="J180" s="268" t="n"/>
      <c r="K180" s="268" t="n"/>
      <c r="L180" s="268" t="n"/>
      <c r="M180" s="268" t="n"/>
      <c r="N180" s="268" t="n"/>
      <c r="O180" s="268" t="n"/>
      <c r="P180" s="268" t="n"/>
      <c r="Q180" s="268" t="n"/>
      <c r="R180" s="268" t="n"/>
      <c r="S180" s="268" t="n"/>
      <c r="T180" s="268" t="n"/>
      <c r="U180" s="268" t="n"/>
      <c r="V180" s="268" t="n"/>
      <c r="W180" s="268" t="n"/>
      <c r="X180" s="268" t="n"/>
      <c r="Y180" s="268" t="n"/>
      <c r="Z180" s="268" t="n"/>
      <c r="AA180" s="268" t="n"/>
      <c r="AB180" s="268" t="n"/>
      <c r="AC180" s="268" t="n"/>
      <c r="AD180" s="268" t="n"/>
      <c r="AE180" s="268" t="n"/>
      <c r="AF180" s="268" t="n"/>
      <c r="AG180" s="268" t="n"/>
      <c r="AH180" s="268" t="n"/>
      <c r="AI180" s="268" t="n"/>
      <c r="AJ180" s="268" t="n"/>
      <c r="AK180" s="268" t="n"/>
      <c r="AL180" s="268" t="n"/>
      <c r="AM180" s="268" t="n"/>
      <c r="AN180" s="268" t="n"/>
      <c r="AO180" s="268" t="n"/>
      <c r="AP180" s="268" t="n"/>
      <c r="AQ180" s="268" t="n"/>
      <c r="AR180" s="268" t="n"/>
      <c r="AS180" s="268" t="n"/>
      <c r="AT180" s="268" t="n"/>
      <c r="AU180" s="268" t="n"/>
      <c r="AV180" s="268" t="n"/>
      <c r="AW180" s="268" t="n"/>
      <c r="AX180" s="268" t="n"/>
      <c r="AY180" s="268" t="n"/>
      <c r="AZ180" s="268" t="n"/>
      <c r="BA180" s="268" t="n"/>
      <c r="BB180" s="268" t="n"/>
      <c r="BC180" s="268" t="n"/>
      <c r="BD180" s="268" t="n"/>
      <c r="BE180" s="268" t="n"/>
      <c r="BF180" s="268" t="n"/>
      <c r="BG180" s="268" t="n"/>
      <c r="BH180" s="268" t="n"/>
      <c r="BI180" s="268" t="n"/>
      <c r="BJ180" s="268" t="n"/>
      <c r="BK180" s="268" t="n"/>
      <c r="BL180" s="268" t="n"/>
      <c r="BM180" s="268" t="n"/>
      <c r="BN180" s="268" t="n"/>
      <c r="BO180" s="268" t="n"/>
      <c r="BP180" s="268" t="n"/>
      <c r="BQ180" s="268" t="n"/>
      <c r="BR180" s="268" t="n"/>
      <c r="BS180" s="268" t="n"/>
      <c r="BT180" s="268" t="n"/>
      <c r="BU180" s="268" t="n"/>
      <c r="BV180" s="268" t="n"/>
      <c r="BW180" s="268" t="n"/>
      <c r="BX180" s="268" t="n"/>
      <c r="BY180" s="268" t="n"/>
      <c r="BZ180" s="268" t="n"/>
      <c r="CA180" s="268" t="n"/>
      <c r="CB180" s="268" t="n"/>
      <c r="CC180" s="268" t="n"/>
      <c r="CD180" s="268" t="n"/>
      <c r="CE180" s="268" t="n"/>
      <c r="CF180" s="268" t="n"/>
      <c r="CG180" s="268" t="n"/>
      <c r="CH180" s="268" t="n"/>
      <c r="CI180" s="268" t="n"/>
      <c r="CJ180" s="268" t="n"/>
      <c r="CK180" s="268" t="n"/>
      <c r="CL180" s="268" t="n"/>
      <c r="CM180" s="268" t="n"/>
      <c r="CN180" s="268" t="n"/>
      <c r="CO180" s="268" t="n"/>
      <c r="CP180" s="268" t="n"/>
      <c r="CQ180" s="268" t="n"/>
      <c r="CR180" s="268" t="n"/>
      <c r="CS180" s="268" t="n"/>
      <c r="CT180" s="268" t="n"/>
      <c r="CU180" s="268" t="n"/>
      <c r="CV180" s="268" t="n"/>
      <c r="CW180" s="268" t="n"/>
      <c r="CX180" s="268" t="n"/>
      <c r="CY180" s="268" t="n"/>
    </row>
    <row r="181" ht="12.75" customHeight="1" s="255">
      <c r="C181" s="270" t="inlineStr">
        <is>
          <t>Other non-current assets</t>
        </is>
      </c>
      <c r="D181" s="301">
        <f>INDEX('Inputs (2)'!$D$26:$AL$26,MATCH(D$7,'Inputs (2)'!$D$2:$AL$2,0))</f>
        <v>2963</v>
      </c>
      <c r="E181" s="301">
        <f>INDEX('Inputs (2)'!$D$26:$AL$26,MATCH(E$7,'Inputs (2)'!$D$2:$AL$2,0))</f>
        <v>3139</v>
      </c>
      <c r="F181" s="301">
        <f>INDEX('Inputs (2)'!$D$26:$AL$26,MATCH(F$7,'Inputs (2)'!$D$2:$AL$2,0))</f>
        <v>3117</v>
      </c>
      <c r="G181" s="301">
        <f>INDEX('Inputs (2)'!$D$26:$AL$26,MATCH(G$7,'Inputs (2)'!$D$2:$AL$2,0))</f>
        <v>3023</v>
      </c>
      <c r="H181" s="268">
        <f>G181</f>
        <v>3023</v>
      </c>
      <c r="I181" s="301">
        <f>INDEX('Inputs (2)'!$D$26:$AL$26,MATCH(I$7,'Inputs (2)'!$D$2:$AL$2,0))</f>
        <v>3012</v>
      </c>
      <c r="J181" s="301">
        <f>INDEX('Inputs (2)'!$D$26:$AL$26,MATCH(J$7,'Inputs (2)'!$D$2:$AL$2,0))</f>
        <v>3001</v>
      </c>
      <c r="K181" s="301">
        <f>INDEX('Inputs (2)'!$D$26:$AL$26,MATCH(K$7,'Inputs (2)'!$D$2:$AL$2,0))</f>
        <v>3024</v>
      </c>
      <c r="L181" s="301">
        <f>INDEX('Inputs (2)'!$D$26:$AL$26,MATCH(L$7,'Inputs (2)'!$D$2:$AL$2,0))</f>
        <v>2847</v>
      </c>
      <c r="M181" s="268">
        <f>L181</f>
        <v>2847</v>
      </c>
      <c r="N181" s="301">
        <f>INDEX('Inputs (2)'!$D$26:$AL$26,MATCH(N$7,'Inputs (2)'!$D$2:$AL$2,0))</f>
        <v>2822</v>
      </c>
      <c r="O181" s="301">
        <f>INDEX('Inputs (2)'!$D$26:$AL$26,MATCH(O$7,'Inputs (2)'!$D$2:$AL$2,0))</f>
        <v>2731</v>
      </c>
      <c r="P181" s="301">
        <f>INDEX('Inputs (2)'!$D$26:$AL$26,MATCH(P$7,'Inputs (2)'!$D$2:$AL$2,0))</f>
        <v>2740</v>
      </c>
      <c r="Q181" s="301">
        <f>INDEX('Inputs (2)'!$D$26:$AL$26,MATCH(Q$7,'Inputs (2)'!$D$2:$AL$2,0))</f>
        <v>2853</v>
      </c>
      <c r="R181" s="268">
        <f>Q181</f>
        <v>2853</v>
      </c>
      <c r="S181" s="301">
        <f>INDEX('Inputs (2)'!$D$26:$AL$26,MATCH(S$7,'Inputs (2)'!$D$2:$AL$2,0))</f>
        <v>3004</v>
      </c>
      <c r="T181" s="301">
        <f>INDEX('Inputs (2)'!$D$26:$AL$26,MATCH(T$7,'Inputs (2)'!$D$2:$AL$2,0))</f>
        <v>3005</v>
      </c>
      <c r="U181" s="301">
        <f>INDEX('Inputs (2)'!$D$26:$AL$26,MATCH(U$7,'Inputs (2)'!$D$2:$AL$2,0))</f>
        <v>3036</v>
      </c>
      <c r="V181" s="301">
        <f>INDEX('Inputs (2)'!$D$26:$AL$26,MATCH(V$7,'Inputs (2)'!$D$2:$AL$2,0))</f>
        <v>3146</v>
      </c>
      <c r="W181" s="268">
        <f>V181</f>
        <v>3146</v>
      </c>
      <c r="X181" s="301">
        <f>INDEX('Inputs (2)'!$D$26:$AL$26,MATCH(X$7,'Inputs (2)'!$D$2:$AL$2,0))</f>
        <v>3159</v>
      </c>
      <c r="Y181" s="301">
        <f>INDEX('Inputs (2)'!$D$26:$AL$26,MATCH(Y$7,'Inputs (2)'!$D$2:$AL$2,0))</f>
        <v>3129</v>
      </c>
      <c r="Z181" s="301">
        <f>INDEX('Inputs (2)'!$D$26:$AL$26,MATCH(Z$7,'Inputs (2)'!$D$2:$AL$2,0))</f>
        <v>3105</v>
      </c>
      <c r="AA181" s="301">
        <f>INDEX('Inputs (2)'!$D$26:$AL$26,MATCH(AA$7,'Inputs (2)'!$D$2:$AL$2,0))</f>
        <v>3038</v>
      </c>
      <c r="AB181" s="268">
        <f>AA181</f>
        <v>3038</v>
      </c>
      <c r="AC181" s="301">
        <f>INDEX('Inputs (2)'!$D$26:$AL$26,MATCH(AC$7,'Inputs (2)'!$D$2:$AL$2,0))</f>
        <v>3020</v>
      </c>
      <c r="AD181" s="301">
        <f>INDEX('Inputs (2)'!$D$26:$AL$26,MATCH(AD$7,'Inputs (2)'!$D$2:$AL$2,0))</f>
        <v>3021</v>
      </c>
      <c r="AE181" s="301">
        <f>INDEX('Inputs (2)'!$D$26:$AL$26,MATCH(AE$7,'Inputs (2)'!$D$2:$AL$2,0))</f>
        <v>3007</v>
      </c>
      <c r="AF181" s="301">
        <f>INDEX('Inputs (2)'!$D$26:$AL$26,MATCH(AF$7,'Inputs (2)'!$D$2:$AL$2,0))</f>
        <v>3641</v>
      </c>
      <c r="AG181" s="268">
        <f>AF181</f>
        <v>3641</v>
      </c>
      <c r="AH181" s="268">
        <f>INDEX('Inputs (2)'!$D$26:$AL$26,MATCH(AH$7,'Inputs (2)'!$D$2:$AL$2,0))</f>
        <v>3647</v>
      </c>
      <c r="AI181" s="268">
        <f>INDEX('Inputs (2)'!$D$26:$AL$26,MATCH(AI$7,'Inputs (2)'!$D$2:$AL$2,0))</f>
        <v>3857</v>
      </c>
      <c r="AJ181" s="268">
        <f>AI181</f>
        <v>3857</v>
      </c>
      <c r="AK181" s="268">
        <f>AJ181</f>
        <v>3857</v>
      </c>
      <c r="AL181" s="268">
        <f>AK181</f>
        <v>3857</v>
      </c>
      <c r="AM181" s="268">
        <f>AL181</f>
        <v>3857</v>
      </c>
      <c r="AN181" s="268">
        <f>AM181</f>
        <v>3857</v>
      </c>
      <c r="AO181" s="268">
        <f>AN181</f>
        <v>3857</v>
      </c>
      <c r="AP181" s="268">
        <f>AO181</f>
        <v>3857</v>
      </c>
      <c r="AQ181" s="268">
        <f>AP181</f>
        <v>3857</v>
      </c>
      <c r="AR181" s="268">
        <f>AQ181</f>
        <v>3857</v>
      </c>
      <c r="AS181" s="268">
        <f>AR181</f>
        <v>3857</v>
      </c>
      <c r="AT181" s="268">
        <f>AS181</f>
        <v>3857</v>
      </c>
      <c r="AU181" s="268">
        <f>AT181</f>
        <v>3857</v>
      </c>
      <c r="AV181" s="268">
        <f>AU181</f>
        <v>3857</v>
      </c>
      <c r="AW181" s="268">
        <f>AV181</f>
        <v>3857</v>
      </c>
      <c r="AX181" s="268">
        <f>AW181</f>
        <v>3857</v>
      </c>
      <c r="AY181" s="268">
        <f>AX181</f>
        <v>3857</v>
      </c>
      <c r="AZ181" s="268">
        <f>AY181</f>
        <v>3857</v>
      </c>
      <c r="BA181" s="268">
        <f>AZ181</f>
        <v>3857</v>
      </c>
      <c r="BB181" s="268">
        <f>BA181</f>
        <v>3857</v>
      </c>
      <c r="BC181" s="268">
        <f>BB181</f>
        <v>3857</v>
      </c>
      <c r="BD181" s="268">
        <f>BC181</f>
        <v>3857</v>
      </c>
      <c r="BE181" s="268">
        <f>BD181</f>
        <v>3857</v>
      </c>
      <c r="BF181" s="268">
        <f>BE181</f>
        <v>3857</v>
      </c>
      <c r="BG181" s="268">
        <f>BF181</f>
        <v>3857</v>
      </c>
      <c r="BH181" s="268">
        <f>BG181</f>
        <v>3857</v>
      </c>
      <c r="BI181" s="268">
        <f>BH181</f>
        <v>3857</v>
      </c>
      <c r="BJ181" s="268">
        <f>BI181</f>
        <v>3857</v>
      </c>
      <c r="BK181" s="268">
        <f>BJ181</f>
        <v>3857</v>
      </c>
      <c r="BL181" s="268">
        <f>BK181</f>
        <v>3857</v>
      </c>
      <c r="BM181" s="268">
        <f>BL181</f>
        <v>3857</v>
      </c>
      <c r="BN181" s="268">
        <f>BM181</f>
        <v>3857</v>
      </c>
      <c r="BO181" s="268">
        <f>BN181</f>
        <v>3857</v>
      </c>
      <c r="BP181" s="268">
        <f>BO181</f>
        <v>3857</v>
      </c>
      <c r="BQ181" s="268">
        <f>BP181</f>
        <v>3857</v>
      </c>
      <c r="BR181" s="268">
        <f>BQ181</f>
        <v>3857</v>
      </c>
      <c r="BS181" s="268">
        <f>BR181</f>
        <v>3857</v>
      </c>
      <c r="BT181" s="268">
        <f>BS181</f>
        <v>3857</v>
      </c>
      <c r="BU181" s="268">
        <f>BT181</f>
        <v>3857</v>
      </c>
      <c r="BV181" s="268">
        <f>BU181</f>
        <v>3857</v>
      </c>
      <c r="BW181" s="268">
        <f>BV181</f>
        <v>3857</v>
      </c>
      <c r="BX181" s="268">
        <f>BW181</f>
        <v>3857</v>
      </c>
      <c r="BY181" s="268">
        <f>BX181</f>
        <v>3857</v>
      </c>
      <c r="BZ181" s="268">
        <f>BY181</f>
        <v>3857</v>
      </c>
      <c r="CA181" s="268">
        <f>BZ181</f>
        <v>3857</v>
      </c>
      <c r="CB181" s="268">
        <f>CA181</f>
        <v>3857</v>
      </c>
      <c r="CC181" s="268">
        <f>CB181</f>
        <v>3857</v>
      </c>
      <c r="CD181" s="268">
        <f>CC181</f>
        <v>3857</v>
      </c>
      <c r="CE181" s="268">
        <f>CD181</f>
        <v>3857</v>
      </c>
      <c r="CF181" s="268">
        <f>CE181</f>
        <v>3857</v>
      </c>
      <c r="CG181" s="268">
        <f>CF181</f>
        <v>3857</v>
      </c>
      <c r="CH181" s="268">
        <f>CG181</f>
        <v>3857</v>
      </c>
      <c r="CI181" s="268">
        <f>CH181</f>
        <v>3857</v>
      </c>
      <c r="CJ181" s="268">
        <f>CI181</f>
        <v>3857</v>
      </c>
      <c r="CK181" s="268">
        <f>CJ181</f>
        <v>3857</v>
      </c>
      <c r="CL181" s="268">
        <f>CK181</f>
        <v>3857</v>
      </c>
      <c r="CM181" s="268">
        <f>CL181</f>
        <v>3857</v>
      </c>
      <c r="CN181" s="268">
        <f>CM181</f>
        <v>3857</v>
      </c>
      <c r="CO181" s="268">
        <f>CN181</f>
        <v>3857</v>
      </c>
      <c r="CP181" s="268">
        <f>CO181</f>
        <v>3857</v>
      </c>
      <c r="CQ181" s="268">
        <f>CP181</f>
        <v>3857</v>
      </c>
      <c r="CR181" s="268">
        <f>CQ181</f>
        <v>3857</v>
      </c>
      <c r="CS181" s="268">
        <f>CR181</f>
        <v>3857</v>
      </c>
      <c r="CT181" s="268">
        <f>CS181</f>
        <v>3857</v>
      </c>
      <c r="CU181" s="268">
        <f>CT181</f>
        <v>3857</v>
      </c>
      <c r="CV181" s="268">
        <f>CU181</f>
        <v>3857</v>
      </c>
      <c r="CW181" s="268">
        <f>CV181</f>
        <v>3857</v>
      </c>
      <c r="CX181" s="268">
        <f>CW181</f>
        <v>3857</v>
      </c>
      <c r="CY181" s="268">
        <f>CX181</f>
        <v>3857</v>
      </c>
    </row>
    <row r="182" hidden="1" outlineLevel="1" ht="12.75" customHeight="1" s="255">
      <c r="C182" s="314" t="inlineStr">
        <is>
          <t>%(Var.)</t>
        </is>
      </c>
      <c r="D182" s="268" t="n"/>
      <c r="E182" s="296">
        <f>(E181-D181)/D181</f>
        <v>0.0593992575092811</v>
      </c>
      <c r="F182" s="296">
        <f>(F181-E181)/E181</f>
        <v>-0.00700860146543485</v>
      </c>
      <c r="G182" s="296">
        <f>(G181-F181)/F181</f>
        <v>-0.0301572024382419</v>
      </c>
      <c r="H182" s="268" t="n"/>
      <c r="I182" s="296">
        <f>(I181-H181)/H181</f>
        <v>-0.00363876943433675</v>
      </c>
      <c r="J182" s="296">
        <f>(J181-I181)/I181</f>
        <v>-0.00365205843293493</v>
      </c>
      <c r="K182" s="296">
        <f>(K181-J181)/J181</f>
        <v>0.00766411196267911</v>
      </c>
      <c r="L182" s="296">
        <f>(L181-K181)/K181</f>
        <v>-0.058531746031746</v>
      </c>
      <c r="M182" s="268" t="n"/>
      <c r="N182" s="296">
        <f>(N181-M181)/M181</f>
        <v>-0.00878117316473481</v>
      </c>
      <c r="O182" s="296">
        <f>(O181-N181)/N181</f>
        <v>-0.0322466335931963</v>
      </c>
      <c r="P182" s="296">
        <f>(P181-O181)/O181</f>
        <v>0.00329549615525449</v>
      </c>
      <c r="Q182" s="296">
        <f>(Q181-P181)/P181</f>
        <v>0.0412408759124088</v>
      </c>
      <c r="R182" s="268" t="n"/>
      <c r="S182" s="296">
        <f>(S181-R181)/R181</f>
        <v>0.0529267437784788</v>
      </c>
      <c r="T182" s="296">
        <f>(T181-S181)/S181</f>
        <v>0.00033288948069241</v>
      </c>
      <c r="U182" s="296">
        <f>(U181-T181)/T181</f>
        <v>0.0103161397670549</v>
      </c>
      <c r="V182" s="296">
        <f>(V181-U181)/U181</f>
        <v>0.036231884057971</v>
      </c>
      <c r="W182" s="268" t="n"/>
      <c r="X182" s="296">
        <f>(X181-W181)/W181</f>
        <v>0.00413223140495868</v>
      </c>
      <c r="Y182" s="296">
        <f>(Y181-X181)/X181</f>
        <v>-0.00949667616334283</v>
      </c>
      <c r="Z182" s="296">
        <f>(Z181-Y181)/Y181</f>
        <v>-0.00767018216682646</v>
      </c>
      <c r="AA182" s="296">
        <f>(AA181-Z181)/Z181</f>
        <v>-0.0215780998389694</v>
      </c>
      <c r="AB182" s="268" t="n"/>
      <c r="AC182" s="296">
        <f>(AC181-AB181)/AB181</f>
        <v>-0.00592495062541146</v>
      </c>
      <c r="AD182" s="296">
        <f>(AD181-AC181)/AC181</f>
        <v>0.00033112582781457</v>
      </c>
      <c r="AE182" s="296">
        <f>(AE181-AD181)/AD181</f>
        <v>-0.00463422707712678</v>
      </c>
      <c r="AF182" s="311">
        <f>(AF181-AE181)/AE181</f>
        <v>0.210841370136349</v>
      </c>
      <c r="AG182" s="268" t="n"/>
      <c r="AH182" s="311">
        <f>(AH181-AG181)/AG181</f>
        <v>0.0016478989288657</v>
      </c>
      <c r="AI182" s="311">
        <f>(AI181-AH181)/AH181</f>
        <v>0.0575815738963532</v>
      </c>
      <c r="AJ182" s="311" t="n"/>
      <c r="AK182" s="311" t="n"/>
      <c r="AL182" s="268" t="n"/>
      <c r="AM182" s="311" t="n"/>
      <c r="AN182" s="311" t="n"/>
      <c r="AO182" s="311" t="n"/>
      <c r="AP182" s="311" t="n"/>
      <c r="AQ182" s="268" t="n"/>
      <c r="AR182" s="311" t="n"/>
      <c r="AS182" s="311" t="n"/>
      <c r="AT182" s="311" t="n"/>
      <c r="AU182" s="311" t="n"/>
      <c r="AV182" s="268" t="n"/>
      <c r="AW182" s="311" t="n"/>
      <c r="AX182" s="311" t="n"/>
      <c r="AY182" s="311" t="n"/>
      <c r="AZ182" s="311" t="n"/>
      <c r="BA182" s="268" t="n"/>
      <c r="BB182" s="311" t="n"/>
      <c r="BC182" s="311" t="n"/>
      <c r="BD182" s="311" t="n"/>
      <c r="BE182" s="311" t="n"/>
      <c r="BF182" s="268" t="n"/>
      <c r="BG182" s="311" t="n"/>
      <c r="BH182" s="311" t="n"/>
      <c r="BI182" s="311" t="n"/>
      <c r="BJ182" s="311" t="n"/>
      <c r="BK182" s="268" t="n"/>
      <c r="BL182" s="311" t="n"/>
      <c r="BM182" s="311" t="n"/>
      <c r="BN182" s="311" t="n"/>
      <c r="BO182" s="311" t="n"/>
      <c r="BP182" s="268" t="n"/>
      <c r="BQ182" s="311" t="n"/>
      <c r="BR182" s="311" t="n"/>
      <c r="BS182" s="311" t="n"/>
      <c r="BT182" s="311" t="n"/>
      <c r="BU182" s="268" t="n"/>
      <c r="BV182" s="311" t="n"/>
      <c r="BW182" s="311" t="n"/>
      <c r="BX182" s="311" t="n"/>
      <c r="BY182" s="311" t="n"/>
      <c r="BZ182" s="268" t="n"/>
      <c r="CA182" s="311" t="n"/>
      <c r="CB182" s="311" t="n"/>
      <c r="CC182" s="311" t="n"/>
      <c r="CD182" s="311" t="n"/>
      <c r="CE182" s="268" t="n"/>
      <c r="CF182" s="311" t="n"/>
      <c r="CG182" s="311" t="n"/>
      <c r="CH182" s="311" t="n"/>
      <c r="CI182" s="311" t="n"/>
      <c r="CJ182" s="268" t="n"/>
      <c r="CK182" s="311" t="n"/>
      <c r="CL182" s="311" t="n"/>
      <c r="CM182" s="311" t="n"/>
      <c r="CN182" s="311" t="n"/>
      <c r="CO182" s="268" t="n"/>
      <c r="CP182" s="311" t="n"/>
      <c r="CQ182" s="311" t="n"/>
      <c r="CR182" s="311" t="n"/>
      <c r="CS182" s="311" t="n"/>
      <c r="CT182" s="268" t="n"/>
      <c r="CU182" s="311" t="n"/>
      <c r="CV182" s="311" t="n"/>
      <c r="CW182" s="311" t="n"/>
      <c r="CX182" s="311" t="n"/>
      <c r="CY182" s="268" t="n"/>
    </row>
    <row r="183" hidden="1" outlineLevel="1" ht="12.75" customHeight="1" s="255">
      <c r="C183" s="312" t="n"/>
      <c r="D183" s="268" t="n"/>
      <c r="E183" s="296" t="n"/>
      <c r="F183" s="296" t="n"/>
      <c r="G183" s="296" t="n"/>
      <c r="H183" s="268" t="n"/>
      <c r="I183" s="296" t="n"/>
      <c r="J183" s="296" t="n"/>
      <c r="K183" s="296" t="n"/>
      <c r="L183" s="296" t="n"/>
      <c r="M183" s="268" t="n"/>
      <c r="N183" s="296" t="n"/>
      <c r="O183" s="296" t="n"/>
      <c r="P183" s="296" t="n"/>
      <c r="Q183" s="296" t="n"/>
      <c r="R183" s="268" t="n"/>
      <c r="S183" s="296" t="n"/>
      <c r="T183" s="296" t="n"/>
      <c r="U183" s="296" t="n"/>
      <c r="V183" s="296" t="n"/>
      <c r="W183" s="268" t="n"/>
      <c r="X183" s="296" t="n"/>
      <c r="Y183" s="296" t="n"/>
      <c r="Z183" s="296" t="n"/>
      <c r="AA183" s="296" t="n"/>
      <c r="AB183" s="268" t="n"/>
      <c r="AC183" s="296" t="n"/>
      <c r="AD183" s="296" t="n"/>
      <c r="AE183" s="296" t="n"/>
      <c r="AF183" s="311" t="n"/>
      <c r="AG183" s="268" t="n"/>
      <c r="AH183" s="311" t="n"/>
      <c r="AI183" s="311" t="n"/>
      <c r="AJ183" s="311" t="n"/>
      <c r="AK183" s="311" t="n"/>
      <c r="AL183" s="268" t="n"/>
      <c r="AM183" s="311" t="n"/>
      <c r="AN183" s="311" t="n"/>
      <c r="AO183" s="311" t="n"/>
      <c r="AP183" s="311" t="n"/>
      <c r="AQ183" s="268" t="n"/>
      <c r="AR183" s="311" t="n"/>
      <c r="AS183" s="311" t="n"/>
      <c r="AT183" s="311" t="n"/>
      <c r="AU183" s="311" t="n"/>
      <c r="AV183" s="268" t="n"/>
      <c r="AW183" s="311" t="n"/>
      <c r="AX183" s="311" t="n"/>
      <c r="AY183" s="311" t="n"/>
      <c r="AZ183" s="311" t="n"/>
      <c r="BA183" s="268" t="n"/>
      <c r="BB183" s="311" t="n"/>
      <c r="BC183" s="311" t="n"/>
      <c r="BD183" s="311" t="n"/>
      <c r="BE183" s="311" t="n"/>
      <c r="BF183" s="268" t="n"/>
      <c r="BG183" s="311" t="n"/>
      <c r="BH183" s="311" t="n"/>
      <c r="BI183" s="311" t="n"/>
      <c r="BJ183" s="311" t="n"/>
      <c r="BK183" s="268" t="n"/>
      <c r="BL183" s="311" t="n"/>
      <c r="BM183" s="311" t="n"/>
      <c r="BN183" s="311" t="n"/>
      <c r="BO183" s="311" t="n"/>
      <c r="BP183" s="268" t="n"/>
      <c r="BQ183" s="311" t="n"/>
      <c r="BR183" s="311" t="n"/>
      <c r="BS183" s="311" t="n"/>
      <c r="BT183" s="311" t="n"/>
      <c r="BU183" s="268" t="n"/>
      <c r="BV183" s="311" t="n"/>
      <c r="BW183" s="311" t="n"/>
      <c r="BX183" s="311" t="n"/>
      <c r="BY183" s="311" t="n"/>
      <c r="BZ183" s="268" t="n"/>
      <c r="CA183" s="311" t="n"/>
      <c r="CB183" s="311" t="n"/>
      <c r="CC183" s="311" t="n"/>
      <c r="CD183" s="311" t="n"/>
      <c r="CE183" s="268" t="n"/>
      <c r="CF183" s="311" t="n"/>
      <c r="CG183" s="311" t="n"/>
      <c r="CH183" s="311" t="n"/>
      <c r="CI183" s="311" t="n"/>
      <c r="CJ183" s="268" t="n"/>
      <c r="CK183" s="311" t="n"/>
      <c r="CL183" s="311" t="n"/>
      <c r="CM183" s="311" t="n"/>
      <c r="CN183" s="311" t="n"/>
      <c r="CO183" s="268" t="n"/>
      <c r="CP183" s="311" t="n"/>
      <c r="CQ183" s="311" t="n"/>
      <c r="CR183" s="311" t="n"/>
      <c r="CS183" s="311" t="n"/>
      <c r="CT183" s="268" t="n"/>
      <c r="CU183" s="311" t="n"/>
      <c r="CV183" s="311" t="n"/>
      <c r="CW183" s="311" t="n"/>
      <c r="CX183" s="311" t="n"/>
      <c r="CY183" s="268" t="n"/>
    </row>
    <row r="184" hidden="1" outlineLevel="1" ht="12.75" customHeight="1" s="255">
      <c r="C184" s="315" t="inlineStr">
        <is>
          <t>Outros Créditos - LP</t>
        </is>
      </c>
      <c r="D184" s="267" t="n"/>
      <c r="E184" s="267" t="n"/>
      <c r="F184" s="267" t="n"/>
      <c r="G184" s="267" t="n"/>
      <c r="H184" s="268" t="n"/>
      <c r="I184" s="267" t="n"/>
      <c r="J184" s="267" t="n"/>
      <c r="K184" s="267" t="n"/>
      <c r="L184" s="267" t="n"/>
      <c r="M184" s="268" t="n"/>
      <c r="N184" s="267" t="n"/>
      <c r="O184" s="267" t="n"/>
      <c r="P184" s="267" t="n"/>
      <c r="Q184" s="267" t="n"/>
      <c r="R184" s="268" t="n"/>
      <c r="S184" s="267" t="n"/>
      <c r="T184" s="267" t="n"/>
      <c r="U184" s="267" t="n"/>
      <c r="V184" s="267" t="n"/>
      <c r="W184" s="268" t="n"/>
      <c r="X184" s="267" t="n"/>
      <c r="Y184" s="267" t="n"/>
      <c r="Z184" s="267" t="n"/>
      <c r="AA184" s="267" t="n"/>
      <c r="AB184" s="268" t="n"/>
      <c r="AC184" s="267" t="n"/>
      <c r="AD184" s="267" t="n"/>
      <c r="AE184" s="267" t="n"/>
      <c r="AF184" s="267" t="n"/>
      <c r="AG184" s="268" t="n"/>
      <c r="AH184" s="268" t="n"/>
      <c r="AI184" s="268" t="n"/>
      <c r="AJ184" s="268" t="n"/>
      <c r="AK184" s="268" t="n"/>
      <c r="AL184" s="268" t="n"/>
      <c r="AM184" s="268" t="n"/>
      <c r="AN184" s="268" t="n"/>
      <c r="AO184" s="268" t="n"/>
      <c r="AP184" s="268" t="n"/>
      <c r="AQ184" s="268" t="n"/>
      <c r="AR184" s="268" t="n"/>
      <c r="AS184" s="268" t="n"/>
      <c r="AT184" s="268" t="n"/>
      <c r="AU184" s="268" t="n"/>
      <c r="AV184" s="268" t="n"/>
      <c r="AW184" s="268" t="n"/>
      <c r="AX184" s="268" t="n"/>
      <c r="AY184" s="268" t="n"/>
      <c r="AZ184" s="268" t="n"/>
      <c r="BA184" s="268" t="n"/>
      <c r="BB184" s="268" t="n"/>
      <c r="BC184" s="268" t="n"/>
      <c r="BD184" s="268" t="n"/>
      <c r="BE184" s="268" t="n"/>
      <c r="BF184" s="268" t="n"/>
      <c r="BG184" s="268" t="n"/>
      <c r="BH184" s="268" t="n"/>
      <c r="BI184" s="268" t="n"/>
      <c r="BJ184" s="268" t="n"/>
      <c r="BK184" s="268" t="n"/>
      <c r="BL184" s="268" t="n"/>
      <c r="BM184" s="268" t="n"/>
      <c r="BN184" s="268" t="n"/>
      <c r="BO184" s="268" t="n"/>
      <c r="BP184" s="268" t="n"/>
      <c r="BQ184" s="268" t="n"/>
      <c r="BR184" s="268" t="n"/>
      <c r="BS184" s="268" t="n"/>
      <c r="BT184" s="268" t="n"/>
      <c r="BU184" s="268" t="n"/>
      <c r="BV184" s="268" t="n"/>
      <c r="BW184" s="268" t="n"/>
      <c r="BX184" s="268" t="n"/>
      <c r="BY184" s="268" t="n"/>
      <c r="BZ184" s="268" t="n"/>
      <c r="CA184" s="268" t="n"/>
      <c r="CB184" s="268" t="n"/>
      <c r="CC184" s="268" t="n"/>
      <c r="CD184" s="268" t="n"/>
      <c r="CE184" s="268" t="n"/>
      <c r="CF184" s="268" t="n"/>
      <c r="CG184" s="268" t="n"/>
      <c r="CH184" s="268" t="n"/>
      <c r="CI184" s="268" t="n"/>
      <c r="CJ184" s="268" t="n"/>
      <c r="CK184" s="268" t="n"/>
      <c r="CL184" s="268" t="n"/>
      <c r="CM184" s="268" t="n"/>
      <c r="CN184" s="268" t="n"/>
      <c r="CO184" s="268" t="n"/>
      <c r="CP184" s="268" t="n"/>
      <c r="CQ184" s="268" t="n"/>
      <c r="CR184" s="268" t="n"/>
      <c r="CS184" s="268" t="n"/>
      <c r="CT184" s="268" t="n"/>
      <c r="CU184" s="268" t="n"/>
      <c r="CV184" s="268" t="n"/>
      <c r="CW184" s="268" t="n"/>
      <c r="CX184" s="268" t="n"/>
      <c r="CY184" s="268" t="n"/>
    </row>
    <row r="185" hidden="1" outlineLevel="1" ht="12.75" customHeight="1" s="255">
      <c r="C185" s="315" t="inlineStr">
        <is>
          <t xml:space="preserve">Impostos e Contribuições a Recuperar </t>
        </is>
      </c>
      <c r="D185" s="267" t="n"/>
      <c r="E185" s="267" t="n"/>
      <c r="F185" s="267" t="n"/>
      <c r="G185" s="267" t="n"/>
      <c r="H185" s="268" t="n"/>
      <c r="I185" s="267" t="n"/>
      <c r="J185" s="267" t="n"/>
      <c r="K185" s="267" t="n"/>
      <c r="L185" s="267" t="n"/>
      <c r="M185" s="268" t="n"/>
      <c r="N185" s="267" t="n"/>
      <c r="O185" s="267" t="n"/>
      <c r="P185" s="267" t="n"/>
      <c r="Q185" s="267" t="n"/>
      <c r="R185" s="268" t="n"/>
      <c r="S185" s="267" t="n"/>
      <c r="T185" s="267" t="n"/>
      <c r="U185" s="267" t="n"/>
      <c r="V185" s="267" t="n"/>
      <c r="W185" s="268" t="n"/>
      <c r="X185" s="267" t="n"/>
      <c r="Y185" s="267" t="n"/>
      <c r="Z185" s="267" t="n"/>
      <c r="AA185" s="267" t="n"/>
      <c r="AB185" s="268" t="n"/>
      <c r="AC185" s="267" t="n"/>
      <c r="AD185" s="267" t="n"/>
      <c r="AE185" s="267" t="n"/>
      <c r="AF185" s="267" t="n"/>
      <c r="AG185" s="268" t="n"/>
      <c r="AH185" s="268" t="n"/>
      <c r="AI185" s="268" t="n"/>
      <c r="AJ185" s="268" t="n"/>
      <c r="AK185" s="268" t="n"/>
      <c r="AL185" s="268" t="n"/>
      <c r="AM185" s="268" t="n"/>
      <c r="AN185" s="268" t="n"/>
      <c r="AO185" s="268" t="n"/>
      <c r="AP185" s="268" t="n"/>
      <c r="AQ185" s="268" t="n"/>
      <c r="AR185" s="268" t="n"/>
      <c r="AS185" s="268" t="n"/>
      <c r="AT185" s="268" t="n"/>
      <c r="AU185" s="268" t="n"/>
      <c r="AV185" s="268" t="n"/>
      <c r="AW185" s="268" t="n"/>
      <c r="AX185" s="268" t="n"/>
      <c r="AY185" s="268" t="n"/>
      <c r="AZ185" s="268" t="n"/>
      <c r="BA185" s="268" t="n"/>
      <c r="BB185" s="268" t="n"/>
      <c r="BC185" s="268" t="n"/>
      <c r="BD185" s="268" t="n"/>
      <c r="BE185" s="268" t="n"/>
      <c r="BF185" s="268" t="n"/>
      <c r="BG185" s="268" t="n"/>
      <c r="BH185" s="268" t="n"/>
      <c r="BI185" s="268" t="n"/>
      <c r="BJ185" s="268" t="n"/>
      <c r="BK185" s="268" t="n"/>
      <c r="BL185" s="268" t="n"/>
      <c r="BM185" s="268" t="n"/>
      <c r="BN185" s="268" t="n"/>
      <c r="BO185" s="268" t="n"/>
      <c r="BP185" s="268" t="n"/>
      <c r="BQ185" s="268" t="n"/>
      <c r="BR185" s="268" t="n"/>
      <c r="BS185" s="268" t="n"/>
      <c r="BT185" s="268" t="n"/>
      <c r="BU185" s="268" t="n"/>
      <c r="BV185" s="268" t="n"/>
      <c r="BW185" s="268" t="n"/>
      <c r="BX185" s="268" t="n"/>
      <c r="BY185" s="268" t="n"/>
      <c r="BZ185" s="268" t="n"/>
      <c r="CA185" s="268" t="n"/>
      <c r="CB185" s="268" t="n"/>
      <c r="CC185" s="268" t="n"/>
      <c r="CD185" s="268" t="n"/>
      <c r="CE185" s="268" t="n"/>
      <c r="CF185" s="268" t="n"/>
      <c r="CG185" s="268" t="n"/>
      <c r="CH185" s="268" t="n"/>
      <c r="CI185" s="268" t="n"/>
      <c r="CJ185" s="268" t="n"/>
      <c r="CK185" s="268" t="n"/>
      <c r="CL185" s="268" t="n"/>
      <c r="CM185" s="268" t="n"/>
      <c r="CN185" s="268" t="n"/>
      <c r="CO185" s="268" t="n"/>
      <c r="CP185" s="268" t="n"/>
      <c r="CQ185" s="268" t="n"/>
      <c r="CR185" s="268" t="n"/>
      <c r="CS185" s="268" t="n"/>
      <c r="CT185" s="268" t="n"/>
      <c r="CU185" s="268" t="n"/>
      <c r="CV185" s="268" t="n"/>
      <c r="CW185" s="268" t="n"/>
      <c r="CX185" s="268" t="n"/>
      <c r="CY185" s="268" t="n"/>
    </row>
    <row r="186" hidden="1" outlineLevel="1" ht="12.75" customHeight="1" s="255">
      <c r="C186" s="315" t="inlineStr">
        <is>
          <t xml:space="preserve">Imposto de Renda e Contribuição Social Diferidos </t>
        </is>
      </c>
      <c r="D186" s="267" t="n"/>
      <c r="E186" s="267" t="n"/>
      <c r="F186" s="267" t="n"/>
      <c r="G186" s="267" t="n"/>
      <c r="H186" s="268" t="n"/>
      <c r="I186" s="267" t="n"/>
      <c r="J186" s="267" t="n"/>
      <c r="K186" s="267" t="n"/>
      <c r="L186" s="267" t="n"/>
      <c r="M186" s="268" t="n"/>
      <c r="N186" s="267" t="n"/>
      <c r="O186" s="267" t="n"/>
      <c r="P186" s="267" t="n"/>
      <c r="Q186" s="267" t="n"/>
      <c r="R186" s="268" t="n"/>
      <c r="S186" s="267" t="n"/>
      <c r="T186" s="267" t="n"/>
      <c r="U186" s="267" t="n"/>
      <c r="V186" s="267" t="n"/>
      <c r="W186" s="268" t="n"/>
      <c r="X186" s="267" t="n"/>
      <c r="Y186" s="267" t="n"/>
      <c r="Z186" s="267" t="n"/>
      <c r="AA186" s="267" t="n"/>
      <c r="AB186" s="268" t="n"/>
      <c r="AC186" s="267" t="n"/>
      <c r="AD186" s="267" t="n"/>
      <c r="AE186" s="267" t="n"/>
      <c r="AF186" s="267" t="n"/>
      <c r="AG186" s="268" t="n"/>
      <c r="AH186" s="268" t="n"/>
      <c r="AI186" s="268" t="n"/>
      <c r="AJ186" s="268" t="n"/>
      <c r="AK186" s="268" t="n"/>
      <c r="AL186" s="268" t="n"/>
      <c r="AM186" s="268" t="n"/>
      <c r="AN186" s="268" t="n"/>
      <c r="AO186" s="268" t="n"/>
      <c r="AP186" s="268" t="n"/>
      <c r="AQ186" s="268" t="n"/>
      <c r="AR186" s="268" t="n"/>
      <c r="AS186" s="268" t="n"/>
      <c r="AT186" s="268" t="n"/>
      <c r="AU186" s="268" t="n"/>
      <c r="AV186" s="268" t="n"/>
      <c r="AW186" s="268" t="n"/>
      <c r="AX186" s="268" t="n"/>
      <c r="AY186" s="268" t="n"/>
      <c r="AZ186" s="268" t="n"/>
      <c r="BA186" s="268" t="n"/>
      <c r="BB186" s="268" t="n"/>
      <c r="BC186" s="268" t="n"/>
      <c r="BD186" s="268" t="n"/>
      <c r="BE186" s="268" t="n"/>
      <c r="BF186" s="268" t="n"/>
      <c r="BG186" s="268" t="n"/>
      <c r="BH186" s="268" t="n"/>
      <c r="BI186" s="268" t="n"/>
      <c r="BJ186" s="268" t="n"/>
      <c r="BK186" s="268" t="n"/>
      <c r="BL186" s="268" t="n"/>
      <c r="BM186" s="268" t="n"/>
      <c r="BN186" s="268" t="n"/>
      <c r="BO186" s="268" t="n"/>
      <c r="BP186" s="268" t="n"/>
      <c r="BQ186" s="268" t="n"/>
      <c r="BR186" s="268" t="n"/>
      <c r="BS186" s="268" t="n"/>
      <c r="BT186" s="268" t="n"/>
      <c r="BU186" s="268" t="n"/>
      <c r="BV186" s="268" t="n"/>
      <c r="BW186" s="268" t="n"/>
      <c r="BX186" s="268" t="n"/>
      <c r="BY186" s="268" t="n"/>
      <c r="BZ186" s="268" t="n"/>
      <c r="CA186" s="268" t="n"/>
      <c r="CB186" s="268" t="n"/>
      <c r="CC186" s="268" t="n"/>
      <c r="CD186" s="268" t="n"/>
      <c r="CE186" s="268" t="n"/>
      <c r="CF186" s="268" t="n"/>
      <c r="CG186" s="268" t="n"/>
      <c r="CH186" s="268" t="n"/>
      <c r="CI186" s="268" t="n"/>
      <c r="CJ186" s="268" t="n"/>
      <c r="CK186" s="268" t="n"/>
      <c r="CL186" s="268" t="n"/>
      <c r="CM186" s="268" t="n"/>
      <c r="CN186" s="268" t="n"/>
      <c r="CO186" s="268" t="n"/>
      <c r="CP186" s="268" t="n"/>
      <c r="CQ186" s="268" t="n"/>
      <c r="CR186" s="268" t="n"/>
      <c r="CS186" s="268" t="n"/>
      <c r="CT186" s="268" t="n"/>
      <c r="CU186" s="268" t="n"/>
      <c r="CV186" s="268" t="n"/>
      <c r="CW186" s="268" t="n"/>
      <c r="CX186" s="268" t="n"/>
      <c r="CY186" s="268" t="n"/>
    </row>
    <row r="187" hidden="1" outlineLevel="1" ht="12.75" customHeight="1" s="255">
      <c r="C187" s="315" t="n"/>
      <c r="D187" s="268" t="n"/>
      <c r="E187" s="268" t="n"/>
      <c r="F187" s="268" t="n"/>
      <c r="G187" s="268" t="n"/>
      <c r="H187" s="268" t="n"/>
      <c r="I187" s="268" t="n"/>
      <c r="J187" s="268" t="n"/>
      <c r="K187" s="268" t="n"/>
      <c r="L187" s="268" t="n"/>
      <c r="M187" s="268" t="n"/>
      <c r="N187" s="268" t="n"/>
      <c r="O187" s="268" t="n"/>
      <c r="P187" s="268" t="n"/>
      <c r="Q187" s="268" t="n"/>
      <c r="R187" s="268" t="n"/>
      <c r="S187" s="268" t="n"/>
      <c r="T187" s="268" t="n"/>
      <c r="U187" s="268" t="n"/>
      <c r="V187" s="268" t="n"/>
      <c r="W187" s="268" t="n"/>
      <c r="X187" s="268" t="n"/>
      <c r="Y187" s="268" t="n"/>
      <c r="Z187" s="268" t="n"/>
      <c r="AA187" s="268" t="n"/>
      <c r="AB187" s="268" t="n"/>
      <c r="AC187" s="268" t="n"/>
      <c r="AD187" s="268" t="n"/>
      <c r="AE187" s="268" t="n"/>
      <c r="AF187" s="268" t="n"/>
      <c r="AG187" s="268" t="n"/>
      <c r="AH187" s="268" t="n"/>
      <c r="AI187" s="268" t="n"/>
      <c r="AJ187" s="268" t="n"/>
      <c r="AK187" s="268" t="n"/>
      <c r="AL187" s="268" t="n"/>
      <c r="AM187" s="268" t="n"/>
      <c r="AN187" s="268" t="n"/>
      <c r="AO187" s="268" t="n"/>
      <c r="AP187" s="268" t="n"/>
      <c r="AQ187" s="268" t="n"/>
      <c r="AR187" s="268" t="n"/>
      <c r="AS187" s="268" t="n"/>
      <c r="AT187" s="268" t="n"/>
      <c r="AU187" s="268" t="n"/>
      <c r="AV187" s="268" t="n"/>
      <c r="AW187" s="268" t="n"/>
      <c r="AX187" s="268" t="n"/>
      <c r="AY187" s="268" t="n"/>
      <c r="AZ187" s="268" t="n"/>
      <c r="BA187" s="268" t="n"/>
      <c r="BB187" s="268" t="n"/>
      <c r="BC187" s="268" t="n"/>
      <c r="BD187" s="268" t="n"/>
      <c r="BE187" s="268" t="n"/>
      <c r="BF187" s="268" t="n"/>
      <c r="BG187" s="268" t="n"/>
      <c r="BH187" s="268" t="n"/>
      <c r="BI187" s="268" t="n"/>
      <c r="BJ187" s="268" t="n"/>
      <c r="BK187" s="268" t="n"/>
      <c r="BL187" s="268" t="n"/>
      <c r="BM187" s="268" t="n"/>
      <c r="BN187" s="268" t="n"/>
      <c r="BO187" s="268" t="n"/>
      <c r="BP187" s="268" t="n"/>
      <c r="BQ187" s="268" t="n"/>
      <c r="BR187" s="268" t="n"/>
      <c r="BS187" s="268" t="n"/>
      <c r="BT187" s="268" t="n"/>
      <c r="BU187" s="268" t="n"/>
      <c r="BV187" s="268" t="n"/>
      <c r="BW187" s="268" t="n"/>
      <c r="BX187" s="268" t="n"/>
      <c r="BY187" s="268" t="n"/>
      <c r="BZ187" s="268" t="n"/>
      <c r="CA187" s="268" t="n"/>
      <c r="CB187" s="268" t="n"/>
      <c r="CC187" s="268" t="n"/>
      <c r="CD187" s="268" t="n"/>
      <c r="CE187" s="268" t="n"/>
      <c r="CF187" s="268" t="n"/>
      <c r="CG187" s="268" t="n"/>
      <c r="CH187" s="268" t="n"/>
      <c r="CI187" s="268" t="n"/>
      <c r="CJ187" s="268" t="n"/>
      <c r="CK187" s="268" t="n"/>
      <c r="CL187" s="268" t="n"/>
      <c r="CM187" s="268" t="n"/>
      <c r="CN187" s="268" t="n"/>
      <c r="CO187" s="268" t="n"/>
      <c r="CP187" s="268" t="n"/>
      <c r="CQ187" s="268" t="n"/>
      <c r="CR187" s="268" t="n"/>
      <c r="CS187" s="268" t="n"/>
      <c r="CT187" s="268" t="n"/>
      <c r="CU187" s="268" t="n"/>
      <c r="CV187" s="268" t="n"/>
      <c r="CW187" s="268" t="n"/>
      <c r="CX187" s="268" t="n"/>
      <c r="CY187" s="268" t="n"/>
    </row>
    <row r="188" hidden="1" outlineLevel="1" ht="12.75" customHeight="1" s="255">
      <c r="C188" s="312" t="n"/>
      <c r="D188" s="268" t="n"/>
      <c r="E188" s="268" t="n"/>
      <c r="F188" s="268" t="n"/>
      <c r="G188" s="268" t="n"/>
      <c r="H188" s="268" t="n"/>
      <c r="I188" s="268" t="n"/>
      <c r="J188" s="268" t="n"/>
      <c r="K188" s="268" t="n"/>
      <c r="L188" s="268" t="n"/>
      <c r="M188" s="268" t="n"/>
      <c r="N188" s="268" t="n"/>
      <c r="O188" s="268" t="n"/>
      <c r="P188" s="268" t="n"/>
      <c r="Q188" s="268" t="n"/>
      <c r="R188" s="268" t="n"/>
      <c r="S188" s="268" t="n"/>
      <c r="T188" s="268" t="n"/>
      <c r="U188" s="268" t="n"/>
      <c r="V188" s="268" t="n"/>
      <c r="W188" s="268" t="n"/>
      <c r="X188" s="268" t="n"/>
      <c r="Y188" s="268" t="n"/>
      <c r="Z188" s="268" t="n"/>
      <c r="AA188" s="268" t="n"/>
      <c r="AB188" s="268" t="n"/>
      <c r="AC188" s="268" t="n"/>
      <c r="AD188" s="268" t="n"/>
      <c r="AE188" s="268" t="n"/>
      <c r="AF188" s="268" t="n"/>
      <c r="AG188" s="268" t="n"/>
      <c r="AH188" s="268" t="n"/>
      <c r="AI188" s="268" t="n"/>
      <c r="AJ188" s="268" t="n"/>
      <c r="AK188" s="268" t="n"/>
      <c r="AL188" s="268" t="n"/>
      <c r="AM188" s="268" t="n"/>
      <c r="AN188" s="268" t="n"/>
      <c r="AO188" s="268" t="n"/>
      <c r="AP188" s="268" t="n"/>
      <c r="AQ188" s="268" t="n"/>
      <c r="AR188" s="268" t="n"/>
      <c r="AS188" s="268" t="n"/>
      <c r="AT188" s="268" t="n"/>
      <c r="AU188" s="268" t="n"/>
      <c r="AV188" s="268" t="n"/>
      <c r="AW188" s="268" t="n"/>
      <c r="AX188" s="268" t="n"/>
      <c r="AY188" s="268" t="n"/>
      <c r="AZ188" s="268" t="n"/>
      <c r="BA188" s="268" t="n"/>
      <c r="BB188" s="268" t="n"/>
      <c r="BC188" s="268" t="n"/>
      <c r="BD188" s="268" t="n"/>
      <c r="BE188" s="268" t="n"/>
      <c r="BF188" s="268" t="n"/>
      <c r="BG188" s="268" t="n"/>
      <c r="BH188" s="268" t="n"/>
      <c r="BI188" s="268" t="n"/>
      <c r="BJ188" s="268" t="n"/>
      <c r="BK188" s="268" t="n"/>
      <c r="BL188" s="268" t="n"/>
      <c r="BM188" s="268" t="n"/>
      <c r="BN188" s="268" t="n"/>
      <c r="BO188" s="268" t="n"/>
      <c r="BP188" s="268" t="n"/>
      <c r="BQ188" s="268" t="n"/>
      <c r="BR188" s="268" t="n"/>
      <c r="BS188" s="268" t="n"/>
      <c r="BT188" s="268" t="n"/>
      <c r="BU188" s="268" t="n"/>
      <c r="BV188" s="268" t="n"/>
      <c r="BW188" s="268" t="n"/>
      <c r="BX188" s="268" t="n"/>
      <c r="BY188" s="268" t="n"/>
      <c r="BZ188" s="268" t="n"/>
      <c r="CA188" s="268" t="n"/>
      <c r="CB188" s="268" t="n"/>
      <c r="CC188" s="268" t="n"/>
      <c r="CD188" s="268" t="n"/>
      <c r="CE188" s="268" t="n"/>
      <c r="CF188" s="268" t="n"/>
      <c r="CG188" s="268" t="n"/>
      <c r="CH188" s="268" t="n"/>
      <c r="CI188" s="268" t="n"/>
      <c r="CJ188" s="268" t="n"/>
      <c r="CK188" s="268" t="n"/>
      <c r="CL188" s="268" t="n"/>
      <c r="CM188" s="268" t="n"/>
      <c r="CN188" s="268" t="n"/>
      <c r="CO188" s="268" t="n"/>
      <c r="CP188" s="268" t="n"/>
      <c r="CQ188" s="268" t="n"/>
      <c r="CR188" s="268" t="n"/>
      <c r="CS188" s="268" t="n"/>
      <c r="CT188" s="268" t="n"/>
      <c r="CU188" s="268" t="n"/>
      <c r="CV188" s="268" t="n"/>
      <c r="CW188" s="268" t="n"/>
      <c r="CX188" s="268" t="n"/>
      <c r="CY188" s="268" t="n"/>
    </row>
    <row r="189" ht="12.75" customFormat="1" customHeight="1" s="287">
      <c r="A189" s="288" t="n"/>
      <c r="B189" s="259" t="n"/>
      <c r="C189" s="275" t="inlineStr">
        <is>
          <t>Total Assets</t>
        </is>
      </c>
      <c r="D189" s="276">
        <f>(D136+D137+D141+D145+D146+D147+D153+D158+D168+D171+D172+D181)</f>
        <v>40219</v>
      </c>
      <c r="E189" s="276">
        <f>(E136+E137+E141+E145+E146+E147+E153+E158+E168+E171+E172+E181)</f>
        <v>40230</v>
      </c>
      <c r="F189" s="276">
        <f>(F136+F137+F141+F145+F146+F147+F153+F158+F168+F171+F172+F181)</f>
        <v>41099</v>
      </c>
      <c r="G189" s="276">
        <f>(G136+G137+G141+G145+G146+G147+G153+G158+G168+G171+G172+G181)</f>
        <v>42144</v>
      </c>
      <c r="H189" s="276">
        <f>SUM(H136,H137,H141,H145,H146,H147,H153,H168,H171,H172,H181,H158)</f>
        <v>42144</v>
      </c>
      <c r="I189" s="276">
        <f>(I136+I137+I141+I145+I146+I147+I153+I158+I168+I171+I172+I181)</f>
        <v>43643</v>
      </c>
      <c r="J189" s="276">
        <f>(J136+J137+J141+J145+J146+J147+J153+J158+J168+J171+J172+J181)</f>
        <v>45436</v>
      </c>
      <c r="K189" s="276">
        <f>(K136+K137+K141+K145+K146+K147+K153+K158+K168+K171+K172+K181)</f>
        <v>46917</v>
      </c>
      <c r="L189" s="276">
        <f>(L136+L137+L141+L145+L146+L147+L153+L158+L168+L171+L172+L181)</f>
        <v>48022</v>
      </c>
      <c r="M189" s="276">
        <f>SUM(M136,M137,M141,M145,M146,M147,M153,M168,M171,M172,M181,M158)</f>
        <v>48022</v>
      </c>
      <c r="N189" s="276">
        <f>(N136+N137+N141+N145+N146+N147+N153+N158+N168+N171+N172+N181)</f>
        <v>48832</v>
      </c>
      <c r="O189" s="276">
        <f>(O136+O137+O141+O145+O146+O147+O153+O158+O168+O171+O172+O181)</f>
        <v>50113</v>
      </c>
      <c r="P189" s="276">
        <f>(P136+P137+P141+P145+P146+P147+P153+P158+P168+P171+P172+P181)</f>
        <v>49927</v>
      </c>
      <c r="Q189" s="276">
        <f>(Q136+Q137+Q141+Q145+Q146+Q147+Q153+Q158+Q168+Q171+Q172+Q181)</f>
        <v>51093</v>
      </c>
      <c r="R189" s="276">
        <f>SUM(R136,R137,R141,R145,R146,R147,R153,R168,R171,R172,R181,R158)</f>
        <v>51093</v>
      </c>
      <c r="S189" s="276">
        <f>(S136+S137+S141+S145+S146+S147+S153+S158+S168+S171+S172+S181)</f>
        <v>50909</v>
      </c>
      <c r="T189" s="276">
        <f>(T136+T137+T141+T145+T146+T147+T153+T158+T168+T171+T172+T181)</f>
        <v>50907</v>
      </c>
      <c r="U189" s="276">
        <f>(U136+U137+U141+U145+U146+U147+U153+U158+U168+U171+U172+U181)</f>
        <v>51648</v>
      </c>
      <c r="V189" s="276">
        <f>(V136+V137+V141+V145+V146+V147+V153+V158+V168+V171+V172+V181)</f>
        <v>52506</v>
      </c>
      <c r="W189" s="276">
        <f>SUM(W136,W137,W141,W145,W146,W147,W153,W168,W171,W172,W181,W158)</f>
        <v>52506</v>
      </c>
      <c r="X189" s="276">
        <f>(X136+X137+X141+X145+X146+X147+X153+X158+X168+X171+X172+X181)</f>
        <v>54198</v>
      </c>
      <c r="Y189" s="276">
        <f>(Y136+Y137+Y141+Y145+Y146+Y147+Y153+Y158+Y168+Y171+Y172+Y181)</f>
        <v>54635</v>
      </c>
      <c r="Z189" s="276">
        <f>(Z136+Z137+Z141+Z145+Z146+Z147+Z153+Z158+Z168+Z171+Z172+Z181)</f>
        <v>55400</v>
      </c>
      <c r="AA189" s="276">
        <f>(AA136+AA137+AA141+AA145+AA146+AA147+AA153+AA158+AA168+AA171+AA172+AA181)</f>
        <v>54848</v>
      </c>
      <c r="AB189" s="276">
        <f>SUM(AB136,AB137,AB141,AB145,AB146,AB147,AB153,AB168,AB171,AB172,AB181,AB158)</f>
        <v>54848</v>
      </c>
      <c r="AC189" s="276">
        <f>(AC136+AC137+AC141+AC145+AC146+AC147+AC153+AC158+AC168+AC171+AC172+AC181)</f>
        <v>56022</v>
      </c>
      <c r="AD189" s="276">
        <f>(AD136+AD137+AD141+AD145+AD146+AD147+AD153+AD158+AD168+AD171+AD172+AD181)</f>
        <v>56492</v>
      </c>
      <c r="AE189" s="276">
        <f>(AE136+AE137+AE141+AE145+AE146+AE147+AE153+AE158+AE168+AE171+AE172+AE181)</f>
        <v>56828</v>
      </c>
      <c r="AF189" s="276">
        <f>(AF136+AF137+AF141+AF145+AF146+AF147+AF153+AF158+AF168+AF171+AF172+AF181)</f>
        <v>58167</v>
      </c>
      <c r="AG189" s="276">
        <f>SUM(AG136,AG137,AG141,AG145,AG146,AG147,AG153,AG168,AG171,AG172,AG181,AG158)</f>
        <v>58167</v>
      </c>
      <c r="AH189" s="276">
        <f>(AH136+AH137+AH141+AH145+AH146+AH147+AH153+AH158+AH168+AH171+AH172+AH181)</f>
        <v>58840</v>
      </c>
      <c r="AI189" s="276">
        <f>(AI136+AI137+AI141+AI145+AI146+AI147+AI153+AI158+AI168+AI171+AI172+AI181)</f>
        <v>59727</v>
      </c>
      <c r="AJ189" s="276">
        <f>(AJ136+AJ137+AJ141+AJ145+AJ146+AJ147+AJ153+AJ158+AJ168+AJ171+AJ172+AJ181)</f>
        <v>54525</v>
      </c>
      <c r="AK189" s="276">
        <f>(AK136+AK137+AK141+AK145+AK146+AK147+AK153+AK158+AK168+AK171+AK172+AK181)</f>
        <v>54453</v>
      </c>
      <c r="AL189" s="276">
        <f>SUM(AL136,AL137,AL141,AL145,AL146,AL147,AL153,AL168,AL171,AL172,AL181,AL158)</f>
        <v>54453</v>
      </c>
      <c r="AM189" s="276" t="e">
        <f>(AM136+AM137+AM141+AM145+AM146+AM147+AM153+AM158+AM168+AM171+AM172+AM181)</f>
        <v>#DIV/0!</v>
      </c>
      <c r="AN189" s="276" t="e">
        <f>(AN136+AN137+AN141+AN145+AN146+AN147+AN153+AN158+AN168+AN171+AN172+AN181)</f>
        <v>#DIV/0!</v>
      </c>
      <c r="AO189" s="276" t="e">
        <f>(AO136+AO137+AO141+AO145+AO146+AO147+AO153+AO158+AO168+AO171+AO172+AO181)</f>
        <v>#DIV/0!</v>
      </c>
      <c r="AP189" s="276" t="e">
        <f>(AP136+AP137+AP141+AP145+AP146+AP147+AP153+AP158+AP168+AP171+AP172+AP181)</f>
        <v>#DIV/0!</v>
      </c>
      <c r="AQ189" s="276" t="e">
        <f>SUM(AQ136,AQ137,AQ141,AQ145,AQ146,AQ147,AQ153,AQ168,AQ171,AQ172,AQ181,AQ158)</f>
        <v>#DIV/0!</v>
      </c>
      <c r="AR189" s="276" t="e">
        <f>(AR136+AR137+AR141+AR145+AR146+AR147+AR153+AR158+AR168+AR171+AR172+AR181)</f>
        <v>#DIV/0!</v>
      </c>
      <c r="AS189" s="276" t="e">
        <f>(AS136+AS137+AS141+AS145+AS146+AS147+AS153+AS158+AS168+AS171+AS172+AS181)</f>
        <v>#DIV/0!</v>
      </c>
      <c r="AT189" s="276" t="e">
        <f>(AT136+AT137+AT141+AT145+AT146+AT147+AT153+AT158+AT168+AT171+AT172+AT181)</f>
        <v>#DIV/0!</v>
      </c>
      <c r="AU189" s="276" t="e">
        <f>(AU136+AU137+AU141+AU145+AU146+AU147+AU153+AU158+AU168+AU171+AU172+AU181)</f>
        <v>#DIV/0!</v>
      </c>
      <c r="AV189" s="276" t="e">
        <f>SUM(AV136,AV137,AV141,AV145,AV146,AV147,AV153,AV168,AV171,AV172,AV181,AV158)</f>
        <v>#DIV/0!</v>
      </c>
      <c r="AW189" s="276" t="e">
        <f>(AW136+AW137+AW141+AW145+AW146+AW147+AW153+AW158+AW168+AW171+AW172+AW181)</f>
        <v>#DIV/0!</v>
      </c>
      <c r="AX189" s="276" t="e">
        <f>(AX136+AX137+AX141+AX145+AX146+AX147+AX153+AX158+AX168+AX171+AX172+AX181)</f>
        <v>#DIV/0!</v>
      </c>
      <c r="AY189" s="276" t="e">
        <f>(AY136+AY137+AY141+AY145+AY146+AY147+AY153+AY158+AY168+AY171+AY172+AY181)</f>
        <v>#DIV/0!</v>
      </c>
      <c r="AZ189" s="276" t="e">
        <f>(AZ136+AZ137+AZ141+AZ145+AZ146+AZ147+AZ153+AZ158+AZ168+AZ171+AZ172+AZ181)</f>
        <v>#DIV/0!</v>
      </c>
      <c r="BA189" s="276" t="e">
        <f>SUM(BA136,BA137,BA141,BA145,BA146,BA147,BA153,BA168,BA171,BA172,BA181,BA158)</f>
        <v>#DIV/0!</v>
      </c>
      <c r="BB189" s="276" t="e">
        <f>(BB136+BB137+BB141+BB145+BB146+BB147+BB153+BB158+BB168+BB171+BB172+BB181)</f>
        <v>#DIV/0!</v>
      </c>
      <c r="BC189" s="276" t="e">
        <f>(BC136+BC137+BC141+BC145+BC146+BC147+BC153+BC158+BC168+BC171+BC172+BC181)</f>
        <v>#DIV/0!</v>
      </c>
      <c r="BD189" s="276" t="e">
        <f>(BD136+BD137+BD141+BD145+BD146+BD147+BD153+BD158+BD168+BD171+BD172+BD181)</f>
        <v>#DIV/0!</v>
      </c>
      <c r="BE189" s="276" t="e">
        <f>(BE136+BE137+BE141+BE145+BE146+BE147+BE153+BE158+BE168+BE171+BE172+BE181)</f>
        <v>#DIV/0!</v>
      </c>
      <c r="BF189" s="276" t="e">
        <f>SUM(BF136,BF137,BF141,BF145,BF146,BF147,BF153,BF168,BF171,BF172,BF181,BF158)</f>
        <v>#DIV/0!</v>
      </c>
      <c r="BG189" s="276" t="e">
        <f>(BG136+BG137+BG141+BG145+BG146+BG147+BG153+BG158+BG168+BG171+BG172+BG181)</f>
        <v>#DIV/0!</v>
      </c>
      <c r="BH189" s="276" t="e">
        <f>(BH136+BH137+BH141+BH145+BH146+BH147+BH153+BH158+BH168+BH171+BH172+BH181)</f>
        <v>#DIV/0!</v>
      </c>
      <c r="BI189" s="276" t="e">
        <f>(BI136+BI137+BI141+BI145+BI146+BI147+BI153+BI158+BI168+BI171+BI172+BI181)</f>
        <v>#DIV/0!</v>
      </c>
      <c r="BJ189" s="276" t="e">
        <f>(BJ136+BJ137+BJ141+BJ145+BJ146+BJ147+BJ153+BJ158+BJ168+BJ171+BJ172+BJ181)</f>
        <v>#DIV/0!</v>
      </c>
      <c r="BK189" s="276" t="e">
        <f>SUM(BK136,BK137,BK141,BK145,BK146,BK147,BK153,BK168,BK171,BK172,BK181,BK158)</f>
        <v>#DIV/0!</v>
      </c>
      <c r="BL189" s="276" t="e">
        <f>(BL136+BL137+BL141+BL145+BL146+BL147+BL153+BL158+BL168+BL171+BL172+BL181)</f>
        <v>#DIV/0!</v>
      </c>
      <c r="BM189" s="276" t="e">
        <f>(BM136+BM137+BM141+BM145+BM146+BM147+BM153+BM158+BM168+BM171+BM172+BM181)</f>
        <v>#DIV/0!</v>
      </c>
      <c r="BN189" s="276" t="e">
        <f>(BN136+BN137+BN141+BN145+BN146+BN147+BN153+BN158+BN168+BN171+BN172+BN181)</f>
        <v>#DIV/0!</v>
      </c>
      <c r="BO189" s="276" t="e">
        <f>(BO136+BO137+BO141+BO145+BO146+BO147+BO153+BO158+BO168+BO171+BO172+BO181)</f>
        <v>#DIV/0!</v>
      </c>
      <c r="BP189" s="276" t="e">
        <f>SUM(BP136,BP137,BP141,BP145,BP146,BP147,BP153,BP168,BP171,BP172,BP181,BP158)</f>
        <v>#DIV/0!</v>
      </c>
      <c r="BQ189" s="276" t="e">
        <f>(BQ136+BQ137+BQ141+BQ145+BQ146+BQ147+BQ153+BQ158+BQ168+BQ171+BQ172+BQ181)</f>
        <v>#DIV/0!</v>
      </c>
      <c r="BR189" s="276" t="e">
        <f>(BR136+BR137+BR141+BR145+BR146+BR147+BR153+BR158+BR168+BR171+BR172+BR181)</f>
        <v>#DIV/0!</v>
      </c>
      <c r="BS189" s="276" t="e">
        <f>(BS136+BS137+BS141+BS145+BS146+BS147+BS153+BS158+BS168+BS171+BS172+BS181)</f>
        <v>#DIV/0!</v>
      </c>
      <c r="BT189" s="276" t="e">
        <f>(BT136+BT137+BT141+BT145+BT146+BT147+BT153+BT158+BT168+BT171+BT172+BT181)</f>
        <v>#DIV/0!</v>
      </c>
      <c r="BU189" s="276" t="e">
        <f>SUM(BU136,BU137,BU141,BU145,BU146,BU147,BU153,BU168,BU171,BU172,BU181,BU158)</f>
        <v>#DIV/0!</v>
      </c>
      <c r="BV189" s="276" t="e">
        <f>(BV136+BV137+BV141+BV145+BV146+BV147+BV153+BV158+BV168+BV171+BV172+BV181)</f>
        <v>#DIV/0!</v>
      </c>
      <c r="BW189" s="276" t="e">
        <f>(BW136+BW137+BW141+BW145+BW146+BW147+BW153+BW158+BW168+BW171+BW172+BW181)</f>
        <v>#DIV/0!</v>
      </c>
      <c r="BX189" s="276" t="e">
        <f>(BX136+BX137+BX141+BX145+BX146+BX147+BX153+BX158+BX168+BX171+BX172+BX181)</f>
        <v>#DIV/0!</v>
      </c>
      <c r="BY189" s="276" t="e">
        <f>(BY136+BY137+BY141+BY145+BY146+BY147+BY153+BY158+BY168+BY171+BY172+BY181)</f>
        <v>#DIV/0!</v>
      </c>
      <c r="BZ189" s="276" t="e">
        <f>SUM(BZ136,BZ137,BZ141,BZ145,BZ146,BZ147,BZ153,BZ168,BZ171,BZ172,BZ181,BZ158)</f>
        <v>#DIV/0!</v>
      </c>
      <c r="CA189" s="276" t="e">
        <f>(CA136+CA137+CA141+CA145+CA146+CA147+CA153+CA158+CA168+CA171+CA172+CA181)</f>
        <v>#DIV/0!</v>
      </c>
      <c r="CB189" s="276" t="e">
        <f>(CB136+CB137+CB141+CB145+CB146+CB147+CB153+CB158+CB168+CB171+CB172+CB181)</f>
        <v>#DIV/0!</v>
      </c>
      <c r="CC189" s="276" t="e">
        <f>(CC136+CC137+CC141+CC145+CC146+CC147+CC153+CC158+CC168+CC171+CC172+CC181)</f>
        <v>#DIV/0!</v>
      </c>
      <c r="CD189" s="276" t="e">
        <f>(CD136+CD137+CD141+CD145+CD146+CD147+CD153+CD158+CD168+CD171+CD172+CD181)</f>
        <v>#DIV/0!</v>
      </c>
      <c r="CE189" s="276" t="e">
        <f>SUM(CE136,CE137,CE141,CE145,CE146,CE147,CE153,CE168,CE171,CE172,CE181,CE158)</f>
        <v>#DIV/0!</v>
      </c>
      <c r="CF189" s="276" t="e">
        <f>(CF136+CF137+CF141+CF145+CF146+CF147+CF153+CF158+CF168+CF171+CF172+CF181)</f>
        <v>#DIV/0!</v>
      </c>
      <c r="CG189" s="276" t="e">
        <f>(CG136+CG137+CG141+CG145+CG146+CG147+CG153+CG158+CG168+CG171+CG172+CG181)</f>
        <v>#DIV/0!</v>
      </c>
      <c r="CH189" s="276" t="e">
        <f>(CH136+CH137+CH141+CH145+CH146+CH147+CH153+CH158+CH168+CH171+CH172+CH181)</f>
        <v>#DIV/0!</v>
      </c>
      <c r="CI189" s="276" t="e">
        <f>(CI136+CI137+CI141+CI145+CI146+CI147+CI153+CI158+CI168+CI171+CI172+CI181)</f>
        <v>#DIV/0!</v>
      </c>
      <c r="CJ189" s="276" t="e">
        <f>SUM(CJ136,CJ137,CJ141,CJ145,CJ146,CJ147,CJ153,CJ168,CJ171,CJ172,CJ181,CJ158)</f>
        <v>#DIV/0!</v>
      </c>
      <c r="CK189" s="276" t="e">
        <f>(CK136+CK137+CK141+CK145+CK146+CK147+CK153+CK158+CK168+CK171+CK172+CK181)</f>
        <v>#DIV/0!</v>
      </c>
      <c r="CL189" s="276" t="e">
        <f>(CL136+CL137+CL141+CL145+CL146+CL147+CL153+CL158+CL168+CL171+CL172+CL181)</f>
        <v>#DIV/0!</v>
      </c>
      <c r="CM189" s="276" t="e">
        <f>(CM136+CM137+CM141+CM145+CM146+CM147+CM153+CM158+CM168+CM171+CM172+CM181)</f>
        <v>#DIV/0!</v>
      </c>
      <c r="CN189" s="276" t="e">
        <f>(CN136+CN137+CN141+CN145+CN146+CN147+CN153+CN158+CN168+CN171+CN172+CN181)</f>
        <v>#DIV/0!</v>
      </c>
      <c r="CO189" s="276" t="e">
        <f>SUM(CO136,CO137,CO141,CO145,CO146,CO147,CO153,CO168,CO171,CO172,CO181,CO158)</f>
        <v>#DIV/0!</v>
      </c>
      <c r="CP189" s="276" t="e">
        <f>(CP136+CP137+CP141+CP145+CP146+CP147+CP153+CP158+CP168+CP171+CP172+CP181)</f>
        <v>#DIV/0!</v>
      </c>
      <c r="CQ189" s="276" t="e">
        <f>(CQ136+CQ137+CQ141+CQ145+CQ146+CQ147+CQ153+CQ158+CQ168+CQ171+CQ172+CQ181)</f>
        <v>#DIV/0!</v>
      </c>
      <c r="CR189" s="276" t="e">
        <f>(CR136+CR137+CR141+CR145+CR146+CR147+CR153+CR158+CR168+CR171+CR172+CR181)</f>
        <v>#DIV/0!</v>
      </c>
      <c r="CS189" s="276" t="e">
        <f>(CS136+CS137+CS141+CS145+CS146+CS147+CS153+CS158+CS168+CS171+CS172+CS181)</f>
        <v>#DIV/0!</v>
      </c>
      <c r="CT189" s="276" t="e">
        <f>SUM(CT136,CT137,CT141,CT145,CT146,CT147,CT153,CT168,CT171,CT172,CT181,CT158)</f>
        <v>#DIV/0!</v>
      </c>
      <c r="CU189" s="276" t="e">
        <f>(CU136+CU137+CU141+CU145+CU146+CU147+CU153+CU158+CU168+CU171+CU172+CU181)</f>
        <v>#DIV/0!</v>
      </c>
      <c r="CV189" s="276" t="e">
        <f>(CV136+CV137+CV141+CV145+CV146+CV147+CV153+CV158+CV168+CV171+CV172+CV181)</f>
        <v>#DIV/0!</v>
      </c>
      <c r="CW189" s="276" t="e">
        <f>(CW136+CW137+CW141+CW145+CW146+CW147+CW153+CW158+CW168+CW171+CW172+CW181)</f>
        <v>#DIV/0!</v>
      </c>
      <c r="CX189" s="276" t="e">
        <f>(CX136+CX137+CX141+CX145+CX146+CX147+CX153+CX158+CX168+CX171+CX172+CX181)</f>
        <v>#DIV/0!</v>
      </c>
      <c r="CY189" s="276" t="e">
        <f>SUM(CY136,CY137,CY141,CY145,CY146,CY147,CY153,CY168,CY171,CY172,CY181,CY158)</f>
        <v>#DIV/0!</v>
      </c>
    </row>
    <row r="190" ht="12.75" customHeight="1" s="255">
      <c r="C190" s="270" t="inlineStr">
        <is>
          <t>Accounts payable</t>
        </is>
      </c>
      <c r="D190" s="301">
        <f>INDEX('Inputs (2)'!$D$28:$AL$28,MATCH(D$7,'Inputs (2)'!$D$2:$AL$2,0))</f>
        <v>2465</v>
      </c>
      <c r="E190" s="301">
        <f>INDEX('Inputs (2)'!$D$28:$AL$28,MATCH(E$7,'Inputs (2)'!$D$2:$AL$2,0))</f>
        <v>2471</v>
      </c>
      <c r="F190" s="301">
        <f>INDEX('Inputs (2)'!$D$28:$AL$28,MATCH(F$7,'Inputs (2)'!$D$2:$AL$2,0))</f>
        <v>2533</v>
      </c>
      <c r="G190" s="301">
        <f>INDEX('Inputs (2)'!$D$28:$AL$28,MATCH(G$7,'Inputs (2)'!$D$2:$AL$2,0))</f>
        <v>2708</v>
      </c>
      <c r="H190" s="268">
        <f>G190</f>
        <v>2708</v>
      </c>
      <c r="I190" s="301">
        <f>INDEX('Inputs (2)'!$D$28:$AL$28,MATCH(I$7,'Inputs (2)'!$D$2:$AL$2,0))</f>
        <v>2866</v>
      </c>
      <c r="J190" s="301">
        <f>INDEX('Inputs (2)'!$D$28:$AL$28,MATCH(J$7,'Inputs (2)'!$D$2:$AL$2,0))</f>
        <v>3106</v>
      </c>
      <c r="K190" s="301">
        <f>INDEX('Inputs (2)'!$D$28:$AL$28,MATCH(K$7,'Inputs (2)'!$D$2:$AL$2,0))</f>
        <v>2949</v>
      </c>
      <c r="L190" s="301">
        <f>INDEX('Inputs (2)'!$D$28:$AL$28,MATCH(L$7,'Inputs (2)'!$D$2:$AL$2,0))</f>
        <v>3495</v>
      </c>
      <c r="M190" s="268">
        <f>L190</f>
        <v>3495</v>
      </c>
      <c r="N190" s="301">
        <f>INDEX('Inputs (2)'!$D$28:$AL$28,MATCH(N$7,'Inputs (2)'!$D$2:$AL$2,0))</f>
        <v>3163</v>
      </c>
      <c r="O190" s="301">
        <f>INDEX('Inputs (2)'!$D$28:$AL$28,MATCH(O$7,'Inputs (2)'!$D$2:$AL$2,0))</f>
        <v>3853</v>
      </c>
      <c r="P190" s="301">
        <f>INDEX('Inputs (2)'!$D$28:$AL$28,MATCH(P$7,'Inputs (2)'!$D$2:$AL$2,0))</f>
        <v>3947</v>
      </c>
      <c r="Q190" s="301">
        <f>INDEX('Inputs (2)'!$D$28:$AL$28,MATCH(Q$7,'Inputs (2)'!$D$2:$AL$2,0))</f>
        <v>4027</v>
      </c>
      <c r="R190" s="268">
        <f>Q190</f>
        <v>4027</v>
      </c>
      <c r="S190" s="301">
        <f>INDEX('Inputs (2)'!$D$28:$AL$28,MATCH(S$7,'Inputs (2)'!$D$2:$AL$2,0))</f>
        <v>3836</v>
      </c>
      <c r="T190" s="301">
        <f>INDEX('Inputs (2)'!$D$28:$AL$28,MATCH(T$7,'Inputs (2)'!$D$2:$AL$2,0))</f>
        <v>3642</v>
      </c>
      <c r="U190" s="301">
        <f>INDEX('Inputs (2)'!$D$28:$AL$28,MATCH(U$7,'Inputs (2)'!$D$2:$AL$2,0))</f>
        <v>3724</v>
      </c>
      <c r="V190" s="301">
        <f>INDEX('Inputs (2)'!$D$28:$AL$28,MATCH(V$7,'Inputs (2)'!$D$2:$AL$2,0))</f>
        <v>3729</v>
      </c>
      <c r="W190" s="268">
        <f>V190</f>
        <v>3729</v>
      </c>
      <c r="X190" s="301">
        <f>INDEX('Inputs (2)'!$D$28:$AL$28,MATCH(X$7,'Inputs (2)'!$D$2:$AL$2,0))</f>
        <v>3672</v>
      </c>
      <c r="Y190" s="301">
        <f>INDEX('Inputs (2)'!$D$28:$AL$28,MATCH(Y$7,'Inputs (2)'!$D$2:$AL$2,0))</f>
        <v>3910</v>
      </c>
      <c r="Z190" s="301">
        <f>INDEX('Inputs (2)'!$D$28:$AL$28,MATCH(Z$7,'Inputs (2)'!$D$2:$AL$2,0))</f>
        <v>3824</v>
      </c>
      <c r="AA190" s="301">
        <f>INDEX('Inputs (2)'!$D$28:$AL$28,MATCH(AA$7,'Inputs (2)'!$D$2:$AL$2,0))</f>
        <v>4057</v>
      </c>
      <c r="AB190" s="268">
        <f>AA190</f>
        <v>4057</v>
      </c>
      <c r="AC190" s="301">
        <f>INDEX('Inputs (2)'!$D$28:$AL$28,MATCH(AC$7,'Inputs (2)'!$D$2:$AL$2,0))</f>
        <v>4078</v>
      </c>
      <c r="AD190" s="301">
        <f>INDEX('Inputs (2)'!$D$28:$AL$28,MATCH(AD$7,'Inputs (2)'!$D$2:$AL$2,0))</f>
        <v>4288</v>
      </c>
      <c r="AE190" s="301">
        <f>INDEX('Inputs (2)'!$D$28:$AL$28,MATCH(AE$7,'Inputs (2)'!$D$2:$AL$2,0))</f>
        <v>4098</v>
      </c>
      <c r="AF190" s="301">
        <f>INDEX('Inputs (2)'!$D$28:$AL$28,MATCH(AF$7,'Inputs (2)'!$D$2:$AL$2,0))</f>
        <v>4565</v>
      </c>
      <c r="AG190" s="268">
        <f>AF190</f>
        <v>4565</v>
      </c>
      <c r="AH190" s="268">
        <f>INDEX('Inputs (2)'!$D$28:$AL$28,MATCH(AH$7,'Inputs (2)'!$D$2:$AL$2,0))</f>
        <v>4142</v>
      </c>
      <c r="AI190" s="268">
        <f>INDEX('Inputs (2)'!$D$28:$AL$28,MATCH(AI$7,'Inputs (2)'!$D$2:$AL$2,0))</f>
        <v>4582</v>
      </c>
      <c r="AJ190" s="268">
        <f>(AJ191/(AJ$5-AI$5))*-AJ46</f>
        <v>0</v>
      </c>
      <c r="AK190" s="268">
        <f>(AK191/(AK$5-AJ$5))*-AK46</f>
        <v>0</v>
      </c>
      <c r="AL190" s="268">
        <f>AK190</f>
        <v>0</v>
      </c>
      <c r="AM190" s="268">
        <f>(AM191/(AM$5-AL$5))*-AM46</f>
        <v>0</v>
      </c>
      <c r="AN190" s="268">
        <f>(AN191/(AN$5-AM$5))*-AN46</f>
        <v>0</v>
      </c>
      <c r="AO190" s="268">
        <f>(AO191/(AO$5-AN$5))*-AO46</f>
        <v>0</v>
      </c>
      <c r="AP190" s="268">
        <f>(AP191/(AP$5-AO$5))*-AP46</f>
        <v>0</v>
      </c>
      <c r="AQ190" s="268">
        <f>AP190</f>
        <v>0</v>
      </c>
      <c r="AR190" s="268">
        <f>(AR191/(AR$5-AQ$5))*-AR46</f>
        <v>0</v>
      </c>
      <c r="AS190" s="268">
        <f>(AS191/(AS$5-AR$5))*-AS46</f>
        <v>0</v>
      </c>
      <c r="AT190" s="268">
        <f>(AT191/(AT$5-AS$5))*-AT46</f>
        <v>0</v>
      </c>
      <c r="AU190" s="268">
        <f>(AU191/(AU$5-AT$5))*-AU46</f>
        <v>0</v>
      </c>
      <c r="AV190" s="268">
        <f>AU190</f>
        <v>0</v>
      </c>
      <c r="AW190" s="268">
        <f>(AW191/(AW$5-AV$5))*-AW46</f>
        <v>0</v>
      </c>
      <c r="AX190" s="268">
        <f>(AX191/(AX$5-AW$5))*-AX46</f>
        <v>0</v>
      </c>
      <c r="AY190" s="268">
        <f>(AY191/(AY$5-AX$5))*-AY46</f>
        <v>0</v>
      </c>
      <c r="AZ190" s="268">
        <f>(AZ191/(AZ$5-AY$5))*-AZ46</f>
        <v>0</v>
      </c>
      <c r="BA190" s="268">
        <f>AZ190</f>
        <v>0</v>
      </c>
      <c r="BB190" s="268">
        <f>(BB191/(BB$5-BA$5))*-BB46</f>
        <v>0</v>
      </c>
      <c r="BC190" s="268">
        <f>(BC191/(BC$5-BB$5))*-BC46</f>
        <v>0</v>
      </c>
      <c r="BD190" s="268">
        <f>(BD191/(BD$5-BC$5))*-BD46</f>
        <v>0</v>
      </c>
      <c r="BE190" s="268">
        <f>(BE191/(BE$5-BD$5))*-BE46</f>
        <v>0</v>
      </c>
      <c r="BF190" s="268">
        <f>BE190</f>
        <v>0</v>
      </c>
      <c r="BG190" s="268">
        <f>(BG191/(BG$5-BF$5))*-BG46</f>
        <v>0</v>
      </c>
      <c r="BH190" s="268">
        <f>(BH191/(BH$5-BG$5))*-BH46</f>
        <v>0</v>
      </c>
      <c r="BI190" s="268">
        <f>(BI191/(BI$5-BH$5))*-BI46</f>
        <v>0</v>
      </c>
      <c r="BJ190" s="268">
        <f>(BJ191/(BJ$5-BI$5))*-BJ46</f>
        <v>0</v>
      </c>
      <c r="BK190" s="268">
        <f>BJ190</f>
        <v>0</v>
      </c>
      <c r="BL190" s="268">
        <f>(BL191/(BL$5-BK$5))*-BL46</f>
        <v>0</v>
      </c>
      <c r="BM190" s="268">
        <f>(BM191/(BM$5-BL$5))*-BM46</f>
        <v>0</v>
      </c>
      <c r="BN190" s="268">
        <f>(BN191/(BN$5-BM$5))*-BN46</f>
        <v>0</v>
      </c>
      <c r="BO190" s="268">
        <f>(BO191/(BO$5-BN$5))*-BO46</f>
        <v>0</v>
      </c>
      <c r="BP190" s="268">
        <f>BO190</f>
        <v>0</v>
      </c>
      <c r="BQ190" s="268">
        <f>(BQ191/(BQ$5-BP$5))*-BQ46</f>
        <v>0</v>
      </c>
      <c r="BR190" s="268">
        <f>(BR191/(BR$5-BQ$5))*-BR46</f>
        <v>0</v>
      </c>
      <c r="BS190" s="268">
        <f>(BS191/(BS$5-BR$5))*-BS46</f>
        <v>0</v>
      </c>
      <c r="BT190" s="268">
        <f>(BT191/(BT$5-BS$5))*-BT46</f>
        <v>0</v>
      </c>
      <c r="BU190" s="268">
        <f>BT190</f>
        <v>0</v>
      </c>
      <c r="BV190" s="268">
        <f>(BV191/(BV$5-BU$5))*-BV46</f>
        <v>0</v>
      </c>
      <c r="BW190" s="268">
        <f>(BW191/(BW$5-BV$5))*-BW46</f>
        <v>0</v>
      </c>
      <c r="BX190" s="268">
        <f>(BX191/(BX$5-BW$5))*-BX46</f>
        <v>0</v>
      </c>
      <c r="BY190" s="268">
        <f>(BY191/(BY$5-BX$5))*-BY46</f>
        <v>0</v>
      </c>
      <c r="BZ190" s="268">
        <f>BY190</f>
        <v>0</v>
      </c>
      <c r="CA190" s="268">
        <f>(CA191/(CA$5-BZ$5))*-CA46</f>
        <v>0</v>
      </c>
      <c r="CB190" s="268">
        <f>(CB191/(CB$5-CA$5))*-CB46</f>
        <v>0</v>
      </c>
      <c r="CC190" s="268">
        <f>(CC191/(CC$5-CB$5))*-CC46</f>
        <v>0</v>
      </c>
      <c r="CD190" s="268">
        <f>(CD191/(CD$5-CC$5))*-CD46</f>
        <v>0</v>
      </c>
      <c r="CE190" s="268">
        <f>CD190</f>
        <v>0</v>
      </c>
      <c r="CF190" s="268">
        <f>(CF191/(CF$5-CE$5))*-CF46</f>
        <v>0</v>
      </c>
      <c r="CG190" s="268">
        <f>(CG191/(CG$5-CF$5))*-CG46</f>
        <v>0</v>
      </c>
      <c r="CH190" s="268">
        <f>(CH191/(CH$5-CG$5))*-CH46</f>
        <v>0</v>
      </c>
      <c r="CI190" s="268">
        <f>(CI191/(CI$5-CH$5))*-CI46</f>
        <v>0</v>
      </c>
      <c r="CJ190" s="268">
        <f>CI190</f>
        <v>0</v>
      </c>
      <c r="CK190" s="268">
        <f>(CK191/(CK$5-CJ$5))*-CK46</f>
        <v>0</v>
      </c>
      <c r="CL190" s="268">
        <f>(CL191/(CL$5-CK$5))*-CL46</f>
        <v>0</v>
      </c>
      <c r="CM190" s="268">
        <f>(CM191/(CM$5-CL$5))*-CM46</f>
        <v>0</v>
      </c>
      <c r="CN190" s="268">
        <f>(CN191/(CN$5-CM$5))*-CN46</f>
        <v>0</v>
      </c>
      <c r="CO190" s="268">
        <f>CN190</f>
        <v>0</v>
      </c>
      <c r="CP190" s="268">
        <f>(CP191/(CP$5-CO$5))*-CP46</f>
        <v>0</v>
      </c>
      <c r="CQ190" s="268">
        <f>(CQ191/(CQ$5-CP$5))*-CQ46</f>
        <v>0</v>
      </c>
      <c r="CR190" s="268">
        <f>(CR191/(CR$5-CQ$5))*-CR46</f>
        <v>0</v>
      </c>
      <c r="CS190" s="268">
        <f>(CS191/(CS$5-CR$5))*-CS46</f>
        <v>0</v>
      </c>
      <c r="CT190" s="268">
        <f>CS190</f>
        <v>0</v>
      </c>
      <c r="CU190" s="268">
        <f>(CU191/(CU$5-CT$5))*-CU46</f>
        <v>0</v>
      </c>
      <c r="CV190" s="268">
        <f>(CV191/(CV$5-CU$5))*-CV46</f>
        <v>0</v>
      </c>
      <c r="CW190" s="268">
        <f>(CW191/(CW$5-CV$5))*-CW46</f>
        <v>0</v>
      </c>
      <c r="CX190" s="268">
        <f>(CX191/(CX$5-CW$5))*-CX46</f>
        <v>0</v>
      </c>
      <c r="CY190" s="268">
        <f>CX190</f>
        <v>0</v>
      </c>
    </row>
    <row r="191" hidden="1" outlineLevel="1" ht="12.75" customHeight="1" s="255">
      <c r="C191" s="312" t="inlineStr">
        <is>
          <t>DPO</t>
        </is>
      </c>
      <c r="D191" s="268" t="n"/>
      <c r="E191" s="268">
        <f>-(E190/E$46)*(E$5-D$5)</f>
        <v>99.7166297117517</v>
      </c>
      <c r="F191" s="268">
        <f>-(F190/F$46)*(F$5-E$5)</f>
        <v>94.1940177849636</v>
      </c>
      <c r="G191" s="268">
        <f>-(G190/G$46)*(G$5-F$5)</f>
        <v>94.6925123527176</v>
      </c>
      <c r="H191" s="268" t="n"/>
      <c r="I191" s="268">
        <f>-(I190/I$46)*(I$5-H$5)</f>
        <v>92.551130247578</v>
      </c>
      <c r="J191" s="268">
        <f>-(J190/J$46)*(J$5-I$5)</f>
        <v>92.1571568307793</v>
      </c>
      <c r="K191" s="268">
        <f>-(K190/K$46)*(K$5-J$5)</f>
        <v>89.7479325173669</v>
      </c>
      <c r="L191" s="268">
        <f>-(L190/L$46)*(L$5-K$5)</f>
        <v>101.91442155309</v>
      </c>
      <c r="M191" s="268" t="n"/>
      <c r="N191" s="268">
        <f>-(N190/N$46)*(N$5-M$5)</f>
        <v>90.3714285714286</v>
      </c>
      <c r="O191" s="268">
        <f>-(O190/O$46)*(O$5-N$5)</f>
        <v>116.061900033102</v>
      </c>
      <c r="P191" s="268">
        <f>-(P190/P$46)*(P$5-O$5)</f>
        <v>107.084635800649</v>
      </c>
      <c r="Q191" s="268">
        <f>-(Q190/Q$46)*(Q$5-P$5)</f>
        <v>105.611174458381</v>
      </c>
      <c r="R191" s="268" t="n"/>
      <c r="S191" s="268">
        <f>-(S190/S$46)*(S$5-R$5)</f>
        <v>109.080568720379</v>
      </c>
      <c r="T191" s="268">
        <f>-(T190/T$46)*(T$5-S$5)</f>
        <v>93.3846153846154</v>
      </c>
      <c r="U191" s="268">
        <f>-(U190/U$46)*(U$5-T$5)</f>
        <v>96.427807486631</v>
      </c>
      <c r="V191" s="268">
        <f>-(V190/V$46)*(V$5-U$5)</f>
        <v>102.103571428571</v>
      </c>
      <c r="W191" s="268" t="n"/>
      <c r="X191" s="268">
        <f>-(X190/X$46)*(X$5-W$5)</f>
        <v>86.9281997918835</v>
      </c>
      <c r="Y191" s="268">
        <f>-(Y190/Y$46)*(Y$5-X$5)</f>
        <v>91.821935483871</v>
      </c>
      <c r="Z191" s="268">
        <f>-(Z190/Z$46)*(Z$5-Y$5)</f>
        <v>86.2909001716949</v>
      </c>
      <c r="AA191" s="268">
        <f>-(AA190/AA$46)*(AA$5-Z$5)</f>
        <v>99.3198509845663</v>
      </c>
      <c r="AB191" s="268" t="n"/>
      <c r="AC191" s="268">
        <f>-(AC190/AC$46)*(AC$5-AB$5)</f>
        <v>97.7156549520767</v>
      </c>
      <c r="AD191" s="268">
        <f>-(AD190/AD$46)*(AD$5-AC$5)</f>
        <v>91.1275105091079</v>
      </c>
      <c r="AE191" s="268">
        <f>-(AE190/AE$46)*(AE$5-AD$5)</f>
        <v>89.6589774078478</v>
      </c>
      <c r="AF191" s="267">
        <f>-(AF190/AF$46)*(AF$5-AE$5)</f>
        <v>101.665456305979</v>
      </c>
      <c r="AG191" s="268" t="n"/>
      <c r="AH191" s="267">
        <f>-(AH190/AH$46)*(AH$5-AG$5)</f>
        <v>91.7047970479705</v>
      </c>
      <c r="AI191" s="267">
        <f>-(AI190/AI$46)*(AI$5-AH$5)</f>
        <v>96.5189814814815</v>
      </c>
      <c r="AJ191" s="267" t="n"/>
      <c r="AK191" s="267" t="n"/>
      <c r="AL191" s="268" t="n"/>
      <c r="AM191" s="267" t="n"/>
      <c r="AN191" s="267" t="n"/>
      <c r="AO191" s="267" t="n"/>
      <c r="AP191" s="267" t="n"/>
      <c r="AQ191" s="268" t="n"/>
      <c r="AR191" s="267" t="n"/>
      <c r="AS191" s="267" t="n"/>
      <c r="AT191" s="267" t="n"/>
      <c r="AU191" s="267" t="n"/>
      <c r="AV191" s="268" t="n"/>
      <c r="AW191" s="267" t="n"/>
      <c r="AX191" s="267" t="n"/>
      <c r="AY191" s="267" t="n"/>
      <c r="AZ191" s="267" t="n"/>
      <c r="BA191" s="268" t="n"/>
      <c r="BB191" s="267" t="n"/>
      <c r="BC191" s="267" t="n"/>
      <c r="BD191" s="267" t="n"/>
      <c r="BE191" s="267" t="n"/>
      <c r="BF191" s="268" t="n"/>
      <c r="BG191" s="267" t="n"/>
      <c r="BH191" s="267" t="n"/>
      <c r="BI191" s="267" t="n"/>
      <c r="BJ191" s="267" t="n"/>
      <c r="BK191" s="268" t="n"/>
      <c r="BL191" s="267" t="n"/>
      <c r="BM191" s="267" t="n"/>
      <c r="BN191" s="267" t="n"/>
      <c r="BO191" s="267" t="n"/>
      <c r="BP191" s="268" t="n"/>
      <c r="BQ191" s="267" t="n"/>
      <c r="BR191" s="267" t="n"/>
      <c r="BS191" s="267" t="n"/>
      <c r="BT191" s="267" t="n"/>
      <c r="BU191" s="268" t="n"/>
      <c r="BV191" s="267" t="n"/>
      <c r="BW191" s="267" t="n"/>
      <c r="BX191" s="267" t="n"/>
      <c r="BY191" s="267" t="n"/>
      <c r="BZ191" s="268" t="n"/>
      <c r="CA191" s="267" t="n"/>
      <c r="CB191" s="267" t="n"/>
      <c r="CC191" s="267" t="n"/>
      <c r="CD191" s="267" t="n"/>
      <c r="CE191" s="268" t="n"/>
      <c r="CF191" s="267" t="n"/>
      <c r="CG191" s="267" t="n"/>
      <c r="CH191" s="267" t="n"/>
      <c r="CI191" s="267" t="n"/>
      <c r="CJ191" s="268" t="n"/>
      <c r="CK191" s="267" t="n"/>
      <c r="CL191" s="267" t="n"/>
      <c r="CM191" s="267" t="n"/>
      <c r="CN191" s="267" t="n"/>
      <c r="CO191" s="268" t="n"/>
      <c r="CP191" s="267" t="n"/>
      <c r="CQ191" s="267" t="n"/>
      <c r="CR191" s="267" t="n"/>
      <c r="CS191" s="267" t="n"/>
      <c r="CT191" s="268" t="n"/>
      <c r="CU191" s="267" t="n"/>
      <c r="CV191" s="267" t="n"/>
      <c r="CW191" s="267" t="n"/>
      <c r="CX191" s="267" t="n"/>
      <c r="CY191" s="268" t="n"/>
    </row>
    <row r="192" hidden="1" outlineLevel="1" ht="12.75" customHeight="1" s="255">
      <c r="C192" s="312" t="n"/>
      <c r="D192" s="268" t="n"/>
      <c r="E192" s="268" t="n"/>
      <c r="F192" s="268" t="n"/>
      <c r="G192" s="268" t="n"/>
      <c r="H192" s="268" t="n"/>
      <c r="I192" s="268" t="n"/>
      <c r="J192" s="268" t="n"/>
      <c r="K192" s="268" t="n"/>
      <c r="L192" s="268" t="n"/>
      <c r="M192" s="268" t="n"/>
      <c r="N192" s="268" t="n"/>
      <c r="O192" s="268" t="n"/>
      <c r="P192" s="268" t="n"/>
      <c r="Q192" s="268" t="n"/>
      <c r="R192" s="268" t="n"/>
      <c r="S192" s="268" t="n"/>
      <c r="T192" s="268" t="n"/>
      <c r="U192" s="268" t="n"/>
      <c r="V192" s="268" t="n"/>
      <c r="W192" s="268" t="n"/>
      <c r="X192" s="268" t="n"/>
      <c r="Y192" s="268" t="n"/>
      <c r="Z192" s="268" t="n"/>
      <c r="AA192" s="268" t="n"/>
      <c r="AB192" s="268" t="n"/>
      <c r="AC192" s="268" t="n"/>
      <c r="AD192" s="268" t="n"/>
      <c r="AE192" s="268" t="n"/>
      <c r="AF192" s="268" t="n"/>
      <c r="AG192" s="268" t="n"/>
      <c r="AH192" s="268" t="n"/>
      <c r="AI192" s="268" t="n"/>
      <c r="AJ192" s="268" t="n"/>
      <c r="AK192" s="268" t="n"/>
      <c r="AL192" s="268" t="n"/>
      <c r="AM192" s="268" t="n"/>
      <c r="AN192" s="268" t="n"/>
      <c r="AO192" s="268" t="n"/>
      <c r="AP192" s="268" t="n"/>
      <c r="AQ192" s="268" t="n"/>
      <c r="AR192" s="268" t="n"/>
      <c r="AS192" s="268" t="n"/>
      <c r="AT192" s="268" t="n"/>
      <c r="AU192" s="268" t="n"/>
      <c r="AV192" s="268" t="n"/>
      <c r="AW192" s="268" t="n"/>
      <c r="AX192" s="268" t="n"/>
      <c r="AY192" s="268" t="n"/>
      <c r="AZ192" s="268" t="n"/>
      <c r="BA192" s="268" t="n"/>
      <c r="BB192" s="268" t="n"/>
      <c r="BC192" s="268" t="n"/>
      <c r="BD192" s="268" t="n"/>
      <c r="BE192" s="268" t="n"/>
      <c r="BF192" s="268" t="n"/>
      <c r="BG192" s="268" t="n"/>
      <c r="BH192" s="268" t="n"/>
      <c r="BI192" s="268" t="n"/>
      <c r="BJ192" s="268" t="n"/>
      <c r="BK192" s="268" t="n"/>
      <c r="BL192" s="268" t="n"/>
      <c r="BM192" s="268" t="n"/>
      <c r="BN192" s="268" t="n"/>
      <c r="BO192" s="268" t="n"/>
      <c r="BP192" s="268" t="n"/>
      <c r="BQ192" s="268" t="n"/>
      <c r="BR192" s="268" t="n"/>
      <c r="BS192" s="268" t="n"/>
      <c r="BT192" s="268" t="n"/>
      <c r="BU192" s="268" t="n"/>
      <c r="BV192" s="268" t="n"/>
      <c r="BW192" s="268" t="n"/>
      <c r="BX192" s="268" t="n"/>
      <c r="BY192" s="268" t="n"/>
      <c r="BZ192" s="268" t="n"/>
      <c r="CA192" s="268" t="n"/>
      <c r="CB192" s="268" t="n"/>
      <c r="CC192" s="268" t="n"/>
      <c r="CD192" s="268" t="n"/>
      <c r="CE192" s="268" t="n"/>
      <c r="CF192" s="268" t="n"/>
      <c r="CG192" s="268" t="n"/>
      <c r="CH192" s="268" t="n"/>
      <c r="CI192" s="268" t="n"/>
      <c r="CJ192" s="268" t="n"/>
      <c r="CK192" s="268" t="n"/>
      <c r="CL192" s="268" t="n"/>
      <c r="CM192" s="268" t="n"/>
      <c r="CN192" s="268" t="n"/>
      <c r="CO192" s="268" t="n"/>
      <c r="CP192" s="268" t="n"/>
      <c r="CQ192" s="268" t="n"/>
      <c r="CR192" s="268" t="n"/>
      <c r="CS192" s="268" t="n"/>
      <c r="CT192" s="268" t="n"/>
      <c r="CU192" s="268" t="n"/>
      <c r="CV192" s="268" t="n"/>
      <c r="CW192" s="268" t="n"/>
      <c r="CX192" s="268" t="n"/>
      <c r="CY192" s="268" t="n"/>
    </row>
    <row r="193" hidden="1" outlineLevel="1" ht="12.75" customHeight="1" s="255">
      <c r="C193" s="312" t="n"/>
      <c r="D193" s="268" t="n"/>
      <c r="E193" s="268" t="n"/>
      <c r="F193" s="268" t="n"/>
      <c r="G193" s="268" t="n"/>
      <c r="H193" s="268" t="n"/>
      <c r="I193" s="268" t="n"/>
      <c r="J193" s="268" t="n"/>
      <c r="K193" s="268" t="n"/>
      <c r="L193" s="268" t="n"/>
      <c r="M193" s="268" t="n"/>
      <c r="N193" s="268" t="n"/>
      <c r="O193" s="268" t="n"/>
      <c r="P193" s="268" t="n"/>
      <c r="Q193" s="268" t="n"/>
      <c r="R193" s="268" t="n"/>
      <c r="S193" s="268" t="n"/>
      <c r="T193" s="268" t="n"/>
      <c r="U193" s="268" t="n"/>
      <c r="V193" s="268" t="n"/>
      <c r="W193" s="268" t="n"/>
      <c r="X193" s="268" t="n"/>
      <c r="Y193" s="268" t="n"/>
      <c r="Z193" s="268" t="n"/>
      <c r="AA193" s="268" t="n"/>
      <c r="AB193" s="268" t="n"/>
      <c r="AC193" s="268" t="n"/>
      <c r="AD193" s="268" t="n"/>
      <c r="AE193" s="268" t="n"/>
      <c r="AF193" s="268" t="n"/>
      <c r="AG193" s="268" t="n"/>
      <c r="AH193" s="268" t="n"/>
      <c r="AI193" s="268" t="n"/>
      <c r="AJ193" s="268" t="n"/>
      <c r="AK193" s="268" t="n"/>
      <c r="AL193" s="268" t="n"/>
      <c r="AM193" s="268" t="n"/>
      <c r="AN193" s="268" t="n"/>
      <c r="AO193" s="268" t="n"/>
      <c r="AP193" s="268" t="n"/>
      <c r="AQ193" s="268" t="n"/>
      <c r="AR193" s="268" t="n"/>
      <c r="AS193" s="268" t="n"/>
      <c r="AT193" s="268" t="n"/>
      <c r="AU193" s="268" t="n"/>
      <c r="AV193" s="268" t="n"/>
      <c r="AW193" s="268" t="n"/>
      <c r="AX193" s="268" t="n"/>
      <c r="AY193" s="268" t="n"/>
      <c r="AZ193" s="268" t="n"/>
      <c r="BA193" s="268" t="n"/>
      <c r="BB193" s="268" t="n"/>
      <c r="BC193" s="268" t="n"/>
      <c r="BD193" s="268" t="n"/>
      <c r="BE193" s="268" t="n"/>
      <c r="BF193" s="268" t="n"/>
      <c r="BG193" s="268" t="n"/>
      <c r="BH193" s="268" t="n"/>
      <c r="BI193" s="268" t="n"/>
      <c r="BJ193" s="268" t="n"/>
      <c r="BK193" s="268" t="n"/>
      <c r="BL193" s="268" t="n"/>
      <c r="BM193" s="268" t="n"/>
      <c r="BN193" s="268" t="n"/>
      <c r="BO193" s="268" t="n"/>
      <c r="BP193" s="268" t="n"/>
      <c r="BQ193" s="268" t="n"/>
      <c r="BR193" s="268" t="n"/>
      <c r="BS193" s="268" t="n"/>
      <c r="BT193" s="268" t="n"/>
      <c r="BU193" s="268" t="n"/>
      <c r="BV193" s="268" t="n"/>
      <c r="BW193" s="268" t="n"/>
      <c r="BX193" s="268" t="n"/>
      <c r="BY193" s="268" t="n"/>
      <c r="BZ193" s="268" t="n"/>
      <c r="CA193" s="268" t="n"/>
      <c r="CB193" s="268" t="n"/>
      <c r="CC193" s="268" t="n"/>
      <c r="CD193" s="268" t="n"/>
      <c r="CE193" s="268" t="n"/>
      <c r="CF193" s="268" t="n"/>
      <c r="CG193" s="268" t="n"/>
      <c r="CH193" s="268" t="n"/>
      <c r="CI193" s="268" t="n"/>
      <c r="CJ193" s="268" t="n"/>
      <c r="CK193" s="268" t="n"/>
      <c r="CL193" s="268" t="n"/>
      <c r="CM193" s="268" t="n"/>
      <c r="CN193" s="268" t="n"/>
      <c r="CO193" s="268" t="n"/>
      <c r="CP193" s="268" t="n"/>
      <c r="CQ193" s="268" t="n"/>
      <c r="CR193" s="268" t="n"/>
      <c r="CS193" s="268" t="n"/>
      <c r="CT193" s="268" t="n"/>
      <c r="CU193" s="268" t="n"/>
      <c r="CV193" s="268" t="n"/>
      <c r="CW193" s="268" t="n"/>
      <c r="CX193" s="268" t="n"/>
      <c r="CY193" s="268" t="n"/>
    </row>
    <row r="194" ht="12.75" customHeight="1" s="255">
      <c r="C194" s="270" t="inlineStr">
        <is>
          <t>Accrued expenses</t>
        </is>
      </c>
      <c r="D194" s="301">
        <f>INDEX('Inputs (2)'!$D$29:$AL$29,MATCH(D$7,'Inputs (2)'!$D$2:$AL$2,0))</f>
        <v>0</v>
      </c>
      <c r="E194" s="301">
        <f>INDEX('Inputs (2)'!$D$29:$AL$29,MATCH(E$7,'Inputs (2)'!$D$2:$AL$2,0))</f>
        <v>0</v>
      </c>
      <c r="F194" s="301">
        <f>INDEX('Inputs (2)'!$D$29:$AL$29,MATCH(F$7,'Inputs (2)'!$D$2:$AL$2,0))</f>
        <v>0</v>
      </c>
      <c r="G194" s="301">
        <f>INDEX('Inputs (2)'!$D$29:$AL$29,MATCH(G$7,'Inputs (2)'!$D$2:$AL$2,0))</f>
        <v>0</v>
      </c>
      <c r="H194" s="268">
        <f>G194</f>
        <v>0</v>
      </c>
      <c r="I194" s="301">
        <f>INDEX('Inputs (2)'!$D$29:$AL$29,MATCH(I$7,'Inputs (2)'!$D$2:$AL$2,0))</f>
        <v>0</v>
      </c>
      <c r="J194" s="301">
        <f>INDEX('Inputs (2)'!$D$29:$AL$29,MATCH(J$7,'Inputs (2)'!$D$2:$AL$2,0))</f>
        <v>0</v>
      </c>
      <c r="K194" s="301">
        <f>INDEX('Inputs (2)'!$D$29:$AL$29,MATCH(K$7,'Inputs (2)'!$D$2:$AL$2,0))</f>
        <v>0</v>
      </c>
      <c r="L194" s="301">
        <f>INDEX('Inputs (2)'!$D$29:$AL$29,MATCH(L$7,'Inputs (2)'!$D$2:$AL$2,0))</f>
        <v>0</v>
      </c>
      <c r="M194" s="268">
        <f>L194</f>
        <v>0</v>
      </c>
      <c r="N194" s="301">
        <f>INDEX('Inputs (2)'!$D$29:$AL$29,MATCH(N$7,'Inputs (2)'!$D$2:$AL$2,0))</f>
        <v>0</v>
      </c>
      <c r="O194" s="301">
        <f>INDEX('Inputs (2)'!$D$29:$AL$29,MATCH(O$7,'Inputs (2)'!$D$2:$AL$2,0))</f>
        <v>0</v>
      </c>
      <c r="P194" s="301">
        <f>INDEX('Inputs (2)'!$D$29:$AL$29,MATCH(P$7,'Inputs (2)'!$D$2:$AL$2,0))</f>
        <v>0</v>
      </c>
      <c r="Q194" s="301">
        <f>INDEX('Inputs (2)'!$D$29:$AL$29,MATCH(Q$7,'Inputs (2)'!$D$2:$AL$2,0))</f>
        <v>0</v>
      </c>
      <c r="R194" s="268">
        <f>Q194</f>
        <v>0</v>
      </c>
      <c r="S194" s="301">
        <f>INDEX('Inputs (2)'!$D$29:$AL$29,MATCH(S$7,'Inputs (2)'!$D$2:$AL$2,0))</f>
        <v>0</v>
      </c>
      <c r="T194" s="301">
        <f>INDEX('Inputs (2)'!$D$29:$AL$29,MATCH(T$7,'Inputs (2)'!$D$2:$AL$2,0))</f>
        <v>0</v>
      </c>
      <c r="U194" s="301">
        <f>INDEX('Inputs (2)'!$D$29:$AL$29,MATCH(U$7,'Inputs (2)'!$D$2:$AL$2,0))</f>
        <v>0</v>
      </c>
      <c r="V194" s="301">
        <f>INDEX('Inputs (2)'!$D$29:$AL$29,MATCH(V$7,'Inputs (2)'!$D$2:$AL$2,0))</f>
        <v>0</v>
      </c>
      <c r="W194" s="268">
        <f>V194</f>
        <v>0</v>
      </c>
      <c r="X194" s="301">
        <f>INDEX('Inputs (2)'!$D$29:$AL$29,MATCH(X$7,'Inputs (2)'!$D$2:$AL$2,0))</f>
        <v>0</v>
      </c>
      <c r="Y194" s="301">
        <f>INDEX('Inputs (2)'!$D$29:$AL$29,MATCH(Y$7,'Inputs (2)'!$D$2:$AL$2,0))</f>
        <v>0</v>
      </c>
      <c r="Z194" s="301">
        <f>INDEX('Inputs (2)'!$D$29:$AL$29,MATCH(Z$7,'Inputs (2)'!$D$2:$AL$2,0))</f>
        <v>0</v>
      </c>
      <c r="AA194" s="301">
        <f>INDEX('Inputs (2)'!$D$29:$AL$29,MATCH(AA$7,'Inputs (2)'!$D$2:$AL$2,0))</f>
        <v>0</v>
      </c>
      <c r="AB194" s="268">
        <f>AA194</f>
        <v>0</v>
      </c>
      <c r="AC194" s="301">
        <f>INDEX('Inputs (2)'!$D$29:$AL$29,MATCH(AC$7,'Inputs (2)'!$D$2:$AL$2,0))</f>
        <v>0</v>
      </c>
      <c r="AD194" s="301">
        <f>INDEX('Inputs (2)'!$D$29:$AL$29,MATCH(AD$7,'Inputs (2)'!$D$2:$AL$2,0))</f>
        <v>0</v>
      </c>
      <c r="AE194" s="301">
        <f>INDEX('Inputs (2)'!$D$29:$AL$29,MATCH(AE$7,'Inputs (2)'!$D$2:$AL$2,0))</f>
        <v>0</v>
      </c>
      <c r="AF194" s="301">
        <f>INDEX('Inputs (2)'!$D$29:$AL$29,MATCH(AF$7,'Inputs (2)'!$D$2:$AL$2,0))</f>
        <v>0</v>
      </c>
      <c r="AG194" s="268">
        <f>AF194</f>
        <v>0</v>
      </c>
      <c r="AH194" s="268">
        <f>INDEX('Inputs (2)'!$D$29:$AL$29,MATCH(AH$7,'Inputs (2)'!$D$2:$AL$2,0))</f>
        <v>0</v>
      </c>
      <c r="AI194" s="268">
        <f>INDEX('Inputs (2)'!$D$29:$AL$29,MATCH(AI$7,'Inputs (2)'!$D$2:$AL$2,0))</f>
        <v>0</v>
      </c>
      <c r="AJ194" s="268">
        <f>AH194*AJ50/AH50</f>
        <v>0</v>
      </c>
      <c r="AK194" s="268">
        <f>AI194*AK50/AI50</f>
        <v>0</v>
      </c>
      <c r="AL194" s="268">
        <f>AK194</f>
        <v>0</v>
      </c>
      <c r="AM194" s="268" t="e">
        <f>AK194*AM50/AK50</f>
        <v>#DIV/0!</v>
      </c>
      <c r="AN194" s="268">
        <f>AL194*AN50/AL50</f>
        <v>0</v>
      </c>
      <c r="AO194" s="268" t="e">
        <f>AM194*AO50/AM50</f>
        <v>#DIV/0!</v>
      </c>
      <c r="AP194" s="268" t="e">
        <f>AN194*AP50/AN50</f>
        <v>#DIV/0!</v>
      </c>
      <c r="AQ194" s="268" t="e">
        <f>AP194</f>
        <v>#DIV/0!</v>
      </c>
      <c r="AR194" s="268" t="e">
        <f>AP194*AR50/AP50</f>
        <v>#DIV/0!</v>
      </c>
      <c r="AS194" s="268" t="e">
        <f>AQ194*AS50/AQ50</f>
        <v>#DIV/0!</v>
      </c>
      <c r="AT194" s="268" t="e">
        <f>AR194*AT50/AR50</f>
        <v>#DIV/0!</v>
      </c>
      <c r="AU194" s="268" t="e">
        <f>AS194*AU50/AS50</f>
        <v>#DIV/0!</v>
      </c>
      <c r="AV194" s="268" t="e">
        <f>AU194</f>
        <v>#DIV/0!</v>
      </c>
      <c r="AW194" s="268" t="e">
        <f>AU194*AW50/AU50</f>
        <v>#DIV/0!</v>
      </c>
      <c r="AX194" s="268" t="e">
        <f>AV194*AX50/AV50</f>
        <v>#DIV/0!</v>
      </c>
      <c r="AY194" s="268" t="e">
        <f>AW194*AY50/AW50</f>
        <v>#DIV/0!</v>
      </c>
      <c r="AZ194" s="268" t="e">
        <f>AX194*AZ50/AX50</f>
        <v>#DIV/0!</v>
      </c>
      <c r="BA194" s="268" t="e">
        <f>AZ194</f>
        <v>#DIV/0!</v>
      </c>
      <c r="BB194" s="268" t="e">
        <f>AZ194*BB50/AZ50</f>
        <v>#DIV/0!</v>
      </c>
      <c r="BC194" s="268" t="e">
        <f>BA194*BC50/BA50</f>
        <v>#DIV/0!</v>
      </c>
      <c r="BD194" s="268" t="e">
        <f>BB194*BD50/BB50</f>
        <v>#DIV/0!</v>
      </c>
      <c r="BE194" s="268" t="e">
        <f>BC194*BE50/BC50</f>
        <v>#DIV/0!</v>
      </c>
      <c r="BF194" s="268" t="e">
        <f>BE194</f>
        <v>#DIV/0!</v>
      </c>
      <c r="BG194" s="268" t="e">
        <f>BE194*BG50/BE50</f>
        <v>#DIV/0!</v>
      </c>
      <c r="BH194" s="268" t="e">
        <f>BF194*BH50/BF50</f>
        <v>#DIV/0!</v>
      </c>
      <c r="BI194" s="268" t="e">
        <f>BG194*BI50/BG50</f>
        <v>#DIV/0!</v>
      </c>
      <c r="BJ194" s="268" t="e">
        <f>BH194*BJ50/BH50</f>
        <v>#DIV/0!</v>
      </c>
      <c r="BK194" s="268" t="e">
        <f>BJ194</f>
        <v>#DIV/0!</v>
      </c>
      <c r="BL194" s="268" t="e">
        <f>BJ194*BL50/BJ50</f>
        <v>#DIV/0!</v>
      </c>
      <c r="BM194" s="268" t="e">
        <f>BK194*BM50/BK50</f>
        <v>#DIV/0!</v>
      </c>
      <c r="BN194" s="268" t="e">
        <f>BL194*BN50/BL50</f>
        <v>#DIV/0!</v>
      </c>
      <c r="BO194" s="268" t="e">
        <f>BM194*BO50/BM50</f>
        <v>#DIV/0!</v>
      </c>
      <c r="BP194" s="268" t="e">
        <f>BO194</f>
        <v>#DIV/0!</v>
      </c>
      <c r="BQ194" s="268" t="e">
        <f>BO194*BQ50/BO50</f>
        <v>#DIV/0!</v>
      </c>
      <c r="BR194" s="268" t="e">
        <f>BP194*BR50/BP50</f>
        <v>#DIV/0!</v>
      </c>
      <c r="BS194" s="268" t="e">
        <f>BQ194*BS50/BQ50</f>
        <v>#DIV/0!</v>
      </c>
      <c r="BT194" s="268" t="e">
        <f>BR194*BT50/BR50</f>
        <v>#DIV/0!</v>
      </c>
      <c r="BU194" s="268" t="e">
        <f>BT194</f>
        <v>#DIV/0!</v>
      </c>
      <c r="BV194" s="268" t="e">
        <f>BT194*BV50/BT50</f>
        <v>#DIV/0!</v>
      </c>
      <c r="BW194" s="268" t="e">
        <f>BU194*BW50/BU50</f>
        <v>#DIV/0!</v>
      </c>
      <c r="BX194" s="268" t="e">
        <f>BV194*BX50/BV50</f>
        <v>#DIV/0!</v>
      </c>
      <c r="BY194" s="268" t="e">
        <f>BW194*BY50/BW50</f>
        <v>#DIV/0!</v>
      </c>
      <c r="BZ194" s="268" t="e">
        <f>BY194</f>
        <v>#DIV/0!</v>
      </c>
      <c r="CA194" s="268" t="e">
        <f>BY194*CA50/BY50</f>
        <v>#DIV/0!</v>
      </c>
      <c r="CB194" s="268" t="e">
        <f>BZ194*CB50/BZ50</f>
        <v>#DIV/0!</v>
      </c>
      <c r="CC194" s="268" t="e">
        <f>CA194*CC50/CA50</f>
        <v>#DIV/0!</v>
      </c>
      <c r="CD194" s="268" t="e">
        <f>CB194*CD50/CB50</f>
        <v>#DIV/0!</v>
      </c>
      <c r="CE194" s="268" t="e">
        <f>CD194</f>
        <v>#DIV/0!</v>
      </c>
      <c r="CF194" s="268" t="e">
        <f>CD194*CF50/CD50</f>
        <v>#DIV/0!</v>
      </c>
      <c r="CG194" s="268" t="e">
        <f>CE194*CG50/CE50</f>
        <v>#DIV/0!</v>
      </c>
      <c r="CH194" s="268" t="e">
        <f>CF194*CH50/CF50</f>
        <v>#DIV/0!</v>
      </c>
      <c r="CI194" s="268" t="e">
        <f>CG194*CI50/CG50</f>
        <v>#DIV/0!</v>
      </c>
      <c r="CJ194" s="268" t="e">
        <f>CI194</f>
        <v>#DIV/0!</v>
      </c>
      <c r="CK194" s="268" t="e">
        <f>CI194*CK50/CI50</f>
        <v>#DIV/0!</v>
      </c>
      <c r="CL194" s="268" t="e">
        <f>CJ194*CL50/CJ50</f>
        <v>#DIV/0!</v>
      </c>
      <c r="CM194" s="268" t="e">
        <f>CK194*CM50/CK50</f>
        <v>#DIV/0!</v>
      </c>
      <c r="CN194" s="268" t="e">
        <f>CL194*CN50/CL50</f>
        <v>#DIV/0!</v>
      </c>
      <c r="CO194" s="268" t="e">
        <f>CN194</f>
        <v>#DIV/0!</v>
      </c>
      <c r="CP194" s="268" t="e">
        <f>CN194*CP50/CN50</f>
        <v>#DIV/0!</v>
      </c>
      <c r="CQ194" s="268" t="e">
        <f>CO194*CQ50/CO50</f>
        <v>#DIV/0!</v>
      </c>
      <c r="CR194" s="268" t="e">
        <f>CP194*CR50/CP50</f>
        <v>#DIV/0!</v>
      </c>
      <c r="CS194" s="268" t="e">
        <f>CQ194*CS50/CQ50</f>
        <v>#DIV/0!</v>
      </c>
      <c r="CT194" s="268" t="e">
        <f>CS194</f>
        <v>#DIV/0!</v>
      </c>
      <c r="CU194" s="268" t="e">
        <f>CS194*CU50/CS50</f>
        <v>#DIV/0!</v>
      </c>
      <c r="CV194" s="268" t="e">
        <f>CT194*CV50/CT50</f>
        <v>#DIV/0!</v>
      </c>
      <c r="CW194" s="268" t="e">
        <f>CU194*CW50/CU50</f>
        <v>#DIV/0!</v>
      </c>
      <c r="CX194" s="268" t="e">
        <f>CV194*CX50/CV50</f>
        <v>#DIV/0!</v>
      </c>
      <c r="CY194" s="268" t="e">
        <f>CX194</f>
        <v>#DIV/0!</v>
      </c>
    </row>
    <row r="195" hidden="1" outlineLevel="1" ht="12.75" customHeight="1" s="255">
      <c r="C195" s="314" t="inlineStr">
        <is>
          <t>%(Var.)</t>
        </is>
      </c>
      <c r="D195" s="268" t="n"/>
      <c r="E195" s="296" t="str">
        <f>IFERROR((E194-D194)/D194,"")</f>
        <v/>
      </c>
      <c r="F195" s="296" t="str">
        <f>IFERROR((F194-E194)/E194,"")</f>
        <v/>
      </c>
      <c r="G195" s="296" t="str">
        <f>IFERROR((G194-F194)/F194,"")</f>
        <v/>
      </c>
      <c r="H195" s="268" t="n"/>
      <c r="I195" s="296" t="str">
        <f>IFERROR((I194-H194)/H194,"")</f>
        <v/>
      </c>
      <c r="J195" s="296" t="str">
        <f>IFERROR((J194-I194)/I194,"")</f>
        <v/>
      </c>
      <c r="K195" s="296" t="str">
        <f>IFERROR((K194-J194)/J194,"")</f>
        <v/>
      </c>
      <c r="L195" s="296" t="str">
        <f>IFERROR((L194-K194)/K194,"")</f>
        <v/>
      </c>
      <c r="M195" s="268" t="n"/>
      <c r="N195" s="296" t="str">
        <f>IFERROR((N194-M194)/M194,"")</f>
        <v/>
      </c>
      <c r="O195" s="296" t="str">
        <f>IFERROR((O194-N194)/N194,"")</f>
        <v/>
      </c>
      <c r="P195" s="296" t="str">
        <f>IFERROR((P194-O194)/O194,"")</f>
        <v/>
      </c>
      <c r="Q195" s="296" t="str">
        <f>IFERROR((Q194-P194)/P194,"")</f>
        <v/>
      </c>
      <c r="R195" s="268" t="n"/>
      <c r="S195" s="296" t="str">
        <f>IFERROR((S194-R194)/R194,"")</f>
        <v/>
      </c>
      <c r="T195" s="296" t="str">
        <f>IFERROR((T194-S194)/S194,"")</f>
        <v/>
      </c>
      <c r="U195" s="296" t="str">
        <f>IFERROR((U194-T194)/T194,"")</f>
        <v/>
      </c>
      <c r="V195" s="296" t="str">
        <f>IFERROR((V194-U194)/U194,"")</f>
        <v/>
      </c>
      <c r="W195" s="268" t="n"/>
      <c r="X195" s="296" t="str">
        <f>IFERROR((X194-W194)/W194,"")</f>
        <v/>
      </c>
      <c r="Y195" s="296" t="str">
        <f>IFERROR((Y194-X194)/X194,"")</f>
        <v/>
      </c>
      <c r="Z195" s="296" t="str">
        <f>IFERROR((Z194-Y194)/Y194,"")</f>
        <v/>
      </c>
      <c r="AA195" s="296" t="str">
        <f>IFERROR((AA194-Z194)/Z194,"")</f>
        <v/>
      </c>
      <c r="AB195" s="268" t="n"/>
      <c r="AC195" s="296" t="str">
        <f>IFERROR((AC194-AB194)/AB194,"")</f>
        <v/>
      </c>
      <c r="AD195" s="296" t="str">
        <f>IFERROR((AD194-AC194)/AC194,"")</f>
        <v/>
      </c>
      <c r="AE195" s="296" t="str">
        <f>IFERROR((AE194-AD194)/AD194,"")</f>
        <v/>
      </c>
      <c r="AF195" s="311" t="str">
        <f>IFERROR((AF194-AE194)/AE194,"")</f>
        <v/>
      </c>
      <c r="AG195" s="268" t="n"/>
      <c r="AH195" s="311" t="str">
        <f>IFERROR((AH194-AG194)/AG194,"")</f>
        <v/>
      </c>
      <c r="AI195" s="311" t="str">
        <f>IFERROR((AI194-AH194)/AH194,"")</f>
        <v/>
      </c>
      <c r="AJ195" s="311" t="n"/>
      <c r="AK195" s="311" t="n"/>
      <c r="AL195" s="268" t="n"/>
      <c r="AM195" s="311" t="n"/>
      <c r="AN195" s="311" t="n"/>
      <c r="AO195" s="311" t="n"/>
      <c r="AP195" s="311" t="n"/>
      <c r="AQ195" s="268" t="n"/>
      <c r="AR195" s="311" t="n"/>
      <c r="AS195" s="311" t="n"/>
      <c r="AT195" s="311" t="n"/>
      <c r="AU195" s="311" t="n"/>
      <c r="AV195" s="268" t="n"/>
      <c r="AW195" s="311" t="n"/>
      <c r="AX195" s="311" t="n"/>
      <c r="AY195" s="311" t="n"/>
      <c r="AZ195" s="311" t="n"/>
      <c r="BA195" s="268" t="n"/>
      <c r="BB195" s="311" t="n"/>
      <c r="BC195" s="311" t="n"/>
      <c r="BD195" s="311" t="n"/>
      <c r="BE195" s="311" t="n"/>
      <c r="BF195" s="268" t="n"/>
      <c r="BG195" s="311" t="n"/>
      <c r="BH195" s="311" t="n"/>
      <c r="BI195" s="311" t="n"/>
      <c r="BJ195" s="311" t="n"/>
      <c r="BK195" s="268" t="n"/>
      <c r="BL195" s="311" t="n"/>
      <c r="BM195" s="311" t="n"/>
      <c r="BN195" s="311" t="n"/>
      <c r="BO195" s="311" t="n"/>
      <c r="BP195" s="268" t="n"/>
      <c r="BQ195" s="311" t="n"/>
      <c r="BR195" s="311" t="n"/>
      <c r="BS195" s="311" t="n"/>
      <c r="BT195" s="311" t="n"/>
      <c r="BU195" s="268" t="n"/>
      <c r="BV195" s="311" t="n"/>
      <c r="BW195" s="311" t="n"/>
      <c r="BX195" s="311" t="n"/>
      <c r="BY195" s="311" t="n"/>
      <c r="BZ195" s="268" t="n"/>
      <c r="CA195" s="311" t="n"/>
      <c r="CB195" s="311" t="n"/>
      <c r="CC195" s="311" t="n"/>
      <c r="CD195" s="311" t="n"/>
      <c r="CE195" s="268" t="n"/>
      <c r="CF195" s="311" t="n"/>
      <c r="CG195" s="311" t="n"/>
      <c r="CH195" s="311" t="n"/>
      <c r="CI195" s="311" t="n"/>
      <c r="CJ195" s="268" t="n"/>
      <c r="CK195" s="311" t="n"/>
      <c r="CL195" s="311" t="n"/>
      <c r="CM195" s="311" t="n"/>
      <c r="CN195" s="311" t="n"/>
      <c r="CO195" s="268" t="n"/>
      <c r="CP195" s="311" t="n"/>
      <c r="CQ195" s="311" t="n"/>
      <c r="CR195" s="311" t="n"/>
      <c r="CS195" s="311" t="n"/>
      <c r="CT195" s="268" t="n"/>
      <c r="CU195" s="311" t="n"/>
      <c r="CV195" s="311" t="n"/>
      <c r="CW195" s="311" t="n"/>
      <c r="CX195" s="311" t="n"/>
      <c r="CY195" s="268" t="n"/>
    </row>
    <row r="196" ht="12.75" customHeight="1" s="255">
      <c r="C196" s="270" t="inlineStr">
        <is>
          <t>Taxes payable</t>
        </is>
      </c>
      <c r="D196" s="301">
        <f>INDEX('Inputs (2)'!$D$30:$AL$30,MATCH(D$7,'Inputs (2)'!$D$2:$AL$2,0))</f>
        <v>128</v>
      </c>
      <c r="E196" s="301">
        <f>INDEX('Inputs (2)'!$D$30:$AL$30,MATCH(E$7,'Inputs (2)'!$D$2:$AL$2,0))</f>
        <v>47</v>
      </c>
      <c r="F196" s="301">
        <f>INDEX('Inputs (2)'!$D$30:$AL$30,MATCH(F$7,'Inputs (2)'!$D$2:$AL$2,0))</f>
        <v>119</v>
      </c>
      <c r="G196" s="301">
        <f>INDEX('Inputs (2)'!$D$30:$AL$30,MATCH(G$7,'Inputs (2)'!$D$2:$AL$2,0))</f>
        <v>324</v>
      </c>
      <c r="H196" s="268">
        <f>G196</f>
        <v>324</v>
      </c>
      <c r="I196" s="301">
        <f>INDEX('Inputs (2)'!$D$30:$AL$30,MATCH(I$7,'Inputs (2)'!$D$2:$AL$2,0))</f>
        <v>647</v>
      </c>
      <c r="J196" s="301">
        <f>INDEX('Inputs (2)'!$D$30:$AL$30,MATCH(J$7,'Inputs (2)'!$D$2:$AL$2,0))</f>
        <v>919</v>
      </c>
      <c r="K196" s="301">
        <f>INDEX('Inputs (2)'!$D$30:$AL$30,MATCH(K$7,'Inputs (2)'!$D$2:$AL$2,0))</f>
        <v>1237</v>
      </c>
      <c r="L196" s="301">
        <f>INDEX('Inputs (2)'!$D$30:$AL$30,MATCH(L$7,'Inputs (2)'!$D$2:$AL$2,0))</f>
        <v>1541</v>
      </c>
      <c r="M196" s="268">
        <f>L196</f>
        <v>1541</v>
      </c>
      <c r="N196" s="301">
        <f>INDEX('Inputs (2)'!$D$30:$AL$30,MATCH(N$7,'Inputs (2)'!$D$2:$AL$2,0))</f>
        <v>1392</v>
      </c>
      <c r="O196" s="301">
        <f>INDEX('Inputs (2)'!$D$30:$AL$30,MATCH(O$7,'Inputs (2)'!$D$2:$AL$2,0))</f>
        <v>507</v>
      </c>
      <c r="P196" s="301">
        <f>INDEX('Inputs (2)'!$D$30:$AL$30,MATCH(P$7,'Inputs (2)'!$D$2:$AL$2,0))</f>
        <v>439</v>
      </c>
      <c r="Q196" s="301">
        <f>INDEX('Inputs (2)'!$D$30:$AL$30,MATCH(Q$7,'Inputs (2)'!$D$2:$AL$2,0))</f>
        <v>744</v>
      </c>
      <c r="R196" s="268">
        <f>Q196</f>
        <v>744</v>
      </c>
      <c r="S196" s="301">
        <f>INDEX('Inputs (2)'!$D$30:$AL$30,MATCH(S$7,'Inputs (2)'!$D$2:$AL$2,0))</f>
        <v>846</v>
      </c>
      <c r="T196" s="301">
        <f>INDEX('Inputs (2)'!$D$30:$AL$30,MATCH(T$7,'Inputs (2)'!$D$2:$AL$2,0))</f>
        <v>531</v>
      </c>
      <c r="U196" s="301">
        <f>INDEX('Inputs (2)'!$D$30:$AL$30,MATCH(U$7,'Inputs (2)'!$D$2:$AL$2,0))</f>
        <v>489</v>
      </c>
      <c r="V196" s="301">
        <f>INDEX('Inputs (2)'!$D$30:$AL$30,MATCH(V$7,'Inputs (2)'!$D$2:$AL$2,0))</f>
        <v>786</v>
      </c>
      <c r="W196" s="268">
        <f>V196</f>
        <v>786</v>
      </c>
      <c r="X196" s="301">
        <f>INDEX('Inputs (2)'!$D$30:$AL$30,MATCH(X$7,'Inputs (2)'!$D$2:$AL$2,0))</f>
        <v>1322</v>
      </c>
      <c r="Y196" s="301">
        <f>INDEX('Inputs (2)'!$D$30:$AL$30,MATCH(Y$7,'Inputs (2)'!$D$2:$AL$2,0))</f>
        <v>898</v>
      </c>
      <c r="Z196" s="301">
        <f>INDEX('Inputs (2)'!$D$30:$AL$30,MATCH(Z$7,'Inputs (2)'!$D$2:$AL$2,0))</f>
        <v>1072</v>
      </c>
      <c r="AA196" s="301">
        <f>INDEX('Inputs (2)'!$D$30:$AL$30,MATCH(AA$7,'Inputs (2)'!$D$2:$AL$2,0))</f>
        <v>859</v>
      </c>
      <c r="AB196" s="268">
        <f>AA196</f>
        <v>859</v>
      </c>
      <c r="AC196" s="301">
        <f>INDEX('Inputs (2)'!$D$30:$AL$30,MATCH(AC$7,'Inputs (2)'!$D$2:$AL$2,0))</f>
        <v>857</v>
      </c>
      <c r="AD196" s="301">
        <f>INDEX('Inputs (2)'!$D$30:$AL$30,MATCH(AD$7,'Inputs (2)'!$D$2:$AL$2,0))</f>
        <v>389</v>
      </c>
      <c r="AE196" s="301">
        <f>INDEX('Inputs (2)'!$D$30:$AL$30,MATCH(AE$7,'Inputs (2)'!$D$2:$AL$2,0))</f>
        <v>528</v>
      </c>
      <c r="AF196" s="301">
        <f>INDEX('Inputs (2)'!$D$30:$AL$30,MATCH(AF$7,'Inputs (2)'!$D$2:$AL$2,0))</f>
        <v>456</v>
      </c>
      <c r="AG196" s="268">
        <f>AF196</f>
        <v>456</v>
      </c>
      <c r="AH196" s="268">
        <f>INDEX('Inputs (2)'!$D$30:$AL$30,MATCH(AH$7,'Inputs (2)'!$D$2:$AL$2,0))</f>
        <v>725</v>
      </c>
      <c r="AI196" s="268">
        <f>INDEX('Inputs (2)'!$D$30:$AL$30,MATCH(AI$7,'Inputs (2)'!$D$2:$AL$2,0))</f>
        <v>509</v>
      </c>
      <c r="AJ196" s="268">
        <f>AH196*AJ123/AH123</f>
        <v>0</v>
      </c>
      <c r="AK196" s="268">
        <f>AI196*AK123/AI123</f>
        <v>0</v>
      </c>
      <c r="AL196" s="268">
        <f>AK196</f>
        <v>0</v>
      </c>
      <c r="AM196" s="268" t="e">
        <f>AK196*AM123/AK123</f>
        <v>#DIV/0!</v>
      </c>
      <c r="AN196" s="268">
        <f>AL196*AN123/AL123</f>
        <v>0</v>
      </c>
      <c r="AO196" s="268" t="e">
        <f>AM196*AO123/AM123</f>
        <v>#DIV/0!</v>
      </c>
      <c r="AP196" s="268" t="e">
        <f>AN196*AP123/AN123</f>
        <v>#DIV/0!</v>
      </c>
      <c r="AQ196" s="268" t="e">
        <f>AP196</f>
        <v>#DIV/0!</v>
      </c>
      <c r="AR196" s="268" t="e">
        <f>AP196*AR123/AP123</f>
        <v>#DIV/0!</v>
      </c>
      <c r="AS196" s="268" t="e">
        <f>AQ196*AS123/AQ123</f>
        <v>#DIV/0!</v>
      </c>
      <c r="AT196" s="268" t="e">
        <f>AR196*AT123/AR123</f>
        <v>#DIV/0!</v>
      </c>
      <c r="AU196" s="268" t="e">
        <f>AS196*AU123/AS123</f>
        <v>#DIV/0!</v>
      </c>
      <c r="AV196" s="268" t="e">
        <f>AU196</f>
        <v>#DIV/0!</v>
      </c>
      <c r="AW196" s="268" t="e">
        <f>AU196*AW123/AU123</f>
        <v>#DIV/0!</v>
      </c>
      <c r="AX196" s="268" t="e">
        <f>AV196*AX123/AV123</f>
        <v>#DIV/0!</v>
      </c>
      <c r="AY196" s="268" t="e">
        <f>AW196*AY123/AW123</f>
        <v>#DIV/0!</v>
      </c>
      <c r="AZ196" s="268" t="e">
        <f>AX196*AZ123/AX123</f>
        <v>#DIV/0!</v>
      </c>
      <c r="BA196" s="268" t="e">
        <f>AZ196</f>
        <v>#DIV/0!</v>
      </c>
      <c r="BB196" s="268" t="e">
        <f>AZ196*BB123/AZ123</f>
        <v>#DIV/0!</v>
      </c>
      <c r="BC196" s="268" t="e">
        <f>BA196*BC123/BA123</f>
        <v>#DIV/0!</v>
      </c>
      <c r="BD196" s="268" t="e">
        <f>BB196*BD123/BB123</f>
        <v>#DIV/0!</v>
      </c>
      <c r="BE196" s="268" t="e">
        <f>BC196*BE123/BC123</f>
        <v>#DIV/0!</v>
      </c>
      <c r="BF196" s="268" t="e">
        <f>BE196</f>
        <v>#DIV/0!</v>
      </c>
      <c r="BG196" s="268" t="e">
        <f>BE196*BG123/BE123</f>
        <v>#DIV/0!</v>
      </c>
      <c r="BH196" s="268" t="e">
        <f>BF196*BH123/BF123</f>
        <v>#DIV/0!</v>
      </c>
      <c r="BI196" s="268" t="e">
        <f>BG196*BI123/BG123</f>
        <v>#DIV/0!</v>
      </c>
      <c r="BJ196" s="268" t="e">
        <f>BH196*BJ123/BH123</f>
        <v>#DIV/0!</v>
      </c>
      <c r="BK196" s="268" t="e">
        <f>BJ196</f>
        <v>#DIV/0!</v>
      </c>
      <c r="BL196" s="268" t="e">
        <f>BJ196*BL123/BJ123</f>
        <v>#DIV/0!</v>
      </c>
      <c r="BM196" s="268" t="e">
        <f>BK196*BM123/BK123</f>
        <v>#DIV/0!</v>
      </c>
      <c r="BN196" s="268" t="e">
        <f>BL196*BN123/BL123</f>
        <v>#DIV/0!</v>
      </c>
      <c r="BO196" s="268" t="e">
        <f>BM196*BO123/BM123</f>
        <v>#DIV/0!</v>
      </c>
      <c r="BP196" s="268" t="e">
        <f>BO196</f>
        <v>#DIV/0!</v>
      </c>
      <c r="BQ196" s="268" t="e">
        <f>BO196*BQ123/BO123</f>
        <v>#DIV/0!</v>
      </c>
      <c r="BR196" s="268" t="e">
        <f>BP196*BR123/BP123</f>
        <v>#DIV/0!</v>
      </c>
      <c r="BS196" s="268" t="e">
        <f>BQ196*BS123/BQ123</f>
        <v>#DIV/0!</v>
      </c>
      <c r="BT196" s="268" t="e">
        <f>BR196*BT123/BR123</f>
        <v>#DIV/0!</v>
      </c>
      <c r="BU196" s="268" t="e">
        <f>BT196</f>
        <v>#DIV/0!</v>
      </c>
      <c r="BV196" s="268" t="e">
        <f>BT196*BV123/BT123</f>
        <v>#DIV/0!</v>
      </c>
      <c r="BW196" s="268" t="e">
        <f>BU196*BW123/BU123</f>
        <v>#DIV/0!</v>
      </c>
      <c r="BX196" s="268" t="e">
        <f>BV196*BX123/BV123</f>
        <v>#DIV/0!</v>
      </c>
      <c r="BY196" s="268" t="e">
        <f>BW196*BY123/BW123</f>
        <v>#DIV/0!</v>
      </c>
      <c r="BZ196" s="268" t="e">
        <f>BY196</f>
        <v>#DIV/0!</v>
      </c>
      <c r="CA196" s="268" t="e">
        <f>BY196*CA123/BY123</f>
        <v>#DIV/0!</v>
      </c>
      <c r="CB196" s="268" t="e">
        <f>BZ196*CB123/BZ123</f>
        <v>#DIV/0!</v>
      </c>
      <c r="CC196" s="268" t="e">
        <f>CA196*CC123/CA123</f>
        <v>#DIV/0!</v>
      </c>
      <c r="CD196" s="268" t="e">
        <f>CB196*CD123/CB123</f>
        <v>#DIV/0!</v>
      </c>
      <c r="CE196" s="268" t="e">
        <f>CD196</f>
        <v>#DIV/0!</v>
      </c>
      <c r="CF196" s="268" t="e">
        <f>CD196*CF123/CD123</f>
        <v>#DIV/0!</v>
      </c>
      <c r="CG196" s="268" t="e">
        <f>CE196*CG123/CE123</f>
        <v>#DIV/0!</v>
      </c>
      <c r="CH196" s="268" t="e">
        <f>CF196*CH123/CF123</f>
        <v>#DIV/0!</v>
      </c>
      <c r="CI196" s="268" t="e">
        <f>CG196*CI123/CG123</f>
        <v>#DIV/0!</v>
      </c>
      <c r="CJ196" s="268" t="e">
        <f>CI196</f>
        <v>#DIV/0!</v>
      </c>
      <c r="CK196" s="268" t="e">
        <f>CI196*CK123/CI123</f>
        <v>#DIV/0!</v>
      </c>
      <c r="CL196" s="268" t="e">
        <f>CJ196*CL123/CJ123</f>
        <v>#DIV/0!</v>
      </c>
      <c r="CM196" s="268" t="e">
        <f>CK196*CM123/CK123</f>
        <v>#DIV/0!</v>
      </c>
      <c r="CN196" s="268" t="e">
        <f>CL196*CN123/CL123</f>
        <v>#DIV/0!</v>
      </c>
      <c r="CO196" s="268" t="e">
        <f>CN196</f>
        <v>#DIV/0!</v>
      </c>
      <c r="CP196" s="268" t="e">
        <f>CN196*CP123/CN123</f>
        <v>#DIV/0!</v>
      </c>
      <c r="CQ196" s="268" t="e">
        <f>CO196*CQ123/CO123</f>
        <v>#DIV/0!</v>
      </c>
      <c r="CR196" s="268" t="e">
        <f>CP196*CR123/CP123</f>
        <v>#DIV/0!</v>
      </c>
      <c r="CS196" s="268" t="e">
        <f>CQ196*CS123/CQ123</f>
        <v>#DIV/0!</v>
      </c>
      <c r="CT196" s="268" t="e">
        <f>CS196</f>
        <v>#DIV/0!</v>
      </c>
      <c r="CU196" s="268" t="e">
        <f>CS196*CU123/CS123</f>
        <v>#DIV/0!</v>
      </c>
      <c r="CV196" s="268" t="e">
        <f>CT196*CV123/CT123</f>
        <v>#DIV/0!</v>
      </c>
      <c r="CW196" s="268" t="e">
        <f>CU196*CW123/CU123</f>
        <v>#DIV/0!</v>
      </c>
      <c r="CX196" s="268" t="e">
        <f>CV196*CX123/CV123</f>
        <v>#DIV/0!</v>
      </c>
      <c r="CY196" s="268" t="e">
        <f>CX196</f>
        <v>#DIV/0!</v>
      </c>
    </row>
    <row r="197" ht="12.75" customHeight="1" s="255">
      <c r="C197" s="270" t="inlineStr">
        <is>
          <t>Other current liabilities (non-debt)</t>
        </is>
      </c>
      <c r="D197" s="301">
        <f>INDEX('Inputs (2)'!$D$31:$AL$31,MATCH(D$7,'Inputs (2)'!$D$2:$AL$2,0))</f>
        <v>305</v>
      </c>
      <c r="E197" s="301">
        <f>INDEX('Inputs (2)'!$D$31:$AL$31,MATCH(E$7,'Inputs (2)'!$D$2:$AL$2,0))</f>
        <v>298</v>
      </c>
      <c r="F197" s="301">
        <f>INDEX('Inputs (2)'!$D$31:$AL$31,MATCH(F$7,'Inputs (2)'!$D$2:$AL$2,0))</f>
        <v>397</v>
      </c>
      <c r="G197" s="301">
        <f>INDEX('Inputs (2)'!$D$31:$AL$31,MATCH(G$7,'Inputs (2)'!$D$2:$AL$2,0))</f>
        <v>351</v>
      </c>
      <c r="H197" s="268">
        <f>G197</f>
        <v>351</v>
      </c>
      <c r="I197" s="301">
        <f>INDEX('Inputs (2)'!$D$31:$AL$31,MATCH(I$7,'Inputs (2)'!$D$2:$AL$2,0))</f>
        <v>442</v>
      </c>
      <c r="J197" s="301">
        <f>INDEX('Inputs (2)'!$D$31:$AL$31,MATCH(J$7,'Inputs (2)'!$D$2:$AL$2,0))</f>
        <v>445</v>
      </c>
      <c r="K197" s="301">
        <f>INDEX('Inputs (2)'!$D$31:$AL$31,MATCH(K$7,'Inputs (2)'!$D$2:$AL$2,0))</f>
        <v>440</v>
      </c>
      <c r="L197" s="301">
        <f>INDEX('Inputs (2)'!$D$31:$AL$31,MATCH(L$7,'Inputs (2)'!$D$2:$AL$2,0))</f>
        <v>484</v>
      </c>
      <c r="M197" s="268">
        <f>L197</f>
        <v>484</v>
      </c>
      <c r="N197" s="301">
        <f>INDEX('Inputs (2)'!$D$31:$AL$31,MATCH(N$7,'Inputs (2)'!$D$2:$AL$2,0))</f>
        <v>534</v>
      </c>
      <c r="O197" s="301">
        <f>INDEX('Inputs (2)'!$D$31:$AL$31,MATCH(O$7,'Inputs (2)'!$D$2:$AL$2,0))</f>
        <v>534</v>
      </c>
      <c r="P197" s="301">
        <f>INDEX('Inputs (2)'!$D$31:$AL$31,MATCH(P$7,'Inputs (2)'!$D$2:$AL$2,0))</f>
        <v>581</v>
      </c>
      <c r="Q197" s="301">
        <f>INDEX('Inputs (2)'!$D$31:$AL$31,MATCH(Q$7,'Inputs (2)'!$D$2:$AL$2,0))</f>
        <v>537</v>
      </c>
      <c r="R197" s="268">
        <f>Q197</f>
        <v>537</v>
      </c>
      <c r="S197" s="301">
        <f>INDEX('Inputs (2)'!$D$31:$AL$31,MATCH(S$7,'Inputs (2)'!$D$2:$AL$2,0))</f>
        <v>550</v>
      </c>
      <c r="T197" s="301">
        <f>INDEX('Inputs (2)'!$D$31:$AL$31,MATCH(T$7,'Inputs (2)'!$D$2:$AL$2,0))</f>
        <v>578</v>
      </c>
      <c r="U197" s="301">
        <f>INDEX('Inputs (2)'!$D$31:$AL$31,MATCH(U$7,'Inputs (2)'!$D$2:$AL$2,0))</f>
        <v>612</v>
      </c>
      <c r="V197" s="301">
        <f>INDEX('Inputs (2)'!$D$31:$AL$31,MATCH(V$7,'Inputs (2)'!$D$2:$AL$2,0))</f>
        <v>534</v>
      </c>
      <c r="W197" s="268">
        <f>V197</f>
        <v>534</v>
      </c>
      <c r="X197" s="301">
        <f>INDEX('Inputs (2)'!$D$31:$AL$31,MATCH(X$7,'Inputs (2)'!$D$2:$AL$2,0))</f>
        <v>542</v>
      </c>
      <c r="Y197" s="301">
        <f>INDEX('Inputs (2)'!$D$31:$AL$31,MATCH(Y$7,'Inputs (2)'!$D$2:$AL$2,0))</f>
        <v>560</v>
      </c>
      <c r="Z197" s="301">
        <f>INDEX('Inputs (2)'!$D$31:$AL$31,MATCH(Z$7,'Inputs (2)'!$D$2:$AL$2,0))</f>
        <v>582</v>
      </c>
      <c r="AA197" s="301">
        <f>INDEX('Inputs (2)'!$D$31:$AL$31,MATCH(AA$7,'Inputs (2)'!$D$2:$AL$2,0))</f>
        <v>539</v>
      </c>
      <c r="AB197" s="268">
        <f>AA197</f>
        <v>539</v>
      </c>
      <c r="AC197" s="301">
        <f>INDEX('Inputs (2)'!$D$31:$AL$31,MATCH(AC$7,'Inputs (2)'!$D$2:$AL$2,0))</f>
        <v>513</v>
      </c>
      <c r="AD197" s="301">
        <f>INDEX('Inputs (2)'!$D$31:$AL$31,MATCH(AD$7,'Inputs (2)'!$D$2:$AL$2,0))</f>
        <v>516</v>
      </c>
      <c r="AE197" s="301">
        <f>INDEX('Inputs (2)'!$D$31:$AL$31,MATCH(AE$7,'Inputs (2)'!$D$2:$AL$2,0))</f>
        <v>517</v>
      </c>
      <c r="AF197" s="301">
        <f>INDEX('Inputs (2)'!$D$31:$AL$31,MATCH(AF$7,'Inputs (2)'!$D$2:$AL$2,0))</f>
        <v>532</v>
      </c>
      <c r="AG197" s="268">
        <f>AF197</f>
        <v>532</v>
      </c>
      <c r="AH197" s="268">
        <f>INDEX('Inputs (2)'!$D$31:$AL$31,MATCH(AH$7,'Inputs (2)'!$D$2:$AL$2,0))</f>
        <v>540</v>
      </c>
      <c r="AI197" s="268">
        <f>INDEX('Inputs (2)'!$D$31:$AL$31,MATCH(AI$7,'Inputs (2)'!$D$2:$AL$2,0))</f>
        <v>545</v>
      </c>
      <c r="AJ197" s="268">
        <f>AI197</f>
        <v>545</v>
      </c>
      <c r="AK197" s="268">
        <f>AJ197</f>
        <v>545</v>
      </c>
      <c r="AL197" s="268">
        <f>AK197</f>
        <v>545</v>
      </c>
      <c r="AM197" s="268">
        <f>AL197</f>
        <v>545</v>
      </c>
      <c r="AN197" s="268">
        <f>AM197</f>
        <v>545</v>
      </c>
      <c r="AO197" s="268">
        <f>AN197</f>
        <v>545</v>
      </c>
      <c r="AP197" s="268">
        <f>AO197</f>
        <v>545</v>
      </c>
      <c r="AQ197" s="268">
        <f>AP197</f>
        <v>545</v>
      </c>
      <c r="AR197" s="268">
        <f>AQ197</f>
        <v>545</v>
      </c>
      <c r="AS197" s="268">
        <f>AR197</f>
        <v>545</v>
      </c>
      <c r="AT197" s="268">
        <f>AS197</f>
        <v>545</v>
      </c>
      <c r="AU197" s="268">
        <f>AT197</f>
        <v>545</v>
      </c>
      <c r="AV197" s="268">
        <f>AU197</f>
        <v>545</v>
      </c>
      <c r="AW197" s="268">
        <f>AV197</f>
        <v>545</v>
      </c>
      <c r="AX197" s="268">
        <f>AW197</f>
        <v>545</v>
      </c>
      <c r="AY197" s="268">
        <f>AX197</f>
        <v>545</v>
      </c>
      <c r="AZ197" s="268">
        <f>AY197</f>
        <v>545</v>
      </c>
      <c r="BA197" s="268">
        <f>AZ197</f>
        <v>545</v>
      </c>
      <c r="BB197" s="268">
        <f>BA197</f>
        <v>545</v>
      </c>
      <c r="BC197" s="268">
        <f>BB197</f>
        <v>545</v>
      </c>
      <c r="BD197" s="268">
        <f>BC197</f>
        <v>545</v>
      </c>
      <c r="BE197" s="268">
        <f>BD197</f>
        <v>545</v>
      </c>
      <c r="BF197" s="268">
        <f>BE197</f>
        <v>545</v>
      </c>
      <c r="BG197" s="268">
        <f>BF197</f>
        <v>545</v>
      </c>
      <c r="BH197" s="268">
        <f>BG197</f>
        <v>545</v>
      </c>
      <c r="BI197" s="268">
        <f>BH197</f>
        <v>545</v>
      </c>
      <c r="BJ197" s="268">
        <f>BI197</f>
        <v>545</v>
      </c>
      <c r="BK197" s="268">
        <f>BJ197</f>
        <v>545</v>
      </c>
      <c r="BL197" s="268">
        <f>BK197</f>
        <v>545</v>
      </c>
      <c r="BM197" s="268">
        <f>BL197</f>
        <v>545</v>
      </c>
      <c r="BN197" s="268">
        <f>BM197</f>
        <v>545</v>
      </c>
      <c r="BO197" s="268">
        <f>BN197</f>
        <v>545</v>
      </c>
      <c r="BP197" s="268">
        <f>BO197</f>
        <v>545</v>
      </c>
      <c r="BQ197" s="268">
        <f>BP197</f>
        <v>545</v>
      </c>
      <c r="BR197" s="268">
        <f>BQ197</f>
        <v>545</v>
      </c>
      <c r="BS197" s="268">
        <f>BR197</f>
        <v>545</v>
      </c>
      <c r="BT197" s="268">
        <f>BS197</f>
        <v>545</v>
      </c>
      <c r="BU197" s="268">
        <f>BT197</f>
        <v>545</v>
      </c>
      <c r="BV197" s="268">
        <f>BU197</f>
        <v>545</v>
      </c>
      <c r="BW197" s="268">
        <f>BV197</f>
        <v>545</v>
      </c>
      <c r="BX197" s="268">
        <f>BW197</f>
        <v>545</v>
      </c>
      <c r="BY197" s="268">
        <f>BX197</f>
        <v>545</v>
      </c>
      <c r="BZ197" s="268">
        <f>BY197</f>
        <v>545</v>
      </c>
      <c r="CA197" s="268">
        <f>BZ197</f>
        <v>545</v>
      </c>
      <c r="CB197" s="268">
        <f>CA197</f>
        <v>545</v>
      </c>
      <c r="CC197" s="268">
        <f>CB197</f>
        <v>545</v>
      </c>
      <c r="CD197" s="268">
        <f>CC197</f>
        <v>545</v>
      </c>
      <c r="CE197" s="268">
        <f>CD197</f>
        <v>545</v>
      </c>
      <c r="CF197" s="268">
        <f>CE197</f>
        <v>545</v>
      </c>
      <c r="CG197" s="268">
        <f>CF197</f>
        <v>545</v>
      </c>
      <c r="CH197" s="268">
        <f>CG197</f>
        <v>545</v>
      </c>
      <c r="CI197" s="268">
        <f>CH197</f>
        <v>545</v>
      </c>
      <c r="CJ197" s="268">
        <f>CI197</f>
        <v>545</v>
      </c>
      <c r="CK197" s="268">
        <f>CJ197</f>
        <v>545</v>
      </c>
      <c r="CL197" s="268">
        <f>CK197</f>
        <v>545</v>
      </c>
      <c r="CM197" s="268">
        <f>CL197</f>
        <v>545</v>
      </c>
      <c r="CN197" s="268">
        <f>CM197</f>
        <v>545</v>
      </c>
      <c r="CO197" s="268">
        <f>CN197</f>
        <v>545</v>
      </c>
      <c r="CP197" s="268">
        <f>CO197</f>
        <v>545</v>
      </c>
      <c r="CQ197" s="268">
        <f>CP197</f>
        <v>545</v>
      </c>
      <c r="CR197" s="268">
        <f>CQ197</f>
        <v>545</v>
      </c>
      <c r="CS197" s="268">
        <f>CR197</f>
        <v>545</v>
      </c>
      <c r="CT197" s="268">
        <f>CS197</f>
        <v>545</v>
      </c>
      <c r="CU197" s="268">
        <f>CT197</f>
        <v>545</v>
      </c>
      <c r="CV197" s="268">
        <f>CU197</f>
        <v>545</v>
      </c>
      <c r="CW197" s="268">
        <f>CV197</f>
        <v>545</v>
      </c>
      <c r="CX197" s="268">
        <f>CW197</f>
        <v>545</v>
      </c>
      <c r="CY197" s="268">
        <f>CX197</f>
        <v>545</v>
      </c>
    </row>
    <row r="198" hidden="1" outlineLevel="1" ht="12.75" customHeight="1" s="255">
      <c r="C198" s="314" t="inlineStr">
        <is>
          <t>%(Var.)</t>
        </is>
      </c>
      <c r="D198" s="268" t="n"/>
      <c r="E198" s="296">
        <f>(E197-D197)/D197</f>
        <v>-0.0229508196721311</v>
      </c>
      <c r="F198" s="296">
        <f>(F197-E197)/E197</f>
        <v>0.332214765100671</v>
      </c>
      <c r="G198" s="296">
        <f>(G197-F197)/F197</f>
        <v>-0.115869017632242</v>
      </c>
      <c r="H198" s="268" t="n"/>
      <c r="I198" s="296">
        <f>(I197-H197)/H197</f>
        <v>0.259259259259259</v>
      </c>
      <c r="J198" s="296">
        <f>(J197-I197)/I197</f>
        <v>0.00678733031674208</v>
      </c>
      <c r="K198" s="296">
        <f>(K197-J197)/J197</f>
        <v>-0.0112359550561798</v>
      </c>
      <c r="L198" s="296">
        <f>(L197-K197)/K197</f>
        <v>0.1</v>
      </c>
      <c r="M198" s="268" t="n"/>
      <c r="N198" s="296">
        <f>(N197-M197)/M197</f>
        <v>0.103305785123967</v>
      </c>
      <c r="O198" s="296">
        <f>(O197-N197)/N197</f>
        <v>0</v>
      </c>
      <c r="P198" s="296">
        <f>(P197-O197)/O197</f>
        <v>0.0880149812734083</v>
      </c>
      <c r="Q198" s="296">
        <f>(Q197-P197)/P197</f>
        <v>-0.0757314974182444</v>
      </c>
      <c r="R198" s="268" t="n"/>
      <c r="S198" s="296">
        <f>(S197-R197)/R197</f>
        <v>0.0242085661080074</v>
      </c>
      <c r="T198" s="296">
        <f>(T197-S197)/S197</f>
        <v>0.0509090909090909</v>
      </c>
      <c r="U198" s="296">
        <f>(U197-T197)/T197</f>
        <v>0.0588235294117647</v>
      </c>
      <c r="V198" s="296">
        <f>(V197-U197)/U197</f>
        <v>-0.127450980392157</v>
      </c>
      <c r="W198" s="268" t="n"/>
      <c r="X198" s="296">
        <f>(X197-W197)/W197</f>
        <v>0.0149812734082397</v>
      </c>
      <c r="Y198" s="296">
        <f>(Y197-X197)/X197</f>
        <v>0.033210332103321</v>
      </c>
      <c r="Z198" s="296">
        <f>(Z197-Y197)/Y197</f>
        <v>0.0392857142857143</v>
      </c>
      <c r="AA198" s="296">
        <f>(AA197-Z197)/Z197</f>
        <v>-0.0738831615120275</v>
      </c>
      <c r="AB198" s="268" t="n"/>
      <c r="AC198" s="296">
        <f>(AC197-AB197)/AB197</f>
        <v>-0.0482374768089054</v>
      </c>
      <c r="AD198" s="296">
        <f>(AD197-AC197)/AC197</f>
        <v>0.00584795321637427</v>
      </c>
      <c r="AE198" s="296">
        <f>(AE197-AD197)/AD197</f>
        <v>0.00193798449612403</v>
      </c>
      <c r="AF198" s="311">
        <f>(AF197-AE197)/AE197</f>
        <v>0.0290135396518375</v>
      </c>
      <c r="AG198" s="268" t="n"/>
      <c r="AH198" s="311">
        <f>(AH197-AG197)/AG197</f>
        <v>0.0150375939849624</v>
      </c>
      <c r="AI198" s="311">
        <f>(AI197-AH197)/AH197</f>
        <v>0.00925925925925926</v>
      </c>
      <c r="AJ198" s="311" t="n"/>
      <c r="AK198" s="311" t="n"/>
      <c r="AL198" s="268" t="n"/>
      <c r="AM198" s="311" t="n"/>
      <c r="AN198" s="311" t="n"/>
      <c r="AO198" s="311" t="n"/>
      <c r="AP198" s="311" t="n"/>
      <c r="AQ198" s="268" t="n"/>
      <c r="AR198" s="311" t="n"/>
      <c r="AS198" s="311" t="n"/>
      <c r="AT198" s="311" t="n"/>
      <c r="AU198" s="311" t="n"/>
      <c r="AV198" s="268" t="n"/>
      <c r="AW198" s="311" t="n"/>
      <c r="AX198" s="311" t="n"/>
      <c r="AY198" s="311" t="n"/>
      <c r="AZ198" s="311" t="n"/>
      <c r="BA198" s="268" t="n"/>
      <c r="BB198" s="311" t="n"/>
      <c r="BC198" s="311" t="n"/>
      <c r="BD198" s="311" t="n"/>
      <c r="BE198" s="311" t="n"/>
      <c r="BF198" s="268" t="n"/>
      <c r="BG198" s="311" t="n"/>
      <c r="BH198" s="311" t="n"/>
      <c r="BI198" s="311" t="n"/>
      <c r="BJ198" s="311" t="n"/>
      <c r="BK198" s="268" t="n"/>
      <c r="BL198" s="311" t="n"/>
      <c r="BM198" s="311" t="n"/>
      <c r="BN198" s="311" t="n"/>
      <c r="BO198" s="311" t="n"/>
      <c r="BP198" s="268" t="n"/>
      <c r="BQ198" s="311" t="n"/>
      <c r="BR198" s="311" t="n"/>
      <c r="BS198" s="311" t="n"/>
      <c r="BT198" s="311" t="n"/>
      <c r="BU198" s="268" t="n"/>
      <c r="BV198" s="311" t="n"/>
      <c r="BW198" s="311" t="n"/>
      <c r="BX198" s="311" t="n"/>
      <c r="BY198" s="311" t="n"/>
      <c r="BZ198" s="268" t="n"/>
      <c r="CA198" s="311" t="n"/>
      <c r="CB198" s="311" t="n"/>
      <c r="CC198" s="311" t="n"/>
      <c r="CD198" s="311" t="n"/>
      <c r="CE198" s="268" t="n"/>
      <c r="CF198" s="311" t="n"/>
      <c r="CG198" s="311" t="n"/>
      <c r="CH198" s="311" t="n"/>
      <c r="CI198" s="311" t="n"/>
      <c r="CJ198" s="268" t="n"/>
      <c r="CK198" s="311" t="n"/>
      <c r="CL198" s="311" t="n"/>
      <c r="CM198" s="311" t="n"/>
      <c r="CN198" s="311" t="n"/>
      <c r="CO198" s="268" t="n"/>
      <c r="CP198" s="311" t="n"/>
      <c r="CQ198" s="311" t="n"/>
      <c r="CR198" s="311" t="n"/>
      <c r="CS198" s="311" t="n"/>
      <c r="CT198" s="268" t="n"/>
      <c r="CU198" s="311" t="n"/>
      <c r="CV198" s="311" t="n"/>
      <c r="CW198" s="311" t="n"/>
      <c r="CX198" s="311" t="n"/>
      <c r="CY198" s="268" t="n"/>
    </row>
    <row r="199" hidden="1" outlineLevel="1" ht="12.75" customHeight="1" s="255">
      <c r="C199" s="312" t="n"/>
      <c r="D199" s="268" t="n"/>
      <c r="E199" s="268" t="n"/>
      <c r="F199" s="268" t="n"/>
      <c r="G199" s="268" t="n"/>
      <c r="H199" s="268" t="n"/>
      <c r="I199" s="268" t="n"/>
      <c r="J199" s="268" t="n"/>
      <c r="K199" s="268" t="n"/>
      <c r="L199" s="268" t="n"/>
      <c r="M199" s="268" t="n"/>
      <c r="N199" s="268" t="n"/>
      <c r="O199" s="268" t="n"/>
      <c r="P199" s="268" t="n"/>
      <c r="Q199" s="268" t="n"/>
      <c r="R199" s="268" t="n"/>
      <c r="S199" s="268" t="n"/>
      <c r="T199" s="268" t="n"/>
      <c r="U199" s="268" t="n"/>
      <c r="V199" s="268" t="n"/>
      <c r="W199" s="268" t="n"/>
      <c r="X199" s="268" t="n"/>
      <c r="Y199" s="268" t="n"/>
      <c r="Z199" s="268" t="n"/>
      <c r="AA199" s="268" t="n"/>
      <c r="AB199" s="268" t="n"/>
      <c r="AC199" s="268" t="n"/>
      <c r="AD199" s="268" t="n"/>
      <c r="AE199" s="268" t="n"/>
      <c r="AF199" s="268" t="n"/>
      <c r="AG199" s="268" t="n"/>
      <c r="AH199" s="268" t="n"/>
      <c r="AI199" s="268" t="n"/>
      <c r="AJ199" s="268" t="n"/>
      <c r="AK199" s="268" t="n"/>
      <c r="AL199" s="268" t="n"/>
      <c r="AM199" s="268" t="n"/>
      <c r="AN199" s="268" t="n"/>
      <c r="AO199" s="268" t="n"/>
      <c r="AP199" s="268" t="n"/>
      <c r="AQ199" s="268" t="n"/>
      <c r="AR199" s="268" t="n"/>
      <c r="AS199" s="268" t="n"/>
      <c r="AT199" s="268" t="n"/>
      <c r="AU199" s="268" t="n"/>
      <c r="AV199" s="268" t="n"/>
      <c r="AW199" s="268" t="n"/>
      <c r="AX199" s="268" t="n"/>
      <c r="AY199" s="268" t="n"/>
      <c r="AZ199" s="268" t="n"/>
      <c r="BA199" s="268" t="n"/>
      <c r="BB199" s="268" t="n"/>
      <c r="BC199" s="268" t="n"/>
      <c r="BD199" s="268" t="n"/>
      <c r="BE199" s="268" t="n"/>
      <c r="BF199" s="268" t="n"/>
      <c r="BG199" s="268" t="n"/>
      <c r="BH199" s="268" t="n"/>
      <c r="BI199" s="268" t="n"/>
      <c r="BJ199" s="268" t="n"/>
      <c r="BK199" s="268" t="n"/>
      <c r="BL199" s="268" t="n"/>
      <c r="BM199" s="268" t="n"/>
      <c r="BN199" s="268" t="n"/>
      <c r="BO199" s="268" t="n"/>
      <c r="BP199" s="268" t="n"/>
      <c r="BQ199" s="268" t="n"/>
      <c r="BR199" s="268" t="n"/>
      <c r="BS199" s="268" t="n"/>
      <c r="BT199" s="268" t="n"/>
      <c r="BU199" s="268" t="n"/>
      <c r="BV199" s="268" t="n"/>
      <c r="BW199" s="268" t="n"/>
      <c r="BX199" s="268" t="n"/>
      <c r="BY199" s="268" t="n"/>
      <c r="BZ199" s="268" t="n"/>
      <c r="CA199" s="268" t="n"/>
      <c r="CB199" s="268" t="n"/>
      <c r="CC199" s="268" t="n"/>
      <c r="CD199" s="268" t="n"/>
      <c r="CE199" s="268" t="n"/>
      <c r="CF199" s="268" t="n"/>
      <c r="CG199" s="268" t="n"/>
      <c r="CH199" s="268" t="n"/>
      <c r="CI199" s="268" t="n"/>
      <c r="CJ199" s="268" t="n"/>
      <c r="CK199" s="268" t="n"/>
      <c r="CL199" s="268" t="n"/>
      <c r="CM199" s="268" t="n"/>
      <c r="CN199" s="268" t="n"/>
      <c r="CO199" s="268" t="n"/>
      <c r="CP199" s="268" t="n"/>
      <c r="CQ199" s="268" t="n"/>
      <c r="CR199" s="268" t="n"/>
      <c r="CS199" s="268" t="n"/>
      <c r="CT199" s="268" t="n"/>
      <c r="CU199" s="268" t="n"/>
      <c r="CV199" s="268" t="n"/>
      <c r="CW199" s="268" t="n"/>
      <c r="CX199" s="268" t="n"/>
      <c r="CY199" s="268" t="n"/>
    </row>
    <row r="200" hidden="1" outlineLevel="1" ht="12.75" customHeight="1" s="255">
      <c r="C200" s="312" t="inlineStr">
        <is>
          <t xml:space="preserve">Dividendos a Pagar </t>
        </is>
      </c>
      <c r="D200" s="267" t="n"/>
      <c r="E200" s="267" t="n"/>
      <c r="F200" s="267" t="n"/>
      <c r="G200" s="267" t="n"/>
      <c r="H200" s="268" t="n"/>
      <c r="I200" s="267" t="n"/>
      <c r="J200" s="267" t="n"/>
      <c r="K200" s="267" t="n"/>
      <c r="L200" s="267" t="n"/>
      <c r="M200" s="268" t="n"/>
      <c r="N200" s="267" t="n"/>
      <c r="O200" s="267" t="n"/>
      <c r="P200" s="267" t="n"/>
      <c r="Q200" s="267" t="n"/>
      <c r="R200" s="268" t="n"/>
      <c r="S200" s="267" t="n"/>
      <c r="T200" s="267" t="n"/>
      <c r="U200" s="267" t="n"/>
      <c r="V200" s="267" t="n"/>
      <c r="W200" s="268" t="n"/>
      <c r="X200" s="267" t="n"/>
      <c r="Y200" s="267" t="n"/>
      <c r="Z200" s="267" t="n"/>
      <c r="AA200" s="267" t="n"/>
      <c r="AB200" s="268" t="n"/>
      <c r="AC200" s="267" t="n"/>
      <c r="AD200" s="267" t="n"/>
      <c r="AE200" s="267" t="n"/>
      <c r="AF200" s="267" t="n"/>
      <c r="AG200" s="268" t="n"/>
      <c r="AH200" s="267" t="n"/>
      <c r="AI200" s="267" t="n"/>
      <c r="AJ200" s="267" t="n"/>
      <c r="AK200" s="267" t="n"/>
      <c r="AL200" s="268" t="n"/>
      <c r="AM200" s="267" t="n"/>
      <c r="AN200" s="267" t="n"/>
      <c r="AO200" s="267" t="n"/>
      <c r="AP200" s="267" t="n"/>
      <c r="AQ200" s="268" t="n"/>
      <c r="AR200" s="267" t="n"/>
      <c r="AS200" s="267" t="n"/>
      <c r="AT200" s="267" t="n"/>
      <c r="AU200" s="267" t="n"/>
      <c r="AV200" s="268" t="n"/>
      <c r="AW200" s="267" t="n"/>
      <c r="AX200" s="267" t="n"/>
      <c r="AY200" s="267" t="n"/>
      <c r="AZ200" s="267" t="n"/>
      <c r="BA200" s="268" t="n"/>
      <c r="BB200" s="267" t="n"/>
      <c r="BC200" s="267" t="n"/>
      <c r="BD200" s="267" t="n"/>
      <c r="BE200" s="267" t="n"/>
      <c r="BF200" s="268" t="n"/>
      <c r="BG200" s="267" t="n"/>
      <c r="BH200" s="267" t="n"/>
      <c r="BI200" s="267" t="n"/>
      <c r="BJ200" s="267" t="n"/>
      <c r="BK200" s="268" t="n"/>
      <c r="BL200" s="267" t="n"/>
      <c r="BM200" s="267" t="n"/>
      <c r="BN200" s="267" t="n"/>
      <c r="BO200" s="267" t="n"/>
      <c r="BP200" s="268" t="n"/>
      <c r="BQ200" s="267" t="n"/>
      <c r="BR200" s="267" t="n"/>
      <c r="BS200" s="267" t="n"/>
      <c r="BT200" s="267" t="n"/>
      <c r="BU200" s="268" t="n"/>
      <c r="BV200" s="267" t="n"/>
      <c r="BW200" s="267" t="n"/>
      <c r="BX200" s="267" t="n"/>
      <c r="BY200" s="267" t="n"/>
      <c r="BZ200" s="268" t="n"/>
      <c r="CA200" s="267" t="n"/>
      <c r="CB200" s="267" t="n"/>
      <c r="CC200" s="267" t="n"/>
      <c r="CD200" s="267" t="n"/>
      <c r="CE200" s="268" t="n"/>
      <c r="CF200" s="267" t="n"/>
      <c r="CG200" s="267" t="n"/>
      <c r="CH200" s="267" t="n"/>
      <c r="CI200" s="267" t="n"/>
      <c r="CJ200" s="268" t="n"/>
      <c r="CK200" s="267" t="n"/>
      <c r="CL200" s="267" t="n"/>
      <c r="CM200" s="267" t="n"/>
      <c r="CN200" s="267" t="n"/>
      <c r="CO200" s="268" t="n"/>
      <c r="CP200" s="267" t="n"/>
      <c r="CQ200" s="267" t="n"/>
      <c r="CR200" s="267" t="n"/>
      <c r="CS200" s="267" t="n"/>
      <c r="CT200" s="268" t="n"/>
      <c r="CU200" s="267" t="n"/>
      <c r="CV200" s="267" t="n"/>
      <c r="CW200" s="267" t="n"/>
      <c r="CX200" s="267" t="n"/>
      <c r="CY200" s="268" t="n"/>
    </row>
    <row r="201" hidden="1" outlineLevel="1" ht="12.75" customHeight="1" s="255">
      <c r="C201" s="312" t="inlineStr">
        <is>
          <t>Contas a pagar pela aquisição de controladas</t>
        </is>
      </c>
      <c r="D201" s="267" t="n"/>
      <c r="E201" s="267" t="n"/>
      <c r="F201" s="267" t="n"/>
      <c r="G201" s="267" t="n"/>
      <c r="H201" s="268" t="n"/>
      <c r="I201" s="267" t="n"/>
      <c r="J201" s="267" t="n"/>
      <c r="K201" s="267" t="n"/>
      <c r="L201" s="267" t="n"/>
      <c r="M201" s="268" t="n"/>
      <c r="N201" s="267" t="n"/>
      <c r="O201" s="267" t="n"/>
      <c r="P201" s="267" t="n"/>
      <c r="Q201" s="267" t="n"/>
      <c r="R201" s="268" t="n"/>
      <c r="S201" s="267" t="n"/>
      <c r="T201" s="267" t="n"/>
      <c r="U201" s="267" t="n"/>
      <c r="V201" s="267" t="n"/>
      <c r="W201" s="268" t="n"/>
      <c r="X201" s="267" t="n"/>
      <c r="Y201" s="267" t="n"/>
      <c r="Z201" s="267" t="n"/>
      <c r="AA201" s="267" t="n"/>
      <c r="AB201" s="268" t="n"/>
      <c r="AC201" s="267" t="n"/>
      <c r="AD201" s="267" t="n"/>
      <c r="AE201" s="267" t="n"/>
      <c r="AF201" s="267" t="n"/>
      <c r="AG201" s="268" t="n"/>
      <c r="AH201" s="267" t="n"/>
      <c r="AI201" s="267" t="n"/>
      <c r="AJ201" s="267" t="n"/>
      <c r="AK201" s="267" t="n"/>
      <c r="AL201" s="268" t="n"/>
      <c r="AM201" s="267" t="n"/>
      <c r="AN201" s="267" t="n"/>
      <c r="AO201" s="267" t="n"/>
      <c r="AP201" s="267" t="n"/>
      <c r="AQ201" s="268" t="n"/>
      <c r="AR201" s="267" t="n"/>
      <c r="AS201" s="267" t="n"/>
      <c r="AT201" s="267" t="n"/>
      <c r="AU201" s="267" t="n"/>
      <c r="AV201" s="268" t="n"/>
      <c r="AW201" s="267" t="n"/>
      <c r="AX201" s="267" t="n"/>
      <c r="AY201" s="267" t="n"/>
      <c r="AZ201" s="267" t="n"/>
      <c r="BA201" s="268" t="n"/>
      <c r="BB201" s="267" t="n"/>
      <c r="BC201" s="267" t="n"/>
      <c r="BD201" s="267" t="n"/>
      <c r="BE201" s="267" t="n"/>
      <c r="BF201" s="268" t="n"/>
      <c r="BG201" s="267" t="n"/>
      <c r="BH201" s="267" t="n"/>
      <c r="BI201" s="267" t="n"/>
      <c r="BJ201" s="267" t="n"/>
      <c r="BK201" s="268" t="n"/>
      <c r="BL201" s="267" t="n"/>
      <c r="BM201" s="267" t="n"/>
      <c r="BN201" s="267" t="n"/>
      <c r="BO201" s="267" t="n"/>
      <c r="BP201" s="268" t="n"/>
      <c r="BQ201" s="267" t="n"/>
      <c r="BR201" s="267" t="n"/>
      <c r="BS201" s="267" t="n"/>
      <c r="BT201" s="267" t="n"/>
      <c r="BU201" s="268" t="n"/>
      <c r="BV201" s="267" t="n"/>
      <c r="BW201" s="267" t="n"/>
      <c r="BX201" s="267" t="n"/>
      <c r="BY201" s="267" t="n"/>
      <c r="BZ201" s="268" t="n"/>
      <c r="CA201" s="267" t="n"/>
      <c r="CB201" s="267" t="n"/>
      <c r="CC201" s="267" t="n"/>
      <c r="CD201" s="267" t="n"/>
      <c r="CE201" s="268" t="n"/>
      <c r="CF201" s="267" t="n"/>
      <c r="CG201" s="267" t="n"/>
      <c r="CH201" s="267" t="n"/>
      <c r="CI201" s="267" t="n"/>
      <c r="CJ201" s="268" t="n"/>
      <c r="CK201" s="267" t="n"/>
      <c r="CL201" s="267" t="n"/>
      <c r="CM201" s="267" t="n"/>
      <c r="CN201" s="267" t="n"/>
      <c r="CO201" s="268" t="n"/>
      <c r="CP201" s="267" t="n"/>
      <c r="CQ201" s="267" t="n"/>
      <c r="CR201" s="267" t="n"/>
      <c r="CS201" s="267" t="n"/>
      <c r="CT201" s="268" t="n"/>
      <c r="CU201" s="267" t="n"/>
      <c r="CV201" s="267" t="n"/>
      <c r="CW201" s="267" t="n"/>
      <c r="CX201" s="267" t="n"/>
      <c r="CY201" s="268" t="n"/>
    </row>
    <row r="202" hidden="1" outlineLevel="1" ht="12.75" customHeight="1" s="255">
      <c r="C202" s="312" t="inlineStr">
        <is>
          <t>Outros</t>
        </is>
      </c>
      <c r="D202" s="267" t="n"/>
      <c r="E202" s="267" t="n"/>
      <c r="F202" s="267" t="n"/>
      <c r="G202" s="267" t="n"/>
      <c r="H202" s="268" t="n"/>
      <c r="I202" s="267" t="n"/>
      <c r="J202" s="267" t="n"/>
      <c r="K202" s="267" t="n"/>
      <c r="L202" s="267" t="n"/>
      <c r="M202" s="268" t="n"/>
      <c r="N202" s="267" t="n"/>
      <c r="O202" s="267" t="n"/>
      <c r="P202" s="267" t="n"/>
      <c r="Q202" s="267" t="n"/>
      <c r="R202" s="268" t="n"/>
      <c r="S202" s="267" t="n"/>
      <c r="T202" s="267" t="n"/>
      <c r="U202" s="267" t="n"/>
      <c r="V202" s="267" t="n"/>
      <c r="W202" s="268" t="n"/>
      <c r="X202" s="267" t="n"/>
      <c r="Y202" s="267" t="n"/>
      <c r="Z202" s="267" t="n"/>
      <c r="AA202" s="267" t="n"/>
      <c r="AB202" s="268" t="n"/>
      <c r="AC202" s="267" t="n"/>
      <c r="AD202" s="267" t="n"/>
      <c r="AE202" s="267" t="n"/>
      <c r="AF202" s="267" t="n"/>
      <c r="AG202" s="268" t="n"/>
      <c r="AH202" s="267" t="n"/>
      <c r="AI202" s="267" t="n"/>
      <c r="AJ202" s="267" t="n"/>
      <c r="AK202" s="267" t="n"/>
      <c r="AL202" s="268" t="n"/>
      <c r="AM202" s="267" t="n"/>
      <c r="AN202" s="267" t="n"/>
      <c r="AO202" s="267" t="n"/>
      <c r="AP202" s="267" t="n"/>
      <c r="AQ202" s="268" t="n"/>
      <c r="AR202" s="267" t="n"/>
      <c r="AS202" s="267" t="n"/>
      <c r="AT202" s="267" t="n"/>
      <c r="AU202" s="267" t="n"/>
      <c r="AV202" s="268" t="n"/>
      <c r="AW202" s="267" t="n"/>
      <c r="AX202" s="267" t="n"/>
      <c r="AY202" s="267" t="n"/>
      <c r="AZ202" s="267" t="n"/>
      <c r="BA202" s="268" t="n"/>
      <c r="BB202" s="267" t="n"/>
      <c r="BC202" s="267" t="n"/>
      <c r="BD202" s="267" t="n"/>
      <c r="BE202" s="267" t="n"/>
      <c r="BF202" s="268" t="n"/>
      <c r="BG202" s="267" t="n"/>
      <c r="BH202" s="267" t="n"/>
      <c r="BI202" s="267" t="n"/>
      <c r="BJ202" s="267" t="n"/>
      <c r="BK202" s="268" t="n"/>
      <c r="BL202" s="267" t="n"/>
      <c r="BM202" s="267" t="n"/>
      <c r="BN202" s="267" t="n"/>
      <c r="BO202" s="267" t="n"/>
      <c r="BP202" s="268" t="n"/>
      <c r="BQ202" s="267" t="n"/>
      <c r="BR202" s="267" t="n"/>
      <c r="BS202" s="267" t="n"/>
      <c r="BT202" s="267" t="n"/>
      <c r="BU202" s="268" t="n"/>
      <c r="BV202" s="267" t="n"/>
      <c r="BW202" s="267" t="n"/>
      <c r="BX202" s="267" t="n"/>
      <c r="BY202" s="267" t="n"/>
      <c r="BZ202" s="268" t="n"/>
      <c r="CA202" s="267" t="n"/>
      <c r="CB202" s="267" t="n"/>
      <c r="CC202" s="267" t="n"/>
      <c r="CD202" s="267" t="n"/>
      <c r="CE202" s="268" t="n"/>
      <c r="CF202" s="267" t="n"/>
      <c r="CG202" s="267" t="n"/>
      <c r="CH202" s="267" t="n"/>
      <c r="CI202" s="267" t="n"/>
      <c r="CJ202" s="268" t="n"/>
      <c r="CK202" s="267" t="n"/>
      <c r="CL202" s="267" t="n"/>
      <c r="CM202" s="267" t="n"/>
      <c r="CN202" s="267" t="n"/>
      <c r="CO202" s="268" t="n"/>
      <c r="CP202" s="267" t="n"/>
      <c r="CQ202" s="267" t="n"/>
      <c r="CR202" s="267" t="n"/>
      <c r="CS202" s="267" t="n"/>
      <c r="CT202" s="268" t="n"/>
      <c r="CU202" s="267" t="n"/>
      <c r="CV202" s="267" t="n"/>
      <c r="CW202" s="267" t="n"/>
      <c r="CX202" s="267" t="n"/>
      <c r="CY202" s="268" t="n"/>
    </row>
    <row r="203" hidden="1" outlineLevel="1" ht="12.75" customHeight="1" s="255">
      <c r="C203" s="312" t="n"/>
      <c r="D203" s="268" t="n"/>
      <c r="E203" s="268" t="n"/>
      <c r="F203" s="268" t="n"/>
      <c r="G203" s="268" t="n"/>
      <c r="H203" s="268" t="n"/>
      <c r="I203" s="268" t="n"/>
      <c r="J203" s="268" t="n"/>
      <c r="K203" s="268" t="n"/>
      <c r="L203" s="268" t="n"/>
      <c r="M203" s="268" t="n"/>
      <c r="N203" s="268" t="n"/>
      <c r="O203" s="268" t="n"/>
      <c r="P203" s="268" t="n"/>
      <c r="Q203" s="268" t="n"/>
      <c r="R203" s="268" t="n"/>
      <c r="S203" s="268" t="n"/>
      <c r="T203" s="268" t="n"/>
      <c r="U203" s="268" t="n"/>
      <c r="V203" s="268" t="n"/>
      <c r="W203" s="268" t="n"/>
      <c r="X203" s="268" t="n"/>
      <c r="Y203" s="268" t="n"/>
      <c r="Z203" s="268" t="n"/>
      <c r="AA203" s="268" t="n"/>
      <c r="AB203" s="268" t="n"/>
      <c r="AC203" s="268" t="n"/>
      <c r="AD203" s="268" t="n"/>
      <c r="AE203" s="268" t="n"/>
      <c r="AF203" s="268" t="n"/>
      <c r="AG203" s="268" t="n"/>
      <c r="AH203" s="268" t="n"/>
      <c r="AI203" s="268" t="n"/>
      <c r="AJ203" s="268" t="n"/>
      <c r="AK203" s="268" t="n"/>
      <c r="AL203" s="268" t="n"/>
      <c r="AM203" s="268" t="n"/>
      <c r="AN203" s="268" t="n"/>
      <c r="AO203" s="268" t="n"/>
      <c r="AP203" s="268" t="n"/>
      <c r="AQ203" s="268" t="n"/>
      <c r="AR203" s="268" t="n"/>
      <c r="AS203" s="268" t="n"/>
      <c r="AT203" s="268" t="n"/>
      <c r="AU203" s="268" t="n"/>
      <c r="AV203" s="268" t="n"/>
      <c r="AW203" s="268" t="n"/>
      <c r="AX203" s="268" t="n"/>
      <c r="AY203" s="268" t="n"/>
      <c r="AZ203" s="268" t="n"/>
      <c r="BA203" s="268" t="n"/>
      <c r="BB203" s="268" t="n"/>
      <c r="BC203" s="268" t="n"/>
      <c r="BD203" s="268" t="n"/>
      <c r="BE203" s="268" t="n"/>
      <c r="BF203" s="268" t="n"/>
      <c r="BG203" s="268" t="n"/>
      <c r="BH203" s="268" t="n"/>
      <c r="BI203" s="268" t="n"/>
      <c r="BJ203" s="268" t="n"/>
      <c r="BK203" s="268" t="n"/>
      <c r="BL203" s="268" t="n"/>
      <c r="BM203" s="268" t="n"/>
      <c r="BN203" s="268" t="n"/>
      <c r="BO203" s="268" t="n"/>
      <c r="BP203" s="268" t="n"/>
      <c r="BQ203" s="268" t="n"/>
      <c r="BR203" s="268" t="n"/>
      <c r="BS203" s="268" t="n"/>
      <c r="BT203" s="268" t="n"/>
      <c r="BU203" s="268" t="n"/>
      <c r="BV203" s="268" t="n"/>
      <c r="BW203" s="268" t="n"/>
      <c r="BX203" s="268" t="n"/>
      <c r="BY203" s="268" t="n"/>
      <c r="BZ203" s="268" t="n"/>
      <c r="CA203" s="268" t="n"/>
      <c r="CB203" s="268" t="n"/>
      <c r="CC203" s="268" t="n"/>
      <c r="CD203" s="268" t="n"/>
      <c r="CE203" s="268" t="n"/>
      <c r="CF203" s="268" t="n"/>
      <c r="CG203" s="268" t="n"/>
      <c r="CH203" s="268" t="n"/>
      <c r="CI203" s="268" t="n"/>
      <c r="CJ203" s="268" t="n"/>
      <c r="CK203" s="268" t="n"/>
      <c r="CL203" s="268" t="n"/>
      <c r="CM203" s="268" t="n"/>
      <c r="CN203" s="268" t="n"/>
      <c r="CO203" s="268" t="n"/>
      <c r="CP203" s="268" t="n"/>
      <c r="CQ203" s="268" t="n"/>
      <c r="CR203" s="268" t="n"/>
      <c r="CS203" s="268" t="n"/>
      <c r="CT203" s="268" t="n"/>
      <c r="CU203" s="268" t="n"/>
      <c r="CV203" s="268" t="n"/>
      <c r="CW203" s="268" t="n"/>
      <c r="CX203" s="268" t="n"/>
      <c r="CY203" s="268" t="n"/>
    </row>
    <row r="204" ht="12.75" customHeight="1" s="255">
      <c r="C204" s="270" t="inlineStr">
        <is>
          <t>Current portion of long-term debt</t>
        </is>
      </c>
      <c r="D204" s="301">
        <f>INDEX('Inputs (2)'!$D$32:$AL$32,MATCH(D$7,'Inputs (2)'!$D$2:$AL$2,0))</f>
        <v>245</v>
      </c>
      <c r="E204" s="301">
        <f>INDEX('Inputs (2)'!$D$32:$AL$32,MATCH(E$7,'Inputs (2)'!$D$2:$AL$2,0))</f>
        <v>90</v>
      </c>
      <c r="F204" s="301">
        <f>INDEX('Inputs (2)'!$D$32:$AL$32,MATCH(F$7,'Inputs (2)'!$D$2:$AL$2,0))</f>
        <v>47</v>
      </c>
      <c r="G204" s="301">
        <f>INDEX('Inputs (2)'!$D$32:$AL$32,MATCH(G$7,'Inputs (2)'!$D$2:$AL$2,0))</f>
        <v>34</v>
      </c>
      <c r="H204" s="268">
        <f>G204</f>
        <v>34</v>
      </c>
      <c r="I204" s="301">
        <f>INDEX('Inputs (2)'!$D$32:$AL$32,MATCH(I$7,'Inputs (2)'!$D$2:$AL$2,0))</f>
        <v>656</v>
      </c>
      <c r="J204" s="301">
        <f>INDEX('Inputs (2)'!$D$32:$AL$32,MATCH(J$7,'Inputs (2)'!$D$2:$AL$2,0))</f>
        <v>1057</v>
      </c>
      <c r="K204" s="301">
        <f>INDEX('Inputs (2)'!$D$32:$AL$32,MATCH(K$7,'Inputs (2)'!$D$2:$AL$2,0))</f>
        <v>897</v>
      </c>
      <c r="L204" s="301">
        <f>INDEX('Inputs (2)'!$D$32:$AL$32,MATCH(L$7,'Inputs (2)'!$D$2:$AL$2,0))</f>
        <v>372</v>
      </c>
      <c r="M204" s="268">
        <f>L204</f>
        <v>372</v>
      </c>
      <c r="N204" s="301">
        <f>INDEX('Inputs (2)'!$D$32:$AL$32,MATCH(N$7,'Inputs (2)'!$D$2:$AL$2,0))</f>
        <v>1365</v>
      </c>
      <c r="O204" s="301">
        <f>INDEX('Inputs (2)'!$D$32:$AL$32,MATCH(O$7,'Inputs (2)'!$D$2:$AL$2,0))</f>
        <v>1038</v>
      </c>
      <c r="P204" s="301">
        <f>INDEX('Inputs (2)'!$D$32:$AL$32,MATCH(P$7,'Inputs (2)'!$D$2:$AL$2,0))</f>
        <v>1032</v>
      </c>
      <c r="Q204" s="301">
        <f>INDEX('Inputs (2)'!$D$32:$AL$32,MATCH(Q$7,'Inputs (2)'!$D$2:$AL$2,0))</f>
        <v>1037</v>
      </c>
      <c r="R204" s="268">
        <f>Q204</f>
        <v>1037</v>
      </c>
      <c r="S204" s="301">
        <f>INDEX('Inputs (2)'!$D$32:$AL$32,MATCH(S$7,'Inputs (2)'!$D$2:$AL$2,0))</f>
        <v>49</v>
      </c>
      <c r="T204" s="301">
        <f>INDEX('Inputs (2)'!$D$32:$AL$32,MATCH(T$7,'Inputs (2)'!$D$2:$AL$2,0))</f>
        <v>37</v>
      </c>
      <c r="U204" s="301">
        <f>INDEX('Inputs (2)'!$D$32:$AL$32,MATCH(U$7,'Inputs (2)'!$D$2:$AL$2,0))</f>
        <v>35</v>
      </c>
      <c r="V204" s="301">
        <f>INDEX('Inputs (2)'!$D$32:$AL$32,MATCH(V$7,'Inputs (2)'!$D$2:$AL$2,0))</f>
        <v>766</v>
      </c>
      <c r="W204" s="268">
        <f>V204</f>
        <v>766</v>
      </c>
      <c r="X204" s="301">
        <f>INDEX('Inputs (2)'!$D$32:$AL$32,MATCH(X$7,'Inputs (2)'!$D$2:$AL$2,0))</f>
        <v>769</v>
      </c>
      <c r="Y204" s="301">
        <f>INDEX('Inputs (2)'!$D$32:$AL$32,MATCH(Y$7,'Inputs (2)'!$D$2:$AL$2,0))</f>
        <v>768</v>
      </c>
      <c r="Z204" s="301">
        <f>INDEX('Inputs (2)'!$D$32:$AL$32,MATCH(Z$7,'Inputs (2)'!$D$2:$AL$2,0))</f>
        <v>769</v>
      </c>
      <c r="AA204" s="301">
        <f>INDEX('Inputs (2)'!$D$32:$AL$32,MATCH(AA$7,'Inputs (2)'!$D$2:$AL$2,0))</f>
        <v>41</v>
      </c>
      <c r="AB204" s="268">
        <f>AA204</f>
        <v>41</v>
      </c>
      <c r="AC204" s="301">
        <f>INDEX('Inputs (2)'!$D$32:$AL$32,MATCH(AC$7,'Inputs (2)'!$D$2:$AL$2,0))</f>
        <v>495</v>
      </c>
      <c r="AD204" s="301">
        <f>INDEX('Inputs (2)'!$D$32:$AL$32,MATCH(AD$7,'Inputs (2)'!$D$2:$AL$2,0))</f>
        <v>338</v>
      </c>
      <c r="AE204" s="301">
        <f>INDEX('Inputs (2)'!$D$32:$AL$32,MATCH(AE$7,'Inputs (2)'!$D$2:$AL$2,0))</f>
        <v>383</v>
      </c>
      <c r="AF204" s="301">
        <f>INDEX('Inputs (2)'!$D$32:$AL$32,MATCH(AF$7,'Inputs (2)'!$D$2:$AL$2,0))</f>
        <v>466</v>
      </c>
      <c r="AG204" s="268">
        <f>AF204</f>
        <v>466</v>
      </c>
      <c r="AH204" s="268">
        <f>INDEX('Inputs (2)'!$D$32:$AL$32,MATCH(AH$7,'Inputs (2)'!$D$2:$AL$2,0))</f>
        <v>500</v>
      </c>
      <c r="AI204" s="268">
        <f>INDEX('Inputs (2)'!$D$32:$AL$32,MATCH(AI$7,'Inputs (2)'!$D$2:$AL$2,0))</f>
        <v>1220</v>
      </c>
      <c r="AJ204" s="268">
        <f>AI204</f>
        <v>1220</v>
      </c>
      <c r="AK204" s="268">
        <f>AJ204</f>
        <v>1220</v>
      </c>
      <c r="AL204" s="268">
        <f>AK204</f>
        <v>1220</v>
      </c>
      <c r="AM204" s="268">
        <f>AL204</f>
        <v>1220</v>
      </c>
      <c r="AN204" s="268">
        <f>AM204</f>
        <v>1220</v>
      </c>
      <c r="AO204" s="268">
        <f>AN204</f>
        <v>1220</v>
      </c>
      <c r="AP204" s="268">
        <f>AO204</f>
        <v>1220</v>
      </c>
      <c r="AQ204" s="268">
        <f>AP204</f>
        <v>1220</v>
      </c>
      <c r="AR204" s="268">
        <f>AQ204</f>
        <v>1220</v>
      </c>
      <c r="AS204" s="268">
        <f>AR204</f>
        <v>1220</v>
      </c>
      <c r="AT204" s="268">
        <f>AS204</f>
        <v>1220</v>
      </c>
      <c r="AU204" s="268">
        <f>AT204</f>
        <v>1220</v>
      </c>
      <c r="AV204" s="268">
        <f>AU204</f>
        <v>1220</v>
      </c>
      <c r="AW204" s="268">
        <f>AV204</f>
        <v>1220</v>
      </c>
      <c r="AX204" s="268">
        <f>AW204</f>
        <v>1220</v>
      </c>
      <c r="AY204" s="268">
        <f>AX204</f>
        <v>1220</v>
      </c>
      <c r="AZ204" s="268">
        <f>AY204</f>
        <v>1220</v>
      </c>
      <c r="BA204" s="268">
        <f>AZ204</f>
        <v>1220</v>
      </c>
      <c r="BB204" s="268">
        <f>BA204</f>
        <v>1220</v>
      </c>
      <c r="BC204" s="268">
        <f>BB204</f>
        <v>1220</v>
      </c>
      <c r="BD204" s="268">
        <f>BC204</f>
        <v>1220</v>
      </c>
      <c r="BE204" s="268">
        <f>BD204</f>
        <v>1220</v>
      </c>
      <c r="BF204" s="268">
        <f>BE204</f>
        <v>1220</v>
      </c>
      <c r="BG204" s="268">
        <f>BF204</f>
        <v>1220</v>
      </c>
      <c r="BH204" s="268">
        <f>BG204</f>
        <v>1220</v>
      </c>
      <c r="BI204" s="268">
        <f>BH204</f>
        <v>1220</v>
      </c>
      <c r="BJ204" s="268">
        <f>BI204</f>
        <v>1220</v>
      </c>
      <c r="BK204" s="268">
        <f>BJ204</f>
        <v>1220</v>
      </c>
      <c r="BL204" s="268">
        <f>BK204</f>
        <v>1220</v>
      </c>
      <c r="BM204" s="268">
        <f>BL204</f>
        <v>1220</v>
      </c>
      <c r="BN204" s="268">
        <f>BM204</f>
        <v>1220</v>
      </c>
      <c r="BO204" s="268">
        <f>BN204</f>
        <v>1220</v>
      </c>
      <c r="BP204" s="268">
        <f>BO204</f>
        <v>1220</v>
      </c>
      <c r="BQ204" s="268">
        <f>BP204</f>
        <v>1220</v>
      </c>
      <c r="BR204" s="268">
        <f>BQ204</f>
        <v>1220</v>
      </c>
      <c r="BS204" s="268">
        <f>BR204</f>
        <v>1220</v>
      </c>
      <c r="BT204" s="268">
        <f>BS204</f>
        <v>1220</v>
      </c>
      <c r="BU204" s="268">
        <f>BT204</f>
        <v>1220</v>
      </c>
      <c r="BV204" s="268">
        <f>BU204</f>
        <v>1220</v>
      </c>
      <c r="BW204" s="268">
        <f>BV204</f>
        <v>1220</v>
      </c>
      <c r="BX204" s="268">
        <f>BW204</f>
        <v>1220</v>
      </c>
      <c r="BY204" s="268">
        <f>BX204</f>
        <v>1220</v>
      </c>
      <c r="BZ204" s="268">
        <f>BY204</f>
        <v>1220</v>
      </c>
      <c r="CA204" s="268">
        <f>BZ204</f>
        <v>1220</v>
      </c>
      <c r="CB204" s="268">
        <f>CA204</f>
        <v>1220</v>
      </c>
      <c r="CC204" s="268">
        <f>CB204</f>
        <v>1220</v>
      </c>
      <c r="CD204" s="268">
        <f>CC204</f>
        <v>1220</v>
      </c>
      <c r="CE204" s="268">
        <f>CD204</f>
        <v>1220</v>
      </c>
      <c r="CF204" s="268">
        <f>CE204</f>
        <v>1220</v>
      </c>
      <c r="CG204" s="268">
        <f>CF204</f>
        <v>1220</v>
      </c>
      <c r="CH204" s="268">
        <f>CG204</f>
        <v>1220</v>
      </c>
      <c r="CI204" s="268">
        <f>CH204</f>
        <v>1220</v>
      </c>
      <c r="CJ204" s="268">
        <f>CI204</f>
        <v>1220</v>
      </c>
      <c r="CK204" s="268">
        <f>CJ204</f>
        <v>1220</v>
      </c>
      <c r="CL204" s="268">
        <f>CK204</f>
        <v>1220</v>
      </c>
      <c r="CM204" s="268">
        <f>CL204</f>
        <v>1220</v>
      </c>
      <c r="CN204" s="268">
        <f>CM204</f>
        <v>1220</v>
      </c>
      <c r="CO204" s="268">
        <f>CN204</f>
        <v>1220</v>
      </c>
      <c r="CP204" s="268">
        <f>CO204</f>
        <v>1220</v>
      </c>
      <c r="CQ204" s="268">
        <f>CP204</f>
        <v>1220</v>
      </c>
      <c r="CR204" s="268">
        <f>CQ204</f>
        <v>1220</v>
      </c>
      <c r="CS204" s="268">
        <f>CR204</f>
        <v>1220</v>
      </c>
      <c r="CT204" s="268">
        <f>CS204</f>
        <v>1220</v>
      </c>
      <c r="CU204" s="268">
        <f>CT204</f>
        <v>1220</v>
      </c>
      <c r="CV204" s="268">
        <f>CU204</f>
        <v>1220</v>
      </c>
      <c r="CW204" s="268">
        <f>CV204</f>
        <v>1220</v>
      </c>
      <c r="CX204" s="268">
        <f>CW204</f>
        <v>1220</v>
      </c>
      <c r="CY204" s="268">
        <f>CX204</f>
        <v>1220</v>
      </c>
    </row>
    <row r="205" ht="12.75" customHeight="1" s="255">
      <c r="C205" s="270" t="inlineStr">
        <is>
          <t>Short term debt (Revolving credit facility)</t>
        </is>
      </c>
      <c r="D205" s="301">
        <f>INDEX('Inputs (2)'!$D$33:$AL$33,MATCH(D$7,'Inputs (2)'!$D$2:$AL$2,0))</f>
        <v>0</v>
      </c>
      <c r="E205" s="301">
        <f>INDEX('Inputs (2)'!$D$33:$AL$33,MATCH(E$7,'Inputs (2)'!$D$2:$AL$2,0))</f>
        <v>0</v>
      </c>
      <c r="F205" s="301">
        <f>INDEX('Inputs (2)'!$D$33:$AL$33,MATCH(F$7,'Inputs (2)'!$D$2:$AL$2,0))</f>
        <v>0</v>
      </c>
      <c r="G205" s="301">
        <f>INDEX('Inputs (2)'!$D$33:$AL$33,MATCH(G$7,'Inputs (2)'!$D$2:$AL$2,0))</f>
        <v>0</v>
      </c>
      <c r="H205" s="268">
        <f>G205</f>
        <v>0</v>
      </c>
      <c r="I205" s="301">
        <f>INDEX('Inputs (2)'!$D$33:$AL$33,MATCH(I$7,'Inputs (2)'!$D$2:$AL$2,0))</f>
        <v>0</v>
      </c>
      <c r="J205" s="301">
        <f>INDEX('Inputs (2)'!$D$33:$AL$33,MATCH(J$7,'Inputs (2)'!$D$2:$AL$2,0))</f>
        <v>0</v>
      </c>
      <c r="K205" s="301">
        <f>INDEX('Inputs (2)'!$D$33:$AL$33,MATCH(K$7,'Inputs (2)'!$D$2:$AL$2,0))</f>
        <v>0</v>
      </c>
      <c r="L205" s="301">
        <f>INDEX('Inputs (2)'!$D$33:$AL$33,MATCH(L$7,'Inputs (2)'!$D$2:$AL$2,0))</f>
        <v>0</v>
      </c>
      <c r="M205" s="268">
        <f>L205</f>
        <v>0</v>
      </c>
      <c r="N205" s="301">
        <f>INDEX('Inputs (2)'!$D$33:$AL$33,MATCH(N$7,'Inputs (2)'!$D$2:$AL$2,0))</f>
        <v>0</v>
      </c>
      <c r="O205" s="301">
        <f>INDEX('Inputs (2)'!$D$33:$AL$33,MATCH(O$7,'Inputs (2)'!$D$2:$AL$2,0))</f>
        <v>0</v>
      </c>
      <c r="P205" s="301">
        <f>INDEX('Inputs (2)'!$D$33:$AL$33,MATCH(P$7,'Inputs (2)'!$D$2:$AL$2,0))</f>
        <v>0</v>
      </c>
      <c r="Q205" s="301">
        <f>INDEX('Inputs (2)'!$D$33:$AL$33,MATCH(Q$7,'Inputs (2)'!$D$2:$AL$2,0))</f>
        <v>0</v>
      </c>
      <c r="R205" s="268">
        <f>Q205</f>
        <v>0</v>
      </c>
      <c r="S205" s="301">
        <f>INDEX('Inputs (2)'!$D$33:$AL$33,MATCH(S$7,'Inputs (2)'!$D$2:$AL$2,0))</f>
        <v>0</v>
      </c>
      <c r="T205" s="301">
        <f>INDEX('Inputs (2)'!$D$33:$AL$33,MATCH(T$7,'Inputs (2)'!$D$2:$AL$2,0))</f>
        <v>0</v>
      </c>
      <c r="U205" s="301">
        <f>INDEX('Inputs (2)'!$D$33:$AL$33,MATCH(U$7,'Inputs (2)'!$D$2:$AL$2,0))</f>
        <v>0</v>
      </c>
      <c r="V205" s="301">
        <f>INDEX('Inputs (2)'!$D$33:$AL$33,MATCH(V$7,'Inputs (2)'!$D$2:$AL$2,0))</f>
        <v>0</v>
      </c>
      <c r="W205" s="268">
        <f>V205</f>
        <v>0</v>
      </c>
      <c r="X205" s="301">
        <f>INDEX('Inputs (2)'!$D$33:$AL$33,MATCH(X$7,'Inputs (2)'!$D$2:$AL$2,0))</f>
        <v>0</v>
      </c>
      <c r="Y205" s="301">
        <f>INDEX('Inputs (2)'!$D$33:$AL$33,MATCH(Y$7,'Inputs (2)'!$D$2:$AL$2,0))</f>
        <v>0</v>
      </c>
      <c r="Z205" s="301">
        <f>INDEX('Inputs (2)'!$D$33:$AL$33,MATCH(Z$7,'Inputs (2)'!$D$2:$AL$2,0))</f>
        <v>0</v>
      </c>
      <c r="AA205" s="301">
        <f>INDEX('Inputs (2)'!$D$33:$AL$33,MATCH(AA$7,'Inputs (2)'!$D$2:$AL$2,0))</f>
        <v>0</v>
      </c>
      <c r="AB205" s="268">
        <f>AA205</f>
        <v>0</v>
      </c>
      <c r="AC205" s="301">
        <f>INDEX('Inputs (2)'!$D$33:$AL$33,MATCH(AC$7,'Inputs (2)'!$D$2:$AL$2,0))</f>
        <v>0</v>
      </c>
      <c r="AD205" s="301">
        <f>INDEX('Inputs (2)'!$D$33:$AL$33,MATCH(AD$7,'Inputs (2)'!$D$2:$AL$2,0))</f>
        <v>0</v>
      </c>
      <c r="AE205" s="301">
        <f>INDEX('Inputs (2)'!$D$33:$AL$33,MATCH(AE$7,'Inputs (2)'!$D$2:$AL$2,0))</f>
        <v>0</v>
      </c>
      <c r="AF205" s="301">
        <f>INDEX('Inputs (2)'!$D$33:$AL$33,MATCH(AF$7,'Inputs (2)'!$D$2:$AL$2,0))</f>
        <v>0</v>
      </c>
      <c r="AG205" s="268">
        <f>AF205</f>
        <v>0</v>
      </c>
      <c r="AH205" s="268">
        <f>INDEX('Inputs (2)'!$D$33:$AL$33,MATCH(AH$7,'Inputs (2)'!$D$2:$AL$2,0))</f>
        <v>0</v>
      </c>
      <c r="AI205" s="268">
        <f>INDEX('Inputs (2)'!$D$33:$AL$33,MATCH(AI$7,'Inputs (2)'!$D$2:$AL$2,0))</f>
        <v>0</v>
      </c>
      <c r="AJ205" s="268">
        <f>AI205</f>
        <v>0</v>
      </c>
      <c r="AK205" s="268">
        <f>AJ205</f>
        <v>0</v>
      </c>
      <c r="AL205" s="268">
        <f>AK205</f>
        <v>0</v>
      </c>
      <c r="AM205" s="268">
        <f>AL205</f>
        <v>0</v>
      </c>
      <c r="AN205" s="268">
        <f>AM205</f>
        <v>0</v>
      </c>
      <c r="AO205" s="268">
        <f>AN205</f>
        <v>0</v>
      </c>
      <c r="AP205" s="268">
        <f>AO205</f>
        <v>0</v>
      </c>
      <c r="AQ205" s="268">
        <f>AP205</f>
        <v>0</v>
      </c>
      <c r="AR205" s="268">
        <f>AQ205</f>
        <v>0</v>
      </c>
      <c r="AS205" s="268">
        <f>AR205</f>
        <v>0</v>
      </c>
      <c r="AT205" s="268">
        <f>AS205</f>
        <v>0</v>
      </c>
      <c r="AU205" s="268">
        <f>AT205</f>
        <v>0</v>
      </c>
      <c r="AV205" s="268">
        <f>AU205</f>
        <v>0</v>
      </c>
      <c r="AW205" s="268">
        <f>AV205</f>
        <v>0</v>
      </c>
      <c r="AX205" s="268">
        <f>AW205</f>
        <v>0</v>
      </c>
      <c r="AY205" s="268">
        <f>AX205</f>
        <v>0</v>
      </c>
      <c r="AZ205" s="268">
        <f>AY205</f>
        <v>0</v>
      </c>
      <c r="BA205" s="268">
        <f>AZ205</f>
        <v>0</v>
      </c>
      <c r="BB205" s="268">
        <f>BA205</f>
        <v>0</v>
      </c>
      <c r="BC205" s="268">
        <f>BB205</f>
        <v>0</v>
      </c>
      <c r="BD205" s="268">
        <f>BC205</f>
        <v>0</v>
      </c>
      <c r="BE205" s="268">
        <f>BD205</f>
        <v>0</v>
      </c>
      <c r="BF205" s="268">
        <f>BE205</f>
        <v>0</v>
      </c>
      <c r="BG205" s="268">
        <f>BF205</f>
        <v>0</v>
      </c>
      <c r="BH205" s="268">
        <f>BG205</f>
        <v>0</v>
      </c>
      <c r="BI205" s="268">
        <f>BH205</f>
        <v>0</v>
      </c>
      <c r="BJ205" s="268">
        <f>BI205</f>
        <v>0</v>
      </c>
      <c r="BK205" s="268">
        <f>BJ205</f>
        <v>0</v>
      </c>
      <c r="BL205" s="268">
        <f>BK205</f>
        <v>0</v>
      </c>
      <c r="BM205" s="268">
        <f>BL205</f>
        <v>0</v>
      </c>
      <c r="BN205" s="268">
        <f>BM205</f>
        <v>0</v>
      </c>
      <c r="BO205" s="268">
        <f>BN205</f>
        <v>0</v>
      </c>
      <c r="BP205" s="268">
        <f>BO205</f>
        <v>0</v>
      </c>
      <c r="BQ205" s="268">
        <f>BP205</f>
        <v>0</v>
      </c>
      <c r="BR205" s="268">
        <f>BQ205</f>
        <v>0</v>
      </c>
      <c r="BS205" s="268">
        <f>BR205</f>
        <v>0</v>
      </c>
      <c r="BT205" s="268">
        <f>BS205</f>
        <v>0</v>
      </c>
      <c r="BU205" s="268">
        <f>BT205</f>
        <v>0</v>
      </c>
      <c r="BV205" s="268">
        <f>BU205</f>
        <v>0</v>
      </c>
      <c r="BW205" s="268">
        <f>BV205</f>
        <v>0</v>
      </c>
      <c r="BX205" s="268">
        <f>BW205</f>
        <v>0</v>
      </c>
      <c r="BY205" s="268">
        <f>BX205</f>
        <v>0</v>
      </c>
      <c r="BZ205" s="268">
        <f>BY205</f>
        <v>0</v>
      </c>
      <c r="CA205" s="268">
        <f>BZ205</f>
        <v>0</v>
      </c>
      <c r="CB205" s="268">
        <f>CA205</f>
        <v>0</v>
      </c>
      <c r="CC205" s="268">
        <f>CB205</f>
        <v>0</v>
      </c>
      <c r="CD205" s="268">
        <f>CC205</f>
        <v>0</v>
      </c>
      <c r="CE205" s="268">
        <f>CD205</f>
        <v>0</v>
      </c>
      <c r="CF205" s="268">
        <f>CE205</f>
        <v>0</v>
      </c>
      <c r="CG205" s="268">
        <f>CF205</f>
        <v>0</v>
      </c>
      <c r="CH205" s="268">
        <f>CG205</f>
        <v>0</v>
      </c>
      <c r="CI205" s="268">
        <f>CH205</f>
        <v>0</v>
      </c>
      <c r="CJ205" s="268">
        <f>CI205</f>
        <v>0</v>
      </c>
      <c r="CK205" s="268">
        <f>CJ205</f>
        <v>0</v>
      </c>
      <c r="CL205" s="268">
        <f>CK205</f>
        <v>0</v>
      </c>
      <c r="CM205" s="268">
        <f>CL205</f>
        <v>0</v>
      </c>
      <c r="CN205" s="268">
        <f>CM205</f>
        <v>0</v>
      </c>
      <c r="CO205" s="268">
        <f>CN205</f>
        <v>0</v>
      </c>
      <c r="CP205" s="268">
        <f>CO205</f>
        <v>0</v>
      </c>
      <c r="CQ205" s="268">
        <f>CP205</f>
        <v>0</v>
      </c>
      <c r="CR205" s="268">
        <f>CQ205</f>
        <v>0</v>
      </c>
      <c r="CS205" s="268">
        <f>CR205</f>
        <v>0</v>
      </c>
      <c r="CT205" s="268">
        <f>CS205</f>
        <v>0</v>
      </c>
      <c r="CU205" s="268">
        <f>CT205</f>
        <v>0</v>
      </c>
      <c r="CV205" s="268">
        <f>CU205</f>
        <v>0</v>
      </c>
      <c r="CW205" s="268">
        <f>CV205</f>
        <v>0</v>
      </c>
      <c r="CX205" s="268">
        <f>CW205</f>
        <v>0</v>
      </c>
      <c r="CY205" s="268">
        <f>CX205</f>
        <v>0</v>
      </c>
    </row>
    <row r="206" ht="12.75" customHeight="1" s="255">
      <c r="C206" s="270" t="inlineStr">
        <is>
          <t>Short term operating leases</t>
        </is>
      </c>
      <c r="D206" s="301">
        <f>INDEX('Inputs (2)'!$D$34:$AL$34,MATCH(D$7,'Inputs (2)'!$D$2:$AL$2,0))</f>
        <v>0</v>
      </c>
      <c r="E206" s="301">
        <f>INDEX('Inputs (2)'!$D$34:$AL$34,MATCH(E$7,'Inputs (2)'!$D$2:$AL$2,0))</f>
        <v>0</v>
      </c>
      <c r="F206" s="301">
        <f>INDEX('Inputs (2)'!$D$34:$AL$34,MATCH(F$7,'Inputs (2)'!$D$2:$AL$2,0))</f>
        <v>0</v>
      </c>
      <c r="G206" s="301">
        <f>INDEX('Inputs (2)'!$D$34:$AL$34,MATCH(G$7,'Inputs (2)'!$D$2:$AL$2,0))</f>
        <v>0</v>
      </c>
      <c r="H206" s="268">
        <f>G206</f>
        <v>0</v>
      </c>
      <c r="I206" s="301">
        <f>INDEX('Inputs (2)'!$D$34:$AL$34,MATCH(I$7,'Inputs (2)'!$D$2:$AL$2,0))</f>
        <v>0</v>
      </c>
      <c r="J206" s="301">
        <f>INDEX('Inputs (2)'!$D$34:$AL$34,MATCH(J$7,'Inputs (2)'!$D$2:$AL$2,0))</f>
        <v>0</v>
      </c>
      <c r="K206" s="301">
        <f>INDEX('Inputs (2)'!$D$34:$AL$34,MATCH(K$7,'Inputs (2)'!$D$2:$AL$2,0))</f>
        <v>0</v>
      </c>
      <c r="L206" s="301">
        <f>INDEX('Inputs (2)'!$D$34:$AL$34,MATCH(L$7,'Inputs (2)'!$D$2:$AL$2,0))</f>
        <v>0</v>
      </c>
      <c r="M206" s="268">
        <f>L206</f>
        <v>0</v>
      </c>
      <c r="N206" s="301">
        <f>INDEX('Inputs (2)'!$D$34:$AL$34,MATCH(N$7,'Inputs (2)'!$D$2:$AL$2,0))</f>
        <v>0</v>
      </c>
      <c r="O206" s="301">
        <f>INDEX('Inputs (2)'!$D$34:$AL$34,MATCH(O$7,'Inputs (2)'!$D$2:$AL$2,0))</f>
        <v>0</v>
      </c>
      <c r="P206" s="301">
        <f>INDEX('Inputs (2)'!$D$34:$AL$34,MATCH(P$7,'Inputs (2)'!$D$2:$AL$2,0))</f>
        <v>0</v>
      </c>
      <c r="Q206" s="301">
        <f>INDEX('Inputs (2)'!$D$34:$AL$34,MATCH(Q$7,'Inputs (2)'!$D$2:$AL$2,0))</f>
        <v>0</v>
      </c>
      <c r="R206" s="268">
        <f>Q206</f>
        <v>0</v>
      </c>
      <c r="S206" s="301">
        <f>INDEX('Inputs (2)'!$D$34:$AL$34,MATCH(S$7,'Inputs (2)'!$D$2:$AL$2,0))</f>
        <v>0</v>
      </c>
      <c r="T206" s="301">
        <f>INDEX('Inputs (2)'!$D$34:$AL$34,MATCH(T$7,'Inputs (2)'!$D$2:$AL$2,0))</f>
        <v>0</v>
      </c>
      <c r="U206" s="301">
        <f>INDEX('Inputs (2)'!$D$34:$AL$34,MATCH(U$7,'Inputs (2)'!$D$2:$AL$2,0))</f>
        <v>0</v>
      </c>
      <c r="V206" s="301">
        <f>INDEX('Inputs (2)'!$D$34:$AL$34,MATCH(V$7,'Inputs (2)'!$D$2:$AL$2,0))</f>
        <v>0</v>
      </c>
      <c r="W206" s="268">
        <f>V206</f>
        <v>0</v>
      </c>
      <c r="X206" s="301">
        <f>INDEX('Inputs (2)'!$D$34:$AL$34,MATCH(X$7,'Inputs (2)'!$D$2:$AL$2,0))</f>
        <v>0</v>
      </c>
      <c r="Y206" s="301">
        <f>INDEX('Inputs (2)'!$D$34:$AL$34,MATCH(Y$7,'Inputs (2)'!$D$2:$AL$2,0))</f>
        <v>0</v>
      </c>
      <c r="Z206" s="301">
        <f>INDEX('Inputs (2)'!$D$34:$AL$34,MATCH(Z$7,'Inputs (2)'!$D$2:$AL$2,0))</f>
        <v>0</v>
      </c>
      <c r="AA206" s="301">
        <f>INDEX('Inputs (2)'!$D$34:$AL$34,MATCH(AA$7,'Inputs (2)'!$D$2:$AL$2,0))</f>
        <v>0</v>
      </c>
      <c r="AB206" s="268">
        <f>AA206</f>
        <v>0</v>
      </c>
      <c r="AC206" s="301">
        <f>INDEX('Inputs (2)'!$D$34:$AL$34,MATCH(AC$7,'Inputs (2)'!$D$2:$AL$2,0))</f>
        <v>0</v>
      </c>
      <c r="AD206" s="301">
        <f>INDEX('Inputs (2)'!$D$34:$AL$34,MATCH(AD$7,'Inputs (2)'!$D$2:$AL$2,0))</f>
        <v>0</v>
      </c>
      <c r="AE206" s="301">
        <f>INDEX('Inputs (2)'!$D$34:$AL$34,MATCH(AE$7,'Inputs (2)'!$D$2:$AL$2,0))</f>
        <v>0</v>
      </c>
      <c r="AF206" s="301">
        <f>INDEX('Inputs (2)'!$D$34:$AL$34,MATCH(AF$7,'Inputs (2)'!$D$2:$AL$2,0))</f>
        <v>0</v>
      </c>
      <c r="AG206" s="268">
        <f>AF206</f>
        <v>0</v>
      </c>
      <c r="AH206" s="268">
        <f>INDEX('Inputs (2)'!$D$34:$AL$34,MATCH(AH$7,'Inputs (2)'!$D$2:$AL$2,0))</f>
        <v>0</v>
      </c>
      <c r="AI206" s="268">
        <f>INDEX('Inputs (2)'!$D$34:$AL$34,MATCH(AI$7,'Inputs (2)'!$D$2:$AL$2,0))</f>
        <v>0</v>
      </c>
      <c r="AJ206" s="268">
        <f>AI206</f>
        <v>0</v>
      </c>
      <c r="AK206" s="268">
        <f>AJ206</f>
        <v>0</v>
      </c>
      <c r="AL206" s="268">
        <f>AK206</f>
        <v>0</v>
      </c>
      <c r="AM206" s="268">
        <f>AL206</f>
        <v>0</v>
      </c>
      <c r="AN206" s="268">
        <f>AM206</f>
        <v>0</v>
      </c>
      <c r="AO206" s="268">
        <f>AN206</f>
        <v>0</v>
      </c>
      <c r="AP206" s="268">
        <f>AO206</f>
        <v>0</v>
      </c>
      <c r="AQ206" s="268">
        <f>AP206</f>
        <v>0</v>
      </c>
      <c r="AR206" s="268">
        <f>AQ206</f>
        <v>0</v>
      </c>
      <c r="AS206" s="268">
        <f>AR206</f>
        <v>0</v>
      </c>
      <c r="AT206" s="268">
        <f>AS206</f>
        <v>0</v>
      </c>
      <c r="AU206" s="268">
        <f>AT206</f>
        <v>0</v>
      </c>
      <c r="AV206" s="268">
        <f>AU206</f>
        <v>0</v>
      </c>
      <c r="AW206" s="268">
        <f>AV206</f>
        <v>0</v>
      </c>
      <c r="AX206" s="268">
        <f>AW206</f>
        <v>0</v>
      </c>
      <c r="AY206" s="268">
        <f>AX206</f>
        <v>0</v>
      </c>
      <c r="AZ206" s="268">
        <f>AY206</f>
        <v>0</v>
      </c>
      <c r="BA206" s="268">
        <f>AZ206</f>
        <v>0</v>
      </c>
      <c r="BB206" s="268">
        <f>BA206</f>
        <v>0</v>
      </c>
      <c r="BC206" s="268">
        <f>BB206</f>
        <v>0</v>
      </c>
      <c r="BD206" s="268">
        <f>BC206</f>
        <v>0</v>
      </c>
      <c r="BE206" s="268">
        <f>BD206</f>
        <v>0</v>
      </c>
      <c r="BF206" s="268">
        <f>BE206</f>
        <v>0</v>
      </c>
      <c r="BG206" s="268">
        <f>BF206</f>
        <v>0</v>
      </c>
      <c r="BH206" s="268">
        <f>BG206</f>
        <v>0</v>
      </c>
      <c r="BI206" s="268">
        <f>BH206</f>
        <v>0</v>
      </c>
      <c r="BJ206" s="268">
        <f>BI206</f>
        <v>0</v>
      </c>
      <c r="BK206" s="268">
        <f>BJ206</f>
        <v>0</v>
      </c>
      <c r="BL206" s="268">
        <f>BK206</f>
        <v>0</v>
      </c>
      <c r="BM206" s="268">
        <f>BL206</f>
        <v>0</v>
      </c>
      <c r="BN206" s="268">
        <f>BM206</f>
        <v>0</v>
      </c>
      <c r="BO206" s="268">
        <f>BN206</f>
        <v>0</v>
      </c>
      <c r="BP206" s="268">
        <f>BO206</f>
        <v>0</v>
      </c>
      <c r="BQ206" s="268">
        <f>BP206</f>
        <v>0</v>
      </c>
      <c r="BR206" s="268">
        <f>BQ206</f>
        <v>0</v>
      </c>
      <c r="BS206" s="268">
        <f>BR206</f>
        <v>0</v>
      </c>
      <c r="BT206" s="268">
        <f>BS206</f>
        <v>0</v>
      </c>
      <c r="BU206" s="268">
        <f>BT206</f>
        <v>0</v>
      </c>
      <c r="BV206" s="268">
        <f>BU206</f>
        <v>0</v>
      </c>
      <c r="BW206" s="268">
        <f>BV206</f>
        <v>0</v>
      </c>
      <c r="BX206" s="268">
        <f>BW206</f>
        <v>0</v>
      </c>
      <c r="BY206" s="268">
        <f>BX206</f>
        <v>0</v>
      </c>
      <c r="BZ206" s="268">
        <f>BY206</f>
        <v>0</v>
      </c>
      <c r="CA206" s="268">
        <f>BZ206</f>
        <v>0</v>
      </c>
      <c r="CB206" s="268">
        <f>CA206</f>
        <v>0</v>
      </c>
      <c r="CC206" s="268">
        <f>CB206</f>
        <v>0</v>
      </c>
      <c r="CD206" s="268">
        <f>CC206</f>
        <v>0</v>
      </c>
      <c r="CE206" s="268">
        <f>CD206</f>
        <v>0</v>
      </c>
      <c r="CF206" s="268">
        <f>CE206</f>
        <v>0</v>
      </c>
      <c r="CG206" s="268">
        <f>CF206</f>
        <v>0</v>
      </c>
      <c r="CH206" s="268">
        <f>CG206</f>
        <v>0</v>
      </c>
      <c r="CI206" s="268">
        <f>CH206</f>
        <v>0</v>
      </c>
      <c r="CJ206" s="268">
        <f>CI206</f>
        <v>0</v>
      </c>
      <c r="CK206" s="268">
        <f>CJ206</f>
        <v>0</v>
      </c>
      <c r="CL206" s="268">
        <f>CK206</f>
        <v>0</v>
      </c>
      <c r="CM206" s="268">
        <f>CL206</f>
        <v>0</v>
      </c>
      <c r="CN206" s="268">
        <f>CM206</f>
        <v>0</v>
      </c>
      <c r="CO206" s="268">
        <f>CN206</f>
        <v>0</v>
      </c>
      <c r="CP206" s="268">
        <f>CO206</f>
        <v>0</v>
      </c>
      <c r="CQ206" s="268">
        <f>CP206</f>
        <v>0</v>
      </c>
      <c r="CR206" s="268">
        <f>CQ206</f>
        <v>0</v>
      </c>
      <c r="CS206" s="268">
        <f>CR206</f>
        <v>0</v>
      </c>
      <c r="CT206" s="268">
        <f>CS206</f>
        <v>0</v>
      </c>
      <c r="CU206" s="268">
        <f>CT206</f>
        <v>0</v>
      </c>
      <c r="CV206" s="268">
        <f>CU206</f>
        <v>0</v>
      </c>
      <c r="CW206" s="268">
        <f>CV206</f>
        <v>0</v>
      </c>
      <c r="CX206" s="268">
        <f>CW206</f>
        <v>0</v>
      </c>
      <c r="CY206" s="268">
        <f>CX206</f>
        <v>0</v>
      </c>
    </row>
    <row r="207" hidden="1" outlineLevel="1" ht="12.75" customHeight="1" s="255">
      <c r="C207" s="314" t="inlineStr">
        <is>
          <t>%(Var.)</t>
        </is>
      </c>
      <c r="D207" s="268" t="n"/>
      <c r="E207" s="296">
        <f>IFERROR((E206-D206)/D206,0)</f>
        <v>0</v>
      </c>
      <c r="F207" s="296">
        <f>IFERROR((F206-E206)/E206,0)</f>
        <v>0</v>
      </c>
      <c r="G207" s="296">
        <f>IFERROR((G206-F206)/F206,0)</f>
        <v>0</v>
      </c>
      <c r="H207" s="268" t="n"/>
      <c r="I207" s="296">
        <f>IFERROR((I206-H206)/H206,0)</f>
        <v>0</v>
      </c>
      <c r="J207" s="296">
        <f>IFERROR((J206-I206)/I206,0)</f>
        <v>0</v>
      </c>
      <c r="K207" s="296">
        <f>IFERROR((K206-J206)/J206,0)</f>
        <v>0</v>
      </c>
      <c r="L207" s="296">
        <f>IFERROR((L206-K206)/K206,0)</f>
        <v>0</v>
      </c>
      <c r="M207" s="268" t="n"/>
      <c r="N207" s="296">
        <f>IFERROR((N206-M206)/M206,0)</f>
        <v>0</v>
      </c>
      <c r="O207" s="296">
        <f>IFERROR((O206-N206)/N206,0)</f>
        <v>0</v>
      </c>
      <c r="P207" s="296">
        <f>IFERROR((P206-O206)/O206,0)</f>
        <v>0</v>
      </c>
      <c r="Q207" s="296">
        <f>IFERROR((Q206-P206)/P206,0)</f>
        <v>0</v>
      </c>
      <c r="R207" s="268" t="n"/>
      <c r="S207" s="296">
        <f>IFERROR((S206-R206)/R206,0)</f>
        <v>0</v>
      </c>
      <c r="T207" s="296">
        <f>IFERROR((T206-S206)/S206,0)</f>
        <v>0</v>
      </c>
      <c r="U207" s="296">
        <f>IFERROR((U206-T206)/T206,0)</f>
        <v>0</v>
      </c>
      <c r="V207" s="296">
        <f>IFERROR((V206-U206)/U206,0)</f>
        <v>0</v>
      </c>
      <c r="W207" s="268" t="n"/>
      <c r="X207" s="296">
        <f>IFERROR((X206-W206)/W206,0)</f>
        <v>0</v>
      </c>
      <c r="Y207" s="296">
        <f>IFERROR((Y206-X206)/X206,0)</f>
        <v>0</v>
      </c>
      <c r="Z207" s="296">
        <f>IFERROR((Z206-Y206)/Y206,0)</f>
        <v>0</v>
      </c>
      <c r="AA207" s="296">
        <f>IFERROR((AA206-Z206)/Z206,0)</f>
        <v>0</v>
      </c>
      <c r="AB207" s="268" t="n"/>
      <c r="AC207" s="296">
        <f>IFERROR((AC206-AB206)/AB206,0)</f>
        <v>0</v>
      </c>
      <c r="AD207" s="296">
        <f>IFERROR((AD206-AC206)/AC206,0)</f>
        <v>0</v>
      </c>
      <c r="AE207" s="296">
        <f>IFERROR((AE206-AD206)/AD206,0)</f>
        <v>0</v>
      </c>
      <c r="AF207" s="267">
        <f>IFERROR((AF206-AE206)/AE206,0)</f>
        <v>0</v>
      </c>
      <c r="AG207" s="268" t="n"/>
      <c r="AH207" s="267">
        <f>IFERROR((AH206-AG206)/AG206,0)</f>
        <v>0</v>
      </c>
      <c r="AI207" s="267">
        <f>IFERROR((AI206-AH206)/AH206,0)</f>
        <v>0</v>
      </c>
      <c r="AJ207" s="267" t="n"/>
      <c r="AK207" s="267" t="n"/>
      <c r="AL207" s="268" t="n"/>
      <c r="AM207" s="267" t="n"/>
      <c r="AN207" s="267" t="n"/>
      <c r="AO207" s="267" t="n"/>
      <c r="AP207" s="267" t="n"/>
      <c r="AQ207" s="268" t="n"/>
      <c r="AR207" s="267" t="n"/>
      <c r="AS207" s="267" t="n"/>
      <c r="AT207" s="267" t="n"/>
      <c r="AU207" s="267" t="n"/>
      <c r="AV207" s="268" t="n"/>
      <c r="AW207" s="267" t="n"/>
      <c r="AX207" s="267" t="n"/>
      <c r="AY207" s="267" t="n"/>
      <c r="AZ207" s="267" t="n"/>
      <c r="BA207" s="268" t="n"/>
      <c r="BB207" s="267" t="n"/>
      <c r="BC207" s="267" t="n"/>
      <c r="BD207" s="267" t="n"/>
      <c r="BE207" s="267" t="n"/>
      <c r="BF207" s="268" t="n"/>
      <c r="BG207" s="267" t="n"/>
      <c r="BH207" s="267" t="n"/>
      <c r="BI207" s="267" t="n"/>
      <c r="BJ207" s="267" t="n"/>
      <c r="BK207" s="268" t="n"/>
      <c r="BL207" s="267" t="n"/>
      <c r="BM207" s="267" t="n"/>
      <c r="BN207" s="267" t="n"/>
      <c r="BO207" s="267" t="n"/>
      <c r="BP207" s="268" t="n"/>
      <c r="BQ207" s="267" t="n"/>
      <c r="BR207" s="267" t="n"/>
      <c r="BS207" s="267" t="n"/>
      <c r="BT207" s="267" t="n"/>
      <c r="BU207" s="268" t="n"/>
      <c r="BV207" s="267" t="n"/>
      <c r="BW207" s="267" t="n"/>
      <c r="BX207" s="267" t="n"/>
      <c r="BY207" s="267" t="n"/>
      <c r="BZ207" s="268" t="n"/>
      <c r="CA207" s="267" t="n"/>
      <c r="CB207" s="267" t="n"/>
      <c r="CC207" s="267" t="n"/>
      <c r="CD207" s="267" t="n"/>
      <c r="CE207" s="268" t="n"/>
      <c r="CF207" s="267" t="n"/>
      <c r="CG207" s="267" t="n"/>
      <c r="CH207" s="267" t="n"/>
      <c r="CI207" s="267" t="n"/>
      <c r="CJ207" s="268" t="n"/>
      <c r="CK207" s="267" t="n"/>
      <c r="CL207" s="267" t="n"/>
      <c r="CM207" s="267" t="n"/>
      <c r="CN207" s="267" t="n"/>
      <c r="CO207" s="268" t="n"/>
      <c r="CP207" s="267" t="n"/>
      <c r="CQ207" s="267" t="n"/>
      <c r="CR207" s="267" t="n"/>
      <c r="CS207" s="267" t="n"/>
      <c r="CT207" s="268" t="n"/>
      <c r="CU207" s="267" t="n"/>
      <c r="CV207" s="267" t="n"/>
      <c r="CW207" s="267" t="n"/>
      <c r="CX207" s="267" t="n"/>
      <c r="CY207" s="268" t="n"/>
    </row>
    <row r="208" hidden="1" outlineLevel="1" ht="12.75" customHeight="1" s="255">
      <c r="C208" s="312" t="n"/>
      <c r="D208" s="268" t="n"/>
      <c r="E208" s="268" t="n"/>
      <c r="F208" s="268" t="n"/>
      <c r="G208" s="268" t="n"/>
      <c r="H208" s="268" t="n"/>
      <c r="I208" s="268" t="n"/>
      <c r="J208" s="268" t="n"/>
      <c r="K208" s="268" t="n"/>
      <c r="L208" s="268" t="n"/>
      <c r="M208" s="268" t="n"/>
      <c r="N208" s="268" t="n"/>
      <c r="O208" s="268" t="n"/>
      <c r="P208" s="268" t="n"/>
      <c r="Q208" s="268" t="n"/>
      <c r="R208" s="268" t="n"/>
      <c r="S208" s="268" t="n"/>
      <c r="T208" s="268" t="n"/>
      <c r="U208" s="268" t="n"/>
      <c r="V208" s="268" t="n"/>
      <c r="W208" s="268" t="n"/>
      <c r="X208" s="268" t="n"/>
      <c r="Y208" s="268" t="n"/>
      <c r="Z208" s="268" t="n"/>
      <c r="AA208" s="268" t="n"/>
      <c r="AB208" s="268" t="n"/>
      <c r="AC208" s="268" t="n"/>
      <c r="AD208" s="268" t="n"/>
      <c r="AE208" s="268" t="n"/>
      <c r="AF208" s="268" t="n"/>
      <c r="AG208" s="268" t="n"/>
      <c r="AH208" s="268" t="n"/>
      <c r="AI208" s="268" t="n"/>
      <c r="AJ208" s="268" t="n"/>
      <c r="AK208" s="268" t="n"/>
      <c r="AL208" s="268" t="n"/>
      <c r="AM208" s="268" t="n"/>
      <c r="AN208" s="268" t="n"/>
      <c r="AO208" s="268" t="n"/>
      <c r="AP208" s="268" t="n"/>
      <c r="AQ208" s="268" t="n"/>
      <c r="AR208" s="268" t="n"/>
      <c r="AS208" s="268" t="n"/>
      <c r="AT208" s="268" t="n"/>
      <c r="AU208" s="268" t="n"/>
      <c r="AV208" s="268" t="n"/>
      <c r="AW208" s="268" t="n"/>
      <c r="AX208" s="268" t="n"/>
      <c r="AY208" s="268" t="n"/>
      <c r="AZ208" s="268" t="n"/>
      <c r="BA208" s="268" t="n"/>
      <c r="BB208" s="268" t="n"/>
      <c r="BC208" s="268" t="n"/>
      <c r="BD208" s="268" t="n"/>
      <c r="BE208" s="268" t="n"/>
      <c r="BF208" s="268" t="n"/>
      <c r="BG208" s="268" t="n"/>
      <c r="BH208" s="268" t="n"/>
      <c r="BI208" s="268" t="n"/>
      <c r="BJ208" s="268" t="n"/>
      <c r="BK208" s="268" t="n"/>
      <c r="BL208" s="268" t="n"/>
      <c r="BM208" s="268" t="n"/>
      <c r="BN208" s="268" t="n"/>
      <c r="BO208" s="268" t="n"/>
      <c r="BP208" s="268" t="n"/>
      <c r="BQ208" s="268" t="n"/>
      <c r="BR208" s="268" t="n"/>
      <c r="BS208" s="268" t="n"/>
      <c r="BT208" s="268" t="n"/>
      <c r="BU208" s="268" t="n"/>
      <c r="BV208" s="268" t="n"/>
      <c r="BW208" s="268" t="n"/>
      <c r="BX208" s="268" t="n"/>
      <c r="BY208" s="268" t="n"/>
      <c r="BZ208" s="268" t="n"/>
      <c r="CA208" s="268" t="n"/>
      <c r="CB208" s="268" t="n"/>
      <c r="CC208" s="268" t="n"/>
      <c r="CD208" s="268" t="n"/>
      <c r="CE208" s="268" t="n"/>
      <c r="CF208" s="268" t="n"/>
      <c r="CG208" s="268" t="n"/>
      <c r="CH208" s="268" t="n"/>
      <c r="CI208" s="268" t="n"/>
      <c r="CJ208" s="268" t="n"/>
      <c r="CK208" s="268" t="n"/>
      <c r="CL208" s="268" t="n"/>
      <c r="CM208" s="268" t="n"/>
      <c r="CN208" s="268" t="n"/>
      <c r="CO208" s="268" t="n"/>
      <c r="CP208" s="268" t="n"/>
      <c r="CQ208" s="268" t="n"/>
      <c r="CR208" s="268" t="n"/>
      <c r="CS208" s="268" t="n"/>
      <c r="CT208" s="268" t="n"/>
      <c r="CU208" s="268" t="n"/>
      <c r="CV208" s="268" t="n"/>
      <c r="CW208" s="268" t="n"/>
      <c r="CX208" s="268" t="n"/>
      <c r="CY208" s="268" t="n"/>
    </row>
    <row r="209" ht="12.75" customHeight="1" s="255">
      <c r="C209" s="270" t="inlineStr">
        <is>
          <t>Long term debt</t>
        </is>
      </c>
      <c r="D209" s="301">
        <f>INDEX('Inputs (2)'!$D$35:$AL$35,MATCH(D$7,'Inputs (2)'!$D$2:$AL$2,0))</f>
        <v>9829</v>
      </c>
      <c r="E209" s="301">
        <f>INDEX('Inputs (2)'!$D$35:$AL$35,MATCH(E$7,'Inputs (2)'!$D$2:$AL$2,0))</f>
        <v>9824</v>
      </c>
      <c r="F209" s="301">
        <f>INDEX('Inputs (2)'!$D$35:$AL$35,MATCH(F$7,'Inputs (2)'!$D$2:$AL$2,0))</f>
        <v>9983</v>
      </c>
      <c r="G209" s="301">
        <f>INDEX('Inputs (2)'!$D$35:$AL$35,MATCH(G$7,'Inputs (2)'!$D$2:$AL$2,0))</f>
        <v>9677</v>
      </c>
      <c r="H209" s="268">
        <f>G209</f>
        <v>9677</v>
      </c>
      <c r="I209" s="301">
        <f>INDEX('Inputs (2)'!$D$35:$AL$35,MATCH(I$7,'Inputs (2)'!$D$2:$AL$2,0))</f>
        <v>9153</v>
      </c>
      <c r="J209" s="301">
        <f>INDEX('Inputs (2)'!$D$35:$AL$35,MATCH(J$7,'Inputs (2)'!$D$2:$AL$2,0))</f>
        <v>8638</v>
      </c>
      <c r="K209" s="301">
        <f>INDEX('Inputs (2)'!$D$35:$AL$35,MATCH(K$7,'Inputs (2)'!$D$2:$AL$2,0))</f>
        <v>8768</v>
      </c>
      <c r="L209" s="301">
        <f>INDEX('Inputs (2)'!$D$35:$AL$35,MATCH(L$7,'Inputs (2)'!$D$2:$AL$2,0))</f>
        <v>9078</v>
      </c>
      <c r="M209" s="268">
        <f>L209</f>
        <v>9078</v>
      </c>
      <c r="N209" s="301">
        <f>INDEX('Inputs (2)'!$D$35:$AL$35,MATCH(N$7,'Inputs (2)'!$D$2:$AL$2,0))</f>
        <v>8256</v>
      </c>
      <c r="O209" s="301">
        <f>INDEX('Inputs (2)'!$D$35:$AL$35,MATCH(O$7,'Inputs (2)'!$D$2:$AL$2,0))</f>
        <v>10054</v>
      </c>
      <c r="P209" s="301">
        <f>INDEX('Inputs (2)'!$D$35:$AL$35,MATCH(P$7,'Inputs (2)'!$D$2:$AL$2,0))</f>
        <v>9658</v>
      </c>
      <c r="Q209" s="301">
        <f>INDEX('Inputs (2)'!$D$35:$AL$35,MATCH(Q$7,'Inputs (2)'!$D$2:$AL$2,0))</f>
        <v>9583</v>
      </c>
      <c r="R209" s="268">
        <f>Q209</f>
        <v>9583</v>
      </c>
      <c r="S209" s="301">
        <f>INDEX('Inputs (2)'!$D$35:$AL$35,MATCH(S$7,'Inputs (2)'!$D$2:$AL$2,0))</f>
        <v>9586</v>
      </c>
      <c r="T209" s="301">
        <f>INDEX('Inputs (2)'!$D$35:$AL$35,MATCH(T$7,'Inputs (2)'!$D$2:$AL$2,0))</f>
        <v>9458</v>
      </c>
      <c r="U209" s="301">
        <f>INDEX('Inputs (2)'!$D$35:$AL$35,MATCH(U$7,'Inputs (2)'!$D$2:$AL$2,0))</f>
        <v>9370</v>
      </c>
      <c r="V209" s="301">
        <f>INDEX('Inputs (2)'!$D$35:$AL$35,MATCH(V$7,'Inputs (2)'!$D$2:$AL$2,0))</f>
        <v>8656</v>
      </c>
      <c r="W209" s="268">
        <f>V209</f>
        <v>8656</v>
      </c>
      <c r="X209" s="301">
        <f>INDEX('Inputs (2)'!$D$35:$AL$35,MATCH(X$7,'Inputs (2)'!$D$2:$AL$2,0))</f>
        <v>8656</v>
      </c>
      <c r="Y209" s="301">
        <f>INDEX('Inputs (2)'!$D$35:$AL$35,MATCH(Y$7,'Inputs (2)'!$D$2:$AL$2,0))</f>
        <v>8658</v>
      </c>
      <c r="Z209" s="301">
        <f>INDEX('Inputs (2)'!$D$35:$AL$35,MATCH(Z$7,'Inputs (2)'!$D$2:$AL$2,0))</f>
        <v>8910</v>
      </c>
      <c r="AA209" s="301">
        <f>INDEX('Inputs (2)'!$D$35:$AL$35,MATCH(AA$7,'Inputs (2)'!$D$2:$AL$2,0))</f>
        <v>8907</v>
      </c>
      <c r="AB209" s="268">
        <f>AA209</f>
        <v>8907</v>
      </c>
      <c r="AC209" s="301">
        <f>INDEX('Inputs (2)'!$D$35:$AL$35,MATCH(AC$7,'Inputs (2)'!$D$2:$AL$2,0))</f>
        <v>8909</v>
      </c>
      <c r="AD209" s="301">
        <f>INDEX('Inputs (2)'!$D$35:$AL$35,MATCH(AD$7,'Inputs (2)'!$D$2:$AL$2,0))</f>
        <v>8913</v>
      </c>
      <c r="AE209" s="301">
        <f>INDEX('Inputs (2)'!$D$35:$AL$35,MATCH(AE$7,'Inputs (2)'!$D$2:$AL$2,0))</f>
        <v>8915</v>
      </c>
      <c r="AF209" s="301">
        <f>INDEX('Inputs (2)'!$D$35:$AL$35,MATCH(AF$7,'Inputs (2)'!$D$2:$AL$2,0))</f>
        <v>8913</v>
      </c>
      <c r="AG209" s="268">
        <f>AF209</f>
        <v>8913</v>
      </c>
      <c r="AH209" s="268">
        <f>INDEX('Inputs (2)'!$D$35:$AL$35,MATCH(AH$7,'Inputs (2)'!$D$2:$AL$2,0))</f>
        <v>8914</v>
      </c>
      <c r="AI209" s="268">
        <f>INDEX('Inputs (2)'!$D$35:$AL$35,MATCH(AI$7,'Inputs (2)'!$D$2:$AL$2,0))</f>
        <v>8166</v>
      </c>
      <c r="AJ209" s="268">
        <f>AJ215</f>
        <v>8166</v>
      </c>
      <c r="AK209" s="268">
        <f>AK215</f>
        <v>8166</v>
      </c>
      <c r="AL209" s="268">
        <f>AK209</f>
        <v>8166</v>
      </c>
      <c r="AM209" s="268">
        <f>AM215</f>
        <v>8166</v>
      </c>
      <c r="AN209" s="268">
        <f>AN215</f>
        <v>8166</v>
      </c>
      <c r="AO209" s="268">
        <f>AO215</f>
        <v>8166</v>
      </c>
      <c r="AP209" s="268">
        <f>AP215</f>
        <v>8166</v>
      </c>
      <c r="AQ209" s="268">
        <f>AP209</f>
        <v>8166</v>
      </c>
      <c r="AR209" s="268">
        <f>AR215</f>
        <v>8166</v>
      </c>
      <c r="AS209" s="268">
        <f>AS215</f>
        <v>8166</v>
      </c>
      <c r="AT209" s="268">
        <f>AT215</f>
        <v>8166</v>
      </c>
      <c r="AU209" s="268">
        <f>AU215</f>
        <v>8166</v>
      </c>
      <c r="AV209" s="268">
        <f>AU209</f>
        <v>8166</v>
      </c>
      <c r="AW209" s="268">
        <f>AW215</f>
        <v>8166</v>
      </c>
      <c r="AX209" s="268">
        <f>AX215</f>
        <v>8166</v>
      </c>
      <c r="AY209" s="268">
        <f>AY215</f>
        <v>8166</v>
      </c>
      <c r="AZ209" s="268">
        <f>AZ215</f>
        <v>8166</v>
      </c>
      <c r="BA209" s="268">
        <f>AZ209</f>
        <v>8166</v>
      </c>
      <c r="BB209" s="268">
        <f>BB215</f>
        <v>8166</v>
      </c>
      <c r="BC209" s="268">
        <f>BC215</f>
        <v>8166</v>
      </c>
      <c r="BD209" s="268">
        <f>BD215</f>
        <v>8166</v>
      </c>
      <c r="BE209" s="268">
        <f>BE215</f>
        <v>8166</v>
      </c>
      <c r="BF209" s="268">
        <f>BE209</f>
        <v>8166</v>
      </c>
      <c r="BG209" s="268">
        <f>BG215</f>
        <v>8166</v>
      </c>
      <c r="BH209" s="268">
        <f>BH215</f>
        <v>8166</v>
      </c>
      <c r="BI209" s="268">
        <f>BI215</f>
        <v>8166</v>
      </c>
      <c r="BJ209" s="268">
        <f>BJ215</f>
        <v>8166</v>
      </c>
      <c r="BK209" s="268">
        <f>BJ209</f>
        <v>8166</v>
      </c>
      <c r="BL209" s="268">
        <f>BL215</f>
        <v>8166</v>
      </c>
      <c r="BM209" s="268">
        <f>BM215</f>
        <v>8166</v>
      </c>
      <c r="BN209" s="268">
        <f>BN215</f>
        <v>8166</v>
      </c>
      <c r="BO209" s="268">
        <f>BO215</f>
        <v>8166</v>
      </c>
      <c r="BP209" s="268">
        <f>BO209</f>
        <v>8166</v>
      </c>
      <c r="BQ209" s="268">
        <f>BQ215</f>
        <v>8166</v>
      </c>
      <c r="BR209" s="268">
        <f>BR215</f>
        <v>8166</v>
      </c>
      <c r="BS209" s="268">
        <f>BS215</f>
        <v>8166</v>
      </c>
      <c r="BT209" s="268">
        <f>BT215</f>
        <v>8166</v>
      </c>
      <c r="BU209" s="268">
        <f>BT209</f>
        <v>8166</v>
      </c>
      <c r="BV209" s="268">
        <f>BV215</f>
        <v>8166</v>
      </c>
      <c r="BW209" s="268">
        <f>BW215</f>
        <v>8166</v>
      </c>
      <c r="BX209" s="268">
        <f>BX215</f>
        <v>8166</v>
      </c>
      <c r="BY209" s="268">
        <f>BY215</f>
        <v>8166</v>
      </c>
      <c r="BZ209" s="268">
        <f>BY209</f>
        <v>8166</v>
      </c>
      <c r="CA209" s="268">
        <f>CA215</f>
        <v>8166</v>
      </c>
      <c r="CB209" s="268">
        <f>CB215</f>
        <v>8166</v>
      </c>
      <c r="CC209" s="268">
        <f>CC215</f>
        <v>8166</v>
      </c>
      <c r="CD209" s="268">
        <f>CD215</f>
        <v>8166</v>
      </c>
      <c r="CE209" s="268">
        <f>CD209</f>
        <v>8166</v>
      </c>
      <c r="CF209" s="268">
        <f>CF215</f>
        <v>8166</v>
      </c>
      <c r="CG209" s="268">
        <f>CG215</f>
        <v>8166</v>
      </c>
      <c r="CH209" s="268">
        <f>CH215</f>
        <v>8166</v>
      </c>
      <c r="CI209" s="268">
        <f>CI215</f>
        <v>8166</v>
      </c>
      <c r="CJ209" s="268">
        <f>CI209</f>
        <v>8166</v>
      </c>
      <c r="CK209" s="268">
        <f>CK215</f>
        <v>8166</v>
      </c>
      <c r="CL209" s="268">
        <f>CL215</f>
        <v>8166</v>
      </c>
      <c r="CM209" s="268">
        <f>CM215</f>
        <v>8166</v>
      </c>
      <c r="CN209" s="268">
        <f>CN215</f>
        <v>8166</v>
      </c>
      <c r="CO209" s="268">
        <f>CN209</f>
        <v>8166</v>
      </c>
      <c r="CP209" s="268">
        <f>CP215</f>
        <v>8166</v>
      </c>
      <c r="CQ209" s="268">
        <f>CQ215</f>
        <v>8166</v>
      </c>
      <c r="CR209" s="268">
        <f>CR215</f>
        <v>8166</v>
      </c>
      <c r="CS209" s="268">
        <f>CS215</f>
        <v>8166</v>
      </c>
      <c r="CT209" s="268">
        <f>CS209</f>
        <v>8166</v>
      </c>
      <c r="CU209" s="268">
        <f>CU215</f>
        <v>8166</v>
      </c>
      <c r="CV209" s="268">
        <f>CV215</f>
        <v>8166</v>
      </c>
      <c r="CW209" s="268">
        <f>CW215</f>
        <v>8166</v>
      </c>
      <c r="CX209" s="268">
        <f>CX215</f>
        <v>8166</v>
      </c>
      <c r="CY209" s="268">
        <f>CX209</f>
        <v>8166</v>
      </c>
    </row>
    <row r="210" hidden="1" outlineLevel="1" ht="12.75" customHeight="1" s="255">
      <c r="C210" s="312" t="n"/>
      <c r="D210" s="268" t="n"/>
      <c r="E210" s="268" t="n"/>
      <c r="F210" s="268" t="n"/>
      <c r="G210" s="268" t="n"/>
      <c r="H210" s="268" t="n"/>
      <c r="I210" s="268" t="n"/>
      <c r="J210" s="268" t="n"/>
      <c r="K210" s="268" t="n"/>
      <c r="L210" s="268" t="n"/>
      <c r="M210" s="268" t="n"/>
      <c r="N210" s="268" t="n"/>
      <c r="O210" s="268" t="n"/>
      <c r="P210" s="268" t="n"/>
      <c r="Q210" s="268" t="n"/>
      <c r="R210" s="268" t="n"/>
      <c r="S210" s="268" t="n"/>
      <c r="T210" s="268" t="n"/>
      <c r="U210" s="268" t="n"/>
      <c r="V210" s="268" t="n"/>
      <c r="W210" s="268" t="n"/>
      <c r="X210" s="268" t="n"/>
      <c r="Y210" s="268" t="n"/>
      <c r="Z210" s="268" t="n"/>
      <c r="AA210" s="268" t="n"/>
      <c r="AB210" s="268" t="n"/>
      <c r="AC210" s="268" t="n"/>
      <c r="AD210" s="268" t="n"/>
      <c r="AE210" s="268" t="n"/>
      <c r="AF210" s="268" t="n"/>
      <c r="AG210" s="268" t="n"/>
      <c r="AH210" s="268" t="n"/>
      <c r="AI210" s="268" t="n"/>
      <c r="AJ210" s="268" t="n"/>
      <c r="AK210" s="268" t="n"/>
      <c r="AL210" s="268" t="n"/>
      <c r="AM210" s="268" t="n"/>
      <c r="AN210" s="268" t="n"/>
      <c r="AO210" s="268" t="n"/>
      <c r="AP210" s="268" t="n"/>
      <c r="AQ210" s="268" t="n"/>
      <c r="AR210" s="268" t="n"/>
      <c r="AS210" s="268" t="n"/>
      <c r="AT210" s="268" t="n"/>
      <c r="AU210" s="268" t="n"/>
      <c r="AV210" s="268" t="n"/>
      <c r="AW210" s="268" t="n"/>
      <c r="AX210" s="268" t="n"/>
      <c r="AY210" s="268" t="n"/>
      <c r="AZ210" s="268" t="n"/>
      <c r="BA210" s="268" t="n"/>
      <c r="BB210" s="268" t="n"/>
      <c r="BC210" s="268" t="n"/>
      <c r="BD210" s="268" t="n"/>
      <c r="BE210" s="268" t="n"/>
      <c r="BF210" s="268" t="n"/>
      <c r="BG210" s="268" t="n"/>
      <c r="BH210" s="268" t="n"/>
      <c r="BI210" s="268" t="n"/>
      <c r="BJ210" s="268" t="n"/>
      <c r="BK210" s="268" t="n"/>
      <c r="BL210" s="268" t="n"/>
      <c r="BM210" s="268" t="n"/>
      <c r="BN210" s="268" t="n"/>
      <c r="BO210" s="268" t="n"/>
      <c r="BP210" s="268" t="n"/>
      <c r="BQ210" s="268" t="n"/>
      <c r="BR210" s="268" t="n"/>
      <c r="BS210" s="268" t="n"/>
      <c r="BT210" s="268" t="n"/>
      <c r="BU210" s="268" t="n"/>
      <c r="BV210" s="268" t="n"/>
      <c r="BW210" s="268" t="n"/>
      <c r="BX210" s="268" t="n"/>
      <c r="BY210" s="268" t="n"/>
      <c r="BZ210" s="268" t="n"/>
      <c r="CA210" s="268" t="n"/>
      <c r="CB210" s="268" t="n"/>
      <c r="CC210" s="268" t="n"/>
      <c r="CD210" s="268" t="n"/>
      <c r="CE210" s="268" t="n"/>
      <c r="CF210" s="268" t="n"/>
      <c r="CG210" s="268" t="n"/>
      <c r="CH210" s="268" t="n"/>
      <c r="CI210" s="268" t="n"/>
      <c r="CJ210" s="268" t="n"/>
      <c r="CK210" s="268" t="n"/>
      <c r="CL210" s="268" t="n"/>
      <c r="CM210" s="268" t="n"/>
      <c r="CN210" s="268" t="n"/>
      <c r="CO210" s="268" t="n"/>
      <c r="CP210" s="268" t="n"/>
      <c r="CQ210" s="268" t="n"/>
      <c r="CR210" s="268" t="n"/>
      <c r="CS210" s="268" t="n"/>
      <c r="CT210" s="268" t="n"/>
      <c r="CU210" s="268" t="n"/>
      <c r="CV210" s="268" t="n"/>
      <c r="CW210" s="268" t="n"/>
      <c r="CX210" s="268" t="n"/>
      <c r="CY210" s="268" t="n"/>
    </row>
    <row r="211" hidden="1" outlineLevel="1" ht="12.75" customHeight="1" s="255">
      <c r="C211" s="312" t="inlineStr">
        <is>
          <t>Current portion of LTD</t>
        </is>
      </c>
      <c r="D211" s="268" t="n"/>
      <c r="E211" s="268" t="n"/>
      <c r="F211" s="268" t="n"/>
      <c r="G211" s="268" t="n"/>
      <c r="H211" s="268" t="n"/>
      <c r="I211" s="268" t="n"/>
      <c r="J211" s="268" t="n"/>
      <c r="K211" s="268" t="n"/>
      <c r="L211" s="268" t="n"/>
      <c r="M211" s="268" t="n"/>
      <c r="N211" s="268" t="n"/>
      <c r="O211" s="268" t="n"/>
      <c r="P211" s="268" t="n"/>
      <c r="Q211" s="268" t="n"/>
      <c r="R211" s="268" t="n"/>
      <c r="S211" s="268" t="n"/>
      <c r="T211" s="268" t="n"/>
      <c r="U211" s="268" t="n"/>
      <c r="V211" s="268" t="n"/>
      <c r="W211" s="268" t="n"/>
      <c r="X211" s="268" t="n"/>
      <c r="Y211" s="268" t="n"/>
      <c r="Z211" s="268" t="n"/>
      <c r="AA211" s="268" t="n"/>
      <c r="AB211" s="268" t="n"/>
      <c r="AC211" s="268" t="n"/>
      <c r="AD211" s="268" t="n"/>
      <c r="AE211" s="268" t="n"/>
      <c r="AF211" s="268" t="n"/>
      <c r="AG211" s="268" t="n"/>
      <c r="AH211" s="268">
        <f>AF204</f>
        <v>466</v>
      </c>
      <c r="AI211" s="317" t="n"/>
      <c r="AJ211" s="317" t="n"/>
      <c r="AK211" s="317" t="n"/>
      <c r="AL211" s="268" t="n"/>
      <c r="AM211" s="268">
        <f>AK204</f>
        <v>1220</v>
      </c>
      <c r="AN211" s="317" t="n"/>
      <c r="AO211" s="317" t="n"/>
      <c r="AP211" s="317" t="n"/>
      <c r="AQ211" s="268" t="n"/>
      <c r="AR211" s="268">
        <f>AP204</f>
        <v>1220</v>
      </c>
      <c r="AS211" s="317" t="n"/>
      <c r="AT211" s="317" t="n"/>
      <c r="AU211" s="317" t="n"/>
      <c r="AV211" s="268" t="n"/>
      <c r="AW211" s="268">
        <f>AU204</f>
        <v>1220</v>
      </c>
      <c r="AX211" s="317" t="n"/>
      <c r="AY211" s="317" t="n"/>
      <c r="AZ211" s="317" t="n"/>
      <c r="BA211" s="268" t="n"/>
      <c r="BB211" s="268">
        <f>AZ204</f>
        <v>1220</v>
      </c>
      <c r="BC211" s="317" t="n"/>
      <c r="BD211" s="317" t="n"/>
      <c r="BE211" s="317" t="n"/>
      <c r="BF211" s="268" t="n"/>
      <c r="BG211" s="268">
        <f>BE204</f>
        <v>1220</v>
      </c>
      <c r="BH211" s="317" t="n"/>
      <c r="BI211" s="317" t="n"/>
      <c r="BJ211" s="317" t="n"/>
      <c r="BK211" s="268" t="n"/>
      <c r="BL211" s="268">
        <f>BJ204</f>
        <v>1220</v>
      </c>
      <c r="BM211" s="317" t="n"/>
      <c r="BN211" s="317" t="n"/>
      <c r="BO211" s="317" t="n"/>
      <c r="BP211" s="268" t="n"/>
      <c r="BQ211" s="268">
        <f>BO204</f>
        <v>1220</v>
      </c>
      <c r="BR211" s="317" t="n"/>
      <c r="BS211" s="317" t="n"/>
      <c r="BT211" s="317" t="n"/>
      <c r="BU211" s="268" t="n"/>
      <c r="BV211" s="268">
        <f>BT204</f>
        <v>1220</v>
      </c>
      <c r="BW211" s="317" t="n"/>
      <c r="BX211" s="317" t="n"/>
      <c r="BY211" s="317" t="n"/>
      <c r="BZ211" s="268" t="n"/>
      <c r="CA211" s="268">
        <f>BY204</f>
        <v>1220</v>
      </c>
      <c r="CB211" s="317" t="n"/>
      <c r="CC211" s="317" t="n"/>
      <c r="CD211" s="317" t="n"/>
      <c r="CE211" s="268" t="n"/>
      <c r="CF211" s="268">
        <f>CD204</f>
        <v>1220</v>
      </c>
      <c r="CG211" s="317" t="n"/>
      <c r="CH211" s="317" t="n"/>
      <c r="CI211" s="317" t="n"/>
      <c r="CJ211" s="268" t="n"/>
      <c r="CK211" s="268">
        <f>CI204</f>
        <v>1220</v>
      </c>
      <c r="CL211" s="317" t="n"/>
      <c r="CM211" s="317" t="n"/>
      <c r="CN211" s="317" t="n"/>
      <c r="CO211" s="268" t="n"/>
      <c r="CP211" s="268">
        <f>CN204</f>
        <v>1220</v>
      </c>
      <c r="CQ211" s="317" t="n"/>
      <c r="CR211" s="317" t="n"/>
      <c r="CS211" s="317" t="n"/>
      <c r="CT211" s="268" t="n"/>
      <c r="CU211" s="268">
        <f>CS204</f>
        <v>1220</v>
      </c>
      <c r="CV211" s="317" t="n"/>
      <c r="CW211" s="317" t="n"/>
      <c r="CX211" s="317" t="n"/>
      <c r="CY211" s="268" t="n"/>
    </row>
    <row r="212" hidden="1" outlineLevel="1" ht="12.75" customHeight="1" s="255">
      <c r="C212" s="312" t="n"/>
      <c r="D212" s="268" t="n"/>
      <c r="E212" s="268" t="n"/>
      <c r="F212" s="268" t="n"/>
      <c r="G212" s="268" t="n"/>
      <c r="H212" s="268" t="n"/>
      <c r="I212" s="268" t="n"/>
      <c r="J212" s="268" t="n"/>
      <c r="K212" s="268" t="n"/>
      <c r="L212" s="268" t="n"/>
      <c r="M212" s="268" t="n"/>
      <c r="N212" s="268" t="n"/>
      <c r="O212" s="268" t="n"/>
      <c r="P212" s="268" t="n"/>
      <c r="Q212" s="268" t="n"/>
      <c r="R212" s="268" t="n"/>
      <c r="S212" s="268" t="n"/>
      <c r="T212" s="268" t="n"/>
      <c r="U212" s="268" t="n"/>
      <c r="V212" s="268" t="n"/>
      <c r="W212" s="268" t="n"/>
      <c r="X212" s="268" t="n"/>
      <c r="Y212" s="268" t="n"/>
      <c r="Z212" s="268" t="n"/>
      <c r="AA212" s="268" t="n"/>
      <c r="AB212" s="268" t="n"/>
      <c r="AC212" s="268" t="n"/>
      <c r="AD212" s="268" t="n"/>
      <c r="AE212" s="268" t="n"/>
      <c r="AF212" s="268" t="n"/>
      <c r="AG212" s="268" t="n"/>
      <c r="AH212" s="268" t="n"/>
      <c r="AI212" s="268" t="n"/>
      <c r="AJ212" s="268" t="n"/>
      <c r="AK212" s="268" t="n"/>
      <c r="AL212" s="268" t="n"/>
      <c r="AM212" s="268" t="n"/>
      <c r="AN212" s="268" t="n"/>
      <c r="AO212" s="268" t="n"/>
      <c r="AP212" s="268" t="n"/>
      <c r="AQ212" s="268" t="n"/>
      <c r="AR212" s="268" t="n"/>
      <c r="AS212" s="268" t="n"/>
      <c r="AT212" s="268" t="n"/>
      <c r="AU212" s="268" t="n"/>
      <c r="AV212" s="268" t="n"/>
      <c r="AW212" s="268" t="n"/>
      <c r="AX212" s="268" t="n"/>
      <c r="AY212" s="268" t="n"/>
      <c r="AZ212" s="268" t="n"/>
      <c r="BA212" s="268" t="n"/>
      <c r="BB212" s="268" t="n"/>
      <c r="BC212" s="268" t="n"/>
      <c r="BD212" s="268" t="n"/>
      <c r="BE212" s="268" t="n"/>
      <c r="BF212" s="268" t="n"/>
      <c r="BG212" s="268" t="n"/>
      <c r="BH212" s="268" t="n"/>
      <c r="BI212" s="268" t="n"/>
      <c r="BJ212" s="268" t="n"/>
      <c r="BK212" s="268" t="n"/>
      <c r="BL212" s="268" t="n"/>
      <c r="BM212" s="268" t="n"/>
      <c r="BN212" s="268" t="n"/>
      <c r="BO212" s="268" t="n"/>
      <c r="BP212" s="268" t="n"/>
      <c r="BQ212" s="268" t="n"/>
      <c r="BR212" s="268" t="n"/>
      <c r="BS212" s="268" t="n"/>
      <c r="BT212" s="268" t="n"/>
      <c r="BU212" s="268" t="n"/>
      <c r="BV212" s="268" t="n"/>
      <c r="BW212" s="268" t="n"/>
      <c r="BX212" s="268" t="n"/>
      <c r="BY212" s="268" t="n"/>
      <c r="BZ212" s="268" t="n"/>
      <c r="CA212" s="268" t="n"/>
      <c r="CB212" s="268" t="n"/>
      <c r="CC212" s="268" t="n"/>
      <c r="CD212" s="268" t="n"/>
      <c r="CE212" s="268" t="n"/>
      <c r="CF212" s="268" t="n"/>
      <c r="CG212" s="268" t="n"/>
      <c r="CH212" s="268" t="n"/>
      <c r="CI212" s="268" t="n"/>
      <c r="CJ212" s="268" t="n"/>
      <c r="CK212" s="268" t="n"/>
      <c r="CL212" s="268" t="n"/>
      <c r="CM212" s="268" t="n"/>
      <c r="CN212" s="268" t="n"/>
      <c r="CO212" s="268" t="n"/>
      <c r="CP212" s="268" t="n"/>
      <c r="CQ212" s="268" t="n"/>
      <c r="CR212" s="268" t="n"/>
      <c r="CS212" s="268" t="n"/>
      <c r="CT212" s="268" t="n"/>
      <c r="CU212" s="268" t="n"/>
      <c r="CV212" s="268" t="n"/>
      <c r="CW212" s="268" t="n"/>
      <c r="CX212" s="268" t="n"/>
      <c r="CY212" s="268" t="n"/>
    </row>
    <row r="213" hidden="1" outlineLevel="1" ht="12.75" customHeight="1" s="255">
      <c r="C213" s="312" t="inlineStr">
        <is>
          <t>Reclassification of LTD to CP of LTD</t>
        </is>
      </c>
      <c r="D213" s="268" t="n"/>
      <c r="E213" s="268" t="n"/>
      <c r="F213" s="268" t="n"/>
      <c r="G213" s="268" t="n"/>
      <c r="H213" s="268" t="n"/>
      <c r="I213" s="268" t="n"/>
      <c r="J213" s="268" t="n"/>
      <c r="K213" s="268" t="n"/>
      <c r="L213" s="268" t="n"/>
      <c r="M213" s="268" t="n"/>
      <c r="N213" s="268" t="n"/>
      <c r="O213" s="268" t="n"/>
      <c r="P213" s="268" t="n"/>
      <c r="Q213" s="268" t="n"/>
      <c r="R213" s="268" t="n"/>
      <c r="S213" s="268" t="n"/>
      <c r="T213" s="268" t="n"/>
      <c r="U213" s="268" t="n"/>
      <c r="V213" s="268" t="n"/>
      <c r="W213" s="268" t="n"/>
      <c r="X213" s="268" t="n"/>
      <c r="Y213" s="268" t="n"/>
      <c r="Z213" s="268" t="n"/>
      <c r="AA213" s="268" t="n"/>
      <c r="AB213" s="268" t="n"/>
      <c r="AC213" s="268" t="n"/>
      <c r="AD213" s="268" t="n"/>
      <c r="AE213" s="268" t="n"/>
      <c r="AF213" s="268" t="n"/>
      <c r="AG213" s="268" t="n"/>
      <c r="AH213" s="268" t="n"/>
      <c r="AI213" s="268">
        <f>-AI211</f>
        <v>0</v>
      </c>
      <c r="AJ213" s="268">
        <f>-AJ211</f>
        <v>0</v>
      </c>
      <c r="AK213" s="268">
        <f>-AK211</f>
        <v>0</v>
      </c>
      <c r="AL213" s="268" t="n"/>
      <c r="AM213" s="268" t="n"/>
      <c r="AN213" s="268">
        <f>-AN211</f>
        <v>0</v>
      </c>
      <c r="AO213" s="268">
        <f>-AO211</f>
        <v>0</v>
      </c>
      <c r="AP213" s="268">
        <f>-AP211</f>
        <v>0</v>
      </c>
      <c r="AQ213" s="268" t="n"/>
      <c r="AR213" s="268" t="n"/>
      <c r="AS213" s="268">
        <f>-AS211</f>
        <v>0</v>
      </c>
      <c r="AT213" s="268">
        <f>-AT211</f>
        <v>0</v>
      </c>
      <c r="AU213" s="268">
        <f>-AU211</f>
        <v>0</v>
      </c>
      <c r="AV213" s="268" t="n"/>
      <c r="AW213" s="268" t="n"/>
      <c r="AX213" s="268">
        <f>-AX211</f>
        <v>0</v>
      </c>
      <c r="AY213" s="268">
        <f>-AY211</f>
        <v>0</v>
      </c>
      <c r="AZ213" s="268">
        <f>-AZ211</f>
        <v>0</v>
      </c>
      <c r="BA213" s="268" t="n"/>
      <c r="BB213" s="268" t="n"/>
      <c r="BC213" s="268">
        <f>-BC211</f>
        <v>0</v>
      </c>
      <c r="BD213" s="268">
        <f>-BD211</f>
        <v>0</v>
      </c>
      <c r="BE213" s="268">
        <f>-BE211</f>
        <v>0</v>
      </c>
      <c r="BF213" s="268" t="n"/>
      <c r="BG213" s="268" t="n"/>
      <c r="BH213" s="268">
        <f>-BH211</f>
        <v>0</v>
      </c>
      <c r="BI213" s="268">
        <f>-BI211</f>
        <v>0</v>
      </c>
      <c r="BJ213" s="268">
        <f>-BJ211</f>
        <v>0</v>
      </c>
      <c r="BK213" s="268" t="n"/>
      <c r="BL213" s="268" t="n"/>
      <c r="BM213" s="268">
        <f>-BM211</f>
        <v>0</v>
      </c>
      <c r="BN213" s="268">
        <f>-BN211</f>
        <v>0</v>
      </c>
      <c r="BO213" s="268">
        <f>-BO211</f>
        <v>0</v>
      </c>
      <c r="BP213" s="268" t="n"/>
      <c r="BQ213" s="268" t="n"/>
      <c r="BR213" s="268">
        <f>-BR211</f>
        <v>0</v>
      </c>
      <c r="BS213" s="268">
        <f>-BS211</f>
        <v>0</v>
      </c>
      <c r="BT213" s="268">
        <f>-BT211</f>
        <v>0</v>
      </c>
      <c r="BU213" s="268" t="n"/>
      <c r="BV213" s="268" t="n"/>
      <c r="BW213" s="268">
        <f>-BW211</f>
        <v>0</v>
      </c>
      <c r="BX213" s="268">
        <f>-BX211</f>
        <v>0</v>
      </c>
      <c r="BY213" s="268">
        <f>-BY211</f>
        <v>0</v>
      </c>
      <c r="BZ213" s="268" t="n"/>
      <c r="CA213" s="268" t="n"/>
      <c r="CB213" s="268">
        <f>-CB211</f>
        <v>0</v>
      </c>
      <c r="CC213" s="268">
        <f>-CC211</f>
        <v>0</v>
      </c>
      <c r="CD213" s="268">
        <f>-CD211</f>
        <v>0</v>
      </c>
      <c r="CE213" s="268" t="n"/>
      <c r="CF213" s="268" t="n"/>
      <c r="CG213" s="268">
        <f>-CG211</f>
        <v>0</v>
      </c>
      <c r="CH213" s="268">
        <f>-CH211</f>
        <v>0</v>
      </c>
      <c r="CI213" s="268">
        <f>-CI211</f>
        <v>0</v>
      </c>
      <c r="CJ213" s="268" t="n"/>
      <c r="CK213" s="268" t="n"/>
      <c r="CL213" s="268">
        <f>-CL211</f>
        <v>0</v>
      </c>
      <c r="CM213" s="268">
        <f>-CM211</f>
        <v>0</v>
      </c>
      <c r="CN213" s="268">
        <f>-CN211</f>
        <v>0</v>
      </c>
      <c r="CO213" s="268" t="n"/>
      <c r="CP213" s="268" t="n"/>
      <c r="CQ213" s="268">
        <f>-CQ211</f>
        <v>0</v>
      </c>
      <c r="CR213" s="268">
        <f>-CR211</f>
        <v>0</v>
      </c>
      <c r="CS213" s="268">
        <f>-CS211</f>
        <v>0</v>
      </c>
      <c r="CT213" s="268" t="n"/>
      <c r="CU213" s="268" t="n"/>
      <c r="CV213" s="268">
        <f>-CV211</f>
        <v>0</v>
      </c>
      <c r="CW213" s="268">
        <f>-CW211</f>
        <v>0</v>
      </c>
      <c r="CX213" s="268">
        <f>-CX211</f>
        <v>0</v>
      </c>
      <c r="CY213" s="268" t="n"/>
    </row>
    <row r="214" hidden="1" outlineLevel="1" ht="12.75" customHeight="1" s="255">
      <c r="C214" s="312" t="inlineStr">
        <is>
          <t>Discretionary (paydown)/borrowing of long term debt</t>
        </is>
      </c>
      <c r="D214" s="268" t="n"/>
      <c r="E214" s="268" t="n"/>
      <c r="F214" s="268" t="n"/>
      <c r="G214" s="268" t="n"/>
      <c r="H214" s="268" t="n"/>
      <c r="I214" s="268" t="n"/>
      <c r="J214" s="268" t="n"/>
      <c r="K214" s="268" t="n"/>
      <c r="L214" s="268" t="n"/>
      <c r="M214" s="268" t="n"/>
      <c r="N214" s="268" t="n"/>
      <c r="O214" s="268" t="n"/>
      <c r="P214" s="268" t="n"/>
      <c r="Q214" s="268" t="n"/>
      <c r="R214" s="268" t="n"/>
      <c r="S214" s="268" t="n"/>
      <c r="T214" s="268" t="n"/>
      <c r="U214" s="268" t="n"/>
      <c r="V214" s="268" t="n"/>
      <c r="W214" s="268" t="n"/>
      <c r="X214" s="268" t="n"/>
      <c r="Y214" s="268" t="n"/>
      <c r="Z214" s="268" t="n"/>
      <c r="AA214" s="268" t="n"/>
      <c r="AB214" s="268" t="n"/>
      <c r="AC214" s="268" t="n"/>
      <c r="AD214" s="268" t="n"/>
      <c r="AE214" s="268" t="n"/>
      <c r="AF214" s="268" t="n"/>
      <c r="AG214" s="268" t="n"/>
      <c r="AH214" s="317" t="n"/>
      <c r="AI214" s="317" t="n"/>
      <c r="AJ214" s="317" t="n"/>
      <c r="AK214" s="317" t="n"/>
      <c r="AL214" s="268" t="n"/>
      <c r="AM214" s="317" t="n"/>
      <c r="AN214" s="317" t="n"/>
      <c r="AO214" s="317" t="n"/>
      <c r="AP214" s="317" t="n"/>
      <c r="AQ214" s="268" t="n"/>
      <c r="AR214" s="317" t="n"/>
      <c r="AS214" s="317" t="n"/>
      <c r="AT214" s="317" t="n"/>
      <c r="AU214" s="317" t="n"/>
      <c r="AV214" s="268" t="n"/>
      <c r="AW214" s="317" t="n"/>
      <c r="AX214" s="317" t="n"/>
      <c r="AY214" s="317" t="n"/>
      <c r="AZ214" s="317" t="n"/>
      <c r="BA214" s="268" t="n"/>
      <c r="BB214" s="317" t="n"/>
      <c r="BC214" s="317" t="n"/>
      <c r="BD214" s="317" t="n"/>
      <c r="BE214" s="317" t="n"/>
      <c r="BF214" s="268" t="n"/>
      <c r="BG214" s="317" t="n"/>
      <c r="BH214" s="317" t="n"/>
      <c r="BI214" s="317" t="n"/>
      <c r="BJ214" s="317" t="n"/>
      <c r="BK214" s="268" t="n"/>
      <c r="BL214" s="317" t="n"/>
      <c r="BM214" s="317" t="n"/>
      <c r="BN214" s="317" t="n"/>
      <c r="BO214" s="317" t="n"/>
      <c r="BP214" s="268" t="n"/>
      <c r="BQ214" s="317" t="n"/>
      <c r="BR214" s="317" t="n"/>
      <c r="BS214" s="317" t="n"/>
      <c r="BT214" s="317" t="n"/>
      <c r="BU214" s="268" t="n"/>
      <c r="BV214" s="317" t="n"/>
      <c r="BW214" s="317" t="n"/>
      <c r="BX214" s="317" t="n"/>
      <c r="BY214" s="317" t="n"/>
      <c r="BZ214" s="268" t="n"/>
      <c r="CA214" s="317" t="n"/>
      <c r="CB214" s="317" t="n"/>
      <c r="CC214" s="317" t="n"/>
      <c r="CD214" s="317" t="n"/>
      <c r="CE214" s="268" t="n"/>
      <c r="CF214" s="317" t="n"/>
      <c r="CG214" s="317" t="n"/>
      <c r="CH214" s="317" t="n"/>
      <c r="CI214" s="317" t="n"/>
      <c r="CJ214" s="268" t="n"/>
      <c r="CK214" s="317" t="n"/>
      <c r="CL214" s="317" t="n"/>
      <c r="CM214" s="317" t="n"/>
      <c r="CN214" s="317" t="n"/>
      <c r="CO214" s="268" t="n"/>
      <c r="CP214" s="317" t="n"/>
      <c r="CQ214" s="317" t="n"/>
      <c r="CR214" s="317" t="n"/>
      <c r="CS214" s="317" t="n"/>
      <c r="CT214" s="268" t="n"/>
      <c r="CU214" s="317" t="n"/>
      <c r="CV214" s="317" t="n"/>
      <c r="CW214" s="317" t="n"/>
      <c r="CX214" s="317" t="n"/>
      <c r="CY214" s="268" t="n"/>
    </row>
    <row r="215" hidden="1" outlineLevel="1" ht="12.75" customHeight="1" s="255">
      <c r="C215" s="312" t="inlineStr">
        <is>
          <t>Long term debt</t>
        </is>
      </c>
      <c r="D215" s="268" t="n"/>
      <c r="E215" s="268" t="n"/>
      <c r="F215" s="268" t="n"/>
      <c r="G215" s="268" t="n"/>
      <c r="H215" s="268" t="n"/>
      <c r="I215" s="268" t="n"/>
      <c r="J215" s="268" t="n"/>
      <c r="K215" s="268" t="n"/>
      <c r="L215" s="268" t="n"/>
      <c r="M215" s="268" t="n"/>
      <c r="N215" s="268" t="n"/>
      <c r="O215" s="268" t="n"/>
      <c r="P215" s="268" t="n"/>
      <c r="Q215" s="268" t="n"/>
      <c r="R215" s="268" t="n"/>
      <c r="S215" s="268" t="n"/>
      <c r="T215" s="268" t="n"/>
      <c r="U215" s="268" t="n"/>
      <c r="V215" s="268" t="n"/>
      <c r="W215" s="268" t="n"/>
      <c r="X215" s="268" t="n"/>
      <c r="Y215" s="268" t="n"/>
      <c r="Z215" s="268" t="n"/>
      <c r="AA215" s="268" t="n"/>
      <c r="AB215" s="268" t="n"/>
      <c r="AC215" s="268" t="n"/>
      <c r="AD215" s="268" t="n"/>
      <c r="AE215" s="268" t="n"/>
      <c r="AF215" s="268" t="n"/>
      <c r="AG215" s="268" t="n"/>
      <c r="AH215" s="268">
        <f>AF209+SUM(AH213:AH214)</f>
        <v>8913</v>
      </c>
      <c r="AI215" s="268">
        <f>AH215+SUM(AI213:AI214)</f>
        <v>8913</v>
      </c>
      <c r="AJ215" s="268">
        <f>AI209+SUM(AJ213:AJ214)</f>
        <v>8166</v>
      </c>
      <c r="AK215" s="268">
        <f>AJ215+SUM(AK213:AK214)</f>
        <v>8166</v>
      </c>
      <c r="AL215" s="268" t="n"/>
      <c r="AM215" s="268">
        <f>AK215+SUM(AM213:AM214)</f>
        <v>8166</v>
      </c>
      <c r="AN215" s="268">
        <f>AM215+SUM(AN213:AN214)</f>
        <v>8166</v>
      </c>
      <c r="AO215" s="268">
        <f>AN215+SUM(AO213:AO214)</f>
        <v>8166</v>
      </c>
      <c r="AP215" s="268">
        <f>AO215+SUM(AP213:AP214)</f>
        <v>8166</v>
      </c>
      <c r="AQ215" s="268" t="n"/>
      <c r="AR215" s="268">
        <f>AP215+SUM(AR213:AR214)</f>
        <v>8166</v>
      </c>
      <c r="AS215" s="268">
        <f>AR215+SUM(AS213:AS214)</f>
        <v>8166</v>
      </c>
      <c r="AT215" s="268">
        <f>AS215+SUM(AT213:AT214)</f>
        <v>8166</v>
      </c>
      <c r="AU215" s="268">
        <f>AT215+SUM(AU213:AU214)</f>
        <v>8166</v>
      </c>
      <c r="AV215" s="268" t="n"/>
      <c r="AW215" s="268">
        <f>AU215+SUM(AW213:AW214)</f>
        <v>8166</v>
      </c>
      <c r="AX215" s="268">
        <f>AW215+SUM(AX213:AX214)</f>
        <v>8166</v>
      </c>
      <c r="AY215" s="268">
        <f>AX215+SUM(AY213:AY214)</f>
        <v>8166</v>
      </c>
      <c r="AZ215" s="268">
        <f>AY215+SUM(AZ213:AZ214)</f>
        <v>8166</v>
      </c>
      <c r="BA215" s="268" t="n"/>
      <c r="BB215" s="268">
        <f>AZ215+SUM(BB213:BB214)</f>
        <v>8166</v>
      </c>
      <c r="BC215" s="268">
        <f>BB215+SUM(BC213:BC214)</f>
        <v>8166</v>
      </c>
      <c r="BD215" s="268">
        <f>BC215+SUM(BD213:BD214)</f>
        <v>8166</v>
      </c>
      <c r="BE215" s="268">
        <f>BD215+SUM(BE213:BE214)</f>
        <v>8166</v>
      </c>
      <c r="BF215" s="268" t="n"/>
      <c r="BG215" s="268">
        <f>BE215+SUM(BG213:BG214)</f>
        <v>8166</v>
      </c>
      <c r="BH215" s="268">
        <f>BG215+SUM(BH213:BH214)</f>
        <v>8166</v>
      </c>
      <c r="BI215" s="268">
        <f>BH215+SUM(BI213:BI214)</f>
        <v>8166</v>
      </c>
      <c r="BJ215" s="268">
        <f>BI215+SUM(BJ213:BJ214)</f>
        <v>8166</v>
      </c>
      <c r="BK215" s="268" t="n"/>
      <c r="BL215" s="268">
        <f>BJ215+SUM(BL213:BL214)</f>
        <v>8166</v>
      </c>
      <c r="BM215" s="268">
        <f>BL215+SUM(BM213:BM214)</f>
        <v>8166</v>
      </c>
      <c r="BN215" s="268">
        <f>BM215+SUM(BN213:BN214)</f>
        <v>8166</v>
      </c>
      <c r="BO215" s="268">
        <f>BN215+SUM(BO213:BO214)</f>
        <v>8166</v>
      </c>
      <c r="BP215" s="268" t="n"/>
      <c r="BQ215" s="268">
        <f>BO215+SUM(BQ213:BQ214)</f>
        <v>8166</v>
      </c>
      <c r="BR215" s="268">
        <f>BQ215+SUM(BR213:BR214)</f>
        <v>8166</v>
      </c>
      <c r="BS215" s="268">
        <f>BR215+SUM(BS213:BS214)</f>
        <v>8166</v>
      </c>
      <c r="BT215" s="268">
        <f>BS215+SUM(BT213:BT214)</f>
        <v>8166</v>
      </c>
      <c r="BU215" s="268" t="n"/>
      <c r="BV215" s="268">
        <f>BT215+SUM(BV213:BV214)</f>
        <v>8166</v>
      </c>
      <c r="BW215" s="268">
        <f>BV215+SUM(BW213:BW214)</f>
        <v>8166</v>
      </c>
      <c r="BX215" s="268">
        <f>BW215+SUM(BX213:BX214)</f>
        <v>8166</v>
      </c>
      <c r="BY215" s="268">
        <f>BX215+SUM(BY213:BY214)</f>
        <v>8166</v>
      </c>
      <c r="BZ215" s="268" t="n"/>
      <c r="CA215" s="268">
        <f>BY215+SUM(CA213:CA214)</f>
        <v>8166</v>
      </c>
      <c r="CB215" s="268">
        <f>CA215+SUM(CB213:CB214)</f>
        <v>8166</v>
      </c>
      <c r="CC215" s="268">
        <f>CB215+SUM(CC213:CC214)</f>
        <v>8166</v>
      </c>
      <c r="CD215" s="268">
        <f>CC215+SUM(CD213:CD214)</f>
        <v>8166</v>
      </c>
      <c r="CE215" s="268" t="n"/>
      <c r="CF215" s="268">
        <f>CD215+SUM(CF213:CF214)</f>
        <v>8166</v>
      </c>
      <c r="CG215" s="268">
        <f>CF215+SUM(CG213:CG214)</f>
        <v>8166</v>
      </c>
      <c r="CH215" s="268">
        <f>CG215+SUM(CH213:CH214)</f>
        <v>8166</v>
      </c>
      <c r="CI215" s="268">
        <f>CH215+SUM(CI213:CI214)</f>
        <v>8166</v>
      </c>
      <c r="CJ215" s="268" t="n"/>
      <c r="CK215" s="268">
        <f>CI215+SUM(CK213:CK214)</f>
        <v>8166</v>
      </c>
      <c r="CL215" s="268">
        <f>CK215+SUM(CL213:CL214)</f>
        <v>8166</v>
      </c>
      <c r="CM215" s="268">
        <f>CL215+SUM(CM213:CM214)</f>
        <v>8166</v>
      </c>
      <c r="CN215" s="268">
        <f>CM215+SUM(CN213:CN214)</f>
        <v>8166</v>
      </c>
      <c r="CO215" s="268" t="n"/>
      <c r="CP215" s="268">
        <f>CN215+SUM(CP213:CP214)</f>
        <v>8166</v>
      </c>
      <c r="CQ215" s="268">
        <f>CP215+SUM(CQ213:CQ214)</f>
        <v>8166</v>
      </c>
      <c r="CR215" s="268">
        <f>CQ215+SUM(CR213:CR214)</f>
        <v>8166</v>
      </c>
      <c r="CS215" s="268">
        <f>CR215+SUM(CS213:CS214)</f>
        <v>8166</v>
      </c>
      <c r="CT215" s="268" t="n"/>
      <c r="CU215" s="268">
        <f>CS215+SUM(CU213:CU214)</f>
        <v>8166</v>
      </c>
      <c r="CV215" s="268">
        <f>CU215+SUM(CV213:CV214)</f>
        <v>8166</v>
      </c>
      <c r="CW215" s="268">
        <f>CV215+SUM(CW213:CW214)</f>
        <v>8166</v>
      </c>
      <c r="CX215" s="268">
        <f>CW215+SUM(CX213:CX214)</f>
        <v>8166</v>
      </c>
      <c r="CY215" s="268" t="n"/>
      <c r="CZ215" s="260">
        <f>CX215+SUM(CZ213:CZ214)</f>
        <v>8166</v>
      </c>
      <c r="DA215" s="260">
        <f>CZ215+SUM(DA213:DA214)</f>
        <v>8166</v>
      </c>
      <c r="DB215" s="260">
        <f>DA215+SUM(DB213:DB214)</f>
        <v>8166</v>
      </c>
      <c r="DC215" s="260">
        <f>DB215+SUM(DC213:DC214)</f>
        <v>8166</v>
      </c>
    </row>
    <row r="216" hidden="1" outlineLevel="1" ht="12.75" customHeight="1" s="255">
      <c r="C216" s="312" t="n"/>
      <c r="D216" s="268" t="n"/>
      <c r="E216" s="268" t="n"/>
      <c r="F216" s="268" t="n"/>
      <c r="G216" s="268" t="n"/>
      <c r="H216" s="268" t="n"/>
      <c r="I216" s="268" t="n"/>
      <c r="J216" s="268" t="n"/>
      <c r="K216" s="268" t="n"/>
      <c r="L216" s="268" t="n"/>
      <c r="M216" s="268" t="n"/>
      <c r="N216" s="268" t="n"/>
      <c r="O216" s="268" t="n"/>
      <c r="P216" s="268" t="n"/>
      <c r="Q216" s="268" t="n"/>
      <c r="R216" s="268" t="n"/>
      <c r="S216" s="268" t="n"/>
      <c r="T216" s="268" t="n"/>
      <c r="U216" s="268" t="n"/>
      <c r="V216" s="268" t="n"/>
      <c r="W216" s="268" t="n"/>
      <c r="X216" s="268" t="n"/>
      <c r="Y216" s="268" t="n"/>
      <c r="Z216" s="268" t="n"/>
      <c r="AA216" s="268" t="n"/>
      <c r="AB216" s="268" t="n"/>
      <c r="AC216" s="268" t="n"/>
      <c r="AD216" s="268" t="n"/>
      <c r="AE216" s="268" t="n"/>
      <c r="AF216" s="268" t="n"/>
      <c r="AG216" s="268" t="n"/>
      <c r="AH216" s="268" t="n"/>
      <c r="AI216" s="268" t="n"/>
      <c r="AJ216" s="268" t="n"/>
      <c r="AK216" s="268" t="n"/>
      <c r="AL216" s="268" t="n"/>
      <c r="AM216" s="268" t="n"/>
      <c r="AN216" s="268" t="n"/>
      <c r="AO216" s="268" t="n"/>
      <c r="AP216" s="268" t="n"/>
      <c r="AQ216" s="268" t="n"/>
      <c r="AR216" s="268" t="n"/>
      <c r="AS216" s="268" t="n"/>
      <c r="AT216" s="268" t="n"/>
      <c r="AU216" s="268" t="n"/>
      <c r="AV216" s="268" t="n"/>
      <c r="AW216" s="268" t="n"/>
      <c r="AX216" s="268" t="n"/>
      <c r="AY216" s="268" t="n"/>
      <c r="AZ216" s="268" t="n"/>
      <c r="BA216" s="268" t="n"/>
      <c r="BB216" s="268" t="n"/>
      <c r="BC216" s="268" t="n"/>
      <c r="BD216" s="268" t="n"/>
      <c r="BE216" s="268" t="n"/>
      <c r="BF216" s="268" t="n"/>
      <c r="BG216" s="268" t="n"/>
      <c r="BH216" s="268" t="n"/>
      <c r="BI216" s="268" t="n"/>
      <c r="BJ216" s="268" t="n"/>
      <c r="BK216" s="268" t="n"/>
      <c r="BL216" s="268" t="n"/>
      <c r="BM216" s="268" t="n"/>
      <c r="BN216" s="268" t="n"/>
      <c r="BO216" s="268" t="n"/>
      <c r="BP216" s="268" t="n"/>
      <c r="BQ216" s="268" t="n"/>
      <c r="BR216" s="268" t="n"/>
      <c r="BS216" s="268" t="n"/>
      <c r="BT216" s="268" t="n"/>
      <c r="BU216" s="268" t="n"/>
      <c r="BV216" s="268" t="n"/>
      <c r="BW216" s="268" t="n"/>
      <c r="BX216" s="268" t="n"/>
      <c r="BY216" s="268" t="n"/>
      <c r="BZ216" s="268" t="n"/>
      <c r="CA216" s="268" t="n"/>
      <c r="CB216" s="268" t="n"/>
      <c r="CC216" s="268" t="n"/>
      <c r="CD216" s="268" t="n"/>
      <c r="CE216" s="268" t="n"/>
      <c r="CF216" s="268" t="n"/>
      <c r="CG216" s="268" t="n"/>
      <c r="CH216" s="268" t="n"/>
      <c r="CI216" s="268" t="n"/>
      <c r="CJ216" s="268" t="n"/>
      <c r="CK216" s="268" t="n"/>
      <c r="CL216" s="268" t="n"/>
      <c r="CM216" s="268" t="n"/>
      <c r="CN216" s="268" t="n"/>
      <c r="CO216" s="268" t="n"/>
      <c r="CP216" s="268" t="n"/>
      <c r="CQ216" s="268" t="n"/>
      <c r="CR216" s="268" t="n"/>
      <c r="CS216" s="268" t="n"/>
      <c r="CT216" s="268" t="n"/>
      <c r="CU216" s="268" t="n"/>
      <c r="CV216" s="268" t="n"/>
      <c r="CW216" s="268" t="n"/>
      <c r="CX216" s="268" t="n"/>
      <c r="CY216" s="268" t="n"/>
    </row>
    <row r="217" hidden="1" outlineLevel="1" ht="12.75" customHeight="1" s="255">
      <c r="C217" s="312" t="inlineStr">
        <is>
          <t>Discretionary (paydown)/borrowing of convertible debt</t>
        </is>
      </c>
      <c r="D217" s="268" t="n"/>
      <c r="E217" s="268" t="n"/>
      <c r="F217" s="268" t="n"/>
      <c r="G217" s="268" t="n"/>
      <c r="H217" s="268" t="n"/>
      <c r="I217" s="268" t="n"/>
      <c r="J217" s="268" t="n"/>
      <c r="K217" s="268" t="n"/>
      <c r="L217" s="268" t="n"/>
      <c r="M217" s="268" t="n"/>
      <c r="N217" s="268" t="n"/>
      <c r="O217" s="268" t="n"/>
      <c r="P217" s="268" t="n"/>
      <c r="Q217" s="268" t="n"/>
      <c r="R217" s="268" t="n"/>
      <c r="S217" s="268" t="n"/>
      <c r="T217" s="268" t="n"/>
      <c r="U217" s="268" t="n"/>
      <c r="V217" s="268" t="n"/>
      <c r="W217" s="268" t="n"/>
      <c r="X217" s="268" t="n"/>
      <c r="Y217" s="268" t="n"/>
      <c r="Z217" s="268" t="n"/>
      <c r="AA217" s="268" t="n"/>
      <c r="AB217" s="268" t="n"/>
      <c r="AC217" s="268" t="n"/>
      <c r="AD217" s="268" t="n"/>
      <c r="AE217" s="268" t="n"/>
      <c r="AF217" s="268" t="n"/>
      <c r="AG217" s="268" t="n"/>
      <c r="AH217" s="317" t="n"/>
      <c r="AI217" s="317" t="n"/>
      <c r="AJ217" s="317" t="n"/>
      <c r="AK217" s="317" t="n"/>
      <c r="AL217" s="268" t="n"/>
      <c r="AM217" s="317" t="n"/>
      <c r="AN217" s="317" t="n"/>
      <c r="AO217" s="317" t="n"/>
      <c r="AP217" s="317" t="n"/>
      <c r="AQ217" s="268" t="n"/>
      <c r="AR217" s="317" t="n"/>
      <c r="AS217" s="317" t="n"/>
      <c r="AT217" s="317" t="n"/>
      <c r="AU217" s="317" t="n"/>
      <c r="AV217" s="268" t="n"/>
      <c r="AW217" s="317" t="n"/>
      <c r="AX217" s="317" t="n"/>
      <c r="AY217" s="317" t="n"/>
      <c r="AZ217" s="317" t="n"/>
      <c r="BA217" s="268" t="n"/>
      <c r="BB217" s="317" t="n"/>
      <c r="BC217" s="317" t="n"/>
      <c r="BD217" s="317" t="n"/>
      <c r="BE217" s="317" t="n"/>
      <c r="BF217" s="268" t="n"/>
      <c r="BG217" s="317" t="n"/>
      <c r="BH217" s="317" t="n"/>
      <c r="BI217" s="317" t="n"/>
      <c r="BJ217" s="317" t="n"/>
      <c r="BK217" s="268" t="n"/>
      <c r="BL217" s="317" t="n"/>
      <c r="BM217" s="317" t="n"/>
      <c r="BN217" s="317" t="n"/>
      <c r="BO217" s="317" t="n"/>
      <c r="BP217" s="268" t="n"/>
      <c r="BQ217" s="317" t="n"/>
      <c r="BR217" s="317" t="n"/>
      <c r="BS217" s="317" t="n"/>
      <c r="BT217" s="317" t="n"/>
      <c r="BU217" s="268" t="n"/>
      <c r="BV217" s="317" t="n"/>
      <c r="BW217" s="317" t="n"/>
      <c r="BX217" s="317" t="n"/>
      <c r="BY217" s="317" t="n"/>
      <c r="BZ217" s="268" t="n"/>
      <c r="CA217" s="317" t="n"/>
      <c r="CB217" s="317" t="n"/>
      <c r="CC217" s="317" t="n"/>
      <c r="CD217" s="317" t="n"/>
      <c r="CE217" s="268" t="n"/>
      <c r="CF217" s="317" t="n"/>
      <c r="CG217" s="317" t="n"/>
      <c r="CH217" s="317" t="n"/>
      <c r="CI217" s="317" t="n"/>
      <c r="CJ217" s="268" t="n"/>
      <c r="CK217" s="317" t="n"/>
      <c r="CL217" s="317" t="n"/>
      <c r="CM217" s="317" t="n"/>
      <c r="CN217" s="317" t="n"/>
      <c r="CO217" s="268" t="n"/>
      <c r="CP217" s="317" t="n"/>
      <c r="CQ217" s="317" t="n"/>
      <c r="CR217" s="317" t="n"/>
      <c r="CS217" s="317" t="n"/>
      <c r="CT217" s="268" t="n"/>
      <c r="CU217" s="317" t="n"/>
      <c r="CV217" s="317" t="n"/>
      <c r="CW217" s="317" t="n"/>
      <c r="CX217" s="317" t="n"/>
      <c r="CY217" s="268" t="n"/>
    </row>
    <row r="218" hidden="1" outlineLevel="1" ht="12.75" customHeight="1" s="255">
      <c r="C218" s="312" t="inlineStr">
        <is>
          <t>Convertible debt</t>
        </is>
      </c>
      <c r="D218" s="268" t="n"/>
      <c r="E218" s="268" t="n"/>
      <c r="F218" s="268" t="n"/>
      <c r="G218" s="268" t="n"/>
      <c r="H218" s="268" t="n"/>
      <c r="I218" s="268" t="n"/>
      <c r="J218" s="268" t="n"/>
      <c r="K218" s="268" t="n"/>
      <c r="L218" s="268" t="n"/>
      <c r="M218" s="268" t="n"/>
      <c r="N218" s="268" t="n"/>
      <c r="O218" s="268" t="n"/>
      <c r="P218" s="268" t="n"/>
      <c r="Q218" s="268" t="n"/>
      <c r="R218" s="268" t="n"/>
      <c r="S218" s="268" t="n"/>
      <c r="T218" s="268" t="n"/>
      <c r="U218" s="268" t="n"/>
      <c r="V218" s="268" t="n"/>
      <c r="W218" s="268" t="n"/>
      <c r="X218" s="268" t="n"/>
      <c r="Y218" s="268" t="n"/>
      <c r="Z218" s="268" t="n"/>
      <c r="AA218" s="268" t="n"/>
      <c r="AB218" s="268" t="n"/>
      <c r="AC218" s="268" t="n"/>
      <c r="AD218" s="268" t="n"/>
      <c r="AE218" s="268" t="n"/>
      <c r="AF218" s="268" t="n"/>
      <c r="AG218" s="268" t="n"/>
      <c r="AH218" s="268">
        <f>AH230</f>
        <v>0</v>
      </c>
      <c r="AI218" s="268">
        <f>AH218+SUM(AI217)</f>
        <v>0</v>
      </c>
      <c r="AJ218" s="268">
        <f>AI218+SUM(AJ217)</f>
        <v>0</v>
      </c>
      <c r="AK218" s="268">
        <f>AJ218+SUM(AK217)</f>
        <v>0</v>
      </c>
      <c r="AL218" s="268" t="n"/>
      <c r="AM218" s="268">
        <f>AM230</f>
        <v>0</v>
      </c>
      <c r="AN218" s="268">
        <f>AM218+SUM(AN217)</f>
        <v>0</v>
      </c>
      <c r="AO218" s="268">
        <f>AN218+SUM(AO217)</f>
        <v>0</v>
      </c>
      <c r="AP218" s="268">
        <f>AO218+SUM(AP217)</f>
        <v>0</v>
      </c>
      <c r="AQ218" s="268" t="n"/>
      <c r="AR218" s="268">
        <f>AR230</f>
        <v>0</v>
      </c>
      <c r="AS218" s="268">
        <f>AR218+SUM(AS217)</f>
        <v>0</v>
      </c>
      <c r="AT218" s="268">
        <f>AS218+SUM(AT217)</f>
        <v>0</v>
      </c>
      <c r="AU218" s="268">
        <f>AT218+SUM(AU217)</f>
        <v>0</v>
      </c>
      <c r="AV218" s="268" t="n"/>
      <c r="AW218" s="268">
        <f>AW230</f>
        <v>0</v>
      </c>
      <c r="AX218" s="268">
        <f>AW218+SUM(AX217)</f>
        <v>0</v>
      </c>
      <c r="AY218" s="268">
        <f>AX218+SUM(AY217)</f>
        <v>0</v>
      </c>
      <c r="AZ218" s="268">
        <f>AY218+SUM(AZ217)</f>
        <v>0</v>
      </c>
      <c r="BA218" s="268" t="n"/>
      <c r="BB218" s="268">
        <f>BB230</f>
        <v>0</v>
      </c>
      <c r="BC218" s="268">
        <f>BB218+SUM(BC217)</f>
        <v>0</v>
      </c>
      <c r="BD218" s="268">
        <f>BC218+SUM(BD217)</f>
        <v>0</v>
      </c>
      <c r="BE218" s="268">
        <f>BD218+SUM(BE217)</f>
        <v>0</v>
      </c>
      <c r="BF218" s="268" t="n"/>
      <c r="BG218" s="268">
        <f>BG230</f>
        <v>0</v>
      </c>
      <c r="BH218" s="268">
        <f>BG218+SUM(BH217)</f>
        <v>0</v>
      </c>
      <c r="BI218" s="268">
        <f>BH218+SUM(BI217)</f>
        <v>0</v>
      </c>
      <c r="BJ218" s="268">
        <f>BI218+SUM(BJ217)</f>
        <v>0</v>
      </c>
      <c r="BK218" s="268" t="n"/>
      <c r="BL218" s="268">
        <f>BL230</f>
        <v>0</v>
      </c>
      <c r="BM218" s="268">
        <f>BL218+SUM(BM217)</f>
        <v>0</v>
      </c>
      <c r="BN218" s="268">
        <f>BM218+SUM(BN217)</f>
        <v>0</v>
      </c>
      <c r="BO218" s="268">
        <f>BN218+SUM(BO217)</f>
        <v>0</v>
      </c>
      <c r="BP218" s="268" t="n"/>
      <c r="BQ218" s="268">
        <f>BQ230</f>
        <v>0</v>
      </c>
      <c r="BR218" s="268">
        <f>BQ218+SUM(BR217)</f>
        <v>0</v>
      </c>
      <c r="BS218" s="268">
        <f>BR218+SUM(BS217)</f>
        <v>0</v>
      </c>
      <c r="BT218" s="268">
        <f>BS218+SUM(BT217)</f>
        <v>0</v>
      </c>
      <c r="BU218" s="268" t="n"/>
      <c r="BV218" s="268">
        <f>BV230</f>
        <v>0</v>
      </c>
      <c r="BW218" s="268">
        <f>BV218+SUM(BW217)</f>
        <v>0</v>
      </c>
      <c r="BX218" s="268">
        <f>BW218+SUM(BX217)</f>
        <v>0</v>
      </c>
      <c r="BY218" s="268">
        <f>BX218+SUM(BY217)</f>
        <v>0</v>
      </c>
      <c r="BZ218" s="268" t="n"/>
      <c r="CA218" s="268">
        <f>CA230</f>
        <v>0</v>
      </c>
      <c r="CB218" s="268">
        <f>CA218+SUM(CB217)</f>
        <v>0</v>
      </c>
      <c r="CC218" s="268">
        <f>CB218+SUM(CC217)</f>
        <v>0</v>
      </c>
      <c r="CD218" s="268">
        <f>CC218+SUM(CD217)</f>
        <v>0</v>
      </c>
      <c r="CE218" s="268" t="n"/>
      <c r="CF218" s="268">
        <f>CF230</f>
        <v>0</v>
      </c>
      <c r="CG218" s="268">
        <f>CF218+SUM(CG217)</f>
        <v>0</v>
      </c>
      <c r="CH218" s="268">
        <f>CG218+SUM(CH217)</f>
        <v>0</v>
      </c>
      <c r="CI218" s="268">
        <f>CH218+SUM(CI217)</f>
        <v>0</v>
      </c>
      <c r="CJ218" s="268" t="n"/>
      <c r="CK218" s="268">
        <f>CK230</f>
        <v>0</v>
      </c>
      <c r="CL218" s="268">
        <f>CK218+SUM(CL217)</f>
        <v>0</v>
      </c>
      <c r="CM218" s="268">
        <f>CL218+SUM(CM217)</f>
        <v>0</v>
      </c>
      <c r="CN218" s="268">
        <f>CM218+SUM(CN217)</f>
        <v>0</v>
      </c>
      <c r="CO218" s="268" t="n"/>
      <c r="CP218" s="268">
        <f>CP230</f>
        <v>0</v>
      </c>
      <c r="CQ218" s="268">
        <f>CP218+SUM(CQ217)</f>
        <v>0</v>
      </c>
      <c r="CR218" s="268">
        <f>CQ218+SUM(CR217)</f>
        <v>0</v>
      </c>
      <c r="CS218" s="268">
        <f>CR218+SUM(CS217)</f>
        <v>0</v>
      </c>
      <c r="CT218" s="268" t="n"/>
      <c r="CU218" s="268">
        <f>CU230</f>
        <v>0</v>
      </c>
      <c r="CV218" s="268">
        <f>CU218+SUM(CV217)</f>
        <v>0</v>
      </c>
      <c r="CW218" s="268">
        <f>CV218+SUM(CW217)</f>
        <v>0</v>
      </c>
      <c r="CX218" s="268">
        <f>CW218+SUM(CX217)</f>
        <v>0</v>
      </c>
      <c r="CY218" s="268" t="n"/>
    </row>
    <row r="219" hidden="1" outlineLevel="1" ht="12.75" customHeight="1" s="255">
      <c r="C219" s="312" t="n"/>
      <c r="D219" s="268" t="n"/>
      <c r="E219" s="268" t="n"/>
      <c r="F219" s="268" t="n"/>
      <c r="G219" s="268" t="n"/>
      <c r="H219" s="268" t="n"/>
      <c r="I219" s="268" t="n"/>
      <c r="J219" s="268" t="n"/>
      <c r="K219" s="268" t="n"/>
      <c r="L219" s="268" t="n"/>
      <c r="M219" s="268" t="n"/>
      <c r="N219" s="268" t="n"/>
      <c r="O219" s="268" t="n"/>
      <c r="P219" s="268" t="n"/>
      <c r="Q219" s="268" t="n"/>
      <c r="R219" s="268" t="n"/>
      <c r="S219" s="268" t="n"/>
      <c r="T219" s="268" t="n"/>
      <c r="U219" s="268" t="n"/>
      <c r="V219" s="268" t="n"/>
      <c r="W219" s="268" t="n"/>
      <c r="X219" s="268" t="n"/>
      <c r="Y219" s="268" t="n"/>
      <c r="Z219" s="268" t="n"/>
      <c r="AA219" s="268" t="n"/>
      <c r="AB219" s="268" t="n"/>
      <c r="AC219" s="268" t="n"/>
      <c r="AD219" s="268" t="n"/>
      <c r="AE219" s="268" t="n"/>
      <c r="AF219" s="268" t="n"/>
      <c r="AG219" s="268" t="n"/>
      <c r="AI219" s="268" t="n"/>
      <c r="AJ219" s="268" t="n"/>
      <c r="AK219" s="268" t="n"/>
      <c r="AL219" s="268" t="n"/>
      <c r="AN219" s="268" t="n"/>
      <c r="AO219" s="268" t="n"/>
      <c r="AP219" s="268" t="n"/>
      <c r="AQ219" s="268" t="n"/>
      <c r="AS219" s="268" t="n"/>
      <c r="AT219" s="268" t="n"/>
      <c r="AU219" s="268" t="n"/>
      <c r="AV219" s="268" t="n"/>
      <c r="AX219" s="268" t="n"/>
      <c r="AY219" s="268" t="n"/>
      <c r="AZ219" s="268" t="n"/>
      <c r="BA219" s="268" t="n"/>
      <c r="BC219" s="268" t="n"/>
      <c r="BD219" s="268" t="n"/>
      <c r="BE219" s="268" t="n"/>
      <c r="BF219" s="268" t="n"/>
      <c r="BH219" s="268" t="n"/>
      <c r="BI219" s="268" t="n"/>
      <c r="BJ219" s="268" t="n"/>
      <c r="BK219" s="268" t="n"/>
      <c r="BM219" s="268" t="n"/>
      <c r="BN219" s="268" t="n"/>
      <c r="BO219" s="268" t="n"/>
      <c r="BP219" s="268" t="n"/>
      <c r="BR219" s="268" t="n"/>
      <c r="BS219" s="268" t="n"/>
      <c r="BT219" s="268" t="n"/>
      <c r="BU219" s="268" t="n"/>
      <c r="BW219" s="268" t="n"/>
      <c r="BX219" s="268" t="n"/>
      <c r="BY219" s="268" t="n"/>
      <c r="BZ219" s="268" t="n"/>
      <c r="CB219" s="268" t="n"/>
      <c r="CC219" s="268" t="n"/>
      <c r="CD219" s="268" t="n"/>
      <c r="CE219" s="268" t="n"/>
      <c r="CG219" s="268" t="n"/>
      <c r="CH219" s="268" t="n"/>
      <c r="CI219" s="268" t="n"/>
      <c r="CJ219" s="268" t="n"/>
      <c r="CL219" s="268" t="n"/>
      <c r="CM219" s="268" t="n"/>
      <c r="CN219" s="268" t="n"/>
      <c r="CO219" s="268" t="n"/>
      <c r="CQ219" s="268" t="n"/>
      <c r="CR219" s="268" t="n"/>
      <c r="CS219" s="268" t="n"/>
      <c r="CT219" s="268" t="n"/>
      <c r="CV219" s="268" t="n"/>
      <c r="CW219" s="268" t="n"/>
      <c r="CX219" s="268" t="n"/>
      <c r="CY219" s="268" t="n"/>
    </row>
    <row r="220" hidden="1" outlineLevel="1" ht="12.75" customHeight="1" s="255">
      <c r="C220" s="312" t="inlineStr">
        <is>
          <t>Calculation of short term debt</t>
        </is>
      </c>
      <c r="D220" s="268" t="n"/>
      <c r="E220" s="268" t="n"/>
      <c r="F220" s="268" t="n"/>
      <c r="G220" s="268" t="n"/>
      <c r="H220" s="268" t="n"/>
      <c r="I220" s="268" t="n"/>
      <c r="J220" s="268" t="n"/>
      <c r="K220" s="268" t="n"/>
      <c r="L220" s="268" t="n"/>
      <c r="M220" s="268" t="n"/>
      <c r="N220" s="268" t="n"/>
      <c r="O220" s="268" t="n"/>
      <c r="P220" s="268" t="n"/>
      <c r="Q220" s="268" t="n"/>
      <c r="R220" s="268" t="n"/>
      <c r="S220" s="268" t="n"/>
      <c r="T220" s="268" t="n"/>
      <c r="U220" s="268" t="n"/>
      <c r="V220" s="268" t="n"/>
      <c r="W220" s="268" t="n"/>
      <c r="X220" s="268" t="n"/>
      <c r="Y220" s="268" t="n"/>
      <c r="Z220" s="268" t="n"/>
      <c r="AA220" s="268" t="n"/>
      <c r="AB220" s="268" t="n"/>
      <c r="AC220" s="268" t="n"/>
      <c r="AD220" s="268" t="n"/>
      <c r="AE220" s="268" t="n"/>
      <c r="AF220" s="268" t="n"/>
      <c r="AG220" s="268" t="n"/>
      <c r="AH220" s="268" t="n"/>
      <c r="AI220" s="268" t="n"/>
      <c r="AJ220" s="268" t="n"/>
      <c r="AK220" s="268" t="n"/>
      <c r="AL220" s="268" t="n"/>
      <c r="AM220" s="268" t="n"/>
      <c r="AN220" s="268" t="n"/>
      <c r="AO220" s="268" t="n"/>
      <c r="AP220" s="268" t="n"/>
      <c r="AQ220" s="268" t="n"/>
      <c r="AR220" s="268" t="n"/>
      <c r="AS220" s="268" t="n"/>
      <c r="AT220" s="268" t="n"/>
      <c r="AU220" s="268" t="n"/>
      <c r="AV220" s="268" t="n"/>
      <c r="AW220" s="268" t="n"/>
      <c r="AX220" s="268" t="n"/>
      <c r="AY220" s="268" t="n"/>
      <c r="AZ220" s="268" t="n"/>
      <c r="BA220" s="268" t="n"/>
      <c r="BB220" s="268" t="n"/>
      <c r="BC220" s="268" t="n"/>
      <c r="BD220" s="268" t="n"/>
      <c r="BE220" s="268" t="n"/>
      <c r="BF220" s="268" t="n"/>
      <c r="BG220" s="268" t="n"/>
      <c r="BH220" s="268" t="n"/>
      <c r="BI220" s="268" t="n"/>
      <c r="BJ220" s="268" t="n"/>
      <c r="BK220" s="268" t="n"/>
      <c r="BL220" s="268" t="n"/>
      <c r="BM220" s="268" t="n"/>
      <c r="BN220" s="268" t="n"/>
      <c r="BO220" s="268" t="n"/>
      <c r="BP220" s="268" t="n"/>
      <c r="BQ220" s="268" t="n"/>
      <c r="BR220" s="268" t="n"/>
      <c r="BS220" s="268" t="n"/>
      <c r="BT220" s="268" t="n"/>
      <c r="BU220" s="268" t="n"/>
      <c r="BV220" s="268" t="n"/>
      <c r="BW220" s="268" t="n"/>
      <c r="BX220" s="268" t="n"/>
      <c r="BY220" s="268" t="n"/>
      <c r="BZ220" s="268" t="n"/>
      <c r="CA220" s="268" t="n"/>
      <c r="CB220" s="268" t="n"/>
      <c r="CC220" s="268" t="n"/>
      <c r="CD220" s="268" t="n"/>
      <c r="CE220" s="268" t="n"/>
      <c r="CF220" s="268" t="n"/>
      <c r="CG220" s="268" t="n"/>
      <c r="CH220" s="268" t="n"/>
      <c r="CI220" s="268" t="n"/>
      <c r="CJ220" s="268" t="n"/>
      <c r="CK220" s="268" t="n"/>
      <c r="CL220" s="268" t="n"/>
      <c r="CM220" s="268" t="n"/>
      <c r="CN220" s="268" t="n"/>
      <c r="CO220" s="268" t="n"/>
      <c r="CP220" s="268" t="n"/>
      <c r="CQ220" s="268" t="n"/>
      <c r="CR220" s="268" t="n"/>
      <c r="CS220" s="268" t="n"/>
      <c r="CT220" s="268" t="n"/>
      <c r="CU220" s="268" t="n"/>
      <c r="CV220" s="268" t="n"/>
      <c r="CW220" s="268" t="n"/>
      <c r="CX220" s="268" t="n"/>
      <c r="CY220" s="268" t="n"/>
    </row>
    <row r="221" hidden="1" outlineLevel="1" ht="12.75" customHeight="1" s="255">
      <c r="C221" s="312" t="inlineStr">
        <is>
          <t>Cash @ beginning of the period (end of last period)</t>
        </is>
      </c>
      <c r="D221" s="268" t="n"/>
      <c r="E221" s="268" t="n"/>
      <c r="F221" s="268" t="n"/>
      <c r="G221" s="268" t="n"/>
      <c r="H221" s="268" t="n"/>
      <c r="I221" s="268" t="n"/>
      <c r="J221" s="268" t="n"/>
      <c r="K221" s="268" t="n"/>
      <c r="L221" s="268" t="n"/>
      <c r="M221" s="268" t="n"/>
      <c r="N221" s="268" t="n"/>
      <c r="O221" s="268" t="n"/>
      <c r="P221" s="268" t="n"/>
      <c r="Q221" s="268" t="n"/>
      <c r="R221" s="268" t="n"/>
      <c r="S221" s="268" t="n"/>
      <c r="T221" s="268" t="n"/>
      <c r="U221" s="268" t="n"/>
      <c r="V221" s="268" t="n"/>
      <c r="W221" s="268" t="n"/>
      <c r="X221" s="268" t="n"/>
      <c r="Y221" s="268" t="n"/>
      <c r="Z221" s="268" t="n"/>
      <c r="AA221" s="268" t="n"/>
      <c r="AB221" s="268" t="n"/>
      <c r="AC221" s="268" t="n"/>
      <c r="AD221" s="268" t="n"/>
      <c r="AE221" s="268" t="n"/>
      <c r="AF221" s="268" t="n"/>
      <c r="AG221" s="268" t="n"/>
      <c r="AH221" s="318">
        <f>AG136</f>
        <v>7997</v>
      </c>
      <c r="AI221" s="268" t="n"/>
      <c r="AJ221" s="268" t="n"/>
      <c r="AK221" s="268" t="n"/>
      <c r="AL221" s="268" t="n"/>
      <c r="AM221" s="318">
        <f>AL136</f>
        <v>-471</v>
      </c>
      <c r="AN221" s="268" t="n"/>
      <c r="AO221" s="268" t="n"/>
      <c r="AP221" s="268" t="n"/>
      <c r="AQ221" s="268" t="n"/>
      <c r="AR221" s="318" t="e">
        <f>AQ136</f>
        <v>#DIV/0!</v>
      </c>
      <c r="AS221" s="268" t="n"/>
      <c r="AT221" s="268" t="n"/>
      <c r="AU221" s="268" t="n"/>
      <c r="AV221" s="268" t="n"/>
      <c r="AW221" s="318" t="e">
        <f>AV136</f>
        <v>#DIV/0!</v>
      </c>
      <c r="AX221" s="268" t="n"/>
      <c r="AY221" s="268" t="n"/>
      <c r="AZ221" s="268" t="n"/>
      <c r="BA221" s="268" t="n"/>
      <c r="BB221" s="318" t="e">
        <f>BA136</f>
        <v>#DIV/0!</v>
      </c>
      <c r="BC221" s="268" t="n"/>
      <c r="BD221" s="268" t="n"/>
      <c r="BE221" s="268" t="n"/>
      <c r="BF221" s="268" t="n"/>
      <c r="BG221" s="318" t="e">
        <f>BF136</f>
        <v>#DIV/0!</v>
      </c>
      <c r="BH221" s="268" t="n"/>
      <c r="BI221" s="268" t="n"/>
      <c r="BJ221" s="268" t="n"/>
      <c r="BK221" s="268" t="n"/>
      <c r="BL221" s="318" t="e">
        <f>BK136</f>
        <v>#DIV/0!</v>
      </c>
      <c r="BM221" s="268" t="n"/>
      <c r="BN221" s="268" t="n"/>
      <c r="BO221" s="268" t="n"/>
      <c r="BP221" s="268" t="n"/>
      <c r="BQ221" s="318" t="e">
        <f>BP136</f>
        <v>#DIV/0!</v>
      </c>
      <c r="BR221" s="268" t="n"/>
      <c r="BS221" s="268" t="n"/>
      <c r="BT221" s="268" t="n"/>
      <c r="BU221" s="268" t="n"/>
      <c r="BV221" s="318" t="e">
        <f>BU136</f>
        <v>#DIV/0!</v>
      </c>
      <c r="BW221" s="268" t="n"/>
      <c r="BX221" s="268" t="n"/>
      <c r="BY221" s="268" t="n"/>
      <c r="BZ221" s="268" t="n"/>
      <c r="CA221" s="318" t="e">
        <f>BZ136</f>
        <v>#DIV/0!</v>
      </c>
      <c r="CB221" s="268" t="n"/>
      <c r="CC221" s="268" t="n"/>
      <c r="CD221" s="268" t="n"/>
      <c r="CE221" s="268" t="n"/>
      <c r="CF221" s="318" t="e">
        <f>CE136</f>
        <v>#DIV/0!</v>
      </c>
      <c r="CG221" s="268" t="n"/>
      <c r="CH221" s="268" t="n"/>
      <c r="CI221" s="268" t="n"/>
      <c r="CJ221" s="268" t="n"/>
      <c r="CK221" s="318" t="e">
        <f>CJ136</f>
        <v>#DIV/0!</v>
      </c>
      <c r="CL221" s="268" t="n"/>
      <c r="CM221" s="268" t="n"/>
      <c r="CN221" s="268" t="n"/>
      <c r="CO221" s="268" t="n"/>
      <c r="CP221" s="318" t="e">
        <f>CO136</f>
        <v>#DIV/0!</v>
      </c>
      <c r="CQ221" s="268" t="n"/>
      <c r="CR221" s="268" t="n"/>
      <c r="CS221" s="268" t="n"/>
      <c r="CT221" s="268" t="n"/>
      <c r="CU221" s="318" t="e">
        <f>CT136</f>
        <v>#DIV/0!</v>
      </c>
      <c r="CV221" s="268" t="n"/>
      <c r="CW221" s="268" t="n"/>
      <c r="CX221" s="268" t="n"/>
      <c r="CY221" s="268" t="n"/>
    </row>
    <row r="222" hidden="1" outlineLevel="1" ht="12.75" customHeight="1" s="255">
      <c r="C222" s="312" t="inlineStr">
        <is>
          <t>Plus: Free cash flows prior to debt during period</t>
        </is>
      </c>
      <c r="D222" s="268" t="n"/>
      <c r="E222" s="268" t="n"/>
      <c r="F222" s="268" t="n"/>
      <c r="G222" s="268" t="n"/>
      <c r="H222" s="268" t="n"/>
      <c r="I222" s="268" t="n"/>
      <c r="J222" s="268" t="n"/>
      <c r="K222" s="268" t="n"/>
      <c r="L222" s="268" t="n"/>
      <c r="M222" s="268" t="n"/>
      <c r="N222" s="268" t="n"/>
      <c r="O222" s="268" t="n"/>
      <c r="P222" s="268" t="n"/>
      <c r="Q222" s="268" t="n"/>
      <c r="R222" s="268" t="n"/>
      <c r="S222" s="268" t="n"/>
      <c r="T222" s="268" t="n"/>
      <c r="U222" s="268" t="n"/>
      <c r="V222" s="268" t="n"/>
      <c r="W222" s="268" t="n"/>
      <c r="X222" s="268" t="n"/>
      <c r="Y222" s="268" t="n"/>
      <c r="Z222" s="268" t="n"/>
      <c r="AA222" s="268" t="n"/>
      <c r="AB222" s="268" t="n"/>
      <c r="AC222" s="268" t="n"/>
      <c r="AD222" s="268" t="n"/>
      <c r="AE222" s="268" t="n"/>
      <c r="AF222" s="268" t="n"/>
      <c r="AG222" s="268" t="inlineStr">
        <is>
          <t>% of sales</t>
        </is>
      </c>
      <c r="AH222" s="319">
        <f>SUM(AH285,AH292)+SUM(AH294:AH300)</f>
        <v>-4272</v>
      </c>
      <c r="AI222" s="319">
        <f>SUM(AI285,AI292)+SUM(AI294:AI300)</f>
        <v>385</v>
      </c>
      <c r="AJ222" s="319">
        <f>SUM(AJ285,AJ292)+SUM(AJ294:AJ300)</f>
        <v>-4478</v>
      </c>
      <c r="AK222" s="319">
        <f>SUM(AK285,AK292)+SUM(AK294:AK300)</f>
        <v>-73</v>
      </c>
      <c r="AL222" s="268" t="n"/>
      <c r="AM222" s="319" t="e">
        <f>SUM(AM285,AM292)+SUM(AM294:AM300)</f>
        <v>#DIV/0!</v>
      </c>
      <c r="AN222" s="319" t="e">
        <f>SUM(AN285,AN292)+SUM(AN294:AN300)</f>
        <v>#DIV/0!</v>
      </c>
      <c r="AO222" s="319" t="e">
        <f>SUM(AO285,AO292)+SUM(AO294:AO300)</f>
        <v>#DIV/0!</v>
      </c>
      <c r="AP222" s="319" t="e">
        <f>SUM(AP285,AP292)+SUM(AP294:AP300)</f>
        <v>#DIV/0!</v>
      </c>
      <c r="AQ222" s="268" t="n"/>
      <c r="AR222" s="319" t="e">
        <f>SUM(AR285,AR292)+SUM(AR294:AR300)</f>
        <v>#DIV/0!</v>
      </c>
      <c r="AS222" s="319" t="e">
        <f>SUM(AS285,AS292)+SUM(AS294:AS300)</f>
        <v>#DIV/0!</v>
      </c>
      <c r="AT222" s="319" t="e">
        <f>SUM(AT285,AT292)+SUM(AT294:AT300)</f>
        <v>#DIV/0!</v>
      </c>
      <c r="AU222" s="319" t="e">
        <f>SUM(AU285,AU292)+SUM(AU294:AU300)</f>
        <v>#DIV/0!</v>
      </c>
      <c r="AV222" s="268" t="n"/>
      <c r="AW222" s="319" t="e">
        <f>SUM(AW285,AW292)+SUM(AW294:AW300)</f>
        <v>#DIV/0!</v>
      </c>
      <c r="AX222" s="319" t="e">
        <f>SUM(AX285,AX292)+SUM(AX294:AX300)</f>
        <v>#DIV/0!</v>
      </c>
      <c r="AY222" s="319" t="e">
        <f>SUM(AY285,AY292)+SUM(AY294:AY300)</f>
        <v>#DIV/0!</v>
      </c>
      <c r="AZ222" s="319" t="e">
        <f>SUM(AZ285,AZ292)+SUM(AZ294:AZ300)</f>
        <v>#DIV/0!</v>
      </c>
      <c r="BA222" s="268" t="n"/>
      <c r="BB222" s="319" t="e">
        <f>SUM(BB285,BB292)+SUM(BB294:BB300)</f>
        <v>#DIV/0!</v>
      </c>
      <c r="BC222" s="319" t="e">
        <f>SUM(BC285,BC292)+SUM(BC294:BC300)</f>
        <v>#DIV/0!</v>
      </c>
      <c r="BD222" s="319" t="e">
        <f>SUM(BD285,BD292)+SUM(BD294:BD300)</f>
        <v>#DIV/0!</v>
      </c>
      <c r="BE222" s="319" t="e">
        <f>SUM(BE285,BE292)+SUM(BE294:BE300)</f>
        <v>#DIV/0!</v>
      </c>
      <c r="BF222" s="268" t="n"/>
      <c r="BG222" s="319" t="e">
        <f>SUM(BG285,BG292)+SUM(BG294:BG300)</f>
        <v>#DIV/0!</v>
      </c>
      <c r="BH222" s="319" t="e">
        <f>SUM(BH285,BH292)+SUM(BH294:BH300)</f>
        <v>#DIV/0!</v>
      </c>
      <c r="BI222" s="319" t="e">
        <f>SUM(BI285,BI292)+SUM(BI294:BI300)</f>
        <v>#DIV/0!</v>
      </c>
      <c r="BJ222" s="319" t="e">
        <f>SUM(BJ285,BJ292)+SUM(BJ294:BJ300)</f>
        <v>#DIV/0!</v>
      </c>
      <c r="BK222" s="268" t="n"/>
      <c r="BL222" s="319" t="e">
        <f>SUM(BL285,BL292)+SUM(BL294:BL300)</f>
        <v>#DIV/0!</v>
      </c>
      <c r="BM222" s="319" t="e">
        <f>SUM(BM285,BM292)+SUM(BM294:BM300)</f>
        <v>#DIV/0!</v>
      </c>
      <c r="BN222" s="319" t="e">
        <f>SUM(BN285,BN292)+SUM(BN294:BN300)</f>
        <v>#DIV/0!</v>
      </c>
      <c r="BO222" s="319" t="e">
        <f>SUM(BO285,BO292)+SUM(BO294:BO300)</f>
        <v>#DIV/0!</v>
      </c>
      <c r="BP222" s="268" t="n"/>
      <c r="BQ222" s="319" t="e">
        <f>SUM(BQ285,BQ292)+SUM(BQ294:BQ300)</f>
        <v>#DIV/0!</v>
      </c>
      <c r="BR222" s="319" t="e">
        <f>SUM(BR285,BR292)+SUM(BR294:BR300)</f>
        <v>#DIV/0!</v>
      </c>
      <c r="BS222" s="319" t="e">
        <f>SUM(BS285,BS292)+SUM(BS294:BS300)</f>
        <v>#DIV/0!</v>
      </c>
      <c r="BT222" s="319" t="e">
        <f>SUM(BT285,BT292)+SUM(BT294:BT300)</f>
        <v>#DIV/0!</v>
      </c>
      <c r="BU222" s="268" t="n"/>
      <c r="BV222" s="319" t="e">
        <f>SUM(BV285,BV292)+SUM(BV294:BV300)</f>
        <v>#DIV/0!</v>
      </c>
      <c r="BW222" s="319" t="e">
        <f>SUM(BW285,BW292)+SUM(BW294:BW300)</f>
        <v>#DIV/0!</v>
      </c>
      <c r="BX222" s="319" t="e">
        <f>SUM(BX285,BX292)+SUM(BX294:BX300)</f>
        <v>#DIV/0!</v>
      </c>
      <c r="BY222" s="319" t="e">
        <f>SUM(BY285,BY292)+SUM(BY294:BY300)</f>
        <v>#DIV/0!</v>
      </c>
      <c r="BZ222" s="268" t="n"/>
      <c r="CA222" s="319" t="e">
        <f>SUM(CA285,CA292)+SUM(CA294:CA300)</f>
        <v>#DIV/0!</v>
      </c>
      <c r="CB222" s="319" t="e">
        <f>SUM(CB285,CB292)+SUM(CB294:CB300)</f>
        <v>#DIV/0!</v>
      </c>
      <c r="CC222" s="319" t="e">
        <f>SUM(CC285,CC292)+SUM(CC294:CC300)</f>
        <v>#DIV/0!</v>
      </c>
      <c r="CD222" s="319" t="e">
        <f>SUM(CD285,CD292)+SUM(CD294:CD300)</f>
        <v>#DIV/0!</v>
      </c>
      <c r="CE222" s="268" t="n"/>
      <c r="CF222" s="319" t="e">
        <f>SUM(CF285,CF292)+SUM(CF294:CF300)</f>
        <v>#DIV/0!</v>
      </c>
      <c r="CG222" s="319" t="e">
        <f>SUM(CG285,CG292)+SUM(CG294:CG300)</f>
        <v>#DIV/0!</v>
      </c>
      <c r="CH222" s="319" t="e">
        <f>SUM(CH285,CH292)+SUM(CH294:CH300)</f>
        <v>#DIV/0!</v>
      </c>
      <c r="CI222" s="319" t="e">
        <f>SUM(CI285,CI292)+SUM(CI294:CI300)</f>
        <v>#DIV/0!</v>
      </c>
      <c r="CJ222" s="268" t="n"/>
      <c r="CK222" s="319" t="e">
        <f>SUM(CK285,CK292)+SUM(CK294:CK300)</f>
        <v>#DIV/0!</v>
      </c>
      <c r="CL222" s="319" t="e">
        <f>SUM(CL285,CL292)+SUM(CL294:CL300)</f>
        <v>#DIV/0!</v>
      </c>
      <c r="CM222" s="319" t="e">
        <f>SUM(CM285,CM292)+SUM(CM294:CM300)</f>
        <v>#DIV/0!</v>
      </c>
      <c r="CN222" s="319" t="e">
        <f>SUM(CN285,CN292)+SUM(CN294:CN300)</f>
        <v>#DIV/0!</v>
      </c>
      <c r="CO222" s="268" t="n"/>
      <c r="CP222" s="319" t="e">
        <f>SUM(CP285,CP292)+SUM(CP294:CP300)</f>
        <v>#DIV/0!</v>
      </c>
      <c r="CQ222" s="319" t="e">
        <f>SUM(CQ285,CQ292)+SUM(CQ294:CQ300)</f>
        <v>#DIV/0!</v>
      </c>
      <c r="CR222" s="319" t="e">
        <f>SUM(CR285,CR292)+SUM(CR294:CR300)</f>
        <v>#DIV/0!</v>
      </c>
      <c r="CS222" s="319" t="e">
        <f>SUM(CS285,CS292)+SUM(CS294:CS300)</f>
        <v>#DIV/0!</v>
      </c>
      <c r="CT222" s="268" t="n"/>
      <c r="CU222" s="319" t="e">
        <f>SUM(CU285,CU292)+SUM(CU294:CU300)</f>
        <v>#DIV/0!</v>
      </c>
      <c r="CV222" s="319" t="e">
        <f>SUM(CV285,CV292)+SUM(CV294:CV300)</f>
        <v>#DIV/0!</v>
      </c>
      <c r="CW222" s="319" t="e">
        <f>SUM(CW285,CW292)+SUM(CW294:CW300)</f>
        <v>#DIV/0!</v>
      </c>
      <c r="CX222" s="319" t="e">
        <f>SUM(CX285,CX292)+SUM(CX294:CX300)</f>
        <v>#DIV/0!</v>
      </c>
      <c r="CY222" s="268" t="n"/>
    </row>
    <row r="223" hidden="1" outlineLevel="1" ht="12.75" customHeight="1" s="255">
      <c r="C223" s="312" t="inlineStr">
        <is>
          <t>Less: Minimum cash balance</t>
        </is>
      </c>
      <c r="D223" s="268" t="n"/>
      <c r="E223" s="268" t="n"/>
      <c r="F223" s="268" t="n"/>
      <c r="G223" s="268" t="n"/>
      <c r="H223" s="268" t="n"/>
      <c r="I223" s="268" t="n"/>
      <c r="J223" s="268" t="n"/>
      <c r="K223" s="268" t="n"/>
      <c r="L223" s="268" t="n"/>
      <c r="M223" s="268" t="n"/>
      <c r="N223" s="268" t="n"/>
      <c r="O223" s="268" t="n"/>
      <c r="P223" s="268" t="n"/>
      <c r="Q223" s="268" t="n"/>
      <c r="R223" s="268" t="n"/>
      <c r="S223" s="268" t="n"/>
      <c r="T223" s="268" t="n"/>
      <c r="U223" s="268" t="n"/>
      <c r="V223" s="268" t="n"/>
      <c r="W223" s="268" t="n"/>
      <c r="X223" s="268" t="n"/>
      <c r="Y223" s="268" t="n"/>
      <c r="Z223" s="268" t="n"/>
      <c r="AA223" s="268" t="n"/>
      <c r="AB223" s="268" t="n"/>
      <c r="AC223" s="268" t="n"/>
      <c r="AD223" s="268" t="n"/>
      <c r="AE223" s="268" t="n"/>
      <c r="AF223" s="268" t="n"/>
      <c r="AG223" s="320" t="n"/>
      <c r="AH223" s="268">
        <f>($AG$223*AH15)</f>
        <v>0</v>
      </c>
      <c r="AI223" s="268">
        <f>($AG$223*AI15)</f>
        <v>0</v>
      </c>
      <c r="AJ223" s="268">
        <f>($AG$223*AJ15)</f>
        <v>0</v>
      </c>
      <c r="AK223" s="268">
        <f>($AG$223*AK15)</f>
        <v>0</v>
      </c>
      <c r="AL223" s="268" t="n"/>
      <c r="AM223" s="268">
        <f>($AG$223*AM15)</f>
        <v>0</v>
      </c>
      <c r="AN223" s="268">
        <f>($AG$223*AN15)</f>
        <v>0</v>
      </c>
      <c r="AO223" s="268">
        <f>($AG$223*AO15)</f>
        <v>0</v>
      </c>
      <c r="AP223" s="268">
        <f>($AG$223*AP15)</f>
        <v>0</v>
      </c>
      <c r="AQ223" s="268" t="n"/>
      <c r="AR223" s="268">
        <f>($AG$223*AR15)</f>
        <v>0</v>
      </c>
      <c r="AS223" s="268">
        <f>($AG$223*AS15)</f>
        <v>0</v>
      </c>
      <c r="AT223" s="268">
        <f>($AG$223*AT15)</f>
        <v>0</v>
      </c>
      <c r="AU223" s="268">
        <f>($AG$223*AU15)</f>
        <v>0</v>
      </c>
      <c r="AV223" s="268" t="n"/>
      <c r="AW223" s="268">
        <f>($AG$223*AW15)</f>
        <v>0</v>
      </c>
      <c r="AX223" s="268">
        <f>($AG$223*AX15)</f>
        <v>0</v>
      </c>
      <c r="AY223" s="268">
        <f>($AG$223*AY15)</f>
        <v>0</v>
      </c>
      <c r="AZ223" s="268">
        <f>($AG$223*AZ15)</f>
        <v>0</v>
      </c>
      <c r="BA223" s="268" t="n"/>
      <c r="BB223" s="268">
        <f>($AG$223*BB15)</f>
        <v>0</v>
      </c>
      <c r="BC223" s="268">
        <f>($AG$223*BC15)</f>
        <v>0</v>
      </c>
      <c r="BD223" s="268">
        <f>($AG$223*BD15)</f>
        <v>0</v>
      </c>
      <c r="BE223" s="268">
        <f>($AG$223*BE15)</f>
        <v>0</v>
      </c>
      <c r="BF223" s="268" t="n"/>
      <c r="BG223" s="268">
        <f>($AG$223*BG15)</f>
        <v>0</v>
      </c>
      <c r="BH223" s="268">
        <f>($AG$223*BH15)</f>
        <v>0</v>
      </c>
      <c r="BI223" s="268">
        <f>($AG$223*BI15)</f>
        <v>0</v>
      </c>
      <c r="BJ223" s="268">
        <f>($AG$223*BJ15)</f>
        <v>0</v>
      </c>
      <c r="BK223" s="268" t="n"/>
      <c r="BL223" s="268">
        <f>($AG$223*BL15)</f>
        <v>0</v>
      </c>
      <c r="BM223" s="268">
        <f>($AG$223*BM15)</f>
        <v>0</v>
      </c>
      <c r="BN223" s="268">
        <f>($AG$223*BN15)</f>
        <v>0</v>
      </c>
      <c r="BO223" s="268">
        <f>($AG$223*BO15)</f>
        <v>0</v>
      </c>
      <c r="BP223" s="268" t="n"/>
      <c r="BQ223" s="268">
        <f>($AG$223*BQ15)</f>
        <v>0</v>
      </c>
      <c r="BR223" s="268">
        <f>($AG$223*BR15)</f>
        <v>0</v>
      </c>
      <c r="BS223" s="268">
        <f>($AG$223*BS15)</f>
        <v>0</v>
      </c>
      <c r="BT223" s="268">
        <f>($AG$223*BT15)</f>
        <v>0</v>
      </c>
      <c r="BU223" s="268" t="n"/>
      <c r="BV223" s="268">
        <f>($AG$223*BV15)</f>
        <v>0</v>
      </c>
      <c r="BW223" s="268">
        <f>($AG$223*BW15)</f>
        <v>0</v>
      </c>
      <c r="BX223" s="268">
        <f>($AG$223*BX15)</f>
        <v>0</v>
      </c>
      <c r="BY223" s="268">
        <f>($AG$223*BY15)</f>
        <v>0</v>
      </c>
      <c r="BZ223" s="268" t="n"/>
      <c r="CA223" s="268">
        <f>($AG$223*CA15)</f>
        <v>0</v>
      </c>
      <c r="CB223" s="268">
        <f>($AG$223*CB15)</f>
        <v>0</v>
      </c>
      <c r="CC223" s="268">
        <f>($AG$223*CC15)</f>
        <v>0</v>
      </c>
      <c r="CD223" s="268">
        <f>($AG$223*CD15)</f>
        <v>0</v>
      </c>
      <c r="CE223" s="268" t="n"/>
      <c r="CF223" s="268">
        <f>($AG$223*CF15)</f>
        <v>0</v>
      </c>
      <c r="CG223" s="268">
        <f>($AG$223*CG15)</f>
        <v>0</v>
      </c>
      <c r="CH223" s="268">
        <f>($AG$223*CH15)</f>
        <v>0</v>
      </c>
      <c r="CI223" s="268">
        <f>($AG$223*CI15)</f>
        <v>0</v>
      </c>
      <c r="CJ223" s="268" t="n"/>
      <c r="CK223" s="268">
        <f>($AG$223*CK15)</f>
        <v>0</v>
      </c>
      <c r="CL223" s="268">
        <f>($AG$223*CL15)</f>
        <v>0</v>
      </c>
      <c r="CM223" s="268">
        <f>($AG$223*CM15)</f>
        <v>0</v>
      </c>
      <c r="CN223" s="268">
        <f>($AG$223*CN15)</f>
        <v>0</v>
      </c>
      <c r="CO223" s="268" t="n"/>
      <c r="CP223" s="268">
        <f>($AG$223*CP15)</f>
        <v>0</v>
      </c>
      <c r="CQ223" s="268">
        <f>($AG$223*CQ15)</f>
        <v>0</v>
      </c>
      <c r="CR223" s="268">
        <f>($AG$223*CR15)</f>
        <v>0</v>
      </c>
      <c r="CS223" s="268">
        <f>($AG$223*CS15)</f>
        <v>0</v>
      </c>
      <c r="CT223" s="268" t="n"/>
      <c r="CU223" s="268">
        <f>($AG$223*CU15)</f>
        <v>0</v>
      </c>
      <c r="CV223" s="268">
        <f>($AG$223*CV15)</f>
        <v>0</v>
      </c>
      <c r="CW223" s="268">
        <f>($AG$223*CW15)</f>
        <v>0</v>
      </c>
      <c r="CX223" s="268">
        <f>($AG$223*CX15)</f>
        <v>0</v>
      </c>
      <c r="CY223" s="268" t="n"/>
    </row>
    <row r="224" hidden="1" outlineLevel="1" ht="12.75" customHeight="1" s="255">
      <c r="C224" s="312" t="inlineStr">
        <is>
          <t>Total cash available / (debt required) for short term debt paydown</t>
        </is>
      </c>
      <c r="D224" s="268" t="n"/>
      <c r="E224" s="268" t="n"/>
      <c r="F224" s="268" t="n"/>
      <c r="G224" s="268" t="n"/>
      <c r="H224" s="268" t="n"/>
      <c r="I224" s="268" t="n"/>
      <c r="J224" s="268" t="n"/>
      <c r="K224" s="268" t="n"/>
      <c r="L224" s="268" t="n"/>
      <c r="M224" s="268" t="n"/>
      <c r="N224" s="268" t="n"/>
      <c r="O224" s="268" t="n"/>
      <c r="P224" s="268" t="n"/>
      <c r="Q224" s="268" t="n"/>
      <c r="R224" s="268" t="n"/>
      <c r="S224" s="268" t="n"/>
      <c r="T224" s="268" t="n"/>
      <c r="U224" s="268" t="n"/>
      <c r="V224" s="268" t="n"/>
      <c r="W224" s="268" t="n"/>
      <c r="X224" s="268" t="n"/>
      <c r="Y224" s="268" t="n"/>
      <c r="Z224" s="268" t="n"/>
      <c r="AA224" s="268" t="n"/>
      <c r="AB224" s="268" t="n"/>
      <c r="AC224" s="268" t="n"/>
      <c r="AD224" s="268" t="n"/>
      <c r="AE224" s="268" t="n"/>
      <c r="AF224" s="268" t="n"/>
      <c r="AG224" s="268" t="n"/>
      <c r="AH224" s="259">
        <f>AH221+AH222-AH223-AF211+AH213+AH217</f>
        <v>3725</v>
      </c>
      <c r="AI224" s="259">
        <f>AI221+AI222-AI223-AG211+AI213+AI217</f>
        <v>385</v>
      </c>
      <c r="AJ224" s="259">
        <f>AJ221+AJ222-AJ223-AH211+AJ213+AJ217</f>
        <v>-4944</v>
      </c>
      <c r="AK224" s="259">
        <f>AK221+AK222-AK223-AI211+AK213+AK217</f>
        <v>-73</v>
      </c>
      <c r="AL224" s="268" t="n"/>
      <c r="AM224" s="259" t="e">
        <f>AM221+AM222-AM223-AK211+AM213+AM217</f>
        <v>#DIV/0!</v>
      </c>
      <c r="AN224" s="259" t="e">
        <f>AN221+AN222-AN223-AL211+AN213+AN217</f>
        <v>#DIV/0!</v>
      </c>
      <c r="AO224" s="259" t="e">
        <f>AO221+AO222-AO223-AM211+AO213+AO217</f>
        <v>#DIV/0!</v>
      </c>
      <c r="AP224" s="259" t="e">
        <f>AP221+AP222-AP223-AN211+AP213+AP217</f>
        <v>#DIV/0!</v>
      </c>
      <c r="AQ224" s="268" t="n"/>
      <c r="AR224" s="259" t="e">
        <f>AR221+AR222-AR223-AP211+AR213+AR217</f>
        <v>#DIV/0!</v>
      </c>
      <c r="AS224" s="259" t="e">
        <f>AS221+AS222-AS223-AQ211+AS213+AS217</f>
        <v>#DIV/0!</v>
      </c>
      <c r="AT224" s="259" t="e">
        <f>AT221+AT222-AT223-AR211+AT213+AT217</f>
        <v>#DIV/0!</v>
      </c>
      <c r="AU224" s="259" t="e">
        <f>AU221+AU222-AU223-AS211+AU213+AU217</f>
        <v>#DIV/0!</v>
      </c>
      <c r="AV224" s="268" t="n"/>
      <c r="AW224" s="259" t="e">
        <f>AW221+AW222-AW223-AU211+AW213+AW217</f>
        <v>#DIV/0!</v>
      </c>
      <c r="AX224" s="259" t="e">
        <f>AX221+AX222-AX223-AV211+AX213+AX217</f>
        <v>#DIV/0!</v>
      </c>
      <c r="AY224" s="259" t="e">
        <f>AY221+AY222-AY223-AW211+AY213+AY217</f>
        <v>#DIV/0!</v>
      </c>
      <c r="AZ224" s="259" t="e">
        <f>AZ221+AZ222-AZ223-AX211+AZ213+AZ217</f>
        <v>#DIV/0!</v>
      </c>
      <c r="BA224" s="268" t="n"/>
      <c r="BB224" s="259" t="e">
        <f>BB221+BB222-BB223-AZ211+BB213+BB217</f>
        <v>#DIV/0!</v>
      </c>
      <c r="BC224" s="259" t="e">
        <f>BC221+BC222-BC223-BA211+BC213+BC217</f>
        <v>#DIV/0!</v>
      </c>
      <c r="BD224" s="259" t="e">
        <f>BD221+BD222-BD223-BB211+BD213+BD217</f>
        <v>#DIV/0!</v>
      </c>
      <c r="BE224" s="259" t="e">
        <f>BE221+BE222-BE223-BC211+BE213+BE217</f>
        <v>#DIV/0!</v>
      </c>
      <c r="BF224" s="268" t="n"/>
      <c r="BG224" s="259" t="e">
        <f>BG221+BG222-BG223-BE211+BG213+BG217</f>
        <v>#DIV/0!</v>
      </c>
      <c r="BH224" s="259" t="e">
        <f>BH221+BH222-BH223-BF211+BH213+BH217</f>
        <v>#DIV/0!</v>
      </c>
      <c r="BI224" s="259" t="e">
        <f>BI221+BI222-BI223-BG211+BI213+BI217</f>
        <v>#DIV/0!</v>
      </c>
      <c r="BJ224" s="259" t="e">
        <f>BJ221+BJ222-BJ223-BH211+BJ213+BJ217</f>
        <v>#DIV/0!</v>
      </c>
      <c r="BK224" s="268" t="n"/>
      <c r="BL224" s="259" t="e">
        <f>BL221+BL222-BL223-BJ211+BL213+BL217</f>
        <v>#DIV/0!</v>
      </c>
      <c r="BM224" s="259" t="e">
        <f>BM221+BM222-BM223-BK211+BM213+BM217</f>
        <v>#DIV/0!</v>
      </c>
      <c r="BN224" s="259" t="e">
        <f>BN221+BN222-BN223-BL211+BN213+BN217</f>
        <v>#DIV/0!</v>
      </c>
      <c r="BO224" s="259" t="e">
        <f>BO221+BO222-BO223-BM211+BO213+BO217</f>
        <v>#DIV/0!</v>
      </c>
      <c r="BP224" s="268" t="n"/>
      <c r="BQ224" s="259" t="e">
        <f>BQ221+BQ222-BQ223-BO211+BQ213+BQ217</f>
        <v>#DIV/0!</v>
      </c>
      <c r="BR224" s="259" t="e">
        <f>BR221+BR222-BR223-BP211+BR213+BR217</f>
        <v>#DIV/0!</v>
      </c>
      <c r="BS224" s="259" t="e">
        <f>BS221+BS222-BS223-BQ211+BS213+BS217</f>
        <v>#DIV/0!</v>
      </c>
      <c r="BT224" s="259" t="e">
        <f>BT221+BT222-BT223-BR211+BT213+BT217</f>
        <v>#DIV/0!</v>
      </c>
      <c r="BU224" s="268" t="n"/>
      <c r="BV224" s="259" t="e">
        <f>BV221+BV222-BV223-BT211+BV213+BV217</f>
        <v>#DIV/0!</v>
      </c>
      <c r="BW224" s="259" t="e">
        <f>BW221+BW222-BW223-BU211+BW213+BW217</f>
        <v>#DIV/0!</v>
      </c>
      <c r="BX224" s="259" t="e">
        <f>BX221+BX222-BX223-BV211+BX213+BX217</f>
        <v>#DIV/0!</v>
      </c>
      <c r="BY224" s="259" t="e">
        <f>BY221+BY222-BY223-BW211+BY213+BY217</f>
        <v>#DIV/0!</v>
      </c>
      <c r="BZ224" s="268" t="n"/>
      <c r="CA224" s="259" t="e">
        <f>CA221+CA222-CA223-BY211+CA213+CA217</f>
        <v>#DIV/0!</v>
      </c>
      <c r="CB224" s="259" t="e">
        <f>CB221+CB222-CB223-BZ211+CB213+CB217</f>
        <v>#DIV/0!</v>
      </c>
      <c r="CC224" s="259" t="e">
        <f>CC221+CC222-CC223-CA211+CC213+CC217</f>
        <v>#DIV/0!</v>
      </c>
      <c r="CD224" s="259" t="e">
        <f>CD221+CD222-CD223-CB211+CD213+CD217</f>
        <v>#DIV/0!</v>
      </c>
      <c r="CE224" s="268" t="n"/>
      <c r="CF224" s="259" t="e">
        <f>CF221+CF222-CF223-CD211+CF213+CF217</f>
        <v>#DIV/0!</v>
      </c>
      <c r="CG224" s="259" t="e">
        <f>CG221+CG222-CG223-CE211+CG213+CG217</f>
        <v>#DIV/0!</v>
      </c>
      <c r="CH224" s="259" t="e">
        <f>CH221+CH222-CH223-CF211+CH213+CH217</f>
        <v>#DIV/0!</v>
      </c>
      <c r="CI224" s="259" t="e">
        <f>CI221+CI222-CI223-CG211+CI213+CI217</f>
        <v>#DIV/0!</v>
      </c>
      <c r="CJ224" s="268" t="n"/>
      <c r="CK224" s="259" t="e">
        <f>CK221+CK222-CK223-CI211+CK213+CK217</f>
        <v>#DIV/0!</v>
      </c>
      <c r="CL224" s="259" t="e">
        <f>CL221+CL222-CL223-CJ211+CL213+CL217</f>
        <v>#DIV/0!</v>
      </c>
      <c r="CM224" s="259" t="e">
        <f>CM221+CM222-CM223-CK211+CM213+CM217</f>
        <v>#DIV/0!</v>
      </c>
      <c r="CN224" s="259" t="e">
        <f>CN221+CN222-CN223-CL211+CN213+CN217</f>
        <v>#DIV/0!</v>
      </c>
      <c r="CO224" s="268" t="n"/>
      <c r="CP224" s="259" t="e">
        <f>CP221+CP222-CP223-CN211+CP213+CP217</f>
        <v>#DIV/0!</v>
      </c>
      <c r="CQ224" s="259" t="e">
        <f>CQ221+CQ222-CQ223-CO211+CQ213+CQ217</f>
        <v>#DIV/0!</v>
      </c>
      <c r="CR224" s="259" t="e">
        <f>CR221+CR222-CR223-CP211+CR213+CR217</f>
        <v>#DIV/0!</v>
      </c>
      <c r="CS224" s="259" t="e">
        <f>CS221+CS222-CS223-CQ211+CS213+CS217</f>
        <v>#DIV/0!</v>
      </c>
      <c r="CT224" s="268" t="n"/>
      <c r="CU224" s="259" t="e">
        <f>CU221+CU222-CU223-CS211+CU213+CU217</f>
        <v>#DIV/0!</v>
      </c>
      <c r="CV224" s="259" t="e">
        <f>CV221+CV222-CV223-CT211+CV213+CV217</f>
        <v>#DIV/0!</v>
      </c>
      <c r="CW224" s="259" t="e">
        <f>CW221+CW222-CW223-CU211+CW213+CW217</f>
        <v>#DIV/0!</v>
      </c>
      <c r="CX224" s="259" t="e">
        <f>CX221+CX222-CX223-CV211+CX213+CX217</f>
        <v>#DIV/0!</v>
      </c>
      <c r="CY224" s="268" t="n"/>
    </row>
    <row r="225" hidden="1" outlineLevel="1" ht="12.75" customHeight="1" s="255">
      <c r="C225" s="312" t="inlineStr">
        <is>
          <t>Short term debt</t>
        </is>
      </c>
      <c r="D225" s="268" t="n"/>
      <c r="E225" s="268" t="n"/>
      <c r="F225" s="268" t="n"/>
      <c r="G225" s="268" t="n"/>
      <c r="H225" s="268" t="n"/>
      <c r="I225" s="268" t="n"/>
      <c r="J225" s="268" t="n"/>
      <c r="K225" s="268" t="n"/>
      <c r="L225" s="268" t="n"/>
      <c r="M225" s="268" t="n"/>
      <c r="N225" s="268" t="n"/>
      <c r="O225" s="268" t="n"/>
      <c r="P225" s="268" t="n"/>
      <c r="Q225" s="268" t="n"/>
      <c r="R225" s="268" t="n"/>
      <c r="S225" s="268" t="n"/>
      <c r="T225" s="268" t="n"/>
      <c r="U225" s="268" t="n"/>
      <c r="V225" s="268" t="n"/>
      <c r="W225" s="268" t="n"/>
      <c r="X225" s="268" t="n"/>
      <c r="Y225" s="268" t="n"/>
      <c r="Z225" s="268" t="n"/>
      <c r="AA225" s="268" t="n"/>
      <c r="AB225" s="268" t="n"/>
      <c r="AC225" s="268" t="n"/>
      <c r="AD225" s="268" t="n"/>
      <c r="AE225" s="268" t="n"/>
      <c r="AF225" s="268" t="n"/>
      <c r="AG225" s="268" t="n"/>
      <c r="AH225" s="268">
        <f>AH205</f>
        <v>0</v>
      </c>
      <c r="AI225" s="268">
        <f>MAX(0,AH225-AI224)</f>
        <v>0</v>
      </c>
      <c r="AJ225" s="268">
        <f>MAX(0,AI225-AJ224)</f>
        <v>4944</v>
      </c>
      <c r="AK225" s="268">
        <f>MAX(0,AJ225-AK224)</f>
        <v>5017</v>
      </c>
      <c r="AL225" s="268" t="n"/>
      <c r="AM225" s="268">
        <f>AM205</f>
        <v>0</v>
      </c>
      <c r="AN225" s="268" t="e">
        <f>MAX(0,AM225-AN224)</f>
        <v>#DIV/0!</v>
      </c>
      <c r="AO225" s="268" t="e">
        <f>MAX(0,AN225-AO224)</f>
        <v>#DIV/0!</v>
      </c>
      <c r="AP225" s="268" t="e">
        <f>MAX(0,AO225-AP224)</f>
        <v>#DIV/0!</v>
      </c>
      <c r="AQ225" s="268" t="n"/>
      <c r="AR225" s="268">
        <f>AR205</f>
        <v>0</v>
      </c>
      <c r="AS225" s="268" t="e">
        <f>MAX(0,AR225-AS224)</f>
        <v>#DIV/0!</v>
      </c>
      <c r="AT225" s="268" t="e">
        <f>MAX(0,AS225-AT224)</f>
        <v>#DIV/0!</v>
      </c>
      <c r="AU225" s="268" t="e">
        <f>MAX(0,AT225-AU224)</f>
        <v>#DIV/0!</v>
      </c>
      <c r="AV225" s="268" t="n"/>
      <c r="AW225" s="268">
        <f>AW205</f>
        <v>0</v>
      </c>
      <c r="AX225" s="268" t="e">
        <f>MAX(0,AW225-AX224)</f>
        <v>#DIV/0!</v>
      </c>
      <c r="AY225" s="268" t="e">
        <f>MAX(0,AX225-AY224)</f>
        <v>#DIV/0!</v>
      </c>
      <c r="AZ225" s="268" t="e">
        <f>MAX(0,AY225-AZ224)</f>
        <v>#DIV/0!</v>
      </c>
      <c r="BA225" s="268" t="n"/>
      <c r="BB225" s="268">
        <f>BB205</f>
        <v>0</v>
      </c>
      <c r="BC225" s="268" t="e">
        <f>MAX(0,BB225-BC224)</f>
        <v>#DIV/0!</v>
      </c>
      <c r="BD225" s="268" t="e">
        <f>MAX(0,BC225-BD224)</f>
        <v>#DIV/0!</v>
      </c>
      <c r="BE225" s="268" t="e">
        <f>MAX(0,BD225-BE224)</f>
        <v>#DIV/0!</v>
      </c>
      <c r="BF225" s="268" t="n"/>
      <c r="BG225" s="268">
        <f>BG205</f>
        <v>0</v>
      </c>
      <c r="BH225" s="268" t="e">
        <f>MAX(0,BG225-BH224)</f>
        <v>#DIV/0!</v>
      </c>
      <c r="BI225" s="268" t="e">
        <f>MAX(0,BH225-BI224)</f>
        <v>#DIV/0!</v>
      </c>
      <c r="BJ225" s="268" t="e">
        <f>MAX(0,BI225-BJ224)</f>
        <v>#DIV/0!</v>
      </c>
      <c r="BK225" s="268" t="n"/>
      <c r="BL225" s="268">
        <f>BL205</f>
        <v>0</v>
      </c>
      <c r="BM225" s="268" t="e">
        <f>MAX(0,BL225-BM224)</f>
        <v>#DIV/0!</v>
      </c>
      <c r="BN225" s="268" t="e">
        <f>MAX(0,BM225-BN224)</f>
        <v>#DIV/0!</v>
      </c>
      <c r="BO225" s="268" t="e">
        <f>MAX(0,BN225-BO224)</f>
        <v>#DIV/0!</v>
      </c>
      <c r="BP225" s="268" t="n"/>
      <c r="BQ225" s="268">
        <f>BQ205</f>
        <v>0</v>
      </c>
      <c r="BR225" s="268" t="e">
        <f>MAX(0,BQ225-BR224)</f>
        <v>#DIV/0!</v>
      </c>
      <c r="BS225" s="268" t="e">
        <f>MAX(0,BR225-BS224)</f>
        <v>#DIV/0!</v>
      </c>
      <c r="BT225" s="268" t="e">
        <f>MAX(0,BS225-BT224)</f>
        <v>#DIV/0!</v>
      </c>
      <c r="BU225" s="268" t="n"/>
      <c r="BV225" s="268">
        <f>BV205</f>
        <v>0</v>
      </c>
      <c r="BW225" s="268" t="e">
        <f>MAX(0,BV225-BW224)</f>
        <v>#DIV/0!</v>
      </c>
      <c r="BX225" s="268" t="e">
        <f>MAX(0,BW225-BX224)</f>
        <v>#DIV/0!</v>
      </c>
      <c r="BY225" s="268" t="e">
        <f>MAX(0,BX225-BY224)</f>
        <v>#DIV/0!</v>
      </c>
      <c r="BZ225" s="268" t="n"/>
      <c r="CA225" s="268">
        <f>CA205</f>
        <v>0</v>
      </c>
      <c r="CB225" s="268" t="e">
        <f>MAX(0,CA225-CB224)</f>
        <v>#DIV/0!</v>
      </c>
      <c r="CC225" s="268" t="e">
        <f>MAX(0,CB225-CC224)</f>
        <v>#DIV/0!</v>
      </c>
      <c r="CD225" s="268" t="e">
        <f>MAX(0,CC225-CD224)</f>
        <v>#DIV/0!</v>
      </c>
      <c r="CE225" s="268" t="n"/>
      <c r="CF225" s="268">
        <f>CF205</f>
        <v>0</v>
      </c>
      <c r="CG225" s="268" t="e">
        <f>MAX(0,CF225-CG224)</f>
        <v>#DIV/0!</v>
      </c>
      <c r="CH225" s="268" t="e">
        <f>MAX(0,CG225-CH224)</f>
        <v>#DIV/0!</v>
      </c>
      <c r="CI225" s="268" t="e">
        <f>MAX(0,CH225-CI224)</f>
        <v>#DIV/0!</v>
      </c>
      <c r="CJ225" s="268" t="n"/>
      <c r="CK225" s="268">
        <f>CK205</f>
        <v>0</v>
      </c>
      <c r="CL225" s="268" t="e">
        <f>MAX(0,CK225-CL224)</f>
        <v>#DIV/0!</v>
      </c>
      <c r="CM225" s="268" t="e">
        <f>MAX(0,CL225-CM224)</f>
        <v>#DIV/0!</v>
      </c>
      <c r="CN225" s="268" t="e">
        <f>MAX(0,CM225-CN224)</f>
        <v>#DIV/0!</v>
      </c>
      <c r="CO225" s="268" t="n"/>
      <c r="CP225" s="268">
        <f>CP205</f>
        <v>0</v>
      </c>
      <c r="CQ225" s="268" t="e">
        <f>MAX(0,CP225-CQ224)</f>
        <v>#DIV/0!</v>
      </c>
      <c r="CR225" s="268" t="e">
        <f>MAX(0,CQ225-CR224)</f>
        <v>#DIV/0!</v>
      </c>
      <c r="CS225" s="268" t="e">
        <f>MAX(0,CR225-CS224)</f>
        <v>#DIV/0!</v>
      </c>
      <c r="CT225" s="268" t="n"/>
      <c r="CU225" s="268">
        <f>CU205</f>
        <v>0</v>
      </c>
      <c r="CV225" s="268" t="e">
        <f>MAX(0,CU225-CV224)</f>
        <v>#DIV/0!</v>
      </c>
      <c r="CW225" s="268" t="e">
        <f>MAX(0,CV225-CW224)</f>
        <v>#DIV/0!</v>
      </c>
      <c r="CX225" s="268" t="e">
        <f>MAX(0,CW225-CX224)</f>
        <v>#DIV/0!</v>
      </c>
      <c r="CY225" s="268" t="n"/>
    </row>
    <row r="226" hidden="1" outlineLevel="1" ht="12.75" customHeight="1" s="255">
      <c r="C226" s="312" t="n"/>
      <c r="D226" s="268" t="n"/>
      <c r="E226" s="268" t="n"/>
      <c r="F226" s="268" t="n"/>
      <c r="G226" s="268" t="n"/>
      <c r="H226" s="268" t="n"/>
      <c r="I226" s="268" t="n"/>
      <c r="J226" s="268" t="n"/>
      <c r="K226" s="268" t="n"/>
      <c r="L226" s="268" t="n"/>
      <c r="M226" s="268" t="n"/>
      <c r="N226" s="268" t="n"/>
      <c r="O226" s="268" t="n"/>
      <c r="P226" s="268" t="n"/>
      <c r="Q226" s="268" t="n"/>
      <c r="R226" s="268" t="n"/>
      <c r="S226" s="268" t="n"/>
      <c r="T226" s="268" t="n"/>
      <c r="U226" s="268" t="n"/>
      <c r="V226" s="268" t="n"/>
      <c r="W226" s="268" t="n"/>
      <c r="X226" s="268" t="n"/>
      <c r="Y226" s="268" t="n"/>
      <c r="Z226" s="268" t="n"/>
      <c r="AA226" s="268" t="n"/>
      <c r="AB226" s="268" t="n"/>
      <c r="AC226" s="268" t="n"/>
      <c r="AD226" s="268" t="n"/>
      <c r="AE226" s="268" t="n"/>
      <c r="AF226" s="268" t="n"/>
      <c r="AG226" s="268" t="n"/>
      <c r="AH226" s="268" t="n"/>
      <c r="AI226" s="268" t="n"/>
      <c r="AJ226" s="268" t="n"/>
      <c r="AK226" s="268" t="n"/>
      <c r="AL226" s="268" t="n"/>
      <c r="AM226" s="268" t="n"/>
      <c r="AN226" s="268" t="n"/>
      <c r="AO226" s="268" t="n"/>
      <c r="AP226" s="268" t="n"/>
      <c r="AQ226" s="268" t="n"/>
      <c r="AR226" s="268" t="n"/>
      <c r="AS226" s="268" t="n"/>
      <c r="AT226" s="268" t="n"/>
      <c r="AU226" s="268" t="n"/>
      <c r="AV226" s="268" t="n"/>
      <c r="AW226" s="268" t="n"/>
      <c r="AX226" s="268" t="n"/>
      <c r="AY226" s="268" t="n"/>
      <c r="AZ226" s="268" t="n"/>
      <c r="BA226" s="268" t="n"/>
      <c r="BB226" s="268" t="n"/>
      <c r="BC226" s="268" t="n"/>
      <c r="BD226" s="268" t="n"/>
      <c r="BE226" s="268" t="n"/>
      <c r="BF226" s="268" t="n"/>
      <c r="BG226" s="268" t="n"/>
      <c r="BH226" s="268" t="n"/>
      <c r="BI226" s="268" t="n"/>
      <c r="BJ226" s="268" t="n"/>
      <c r="BK226" s="268" t="n"/>
      <c r="BL226" s="268" t="n"/>
      <c r="BM226" s="268" t="n"/>
      <c r="BN226" s="268" t="n"/>
      <c r="BO226" s="268" t="n"/>
      <c r="BP226" s="268" t="n"/>
      <c r="BQ226" s="268" t="n"/>
      <c r="BR226" s="268" t="n"/>
      <c r="BS226" s="268" t="n"/>
      <c r="BT226" s="268" t="n"/>
      <c r="BU226" s="268" t="n"/>
      <c r="BV226" s="268" t="n"/>
      <c r="BW226" s="268" t="n"/>
      <c r="BX226" s="268" t="n"/>
      <c r="BY226" s="268" t="n"/>
      <c r="BZ226" s="268" t="n"/>
      <c r="CA226" s="268" t="n"/>
      <c r="CB226" s="268" t="n"/>
      <c r="CC226" s="268" t="n"/>
      <c r="CD226" s="268" t="n"/>
      <c r="CE226" s="268" t="n"/>
      <c r="CF226" s="268" t="n"/>
      <c r="CG226" s="268" t="n"/>
      <c r="CH226" s="268" t="n"/>
      <c r="CI226" s="268" t="n"/>
      <c r="CJ226" s="268" t="n"/>
      <c r="CK226" s="268" t="n"/>
      <c r="CL226" s="268" t="n"/>
      <c r="CM226" s="268" t="n"/>
      <c r="CN226" s="268" t="n"/>
      <c r="CO226" s="268" t="n"/>
      <c r="CP226" s="268" t="n"/>
      <c r="CQ226" s="268" t="n"/>
      <c r="CR226" s="268" t="n"/>
      <c r="CS226" s="268" t="n"/>
      <c r="CT226" s="268" t="n"/>
      <c r="CU226" s="268" t="n"/>
      <c r="CV226" s="268" t="n"/>
      <c r="CW226" s="268" t="n"/>
      <c r="CX226" s="268" t="n"/>
      <c r="CY226" s="268" t="n"/>
    </row>
    <row r="227" ht="12.75" customHeight="1" s="255">
      <c r="C227" s="270" t="inlineStr">
        <is>
          <t>Long term operating leases</t>
        </is>
      </c>
      <c r="D227" s="301">
        <f>INDEX('Inputs (2)'!$D$36:$AL$36,MATCH(D$7,'Inputs (2)'!$D$2:$AL$2,0))</f>
        <v>0</v>
      </c>
      <c r="E227" s="301">
        <f>INDEX('Inputs (2)'!$D$36:$AL$36,MATCH(E$7,'Inputs (2)'!$D$2:$AL$2,0))</f>
        <v>0</v>
      </c>
      <c r="F227" s="301">
        <f>INDEX('Inputs (2)'!$D$36:$AL$36,MATCH(F$7,'Inputs (2)'!$D$2:$AL$2,0))</f>
        <v>0</v>
      </c>
      <c r="G227" s="301">
        <f>INDEX('Inputs (2)'!$D$36:$AL$36,MATCH(G$7,'Inputs (2)'!$D$2:$AL$2,0))</f>
        <v>0</v>
      </c>
      <c r="H227" s="268">
        <f>G227</f>
        <v>0</v>
      </c>
      <c r="I227" s="301">
        <f>INDEX('Inputs (2)'!$D$36:$AL$36,MATCH(I$7,'Inputs (2)'!$D$2:$AL$2,0))</f>
        <v>0</v>
      </c>
      <c r="J227" s="301">
        <f>INDEX('Inputs (2)'!$D$36:$AL$36,MATCH(J$7,'Inputs (2)'!$D$2:$AL$2,0))</f>
        <v>0</v>
      </c>
      <c r="K227" s="301">
        <f>INDEX('Inputs (2)'!$D$36:$AL$36,MATCH(K$7,'Inputs (2)'!$D$2:$AL$2,0))</f>
        <v>0</v>
      </c>
      <c r="L227" s="301">
        <f>INDEX('Inputs (2)'!$D$36:$AL$36,MATCH(L$7,'Inputs (2)'!$D$2:$AL$2,0))</f>
        <v>0</v>
      </c>
      <c r="M227" s="268">
        <f>L227</f>
        <v>0</v>
      </c>
      <c r="N227" s="301">
        <f>INDEX('Inputs (2)'!$D$36:$AL$36,MATCH(N$7,'Inputs (2)'!$D$2:$AL$2,0))</f>
        <v>0</v>
      </c>
      <c r="O227" s="301">
        <f>INDEX('Inputs (2)'!$D$36:$AL$36,MATCH(O$7,'Inputs (2)'!$D$2:$AL$2,0))</f>
        <v>0</v>
      </c>
      <c r="P227" s="301">
        <f>INDEX('Inputs (2)'!$D$36:$AL$36,MATCH(P$7,'Inputs (2)'!$D$2:$AL$2,0))</f>
        <v>0</v>
      </c>
      <c r="Q227" s="301">
        <f>INDEX('Inputs (2)'!$D$36:$AL$36,MATCH(Q$7,'Inputs (2)'!$D$2:$AL$2,0))</f>
        <v>0</v>
      </c>
      <c r="R227" s="268">
        <f>Q227</f>
        <v>0</v>
      </c>
      <c r="S227" s="301">
        <f>INDEX('Inputs (2)'!$D$36:$AL$36,MATCH(S$7,'Inputs (2)'!$D$2:$AL$2,0))</f>
        <v>0</v>
      </c>
      <c r="T227" s="301">
        <f>INDEX('Inputs (2)'!$D$36:$AL$36,MATCH(T$7,'Inputs (2)'!$D$2:$AL$2,0))</f>
        <v>0</v>
      </c>
      <c r="U227" s="301">
        <f>INDEX('Inputs (2)'!$D$36:$AL$36,MATCH(U$7,'Inputs (2)'!$D$2:$AL$2,0))</f>
        <v>0</v>
      </c>
      <c r="V227" s="301">
        <f>INDEX('Inputs (2)'!$D$36:$AL$36,MATCH(V$7,'Inputs (2)'!$D$2:$AL$2,0))</f>
        <v>0</v>
      </c>
      <c r="W227" s="268">
        <f>V227</f>
        <v>0</v>
      </c>
      <c r="X227" s="301">
        <f>INDEX('Inputs (2)'!$D$36:$AL$36,MATCH(X$7,'Inputs (2)'!$D$2:$AL$2,0))</f>
        <v>0</v>
      </c>
      <c r="Y227" s="301">
        <f>INDEX('Inputs (2)'!$D$36:$AL$36,MATCH(Y$7,'Inputs (2)'!$D$2:$AL$2,0))</f>
        <v>0</v>
      </c>
      <c r="Z227" s="301">
        <f>INDEX('Inputs (2)'!$D$36:$AL$36,MATCH(Z$7,'Inputs (2)'!$D$2:$AL$2,0))</f>
        <v>0</v>
      </c>
      <c r="AA227" s="301">
        <f>INDEX('Inputs (2)'!$D$36:$AL$36,MATCH(AA$7,'Inputs (2)'!$D$2:$AL$2,0))</f>
        <v>0</v>
      </c>
      <c r="AB227" s="268">
        <f>AA227</f>
        <v>0</v>
      </c>
      <c r="AC227" s="301">
        <f>INDEX('Inputs (2)'!$D$36:$AL$36,MATCH(AC$7,'Inputs (2)'!$D$2:$AL$2,0))</f>
        <v>0</v>
      </c>
      <c r="AD227" s="301">
        <f>INDEX('Inputs (2)'!$D$36:$AL$36,MATCH(AD$7,'Inputs (2)'!$D$2:$AL$2,0))</f>
        <v>0</v>
      </c>
      <c r="AE227" s="301">
        <f>INDEX('Inputs (2)'!$D$36:$AL$36,MATCH(AE$7,'Inputs (2)'!$D$2:$AL$2,0))</f>
        <v>0</v>
      </c>
      <c r="AF227" s="301">
        <f>INDEX('Inputs (2)'!$D$36:$AL$36,MATCH(AF$7,'Inputs (2)'!$D$2:$AL$2,0))</f>
        <v>1010</v>
      </c>
      <c r="AG227" s="268">
        <f>AF227</f>
        <v>1010</v>
      </c>
      <c r="AH227" s="268">
        <f>INDEX('Inputs (2)'!$D$36:$AL$36,MATCH(AH$7,'Inputs (2)'!$D$2:$AL$2,0))</f>
        <v>987</v>
      </c>
      <c r="AI227" s="268">
        <f>INDEX('Inputs (2)'!$D$36:$AL$36,MATCH(AI$7,'Inputs (2)'!$D$2:$AL$2,0))</f>
        <v>973</v>
      </c>
      <c r="AJ227" s="268">
        <f>AI227</f>
        <v>973</v>
      </c>
      <c r="AK227" s="268">
        <f>AJ227</f>
        <v>973</v>
      </c>
      <c r="AL227" s="268">
        <f>AK227</f>
        <v>973</v>
      </c>
      <c r="AM227" s="268">
        <f>AL227</f>
        <v>973</v>
      </c>
      <c r="AN227" s="268">
        <f>AM227</f>
        <v>973</v>
      </c>
      <c r="AO227" s="268">
        <f>AN227</f>
        <v>973</v>
      </c>
      <c r="AP227" s="268">
        <f>AO227</f>
        <v>973</v>
      </c>
      <c r="AQ227" s="268">
        <f>AP227</f>
        <v>973</v>
      </c>
      <c r="AR227" s="268">
        <f>AQ227</f>
        <v>973</v>
      </c>
      <c r="AS227" s="268">
        <f>AR227</f>
        <v>973</v>
      </c>
      <c r="AT227" s="268">
        <f>AS227</f>
        <v>973</v>
      </c>
      <c r="AU227" s="268">
        <f>AT227</f>
        <v>973</v>
      </c>
      <c r="AV227" s="268">
        <f>AU227</f>
        <v>973</v>
      </c>
      <c r="AW227" s="268">
        <f>AV227</f>
        <v>973</v>
      </c>
      <c r="AX227" s="268">
        <f>AW227</f>
        <v>973</v>
      </c>
      <c r="AY227" s="268">
        <f>AX227</f>
        <v>973</v>
      </c>
      <c r="AZ227" s="268">
        <f>AY227</f>
        <v>973</v>
      </c>
      <c r="BA227" s="268">
        <f>AZ227</f>
        <v>973</v>
      </c>
      <c r="BB227" s="268">
        <f>BA227</f>
        <v>973</v>
      </c>
      <c r="BC227" s="268">
        <f>BB227</f>
        <v>973</v>
      </c>
      <c r="BD227" s="268">
        <f>BC227</f>
        <v>973</v>
      </c>
      <c r="BE227" s="268">
        <f>BD227</f>
        <v>973</v>
      </c>
      <c r="BF227" s="268">
        <f>BE227</f>
        <v>973</v>
      </c>
      <c r="BG227" s="268">
        <f>BF227</f>
        <v>973</v>
      </c>
      <c r="BH227" s="268">
        <f>BG227</f>
        <v>973</v>
      </c>
      <c r="BI227" s="268">
        <f>BH227</f>
        <v>973</v>
      </c>
      <c r="BJ227" s="268">
        <f>BI227</f>
        <v>973</v>
      </c>
      <c r="BK227" s="268">
        <f>BJ227</f>
        <v>973</v>
      </c>
      <c r="BL227" s="268">
        <f>BK227</f>
        <v>973</v>
      </c>
      <c r="BM227" s="268">
        <f>BL227</f>
        <v>973</v>
      </c>
      <c r="BN227" s="268">
        <f>BM227</f>
        <v>973</v>
      </c>
      <c r="BO227" s="268">
        <f>BN227</f>
        <v>973</v>
      </c>
      <c r="BP227" s="268">
        <f>BO227</f>
        <v>973</v>
      </c>
      <c r="BQ227" s="268">
        <f>BP227</f>
        <v>973</v>
      </c>
      <c r="BR227" s="268">
        <f>BQ227</f>
        <v>973</v>
      </c>
      <c r="BS227" s="268">
        <f>BR227</f>
        <v>973</v>
      </c>
      <c r="BT227" s="268">
        <f>BS227</f>
        <v>973</v>
      </c>
      <c r="BU227" s="268">
        <f>BT227</f>
        <v>973</v>
      </c>
      <c r="BV227" s="268">
        <f>BU227</f>
        <v>973</v>
      </c>
      <c r="BW227" s="268">
        <f>BV227</f>
        <v>973</v>
      </c>
      <c r="BX227" s="268">
        <f>BW227</f>
        <v>973</v>
      </c>
      <c r="BY227" s="268">
        <f>BX227</f>
        <v>973</v>
      </c>
      <c r="BZ227" s="268">
        <f>BY227</f>
        <v>973</v>
      </c>
      <c r="CA227" s="268">
        <f>BZ227</f>
        <v>973</v>
      </c>
      <c r="CB227" s="268">
        <f>CA227</f>
        <v>973</v>
      </c>
      <c r="CC227" s="268">
        <f>CB227</f>
        <v>973</v>
      </c>
      <c r="CD227" s="268">
        <f>CC227</f>
        <v>973</v>
      </c>
      <c r="CE227" s="268">
        <f>CD227</f>
        <v>973</v>
      </c>
      <c r="CF227" s="268">
        <f>CE227</f>
        <v>973</v>
      </c>
      <c r="CG227" s="268">
        <f>CF227</f>
        <v>973</v>
      </c>
      <c r="CH227" s="268">
        <f>CG227</f>
        <v>973</v>
      </c>
      <c r="CI227" s="268">
        <f>CH227</f>
        <v>973</v>
      </c>
      <c r="CJ227" s="268">
        <f>CI227</f>
        <v>973</v>
      </c>
      <c r="CK227" s="268">
        <f>CJ227</f>
        <v>973</v>
      </c>
      <c r="CL227" s="268">
        <f>CK227</f>
        <v>973</v>
      </c>
      <c r="CM227" s="268">
        <f>CL227</f>
        <v>973</v>
      </c>
      <c r="CN227" s="268">
        <f>CM227</f>
        <v>973</v>
      </c>
      <c r="CO227" s="268">
        <f>CN227</f>
        <v>973</v>
      </c>
      <c r="CP227" s="268">
        <f>CO227</f>
        <v>973</v>
      </c>
      <c r="CQ227" s="268">
        <f>CP227</f>
        <v>973</v>
      </c>
      <c r="CR227" s="268">
        <f>CQ227</f>
        <v>973</v>
      </c>
      <c r="CS227" s="268">
        <f>CR227</f>
        <v>973</v>
      </c>
      <c r="CT227" s="268">
        <f>CS227</f>
        <v>973</v>
      </c>
      <c r="CU227" s="268">
        <f>CT227</f>
        <v>973</v>
      </c>
      <c r="CV227" s="268">
        <f>CU227</f>
        <v>973</v>
      </c>
      <c r="CW227" s="268">
        <f>CV227</f>
        <v>973</v>
      </c>
      <c r="CX227" s="268">
        <f>CW227</f>
        <v>973</v>
      </c>
      <c r="CY227" s="268">
        <f>CX227</f>
        <v>973</v>
      </c>
    </row>
    <row r="228" hidden="1" outlineLevel="1" ht="12.75" customHeight="1" s="255">
      <c r="C228" s="314" t="inlineStr">
        <is>
          <t>%(Var.)</t>
        </is>
      </c>
      <c r="D228" s="268" t="n"/>
      <c r="E228" s="296">
        <f>IFERROR((E227-D227)/D227,0)</f>
        <v>0</v>
      </c>
      <c r="F228" s="296">
        <f>IFERROR((F227-E227)/E227,0)</f>
        <v>0</v>
      </c>
      <c r="G228" s="296">
        <f>IFERROR((G227-F227)/F227,0)</f>
        <v>0</v>
      </c>
      <c r="H228" s="268" t="n"/>
      <c r="I228" s="296">
        <f>IFERROR((I227-H227)/H227,0)</f>
        <v>0</v>
      </c>
      <c r="J228" s="296">
        <f>IFERROR((J227-I227)/I227,0)</f>
        <v>0</v>
      </c>
      <c r="K228" s="296">
        <f>IFERROR((K227-J227)/J227,0)</f>
        <v>0</v>
      </c>
      <c r="L228" s="296">
        <f>IFERROR((L227-K227)/K227,0)</f>
        <v>0</v>
      </c>
      <c r="M228" s="268" t="n"/>
      <c r="N228" s="296">
        <f>IFERROR((N227-M227)/M227,0)</f>
        <v>0</v>
      </c>
      <c r="O228" s="296">
        <f>IFERROR((O227-N227)/N227,0)</f>
        <v>0</v>
      </c>
      <c r="P228" s="296">
        <f>IFERROR((P227-O227)/O227,0)</f>
        <v>0</v>
      </c>
      <c r="Q228" s="296">
        <f>IFERROR((Q227-P227)/P227,0)</f>
        <v>0</v>
      </c>
      <c r="R228" s="268" t="n"/>
      <c r="S228" s="296">
        <f>IFERROR((S227-R227)/R227,0)</f>
        <v>0</v>
      </c>
      <c r="T228" s="296">
        <f>IFERROR((T227-S227)/S227,0)</f>
        <v>0</v>
      </c>
      <c r="U228" s="296">
        <f>IFERROR((U227-T227)/T227,0)</f>
        <v>0</v>
      </c>
      <c r="V228" s="296">
        <f>IFERROR((V227-U227)/U227,0)</f>
        <v>0</v>
      </c>
      <c r="W228" s="268" t="n"/>
      <c r="X228" s="296">
        <f>IFERROR((X227-W227)/W227,0)</f>
        <v>0</v>
      </c>
      <c r="Y228" s="296">
        <f>IFERROR((Y227-X227)/X227,0)</f>
        <v>0</v>
      </c>
      <c r="Z228" s="296">
        <f>IFERROR((Z227-Y227)/Y227,0)</f>
        <v>0</v>
      </c>
      <c r="AA228" s="296">
        <f>IFERROR((AA227-Z227)/Z227,0)</f>
        <v>0</v>
      </c>
      <c r="AB228" s="268" t="n"/>
      <c r="AC228" s="296">
        <f>IFERROR((AC227-AB227)/AB227,0)</f>
        <v>0</v>
      </c>
      <c r="AD228" s="296">
        <f>IFERROR((AD227-AC227)/AC227,0)</f>
        <v>0</v>
      </c>
      <c r="AE228" s="296">
        <f>IFERROR((AE227-AD227)/AD227,0)</f>
        <v>0</v>
      </c>
      <c r="AF228" s="297">
        <f>IFERROR((AF227-AE227)/AE227,0)</f>
        <v>0</v>
      </c>
      <c r="AG228" s="268" t="n"/>
      <c r="AH228" s="267">
        <f>IFERROR((AH227-AG227)/AG227,0)</f>
        <v>-0.0227722772277228</v>
      </c>
      <c r="AI228" s="267">
        <f>IFERROR((AI227-AH227)/AH227,0)</f>
        <v>-0.0141843971631206</v>
      </c>
      <c r="AJ228" s="267" t="n"/>
      <c r="AK228" s="267" t="n"/>
      <c r="AL228" s="268" t="n"/>
      <c r="AM228" s="267" t="n"/>
      <c r="AN228" s="267" t="n"/>
      <c r="AO228" s="267" t="n"/>
      <c r="AP228" s="267" t="n"/>
      <c r="AQ228" s="268" t="n"/>
      <c r="AR228" s="267" t="n"/>
      <c r="AS228" s="267" t="n"/>
      <c r="AT228" s="267" t="n"/>
      <c r="AU228" s="267" t="n"/>
      <c r="AV228" s="268" t="n"/>
      <c r="AW228" s="267" t="n"/>
      <c r="AX228" s="267" t="n"/>
      <c r="AY228" s="267" t="n"/>
      <c r="AZ228" s="267" t="n"/>
      <c r="BA228" s="268" t="n"/>
      <c r="BB228" s="267" t="n"/>
      <c r="BC228" s="267" t="n"/>
      <c r="BD228" s="267" t="n"/>
      <c r="BE228" s="267" t="n"/>
      <c r="BF228" s="268" t="n"/>
      <c r="BG228" s="267" t="n"/>
      <c r="BH228" s="267" t="n"/>
      <c r="BI228" s="267" t="n"/>
      <c r="BJ228" s="267" t="n"/>
      <c r="BK228" s="268" t="n"/>
      <c r="BL228" s="267" t="n"/>
      <c r="BM228" s="267" t="n"/>
      <c r="BN228" s="267" t="n"/>
      <c r="BO228" s="267" t="n"/>
      <c r="BP228" s="268" t="n"/>
      <c r="BQ228" s="267" t="n"/>
      <c r="BR228" s="267" t="n"/>
      <c r="BS228" s="267" t="n"/>
      <c r="BT228" s="267" t="n"/>
      <c r="BU228" s="268" t="n"/>
      <c r="BV228" s="267" t="n"/>
      <c r="BW228" s="267" t="n"/>
      <c r="BX228" s="267" t="n"/>
      <c r="BY228" s="267" t="n"/>
      <c r="BZ228" s="268" t="n"/>
      <c r="CA228" s="267" t="n"/>
      <c r="CB228" s="267" t="n"/>
      <c r="CC228" s="267" t="n"/>
      <c r="CD228" s="267" t="n"/>
      <c r="CE228" s="268" t="n"/>
      <c r="CF228" s="267" t="n"/>
      <c r="CG228" s="267" t="n"/>
      <c r="CH228" s="267" t="n"/>
      <c r="CI228" s="267" t="n"/>
      <c r="CJ228" s="268" t="n"/>
      <c r="CK228" s="267" t="n"/>
      <c r="CL228" s="267" t="n"/>
      <c r="CM228" s="267" t="n"/>
      <c r="CN228" s="267" t="n"/>
      <c r="CO228" s="268" t="n"/>
      <c r="CP228" s="267" t="n"/>
      <c r="CQ228" s="267" t="n"/>
      <c r="CR228" s="267" t="n"/>
      <c r="CS228" s="267" t="n"/>
      <c r="CT228" s="268" t="n"/>
      <c r="CU228" s="267" t="n"/>
      <c r="CV228" s="267" t="n"/>
      <c r="CW228" s="267" t="n"/>
      <c r="CX228" s="267" t="n"/>
      <c r="CY228" s="268" t="n"/>
    </row>
    <row r="229" hidden="1" outlineLevel="1" ht="12.75" customHeight="1" s="255">
      <c r="C229" s="312" t="n"/>
      <c r="D229" s="268" t="n"/>
      <c r="E229" s="268" t="n"/>
      <c r="F229" s="268" t="n"/>
      <c r="G229" s="268" t="n"/>
      <c r="H229" s="268" t="n"/>
      <c r="I229" s="268" t="n"/>
      <c r="J229" s="268" t="n"/>
      <c r="K229" s="268" t="n"/>
      <c r="L229" s="268" t="n"/>
      <c r="M229" s="268" t="n"/>
      <c r="N229" s="268" t="n"/>
      <c r="O229" s="268" t="n"/>
      <c r="P229" s="268" t="n"/>
      <c r="Q229" s="268" t="n"/>
      <c r="R229" s="268" t="n"/>
      <c r="S229" s="268" t="n"/>
      <c r="T229" s="268" t="n"/>
      <c r="U229" s="268" t="n"/>
      <c r="V229" s="268" t="n"/>
      <c r="W229" s="268" t="n"/>
      <c r="X229" s="268" t="n"/>
      <c r="Y229" s="268" t="n"/>
      <c r="Z229" s="268" t="n"/>
      <c r="AA229" s="268" t="n"/>
      <c r="AB229" s="268" t="n"/>
      <c r="AC229" s="268" t="n"/>
      <c r="AD229" s="268" t="n"/>
      <c r="AE229" s="268" t="n"/>
      <c r="AF229" s="268" t="n"/>
      <c r="AG229" s="268" t="n"/>
      <c r="AH229" s="268" t="n"/>
      <c r="AI229" s="268" t="n"/>
      <c r="AJ229" s="268" t="n"/>
      <c r="AK229" s="268" t="n"/>
      <c r="AL229" s="268" t="n"/>
      <c r="AM229" s="268" t="n"/>
      <c r="AN229" s="268" t="n"/>
      <c r="AO229" s="268" t="n"/>
      <c r="AP229" s="268" t="n"/>
      <c r="AQ229" s="268" t="n"/>
      <c r="AR229" s="268" t="n"/>
      <c r="AS229" s="268" t="n"/>
      <c r="AT229" s="268" t="n"/>
      <c r="AU229" s="268" t="n"/>
      <c r="AV229" s="268" t="n"/>
      <c r="AW229" s="268" t="n"/>
      <c r="AX229" s="268" t="n"/>
      <c r="AY229" s="268" t="n"/>
      <c r="AZ229" s="268" t="n"/>
      <c r="BA229" s="268" t="n"/>
      <c r="BB229" s="268" t="n"/>
      <c r="BC229" s="268" t="n"/>
      <c r="BD229" s="268" t="n"/>
      <c r="BE229" s="268" t="n"/>
      <c r="BF229" s="268" t="n"/>
      <c r="BG229" s="268" t="n"/>
      <c r="BH229" s="268" t="n"/>
      <c r="BI229" s="268" t="n"/>
      <c r="BJ229" s="268" t="n"/>
      <c r="BK229" s="268" t="n"/>
      <c r="BL229" s="268" t="n"/>
      <c r="BM229" s="268" t="n"/>
      <c r="BN229" s="268" t="n"/>
      <c r="BO229" s="268" t="n"/>
      <c r="BP229" s="268" t="n"/>
      <c r="BQ229" s="268" t="n"/>
      <c r="BR229" s="268" t="n"/>
      <c r="BS229" s="268" t="n"/>
      <c r="BT229" s="268" t="n"/>
      <c r="BU229" s="268" t="n"/>
      <c r="BV229" s="268" t="n"/>
      <c r="BW229" s="268" t="n"/>
      <c r="BX229" s="268" t="n"/>
      <c r="BY229" s="268" t="n"/>
      <c r="BZ229" s="268" t="n"/>
      <c r="CA229" s="268" t="n"/>
      <c r="CB229" s="268" t="n"/>
      <c r="CC229" s="268" t="n"/>
      <c r="CD229" s="268" t="n"/>
      <c r="CE229" s="268" t="n"/>
      <c r="CF229" s="268" t="n"/>
      <c r="CG229" s="268" t="n"/>
      <c r="CH229" s="268" t="n"/>
      <c r="CI229" s="268" t="n"/>
      <c r="CJ229" s="268" t="n"/>
      <c r="CK229" s="268" t="n"/>
      <c r="CL229" s="268" t="n"/>
      <c r="CM229" s="268" t="n"/>
      <c r="CN229" s="268" t="n"/>
      <c r="CO229" s="268" t="n"/>
      <c r="CP229" s="268" t="n"/>
      <c r="CQ229" s="268" t="n"/>
      <c r="CR229" s="268" t="n"/>
      <c r="CS229" s="268" t="n"/>
      <c r="CT229" s="268" t="n"/>
      <c r="CU229" s="268" t="n"/>
      <c r="CV229" s="268" t="n"/>
      <c r="CW229" s="268" t="n"/>
      <c r="CX229" s="268" t="n"/>
      <c r="CY229" s="268" t="n"/>
    </row>
    <row r="230" ht="12.75" customHeight="1" s="255">
      <c r="C230" s="270" t="inlineStr">
        <is>
          <t>Convertible debt</t>
        </is>
      </c>
      <c r="D230" s="301">
        <f>INDEX('Inputs (2)'!$D$37:$AL$37,MATCH(D$7,'Inputs (2)'!$D$2:$AL$2,0))</f>
        <v>0</v>
      </c>
      <c r="E230" s="301">
        <f>INDEX('Inputs (2)'!$D$37:$AL$37,MATCH(E$7,'Inputs (2)'!$D$2:$AL$2,0))</f>
        <v>0</v>
      </c>
      <c r="F230" s="301">
        <f>INDEX('Inputs (2)'!$D$37:$AL$37,MATCH(F$7,'Inputs (2)'!$D$2:$AL$2,0))</f>
        <v>0</v>
      </c>
      <c r="G230" s="301">
        <f>INDEX('Inputs (2)'!$D$37:$AL$37,MATCH(G$7,'Inputs (2)'!$D$2:$AL$2,0))</f>
        <v>0</v>
      </c>
      <c r="H230" s="268">
        <f>G230</f>
        <v>0</v>
      </c>
      <c r="I230" s="301">
        <f>INDEX('Inputs (2)'!$D$37:$AL$37,MATCH(I$7,'Inputs (2)'!$D$2:$AL$2,0))</f>
        <v>0</v>
      </c>
      <c r="J230" s="301">
        <f>INDEX('Inputs (2)'!$D$37:$AL$37,MATCH(J$7,'Inputs (2)'!$D$2:$AL$2,0))</f>
        <v>0</v>
      </c>
      <c r="K230" s="301">
        <f>INDEX('Inputs (2)'!$D$37:$AL$37,MATCH(K$7,'Inputs (2)'!$D$2:$AL$2,0))</f>
        <v>0</v>
      </c>
      <c r="L230" s="301">
        <f>INDEX('Inputs (2)'!$D$37:$AL$37,MATCH(L$7,'Inputs (2)'!$D$2:$AL$2,0))</f>
        <v>0</v>
      </c>
      <c r="M230" s="268">
        <f>L230</f>
        <v>0</v>
      </c>
      <c r="N230" s="301">
        <f>INDEX('Inputs (2)'!$D$37:$AL$37,MATCH(N$7,'Inputs (2)'!$D$2:$AL$2,0))</f>
        <v>0</v>
      </c>
      <c r="O230" s="301">
        <f>INDEX('Inputs (2)'!$D$37:$AL$37,MATCH(O$7,'Inputs (2)'!$D$2:$AL$2,0))</f>
        <v>0</v>
      </c>
      <c r="P230" s="301">
        <f>INDEX('Inputs (2)'!$D$37:$AL$37,MATCH(P$7,'Inputs (2)'!$D$2:$AL$2,0))</f>
        <v>0</v>
      </c>
      <c r="Q230" s="301">
        <f>INDEX('Inputs (2)'!$D$37:$AL$37,MATCH(Q$7,'Inputs (2)'!$D$2:$AL$2,0))</f>
        <v>0</v>
      </c>
      <c r="R230" s="268">
        <f>Q230</f>
        <v>0</v>
      </c>
      <c r="S230" s="301">
        <f>INDEX('Inputs (2)'!$D$37:$AL$37,MATCH(S$7,'Inputs (2)'!$D$2:$AL$2,0))</f>
        <v>0</v>
      </c>
      <c r="T230" s="301">
        <f>INDEX('Inputs (2)'!$D$37:$AL$37,MATCH(T$7,'Inputs (2)'!$D$2:$AL$2,0))</f>
        <v>0</v>
      </c>
      <c r="U230" s="301">
        <f>INDEX('Inputs (2)'!$D$37:$AL$37,MATCH(U$7,'Inputs (2)'!$D$2:$AL$2,0))</f>
        <v>0</v>
      </c>
      <c r="V230" s="301">
        <f>INDEX('Inputs (2)'!$D$37:$AL$37,MATCH(V$7,'Inputs (2)'!$D$2:$AL$2,0))</f>
        <v>0</v>
      </c>
      <c r="W230" s="268">
        <f>V230</f>
        <v>0</v>
      </c>
      <c r="X230" s="301">
        <f>INDEX('Inputs (2)'!$D$37:$AL$37,MATCH(X$7,'Inputs (2)'!$D$2:$AL$2,0))</f>
        <v>0</v>
      </c>
      <c r="Y230" s="301">
        <f>INDEX('Inputs (2)'!$D$37:$AL$37,MATCH(Y$7,'Inputs (2)'!$D$2:$AL$2,0))</f>
        <v>0</v>
      </c>
      <c r="Z230" s="301">
        <f>INDEX('Inputs (2)'!$D$37:$AL$37,MATCH(Z$7,'Inputs (2)'!$D$2:$AL$2,0))</f>
        <v>0</v>
      </c>
      <c r="AA230" s="301">
        <f>INDEX('Inputs (2)'!$D$37:$AL$37,MATCH(AA$7,'Inputs (2)'!$D$2:$AL$2,0))</f>
        <v>0</v>
      </c>
      <c r="AB230" s="268">
        <f>AA230</f>
        <v>0</v>
      </c>
      <c r="AC230" s="301">
        <f>INDEX('Inputs (2)'!$D$37:$AL$37,MATCH(AC$7,'Inputs (2)'!$D$2:$AL$2,0))</f>
        <v>0</v>
      </c>
      <c r="AD230" s="301">
        <f>INDEX('Inputs (2)'!$D$37:$AL$37,MATCH(AD$7,'Inputs (2)'!$D$2:$AL$2,0))</f>
        <v>0</v>
      </c>
      <c r="AE230" s="301">
        <f>INDEX('Inputs (2)'!$D$37:$AL$37,MATCH(AE$7,'Inputs (2)'!$D$2:$AL$2,0))</f>
        <v>0</v>
      </c>
      <c r="AF230" s="301">
        <f>INDEX('Inputs (2)'!$D$37:$AL$37,MATCH(AF$7,'Inputs (2)'!$D$2:$AL$2,0))</f>
        <v>0</v>
      </c>
      <c r="AG230" s="268">
        <f>AF230</f>
        <v>0</v>
      </c>
      <c r="AH230" s="268">
        <f>INDEX('Inputs (2)'!$D$37:$AL$37,MATCH(AH$7,'Inputs (2)'!$D$2:$AL$2,0))</f>
        <v>0</v>
      </c>
      <c r="AI230" s="268">
        <f>INDEX('Inputs (2)'!$D$37:$AL$37,MATCH(AI$7,'Inputs (2)'!$D$2:$AL$2,0))</f>
        <v>0</v>
      </c>
      <c r="AJ230" s="268">
        <f>AI230</f>
        <v>0</v>
      </c>
      <c r="AK230" s="268">
        <f>AJ230</f>
        <v>0</v>
      </c>
      <c r="AL230" s="268">
        <f>AK230</f>
        <v>0</v>
      </c>
      <c r="AM230" s="268">
        <f>AL230</f>
        <v>0</v>
      </c>
      <c r="AN230" s="268">
        <f>AM230</f>
        <v>0</v>
      </c>
      <c r="AO230" s="268">
        <f>AN230</f>
        <v>0</v>
      </c>
      <c r="AP230" s="268">
        <f>AO230</f>
        <v>0</v>
      </c>
      <c r="AQ230" s="268">
        <f>AP230</f>
        <v>0</v>
      </c>
      <c r="AR230" s="268">
        <f>AQ230</f>
        <v>0</v>
      </c>
      <c r="AS230" s="268">
        <f>AR230</f>
        <v>0</v>
      </c>
      <c r="AT230" s="268">
        <f>AS230</f>
        <v>0</v>
      </c>
      <c r="AU230" s="268">
        <f>AT230</f>
        <v>0</v>
      </c>
      <c r="AV230" s="268">
        <f>AU230</f>
        <v>0</v>
      </c>
      <c r="AW230" s="268">
        <f>AV230</f>
        <v>0</v>
      </c>
      <c r="AX230" s="268">
        <f>AW230</f>
        <v>0</v>
      </c>
      <c r="AY230" s="268">
        <f>AX230</f>
        <v>0</v>
      </c>
      <c r="AZ230" s="268">
        <f>AY230</f>
        <v>0</v>
      </c>
      <c r="BA230" s="268">
        <f>AZ230</f>
        <v>0</v>
      </c>
      <c r="BB230" s="268">
        <f>BA230</f>
        <v>0</v>
      </c>
      <c r="BC230" s="268">
        <f>BB230</f>
        <v>0</v>
      </c>
      <c r="BD230" s="268">
        <f>BC230</f>
        <v>0</v>
      </c>
      <c r="BE230" s="268">
        <f>BD230</f>
        <v>0</v>
      </c>
      <c r="BF230" s="268">
        <f>BE230</f>
        <v>0</v>
      </c>
      <c r="BG230" s="268">
        <f>BF230</f>
        <v>0</v>
      </c>
      <c r="BH230" s="268">
        <f>BG230</f>
        <v>0</v>
      </c>
      <c r="BI230" s="268">
        <f>BH230</f>
        <v>0</v>
      </c>
      <c r="BJ230" s="268">
        <f>BI230</f>
        <v>0</v>
      </c>
      <c r="BK230" s="268">
        <f>BJ230</f>
        <v>0</v>
      </c>
      <c r="BL230" s="268">
        <f>BK230</f>
        <v>0</v>
      </c>
      <c r="BM230" s="268">
        <f>BL230</f>
        <v>0</v>
      </c>
      <c r="BN230" s="268">
        <f>BM230</f>
        <v>0</v>
      </c>
      <c r="BO230" s="268">
        <f>BN230</f>
        <v>0</v>
      </c>
      <c r="BP230" s="268">
        <f>BO230</f>
        <v>0</v>
      </c>
      <c r="BQ230" s="268">
        <f>BP230</f>
        <v>0</v>
      </c>
      <c r="BR230" s="268">
        <f>BQ230</f>
        <v>0</v>
      </c>
      <c r="BS230" s="268">
        <f>BR230</f>
        <v>0</v>
      </c>
      <c r="BT230" s="268">
        <f>BS230</f>
        <v>0</v>
      </c>
      <c r="BU230" s="268">
        <f>BT230</f>
        <v>0</v>
      </c>
      <c r="BV230" s="268">
        <f>BU230</f>
        <v>0</v>
      </c>
      <c r="BW230" s="268">
        <f>BV230</f>
        <v>0</v>
      </c>
      <c r="BX230" s="268">
        <f>BW230</f>
        <v>0</v>
      </c>
      <c r="BY230" s="268">
        <f>BX230</f>
        <v>0</v>
      </c>
      <c r="BZ230" s="268">
        <f>BY230</f>
        <v>0</v>
      </c>
      <c r="CA230" s="268">
        <f>BZ230</f>
        <v>0</v>
      </c>
      <c r="CB230" s="268">
        <f>CA230</f>
        <v>0</v>
      </c>
      <c r="CC230" s="268">
        <f>CB230</f>
        <v>0</v>
      </c>
      <c r="CD230" s="268">
        <f>CC230</f>
        <v>0</v>
      </c>
      <c r="CE230" s="268">
        <f>CD230</f>
        <v>0</v>
      </c>
      <c r="CF230" s="268">
        <f>CE230</f>
        <v>0</v>
      </c>
      <c r="CG230" s="268">
        <f>CF230</f>
        <v>0</v>
      </c>
      <c r="CH230" s="268">
        <f>CG230</f>
        <v>0</v>
      </c>
      <c r="CI230" s="268">
        <f>CH230</f>
        <v>0</v>
      </c>
      <c r="CJ230" s="268">
        <f>CI230</f>
        <v>0</v>
      </c>
      <c r="CK230" s="268">
        <f>CJ230</f>
        <v>0</v>
      </c>
      <c r="CL230" s="268">
        <f>CK230</f>
        <v>0</v>
      </c>
      <c r="CM230" s="268">
        <f>CL230</f>
        <v>0</v>
      </c>
      <c r="CN230" s="268">
        <f>CM230</f>
        <v>0</v>
      </c>
      <c r="CO230" s="268">
        <f>CN230</f>
        <v>0</v>
      </c>
      <c r="CP230" s="268">
        <f>CO230</f>
        <v>0</v>
      </c>
      <c r="CQ230" s="268">
        <f>CP230</f>
        <v>0</v>
      </c>
      <c r="CR230" s="268">
        <f>CQ230</f>
        <v>0</v>
      </c>
      <c r="CS230" s="268">
        <f>CR230</f>
        <v>0</v>
      </c>
      <c r="CT230" s="268">
        <f>CS230</f>
        <v>0</v>
      </c>
      <c r="CU230" s="268">
        <f>CT230</f>
        <v>0</v>
      </c>
      <c r="CV230" s="268">
        <f>CU230</f>
        <v>0</v>
      </c>
      <c r="CW230" s="268">
        <f>CV230</f>
        <v>0</v>
      </c>
      <c r="CX230" s="268">
        <f>CW230</f>
        <v>0</v>
      </c>
      <c r="CY230" s="268">
        <f>CX230</f>
        <v>0</v>
      </c>
    </row>
    <row r="231" ht="12.75" customHeight="1" s="255">
      <c r="C231" s="270" t="inlineStr">
        <is>
          <t>Deferred income taxes</t>
        </is>
      </c>
      <c r="D231" s="301">
        <f>INDEX('Inputs (2)'!$D$38:$AL$38,MATCH(D$7,'Inputs (2)'!$D$2:$AL$2,0))</f>
        <v>4087</v>
      </c>
      <c r="E231" s="301">
        <f>INDEX('Inputs (2)'!$D$38:$AL$38,MATCH(E$7,'Inputs (2)'!$D$2:$AL$2,0))</f>
        <v>4180</v>
      </c>
      <c r="F231" s="301">
        <f>INDEX('Inputs (2)'!$D$38:$AL$38,MATCH(F$7,'Inputs (2)'!$D$2:$AL$2,0))</f>
        <v>4325</v>
      </c>
      <c r="G231" s="301">
        <f>INDEX('Inputs (2)'!$D$38:$AL$38,MATCH(G$7,'Inputs (2)'!$D$2:$AL$2,0))</f>
        <v>4408</v>
      </c>
      <c r="H231" s="268">
        <f>G231</f>
        <v>4408</v>
      </c>
      <c r="I231" s="301">
        <f>INDEX('Inputs (2)'!$D$38:$AL$38,MATCH(I$7,'Inputs (2)'!$D$2:$AL$2,0))</f>
        <v>4446</v>
      </c>
      <c r="J231" s="301">
        <f>INDEX('Inputs (2)'!$D$38:$AL$38,MATCH(J$7,'Inputs (2)'!$D$2:$AL$2,0))</f>
        <v>4486</v>
      </c>
      <c r="K231" s="301">
        <f>INDEX('Inputs (2)'!$D$38:$AL$38,MATCH(K$7,'Inputs (2)'!$D$2:$AL$2,0))</f>
        <v>4500</v>
      </c>
      <c r="L231" s="301">
        <f>INDEX('Inputs (2)'!$D$38:$AL$38,MATCH(L$7,'Inputs (2)'!$D$2:$AL$2,0))</f>
        <v>4234</v>
      </c>
      <c r="M231" s="268">
        <f>L231</f>
        <v>4234</v>
      </c>
      <c r="N231" s="301">
        <f>INDEX('Inputs (2)'!$D$38:$AL$38,MATCH(N$7,'Inputs (2)'!$D$2:$AL$2,0))</f>
        <v>4282</v>
      </c>
      <c r="O231" s="301">
        <f>INDEX('Inputs (2)'!$D$38:$AL$38,MATCH(O$7,'Inputs (2)'!$D$2:$AL$2,0))</f>
        <v>4297</v>
      </c>
      <c r="P231" s="301">
        <f>INDEX('Inputs (2)'!$D$38:$AL$38,MATCH(P$7,'Inputs (2)'!$D$2:$AL$2,0))</f>
        <v>4316</v>
      </c>
      <c r="Q231" s="301">
        <f>INDEX('Inputs (2)'!$D$38:$AL$38,MATCH(Q$7,'Inputs (2)'!$D$2:$AL$2,0))</f>
        <v>4269</v>
      </c>
      <c r="R231" s="268">
        <f>Q231</f>
        <v>4269</v>
      </c>
      <c r="S231" s="301">
        <f>INDEX('Inputs (2)'!$D$38:$AL$38,MATCH(S$7,'Inputs (2)'!$D$2:$AL$2,0))</f>
        <v>4305</v>
      </c>
      <c r="T231" s="301">
        <f>INDEX('Inputs (2)'!$D$38:$AL$38,MATCH(T$7,'Inputs (2)'!$D$2:$AL$2,0))</f>
        <v>4343</v>
      </c>
      <c r="U231" s="301">
        <f>INDEX('Inputs (2)'!$D$38:$AL$38,MATCH(U$7,'Inputs (2)'!$D$2:$AL$2,0))</f>
        <v>4399</v>
      </c>
      <c r="V231" s="301">
        <f>INDEX('Inputs (2)'!$D$38:$AL$38,MATCH(V$7,'Inputs (2)'!$D$2:$AL$2,0))</f>
        <v>4453</v>
      </c>
      <c r="W231" s="268">
        <f>V231</f>
        <v>4453</v>
      </c>
      <c r="X231" s="301">
        <f>INDEX('Inputs (2)'!$D$38:$AL$38,MATCH(X$7,'Inputs (2)'!$D$2:$AL$2,0))</f>
        <v>4500</v>
      </c>
      <c r="Y231" s="301">
        <f>INDEX('Inputs (2)'!$D$38:$AL$38,MATCH(Y$7,'Inputs (2)'!$D$2:$AL$2,0))</f>
        <v>4491</v>
      </c>
      <c r="Z231" s="301">
        <f>INDEX('Inputs (2)'!$D$38:$AL$38,MATCH(Z$7,'Inputs (2)'!$D$2:$AL$2,0))</f>
        <v>4492</v>
      </c>
      <c r="AA231" s="301">
        <f>INDEX('Inputs (2)'!$D$38:$AL$38,MATCH(AA$7,'Inputs (2)'!$D$2:$AL$2,0))</f>
        <v>4376</v>
      </c>
      <c r="AB231" s="268">
        <f>AA231</f>
        <v>4376</v>
      </c>
      <c r="AC231" s="301">
        <f>INDEX('Inputs (2)'!$D$38:$AL$38,MATCH(AC$7,'Inputs (2)'!$D$2:$AL$2,0))</f>
        <v>4402</v>
      </c>
      <c r="AD231" s="301">
        <f>INDEX('Inputs (2)'!$D$38:$AL$38,MATCH(AD$7,'Inputs (2)'!$D$2:$AL$2,0))</f>
        <v>4410</v>
      </c>
      <c r="AE231" s="301">
        <f>INDEX('Inputs (2)'!$D$38:$AL$38,MATCH(AE$7,'Inputs (2)'!$D$2:$AL$2,0))</f>
        <v>4359</v>
      </c>
      <c r="AF231" s="301">
        <f>INDEX('Inputs (2)'!$D$38:$AL$38,MATCH(AF$7,'Inputs (2)'!$D$2:$AL$2,0))</f>
        <v>4622</v>
      </c>
      <c r="AG231" s="268">
        <f>AF231</f>
        <v>4622</v>
      </c>
      <c r="AH231" s="268">
        <f>INDEX('Inputs (2)'!$D$38:$AL$38,MATCH(AH$7,'Inputs (2)'!$D$2:$AL$2,0))</f>
        <v>4641</v>
      </c>
      <c r="AI231" s="268">
        <f>INDEX('Inputs (2)'!$D$38:$AL$38,MATCH(AI$7,'Inputs (2)'!$D$2:$AL$2,0))</f>
        <v>4658</v>
      </c>
      <c r="AJ231" s="268">
        <f>AI231</f>
        <v>4658</v>
      </c>
      <c r="AK231" s="268">
        <f>AJ231</f>
        <v>4658</v>
      </c>
      <c r="AL231" s="268">
        <f>AK231</f>
        <v>4658</v>
      </c>
      <c r="AM231" s="268">
        <f>AL231</f>
        <v>4658</v>
      </c>
      <c r="AN231" s="268">
        <f>AM231</f>
        <v>4658</v>
      </c>
      <c r="AO231" s="268">
        <f>AN231</f>
        <v>4658</v>
      </c>
      <c r="AP231" s="268">
        <f>AO231</f>
        <v>4658</v>
      </c>
      <c r="AQ231" s="268">
        <f>AP231</f>
        <v>4658</v>
      </c>
      <c r="AR231" s="268">
        <f>AQ231</f>
        <v>4658</v>
      </c>
      <c r="AS231" s="268">
        <f>AR231</f>
        <v>4658</v>
      </c>
      <c r="AT231" s="268">
        <f>AS231</f>
        <v>4658</v>
      </c>
      <c r="AU231" s="268">
        <f>AT231</f>
        <v>4658</v>
      </c>
      <c r="AV231" s="268">
        <f>AU231</f>
        <v>4658</v>
      </c>
      <c r="AW231" s="268">
        <f>AV231</f>
        <v>4658</v>
      </c>
      <c r="AX231" s="268">
        <f>AW231</f>
        <v>4658</v>
      </c>
      <c r="AY231" s="268">
        <f>AX231</f>
        <v>4658</v>
      </c>
      <c r="AZ231" s="268">
        <f>AY231</f>
        <v>4658</v>
      </c>
      <c r="BA231" s="268">
        <f>AZ231</f>
        <v>4658</v>
      </c>
      <c r="BB231" s="268">
        <f>BA231</f>
        <v>4658</v>
      </c>
      <c r="BC231" s="268">
        <f>BB231</f>
        <v>4658</v>
      </c>
      <c r="BD231" s="268">
        <f>BC231</f>
        <v>4658</v>
      </c>
      <c r="BE231" s="268">
        <f>BD231</f>
        <v>4658</v>
      </c>
      <c r="BF231" s="268">
        <f>BE231</f>
        <v>4658</v>
      </c>
      <c r="BG231" s="268">
        <f>BF231</f>
        <v>4658</v>
      </c>
      <c r="BH231" s="268">
        <f>BG231</f>
        <v>4658</v>
      </c>
      <c r="BI231" s="268">
        <f>BH231</f>
        <v>4658</v>
      </c>
      <c r="BJ231" s="268">
        <f>BI231</f>
        <v>4658</v>
      </c>
      <c r="BK231" s="268">
        <f>BJ231</f>
        <v>4658</v>
      </c>
      <c r="BL231" s="268">
        <f>BK231</f>
        <v>4658</v>
      </c>
      <c r="BM231" s="268">
        <f>BL231</f>
        <v>4658</v>
      </c>
      <c r="BN231" s="268">
        <f>BM231</f>
        <v>4658</v>
      </c>
      <c r="BO231" s="268">
        <f>BN231</f>
        <v>4658</v>
      </c>
      <c r="BP231" s="268">
        <f>BO231</f>
        <v>4658</v>
      </c>
      <c r="BQ231" s="268">
        <f>BP231</f>
        <v>4658</v>
      </c>
      <c r="BR231" s="268">
        <f>BQ231</f>
        <v>4658</v>
      </c>
      <c r="BS231" s="268">
        <f>BR231</f>
        <v>4658</v>
      </c>
      <c r="BT231" s="268">
        <f>BS231</f>
        <v>4658</v>
      </c>
      <c r="BU231" s="268">
        <f>BT231</f>
        <v>4658</v>
      </c>
      <c r="BV231" s="268">
        <f>BU231</f>
        <v>4658</v>
      </c>
      <c r="BW231" s="268">
        <f>BV231</f>
        <v>4658</v>
      </c>
      <c r="BX231" s="268">
        <f>BW231</f>
        <v>4658</v>
      </c>
      <c r="BY231" s="268">
        <f>BX231</f>
        <v>4658</v>
      </c>
      <c r="BZ231" s="268">
        <f>BY231</f>
        <v>4658</v>
      </c>
      <c r="CA231" s="268">
        <f>BZ231</f>
        <v>4658</v>
      </c>
      <c r="CB231" s="268">
        <f>CA231</f>
        <v>4658</v>
      </c>
      <c r="CC231" s="268">
        <f>CB231</f>
        <v>4658</v>
      </c>
      <c r="CD231" s="268">
        <f>CC231</f>
        <v>4658</v>
      </c>
      <c r="CE231" s="268">
        <f>CD231</f>
        <v>4658</v>
      </c>
      <c r="CF231" s="268">
        <f>CE231</f>
        <v>4658</v>
      </c>
      <c r="CG231" s="268">
        <f>CF231</f>
        <v>4658</v>
      </c>
      <c r="CH231" s="268">
        <f>CG231</f>
        <v>4658</v>
      </c>
      <c r="CI231" s="268">
        <f>CH231</f>
        <v>4658</v>
      </c>
      <c r="CJ231" s="268">
        <f>CI231</f>
        <v>4658</v>
      </c>
      <c r="CK231" s="268">
        <f>CJ231</f>
        <v>4658</v>
      </c>
      <c r="CL231" s="268">
        <f>CK231</f>
        <v>4658</v>
      </c>
      <c r="CM231" s="268">
        <f>CL231</f>
        <v>4658</v>
      </c>
      <c r="CN231" s="268">
        <f>CM231</f>
        <v>4658</v>
      </c>
      <c r="CO231" s="268">
        <f>CN231</f>
        <v>4658</v>
      </c>
      <c r="CP231" s="268">
        <f>CO231</f>
        <v>4658</v>
      </c>
      <c r="CQ231" s="268">
        <f>CP231</f>
        <v>4658</v>
      </c>
      <c r="CR231" s="268">
        <f>CQ231</f>
        <v>4658</v>
      </c>
      <c r="CS231" s="268">
        <f>CR231</f>
        <v>4658</v>
      </c>
      <c r="CT231" s="268">
        <f>CS231</f>
        <v>4658</v>
      </c>
      <c r="CU231" s="268">
        <f>CT231</f>
        <v>4658</v>
      </c>
      <c r="CV231" s="268">
        <f>CU231</f>
        <v>4658</v>
      </c>
      <c r="CW231" s="268">
        <f>CV231</f>
        <v>4658</v>
      </c>
      <c r="CX231" s="268">
        <f>CW231</f>
        <v>4658</v>
      </c>
      <c r="CY231" s="268">
        <f>CX231</f>
        <v>4658</v>
      </c>
    </row>
    <row r="232" ht="12.75" customHeight="1" s="255">
      <c r="C232" s="270" t="inlineStr">
        <is>
          <t>Other non-current liabilities</t>
        </is>
      </c>
      <c r="D232" s="301">
        <f>INDEX('Inputs (2)'!$D$39:$AL$39,MATCH(D$7,'Inputs (2)'!$D$2:$AL$2,0))</f>
        <v>6197</v>
      </c>
      <c r="E232" s="301">
        <f>INDEX('Inputs (2)'!$D$39:$AL$39,MATCH(E$7,'Inputs (2)'!$D$2:$AL$2,0))</f>
        <v>6165</v>
      </c>
      <c r="F232" s="301">
        <f>INDEX('Inputs (2)'!$D$39:$AL$39,MATCH(F$7,'Inputs (2)'!$D$2:$AL$2,0))</f>
        <v>6133</v>
      </c>
      <c r="G232" s="301">
        <f>INDEX('Inputs (2)'!$D$39:$AL$39,MATCH(G$7,'Inputs (2)'!$D$2:$AL$2,0))</f>
        <v>5974</v>
      </c>
      <c r="H232" s="268">
        <f>G232</f>
        <v>5974</v>
      </c>
      <c r="I232" s="301">
        <f>INDEX('Inputs (2)'!$D$39:$AL$39,MATCH(I$7,'Inputs (2)'!$D$2:$AL$2,0))</f>
        <v>5860</v>
      </c>
      <c r="J232" s="301">
        <f>INDEX('Inputs (2)'!$D$39:$AL$39,MATCH(J$7,'Inputs (2)'!$D$2:$AL$2,0))</f>
        <v>5850</v>
      </c>
      <c r="K232" s="301">
        <f>INDEX('Inputs (2)'!$D$39:$AL$39,MATCH(K$7,'Inputs (2)'!$D$2:$AL$2,0))</f>
        <v>5595</v>
      </c>
      <c r="L232" s="301">
        <f>INDEX('Inputs (2)'!$D$39:$AL$39,MATCH(L$7,'Inputs (2)'!$D$2:$AL$2,0))</f>
        <v>5799</v>
      </c>
      <c r="M232" s="268">
        <f>L232</f>
        <v>5799</v>
      </c>
      <c r="N232" s="301">
        <f>INDEX('Inputs (2)'!$D$39:$AL$39,MATCH(N$7,'Inputs (2)'!$D$2:$AL$2,0))</f>
        <v>5798</v>
      </c>
      <c r="O232" s="301">
        <f>INDEX('Inputs (2)'!$D$39:$AL$39,MATCH(O$7,'Inputs (2)'!$D$2:$AL$2,0))</f>
        <v>5783</v>
      </c>
      <c r="P232" s="301">
        <f>INDEX('Inputs (2)'!$D$39:$AL$39,MATCH(P$7,'Inputs (2)'!$D$2:$AL$2,0))</f>
        <v>5773</v>
      </c>
      <c r="Q232" s="301">
        <f>INDEX('Inputs (2)'!$D$39:$AL$39,MATCH(Q$7,'Inputs (2)'!$D$2:$AL$2,0))</f>
        <v>6025</v>
      </c>
      <c r="R232" s="268">
        <f>Q232</f>
        <v>6025</v>
      </c>
      <c r="S232" s="301">
        <f>INDEX('Inputs (2)'!$D$39:$AL$39,MATCH(S$7,'Inputs (2)'!$D$2:$AL$2,0))</f>
        <v>6089</v>
      </c>
      <c r="T232" s="301">
        <f>INDEX('Inputs (2)'!$D$39:$AL$39,MATCH(T$7,'Inputs (2)'!$D$2:$AL$2,0))</f>
        <v>6291</v>
      </c>
      <c r="U232" s="301">
        <f>INDEX('Inputs (2)'!$D$39:$AL$39,MATCH(U$7,'Inputs (2)'!$D$2:$AL$2,0))</f>
        <v>6342</v>
      </c>
      <c r="V232" s="301">
        <f>INDEX('Inputs (2)'!$D$39:$AL$39,MATCH(V$7,'Inputs (2)'!$D$2:$AL$2,0))</f>
        <v>6272</v>
      </c>
      <c r="W232" s="268">
        <f>V232</f>
        <v>6272</v>
      </c>
      <c r="X232" s="301">
        <f>INDEX('Inputs (2)'!$D$39:$AL$39,MATCH(X$7,'Inputs (2)'!$D$2:$AL$2,0))</f>
        <v>6632</v>
      </c>
      <c r="Y232" s="301">
        <f>INDEX('Inputs (2)'!$D$39:$AL$39,MATCH(Y$7,'Inputs (2)'!$D$2:$AL$2,0))</f>
        <v>6664</v>
      </c>
      <c r="Z232" s="301">
        <f>INDEX('Inputs (2)'!$D$39:$AL$39,MATCH(Z$7,'Inputs (2)'!$D$2:$AL$2,0))</f>
        <v>6885</v>
      </c>
      <c r="AA232" s="301">
        <f>INDEX('Inputs (2)'!$D$39:$AL$39,MATCH(AA$7,'Inputs (2)'!$D$2:$AL$2,0))</f>
        <v>7291</v>
      </c>
      <c r="AB232" s="268">
        <f>AA232</f>
        <v>7291</v>
      </c>
      <c r="AC232" s="301">
        <f>INDEX('Inputs (2)'!$D$39:$AL$39,MATCH(AC$7,'Inputs (2)'!$D$2:$AL$2,0))</f>
        <v>7554</v>
      </c>
      <c r="AD232" s="301">
        <f>INDEX('Inputs (2)'!$D$39:$AL$39,MATCH(AD$7,'Inputs (2)'!$D$2:$AL$2,0))</f>
        <v>7642</v>
      </c>
      <c r="AE232" s="301">
        <f>INDEX('Inputs (2)'!$D$39:$AL$39,MATCH(AE$7,'Inputs (2)'!$D$2:$AL$2,0))</f>
        <v>7631</v>
      </c>
      <c r="AF232" s="301">
        <f>INDEX('Inputs (2)'!$D$39:$AL$39,MATCH(AF$7,'Inputs (2)'!$D$2:$AL$2,0))</f>
        <v>6837</v>
      </c>
      <c r="AG232" s="268">
        <f>AF232</f>
        <v>6837</v>
      </c>
      <c r="AH232" s="268">
        <f>INDEX('Inputs (2)'!$D$39:$AL$39,MATCH(AH$7,'Inputs (2)'!$D$2:$AL$2,0))</f>
        <v>6880</v>
      </c>
      <c r="AI232" s="268">
        <f>INDEX('Inputs (2)'!$D$39:$AL$39,MATCH(AI$7,'Inputs (2)'!$D$2:$AL$2,0))</f>
        <v>6852</v>
      </c>
      <c r="AJ232" s="268">
        <f>AI232</f>
        <v>6852</v>
      </c>
      <c r="AK232" s="268">
        <f>AJ232</f>
        <v>6852</v>
      </c>
      <c r="AL232" s="268">
        <f>AK232</f>
        <v>6852</v>
      </c>
      <c r="AM232" s="268">
        <f>AL232</f>
        <v>6852</v>
      </c>
      <c r="AN232" s="268">
        <f>AM232</f>
        <v>6852</v>
      </c>
      <c r="AO232" s="268">
        <f>AN232</f>
        <v>6852</v>
      </c>
      <c r="AP232" s="268">
        <f>AO232</f>
        <v>6852</v>
      </c>
      <c r="AQ232" s="268">
        <f>AP232</f>
        <v>6852</v>
      </c>
      <c r="AR232" s="268">
        <f>AQ232</f>
        <v>6852</v>
      </c>
      <c r="AS232" s="268">
        <f>AR232</f>
        <v>6852</v>
      </c>
      <c r="AT232" s="268">
        <f>AS232</f>
        <v>6852</v>
      </c>
      <c r="AU232" s="268">
        <f>AT232</f>
        <v>6852</v>
      </c>
      <c r="AV232" s="268">
        <f>AU232</f>
        <v>6852</v>
      </c>
      <c r="AW232" s="268">
        <f>AV232</f>
        <v>6852</v>
      </c>
      <c r="AX232" s="268">
        <f>AW232</f>
        <v>6852</v>
      </c>
      <c r="AY232" s="268">
        <f>AX232</f>
        <v>6852</v>
      </c>
      <c r="AZ232" s="268">
        <f>AY232</f>
        <v>6852</v>
      </c>
      <c r="BA232" s="268">
        <f>AZ232</f>
        <v>6852</v>
      </c>
      <c r="BB232" s="268">
        <f>BA232</f>
        <v>6852</v>
      </c>
      <c r="BC232" s="268">
        <f>BB232</f>
        <v>6852</v>
      </c>
      <c r="BD232" s="268">
        <f>BC232</f>
        <v>6852</v>
      </c>
      <c r="BE232" s="268">
        <f>BD232</f>
        <v>6852</v>
      </c>
      <c r="BF232" s="268">
        <f>BE232</f>
        <v>6852</v>
      </c>
      <c r="BG232" s="268">
        <f>BF232</f>
        <v>6852</v>
      </c>
      <c r="BH232" s="268">
        <f>BG232</f>
        <v>6852</v>
      </c>
      <c r="BI232" s="268">
        <f>BH232</f>
        <v>6852</v>
      </c>
      <c r="BJ232" s="268">
        <f>BI232</f>
        <v>6852</v>
      </c>
      <c r="BK232" s="268">
        <f>BJ232</f>
        <v>6852</v>
      </c>
      <c r="BL232" s="268">
        <f>BK232</f>
        <v>6852</v>
      </c>
      <c r="BM232" s="268">
        <f>BL232</f>
        <v>6852</v>
      </c>
      <c r="BN232" s="268">
        <f>BM232</f>
        <v>6852</v>
      </c>
      <c r="BO232" s="268">
        <f>BN232</f>
        <v>6852</v>
      </c>
      <c r="BP232" s="268">
        <f>BO232</f>
        <v>6852</v>
      </c>
      <c r="BQ232" s="268">
        <f>BP232</f>
        <v>6852</v>
      </c>
      <c r="BR232" s="268">
        <f>BQ232</f>
        <v>6852</v>
      </c>
      <c r="BS232" s="268">
        <f>BR232</f>
        <v>6852</v>
      </c>
      <c r="BT232" s="268">
        <f>BS232</f>
        <v>6852</v>
      </c>
      <c r="BU232" s="268">
        <f>BT232</f>
        <v>6852</v>
      </c>
      <c r="BV232" s="268">
        <f>BU232</f>
        <v>6852</v>
      </c>
      <c r="BW232" s="268">
        <f>BV232</f>
        <v>6852</v>
      </c>
      <c r="BX232" s="268">
        <f>BW232</f>
        <v>6852</v>
      </c>
      <c r="BY232" s="268">
        <f>BX232</f>
        <v>6852</v>
      </c>
      <c r="BZ232" s="268">
        <f>BY232</f>
        <v>6852</v>
      </c>
      <c r="CA232" s="268">
        <f>BZ232</f>
        <v>6852</v>
      </c>
      <c r="CB232" s="268">
        <f>CA232</f>
        <v>6852</v>
      </c>
      <c r="CC232" s="268">
        <f>CB232</f>
        <v>6852</v>
      </c>
      <c r="CD232" s="268">
        <f>CC232</f>
        <v>6852</v>
      </c>
      <c r="CE232" s="268">
        <f>CD232</f>
        <v>6852</v>
      </c>
      <c r="CF232" s="268">
        <f>CE232</f>
        <v>6852</v>
      </c>
      <c r="CG232" s="268">
        <f>CF232</f>
        <v>6852</v>
      </c>
      <c r="CH232" s="268">
        <f>CG232</f>
        <v>6852</v>
      </c>
      <c r="CI232" s="268">
        <f>CH232</f>
        <v>6852</v>
      </c>
      <c r="CJ232" s="268">
        <f>CI232</f>
        <v>6852</v>
      </c>
      <c r="CK232" s="268">
        <f>CJ232</f>
        <v>6852</v>
      </c>
      <c r="CL232" s="268">
        <f>CK232</f>
        <v>6852</v>
      </c>
      <c r="CM232" s="268">
        <f>CL232</f>
        <v>6852</v>
      </c>
      <c r="CN232" s="268">
        <f>CM232</f>
        <v>6852</v>
      </c>
      <c r="CO232" s="268">
        <f>CN232</f>
        <v>6852</v>
      </c>
      <c r="CP232" s="268">
        <f>CO232</f>
        <v>6852</v>
      </c>
      <c r="CQ232" s="268">
        <f>CP232</f>
        <v>6852</v>
      </c>
      <c r="CR232" s="268">
        <f>CQ232</f>
        <v>6852</v>
      </c>
      <c r="CS232" s="268">
        <f>CR232</f>
        <v>6852</v>
      </c>
      <c r="CT232" s="268">
        <f>CS232</f>
        <v>6852</v>
      </c>
      <c r="CU232" s="268">
        <f>CT232</f>
        <v>6852</v>
      </c>
      <c r="CV232" s="268">
        <f>CU232</f>
        <v>6852</v>
      </c>
      <c r="CW232" s="268">
        <f>CV232</f>
        <v>6852</v>
      </c>
      <c r="CX232" s="268">
        <f>CW232</f>
        <v>6852</v>
      </c>
      <c r="CY232" s="268">
        <f>CX232</f>
        <v>6852</v>
      </c>
    </row>
    <row r="233" hidden="1" outlineLevel="1" ht="12" customHeight="1" s="255">
      <c r="C233" s="314" t="inlineStr">
        <is>
          <t>%(Var.)</t>
        </is>
      </c>
      <c r="D233" s="268" t="n"/>
      <c r="E233" s="296">
        <f>(E232-D232)/D232</f>
        <v>-0.00516378893012748</v>
      </c>
      <c r="F233" s="296">
        <f>(F232-E232)/E232</f>
        <v>-0.00519059205190592</v>
      </c>
      <c r="G233" s="296">
        <f>(G232-F232)/F232</f>
        <v>-0.0259253220283711</v>
      </c>
      <c r="H233" s="268" t="n"/>
      <c r="I233" s="296">
        <f>(I232-H232)/H232</f>
        <v>-0.0190826916638768</v>
      </c>
      <c r="J233" s="296">
        <f>(J232-I232)/I232</f>
        <v>-0.00170648464163823</v>
      </c>
      <c r="K233" s="296">
        <f>(K232-J232)/J232</f>
        <v>-0.0435897435897436</v>
      </c>
      <c r="L233" s="296">
        <f>(L232-K232)/K232</f>
        <v>0.0364611260053619</v>
      </c>
      <c r="M233" s="268" t="n"/>
      <c r="N233" s="296">
        <f>(N232-M232)/M232</f>
        <v>-0.000172443524745646</v>
      </c>
      <c r="O233" s="296">
        <f>(O232-N232)/N232</f>
        <v>-0.00258709899965505</v>
      </c>
      <c r="P233" s="296">
        <f>(P232-O232)/O232</f>
        <v>-0.00172920629431091</v>
      </c>
      <c r="Q233" s="296">
        <f>(Q232-P232)/P232</f>
        <v>0.0436514810323922</v>
      </c>
      <c r="R233" s="268" t="n"/>
      <c r="S233" s="296">
        <f>(S232-R232)/R232</f>
        <v>0.0106224066390041</v>
      </c>
      <c r="T233" s="296">
        <f>(T232-S232)/S232</f>
        <v>0.0331745771062572</v>
      </c>
      <c r="U233" s="296">
        <f>(U232-T232)/T232</f>
        <v>0.00810681926561755</v>
      </c>
      <c r="V233" s="296">
        <f>(V232-U232)/U232</f>
        <v>-0.011037527593819</v>
      </c>
      <c r="W233" s="268" t="n"/>
      <c r="X233" s="296">
        <f>(X232-W232)/W232</f>
        <v>0.0573979591836735</v>
      </c>
      <c r="Y233" s="296">
        <f>(Y232-X232)/X232</f>
        <v>0.00482509047044632</v>
      </c>
      <c r="Z233" s="296">
        <f>(Z232-Y232)/Y232</f>
        <v>0.0331632653061225</v>
      </c>
      <c r="AA233" s="296">
        <f>(AA232-Z232)/Z232</f>
        <v>0.0589687726942629</v>
      </c>
      <c r="AB233" s="268" t="n"/>
      <c r="AC233" s="296">
        <f>(AC232-AB232)/AB232</f>
        <v>0.036071869428062</v>
      </c>
      <c r="AD233" s="296">
        <f>(AD232-AC232)/AC232</f>
        <v>0.0116494572411967</v>
      </c>
      <c r="AE233" s="296">
        <f>(AE232-AD232)/AD232</f>
        <v>-0.00143941376602984</v>
      </c>
      <c r="AF233" s="297">
        <f>(AF232-AE232)/AE232</f>
        <v>-0.104049272703446</v>
      </c>
      <c r="AG233" s="268" t="n"/>
      <c r="AH233" s="297">
        <f>(AH232-AG232)/AG232</f>
        <v>0.00628930817610063</v>
      </c>
      <c r="AI233" s="297">
        <f>(AI232-AH232)/AH232</f>
        <v>-0.00406976744186047</v>
      </c>
      <c r="AJ233" s="297" t="n"/>
      <c r="AK233" s="297" t="n"/>
      <c r="AL233" s="268" t="n"/>
      <c r="AM233" s="297" t="n"/>
      <c r="AN233" s="297" t="n"/>
      <c r="AO233" s="297" t="n"/>
      <c r="AP233" s="297" t="n"/>
      <c r="AQ233" s="268" t="n"/>
      <c r="AR233" s="297" t="n"/>
      <c r="AS233" s="297" t="n"/>
      <c r="AT233" s="297" t="n"/>
      <c r="AU233" s="297" t="n"/>
      <c r="AV233" s="268" t="n"/>
      <c r="AW233" s="297" t="n"/>
      <c r="AX233" s="297" t="n"/>
      <c r="AY233" s="297" t="n"/>
      <c r="AZ233" s="297" t="n"/>
      <c r="BA233" s="268" t="n"/>
      <c r="BB233" s="297" t="n"/>
      <c r="BC233" s="297" t="n"/>
      <c r="BD233" s="297" t="n"/>
      <c r="BE233" s="297" t="n"/>
      <c r="BF233" s="268" t="n"/>
      <c r="BG233" s="297" t="n"/>
      <c r="BH233" s="297" t="n"/>
      <c r="BI233" s="297" t="n"/>
      <c r="BJ233" s="297" t="n"/>
      <c r="BK233" s="268" t="n"/>
      <c r="BL233" s="297" t="n"/>
      <c r="BM233" s="297" t="n"/>
      <c r="BN233" s="297" t="n"/>
      <c r="BO233" s="297" t="n"/>
      <c r="BP233" s="268" t="n"/>
      <c r="BQ233" s="297" t="n"/>
      <c r="BR233" s="297" t="n"/>
      <c r="BS233" s="297" t="n"/>
      <c r="BT233" s="297" t="n"/>
      <c r="BU233" s="268" t="n"/>
      <c r="BV233" s="297" t="n"/>
      <c r="BW233" s="297" t="n"/>
      <c r="BX233" s="297" t="n"/>
      <c r="BY233" s="297" t="n"/>
      <c r="BZ233" s="268" t="n"/>
      <c r="CA233" s="297" t="n"/>
      <c r="CB233" s="297" t="n"/>
      <c r="CC233" s="297" t="n"/>
      <c r="CD233" s="297" t="n"/>
      <c r="CE233" s="268" t="n"/>
      <c r="CF233" s="297" t="n"/>
      <c r="CG233" s="297" t="n"/>
      <c r="CH233" s="297" t="n"/>
      <c r="CI233" s="297" t="n"/>
      <c r="CJ233" s="268" t="n"/>
      <c r="CK233" s="297" t="n"/>
      <c r="CL233" s="297" t="n"/>
      <c r="CM233" s="297" t="n"/>
      <c r="CN233" s="297" t="n"/>
      <c r="CO233" s="268" t="n"/>
      <c r="CP233" s="297" t="n"/>
      <c r="CQ233" s="297" t="n"/>
      <c r="CR233" s="297" t="n"/>
      <c r="CS233" s="297" t="n"/>
      <c r="CT233" s="268" t="n"/>
      <c r="CU233" s="297" t="n"/>
      <c r="CV233" s="297" t="n"/>
      <c r="CW233" s="297" t="n"/>
      <c r="CX233" s="297" t="n"/>
      <c r="CY233" s="268" t="n"/>
    </row>
    <row r="234" hidden="1" outlineLevel="1" ht="12" customHeight="1" s="255">
      <c r="C234" s="314" t="n"/>
      <c r="D234" s="268" t="n"/>
      <c r="E234" s="268" t="n"/>
      <c r="F234" s="268" t="n"/>
      <c r="G234" s="268" t="n"/>
      <c r="H234" s="268" t="n"/>
      <c r="I234" s="268" t="n"/>
      <c r="J234" s="268" t="n"/>
      <c r="K234" s="268" t="n"/>
      <c r="L234" s="268" t="n"/>
      <c r="M234" s="268" t="n"/>
      <c r="N234" s="268" t="n"/>
      <c r="O234" s="268" t="n"/>
      <c r="P234" s="268" t="n"/>
      <c r="Q234" s="268" t="n"/>
      <c r="R234" s="268" t="n"/>
      <c r="S234" s="268" t="n"/>
      <c r="T234" s="268" t="n"/>
      <c r="U234" s="268" t="n"/>
      <c r="V234" s="268" t="n"/>
      <c r="W234" s="268" t="n"/>
      <c r="X234" s="268" t="n"/>
      <c r="Y234" s="268" t="n"/>
      <c r="Z234" s="268" t="n"/>
      <c r="AA234" s="268" t="n"/>
      <c r="AB234" s="268" t="n"/>
      <c r="AC234" s="268" t="n"/>
      <c r="AD234" s="268" t="n"/>
      <c r="AE234" s="268" t="n"/>
      <c r="AF234" s="268" t="n"/>
      <c r="AG234" s="268" t="n"/>
      <c r="AH234" s="268" t="n"/>
      <c r="AI234" s="268" t="n"/>
      <c r="AJ234" s="268" t="n"/>
      <c r="AK234" s="268" t="n"/>
      <c r="AL234" s="268" t="n"/>
      <c r="AM234" s="268" t="n"/>
      <c r="AN234" s="268" t="n"/>
      <c r="AO234" s="268" t="n"/>
      <c r="AP234" s="268" t="n"/>
      <c r="AQ234" s="268" t="n"/>
      <c r="AR234" s="268" t="n"/>
      <c r="AS234" s="268" t="n"/>
      <c r="AT234" s="268" t="n"/>
      <c r="AU234" s="268" t="n"/>
      <c r="AV234" s="268" t="n"/>
      <c r="AW234" s="268" t="n"/>
      <c r="AX234" s="268" t="n"/>
      <c r="AY234" s="268" t="n"/>
      <c r="AZ234" s="268" t="n"/>
      <c r="BA234" s="268" t="n"/>
      <c r="BB234" s="268" t="n"/>
      <c r="BC234" s="268" t="n"/>
      <c r="BD234" s="268" t="n"/>
      <c r="BE234" s="268" t="n"/>
      <c r="BF234" s="268" t="n"/>
      <c r="BG234" s="268" t="n"/>
      <c r="BH234" s="268" t="n"/>
      <c r="BI234" s="268" t="n"/>
      <c r="BJ234" s="268" t="n"/>
      <c r="BK234" s="268" t="n"/>
      <c r="BL234" s="268" t="n"/>
      <c r="BM234" s="268" t="n"/>
      <c r="BN234" s="268" t="n"/>
      <c r="BO234" s="268" t="n"/>
      <c r="BP234" s="268" t="n"/>
      <c r="BQ234" s="268" t="n"/>
      <c r="BR234" s="268" t="n"/>
      <c r="BS234" s="268" t="n"/>
      <c r="BT234" s="268" t="n"/>
      <c r="BU234" s="268" t="n"/>
      <c r="BV234" s="268" t="n"/>
      <c r="BW234" s="268" t="n"/>
      <c r="BX234" s="268" t="n"/>
      <c r="BY234" s="268" t="n"/>
      <c r="BZ234" s="268" t="n"/>
      <c r="CA234" s="268" t="n"/>
      <c r="CB234" s="268" t="n"/>
      <c r="CC234" s="268" t="n"/>
      <c r="CD234" s="268" t="n"/>
      <c r="CE234" s="268" t="n"/>
      <c r="CF234" s="268" t="n"/>
      <c r="CG234" s="268" t="n"/>
      <c r="CH234" s="268" t="n"/>
      <c r="CI234" s="268" t="n"/>
      <c r="CJ234" s="268" t="n"/>
      <c r="CK234" s="268" t="n"/>
      <c r="CL234" s="268" t="n"/>
      <c r="CM234" s="268" t="n"/>
      <c r="CN234" s="268" t="n"/>
      <c r="CO234" s="268" t="n"/>
      <c r="CP234" s="268" t="n"/>
      <c r="CQ234" s="268" t="n"/>
      <c r="CR234" s="268" t="n"/>
      <c r="CS234" s="268" t="n"/>
      <c r="CT234" s="268" t="n"/>
      <c r="CU234" s="268" t="n"/>
      <c r="CV234" s="268" t="n"/>
      <c r="CW234" s="268" t="n"/>
      <c r="CX234" s="268" t="n"/>
      <c r="CY234" s="268" t="n"/>
    </row>
    <row r="235" hidden="1" outlineLevel="1" ht="12.75" customHeight="1" s="255">
      <c r="C235" s="312" t="inlineStr">
        <is>
          <t>Contas a pagar pela aquisição de controladas</t>
        </is>
      </c>
      <c r="D235" s="267" t="n"/>
      <c r="E235" s="267" t="n"/>
      <c r="F235" s="267" t="n"/>
      <c r="G235" s="267" t="n"/>
      <c r="H235" s="268" t="n"/>
      <c r="I235" s="267" t="n"/>
      <c r="J235" s="267" t="n"/>
      <c r="K235" s="267" t="n"/>
      <c r="L235" s="267" t="n"/>
      <c r="M235" s="268" t="n"/>
      <c r="N235" s="267" t="n"/>
      <c r="O235" s="267" t="n"/>
      <c r="P235" s="267" t="n"/>
      <c r="Q235" s="267" t="n"/>
      <c r="R235" s="268" t="n"/>
      <c r="S235" s="267" t="n"/>
      <c r="T235" s="267" t="n"/>
      <c r="U235" s="267" t="n"/>
      <c r="V235" s="267" t="n"/>
      <c r="W235" s="268" t="n"/>
      <c r="X235" s="267" t="n"/>
      <c r="Y235" s="267" t="n"/>
      <c r="Z235" s="267" t="n"/>
      <c r="AA235" s="267" t="n"/>
      <c r="AB235" s="268" t="n"/>
      <c r="AC235" s="267" t="n"/>
      <c r="AD235" s="267" t="n"/>
      <c r="AE235" s="267" t="n"/>
      <c r="AF235" s="267" t="n"/>
      <c r="AG235" s="268" t="n"/>
      <c r="AH235" s="268" t="n"/>
      <c r="AI235" s="268" t="n"/>
      <c r="AJ235" s="268" t="n"/>
      <c r="AK235" s="268" t="n"/>
      <c r="AL235" s="268" t="n"/>
      <c r="AM235" s="268" t="n"/>
      <c r="AN235" s="268" t="n"/>
      <c r="AO235" s="268" t="n"/>
      <c r="AP235" s="268" t="n"/>
      <c r="AQ235" s="268" t="n"/>
      <c r="AR235" s="268" t="n"/>
      <c r="AS235" s="268" t="n"/>
      <c r="AT235" s="268" t="n"/>
      <c r="AU235" s="268" t="n"/>
      <c r="AV235" s="268" t="n"/>
      <c r="AW235" s="268" t="n"/>
      <c r="AX235" s="268" t="n"/>
      <c r="AY235" s="268" t="n"/>
      <c r="AZ235" s="268" t="n"/>
      <c r="BA235" s="268" t="n"/>
      <c r="BB235" s="268" t="n"/>
      <c r="BC235" s="268" t="n"/>
      <c r="BD235" s="268" t="n"/>
      <c r="BE235" s="268" t="n"/>
      <c r="BF235" s="268" t="n"/>
      <c r="BG235" s="268" t="n"/>
      <c r="BH235" s="268" t="n"/>
      <c r="BI235" s="268" t="n"/>
      <c r="BJ235" s="268" t="n"/>
      <c r="BK235" s="268" t="n"/>
      <c r="BL235" s="268" t="n"/>
      <c r="BM235" s="268" t="n"/>
      <c r="BN235" s="268" t="n"/>
      <c r="BO235" s="268" t="n"/>
      <c r="BP235" s="268" t="n"/>
      <c r="BQ235" s="268" t="n"/>
      <c r="BR235" s="268" t="n"/>
      <c r="BS235" s="268" t="n"/>
      <c r="BT235" s="268" t="n"/>
      <c r="BU235" s="268" t="n"/>
      <c r="BV235" s="268" t="n"/>
      <c r="BW235" s="268" t="n"/>
      <c r="BX235" s="268" t="n"/>
      <c r="BY235" s="268" t="n"/>
      <c r="BZ235" s="268" t="n"/>
      <c r="CA235" s="268" t="n"/>
      <c r="CB235" s="268" t="n"/>
      <c r="CC235" s="268" t="n"/>
      <c r="CD235" s="268" t="n"/>
      <c r="CE235" s="268" t="n"/>
      <c r="CF235" s="268" t="n"/>
      <c r="CG235" s="268" t="n"/>
      <c r="CH235" s="268" t="n"/>
      <c r="CI235" s="268" t="n"/>
      <c r="CJ235" s="268" t="n"/>
      <c r="CK235" s="268" t="n"/>
      <c r="CL235" s="268" t="n"/>
      <c r="CM235" s="268" t="n"/>
      <c r="CN235" s="268" t="n"/>
      <c r="CO235" s="268" t="n"/>
      <c r="CP235" s="268" t="n"/>
      <c r="CQ235" s="268" t="n"/>
      <c r="CR235" s="268" t="n"/>
      <c r="CS235" s="268" t="n"/>
      <c r="CT235" s="268" t="n"/>
      <c r="CU235" s="268" t="n"/>
      <c r="CV235" s="268" t="n"/>
      <c r="CW235" s="268" t="n"/>
      <c r="CX235" s="268" t="n"/>
      <c r="CY235" s="268" t="n"/>
    </row>
    <row r="236" hidden="1" outlineLevel="1" ht="12.75" customHeight="1" s="255">
      <c r="C236" s="312" t="inlineStr">
        <is>
          <t xml:space="preserve">Outras Obrigações </t>
        </is>
      </c>
      <c r="D236" s="267" t="n"/>
      <c r="E236" s="267" t="n"/>
      <c r="F236" s="267" t="n"/>
      <c r="G236" s="267" t="n"/>
      <c r="H236" s="268" t="n"/>
      <c r="I236" s="267" t="n"/>
      <c r="J236" s="267" t="n"/>
      <c r="K236" s="267" t="n"/>
      <c r="L236" s="267" t="n"/>
      <c r="M236" s="268" t="n"/>
      <c r="N236" s="267" t="n"/>
      <c r="O236" s="267" t="n"/>
      <c r="P236" s="267" t="n"/>
      <c r="Q236" s="267" t="n"/>
      <c r="R236" s="268" t="n"/>
      <c r="S236" s="267" t="n"/>
      <c r="T236" s="267" t="n"/>
      <c r="U236" s="267" t="n"/>
      <c r="V236" s="267" t="n"/>
      <c r="W236" s="268" t="n"/>
      <c r="X236" s="267" t="n"/>
      <c r="Y236" s="267" t="n"/>
      <c r="Z236" s="267" t="n"/>
      <c r="AA236" s="267" t="n"/>
      <c r="AB236" s="268" t="n"/>
      <c r="AC236" s="267" t="n"/>
      <c r="AD236" s="267" t="n"/>
      <c r="AE236" s="267" t="n"/>
      <c r="AF236" s="267" t="n"/>
      <c r="AG236" s="268" t="n"/>
      <c r="AH236" s="268" t="n"/>
      <c r="AI236" s="268" t="n"/>
      <c r="AJ236" s="268" t="n"/>
      <c r="AK236" s="268" t="n"/>
      <c r="AL236" s="268" t="n"/>
      <c r="AM236" s="268" t="n"/>
      <c r="AN236" s="268" t="n"/>
      <c r="AO236" s="268" t="n"/>
      <c r="AP236" s="268" t="n"/>
      <c r="AQ236" s="268" t="n"/>
      <c r="AR236" s="268" t="n"/>
      <c r="AS236" s="268" t="n"/>
      <c r="AT236" s="268" t="n"/>
      <c r="AU236" s="268" t="n"/>
      <c r="AV236" s="268" t="n"/>
      <c r="AW236" s="268" t="n"/>
      <c r="AX236" s="268" t="n"/>
      <c r="AY236" s="268" t="n"/>
      <c r="AZ236" s="268" t="n"/>
      <c r="BA236" s="268" t="n"/>
      <c r="BB236" s="268" t="n"/>
      <c r="BC236" s="268" t="n"/>
      <c r="BD236" s="268" t="n"/>
      <c r="BE236" s="268" t="n"/>
      <c r="BF236" s="268" t="n"/>
      <c r="BG236" s="268" t="n"/>
      <c r="BH236" s="268" t="n"/>
      <c r="BI236" s="268" t="n"/>
      <c r="BJ236" s="268" t="n"/>
      <c r="BK236" s="268" t="n"/>
      <c r="BL236" s="268" t="n"/>
      <c r="BM236" s="268" t="n"/>
      <c r="BN236" s="268" t="n"/>
      <c r="BO236" s="268" t="n"/>
      <c r="BP236" s="268" t="n"/>
      <c r="BQ236" s="268" t="n"/>
      <c r="BR236" s="268" t="n"/>
      <c r="BS236" s="268" t="n"/>
      <c r="BT236" s="268" t="n"/>
      <c r="BU236" s="268" t="n"/>
      <c r="BV236" s="268" t="n"/>
      <c r="BW236" s="268" t="n"/>
      <c r="BX236" s="268" t="n"/>
      <c r="BY236" s="268" t="n"/>
      <c r="BZ236" s="268" t="n"/>
      <c r="CA236" s="268" t="n"/>
      <c r="CB236" s="268" t="n"/>
      <c r="CC236" s="268" t="n"/>
      <c r="CD236" s="268" t="n"/>
      <c r="CE236" s="268" t="n"/>
      <c r="CF236" s="268" t="n"/>
      <c r="CG236" s="268" t="n"/>
      <c r="CH236" s="268" t="n"/>
      <c r="CI236" s="268" t="n"/>
      <c r="CJ236" s="268" t="n"/>
      <c r="CK236" s="268" t="n"/>
      <c r="CL236" s="268" t="n"/>
      <c r="CM236" s="268" t="n"/>
      <c r="CN236" s="268" t="n"/>
      <c r="CO236" s="268" t="n"/>
      <c r="CP236" s="268" t="n"/>
      <c r="CQ236" s="268" t="n"/>
      <c r="CR236" s="268" t="n"/>
      <c r="CS236" s="268" t="n"/>
      <c r="CT236" s="268" t="n"/>
      <c r="CU236" s="268" t="n"/>
      <c r="CV236" s="268" t="n"/>
      <c r="CW236" s="268" t="n"/>
      <c r="CX236" s="268" t="n"/>
      <c r="CY236" s="268" t="n"/>
    </row>
    <row r="237" hidden="1" outlineLevel="1" ht="12.75" customHeight="1" s="255">
      <c r="C237" s="312" t="inlineStr">
        <is>
          <t xml:space="preserve">Provisão de Risco Cíveis, Trabalhistas e Tributários </t>
        </is>
      </c>
      <c r="D237" s="267" t="n"/>
      <c r="E237" s="267" t="n"/>
      <c r="F237" s="267" t="n"/>
      <c r="G237" s="267" t="n"/>
      <c r="H237" s="268" t="n"/>
      <c r="I237" s="267" t="n"/>
      <c r="J237" s="267" t="n"/>
      <c r="K237" s="267" t="n"/>
      <c r="L237" s="267" t="n"/>
      <c r="M237" s="268" t="n"/>
      <c r="N237" s="267" t="n"/>
      <c r="O237" s="267" t="n"/>
      <c r="P237" s="267" t="n"/>
      <c r="Q237" s="267" t="n"/>
      <c r="R237" s="268" t="n"/>
      <c r="S237" s="267" t="n"/>
      <c r="T237" s="267" t="n"/>
      <c r="U237" s="267" t="n"/>
      <c r="V237" s="267" t="n"/>
      <c r="W237" s="268" t="n"/>
      <c r="X237" s="267" t="n"/>
      <c r="Y237" s="267" t="n"/>
      <c r="Z237" s="267" t="n"/>
      <c r="AA237" s="267" t="n"/>
      <c r="AB237" s="268" t="n"/>
      <c r="AC237" s="267" t="n"/>
      <c r="AD237" s="267" t="n"/>
      <c r="AE237" s="267" t="n"/>
      <c r="AF237" s="267" t="n"/>
      <c r="AG237" s="268" t="n"/>
      <c r="AH237" s="268" t="n"/>
      <c r="AI237" s="268" t="n"/>
      <c r="AJ237" s="268" t="n"/>
      <c r="AK237" s="268" t="n"/>
      <c r="AL237" s="268" t="n"/>
      <c r="AM237" s="268" t="n"/>
      <c r="AN237" s="268" t="n"/>
      <c r="AO237" s="268" t="n"/>
      <c r="AP237" s="268" t="n"/>
      <c r="AQ237" s="268" t="n"/>
      <c r="AR237" s="268" t="n"/>
      <c r="AS237" s="268" t="n"/>
      <c r="AT237" s="268" t="n"/>
      <c r="AU237" s="268" t="n"/>
      <c r="AV237" s="268" t="n"/>
      <c r="AW237" s="268" t="n"/>
      <c r="AX237" s="268" t="n"/>
      <c r="AY237" s="268" t="n"/>
      <c r="AZ237" s="268" t="n"/>
      <c r="BA237" s="268" t="n"/>
      <c r="BB237" s="268" t="n"/>
      <c r="BC237" s="268" t="n"/>
      <c r="BD237" s="268" t="n"/>
      <c r="BE237" s="268" t="n"/>
      <c r="BF237" s="268" t="n"/>
      <c r="BG237" s="268" t="n"/>
      <c r="BH237" s="268" t="n"/>
      <c r="BI237" s="268" t="n"/>
      <c r="BJ237" s="268" t="n"/>
      <c r="BK237" s="268" t="n"/>
      <c r="BL237" s="268" t="n"/>
      <c r="BM237" s="268" t="n"/>
      <c r="BN237" s="268" t="n"/>
      <c r="BO237" s="268" t="n"/>
      <c r="BP237" s="268" t="n"/>
      <c r="BQ237" s="268" t="n"/>
      <c r="BR237" s="268" t="n"/>
      <c r="BS237" s="268" t="n"/>
      <c r="BT237" s="268" t="n"/>
      <c r="BU237" s="268" t="n"/>
      <c r="BV237" s="268" t="n"/>
      <c r="BW237" s="268" t="n"/>
      <c r="BX237" s="268" t="n"/>
      <c r="BY237" s="268" t="n"/>
      <c r="BZ237" s="268" t="n"/>
      <c r="CA237" s="268" t="n"/>
      <c r="CB237" s="268" t="n"/>
      <c r="CC237" s="268" t="n"/>
      <c r="CD237" s="268" t="n"/>
      <c r="CE237" s="268" t="n"/>
      <c r="CF237" s="268" t="n"/>
      <c r="CG237" s="268" t="n"/>
      <c r="CH237" s="268" t="n"/>
      <c r="CI237" s="268" t="n"/>
      <c r="CJ237" s="268" t="n"/>
      <c r="CK237" s="268" t="n"/>
      <c r="CL237" s="268" t="n"/>
      <c r="CM237" s="268" t="n"/>
      <c r="CN237" s="268" t="n"/>
      <c r="CO237" s="268" t="n"/>
      <c r="CP237" s="268" t="n"/>
      <c r="CQ237" s="268" t="n"/>
      <c r="CR237" s="268" t="n"/>
      <c r="CS237" s="268" t="n"/>
      <c r="CT237" s="268" t="n"/>
      <c r="CU237" s="268" t="n"/>
      <c r="CV237" s="268" t="n"/>
      <c r="CW237" s="268" t="n"/>
      <c r="CX237" s="268" t="n"/>
      <c r="CY237" s="268" t="n"/>
    </row>
    <row r="238" hidden="1" outlineLevel="1" ht="12.75" customHeight="1" s="255">
      <c r="C238" s="312" t="n"/>
      <c r="D238" s="268" t="n"/>
      <c r="E238" s="268" t="n"/>
      <c r="F238" s="268" t="n"/>
      <c r="G238" s="268" t="n"/>
      <c r="H238" s="268" t="n"/>
      <c r="I238" s="268" t="n"/>
      <c r="J238" s="268" t="n"/>
      <c r="K238" s="268" t="n"/>
      <c r="L238" s="268" t="n"/>
      <c r="M238" s="268" t="n"/>
      <c r="N238" s="268" t="n"/>
      <c r="O238" s="268" t="n"/>
      <c r="P238" s="268" t="n"/>
      <c r="Q238" s="268" t="n"/>
      <c r="R238" s="268" t="n"/>
      <c r="S238" s="268" t="n"/>
      <c r="T238" s="268" t="n"/>
      <c r="U238" s="268" t="n"/>
      <c r="V238" s="268" t="n"/>
      <c r="W238" s="268" t="n"/>
      <c r="X238" s="268" t="n"/>
      <c r="Y238" s="268" t="n"/>
      <c r="Z238" s="268" t="n"/>
      <c r="AA238" s="268" t="n"/>
      <c r="AB238" s="268" t="n"/>
      <c r="AC238" s="268" t="n"/>
      <c r="AD238" s="268" t="n"/>
      <c r="AE238" s="268" t="n"/>
      <c r="AF238" s="268" t="n"/>
      <c r="AG238" s="268" t="n"/>
      <c r="AH238" s="268" t="n"/>
      <c r="AI238" s="268" t="n"/>
      <c r="AJ238" s="268" t="n"/>
      <c r="AK238" s="268" t="n"/>
      <c r="AL238" s="268" t="n"/>
      <c r="AM238" s="268" t="n"/>
      <c r="AN238" s="268" t="n"/>
      <c r="AO238" s="268" t="n"/>
      <c r="AP238" s="268" t="n"/>
      <c r="AQ238" s="268" t="n"/>
      <c r="AR238" s="268" t="n"/>
      <c r="AS238" s="268" t="n"/>
      <c r="AT238" s="268" t="n"/>
      <c r="AU238" s="268" t="n"/>
      <c r="AV238" s="268" t="n"/>
      <c r="AW238" s="268" t="n"/>
      <c r="AX238" s="268" t="n"/>
      <c r="AY238" s="268" t="n"/>
      <c r="AZ238" s="268" t="n"/>
      <c r="BA238" s="268" t="n"/>
      <c r="BB238" s="268" t="n"/>
      <c r="BC238" s="268" t="n"/>
      <c r="BD238" s="268" t="n"/>
      <c r="BE238" s="268" t="n"/>
      <c r="BF238" s="268" t="n"/>
      <c r="BG238" s="268" t="n"/>
      <c r="BH238" s="268" t="n"/>
      <c r="BI238" s="268" t="n"/>
      <c r="BJ238" s="268" t="n"/>
      <c r="BK238" s="268" t="n"/>
      <c r="BL238" s="268" t="n"/>
      <c r="BM238" s="268" t="n"/>
      <c r="BN238" s="268" t="n"/>
      <c r="BO238" s="268" t="n"/>
      <c r="BP238" s="268" t="n"/>
      <c r="BQ238" s="268" t="n"/>
      <c r="BR238" s="268" t="n"/>
      <c r="BS238" s="268" t="n"/>
      <c r="BT238" s="268" t="n"/>
      <c r="BU238" s="268" t="n"/>
      <c r="BV238" s="268" t="n"/>
      <c r="BW238" s="268" t="n"/>
      <c r="BX238" s="268" t="n"/>
      <c r="BY238" s="268" t="n"/>
      <c r="BZ238" s="268" t="n"/>
      <c r="CA238" s="268" t="n"/>
      <c r="CB238" s="268" t="n"/>
      <c r="CC238" s="268" t="n"/>
      <c r="CD238" s="268" t="n"/>
      <c r="CE238" s="268" t="n"/>
      <c r="CF238" s="268" t="n"/>
      <c r="CG238" s="268" t="n"/>
      <c r="CH238" s="268" t="n"/>
      <c r="CI238" s="268" t="n"/>
      <c r="CJ238" s="268" t="n"/>
      <c r="CK238" s="268" t="n"/>
      <c r="CL238" s="268" t="n"/>
      <c r="CM238" s="268" t="n"/>
      <c r="CN238" s="268" t="n"/>
      <c r="CO238" s="268" t="n"/>
      <c r="CP238" s="268" t="n"/>
      <c r="CQ238" s="268" t="n"/>
      <c r="CR238" s="268" t="n"/>
      <c r="CS238" s="268" t="n"/>
      <c r="CT238" s="268" t="n"/>
      <c r="CU238" s="268" t="n"/>
      <c r="CV238" s="268" t="n"/>
      <c r="CW238" s="268" t="n"/>
      <c r="CX238" s="268" t="n"/>
      <c r="CY238" s="268" t="n"/>
    </row>
    <row r="239" ht="12.75" customFormat="1" customHeight="1" s="287">
      <c r="A239" s="288" t="n"/>
      <c r="B239" s="288" t="n"/>
      <c r="C239" s="321" t="inlineStr">
        <is>
          <t>Total Liabilities</t>
        </is>
      </c>
      <c r="D239" s="276">
        <f>SUM(D190+D194+D196+D197+D204+D205+D206+D209+D227+D230+D231+D232)</f>
        <v>23256</v>
      </c>
      <c r="E239" s="276">
        <f>SUM(E190+E194+E196+E197+E204+E205+E206+E209+E227+E230+E231+E232)</f>
        <v>23075</v>
      </c>
      <c r="F239" s="276">
        <f>SUM(F190+F194+F196+F197+F204+F205+F206+F209+F227+F230+F231+F232)</f>
        <v>23537</v>
      </c>
      <c r="G239" s="276">
        <f>SUM(G190+G194+G196+G197+G204+G205+G206+G209+G227+G230+G231+G232)</f>
        <v>23476</v>
      </c>
      <c r="H239" s="276">
        <f>SUM(H190,H194,H196,H197,H204,H205,H209,H206,H227,H230,H231,H232)</f>
        <v>23476</v>
      </c>
      <c r="I239" s="276">
        <f>SUM(I190+I194+I196+I197+I204+I205+I206+I209+I227+I230+I231+I232)</f>
        <v>24070</v>
      </c>
      <c r="J239" s="276">
        <f>SUM(J190+J194+J196+J197+J204+J205+J206+J209+J227+J230+J231+J232)</f>
        <v>24501</v>
      </c>
      <c r="K239" s="276">
        <f>SUM(K190+K194+K196+K197+K204+K205+K206+K209+K227+K230+K231+K232)</f>
        <v>24386</v>
      </c>
      <c r="L239" s="276">
        <f>SUM(L190+L194+L196+L197+L204+L205+L206+L209+L227+L230+L231+L232)</f>
        <v>25003</v>
      </c>
      <c r="M239" s="276">
        <f>SUM(M190,M194,M196,M197,M204,M205,M209,M206,M227,M230,M231,M232)</f>
        <v>25003</v>
      </c>
      <c r="N239" s="276">
        <f>SUM(N190+N194+N196+N197+N204+N205+N206+N209+N227+N230+N231+N232)</f>
        <v>24790</v>
      </c>
      <c r="O239" s="276">
        <f>SUM(O190+O194+O196+O197+O204+O205+O206+O209+O227+O230+O231+O232)</f>
        <v>26066</v>
      </c>
      <c r="P239" s="276">
        <f>SUM(P190+P194+P196+P197+P204+P205+P206+P209+P227+P230+P231+P232)</f>
        <v>25746</v>
      </c>
      <c r="Q239" s="276">
        <f>SUM(Q190+Q194+Q196+Q197+Q204+Q205+Q206+Q209+Q227+Q230+Q231+Q232)</f>
        <v>26222</v>
      </c>
      <c r="R239" s="276">
        <f>SUM(R190,R194,R196,R197,R204,R205,R209,R206,R227,R230,R231,R232)</f>
        <v>26222</v>
      </c>
      <c r="S239" s="276">
        <f>SUM(S190+S194+S196+S197+S204+S205+S206+S209+S227+S230+S231+S232)</f>
        <v>25261</v>
      </c>
      <c r="T239" s="276">
        <f>SUM(T190+T194+T196+T197+T204+T205+T206+T209+T227+T230+T231+T232)</f>
        <v>24880</v>
      </c>
      <c r="U239" s="276">
        <f>SUM(U190+U194+U196+U197+U204+U205+U206+U209+U227+U230+U231+U232)</f>
        <v>24971</v>
      </c>
      <c r="V239" s="276">
        <f>SUM(V190+V194+V196+V197+V204+V205+V206+V209+V227+V230+V231+V232)</f>
        <v>25196</v>
      </c>
      <c r="W239" s="276">
        <f>SUM(W190,W194,W196,W197,W204,W205,W209,W206,W227,W230,W231,W232)</f>
        <v>25196</v>
      </c>
      <c r="X239" s="276">
        <f>SUM(X190+X194+X196+X197+X204+X205+X206+X209+X227+X230+X231+X232)</f>
        <v>26093</v>
      </c>
      <c r="Y239" s="276">
        <f>SUM(Y190+Y194+Y196+Y197+Y204+Y205+Y206+Y209+Y227+Y230+Y231+Y232)</f>
        <v>25949</v>
      </c>
      <c r="Z239" s="276">
        <f>SUM(Z190+Z194+Z196+Z197+Z204+Z205+Z206+Z209+Z227+Z230+Z231+Z232)</f>
        <v>26534</v>
      </c>
      <c r="AA239" s="276">
        <f>SUM(AA190+AA194+AA196+AA197+AA204+AA205+AA206+AA209+AA227+AA230+AA231+AA232)</f>
        <v>26070</v>
      </c>
      <c r="AB239" s="276">
        <f>SUM(AB190,AB194,AB196,AB197,AB204,AB205,AB209,AB206,AB227,AB230,AB231,AB232)</f>
        <v>26070</v>
      </c>
      <c r="AC239" s="276">
        <f>SUM(AC190+AC194+AC196+AC197+AC204+AC205+AC206+AC209+AC227+AC230+AC231+AC232)</f>
        <v>26808</v>
      </c>
      <c r="AD239" s="276">
        <f>SUM(AD190+AD194+AD196+AD197+AD204+AD205+AD206+AD209+AD227+AD230+AD231+AD232)</f>
        <v>26496</v>
      </c>
      <c r="AE239" s="276">
        <f>SUM(AE190+AE194+AE196+AE197+AE204+AE205+AE206+AE209+AE227+AE230+AE231+AE232)</f>
        <v>26431</v>
      </c>
      <c r="AF239" s="276">
        <f>SUM(AF190+AF194+AF196+AF197+AF204+AF205+AF206+AF209+AF227+AF230+AF231+AF232)</f>
        <v>27401</v>
      </c>
      <c r="AG239" s="276">
        <f>SUM(AG190,AG194,AG196,AG197,AG204,AG205,AG209,AG206,AG227,AG230,AG231,AG232)</f>
        <v>27401</v>
      </c>
      <c r="AH239" s="276">
        <f>SUM(AH190+AH194+AH196+AH197+AH204+AH205+AH206+AH209+AH227+AH230+AH231+AH232)</f>
        <v>27329</v>
      </c>
      <c r="AI239" s="276">
        <f>SUM(AI190+AI194+AI196+AI197+AI204+AI205+AI206+AI209+AI227+AI230+AI231+AI232)</f>
        <v>27505</v>
      </c>
      <c r="AJ239" s="276">
        <f>SUM(AJ190+AJ194+AJ196+AJ197+AJ204+AJ205+AJ206+AJ209+AJ227+AJ230+AJ231+AJ232)</f>
        <v>22414</v>
      </c>
      <c r="AK239" s="276">
        <f>SUM(AK190+AK194+AK196+AK197+AK204+AK205+AK206+AK209+AK227+AK230+AK231+AK232)</f>
        <v>22414</v>
      </c>
      <c r="AL239" s="276">
        <f>SUM(AL190,AL194,AL196,AL197,AL204,AL205,AL209,AL206,AL227,AL230,AL231,AL232)</f>
        <v>22414</v>
      </c>
      <c r="AM239" s="276" t="e">
        <f>SUM(AM190+AM194+AM196+AM197+AM204+AM205+AM206+AM209+AM227+AM230+AM231+AM232)</f>
        <v>#DIV/0!</v>
      </c>
      <c r="AN239" s="276">
        <f>SUM(AN190+AN194+AN196+AN197+AN204+AN205+AN206+AN209+AN227+AN230+AN231+AN232)</f>
        <v>22414</v>
      </c>
      <c r="AO239" s="276" t="e">
        <f>SUM(AO190+AO194+AO196+AO197+AO204+AO205+AO206+AO209+AO227+AO230+AO231+AO232)</f>
        <v>#DIV/0!</v>
      </c>
      <c r="AP239" s="276" t="e">
        <f>SUM(AP190+AP194+AP196+AP197+AP204+AP205+AP206+AP209+AP227+AP230+AP231+AP232)</f>
        <v>#DIV/0!</v>
      </c>
      <c r="AQ239" s="276" t="e">
        <f>SUM(AQ190,AQ194,AQ196,AQ197,AQ204,AQ205,AQ209,AQ206,AQ227,AQ230,AQ231,AQ232)</f>
        <v>#DIV/0!</v>
      </c>
      <c r="AR239" s="276" t="e">
        <f>SUM(AR190+AR194+AR196+AR197+AR204+AR205+AR206+AR209+AR227+AR230+AR231+AR232)</f>
        <v>#DIV/0!</v>
      </c>
      <c r="AS239" s="276" t="e">
        <f>SUM(AS190+AS194+AS196+AS197+AS204+AS205+AS206+AS209+AS227+AS230+AS231+AS232)</f>
        <v>#DIV/0!</v>
      </c>
      <c r="AT239" s="276" t="e">
        <f>SUM(AT190+AT194+AT196+AT197+AT204+AT205+AT206+AT209+AT227+AT230+AT231+AT232)</f>
        <v>#DIV/0!</v>
      </c>
      <c r="AU239" s="276" t="e">
        <f>SUM(AU190+AU194+AU196+AU197+AU204+AU205+AU206+AU209+AU227+AU230+AU231+AU232)</f>
        <v>#DIV/0!</v>
      </c>
      <c r="AV239" s="276" t="e">
        <f>SUM(AV190,AV194,AV196,AV197,AV204,AV205,AV209,AV206,AV227,AV230,AV231,AV232)</f>
        <v>#DIV/0!</v>
      </c>
      <c r="AW239" s="276" t="e">
        <f>SUM(AW190+AW194+AW196+AW197+AW204+AW205+AW206+AW209+AW227+AW230+AW231+AW232)</f>
        <v>#DIV/0!</v>
      </c>
      <c r="AX239" s="276" t="e">
        <f>SUM(AX190+AX194+AX196+AX197+AX204+AX205+AX206+AX209+AX227+AX230+AX231+AX232)</f>
        <v>#DIV/0!</v>
      </c>
      <c r="AY239" s="276" t="e">
        <f>SUM(AY190+AY194+AY196+AY197+AY204+AY205+AY206+AY209+AY227+AY230+AY231+AY232)</f>
        <v>#DIV/0!</v>
      </c>
      <c r="AZ239" s="276" t="e">
        <f>SUM(AZ190+AZ194+AZ196+AZ197+AZ204+AZ205+AZ206+AZ209+AZ227+AZ230+AZ231+AZ232)</f>
        <v>#DIV/0!</v>
      </c>
      <c r="BA239" s="276" t="e">
        <f>SUM(BA190,BA194,BA196,BA197,BA204,BA205,BA209,BA206,BA227,BA230,BA231,BA232)</f>
        <v>#DIV/0!</v>
      </c>
      <c r="BB239" s="276" t="e">
        <f>SUM(BB190+BB194+BB196+BB197+BB204+BB205+BB206+BB209+BB227+BB230+BB231+BB232)</f>
        <v>#DIV/0!</v>
      </c>
      <c r="BC239" s="276" t="e">
        <f>SUM(BC190+BC194+BC196+BC197+BC204+BC205+BC206+BC209+BC227+BC230+BC231+BC232)</f>
        <v>#DIV/0!</v>
      </c>
      <c r="BD239" s="276" t="e">
        <f>SUM(BD190+BD194+BD196+BD197+BD204+BD205+BD206+BD209+BD227+BD230+BD231+BD232)</f>
        <v>#DIV/0!</v>
      </c>
      <c r="BE239" s="276" t="e">
        <f>SUM(BE190+BE194+BE196+BE197+BE204+BE205+BE206+BE209+BE227+BE230+BE231+BE232)</f>
        <v>#DIV/0!</v>
      </c>
      <c r="BF239" s="276" t="e">
        <f>SUM(BF190,BF194,BF196,BF197,BF204,BF205,BF209,BF206,BF227,BF230,BF231,BF232)</f>
        <v>#DIV/0!</v>
      </c>
      <c r="BG239" s="276" t="e">
        <f>SUM(BG190+BG194+BG196+BG197+BG204+BG205+BG206+BG209+BG227+BG230+BG231+BG232)</f>
        <v>#DIV/0!</v>
      </c>
      <c r="BH239" s="276" t="e">
        <f>SUM(BH190+BH194+BH196+BH197+BH204+BH205+BH206+BH209+BH227+BH230+BH231+BH232)</f>
        <v>#DIV/0!</v>
      </c>
      <c r="BI239" s="276" t="e">
        <f>SUM(BI190+BI194+BI196+BI197+BI204+BI205+BI206+BI209+BI227+BI230+BI231+BI232)</f>
        <v>#DIV/0!</v>
      </c>
      <c r="BJ239" s="276" t="e">
        <f>SUM(BJ190+BJ194+BJ196+BJ197+BJ204+BJ205+BJ206+BJ209+BJ227+BJ230+BJ231+BJ232)</f>
        <v>#DIV/0!</v>
      </c>
      <c r="BK239" s="276" t="e">
        <f>SUM(BK190,BK194,BK196,BK197,BK204,BK205,BK209,BK206,BK227,BK230,BK231,BK232)</f>
        <v>#DIV/0!</v>
      </c>
      <c r="BL239" s="276" t="e">
        <f>SUM(BL190+BL194+BL196+BL197+BL204+BL205+BL206+BL209+BL227+BL230+BL231+BL232)</f>
        <v>#DIV/0!</v>
      </c>
      <c r="BM239" s="276" t="e">
        <f>SUM(BM190+BM194+BM196+BM197+BM204+BM205+BM206+BM209+BM227+BM230+BM231+BM232)</f>
        <v>#DIV/0!</v>
      </c>
      <c r="BN239" s="276" t="e">
        <f>SUM(BN190+BN194+BN196+BN197+BN204+BN205+BN206+BN209+BN227+BN230+BN231+BN232)</f>
        <v>#DIV/0!</v>
      </c>
      <c r="BO239" s="276" t="e">
        <f>SUM(BO190+BO194+BO196+BO197+BO204+BO205+BO206+BO209+BO227+BO230+BO231+BO232)</f>
        <v>#DIV/0!</v>
      </c>
      <c r="BP239" s="276" t="e">
        <f>SUM(BP190,BP194,BP196,BP197,BP204,BP205,BP209,BP206,BP227,BP230,BP231,BP232)</f>
        <v>#DIV/0!</v>
      </c>
      <c r="BQ239" s="276" t="e">
        <f>SUM(BQ190+BQ194+BQ196+BQ197+BQ204+BQ205+BQ206+BQ209+BQ227+BQ230+BQ231+BQ232)</f>
        <v>#DIV/0!</v>
      </c>
      <c r="BR239" s="276" t="e">
        <f>SUM(BR190+BR194+BR196+BR197+BR204+BR205+BR206+BR209+BR227+BR230+BR231+BR232)</f>
        <v>#DIV/0!</v>
      </c>
      <c r="BS239" s="276" t="e">
        <f>SUM(BS190+BS194+BS196+BS197+BS204+BS205+BS206+BS209+BS227+BS230+BS231+BS232)</f>
        <v>#DIV/0!</v>
      </c>
      <c r="BT239" s="276" t="e">
        <f>SUM(BT190+BT194+BT196+BT197+BT204+BT205+BT206+BT209+BT227+BT230+BT231+BT232)</f>
        <v>#DIV/0!</v>
      </c>
      <c r="BU239" s="276" t="e">
        <f>SUM(BU190,BU194,BU196,BU197,BU204,BU205,BU209,BU206,BU227,BU230,BU231,BU232)</f>
        <v>#DIV/0!</v>
      </c>
      <c r="BV239" s="276" t="e">
        <f>SUM(BV190+BV194+BV196+BV197+BV204+BV205+BV206+BV209+BV227+BV230+BV231+BV232)</f>
        <v>#DIV/0!</v>
      </c>
      <c r="BW239" s="276" t="e">
        <f>SUM(BW190+BW194+BW196+BW197+BW204+BW205+BW206+BW209+BW227+BW230+BW231+BW232)</f>
        <v>#DIV/0!</v>
      </c>
      <c r="BX239" s="276" t="e">
        <f>SUM(BX190+BX194+BX196+BX197+BX204+BX205+BX206+BX209+BX227+BX230+BX231+BX232)</f>
        <v>#DIV/0!</v>
      </c>
      <c r="BY239" s="276" t="e">
        <f>SUM(BY190+BY194+BY196+BY197+BY204+BY205+BY206+BY209+BY227+BY230+BY231+BY232)</f>
        <v>#DIV/0!</v>
      </c>
      <c r="BZ239" s="276" t="e">
        <f>SUM(BZ190,BZ194,BZ196,BZ197,BZ204,BZ205,BZ209,BZ206,BZ227,BZ230,BZ231,BZ232)</f>
        <v>#DIV/0!</v>
      </c>
      <c r="CA239" s="276" t="e">
        <f>SUM(CA190+CA194+CA196+CA197+CA204+CA205+CA206+CA209+CA227+CA230+CA231+CA232)</f>
        <v>#DIV/0!</v>
      </c>
      <c r="CB239" s="276" t="e">
        <f>SUM(CB190+CB194+CB196+CB197+CB204+CB205+CB206+CB209+CB227+CB230+CB231+CB232)</f>
        <v>#DIV/0!</v>
      </c>
      <c r="CC239" s="276" t="e">
        <f>SUM(CC190+CC194+CC196+CC197+CC204+CC205+CC206+CC209+CC227+CC230+CC231+CC232)</f>
        <v>#DIV/0!</v>
      </c>
      <c r="CD239" s="276" t="e">
        <f>SUM(CD190+CD194+CD196+CD197+CD204+CD205+CD206+CD209+CD227+CD230+CD231+CD232)</f>
        <v>#DIV/0!</v>
      </c>
      <c r="CE239" s="276" t="e">
        <f>SUM(CE190,CE194,CE196,CE197,CE204,CE205,CE209,CE206,CE227,CE230,CE231,CE232)</f>
        <v>#DIV/0!</v>
      </c>
      <c r="CF239" s="276" t="e">
        <f>SUM(CF190+CF194+CF196+CF197+CF204+CF205+CF206+CF209+CF227+CF230+CF231+CF232)</f>
        <v>#DIV/0!</v>
      </c>
      <c r="CG239" s="276" t="e">
        <f>SUM(CG190+CG194+CG196+CG197+CG204+CG205+CG206+CG209+CG227+CG230+CG231+CG232)</f>
        <v>#DIV/0!</v>
      </c>
      <c r="CH239" s="276" t="e">
        <f>SUM(CH190+CH194+CH196+CH197+CH204+CH205+CH206+CH209+CH227+CH230+CH231+CH232)</f>
        <v>#DIV/0!</v>
      </c>
      <c r="CI239" s="276" t="e">
        <f>SUM(CI190+CI194+CI196+CI197+CI204+CI205+CI206+CI209+CI227+CI230+CI231+CI232)</f>
        <v>#DIV/0!</v>
      </c>
      <c r="CJ239" s="276" t="e">
        <f>SUM(CJ190,CJ194,CJ196,CJ197,CJ204,CJ205,CJ209,CJ206,CJ227,CJ230,CJ231,CJ232)</f>
        <v>#DIV/0!</v>
      </c>
      <c r="CK239" s="276" t="e">
        <f>SUM(CK190+CK194+CK196+CK197+CK204+CK205+CK206+CK209+CK227+CK230+CK231+CK232)</f>
        <v>#DIV/0!</v>
      </c>
      <c r="CL239" s="276" t="e">
        <f>SUM(CL190+CL194+CL196+CL197+CL204+CL205+CL206+CL209+CL227+CL230+CL231+CL232)</f>
        <v>#DIV/0!</v>
      </c>
      <c r="CM239" s="276" t="e">
        <f>SUM(CM190+CM194+CM196+CM197+CM204+CM205+CM206+CM209+CM227+CM230+CM231+CM232)</f>
        <v>#DIV/0!</v>
      </c>
      <c r="CN239" s="276" t="e">
        <f>SUM(CN190+CN194+CN196+CN197+CN204+CN205+CN206+CN209+CN227+CN230+CN231+CN232)</f>
        <v>#DIV/0!</v>
      </c>
      <c r="CO239" s="276" t="e">
        <f>SUM(CO190,CO194,CO196,CO197,CO204,CO205,CO209,CO206,CO227,CO230,CO231,CO232)</f>
        <v>#DIV/0!</v>
      </c>
      <c r="CP239" s="276" t="e">
        <f>SUM(CP190+CP194+CP196+CP197+CP204+CP205+CP206+CP209+CP227+CP230+CP231+CP232)</f>
        <v>#DIV/0!</v>
      </c>
      <c r="CQ239" s="276" t="e">
        <f>SUM(CQ190+CQ194+CQ196+CQ197+CQ204+CQ205+CQ206+CQ209+CQ227+CQ230+CQ231+CQ232)</f>
        <v>#DIV/0!</v>
      </c>
      <c r="CR239" s="276" t="e">
        <f>SUM(CR190+CR194+CR196+CR197+CR204+CR205+CR206+CR209+CR227+CR230+CR231+CR232)</f>
        <v>#DIV/0!</v>
      </c>
      <c r="CS239" s="276" t="e">
        <f>SUM(CS190+CS194+CS196+CS197+CS204+CS205+CS206+CS209+CS227+CS230+CS231+CS232)</f>
        <v>#DIV/0!</v>
      </c>
      <c r="CT239" s="276" t="e">
        <f>SUM(CT190,CT194,CT196,CT197,CT204,CT205,CT209,CT206,CT227,CT230,CT231,CT232)</f>
        <v>#DIV/0!</v>
      </c>
      <c r="CU239" s="276" t="e">
        <f>SUM(CU190+CU194+CU196+CU197+CU204+CU205+CU206+CU209+CU227+CU230+CU231+CU232)</f>
        <v>#DIV/0!</v>
      </c>
      <c r="CV239" s="276" t="e">
        <f>SUM(CV190+CV194+CV196+CV197+CV204+CV205+CV206+CV209+CV227+CV230+CV231+CV232)</f>
        <v>#DIV/0!</v>
      </c>
      <c r="CW239" s="276" t="e">
        <f>SUM(CW190+CW194+CW196+CW197+CW204+CW205+CW206+CW209+CW227+CW230+CW231+CW232)</f>
        <v>#DIV/0!</v>
      </c>
      <c r="CX239" s="276" t="e">
        <f>SUM(CX190+CX194+CX196+CX197+CX204+CX205+CX206+CX209+CX227+CX230+CX231+CX232)</f>
        <v>#DIV/0!</v>
      </c>
      <c r="CY239" s="276" t="e">
        <f>SUM(CY190,CY194,CY196,CY197,CY204,CY205,CY209,CY206,CY227,CY230,CY231,CY232)</f>
        <v>#DIV/0!</v>
      </c>
    </row>
    <row r="240" ht="12.75" customHeight="1" s="255">
      <c r="C240" s="270" t="inlineStr">
        <is>
          <t>Minority interest</t>
        </is>
      </c>
      <c r="D240" s="301">
        <f>INDEX('Inputs (2)'!$D$41:$AL$41,MATCH(D$7,'Inputs (2)'!$D$2:$AL$2,0))</f>
        <v>8108</v>
      </c>
      <c r="E240" s="301">
        <f>INDEX('Inputs (2)'!$D$41:$AL$41,MATCH(E$7,'Inputs (2)'!$D$2:$AL$2,0))</f>
        <v>8201</v>
      </c>
      <c r="F240" s="301">
        <f>INDEX('Inputs (2)'!$D$41:$AL$41,MATCH(F$7,'Inputs (2)'!$D$2:$AL$2,0))</f>
        <v>8326</v>
      </c>
      <c r="G240" s="301">
        <f>INDEX('Inputs (2)'!$D$41:$AL$41,MATCH(G$7,'Inputs (2)'!$D$2:$AL$2,0))</f>
        <v>8494</v>
      </c>
      <c r="H240" s="268">
        <f>G240</f>
        <v>8494</v>
      </c>
      <c r="I240" s="301">
        <f>INDEX('Inputs (2)'!$D$41:$AL$41,MATCH(I$7,'Inputs (2)'!$D$2:$AL$2,0))</f>
        <v>8653</v>
      </c>
      <c r="J240" s="301">
        <f>INDEX('Inputs (2)'!$D$41:$AL$41,MATCH(J$7,'Inputs (2)'!$D$2:$AL$2,0))</f>
        <v>8924</v>
      </c>
      <c r="K240" s="301">
        <f>INDEX('Inputs (2)'!$D$41:$AL$41,MATCH(K$7,'Inputs (2)'!$D$2:$AL$2,0))</f>
        <v>9178</v>
      </c>
      <c r="L240" s="301">
        <f>INDEX('Inputs (2)'!$D$41:$AL$41,MATCH(L$7,'Inputs (2)'!$D$2:$AL$2,0))</f>
        <v>9039</v>
      </c>
      <c r="M240" s="268">
        <f>L240</f>
        <v>9039</v>
      </c>
      <c r="N240" s="301">
        <f>INDEX('Inputs (2)'!$D$41:$AL$41,MATCH(N$7,'Inputs (2)'!$D$2:$AL$2,0))</f>
        <v>9176</v>
      </c>
      <c r="O240" s="301">
        <f>INDEX('Inputs (2)'!$D$41:$AL$41,MATCH(O$7,'Inputs (2)'!$D$2:$AL$2,0))</f>
        <v>9158</v>
      </c>
      <c r="P240" s="301">
        <f>INDEX('Inputs (2)'!$D$41:$AL$41,MATCH(P$7,'Inputs (2)'!$D$2:$AL$2,0))</f>
        <v>9227</v>
      </c>
      <c r="Q240" s="301">
        <f>INDEX('Inputs (2)'!$D$41:$AL$41,MATCH(Q$7,'Inputs (2)'!$D$2:$AL$2,0))</f>
        <v>9316</v>
      </c>
      <c r="R240" s="268">
        <f>Q240</f>
        <v>9316</v>
      </c>
      <c r="S240" s="301">
        <f>INDEX('Inputs (2)'!$D$41:$AL$41,MATCH(S$7,'Inputs (2)'!$D$2:$AL$2,0))</f>
        <v>9591</v>
      </c>
      <c r="T240" s="301">
        <f>INDEX('Inputs (2)'!$D$41:$AL$41,MATCH(T$7,'Inputs (2)'!$D$2:$AL$2,0))</f>
        <v>9825</v>
      </c>
      <c r="U240" s="301">
        <f>INDEX('Inputs (2)'!$D$41:$AL$41,MATCH(U$7,'Inputs (2)'!$D$2:$AL$2,0))</f>
        <v>10218</v>
      </c>
      <c r="V240" s="301">
        <f>INDEX('Inputs (2)'!$D$41:$AL$41,MATCH(V$7,'Inputs (2)'!$D$2:$AL$2,0))</f>
        <v>10617</v>
      </c>
      <c r="W240" s="268">
        <f>V240</f>
        <v>10617</v>
      </c>
      <c r="X240" s="301">
        <f>INDEX('Inputs (2)'!$D$41:$AL$41,MATCH(X$7,'Inputs (2)'!$D$2:$AL$2,0))</f>
        <v>11132</v>
      </c>
      <c r="Y240" s="301">
        <f>INDEX('Inputs (2)'!$D$41:$AL$41,MATCH(Y$7,'Inputs (2)'!$D$2:$AL$2,0))</f>
        <v>11282</v>
      </c>
      <c r="Z240" s="301">
        <f>INDEX('Inputs (2)'!$D$41:$AL$41,MATCH(Z$7,'Inputs (2)'!$D$2:$AL$2,0))</f>
        <v>11318</v>
      </c>
      <c r="AA240" s="301">
        <f>INDEX('Inputs (2)'!$D$41:$AL$41,MATCH(AA$7,'Inputs (2)'!$D$2:$AL$2,0))</f>
        <v>11197</v>
      </c>
      <c r="AB240" s="268">
        <f>AA240</f>
        <v>11197</v>
      </c>
      <c r="AC240" s="301">
        <f>INDEX('Inputs (2)'!$D$41:$AL$41,MATCH(AC$7,'Inputs (2)'!$D$2:$AL$2,0))</f>
        <v>11526</v>
      </c>
      <c r="AD240" s="301">
        <f>INDEX('Inputs (2)'!$D$41:$AL$41,MATCH(AD$7,'Inputs (2)'!$D$2:$AL$2,0))</f>
        <v>11788</v>
      </c>
      <c r="AE240" s="301">
        <f>INDEX('Inputs (2)'!$D$41:$AL$41,MATCH(AE$7,'Inputs (2)'!$D$2:$AL$2,0))</f>
        <v>11712</v>
      </c>
      <c r="AF240" s="301">
        <f>INDEX('Inputs (2)'!$D$41:$AL$41,MATCH(AF$7,'Inputs (2)'!$D$2:$AL$2,0))</f>
        <v>11867</v>
      </c>
      <c r="AG240" s="268">
        <f>AF240</f>
        <v>11867</v>
      </c>
      <c r="AH240" s="268">
        <f>INDEX('Inputs (2)'!$D$41:$AL$41,MATCH(AH$7,'Inputs (2)'!$D$2:$AL$2,0))</f>
        <v>12006</v>
      </c>
      <c r="AI240" s="268">
        <f>INDEX('Inputs (2)'!$D$41:$AL$41,MATCH(AI$7,'Inputs (2)'!$D$2:$AL$2,0))</f>
        <v>12113</v>
      </c>
      <c r="AJ240" s="268">
        <f>AI240-AJ128+AJ243</f>
        <v>12686</v>
      </c>
      <c r="AK240" s="268">
        <f>AJ240-AK128+AK243</f>
        <v>12845</v>
      </c>
      <c r="AL240" s="268">
        <f>AK240</f>
        <v>12845</v>
      </c>
      <c r="AM240" s="268">
        <f>AL240-AM128+AM243</f>
        <v>13351</v>
      </c>
      <c r="AN240" s="268">
        <f>AM240-AN128+AN243</f>
        <v>13758</v>
      </c>
      <c r="AO240" s="268">
        <f>AN240-AO128+AO243</f>
        <v>14331</v>
      </c>
      <c r="AP240" s="268">
        <f>AO240-AP128+AP243</f>
        <v>14490</v>
      </c>
      <c r="AQ240" s="268">
        <f>AP240</f>
        <v>14490</v>
      </c>
      <c r="AR240" s="268">
        <f>AQ240-AR128+AR243</f>
        <v>14996</v>
      </c>
      <c r="AS240" s="268">
        <f>AR240-AS128+AS243</f>
        <v>15403</v>
      </c>
      <c r="AT240" s="268">
        <f>AS240-AT128+AT243</f>
        <v>15976</v>
      </c>
      <c r="AU240" s="268">
        <f>AT240-AU128+AU243</f>
        <v>16135</v>
      </c>
      <c r="AV240" s="268">
        <f>AU240</f>
        <v>16135</v>
      </c>
      <c r="AW240" s="268">
        <f>AV240-AW128+AW243</f>
        <v>16641</v>
      </c>
      <c r="AX240" s="268">
        <f>AW240-AX128+AX243</f>
        <v>17048</v>
      </c>
      <c r="AY240" s="268">
        <f>AX240-AY128+AY243</f>
        <v>17621</v>
      </c>
      <c r="AZ240" s="268">
        <f>AY240-AZ128+AZ243</f>
        <v>17780</v>
      </c>
      <c r="BA240" s="268">
        <f>AZ240</f>
        <v>17780</v>
      </c>
      <c r="BB240" s="268">
        <f>BA240-BB128+BB243</f>
        <v>18286</v>
      </c>
      <c r="BC240" s="268">
        <f>BB240-BC128+BC243</f>
        <v>18693</v>
      </c>
      <c r="BD240" s="268">
        <f>BC240-BD128+BD243</f>
        <v>19266</v>
      </c>
      <c r="BE240" s="268">
        <f>BD240-BE128+BE243</f>
        <v>19425</v>
      </c>
      <c r="BF240" s="268">
        <f>BE240</f>
        <v>19425</v>
      </c>
      <c r="BG240" s="268">
        <f>BF240-BG128+BG243</f>
        <v>19931</v>
      </c>
      <c r="BH240" s="268">
        <f>BG240-BH128+BH243</f>
        <v>20338</v>
      </c>
      <c r="BI240" s="268">
        <f>BH240-BI128+BI243</f>
        <v>20911</v>
      </c>
      <c r="BJ240" s="268">
        <f>BI240-BJ128+BJ243</f>
        <v>21070</v>
      </c>
      <c r="BK240" s="268">
        <f>BJ240</f>
        <v>21070</v>
      </c>
      <c r="BL240" s="268">
        <f>BK240-BL128+BL243</f>
        <v>21576</v>
      </c>
      <c r="BM240" s="268">
        <f>BL240-BM128+BM243</f>
        <v>21983</v>
      </c>
      <c r="BN240" s="268">
        <f>BM240-BN128+BN243</f>
        <v>22556</v>
      </c>
      <c r="BO240" s="268">
        <f>BN240-BO128+BO243</f>
        <v>22715</v>
      </c>
      <c r="BP240" s="268">
        <f>BO240</f>
        <v>22715</v>
      </c>
      <c r="BQ240" s="268">
        <f>BP240-BQ128+BQ243</f>
        <v>23221</v>
      </c>
      <c r="BR240" s="268">
        <f>BQ240-BR128+BR243</f>
        <v>23628</v>
      </c>
      <c r="BS240" s="268">
        <f>BR240-BS128+BS243</f>
        <v>24201</v>
      </c>
      <c r="BT240" s="268">
        <f>BS240-BT128+BT243</f>
        <v>24360</v>
      </c>
      <c r="BU240" s="268">
        <f>BT240</f>
        <v>24360</v>
      </c>
      <c r="BV240" s="268">
        <f>BU240-BV128+BV243</f>
        <v>24866</v>
      </c>
      <c r="BW240" s="268">
        <f>BV240-BW128+BW243</f>
        <v>25273</v>
      </c>
      <c r="BX240" s="268">
        <f>BW240-BX128+BX243</f>
        <v>25846</v>
      </c>
      <c r="BY240" s="268">
        <f>BX240-BY128+BY243</f>
        <v>26005</v>
      </c>
      <c r="BZ240" s="268">
        <f>BY240</f>
        <v>26005</v>
      </c>
      <c r="CA240" s="268">
        <f>BZ240-CA128+CA243</f>
        <v>26511</v>
      </c>
      <c r="CB240" s="268">
        <f>CA240-CB128+CB243</f>
        <v>26918</v>
      </c>
      <c r="CC240" s="268">
        <f>CB240-CC128+CC243</f>
        <v>27491</v>
      </c>
      <c r="CD240" s="268">
        <f>CC240-CD128+CD243</f>
        <v>27650</v>
      </c>
      <c r="CE240" s="268">
        <f>CD240</f>
        <v>27650</v>
      </c>
      <c r="CF240" s="268">
        <f>CE240-CF128+CF243</f>
        <v>28156</v>
      </c>
      <c r="CG240" s="268">
        <f>CF240-CG128+CG243</f>
        <v>28563</v>
      </c>
      <c r="CH240" s="268">
        <f>CG240-CH128+CH243</f>
        <v>29136</v>
      </c>
      <c r="CI240" s="268">
        <f>CH240-CI128+CI243</f>
        <v>29295</v>
      </c>
      <c r="CJ240" s="268">
        <f>CI240</f>
        <v>29295</v>
      </c>
      <c r="CK240" s="268">
        <f>CJ240-CK128+CK243</f>
        <v>29801</v>
      </c>
      <c r="CL240" s="268">
        <f>CK240-CL128+CL243</f>
        <v>30208</v>
      </c>
      <c r="CM240" s="268">
        <f>CL240-CM128+CM243</f>
        <v>30781</v>
      </c>
      <c r="CN240" s="268">
        <f>CM240-CN128+CN243</f>
        <v>30940</v>
      </c>
      <c r="CO240" s="268">
        <f>CN240</f>
        <v>30940</v>
      </c>
      <c r="CP240" s="268">
        <f>CO240-CP128+CP243</f>
        <v>31446</v>
      </c>
      <c r="CQ240" s="268">
        <f>CP240-CQ128+CQ243</f>
        <v>31853</v>
      </c>
      <c r="CR240" s="268">
        <f>CQ240-CR128+CR243</f>
        <v>32426</v>
      </c>
      <c r="CS240" s="268">
        <f>CR240-CS128+CS243</f>
        <v>32585</v>
      </c>
      <c r="CT240" s="268">
        <f>CS240</f>
        <v>32585</v>
      </c>
      <c r="CU240" s="268">
        <f>CT240-CU128+CU243</f>
        <v>33091</v>
      </c>
      <c r="CV240" s="268">
        <f>CU240-CV128+CV243</f>
        <v>33498</v>
      </c>
      <c r="CW240" s="268">
        <f>CV240-CW128+CW243</f>
        <v>34071</v>
      </c>
      <c r="CX240" s="268">
        <f>CW240-CX128+CX243</f>
        <v>34230</v>
      </c>
      <c r="CY240" s="268">
        <f>CX240</f>
        <v>34230</v>
      </c>
    </row>
    <row r="241" hidden="1" outlineLevel="1" ht="12.75" customFormat="1" customHeight="1" s="322">
      <c r="A241" s="293" t="n"/>
      <c r="B241" s="293" t="n"/>
      <c r="C241" s="314" t="n"/>
      <c r="D241" s="298" t="n"/>
      <c r="E241" s="298" t="n"/>
      <c r="F241" s="298" t="n"/>
      <c r="G241" s="298" t="n"/>
      <c r="H241" s="298" t="n"/>
      <c r="I241" s="298" t="n"/>
      <c r="J241" s="298" t="n"/>
      <c r="K241" s="298" t="n"/>
      <c r="L241" s="298" t="n"/>
      <c r="M241" s="298" t="n"/>
      <c r="N241" s="298" t="n"/>
      <c r="O241" s="298" t="n"/>
      <c r="P241" s="298" t="n"/>
      <c r="Q241" s="298" t="n"/>
      <c r="R241" s="298" t="n"/>
      <c r="S241" s="298" t="n"/>
      <c r="T241" s="298" t="n"/>
      <c r="U241" s="298" t="n"/>
      <c r="V241" s="298" t="n"/>
      <c r="W241" s="298" t="n"/>
      <c r="X241" s="298" t="n"/>
      <c r="Y241" s="298" t="n"/>
      <c r="Z241" s="298" t="n"/>
      <c r="AA241" s="298" t="n"/>
      <c r="AB241" s="298" t="n"/>
      <c r="AC241" s="298" t="n"/>
      <c r="AD241" s="298" t="n"/>
      <c r="AE241" s="298" t="n"/>
      <c r="AF241" s="298" t="n"/>
      <c r="AG241" s="298" t="n"/>
      <c r="AH241" s="298" t="n"/>
      <c r="AI241" s="298" t="n"/>
      <c r="AJ241" s="298" t="n"/>
      <c r="AK241" s="298" t="n"/>
      <c r="AL241" s="298" t="n"/>
      <c r="AM241" s="298" t="n"/>
      <c r="AN241" s="298" t="n"/>
      <c r="AO241" s="298" t="n"/>
      <c r="AP241" s="298" t="n"/>
      <c r="AQ241" s="298" t="n"/>
      <c r="AR241" s="298" t="n"/>
      <c r="AS241" s="298" t="n"/>
      <c r="AT241" s="298" t="n"/>
      <c r="AU241" s="298" t="n"/>
      <c r="AV241" s="298" t="n"/>
      <c r="AW241" s="298" t="n"/>
      <c r="AX241" s="298" t="n"/>
      <c r="AY241" s="298" t="n"/>
      <c r="AZ241" s="298" t="n"/>
      <c r="BA241" s="298" t="n"/>
      <c r="BB241" s="298" t="n"/>
      <c r="BC241" s="298" t="n"/>
      <c r="BD241" s="298" t="n"/>
      <c r="BE241" s="298" t="n"/>
      <c r="BF241" s="298" t="n"/>
      <c r="BG241" s="298" t="n"/>
      <c r="BH241" s="298" t="n"/>
      <c r="BI241" s="298" t="n"/>
      <c r="BJ241" s="298" t="n"/>
      <c r="BK241" s="298" t="n"/>
      <c r="BL241" s="298" t="n"/>
      <c r="BM241" s="298" t="n"/>
      <c r="BN241" s="298" t="n"/>
      <c r="BO241" s="298" t="n"/>
      <c r="BP241" s="298" t="n"/>
      <c r="BQ241" s="298" t="n"/>
      <c r="BR241" s="298" t="n"/>
      <c r="BS241" s="298" t="n"/>
      <c r="BT241" s="298" t="n"/>
      <c r="BU241" s="298" t="n"/>
      <c r="BV241" s="298" t="n"/>
      <c r="BW241" s="298" t="n"/>
      <c r="BX241" s="298" t="n"/>
      <c r="BY241" s="298" t="n"/>
      <c r="BZ241" s="298" t="n"/>
      <c r="CA241" s="298" t="n"/>
      <c r="CB241" s="298" t="n"/>
      <c r="CC241" s="298" t="n"/>
      <c r="CD241" s="298" t="n"/>
      <c r="CE241" s="298" t="n"/>
      <c r="CF241" s="298" t="n"/>
      <c r="CG241" s="298" t="n"/>
      <c r="CH241" s="298" t="n"/>
      <c r="CI241" s="298" t="n"/>
      <c r="CJ241" s="298" t="n"/>
      <c r="CK241" s="298" t="n"/>
      <c r="CL241" s="298" t="n"/>
      <c r="CM241" s="298" t="n"/>
      <c r="CN241" s="298" t="n"/>
      <c r="CO241" s="298" t="n"/>
      <c r="CP241" s="298" t="n"/>
      <c r="CQ241" s="298" t="n"/>
      <c r="CR241" s="298" t="n"/>
      <c r="CS241" s="298" t="n"/>
      <c r="CT241" s="298" t="n"/>
      <c r="CU241" s="298" t="n"/>
      <c r="CV241" s="298" t="n"/>
      <c r="CW241" s="298" t="n"/>
      <c r="CX241" s="298" t="n"/>
      <c r="CY241" s="298" t="n"/>
    </row>
    <row r="242" hidden="1" outlineLevel="1" ht="12.75" customFormat="1" customHeight="1" s="322">
      <c r="A242" s="293" t="n"/>
      <c r="B242" s="293" t="n"/>
      <c r="C242" s="312" t="inlineStr">
        <is>
          <t>Minority Interest Expense - % YoY</t>
        </is>
      </c>
      <c r="D242" s="298" t="n"/>
      <c r="E242" s="313">
        <f>IF(D127=0,0,E127/D127-1)</f>
        <v>0</v>
      </c>
      <c r="F242" s="298" t="n"/>
      <c r="G242" s="298" t="n"/>
      <c r="H242" s="313" t="n"/>
      <c r="I242" s="298" t="n"/>
      <c r="J242" s="313">
        <f>IF(I127=0,0,J127/I127-1)</f>
        <v>-1.01271186440678</v>
      </c>
      <c r="K242" s="298" t="n"/>
      <c r="L242" s="298" t="n"/>
      <c r="M242" s="313" t="n"/>
      <c r="N242" s="313">
        <f>IF(I127=0,0,N127/I127-1)</f>
        <v>-1.03177966101695</v>
      </c>
      <c r="O242" s="313">
        <f>IF(J127=0,0,O127/J127-1)</f>
        <v>0.666666666666667</v>
      </c>
      <c r="P242" s="313">
        <f>IF(K127=0,0,P127/K127-1)</f>
        <v>-1.88888888888889</v>
      </c>
      <c r="Q242" s="313">
        <f>IF(L127=0,0,Q127/L127-1)</f>
        <v>-0.999051233396584</v>
      </c>
      <c r="R242" s="313" t="n"/>
      <c r="S242" s="313">
        <f>IF(N127=0,0,S127/N127-1)</f>
        <v>-0.333333333333333</v>
      </c>
      <c r="T242" s="313">
        <f>IF(O127=0,0,T127/O127-1)</f>
        <v>-0.8</v>
      </c>
      <c r="U242" s="313">
        <f>IF(P127=0,0,U127/P127-1)</f>
        <v>-1</v>
      </c>
      <c r="V242" s="313">
        <f>IF(Q127=0,0,V127/Q127-1)</f>
        <v>-2.5</v>
      </c>
      <c r="W242" s="313">
        <f>IF(R128=0,0,W128/R128-1)</f>
        <v>0.882294757665677</v>
      </c>
      <c r="X242" s="313">
        <f>IF(S127=0,0,X127/S127-1)</f>
        <v>-1</v>
      </c>
      <c r="Y242" s="313">
        <f>IF(T127=0,0,Y127/T127-1)</f>
        <v>1</v>
      </c>
      <c r="Z242" s="313">
        <f>IF(U127=0,0,Z127/U127-1)</f>
        <v>0</v>
      </c>
      <c r="AA242" s="313">
        <f>IF(V127=0,0,AA127/V127-1)</f>
        <v>-0.666666666666667</v>
      </c>
      <c r="AB242" s="313">
        <f>IF(W128=0,0,AB128/W128-1)</f>
        <v>0.318970047293747</v>
      </c>
      <c r="AC242" s="313">
        <f>IF(X127=0,0,AC127/X127-1)</f>
        <v>0</v>
      </c>
      <c r="AD242" s="313">
        <f>IF(Y127=0,0,AD127/Y127-1)</f>
        <v>0.5</v>
      </c>
      <c r="AE242" s="313">
        <f>IF(Z127=0,0,AE127/Z127-1)</f>
        <v>-1.8</v>
      </c>
      <c r="AF242" s="313">
        <f>IF(AA127=0,0,AF127/AA127-1)</f>
        <v>0</v>
      </c>
      <c r="AG242" s="313">
        <f>IF(AB128=0,0,AG128/AB128-1)</f>
        <v>-0.22390438247012</v>
      </c>
      <c r="AH242" s="317">
        <f>IF(AC127=0,0,AH127/AC127-1)</f>
        <v>2</v>
      </c>
      <c r="AI242" s="317">
        <f>IF(AD127=0,0,AI127/AD127-1)</f>
        <v>-0.166666666666667</v>
      </c>
      <c r="AJ242" s="317" t="n"/>
      <c r="AK242" s="317" t="n"/>
      <c r="AL242" s="313">
        <f>IF(AG128=0,0,AL128/AG128-1)</f>
        <v>-0.155544147843943</v>
      </c>
      <c r="AM242" s="317" t="n"/>
      <c r="AN242" s="317" t="n"/>
      <c r="AO242" s="317" t="n"/>
      <c r="AP242" s="317" t="n"/>
      <c r="AQ242" s="313">
        <f>IF(AL128=0,0,AQ128/AL128-1)</f>
        <v>0</v>
      </c>
      <c r="AR242" s="317" t="n"/>
      <c r="AS242" s="317" t="n"/>
      <c r="AT242" s="317" t="n"/>
      <c r="AU242" s="317" t="n"/>
      <c r="AV242" s="313">
        <f>IF(AQ128=0,0,AV128/AQ128-1)</f>
        <v>0</v>
      </c>
      <c r="AW242" s="317" t="n"/>
      <c r="AX242" s="317" t="n"/>
      <c r="AY242" s="317" t="n"/>
      <c r="AZ242" s="317" t="n"/>
      <c r="BA242" s="313">
        <f>IF(AV128=0,0,BA128/AV128-1)</f>
        <v>0</v>
      </c>
      <c r="BB242" s="317" t="n"/>
      <c r="BC242" s="317" t="n"/>
      <c r="BD242" s="317" t="n"/>
      <c r="BE242" s="317" t="n"/>
      <c r="BF242" s="313">
        <f>IF(BA128=0,0,BF128/BA128-1)</f>
        <v>0</v>
      </c>
      <c r="BG242" s="317" t="n"/>
      <c r="BH242" s="317" t="n"/>
      <c r="BI242" s="317" t="n"/>
      <c r="BJ242" s="317" t="n"/>
      <c r="BK242" s="313">
        <f>IF(BF128=0,0,BK128/BF128-1)</f>
        <v>0</v>
      </c>
      <c r="BL242" s="317" t="n"/>
      <c r="BM242" s="317" t="n"/>
      <c r="BN242" s="317" t="n"/>
      <c r="BO242" s="317" t="n"/>
      <c r="BP242" s="313">
        <f>IF(BK128=0,0,BP128/BK128-1)</f>
        <v>0</v>
      </c>
      <c r="BQ242" s="317" t="n"/>
      <c r="BR242" s="317" t="n"/>
      <c r="BS242" s="317" t="n"/>
      <c r="BT242" s="317" t="n"/>
      <c r="BU242" s="313">
        <f>IF(BP128=0,0,BU128/BP128-1)</f>
        <v>0</v>
      </c>
      <c r="BV242" s="317" t="n"/>
      <c r="BW242" s="317" t="n"/>
      <c r="BX242" s="317" t="n"/>
      <c r="BY242" s="317" t="n"/>
      <c r="BZ242" s="313">
        <f>IF(BU128=0,0,BZ128/BU128-1)</f>
        <v>0</v>
      </c>
      <c r="CA242" s="317" t="n"/>
      <c r="CB242" s="317" t="n"/>
      <c r="CC242" s="317" t="n"/>
      <c r="CD242" s="317" t="n"/>
      <c r="CE242" s="313">
        <f>IF(BZ128=0,0,CE128/BZ128-1)</f>
        <v>0</v>
      </c>
      <c r="CF242" s="317" t="n"/>
      <c r="CG242" s="317" t="n"/>
      <c r="CH242" s="317" t="n"/>
      <c r="CI242" s="317" t="n"/>
      <c r="CJ242" s="313">
        <f>IF(CE128=0,0,CJ128/CE128-1)</f>
        <v>0</v>
      </c>
      <c r="CK242" s="317" t="n"/>
      <c r="CL242" s="317" t="n"/>
      <c r="CM242" s="317" t="n"/>
      <c r="CN242" s="317" t="n"/>
      <c r="CO242" s="313">
        <f>IF(CJ128=0,0,CO128/CJ128-1)</f>
        <v>0</v>
      </c>
      <c r="CP242" s="317" t="n"/>
      <c r="CQ242" s="317" t="n"/>
      <c r="CR242" s="317" t="n"/>
      <c r="CS242" s="317" t="n"/>
      <c r="CT242" s="313">
        <f>IF(CO128=0,0,CT128/CO128-1)</f>
        <v>0</v>
      </c>
      <c r="CU242" s="317" t="n"/>
      <c r="CV242" s="317" t="n"/>
      <c r="CW242" s="317" t="n"/>
      <c r="CX242" s="317" t="n"/>
      <c r="CY242" s="313">
        <f>IF(CT128=0,0,CY128/CT128-1)</f>
        <v>0</v>
      </c>
    </row>
    <row r="243" hidden="1" outlineLevel="1" ht="12.75" customFormat="1" customHeight="1" s="322">
      <c r="A243" s="293" t="n"/>
      <c r="B243" s="293" t="n"/>
      <c r="C243" s="312" t="inlineStr">
        <is>
          <t>Dividends (enter as -)</t>
        </is>
      </c>
      <c r="D243" s="298" t="n"/>
      <c r="E243" s="298" t="n"/>
      <c r="F243" s="298" t="n"/>
      <c r="G243" s="298" t="n"/>
      <c r="H243" s="298" t="n"/>
      <c r="I243" s="298" t="n"/>
      <c r="J243" s="298" t="n"/>
      <c r="K243" s="298" t="n"/>
      <c r="L243" s="298" t="n"/>
      <c r="M243" s="298" t="n"/>
      <c r="N243" s="298" t="n"/>
      <c r="O243" s="298" t="n"/>
      <c r="P243" s="298" t="n"/>
      <c r="Q243" s="298" t="n"/>
      <c r="R243" s="298" t="n"/>
      <c r="S243" s="298" t="n"/>
      <c r="T243" s="298" t="n"/>
      <c r="U243" s="298" t="n"/>
      <c r="V243" s="298" t="n"/>
      <c r="W243" s="298" t="n"/>
      <c r="X243" s="298" t="n"/>
      <c r="Y243" s="298" t="n"/>
      <c r="Z243" s="298" t="n"/>
      <c r="AA243" s="298" t="n"/>
      <c r="AB243" s="298" t="n"/>
      <c r="AC243" s="298" t="n"/>
      <c r="AD243" s="298" t="n"/>
      <c r="AE243" s="298" t="n"/>
      <c r="AF243" s="298" t="n"/>
      <c r="AG243" s="298" t="n"/>
      <c r="AH243" s="317" t="n"/>
      <c r="AI243" s="317" t="n"/>
      <c r="AJ243" s="317" t="n"/>
      <c r="AK243" s="317" t="n"/>
      <c r="AL243" s="298" t="n"/>
      <c r="AM243" s="317" t="n"/>
      <c r="AN243" s="317" t="n"/>
      <c r="AO243" s="317" t="n"/>
      <c r="AP243" s="317" t="n"/>
      <c r="AQ243" s="298" t="n"/>
      <c r="AR243" s="317" t="n"/>
      <c r="AS243" s="317" t="n"/>
      <c r="AT243" s="317" t="n"/>
      <c r="AU243" s="317" t="n"/>
      <c r="AV243" s="298" t="n"/>
      <c r="AW243" s="317" t="n"/>
      <c r="AX243" s="317" t="n"/>
      <c r="AY243" s="317" t="n"/>
      <c r="AZ243" s="317" t="n"/>
      <c r="BA243" s="298" t="n"/>
      <c r="BB243" s="317" t="n"/>
      <c r="BC243" s="317" t="n"/>
      <c r="BD243" s="317" t="n"/>
      <c r="BE243" s="317" t="n"/>
      <c r="BF243" s="298" t="n"/>
      <c r="BG243" s="317" t="n"/>
      <c r="BH243" s="317" t="n"/>
      <c r="BI243" s="317" t="n"/>
      <c r="BJ243" s="317" t="n"/>
      <c r="BK243" s="298" t="n"/>
      <c r="BL243" s="317" t="n"/>
      <c r="BM243" s="317" t="n"/>
      <c r="BN243" s="317" t="n"/>
      <c r="BO243" s="317" t="n"/>
      <c r="BP243" s="298" t="n"/>
      <c r="BQ243" s="317" t="n"/>
      <c r="BR243" s="317" t="n"/>
      <c r="BS243" s="317" t="n"/>
      <c r="BT243" s="317" t="n"/>
      <c r="BU243" s="298" t="n"/>
      <c r="BV243" s="317" t="n"/>
      <c r="BW243" s="317" t="n"/>
      <c r="BX243" s="317" t="n"/>
      <c r="BY243" s="317" t="n"/>
      <c r="BZ243" s="298" t="n"/>
      <c r="CA243" s="317" t="n"/>
      <c r="CB243" s="317" t="n"/>
      <c r="CC243" s="317" t="n"/>
      <c r="CD243" s="317" t="n"/>
      <c r="CE243" s="298" t="n"/>
      <c r="CF243" s="317" t="n"/>
      <c r="CG243" s="317" t="n"/>
      <c r="CH243" s="317" t="n"/>
      <c r="CI243" s="317" t="n"/>
      <c r="CJ243" s="298" t="n"/>
      <c r="CK243" s="317" t="n"/>
      <c r="CL243" s="317" t="n"/>
      <c r="CM243" s="317" t="n"/>
      <c r="CN243" s="317" t="n"/>
      <c r="CO243" s="298" t="n"/>
      <c r="CP243" s="317" t="n"/>
      <c r="CQ243" s="317" t="n"/>
      <c r="CR243" s="317" t="n"/>
      <c r="CS243" s="317" t="n"/>
      <c r="CT243" s="298" t="n"/>
      <c r="CU243" s="317" t="n"/>
      <c r="CV243" s="317" t="n"/>
      <c r="CW243" s="317" t="n"/>
      <c r="CX243" s="317" t="n"/>
      <c r="CY243" s="298" t="n"/>
    </row>
    <row r="244" hidden="1" outlineLevel="1" ht="12.75" customFormat="1" customHeight="1" s="322">
      <c r="A244" s="293" t="n"/>
      <c r="B244" s="293" t="n"/>
      <c r="C244" s="314" t="n"/>
      <c r="D244" s="298" t="n"/>
      <c r="E244" s="298" t="n"/>
      <c r="F244" s="298" t="n"/>
      <c r="G244" s="298" t="n"/>
      <c r="H244" s="298" t="n"/>
      <c r="I244" s="298" t="n"/>
      <c r="J244" s="298" t="n"/>
      <c r="K244" s="298" t="n"/>
      <c r="L244" s="298" t="n"/>
      <c r="M244" s="298" t="n"/>
      <c r="N244" s="298" t="n"/>
      <c r="O244" s="298" t="n"/>
      <c r="P244" s="298" t="n"/>
      <c r="Q244" s="298" t="n"/>
      <c r="R244" s="298" t="n"/>
      <c r="S244" s="298" t="n"/>
      <c r="T244" s="298" t="n"/>
      <c r="U244" s="298" t="n"/>
      <c r="V244" s="298" t="n"/>
      <c r="W244" s="298" t="n"/>
      <c r="X244" s="298" t="n"/>
      <c r="Y244" s="298" t="n"/>
      <c r="Z244" s="298" t="n"/>
      <c r="AA244" s="298" t="n"/>
      <c r="AB244" s="298" t="n"/>
      <c r="AC244" s="298" t="n"/>
      <c r="AD244" s="298" t="n"/>
      <c r="AE244" s="298" t="n"/>
      <c r="AF244" s="298" t="n"/>
      <c r="AG244" s="298" t="n"/>
      <c r="AH244" s="298" t="n"/>
      <c r="AI244" s="298" t="n"/>
      <c r="AJ244" s="298" t="n"/>
      <c r="AK244" s="298" t="n"/>
      <c r="AL244" s="298" t="n"/>
      <c r="AM244" s="298" t="n"/>
      <c r="AN244" s="298" t="n"/>
      <c r="AO244" s="298" t="n"/>
      <c r="AP244" s="298" t="n"/>
      <c r="AQ244" s="298" t="n"/>
      <c r="AR244" s="298" t="n"/>
      <c r="AS244" s="298" t="n"/>
      <c r="AT244" s="298" t="n"/>
      <c r="AU244" s="298" t="n"/>
      <c r="AV244" s="298" t="n"/>
      <c r="AW244" s="298" t="n"/>
      <c r="AX244" s="298" t="n"/>
      <c r="AY244" s="298" t="n"/>
      <c r="AZ244" s="298" t="n"/>
      <c r="BA244" s="298" t="n"/>
      <c r="BB244" s="298" t="n"/>
      <c r="BC244" s="298" t="n"/>
      <c r="BD244" s="298" t="n"/>
      <c r="BE244" s="298" t="n"/>
      <c r="BF244" s="298" t="n"/>
      <c r="BG244" s="298" t="n"/>
      <c r="BH244" s="298" t="n"/>
      <c r="BI244" s="298" t="n"/>
      <c r="BJ244" s="298" t="n"/>
      <c r="BK244" s="298" t="n"/>
      <c r="BL244" s="298" t="n"/>
      <c r="BM244" s="298" t="n"/>
      <c r="BN244" s="298" t="n"/>
      <c r="BO244" s="298" t="n"/>
      <c r="BP244" s="298" t="n"/>
      <c r="BQ244" s="298" t="n"/>
      <c r="BR244" s="298" t="n"/>
      <c r="BS244" s="298" t="n"/>
      <c r="BT244" s="298" t="n"/>
      <c r="BU244" s="298" t="n"/>
      <c r="BV244" s="298" t="n"/>
      <c r="BW244" s="298" t="n"/>
      <c r="BX244" s="298" t="n"/>
      <c r="BY244" s="298" t="n"/>
      <c r="BZ244" s="298" t="n"/>
      <c r="CA244" s="298" t="n"/>
      <c r="CB244" s="298" t="n"/>
      <c r="CC244" s="298" t="n"/>
      <c r="CD244" s="298" t="n"/>
      <c r="CE244" s="298" t="n"/>
      <c r="CF244" s="298" t="n"/>
      <c r="CG244" s="298" t="n"/>
      <c r="CH244" s="298" t="n"/>
      <c r="CI244" s="298" t="n"/>
      <c r="CJ244" s="298" t="n"/>
      <c r="CK244" s="298" t="n"/>
      <c r="CL244" s="298" t="n"/>
      <c r="CM244" s="298" t="n"/>
      <c r="CN244" s="298" t="n"/>
      <c r="CO244" s="298" t="n"/>
      <c r="CP244" s="298" t="n"/>
      <c r="CQ244" s="298" t="n"/>
      <c r="CR244" s="298" t="n"/>
      <c r="CS244" s="298" t="n"/>
      <c r="CT244" s="298" t="n"/>
      <c r="CU244" s="298" t="n"/>
      <c r="CV244" s="298" t="n"/>
      <c r="CW244" s="298" t="n"/>
      <c r="CX244" s="298" t="n"/>
      <c r="CY244" s="298" t="n"/>
    </row>
    <row r="245" ht="12.75" customHeight="1" s="255">
      <c r="C245" s="270" t="inlineStr">
        <is>
          <t>Convertible Preferred Stock</t>
        </is>
      </c>
      <c r="D245" s="301" t="n"/>
      <c r="E245" s="301" t="n"/>
      <c r="F245" s="301" t="n"/>
      <c r="G245" s="301" t="n"/>
      <c r="H245" s="268">
        <f>G245</f>
        <v>0</v>
      </c>
      <c r="I245" s="301" t="n"/>
      <c r="J245" s="301" t="n"/>
      <c r="K245" s="301" t="n"/>
      <c r="L245" s="301" t="n"/>
      <c r="M245" s="268">
        <f>L245</f>
        <v>0</v>
      </c>
      <c r="N245" s="301" t="n"/>
      <c r="O245" s="301" t="n"/>
      <c r="P245" s="301" t="n"/>
      <c r="Q245" s="301" t="n"/>
      <c r="R245" s="268">
        <f>Q245</f>
        <v>0</v>
      </c>
      <c r="S245" s="301" t="n"/>
      <c r="T245" s="301" t="n"/>
      <c r="U245" s="301" t="n"/>
      <c r="V245" s="301" t="n"/>
      <c r="W245" s="268">
        <f>V245</f>
        <v>0</v>
      </c>
      <c r="X245" s="301" t="n"/>
      <c r="Y245" s="301" t="n"/>
      <c r="Z245" s="301" t="n"/>
      <c r="AA245" s="301" t="n"/>
      <c r="AB245" s="268">
        <f>AA245</f>
        <v>0</v>
      </c>
      <c r="AC245" s="301" t="n"/>
      <c r="AD245" s="301" t="n"/>
      <c r="AE245" s="301" t="n"/>
      <c r="AF245" s="301" t="n"/>
      <c r="AG245" s="268">
        <f>AF245</f>
        <v>0</v>
      </c>
      <c r="AH245" s="268">
        <f>AG245</f>
        <v>0</v>
      </c>
      <c r="AI245" s="268">
        <f>AH245</f>
        <v>0</v>
      </c>
      <c r="AJ245" s="268">
        <f>AI245</f>
        <v>0</v>
      </c>
      <c r="AK245" s="268">
        <f>AJ245</f>
        <v>0</v>
      </c>
      <c r="AL245" s="268">
        <f>AK245</f>
        <v>0</v>
      </c>
      <c r="AM245" s="268">
        <f>AL245</f>
        <v>0</v>
      </c>
      <c r="AN245" s="268">
        <f>AM245</f>
        <v>0</v>
      </c>
      <c r="AO245" s="268">
        <f>AN245</f>
        <v>0</v>
      </c>
      <c r="AP245" s="268">
        <f>AO245</f>
        <v>0</v>
      </c>
      <c r="AQ245" s="268">
        <f>AP245</f>
        <v>0</v>
      </c>
      <c r="AR245" s="268">
        <f>AQ245</f>
        <v>0</v>
      </c>
      <c r="AS245" s="268">
        <f>AR245</f>
        <v>0</v>
      </c>
      <c r="AT245" s="268">
        <f>AS245</f>
        <v>0</v>
      </c>
      <c r="AU245" s="268">
        <f>AT245</f>
        <v>0</v>
      </c>
      <c r="AV245" s="268">
        <f>AU245</f>
        <v>0</v>
      </c>
      <c r="AW245" s="268">
        <f>AV245</f>
        <v>0</v>
      </c>
      <c r="AX245" s="268">
        <f>AW245</f>
        <v>0</v>
      </c>
      <c r="AY245" s="268">
        <f>AX245</f>
        <v>0</v>
      </c>
      <c r="AZ245" s="268">
        <f>AY245</f>
        <v>0</v>
      </c>
      <c r="BA245" s="268">
        <f>AZ245</f>
        <v>0</v>
      </c>
      <c r="BB245" s="268">
        <f>BA245</f>
        <v>0</v>
      </c>
      <c r="BC245" s="268">
        <f>BB245</f>
        <v>0</v>
      </c>
      <c r="BD245" s="268">
        <f>BC245</f>
        <v>0</v>
      </c>
      <c r="BE245" s="268">
        <f>BD245</f>
        <v>0</v>
      </c>
      <c r="BF245" s="268">
        <f>BE245</f>
        <v>0</v>
      </c>
      <c r="BG245" s="268">
        <f>BF245</f>
        <v>0</v>
      </c>
      <c r="BH245" s="268">
        <f>BG245</f>
        <v>0</v>
      </c>
      <c r="BI245" s="268">
        <f>BH245</f>
        <v>0</v>
      </c>
      <c r="BJ245" s="268">
        <f>BI245</f>
        <v>0</v>
      </c>
      <c r="BK245" s="268">
        <f>BJ245</f>
        <v>0</v>
      </c>
      <c r="BL245" s="268">
        <f>BK245</f>
        <v>0</v>
      </c>
      <c r="BM245" s="268">
        <f>BL245</f>
        <v>0</v>
      </c>
      <c r="BN245" s="268">
        <f>BM245</f>
        <v>0</v>
      </c>
      <c r="BO245" s="268">
        <f>BN245</f>
        <v>0</v>
      </c>
      <c r="BP245" s="268">
        <f>BO245</f>
        <v>0</v>
      </c>
      <c r="BQ245" s="268">
        <f>BP245</f>
        <v>0</v>
      </c>
      <c r="BR245" s="268">
        <f>BQ245</f>
        <v>0</v>
      </c>
      <c r="BS245" s="268">
        <f>BR245</f>
        <v>0</v>
      </c>
      <c r="BT245" s="268">
        <f>BS245</f>
        <v>0</v>
      </c>
      <c r="BU245" s="268">
        <f>BT245</f>
        <v>0</v>
      </c>
      <c r="BV245" s="268">
        <f>BU245</f>
        <v>0</v>
      </c>
      <c r="BW245" s="268">
        <f>BV245</f>
        <v>0</v>
      </c>
      <c r="BX245" s="268">
        <f>BW245</f>
        <v>0</v>
      </c>
      <c r="BY245" s="268">
        <f>BX245</f>
        <v>0</v>
      </c>
      <c r="BZ245" s="268">
        <f>BY245</f>
        <v>0</v>
      </c>
      <c r="CA245" s="268">
        <f>BZ245</f>
        <v>0</v>
      </c>
      <c r="CB245" s="268">
        <f>CA245</f>
        <v>0</v>
      </c>
      <c r="CC245" s="268">
        <f>CB245</f>
        <v>0</v>
      </c>
      <c r="CD245" s="268">
        <f>CC245</f>
        <v>0</v>
      </c>
      <c r="CE245" s="268">
        <f>CD245</f>
        <v>0</v>
      </c>
      <c r="CF245" s="268">
        <f>CE245</f>
        <v>0</v>
      </c>
      <c r="CG245" s="268">
        <f>CF245</f>
        <v>0</v>
      </c>
      <c r="CH245" s="268">
        <f>CG245</f>
        <v>0</v>
      </c>
      <c r="CI245" s="268">
        <f>CH245</f>
        <v>0</v>
      </c>
      <c r="CJ245" s="268">
        <f>CI245</f>
        <v>0</v>
      </c>
      <c r="CK245" s="268">
        <f>CJ245</f>
        <v>0</v>
      </c>
      <c r="CL245" s="268">
        <f>CK245</f>
        <v>0</v>
      </c>
      <c r="CM245" s="268">
        <f>CL245</f>
        <v>0</v>
      </c>
      <c r="CN245" s="268">
        <f>CM245</f>
        <v>0</v>
      </c>
      <c r="CO245" s="268">
        <f>CN245</f>
        <v>0</v>
      </c>
      <c r="CP245" s="268">
        <f>CO245</f>
        <v>0</v>
      </c>
      <c r="CQ245" s="268">
        <f>CP245</f>
        <v>0</v>
      </c>
      <c r="CR245" s="268">
        <f>CQ245</f>
        <v>0</v>
      </c>
      <c r="CS245" s="268">
        <f>CR245</f>
        <v>0</v>
      </c>
      <c r="CT245" s="268">
        <f>CS245</f>
        <v>0</v>
      </c>
      <c r="CU245" s="268">
        <f>CT245</f>
        <v>0</v>
      </c>
      <c r="CV245" s="268">
        <f>CU245</f>
        <v>0</v>
      </c>
      <c r="CW245" s="268">
        <f>CV245</f>
        <v>0</v>
      </c>
      <c r="CX245" s="268">
        <f>CW245</f>
        <v>0</v>
      </c>
      <c r="CY245" s="268">
        <f>CX245</f>
        <v>0</v>
      </c>
    </row>
    <row r="246" ht="12.75" customHeight="1" s="255">
      <c r="C246" s="269" t="inlineStr">
        <is>
          <t>Common Stock and APIC</t>
        </is>
      </c>
      <c r="D246" s="301">
        <f>INDEX('Inputs (2)'!$D$43:$AL$43,MATCH(D$7,'Inputs (2)'!$D$2:$AL$2,0))</f>
        <v>26033</v>
      </c>
      <c r="E246" s="301">
        <f>INDEX('Inputs (2)'!$D$43:$AL$43,MATCH(E$7,'Inputs (2)'!$D$2:$AL$2,0))</f>
        <v>26063</v>
      </c>
      <c r="F246" s="301">
        <f>INDEX('Inputs (2)'!$D$43:$AL$43,MATCH(F$7,'Inputs (2)'!$D$2:$AL$2,0))</f>
        <v>26092</v>
      </c>
      <c r="G246" s="301">
        <f>INDEX('Inputs (2)'!$D$43:$AL$43,MATCH(G$7,'Inputs (2)'!$D$2:$AL$2,0))</f>
        <v>26196</v>
      </c>
      <c r="H246" s="268">
        <f>G246</f>
        <v>26196</v>
      </c>
      <c r="I246" s="301">
        <f>INDEX('Inputs (2)'!$D$43:$AL$43,MATCH(I$7,'Inputs (2)'!$D$2:$AL$2,0))</f>
        <v>26240</v>
      </c>
      <c r="J246" s="301">
        <f>INDEX('Inputs (2)'!$D$43:$AL$43,MATCH(J$7,'Inputs (2)'!$D$2:$AL$2,0))</f>
        <v>26244</v>
      </c>
      <c r="K246" s="301">
        <f>INDEX('Inputs (2)'!$D$43:$AL$43,MATCH(K$7,'Inputs (2)'!$D$2:$AL$2,0))</f>
        <v>26183</v>
      </c>
      <c r="L246" s="301">
        <f>INDEX('Inputs (2)'!$D$43:$AL$43,MATCH(L$7,'Inputs (2)'!$D$2:$AL$2,0))</f>
        <v>26035</v>
      </c>
      <c r="M246" s="268">
        <f>L246</f>
        <v>26035</v>
      </c>
      <c r="N246" s="301">
        <f>INDEX('Inputs (2)'!$D$43:$AL$43,MATCH(N$7,'Inputs (2)'!$D$2:$AL$2,0))</f>
        <v>25996</v>
      </c>
      <c r="O246" s="301">
        <f>INDEX('Inputs (2)'!$D$43:$AL$43,MATCH(O$7,'Inputs (2)'!$D$2:$AL$2,0))</f>
        <v>25822</v>
      </c>
      <c r="P246" s="301">
        <f>INDEX('Inputs (2)'!$D$43:$AL$43,MATCH(P$7,'Inputs (2)'!$D$2:$AL$2,0))</f>
        <v>25644</v>
      </c>
      <c r="Q246" s="301">
        <f>INDEX('Inputs (2)'!$D$43:$AL$43,MATCH(Q$7,'Inputs (2)'!$D$2:$AL$2,0))</f>
        <v>25483</v>
      </c>
      <c r="R246" s="268">
        <f>Q246</f>
        <v>25483</v>
      </c>
      <c r="S246" s="301">
        <f>INDEX('Inputs (2)'!$D$43:$AL$43,MATCH(S$7,'Inputs (2)'!$D$2:$AL$2,0))</f>
        <v>25389</v>
      </c>
      <c r="T246" s="301">
        <f>INDEX('Inputs (2)'!$D$43:$AL$43,MATCH(T$7,'Inputs (2)'!$D$2:$AL$2,0))</f>
        <v>25190</v>
      </c>
      <c r="U246" s="301">
        <f>INDEX('Inputs (2)'!$D$43:$AL$43,MATCH(U$7,'Inputs (2)'!$D$2:$AL$2,0))</f>
        <v>24995</v>
      </c>
      <c r="V246" s="301">
        <f>INDEX('Inputs (2)'!$D$43:$AL$43,MATCH(V$7,'Inputs (2)'!$D$2:$AL$2,0))</f>
        <v>24799</v>
      </c>
      <c r="W246" s="268">
        <f>V246</f>
        <v>24799</v>
      </c>
      <c r="X246" s="301">
        <f>INDEX('Inputs (2)'!$D$43:$AL$43,MATCH(X$7,'Inputs (2)'!$D$2:$AL$2,0))</f>
        <v>24650</v>
      </c>
      <c r="Y246" s="301">
        <f>INDEX('Inputs (2)'!$D$43:$AL$43,MATCH(Y$7,'Inputs (2)'!$D$2:$AL$2,0))</f>
        <v>24483</v>
      </c>
      <c r="Z246" s="301">
        <f>INDEX('Inputs (2)'!$D$43:$AL$43,MATCH(Z$7,'Inputs (2)'!$D$2:$AL$2,0))</f>
        <v>24159</v>
      </c>
      <c r="AA246" s="301">
        <f>INDEX('Inputs (2)'!$D$43:$AL$43,MATCH(AA$7,'Inputs (2)'!$D$2:$AL$2,0))</f>
        <v>23959</v>
      </c>
      <c r="AB246" s="268">
        <f>AA246</f>
        <v>23959</v>
      </c>
      <c r="AC246" s="301">
        <f>INDEX('Inputs (2)'!$D$43:$AL$43,MATCH(AC$7,'Inputs (2)'!$D$2:$AL$2,0))</f>
        <v>23790</v>
      </c>
      <c r="AD246" s="301">
        <f>INDEX('Inputs (2)'!$D$43:$AL$43,MATCH(AD$7,'Inputs (2)'!$D$2:$AL$2,0))</f>
        <v>23805</v>
      </c>
      <c r="AE246" s="301">
        <f>INDEX('Inputs (2)'!$D$43:$AL$43,MATCH(AE$7,'Inputs (2)'!$D$2:$AL$2,0))</f>
        <v>23823</v>
      </c>
      <c r="AF246" s="301">
        <f>INDEX('Inputs (2)'!$D$43:$AL$43,MATCH(AF$7,'Inputs (2)'!$D$2:$AL$2,0))</f>
        <v>23843</v>
      </c>
      <c r="AG246" s="268">
        <f>AF246</f>
        <v>23843</v>
      </c>
      <c r="AH246" s="268">
        <f>INDEX('Inputs (2)'!$D$43:$AL$43,MATCH(AH$7,'Inputs (2)'!$D$2:$AL$2,0))</f>
        <v>23876</v>
      </c>
      <c r="AI246" s="268">
        <f>INDEX('Inputs (2)'!$D$43:$AL$43,MATCH(AI$7,'Inputs (2)'!$D$2:$AL$2,0))</f>
        <v>23822</v>
      </c>
      <c r="AJ246" s="268">
        <f>AI246+AJ250</f>
        <v>23822</v>
      </c>
      <c r="AK246" s="268">
        <f>AJ246+AK250</f>
        <v>23822</v>
      </c>
      <c r="AL246" s="268">
        <f>AK246</f>
        <v>23822</v>
      </c>
      <c r="AM246" s="268">
        <f>AL246+AM250</f>
        <v>23822</v>
      </c>
      <c r="AN246" s="268">
        <f>AM246+AN250</f>
        <v>23822</v>
      </c>
      <c r="AO246" s="268">
        <f>AN246+AO250</f>
        <v>23822</v>
      </c>
      <c r="AP246" s="268">
        <f>AO246+AP250</f>
        <v>23822</v>
      </c>
      <c r="AQ246" s="268">
        <f>AP246</f>
        <v>23822</v>
      </c>
      <c r="AR246" s="268">
        <f>AQ246+AR250</f>
        <v>23822</v>
      </c>
      <c r="AS246" s="268">
        <f>AR246+AS250</f>
        <v>23822</v>
      </c>
      <c r="AT246" s="268">
        <f>AS246+AT250</f>
        <v>23822</v>
      </c>
      <c r="AU246" s="268">
        <f>AT246+AU250</f>
        <v>23822</v>
      </c>
      <c r="AV246" s="268">
        <f>AU246</f>
        <v>23822</v>
      </c>
      <c r="AW246" s="268">
        <f>AV246+AW250</f>
        <v>23822</v>
      </c>
      <c r="AX246" s="268">
        <f>AW246+AX250</f>
        <v>23822</v>
      </c>
      <c r="AY246" s="268">
        <f>AX246+AY250</f>
        <v>23822</v>
      </c>
      <c r="AZ246" s="268">
        <f>AY246+AZ250</f>
        <v>23822</v>
      </c>
      <c r="BA246" s="268">
        <f>AZ246</f>
        <v>23822</v>
      </c>
      <c r="BB246" s="268">
        <f>BA246+BB250</f>
        <v>23822</v>
      </c>
      <c r="BC246" s="268">
        <f>BB246+BC250</f>
        <v>23822</v>
      </c>
      <c r="BD246" s="268">
        <f>BC246+BD250</f>
        <v>23822</v>
      </c>
      <c r="BE246" s="268">
        <f>BD246+BE250</f>
        <v>23822</v>
      </c>
      <c r="BF246" s="268">
        <f>BE246</f>
        <v>23822</v>
      </c>
      <c r="BG246" s="268">
        <f>BF246+BG250</f>
        <v>23822</v>
      </c>
      <c r="BH246" s="268">
        <f>BG246+BH250</f>
        <v>23822</v>
      </c>
      <c r="BI246" s="268">
        <f>BH246+BI250</f>
        <v>23822</v>
      </c>
      <c r="BJ246" s="268">
        <f>BI246+BJ250</f>
        <v>23822</v>
      </c>
      <c r="BK246" s="268">
        <f>BJ246</f>
        <v>23822</v>
      </c>
      <c r="BL246" s="268">
        <f>BK246+BL250</f>
        <v>23822</v>
      </c>
      <c r="BM246" s="268">
        <f>BL246+BM250</f>
        <v>23822</v>
      </c>
      <c r="BN246" s="268">
        <f>BM246+BN250</f>
        <v>23822</v>
      </c>
      <c r="BO246" s="268">
        <f>BN246+BO250</f>
        <v>23822</v>
      </c>
      <c r="BP246" s="268">
        <f>BO246</f>
        <v>23822</v>
      </c>
      <c r="BQ246" s="268">
        <f>BP246+BQ250</f>
        <v>23822</v>
      </c>
      <c r="BR246" s="268">
        <f>BQ246+BR250</f>
        <v>23822</v>
      </c>
      <c r="BS246" s="268">
        <f>BR246+BS250</f>
        <v>23822</v>
      </c>
      <c r="BT246" s="268">
        <f>BS246+BT250</f>
        <v>23822</v>
      </c>
      <c r="BU246" s="268">
        <f>BT246</f>
        <v>23822</v>
      </c>
      <c r="BV246" s="268">
        <f>BU246+BV250</f>
        <v>23822</v>
      </c>
      <c r="BW246" s="268">
        <f>BV246+BW250</f>
        <v>23822</v>
      </c>
      <c r="BX246" s="268">
        <f>BW246+BX250</f>
        <v>23822</v>
      </c>
      <c r="BY246" s="268">
        <f>BX246+BY250</f>
        <v>23822</v>
      </c>
      <c r="BZ246" s="268">
        <f>BY246</f>
        <v>23822</v>
      </c>
      <c r="CA246" s="268">
        <f>BZ246+CA250</f>
        <v>23822</v>
      </c>
      <c r="CB246" s="268">
        <f>CA246+CB250</f>
        <v>23822</v>
      </c>
      <c r="CC246" s="268">
        <f>CB246+CC250</f>
        <v>23822</v>
      </c>
      <c r="CD246" s="268">
        <f>CC246+CD250</f>
        <v>23822</v>
      </c>
      <c r="CE246" s="268">
        <f>CD246</f>
        <v>23822</v>
      </c>
      <c r="CF246" s="268">
        <f>CE246+CF250</f>
        <v>23822</v>
      </c>
      <c r="CG246" s="268">
        <f>CF246+CG250</f>
        <v>23822</v>
      </c>
      <c r="CH246" s="268">
        <f>CG246+CH250</f>
        <v>23822</v>
      </c>
      <c r="CI246" s="268">
        <f>CH246+CI250</f>
        <v>23822</v>
      </c>
      <c r="CJ246" s="268">
        <f>CI246</f>
        <v>23822</v>
      </c>
      <c r="CK246" s="268">
        <f>CJ246+CK250</f>
        <v>23822</v>
      </c>
      <c r="CL246" s="268">
        <f>CK246+CL250</f>
        <v>23822</v>
      </c>
      <c r="CM246" s="268">
        <f>CL246+CM250</f>
        <v>23822</v>
      </c>
      <c r="CN246" s="268">
        <f>CM246+CN250</f>
        <v>23822</v>
      </c>
      <c r="CO246" s="268">
        <f>CN246</f>
        <v>23822</v>
      </c>
      <c r="CP246" s="268">
        <f>CO246+CP250</f>
        <v>23822</v>
      </c>
      <c r="CQ246" s="268">
        <f>CP246+CQ250</f>
        <v>23822</v>
      </c>
      <c r="CR246" s="268">
        <f>CQ246+CR250</f>
        <v>23822</v>
      </c>
      <c r="CS246" s="268">
        <f>CR246+CS250</f>
        <v>23822</v>
      </c>
      <c r="CT246" s="268">
        <f>CS246</f>
        <v>23822</v>
      </c>
      <c r="CU246" s="268">
        <f>CT246+CU250</f>
        <v>23822</v>
      </c>
      <c r="CV246" s="268">
        <f>CU246+CV250</f>
        <v>23822</v>
      </c>
      <c r="CW246" s="268">
        <f>CV246+CW250</f>
        <v>23822</v>
      </c>
      <c r="CX246" s="268">
        <f>CW246+CX250</f>
        <v>23822</v>
      </c>
      <c r="CY246" s="268">
        <f>CX246</f>
        <v>23822</v>
      </c>
    </row>
    <row r="247" hidden="1" outlineLevel="1" ht="12.75" customFormat="1" customHeight="1" s="322">
      <c r="A247" s="293" t="n"/>
      <c r="B247" s="293" t="n"/>
      <c r="C247" s="323" t="n"/>
      <c r="D247" s="298" t="n"/>
      <c r="E247" s="298" t="n"/>
      <c r="F247" s="298" t="n"/>
      <c r="G247" s="298" t="n"/>
      <c r="H247" s="298" t="n"/>
      <c r="I247" s="298" t="n"/>
      <c r="J247" s="298" t="n"/>
      <c r="K247" s="298" t="n"/>
      <c r="L247" s="298" t="n"/>
      <c r="M247" s="298" t="n"/>
      <c r="N247" s="298" t="n"/>
      <c r="O247" s="298" t="n"/>
      <c r="P247" s="298" t="n"/>
      <c r="Q247" s="298" t="n"/>
      <c r="R247" s="298" t="n"/>
      <c r="S247" s="298" t="n"/>
      <c r="T247" s="298" t="n"/>
      <c r="U247" s="298" t="n"/>
      <c r="V247" s="298" t="n"/>
      <c r="W247" s="298" t="n"/>
      <c r="X247" s="298" t="n"/>
      <c r="Y247" s="298" t="n"/>
      <c r="Z247" s="298" t="n"/>
      <c r="AA247" s="298" t="n"/>
      <c r="AB247" s="298" t="n"/>
      <c r="AC247" s="298" t="n"/>
      <c r="AD247" s="298" t="n"/>
      <c r="AE247" s="298" t="n"/>
      <c r="AF247" s="298" t="n"/>
      <c r="AG247" s="298" t="n"/>
      <c r="AH247" s="298" t="n"/>
      <c r="AI247" s="298" t="n"/>
      <c r="AJ247" s="298" t="n"/>
      <c r="AK247" s="298" t="n"/>
      <c r="AL247" s="298" t="n"/>
      <c r="AM247" s="298" t="n"/>
      <c r="AN247" s="298" t="n"/>
      <c r="AO247" s="298" t="n"/>
      <c r="AP247" s="298" t="n"/>
      <c r="AQ247" s="298" t="n"/>
      <c r="AR247" s="298" t="n"/>
      <c r="AS247" s="298" t="n"/>
      <c r="AT247" s="298" t="n"/>
      <c r="AU247" s="298" t="n"/>
      <c r="AV247" s="298" t="n"/>
      <c r="AW247" s="298" t="n"/>
      <c r="AX247" s="298" t="n"/>
      <c r="AY247" s="298" t="n"/>
      <c r="AZ247" s="298" t="n"/>
      <c r="BA247" s="298" t="n"/>
      <c r="BB247" s="298" t="n"/>
      <c r="BC247" s="298" t="n"/>
      <c r="BD247" s="298" t="n"/>
      <c r="BE247" s="298" t="n"/>
      <c r="BF247" s="298" t="n"/>
      <c r="BG247" s="298" t="n"/>
      <c r="BH247" s="298" t="n"/>
      <c r="BI247" s="298" t="n"/>
      <c r="BJ247" s="298" t="n"/>
      <c r="BK247" s="298" t="n"/>
      <c r="BL247" s="298" t="n"/>
      <c r="BM247" s="298" t="n"/>
      <c r="BN247" s="298" t="n"/>
      <c r="BO247" s="298" t="n"/>
      <c r="BP247" s="298" t="n"/>
      <c r="BQ247" s="298" t="n"/>
      <c r="BR247" s="298" t="n"/>
      <c r="BS247" s="298" t="n"/>
      <c r="BT247" s="298" t="n"/>
      <c r="BU247" s="298" t="n"/>
      <c r="BV247" s="298" t="n"/>
      <c r="BW247" s="298" t="n"/>
      <c r="BX247" s="298" t="n"/>
      <c r="BY247" s="298" t="n"/>
      <c r="BZ247" s="298" t="n"/>
      <c r="CA247" s="298" t="n"/>
      <c r="CB247" s="298" t="n"/>
      <c r="CC247" s="298" t="n"/>
      <c r="CD247" s="298" t="n"/>
      <c r="CE247" s="298" t="n"/>
      <c r="CF247" s="298" t="n"/>
      <c r="CG247" s="298" t="n"/>
      <c r="CH247" s="298" t="n"/>
      <c r="CI247" s="298" t="n"/>
      <c r="CJ247" s="298" t="n"/>
      <c r="CK247" s="298" t="n"/>
      <c r="CL247" s="298" t="n"/>
      <c r="CM247" s="298" t="n"/>
      <c r="CN247" s="298" t="n"/>
      <c r="CO247" s="298" t="n"/>
      <c r="CP247" s="298" t="n"/>
      <c r="CQ247" s="298" t="n"/>
      <c r="CR247" s="298" t="n"/>
      <c r="CS247" s="298" t="n"/>
      <c r="CT247" s="298" t="n"/>
      <c r="CU247" s="298" t="n"/>
      <c r="CV247" s="298" t="n"/>
      <c r="CW247" s="298" t="n"/>
      <c r="CX247" s="298" t="n"/>
      <c r="CY247" s="298" t="n"/>
    </row>
    <row r="248" hidden="1" outlineLevel="1" ht="12.75" customFormat="1" customHeight="1" s="322">
      <c r="A248" s="293" t="n"/>
      <c r="B248" s="293" t="n"/>
      <c r="C248" s="323" t="inlineStr">
        <is>
          <t>Diluted Shares outstanding</t>
        </is>
      </c>
      <c r="D248" s="298" t="n"/>
      <c r="E248" s="298" t="n"/>
      <c r="F248" s="298" t="n"/>
      <c r="G248" s="298" t="n"/>
      <c r="H248" s="298" t="n"/>
      <c r="I248" s="298" t="n"/>
      <c r="J248" s="298" t="n"/>
      <c r="K248" s="298" t="n"/>
      <c r="L248" s="298" t="n"/>
      <c r="M248" s="298" t="n"/>
      <c r="N248" s="298" t="n"/>
      <c r="O248" s="298" t="n"/>
      <c r="P248" s="298" t="n"/>
      <c r="Q248" s="298" t="n"/>
      <c r="R248" s="298" t="n"/>
      <c r="S248" s="298" t="n"/>
      <c r="T248" s="298" t="n"/>
      <c r="U248" s="298" t="n"/>
      <c r="V248" s="298" t="n"/>
      <c r="W248" s="298" t="n"/>
      <c r="X248" s="298" t="n"/>
      <c r="Y248" s="298" t="n"/>
      <c r="Z248" s="298" t="n"/>
      <c r="AA248" s="298" t="n"/>
      <c r="AB248" s="298" t="n"/>
      <c r="AC248" s="298" t="n"/>
      <c r="AD248" s="298" t="n"/>
      <c r="AE248" s="298" t="n"/>
      <c r="AF248" s="298" t="n"/>
      <c r="AG248" s="298" t="n"/>
      <c r="AH248" s="298" t="n"/>
      <c r="AI248" s="298" t="n"/>
      <c r="AJ248" s="298" t="n"/>
      <c r="AK248" s="298" t="n"/>
      <c r="AL248" s="298" t="n"/>
      <c r="AM248" s="298" t="n"/>
      <c r="AN248" s="298" t="n"/>
      <c r="AO248" s="298" t="n"/>
      <c r="AP248" s="298" t="n"/>
      <c r="AQ248" s="298" t="n"/>
      <c r="AR248" s="298" t="n"/>
      <c r="AS248" s="298" t="n"/>
      <c r="AT248" s="298" t="n"/>
      <c r="AU248" s="298" t="n"/>
      <c r="AV248" s="298" t="n"/>
      <c r="AW248" s="298" t="n"/>
      <c r="AX248" s="298" t="n"/>
      <c r="AY248" s="298" t="n"/>
      <c r="AZ248" s="298" t="n"/>
      <c r="BA248" s="298" t="n"/>
      <c r="BB248" s="298" t="n"/>
      <c r="BC248" s="298" t="n"/>
      <c r="BD248" s="298" t="n"/>
      <c r="BE248" s="298" t="n"/>
      <c r="BF248" s="298" t="n"/>
      <c r="BG248" s="298" t="n"/>
      <c r="BH248" s="298" t="n"/>
      <c r="BI248" s="298" t="n"/>
      <c r="BJ248" s="298" t="n"/>
      <c r="BK248" s="298" t="n"/>
      <c r="BL248" s="298" t="n"/>
      <c r="BM248" s="298" t="n"/>
      <c r="BN248" s="298" t="n"/>
      <c r="BO248" s="298" t="n"/>
      <c r="BP248" s="298" t="n"/>
      <c r="BQ248" s="298" t="n"/>
      <c r="BR248" s="298" t="n"/>
      <c r="BS248" s="298" t="n"/>
      <c r="BT248" s="298" t="n"/>
      <c r="BU248" s="298" t="n"/>
      <c r="BV248" s="298" t="n"/>
      <c r="BW248" s="298" t="n"/>
      <c r="BX248" s="298" t="n"/>
      <c r="BY248" s="298" t="n"/>
      <c r="BZ248" s="298" t="n"/>
      <c r="CA248" s="298" t="n"/>
      <c r="CB248" s="298" t="n"/>
      <c r="CC248" s="298" t="n"/>
      <c r="CD248" s="298" t="n"/>
      <c r="CE248" s="298" t="n"/>
      <c r="CF248" s="298" t="n"/>
      <c r="CG248" s="298" t="n"/>
      <c r="CH248" s="298" t="n"/>
      <c r="CI248" s="298" t="n"/>
      <c r="CJ248" s="298" t="n"/>
      <c r="CK248" s="298" t="n"/>
      <c r="CL248" s="298" t="n"/>
      <c r="CM248" s="298" t="n"/>
      <c r="CN248" s="298" t="n"/>
      <c r="CO248" s="298" t="n"/>
      <c r="CP248" s="298" t="n"/>
      <c r="CQ248" s="298" t="n"/>
      <c r="CR248" s="298" t="n"/>
      <c r="CS248" s="298" t="n"/>
      <c r="CT248" s="298" t="n"/>
      <c r="CU248" s="298" t="n"/>
      <c r="CV248" s="298" t="n"/>
      <c r="CW248" s="298" t="n"/>
      <c r="CX248" s="298" t="n"/>
      <c r="CY248" s="298" t="n"/>
    </row>
    <row r="249" hidden="1" outlineLevel="1" ht="12.75" customFormat="1" customHeight="1" s="322">
      <c r="A249" s="293" t="n"/>
      <c r="B249" s="293" t="n"/>
      <c r="C249" s="323" t="inlineStr">
        <is>
          <t>Treasury share $ repurchases</t>
        </is>
      </c>
      <c r="D249" s="298" t="n"/>
      <c r="E249" s="298" t="n"/>
      <c r="F249" s="298" t="n"/>
      <c r="G249" s="298" t="n"/>
      <c r="H249" s="298" t="n"/>
      <c r="I249" s="298" t="n"/>
      <c r="J249" s="298" t="n"/>
      <c r="K249" s="298" t="n"/>
      <c r="L249" s="298" t="n"/>
      <c r="M249" s="298" t="n"/>
      <c r="N249" s="298" t="n"/>
      <c r="O249" s="298" t="n"/>
      <c r="P249" s="298" t="n"/>
      <c r="Q249" s="298" t="n"/>
      <c r="R249" s="298" t="n"/>
      <c r="S249" s="298" t="n"/>
      <c r="T249" s="298" t="n"/>
      <c r="U249" s="298" t="n"/>
      <c r="V249" s="298" t="n"/>
      <c r="W249" s="298" t="n"/>
      <c r="X249" s="298" t="n"/>
      <c r="Y249" s="298" t="n"/>
      <c r="Z249" s="298" t="n"/>
      <c r="AA249" s="298" t="n"/>
      <c r="AB249" s="298" t="n"/>
      <c r="AC249" s="298" t="n"/>
      <c r="AD249" s="298" t="n"/>
      <c r="AE249" s="298" t="n"/>
      <c r="AF249" s="298" t="n"/>
      <c r="AG249" s="298" t="n"/>
      <c r="AH249" s="267" t="n"/>
      <c r="AI249" s="267" t="n"/>
      <c r="AJ249" s="267" t="n"/>
      <c r="AK249" s="267" t="n"/>
      <c r="AL249" s="298" t="n"/>
      <c r="AM249" s="267" t="n"/>
      <c r="AN249" s="267" t="n"/>
      <c r="AO249" s="267" t="n"/>
      <c r="AP249" s="267" t="n"/>
      <c r="AQ249" s="298" t="n"/>
      <c r="AR249" s="267" t="n"/>
      <c r="AS249" s="267" t="n"/>
      <c r="AT249" s="267" t="n"/>
      <c r="AU249" s="267" t="n"/>
      <c r="AV249" s="298" t="n"/>
      <c r="AW249" s="267" t="n"/>
      <c r="AX249" s="267" t="n"/>
      <c r="AY249" s="267" t="n"/>
      <c r="AZ249" s="267" t="n"/>
      <c r="BA249" s="298" t="n"/>
      <c r="BB249" s="267" t="n"/>
      <c r="BC249" s="267" t="n"/>
      <c r="BD249" s="267" t="n"/>
      <c r="BE249" s="267" t="n"/>
      <c r="BF249" s="298" t="n"/>
      <c r="BG249" s="267" t="n"/>
      <c r="BH249" s="267" t="n"/>
      <c r="BI249" s="267" t="n"/>
      <c r="BJ249" s="267" t="n"/>
      <c r="BK249" s="298" t="n"/>
      <c r="BL249" s="267" t="n"/>
      <c r="BM249" s="267" t="n"/>
      <c r="BN249" s="267" t="n"/>
      <c r="BO249" s="267" t="n"/>
      <c r="BP249" s="298" t="n"/>
      <c r="BQ249" s="267" t="n"/>
      <c r="BR249" s="267" t="n"/>
      <c r="BS249" s="267" t="n"/>
      <c r="BT249" s="267" t="n"/>
      <c r="BU249" s="298" t="n"/>
      <c r="BV249" s="267" t="n"/>
      <c r="BW249" s="267" t="n"/>
      <c r="BX249" s="267" t="n"/>
      <c r="BY249" s="267" t="n"/>
      <c r="BZ249" s="298" t="n"/>
      <c r="CA249" s="267" t="n"/>
      <c r="CB249" s="267" t="n"/>
      <c r="CC249" s="267" t="n"/>
      <c r="CD249" s="267" t="n"/>
      <c r="CE249" s="298" t="n"/>
      <c r="CF249" s="267" t="n"/>
      <c r="CG249" s="267" t="n"/>
      <c r="CH249" s="267" t="n"/>
      <c r="CI249" s="267" t="n"/>
      <c r="CJ249" s="298" t="n"/>
      <c r="CK249" s="267" t="n"/>
      <c r="CL249" s="267" t="n"/>
      <c r="CM249" s="267" t="n"/>
      <c r="CN249" s="267" t="n"/>
      <c r="CO249" s="298" t="n"/>
      <c r="CP249" s="267" t="n"/>
      <c r="CQ249" s="267" t="n"/>
      <c r="CR249" s="267" t="n"/>
      <c r="CS249" s="267" t="n"/>
      <c r="CT249" s="298" t="n"/>
      <c r="CU249" s="267" t="n"/>
      <c r="CV249" s="267" t="n"/>
      <c r="CW249" s="267" t="n"/>
      <c r="CX249" s="267" t="n"/>
      <c r="CY249" s="298" t="n"/>
    </row>
    <row r="250" hidden="1" outlineLevel="1" ht="12.75" customFormat="1" customHeight="1" s="322">
      <c r="A250" s="293" t="n"/>
      <c r="B250" s="293" t="n"/>
      <c r="C250" s="323" t="inlineStr">
        <is>
          <t>Value of shares issued</t>
        </is>
      </c>
      <c r="D250" s="298" t="n"/>
      <c r="E250" s="298" t="n"/>
      <c r="F250" s="298" t="n"/>
      <c r="G250" s="298" t="n"/>
      <c r="H250" s="298" t="n"/>
      <c r="I250" s="298" t="n"/>
      <c r="J250" s="298" t="n"/>
      <c r="K250" s="298" t="n"/>
      <c r="L250" s="298" t="n"/>
      <c r="M250" s="298" t="n"/>
      <c r="N250" s="298" t="n"/>
      <c r="O250" s="298" t="n"/>
      <c r="P250" s="298" t="n"/>
      <c r="Q250" s="298" t="n"/>
      <c r="R250" s="298" t="n"/>
      <c r="S250" s="298" t="n"/>
      <c r="T250" s="298" t="n"/>
      <c r="U250" s="298" t="n"/>
      <c r="V250" s="298" t="n"/>
      <c r="W250" s="298" t="n"/>
      <c r="X250" s="298" t="n"/>
      <c r="Y250" s="298" t="n"/>
      <c r="Z250" s="298" t="n"/>
      <c r="AA250" s="298" t="n"/>
      <c r="AB250" s="298" t="n"/>
      <c r="AC250" s="298" t="n"/>
      <c r="AD250" s="298" t="n"/>
      <c r="AE250" s="298" t="n"/>
      <c r="AF250" s="298" t="n"/>
      <c r="AG250" s="298" t="n"/>
      <c r="AH250" s="267" t="n"/>
      <c r="AI250" s="267" t="n"/>
      <c r="AJ250" s="267" t="n"/>
      <c r="AK250" s="267" t="n"/>
      <c r="AL250" s="298" t="n"/>
      <c r="AM250" s="267" t="n"/>
      <c r="AN250" s="267" t="n"/>
      <c r="AO250" s="267" t="n"/>
      <c r="AP250" s="267" t="n"/>
      <c r="AQ250" s="298" t="n"/>
      <c r="AR250" s="267" t="n"/>
      <c r="AS250" s="267" t="n"/>
      <c r="AT250" s="267" t="n"/>
      <c r="AU250" s="267" t="n"/>
      <c r="AV250" s="298" t="n"/>
      <c r="AW250" s="267" t="n"/>
      <c r="AX250" s="267" t="n"/>
      <c r="AY250" s="267" t="n"/>
      <c r="AZ250" s="267" t="n"/>
      <c r="BA250" s="298" t="n"/>
      <c r="BB250" s="267" t="n"/>
      <c r="BC250" s="267" t="n"/>
      <c r="BD250" s="267" t="n"/>
      <c r="BE250" s="267" t="n"/>
      <c r="BF250" s="298" t="n"/>
      <c r="BG250" s="267" t="n"/>
      <c r="BH250" s="267" t="n"/>
      <c r="BI250" s="267" t="n"/>
      <c r="BJ250" s="267" t="n"/>
      <c r="BK250" s="298" t="n"/>
      <c r="BL250" s="267" t="n"/>
      <c r="BM250" s="267" t="n"/>
      <c r="BN250" s="267" t="n"/>
      <c r="BO250" s="267" t="n"/>
      <c r="BP250" s="298" t="n"/>
      <c r="BQ250" s="267" t="n"/>
      <c r="BR250" s="267" t="n"/>
      <c r="BS250" s="267" t="n"/>
      <c r="BT250" s="267" t="n"/>
      <c r="BU250" s="298" t="n"/>
      <c r="BV250" s="267" t="n"/>
      <c r="BW250" s="267" t="n"/>
      <c r="BX250" s="267" t="n"/>
      <c r="BY250" s="267" t="n"/>
      <c r="BZ250" s="298" t="n"/>
      <c r="CA250" s="267" t="n"/>
      <c r="CB250" s="267" t="n"/>
      <c r="CC250" s="267" t="n"/>
      <c r="CD250" s="267" t="n"/>
      <c r="CE250" s="298" t="n"/>
      <c r="CF250" s="267" t="n"/>
      <c r="CG250" s="267" t="n"/>
      <c r="CH250" s="267" t="n"/>
      <c r="CI250" s="267" t="n"/>
      <c r="CJ250" s="298" t="n"/>
      <c r="CK250" s="267" t="n"/>
      <c r="CL250" s="267" t="n"/>
      <c r="CM250" s="267" t="n"/>
      <c r="CN250" s="267" t="n"/>
      <c r="CO250" s="298" t="n"/>
      <c r="CP250" s="267" t="n"/>
      <c r="CQ250" s="267" t="n"/>
      <c r="CR250" s="267" t="n"/>
      <c r="CS250" s="267" t="n"/>
      <c r="CT250" s="298" t="n"/>
      <c r="CU250" s="267" t="n"/>
      <c r="CV250" s="267" t="n"/>
      <c r="CW250" s="267" t="n"/>
      <c r="CX250" s="267" t="n"/>
      <c r="CY250" s="298" t="n"/>
    </row>
    <row r="251" hidden="1" outlineLevel="1" ht="12.75" customFormat="1" customHeight="1" s="322">
      <c r="A251" s="293" t="n"/>
      <c r="B251" s="293" t="n"/>
      <c r="C251" s="323" t="inlineStr">
        <is>
          <t>Expected average share price</t>
        </is>
      </c>
      <c r="D251" s="298" t="n"/>
      <c r="E251" s="298" t="n"/>
      <c r="F251" s="298" t="n"/>
      <c r="G251" s="298" t="n"/>
      <c r="H251" s="298" t="n"/>
      <c r="I251" s="298" t="n"/>
      <c r="J251" s="298" t="n"/>
      <c r="K251" s="298" t="n"/>
      <c r="L251" s="298" t="n"/>
      <c r="M251" s="298" t="n"/>
      <c r="N251" s="298" t="n"/>
      <c r="O251" s="298" t="n"/>
      <c r="P251" s="298" t="n"/>
      <c r="Q251" s="298" t="n"/>
      <c r="R251" s="298" t="n"/>
      <c r="S251" s="298" t="n"/>
      <c r="T251" s="298" t="n"/>
      <c r="U251" s="298" t="n"/>
      <c r="V251" s="298" t="n"/>
      <c r="W251" s="298" t="n"/>
      <c r="X251" s="298" t="n"/>
      <c r="Y251" s="298" t="n"/>
      <c r="Z251" s="298" t="n"/>
      <c r="AA251" s="298" t="n"/>
      <c r="AB251" s="298" t="n"/>
      <c r="AC251" s="298" t="n"/>
      <c r="AD251" s="298" t="n"/>
      <c r="AE251" s="298" t="n"/>
      <c r="AF251" s="298" t="n"/>
      <c r="AG251" s="324" t="n"/>
      <c r="AH251" s="325">
        <f>AG251*(1+AH252)</f>
        <v>0</v>
      </c>
      <c r="AI251" s="325">
        <f>AH251*(1+AI252)</f>
        <v>0</v>
      </c>
      <c r="AJ251" s="325">
        <f>AI251*(1+AJ252)</f>
        <v>0</v>
      </c>
      <c r="AK251" s="325">
        <f>AJ251*(1+AK252)</f>
        <v>0</v>
      </c>
      <c r="AL251" s="298" t="n"/>
      <c r="AM251" s="325">
        <f>AK251*(1+AM252)</f>
        <v>0</v>
      </c>
      <c r="AN251" s="325">
        <f>AM251*(1+AN252)</f>
        <v>0</v>
      </c>
      <c r="AO251" s="325">
        <f>AN251*(1+AO252)</f>
        <v>0</v>
      </c>
      <c r="AP251" s="325">
        <f>AO251*(1+AP252)</f>
        <v>0</v>
      </c>
      <c r="AQ251" s="298" t="n"/>
      <c r="AR251" s="325">
        <f>AP251*(1+AR252)</f>
        <v>0</v>
      </c>
      <c r="AS251" s="325">
        <f>AR251*(1+AS252)</f>
        <v>0</v>
      </c>
      <c r="AT251" s="325">
        <f>AS251*(1+AT252)</f>
        <v>0</v>
      </c>
      <c r="AU251" s="325">
        <f>AT251*(1+AU252)</f>
        <v>0</v>
      </c>
      <c r="AV251" s="298" t="n"/>
      <c r="AW251" s="325">
        <f>AU251*(1+AW252)</f>
        <v>0</v>
      </c>
      <c r="AX251" s="325">
        <f>AW251*(1+AX252)</f>
        <v>0</v>
      </c>
      <c r="AY251" s="325">
        <f>AX251*(1+AY252)</f>
        <v>0</v>
      </c>
      <c r="AZ251" s="325">
        <f>AY251*(1+AZ252)</f>
        <v>0</v>
      </c>
      <c r="BA251" s="298" t="n"/>
      <c r="BB251" s="325">
        <f>AZ251*(1+BB252)</f>
        <v>0</v>
      </c>
      <c r="BC251" s="325">
        <f>BB251*(1+BC252)</f>
        <v>0</v>
      </c>
      <c r="BD251" s="325">
        <f>BC251*(1+BD252)</f>
        <v>0</v>
      </c>
      <c r="BE251" s="325">
        <f>BD251*(1+BE252)</f>
        <v>0</v>
      </c>
      <c r="BF251" s="298" t="n"/>
      <c r="BG251" s="325">
        <f>BE251*(1+BG252)</f>
        <v>0</v>
      </c>
      <c r="BH251" s="325">
        <f>BG251*(1+BH252)</f>
        <v>0</v>
      </c>
      <c r="BI251" s="325">
        <f>BH251*(1+BI252)</f>
        <v>0</v>
      </c>
      <c r="BJ251" s="325">
        <f>BI251*(1+BJ252)</f>
        <v>0</v>
      </c>
      <c r="BK251" s="298" t="n"/>
      <c r="BL251" s="325">
        <f>BJ251*(1+BL252)</f>
        <v>0</v>
      </c>
      <c r="BM251" s="325">
        <f>BL251*(1+BM252)</f>
        <v>0</v>
      </c>
      <c r="BN251" s="325">
        <f>BM251*(1+BN252)</f>
        <v>0</v>
      </c>
      <c r="BO251" s="325">
        <f>BN251*(1+BO252)</f>
        <v>0</v>
      </c>
      <c r="BP251" s="298" t="n"/>
      <c r="BQ251" s="325">
        <f>BO251*(1+BQ252)</f>
        <v>0</v>
      </c>
      <c r="BR251" s="325">
        <f>BQ251*(1+BR252)</f>
        <v>0</v>
      </c>
      <c r="BS251" s="325">
        <f>BR251*(1+BS252)</f>
        <v>0</v>
      </c>
      <c r="BT251" s="325">
        <f>BS251*(1+BT252)</f>
        <v>0</v>
      </c>
      <c r="BU251" s="298" t="n"/>
      <c r="BV251" s="325">
        <f>BT251*(1+BV252)</f>
        <v>0</v>
      </c>
      <c r="BW251" s="325">
        <f>BV251*(1+BW252)</f>
        <v>0</v>
      </c>
      <c r="BX251" s="325">
        <f>BW251*(1+BX252)</f>
        <v>0</v>
      </c>
      <c r="BY251" s="325">
        <f>BX251*(1+BY252)</f>
        <v>0</v>
      </c>
      <c r="BZ251" s="298" t="n"/>
      <c r="CA251" s="325">
        <f>BY251*(1+CA252)</f>
        <v>0</v>
      </c>
      <c r="CB251" s="325">
        <f>CA251*(1+CB252)</f>
        <v>0</v>
      </c>
      <c r="CC251" s="325">
        <f>CB251*(1+CC252)</f>
        <v>0</v>
      </c>
      <c r="CD251" s="325">
        <f>CC251*(1+CD252)</f>
        <v>0</v>
      </c>
      <c r="CE251" s="298" t="n"/>
      <c r="CF251" s="325">
        <f>CD251*(1+CF252)</f>
        <v>0</v>
      </c>
      <c r="CG251" s="325">
        <f>CF251*(1+CG252)</f>
        <v>0</v>
      </c>
      <c r="CH251" s="325">
        <f>CG251*(1+CH252)</f>
        <v>0</v>
      </c>
      <c r="CI251" s="325">
        <f>CH251*(1+CI252)</f>
        <v>0</v>
      </c>
      <c r="CJ251" s="298" t="n"/>
      <c r="CK251" s="325">
        <f>CI251*(1+CK252)</f>
        <v>0</v>
      </c>
      <c r="CL251" s="325">
        <f>CK251*(1+CL252)</f>
        <v>0</v>
      </c>
      <c r="CM251" s="325">
        <f>CL251*(1+CM252)</f>
        <v>0</v>
      </c>
      <c r="CN251" s="325">
        <f>CM251*(1+CN252)</f>
        <v>0</v>
      </c>
      <c r="CO251" s="298" t="n"/>
      <c r="CP251" s="325">
        <f>CN251*(1+CP252)</f>
        <v>0</v>
      </c>
      <c r="CQ251" s="325">
        <f>CP251*(1+CQ252)</f>
        <v>0</v>
      </c>
      <c r="CR251" s="325">
        <f>CQ251*(1+CR252)</f>
        <v>0</v>
      </c>
      <c r="CS251" s="325">
        <f>CR251*(1+CS252)</f>
        <v>0</v>
      </c>
      <c r="CT251" s="298" t="n"/>
      <c r="CU251" s="325">
        <f>CS251*(1+CU252)</f>
        <v>0</v>
      </c>
      <c r="CV251" s="325">
        <f>CU251*(1+CV252)</f>
        <v>0</v>
      </c>
      <c r="CW251" s="325">
        <f>CV251*(1+CW252)</f>
        <v>0</v>
      </c>
      <c r="CX251" s="325">
        <f>CW251*(1+CX252)</f>
        <v>0</v>
      </c>
      <c r="CY251" s="298" t="n"/>
      <c r="CZ251" s="322">
        <f>CX251*(1+CZ252)</f>
        <v>0</v>
      </c>
      <c r="DA251" s="322">
        <f>CZ251*(1+DA252)</f>
        <v>0</v>
      </c>
      <c r="DB251" s="322">
        <f>DA251*(1+DB252)</f>
        <v>0</v>
      </c>
      <c r="DC251" s="322">
        <f>DB251*(1+DC252)</f>
        <v>0</v>
      </c>
    </row>
    <row r="252" hidden="1" outlineLevel="1" ht="12.75" customFormat="1" customHeight="1" s="322">
      <c r="A252" s="293" t="n"/>
      <c r="B252" s="293" t="n"/>
      <c r="C252" s="323" t="inlineStr">
        <is>
          <t>Consensus EPS growth</t>
        </is>
      </c>
      <c r="D252" s="298" t="n"/>
      <c r="E252" s="298" t="n"/>
      <c r="F252" s="298" t="n"/>
      <c r="G252" s="298" t="n"/>
      <c r="H252" s="298" t="n"/>
      <c r="I252" s="298" t="n"/>
      <c r="J252" s="298" t="n"/>
      <c r="K252" s="298" t="n"/>
      <c r="L252" s="298" t="n"/>
      <c r="M252" s="298" t="n"/>
      <c r="N252" s="298" t="n"/>
      <c r="O252" s="298" t="n"/>
      <c r="P252" s="298" t="n"/>
      <c r="Q252" s="298" t="n"/>
      <c r="R252" s="298" t="n"/>
      <c r="S252" s="298" t="n"/>
      <c r="T252" s="298" t="n"/>
      <c r="U252" s="298" t="n"/>
      <c r="V252" s="298" t="n"/>
      <c r="W252" s="298" t="n"/>
      <c r="X252" s="298" t="n"/>
      <c r="Y252" s="298" t="n"/>
      <c r="Z252" s="298" t="n"/>
      <c r="AA252" s="298" t="n"/>
      <c r="AB252" s="298" t="n"/>
      <c r="AC252" s="298" t="n"/>
      <c r="AD252" s="298" t="n"/>
      <c r="AE252" s="298" t="n"/>
      <c r="AF252" s="298" t="n"/>
      <c r="AG252" s="298" t="n"/>
      <c r="AH252" s="313">
        <f>$AL$257</f>
        <v>0</v>
      </c>
      <c r="AI252" s="313">
        <f>$AL$257</f>
        <v>0</v>
      </c>
      <c r="AJ252" s="313">
        <f>$AL$257</f>
        <v>0</v>
      </c>
      <c r="AK252" s="313">
        <f>$AL$257</f>
        <v>0</v>
      </c>
      <c r="AL252" s="298" t="n"/>
      <c r="AM252" s="313">
        <f>$AL$257</f>
        <v>0</v>
      </c>
      <c r="AN252" s="313">
        <f>$AL$257</f>
        <v>0</v>
      </c>
      <c r="AO252" s="313">
        <f>$AL$257</f>
        <v>0</v>
      </c>
      <c r="AP252" s="313">
        <f>$AL$257</f>
        <v>0</v>
      </c>
      <c r="AQ252" s="298" t="n"/>
      <c r="AR252" s="313">
        <f>$AL$257</f>
        <v>0</v>
      </c>
      <c r="AS252" s="313">
        <f>$AL$257</f>
        <v>0</v>
      </c>
      <c r="AT252" s="313">
        <f>$AL$257</f>
        <v>0</v>
      </c>
      <c r="AU252" s="313">
        <f>$AL$257</f>
        <v>0</v>
      </c>
      <c r="AV252" s="298" t="n"/>
      <c r="AW252" s="313">
        <f>$AL$257</f>
        <v>0</v>
      </c>
      <c r="AX252" s="313">
        <f>$AL$257</f>
        <v>0</v>
      </c>
      <c r="AY252" s="313">
        <f>$AL$257</f>
        <v>0</v>
      </c>
      <c r="AZ252" s="313">
        <f>$AL$257</f>
        <v>0</v>
      </c>
      <c r="BA252" s="298" t="n"/>
      <c r="BB252" s="313">
        <f>$AL$257</f>
        <v>0</v>
      </c>
      <c r="BC252" s="313">
        <f>$AL$257</f>
        <v>0</v>
      </c>
      <c r="BD252" s="313">
        <f>$AL$257</f>
        <v>0</v>
      </c>
      <c r="BE252" s="313">
        <f>$AL$257</f>
        <v>0</v>
      </c>
      <c r="BF252" s="298" t="n"/>
      <c r="BG252" s="313">
        <f>$AL$257</f>
        <v>0</v>
      </c>
      <c r="BH252" s="313">
        <f>$AL$257</f>
        <v>0</v>
      </c>
      <c r="BI252" s="313">
        <f>$AL$257</f>
        <v>0</v>
      </c>
      <c r="BJ252" s="313">
        <f>$AL$257</f>
        <v>0</v>
      </c>
      <c r="BK252" s="298" t="n"/>
      <c r="BL252" s="313">
        <f>$AL$257</f>
        <v>0</v>
      </c>
      <c r="BM252" s="313">
        <f>$AL$257</f>
        <v>0</v>
      </c>
      <c r="BN252" s="313">
        <f>$AL$257</f>
        <v>0</v>
      </c>
      <c r="BO252" s="313">
        <f>$AL$257</f>
        <v>0</v>
      </c>
      <c r="BP252" s="298" t="n"/>
      <c r="BQ252" s="313">
        <f>$AL$257</f>
        <v>0</v>
      </c>
      <c r="BR252" s="313">
        <f>$AL$257</f>
        <v>0</v>
      </c>
      <c r="BS252" s="313">
        <f>$AL$257</f>
        <v>0</v>
      </c>
      <c r="BT252" s="313">
        <f>$AL$257</f>
        <v>0</v>
      </c>
      <c r="BU252" s="298" t="n"/>
      <c r="BV252" s="313">
        <f>$AL$257</f>
        <v>0</v>
      </c>
      <c r="BW252" s="313">
        <f>$AL$257</f>
        <v>0</v>
      </c>
      <c r="BX252" s="313">
        <f>$AL$257</f>
        <v>0</v>
      </c>
      <c r="BY252" s="313">
        <f>$AL$257</f>
        <v>0</v>
      </c>
      <c r="BZ252" s="298" t="n"/>
      <c r="CA252" s="313">
        <f>$AL$257</f>
        <v>0</v>
      </c>
      <c r="CB252" s="313">
        <f>$AL$257</f>
        <v>0</v>
      </c>
      <c r="CC252" s="313">
        <f>$AL$257</f>
        <v>0</v>
      </c>
      <c r="CD252" s="313">
        <f>$AL$257</f>
        <v>0</v>
      </c>
      <c r="CE252" s="298" t="n"/>
      <c r="CF252" s="313">
        <f>$AL$257</f>
        <v>0</v>
      </c>
      <c r="CG252" s="313">
        <f>$AL$257</f>
        <v>0</v>
      </c>
      <c r="CH252" s="313">
        <f>$AL$257</f>
        <v>0</v>
      </c>
      <c r="CI252" s="313">
        <f>$AL$257</f>
        <v>0</v>
      </c>
      <c r="CJ252" s="298" t="n"/>
      <c r="CK252" s="313">
        <f>$AL$257</f>
        <v>0</v>
      </c>
      <c r="CL252" s="313">
        <f>$AL$257</f>
        <v>0</v>
      </c>
      <c r="CM252" s="313">
        <f>$AL$257</f>
        <v>0</v>
      </c>
      <c r="CN252" s="313">
        <f>$AL$257</f>
        <v>0</v>
      </c>
      <c r="CO252" s="298" t="n"/>
      <c r="CP252" s="313">
        <f>$AL$257</f>
        <v>0</v>
      </c>
      <c r="CQ252" s="313">
        <f>$AL$257</f>
        <v>0</v>
      </c>
      <c r="CR252" s="313">
        <f>$AL$257</f>
        <v>0</v>
      </c>
      <c r="CS252" s="313">
        <f>$AL$257</f>
        <v>0</v>
      </c>
      <c r="CT252" s="298" t="n"/>
      <c r="CU252" s="313">
        <f>$AL$257</f>
        <v>0</v>
      </c>
      <c r="CV252" s="313">
        <f>$AL$257</f>
        <v>0</v>
      </c>
      <c r="CW252" s="313">
        <f>$AL$257</f>
        <v>0</v>
      </c>
      <c r="CX252" s="313">
        <f>$AL$257</f>
        <v>0</v>
      </c>
      <c r="CY252" s="298" t="n"/>
    </row>
    <row r="253" hidden="1" outlineLevel="1" ht="12.75" customFormat="1" customHeight="1" s="322">
      <c r="A253" s="293" t="n"/>
      <c r="B253" s="293" t="n"/>
      <c r="C253" s="323" t="n"/>
      <c r="D253" s="298" t="n"/>
      <c r="E253" s="298" t="n"/>
      <c r="F253" s="298" t="n"/>
      <c r="G253" s="298" t="n"/>
      <c r="H253" s="298" t="n"/>
      <c r="I253" s="298" t="n"/>
      <c r="J253" s="298" t="n"/>
      <c r="K253" s="298" t="n"/>
      <c r="L253" s="298" t="n"/>
      <c r="M253" s="298" t="n"/>
      <c r="N253" s="298" t="n"/>
      <c r="O253" s="298" t="n"/>
      <c r="P253" s="298" t="n"/>
      <c r="Q253" s="298" t="n"/>
      <c r="R253" s="298" t="n"/>
      <c r="S253" s="298" t="n"/>
      <c r="T253" s="298" t="n"/>
      <c r="U253" s="298" t="n"/>
      <c r="V253" s="298" t="n"/>
      <c r="W253" s="298" t="n"/>
      <c r="X253" s="298" t="n"/>
      <c r="Y253" s="298" t="n"/>
      <c r="Z253" s="298" t="n"/>
      <c r="AA253" s="298" t="n"/>
      <c r="AB253" s="298" t="n"/>
      <c r="AC253" s="298" t="n"/>
      <c r="AD253" s="298" t="n"/>
      <c r="AE253" s="298" t="n"/>
      <c r="AF253" s="298" t="n"/>
      <c r="AG253" s="298" t="n"/>
      <c r="AH253" s="268" t="n"/>
      <c r="AI253" s="268" t="n"/>
      <c r="AJ253" s="268" t="n"/>
      <c r="AK253" s="268" t="n"/>
      <c r="AL253" s="298" t="n"/>
      <c r="AM253" s="268" t="n"/>
      <c r="AN253" s="268" t="n"/>
      <c r="AO253" s="268" t="n"/>
      <c r="AP253" s="268" t="n"/>
      <c r="AQ253" s="298" t="n"/>
      <c r="AR253" s="268" t="n"/>
      <c r="AS253" s="268" t="n"/>
      <c r="AT253" s="268" t="n"/>
      <c r="AU253" s="268" t="n"/>
      <c r="AV253" s="298" t="n"/>
      <c r="AW253" s="268" t="n"/>
      <c r="AX253" s="268" t="n"/>
      <c r="AY253" s="268" t="n"/>
      <c r="AZ253" s="268" t="n"/>
      <c r="BA253" s="298" t="n"/>
      <c r="BB253" s="268" t="n"/>
      <c r="BC253" s="268" t="n"/>
      <c r="BD253" s="268" t="n"/>
      <c r="BE253" s="268" t="n"/>
      <c r="BF253" s="298" t="n"/>
      <c r="BG253" s="268" t="n"/>
      <c r="BH253" s="268" t="n"/>
      <c r="BI253" s="268" t="n"/>
      <c r="BJ253" s="268" t="n"/>
      <c r="BK253" s="298" t="n"/>
      <c r="BL253" s="268" t="n"/>
      <c r="BM253" s="268" t="n"/>
      <c r="BN253" s="268" t="n"/>
      <c r="BO253" s="268" t="n"/>
      <c r="BP253" s="298" t="n"/>
      <c r="BQ253" s="268" t="n"/>
      <c r="BR253" s="268" t="n"/>
      <c r="BS253" s="268" t="n"/>
      <c r="BT253" s="268" t="n"/>
      <c r="BU253" s="298" t="n"/>
      <c r="BV253" s="268" t="n"/>
      <c r="BW253" s="268" t="n"/>
      <c r="BX253" s="268" t="n"/>
      <c r="BY253" s="268" t="n"/>
      <c r="BZ253" s="298" t="n"/>
      <c r="CA253" s="268" t="n"/>
      <c r="CB253" s="268" t="n"/>
      <c r="CC253" s="268" t="n"/>
      <c r="CD253" s="268" t="n"/>
      <c r="CE253" s="298" t="n"/>
      <c r="CF253" s="268" t="n"/>
      <c r="CG253" s="268" t="n"/>
      <c r="CH253" s="268" t="n"/>
      <c r="CI253" s="268" t="n"/>
      <c r="CJ253" s="298" t="n"/>
      <c r="CK253" s="268" t="n"/>
      <c r="CL253" s="268" t="n"/>
      <c r="CM253" s="268" t="n"/>
      <c r="CN253" s="268" t="n"/>
      <c r="CO253" s="298" t="n"/>
      <c r="CP253" s="268" t="n"/>
      <c r="CQ253" s="268" t="n"/>
      <c r="CR253" s="268" t="n"/>
      <c r="CS253" s="268" t="n"/>
      <c r="CT253" s="298" t="n"/>
      <c r="CU253" s="268" t="n"/>
      <c r="CV253" s="268" t="n"/>
      <c r="CW253" s="268" t="n"/>
      <c r="CX253" s="268" t="n"/>
      <c r="CY253" s="298" t="n"/>
    </row>
    <row r="254" hidden="1" outlineLevel="1" ht="12.75" customFormat="1" customHeight="1" s="322">
      <c r="A254" s="293" t="n"/>
      <c r="B254" s="293" t="n"/>
      <c r="C254" s="323" t="inlineStr">
        <is>
          <t>Shares repurchased</t>
        </is>
      </c>
      <c r="D254" s="298" t="n"/>
      <c r="E254" s="298" t="n"/>
      <c r="F254" s="298" t="n"/>
      <c r="G254" s="298" t="n"/>
      <c r="H254" s="298" t="n"/>
      <c r="I254" s="298" t="n"/>
      <c r="J254" s="298" t="n"/>
      <c r="K254" s="298" t="n"/>
      <c r="L254" s="298" t="n"/>
      <c r="M254" s="298" t="n"/>
      <c r="N254" s="298" t="n"/>
      <c r="O254" s="298" t="n"/>
      <c r="P254" s="298" t="n"/>
      <c r="Q254" s="298" t="n"/>
      <c r="R254" s="298" t="n"/>
      <c r="S254" s="298" t="n"/>
      <c r="T254" s="298" t="n"/>
      <c r="U254" s="298" t="n"/>
      <c r="V254" s="298" t="n"/>
      <c r="W254" s="298" t="n"/>
      <c r="X254" s="298" t="n"/>
      <c r="Y254" s="298" t="n"/>
      <c r="Z254" s="298" t="n"/>
      <c r="AA254" s="298" t="n"/>
      <c r="AB254" s="298" t="n"/>
      <c r="AC254" s="298" t="n"/>
      <c r="AD254" s="298" t="n"/>
      <c r="AE254" s="298" t="n"/>
      <c r="AF254" s="298" t="n"/>
      <c r="AG254" s="298" t="n"/>
      <c r="AH254" s="326" t="n"/>
      <c r="AI254" s="326" t="n"/>
      <c r="AJ254" s="326" t="e">
        <f>-AJ249/AJ251</f>
        <v>#DIV/0!</v>
      </c>
      <c r="AK254" s="326" t="e">
        <f>-AK249/AK251</f>
        <v>#DIV/0!</v>
      </c>
      <c r="AL254" s="298" t="n"/>
      <c r="AM254" s="326" t="e">
        <f>-AM249/AM251</f>
        <v>#DIV/0!</v>
      </c>
      <c r="AN254" s="326" t="e">
        <f>-AN249/AN251</f>
        <v>#DIV/0!</v>
      </c>
      <c r="AO254" s="326" t="e">
        <f>-AO249/AO251</f>
        <v>#DIV/0!</v>
      </c>
      <c r="AP254" s="326" t="e">
        <f>-AP249/AP251</f>
        <v>#DIV/0!</v>
      </c>
      <c r="AQ254" s="298" t="n"/>
      <c r="AR254" s="326" t="e">
        <f>-AR249/AR251</f>
        <v>#DIV/0!</v>
      </c>
      <c r="AS254" s="326" t="e">
        <f>-AS249/AS251</f>
        <v>#DIV/0!</v>
      </c>
      <c r="AT254" s="326" t="e">
        <f>-AT249/AT251</f>
        <v>#DIV/0!</v>
      </c>
      <c r="AU254" s="326" t="e">
        <f>-AU249/AU251</f>
        <v>#DIV/0!</v>
      </c>
      <c r="AV254" s="298" t="n"/>
      <c r="AW254" s="326" t="e">
        <f>-AW249/AW251</f>
        <v>#DIV/0!</v>
      </c>
      <c r="AX254" s="326" t="e">
        <f>-AX249/AX251</f>
        <v>#DIV/0!</v>
      </c>
      <c r="AY254" s="326" t="e">
        <f>-AY249/AY251</f>
        <v>#DIV/0!</v>
      </c>
      <c r="AZ254" s="326" t="e">
        <f>-AZ249/AZ251</f>
        <v>#DIV/0!</v>
      </c>
      <c r="BA254" s="298" t="n"/>
      <c r="BB254" s="326" t="e">
        <f>-BB249/BB251</f>
        <v>#DIV/0!</v>
      </c>
      <c r="BC254" s="326" t="e">
        <f>-BC249/BC251</f>
        <v>#DIV/0!</v>
      </c>
      <c r="BD254" s="326" t="e">
        <f>-BD249/BD251</f>
        <v>#DIV/0!</v>
      </c>
      <c r="BE254" s="326" t="e">
        <f>-BE249/BE251</f>
        <v>#DIV/0!</v>
      </c>
      <c r="BF254" s="298" t="n"/>
      <c r="BG254" s="326" t="e">
        <f>-BG249/BG251</f>
        <v>#DIV/0!</v>
      </c>
      <c r="BH254" s="326" t="e">
        <f>-BH249/BH251</f>
        <v>#DIV/0!</v>
      </c>
      <c r="BI254" s="326" t="e">
        <f>-BI249/BI251</f>
        <v>#DIV/0!</v>
      </c>
      <c r="BJ254" s="326" t="e">
        <f>-BJ249/BJ251</f>
        <v>#DIV/0!</v>
      </c>
      <c r="BK254" s="298" t="n"/>
      <c r="BL254" s="326" t="e">
        <f>-BL249/BL251</f>
        <v>#DIV/0!</v>
      </c>
      <c r="BM254" s="326" t="e">
        <f>-BM249/BM251</f>
        <v>#DIV/0!</v>
      </c>
      <c r="BN254" s="326" t="e">
        <f>-BN249/BN251</f>
        <v>#DIV/0!</v>
      </c>
      <c r="BO254" s="326" t="e">
        <f>-BO249/BO251</f>
        <v>#DIV/0!</v>
      </c>
      <c r="BP254" s="298" t="n"/>
      <c r="BQ254" s="326" t="e">
        <f>-BQ249/BQ251</f>
        <v>#DIV/0!</v>
      </c>
      <c r="BR254" s="326" t="e">
        <f>-BR249/BR251</f>
        <v>#DIV/0!</v>
      </c>
      <c r="BS254" s="326" t="e">
        <f>-BS249/BS251</f>
        <v>#DIV/0!</v>
      </c>
      <c r="BT254" s="326" t="e">
        <f>-BT249/BT251</f>
        <v>#DIV/0!</v>
      </c>
      <c r="BU254" s="298" t="n"/>
      <c r="BV254" s="326" t="e">
        <f>-BV249/BV251</f>
        <v>#DIV/0!</v>
      </c>
      <c r="BW254" s="326" t="e">
        <f>-BW249/BW251</f>
        <v>#DIV/0!</v>
      </c>
      <c r="BX254" s="326" t="e">
        <f>-BX249/BX251</f>
        <v>#DIV/0!</v>
      </c>
      <c r="BY254" s="326" t="e">
        <f>-BY249/BY251</f>
        <v>#DIV/0!</v>
      </c>
      <c r="BZ254" s="298" t="n"/>
      <c r="CA254" s="326" t="e">
        <f>-CA249/CA251</f>
        <v>#DIV/0!</v>
      </c>
      <c r="CB254" s="326" t="e">
        <f>-CB249/CB251</f>
        <v>#DIV/0!</v>
      </c>
      <c r="CC254" s="326" t="e">
        <f>-CC249/CC251</f>
        <v>#DIV/0!</v>
      </c>
      <c r="CD254" s="326" t="e">
        <f>-CD249/CD251</f>
        <v>#DIV/0!</v>
      </c>
      <c r="CE254" s="298" t="n"/>
      <c r="CF254" s="326" t="e">
        <f>-CF249/CF251</f>
        <v>#DIV/0!</v>
      </c>
      <c r="CG254" s="326" t="e">
        <f>-CG249/CG251</f>
        <v>#DIV/0!</v>
      </c>
      <c r="CH254" s="326" t="e">
        <f>-CH249/CH251</f>
        <v>#DIV/0!</v>
      </c>
      <c r="CI254" s="326" t="e">
        <f>-CI249/CI251</f>
        <v>#DIV/0!</v>
      </c>
      <c r="CJ254" s="298" t="n"/>
      <c r="CK254" s="326" t="e">
        <f>-CK249/CK251</f>
        <v>#DIV/0!</v>
      </c>
      <c r="CL254" s="326" t="e">
        <f>-CL249/CL251</f>
        <v>#DIV/0!</v>
      </c>
      <c r="CM254" s="326" t="e">
        <f>-CM249/CM251</f>
        <v>#DIV/0!</v>
      </c>
      <c r="CN254" s="326" t="e">
        <f>-CN249/CN251</f>
        <v>#DIV/0!</v>
      </c>
      <c r="CO254" s="298" t="n"/>
      <c r="CP254" s="326" t="e">
        <f>-CP249/CP251</f>
        <v>#DIV/0!</v>
      </c>
      <c r="CQ254" s="326" t="e">
        <f>-CQ249/CQ251</f>
        <v>#DIV/0!</v>
      </c>
      <c r="CR254" s="326" t="e">
        <f>-CR249/CR251</f>
        <v>#DIV/0!</v>
      </c>
      <c r="CS254" s="326" t="e">
        <f>-CS249/CS251</f>
        <v>#DIV/0!</v>
      </c>
      <c r="CT254" s="298" t="n"/>
      <c r="CU254" s="326" t="e">
        <f>-CU249/CU251</f>
        <v>#DIV/0!</v>
      </c>
      <c r="CV254" s="326" t="e">
        <f>-CV249/CV251</f>
        <v>#DIV/0!</v>
      </c>
      <c r="CW254" s="326" t="e">
        <f>-CW249/CW251</f>
        <v>#DIV/0!</v>
      </c>
      <c r="CX254" s="326" t="e">
        <f>-CX249/CX251</f>
        <v>#DIV/0!</v>
      </c>
      <c r="CY254" s="298" t="n"/>
    </row>
    <row r="255" hidden="1" outlineLevel="1" ht="12.75" customFormat="1" customHeight="1" s="322">
      <c r="A255" s="293" t="n"/>
      <c r="B255" s="293" t="n"/>
      <c r="C255" s="323" t="inlineStr">
        <is>
          <t>Shares issued</t>
        </is>
      </c>
      <c r="D255" s="298" t="n"/>
      <c r="E255" s="298" t="n"/>
      <c r="F255" s="298" t="n"/>
      <c r="G255" s="298" t="n"/>
      <c r="H255" s="298" t="n"/>
      <c r="I255" s="298" t="n"/>
      <c r="J255" s="298" t="n"/>
      <c r="K255" s="298" t="n"/>
      <c r="L255" s="298" t="n"/>
      <c r="M255" s="298" t="n"/>
      <c r="N255" s="298" t="n"/>
      <c r="O255" s="298" t="n"/>
      <c r="P255" s="298" t="n"/>
      <c r="Q255" s="298" t="n"/>
      <c r="R255" s="298" t="n"/>
      <c r="S255" s="298" t="n"/>
      <c r="T255" s="298" t="n"/>
      <c r="U255" s="298" t="n"/>
      <c r="V255" s="298" t="n"/>
      <c r="W255" s="298" t="n"/>
      <c r="X255" s="298" t="n"/>
      <c r="Y255" s="298" t="n"/>
      <c r="Z255" s="298" t="n"/>
      <c r="AA255" s="298" t="n"/>
      <c r="AB255" s="298" t="n"/>
      <c r="AC255" s="298" t="n"/>
      <c r="AD255" s="298" t="n"/>
      <c r="AE255" s="298" t="n"/>
      <c r="AF255" s="265" t="n"/>
      <c r="AG255" s="298" t="n"/>
      <c r="AH255" s="326" t="n"/>
      <c r="AI255" s="326" t="n"/>
      <c r="AJ255" s="326" t="e">
        <f>AJ250/AJ251</f>
        <v>#DIV/0!</v>
      </c>
      <c r="AK255" s="326" t="e">
        <f>AK250/AK251</f>
        <v>#DIV/0!</v>
      </c>
      <c r="AL255" s="298" t="n"/>
      <c r="AM255" s="326" t="e">
        <f>AM250/AM251</f>
        <v>#DIV/0!</v>
      </c>
      <c r="AN255" s="326" t="e">
        <f>AN250/AN251</f>
        <v>#DIV/0!</v>
      </c>
      <c r="AO255" s="326" t="e">
        <f>AO250/AO251</f>
        <v>#DIV/0!</v>
      </c>
      <c r="AP255" s="326" t="e">
        <f>AP250/AP251</f>
        <v>#DIV/0!</v>
      </c>
      <c r="AQ255" s="298" t="n"/>
      <c r="AR255" s="326" t="e">
        <f>AR250/AR251</f>
        <v>#DIV/0!</v>
      </c>
      <c r="AS255" s="326" t="e">
        <f>AS250/AS251</f>
        <v>#DIV/0!</v>
      </c>
      <c r="AT255" s="326" t="e">
        <f>AT250/AT251</f>
        <v>#DIV/0!</v>
      </c>
      <c r="AU255" s="326" t="e">
        <f>AU250/AU251</f>
        <v>#DIV/0!</v>
      </c>
      <c r="AV255" s="298" t="n"/>
      <c r="AW255" s="326" t="e">
        <f>AW250/AW251</f>
        <v>#DIV/0!</v>
      </c>
      <c r="AX255" s="326" t="e">
        <f>AX250/AX251</f>
        <v>#DIV/0!</v>
      </c>
      <c r="AY255" s="326" t="e">
        <f>AY250/AY251</f>
        <v>#DIV/0!</v>
      </c>
      <c r="AZ255" s="326" t="e">
        <f>AZ250/AZ251</f>
        <v>#DIV/0!</v>
      </c>
      <c r="BA255" s="298" t="n"/>
      <c r="BB255" s="326" t="e">
        <f>BB250/BB251</f>
        <v>#DIV/0!</v>
      </c>
      <c r="BC255" s="326" t="e">
        <f>BC250/BC251</f>
        <v>#DIV/0!</v>
      </c>
      <c r="BD255" s="326" t="e">
        <f>BD250/BD251</f>
        <v>#DIV/0!</v>
      </c>
      <c r="BE255" s="326" t="e">
        <f>BE250/BE251</f>
        <v>#DIV/0!</v>
      </c>
      <c r="BF255" s="298" t="n"/>
      <c r="BG255" s="326" t="e">
        <f>BG250/BG251</f>
        <v>#DIV/0!</v>
      </c>
      <c r="BH255" s="326" t="e">
        <f>BH250/BH251</f>
        <v>#DIV/0!</v>
      </c>
      <c r="BI255" s="326" t="e">
        <f>BI250/BI251</f>
        <v>#DIV/0!</v>
      </c>
      <c r="BJ255" s="326" t="e">
        <f>BJ250/BJ251</f>
        <v>#DIV/0!</v>
      </c>
      <c r="BK255" s="298" t="n"/>
      <c r="BL255" s="326" t="e">
        <f>BL250/BL251</f>
        <v>#DIV/0!</v>
      </c>
      <c r="BM255" s="326" t="e">
        <f>BM250/BM251</f>
        <v>#DIV/0!</v>
      </c>
      <c r="BN255" s="326" t="e">
        <f>BN250/BN251</f>
        <v>#DIV/0!</v>
      </c>
      <c r="BO255" s="326" t="e">
        <f>BO250/BO251</f>
        <v>#DIV/0!</v>
      </c>
      <c r="BP255" s="298" t="n"/>
      <c r="BQ255" s="326" t="e">
        <f>BQ250/BQ251</f>
        <v>#DIV/0!</v>
      </c>
      <c r="BR255" s="326" t="e">
        <f>BR250/BR251</f>
        <v>#DIV/0!</v>
      </c>
      <c r="BS255" s="326" t="e">
        <f>BS250/BS251</f>
        <v>#DIV/0!</v>
      </c>
      <c r="BT255" s="326" t="e">
        <f>BT250/BT251</f>
        <v>#DIV/0!</v>
      </c>
      <c r="BU255" s="298" t="n"/>
      <c r="BV255" s="326" t="e">
        <f>BV250/BV251</f>
        <v>#DIV/0!</v>
      </c>
      <c r="BW255" s="326" t="e">
        <f>BW250/BW251</f>
        <v>#DIV/0!</v>
      </c>
      <c r="BX255" s="326" t="e">
        <f>BX250/BX251</f>
        <v>#DIV/0!</v>
      </c>
      <c r="BY255" s="326" t="e">
        <f>BY250/BY251</f>
        <v>#DIV/0!</v>
      </c>
      <c r="BZ255" s="298" t="n"/>
      <c r="CA255" s="326" t="e">
        <f>CA250/CA251</f>
        <v>#DIV/0!</v>
      </c>
      <c r="CB255" s="326" t="e">
        <f>CB250/CB251</f>
        <v>#DIV/0!</v>
      </c>
      <c r="CC255" s="326" t="e">
        <f>CC250/CC251</f>
        <v>#DIV/0!</v>
      </c>
      <c r="CD255" s="326" t="e">
        <f>CD250/CD251</f>
        <v>#DIV/0!</v>
      </c>
      <c r="CE255" s="298" t="n"/>
      <c r="CF255" s="326" t="e">
        <f>CF250/CF251</f>
        <v>#DIV/0!</v>
      </c>
      <c r="CG255" s="326" t="e">
        <f>CG250/CG251</f>
        <v>#DIV/0!</v>
      </c>
      <c r="CH255" s="326" t="e">
        <f>CH250/CH251</f>
        <v>#DIV/0!</v>
      </c>
      <c r="CI255" s="326" t="e">
        <f>CI250/CI251</f>
        <v>#DIV/0!</v>
      </c>
      <c r="CJ255" s="298" t="n"/>
      <c r="CK255" s="326" t="e">
        <f>CK250/CK251</f>
        <v>#DIV/0!</v>
      </c>
      <c r="CL255" s="326" t="e">
        <f>CL250/CL251</f>
        <v>#DIV/0!</v>
      </c>
      <c r="CM255" s="326" t="e">
        <f>CM250/CM251</f>
        <v>#DIV/0!</v>
      </c>
      <c r="CN255" s="326" t="e">
        <f>CN250/CN251</f>
        <v>#DIV/0!</v>
      </c>
      <c r="CO255" s="298" t="n"/>
      <c r="CP255" s="326" t="e">
        <f>CP250/CP251</f>
        <v>#DIV/0!</v>
      </c>
      <c r="CQ255" s="326" t="e">
        <f>CQ250/CQ251</f>
        <v>#DIV/0!</v>
      </c>
      <c r="CR255" s="326" t="e">
        <f>CR250/CR251</f>
        <v>#DIV/0!</v>
      </c>
      <c r="CS255" s="326" t="e">
        <f>CS250/CS251</f>
        <v>#DIV/0!</v>
      </c>
      <c r="CT255" s="298" t="n"/>
      <c r="CU255" s="326" t="e">
        <f>CU250/CU251</f>
        <v>#DIV/0!</v>
      </c>
      <c r="CV255" s="326" t="e">
        <f>CV250/CV251</f>
        <v>#DIV/0!</v>
      </c>
      <c r="CW255" s="326" t="e">
        <f>CW250/CW251</f>
        <v>#DIV/0!</v>
      </c>
      <c r="CX255" s="326" t="e">
        <f>CX250/CX251</f>
        <v>#DIV/0!</v>
      </c>
      <c r="CY255" s="298" t="n"/>
    </row>
    <row r="256" hidden="1" outlineLevel="1" ht="12.75" customFormat="1" customHeight="1" s="322">
      <c r="A256" s="293" t="n"/>
      <c r="B256" s="293" t="n"/>
      <c r="C256" s="323" t="inlineStr">
        <is>
          <t>End of period basic shares outstanding</t>
        </is>
      </c>
      <c r="D256" s="298" t="n"/>
      <c r="E256" s="298" t="n"/>
      <c r="F256" s="298" t="n"/>
      <c r="G256" s="298" t="n"/>
      <c r="H256" s="298" t="n"/>
      <c r="I256" s="298" t="n"/>
      <c r="J256" s="298" t="n"/>
      <c r="K256" s="298" t="n"/>
      <c r="L256" s="298" t="n"/>
      <c r="M256" s="298" t="n"/>
      <c r="N256" s="298" t="n"/>
      <c r="O256" s="298" t="n"/>
      <c r="P256" s="298" t="n"/>
      <c r="Q256" s="298" t="n"/>
      <c r="R256" s="298" t="n"/>
      <c r="S256" s="298" t="n"/>
      <c r="T256" s="298" t="n"/>
      <c r="U256" s="298" t="n"/>
      <c r="V256" s="298" t="n"/>
      <c r="W256" s="298" t="n"/>
      <c r="X256" s="298" t="n"/>
      <c r="Y256" s="298" t="n"/>
      <c r="Z256" s="298" t="n"/>
      <c r="AA256" s="298" t="n"/>
      <c r="AB256" s="298" t="n"/>
      <c r="AC256" s="298" t="n"/>
      <c r="AD256" s="298" t="n"/>
      <c r="AE256" s="298" t="n"/>
      <c r="AF256" s="298" t="n"/>
      <c r="AG256" s="324" t="n"/>
      <c r="AH256" s="259">
        <f>AG256+AH255-AH254</f>
        <v>0</v>
      </c>
      <c r="AI256" s="259">
        <f>AH256+AI255-AI254</f>
        <v>0</v>
      </c>
      <c r="AJ256" s="326" t="e">
        <f>AI256+AJ255-AJ254</f>
        <v>#DIV/0!</v>
      </c>
      <c r="AK256" s="326" t="e">
        <f>AJ256+AK255-AK254</f>
        <v>#DIV/0!</v>
      </c>
      <c r="AL256" s="298" t="n"/>
      <c r="AM256" s="259" t="e">
        <f>AK256+AM255-AM254</f>
        <v>#DIV/0!</v>
      </c>
      <c r="AN256" s="259" t="e">
        <f>AM256+AN255-AN254</f>
        <v>#DIV/0!</v>
      </c>
      <c r="AO256" s="326" t="e">
        <f>AN256+AO255-AO254</f>
        <v>#DIV/0!</v>
      </c>
      <c r="AP256" s="326" t="e">
        <f>AO256+AP255-AP254</f>
        <v>#DIV/0!</v>
      </c>
      <c r="AQ256" s="298" t="n"/>
      <c r="AR256" s="259" t="e">
        <f>AP256+AR255-AR254</f>
        <v>#DIV/0!</v>
      </c>
      <c r="AS256" s="259" t="e">
        <f>AR256+AS255-AS254</f>
        <v>#DIV/0!</v>
      </c>
      <c r="AT256" s="326" t="e">
        <f>AS256+AT255-AT254</f>
        <v>#DIV/0!</v>
      </c>
      <c r="AU256" s="326" t="e">
        <f>AT256+AU255-AU254</f>
        <v>#DIV/0!</v>
      </c>
      <c r="AV256" s="298" t="n"/>
      <c r="AW256" s="259" t="e">
        <f>AU256+AW255-AW254</f>
        <v>#DIV/0!</v>
      </c>
      <c r="AX256" s="259" t="e">
        <f>AW256+AX255-AX254</f>
        <v>#DIV/0!</v>
      </c>
      <c r="AY256" s="326" t="e">
        <f>AX256+AY255-AY254</f>
        <v>#DIV/0!</v>
      </c>
      <c r="AZ256" s="326" t="e">
        <f>AY256+AZ255-AZ254</f>
        <v>#DIV/0!</v>
      </c>
      <c r="BA256" s="298" t="n"/>
      <c r="BB256" s="259" t="e">
        <f>AZ256+BB255-BB254</f>
        <v>#DIV/0!</v>
      </c>
      <c r="BC256" s="259" t="e">
        <f>BB256+BC255-BC254</f>
        <v>#DIV/0!</v>
      </c>
      <c r="BD256" s="326" t="e">
        <f>BC256+BD255-BD254</f>
        <v>#DIV/0!</v>
      </c>
      <c r="BE256" s="326" t="e">
        <f>BD256+BE255-BE254</f>
        <v>#DIV/0!</v>
      </c>
      <c r="BF256" s="298" t="n"/>
      <c r="BG256" s="259" t="e">
        <f>BE256+BG255-BG254</f>
        <v>#DIV/0!</v>
      </c>
      <c r="BH256" s="259" t="e">
        <f>BG256+BH255-BH254</f>
        <v>#DIV/0!</v>
      </c>
      <c r="BI256" s="326" t="e">
        <f>BH256+BI255-BI254</f>
        <v>#DIV/0!</v>
      </c>
      <c r="BJ256" s="326" t="e">
        <f>BI256+BJ255-BJ254</f>
        <v>#DIV/0!</v>
      </c>
      <c r="BK256" s="298" t="n"/>
      <c r="BL256" s="259" t="e">
        <f>BJ256+BL255-BL254</f>
        <v>#DIV/0!</v>
      </c>
      <c r="BM256" s="259" t="e">
        <f>BL256+BM255-BM254</f>
        <v>#DIV/0!</v>
      </c>
      <c r="BN256" s="326" t="e">
        <f>BM256+BN255-BN254</f>
        <v>#DIV/0!</v>
      </c>
      <c r="BO256" s="326" t="e">
        <f>BN256+BO255-BO254</f>
        <v>#DIV/0!</v>
      </c>
      <c r="BP256" s="298" t="n"/>
      <c r="BQ256" s="259" t="e">
        <f>BO256+BQ255-BQ254</f>
        <v>#DIV/0!</v>
      </c>
      <c r="BR256" s="259" t="e">
        <f>BQ256+BR255-BR254</f>
        <v>#DIV/0!</v>
      </c>
      <c r="BS256" s="326" t="e">
        <f>BR256+BS255-BS254</f>
        <v>#DIV/0!</v>
      </c>
      <c r="BT256" s="326" t="e">
        <f>BS256+BT255-BT254</f>
        <v>#DIV/0!</v>
      </c>
      <c r="BU256" s="298" t="n"/>
      <c r="BV256" s="259" t="e">
        <f>BT256+BV255-BV254</f>
        <v>#DIV/0!</v>
      </c>
      <c r="BW256" s="259" t="e">
        <f>BV256+BW255-BW254</f>
        <v>#DIV/0!</v>
      </c>
      <c r="BX256" s="326" t="e">
        <f>BW256+BX255-BX254</f>
        <v>#DIV/0!</v>
      </c>
      <c r="BY256" s="326" t="e">
        <f>BX256+BY255-BY254</f>
        <v>#DIV/0!</v>
      </c>
      <c r="BZ256" s="298" t="n"/>
      <c r="CA256" s="259" t="e">
        <f>BY256+CA255-CA254</f>
        <v>#DIV/0!</v>
      </c>
      <c r="CB256" s="259" t="e">
        <f>CA256+CB255-CB254</f>
        <v>#DIV/0!</v>
      </c>
      <c r="CC256" s="326" t="e">
        <f>CB256+CC255-CC254</f>
        <v>#DIV/0!</v>
      </c>
      <c r="CD256" s="326" t="e">
        <f>CC256+CD255-CD254</f>
        <v>#DIV/0!</v>
      </c>
      <c r="CE256" s="298" t="n"/>
      <c r="CF256" s="259" t="e">
        <f>CD256+CF255-CF254</f>
        <v>#DIV/0!</v>
      </c>
      <c r="CG256" s="259" t="e">
        <f>CF256+CG255-CG254</f>
        <v>#DIV/0!</v>
      </c>
      <c r="CH256" s="326" t="e">
        <f>CG256+CH255-CH254</f>
        <v>#DIV/0!</v>
      </c>
      <c r="CI256" s="326" t="e">
        <f>CH256+CI255-CI254</f>
        <v>#DIV/0!</v>
      </c>
      <c r="CJ256" s="298" t="n"/>
      <c r="CK256" s="259" t="e">
        <f>CI256+CK255-CK254</f>
        <v>#DIV/0!</v>
      </c>
      <c r="CL256" s="259" t="e">
        <f>CK256+CL255-CL254</f>
        <v>#DIV/0!</v>
      </c>
      <c r="CM256" s="326" t="e">
        <f>CL256+CM255-CM254</f>
        <v>#DIV/0!</v>
      </c>
      <c r="CN256" s="326" t="e">
        <f>CM256+CN255-CN254</f>
        <v>#DIV/0!</v>
      </c>
      <c r="CO256" s="298" t="n"/>
      <c r="CP256" s="259" t="e">
        <f>CN256+CP255-CP254</f>
        <v>#DIV/0!</v>
      </c>
      <c r="CQ256" s="259" t="e">
        <f>CP256+CQ255-CQ254</f>
        <v>#DIV/0!</v>
      </c>
      <c r="CR256" s="326" t="e">
        <f>CQ256+CR255-CR254</f>
        <v>#DIV/0!</v>
      </c>
      <c r="CS256" s="326" t="e">
        <f>CR256+CS255-CS254</f>
        <v>#DIV/0!</v>
      </c>
      <c r="CT256" s="298" t="n"/>
      <c r="CU256" s="259" t="e">
        <f>CS256+CU255-CU254</f>
        <v>#DIV/0!</v>
      </c>
      <c r="CV256" s="259" t="e">
        <f>CU256+CV255-CV254</f>
        <v>#DIV/0!</v>
      </c>
      <c r="CW256" s="326" t="e">
        <f>CV256+CW255-CW254</f>
        <v>#DIV/0!</v>
      </c>
      <c r="CX256" s="326" t="e">
        <f>CW256+CX255-CX254</f>
        <v>#DIV/0!</v>
      </c>
      <c r="CY256" s="298" t="n"/>
      <c r="CZ256" s="322" t="e">
        <f>CX256+CZ255-CZ254</f>
        <v>#DIV/0!</v>
      </c>
      <c r="DA256" s="322" t="e">
        <f>CZ256+DA255-DA254</f>
        <v>#DIV/0!</v>
      </c>
      <c r="DB256" s="322" t="e">
        <f>DA256+DB255-DB254</f>
        <v>#DIV/0!</v>
      </c>
      <c r="DC256" s="322" t="e">
        <f>DB256+DC255-DC254</f>
        <v>#DIV/0!</v>
      </c>
    </row>
    <row r="257" hidden="1" outlineLevel="1" ht="12.75" customFormat="1" customHeight="1" s="322">
      <c r="A257" s="293" t="n"/>
      <c r="B257" s="293" t="n"/>
      <c r="C257" s="323" t="inlineStr">
        <is>
          <t>Weighted average basic shares outstanding</t>
        </is>
      </c>
      <c r="D257" s="298" t="n"/>
      <c r="E257" s="298" t="n"/>
      <c r="F257" s="298" t="n"/>
      <c r="G257" s="298" t="n"/>
      <c r="H257" s="298" t="n"/>
      <c r="I257" s="298" t="n"/>
      <c r="J257" s="298" t="n"/>
      <c r="K257" s="298" t="n"/>
      <c r="L257" s="298" t="n"/>
      <c r="M257" s="298" t="n"/>
      <c r="N257" s="298" t="n"/>
      <c r="O257" s="298" t="n"/>
      <c r="P257" s="298" t="n"/>
      <c r="Q257" s="298" t="n"/>
      <c r="R257" s="298" t="n"/>
      <c r="S257" s="298" t="n"/>
      <c r="T257" s="298" t="n"/>
      <c r="U257" s="298" t="n"/>
      <c r="V257" s="298" t="n"/>
      <c r="W257" s="298" t="n"/>
      <c r="X257" s="298" t="n"/>
      <c r="Y257" s="298" t="n"/>
      <c r="Z257" s="298" t="n"/>
      <c r="AA257" s="298" t="n"/>
      <c r="AB257" s="298" t="n"/>
      <c r="AC257" s="298" t="n"/>
      <c r="AD257" s="298" t="n"/>
      <c r="AE257" s="298" t="n"/>
      <c r="AF257" s="298" t="n"/>
      <c r="AG257" s="298" t="n"/>
      <c r="AH257" s="326">
        <f>AVERAGE(AG256,AH256)</f>
        <v>0</v>
      </c>
      <c r="AI257" s="326">
        <f>AVERAGE(AH256,AI256)</f>
        <v>0</v>
      </c>
      <c r="AJ257" s="326" t="e">
        <f>AVERAGE(AI256,AJ256)</f>
        <v>#DIV/0!</v>
      </c>
      <c r="AK257" s="326" t="e">
        <f>AVERAGE(AJ256,AK256)</f>
        <v>#DIV/0!</v>
      </c>
      <c r="AL257" s="298" t="n"/>
      <c r="AM257" s="326" t="e">
        <f>AVERAGE(AK256,AM256)</f>
        <v>#DIV/0!</v>
      </c>
      <c r="AN257" s="326" t="e">
        <f>AVERAGE(AM256,AN256)</f>
        <v>#DIV/0!</v>
      </c>
      <c r="AO257" s="326" t="e">
        <f>AVERAGE(AN256,AO256)</f>
        <v>#DIV/0!</v>
      </c>
      <c r="AP257" s="326" t="e">
        <f>AVERAGE(AO256,AP256)</f>
        <v>#DIV/0!</v>
      </c>
      <c r="AQ257" s="298" t="n"/>
      <c r="AR257" s="326" t="e">
        <f>AVERAGE(AP256,AR256)</f>
        <v>#DIV/0!</v>
      </c>
      <c r="AS257" s="326" t="e">
        <f>AVERAGE(AR256,AS256)</f>
        <v>#DIV/0!</v>
      </c>
      <c r="AT257" s="326" t="e">
        <f>AVERAGE(AS256,AT256)</f>
        <v>#DIV/0!</v>
      </c>
      <c r="AU257" s="326" t="e">
        <f>AVERAGE(AT256,AU256)</f>
        <v>#DIV/0!</v>
      </c>
      <c r="AV257" s="298" t="n"/>
      <c r="AW257" s="326" t="e">
        <f>AVERAGE(AU256,AW256)</f>
        <v>#DIV/0!</v>
      </c>
      <c r="AX257" s="326" t="e">
        <f>AVERAGE(AW256,AX256)</f>
        <v>#DIV/0!</v>
      </c>
      <c r="AY257" s="326" t="e">
        <f>AVERAGE(AX256,AY256)</f>
        <v>#DIV/0!</v>
      </c>
      <c r="AZ257" s="326" t="e">
        <f>AVERAGE(AY256,AZ256)</f>
        <v>#DIV/0!</v>
      </c>
      <c r="BA257" s="298" t="n"/>
      <c r="BB257" s="326" t="e">
        <f>AVERAGE(AZ256,BB256)</f>
        <v>#DIV/0!</v>
      </c>
      <c r="BC257" s="326" t="e">
        <f>AVERAGE(BB256,BC256)</f>
        <v>#DIV/0!</v>
      </c>
      <c r="BD257" s="326" t="e">
        <f>AVERAGE(BC256,BD256)</f>
        <v>#DIV/0!</v>
      </c>
      <c r="BE257" s="326" t="e">
        <f>AVERAGE(BD256,BE256)</f>
        <v>#DIV/0!</v>
      </c>
      <c r="BF257" s="298" t="n"/>
      <c r="BG257" s="326" t="e">
        <f>AVERAGE(BE256,BG256)</f>
        <v>#DIV/0!</v>
      </c>
      <c r="BH257" s="326" t="e">
        <f>AVERAGE(BG256,BH256)</f>
        <v>#DIV/0!</v>
      </c>
      <c r="BI257" s="326" t="e">
        <f>AVERAGE(BH256,BI256)</f>
        <v>#DIV/0!</v>
      </c>
      <c r="BJ257" s="326" t="e">
        <f>AVERAGE(BI256,BJ256)</f>
        <v>#DIV/0!</v>
      </c>
      <c r="BK257" s="298" t="n"/>
      <c r="BL257" s="326" t="e">
        <f>AVERAGE(BJ256,BL256)</f>
        <v>#DIV/0!</v>
      </c>
      <c r="BM257" s="326" t="e">
        <f>AVERAGE(BL256,BM256)</f>
        <v>#DIV/0!</v>
      </c>
      <c r="BN257" s="326" t="e">
        <f>AVERAGE(BM256,BN256)</f>
        <v>#DIV/0!</v>
      </c>
      <c r="BO257" s="326" t="e">
        <f>AVERAGE(BN256,BO256)</f>
        <v>#DIV/0!</v>
      </c>
      <c r="BP257" s="298" t="n"/>
      <c r="BQ257" s="326" t="e">
        <f>AVERAGE(BO256,BQ256)</f>
        <v>#DIV/0!</v>
      </c>
      <c r="BR257" s="326" t="e">
        <f>AVERAGE(BQ256,BR256)</f>
        <v>#DIV/0!</v>
      </c>
      <c r="BS257" s="326" t="e">
        <f>AVERAGE(BR256,BS256)</f>
        <v>#DIV/0!</v>
      </c>
      <c r="BT257" s="326" t="e">
        <f>AVERAGE(BS256,BT256)</f>
        <v>#DIV/0!</v>
      </c>
      <c r="BU257" s="298" t="n"/>
      <c r="BV257" s="326" t="e">
        <f>AVERAGE(BT256,BV256)</f>
        <v>#DIV/0!</v>
      </c>
      <c r="BW257" s="326" t="e">
        <f>AVERAGE(BV256,BW256)</f>
        <v>#DIV/0!</v>
      </c>
      <c r="BX257" s="326" t="e">
        <f>AVERAGE(BW256,BX256)</f>
        <v>#DIV/0!</v>
      </c>
      <c r="BY257" s="326" t="e">
        <f>AVERAGE(BX256,BY256)</f>
        <v>#DIV/0!</v>
      </c>
      <c r="BZ257" s="298" t="n"/>
      <c r="CA257" s="326" t="e">
        <f>AVERAGE(BY256,CA256)</f>
        <v>#DIV/0!</v>
      </c>
      <c r="CB257" s="326" t="e">
        <f>AVERAGE(CA256,CB256)</f>
        <v>#DIV/0!</v>
      </c>
      <c r="CC257" s="326" t="e">
        <f>AVERAGE(CB256,CC256)</f>
        <v>#DIV/0!</v>
      </c>
      <c r="CD257" s="326" t="e">
        <f>AVERAGE(CC256,CD256)</f>
        <v>#DIV/0!</v>
      </c>
      <c r="CE257" s="298" t="n"/>
      <c r="CF257" s="326" t="e">
        <f>AVERAGE(CD256,CF256)</f>
        <v>#DIV/0!</v>
      </c>
      <c r="CG257" s="326" t="e">
        <f>AVERAGE(CF256,CG256)</f>
        <v>#DIV/0!</v>
      </c>
      <c r="CH257" s="326" t="e">
        <f>AVERAGE(CG256,CH256)</f>
        <v>#DIV/0!</v>
      </c>
      <c r="CI257" s="326" t="e">
        <f>AVERAGE(CH256,CI256)</f>
        <v>#DIV/0!</v>
      </c>
      <c r="CJ257" s="298" t="n"/>
      <c r="CK257" s="326" t="e">
        <f>AVERAGE(CI256,CK256)</f>
        <v>#DIV/0!</v>
      </c>
      <c r="CL257" s="326" t="e">
        <f>AVERAGE(CK256,CL256)</f>
        <v>#DIV/0!</v>
      </c>
      <c r="CM257" s="326" t="e">
        <f>AVERAGE(CL256,CM256)</f>
        <v>#DIV/0!</v>
      </c>
      <c r="CN257" s="326" t="e">
        <f>AVERAGE(CM256,CN256)</f>
        <v>#DIV/0!</v>
      </c>
      <c r="CO257" s="298" t="n"/>
      <c r="CP257" s="326" t="e">
        <f>AVERAGE(CN256,CP256)</f>
        <v>#DIV/0!</v>
      </c>
      <c r="CQ257" s="326" t="e">
        <f>AVERAGE(CP256,CQ256)</f>
        <v>#DIV/0!</v>
      </c>
      <c r="CR257" s="326" t="e">
        <f>AVERAGE(CQ256,CR256)</f>
        <v>#DIV/0!</v>
      </c>
      <c r="CS257" s="326" t="e">
        <f>AVERAGE(CR256,CS256)</f>
        <v>#DIV/0!</v>
      </c>
      <c r="CT257" s="298" t="n"/>
      <c r="CU257" s="326" t="e">
        <f>AVERAGE(CS256,CU256)</f>
        <v>#DIV/0!</v>
      </c>
      <c r="CV257" s="326" t="e">
        <f>AVERAGE(CU256,CV256)</f>
        <v>#DIV/0!</v>
      </c>
      <c r="CW257" s="326" t="e">
        <f>AVERAGE(CV256,CW256)</f>
        <v>#DIV/0!</v>
      </c>
      <c r="CX257" s="326" t="e">
        <f>AVERAGE(CW256,CX256)</f>
        <v>#DIV/0!</v>
      </c>
      <c r="CY257" s="298" t="n"/>
      <c r="CZ257" s="322" t="e">
        <f>AVERAGE(CX256,CZ256)</f>
        <v>#DIV/0!</v>
      </c>
      <c r="DA257" s="322" t="e">
        <f>AVERAGE(CZ256,DA256)</f>
        <v>#DIV/0!</v>
      </c>
      <c r="DB257" s="322" t="e">
        <f>AVERAGE(DA256,DB256)</f>
        <v>#DIV/0!</v>
      </c>
      <c r="DC257" s="322" t="e">
        <f>AVERAGE(DB256,DC256)</f>
        <v>#DIV/0!</v>
      </c>
    </row>
    <row r="258" hidden="1" outlineLevel="1" ht="12.75" customFormat="1" customHeight="1" s="322">
      <c r="A258" s="293" t="n"/>
      <c r="B258" s="293" t="n"/>
      <c r="C258" s="323" t="n"/>
      <c r="D258" s="298" t="n"/>
      <c r="E258" s="298" t="n"/>
      <c r="F258" s="298" t="n"/>
      <c r="G258" s="298" t="n"/>
      <c r="H258" s="268" t="n"/>
      <c r="I258" s="298" t="n"/>
      <c r="J258" s="298" t="n"/>
      <c r="K258" s="298" t="n"/>
      <c r="L258" s="298" t="n"/>
      <c r="M258" s="268" t="n"/>
      <c r="N258" s="298" t="n"/>
      <c r="O258" s="298" t="n"/>
      <c r="P258" s="298" t="n"/>
      <c r="Q258" s="298" t="n"/>
      <c r="R258" s="268" t="n"/>
      <c r="S258" s="298" t="n"/>
      <c r="T258" s="298" t="n"/>
      <c r="U258" s="298" t="n"/>
      <c r="V258" s="298" t="n"/>
      <c r="W258" s="268" t="n"/>
      <c r="X258" s="298" t="n"/>
      <c r="Y258" s="298" t="n"/>
      <c r="Z258" s="298" t="n"/>
      <c r="AA258" s="298" t="n"/>
      <c r="AB258" s="268" t="n"/>
      <c r="AC258" s="298" t="n"/>
      <c r="AD258" s="298" t="n"/>
      <c r="AE258" s="298" t="n"/>
      <c r="AF258" s="298" t="n"/>
      <c r="AG258" s="268" t="n"/>
      <c r="AH258" s="298" t="n"/>
      <c r="AI258" s="298" t="n"/>
      <c r="AJ258" s="298" t="n"/>
      <c r="AK258" s="298" t="n"/>
      <c r="AL258" s="268" t="n"/>
      <c r="AM258" s="298" t="n"/>
      <c r="AN258" s="298" t="n"/>
      <c r="AO258" s="298" t="n"/>
      <c r="AP258" s="298" t="n"/>
      <c r="AQ258" s="268" t="n"/>
      <c r="AR258" s="298" t="n"/>
      <c r="AS258" s="298" t="n"/>
      <c r="AT258" s="298" t="n"/>
      <c r="AU258" s="298" t="n"/>
      <c r="AV258" s="268" t="n"/>
      <c r="AW258" s="298" t="n"/>
      <c r="AX258" s="298" t="n"/>
      <c r="AY258" s="298" t="n"/>
      <c r="AZ258" s="298" t="n"/>
      <c r="BA258" s="268" t="n"/>
      <c r="BB258" s="298" t="n"/>
      <c r="BC258" s="298" t="n"/>
      <c r="BD258" s="298" t="n"/>
      <c r="BE258" s="298" t="n"/>
      <c r="BF258" s="268" t="n"/>
      <c r="BG258" s="298" t="n"/>
      <c r="BH258" s="298" t="n"/>
      <c r="BI258" s="298" t="n"/>
      <c r="BJ258" s="298" t="n"/>
      <c r="BK258" s="268" t="n"/>
      <c r="BL258" s="298" t="n"/>
      <c r="BM258" s="298" t="n"/>
      <c r="BN258" s="298" t="n"/>
      <c r="BO258" s="298" t="n"/>
      <c r="BP258" s="268" t="n"/>
      <c r="BQ258" s="298" t="n"/>
      <c r="BR258" s="298" t="n"/>
      <c r="BS258" s="298" t="n"/>
      <c r="BT258" s="298" t="n"/>
      <c r="BU258" s="268" t="n"/>
      <c r="BV258" s="298" t="n"/>
      <c r="BW258" s="298" t="n"/>
      <c r="BX258" s="298" t="n"/>
      <c r="BY258" s="298" t="n"/>
      <c r="BZ258" s="268" t="n"/>
      <c r="CA258" s="298" t="n"/>
      <c r="CB258" s="298" t="n"/>
      <c r="CC258" s="298" t="n"/>
      <c r="CD258" s="298" t="n"/>
      <c r="CE258" s="268" t="n"/>
      <c r="CF258" s="298" t="n"/>
      <c r="CG258" s="298" t="n"/>
      <c r="CH258" s="298" t="n"/>
      <c r="CI258" s="298" t="n"/>
      <c r="CJ258" s="268" t="n"/>
      <c r="CK258" s="298" t="n"/>
      <c r="CL258" s="298" t="n"/>
      <c r="CM258" s="298" t="n"/>
      <c r="CN258" s="298" t="n"/>
      <c r="CO258" s="268" t="n"/>
      <c r="CP258" s="298" t="n"/>
      <c r="CQ258" s="298" t="n"/>
      <c r="CR258" s="298" t="n"/>
      <c r="CS258" s="298" t="n"/>
      <c r="CT258" s="268" t="n"/>
      <c r="CU258" s="298" t="n"/>
      <c r="CV258" s="298" t="n"/>
      <c r="CW258" s="298" t="n"/>
      <c r="CX258" s="298" t="n"/>
      <c r="CY258" s="268" t="n"/>
    </row>
    <row r="259" ht="12.75" customHeight="1" s="255">
      <c r="C259" s="270" t="inlineStr">
        <is>
          <t>Treasury stock (contra account)</t>
        </is>
      </c>
      <c r="D259" s="301">
        <f>INDEX('Inputs (2)'!$D$44:$AL$44,MATCH(D$7,'Inputs (2)'!$D$2:$AL$2,0))</f>
        <v>-3739</v>
      </c>
      <c r="E259" s="301">
        <f>INDEX('Inputs (2)'!$D$44:$AL$44,MATCH(E$7,'Inputs (2)'!$D$2:$AL$2,0))</f>
        <v>-3739</v>
      </c>
      <c r="F259" s="301">
        <f>INDEX('Inputs (2)'!$D$44:$AL$44,MATCH(F$7,'Inputs (2)'!$D$2:$AL$2,0))</f>
        <v>-3739</v>
      </c>
      <c r="G259" s="301">
        <f>INDEX('Inputs (2)'!$D$44:$AL$44,MATCH(G$7,'Inputs (2)'!$D$2:$AL$2,0))</f>
        <v>-3758</v>
      </c>
      <c r="H259" s="268">
        <f>G259</f>
        <v>-3758</v>
      </c>
      <c r="I259" s="301">
        <f>INDEX('Inputs (2)'!$D$44:$AL$44,MATCH(I$7,'Inputs (2)'!$D$2:$AL$2,0))</f>
        <v>-3777</v>
      </c>
      <c r="J259" s="301">
        <f>INDEX('Inputs (2)'!$D$44:$AL$44,MATCH(J$7,'Inputs (2)'!$D$2:$AL$2,0))</f>
        <v>-3777</v>
      </c>
      <c r="K259" s="301">
        <f>INDEX('Inputs (2)'!$D$44:$AL$44,MATCH(K$7,'Inputs (2)'!$D$2:$AL$2,0))</f>
        <v>-3777</v>
      </c>
      <c r="L259" s="301">
        <f>INDEX('Inputs (2)'!$D$44:$AL$44,MATCH(L$7,'Inputs (2)'!$D$2:$AL$2,0))</f>
        <v>-4292</v>
      </c>
      <c r="M259" s="268">
        <f>L259</f>
        <v>-4292</v>
      </c>
      <c r="N259" s="301">
        <f>INDEX('Inputs (2)'!$D$44:$AL$44,MATCH(N$7,'Inputs (2)'!$D$2:$AL$2,0))</f>
        <v>-4895</v>
      </c>
      <c r="O259" s="301">
        <f>INDEX('Inputs (2)'!$D$44:$AL$44,MATCH(O$7,'Inputs (2)'!$D$2:$AL$2,0))</f>
        <v>-5539</v>
      </c>
      <c r="P259" s="301">
        <f>INDEX('Inputs (2)'!$D$44:$AL$44,MATCH(P$7,'Inputs (2)'!$D$2:$AL$2,0))</f>
        <v>-5701</v>
      </c>
      <c r="Q259" s="301">
        <f>INDEX('Inputs (2)'!$D$44:$AL$44,MATCH(Q$7,'Inputs (2)'!$D$2:$AL$2,0))</f>
        <v>-5701</v>
      </c>
      <c r="R259" s="268">
        <f>Q259</f>
        <v>-5701</v>
      </c>
      <c r="S259" s="301">
        <f>INDEX('Inputs (2)'!$D$44:$AL$44,MATCH(S$7,'Inputs (2)'!$D$2:$AL$2,0))</f>
        <v>-5769</v>
      </c>
      <c r="T259" s="301">
        <f>INDEX('Inputs (2)'!$D$44:$AL$44,MATCH(T$7,'Inputs (2)'!$D$2:$AL$2,0))</f>
        <v>-5769</v>
      </c>
      <c r="U259" s="301">
        <f>INDEX('Inputs (2)'!$D$44:$AL$44,MATCH(U$7,'Inputs (2)'!$D$2:$AL$2,0))</f>
        <v>-5772</v>
      </c>
      <c r="V259" s="301">
        <f>INDEX('Inputs (2)'!$D$44:$AL$44,MATCH(V$7,'Inputs (2)'!$D$2:$AL$2,0))</f>
        <v>-5773</v>
      </c>
      <c r="W259" s="268">
        <f>V259</f>
        <v>-5773</v>
      </c>
      <c r="X259" s="301">
        <f>INDEX('Inputs (2)'!$D$44:$AL$44,MATCH(X$7,'Inputs (2)'!$D$2:$AL$2,0))</f>
        <v>-5817</v>
      </c>
      <c r="Y259" s="301">
        <f>INDEX('Inputs (2)'!$D$44:$AL$44,MATCH(Y$7,'Inputs (2)'!$D$2:$AL$2,0))</f>
        <v>-5835</v>
      </c>
      <c r="Z259" s="301">
        <f>INDEX('Inputs (2)'!$D$44:$AL$44,MATCH(Z$7,'Inputs (2)'!$D$2:$AL$2,0))</f>
        <v>-5894</v>
      </c>
      <c r="AA259" s="301">
        <f>INDEX('Inputs (2)'!$D$44:$AL$44,MATCH(AA$7,'Inputs (2)'!$D$2:$AL$2,0))</f>
        <v>-5894</v>
      </c>
      <c r="AB259" s="268">
        <f>AA259</f>
        <v>-5894</v>
      </c>
      <c r="AC259" s="301">
        <f>INDEX('Inputs (2)'!$D$44:$AL$44,MATCH(AC$7,'Inputs (2)'!$D$2:$AL$2,0))</f>
        <v>-5971</v>
      </c>
      <c r="AD259" s="301">
        <f>INDEX('Inputs (2)'!$D$44:$AL$44,MATCH(AD$7,'Inputs (2)'!$D$2:$AL$2,0))</f>
        <v>-6024</v>
      </c>
      <c r="AE259" s="301">
        <f>INDEX('Inputs (2)'!$D$44:$AL$44,MATCH(AE$7,'Inputs (2)'!$D$2:$AL$2,0))</f>
        <v>-6024</v>
      </c>
      <c r="AF259" s="301">
        <f>INDEX('Inputs (2)'!$D$44:$AL$44,MATCH(AF$7,'Inputs (2)'!$D$2:$AL$2,0))</f>
        <v>-6024</v>
      </c>
      <c r="AG259" s="268">
        <f>AF259</f>
        <v>-6024</v>
      </c>
      <c r="AH259" s="268">
        <f>INDEX('Inputs (2)'!$D$44:$AL$44,MATCH(AH$7,'Inputs (2)'!$D$2:$AL$2,0))</f>
        <v>-6117</v>
      </c>
      <c r="AI259" s="268">
        <f>INDEX('Inputs (2)'!$D$44:$AL$44,MATCH(AI$7,'Inputs (2)'!$D$2:$AL$2,0))</f>
        <v>-6227</v>
      </c>
      <c r="AJ259" s="268">
        <f>AI259+AJ249</f>
        <v>-6227</v>
      </c>
      <c r="AK259" s="268">
        <f>AJ259+AK249</f>
        <v>-6227</v>
      </c>
      <c r="AL259" s="268">
        <f>AK259</f>
        <v>-6227</v>
      </c>
      <c r="AM259" s="268">
        <f>AL259+AM249</f>
        <v>-6227</v>
      </c>
      <c r="AN259" s="268">
        <f>AM259+AN249</f>
        <v>-6227</v>
      </c>
      <c r="AO259" s="268">
        <f>AN259+AO249</f>
        <v>-6227</v>
      </c>
      <c r="AP259" s="268">
        <f>AO259+AP249</f>
        <v>-6227</v>
      </c>
      <c r="AQ259" s="268">
        <f>AP259</f>
        <v>-6227</v>
      </c>
      <c r="AR259" s="268">
        <f>AQ259+AR249</f>
        <v>-6227</v>
      </c>
      <c r="AS259" s="268">
        <f>AR259+AS249</f>
        <v>-6227</v>
      </c>
      <c r="AT259" s="268">
        <f>AS259+AT249</f>
        <v>-6227</v>
      </c>
      <c r="AU259" s="268">
        <f>AT259+AU249</f>
        <v>-6227</v>
      </c>
      <c r="AV259" s="268">
        <f>AU259</f>
        <v>-6227</v>
      </c>
      <c r="AW259" s="268">
        <f>AV259+AW249</f>
        <v>-6227</v>
      </c>
      <c r="AX259" s="268">
        <f>AW259+AX249</f>
        <v>-6227</v>
      </c>
      <c r="AY259" s="268">
        <f>AX259+AY249</f>
        <v>-6227</v>
      </c>
      <c r="AZ259" s="268">
        <f>AY259+AZ249</f>
        <v>-6227</v>
      </c>
      <c r="BA259" s="268">
        <f>AZ259</f>
        <v>-6227</v>
      </c>
      <c r="BB259" s="268">
        <f>BA259+BB249</f>
        <v>-6227</v>
      </c>
      <c r="BC259" s="268">
        <f>BB259+BC249</f>
        <v>-6227</v>
      </c>
      <c r="BD259" s="268">
        <f>BC259+BD249</f>
        <v>-6227</v>
      </c>
      <c r="BE259" s="268">
        <f>BD259+BE249</f>
        <v>-6227</v>
      </c>
      <c r="BF259" s="268">
        <f>BE259</f>
        <v>-6227</v>
      </c>
      <c r="BG259" s="268">
        <f>BF259+BG249</f>
        <v>-6227</v>
      </c>
      <c r="BH259" s="268">
        <f>BG259+BH249</f>
        <v>-6227</v>
      </c>
      <c r="BI259" s="268">
        <f>BH259+BI249</f>
        <v>-6227</v>
      </c>
      <c r="BJ259" s="268">
        <f>BI259+BJ249</f>
        <v>-6227</v>
      </c>
      <c r="BK259" s="268">
        <f>BJ259</f>
        <v>-6227</v>
      </c>
      <c r="BL259" s="268">
        <f>BK259+BL249</f>
        <v>-6227</v>
      </c>
      <c r="BM259" s="268">
        <f>BL259+BM249</f>
        <v>-6227</v>
      </c>
      <c r="BN259" s="268">
        <f>BM259+BN249</f>
        <v>-6227</v>
      </c>
      <c r="BO259" s="268">
        <f>BN259+BO249</f>
        <v>-6227</v>
      </c>
      <c r="BP259" s="268">
        <f>BO259</f>
        <v>-6227</v>
      </c>
      <c r="BQ259" s="268">
        <f>BP259+BQ249</f>
        <v>-6227</v>
      </c>
      <c r="BR259" s="268">
        <f>BQ259+BR249</f>
        <v>-6227</v>
      </c>
      <c r="BS259" s="268">
        <f>BR259+BS249</f>
        <v>-6227</v>
      </c>
      <c r="BT259" s="268">
        <f>BS259+BT249</f>
        <v>-6227</v>
      </c>
      <c r="BU259" s="268">
        <f>BT259</f>
        <v>-6227</v>
      </c>
      <c r="BV259" s="268">
        <f>BU259+BV249</f>
        <v>-6227</v>
      </c>
      <c r="BW259" s="268">
        <f>BV259+BW249</f>
        <v>-6227</v>
      </c>
      <c r="BX259" s="268">
        <f>BW259+BX249</f>
        <v>-6227</v>
      </c>
      <c r="BY259" s="268">
        <f>BX259+BY249</f>
        <v>-6227</v>
      </c>
      <c r="BZ259" s="268">
        <f>BY259</f>
        <v>-6227</v>
      </c>
      <c r="CA259" s="268">
        <f>BZ259+CA249</f>
        <v>-6227</v>
      </c>
      <c r="CB259" s="268">
        <f>CA259+CB249</f>
        <v>-6227</v>
      </c>
      <c r="CC259" s="268">
        <f>CB259+CC249</f>
        <v>-6227</v>
      </c>
      <c r="CD259" s="268">
        <f>CC259+CD249</f>
        <v>-6227</v>
      </c>
      <c r="CE259" s="268">
        <f>CD259</f>
        <v>-6227</v>
      </c>
      <c r="CF259" s="268">
        <f>CE259+CF249</f>
        <v>-6227</v>
      </c>
      <c r="CG259" s="268">
        <f>CF259+CG249</f>
        <v>-6227</v>
      </c>
      <c r="CH259" s="268">
        <f>CG259+CH249</f>
        <v>-6227</v>
      </c>
      <c r="CI259" s="268">
        <f>CH259+CI249</f>
        <v>-6227</v>
      </c>
      <c r="CJ259" s="268">
        <f>CI259</f>
        <v>-6227</v>
      </c>
      <c r="CK259" s="268">
        <f>CJ259+CK249</f>
        <v>-6227</v>
      </c>
      <c r="CL259" s="268">
        <f>CK259+CL249</f>
        <v>-6227</v>
      </c>
      <c r="CM259" s="268">
        <f>CL259+CM249</f>
        <v>-6227</v>
      </c>
      <c r="CN259" s="268">
        <f>CM259+CN249</f>
        <v>-6227</v>
      </c>
      <c r="CO259" s="268">
        <f>CN259</f>
        <v>-6227</v>
      </c>
      <c r="CP259" s="268">
        <f>CO259+CP249</f>
        <v>-6227</v>
      </c>
      <c r="CQ259" s="268">
        <f>CP259+CQ249</f>
        <v>-6227</v>
      </c>
      <c r="CR259" s="268">
        <f>CQ259+CR249</f>
        <v>-6227</v>
      </c>
      <c r="CS259" s="268">
        <f>CR259+CS249</f>
        <v>-6227</v>
      </c>
      <c r="CT259" s="268">
        <f>CS259</f>
        <v>-6227</v>
      </c>
      <c r="CU259" s="268">
        <f>CT259+CU249</f>
        <v>-6227</v>
      </c>
      <c r="CV259" s="268">
        <f>CU259+CV249</f>
        <v>-6227</v>
      </c>
      <c r="CW259" s="268">
        <f>CV259+CW249</f>
        <v>-6227</v>
      </c>
      <c r="CX259" s="268">
        <f>CW259+CX249</f>
        <v>-6227</v>
      </c>
      <c r="CY259" s="268">
        <f>CX259</f>
        <v>-6227</v>
      </c>
    </row>
    <row r="260" ht="12.75" customHeight="1" s="255">
      <c r="C260" s="270" t="inlineStr">
        <is>
          <t>Comprehensive (accumulated) loss</t>
        </is>
      </c>
      <c r="D260" s="301">
        <f>INDEX('Inputs (2)'!$D$45:$AL$45,MATCH(D$7,'Inputs (2)'!$D$2:$AL$2,0))</f>
        <v>-668</v>
      </c>
      <c r="E260" s="301">
        <f>INDEX('Inputs (2)'!$D$45:$AL$45,MATCH(E$7,'Inputs (2)'!$D$2:$AL$2,0))</f>
        <v>-652</v>
      </c>
      <c r="F260" s="301">
        <f>INDEX('Inputs (2)'!$D$45:$AL$45,MATCH(F$7,'Inputs (2)'!$D$2:$AL$2,0))</f>
        <v>-728</v>
      </c>
      <c r="G260" s="301">
        <f>INDEX('Inputs (2)'!$D$45:$AL$45,MATCH(G$7,'Inputs (2)'!$D$2:$AL$2,0))</f>
        <v>-583</v>
      </c>
      <c r="H260" s="268">
        <f>G260</f>
        <v>-583</v>
      </c>
      <c r="I260" s="301">
        <f>INDEX('Inputs (2)'!$D$45:$AL$45,MATCH(I$7,'Inputs (2)'!$D$2:$AL$2,0))</f>
        <v>-580</v>
      </c>
      <c r="J260" s="301">
        <f>INDEX('Inputs (2)'!$D$45:$AL$45,MATCH(J$7,'Inputs (2)'!$D$2:$AL$2,0))</f>
        <v>-576</v>
      </c>
      <c r="K260" s="301">
        <f>INDEX('Inputs (2)'!$D$45:$AL$45,MATCH(K$7,'Inputs (2)'!$D$2:$AL$2,0))</f>
        <v>-572</v>
      </c>
      <c r="L260" s="301">
        <f>INDEX('Inputs (2)'!$D$45:$AL$45,MATCH(L$7,'Inputs (2)'!$D$2:$AL$2,0))</f>
        <v>-388</v>
      </c>
      <c r="M260" s="268">
        <f>L260</f>
        <v>-388</v>
      </c>
      <c r="N260" s="301">
        <f>INDEX('Inputs (2)'!$D$45:$AL$45,MATCH(N$7,'Inputs (2)'!$D$2:$AL$2,0))</f>
        <v>-387</v>
      </c>
      <c r="O260" s="301">
        <f>INDEX('Inputs (2)'!$D$45:$AL$45,MATCH(O$7,'Inputs (2)'!$D$2:$AL$2,0))</f>
        <v>-386</v>
      </c>
      <c r="P260" s="301">
        <f>INDEX('Inputs (2)'!$D$45:$AL$45,MATCH(P$7,'Inputs (2)'!$D$2:$AL$2,0))</f>
        <v>-385</v>
      </c>
      <c r="Q260" s="301">
        <f>INDEX('Inputs (2)'!$D$45:$AL$45,MATCH(Q$7,'Inputs (2)'!$D$2:$AL$2,0))</f>
        <v>-320</v>
      </c>
      <c r="R260" s="268">
        <f>Q260</f>
        <v>-320</v>
      </c>
      <c r="S260" s="301">
        <f>INDEX('Inputs (2)'!$D$45:$AL$45,MATCH(S$7,'Inputs (2)'!$D$2:$AL$2,0))</f>
        <v>-319</v>
      </c>
      <c r="T260" s="301">
        <f>INDEX('Inputs (2)'!$D$45:$AL$45,MATCH(T$7,'Inputs (2)'!$D$2:$AL$2,0))</f>
        <v>-318</v>
      </c>
      <c r="U260" s="301">
        <f>INDEX('Inputs (2)'!$D$45:$AL$45,MATCH(U$7,'Inputs (2)'!$D$2:$AL$2,0))</f>
        <v>-317</v>
      </c>
      <c r="V260" s="301">
        <f>INDEX('Inputs (2)'!$D$45:$AL$45,MATCH(V$7,'Inputs (2)'!$D$2:$AL$2,0))</f>
        <v>-274</v>
      </c>
      <c r="W260" s="268">
        <f>V260</f>
        <v>-274</v>
      </c>
      <c r="X260" s="301">
        <f>INDEX('Inputs (2)'!$D$45:$AL$45,MATCH(X$7,'Inputs (2)'!$D$2:$AL$2,0))</f>
        <v>-274</v>
      </c>
      <c r="Y260" s="301">
        <f>INDEX('Inputs (2)'!$D$45:$AL$45,MATCH(Y$7,'Inputs (2)'!$D$2:$AL$2,0))</f>
        <v>-274</v>
      </c>
      <c r="Z260" s="301">
        <f>INDEX('Inputs (2)'!$D$45:$AL$45,MATCH(Z$7,'Inputs (2)'!$D$2:$AL$2,0))</f>
        <v>-273</v>
      </c>
      <c r="AA260" s="301">
        <f>INDEX('Inputs (2)'!$D$45:$AL$45,MATCH(AA$7,'Inputs (2)'!$D$2:$AL$2,0))</f>
        <v>-314</v>
      </c>
      <c r="AB260" s="268">
        <f>AA260</f>
        <v>-314</v>
      </c>
      <c r="AC260" s="301">
        <f>INDEX('Inputs (2)'!$D$45:$AL$45,MATCH(AC$7,'Inputs (2)'!$D$2:$AL$2,0))</f>
        <v>-313</v>
      </c>
      <c r="AD260" s="301">
        <f>INDEX('Inputs (2)'!$D$45:$AL$45,MATCH(AD$7,'Inputs (2)'!$D$2:$AL$2,0))</f>
        <v>-311</v>
      </c>
      <c r="AE260" s="301">
        <f>INDEX('Inputs (2)'!$D$45:$AL$45,MATCH(AE$7,'Inputs (2)'!$D$2:$AL$2,0))</f>
        <v>-310</v>
      </c>
      <c r="AF260" s="301">
        <f>INDEX('Inputs (2)'!$D$45:$AL$45,MATCH(AF$7,'Inputs (2)'!$D$2:$AL$2,0))</f>
        <v>-305</v>
      </c>
      <c r="AG260" s="268">
        <f>AF260</f>
        <v>-305</v>
      </c>
      <c r="AH260" s="268">
        <f>INDEX('Inputs (2)'!$D$45:$AL$45,MATCH(AH$7,'Inputs (2)'!$D$2:$AL$2,0))</f>
        <v>-304</v>
      </c>
      <c r="AI260" s="268">
        <f>INDEX('Inputs (2)'!$D$45:$AL$45,MATCH(AI$7,'Inputs (2)'!$D$2:$AL$2,0))</f>
        <v>-303</v>
      </c>
      <c r="AJ260" s="268">
        <f>AI260</f>
        <v>-303</v>
      </c>
      <c r="AK260" s="268">
        <f>AJ260</f>
        <v>-303</v>
      </c>
      <c r="AL260" s="268">
        <f>AK260</f>
        <v>-303</v>
      </c>
      <c r="AM260" s="268">
        <f>AL260</f>
        <v>-303</v>
      </c>
      <c r="AN260" s="268">
        <f>AM260</f>
        <v>-303</v>
      </c>
      <c r="AO260" s="268">
        <f>AN260</f>
        <v>-303</v>
      </c>
      <c r="AP260" s="268">
        <f>AO260</f>
        <v>-303</v>
      </c>
      <c r="AQ260" s="268">
        <f>AP260</f>
        <v>-303</v>
      </c>
      <c r="AR260" s="268">
        <f>AQ260</f>
        <v>-303</v>
      </c>
      <c r="AS260" s="268">
        <f>AR260</f>
        <v>-303</v>
      </c>
      <c r="AT260" s="268">
        <f>AS260</f>
        <v>-303</v>
      </c>
      <c r="AU260" s="268">
        <f>AT260</f>
        <v>-303</v>
      </c>
      <c r="AV260" s="268">
        <f>AU260</f>
        <v>-303</v>
      </c>
      <c r="AW260" s="268">
        <f>AV260</f>
        <v>-303</v>
      </c>
      <c r="AX260" s="268">
        <f>AW260</f>
        <v>-303</v>
      </c>
      <c r="AY260" s="268">
        <f>AX260</f>
        <v>-303</v>
      </c>
      <c r="AZ260" s="268">
        <f>AY260</f>
        <v>-303</v>
      </c>
      <c r="BA260" s="268">
        <f>AZ260</f>
        <v>-303</v>
      </c>
      <c r="BB260" s="268">
        <f>BA260</f>
        <v>-303</v>
      </c>
      <c r="BC260" s="268">
        <f>BB260</f>
        <v>-303</v>
      </c>
      <c r="BD260" s="268">
        <f>BC260</f>
        <v>-303</v>
      </c>
      <c r="BE260" s="268">
        <f>BD260</f>
        <v>-303</v>
      </c>
      <c r="BF260" s="268">
        <f>BE260</f>
        <v>-303</v>
      </c>
      <c r="BG260" s="268">
        <f>BF260</f>
        <v>-303</v>
      </c>
      <c r="BH260" s="268">
        <f>BG260</f>
        <v>-303</v>
      </c>
      <c r="BI260" s="268">
        <f>BH260</f>
        <v>-303</v>
      </c>
      <c r="BJ260" s="268">
        <f>BI260</f>
        <v>-303</v>
      </c>
      <c r="BK260" s="268">
        <f>BJ260</f>
        <v>-303</v>
      </c>
      <c r="BL260" s="268">
        <f>BK260</f>
        <v>-303</v>
      </c>
      <c r="BM260" s="268">
        <f>BL260</f>
        <v>-303</v>
      </c>
      <c r="BN260" s="268">
        <f>BM260</f>
        <v>-303</v>
      </c>
      <c r="BO260" s="268">
        <f>BN260</f>
        <v>-303</v>
      </c>
      <c r="BP260" s="268">
        <f>BO260</f>
        <v>-303</v>
      </c>
      <c r="BQ260" s="268">
        <f>BP260</f>
        <v>-303</v>
      </c>
      <c r="BR260" s="268">
        <f>BQ260</f>
        <v>-303</v>
      </c>
      <c r="BS260" s="268">
        <f>BR260</f>
        <v>-303</v>
      </c>
      <c r="BT260" s="268">
        <f>BS260</f>
        <v>-303</v>
      </c>
      <c r="BU260" s="268">
        <f>BT260</f>
        <v>-303</v>
      </c>
      <c r="BV260" s="268">
        <f>BU260</f>
        <v>-303</v>
      </c>
      <c r="BW260" s="268">
        <f>BV260</f>
        <v>-303</v>
      </c>
      <c r="BX260" s="268">
        <f>BW260</f>
        <v>-303</v>
      </c>
      <c r="BY260" s="268">
        <f>BX260</f>
        <v>-303</v>
      </c>
      <c r="BZ260" s="268">
        <f>BY260</f>
        <v>-303</v>
      </c>
      <c r="CA260" s="268">
        <f>BZ260</f>
        <v>-303</v>
      </c>
      <c r="CB260" s="268">
        <f>CA260</f>
        <v>-303</v>
      </c>
      <c r="CC260" s="268">
        <f>CB260</f>
        <v>-303</v>
      </c>
      <c r="CD260" s="268">
        <f>CC260</f>
        <v>-303</v>
      </c>
      <c r="CE260" s="268">
        <f>CD260</f>
        <v>-303</v>
      </c>
      <c r="CF260" s="268">
        <f>CE260</f>
        <v>-303</v>
      </c>
      <c r="CG260" s="268">
        <f>CF260</f>
        <v>-303</v>
      </c>
      <c r="CH260" s="268">
        <f>CG260</f>
        <v>-303</v>
      </c>
      <c r="CI260" s="268">
        <f>CH260</f>
        <v>-303</v>
      </c>
      <c r="CJ260" s="268">
        <f>CI260</f>
        <v>-303</v>
      </c>
      <c r="CK260" s="268">
        <f>CJ260</f>
        <v>-303</v>
      </c>
      <c r="CL260" s="268">
        <f>CK260</f>
        <v>-303</v>
      </c>
      <c r="CM260" s="268">
        <f>CL260</f>
        <v>-303</v>
      </c>
      <c r="CN260" s="268">
        <f>CM260</f>
        <v>-303</v>
      </c>
      <c r="CO260" s="268">
        <f>CN260</f>
        <v>-303</v>
      </c>
      <c r="CP260" s="268">
        <f>CO260</f>
        <v>-303</v>
      </c>
      <c r="CQ260" s="268">
        <f>CP260</f>
        <v>-303</v>
      </c>
      <c r="CR260" s="268">
        <f>CQ260</f>
        <v>-303</v>
      </c>
      <c r="CS260" s="268">
        <f>CR260</f>
        <v>-303</v>
      </c>
      <c r="CT260" s="268">
        <f>CS260</f>
        <v>-303</v>
      </c>
      <c r="CU260" s="268">
        <f>CT260</f>
        <v>-303</v>
      </c>
      <c r="CV260" s="268">
        <f>CU260</f>
        <v>-303</v>
      </c>
      <c r="CW260" s="268">
        <f>CV260</f>
        <v>-303</v>
      </c>
      <c r="CX260" s="268">
        <f>CW260</f>
        <v>-303</v>
      </c>
      <c r="CY260" s="268">
        <f>CX260</f>
        <v>-303</v>
      </c>
    </row>
    <row r="261" ht="12.75" customHeight="1" s="255">
      <c r="C261" s="270" t="inlineStr">
        <is>
          <t>Other equity account</t>
        </is>
      </c>
      <c r="D261" s="301">
        <f>INDEX('Inputs (2)'!$D$46:$AL$46,MATCH(D$7,'Inputs (2)'!$D$2:$AL$2,0))</f>
        <v>0</v>
      </c>
      <c r="E261" s="301">
        <f>INDEX('Inputs (2)'!$D$46:$AL$46,MATCH(E$7,'Inputs (2)'!$D$2:$AL$2,0))</f>
        <v>0</v>
      </c>
      <c r="F261" s="301">
        <f>INDEX('Inputs (2)'!$D$46:$AL$46,MATCH(F$7,'Inputs (2)'!$D$2:$AL$2,0))</f>
        <v>0</v>
      </c>
      <c r="G261" s="301">
        <f>INDEX('Inputs (2)'!$D$46:$AL$46,MATCH(G$7,'Inputs (2)'!$D$2:$AL$2,0))</f>
        <v>0</v>
      </c>
      <c r="H261" s="268">
        <f>G261</f>
        <v>0</v>
      </c>
      <c r="I261" s="301">
        <f>INDEX('Inputs (2)'!$D$46:$AL$46,MATCH(I$7,'Inputs (2)'!$D$2:$AL$2,0))</f>
        <v>0</v>
      </c>
      <c r="J261" s="301">
        <f>INDEX('Inputs (2)'!$D$46:$AL$46,MATCH(J$7,'Inputs (2)'!$D$2:$AL$2,0))</f>
        <v>0</v>
      </c>
      <c r="K261" s="301">
        <f>INDEX('Inputs (2)'!$D$46:$AL$46,MATCH(K$7,'Inputs (2)'!$D$2:$AL$2,0))</f>
        <v>0</v>
      </c>
      <c r="L261" s="301">
        <f>INDEX('Inputs (2)'!$D$46:$AL$46,MATCH(L$7,'Inputs (2)'!$D$2:$AL$2,0))</f>
        <v>0</v>
      </c>
      <c r="M261" s="268">
        <f>L261</f>
        <v>0</v>
      </c>
      <c r="N261" s="301">
        <f>INDEX('Inputs (2)'!$D$46:$AL$46,MATCH(N$7,'Inputs (2)'!$D$2:$AL$2,0))</f>
        <v>0</v>
      </c>
      <c r="O261" s="301">
        <f>INDEX('Inputs (2)'!$D$46:$AL$46,MATCH(O$7,'Inputs (2)'!$D$2:$AL$2,0))</f>
        <v>0</v>
      </c>
      <c r="P261" s="301">
        <f>INDEX('Inputs (2)'!$D$46:$AL$46,MATCH(P$7,'Inputs (2)'!$D$2:$AL$2,0))</f>
        <v>0</v>
      </c>
      <c r="Q261" s="301">
        <f>INDEX('Inputs (2)'!$D$46:$AL$46,MATCH(Q$7,'Inputs (2)'!$D$2:$AL$2,0))</f>
        <v>0</v>
      </c>
      <c r="R261" s="268">
        <f>Q261</f>
        <v>0</v>
      </c>
      <c r="S261" s="301">
        <f>INDEX('Inputs (2)'!$D$46:$AL$46,MATCH(S$7,'Inputs (2)'!$D$2:$AL$2,0))</f>
        <v>0</v>
      </c>
      <c r="T261" s="301">
        <f>INDEX('Inputs (2)'!$D$46:$AL$46,MATCH(T$7,'Inputs (2)'!$D$2:$AL$2,0))</f>
        <v>0</v>
      </c>
      <c r="U261" s="301">
        <f>INDEX('Inputs (2)'!$D$46:$AL$46,MATCH(U$7,'Inputs (2)'!$D$2:$AL$2,0))</f>
        <v>0</v>
      </c>
      <c r="V261" s="301">
        <f>INDEX('Inputs (2)'!$D$46:$AL$46,MATCH(V$7,'Inputs (2)'!$D$2:$AL$2,0))</f>
        <v>0</v>
      </c>
      <c r="W261" s="268">
        <f>V261</f>
        <v>0</v>
      </c>
      <c r="X261" s="301">
        <f>INDEX('Inputs (2)'!$D$46:$AL$46,MATCH(X$7,'Inputs (2)'!$D$2:$AL$2,0))</f>
        <v>0</v>
      </c>
      <c r="Y261" s="301">
        <f>INDEX('Inputs (2)'!$D$46:$AL$46,MATCH(Y$7,'Inputs (2)'!$D$2:$AL$2,0))</f>
        <v>0</v>
      </c>
      <c r="Z261" s="301">
        <f>INDEX('Inputs (2)'!$D$46:$AL$46,MATCH(Z$7,'Inputs (2)'!$D$2:$AL$2,0))</f>
        <v>0</v>
      </c>
      <c r="AA261" s="301">
        <f>INDEX('Inputs (2)'!$D$46:$AL$46,MATCH(AA$7,'Inputs (2)'!$D$2:$AL$2,0))</f>
        <v>0</v>
      </c>
      <c r="AB261" s="268">
        <f>AA261</f>
        <v>0</v>
      </c>
      <c r="AC261" s="301">
        <f>INDEX('Inputs (2)'!$D$46:$AL$46,MATCH(AC$7,'Inputs (2)'!$D$2:$AL$2,0))</f>
        <v>0</v>
      </c>
      <c r="AD261" s="301">
        <f>INDEX('Inputs (2)'!$D$46:$AL$46,MATCH(AD$7,'Inputs (2)'!$D$2:$AL$2,0))</f>
        <v>0</v>
      </c>
      <c r="AE261" s="301">
        <f>INDEX('Inputs (2)'!$D$46:$AL$46,MATCH(AE$7,'Inputs (2)'!$D$2:$AL$2,0))</f>
        <v>0</v>
      </c>
      <c r="AF261" s="301">
        <f>INDEX('Inputs (2)'!$D$46:$AL$46,MATCH(AF$7,'Inputs (2)'!$D$2:$AL$2,0))</f>
        <v>0</v>
      </c>
      <c r="AG261" s="268">
        <f>AF261</f>
        <v>0</v>
      </c>
      <c r="AH261" s="268">
        <f>INDEX('Inputs (2)'!$D$46:$AL$46,MATCH(AH$7,'Inputs (2)'!$D$2:$AL$2,0))</f>
        <v>0</v>
      </c>
      <c r="AI261" s="268">
        <f>INDEX('Inputs (2)'!$D$46:$AL$46,MATCH(AI$7,'Inputs (2)'!$D$2:$AL$2,0))</f>
        <v>0</v>
      </c>
      <c r="AJ261" s="268">
        <f>AI261</f>
        <v>0</v>
      </c>
      <c r="AK261" s="268">
        <f>AJ261</f>
        <v>0</v>
      </c>
      <c r="AL261" s="268">
        <f>AK261</f>
        <v>0</v>
      </c>
      <c r="AM261" s="268">
        <f>AL261</f>
        <v>0</v>
      </c>
      <c r="AN261" s="268">
        <f>AM261</f>
        <v>0</v>
      </c>
      <c r="AO261" s="268">
        <f>AN261</f>
        <v>0</v>
      </c>
      <c r="AP261" s="268">
        <f>AO261</f>
        <v>0</v>
      </c>
      <c r="AQ261" s="268">
        <f>AP261</f>
        <v>0</v>
      </c>
      <c r="AR261" s="268">
        <f>AQ261</f>
        <v>0</v>
      </c>
      <c r="AS261" s="268">
        <f>AR261</f>
        <v>0</v>
      </c>
      <c r="AT261" s="268">
        <f>AS261</f>
        <v>0</v>
      </c>
      <c r="AU261" s="268">
        <f>AT261</f>
        <v>0</v>
      </c>
      <c r="AV261" s="268">
        <f>AU261</f>
        <v>0</v>
      </c>
      <c r="AW261" s="268">
        <f>AV261</f>
        <v>0</v>
      </c>
      <c r="AX261" s="268">
        <f>AW261</f>
        <v>0</v>
      </c>
      <c r="AY261" s="268">
        <f>AX261</f>
        <v>0</v>
      </c>
      <c r="AZ261" s="268">
        <f>AY261</f>
        <v>0</v>
      </c>
      <c r="BA261" s="268">
        <f>AZ261</f>
        <v>0</v>
      </c>
      <c r="BB261" s="268">
        <f>BA261</f>
        <v>0</v>
      </c>
      <c r="BC261" s="268">
        <f>BB261</f>
        <v>0</v>
      </c>
      <c r="BD261" s="268">
        <f>BC261</f>
        <v>0</v>
      </c>
      <c r="BE261" s="268">
        <f>BD261</f>
        <v>0</v>
      </c>
      <c r="BF261" s="268">
        <f>BE261</f>
        <v>0</v>
      </c>
      <c r="BG261" s="268">
        <f>BF261</f>
        <v>0</v>
      </c>
      <c r="BH261" s="268">
        <f>BG261</f>
        <v>0</v>
      </c>
      <c r="BI261" s="268">
        <f>BH261</f>
        <v>0</v>
      </c>
      <c r="BJ261" s="268">
        <f>BI261</f>
        <v>0</v>
      </c>
      <c r="BK261" s="268">
        <f>BJ261</f>
        <v>0</v>
      </c>
      <c r="BL261" s="268">
        <f>BK261</f>
        <v>0</v>
      </c>
      <c r="BM261" s="268">
        <f>BL261</f>
        <v>0</v>
      </c>
      <c r="BN261" s="268">
        <f>BM261</f>
        <v>0</v>
      </c>
      <c r="BO261" s="268">
        <f>BN261</f>
        <v>0</v>
      </c>
      <c r="BP261" s="268">
        <f>BO261</f>
        <v>0</v>
      </c>
      <c r="BQ261" s="268">
        <f>BP261</f>
        <v>0</v>
      </c>
      <c r="BR261" s="268">
        <f>BQ261</f>
        <v>0</v>
      </c>
      <c r="BS261" s="268">
        <f>BR261</f>
        <v>0</v>
      </c>
      <c r="BT261" s="268">
        <f>BS261</f>
        <v>0</v>
      </c>
      <c r="BU261" s="268">
        <f>BT261</f>
        <v>0</v>
      </c>
      <c r="BV261" s="268">
        <f>BU261</f>
        <v>0</v>
      </c>
      <c r="BW261" s="268">
        <f>BV261</f>
        <v>0</v>
      </c>
      <c r="BX261" s="268">
        <f>BW261</f>
        <v>0</v>
      </c>
      <c r="BY261" s="268">
        <f>BX261</f>
        <v>0</v>
      </c>
      <c r="BZ261" s="268">
        <f>BY261</f>
        <v>0</v>
      </c>
      <c r="CA261" s="268">
        <f>BZ261</f>
        <v>0</v>
      </c>
      <c r="CB261" s="268">
        <f>CA261</f>
        <v>0</v>
      </c>
      <c r="CC261" s="268">
        <f>CB261</f>
        <v>0</v>
      </c>
      <c r="CD261" s="268">
        <f>CC261</f>
        <v>0</v>
      </c>
      <c r="CE261" s="268">
        <f>CD261</f>
        <v>0</v>
      </c>
      <c r="CF261" s="268">
        <f>CE261</f>
        <v>0</v>
      </c>
      <c r="CG261" s="268">
        <f>CF261</f>
        <v>0</v>
      </c>
      <c r="CH261" s="268">
        <f>CG261</f>
        <v>0</v>
      </c>
      <c r="CI261" s="268">
        <f>CH261</f>
        <v>0</v>
      </c>
      <c r="CJ261" s="268">
        <f>CI261</f>
        <v>0</v>
      </c>
      <c r="CK261" s="268">
        <f>CJ261</f>
        <v>0</v>
      </c>
      <c r="CL261" s="268">
        <f>CK261</f>
        <v>0</v>
      </c>
      <c r="CM261" s="268">
        <f>CL261</f>
        <v>0</v>
      </c>
      <c r="CN261" s="268">
        <f>CM261</f>
        <v>0</v>
      </c>
      <c r="CO261" s="268">
        <f>CN261</f>
        <v>0</v>
      </c>
      <c r="CP261" s="268">
        <f>CO261</f>
        <v>0</v>
      </c>
      <c r="CQ261" s="268">
        <f>CP261</f>
        <v>0</v>
      </c>
      <c r="CR261" s="268">
        <f>CQ261</f>
        <v>0</v>
      </c>
      <c r="CS261" s="268">
        <f>CR261</f>
        <v>0</v>
      </c>
      <c r="CT261" s="268">
        <f>CS261</f>
        <v>0</v>
      </c>
      <c r="CU261" s="268">
        <f>CT261</f>
        <v>0</v>
      </c>
      <c r="CV261" s="268">
        <f>CU261</f>
        <v>0</v>
      </c>
      <c r="CW261" s="268">
        <f>CV261</f>
        <v>0</v>
      </c>
      <c r="CX261" s="268">
        <f>CW261</f>
        <v>0</v>
      </c>
      <c r="CY261" s="268">
        <f>CX261</f>
        <v>0</v>
      </c>
    </row>
    <row r="262" ht="12.75" customHeight="1" s="255">
      <c r="C262" s="271" t="inlineStr">
        <is>
          <t>Retained earnings</t>
        </is>
      </c>
      <c r="D262" s="301">
        <f>INDEX('Inputs (2)'!$D$47:$AL$47,MATCH(D$7,'Inputs (2)'!$D$2:$AL$2,0))</f>
        <v>-12771</v>
      </c>
      <c r="E262" s="301">
        <f>INDEX('Inputs (2)'!$D$47:$AL$47,MATCH(E$7,'Inputs (2)'!$D$2:$AL$2,0))</f>
        <v>-12718</v>
      </c>
      <c r="F262" s="301">
        <f>INDEX('Inputs (2)'!$D$47:$AL$47,MATCH(F$7,'Inputs (2)'!$D$2:$AL$2,0))</f>
        <v>-12389</v>
      </c>
      <c r="G262" s="301">
        <f>INDEX('Inputs (2)'!$D$47:$AL$47,MATCH(G$7,'Inputs (2)'!$D$2:$AL$2,0))</f>
        <v>-11681</v>
      </c>
      <c r="H262" s="268">
        <f>G262</f>
        <v>-11681</v>
      </c>
      <c r="I262" s="301">
        <f>INDEX('Inputs (2)'!$D$47:$AL$47,MATCH(I$7,'Inputs (2)'!$D$2:$AL$2,0))</f>
        <v>-10963</v>
      </c>
      <c r="J262" s="301">
        <f>INDEX('Inputs (2)'!$D$47:$AL$47,MATCH(J$7,'Inputs (2)'!$D$2:$AL$2,0))</f>
        <v>-9880</v>
      </c>
      <c r="K262" s="301">
        <f>INDEX('Inputs (2)'!$D$47:$AL$47,MATCH(K$7,'Inputs (2)'!$D$2:$AL$2,0))</f>
        <v>-8481</v>
      </c>
      <c r="L262" s="301">
        <f>INDEX('Inputs (2)'!$D$47:$AL$47,MATCH(L$7,'Inputs (2)'!$D$2:$AL$2,0))</f>
        <v>-7375</v>
      </c>
      <c r="M262" s="268">
        <f>L262</f>
        <v>-7375</v>
      </c>
      <c r="N262" s="301">
        <f>INDEX('Inputs (2)'!$D$47:$AL$47,MATCH(N$7,'Inputs (2)'!$D$2:$AL$2,0))</f>
        <v>-5848</v>
      </c>
      <c r="O262" s="301">
        <f>INDEX('Inputs (2)'!$D$47:$AL$47,MATCH(O$7,'Inputs (2)'!$D$2:$AL$2,0))</f>
        <v>-5008</v>
      </c>
      <c r="P262" s="301">
        <f>INDEX('Inputs (2)'!$D$47:$AL$47,MATCH(P$7,'Inputs (2)'!$D$2:$AL$2,0))</f>
        <v>-4604</v>
      </c>
      <c r="Q262" s="301">
        <f>INDEX('Inputs (2)'!$D$47:$AL$47,MATCH(Q$7,'Inputs (2)'!$D$2:$AL$2,0))</f>
        <v>-3907</v>
      </c>
      <c r="R262" s="268">
        <f>Q262</f>
        <v>-3907</v>
      </c>
      <c r="S262" s="301">
        <f>INDEX('Inputs (2)'!$D$47:$AL$47,MATCH(S$7,'Inputs (2)'!$D$2:$AL$2,0))</f>
        <v>-3244</v>
      </c>
      <c r="T262" s="301">
        <f>INDEX('Inputs (2)'!$D$47:$AL$47,MATCH(T$7,'Inputs (2)'!$D$2:$AL$2,0))</f>
        <v>-2901</v>
      </c>
      <c r="U262" s="301">
        <f>INDEX('Inputs (2)'!$D$47:$AL$47,MATCH(U$7,'Inputs (2)'!$D$2:$AL$2,0))</f>
        <v>-2447</v>
      </c>
      <c r="V262" s="301">
        <f>INDEX('Inputs (2)'!$D$47:$AL$47,MATCH(V$7,'Inputs (2)'!$D$2:$AL$2,0))</f>
        <v>-2059</v>
      </c>
      <c r="W262" s="268">
        <f>V262</f>
        <v>-2059</v>
      </c>
      <c r="X262" s="301">
        <f>INDEX('Inputs (2)'!$D$47:$AL$47,MATCH(X$7,'Inputs (2)'!$D$2:$AL$2,0))</f>
        <v>-1586</v>
      </c>
      <c r="Y262" s="301">
        <f>INDEX('Inputs (2)'!$D$47:$AL$47,MATCH(Y$7,'Inputs (2)'!$D$2:$AL$2,0))</f>
        <v>-970</v>
      </c>
      <c r="Z262" s="301">
        <f>INDEX('Inputs (2)'!$D$47:$AL$47,MATCH(Z$7,'Inputs (2)'!$D$2:$AL$2,0))</f>
        <v>-444</v>
      </c>
      <c r="AA262" s="301">
        <f>INDEX('Inputs (2)'!$D$47:$AL$47,MATCH(AA$7,'Inputs (2)'!$D$2:$AL$2,0))</f>
        <v>-170</v>
      </c>
      <c r="AB262" s="268">
        <f>AA262</f>
        <v>-170</v>
      </c>
      <c r="AC262" s="301">
        <f>INDEX('Inputs (2)'!$D$47:$AL$47,MATCH(AC$7,'Inputs (2)'!$D$2:$AL$2,0))</f>
        <v>182</v>
      </c>
      <c r="AD262" s="301">
        <f>INDEX('Inputs (2)'!$D$47:$AL$47,MATCH(AD$7,'Inputs (2)'!$D$2:$AL$2,0))</f>
        <v>738</v>
      </c>
      <c r="AE262" s="301">
        <f>INDEX('Inputs (2)'!$D$47:$AL$47,MATCH(AE$7,'Inputs (2)'!$D$2:$AL$2,0))</f>
        <v>1196</v>
      </c>
      <c r="AF262" s="301">
        <f>INDEX('Inputs (2)'!$D$47:$AL$47,MATCH(AF$7,'Inputs (2)'!$D$2:$AL$2,0))</f>
        <v>1385</v>
      </c>
      <c r="AG262" s="268">
        <f>AF262</f>
        <v>1385</v>
      </c>
      <c r="AH262" s="268">
        <f>INDEX('Inputs (2)'!$D$47:$AL$47,MATCH(AH$7,'Inputs (2)'!$D$2:$AL$2,0))</f>
        <v>2050</v>
      </c>
      <c r="AI262" s="268">
        <f>INDEX('Inputs (2)'!$D$47:$AL$47,MATCH(AI$7,'Inputs (2)'!$D$2:$AL$2,0))</f>
        <v>2817</v>
      </c>
      <c r="AJ262" s="268">
        <f>AI262+AJ129+AJ130</f>
        <v>2133</v>
      </c>
      <c r="AK262" s="268">
        <f>AJ262+AK129+AK130</f>
        <v>1902</v>
      </c>
      <c r="AL262" s="268">
        <f>AK262</f>
        <v>1902</v>
      </c>
      <c r="AM262" s="268">
        <f>AL262+AM129+AM130</f>
        <v>1329</v>
      </c>
      <c r="AN262" s="268">
        <f>AM262+AN129+AN130</f>
        <v>575</v>
      </c>
      <c r="AO262" s="268">
        <f>AN262+AO129+AO130</f>
        <v>-79</v>
      </c>
      <c r="AP262" s="268">
        <f>AO262+AP129+AP130</f>
        <v>-589</v>
      </c>
      <c r="AQ262" s="268">
        <f>AP262</f>
        <v>-589</v>
      </c>
      <c r="AR262" s="268">
        <f>AQ262+AR129+AR130</f>
        <v>-1441</v>
      </c>
      <c r="AS262" s="268">
        <f>AR262+AS129+AS130</f>
        <v>-2693</v>
      </c>
      <c r="AT262" s="268">
        <f>AS262+AT129+AT130</f>
        <v>-3626</v>
      </c>
      <c r="AU262" s="268">
        <f>AT262+AU129+AU130</f>
        <v>-4634</v>
      </c>
      <c r="AV262" s="268">
        <f>AU262</f>
        <v>-4634</v>
      </c>
      <c r="AW262" s="268">
        <f>AV262+AW129+AW130</f>
        <v>-5984</v>
      </c>
      <c r="AX262" s="268">
        <f>AW262+AX129+AX130</f>
        <v>-8790</v>
      </c>
      <c r="AY262" s="268">
        <f>AX262+AY129+AY130</f>
        <v>-10221</v>
      </c>
      <c r="AZ262" s="268">
        <f>AY262+AZ129+AZ130</f>
        <v>-12783</v>
      </c>
      <c r="BA262" s="268">
        <f>AZ262</f>
        <v>-12783</v>
      </c>
      <c r="BB262" s="268">
        <f>BA262+BB129+BB130</f>
        <v>-15687</v>
      </c>
      <c r="BC262" s="268">
        <f>BB262+BC129+BC130</f>
        <v>-22597</v>
      </c>
      <c r="BD262" s="268">
        <f>BC262+BD129+BD130</f>
        <v>-25582</v>
      </c>
      <c r="BE262" s="268">
        <f>BD262+BE129+BE130</f>
        <v>-32248</v>
      </c>
      <c r="BF262" s="268">
        <f>BE262</f>
        <v>-32248</v>
      </c>
      <c r="BG262" s="268">
        <f>BF262+BG129+BG130</f>
        <v>-39256</v>
      </c>
      <c r="BH262" s="268">
        <f>BG262+BH129+BH130</f>
        <v>-57482</v>
      </c>
      <c r="BI262" s="268">
        <f>BH262+BI129+BI130</f>
        <v>-64571</v>
      </c>
      <c r="BJ262" s="268">
        <f>BI262+BJ129+BJ130</f>
        <v>-82553</v>
      </c>
      <c r="BK262" s="268">
        <f>BJ262</f>
        <v>-82553</v>
      </c>
      <c r="BL262" s="268">
        <f>BK262+BL129+BL130</f>
        <v>-100877</v>
      </c>
      <c r="BM262" s="268">
        <f>BL262+BM129+BM130</f>
        <v>-149943</v>
      </c>
      <c r="BN262" s="268">
        <f>BM262+BN129+BN130</f>
        <v>-168348</v>
      </c>
      <c r="BO262" s="268">
        <f>BN262+BO129+BO130</f>
        <v>-217170</v>
      </c>
      <c r="BP262" s="268">
        <f>BO262</f>
        <v>-217170</v>
      </c>
      <c r="BQ262" s="268">
        <f>BP262+BQ129+BQ130</f>
        <v>-266334</v>
      </c>
      <c r="BR262" s="268">
        <f>BQ262+BR129+BR130</f>
        <v>-399712</v>
      </c>
      <c r="BS262" s="268">
        <f>BR262+BS129+BS130</f>
        <v>-448957</v>
      </c>
      <c r="BT262" s="268">
        <f>BS262+BT129+BT130</f>
        <v>-582091</v>
      </c>
      <c r="BU262" s="268">
        <f>BT262</f>
        <v>-582091</v>
      </c>
      <c r="BV262" s="268">
        <f>BU262+BV129+BV130</f>
        <v>-715567</v>
      </c>
      <c r="BW262" s="268">
        <f>BV262+BW129+BW130</f>
        <v>-1079249</v>
      </c>
      <c r="BX262" s="268">
        <f>BW262+BX129+BX130</f>
        <v>-1212806</v>
      </c>
      <c r="BY262" s="268">
        <f>BX262+BY129+BY130</f>
        <v>-1576244</v>
      </c>
      <c r="BZ262" s="268">
        <f>BY262</f>
        <v>-1576244</v>
      </c>
      <c r="CA262" s="268">
        <f>BZ262+CA129+CA130</f>
        <v>-1940024</v>
      </c>
      <c r="CB262" s="268">
        <f>CA262+CB129+CB130</f>
        <v>-2932938</v>
      </c>
      <c r="CC262" s="268">
        <f>CB262+CC129+CC130</f>
        <v>-3296799</v>
      </c>
      <c r="CD262" s="268">
        <f>CC262+CD129+CD130</f>
        <v>-4289469</v>
      </c>
      <c r="CE262" s="268">
        <f>CD262</f>
        <v>-4289469</v>
      </c>
      <c r="CF262" s="268">
        <f>CE262+CF129+CF130</f>
        <v>-5282481</v>
      </c>
      <c r="CG262" s="268">
        <f>CF262+CG129+CG130</f>
        <v>-7994467</v>
      </c>
      <c r="CH262" s="268">
        <f>CG262+CH129+CH130</f>
        <v>-8987560</v>
      </c>
      <c r="CI262" s="268">
        <f>CH262+CI129+CI130</f>
        <v>-11699302</v>
      </c>
      <c r="CJ262" s="268">
        <f>CI262</f>
        <v>-11699302</v>
      </c>
      <c r="CK262" s="268">
        <f>CJ262+CK129+CK130</f>
        <v>-14411386</v>
      </c>
      <c r="CL262" s="268">
        <f>CK262+CL129+CL130</f>
        <v>-21819980</v>
      </c>
      <c r="CM262" s="268">
        <f>CL262+CM129+CM130</f>
        <v>-24532145</v>
      </c>
      <c r="CN262" s="268">
        <f>CM262+CN129+CN130</f>
        <v>-31940495</v>
      </c>
      <c r="CO262" s="268">
        <f>CN262</f>
        <v>-31940495</v>
      </c>
      <c r="CP262" s="268">
        <f>CO262+CP129+CP130</f>
        <v>-39349187</v>
      </c>
      <c r="CQ262" s="268">
        <f>CP262+CQ129+CQ130</f>
        <v>-59589141</v>
      </c>
      <c r="CR262" s="268">
        <f>CQ262+CR129+CR130</f>
        <v>-66997914</v>
      </c>
      <c r="CS262" s="268">
        <f>CR262+CS129+CS130</f>
        <v>-87237624</v>
      </c>
      <c r="CT262" s="268">
        <f>CS262</f>
        <v>-87237624</v>
      </c>
      <c r="CU262" s="268">
        <f>CT262+CU129+CU130</f>
        <v>-107477676</v>
      </c>
      <c r="CV262" s="268">
        <f>CU262+CV129+CV130</f>
        <v>-162773566</v>
      </c>
      <c r="CW262" s="268">
        <f>CV262+CW129+CW130</f>
        <v>-183013699</v>
      </c>
      <c r="CX262" s="268">
        <f>CW262+CX129+CX130</f>
        <v>-238309345</v>
      </c>
      <c r="CY262" s="268">
        <f>CX262</f>
        <v>-238309345</v>
      </c>
    </row>
    <row r="263" ht="12.75" customFormat="1" customHeight="1" s="287">
      <c r="A263" s="288" t="inlineStr">
        <is>
          <t xml:space="preserve"> </t>
        </is>
      </c>
      <c r="B263" s="288" t="n"/>
      <c r="C263" s="321" t="inlineStr">
        <is>
          <t>Total Shareholders' Equity</t>
        </is>
      </c>
      <c r="D263" s="276">
        <f>SUM(D240+D245+D246+D259+D260+D261+D262)</f>
        <v>16963</v>
      </c>
      <c r="E263" s="276">
        <f>SUM(E240+E245+E246+E259+E260+E261+E262)</f>
        <v>17155</v>
      </c>
      <c r="F263" s="276">
        <f>SUM(F240+F245+F246+F259+F260+F261+F262)</f>
        <v>17562</v>
      </c>
      <c r="G263" s="276">
        <f>SUM(G240+G245+G246+G259+G260+G261+G262)</f>
        <v>18668</v>
      </c>
      <c r="H263" s="276">
        <f>SUM(H240,H245,H246,H259,H260,H261,H262)</f>
        <v>18668</v>
      </c>
      <c r="I263" s="276">
        <f>SUM(I240+I245+I246+I259+I260+I261+I262)</f>
        <v>19573</v>
      </c>
      <c r="J263" s="276">
        <f>SUM(J240+J245+J246+J259+J260+J261+J262)</f>
        <v>20935</v>
      </c>
      <c r="K263" s="276">
        <f>SUM(K240+K245+K246+K259+K260+K261+K262)</f>
        <v>22531</v>
      </c>
      <c r="L263" s="276">
        <f>SUM(L240+L245+L246+L259+L260+L261+L262)</f>
        <v>23019</v>
      </c>
      <c r="M263" s="276">
        <f>SUM(M240,M245,M246,M259,M260,M261,M262)</f>
        <v>23019</v>
      </c>
      <c r="N263" s="276">
        <f>SUM(N240+N245+N246+N259+N260+N261+N262)</f>
        <v>24042</v>
      </c>
      <c r="O263" s="276">
        <f>SUM(O240+O245+O246+O259+O260+O261+O262)</f>
        <v>24047</v>
      </c>
      <c r="P263" s="276">
        <f>SUM(P240+P245+P246+P259+P260+P261+P262)</f>
        <v>24181</v>
      </c>
      <c r="Q263" s="276">
        <f>SUM(Q240+Q245+Q246+Q259+Q260+Q261+Q262)</f>
        <v>24871</v>
      </c>
      <c r="R263" s="276">
        <f>SUM(R240,R245,R246,R259,R260,R261,R262)</f>
        <v>24871</v>
      </c>
      <c r="S263" s="276">
        <f>SUM(S240+S245+S246+S259+S260+S261+S262)</f>
        <v>25648</v>
      </c>
      <c r="T263" s="276">
        <f>SUM(T240+T245+T246+T259+T260+T261+T262)</f>
        <v>26027</v>
      </c>
      <c r="U263" s="276">
        <f>SUM(U240+U245+U246+U259+U260+U261+U262)</f>
        <v>26677</v>
      </c>
      <c r="V263" s="276">
        <f>SUM(V240+V245+V246+V259+V260+V261+V262)</f>
        <v>27310</v>
      </c>
      <c r="W263" s="276">
        <f>SUM(W240,W245,W246,W259,W260,W261,W262)</f>
        <v>27310</v>
      </c>
      <c r="X263" s="276">
        <f>SUM(X240+X245+X246+X259+X260+X261+X262)</f>
        <v>28105</v>
      </c>
      <c r="Y263" s="276">
        <f>SUM(Y240+Y245+Y246+Y259+Y260+Y261+Y262)</f>
        <v>28686</v>
      </c>
      <c r="Z263" s="276">
        <f>SUM(Z240+Z245+Z246+Z259+Z260+Z261+Z262)</f>
        <v>28866</v>
      </c>
      <c r="AA263" s="276">
        <f>SUM(AA240+AA245+AA246+AA259+AA260+AA261+AA262)</f>
        <v>28778</v>
      </c>
      <c r="AB263" s="276">
        <f>SUM(AB240,AB245,AB246,AB259,AB260,AB261,AB262)</f>
        <v>28778</v>
      </c>
      <c r="AC263" s="276">
        <f>SUM(AC240+AC245+AC246+AC259+AC260+AC261+AC262)</f>
        <v>29214</v>
      </c>
      <c r="AD263" s="276">
        <f>SUM(AD240+AD245+AD246+AD259+AD260+AD261+AD262)</f>
        <v>29996</v>
      </c>
      <c r="AE263" s="276">
        <f>SUM(AE240+AE245+AE246+AE259+AE260+AE261+AE262)</f>
        <v>30397</v>
      </c>
      <c r="AF263" s="276">
        <f>SUM(AF240+AF245+AF246+AF259+AF260+AF261+AF262)</f>
        <v>30766</v>
      </c>
      <c r="AG263" s="276">
        <f>SUM(AG240,AG245,AG246,AG259,AG260,AG261,AG262)</f>
        <v>30766</v>
      </c>
      <c r="AH263" s="276">
        <f>SUM(AH240+AH245+AH246+AH259+AH260+AH261+AH262)</f>
        <v>31511</v>
      </c>
      <c r="AI263" s="276">
        <f>SUM(AI240+AI245+AI246+AI259+AI260+AI261+AI262)</f>
        <v>32222</v>
      </c>
      <c r="AJ263" s="276">
        <f>SUM(AJ240+AJ245+AJ246+AJ259+AJ260+AJ261+AJ262)</f>
        <v>32111</v>
      </c>
      <c r="AK263" s="276">
        <f>SUM(AK240+AK245+AK246+AK259+AK260+AK261+AK262)</f>
        <v>32039</v>
      </c>
      <c r="AL263" s="276">
        <f>SUM(AL240,AL245,AL246,AL259,AL260,AL261,AL262)</f>
        <v>32039</v>
      </c>
      <c r="AM263" s="276">
        <f>SUM(AM240+AM245+AM246+AM259+AM260+AM261+AM262)</f>
        <v>31972</v>
      </c>
      <c r="AN263" s="276">
        <f>SUM(AN240+AN245+AN246+AN259+AN260+AN261+AN262)</f>
        <v>31625</v>
      </c>
      <c r="AO263" s="276">
        <f>SUM(AO240+AO245+AO246+AO259+AO260+AO261+AO262)</f>
        <v>31544</v>
      </c>
      <c r="AP263" s="276">
        <f>SUM(AP240+AP245+AP246+AP259+AP260+AP261+AP262)</f>
        <v>31193</v>
      </c>
      <c r="AQ263" s="276">
        <f>SUM(AQ240,AQ245,AQ246,AQ259,AQ260,AQ261,AQ262)</f>
        <v>31193</v>
      </c>
      <c r="AR263" s="276">
        <f>SUM(AR240+AR245+AR246+AR259+AR260+AR261+AR262)</f>
        <v>30847</v>
      </c>
      <c r="AS263" s="276">
        <f>SUM(AS240+AS245+AS246+AS259+AS260+AS261+AS262)</f>
        <v>30002</v>
      </c>
      <c r="AT263" s="276">
        <f>SUM(AT240+AT245+AT246+AT259+AT260+AT261+AT262)</f>
        <v>29642</v>
      </c>
      <c r="AU263" s="276">
        <f>SUM(AU240+AU245+AU246+AU259+AU260+AU261+AU262)</f>
        <v>28793</v>
      </c>
      <c r="AV263" s="276">
        <f>SUM(AV240,AV245,AV246,AV259,AV260,AV261,AV262)</f>
        <v>28793</v>
      </c>
      <c r="AW263" s="276">
        <f>SUM(AW240+AW245+AW246+AW259+AW260+AW261+AW262)</f>
        <v>27949</v>
      </c>
      <c r="AX263" s="276">
        <f>SUM(AX240+AX245+AX246+AX259+AX260+AX261+AX262)</f>
        <v>25550</v>
      </c>
      <c r="AY263" s="276">
        <f>SUM(AY240+AY245+AY246+AY259+AY260+AY261+AY262)</f>
        <v>24692</v>
      </c>
      <c r="AZ263" s="276">
        <f>SUM(AZ240+AZ245+AZ246+AZ259+AZ260+AZ261+AZ262)</f>
        <v>22289</v>
      </c>
      <c r="BA263" s="276">
        <f>SUM(BA240,BA245,BA246,BA259,BA260,BA261,BA262)</f>
        <v>22289</v>
      </c>
      <c r="BB263" s="276">
        <f>SUM(BB240+BB245+BB246+BB259+BB260+BB261+BB262)</f>
        <v>19891</v>
      </c>
      <c r="BC263" s="276">
        <f>SUM(BC240+BC245+BC246+BC259+BC260+BC261+BC262)</f>
        <v>13388</v>
      </c>
      <c r="BD263" s="276">
        <f>SUM(BD240+BD245+BD246+BD259+BD260+BD261+BD262)</f>
        <v>10976</v>
      </c>
      <c r="BE263" s="276">
        <f>SUM(BE240+BE245+BE246+BE259+BE260+BE261+BE262)</f>
        <v>4469</v>
      </c>
      <c r="BF263" s="276">
        <f>SUM(BF240,BF245,BF246,BF259,BF260,BF261,BF262)</f>
        <v>4469</v>
      </c>
      <c r="BG263" s="276">
        <f>SUM(BG240+BG245+BG246+BG259+BG260+BG261+BG262)</f>
        <v>-2033</v>
      </c>
      <c r="BH263" s="276">
        <f>SUM(BH240+BH245+BH246+BH259+BH260+BH261+BH262)</f>
        <v>-19852</v>
      </c>
      <c r="BI263" s="276">
        <f>SUM(BI240+BI245+BI246+BI259+BI260+BI261+BI262)</f>
        <v>-26368</v>
      </c>
      <c r="BJ263" s="276">
        <f>SUM(BJ240+BJ245+BJ246+BJ259+BJ260+BJ261+BJ262)</f>
        <v>-44191</v>
      </c>
      <c r="BK263" s="276">
        <f>SUM(BK240,BK245,BK246,BK259,BK260,BK261,BK262)</f>
        <v>-44191</v>
      </c>
      <c r="BL263" s="276">
        <f>SUM(BL240+BL245+BL246+BL259+BL260+BL261+BL262)</f>
        <v>-62009</v>
      </c>
      <c r="BM263" s="276">
        <f>SUM(BM240+BM245+BM246+BM259+BM260+BM261+BM262)</f>
        <v>-110668</v>
      </c>
      <c r="BN263" s="276">
        <f>SUM(BN240+BN245+BN246+BN259+BN260+BN261+BN262)</f>
        <v>-128500</v>
      </c>
      <c r="BO263" s="276">
        <f>SUM(BO240+BO245+BO246+BO259+BO260+BO261+BO262)</f>
        <v>-177163</v>
      </c>
      <c r="BP263" s="276">
        <f>SUM(BP240,BP245,BP246,BP259,BP260,BP261,BP262)</f>
        <v>-177163</v>
      </c>
      <c r="BQ263" s="276">
        <f>SUM(BQ240+BQ245+BQ246+BQ259+BQ260+BQ261+BQ262)</f>
        <v>-225821</v>
      </c>
      <c r="BR263" s="276">
        <f>SUM(BR240+BR245+BR246+BR259+BR260+BR261+BR262)</f>
        <v>-358792</v>
      </c>
      <c r="BS263" s="276">
        <f>SUM(BS240+BS245+BS246+BS259+BS260+BS261+BS262)</f>
        <v>-407464</v>
      </c>
      <c r="BT263" s="276">
        <f>SUM(BT240+BT245+BT246+BT259+BT260+BT261+BT262)</f>
        <v>-540439</v>
      </c>
      <c r="BU263" s="276">
        <f>SUM(BU240,BU245,BU246,BU259,BU260,BU261,BU262)</f>
        <v>-540439</v>
      </c>
      <c r="BV263" s="276">
        <f>SUM(BV240+BV245+BV246+BV259+BV260+BV261+BV262)</f>
        <v>-673409</v>
      </c>
      <c r="BW263" s="276">
        <f>SUM(BW240+BW245+BW246+BW259+BW260+BW261+BW262)</f>
        <v>-1036684</v>
      </c>
      <c r="BX263" s="276">
        <f>SUM(BX240+BX245+BX246+BX259+BX260+BX261+BX262)</f>
        <v>-1169668</v>
      </c>
      <c r="BY263" s="276">
        <f>SUM(BY240+BY245+BY246+BY259+BY260+BY261+BY262)</f>
        <v>-1532947</v>
      </c>
      <c r="BZ263" s="276">
        <f>SUM(BZ240,BZ245,BZ246,BZ259,BZ260,BZ261,BZ262)</f>
        <v>-1532947</v>
      </c>
      <c r="CA263" s="276">
        <f>SUM(CA240+CA245+CA246+CA259+CA260+CA261+CA262)</f>
        <v>-1896221</v>
      </c>
      <c r="CB263" s="276">
        <f>SUM(CB240+CB245+CB246+CB259+CB260+CB261+CB262)</f>
        <v>-2888728</v>
      </c>
      <c r="CC263" s="276">
        <f>SUM(CC240+CC245+CC246+CC259+CC260+CC261+CC262)</f>
        <v>-3252016</v>
      </c>
      <c r="CD263" s="276">
        <f>SUM(CD240+CD245+CD246+CD259+CD260+CD261+CD262)</f>
        <v>-4244527</v>
      </c>
      <c r="CE263" s="276">
        <f>SUM(CE240,CE245,CE246,CE259,CE260,CE261,CE262)</f>
        <v>-4244527</v>
      </c>
      <c r="CF263" s="276">
        <f>SUM(CF240+CF245+CF246+CF259+CF260+CF261+CF262)</f>
        <v>-5237033</v>
      </c>
      <c r="CG263" s="276">
        <f>SUM(CG240+CG245+CG246+CG259+CG260+CG261+CG262)</f>
        <v>-7948612</v>
      </c>
      <c r="CH263" s="276">
        <f>SUM(CH240+CH245+CH246+CH259+CH260+CH261+CH262)</f>
        <v>-8941132</v>
      </c>
      <c r="CI263" s="276">
        <f>SUM(CI240+CI245+CI246+CI259+CI260+CI261+CI262)</f>
        <v>-11652715</v>
      </c>
      <c r="CJ263" s="276">
        <f>SUM(CJ240,CJ245,CJ246,CJ259,CJ260,CJ261,CJ262)</f>
        <v>-11652715</v>
      </c>
      <c r="CK263" s="276">
        <f>SUM(CK240+CK245+CK246+CK259+CK260+CK261+CK262)</f>
        <v>-14364293</v>
      </c>
      <c r="CL263" s="276">
        <f>SUM(CL240+CL245+CL246+CL259+CL260+CL261+CL262)</f>
        <v>-21772480</v>
      </c>
      <c r="CM263" s="276">
        <f>SUM(CM240+CM245+CM246+CM259+CM260+CM261+CM262)</f>
        <v>-24484072</v>
      </c>
      <c r="CN263" s="276">
        <f>SUM(CN240+CN245+CN246+CN259+CN260+CN261+CN262)</f>
        <v>-31892263</v>
      </c>
      <c r="CO263" s="276">
        <f>SUM(CO240,CO245,CO246,CO259,CO260,CO261,CO262)</f>
        <v>-31892263</v>
      </c>
      <c r="CP263" s="276">
        <f>SUM(CP240+CP245+CP246+CP259+CP260+CP261+CP262)</f>
        <v>-39300449</v>
      </c>
      <c r="CQ263" s="276">
        <f>SUM(CQ240+CQ245+CQ246+CQ259+CQ260+CQ261+CQ262)</f>
        <v>-59539996</v>
      </c>
      <c r="CR263" s="276">
        <f>SUM(CR240+CR245+CR246+CR259+CR260+CR261+CR262)</f>
        <v>-66948196</v>
      </c>
      <c r="CS263" s="276">
        <f>SUM(CS240+CS245+CS246+CS259+CS260+CS261+CS262)</f>
        <v>-87187747</v>
      </c>
      <c r="CT263" s="276">
        <f>SUM(CT240,CT245,CT246,CT259,CT260,CT261,CT262)</f>
        <v>-87187747</v>
      </c>
      <c r="CU263" s="276">
        <f>SUM(CU240+CU245+CU246+CU259+CU260+CU261+CU262)</f>
        <v>-107427293</v>
      </c>
      <c r="CV263" s="276">
        <f>SUM(CV240+CV245+CV246+CV259+CV260+CV261+CV262)</f>
        <v>-162722776</v>
      </c>
      <c r="CW263" s="276">
        <f>SUM(CW240+CW245+CW246+CW259+CW260+CW261+CW262)</f>
        <v>-182962336</v>
      </c>
      <c r="CX263" s="276">
        <f>SUM(CX240+CX245+CX246+CX259+CX260+CX261+CX262)</f>
        <v>-238257823</v>
      </c>
      <c r="CY263" s="276">
        <f>SUM(CY240,CY245,CY246,CY259,CY260,CY261,CY262)</f>
        <v>-238257823</v>
      </c>
    </row>
    <row r="264" ht="12.75" customHeight="1" s="255">
      <c r="C264" s="266" t="n"/>
      <c r="D264" s="268" t="n"/>
      <c r="E264" s="268" t="n"/>
      <c r="F264" s="268" t="n"/>
      <c r="G264" s="268" t="n"/>
      <c r="H264" s="268" t="n"/>
      <c r="I264" s="268" t="n"/>
      <c r="J264" s="268" t="n"/>
      <c r="K264" s="268" t="n"/>
      <c r="L264" s="268" t="n"/>
      <c r="M264" s="268" t="n"/>
      <c r="N264" s="268" t="n"/>
      <c r="O264" s="268" t="n"/>
      <c r="P264" s="268" t="n"/>
      <c r="Q264" s="268" t="n"/>
      <c r="R264" s="268" t="n"/>
      <c r="S264" s="268" t="n"/>
      <c r="T264" s="268" t="n"/>
      <c r="U264" s="268" t="n"/>
      <c r="V264" s="268" t="n"/>
      <c r="W264" s="268" t="n"/>
      <c r="X264" s="268" t="n"/>
      <c r="Y264" s="268" t="n"/>
      <c r="Z264" s="268" t="n"/>
      <c r="AA264" s="268" t="n"/>
      <c r="AB264" s="268" t="n"/>
      <c r="AC264" s="268" t="n"/>
      <c r="AD264" s="268" t="n"/>
      <c r="AE264" s="268" t="n"/>
      <c r="AF264" s="268" t="n"/>
      <c r="AG264" s="268" t="n"/>
      <c r="AH264" s="268" t="n"/>
      <c r="AI264" s="268" t="n"/>
      <c r="AJ264" s="268" t="n"/>
      <c r="AK264" s="268" t="n"/>
      <c r="AL264" s="268" t="n"/>
      <c r="AM264" s="268" t="n"/>
      <c r="AN264" s="268" t="n"/>
      <c r="AO264" s="268" t="n"/>
      <c r="AP264" s="268" t="n"/>
      <c r="AQ264" s="268" t="n"/>
      <c r="AR264" s="268" t="n"/>
      <c r="AS264" s="268" t="n"/>
      <c r="AT264" s="268" t="n"/>
      <c r="AU264" s="268" t="n"/>
      <c r="AV264" s="268" t="n"/>
      <c r="AW264" s="268" t="n"/>
      <c r="AX264" s="268" t="n"/>
      <c r="AY264" s="268" t="n"/>
      <c r="AZ264" s="268" t="n"/>
      <c r="BA264" s="268" t="n"/>
      <c r="BB264" s="268" t="n"/>
      <c r="BC264" s="268" t="n"/>
      <c r="BD264" s="268" t="n"/>
      <c r="BE264" s="268" t="n"/>
      <c r="BF264" s="268" t="n"/>
      <c r="BG264" s="268" t="n"/>
      <c r="BH264" s="268" t="n"/>
      <c r="BI264" s="268" t="n"/>
      <c r="BJ264" s="268" t="n"/>
      <c r="BK264" s="268" t="n"/>
      <c r="BL264" s="268" t="n"/>
      <c r="BM264" s="268" t="n"/>
      <c r="BN264" s="268" t="n"/>
      <c r="BO264" s="268" t="n"/>
      <c r="BP264" s="268" t="n"/>
      <c r="BQ264" s="268" t="n"/>
      <c r="BR264" s="268" t="n"/>
      <c r="BS264" s="268" t="n"/>
      <c r="BT264" s="268" t="n"/>
      <c r="BU264" s="268" t="n"/>
      <c r="BV264" s="268" t="n"/>
      <c r="BW264" s="268" t="n"/>
      <c r="BX264" s="268" t="n"/>
      <c r="BY264" s="268" t="n"/>
      <c r="BZ264" s="268" t="n"/>
      <c r="CA264" s="268" t="n"/>
      <c r="CB264" s="268" t="n"/>
      <c r="CC264" s="268" t="n"/>
      <c r="CD264" s="268" t="n"/>
      <c r="CE264" s="268" t="n"/>
      <c r="CF264" s="268" t="n"/>
      <c r="CG264" s="268" t="n"/>
      <c r="CH264" s="268" t="n"/>
      <c r="CI264" s="268" t="n"/>
      <c r="CJ264" s="268" t="n"/>
      <c r="CK264" s="268" t="n"/>
      <c r="CL264" s="268" t="n"/>
      <c r="CM264" s="268" t="n"/>
      <c r="CN264" s="268" t="n"/>
      <c r="CO264" s="268" t="n"/>
      <c r="CP264" s="268" t="n"/>
      <c r="CQ264" s="268" t="n"/>
      <c r="CR264" s="268" t="n"/>
      <c r="CS264" s="268" t="n"/>
      <c r="CT264" s="268" t="n"/>
      <c r="CU264" s="268" t="n"/>
      <c r="CV264" s="268" t="n"/>
      <c r="CW264" s="268" t="n"/>
      <c r="CX264" s="268" t="n"/>
      <c r="CY264" s="268" t="n"/>
    </row>
    <row r="265" ht="12.75" customFormat="1" customHeight="1" s="287">
      <c r="A265" s="288" t="n"/>
      <c r="B265" s="259" t="n"/>
      <c r="C265" s="275" t="inlineStr">
        <is>
          <t>Total Liabilities + Shareholders' Equity</t>
        </is>
      </c>
      <c r="D265" s="276">
        <f>D263+D239</f>
        <v>40219</v>
      </c>
      <c r="E265" s="276">
        <f>E263+E239</f>
        <v>40230</v>
      </c>
      <c r="F265" s="276">
        <f>F263+F239</f>
        <v>41099</v>
      </c>
      <c r="G265" s="276">
        <f>G263+G239</f>
        <v>42144</v>
      </c>
      <c r="H265" s="276">
        <f>H263+H239</f>
        <v>42144</v>
      </c>
      <c r="I265" s="276">
        <f>I263+I239</f>
        <v>43643</v>
      </c>
      <c r="J265" s="276">
        <f>J263+J239</f>
        <v>45436</v>
      </c>
      <c r="K265" s="276">
        <f>K263+K239</f>
        <v>46917</v>
      </c>
      <c r="L265" s="276">
        <f>L263+L239</f>
        <v>48022</v>
      </c>
      <c r="M265" s="276">
        <f>M263+M239</f>
        <v>48022</v>
      </c>
      <c r="N265" s="276">
        <f>N263+N239</f>
        <v>48832</v>
      </c>
      <c r="O265" s="276">
        <f>O263+O239</f>
        <v>50113</v>
      </c>
      <c r="P265" s="276">
        <f>P263+P239</f>
        <v>49927</v>
      </c>
      <c r="Q265" s="276">
        <f>Q263+Q239</f>
        <v>51093</v>
      </c>
      <c r="R265" s="276">
        <f>R263+R239</f>
        <v>51093</v>
      </c>
      <c r="S265" s="276">
        <f>S263+S239</f>
        <v>50909</v>
      </c>
      <c r="T265" s="276">
        <f>T263+T239</f>
        <v>50907</v>
      </c>
      <c r="U265" s="276">
        <f>U263+U239</f>
        <v>51648</v>
      </c>
      <c r="V265" s="276">
        <f>V263+V239</f>
        <v>52506</v>
      </c>
      <c r="W265" s="276">
        <f>W263+W239</f>
        <v>52506</v>
      </c>
      <c r="X265" s="276">
        <f>X263+X239</f>
        <v>54198</v>
      </c>
      <c r="Y265" s="276">
        <f>Y263+Y239</f>
        <v>54635</v>
      </c>
      <c r="Z265" s="276">
        <f>Z263+Z239</f>
        <v>55400</v>
      </c>
      <c r="AA265" s="276">
        <f>AA263+AA239</f>
        <v>54848</v>
      </c>
      <c r="AB265" s="276">
        <f>AB263+AB239</f>
        <v>54848</v>
      </c>
      <c r="AC265" s="276">
        <f>AC263+AC239</f>
        <v>56022</v>
      </c>
      <c r="AD265" s="276">
        <f>AD263+AD239</f>
        <v>56492</v>
      </c>
      <c r="AE265" s="276">
        <f>AE263+AE239</f>
        <v>56828</v>
      </c>
      <c r="AF265" s="276">
        <f>AF263+AF239</f>
        <v>58167</v>
      </c>
      <c r="AG265" s="276">
        <f>AG263+AG239</f>
        <v>58167</v>
      </c>
      <c r="AH265" s="276">
        <f>AH263+AH239</f>
        <v>58840</v>
      </c>
      <c r="AI265" s="276">
        <f>AI263+AI239</f>
        <v>59727</v>
      </c>
      <c r="AJ265" s="276">
        <f>AJ263+AJ239</f>
        <v>54525</v>
      </c>
      <c r="AK265" s="276">
        <f>AK263+AK239</f>
        <v>54453</v>
      </c>
      <c r="AL265" s="276">
        <f>AL263+AL239</f>
        <v>54453</v>
      </c>
      <c r="AM265" s="276" t="e">
        <f>AM263+AM239</f>
        <v>#DIV/0!</v>
      </c>
      <c r="AN265" s="276">
        <f>AN263+AN239</f>
        <v>54039</v>
      </c>
      <c r="AO265" s="276" t="e">
        <f>AO263+AO239</f>
        <v>#DIV/0!</v>
      </c>
      <c r="AP265" s="276" t="e">
        <f>AP263+AP239</f>
        <v>#DIV/0!</v>
      </c>
      <c r="AQ265" s="276" t="e">
        <f>AQ263+AQ239</f>
        <v>#DIV/0!</v>
      </c>
      <c r="AR265" s="276" t="e">
        <f>AR263+AR239</f>
        <v>#DIV/0!</v>
      </c>
      <c r="AS265" s="276" t="e">
        <f>AS263+AS239</f>
        <v>#DIV/0!</v>
      </c>
      <c r="AT265" s="276" t="e">
        <f>AT263+AT239</f>
        <v>#DIV/0!</v>
      </c>
      <c r="AU265" s="276" t="e">
        <f>AU263+AU239</f>
        <v>#DIV/0!</v>
      </c>
      <c r="AV265" s="276" t="e">
        <f>AV263+AV239</f>
        <v>#DIV/0!</v>
      </c>
      <c r="AW265" s="276" t="e">
        <f>AW263+AW239</f>
        <v>#DIV/0!</v>
      </c>
      <c r="AX265" s="276" t="e">
        <f>AX263+AX239</f>
        <v>#DIV/0!</v>
      </c>
      <c r="AY265" s="276" t="e">
        <f>AY263+AY239</f>
        <v>#DIV/0!</v>
      </c>
      <c r="AZ265" s="276" t="e">
        <f>AZ263+AZ239</f>
        <v>#DIV/0!</v>
      </c>
      <c r="BA265" s="276" t="e">
        <f>BA263+BA239</f>
        <v>#DIV/0!</v>
      </c>
      <c r="BB265" s="276" t="e">
        <f>BB263+BB239</f>
        <v>#DIV/0!</v>
      </c>
      <c r="BC265" s="276" t="e">
        <f>BC263+BC239</f>
        <v>#DIV/0!</v>
      </c>
      <c r="BD265" s="276" t="e">
        <f>BD263+BD239</f>
        <v>#DIV/0!</v>
      </c>
      <c r="BE265" s="276" t="e">
        <f>BE263+BE239</f>
        <v>#DIV/0!</v>
      </c>
      <c r="BF265" s="276" t="e">
        <f>BF263+BF239</f>
        <v>#DIV/0!</v>
      </c>
      <c r="BG265" s="276" t="e">
        <f>BG263+BG239</f>
        <v>#DIV/0!</v>
      </c>
      <c r="BH265" s="276" t="e">
        <f>BH263+BH239</f>
        <v>#DIV/0!</v>
      </c>
      <c r="BI265" s="276" t="e">
        <f>BI263+BI239</f>
        <v>#DIV/0!</v>
      </c>
      <c r="BJ265" s="276" t="e">
        <f>BJ263+BJ239</f>
        <v>#DIV/0!</v>
      </c>
      <c r="BK265" s="276" t="e">
        <f>BK263+BK239</f>
        <v>#DIV/0!</v>
      </c>
      <c r="BL265" s="276" t="e">
        <f>BL263+BL239</f>
        <v>#DIV/0!</v>
      </c>
      <c r="BM265" s="276" t="e">
        <f>BM263+BM239</f>
        <v>#DIV/0!</v>
      </c>
      <c r="BN265" s="276" t="e">
        <f>BN263+BN239</f>
        <v>#DIV/0!</v>
      </c>
      <c r="BO265" s="276" t="e">
        <f>BO263+BO239</f>
        <v>#DIV/0!</v>
      </c>
      <c r="BP265" s="276" t="e">
        <f>BP263+BP239</f>
        <v>#DIV/0!</v>
      </c>
      <c r="BQ265" s="276" t="e">
        <f>BQ263+BQ239</f>
        <v>#DIV/0!</v>
      </c>
      <c r="BR265" s="276" t="e">
        <f>BR263+BR239</f>
        <v>#DIV/0!</v>
      </c>
      <c r="BS265" s="276" t="e">
        <f>BS263+BS239</f>
        <v>#DIV/0!</v>
      </c>
      <c r="BT265" s="276" t="e">
        <f>BT263+BT239</f>
        <v>#DIV/0!</v>
      </c>
      <c r="BU265" s="276" t="e">
        <f>BU263+BU239</f>
        <v>#DIV/0!</v>
      </c>
      <c r="BV265" s="276" t="e">
        <f>BV263+BV239</f>
        <v>#DIV/0!</v>
      </c>
      <c r="BW265" s="276" t="e">
        <f>BW263+BW239</f>
        <v>#DIV/0!</v>
      </c>
      <c r="BX265" s="276" t="e">
        <f>BX263+BX239</f>
        <v>#DIV/0!</v>
      </c>
      <c r="BY265" s="276" t="e">
        <f>BY263+BY239</f>
        <v>#DIV/0!</v>
      </c>
      <c r="BZ265" s="276" t="e">
        <f>BZ263+BZ239</f>
        <v>#DIV/0!</v>
      </c>
      <c r="CA265" s="276" t="e">
        <f>CA263+CA239</f>
        <v>#DIV/0!</v>
      </c>
      <c r="CB265" s="276" t="e">
        <f>CB263+CB239</f>
        <v>#DIV/0!</v>
      </c>
      <c r="CC265" s="276" t="e">
        <f>CC263+CC239</f>
        <v>#DIV/0!</v>
      </c>
      <c r="CD265" s="276" t="e">
        <f>CD263+CD239</f>
        <v>#DIV/0!</v>
      </c>
      <c r="CE265" s="276" t="e">
        <f>CE263+CE239</f>
        <v>#DIV/0!</v>
      </c>
      <c r="CF265" s="276" t="e">
        <f>CF263+CF239</f>
        <v>#DIV/0!</v>
      </c>
      <c r="CG265" s="276" t="e">
        <f>CG263+CG239</f>
        <v>#DIV/0!</v>
      </c>
      <c r="CH265" s="276" t="e">
        <f>CH263+CH239</f>
        <v>#DIV/0!</v>
      </c>
      <c r="CI265" s="276" t="e">
        <f>CI263+CI239</f>
        <v>#DIV/0!</v>
      </c>
      <c r="CJ265" s="276" t="e">
        <f>CJ263+CJ239</f>
        <v>#DIV/0!</v>
      </c>
      <c r="CK265" s="276" t="e">
        <f>CK263+CK239</f>
        <v>#DIV/0!</v>
      </c>
      <c r="CL265" s="276" t="e">
        <f>CL263+CL239</f>
        <v>#DIV/0!</v>
      </c>
      <c r="CM265" s="276" t="e">
        <f>CM263+CM239</f>
        <v>#DIV/0!</v>
      </c>
      <c r="CN265" s="276" t="e">
        <f>CN263+CN239</f>
        <v>#DIV/0!</v>
      </c>
      <c r="CO265" s="276" t="e">
        <f>CO263+CO239</f>
        <v>#DIV/0!</v>
      </c>
      <c r="CP265" s="276" t="e">
        <f>CP263+CP239</f>
        <v>#DIV/0!</v>
      </c>
      <c r="CQ265" s="276" t="e">
        <f>CQ263+CQ239</f>
        <v>#DIV/0!</v>
      </c>
      <c r="CR265" s="276" t="e">
        <f>CR263+CR239</f>
        <v>#DIV/0!</v>
      </c>
      <c r="CS265" s="276" t="e">
        <f>CS263+CS239</f>
        <v>#DIV/0!</v>
      </c>
      <c r="CT265" s="276" t="e">
        <f>CT263+CT239</f>
        <v>#DIV/0!</v>
      </c>
      <c r="CU265" s="276" t="e">
        <f>CU263+CU239</f>
        <v>#DIV/0!</v>
      </c>
      <c r="CV265" s="276" t="e">
        <f>CV263+CV239</f>
        <v>#DIV/0!</v>
      </c>
      <c r="CW265" s="276" t="e">
        <f>CW263+CW239</f>
        <v>#DIV/0!</v>
      </c>
      <c r="CX265" s="276" t="e">
        <f>CX263+CX239</f>
        <v>#DIV/0!</v>
      </c>
      <c r="CY265" s="276" t="e">
        <f>CY263+CY239</f>
        <v>#DIV/0!</v>
      </c>
    </row>
    <row r="266" ht="12.75" customHeight="1" s="255">
      <c r="C266" s="274" t="n"/>
      <c r="D266" s="259" t="n"/>
      <c r="E266" s="259" t="n"/>
      <c r="F266" s="259" t="n"/>
      <c r="G266" s="259" t="n"/>
      <c r="H266" s="259" t="n"/>
      <c r="I266" s="259" t="n"/>
      <c r="J266" s="259" t="n"/>
      <c r="K266" s="259" t="n"/>
      <c r="L266" s="259" t="n"/>
      <c r="M266" s="259" t="n"/>
      <c r="N266" s="259" t="n"/>
      <c r="O266" s="259" t="n"/>
      <c r="P266" s="259" t="n"/>
      <c r="Q266" s="259" t="n"/>
      <c r="R266" s="259" t="n"/>
      <c r="S266" s="259" t="n"/>
      <c r="T266" s="259" t="n"/>
      <c r="U266" s="259" t="n"/>
      <c r="V266" s="259" t="n"/>
      <c r="W266" s="259" t="n"/>
      <c r="X266" s="259" t="n"/>
      <c r="Y266" s="259" t="n"/>
      <c r="Z266" s="259" t="n"/>
      <c r="AA266" s="259" t="n"/>
      <c r="AB266" s="259" t="n"/>
      <c r="AC266" s="259" t="n"/>
      <c r="AD266" s="259" t="n"/>
      <c r="AE266" s="259" t="n"/>
      <c r="AF266" s="259" t="n"/>
      <c r="AG266" s="259" t="n"/>
      <c r="AH266" s="259" t="n"/>
      <c r="AI266" s="259" t="n"/>
      <c r="AJ266" s="259" t="n"/>
      <c r="AK266" s="259" t="n"/>
      <c r="AL266" s="259" t="n"/>
      <c r="AM266" s="259" t="n"/>
      <c r="AN266" s="259" t="n"/>
      <c r="AO266" s="259" t="n"/>
      <c r="AP266" s="259" t="n"/>
      <c r="AQ266" s="259" t="n"/>
      <c r="AR266" s="259" t="n"/>
      <c r="AS266" s="259" t="n"/>
      <c r="AT266" s="259" t="n"/>
      <c r="AU266" s="259" t="n"/>
      <c r="AV266" s="259" t="n"/>
      <c r="AW266" s="259" t="n"/>
      <c r="AX266" s="259" t="n"/>
      <c r="AY266" s="259" t="n"/>
      <c r="AZ266" s="259" t="n"/>
      <c r="BA266" s="259" t="n"/>
      <c r="BB266" s="259" t="n"/>
      <c r="BC266" s="259" t="n"/>
      <c r="BD266" s="259" t="n"/>
      <c r="BE266" s="259" t="n"/>
      <c r="BF266" s="259" t="n"/>
      <c r="BG266" s="259" t="n"/>
      <c r="BH266" s="259" t="n"/>
      <c r="BI266" s="259" t="n"/>
      <c r="BJ266" s="259" t="n"/>
      <c r="BK266" s="259" t="n"/>
      <c r="BL266" s="259" t="n"/>
      <c r="BM266" s="259" t="n"/>
      <c r="BN266" s="259" t="n"/>
      <c r="BO266" s="259" t="n"/>
      <c r="BP266" s="259" t="n"/>
      <c r="BQ266" s="259" t="n"/>
      <c r="BR266" s="259" t="n"/>
      <c r="BS266" s="259" t="n"/>
      <c r="BT266" s="259" t="n"/>
      <c r="BU266" s="259" t="n"/>
      <c r="BV266" s="259" t="n"/>
      <c r="BW266" s="259" t="n"/>
      <c r="BX266" s="259" t="n"/>
      <c r="BY266" s="259" t="n"/>
      <c r="BZ266" s="259" t="n"/>
      <c r="CA266" s="259" t="n"/>
      <c r="CB266" s="259" t="n"/>
      <c r="CC266" s="259" t="n"/>
      <c r="CD266" s="259" t="n"/>
      <c r="CE266" s="259" t="n"/>
      <c r="CF266" s="259" t="n"/>
      <c r="CG266" s="259" t="n"/>
      <c r="CH266" s="259" t="n"/>
      <c r="CI266" s="259" t="n"/>
      <c r="CJ266" s="259" t="n"/>
      <c r="CK266" s="259" t="n"/>
      <c r="CL266" s="259" t="n"/>
      <c r="CM266" s="259" t="n"/>
      <c r="CN266" s="259" t="n"/>
      <c r="CO266" s="259" t="n"/>
      <c r="CP266" s="259" t="n"/>
      <c r="CQ266" s="259" t="n"/>
      <c r="CR266" s="259" t="n"/>
      <c r="CS266" s="259" t="n"/>
      <c r="CT266" s="259" t="n"/>
      <c r="CU266" s="259" t="n"/>
      <c r="CV266" s="259" t="n"/>
      <c r="CW266" s="259" t="n"/>
      <c r="CX266" s="259" t="n"/>
      <c r="CY266" s="259" t="n"/>
    </row>
    <row r="267" ht="12.75" customFormat="1" customHeight="1" s="287">
      <c r="A267" s="288" t="n"/>
      <c r="B267" s="288" t="n"/>
      <c r="C267" s="289" t="inlineStr">
        <is>
          <t>Cash Flow Statement</t>
        </is>
      </c>
      <c r="D267" s="327" t="str">
        <f>D134</f>
        <v>1Q20</v>
      </c>
      <c r="E267" s="327" t="str">
        <f>E134</f>
        <v>2Q20</v>
      </c>
      <c r="F267" s="327" t="str">
        <f>F134</f>
        <v>3Q20</v>
      </c>
      <c r="G267" s="327" t="str">
        <f>G134</f>
        <v>4Q20</v>
      </c>
      <c r="H267" s="327">
        <f>H134</f>
        <v>2020</v>
      </c>
      <c r="I267" s="327" t="str">
        <f>I134</f>
        <v>1Q21</v>
      </c>
      <c r="J267" s="327" t="str">
        <f>J134</f>
        <v>2Q21</v>
      </c>
      <c r="K267" s="327" t="str">
        <f>K134</f>
        <v>3Q21</v>
      </c>
      <c r="L267" s="327" t="str">
        <f>L134</f>
        <v>4Q21</v>
      </c>
      <c r="M267" s="327">
        <f>M134</f>
        <v>2021</v>
      </c>
      <c r="N267" s="327" t="str">
        <f>N134</f>
        <v>1Q22</v>
      </c>
      <c r="O267" s="327" t="str">
        <f>O134</f>
        <v>2Q22</v>
      </c>
      <c r="P267" s="327" t="str">
        <f>P134</f>
        <v>3Q22</v>
      </c>
      <c r="Q267" s="327" t="str">
        <f>Q134</f>
        <v>4Q22</v>
      </c>
      <c r="R267" s="327">
        <f>R134</f>
        <v>2022</v>
      </c>
      <c r="S267" s="327" t="str">
        <f>S134</f>
        <v>1Q23</v>
      </c>
      <c r="T267" s="327" t="str">
        <f>T134</f>
        <v>2Q23</v>
      </c>
      <c r="U267" s="327" t="str">
        <f>U134</f>
        <v>3Q23</v>
      </c>
      <c r="V267" s="327" t="str">
        <f>V134</f>
        <v>4Q23</v>
      </c>
      <c r="W267" s="327">
        <f>W134</f>
        <v>2023</v>
      </c>
      <c r="X267" s="327" t="str">
        <f>X134</f>
        <v>1Q24</v>
      </c>
      <c r="Y267" s="327" t="str">
        <f>Y134</f>
        <v>2Q24</v>
      </c>
      <c r="Z267" s="327" t="str">
        <f>Z134</f>
        <v>3Q24</v>
      </c>
      <c r="AA267" s="327" t="str">
        <f>AA134</f>
        <v>4Q24</v>
      </c>
      <c r="AB267" s="327">
        <f>AB134</f>
        <v>2024</v>
      </c>
      <c r="AC267" s="327" t="str">
        <f>AC134</f>
        <v>1Q25</v>
      </c>
      <c r="AD267" s="327" t="str">
        <f>AD134</f>
        <v>2Q25</v>
      </c>
      <c r="AE267" s="327" t="str">
        <f>AE134</f>
        <v>3Q25</v>
      </c>
      <c r="AF267" s="327" t="str">
        <f>AF134</f>
        <v>4Q25</v>
      </c>
      <c r="AG267" s="327">
        <f>AG134</f>
        <v>2025</v>
      </c>
      <c r="AH267" s="327" t="str">
        <f>AH134</f>
        <v>1Q26</v>
      </c>
      <c r="AI267" s="327" t="str">
        <f>AI134</f>
        <v>2Q26</v>
      </c>
      <c r="AJ267" s="327" t="str">
        <f>AJ134</f>
        <v>3Q26</v>
      </c>
      <c r="AK267" s="327" t="str">
        <f>AK134</f>
        <v>4Q26</v>
      </c>
      <c r="AL267" s="327">
        <f>AL134</f>
        <v>2026</v>
      </c>
      <c r="AM267" s="327" t="str">
        <f>AM134</f>
        <v>1Q27</v>
      </c>
      <c r="AN267" s="327" t="str">
        <f>AN134</f>
        <v>2Q27</v>
      </c>
      <c r="AO267" s="327" t="str">
        <f>AO134</f>
        <v>3Q27</v>
      </c>
      <c r="AP267" s="327" t="str">
        <f>AP134</f>
        <v>4Q27</v>
      </c>
      <c r="AQ267" s="327">
        <f>AQ134</f>
        <v>2027</v>
      </c>
      <c r="AR267" s="327" t="str">
        <f>AR134</f>
        <v>1Q28</v>
      </c>
      <c r="AS267" s="327" t="str">
        <f>AS134</f>
        <v>2Q28</v>
      </c>
      <c r="AT267" s="327" t="str">
        <f>AT134</f>
        <v>3Q28</v>
      </c>
      <c r="AU267" s="327" t="str">
        <f>AU134</f>
        <v>4Q28</v>
      </c>
      <c r="AV267" s="327">
        <f>AV134</f>
        <v>2028</v>
      </c>
      <c r="AW267" s="327" t="str">
        <f>AW134</f>
        <v>1Q29</v>
      </c>
      <c r="AX267" s="327" t="str">
        <f>AX134</f>
        <v>2Q29</v>
      </c>
      <c r="AY267" s="327" t="str">
        <f>AY134</f>
        <v>3Q29</v>
      </c>
      <c r="AZ267" s="327" t="str">
        <f>AZ134</f>
        <v>4Q29</v>
      </c>
      <c r="BA267" s="327">
        <f>BA134</f>
        <v>2029</v>
      </c>
      <c r="BB267" s="327" t="str">
        <f>BB134</f>
        <v>1Q30</v>
      </c>
      <c r="BC267" s="327" t="str">
        <f>BC134</f>
        <v>2Q30</v>
      </c>
      <c r="BD267" s="327" t="str">
        <f>BD134</f>
        <v>3Q30</v>
      </c>
      <c r="BE267" s="327" t="str">
        <f>BE134</f>
        <v>4Q30</v>
      </c>
      <c r="BF267" s="327">
        <f>BF134</f>
        <v>2030</v>
      </c>
      <c r="BG267" s="327" t="str">
        <f>BG134</f>
        <v>1Q31</v>
      </c>
      <c r="BH267" s="327" t="str">
        <f>BH134</f>
        <v>2Q31</v>
      </c>
      <c r="BI267" s="327" t="str">
        <f>BI134</f>
        <v>3Q31</v>
      </c>
      <c r="BJ267" s="327" t="str">
        <f>BJ134</f>
        <v>4Q31</v>
      </c>
      <c r="BK267" s="327">
        <f>BK134</f>
        <v>2031</v>
      </c>
      <c r="BL267" s="327" t="str">
        <f>BL134</f>
        <v>1Q32</v>
      </c>
      <c r="BM267" s="327" t="str">
        <f>BM134</f>
        <v>2Q32</v>
      </c>
      <c r="BN267" s="327" t="str">
        <f>BN134</f>
        <v>3Q32</v>
      </c>
      <c r="BO267" s="327" t="str">
        <f>BO134</f>
        <v>4Q32</v>
      </c>
      <c r="BP267" s="327">
        <f>BP134</f>
        <v>2032</v>
      </c>
      <c r="BQ267" s="327" t="str">
        <f>BQ134</f>
        <v>1Q33</v>
      </c>
      <c r="BR267" s="327" t="str">
        <f>BR134</f>
        <v>2Q33</v>
      </c>
      <c r="BS267" s="327" t="str">
        <f>BS134</f>
        <v>3Q33</v>
      </c>
      <c r="BT267" s="327" t="str">
        <f>BT134</f>
        <v>4Q33</v>
      </c>
      <c r="BU267" s="327">
        <f>BU134</f>
        <v>2033</v>
      </c>
      <c r="BV267" s="327" t="str">
        <f>BV134</f>
        <v>1Q34</v>
      </c>
      <c r="BW267" s="327" t="str">
        <f>BW134</f>
        <v>2Q34</v>
      </c>
      <c r="BX267" s="327" t="str">
        <f>BX134</f>
        <v>3Q34</v>
      </c>
      <c r="BY267" s="327" t="str">
        <f>BY134</f>
        <v>4Q34</v>
      </c>
      <c r="BZ267" s="327">
        <f>BZ134</f>
        <v>2034</v>
      </c>
      <c r="CA267" s="327" t="str">
        <f>CA134</f>
        <v>1Q35</v>
      </c>
      <c r="CB267" s="327" t="str">
        <f>CB134</f>
        <v>2Q35</v>
      </c>
      <c r="CC267" s="327" t="str">
        <f>CC134</f>
        <v>3Q35</v>
      </c>
      <c r="CD267" s="327" t="str">
        <f>CD134</f>
        <v>4Q35</v>
      </c>
      <c r="CE267" s="327">
        <f>CE134</f>
        <v>2035</v>
      </c>
      <c r="CF267" s="327" t="str">
        <f>CF134</f>
        <v>1Q36</v>
      </c>
      <c r="CG267" s="327" t="str">
        <f>CG134</f>
        <v>2Q36</v>
      </c>
      <c r="CH267" s="327" t="str">
        <f>CH134</f>
        <v>3Q36</v>
      </c>
      <c r="CI267" s="327" t="str">
        <f>CI134</f>
        <v>4Q36</v>
      </c>
      <c r="CJ267" s="327">
        <f>CJ134</f>
        <v>2036</v>
      </c>
      <c r="CK267" s="327" t="str">
        <f>CK134</f>
        <v>1Q37</v>
      </c>
      <c r="CL267" s="327" t="str">
        <f>CL134</f>
        <v>2Q37</v>
      </c>
      <c r="CM267" s="327" t="str">
        <f>CM134</f>
        <v>3Q37</v>
      </c>
      <c r="CN267" s="327" t="str">
        <f>CN134</f>
        <v>4Q37</v>
      </c>
      <c r="CO267" s="327">
        <f>CO134</f>
        <v>2037</v>
      </c>
      <c r="CP267" s="327" t="str">
        <f>CP134</f>
        <v>1Q38</v>
      </c>
      <c r="CQ267" s="327" t="str">
        <f>CQ134</f>
        <v>2Q38</v>
      </c>
      <c r="CR267" s="327" t="str">
        <f>CR134</f>
        <v>3Q38</v>
      </c>
      <c r="CS267" s="327" t="str">
        <f>CS134</f>
        <v>4Q38</v>
      </c>
      <c r="CT267" s="327">
        <f>CT134</f>
        <v>2038</v>
      </c>
      <c r="CU267" s="327" t="str">
        <f>CU134</f>
        <v>1Q39</v>
      </c>
      <c r="CV267" s="327" t="str">
        <f>CV134</f>
        <v>2Q39</v>
      </c>
      <c r="CW267" s="327" t="str">
        <f>CW134</f>
        <v>3Q39</v>
      </c>
      <c r="CX267" s="327" t="str">
        <f>CX134</f>
        <v>4Q39</v>
      </c>
      <c r="CY267" s="327">
        <f>CY134</f>
        <v>2039</v>
      </c>
    </row>
    <row r="268" ht="12.75" customHeight="1" s="255">
      <c r="C268" s="274" t="n"/>
      <c r="D268" s="259" t="n"/>
      <c r="E268" s="259" t="n"/>
      <c r="F268" s="259" t="n"/>
      <c r="G268" s="259" t="n"/>
      <c r="H268" s="259" t="n"/>
      <c r="I268" s="259" t="n"/>
      <c r="J268" s="259" t="n"/>
      <c r="K268" s="259" t="n"/>
      <c r="L268" s="259" t="n"/>
      <c r="M268" s="259" t="n"/>
      <c r="N268" s="259" t="n"/>
      <c r="O268" s="259" t="n"/>
      <c r="P268" s="259" t="n"/>
      <c r="Q268" s="259" t="n"/>
      <c r="R268" s="259" t="n"/>
      <c r="S268" s="259" t="n"/>
      <c r="T268" s="259" t="n"/>
      <c r="U268" s="259" t="n"/>
      <c r="V268" s="259" t="n"/>
      <c r="W268" s="259" t="n"/>
      <c r="X268" s="259" t="n"/>
      <c r="Y268" s="259" t="n"/>
      <c r="Z268" s="259" t="n"/>
      <c r="AA268" s="259" t="n"/>
      <c r="AB268" s="259" t="n"/>
      <c r="AC268" s="259" t="n"/>
      <c r="AD268" s="259" t="n"/>
      <c r="AE268" s="259" t="n"/>
      <c r="AF268" s="259" t="n"/>
      <c r="AG268" s="259" t="n"/>
      <c r="AH268" s="259" t="n"/>
      <c r="AI268" s="259" t="n"/>
      <c r="AJ268" s="259" t="n"/>
      <c r="AK268" s="259" t="n"/>
      <c r="AL268" s="259" t="n"/>
      <c r="AM268" s="259" t="n"/>
      <c r="AN268" s="259" t="n"/>
      <c r="AO268" s="259" t="n"/>
      <c r="AP268" s="259" t="n"/>
      <c r="AQ268" s="259" t="n"/>
      <c r="AR268" s="259" t="n"/>
      <c r="AS268" s="259" t="n"/>
      <c r="AT268" s="259" t="n"/>
      <c r="AU268" s="259" t="n"/>
      <c r="AV268" s="259" t="n"/>
      <c r="AW268" s="259" t="n"/>
      <c r="AX268" s="259" t="n"/>
      <c r="AY268" s="259" t="n"/>
      <c r="AZ268" s="259" t="n"/>
      <c r="BA268" s="259" t="n"/>
      <c r="BB268" s="259" t="n"/>
      <c r="BC268" s="259" t="n"/>
      <c r="BD268" s="259" t="n"/>
      <c r="BE268" s="259" t="n"/>
      <c r="BF268" s="259" t="n"/>
      <c r="BG268" s="259" t="n"/>
      <c r="BH268" s="259" t="n"/>
      <c r="BI268" s="259" t="n"/>
      <c r="BJ268" s="259" t="n"/>
      <c r="BK268" s="259" t="n"/>
      <c r="BL268" s="259" t="n"/>
      <c r="BM268" s="259" t="n"/>
      <c r="BN268" s="259" t="n"/>
      <c r="BO268" s="259" t="n"/>
      <c r="BP268" s="259" t="n"/>
      <c r="BQ268" s="259" t="n"/>
      <c r="BR268" s="259" t="n"/>
      <c r="BS268" s="259" t="n"/>
      <c r="BT268" s="259" t="n"/>
      <c r="BU268" s="259" t="n"/>
      <c r="BV268" s="259" t="n"/>
      <c r="BW268" s="259" t="n"/>
      <c r="BX268" s="259" t="n"/>
      <c r="BY268" s="259" t="n"/>
      <c r="BZ268" s="259" t="n"/>
      <c r="CA268" s="259" t="n"/>
      <c r="CB268" s="259" t="n"/>
      <c r="CC268" s="259" t="n"/>
      <c r="CD268" s="259" t="n"/>
      <c r="CE268" s="259" t="n"/>
      <c r="CF268" s="259" t="n"/>
      <c r="CG268" s="259" t="n"/>
      <c r="CH268" s="259" t="n"/>
      <c r="CI268" s="259" t="n"/>
      <c r="CJ268" s="259" t="n"/>
      <c r="CK268" s="259" t="n"/>
      <c r="CL268" s="259" t="n"/>
      <c r="CM268" s="259" t="n"/>
      <c r="CN268" s="259" t="n"/>
      <c r="CO268" s="259" t="n"/>
      <c r="CP268" s="259" t="n"/>
      <c r="CQ268" s="259" t="n"/>
      <c r="CR268" s="259" t="n"/>
      <c r="CS268" s="259" t="n"/>
      <c r="CT268" s="259" t="n"/>
      <c r="CU268" s="259" t="n"/>
      <c r="CV268" s="259" t="n"/>
      <c r="CW268" s="259" t="n"/>
      <c r="CX268" s="259" t="n"/>
      <c r="CY268" s="259" t="n"/>
    </row>
    <row r="269" ht="12.75" customHeight="1" s="255">
      <c r="C269" s="266" t="inlineStr">
        <is>
          <t>Net Income</t>
        </is>
      </c>
      <c r="D269" s="268" t="n"/>
      <c r="E269" s="268">
        <f>E129</f>
        <v>53</v>
      </c>
      <c r="F269" s="268">
        <f>F129</f>
        <v>329</v>
      </c>
      <c r="G269" s="268">
        <f>G129</f>
        <v>708</v>
      </c>
      <c r="H269" s="268">
        <f>SUM(D269:G269)</f>
        <v>1090</v>
      </c>
      <c r="I269" s="268">
        <f>I129</f>
        <v>718</v>
      </c>
      <c r="J269" s="268">
        <f>J129</f>
        <v>1083</v>
      </c>
      <c r="K269" s="268">
        <f>K129</f>
        <v>1399</v>
      </c>
      <c r="L269" s="268">
        <f>L129</f>
        <v>1106</v>
      </c>
      <c r="M269" s="268">
        <f>SUM(I269:L269)</f>
        <v>4306</v>
      </c>
      <c r="N269" s="268">
        <f>N129</f>
        <v>1527</v>
      </c>
      <c r="O269" s="268">
        <f>O129</f>
        <v>840</v>
      </c>
      <c r="P269" s="268">
        <f>P129</f>
        <v>404</v>
      </c>
      <c r="Q269" s="268">
        <f>Q129</f>
        <v>697</v>
      </c>
      <c r="R269" s="268">
        <f>SUM(N269:Q269)</f>
        <v>3468</v>
      </c>
      <c r="S269" s="268">
        <f>S129</f>
        <v>663</v>
      </c>
      <c r="T269" s="268">
        <f>T129</f>
        <v>343</v>
      </c>
      <c r="U269" s="268">
        <f>U129</f>
        <v>454</v>
      </c>
      <c r="V269" s="268">
        <f>V129</f>
        <v>388</v>
      </c>
      <c r="W269" s="268">
        <f>SUM(S269:V269)</f>
        <v>1848</v>
      </c>
      <c r="X269" s="268">
        <f>X129</f>
        <v>473</v>
      </c>
      <c r="Y269" s="268">
        <f>Y129</f>
        <v>616</v>
      </c>
      <c r="Z269" s="268">
        <f>Z129</f>
        <v>526</v>
      </c>
      <c r="AA269" s="268">
        <f>AA129</f>
        <v>274</v>
      </c>
      <c r="AB269" s="268">
        <f>SUM(X269:AA269)</f>
        <v>1889</v>
      </c>
      <c r="AC269" s="268">
        <f>AC129</f>
        <v>352</v>
      </c>
      <c r="AD269" s="268">
        <f>AD129</f>
        <v>772</v>
      </c>
      <c r="AE269" s="268">
        <f>AE129</f>
        <v>674</v>
      </c>
      <c r="AF269" s="268">
        <f>AF129</f>
        <v>406</v>
      </c>
      <c r="AG269" s="268">
        <f>SUM(AC269:AF269)</f>
        <v>2204</v>
      </c>
      <c r="AH269" s="268">
        <f>AH129</f>
        <v>881</v>
      </c>
      <c r="AI269" s="268">
        <f>AI129</f>
        <v>984</v>
      </c>
      <c r="AJ269" s="268">
        <f>AJ129</f>
        <v>-684</v>
      </c>
      <c r="AK269" s="268">
        <f>AK129</f>
        <v>-231</v>
      </c>
      <c r="AL269" s="268">
        <f>SUM(AH269:AK269)</f>
        <v>950</v>
      </c>
      <c r="AM269" s="268">
        <f>AM129</f>
        <v>-573</v>
      </c>
      <c r="AN269" s="268">
        <f>AN129</f>
        <v>-754</v>
      </c>
      <c r="AO269" s="268">
        <f>AO129</f>
        <v>-654</v>
      </c>
      <c r="AP269" s="268">
        <f>AP129</f>
        <v>-510</v>
      </c>
      <c r="AQ269" s="268">
        <f>SUM(AM269:AP269)</f>
        <v>-2491</v>
      </c>
      <c r="AR269" s="268">
        <f>AR129</f>
        <v>-852</v>
      </c>
      <c r="AS269" s="268">
        <f>AS129</f>
        <v>-1252</v>
      </c>
      <c r="AT269" s="268">
        <f>AT129</f>
        <v>-933</v>
      </c>
      <c r="AU269" s="268">
        <f>AU129</f>
        <v>-1008</v>
      </c>
      <c r="AV269" s="268">
        <f>SUM(AR269:AU269)</f>
        <v>-4045</v>
      </c>
      <c r="AW269" s="268">
        <f>AW129</f>
        <v>-1350</v>
      </c>
      <c r="AX269" s="268">
        <f>AX129</f>
        <v>-2806</v>
      </c>
      <c r="AY269" s="268">
        <f>AY129</f>
        <v>-1431</v>
      </c>
      <c r="AZ269" s="268">
        <f>AZ129</f>
        <v>-2562</v>
      </c>
      <c r="BA269" s="268">
        <f>SUM(AW269:AZ269)</f>
        <v>-8149</v>
      </c>
      <c r="BB269" s="268">
        <f>BB129</f>
        <v>-2904</v>
      </c>
      <c r="BC269" s="268">
        <f>BC129</f>
        <v>-6910</v>
      </c>
      <c r="BD269" s="268">
        <f>BD129</f>
        <v>-2985</v>
      </c>
      <c r="BE269" s="268">
        <f>BE129</f>
        <v>-6666</v>
      </c>
      <c r="BF269" s="268">
        <f>SUM(BB269:BE269)</f>
        <v>-19465</v>
      </c>
      <c r="BG269" s="268">
        <f>BG129</f>
        <v>-7008</v>
      </c>
      <c r="BH269" s="268">
        <f>BH129</f>
        <v>-18226</v>
      </c>
      <c r="BI269" s="268">
        <f>BI129</f>
        <v>-7089</v>
      </c>
      <c r="BJ269" s="268">
        <f>BJ129</f>
        <v>-17982</v>
      </c>
      <c r="BK269" s="268">
        <f>SUM(BG269:BJ269)</f>
        <v>-50305</v>
      </c>
      <c r="BL269" s="268">
        <f>BL129</f>
        <v>-18324</v>
      </c>
      <c r="BM269" s="268">
        <f>BM129</f>
        <v>-49066</v>
      </c>
      <c r="BN269" s="268">
        <f>BN129</f>
        <v>-18405</v>
      </c>
      <c r="BO269" s="268">
        <f>BO129</f>
        <v>-48822</v>
      </c>
      <c r="BP269" s="268">
        <f>SUM(BL269:BO269)</f>
        <v>-134617</v>
      </c>
      <c r="BQ269" s="268">
        <f>BQ129</f>
        <v>-49164</v>
      </c>
      <c r="BR269" s="268">
        <f>BR129</f>
        <v>-133378</v>
      </c>
      <c r="BS269" s="268">
        <f>BS129</f>
        <v>-49245</v>
      </c>
      <c r="BT269" s="268">
        <f>BT129</f>
        <v>-133134</v>
      </c>
      <c r="BU269" s="268">
        <f>SUM(BQ269:BT269)</f>
        <v>-364921</v>
      </c>
      <c r="BV269" s="268">
        <f>BV129</f>
        <v>-133476</v>
      </c>
      <c r="BW269" s="268">
        <f>BW129</f>
        <v>-363682</v>
      </c>
      <c r="BX269" s="268">
        <f>BX129</f>
        <v>-133557</v>
      </c>
      <c r="BY269" s="268">
        <f>BY129</f>
        <v>-363438</v>
      </c>
      <c r="BZ269" s="268">
        <f>SUM(BV269:BY269)</f>
        <v>-994153</v>
      </c>
      <c r="CA269" s="268">
        <f>CA129</f>
        <v>-363780</v>
      </c>
      <c r="CB269" s="268">
        <f>CB129</f>
        <v>-992914</v>
      </c>
      <c r="CC269" s="268">
        <f>CC129</f>
        <v>-363861</v>
      </c>
      <c r="CD269" s="268">
        <f>CD129</f>
        <v>-992670</v>
      </c>
      <c r="CE269" s="268">
        <f>SUM(CA269:CD269)</f>
        <v>-2713225</v>
      </c>
      <c r="CF269" s="268">
        <f>CF129</f>
        <v>-993012</v>
      </c>
      <c r="CG269" s="268">
        <f>CG129</f>
        <v>-2711986</v>
      </c>
      <c r="CH269" s="268">
        <f>CH129</f>
        <v>-993093</v>
      </c>
      <c r="CI269" s="268">
        <f>CI129</f>
        <v>-2711742</v>
      </c>
      <c r="CJ269" s="268">
        <f>SUM(CF269:CI269)</f>
        <v>-7409833</v>
      </c>
      <c r="CK269" s="268">
        <f>CK129</f>
        <v>-2712084</v>
      </c>
      <c r="CL269" s="268">
        <f>CL129</f>
        <v>-7408594</v>
      </c>
      <c r="CM269" s="268">
        <f>CM129</f>
        <v>-2712165</v>
      </c>
      <c r="CN269" s="268">
        <f>CN129</f>
        <v>-7408350</v>
      </c>
      <c r="CO269" s="268">
        <f>SUM(CK269:CN269)</f>
        <v>-20241193</v>
      </c>
      <c r="CP269" s="268">
        <f>CP129</f>
        <v>-7408692</v>
      </c>
      <c r="CQ269" s="268">
        <f>CQ129</f>
        <v>-20239954</v>
      </c>
      <c r="CR269" s="268">
        <f>CR129</f>
        <v>-7408773</v>
      </c>
      <c r="CS269" s="268">
        <f>CS129</f>
        <v>-20239710</v>
      </c>
      <c r="CT269" s="268">
        <f>SUM(CP269:CS269)</f>
        <v>-55297129</v>
      </c>
      <c r="CU269" s="268">
        <f>CU129</f>
        <v>-20240052</v>
      </c>
      <c r="CV269" s="268">
        <f>CV129</f>
        <v>-55295890</v>
      </c>
      <c r="CW269" s="268">
        <f>CW129</f>
        <v>-20240133</v>
      </c>
      <c r="CX269" s="268">
        <f>CX129</f>
        <v>-55295646</v>
      </c>
      <c r="CY269" s="268">
        <f>SUM(CU269:CX269)</f>
        <v>-151071721</v>
      </c>
    </row>
    <row r="270" ht="12.75" customHeight="1" s="255">
      <c r="C270" s="266" t="inlineStr">
        <is>
          <t>Depreciation &amp; amortization</t>
        </is>
      </c>
      <c r="D270" s="268" t="n"/>
      <c r="E270" s="268">
        <f>-E62</f>
        <v>358</v>
      </c>
      <c r="F270" s="268">
        <f>-F62</f>
        <v>394</v>
      </c>
      <c r="G270" s="268">
        <f>-G62</f>
        <v>435</v>
      </c>
      <c r="H270" s="268">
        <f>SUM(D270:G270)</f>
        <v>1187</v>
      </c>
      <c r="I270" s="268">
        <f>-I62</f>
        <v>419</v>
      </c>
      <c r="J270" s="268">
        <f>-J62</f>
        <v>483</v>
      </c>
      <c r="K270" s="268">
        <f>-K62</f>
        <v>528</v>
      </c>
      <c r="L270" s="268">
        <f>-L62</f>
        <v>568</v>
      </c>
      <c r="M270" s="268">
        <f>SUM(I270:L270)</f>
        <v>1998</v>
      </c>
      <c r="N270" s="268">
        <f>-N62</f>
        <v>489</v>
      </c>
      <c r="O270" s="268">
        <f>-O62</f>
        <v>507</v>
      </c>
      <c r="P270" s="268">
        <f>-P62</f>
        <v>508</v>
      </c>
      <c r="Q270" s="268">
        <f>-Q62</f>
        <v>515</v>
      </c>
      <c r="R270" s="268">
        <f>SUM(N270:Q270)</f>
        <v>2019</v>
      </c>
      <c r="S270" s="268">
        <f>-S62</f>
        <v>399</v>
      </c>
      <c r="T270" s="268">
        <f>-T62</f>
        <v>547</v>
      </c>
      <c r="U270" s="268">
        <f>-U62</f>
        <v>533</v>
      </c>
      <c r="V270" s="268">
        <f>-V62</f>
        <v>589</v>
      </c>
      <c r="W270" s="268">
        <f>SUM(S270:V270)</f>
        <v>2068</v>
      </c>
      <c r="X270" s="268">
        <f>-X62</f>
        <v>595</v>
      </c>
      <c r="Y270" s="268">
        <f>-Y62</f>
        <v>509</v>
      </c>
      <c r="Z270" s="268">
        <f>-Z62</f>
        <v>600</v>
      </c>
      <c r="AA270" s="268">
        <f>-AA62</f>
        <v>537</v>
      </c>
      <c r="AB270" s="268">
        <f>SUM(X270:AA270)</f>
        <v>2241</v>
      </c>
      <c r="AC270" s="268">
        <f>-AC62</f>
        <v>466</v>
      </c>
      <c r="AD270" s="268">
        <f>-AD62</f>
        <v>668</v>
      </c>
      <c r="AE270" s="268">
        <f>-AE62</f>
        <v>625</v>
      </c>
      <c r="AF270" s="268">
        <f>-AF62</f>
        <v>485</v>
      </c>
      <c r="AG270" s="268">
        <f>SUM(AC270:AF270)</f>
        <v>2244</v>
      </c>
      <c r="AH270" s="268">
        <f>-AH62</f>
        <v>514</v>
      </c>
      <c r="AI270" s="268">
        <f>-AI62</f>
        <v>523</v>
      </c>
      <c r="AJ270" s="268">
        <f>-AJ62</f>
        <v>0</v>
      </c>
      <c r="AK270" s="268">
        <f>-AK62</f>
        <v>0</v>
      </c>
      <c r="AL270" s="268">
        <f>SUM(AH270:AK270)</f>
        <v>1037</v>
      </c>
      <c r="AM270" s="268">
        <f>-AM62</f>
        <v>0</v>
      </c>
      <c r="AN270" s="268">
        <f>-AN62</f>
        <v>0</v>
      </c>
      <c r="AO270" s="268">
        <f>-AO62</f>
        <v>0</v>
      </c>
      <c r="AP270" s="268">
        <f>-AP62</f>
        <v>0</v>
      </c>
      <c r="AQ270" s="268">
        <f>SUM(AM270:AP270)</f>
        <v>0</v>
      </c>
      <c r="AR270" s="268">
        <f>-AR62</f>
        <v>0</v>
      </c>
      <c r="AS270" s="268">
        <f>-AS62</f>
        <v>0</v>
      </c>
      <c r="AT270" s="268">
        <f>-AT62</f>
        <v>0</v>
      </c>
      <c r="AU270" s="268">
        <f>-AU62</f>
        <v>0</v>
      </c>
      <c r="AV270" s="268">
        <f>SUM(AR270:AU270)</f>
        <v>0</v>
      </c>
      <c r="AW270" s="268">
        <f>-AW62</f>
        <v>0</v>
      </c>
      <c r="AX270" s="268">
        <f>-AX62</f>
        <v>0</v>
      </c>
      <c r="AY270" s="268">
        <f>-AY62</f>
        <v>0</v>
      </c>
      <c r="AZ270" s="268">
        <f>-AZ62</f>
        <v>0</v>
      </c>
      <c r="BA270" s="268">
        <f>SUM(AW270:AZ270)</f>
        <v>0</v>
      </c>
      <c r="BB270" s="268">
        <f>-BB62</f>
        <v>0</v>
      </c>
      <c r="BC270" s="268">
        <f>-BC62</f>
        <v>0</v>
      </c>
      <c r="BD270" s="268">
        <f>-BD62</f>
        <v>0</v>
      </c>
      <c r="BE270" s="268">
        <f>-BE62</f>
        <v>0</v>
      </c>
      <c r="BF270" s="268">
        <f>SUM(BB270:BE270)</f>
        <v>0</v>
      </c>
      <c r="BG270" s="268">
        <f>-BG62</f>
        <v>0</v>
      </c>
      <c r="BH270" s="268">
        <f>-BH62</f>
        <v>0</v>
      </c>
      <c r="BI270" s="268">
        <f>-BI62</f>
        <v>0</v>
      </c>
      <c r="BJ270" s="268">
        <f>-BJ62</f>
        <v>0</v>
      </c>
      <c r="BK270" s="268">
        <f>SUM(BG270:BJ270)</f>
        <v>0</v>
      </c>
      <c r="BL270" s="268">
        <f>-BL62</f>
        <v>0</v>
      </c>
      <c r="BM270" s="268">
        <f>-BM62</f>
        <v>0</v>
      </c>
      <c r="BN270" s="268">
        <f>-BN62</f>
        <v>0</v>
      </c>
      <c r="BO270" s="268">
        <f>-BO62</f>
        <v>0</v>
      </c>
      <c r="BP270" s="268">
        <f>SUM(BL270:BO270)</f>
        <v>0</v>
      </c>
      <c r="BQ270" s="268">
        <f>-BQ62</f>
        <v>0</v>
      </c>
      <c r="BR270" s="268">
        <f>-BR62</f>
        <v>0</v>
      </c>
      <c r="BS270" s="268">
        <f>-BS62</f>
        <v>0</v>
      </c>
      <c r="BT270" s="268">
        <f>-BT62</f>
        <v>0</v>
      </c>
      <c r="BU270" s="268">
        <f>SUM(BQ270:BT270)</f>
        <v>0</v>
      </c>
      <c r="BV270" s="268">
        <f>-BV62</f>
        <v>0</v>
      </c>
      <c r="BW270" s="268">
        <f>-BW62</f>
        <v>0</v>
      </c>
      <c r="BX270" s="268">
        <f>-BX62</f>
        <v>0</v>
      </c>
      <c r="BY270" s="268">
        <f>-BY62</f>
        <v>0</v>
      </c>
      <c r="BZ270" s="268">
        <f>SUM(BV270:BY270)</f>
        <v>0</v>
      </c>
      <c r="CA270" s="268">
        <f>-CA62</f>
        <v>0</v>
      </c>
      <c r="CB270" s="268">
        <f>-CB62</f>
        <v>0</v>
      </c>
      <c r="CC270" s="268">
        <f>-CC62</f>
        <v>0</v>
      </c>
      <c r="CD270" s="268">
        <f>-CD62</f>
        <v>0</v>
      </c>
      <c r="CE270" s="268">
        <f>SUM(CA270:CD270)</f>
        <v>0</v>
      </c>
      <c r="CF270" s="268">
        <f>-CF62</f>
        <v>0</v>
      </c>
      <c r="CG270" s="268">
        <f>-CG62</f>
        <v>0</v>
      </c>
      <c r="CH270" s="268">
        <f>-CH62</f>
        <v>0</v>
      </c>
      <c r="CI270" s="268">
        <f>-CI62</f>
        <v>0</v>
      </c>
      <c r="CJ270" s="268">
        <f>SUM(CF270:CI270)</f>
        <v>0</v>
      </c>
      <c r="CK270" s="268">
        <f>-CK62</f>
        <v>0</v>
      </c>
      <c r="CL270" s="268">
        <f>-CL62</f>
        <v>0</v>
      </c>
      <c r="CM270" s="268">
        <f>-CM62</f>
        <v>0</v>
      </c>
      <c r="CN270" s="268">
        <f>-CN62</f>
        <v>0</v>
      </c>
      <c r="CO270" s="268">
        <f>SUM(CK270:CN270)</f>
        <v>0</v>
      </c>
      <c r="CP270" s="268">
        <f>-CP62</f>
        <v>0</v>
      </c>
      <c r="CQ270" s="268">
        <f>-CQ62</f>
        <v>0</v>
      </c>
      <c r="CR270" s="268">
        <f>-CR62</f>
        <v>0</v>
      </c>
      <c r="CS270" s="268">
        <f>-CS62</f>
        <v>0</v>
      </c>
      <c r="CT270" s="268">
        <f>SUM(CP270:CS270)</f>
        <v>0</v>
      </c>
      <c r="CU270" s="268">
        <f>-CU62</f>
        <v>0</v>
      </c>
      <c r="CV270" s="268">
        <f>-CV62</f>
        <v>0</v>
      </c>
      <c r="CW270" s="268">
        <f>-CW62</f>
        <v>0</v>
      </c>
      <c r="CX270" s="268">
        <f>-CX62</f>
        <v>0</v>
      </c>
      <c r="CY270" s="268">
        <f>SUM(CU270:CX270)</f>
        <v>0</v>
      </c>
    </row>
    <row r="271" ht="12.75" customHeight="1" s="255">
      <c r="C271" s="266" t="inlineStr">
        <is>
          <t xml:space="preserve">Changes in working capital </t>
        </is>
      </c>
      <c r="D271" s="268" t="n"/>
      <c r="E271" s="268">
        <f>SUM(E272:E281)</f>
        <v>76</v>
      </c>
      <c r="F271" s="268">
        <f>SUM(F272:F281)</f>
        <v>400</v>
      </c>
      <c r="G271" s="268">
        <f>SUM(G272:G281)</f>
        <v>4342</v>
      </c>
      <c r="H271" s="268">
        <f>SUM(D271:G271)</f>
        <v>4818</v>
      </c>
      <c r="I271" s="268">
        <f>SUM(I272:I281)</f>
        <v>-3923</v>
      </c>
      <c r="J271" s="268">
        <f>SUM(J272:J281)</f>
        <v>545</v>
      </c>
      <c r="K271" s="268">
        <f>SUM(K272:K281)</f>
        <v>337</v>
      </c>
      <c r="L271" s="268">
        <f>SUM(L272:L281)</f>
        <v>8299</v>
      </c>
      <c r="M271" s="268">
        <f>SUM(I271:L271)</f>
        <v>5258</v>
      </c>
      <c r="N271" s="268">
        <f>SUM(N272:N281)</f>
        <v>-8899</v>
      </c>
      <c r="O271" s="268">
        <f>SUM(O272:O281)</f>
        <v>94</v>
      </c>
      <c r="P271" s="268">
        <f>SUM(P272:P281)</f>
        <v>-13</v>
      </c>
      <c r="Q271" s="268">
        <f>SUM(Q272:Q281)</f>
        <v>8012</v>
      </c>
      <c r="R271" s="268">
        <f>SUM(N271:Q271)</f>
        <v>-806</v>
      </c>
      <c r="S271" s="268">
        <f>SUM(S272:S281)</f>
        <v>-8857</v>
      </c>
      <c r="T271" s="268">
        <f>SUM(T272:T281)</f>
        <v>77</v>
      </c>
      <c r="U271" s="268">
        <f>SUM(U272:U281)</f>
        <v>-828</v>
      </c>
      <c r="V271" s="268">
        <f>SUM(V272:V281)</f>
        <v>5366</v>
      </c>
      <c r="W271" s="268">
        <f>SUM(S271:V271)</f>
        <v>-4242</v>
      </c>
      <c r="X271" s="268">
        <f>SUM(X272:X281)</f>
        <v>-5856</v>
      </c>
      <c r="Y271" s="268">
        <f>SUM(Y272:Y281)</f>
        <v>8</v>
      </c>
      <c r="Z271" s="268">
        <f>SUM(Z272:Z281)</f>
        <v>15</v>
      </c>
      <c r="AA271" s="268">
        <f>SUM(AA272:AA281)</f>
        <v>4944</v>
      </c>
      <c r="AB271" s="268">
        <f>SUM(X271:AA271)</f>
        <v>-889</v>
      </c>
      <c r="AC271" s="268">
        <f>SUM(AC272:AC281)</f>
        <v>-4936</v>
      </c>
      <c r="AD271" s="268">
        <f>SUM(AD272:AD281)</f>
        <v>24</v>
      </c>
      <c r="AE271" s="268">
        <f>SUM(AE272:AE281)</f>
        <v>-201</v>
      </c>
      <c r="AF271" s="268">
        <f>SUM(AF272:AF281)</f>
        <v>4126</v>
      </c>
      <c r="AG271" s="268">
        <f>SUM(AC271:AF271)</f>
        <v>-987</v>
      </c>
      <c r="AH271" s="268">
        <f>SUM(AH272:AH281)</f>
        <v>-4689</v>
      </c>
      <c r="AI271" s="268">
        <f>SUM(AI272:AI281)</f>
        <v>516</v>
      </c>
      <c r="AJ271" s="268">
        <f>SUM(AJ272:AJ281)</f>
        <v>-4375</v>
      </c>
      <c r="AK271" s="268">
        <f>SUM(AK272:AK281)</f>
        <v>0</v>
      </c>
      <c r="AL271" s="268">
        <f>SUM(AH271:AK271)</f>
        <v>-8548</v>
      </c>
      <c r="AM271" s="268" t="e">
        <f>SUM(AM272:AM281)</f>
        <v>#DIV/0!</v>
      </c>
      <c r="AN271" s="268" t="e">
        <f>SUM(AN272:AN281)</f>
        <v>#DIV/0!</v>
      </c>
      <c r="AO271" s="268" t="e">
        <f>SUM(AO272:AO281)</f>
        <v>#DIV/0!</v>
      </c>
      <c r="AP271" s="268" t="e">
        <f>SUM(AP272:AP281)</f>
        <v>#DIV/0!</v>
      </c>
      <c r="AQ271" s="268" t="e">
        <f>SUM(AM271:AP271)</f>
        <v>#DIV/0!</v>
      </c>
      <c r="AR271" s="268" t="e">
        <f>SUM(AR272:AR281)</f>
        <v>#DIV/0!</v>
      </c>
      <c r="AS271" s="268" t="e">
        <f>SUM(AS272:AS281)</f>
        <v>#DIV/0!</v>
      </c>
      <c r="AT271" s="268" t="e">
        <f>SUM(AT272:AT281)</f>
        <v>#DIV/0!</v>
      </c>
      <c r="AU271" s="268" t="e">
        <f>SUM(AU272:AU281)</f>
        <v>#DIV/0!</v>
      </c>
      <c r="AV271" s="268" t="e">
        <f>SUM(AR271:AU271)</f>
        <v>#DIV/0!</v>
      </c>
      <c r="AW271" s="268" t="e">
        <f>SUM(AW272:AW281)</f>
        <v>#DIV/0!</v>
      </c>
      <c r="AX271" s="268" t="e">
        <f>SUM(AX272:AX281)</f>
        <v>#DIV/0!</v>
      </c>
      <c r="AY271" s="268" t="e">
        <f>SUM(AY272:AY281)</f>
        <v>#DIV/0!</v>
      </c>
      <c r="AZ271" s="268" t="e">
        <f>SUM(AZ272:AZ281)</f>
        <v>#DIV/0!</v>
      </c>
      <c r="BA271" s="268" t="e">
        <f>SUM(AW271:AZ271)</f>
        <v>#DIV/0!</v>
      </c>
      <c r="BB271" s="268" t="e">
        <f>SUM(BB272:BB281)</f>
        <v>#DIV/0!</v>
      </c>
      <c r="BC271" s="268" t="e">
        <f>SUM(BC272:BC281)</f>
        <v>#DIV/0!</v>
      </c>
      <c r="BD271" s="268" t="e">
        <f>SUM(BD272:BD281)</f>
        <v>#DIV/0!</v>
      </c>
      <c r="BE271" s="268" t="e">
        <f>SUM(BE272:BE281)</f>
        <v>#DIV/0!</v>
      </c>
      <c r="BF271" s="268" t="e">
        <f>SUM(BB271:BE271)</f>
        <v>#DIV/0!</v>
      </c>
      <c r="BG271" s="268" t="e">
        <f>SUM(BG272:BG281)</f>
        <v>#DIV/0!</v>
      </c>
      <c r="BH271" s="268" t="e">
        <f>SUM(BH272:BH281)</f>
        <v>#DIV/0!</v>
      </c>
      <c r="BI271" s="268" t="e">
        <f>SUM(BI272:BI281)</f>
        <v>#DIV/0!</v>
      </c>
      <c r="BJ271" s="268" t="e">
        <f>SUM(BJ272:BJ281)</f>
        <v>#DIV/0!</v>
      </c>
      <c r="BK271" s="268" t="e">
        <f>SUM(BG271:BJ271)</f>
        <v>#DIV/0!</v>
      </c>
      <c r="BL271" s="268" t="e">
        <f>SUM(BL272:BL281)</f>
        <v>#DIV/0!</v>
      </c>
      <c r="BM271" s="268" t="e">
        <f>SUM(BM272:BM281)</f>
        <v>#DIV/0!</v>
      </c>
      <c r="BN271" s="268" t="e">
        <f>SUM(BN272:BN281)</f>
        <v>#DIV/0!</v>
      </c>
      <c r="BO271" s="268" t="e">
        <f>SUM(BO272:BO281)</f>
        <v>#DIV/0!</v>
      </c>
      <c r="BP271" s="268" t="e">
        <f>SUM(BL271:BO271)</f>
        <v>#DIV/0!</v>
      </c>
      <c r="BQ271" s="268" t="e">
        <f>SUM(BQ272:BQ281)</f>
        <v>#DIV/0!</v>
      </c>
      <c r="BR271" s="268" t="e">
        <f>SUM(BR272:BR281)</f>
        <v>#DIV/0!</v>
      </c>
      <c r="BS271" s="268" t="e">
        <f>SUM(BS272:BS281)</f>
        <v>#DIV/0!</v>
      </c>
      <c r="BT271" s="268" t="e">
        <f>SUM(BT272:BT281)</f>
        <v>#DIV/0!</v>
      </c>
      <c r="BU271" s="268" t="e">
        <f>SUM(BQ271:BT271)</f>
        <v>#DIV/0!</v>
      </c>
      <c r="BV271" s="268" t="e">
        <f>SUM(BV272:BV281)</f>
        <v>#DIV/0!</v>
      </c>
      <c r="BW271" s="268" t="e">
        <f>SUM(BW272:BW281)</f>
        <v>#DIV/0!</v>
      </c>
      <c r="BX271" s="268" t="e">
        <f>SUM(BX272:BX281)</f>
        <v>#DIV/0!</v>
      </c>
      <c r="BY271" s="268" t="e">
        <f>SUM(BY272:BY281)</f>
        <v>#DIV/0!</v>
      </c>
      <c r="BZ271" s="268" t="e">
        <f>SUM(BV271:BY271)</f>
        <v>#DIV/0!</v>
      </c>
      <c r="CA271" s="268" t="e">
        <f>SUM(CA272:CA281)</f>
        <v>#DIV/0!</v>
      </c>
      <c r="CB271" s="268" t="e">
        <f>SUM(CB272:CB281)</f>
        <v>#DIV/0!</v>
      </c>
      <c r="CC271" s="268" t="e">
        <f>SUM(CC272:CC281)</f>
        <v>#DIV/0!</v>
      </c>
      <c r="CD271" s="268" t="e">
        <f>SUM(CD272:CD281)</f>
        <v>#DIV/0!</v>
      </c>
      <c r="CE271" s="268" t="e">
        <f>SUM(CA271:CD271)</f>
        <v>#DIV/0!</v>
      </c>
      <c r="CF271" s="268" t="e">
        <f>SUM(CF272:CF281)</f>
        <v>#DIV/0!</v>
      </c>
      <c r="CG271" s="268" t="e">
        <f>SUM(CG272:CG281)</f>
        <v>#DIV/0!</v>
      </c>
      <c r="CH271" s="268" t="e">
        <f>SUM(CH272:CH281)</f>
        <v>#DIV/0!</v>
      </c>
      <c r="CI271" s="268" t="e">
        <f>SUM(CI272:CI281)</f>
        <v>#DIV/0!</v>
      </c>
      <c r="CJ271" s="268" t="e">
        <f>SUM(CF271:CI271)</f>
        <v>#DIV/0!</v>
      </c>
      <c r="CK271" s="268" t="e">
        <f>SUM(CK272:CK281)</f>
        <v>#DIV/0!</v>
      </c>
      <c r="CL271" s="268" t="e">
        <f>SUM(CL272:CL281)</f>
        <v>#DIV/0!</v>
      </c>
      <c r="CM271" s="268" t="e">
        <f>SUM(CM272:CM281)</f>
        <v>#DIV/0!</v>
      </c>
      <c r="CN271" s="268" t="e">
        <f>SUM(CN272:CN281)</f>
        <v>#DIV/0!</v>
      </c>
      <c r="CO271" s="268" t="e">
        <f>SUM(CK271:CN271)</f>
        <v>#DIV/0!</v>
      </c>
      <c r="CP271" s="268" t="e">
        <f>SUM(CP272:CP281)</f>
        <v>#DIV/0!</v>
      </c>
      <c r="CQ271" s="268" t="e">
        <f>SUM(CQ272:CQ281)</f>
        <v>#DIV/0!</v>
      </c>
      <c r="CR271" s="268" t="e">
        <f>SUM(CR272:CR281)</f>
        <v>#DIV/0!</v>
      </c>
      <c r="CS271" s="268" t="e">
        <f>SUM(CS272:CS281)</f>
        <v>#DIV/0!</v>
      </c>
      <c r="CT271" s="268" t="e">
        <f>SUM(CP271:CS271)</f>
        <v>#DIV/0!</v>
      </c>
      <c r="CU271" s="268" t="e">
        <f>SUM(CU272:CU281)</f>
        <v>#DIV/0!</v>
      </c>
      <c r="CV271" s="268" t="e">
        <f>SUM(CV272:CV281)</f>
        <v>#DIV/0!</v>
      </c>
      <c r="CW271" s="268" t="e">
        <f>SUM(CW272:CW281)</f>
        <v>#DIV/0!</v>
      </c>
      <c r="CX271" s="268" t="e">
        <f>SUM(CX272:CX281)</f>
        <v>#DIV/0!</v>
      </c>
      <c r="CY271" s="268" t="e">
        <f>SUM(CU271:CX271)</f>
        <v>#DIV/0!</v>
      </c>
    </row>
    <row r="272" hidden="1" outlineLevel="1" ht="12.75" customHeight="1" s="255">
      <c r="C272" s="266" t="inlineStr">
        <is>
          <t>Accounts receivable</t>
        </is>
      </c>
      <c r="D272" s="268" t="n"/>
      <c r="E272" s="268">
        <f>(E137-D137)*-1</f>
        <v>-202</v>
      </c>
      <c r="F272" s="268">
        <f>(F137-E137)*-1</f>
        <v>-176</v>
      </c>
      <c r="G272" s="268">
        <f>(G137-F137)*-1</f>
        <v>1</v>
      </c>
      <c r="H272" s="268">
        <f>SUM(D272:G272)</f>
        <v>-377</v>
      </c>
      <c r="I272" s="268">
        <f>(I137-H137)*-1</f>
        <v>-356</v>
      </c>
      <c r="J272" s="268">
        <f>(J137-I137)*-1</f>
        <v>148</v>
      </c>
      <c r="K272" s="268">
        <f>(K137-J137)*-1</f>
        <v>169</v>
      </c>
      <c r="L272" s="268">
        <f>(L137-K137)*-1</f>
        <v>-237</v>
      </c>
      <c r="M272" s="268">
        <f>SUM(I272:L272)</f>
        <v>-276</v>
      </c>
      <c r="N272" s="268">
        <f>(N137-M137)*-1</f>
        <v>-369</v>
      </c>
      <c r="O272" s="268">
        <f>(O137-N137)*-1</f>
        <v>560</v>
      </c>
      <c r="P272" s="268">
        <f>(P137-O137)*-1</f>
        <v>133</v>
      </c>
      <c r="Q272" s="268">
        <f>(Q137-P137)*-1</f>
        <v>-492</v>
      </c>
      <c r="R272" s="268">
        <f>SUM(N272:Q272)</f>
        <v>-168</v>
      </c>
      <c r="S272" s="268">
        <f>(S137-R137)*-1</f>
        <v>202</v>
      </c>
      <c r="T272" s="268">
        <f>(T137-S137)*-1</f>
        <v>459</v>
      </c>
      <c r="U272" s="268">
        <f>(U137-T137)*-1</f>
        <v>-117</v>
      </c>
      <c r="V272" s="268">
        <f>(V137-U137)*-1</f>
        <v>-417</v>
      </c>
      <c r="W272" s="268">
        <f>SUM(S272:V272)</f>
        <v>127</v>
      </c>
      <c r="X272" s="268">
        <f>(X137-W137)*-1</f>
        <v>-285</v>
      </c>
      <c r="Y272" s="268">
        <f>(Y137-X137)*-1</f>
        <v>366</v>
      </c>
      <c r="Z272" s="268">
        <f>(Z137-Y137)*-1</f>
        <v>149</v>
      </c>
      <c r="AA272" s="268">
        <f>(AA137-Z137)*-1</f>
        <v>401</v>
      </c>
      <c r="AB272" s="268">
        <f>SUM(X272:AA272)</f>
        <v>631</v>
      </c>
      <c r="AC272" s="268">
        <f>(AC137-AB137)*-1</f>
        <v>-165</v>
      </c>
      <c r="AD272" s="268">
        <f>(AD137-AC137)*-1</f>
        <v>-198</v>
      </c>
      <c r="AE272" s="268">
        <f>(AE137-AD137)*-1</f>
        <v>25</v>
      </c>
      <c r="AF272" s="268">
        <f>(AF137-AE137)*-1</f>
        <v>-61</v>
      </c>
      <c r="AG272" s="268">
        <f>SUM(AC272:AF272)</f>
        <v>-399</v>
      </c>
      <c r="AH272" s="268">
        <f>(AH137-AG137)*-1</f>
        <v>296</v>
      </c>
      <c r="AI272" s="268">
        <f>(AI137-AH137)*-1</f>
        <v>-35</v>
      </c>
      <c r="AJ272" s="268">
        <f>(AJ137-AI137)*-1</f>
        <v>716</v>
      </c>
      <c r="AK272" s="268">
        <f>(AK137-AJ137)*-1</f>
        <v>0</v>
      </c>
      <c r="AL272" s="268">
        <f>SUM(AH272:AK272)</f>
        <v>977</v>
      </c>
      <c r="AM272" s="268">
        <f>(AM137-AL137)*-1</f>
        <v>0</v>
      </c>
      <c r="AN272" s="268">
        <f>(AN137-AM137)*-1</f>
        <v>0</v>
      </c>
      <c r="AO272" s="268">
        <f>(AO137-AN137)*-1</f>
        <v>0</v>
      </c>
      <c r="AP272" s="268">
        <f>(AP137-AO137)*-1</f>
        <v>0</v>
      </c>
      <c r="AQ272" s="268">
        <f>SUM(AM272:AP272)</f>
        <v>0</v>
      </c>
      <c r="AR272" s="268">
        <f>(AR137-AQ137)*-1</f>
        <v>0</v>
      </c>
      <c r="AS272" s="268">
        <f>(AS137-AR137)*-1</f>
        <v>0</v>
      </c>
      <c r="AT272" s="268">
        <f>(AT137-AS137)*-1</f>
        <v>0</v>
      </c>
      <c r="AU272" s="268">
        <f>(AU137-AT137)*-1</f>
        <v>0</v>
      </c>
      <c r="AV272" s="268">
        <f>SUM(AR272:AU272)</f>
        <v>0</v>
      </c>
      <c r="AW272" s="268">
        <f>(AW137-AV137)*-1</f>
        <v>0</v>
      </c>
      <c r="AX272" s="268">
        <f>(AX137-AW137)*-1</f>
        <v>0</v>
      </c>
      <c r="AY272" s="268">
        <f>(AY137-AX137)*-1</f>
        <v>0</v>
      </c>
      <c r="AZ272" s="268">
        <f>(AZ137-AY137)*-1</f>
        <v>0</v>
      </c>
      <c r="BA272" s="268">
        <f>SUM(AW272:AZ272)</f>
        <v>0</v>
      </c>
      <c r="BB272" s="268">
        <f>(BB137-BA137)*-1</f>
        <v>0</v>
      </c>
      <c r="BC272" s="268">
        <f>(BC137-BB137)*-1</f>
        <v>0</v>
      </c>
      <c r="BD272" s="268">
        <f>(BD137-BC137)*-1</f>
        <v>0</v>
      </c>
      <c r="BE272" s="268">
        <f>(BE137-BD137)*-1</f>
        <v>0</v>
      </c>
      <c r="BF272" s="268">
        <f>SUM(BB272:BE272)</f>
        <v>0</v>
      </c>
      <c r="BG272" s="268">
        <f>(BG137-BF137)*-1</f>
        <v>0</v>
      </c>
      <c r="BH272" s="268">
        <f>(BH137-BG137)*-1</f>
        <v>0</v>
      </c>
      <c r="BI272" s="268">
        <f>(BI137-BH137)*-1</f>
        <v>0</v>
      </c>
      <c r="BJ272" s="268">
        <f>(BJ137-BI137)*-1</f>
        <v>0</v>
      </c>
      <c r="BK272" s="268">
        <f>SUM(BG272:BJ272)</f>
        <v>0</v>
      </c>
      <c r="BL272" s="268">
        <f>(BL137-BK137)*-1</f>
        <v>0</v>
      </c>
      <c r="BM272" s="268">
        <f>(BM137-BL137)*-1</f>
        <v>0</v>
      </c>
      <c r="BN272" s="268">
        <f>(BN137-BM137)*-1</f>
        <v>0</v>
      </c>
      <c r="BO272" s="268">
        <f>(BO137-BN137)*-1</f>
        <v>0</v>
      </c>
      <c r="BP272" s="268">
        <f>SUM(BL272:BO272)</f>
        <v>0</v>
      </c>
      <c r="BQ272" s="268">
        <f>(BQ137-BP137)*-1</f>
        <v>0</v>
      </c>
      <c r="BR272" s="268">
        <f>(BR137-BQ137)*-1</f>
        <v>0</v>
      </c>
      <c r="BS272" s="268">
        <f>(BS137-BR137)*-1</f>
        <v>0</v>
      </c>
      <c r="BT272" s="268">
        <f>(BT137-BS137)*-1</f>
        <v>0</v>
      </c>
      <c r="BU272" s="268">
        <f>SUM(BQ272:BT272)</f>
        <v>0</v>
      </c>
      <c r="BV272" s="268">
        <f>(BV137-BU137)*-1</f>
        <v>0</v>
      </c>
      <c r="BW272" s="268">
        <f>(BW137-BV137)*-1</f>
        <v>0</v>
      </c>
      <c r="BX272" s="268">
        <f>(BX137-BW137)*-1</f>
        <v>0</v>
      </c>
      <c r="BY272" s="268">
        <f>(BY137-BX137)*-1</f>
        <v>0</v>
      </c>
      <c r="BZ272" s="268">
        <f>SUM(BV272:BY272)</f>
        <v>0</v>
      </c>
      <c r="CA272" s="268">
        <f>(CA137-BZ137)*-1</f>
        <v>0</v>
      </c>
      <c r="CB272" s="268">
        <f>(CB137-CA137)*-1</f>
        <v>0</v>
      </c>
      <c r="CC272" s="268">
        <f>(CC137-CB137)*-1</f>
        <v>0</v>
      </c>
      <c r="CD272" s="268">
        <f>(CD137-CC137)*-1</f>
        <v>0</v>
      </c>
      <c r="CE272" s="268">
        <f>SUM(CA272:CD272)</f>
        <v>0</v>
      </c>
      <c r="CF272" s="268">
        <f>(CF137-CE137)*-1</f>
        <v>0</v>
      </c>
      <c r="CG272" s="268">
        <f>(CG137-CF137)*-1</f>
        <v>0</v>
      </c>
      <c r="CH272" s="268">
        <f>(CH137-CG137)*-1</f>
        <v>0</v>
      </c>
      <c r="CI272" s="268">
        <f>(CI137-CH137)*-1</f>
        <v>0</v>
      </c>
      <c r="CJ272" s="268">
        <f>SUM(CF272:CI272)</f>
        <v>0</v>
      </c>
      <c r="CK272" s="268">
        <f>(CK137-CJ137)*-1</f>
        <v>0</v>
      </c>
      <c r="CL272" s="268">
        <f>(CL137-CK137)*-1</f>
        <v>0</v>
      </c>
      <c r="CM272" s="268">
        <f>(CM137-CL137)*-1</f>
        <v>0</v>
      </c>
      <c r="CN272" s="268">
        <f>(CN137-CM137)*-1</f>
        <v>0</v>
      </c>
      <c r="CO272" s="268">
        <f>SUM(CK272:CN272)</f>
        <v>0</v>
      </c>
      <c r="CP272" s="268">
        <f>(CP137-CO137)*-1</f>
        <v>0</v>
      </c>
      <c r="CQ272" s="268">
        <f>(CQ137-CP137)*-1</f>
        <v>0</v>
      </c>
      <c r="CR272" s="268">
        <f>(CR137-CQ137)*-1</f>
        <v>0</v>
      </c>
      <c r="CS272" s="268">
        <f>(CS137-CR137)*-1</f>
        <v>0</v>
      </c>
      <c r="CT272" s="268">
        <f>SUM(CP272:CS272)</f>
        <v>0</v>
      </c>
      <c r="CU272" s="268">
        <f>(CU137-CT137)*-1</f>
        <v>0</v>
      </c>
      <c r="CV272" s="268">
        <f>(CV137-CU137)*-1</f>
        <v>0</v>
      </c>
      <c r="CW272" s="268">
        <f>(CW137-CV137)*-1</f>
        <v>0</v>
      </c>
      <c r="CX272" s="268">
        <f>(CX137-CW137)*-1</f>
        <v>0</v>
      </c>
      <c r="CY272" s="268">
        <f>SUM(CU272:CX272)</f>
        <v>0</v>
      </c>
    </row>
    <row r="273" hidden="1" outlineLevel="1" ht="12.75" customHeight="1" s="255">
      <c r="C273" s="266" t="inlineStr">
        <is>
          <t>Inventories</t>
        </is>
      </c>
      <c r="D273" s="268" t="n"/>
      <c r="E273" s="268">
        <f>(E141-D141)*-1</f>
        <v>0</v>
      </c>
      <c r="F273" s="268">
        <f>(F141-E141)*-1</f>
        <v>0</v>
      </c>
      <c r="G273" s="268">
        <f>(G141-F141)*-1</f>
        <v>0</v>
      </c>
      <c r="H273" s="268">
        <f>SUM(D273:G273)</f>
        <v>0</v>
      </c>
      <c r="I273" s="268">
        <f>(I141-H141)*-1</f>
        <v>0</v>
      </c>
      <c r="J273" s="268">
        <f>(J141-I141)*-1</f>
        <v>0</v>
      </c>
      <c r="K273" s="268">
        <f>(K141-J141)*-1</f>
        <v>0</v>
      </c>
      <c r="L273" s="268">
        <f>(L141-K141)*-1</f>
        <v>0</v>
      </c>
      <c r="M273" s="268">
        <f>SUM(I273:L273)</f>
        <v>0</v>
      </c>
      <c r="N273" s="268">
        <f>(N141-M141)*-1</f>
        <v>0</v>
      </c>
      <c r="O273" s="268">
        <f>(O141-N141)*-1</f>
        <v>0</v>
      </c>
      <c r="P273" s="268">
        <f>(P141-O141)*-1</f>
        <v>0</v>
      </c>
      <c r="Q273" s="268">
        <f>(Q141-P141)*-1</f>
        <v>0</v>
      </c>
      <c r="R273" s="268">
        <f>SUM(N273:Q273)</f>
        <v>0</v>
      </c>
      <c r="S273" s="268">
        <f>(S141-R141)*-1</f>
        <v>0</v>
      </c>
      <c r="T273" s="268">
        <f>(T141-S141)*-1</f>
        <v>0</v>
      </c>
      <c r="U273" s="268">
        <f>(U141-T141)*-1</f>
        <v>0</v>
      </c>
      <c r="V273" s="268">
        <f>(V141-U141)*-1</f>
        <v>0</v>
      </c>
      <c r="W273" s="268">
        <f>SUM(S273:V273)</f>
        <v>0</v>
      </c>
      <c r="X273" s="268">
        <f>(X141-W141)*-1</f>
        <v>0</v>
      </c>
      <c r="Y273" s="268">
        <f>(Y141-X141)*-1</f>
        <v>0</v>
      </c>
      <c r="Z273" s="268">
        <f>(Z141-Y141)*-1</f>
        <v>0</v>
      </c>
      <c r="AA273" s="268">
        <f>(AA141-Z141)*-1</f>
        <v>0</v>
      </c>
      <c r="AB273" s="268">
        <f>SUM(X273:AA273)</f>
        <v>0</v>
      </c>
      <c r="AC273" s="268">
        <f>(AC141-AB141)*-1</f>
        <v>0</v>
      </c>
      <c r="AD273" s="268">
        <f>(AD141-AC141)*-1</f>
        <v>0</v>
      </c>
      <c r="AE273" s="268">
        <f>(AE141-AD141)*-1</f>
        <v>0</v>
      </c>
      <c r="AF273" s="268">
        <f>(AF141-AE141)*-1</f>
        <v>0</v>
      </c>
      <c r="AG273" s="268">
        <f>SUM(AC273:AF273)</f>
        <v>0</v>
      </c>
      <c r="AH273" s="268">
        <f>(AH141-AG141)*-1</f>
        <v>0</v>
      </c>
      <c r="AI273" s="268">
        <f>(AI141-AH141)*-1</f>
        <v>0</v>
      </c>
      <c r="AJ273" s="268">
        <f>(AJ141-AI141)*-1</f>
        <v>0</v>
      </c>
      <c r="AK273" s="268">
        <f>(AK141-AJ141)*-1</f>
        <v>0</v>
      </c>
      <c r="AL273" s="268">
        <f>SUM(AH273:AK273)</f>
        <v>0</v>
      </c>
      <c r="AM273" s="268">
        <f>(AM141-AL141)*-1</f>
        <v>0</v>
      </c>
      <c r="AN273" s="268">
        <f>(AN141-AM141)*-1</f>
        <v>0</v>
      </c>
      <c r="AO273" s="268">
        <f>(AO141-AN141)*-1</f>
        <v>0</v>
      </c>
      <c r="AP273" s="268">
        <f>(AP141-AO141)*-1</f>
        <v>0</v>
      </c>
      <c r="AQ273" s="268">
        <f>SUM(AM273:AP273)</f>
        <v>0</v>
      </c>
      <c r="AR273" s="268">
        <f>(AR141-AQ141)*-1</f>
        <v>0</v>
      </c>
      <c r="AS273" s="268">
        <f>(AS141-AR141)*-1</f>
        <v>0</v>
      </c>
      <c r="AT273" s="268">
        <f>(AT141-AS141)*-1</f>
        <v>0</v>
      </c>
      <c r="AU273" s="268">
        <f>(AU141-AT141)*-1</f>
        <v>0</v>
      </c>
      <c r="AV273" s="268">
        <f>SUM(AR273:AU273)</f>
        <v>0</v>
      </c>
      <c r="AW273" s="268">
        <f>(AW141-AV141)*-1</f>
        <v>0</v>
      </c>
      <c r="AX273" s="268">
        <f>(AX141-AW141)*-1</f>
        <v>0</v>
      </c>
      <c r="AY273" s="268">
        <f>(AY141-AX141)*-1</f>
        <v>0</v>
      </c>
      <c r="AZ273" s="268">
        <f>(AZ141-AY141)*-1</f>
        <v>0</v>
      </c>
      <c r="BA273" s="268">
        <f>SUM(AW273:AZ273)</f>
        <v>0</v>
      </c>
      <c r="BB273" s="268">
        <f>(BB141-BA141)*-1</f>
        <v>0</v>
      </c>
      <c r="BC273" s="268">
        <f>(BC141-BB141)*-1</f>
        <v>0</v>
      </c>
      <c r="BD273" s="268">
        <f>(BD141-BC141)*-1</f>
        <v>0</v>
      </c>
      <c r="BE273" s="268">
        <f>(BE141-BD141)*-1</f>
        <v>0</v>
      </c>
      <c r="BF273" s="268">
        <f>SUM(BB273:BE273)</f>
        <v>0</v>
      </c>
      <c r="BG273" s="268">
        <f>(BG141-BF141)*-1</f>
        <v>0</v>
      </c>
      <c r="BH273" s="268">
        <f>(BH141-BG141)*-1</f>
        <v>0</v>
      </c>
      <c r="BI273" s="268">
        <f>(BI141-BH141)*-1</f>
        <v>0</v>
      </c>
      <c r="BJ273" s="268">
        <f>(BJ141-BI141)*-1</f>
        <v>0</v>
      </c>
      <c r="BK273" s="268">
        <f>SUM(BG273:BJ273)</f>
        <v>0</v>
      </c>
      <c r="BL273" s="268">
        <f>(BL141-BK141)*-1</f>
        <v>0</v>
      </c>
      <c r="BM273" s="268">
        <f>(BM141-BL141)*-1</f>
        <v>0</v>
      </c>
      <c r="BN273" s="268">
        <f>(BN141-BM141)*-1</f>
        <v>0</v>
      </c>
      <c r="BO273" s="268">
        <f>(BO141-BN141)*-1</f>
        <v>0</v>
      </c>
      <c r="BP273" s="268">
        <f>SUM(BL273:BO273)</f>
        <v>0</v>
      </c>
      <c r="BQ273" s="268">
        <f>(BQ141-BP141)*-1</f>
        <v>0</v>
      </c>
      <c r="BR273" s="268">
        <f>(BR141-BQ141)*-1</f>
        <v>0</v>
      </c>
      <c r="BS273" s="268">
        <f>(BS141-BR141)*-1</f>
        <v>0</v>
      </c>
      <c r="BT273" s="268">
        <f>(BT141-BS141)*-1</f>
        <v>0</v>
      </c>
      <c r="BU273" s="268">
        <f>SUM(BQ273:BT273)</f>
        <v>0</v>
      </c>
      <c r="BV273" s="268">
        <f>(BV141-BU141)*-1</f>
        <v>0</v>
      </c>
      <c r="BW273" s="268">
        <f>(BW141-BV141)*-1</f>
        <v>0</v>
      </c>
      <c r="BX273" s="268">
        <f>(BX141-BW141)*-1</f>
        <v>0</v>
      </c>
      <c r="BY273" s="268">
        <f>(BY141-BX141)*-1</f>
        <v>0</v>
      </c>
      <c r="BZ273" s="268">
        <f>SUM(BV273:BY273)</f>
        <v>0</v>
      </c>
      <c r="CA273" s="268">
        <f>(CA141-BZ141)*-1</f>
        <v>0</v>
      </c>
      <c r="CB273" s="268">
        <f>(CB141-CA141)*-1</f>
        <v>0</v>
      </c>
      <c r="CC273" s="268">
        <f>(CC141-CB141)*-1</f>
        <v>0</v>
      </c>
      <c r="CD273" s="268">
        <f>(CD141-CC141)*-1</f>
        <v>0</v>
      </c>
      <c r="CE273" s="268">
        <f>SUM(CA273:CD273)</f>
        <v>0</v>
      </c>
      <c r="CF273" s="268">
        <f>(CF141-CE141)*-1</f>
        <v>0</v>
      </c>
      <c r="CG273" s="268">
        <f>(CG141-CF141)*-1</f>
        <v>0</v>
      </c>
      <c r="CH273" s="268">
        <f>(CH141-CG141)*-1</f>
        <v>0</v>
      </c>
      <c r="CI273" s="268">
        <f>(CI141-CH141)*-1</f>
        <v>0</v>
      </c>
      <c r="CJ273" s="268">
        <f>SUM(CF273:CI273)</f>
        <v>0</v>
      </c>
      <c r="CK273" s="268">
        <f>(CK141-CJ141)*-1</f>
        <v>0</v>
      </c>
      <c r="CL273" s="268">
        <f>(CL141-CK141)*-1</f>
        <v>0</v>
      </c>
      <c r="CM273" s="268">
        <f>(CM141-CL141)*-1</f>
        <v>0</v>
      </c>
      <c r="CN273" s="268">
        <f>(CN141-CM141)*-1</f>
        <v>0</v>
      </c>
      <c r="CO273" s="268">
        <f>SUM(CK273:CN273)</f>
        <v>0</v>
      </c>
      <c r="CP273" s="268">
        <f>(CP141-CO141)*-1</f>
        <v>0</v>
      </c>
      <c r="CQ273" s="268">
        <f>(CQ141-CP141)*-1</f>
        <v>0</v>
      </c>
      <c r="CR273" s="268">
        <f>(CR141-CQ141)*-1</f>
        <v>0</v>
      </c>
      <c r="CS273" s="268">
        <f>(CS141-CR141)*-1</f>
        <v>0</v>
      </c>
      <c r="CT273" s="268">
        <f>SUM(CP273:CS273)</f>
        <v>0</v>
      </c>
      <c r="CU273" s="268">
        <f>(CU141-CT141)*-1</f>
        <v>0</v>
      </c>
      <c r="CV273" s="268">
        <f>(CV141-CU141)*-1</f>
        <v>0</v>
      </c>
      <c r="CW273" s="268">
        <f>(CW141-CV141)*-1</f>
        <v>0</v>
      </c>
      <c r="CX273" s="268">
        <f>(CX141-CW141)*-1</f>
        <v>0</v>
      </c>
      <c r="CY273" s="268">
        <f>SUM(CU273:CX273)</f>
        <v>0</v>
      </c>
    </row>
    <row r="274" hidden="1" outlineLevel="1" ht="12.75" customHeight="1" s="255">
      <c r="C274" s="266" t="inlineStr">
        <is>
          <t>Deferred income taxes</t>
        </is>
      </c>
      <c r="D274" s="268" t="n"/>
      <c r="E274" s="268">
        <f>(E145-D145)*-1</f>
        <v>0</v>
      </c>
      <c r="F274" s="268">
        <f>(F145-E145)*-1</f>
        <v>0</v>
      </c>
      <c r="G274" s="268">
        <f>(G145-F145)*-1</f>
        <v>0</v>
      </c>
      <c r="H274" s="268">
        <f>SUM(D274:G274)</f>
        <v>0</v>
      </c>
      <c r="I274" s="268">
        <f>(I145-H145)*-1</f>
        <v>0</v>
      </c>
      <c r="J274" s="268">
        <f>(J145-I145)*-1</f>
        <v>0</v>
      </c>
      <c r="K274" s="268">
        <f>(K145-J145)*-1</f>
        <v>0</v>
      </c>
      <c r="L274" s="268">
        <f>(L145-K145)*-1</f>
        <v>0</v>
      </c>
      <c r="M274" s="268">
        <f>SUM(I274:L274)</f>
        <v>0</v>
      </c>
      <c r="N274" s="268">
        <f>(N145-M145)*-1</f>
        <v>0</v>
      </c>
      <c r="O274" s="268">
        <f>(O145-N145)*-1</f>
        <v>0</v>
      </c>
      <c r="P274" s="268">
        <f>(P145-O145)*-1</f>
        <v>0</v>
      </c>
      <c r="Q274" s="268">
        <f>(Q145-P145)*-1</f>
        <v>0</v>
      </c>
      <c r="R274" s="268">
        <f>SUM(N274:Q274)</f>
        <v>0</v>
      </c>
      <c r="S274" s="268">
        <f>(S145-R145)*-1</f>
        <v>0</v>
      </c>
      <c r="T274" s="268">
        <f>(T145-S145)*-1</f>
        <v>0</v>
      </c>
      <c r="U274" s="268">
        <f>(U145-T145)*-1</f>
        <v>0</v>
      </c>
      <c r="V274" s="268">
        <f>(V145-U145)*-1</f>
        <v>0</v>
      </c>
      <c r="W274" s="268">
        <f>SUM(S274:V274)</f>
        <v>0</v>
      </c>
      <c r="X274" s="268">
        <f>(X145-W145)*-1</f>
        <v>0</v>
      </c>
      <c r="Y274" s="268">
        <f>(Y145-X145)*-1</f>
        <v>0</v>
      </c>
      <c r="Z274" s="268">
        <f>(Z145-Y145)*-1</f>
        <v>0</v>
      </c>
      <c r="AA274" s="268">
        <f>(AA145-Z145)*-1</f>
        <v>0</v>
      </c>
      <c r="AB274" s="268">
        <f>SUM(X274:AA274)</f>
        <v>0</v>
      </c>
      <c r="AC274" s="268">
        <f>(AC145-AB145)*-1</f>
        <v>0</v>
      </c>
      <c r="AD274" s="268">
        <f>(AD145-AC145)*-1</f>
        <v>0</v>
      </c>
      <c r="AE274" s="268">
        <f>(AE145-AD145)*-1</f>
        <v>0</v>
      </c>
      <c r="AF274" s="268">
        <f>(AF145-AE145)*-1</f>
        <v>0</v>
      </c>
      <c r="AG274" s="268">
        <f>SUM(AC274:AF274)</f>
        <v>0</v>
      </c>
      <c r="AH274" s="268">
        <f>(AH145-AG145)*-1</f>
        <v>0</v>
      </c>
      <c r="AI274" s="268">
        <f>(AI145-AH145)*-1</f>
        <v>0</v>
      </c>
      <c r="AJ274" s="268">
        <f>(AJ145-AI145)*-1</f>
        <v>0</v>
      </c>
      <c r="AK274" s="268">
        <f>(AK145-AJ145)*-1</f>
        <v>0</v>
      </c>
      <c r="AL274" s="268">
        <f>SUM(AH274:AK274)</f>
        <v>0</v>
      </c>
      <c r="AM274" s="268">
        <f>(AM145-AL145)*-1</f>
        <v>0</v>
      </c>
      <c r="AN274" s="268">
        <f>(AN145-AM145)*-1</f>
        <v>0</v>
      </c>
      <c r="AO274" s="268">
        <f>(AO145-AN145)*-1</f>
        <v>0</v>
      </c>
      <c r="AP274" s="268">
        <f>(AP145-AO145)*-1</f>
        <v>0</v>
      </c>
      <c r="AQ274" s="268">
        <f>SUM(AM274:AP274)</f>
        <v>0</v>
      </c>
      <c r="AR274" s="268">
        <f>(AR145-AQ145)*-1</f>
        <v>0</v>
      </c>
      <c r="AS274" s="268">
        <f>(AS145-AR145)*-1</f>
        <v>0</v>
      </c>
      <c r="AT274" s="268">
        <f>(AT145-AS145)*-1</f>
        <v>0</v>
      </c>
      <c r="AU274" s="268">
        <f>(AU145-AT145)*-1</f>
        <v>0</v>
      </c>
      <c r="AV274" s="268">
        <f>SUM(AR274:AU274)</f>
        <v>0</v>
      </c>
      <c r="AW274" s="268">
        <f>(AW145-AV145)*-1</f>
        <v>0</v>
      </c>
      <c r="AX274" s="268">
        <f>(AX145-AW145)*-1</f>
        <v>0</v>
      </c>
      <c r="AY274" s="268">
        <f>(AY145-AX145)*-1</f>
        <v>0</v>
      </c>
      <c r="AZ274" s="268">
        <f>(AZ145-AY145)*-1</f>
        <v>0</v>
      </c>
      <c r="BA274" s="268">
        <f>SUM(AW274:AZ274)</f>
        <v>0</v>
      </c>
      <c r="BB274" s="268">
        <f>(BB145-BA145)*-1</f>
        <v>0</v>
      </c>
      <c r="BC274" s="268">
        <f>(BC145-BB145)*-1</f>
        <v>0</v>
      </c>
      <c r="BD274" s="268">
        <f>(BD145-BC145)*-1</f>
        <v>0</v>
      </c>
      <c r="BE274" s="268">
        <f>(BE145-BD145)*-1</f>
        <v>0</v>
      </c>
      <c r="BF274" s="268">
        <f>SUM(BB274:BE274)</f>
        <v>0</v>
      </c>
      <c r="BG274" s="268">
        <f>(BG145-BF145)*-1</f>
        <v>0</v>
      </c>
      <c r="BH274" s="268">
        <f>(BH145-BG145)*-1</f>
        <v>0</v>
      </c>
      <c r="BI274" s="268">
        <f>(BI145-BH145)*-1</f>
        <v>0</v>
      </c>
      <c r="BJ274" s="268">
        <f>(BJ145-BI145)*-1</f>
        <v>0</v>
      </c>
      <c r="BK274" s="268">
        <f>SUM(BG274:BJ274)</f>
        <v>0</v>
      </c>
      <c r="BL274" s="268">
        <f>(BL145-BK145)*-1</f>
        <v>0</v>
      </c>
      <c r="BM274" s="268">
        <f>(BM145-BL145)*-1</f>
        <v>0</v>
      </c>
      <c r="BN274" s="268">
        <f>(BN145-BM145)*-1</f>
        <v>0</v>
      </c>
      <c r="BO274" s="268">
        <f>(BO145-BN145)*-1</f>
        <v>0</v>
      </c>
      <c r="BP274" s="268">
        <f>SUM(BL274:BO274)</f>
        <v>0</v>
      </c>
      <c r="BQ274" s="268">
        <f>(BQ145-BP145)*-1</f>
        <v>0</v>
      </c>
      <c r="BR274" s="268">
        <f>(BR145-BQ145)*-1</f>
        <v>0</v>
      </c>
      <c r="BS274" s="268">
        <f>(BS145-BR145)*-1</f>
        <v>0</v>
      </c>
      <c r="BT274" s="268">
        <f>(BT145-BS145)*-1</f>
        <v>0</v>
      </c>
      <c r="BU274" s="268">
        <f>SUM(BQ274:BT274)</f>
        <v>0</v>
      </c>
      <c r="BV274" s="268">
        <f>(BV145-BU145)*-1</f>
        <v>0</v>
      </c>
      <c r="BW274" s="268">
        <f>(BW145-BV145)*-1</f>
        <v>0</v>
      </c>
      <c r="BX274" s="268">
        <f>(BX145-BW145)*-1</f>
        <v>0</v>
      </c>
      <c r="BY274" s="268">
        <f>(BY145-BX145)*-1</f>
        <v>0</v>
      </c>
      <c r="BZ274" s="268">
        <f>SUM(BV274:BY274)</f>
        <v>0</v>
      </c>
      <c r="CA274" s="268">
        <f>(CA145-BZ145)*-1</f>
        <v>0</v>
      </c>
      <c r="CB274" s="268">
        <f>(CB145-CA145)*-1</f>
        <v>0</v>
      </c>
      <c r="CC274" s="268">
        <f>(CC145-CB145)*-1</f>
        <v>0</v>
      </c>
      <c r="CD274" s="268">
        <f>(CD145-CC145)*-1</f>
        <v>0</v>
      </c>
      <c r="CE274" s="268">
        <f>SUM(CA274:CD274)</f>
        <v>0</v>
      </c>
      <c r="CF274" s="268">
        <f>(CF145-CE145)*-1</f>
        <v>0</v>
      </c>
      <c r="CG274" s="268">
        <f>(CG145-CF145)*-1</f>
        <v>0</v>
      </c>
      <c r="CH274" s="268">
        <f>(CH145-CG145)*-1</f>
        <v>0</v>
      </c>
      <c r="CI274" s="268">
        <f>(CI145-CH145)*-1</f>
        <v>0</v>
      </c>
      <c r="CJ274" s="268">
        <f>SUM(CF274:CI274)</f>
        <v>0</v>
      </c>
      <c r="CK274" s="268">
        <f>(CK145-CJ145)*-1</f>
        <v>0</v>
      </c>
      <c r="CL274" s="268">
        <f>(CL145-CK145)*-1</f>
        <v>0</v>
      </c>
      <c r="CM274" s="268">
        <f>(CM145-CL145)*-1</f>
        <v>0</v>
      </c>
      <c r="CN274" s="268">
        <f>(CN145-CM145)*-1</f>
        <v>0</v>
      </c>
      <c r="CO274" s="268">
        <f>SUM(CK274:CN274)</f>
        <v>0</v>
      </c>
      <c r="CP274" s="268">
        <f>(CP145-CO145)*-1</f>
        <v>0</v>
      </c>
      <c r="CQ274" s="268">
        <f>(CQ145-CP145)*-1</f>
        <v>0</v>
      </c>
      <c r="CR274" s="268">
        <f>(CR145-CQ145)*-1</f>
        <v>0</v>
      </c>
      <c r="CS274" s="268">
        <f>(CS145-CR145)*-1</f>
        <v>0</v>
      </c>
      <c r="CT274" s="268">
        <f>SUM(CP274:CS274)</f>
        <v>0</v>
      </c>
      <c r="CU274" s="268">
        <f>(CU145-CT145)*-1</f>
        <v>0</v>
      </c>
      <c r="CV274" s="268">
        <f>(CV145-CU145)*-1</f>
        <v>0</v>
      </c>
      <c r="CW274" s="268">
        <f>(CW145-CV145)*-1</f>
        <v>0</v>
      </c>
      <c r="CX274" s="268">
        <f>(CX145-CW145)*-1</f>
        <v>0</v>
      </c>
      <c r="CY274" s="268">
        <f>SUM(CU274:CX274)</f>
        <v>0</v>
      </c>
    </row>
    <row r="275" hidden="1" outlineLevel="1" ht="12.75" customHeight="1" s="255">
      <c r="C275" s="266" t="inlineStr">
        <is>
          <t>Prepaid expenses</t>
        </is>
      </c>
      <c r="D275" s="268" t="n"/>
      <c r="E275" s="268">
        <f>(E146-D146)*-1</f>
        <v>0</v>
      </c>
      <c r="F275" s="268">
        <f>(F146-E146)*-1</f>
        <v>0</v>
      </c>
      <c r="G275" s="268">
        <f>(G146-F146)*-1</f>
        <v>0</v>
      </c>
      <c r="H275" s="268">
        <f>SUM(D275:G275)</f>
        <v>0</v>
      </c>
      <c r="I275" s="268">
        <f>(I146-H146)*-1</f>
        <v>0</v>
      </c>
      <c r="J275" s="268">
        <f>(J146-I146)*-1</f>
        <v>0</v>
      </c>
      <c r="K275" s="268">
        <f>(K146-J146)*-1</f>
        <v>0</v>
      </c>
      <c r="L275" s="268">
        <f>(L146-K146)*-1</f>
        <v>0</v>
      </c>
      <c r="M275" s="268">
        <f>SUM(I275:L275)</f>
        <v>0</v>
      </c>
      <c r="N275" s="268">
        <f>(N146-M146)*-1</f>
        <v>0</v>
      </c>
      <c r="O275" s="268">
        <f>(O146-N146)*-1</f>
        <v>0</v>
      </c>
      <c r="P275" s="268">
        <f>(P146-O146)*-1</f>
        <v>0</v>
      </c>
      <c r="Q275" s="268">
        <f>(Q146-P146)*-1</f>
        <v>0</v>
      </c>
      <c r="R275" s="268">
        <f>SUM(N275:Q275)</f>
        <v>0</v>
      </c>
      <c r="S275" s="268">
        <f>(S146-R146)*-1</f>
        <v>0</v>
      </c>
      <c r="T275" s="268">
        <f>(T146-S146)*-1</f>
        <v>0</v>
      </c>
      <c r="U275" s="268">
        <f>(U146-T146)*-1</f>
        <v>0</v>
      </c>
      <c r="V275" s="268">
        <f>(V146-U146)*-1</f>
        <v>0</v>
      </c>
      <c r="W275" s="268">
        <f>SUM(S275:V275)</f>
        <v>0</v>
      </c>
      <c r="X275" s="268">
        <f>(X146-W146)*-1</f>
        <v>0</v>
      </c>
      <c r="Y275" s="268">
        <f>(Y146-X146)*-1</f>
        <v>0</v>
      </c>
      <c r="Z275" s="268">
        <f>(Z146-Y146)*-1</f>
        <v>0</v>
      </c>
      <c r="AA275" s="268">
        <f>(AA146-Z146)*-1</f>
        <v>0</v>
      </c>
      <c r="AB275" s="268">
        <f>SUM(X275:AA275)</f>
        <v>0</v>
      </c>
      <c r="AC275" s="268">
        <f>(AC146-AB146)*-1</f>
        <v>0</v>
      </c>
      <c r="AD275" s="268">
        <f>(AD146-AC146)*-1</f>
        <v>0</v>
      </c>
      <c r="AE275" s="268">
        <f>(AE146-AD146)*-1</f>
        <v>0</v>
      </c>
      <c r="AF275" s="268">
        <f>(AF146-AE146)*-1</f>
        <v>0</v>
      </c>
      <c r="AG275" s="268">
        <f>SUM(AC275:AF275)</f>
        <v>0</v>
      </c>
      <c r="AH275" s="268">
        <f>(AH146-AG146)*-1</f>
        <v>0</v>
      </c>
      <c r="AI275" s="268">
        <f>(AI146-AH146)*-1</f>
        <v>0</v>
      </c>
      <c r="AJ275" s="268">
        <f>(AJ146-AI146)*-1</f>
        <v>0</v>
      </c>
      <c r="AK275" s="268">
        <f>(AK146-AJ146)*-1</f>
        <v>0</v>
      </c>
      <c r="AL275" s="268">
        <f>SUM(AH275:AK275)</f>
        <v>0</v>
      </c>
      <c r="AM275" s="268">
        <f>(AM146-AL146)*-1</f>
        <v>0</v>
      </c>
      <c r="AN275" s="268">
        <f>(AN146-AM146)*-1</f>
        <v>0</v>
      </c>
      <c r="AO275" s="268">
        <f>(AO146-AN146)*-1</f>
        <v>0</v>
      </c>
      <c r="AP275" s="268">
        <f>(AP146-AO146)*-1</f>
        <v>0</v>
      </c>
      <c r="AQ275" s="268">
        <f>SUM(AM275:AP275)</f>
        <v>0</v>
      </c>
      <c r="AR275" s="268">
        <f>(AR146-AQ146)*-1</f>
        <v>0</v>
      </c>
      <c r="AS275" s="268">
        <f>(AS146-AR146)*-1</f>
        <v>0</v>
      </c>
      <c r="AT275" s="268">
        <f>(AT146-AS146)*-1</f>
        <v>0</v>
      </c>
      <c r="AU275" s="268">
        <f>(AU146-AT146)*-1</f>
        <v>0</v>
      </c>
      <c r="AV275" s="268">
        <f>SUM(AR275:AU275)</f>
        <v>0</v>
      </c>
      <c r="AW275" s="268">
        <f>(AW146-AV146)*-1</f>
        <v>0</v>
      </c>
      <c r="AX275" s="268">
        <f>(AX146-AW146)*-1</f>
        <v>0</v>
      </c>
      <c r="AY275" s="268">
        <f>(AY146-AX146)*-1</f>
        <v>0</v>
      </c>
      <c r="AZ275" s="268">
        <f>(AZ146-AY146)*-1</f>
        <v>0</v>
      </c>
      <c r="BA275" s="268">
        <f>SUM(AW275:AZ275)</f>
        <v>0</v>
      </c>
      <c r="BB275" s="268">
        <f>(BB146-BA146)*-1</f>
        <v>0</v>
      </c>
      <c r="BC275" s="268">
        <f>(BC146-BB146)*-1</f>
        <v>0</v>
      </c>
      <c r="BD275" s="268">
        <f>(BD146-BC146)*-1</f>
        <v>0</v>
      </c>
      <c r="BE275" s="268">
        <f>(BE146-BD146)*-1</f>
        <v>0</v>
      </c>
      <c r="BF275" s="268">
        <f>SUM(BB275:BE275)</f>
        <v>0</v>
      </c>
      <c r="BG275" s="268">
        <f>(BG146-BF146)*-1</f>
        <v>0</v>
      </c>
      <c r="BH275" s="268">
        <f>(BH146-BG146)*-1</f>
        <v>0</v>
      </c>
      <c r="BI275" s="268">
        <f>(BI146-BH146)*-1</f>
        <v>0</v>
      </c>
      <c r="BJ275" s="268">
        <f>(BJ146-BI146)*-1</f>
        <v>0</v>
      </c>
      <c r="BK275" s="268">
        <f>SUM(BG275:BJ275)</f>
        <v>0</v>
      </c>
      <c r="BL275" s="268">
        <f>(BL146-BK146)*-1</f>
        <v>0</v>
      </c>
      <c r="BM275" s="268">
        <f>(BM146-BL146)*-1</f>
        <v>0</v>
      </c>
      <c r="BN275" s="268">
        <f>(BN146-BM146)*-1</f>
        <v>0</v>
      </c>
      <c r="BO275" s="268">
        <f>(BO146-BN146)*-1</f>
        <v>0</v>
      </c>
      <c r="BP275" s="268">
        <f>SUM(BL275:BO275)</f>
        <v>0</v>
      </c>
      <c r="BQ275" s="268">
        <f>(BQ146-BP146)*-1</f>
        <v>0</v>
      </c>
      <c r="BR275" s="268">
        <f>(BR146-BQ146)*-1</f>
        <v>0</v>
      </c>
      <c r="BS275" s="268">
        <f>(BS146-BR146)*-1</f>
        <v>0</v>
      </c>
      <c r="BT275" s="268">
        <f>(BT146-BS146)*-1</f>
        <v>0</v>
      </c>
      <c r="BU275" s="268">
        <f>SUM(BQ275:BT275)</f>
        <v>0</v>
      </c>
      <c r="BV275" s="268">
        <f>(BV146-BU146)*-1</f>
        <v>0</v>
      </c>
      <c r="BW275" s="268">
        <f>(BW146-BV146)*-1</f>
        <v>0</v>
      </c>
      <c r="BX275" s="268">
        <f>(BX146-BW146)*-1</f>
        <v>0</v>
      </c>
      <c r="BY275" s="268">
        <f>(BY146-BX146)*-1</f>
        <v>0</v>
      </c>
      <c r="BZ275" s="268">
        <f>SUM(BV275:BY275)</f>
        <v>0</v>
      </c>
      <c r="CA275" s="268">
        <f>(CA146-BZ146)*-1</f>
        <v>0</v>
      </c>
      <c r="CB275" s="268">
        <f>(CB146-CA146)*-1</f>
        <v>0</v>
      </c>
      <c r="CC275" s="268">
        <f>(CC146-CB146)*-1</f>
        <v>0</v>
      </c>
      <c r="CD275" s="268">
        <f>(CD146-CC146)*-1</f>
        <v>0</v>
      </c>
      <c r="CE275" s="268">
        <f>SUM(CA275:CD275)</f>
        <v>0</v>
      </c>
      <c r="CF275" s="268">
        <f>(CF146-CE146)*-1</f>
        <v>0</v>
      </c>
      <c r="CG275" s="268">
        <f>(CG146-CF146)*-1</f>
        <v>0</v>
      </c>
      <c r="CH275" s="268">
        <f>(CH146-CG146)*-1</f>
        <v>0</v>
      </c>
      <c r="CI275" s="268">
        <f>(CI146-CH146)*-1</f>
        <v>0</v>
      </c>
      <c r="CJ275" s="268">
        <f>SUM(CF275:CI275)</f>
        <v>0</v>
      </c>
      <c r="CK275" s="268">
        <f>(CK146-CJ146)*-1</f>
        <v>0</v>
      </c>
      <c r="CL275" s="268">
        <f>(CL146-CK146)*-1</f>
        <v>0</v>
      </c>
      <c r="CM275" s="268">
        <f>(CM146-CL146)*-1</f>
        <v>0</v>
      </c>
      <c r="CN275" s="268">
        <f>(CN146-CM146)*-1</f>
        <v>0</v>
      </c>
      <c r="CO275" s="268">
        <f>SUM(CK275:CN275)</f>
        <v>0</v>
      </c>
      <c r="CP275" s="268">
        <f>(CP146-CO146)*-1</f>
        <v>0</v>
      </c>
      <c r="CQ275" s="268">
        <f>(CQ146-CP146)*-1</f>
        <v>0</v>
      </c>
      <c r="CR275" s="268">
        <f>(CR146-CQ146)*-1</f>
        <v>0</v>
      </c>
      <c r="CS275" s="268">
        <f>(CS146-CR146)*-1</f>
        <v>0</v>
      </c>
      <c r="CT275" s="268">
        <f>SUM(CP275:CS275)</f>
        <v>0</v>
      </c>
      <c r="CU275" s="268">
        <f>(CU146-CT146)*-1</f>
        <v>0</v>
      </c>
      <c r="CV275" s="268">
        <f>(CV146-CU146)*-1</f>
        <v>0</v>
      </c>
      <c r="CW275" s="268">
        <f>(CW146-CV146)*-1</f>
        <v>0</v>
      </c>
      <c r="CX275" s="268">
        <f>(CX146-CW146)*-1</f>
        <v>0</v>
      </c>
      <c r="CY275" s="268">
        <f>SUM(CU275:CX275)</f>
        <v>0</v>
      </c>
    </row>
    <row r="276" hidden="1" outlineLevel="1" ht="12.75" customHeight="1" s="255">
      <c r="C276" s="266" t="inlineStr">
        <is>
          <t>Other current assets</t>
        </is>
      </c>
      <c r="D276" s="268" t="n"/>
      <c r="E276" s="268">
        <f>(E147-D147)*-1</f>
        <v>267</v>
      </c>
      <c r="F276" s="268">
        <f>(F147-E147)*-1</f>
        <v>198</v>
      </c>
      <c r="G276" s="268">
        <f>(G147-F147)*-1</f>
        <v>3924</v>
      </c>
      <c r="H276" s="268">
        <f>SUM(D276:G276)</f>
        <v>4389</v>
      </c>
      <c r="I276" s="268">
        <f>(I147-H147)*-1</f>
        <v>-4177</v>
      </c>
      <c r="J276" s="268">
        <f>(J147-I147)*-1</f>
        <v>-158</v>
      </c>
      <c r="K276" s="268">
        <f>(K147-J147)*-1</f>
        <v>-2</v>
      </c>
      <c r="L276" s="268">
        <f>(L147-K147)*-1</f>
        <v>7908</v>
      </c>
      <c r="M276" s="268">
        <f>SUM(I276:L276)</f>
        <v>3571</v>
      </c>
      <c r="N276" s="268">
        <f>(N147-M147)*-1</f>
        <v>-8147</v>
      </c>
      <c r="O276" s="268">
        <f>(O147-N147)*-1</f>
        <v>-286</v>
      </c>
      <c r="P276" s="268">
        <f>(P147-O147)*-1</f>
        <v>-238</v>
      </c>
      <c r="Q276" s="268">
        <f>(Q147-P147)*-1</f>
        <v>8210</v>
      </c>
      <c r="R276" s="268">
        <f>SUM(N276:Q276)</f>
        <v>-461</v>
      </c>
      <c r="S276" s="268">
        <f>(S147-R147)*-1</f>
        <v>-9019</v>
      </c>
      <c r="T276" s="268">
        <f>(T147-S147)*-1</f>
        <v>61</v>
      </c>
      <c r="U276" s="268">
        <f>(U147-T147)*-1</f>
        <v>-841</v>
      </c>
      <c r="V276" s="268">
        <f>(V147-U147)*-1</f>
        <v>5505</v>
      </c>
      <c r="W276" s="268">
        <f>SUM(S276:V276)</f>
        <v>-4294</v>
      </c>
      <c r="X276" s="268">
        <f>(X147-W147)*-1</f>
        <v>-6105</v>
      </c>
      <c r="Y276" s="268">
        <f>(Y147-X147)*-1</f>
        <v>-181</v>
      </c>
      <c r="Z276" s="268">
        <f>(Z147-Y147)*-1</f>
        <v>-245</v>
      </c>
      <c r="AA276" s="268">
        <f>(AA147-Z147)*-1</f>
        <v>4682</v>
      </c>
      <c r="AB276" s="268">
        <f>SUM(X276:AA276)</f>
        <v>-1849</v>
      </c>
      <c r="AC276" s="268">
        <f>(AC147-AB147)*-1</f>
        <v>-4790</v>
      </c>
      <c r="AD276" s="268">
        <f>(AD147-AC147)*-1</f>
        <v>469</v>
      </c>
      <c r="AE276" s="268">
        <f>(AE147-AD147)*-1</f>
        <v>-125</v>
      </c>
      <c r="AF276" s="268">
        <f>(AF147-AE147)*-1</f>
        <v>3514</v>
      </c>
      <c r="AG276" s="268">
        <f>SUM(AC276:AF276)</f>
        <v>-932</v>
      </c>
      <c r="AH276" s="268">
        <f>(AH147-AG147)*-1</f>
        <v>-4858</v>
      </c>
      <c r="AI276" s="268">
        <f>(AI147-AH147)*-1</f>
        <v>305</v>
      </c>
      <c r="AJ276" s="268">
        <f>(AJ147-AI147)*-1</f>
        <v>0</v>
      </c>
      <c r="AK276" s="268">
        <f>(AK147-AJ147)*-1</f>
        <v>0</v>
      </c>
      <c r="AL276" s="268">
        <f>SUM(AH276:AK276)</f>
        <v>-4553</v>
      </c>
      <c r="AM276" s="268">
        <f>(AM147-AL147)*-1</f>
        <v>0</v>
      </c>
      <c r="AN276" s="268">
        <f>(AN147-AM147)*-1</f>
        <v>0</v>
      </c>
      <c r="AO276" s="268">
        <f>(AO147-AN147)*-1</f>
        <v>0</v>
      </c>
      <c r="AP276" s="268">
        <f>(AP147-AO147)*-1</f>
        <v>0</v>
      </c>
      <c r="AQ276" s="268">
        <f>SUM(AM276:AP276)</f>
        <v>0</v>
      </c>
      <c r="AR276" s="268">
        <f>(AR147-AQ147)*-1</f>
        <v>0</v>
      </c>
      <c r="AS276" s="268">
        <f>(AS147-AR147)*-1</f>
        <v>0</v>
      </c>
      <c r="AT276" s="268">
        <f>(AT147-AS147)*-1</f>
        <v>0</v>
      </c>
      <c r="AU276" s="268">
        <f>(AU147-AT147)*-1</f>
        <v>0</v>
      </c>
      <c r="AV276" s="268">
        <f>SUM(AR276:AU276)</f>
        <v>0</v>
      </c>
      <c r="AW276" s="268">
        <f>(AW147-AV147)*-1</f>
        <v>0</v>
      </c>
      <c r="AX276" s="268">
        <f>(AX147-AW147)*-1</f>
        <v>0</v>
      </c>
      <c r="AY276" s="268">
        <f>(AY147-AX147)*-1</f>
        <v>0</v>
      </c>
      <c r="AZ276" s="268">
        <f>(AZ147-AY147)*-1</f>
        <v>0</v>
      </c>
      <c r="BA276" s="268">
        <f>SUM(AW276:AZ276)</f>
        <v>0</v>
      </c>
      <c r="BB276" s="268">
        <f>(BB147-BA147)*-1</f>
        <v>0</v>
      </c>
      <c r="BC276" s="268">
        <f>(BC147-BB147)*-1</f>
        <v>0</v>
      </c>
      <c r="BD276" s="268">
        <f>(BD147-BC147)*-1</f>
        <v>0</v>
      </c>
      <c r="BE276" s="268">
        <f>(BE147-BD147)*-1</f>
        <v>0</v>
      </c>
      <c r="BF276" s="268">
        <f>SUM(BB276:BE276)</f>
        <v>0</v>
      </c>
      <c r="BG276" s="268">
        <f>(BG147-BF147)*-1</f>
        <v>0</v>
      </c>
      <c r="BH276" s="268">
        <f>(BH147-BG147)*-1</f>
        <v>0</v>
      </c>
      <c r="BI276" s="268">
        <f>(BI147-BH147)*-1</f>
        <v>0</v>
      </c>
      <c r="BJ276" s="268">
        <f>(BJ147-BI147)*-1</f>
        <v>0</v>
      </c>
      <c r="BK276" s="268">
        <f>SUM(BG276:BJ276)</f>
        <v>0</v>
      </c>
      <c r="BL276" s="268">
        <f>(BL147-BK147)*-1</f>
        <v>0</v>
      </c>
      <c r="BM276" s="268">
        <f>(BM147-BL147)*-1</f>
        <v>0</v>
      </c>
      <c r="BN276" s="268">
        <f>(BN147-BM147)*-1</f>
        <v>0</v>
      </c>
      <c r="BO276" s="268">
        <f>(BO147-BN147)*-1</f>
        <v>0</v>
      </c>
      <c r="BP276" s="268">
        <f>SUM(BL276:BO276)</f>
        <v>0</v>
      </c>
      <c r="BQ276" s="268">
        <f>(BQ147-BP147)*-1</f>
        <v>0</v>
      </c>
      <c r="BR276" s="268">
        <f>(BR147-BQ147)*-1</f>
        <v>0</v>
      </c>
      <c r="BS276" s="268">
        <f>(BS147-BR147)*-1</f>
        <v>0</v>
      </c>
      <c r="BT276" s="268">
        <f>(BT147-BS147)*-1</f>
        <v>0</v>
      </c>
      <c r="BU276" s="268">
        <f>SUM(BQ276:BT276)</f>
        <v>0</v>
      </c>
      <c r="BV276" s="268">
        <f>(BV147-BU147)*-1</f>
        <v>0</v>
      </c>
      <c r="BW276" s="268">
        <f>(BW147-BV147)*-1</f>
        <v>0</v>
      </c>
      <c r="BX276" s="268">
        <f>(BX147-BW147)*-1</f>
        <v>0</v>
      </c>
      <c r="BY276" s="268">
        <f>(BY147-BX147)*-1</f>
        <v>0</v>
      </c>
      <c r="BZ276" s="268">
        <f>SUM(BV276:BY276)</f>
        <v>0</v>
      </c>
      <c r="CA276" s="268">
        <f>(CA147-BZ147)*-1</f>
        <v>0</v>
      </c>
      <c r="CB276" s="268">
        <f>(CB147-CA147)*-1</f>
        <v>0</v>
      </c>
      <c r="CC276" s="268">
        <f>(CC147-CB147)*-1</f>
        <v>0</v>
      </c>
      <c r="CD276" s="268">
        <f>(CD147-CC147)*-1</f>
        <v>0</v>
      </c>
      <c r="CE276" s="268">
        <f>SUM(CA276:CD276)</f>
        <v>0</v>
      </c>
      <c r="CF276" s="268">
        <f>(CF147-CE147)*-1</f>
        <v>0</v>
      </c>
      <c r="CG276" s="268">
        <f>(CG147-CF147)*-1</f>
        <v>0</v>
      </c>
      <c r="CH276" s="268">
        <f>(CH147-CG147)*-1</f>
        <v>0</v>
      </c>
      <c r="CI276" s="268">
        <f>(CI147-CH147)*-1</f>
        <v>0</v>
      </c>
      <c r="CJ276" s="268">
        <f>SUM(CF276:CI276)</f>
        <v>0</v>
      </c>
      <c r="CK276" s="268">
        <f>(CK147-CJ147)*-1</f>
        <v>0</v>
      </c>
      <c r="CL276" s="268">
        <f>(CL147-CK147)*-1</f>
        <v>0</v>
      </c>
      <c r="CM276" s="268">
        <f>(CM147-CL147)*-1</f>
        <v>0</v>
      </c>
      <c r="CN276" s="268">
        <f>(CN147-CM147)*-1</f>
        <v>0</v>
      </c>
      <c r="CO276" s="268">
        <f>SUM(CK276:CN276)</f>
        <v>0</v>
      </c>
      <c r="CP276" s="268">
        <f>(CP147-CO147)*-1</f>
        <v>0</v>
      </c>
      <c r="CQ276" s="268">
        <f>(CQ147-CP147)*-1</f>
        <v>0</v>
      </c>
      <c r="CR276" s="268">
        <f>(CR147-CQ147)*-1</f>
        <v>0</v>
      </c>
      <c r="CS276" s="268">
        <f>(CS147-CR147)*-1</f>
        <v>0</v>
      </c>
      <c r="CT276" s="268">
        <f>SUM(CP276:CS276)</f>
        <v>0</v>
      </c>
      <c r="CU276" s="268">
        <f>(CU147-CT147)*-1</f>
        <v>0</v>
      </c>
      <c r="CV276" s="268">
        <f>(CV147-CU147)*-1</f>
        <v>0</v>
      </c>
      <c r="CW276" s="268">
        <f>(CW147-CV147)*-1</f>
        <v>0</v>
      </c>
      <c r="CX276" s="268">
        <f>(CX147-CW147)*-1</f>
        <v>0</v>
      </c>
      <c r="CY276" s="268">
        <f>SUM(CU276:CX276)</f>
        <v>0</v>
      </c>
    </row>
    <row r="277" hidden="1" outlineLevel="1" ht="12.75" customHeight="1" s="255">
      <c r="C277" s="266" t="inlineStr">
        <is>
          <t>Accounts payable</t>
        </is>
      </c>
      <c r="D277" s="268" t="n"/>
      <c r="E277" s="268">
        <f>E190-D190</f>
        <v>6</v>
      </c>
      <c r="F277" s="268">
        <f>F190-E190</f>
        <v>62</v>
      </c>
      <c r="G277" s="268">
        <f>G190-F190</f>
        <v>175</v>
      </c>
      <c r="H277" s="268">
        <f>SUM(D277:G277)</f>
        <v>243</v>
      </c>
      <c r="I277" s="268">
        <f>I190-H190</f>
        <v>158</v>
      </c>
      <c r="J277" s="268">
        <f>J190-I190</f>
        <v>240</v>
      </c>
      <c r="K277" s="268">
        <f>K190-J190</f>
        <v>-157</v>
      </c>
      <c r="L277" s="268">
        <f>L190-K190</f>
        <v>546</v>
      </c>
      <c r="M277" s="268">
        <f>SUM(I277:L277)</f>
        <v>787</v>
      </c>
      <c r="N277" s="268">
        <f>N190-M190</f>
        <v>-332</v>
      </c>
      <c r="O277" s="268">
        <f>O190-N190</f>
        <v>690</v>
      </c>
      <c r="P277" s="268">
        <f>P190-O190</f>
        <v>94</v>
      </c>
      <c r="Q277" s="268">
        <f>Q190-P190</f>
        <v>80</v>
      </c>
      <c r="R277" s="268">
        <f>SUM(N277:Q277)</f>
        <v>532</v>
      </c>
      <c r="S277" s="268">
        <f>S190-R190</f>
        <v>-191</v>
      </c>
      <c r="T277" s="268">
        <f>T190-S190</f>
        <v>-194</v>
      </c>
      <c r="U277" s="268">
        <f>U190-T190</f>
        <v>82</v>
      </c>
      <c r="V277" s="268">
        <f>V190-U190</f>
        <v>5</v>
      </c>
      <c r="W277" s="268">
        <f>SUM(S277:V277)</f>
        <v>-298</v>
      </c>
      <c r="X277" s="268">
        <f>X190-W190</f>
        <v>-57</v>
      </c>
      <c r="Y277" s="268">
        <f>Y190-X190</f>
        <v>238</v>
      </c>
      <c r="Z277" s="268">
        <f>Z190-Y190</f>
        <v>-86</v>
      </c>
      <c r="AA277" s="268">
        <f>AA190-Z190</f>
        <v>233</v>
      </c>
      <c r="AB277" s="268">
        <f>SUM(X277:AA277)</f>
        <v>328</v>
      </c>
      <c r="AC277" s="268">
        <f>AC190-AB190</f>
        <v>21</v>
      </c>
      <c r="AD277" s="268">
        <f>AD190-AC190</f>
        <v>210</v>
      </c>
      <c r="AE277" s="268">
        <f>AE190-AD190</f>
        <v>-190</v>
      </c>
      <c r="AF277" s="268">
        <f>AF190-AE190</f>
        <v>467</v>
      </c>
      <c r="AG277" s="268">
        <f>SUM(AC277:AF277)</f>
        <v>508</v>
      </c>
      <c r="AH277" s="268">
        <f>AH190-AG190</f>
        <v>-423</v>
      </c>
      <c r="AI277" s="268">
        <f>AI190-AH190</f>
        <v>440</v>
      </c>
      <c r="AJ277" s="268">
        <f>AJ190-AI190</f>
        <v>-4582</v>
      </c>
      <c r="AK277" s="268">
        <f>AK190-AJ190</f>
        <v>0</v>
      </c>
      <c r="AL277" s="268">
        <f>SUM(AH277:AK277)</f>
        <v>-4565</v>
      </c>
      <c r="AM277" s="268">
        <f>AM190-AL190</f>
        <v>0</v>
      </c>
      <c r="AN277" s="268">
        <f>AN190-AM190</f>
        <v>0</v>
      </c>
      <c r="AO277" s="268">
        <f>AO190-AN190</f>
        <v>0</v>
      </c>
      <c r="AP277" s="268">
        <f>AP190-AO190</f>
        <v>0</v>
      </c>
      <c r="AQ277" s="268">
        <f>SUM(AM277:AP277)</f>
        <v>0</v>
      </c>
      <c r="AR277" s="268">
        <f>AR190-AQ190</f>
        <v>0</v>
      </c>
      <c r="AS277" s="268">
        <f>AS190-AR190</f>
        <v>0</v>
      </c>
      <c r="AT277" s="268">
        <f>AT190-AS190</f>
        <v>0</v>
      </c>
      <c r="AU277" s="268">
        <f>AU190-AT190</f>
        <v>0</v>
      </c>
      <c r="AV277" s="268">
        <f>SUM(AR277:AU277)</f>
        <v>0</v>
      </c>
      <c r="AW277" s="268">
        <f>AW190-AV190</f>
        <v>0</v>
      </c>
      <c r="AX277" s="268">
        <f>AX190-AW190</f>
        <v>0</v>
      </c>
      <c r="AY277" s="268">
        <f>AY190-AX190</f>
        <v>0</v>
      </c>
      <c r="AZ277" s="268">
        <f>AZ190-AY190</f>
        <v>0</v>
      </c>
      <c r="BA277" s="268">
        <f>SUM(AW277:AZ277)</f>
        <v>0</v>
      </c>
      <c r="BB277" s="268">
        <f>BB190-BA190</f>
        <v>0</v>
      </c>
      <c r="BC277" s="268">
        <f>BC190-BB190</f>
        <v>0</v>
      </c>
      <c r="BD277" s="268">
        <f>BD190-BC190</f>
        <v>0</v>
      </c>
      <c r="BE277" s="268">
        <f>BE190-BD190</f>
        <v>0</v>
      </c>
      <c r="BF277" s="268">
        <f>SUM(BB277:BE277)</f>
        <v>0</v>
      </c>
      <c r="BG277" s="268">
        <f>BG190-BF190</f>
        <v>0</v>
      </c>
      <c r="BH277" s="268">
        <f>BH190-BG190</f>
        <v>0</v>
      </c>
      <c r="BI277" s="268">
        <f>BI190-BH190</f>
        <v>0</v>
      </c>
      <c r="BJ277" s="268">
        <f>BJ190-BI190</f>
        <v>0</v>
      </c>
      <c r="BK277" s="268">
        <f>SUM(BG277:BJ277)</f>
        <v>0</v>
      </c>
      <c r="BL277" s="268">
        <f>BL190-BK190</f>
        <v>0</v>
      </c>
      <c r="BM277" s="268">
        <f>BM190-BL190</f>
        <v>0</v>
      </c>
      <c r="BN277" s="268">
        <f>BN190-BM190</f>
        <v>0</v>
      </c>
      <c r="BO277" s="268">
        <f>BO190-BN190</f>
        <v>0</v>
      </c>
      <c r="BP277" s="268">
        <f>SUM(BL277:BO277)</f>
        <v>0</v>
      </c>
      <c r="BQ277" s="268">
        <f>BQ190-BP190</f>
        <v>0</v>
      </c>
      <c r="BR277" s="268">
        <f>BR190-BQ190</f>
        <v>0</v>
      </c>
      <c r="BS277" s="268">
        <f>BS190-BR190</f>
        <v>0</v>
      </c>
      <c r="BT277" s="268">
        <f>BT190-BS190</f>
        <v>0</v>
      </c>
      <c r="BU277" s="268">
        <f>SUM(BQ277:BT277)</f>
        <v>0</v>
      </c>
      <c r="BV277" s="268">
        <f>BV190-BU190</f>
        <v>0</v>
      </c>
      <c r="BW277" s="268">
        <f>BW190-BV190</f>
        <v>0</v>
      </c>
      <c r="BX277" s="268">
        <f>BX190-BW190</f>
        <v>0</v>
      </c>
      <c r="BY277" s="268">
        <f>BY190-BX190</f>
        <v>0</v>
      </c>
      <c r="BZ277" s="268">
        <f>SUM(BV277:BY277)</f>
        <v>0</v>
      </c>
      <c r="CA277" s="268">
        <f>CA190-BZ190</f>
        <v>0</v>
      </c>
      <c r="CB277" s="268">
        <f>CB190-CA190</f>
        <v>0</v>
      </c>
      <c r="CC277" s="268">
        <f>CC190-CB190</f>
        <v>0</v>
      </c>
      <c r="CD277" s="268">
        <f>CD190-CC190</f>
        <v>0</v>
      </c>
      <c r="CE277" s="268">
        <f>SUM(CA277:CD277)</f>
        <v>0</v>
      </c>
      <c r="CF277" s="268">
        <f>CF190-CE190</f>
        <v>0</v>
      </c>
      <c r="CG277" s="268">
        <f>CG190-CF190</f>
        <v>0</v>
      </c>
      <c r="CH277" s="268">
        <f>CH190-CG190</f>
        <v>0</v>
      </c>
      <c r="CI277" s="268">
        <f>CI190-CH190</f>
        <v>0</v>
      </c>
      <c r="CJ277" s="268">
        <f>SUM(CF277:CI277)</f>
        <v>0</v>
      </c>
      <c r="CK277" s="268">
        <f>CK190-CJ190</f>
        <v>0</v>
      </c>
      <c r="CL277" s="268">
        <f>CL190-CK190</f>
        <v>0</v>
      </c>
      <c r="CM277" s="268">
        <f>CM190-CL190</f>
        <v>0</v>
      </c>
      <c r="CN277" s="268">
        <f>CN190-CM190</f>
        <v>0</v>
      </c>
      <c r="CO277" s="268">
        <f>SUM(CK277:CN277)</f>
        <v>0</v>
      </c>
      <c r="CP277" s="268">
        <f>CP190-CO190</f>
        <v>0</v>
      </c>
      <c r="CQ277" s="268">
        <f>CQ190-CP190</f>
        <v>0</v>
      </c>
      <c r="CR277" s="268">
        <f>CR190-CQ190</f>
        <v>0</v>
      </c>
      <c r="CS277" s="268">
        <f>CS190-CR190</f>
        <v>0</v>
      </c>
      <c r="CT277" s="268">
        <f>SUM(CP277:CS277)</f>
        <v>0</v>
      </c>
      <c r="CU277" s="268">
        <f>CU190-CT190</f>
        <v>0</v>
      </c>
      <c r="CV277" s="268">
        <f>CV190-CU190</f>
        <v>0</v>
      </c>
      <c r="CW277" s="268">
        <f>CW190-CV190</f>
        <v>0</v>
      </c>
      <c r="CX277" s="268">
        <f>CX190-CW190</f>
        <v>0</v>
      </c>
      <c r="CY277" s="268">
        <f>SUM(CU277:CX277)</f>
        <v>0</v>
      </c>
    </row>
    <row r="278" hidden="1" outlineLevel="1" ht="12.75" customHeight="1" s="255">
      <c r="C278" s="266" t="inlineStr">
        <is>
          <t>Accrued expenses</t>
        </is>
      </c>
      <c r="D278" s="268" t="n"/>
      <c r="E278" s="268">
        <f>E194-D194</f>
        <v>0</v>
      </c>
      <c r="F278" s="268">
        <f>F194-E194</f>
        <v>0</v>
      </c>
      <c r="G278" s="268">
        <f>G194-F194</f>
        <v>0</v>
      </c>
      <c r="H278" s="268">
        <f>SUM(D278:G278)</f>
        <v>0</v>
      </c>
      <c r="I278" s="268">
        <f>I194-H194</f>
        <v>0</v>
      </c>
      <c r="J278" s="268">
        <f>J194-I194</f>
        <v>0</v>
      </c>
      <c r="K278" s="268">
        <f>K194-J194</f>
        <v>0</v>
      </c>
      <c r="L278" s="268">
        <f>L194-K194</f>
        <v>0</v>
      </c>
      <c r="M278" s="268">
        <f>SUM(I278:L278)</f>
        <v>0</v>
      </c>
      <c r="N278" s="268">
        <f>N194-M194</f>
        <v>0</v>
      </c>
      <c r="O278" s="268">
        <f>O194-N194</f>
        <v>0</v>
      </c>
      <c r="P278" s="268">
        <f>P194-O194</f>
        <v>0</v>
      </c>
      <c r="Q278" s="268">
        <f>Q194-P194</f>
        <v>0</v>
      </c>
      <c r="R278" s="268">
        <f>SUM(N278:Q278)</f>
        <v>0</v>
      </c>
      <c r="S278" s="268">
        <f>S194-R194</f>
        <v>0</v>
      </c>
      <c r="T278" s="268">
        <f>T194-S194</f>
        <v>0</v>
      </c>
      <c r="U278" s="268">
        <f>U194-T194</f>
        <v>0</v>
      </c>
      <c r="V278" s="268">
        <f>V194-U194</f>
        <v>0</v>
      </c>
      <c r="W278" s="268">
        <f>SUM(S278:V278)</f>
        <v>0</v>
      </c>
      <c r="X278" s="268">
        <f>X194-W194</f>
        <v>0</v>
      </c>
      <c r="Y278" s="268">
        <f>Y194-X194</f>
        <v>0</v>
      </c>
      <c r="Z278" s="268">
        <f>Z194-Y194</f>
        <v>0</v>
      </c>
      <c r="AA278" s="268">
        <f>AA194-Z194</f>
        <v>0</v>
      </c>
      <c r="AB278" s="268">
        <f>SUM(X278:AA278)</f>
        <v>0</v>
      </c>
      <c r="AC278" s="268">
        <f>AC194-AB194</f>
        <v>0</v>
      </c>
      <c r="AD278" s="268">
        <f>AD194-AC194</f>
        <v>0</v>
      </c>
      <c r="AE278" s="268">
        <f>AE194-AD194</f>
        <v>0</v>
      </c>
      <c r="AF278" s="268">
        <f>AF194-AE194</f>
        <v>0</v>
      </c>
      <c r="AG278" s="268">
        <f>SUM(AC278:AF278)</f>
        <v>0</v>
      </c>
      <c r="AH278" s="268">
        <f>AH194-AG194</f>
        <v>0</v>
      </c>
      <c r="AI278" s="268">
        <f>AI194-AH194</f>
        <v>0</v>
      </c>
      <c r="AJ278" s="268">
        <f>AJ194-AI194</f>
        <v>0</v>
      </c>
      <c r="AK278" s="268">
        <f>AK194-AJ194</f>
        <v>0</v>
      </c>
      <c r="AL278" s="268">
        <f>SUM(AH278:AK278)</f>
        <v>0</v>
      </c>
      <c r="AM278" s="268" t="e">
        <f>AM194-AL194</f>
        <v>#DIV/0!</v>
      </c>
      <c r="AN278" s="268" t="e">
        <f>AN194-AM194</f>
        <v>#DIV/0!</v>
      </c>
      <c r="AO278" s="268" t="e">
        <f>AO194-AN194</f>
        <v>#DIV/0!</v>
      </c>
      <c r="AP278" s="268" t="e">
        <f>AP194-AO194</f>
        <v>#DIV/0!</v>
      </c>
      <c r="AQ278" s="268" t="e">
        <f>SUM(AM278:AP278)</f>
        <v>#DIV/0!</v>
      </c>
      <c r="AR278" s="268" t="e">
        <f>AR194-AQ194</f>
        <v>#DIV/0!</v>
      </c>
      <c r="AS278" s="268" t="e">
        <f>AS194-AR194</f>
        <v>#DIV/0!</v>
      </c>
      <c r="AT278" s="268" t="e">
        <f>AT194-AS194</f>
        <v>#DIV/0!</v>
      </c>
      <c r="AU278" s="268" t="e">
        <f>AU194-AT194</f>
        <v>#DIV/0!</v>
      </c>
      <c r="AV278" s="268" t="e">
        <f>SUM(AR278:AU278)</f>
        <v>#DIV/0!</v>
      </c>
      <c r="AW278" s="268" t="e">
        <f>AW194-AV194</f>
        <v>#DIV/0!</v>
      </c>
      <c r="AX278" s="268" t="e">
        <f>AX194-AW194</f>
        <v>#DIV/0!</v>
      </c>
      <c r="AY278" s="268" t="e">
        <f>AY194-AX194</f>
        <v>#DIV/0!</v>
      </c>
      <c r="AZ278" s="268" t="e">
        <f>AZ194-AY194</f>
        <v>#DIV/0!</v>
      </c>
      <c r="BA278" s="268" t="e">
        <f>SUM(AW278:AZ278)</f>
        <v>#DIV/0!</v>
      </c>
      <c r="BB278" s="268" t="e">
        <f>BB194-BA194</f>
        <v>#DIV/0!</v>
      </c>
      <c r="BC278" s="268" t="e">
        <f>BC194-BB194</f>
        <v>#DIV/0!</v>
      </c>
      <c r="BD278" s="268" t="e">
        <f>BD194-BC194</f>
        <v>#DIV/0!</v>
      </c>
      <c r="BE278" s="268" t="e">
        <f>BE194-BD194</f>
        <v>#DIV/0!</v>
      </c>
      <c r="BF278" s="268" t="e">
        <f>SUM(BB278:BE278)</f>
        <v>#DIV/0!</v>
      </c>
      <c r="BG278" s="268" t="e">
        <f>BG194-BF194</f>
        <v>#DIV/0!</v>
      </c>
      <c r="BH278" s="268" t="e">
        <f>BH194-BG194</f>
        <v>#DIV/0!</v>
      </c>
      <c r="BI278" s="268" t="e">
        <f>BI194-BH194</f>
        <v>#DIV/0!</v>
      </c>
      <c r="BJ278" s="268" t="e">
        <f>BJ194-BI194</f>
        <v>#DIV/0!</v>
      </c>
      <c r="BK278" s="268" t="e">
        <f>SUM(BG278:BJ278)</f>
        <v>#DIV/0!</v>
      </c>
      <c r="BL278" s="268" t="e">
        <f>BL194-BK194</f>
        <v>#DIV/0!</v>
      </c>
      <c r="BM278" s="268" t="e">
        <f>BM194-BL194</f>
        <v>#DIV/0!</v>
      </c>
      <c r="BN278" s="268" t="e">
        <f>BN194-BM194</f>
        <v>#DIV/0!</v>
      </c>
      <c r="BO278" s="268" t="e">
        <f>BO194-BN194</f>
        <v>#DIV/0!</v>
      </c>
      <c r="BP278" s="268" t="e">
        <f>SUM(BL278:BO278)</f>
        <v>#DIV/0!</v>
      </c>
      <c r="BQ278" s="268" t="e">
        <f>BQ194-BP194</f>
        <v>#DIV/0!</v>
      </c>
      <c r="BR278" s="268" t="e">
        <f>BR194-BQ194</f>
        <v>#DIV/0!</v>
      </c>
      <c r="BS278" s="268" t="e">
        <f>BS194-BR194</f>
        <v>#DIV/0!</v>
      </c>
      <c r="BT278" s="268" t="e">
        <f>BT194-BS194</f>
        <v>#DIV/0!</v>
      </c>
      <c r="BU278" s="268" t="e">
        <f>SUM(BQ278:BT278)</f>
        <v>#DIV/0!</v>
      </c>
      <c r="BV278" s="268" t="e">
        <f>BV194-BU194</f>
        <v>#DIV/0!</v>
      </c>
      <c r="BW278" s="268" t="e">
        <f>BW194-BV194</f>
        <v>#DIV/0!</v>
      </c>
      <c r="BX278" s="268" t="e">
        <f>BX194-BW194</f>
        <v>#DIV/0!</v>
      </c>
      <c r="BY278" s="268" t="e">
        <f>BY194-BX194</f>
        <v>#DIV/0!</v>
      </c>
      <c r="BZ278" s="268" t="e">
        <f>SUM(BV278:BY278)</f>
        <v>#DIV/0!</v>
      </c>
      <c r="CA278" s="268" t="e">
        <f>CA194-BZ194</f>
        <v>#DIV/0!</v>
      </c>
      <c r="CB278" s="268" t="e">
        <f>CB194-CA194</f>
        <v>#DIV/0!</v>
      </c>
      <c r="CC278" s="268" t="e">
        <f>CC194-CB194</f>
        <v>#DIV/0!</v>
      </c>
      <c r="CD278" s="268" t="e">
        <f>CD194-CC194</f>
        <v>#DIV/0!</v>
      </c>
      <c r="CE278" s="268" t="e">
        <f>SUM(CA278:CD278)</f>
        <v>#DIV/0!</v>
      </c>
      <c r="CF278" s="268" t="e">
        <f>CF194-CE194</f>
        <v>#DIV/0!</v>
      </c>
      <c r="CG278" s="268" t="e">
        <f>CG194-CF194</f>
        <v>#DIV/0!</v>
      </c>
      <c r="CH278" s="268" t="e">
        <f>CH194-CG194</f>
        <v>#DIV/0!</v>
      </c>
      <c r="CI278" s="268" t="e">
        <f>CI194-CH194</f>
        <v>#DIV/0!</v>
      </c>
      <c r="CJ278" s="268" t="e">
        <f>SUM(CF278:CI278)</f>
        <v>#DIV/0!</v>
      </c>
      <c r="CK278" s="268" t="e">
        <f>CK194-CJ194</f>
        <v>#DIV/0!</v>
      </c>
      <c r="CL278" s="268" t="e">
        <f>CL194-CK194</f>
        <v>#DIV/0!</v>
      </c>
      <c r="CM278" s="268" t="e">
        <f>CM194-CL194</f>
        <v>#DIV/0!</v>
      </c>
      <c r="CN278" s="268" t="e">
        <f>CN194-CM194</f>
        <v>#DIV/0!</v>
      </c>
      <c r="CO278" s="268" t="e">
        <f>SUM(CK278:CN278)</f>
        <v>#DIV/0!</v>
      </c>
      <c r="CP278" s="268" t="e">
        <f>CP194-CO194</f>
        <v>#DIV/0!</v>
      </c>
      <c r="CQ278" s="268" t="e">
        <f>CQ194-CP194</f>
        <v>#DIV/0!</v>
      </c>
      <c r="CR278" s="268" t="e">
        <f>CR194-CQ194</f>
        <v>#DIV/0!</v>
      </c>
      <c r="CS278" s="268" t="e">
        <f>CS194-CR194</f>
        <v>#DIV/0!</v>
      </c>
      <c r="CT278" s="268" t="e">
        <f>SUM(CP278:CS278)</f>
        <v>#DIV/0!</v>
      </c>
      <c r="CU278" s="268" t="e">
        <f>CU194-CT194</f>
        <v>#DIV/0!</v>
      </c>
      <c r="CV278" s="268" t="e">
        <f>CV194-CU194</f>
        <v>#DIV/0!</v>
      </c>
      <c r="CW278" s="268" t="e">
        <f>CW194-CV194</f>
        <v>#DIV/0!</v>
      </c>
      <c r="CX278" s="268" t="e">
        <f>CX194-CW194</f>
        <v>#DIV/0!</v>
      </c>
      <c r="CY278" s="268" t="e">
        <f>SUM(CU278:CX278)</f>
        <v>#DIV/0!</v>
      </c>
    </row>
    <row r="279" hidden="1" outlineLevel="1" ht="12.75" customHeight="1" s="255">
      <c r="C279" s="266" t="inlineStr">
        <is>
          <t>Taxes payable</t>
        </is>
      </c>
      <c r="D279" s="268" t="n"/>
      <c r="E279" s="268">
        <f>E196-D196</f>
        <v>-81</v>
      </c>
      <c r="F279" s="268">
        <f>F196-E196</f>
        <v>72</v>
      </c>
      <c r="G279" s="268">
        <f>G196-F196</f>
        <v>205</v>
      </c>
      <c r="H279" s="268">
        <f>SUM(D279:G279)</f>
        <v>196</v>
      </c>
      <c r="I279" s="268">
        <f>I196-H196</f>
        <v>323</v>
      </c>
      <c r="J279" s="268">
        <f>J196-I196</f>
        <v>272</v>
      </c>
      <c r="K279" s="268">
        <f>K196-J196</f>
        <v>318</v>
      </c>
      <c r="L279" s="268">
        <f>L196-K196</f>
        <v>304</v>
      </c>
      <c r="M279" s="268">
        <f>SUM(I279:L279)</f>
        <v>1217</v>
      </c>
      <c r="N279" s="268">
        <f>N196-M196</f>
        <v>-149</v>
      </c>
      <c r="O279" s="268">
        <f>O196-N196</f>
        <v>-885</v>
      </c>
      <c r="P279" s="268">
        <f>P196-O196</f>
        <v>-68</v>
      </c>
      <c r="Q279" s="268">
        <f>Q196-P196</f>
        <v>305</v>
      </c>
      <c r="R279" s="268">
        <f>SUM(N279:Q279)</f>
        <v>-797</v>
      </c>
      <c r="S279" s="268">
        <f>S196-R196</f>
        <v>102</v>
      </c>
      <c r="T279" s="268">
        <f>T196-S196</f>
        <v>-315</v>
      </c>
      <c r="U279" s="268">
        <f>U196-T196</f>
        <v>-42</v>
      </c>
      <c r="V279" s="268">
        <f>V196-U196</f>
        <v>297</v>
      </c>
      <c r="W279" s="268">
        <f>SUM(S279:V279)</f>
        <v>42</v>
      </c>
      <c r="X279" s="268">
        <f>X196-W196</f>
        <v>536</v>
      </c>
      <c r="Y279" s="268">
        <f>Y196-X196</f>
        <v>-424</v>
      </c>
      <c r="Z279" s="268">
        <f>Z196-Y196</f>
        <v>174</v>
      </c>
      <c r="AA279" s="268">
        <f>AA196-Z196</f>
        <v>-213</v>
      </c>
      <c r="AB279" s="268">
        <f>SUM(X279:AA279)</f>
        <v>73</v>
      </c>
      <c r="AC279" s="268">
        <f>AC196-AB196</f>
        <v>-2</v>
      </c>
      <c r="AD279" s="268">
        <f>AD196-AC196</f>
        <v>-468</v>
      </c>
      <c r="AE279" s="268">
        <f>AE196-AD196</f>
        <v>139</v>
      </c>
      <c r="AF279" s="268">
        <f>AF196-AE196</f>
        <v>-72</v>
      </c>
      <c r="AG279" s="268">
        <f>SUM(AC279:AF279)</f>
        <v>-403</v>
      </c>
      <c r="AH279" s="268">
        <f>AH196-AG196</f>
        <v>269</v>
      </c>
      <c r="AI279" s="268">
        <f>AI196-AH196</f>
        <v>-216</v>
      </c>
      <c r="AJ279" s="268">
        <f>AJ196-AI196</f>
        <v>-509</v>
      </c>
      <c r="AK279" s="268">
        <f>AK196-AJ196</f>
        <v>0</v>
      </c>
      <c r="AL279" s="268">
        <f>SUM(AH279:AK279)</f>
        <v>-456</v>
      </c>
      <c r="AM279" s="268" t="e">
        <f>AM196-AL196</f>
        <v>#DIV/0!</v>
      </c>
      <c r="AN279" s="268" t="e">
        <f>AN196-AM196</f>
        <v>#DIV/0!</v>
      </c>
      <c r="AO279" s="268" t="e">
        <f>AO196-AN196</f>
        <v>#DIV/0!</v>
      </c>
      <c r="AP279" s="268" t="e">
        <f>AP196-AO196</f>
        <v>#DIV/0!</v>
      </c>
      <c r="AQ279" s="268" t="e">
        <f>SUM(AM279:AP279)</f>
        <v>#DIV/0!</v>
      </c>
      <c r="AR279" s="268" t="e">
        <f>AR196-AQ196</f>
        <v>#DIV/0!</v>
      </c>
      <c r="AS279" s="268" t="e">
        <f>AS196-AR196</f>
        <v>#DIV/0!</v>
      </c>
      <c r="AT279" s="268" t="e">
        <f>AT196-AS196</f>
        <v>#DIV/0!</v>
      </c>
      <c r="AU279" s="268" t="e">
        <f>AU196-AT196</f>
        <v>#DIV/0!</v>
      </c>
      <c r="AV279" s="268" t="e">
        <f>SUM(AR279:AU279)</f>
        <v>#DIV/0!</v>
      </c>
      <c r="AW279" s="268" t="e">
        <f>AW196-AV196</f>
        <v>#DIV/0!</v>
      </c>
      <c r="AX279" s="268" t="e">
        <f>AX196-AW196</f>
        <v>#DIV/0!</v>
      </c>
      <c r="AY279" s="268" t="e">
        <f>AY196-AX196</f>
        <v>#DIV/0!</v>
      </c>
      <c r="AZ279" s="268" t="e">
        <f>AZ196-AY196</f>
        <v>#DIV/0!</v>
      </c>
      <c r="BA279" s="268" t="e">
        <f>SUM(AW279:AZ279)</f>
        <v>#DIV/0!</v>
      </c>
      <c r="BB279" s="268" t="e">
        <f>BB196-BA196</f>
        <v>#DIV/0!</v>
      </c>
      <c r="BC279" s="268" t="e">
        <f>BC196-BB196</f>
        <v>#DIV/0!</v>
      </c>
      <c r="BD279" s="268" t="e">
        <f>BD196-BC196</f>
        <v>#DIV/0!</v>
      </c>
      <c r="BE279" s="268" t="e">
        <f>BE196-BD196</f>
        <v>#DIV/0!</v>
      </c>
      <c r="BF279" s="268" t="e">
        <f>SUM(BB279:BE279)</f>
        <v>#DIV/0!</v>
      </c>
      <c r="BG279" s="268" t="e">
        <f>BG196-BF196</f>
        <v>#DIV/0!</v>
      </c>
      <c r="BH279" s="268" t="e">
        <f>BH196-BG196</f>
        <v>#DIV/0!</v>
      </c>
      <c r="BI279" s="268" t="e">
        <f>BI196-BH196</f>
        <v>#DIV/0!</v>
      </c>
      <c r="BJ279" s="268" t="e">
        <f>BJ196-BI196</f>
        <v>#DIV/0!</v>
      </c>
      <c r="BK279" s="268" t="e">
        <f>SUM(BG279:BJ279)</f>
        <v>#DIV/0!</v>
      </c>
      <c r="BL279" s="268" t="e">
        <f>BL196-BK196</f>
        <v>#DIV/0!</v>
      </c>
      <c r="BM279" s="268" t="e">
        <f>BM196-BL196</f>
        <v>#DIV/0!</v>
      </c>
      <c r="BN279" s="268" t="e">
        <f>BN196-BM196</f>
        <v>#DIV/0!</v>
      </c>
      <c r="BO279" s="268" t="e">
        <f>BO196-BN196</f>
        <v>#DIV/0!</v>
      </c>
      <c r="BP279" s="268" t="e">
        <f>SUM(BL279:BO279)</f>
        <v>#DIV/0!</v>
      </c>
      <c r="BQ279" s="268" t="e">
        <f>BQ196-BP196</f>
        <v>#DIV/0!</v>
      </c>
      <c r="BR279" s="268" t="e">
        <f>BR196-BQ196</f>
        <v>#DIV/0!</v>
      </c>
      <c r="BS279" s="268" t="e">
        <f>BS196-BR196</f>
        <v>#DIV/0!</v>
      </c>
      <c r="BT279" s="268" t="e">
        <f>BT196-BS196</f>
        <v>#DIV/0!</v>
      </c>
      <c r="BU279" s="268" t="e">
        <f>SUM(BQ279:BT279)</f>
        <v>#DIV/0!</v>
      </c>
      <c r="BV279" s="268" t="e">
        <f>BV196-BU196</f>
        <v>#DIV/0!</v>
      </c>
      <c r="BW279" s="268" t="e">
        <f>BW196-BV196</f>
        <v>#DIV/0!</v>
      </c>
      <c r="BX279" s="268" t="e">
        <f>BX196-BW196</f>
        <v>#DIV/0!</v>
      </c>
      <c r="BY279" s="268" t="e">
        <f>BY196-BX196</f>
        <v>#DIV/0!</v>
      </c>
      <c r="BZ279" s="268" t="e">
        <f>SUM(BV279:BY279)</f>
        <v>#DIV/0!</v>
      </c>
      <c r="CA279" s="268" t="e">
        <f>CA196-BZ196</f>
        <v>#DIV/0!</v>
      </c>
      <c r="CB279" s="268" t="e">
        <f>CB196-CA196</f>
        <v>#DIV/0!</v>
      </c>
      <c r="CC279" s="268" t="e">
        <f>CC196-CB196</f>
        <v>#DIV/0!</v>
      </c>
      <c r="CD279" s="268" t="e">
        <f>CD196-CC196</f>
        <v>#DIV/0!</v>
      </c>
      <c r="CE279" s="268" t="e">
        <f>SUM(CA279:CD279)</f>
        <v>#DIV/0!</v>
      </c>
      <c r="CF279" s="268" t="e">
        <f>CF196-CE196</f>
        <v>#DIV/0!</v>
      </c>
      <c r="CG279" s="268" t="e">
        <f>CG196-CF196</f>
        <v>#DIV/0!</v>
      </c>
      <c r="CH279" s="268" t="e">
        <f>CH196-CG196</f>
        <v>#DIV/0!</v>
      </c>
      <c r="CI279" s="268" t="e">
        <f>CI196-CH196</f>
        <v>#DIV/0!</v>
      </c>
      <c r="CJ279" s="268" t="e">
        <f>SUM(CF279:CI279)</f>
        <v>#DIV/0!</v>
      </c>
      <c r="CK279" s="268" t="e">
        <f>CK196-CJ196</f>
        <v>#DIV/0!</v>
      </c>
      <c r="CL279" s="268" t="e">
        <f>CL196-CK196</f>
        <v>#DIV/0!</v>
      </c>
      <c r="CM279" s="268" t="e">
        <f>CM196-CL196</f>
        <v>#DIV/0!</v>
      </c>
      <c r="CN279" s="268" t="e">
        <f>CN196-CM196</f>
        <v>#DIV/0!</v>
      </c>
      <c r="CO279" s="268" t="e">
        <f>SUM(CK279:CN279)</f>
        <v>#DIV/0!</v>
      </c>
      <c r="CP279" s="268" t="e">
        <f>CP196-CO196</f>
        <v>#DIV/0!</v>
      </c>
      <c r="CQ279" s="268" t="e">
        <f>CQ196-CP196</f>
        <v>#DIV/0!</v>
      </c>
      <c r="CR279" s="268" t="e">
        <f>CR196-CQ196</f>
        <v>#DIV/0!</v>
      </c>
      <c r="CS279" s="268" t="e">
        <f>CS196-CR196</f>
        <v>#DIV/0!</v>
      </c>
      <c r="CT279" s="268" t="e">
        <f>SUM(CP279:CS279)</f>
        <v>#DIV/0!</v>
      </c>
      <c r="CU279" s="268" t="e">
        <f>CU196-CT196</f>
        <v>#DIV/0!</v>
      </c>
      <c r="CV279" s="268" t="e">
        <f>CV196-CU196</f>
        <v>#DIV/0!</v>
      </c>
      <c r="CW279" s="268" t="e">
        <f>CW196-CV196</f>
        <v>#DIV/0!</v>
      </c>
      <c r="CX279" s="268" t="e">
        <f>CX196-CW196</f>
        <v>#DIV/0!</v>
      </c>
      <c r="CY279" s="268" t="e">
        <f>SUM(CU279:CX279)</f>
        <v>#DIV/0!</v>
      </c>
    </row>
    <row r="280" hidden="1" outlineLevel="1" ht="12.75" customHeight="1" s="255">
      <c r="C280" s="266" t="inlineStr">
        <is>
          <t>Other current liabilities (non-debt)</t>
        </is>
      </c>
      <c r="D280" s="268" t="n"/>
      <c r="E280" s="268">
        <f>E197-D197</f>
        <v>-7</v>
      </c>
      <c r="F280" s="268">
        <f>F197-E197</f>
        <v>99</v>
      </c>
      <c r="G280" s="268">
        <f>G197-F197</f>
        <v>-46</v>
      </c>
      <c r="H280" s="268">
        <f>SUM(D280:G280)</f>
        <v>46</v>
      </c>
      <c r="I280" s="268">
        <f>I197-H197</f>
        <v>91</v>
      </c>
      <c r="J280" s="268">
        <f>J197-I197</f>
        <v>3</v>
      </c>
      <c r="K280" s="268">
        <f>K197-J197</f>
        <v>-5</v>
      </c>
      <c r="L280" s="268">
        <f>L197-K197</f>
        <v>44</v>
      </c>
      <c r="M280" s="268">
        <f>SUM(I280:L280)</f>
        <v>133</v>
      </c>
      <c r="N280" s="268">
        <f>N197-M197</f>
        <v>50</v>
      </c>
      <c r="O280" s="268">
        <f>O197-N197</f>
        <v>0</v>
      </c>
      <c r="P280" s="268">
        <f>P197-O197</f>
        <v>47</v>
      </c>
      <c r="Q280" s="268">
        <f>Q197-P197</f>
        <v>-44</v>
      </c>
      <c r="R280" s="268">
        <f>SUM(N280:Q280)</f>
        <v>53</v>
      </c>
      <c r="S280" s="268">
        <f>S197-R197</f>
        <v>13</v>
      </c>
      <c r="T280" s="268">
        <f>T197-S197</f>
        <v>28</v>
      </c>
      <c r="U280" s="268">
        <f>U197-T197</f>
        <v>34</v>
      </c>
      <c r="V280" s="268">
        <f>V197-U197</f>
        <v>-78</v>
      </c>
      <c r="W280" s="268">
        <f>SUM(S280:V280)</f>
        <v>-3</v>
      </c>
      <c r="X280" s="268">
        <f>X197-W197</f>
        <v>8</v>
      </c>
      <c r="Y280" s="268">
        <f>Y197-X197</f>
        <v>18</v>
      </c>
      <c r="Z280" s="268">
        <f>Z197-Y197</f>
        <v>22</v>
      </c>
      <c r="AA280" s="268">
        <f>AA197-Z197</f>
        <v>-43</v>
      </c>
      <c r="AB280" s="268">
        <f>SUM(X280:AA280)</f>
        <v>5</v>
      </c>
      <c r="AC280" s="268">
        <f>AC197-AB197</f>
        <v>-26</v>
      </c>
      <c r="AD280" s="268">
        <f>AD197-AC197</f>
        <v>3</v>
      </c>
      <c r="AE280" s="268">
        <f>AE197-AD197</f>
        <v>1</v>
      </c>
      <c r="AF280" s="268">
        <f>AF197-AE197</f>
        <v>15</v>
      </c>
      <c r="AG280" s="268">
        <f>SUM(AC280:AF280)</f>
        <v>-7</v>
      </c>
      <c r="AH280" s="268">
        <f>AH197-AG197</f>
        <v>8</v>
      </c>
      <c r="AI280" s="268">
        <f>AI197-AH197</f>
        <v>5</v>
      </c>
      <c r="AJ280" s="268">
        <f>AJ197-AI197</f>
        <v>0</v>
      </c>
      <c r="AK280" s="268">
        <f>AK197-AJ197</f>
        <v>0</v>
      </c>
      <c r="AL280" s="268">
        <f>SUM(AH280:AK280)</f>
        <v>13</v>
      </c>
      <c r="AM280" s="268">
        <f>AM197-AL197</f>
        <v>0</v>
      </c>
      <c r="AN280" s="268">
        <f>AN197-AM197</f>
        <v>0</v>
      </c>
      <c r="AO280" s="268">
        <f>AO197-AN197</f>
        <v>0</v>
      </c>
      <c r="AP280" s="268">
        <f>AP197-AO197</f>
        <v>0</v>
      </c>
      <c r="AQ280" s="268">
        <f>SUM(AM280:AP280)</f>
        <v>0</v>
      </c>
      <c r="AR280" s="268">
        <f>AR197-AQ197</f>
        <v>0</v>
      </c>
      <c r="AS280" s="268">
        <f>AS197-AR197</f>
        <v>0</v>
      </c>
      <c r="AT280" s="268">
        <f>AT197-AS197</f>
        <v>0</v>
      </c>
      <c r="AU280" s="268">
        <f>AU197-AT197</f>
        <v>0</v>
      </c>
      <c r="AV280" s="268">
        <f>SUM(AR280:AU280)</f>
        <v>0</v>
      </c>
      <c r="AW280" s="268">
        <f>AW197-AV197</f>
        <v>0</v>
      </c>
      <c r="AX280" s="268">
        <f>AX197-AW197</f>
        <v>0</v>
      </c>
      <c r="AY280" s="268">
        <f>AY197-AX197</f>
        <v>0</v>
      </c>
      <c r="AZ280" s="268">
        <f>AZ197-AY197</f>
        <v>0</v>
      </c>
      <c r="BA280" s="268">
        <f>SUM(AW280:AZ280)</f>
        <v>0</v>
      </c>
      <c r="BB280" s="268">
        <f>BB197-BA197</f>
        <v>0</v>
      </c>
      <c r="BC280" s="268">
        <f>BC197-BB197</f>
        <v>0</v>
      </c>
      <c r="BD280" s="268">
        <f>BD197-BC197</f>
        <v>0</v>
      </c>
      <c r="BE280" s="268">
        <f>BE197-BD197</f>
        <v>0</v>
      </c>
      <c r="BF280" s="268">
        <f>SUM(BB280:BE280)</f>
        <v>0</v>
      </c>
      <c r="BG280" s="268">
        <f>BG197-BF197</f>
        <v>0</v>
      </c>
      <c r="BH280" s="268">
        <f>BH197-BG197</f>
        <v>0</v>
      </c>
      <c r="BI280" s="268">
        <f>BI197-BH197</f>
        <v>0</v>
      </c>
      <c r="BJ280" s="268">
        <f>BJ197-BI197</f>
        <v>0</v>
      </c>
      <c r="BK280" s="268">
        <f>SUM(BG280:BJ280)</f>
        <v>0</v>
      </c>
      <c r="BL280" s="268">
        <f>BL197-BK197</f>
        <v>0</v>
      </c>
      <c r="BM280" s="268">
        <f>BM197-BL197</f>
        <v>0</v>
      </c>
      <c r="BN280" s="268">
        <f>BN197-BM197</f>
        <v>0</v>
      </c>
      <c r="BO280" s="268">
        <f>BO197-BN197</f>
        <v>0</v>
      </c>
      <c r="BP280" s="268">
        <f>SUM(BL280:BO280)</f>
        <v>0</v>
      </c>
      <c r="BQ280" s="268">
        <f>BQ197-BP197</f>
        <v>0</v>
      </c>
      <c r="BR280" s="268">
        <f>BR197-BQ197</f>
        <v>0</v>
      </c>
      <c r="BS280" s="268">
        <f>BS197-BR197</f>
        <v>0</v>
      </c>
      <c r="BT280" s="268">
        <f>BT197-BS197</f>
        <v>0</v>
      </c>
      <c r="BU280" s="268">
        <f>SUM(BQ280:BT280)</f>
        <v>0</v>
      </c>
      <c r="BV280" s="268">
        <f>BV197-BU197</f>
        <v>0</v>
      </c>
      <c r="BW280" s="268">
        <f>BW197-BV197</f>
        <v>0</v>
      </c>
      <c r="BX280" s="268">
        <f>BX197-BW197</f>
        <v>0</v>
      </c>
      <c r="BY280" s="268">
        <f>BY197-BX197</f>
        <v>0</v>
      </c>
      <c r="BZ280" s="268">
        <f>SUM(BV280:BY280)</f>
        <v>0</v>
      </c>
      <c r="CA280" s="268">
        <f>CA197-BZ197</f>
        <v>0</v>
      </c>
      <c r="CB280" s="268">
        <f>CB197-CA197</f>
        <v>0</v>
      </c>
      <c r="CC280" s="268">
        <f>CC197-CB197</f>
        <v>0</v>
      </c>
      <c r="CD280" s="268">
        <f>CD197-CC197</f>
        <v>0</v>
      </c>
      <c r="CE280" s="268">
        <f>SUM(CA280:CD280)</f>
        <v>0</v>
      </c>
      <c r="CF280" s="268">
        <f>CF197-CE197</f>
        <v>0</v>
      </c>
      <c r="CG280" s="268">
        <f>CG197-CF197</f>
        <v>0</v>
      </c>
      <c r="CH280" s="268">
        <f>CH197-CG197</f>
        <v>0</v>
      </c>
      <c r="CI280" s="268">
        <f>CI197-CH197</f>
        <v>0</v>
      </c>
      <c r="CJ280" s="268">
        <f>SUM(CF280:CI280)</f>
        <v>0</v>
      </c>
      <c r="CK280" s="268">
        <f>CK197-CJ197</f>
        <v>0</v>
      </c>
      <c r="CL280" s="268">
        <f>CL197-CK197</f>
        <v>0</v>
      </c>
      <c r="CM280" s="268">
        <f>CM197-CL197</f>
        <v>0</v>
      </c>
      <c r="CN280" s="268">
        <f>CN197-CM197</f>
        <v>0</v>
      </c>
      <c r="CO280" s="268">
        <f>SUM(CK280:CN280)</f>
        <v>0</v>
      </c>
      <c r="CP280" s="268">
        <f>CP197-CO197</f>
        <v>0</v>
      </c>
      <c r="CQ280" s="268">
        <f>CQ197-CP197</f>
        <v>0</v>
      </c>
      <c r="CR280" s="268">
        <f>CR197-CQ197</f>
        <v>0</v>
      </c>
      <c r="CS280" s="268">
        <f>CS197-CR197</f>
        <v>0</v>
      </c>
      <c r="CT280" s="268">
        <f>SUM(CP280:CS280)</f>
        <v>0</v>
      </c>
      <c r="CU280" s="268">
        <f>CU197-CT197</f>
        <v>0</v>
      </c>
      <c r="CV280" s="268">
        <f>CV197-CU197</f>
        <v>0</v>
      </c>
      <c r="CW280" s="268">
        <f>CW197-CV197</f>
        <v>0</v>
      </c>
      <c r="CX280" s="268">
        <f>CX197-CW197</f>
        <v>0</v>
      </c>
      <c r="CY280" s="268">
        <f>SUM(CU280:CX280)</f>
        <v>0</v>
      </c>
    </row>
    <row r="281" hidden="1" outlineLevel="1" ht="12.75" customHeight="1" s="255">
      <c r="C281" s="266" t="inlineStr">
        <is>
          <t>Deferred income taxes</t>
        </is>
      </c>
      <c r="D281" s="268" t="n"/>
      <c r="E281" s="268">
        <f>E231-D231</f>
        <v>93</v>
      </c>
      <c r="F281" s="268">
        <f>F231-E231</f>
        <v>145</v>
      </c>
      <c r="G281" s="268">
        <f>G231-F231</f>
        <v>83</v>
      </c>
      <c r="H281" s="268">
        <f>SUM(D281:G281)</f>
        <v>321</v>
      </c>
      <c r="I281" s="268">
        <f>I231-H231</f>
        <v>38</v>
      </c>
      <c r="J281" s="268">
        <f>J231-I231</f>
        <v>40</v>
      </c>
      <c r="K281" s="268">
        <f>K231-J231</f>
        <v>14</v>
      </c>
      <c r="L281" s="268">
        <f>L231-K231</f>
        <v>-266</v>
      </c>
      <c r="M281" s="268">
        <f>SUM(I281:L281)</f>
        <v>-174</v>
      </c>
      <c r="N281" s="268">
        <f>N231-M231</f>
        <v>48</v>
      </c>
      <c r="O281" s="268">
        <f>O231-N231</f>
        <v>15</v>
      </c>
      <c r="P281" s="268">
        <f>P231-O231</f>
        <v>19</v>
      </c>
      <c r="Q281" s="268">
        <f>Q231-P231</f>
        <v>-47</v>
      </c>
      <c r="R281" s="268">
        <f>SUM(N281:Q281)</f>
        <v>35</v>
      </c>
      <c r="S281" s="268">
        <f>S231-R231</f>
        <v>36</v>
      </c>
      <c r="T281" s="268">
        <f>T231-S231</f>
        <v>38</v>
      </c>
      <c r="U281" s="268">
        <f>U231-T231</f>
        <v>56</v>
      </c>
      <c r="V281" s="268">
        <f>V231-U231</f>
        <v>54</v>
      </c>
      <c r="W281" s="268">
        <f>SUM(S281:V281)</f>
        <v>184</v>
      </c>
      <c r="X281" s="268">
        <f>X231-W231</f>
        <v>47</v>
      </c>
      <c r="Y281" s="268">
        <f>Y231-X231</f>
        <v>-9</v>
      </c>
      <c r="Z281" s="268">
        <f>Z231-Y231</f>
        <v>1</v>
      </c>
      <c r="AA281" s="268">
        <f>AA231-Z231</f>
        <v>-116</v>
      </c>
      <c r="AB281" s="268">
        <f>SUM(X281:AA281)</f>
        <v>-77</v>
      </c>
      <c r="AC281" s="268">
        <f>AC231-AB231</f>
        <v>26</v>
      </c>
      <c r="AD281" s="268">
        <f>AD231-AC231</f>
        <v>8</v>
      </c>
      <c r="AE281" s="268">
        <f>AE231-AD231</f>
        <v>-51</v>
      </c>
      <c r="AF281" s="268">
        <f>AF231-AE231</f>
        <v>263</v>
      </c>
      <c r="AG281" s="268">
        <f>SUM(AC281:AF281)</f>
        <v>246</v>
      </c>
      <c r="AH281" s="268">
        <f>AH231-AG231</f>
        <v>19</v>
      </c>
      <c r="AI281" s="268">
        <f>AI231-AH231</f>
        <v>17</v>
      </c>
      <c r="AJ281" s="268">
        <f>AJ231-AI231</f>
        <v>0</v>
      </c>
      <c r="AK281" s="268">
        <f>AK231-AJ231</f>
        <v>0</v>
      </c>
      <c r="AL281" s="268">
        <f>SUM(AH281:AK281)</f>
        <v>36</v>
      </c>
      <c r="AM281" s="268">
        <f>AM231-AL231</f>
        <v>0</v>
      </c>
      <c r="AN281" s="268">
        <f>AN231-AM231</f>
        <v>0</v>
      </c>
      <c r="AO281" s="268">
        <f>AO231-AN231</f>
        <v>0</v>
      </c>
      <c r="AP281" s="268">
        <f>AP231-AO231</f>
        <v>0</v>
      </c>
      <c r="AQ281" s="268">
        <f>SUM(AM281:AP281)</f>
        <v>0</v>
      </c>
      <c r="AR281" s="268">
        <f>AR231-AQ231</f>
        <v>0</v>
      </c>
      <c r="AS281" s="268">
        <f>AS231-AR231</f>
        <v>0</v>
      </c>
      <c r="AT281" s="268">
        <f>AT231-AS231</f>
        <v>0</v>
      </c>
      <c r="AU281" s="268">
        <f>AU231-AT231</f>
        <v>0</v>
      </c>
      <c r="AV281" s="268">
        <f>SUM(AR281:AU281)</f>
        <v>0</v>
      </c>
      <c r="AW281" s="268">
        <f>AW231-AV231</f>
        <v>0</v>
      </c>
      <c r="AX281" s="268">
        <f>AX231-AW231</f>
        <v>0</v>
      </c>
      <c r="AY281" s="268">
        <f>AY231-AX231</f>
        <v>0</v>
      </c>
      <c r="AZ281" s="268">
        <f>AZ231-AY231</f>
        <v>0</v>
      </c>
      <c r="BA281" s="268">
        <f>SUM(AW281:AZ281)</f>
        <v>0</v>
      </c>
      <c r="BB281" s="268">
        <f>BB231-BA231</f>
        <v>0</v>
      </c>
      <c r="BC281" s="268">
        <f>BC231-BB231</f>
        <v>0</v>
      </c>
      <c r="BD281" s="268">
        <f>BD231-BC231</f>
        <v>0</v>
      </c>
      <c r="BE281" s="268">
        <f>BE231-BD231</f>
        <v>0</v>
      </c>
      <c r="BF281" s="268">
        <f>SUM(BB281:BE281)</f>
        <v>0</v>
      </c>
      <c r="BG281" s="268">
        <f>BG231-BF231</f>
        <v>0</v>
      </c>
      <c r="BH281" s="268">
        <f>BH231-BG231</f>
        <v>0</v>
      </c>
      <c r="BI281" s="268">
        <f>BI231-BH231</f>
        <v>0</v>
      </c>
      <c r="BJ281" s="268">
        <f>BJ231-BI231</f>
        <v>0</v>
      </c>
      <c r="BK281" s="268">
        <f>SUM(BG281:BJ281)</f>
        <v>0</v>
      </c>
      <c r="BL281" s="268">
        <f>BL231-BK231</f>
        <v>0</v>
      </c>
      <c r="BM281" s="268">
        <f>BM231-BL231</f>
        <v>0</v>
      </c>
      <c r="BN281" s="268">
        <f>BN231-BM231</f>
        <v>0</v>
      </c>
      <c r="BO281" s="268">
        <f>BO231-BN231</f>
        <v>0</v>
      </c>
      <c r="BP281" s="268">
        <f>SUM(BL281:BO281)</f>
        <v>0</v>
      </c>
      <c r="BQ281" s="268">
        <f>BQ231-BP231</f>
        <v>0</v>
      </c>
      <c r="BR281" s="268">
        <f>BR231-BQ231</f>
        <v>0</v>
      </c>
      <c r="BS281" s="268">
        <f>BS231-BR231</f>
        <v>0</v>
      </c>
      <c r="BT281" s="268">
        <f>BT231-BS231</f>
        <v>0</v>
      </c>
      <c r="BU281" s="268">
        <f>SUM(BQ281:BT281)</f>
        <v>0</v>
      </c>
      <c r="BV281" s="268">
        <f>BV231-BU231</f>
        <v>0</v>
      </c>
      <c r="BW281" s="268">
        <f>BW231-BV231</f>
        <v>0</v>
      </c>
      <c r="BX281" s="268">
        <f>BX231-BW231</f>
        <v>0</v>
      </c>
      <c r="BY281" s="268">
        <f>BY231-BX231</f>
        <v>0</v>
      </c>
      <c r="BZ281" s="268">
        <f>SUM(BV281:BY281)</f>
        <v>0</v>
      </c>
      <c r="CA281" s="268">
        <f>CA231-BZ231</f>
        <v>0</v>
      </c>
      <c r="CB281" s="268">
        <f>CB231-CA231</f>
        <v>0</v>
      </c>
      <c r="CC281" s="268">
        <f>CC231-CB231</f>
        <v>0</v>
      </c>
      <c r="CD281" s="268">
        <f>CD231-CC231</f>
        <v>0</v>
      </c>
      <c r="CE281" s="268">
        <f>SUM(CA281:CD281)</f>
        <v>0</v>
      </c>
      <c r="CF281" s="268">
        <f>CF231-CE231</f>
        <v>0</v>
      </c>
      <c r="CG281" s="268">
        <f>CG231-CF231</f>
        <v>0</v>
      </c>
      <c r="CH281" s="268">
        <f>CH231-CG231</f>
        <v>0</v>
      </c>
      <c r="CI281" s="268">
        <f>CI231-CH231</f>
        <v>0</v>
      </c>
      <c r="CJ281" s="268">
        <f>SUM(CF281:CI281)</f>
        <v>0</v>
      </c>
      <c r="CK281" s="268">
        <f>CK231-CJ231</f>
        <v>0</v>
      </c>
      <c r="CL281" s="268">
        <f>CL231-CK231</f>
        <v>0</v>
      </c>
      <c r="CM281" s="268">
        <f>CM231-CL231</f>
        <v>0</v>
      </c>
      <c r="CN281" s="268">
        <f>CN231-CM231</f>
        <v>0</v>
      </c>
      <c r="CO281" s="268">
        <f>SUM(CK281:CN281)</f>
        <v>0</v>
      </c>
      <c r="CP281" s="268">
        <f>CP231-CO231</f>
        <v>0</v>
      </c>
      <c r="CQ281" s="268">
        <f>CQ231-CP231</f>
        <v>0</v>
      </c>
      <c r="CR281" s="268">
        <f>CR231-CQ231</f>
        <v>0</v>
      </c>
      <c r="CS281" s="268">
        <f>CS231-CR231</f>
        <v>0</v>
      </c>
      <c r="CT281" s="268">
        <f>SUM(CP281:CS281)</f>
        <v>0</v>
      </c>
      <c r="CU281" s="268">
        <f>CU231-CT231</f>
        <v>0</v>
      </c>
      <c r="CV281" s="268">
        <f>CV231-CU231</f>
        <v>0</v>
      </c>
      <c r="CW281" s="268">
        <f>CW231-CV231</f>
        <v>0</v>
      </c>
      <c r="CX281" s="268">
        <f>CX231-CW231</f>
        <v>0</v>
      </c>
      <c r="CY281" s="268">
        <f>SUM(CU281:CX281)</f>
        <v>0</v>
      </c>
    </row>
    <row r="282" ht="12.75" customHeight="1" s="255">
      <c r="C282" s="266" t="inlineStr">
        <is>
          <t>Equity income in affiliates</t>
        </is>
      </c>
      <c r="D282" s="268" t="n"/>
      <c r="E282" s="268">
        <f>(E153-D153)*-1</f>
        <v>0</v>
      </c>
      <c r="F282" s="268">
        <f>(F153-E153)*-1</f>
        <v>0</v>
      </c>
      <c r="G282" s="268">
        <f>(G153-F153)*-1</f>
        <v>0</v>
      </c>
      <c r="H282" s="268">
        <f>SUM(D282:G282)</f>
        <v>0</v>
      </c>
      <c r="I282" s="268">
        <f>(I153-H153)*-1</f>
        <v>0</v>
      </c>
      <c r="J282" s="268">
        <f>(J153-I153)*-1</f>
        <v>0</v>
      </c>
      <c r="K282" s="268">
        <f>(K153-J153)*-1</f>
        <v>0</v>
      </c>
      <c r="L282" s="268">
        <f>(L153-K153)*-1</f>
        <v>0</v>
      </c>
      <c r="M282" s="268">
        <f>SUM(I282:L282)</f>
        <v>0</v>
      </c>
      <c r="N282" s="268">
        <f>(N153-M153)*-1</f>
        <v>0</v>
      </c>
      <c r="O282" s="268">
        <f>(O153-N153)*-1</f>
        <v>0</v>
      </c>
      <c r="P282" s="268">
        <f>(P153-O153)*-1</f>
        <v>0</v>
      </c>
      <c r="Q282" s="268">
        <f>(Q153-P153)*-1</f>
        <v>0</v>
      </c>
      <c r="R282" s="268">
        <f>SUM(N282:Q282)</f>
        <v>0</v>
      </c>
      <c r="S282" s="268">
        <f>(S153-R153)*-1</f>
        <v>0</v>
      </c>
      <c r="T282" s="268">
        <f>(T153-S153)*-1</f>
        <v>0</v>
      </c>
      <c r="U282" s="268">
        <f>(U153-T153)*-1</f>
        <v>0</v>
      </c>
      <c r="V282" s="268">
        <f>(V153-U153)*-1</f>
        <v>0</v>
      </c>
      <c r="W282" s="268">
        <f>SUM(S282:V282)</f>
        <v>0</v>
      </c>
      <c r="X282" s="268">
        <f>(X153-W153)*-1</f>
        <v>0</v>
      </c>
      <c r="Y282" s="268">
        <f>(Y153-X153)*-1</f>
        <v>0</v>
      </c>
      <c r="Z282" s="268">
        <f>(Z153-Y153)*-1</f>
        <v>0</v>
      </c>
      <c r="AA282" s="268">
        <f>(AA153-Z153)*-1</f>
        <v>0</v>
      </c>
      <c r="AB282" s="268">
        <f>SUM(X282:AA282)</f>
        <v>0</v>
      </c>
      <c r="AC282" s="268">
        <f>(AC153-AB153)*-1</f>
        <v>0</v>
      </c>
      <c r="AD282" s="268">
        <f>(AD153-AC153)*-1</f>
        <v>0</v>
      </c>
      <c r="AE282" s="268">
        <f>(AE153-AD153)*-1</f>
        <v>0</v>
      </c>
      <c r="AF282" s="268">
        <f>(AF153-AE153)*-1</f>
        <v>0</v>
      </c>
      <c r="AG282" s="268">
        <f>SUM(AC282:AF282)</f>
        <v>0</v>
      </c>
      <c r="AH282" s="268">
        <f>(AH153-AG153)*-1</f>
        <v>0</v>
      </c>
      <c r="AI282" s="268">
        <f>(AI153-AH153)*-1</f>
        <v>0</v>
      </c>
      <c r="AJ282" s="268">
        <f>(AJ153-AI153)*-1</f>
        <v>8</v>
      </c>
      <c r="AK282" s="268">
        <f>(AK153-AJ153)*-1</f>
        <v>-1</v>
      </c>
      <c r="AL282" s="268">
        <f>SUM(AH282:AK282)</f>
        <v>7</v>
      </c>
      <c r="AM282" s="268">
        <f>(AM153-AL153)*-1</f>
        <v>-6</v>
      </c>
      <c r="AN282" s="268">
        <f>(AN153-AM153)*-1</f>
        <v>-5</v>
      </c>
      <c r="AO282" s="268">
        <f>(AO153-AN153)*-1</f>
        <v>8</v>
      </c>
      <c r="AP282" s="268">
        <f>(AP153-AO153)*-1</f>
        <v>-1</v>
      </c>
      <c r="AQ282" s="268">
        <f>SUM(AM282:AP282)</f>
        <v>-4</v>
      </c>
      <c r="AR282" s="268">
        <f>(AR153-AQ153)*-1</f>
        <v>-6</v>
      </c>
      <c r="AS282" s="268">
        <f>(AS153-AR153)*-1</f>
        <v>-5</v>
      </c>
      <c r="AT282" s="268">
        <f>(AT153-AS153)*-1</f>
        <v>8</v>
      </c>
      <c r="AU282" s="268">
        <f>(AU153-AT153)*-1</f>
        <v>-1</v>
      </c>
      <c r="AV282" s="268">
        <f>SUM(AR282:AU282)</f>
        <v>-4</v>
      </c>
      <c r="AW282" s="268">
        <f>(AW153-AV153)*-1</f>
        <v>-6</v>
      </c>
      <c r="AX282" s="268">
        <f>(AX153-AW153)*-1</f>
        <v>-5</v>
      </c>
      <c r="AY282" s="268">
        <f>(AY153-AX153)*-1</f>
        <v>8</v>
      </c>
      <c r="AZ282" s="268">
        <f>(AZ153-AY153)*-1</f>
        <v>-1</v>
      </c>
      <c r="BA282" s="268">
        <f>SUM(AW282:AZ282)</f>
        <v>-4</v>
      </c>
      <c r="BB282" s="268">
        <f>(BB153-BA153)*-1</f>
        <v>-6</v>
      </c>
      <c r="BC282" s="268">
        <f>(BC153-BB153)*-1</f>
        <v>-5</v>
      </c>
      <c r="BD282" s="268">
        <f>(BD153-BC153)*-1</f>
        <v>8</v>
      </c>
      <c r="BE282" s="268">
        <f>(BE153-BD153)*-1</f>
        <v>-1</v>
      </c>
      <c r="BF282" s="268">
        <f>SUM(BB282:BE282)</f>
        <v>-4</v>
      </c>
      <c r="BG282" s="268">
        <f>(BG153-BF153)*-1</f>
        <v>-6</v>
      </c>
      <c r="BH282" s="268">
        <f>(BH153-BG153)*-1</f>
        <v>-5</v>
      </c>
      <c r="BI282" s="268">
        <f>(BI153-BH153)*-1</f>
        <v>8</v>
      </c>
      <c r="BJ282" s="268">
        <f>(BJ153-BI153)*-1</f>
        <v>-1</v>
      </c>
      <c r="BK282" s="268">
        <f>SUM(BG282:BJ282)</f>
        <v>-4</v>
      </c>
      <c r="BL282" s="268">
        <f>(BL153-BK153)*-1</f>
        <v>-6</v>
      </c>
      <c r="BM282" s="268">
        <f>(BM153-BL153)*-1</f>
        <v>-5</v>
      </c>
      <c r="BN282" s="268">
        <f>(BN153-BM153)*-1</f>
        <v>8</v>
      </c>
      <c r="BO282" s="268">
        <f>(BO153-BN153)*-1</f>
        <v>-1</v>
      </c>
      <c r="BP282" s="268">
        <f>SUM(BL282:BO282)</f>
        <v>-4</v>
      </c>
      <c r="BQ282" s="268">
        <f>(BQ153-BP153)*-1</f>
        <v>-6</v>
      </c>
      <c r="BR282" s="268">
        <f>(BR153-BQ153)*-1</f>
        <v>-5</v>
      </c>
      <c r="BS282" s="268">
        <f>(BS153-BR153)*-1</f>
        <v>8</v>
      </c>
      <c r="BT282" s="268">
        <f>(BT153-BS153)*-1</f>
        <v>-1</v>
      </c>
      <c r="BU282" s="268">
        <f>SUM(BQ282:BT282)</f>
        <v>-4</v>
      </c>
      <c r="BV282" s="268">
        <f>(BV153-BU153)*-1</f>
        <v>-6</v>
      </c>
      <c r="BW282" s="268">
        <f>(BW153-BV153)*-1</f>
        <v>-5</v>
      </c>
      <c r="BX282" s="268">
        <f>(BX153-BW153)*-1</f>
        <v>8</v>
      </c>
      <c r="BY282" s="268">
        <f>(BY153-BX153)*-1</f>
        <v>-1</v>
      </c>
      <c r="BZ282" s="268">
        <f>SUM(BV282:BY282)</f>
        <v>-4</v>
      </c>
      <c r="CA282" s="268">
        <f>(CA153-BZ153)*-1</f>
        <v>-6</v>
      </c>
      <c r="CB282" s="268">
        <f>(CB153-CA153)*-1</f>
        <v>-5</v>
      </c>
      <c r="CC282" s="268">
        <f>(CC153-CB153)*-1</f>
        <v>8</v>
      </c>
      <c r="CD282" s="268">
        <f>(CD153-CC153)*-1</f>
        <v>-1</v>
      </c>
      <c r="CE282" s="268">
        <f>SUM(CA282:CD282)</f>
        <v>-4</v>
      </c>
      <c r="CF282" s="268">
        <f>(CF153-CE153)*-1</f>
        <v>-6</v>
      </c>
      <c r="CG282" s="268">
        <f>(CG153-CF153)*-1</f>
        <v>-5</v>
      </c>
      <c r="CH282" s="268">
        <f>(CH153-CG153)*-1</f>
        <v>8</v>
      </c>
      <c r="CI282" s="268">
        <f>(CI153-CH153)*-1</f>
        <v>-1</v>
      </c>
      <c r="CJ282" s="268">
        <f>SUM(CF282:CI282)</f>
        <v>-4</v>
      </c>
      <c r="CK282" s="268">
        <f>(CK153-CJ153)*-1</f>
        <v>-6</v>
      </c>
      <c r="CL282" s="268">
        <f>(CL153-CK153)*-1</f>
        <v>-5</v>
      </c>
      <c r="CM282" s="268">
        <f>(CM153-CL153)*-1</f>
        <v>8</v>
      </c>
      <c r="CN282" s="268">
        <f>(CN153-CM153)*-1</f>
        <v>-1</v>
      </c>
      <c r="CO282" s="268">
        <f>SUM(CK282:CN282)</f>
        <v>-4</v>
      </c>
      <c r="CP282" s="268">
        <f>(CP153-CO153)*-1</f>
        <v>-6</v>
      </c>
      <c r="CQ282" s="268">
        <f>(CQ153-CP153)*-1</f>
        <v>-5</v>
      </c>
      <c r="CR282" s="268">
        <f>(CR153-CQ153)*-1</f>
        <v>8</v>
      </c>
      <c r="CS282" s="268">
        <f>(CS153-CR153)*-1</f>
        <v>-1</v>
      </c>
      <c r="CT282" s="268">
        <f>SUM(CP282:CS282)</f>
        <v>-4</v>
      </c>
      <c r="CU282" s="268">
        <f>(CU153-CT153)*-1</f>
        <v>-6</v>
      </c>
      <c r="CV282" s="268">
        <f>(CV153-CU153)*-1</f>
        <v>-5</v>
      </c>
      <c r="CW282" s="268">
        <f>(CW153-CV153)*-1</f>
        <v>8</v>
      </c>
      <c r="CX282" s="268">
        <f>(CX153-CW153)*-1</f>
        <v>-1</v>
      </c>
      <c r="CY282" s="268">
        <f>SUM(CU282:CX282)</f>
        <v>-4</v>
      </c>
    </row>
    <row r="283" ht="12.75" customHeight="1" s="255">
      <c r="C283" s="266" t="inlineStr">
        <is>
          <t>Dividends received from affiliates</t>
        </is>
      </c>
      <c r="D283" s="268" t="n"/>
      <c r="E283" s="268">
        <f>-E156</f>
        <v>0</v>
      </c>
      <c r="F283" s="268">
        <f>-F156</f>
        <v>0</v>
      </c>
      <c r="G283" s="268">
        <f>-G156</f>
        <v>0</v>
      </c>
      <c r="H283" s="268">
        <f>SUM(D283:G283)</f>
        <v>0</v>
      </c>
      <c r="I283" s="268">
        <f>-I156</f>
        <v>0</v>
      </c>
      <c r="J283" s="268">
        <f>-J156</f>
        <v>0</v>
      </c>
      <c r="K283" s="268">
        <f>-K156</f>
        <v>0</v>
      </c>
      <c r="L283" s="268">
        <f>-L156</f>
        <v>0</v>
      </c>
      <c r="M283" s="268">
        <f>SUM(I283:L283)</f>
        <v>0</v>
      </c>
      <c r="N283" s="268">
        <f>-N156</f>
        <v>0</v>
      </c>
      <c r="O283" s="268">
        <f>-O156</f>
        <v>0</v>
      </c>
      <c r="P283" s="268">
        <f>-P156</f>
        <v>0</v>
      </c>
      <c r="Q283" s="268">
        <f>-Q156</f>
        <v>0</v>
      </c>
      <c r="R283" s="268">
        <f>SUM(N283:Q283)</f>
        <v>0</v>
      </c>
      <c r="S283" s="268">
        <f>-S156</f>
        <v>0</v>
      </c>
      <c r="T283" s="268">
        <f>-T156</f>
        <v>0</v>
      </c>
      <c r="U283" s="268">
        <f>-U156</f>
        <v>0</v>
      </c>
      <c r="V283" s="268">
        <f>-V156</f>
        <v>0</v>
      </c>
      <c r="W283" s="268">
        <f>SUM(S283:V283)</f>
        <v>0</v>
      </c>
      <c r="X283" s="268">
        <f>-X156</f>
        <v>0</v>
      </c>
      <c r="Y283" s="268">
        <f>-Y156</f>
        <v>0</v>
      </c>
      <c r="Z283" s="268">
        <f>-Z156</f>
        <v>0</v>
      </c>
      <c r="AA283" s="268">
        <f>-AA156</f>
        <v>0</v>
      </c>
      <c r="AB283" s="268">
        <f>SUM(X283:AA283)</f>
        <v>0</v>
      </c>
      <c r="AC283" s="268">
        <f>-AC156</f>
        <v>0</v>
      </c>
      <c r="AD283" s="268">
        <f>-AD156</f>
        <v>0</v>
      </c>
      <c r="AE283" s="268">
        <f>-AE156</f>
        <v>0</v>
      </c>
      <c r="AF283" s="268">
        <f>-AF156</f>
        <v>0</v>
      </c>
      <c r="AG283" s="268">
        <f>SUM(AC283:AF283)</f>
        <v>0</v>
      </c>
      <c r="AH283" s="268">
        <f>-AH156</f>
        <v>0</v>
      </c>
      <c r="AI283" s="268">
        <f>-AI156</f>
        <v>0</v>
      </c>
      <c r="AJ283" s="268">
        <f>-AJ156</f>
        <v>0</v>
      </c>
      <c r="AK283" s="268">
        <f>-AK156</f>
        <v>0</v>
      </c>
      <c r="AL283" s="268">
        <f>SUM(AH283:AK283)</f>
        <v>0</v>
      </c>
      <c r="AM283" s="268">
        <f>-AM156</f>
        <v>0</v>
      </c>
      <c r="AN283" s="268">
        <f>-AN156</f>
        <v>0</v>
      </c>
      <c r="AO283" s="268">
        <f>-AO156</f>
        <v>0</v>
      </c>
      <c r="AP283" s="268">
        <f>-AP156</f>
        <v>0</v>
      </c>
      <c r="AQ283" s="268">
        <f>SUM(AM283:AP283)</f>
        <v>0</v>
      </c>
      <c r="AR283" s="268">
        <f>-AR156</f>
        <v>0</v>
      </c>
      <c r="AS283" s="268">
        <f>-AS156</f>
        <v>0</v>
      </c>
      <c r="AT283" s="268">
        <f>-AT156</f>
        <v>0</v>
      </c>
      <c r="AU283" s="268">
        <f>-AU156</f>
        <v>0</v>
      </c>
      <c r="AV283" s="268">
        <f>SUM(AR283:AU283)</f>
        <v>0</v>
      </c>
      <c r="AW283" s="268">
        <f>-AW156</f>
        <v>0</v>
      </c>
      <c r="AX283" s="268">
        <f>-AX156</f>
        <v>0</v>
      </c>
      <c r="AY283" s="268">
        <f>-AY156</f>
        <v>0</v>
      </c>
      <c r="AZ283" s="268">
        <f>-AZ156</f>
        <v>0</v>
      </c>
      <c r="BA283" s="268">
        <f>SUM(AW283:AZ283)</f>
        <v>0</v>
      </c>
      <c r="BB283" s="268">
        <f>-BB156</f>
        <v>0</v>
      </c>
      <c r="BC283" s="268">
        <f>-BC156</f>
        <v>0</v>
      </c>
      <c r="BD283" s="268">
        <f>-BD156</f>
        <v>0</v>
      </c>
      <c r="BE283" s="268">
        <f>-BE156</f>
        <v>0</v>
      </c>
      <c r="BF283" s="268">
        <f>SUM(BB283:BE283)</f>
        <v>0</v>
      </c>
      <c r="BG283" s="268">
        <f>-BG156</f>
        <v>0</v>
      </c>
      <c r="BH283" s="268">
        <f>-BH156</f>
        <v>0</v>
      </c>
      <c r="BI283" s="268">
        <f>-BI156</f>
        <v>0</v>
      </c>
      <c r="BJ283" s="268">
        <f>-BJ156</f>
        <v>0</v>
      </c>
      <c r="BK283" s="268">
        <f>SUM(BG283:BJ283)</f>
        <v>0</v>
      </c>
      <c r="BL283" s="268">
        <f>-BL156</f>
        <v>0</v>
      </c>
      <c r="BM283" s="268">
        <f>-BM156</f>
        <v>0</v>
      </c>
      <c r="BN283" s="268">
        <f>-BN156</f>
        <v>0</v>
      </c>
      <c r="BO283" s="268">
        <f>-BO156</f>
        <v>0</v>
      </c>
      <c r="BP283" s="268">
        <f>SUM(BL283:BO283)</f>
        <v>0</v>
      </c>
      <c r="BQ283" s="268">
        <f>-BQ156</f>
        <v>0</v>
      </c>
      <c r="BR283" s="268">
        <f>-BR156</f>
        <v>0</v>
      </c>
      <c r="BS283" s="268">
        <f>-BS156</f>
        <v>0</v>
      </c>
      <c r="BT283" s="268">
        <f>-BT156</f>
        <v>0</v>
      </c>
      <c r="BU283" s="268">
        <f>SUM(BQ283:BT283)</f>
        <v>0</v>
      </c>
      <c r="BV283" s="268">
        <f>-BV156</f>
        <v>0</v>
      </c>
      <c r="BW283" s="268">
        <f>-BW156</f>
        <v>0</v>
      </c>
      <c r="BX283" s="268">
        <f>-BX156</f>
        <v>0</v>
      </c>
      <c r="BY283" s="268">
        <f>-BY156</f>
        <v>0</v>
      </c>
      <c r="BZ283" s="268">
        <f>SUM(BV283:BY283)</f>
        <v>0</v>
      </c>
      <c r="CA283" s="268">
        <f>-CA156</f>
        <v>0</v>
      </c>
      <c r="CB283" s="268">
        <f>-CB156</f>
        <v>0</v>
      </c>
      <c r="CC283" s="268">
        <f>-CC156</f>
        <v>0</v>
      </c>
      <c r="CD283" s="268">
        <f>-CD156</f>
        <v>0</v>
      </c>
      <c r="CE283" s="268">
        <f>SUM(CA283:CD283)</f>
        <v>0</v>
      </c>
      <c r="CF283" s="268">
        <f>-CF156</f>
        <v>0</v>
      </c>
      <c r="CG283" s="268">
        <f>-CG156</f>
        <v>0</v>
      </c>
      <c r="CH283" s="268">
        <f>-CH156</f>
        <v>0</v>
      </c>
      <c r="CI283" s="268">
        <f>-CI156</f>
        <v>0</v>
      </c>
      <c r="CJ283" s="268">
        <f>SUM(CF283:CI283)</f>
        <v>0</v>
      </c>
      <c r="CK283" s="268">
        <f>-CK156</f>
        <v>0</v>
      </c>
      <c r="CL283" s="268">
        <f>-CL156</f>
        <v>0</v>
      </c>
      <c r="CM283" s="268">
        <f>-CM156</f>
        <v>0</v>
      </c>
      <c r="CN283" s="268">
        <f>-CN156</f>
        <v>0</v>
      </c>
      <c r="CO283" s="268">
        <f>SUM(CK283:CN283)</f>
        <v>0</v>
      </c>
      <c r="CP283" s="268">
        <f>-CP156</f>
        <v>0</v>
      </c>
      <c r="CQ283" s="268">
        <f>-CQ156</f>
        <v>0</v>
      </c>
      <c r="CR283" s="268">
        <f>-CR156</f>
        <v>0</v>
      </c>
      <c r="CS283" s="268">
        <f>-CS156</f>
        <v>0</v>
      </c>
      <c r="CT283" s="268">
        <f>SUM(CP283:CS283)</f>
        <v>0</v>
      </c>
      <c r="CU283" s="268">
        <f>-CU156</f>
        <v>0</v>
      </c>
      <c r="CV283" s="268">
        <f>-CV156</f>
        <v>0</v>
      </c>
      <c r="CW283" s="268">
        <f>-CW156</f>
        <v>0</v>
      </c>
      <c r="CX283" s="268">
        <f>-CX156</f>
        <v>0</v>
      </c>
      <c r="CY283" s="268">
        <f>SUM(CU283:CX283)</f>
        <v>0</v>
      </c>
    </row>
    <row r="284" ht="12.75" customHeight="1" s="255">
      <c r="C284" s="328" t="inlineStr">
        <is>
          <t>Minority interest expense</t>
        </is>
      </c>
      <c r="D284" s="268" t="n"/>
      <c r="E284" s="268">
        <f>-E128</f>
        <v>71</v>
      </c>
      <c r="F284" s="268">
        <f>-F128</f>
        <v>103</v>
      </c>
      <c r="G284" s="268">
        <f>-G128</f>
        <v>150</v>
      </c>
      <c r="H284" s="268">
        <f>SUM(D284:G284)</f>
        <v>324</v>
      </c>
      <c r="I284" s="268">
        <f>-I128</f>
        <v>-235</v>
      </c>
      <c r="J284" s="268">
        <f>-J128</f>
        <v>248</v>
      </c>
      <c r="K284" s="268">
        <f>-K128</f>
        <v>324</v>
      </c>
      <c r="L284" s="268">
        <f>-L128</f>
        <v>-1866</v>
      </c>
      <c r="M284" s="268">
        <f>SUM(I284:L284)</f>
        <v>-1529</v>
      </c>
      <c r="N284" s="268">
        <f>-N128</f>
        <v>377</v>
      </c>
      <c r="O284" s="268">
        <f>-O128</f>
        <v>198</v>
      </c>
      <c r="P284" s="268">
        <f>-P128</f>
        <v>156</v>
      </c>
      <c r="Q284" s="268">
        <f>-Q128</f>
        <v>280</v>
      </c>
      <c r="R284" s="268">
        <f>SUM(N284:Q284)</f>
        <v>1011</v>
      </c>
      <c r="S284" s="268">
        <f>-S128</f>
        <v>386</v>
      </c>
      <c r="T284" s="268">
        <f>-T128</f>
        <v>388</v>
      </c>
      <c r="U284" s="268">
        <f>-U128</f>
        <v>510</v>
      </c>
      <c r="V284" s="268">
        <f>-V128</f>
        <v>619</v>
      </c>
      <c r="W284" s="268">
        <f>SUM(S284:V284)</f>
        <v>1903</v>
      </c>
      <c r="X284" s="268">
        <f>-X128</f>
        <v>689</v>
      </c>
      <c r="Y284" s="268">
        <f>-Y128</f>
        <v>664</v>
      </c>
      <c r="Z284" s="268">
        <f>-Z128</f>
        <v>710</v>
      </c>
      <c r="AA284" s="268">
        <f>-AA128</f>
        <v>447</v>
      </c>
      <c r="AB284" s="268">
        <f>SUM(X284:AA284)</f>
        <v>2510</v>
      </c>
      <c r="AC284" s="268">
        <f>-AC128</f>
        <v>441</v>
      </c>
      <c r="AD284" s="268">
        <f>-AD128</f>
        <v>775</v>
      </c>
      <c r="AE284" s="268">
        <f>-AE128</f>
        <v>573</v>
      </c>
      <c r="AF284" s="268">
        <f>-AF128</f>
        <v>159</v>
      </c>
      <c r="AG284" s="268">
        <f>SUM(AC284:AF284)</f>
        <v>1948</v>
      </c>
      <c r="AH284" s="268">
        <f>-AH128</f>
        <v>506</v>
      </c>
      <c r="AI284" s="268">
        <f>-AI128</f>
        <v>407</v>
      </c>
      <c r="AJ284" s="268">
        <f>-AJ128</f>
        <v>573</v>
      </c>
      <c r="AK284" s="268">
        <f>-AK128</f>
        <v>159</v>
      </c>
      <c r="AL284" s="268">
        <f>SUM(AH284:AK284)</f>
        <v>1645</v>
      </c>
      <c r="AM284" s="268">
        <f>-AM128</f>
        <v>506</v>
      </c>
      <c r="AN284" s="268">
        <f>-AN128</f>
        <v>407</v>
      </c>
      <c r="AO284" s="268">
        <f>-AO128</f>
        <v>573</v>
      </c>
      <c r="AP284" s="268">
        <f>-AP128</f>
        <v>159</v>
      </c>
      <c r="AQ284" s="268">
        <f>SUM(AM284:AP284)</f>
        <v>1645</v>
      </c>
      <c r="AR284" s="268">
        <f>-AR128</f>
        <v>506</v>
      </c>
      <c r="AS284" s="268">
        <f>-AS128</f>
        <v>407</v>
      </c>
      <c r="AT284" s="268">
        <f>-AT128</f>
        <v>573</v>
      </c>
      <c r="AU284" s="268">
        <f>-AU128</f>
        <v>159</v>
      </c>
      <c r="AV284" s="268">
        <f>SUM(AR284:AU284)</f>
        <v>1645</v>
      </c>
      <c r="AW284" s="268">
        <f>-AW128</f>
        <v>506</v>
      </c>
      <c r="AX284" s="268">
        <f>-AX128</f>
        <v>407</v>
      </c>
      <c r="AY284" s="268">
        <f>-AY128</f>
        <v>573</v>
      </c>
      <c r="AZ284" s="268">
        <f>-AZ128</f>
        <v>159</v>
      </c>
      <c r="BA284" s="268">
        <f>SUM(AW284:AZ284)</f>
        <v>1645</v>
      </c>
      <c r="BB284" s="268">
        <f>-BB128</f>
        <v>506</v>
      </c>
      <c r="BC284" s="268">
        <f>-BC128</f>
        <v>407</v>
      </c>
      <c r="BD284" s="268">
        <f>-BD128</f>
        <v>573</v>
      </c>
      <c r="BE284" s="268">
        <f>-BE128</f>
        <v>159</v>
      </c>
      <c r="BF284" s="268">
        <f>SUM(BB284:BE284)</f>
        <v>1645</v>
      </c>
      <c r="BG284" s="268">
        <f>-BG128</f>
        <v>506</v>
      </c>
      <c r="BH284" s="268">
        <f>-BH128</f>
        <v>407</v>
      </c>
      <c r="BI284" s="268">
        <f>-BI128</f>
        <v>573</v>
      </c>
      <c r="BJ284" s="268">
        <f>-BJ128</f>
        <v>159</v>
      </c>
      <c r="BK284" s="268">
        <f>SUM(BG284:BJ284)</f>
        <v>1645</v>
      </c>
      <c r="BL284" s="268">
        <f>-BL128</f>
        <v>506</v>
      </c>
      <c r="BM284" s="268">
        <f>-BM128</f>
        <v>407</v>
      </c>
      <c r="BN284" s="268">
        <f>-BN128</f>
        <v>573</v>
      </c>
      <c r="BO284" s="268">
        <f>-BO128</f>
        <v>159</v>
      </c>
      <c r="BP284" s="268">
        <f>SUM(BL284:BO284)</f>
        <v>1645</v>
      </c>
      <c r="BQ284" s="268">
        <f>-BQ128</f>
        <v>506</v>
      </c>
      <c r="BR284" s="268">
        <f>-BR128</f>
        <v>407</v>
      </c>
      <c r="BS284" s="268">
        <f>-BS128</f>
        <v>573</v>
      </c>
      <c r="BT284" s="268">
        <f>-BT128</f>
        <v>159</v>
      </c>
      <c r="BU284" s="268">
        <f>SUM(BQ284:BT284)</f>
        <v>1645</v>
      </c>
      <c r="BV284" s="268">
        <f>-BV128</f>
        <v>506</v>
      </c>
      <c r="BW284" s="268">
        <f>-BW128</f>
        <v>407</v>
      </c>
      <c r="BX284" s="268">
        <f>-BX128</f>
        <v>573</v>
      </c>
      <c r="BY284" s="268">
        <f>-BY128</f>
        <v>159</v>
      </c>
      <c r="BZ284" s="268">
        <f>SUM(BV284:BY284)</f>
        <v>1645</v>
      </c>
      <c r="CA284" s="268">
        <f>-CA128</f>
        <v>506</v>
      </c>
      <c r="CB284" s="268">
        <f>-CB128</f>
        <v>407</v>
      </c>
      <c r="CC284" s="268">
        <f>-CC128</f>
        <v>573</v>
      </c>
      <c r="CD284" s="268">
        <f>-CD128</f>
        <v>159</v>
      </c>
      <c r="CE284" s="268">
        <f>SUM(CA284:CD284)</f>
        <v>1645</v>
      </c>
      <c r="CF284" s="268">
        <f>-CF128</f>
        <v>506</v>
      </c>
      <c r="CG284" s="268">
        <f>-CG128</f>
        <v>407</v>
      </c>
      <c r="CH284" s="268">
        <f>-CH128</f>
        <v>573</v>
      </c>
      <c r="CI284" s="268">
        <f>-CI128</f>
        <v>159</v>
      </c>
      <c r="CJ284" s="268">
        <f>SUM(CF284:CI284)</f>
        <v>1645</v>
      </c>
      <c r="CK284" s="268">
        <f>-CK128</f>
        <v>506</v>
      </c>
      <c r="CL284" s="268">
        <f>-CL128</f>
        <v>407</v>
      </c>
      <c r="CM284" s="268">
        <f>-CM128</f>
        <v>573</v>
      </c>
      <c r="CN284" s="268">
        <f>-CN128</f>
        <v>159</v>
      </c>
      <c r="CO284" s="268">
        <f>SUM(CK284:CN284)</f>
        <v>1645</v>
      </c>
      <c r="CP284" s="268">
        <f>-CP128</f>
        <v>506</v>
      </c>
      <c r="CQ284" s="268">
        <f>-CQ128</f>
        <v>407</v>
      </c>
      <c r="CR284" s="268">
        <f>-CR128</f>
        <v>573</v>
      </c>
      <c r="CS284" s="268">
        <f>-CS128</f>
        <v>159</v>
      </c>
      <c r="CT284" s="268">
        <f>SUM(CP284:CS284)</f>
        <v>1645</v>
      </c>
      <c r="CU284" s="268">
        <f>-CU128</f>
        <v>506</v>
      </c>
      <c r="CV284" s="268">
        <f>-CV128</f>
        <v>407</v>
      </c>
      <c r="CW284" s="268">
        <f>-CW128</f>
        <v>573</v>
      </c>
      <c r="CX284" s="268">
        <f>-CX128</f>
        <v>159</v>
      </c>
      <c r="CY284" s="268">
        <f>SUM(CU284:CX284)</f>
        <v>1645</v>
      </c>
    </row>
    <row r="285" ht="12.75" customHeight="1" s="255">
      <c r="C285" s="270" t="inlineStr">
        <is>
          <t>Cash from operations</t>
        </is>
      </c>
      <c r="D285" s="268" t="n"/>
      <c r="E285" s="268">
        <f>SUM(E269,E270,E271,E282,E283,E284)</f>
        <v>558</v>
      </c>
      <c r="F285" s="268">
        <f>SUM(F269,F270,F271,F282,F283,F284)</f>
        <v>1226</v>
      </c>
      <c r="G285" s="268">
        <f>SUM(G269,G270,G271,G282,G283,G284)</f>
        <v>5635</v>
      </c>
      <c r="H285" s="268">
        <f>SUM(H269,H270,H271,H282,H283,H284)</f>
        <v>7419</v>
      </c>
      <c r="I285" s="268">
        <f>SUM(I269,I270,I271,I282,I283,I284)</f>
        <v>-3021</v>
      </c>
      <c r="J285" s="268">
        <f>SUM(J269,J270,J271,J282,J283,J284)</f>
        <v>2359</v>
      </c>
      <c r="K285" s="268">
        <f>SUM(K269,K270,K271,K282,K283,K284)</f>
        <v>2588</v>
      </c>
      <c r="L285" s="268">
        <f>SUM(L269,L270,L271,L282,L283,L284)</f>
        <v>8107</v>
      </c>
      <c r="M285" s="268">
        <f>SUM(M269,M270,M271,M282,M283,M284)</f>
        <v>10033</v>
      </c>
      <c r="N285" s="268">
        <f>SUM(N269,N270,N271,N282,N283,N284)</f>
        <v>-6506</v>
      </c>
      <c r="O285" s="268">
        <f>SUM(O269,O270,O271,O282,O283,O284)</f>
        <v>1639</v>
      </c>
      <c r="P285" s="268">
        <f>SUM(P269,P270,P271,P282,P283,P284)</f>
        <v>1055</v>
      </c>
      <c r="Q285" s="268">
        <f>SUM(Q269,Q270,Q271,Q282,Q283,Q284)</f>
        <v>9504</v>
      </c>
      <c r="R285" s="268">
        <f>SUM(R269,R270,R271,R282,R283,R284)</f>
        <v>5692</v>
      </c>
      <c r="S285" s="268">
        <f>SUM(S269,S270,S271,S282,S283,S284)</f>
        <v>-7409</v>
      </c>
      <c r="T285" s="268">
        <f>SUM(T269,T270,T271,T282,T283,T284)</f>
        <v>1355</v>
      </c>
      <c r="U285" s="268">
        <f>SUM(U269,U270,U271,U282,U283,U284)</f>
        <v>669</v>
      </c>
      <c r="V285" s="268">
        <f>SUM(V269,V270,V271,V282,V283,V284)</f>
        <v>6962</v>
      </c>
      <c r="W285" s="268">
        <f>SUM(W269,W270,W271,W282,W283,W284)</f>
        <v>1577</v>
      </c>
      <c r="X285" s="268">
        <f>SUM(X269,X270,X271,X282,X283,X284)</f>
        <v>-4099</v>
      </c>
      <c r="Y285" s="268">
        <f>SUM(Y269,Y270,Y271,Y282,Y283,Y284)</f>
        <v>1797</v>
      </c>
      <c r="Z285" s="268">
        <f>SUM(Z269,Z270,Z271,Z282,Z283,Z284)</f>
        <v>1851</v>
      </c>
      <c r="AA285" s="268">
        <f>SUM(AA269,AA270,AA271,AA282,AA283,AA284)</f>
        <v>6202</v>
      </c>
      <c r="AB285" s="268">
        <f>SUM(AB269,AB270,AB271,AB282,AB283,AB284)</f>
        <v>5751</v>
      </c>
      <c r="AC285" s="268">
        <f>SUM(AC269,AC270,AC271,AC282,AC283,AC284)</f>
        <v>-3677</v>
      </c>
      <c r="AD285" s="268">
        <f>SUM(AD269,AD270,AD271,AD282,AD283,AD284)</f>
        <v>2239</v>
      </c>
      <c r="AE285" s="268">
        <f>SUM(AE269,AE270,AE271,AE282,AE283,AE284)</f>
        <v>1671</v>
      </c>
      <c r="AF285" s="268">
        <f>SUM(AF269,AF270,AF271,AF282,AF283,AF284)</f>
        <v>5176</v>
      </c>
      <c r="AG285" s="268">
        <f>SUM(AG269,AG270,AG271,AG282,AG283,AG284)</f>
        <v>5409</v>
      </c>
      <c r="AH285" s="268">
        <f>SUM(AH269,AH270,AH271,AH282,AH283,AH284)</f>
        <v>-2788</v>
      </c>
      <c r="AI285" s="268">
        <f>SUM(AI269,AI270,AI271,AI282,AI283,AI284)</f>
        <v>2430</v>
      </c>
      <c r="AJ285" s="268">
        <f>SUM(AJ269,AJ270,AJ271,AJ282,AJ283,AJ284)</f>
        <v>-4478</v>
      </c>
      <c r="AK285" s="268">
        <f>SUM(AK269,AK270,AK271,AK282,AK283,AK284)</f>
        <v>-73</v>
      </c>
      <c r="AL285" s="268">
        <f>SUM(AL269,AL270,AL271,AL282,AL283,AL284)</f>
        <v>-4909</v>
      </c>
      <c r="AM285" s="268" t="e">
        <f>SUM(AM269,AM270,AM271,AM282,AM283,AM284)</f>
        <v>#DIV/0!</v>
      </c>
      <c r="AN285" s="268" t="e">
        <f>SUM(AN269,AN270,AN271,AN282,AN283,AN284)</f>
        <v>#DIV/0!</v>
      </c>
      <c r="AO285" s="268" t="e">
        <f>SUM(AO269,AO270,AO271,AO282,AO283,AO284)</f>
        <v>#DIV/0!</v>
      </c>
      <c r="AP285" s="268" t="e">
        <f>SUM(AP269,AP270,AP271,AP282,AP283,AP284)</f>
        <v>#DIV/0!</v>
      </c>
      <c r="AQ285" s="268" t="e">
        <f>SUM(AQ269,AQ270,AQ271,AQ282,AQ283,AQ284)</f>
        <v>#DIV/0!</v>
      </c>
      <c r="AR285" s="268" t="e">
        <f>SUM(AR269,AR270,AR271,AR282,AR283,AR284)</f>
        <v>#DIV/0!</v>
      </c>
      <c r="AS285" s="268" t="e">
        <f>SUM(AS269,AS270,AS271,AS282,AS283,AS284)</f>
        <v>#DIV/0!</v>
      </c>
      <c r="AT285" s="268" t="e">
        <f>SUM(AT269,AT270,AT271,AT282,AT283,AT284)</f>
        <v>#DIV/0!</v>
      </c>
      <c r="AU285" s="268" t="e">
        <f>SUM(AU269,AU270,AU271,AU282,AU283,AU284)</f>
        <v>#DIV/0!</v>
      </c>
      <c r="AV285" s="268" t="e">
        <f>SUM(AV269,AV270,AV271,AV282,AV283,AV284)</f>
        <v>#DIV/0!</v>
      </c>
      <c r="AW285" s="268" t="e">
        <f>SUM(AW269,AW270,AW271,AW282,AW283,AW284)</f>
        <v>#DIV/0!</v>
      </c>
      <c r="AX285" s="268" t="e">
        <f>SUM(AX269,AX270,AX271,AX282,AX283,AX284)</f>
        <v>#DIV/0!</v>
      </c>
      <c r="AY285" s="268" t="e">
        <f>SUM(AY269,AY270,AY271,AY282,AY283,AY284)</f>
        <v>#DIV/0!</v>
      </c>
      <c r="AZ285" s="268" t="e">
        <f>SUM(AZ269,AZ270,AZ271,AZ282,AZ283,AZ284)</f>
        <v>#DIV/0!</v>
      </c>
      <c r="BA285" s="268" t="e">
        <f>SUM(BA269,BA270,BA271,BA282,BA283,BA284)</f>
        <v>#DIV/0!</v>
      </c>
      <c r="BB285" s="268" t="e">
        <f>SUM(BB269,BB270,BB271,BB282,BB283,BB284)</f>
        <v>#DIV/0!</v>
      </c>
      <c r="BC285" s="268" t="e">
        <f>SUM(BC269,BC270,BC271,BC282,BC283,BC284)</f>
        <v>#DIV/0!</v>
      </c>
      <c r="BD285" s="268" t="e">
        <f>SUM(BD269,BD270,BD271,BD282,BD283,BD284)</f>
        <v>#DIV/0!</v>
      </c>
      <c r="BE285" s="268" t="e">
        <f>SUM(BE269,BE270,BE271,BE282,BE283,BE284)</f>
        <v>#DIV/0!</v>
      </c>
      <c r="BF285" s="268" t="e">
        <f>SUM(BF269,BF270,BF271,BF282,BF283,BF284)</f>
        <v>#DIV/0!</v>
      </c>
      <c r="BG285" s="268" t="e">
        <f>SUM(BG269,BG270,BG271,BG282,BG283,BG284)</f>
        <v>#DIV/0!</v>
      </c>
      <c r="BH285" s="268" t="e">
        <f>SUM(BH269,BH270,BH271,BH282,BH283,BH284)</f>
        <v>#DIV/0!</v>
      </c>
      <c r="BI285" s="268" t="e">
        <f>SUM(BI269,BI270,BI271,BI282,BI283,BI284)</f>
        <v>#DIV/0!</v>
      </c>
      <c r="BJ285" s="268" t="e">
        <f>SUM(BJ269,BJ270,BJ271,BJ282,BJ283,BJ284)</f>
        <v>#DIV/0!</v>
      </c>
      <c r="BK285" s="268" t="e">
        <f>SUM(BK269,BK270,BK271,BK282,BK283,BK284)</f>
        <v>#DIV/0!</v>
      </c>
      <c r="BL285" s="268" t="e">
        <f>SUM(BL269,BL270,BL271,BL282,BL283,BL284)</f>
        <v>#DIV/0!</v>
      </c>
      <c r="BM285" s="268" t="e">
        <f>SUM(BM269,BM270,BM271,BM282,BM283,BM284)</f>
        <v>#DIV/0!</v>
      </c>
      <c r="BN285" s="268" t="e">
        <f>SUM(BN269,BN270,BN271,BN282,BN283,BN284)</f>
        <v>#DIV/0!</v>
      </c>
      <c r="BO285" s="268" t="e">
        <f>SUM(BO269,BO270,BO271,BO282,BO283,BO284)</f>
        <v>#DIV/0!</v>
      </c>
      <c r="BP285" s="268" t="e">
        <f>SUM(BP269,BP270,BP271,BP282,BP283,BP284)</f>
        <v>#DIV/0!</v>
      </c>
      <c r="BQ285" s="268" t="e">
        <f>SUM(BQ269,BQ270,BQ271,BQ282,BQ283,BQ284)</f>
        <v>#DIV/0!</v>
      </c>
      <c r="BR285" s="268" t="e">
        <f>SUM(BR269,BR270,BR271,BR282,BR283,BR284)</f>
        <v>#DIV/0!</v>
      </c>
      <c r="BS285" s="268" t="e">
        <f>SUM(BS269,BS270,BS271,BS282,BS283,BS284)</f>
        <v>#DIV/0!</v>
      </c>
      <c r="BT285" s="268" t="e">
        <f>SUM(BT269,BT270,BT271,BT282,BT283,BT284)</f>
        <v>#DIV/0!</v>
      </c>
      <c r="BU285" s="268" t="e">
        <f>SUM(BU269,BU270,BU271,BU282,BU283,BU284)</f>
        <v>#DIV/0!</v>
      </c>
      <c r="BV285" s="268" t="e">
        <f>SUM(BV269,BV270,BV271,BV282,BV283,BV284)</f>
        <v>#DIV/0!</v>
      </c>
      <c r="BW285" s="268" t="e">
        <f>SUM(BW269,BW270,BW271,BW282,BW283,BW284)</f>
        <v>#DIV/0!</v>
      </c>
      <c r="BX285" s="268" t="e">
        <f>SUM(BX269,BX270,BX271,BX282,BX283,BX284)</f>
        <v>#DIV/0!</v>
      </c>
      <c r="BY285" s="268" t="e">
        <f>SUM(BY269,BY270,BY271,BY282,BY283,BY284)</f>
        <v>#DIV/0!</v>
      </c>
      <c r="BZ285" s="268" t="e">
        <f>SUM(BZ269,BZ270,BZ271,BZ282,BZ283,BZ284)</f>
        <v>#DIV/0!</v>
      </c>
      <c r="CA285" s="268" t="e">
        <f>SUM(CA269,CA270,CA271,CA282,CA283,CA284)</f>
        <v>#DIV/0!</v>
      </c>
      <c r="CB285" s="268" t="e">
        <f>SUM(CB269,CB270,CB271,CB282,CB283,CB284)</f>
        <v>#DIV/0!</v>
      </c>
      <c r="CC285" s="268" t="e">
        <f>SUM(CC269,CC270,CC271,CC282,CC283,CC284)</f>
        <v>#DIV/0!</v>
      </c>
      <c r="CD285" s="268" t="e">
        <f>SUM(CD269,CD270,CD271,CD282,CD283,CD284)</f>
        <v>#DIV/0!</v>
      </c>
      <c r="CE285" s="268" t="e">
        <f>SUM(CE269,CE270,CE271,CE282,CE283,CE284)</f>
        <v>#DIV/0!</v>
      </c>
      <c r="CF285" s="268" t="e">
        <f>SUM(CF269,CF270,CF271,CF282,CF283,CF284)</f>
        <v>#DIV/0!</v>
      </c>
      <c r="CG285" s="268" t="e">
        <f>SUM(CG269,CG270,CG271,CG282,CG283,CG284)</f>
        <v>#DIV/0!</v>
      </c>
      <c r="CH285" s="268" t="e">
        <f>SUM(CH269,CH270,CH271,CH282,CH283,CH284)</f>
        <v>#DIV/0!</v>
      </c>
      <c r="CI285" s="268" t="e">
        <f>SUM(CI269,CI270,CI271,CI282,CI283,CI284)</f>
        <v>#DIV/0!</v>
      </c>
      <c r="CJ285" s="268" t="e">
        <f>SUM(CJ269,CJ270,CJ271,CJ282,CJ283,CJ284)</f>
        <v>#DIV/0!</v>
      </c>
      <c r="CK285" s="268" t="e">
        <f>SUM(CK269,CK270,CK271,CK282,CK283,CK284)</f>
        <v>#DIV/0!</v>
      </c>
      <c r="CL285" s="268" t="e">
        <f>SUM(CL269,CL270,CL271,CL282,CL283,CL284)</f>
        <v>#DIV/0!</v>
      </c>
      <c r="CM285" s="268" t="e">
        <f>SUM(CM269,CM270,CM271,CM282,CM283,CM284)</f>
        <v>#DIV/0!</v>
      </c>
      <c r="CN285" s="268" t="e">
        <f>SUM(CN269,CN270,CN271,CN282,CN283,CN284)</f>
        <v>#DIV/0!</v>
      </c>
      <c r="CO285" s="268" t="e">
        <f>SUM(CO269,CO270,CO271,CO282,CO283,CO284)</f>
        <v>#DIV/0!</v>
      </c>
      <c r="CP285" s="268" t="e">
        <f>SUM(CP269,CP270,CP271,CP282,CP283,CP284)</f>
        <v>#DIV/0!</v>
      </c>
      <c r="CQ285" s="268" t="e">
        <f>SUM(CQ269,CQ270,CQ271,CQ282,CQ283,CQ284)</f>
        <v>#DIV/0!</v>
      </c>
      <c r="CR285" s="268" t="e">
        <f>SUM(CR269,CR270,CR271,CR282,CR283,CR284)</f>
        <v>#DIV/0!</v>
      </c>
      <c r="CS285" s="268" t="e">
        <f>SUM(CS269,CS270,CS271,CS282,CS283,CS284)</f>
        <v>#DIV/0!</v>
      </c>
      <c r="CT285" s="268" t="e">
        <f>SUM(CT269,CT270,CT271,CT282,CT283,CT284)</f>
        <v>#DIV/0!</v>
      </c>
      <c r="CU285" s="268" t="e">
        <f>SUM(CU269,CU270,CU271,CU282,CU283,CU284)</f>
        <v>#DIV/0!</v>
      </c>
      <c r="CV285" s="268" t="e">
        <f>SUM(CV269,CV270,CV271,CV282,CV283,CV284)</f>
        <v>#DIV/0!</v>
      </c>
      <c r="CW285" s="268" t="e">
        <f>SUM(CW269,CW270,CW271,CW282,CW283,CW284)</f>
        <v>#DIV/0!</v>
      </c>
      <c r="CX285" s="268" t="e">
        <f>SUM(CX269,CX270,CX271,CX282,CX283,CX284)</f>
        <v>#DIV/0!</v>
      </c>
      <c r="CY285" s="268" t="e">
        <f>SUM(CY269,CY270,CY271,CY282,CY283,CY284)</f>
        <v>#DIV/0!</v>
      </c>
    </row>
    <row r="286" ht="12.75" customHeight="1" s="255">
      <c r="C286" s="270" t="n"/>
      <c r="D286" s="268" t="n"/>
      <c r="E286" s="268" t="n"/>
      <c r="F286" s="268" t="n"/>
      <c r="G286" s="268" t="n"/>
      <c r="H286" s="268" t="n"/>
      <c r="I286" s="268" t="n"/>
      <c r="J286" s="268" t="n"/>
      <c r="K286" s="268" t="n"/>
      <c r="L286" s="268" t="n"/>
      <c r="M286" s="268" t="n"/>
      <c r="N286" s="268" t="n"/>
      <c r="O286" s="268" t="n"/>
      <c r="P286" s="268" t="n"/>
      <c r="Q286" s="268" t="n"/>
      <c r="R286" s="268" t="n"/>
      <c r="S286" s="268" t="n"/>
      <c r="T286" s="268" t="n"/>
      <c r="U286" s="268" t="n"/>
      <c r="V286" s="268" t="n"/>
      <c r="W286" s="268" t="n"/>
      <c r="X286" s="268" t="n"/>
      <c r="Y286" s="268" t="n"/>
      <c r="Z286" s="268" t="n"/>
      <c r="AA286" s="268" t="n"/>
      <c r="AB286" s="268" t="n"/>
      <c r="AC286" s="268" t="n"/>
      <c r="AD286" s="268" t="n"/>
      <c r="AE286" s="268" t="n"/>
      <c r="AF286" s="268" t="n"/>
      <c r="AG286" s="268" t="n"/>
      <c r="AH286" s="268" t="n"/>
      <c r="AI286" s="268" t="n"/>
      <c r="AJ286" s="268" t="n"/>
      <c r="AK286" s="268" t="n"/>
      <c r="AL286" s="268" t="n"/>
      <c r="AM286" s="268" t="n"/>
      <c r="AN286" s="268" t="n"/>
      <c r="AO286" s="268" t="n"/>
      <c r="AP286" s="268" t="n"/>
      <c r="AQ286" s="268" t="n"/>
      <c r="AR286" s="268" t="n"/>
      <c r="AS286" s="268" t="n"/>
      <c r="AT286" s="268" t="n"/>
      <c r="AU286" s="268" t="n"/>
      <c r="AV286" s="268" t="n"/>
      <c r="AW286" s="268" t="n"/>
      <c r="AX286" s="268" t="n"/>
      <c r="AY286" s="268" t="n"/>
      <c r="AZ286" s="268" t="n"/>
      <c r="BA286" s="268" t="n"/>
      <c r="BB286" s="268" t="n"/>
      <c r="BC286" s="268" t="n"/>
      <c r="BD286" s="268" t="n"/>
      <c r="BE286" s="268" t="n"/>
      <c r="BF286" s="268" t="n"/>
      <c r="BG286" s="268" t="n"/>
      <c r="BH286" s="268" t="n"/>
      <c r="BI286" s="268" t="n"/>
      <c r="BJ286" s="268" t="n"/>
      <c r="BK286" s="268" t="n"/>
      <c r="BL286" s="268" t="n"/>
      <c r="BM286" s="268" t="n"/>
      <c r="BN286" s="268" t="n"/>
      <c r="BO286" s="268" t="n"/>
      <c r="BP286" s="268" t="n"/>
      <c r="BQ286" s="268" t="n"/>
      <c r="BR286" s="268" t="n"/>
      <c r="BS286" s="268" t="n"/>
      <c r="BT286" s="268" t="n"/>
      <c r="BU286" s="268" t="n"/>
      <c r="BV286" s="268" t="n"/>
      <c r="BW286" s="268" t="n"/>
      <c r="BX286" s="268" t="n"/>
      <c r="BY286" s="268" t="n"/>
      <c r="BZ286" s="268" t="n"/>
      <c r="CA286" s="268" t="n"/>
      <c r="CB286" s="268" t="n"/>
      <c r="CC286" s="268" t="n"/>
      <c r="CD286" s="268" t="n"/>
      <c r="CE286" s="268" t="n"/>
      <c r="CF286" s="268" t="n"/>
      <c r="CG286" s="268" t="n"/>
      <c r="CH286" s="268" t="n"/>
      <c r="CI286" s="268" t="n"/>
      <c r="CJ286" s="268" t="n"/>
      <c r="CK286" s="268" t="n"/>
      <c r="CL286" s="268" t="n"/>
      <c r="CM286" s="268" t="n"/>
      <c r="CN286" s="268" t="n"/>
      <c r="CO286" s="268" t="n"/>
      <c r="CP286" s="268" t="n"/>
      <c r="CQ286" s="268" t="n"/>
      <c r="CR286" s="268" t="n"/>
      <c r="CS286" s="268" t="n"/>
      <c r="CT286" s="268" t="n"/>
      <c r="CU286" s="268" t="n"/>
      <c r="CV286" s="268" t="n"/>
      <c r="CW286" s="268" t="n"/>
      <c r="CX286" s="268" t="n"/>
      <c r="CY286" s="268" t="n"/>
    </row>
    <row r="287" ht="12.75" customHeight="1" s="255">
      <c r="C287" s="266" t="inlineStr">
        <is>
          <t>Purchase of fixed assets (capital expenditures)</t>
        </is>
      </c>
      <c r="D287" s="268" t="n"/>
      <c r="E287" s="268">
        <f>-E160</f>
        <v>-395</v>
      </c>
      <c r="F287" s="268">
        <f>-F160</f>
        <v>-369</v>
      </c>
      <c r="G287" s="268">
        <f>-G160</f>
        <v>-342</v>
      </c>
      <c r="H287" s="268">
        <f>SUM(D287:G287)</f>
        <v>-1106</v>
      </c>
      <c r="I287" s="268">
        <f>-I160</f>
        <v>-376</v>
      </c>
      <c r="J287" s="268">
        <f>-J160</f>
        <v>-544</v>
      </c>
      <c r="K287" s="268">
        <f>-K160</f>
        <v>-794</v>
      </c>
      <c r="L287" s="268">
        <f>-L160</f>
        <v>-811</v>
      </c>
      <c r="M287" s="268">
        <f>SUM(I287:L287)</f>
        <v>-2525</v>
      </c>
      <c r="N287" s="268">
        <f>-N160</f>
        <v>-852</v>
      </c>
      <c r="O287" s="268">
        <f>-O160</f>
        <v>-999</v>
      </c>
      <c r="P287" s="268">
        <f>-P160</f>
        <v>-1122</v>
      </c>
      <c r="Q287" s="268">
        <f>-Q160</f>
        <v>-1328</v>
      </c>
      <c r="R287" s="268">
        <f>SUM(N287:Q287)</f>
        <v>-4301</v>
      </c>
      <c r="S287" s="268">
        <f>-S160</f>
        <v>-931</v>
      </c>
      <c r="T287" s="268">
        <f>-T160</f>
        <v>-1233</v>
      </c>
      <c r="U287" s="268">
        <f>-U160</f>
        <v>-1223</v>
      </c>
      <c r="V287" s="268">
        <f>-V160</f>
        <v>-1349</v>
      </c>
      <c r="W287" s="268">
        <f>SUM(S287:V287)</f>
        <v>-4736</v>
      </c>
      <c r="X287" s="268">
        <f>-X160</f>
        <v>-1497</v>
      </c>
      <c r="Y287" s="268">
        <f>-Y160</f>
        <v>-1096</v>
      </c>
      <c r="Z287" s="268">
        <f>-Z160</f>
        <v>-1566</v>
      </c>
      <c r="AA287" s="268">
        <f>-AA160</f>
        <v>-1301</v>
      </c>
      <c r="AB287" s="268">
        <f>SUM(X287:AA287)</f>
        <v>-5460</v>
      </c>
      <c r="AC287" s="268">
        <f>-AC160</f>
        <v>-1152</v>
      </c>
      <c r="AD287" s="268">
        <f>-AD160</f>
        <v>-1303</v>
      </c>
      <c r="AE287" s="268">
        <f>-AE160</f>
        <v>-1047</v>
      </c>
      <c r="AF287" s="268">
        <f>-AF160</f>
        <v>-964</v>
      </c>
      <c r="AG287" s="268">
        <f>SUM(AC287:AF287)</f>
        <v>-4466</v>
      </c>
      <c r="AH287" s="268">
        <f>-AH160</f>
        <v>-879</v>
      </c>
      <c r="AI287" s="268">
        <f>-AI160</f>
        <v>-1127</v>
      </c>
      <c r="AJ287" s="268">
        <f>-AJ160</f>
        <v>0</v>
      </c>
      <c r="AK287" s="268">
        <f>-AK160</f>
        <v>0</v>
      </c>
      <c r="AL287" s="268">
        <f>SUM(AH287:AK287)</f>
        <v>-2006</v>
      </c>
      <c r="AM287" s="268">
        <f>-AM160</f>
        <v>0</v>
      </c>
      <c r="AN287" s="268">
        <f>-AN160</f>
        <v>0</v>
      </c>
      <c r="AO287" s="268">
        <f>-AO160</f>
        <v>0</v>
      </c>
      <c r="AP287" s="268">
        <f>-AP160</f>
        <v>0</v>
      </c>
      <c r="AQ287" s="268">
        <f>SUM(AM287:AP287)</f>
        <v>0</v>
      </c>
      <c r="AR287" s="268">
        <f>-AR160</f>
        <v>0</v>
      </c>
      <c r="AS287" s="268">
        <f>-AS160</f>
        <v>0</v>
      </c>
      <c r="AT287" s="268">
        <f>-AT160</f>
        <v>0</v>
      </c>
      <c r="AU287" s="268">
        <f>-AU160</f>
        <v>0</v>
      </c>
      <c r="AV287" s="268">
        <f>SUM(AR287:AU287)</f>
        <v>0</v>
      </c>
      <c r="AW287" s="268">
        <f>-AW160</f>
        <v>0</v>
      </c>
      <c r="AX287" s="268">
        <f>-AX160</f>
        <v>0</v>
      </c>
      <c r="AY287" s="268">
        <f>-AY160</f>
        <v>0</v>
      </c>
      <c r="AZ287" s="268">
        <f>-AZ160</f>
        <v>0</v>
      </c>
      <c r="BA287" s="268">
        <f>SUM(AW287:AZ287)</f>
        <v>0</v>
      </c>
      <c r="BB287" s="268">
        <f>-BB160</f>
        <v>0</v>
      </c>
      <c r="BC287" s="268">
        <f>-BC160</f>
        <v>0</v>
      </c>
      <c r="BD287" s="268">
        <f>-BD160</f>
        <v>0</v>
      </c>
      <c r="BE287" s="268">
        <f>-BE160</f>
        <v>0</v>
      </c>
      <c r="BF287" s="268">
        <f>SUM(BB287:BE287)</f>
        <v>0</v>
      </c>
      <c r="BG287" s="268">
        <f>-BG160</f>
        <v>0</v>
      </c>
      <c r="BH287" s="268">
        <f>-BH160</f>
        <v>0</v>
      </c>
      <c r="BI287" s="268">
        <f>-BI160</f>
        <v>0</v>
      </c>
      <c r="BJ287" s="268">
        <f>-BJ160</f>
        <v>0</v>
      </c>
      <c r="BK287" s="268">
        <f>SUM(BG287:BJ287)</f>
        <v>0</v>
      </c>
      <c r="BL287" s="268">
        <f>-BL160</f>
        <v>0</v>
      </c>
      <c r="BM287" s="268">
        <f>-BM160</f>
        <v>0</v>
      </c>
      <c r="BN287" s="268">
        <f>-BN160</f>
        <v>0</v>
      </c>
      <c r="BO287" s="268">
        <f>-BO160</f>
        <v>0</v>
      </c>
      <c r="BP287" s="268">
        <f>SUM(BL287:BO287)</f>
        <v>0</v>
      </c>
      <c r="BQ287" s="268">
        <f>-BQ160</f>
        <v>0</v>
      </c>
      <c r="BR287" s="268">
        <f>-BR160</f>
        <v>0</v>
      </c>
      <c r="BS287" s="268">
        <f>-BS160</f>
        <v>0</v>
      </c>
      <c r="BT287" s="268">
        <f>-BT160</f>
        <v>0</v>
      </c>
      <c r="BU287" s="268">
        <f>SUM(BQ287:BT287)</f>
        <v>0</v>
      </c>
      <c r="BV287" s="268">
        <f>-BV160</f>
        <v>0</v>
      </c>
      <c r="BW287" s="268">
        <f>-BW160</f>
        <v>0</v>
      </c>
      <c r="BX287" s="268">
        <f>-BX160</f>
        <v>0</v>
      </c>
      <c r="BY287" s="268">
        <f>-BY160</f>
        <v>0</v>
      </c>
      <c r="BZ287" s="268">
        <f>SUM(BV287:BY287)</f>
        <v>0</v>
      </c>
      <c r="CA287" s="268">
        <f>-CA160</f>
        <v>0</v>
      </c>
      <c r="CB287" s="268">
        <f>-CB160</f>
        <v>0</v>
      </c>
      <c r="CC287" s="268">
        <f>-CC160</f>
        <v>0</v>
      </c>
      <c r="CD287" s="268">
        <f>-CD160</f>
        <v>0</v>
      </c>
      <c r="CE287" s="268">
        <f>SUM(CA287:CD287)</f>
        <v>0</v>
      </c>
      <c r="CF287" s="268">
        <f>-CF160</f>
        <v>0</v>
      </c>
      <c r="CG287" s="268">
        <f>-CG160</f>
        <v>0</v>
      </c>
      <c r="CH287" s="268">
        <f>-CH160</f>
        <v>0</v>
      </c>
      <c r="CI287" s="268">
        <f>-CI160</f>
        <v>0</v>
      </c>
      <c r="CJ287" s="268">
        <f>SUM(CF287:CI287)</f>
        <v>0</v>
      </c>
      <c r="CK287" s="268">
        <f>-CK160</f>
        <v>0</v>
      </c>
      <c r="CL287" s="268">
        <f>-CL160</f>
        <v>0</v>
      </c>
      <c r="CM287" s="268">
        <f>-CM160</f>
        <v>0</v>
      </c>
      <c r="CN287" s="268">
        <f>-CN160</f>
        <v>0</v>
      </c>
      <c r="CO287" s="268">
        <f>SUM(CK287:CN287)</f>
        <v>0</v>
      </c>
      <c r="CP287" s="268">
        <f>-CP160</f>
        <v>0</v>
      </c>
      <c r="CQ287" s="268">
        <f>-CQ160</f>
        <v>0</v>
      </c>
      <c r="CR287" s="268">
        <f>-CR160</f>
        <v>0</v>
      </c>
      <c r="CS287" s="268">
        <f>-CS160</f>
        <v>0</v>
      </c>
      <c r="CT287" s="268">
        <f>SUM(CP287:CS287)</f>
        <v>0</v>
      </c>
      <c r="CU287" s="268">
        <f>-CU160</f>
        <v>0</v>
      </c>
      <c r="CV287" s="268">
        <f>-CV160</f>
        <v>0</v>
      </c>
      <c r="CW287" s="268">
        <f>-CW160</f>
        <v>0</v>
      </c>
      <c r="CX287" s="268">
        <f>-CX160</f>
        <v>0</v>
      </c>
      <c r="CY287" s="268">
        <f>SUM(CU287:CX287)</f>
        <v>0</v>
      </c>
    </row>
    <row r="288" ht="12.75" customHeight="1" s="255">
      <c r="C288" s="266" t="inlineStr">
        <is>
          <t>Proceeds from sale of fixed assets</t>
        </is>
      </c>
      <c r="D288" s="268" t="n"/>
      <c r="E288" s="268">
        <f>-E161</f>
        <v>0</v>
      </c>
      <c r="F288" s="268">
        <f>-F161</f>
        <v>0</v>
      </c>
      <c r="G288" s="268">
        <f>-G161</f>
        <v>0</v>
      </c>
      <c r="H288" s="268">
        <f>SUM(D288:G288)</f>
        <v>0</v>
      </c>
      <c r="I288" s="268">
        <f>-I161</f>
        <v>0</v>
      </c>
      <c r="J288" s="268">
        <f>-J161</f>
        <v>0</v>
      </c>
      <c r="K288" s="268">
        <f>-K161</f>
        <v>0</v>
      </c>
      <c r="L288" s="268">
        <f>-L161</f>
        <v>0</v>
      </c>
      <c r="M288" s="268">
        <f>SUM(I288:L288)</f>
        <v>0</v>
      </c>
      <c r="N288" s="268">
        <f>-N161</f>
        <v>0</v>
      </c>
      <c r="O288" s="268">
        <f>-O161</f>
        <v>0</v>
      </c>
      <c r="P288" s="268">
        <f>-P161</f>
        <v>0</v>
      </c>
      <c r="Q288" s="268">
        <f>-Q161</f>
        <v>0</v>
      </c>
      <c r="R288" s="268">
        <f>SUM(N288:Q288)</f>
        <v>0</v>
      </c>
      <c r="S288" s="268">
        <f>-S161</f>
        <v>0</v>
      </c>
      <c r="T288" s="268">
        <f>-T161</f>
        <v>0</v>
      </c>
      <c r="U288" s="268">
        <f>-U161</f>
        <v>0</v>
      </c>
      <c r="V288" s="268">
        <f>-V161</f>
        <v>0</v>
      </c>
      <c r="W288" s="268">
        <f>SUM(S288:V288)</f>
        <v>0</v>
      </c>
      <c r="X288" s="268">
        <f>-X161</f>
        <v>0</v>
      </c>
      <c r="Y288" s="268">
        <f>-Y161</f>
        <v>0</v>
      </c>
      <c r="Z288" s="268">
        <f>-Z161</f>
        <v>0</v>
      </c>
      <c r="AA288" s="268">
        <f>-AA161</f>
        <v>0</v>
      </c>
      <c r="AB288" s="268">
        <f>SUM(X288:AA288)</f>
        <v>0</v>
      </c>
      <c r="AC288" s="268">
        <f>-AC161</f>
        <v>0</v>
      </c>
      <c r="AD288" s="268">
        <f>-AD161</f>
        <v>0</v>
      </c>
      <c r="AE288" s="268">
        <f>-AE161</f>
        <v>0</v>
      </c>
      <c r="AF288" s="268">
        <f>-AF161</f>
        <v>0</v>
      </c>
      <c r="AG288" s="268">
        <f>SUM(AC288:AF288)</f>
        <v>0</v>
      </c>
      <c r="AH288" s="268">
        <f>-AH161</f>
        <v>0</v>
      </c>
      <c r="AI288" s="268">
        <f>-AI161</f>
        <v>0</v>
      </c>
      <c r="AJ288" s="268">
        <f>-AJ161</f>
        <v>0</v>
      </c>
      <c r="AK288" s="268">
        <f>-AK161</f>
        <v>0</v>
      </c>
      <c r="AL288" s="268">
        <f>SUM(AH288:AK288)</f>
        <v>0</v>
      </c>
      <c r="AM288" s="268">
        <f>-AM161</f>
        <v>0</v>
      </c>
      <c r="AN288" s="268">
        <f>-AN161</f>
        <v>0</v>
      </c>
      <c r="AO288" s="268">
        <f>-AO161</f>
        <v>0</v>
      </c>
      <c r="AP288" s="268">
        <f>-AP161</f>
        <v>0</v>
      </c>
      <c r="AQ288" s="268">
        <f>SUM(AM288:AP288)</f>
        <v>0</v>
      </c>
      <c r="AR288" s="268">
        <f>-AR161</f>
        <v>0</v>
      </c>
      <c r="AS288" s="268">
        <f>-AS161</f>
        <v>0</v>
      </c>
      <c r="AT288" s="268">
        <f>-AT161</f>
        <v>0</v>
      </c>
      <c r="AU288" s="268">
        <f>-AU161</f>
        <v>0</v>
      </c>
      <c r="AV288" s="268">
        <f>SUM(AR288:AU288)</f>
        <v>0</v>
      </c>
      <c r="AW288" s="268">
        <f>-AW161</f>
        <v>0</v>
      </c>
      <c r="AX288" s="268">
        <f>-AX161</f>
        <v>0</v>
      </c>
      <c r="AY288" s="268">
        <f>-AY161</f>
        <v>0</v>
      </c>
      <c r="AZ288" s="268">
        <f>-AZ161</f>
        <v>0</v>
      </c>
      <c r="BA288" s="268">
        <f>SUM(AW288:AZ288)</f>
        <v>0</v>
      </c>
      <c r="BB288" s="268">
        <f>-BB161</f>
        <v>0</v>
      </c>
      <c r="BC288" s="268">
        <f>-BC161</f>
        <v>0</v>
      </c>
      <c r="BD288" s="268">
        <f>-BD161</f>
        <v>0</v>
      </c>
      <c r="BE288" s="268">
        <f>-BE161</f>
        <v>0</v>
      </c>
      <c r="BF288" s="268">
        <f>SUM(BB288:BE288)</f>
        <v>0</v>
      </c>
      <c r="BG288" s="268">
        <f>-BG161</f>
        <v>0</v>
      </c>
      <c r="BH288" s="268">
        <f>-BH161</f>
        <v>0</v>
      </c>
      <c r="BI288" s="268">
        <f>-BI161</f>
        <v>0</v>
      </c>
      <c r="BJ288" s="268">
        <f>-BJ161</f>
        <v>0</v>
      </c>
      <c r="BK288" s="268">
        <f>SUM(BG288:BJ288)</f>
        <v>0</v>
      </c>
      <c r="BL288" s="268">
        <f>-BL161</f>
        <v>0</v>
      </c>
      <c r="BM288" s="268">
        <f>-BM161</f>
        <v>0</v>
      </c>
      <c r="BN288" s="268">
        <f>-BN161</f>
        <v>0</v>
      </c>
      <c r="BO288" s="268">
        <f>-BO161</f>
        <v>0</v>
      </c>
      <c r="BP288" s="268">
        <f>SUM(BL288:BO288)</f>
        <v>0</v>
      </c>
      <c r="BQ288" s="268">
        <f>-BQ161</f>
        <v>0</v>
      </c>
      <c r="BR288" s="268">
        <f>-BR161</f>
        <v>0</v>
      </c>
      <c r="BS288" s="268">
        <f>-BS161</f>
        <v>0</v>
      </c>
      <c r="BT288" s="268">
        <f>-BT161</f>
        <v>0</v>
      </c>
      <c r="BU288" s="268">
        <f>SUM(BQ288:BT288)</f>
        <v>0</v>
      </c>
      <c r="BV288" s="268">
        <f>-BV161</f>
        <v>0</v>
      </c>
      <c r="BW288" s="268">
        <f>-BW161</f>
        <v>0</v>
      </c>
      <c r="BX288" s="268">
        <f>-BX161</f>
        <v>0</v>
      </c>
      <c r="BY288" s="268">
        <f>-BY161</f>
        <v>0</v>
      </c>
      <c r="BZ288" s="268">
        <f>SUM(BV288:BY288)</f>
        <v>0</v>
      </c>
      <c r="CA288" s="268">
        <f>-CA161</f>
        <v>0</v>
      </c>
      <c r="CB288" s="268">
        <f>-CB161</f>
        <v>0</v>
      </c>
      <c r="CC288" s="268">
        <f>-CC161</f>
        <v>0</v>
      </c>
      <c r="CD288" s="268">
        <f>-CD161</f>
        <v>0</v>
      </c>
      <c r="CE288" s="268">
        <f>SUM(CA288:CD288)</f>
        <v>0</v>
      </c>
      <c r="CF288" s="268">
        <f>-CF161</f>
        <v>0</v>
      </c>
      <c r="CG288" s="268">
        <f>-CG161</f>
        <v>0</v>
      </c>
      <c r="CH288" s="268">
        <f>-CH161</f>
        <v>0</v>
      </c>
      <c r="CI288" s="268">
        <f>-CI161</f>
        <v>0</v>
      </c>
      <c r="CJ288" s="268">
        <f>SUM(CF288:CI288)</f>
        <v>0</v>
      </c>
      <c r="CK288" s="268">
        <f>-CK161</f>
        <v>0</v>
      </c>
      <c r="CL288" s="268">
        <f>-CL161</f>
        <v>0</v>
      </c>
      <c r="CM288" s="268">
        <f>-CM161</f>
        <v>0</v>
      </c>
      <c r="CN288" s="268">
        <f>-CN161</f>
        <v>0</v>
      </c>
      <c r="CO288" s="268">
        <f>SUM(CK288:CN288)</f>
        <v>0</v>
      </c>
      <c r="CP288" s="268">
        <f>-CP161</f>
        <v>0</v>
      </c>
      <c r="CQ288" s="268">
        <f>-CQ161</f>
        <v>0</v>
      </c>
      <c r="CR288" s="268">
        <f>-CR161</f>
        <v>0</v>
      </c>
      <c r="CS288" s="268">
        <f>-CS161</f>
        <v>0</v>
      </c>
      <c r="CT288" s="268">
        <f>SUM(CP288:CS288)</f>
        <v>0</v>
      </c>
      <c r="CU288" s="268">
        <f>-CU161</f>
        <v>0</v>
      </c>
      <c r="CV288" s="268">
        <f>-CV161</f>
        <v>0</v>
      </c>
      <c r="CW288" s="268">
        <f>-CW161</f>
        <v>0</v>
      </c>
      <c r="CX288" s="268">
        <f>-CX161</f>
        <v>0</v>
      </c>
      <c r="CY288" s="268">
        <f>SUM(CU288:CX288)</f>
        <v>0</v>
      </c>
    </row>
    <row r="289" ht="12.75" customHeight="1" s="255">
      <c r="C289" s="266" t="inlineStr">
        <is>
          <t>Var.Right-of-use-assets</t>
        </is>
      </c>
      <c r="D289" s="268" t="n"/>
      <c r="E289" s="268">
        <f>(E168-D168)*-1</f>
        <v>0</v>
      </c>
      <c r="F289" s="268">
        <f>(F168-E168)*-1</f>
        <v>0</v>
      </c>
      <c r="G289" s="268">
        <f>(G168-F168)*-1</f>
        <v>0</v>
      </c>
      <c r="H289" s="268">
        <f>SUM(D289:G289)</f>
        <v>0</v>
      </c>
      <c r="I289" s="268">
        <f>(I168-H168)*-1</f>
        <v>0</v>
      </c>
      <c r="J289" s="268">
        <f>(J168-I168)*-1</f>
        <v>0</v>
      </c>
      <c r="K289" s="268">
        <f>(K168-J168)*-1</f>
        <v>0</v>
      </c>
      <c r="L289" s="268">
        <f>(L168-K168)*-1</f>
        <v>0</v>
      </c>
      <c r="M289" s="268">
        <f>SUM(I289:L289)</f>
        <v>0</v>
      </c>
      <c r="N289" s="268">
        <f>(N168-M168)*-1</f>
        <v>0</v>
      </c>
      <c r="O289" s="268">
        <f>(O168-N168)*-1</f>
        <v>0</v>
      </c>
      <c r="P289" s="268">
        <f>(P168-O168)*-1</f>
        <v>0</v>
      </c>
      <c r="Q289" s="268">
        <f>(Q168-P168)*-1</f>
        <v>0</v>
      </c>
      <c r="R289" s="268">
        <f>SUM(N289:Q289)</f>
        <v>0</v>
      </c>
      <c r="S289" s="268">
        <f>(S168-R168)*-1</f>
        <v>0</v>
      </c>
      <c r="T289" s="268">
        <f>(T168-S168)*-1</f>
        <v>0</v>
      </c>
      <c r="U289" s="268">
        <f>(U168-T168)*-1</f>
        <v>0</v>
      </c>
      <c r="V289" s="268">
        <f>(V168-U168)*-1</f>
        <v>0</v>
      </c>
      <c r="W289" s="268">
        <f>SUM(S289:V289)</f>
        <v>0</v>
      </c>
      <c r="X289" s="268">
        <f>(X168-W168)*-1</f>
        <v>0</v>
      </c>
      <c r="Y289" s="268">
        <f>(Y168-X168)*-1</f>
        <v>0</v>
      </c>
      <c r="Z289" s="268">
        <f>(Z168-Y168)*-1</f>
        <v>0</v>
      </c>
      <c r="AA289" s="268">
        <f>(AA168-Z168)*-1</f>
        <v>0</v>
      </c>
      <c r="AB289" s="268">
        <f>SUM(X289:AA289)</f>
        <v>0</v>
      </c>
      <c r="AC289" s="268">
        <f>(AC168-AB168)*-1</f>
        <v>0</v>
      </c>
      <c r="AD289" s="268">
        <f>(AD168-AC168)*-1</f>
        <v>0</v>
      </c>
      <c r="AE289" s="268">
        <f>(AE168-AD168)*-1</f>
        <v>0</v>
      </c>
      <c r="AF289" s="268">
        <f>(AF168-AE168)*-1</f>
        <v>0</v>
      </c>
      <c r="AG289" s="268">
        <f>SUM(AC289:AF289)</f>
        <v>0</v>
      </c>
      <c r="AH289" s="268">
        <f>(AH168-AG168)*-1</f>
        <v>0</v>
      </c>
      <c r="AI289" s="268">
        <f>(AI168-AH168)*-1</f>
        <v>0</v>
      </c>
      <c r="AJ289" s="268">
        <f>(AJ168-AI168)*-1</f>
        <v>0</v>
      </c>
      <c r="AK289" s="268">
        <f>(AK168-AJ168)*-1</f>
        <v>0</v>
      </c>
      <c r="AL289" s="268">
        <f>SUM(AH289:AK289)</f>
        <v>0</v>
      </c>
      <c r="AM289" s="268">
        <f>(AM168-AL168)*-1</f>
        <v>0</v>
      </c>
      <c r="AN289" s="268">
        <f>(AN168-AM168)*-1</f>
        <v>0</v>
      </c>
      <c r="AO289" s="268">
        <f>(AO168-AN168)*-1</f>
        <v>0</v>
      </c>
      <c r="AP289" s="268">
        <f>(AP168-AO168)*-1</f>
        <v>0</v>
      </c>
      <c r="AQ289" s="268">
        <f>SUM(AM289:AP289)</f>
        <v>0</v>
      </c>
      <c r="AR289" s="268">
        <f>(AR168-AQ168)*-1</f>
        <v>0</v>
      </c>
      <c r="AS289" s="268">
        <f>(AS168-AR168)*-1</f>
        <v>0</v>
      </c>
      <c r="AT289" s="268">
        <f>(AT168-AS168)*-1</f>
        <v>0</v>
      </c>
      <c r="AU289" s="268">
        <f>(AU168-AT168)*-1</f>
        <v>0</v>
      </c>
      <c r="AV289" s="268">
        <f>SUM(AR289:AU289)</f>
        <v>0</v>
      </c>
      <c r="AW289" s="268">
        <f>(AW168-AV168)*-1</f>
        <v>0</v>
      </c>
      <c r="AX289" s="268">
        <f>(AX168-AW168)*-1</f>
        <v>0</v>
      </c>
      <c r="AY289" s="268">
        <f>(AY168-AX168)*-1</f>
        <v>0</v>
      </c>
      <c r="AZ289" s="268">
        <f>(AZ168-AY168)*-1</f>
        <v>0</v>
      </c>
      <c r="BA289" s="268">
        <f>SUM(AW289:AZ289)</f>
        <v>0</v>
      </c>
      <c r="BB289" s="268">
        <f>(BB168-BA168)*-1</f>
        <v>0</v>
      </c>
      <c r="BC289" s="268">
        <f>(BC168-BB168)*-1</f>
        <v>0</v>
      </c>
      <c r="BD289" s="268">
        <f>(BD168-BC168)*-1</f>
        <v>0</v>
      </c>
      <c r="BE289" s="268">
        <f>(BE168-BD168)*-1</f>
        <v>0</v>
      </c>
      <c r="BF289" s="268">
        <f>SUM(BB289:BE289)</f>
        <v>0</v>
      </c>
      <c r="BG289" s="268">
        <f>(BG168-BF168)*-1</f>
        <v>0</v>
      </c>
      <c r="BH289" s="268">
        <f>(BH168-BG168)*-1</f>
        <v>0</v>
      </c>
      <c r="BI289" s="268">
        <f>(BI168-BH168)*-1</f>
        <v>0</v>
      </c>
      <c r="BJ289" s="268">
        <f>(BJ168-BI168)*-1</f>
        <v>0</v>
      </c>
      <c r="BK289" s="268">
        <f>SUM(BG289:BJ289)</f>
        <v>0</v>
      </c>
      <c r="BL289" s="268">
        <f>(BL168-BK168)*-1</f>
        <v>0</v>
      </c>
      <c r="BM289" s="268">
        <f>(BM168-BL168)*-1</f>
        <v>0</v>
      </c>
      <c r="BN289" s="268">
        <f>(BN168-BM168)*-1</f>
        <v>0</v>
      </c>
      <c r="BO289" s="268">
        <f>(BO168-BN168)*-1</f>
        <v>0</v>
      </c>
      <c r="BP289" s="268">
        <f>SUM(BL289:BO289)</f>
        <v>0</v>
      </c>
      <c r="BQ289" s="268">
        <f>(BQ168-BP168)*-1</f>
        <v>0</v>
      </c>
      <c r="BR289" s="268">
        <f>(BR168-BQ168)*-1</f>
        <v>0</v>
      </c>
      <c r="BS289" s="268">
        <f>(BS168-BR168)*-1</f>
        <v>0</v>
      </c>
      <c r="BT289" s="268">
        <f>(BT168-BS168)*-1</f>
        <v>0</v>
      </c>
      <c r="BU289" s="268">
        <f>SUM(BQ289:BT289)</f>
        <v>0</v>
      </c>
      <c r="BV289" s="268">
        <f>(BV168-BU168)*-1</f>
        <v>0</v>
      </c>
      <c r="BW289" s="268">
        <f>(BW168-BV168)*-1</f>
        <v>0</v>
      </c>
      <c r="BX289" s="268">
        <f>(BX168-BW168)*-1</f>
        <v>0</v>
      </c>
      <c r="BY289" s="268">
        <f>(BY168-BX168)*-1</f>
        <v>0</v>
      </c>
      <c r="BZ289" s="268">
        <f>SUM(BV289:BY289)</f>
        <v>0</v>
      </c>
      <c r="CA289" s="268">
        <f>(CA168-BZ168)*-1</f>
        <v>0</v>
      </c>
      <c r="CB289" s="268">
        <f>(CB168-CA168)*-1</f>
        <v>0</v>
      </c>
      <c r="CC289" s="268">
        <f>(CC168-CB168)*-1</f>
        <v>0</v>
      </c>
      <c r="CD289" s="268">
        <f>(CD168-CC168)*-1</f>
        <v>0</v>
      </c>
      <c r="CE289" s="268">
        <f>SUM(CA289:CD289)</f>
        <v>0</v>
      </c>
      <c r="CF289" s="268">
        <f>(CF168-CE168)*-1</f>
        <v>0</v>
      </c>
      <c r="CG289" s="268">
        <f>(CG168-CF168)*-1</f>
        <v>0</v>
      </c>
      <c r="CH289" s="268">
        <f>(CH168-CG168)*-1</f>
        <v>0</v>
      </c>
      <c r="CI289" s="268">
        <f>(CI168-CH168)*-1</f>
        <v>0</v>
      </c>
      <c r="CJ289" s="268">
        <f>SUM(CF289:CI289)</f>
        <v>0</v>
      </c>
      <c r="CK289" s="268">
        <f>(CK168-CJ168)*-1</f>
        <v>0</v>
      </c>
      <c r="CL289" s="268">
        <f>(CL168-CK168)*-1</f>
        <v>0</v>
      </c>
      <c r="CM289" s="268">
        <f>(CM168-CL168)*-1</f>
        <v>0</v>
      </c>
      <c r="CN289" s="268">
        <f>(CN168-CM168)*-1</f>
        <v>0</v>
      </c>
      <c r="CO289" s="268">
        <f>SUM(CK289:CN289)</f>
        <v>0</v>
      </c>
      <c r="CP289" s="268">
        <f>(CP168-CO168)*-1</f>
        <v>0</v>
      </c>
      <c r="CQ289" s="268">
        <f>(CQ168-CP168)*-1</f>
        <v>0</v>
      </c>
      <c r="CR289" s="268">
        <f>(CR168-CQ168)*-1</f>
        <v>0</v>
      </c>
      <c r="CS289" s="268">
        <f>(CS168-CR168)*-1</f>
        <v>0</v>
      </c>
      <c r="CT289" s="268">
        <f>SUM(CP289:CS289)</f>
        <v>0</v>
      </c>
      <c r="CU289" s="268">
        <f>(CU168-CT168)*-1</f>
        <v>0</v>
      </c>
      <c r="CV289" s="268">
        <f>(CV168-CU168)*-1</f>
        <v>0</v>
      </c>
      <c r="CW289" s="268">
        <f>(CW168-CV168)*-1</f>
        <v>0</v>
      </c>
      <c r="CX289" s="268">
        <f>(CX168-CW168)*-1</f>
        <v>0</v>
      </c>
      <c r="CY289" s="268">
        <f>SUM(CU289:CX289)</f>
        <v>0</v>
      </c>
      <c r="CZ289" s="268" t="n"/>
      <c r="DA289" s="268" t="n"/>
      <c r="DB289" s="268" t="n"/>
      <c r="DC289" s="268" t="n"/>
    </row>
    <row r="290" ht="12.75" customHeight="1" s="255">
      <c r="C290" s="266" t="inlineStr">
        <is>
          <t>Purchases of intangible assets</t>
        </is>
      </c>
      <c r="D290" s="268" t="n"/>
      <c r="E290" s="268">
        <f>((E172-D172)*-1)+((E171-D171)*-1)</f>
        <v>0</v>
      </c>
      <c r="F290" s="268">
        <f>((F172-E172)*-1)+((F171-E171)*-1)</f>
        <v>0</v>
      </c>
      <c r="G290" s="268">
        <f>((G172-F172)*-1)+((G171-F171)*-1)</f>
        <v>0</v>
      </c>
      <c r="H290" s="268">
        <f>SUM(D290:G290)</f>
        <v>0</v>
      </c>
      <c r="I290" s="268">
        <f>((I172-H172)*-1)+((I171-H171)*-1)</f>
        <v>0</v>
      </c>
      <c r="J290" s="268">
        <f>((J172-I172)*-1)+((J171-I171)*-1)</f>
        <v>0</v>
      </c>
      <c r="K290" s="268">
        <f>((K172-J172)*-1)+((K171-J171)*-1)</f>
        <v>0</v>
      </c>
      <c r="L290" s="268">
        <f>((L172-K172)*-1)+((L171-K171)*-1)</f>
        <v>0</v>
      </c>
      <c r="M290" s="268">
        <f>SUM(I290:L290)</f>
        <v>0</v>
      </c>
      <c r="N290" s="268">
        <f>((N172-M172)*-1)+((N171-M171)*-1)</f>
        <v>0</v>
      </c>
      <c r="O290" s="268">
        <f>((O172-N172)*-1)+((O171-N171)*-1)</f>
        <v>0</v>
      </c>
      <c r="P290" s="268">
        <f>((P172-O172)*-1)+((P171-O171)*-1)</f>
        <v>0</v>
      </c>
      <c r="Q290" s="268">
        <f>((Q172-P172)*-1)+((Q171-P171)*-1)</f>
        <v>0</v>
      </c>
      <c r="R290" s="268">
        <f>SUM(N290:Q290)</f>
        <v>0</v>
      </c>
      <c r="S290" s="268">
        <f>((S172-R172)*-1)+((S171-R171)*-1)</f>
        <v>0</v>
      </c>
      <c r="T290" s="268">
        <f>((T172-S172)*-1)+((T171-S171)*-1)</f>
        <v>0</v>
      </c>
      <c r="U290" s="268">
        <f>((U172-T172)*-1)+((U171-T171)*-1)</f>
        <v>0</v>
      </c>
      <c r="V290" s="268">
        <f>((V172-U172)*-1)+((V171-U171)*-1)</f>
        <v>0</v>
      </c>
      <c r="W290" s="268">
        <f>SUM(S290:V290)</f>
        <v>0</v>
      </c>
      <c r="X290" s="268">
        <f>((X172-W172)*-1)+((X171-W171)*-1)</f>
        <v>0</v>
      </c>
      <c r="Y290" s="268">
        <f>((Y172-X172)*-1)+((Y171-X171)*-1)</f>
        <v>0</v>
      </c>
      <c r="Z290" s="268">
        <f>((Z172-Y172)*-1)+((Z171-Y171)*-1)</f>
        <v>0</v>
      </c>
      <c r="AA290" s="268">
        <f>((AA172-Z172)*-1)+((AA171-Z171)*-1)</f>
        <v>0</v>
      </c>
      <c r="AB290" s="268">
        <f>SUM(X290:AA290)</f>
        <v>0</v>
      </c>
      <c r="AC290" s="268">
        <f>((AC172-AB172)*-1)+((AC171-AB171)*-1)</f>
        <v>0</v>
      </c>
      <c r="AD290" s="268">
        <f>((AD172-AC172)*-1)+((AD171-AC171)*-1)</f>
        <v>0</v>
      </c>
      <c r="AE290" s="268">
        <f>((AE172-AD172)*-1)+((AE171-AD171)*-1)</f>
        <v>0</v>
      </c>
      <c r="AF290" s="268">
        <f>((AF172-AE172)*-1)+((AF171-AE171)*-1)</f>
        <v>0</v>
      </c>
      <c r="AG290" s="268">
        <f>SUM(AC290:AF290)</f>
        <v>0</v>
      </c>
      <c r="AH290" s="268">
        <f>((AH172-AG172)*-1)+((AH171-AG171)*-1)</f>
        <v>0</v>
      </c>
      <c r="AI290" s="268">
        <f>((AI172-AH172)*-1)+((AI171-AH171)*-1)</f>
        <v>0</v>
      </c>
      <c r="AJ290" s="268">
        <f>((AJ172-AI172)*-1)+((AJ171-AI171)*-1)</f>
        <v>0</v>
      </c>
      <c r="AK290" s="268">
        <f>((AK172-AJ172)*-1)+((AK171-AJ171)*-1)</f>
        <v>0</v>
      </c>
      <c r="AL290" s="268">
        <f>SUM(AH290:AK290)</f>
        <v>0</v>
      </c>
      <c r="AM290" s="268">
        <f>((AM172-AL172)*-1)+((AM171-AL171)*-1)</f>
        <v>0</v>
      </c>
      <c r="AN290" s="268">
        <f>((AN172-AM172)*-1)+((AN171-AM171)*-1)</f>
        <v>0</v>
      </c>
      <c r="AO290" s="268">
        <f>((AO172-AN172)*-1)+((AO171-AN171)*-1)</f>
        <v>0</v>
      </c>
      <c r="AP290" s="268">
        <f>((AP172-AO172)*-1)+((AP171-AO171)*-1)</f>
        <v>0</v>
      </c>
      <c r="AQ290" s="268">
        <f>SUM(AM290:AP290)</f>
        <v>0</v>
      </c>
      <c r="AR290" s="268">
        <f>((AR172-AQ172)*-1)+((AR171-AQ171)*-1)</f>
        <v>0</v>
      </c>
      <c r="AS290" s="268">
        <f>((AS172-AR172)*-1)+((AS171-AR171)*-1)</f>
        <v>0</v>
      </c>
      <c r="AT290" s="268">
        <f>((AT172-AS172)*-1)+((AT171-AS171)*-1)</f>
        <v>0</v>
      </c>
      <c r="AU290" s="268">
        <f>((AU172-AT172)*-1)+((AU171-AT171)*-1)</f>
        <v>0</v>
      </c>
      <c r="AV290" s="268">
        <f>SUM(AR290:AU290)</f>
        <v>0</v>
      </c>
      <c r="AW290" s="268">
        <f>((AW172-AV172)*-1)+((AW171-AV171)*-1)</f>
        <v>0</v>
      </c>
      <c r="AX290" s="268">
        <f>((AX172-AW172)*-1)+((AX171-AW171)*-1)</f>
        <v>0</v>
      </c>
      <c r="AY290" s="268">
        <f>((AY172-AX172)*-1)+((AY171-AX171)*-1)</f>
        <v>0</v>
      </c>
      <c r="AZ290" s="268">
        <f>((AZ172-AY172)*-1)+((AZ171-AY171)*-1)</f>
        <v>0</v>
      </c>
      <c r="BA290" s="268">
        <f>SUM(AW290:AZ290)</f>
        <v>0</v>
      </c>
      <c r="BB290" s="268">
        <f>((BB172-BA172)*-1)+((BB171-BA171)*-1)</f>
        <v>0</v>
      </c>
      <c r="BC290" s="268">
        <f>((BC172-BB172)*-1)+((BC171-BB171)*-1)</f>
        <v>0</v>
      </c>
      <c r="BD290" s="268">
        <f>((BD172-BC172)*-1)+((BD171-BC171)*-1)</f>
        <v>0</v>
      </c>
      <c r="BE290" s="268">
        <f>((BE172-BD172)*-1)+((BE171-BD171)*-1)</f>
        <v>0</v>
      </c>
      <c r="BF290" s="268">
        <f>SUM(BB290:BE290)</f>
        <v>0</v>
      </c>
      <c r="BG290" s="268">
        <f>((BG172-BF172)*-1)+((BG171-BF171)*-1)</f>
        <v>0</v>
      </c>
      <c r="BH290" s="268">
        <f>((BH172-BG172)*-1)+((BH171-BG171)*-1)</f>
        <v>0</v>
      </c>
      <c r="BI290" s="268">
        <f>((BI172-BH172)*-1)+((BI171-BH171)*-1)</f>
        <v>0</v>
      </c>
      <c r="BJ290" s="268">
        <f>((BJ172-BI172)*-1)+((BJ171-BI171)*-1)</f>
        <v>0</v>
      </c>
      <c r="BK290" s="268">
        <f>SUM(BG290:BJ290)</f>
        <v>0</v>
      </c>
      <c r="BL290" s="268">
        <f>((BL172-BK172)*-1)+((BL171-BK171)*-1)</f>
        <v>0</v>
      </c>
      <c r="BM290" s="268">
        <f>((BM172-BL172)*-1)+((BM171-BL171)*-1)</f>
        <v>0</v>
      </c>
      <c r="BN290" s="268">
        <f>((BN172-BM172)*-1)+((BN171-BM171)*-1)</f>
        <v>0</v>
      </c>
      <c r="BO290" s="268">
        <f>((BO172-BN172)*-1)+((BO171-BN171)*-1)</f>
        <v>0</v>
      </c>
      <c r="BP290" s="268">
        <f>SUM(BL290:BO290)</f>
        <v>0</v>
      </c>
      <c r="BQ290" s="268">
        <f>((BQ172-BP172)*-1)+((BQ171-BP171)*-1)</f>
        <v>0</v>
      </c>
      <c r="BR290" s="268">
        <f>((BR172-BQ172)*-1)+((BR171-BQ171)*-1)</f>
        <v>0</v>
      </c>
      <c r="BS290" s="268">
        <f>((BS172-BR172)*-1)+((BS171-BR171)*-1)</f>
        <v>0</v>
      </c>
      <c r="BT290" s="268">
        <f>((BT172-BS172)*-1)+((BT171-BS171)*-1)</f>
        <v>0</v>
      </c>
      <c r="BU290" s="268">
        <f>SUM(BQ290:BT290)</f>
        <v>0</v>
      </c>
      <c r="BV290" s="268">
        <f>((BV172-BU172)*-1)+((BV171-BU171)*-1)</f>
        <v>0</v>
      </c>
      <c r="BW290" s="268">
        <f>((BW172-BV172)*-1)+((BW171-BV171)*-1)</f>
        <v>0</v>
      </c>
      <c r="BX290" s="268">
        <f>((BX172-BW172)*-1)+((BX171-BW171)*-1)</f>
        <v>0</v>
      </c>
      <c r="BY290" s="268">
        <f>((BY172-BX172)*-1)+((BY171-BX171)*-1)</f>
        <v>0</v>
      </c>
      <c r="BZ290" s="268">
        <f>SUM(BV290:BY290)</f>
        <v>0</v>
      </c>
      <c r="CA290" s="268">
        <f>((CA172-BZ172)*-1)+((CA171-BZ171)*-1)</f>
        <v>0</v>
      </c>
      <c r="CB290" s="268">
        <f>((CB172-CA172)*-1)+((CB171-CA171)*-1)</f>
        <v>0</v>
      </c>
      <c r="CC290" s="268">
        <f>((CC172-CB172)*-1)+((CC171-CB171)*-1)</f>
        <v>0</v>
      </c>
      <c r="CD290" s="268">
        <f>((CD172-CC172)*-1)+((CD171-CC171)*-1)</f>
        <v>0</v>
      </c>
      <c r="CE290" s="268">
        <f>SUM(CA290:CD290)</f>
        <v>0</v>
      </c>
      <c r="CF290" s="268">
        <f>((CF172-CE172)*-1)+((CF171-CE171)*-1)</f>
        <v>0</v>
      </c>
      <c r="CG290" s="268">
        <f>((CG172-CF172)*-1)+((CG171-CF171)*-1)</f>
        <v>0</v>
      </c>
      <c r="CH290" s="268">
        <f>((CH172-CG172)*-1)+((CH171-CG171)*-1)</f>
        <v>0</v>
      </c>
      <c r="CI290" s="268">
        <f>((CI172-CH172)*-1)+((CI171-CH171)*-1)</f>
        <v>0</v>
      </c>
      <c r="CJ290" s="268">
        <f>SUM(CF290:CI290)</f>
        <v>0</v>
      </c>
      <c r="CK290" s="268">
        <f>((CK172-CJ172)*-1)+((CK171-CJ171)*-1)</f>
        <v>0</v>
      </c>
      <c r="CL290" s="268">
        <f>((CL172-CK172)*-1)+((CL171-CK171)*-1)</f>
        <v>0</v>
      </c>
      <c r="CM290" s="268">
        <f>((CM172-CL172)*-1)+((CM171-CL171)*-1)</f>
        <v>0</v>
      </c>
      <c r="CN290" s="268">
        <f>((CN172-CM172)*-1)+((CN171-CM171)*-1)</f>
        <v>0</v>
      </c>
      <c r="CO290" s="268">
        <f>SUM(CK290:CN290)</f>
        <v>0</v>
      </c>
      <c r="CP290" s="268">
        <f>((CP172-CO172)*-1)+((CP171-CO171)*-1)</f>
        <v>0</v>
      </c>
      <c r="CQ290" s="268">
        <f>((CQ172-CP172)*-1)+((CQ171-CP171)*-1)</f>
        <v>0</v>
      </c>
      <c r="CR290" s="268">
        <f>((CR172-CQ172)*-1)+((CR171-CQ171)*-1)</f>
        <v>0</v>
      </c>
      <c r="CS290" s="268">
        <f>((CS172-CR172)*-1)+((CS171-CR171)*-1)</f>
        <v>0</v>
      </c>
      <c r="CT290" s="268">
        <f>SUM(CP290:CS290)</f>
        <v>0</v>
      </c>
      <c r="CU290" s="268">
        <f>((CU172-CT172)*-1)+((CU171-CT171)*-1)</f>
        <v>0</v>
      </c>
      <c r="CV290" s="268">
        <f>((CV172-CU172)*-1)+((CV171-CU171)*-1)</f>
        <v>0</v>
      </c>
      <c r="CW290" s="268">
        <f>((CW172-CV172)*-1)+((CW171-CV171)*-1)</f>
        <v>0</v>
      </c>
      <c r="CX290" s="268">
        <f>((CX172-CW172)*-1)+((CX171-CW171)*-1)</f>
        <v>0</v>
      </c>
      <c r="CY290" s="268">
        <f>SUM(CU290:CX290)</f>
        <v>0</v>
      </c>
      <c r="CZ290" s="268" t="n"/>
      <c r="DA290" s="268" t="n"/>
      <c r="DB290" s="268" t="n"/>
      <c r="DC290" s="268" t="n"/>
    </row>
    <row r="291" ht="12.75" customHeight="1" s="255">
      <c r="C291" s="328" t="inlineStr">
        <is>
          <t>Purchases/Proceeds from other long-term assets</t>
        </is>
      </c>
      <c r="D291" s="268" t="n"/>
      <c r="E291" s="268">
        <f>((E181-D181)*-1)+(E232-D232)</f>
        <v>-208</v>
      </c>
      <c r="F291" s="268">
        <f>((F181-E181)*-1)+(F232-E232)</f>
        <v>-10</v>
      </c>
      <c r="G291" s="268">
        <f>((G181-F181)*-1)+(G232-F232)</f>
        <v>-65</v>
      </c>
      <c r="H291" s="268">
        <f>SUM(D291:G291)</f>
        <v>-283</v>
      </c>
      <c r="I291" s="268">
        <f>((I181-H181)*-1)+(I232-H232)</f>
        <v>-103</v>
      </c>
      <c r="J291" s="268">
        <f>((J181-I181)*-1)+(J232-I232)</f>
        <v>1</v>
      </c>
      <c r="K291" s="268">
        <f>((K181-J181)*-1)+(K232-J232)</f>
        <v>-278</v>
      </c>
      <c r="L291" s="268">
        <f>((L181-K181)*-1)+(L232-K232)</f>
        <v>381</v>
      </c>
      <c r="M291" s="268">
        <f>SUM(I291:L291)</f>
        <v>1</v>
      </c>
      <c r="N291" s="268">
        <f>((N181-M181)*-1)+(N232-M232)</f>
        <v>24</v>
      </c>
      <c r="O291" s="268">
        <f>((O181-N181)*-1)+(O232-N232)</f>
        <v>76</v>
      </c>
      <c r="P291" s="268">
        <f>((P181-O181)*-1)+(P232-O232)</f>
        <v>-19</v>
      </c>
      <c r="Q291" s="268">
        <f>((Q181-P181)*-1)+(Q232-P232)</f>
        <v>139</v>
      </c>
      <c r="R291" s="268">
        <f>SUM(N291:Q291)</f>
        <v>220</v>
      </c>
      <c r="S291" s="268">
        <f>((S181-R181)*-1)+(S232-R232)</f>
        <v>-87</v>
      </c>
      <c r="T291" s="268">
        <f>((T181-S181)*-1)+(T232-S232)</f>
        <v>201</v>
      </c>
      <c r="U291" s="268">
        <f>((U181-T181)*-1)+(U232-T232)</f>
        <v>20</v>
      </c>
      <c r="V291" s="268">
        <f>((V181-U181)*-1)+(V232-U232)</f>
        <v>-180</v>
      </c>
      <c r="W291" s="268">
        <f>SUM(S291:V291)</f>
        <v>-46</v>
      </c>
      <c r="X291" s="268">
        <f>((X181-W181)*-1)+(X232-W232)</f>
        <v>347</v>
      </c>
      <c r="Y291" s="268">
        <f>((Y181-X181)*-1)+(Y232-X232)</f>
        <v>62</v>
      </c>
      <c r="Z291" s="268">
        <f>((Z181-Y181)*-1)+(Z232-Y232)</f>
        <v>245</v>
      </c>
      <c r="AA291" s="268">
        <f>((AA181-Z181)*-1)+(AA232-Z232)</f>
        <v>473</v>
      </c>
      <c r="AB291" s="268">
        <f>SUM(X291:AA291)</f>
        <v>1127</v>
      </c>
      <c r="AC291" s="268">
        <f>((AC181-AB181)*-1)+(AC232-AB232)</f>
        <v>281</v>
      </c>
      <c r="AD291" s="268">
        <f>((AD181-AC181)*-1)+(AD232-AC232)</f>
        <v>87</v>
      </c>
      <c r="AE291" s="268">
        <f>((AE181-AD181)*-1)+(AE232-AD232)</f>
        <v>3</v>
      </c>
      <c r="AF291" s="268">
        <f>((AF181-AE181)*-1)+(AF232-AE232)</f>
        <v>-1428</v>
      </c>
      <c r="AG291" s="268">
        <f>SUM(AC291:AF291)</f>
        <v>-1057</v>
      </c>
      <c r="AH291" s="268">
        <f>((AH181-AG181)*-1)+(AH232-AG232)</f>
        <v>37</v>
      </c>
      <c r="AI291" s="268">
        <f>((AI181-AH181)*-1)+(AI232-AH232)</f>
        <v>-238</v>
      </c>
      <c r="AJ291" s="268">
        <f>((AJ181-AI181)*-1)+(AJ232-AI232)</f>
        <v>0</v>
      </c>
      <c r="AK291" s="268">
        <f>((AK181-AJ181)*-1)+(AK232-AJ232)</f>
        <v>0</v>
      </c>
      <c r="AL291" s="268">
        <f>SUM(AH291:AK291)</f>
        <v>-201</v>
      </c>
      <c r="AM291" s="268">
        <f>((AM181-AL181)*-1)+(AM232-AL232)</f>
        <v>0</v>
      </c>
      <c r="AN291" s="268">
        <f>((AN181-AM181)*-1)+(AN232-AM232)</f>
        <v>0</v>
      </c>
      <c r="AO291" s="268">
        <f>((AO181-AN181)*-1)+(AO232-AN232)</f>
        <v>0</v>
      </c>
      <c r="AP291" s="268">
        <f>((AP181-AO181)*-1)+(AP232-AO232)</f>
        <v>0</v>
      </c>
      <c r="AQ291" s="268">
        <f>SUM(AM291:AP291)</f>
        <v>0</v>
      </c>
      <c r="AR291" s="268">
        <f>((AR181-AQ181)*-1)+(AR232-AQ232)</f>
        <v>0</v>
      </c>
      <c r="AS291" s="268">
        <f>((AS181-AR181)*-1)+(AS232-AR232)</f>
        <v>0</v>
      </c>
      <c r="AT291" s="268">
        <f>((AT181-AS181)*-1)+(AT232-AS232)</f>
        <v>0</v>
      </c>
      <c r="AU291" s="268">
        <f>((AU181-AT181)*-1)+(AU232-AT232)</f>
        <v>0</v>
      </c>
      <c r="AV291" s="268">
        <f>SUM(AR291:AU291)</f>
        <v>0</v>
      </c>
      <c r="AW291" s="268">
        <f>((AW181-AV181)*-1)+(AW232-AV232)</f>
        <v>0</v>
      </c>
      <c r="AX291" s="268">
        <f>((AX181-AW181)*-1)+(AX232-AW232)</f>
        <v>0</v>
      </c>
      <c r="AY291" s="268">
        <f>((AY181-AX181)*-1)+(AY232-AX232)</f>
        <v>0</v>
      </c>
      <c r="AZ291" s="268">
        <f>((AZ181-AY181)*-1)+(AZ232-AY232)</f>
        <v>0</v>
      </c>
      <c r="BA291" s="268">
        <f>SUM(AW291:AZ291)</f>
        <v>0</v>
      </c>
      <c r="BB291" s="268">
        <f>((BB181-BA181)*-1)+(BB232-BA232)</f>
        <v>0</v>
      </c>
      <c r="BC291" s="268">
        <f>((BC181-BB181)*-1)+(BC232-BB232)</f>
        <v>0</v>
      </c>
      <c r="BD291" s="268">
        <f>((BD181-BC181)*-1)+(BD232-BC232)</f>
        <v>0</v>
      </c>
      <c r="BE291" s="268">
        <f>((BE181-BD181)*-1)+(BE232-BD232)</f>
        <v>0</v>
      </c>
      <c r="BF291" s="268">
        <f>SUM(BB291:BE291)</f>
        <v>0</v>
      </c>
      <c r="BG291" s="268">
        <f>((BG181-BF181)*-1)+(BG232-BF232)</f>
        <v>0</v>
      </c>
      <c r="BH291" s="268">
        <f>((BH181-BG181)*-1)+(BH232-BG232)</f>
        <v>0</v>
      </c>
      <c r="BI291" s="268">
        <f>((BI181-BH181)*-1)+(BI232-BH232)</f>
        <v>0</v>
      </c>
      <c r="BJ291" s="268">
        <f>((BJ181-BI181)*-1)+(BJ232-BI232)</f>
        <v>0</v>
      </c>
      <c r="BK291" s="268">
        <f>SUM(BG291:BJ291)</f>
        <v>0</v>
      </c>
      <c r="BL291" s="268">
        <f>((BL181-BK181)*-1)+(BL232-BK232)</f>
        <v>0</v>
      </c>
      <c r="BM291" s="268">
        <f>((BM181-BL181)*-1)+(BM232-BL232)</f>
        <v>0</v>
      </c>
      <c r="BN291" s="268">
        <f>((BN181-BM181)*-1)+(BN232-BM232)</f>
        <v>0</v>
      </c>
      <c r="BO291" s="268">
        <f>((BO181-BN181)*-1)+(BO232-BN232)</f>
        <v>0</v>
      </c>
      <c r="BP291" s="268">
        <f>SUM(BL291:BO291)</f>
        <v>0</v>
      </c>
      <c r="BQ291" s="268">
        <f>((BQ181-BP181)*-1)+(BQ232-BP232)</f>
        <v>0</v>
      </c>
      <c r="BR291" s="268">
        <f>((BR181-BQ181)*-1)+(BR232-BQ232)</f>
        <v>0</v>
      </c>
      <c r="BS291" s="268">
        <f>((BS181-BR181)*-1)+(BS232-BR232)</f>
        <v>0</v>
      </c>
      <c r="BT291" s="268">
        <f>((BT181-BS181)*-1)+(BT232-BS232)</f>
        <v>0</v>
      </c>
      <c r="BU291" s="268">
        <f>SUM(BQ291:BT291)</f>
        <v>0</v>
      </c>
      <c r="BV291" s="268">
        <f>((BV181-BU181)*-1)+(BV232-BU232)</f>
        <v>0</v>
      </c>
      <c r="BW291" s="268">
        <f>((BW181-BV181)*-1)+(BW232-BV232)</f>
        <v>0</v>
      </c>
      <c r="BX291" s="268">
        <f>((BX181-BW181)*-1)+(BX232-BW232)</f>
        <v>0</v>
      </c>
      <c r="BY291" s="268">
        <f>((BY181-BX181)*-1)+(BY232-BX232)</f>
        <v>0</v>
      </c>
      <c r="BZ291" s="268">
        <f>SUM(BV291:BY291)</f>
        <v>0</v>
      </c>
      <c r="CA291" s="268">
        <f>((CA181-BZ181)*-1)+(CA232-BZ232)</f>
        <v>0</v>
      </c>
      <c r="CB291" s="268">
        <f>((CB181-CA181)*-1)+(CB232-CA232)</f>
        <v>0</v>
      </c>
      <c r="CC291" s="268">
        <f>((CC181-CB181)*-1)+(CC232-CB232)</f>
        <v>0</v>
      </c>
      <c r="CD291" s="268">
        <f>((CD181-CC181)*-1)+(CD232-CC232)</f>
        <v>0</v>
      </c>
      <c r="CE291" s="268">
        <f>SUM(CA291:CD291)</f>
        <v>0</v>
      </c>
      <c r="CF291" s="268">
        <f>((CF181-CE181)*-1)+(CF232-CE232)</f>
        <v>0</v>
      </c>
      <c r="CG291" s="268">
        <f>((CG181-CF181)*-1)+(CG232-CF232)</f>
        <v>0</v>
      </c>
      <c r="CH291" s="268">
        <f>((CH181-CG181)*-1)+(CH232-CG232)</f>
        <v>0</v>
      </c>
      <c r="CI291" s="268">
        <f>((CI181-CH181)*-1)+(CI232-CH232)</f>
        <v>0</v>
      </c>
      <c r="CJ291" s="268">
        <f>SUM(CF291:CI291)</f>
        <v>0</v>
      </c>
      <c r="CK291" s="268">
        <f>((CK181-CJ181)*-1)+(CK232-CJ232)</f>
        <v>0</v>
      </c>
      <c r="CL291" s="268">
        <f>((CL181-CK181)*-1)+(CL232-CK232)</f>
        <v>0</v>
      </c>
      <c r="CM291" s="268">
        <f>((CM181-CL181)*-1)+(CM232-CL232)</f>
        <v>0</v>
      </c>
      <c r="CN291" s="268">
        <f>((CN181-CM181)*-1)+(CN232-CM232)</f>
        <v>0</v>
      </c>
      <c r="CO291" s="268">
        <f>SUM(CK291:CN291)</f>
        <v>0</v>
      </c>
      <c r="CP291" s="268">
        <f>((CP181-CO181)*-1)+(CP232-CO232)</f>
        <v>0</v>
      </c>
      <c r="CQ291" s="268">
        <f>((CQ181-CP181)*-1)+(CQ232-CP232)</f>
        <v>0</v>
      </c>
      <c r="CR291" s="268">
        <f>((CR181-CQ181)*-1)+(CR232-CQ232)</f>
        <v>0</v>
      </c>
      <c r="CS291" s="268">
        <f>((CS181-CR181)*-1)+(CS232-CR232)</f>
        <v>0</v>
      </c>
      <c r="CT291" s="268">
        <f>SUM(CP291:CS291)</f>
        <v>0</v>
      </c>
      <c r="CU291" s="268">
        <f>((CU181-CT181)*-1)+(CU232-CT232)</f>
        <v>0</v>
      </c>
      <c r="CV291" s="268">
        <f>((CV181-CU181)*-1)+(CV232-CU232)</f>
        <v>0</v>
      </c>
      <c r="CW291" s="268">
        <f>((CW181-CV181)*-1)+(CW232-CV232)</f>
        <v>0</v>
      </c>
      <c r="CX291" s="268">
        <f>((CX181-CW181)*-1)+(CX232-CW232)</f>
        <v>0</v>
      </c>
      <c r="CY291" s="268">
        <f>SUM(CU291:CX291)</f>
        <v>0</v>
      </c>
    </row>
    <row r="292" ht="12.75" customHeight="1" s="255">
      <c r="C292" s="270" t="inlineStr">
        <is>
          <t>Cash from investing</t>
        </is>
      </c>
      <c r="D292" s="268" t="n"/>
      <c r="E292" s="268">
        <f>SUM(E287,E288,E290,E291,E289)</f>
        <v>-603</v>
      </c>
      <c r="F292" s="268">
        <f>SUM(F287,F288,F290,F291,F289)</f>
        <v>-379</v>
      </c>
      <c r="G292" s="268">
        <f>SUM(G287,G288,G290,G291,G289)</f>
        <v>-407</v>
      </c>
      <c r="H292" s="268">
        <f>SUM(H287,H288,H290,H291)</f>
        <v>-1389</v>
      </c>
      <c r="I292" s="268">
        <f>SUM(I287,I288,I290,I291,I289)</f>
        <v>-479</v>
      </c>
      <c r="J292" s="268">
        <f>SUM(J287,J288,J290,J291,J289)</f>
        <v>-543</v>
      </c>
      <c r="K292" s="268">
        <f>SUM(K287,K288,K290,K291,K289)</f>
        <v>-1072</v>
      </c>
      <c r="L292" s="268">
        <f>SUM(L287,L288,L290,L291,L289)</f>
        <v>-430</v>
      </c>
      <c r="M292" s="268">
        <f>SUM(M287,M288,M290,M291)</f>
        <v>-2524</v>
      </c>
      <c r="N292" s="268">
        <f>SUM(N287,N288,N290,N291,N289)</f>
        <v>-828</v>
      </c>
      <c r="O292" s="268">
        <f>SUM(O287,O288,O290,O291,O289)</f>
        <v>-923</v>
      </c>
      <c r="P292" s="268">
        <f>SUM(P287,P288,P290,P291,P289)</f>
        <v>-1141</v>
      </c>
      <c r="Q292" s="268">
        <f>SUM(Q287,Q288,Q290,Q291,Q289)</f>
        <v>-1189</v>
      </c>
      <c r="R292" s="268">
        <f>SUM(R287,R288,R290,R291)</f>
        <v>-4081</v>
      </c>
      <c r="S292" s="268">
        <f>SUM(S287,S288,S290,S291,S289)</f>
        <v>-1018</v>
      </c>
      <c r="T292" s="268">
        <f>SUM(T287,T288,T290,T291,T289)</f>
        <v>-1032</v>
      </c>
      <c r="U292" s="268">
        <f>SUM(U287,U288,U290,U291,U289)</f>
        <v>-1203</v>
      </c>
      <c r="V292" s="268">
        <f>SUM(V287,V288,V290,V291,V289)</f>
        <v>-1529</v>
      </c>
      <c r="W292" s="268">
        <f>SUM(W287,W288,W290,W291)</f>
        <v>-4782</v>
      </c>
      <c r="X292" s="268">
        <f>SUM(X287,X288,X290,X291,X289)</f>
        <v>-1150</v>
      </c>
      <c r="Y292" s="268">
        <f>SUM(Y287,Y288,Y290,Y291,Y289)</f>
        <v>-1034</v>
      </c>
      <c r="Z292" s="268">
        <f>SUM(Z287,Z288,Z290,Z291,Z289)</f>
        <v>-1321</v>
      </c>
      <c r="AA292" s="268">
        <f>SUM(AA287,AA288,AA290,AA291,AA289)</f>
        <v>-828</v>
      </c>
      <c r="AB292" s="268">
        <f>SUM(AB287,AB288,AB290,AB291)</f>
        <v>-4333</v>
      </c>
      <c r="AC292" s="268">
        <f>SUM(AC287,AC288,AC290,AC291,AC289)</f>
        <v>-871</v>
      </c>
      <c r="AD292" s="268">
        <f>SUM(AD287,AD288,AD290,AD291,AD289)</f>
        <v>-1216</v>
      </c>
      <c r="AE292" s="268">
        <f>SUM(AE287,AE288,AE290,AE291,AE289)</f>
        <v>-1044</v>
      </c>
      <c r="AF292" s="268">
        <f>SUM(AF287,AF288,AF290,AF291,AF289)</f>
        <v>-2392</v>
      </c>
      <c r="AG292" s="268">
        <f>SUM(AG287,AG288,AG290,AG291)</f>
        <v>-5523</v>
      </c>
      <c r="AH292" s="268">
        <f>SUM(AH287,AH288,AH290,AH291,AH289)</f>
        <v>-842</v>
      </c>
      <c r="AI292" s="268">
        <f>SUM(AI287,AI288,AI290,AI291,AI289)</f>
        <v>-1365</v>
      </c>
      <c r="AJ292" s="268">
        <f>SUM(AJ287,AJ288,AJ290,AJ291,AJ289)</f>
        <v>0</v>
      </c>
      <c r="AK292" s="268">
        <f>SUM(AK287,AK288,AK290,AK291,AK289)</f>
        <v>0</v>
      </c>
      <c r="AL292" s="268">
        <f>SUM(AL287,AL288,AL290,AL291)</f>
        <v>-2207</v>
      </c>
      <c r="AM292" s="268">
        <f>SUM(AM287,AM288,AM290,AM291,AM289)</f>
        <v>0</v>
      </c>
      <c r="AN292" s="268">
        <f>SUM(AN287,AN288,AN290,AN291,AN289)</f>
        <v>0</v>
      </c>
      <c r="AO292" s="268">
        <f>SUM(AO287,AO288,AO290,AO291,AO289)</f>
        <v>0</v>
      </c>
      <c r="AP292" s="268">
        <f>SUM(AP287,AP288,AP290,AP291,AP289)</f>
        <v>0</v>
      </c>
      <c r="AQ292" s="268">
        <f>SUM(AQ287,AQ288,AQ290,AQ291)</f>
        <v>0</v>
      </c>
      <c r="AR292" s="268">
        <f>SUM(AR287,AR288,AR290,AR291,AR289)</f>
        <v>0</v>
      </c>
      <c r="AS292" s="268">
        <f>SUM(AS287,AS288,AS290,AS291,AS289)</f>
        <v>0</v>
      </c>
      <c r="AT292" s="268">
        <f>SUM(AT287,AT288,AT290,AT291,AT289)</f>
        <v>0</v>
      </c>
      <c r="AU292" s="268">
        <f>SUM(AU287,AU288,AU290,AU291,AU289)</f>
        <v>0</v>
      </c>
      <c r="AV292" s="268">
        <f>SUM(AV287,AV288,AV290,AV291)</f>
        <v>0</v>
      </c>
      <c r="AW292" s="268">
        <f>SUM(AW287,AW288,AW290,AW291,AW289)</f>
        <v>0</v>
      </c>
      <c r="AX292" s="268">
        <f>SUM(AX287,AX288,AX290,AX291,AX289)</f>
        <v>0</v>
      </c>
      <c r="AY292" s="268">
        <f>SUM(AY287,AY288,AY290,AY291,AY289)</f>
        <v>0</v>
      </c>
      <c r="AZ292" s="268">
        <f>SUM(AZ287,AZ288,AZ290,AZ291,AZ289)</f>
        <v>0</v>
      </c>
      <c r="BA292" s="268">
        <f>SUM(BA287,BA288,BA290,BA291)</f>
        <v>0</v>
      </c>
      <c r="BB292" s="268">
        <f>SUM(BB287,BB288,BB290,BB291,BB289)</f>
        <v>0</v>
      </c>
      <c r="BC292" s="268">
        <f>SUM(BC287,BC288,BC290,BC291,BC289)</f>
        <v>0</v>
      </c>
      <c r="BD292" s="268">
        <f>SUM(BD287,BD288,BD290,BD291,BD289)</f>
        <v>0</v>
      </c>
      <c r="BE292" s="268">
        <f>SUM(BE287,BE288,BE290,BE291,BE289)</f>
        <v>0</v>
      </c>
      <c r="BF292" s="268">
        <f>SUM(BF287,BF288,BF290,BF291)</f>
        <v>0</v>
      </c>
      <c r="BG292" s="268">
        <f>SUM(BG287,BG288,BG290,BG291,BG289)</f>
        <v>0</v>
      </c>
      <c r="BH292" s="268">
        <f>SUM(BH287,BH288,BH290,BH291,BH289)</f>
        <v>0</v>
      </c>
      <c r="BI292" s="268">
        <f>SUM(BI287,BI288,BI290,BI291,BI289)</f>
        <v>0</v>
      </c>
      <c r="BJ292" s="268">
        <f>SUM(BJ287,BJ288,BJ290,BJ291,BJ289)</f>
        <v>0</v>
      </c>
      <c r="BK292" s="268">
        <f>SUM(BK287,BK288,BK290,BK291)</f>
        <v>0</v>
      </c>
      <c r="BL292" s="268">
        <f>SUM(BL287,BL288,BL290,BL291,BL289)</f>
        <v>0</v>
      </c>
      <c r="BM292" s="268">
        <f>SUM(BM287,BM288,BM290,BM291,BM289)</f>
        <v>0</v>
      </c>
      <c r="BN292" s="268">
        <f>SUM(BN287,BN288,BN290,BN291,BN289)</f>
        <v>0</v>
      </c>
      <c r="BO292" s="268">
        <f>SUM(BO287,BO288,BO290,BO291,BO289)</f>
        <v>0</v>
      </c>
      <c r="BP292" s="268">
        <f>SUM(BP287,BP288,BP290,BP291)</f>
        <v>0</v>
      </c>
      <c r="BQ292" s="268">
        <f>SUM(BQ287,BQ288,BQ290,BQ291,BQ289)</f>
        <v>0</v>
      </c>
      <c r="BR292" s="268">
        <f>SUM(BR287,BR288,BR290,BR291,BR289)</f>
        <v>0</v>
      </c>
      <c r="BS292" s="268">
        <f>SUM(BS287,BS288,BS290,BS291,BS289)</f>
        <v>0</v>
      </c>
      <c r="BT292" s="268">
        <f>SUM(BT287,BT288,BT290,BT291,BT289)</f>
        <v>0</v>
      </c>
      <c r="BU292" s="268">
        <f>SUM(BU287,BU288,BU290,BU291)</f>
        <v>0</v>
      </c>
      <c r="BV292" s="268">
        <f>SUM(BV287,BV288,BV290,BV291,BV289)</f>
        <v>0</v>
      </c>
      <c r="BW292" s="268">
        <f>SUM(BW287,BW288,BW290,BW291,BW289)</f>
        <v>0</v>
      </c>
      <c r="BX292" s="268">
        <f>SUM(BX287,BX288,BX290,BX291,BX289)</f>
        <v>0</v>
      </c>
      <c r="BY292" s="268">
        <f>SUM(BY287,BY288,BY290,BY291,BY289)</f>
        <v>0</v>
      </c>
      <c r="BZ292" s="268">
        <f>SUM(BZ287,BZ288,BZ290,BZ291)</f>
        <v>0</v>
      </c>
      <c r="CA292" s="268">
        <f>SUM(CA287,CA288,CA290,CA291,CA289)</f>
        <v>0</v>
      </c>
      <c r="CB292" s="268">
        <f>SUM(CB287,CB288,CB290,CB291,CB289)</f>
        <v>0</v>
      </c>
      <c r="CC292" s="268">
        <f>SUM(CC287,CC288,CC290,CC291,CC289)</f>
        <v>0</v>
      </c>
      <c r="CD292" s="268">
        <f>SUM(CD287,CD288,CD290,CD291,CD289)</f>
        <v>0</v>
      </c>
      <c r="CE292" s="268">
        <f>SUM(CE287,CE288,CE290,CE291)</f>
        <v>0</v>
      </c>
      <c r="CF292" s="268">
        <f>SUM(CF287,CF288,CF290,CF291,CF289)</f>
        <v>0</v>
      </c>
      <c r="CG292" s="268">
        <f>SUM(CG287,CG288,CG290,CG291,CG289)</f>
        <v>0</v>
      </c>
      <c r="CH292" s="268">
        <f>SUM(CH287,CH288,CH290,CH291,CH289)</f>
        <v>0</v>
      </c>
      <c r="CI292" s="268">
        <f>SUM(CI287,CI288,CI290,CI291,CI289)</f>
        <v>0</v>
      </c>
      <c r="CJ292" s="268">
        <f>SUM(CJ287,CJ288,CJ290,CJ291)</f>
        <v>0</v>
      </c>
      <c r="CK292" s="268">
        <f>SUM(CK287,CK288,CK290,CK291,CK289)</f>
        <v>0</v>
      </c>
      <c r="CL292" s="268">
        <f>SUM(CL287,CL288,CL290,CL291,CL289)</f>
        <v>0</v>
      </c>
      <c r="CM292" s="268">
        <f>SUM(CM287,CM288,CM290,CM291,CM289)</f>
        <v>0</v>
      </c>
      <c r="CN292" s="268">
        <f>SUM(CN287,CN288,CN290,CN291,CN289)</f>
        <v>0</v>
      </c>
      <c r="CO292" s="268">
        <f>SUM(CO287,CO288,CO290,CO291)</f>
        <v>0</v>
      </c>
      <c r="CP292" s="268">
        <f>SUM(CP287,CP288,CP290,CP291,CP289)</f>
        <v>0</v>
      </c>
      <c r="CQ292" s="268">
        <f>SUM(CQ287,CQ288,CQ290,CQ291,CQ289)</f>
        <v>0</v>
      </c>
      <c r="CR292" s="268">
        <f>SUM(CR287,CR288,CR290,CR291,CR289)</f>
        <v>0</v>
      </c>
      <c r="CS292" s="268">
        <f>SUM(CS287,CS288,CS290,CS291,CS289)</f>
        <v>0</v>
      </c>
      <c r="CT292" s="268">
        <f>SUM(CT287,CT288,CT290,CT291)</f>
        <v>0</v>
      </c>
      <c r="CU292" s="268">
        <f>SUM(CU287,CU288,CU290,CU291,CU289)</f>
        <v>0</v>
      </c>
      <c r="CV292" s="268">
        <f>SUM(CV287,CV288,CV290,CV291,CV289)</f>
        <v>0</v>
      </c>
      <c r="CW292" s="268">
        <f>SUM(CW287,CW288,CW290,CW291,CW289)</f>
        <v>0</v>
      </c>
      <c r="CX292" s="268">
        <f>SUM(CX287,CX288,CX290,CX291,CX289)</f>
        <v>0</v>
      </c>
      <c r="CY292" s="268">
        <f>SUM(CY287,CY288,CY290,CY291)</f>
        <v>0</v>
      </c>
    </row>
    <row r="293" ht="12.75" customHeight="1" s="255">
      <c r="C293" s="270" t="n"/>
      <c r="D293" s="268" t="n"/>
      <c r="E293" s="268" t="n"/>
      <c r="F293" s="268" t="n"/>
      <c r="G293" s="268" t="n"/>
      <c r="H293" s="268" t="n"/>
      <c r="I293" s="268" t="n"/>
      <c r="J293" s="268" t="n"/>
      <c r="K293" s="268" t="n"/>
      <c r="L293" s="268" t="n"/>
      <c r="M293" s="268" t="n"/>
      <c r="N293" s="268" t="n"/>
      <c r="O293" s="268" t="n"/>
      <c r="P293" s="268" t="n"/>
      <c r="Q293" s="268" t="n"/>
      <c r="R293" s="268" t="n"/>
      <c r="S293" s="268" t="n"/>
      <c r="T293" s="268" t="n"/>
      <c r="U293" s="268" t="n"/>
      <c r="V293" s="268" t="n"/>
      <c r="W293" s="268" t="n"/>
      <c r="X293" s="268" t="n"/>
      <c r="Y293" s="268" t="n"/>
      <c r="Z293" s="268" t="n"/>
      <c r="AA293" s="268" t="n"/>
      <c r="AB293" s="268" t="n"/>
      <c r="AC293" s="268" t="n"/>
      <c r="AD293" s="268" t="n"/>
      <c r="AE293" s="268" t="n"/>
      <c r="AF293" s="268" t="n"/>
      <c r="AG293" s="268" t="n"/>
      <c r="AH293" s="268" t="n"/>
      <c r="AI293" s="268" t="n"/>
      <c r="AJ293" s="268" t="n"/>
      <c r="AK293" s="268" t="n"/>
      <c r="AL293" s="268" t="n"/>
      <c r="AM293" s="268" t="n"/>
      <c r="AN293" s="268" t="n"/>
      <c r="AO293" s="268" t="n"/>
      <c r="AP293" s="268" t="n"/>
      <c r="AQ293" s="268" t="n"/>
      <c r="AR293" s="268" t="n"/>
      <c r="AS293" s="268" t="n"/>
      <c r="AT293" s="268" t="n"/>
      <c r="AU293" s="268" t="n"/>
      <c r="AV293" s="268" t="n"/>
      <c r="AW293" s="268" t="n"/>
      <c r="AX293" s="268" t="n"/>
      <c r="AY293" s="268" t="n"/>
      <c r="AZ293" s="268" t="n"/>
      <c r="BA293" s="268" t="n"/>
      <c r="BB293" s="268" t="n"/>
      <c r="BC293" s="268" t="n"/>
      <c r="BD293" s="268" t="n"/>
      <c r="BE293" s="268" t="n"/>
      <c r="BF293" s="268" t="n"/>
      <c r="BG293" s="268" t="n"/>
      <c r="BH293" s="268" t="n"/>
      <c r="BI293" s="268" t="n"/>
      <c r="BJ293" s="268" t="n"/>
      <c r="BK293" s="268" t="n"/>
      <c r="BL293" s="268" t="n"/>
      <c r="BM293" s="268" t="n"/>
      <c r="BN293" s="268" t="n"/>
      <c r="BO293" s="268" t="n"/>
      <c r="BP293" s="268" t="n"/>
      <c r="BQ293" s="268" t="n"/>
      <c r="BR293" s="268" t="n"/>
      <c r="BS293" s="268" t="n"/>
      <c r="BT293" s="268" t="n"/>
      <c r="BU293" s="268" t="n"/>
      <c r="BV293" s="268" t="n"/>
      <c r="BW293" s="268" t="n"/>
      <c r="BX293" s="268" t="n"/>
      <c r="BY293" s="268" t="n"/>
      <c r="BZ293" s="268" t="n"/>
      <c r="CA293" s="268" t="n"/>
      <c r="CB293" s="268" t="n"/>
      <c r="CC293" s="268" t="n"/>
      <c r="CD293" s="268" t="n"/>
      <c r="CE293" s="268" t="n"/>
      <c r="CF293" s="268" t="n"/>
      <c r="CG293" s="268" t="n"/>
      <c r="CH293" s="268" t="n"/>
      <c r="CI293" s="268" t="n"/>
      <c r="CJ293" s="268" t="n"/>
      <c r="CK293" s="268" t="n"/>
      <c r="CL293" s="268" t="n"/>
      <c r="CM293" s="268" t="n"/>
      <c r="CN293" s="268" t="n"/>
      <c r="CO293" s="268" t="n"/>
      <c r="CP293" s="268" t="n"/>
      <c r="CQ293" s="268" t="n"/>
      <c r="CR293" s="268" t="n"/>
      <c r="CS293" s="268" t="n"/>
      <c r="CT293" s="268" t="n"/>
      <c r="CU293" s="268" t="n"/>
      <c r="CV293" s="268" t="n"/>
      <c r="CW293" s="268" t="n"/>
      <c r="CX293" s="268" t="n"/>
      <c r="CY293" s="268" t="n"/>
    </row>
    <row r="294" ht="12.75" customHeight="1" s="255">
      <c r="C294" s="270" t="inlineStr">
        <is>
          <t>Convertible preferred stock</t>
        </is>
      </c>
      <c r="D294" s="268" t="n"/>
      <c r="E294" s="268">
        <f>E245-D245</f>
        <v>0</v>
      </c>
      <c r="F294" s="268">
        <f>F245-E245</f>
        <v>0</v>
      </c>
      <c r="G294" s="268">
        <f>G245-F245</f>
        <v>0</v>
      </c>
      <c r="H294" s="268">
        <f>SUM(D294:G294)</f>
        <v>0</v>
      </c>
      <c r="I294" s="268">
        <f>I245-H245</f>
        <v>0</v>
      </c>
      <c r="J294" s="268">
        <f>J245-I245</f>
        <v>0</v>
      </c>
      <c r="K294" s="268">
        <f>K245-J245</f>
        <v>0</v>
      </c>
      <c r="L294" s="268">
        <f>L245-K245</f>
        <v>0</v>
      </c>
      <c r="M294" s="268">
        <f>SUM(I294:L294)</f>
        <v>0</v>
      </c>
      <c r="N294" s="268">
        <f>N245-M245</f>
        <v>0</v>
      </c>
      <c r="O294" s="268">
        <f>O245-N245</f>
        <v>0</v>
      </c>
      <c r="P294" s="268">
        <f>P245-O245</f>
        <v>0</v>
      </c>
      <c r="Q294" s="268">
        <f>Q245-P245</f>
        <v>0</v>
      </c>
      <c r="R294" s="268">
        <f>SUM(N294:Q294)</f>
        <v>0</v>
      </c>
      <c r="S294" s="268">
        <f>S245-R245</f>
        <v>0</v>
      </c>
      <c r="T294" s="268">
        <f>T245-S245</f>
        <v>0</v>
      </c>
      <c r="U294" s="268">
        <f>U245-T245</f>
        <v>0</v>
      </c>
      <c r="V294" s="268">
        <f>V245-U245</f>
        <v>0</v>
      </c>
      <c r="W294" s="268">
        <f>SUM(S294:V294)</f>
        <v>0</v>
      </c>
      <c r="X294" s="268">
        <f>X245-W245</f>
        <v>0</v>
      </c>
      <c r="Y294" s="268">
        <f>Y245-X245</f>
        <v>0</v>
      </c>
      <c r="Z294" s="268">
        <f>Z245-Y245</f>
        <v>0</v>
      </c>
      <c r="AA294" s="268">
        <f>AA245-Z245</f>
        <v>0</v>
      </c>
      <c r="AB294" s="268">
        <f>SUM(X294:AA294)</f>
        <v>0</v>
      </c>
      <c r="AC294" s="268">
        <f>AC245-AB245</f>
        <v>0</v>
      </c>
      <c r="AD294" s="268">
        <f>AD245-AC245</f>
        <v>0</v>
      </c>
      <c r="AE294" s="268">
        <f>AE245-AD245</f>
        <v>0</v>
      </c>
      <c r="AF294" s="268">
        <f>AF245-AE245</f>
        <v>0</v>
      </c>
      <c r="AG294" s="268">
        <f>SUM(AC294:AF294)</f>
        <v>0</v>
      </c>
      <c r="AH294" s="268">
        <f>AH245-AG245</f>
        <v>0</v>
      </c>
      <c r="AI294" s="268">
        <f>AI245-AH245</f>
        <v>0</v>
      </c>
      <c r="AJ294" s="268">
        <f>AJ245-AI245</f>
        <v>0</v>
      </c>
      <c r="AK294" s="268">
        <f>AK245-AJ245</f>
        <v>0</v>
      </c>
      <c r="AL294" s="268">
        <f>SUM(AH294:AK294)</f>
        <v>0</v>
      </c>
      <c r="AM294" s="268">
        <f>AM245-AL245</f>
        <v>0</v>
      </c>
      <c r="AN294" s="268">
        <f>AN245-AM245</f>
        <v>0</v>
      </c>
      <c r="AO294" s="268">
        <f>AO245-AN245</f>
        <v>0</v>
      </c>
      <c r="AP294" s="268">
        <f>AP245-AO245</f>
        <v>0</v>
      </c>
      <c r="AQ294" s="268">
        <f>SUM(AM294:AP294)</f>
        <v>0</v>
      </c>
      <c r="AR294" s="268">
        <f>AR245-AQ245</f>
        <v>0</v>
      </c>
      <c r="AS294" s="268">
        <f>AS245-AR245</f>
        <v>0</v>
      </c>
      <c r="AT294" s="268">
        <f>AT245-AS245</f>
        <v>0</v>
      </c>
      <c r="AU294" s="268">
        <f>AU245-AT245</f>
        <v>0</v>
      </c>
      <c r="AV294" s="268">
        <f>SUM(AR294:AU294)</f>
        <v>0</v>
      </c>
      <c r="AW294" s="268">
        <f>AW245-AV245</f>
        <v>0</v>
      </c>
      <c r="AX294" s="268">
        <f>AX245-AW245</f>
        <v>0</v>
      </c>
      <c r="AY294" s="268">
        <f>AY245-AX245</f>
        <v>0</v>
      </c>
      <c r="AZ294" s="268">
        <f>AZ245-AY245</f>
        <v>0</v>
      </c>
      <c r="BA294" s="268">
        <f>SUM(AW294:AZ294)</f>
        <v>0</v>
      </c>
      <c r="BB294" s="268">
        <f>BB245-BA245</f>
        <v>0</v>
      </c>
      <c r="BC294" s="268">
        <f>BC245-BB245</f>
        <v>0</v>
      </c>
      <c r="BD294" s="268">
        <f>BD245-BC245</f>
        <v>0</v>
      </c>
      <c r="BE294" s="268">
        <f>BE245-BD245</f>
        <v>0</v>
      </c>
      <c r="BF294" s="268">
        <f>SUM(BB294:BE294)</f>
        <v>0</v>
      </c>
      <c r="BG294" s="268">
        <f>BG245-BF245</f>
        <v>0</v>
      </c>
      <c r="BH294" s="268">
        <f>BH245-BG245</f>
        <v>0</v>
      </c>
      <c r="BI294" s="268">
        <f>BI245-BH245</f>
        <v>0</v>
      </c>
      <c r="BJ294" s="268">
        <f>BJ245-BI245</f>
        <v>0</v>
      </c>
      <c r="BK294" s="268">
        <f>SUM(BG294:BJ294)</f>
        <v>0</v>
      </c>
      <c r="BL294" s="268">
        <f>BL245-BK245</f>
        <v>0</v>
      </c>
      <c r="BM294" s="268">
        <f>BM245-BL245</f>
        <v>0</v>
      </c>
      <c r="BN294" s="268">
        <f>BN245-BM245</f>
        <v>0</v>
      </c>
      <c r="BO294" s="268">
        <f>BO245-BN245</f>
        <v>0</v>
      </c>
      <c r="BP294" s="268">
        <f>SUM(BL294:BO294)</f>
        <v>0</v>
      </c>
      <c r="BQ294" s="268">
        <f>BQ245-BP245</f>
        <v>0</v>
      </c>
      <c r="BR294" s="268">
        <f>BR245-BQ245</f>
        <v>0</v>
      </c>
      <c r="BS294" s="268">
        <f>BS245-BR245</f>
        <v>0</v>
      </c>
      <c r="BT294" s="268">
        <f>BT245-BS245</f>
        <v>0</v>
      </c>
      <c r="BU294" s="268">
        <f>SUM(BQ294:BT294)</f>
        <v>0</v>
      </c>
      <c r="BV294" s="268">
        <f>BV245-BU245</f>
        <v>0</v>
      </c>
      <c r="BW294" s="268">
        <f>BW245-BV245</f>
        <v>0</v>
      </c>
      <c r="BX294" s="268">
        <f>BX245-BW245</f>
        <v>0</v>
      </c>
      <c r="BY294" s="268">
        <f>BY245-BX245</f>
        <v>0</v>
      </c>
      <c r="BZ294" s="268">
        <f>SUM(BV294:BY294)</f>
        <v>0</v>
      </c>
      <c r="CA294" s="268">
        <f>CA245-BZ245</f>
        <v>0</v>
      </c>
      <c r="CB294" s="268">
        <f>CB245-CA245</f>
        <v>0</v>
      </c>
      <c r="CC294" s="268">
        <f>CC245-CB245</f>
        <v>0</v>
      </c>
      <c r="CD294" s="268">
        <f>CD245-CC245</f>
        <v>0</v>
      </c>
      <c r="CE294" s="268">
        <f>SUM(CA294:CD294)</f>
        <v>0</v>
      </c>
      <c r="CF294" s="268">
        <f>CF245-CE245</f>
        <v>0</v>
      </c>
      <c r="CG294" s="268">
        <f>CG245-CF245</f>
        <v>0</v>
      </c>
      <c r="CH294" s="268">
        <f>CH245-CG245</f>
        <v>0</v>
      </c>
      <c r="CI294" s="268">
        <f>CI245-CH245</f>
        <v>0</v>
      </c>
      <c r="CJ294" s="268">
        <f>SUM(CF294:CI294)</f>
        <v>0</v>
      </c>
      <c r="CK294" s="268">
        <f>CK245-CJ245</f>
        <v>0</v>
      </c>
      <c r="CL294" s="268">
        <f>CL245-CK245</f>
        <v>0</v>
      </c>
      <c r="CM294" s="268">
        <f>CM245-CL245</f>
        <v>0</v>
      </c>
      <c r="CN294" s="268">
        <f>CN245-CM245</f>
        <v>0</v>
      </c>
      <c r="CO294" s="268">
        <f>SUM(CK294:CN294)</f>
        <v>0</v>
      </c>
      <c r="CP294" s="268">
        <f>CP245-CO245</f>
        <v>0</v>
      </c>
      <c r="CQ294" s="268">
        <f>CQ245-CP245</f>
        <v>0</v>
      </c>
      <c r="CR294" s="268">
        <f>CR245-CQ245</f>
        <v>0</v>
      </c>
      <c r="CS294" s="268">
        <f>CS245-CR245</f>
        <v>0</v>
      </c>
      <c r="CT294" s="268">
        <f>SUM(CP294:CS294)</f>
        <v>0</v>
      </c>
      <c r="CU294" s="268">
        <f>CU245-CT245</f>
        <v>0</v>
      </c>
      <c r="CV294" s="268">
        <f>CV245-CU245</f>
        <v>0</v>
      </c>
      <c r="CW294" s="268">
        <f>CW245-CV245</f>
        <v>0</v>
      </c>
      <c r="CX294" s="268">
        <f>CX245-CW245</f>
        <v>0</v>
      </c>
      <c r="CY294" s="268">
        <f>SUM(CU294:CX294)</f>
        <v>0</v>
      </c>
    </row>
    <row r="295" ht="12.75" customHeight="1" s="255">
      <c r="C295" s="270" t="inlineStr">
        <is>
          <t>Common stock and APIC</t>
        </is>
      </c>
      <c r="D295" s="268" t="n"/>
      <c r="E295" s="268">
        <f>E246-D246</f>
        <v>30</v>
      </c>
      <c r="F295" s="268">
        <f>F246-E246</f>
        <v>29</v>
      </c>
      <c r="G295" s="268">
        <f>G246-F246</f>
        <v>104</v>
      </c>
      <c r="H295" s="268">
        <f>SUM(D295:G295)</f>
        <v>163</v>
      </c>
      <c r="I295" s="268">
        <f>I246-H246</f>
        <v>44</v>
      </c>
      <c r="J295" s="268">
        <f>J246-I246</f>
        <v>4</v>
      </c>
      <c r="K295" s="268">
        <f>K246-J246</f>
        <v>-61</v>
      </c>
      <c r="L295" s="268">
        <f>L246-K246</f>
        <v>-148</v>
      </c>
      <c r="M295" s="268">
        <f>SUM(I295:L295)</f>
        <v>-161</v>
      </c>
      <c r="N295" s="268">
        <f>N246-M246</f>
        <v>-39</v>
      </c>
      <c r="O295" s="268">
        <f>O246-N246</f>
        <v>-174</v>
      </c>
      <c r="P295" s="268">
        <f>P246-O246</f>
        <v>-178</v>
      </c>
      <c r="Q295" s="268">
        <f>Q246-P246</f>
        <v>-161</v>
      </c>
      <c r="R295" s="268">
        <f>SUM(N295:Q295)</f>
        <v>-552</v>
      </c>
      <c r="S295" s="268">
        <f>S246-R246</f>
        <v>-94</v>
      </c>
      <c r="T295" s="268">
        <f>T246-S246</f>
        <v>-199</v>
      </c>
      <c r="U295" s="268">
        <f>U246-T246</f>
        <v>-195</v>
      </c>
      <c r="V295" s="268">
        <f>V246-U246</f>
        <v>-196</v>
      </c>
      <c r="W295" s="268">
        <f>SUM(S295:V295)</f>
        <v>-684</v>
      </c>
      <c r="X295" s="268">
        <f>X246-W246</f>
        <v>-149</v>
      </c>
      <c r="Y295" s="268">
        <f>Y246-X246</f>
        <v>-167</v>
      </c>
      <c r="Z295" s="268">
        <f>Z246-Y246</f>
        <v>-324</v>
      </c>
      <c r="AA295" s="268">
        <f>AA246-Z246</f>
        <v>-200</v>
      </c>
      <c r="AB295" s="268">
        <f>SUM(X295:AA295)</f>
        <v>-840</v>
      </c>
      <c r="AC295" s="268">
        <f>AC246-AB246</f>
        <v>-169</v>
      </c>
      <c r="AD295" s="268">
        <f>AD246-AC246</f>
        <v>15</v>
      </c>
      <c r="AE295" s="268">
        <f>AE246-AD246</f>
        <v>18</v>
      </c>
      <c r="AF295" s="268">
        <f>AF246-AE246</f>
        <v>20</v>
      </c>
      <c r="AG295" s="268">
        <f>SUM(AC295:AF295)</f>
        <v>-116</v>
      </c>
      <c r="AH295" s="268">
        <f>AH246-AG246</f>
        <v>33</v>
      </c>
      <c r="AI295" s="268">
        <f>AI246-AH246</f>
        <v>-54</v>
      </c>
      <c r="AJ295" s="268">
        <f>AJ246-AI246</f>
        <v>0</v>
      </c>
      <c r="AK295" s="268">
        <f>AK246-AJ246</f>
        <v>0</v>
      </c>
      <c r="AL295" s="268">
        <f>SUM(AH295:AK295)</f>
        <v>-21</v>
      </c>
      <c r="AM295" s="268">
        <f>AM246-AL246</f>
        <v>0</v>
      </c>
      <c r="AN295" s="268">
        <f>AN246-AM246</f>
        <v>0</v>
      </c>
      <c r="AO295" s="268">
        <f>AO246-AN246</f>
        <v>0</v>
      </c>
      <c r="AP295" s="268">
        <f>AP246-AO246</f>
        <v>0</v>
      </c>
      <c r="AQ295" s="268">
        <f>SUM(AM295:AP295)</f>
        <v>0</v>
      </c>
      <c r="AR295" s="268">
        <f>AR246-AQ246</f>
        <v>0</v>
      </c>
      <c r="AS295" s="268">
        <f>AS246-AR246</f>
        <v>0</v>
      </c>
      <c r="AT295" s="268">
        <f>AT246-AS246</f>
        <v>0</v>
      </c>
      <c r="AU295" s="268">
        <f>AU246-AT246</f>
        <v>0</v>
      </c>
      <c r="AV295" s="268">
        <f>SUM(AR295:AU295)</f>
        <v>0</v>
      </c>
      <c r="AW295" s="268">
        <f>AW246-AV246</f>
        <v>0</v>
      </c>
      <c r="AX295" s="268">
        <f>AX246-AW246</f>
        <v>0</v>
      </c>
      <c r="AY295" s="268">
        <f>AY246-AX246</f>
        <v>0</v>
      </c>
      <c r="AZ295" s="268">
        <f>AZ246-AY246</f>
        <v>0</v>
      </c>
      <c r="BA295" s="268">
        <f>SUM(AW295:AZ295)</f>
        <v>0</v>
      </c>
      <c r="BB295" s="268">
        <f>BB246-BA246</f>
        <v>0</v>
      </c>
      <c r="BC295" s="268">
        <f>BC246-BB246</f>
        <v>0</v>
      </c>
      <c r="BD295" s="268">
        <f>BD246-BC246</f>
        <v>0</v>
      </c>
      <c r="BE295" s="268">
        <f>BE246-BD246</f>
        <v>0</v>
      </c>
      <c r="BF295" s="268">
        <f>SUM(BB295:BE295)</f>
        <v>0</v>
      </c>
      <c r="BG295" s="268">
        <f>BG246-BF246</f>
        <v>0</v>
      </c>
      <c r="BH295" s="268">
        <f>BH246-BG246</f>
        <v>0</v>
      </c>
      <c r="BI295" s="268">
        <f>BI246-BH246</f>
        <v>0</v>
      </c>
      <c r="BJ295" s="268">
        <f>BJ246-BI246</f>
        <v>0</v>
      </c>
      <c r="BK295" s="268">
        <f>SUM(BG295:BJ295)</f>
        <v>0</v>
      </c>
      <c r="BL295" s="268">
        <f>BL246-BK246</f>
        <v>0</v>
      </c>
      <c r="BM295" s="268">
        <f>BM246-BL246</f>
        <v>0</v>
      </c>
      <c r="BN295" s="268">
        <f>BN246-BM246</f>
        <v>0</v>
      </c>
      <c r="BO295" s="268">
        <f>BO246-BN246</f>
        <v>0</v>
      </c>
      <c r="BP295" s="268">
        <f>SUM(BL295:BO295)</f>
        <v>0</v>
      </c>
      <c r="BQ295" s="268">
        <f>BQ246-BP246</f>
        <v>0</v>
      </c>
      <c r="BR295" s="268">
        <f>BR246-BQ246</f>
        <v>0</v>
      </c>
      <c r="BS295" s="268">
        <f>BS246-BR246</f>
        <v>0</v>
      </c>
      <c r="BT295" s="268">
        <f>BT246-BS246</f>
        <v>0</v>
      </c>
      <c r="BU295" s="268">
        <f>SUM(BQ295:BT295)</f>
        <v>0</v>
      </c>
      <c r="BV295" s="268">
        <f>BV246-BU246</f>
        <v>0</v>
      </c>
      <c r="BW295" s="268">
        <f>BW246-BV246</f>
        <v>0</v>
      </c>
      <c r="BX295" s="268">
        <f>BX246-BW246</f>
        <v>0</v>
      </c>
      <c r="BY295" s="268">
        <f>BY246-BX246</f>
        <v>0</v>
      </c>
      <c r="BZ295" s="268">
        <f>SUM(BV295:BY295)</f>
        <v>0</v>
      </c>
      <c r="CA295" s="268">
        <f>CA246-BZ246</f>
        <v>0</v>
      </c>
      <c r="CB295" s="268">
        <f>CB246-CA246</f>
        <v>0</v>
      </c>
      <c r="CC295" s="268">
        <f>CC246-CB246</f>
        <v>0</v>
      </c>
      <c r="CD295" s="268">
        <f>CD246-CC246</f>
        <v>0</v>
      </c>
      <c r="CE295" s="268">
        <f>SUM(CA295:CD295)</f>
        <v>0</v>
      </c>
      <c r="CF295" s="268">
        <f>CF246-CE246</f>
        <v>0</v>
      </c>
      <c r="CG295" s="268">
        <f>CG246-CF246</f>
        <v>0</v>
      </c>
      <c r="CH295" s="268">
        <f>CH246-CG246</f>
        <v>0</v>
      </c>
      <c r="CI295" s="268">
        <f>CI246-CH246</f>
        <v>0</v>
      </c>
      <c r="CJ295" s="268">
        <f>SUM(CF295:CI295)</f>
        <v>0</v>
      </c>
      <c r="CK295" s="268">
        <f>CK246-CJ246</f>
        <v>0</v>
      </c>
      <c r="CL295" s="268">
        <f>CL246-CK246</f>
        <v>0</v>
      </c>
      <c r="CM295" s="268">
        <f>CM246-CL246</f>
        <v>0</v>
      </c>
      <c r="CN295" s="268">
        <f>CN246-CM246</f>
        <v>0</v>
      </c>
      <c r="CO295" s="268">
        <f>SUM(CK295:CN295)</f>
        <v>0</v>
      </c>
      <c r="CP295" s="268">
        <f>CP246-CO246</f>
        <v>0</v>
      </c>
      <c r="CQ295" s="268">
        <f>CQ246-CP246</f>
        <v>0</v>
      </c>
      <c r="CR295" s="268">
        <f>CR246-CQ246</f>
        <v>0</v>
      </c>
      <c r="CS295" s="268">
        <f>CS246-CR246</f>
        <v>0</v>
      </c>
      <c r="CT295" s="268">
        <f>SUM(CP295:CS295)</f>
        <v>0</v>
      </c>
      <c r="CU295" s="268">
        <f>CU246-CT246</f>
        <v>0</v>
      </c>
      <c r="CV295" s="268">
        <f>CV246-CU246</f>
        <v>0</v>
      </c>
      <c r="CW295" s="268">
        <f>CW246-CV246</f>
        <v>0</v>
      </c>
      <c r="CX295" s="268">
        <f>CX246-CW246</f>
        <v>0</v>
      </c>
      <c r="CY295" s="268">
        <f>SUM(CU295:CX295)</f>
        <v>0</v>
      </c>
    </row>
    <row r="296" ht="12.75" customHeight="1" s="255">
      <c r="C296" s="270" t="inlineStr">
        <is>
          <t>Treasury stock repurchases</t>
        </is>
      </c>
      <c r="D296" s="268" t="n"/>
      <c r="E296" s="268">
        <f>E259-D259</f>
        <v>0</v>
      </c>
      <c r="F296" s="268">
        <f>F259-E259</f>
        <v>0</v>
      </c>
      <c r="G296" s="268">
        <f>G259-F259</f>
        <v>-19</v>
      </c>
      <c r="H296" s="268">
        <f>SUM(D296:G296)</f>
        <v>-19</v>
      </c>
      <c r="I296" s="268">
        <f>I259-H259</f>
        <v>-19</v>
      </c>
      <c r="J296" s="268">
        <f>J259-I259</f>
        <v>0</v>
      </c>
      <c r="K296" s="268">
        <f>K259-J259</f>
        <v>0</v>
      </c>
      <c r="L296" s="268">
        <f>L259-K259</f>
        <v>-515</v>
      </c>
      <c r="M296" s="268">
        <f>SUM(I296:L296)</f>
        <v>-534</v>
      </c>
      <c r="N296" s="268">
        <f>N259-M259</f>
        <v>-603</v>
      </c>
      <c r="O296" s="268">
        <f>O259-N259</f>
        <v>-644</v>
      </c>
      <c r="P296" s="268">
        <f>P259-O259</f>
        <v>-162</v>
      </c>
      <c r="Q296" s="268">
        <f>Q259-P259</f>
        <v>0</v>
      </c>
      <c r="R296" s="268">
        <f>SUM(N296:Q296)</f>
        <v>-1409</v>
      </c>
      <c r="S296" s="268">
        <f>S259-R259</f>
        <v>-68</v>
      </c>
      <c r="T296" s="268">
        <f>T259-S259</f>
        <v>0</v>
      </c>
      <c r="U296" s="268">
        <f>U259-T259</f>
        <v>-3</v>
      </c>
      <c r="V296" s="268">
        <f>V259-U259</f>
        <v>-1</v>
      </c>
      <c r="W296" s="268">
        <f>SUM(S296:V296)</f>
        <v>-72</v>
      </c>
      <c r="X296" s="268">
        <f>X259-W259</f>
        <v>-44</v>
      </c>
      <c r="Y296" s="268">
        <f>Y259-X259</f>
        <v>-18</v>
      </c>
      <c r="Z296" s="268">
        <f>Z259-Y259</f>
        <v>-59</v>
      </c>
      <c r="AA296" s="268">
        <f>AA259-Z259</f>
        <v>0</v>
      </c>
      <c r="AB296" s="268">
        <f>SUM(X296:AA296)</f>
        <v>-121</v>
      </c>
      <c r="AC296" s="268">
        <f>AC259-AB259</f>
        <v>-77</v>
      </c>
      <c r="AD296" s="268">
        <f>AD259-AC259</f>
        <v>-53</v>
      </c>
      <c r="AE296" s="268">
        <f>AE259-AD259</f>
        <v>0</v>
      </c>
      <c r="AF296" s="268">
        <f>AF259-AE259</f>
        <v>0</v>
      </c>
      <c r="AG296" s="268">
        <f>SUM(AC296:AF296)</f>
        <v>-130</v>
      </c>
      <c r="AH296" s="268">
        <f>AH259-AG259</f>
        <v>-93</v>
      </c>
      <c r="AI296" s="268">
        <f>AI259-AH259</f>
        <v>-110</v>
      </c>
      <c r="AJ296" s="268">
        <f>AJ259-AI259</f>
        <v>0</v>
      </c>
      <c r="AK296" s="268">
        <f>AK259-AJ259</f>
        <v>0</v>
      </c>
      <c r="AL296" s="268">
        <f>SUM(AH296:AK296)</f>
        <v>-203</v>
      </c>
      <c r="AM296" s="268">
        <f>AM259-AL259</f>
        <v>0</v>
      </c>
      <c r="AN296" s="268">
        <f>AN259-AM259</f>
        <v>0</v>
      </c>
      <c r="AO296" s="268">
        <f>AO259-AN259</f>
        <v>0</v>
      </c>
      <c r="AP296" s="268">
        <f>AP259-AO259</f>
        <v>0</v>
      </c>
      <c r="AQ296" s="268">
        <f>SUM(AM296:AP296)</f>
        <v>0</v>
      </c>
      <c r="AR296" s="268">
        <f>AR259-AQ259</f>
        <v>0</v>
      </c>
      <c r="AS296" s="268">
        <f>AS259-AR259</f>
        <v>0</v>
      </c>
      <c r="AT296" s="268">
        <f>AT259-AS259</f>
        <v>0</v>
      </c>
      <c r="AU296" s="268">
        <f>AU259-AT259</f>
        <v>0</v>
      </c>
      <c r="AV296" s="268">
        <f>SUM(AR296:AU296)</f>
        <v>0</v>
      </c>
      <c r="AW296" s="268">
        <f>AW259-AV259</f>
        <v>0</v>
      </c>
      <c r="AX296" s="268">
        <f>AX259-AW259</f>
        <v>0</v>
      </c>
      <c r="AY296" s="268">
        <f>AY259-AX259</f>
        <v>0</v>
      </c>
      <c r="AZ296" s="268">
        <f>AZ259-AY259</f>
        <v>0</v>
      </c>
      <c r="BA296" s="268">
        <f>SUM(AW296:AZ296)</f>
        <v>0</v>
      </c>
      <c r="BB296" s="268">
        <f>BB259-BA259</f>
        <v>0</v>
      </c>
      <c r="BC296" s="268">
        <f>BC259-BB259</f>
        <v>0</v>
      </c>
      <c r="BD296" s="268">
        <f>BD259-BC259</f>
        <v>0</v>
      </c>
      <c r="BE296" s="268">
        <f>BE259-BD259</f>
        <v>0</v>
      </c>
      <c r="BF296" s="268">
        <f>SUM(BB296:BE296)</f>
        <v>0</v>
      </c>
      <c r="BG296" s="268">
        <f>BG259-BF259</f>
        <v>0</v>
      </c>
      <c r="BH296" s="268">
        <f>BH259-BG259</f>
        <v>0</v>
      </c>
      <c r="BI296" s="268">
        <f>BI259-BH259</f>
        <v>0</v>
      </c>
      <c r="BJ296" s="268">
        <f>BJ259-BI259</f>
        <v>0</v>
      </c>
      <c r="BK296" s="268">
        <f>SUM(BG296:BJ296)</f>
        <v>0</v>
      </c>
      <c r="BL296" s="268">
        <f>BL259-BK259</f>
        <v>0</v>
      </c>
      <c r="BM296" s="268">
        <f>BM259-BL259</f>
        <v>0</v>
      </c>
      <c r="BN296" s="268">
        <f>BN259-BM259</f>
        <v>0</v>
      </c>
      <c r="BO296" s="268">
        <f>BO259-BN259</f>
        <v>0</v>
      </c>
      <c r="BP296" s="268">
        <f>SUM(BL296:BO296)</f>
        <v>0</v>
      </c>
      <c r="BQ296" s="268">
        <f>BQ259-BP259</f>
        <v>0</v>
      </c>
      <c r="BR296" s="268">
        <f>BR259-BQ259</f>
        <v>0</v>
      </c>
      <c r="BS296" s="268">
        <f>BS259-BR259</f>
        <v>0</v>
      </c>
      <c r="BT296" s="268">
        <f>BT259-BS259</f>
        <v>0</v>
      </c>
      <c r="BU296" s="268">
        <f>SUM(BQ296:BT296)</f>
        <v>0</v>
      </c>
      <c r="BV296" s="268">
        <f>BV259-BU259</f>
        <v>0</v>
      </c>
      <c r="BW296" s="268">
        <f>BW259-BV259</f>
        <v>0</v>
      </c>
      <c r="BX296" s="268">
        <f>BX259-BW259</f>
        <v>0</v>
      </c>
      <c r="BY296" s="268">
        <f>BY259-BX259</f>
        <v>0</v>
      </c>
      <c r="BZ296" s="268">
        <f>SUM(BV296:BY296)</f>
        <v>0</v>
      </c>
      <c r="CA296" s="268">
        <f>CA259-BZ259</f>
        <v>0</v>
      </c>
      <c r="CB296" s="268">
        <f>CB259-CA259</f>
        <v>0</v>
      </c>
      <c r="CC296" s="268">
        <f>CC259-CB259</f>
        <v>0</v>
      </c>
      <c r="CD296" s="268">
        <f>CD259-CC259</f>
        <v>0</v>
      </c>
      <c r="CE296" s="268">
        <f>SUM(CA296:CD296)</f>
        <v>0</v>
      </c>
      <c r="CF296" s="268">
        <f>CF259-CE259</f>
        <v>0</v>
      </c>
      <c r="CG296" s="268">
        <f>CG259-CF259</f>
        <v>0</v>
      </c>
      <c r="CH296" s="268">
        <f>CH259-CG259</f>
        <v>0</v>
      </c>
      <c r="CI296" s="268">
        <f>CI259-CH259</f>
        <v>0</v>
      </c>
      <c r="CJ296" s="268">
        <f>SUM(CF296:CI296)</f>
        <v>0</v>
      </c>
      <c r="CK296" s="268">
        <f>CK259-CJ259</f>
        <v>0</v>
      </c>
      <c r="CL296" s="268">
        <f>CL259-CK259</f>
        <v>0</v>
      </c>
      <c r="CM296" s="268">
        <f>CM259-CL259</f>
        <v>0</v>
      </c>
      <c r="CN296" s="268">
        <f>CN259-CM259</f>
        <v>0</v>
      </c>
      <c r="CO296" s="268">
        <f>SUM(CK296:CN296)</f>
        <v>0</v>
      </c>
      <c r="CP296" s="268">
        <f>CP259-CO259</f>
        <v>0</v>
      </c>
      <c r="CQ296" s="268">
        <f>CQ259-CP259</f>
        <v>0</v>
      </c>
      <c r="CR296" s="268">
        <f>CR259-CQ259</f>
        <v>0</v>
      </c>
      <c r="CS296" s="268">
        <f>CS259-CR259</f>
        <v>0</v>
      </c>
      <c r="CT296" s="268">
        <f>SUM(CP296:CS296)</f>
        <v>0</v>
      </c>
      <c r="CU296" s="268">
        <f>CU259-CT259</f>
        <v>0</v>
      </c>
      <c r="CV296" s="268">
        <f>CV259-CU259</f>
        <v>0</v>
      </c>
      <c r="CW296" s="268">
        <f>CW259-CV259</f>
        <v>0</v>
      </c>
      <c r="CX296" s="268">
        <f>CX259-CW259</f>
        <v>0</v>
      </c>
      <c r="CY296" s="268">
        <f>SUM(CU296:CX296)</f>
        <v>0</v>
      </c>
    </row>
    <row r="297" ht="12.75" customHeight="1" s="255">
      <c r="C297" s="270" t="inlineStr">
        <is>
          <t>Comprehensive accumulated loss</t>
        </is>
      </c>
      <c r="D297" s="268" t="n"/>
      <c r="E297" s="268">
        <f>E260-D260</f>
        <v>16</v>
      </c>
      <c r="F297" s="268">
        <f>F260-E260</f>
        <v>-76</v>
      </c>
      <c r="G297" s="268">
        <f>G260-F260</f>
        <v>145</v>
      </c>
      <c r="H297" s="268">
        <f>SUM(D297:G297)</f>
        <v>85</v>
      </c>
      <c r="I297" s="268">
        <f>I260-H260</f>
        <v>3</v>
      </c>
      <c r="J297" s="268">
        <f>J260-I260</f>
        <v>4</v>
      </c>
      <c r="K297" s="268">
        <f>K260-J260</f>
        <v>4</v>
      </c>
      <c r="L297" s="268">
        <f>L260-K260</f>
        <v>184</v>
      </c>
      <c r="M297" s="268">
        <f>SUM(I297:L297)</f>
        <v>195</v>
      </c>
      <c r="N297" s="268">
        <f>N260-M260</f>
        <v>1</v>
      </c>
      <c r="O297" s="268">
        <f>O260-N260</f>
        <v>1</v>
      </c>
      <c r="P297" s="268">
        <f>P260-O260</f>
        <v>1</v>
      </c>
      <c r="Q297" s="268">
        <f>Q260-P260</f>
        <v>65</v>
      </c>
      <c r="R297" s="268">
        <f>SUM(N297:Q297)</f>
        <v>68</v>
      </c>
      <c r="S297" s="268">
        <f>S260-R260</f>
        <v>1</v>
      </c>
      <c r="T297" s="268">
        <f>T260-S260</f>
        <v>1</v>
      </c>
      <c r="U297" s="268">
        <f>U260-T260</f>
        <v>1</v>
      </c>
      <c r="V297" s="268">
        <f>V260-U260</f>
        <v>43</v>
      </c>
      <c r="W297" s="268">
        <f>SUM(S297:V297)</f>
        <v>46</v>
      </c>
      <c r="X297" s="268">
        <f>X260-W260</f>
        <v>0</v>
      </c>
      <c r="Y297" s="268">
        <f>Y260-X260</f>
        <v>0</v>
      </c>
      <c r="Z297" s="268">
        <f>Z260-Y260</f>
        <v>1</v>
      </c>
      <c r="AA297" s="268">
        <f>AA260-Z260</f>
        <v>-41</v>
      </c>
      <c r="AB297" s="268">
        <f>SUM(X297:AA297)</f>
        <v>-40</v>
      </c>
      <c r="AC297" s="268">
        <f>AC260-AB260</f>
        <v>1</v>
      </c>
      <c r="AD297" s="268">
        <f>AD260-AC260</f>
        <v>2</v>
      </c>
      <c r="AE297" s="268">
        <f>AE260-AD260</f>
        <v>1</v>
      </c>
      <c r="AF297" s="268">
        <f>AF260-AE260</f>
        <v>5</v>
      </c>
      <c r="AG297" s="268">
        <f>SUM(AC297:AF297)</f>
        <v>9</v>
      </c>
      <c r="AH297" s="268">
        <f>AH260-AG260</f>
        <v>1</v>
      </c>
      <c r="AI297" s="268">
        <f>AI260-AH260</f>
        <v>1</v>
      </c>
      <c r="AJ297" s="268">
        <f>AJ260-AI260</f>
        <v>0</v>
      </c>
      <c r="AK297" s="268">
        <f>AK260-AJ260</f>
        <v>0</v>
      </c>
      <c r="AL297" s="268">
        <f>SUM(AH297:AK297)</f>
        <v>2</v>
      </c>
      <c r="AM297" s="268">
        <f>AM260-AL260</f>
        <v>0</v>
      </c>
      <c r="AN297" s="268">
        <f>AN260-AM260</f>
        <v>0</v>
      </c>
      <c r="AO297" s="268">
        <f>AO260-AN260</f>
        <v>0</v>
      </c>
      <c r="AP297" s="268">
        <f>AP260-AO260</f>
        <v>0</v>
      </c>
      <c r="AQ297" s="268">
        <f>SUM(AM297:AP297)</f>
        <v>0</v>
      </c>
      <c r="AR297" s="268">
        <f>AR260-AQ260</f>
        <v>0</v>
      </c>
      <c r="AS297" s="268">
        <f>AS260-AR260</f>
        <v>0</v>
      </c>
      <c r="AT297" s="268">
        <f>AT260-AS260</f>
        <v>0</v>
      </c>
      <c r="AU297" s="268">
        <f>AU260-AT260</f>
        <v>0</v>
      </c>
      <c r="AV297" s="268">
        <f>SUM(AR297:AU297)</f>
        <v>0</v>
      </c>
      <c r="AW297" s="268">
        <f>AW260-AV260</f>
        <v>0</v>
      </c>
      <c r="AX297" s="268">
        <f>AX260-AW260</f>
        <v>0</v>
      </c>
      <c r="AY297" s="268">
        <f>AY260-AX260</f>
        <v>0</v>
      </c>
      <c r="AZ297" s="268">
        <f>AZ260-AY260</f>
        <v>0</v>
      </c>
      <c r="BA297" s="268">
        <f>SUM(AW297:AZ297)</f>
        <v>0</v>
      </c>
      <c r="BB297" s="268">
        <f>BB260-BA260</f>
        <v>0</v>
      </c>
      <c r="BC297" s="268">
        <f>BC260-BB260</f>
        <v>0</v>
      </c>
      <c r="BD297" s="268">
        <f>BD260-BC260</f>
        <v>0</v>
      </c>
      <c r="BE297" s="268">
        <f>BE260-BD260</f>
        <v>0</v>
      </c>
      <c r="BF297" s="268">
        <f>SUM(BB297:BE297)</f>
        <v>0</v>
      </c>
      <c r="BG297" s="268">
        <f>BG260-BF260</f>
        <v>0</v>
      </c>
      <c r="BH297" s="268">
        <f>BH260-BG260</f>
        <v>0</v>
      </c>
      <c r="BI297" s="268">
        <f>BI260-BH260</f>
        <v>0</v>
      </c>
      <c r="BJ297" s="268">
        <f>BJ260-BI260</f>
        <v>0</v>
      </c>
      <c r="BK297" s="268">
        <f>SUM(BG297:BJ297)</f>
        <v>0</v>
      </c>
      <c r="BL297" s="268">
        <f>BL260-BK260</f>
        <v>0</v>
      </c>
      <c r="BM297" s="268">
        <f>BM260-BL260</f>
        <v>0</v>
      </c>
      <c r="BN297" s="268">
        <f>BN260-BM260</f>
        <v>0</v>
      </c>
      <c r="BO297" s="268">
        <f>BO260-BN260</f>
        <v>0</v>
      </c>
      <c r="BP297" s="268">
        <f>SUM(BL297:BO297)</f>
        <v>0</v>
      </c>
      <c r="BQ297" s="268">
        <f>BQ260-BP260</f>
        <v>0</v>
      </c>
      <c r="BR297" s="268">
        <f>BR260-BQ260</f>
        <v>0</v>
      </c>
      <c r="BS297" s="268">
        <f>BS260-BR260</f>
        <v>0</v>
      </c>
      <c r="BT297" s="268">
        <f>BT260-BS260</f>
        <v>0</v>
      </c>
      <c r="BU297" s="268">
        <f>SUM(BQ297:BT297)</f>
        <v>0</v>
      </c>
      <c r="BV297" s="268">
        <f>BV260-BU260</f>
        <v>0</v>
      </c>
      <c r="BW297" s="268">
        <f>BW260-BV260</f>
        <v>0</v>
      </c>
      <c r="BX297" s="268">
        <f>BX260-BW260</f>
        <v>0</v>
      </c>
      <c r="BY297" s="268">
        <f>BY260-BX260</f>
        <v>0</v>
      </c>
      <c r="BZ297" s="268">
        <f>SUM(BV297:BY297)</f>
        <v>0</v>
      </c>
      <c r="CA297" s="268">
        <f>CA260-BZ260</f>
        <v>0</v>
      </c>
      <c r="CB297" s="268">
        <f>CB260-CA260</f>
        <v>0</v>
      </c>
      <c r="CC297" s="268">
        <f>CC260-CB260</f>
        <v>0</v>
      </c>
      <c r="CD297" s="268">
        <f>CD260-CC260</f>
        <v>0</v>
      </c>
      <c r="CE297" s="268">
        <f>SUM(CA297:CD297)</f>
        <v>0</v>
      </c>
      <c r="CF297" s="268">
        <f>CF260-CE260</f>
        <v>0</v>
      </c>
      <c r="CG297" s="268">
        <f>CG260-CF260</f>
        <v>0</v>
      </c>
      <c r="CH297" s="268">
        <f>CH260-CG260</f>
        <v>0</v>
      </c>
      <c r="CI297" s="268">
        <f>CI260-CH260</f>
        <v>0</v>
      </c>
      <c r="CJ297" s="268">
        <f>SUM(CF297:CI297)</f>
        <v>0</v>
      </c>
      <c r="CK297" s="268">
        <f>CK260-CJ260</f>
        <v>0</v>
      </c>
      <c r="CL297" s="268">
        <f>CL260-CK260</f>
        <v>0</v>
      </c>
      <c r="CM297" s="268">
        <f>CM260-CL260</f>
        <v>0</v>
      </c>
      <c r="CN297" s="268">
        <f>CN260-CM260</f>
        <v>0</v>
      </c>
      <c r="CO297" s="268">
        <f>SUM(CK297:CN297)</f>
        <v>0</v>
      </c>
      <c r="CP297" s="268">
        <f>CP260-CO260</f>
        <v>0</v>
      </c>
      <c r="CQ297" s="268">
        <f>CQ260-CP260</f>
        <v>0</v>
      </c>
      <c r="CR297" s="268">
        <f>CR260-CQ260</f>
        <v>0</v>
      </c>
      <c r="CS297" s="268">
        <f>CS260-CR260</f>
        <v>0</v>
      </c>
      <c r="CT297" s="268">
        <f>SUM(CP297:CS297)</f>
        <v>0</v>
      </c>
      <c r="CU297" s="268">
        <f>CU260-CT260</f>
        <v>0</v>
      </c>
      <c r="CV297" s="268">
        <f>CV260-CU260</f>
        <v>0</v>
      </c>
      <c r="CW297" s="268">
        <f>CW260-CV260</f>
        <v>0</v>
      </c>
      <c r="CX297" s="268">
        <f>CX260-CW260</f>
        <v>0</v>
      </c>
      <c r="CY297" s="268">
        <f>SUM(CU297:CX297)</f>
        <v>0</v>
      </c>
    </row>
    <row r="298" ht="12.75" customHeight="1" s="255">
      <c r="C298" s="270" t="inlineStr">
        <is>
          <t>Other equity account</t>
        </is>
      </c>
      <c r="D298" s="268" t="n"/>
      <c r="E298" s="268">
        <f>E261-D261</f>
        <v>0</v>
      </c>
      <c r="F298" s="268">
        <f>F261-E261</f>
        <v>0</v>
      </c>
      <c r="G298" s="268">
        <f>G261-F261</f>
        <v>0</v>
      </c>
      <c r="H298" s="268">
        <f>SUM(D298:G298)</f>
        <v>0</v>
      </c>
      <c r="I298" s="268">
        <f>I261-H261</f>
        <v>0</v>
      </c>
      <c r="J298" s="268">
        <f>J261-I261</f>
        <v>0</v>
      </c>
      <c r="K298" s="268">
        <f>K261-J261</f>
        <v>0</v>
      </c>
      <c r="L298" s="268">
        <f>L261-K261</f>
        <v>0</v>
      </c>
      <c r="M298" s="268">
        <f>SUM(I298:L298)</f>
        <v>0</v>
      </c>
      <c r="N298" s="268">
        <f>N261-M261</f>
        <v>0</v>
      </c>
      <c r="O298" s="268">
        <f>O261-N261</f>
        <v>0</v>
      </c>
      <c r="P298" s="268">
        <f>P261-O261</f>
        <v>0</v>
      </c>
      <c r="Q298" s="268">
        <f>Q261-P261</f>
        <v>0</v>
      </c>
      <c r="R298" s="268">
        <f>SUM(N298:Q298)</f>
        <v>0</v>
      </c>
      <c r="S298" s="268">
        <f>S261-R261</f>
        <v>0</v>
      </c>
      <c r="T298" s="268">
        <f>T261-S261</f>
        <v>0</v>
      </c>
      <c r="U298" s="268">
        <f>U261-T261</f>
        <v>0</v>
      </c>
      <c r="V298" s="268">
        <f>V261-U261</f>
        <v>0</v>
      </c>
      <c r="W298" s="268">
        <f>SUM(S298:V298)</f>
        <v>0</v>
      </c>
      <c r="X298" s="268">
        <f>X261-W261</f>
        <v>0</v>
      </c>
      <c r="Y298" s="268">
        <f>Y261-X261</f>
        <v>0</v>
      </c>
      <c r="Z298" s="268">
        <f>Z261-Y261</f>
        <v>0</v>
      </c>
      <c r="AA298" s="268">
        <f>AA261-Z261</f>
        <v>0</v>
      </c>
      <c r="AB298" s="268">
        <f>SUM(X298:AA298)</f>
        <v>0</v>
      </c>
      <c r="AC298" s="268">
        <f>AC261-AB261</f>
        <v>0</v>
      </c>
      <c r="AD298" s="268">
        <f>AD261-AC261</f>
        <v>0</v>
      </c>
      <c r="AE298" s="268">
        <f>AE261-AD261</f>
        <v>0</v>
      </c>
      <c r="AF298" s="268">
        <f>AF261-AE261</f>
        <v>0</v>
      </c>
      <c r="AG298" s="268">
        <f>SUM(AC298:AF298)</f>
        <v>0</v>
      </c>
      <c r="AH298" s="268">
        <f>AH261-AG261</f>
        <v>0</v>
      </c>
      <c r="AI298" s="268">
        <f>AI261-AH261</f>
        <v>0</v>
      </c>
      <c r="AJ298" s="268">
        <f>AJ261-AI261</f>
        <v>0</v>
      </c>
      <c r="AK298" s="268">
        <f>AK261-AJ261</f>
        <v>0</v>
      </c>
      <c r="AL298" s="268">
        <f>SUM(AH298:AK298)</f>
        <v>0</v>
      </c>
      <c r="AM298" s="268">
        <f>AM261-AL261</f>
        <v>0</v>
      </c>
      <c r="AN298" s="268">
        <f>AN261-AM261</f>
        <v>0</v>
      </c>
      <c r="AO298" s="268">
        <f>AO261-AN261</f>
        <v>0</v>
      </c>
      <c r="AP298" s="268">
        <f>AP261-AO261</f>
        <v>0</v>
      </c>
      <c r="AQ298" s="268">
        <f>SUM(AM298:AP298)</f>
        <v>0</v>
      </c>
      <c r="AR298" s="268">
        <f>AR261-AQ261</f>
        <v>0</v>
      </c>
      <c r="AS298" s="268">
        <f>AS261-AR261</f>
        <v>0</v>
      </c>
      <c r="AT298" s="268">
        <f>AT261-AS261</f>
        <v>0</v>
      </c>
      <c r="AU298" s="268">
        <f>AU261-AT261</f>
        <v>0</v>
      </c>
      <c r="AV298" s="268">
        <f>SUM(AR298:AU298)</f>
        <v>0</v>
      </c>
      <c r="AW298" s="268">
        <f>AW261-AV261</f>
        <v>0</v>
      </c>
      <c r="AX298" s="268">
        <f>AX261-AW261</f>
        <v>0</v>
      </c>
      <c r="AY298" s="268">
        <f>AY261-AX261</f>
        <v>0</v>
      </c>
      <c r="AZ298" s="268">
        <f>AZ261-AY261</f>
        <v>0</v>
      </c>
      <c r="BA298" s="268">
        <f>SUM(AW298:AZ298)</f>
        <v>0</v>
      </c>
      <c r="BB298" s="268">
        <f>BB261-BA261</f>
        <v>0</v>
      </c>
      <c r="BC298" s="268">
        <f>BC261-BB261</f>
        <v>0</v>
      </c>
      <c r="BD298" s="268">
        <f>BD261-BC261</f>
        <v>0</v>
      </c>
      <c r="BE298" s="268">
        <f>BE261-BD261</f>
        <v>0</v>
      </c>
      <c r="BF298" s="268">
        <f>SUM(BB298:BE298)</f>
        <v>0</v>
      </c>
      <c r="BG298" s="268">
        <f>BG261-BF261</f>
        <v>0</v>
      </c>
      <c r="BH298" s="268">
        <f>BH261-BG261</f>
        <v>0</v>
      </c>
      <c r="BI298" s="268">
        <f>BI261-BH261</f>
        <v>0</v>
      </c>
      <c r="BJ298" s="268">
        <f>BJ261-BI261</f>
        <v>0</v>
      </c>
      <c r="BK298" s="268">
        <f>SUM(BG298:BJ298)</f>
        <v>0</v>
      </c>
      <c r="BL298" s="268">
        <f>BL261-BK261</f>
        <v>0</v>
      </c>
      <c r="BM298" s="268">
        <f>BM261-BL261</f>
        <v>0</v>
      </c>
      <c r="BN298" s="268">
        <f>BN261-BM261</f>
        <v>0</v>
      </c>
      <c r="BO298" s="268">
        <f>BO261-BN261</f>
        <v>0</v>
      </c>
      <c r="BP298" s="268">
        <f>SUM(BL298:BO298)</f>
        <v>0</v>
      </c>
      <c r="BQ298" s="268">
        <f>BQ261-BP261</f>
        <v>0</v>
      </c>
      <c r="BR298" s="268">
        <f>BR261-BQ261</f>
        <v>0</v>
      </c>
      <c r="BS298" s="268">
        <f>BS261-BR261</f>
        <v>0</v>
      </c>
      <c r="BT298" s="268">
        <f>BT261-BS261</f>
        <v>0</v>
      </c>
      <c r="BU298" s="268">
        <f>SUM(BQ298:BT298)</f>
        <v>0</v>
      </c>
      <c r="BV298" s="268">
        <f>BV261-BU261</f>
        <v>0</v>
      </c>
      <c r="BW298" s="268">
        <f>BW261-BV261</f>
        <v>0</v>
      </c>
      <c r="BX298" s="268">
        <f>BX261-BW261</f>
        <v>0</v>
      </c>
      <c r="BY298" s="268">
        <f>BY261-BX261</f>
        <v>0</v>
      </c>
      <c r="BZ298" s="268">
        <f>SUM(BV298:BY298)</f>
        <v>0</v>
      </c>
      <c r="CA298" s="268">
        <f>CA261-BZ261</f>
        <v>0</v>
      </c>
      <c r="CB298" s="268">
        <f>CB261-CA261</f>
        <v>0</v>
      </c>
      <c r="CC298" s="268">
        <f>CC261-CB261</f>
        <v>0</v>
      </c>
      <c r="CD298" s="268">
        <f>CD261-CC261</f>
        <v>0</v>
      </c>
      <c r="CE298" s="268">
        <f>SUM(CA298:CD298)</f>
        <v>0</v>
      </c>
      <c r="CF298" s="268">
        <f>CF261-CE261</f>
        <v>0</v>
      </c>
      <c r="CG298" s="268">
        <f>CG261-CF261</f>
        <v>0</v>
      </c>
      <c r="CH298" s="268">
        <f>CH261-CG261</f>
        <v>0</v>
      </c>
      <c r="CI298" s="268">
        <f>CI261-CH261</f>
        <v>0</v>
      </c>
      <c r="CJ298" s="268">
        <f>SUM(CF298:CI298)</f>
        <v>0</v>
      </c>
      <c r="CK298" s="268">
        <f>CK261-CJ261</f>
        <v>0</v>
      </c>
      <c r="CL298" s="268">
        <f>CL261-CK261</f>
        <v>0</v>
      </c>
      <c r="CM298" s="268">
        <f>CM261-CL261</f>
        <v>0</v>
      </c>
      <c r="CN298" s="268">
        <f>CN261-CM261</f>
        <v>0</v>
      </c>
      <c r="CO298" s="268">
        <f>SUM(CK298:CN298)</f>
        <v>0</v>
      </c>
      <c r="CP298" s="268">
        <f>CP261-CO261</f>
        <v>0</v>
      </c>
      <c r="CQ298" s="268">
        <f>CQ261-CP261</f>
        <v>0</v>
      </c>
      <c r="CR298" s="268">
        <f>CR261-CQ261</f>
        <v>0</v>
      </c>
      <c r="CS298" s="268">
        <f>CS261-CR261</f>
        <v>0</v>
      </c>
      <c r="CT298" s="268">
        <f>SUM(CP298:CS298)</f>
        <v>0</v>
      </c>
      <c r="CU298" s="268">
        <f>CU261-CT261</f>
        <v>0</v>
      </c>
      <c r="CV298" s="268">
        <f>CV261-CU261</f>
        <v>0</v>
      </c>
      <c r="CW298" s="268">
        <f>CW261-CV261</f>
        <v>0</v>
      </c>
      <c r="CX298" s="268">
        <f>CX261-CW261</f>
        <v>0</v>
      </c>
      <c r="CY298" s="268">
        <f>SUM(CU298:CX298)</f>
        <v>0</v>
      </c>
    </row>
    <row r="299" ht="12.75" customHeight="1" s="255">
      <c r="C299" s="266" t="inlineStr">
        <is>
          <t>Common and preferred dividends</t>
        </is>
      </c>
      <c r="D299" s="268" t="n"/>
      <c r="E299" s="268">
        <f>(E262-D262)-E269</f>
        <v>0</v>
      </c>
      <c r="F299" s="268">
        <f>(F262-E262)-F269</f>
        <v>0</v>
      </c>
      <c r="G299" s="268">
        <f>(G262-F262)-G269</f>
        <v>0</v>
      </c>
      <c r="H299" s="268">
        <f>SUM(D299:G299)</f>
        <v>0</v>
      </c>
      <c r="I299" s="268">
        <f>(I262-H262)-I269</f>
        <v>0</v>
      </c>
      <c r="J299" s="268">
        <f>(J262-I262)-J269</f>
        <v>0</v>
      </c>
      <c r="K299" s="268">
        <f>(K262-J262)-K269</f>
        <v>0</v>
      </c>
      <c r="L299" s="268">
        <f>(L262-K262)-L269</f>
        <v>0</v>
      </c>
      <c r="M299" s="268">
        <f>SUM(I299:L299)</f>
        <v>0</v>
      </c>
      <c r="N299" s="268">
        <f>(N262-M262)-N269</f>
        <v>0</v>
      </c>
      <c r="O299" s="268">
        <f>(O262-N262)-O269</f>
        <v>0</v>
      </c>
      <c r="P299" s="268">
        <f>(P262-O262)-P269</f>
        <v>0</v>
      </c>
      <c r="Q299" s="268">
        <f>(Q262-P262)-Q269</f>
        <v>0</v>
      </c>
      <c r="R299" s="268">
        <f>SUM(N299:Q299)</f>
        <v>0</v>
      </c>
      <c r="S299" s="268">
        <f>(S262-R262)-S269</f>
        <v>0</v>
      </c>
      <c r="T299" s="268">
        <f>(T262-S262)-T269</f>
        <v>0</v>
      </c>
      <c r="U299" s="268">
        <f>(U262-T262)-U269</f>
        <v>0</v>
      </c>
      <c r="V299" s="268">
        <f>(V262-U262)-V269</f>
        <v>0</v>
      </c>
      <c r="W299" s="268">
        <f>SUM(S299:V299)</f>
        <v>0</v>
      </c>
      <c r="X299" s="268">
        <f>(X262-W262)-X269</f>
        <v>0</v>
      </c>
      <c r="Y299" s="268">
        <f>(Y262-X262)-Y269</f>
        <v>0</v>
      </c>
      <c r="Z299" s="268">
        <f>(Z262-Y262)-Z269</f>
        <v>0</v>
      </c>
      <c r="AA299" s="268">
        <f>(AA262-Z262)-AA269</f>
        <v>0</v>
      </c>
      <c r="AB299" s="268">
        <f>SUM(X299:AA299)</f>
        <v>0</v>
      </c>
      <c r="AC299" s="268">
        <f>(AC262-AB262)-AC269</f>
        <v>0</v>
      </c>
      <c r="AD299" s="268">
        <f>(AD262-AC262)-AD269</f>
        <v>-216</v>
      </c>
      <c r="AE299" s="268">
        <f>(AE262-AD262)-AE269</f>
        <v>-216</v>
      </c>
      <c r="AF299" s="268">
        <f>(AF262-AE262)-AF269</f>
        <v>-217</v>
      </c>
      <c r="AG299" s="268">
        <f>SUM(AC299:AF299)</f>
        <v>-649</v>
      </c>
      <c r="AH299" s="268">
        <f>(AH262-AG262)-AH269</f>
        <v>-216</v>
      </c>
      <c r="AI299" s="268">
        <f>(AI262-AH262)-AI269</f>
        <v>-217</v>
      </c>
      <c r="AJ299" s="268">
        <f>(AJ262-AI262)-AJ269</f>
        <v>0</v>
      </c>
      <c r="AK299" s="268">
        <f>(AK262-AJ262)-AK269</f>
        <v>0</v>
      </c>
      <c r="AL299" s="268">
        <f>SUM(AH299:AK299)</f>
        <v>-433</v>
      </c>
      <c r="AM299" s="268">
        <f>(AM262-AL262)-AM269</f>
        <v>0</v>
      </c>
      <c r="AN299" s="268">
        <f>(AN262-AM262)-AN269</f>
        <v>0</v>
      </c>
      <c r="AO299" s="268">
        <f>(AO262-AN262)-AO269</f>
        <v>0</v>
      </c>
      <c r="AP299" s="268">
        <f>(AP262-AO262)-AP269</f>
        <v>0</v>
      </c>
      <c r="AQ299" s="268">
        <f>SUM(AM299:AP299)</f>
        <v>0</v>
      </c>
      <c r="AR299" s="268">
        <f>(AR262-AQ262)-AR269</f>
        <v>0</v>
      </c>
      <c r="AS299" s="268">
        <f>(AS262-AR262)-AS269</f>
        <v>0</v>
      </c>
      <c r="AT299" s="268">
        <f>(AT262-AS262)-AT269</f>
        <v>0</v>
      </c>
      <c r="AU299" s="268">
        <f>(AU262-AT262)-AU269</f>
        <v>0</v>
      </c>
      <c r="AV299" s="268">
        <f>SUM(AR299:AU299)</f>
        <v>0</v>
      </c>
      <c r="AW299" s="268">
        <f>(AW262-AV262)-AW269</f>
        <v>0</v>
      </c>
      <c r="AX299" s="268">
        <f>(AX262-AW262)-AX269</f>
        <v>0</v>
      </c>
      <c r="AY299" s="268">
        <f>(AY262-AX262)-AY269</f>
        <v>0</v>
      </c>
      <c r="AZ299" s="268">
        <f>(AZ262-AY262)-AZ269</f>
        <v>0</v>
      </c>
      <c r="BA299" s="268">
        <f>SUM(AW299:AZ299)</f>
        <v>0</v>
      </c>
      <c r="BB299" s="268">
        <f>(BB262-BA262)-BB269</f>
        <v>0</v>
      </c>
      <c r="BC299" s="268">
        <f>(BC262-BB262)-BC269</f>
        <v>0</v>
      </c>
      <c r="BD299" s="268">
        <f>(BD262-BC262)-BD269</f>
        <v>0</v>
      </c>
      <c r="BE299" s="268">
        <f>(BE262-BD262)-BE269</f>
        <v>0</v>
      </c>
      <c r="BF299" s="268">
        <f>SUM(BB299:BE299)</f>
        <v>0</v>
      </c>
      <c r="BG299" s="268">
        <f>(BG262-BF262)-BG269</f>
        <v>0</v>
      </c>
      <c r="BH299" s="268">
        <f>(BH262-BG262)-BH269</f>
        <v>0</v>
      </c>
      <c r="BI299" s="268">
        <f>(BI262-BH262)-BI269</f>
        <v>0</v>
      </c>
      <c r="BJ299" s="268">
        <f>(BJ262-BI262)-BJ269</f>
        <v>0</v>
      </c>
      <c r="BK299" s="268">
        <f>SUM(BG299:BJ299)</f>
        <v>0</v>
      </c>
      <c r="BL299" s="268">
        <f>(BL262-BK262)-BL269</f>
        <v>0</v>
      </c>
      <c r="BM299" s="268">
        <f>(BM262-BL262)-BM269</f>
        <v>0</v>
      </c>
      <c r="BN299" s="268">
        <f>(BN262-BM262)-BN269</f>
        <v>0</v>
      </c>
      <c r="BO299" s="268">
        <f>(BO262-BN262)-BO269</f>
        <v>0</v>
      </c>
      <c r="BP299" s="268">
        <f>SUM(BL299:BO299)</f>
        <v>0</v>
      </c>
      <c r="BQ299" s="268">
        <f>(BQ262-BP262)-BQ269</f>
        <v>0</v>
      </c>
      <c r="BR299" s="268">
        <f>(BR262-BQ262)-BR269</f>
        <v>0</v>
      </c>
      <c r="BS299" s="268">
        <f>(BS262-BR262)-BS269</f>
        <v>0</v>
      </c>
      <c r="BT299" s="268">
        <f>(BT262-BS262)-BT269</f>
        <v>0</v>
      </c>
      <c r="BU299" s="268">
        <f>SUM(BQ299:BT299)</f>
        <v>0</v>
      </c>
      <c r="BV299" s="268">
        <f>(BV262-BU262)-BV269</f>
        <v>0</v>
      </c>
      <c r="BW299" s="268">
        <f>(BW262-BV262)-BW269</f>
        <v>0</v>
      </c>
      <c r="BX299" s="268">
        <f>(BX262-BW262)-BX269</f>
        <v>0</v>
      </c>
      <c r="BY299" s="268">
        <f>(BY262-BX262)-BY269</f>
        <v>0</v>
      </c>
      <c r="BZ299" s="268">
        <f>SUM(BV299:BY299)</f>
        <v>0</v>
      </c>
      <c r="CA299" s="268">
        <f>(CA262-BZ262)-CA269</f>
        <v>0</v>
      </c>
      <c r="CB299" s="268">
        <f>(CB262-CA262)-CB269</f>
        <v>0</v>
      </c>
      <c r="CC299" s="268">
        <f>(CC262-CB262)-CC269</f>
        <v>0</v>
      </c>
      <c r="CD299" s="268">
        <f>(CD262-CC262)-CD269</f>
        <v>0</v>
      </c>
      <c r="CE299" s="268">
        <f>SUM(CA299:CD299)</f>
        <v>0</v>
      </c>
      <c r="CF299" s="268">
        <f>(CF262-CE262)-CF269</f>
        <v>0</v>
      </c>
      <c r="CG299" s="268">
        <f>(CG262-CF262)-CG269</f>
        <v>0</v>
      </c>
      <c r="CH299" s="268">
        <f>(CH262-CG262)-CH269</f>
        <v>0</v>
      </c>
      <c r="CI299" s="268">
        <f>(CI262-CH262)-CI269</f>
        <v>0</v>
      </c>
      <c r="CJ299" s="268">
        <f>SUM(CF299:CI299)</f>
        <v>0</v>
      </c>
      <c r="CK299" s="268">
        <f>(CK262-CJ262)-CK269</f>
        <v>0</v>
      </c>
      <c r="CL299" s="268">
        <f>(CL262-CK262)-CL269</f>
        <v>0</v>
      </c>
      <c r="CM299" s="268">
        <f>(CM262-CL262)-CM269</f>
        <v>0</v>
      </c>
      <c r="CN299" s="268">
        <f>(CN262-CM262)-CN269</f>
        <v>0</v>
      </c>
      <c r="CO299" s="268">
        <f>SUM(CK299:CN299)</f>
        <v>0</v>
      </c>
      <c r="CP299" s="268">
        <f>(CP262-CO262)-CP269</f>
        <v>0</v>
      </c>
      <c r="CQ299" s="268">
        <f>(CQ262-CP262)-CQ269</f>
        <v>0</v>
      </c>
      <c r="CR299" s="268">
        <f>(CR262-CQ262)-CR269</f>
        <v>0</v>
      </c>
      <c r="CS299" s="268">
        <f>(CS262-CR262)-CS269</f>
        <v>0</v>
      </c>
      <c r="CT299" s="268">
        <f>SUM(CP299:CS299)</f>
        <v>0</v>
      </c>
      <c r="CU299" s="268">
        <f>(CU262-CT262)-CU269</f>
        <v>0</v>
      </c>
      <c r="CV299" s="268">
        <f>(CV262-CU262)-CV269</f>
        <v>0</v>
      </c>
      <c r="CW299" s="268">
        <f>(CW262-CV262)-CW269</f>
        <v>0</v>
      </c>
      <c r="CX299" s="268">
        <f>(CX262-CW262)-CX269</f>
        <v>0</v>
      </c>
      <c r="CY299" s="268">
        <f>SUM(CU299:CX299)</f>
        <v>0</v>
      </c>
    </row>
    <row r="300" ht="12.75" customHeight="1" s="255">
      <c r="C300" s="270" t="inlineStr">
        <is>
          <t>Dividends to minority interests</t>
        </is>
      </c>
      <c r="D300" s="268" t="n"/>
      <c r="E300" s="268">
        <f>(E240-D240)+E128</f>
        <v>22</v>
      </c>
      <c r="F300" s="268">
        <f>(F240-E240)+F128</f>
        <v>22</v>
      </c>
      <c r="G300" s="268">
        <f>(G240-F240)+G128</f>
        <v>18</v>
      </c>
      <c r="H300" s="268">
        <f>SUM(D300:G300)</f>
        <v>62</v>
      </c>
      <c r="I300" s="268">
        <f>(I240-H240)+I128</f>
        <v>394</v>
      </c>
      <c r="J300" s="268">
        <f>(J240-I240)+J128</f>
        <v>23</v>
      </c>
      <c r="K300" s="268">
        <f>(K240-J240)+K128</f>
        <v>-70</v>
      </c>
      <c r="L300" s="268">
        <f>(L240-K240)+L128</f>
        <v>1727</v>
      </c>
      <c r="M300" s="268">
        <f>SUM(I300:L300)</f>
        <v>2074</v>
      </c>
      <c r="N300" s="268">
        <f>(N240-M240)+N128</f>
        <v>-240</v>
      </c>
      <c r="O300" s="268">
        <f>(O240-N240)+O128</f>
        <v>-216</v>
      </c>
      <c r="P300" s="268">
        <f>(P240-O240)+P128</f>
        <v>-87</v>
      </c>
      <c r="Q300" s="268">
        <f>(Q240-P240)+Q128</f>
        <v>-191</v>
      </c>
      <c r="R300" s="268">
        <f>SUM(N300:Q300)</f>
        <v>-734</v>
      </c>
      <c r="S300" s="268">
        <f>(S240-R240)+S128</f>
        <v>-111</v>
      </c>
      <c r="T300" s="268">
        <f>(T240-S240)+T128</f>
        <v>-154</v>
      </c>
      <c r="U300" s="268">
        <f>(U240-T240)+U128</f>
        <v>-117</v>
      </c>
      <c r="V300" s="268">
        <f>(V240-U240)+V128</f>
        <v>-220</v>
      </c>
      <c r="W300" s="268">
        <f>SUM(S300:V300)</f>
        <v>-602</v>
      </c>
      <c r="X300" s="268">
        <f>(X240-W240)+X128</f>
        <v>-174</v>
      </c>
      <c r="Y300" s="268">
        <f>(Y240-X240)+Y128</f>
        <v>-514</v>
      </c>
      <c r="Z300" s="268">
        <f>(Z240-Y240)+Z128</f>
        <v>-674</v>
      </c>
      <c r="AA300" s="268">
        <f>(AA240-Z240)+AA128</f>
        <v>-568</v>
      </c>
      <c r="AB300" s="268">
        <f>SUM(X300:AA300)</f>
        <v>-1930</v>
      </c>
      <c r="AC300" s="268">
        <f>(AC240-AB240)+AC128</f>
        <v>-112</v>
      </c>
      <c r="AD300" s="268">
        <f>(AD240-AC240)+AD128</f>
        <v>-513</v>
      </c>
      <c r="AE300" s="268">
        <f>(AE240-AD240)+AE128</f>
        <v>-649</v>
      </c>
      <c r="AF300" s="268">
        <f>(AF240-AE240)+AF128</f>
        <v>-4</v>
      </c>
      <c r="AG300" s="268">
        <f>SUM(AC300:AF300)</f>
        <v>-1278</v>
      </c>
      <c r="AH300" s="268">
        <f>(AH240-AG240)+AH128</f>
        <v>-367</v>
      </c>
      <c r="AI300" s="268">
        <f>(AI240-AH240)+AI128</f>
        <v>-300</v>
      </c>
      <c r="AJ300" s="268">
        <f>(AJ240-AI240)+AJ128</f>
        <v>0</v>
      </c>
      <c r="AK300" s="268">
        <f>(AK240-AJ240)+AK128</f>
        <v>0</v>
      </c>
      <c r="AL300" s="268">
        <f>SUM(AH300:AK300)</f>
        <v>-667</v>
      </c>
      <c r="AM300" s="268">
        <f>(AM240-AL240)+AM128</f>
        <v>0</v>
      </c>
      <c r="AN300" s="268">
        <f>(AN240-AM240)+AN128</f>
        <v>0</v>
      </c>
      <c r="AO300" s="268">
        <f>(AO240-AN240)+AO128</f>
        <v>0</v>
      </c>
      <c r="AP300" s="268">
        <f>(AP240-AO240)+AP128</f>
        <v>0</v>
      </c>
      <c r="AQ300" s="268">
        <f>SUM(AM300:AP300)</f>
        <v>0</v>
      </c>
      <c r="AR300" s="268">
        <f>(AR240-AQ240)+AR128</f>
        <v>0</v>
      </c>
      <c r="AS300" s="268">
        <f>(AS240-AR240)+AS128</f>
        <v>0</v>
      </c>
      <c r="AT300" s="268">
        <f>(AT240-AS240)+AT128</f>
        <v>0</v>
      </c>
      <c r="AU300" s="268">
        <f>(AU240-AT240)+AU128</f>
        <v>0</v>
      </c>
      <c r="AV300" s="268">
        <f>SUM(AR300:AU300)</f>
        <v>0</v>
      </c>
      <c r="AW300" s="268">
        <f>(AW240-AV240)+AW128</f>
        <v>0</v>
      </c>
      <c r="AX300" s="268">
        <f>(AX240-AW240)+AX128</f>
        <v>0</v>
      </c>
      <c r="AY300" s="268">
        <f>(AY240-AX240)+AY128</f>
        <v>0</v>
      </c>
      <c r="AZ300" s="268">
        <f>(AZ240-AY240)+AZ128</f>
        <v>0</v>
      </c>
      <c r="BA300" s="268">
        <f>SUM(AW300:AZ300)</f>
        <v>0</v>
      </c>
      <c r="BB300" s="268">
        <f>(BB240-BA240)+BB128</f>
        <v>0</v>
      </c>
      <c r="BC300" s="268">
        <f>(BC240-BB240)+BC128</f>
        <v>0</v>
      </c>
      <c r="BD300" s="268">
        <f>(BD240-BC240)+BD128</f>
        <v>0</v>
      </c>
      <c r="BE300" s="268">
        <f>(BE240-BD240)+BE128</f>
        <v>0</v>
      </c>
      <c r="BF300" s="268">
        <f>SUM(BB300:BE300)</f>
        <v>0</v>
      </c>
      <c r="BG300" s="268">
        <f>(BG240-BF240)+BG128</f>
        <v>0</v>
      </c>
      <c r="BH300" s="268">
        <f>(BH240-BG240)+BH128</f>
        <v>0</v>
      </c>
      <c r="BI300" s="268">
        <f>(BI240-BH240)+BI128</f>
        <v>0</v>
      </c>
      <c r="BJ300" s="268">
        <f>(BJ240-BI240)+BJ128</f>
        <v>0</v>
      </c>
      <c r="BK300" s="268">
        <f>SUM(BG300:BJ300)</f>
        <v>0</v>
      </c>
      <c r="BL300" s="268">
        <f>(BL240-BK240)+BL128</f>
        <v>0</v>
      </c>
      <c r="BM300" s="268">
        <f>(BM240-BL240)+BM128</f>
        <v>0</v>
      </c>
      <c r="BN300" s="268">
        <f>(BN240-BM240)+BN128</f>
        <v>0</v>
      </c>
      <c r="BO300" s="268">
        <f>(BO240-BN240)+BO128</f>
        <v>0</v>
      </c>
      <c r="BP300" s="268">
        <f>SUM(BL300:BO300)</f>
        <v>0</v>
      </c>
      <c r="BQ300" s="268">
        <f>(BQ240-BP240)+BQ128</f>
        <v>0</v>
      </c>
      <c r="BR300" s="268">
        <f>(BR240-BQ240)+BR128</f>
        <v>0</v>
      </c>
      <c r="BS300" s="268">
        <f>(BS240-BR240)+BS128</f>
        <v>0</v>
      </c>
      <c r="BT300" s="268">
        <f>(BT240-BS240)+BT128</f>
        <v>0</v>
      </c>
      <c r="BU300" s="268">
        <f>SUM(BQ300:BT300)</f>
        <v>0</v>
      </c>
      <c r="BV300" s="268">
        <f>(BV240-BU240)+BV128</f>
        <v>0</v>
      </c>
      <c r="BW300" s="268">
        <f>(BW240-BV240)+BW128</f>
        <v>0</v>
      </c>
      <c r="BX300" s="268">
        <f>(BX240-BW240)+BX128</f>
        <v>0</v>
      </c>
      <c r="BY300" s="268">
        <f>(BY240-BX240)+BY128</f>
        <v>0</v>
      </c>
      <c r="BZ300" s="268">
        <f>SUM(BV300:BY300)</f>
        <v>0</v>
      </c>
      <c r="CA300" s="268">
        <f>(CA240-BZ240)+CA128</f>
        <v>0</v>
      </c>
      <c r="CB300" s="268">
        <f>(CB240-CA240)+CB128</f>
        <v>0</v>
      </c>
      <c r="CC300" s="268">
        <f>(CC240-CB240)+CC128</f>
        <v>0</v>
      </c>
      <c r="CD300" s="268">
        <f>(CD240-CC240)+CD128</f>
        <v>0</v>
      </c>
      <c r="CE300" s="268">
        <f>SUM(CA300:CD300)</f>
        <v>0</v>
      </c>
      <c r="CF300" s="268">
        <f>(CF240-CE240)+CF128</f>
        <v>0</v>
      </c>
      <c r="CG300" s="268">
        <f>(CG240-CF240)+CG128</f>
        <v>0</v>
      </c>
      <c r="CH300" s="268">
        <f>(CH240-CG240)+CH128</f>
        <v>0</v>
      </c>
      <c r="CI300" s="268">
        <f>(CI240-CH240)+CI128</f>
        <v>0</v>
      </c>
      <c r="CJ300" s="268">
        <f>SUM(CF300:CI300)</f>
        <v>0</v>
      </c>
      <c r="CK300" s="268">
        <f>(CK240-CJ240)+CK128</f>
        <v>0</v>
      </c>
      <c r="CL300" s="268">
        <f>(CL240-CK240)+CL128</f>
        <v>0</v>
      </c>
      <c r="CM300" s="268">
        <f>(CM240-CL240)+CM128</f>
        <v>0</v>
      </c>
      <c r="CN300" s="268">
        <f>(CN240-CM240)+CN128</f>
        <v>0</v>
      </c>
      <c r="CO300" s="268">
        <f>SUM(CK300:CN300)</f>
        <v>0</v>
      </c>
      <c r="CP300" s="268">
        <f>(CP240-CO240)+CP128</f>
        <v>0</v>
      </c>
      <c r="CQ300" s="268">
        <f>(CQ240-CP240)+CQ128</f>
        <v>0</v>
      </c>
      <c r="CR300" s="268">
        <f>(CR240-CQ240)+CR128</f>
        <v>0</v>
      </c>
      <c r="CS300" s="268">
        <f>(CS240-CR240)+CS128</f>
        <v>0</v>
      </c>
      <c r="CT300" s="268">
        <f>SUM(CP300:CS300)</f>
        <v>0</v>
      </c>
      <c r="CU300" s="268">
        <f>(CU240-CT240)+CU128</f>
        <v>0</v>
      </c>
      <c r="CV300" s="268">
        <f>(CV240-CU240)+CV128</f>
        <v>0</v>
      </c>
      <c r="CW300" s="268">
        <f>(CW240-CV240)+CW128</f>
        <v>0</v>
      </c>
      <c r="CX300" s="268">
        <f>(CX240-CW240)+CX128</f>
        <v>0</v>
      </c>
      <c r="CY300" s="268">
        <f>SUM(CU300:CX300)</f>
        <v>0</v>
      </c>
    </row>
    <row r="301" ht="12.75" customHeight="1" s="255">
      <c r="C301" s="271" t="inlineStr">
        <is>
          <t>Increases / (decreases) in debt</t>
        </is>
      </c>
      <c r="D301" s="268" t="n"/>
      <c r="E301" s="268">
        <f>SUM(E204:E206,E209,E230,E227)-SUM(D204:D206,D209,D230,D227)</f>
        <v>-160</v>
      </c>
      <c r="F301" s="268">
        <f>SUM(F204:F206,F209,F230,F227)-SUM(E204:E206,E209,E230,E227)</f>
        <v>116</v>
      </c>
      <c r="G301" s="268">
        <f>SUM(G204:G206,G209,G230,G227)-SUM(F204:F206,F209,F230,F227)</f>
        <v>-319</v>
      </c>
      <c r="H301" s="268">
        <f>SUM(D301:G301)</f>
        <v>-363</v>
      </c>
      <c r="I301" s="268">
        <f>SUM(I204:I206,I209,I230,I227)-SUM(H204:H206,H209,H230,H227)</f>
        <v>98</v>
      </c>
      <c r="J301" s="268">
        <f>SUM(J204:J206,J209,J230,J227)-SUM(I204:I206,I209,I230,I227)</f>
        <v>-114</v>
      </c>
      <c r="K301" s="268">
        <f>SUM(K204:K206,K209,K230,K227)-SUM(J204:J206,J209,J230,J227)</f>
        <v>-30</v>
      </c>
      <c r="L301" s="268">
        <f>SUM(L204:L206,L209,L230,L227)-SUM(K204:K206,K209,K230,K227)</f>
        <v>-215</v>
      </c>
      <c r="M301" s="268">
        <f>SUM(I301:L301)</f>
        <v>-261</v>
      </c>
      <c r="N301" s="268">
        <f>SUM(N204:N206,N209,N230,N227)-SUM(M204:M206,M209,M230,M227)</f>
        <v>171</v>
      </c>
      <c r="O301" s="268">
        <f>SUM(O204:O206,O209,O230,O227)-SUM(N204:N206,N209,N230,N227)</f>
        <v>1471</v>
      </c>
      <c r="P301" s="268">
        <f>SUM(P204:P206,P209,P230,P227)-SUM(O204:O206,O209,O230,O227)</f>
        <v>-402</v>
      </c>
      <c r="Q301" s="268">
        <f>SUM(Q204:Q206,Q209,Q230,Q227)-SUM(P204:P206,P209,P230,P227)</f>
        <v>-70</v>
      </c>
      <c r="R301" s="268">
        <f>SUM(N301:Q301)</f>
        <v>1170</v>
      </c>
      <c r="S301" s="268">
        <f>SUM(S204:S206,S209,S230,S227)-SUM(R204:R206,R209,R230,R227)</f>
        <v>-985</v>
      </c>
      <c r="T301" s="268">
        <f>SUM(T204:T206,T209,T230,T227)-SUM(S204:S206,S209,S230,S227)</f>
        <v>-140</v>
      </c>
      <c r="U301" s="268">
        <f>SUM(U204:U206,U209,U230,U227)-SUM(T204:T206,T209,T230,T227)</f>
        <v>-90</v>
      </c>
      <c r="V301" s="268">
        <f>SUM(V204:V206,V209,V230,V227)-SUM(U204:U206,U209,U230,U227)</f>
        <v>17</v>
      </c>
      <c r="W301" s="268">
        <f>SUM(S301:V301)</f>
        <v>-1198</v>
      </c>
      <c r="X301" s="268">
        <f>SUM(X204:X206,X209,X230,X227)-SUM(W204:W206,W209,W230,W227)</f>
        <v>3</v>
      </c>
      <c r="Y301" s="268">
        <f>SUM(Y204:Y206,Y209,Y230,Y227)-SUM(X204:X206,X209,X230,X227)</f>
        <v>1</v>
      </c>
      <c r="Z301" s="268">
        <f>SUM(Z204:Z206,Z209,Z230,Z227)-SUM(Y204:Y206,Y209,Y230,Y227)</f>
        <v>253</v>
      </c>
      <c r="AA301" s="268">
        <f>SUM(AA204:AA206,AA209,AA230,AA227)-SUM(Z204:Z206,Z209,Z230,Z227)</f>
        <v>-731</v>
      </c>
      <c r="AB301" s="268">
        <f>SUM(X301:AA301)</f>
        <v>-474</v>
      </c>
      <c r="AC301" s="268">
        <f>SUM(AC204:AC206,AC209,AC230,AC227)-SUM(AB204:AB206,AB209,AB230,AB227)</f>
        <v>456</v>
      </c>
      <c r="AD301" s="268">
        <f>SUM(AD204:AD206,AD209,AD230,AD227)-SUM(AC204:AC206,AC209,AC230,AC227)</f>
        <v>-153</v>
      </c>
      <c r="AE301" s="268">
        <f>SUM(AE204:AE206,AE209,AE230,AE227)-SUM(AD204:AD206,AD209,AD230,AD227)</f>
        <v>47</v>
      </c>
      <c r="AF301" s="268">
        <f>SUM(AF204:AF206,AF209,AF230,AF227)-SUM(AE204:AE206,AE209,AE230,AE227)</f>
        <v>1091</v>
      </c>
      <c r="AG301" s="268">
        <f>SUM(AC301:AF301)</f>
        <v>1441</v>
      </c>
      <c r="AH301" s="268">
        <f>SUM(AH204:AH206,AH209,AH230,AH227)-SUM(AG204:AG206,AG209,AG230,AG227)</f>
        <v>12</v>
      </c>
      <c r="AI301" s="268">
        <f>SUM(AI204:AI206,AI209,AI230,AI227)-SUM(AH204:AH206,AH209,AH230,AH227)</f>
        <v>-42</v>
      </c>
      <c r="AJ301" s="268">
        <f>SUM(AJ204:AJ206,AJ209,AJ230,AJ227)-SUM(AI204:AI206,AI209,AI230,AI227)</f>
        <v>0</v>
      </c>
      <c r="AK301" s="268">
        <f>SUM(AK204:AK206,AK209,AK230,AK227)-SUM(AJ204:AJ206,AJ209,AJ230,AJ227)</f>
        <v>0</v>
      </c>
      <c r="AL301" s="268">
        <f>SUM(AH301:AK301)</f>
        <v>-30</v>
      </c>
      <c r="AM301" s="268">
        <f>SUM(AM204:AM206,AM209,AM230,AM227)-SUM(AL204:AL206,AL209,AL230,AL227)</f>
        <v>0</v>
      </c>
      <c r="AN301" s="268">
        <f>SUM(AN204:AN206,AN209,AN230,AN227)-SUM(AM204:AM206,AM209,AM230,AM227)</f>
        <v>0</v>
      </c>
      <c r="AO301" s="268">
        <f>SUM(AO204:AO206,AO209,AO230,AO227)-SUM(AN204:AN206,AN209,AN230,AN227)</f>
        <v>0</v>
      </c>
      <c r="AP301" s="268">
        <f>SUM(AP204:AP206,AP209,AP230,AP227)-SUM(AO204:AO206,AO209,AO230,AO227)</f>
        <v>0</v>
      </c>
      <c r="AQ301" s="268">
        <f>SUM(AM301:AP301)</f>
        <v>0</v>
      </c>
      <c r="AR301" s="268">
        <f>SUM(AR204:AR206,AR209,AR230,AR227)-SUM(AQ204:AQ206,AQ209,AQ230,AQ227)</f>
        <v>0</v>
      </c>
      <c r="AS301" s="268">
        <f>SUM(AS204:AS206,AS209,AS230,AS227)-SUM(AR204:AR206,AR209,AR230,AR227)</f>
        <v>0</v>
      </c>
      <c r="AT301" s="268">
        <f>SUM(AT204:AT206,AT209,AT230,AT227)-SUM(AS204:AS206,AS209,AS230,AS227)</f>
        <v>0</v>
      </c>
      <c r="AU301" s="268">
        <f>SUM(AU204:AU206,AU209,AU230,AU227)-SUM(AT204:AT206,AT209,AT230,AT227)</f>
        <v>0</v>
      </c>
      <c r="AV301" s="268">
        <f>SUM(AR301:AU301)</f>
        <v>0</v>
      </c>
      <c r="AW301" s="268">
        <f>SUM(AW204:AW206,AW209,AW230,AW227)-SUM(AV204:AV206,AV209,AV230,AV227)</f>
        <v>0</v>
      </c>
      <c r="AX301" s="268">
        <f>SUM(AX204:AX206,AX209,AX230,AX227)-SUM(AW204:AW206,AW209,AW230,AW227)</f>
        <v>0</v>
      </c>
      <c r="AY301" s="268">
        <f>SUM(AY204:AY206,AY209,AY230,AY227)-SUM(AX204:AX206,AX209,AX230,AX227)</f>
        <v>0</v>
      </c>
      <c r="AZ301" s="268">
        <f>SUM(AZ204:AZ206,AZ209,AZ230,AZ227)-SUM(AY204:AY206,AY209,AY230,AY227)</f>
        <v>0</v>
      </c>
      <c r="BA301" s="268">
        <f>SUM(AW301:AZ301)</f>
        <v>0</v>
      </c>
      <c r="BB301" s="268">
        <f>SUM(BB204:BB206,BB209,BB230,BB227)-SUM(BA204:BA206,BA209,BA230,BA227)</f>
        <v>0</v>
      </c>
      <c r="BC301" s="268">
        <f>SUM(BC204:BC206,BC209,BC230,BC227)-SUM(BB204:BB206,BB209,BB230,BB227)</f>
        <v>0</v>
      </c>
      <c r="BD301" s="268">
        <f>SUM(BD204:BD206,BD209,BD230,BD227)-SUM(BC204:BC206,BC209,BC230,BC227)</f>
        <v>0</v>
      </c>
      <c r="BE301" s="268">
        <f>SUM(BE204:BE206,BE209,BE230,BE227)-SUM(BD204:BD206,BD209,BD230,BD227)</f>
        <v>0</v>
      </c>
      <c r="BF301" s="268">
        <f>SUM(BB301:BE301)</f>
        <v>0</v>
      </c>
      <c r="BG301" s="268">
        <f>SUM(BG204:BG206,BG209,BG230,BG227)-SUM(BF204:BF206,BF209,BF230,BF227)</f>
        <v>0</v>
      </c>
      <c r="BH301" s="268">
        <f>SUM(BH204:BH206,BH209,BH230,BH227)-SUM(BG204:BG206,BG209,BG230,BG227)</f>
        <v>0</v>
      </c>
      <c r="BI301" s="268">
        <f>SUM(BI204:BI206,BI209,BI230,BI227)-SUM(BH204:BH206,BH209,BH230,BH227)</f>
        <v>0</v>
      </c>
      <c r="BJ301" s="268">
        <f>SUM(BJ204:BJ206,BJ209,BJ230,BJ227)-SUM(BI204:BI206,BI209,BI230,BI227)</f>
        <v>0</v>
      </c>
      <c r="BK301" s="268">
        <f>SUM(BG301:BJ301)</f>
        <v>0</v>
      </c>
      <c r="BL301" s="268">
        <f>SUM(BL204:BL206,BL209,BL230,BL227)-SUM(BK204:BK206,BK209,BK230,BK227)</f>
        <v>0</v>
      </c>
      <c r="BM301" s="268">
        <f>SUM(BM204:BM206,BM209,BM230,BM227)-SUM(BL204:BL206,BL209,BL230,BL227)</f>
        <v>0</v>
      </c>
      <c r="BN301" s="268">
        <f>SUM(BN204:BN206,BN209,BN230,BN227)-SUM(BM204:BM206,BM209,BM230,BM227)</f>
        <v>0</v>
      </c>
      <c r="BO301" s="268">
        <f>SUM(BO204:BO206,BO209,BO230,BO227)-SUM(BN204:BN206,BN209,BN230,BN227)</f>
        <v>0</v>
      </c>
      <c r="BP301" s="268">
        <f>SUM(BL301:BO301)</f>
        <v>0</v>
      </c>
      <c r="BQ301" s="268">
        <f>SUM(BQ204:BQ206,BQ209,BQ230,BQ227)-SUM(BP204:BP206,BP209,BP230,BP227)</f>
        <v>0</v>
      </c>
      <c r="BR301" s="268">
        <f>SUM(BR204:BR206,BR209,BR230,BR227)-SUM(BQ204:BQ206,BQ209,BQ230,BQ227)</f>
        <v>0</v>
      </c>
      <c r="BS301" s="268">
        <f>SUM(BS204:BS206,BS209,BS230,BS227)-SUM(BR204:BR206,BR209,BR230,BR227)</f>
        <v>0</v>
      </c>
      <c r="BT301" s="268">
        <f>SUM(BT204:BT206,BT209,BT230,BT227)-SUM(BS204:BS206,BS209,BS230,BS227)</f>
        <v>0</v>
      </c>
      <c r="BU301" s="268">
        <f>SUM(BQ301:BT301)</f>
        <v>0</v>
      </c>
      <c r="BV301" s="268">
        <f>SUM(BV204:BV206,BV209,BV230,BV227)-SUM(BU204:BU206,BU209,BU230,BU227)</f>
        <v>0</v>
      </c>
      <c r="BW301" s="268">
        <f>SUM(BW204:BW206,BW209,BW230,BW227)-SUM(BV204:BV206,BV209,BV230,BV227)</f>
        <v>0</v>
      </c>
      <c r="BX301" s="268">
        <f>SUM(BX204:BX206,BX209,BX230,BX227)-SUM(BW204:BW206,BW209,BW230,BW227)</f>
        <v>0</v>
      </c>
      <c r="BY301" s="268">
        <f>SUM(BY204:BY206,BY209,BY230,BY227)-SUM(BX204:BX206,BX209,BX230,BX227)</f>
        <v>0</v>
      </c>
      <c r="BZ301" s="268">
        <f>SUM(BV301:BY301)</f>
        <v>0</v>
      </c>
      <c r="CA301" s="268">
        <f>SUM(CA204:CA206,CA209,CA230,CA227)-SUM(BZ204:BZ206,BZ209,BZ230,BZ227)</f>
        <v>0</v>
      </c>
      <c r="CB301" s="268">
        <f>SUM(CB204:CB206,CB209,CB230,CB227)-SUM(CA204:CA206,CA209,CA230,CA227)</f>
        <v>0</v>
      </c>
      <c r="CC301" s="268">
        <f>SUM(CC204:CC206,CC209,CC230,CC227)-SUM(CB204:CB206,CB209,CB230,CB227)</f>
        <v>0</v>
      </c>
      <c r="CD301" s="268">
        <f>SUM(CD204:CD206,CD209,CD230,CD227)-SUM(CC204:CC206,CC209,CC230,CC227)</f>
        <v>0</v>
      </c>
      <c r="CE301" s="268">
        <f>SUM(CA301:CD301)</f>
        <v>0</v>
      </c>
      <c r="CF301" s="268">
        <f>SUM(CF204:CF206,CF209,CF230,CF227)-SUM(CE204:CE206,CE209,CE230,CE227)</f>
        <v>0</v>
      </c>
      <c r="CG301" s="268">
        <f>SUM(CG204:CG206,CG209,CG230,CG227)-SUM(CF204:CF206,CF209,CF230,CF227)</f>
        <v>0</v>
      </c>
      <c r="CH301" s="268">
        <f>SUM(CH204:CH206,CH209,CH230,CH227)-SUM(CG204:CG206,CG209,CG230,CG227)</f>
        <v>0</v>
      </c>
      <c r="CI301" s="268">
        <f>SUM(CI204:CI206,CI209,CI230,CI227)-SUM(CH204:CH206,CH209,CH230,CH227)</f>
        <v>0</v>
      </c>
      <c r="CJ301" s="268">
        <f>SUM(CF301:CI301)</f>
        <v>0</v>
      </c>
      <c r="CK301" s="268">
        <f>SUM(CK204:CK206,CK209,CK230,CK227)-SUM(CJ204:CJ206,CJ209,CJ230,CJ227)</f>
        <v>0</v>
      </c>
      <c r="CL301" s="268">
        <f>SUM(CL204:CL206,CL209,CL230,CL227)-SUM(CK204:CK206,CK209,CK230,CK227)</f>
        <v>0</v>
      </c>
      <c r="CM301" s="268">
        <f>SUM(CM204:CM206,CM209,CM230,CM227)-SUM(CL204:CL206,CL209,CL230,CL227)</f>
        <v>0</v>
      </c>
      <c r="CN301" s="268">
        <f>SUM(CN204:CN206,CN209,CN230,CN227)-SUM(CM204:CM206,CM209,CM230,CM227)</f>
        <v>0</v>
      </c>
      <c r="CO301" s="268">
        <f>SUM(CK301:CN301)</f>
        <v>0</v>
      </c>
      <c r="CP301" s="268">
        <f>SUM(CP204:CP206,CP209,CP230,CP227)-SUM(CO204:CO206,CO209,CO230,CO227)</f>
        <v>0</v>
      </c>
      <c r="CQ301" s="268">
        <f>SUM(CQ204:CQ206,CQ209,CQ230,CQ227)-SUM(CP204:CP206,CP209,CP230,CP227)</f>
        <v>0</v>
      </c>
      <c r="CR301" s="268">
        <f>SUM(CR204:CR206,CR209,CR230,CR227)-SUM(CQ204:CQ206,CQ209,CQ230,CQ227)</f>
        <v>0</v>
      </c>
      <c r="CS301" s="268">
        <f>SUM(CS204:CS206,CS209,CS230,CS227)-SUM(CR204:CR206,CR209,CR230,CR227)</f>
        <v>0</v>
      </c>
      <c r="CT301" s="268">
        <f>SUM(CP301:CS301)</f>
        <v>0</v>
      </c>
      <c r="CU301" s="268">
        <f>SUM(CU204:CU206,CU209,CU230,CU227)-SUM(CT204:CT206,CT209,CT230,CT227)</f>
        <v>0</v>
      </c>
      <c r="CV301" s="268">
        <f>SUM(CV204:CV206,CV209,CV230,CV227)-SUM(CU204:CU206,CU209,CU230,CU227)</f>
        <v>0</v>
      </c>
      <c r="CW301" s="268">
        <f>SUM(CW204:CW206,CW209,CW230,CW227)-SUM(CV204:CV206,CV209,CV230,CV227)</f>
        <v>0</v>
      </c>
      <c r="CX301" s="268">
        <f>SUM(CX204:CX206,CX209,CX230,CX227)-SUM(CW204:CW206,CW209,CW230,CW227)</f>
        <v>0</v>
      </c>
      <c r="CY301" s="268">
        <f>SUM(CU301:CX301)</f>
        <v>0</v>
      </c>
      <c r="CZ301" s="268" t="n"/>
      <c r="DA301" s="268" t="n"/>
      <c r="DB301" s="268" t="n"/>
      <c r="DC301" s="268" t="n"/>
    </row>
    <row r="302" ht="12.75" customHeight="1" s="255">
      <c r="C302" s="270" t="inlineStr">
        <is>
          <t>Cash from financing</t>
        </is>
      </c>
      <c r="D302" s="268" t="n"/>
      <c r="E302" s="268">
        <f>SUM(E294,E295,E296,E297,E298,E299,E300,E301)</f>
        <v>-92</v>
      </c>
      <c r="F302" s="268">
        <f>SUM(F294,F295,F296,F297,F298,F299,F300,F301)</f>
        <v>91</v>
      </c>
      <c r="G302" s="268">
        <f>SUM(G294,G295,G296,G297,G298,G299,G300,G301)</f>
        <v>-71</v>
      </c>
      <c r="H302" s="268">
        <f>SUM(H294,H295,H296,H297,H298,H299,H300,H301)</f>
        <v>-72</v>
      </c>
      <c r="I302" s="268">
        <f>SUM(I294,I295,I296,I297,I298,I299,I300,I301)</f>
        <v>520</v>
      </c>
      <c r="J302" s="268">
        <f>SUM(J294,J295,J296,J297,J298,J299,J300,J301)</f>
        <v>-83</v>
      </c>
      <c r="K302" s="268">
        <f>SUM(K294,K295,K296,K297,K298,K299,K300,K301)</f>
        <v>-157</v>
      </c>
      <c r="L302" s="268">
        <f>SUM(L294,L295,L296,L297,L298,L299,L300,L301)</f>
        <v>1033</v>
      </c>
      <c r="M302" s="268">
        <f>SUM(M294,M295,M296,M297,M298,M299,M300,M301)</f>
        <v>1313</v>
      </c>
      <c r="N302" s="268">
        <f>SUM(N294,N295,N296,N297,N298,N299,N300,N301)</f>
        <v>-710</v>
      </c>
      <c r="O302" s="268">
        <f>SUM(O294,O295,O296,O297,O298,O299,O300,O301)</f>
        <v>438</v>
      </c>
      <c r="P302" s="268">
        <f>SUM(P294,P295,P296,P297,P298,P299,P300,P301)</f>
        <v>-828</v>
      </c>
      <c r="Q302" s="268">
        <f>SUM(Q294,Q295,Q296,Q297,Q298,Q299,Q300,Q301)</f>
        <v>-357</v>
      </c>
      <c r="R302" s="268">
        <f>SUM(R294,R295,R296,R297,R298,R299,R300,R301)</f>
        <v>-1457</v>
      </c>
      <c r="S302" s="268">
        <f>SUM(S294,S295,S296,S297,S298,S299,S300,S301)</f>
        <v>-1257</v>
      </c>
      <c r="T302" s="268">
        <f>SUM(T294,T295,T296,T297,T298,T299,T300,T301)</f>
        <v>-492</v>
      </c>
      <c r="U302" s="268">
        <f>SUM(U294,U295,U296,U297,U298,U299,U300,U301)</f>
        <v>-404</v>
      </c>
      <c r="V302" s="268">
        <f>SUM(V294,V295,V296,V297,V298,V299,V300,V301)</f>
        <v>-357</v>
      </c>
      <c r="W302" s="268">
        <f>SUM(W294,W295,W296,W297,W298,W299,W300,W301)</f>
        <v>-2510</v>
      </c>
      <c r="X302" s="268">
        <f>SUM(X294,X295,X296,X297,X298,X299,X300,X301)</f>
        <v>-364</v>
      </c>
      <c r="Y302" s="268">
        <f>SUM(Y294,Y295,Y296,Y297,Y298,Y299,Y300,Y301)</f>
        <v>-698</v>
      </c>
      <c r="Z302" s="268">
        <f>SUM(Z294,Z295,Z296,Z297,Z298,Z299,Z300,Z301)</f>
        <v>-803</v>
      </c>
      <c r="AA302" s="268">
        <f>SUM(AA294,AA295,AA296,AA297,AA298,AA299,AA300,AA301)</f>
        <v>-1540</v>
      </c>
      <c r="AB302" s="268">
        <f>SUM(AB294,AB295,AB296,AB297,AB298,AB299,AB300,AB301)</f>
        <v>-3405</v>
      </c>
      <c r="AC302" s="268">
        <f>SUM(AC294,AC295,AC296,AC297,AC298,AC299,AC300,AC301)</f>
        <v>99</v>
      </c>
      <c r="AD302" s="268">
        <f>SUM(AD294,AD295,AD296,AD297,AD298,AD299,AD300,AD301)</f>
        <v>-918</v>
      </c>
      <c r="AE302" s="268">
        <f>SUM(AE294,AE295,AE296,AE297,AE298,AE299,AE300,AE301)</f>
        <v>-799</v>
      </c>
      <c r="AF302" s="268">
        <f>SUM(AF294,AF295,AF296,AF297,AF298,AF299,AF300,AF301)</f>
        <v>895</v>
      </c>
      <c r="AG302" s="268">
        <f>SUM(AG294,AG295,AG296,AG297,AG298,AG299,AG300,AG301)</f>
        <v>-723</v>
      </c>
      <c r="AH302" s="268">
        <f>SUM(AH294,AH295,AH296,AH297,AH298,AH299,AH300,AH301)</f>
        <v>-630</v>
      </c>
      <c r="AI302" s="268">
        <f>SUM(AI294,AI295,AI296,AI297,AI298,AI299,AI300,AI301)</f>
        <v>-722</v>
      </c>
      <c r="AJ302" s="268">
        <f>SUM(AJ294,AJ295,AJ296,AJ297,AJ298,AJ299,AJ300,AJ301)</f>
        <v>0</v>
      </c>
      <c r="AK302" s="268">
        <f>SUM(AK294,AK295,AK296,AK297,AK298,AK299,AK300,AK301)</f>
        <v>0</v>
      </c>
      <c r="AL302" s="268">
        <f>SUM(AL294,AL295,AL296,AL297,AL298,AL299,AL300,AL301)</f>
        <v>-1352</v>
      </c>
      <c r="AM302" s="268">
        <f>SUM(AM294,AM295,AM296,AM297,AM298,AM299,AM300,AM301)</f>
        <v>0</v>
      </c>
      <c r="AN302" s="268">
        <f>SUM(AN294,AN295,AN296,AN297,AN298,AN299,AN300,AN301)</f>
        <v>0</v>
      </c>
      <c r="AO302" s="268">
        <f>SUM(AO294,AO295,AO296,AO297,AO298,AO299,AO300,AO301)</f>
        <v>0</v>
      </c>
      <c r="AP302" s="268">
        <f>SUM(AP294,AP295,AP296,AP297,AP298,AP299,AP300,AP301)</f>
        <v>0</v>
      </c>
      <c r="AQ302" s="268">
        <f>SUM(AQ294,AQ295,AQ296,AQ297,AQ298,AQ299,AQ300,AQ301)</f>
        <v>0</v>
      </c>
      <c r="AR302" s="268">
        <f>SUM(AR294,AR295,AR296,AR297,AR298,AR299,AR300,AR301)</f>
        <v>0</v>
      </c>
      <c r="AS302" s="268">
        <f>SUM(AS294,AS295,AS296,AS297,AS298,AS299,AS300,AS301)</f>
        <v>0</v>
      </c>
      <c r="AT302" s="268">
        <f>SUM(AT294,AT295,AT296,AT297,AT298,AT299,AT300,AT301)</f>
        <v>0</v>
      </c>
      <c r="AU302" s="268">
        <f>SUM(AU294,AU295,AU296,AU297,AU298,AU299,AU300,AU301)</f>
        <v>0</v>
      </c>
      <c r="AV302" s="268">
        <f>SUM(AV294,AV295,AV296,AV297,AV298,AV299,AV300,AV301)</f>
        <v>0</v>
      </c>
      <c r="AW302" s="268">
        <f>SUM(AW294,AW295,AW296,AW297,AW298,AW299,AW300,AW301)</f>
        <v>0</v>
      </c>
      <c r="AX302" s="268">
        <f>SUM(AX294,AX295,AX296,AX297,AX298,AX299,AX300,AX301)</f>
        <v>0</v>
      </c>
      <c r="AY302" s="268">
        <f>SUM(AY294,AY295,AY296,AY297,AY298,AY299,AY300,AY301)</f>
        <v>0</v>
      </c>
      <c r="AZ302" s="268">
        <f>SUM(AZ294,AZ295,AZ296,AZ297,AZ298,AZ299,AZ300,AZ301)</f>
        <v>0</v>
      </c>
      <c r="BA302" s="268">
        <f>SUM(BA294,BA295,BA296,BA297,BA298,BA299,BA300,BA301)</f>
        <v>0</v>
      </c>
      <c r="BB302" s="268">
        <f>SUM(BB294,BB295,BB296,BB297,BB298,BB299,BB300,BB301)</f>
        <v>0</v>
      </c>
      <c r="BC302" s="268">
        <f>SUM(BC294,BC295,BC296,BC297,BC298,BC299,BC300,BC301)</f>
        <v>0</v>
      </c>
      <c r="BD302" s="268">
        <f>SUM(BD294,BD295,BD296,BD297,BD298,BD299,BD300,BD301)</f>
        <v>0</v>
      </c>
      <c r="BE302" s="268">
        <f>SUM(BE294,BE295,BE296,BE297,BE298,BE299,BE300,BE301)</f>
        <v>0</v>
      </c>
      <c r="BF302" s="268">
        <f>SUM(BF294,BF295,BF296,BF297,BF298,BF299,BF300,BF301)</f>
        <v>0</v>
      </c>
      <c r="BG302" s="268">
        <f>SUM(BG294,BG295,BG296,BG297,BG298,BG299,BG300,BG301)</f>
        <v>0</v>
      </c>
      <c r="BH302" s="268">
        <f>SUM(BH294,BH295,BH296,BH297,BH298,BH299,BH300,BH301)</f>
        <v>0</v>
      </c>
      <c r="BI302" s="268">
        <f>SUM(BI294,BI295,BI296,BI297,BI298,BI299,BI300,BI301)</f>
        <v>0</v>
      </c>
      <c r="BJ302" s="268">
        <f>SUM(BJ294,BJ295,BJ296,BJ297,BJ298,BJ299,BJ300,BJ301)</f>
        <v>0</v>
      </c>
      <c r="BK302" s="268">
        <f>SUM(BK294,BK295,BK296,BK297,BK298,BK299,BK300,BK301)</f>
        <v>0</v>
      </c>
      <c r="BL302" s="268">
        <f>SUM(BL294,BL295,BL296,BL297,BL298,BL299,BL300,BL301)</f>
        <v>0</v>
      </c>
      <c r="BM302" s="268">
        <f>SUM(BM294,BM295,BM296,BM297,BM298,BM299,BM300,BM301)</f>
        <v>0</v>
      </c>
      <c r="BN302" s="268">
        <f>SUM(BN294,BN295,BN296,BN297,BN298,BN299,BN300,BN301)</f>
        <v>0</v>
      </c>
      <c r="BO302" s="268">
        <f>SUM(BO294,BO295,BO296,BO297,BO298,BO299,BO300,BO301)</f>
        <v>0</v>
      </c>
      <c r="BP302" s="268">
        <f>SUM(BP294,BP295,BP296,BP297,BP298,BP299,BP300,BP301)</f>
        <v>0</v>
      </c>
      <c r="BQ302" s="268">
        <f>SUM(BQ294,BQ295,BQ296,BQ297,BQ298,BQ299,BQ300,BQ301)</f>
        <v>0</v>
      </c>
      <c r="BR302" s="268">
        <f>SUM(BR294,BR295,BR296,BR297,BR298,BR299,BR300,BR301)</f>
        <v>0</v>
      </c>
      <c r="BS302" s="268">
        <f>SUM(BS294,BS295,BS296,BS297,BS298,BS299,BS300,BS301)</f>
        <v>0</v>
      </c>
      <c r="BT302" s="268">
        <f>SUM(BT294,BT295,BT296,BT297,BT298,BT299,BT300,BT301)</f>
        <v>0</v>
      </c>
      <c r="BU302" s="268">
        <f>SUM(BU294,BU295,BU296,BU297,BU298,BU299,BU300,BU301)</f>
        <v>0</v>
      </c>
      <c r="BV302" s="268">
        <f>SUM(BV294,BV295,BV296,BV297,BV298,BV299,BV300,BV301)</f>
        <v>0</v>
      </c>
      <c r="BW302" s="268">
        <f>SUM(BW294,BW295,BW296,BW297,BW298,BW299,BW300,BW301)</f>
        <v>0</v>
      </c>
      <c r="BX302" s="268">
        <f>SUM(BX294,BX295,BX296,BX297,BX298,BX299,BX300,BX301)</f>
        <v>0</v>
      </c>
      <c r="BY302" s="268">
        <f>SUM(BY294,BY295,BY296,BY297,BY298,BY299,BY300,BY301)</f>
        <v>0</v>
      </c>
      <c r="BZ302" s="268">
        <f>SUM(BZ294,BZ295,BZ296,BZ297,BZ298,BZ299,BZ300,BZ301)</f>
        <v>0</v>
      </c>
      <c r="CA302" s="268">
        <f>SUM(CA294,CA295,CA296,CA297,CA298,CA299,CA300,CA301)</f>
        <v>0</v>
      </c>
      <c r="CB302" s="268">
        <f>SUM(CB294,CB295,CB296,CB297,CB298,CB299,CB300,CB301)</f>
        <v>0</v>
      </c>
      <c r="CC302" s="268">
        <f>SUM(CC294,CC295,CC296,CC297,CC298,CC299,CC300,CC301)</f>
        <v>0</v>
      </c>
      <c r="CD302" s="268">
        <f>SUM(CD294,CD295,CD296,CD297,CD298,CD299,CD300,CD301)</f>
        <v>0</v>
      </c>
      <c r="CE302" s="268">
        <f>SUM(CE294,CE295,CE296,CE297,CE298,CE299,CE300,CE301)</f>
        <v>0</v>
      </c>
      <c r="CF302" s="268">
        <f>SUM(CF294,CF295,CF296,CF297,CF298,CF299,CF300,CF301)</f>
        <v>0</v>
      </c>
      <c r="CG302" s="268">
        <f>SUM(CG294,CG295,CG296,CG297,CG298,CG299,CG300,CG301)</f>
        <v>0</v>
      </c>
      <c r="CH302" s="268">
        <f>SUM(CH294,CH295,CH296,CH297,CH298,CH299,CH300,CH301)</f>
        <v>0</v>
      </c>
      <c r="CI302" s="268">
        <f>SUM(CI294,CI295,CI296,CI297,CI298,CI299,CI300,CI301)</f>
        <v>0</v>
      </c>
      <c r="CJ302" s="268">
        <f>SUM(CJ294,CJ295,CJ296,CJ297,CJ298,CJ299,CJ300,CJ301)</f>
        <v>0</v>
      </c>
      <c r="CK302" s="268">
        <f>SUM(CK294,CK295,CK296,CK297,CK298,CK299,CK300,CK301)</f>
        <v>0</v>
      </c>
      <c r="CL302" s="268">
        <f>SUM(CL294,CL295,CL296,CL297,CL298,CL299,CL300,CL301)</f>
        <v>0</v>
      </c>
      <c r="CM302" s="268">
        <f>SUM(CM294,CM295,CM296,CM297,CM298,CM299,CM300,CM301)</f>
        <v>0</v>
      </c>
      <c r="CN302" s="268">
        <f>SUM(CN294,CN295,CN296,CN297,CN298,CN299,CN300,CN301)</f>
        <v>0</v>
      </c>
      <c r="CO302" s="268">
        <f>SUM(CO294,CO295,CO296,CO297,CO298,CO299,CO300,CO301)</f>
        <v>0</v>
      </c>
      <c r="CP302" s="268">
        <f>SUM(CP294,CP295,CP296,CP297,CP298,CP299,CP300,CP301)</f>
        <v>0</v>
      </c>
      <c r="CQ302" s="268">
        <f>SUM(CQ294,CQ295,CQ296,CQ297,CQ298,CQ299,CQ300,CQ301)</f>
        <v>0</v>
      </c>
      <c r="CR302" s="268">
        <f>SUM(CR294,CR295,CR296,CR297,CR298,CR299,CR300,CR301)</f>
        <v>0</v>
      </c>
      <c r="CS302" s="268">
        <f>SUM(CS294,CS295,CS296,CS297,CS298,CS299,CS300,CS301)</f>
        <v>0</v>
      </c>
      <c r="CT302" s="268">
        <f>SUM(CT294,CT295,CT296,CT297,CT298,CT299,CT300,CT301)</f>
        <v>0</v>
      </c>
      <c r="CU302" s="268">
        <f>SUM(CU294,CU295,CU296,CU297,CU298,CU299,CU300,CU301)</f>
        <v>0</v>
      </c>
      <c r="CV302" s="268">
        <f>SUM(CV294,CV295,CV296,CV297,CV298,CV299,CV300,CV301)</f>
        <v>0</v>
      </c>
      <c r="CW302" s="268">
        <f>SUM(CW294,CW295,CW296,CW297,CW298,CW299,CW300,CW301)</f>
        <v>0</v>
      </c>
      <c r="CX302" s="268">
        <f>SUM(CX294,CX295,CX296,CX297,CX298,CX299,CX300,CX301)</f>
        <v>0</v>
      </c>
      <c r="CY302" s="268">
        <f>SUM(CY294,CY295,CY296,CY297,CY298,CY299,CY300,CY301)</f>
        <v>0</v>
      </c>
    </row>
    <row r="303" ht="12.75" customHeight="1" s="255">
      <c r="C303" s="270" t="n"/>
      <c r="D303" s="268" t="n"/>
      <c r="E303" s="268" t="n"/>
      <c r="F303" s="268" t="n"/>
      <c r="G303" s="268" t="n"/>
      <c r="H303" s="268" t="n"/>
      <c r="I303" s="268" t="n"/>
      <c r="J303" s="268" t="n"/>
      <c r="K303" s="268" t="n"/>
      <c r="L303" s="268" t="n"/>
      <c r="M303" s="268" t="n"/>
      <c r="N303" s="268" t="n"/>
      <c r="O303" s="268" t="n"/>
      <c r="P303" s="268" t="n"/>
      <c r="Q303" s="268" t="n"/>
      <c r="R303" s="268" t="n"/>
      <c r="S303" s="268" t="n"/>
      <c r="T303" s="268" t="n"/>
      <c r="U303" s="268" t="n"/>
      <c r="V303" s="268" t="n"/>
      <c r="W303" s="268" t="n"/>
      <c r="X303" s="268" t="n"/>
      <c r="Y303" s="268" t="n"/>
      <c r="Z303" s="268" t="n"/>
      <c r="AA303" s="268" t="n"/>
      <c r="AB303" s="268" t="n"/>
      <c r="AC303" s="268" t="n"/>
      <c r="AD303" s="268" t="n"/>
      <c r="AE303" s="268" t="n"/>
      <c r="AF303" s="268" t="n"/>
      <c r="AG303" s="268" t="n"/>
      <c r="AH303" s="268" t="n"/>
      <c r="AI303" s="268" t="n"/>
      <c r="AJ303" s="268" t="n"/>
      <c r="AK303" s="268" t="n"/>
      <c r="AL303" s="268" t="n"/>
      <c r="AM303" s="268" t="n"/>
      <c r="AN303" s="268" t="n"/>
      <c r="AO303" s="268" t="n"/>
      <c r="AP303" s="268" t="n"/>
      <c r="AQ303" s="268" t="n"/>
      <c r="AR303" s="268" t="n"/>
      <c r="AS303" s="268" t="n"/>
      <c r="AT303" s="268" t="n"/>
      <c r="AU303" s="268" t="n"/>
      <c r="AV303" s="268" t="n"/>
      <c r="AW303" s="268" t="n"/>
      <c r="AX303" s="268" t="n"/>
      <c r="AY303" s="268" t="n"/>
      <c r="AZ303" s="268" t="n"/>
      <c r="BA303" s="268" t="n"/>
      <c r="BB303" s="268" t="n"/>
      <c r="BC303" s="268" t="n"/>
      <c r="BD303" s="268" t="n"/>
      <c r="BE303" s="268" t="n"/>
      <c r="BF303" s="268" t="n"/>
      <c r="BG303" s="268" t="n"/>
      <c r="BH303" s="268" t="n"/>
      <c r="BI303" s="268" t="n"/>
      <c r="BJ303" s="268" t="n"/>
      <c r="BK303" s="268" t="n"/>
      <c r="BL303" s="268" t="n"/>
      <c r="BM303" s="268" t="n"/>
      <c r="BN303" s="268" t="n"/>
      <c r="BO303" s="268" t="n"/>
      <c r="BP303" s="268" t="n"/>
      <c r="BQ303" s="268" t="n"/>
      <c r="BR303" s="268" t="n"/>
      <c r="BS303" s="268" t="n"/>
      <c r="BT303" s="268" t="n"/>
      <c r="BU303" s="268" t="n"/>
      <c r="BV303" s="268" t="n"/>
      <c r="BW303" s="268" t="n"/>
      <c r="BX303" s="268" t="n"/>
      <c r="BY303" s="268" t="n"/>
      <c r="BZ303" s="268" t="n"/>
      <c r="CA303" s="268" t="n"/>
      <c r="CB303" s="268" t="n"/>
      <c r="CC303" s="268" t="n"/>
      <c r="CD303" s="268" t="n"/>
      <c r="CE303" s="268" t="n"/>
      <c r="CF303" s="268" t="n"/>
      <c r="CG303" s="268" t="n"/>
      <c r="CH303" s="268" t="n"/>
      <c r="CI303" s="268" t="n"/>
      <c r="CJ303" s="268" t="n"/>
      <c r="CK303" s="268" t="n"/>
      <c r="CL303" s="268" t="n"/>
      <c r="CM303" s="268" t="n"/>
      <c r="CN303" s="268" t="n"/>
      <c r="CO303" s="268" t="n"/>
      <c r="CP303" s="268" t="n"/>
      <c r="CQ303" s="268" t="n"/>
      <c r="CR303" s="268" t="n"/>
      <c r="CS303" s="268" t="n"/>
      <c r="CT303" s="268" t="n"/>
      <c r="CU303" s="268" t="n"/>
      <c r="CV303" s="268" t="n"/>
      <c r="CW303" s="268" t="n"/>
      <c r="CX303" s="268" t="n"/>
      <c r="CY303" s="268" t="n"/>
    </row>
    <row r="304" ht="12.75" customHeight="1" s="255">
      <c r="C304" s="270" t="inlineStr">
        <is>
          <t>Others</t>
        </is>
      </c>
      <c r="D304" s="268" t="n"/>
      <c r="E304" s="268" t="n"/>
      <c r="F304" s="268" t="n"/>
      <c r="G304" s="268" t="n"/>
      <c r="H304" s="268">
        <f>SUM(D304:G304)</f>
        <v>0</v>
      </c>
      <c r="I304" s="268" t="n"/>
      <c r="J304" s="268" t="n"/>
      <c r="K304" s="268" t="n"/>
      <c r="L304" s="268" t="n"/>
      <c r="M304" s="268">
        <f>SUM(I304:L304)</f>
        <v>0</v>
      </c>
      <c r="N304" s="268" t="n"/>
      <c r="O304" s="268" t="n"/>
      <c r="P304" s="268" t="n"/>
      <c r="Q304" s="268" t="n"/>
      <c r="R304" s="268">
        <f>SUM(N304:Q304)</f>
        <v>0</v>
      </c>
      <c r="S304" s="268" t="n"/>
      <c r="T304" s="268" t="n"/>
      <c r="U304" s="268" t="n"/>
      <c r="V304" s="268" t="n"/>
      <c r="W304" s="268">
        <f>SUM(S304:V304)</f>
        <v>0</v>
      </c>
      <c r="X304" s="268" t="n"/>
      <c r="Y304" s="268" t="n"/>
      <c r="Z304" s="268" t="n"/>
      <c r="AA304" s="268" t="n"/>
      <c r="AB304" s="268">
        <f>SUM(X304:AA304)</f>
        <v>0</v>
      </c>
      <c r="AC304" s="268" t="n"/>
      <c r="AD304" s="268" t="n"/>
      <c r="AE304" s="268" t="n"/>
      <c r="AF304" s="268" t="n"/>
      <c r="AG304" s="268">
        <f>SUM(AC304:AF304)</f>
        <v>0</v>
      </c>
      <c r="AH304" s="268" t="n"/>
      <c r="AI304" s="268" t="n"/>
      <c r="AJ304" s="268" t="n"/>
      <c r="AK304" s="268" t="n"/>
      <c r="AL304" s="268">
        <f>SUM(AH304:AK304)</f>
        <v>0</v>
      </c>
      <c r="AM304" s="268" t="n"/>
      <c r="AN304" s="268" t="n"/>
      <c r="AO304" s="268" t="n"/>
      <c r="AP304" s="268" t="n"/>
      <c r="AQ304" s="268">
        <f>SUM(AM304:AP304)</f>
        <v>0</v>
      </c>
      <c r="AR304" s="268" t="n"/>
      <c r="AS304" s="268" t="n"/>
      <c r="AT304" s="268" t="n"/>
      <c r="AU304" s="268" t="n"/>
      <c r="AV304" s="268">
        <f>SUM(AR304:AU304)</f>
        <v>0</v>
      </c>
      <c r="AW304" s="268" t="n"/>
      <c r="AX304" s="268" t="n"/>
      <c r="AY304" s="268" t="n"/>
      <c r="AZ304" s="268" t="n"/>
      <c r="BA304" s="268">
        <f>SUM(AW304:AZ304)</f>
        <v>0</v>
      </c>
      <c r="BB304" s="268" t="n"/>
      <c r="BC304" s="268" t="n"/>
      <c r="BD304" s="268" t="n"/>
      <c r="BE304" s="268" t="n"/>
      <c r="BF304" s="268">
        <f>SUM(BB304:BE304)</f>
        <v>0</v>
      </c>
      <c r="BG304" s="268" t="n"/>
      <c r="BH304" s="268" t="n"/>
      <c r="BI304" s="268" t="n"/>
      <c r="BJ304" s="268" t="n"/>
      <c r="BK304" s="268">
        <f>SUM(BG304:BJ304)</f>
        <v>0</v>
      </c>
      <c r="BL304" s="268" t="n"/>
      <c r="BM304" s="268" t="n"/>
      <c r="BN304" s="268" t="n"/>
      <c r="BO304" s="268" t="n"/>
      <c r="BP304" s="268">
        <f>SUM(BL304:BO304)</f>
        <v>0</v>
      </c>
      <c r="BQ304" s="268" t="n"/>
      <c r="BR304" s="268" t="n"/>
      <c r="BS304" s="268" t="n"/>
      <c r="BT304" s="268" t="n"/>
      <c r="BU304" s="268">
        <f>SUM(BQ304:BT304)</f>
        <v>0</v>
      </c>
      <c r="BV304" s="268" t="n"/>
      <c r="BW304" s="268" t="n"/>
      <c r="BX304" s="268" t="n"/>
      <c r="BY304" s="268" t="n"/>
      <c r="BZ304" s="268">
        <f>SUM(BV304:BY304)</f>
        <v>0</v>
      </c>
      <c r="CA304" s="268" t="n"/>
      <c r="CB304" s="268" t="n"/>
      <c r="CC304" s="268" t="n"/>
      <c r="CD304" s="268" t="n"/>
      <c r="CE304" s="268">
        <f>SUM(CA304:CD304)</f>
        <v>0</v>
      </c>
      <c r="CF304" s="268" t="n"/>
      <c r="CG304" s="268" t="n"/>
      <c r="CH304" s="268" t="n"/>
      <c r="CI304" s="268" t="n"/>
      <c r="CJ304" s="268">
        <f>SUM(CF304:CI304)</f>
        <v>0</v>
      </c>
      <c r="CK304" s="268" t="n"/>
      <c r="CL304" s="268" t="n"/>
      <c r="CM304" s="268" t="n"/>
      <c r="CN304" s="268" t="n"/>
      <c r="CO304" s="268">
        <f>SUM(CK304:CN304)</f>
        <v>0</v>
      </c>
      <c r="CP304" s="268" t="n"/>
      <c r="CQ304" s="268" t="n"/>
      <c r="CR304" s="268" t="n"/>
      <c r="CS304" s="268" t="n"/>
      <c r="CT304" s="268">
        <f>SUM(CP304:CS304)</f>
        <v>0</v>
      </c>
      <c r="CU304" s="268" t="n"/>
      <c r="CV304" s="268" t="n"/>
      <c r="CW304" s="268" t="n"/>
      <c r="CX304" s="268" t="n"/>
      <c r="CY304" s="268">
        <f>SUM(CU304:CX304)</f>
        <v>0</v>
      </c>
    </row>
    <row r="305" ht="12.75" customHeight="1" s="255">
      <c r="C305" s="270" t="n"/>
      <c r="D305" s="268" t="n"/>
      <c r="E305" s="268" t="n"/>
      <c r="F305" s="268" t="n"/>
      <c r="G305" s="268" t="n"/>
      <c r="H305" s="268" t="n"/>
      <c r="I305" s="268" t="n"/>
      <c r="J305" s="268" t="n"/>
      <c r="K305" s="268" t="n"/>
      <c r="L305" s="268" t="n"/>
      <c r="M305" s="268" t="n"/>
      <c r="N305" s="268" t="n"/>
      <c r="O305" s="268" t="n"/>
      <c r="P305" s="268" t="n"/>
      <c r="Q305" s="268" t="n"/>
      <c r="R305" s="268" t="n"/>
      <c r="S305" s="268" t="n"/>
      <c r="T305" s="268" t="n"/>
      <c r="U305" s="268" t="n"/>
      <c r="V305" s="268" t="n"/>
      <c r="W305" s="268" t="n"/>
      <c r="X305" s="268" t="n"/>
      <c r="Y305" s="268" t="n"/>
      <c r="Z305" s="268" t="n"/>
      <c r="AA305" s="268" t="n"/>
      <c r="AB305" s="268" t="n"/>
      <c r="AC305" s="268" t="n"/>
      <c r="AD305" s="268" t="n"/>
      <c r="AE305" s="268" t="n"/>
      <c r="AF305" s="268" t="n"/>
      <c r="AG305" s="268" t="n"/>
      <c r="AH305" s="268" t="n"/>
      <c r="AI305" s="268" t="n"/>
      <c r="AJ305" s="268" t="n"/>
      <c r="AK305" s="268" t="n"/>
      <c r="AL305" s="268" t="n"/>
      <c r="AM305" s="268" t="n"/>
      <c r="AN305" s="268" t="n"/>
      <c r="AO305" s="268" t="n"/>
      <c r="AP305" s="268" t="n"/>
      <c r="AQ305" s="268" t="n"/>
      <c r="AR305" s="268" t="n"/>
      <c r="AS305" s="268" t="n"/>
      <c r="AT305" s="268" t="n"/>
      <c r="AU305" s="268" t="n"/>
      <c r="AV305" s="268" t="n"/>
      <c r="AW305" s="268" t="n"/>
      <c r="AX305" s="268" t="n"/>
      <c r="AY305" s="268" t="n"/>
      <c r="AZ305" s="268" t="n"/>
      <c r="BA305" s="268" t="n"/>
      <c r="BB305" s="268" t="n"/>
      <c r="BC305" s="268" t="n"/>
      <c r="BD305" s="268" t="n"/>
      <c r="BE305" s="268" t="n"/>
      <c r="BF305" s="268" t="n"/>
      <c r="BG305" s="268" t="n"/>
      <c r="BH305" s="268" t="n"/>
      <c r="BI305" s="268" t="n"/>
      <c r="BJ305" s="268" t="n"/>
      <c r="BK305" s="268" t="n"/>
      <c r="BL305" s="268" t="n"/>
      <c r="BM305" s="268" t="n"/>
      <c r="BN305" s="268" t="n"/>
      <c r="BO305" s="268" t="n"/>
      <c r="BP305" s="268" t="n"/>
      <c r="BQ305" s="268" t="n"/>
      <c r="BR305" s="268" t="n"/>
      <c r="BS305" s="268" t="n"/>
      <c r="BT305" s="268" t="n"/>
      <c r="BU305" s="268" t="n"/>
      <c r="BV305" s="268" t="n"/>
      <c r="BW305" s="268" t="n"/>
      <c r="BX305" s="268" t="n"/>
      <c r="BY305" s="268" t="n"/>
      <c r="BZ305" s="268" t="n"/>
      <c r="CA305" s="268" t="n"/>
      <c r="CB305" s="268" t="n"/>
      <c r="CC305" s="268" t="n"/>
      <c r="CD305" s="268" t="n"/>
      <c r="CE305" s="268" t="n"/>
      <c r="CF305" s="268" t="n"/>
      <c r="CG305" s="268" t="n"/>
      <c r="CH305" s="268" t="n"/>
      <c r="CI305" s="268" t="n"/>
      <c r="CJ305" s="268" t="n"/>
      <c r="CK305" s="268" t="n"/>
      <c r="CL305" s="268" t="n"/>
      <c r="CM305" s="268" t="n"/>
      <c r="CN305" s="268" t="n"/>
      <c r="CO305" s="268" t="n"/>
      <c r="CP305" s="268" t="n"/>
      <c r="CQ305" s="268" t="n"/>
      <c r="CR305" s="268" t="n"/>
      <c r="CS305" s="268" t="n"/>
      <c r="CT305" s="268" t="n"/>
      <c r="CU305" s="268" t="n"/>
      <c r="CV305" s="268" t="n"/>
      <c r="CW305" s="268" t="n"/>
      <c r="CX305" s="268" t="n"/>
      <c r="CY305" s="268" t="n"/>
    </row>
    <row r="306" ht="12.75" customHeight="1" s="255">
      <c r="C306" s="270" t="inlineStr">
        <is>
          <t>Total increase/decrease of cash</t>
        </is>
      </c>
      <c r="D306" s="268" t="n"/>
      <c r="E306" s="268">
        <f>SUM(E285,E292,E302,E304)</f>
        <v>-137</v>
      </c>
      <c r="F306" s="268">
        <f>SUM(F285,F292,F302,F304)</f>
        <v>938</v>
      </c>
      <c r="G306" s="268">
        <f>SUM(G285,G292,G302,G304)</f>
        <v>5157</v>
      </c>
      <c r="H306" s="268">
        <f>SUM(D306:G306)</f>
        <v>5958</v>
      </c>
      <c r="I306" s="268">
        <f>SUM(I285,I292,I302,I304)</f>
        <v>-2980</v>
      </c>
      <c r="J306" s="268">
        <f>SUM(J285,J292,J302,J304)</f>
        <v>1733</v>
      </c>
      <c r="K306" s="268">
        <f>SUM(K285,K292,K302,K304)</f>
        <v>1359</v>
      </c>
      <c r="L306" s="268">
        <f>SUM(L285,L292,L302,L304)</f>
        <v>8710</v>
      </c>
      <c r="M306" s="268">
        <f>SUM(I306:L306)</f>
        <v>8822</v>
      </c>
      <c r="N306" s="268">
        <f>SUM(N285,N292,N302,N304)</f>
        <v>-8044</v>
      </c>
      <c r="O306" s="268">
        <f>SUM(O285,O292,O302,O304)</f>
        <v>1154</v>
      </c>
      <c r="P306" s="268">
        <f>SUM(P285,P292,P302,P304)</f>
        <v>-914</v>
      </c>
      <c r="Q306" s="268">
        <f>SUM(Q285,Q292,Q302,Q304)</f>
        <v>7958</v>
      </c>
      <c r="R306" s="268">
        <f>SUM(N306:Q306)</f>
        <v>154</v>
      </c>
      <c r="S306" s="268">
        <f>SUM(S285,S292,S302,S304)</f>
        <v>-9684</v>
      </c>
      <c r="T306" s="268">
        <f>SUM(T285,T292,T302,T304)</f>
        <v>-169</v>
      </c>
      <c r="U306" s="268">
        <f>SUM(U285,U292,U302,U304)</f>
        <v>-938</v>
      </c>
      <c r="V306" s="268">
        <f>SUM(V285,V292,V302,V304)</f>
        <v>5076</v>
      </c>
      <c r="W306" s="268">
        <f>SUM(S306:V306)</f>
        <v>-5715</v>
      </c>
      <c r="X306" s="268">
        <f>SUM(X285,X292,X302,X304)</f>
        <v>-5613</v>
      </c>
      <c r="Y306" s="268">
        <f>SUM(Y285,Y292,Y302,Y304)</f>
        <v>65</v>
      </c>
      <c r="Z306" s="268">
        <f>SUM(Z285,Z292,Z302,Z304)</f>
        <v>-273</v>
      </c>
      <c r="AA306" s="268">
        <f>SUM(AA285,AA292,AA302,AA304)</f>
        <v>3834</v>
      </c>
      <c r="AB306" s="268">
        <f>SUM(X306:AA306)</f>
        <v>-1987</v>
      </c>
      <c r="AC306" s="268">
        <f>SUM(AC285,AC292,AC302,AC304)</f>
        <v>-4449</v>
      </c>
      <c r="AD306" s="268">
        <f>SUM(AD285,AD292,AD302,AD304)</f>
        <v>105</v>
      </c>
      <c r="AE306" s="268">
        <f>SUM(AE285,AE292,AE302,AE304)</f>
        <v>-172</v>
      </c>
      <c r="AF306" s="268">
        <f>SUM(AF285,AF292,AF302,AF304)</f>
        <v>3679</v>
      </c>
      <c r="AG306" s="268">
        <f>SUM(AC306:AF306)</f>
        <v>-837</v>
      </c>
      <c r="AH306" s="268">
        <f>SUM(AH285,AH292,AH302,AH304)</f>
        <v>-4260</v>
      </c>
      <c r="AI306" s="268">
        <f>SUM(AI285,AI292,AI302,AI304)</f>
        <v>343</v>
      </c>
      <c r="AJ306" s="268">
        <f>SUM(AJ285,AJ292,AJ302,AJ304)</f>
        <v>-4478</v>
      </c>
      <c r="AK306" s="268">
        <f>SUM(AK285,AK292,AK302,AK304)</f>
        <v>-73</v>
      </c>
      <c r="AL306" s="268">
        <f>SUM(AH306:AK306)</f>
        <v>-8468</v>
      </c>
      <c r="AM306" s="268" t="e">
        <f>SUM(AM285,AM292,AM302,AM304)</f>
        <v>#DIV/0!</v>
      </c>
      <c r="AN306" s="268" t="e">
        <f>SUM(AN285,AN292,AN302,AN304)</f>
        <v>#DIV/0!</v>
      </c>
      <c r="AO306" s="268" t="e">
        <f>SUM(AO285,AO292,AO302,AO304)</f>
        <v>#DIV/0!</v>
      </c>
      <c r="AP306" s="268" t="e">
        <f>SUM(AP285,AP292,AP302,AP304)</f>
        <v>#DIV/0!</v>
      </c>
      <c r="AQ306" s="268" t="e">
        <f>SUM(AM306:AP306)</f>
        <v>#DIV/0!</v>
      </c>
      <c r="AR306" s="268" t="e">
        <f>SUM(AR285,AR292,AR302,AR304)</f>
        <v>#DIV/0!</v>
      </c>
      <c r="AS306" s="268" t="e">
        <f>SUM(AS285,AS292,AS302,AS304)</f>
        <v>#DIV/0!</v>
      </c>
      <c r="AT306" s="268" t="e">
        <f>SUM(AT285,AT292,AT302,AT304)</f>
        <v>#DIV/0!</v>
      </c>
      <c r="AU306" s="268" t="e">
        <f>SUM(AU285,AU292,AU302,AU304)</f>
        <v>#DIV/0!</v>
      </c>
      <c r="AV306" s="268" t="e">
        <f>SUM(AR306:AU306)</f>
        <v>#DIV/0!</v>
      </c>
      <c r="AW306" s="268" t="e">
        <f>SUM(AW285,AW292,AW302,AW304)</f>
        <v>#DIV/0!</v>
      </c>
      <c r="AX306" s="268" t="e">
        <f>SUM(AX285,AX292,AX302,AX304)</f>
        <v>#DIV/0!</v>
      </c>
      <c r="AY306" s="268" t="e">
        <f>SUM(AY285,AY292,AY302,AY304)</f>
        <v>#DIV/0!</v>
      </c>
      <c r="AZ306" s="268" t="e">
        <f>SUM(AZ285,AZ292,AZ302,AZ304)</f>
        <v>#DIV/0!</v>
      </c>
      <c r="BA306" s="268" t="e">
        <f>SUM(AW306:AZ306)</f>
        <v>#DIV/0!</v>
      </c>
      <c r="BB306" s="268" t="e">
        <f>SUM(BB285,BB292,BB302,BB304)</f>
        <v>#DIV/0!</v>
      </c>
      <c r="BC306" s="268" t="e">
        <f>SUM(BC285,BC292,BC302,BC304)</f>
        <v>#DIV/0!</v>
      </c>
      <c r="BD306" s="268" t="e">
        <f>SUM(BD285,BD292,BD302,BD304)</f>
        <v>#DIV/0!</v>
      </c>
      <c r="BE306" s="268" t="e">
        <f>SUM(BE285,BE292,BE302,BE304)</f>
        <v>#DIV/0!</v>
      </c>
      <c r="BF306" s="268" t="e">
        <f>SUM(BB306:BE306)</f>
        <v>#DIV/0!</v>
      </c>
      <c r="BG306" s="268" t="e">
        <f>SUM(BG285,BG292,BG302,BG304)</f>
        <v>#DIV/0!</v>
      </c>
      <c r="BH306" s="268" t="e">
        <f>SUM(BH285,BH292,BH302,BH304)</f>
        <v>#DIV/0!</v>
      </c>
      <c r="BI306" s="268" t="e">
        <f>SUM(BI285,BI292,BI302,BI304)</f>
        <v>#DIV/0!</v>
      </c>
      <c r="BJ306" s="268" t="e">
        <f>SUM(BJ285,BJ292,BJ302,BJ304)</f>
        <v>#DIV/0!</v>
      </c>
      <c r="BK306" s="268" t="e">
        <f>SUM(BG306:BJ306)</f>
        <v>#DIV/0!</v>
      </c>
      <c r="BL306" s="268" t="e">
        <f>SUM(BL285,BL292,BL302,BL304)</f>
        <v>#DIV/0!</v>
      </c>
      <c r="BM306" s="268" t="e">
        <f>SUM(BM285,BM292,BM302,BM304)</f>
        <v>#DIV/0!</v>
      </c>
      <c r="BN306" s="268" t="e">
        <f>SUM(BN285,BN292,BN302,BN304)</f>
        <v>#DIV/0!</v>
      </c>
      <c r="BO306" s="268" t="e">
        <f>SUM(BO285,BO292,BO302,BO304)</f>
        <v>#DIV/0!</v>
      </c>
      <c r="BP306" s="268" t="e">
        <f>SUM(BL306:BO306)</f>
        <v>#DIV/0!</v>
      </c>
      <c r="BQ306" s="268" t="e">
        <f>SUM(BQ285,BQ292,BQ302,BQ304)</f>
        <v>#DIV/0!</v>
      </c>
      <c r="BR306" s="268" t="e">
        <f>SUM(BR285,BR292,BR302,BR304)</f>
        <v>#DIV/0!</v>
      </c>
      <c r="BS306" s="268" t="e">
        <f>SUM(BS285,BS292,BS302,BS304)</f>
        <v>#DIV/0!</v>
      </c>
      <c r="BT306" s="268" t="e">
        <f>SUM(BT285,BT292,BT302,BT304)</f>
        <v>#DIV/0!</v>
      </c>
      <c r="BU306" s="268" t="e">
        <f>SUM(BQ306:BT306)</f>
        <v>#DIV/0!</v>
      </c>
      <c r="BV306" s="268" t="e">
        <f>SUM(BV285,BV292,BV302,BV304)</f>
        <v>#DIV/0!</v>
      </c>
      <c r="BW306" s="268" t="e">
        <f>SUM(BW285,BW292,BW302,BW304)</f>
        <v>#DIV/0!</v>
      </c>
      <c r="BX306" s="268" t="e">
        <f>SUM(BX285,BX292,BX302,BX304)</f>
        <v>#DIV/0!</v>
      </c>
      <c r="BY306" s="268" t="e">
        <f>SUM(BY285,BY292,BY302,BY304)</f>
        <v>#DIV/0!</v>
      </c>
      <c r="BZ306" s="268" t="e">
        <f>SUM(BV306:BY306)</f>
        <v>#DIV/0!</v>
      </c>
      <c r="CA306" s="268" t="e">
        <f>SUM(CA285,CA292,CA302,CA304)</f>
        <v>#DIV/0!</v>
      </c>
      <c r="CB306" s="268" t="e">
        <f>SUM(CB285,CB292,CB302,CB304)</f>
        <v>#DIV/0!</v>
      </c>
      <c r="CC306" s="268" t="e">
        <f>SUM(CC285,CC292,CC302,CC304)</f>
        <v>#DIV/0!</v>
      </c>
      <c r="CD306" s="268" t="e">
        <f>SUM(CD285,CD292,CD302,CD304)</f>
        <v>#DIV/0!</v>
      </c>
      <c r="CE306" s="268" t="e">
        <f>SUM(CA306:CD306)</f>
        <v>#DIV/0!</v>
      </c>
      <c r="CF306" s="268" t="e">
        <f>SUM(CF285,CF292,CF302,CF304)</f>
        <v>#DIV/0!</v>
      </c>
      <c r="CG306" s="268" t="e">
        <f>SUM(CG285,CG292,CG302,CG304)</f>
        <v>#DIV/0!</v>
      </c>
      <c r="CH306" s="268" t="e">
        <f>SUM(CH285,CH292,CH302,CH304)</f>
        <v>#DIV/0!</v>
      </c>
      <c r="CI306" s="268" t="e">
        <f>SUM(CI285,CI292,CI302,CI304)</f>
        <v>#DIV/0!</v>
      </c>
      <c r="CJ306" s="268" t="e">
        <f>SUM(CF306:CI306)</f>
        <v>#DIV/0!</v>
      </c>
      <c r="CK306" s="268" t="e">
        <f>SUM(CK285,CK292,CK302,CK304)</f>
        <v>#DIV/0!</v>
      </c>
      <c r="CL306" s="268" t="e">
        <f>SUM(CL285,CL292,CL302,CL304)</f>
        <v>#DIV/0!</v>
      </c>
      <c r="CM306" s="268" t="e">
        <f>SUM(CM285,CM292,CM302,CM304)</f>
        <v>#DIV/0!</v>
      </c>
      <c r="CN306" s="268" t="e">
        <f>SUM(CN285,CN292,CN302,CN304)</f>
        <v>#DIV/0!</v>
      </c>
      <c r="CO306" s="268" t="e">
        <f>SUM(CK306:CN306)</f>
        <v>#DIV/0!</v>
      </c>
      <c r="CP306" s="268" t="e">
        <f>SUM(CP285,CP292,CP302,CP304)</f>
        <v>#DIV/0!</v>
      </c>
      <c r="CQ306" s="268" t="e">
        <f>SUM(CQ285,CQ292,CQ302,CQ304)</f>
        <v>#DIV/0!</v>
      </c>
      <c r="CR306" s="268" t="e">
        <f>SUM(CR285,CR292,CR302,CR304)</f>
        <v>#DIV/0!</v>
      </c>
      <c r="CS306" s="268" t="e">
        <f>SUM(CS285,CS292,CS302,CS304)</f>
        <v>#DIV/0!</v>
      </c>
      <c r="CT306" s="268" t="e">
        <f>SUM(CP306:CS306)</f>
        <v>#DIV/0!</v>
      </c>
      <c r="CU306" s="268" t="e">
        <f>SUM(CU285,CU292,CU302,CU304)</f>
        <v>#DIV/0!</v>
      </c>
      <c r="CV306" s="268" t="e">
        <f>SUM(CV285,CV292,CV302,CV304)</f>
        <v>#DIV/0!</v>
      </c>
      <c r="CW306" s="268" t="e">
        <f>SUM(CW285,CW292,CW302,CW304)</f>
        <v>#DIV/0!</v>
      </c>
      <c r="CX306" s="268" t="e">
        <f>SUM(CX285,CX292,CX302,CX304)</f>
        <v>#DIV/0!</v>
      </c>
      <c r="CY306" s="268" t="e">
        <f>SUM(CU306:CX306)</f>
        <v>#DIV/0!</v>
      </c>
    </row>
    <row r="307" ht="12.75" customHeight="1" s="255">
      <c r="C307" s="260" t="inlineStr">
        <is>
          <t>Check</t>
        </is>
      </c>
      <c r="E307" s="329">
        <f>(E306)-(E136-D136)</f>
        <v>0</v>
      </c>
      <c r="F307" s="329">
        <f>(F306)-(F136-E136)</f>
        <v>0</v>
      </c>
      <c r="G307" s="329">
        <f>(G306)-(G136-F136)</f>
        <v>0</v>
      </c>
      <c r="I307" s="329">
        <f>(I306)-(I136-H136)</f>
        <v>0</v>
      </c>
      <c r="J307" s="329">
        <f>(J306)-(J136-I136)</f>
        <v>0</v>
      </c>
      <c r="K307" s="329">
        <f>(K306)-(K136-J136)</f>
        <v>0</v>
      </c>
      <c r="L307" s="329">
        <f>(L306)-(L136-K136)</f>
        <v>0</v>
      </c>
      <c r="N307" s="329">
        <f>(N306)-(N136-M136)</f>
        <v>0</v>
      </c>
      <c r="O307" s="329">
        <f>(O306)-(O136-N136)</f>
        <v>0</v>
      </c>
      <c r="P307" s="329">
        <f>(P306)-(P136-O136)</f>
        <v>0</v>
      </c>
      <c r="Q307" s="329">
        <f>(Q306)-(Q136-P136)</f>
        <v>0</v>
      </c>
      <c r="S307" s="329">
        <f>(S306)-(S136-R136)</f>
        <v>0</v>
      </c>
      <c r="T307" s="329">
        <f>(T306)-(T136-S136)</f>
        <v>0</v>
      </c>
      <c r="U307" s="329">
        <f>(U306)-(U136-T136)</f>
        <v>0</v>
      </c>
      <c r="V307" s="329">
        <f>(V306)-(V136-U136)</f>
        <v>0</v>
      </c>
      <c r="X307" s="329">
        <f>(X306)-(X136-W136)</f>
        <v>0</v>
      </c>
      <c r="Y307" s="329">
        <f>(Y306)-(Y136-X136)</f>
        <v>0</v>
      </c>
      <c r="Z307" s="329">
        <f>(Z306)-(Z136-Y136)</f>
        <v>0</v>
      </c>
      <c r="AA307" s="329">
        <f>(AA306)-(AA136-Z136)</f>
        <v>0</v>
      </c>
      <c r="AC307" s="329">
        <f>(AC306)-(AC136-AB136)</f>
        <v>0</v>
      </c>
      <c r="AD307" s="329">
        <f>(AD306)-(AD136-AC136)</f>
        <v>0</v>
      </c>
      <c r="AE307" s="329">
        <f>(AE306)-(AE136-AD136)</f>
        <v>0</v>
      </c>
      <c r="AF307" s="329">
        <f>(AF306)-(AF136-AE136)</f>
        <v>0</v>
      </c>
      <c r="AH307" s="329">
        <f>(AH306)-(AH136-AG136)</f>
        <v>0</v>
      </c>
      <c r="AI307" s="329">
        <f>(AI306)-(AI136-AH136)</f>
        <v>0</v>
      </c>
      <c r="AJ307" s="329">
        <f>(AJ306)-(AJ136-AI136)</f>
        <v>0</v>
      </c>
      <c r="AK307" s="329">
        <f>(AK306)-(AK136-AJ136)</f>
        <v>0</v>
      </c>
      <c r="AM307" s="329" t="e">
        <f>(AM306)-(AM136-AL136)</f>
        <v>#DIV/0!</v>
      </c>
      <c r="AN307" s="329" t="e">
        <f>(AN306)-(AN136-AM136)</f>
        <v>#DIV/0!</v>
      </c>
      <c r="AO307" s="329" t="e">
        <f>(AO306)-(AO136-AN136)</f>
        <v>#DIV/0!</v>
      </c>
      <c r="AP307" s="329" t="e">
        <f>(AP306)-(AP136-AO136)</f>
        <v>#DIV/0!</v>
      </c>
      <c r="AR307" s="329" t="e">
        <f>(AR306)-(AR136-AQ136)</f>
        <v>#DIV/0!</v>
      </c>
      <c r="AS307" s="329" t="e">
        <f>(AS306)-(AS136-AR136)</f>
        <v>#DIV/0!</v>
      </c>
      <c r="AT307" s="329" t="e">
        <f>(AT306)-(AT136-AS136)</f>
        <v>#DIV/0!</v>
      </c>
      <c r="AU307" s="329" t="e">
        <f>(AU306)-(AU136-AT136)</f>
        <v>#DIV/0!</v>
      </c>
      <c r="AW307" s="329" t="e">
        <f>(AW306)-(AW136-AV136)</f>
        <v>#DIV/0!</v>
      </c>
      <c r="AX307" s="329" t="e">
        <f>(AX306)-(AX136-AW136)</f>
        <v>#DIV/0!</v>
      </c>
      <c r="AY307" s="329" t="e">
        <f>(AY306)-(AY136-AX136)</f>
        <v>#DIV/0!</v>
      </c>
      <c r="AZ307" s="329" t="e">
        <f>(AZ306)-(AZ136-AY136)</f>
        <v>#DIV/0!</v>
      </c>
      <c r="BB307" s="329" t="e">
        <f>(BB306)-(BB136-BA136)</f>
        <v>#DIV/0!</v>
      </c>
      <c r="BC307" s="329" t="e">
        <f>(BC306)-(BC136-BB136)</f>
        <v>#DIV/0!</v>
      </c>
      <c r="BD307" s="329" t="e">
        <f>(BD306)-(BD136-BC136)</f>
        <v>#DIV/0!</v>
      </c>
      <c r="BE307" s="329" t="e">
        <f>(BE306)-(BE136-BD136)</f>
        <v>#DIV/0!</v>
      </c>
      <c r="BG307" s="329" t="e">
        <f>(BG306)-(BG136-BF136)</f>
        <v>#DIV/0!</v>
      </c>
      <c r="BH307" s="329" t="e">
        <f>(BH306)-(BH136-BG136)</f>
        <v>#DIV/0!</v>
      </c>
      <c r="BI307" s="329" t="e">
        <f>(BI306)-(BI136-BH136)</f>
        <v>#DIV/0!</v>
      </c>
      <c r="BJ307" s="329" t="e">
        <f>(BJ306)-(BJ136-BI136)</f>
        <v>#DIV/0!</v>
      </c>
      <c r="BL307" s="329" t="e">
        <f>(BL306)-(BL136-BK136)</f>
        <v>#DIV/0!</v>
      </c>
      <c r="BM307" s="329" t="e">
        <f>(BM306)-(BM136-BL136)</f>
        <v>#DIV/0!</v>
      </c>
      <c r="BN307" s="329" t="e">
        <f>(BN306)-(BN136-BM136)</f>
        <v>#DIV/0!</v>
      </c>
      <c r="BO307" s="329" t="e">
        <f>(BO306)-(BO136-BN136)</f>
        <v>#DIV/0!</v>
      </c>
      <c r="BQ307" s="329" t="e">
        <f>(BQ306)-(BQ136-BP136)</f>
        <v>#DIV/0!</v>
      </c>
      <c r="BR307" s="329" t="e">
        <f>(BR306)-(BR136-BQ136)</f>
        <v>#DIV/0!</v>
      </c>
      <c r="BS307" s="329" t="e">
        <f>(BS306)-(BS136-BR136)</f>
        <v>#DIV/0!</v>
      </c>
      <c r="BT307" s="329" t="e">
        <f>(BT306)-(BT136-BS136)</f>
        <v>#DIV/0!</v>
      </c>
      <c r="BV307" s="329" t="e">
        <f>(BV306)-(BV136-BU136)</f>
        <v>#DIV/0!</v>
      </c>
      <c r="BW307" s="329" t="e">
        <f>(BW306)-(BW136-BV136)</f>
        <v>#DIV/0!</v>
      </c>
      <c r="BX307" s="329" t="e">
        <f>(BX306)-(BX136-BW136)</f>
        <v>#DIV/0!</v>
      </c>
      <c r="BY307" s="329" t="e">
        <f>(BY306)-(BY136-BX136)</f>
        <v>#DIV/0!</v>
      </c>
      <c r="CA307" s="329" t="e">
        <f>(CA306)-(CA136-BZ136)</f>
        <v>#DIV/0!</v>
      </c>
      <c r="CB307" s="329" t="e">
        <f>(CB306)-(CB136-CA136)</f>
        <v>#DIV/0!</v>
      </c>
      <c r="CC307" s="329" t="e">
        <f>(CC306)-(CC136-CB136)</f>
        <v>#DIV/0!</v>
      </c>
      <c r="CD307" s="329" t="e">
        <f>(CD306)-(CD136-CC136)</f>
        <v>#DIV/0!</v>
      </c>
      <c r="CF307" s="329" t="e">
        <f>(CF306)-(CF136-CE136)</f>
        <v>#DIV/0!</v>
      </c>
      <c r="CG307" s="329" t="e">
        <f>(CG306)-(CG136-CF136)</f>
        <v>#DIV/0!</v>
      </c>
      <c r="CH307" s="329" t="e">
        <f>(CH306)-(CH136-CG136)</f>
        <v>#DIV/0!</v>
      </c>
      <c r="CI307" s="329" t="e">
        <f>(CI306)-(CI136-CH136)</f>
        <v>#DIV/0!</v>
      </c>
      <c r="CK307" s="329" t="e">
        <f>(CK306)-(CK136-CJ136)</f>
        <v>#DIV/0!</v>
      </c>
      <c r="CL307" s="329" t="e">
        <f>(CL306)-(CL136-CK136)</f>
        <v>#DIV/0!</v>
      </c>
      <c r="CM307" s="329" t="e">
        <f>(CM306)-(CM136-CL136)</f>
        <v>#DIV/0!</v>
      </c>
      <c r="CN307" s="329" t="e">
        <f>(CN306)-(CN136-CM136)</f>
        <v>#DIV/0!</v>
      </c>
      <c r="CP307" s="329" t="e">
        <f>(CP306)-(CP136-CO136)</f>
        <v>#DIV/0!</v>
      </c>
      <c r="CQ307" s="329" t="e">
        <f>(CQ306)-(CQ136-CP136)</f>
        <v>#DIV/0!</v>
      </c>
      <c r="CR307" s="329" t="e">
        <f>(CR306)-(CR136-CQ136)</f>
        <v>#DIV/0!</v>
      </c>
      <c r="CS307" s="329" t="e">
        <f>(CS306)-(CS136-CR136)</f>
        <v>#DIV/0!</v>
      </c>
      <c r="CU307" s="329" t="e">
        <f>(CU306)-(CU136-CT136)</f>
        <v>#DIV/0!</v>
      </c>
      <c r="CV307" s="329" t="e">
        <f>(CV306)-(CV136-CU136)</f>
        <v>#DIV/0!</v>
      </c>
      <c r="CW307" s="329" t="e">
        <f>(CW306)-(CW136-CV136)</f>
        <v>#DIV/0!</v>
      </c>
      <c r="CX307" s="329" t="e">
        <f>(CX306)-(CX136-CW136)</f>
        <v>#DIV/0!</v>
      </c>
    </row>
    <row r="309" ht="12.75" customHeight="1" s="255">
      <c r="C309" s="330" t="inlineStr">
        <is>
          <t>Ratio Analysis</t>
        </is>
      </c>
      <c r="D309" s="330" t="n"/>
      <c r="E309" s="330" t="n"/>
      <c r="F309" s="330" t="n"/>
      <c r="G309" s="330" t="n"/>
      <c r="H309" s="330" t="n"/>
      <c r="I309" s="330" t="n"/>
      <c r="J309" s="330" t="n"/>
      <c r="K309" s="330" t="n"/>
      <c r="L309" s="330" t="n"/>
      <c r="M309" s="330" t="n"/>
      <c r="N309" s="330" t="n"/>
      <c r="O309" s="330" t="n"/>
      <c r="P309" s="330" t="n"/>
      <c r="Q309" s="330" t="n"/>
      <c r="R309" s="330" t="n"/>
      <c r="S309" s="330" t="n"/>
      <c r="T309" s="330" t="n"/>
      <c r="U309" s="330" t="n"/>
      <c r="V309" s="330" t="n"/>
      <c r="W309" s="330" t="n"/>
      <c r="X309" s="330" t="n"/>
      <c r="Y309" s="330" t="n"/>
      <c r="Z309" s="330" t="n"/>
      <c r="AA309" s="330" t="n"/>
      <c r="AB309" s="330" t="n"/>
      <c r="AC309" s="330" t="n"/>
      <c r="AD309" s="330" t="n"/>
      <c r="AE309" s="330" t="n"/>
      <c r="AF309" s="330" t="n"/>
      <c r="AG309" s="330" t="n"/>
      <c r="AH309" s="330" t="n"/>
      <c r="AI309" s="330" t="n"/>
      <c r="AJ309" s="330" t="n"/>
      <c r="AK309" s="330" t="n"/>
      <c r="AL309" s="330" t="n"/>
      <c r="AM309" s="330" t="n"/>
      <c r="AN309" s="330" t="n"/>
      <c r="AO309" s="330" t="n"/>
      <c r="AP309" s="330" t="n"/>
      <c r="AQ309" s="330" t="n"/>
      <c r="AR309" s="330" t="n"/>
      <c r="AS309" s="330" t="n"/>
      <c r="AT309" s="330" t="n"/>
      <c r="AU309" s="330" t="n"/>
      <c r="AV309" s="330" t="n"/>
      <c r="AW309" s="330" t="n"/>
      <c r="AX309" s="330" t="n"/>
      <c r="AY309" s="330" t="n"/>
      <c r="AZ309" s="330" t="n"/>
      <c r="BA309" s="330" t="n"/>
      <c r="BB309" s="330" t="n"/>
      <c r="BC309" s="330" t="n"/>
      <c r="BD309" s="330" t="n"/>
      <c r="BE309" s="330" t="n"/>
      <c r="BF309" s="330" t="n"/>
      <c r="BG309" s="330" t="n"/>
      <c r="BH309" s="330" t="n"/>
      <c r="BI309" s="330" t="n"/>
      <c r="BJ309" s="330" t="n"/>
      <c r="BK309" s="330" t="n"/>
      <c r="BL309" s="330" t="n"/>
      <c r="BM309" s="330" t="n"/>
      <c r="BN309" s="330" t="n"/>
      <c r="BO309" s="330" t="n"/>
      <c r="BP309" s="330" t="n"/>
      <c r="BQ309" s="330" t="n"/>
      <c r="BR309" s="330" t="n"/>
      <c r="BS309" s="330" t="n"/>
      <c r="BT309" s="330" t="n"/>
      <c r="BU309" s="330" t="n"/>
      <c r="BV309" s="330" t="n"/>
      <c r="BW309" s="330" t="n"/>
      <c r="BX309" s="330" t="n"/>
      <c r="BY309" s="330" t="n"/>
      <c r="BZ309" s="330" t="n"/>
      <c r="CA309" s="330" t="n"/>
      <c r="CB309" s="330" t="n"/>
      <c r="CC309" s="330" t="n"/>
      <c r="CD309" s="330" t="n"/>
      <c r="CE309" s="330" t="n"/>
      <c r="CF309" s="330" t="n"/>
      <c r="CG309" s="330" t="n"/>
      <c r="CH309" s="330" t="n"/>
      <c r="CI309" s="330" t="n"/>
      <c r="CJ309" s="330" t="n"/>
      <c r="CK309" s="330" t="n"/>
      <c r="CL309" s="330" t="n"/>
      <c r="CM309" s="330" t="n"/>
      <c r="CN309" s="330" t="n"/>
      <c r="CO309" s="330" t="n"/>
      <c r="CP309" s="330" t="n"/>
      <c r="CQ309" s="330" t="n"/>
      <c r="CR309" s="330" t="n"/>
      <c r="CS309" s="330" t="n"/>
      <c r="CT309" s="330" t="n"/>
      <c r="CU309" s="330" t="n"/>
      <c r="CV309" s="330" t="n"/>
      <c r="CW309" s="330" t="n"/>
      <c r="CX309" s="330" t="n"/>
      <c r="CY309" s="330" t="n"/>
    </row>
    <row r="311" ht="12.75" customFormat="1" customHeight="1" s="331">
      <c r="C311" s="331" t="inlineStr">
        <is>
          <t>YEAR</t>
        </is>
      </c>
      <c r="D311" s="331" t="str">
        <f>D267</f>
        <v>1Q20</v>
      </c>
      <c r="E311" s="332" t="str">
        <f>E267</f>
        <v>2Q20</v>
      </c>
      <c r="F311" s="332" t="str">
        <f>F267</f>
        <v>3Q20</v>
      </c>
      <c r="G311" s="332" t="str">
        <f>G267</f>
        <v>4Q20</v>
      </c>
      <c r="H311" s="332">
        <f>H267</f>
        <v>2020</v>
      </c>
      <c r="I311" s="332" t="str">
        <f>I267</f>
        <v>1Q21</v>
      </c>
      <c r="J311" s="332" t="str">
        <f>J267</f>
        <v>2Q21</v>
      </c>
      <c r="K311" s="332" t="str">
        <f>K267</f>
        <v>3Q21</v>
      </c>
      <c r="L311" s="332" t="str">
        <f>L267</f>
        <v>4Q21</v>
      </c>
      <c r="M311" s="332">
        <f>M267</f>
        <v>2021</v>
      </c>
      <c r="N311" s="332" t="str">
        <f>N267</f>
        <v>1Q22</v>
      </c>
      <c r="O311" s="332" t="str">
        <f>O267</f>
        <v>2Q22</v>
      </c>
      <c r="P311" s="332" t="str">
        <f>P267</f>
        <v>3Q22</v>
      </c>
      <c r="Q311" s="332" t="str">
        <f>Q267</f>
        <v>4Q22</v>
      </c>
      <c r="R311" s="332">
        <f>R267</f>
        <v>2022</v>
      </c>
      <c r="S311" s="332" t="str">
        <f>S267</f>
        <v>1Q23</v>
      </c>
      <c r="T311" s="332" t="str">
        <f>T267</f>
        <v>2Q23</v>
      </c>
      <c r="U311" s="332" t="str">
        <f>U267</f>
        <v>3Q23</v>
      </c>
      <c r="V311" s="332" t="str">
        <f>V267</f>
        <v>4Q23</v>
      </c>
      <c r="W311" s="332">
        <f>W267</f>
        <v>2023</v>
      </c>
      <c r="X311" s="332" t="str">
        <f>X267</f>
        <v>1Q24</v>
      </c>
      <c r="Y311" s="332" t="str">
        <f>Y267</f>
        <v>2Q24</v>
      </c>
      <c r="Z311" s="332" t="str">
        <f>Z267</f>
        <v>3Q24</v>
      </c>
      <c r="AA311" s="332" t="str">
        <f>AA267</f>
        <v>4Q24</v>
      </c>
      <c r="AB311" s="332">
        <f>AB267</f>
        <v>2024</v>
      </c>
      <c r="AC311" s="332" t="str">
        <f>AC267</f>
        <v>1Q25</v>
      </c>
      <c r="AD311" s="332" t="str">
        <f>AD267</f>
        <v>2Q25</v>
      </c>
      <c r="AE311" s="332" t="str">
        <f>AE267</f>
        <v>3Q25</v>
      </c>
      <c r="AF311" s="332" t="str">
        <f>AF267</f>
        <v>4Q25</v>
      </c>
      <c r="AG311" s="332">
        <f>AG267</f>
        <v>2025</v>
      </c>
      <c r="AH311" s="332" t="str">
        <f>AH267</f>
        <v>1Q26</v>
      </c>
      <c r="AI311" s="332" t="str">
        <f>AI267</f>
        <v>2Q26</v>
      </c>
      <c r="AJ311" s="332" t="str">
        <f>AJ267</f>
        <v>3Q26</v>
      </c>
      <c r="AK311" s="332" t="str">
        <f>AK267</f>
        <v>4Q26</v>
      </c>
      <c r="AL311" s="332">
        <f>AL267</f>
        <v>2026</v>
      </c>
      <c r="AM311" s="332" t="str">
        <f>AM267</f>
        <v>1Q27</v>
      </c>
      <c r="AN311" s="332" t="str">
        <f>AN267</f>
        <v>2Q27</v>
      </c>
      <c r="AO311" s="332" t="str">
        <f>AO267</f>
        <v>3Q27</v>
      </c>
      <c r="AP311" s="332" t="str">
        <f>AP267</f>
        <v>4Q27</v>
      </c>
      <c r="AQ311" s="332">
        <f>AQ267</f>
        <v>2027</v>
      </c>
      <c r="AR311" s="332" t="str">
        <f>AR267</f>
        <v>1Q28</v>
      </c>
      <c r="AS311" s="332" t="str">
        <f>AS267</f>
        <v>2Q28</v>
      </c>
      <c r="AT311" s="332" t="str">
        <f>AT267</f>
        <v>3Q28</v>
      </c>
      <c r="AU311" s="332" t="str">
        <f>AU267</f>
        <v>4Q28</v>
      </c>
      <c r="AV311" s="332">
        <f>AV267</f>
        <v>2028</v>
      </c>
      <c r="AW311" s="332" t="str">
        <f>AW267</f>
        <v>1Q29</v>
      </c>
      <c r="AX311" s="332" t="str">
        <f>AX267</f>
        <v>2Q29</v>
      </c>
      <c r="AY311" s="332" t="str">
        <f>AY267</f>
        <v>3Q29</v>
      </c>
      <c r="AZ311" s="332" t="str">
        <f>AZ267</f>
        <v>4Q29</v>
      </c>
      <c r="BA311" s="332">
        <f>BA267</f>
        <v>2029</v>
      </c>
      <c r="BB311" s="332" t="str">
        <f>BB267</f>
        <v>1Q30</v>
      </c>
      <c r="BC311" s="332" t="str">
        <f>BC267</f>
        <v>2Q30</v>
      </c>
      <c r="BD311" s="332" t="str">
        <f>BD267</f>
        <v>3Q30</v>
      </c>
      <c r="BE311" s="332" t="str">
        <f>BE267</f>
        <v>4Q30</v>
      </c>
      <c r="BF311" s="332">
        <f>BF267</f>
        <v>2030</v>
      </c>
      <c r="BG311" s="332" t="str">
        <f>BG267</f>
        <v>1Q31</v>
      </c>
      <c r="BH311" s="332" t="str">
        <f>BH267</f>
        <v>2Q31</v>
      </c>
      <c r="BI311" s="332" t="str">
        <f>BI267</f>
        <v>3Q31</v>
      </c>
      <c r="BJ311" s="332" t="str">
        <f>BJ267</f>
        <v>4Q31</v>
      </c>
      <c r="BK311" s="332">
        <f>BK267</f>
        <v>2031</v>
      </c>
      <c r="BL311" s="332" t="str">
        <f>BL267</f>
        <v>1Q32</v>
      </c>
      <c r="BM311" s="332" t="str">
        <f>BM267</f>
        <v>2Q32</v>
      </c>
      <c r="BN311" s="332" t="str">
        <f>BN267</f>
        <v>3Q32</v>
      </c>
      <c r="BO311" s="332" t="str">
        <f>BO267</f>
        <v>4Q32</v>
      </c>
      <c r="BP311" s="332">
        <f>BP267</f>
        <v>2032</v>
      </c>
      <c r="BQ311" s="332" t="str">
        <f>BQ267</f>
        <v>1Q33</v>
      </c>
      <c r="BR311" s="332" t="str">
        <f>BR267</f>
        <v>2Q33</v>
      </c>
      <c r="BS311" s="332" t="str">
        <f>BS267</f>
        <v>3Q33</v>
      </c>
      <c r="BT311" s="332" t="str">
        <f>BT267</f>
        <v>4Q33</v>
      </c>
      <c r="BU311" s="332">
        <f>BU267</f>
        <v>2033</v>
      </c>
      <c r="BV311" s="332" t="str">
        <f>BV267</f>
        <v>1Q34</v>
      </c>
      <c r="BW311" s="332" t="str">
        <f>BW267</f>
        <v>2Q34</v>
      </c>
      <c r="BX311" s="332" t="str">
        <f>BX267</f>
        <v>3Q34</v>
      </c>
      <c r="BY311" s="332" t="str">
        <f>BY267</f>
        <v>4Q34</v>
      </c>
      <c r="BZ311" s="332">
        <f>BZ267</f>
        <v>2034</v>
      </c>
      <c r="CA311" s="332" t="str">
        <f>CA267</f>
        <v>1Q35</v>
      </c>
      <c r="CB311" s="332" t="str">
        <f>CB267</f>
        <v>2Q35</v>
      </c>
      <c r="CC311" s="332" t="str">
        <f>CC267</f>
        <v>3Q35</v>
      </c>
      <c r="CD311" s="332" t="str">
        <f>CD267</f>
        <v>4Q35</v>
      </c>
      <c r="CE311" s="332">
        <f>CE267</f>
        <v>2035</v>
      </c>
      <c r="CF311" s="332" t="str">
        <f>CF267</f>
        <v>1Q36</v>
      </c>
      <c r="CG311" s="332" t="str">
        <f>CG267</f>
        <v>2Q36</v>
      </c>
      <c r="CH311" s="332" t="str">
        <f>CH267</f>
        <v>3Q36</v>
      </c>
      <c r="CI311" s="332" t="str">
        <f>CI267</f>
        <v>4Q36</v>
      </c>
      <c r="CJ311" s="332">
        <f>CJ267</f>
        <v>2036</v>
      </c>
      <c r="CK311" s="332" t="str">
        <f>CK267</f>
        <v>1Q37</v>
      </c>
      <c r="CL311" s="332" t="str">
        <f>CL267</f>
        <v>2Q37</v>
      </c>
      <c r="CM311" s="332" t="str">
        <f>CM267</f>
        <v>3Q37</v>
      </c>
      <c r="CN311" s="332" t="str">
        <f>CN267</f>
        <v>4Q37</v>
      </c>
      <c r="CO311" s="332">
        <f>CO267</f>
        <v>2037</v>
      </c>
      <c r="CP311" s="332" t="str">
        <f>CP267</f>
        <v>1Q38</v>
      </c>
      <c r="CQ311" s="332" t="str">
        <f>CQ267</f>
        <v>2Q38</v>
      </c>
      <c r="CR311" s="332" t="str">
        <f>CR267</f>
        <v>3Q38</v>
      </c>
      <c r="CS311" s="332" t="str">
        <f>CS267</f>
        <v>4Q38</v>
      </c>
      <c r="CT311" s="332">
        <f>CT267</f>
        <v>2038</v>
      </c>
      <c r="CU311" s="332" t="str">
        <f>CU267</f>
        <v>1Q39</v>
      </c>
      <c r="CV311" s="332" t="str">
        <f>CV267</f>
        <v>2Q39</v>
      </c>
      <c r="CW311" s="332" t="str">
        <f>CW267</f>
        <v>3Q39</v>
      </c>
      <c r="CX311" s="332" t="str">
        <f>CX267</f>
        <v>4Q39</v>
      </c>
      <c r="CY311" s="332">
        <f>CY267</f>
        <v>2039</v>
      </c>
    </row>
    <row r="312" ht="12.75" customFormat="1" customHeight="1" s="333">
      <c r="A312" s="334" t="n"/>
      <c r="B312" s="334" t="n"/>
      <c r="C312" s="331" t="inlineStr">
        <is>
          <t>GROWTH &amp; MARGINS</t>
        </is>
      </c>
    </row>
    <row r="313" ht="12.75" customFormat="1" customHeight="1" s="333">
      <c r="A313" s="334" t="n"/>
      <c r="B313" s="334" t="n"/>
      <c r="C313" s="333" t="inlineStr">
        <is>
          <t>NET REVENUE GROWTH</t>
        </is>
      </c>
      <c r="E313" s="335">
        <f>E15/D15-1</f>
        <v>0.091493924231594</v>
      </c>
      <c r="F313" s="335">
        <f>F15/E15-1</f>
        <v>0.260969220694172</v>
      </c>
      <c r="G313" s="335">
        <f>G15/F15-1</f>
        <v>0.167229291093223</v>
      </c>
      <c r="H313" s="335" t="n"/>
      <c r="I313" s="336">
        <f>I15/H15-1</f>
        <v>-0.658402591914354</v>
      </c>
      <c r="J313" s="336">
        <f>J15/I15-1</f>
        <v>0.185154639175258</v>
      </c>
      <c r="K313" s="336">
        <f>K15/J15-1</f>
        <v>0.0582811412665274</v>
      </c>
      <c r="L313" s="336">
        <f>L15/K15-1</f>
        <v>0.0133157981259247</v>
      </c>
      <c r="M313" s="335" t="n"/>
      <c r="N313" s="336">
        <f>N15/M15-1</f>
        <v>-0.71096520026264</v>
      </c>
      <c r="O313" s="336">
        <f>O15/N15-1</f>
        <v>-0.179766772679085</v>
      </c>
      <c r="P313" s="336">
        <f>P15/O15-1</f>
        <v>-0.0762555391432792</v>
      </c>
      <c r="Q313" s="336">
        <f>Q15/P15-1</f>
        <v>0.150909454327404</v>
      </c>
      <c r="R313" s="335" t="n"/>
      <c r="S313" s="336">
        <f>S15/R15-1</f>
        <v>-0.763432835820896</v>
      </c>
      <c r="T313" s="336">
        <f>T15/S15-1</f>
        <v>0.0645759881239563</v>
      </c>
      <c r="U313" s="336">
        <f>U15/T15-1</f>
        <v>0.0151647202370577</v>
      </c>
      <c r="V313" s="336">
        <f>V15/U15-1</f>
        <v>0.0139079670329669</v>
      </c>
      <c r="W313" s="335" t="n"/>
      <c r="X313" s="336">
        <f>X15/W15-1</f>
        <v>-0.723430321592649</v>
      </c>
      <c r="Y313" s="336">
        <f>Y15/X15-1</f>
        <v>0.0479354532510679</v>
      </c>
      <c r="Z313" s="336">
        <f>Z15/Y15-1</f>
        <v>0.02506038647343</v>
      </c>
      <c r="AA313" s="336">
        <f>AA15/Z15-1</f>
        <v>-0.157584683357879</v>
      </c>
      <c r="AB313" s="335" t="n"/>
      <c r="AC313" s="336">
        <f>AC15/AB15-1</f>
        <v>-0.77497544686702</v>
      </c>
      <c r="AD313" s="336">
        <f>AD15/AC15-1</f>
        <v>0.323673184357542</v>
      </c>
      <c r="AE313" s="336">
        <f>AE15/AD15-1</f>
        <v>-0.0804537061461356</v>
      </c>
      <c r="AF313" s="336">
        <f>AF15/AE15-1</f>
        <v>-0.192053930005737</v>
      </c>
      <c r="AG313" s="335" t="n"/>
      <c r="AH313" s="336">
        <f>AH15/AG15-1</f>
        <v>-0.759444337256415</v>
      </c>
      <c r="AI313" s="336">
        <f>AI15/AH15-1</f>
        <v>0.127526467757459</v>
      </c>
      <c r="AJ313" s="336">
        <f>AJ15/AI15-1</f>
        <v>-0.00810926163038839</v>
      </c>
      <c r="AK313" s="336">
        <f>AK15/AJ15-1</f>
        <v>-0.192053930005737</v>
      </c>
      <c r="AL313" s="335" t="n"/>
      <c r="AM313" s="336">
        <f>AM15/AL15-1</f>
        <v>-0.759007267666615</v>
      </c>
      <c r="AN313" s="336">
        <f>AN15/AM15-1</f>
        <v>0.127526467757459</v>
      </c>
      <c r="AO313" s="336">
        <f>AO15/AN15-1</f>
        <v>-0.00810926163038839</v>
      </c>
      <c r="AP313" s="336">
        <f>AP15/AO15-1</f>
        <v>-0.192053930005737</v>
      </c>
      <c r="AQ313" s="335" t="n"/>
      <c r="AR313" s="336">
        <f>AR15/AQ15-1</f>
        <v>-0.759007267666615</v>
      </c>
      <c r="AS313" s="336">
        <f>AS15/AR15-1</f>
        <v>0.127526467757459</v>
      </c>
      <c r="AT313" s="336">
        <f>AT15/AS15-1</f>
        <v>-0.00810926163038839</v>
      </c>
      <c r="AU313" s="336">
        <f>AU15/AT15-1</f>
        <v>-0.192053930005737</v>
      </c>
      <c r="AV313" s="335" t="n"/>
      <c r="AW313" s="336">
        <f>AW15/AV15-1</f>
        <v>-0.759007267666615</v>
      </c>
      <c r="AX313" s="336">
        <f>AX15/AW15-1</f>
        <v>0.127526467757459</v>
      </c>
      <c r="AY313" s="336">
        <f>AY15/AX15-1</f>
        <v>-0.00810926163038839</v>
      </c>
      <c r="AZ313" s="336">
        <f>AZ15/AY15-1</f>
        <v>-0.192053930005737</v>
      </c>
      <c r="BA313" s="335" t="n"/>
      <c r="BB313" s="336">
        <f>BB15/BA15-1</f>
        <v>-0.759007267666615</v>
      </c>
      <c r="BC313" s="336">
        <f>BC15/BB15-1</f>
        <v>0.127526467757459</v>
      </c>
      <c r="BD313" s="336">
        <f>BD15/BC15-1</f>
        <v>-0.00810926163038839</v>
      </c>
      <c r="BE313" s="336">
        <f>BE15/BD15-1</f>
        <v>-0.192053930005737</v>
      </c>
      <c r="BF313" s="335" t="n"/>
      <c r="BG313" s="336">
        <f>BG15/BF15-1</f>
        <v>-0.759007267666615</v>
      </c>
      <c r="BH313" s="336">
        <f>BH15/BG15-1</f>
        <v>0.127526467757459</v>
      </c>
      <c r="BI313" s="336">
        <f>BI15/BH15-1</f>
        <v>-0.00810926163038839</v>
      </c>
      <c r="BJ313" s="336">
        <f>BJ15/BI15-1</f>
        <v>-0.192053930005737</v>
      </c>
      <c r="BK313" s="335" t="n"/>
      <c r="BL313" s="336">
        <f>BL15/BK15-1</f>
        <v>-0.759007267666615</v>
      </c>
      <c r="BM313" s="336">
        <f>BM15/BL15-1</f>
        <v>0.127526467757459</v>
      </c>
      <c r="BN313" s="336">
        <f>BN15/BM15-1</f>
        <v>-0.00810926163038839</v>
      </c>
      <c r="BO313" s="336">
        <f>BO15/BN15-1</f>
        <v>-0.192053930005737</v>
      </c>
      <c r="BP313" s="335" t="n"/>
      <c r="BQ313" s="336">
        <f>BQ15/BP15-1</f>
        <v>-0.759007267666615</v>
      </c>
      <c r="BR313" s="336">
        <f>BR15/BQ15-1</f>
        <v>0.127526467757459</v>
      </c>
      <c r="BS313" s="336">
        <f>BS15/BR15-1</f>
        <v>-0.00810926163038839</v>
      </c>
      <c r="BT313" s="336">
        <f>BT15/BS15-1</f>
        <v>-0.192053930005737</v>
      </c>
      <c r="BU313" s="335" t="n"/>
      <c r="BV313" s="336">
        <f>BV15/BU15-1</f>
        <v>-0.759007267666615</v>
      </c>
      <c r="BW313" s="336">
        <f>BW15/BV15-1</f>
        <v>0.127526467757459</v>
      </c>
      <c r="BX313" s="336">
        <f>BX15/BW15-1</f>
        <v>-0.00810926163038839</v>
      </c>
      <c r="BY313" s="336">
        <f>BY15/BX15-1</f>
        <v>-0.192053930005737</v>
      </c>
      <c r="BZ313" s="335" t="n"/>
      <c r="CA313" s="336">
        <f>CA15/BZ15-1</f>
        <v>-0.759007267666615</v>
      </c>
      <c r="CB313" s="336">
        <f>CB15/CA15-1</f>
        <v>0.127526467757459</v>
      </c>
      <c r="CC313" s="336">
        <f>CC15/CB15-1</f>
        <v>-0.00810926163038839</v>
      </c>
      <c r="CD313" s="336">
        <f>CD15/CC15-1</f>
        <v>-0.192053930005737</v>
      </c>
      <c r="CE313" s="335" t="n"/>
      <c r="CF313" s="336">
        <f>CF15/CE15-1</f>
        <v>-0.759007267666615</v>
      </c>
      <c r="CG313" s="336">
        <f>CG15/CF15-1</f>
        <v>0.127526467757459</v>
      </c>
      <c r="CH313" s="336">
        <f>CH15/CG15-1</f>
        <v>-0.00810926163038839</v>
      </c>
      <c r="CI313" s="336">
        <f>CI15/CH15-1</f>
        <v>-0.192053930005737</v>
      </c>
      <c r="CJ313" s="335" t="n"/>
      <c r="CK313" s="336">
        <f>CK15/CJ15-1</f>
        <v>-0.759007267666615</v>
      </c>
      <c r="CL313" s="336">
        <f>CL15/CK15-1</f>
        <v>0.127526467757459</v>
      </c>
      <c r="CM313" s="336">
        <f>CM15/CL15-1</f>
        <v>-0.00810926163038839</v>
      </c>
      <c r="CN313" s="336">
        <f>CN15/CM15-1</f>
        <v>-0.192053930005737</v>
      </c>
      <c r="CO313" s="335" t="n"/>
      <c r="CP313" s="336">
        <f>CP15/CO15-1</f>
        <v>-0.759007267666615</v>
      </c>
      <c r="CQ313" s="336">
        <f>CQ15/CP15-1</f>
        <v>0.127526467757459</v>
      </c>
      <c r="CR313" s="336">
        <f>CR15/CQ15-1</f>
        <v>-0.00810926163038839</v>
      </c>
      <c r="CS313" s="336">
        <f>CS15/CR15-1</f>
        <v>-0.192053930005737</v>
      </c>
      <c r="CT313" s="335" t="n"/>
      <c r="CU313" s="336">
        <f>CU15/CT15-1</f>
        <v>-0.759007267666615</v>
      </c>
      <c r="CV313" s="336">
        <f>CV15/CU15-1</f>
        <v>0.127526467757459</v>
      </c>
      <c r="CW313" s="336">
        <f>CW15/CV15-1</f>
        <v>-0.00810926163038839</v>
      </c>
      <c r="CX313" s="336">
        <f>CX15/CW15-1</f>
        <v>-0.192053930005737</v>
      </c>
      <c r="CY313" s="335" t="n"/>
    </row>
    <row r="314" ht="12.75" customFormat="1" customHeight="1" s="333">
      <c r="A314" s="334" t="n"/>
      <c r="B314" s="334" t="n"/>
      <c r="C314" s="333" t="inlineStr">
        <is>
          <t>GROSS MARGIN</t>
        </is>
      </c>
      <c r="D314" s="336">
        <f>SUM(D15,D46)/D15</f>
        <v>0.0110793423874196</v>
      </c>
      <c r="E314" s="336">
        <f>SUM(E15,E46)/E15</f>
        <v>0.261624099541585</v>
      </c>
      <c r="F314" s="336">
        <f>SUM(F15,F46)/F15</f>
        <v>0.357569462477279</v>
      </c>
      <c r="G314" s="336">
        <f>SUM(G15,G46)/G15</f>
        <v>0.4146829810901</v>
      </c>
      <c r="I314" s="337">
        <f>SUM(I15,I46)/I15</f>
        <v>0.425360824742268</v>
      </c>
      <c r="J314" s="337">
        <f>SUM(J15,J46)/J15</f>
        <v>0.466423103688239</v>
      </c>
      <c r="K314" s="337">
        <f>SUM(K15,K46)/K15</f>
        <v>0.503041262534933</v>
      </c>
      <c r="L314" s="337">
        <f>SUM(L15,L46)/L15</f>
        <v>0.488157040882544</v>
      </c>
      <c r="N314" s="337">
        <f>SUM(N15,N46)/N15</f>
        <v>0.522944116310768</v>
      </c>
      <c r="O314" s="337">
        <f>SUM(O15,O46)/O15</f>
        <v>0.442208271787297</v>
      </c>
      <c r="P314" s="337">
        <f>SUM(P15,P46)/P15</f>
        <v>0.322206675994403</v>
      </c>
      <c r="Q314" s="337">
        <f>SUM(Q15,Q46)/Q15</f>
        <v>0.390760680791942</v>
      </c>
      <c r="S314" s="337">
        <f>SUM(S15,S46)/S15</f>
        <v>0.412692521803674</v>
      </c>
      <c r="T314" s="337">
        <f>SUM(T15,T46)/T15</f>
        <v>0.381383998605543</v>
      </c>
      <c r="U314" s="337">
        <f>SUM(U15,U46)/U15</f>
        <v>0.389938186813187</v>
      </c>
      <c r="V314" s="337">
        <f>SUM(V15,V46)/V15</f>
        <v>0.430990685859441</v>
      </c>
      <c r="X314" s="337">
        <f>SUM(X15,X46)/X15</f>
        <v>0.39186837525708</v>
      </c>
      <c r="Y314" s="337">
        <f>SUM(Y15,Y46)/Y15</f>
        <v>0.415006038647343</v>
      </c>
      <c r="Z314" s="337">
        <f>SUM(Z15,Z46)/Z15</f>
        <v>0.399558173784978</v>
      </c>
      <c r="AA314" s="337">
        <f>SUM(AA15,AA46)/AA15</f>
        <v>0.343006993006993</v>
      </c>
      <c r="AC314" s="337">
        <f>SUM(AC15,AC46)/AC15</f>
        <v>0.34427374301676</v>
      </c>
      <c r="AD314" s="337">
        <f>SUM(AD15,AD46)/AD15</f>
        <v>0.435241361118438</v>
      </c>
      <c r="AE314" s="337">
        <f>SUM(AE15,AE46)/AE15</f>
        <v>0.396873207114171</v>
      </c>
      <c r="AF314" s="337">
        <f>SUM(AF15,AF46)/AF15</f>
        <v>0.266642996627019</v>
      </c>
      <c r="AH314" s="337">
        <f>SUM(AH15,AH46)/AH15</f>
        <v>0.347930702598653</v>
      </c>
      <c r="AI314" s="337">
        <f>SUM(AI15,AI46)/AI15</f>
        <v>0.385403329065301</v>
      </c>
      <c r="AJ314" s="337">
        <f>SUM(AJ15,AJ46)/AJ15</f>
        <v>0</v>
      </c>
      <c r="AK314" s="337">
        <f>SUM(AK15,AK46)/AK15</f>
        <v>0</v>
      </c>
      <c r="AM314" s="337">
        <f>SUM(AM15,AM46)/AM15</f>
        <v>0</v>
      </c>
      <c r="AN314" s="337">
        <f>SUM(AN15,AN46)/AN15</f>
        <v>0</v>
      </c>
      <c r="AO314" s="337">
        <f>SUM(AO15,AO46)/AO15</f>
        <v>0</v>
      </c>
      <c r="AP314" s="337">
        <f>SUM(AP15,AP46)/AP15</f>
        <v>0</v>
      </c>
      <c r="AR314" s="337">
        <f>SUM(AR15,AR46)/AR15</f>
        <v>0</v>
      </c>
      <c r="AS314" s="337">
        <f>SUM(AS15,AS46)/AS15</f>
        <v>0</v>
      </c>
      <c r="AT314" s="337">
        <f>SUM(AT15,AT46)/AT15</f>
        <v>0</v>
      </c>
      <c r="AU314" s="337">
        <f>SUM(AU15,AU46)/AU15</f>
        <v>0</v>
      </c>
      <c r="AW314" s="337">
        <f>SUM(AW15,AW46)/AW15</f>
        <v>0</v>
      </c>
      <c r="AX314" s="337">
        <f>SUM(AX15,AX46)/AX15</f>
        <v>0</v>
      </c>
      <c r="AY314" s="337">
        <f>SUM(AY15,AY46)/AY15</f>
        <v>0</v>
      </c>
      <c r="AZ314" s="337">
        <f>SUM(AZ15,AZ46)/AZ15</f>
        <v>0</v>
      </c>
      <c r="BB314" s="337">
        <f>SUM(BB15,BB46)/BB15</f>
        <v>0</v>
      </c>
      <c r="BC314" s="337">
        <f>SUM(BC15,BC46)/BC15</f>
        <v>0</v>
      </c>
      <c r="BD314" s="337">
        <f>SUM(BD15,BD46)/BD15</f>
        <v>0</v>
      </c>
      <c r="BE314" s="337">
        <f>SUM(BE15,BE46)/BE15</f>
        <v>0</v>
      </c>
      <c r="BG314" s="337">
        <f>SUM(BG15,BG46)/BG15</f>
        <v>0</v>
      </c>
      <c r="BH314" s="337">
        <f>SUM(BH15,BH46)/BH15</f>
        <v>0</v>
      </c>
      <c r="BI314" s="337">
        <f>SUM(BI15,BI46)/BI15</f>
        <v>0</v>
      </c>
      <c r="BJ314" s="337">
        <f>SUM(BJ15,BJ46)/BJ15</f>
        <v>0</v>
      </c>
      <c r="BL314" s="337">
        <f>SUM(BL15,BL46)/BL15</f>
        <v>0</v>
      </c>
      <c r="BM314" s="337">
        <f>SUM(BM15,BM46)/BM15</f>
        <v>0</v>
      </c>
      <c r="BN314" s="337">
        <f>SUM(BN15,BN46)/BN15</f>
        <v>0</v>
      </c>
      <c r="BO314" s="337">
        <f>SUM(BO15,BO46)/BO15</f>
        <v>0</v>
      </c>
      <c r="BQ314" s="337">
        <f>SUM(BQ15,BQ46)/BQ15</f>
        <v>0</v>
      </c>
      <c r="BR314" s="337">
        <f>SUM(BR15,BR46)/BR15</f>
        <v>0</v>
      </c>
      <c r="BS314" s="337">
        <f>SUM(BS15,BS46)/BS15</f>
        <v>0</v>
      </c>
      <c r="BT314" s="337">
        <f>SUM(BT15,BT46)/BT15</f>
        <v>0</v>
      </c>
      <c r="BV314" s="337">
        <f>SUM(BV15,BV46)/BV15</f>
        <v>0</v>
      </c>
      <c r="BW314" s="337">
        <f>SUM(BW15,BW46)/BW15</f>
        <v>0</v>
      </c>
      <c r="BX314" s="337">
        <f>SUM(BX15,BX46)/BX15</f>
        <v>0</v>
      </c>
      <c r="BY314" s="337">
        <f>SUM(BY15,BY46)/BY15</f>
        <v>0</v>
      </c>
      <c r="CA314" s="337">
        <f>SUM(CA15,CA46)/CA15</f>
        <v>0</v>
      </c>
      <c r="CB314" s="337">
        <f>SUM(CB15,CB46)/CB15</f>
        <v>0</v>
      </c>
      <c r="CC314" s="337">
        <f>SUM(CC15,CC46)/CC15</f>
        <v>0</v>
      </c>
      <c r="CD314" s="337">
        <f>SUM(CD15,CD46)/CD15</f>
        <v>0</v>
      </c>
      <c r="CF314" s="337">
        <f>SUM(CF15,CF46)/CF15</f>
        <v>0</v>
      </c>
      <c r="CG314" s="337">
        <f>SUM(CG15,CG46)/CG15</f>
        <v>0</v>
      </c>
      <c r="CH314" s="337">
        <f>SUM(CH15,CH46)/CH15</f>
        <v>0</v>
      </c>
      <c r="CI314" s="337">
        <f>SUM(CI15,CI46)/CI15</f>
        <v>0</v>
      </c>
      <c r="CK314" s="337">
        <f>SUM(CK15,CK46)/CK15</f>
        <v>0</v>
      </c>
      <c r="CL314" s="337">
        <f>SUM(CL15,CL46)/CL15</f>
        <v>0</v>
      </c>
      <c r="CM314" s="337">
        <f>SUM(CM15,CM46)/CM15</f>
        <v>0</v>
      </c>
      <c r="CN314" s="337">
        <f>SUM(CN15,CN46)/CN15</f>
        <v>0</v>
      </c>
      <c r="CP314" s="337">
        <f>SUM(CP15,CP46)/CP15</f>
        <v>0</v>
      </c>
      <c r="CQ314" s="337">
        <f>SUM(CQ15,CQ46)/CQ15</f>
        <v>0</v>
      </c>
      <c r="CR314" s="337">
        <f>SUM(CR15,CR46)/CR15</f>
        <v>0</v>
      </c>
      <c r="CS314" s="337">
        <f>SUM(CS15,CS46)/CS15</f>
        <v>0</v>
      </c>
      <c r="CU314" s="337">
        <f>SUM(CU15,CU46)/CU15</f>
        <v>0</v>
      </c>
      <c r="CV314" s="337">
        <f>SUM(CV15,CV46)/CV15</f>
        <v>0</v>
      </c>
      <c r="CW314" s="337">
        <f>SUM(CW15,CW46)/CW15</f>
        <v>0</v>
      </c>
      <c r="CX314" s="337">
        <f>SUM(CX15,CX46)/CX15</f>
        <v>0</v>
      </c>
    </row>
    <row r="315" ht="12.75" customFormat="1" customHeight="1" s="333">
      <c r="A315" s="334" t="n"/>
      <c r="B315" s="334" t="n"/>
      <c r="C315" s="333" t="inlineStr">
        <is>
          <t>EBIT MARGIN</t>
        </is>
      </c>
      <c r="D315" s="335">
        <f>(D65/D15)</f>
        <v>-0.169049320943531</v>
      </c>
      <c r="E315" s="335">
        <f>(E65/E15)</f>
        <v>0.105108055009823</v>
      </c>
      <c r="F315" s="335">
        <f>(F65/F15)</f>
        <v>0.22851207478577</v>
      </c>
      <c r="G315" s="335">
        <f>(G65/G15)</f>
        <v>0.38020022246941</v>
      </c>
      <c r="I315" s="338">
        <f>(I65/I15)</f>
        <v>0.315876288659794</v>
      </c>
      <c r="J315" s="338">
        <f>(J65/J15)</f>
        <v>0.359603340292276</v>
      </c>
      <c r="K315" s="338">
        <f>(K65/K15)</f>
        <v>0.404734506000329</v>
      </c>
      <c r="L315" s="338">
        <f>(L65/L15)</f>
        <v>0.373945489941596</v>
      </c>
      <c r="N315" s="338">
        <f>(N65/N15)</f>
        <v>0.425412691200969</v>
      </c>
      <c r="O315" s="338">
        <f>(O65/O15)</f>
        <v>0.320531757754801</v>
      </c>
      <c r="P315" s="338">
        <f>(P65/P15)</f>
        <v>0.192284629222467</v>
      </c>
      <c r="Q315" s="338">
        <f>(Q65/Q15)</f>
        <v>0.26571726293852</v>
      </c>
      <c r="S315" s="338">
        <f>(S65/S15)</f>
        <v>0.297086658007051</v>
      </c>
      <c r="T315" s="338">
        <f>(T65/T15)</f>
        <v>0.245773052117832</v>
      </c>
      <c r="U315" s="338">
        <f>(U65/U15)</f>
        <v>0.256181318681319</v>
      </c>
      <c r="V315" s="338">
        <f>(V65/V15)</f>
        <v>0.291617273497036</v>
      </c>
      <c r="X315" s="338">
        <f>(X65/X15)</f>
        <v>0.258503401360544</v>
      </c>
      <c r="Y315" s="338">
        <f>(Y65/Y15)</f>
        <v>0.309329710144928</v>
      </c>
      <c r="Z315" s="338">
        <f>(Z65/Z15)</f>
        <v>0.285419734904271</v>
      </c>
      <c r="AA315" s="338">
        <f>(AA65/AA15)</f>
        <v>0.217307692307692</v>
      </c>
      <c r="AC315" s="338">
        <f>(AC65/AC15)</f>
        <v>0.22747905027933</v>
      </c>
      <c r="AD315" s="338">
        <f>(AD65/AD15)</f>
        <v>0.320759694012134</v>
      </c>
      <c r="AE315" s="338">
        <f>(AE65/AE15)</f>
        <v>0.282845668387837</v>
      </c>
      <c r="AF315" s="338">
        <f>(AF65/AF15)</f>
        <v>0.143973016154802</v>
      </c>
      <c r="AH315" s="338">
        <f>(AH65/AH15)</f>
        <v>0.342797561758101</v>
      </c>
      <c r="AI315" s="338">
        <f>(AI65/AI15)</f>
        <v>0.284962299046806</v>
      </c>
      <c r="AJ315" s="338">
        <f>(AJ65/AJ15)</f>
        <v>0</v>
      </c>
      <c r="AK315" s="338">
        <f>(AK65/AK15)</f>
        <v>0</v>
      </c>
      <c r="AM315" s="338">
        <f>(AM65/AM15)</f>
        <v>0</v>
      </c>
      <c r="AN315" s="338">
        <f>(AN65/AN15)</f>
        <v>0</v>
      </c>
      <c r="AO315" s="338">
        <f>(AO65/AO15)</f>
        <v>0</v>
      </c>
      <c r="AP315" s="338">
        <f>(AP65/AP15)</f>
        <v>0</v>
      </c>
      <c r="AR315" s="338">
        <f>(AR65/AR15)</f>
        <v>0</v>
      </c>
      <c r="AS315" s="338">
        <f>(AS65/AS15)</f>
        <v>0</v>
      </c>
      <c r="AT315" s="338">
        <f>(AT65/AT15)</f>
        <v>0</v>
      </c>
      <c r="AU315" s="338">
        <f>(AU65/AU15)</f>
        <v>0</v>
      </c>
      <c r="AW315" s="338">
        <f>(AW65/AW15)</f>
        <v>0</v>
      </c>
      <c r="AX315" s="338">
        <f>(AX65/AX15)</f>
        <v>0</v>
      </c>
      <c r="AY315" s="338">
        <f>(AY65/AY15)</f>
        <v>0</v>
      </c>
      <c r="AZ315" s="338">
        <f>(AZ65/AZ15)</f>
        <v>0</v>
      </c>
      <c r="BB315" s="338">
        <f>(BB65/BB15)</f>
        <v>0</v>
      </c>
      <c r="BC315" s="338">
        <f>(BC65/BC15)</f>
        <v>0</v>
      </c>
      <c r="BD315" s="338">
        <f>(BD65/BD15)</f>
        <v>0</v>
      </c>
      <c r="BE315" s="338">
        <f>(BE65/BE15)</f>
        <v>0</v>
      </c>
      <c r="BG315" s="338">
        <f>(BG65/BG15)</f>
        <v>0</v>
      </c>
      <c r="BH315" s="338">
        <f>(BH65/BH15)</f>
        <v>0</v>
      </c>
      <c r="BI315" s="338">
        <f>(BI65/BI15)</f>
        <v>0</v>
      </c>
      <c r="BJ315" s="338">
        <f>(BJ65/BJ15)</f>
        <v>0</v>
      </c>
      <c r="BL315" s="338">
        <f>(BL65/BL15)</f>
        <v>0</v>
      </c>
      <c r="BM315" s="338">
        <f>(BM65/BM15)</f>
        <v>0</v>
      </c>
      <c r="BN315" s="338">
        <f>(BN65/BN15)</f>
        <v>0</v>
      </c>
      <c r="BO315" s="338">
        <f>(BO65/BO15)</f>
        <v>0</v>
      </c>
      <c r="BQ315" s="338">
        <f>(BQ65/BQ15)</f>
        <v>0</v>
      </c>
      <c r="BR315" s="338">
        <f>(BR65/BR15)</f>
        <v>0</v>
      </c>
      <c r="BS315" s="338">
        <f>(BS65/BS15)</f>
        <v>0</v>
      </c>
      <c r="BT315" s="338">
        <f>(BT65/BT15)</f>
        <v>0</v>
      </c>
      <c r="BV315" s="338">
        <f>(BV65/BV15)</f>
        <v>0</v>
      </c>
      <c r="BW315" s="338">
        <f>(BW65/BW15)</f>
        <v>0</v>
      </c>
      <c r="BX315" s="338">
        <f>(BX65/BX15)</f>
        <v>0</v>
      </c>
      <c r="BY315" s="338">
        <f>(BY65/BY15)</f>
        <v>0</v>
      </c>
      <c r="CA315" s="338">
        <f>(CA65/CA15)</f>
        <v>0</v>
      </c>
      <c r="CB315" s="338">
        <f>(CB65/CB15)</f>
        <v>0</v>
      </c>
      <c r="CC315" s="338">
        <f>(CC65/CC15)</f>
        <v>0</v>
      </c>
      <c r="CD315" s="338">
        <f>(CD65/CD15)</f>
        <v>0</v>
      </c>
      <c r="CF315" s="338">
        <f>(CF65/CF15)</f>
        <v>0</v>
      </c>
      <c r="CG315" s="338">
        <f>(CG65/CG15)</f>
        <v>0</v>
      </c>
      <c r="CH315" s="338">
        <f>(CH65/CH15)</f>
        <v>0</v>
      </c>
      <c r="CI315" s="338">
        <f>(CI65/CI15)</f>
        <v>0</v>
      </c>
      <c r="CK315" s="338">
        <f>(CK65/CK15)</f>
        <v>0</v>
      </c>
      <c r="CL315" s="338">
        <f>(CL65/CL15)</f>
        <v>0</v>
      </c>
      <c r="CM315" s="338">
        <f>(CM65/CM15)</f>
        <v>0</v>
      </c>
      <c r="CN315" s="338">
        <f>(CN65/CN15)</f>
        <v>0</v>
      </c>
      <c r="CP315" s="338">
        <f>(CP65/CP15)</f>
        <v>0</v>
      </c>
      <c r="CQ315" s="338">
        <f>(CQ65/CQ15)</f>
        <v>0</v>
      </c>
      <c r="CR315" s="338">
        <f>(CR65/CR15)</f>
        <v>0</v>
      </c>
      <c r="CS315" s="338">
        <f>(CS65/CS15)</f>
        <v>0</v>
      </c>
      <c r="CU315" s="338">
        <f>(CU65/CU15)</f>
        <v>0</v>
      </c>
      <c r="CV315" s="338">
        <f>(CV65/CV15)</f>
        <v>0</v>
      </c>
      <c r="CW315" s="338">
        <f>(CW65/CW15)</f>
        <v>0</v>
      </c>
      <c r="CX315" s="338">
        <f>(CX65/CX15)</f>
        <v>0</v>
      </c>
    </row>
    <row r="316" ht="12.75" customFormat="1" customHeight="1" s="333">
      <c r="A316" s="334" t="n"/>
      <c r="B316" s="334" t="n"/>
      <c r="C316" s="333" t="inlineStr">
        <is>
          <t>EBITDA MARTGIN</t>
        </is>
      </c>
      <c r="D316" s="335">
        <f>D61/D15</f>
        <v>-0.0471765546819157</v>
      </c>
      <c r="E316" s="335">
        <f>E61/E15</f>
        <v>0.222331368696791</v>
      </c>
      <c r="F316" s="335">
        <f>F61/F15</f>
        <v>0.330823162814853</v>
      </c>
      <c r="G316" s="335">
        <f>G61/G15</f>
        <v>0.476974416017798</v>
      </c>
      <c r="I316" s="338">
        <f>I61/I15</f>
        <v>0.402268041237113</v>
      </c>
      <c r="J316" s="338">
        <f>J61/J15</f>
        <v>0.443632567849687</v>
      </c>
      <c r="K316" s="338">
        <f>K61/K15</f>
        <v>0.491533782673023</v>
      </c>
      <c r="L316" s="338">
        <f>L61/L15</f>
        <v>0.466093445814406</v>
      </c>
      <c r="N316" s="338">
        <f>N61/N15</f>
        <v>0.499469937907012</v>
      </c>
      <c r="O316" s="338">
        <f>O61/O15</f>
        <v>0.414143279172821</v>
      </c>
      <c r="P316" s="338">
        <f>P61/P15</f>
        <v>0.293823705776534</v>
      </c>
      <c r="Q316" s="338">
        <f>Q61/Q15</f>
        <v>0.355158040986454</v>
      </c>
      <c r="S316" s="338">
        <f>S61/S15</f>
        <v>0.371126368528484</v>
      </c>
      <c r="T316" s="338">
        <f>T61/T15</f>
        <v>0.341119051769217</v>
      </c>
      <c r="U316" s="338">
        <f>U61/U15</f>
        <v>0.347699175824176</v>
      </c>
      <c r="V316" s="338">
        <f>V61/V15</f>
        <v>0.391363251481795</v>
      </c>
      <c r="X316" s="338">
        <f>X61/X15</f>
        <v>0.352634076886569</v>
      </c>
      <c r="Y316" s="338">
        <f>Y61/Y15</f>
        <v>0.386171497584541</v>
      </c>
      <c r="Z316" s="338">
        <f>Z61/Z15</f>
        <v>0.373784977908689</v>
      </c>
      <c r="AA316" s="338">
        <f>AA61/AA15</f>
        <v>0.311188811188811</v>
      </c>
      <c r="AC316" s="338">
        <f>AC61/AC15</f>
        <v>0.308833798882682</v>
      </c>
      <c r="AD316" s="338">
        <f>AD61/AD15</f>
        <v>0.40886309680823</v>
      </c>
      <c r="AE316" s="338">
        <f>AE61/AE15</f>
        <v>0.372489959839357</v>
      </c>
      <c r="AF316" s="338">
        <f>AF61/AF15</f>
        <v>0.230072785371916</v>
      </c>
      <c r="AH316" s="338">
        <f>AH61/AH15</f>
        <v>0.425248636509464</v>
      </c>
      <c r="AI316" s="338">
        <f>AI61/AI15</f>
        <v>0.359368331199317</v>
      </c>
      <c r="AJ316" s="338">
        <f>AJ61/AJ15</f>
        <v>0</v>
      </c>
      <c r="AK316" s="338">
        <f>AK61/AK15</f>
        <v>0</v>
      </c>
      <c r="AM316" s="338">
        <f>AM61/AM15</f>
        <v>0</v>
      </c>
      <c r="AN316" s="338">
        <f>AN61/AN15</f>
        <v>0</v>
      </c>
      <c r="AO316" s="338">
        <f>AO61/AO15</f>
        <v>0</v>
      </c>
      <c r="AP316" s="338">
        <f>AP61/AP15</f>
        <v>0</v>
      </c>
      <c r="AR316" s="338">
        <f>AR61/AR15</f>
        <v>0</v>
      </c>
      <c r="AS316" s="338">
        <f>AS61/AS15</f>
        <v>0</v>
      </c>
      <c r="AT316" s="338">
        <f>AT61/AT15</f>
        <v>0</v>
      </c>
      <c r="AU316" s="338">
        <f>AU61/AU15</f>
        <v>0</v>
      </c>
      <c r="AW316" s="338">
        <f>AW61/AW15</f>
        <v>0</v>
      </c>
      <c r="AX316" s="338">
        <f>AX61/AX15</f>
        <v>0</v>
      </c>
      <c r="AY316" s="338">
        <f>AY61/AY15</f>
        <v>0</v>
      </c>
      <c r="AZ316" s="338">
        <f>AZ61/AZ15</f>
        <v>0</v>
      </c>
      <c r="BB316" s="338">
        <f>BB61/BB15</f>
        <v>0</v>
      </c>
      <c r="BC316" s="338">
        <f>BC61/BC15</f>
        <v>0</v>
      </c>
      <c r="BD316" s="338">
        <f>BD61/BD15</f>
        <v>0</v>
      </c>
      <c r="BE316" s="338">
        <f>BE61/BE15</f>
        <v>0</v>
      </c>
      <c r="BG316" s="338">
        <f>BG61/BG15</f>
        <v>0</v>
      </c>
      <c r="BH316" s="338">
        <f>BH61/BH15</f>
        <v>0</v>
      </c>
      <c r="BI316" s="338">
        <f>BI61/BI15</f>
        <v>0</v>
      </c>
      <c r="BJ316" s="338">
        <f>BJ61/BJ15</f>
        <v>0</v>
      </c>
      <c r="BL316" s="338">
        <f>BL61/BL15</f>
        <v>0</v>
      </c>
      <c r="BM316" s="338">
        <f>BM61/BM15</f>
        <v>0</v>
      </c>
      <c r="BN316" s="338">
        <f>BN61/BN15</f>
        <v>0</v>
      </c>
      <c r="BO316" s="338">
        <f>BO61/BO15</f>
        <v>0</v>
      </c>
      <c r="BQ316" s="338">
        <f>BQ61/BQ15</f>
        <v>0</v>
      </c>
      <c r="BR316" s="338">
        <f>BR61/BR15</f>
        <v>0</v>
      </c>
      <c r="BS316" s="338">
        <f>BS61/BS15</f>
        <v>0</v>
      </c>
      <c r="BT316" s="338">
        <f>BT61/BT15</f>
        <v>0</v>
      </c>
      <c r="BV316" s="338">
        <f>BV61/BV15</f>
        <v>0</v>
      </c>
      <c r="BW316" s="338">
        <f>BW61/BW15</f>
        <v>0</v>
      </c>
      <c r="BX316" s="338">
        <f>BX61/BX15</f>
        <v>0</v>
      </c>
      <c r="BY316" s="338">
        <f>BY61/BY15</f>
        <v>0</v>
      </c>
      <c r="CA316" s="338">
        <f>CA61/CA15</f>
        <v>0</v>
      </c>
      <c r="CB316" s="338">
        <f>CB61/CB15</f>
        <v>0</v>
      </c>
      <c r="CC316" s="338">
        <f>CC61/CC15</f>
        <v>0</v>
      </c>
      <c r="CD316" s="338">
        <f>CD61/CD15</f>
        <v>0</v>
      </c>
      <c r="CF316" s="338">
        <f>CF61/CF15</f>
        <v>0</v>
      </c>
      <c r="CG316" s="338">
        <f>CG61/CG15</f>
        <v>0</v>
      </c>
      <c r="CH316" s="338">
        <f>CH61/CH15</f>
        <v>0</v>
      </c>
      <c r="CI316" s="338">
        <f>CI61/CI15</f>
        <v>0</v>
      </c>
      <c r="CK316" s="338">
        <f>CK61/CK15</f>
        <v>0</v>
      </c>
      <c r="CL316" s="338">
        <f>CL61/CL15</f>
        <v>0</v>
      </c>
      <c r="CM316" s="338">
        <f>CM61/CM15</f>
        <v>0</v>
      </c>
      <c r="CN316" s="338">
        <f>CN61/CN15</f>
        <v>0</v>
      </c>
      <c r="CP316" s="338">
        <f>CP61/CP15</f>
        <v>0</v>
      </c>
      <c r="CQ316" s="338">
        <f>CQ61/CQ15</f>
        <v>0</v>
      </c>
      <c r="CR316" s="338">
        <f>CR61/CR15</f>
        <v>0</v>
      </c>
      <c r="CS316" s="338">
        <f>CS61/CS15</f>
        <v>0</v>
      </c>
      <c r="CU316" s="338">
        <f>CU61/CU15</f>
        <v>0</v>
      </c>
      <c r="CV316" s="338">
        <f>CV61/CV15</f>
        <v>0</v>
      </c>
      <c r="CW316" s="338">
        <f>CW61/CW15</f>
        <v>0</v>
      </c>
      <c r="CX316" s="338">
        <f>CX61/CX15</f>
        <v>0</v>
      </c>
    </row>
    <row r="317" ht="12.75" customFormat="1" customHeight="1" s="333">
      <c r="A317" s="334" t="n"/>
      <c r="B317" s="334" t="n"/>
      <c r="C317" s="333" t="inlineStr">
        <is>
          <t>ETR</t>
        </is>
      </c>
      <c r="D317" s="335">
        <f>-D123/D122</f>
        <v>0.0980392156862745</v>
      </c>
      <c r="E317" s="335">
        <f>-E123/E122</f>
        <v>0.442396313364055</v>
      </c>
      <c r="F317" s="335">
        <f>-F123/F122</f>
        <v>0.410788381742739</v>
      </c>
      <c r="G317" s="335">
        <f>-G123/G122</f>
        <v>0.415929203539823</v>
      </c>
      <c r="I317" s="338">
        <f>-I123/I122</f>
        <v>0.316881258941345</v>
      </c>
      <c r="J317" s="338">
        <f>-J123/J122</f>
        <v>0.312759336099585</v>
      </c>
      <c r="K317" s="338">
        <f>-K123/K122</f>
        <v>0.266101694915254</v>
      </c>
      <c r="L317" s="338">
        <f>-L123/L122</f>
        <v>0.316776482513938</v>
      </c>
      <c r="N317" s="338">
        <f>-N123/N122</f>
        <v>0.30372281607077</v>
      </c>
      <c r="O317" s="338">
        <f>-O123/O122</f>
        <v>0.357098186366479</v>
      </c>
      <c r="P317" s="338">
        <f>-P123/P122</f>
        <v>0.363321799307959</v>
      </c>
      <c r="Q317" s="338">
        <f>-Q123/Q122</f>
        <v>0.362630208333333</v>
      </c>
      <c r="S317" s="338">
        <f>-S123/S122</f>
        <v>0.32444733420026</v>
      </c>
      <c r="T317" s="338">
        <f>-T123/T122</f>
        <v>0.425078864353312</v>
      </c>
      <c r="U317" s="338">
        <f>-U123/U122</f>
        <v>0.345108695652174</v>
      </c>
      <c r="V317" s="338">
        <f>-V123/V122</f>
        <v>0.418981481481481</v>
      </c>
      <c r="X317" s="338">
        <f>-X123/X122</f>
        <v>0.305854241338112</v>
      </c>
      <c r="Y317" s="338">
        <f>-Y123/Y122</f>
        <v>0.371428571428571</v>
      </c>
      <c r="Z317" s="338">
        <f>-Z123/Z122</f>
        <v>0.375445746306673</v>
      </c>
      <c r="AA317" s="338">
        <f>-AA123/AA122</f>
        <v>0.419354838709677</v>
      </c>
      <c r="AC317" s="338">
        <f>-AC123/AC122</f>
        <v>0.387296669248645</v>
      </c>
      <c r="AD317" s="338">
        <f>-AD123/AD122</f>
        <v>0.355499790882476</v>
      </c>
      <c r="AE317" s="338">
        <f>-AE123/AE122</f>
        <v>0.347713097713098</v>
      </c>
      <c r="AF317" s="338">
        <f>-AF123/AF122</f>
        <v>0.263707571801567</v>
      </c>
      <c r="AH317" s="338">
        <f>-AH123/AH122</f>
        <v>0.321042281219272</v>
      </c>
      <c r="AI317" s="338">
        <f>-AI123/AI122</f>
        <v>0.281865284974093</v>
      </c>
      <c r="AJ317" s="338">
        <f>-AJ123/AJ122</f>
        <v>0</v>
      </c>
      <c r="AK317" s="338">
        <f>-AK123/AK122</f>
        <v>0</v>
      </c>
      <c r="AM317" s="338">
        <f>-AM123/AM122</f>
        <v>0</v>
      </c>
      <c r="AN317" s="338">
        <f>-AN123/AN122</f>
        <v>0</v>
      </c>
      <c r="AO317" s="338">
        <f>-AO123/AO122</f>
        <v>0</v>
      </c>
      <c r="AP317" s="338">
        <f>-AP123/AP122</f>
        <v>0</v>
      </c>
      <c r="AR317" s="338">
        <f>-AR123/AR122</f>
        <v>0</v>
      </c>
      <c r="AS317" s="338">
        <f>-AS123/AS122</f>
        <v>0</v>
      </c>
      <c r="AT317" s="338">
        <f>-AT123/AT122</f>
        <v>0</v>
      </c>
      <c r="AU317" s="338">
        <f>-AU123/AU122</f>
        <v>0</v>
      </c>
      <c r="AW317" s="338">
        <f>-AW123/AW122</f>
        <v>0</v>
      </c>
      <c r="AX317" s="338">
        <f>-AX123/AX122</f>
        <v>0</v>
      </c>
      <c r="AY317" s="338">
        <f>-AY123/AY122</f>
        <v>0</v>
      </c>
      <c r="AZ317" s="338">
        <f>-AZ123/AZ122</f>
        <v>0</v>
      </c>
      <c r="BB317" s="338">
        <f>-BB123/BB122</f>
        <v>0</v>
      </c>
      <c r="BC317" s="338">
        <f>-BC123/BC122</f>
        <v>0</v>
      </c>
      <c r="BD317" s="338">
        <f>-BD123/BD122</f>
        <v>0</v>
      </c>
      <c r="BE317" s="338">
        <f>-BE123/BE122</f>
        <v>0</v>
      </c>
      <c r="BG317" s="338">
        <f>-BG123/BG122</f>
        <v>0</v>
      </c>
      <c r="BH317" s="338">
        <f>-BH123/BH122</f>
        <v>0</v>
      </c>
      <c r="BI317" s="338">
        <f>-BI123/BI122</f>
        <v>0</v>
      </c>
      <c r="BJ317" s="338">
        <f>-BJ123/BJ122</f>
        <v>0</v>
      </c>
      <c r="BL317" s="338">
        <f>-BL123/BL122</f>
        <v>0</v>
      </c>
      <c r="BM317" s="338">
        <f>-BM123/BM122</f>
        <v>0</v>
      </c>
      <c r="BN317" s="338">
        <f>-BN123/BN122</f>
        <v>0</v>
      </c>
      <c r="BO317" s="338">
        <f>-BO123/BO122</f>
        <v>0</v>
      </c>
      <c r="BQ317" s="338">
        <f>-BQ123/BQ122</f>
        <v>0</v>
      </c>
      <c r="BR317" s="338">
        <f>-BR123/BR122</f>
        <v>0</v>
      </c>
      <c r="BS317" s="338">
        <f>-BS123/BS122</f>
        <v>0</v>
      </c>
      <c r="BT317" s="338">
        <f>-BT123/BT122</f>
        <v>0</v>
      </c>
      <c r="BV317" s="338">
        <f>-BV123/BV122</f>
        <v>0</v>
      </c>
      <c r="BW317" s="338">
        <f>-BW123/BW122</f>
        <v>0</v>
      </c>
      <c r="BX317" s="338">
        <f>-BX123/BX122</f>
        <v>0</v>
      </c>
      <c r="BY317" s="338">
        <f>-BY123/BY122</f>
        <v>0</v>
      </c>
      <c r="CA317" s="338">
        <f>-CA123/CA122</f>
        <v>0</v>
      </c>
      <c r="CB317" s="338">
        <f>-CB123/CB122</f>
        <v>0</v>
      </c>
      <c r="CC317" s="338">
        <f>-CC123/CC122</f>
        <v>0</v>
      </c>
      <c r="CD317" s="338">
        <f>-CD123/CD122</f>
        <v>0</v>
      </c>
      <c r="CF317" s="338">
        <f>-CF123/CF122</f>
        <v>0</v>
      </c>
      <c r="CG317" s="338">
        <f>-CG123/CG122</f>
        <v>0</v>
      </c>
      <c r="CH317" s="338">
        <f>-CH123/CH122</f>
        <v>0</v>
      </c>
      <c r="CI317" s="338">
        <f>-CI123/CI122</f>
        <v>0</v>
      </c>
      <c r="CK317" s="338">
        <f>-CK123/CK122</f>
        <v>0</v>
      </c>
      <c r="CL317" s="338">
        <f>-CL123/CL122</f>
        <v>0</v>
      </c>
      <c r="CM317" s="338">
        <f>-CM123/CM122</f>
        <v>0</v>
      </c>
      <c r="CN317" s="338">
        <f>-CN123/CN122</f>
        <v>0</v>
      </c>
      <c r="CP317" s="338">
        <f>-CP123/CP122</f>
        <v>0</v>
      </c>
      <c r="CQ317" s="338">
        <f>-CQ123/CQ122</f>
        <v>0</v>
      </c>
      <c r="CR317" s="338">
        <f>-CR123/CR122</f>
        <v>0</v>
      </c>
      <c r="CS317" s="338">
        <f>-CS123/CS122</f>
        <v>0</v>
      </c>
      <c r="CU317" s="338">
        <f>-CU123/CU122</f>
        <v>0</v>
      </c>
      <c r="CV317" s="338">
        <f>-CV123/CV122</f>
        <v>0</v>
      </c>
      <c r="CW317" s="338">
        <f>-CW123/CW122</f>
        <v>0</v>
      </c>
      <c r="CX317" s="338">
        <f>-CX123/CX122</f>
        <v>0</v>
      </c>
    </row>
    <row r="318" ht="12.75" customFormat="1" customHeight="1" s="333">
      <c r="A318" s="334" t="n"/>
      <c r="B318" s="334" t="n"/>
    </row>
    <row r="319" ht="12.75" customFormat="1" customHeight="1" s="333">
      <c r="A319" s="334" t="n"/>
      <c r="B319" s="334" t="n"/>
      <c r="C319" s="331" t="inlineStr">
        <is>
          <t>CAPITAL STRUCTURE</t>
        </is>
      </c>
    </row>
    <row r="320" ht="12.75" customFormat="1" customHeight="1" s="333">
      <c r="A320" s="334" t="n"/>
      <c r="B320" s="334" t="n"/>
      <c r="C320" s="333" t="inlineStr">
        <is>
          <t>MARKET DEBT / EQUITY</t>
        </is>
      </c>
    </row>
    <row r="321" ht="12.75" customFormat="1" customHeight="1" s="333">
      <c r="A321" s="334" t="n"/>
      <c r="B321" s="334" t="n"/>
      <c r="C321" s="333" t="inlineStr">
        <is>
          <t>NET DEBT / (NET DEBT + MARKET CAP)</t>
        </is>
      </c>
    </row>
    <row r="322" ht="12.75" customFormat="1" customHeight="1" s="333">
      <c r="A322" s="334" t="n"/>
      <c r="B322" s="334" t="n"/>
    </row>
    <row r="323" ht="12.75" customFormat="1" customHeight="1" s="333">
      <c r="A323" s="334" t="n"/>
      <c r="B323" s="334" t="n"/>
      <c r="C323" s="331" t="inlineStr">
        <is>
          <t>FINANCIAL RISK RATIOS</t>
        </is>
      </c>
    </row>
    <row r="324" ht="12.75" customFormat="1" customHeight="1" s="333">
      <c r="A324" s="334" t="n"/>
      <c r="B324" s="334" t="n"/>
      <c r="C324" s="333" t="inlineStr">
        <is>
          <t>EBITDA / TOTAL INTEREST</t>
        </is>
      </c>
      <c r="D324" s="339" t="str">
        <f>IFERROR(D61/-D66,"")</f>
        <v/>
      </c>
      <c r="E324" s="339" t="str">
        <f>IFERROR(E61/-E66,"")</f>
        <v/>
      </c>
      <c r="F324" s="339" t="str">
        <f>IFERROR(F61/-F66,"")</f>
        <v/>
      </c>
      <c r="G324" s="339" t="str">
        <f>IFERROR(G61/-G66,"")</f>
        <v/>
      </c>
      <c r="I324" s="339" t="str">
        <f>IFERROR(I61/-I66,"")</f>
        <v/>
      </c>
      <c r="J324" s="339" t="str">
        <f>IFERROR(J61/-J66,"")</f>
        <v/>
      </c>
      <c r="K324" s="339" t="str">
        <f>IFERROR(K61/-K66,"")</f>
        <v/>
      </c>
      <c r="L324" s="339" t="str">
        <f>IFERROR(L61/-L66,"")</f>
        <v/>
      </c>
      <c r="N324" s="339" t="str">
        <f>IFERROR(N61/-N66,"")</f>
        <v/>
      </c>
      <c r="O324" s="339" t="str">
        <f>IFERROR(O61/-O66,"")</f>
        <v/>
      </c>
      <c r="P324" s="339" t="str">
        <f>IFERROR(P61/-P66,"")</f>
        <v/>
      </c>
      <c r="Q324" s="339" t="str">
        <f>IFERROR(Q61/-Q66,"")</f>
        <v/>
      </c>
      <c r="S324" s="339" t="str">
        <f>IFERROR(S61/-S66,"")</f>
        <v/>
      </c>
      <c r="T324" s="339" t="str">
        <f>IFERROR(T61/-T66,"")</f>
        <v/>
      </c>
      <c r="U324" s="339" t="str">
        <f>IFERROR(U61/-U66,"")</f>
        <v/>
      </c>
      <c r="V324" s="339" t="str">
        <f>IFERROR(V61/-V66,"")</f>
        <v/>
      </c>
      <c r="X324" s="339" t="str">
        <f>IFERROR(X61/-X66,"")</f>
        <v/>
      </c>
      <c r="Y324" s="339" t="str">
        <f>IFERROR(Y61/-Y66,"")</f>
        <v/>
      </c>
      <c r="Z324" s="339" t="str">
        <f>IFERROR(Z61/-Z66,"")</f>
        <v/>
      </c>
      <c r="AA324" s="339" t="str">
        <f>IFERROR(AA61/-AA66,"")</f>
        <v/>
      </c>
      <c r="AC324" s="339" t="str">
        <f>IFERROR(AC61/-AC66,"")</f>
        <v/>
      </c>
      <c r="AD324" s="339" t="str">
        <f>IFERROR(AD61/-AD66,"")</f>
        <v/>
      </c>
      <c r="AE324" s="339" t="str">
        <f>IFERROR(AE61/-AE66,"")</f>
        <v/>
      </c>
      <c r="AF324" s="339" t="str">
        <f>IFERROR(AF61/-AF66,"")</f>
        <v/>
      </c>
      <c r="AH324" s="339" t="str">
        <f>IFERROR(AH61/-AH66,"")</f>
        <v/>
      </c>
      <c r="AI324" s="339" t="str">
        <f>IFERROR(AI61/-AI66,"")</f>
        <v/>
      </c>
      <c r="AJ324" s="339" t="str">
        <f>IFERROR(AJ61/-AJ66,"")</f>
        <v/>
      </c>
      <c r="AK324" s="339" t="str">
        <f>IFERROR(AK61/-AK66,"")</f>
        <v/>
      </c>
      <c r="AM324" s="339" t="str">
        <f>IFERROR(AM61/-AM66,"")</f>
        <v/>
      </c>
      <c r="AN324" s="339" t="str">
        <f>IFERROR(AN61/-AN66,"")</f>
        <v/>
      </c>
      <c r="AO324" s="339" t="str">
        <f>IFERROR(AO61/-AO66,"")</f>
        <v/>
      </c>
      <c r="AP324" s="339" t="str">
        <f>IFERROR(AP61/-AP66,"")</f>
        <v/>
      </c>
      <c r="AR324" s="339" t="str">
        <f>IFERROR(AR61/-AR66,"")</f>
        <v/>
      </c>
      <c r="AS324" s="339" t="str">
        <f>IFERROR(AS61/-AS66,"")</f>
        <v/>
      </c>
      <c r="AT324" s="339" t="str">
        <f>IFERROR(AT61/-AT66,"")</f>
        <v/>
      </c>
      <c r="AU324" s="339" t="str">
        <f>IFERROR(AU61/-AU66,"")</f>
        <v/>
      </c>
      <c r="AW324" s="339" t="str">
        <f>IFERROR(AW61/-AW66,"")</f>
        <v/>
      </c>
      <c r="AX324" s="339" t="str">
        <f>IFERROR(AX61/-AX66,"")</f>
        <v/>
      </c>
      <c r="AY324" s="339" t="str">
        <f>IFERROR(AY61/-AY66,"")</f>
        <v/>
      </c>
      <c r="AZ324" s="339" t="str">
        <f>IFERROR(AZ61/-AZ66,"")</f>
        <v/>
      </c>
      <c r="BB324" s="339" t="str">
        <f>IFERROR(BB61/-BB66,"")</f>
        <v/>
      </c>
      <c r="BC324" s="339" t="str">
        <f>IFERROR(BC61/-BC66,"")</f>
        <v/>
      </c>
      <c r="BD324" s="339" t="str">
        <f>IFERROR(BD61/-BD66,"")</f>
        <v/>
      </c>
      <c r="BE324" s="339" t="str">
        <f>IFERROR(BE61/-BE66,"")</f>
        <v/>
      </c>
      <c r="BG324" s="339" t="str">
        <f>IFERROR(BG61/-BG66,"")</f>
        <v/>
      </c>
      <c r="BH324" s="339" t="str">
        <f>IFERROR(BH61/-BH66,"")</f>
        <v/>
      </c>
      <c r="BI324" s="339" t="str">
        <f>IFERROR(BI61/-BI66,"")</f>
        <v/>
      </c>
      <c r="BJ324" s="339" t="str">
        <f>IFERROR(BJ61/-BJ66,"")</f>
        <v/>
      </c>
      <c r="BL324" s="339" t="str">
        <f>IFERROR(BL61/-BL66,"")</f>
        <v/>
      </c>
      <c r="BM324" s="339" t="str">
        <f>IFERROR(BM61/-BM66,"")</f>
        <v/>
      </c>
      <c r="BN324" s="339" t="str">
        <f>IFERROR(BN61/-BN66,"")</f>
        <v/>
      </c>
      <c r="BO324" s="339" t="str">
        <f>IFERROR(BO61/-BO66,"")</f>
        <v/>
      </c>
      <c r="BQ324" s="339" t="str">
        <f>IFERROR(BQ61/-BQ66,"")</f>
        <v/>
      </c>
      <c r="BR324" s="339" t="str">
        <f>IFERROR(BR61/-BR66,"")</f>
        <v/>
      </c>
      <c r="BS324" s="339" t="str">
        <f>IFERROR(BS61/-BS66,"")</f>
        <v/>
      </c>
      <c r="BT324" s="339" t="str">
        <f>IFERROR(BT61/-BT66,"")</f>
        <v/>
      </c>
      <c r="BV324" s="339" t="str">
        <f>IFERROR(BV61/-BV66,"")</f>
        <v/>
      </c>
      <c r="BW324" s="339" t="str">
        <f>IFERROR(BW61/-BW66,"")</f>
        <v/>
      </c>
      <c r="BX324" s="339" t="str">
        <f>IFERROR(BX61/-BX66,"")</f>
        <v/>
      </c>
      <c r="BY324" s="339" t="str">
        <f>IFERROR(BY61/-BY66,"")</f>
        <v/>
      </c>
      <c r="CA324" s="339" t="str">
        <f>IFERROR(CA61/-CA66,"")</f>
        <v/>
      </c>
      <c r="CB324" s="339" t="str">
        <f>IFERROR(CB61/-CB66,"")</f>
        <v/>
      </c>
      <c r="CC324" s="339" t="str">
        <f>IFERROR(CC61/-CC66,"")</f>
        <v/>
      </c>
      <c r="CD324" s="339" t="str">
        <f>IFERROR(CD61/-CD66,"")</f>
        <v/>
      </c>
      <c r="CF324" s="339" t="str">
        <f>IFERROR(CF61/-CF66,"")</f>
        <v/>
      </c>
      <c r="CG324" s="339" t="str">
        <f>IFERROR(CG61/-CG66,"")</f>
        <v/>
      </c>
      <c r="CH324" s="339" t="str">
        <f>IFERROR(CH61/-CH66,"")</f>
        <v/>
      </c>
      <c r="CI324" s="339" t="str">
        <f>IFERROR(CI61/-CI66,"")</f>
        <v/>
      </c>
      <c r="CK324" s="339" t="str">
        <f>IFERROR(CK61/-CK66,"")</f>
        <v/>
      </c>
      <c r="CL324" s="339" t="str">
        <f>IFERROR(CL61/-CL66,"")</f>
        <v/>
      </c>
      <c r="CM324" s="339" t="str">
        <f>IFERROR(CM61/-CM66,"")</f>
        <v/>
      </c>
      <c r="CN324" s="339" t="str">
        <f>IFERROR(CN61/-CN66,"")</f>
        <v/>
      </c>
      <c r="CP324" s="339" t="str">
        <f>IFERROR(CP61/-CP66,"")</f>
        <v/>
      </c>
      <c r="CQ324" s="339" t="str">
        <f>IFERROR(CQ61/-CQ66,"")</f>
        <v/>
      </c>
      <c r="CR324" s="339" t="str">
        <f>IFERROR(CR61/-CR66,"")</f>
        <v/>
      </c>
      <c r="CS324" s="339" t="str">
        <f>IFERROR(CS61/-CS66,"")</f>
        <v/>
      </c>
      <c r="CU324" s="339" t="str">
        <f>IFERROR(CU61/-CU66,"")</f>
        <v/>
      </c>
      <c r="CV324" s="339" t="str">
        <f>IFERROR(CV61/-CV66,"")</f>
        <v/>
      </c>
      <c r="CW324" s="339" t="str">
        <f>IFERROR(CW61/-CW66,"")</f>
        <v/>
      </c>
      <c r="CX324" s="339" t="str">
        <f>IFERROR(CX61/-CX66,"")</f>
        <v/>
      </c>
    </row>
    <row r="325" ht="12.75" customFormat="1" customHeight="1" s="333">
      <c r="A325" s="334" t="n"/>
      <c r="B325" s="334" t="n"/>
      <c r="C325" s="333" t="inlineStr">
        <is>
          <t>(EBITDA - CAPEX) / TOTAL INTEREST</t>
        </is>
      </c>
      <c r="D325" s="339" t="str">
        <f>IFERROR((D61-D160)/-D66,"")</f>
        <v/>
      </c>
      <c r="E325" s="339" t="str">
        <f>IFERROR((E61-E160)/-E66,"")</f>
        <v/>
      </c>
      <c r="F325" s="339" t="str">
        <f>IFERROR((F61-F160)/-F66,"")</f>
        <v/>
      </c>
      <c r="G325" s="339" t="str">
        <f>IFERROR((G61-G160)/-G66,"")</f>
        <v/>
      </c>
      <c r="I325" s="339" t="str">
        <f>IFERROR((I61-I160)/-I66,"")</f>
        <v/>
      </c>
      <c r="J325" s="339" t="str">
        <f>IFERROR((J61-J160)/-J66,"")</f>
        <v/>
      </c>
      <c r="K325" s="339" t="str">
        <f>IFERROR((K61-K160)/-K66,"")</f>
        <v/>
      </c>
      <c r="L325" s="339" t="str">
        <f>IFERROR((L61-L160)/-L66,"")</f>
        <v/>
      </c>
      <c r="N325" s="339" t="str">
        <f>IFERROR((N61-N160)/-N66,"")</f>
        <v/>
      </c>
      <c r="O325" s="339" t="str">
        <f>IFERROR((O61-O160)/-O66,"")</f>
        <v/>
      </c>
      <c r="P325" s="339" t="str">
        <f>IFERROR((P61-P160)/-P66,"")</f>
        <v/>
      </c>
      <c r="Q325" s="339" t="str">
        <f>IFERROR((Q61-Q160)/-Q66,"")</f>
        <v/>
      </c>
      <c r="S325" s="339" t="str">
        <f>IFERROR((S61-S160)/-S66,"")</f>
        <v/>
      </c>
      <c r="T325" s="339" t="str">
        <f>IFERROR((T61-T160)/-T66,"")</f>
        <v/>
      </c>
      <c r="U325" s="339" t="str">
        <f>IFERROR((U61-U160)/-U66,"")</f>
        <v/>
      </c>
      <c r="V325" s="339" t="str">
        <f>IFERROR((V61-V160)/-V66,"")</f>
        <v/>
      </c>
      <c r="X325" s="339" t="str">
        <f>IFERROR((X61-X160)/-X66,"")</f>
        <v/>
      </c>
      <c r="Y325" s="339" t="str">
        <f>IFERROR((Y61-Y160)/-Y66,"")</f>
        <v/>
      </c>
      <c r="Z325" s="339" t="str">
        <f>IFERROR((Z61-Z160)/-Z66,"")</f>
        <v/>
      </c>
      <c r="AA325" s="339" t="str">
        <f>IFERROR((AA61-AA160)/-AA66,"")</f>
        <v/>
      </c>
      <c r="AC325" s="339" t="str">
        <f>IFERROR((AC61-AC160)/-AC66,"")</f>
        <v/>
      </c>
      <c r="AD325" s="339" t="str">
        <f>IFERROR((AD61-AD160)/-AD66,"")</f>
        <v/>
      </c>
      <c r="AE325" s="339" t="str">
        <f>IFERROR((AE61-AE160)/-AE66,"")</f>
        <v/>
      </c>
      <c r="AF325" s="339" t="str">
        <f>IFERROR((AF61-AF160)/-AF66,"")</f>
        <v/>
      </c>
      <c r="AH325" s="339" t="str">
        <f>IFERROR((AH61-AH160)/-AH66,"")</f>
        <v/>
      </c>
      <c r="AI325" s="339" t="str">
        <f>IFERROR((AI61-AI160)/-AI66,"")</f>
        <v/>
      </c>
      <c r="AJ325" s="339" t="str">
        <f>IFERROR((AJ61-AJ160)/-AJ66,"")</f>
        <v/>
      </c>
      <c r="AK325" s="339" t="str">
        <f>IFERROR((AK61-AK160)/-AK66,"")</f>
        <v/>
      </c>
      <c r="AM325" s="339" t="str">
        <f>IFERROR((AM61-AM160)/-AM66,"")</f>
        <v/>
      </c>
      <c r="AN325" s="339" t="str">
        <f>IFERROR((AN61-AN160)/-AN66,"")</f>
        <v/>
      </c>
      <c r="AO325" s="339" t="str">
        <f>IFERROR((AO61-AO160)/-AO66,"")</f>
        <v/>
      </c>
      <c r="AP325" s="339" t="str">
        <f>IFERROR((AP61-AP160)/-AP66,"")</f>
        <v/>
      </c>
      <c r="AR325" s="339" t="str">
        <f>IFERROR((AR61-AR160)/-AR66,"")</f>
        <v/>
      </c>
      <c r="AS325" s="339" t="str">
        <f>IFERROR((AS61-AS160)/-AS66,"")</f>
        <v/>
      </c>
      <c r="AT325" s="339" t="str">
        <f>IFERROR((AT61-AT160)/-AT66,"")</f>
        <v/>
      </c>
      <c r="AU325" s="339" t="str">
        <f>IFERROR((AU61-AU160)/-AU66,"")</f>
        <v/>
      </c>
      <c r="AW325" s="339" t="str">
        <f>IFERROR((AW61-AW160)/-AW66,"")</f>
        <v/>
      </c>
      <c r="AX325" s="339" t="str">
        <f>IFERROR((AX61-AX160)/-AX66,"")</f>
        <v/>
      </c>
      <c r="AY325" s="339" t="str">
        <f>IFERROR((AY61-AY160)/-AY66,"")</f>
        <v/>
      </c>
      <c r="AZ325" s="339" t="str">
        <f>IFERROR((AZ61-AZ160)/-AZ66,"")</f>
        <v/>
      </c>
      <c r="BB325" s="339" t="str">
        <f>IFERROR((BB61-BB160)/-BB66,"")</f>
        <v/>
      </c>
      <c r="BC325" s="339" t="str">
        <f>IFERROR((BC61-BC160)/-BC66,"")</f>
        <v/>
      </c>
      <c r="BD325" s="339" t="str">
        <f>IFERROR((BD61-BD160)/-BD66,"")</f>
        <v/>
      </c>
      <c r="BE325" s="339" t="str">
        <f>IFERROR((BE61-BE160)/-BE66,"")</f>
        <v/>
      </c>
      <c r="BG325" s="339" t="str">
        <f>IFERROR((BG61-BG160)/-BG66,"")</f>
        <v/>
      </c>
      <c r="BH325" s="339" t="str">
        <f>IFERROR((BH61-BH160)/-BH66,"")</f>
        <v/>
      </c>
      <c r="BI325" s="339" t="str">
        <f>IFERROR((BI61-BI160)/-BI66,"")</f>
        <v/>
      </c>
      <c r="BJ325" s="339" t="str">
        <f>IFERROR((BJ61-BJ160)/-BJ66,"")</f>
        <v/>
      </c>
      <c r="BL325" s="339" t="str">
        <f>IFERROR((BL61-BL160)/-BL66,"")</f>
        <v/>
      </c>
      <c r="BM325" s="339" t="str">
        <f>IFERROR((BM61-BM160)/-BM66,"")</f>
        <v/>
      </c>
      <c r="BN325" s="339" t="str">
        <f>IFERROR((BN61-BN160)/-BN66,"")</f>
        <v/>
      </c>
      <c r="BO325" s="339" t="str">
        <f>IFERROR((BO61-BO160)/-BO66,"")</f>
        <v/>
      </c>
      <c r="BQ325" s="339" t="str">
        <f>IFERROR((BQ61-BQ160)/-BQ66,"")</f>
        <v/>
      </c>
      <c r="BR325" s="339" t="str">
        <f>IFERROR((BR61-BR160)/-BR66,"")</f>
        <v/>
      </c>
      <c r="BS325" s="339" t="str">
        <f>IFERROR((BS61-BS160)/-BS66,"")</f>
        <v/>
      </c>
      <c r="BT325" s="339" t="str">
        <f>IFERROR((BT61-BT160)/-BT66,"")</f>
        <v/>
      </c>
      <c r="BV325" s="339" t="str">
        <f>IFERROR((BV61-BV160)/-BV66,"")</f>
        <v/>
      </c>
      <c r="BW325" s="339" t="str">
        <f>IFERROR((BW61-BW160)/-BW66,"")</f>
        <v/>
      </c>
      <c r="BX325" s="339" t="str">
        <f>IFERROR((BX61-BX160)/-BX66,"")</f>
        <v/>
      </c>
      <c r="BY325" s="339" t="str">
        <f>IFERROR((BY61-BY160)/-BY66,"")</f>
        <v/>
      </c>
      <c r="CA325" s="339" t="str">
        <f>IFERROR((CA61-CA160)/-CA66,"")</f>
        <v/>
      </c>
      <c r="CB325" s="339" t="str">
        <f>IFERROR((CB61-CB160)/-CB66,"")</f>
        <v/>
      </c>
      <c r="CC325" s="339" t="str">
        <f>IFERROR((CC61-CC160)/-CC66,"")</f>
        <v/>
      </c>
      <c r="CD325" s="339" t="str">
        <f>IFERROR((CD61-CD160)/-CD66,"")</f>
        <v/>
      </c>
      <c r="CF325" s="339" t="str">
        <f>IFERROR((CF61-CF160)/-CF66,"")</f>
        <v/>
      </c>
      <c r="CG325" s="339" t="str">
        <f>IFERROR((CG61-CG160)/-CG66,"")</f>
        <v/>
      </c>
      <c r="CH325" s="339" t="str">
        <f>IFERROR((CH61-CH160)/-CH66,"")</f>
        <v/>
      </c>
      <c r="CI325" s="339" t="str">
        <f>IFERROR((CI61-CI160)/-CI66,"")</f>
        <v/>
      </c>
      <c r="CK325" s="339" t="str">
        <f>IFERROR((CK61-CK160)/-CK66,"")</f>
        <v/>
      </c>
      <c r="CL325" s="339" t="str">
        <f>IFERROR((CL61-CL160)/-CL66,"")</f>
        <v/>
      </c>
      <c r="CM325" s="339" t="str">
        <f>IFERROR((CM61-CM160)/-CM66,"")</f>
        <v/>
      </c>
      <c r="CN325" s="339" t="str">
        <f>IFERROR((CN61-CN160)/-CN66,"")</f>
        <v/>
      </c>
      <c r="CP325" s="339" t="str">
        <f>IFERROR((CP61-CP160)/-CP66,"")</f>
        <v/>
      </c>
      <c r="CQ325" s="339" t="str">
        <f>IFERROR((CQ61-CQ160)/-CQ66,"")</f>
        <v/>
      </c>
      <c r="CR325" s="339" t="str">
        <f>IFERROR((CR61-CR160)/-CR66,"")</f>
        <v/>
      </c>
      <c r="CS325" s="339" t="str">
        <f>IFERROR((CS61-CS160)/-CS66,"")</f>
        <v/>
      </c>
      <c r="CU325" s="339" t="str">
        <f>IFERROR((CU61-CU160)/-CU66,"")</f>
        <v/>
      </c>
      <c r="CV325" s="339" t="str">
        <f>IFERROR((CV61-CV160)/-CV66,"")</f>
        <v/>
      </c>
      <c r="CW325" s="339" t="str">
        <f>IFERROR((CW61-CW160)/-CW66,"")</f>
        <v/>
      </c>
      <c r="CX325" s="339" t="str">
        <f>IFERROR((CX61-CX160)/-CX66,"")</f>
        <v/>
      </c>
    </row>
    <row r="326" ht="12.75" customFormat="1" customHeight="1" s="333">
      <c r="A326" s="334" t="n"/>
      <c r="B326" s="334" t="n"/>
      <c r="C326" s="333" t="inlineStr">
        <is>
          <t>TOTAL DEBT / EBITDA LTM</t>
        </is>
      </c>
      <c r="D326" s="339" t="str">
        <f>""</f>
        <v/>
      </c>
      <c r="E326" s="339" t="str">
        <f>""</f>
        <v/>
      </c>
      <c r="F326" s="339" t="str">
        <f>""</f>
        <v/>
      </c>
      <c r="G326" s="339">
        <f>IFERROR(SUM(G204,G205,G206,G209,G227,G230)/(G61+F61+E61+D61),"")</f>
        <v>2.44918032786885</v>
      </c>
      <c r="I326" s="339">
        <f>IFERROR(SUM(I204,I205,I206,I209,I227,I230)/(I61+G61+F61+E61),"")</f>
        <v>1.62185846560847</v>
      </c>
      <c r="J326" s="339">
        <f>IFERROR(SUM(J204,J205,J206,J209,J227,J230)/(J61+I61+G61+F61),"")</f>
        <v>1.22427074125521</v>
      </c>
      <c r="K326" s="339">
        <f>IFERROR(SUM(K204,K205,K206,K209,K227,K230)/(K61+J61+I61+G61),"")</f>
        <v>1.00311364815776</v>
      </c>
      <c r="L326" s="339">
        <f>IFERROR(SUM(L204,L205,L206,L209,L227,L230)/(L61+K61+J61+I61),"")</f>
        <v>0.911810111925897</v>
      </c>
      <c r="N326" s="339">
        <f>IFERROR(SUM(N204,N205,N206,N209,N227,N230)/(N61+L61+K61+J61),"")</f>
        <v>0.821535308684143</v>
      </c>
      <c r="O326" s="339">
        <f>IFERROR(SUM(O204,O205,O206,O209,O227,O230)/(O61+N61+L61+K61),"")</f>
        <v>0.972641178533848</v>
      </c>
      <c r="P326" s="339">
        <f>IFERROR(SUM(P204,P205,P206,P209,P227,P230)/(P61+O61+N61+L61),"")</f>
        <v>1.08154593282072</v>
      </c>
      <c r="Q326" s="339">
        <f>IFERROR(SUM(Q204,Q205,Q206,Q209,Q227,Q230)/(Q61+P61+O61+N61),"")</f>
        <v>1.17270318021201</v>
      </c>
      <c r="S326" s="339">
        <f>IFERROR(SUM(S204,S205,S206,S209,S227,S230)/(S61+Q61+P61+O61),"")</f>
        <v>1.24194379994844</v>
      </c>
      <c r="T326" s="339">
        <f>IFERROR(SUM(T204,T205,T206,T209,T227,T230)/(T61+S61+Q61+P61),"")</f>
        <v>1.27074411134904</v>
      </c>
      <c r="U326" s="339">
        <f>IFERROR(SUM(U204,U205,U206,U209,U227,U230)/(U61+T61+S61+Q61),"")</f>
        <v>1.17167061168556</v>
      </c>
      <c r="V326" s="339">
        <f>IFERROR(SUM(V204,V205,V206,V209,V227,V230)/(V61+U61+T61+S61),"")</f>
        <v>1.1361389123357</v>
      </c>
      <c r="X326" s="339">
        <f>IFERROR(SUM(X204,X205,X206,X209,X227,X230)/(X61+V61+U61+T61),"")</f>
        <v>1.10596104200892</v>
      </c>
      <c r="Y326" s="339">
        <f>IFERROR(SUM(Y204,Y205,Y206,Y209,Y227,Y230)/(Y61+X61+V61+U61),"")</f>
        <v>1.03321275896087</v>
      </c>
      <c r="Z326" s="339">
        <f>IFERROR(SUM(Z204,Z205,Z206,Z209,Z227,Z230)/(Z61+Y61+X61+V61),"")</f>
        <v>1.00446243254462</v>
      </c>
      <c r="AA326" s="339">
        <f>IFERROR(SUM(AA204,AA205,AA206,AA209,AA227,AA230)/(AA61+Z61+Y61+X61),"")</f>
        <v>0.982756727073037</v>
      </c>
      <c r="AC326" s="339">
        <f>IFERROR(SUM(AC204,AC205,AC206,AC209,AC227,AC230)/(AC61+AA61+Z61+Y61),"")</f>
        <v>1.0877964141122</v>
      </c>
      <c r="AD326" s="339">
        <f>IFERROR(SUM(AD204,AD205,AD206,AD209,AD227,AD230)/(AD61+AC61+AA61+Z61),"")</f>
        <v>1.00696636551649</v>
      </c>
      <c r="AE326" s="339">
        <f>IFERROR(SUM(AE204,AE205,AE206,AE209,AE227,AE230)/(AE61+AD61+AC61+AA61),"")</f>
        <v>1.00562405364482</v>
      </c>
      <c r="AF326" s="339">
        <f>IFERROR(SUM(AF204,AF205,AF206,AF209,AF227,AF230)/(AF61+AE61+AD61+AC61),"")</f>
        <v>1.18568819904131</v>
      </c>
      <c r="AH326" s="339">
        <f>IFERROR(SUM(AH204,AH205,AH206,AH209,AH227,AH230)/(AH61+AF61+AE61+AD61),"")</f>
        <v>1.07849440066363</v>
      </c>
      <c r="AI326" s="339">
        <f>IFERROR(SUM(AI204,AI205,AI206,AI209,AI227,AI230)/(AI61+AH61+AF61+AE61),"")</f>
        <v>1.14211686879824</v>
      </c>
      <c r="AJ326" s="339">
        <f>IFERROR(SUM(AJ204,AJ205,AJ206,AJ209,AJ227,AJ230)/(AJ61+AI61+AH61+AF61),"")</f>
        <v>1.60033987331994</v>
      </c>
      <c r="AK326" s="339">
        <f>IFERROR(SUM(AK204,AK205,AK206,AK209,AK227,AK230)/(AK61+AJ61+AI61+AH61),"")</f>
        <v>2.00096581031485</v>
      </c>
      <c r="AM326" s="339">
        <f>IFERROR(SUM(AM204,AM205,AM206,AM209,AM227,AM230)/(AM61+AK61+AJ61+AI61),"")</f>
        <v>4.10095011876485</v>
      </c>
      <c r="AN326" s="339" t="str">
        <f>IFERROR(SUM(AN204,AN205,AN206,AN209,AN227,AN230)/(AN61+AM61+AK61+AJ61),"")</f>
        <v/>
      </c>
      <c r="AO326" s="339" t="str">
        <f>IFERROR(SUM(AO204,AO205,AO206,AO209,AO227,AO230)/(AO61+AN61+AM61+AK61),"")</f>
        <v/>
      </c>
      <c r="AP326" s="339" t="str">
        <f>IFERROR(SUM(AP204,AP205,AP206,AP209,AP227,AP230)/(AP61+AO61+AN61+AM61),"")</f>
        <v/>
      </c>
      <c r="AR326" s="339" t="str">
        <f>IFERROR(SUM(AR204,AR205,AR206,AR209,AR227,AR230)/(AR61+AP61+AO61+AN61),"")</f>
        <v/>
      </c>
      <c r="AS326" s="339" t="str">
        <f>IFERROR(SUM(AS204,AS205,AS206,AS209,AS227,AS230)/(AS61+AR61+AP61+AO61),"")</f>
        <v/>
      </c>
      <c r="AT326" s="339" t="str">
        <f>IFERROR(SUM(AT204,AT205,AT206,AT209,AT227,AT230)/(AT61+AS61+AR61+AP61),"")</f>
        <v/>
      </c>
      <c r="AU326" s="339" t="str">
        <f>IFERROR(SUM(AU204,AU205,AU206,AU209,AU227,AU230)/(AU61+AT61+AS61+AR61),"")</f>
        <v/>
      </c>
      <c r="AW326" s="339" t="str">
        <f>IFERROR(SUM(AW204,AW205,AW206,AW209,AW227,AW230)/(AW61+AU61+AT61+AS61),"")</f>
        <v/>
      </c>
      <c r="AX326" s="339" t="str">
        <f>IFERROR(SUM(AX204,AX205,AX206,AX209,AX227,AX230)/(AX61+AW61+AU61+AT61),"")</f>
        <v/>
      </c>
      <c r="AY326" s="339" t="str">
        <f>IFERROR(SUM(AY204,AY205,AY206,AY209,AY227,AY230)/(AY61+AX61+AW61+AU61),"")</f>
        <v/>
      </c>
      <c r="AZ326" s="339" t="str">
        <f>IFERROR(SUM(AZ204,AZ205,AZ206,AZ209,AZ227,AZ230)/(AZ61+AY61+AX61+AW61),"")</f>
        <v/>
      </c>
      <c r="BB326" s="339" t="str">
        <f>IFERROR(SUM(BB204,BB205,BB206,BB209,BB227,BB230)/(BB61+AZ61+AY61+AX61),"")</f>
        <v/>
      </c>
      <c r="BC326" s="339" t="str">
        <f>IFERROR(SUM(BC204,BC205,BC206,BC209,BC227,BC230)/(BC61+BB61+AZ61+AY61),"")</f>
        <v/>
      </c>
      <c r="BD326" s="339" t="str">
        <f>IFERROR(SUM(BD204,BD205,BD206,BD209,BD227,BD230)/(BD61+BC61+BB61+AZ61),"")</f>
        <v/>
      </c>
      <c r="BE326" s="339" t="str">
        <f>IFERROR(SUM(BE204,BE205,BE206,BE209,BE227,BE230)/(BE61+BD61+BC61+BB61),"")</f>
        <v/>
      </c>
      <c r="BG326" s="339" t="str">
        <f>IFERROR(SUM(BG204,BG205,BG206,BG209,BG227,BG230)/(BG61+BE61+BD61+BC61),"")</f>
        <v/>
      </c>
      <c r="BH326" s="339" t="str">
        <f>IFERROR(SUM(BH204,BH205,BH206,BH209,BH227,BH230)/(BH61+BG61+BE61+BD61),"")</f>
        <v/>
      </c>
      <c r="BI326" s="339" t="str">
        <f>IFERROR(SUM(BI204,BI205,BI206,BI209,BI227,BI230)/(BI61+BH61+BG61+BE61),"")</f>
        <v/>
      </c>
      <c r="BJ326" s="339" t="str">
        <f>IFERROR(SUM(BJ204,BJ205,BJ206,BJ209,BJ227,BJ230)/(BJ61+BI61+BH61+BG61),"")</f>
        <v/>
      </c>
      <c r="BL326" s="339" t="str">
        <f>IFERROR(SUM(BL204,BL205,BL206,BL209,BL227,BL230)/(BL61+BJ61+BI61+BH61),"")</f>
        <v/>
      </c>
      <c r="BM326" s="339" t="str">
        <f>IFERROR(SUM(BM204,BM205,BM206,BM209,BM227,BM230)/(BM61+BL61+BJ61+BI61),"")</f>
        <v/>
      </c>
      <c r="BN326" s="339" t="str">
        <f>IFERROR(SUM(BN204,BN205,BN206,BN209,BN227,BN230)/(BN61+BM61+BL61+BJ61),"")</f>
        <v/>
      </c>
      <c r="BO326" s="339" t="str">
        <f>IFERROR(SUM(BO204,BO205,BO206,BO209,BO227,BO230)/(BO61+BN61+BM61+BL61),"")</f>
        <v/>
      </c>
      <c r="BQ326" s="339" t="str">
        <f>IFERROR(SUM(BQ204,BQ205,BQ206,BQ209,BQ227,BQ230)/(BQ61+BO61+BN61+BM61),"")</f>
        <v/>
      </c>
      <c r="BR326" s="339" t="str">
        <f>IFERROR(SUM(BR204,BR205,BR206,BR209,BR227,BR230)/(BR61+BQ61+BO61+BN61),"")</f>
        <v/>
      </c>
      <c r="BS326" s="339" t="str">
        <f>IFERROR(SUM(BS204,BS205,BS206,BS209,BS227,BS230)/(BS61+BR61+BQ61+BO61),"")</f>
        <v/>
      </c>
      <c r="BT326" s="339" t="str">
        <f>IFERROR(SUM(BT204,BT205,BT206,BT209,BT227,BT230)/(BT61+BS61+BR61+BQ61),"")</f>
        <v/>
      </c>
      <c r="BV326" s="339" t="str">
        <f>IFERROR(SUM(BV204,BV205,BV206,BV209,BV227,BV230)/(BV61+BT61+BS61+BR61),"")</f>
        <v/>
      </c>
      <c r="BW326" s="339" t="str">
        <f>IFERROR(SUM(BW204,BW205,BW206,BW209,BW227,BW230)/(BW61+BV61+BT61+BS61),"")</f>
        <v/>
      </c>
      <c r="BX326" s="339" t="str">
        <f>IFERROR(SUM(BX204,BX205,BX206,BX209,BX227,BX230)/(BX61+BW61+BV61+BT61),"")</f>
        <v/>
      </c>
      <c r="BY326" s="339" t="str">
        <f>IFERROR(SUM(BY204,BY205,BY206,BY209,BY227,BY230)/(BY61+BX61+BW61+BV61),"")</f>
        <v/>
      </c>
      <c r="CA326" s="339" t="str">
        <f>IFERROR(SUM(CA204,CA205,CA206,CA209,CA227,CA230)/(CA61+BY61+BX61+BW61),"")</f>
        <v/>
      </c>
      <c r="CB326" s="339" t="str">
        <f>IFERROR(SUM(CB204,CB205,CB206,CB209,CB227,CB230)/(CB61+CA61+BY61+BX61),"")</f>
        <v/>
      </c>
      <c r="CC326" s="339" t="str">
        <f>IFERROR(SUM(CC204,CC205,CC206,CC209,CC227,CC230)/(CC61+CB61+CA61+BY61),"")</f>
        <v/>
      </c>
      <c r="CD326" s="339" t="str">
        <f>IFERROR(SUM(CD204,CD205,CD206,CD209,CD227,CD230)/(CD61+CC61+CB61+CA61),"")</f>
        <v/>
      </c>
      <c r="CF326" s="339" t="str">
        <f>IFERROR(SUM(CF204,CF205,CF206,CF209,CF227,CF230)/(CF61+CD61+CC61+CB61),"")</f>
        <v/>
      </c>
      <c r="CG326" s="339" t="str">
        <f>IFERROR(SUM(CG204,CG205,CG206,CG209,CG227,CG230)/(CG61+CF61+CD61+CC61),"")</f>
        <v/>
      </c>
      <c r="CH326" s="339" t="str">
        <f>IFERROR(SUM(CH204,CH205,CH206,CH209,CH227,CH230)/(CH61+CG61+CF61+CD61),"")</f>
        <v/>
      </c>
      <c r="CI326" s="339" t="str">
        <f>IFERROR(SUM(CI204,CI205,CI206,CI209,CI227,CI230)/(CI61+CH61+CG61+CF61),"")</f>
        <v/>
      </c>
      <c r="CK326" s="339" t="str">
        <f>IFERROR(SUM(CK204,CK205,CK206,CK209,CK227,CK230)/(CK61+CI61+CH61+CG61),"")</f>
        <v/>
      </c>
      <c r="CL326" s="339" t="str">
        <f>IFERROR(SUM(CL204,CL205,CL206,CL209,CL227,CL230)/(CL61+CK61+CI61+CH61),"")</f>
        <v/>
      </c>
      <c r="CM326" s="339" t="str">
        <f>IFERROR(SUM(CM204,CM205,CM206,CM209,CM227,CM230)/(CM61+CL61+CK61+CI61),"")</f>
        <v/>
      </c>
      <c r="CN326" s="339" t="str">
        <f>IFERROR(SUM(CN204,CN205,CN206,CN209,CN227,CN230)/(CN61+CM61+CL61+CK61),"")</f>
        <v/>
      </c>
      <c r="CP326" s="339" t="str">
        <f>IFERROR(SUM(CP204,CP205,CP206,CP209,CP227,CP230)/(CP61+CN61+CM61+CL61),"")</f>
        <v/>
      </c>
      <c r="CQ326" s="339" t="str">
        <f>IFERROR(SUM(CQ204,CQ205,CQ206,CQ209,CQ227,CQ230)/(CQ61+CP61+CN61+CM61),"")</f>
        <v/>
      </c>
      <c r="CR326" s="339" t="str">
        <f>IFERROR(SUM(CR204,CR205,CR206,CR209,CR227,CR230)/(CR61+CQ61+CP61+CN61),"")</f>
        <v/>
      </c>
      <c r="CS326" s="339" t="str">
        <f>IFERROR(SUM(CS204,CS205,CS206,CS209,CS227,CS230)/(CS61+CR61+CQ61+CP61),"")</f>
        <v/>
      </c>
      <c r="CU326" s="339" t="str">
        <f>IFERROR(SUM(CU204,CU205,CU206,CU209,CU227,CU230)/(CU61+CS61+CR61+CQ61),"")</f>
        <v/>
      </c>
      <c r="CV326" s="339" t="str">
        <f>IFERROR(SUM(CV204,CV205,CV206,CV209,CV227,CV230)/(CV61+CU61+CS61+CR61),"")</f>
        <v/>
      </c>
      <c r="CW326" s="339" t="str">
        <f>IFERROR(SUM(CW204,CW205,CW206,CW209,CW227,CW230)/(CW61+CV61+CU61+CS61),"")</f>
        <v/>
      </c>
      <c r="CX326" s="339" t="str">
        <f>IFERROR(SUM(CX204,CX205,CX206,CX209,CX227,CX230)/(CX61+CW61+CV61+CU61),"")</f>
        <v/>
      </c>
    </row>
    <row r="327" ht="12.75" customFormat="1" customHeight="1" s="333">
      <c r="A327" s="334" t="n"/>
      <c r="B327" s="334" t="n"/>
      <c r="C327" s="333" t="inlineStr">
        <is>
          <t>TOTAL DEBT / TOTAL CAPITALIZATION</t>
        </is>
      </c>
      <c r="D327" s="337">
        <f>SUM(D204+D205+D206+D209+D227+D230)/(SUM(D204+D205+D206+D209+D227+D230)+D263)</f>
        <v>0.372600510411658</v>
      </c>
      <c r="E327" s="337">
        <f>SUM(E204+E205+E206+E209+E227+E230)/(SUM(E204+E205+E206+E209+E227+E230)+E263)</f>
        <v>0.366249214969153</v>
      </c>
      <c r="F327" s="337">
        <f>SUM(F204+F205+F206+F209+F227+F230)/(SUM(F204+F205+F206+F209+F227+F230)+F263)</f>
        <v>0.363511162655842</v>
      </c>
      <c r="G327" s="337">
        <f>SUM(G204+G205+G206+G209+G227+G230)/(SUM(G204+G205+G206+G209+G227+G230)+G263)</f>
        <v>0.342189647274393</v>
      </c>
      <c r="I327" s="337">
        <f>SUM(I204+I205+I206+I209+I227+I230)/(SUM(I204+I205+I206+I209+I227+I230)+I263)</f>
        <v>0.333843849976176</v>
      </c>
      <c r="J327" s="337">
        <f>SUM(J204+J205+J206+J209+J227+J230)/(SUM(J204+J205+J206+J209+J227+J230)+J263)</f>
        <v>0.316519751877245</v>
      </c>
      <c r="K327" s="337">
        <f>SUM(K204+K205+K206+K209+K227+K230)/(SUM(K204+K205+K206+K209+K227+K230)+K263)</f>
        <v>0.300192570505653</v>
      </c>
      <c r="L327" s="337">
        <f>SUM(L204+L205+L206+L209+L227+L230)/(SUM(L204+L205+L206+L209+L227+L230)+L263)</f>
        <v>0.29104684468262</v>
      </c>
      <c r="N327" s="337">
        <f>SUM(N204+N205+N206+N209+N227+N230)/(SUM(N204+N205+N206+N209+N227+N230)+N263)</f>
        <v>0.285803404331165</v>
      </c>
      <c r="O327" s="337">
        <f>SUM(O204+O205+O206+O209+O227+O230)/(SUM(O204+O205+O206+O209+O227+O230)+O263)</f>
        <v>0.315660661942571</v>
      </c>
      <c r="P327" s="337">
        <f>SUM(P204+P205+P206+P209+P227+P230)/(SUM(P204+P205+P206+P209+P227+P230)+P263)</f>
        <v>0.3065584583178</v>
      </c>
      <c r="Q327" s="337">
        <f>SUM(Q204+Q205+Q206+Q209+Q227+Q230)/(SUM(Q204+Q205+Q206+Q209+Q227+Q230)+Q263)</f>
        <v>0.299230790904736</v>
      </c>
      <c r="S327" s="337">
        <f>SUM(S204+S205+S206+S209+S227+S230)/(SUM(S204+S205+S206+S209+S227+S230)+S263)</f>
        <v>0.2730776861378</v>
      </c>
      <c r="T327" s="337">
        <f>SUM(T204+T205+T206+T209+T227+T230)/(SUM(T204+T205+T206+T209+T227+T230)+T263)</f>
        <v>0.267299138562018</v>
      </c>
      <c r="U327" s="337">
        <f>SUM(U204+U205+U206+U209+U227+U230)/(SUM(U204+U205+U206+U209+U227+U230)+U263)</f>
        <v>0.260656282911147</v>
      </c>
      <c r="V327" s="337">
        <f>SUM(V204+V205+V206+V209+V227+V230)/(SUM(V204+V205+V206+V209+V227+V230)+V263)</f>
        <v>0.256506588260917</v>
      </c>
      <c r="X327" s="337">
        <f>SUM(X204+X205+X206+X209+X227+X230)/(SUM(X204+X205+X206+X209+X227+X230)+X263)</f>
        <v>0.25113242739142</v>
      </c>
      <c r="Y327" s="337">
        <f>SUM(Y204+Y205+Y206+Y209+Y227+Y230)/(SUM(Y204+Y205+Y206+Y209+Y227+Y230)+Y263)</f>
        <v>0.247323677581864</v>
      </c>
      <c r="Z327" s="337">
        <f>SUM(Z204+Z205+Z206+Z209+Z227+Z230)/(SUM(Z204+Z205+Z206+Z209+Z227+Z230)+Z263)</f>
        <v>0.251109093267609</v>
      </c>
      <c r="AA327" s="337">
        <f>SUM(AA204+AA205+AA206+AA209+AA227+AA230)/(SUM(AA204+AA205+AA206+AA209+AA227+AA230)+AA263)</f>
        <v>0.237183904999205</v>
      </c>
      <c r="AC327" s="337">
        <f>SUM(AC204+AC205+AC206+AC209+AC227+AC230)/(SUM(AC204+AC205+AC206+AC209+AC227+AC230)+AC263)</f>
        <v>0.243513387539489</v>
      </c>
      <c r="AD327" s="337">
        <f>SUM(AD204+AD205+AD206+AD209+AD227+AD230)/(SUM(AD204+AD205+AD206+AD209+AD227+AD230)+AD263)</f>
        <v>0.235712283741432</v>
      </c>
      <c r="AE327" s="337">
        <f>SUM(AE204+AE205+AE206+AE209+AE227+AE230)/(SUM(AE204+AE205+AE206+AE209+AE227+AE230)+AE263)</f>
        <v>0.234236049880338</v>
      </c>
      <c r="AF327" s="337">
        <f>SUM(AF204+AF205+AF206+AF209+AF227+AF230)/(SUM(AF204+AF205+AF206+AF209+AF227+AF230)+AF263)</f>
        <v>0.252435913011785</v>
      </c>
      <c r="AH327" s="337">
        <f>SUM(AH204+AH205+AH206+AH209+AH227+AH230)/(SUM(AH204+AH205+AH206+AH209+AH227+AH230)+AH263)</f>
        <v>0.248162817331552</v>
      </c>
      <c r="AI327" s="337">
        <f>SUM(AI204+AI205+AI206+AI209+AI227+AI230)/(SUM(AI204+AI205+AI206+AI209+AI227+AI230)+AI263)</f>
        <v>0.243277518141894</v>
      </c>
      <c r="AJ327" s="337">
        <f>SUM(AJ204+AJ205+AJ206+AJ209+AJ227+AJ230)/(SUM(AJ204+AJ205+AJ206+AJ209+AJ227+AJ230)+AJ263)</f>
        <v>0.243913350600424</v>
      </c>
      <c r="AK327" s="337">
        <f>SUM(AK204+AK205+AK206+AK209+AK227+AK230)/(SUM(AK204+AK205+AK206+AK209+AK227+AK230)+AK263)</f>
        <v>0.244327562620878</v>
      </c>
      <c r="AM327" s="337">
        <f>SUM(AM204+AM205+AM206+AM209+AM227+AM230)/(SUM(AM204+AM205+AM206+AM209+AM227+AM230)+AM263)</f>
        <v>0.244714275589993</v>
      </c>
      <c r="AN327" s="337">
        <f>SUM(AN204+AN205+AN206+AN209+AN227+AN230)/(SUM(AN204+AN205+AN206+AN209+AN227+AN230)+AN263)</f>
        <v>0.246736852134146</v>
      </c>
      <c r="AO327" s="337">
        <f>SUM(AO204+AO205+AO206+AO209+AO227+AO230)/(SUM(AO204+AO205+AO206+AO209+AO227+AO230)+AO263)</f>
        <v>0.247213803307639</v>
      </c>
      <c r="AP327" s="337">
        <f>SUM(AP204+AP205+AP206+AP209+AP227+AP230)/(SUM(AP204+AP205+AP206+AP209+AP227+AP230)+AP263)</f>
        <v>0.249302079322295</v>
      </c>
      <c r="AR327" s="337">
        <f>SUM(AR204+AR205+AR206+AR209+AR227+AR230)/(SUM(AR204+AR205+AR206+AR209+AR227+AR230)+AR263)</f>
        <v>0.251395427850313</v>
      </c>
      <c r="AS327" s="337">
        <f>SUM(AS204+AS205+AS206+AS209+AS227+AS230)/(SUM(AS204+AS205+AS206+AS209+AS227+AS230)+AS263)</f>
        <v>0.256658655632913</v>
      </c>
      <c r="AT327" s="337">
        <f>SUM(AT204+AT205+AT206+AT209+AT227+AT230)/(SUM(AT204+AT205+AT206+AT209+AT227+AT230)+AT263)</f>
        <v>0.258968525786855</v>
      </c>
      <c r="AU327" s="337">
        <f>SUM(AU204+AU205+AU206+AU209+AU227+AU230)/(SUM(AU204+AU205+AU206+AU209+AU227+AU230)+AU263)</f>
        <v>0.264584184715979</v>
      </c>
      <c r="AW327" s="337">
        <f>SUM(AW204+AW205+AW206+AW209+AW227+AW230)/(SUM(AW204+AW205+AW206+AW209+AW227+AW230)+AW263)</f>
        <v>0.270413490654694</v>
      </c>
      <c r="AX327" s="337">
        <f>SUM(AX204+AX205+AX206+AX209+AX227+AX230)/(SUM(AX204+AX205+AX206+AX209+AX227+AX230)+AX263)</f>
        <v>0.288479211339776</v>
      </c>
      <c r="AY327" s="337">
        <f>SUM(AY204+AY205+AY206+AY209+AY227+AY230)/(SUM(AY204+AY205+AY206+AY209+AY227+AY230)+AY263)</f>
        <v>0.295540783429859</v>
      </c>
      <c r="AZ327" s="337">
        <f>SUM(AZ204+AZ205+AZ206+AZ209+AZ227+AZ230)/(SUM(AZ204+AZ205+AZ206+AZ209+AZ227+AZ230)+AZ263)</f>
        <v>0.317293555501103</v>
      </c>
      <c r="BB327" s="337">
        <f>SUM(BB204+BB205+BB206+BB209+BB227+BB230)/(SUM(BB204+BB205+BB206+BB209+BB227+BB230)+BB263)</f>
        <v>0.342446280991736</v>
      </c>
      <c r="BC327" s="337">
        <f>SUM(BC204+BC205+BC206+BC209+BC227+BC230)/(SUM(BC204+BC205+BC206+BC209+BC227+BC230)+BC263)</f>
        <v>0.436223522971323</v>
      </c>
      <c r="BD327" s="337">
        <f>SUM(BD204+BD205+BD206+BD209+BD227+BD230)/(SUM(BD204+BD205+BD206+BD209+BD227+BD230)+BD263)</f>
        <v>0.485540192172487</v>
      </c>
      <c r="BE327" s="337">
        <f>SUM(BE204+BE205+BE206+BE209+BE227+BE230)/(SUM(BE204+BE205+BE206+BE209+BE227+BE230)+BE263)</f>
        <v>0.698610736444564</v>
      </c>
      <c r="BG327" s="337">
        <f>SUM(BG204+BG205+BG206+BG209+BG227+BG230)/(SUM(BG204+BG205+BG206+BG209+BG227+BG230)+BG263)</f>
        <v>1.24417487388902</v>
      </c>
      <c r="BH327" s="337">
        <f>SUM(BH204+BH205+BH206+BH209+BH227+BH230)/(SUM(BH204+BH205+BH206+BH209+BH227+BH230)+BH263)</f>
        <v>-1.09122511324134</v>
      </c>
      <c r="BI327" s="337">
        <f>SUM(BI204+BI205+BI206+BI209+BI227+BI230)/(SUM(BI204+BI205+BI206+BI209+BI227+BI230)+BI263)</f>
        <v>-0.647073521144356</v>
      </c>
      <c r="BJ327" s="337">
        <f>SUM(BJ204+BJ205+BJ206+BJ209+BJ227+BJ230)/(SUM(BJ204+BJ205+BJ206+BJ209+BJ227+BJ230)+BJ263)</f>
        <v>-0.306189406479073</v>
      </c>
      <c r="BL327" s="337">
        <f>SUM(BL204+BL205+BL206+BL209+BL227+BL230)/(SUM(BL204+BL205+BL206+BL209+BL227+BL230)+BL263)</f>
        <v>-0.200561471442401</v>
      </c>
      <c r="BM327" s="337">
        <f>SUM(BM204+BM205+BM206+BM209+BM227+BM230)/(SUM(BM204+BM205+BM206+BM209+BM227+BM230)+BM263)</f>
        <v>-0.103270892940813</v>
      </c>
      <c r="BN327" s="337">
        <f>SUM(BN204+BN205+BN206+BN209+BN227+BN230)/(SUM(BN204+BN205+BN206+BN209+BN227+BN230)+BN263)</f>
        <v>-0.0876833614071322</v>
      </c>
      <c r="BO327" s="337">
        <f>SUM(BO204+BO205+BO206+BO209+BO227+BO230)/(SUM(BO204+BO205+BO206+BO209+BO227+BO230)+BO263)</f>
        <v>-0.0621028272703293</v>
      </c>
      <c r="BQ327" s="337">
        <f>SUM(BQ204+BQ205+BQ206+BQ209+BQ227+BQ230)/(SUM(BQ204+BQ205+BQ206+BQ209+BQ227+BQ230)+BQ263)</f>
        <v>-0.0480780833743305</v>
      </c>
      <c r="BR327" s="337">
        <f>SUM(BR204+BR205+BR206+BR209+BR227+BR230)/(SUM(BR204+BR205+BR206+BR209+BR227+BR230)+BR263)</f>
        <v>-0.029730249431024</v>
      </c>
      <c r="BS327" s="337">
        <f>SUM(BS204+BS205+BS206+BS209+BS227+BS230)/(SUM(BS204+BS205+BS206+BS209+BS227+BS230)+BS263)</f>
        <v>-0.0260862995933066</v>
      </c>
      <c r="BT327" s="337">
        <f>SUM(BT204+BT205+BT206+BT209+BT227+BT230)/(SUM(BT204+BT205+BT206+BT209+BT227+BT230)+BT263)</f>
        <v>-0.0195423332327196</v>
      </c>
      <c r="BV327" s="337">
        <f>SUM(BV204+BV205+BV206+BV209+BV227+BV230)/(SUM(BV204+BV205+BV206+BV209+BV227+BV230)+BV263)</f>
        <v>-0.0156232561646935</v>
      </c>
      <c r="BW327" s="337">
        <f>SUM(BW204+BW205+BW206+BW209+BW227+BW230)/(SUM(BW204+BW205+BW206+BW209+BW227+BW230)+BW263)</f>
        <v>-0.0100932940345407</v>
      </c>
      <c r="BX327" s="337">
        <f>SUM(BX204+BX205+BX206+BX209+BX227+BX230)/(SUM(BX204+BX205+BX206+BX209+BX227+BX230)+BX263)</f>
        <v>-0.00893549519584511</v>
      </c>
      <c r="BY327" s="337">
        <f>SUM(BY204+BY205+BY206+BY209+BY227+BY230)/(SUM(BY204+BY205+BY206+BY209+BY227+BY230)+BY263)</f>
        <v>-0.00680354764388003</v>
      </c>
      <c r="CA327" s="337">
        <f>SUM(CA204+CA205+CA206+CA209+CA227+CA230)/(SUM(CA204+CA205+CA206+CA209+CA227+CA230)+CA263)</f>
        <v>-0.00549297880756916</v>
      </c>
      <c r="CB327" s="337">
        <f>SUM(CB204+CB205+CB206+CB209+CB227+CB230)/(SUM(CB204+CB205+CB206+CB209+CB227+CB230)+CB263)</f>
        <v>-0.00359891313448693</v>
      </c>
      <c r="CC327" s="337">
        <f>SUM(CC204+CC205+CC206+CC209+CC227+CC230)/(SUM(CC204+CC205+CC206+CC209+CC227+CC230)+CC263)</f>
        <v>-0.00319558793542932</v>
      </c>
      <c r="CD327" s="337">
        <f>SUM(CD204+CD205+CD206+CD209+CD227+CD230)/(SUM(CD204+CD205+CD206+CD209+CD227+CD230)+CD263)</f>
        <v>-0.00244652550394788</v>
      </c>
      <c r="CF327" s="337">
        <f>SUM(CF204+CF205+CF206+CF209+CF227+CF230)/(SUM(CF204+CF205+CF206+CF209+CF227+CF230)+CF263)</f>
        <v>-0.00198194874981681</v>
      </c>
      <c r="CG327" s="337">
        <f>SUM(CG204+CG205+CG206+CG209+CG227+CG230)/(SUM(CG204+CG205+CG206+CG209+CG227+CG230)+CG263)</f>
        <v>-0.00130494707084796</v>
      </c>
      <c r="CH327" s="337">
        <f>SUM(CH204+CH205+CH206+CH209+CH227+CH230)/(SUM(CH204+CH205+CH206+CH209+CH227+CH230)+CH263)</f>
        <v>-0.00115992199107513</v>
      </c>
      <c r="CI327" s="337">
        <f>SUM(CI204+CI205+CI206+CI209+CI227+CI230)/(SUM(CI204+CI205+CI206+CI209+CI227+CI230)+CI263)</f>
        <v>-0.000889768359600067</v>
      </c>
      <c r="CK327" s="337">
        <f>SUM(CK204+CK205+CK206+CK209+CK227+CK230)/(SUM(CK204+CK205+CK206+CK209+CK227+CK230)+CK263)</f>
        <v>-0.000721683686158791</v>
      </c>
      <c r="CL327" s="337">
        <f>SUM(CL204+CL205+CL206+CL209+CL227+CL230)/(SUM(CL204+CL205+CL206+CL209+CL227+CL230)+CL263)</f>
        <v>-0.000476010587387139</v>
      </c>
      <c r="CM327" s="337">
        <f>SUM(CM204+CM205+CM206+CM209+CM227+CM230)/(SUM(CM204+CM205+CM206+CM209+CM227+CM230)+CM263)</f>
        <v>-0.000423270469830222</v>
      </c>
      <c r="CN327" s="337">
        <f>SUM(CN204+CN205+CN206+CN209+CN227+CN230)/(SUM(CN204+CN205+CN206+CN209+CN227+CN230)+CN263)</f>
        <v>-0.000324917859359968</v>
      </c>
      <c r="CP327" s="337">
        <f>SUM(CP204+CP205+CP206+CP209+CP227+CP230)/(SUM(CP204+CP205+CP206+CP209+CP227+CP230)+CP263)</f>
        <v>-0.000263654270071664</v>
      </c>
      <c r="CQ327" s="337">
        <f>SUM(CQ204+CQ205+CQ206+CQ209+CQ227+CQ230)/(SUM(CQ204+CQ205+CQ206+CQ209+CQ227+CQ230)+CQ263)</f>
        <v>-0.000174014163734948</v>
      </c>
      <c r="CR327" s="337">
        <f>SUM(CR204+CR205+CR206+CR209+CR227+CR230)/(SUM(CR204+CR205+CR206+CR209+CR227+CR230)+CR263)</f>
        <v>-0.000154755523397029</v>
      </c>
      <c r="CS327" s="337">
        <f>SUM(CS204+CS205+CS206+CS209+CS227+CS230)/(SUM(CS204+CS205+CS206+CS209+CS227+CS230)+CS263)</f>
        <v>-0.000118826684736184</v>
      </c>
      <c r="CU327" s="337">
        <f>SUM(CU204+CU205+CU206+CU209+CU227+CU230)/(SUM(CU204+CU205+CU206+CU209+CU227+CU230)+CU263)</f>
        <v>-9.64373084787544e-05</v>
      </c>
      <c r="CV327" s="337">
        <f>SUM(CV204+CV205+CV206+CV209+CV227+CV230)/(SUM(CV204+CV205+CV206+CV209+CV227+CV230)+CV263)</f>
        <v>-6.36644712861711e-05</v>
      </c>
      <c r="CW327" s="337">
        <f>SUM(CW204+CW205+CW206+CW209+CW227+CW230)/(SUM(CW204+CW205+CW206+CW209+CW227+CW230)+CW263)</f>
        <v>-5.66214160123561e-05</v>
      </c>
      <c r="CX327" s="337">
        <f>SUM(CX204+CX205+CX206+CX209+CX227+CX230)/(SUM(CX204+CX205+CX206+CX209+CX227+CX230)+CX263)</f>
        <v>-4.34800011134641e-05</v>
      </c>
    </row>
    <row r="328" ht="12.75" customFormat="1" customHeight="1" s="333">
      <c r="A328" s="334" t="n"/>
      <c r="B328" s="334" t="n"/>
      <c r="C328" s="333" t="inlineStr">
        <is>
          <t>NET DEBT / EBITDA LTM (com arrendamentos)</t>
        </is>
      </c>
      <c r="D328" s="339" t="str">
        <f>""</f>
        <v/>
      </c>
      <c r="E328" s="339" t="str">
        <f>""</f>
        <v/>
      </c>
      <c r="F328" s="339" t="str">
        <f>""</f>
        <v/>
      </c>
      <c r="G328" s="339">
        <f>IFERROR((SUM(G204,G205,G206,G209,G227,G230)-G136)/(G61+F61+E61+D61),"")</f>
        <v>0.54249684741488</v>
      </c>
      <c r="I328" s="339">
        <f>IFERROR((SUM(I204,I205,I206,I209,I227,I230)-I136)/(I61+G61+F61+E61),"")</f>
        <v>0.864583333333333</v>
      </c>
      <c r="J328" s="339">
        <f>IFERROR((SUM(J204,J205,J206,J209,J227,J230)-J136)/(J61+I61+G61+F61),"")</f>
        <v>0.427074125520899</v>
      </c>
      <c r="K328" s="339">
        <f>IFERROR((SUM(K204,K205,K206,K209,K227,K230)-K136)/(K61+J61+I61+G61),"")</f>
        <v>0.206850025947068</v>
      </c>
      <c r="L328" s="339">
        <f>IFERROR((SUM(L204,L205,L206,L209,L227,L230)-L136)/(L61+K61+J61+I61),"")</f>
        <v>-0.668853724430722</v>
      </c>
      <c r="N328" s="339">
        <f>IFERROR((SUM(N204,N205,N206,N209,N227,N230)-N136)/(N61+L61+K61+J61),"")</f>
        <v>0.109555119118777</v>
      </c>
      <c r="O328" s="339">
        <f>IFERROR((SUM(O204,O205,O206,O209,O227,O230)-O136)/(O61+N61+L61+K61),"")</f>
        <v>0.14030164854437</v>
      </c>
      <c r="P328" s="339">
        <f>IFERROR((SUM(P204,P205,P206,P209,P227,P230)-P136)/(P61+O61+N61+L61),"")</f>
        <v>0.213678672602185</v>
      </c>
      <c r="Q328" s="339">
        <f>IFERROR((SUM(Q204,Q205,Q206,Q209,Q227,Q230)-Q136)/(Q61+P61+O61+N61),"")</f>
        <v>-0.653268551236749</v>
      </c>
      <c r="S328" s="339">
        <f>IFERROR((SUM(S204,S205,S206,S209,S227,S230)-S136)/(S61+Q61+P61+O61),"")</f>
        <v>0.358726475895849</v>
      </c>
      <c r="T328" s="339">
        <f>IFERROR((SUM(T204,T205,T206,T209,T227,T230)-T136)/(T61+S61+Q61+P61),"")</f>
        <v>0.376338329764454</v>
      </c>
      <c r="U328" s="339">
        <f>IFERROR((SUM(U204,U205,U206,U209,U227,U230)-U136)/(U61+T61+S61+Q61),"")</f>
        <v>0.45596113118226</v>
      </c>
      <c r="V328" s="339">
        <f>IFERROR((SUM(V204,V205,V206,V209,V227,V230)-V136)/(V61+U61+T61+S61),"")</f>
        <v>-0.16869649101652</v>
      </c>
      <c r="X328" s="339">
        <f>IFERROR((SUM(X204,X205,X206,X209,X227,X230)-X136)/(X61+V61+U61+T61),"")</f>
        <v>0.494836892748181</v>
      </c>
      <c r="Y328" s="339">
        <f>IFERROR((SUM(Y204,Y205,Y206,Y209,Y227,Y230)-Y136)/(Y61+X61+V61+U61),"")</f>
        <v>0.455223062589061</v>
      </c>
      <c r="Z328" s="339">
        <f>IFERROR((SUM(Z204,Z205,Z206,Z209,Z227,Z230)-Z136)/(Z61+Y61+X61+V61),"")</f>
        <v>0.485574927355749</v>
      </c>
      <c r="AA328" s="339">
        <f>IFERROR((SUM(AA204,AA205,AA206,AA209,AA227,AA230)-AA136)/(AA61+Z61+Y61+X61),"")</f>
        <v>0.0125205930807249</v>
      </c>
      <c r="AC328" s="339">
        <f>IFERROR((SUM(AC204,AC205,AC206,AC209,AC227,AC230)-AC136)/(AC61+AA61+Z61+Y61),"")</f>
        <v>0.580566801619433</v>
      </c>
      <c r="AD328" s="339">
        <f>IFERROR((SUM(AD204,AD205,AD206,AD209,AD227,AD230)-AD136)/(AD61+AC61+AA61+Z61),"")</f>
        <v>0.518232284750191</v>
      </c>
      <c r="AE328" s="339">
        <f>IFERROR((SUM(AE204,AE205,AE206,AE209,AE227,AE230)-AE136)/(AE61+AD61+AC61+AA61),"")</f>
        <v>0.538611291369241</v>
      </c>
      <c r="AF328" s="339">
        <f>IFERROR((SUM(AF204,AF205,AF206,AF209,AF227,AF230)-AF136)/(AF61+AE61+AD61+AC61),"")</f>
        <v>0.27299703264095</v>
      </c>
      <c r="AH328" s="339">
        <f>IFERROR((SUM(AH204,AH205,AH206,AH209,AH227,AH230)-AH136)/(AH61+AF61+AE61+AD61),"")</f>
        <v>0.690999585234343</v>
      </c>
      <c r="AI328" s="339">
        <f>IFERROR((SUM(AI204,AI205,AI206,AI209,AI227,AI230)-AI136)/(AI61+AH61+AF61+AE61),"")</f>
        <v>0.692282249173098</v>
      </c>
      <c r="AJ328" s="339">
        <f>IFERROR((SUM(AJ204,AJ205,AJ206,AJ209,AJ227,AJ230)-AJ136)/(AJ61+AI61+AH61+AF61),"")</f>
        <v>1.66182604665534</v>
      </c>
      <c r="AK328" s="339">
        <f>IFERROR((SUM(AK204,AK205,AK206,AK209,AK227,AK230)-AK136)/(AK61+AJ61+AI61+AH61),"")</f>
        <v>2.09194514197412</v>
      </c>
      <c r="AM328" s="339" t="str">
        <f>IFERROR((SUM(AM204,AM205,AM206,AM209,AM227,AM230)-AM136)/(AM61+AK61+AJ61+AI61),"")</f>
        <v/>
      </c>
      <c r="AN328" s="339" t="str">
        <f>IFERROR((SUM(AN204,AN205,AN206,AN209,AN227,AN230)-AN136)/(AN61+AM61+AK61+AJ61),"")</f>
        <v/>
      </c>
      <c r="AO328" s="339" t="str">
        <f>IFERROR((SUM(AO204,AO205,AO206,AO209,AO227,AO230)-AO136)/(AO61+AN61+AM61+AK61),"")</f>
        <v/>
      </c>
      <c r="AP328" s="339" t="str">
        <f>IFERROR((SUM(AP204,AP205,AP206,AP209,AP227,AP230)-AP136)/(AP61+AO61+AN61+AM61),"")</f>
        <v/>
      </c>
      <c r="AR328" s="339" t="str">
        <f>IFERROR((SUM(AR204,AR205,AR206,AR209,AR227,AR230)-AR136)/(AR61+AP61+AO61+AN61),"")</f>
        <v/>
      </c>
      <c r="AS328" s="339" t="str">
        <f>IFERROR((SUM(AS204,AS205,AS206,AS209,AS227,AS230)-AS136)/(AS61+AR61+AP61+AO61),"")</f>
        <v/>
      </c>
      <c r="AT328" s="339" t="str">
        <f>IFERROR((SUM(AT204,AT205,AT206,AT209,AT227,AT230)-AT136)/(AT61+AS61+AR61+AP61),"")</f>
        <v/>
      </c>
      <c r="AU328" s="339" t="str">
        <f>IFERROR((SUM(AU204,AU205,AU206,AU209,AU227,AU230)-AU136)/(AU61+AT61+AS61+AR61),"")</f>
        <v/>
      </c>
      <c r="AW328" s="339" t="str">
        <f>IFERROR((SUM(AW204,AW205,AW206,AW209,AW227,AW230)-AW136)/(AW61+AU61+AT61+AS61),"")</f>
        <v/>
      </c>
      <c r="AX328" s="339" t="str">
        <f>IFERROR((SUM(AX204,AX205,AX206,AX209,AX227,AX230)-AX136)/(AX61+AW61+AU61+AT61),"")</f>
        <v/>
      </c>
      <c r="AY328" s="339" t="str">
        <f>IFERROR((SUM(AY204,AY205,AY206,AY209,AY227,AY230)-AY136)/(AY61+AX61+AW61+AU61),"")</f>
        <v/>
      </c>
      <c r="AZ328" s="339" t="str">
        <f>IFERROR((SUM(AZ204,AZ205,AZ206,AZ209,AZ227,AZ230)-AZ136)/(AZ61+AY61+AX61+AW61),"")</f>
        <v/>
      </c>
      <c r="BB328" s="339" t="str">
        <f>IFERROR((SUM(BB204,BB205,BB206,BB209,BB227,BB230)-BB136)/(BB61+AZ61+AY61+AX61),"")</f>
        <v/>
      </c>
      <c r="BC328" s="339" t="str">
        <f>IFERROR((SUM(BC204,BC205,BC206,BC209,BC227,BC230)-BC136)/(BC61+BB61+AZ61+AY61),"")</f>
        <v/>
      </c>
      <c r="BD328" s="339" t="str">
        <f>IFERROR((SUM(BD204,BD205,BD206,BD209,BD227,BD230)-BD136)/(BD61+BC61+BB61+AZ61),"")</f>
        <v/>
      </c>
      <c r="BE328" s="339" t="str">
        <f>IFERROR((SUM(BE204,BE205,BE206,BE209,BE227,BE230)-BE136)/(BE61+BD61+BC61+BB61),"")</f>
        <v/>
      </c>
      <c r="BG328" s="339" t="str">
        <f>IFERROR((SUM(BG204,BG205,BG206,BG209,BG227,BG230)-BG136)/(BG61+BE61+BD61+BC61),"")</f>
        <v/>
      </c>
      <c r="BH328" s="339" t="str">
        <f>IFERROR((SUM(BH204,BH205,BH206,BH209,BH227,BH230)-BH136)/(BH61+BG61+BE61+BD61),"")</f>
        <v/>
      </c>
      <c r="BI328" s="339" t="str">
        <f>IFERROR((SUM(BI204,BI205,BI206,BI209,BI227,BI230)-BI136)/(BI61+BH61+BG61+BE61),"")</f>
        <v/>
      </c>
      <c r="BJ328" s="339" t="str">
        <f>IFERROR((SUM(BJ204,BJ205,BJ206,BJ209,BJ227,BJ230)-BJ136)/(BJ61+BI61+BH61+BG61),"")</f>
        <v/>
      </c>
      <c r="BL328" s="339" t="str">
        <f>IFERROR((SUM(BL204,BL205,BL206,BL209,BL227,BL230)-BL136)/(BL61+BJ61+BI61+BH61),"")</f>
        <v/>
      </c>
      <c r="BM328" s="339" t="str">
        <f>IFERROR((SUM(BM204,BM205,BM206,BM209,BM227,BM230)-BM136)/(BM61+BL61+BJ61+BI61),"")</f>
        <v/>
      </c>
      <c r="BN328" s="339" t="str">
        <f>IFERROR((SUM(BN204,BN205,BN206,BN209,BN227,BN230)-BN136)/(BN61+BM61+BL61+BJ61),"")</f>
        <v/>
      </c>
      <c r="BO328" s="339" t="str">
        <f>IFERROR((SUM(BO204,BO205,BO206,BO209,BO227,BO230)-BO136)/(BO61+BN61+BM61+BL61),"")</f>
        <v/>
      </c>
      <c r="BQ328" s="339" t="str">
        <f>IFERROR((SUM(BQ204,BQ205,BQ206,BQ209,BQ227,BQ230)-BQ136)/(BQ61+BO61+BN61+BM61),"")</f>
        <v/>
      </c>
      <c r="BR328" s="339" t="str">
        <f>IFERROR((SUM(BR204,BR205,BR206,BR209,BR227,BR230)-BR136)/(BR61+BQ61+BO61+BN61),"")</f>
        <v/>
      </c>
      <c r="BS328" s="339" t="str">
        <f>IFERROR((SUM(BS204,BS205,BS206,BS209,BS227,BS230)-BS136)/(BS61+BR61+BQ61+BO61),"")</f>
        <v/>
      </c>
      <c r="BT328" s="339" t="str">
        <f>IFERROR((SUM(BT204,BT205,BT206,BT209,BT227,BT230)-BT136)/(BT61+BS61+BR61+BQ61),"")</f>
        <v/>
      </c>
      <c r="BV328" s="339" t="str">
        <f>IFERROR((SUM(BV204,BV205,BV206,BV209,BV227,BV230)-BV136)/(BV61+BT61+BS61+BR61),"")</f>
        <v/>
      </c>
      <c r="BW328" s="339" t="str">
        <f>IFERROR((SUM(BW204,BW205,BW206,BW209,BW227,BW230)-BW136)/(BW61+BV61+BT61+BS61),"")</f>
        <v/>
      </c>
      <c r="BX328" s="339" t="str">
        <f>IFERROR((SUM(BX204,BX205,BX206,BX209,BX227,BX230)-BX136)/(BX61+BW61+BV61+BT61),"")</f>
        <v/>
      </c>
      <c r="BY328" s="339" t="str">
        <f>IFERROR((SUM(BY204,BY205,BY206,BY209,BY227,BY230)-BY136)/(BY61+BX61+BW61+BV61),"")</f>
        <v/>
      </c>
      <c r="CA328" s="339" t="str">
        <f>IFERROR((SUM(CA204,CA205,CA206,CA209,CA227,CA230)-CA136)/(CA61+BY61+BX61+BW61),"")</f>
        <v/>
      </c>
      <c r="CB328" s="339" t="str">
        <f>IFERROR((SUM(CB204,CB205,CB206,CB209,CB227,CB230)-CB136)/(CB61+CA61+BY61+BX61),"")</f>
        <v/>
      </c>
      <c r="CC328" s="339" t="str">
        <f>IFERROR((SUM(CC204,CC205,CC206,CC209,CC227,CC230)-CC136)/(CC61+CB61+CA61+BY61),"")</f>
        <v/>
      </c>
      <c r="CD328" s="339" t="str">
        <f>IFERROR((SUM(CD204,CD205,CD206,CD209,CD227,CD230)-CD136)/(CD61+CC61+CB61+CA61),"")</f>
        <v/>
      </c>
      <c r="CF328" s="339" t="str">
        <f>IFERROR((SUM(CF204,CF205,CF206,CF209,CF227,CF230)-CF136)/(CF61+CD61+CC61+CB61),"")</f>
        <v/>
      </c>
      <c r="CG328" s="339" t="str">
        <f>IFERROR((SUM(CG204,CG205,CG206,CG209,CG227,CG230)-CG136)/(CG61+CF61+CD61+CC61),"")</f>
        <v/>
      </c>
      <c r="CH328" s="339" t="str">
        <f>IFERROR((SUM(CH204,CH205,CH206,CH209,CH227,CH230)-CH136)/(CH61+CG61+CF61+CD61),"")</f>
        <v/>
      </c>
      <c r="CI328" s="339" t="str">
        <f>IFERROR((SUM(CI204,CI205,CI206,CI209,CI227,CI230)-CI136)/(CI61+CH61+CG61+CF61),"")</f>
        <v/>
      </c>
      <c r="CK328" s="339" t="str">
        <f>IFERROR((SUM(CK204,CK205,CK206,CK209,CK227,CK230)-CK136)/(CK61+CI61+CH61+CG61),"")</f>
        <v/>
      </c>
      <c r="CL328" s="339" t="str">
        <f>IFERROR((SUM(CL204,CL205,CL206,CL209,CL227,CL230)-CL136)/(CL61+CK61+CI61+CH61),"")</f>
        <v/>
      </c>
      <c r="CM328" s="339" t="str">
        <f>IFERROR((SUM(CM204,CM205,CM206,CM209,CM227,CM230)-CM136)/(CM61+CL61+CK61+CI61),"")</f>
        <v/>
      </c>
      <c r="CN328" s="339" t="str">
        <f>IFERROR((SUM(CN204,CN205,CN206,CN209,CN227,CN230)-CN136)/(CN61+CM61+CL61+CK61),"")</f>
        <v/>
      </c>
      <c r="CP328" s="339" t="str">
        <f>IFERROR((SUM(CP204,CP205,CP206,CP209,CP227,CP230)-CP136)/(CP61+CN61+CM61+CL61),"")</f>
        <v/>
      </c>
      <c r="CQ328" s="339" t="str">
        <f>IFERROR((SUM(CQ204,CQ205,CQ206,CQ209,CQ227,CQ230)-CQ136)/(CQ61+CP61+CN61+CM61),"")</f>
        <v/>
      </c>
      <c r="CR328" s="339" t="str">
        <f>IFERROR((SUM(CR204,CR205,CR206,CR209,CR227,CR230)-CR136)/(CR61+CQ61+CP61+CN61),"")</f>
        <v/>
      </c>
      <c r="CS328" s="339" t="str">
        <f>IFERROR((SUM(CS204,CS205,CS206,CS209,CS227,CS230)-CS136)/(CS61+CR61+CQ61+CP61),"")</f>
        <v/>
      </c>
      <c r="CU328" s="339" t="str">
        <f>IFERROR((SUM(CU204,CU205,CU206,CU209,CU227,CU230)-CU136)/(CU61+CS61+CR61+CQ61),"")</f>
        <v/>
      </c>
      <c r="CV328" s="339" t="str">
        <f>IFERROR((SUM(CV204,CV205,CV206,CV209,CV227,CV230)-CV136)/(CV61+CU61+CS61+CR61),"")</f>
        <v/>
      </c>
      <c r="CW328" s="339" t="str">
        <f>IFERROR((SUM(CW204,CW205,CW206,CW209,CW227,CW230)-CW136)/(CW61+CV61+CU61+CS61),"")</f>
        <v/>
      </c>
      <c r="CX328" s="339" t="str">
        <f>IFERROR((SUM(CX204,CX205,CX206,CX209,CX227,CX230)-CX136)/(CX61+CW61+CV61+CU61),"")</f>
        <v/>
      </c>
    </row>
    <row r="329" ht="12.75" customFormat="1" customHeight="1" s="333">
      <c r="A329" s="334" t="n"/>
      <c r="B329" s="334" t="n"/>
      <c r="C329" s="340" t="inlineStr">
        <is>
          <t>NET DEBT (EX IFRS 16) / EBITDA LTM</t>
        </is>
      </c>
      <c r="D329" s="339" t="str">
        <f>""</f>
        <v/>
      </c>
      <c r="E329" s="339" t="str">
        <f>""</f>
        <v/>
      </c>
      <c r="F329" s="339" t="str">
        <f>""</f>
        <v/>
      </c>
      <c r="G329" s="339">
        <f>IFERROR((SUM(G204,G205,G209,G230)-G136)/(G61+F61+E61+D61),"")</f>
        <v>0.54249684741488</v>
      </c>
      <c r="I329" s="339">
        <f>IFERROR((SUM(I204,I205,I209,I230)-I136)/(I61+G61+F61+E61),"")</f>
        <v>0.864583333333333</v>
      </c>
      <c r="J329" s="339">
        <f>IFERROR((SUM(J204,J205,J209,J230)-J136)/(J61+I61+G61+F61),"")</f>
        <v>0.427074125520899</v>
      </c>
      <c r="K329" s="339">
        <f>IFERROR((SUM(K204,K205,K209,K230)-K136)/(K61+J61+I61+G61),"")</f>
        <v>0.206850025947068</v>
      </c>
      <c r="L329" s="339">
        <f>IFERROR((SUM(L204,L205,L209,L230)-L136)/(L61+K61+J61+I61),"")</f>
        <v>-0.668853724430722</v>
      </c>
      <c r="N329" s="339">
        <f>IFERROR((SUM(N204,N205,N209,N230)-N136)/(N61+L61+K61+J61),"")</f>
        <v>0.109555119118777</v>
      </c>
      <c r="O329" s="339">
        <f>IFERROR((SUM(O204,O205,O209,O230)-O136)/(O61+N61+L61+K61),"")</f>
        <v>0.14030164854437</v>
      </c>
      <c r="P329" s="339">
        <f>IFERROR((SUM(P204,P205,P209,P230)-P136)/(P61+O61+N61+L61),"")</f>
        <v>0.213678672602185</v>
      </c>
      <c r="Q329" s="339">
        <f>IFERROR((SUM(Q204,Q205,Q209,Q230)-Q136)/(Q61+P61+O61+N61),"")</f>
        <v>-0.653268551236749</v>
      </c>
      <c r="S329" s="339">
        <f>IFERROR((SUM(S204,S205,S209,S230)-S136)/(S61+Q61+P61+O61),"")</f>
        <v>0.358726475895849</v>
      </c>
      <c r="T329" s="339">
        <f>IFERROR((SUM(T204,T205,T209,T230)-T136)/(T61+S61+Q61+P61),"")</f>
        <v>0.376338329764454</v>
      </c>
      <c r="U329" s="339">
        <f>IFERROR((SUM(U204,U205,U209,U230)-U136)/(U61+T61+S61+Q61),"")</f>
        <v>0.45596113118226</v>
      </c>
      <c r="V329" s="339">
        <f>IFERROR((SUM(V204,V205,V209,V230)-V136)/(V61+U61+T61+S61),"")</f>
        <v>-0.16869649101652</v>
      </c>
      <c r="X329" s="339">
        <f>IFERROR((SUM(X204,X205,X209,X230)-X136)/(X61+V61+U61+T61),"")</f>
        <v>0.494836892748181</v>
      </c>
      <c r="Y329" s="339">
        <f>IFERROR((SUM(Y204,Y205,Y209,Y230)-Y136)/(Y61+X61+V61+U61),"")</f>
        <v>0.455223062589061</v>
      </c>
      <c r="Z329" s="339">
        <f>IFERROR((SUM(Z204,Z205,Z209,Z230)-Z136)/(Z61+Y61+X61+V61),"")</f>
        <v>0.485574927355749</v>
      </c>
      <c r="AA329" s="339">
        <f>IFERROR((SUM(AA204,AA205,AA209,AA230)-AA136)/(AA61+Z61+Y61+X61),"")</f>
        <v>0.0125205930807249</v>
      </c>
      <c r="AC329" s="339">
        <f>IFERROR((SUM(AC204,AC205,AC209,AC230)-AC136)/(AC61+AA61+Z61+Y61),"")</f>
        <v>0.580566801619433</v>
      </c>
      <c r="AD329" s="339">
        <f>IFERROR((SUM(AD204,AD205,AD209,AD230)-AD136)/(AD61+AC61+AA61+Z61),"")</f>
        <v>0.518232284750191</v>
      </c>
      <c r="AE329" s="339">
        <f>IFERROR((SUM(AE204,AE205,AE209,AE230)-AE136)/(AE61+AD61+AC61+AA61),"")</f>
        <v>0.538611291369241</v>
      </c>
      <c r="AF329" s="339">
        <f>IFERROR((SUM(AF204,AF205,AF209,AF230)-AF136)/(AF61+AE61+AD61+AC61),"")</f>
        <v>0.157726546450582</v>
      </c>
      <c r="AH329" s="339">
        <f>IFERROR((SUM(AH204,AH205,AH209,AH230)-AH136)/(AH61+AF61+AE61+AD61),"")</f>
        <v>0.588656159270013</v>
      </c>
      <c r="AI329" s="339">
        <f>IFERROR((SUM(AI204,AI205,AI209,AI230)-AI136)/(AI61+AH61+AF61+AE61),"")</f>
        <v>0.585005512679162</v>
      </c>
      <c r="AJ329" s="339">
        <f>IFERROR((SUM(AJ204,AJ205,AJ209,AJ230)-AJ136)/(AJ61+AI61+AH61+AF61),"")</f>
        <v>1.5115093465163</v>
      </c>
      <c r="AK329" s="339">
        <f>IFERROR((SUM(AK204,AK205,AK209,AK230)-AK136)/(AK61+AJ61+AI61+AH61),"")</f>
        <v>1.9039984547035</v>
      </c>
      <c r="AM329" s="339" t="str">
        <f>IFERROR((SUM(AM204,AM205,AM209,AM230)-AM136)/(AM61+AK61+AJ61+AI61),"")</f>
        <v/>
      </c>
      <c r="AN329" s="339" t="str">
        <f>IFERROR((SUM(AN204,AN205,AN209,AN230)-AN136)/(AN61+AM61+AK61+AJ61),"")</f>
        <v/>
      </c>
      <c r="AO329" s="339" t="str">
        <f>IFERROR((SUM(AO204,AO205,AO209,AO230)-AO136)/(AO61+AN61+AM61+AK61),"")</f>
        <v/>
      </c>
      <c r="AP329" s="339" t="str">
        <f>IFERROR((SUM(AP204,AP205,AP209,AP230)-AP136)/(AP61+AO61+AN61+AM61),"")</f>
        <v/>
      </c>
      <c r="AR329" s="339" t="str">
        <f>IFERROR((SUM(AR204,AR205,AR209,AR230)-AR136)/(AR61+AP61+AO61+AN61),"")</f>
        <v/>
      </c>
      <c r="AS329" s="339" t="str">
        <f>IFERROR((SUM(AS204,AS205,AS209,AS230)-AS136)/(AS61+AR61+AP61+AO61),"")</f>
        <v/>
      </c>
      <c r="AT329" s="339" t="str">
        <f>IFERROR((SUM(AT204,AT205,AT209,AT230)-AT136)/(AT61+AS61+AR61+AP61),"")</f>
        <v/>
      </c>
      <c r="AU329" s="339" t="str">
        <f>IFERROR((SUM(AU204,AU205,AU209,AU230)-AU136)/(AU61+AT61+AS61+AR61),"")</f>
        <v/>
      </c>
      <c r="AW329" s="339" t="str">
        <f>IFERROR((SUM(AW204,AW205,AW209,AW230)-AW136)/(AW61+AU61+AT61+AS61),"")</f>
        <v/>
      </c>
      <c r="AX329" s="339" t="str">
        <f>IFERROR((SUM(AX204,AX205,AX209,AX230)-AX136)/(AX61+AW61+AU61+AT61),"")</f>
        <v/>
      </c>
      <c r="AY329" s="339" t="str">
        <f>IFERROR((SUM(AY204,AY205,AY209,AY230)-AY136)/(AY61+AX61+AW61+AU61),"")</f>
        <v/>
      </c>
      <c r="AZ329" s="339" t="str">
        <f>IFERROR((SUM(AZ204,AZ205,AZ209,AZ230)-AZ136)/(AZ61+AY61+AX61+AW61),"")</f>
        <v/>
      </c>
      <c r="BB329" s="339" t="str">
        <f>IFERROR((SUM(BB204,BB205,BB209,BB230)-BB136)/(BB61+AZ61+AY61+AX61),"")</f>
        <v/>
      </c>
      <c r="BC329" s="339" t="str">
        <f>IFERROR((SUM(BC204,BC205,BC209,BC230)-BC136)/(BC61+BB61+AZ61+AY61),"")</f>
        <v/>
      </c>
      <c r="BD329" s="339" t="str">
        <f>IFERROR((SUM(BD204,BD205,BD209,BD230)-BD136)/(BD61+BC61+BB61+AZ61),"")</f>
        <v/>
      </c>
      <c r="BE329" s="339" t="str">
        <f>IFERROR((SUM(BE204,BE205,BE209,BE230)-BE136)/(BE61+BD61+BC61+BB61),"")</f>
        <v/>
      </c>
      <c r="BG329" s="339" t="str">
        <f>IFERROR((SUM(BG204,BG205,BG209,BG230)-BG136)/(BG61+BE61+BD61+BC61),"")</f>
        <v/>
      </c>
      <c r="BH329" s="339" t="str">
        <f>IFERROR((SUM(BH204,BH205,BH209,BH230)-BH136)/(BH61+BG61+BE61+BD61),"")</f>
        <v/>
      </c>
      <c r="BI329" s="339" t="str">
        <f>IFERROR((SUM(BI204,BI205,BI209,BI230)-BI136)/(BI61+BH61+BG61+BE61),"")</f>
        <v/>
      </c>
      <c r="BJ329" s="339" t="str">
        <f>IFERROR((SUM(BJ204,BJ205,BJ209,BJ230)-BJ136)/(BJ61+BI61+BH61+BG61),"")</f>
        <v/>
      </c>
      <c r="BL329" s="339" t="str">
        <f>IFERROR((SUM(BL204,BL205,BL209,BL230)-BL136)/(BL61+BJ61+BI61+BH61),"")</f>
        <v/>
      </c>
      <c r="BM329" s="339" t="str">
        <f>IFERROR((SUM(BM204,BM205,BM209,BM230)-BM136)/(BM61+BL61+BJ61+BI61),"")</f>
        <v/>
      </c>
      <c r="BN329" s="339" t="str">
        <f>IFERROR((SUM(BN204,BN205,BN209,BN230)-BN136)/(BN61+BM61+BL61+BJ61),"")</f>
        <v/>
      </c>
      <c r="BO329" s="339" t="str">
        <f>IFERROR((SUM(BO204,BO205,BO209,BO230)-BO136)/(BO61+BN61+BM61+BL61),"")</f>
        <v/>
      </c>
      <c r="BQ329" s="339" t="str">
        <f>IFERROR((SUM(BQ204,BQ205,BQ209,BQ230)-BQ136)/(BQ61+BO61+BN61+BM61),"")</f>
        <v/>
      </c>
      <c r="BR329" s="339" t="str">
        <f>IFERROR((SUM(BR204,BR205,BR209,BR230)-BR136)/(BR61+BQ61+BO61+BN61),"")</f>
        <v/>
      </c>
      <c r="BS329" s="339" t="str">
        <f>IFERROR((SUM(BS204,BS205,BS209,BS230)-BS136)/(BS61+BR61+BQ61+BO61),"")</f>
        <v/>
      </c>
      <c r="BT329" s="339" t="str">
        <f>IFERROR((SUM(BT204,BT205,BT209,BT230)-BT136)/(BT61+BS61+BR61+BQ61),"")</f>
        <v/>
      </c>
      <c r="BV329" s="339" t="str">
        <f>IFERROR((SUM(BV204,BV205,BV209,BV230)-BV136)/(BV61+BT61+BS61+BR61),"")</f>
        <v/>
      </c>
      <c r="BW329" s="339" t="str">
        <f>IFERROR((SUM(BW204,BW205,BW209,BW230)-BW136)/(BW61+BV61+BT61+BS61),"")</f>
        <v/>
      </c>
      <c r="BX329" s="339" t="str">
        <f>IFERROR((SUM(BX204,BX205,BX209,BX230)-BX136)/(BX61+BW61+BV61+BT61),"")</f>
        <v/>
      </c>
      <c r="BY329" s="339" t="str">
        <f>IFERROR((SUM(BY204,BY205,BY209,BY230)-BY136)/(BY61+BX61+BW61+BV61),"")</f>
        <v/>
      </c>
      <c r="CA329" s="339" t="str">
        <f>IFERROR((SUM(CA204,CA205,CA209,CA230)-CA136)/(CA61+BY61+BX61+BW61),"")</f>
        <v/>
      </c>
      <c r="CB329" s="339" t="str">
        <f>IFERROR((SUM(CB204,CB205,CB209,CB230)-CB136)/(CB61+CA61+BY61+BX61),"")</f>
        <v/>
      </c>
      <c r="CC329" s="339" t="str">
        <f>IFERROR((SUM(CC204,CC205,CC209,CC230)-CC136)/(CC61+CB61+CA61+BY61),"")</f>
        <v/>
      </c>
      <c r="CD329" s="339" t="str">
        <f>IFERROR((SUM(CD204,CD205,CD209,CD230)-CD136)/(CD61+CC61+CB61+CA61),"")</f>
        <v/>
      </c>
      <c r="CF329" s="339" t="str">
        <f>IFERROR((SUM(CF204,CF205,CF209,CF230)-CF136)/(CF61+CD61+CC61+CB61),"")</f>
        <v/>
      </c>
      <c r="CG329" s="339" t="str">
        <f>IFERROR((SUM(CG204,CG205,CG209,CG230)-CG136)/(CG61+CF61+CD61+CC61),"")</f>
        <v/>
      </c>
      <c r="CH329" s="339" t="str">
        <f>IFERROR((SUM(CH204,CH205,CH209,CH230)-CH136)/(CH61+CG61+CF61+CD61),"")</f>
        <v/>
      </c>
      <c r="CI329" s="339" t="str">
        <f>IFERROR((SUM(CI204,CI205,CI209,CI230)-CI136)/(CI61+CH61+CG61+CF61),"")</f>
        <v/>
      </c>
      <c r="CK329" s="339" t="str">
        <f>IFERROR((SUM(CK204,CK205,CK209,CK230)-CK136)/(CK61+CI61+CH61+CG61),"")</f>
        <v/>
      </c>
      <c r="CL329" s="339" t="str">
        <f>IFERROR((SUM(CL204,CL205,CL209,CL230)-CL136)/(CL61+CK61+CI61+CH61),"")</f>
        <v/>
      </c>
      <c r="CM329" s="339" t="str">
        <f>IFERROR((SUM(CM204,CM205,CM209,CM230)-CM136)/(CM61+CL61+CK61+CI61),"")</f>
        <v/>
      </c>
      <c r="CN329" s="339" t="str">
        <f>IFERROR((SUM(CN204,CN205,CN209,CN230)-CN136)/(CN61+CM61+CL61+CK61),"")</f>
        <v/>
      </c>
      <c r="CP329" s="339" t="str">
        <f>IFERROR((SUM(CP204,CP205,CP209,CP230)-CP136)/(CP61+CN61+CM61+CL61),"")</f>
        <v/>
      </c>
      <c r="CQ329" s="339" t="str">
        <f>IFERROR((SUM(CQ204,CQ205,CQ209,CQ230)-CQ136)/(CQ61+CP61+CN61+CM61),"")</f>
        <v/>
      </c>
      <c r="CR329" s="339" t="str">
        <f>IFERROR((SUM(CR204,CR205,CR209,CR230)-CR136)/(CR61+CQ61+CP61+CN61),"")</f>
        <v/>
      </c>
      <c r="CS329" s="339" t="str">
        <f>IFERROR((SUM(CS204,CS205,CS209,CS230)-CS136)/(CS61+CR61+CQ61+CP61),"")</f>
        <v/>
      </c>
      <c r="CU329" s="339" t="str">
        <f>IFERROR((SUM(CU204,CU205,CU209,CU230)-CU136)/(CU61+CS61+CR61+CQ61),"")</f>
        <v/>
      </c>
      <c r="CV329" s="339" t="str">
        <f>IFERROR((SUM(CV204,CV205,CV209,CV230)-CV136)/(CV61+CU61+CS61+CR61),"")</f>
        <v/>
      </c>
      <c r="CW329" s="339" t="str">
        <f>IFERROR((SUM(CW204,CW205,CW209,CW230)-CW136)/(CW61+CV61+CU61+CS61),"")</f>
        <v/>
      </c>
      <c r="CX329" s="339" t="str">
        <f>IFERROR((SUM(CX204,CX205,CX209,CX230)-CX136)/(CX61+CW61+CV61+CU61),"")</f>
        <v/>
      </c>
    </row>
    <row r="330" ht="12.75" customFormat="1" customHeight="1" s="333">
      <c r="A330" s="334" t="n"/>
      <c r="B330" s="334" t="n"/>
      <c r="C330" s="333" t="inlineStr">
        <is>
          <t>INTEREST COVERAGE</t>
        </is>
      </c>
      <c r="D330" s="339" t="str">
        <f>IFERROR(D65/-D66,"")</f>
        <v/>
      </c>
      <c r="E330" s="339" t="str">
        <f>IFERROR(E65/-E66,"")</f>
        <v/>
      </c>
      <c r="F330" s="339" t="str">
        <f>IFERROR(F65/-F66,"")</f>
        <v/>
      </c>
      <c r="G330" s="339" t="str">
        <f>IFERROR(G65/-G66,"")</f>
        <v/>
      </c>
      <c r="I330" s="339" t="str">
        <f>IFERROR(I65/-I66,"")</f>
        <v/>
      </c>
      <c r="J330" s="339" t="str">
        <f>IFERROR(J65/-J66,"")</f>
        <v/>
      </c>
      <c r="K330" s="339" t="str">
        <f>IFERROR(K65/-K66,"")</f>
        <v/>
      </c>
      <c r="L330" s="339" t="str">
        <f>IFERROR(L65/-L66,"")</f>
        <v/>
      </c>
      <c r="N330" s="339" t="str">
        <f>IFERROR(N65/-N66,"")</f>
        <v/>
      </c>
      <c r="O330" s="339" t="str">
        <f>IFERROR(O65/-O66,"")</f>
        <v/>
      </c>
      <c r="P330" s="339" t="str">
        <f>IFERROR(P65/-P66,"")</f>
        <v/>
      </c>
      <c r="Q330" s="339" t="str">
        <f>IFERROR(Q65/-Q66,"")</f>
        <v/>
      </c>
      <c r="S330" s="339" t="str">
        <f>IFERROR(S65/-S66,"")</f>
        <v/>
      </c>
      <c r="T330" s="339" t="str">
        <f>IFERROR(T65/-T66,"")</f>
        <v/>
      </c>
      <c r="U330" s="339" t="str">
        <f>IFERROR(U65/-U66,"")</f>
        <v/>
      </c>
      <c r="V330" s="339" t="str">
        <f>IFERROR(V65/-V66,"")</f>
        <v/>
      </c>
      <c r="X330" s="339" t="str">
        <f>IFERROR(X65/-X66,"")</f>
        <v/>
      </c>
      <c r="Y330" s="339" t="str">
        <f>IFERROR(Y65/-Y66,"")</f>
        <v/>
      </c>
      <c r="Z330" s="339" t="str">
        <f>IFERROR(Z65/-Z66,"")</f>
        <v/>
      </c>
      <c r="AA330" s="339" t="str">
        <f>IFERROR(AA65/-AA66,"")</f>
        <v/>
      </c>
      <c r="AC330" s="339" t="str">
        <f>IFERROR(AC65/-AC66,"")</f>
        <v/>
      </c>
      <c r="AD330" s="339" t="str">
        <f>IFERROR(AD65/-AD66,"")</f>
        <v/>
      </c>
      <c r="AE330" s="339" t="str">
        <f>IFERROR(AE65/-AE66,"")</f>
        <v/>
      </c>
      <c r="AF330" s="339" t="str">
        <f>IFERROR(AF65/-AF66,"")</f>
        <v/>
      </c>
      <c r="AH330" s="339" t="str">
        <f>IFERROR(AH65/-AH66,"")</f>
        <v/>
      </c>
      <c r="AI330" s="339" t="str">
        <f>IFERROR(AI65/-AI66,"")</f>
        <v/>
      </c>
      <c r="AJ330" s="339" t="str">
        <f>IFERROR(AJ65/-AJ66,"")</f>
        <v/>
      </c>
      <c r="AK330" s="339" t="str">
        <f>IFERROR(AK65/-AK66,"")</f>
        <v/>
      </c>
      <c r="AM330" s="339" t="str">
        <f>IFERROR(AM65/-AM66,"")</f>
        <v/>
      </c>
      <c r="AN330" s="339" t="str">
        <f>IFERROR(AN65/-AN66,"")</f>
        <v/>
      </c>
      <c r="AO330" s="339" t="str">
        <f>IFERROR(AO65/-AO66,"")</f>
        <v/>
      </c>
      <c r="AP330" s="339" t="str">
        <f>IFERROR(AP65/-AP66,"")</f>
        <v/>
      </c>
      <c r="AR330" s="339" t="str">
        <f>IFERROR(AR65/-AR66,"")</f>
        <v/>
      </c>
      <c r="AS330" s="339" t="str">
        <f>IFERROR(AS65/-AS66,"")</f>
        <v/>
      </c>
      <c r="AT330" s="339" t="str">
        <f>IFERROR(AT65/-AT66,"")</f>
        <v/>
      </c>
      <c r="AU330" s="339" t="str">
        <f>IFERROR(AU65/-AU66,"")</f>
        <v/>
      </c>
      <c r="AW330" s="339" t="str">
        <f>IFERROR(AW65/-AW66,"")</f>
        <v/>
      </c>
      <c r="AX330" s="339" t="str">
        <f>IFERROR(AX65/-AX66,"")</f>
        <v/>
      </c>
      <c r="AY330" s="339" t="str">
        <f>IFERROR(AY65/-AY66,"")</f>
        <v/>
      </c>
      <c r="AZ330" s="339" t="str">
        <f>IFERROR(AZ65/-AZ66,"")</f>
        <v/>
      </c>
      <c r="BB330" s="339" t="str">
        <f>IFERROR(BB65/-BB66,"")</f>
        <v/>
      </c>
      <c r="BC330" s="339" t="str">
        <f>IFERROR(BC65/-BC66,"")</f>
        <v/>
      </c>
      <c r="BD330" s="339" t="str">
        <f>IFERROR(BD65/-BD66,"")</f>
        <v/>
      </c>
      <c r="BE330" s="339" t="str">
        <f>IFERROR(BE65/-BE66,"")</f>
        <v/>
      </c>
      <c r="BG330" s="339" t="str">
        <f>IFERROR(BG65/-BG66,"")</f>
        <v/>
      </c>
      <c r="BH330" s="339" t="str">
        <f>IFERROR(BH65/-BH66,"")</f>
        <v/>
      </c>
      <c r="BI330" s="339" t="str">
        <f>IFERROR(BI65/-BI66,"")</f>
        <v/>
      </c>
      <c r="BJ330" s="339" t="str">
        <f>IFERROR(BJ65/-BJ66,"")</f>
        <v/>
      </c>
      <c r="BL330" s="339" t="str">
        <f>IFERROR(BL65/-BL66,"")</f>
        <v/>
      </c>
      <c r="BM330" s="339" t="str">
        <f>IFERROR(BM65/-BM66,"")</f>
        <v/>
      </c>
      <c r="BN330" s="339" t="str">
        <f>IFERROR(BN65/-BN66,"")</f>
        <v/>
      </c>
      <c r="BO330" s="339" t="str">
        <f>IFERROR(BO65/-BO66,"")</f>
        <v/>
      </c>
      <c r="BQ330" s="339" t="str">
        <f>IFERROR(BQ65/-BQ66,"")</f>
        <v/>
      </c>
      <c r="BR330" s="339" t="str">
        <f>IFERROR(BR65/-BR66,"")</f>
        <v/>
      </c>
      <c r="BS330" s="339" t="str">
        <f>IFERROR(BS65/-BS66,"")</f>
        <v/>
      </c>
      <c r="BT330" s="339" t="str">
        <f>IFERROR(BT65/-BT66,"")</f>
        <v/>
      </c>
      <c r="BV330" s="339" t="str">
        <f>IFERROR(BV65/-BV66,"")</f>
        <v/>
      </c>
      <c r="BW330" s="339" t="str">
        <f>IFERROR(BW65/-BW66,"")</f>
        <v/>
      </c>
      <c r="BX330" s="339" t="str">
        <f>IFERROR(BX65/-BX66,"")</f>
        <v/>
      </c>
      <c r="BY330" s="339" t="str">
        <f>IFERROR(BY65/-BY66,"")</f>
        <v/>
      </c>
      <c r="CA330" s="339" t="str">
        <f>IFERROR(CA65/-CA66,"")</f>
        <v/>
      </c>
      <c r="CB330" s="339" t="str">
        <f>IFERROR(CB65/-CB66,"")</f>
        <v/>
      </c>
      <c r="CC330" s="339" t="str">
        <f>IFERROR(CC65/-CC66,"")</f>
        <v/>
      </c>
      <c r="CD330" s="339" t="str">
        <f>IFERROR(CD65/-CD66,"")</f>
        <v/>
      </c>
      <c r="CF330" s="339" t="str">
        <f>IFERROR(CF65/-CF66,"")</f>
        <v/>
      </c>
      <c r="CG330" s="339" t="str">
        <f>IFERROR(CG65/-CG66,"")</f>
        <v/>
      </c>
      <c r="CH330" s="339" t="str">
        <f>IFERROR(CH65/-CH66,"")</f>
        <v/>
      </c>
      <c r="CI330" s="339" t="str">
        <f>IFERROR(CI65/-CI66,"")</f>
        <v/>
      </c>
      <c r="CK330" s="339" t="str">
        <f>IFERROR(CK65/-CK66,"")</f>
        <v/>
      </c>
      <c r="CL330" s="339" t="str">
        <f>IFERROR(CL65/-CL66,"")</f>
        <v/>
      </c>
      <c r="CM330" s="339" t="str">
        <f>IFERROR(CM65/-CM66,"")</f>
        <v/>
      </c>
      <c r="CN330" s="339" t="str">
        <f>IFERROR(CN65/-CN66,"")</f>
        <v/>
      </c>
      <c r="CP330" s="339" t="str">
        <f>IFERROR(CP65/-CP66,"")</f>
        <v/>
      </c>
      <c r="CQ330" s="339" t="str">
        <f>IFERROR(CQ65/-CQ66,"")</f>
        <v/>
      </c>
      <c r="CR330" s="339" t="str">
        <f>IFERROR(CR65/-CR66,"")</f>
        <v/>
      </c>
      <c r="CS330" s="339" t="str">
        <f>IFERROR(CS65/-CS66,"")</f>
        <v/>
      </c>
      <c r="CU330" s="339" t="str">
        <f>IFERROR(CU65/-CU66,"")</f>
        <v/>
      </c>
      <c r="CV330" s="339" t="str">
        <f>IFERROR(CV65/-CV66,"")</f>
        <v/>
      </c>
      <c r="CW330" s="339" t="str">
        <f>IFERROR(CW65/-CW66,"")</f>
        <v/>
      </c>
      <c r="CX330" s="339" t="str">
        <f>IFERROR(CX65/-CX66,"")</f>
        <v/>
      </c>
    </row>
    <row r="331" ht="12.75" customFormat="1" customHeight="1" s="333">
      <c r="A331" s="334" t="n"/>
      <c r="B331" s="334" t="n"/>
    </row>
    <row r="332" ht="12.75" customFormat="1" customHeight="1" s="333">
      <c r="A332" s="334" t="n"/>
      <c r="B332" s="334" t="n"/>
      <c r="C332" s="331" t="inlineStr">
        <is>
          <t>INTERNAL LIQUIDITY</t>
        </is>
      </c>
    </row>
    <row r="333" ht="12.75" customFormat="1" customHeight="1" s="333">
      <c r="A333" s="334" t="n"/>
      <c r="B333" s="334" t="n"/>
      <c r="C333" s="333" t="inlineStr">
        <is>
          <t>CURRENT RATIO</t>
        </is>
      </c>
      <c r="D333" s="339">
        <f>SUM(D136,D137,D141,D145,D146,D147)/SUM(D190,D194,D196,D197)</f>
        <v>2.53864734299517</v>
      </c>
      <c r="E333" s="339">
        <f>SUM(E136,E137,E141,E145,E146,E147)/SUM(E190,E194,E196,E197)</f>
        <v>2.54083806818182</v>
      </c>
      <c r="F333" s="339">
        <f>SUM(F136,F137,F141,F145,F146,F147)/SUM(F190,F194,F196,F197)</f>
        <v>2.64709740898655</v>
      </c>
      <c r="G333" s="339">
        <f>SUM(G136,G137,G141,G145,G146,G147)/SUM(G190,G194,G196,G197)</f>
        <v>2.7499261010937</v>
      </c>
      <c r="I333" s="339">
        <f>SUM(I136,I137,I141,I145,I146,I147)/SUM(I190,I194,I196,I197)</f>
        <v>2.7448798988622</v>
      </c>
      <c r="J333" s="339">
        <f>SUM(J136,J137,J141,J145,J146,J147)/SUM(J190,J194,J196,J197)</f>
        <v>2.81856823266219</v>
      </c>
      <c r="K333" s="339">
        <f>SUM(K136,K137,K141,K145,K146,K147)/SUM(K190,K194,K196,K197)</f>
        <v>2.98119325551232</v>
      </c>
      <c r="L333" s="339">
        <f>SUM(L136,L137,L141,L145,L146,L147)/SUM(L190,L194,L196,L197)</f>
        <v>2.68659420289855</v>
      </c>
      <c r="N333" s="339">
        <f>SUM(N136,N137,N141,N145,N146,N147)/SUM(N190,N194,N196,N197)</f>
        <v>3.00687757909216</v>
      </c>
      <c r="O333" s="339">
        <f>SUM(O136,O137,O141,O145,O146,O147)/SUM(O190,O194,O196,O197)</f>
        <v>3.30649775234982</v>
      </c>
      <c r="P333" s="339">
        <f>SUM(P136,P137,P141,P145,P146,P147)/SUM(P190,P194,P196,P197)</f>
        <v>3.09502717938393</v>
      </c>
      <c r="Q333" s="339">
        <f>SUM(Q136,Q137,Q141,Q145,Q146,Q147)/SUM(Q190,Q194,Q196,Q197)</f>
        <v>2.94140919366993</v>
      </c>
      <c r="S333" s="339">
        <f>SUM(S136,S137,S141,S145,S146,S147)/SUM(S190,S194,S196,S197)</f>
        <v>2.8184250764526</v>
      </c>
      <c r="T333" s="339">
        <f>SUM(T136,T137,T141,T145,T146,T147)/SUM(T190,T194,T196,T197)</f>
        <v>2.95874552725742</v>
      </c>
      <c r="U333" s="339">
        <f>SUM(U136,U137,U141,U145,U146,U147)/SUM(U190,U194,U196,U197)</f>
        <v>2.91751295336788</v>
      </c>
      <c r="V333" s="339">
        <f>SUM(V136,V137,V141,V145,V146,V147)/SUM(V190,V194,V196,V197)</f>
        <v>2.78570013864132</v>
      </c>
      <c r="X333" s="339">
        <f>SUM(X136,X137,X141,X145,X146,X147)/SUM(X190,X194,X196,X197)</f>
        <v>2.68099710982659</v>
      </c>
      <c r="Y333" s="339">
        <f>SUM(Y136,Y137,Y141,Y145,Y146,Y147)/SUM(Y190,Y194,Y196,Y197)</f>
        <v>2.74254843517139</v>
      </c>
      <c r="Z333" s="339">
        <f>SUM(Z136,Z137,Z141,Z145,Z146,Z147)/SUM(Z190,Z194,Z196,Z197)</f>
        <v>2.65516611902154</v>
      </c>
      <c r="AA333" s="339">
        <f>SUM(AA136,AA137,AA141,AA145,AA146,AA147)/SUM(AA190,AA194,AA196,AA197)</f>
        <v>2.43739688359303</v>
      </c>
      <c r="AC333" s="339">
        <f>SUM(AC136,AC137,AC141,AC145,AC146,AC147)/SUM(AC190,AC194,AC196,AC197)</f>
        <v>2.53340675477239</v>
      </c>
      <c r="AD333" s="339">
        <f>SUM(AD136,AD137,AD141,AD145,AD146,AD147)/SUM(AD190,AD194,AD196,AD197)</f>
        <v>2.62584248026189</v>
      </c>
      <c r="AE333" s="339">
        <f>SUM(AE136,AE137,AE141,AE145,AE146,AE147)/SUM(AE190,AE194,AE196,AE197)</f>
        <v>2.63737118413377</v>
      </c>
      <c r="AF333" s="339">
        <f>SUM(AF136,AF137,AF141,AF145,AF146,AF147)/SUM(AF190,AF194,AF196,AF197)</f>
        <v>2.48334233747524</v>
      </c>
      <c r="AH333" s="339">
        <f>SUM(AH136,AH137,AH141,AH145,AH146,AH147)/SUM(AH190,AH194,AH196,AH197)</f>
        <v>2.60625115590901</v>
      </c>
      <c r="AI333" s="339">
        <f>SUM(AI136,AI137,AI141,AI145,AI146,AI147)/SUM(AI190,AI194,AI196,AI197)</f>
        <v>2.51330731014904</v>
      </c>
      <c r="AJ333" s="339">
        <f>SUM(AJ136,AJ137,AJ141,AJ145,AJ146,AJ147)/SUM(AJ190,AJ194,AJ196,AJ197)</f>
        <v>16.4605504587156</v>
      </c>
      <c r="AK333" s="339">
        <f>SUM(AK136,AK137,AK141,AK145,AK146,AK147)/SUM(AK190,AK194,AK196,AK197)</f>
        <v>16.3266055045872</v>
      </c>
      <c r="AM333" s="339" t="e">
        <f>SUM(AM136,AM137,AM141,AM145,AM146,AM147)/SUM(AM190,AM194,AM196,AM197)</f>
        <v>#DIV/0!</v>
      </c>
      <c r="AN333" s="339" t="e">
        <f>SUM(AN136,AN137,AN141,AN145,AN146,AN147)/SUM(AN190,AN194,AN196,AN197)</f>
        <v>#DIV/0!</v>
      </c>
      <c r="AO333" s="339" t="e">
        <f>SUM(AO136,AO137,AO141,AO145,AO146,AO147)/SUM(AO190,AO194,AO196,AO197)</f>
        <v>#DIV/0!</v>
      </c>
      <c r="AP333" s="339" t="e">
        <f>SUM(AP136,AP137,AP141,AP145,AP146,AP147)/SUM(AP190,AP194,AP196,AP197)</f>
        <v>#DIV/0!</v>
      </c>
      <c r="AR333" s="339" t="e">
        <f>SUM(AR136,AR137,AR141,AR145,AR146,AR147)/SUM(AR190,AR194,AR196,AR197)</f>
        <v>#DIV/0!</v>
      </c>
      <c r="AS333" s="339" t="e">
        <f>SUM(AS136,AS137,AS141,AS145,AS146,AS147)/SUM(AS190,AS194,AS196,AS197)</f>
        <v>#DIV/0!</v>
      </c>
      <c r="AT333" s="339" t="e">
        <f>SUM(AT136,AT137,AT141,AT145,AT146,AT147)/SUM(AT190,AT194,AT196,AT197)</f>
        <v>#DIV/0!</v>
      </c>
      <c r="AU333" s="339" t="e">
        <f>SUM(AU136,AU137,AU141,AU145,AU146,AU147)/SUM(AU190,AU194,AU196,AU197)</f>
        <v>#DIV/0!</v>
      </c>
      <c r="AW333" s="339" t="e">
        <f>SUM(AW136,AW137,AW141,AW145,AW146,AW147)/SUM(AW190,AW194,AW196,AW197)</f>
        <v>#DIV/0!</v>
      </c>
      <c r="AX333" s="339" t="e">
        <f>SUM(AX136,AX137,AX141,AX145,AX146,AX147)/SUM(AX190,AX194,AX196,AX197)</f>
        <v>#DIV/0!</v>
      </c>
      <c r="AY333" s="339" t="e">
        <f>SUM(AY136,AY137,AY141,AY145,AY146,AY147)/SUM(AY190,AY194,AY196,AY197)</f>
        <v>#DIV/0!</v>
      </c>
      <c r="AZ333" s="339" t="e">
        <f>SUM(AZ136,AZ137,AZ141,AZ145,AZ146,AZ147)/SUM(AZ190,AZ194,AZ196,AZ197)</f>
        <v>#DIV/0!</v>
      </c>
      <c r="BB333" s="339" t="e">
        <f>SUM(BB136,BB137,BB141,BB145,BB146,BB147)/SUM(BB190,BB194,BB196,BB197)</f>
        <v>#DIV/0!</v>
      </c>
      <c r="BC333" s="339" t="e">
        <f>SUM(BC136,BC137,BC141,BC145,BC146,BC147)/SUM(BC190,BC194,BC196,BC197)</f>
        <v>#DIV/0!</v>
      </c>
      <c r="BD333" s="339" t="e">
        <f>SUM(BD136,BD137,BD141,BD145,BD146,BD147)/SUM(BD190,BD194,BD196,BD197)</f>
        <v>#DIV/0!</v>
      </c>
      <c r="BE333" s="339" t="e">
        <f>SUM(BE136,BE137,BE141,BE145,BE146,BE147)/SUM(BE190,BE194,BE196,BE197)</f>
        <v>#DIV/0!</v>
      </c>
      <c r="BG333" s="339" t="e">
        <f>SUM(BG136,BG137,BG141,BG145,BG146,BG147)/SUM(BG190,BG194,BG196,BG197)</f>
        <v>#DIV/0!</v>
      </c>
      <c r="BH333" s="339" t="e">
        <f>SUM(BH136,BH137,BH141,BH145,BH146,BH147)/SUM(BH190,BH194,BH196,BH197)</f>
        <v>#DIV/0!</v>
      </c>
      <c r="BI333" s="339" t="e">
        <f>SUM(BI136,BI137,BI141,BI145,BI146,BI147)/SUM(BI190,BI194,BI196,BI197)</f>
        <v>#DIV/0!</v>
      </c>
      <c r="BJ333" s="339" t="e">
        <f>SUM(BJ136,BJ137,BJ141,BJ145,BJ146,BJ147)/SUM(BJ190,BJ194,BJ196,BJ197)</f>
        <v>#DIV/0!</v>
      </c>
      <c r="BL333" s="339" t="e">
        <f>SUM(BL136,BL137,BL141,BL145,BL146,BL147)/SUM(BL190,BL194,BL196,BL197)</f>
        <v>#DIV/0!</v>
      </c>
      <c r="BM333" s="339" t="e">
        <f>SUM(BM136,BM137,BM141,BM145,BM146,BM147)/SUM(BM190,BM194,BM196,BM197)</f>
        <v>#DIV/0!</v>
      </c>
      <c r="BN333" s="339" t="e">
        <f>SUM(BN136,BN137,BN141,BN145,BN146,BN147)/SUM(BN190,BN194,BN196,BN197)</f>
        <v>#DIV/0!</v>
      </c>
      <c r="BO333" s="339" t="e">
        <f>SUM(BO136,BO137,BO141,BO145,BO146,BO147)/SUM(BO190,BO194,BO196,BO197)</f>
        <v>#DIV/0!</v>
      </c>
      <c r="BQ333" s="339" t="e">
        <f>SUM(BQ136,BQ137,BQ141,BQ145,BQ146,BQ147)/SUM(BQ190,BQ194,BQ196,BQ197)</f>
        <v>#DIV/0!</v>
      </c>
      <c r="BR333" s="339" t="e">
        <f>SUM(BR136,BR137,BR141,BR145,BR146,BR147)/SUM(BR190,BR194,BR196,BR197)</f>
        <v>#DIV/0!</v>
      </c>
      <c r="BS333" s="339" t="e">
        <f>SUM(BS136,BS137,BS141,BS145,BS146,BS147)/SUM(BS190,BS194,BS196,BS197)</f>
        <v>#DIV/0!</v>
      </c>
      <c r="BT333" s="339" t="e">
        <f>SUM(BT136,BT137,BT141,BT145,BT146,BT147)/SUM(BT190,BT194,BT196,BT197)</f>
        <v>#DIV/0!</v>
      </c>
      <c r="BV333" s="339" t="e">
        <f>SUM(BV136,BV137,BV141,BV145,BV146,BV147)/SUM(BV190,BV194,BV196,BV197)</f>
        <v>#DIV/0!</v>
      </c>
      <c r="BW333" s="339" t="e">
        <f>SUM(BW136,BW137,BW141,BW145,BW146,BW147)/SUM(BW190,BW194,BW196,BW197)</f>
        <v>#DIV/0!</v>
      </c>
      <c r="BX333" s="339" t="e">
        <f>SUM(BX136,BX137,BX141,BX145,BX146,BX147)/SUM(BX190,BX194,BX196,BX197)</f>
        <v>#DIV/0!</v>
      </c>
      <c r="BY333" s="339" t="e">
        <f>SUM(BY136,BY137,BY141,BY145,BY146,BY147)/SUM(BY190,BY194,BY196,BY197)</f>
        <v>#DIV/0!</v>
      </c>
      <c r="CA333" s="339" t="e">
        <f>SUM(CA136,CA137,CA141,CA145,CA146,CA147)/SUM(CA190,CA194,CA196,CA197)</f>
        <v>#DIV/0!</v>
      </c>
      <c r="CB333" s="339" t="e">
        <f>SUM(CB136,CB137,CB141,CB145,CB146,CB147)/SUM(CB190,CB194,CB196,CB197)</f>
        <v>#DIV/0!</v>
      </c>
      <c r="CC333" s="339" t="e">
        <f>SUM(CC136,CC137,CC141,CC145,CC146,CC147)/SUM(CC190,CC194,CC196,CC197)</f>
        <v>#DIV/0!</v>
      </c>
      <c r="CD333" s="339" t="e">
        <f>SUM(CD136,CD137,CD141,CD145,CD146,CD147)/SUM(CD190,CD194,CD196,CD197)</f>
        <v>#DIV/0!</v>
      </c>
      <c r="CF333" s="339" t="e">
        <f>SUM(CF136,CF137,CF141,CF145,CF146,CF147)/SUM(CF190,CF194,CF196,CF197)</f>
        <v>#DIV/0!</v>
      </c>
      <c r="CG333" s="339" t="e">
        <f>SUM(CG136,CG137,CG141,CG145,CG146,CG147)/SUM(CG190,CG194,CG196,CG197)</f>
        <v>#DIV/0!</v>
      </c>
      <c r="CH333" s="339" t="e">
        <f>SUM(CH136,CH137,CH141,CH145,CH146,CH147)/SUM(CH190,CH194,CH196,CH197)</f>
        <v>#DIV/0!</v>
      </c>
      <c r="CI333" s="339" t="e">
        <f>SUM(CI136,CI137,CI141,CI145,CI146,CI147)/SUM(CI190,CI194,CI196,CI197)</f>
        <v>#DIV/0!</v>
      </c>
      <c r="CK333" s="339" t="e">
        <f>SUM(CK136,CK137,CK141,CK145,CK146,CK147)/SUM(CK190,CK194,CK196,CK197)</f>
        <v>#DIV/0!</v>
      </c>
      <c r="CL333" s="339" t="e">
        <f>SUM(CL136,CL137,CL141,CL145,CL146,CL147)/SUM(CL190,CL194,CL196,CL197)</f>
        <v>#DIV/0!</v>
      </c>
      <c r="CM333" s="339" t="e">
        <f>SUM(CM136,CM137,CM141,CM145,CM146,CM147)/SUM(CM190,CM194,CM196,CM197)</f>
        <v>#DIV/0!</v>
      </c>
      <c r="CN333" s="339" t="e">
        <f>SUM(CN136,CN137,CN141,CN145,CN146,CN147)/SUM(CN190,CN194,CN196,CN197)</f>
        <v>#DIV/0!</v>
      </c>
      <c r="CP333" s="339" t="e">
        <f>SUM(CP136,CP137,CP141,CP145,CP146,CP147)/SUM(CP190,CP194,CP196,CP197)</f>
        <v>#DIV/0!</v>
      </c>
      <c r="CQ333" s="339" t="e">
        <f>SUM(CQ136,CQ137,CQ141,CQ145,CQ146,CQ147)/SUM(CQ190,CQ194,CQ196,CQ197)</f>
        <v>#DIV/0!</v>
      </c>
      <c r="CR333" s="339" t="e">
        <f>SUM(CR136,CR137,CR141,CR145,CR146,CR147)/SUM(CR190,CR194,CR196,CR197)</f>
        <v>#DIV/0!</v>
      </c>
      <c r="CS333" s="339" t="e">
        <f>SUM(CS136,CS137,CS141,CS145,CS146,CS147)/SUM(CS190,CS194,CS196,CS197)</f>
        <v>#DIV/0!</v>
      </c>
      <c r="CU333" s="339" t="e">
        <f>SUM(CU136,CU137,CU141,CU145,CU146,CU147)/SUM(CU190,CU194,CU196,CU197)</f>
        <v>#DIV/0!</v>
      </c>
      <c r="CV333" s="339" t="e">
        <f>SUM(CV136,CV137,CV141,CV145,CV146,CV147)/SUM(CV190,CV194,CV196,CV197)</f>
        <v>#DIV/0!</v>
      </c>
      <c r="CW333" s="339" t="e">
        <f>SUM(CW136,CW137,CW141,CW145,CW146,CW147)/SUM(CW190,CW194,CW196,CW197)</f>
        <v>#DIV/0!</v>
      </c>
      <c r="CX333" s="339" t="e">
        <f>SUM(CX136,CX137,CX141,CX145,CX146,CX147)/SUM(CX190,CX194,CX196,CX197)</f>
        <v>#DIV/0!</v>
      </c>
    </row>
    <row r="334" ht="12.75" customFormat="1" customHeight="1" s="333">
      <c r="A334" s="334" t="n"/>
      <c r="B334" s="334" t="n"/>
      <c r="C334" s="333" t="inlineStr">
        <is>
          <t>CASH RATIO</t>
        </is>
      </c>
      <c r="D334" s="339">
        <f>SUM(D136)/SUM(D190,D194,D196,D197)</f>
        <v>0.552795031055901</v>
      </c>
      <c r="E334" s="339">
        <f>SUM(E136)/SUM(E190,E194,E196,E197)</f>
        <v>0.520241477272727</v>
      </c>
      <c r="F334" s="339">
        <f>SUM(F136)/SUM(F190,F194,F196,F197)</f>
        <v>0.788127254837652</v>
      </c>
      <c r="G334" s="339">
        <f>SUM(G136)/SUM(G190,G194,G196,G197)</f>
        <v>2.23470292639669</v>
      </c>
      <c r="I334" s="339">
        <f>SUM(I136)/SUM(I190,I194,I196,I197)</f>
        <v>1.15802781289507</v>
      </c>
      <c r="J334" s="339">
        <f>SUM(J136)/SUM(J190,J194,J196,J197)</f>
        <v>1.41230425055928</v>
      </c>
      <c r="K334" s="339">
        <f>SUM(K136)/SUM(K190,K194,K196,K197)</f>
        <v>1.65845222654561</v>
      </c>
      <c r="L334" s="339">
        <f>SUM(L136)/SUM(L190,L194,L196,L197)</f>
        <v>2.96775362318841</v>
      </c>
      <c r="N334" s="339">
        <f>SUM(N136)/SUM(N190,N194,N196,N197)</f>
        <v>1.63843584201218</v>
      </c>
      <c r="O334" s="339">
        <f>SUM(O136)/SUM(O190,O194,O196,O197)</f>
        <v>1.93951777686964</v>
      </c>
      <c r="P334" s="339">
        <f>SUM(P136)/SUM(P190,P194,P196,P197)</f>
        <v>1.72699818804107</v>
      </c>
      <c r="Q334" s="339">
        <f>SUM(Q136)/SUM(Q190,Q194,Q196,Q197)</f>
        <v>3.11529766390354</v>
      </c>
      <c r="S334" s="339">
        <f>SUM(S136)/SUM(S190,S194,S196,S197)</f>
        <v>1.30963302752294</v>
      </c>
      <c r="T334" s="339">
        <f>SUM(T136)/SUM(T190,T194,T196,T197)</f>
        <v>1.40665123131972</v>
      </c>
      <c r="U334" s="339">
        <f>SUM(U136)/SUM(U190,U194,U196,U197)</f>
        <v>1.19067357512953</v>
      </c>
      <c r="V334" s="339">
        <f>SUM(V136)/SUM(V190,V194,V196,V197)</f>
        <v>2.14319667260844</v>
      </c>
      <c r="X334" s="339">
        <f>SUM(X136)/SUM(X190,X194,X196,X197)</f>
        <v>0.940751445086705</v>
      </c>
      <c r="Y334" s="339">
        <f>SUM(Y136)/SUM(Y190,Y194,Y196,Y197)</f>
        <v>0.982302533532042</v>
      </c>
      <c r="Z334" s="339">
        <f>SUM(Z136)/SUM(Z190,Z194,Z196,Z197)</f>
        <v>0.912741876597298</v>
      </c>
      <c r="AA334" s="339">
        <f>SUM(AA136)/SUM(AA190,AA194,AA196,AA197)</f>
        <v>1.61943171402383</v>
      </c>
      <c r="AC334" s="339">
        <f>SUM(AC136)/SUM(AC190,AC194,AC196,AC197)</f>
        <v>0.804882525697504</v>
      </c>
      <c r="AD334" s="339">
        <f>SUM(AD136)/SUM(AD190,AD194,AD196,AD197)</f>
        <v>0.864625457346428</v>
      </c>
      <c r="AE334" s="339">
        <f>SUM(AE136)/SUM(AE190,AE194,AE196,AE197)</f>
        <v>0.839587789228077</v>
      </c>
      <c r="AF334" s="339">
        <f>SUM(AF136)/SUM(AF190,AF194,AF196,AF197)</f>
        <v>1.44012245632991</v>
      </c>
      <c r="AH334" s="339">
        <f>SUM(AH136)/SUM(AH190,AH194,AH196,AH197)</f>
        <v>0.691141113371555</v>
      </c>
      <c r="AI334" s="339">
        <f>SUM(AI136)/SUM(AI190,AI194,AI196,AI197)</f>
        <v>0.723917672107878</v>
      </c>
      <c r="AJ334" s="339">
        <f>SUM(AJ136)/SUM(AJ190,AJ194,AJ196,AJ197)</f>
        <v>-0.730275229357798</v>
      </c>
      <c r="AK334" s="339">
        <f>SUM(AK136)/SUM(AK190,AK194,AK196,AK197)</f>
        <v>-0.864220183486239</v>
      </c>
      <c r="AM334" s="339" t="e">
        <f>SUM(AM136)/SUM(AM190,AM194,AM196,AM197)</f>
        <v>#DIV/0!</v>
      </c>
      <c r="AN334" s="339" t="e">
        <f>SUM(AN136)/SUM(AN190,AN194,AN196,AN197)</f>
        <v>#DIV/0!</v>
      </c>
      <c r="AO334" s="339" t="e">
        <f>SUM(AO136)/SUM(AO190,AO194,AO196,AO197)</f>
        <v>#DIV/0!</v>
      </c>
      <c r="AP334" s="339" t="e">
        <f>SUM(AP136)/SUM(AP190,AP194,AP196,AP197)</f>
        <v>#DIV/0!</v>
      </c>
      <c r="AR334" s="339" t="e">
        <f>SUM(AR136)/SUM(AR190,AR194,AR196,AR197)</f>
        <v>#DIV/0!</v>
      </c>
      <c r="AS334" s="339" t="e">
        <f>SUM(AS136)/SUM(AS190,AS194,AS196,AS197)</f>
        <v>#DIV/0!</v>
      </c>
      <c r="AT334" s="339" t="e">
        <f>SUM(AT136)/SUM(AT190,AT194,AT196,AT197)</f>
        <v>#DIV/0!</v>
      </c>
      <c r="AU334" s="339" t="e">
        <f>SUM(AU136)/SUM(AU190,AU194,AU196,AU197)</f>
        <v>#DIV/0!</v>
      </c>
      <c r="AW334" s="339" t="e">
        <f>SUM(AW136)/SUM(AW190,AW194,AW196,AW197)</f>
        <v>#DIV/0!</v>
      </c>
      <c r="AX334" s="339" t="e">
        <f>SUM(AX136)/SUM(AX190,AX194,AX196,AX197)</f>
        <v>#DIV/0!</v>
      </c>
      <c r="AY334" s="339" t="e">
        <f>SUM(AY136)/SUM(AY190,AY194,AY196,AY197)</f>
        <v>#DIV/0!</v>
      </c>
      <c r="AZ334" s="339" t="e">
        <f>SUM(AZ136)/SUM(AZ190,AZ194,AZ196,AZ197)</f>
        <v>#DIV/0!</v>
      </c>
      <c r="BB334" s="339" t="e">
        <f>SUM(BB136)/SUM(BB190,BB194,BB196,BB197)</f>
        <v>#DIV/0!</v>
      </c>
      <c r="BC334" s="339" t="e">
        <f>SUM(BC136)/SUM(BC190,BC194,BC196,BC197)</f>
        <v>#DIV/0!</v>
      </c>
      <c r="BD334" s="339" t="e">
        <f>SUM(BD136)/SUM(BD190,BD194,BD196,BD197)</f>
        <v>#DIV/0!</v>
      </c>
      <c r="BE334" s="339" t="e">
        <f>SUM(BE136)/SUM(BE190,BE194,BE196,BE197)</f>
        <v>#DIV/0!</v>
      </c>
      <c r="BG334" s="339" t="e">
        <f>SUM(BG136)/SUM(BG190,BG194,BG196,BG197)</f>
        <v>#DIV/0!</v>
      </c>
      <c r="BH334" s="339" t="e">
        <f>SUM(BH136)/SUM(BH190,BH194,BH196,BH197)</f>
        <v>#DIV/0!</v>
      </c>
      <c r="BI334" s="339" t="e">
        <f>SUM(BI136)/SUM(BI190,BI194,BI196,BI197)</f>
        <v>#DIV/0!</v>
      </c>
      <c r="BJ334" s="339" t="e">
        <f>SUM(BJ136)/SUM(BJ190,BJ194,BJ196,BJ197)</f>
        <v>#DIV/0!</v>
      </c>
      <c r="BL334" s="339" t="e">
        <f>SUM(BL136)/SUM(BL190,BL194,BL196,BL197)</f>
        <v>#DIV/0!</v>
      </c>
      <c r="BM334" s="339" t="e">
        <f>SUM(BM136)/SUM(BM190,BM194,BM196,BM197)</f>
        <v>#DIV/0!</v>
      </c>
      <c r="BN334" s="339" t="e">
        <f>SUM(BN136)/SUM(BN190,BN194,BN196,BN197)</f>
        <v>#DIV/0!</v>
      </c>
      <c r="BO334" s="339" t="e">
        <f>SUM(BO136)/SUM(BO190,BO194,BO196,BO197)</f>
        <v>#DIV/0!</v>
      </c>
      <c r="BQ334" s="339" t="e">
        <f>SUM(BQ136)/SUM(BQ190,BQ194,BQ196,BQ197)</f>
        <v>#DIV/0!</v>
      </c>
      <c r="BR334" s="339" t="e">
        <f>SUM(BR136)/SUM(BR190,BR194,BR196,BR197)</f>
        <v>#DIV/0!</v>
      </c>
      <c r="BS334" s="339" t="e">
        <f>SUM(BS136)/SUM(BS190,BS194,BS196,BS197)</f>
        <v>#DIV/0!</v>
      </c>
      <c r="BT334" s="339" t="e">
        <f>SUM(BT136)/SUM(BT190,BT194,BT196,BT197)</f>
        <v>#DIV/0!</v>
      </c>
      <c r="BV334" s="339" t="e">
        <f>SUM(BV136)/SUM(BV190,BV194,BV196,BV197)</f>
        <v>#DIV/0!</v>
      </c>
      <c r="BW334" s="339" t="e">
        <f>SUM(BW136)/SUM(BW190,BW194,BW196,BW197)</f>
        <v>#DIV/0!</v>
      </c>
      <c r="BX334" s="339" t="e">
        <f>SUM(BX136)/SUM(BX190,BX194,BX196,BX197)</f>
        <v>#DIV/0!</v>
      </c>
      <c r="BY334" s="339" t="e">
        <f>SUM(BY136)/SUM(BY190,BY194,BY196,BY197)</f>
        <v>#DIV/0!</v>
      </c>
      <c r="CA334" s="339" t="e">
        <f>SUM(CA136)/SUM(CA190,CA194,CA196,CA197)</f>
        <v>#DIV/0!</v>
      </c>
      <c r="CB334" s="339" t="e">
        <f>SUM(CB136)/SUM(CB190,CB194,CB196,CB197)</f>
        <v>#DIV/0!</v>
      </c>
      <c r="CC334" s="339" t="e">
        <f>SUM(CC136)/SUM(CC190,CC194,CC196,CC197)</f>
        <v>#DIV/0!</v>
      </c>
      <c r="CD334" s="339" t="e">
        <f>SUM(CD136)/SUM(CD190,CD194,CD196,CD197)</f>
        <v>#DIV/0!</v>
      </c>
      <c r="CF334" s="339" t="e">
        <f>SUM(CF136)/SUM(CF190,CF194,CF196,CF197)</f>
        <v>#DIV/0!</v>
      </c>
      <c r="CG334" s="339" t="e">
        <f>SUM(CG136)/SUM(CG190,CG194,CG196,CG197)</f>
        <v>#DIV/0!</v>
      </c>
      <c r="CH334" s="339" t="e">
        <f>SUM(CH136)/SUM(CH190,CH194,CH196,CH197)</f>
        <v>#DIV/0!</v>
      </c>
      <c r="CI334" s="339" t="e">
        <f>SUM(CI136)/SUM(CI190,CI194,CI196,CI197)</f>
        <v>#DIV/0!</v>
      </c>
      <c r="CK334" s="339" t="e">
        <f>SUM(CK136)/SUM(CK190,CK194,CK196,CK197)</f>
        <v>#DIV/0!</v>
      </c>
      <c r="CL334" s="339" t="e">
        <f>SUM(CL136)/SUM(CL190,CL194,CL196,CL197)</f>
        <v>#DIV/0!</v>
      </c>
      <c r="CM334" s="339" t="e">
        <f>SUM(CM136)/SUM(CM190,CM194,CM196,CM197)</f>
        <v>#DIV/0!</v>
      </c>
      <c r="CN334" s="339" t="e">
        <f>SUM(CN136)/SUM(CN190,CN194,CN196,CN197)</f>
        <v>#DIV/0!</v>
      </c>
      <c r="CP334" s="339" t="e">
        <f>SUM(CP136)/SUM(CP190,CP194,CP196,CP197)</f>
        <v>#DIV/0!</v>
      </c>
      <c r="CQ334" s="339" t="e">
        <f>SUM(CQ136)/SUM(CQ190,CQ194,CQ196,CQ197)</f>
        <v>#DIV/0!</v>
      </c>
      <c r="CR334" s="339" t="e">
        <f>SUM(CR136)/SUM(CR190,CR194,CR196,CR197)</f>
        <v>#DIV/0!</v>
      </c>
      <c r="CS334" s="339" t="e">
        <f>SUM(CS136)/SUM(CS190,CS194,CS196,CS197)</f>
        <v>#DIV/0!</v>
      </c>
      <c r="CU334" s="339" t="e">
        <f>SUM(CU136)/SUM(CU190,CU194,CU196,CU197)</f>
        <v>#DIV/0!</v>
      </c>
      <c r="CV334" s="339" t="e">
        <f>SUM(CV136)/SUM(CV190,CV194,CV196,CV197)</f>
        <v>#DIV/0!</v>
      </c>
      <c r="CW334" s="339" t="e">
        <f>SUM(CW136)/SUM(CW190,CW194,CW196,CW197)</f>
        <v>#DIV/0!</v>
      </c>
      <c r="CX334" s="339" t="e">
        <f>SUM(CX136)/SUM(CX190,CX194,CX196,CX197)</f>
        <v>#DIV/0!</v>
      </c>
    </row>
    <row r="335" ht="12.75" customFormat="1" customHeight="1" s="333">
      <c r="A335" s="334" t="n"/>
      <c r="B335" s="334" t="n"/>
    </row>
    <row r="336" ht="12.75" customFormat="1" customHeight="1" s="333">
      <c r="A336" s="334" t="n"/>
      <c r="B336" s="334" t="n"/>
      <c r="C336" s="331" t="inlineStr">
        <is>
          <t>OPERATING EFFICIENCY</t>
        </is>
      </c>
    </row>
    <row r="337" ht="12.75" customFormat="1" customHeight="1" s="341">
      <c r="A337" s="338" t="n"/>
      <c r="B337" s="338" t="n"/>
      <c r="C337" s="341" t="inlineStr">
        <is>
          <t>RETURN ON CAPITAL (ROIC)</t>
        </is>
      </c>
      <c r="D337" s="341">
        <f>D339/D342</f>
        <v>-0.0144511703468733</v>
      </c>
      <c r="E337" s="341">
        <f>E339/E342</f>
        <v>0.00600962877417869</v>
      </c>
      <c r="F337" s="341">
        <f>F339/F342</f>
        <v>0.0175681447471163</v>
      </c>
      <c r="G337" s="341">
        <f>G339/G342</f>
        <v>0.0395678039858264</v>
      </c>
      <c r="H337" s="341">
        <f>H339/H342</f>
        <v>0.0458554411640689</v>
      </c>
      <c r="I337" s="338">
        <f>I339/I342</f>
        <v>0.0357815204903535</v>
      </c>
      <c r="J337" s="338">
        <f>J339/J342</f>
        <v>0.0493186977843335</v>
      </c>
      <c r="K337" s="338">
        <f>K339/K342</f>
        <v>0.0622539149365575</v>
      </c>
      <c r="L337" s="338">
        <f>L339/L342</f>
        <v>0.0774976727427475</v>
      </c>
      <c r="M337" s="338">
        <f>M339/M342</f>
        <v>0.288114758003479</v>
      </c>
      <c r="N337" s="338">
        <f>N339/N342</f>
        <v>0.0660601415090082</v>
      </c>
      <c r="O337" s="338">
        <f>O339/O342</f>
        <v>0.037272159646934</v>
      </c>
      <c r="P337" s="338">
        <f>P339/P342</f>
        <v>0.0200099457370624</v>
      </c>
      <c r="Q337" s="338">
        <f>Q339/Q342</f>
        <v>0.0419900009150017</v>
      </c>
      <c r="R337" s="338">
        <f>R339/R342</f>
        <v>0.200710128865074</v>
      </c>
      <c r="S337" s="338">
        <f>S339/S342</f>
        <v>0.0330388507436884</v>
      </c>
      <c r="T337" s="338">
        <f>T339/T342</f>
        <v>0.0244300765855533</v>
      </c>
      <c r="U337" s="338">
        <f>U339/U342</f>
        <v>0.0281292557026415</v>
      </c>
      <c r="V337" s="338">
        <f>V339/V342</f>
        <v>0.0329506616021897</v>
      </c>
      <c r="W337" s="338">
        <f>W339/W342</f>
        <v>0.127526932295737</v>
      </c>
      <c r="X337" s="338">
        <f>X339/X342</f>
        <v>0.0308031657610538</v>
      </c>
      <c r="Y337" s="338">
        <f>Y339/Y342</f>
        <v>0.0345015498832804</v>
      </c>
      <c r="Z337" s="338">
        <f>Z339/Z342</f>
        <v>0.0318212830574879</v>
      </c>
      <c r="AA337" s="338">
        <f>AA339/AA342</f>
        <v>0.0216947798329888</v>
      </c>
      <c r="AB337" s="338">
        <f>AB339/AB342</f>
        <v>0.130957890727735</v>
      </c>
      <c r="AC337" s="338">
        <f>AC339/AC342</f>
        <v>0.0206639689392783</v>
      </c>
      <c r="AD337" s="338">
        <f>AD339/AD342</f>
        <v>0.0400190085677693</v>
      </c>
      <c r="AE337" s="338">
        <f>AE339/AE342</f>
        <v>0.0323713954929981</v>
      </c>
      <c r="AF337" s="338">
        <f>AF339/AF342</f>
        <v>0.0158055362432221</v>
      </c>
      <c r="AG337" s="338">
        <f>AG339/AG342</f>
        <v>0.112390439312809</v>
      </c>
      <c r="AH337" s="338">
        <f>AH339/AH342</f>
        <v>0.033887627172889</v>
      </c>
      <c r="AI337" s="338">
        <f>AI339/AI342</f>
        <v>0.0333284792093629</v>
      </c>
      <c r="AJ337" s="338">
        <f>AJ339/AJ342</f>
        <v>0</v>
      </c>
      <c r="AK337" s="338">
        <f>AK339/AK342</f>
        <v>0</v>
      </c>
      <c r="AL337" s="338">
        <f>AL339/AL342</f>
        <v>0.0595735419573403</v>
      </c>
      <c r="AM337" s="338" t="e">
        <f>AM339/AM342</f>
        <v>#DIV/0!</v>
      </c>
      <c r="AN337" s="338">
        <f>AN339/AN342</f>
        <v>0</v>
      </c>
      <c r="AO337" s="338" t="e">
        <f>AO339/AO342</f>
        <v>#DIV/0!</v>
      </c>
      <c r="AP337" s="338" t="e">
        <f>AP339/AP342</f>
        <v>#DIV/0!</v>
      </c>
      <c r="AQ337" s="338" t="e">
        <f>AQ339/AQ342</f>
        <v>#DIV/0!</v>
      </c>
      <c r="AR337" s="338" t="e">
        <f>AR339/AR342</f>
        <v>#DIV/0!</v>
      </c>
      <c r="AS337" s="338" t="e">
        <f>AS339/AS342</f>
        <v>#DIV/0!</v>
      </c>
      <c r="AT337" s="338" t="e">
        <f>AT339/AT342</f>
        <v>#DIV/0!</v>
      </c>
      <c r="AU337" s="338" t="e">
        <f>AU339/AU342</f>
        <v>#DIV/0!</v>
      </c>
      <c r="AV337" s="338" t="e">
        <f>AV339/AV342</f>
        <v>#DIV/0!</v>
      </c>
      <c r="AW337" s="338" t="e">
        <f>AW339/AW342</f>
        <v>#DIV/0!</v>
      </c>
      <c r="AX337" s="338" t="e">
        <f>AX339/AX342</f>
        <v>#DIV/0!</v>
      </c>
      <c r="AY337" s="338" t="e">
        <f>AY339/AY342</f>
        <v>#DIV/0!</v>
      </c>
      <c r="AZ337" s="338" t="e">
        <f>AZ339/AZ342</f>
        <v>#DIV/0!</v>
      </c>
      <c r="BA337" s="338" t="e">
        <f>BA339/BA342</f>
        <v>#DIV/0!</v>
      </c>
      <c r="BB337" s="338" t="e">
        <f>BB339/BB342</f>
        <v>#DIV/0!</v>
      </c>
      <c r="BC337" s="338" t="e">
        <f>BC339/BC342</f>
        <v>#DIV/0!</v>
      </c>
      <c r="BD337" s="338" t="e">
        <f>BD339/BD342</f>
        <v>#DIV/0!</v>
      </c>
      <c r="BE337" s="338" t="e">
        <f>BE339/BE342</f>
        <v>#DIV/0!</v>
      </c>
      <c r="BF337" s="338" t="e">
        <f>BF339/BF342</f>
        <v>#DIV/0!</v>
      </c>
      <c r="BG337" s="338" t="e">
        <f>BG339/BG342</f>
        <v>#DIV/0!</v>
      </c>
      <c r="BH337" s="338" t="e">
        <f>BH339/BH342</f>
        <v>#DIV/0!</v>
      </c>
      <c r="BI337" s="338" t="e">
        <f>BI339/BI342</f>
        <v>#DIV/0!</v>
      </c>
      <c r="BJ337" s="338" t="e">
        <f>BJ339/BJ342</f>
        <v>#DIV/0!</v>
      </c>
      <c r="BK337" s="338" t="e">
        <f>BK339/BK342</f>
        <v>#DIV/0!</v>
      </c>
      <c r="BL337" s="338" t="e">
        <f>BL339/BL342</f>
        <v>#DIV/0!</v>
      </c>
      <c r="BM337" s="338" t="e">
        <f>BM339/BM342</f>
        <v>#DIV/0!</v>
      </c>
      <c r="BN337" s="338" t="e">
        <f>BN339/BN342</f>
        <v>#DIV/0!</v>
      </c>
      <c r="BO337" s="338" t="e">
        <f>BO339/BO342</f>
        <v>#DIV/0!</v>
      </c>
      <c r="BP337" s="338" t="e">
        <f>BP339/BP342</f>
        <v>#DIV/0!</v>
      </c>
      <c r="BQ337" s="338" t="e">
        <f>BQ339/BQ342</f>
        <v>#DIV/0!</v>
      </c>
      <c r="BR337" s="338" t="e">
        <f>BR339/BR342</f>
        <v>#DIV/0!</v>
      </c>
      <c r="BS337" s="338" t="e">
        <f>BS339/BS342</f>
        <v>#DIV/0!</v>
      </c>
      <c r="BT337" s="338" t="e">
        <f>BT339/BT342</f>
        <v>#DIV/0!</v>
      </c>
      <c r="BU337" s="338" t="e">
        <f>BU339/BU342</f>
        <v>#DIV/0!</v>
      </c>
      <c r="BV337" s="338" t="e">
        <f>BV339/BV342</f>
        <v>#DIV/0!</v>
      </c>
      <c r="BW337" s="338" t="e">
        <f>BW339/BW342</f>
        <v>#DIV/0!</v>
      </c>
      <c r="BX337" s="338" t="e">
        <f>BX339/BX342</f>
        <v>#DIV/0!</v>
      </c>
      <c r="BY337" s="338" t="e">
        <f>BY339/BY342</f>
        <v>#DIV/0!</v>
      </c>
      <c r="BZ337" s="338" t="e">
        <f>BZ339/BZ342</f>
        <v>#DIV/0!</v>
      </c>
      <c r="CA337" s="338" t="e">
        <f>CA339/CA342</f>
        <v>#DIV/0!</v>
      </c>
      <c r="CB337" s="338" t="e">
        <f>CB339/CB342</f>
        <v>#DIV/0!</v>
      </c>
      <c r="CC337" s="338" t="e">
        <f>CC339/CC342</f>
        <v>#DIV/0!</v>
      </c>
      <c r="CD337" s="338" t="e">
        <f>CD339/CD342</f>
        <v>#DIV/0!</v>
      </c>
      <c r="CE337" s="338" t="e">
        <f>CE339/CE342</f>
        <v>#DIV/0!</v>
      </c>
      <c r="CF337" s="338" t="e">
        <f>CF339/CF342</f>
        <v>#DIV/0!</v>
      </c>
      <c r="CG337" s="338" t="e">
        <f>CG339/CG342</f>
        <v>#DIV/0!</v>
      </c>
      <c r="CH337" s="338" t="e">
        <f>CH339/CH342</f>
        <v>#DIV/0!</v>
      </c>
      <c r="CI337" s="338" t="e">
        <f>CI339/CI342</f>
        <v>#DIV/0!</v>
      </c>
      <c r="CJ337" s="338" t="e">
        <f>CJ339/CJ342</f>
        <v>#DIV/0!</v>
      </c>
      <c r="CK337" s="338" t="e">
        <f>CK339/CK342</f>
        <v>#DIV/0!</v>
      </c>
      <c r="CL337" s="338" t="e">
        <f>CL339/CL342</f>
        <v>#DIV/0!</v>
      </c>
      <c r="CM337" s="338" t="e">
        <f>CM339/CM342</f>
        <v>#DIV/0!</v>
      </c>
      <c r="CN337" s="338" t="e">
        <f>CN339/CN342</f>
        <v>#DIV/0!</v>
      </c>
      <c r="CO337" s="338" t="e">
        <f>CO339/CO342</f>
        <v>#DIV/0!</v>
      </c>
      <c r="CP337" s="338" t="e">
        <f>CP339/CP342</f>
        <v>#DIV/0!</v>
      </c>
      <c r="CQ337" s="338" t="e">
        <f>CQ339/CQ342</f>
        <v>#DIV/0!</v>
      </c>
      <c r="CR337" s="338" t="e">
        <f>CR339/CR342</f>
        <v>#DIV/0!</v>
      </c>
      <c r="CS337" s="338" t="e">
        <f>CS339/CS342</f>
        <v>#DIV/0!</v>
      </c>
      <c r="CT337" s="338" t="e">
        <f>CT339/CT342</f>
        <v>#DIV/0!</v>
      </c>
      <c r="CU337" s="338" t="e">
        <f>CU339/CU342</f>
        <v>#DIV/0!</v>
      </c>
      <c r="CV337" s="338" t="e">
        <f>CV339/CV342</f>
        <v>#DIV/0!</v>
      </c>
      <c r="CW337" s="338" t="e">
        <f>CW339/CW342</f>
        <v>#DIV/0!</v>
      </c>
      <c r="CX337" s="338" t="e">
        <f>CX339/CX342</f>
        <v>#DIV/0!</v>
      </c>
      <c r="CY337" s="338" t="e">
        <f>CY339/CY342</f>
        <v>#DIV/0!</v>
      </c>
    </row>
    <row r="338" ht="12.75" customFormat="1" customHeight="1" s="341">
      <c r="A338" s="338" t="n"/>
      <c r="B338" s="338" t="n"/>
      <c r="C338" s="341" t="inlineStr">
        <is>
          <t>RETURN ON CAPITAL (ROIC) - EX GOODWILL</t>
        </is>
      </c>
      <c r="D338" s="341">
        <f>D339/D343</f>
        <v>-0.0144511703468733</v>
      </c>
      <c r="E338" s="341">
        <f>E339/E343</f>
        <v>0.00600962877417869</v>
      </c>
      <c r="F338" s="341">
        <f>F339/F343</f>
        <v>0.0175681447471163</v>
      </c>
      <c r="G338" s="341">
        <f>G339/G343</f>
        <v>0.0395678039858264</v>
      </c>
      <c r="H338" s="341">
        <f>H339/H343</f>
        <v>0.0458554411640689</v>
      </c>
      <c r="I338" s="338">
        <f>I339/I343</f>
        <v>0.0357815204903535</v>
      </c>
      <c r="J338" s="338">
        <f>J339/J343</f>
        <v>0.0493186977843335</v>
      </c>
      <c r="K338" s="338">
        <f>K339/K343</f>
        <v>0.0622539149365575</v>
      </c>
      <c r="L338" s="338">
        <f>L339/L343</f>
        <v>0.0774976727427475</v>
      </c>
      <c r="M338" s="338">
        <f>M339/M343</f>
        <v>0.288114758003479</v>
      </c>
      <c r="N338" s="338">
        <f>N339/N343</f>
        <v>0.0660601415090082</v>
      </c>
      <c r="O338" s="338">
        <f>O339/O343</f>
        <v>0.037272159646934</v>
      </c>
      <c r="P338" s="338">
        <f>P339/P343</f>
        <v>0.0200099457370624</v>
      </c>
      <c r="Q338" s="338">
        <f>Q339/Q343</f>
        <v>0.0419900009150017</v>
      </c>
      <c r="R338" s="338">
        <f>R339/R343</f>
        <v>0.200710128865074</v>
      </c>
      <c r="S338" s="338">
        <f>S339/S343</f>
        <v>0.0330388507436884</v>
      </c>
      <c r="T338" s="338">
        <f>T339/T343</f>
        <v>0.0244300765855533</v>
      </c>
      <c r="U338" s="338">
        <f>U339/U343</f>
        <v>0.0281292557026415</v>
      </c>
      <c r="V338" s="338">
        <f>V339/V343</f>
        <v>0.0329506616021897</v>
      </c>
      <c r="W338" s="338">
        <f>W339/W343</f>
        <v>0.127526932295737</v>
      </c>
      <c r="X338" s="338">
        <f>X339/X343</f>
        <v>0.0308031657610538</v>
      </c>
      <c r="Y338" s="338">
        <f>Y339/Y343</f>
        <v>0.0345015498832804</v>
      </c>
      <c r="Z338" s="338">
        <f>Z339/Z343</f>
        <v>0.0318212830574879</v>
      </c>
      <c r="AA338" s="338">
        <f>AA339/AA343</f>
        <v>0.0216947798329888</v>
      </c>
      <c r="AB338" s="338">
        <f>AB339/AB343</f>
        <v>0.130957890727735</v>
      </c>
      <c r="AC338" s="338">
        <f>AC339/AC343</f>
        <v>0.0206639689392783</v>
      </c>
      <c r="AD338" s="338">
        <f>AD339/AD343</f>
        <v>0.0400190085677693</v>
      </c>
      <c r="AE338" s="338">
        <f>AE339/AE343</f>
        <v>0.0323713954929981</v>
      </c>
      <c r="AF338" s="338">
        <f>AF339/AF343</f>
        <v>0.0158055362432221</v>
      </c>
      <c r="AG338" s="338">
        <f>AG339/AG343</f>
        <v>0.112390439312809</v>
      </c>
      <c r="AH338" s="338">
        <f>AH339/AH343</f>
        <v>0.033887627172889</v>
      </c>
      <c r="AI338" s="338">
        <f>AI339/AI343</f>
        <v>0.0333284792093629</v>
      </c>
      <c r="AJ338" s="338">
        <f>AJ339/AJ343</f>
        <v>0</v>
      </c>
      <c r="AK338" s="338">
        <f>AK339/AK343</f>
        <v>0</v>
      </c>
      <c r="AL338" s="338">
        <f>AL339/AL343</f>
        <v>0.0595735419573403</v>
      </c>
      <c r="AM338" s="338" t="e">
        <f>AM339/AM343</f>
        <v>#DIV/0!</v>
      </c>
      <c r="AN338" s="338">
        <f>AN339/AN343</f>
        <v>0</v>
      </c>
      <c r="AO338" s="338" t="e">
        <f>AO339/AO343</f>
        <v>#DIV/0!</v>
      </c>
      <c r="AP338" s="338" t="e">
        <f>AP339/AP343</f>
        <v>#DIV/0!</v>
      </c>
      <c r="AQ338" s="338" t="e">
        <f>AQ339/AQ343</f>
        <v>#DIV/0!</v>
      </c>
      <c r="AR338" s="338" t="e">
        <f>AR339/AR343</f>
        <v>#DIV/0!</v>
      </c>
      <c r="AS338" s="338" t="e">
        <f>AS339/AS343</f>
        <v>#DIV/0!</v>
      </c>
      <c r="AT338" s="338" t="e">
        <f>AT339/AT343</f>
        <v>#DIV/0!</v>
      </c>
      <c r="AU338" s="338" t="e">
        <f>AU339/AU343</f>
        <v>#DIV/0!</v>
      </c>
      <c r="AV338" s="338" t="e">
        <f>AV339/AV343</f>
        <v>#DIV/0!</v>
      </c>
      <c r="AW338" s="338" t="e">
        <f>AW339/AW343</f>
        <v>#DIV/0!</v>
      </c>
      <c r="AX338" s="338" t="e">
        <f>AX339/AX343</f>
        <v>#DIV/0!</v>
      </c>
      <c r="AY338" s="338" t="e">
        <f>AY339/AY343</f>
        <v>#DIV/0!</v>
      </c>
      <c r="AZ338" s="338" t="e">
        <f>AZ339/AZ343</f>
        <v>#DIV/0!</v>
      </c>
      <c r="BA338" s="338" t="e">
        <f>BA339/BA343</f>
        <v>#DIV/0!</v>
      </c>
      <c r="BB338" s="338" t="e">
        <f>BB339/BB343</f>
        <v>#DIV/0!</v>
      </c>
      <c r="BC338" s="338" t="e">
        <f>BC339/BC343</f>
        <v>#DIV/0!</v>
      </c>
      <c r="BD338" s="338" t="e">
        <f>BD339/BD343</f>
        <v>#DIV/0!</v>
      </c>
      <c r="BE338" s="338" t="e">
        <f>BE339/BE343</f>
        <v>#DIV/0!</v>
      </c>
      <c r="BF338" s="338" t="e">
        <f>BF339/BF343</f>
        <v>#DIV/0!</v>
      </c>
      <c r="BG338" s="338" t="e">
        <f>BG339/BG343</f>
        <v>#DIV/0!</v>
      </c>
      <c r="BH338" s="338" t="e">
        <f>BH339/BH343</f>
        <v>#DIV/0!</v>
      </c>
      <c r="BI338" s="338" t="e">
        <f>BI339/BI343</f>
        <v>#DIV/0!</v>
      </c>
      <c r="BJ338" s="338" t="e">
        <f>BJ339/BJ343</f>
        <v>#DIV/0!</v>
      </c>
      <c r="BK338" s="338" t="e">
        <f>BK339/BK343</f>
        <v>#DIV/0!</v>
      </c>
      <c r="BL338" s="338" t="e">
        <f>BL339/BL343</f>
        <v>#DIV/0!</v>
      </c>
      <c r="BM338" s="338" t="e">
        <f>BM339/BM343</f>
        <v>#DIV/0!</v>
      </c>
      <c r="BN338" s="338" t="e">
        <f>BN339/BN343</f>
        <v>#DIV/0!</v>
      </c>
      <c r="BO338" s="338" t="e">
        <f>BO339/BO343</f>
        <v>#DIV/0!</v>
      </c>
      <c r="BP338" s="338" t="e">
        <f>BP339/BP343</f>
        <v>#DIV/0!</v>
      </c>
      <c r="BQ338" s="338" t="e">
        <f>BQ339/BQ343</f>
        <v>#DIV/0!</v>
      </c>
      <c r="BR338" s="338" t="e">
        <f>BR339/BR343</f>
        <v>#DIV/0!</v>
      </c>
      <c r="BS338" s="338" t="e">
        <f>BS339/BS343</f>
        <v>#DIV/0!</v>
      </c>
      <c r="BT338" s="338" t="e">
        <f>BT339/BT343</f>
        <v>#DIV/0!</v>
      </c>
      <c r="BU338" s="338" t="e">
        <f>BU339/BU343</f>
        <v>#DIV/0!</v>
      </c>
      <c r="BV338" s="338" t="e">
        <f>BV339/BV343</f>
        <v>#DIV/0!</v>
      </c>
      <c r="BW338" s="338" t="e">
        <f>BW339/BW343</f>
        <v>#DIV/0!</v>
      </c>
      <c r="BX338" s="338" t="e">
        <f>BX339/BX343</f>
        <v>#DIV/0!</v>
      </c>
      <c r="BY338" s="338" t="e">
        <f>BY339/BY343</f>
        <v>#DIV/0!</v>
      </c>
      <c r="BZ338" s="338" t="e">
        <f>BZ339/BZ343</f>
        <v>#DIV/0!</v>
      </c>
      <c r="CA338" s="338" t="e">
        <f>CA339/CA343</f>
        <v>#DIV/0!</v>
      </c>
      <c r="CB338" s="338" t="e">
        <f>CB339/CB343</f>
        <v>#DIV/0!</v>
      </c>
      <c r="CC338" s="338" t="e">
        <f>CC339/CC343</f>
        <v>#DIV/0!</v>
      </c>
      <c r="CD338" s="338" t="e">
        <f>CD339/CD343</f>
        <v>#DIV/0!</v>
      </c>
      <c r="CE338" s="338" t="e">
        <f>CE339/CE343</f>
        <v>#DIV/0!</v>
      </c>
      <c r="CF338" s="338" t="e">
        <f>CF339/CF343</f>
        <v>#DIV/0!</v>
      </c>
      <c r="CG338" s="338" t="e">
        <f>CG339/CG343</f>
        <v>#DIV/0!</v>
      </c>
      <c r="CH338" s="338" t="e">
        <f>CH339/CH343</f>
        <v>#DIV/0!</v>
      </c>
      <c r="CI338" s="338" t="e">
        <f>CI339/CI343</f>
        <v>#DIV/0!</v>
      </c>
      <c r="CJ338" s="338" t="e">
        <f>CJ339/CJ343</f>
        <v>#DIV/0!</v>
      </c>
      <c r="CK338" s="338" t="e">
        <f>CK339/CK343</f>
        <v>#DIV/0!</v>
      </c>
      <c r="CL338" s="338" t="e">
        <f>CL339/CL343</f>
        <v>#DIV/0!</v>
      </c>
      <c r="CM338" s="338" t="e">
        <f>CM339/CM343</f>
        <v>#DIV/0!</v>
      </c>
      <c r="CN338" s="338" t="e">
        <f>CN339/CN343</f>
        <v>#DIV/0!</v>
      </c>
      <c r="CO338" s="338" t="e">
        <f>CO339/CO343</f>
        <v>#DIV/0!</v>
      </c>
      <c r="CP338" s="338" t="e">
        <f>CP339/CP343</f>
        <v>#DIV/0!</v>
      </c>
      <c r="CQ338" s="338" t="e">
        <f>CQ339/CQ343</f>
        <v>#DIV/0!</v>
      </c>
      <c r="CR338" s="338" t="e">
        <f>CR339/CR343</f>
        <v>#DIV/0!</v>
      </c>
      <c r="CS338" s="338" t="e">
        <f>CS339/CS343</f>
        <v>#DIV/0!</v>
      </c>
      <c r="CT338" s="338" t="e">
        <f>CT339/CT343</f>
        <v>#DIV/0!</v>
      </c>
      <c r="CU338" s="338" t="e">
        <f>CU339/CU343</f>
        <v>#DIV/0!</v>
      </c>
      <c r="CV338" s="338" t="e">
        <f>CV339/CV343</f>
        <v>#DIV/0!</v>
      </c>
      <c r="CW338" s="338" t="e">
        <f>CW339/CW343</f>
        <v>#DIV/0!</v>
      </c>
      <c r="CX338" s="338" t="e">
        <f>CX339/CX343</f>
        <v>#DIV/0!</v>
      </c>
      <c r="CY338" s="338" t="e">
        <f>CY339/CY343</f>
        <v>#DIV/0!</v>
      </c>
    </row>
    <row r="339" ht="12.75" customFormat="1" customHeight="1" s="333">
      <c r="A339" s="334" t="n"/>
      <c r="B339" s="334" t="n"/>
      <c r="C339" s="333" t="inlineStr">
        <is>
          <t>NOPLAT</t>
        </is>
      </c>
      <c r="D339" s="333">
        <f>D340*(1-D341)</f>
        <v>-426.627450980392</v>
      </c>
      <c r="E339" s="333">
        <f>E340*(1-E341)</f>
        <v>178.990783410138</v>
      </c>
      <c r="F339" s="333">
        <f>F340*(1-F341)</f>
        <v>518.50622406639</v>
      </c>
      <c r="G339" s="333">
        <f>G340*(1-G341)</f>
        <v>998.176991150443</v>
      </c>
      <c r="H339" s="333">
        <f>H340*(1-H341)</f>
        <v>1156.79521424597</v>
      </c>
      <c r="I339" s="342">
        <f>I340*(1-I341)</f>
        <v>1046.53791130186</v>
      </c>
      <c r="J339" s="334">
        <f>J340*(1-J341)</f>
        <v>1420.52645228216</v>
      </c>
      <c r="K339" s="334">
        <f>K340*(1-K341)</f>
        <v>1806.85762711864</v>
      </c>
      <c r="L339" s="334">
        <f>L340*(1-L341)</f>
        <v>1574.83020780537</v>
      </c>
      <c r="M339" s="334">
        <f>M340*(1-M341)</f>
        <v>5854.77999738869</v>
      </c>
      <c r="N339" s="342">
        <f>N340*(1-N341)</f>
        <v>1955.84260965721</v>
      </c>
      <c r="O339" s="334">
        <f>O340*(1-O341)</f>
        <v>1116.07754846779</v>
      </c>
      <c r="P339" s="334">
        <f>P340*(1-P341)</f>
        <v>612.484429065744</v>
      </c>
      <c r="Q339" s="334">
        <f>Q340*(1-Q341)</f>
        <v>975.17578125</v>
      </c>
      <c r="R339" s="334">
        <f>R340*(1-R341)</f>
        <v>4661.29203276247</v>
      </c>
      <c r="S339" s="342">
        <f>S340*(1-S341)</f>
        <v>1081.55981794538</v>
      </c>
      <c r="T339" s="334">
        <f>T340*(1-T341)</f>
        <v>810.63880126183</v>
      </c>
      <c r="U339" s="334">
        <f>U340*(1-U341)</f>
        <v>977.097826086957</v>
      </c>
      <c r="V339" s="334">
        <f>V340*(1-V341)</f>
        <v>1000.51388888889</v>
      </c>
      <c r="W339" s="334">
        <f>W340*(1-W341)</f>
        <v>3872.22777222777</v>
      </c>
      <c r="X339" s="342">
        <f>X340*(1-X341)</f>
        <v>1134.23416965352</v>
      </c>
      <c r="Y339" s="334">
        <f>Y340*(1-Y341)</f>
        <v>1287.94285714286</v>
      </c>
      <c r="Z339" s="334">
        <f>Z340*(1-Z341)</f>
        <v>1210.38614365767</v>
      </c>
      <c r="AA339" s="334">
        <f>AA340*(1-AA341)</f>
        <v>721.741935483871</v>
      </c>
      <c r="AB339" s="334">
        <f>AB340*(1-AB341)</f>
        <v>4356.70710873027</v>
      </c>
      <c r="AC339" s="342">
        <f>AC340*(1-AC341)</f>
        <v>798.352439969016</v>
      </c>
      <c r="AD339" s="334">
        <f>AD340*(1-AD341)</f>
        <v>1567.42450857382</v>
      </c>
      <c r="AE339" s="334">
        <f>AE340*(1-AE341)</f>
        <v>1286.30977130977</v>
      </c>
      <c r="AF339" s="334">
        <f>AF340*(1-AF341)</f>
        <v>597.13315926893</v>
      </c>
      <c r="AG339" s="334">
        <f>AG340*(1-AG341)</f>
        <v>4246.11079723792</v>
      </c>
      <c r="AH339" s="342">
        <f>AH340*(1-AH341)</f>
        <v>1450.93264503442</v>
      </c>
      <c r="AI339" s="334">
        <f>AI340*(1-AI341)</f>
        <v>1438.42383419689</v>
      </c>
      <c r="AJ339" s="334">
        <f>AJ340*(1-AJ341)</f>
        <v>0</v>
      </c>
      <c r="AK339" s="334">
        <f>AK340*(1-AK341)</f>
        <v>0</v>
      </c>
      <c r="AL339" s="334">
        <f>AL340*(1-AL341)</f>
        <v>2831.76874340021</v>
      </c>
      <c r="AM339" s="342">
        <f>AM340*(1-AM341)</f>
        <v>0</v>
      </c>
      <c r="AN339" s="334">
        <f>AN340*(1-AN341)</f>
        <v>0</v>
      </c>
      <c r="AO339" s="334">
        <f>AO340*(1-AO341)</f>
        <v>0</v>
      </c>
      <c r="AP339" s="334">
        <f>AP340*(1-AP341)</f>
        <v>0</v>
      </c>
      <c r="AQ339" s="334">
        <f>AQ340*(1-AQ341)</f>
        <v>0</v>
      </c>
      <c r="AR339" s="342">
        <f>AR340*(1-AR341)</f>
        <v>0</v>
      </c>
      <c r="AS339" s="334">
        <f>AS340*(1-AS341)</f>
        <v>0</v>
      </c>
      <c r="AT339" s="334">
        <f>AT340*(1-AT341)</f>
        <v>0</v>
      </c>
      <c r="AU339" s="334">
        <f>AU340*(1-AU341)</f>
        <v>0</v>
      </c>
      <c r="AV339" s="334">
        <f>AV340*(1-AV341)</f>
        <v>0</v>
      </c>
      <c r="AW339" s="342">
        <f>AW340*(1-AW341)</f>
        <v>0</v>
      </c>
      <c r="AX339" s="334">
        <f>AX340*(1-AX341)</f>
        <v>0</v>
      </c>
      <c r="AY339" s="334">
        <f>AY340*(1-AY341)</f>
        <v>0</v>
      </c>
      <c r="AZ339" s="334">
        <f>AZ340*(1-AZ341)</f>
        <v>0</v>
      </c>
      <c r="BA339" s="334">
        <f>BA340*(1-BA341)</f>
        <v>0</v>
      </c>
      <c r="BB339" s="342">
        <f>BB340*(1-BB341)</f>
        <v>0</v>
      </c>
      <c r="BC339" s="334">
        <f>BC340*(1-BC341)</f>
        <v>0</v>
      </c>
      <c r="BD339" s="334">
        <f>BD340*(1-BD341)</f>
        <v>0</v>
      </c>
      <c r="BE339" s="334">
        <f>BE340*(1-BE341)</f>
        <v>0</v>
      </c>
      <c r="BF339" s="334">
        <f>BF340*(1-BF341)</f>
        <v>0</v>
      </c>
      <c r="BG339" s="342">
        <f>BG340*(1-BG341)</f>
        <v>0</v>
      </c>
      <c r="BH339" s="334">
        <f>BH340*(1-BH341)</f>
        <v>0</v>
      </c>
      <c r="BI339" s="334">
        <f>BI340*(1-BI341)</f>
        <v>0</v>
      </c>
      <c r="BJ339" s="334">
        <f>BJ340*(1-BJ341)</f>
        <v>0</v>
      </c>
      <c r="BK339" s="334">
        <f>BK340*(1-BK341)</f>
        <v>0</v>
      </c>
      <c r="BL339" s="342">
        <f>BL340*(1-BL341)</f>
        <v>0</v>
      </c>
      <c r="BM339" s="334">
        <f>BM340*(1-BM341)</f>
        <v>0</v>
      </c>
      <c r="BN339" s="334">
        <f>BN340*(1-BN341)</f>
        <v>0</v>
      </c>
      <c r="BO339" s="334">
        <f>BO340*(1-BO341)</f>
        <v>0</v>
      </c>
      <c r="BP339" s="334">
        <f>BP340*(1-BP341)</f>
        <v>0</v>
      </c>
      <c r="BQ339" s="342">
        <f>BQ340*(1-BQ341)</f>
        <v>0</v>
      </c>
      <c r="BR339" s="334">
        <f>BR340*(1-BR341)</f>
        <v>0</v>
      </c>
      <c r="BS339" s="334">
        <f>BS340*(1-BS341)</f>
        <v>0</v>
      </c>
      <c r="BT339" s="334">
        <f>BT340*(1-BT341)</f>
        <v>0</v>
      </c>
      <c r="BU339" s="334">
        <f>BU340*(1-BU341)</f>
        <v>0</v>
      </c>
      <c r="BV339" s="342">
        <f>BV340*(1-BV341)</f>
        <v>0</v>
      </c>
      <c r="BW339" s="334">
        <f>BW340*(1-BW341)</f>
        <v>0</v>
      </c>
      <c r="BX339" s="334">
        <f>BX340*(1-BX341)</f>
        <v>0</v>
      </c>
      <c r="BY339" s="334">
        <f>BY340*(1-BY341)</f>
        <v>0</v>
      </c>
      <c r="BZ339" s="334">
        <f>BZ340*(1-BZ341)</f>
        <v>0</v>
      </c>
      <c r="CA339" s="342">
        <f>CA340*(1-CA341)</f>
        <v>0</v>
      </c>
      <c r="CB339" s="334">
        <f>CB340*(1-CB341)</f>
        <v>0</v>
      </c>
      <c r="CC339" s="334">
        <f>CC340*(1-CC341)</f>
        <v>0</v>
      </c>
      <c r="CD339" s="334">
        <f>CD340*(1-CD341)</f>
        <v>0</v>
      </c>
      <c r="CE339" s="334">
        <f>CE340*(1-CE341)</f>
        <v>0</v>
      </c>
      <c r="CF339" s="342">
        <f>CF340*(1-CF341)</f>
        <v>0</v>
      </c>
      <c r="CG339" s="334">
        <f>CG340*(1-CG341)</f>
        <v>0</v>
      </c>
      <c r="CH339" s="334">
        <f>CH340*(1-CH341)</f>
        <v>0</v>
      </c>
      <c r="CI339" s="334">
        <f>CI340*(1-CI341)</f>
        <v>0</v>
      </c>
      <c r="CJ339" s="334">
        <f>CJ340*(1-CJ341)</f>
        <v>0</v>
      </c>
      <c r="CK339" s="342">
        <f>CK340*(1-CK341)</f>
        <v>0</v>
      </c>
      <c r="CL339" s="334">
        <f>CL340*(1-CL341)</f>
        <v>0</v>
      </c>
      <c r="CM339" s="334">
        <f>CM340*(1-CM341)</f>
        <v>0</v>
      </c>
      <c r="CN339" s="334">
        <f>CN340*(1-CN341)</f>
        <v>0</v>
      </c>
      <c r="CO339" s="334">
        <f>CO340*(1-CO341)</f>
        <v>0</v>
      </c>
      <c r="CP339" s="342">
        <f>CP340*(1-CP341)</f>
        <v>0</v>
      </c>
      <c r="CQ339" s="334">
        <f>CQ340*(1-CQ341)</f>
        <v>0</v>
      </c>
      <c r="CR339" s="334">
        <f>CR340*(1-CR341)</f>
        <v>0</v>
      </c>
      <c r="CS339" s="334">
        <f>CS340*(1-CS341)</f>
        <v>0</v>
      </c>
      <c r="CT339" s="334">
        <f>CT340*(1-CT341)</f>
        <v>0</v>
      </c>
      <c r="CU339" s="342">
        <f>CU340*(1-CU341)</f>
        <v>0</v>
      </c>
      <c r="CV339" s="334">
        <f>CV340*(1-CV341)</f>
        <v>0</v>
      </c>
      <c r="CW339" s="334">
        <f>CW340*(1-CW341)</f>
        <v>0</v>
      </c>
      <c r="CX339" s="334">
        <f>CX340*(1-CX341)</f>
        <v>0</v>
      </c>
      <c r="CY339" s="334">
        <f>CY340*(1-CY341)</f>
        <v>0</v>
      </c>
    </row>
    <row r="340" ht="12.75" customFormat="1" customHeight="1" s="333">
      <c r="A340" s="334" t="n"/>
      <c r="B340" s="334" t="n"/>
      <c r="C340" s="333" t="inlineStr">
        <is>
          <t>EBIT</t>
        </is>
      </c>
      <c r="D340" s="343">
        <f>D65</f>
        <v>-473</v>
      </c>
      <c r="E340" s="343">
        <f>E65</f>
        <v>321</v>
      </c>
      <c r="F340" s="343">
        <f>F65</f>
        <v>880</v>
      </c>
      <c r="G340" s="343">
        <f>G65</f>
        <v>1709</v>
      </c>
      <c r="H340" s="343">
        <f>H65</f>
        <v>2437</v>
      </c>
      <c r="I340" s="318">
        <f>I65</f>
        <v>1532</v>
      </c>
      <c r="J340" s="318">
        <f>J65</f>
        <v>2067</v>
      </c>
      <c r="K340" s="318">
        <f>K65</f>
        <v>2462</v>
      </c>
      <c r="L340" s="318">
        <f>L65</f>
        <v>2305</v>
      </c>
      <c r="M340" s="318">
        <f>M65</f>
        <v>8366</v>
      </c>
      <c r="N340" s="318">
        <f>N65</f>
        <v>2809</v>
      </c>
      <c r="O340" s="318">
        <f>O65</f>
        <v>1736</v>
      </c>
      <c r="P340" s="318">
        <f>P65</f>
        <v>962</v>
      </c>
      <c r="Q340" s="318">
        <f>Q65</f>
        <v>1530</v>
      </c>
      <c r="R340" s="318">
        <f>R65</f>
        <v>7037</v>
      </c>
      <c r="S340" s="318">
        <f>S65</f>
        <v>1601</v>
      </c>
      <c r="T340" s="318">
        <f>T65</f>
        <v>1410</v>
      </c>
      <c r="U340" s="318">
        <f>U65</f>
        <v>1492</v>
      </c>
      <c r="V340" s="318">
        <f>V65</f>
        <v>1722</v>
      </c>
      <c r="W340" s="318">
        <f>W65</f>
        <v>6225</v>
      </c>
      <c r="X340" s="318">
        <f>X65</f>
        <v>1634</v>
      </c>
      <c r="Y340" s="318">
        <f>Y65</f>
        <v>2049</v>
      </c>
      <c r="Z340" s="318">
        <f>Z65</f>
        <v>1938</v>
      </c>
      <c r="AA340" s="318">
        <f>AA65</f>
        <v>1243</v>
      </c>
      <c r="AB340" s="318">
        <f>AB65</f>
        <v>6864</v>
      </c>
      <c r="AC340" s="318">
        <f>AC65</f>
        <v>1303</v>
      </c>
      <c r="AD340" s="318">
        <f>AD65</f>
        <v>2432</v>
      </c>
      <c r="AE340" s="318">
        <f>AE65</f>
        <v>1972</v>
      </c>
      <c r="AF340" s="318">
        <f>AF65</f>
        <v>811</v>
      </c>
      <c r="AG340" s="318">
        <f>AG65</f>
        <v>6518</v>
      </c>
      <c r="AH340" s="318">
        <f>AH65</f>
        <v>2137</v>
      </c>
      <c r="AI340" s="318">
        <f>AI65</f>
        <v>2003</v>
      </c>
      <c r="AJ340" s="318">
        <f>AJ65</f>
        <v>0</v>
      </c>
      <c r="AK340" s="318">
        <f>AK65</f>
        <v>0</v>
      </c>
      <c r="AL340" s="318">
        <f>AL65</f>
        <v>4140</v>
      </c>
      <c r="AM340" s="318">
        <f>AM65</f>
        <v>0</v>
      </c>
      <c r="AN340" s="318">
        <f>AN65</f>
        <v>0</v>
      </c>
      <c r="AO340" s="318">
        <f>AO65</f>
        <v>0</v>
      </c>
      <c r="AP340" s="318">
        <f>AP65</f>
        <v>0</v>
      </c>
      <c r="AQ340" s="318">
        <f>AQ65</f>
        <v>0</v>
      </c>
      <c r="AR340" s="318">
        <f>AR65</f>
        <v>0</v>
      </c>
      <c r="AS340" s="318">
        <f>AS65</f>
        <v>0</v>
      </c>
      <c r="AT340" s="318">
        <f>AT65</f>
        <v>0</v>
      </c>
      <c r="AU340" s="318">
        <f>AU65</f>
        <v>0</v>
      </c>
      <c r="AV340" s="318">
        <f>AV65</f>
        <v>0</v>
      </c>
      <c r="AW340" s="318">
        <f>AW65</f>
        <v>0</v>
      </c>
      <c r="AX340" s="318">
        <f>AX65</f>
        <v>0</v>
      </c>
      <c r="AY340" s="318">
        <f>AY65</f>
        <v>0</v>
      </c>
      <c r="AZ340" s="318">
        <f>AZ65</f>
        <v>0</v>
      </c>
      <c r="BA340" s="318">
        <f>BA65</f>
        <v>0</v>
      </c>
      <c r="BB340" s="318">
        <f>BB65</f>
        <v>0</v>
      </c>
      <c r="BC340" s="318">
        <f>BC65</f>
        <v>0</v>
      </c>
      <c r="BD340" s="318">
        <f>BD65</f>
        <v>0</v>
      </c>
      <c r="BE340" s="318">
        <f>BE65</f>
        <v>0</v>
      </c>
      <c r="BF340" s="318">
        <f>BF65</f>
        <v>0</v>
      </c>
      <c r="BG340" s="318">
        <f>BG65</f>
        <v>0</v>
      </c>
      <c r="BH340" s="318">
        <f>BH65</f>
        <v>0</v>
      </c>
      <c r="BI340" s="318">
        <f>BI65</f>
        <v>0</v>
      </c>
      <c r="BJ340" s="318">
        <f>BJ65</f>
        <v>0</v>
      </c>
      <c r="BK340" s="318">
        <f>BK65</f>
        <v>0</v>
      </c>
      <c r="BL340" s="318">
        <f>BL65</f>
        <v>0</v>
      </c>
      <c r="BM340" s="318">
        <f>BM65</f>
        <v>0</v>
      </c>
      <c r="BN340" s="318">
        <f>BN65</f>
        <v>0</v>
      </c>
      <c r="BO340" s="318">
        <f>BO65</f>
        <v>0</v>
      </c>
      <c r="BP340" s="318">
        <f>BP65</f>
        <v>0</v>
      </c>
      <c r="BQ340" s="318">
        <f>BQ65</f>
        <v>0</v>
      </c>
      <c r="BR340" s="318">
        <f>BR65</f>
        <v>0</v>
      </c>
      <c r="BS340" s="318">
        <f>BS65</f>
        <v>0</v>
      </c>
      <c r="BT340" s="318">
        <f>BT65</f>
        <v>0</v>
      </c>
      <c r="BU340" s="318">
        <f>BU65</f>
        <v>0</v>
      </c>
      <c r="BV340" s="318">
        <f>BV65</f>
        <v>0</v>
      </c>
      <c r="BW340" s="318">
        <f>BW65</f>
        <v>0</v>
      </c>
      <c r="BX340" s="318">
        <f>BX65</f>
        <v>0</v>
      </c>
      <c r="BY340" s="318">
        <f>BY65</f>
        <v>0</v>
      </c>
      <c r="BZ340" s="318">
        <f>BZ65</f>
        <v>0</v>
      </c>
      <c r="CA340" s="318">
        <f>CA65</f>
        <v>0</v>
      </c>
      <c r="CB340" s="318">
        <f>CB65</f>
        <v>0</v>
      </c>
      <c r="CC340" s="318">
        <f>CC65</f>
        <v>0</v>
      </c>
      <c r="CD340" s="318">
        <f>CD65</f>
        <v>0</v>
      </c>
      <c r="CE340" s="318">
        <f>CE65</f>
        <v>0</v>
      </c>
      <c r="CF340" s="318">
        <f>CF65</f>
        <v>0</v>
      </c>
      <c r="CG340" s="318">
        <f>CG65</f>
        <v>0</v>
      </c>
      <c r="CH340" s="318">
        <f>CH65</f>
        <v>0</v>
      </c>
      <c r="CI340" s="318">
        <f>CI65</f>
        <v>0</v>
      </c>
      <c r="CJ340" s="318">
        <f>CJ65</f>
        <v>0</v>
      </c>
      <c r="CK340" s="318">
        <f>CK65</f>
        <v>0</v>
      </c>
      <c r="CL340" s="318">
        <f>CL65</f>
        <v>0</v>
      </c>
      <c r="CM340" s="318">
        <f>CM65</f>
        <v>0</v>
      </c>
      <c r="CN340" s="318">
        <f>CN65</f>
        <v>0</v>
      </c>
      <c r="CO340" s="318">
        <f>CO65</f>
        <v>0</v>
      </c>
      <c r="CP340" s="318">
        <f>CP65</f>
        <v>0</v>
      </c>
      <c r="CQ340" s="318">
        <f>CQ65</f>
        <v>0</v>
      </c>
      <c r="CR340" s="318">
        <f>CR65</f>
        <v>0</v>
      </c>
      <c r="CS340" s="318">
        <f>CS65</f>
        <v>0</v>
      </c>
      <c r="CT340" s="318">
        <f>CT65</f>
        <v>0</v>
      </c>
      <c r="CU340" s="318">
        <f>CU65</f>
        <v>0</v>
      </c>
      <c r="CV340" s="318">
        <f>CV65</f>
        <v>0</v>
      </c>
      <c r="CW340" s="318">
        <f>CW65</f>
        <v>0</v>
      </c>
      <c r="CX340" s="318">
        <f>CX65</f>
        <v>0</v>
      </c>
      <c r="CY340" s="318">
        <f>CY65</f>
        <v>0</v>
      </c>
    </row>
    <row r="341" ht="12.75" customFormat="1" customHeight="1" s="333">
      <c r="A341" s="334" t="n"/>
      <c r="B341" s="334" t="n"/>
      <c r="C341" s="333" t="inlineStr">
        <is>
          <t>ETR</t>
        </is>
      </c>
      <c r="D341" s="344">
        <f>D124</f>
        <v>0.0980392156862745</v>
      </c>
      <c r="E341" s="344">
        <f>E124</f>
        <v>0.442396313364055</v>
      </c>
      <c r="F341" s="344">
        <f>F124</f>
        <v>0.410788381742739</v>
      </c>
      <c r="G341" s="344">
        <f>G124</f>
        <v>0.415929203539823</v>
      </c>
      <c r="H341" s="344">
        <f>H124</f>
        <v>0.525319977740679</v>
      </c>
      <c r="I341" s="345">
        <f>I124</f>
        <v>0.316881258941345</v>
      </c>
      <c r="J341" s="345">
        <f>J124</f>
        <v>0.312759336099585</v>
      </c>
      <c r="K341" s="345">
        <f>K124</f>
        <v>0.266101694915254</v>
      </c>
      <c r="L341" s="345">
        <f>L124</f>
        <v>0.316776482513938</v>
      </c>
      <c r="M341" s="345">
        <f>M124</f>
        <v>0.300169734952344</v>
      </c>
      <c r="N341" s="345">
        <f>N124</f>
        <v>0.30372281607077</v>
      </c>
      <c r="O341" s="345">
        <f>O124</f>
        <v>0.357098186366479</v>
      </c>
      <c r="P341" s="345">
        <f>P124</f>
        <v>0.363321799307959</v>
      </c>
      <c r="Q341" s="345">
        <f>Q124</f>
        <v>0.362630208333333</v>
      </c>
      <c r="R341" s="345">
        <f>R124</f>
        <v>0.337602382725242</v>
      </c>
      <c r="S341" s="345">
        <f>S124</f>
        <v>0.32444733420026</v>
      </c>
      <c r="T341" s="345">
        <f>T124</f>
        <v>0.425078864353312</v>
      </c>
      <c r="U341" s="345">
        <f>U124</f>
        <v>0.345108695652174</v>
      </c>
      <c r="V341" s="345">
        <f>V124</f>
        <v>0.418981481481481</v>
      </c>
      <c r="W341" s="345">
        <f>W124</f>
        <v>0.377955377955378</v>
      </c>
      <c r="X341" s="345">
        <f>X124</f>
        <v>0.305854241338112</v>
      </c>
      <c r="Y341" s="345">
        <f>Y124</f>
        <v>0.371428571428571</v>
      </c>
      <c r="Z341" s="345">
        <f>Z124</f>
        <v>0.375445746306673</v>
      </c>
      <c r="AA341" s="345">
        <f>AA124</f>
        <v>0.419354838709677</v>
      </c>
      <c r="AB341" s="345">
        <f>AB124</f>
        <v>0.365281598378457</v>
      </c>
      <c r="AC341" s="345">
        <f>AC124</f>
        <v>0.387296669248645</v>
      </c>
      <c r="AD341" s="345">
        <f>AD124</f>
        <v>0.355499790882476</v>
      </c>
      <c r="AE341" s="345">
        <f>AE124</f>
        <v>0.347713097713098</v>
      </c>
      <c r="AF341" s="345">
        <f>AF124</f>
        <v>0.263707571801567</v>
      </c>
      <c r="AG341" s="345">
        <f>AG124</f>
        <v>0.348556183301946</v>
      </c>
      <c r="AH341" s="345">
        <f>AH124</f>
        <v>0.321042281219272</v>
      </c>
      <c r="AI341" s="345">
        <f>AI124</f>
        <v>0.281865284974093</v>
      </c>
      <c r="AJ341" s="345">
        <f>AJ124</f>
        <v>0</v>
      </c>
      <c r="AK341" s="345">
        <f>AK124</f>
        <v>0</v>
      </c>
      <c r="AL341" s="345">
        <f>AL124</f>
        <v>0.315997888067582</v>
      </c>
      <c r="AM341" s="345">
        <f>AM124</f>
        <v>0</v>
      </c>
      <c r="AN341" s="345">
        <f>AN124</f>
        <v>0</v>
      </c>
      <c r="AO341" s="345">
        <f>AO124</f>
        <v>0</v>
      </c>
      <c r="AP341" s="345">
        <f>AP124</f>
        <v>0</v>
      </c>
      <c r="AQ341" s="345">
        <f>AQ124</f>
        <v>0</v>
      </c>
      <c r="AR341" s="345">
        <f>AR124</f>
        <v>0</v>
      </c>
      <c r="AS341" s="345">
        <f>AS124</f>
        <v>0</v>
      </c>
      <c r="AT341" s="345">
        <f>AT124</f>
        <v>0</v>
      </c>
      <c r="AU341" s="345">
        <f>AU124</f>
        <v>0</v>
      </c>
      <c r="AV341" s="345">
        <f>AV124</f>
        <v>0</v>
      </c>
      <c r="AW341" s="345">
        <f>AW124</f>
        <v>0</v>
      </c>
      <c r="AX341" s="345">
        <f>AX124</f>
        <v>0</v>
      </c>
      <c r="AY341" s="345">
        <f>AY124</f>
        <v>0</v>
      </c>
      <c r="AZ341" s="345">
        <f>AZ124</f>
        <v>0</v>
      </c>
      <c r="BA341" s="345">
        <f>BA124</f>
        <v>0</v>
      </c>
      <c r="BB341" s="345">
        <f>BB124</f>
        <v>0</v>
      </c>
      <c r="BC341" s="345">
        <f>BC124</f>
        <v>0</v>
      </c>
      <c r="BD341" s="345">
        <f>BD124</f>
        <v>0</v>
      </c>
      <c r="BE341" s="345">
        <f>BE124</f>
        <v>0</v>
      </c>
      <c r="BF341" s="345">
        <f>BF124</f>
        <v>0</v>
      </c>
      <c r="BG341" s="345">
        <f>BG124</f>
        <v>0</v>
      </c>
      <c r="BH341" s="345">
        <f>BH124</f>
        <v>0</v>
      </c>
      <c r="BI341" s="345">
        <f>BI124</f>
        <v>0</v>
      </c>
      <c r="BJ341" s="345">
        <f>BJ124</f>
        <v>0</v>
      </c>
      <c r="BK341" s="345">
        <f>BK124</f>
        <v>0</v>
      </c>
      <c r="BL341" s="345">
        <f>BL124</f>
        <v>0</v>
      </c>
      <c r="BM341" s="345">
        <f>BM124</f>
        <v>0</v>
      </c>
      <c r="BN341" s="345">
        <f>BN124</f>
        <v>0</v>
      </c>
      <c r="BO341" s="345">
        <f>BO124</f>
        <v>0</v>
      </c>
      <c r="BP341" s="345">
        <f>BP124</f>
        <v>0</v>
      </c>
      <c r="BQ341" s="345">
        <f>BQ124</f>
        <v>0</v>
      </c>
      <c r="BR341" s="345">
        <f>BR124</f>
        <v>0</v>
      </c>
      <c r="BS341" s="345">
        <f>BS124</f>
        <v>0</v>
      </c>
      <c r="BT341" s="345">
        <f>BT124</f>
        <v>0</v>
      </c>
      <c r="BU341" s="345">
        <f>BU124</f>
        <v>0</v>
      </c>
      <c r="BV341" s="345">
        <f>BV124</f>
        <v>0</v>
      </c>
      <c r="BW341" s="345">
        <f>BW124</f>
        <v>0</v>
      </c>
      <c r="BX341" s="345">
        <f>BX124</f>
        <v>0</v>
      </c>
      <c r="BY341" s="345">
        <f>BY124</f>
        <v>0</v>
      </c>
      <c r="BZ341" s="345">
        <f>BZ124</f>
        <v>0</v>
      </c>
      <c r="CA341" s="345">
        <f>CA124</f>
        <v>0</v>
      </c>
      <c r="CB341" s="345">
        <f>CB124</f>
        <v>0</v>
      </c>
      <c r="CC341" s="345">
        <f>CC124</f>
        <v>0</v>
      </c>
      <c r="CD341" s="345">
        <f>CD124</f>
        <v>0</v>
      </c>
      <c r="CE341" s="345">
        <f>CE124</f>
        <v>0</v>
      </c>
      <c r="CF341" s="345">
        <f>CF124</f>
        <v>0</v>
      </c>
      <c r="CG341" s="345">
        <f>CG124</f>
        <v>0</v>
      </c>
      <c r="CH341" s="345">
        <f>CH124</f>
        <v>0</v>
      </c>
      <c r="CI341" s="345">
        <f>CI124</f>
        <v>0</v>
      </c>
      <c r="CJ341" s="345">
        <f>CJ124</f>
        <v>0</v>
      </c>
      <c r="CK341" s="345">
        <f>CK124</f>
        <v>0</v>
      </c>
      <c r="CL341" s="345">
        <f>CL124</f>
        <v>0</v>
      </c>
      <c r="CM341" s="345">
        <f>CM124</f>
        <v>0</v>
      </c>
      <c r="CN341" s="345">
        <f>CN124</f>
        <v>0</v>
      </c>
      <c r="CO341" s="345">
        <f>CO124</f>
        <v>0</v>
      </c>
      <c r="CP341" s="345">
        <f>CP124</f>
        <v>0</v>
      </c>
      <c r="CQ341" s="345">
        <f>CQ124</f>
        <v>0</v>
      </c>
      <c r="CR341" s="345">
        <f>CR124</f>
        <v>0</v>
      </c>
      <c r="CS341" s="345">
        <f>CS124</f>
        <v>0</v>
      </c>
      <c r="CT341" s="345">
        <f>CT124</f>
        <v>0</v>
      </c>
      <c r="CU341" s="345">
        <f>CU124</f>
        <v>0</v>
      </c>
      <c r="CV341" s="345">
        <f>CV124</f>
        <v>0</v>
      </c>
      <c r="CW341" s="345">
        <f>CW124</f>
        <v>0</v>
      </c>
      <c r="CX341" s="345">
        <f>CX124</f>
        <v>0</v>
      </c>
      <c r="CY341" s="345">
        <f>CY124</f>
        <v>0</v>
      </c>
    </row>
    <row r="342" ht="12.75" customFormat="1" customHeight="1" s="333">
      <c r="A342" s="334" t="n"/>
      <c r="B342" s="334" t="n"/>
      <c r="C342" s="333" t="inlineStr">
        <is>
          <t>INVESTED CAPITAL</t>
        </is>
      </c>
      <c r="D342" s="343">
        <f>D345-D346+D347</f>
        <v>29522</v>
      </c>
      <c r="E342" s="343">
        <f>E345-E346+E347</f>
        <v>29784</v>
      </c>
      <c r="F342" s="343">
        <f>F345-F346+F347</f>
        <v>29514</v>
      </c>
      <c r="G342" s="343">
        <f>G345-G346+G347</f>
        <v>25227</v>
      </c>
      <c r="H342" s="343">
        <f>H345-H346+H347</f>
        <v>25227</v>
      </c>
      <c r="I342" s="318">
        <f>I345-I346+I347</f>
        <v>29248</v>
      </c>
      <c r="J342" s="318">
        <f>J345-J346+J347</f>
        <v>28803</v>
      </c>
      <c r="K342" s="318">
        <f>K345-K346+K347</f>
        <v>29024</v>
      </c>
      <c r="L342" s="318">
        <f>L345-L346+L347</f>
        <v>20321</v>
      </c>
      <c r="M342" s="318">
        <f>M345-M346+M347</f>
        <v>20321</v>
      </c>
      <c r="N342" s="318">
        <f>N345-N346+N347</f>
        <v>29607</v>
      </c>
      <c r="O342" s="318">
        <f>O345-O346+O347</f>
        <v>29944</v>
      </c>
      <c r="P342" s="318">
        <f>P345-P346+P347</f>
        <v>30609</v>
      </c>
      <c r="Q342" s="318">
        <f>Q345-Q346+Q347</f>
        <v>23224</v>
      </c>
      <c r="R342" s="318">
        <f>R345-R346+R347</f>
        <v>23224</v>
      </c>
      <c r="S342" s="318">
        <f>S345-S346+S347</f>
        <v>32736</v>
      </c>
      <c r="T342" s="318">
        <f>T345-T346+T347</f>
        <v>33182</v>
      </c>
      <c r="U342" s="318">
        <f>U345-U346+U347</f>
        <v>34736</v>
      </c>
      <c r="V342" s="318">
        <f>V345-V346+V347</f>
        <v>30364</v>
      </c>
      <c r="W342" s="318">
        <f>W345-W346+W347</f>
        <v>30364</v>
      </c>
      <c r="X342" s="318">
        <f>X345-X346+X347</f>
        <v>36822</v>
      </c>
      <c r="Y342" s="318">
        <f>Y345-Y346+Y347</f>
        <v>37330</v>
      </c>
      <c r="Z342" s="318">
        <f>Z345-Z346+Z347</f>
        <v>38037</v>
      </c>
      <c r="AA342" s="318">
        <f>AA345-AA346+AA347</f>
        <v>33268</v>
      </c>
      <c r="AB342" s="318">
        <f>AB345-AB346+AB347</f>
        <v>33268</v>
      </c>
      <c r="AC342" s="318">
        <f>AC345-AC346+AC347</f>
        <v>38635</v>
      </c>
      <c r="AD342" s="318">
        <f>AD345-AD346+AD347</f>
        <v>39167</v>
      </c>
      <c r="AE342" s="318">
        <f>AE345-AE346+AE347</f>
        <v>39736</v>
      </c>
      <c r="AF342" s="318">
        <f>AF345-AF346+AF347</f>
        <v>37780</v>
      </c>
      <c r="AG342" s="318">
        <f>AG345-AG346+AG347</f>
        <v>37780</v>
      </c>
      <c r="AH342" s="318">
        <f>AH345-AH346+AH347</f>
        <v>42816</v>
      </c>
      <c r="AI342" s="318">
        <f>AI345-AI346+AI347</f>
        <v>43159</v>
      </c>
      <c r="AJ342" s="318">
        <f>AJ345-AJ346+AJ347</f>
        <v>47534</v>
      </c>
      <c r="AK342" s="318">
        <f>AK345-AK346+AK347</f>
        <v>47534</v>
      </c>
      <c r="AL342" s="318">
        <f>AL345-AL346+AL347</f>
        <v>47534</v>
      </c>
      <c r="AM342" s="318" t="e">
        <f>AM345-AM346+AM347</f>
        <v>#DIV/0!</v>
      </c>
      <c r="AN342" s="318">
        <f>AN345-AN346+AN347</f>
        <v>47534</v>
      </c>
      <c r="AO342" s="318" t="e">
        <f>AO345-AO346+AO347</f>
        <v>#DIV/0!</v>
      </c>
      <c r="AP342" s="318" t="e">
        <f>AP345-AP346+AP347</f>
        <v>#DIV/0!</v>
      </c>
      <c r="AQ342" s="318" t="e">
        <f>AQ345-AQ346+AQ347</f>
        <v>#DIV/0!</v>
      </c>
      <c r="AR342" s="318" t="e">
        <f>AR345-AR346+AR347</f>
        <v>#DIV/0!</v>
      </c>
      <c r="AS342" s="318" t="e">
        <f>AS345-AS346+AS347</f>
        <v>#DIV/0!</v>
      </c>
      <c r="AT342" s="318" t="e">
        <f>AT345-AT346+AT347</f>
        <v>#DIV/0!</v>
      </c>
      <c r="AU342" s="318" t="e">
        <f>AU345-AU346+AU347</f>
        <v>#DIV/0!</v>
      </c>
      <c r="AV342" s="318" t="e">
        <f>AV345-AV346+AV347</f>
        <v>#DIV/0!</v>
      </c>
      <c r="AW342" s="318" t="e">
        <f>AW345-AW346+AW347</f>
        <v>#DIV/0!</v>
      </c>
      <c r="AX342" s="318" t="e">
        <f>AX345-AX346+AX347</f>
        <v>#DIV/0!</v>
      </c>
      <c r="AY342" s="318" t="e">
        <f>AY345-AY346+AY347</f>
        <v>#DIV/0!</v>
      </c>
      <c r="AZ342" s="318" t="e">
        <f>AZ345-AZ346+AZ347</f>
        <v>#DIV/0!</v>
      </c>
      <c r="BA342" s="318" t="e">
        <f>BA345-BA346+BA347</f>
        <v>#DIV/0!</v>
      </c>
      <c r="BB342" s="318" t="e">
        <f>BB345-BB346+BB347</f>
        <v>#DIV/0!</v>
      </c>
      <c r="BC342" s="318" t="e">
        <f>BC345-BC346+BC347</f>
        <v>#DIV/0!</v>
      </c>
      <c r="BD342" s="318" t="e">
        <f>BD345-BD346+BD347</f>
        <v>#DIV/0!</v>
      </c>
      <c r="BE342" s="318" t="e">
        <f>BE345-BE346+BE347</f>
        <v>#DIV/0!</v>
      </c>
      <c r="BF342" s="318" t="e">
        <f>BF345-BF346+BF347</f>
        <v>#DIV/0!</v>
      </c>
      <c r="BG342" s="318" t="e">
        <f>BG345-BG346+BG347</f>
        <v>#DIV/0!</v>
      </c>
      <c r="BH342" s="318" t="e">
        <f>BH345-BH346+BH347</f>
        <v>#DIV/0!</v>
      </c>
      <c r="BI342" s="318" t="e">
        <f>BI345-BI346+BI347</f>
        <v>#DIV/0!</v>
      </c>
      <c r="BJ342" s="318" t="e">
        <f>BJ345-BJ346+BJ347</f>
        <v>#DIV/0!</v>
      </c>
      <c r="BK342" s="318" t="e">
        <f>BK345-BK346+BK347</f>
        <v>#DIV/0!</v>
      </c>
      <c r="BL342" s="318" t="e">
        <f>BL345-BL346+BL347</f>
        <v>#DIV/0!</v>
      </c>
      <c r="BM342" s="318" t="e">
        <f>BM345-BM346+BM347</f>
        <v>#DIV/0!</v>
      </c>
      <c r="BN342" s="318" t="e">
        <f>BN345-BN346+BN347</f>
        <v>#DIV/0!</v>
      </c>
      <c r="BO342" s="318" t="e">
        <f>BO345-BO346+BO347</f>
        <v>#DIV/0!</v>
      </c>
      <c r="BP342" s="318" t="e">
        <f>BP345-BP346+BP347</f>
        <v>#DIV/0!</v>
      </c>
      <c r="BQ342" s="318" t="e">
        <f>BQ345-BQ346+BQ347</f>
        <v>#DIV/0!</v>
      </c>
      <c r="BR342" s="318" t="e">
        <f>BR345-BR346+BR347</f>
        <v>#DIV/0!</v>
      </c>
      <c r="BS342" s="318" t="e">
        <f>BS345-BS346+BS347</f>
        <v>#DIV/0!</v>
      </c>
      <c r="BT342" s="318" t="e">
        <f>BT345-BT346+BT347</f>
        <v>#DIV/0!</v>
      </c>
      <c r="BU342" s="318" t="e">
        <f>BU345-BU346+BU347</f>
        <v>#DIV/0!</v>
      </c>
      <c r="BV342" s="318" t="e">
        <f>BV345-BV346+BV347</f>
        <v>#DIV/0!</v>
      </c>
      <c r="BW342" s="318" t="e">
        <f>BW345-BW346+BW347</f>
        <v>#DIV/0!</v>
      </c>
      <c r="BX342" s="318" t="e">
        <f>BX345-BX346+BX347</f>
        <v>#DIV/0!</v>
      </c>
      <c r="BY342" s="318" t="e">
        <f>BY345-BY346+BY347</f>
        <v>#DIV/0!</v>
      </c>
      <c r="BZ342" s="318" t="e">
        <f>BZ345-BZ346+BZ347</f>
        <v>#DIV/0!</v>
      </c>
      <c r="CA342" s="318" t="e">
        <f>CA345-CA346+CA347</f>
        <v>#DIV/0!</v>
      </c>
      <c r="CB342" s="318" t="e">
        <f>CB345-CB346+CB347</f>
        <v>#DIV/0!</v>
      </c>
      <c r="CC342" s="318" t="e">
        <f>CC345-CC346+CC347</f>
        <v>#DIV/0!</v>
      </c>
      <c r="CD342" s="318" t="e">
        <f>CD345-CD346+CD347</f>
        <v>#DIV/0!</v>
      </c>
      <c r="CE342" s="318" t="e">
        <f>CE345-CE346+CE347</f>
        <v>#DIV/0!</v>
      </c>
      <c r="CF342" s="318" t="e">
        <f>CF345-CF346+CF347</f>
        <v>#DIV/0!</v>
      </c>
      <c r="CG342" s="318" t="e">
        <f>CG345-CG346+CG347</f>
        <v>#DIV/0!</v>
      </c>
      <c r="CH342" s="318" t="e">
        <f>CH345-CH346+CH347</f>
        <v>#DIV/0!</v>
      </c>
      <c r="CI342" s="318" t="e">
        <f>CI345-CI346+CI347</f>
        <v>#DIV/0!</v>
      </c>
      <c r="CJ342" s="318" t="e">
        <f>CJ345-CJ346+CJ347</f>
        <v>#DIV/0!</v>
      </c>
      <c r="CK342" s="318" t="e">
        <f>CK345-CK346+CK347</f>
        <v>#DIV/0!</v>
      </c>
      <c r="CL342" s="318" t="e">
        <f>CL345-CL346+CL347</f>
        <v>#DIV/0!</v>
      </c>
      <c r="CM342" s="318" t="e">
        <f>CM345-CM346+CM347</f>
        <v>#DIV/0!</v>
      </c>
      <c r="CN342" s="318" t="e">
        <f>CN345-CN346+CN347</f>
        <v>#DIV/0!</v>
      </c>
      <c r="CO342" s="318" t="e">
        <f>CO345-CO346+CO347</f>
        <v>#DIV/0!</v>
      </c>
      <c r="CP342" s="318" t="e">
        <f>CP345-CP346+CP347</f>
        <v>#DIV/0!</v>
      </c>
      <c r="CQ342" s="318" t="e">
        <f>CQ345-CQ346+CQ347</f>
        <v>#DIV/0!</v>
      </c>
      <c r="CR342" s="318" t="e">
        <f>CR345-CR346+CR347</f>
        <v>#DIV/0!</v>
      </c>
      <c r="CS342" s="318" t="e">
        <f>CS345-CS346+CS347</f>
        <v>#DIV/0!</v>
      </c>
      <c r="CT342" s="318" t="e">
        <f>CT345-CT346+CT347</f>
        <v>#DIV/0!</v>
      </c>
      <c r="CU342" s="318" t="e">
        <f>CU345-CU346+CU347</f>
        <v>#DIV/0!</v>
      </c>
      <c r="CV342" s="318" t="e">
        <f>CV345-CV346+CV347</f>
        <v>#DIV/0!</v>
      </c>
      <c r="CW342" s="318" t="e">
        <f>CW345-CW346+CW347</f>
        <v>#DIV/0!</v>
      </c>
      <c r="CX342" s="318" t="e">
        <f>CX345-CX346+CX347</f>
        <v>#DIV/0!</v>
      </c>
      <c r="CY342" s="318" t="e">
        <f>CY345-CY346+CY347</f>
        <v>#DIV/0!</v>
      </c>
    </row>
    <row r="343" ht="12.75" customFormat="1" customHeight="1" s="333">
      <c r="A343" s="334" t="n"/>
      <c r="B343" s="334" t="n"/>
      <c r="C343" s="333" t="inlineStr">
        <is>
          <t>INVESTED CAPITAL - EX GOODWILL</t>
        </is>
      </c>
      <c r="D343" s="346">
        <f>D342-D171</f>
        <v>29522</v>
      </c>
      <c r="E343" s="346">
        <f>E342-E171</f>
        <v>29784</v>
      </c>
      <c r="F343" s="346">
        <f>F342-F171</f>
        <v>29514</v>
      </c>
      <c r="G343" s="346">
        <f>G342-G171</f>
        <v>25227</v>
      </c>
      <c r="H343" s="346">
        <f>H342-H171</f>
        <v>25227</v>
      </c>
      <c r="I343" s="347">
        <f>I342-I171</f>
        <v>29248</v>
      </c>
      <c r="J343" s="347">
        <f>J342-J171</f>
        <v>28803</v>
      </c>
      <c r="K343" s="347">
        <f>K342-K171</f>
        <v>29024</v>
      </c>
      <c r="L343" s="347">
        <f>L342-L171</f>
        <v>20321</v>
      </c>
      <c r="M343" s="347">
        <f>M342-M171</f>
        <v>20321</v>
      </c>
      <c r="N343" s="347">
        <f>N342-N171</f>
        <v>29607</v>
      </c>
      <c r="O343" s="347">
        <f>O342-O171</f>
        <v>29944</v>
      </c>
      <c r="P343" s="347">
        <f>P342-P171</f>
        <v>30609</v>
      </c>
      <c r="Q343" s="347">
        <f>Q342-Q171</f>
        <v>23224</v>
      </c>
      <c r="R343" s="347">
        <f>R342-R171</f>
        <v>23224</v>
      </c>
      <c r="S343" s="347">
        <f>S342-S171</f>
        <v>32736</v>
      </c>
      <c r="T343" s="347">
        <f>T342-T171</f>
        <v>33182</v>
      </c>
      <c r="U343" s="347">
        <f>U342-U171</f>
        <v>34736</v>
      </c>
      <c r="V343" s="347">
        <f>V342-V171</f>
        <v>30364</v>
      </c>
      <c r="W343" s="347">
        <f>W342-W171</f>
        <v>30364</v>
      </c>
      <c r="X343" s="347">
        <f>X342-X171</f>
        <v>36822</v>
      </c>
      <c r="Y343" s="347">
        <f>Y342-Y171</f>
        <v>37330</v>
      </c>
      <c r="Z343" s="347">
        <f>Z342-Z171</f>
        <v>38037</v>
      </c>
      <c r="AA343" s="347">
        <f>AA342-AA171</f>
        <v>33268</v>
      </c>
      <c r="AB343" s="347">
        <f>AB342-AB171</f>
        <v>33268</v>
      </c>
      <c r="AC343" s="347">
        <f>AC342-AC171</f>
        <v>38635</v>
      </c>
      <c r="AD343" s="347">
        <f>AD342-AD171</f>
        <v>39167</v>
      </c>
      <c r="AE343" s="347">
        <f>AE342-AE171</f>
        <v>39736</v>
      </c>
      <c r="AF343" s="347">
        <f>AF342-AF171</f>
        <v>37780</v>
      </c>
      <c r="AG343" s="347">
        <f>AG342-AG171</f>
        <v>37780</v>
      </c>
      <c r="AH343" s="347">
        <f>AH342-AH171</f>
        <v>42816</v>
      </c>
      <c r="AI343" s="347">
        <f>AI342-AI171</f>
        <v>43159</v>
      </c>
      <c r="AJ343" s="347">
        <f>AJ342-AJ171</f>
        <v>47534</v>
      </c>
      <c r="AK343" s="347">
        <f>AK342-AK171</f>
        <v>47534</v>
      </c>
      <c r="AL343" s="347">
        <f>AL342-AL171</f>
        <v>47534</v>
      </c>
      <c r="AM343" s="347" t="e">
        <f>AM342-AM171</f>
        <v>#DIV/0!</v>
      </c>
      <c r="AN343" s="347">
        <f>AN342-AN171</f>
        <v>47534</v>
      </c>
      <c r="AO343" s="347" t="e">
        <f>AO342-AO171</f>
        <v>#DIV/0!</v>
      </c>
      <c r="AP343" s="347" t="e">
        <f>AP342-AP171</f>
        <v>#DIV/0!</v>
      </c>
      <c r="AQ343" s="347" t="e">
        <f>AQ342-AQ171</f>
        <v>#DIV/0!</v>
      </c>
      <c r="AR343" s="347" t="e">
        <f>AR342-AR171</f>
        <v>#DIV/0!</v>
      </c>
      <c r="AS343" s="347" t="e">
        <f>AS342-AS171</f>
        <v>#DIV/0!</v>
      </c>
      <c r="AT343" s="347" t="e">
        <f>AT342-AT171</f>
        <v>#DIV/0!</v>
      </c>
      <c r="AU343" s="347" t="e">
        <f>AU342-AU171</f>
        <v>#DIV/0!</v>
      </c>
      <c r="AV343" s="347" t="e">
        <f>AV342-AV171</f>
        <v>#DIV/0!</v>
      </c>
      <c r="AW343" s="347" t="e">
        <f>AW342-AW171</f>
        <v>#DIV/0!</v>
      </c>
      <c r="AX343" s="347" t="e">
        <f>AX342-AX171</f>
        <v>#DIV/0!</v>
      </c>
      <c r="AY343" s="347" t="e">
        <f>AY342-AY171</f>
        <v>#DIV/0!</v>
      </c>
      <c r="AZ343" s="347" t="e">
        <f>AZ342-AZ171</f>
        <v>#DIV/0!</v>
      </c>
      <c r="BA343" s="347" t="e">
        <f>BA342-BA171</f>
        <v>#DIV/0!</v>
      </c>
      <c r="BB343" s="347" t="e">
        <f>BB342-BB171</f>
        <v>#DIV/0!</v>
      </c>
      <c r="BC343" s="347" t="e">
        <f>BC342-BC171</f>
        <v>#DIV/0!</v>
      </c>
      <c r="BD343" s="347" t="e">
        <f>BD342-BD171</f>
        <v>#DIV/0!</v>
      </c>
      <c r="BE343" s="347" t="e">
        <f>BE342-BE171</f>
        <v>#DIV/0!</v>
      </c>
      <c r="BF343" s="347" t="e">
        <f>BF342-BF171</f>
        <v>#DIV/0!</v>
      </c>
      <c r="BG343" s="347" t="e">
        <f>BG342-BG171</f>
        <v>#DIV/0!</v>
      </c>
      <c r="BH343" s="347" t="e">
        <f>BH342-BH171</f>
        <v>#DIV/0!</v>
      </c>
      <c r="BI343" s="347" t="e">
        <f>BI342-BI171</f>
        <v>#DIV/0!</v>
      </c>
      <c r="BJ343" s="347" t="e">
        <f>BJ342-BJ171</f>
        <v>#DIV/0!</v>
      </c>
      <c r="BK343" s="347" t="e">
        <f>BK342-BK171</f>
        <v>#DIV/0!</v>
      </c>
      <c r="BL343" s="347" t="e">
        <f>BL342-BL171</f>
        <v>#DIV/0!</v>
      </c>
      <c r="BM343" s="347" t="e">
        <f>BM342-BM171</f>
        <v>#DIV/0!</v>
      </c>
      <c r="BN343" s="347" t="e">
        <f>BN342-BN171</f>
        <v>#DIV/0!</v>
      </c>
      <c r="BO343" s="347" t="e">
        <f>BO342-BO171</f>
        <v>#DIV/0!</v>
      </c>
      <c r="BP343" s="347" t="e">
        <f>BP342-BP171</f>
        <v>#DIV/0!</v>
      </c>
      <c r="BQ343" s="347" t="e">
        <f>BQ342-BQ171</f>
        <v>#DIV/0!</v>
      </c>
      <c r="BR343" s="347" t="e">
        <f>BR342-BR171</f>
        <v>#DIV/0!</v>
      </c>
      <c r="BS343" s="347" t="e">
        <f>BS342-BS171</f>
        <v>#DIV/0!</v>
      </c>
      <c r="BT343" s="347" t="e">
        <f>BT342-BT171</f>
        <v>#DIV/0!</v>
      </c>
      <c r="BU343" s="347" t="e">
        <f>BU342-BU171</f>
        <v>#DIV/0!</v>
      </c>
      <c r="BV343" s="347" t="e">
        <f>BV342-BV171</f>
        <v>#DIV/0!</v>
      </c>
      <c r="BW343" s="347" t="e">
        <f>BW342-BW171</f>
        <v>#DIV/0!</v>
      </c>
      <c r="BX343" s="347" t="e">
        <f>BX342-BX171</f>
        <v>#DIV/0!</v>
      </c>
      <c r="BY343" s="347" t="e">
        <f>BY342-BY171</f>
        <v>#DIV/0!</v>
      </c>
      <c r="BZ343" s="347" t="e">
        <f>BZ342-BZ171</f>
        <v>#DIV/0!</v>
      </c>
      <c r="CA343" s="347" t="e">
        <f>CA342-CA171</f>
        <v>#DIV/0!</v>
      </c>
      <c r="CB343" s="347" t="e">
        <f>CB342-CB171</f>
        <v>#DIV/0!</v>
      </c>
      <c r="CC343" s="347" t="e">
        <f>CC342-CC171</f>
        <v>#DIV/0!</v>
      </c>
      <c r="CD343" s="347" t="e">
        <f>CD342-CD171</f>
        <v>#DIV/0!</v>
      </c>
      <c r="CE343" s="347" t="e">
        <f>CE342-CE171</f>
        <v>#DIV/0!</v>
      </c>
      <c r="CF343" s="347" t="e">
        <f>CF342-CF171</f>
        <v>#DIV/0!</v>
      </c>
      <c r="CG343" s="347" t="e">
        <f>CG342-CG171</f>
        <v>#DIV/0!</v>
      </c>
      <c r="CH343" s="347" t="e">
        <f>CH342-CH171</f>
        <v>#DIV/0!</v>
      </c>
      <c r="CI343" s="347" t="e">
        <f>CI342-CI171</f>
        <v>#DIV/0!</v>
      </c>
      <c r="CJ343" s="347" t="e">
        <f>CJ342-CJ171</f>
        <v>#DIV/0!</v>
      </c>
      <c r="CK343" s="347" t="e">
        <f>CK342-CK171</f>
        <v>#DIV/0!</v>
      </c>
      <c r="CL343" s="347" t="e">
        <f>CL342-CL171</f>
        <v>#DIV/0!</v>
      </c>
      <c r="CM343" s="347" t="e">
        <f>CM342-CM171</f>
        <v>#DIV/0!</v>
      </c>
      <c r="CN343" s="347" t="e">
        <f>CN342-CN171</f>
        <v>#DIV/0!</v>
      </c>
      <c r="CO343" s="347" t="e">
        <f>CO342-CO171</f>
        <v>#DIV/0!</v>
      </c>
      <c r="CP343" s="347" t="e">
        <f>CP342-CP171</f>
        <v>#DIV/0!</v>
      </c>
      <c r="CQ343" s="347" t="e">
        <f>CQ342-CQ171</f>
        <v>#DIV/0!</v>
      </c>
      <c r="CR343" s="347" t="e">
        <f>CR342-CR171</f>
        <v>#DIV/0!</v>
      </c>
      <c r="CS343" s="347" t="e">
        <f>CS342-CS171</f>
        <v>#DIV/0!</v>
      </c>
      <c r="CT343" s="347" t="e">
        <f>CT342-CT171</f>
        <v>#DIV/0!</v>
      </c>
      <c r="CU343" s="347" t="e">
        <f>CU342-CU171</f>
        <v>#DIV/0!</v>
      </c>
      <c r="CV343" s="347" t="e">
        <f>CV342-CV171</f>
        <v>#DIV/0!</v>
      </c>
      <c r="CW343" s="347" t="e">
        <f>CW342-CW171</f>
        <v>#DIV/0!</v>
      </c>
      <c r="CX343" s="347" t="e">
        <f>CX342-CX171</f>
        <v>#DIV/0!</v>
      </c>
      <c r="CY343" s="347" t="e">
        <f>CY342-CY171</f>
        <v>#DIV/0!</v>
      </c>
    </row>
    <row r="344" ht="12.75" customFormat="1" customHeight="1" s="333">
      <c r="A344" s="334" t="n"/>
      <c r="B344" s="334" t="n"/>
      <c r="C344" s="333" t="inlineStr">
        <is>
          <t>OPERATING WORKING CAPITAL</t>
        </is>
      </c>
      <c r="D344" s="348">
        <f>D345-D346</f>
        <v>2857</v>
      </c>
      <c r="E344" s="348">
        <f>E345-E346</f>
        <v>2874</v>
      </c>
      <c r="F344" s="348">
        <f>F345-F346</f>
        <v>2619</v>
      </c>
      <c r="G344" s="348">
        <f>G345-G346</f>
        <v>-1640</v>
      </c>
      <c r="H344" s="348">
        <f>H345-H346</f>
        <v>-1640</v>
      </c>
      <c r="I344" s="318">
        <f>I345-I346</f>
        <v>2321</v>
      </c>
      <c r="J344" s="318">
        <f>J345-J346</f>
        <v>1816</v>
      </c>
      <c r="K344" s="318">
        <f>K345-K346</f>
        <v>1493</v>
      </c>
      <c r="L344" s="318">
        <f>L345-L346</f>
        <v>-7072</v>
      </c>
      <c r="M344" s="318">
        <f>M345-M346</f>
        <v>-7072</v>
      </c>
      <c r="N344" s="318">
        <f>N345-N346</f>
        <v>1875</v>
      </c>
      <c r="O344" s="318">
        <f>O345-O346</f>
        <v>1796</v>
      </c>
      <c r="P344" s="318">
        <f>P345-P346</f>
        <v>1828</v>
      </c>
      <c r="Q344" s="318">
        <f>Q345-Q346</f>
        <v>-6231</v>
      </c>
      <c r="R344" s="318">
        <f>R345-R346</f>
        <v>-6231</v>
      </c>
      <c r="S344" s="318">
        <f>S345-S346</f>
        <v>2662</v>
      </c>
      <c r="T344" s="318">
        <f>T345-T346</f>
        <v>2623</v>
      </c>
      <c r="U344" s="318">
        <f>U345-U346</f>
        <v>3507</v>
      </c>
      <c r="V344" s="318">
        <f>V345-V346</f>
        <v>-1805</v>
      </c>
      <c r="W344" s="318">
        <f>W345-W346</f>
        <v>-1805</v>
      </c>
      <c r="X344" s="318">
        <f>X345-X346</f>
        <v>4098</v>
      </c>
      <c r="Y344" s="318">
        <f>Y345-Y346</f>
        <v>4081</v>
      </c>
      <c r="Z344" s="318">
        <f>Z345-Z346</f>
        <v>4067</v>
      </c>
      <c r="AA344" s="318">
        <f>AA345-AA346</f>
        <v>-993</v>
      </c>
      <c r="AB344" s="318">
        <f>AB345-AB346</f>
        <v>-993</v>
      </c>
      <c r="AC344" s="318">
        <f>AC345-AC346</f>
        <v>3969</v>
      </c>
      <c r="AD344" s="318">
        <f>AD345-AD346</f>
        <v>3953</v>
      </c>
      <c r="AE344" s="318">
        <f>AE345-AE346</f>
        <v>4103</v>
      </c>
      <c r="AF344" s="318">
        <f>AF345-AF346</f>
        <v>240</v>
      </c>
      <c r="AG344" s="318">
        <f>AG345-AG346</f>
        <v>240</v>
      </c>
      <c r="AH344" s="318">
        <f>AH345-AH346</f>
        <v>4948</v>
      </c>
      <c r="AI344" s="318">
        <f>AI345-AI346</f>
        <v>4449</v>
      </c>
      <c r="AJ344" s="318">
        <f>AJ345-AJ346</f>
        <v>8824</v>
      </c>
      <c r="AK344" s="318">
        <f>AK345-AK346</f>
        <v>8824</v>
      </c>
      <c r="AL344" s="318">
        <f>AL345-AL346</f>
        <v>8824</v>
      </c>
      <c r="AM344" s="318" t="e">
        <f>AM345-AM346</f>
        <v>#DIV/0!</v>
      </c>
      <c r="AN344" s="318">
        <f>AN345-AN346</f>
        <v>8824</v>
      </c>
      <c r="AO344" s="318" t="e">
        <f>AO345-AO346</f>
        <v>#DIV/0!</v>
      </c>
      <c r="AP344" s="318" t="e">
        <f>AP345-AP346</f>
        <v>#DIV/0!</v>
      </c>
      <c r="AQ344" s="318" t="e">
        <f>AQ345-AQ346</f>
        <v>#DIV/0!</v>
      </c>
      <c r="AR344" s="318" t="e">
        <f>AR345-AR346</f>
        <v>#DIV/0!</v>
      </c>
      <c r="AS344" s="318" t="e">
        <f>AS345-AS346</f>
        <v>#DIV/0!</v>
      </c>
      <c r="AT344" s="318" t="e">
        <f>AT345-AT346</f>
        <v>#DIV/0!</v>
      </c>
      <c r="AU344" s="318" t="e">
        <f>AU345-AU346</f>
        <v>#DIV/0!</v>
      </c>
      <c r="AV344" s="318" t="e">
        <f>AV345-AV346</f>
        <v>#DIV/0!</v>
      </c>
      <c r="AW344" s="318" t="e">
        <f>AW345-AW346</f>
        <v>#DIV/0!</v>
      </c>
      <c r="AX344" s="318" t="e">
        <f>AX345-AX346</f>
        <v>#DIV/0!</v>
      </c>
      <c r="AY344" s="318" t="e">
        <f>AY345-AY346</f>
        <v>#DIV/0!</v>
      </c>
      <c r="AZ344" s="318" t="e">
        <f>AZ345-AZ346</f>
        <v>#DIV/0!</v>
      </c>
      <c r="BA344" s="318" t="e">
        <f>BA345-BA346</f>
        <v>#DIV/0!</v>
      </c>
      <c r="BB344" s="318" t="e">
        <f>BB345-BB346</f>
        <v>#DIV/0!</v>
      </c>
      <c r="BC344" s="318" t="e">
        <f>BC345-BC346</f>
        <v>#DIV/0!</v>
      </c>
      <c r="BD344" s="318" t="e">
        <f>BD345-BD346</f>
        <v>#DIV/0!</v>
      </c>
      <c r="BE344" s="318" t="e">
        <f>BE345-BE346</f>
        <v>#DIV/0!</v>
      </c>
      <c r="BF344" s="318" t="e">
        <f>BF345-BF346</f>
        <v>#DIV/0!</v>
      </c>
      <c r="BG344" s="318" t="e">
        <f>BG345-BG346</f>
        <v>#DIV/0!</v>
      </c>
      <c r="BH344" s="318" t="e">
        <f>BH345-BH346</f>
        <v>#DIV/0!</v>
      </c>
      <c r="BI344" s="318" t="e">
        <f>BI345-BI346</f>
        <v>#DIV/0!</v>
      </c>
      <c r="BJ344" s="318" t="e">
        <f>BJ345-BJ346</f>
        <v>#DIV/0!</v>
      </c>
      <c r="BK344" s="318" t="e">
        <f>BK345-BK346</f>
        <v>#DIV/0!</v>
      </c>
      <c r="BL344" s="318" t="e">
        <f>BL345-BL346</f>
        <v>#DIV/0!</v>
      </c>
      <c r="BM344" s="318" t="e">
        <f>BM345-BM346</f>
        <v>#DIV/0!</v>
      </c>
      <c r="BN344" s="318" t="e">
        <f>BN345-BN346</f>
        <v>#DIV/0!</v>
      </c>
      <c r="BO344" s="318" t="e">
        <f>BO345-BO346</f>
        <v>#DIV/0!</v>
      </c>
      <c r="BP344" s="318" t="e">
        <f>BP345-BP346</f>
        <v>#DIV/0!</v>
      </c>
      <c r="BQ344" s="318" t="e">
        <f>BQ345-BQ346</f>
        <v>#DIV/0!</v>
      </c>
      <c r="BR344" s="318" t="e">
        <f>BR345-BR346</f>
        <v>#DIV/0!</v>
      </c>
      <c r="BS344" s="318" t="e">
        <f>BS345-BS346</f>
        <v>#DIV/0!</v>
      </c>
      <c r="BT344" s="318" t="e">
        <f>BT345-BT346</f>
        <v>#DIV/0!</v>
      </c>
      <c r="BU344" s="318" t="e">
        <f>BU345-BU346</f>
        <v>#DIV/0!</v>
      </c>
      <c r="BV344" s="318" t="e">
        <f>BV345-BV346</f>
        <v>#DIV/0!</v>
      </c>
      <c r="BW344" s="318" t="e">
        <f>BW345-BW346</f>
        <v>#DIV/0!</v>
      </c>
      <c r="BX344" s="318" t="e">
        <f>BX345-BX346</f>
        <v>#DIV/0!</v>
      </c>
      <c r="BY344" s="318" t="e">
        <f>BY345-BY346</f>
        <v>#DIV/0!</v>
      </c>
      <c r="BZ344" s="318" t="e">
        <f>BZ345-BZ346</f>
        <v>#DIV/0!</v>
      </c>
      <c r="CA344" s="318" t="e">
        <f>CA345-CA346</f>
        <v>#DIV/0!</v>
      </c>
      <c r="CB344" s="318" t="e">
        <f>CB345-CB346</f>
        <v>#DIV/0!</v>
      </c>
      <c r="CC344" s="318" t="e">
        <f>CC345-CC346</f>
        <v>#DIV/0!</v>
      </c>
      <c r="CD344" s="318" t="e">
        <f>CD345-CD346</f>
        <v>#DIV/0!</v>
      </c>
      <c r="CE344" s="318" t="e">
        <f>CE345-CE346</f>
        <v>#DIV/0!</v>
      </c>
      <c r="CF344" s="318" t="e">
        <f>CF345-CF346</f>
        <v>#DIV/0!</v>
      </c>
      <c r="CG344" s="318" t="e">
        <f>CG345-CG346</f>
        <v>#DIV/0!</v>
      </c>
      <c r="CH344" s="318" t="e">
        <f>CH345-CH346</f>
        <v>#DIV/0!</v>
      </c>
      <c r="CI344" s="318" t="e">
        <f>CI345-CI346</f>
        <v>#DIV/0!</v>
      </c>
      <c r="CJ344" s="318" t="e">
        <f>CJ345-CJ346</f>
        <v>#DIV/0!</v>
      </c>
      <c r="CK344" s="318" t="e">
        <f>CK345-CK346</f>
        <v>#DIV/0!</v>
      </c>
      <c r="CL344" s="318" t="e">
        <f>CL345-CL346</f>
        <v>#DIV/0!</v>
      </c>
      <c r="CM344" s="318" t="e">
        <f>CM345-CM346</f>
        <v>#DIV/0!</v>
      </c>
      <c r="CN344" s="318" t="e">
        <f>CN345-CN346</f>
        <v>#DIV/0!</v>
      </c>
      <c r="CO344" s="318" t="e">
        <f>CO345-CO346</f>
        <v>#DIV/0!</v>
      </c>
      <c r="CP344" s="318" t="e">
        <f>CP345-CP346</f>
        <v>#DIV/0!</v>
      </c>
      <c r="CQ344" s="318" t="e">
        <f>CQ345-CQ346</f>
        <v>#DIV/0!</v>
      </c>
      <c r="CR344" s="318" t="e">
        <f>CR345-CR346</f>
        <v>#DIV/0!</v>
      </c>
      <c r="CS344" s="318" t="e">
        <f>CS345-CS346</f>
        <v>#DIV/0!</v>
      </c>
      <c r="CT344" s="318" t="e">
        <f>CT345-CT346</f>
        <v>#DIV/0!</v>
      </c>
      <c r="CU344" s="318" t="e">
        <f>CU345-CU346</f>
        <v>#DIV/0!</v>
      </c>
      <c r="CV344" s="318" t="e">
        <f>CV345-CV346</f>
        <v>#DIV/0!</v>
      </c>
      <c r="CW344" s="318" t="e">
        <f>CW345-CW346</f>
        <v>#DIV/0!</v>
      </c>
      <c r="CX344" s="318" t="e">
        <f>CX345-CX346</f>
        <v>#DIV/0!</v>
      </c>
      <c r="CY344" s="318" t="e">
        <f>CY345-CY346</f>
        <v>#DIV/0!</v>
      </c>
    </row>
    <row r="345" ht="12.75" customFormat="1" customHeight="1" s="333">
      <c r="A345" s="334" t="n"/>
      <c r="B345" s="334" t="n"/>
      <c r="C345" s="333" t="inlineStr">
        <is>
          <t>CURRENT ASSETS</t>
        </is>
      </c>
      <c r="D345" s="346">
        <f>D137+D141+D145+D146+D147</f>
        <v>5755</v>
      </c>
      <c r="E345" s="346">
        <f>E137+E141+E145+E146+E147</f>
        <v>5690</v>
      </c>
      <c r="F345" s="346">
        <f>F137+F141+F145+F146+F147</f>
        <v>5668</v>
      </c>
      <c r="G345" s="346">
        <f>G137+G141+G145+G146+G147</f>
        <v>1743</v>
      </c>
      <c r="H345" s="346">
        <f>H137+H141+H145+H146+H147</f>
        <v>1743</v>
      </c>
      <c r="I345" s="347">
        <f>I137+I141+I145+I146+I147</f>
        <v>6276</v>
      </c>
      <c r="J345" s="347">
        <f>J137+J141+J145+J146+J147</f>
        <v>6286</v>
      </c>
      <c r="K345" s="347">
        <f>K137+K141+K145+K146+K147</f>
        <v>6119</v>
      </c>
      <c r="L345" s="347">
        <f>L137+L141+L145+L146+L147</f>
        <v>-1552</v>
      </c>
      <c r="M345" s="347">
        <f>M137+M141+M145+M146+M147</f>
        <v>-1552</v>
      </c>
      <c r="N345" s="347">
        <f>N137+N141+N145+N146+N147</f>
        <v>6964</v>
      </c>
      <c r="O345" s="347">
        <f>O137+O141+O145+O146+O147</f>
        <v>6690</v>
      </c>
      <c r="P345" s="347">
        <f>P137+P141+P145+P146+P147</f>
        <v>6795</v>
      </c>
      <c r="Q345" s="347">
        <f>Q137+Q141+Q145+Q146+Q147</f>
        <v>-923</v>
      </c>
      <c r="R345" s="347">
        <f>R137+R141+R145+R146+R147</f>
        <v>-923</v>
      </c>
      <c r="S345" s="347">
        <f>S137+S141+S145+S146+S147</f>
        <v>7894</v>
      </c>
      <c r="T345" s="347">
        <f>T137+T141+T145+T146+T147</f>
        <v>7374</v>
      </c>
      <c r="U345" s="347">
        <f>U137+U141+U145+U146+U147</f>
        <v>8332</v>
      </c>
      <c r="V345" s="347">
        <f>V137+V141+V145+V146+V147</f>
        <v>3244</v>
      </c>
      <c r="W345" s="347">
        <f>W137+W141+W145+W146+W147</f>
        <v>3244</v>
      </c>
      <c r="X345" s="347">
        <f>X137+X141+X145+X146+X147</f>
        <v>9634</v>
      </c>
      <c r="Y345" s="347">
        <f>Y137+Y141+Y145+Y146+Y147</f>
        <v>9449</v>
      </c>
      <c r="Z345" s="347">
        <f>Z137+Z141+Z145+Z146+Z147</f>
        <v>9545</v>
      </c>
      <c r="AA345" s="347">
        <f>AA137+AA141+AA145+AA146+AA147</f>
        <v>4462</v>
      </c>
      <c r="AB345" s="347">
        <f>AB137+AB141+AB145+AB146+AB147</f>
        <v>4462</v>
      </c>
      <c r="AC345" s="347">
        <f>AC137+AC141+AC145+AC146+AC147</f>
        <v>9417</v>
      </c>
      <c r="AD345" s="347">
        <f>AD137+AD141+AD145+AD146+AD147</f>
        <v>9146</v>
      </c>
      <c r="AE345" s="347">
        <f>AE137+AE141+AE145+AE146+AE147</f>
        <v>9246</v>
      </c>
      <c r="AF345" s="347">
        <f>AF137+AF141+AF145+AF146+AF147</f>
        <v>5793</v>
      </c>
      <c r="AG345" s="347">
        <f>AG137+AG141+AG145+AG146+AG147</f>
        <v>5793</v>
      </c>
      <c r="AH345" s="347">
        <f>AH137+AH141+AH145+AH146+AH147</f>
        <v>10355</v>
      </c>
      <c r="AI345" s="347">
        <f>AI137+AI141+AI145+AI146+AI147</f>
        <v>10085</v>
      </c>
      <c r="AJ345" s="347">
        <f>AJ137+AJ141+AJ145+AJ146+AJ147</f>
        <v>9369</v>
      </c>
      <c r="AK345" s="347">
        <f>AK137+AK141+AK145+AK146+AK147</f>
        <v>9369</v>
      </c>
      <c r="AL345" s="347">
        <f>AL137+AL141+AL145+AL146+AL147</f>
        <v>9369</v>
      </c>
      <c r="AM345" s="347">
        <f>AM137+AM141+AM145+AM146+AM147</f>
        <v>9369</v>
      </c>
      <c r="AN345" s="347">
        <f>AN137+AN141+AN145+AN146+AN147</f>
        <v>9369</v>
      </c>
      <c r="AO345" s="347">
        <f>AO137+AO141+AO145+AO146+AO147</f>
        <v>9369</v>
      </c>
      <c r="AP345" s="347">
        <f>AP137+AP141+AP145+AP146+AP147</f>
        <v>9369</v>
      </c>
      <c r="AQ345" s="347">
        <f>AQ137+AQ141+AQ145+AQ146+AQ147</f>
        <v>9369</v>
      </c>
      <c r="AR345" s="347">
        <f>AR137+AR141+AR145+AR146+AR147</f>
        <v>9369</v>
      </c>
      <c r="AS345" s="347">
        <f>AS137+AS141+AS145+AS146+AS147</f>
        <v>9369</v>
      </c>
      <c r="AT345" s="347">
        <f>AT137+AT141+AT145+AT146+AT147</f>
        <v>9369</v>
      </c>
      <c r="AU345" s="347">
        <f>AU137+AU141+AU145+AU146+AU147</f>
        <v>9369</v>
      </c>
      <c r="AV345" s="347">
        <f>AV137+AV141+AV145+AV146+AV147</f>
        <v>9369</v>
      </c>
      <c r="AW345" s="347">
        <f>AW137+AW141+AW145+AW146+AW147</f>
        <v>9369</v>
      </c>
      <c r="AX345" s="347">
        <f>AX137+AX141+AX145+AX146+AX147</f>
        <v>9369</v>
      </c>
      <c r="AY345" s="347">
        <f>AY137+AY141+AY145+AY146+AY147</f>
        <v>9369</v>
      </c>
      <c r="AZ345" s="347">
        <f>AZ137+AZ141+AZ145+AZ146+AZ147</f>
        <v>9369</v>
      </c>
      <c r="BA345" s="347">
        <f>BA137+BA141+BA145+BA146+BA147</f>
        <v>9369</v>
      </c>
      <c r="BB345" s="347">
        <f>BB137+BB141+BB145+BB146+BB147</f>
        <v>9369</v>
      </c>
      <c r="BC345" s="347">
        <f>BC137+BC141+BC145+BC146+BC147</f>
        <v>9369</v>
      </c>
      <c r="BD345" s="347">
        <f>BD137+BD141+BD145+BD146+BD147</f>
        <v>9369</v>
      </c>
      <c r="BE345" s="347">
        <f>BE137+BE141+BE145+BE146+BE147</f>
        <v>9369</v>
      </c>
      <c r="BF345" s="347">
        <f>BF137+BF141+BF145+BF146+BF147</f>
        <v>9369</v>
      </c>
      <c r="BG345" s="347">
        <f>BG137+BG141+BG145+BG146+BG147</f>
        <v>9369</v>
      </c>
      <c r="BH345" s="347">
        <f>BH137+BH141+BH145+BH146+BH147</f>
        <v>9369</v>
      </c>
      <c r="BI345" s="347">
        <f>BI137+BI141+BI145+BI146+BI147</f>
        <v>9369</v>
      </c>
      <c r="BJ345" s="347">
        <f>BJ137+BJ141+BJ145+BJ146+BJ147</f>
        <v>9369</v>
      </c>
      <c r="BK345" s="347">
        <f>BK137+BK141+BK145+BK146+BK147</f>
        <v>9369</v>
      </c>
      <c r="BL345" s="347">
        <f>BL137+BL141+BL145+BL146+BL147</f>
        <v>9369</v>
      </c>
      <c r="BM345" s="347">
        <f>BM137+BM141+BM145+BM146+BM147</f>
        <v>9369</v>
      </c>
      <c r="BN345" s="347">
        <f>BN137+BN141+BN145+BN146+BN147</f>
        <v>9369</v>
      </c>
      <c r="BO345" s="347">
        <f>BO137+BO141+BO145+BO146+BO147</f>
        <v>9369</v>
      </c>
      <c r="BP345" s="347">
        <f>BP137+BP141+BP145+BP146+BP147</f>
        <v>9369</v>
      </c>
      <c r="BQ345" s="347">
        <f>BQ137+BQ141+BQ145+BQ146+BQ147</f>
        <v>9369</v>
      </c>
      <c r="BR345" s="347">
        <f>BR137+BR141+BR145+BR146+BR147</f>
        <v>9369</v>
      </c>
      <c r="BS345" s="347">
        <f>BS137+BS141+BS145+BS146+BS147</f>
        <v>9369</v>
      </c>
      <c r="BT345" s="347">
        <f>BT137+BT141+BT145+BT146+BT147</f>
        <v>9369</v>
      </c>
      <c r="BU345" s="347">
        <f>BU137+BU141+BU145+BU146+BU147</f>
        <v>9369</v>
      </c>
      <c r="BV345" s="347">
        <f>BV137+BV141+BV145+BV146+BV147</f>
        <v>9369</v>
      </c>
      <c r="BW345" s="347">
        <f>BW137+BW141+BW145+BW146+BW147</f>
        <v>9369</v>
      </c>
      <c r="BX345" s="347">
        <f>BX137+BX141+BX145+BX146+BX147</f>
        <v>9369</v>
      </c>
      <c r="BY345" s="347">
        <f>BY137+BY141+BY145+BY146+BY147</f>
        <v>9369</v>
      </c>
      <c r="BZ345" s="347">
        <f>BZ137+BZ141+BZ145+BZ146+BZ147</f>
        <v>9369</v>
      </c>
      <c r="CA345" s="347">
        <f>CA137+CA141+CA145+CA146+CA147</f>
        <v>9369</v>
      </c>
      <c r="CB345" s="347">
        <f>CB137+CB141+CB145+CB146+CB147</f>
        <v>9369</v>
      </c>
      <c r="CC345" s="347">
        <f>CC137+CC141+CC145+CC146+CC147</f>
        <v>9369</v>
      </c>
      <c r="CD345" s="347">
        <f>CD137+CD141+CD145+CD146+CD147</f>
        <v>9369</v>
      </c>
      <c r="CE345" s="347">
        <f>CE137+CE141+CE145+CE146+CE147</f>
        <v>9369</v>
      </c>
      <c r="CF345" s="347">
        <f>CF137+CF141+CF145+CF146+CF147</f>
        <v>9369</v>
      </c>
      <c r="CG345" s="347">
        <f>CG137+CG141+CG145+CG146+CG147</f>
        <v>9369</v>
      </c>
      <c r="CH345" s="347">
        <f>CH137+CH141+CH145+CH146+CH147</f>
        <v>9369</v>
      </c>
      <c r="CI345" s="347">
        <f>CI137+CI141+CI145+CI146+CI147</f>
        <v>9369</v>
      </c>
      <c r="CJ345" s="347">
        <f>CJ137+CJ141+CJ145+CJ146+CJ147</f>
        <v>9369</v>
      </c>
      <c r="CK345" s="347">
        <f>CK137+CK141+CK145+CK146+CK147</f>
        <v>9369</v>
      </c>
      <c r="CL345" s="347">
        <f>CL137+CL141+CL145+CL146+CL147</f>
        <v>9369</v>
      </c>
      <c r="CM345" s="347">
        <f>CM137+CM141+CM145+CM146+CM147</f>
        <v>9369</v>
      </c>
      <c r="CN345" s="347">
        <f>CN137+CN141+CN145+CN146+CN147</f>
        <v>9369</v>
      </c>
      <c r="CO345" s="347">
        <f>CO137+CO141+CO145+CO146+CO147</f>
        <v>9369</v>
      </c>
      <c r="CP345" s="347">
        <f>CP137+CP141+CP145+CP146+CP147</f>
        <v>9369</v>
      </c>
      <c r="CQ345" s="347">
        <f>CQ137+CQ141+CQ145+CQ146+CQ147</f>
        <v>9369</v>
      </c>
      <c r="CR345" s="347">
        <f>CR137+CR141+CR145+CR146+CR147</f>
        <v>9369</v>
      </c>
      <c r="CS345" s="347">
        <f>CS137+CS141+CS145+CS146+CS147</f>
        <v>9369</v>
      </c>
      <c r="CT345" s="347">
        <f>CT137+CT141+CT145+CT146+CT147</f>
        <v>9369</v>
      </c>
      <c r="CU345" s="347">
        <f>CU137+CU141+CU145+CU146+CU147</f>
        <v>9369</v>
      </c>
      <c r="CV345" s="347">
        <f>CV137+CV141+CV145+CV146+CV147</f>
        <v>9369</v>
      </c>
      <c r="CW345" s="347">
        <f>CW137+CW141+CW145+CW146+CW147</f>
        <v>9369</v>
      </c>
      <c r="CX345" s="347">
        <f>CX137+CX141+CX145+CX146+CX147</f>
        <v>9369</v>
      </c>
      <c r="CY345" s="347">
        <f>CY137+CY141+CY145+CY146+CY147</f>
        <v>9369</v>
      </c>
    </row>
    <row r="346" ht="12.75" customFormat="1" customHeight="1" s="333">
      <c r="A346" s="334" t="n"/>
      <c r="B346" s="334" t="n"/>
      <c r="C346" s="333" t="inlineStr">
        <is>
          <t>CURRENT LIABILITIES</t>
        </is>
      </c>
      <c r="D346" s="346">
        <f>D190+D194+D196+D197</f>
        <v>2898</v>
      </c>
      <c r="E346" s="346">
        <f>E190+E194+E196+E197</f>
        <v>2816</v>
      </c>
      <c r="F346" s="346">
        <f>F190+F194+F196+F197</f>
        <v>3049</v>
      </c>
      <c r="G346" s="346">
        <f>G190+G194+G196+G197</f>
        <v>3383</v>
      </c>
      <c r="H346" s="346">
        <f>H190+H194+H196+H197</f>
        <v>3383</v>
      </c>
      <c r="I346" s="347">
        <f>I190+I194+I196+I197</f>
        <v>3955</v>
      </c>
      <c r="J346" s="347">
        <f>J190+J194+J196+J197</f>
        <v>4470</v>
      </c>
      <c r="K346" s="347">
        <f>K190+K194+K196+K197</f>
        <v>4626</v>
      </c>
      <c r="L346" s="347">
        <f>L190+L194+L196+L197</f>
        <v>5520</v>
      </c>
      <c r="M346" s="347">
        <f>M190+M194+M196+M197</f>
        <v>5520</v>
      </c>
      <c r="N346" s="347">
        <f>N190+N194+N196+N197</f>
        <v>5089</v>
      </c>
      <c r="O346" s="347">
        <f>O190+O194+O196+O197</f>
        <v>4894</v>
      </c>
      <c r="P346" s="347">
        <f>P190+P194+P196+P197</f>
        <v>4967</v>
      </c>
      <c r="Q346" s="347">
        <f>Q190+Q194+Q196+Q197</f>
        <v>5308</v>
      </c>
      <c r="R346" s="347">
        <f>R190+R194+R196+R197</f>
        <v>5308</v>
      </c>
      <c r="S346" s="347">
        <f>S190+S194+S196+S197</f>
        <v>5232</v>
      </c>
      <c r="T346" s="347">
        <f>T190+T194+T196+T197</f>
        <v>4751</v>
      </c>
      <c r="U346" s="347">
        <f>U190+U194+U196+U197</f>
        <v>4825</v>
      </c>
      <c r="V346" s="347">
        <f>V190+V194+V196+V197</f>
        <v>5049</v>
      </c>
      <c r="W346" s="347">
        <f>W190+W194+W196+W197</f>
        <v>5049</v>
      </c>
      <c r="X346" s="347">
        <f>X190+X194+X196+X197</f>
        <v>5536</v>
      </c>
      <c r="Y346" s="347">
        <f>Y190+Y194+Y196+Y197</f>
        <v>5368</v>
      </c>
      <c r="Z346" s="347">
        <f>Z190+Z194+Z196+Z197</f>
        <v>5478</v>
      </c>
      <c r="AA346" s="347">
        <f>AA190+AA194+AA196+AA197</f>
        <v>5455</v>
      </c>
      <c r="AB346" s="347">
        <f>AB190+AB194+AB196+AB197</f>
        <v>5455</v>
      </c>
      <c r="AC346" s="347">
        <f>AC190+AC194+AC196+AC197</f>
        <v>5448</v>
      </c>
      <c r="AD346" s="347">
        <f>AD190+AD194+AD196+AD197</f>
        <v>5193</v>
      </c>
      <c r="AE346" s="347">
        <f>AE190+AE194+AE196+AE197</f>
        <v>5143</v>
      </c>
      <c r="AF346" s="347">
        <f>AF190+AF194+AF196+AF197</f>
        <v>5553</v>
      </c>
      <c r="AG346" s="347">
        <f>AG190+AG194+AG196+AG197</f>
        <v>5553</v>
      </c>
      <c r="AH346" s="347">
        <f>AH190+AH194+AH196+AH197</f>
        <v>5407</v>
      </c>
      <c r="AI346" s="347">
        <f>AI190+AI194+AI196+AI197</f>
        <v>5636</v>
      </c>
      <c r="AJ346" s="347">
        <f>AJ190+AJ194+AJ196+AJ197</f>
        <v>545</v>
      </c>
      <c r="AK346" s="347">
        <f>AK190+AK194+AK196+AK197</f>
        <v>545</v>
      </c>
      <c r="AL346" s="347">
        <f>AL190+AL194+AL196+AL197</f>
        <v>545</v>
      </c>
      <c r="AM346" s="347" t="e">
        <f>AM190+AM194+AM196+AM197</f>
        <v>#DIV/0!</v>
      </c>
      <c r="AN346" s="347">
        <f>AN190+AN194+AN196+AN197</f>
        <v>545</v>
      </c>
      <c r="AO346" s="347" t="e">
        <f>AO190+AO194+AO196+AO197</f>
        <v>#DIV/0!</v>
      </c>
      <c r="AP346" s="347" t="e">
        <f>AP190+AP194+AP196+AP197</f>
        <v>#DIV/0!</v>
      </c>
      <c r="AQ346" s="347" t="e">
        <f>AQ190+AQ194+AQ196+AQ197</f>
        <v>#DIV/0!</v>
      </c>
      <c r="AR346" s="347" t="e">
        <f>AR190+AR194+AR196+AR197</f>
        <v>#DIV/0!</v>
      </c>
      <c r="AS346" s="347" t="e">
        <f>AS190+AS194+AS196+AS197</f>
        <v>#DIV/0!</v>
      </c>
      <c r="AT346" s="347" t="e">
        <f>AT190+AT194+AT196+AT197</f>
        <v>#DIV/0!</v>
      </c>
      <c r="AU346" s="347" t="e">
        <f>AU190+AU194+AU196+AU197</f>
        <v>#DIV/0!</v>
      </c>
      <c r="AV346" s="347" t="e">
        <f>AV190+AV194+AV196+AV197</f>
        <v>#DIV/0!</v>
      </c>
      <c r="AW346" s="347" t="e">
        <f>AW190+AW194+AW196+AW197</f>
        <v>#DIV/0!</v>
      </c>
      <c r="AX346" s="347" t="e">
        <f>AX190+AX194+AX196+AX197</f>
        <v>#DIV/0!</v>
      </c>
      <c r="AY346" s="347" t="e">
        <f>AY190+AY194+AY196+AY197</f>
        <v>#DIV/0!</v>
      </c>
      <c r="AZ346" s="347" t="e">
        <f>AZ190+AZ194+AZ196+AZ197</f>
        <v>#DIV/0!</v>
      </c>
      <c r="BA346" s="347" t="e">
        <f>BA190+BA194+BA196+BA197</f>
        <v>#DIV/0!</v>
      </c>
      <c r="BB346" s="347" t="e">
        <f>BB190+BB194+BB196+BB197</f>
        <v>#DIV/0!</v>
      </c>
      <c r="BC346" s="347" t="e">
        <f>BC190+BC194+BC196+BC197</f>
        <v>#DIV/0!</v>
      </c>
      <c r="BD346" s="347" t="e">
        <f>BD190+BD194+BD196+BD197</f>
        <v>#DIV/0!</v>
      </c>
      <c r="BE346" s="347" t="e">
        <f>BE190+BE194+BE196+BE197</f>
        <v>#DIV/0!</v>
      </c>
      <c r="BF346" s="347" t="e">
        <f>BF190+BF194+BF196+BF197</f>
        <v>#DIV/0!</v>
      </c>
      <c r="BG346" s="347" t="e">
        <f>BG190+BG194+BG196+BG197</f>
        <v>#DIV/0!</v>
      </c>
      <c r="BH346" s="347" t="e">
        <f>BH190+BH194+BH196+BH197</f>
        <v>#DIV/0!</v>
      </c>
      <c r="BI346" s="347" t="e">
        <f>BI190+BI194+BI196+BI197</f>
        <v>#DIV/0!</v>
      </c>
      <c r="BJ346" s="347" t="e">
        <f>BJ190+BJ194+BJ196+BJ197</f>
        <v>#DIV/0!</v>
      </c>
      <c r="BK346" s="347" t="e">
        <f>BK190+BK194+BK196+BK197</f>
        <v>#DIV/0!</v>
      </c>
      <c r="BL346" s="347" t="e">
        <f>BL190+BL194+BL196+BL197</f>
        <v>#DIV/0!</v>
      </c>
      <c r="BM346" s="347" t="e">
        <f>BM190+BM194+BM196+BM197</f>
        <v>#DIV/0!</v>
      </c>
      <c r="BN346" s="347" t="e">
        <f>BN190+BN194+BN196+BN197</f>
        <v>#DIV/0!</v>
      </c>
      <c r="BO346" s="347" t="e">
        <f>BO190+BO194+BO196+BO197</f>
        <v>#DIV/0!</v>
      </c>
      <c r="BP346" s="347" t="e">
        <f>BP190+BP194+BP196+BP197</f>
        <v>#DIV/0!</v>
      </c>
      <c r="BQ346" s="347" t="e">
        <f>BQ190+BQ194+BQ196+BQ197</f>
        <v>#DIV/0!</v>
      </c>
      <c r="BR346" s="347" t="e">
        <f>BR190+BR194+BR196+BR197</f>
        <v>#DIV/0!</v>
      </c>
      <c r="BS346" s="347" t="e">
        <f>BS190+BS194+BS196+BS197</f>
        <v>#DIV/0!</v>
      </c>
      <c r="BT346" s="347" t="e">
        <f>BT190+BT194+BT196+BT197</f>
        <v>#DIV/0!</v>
      </c>
      <c r="BU346" s="347" t="e">
        <f>BU190+BU194+BU196+BU197</f>
        <v>#DIV/0!</v>
      </c>
      <c r="BV346" s="347" t="e">
        <f>BV190+BV194+BV196+BV197</f>
        <v>#DIV/0!</v>
      </c>
      <c r="BW346" s="347" t="e">
        <f>BW190+BW194+BW196+BW197</f>
        <v>#DIV/0!</v>
      </c>
      <c r="BX346" s="347" t="e">
        <f>BX190+BX194+BX196+BX197</f>
        <v>#DIV/0!</v>
      </c>
      <c r="BY346" s="347" t="e">
        <f>BY190+BY194+BY196+BY197</f>
        <v>#DIV/0!</v>
      </c>
      <c r="BZ346" s="347" t="e">
        <f>BZ190+BZ194+BZ196+BZ197</f>
        <v>#DIV/0!</v>
      </c>
      <c r="CA346" s="347" t="e">
        <f>CA190+CA194+CA196+CA197</f>
        <v>#DIV/0!</v>
      </c>
      <c r="CB346" s="347" t="e">
        <f>CB190+CB194+CB196+CB197</f>
        <v>#DIV/0!</v>
      </c>
      <c r="CC346" s="347" t="e">
        <f>CC190+CC194+CC196+CC197</f>
        <v>#DIV/0!</v>
      </c>
      <c r="CD346" s="347" t="e">
        <f>CD190+CD194+CD196+CD197</f>
        <v>#DIV/0!</v>
      </c>
      <c r="CE346" s="347" t="e">
        <f>CE190+CE194+CE196+CE197</f>
        <v>#DIV/0!</v>
      </c>
      <c r="CF346" s="347" t="e">
        <f>CF190+CF194+CF196+CF197</f>
        <v>#DIV/0!</v>
      </c>
      <c r="CG346" s="347" t="e">
        <f>CG190+CG194+CG196+CG197</f>
        <v>#DIV/0!</v>
      </c>
      <c r="CH346" s="347" t="e">
        <f>CH190+CH194+CH196+CH197</f>
        <v>#DIV/0!</v>
      </c>
      <c r="CI346" s="347" t="e">
        <f>CI190+CI194+CI196+CI197</f>
        <v>#DIV/0!</v>
      </c>
      <c r="CJ346" s="347" t="e">
        <f>CJ190+CJ194+CJ196+CJ197</f>
        <v>#DIV/0!</v>
      </c>
      <c r="CK346" s="347" t="e">
        <f>CK190+CK194+CK196+CK197</f>
        <v>#DIV/0!</v>
      </c>
      <c r="CL346" s="347" t="e">
        <f>CL190+CL194+CL196+CL197</f>
        <v>#DIV/0!</v>
      </c>
      <c r="CM346" s="347" t="e">
        <f>CM190+CM194+CM196+CM197</f>
        <v>#DIV/0!</v>
      </c>
      <c r="CN346" s="347" t="e">
        <f>CN190+CN194+CN196+CN197</f>
        <v>#DIV/0!</v>
      </c>
      <c r="CO346" s="347" t="e">
        <f>CO190+CO194+CO196+CO197</f>
        <v>#DIV/0!</v>
      </c>
      <c r="CP346" s="347" t="e">
        <f>CP190+CP194+CP196+CP197</f>
        <v>#DIV/0!</v>
      </c>
      <c r="CQ346" s="347" t="e">
        <f>CQ190+CQ194+CQ196+CQ197</f>
        <v>#DIV/0!</v>
      </c>
      <c r="CR346" s="347" t="e">
        <f>CR190+CR194+CR196+CR197</f>
        <v>#DIV/0!</v>
      </c>
      <c r="CS346" s="347" t="e">
        <f>CS190+CS194+CS196+CS197</f>
        <v>#DIV/0!</v>
      </c>
      <c r="CT346" s="347" t="e">
        <f>CT190+CT194+CT196+CT197</f>
        <v>#DIV/0!</v>
      </c>
      <c r="CU346" s="347" t="e">
        <f>CU190+CU194+CU196+CU197</f>
        <v>#DIV/0!</v>
      </c>
      <c r="CV346" s="347" t="e">
        <f>CV190+CV194+CV196+CV197</f>
        <v>#DIV/0!</v>
      </c>
      <c r="CW346" s="347" t="e">
        <f>CW190+CW194+CW196+CW197</f>
        <v>#DIV/0!</v>
      </c>
      <c r="CX346" s="347" t="e">
        <f>CX190+CX194+CX196+CX197</f>
        <v>#DIV/0!</v>
      </c>
      <c r="CY346" s="347" t="e">
        <f>CY190+CY194+CY196+CY197</f>
        <v>#DIV/0!</v>
      </c>
    </row>
    <row r="347" ht="12.75" customFormat="1" customHeight="1" s="333">
      <c r="A347" s="334" t="n"/>
      <c r="B347" s="334" t="n"/>
      <c r="C347" s="333" t="inlineStr">
        <is>
          <t>FIXED ASSETS</t>
        </is>
      </c>
      <c r="D347" s="346">
        <f>D158+D168+D171+D172+D181-D232</f>
        <v>26665</v>
      </c>
      <c r="E347" s="346">
        <f>E158+E168+E171+E172+E181-E232</f>
        <v>26910</v>
      </c>
      <c r="F347" s="346">
        <f>F158+F168+F171+F172+F181-F232</f>
        <v>26895</v>
      </c>
      <c r="G347" s="346">
        <f>G158+G168+G171+G172+G181-G232</f>
        <v>26867</v>
      </c>
      <c r="H347" s="346">
        <f>H158+H168+H171+H172+H181-H232</f>
        <v>26867</v>
      </c>
      <c r="I347" s="347">
        <f>I158+I168+I171+I172+I181-I232</f>
        <v>26927</v>
      </c>
      <c r="J347" s="347">
        <f>J158+J168+J171+J172+J181-J232</f>
        <v>26987</v>
      </c>
      <c r="K347" s="347">
        <f>K158+K168+K171+K172+K181-K232</f>
        <v>27531</v>
      </c>
      <c r="L347" s="347">
        <f>L158+L168+L171+L172+L181-L232</f>
        <v>27393</v>
      </c>
      <c r="M347" s="347">
        <f>M158+M168+M171+M172+M181-M232</f>
        <v>27393</v>
      </c>
      <c r="N347" s="347">
        <f>N158+N168+N171+N172+N181-N232</f>
        <v>27732</v>
      </c>
      <c r="O347" s="347">
        <f>O158+O168+O171+O172+O181-O232</f>
        <v>28148</v>
      </c>
      <c r="P347" s="347">
        <f>P158+P168+P171+P172+P181-P232</f>
        <v>28781</v>
      </c>
      <c r="Q347" s="347">
        <f>Q158+Q168+Q171+Q172+Q181-Q232</f>
        <v>29455</v>
      </c>
      <c r="R347" s="347">
        <f>R158+R168+R171+R172+R181-R232</f>
        <v>29455</v>
      </c>
      <c r="S347" s="347">
        <f>S158+S168+S171+S172+S181-S232</f>
        <v>30074</v>
      </c>
      <c r="T347" s="347">
        <f>T158+T168+T171+T172+T181-T232</f>
        <v>30559</v>
      </c>
      <c r="U347" s="347">
        <f>U158+U168+U171+U172+U181-U232</f>
        <v>31229</v>
      </c>
      <c r="V347" s="347">
        <f>V158+V168+V171+V172+V181-V232</f>
        <v>32169</v>
      </c>
      <c r="W347" s="347">
        <f>W158+W168+W171+W172+W181-W232</f>
        <v>32169</v>
      </c>
      <c r="X347" s="347">
        <f>X158+X168+X171+X172+X181-X232</f>
        <v>32724</v>
      </c>
      <c r="Y347" s="347">
        <f>Y158+Y168+Y171+Y172+Y181-Y232</f>
        <v>33249</v>
      </c>
      <c r="Z347" s="347">
        <f>Z158+Z168+Z171+Z172+Z181-Z232</f>
        <v>33970</v>
      </c>
      <c r="AA347" s="347">
        <f>AA158+AA168+AA171+AA172+AA181-AA232</f>
        <v>34261</v>
      </c>
      <c r="AB347" s="347">
        <f>AB158+AB168+AB171+AB172+AB181-AB232</f>
        <v>34261</v>
      </c>
      <c r="AC347" s="347">
        <f>AC158+AC168+AC171+AC172+AC181-AC232</f>
        <v>34666</v>
      </c>
      <c r="AD347" s="347">
        <f>AD158+AD168+AD171+AD172+AD181-AD232</f>
        <v>35214</v>
      </c>
      <c r="AE347" s="347">
        <f>AE158+AE168+AE171+AE172+AE181-AE232</f>
        <v>35633</v>
      </c>
      <c r="AF347" s="347">
        <f>AF158+AF168+AF171+AF172+AF181-AF232</f>
        <v>37540</v>
      </c>
      <c r="AG347" s="347">
        <f>AG158+AG168+AG171+AG172+AG181-AG232</f>
        <v>37540</v>
      </c>
      <c r="AH347" s="347">
        <f>AH158+AH168+AH171+AH172+AH181-AH232</f>
        <v>37868</v>
      </c>
      <c r="AI347" s="347">
        <f>AI158+AI168+AI171+AI172+AI181-AI232</f>
        <v>38710</v>
      </c>
      <c r="AJ347" s="347">
        <f>AJ158+AJ168+AJ171+AJ172+AJ181-AJ232</f>
        <v>38710</v>
      </c>
      <c r="AK347" s="347">
        <f>AK158+AK168+AK171+AK172+AK181-AK232</f>
        <v>38710</v>
      </c>
      <c r="AL347" s="347">
        <f>AL158+AL168+AL171+AL172+AL181-AL232</f>
        <v>38710</v>
      </c>
      <c r="AM347" s="347">
        <f>AM158+AM168+AM171+AM172+AM181-AM232</f>
        <v>38710</v>
      </c>
      <c r="AN347" s="347">
        <f>AN158+AN168+AN171+AN172+AN181-AN232</f>
        <v>38710</v>
      </c>
      <c r="AO347" s="347">
        <f>AO158+AO168+AO171+AO172+AO181-AO232</f>
        <v>38710</v>
      </c>
      <c r="AP347" s="347">
        <f>AP158+AP168+AP171+AP172+AP181-AP232</f>
        <v>38710</v>
      </c>
      <c r="AQ347" s="347">
        <f>AQ158+AQ168+AQ171+AQ172+AQ181-AQ232</f>
        <v>38710</v>
      </c>
      <c r="AR347" s="347">
        <f>AR158+AR168+AR171+AR172+AR181-AR232</f>
        <v>38710</v>
      </c>
      <c r="AS347" s="347">
        <f>AS158+AS168+AS171+AS172+AS181-AS232</f>
        <v>38710</v>
      </c>
      <c r="AT347" s="347">
        <f>AT158+AT168+AT171+AT172+AT181-AT232</f>
        <v>38710</v>
      </c>
      <c r="AU347" s="347">
        <f>AU158+AU168+AU171+AU172+AU181-AU232</f>
        <v>38710</v>
      </c>
      <c r="AV347" s="347">
        <f>AV158+AV168+AV171+AV172+AV181-AV232</f>
        <v>38710</v>
      </c>
      <c r="AW347" s="347">
        <f>AW158+AW168+AW171+AW172+AW181-AW232</f>
        <v>38710</v>
      </c>
      <c r="AX347" s="347">
        <f>AX158+AX168+AX171+AX172+AX181-AX232</f>
        <v>38710</v>
      </c>
      <c r="AY347" s="347">
        <f>AY158+AY168+AY171+AY172+AY181-AY232</f>
        <v>38710</v>
      </c>
      <c r="AZ347" s="347">
        <f>AZ158+AZ168+AZ171+AZ172+AZ181-AZ232</f>
        <v>38710</v>
      </c>
      <c r="BA347" s="347">
        <f>BA158+BA168+BA171+BA172+BA181-BA232</f>
        <v>38710</v>
      </c>
      <c r="BB347" s="347">
        <f>BB158+BB168+BB171+BB172+BB181-BB232</f>
        <v>38710</v>
      </c>
      <c r="BC347" s="347">
        <f>BC158+BC168+BC171+BC172+BC181-BC232</f>
        <v>38710</v>
      </c>
      <c r="BD347" s="347">
        <f>BD158+BD168+BD171+BD172+BD181-BD232</f>
        <v>38710</v>
      </c>
      <c r="BE347" s="347">
        <f>BE158+BE168+BE171+BE172+BE181-BE232</f>
        <v>38710</v>
      </c>
      <c r="BF347" s="347">
        <f>BF158+BF168+BF171+BF172+BF181-BF232</f>
        <v>38710</v>
      </c>
      <c r="BG347" s="347">
        <f>BG158+BG168+BG171+BG172+BG181-BG232</f>
        <v>38710</v>
      </c>
      <c r="BH347" s="347">
        <f>BH158+BH168+BH171+BH172+BH181-BH232</f>
        <v>38710</v>
      </c>
      <c r="BI347" s="347">
        <f>BI158+BI168+BI171+BI172+BI181-BI232</f>
        <v>38710</v>
      </c>
      <c r="BJ347" s="347">
        <f>BJ158+BJ168+BJ171+BJ172+BJ181-BJ232</f>
        <v>38710</v>
      </c>
      <c r="BK347" s="347">
        <f>BK158+BK168+BK171+BK172+BK181-BK232</f>
        <v>38710</v>
      </c>
      <c r="BL347" s="347">
        <f>BL158+BL168+BL171+BL172+BL181-BL232</f>
        <v>38710</v>
      </c>
      <c r="BM347" s="347">
        <f>BM158+BM168+BM171+BM172+BM181-BM232</f>
        <v>38710</v>
      </c>
      <c r="BN347" s="347">
        <f>BN158+BN168+BN171+BN172+BN181-BN232</f>
        <v>38710</v>
      </c>
      <c r="BO347" s="347">
        <f>BO158+BO168+BO171+BO172+BO181-BO232</f>
        <v>38710</v>
      </c>
      <c r="BP347" s="347">
        <f>BP158+BP168+BP171+BP172+BP181-BP232</f>
        <v>38710</v>
      </c>
      <c r="BQ347" s="347">
        <f>BQ158+BQ168+BQ171+BQ172+BQ181-BQ232</f>
        <v>38710</v>
      </c>
      <c r="BR347" s="347">
        <f>BR158+BR168+BR171+BR172+BR181-BR232</f>
        <v>38710</v>
      </c>
      <c r="BS347" s="347">
        <f>BS158+BS168+BS171+BS172+BS181-BS232</f>
        <v>38710</v>
      </c>
      <c r="BT347" s="347">
        <f>BT158+BT168+BT171+BT172+BT181-BT232</f>
        <v>38710</v>
      </c>
      <c r="BU347" s="347">
        <f>BU158+BU168+BU171+BU172+BU181-BU232</f>
        <v>38710</v>
      </c>
      <c r="BV347" s="347">
        <f>BV158+BV168+BV171+BV172+BV181-BV232</f>
        <v>38710</v>
      </c>
      <c r="BW347" s="347">
        <f>BW158+BW168+BW171+BW172+BW181-BW232</f>
        <v>38710</v>
      </c>
      <c r="BX347" s="347">
        <f>BX158+BX168+BX171+BX172+BX181-BX232</f>
        <v>38710</v>
      </c>
      <c r="BY347" s="347">
        <f>BY158+BY168+BY171+BY172+BY181-BY232</f>
        <v>38710</v>
      </c>
      <c r="BZ347" s="347">
        <f>BZ158+BZ168+BZ171+BZ172+BZ181-BZ232</f>
        <v>38710</v>
      </c>
      <c r="CA347" s="347">
        <f>CA158+CA168+CA171+CA172+CA181-CA232</f>
        <v>38710</v>
      </c>
      <c r="CB347" s="347">
        <f>CB158+CB168+CB171+CB172+CB181-CB232</f>
        <v>38710</v>
      </c>
      <c r="CC347" s="347">
        <f>CC158+CC168+CC171+CC172+CC181-CC232</f>
        <v>38710</v>
      </c>
      <c r="CD347" s="347">
        <f>CD158+CD168+CD171+CD172+CD181-CD232</f>
        <v>38710</v>
      </c>
      <c r="CE347" s="347">
        <f>CE158+CE168+CE171+CE172+CE181-CE232</f>
        <v>38710</v>
      </c>
      <c r="CF347" s="347">
        <f>CF158+CF168+CF171+CF172+CF181-CF232</f>
        <v>38710</v>
      </c>
      <c r="CG347" s="347">
        <f>CG158+CG168+CG171+CG172+CG181-CG232</f>
        <v>38710</v>
      </c>
      <c r="CH347" s="347">
        <f>CH158+CH168+CH171+CH172+CH181-CH232</f>
        <v>38710</v>
      </c>
      <c r="CI347" s="347">
        <f>CI158+CI168+CI171+CI172+CI181-CI232</f>
        <v>38710</v>
      </c>
      <c r="CJ347" s="347">
        <f>CJ158+CJ168+CJ171+CJ172+CJ181-CJ232</f>
        <v>38710</v>
      </c>
      <c r="CK347" s="347">
        <f>CK158+CK168+CK171+CK172+CK181-CK232</f>
        <v>38710</v>
      </c>
      <c r="CL347" s="347">
        <f>CL158+CL168+CL171+CL172+CL181-CL232</f>
        <v>38710</v>
      </c>
      <c r="CM347" s="347">
        <f>CM158+CM168+CM171+CM172+CM181-CM232</f>
        <v>38710</v>
      </c>
      <c r="CN347" s="347">
        <f>CN158+CN168+CN171+CN172+CN181-CN232</f>
        <v>38710</v>
      </c>
      <c r="CO347" s="347">
        <f>CO158+CO168+CO171+CO172+CO181-CO232</f>
        <v>38710</v>
      </c>
      <c r="CP347" s="347">
        <f>CP158+CP168+CP171+CP172+CP181-CP232</f>
        <v>38710</v>
      </c>
      <c r="CQ347" s="347">
        <f>CQ158+CQ168+CQ171+CQ172+CQ181-CQ232</f>
        <v>38710</v>
      </c>
      <c r="CR347" s="347">
        <f>CR158+CR168+CR171+CR172+CR181-CR232</f>
        <v>38710</v>
      </c>
      <c r="CS347" s="347">
        <f>CS158+CS168+CS171+CS172+CS181-CS232</f>
        <v>38710</v>
      </c>
      <c r="CT347" s="347">
        <f>CT158+CT168+CT171+CT172+CT181-CT232</f>
        <v>38710</v>
      </c>
      <c r="CU347" s="347">
        <f>CU158+CU168+CU171+CU172+CU181-CU232</f>
        <v>38710</v>
      </c>
      <c r="CV347" s="347">
        <f>CV158+CV168+CV171+CV172+CV181-CV232</f>
        <v>38710</v>
      </c>
      <c r="CW347" s="347">
        <f>CW158+CW168+CW171+CW172+CW181-CW232</f>
        <v>38710</v>
      </c>
      <c r="CX347" s="347">
        <f>CX158+CX168+CX171+CX172+CX181-CX232</f>
        <v>38710</v>
      </c>
      <c r="CY347" s="347">
        <f>CY158+CY168+CY171+CY172+CY181-CY232</f>
        <v>38710</v>
      </c>
    </row>
    <row r="348" ht="12.75" customFormat="1" customHeight="1" s="333">
      <c r="A348" s="334" t="n"/>
      <c r="B348" s="334" t="n"/>
    </row>
    <row r="349" ht="12.75" customFormat="1" customHeight="1" s="333">
      <c r="A349" s="334" t="n"/>
      <c r="B349" s="334" t="n"/>
    </row>
    <row r="350" ht="12.75" customFormat="1" customHeight="1" s="333">
      <c r="A350" s="334" t="n"/>
      <c r="B350" s="334" t="n"/>
    </row>
    <row r="351" ht="12.75" customFormat="1" customHeight="1" s="333">
      <c r="A351" s="334" t="n"/>
      <c r="B351" s="334" t="n"/>
    </row>
    <row r="352" ht="12.75" customFormat="1" customHeight="1" s="333">
      <c r="A352" s="334" t="n"/>
      <c r="B352" s="334" t="n"/>
    </row>
    <row r="353" ht="12.75" customFormat="1" customHeight="1" s="333">
      <c r="A353" s="334" t="n"/>
      <c r="B353" s="334" t="n"/>
    </row>
    <row r="354" ht="12.75" customFormat="1" customHeight="1" s="333">
      <c r="A354" s="334" t="n"/>
      <c r="B354" s="334" t="n"/>
    </row>
    <row r="355" ht="12.75" customFormat="1" customHeight="1" s="333">
      <c r="A355" s="334" t="n"/>
      <c r="B355" s="334" t="n"/>
      <c r="C355" s="331" t="inlineStr">
        <is>
          <t>DUPONT ANALYSIS</t>
        </is>
      </c>
    </row>
    <row r="356" ht="12.75" customFormat="1" customHeight="1" s="333">
      <c r="A356" s="334" t="n"/>
      <c r="B356" s="334" t="n"/>
      <c r="C356" s="333" t="inlineStr">
        <is>
          <t>NET PROFIT MARGIN</t>
        </is>
      </c>
      <c r="D356" s="341">
        <f>D129/D15</f>
        <v>-0.175482487491065</v>
      </c>
      <c r="E356" s="341">
        <f>E129/E15</f>
        <v>0.0173542894564506</v>
      </c>
      <c r="F356" s="341">
        <f>F129/F15</f>
        <v>0.0854323552324072</v>
      </c>
      <c r="G356" s="341">
        <f>G129/G15</f>
        <v>0.157508342602892</v>
      </c>
      <c r="I356" s="338">
        <f>I129/I15</f>
        <v>0.148041237113402</v>
      </c>
      <c r="J356" s="338">
        <f>J129/J15</f>
        <v>0.188413361169102</v>
      </c>
      <c r="K356" s="338">
        <f>K129/K15</f>
        <v>0.229985204668749</v>
      </c>
      <c r="L356" s="338">
        <f>L129/L15</f>
        <v>0.179428942245295</v>
      </c>
      <c r="N356" s="338">
        <f>N129/N15</f>
        <v>0.231258518855066</v>
      </c>
      <c r="O356" s="338">
        <f>O129/O15</f>
        <v>0.155096011816839</v>
      </c>
      <c r="P356" s="338">
        <f>P129/P15</f>
        <v>0.0807515490705577</v>
      </c>
      <c r="Q356" s="338">
        <f>Q129/Q15</f>
        <v>0.121048975338659</v>
      </c>
      <c r="S356" s="338">
        <f>S129/S15</f>
        <v>0.123028391167192</v>
      </c>
      <c r="T356" s="338">
        <f>T129/T15</f>
        <v>0.0597873453024229</v>
      </c>
      <c r="U356" s="338">
        <f>U129/U15</f>
        <v>0.0779532967032967</v>
      </c>
      <c r="V356" s="338">
        <f>V129/V15</f>
        <v>0.0657070279424217</v>
      </c>
      <c r="X356" s="338">
        <f>X129/X15</f>
        <v>0.0748299319727891</v>
      </c>
      <c r="Y356" s="338">
        <f>Y129/Y15</f>
        <v>0.0929951690821256</v>
      </c>
      <c r="Z356" s="338">
        <f>Z129/Z15</f>
        <v>0.0774668630338734</v>
      </c>
      <c r="AA356" s="338">
        <f>AA129/AA15</f>
        <v>0.0479020979020979</v>
      </c>
      <c r="AC356" s="338">
        <f>AC129/AC15</f>
        <v>0.0614525139664804</v>
      </c>
      <c r="AD356" s="338">
        <f>AD129/AD15</f>
        <v>0.101820100237404</v>
      </c>
      <c r="AE356" s="338">
        <f>AE129/AE15</f>
        <v>0.0966724039013196</v>
      </c>
      <c r="AF356" s="338">
        <f>AF129/AF15</f>
        <v>0.0720752707260785</v>
      </c>
      <c r="AH356" s="338">
        <f>AH129/AH15</f>
        <v>0.141321783766442</v>
      </c>
      <c r="AI356" s="338">
        <f>AI129/AI15</f>
        <v>0.139991463935126</v>
      </c>
      <c r="AJ356" s="338">
        <f>AJ129/AJ15</f>
        <v>-0.0981067125645439</v>
      </c>
      <c r="AK356" s="338">
        <f>AK129/AK15</f>
        <v>-0.0410083436889757</v>
      </c>
      <c r="AM356" s="338">
        <f>AM129/AM15</f>
        <v>-0.0919153031761309</v>
      </c>
      <c r="AN356" s="338">
        <f>AN129/AN15</f>
        <v>-0.107269881917769</v>
      </c>
      <c r="AO356" s="338">
        <f>AO129/AO15</f>
        <v>-0.0938037865748709</v>
      </c>
      <c r="AP356" s="338">
        <f>AP129/AP15</f>
        <v>-0.0905379016509853</v>
      </c>
      <c r="AR356" s="338">
        <f>AR129/AR15</f>
        <v>-0.136669874879692</v>
      </c>
      <c r="AS356" s="338">
        <f>AS129/AS15</f>
        <v>-0.178119220372742</v>
      </c>
      <c r="AT356" s="338">
        <f>AT129/AT15</f>
        <v>-0.13382099827883</v>
      </c>
      <c r="AU356" s="338">
        <f>AU129/AU15</f>
        <v>-0.178945499733712</v>
      </c>
      <c r="AW356" s="338">
        <f>AW129/AW15</f>
        <v>-0.21655437921078</v>
      </c>
      <c r="AX356" s="338">
        <f>AX129/AX15</f>
        <v>-0.399203300611751</v>
      </c>
      <c r="AY356" s="338">
        <f>AY129/AY15</f>
        <v>-0.205249569707401</v>
      </c>
      <c r="AZ356" s="338">
        <f>AZ129/AZ15</f>
        <v>-0.454819811823185</v>
      </c>
      <c r="BB356" s="338">
        <f>BB129/BB15</f>
        <v>-0.465832531280077</v>
      </c>
      <c r="BC356" s="338">
        <f>BC129/BC15</f>
        <v>-0.983070137999715</v>
      </c>
      <c r="BD356" s="338">
        <f>BD129/BD15</f>
        <v>-0.428141135972461</v>
      </c>
      <c r="BE356" s="338">
        <f>BE129/BE15</f>
        <v>-1.18338363216758</v>
      </c>
      <c r="BG356" s="338">
        <f>BG129/BG15</f>
        <v>-1.12415784408085</v>
      </c>
      <c r="BH356" s="338">
        <f>BH129/BH15</f>
        <v>-2.59297197325366</v>
      </c>
      <c r="BI356" s="338">
        <f>BI129/BI15</f>
        <v>-1.01678141135972</v>
      </c>
      <c r="BJ356" s="338">
        <f>BJ129/BJ15</f>
        <v>-3.19225989703533</v>
      </c>
      <c r="BL356" s="338">
        <f>BL129/BL15</f>
        <v>-2.93936477382098</v>
      </c>
      <c r="BM356" s="338">
        <f>BM129/BM15</f>
        <v>-6.98050931853749</v>
      </c>
      <c r="BN356" s="338">
        <f>BN129/BN15</f>
        <v>-2.63984509466437</v>
      </c>
      <c r="BO356" s="338">
        <f>BO129/BO15</f>
        <v>-8.66714006745961</v>
      </c>
      <c r="BQ356" s="338">
        <f>BQ129/BQ15</f>
        <v>-7.88642925890279</v>
      </c>
      <c r="BR356" s="338">
        <f>BR129/BR15</f>
        <v>-18.975387679613</v>
      </c>
      <c r="BS356" s="338">
        <f>BS129/BS15</f>
        <v>-7.06325301204819</v>
      </c>
      <c r="BT356" s="338">
        <f>BT129/BT15</f>
        <v>-23.6346529380437</v>
      </c>
      <c r="BV356" s="338">
        <f>BV129/BV15</f>
        <v>-21.4109720885467</v>
      </c>
      <c r="BW356" s="338">
        <f>BW129/BW15</f>
        <v>-51.7402190923318</v>
      </c>
      <c r="BX356" s="338">
        <f>BX129/BX15</f>
        <v>-19.1561962134251</v>
      </c>
      <c r="BY356" s="338">
        <f>BY129/BY15</f>
        <v>-64.5194390200604</v>
      </c>
      <c r="CA356" s="338">
        <f>CA129/CA15</f>
        <v>-58.3541867179981</v>
      </c>
      <c r="CB356" s="338">
        <f>CB129/CB15</f>
        <v>-141.25963863992</v>
      </c>
      <c r="CC356" s="338">
        <f>CC129/CC15</f>
        <v>-52.1888984509466</v>
      </c>
      <c r="CD356" s="338">
        <f>CD129/CD15</f>
        <v>-176.224036925262</v>
      </c>
      <c r="CF356" s="338">
        <f>CF129/CF15</f>
        <v>-159.289701636189</v>
      </c>
      <c r="CG356" s="338">
        <f>CG129/CG15</f>
        <v>-385.828140560535</v>
      </c>
      <c r="CH356" s="338">
        <f>CH129/CH15</f>
        <v>-142.440189328744</v>
      </c>
      <c r="CI356" s="338">
        <f>CI129/CI15</f>
        <v>-481.402804899698</v>
      </c>
      <c r="CK356" s="338">
        <f>CK129/CK15</f>
        <v>-435.047160731473</v>
      </c>
      <c r="CL356" s="338">
        <f>CL129/CL15</f>
        <v>-1054.00398349694</v>
      </c>
      <c r="CM356" s="338">
        <f>CM129/CM15</f>
        <v>-389.00817555938</v>
      </c>
      <c r="CN356" s="338">
        <f>CN129/CN15</f>
        <v>-1315.16953665897</v>
      </c>
      <c r="CP356" s="338">
        <f>CP129/CP15</f>
        <v>-1188.43310875842</v>
      </c>
      <c r="CQ356" s="338">
        <f>CQ129/CQ15</f>
        <v>-2879.49267321098</v>
      </c>
      <c r="CR356" s="338">
        <f>CR129/CR15</f>
        <v>-1062.64672977625</v>
      </c>
      <c r="CS356" s="338">
        <f>CS129/CS15</f>
        <v>-3593.0605361264</v>
      </c>
      <c r="CU356" s="338">
        <f>CU129/CU15</f>
        <v>-3246.71992300289</v>
      </c>
      <c r="CV356" s="338">
        <f>CV129/CV15</f>
        <v>-7866.82173851188</v>
      </c>
      <c r="CW356" s="338">
        <f>CW129/CW15</f>
        <v>-2903.05981067126</v>
      </c>
      <c r="CX356" s="338">
        <f>CX129/CX15</f>
        <v>-9816.3759985798</v>
      </c>
    </row>
    <row r="357" ht="12.75" customFormat="1" customHeight="1" s="333">
      <c r="A357" s="334" t="n"/>
      <c r="B357" s="334" t="n"/>
      <c r="C357" s="333" t="inlineStr">
        <is>
          <t>ASSET TURNOVER</t>
        </is>
      </c>
      <c r="D357" s="341">
        <f>D129/D189</f>
        <v>-0.0122081603222358</v>
      </c>
      <c r="E357" s="341">
        <f>E129/E189</f>
        <v>0.00131742480735769</v>
      </c>
      <c r="F357" s="341">
        <f>F129/F189</f>
        <v>0.00800506095038809</v>
      </c>
      <c r="G357" s="341">
        <f>G129/G189</f>
        <v>0.0167995444191344</v>
      </c>
      <c r="I357" s="338">
        <f>I129/I189</f>
        <v>0.0164516646426689</v>
      </c>
      <c r="J357" s="338">
        <f>J129/J189</f>
        <v>0.0238357249757901</v>
      </c>
      <c r="K357" s="338">
        <f>K129/K189</f>
        <v>0.0298186158535286</v>
      </c>
      <c r="L357" s="338">
        <f>L129/L189</f>
        <v>0.0230311107409104</v>
      </c>
      <c r="N357" s="338">
        <f>N129/N189</f>
        <v>0.0312704783748362</v>
      </c>
      <c r="O357" s="338">
        <f>O129/O189</f>
        <v>0.0167621176141919</v>
      </c>
      <c r="P357" s="338">
        <f>P129/P189</f>
        <v>0.00809181404851083</v>
      </c>
      <c r="Q357" s="338">
        <f>Q129/Q189</f>
        <v>0.0136417904605328</v>
      </c>
      <c r="S357" s="338">
        <f>S129/S189</f>
        <v>0.0130232375414956</v>
      </c>
      <c r="T357" s="338">
        <f>T129/T189</f>
        <v>0.0067377767301157</v>
      </c>
      <c r="U357" s="338">
        <f>U129/U189</f>
        <v>0.00879027261462206</v>
      </c>
      <c r="V357" s="338">
        <f>V129/V189</f>
        <v>0.00738963166114349</v>
      </c>
      <c r="X357" s="338">
        <f>X129/X189</f>
        <v>0.00872725930846157</v>
      </c>
      <c r="Y357" s="338">
        <f>Y129/Y189</f>
        <v>0.0112748238308776</v>
      </c>
      <c r="Z357" s="338">
        <f>Z129/Z189</f>
        <v>0.00949458483754513</v>
      </c>
      <c r="AA357" s="338">
        <f>AA129/AA189</f>
        <v>0.00499562427071179</v>
      </c>
      <c r="AC357" s="338">
        <f>AC129/AC189</f>
        <v>0.00628324586769483</v>
      </c>
      <c r="AD357" s="338">
        <f>AD129/AD189</f>
        <v>0.0136656517737025</v>
      </c>
      <c r="AE357" s="338">
        <f>AE129/AE189</f>
        <v>0.0118603505314282</v>
      </c>
      <c r="AF357" s="338">
        <f>AF129/AF189</f>
        <v>0.00697990269396737</v>
      </c>
      <c r="AH357" s="338">
        <f>AH129/AH189</f>
        <v>0.0149728076138681</v>
      </c>
      <c r="AI357" s="338">
        <f>AI129/AI189</f>
        <v>0.0164749610728816</v>
      </c>
      <c r="AJ357" s="338">
        <f>AJ129/AJ189</f>
        <v>-0.012544704264099</v>
      </c>
      <c r="AK357" s="338">
        <f>AK129/AK189</f>
        <v>-0.0042421905129194</v>
      </c>
      <c r="AM357" s="338" t="e">
        <f>AM129/AM189</f>
        <v>#DIV/0!</v>
      </c>
      <c r="AN357" s="338" t="e">
        <f>AN129/AN189</f>
        <v>#DIV/0!</v>
      </c>
      <c r="AO357" s="338" t="e">
        <f>AO129/AO189</f>
        <v>#DIV/0!</v>
      </c>
      <c r="AP357" s="338" t="e">
        <f>AP129/AP189</f>
        <v>#DIV/0!</v>
      </c>
      <c r="AR357" s="338" t="e">
        <f>AR129/AR189</f>
        <v>#DIV/0!</v>
      </c>
      <c r="AS357" s="338" t="e">
        <f>AS129/AS189</f>
        <v>#DIV/0!</v>
      </c>
      <c r="AT357" s="338" t="e">
        <f>AT129/AT189</f>
        <v>#DIV/0!</v>
      </c>
      <c r="AU357" s="338" t="e">
        <f>AU129/AU189</f>
        <v>#DIV/0!</v>
      </c>
      <c r="AW357" s="338" t="e">
        <f>AW129/AW189</f>
        <v>#DIV/0!</v>
      </c>
      <c r="AX357" s="338" t="e">
        <f>AX129/AX189</f>
        <v>#DIV/0!</v>
      </c>
      <c r="AY357" s="338" t="e">
        <f>AY129/AY189</f>
        <v>#DIV/0!</v>
      </c>
      <c r="AZ357" s="338" t="e">
        <f>AZ129/AZ189</f>
        <v>#DIV/0!</v>
      </c>
      <c r="BB357" s="338" t="e">
        <f>BB129/BB189</f>
        <v>#DIV/0!</v>
      </c>
      <c r="BC357" s="338" t="e">
        <f>BC129/BC189</f>
        <v>#DIV/0!</v>
      </c>
      <c r="BD357" s="338" t="e">
        <f>BD129/BD189</f>
        <v>#DIV/0!</v>
      </c>
      <c r="BE357" s="338" t="e">
        <f>BE129/BE189</f>
        <v>#DIV/0!</v>
      </c>
      <c r="BG357" s="338" t="e">
        <f>BG129/BG189</f>
        <v>#DIV/0!</v>
      </c>
      <c r="BH357" s="338" t="e">
        <f>BH129/BH189</f>
        <v>#DIV/0!</v>
      </c>
      <c r="BI357" s="338" t="e">
        <f>BI129/BI189</f>
        <v>#DIV/0!</v>
      </c>
      <c r="BJ357" s="338" t="e">
        <f>BJ129/BJ189</f>
        <v>#DIV/0!</v>
      </c>
      <c r="BL357" s="338" t="e">
        <f>BL129/BL189</f>
        <v>#DIV/0!</v>
      </c>
      <c r="BM357" s="338" t="e">
        <f>BM129/BM189</f>
        <v>#DIV/0!</v>
      </c>
      <c r="BN357" s="338" t="e">
        <f>BN129/BN189</f>
        <v>#DIV/0!</v>
      </c>
      <c r="BO357" s="338" t="e">
        <f>BO129/BO189</f>
        <v>#DIV/0!</v>
      </c>
      <c r="BQ357" s="338" t="e">
        <f>BQ129/BQ189</f>
        <v>#DIV/0!</v>
      </c>
      <c r="BR357" s="338" t="e">
        <f>BR129/BR189</f>
        <v>#DIV/0!</v>
      </c>
      <c r="BS357" s="338" t="e">
        <f>BS129/BS189</f>
        <v>#DIV/0!</v>
      </c>
      <c r="BT357" s="338" t="e">
        <f>BT129/BT189</f>
        <v>#DIV/0!</v>
      </c>
      <c r="BV357" s="338" t="e">
        <f>BV129/BV189</f>
        <v>#DIV/0!</v>
      </c>
      <c r="BW357" s="338" t="e">
        <f>BW129/BW189</f>
        <v>#DIV/0!</v>
      </c>
      <c r="BX357" s="338" t="e">
        <f>BX129/BX189</f>
        <v>#DIV/0!</v>
      </c>
      <c r="BY357" s="338" t="e">
        <f>BY129/BY189</f>
        <v>#DIV/0!</v>
      </c>
      <c r="CA357" s="338" t="e">
        <f>CA129/CA189</f>
        <v>#DIV/0!</v>
      </c>
      <c r="CB357" s="338" t="e">
        <f>CB129/CB189</f>
        <v>#DIV/0!</v>
      </c>
      <c r="CC357" s="338" t="e">
        <f>CC129/CC189</f>
        <v>#DIV/0!</v>
      </c>
      <c r="CD357" s="338" t="e">
        <f>CD129/CD189</f>
        <v>#DIV/0!</v>
      </c>
      <c r="CF357" s="338" t="e">
        <f>CF129/CF189</f>
        <v>#DIV/0!</v>
      </c>
      <c r="CG357" s="338" t="e">
        <f>CG129/CG189</f>
        <v>#DIV/0!</v>
      </c>
      <c r="CH357" s="338" t="e">
        <f>CH129/CH189</f>
        <v>#DIV/0!</v>
      </c>
      <c r="CI357" s="338" t="e">
        <f>CI129/CI189</f>
        <v>#DIV/0!</v>
      </c>
      <c r="CK357" s="338" t="e">
        <f>CK129/CK189</f>
        <v>#DIV/0!</v>
      </c>
      <c r="CL357" s="338" t="e">
        <f>CL129/CL189</f>
        <v>#DIV/0!</v>
      </c>
      <c r="CM357" s="338" t="e">
        <f>CM129/CM189</f>
        <v>#DIV/0!</v>
      </c>
      <c r="CN357" s="338" t="e">
        <f>CN129/CN189</f>
        <v>#DIV/0!</v>
      </c>
      <c r="CP357" s="338" t="e">
        <f>CP129/CP189</f>
        <v>#DIV/0!</v>
      </c>
      <c r="CQ357" s="338" t="e">
        <f>CQ129/CQ189</f>
        <v>#DIV/0!</v>
      </c>
      <c r="CR357" s="338" t="e">
        <f>CR129/CR189</f>
        <v>#DIV/0!</v>
      </c>
      <c r="CS357" s="338" t="e">
        <f>CS129/CS189</f>
        <v>#DIV/0!</v>
      </c>
      <c r="CU357" s="338" t="e">
        <f>CU129/CU189</f>
        <v>#DIV/0!</v>
      </c>
      <c r="CV357" s="338" t="e">
        <f>CV129/CV189</f>
        <v>#DIV/0!</v>
      </c>
      <c r="CW357" s="338" t="e">
        <f>CW129/CW189</f>
        <v>#DIV/0!</v>
      </c>
      <c r="CX357" s="338" t="e">
        <f>CX129/CX189</f>
        <v>#DIV/0!</v>
      </c>
    </row>
    <row r="358" ht="12.75" customFormat="1" customHeight="1" s="333">
      <c r="A358" s="334" t="n"/>
      <c r="B358" s="334" t="n"/>
      <c r="C358" s="333" t="inlineStr">
        <is>
          <t>EQUITY MULTIPLIER</t>
        </is>
      </c>
      <c r="D358" s="341">
        <f>D189/D263</f>
        <v>2.37098390614868</v>
      </c>
      <c r="E358" s="341">
        <f>E189/E263</f>
        <v>2.34508889536578</v>
      </c>
      <c r="F358" s="341">
        <f>F189/F263</f>
        <v>2.34022320920169</v>
      </c>
      <c r="G358" s="341">
        <f>G189/G263</f>
        <v>2.25755303192629</v>
      </c>
      <c r="I358" s="338">
        <f>I189/I263</f>
        <v>2.2297552751239</v>
      </c>
      <c r="J358" s="338">
        <f>J189/J263</f>
        <v>2.17033675662766</v>
      </c>
      <c r="K358" s="338">
        <f>K189/K263</f>
        <v>2.08233101060761</v>
      </c>
      <c r="L358" s="338">
        <f>L189/L263</f>
        <v>2.08618966940354</v>
      </c>
      <c r="N358" s="338">
        <f>N189/N263</f>
        <v>2.03111222028117</v>
      </c>
      <c r="O358" s="338">
        <f>O189/O263</f>
        <v>2.08396057720298</v>
      </c>
      <c r="P358" s="338">
        <f>P189/P263</f>
        <v>2.06472023489517</v>
      </c>
      <c r="Q358" s="338">
        <f>Q189/Q263</f>
        <v>2.05432029271039</v>
      </c>
      <c r="S358" s="338">
        <f>S189/S263</f>
        <v>1.98491110417966</v>
      </c>
      <c r="T358" s="338">
        <f>T189/T263</f>
        <v>1.95593037999001</v>
      </c>
      <c r="U358" s="338">
        <f>U189/U263</f>
        <v>1.93604978070997</v>
      </c>
      <c r="V358" s="338">
        <f>V189/V263</f>
        <v>1.92259245697547</v>
      </c>
      <c r="X358" s="338">
        <f>X189/X263</f>
        <v>1.92841131471268</v>
      </c>
      <c r="Y358" s="338">
        <f>Y189/Y263</f>
        <v>1.90458760370913</v>
      </c>
      <c r="Z358" s="338">
        <f>Z189/Z263</f>
        <v>1.91921291484792</v>
      </c>
      <c r="AA358" s="338">
        <f>AA189/AA263</f>
        <v>1.90590034053791</v>
      </c>
      <c r="AC358" s="338">
        <f>AC189/AC263</f>
        <v>1.91764222632984</v>
      </c>
      <c r="AD358" s="338">
        <f>AD189/AD263</f>
        <v>1.88331777570343</v>
      </c>
      <c r="AE358" s="338">
        <f>AE189/AE263</f>
        <v>1.86952659801954</v>
      </c>
      <c r="AF358" s="338">
        <f>AF189/AF263</f>
        <v>1.89062601573165</v>
      </c>
      <c r="AH358" s="338">
        <f>AH189/AH263</f>
        <v>1.86728444035416</v>
      </c>
      <c r="AI358" s="338">
        <f>AI189/AI263</f>
        <v>1.85360933523679</v>
      </c>
      <c r="AJ358" s="338">
        <f>AJ189/AJ263</f>
        <v>1.69801625611161</v>
      </c>
      <c r="AK358" s="338">
        <f>AK189/AK263</f>
        <v>1.69958488092637</v>
      </c>
      <c r="AM358" s="338" t="e">
        <f>AM189/AM263</f>
        <v>#DIV/0!</v>
      </c>
      <c r="AN358" s="338" t="e">
        <f>AN189/AN263</f>
        <v>#DIV/0!</v>
      </c>
      <c r="AO358" s="338" t="e">
        <f>AO189/AO263</f>
        <v>#DIV/0!</v>
      </c>
      <c r="AP358" s="338" t="e">
        <f>AP189/AP263</f>
        <v>#DIV/0!</v>
      </c>
      <c r="AR358" s="338" t="e">
        <f>AR189/AR263</f>
        <v>#DIV/0!</v>
      </c>
      <c r="AS358" s="338" t="e">
        <f>AS189/AS263</f>
        <v>#DIV/0!</v>
      </c>
      <c r="AT358" s="338" t="e">
        <f>AT189/AT263</f>
        <v>#DIV/0!</v>
      </c>
      <c r="AU358" s="338" t="e">
        <f>AU189/AU263</f>
        <v>#DIV/0!</v>
      </c>
      <c r="AW358" s="338" t="e">
        <f>AW189/AW263</f>
        <v>#DIV/0!</v>
      </c>
      <c r="AX358" s="338" t="e">
        <f>AX189/AX263</f>
        <v>#DIV/0!</v>
      </c>
      <c r="AY358" s="338" t="e">
        <f>AY189/AY263</f>
        <v>#DIV/0!</v>
      </c>
      <c r="AZ358" s="338" t="e">
        <f>AZ189/AZ263</f>
        <v>#DIV/0!</v>
      </c>
      <c r="BB358" s="338" t="e">
        <f>BB189/BB263</f>
        <v>#DIV/0!</v>
      </c>
      <c r="BC358" s="338" t="e">
        <f>BC189/BC263</f>
        <v>#DIV/0!</v>
      </c>
      <c r="BD358" s="338" t="e">
        <f>BD189/BD263</f>
        <v>#DIV/0!</v>
      </c>
      <c r="BE358" s="338" t="e">
        <f>BE189/BE263</f>
        <v>#DIV/0!</v>
      </c>
      <c r="BG358" s="338" t="e">
        <f>BG189/BG263</f>
        <v>#DIV/0!</v>
      </c>
      <c r="BH358" s="338" t="e">
        <f>BH189/BH263</f>
        <v>#DIV/0!</v>
      </c>
      <c r="BI358" s="338" t="e">
        <f>BI189/BI263</f>
        <v>#DIV/0!</v>
      </c>
      <c r="BJ358" s="338" t="e">
        <f>BJ189/BJ263</f>
        <v>#DIV/0!</v>
      </c>
      <c r="BL358" s="338" t="e">
        <f>BL189/BL263</f>
        <v>#DIV/0!</v>
      </c>
      <c r="BM358" s="338" t="e">
        <f>BM189/BM263</f>
        <v>#DIV/0!</v>
      </c>
      <c r="BN358" s="338" t="e">
        <f>BN189/BN263</f>
        <v>#DIV/0!</v>
      </c>
      <c r="BO358" s="338" t="e">
        <f>BO189/BO263</f>
        <v>#DIV/0!</v>
      </c>
      <c r="BQ358" s="338" t="e">
        <f>BQ189/BQ263</f>
        <v>#DIV/0!</v>
      </c>
      <c r="BR358" s="338" t="e">
        <f>BR189/BR263</f>
        <v>#DIV/0!</v>
      </c>
      <c r="BS358" s="338" t="e">
        <f>BS189/BS263</f>
        <v>#DIV/0!</v>
      </c>
      <c r="BT358" s="338" t="e">
        <f>BT189/BT263</f>
        <v>#DIV/0!</v>
      </c>
      <c r="BV358" s="338" t="e">
        <f>BV189/BV263</f>
        <v>#DIV/0!</v>
      </c>
      <c r="BW358" s="338" t="e">
        <f>BW189/BW263</f>
        <v>#DIV/0!</v>
      </c>
      <c r="BX358" s="338" t="e">
        <f>BX189/BX263</f>
        <v>#DIV/0!</v>
      </c>
      <c r="BY358" s="338" t="e">
        <f>BY189/BY263</f>
        <v>#DIV/0!</v>
      </c>
      <c r="CA358" s="338" t="e">
        <f>CA189/CA263</f>
        <v>#DIV/0!</v>
      </c>
      <c r="CB358" s="338" t="e">
        <f>CB189/CB263</f>
        <v>#DIV/0!</v>
      </c>
      <c r="CC358" s="338" t="e">
        <f>CC189/CC263</f>
        <v>#DIV/0!</v>
      </c>
      <c r="CD358" s="338" t="e">
        <f>CD189/CD263</f>
        <v>#DIV/0!</v>
      </c>
      <c r="CF358" s="338" t="e">
        <f>CF189/CF263</f>
        <v>#DIV/0!</v>
      </c>
      <c r="CG358" s="338" t="e">
        <f>CG189/CG263</f>
        <v>#DIV/0!</v>
      </c>
      <c r="CH358" s="338" t="e">
        <f>CH189/CH263</f>
        <v>#DIV/0!</v>
      </c>
      <c r="CI358" s="338" t="e">
        <f>CI189/CI263</f>
        <v>#DIV/0!</v>
      </c>
      <c r="CK358" s="338" t="e">
        <f>CK189/CK263</f>
        <v>#DIV/0!</v>
      </c>
      <c r="CL358" s="338" t="e">
        <f>CL189/CL263</f>
        <v>#DIV/0!</v>
      </c>
      <c r="CM358" s="338" t="e">
        <f>CM189/CM263</f>
        <v>#DIV/0!</v>
      </c>
      <c r="CN358" s="338" t="e">
        <f>CN189/CN263</f>
        <v>#DIV/0!</v>
      </c>
      <c r="CP358" s="338" t="e">
        <f>CP189/CP263</f>
        <v>#DIV/0!</v>
      </c>
      <c r="CQ358" s="338" t="e">
        <f>CQ189/CQ263</f>
        <v>#DIV/0!</v>
      </c>
      <c r="CR358" s="338" t="e">
        <f>CR189/CR263</f>
        <v>#DIV/0!</v>
      </c>
      <c r="CS358" s="338" t="e">
        <f>CS189/CS263</f>
        <v>#DIV/0!</v>
      </c>
      <c r="CU358" s="338" t="e">
        <f>CU189/CU263</f>
        <v>#DIV/0!</v>
      </c>
      <c r="CV358" s="338" t="e">
        <f>CV189/CV263</f>
        <v>#DIV/0!</v>
      </c>
      <c r="CW358" s="338" t="e">
        <f>CW189/CW263</f>
        <v>#DIV/0!</v>
      </c>
      <c r="CX358" s="338" t="e">
        <f>CX189/CX263</f>
        <v>#DIV/0!</v>
      </c>
    </row>
    <row r="359" ht="12.75" customFormat="1" customHeight="1" s="333">
      <c r="A359" s="334" t="n"/>
      <c r="B359" s="334" t="n"/>
      <c r="C359" s="333" t="inlineStr">
        <is>
          <t>ROE - DUPONT</t>
        </is>
      </c>
      <c r="D359" s="341">
        <f>PRODUCT(D356:D358)</f>
        <v>0.00507940230844267</v>
      </c>
      <c r="E359" s="341">
        <f>PRODUCT(E356:E358)</f>
        <v>5.36157004483754e-05</v>
      </c>
      <c r="F359" s="341">
        <f>PRODUCT(F356:F358)</f>
        <v>0.00160045808401446</v>
      </c>
      <c r="G359" s="341">
        <f>PRODUCT(G356:G358)</f>
        <v>0.00597363973445723</v>
      </c>
      <c r="I359" s="338">
        <f>PRODUCT(I356:I358)</f>
        <v>0.00543062423989285</v>
      </c>
      <c r="J359" s="338">
        <f>PRODUCT(J356:J358)</f>
        <v>0.00974691522073742</v>
      </c>
      <c r="K359" s="338">
        <f>PRODUCT(K356:K358)</f>
        <v>0.014280293876507</v>
      </c>
      <c r="L359" s="338">
        <f>PRODUCT(L356:L358)</f>
        <v>0.00862106999102031</v>
      </c>
      <c r="N359" s="338">
        <f>PRODUCT(N356:N358)</f>
        <v>0.0146881190538094</v>
      </c>
      <c r="O359" s="338">
        <f>PRODUCT(O356:O358)</f>
        <v>0.00541775065189607</v>
      </c>
      <c r="P359" s="338">
        <f>PRODUCT(P356:P358)</f>
        <v>0.00134914295622618</v>
      </c>
      <c r="Q359" s="338">
        <f>PRODUCT(Q356:Q358)</f>
        <v>0.00339234995822627</v>
      </c>
      <c r="S359" s="338">
        <f>PRODUCT(S356:S358)</f>
        <v>0.0031802800742299</v>
      </c>
      <c r="T359" s="338">
        <f>PRODUCT(T356:T358)</f>
        <v>0.000787914836082954</v>
      </c>
      <c r="U359" s="338">
        <f>PRODUCT(U356:U358)</f>
        <v>0.00132664080306244</v>
      </c>
      <c r="V359" s="338">
        <f>PRODUCT(V356:V358)</f>
        <v>0.000933516178749894</v>
      </c>
      <c r="X359" s="338">
        <f>PRODUCT(X356:X358)</f>
        <v>0.00125936871813305</v>
      </c>
      <c r="Y359" s="338">
        <f>PRODUCT(Y356:Y358)</f>
        <v>0.00199696800371573</v>
      </c>
      <c r="Z359" s="338">
        <f>PRODUCT(Z356:Z358)</f>
        <v>0.00141161123660422</v>
      </c>
      <c r="AA359" s="338">
        <f>PRODUCT(AA356:AA358)</f>
        <v>0.000456083634205811</v>
      </c>
      <c r="AC359" s="338">
        <f>PRODUCT(AC356:AC358)</f>
        <v>0.000740442421996341</v>
      </c>
      <c r="AD359" s="338">
        <f>PRODUCT(AD356:AD358)</f>
        <v>0.00262051998210682</v>
      </c>
      <c r="AE359" s="338">
        <f>PRODUCT(AE356:AE358)</f>
        <v>0.00214354048851825</v>
      </c>
      <c r="AF359" s="338">
        <f>PRODUCT(AF356:AF358)</f>
        <v>0.000951133066202557</v>
      </c>
      <c r="AH359" s="338">
        <f>PRODUCT(AH356:AH358)</f>
        <v>0.00395114377513362</v>
      </c>
      <c r="AI359" s="338">
        <f>PRODUCT(AI356:AI358)</f>
        <v>0.00427507915437167</v>
      </c>
      <c r="AJ359" s="338">
        <f>PRODUCT(AJ356:AJ358)</f>
        <v>0.00208978204958264</v>
      </c>
      <c r="AK359" s="338">
        <f>PRODUCT(AK356:AK358)</f>
        <v>0.000295668634856062</v>
      </c>
      <c r="AM359" s="338" t="e">
        <f>PRODUCT(AM356:AM358)</f>
        <v>#DIV/0!</v>
      </c>
      <c r="AN359" s="338" t="e">
        <f>PRODUCT(AN356:AN358)</f>
        <v>#DIV/0!</v>
      </c>
      <c r="AO359" s="338" t="e">
        <f>PRODUCT(AO356:AO358)</f>
        <v>#DIV/0!</v>
      </c>
      <c r="AP359" s="338" t="e">
        <f>PRODUCT(AP356:AP358)</f>
        <v>#DIV/0!</v>
      </c>
      <c r="AR359" s="338" t="e">
        <f>PRODUCT(AR356:AR358)</f>
        <v>#DIV/0!</v>
      </c>
      <c r="AS359" s="338" t="e">
        <f>PRODUCT(AS356:AS358)</f>
        <v>#DIV/0!</v>
      </c>
      <c r="AT359" s="338" t="e">
        <f>PRODUCT(AT356:AT358)</f>
        <v>#DIV/0!</v>
      </c>
      <c r="AU359" s="338" t="e">
        <f>PRODUCT(AU356:AU358)</f>
        <v>#DIV/0!</v>
      </c>
      <c r="AW359" s="338" t="e">
        <f>PRODUCT(AW356:AW358)</f>
        <v>#DIV/0!</v>
      </c>
      <c r="AX359" s="338" t="e">
        <f>PRODUCT(AX356:AX358)</f>
        <v>#DIV/0!</v>
      </c>
      <c r="AY359" s="338" t="e">
        <f>PRODUCT(AY356:AY358)</f>
        <v>#DIV/0!</v>
      </c>
      <c r="AZ359" s="338" t="e">
        <f>PRODUCT(AZ356:AZ358)</f>
        <v>#DIV/0!</v>
      </c>
      <c r="BB359" s="338" t="e">
        <f>PRODUCT(BB356:BB358)</f>
        <v>#DIV/0!</v>
      </c>
      <c r="BC359" s="338" t="e">
        <f>PRODUCT(BC356:BC358)</f>
        <v>#DIV/0!</v>
      </c>
      <c r="BD359" s="338" t="e">
        <f>PRODUCT(BD356:BD358)</f>
        <v>#DIV/0!</v>
      </c>
      <c r="BE359" s="338" t="e">
        <f>PRODUCT(BE356:BE358)</f>
        <v>#DIV/0!</v>
      </c>
      <c r="BG359" s="338" t="e">
        <f>PRODUCT(BG356:BG358)</f>
        <v>#DIV/0!</v>
      </c>
      <c r="BH359" s="338" t="e">
        <f>PRODUCT(BH356:BH358)</f>
        <v>#DIV/0!</v>
      </c>
      <c r="BI359" s="338" t="e">
        <f>PRODUCT(BI356:BI358)</f>
        <v>#DIV/0!</v>
      </c>
      <c r="BJ359" s="338" t="e">
        <f>PRODUCT(BJ356:BJ358)</f>
        <v>#DIV/0!</v>
      </c>
      <c r="BL359" s="338" t="e">
        <f>PRODUCT(BL356:BL358)</f>
        <v>#DIV/0!</v>
      </c>
      <c r="BM359" s="338" t="e">
        <f>PRODUCT(BM356:BM358)</f>
        <v>#DIV/0!</v>
      </c>
      <c r="BN359" s="338" t="e">
        <f>PRODUCT(BN356:BN358)</f>
        <v>#DIV/0!</v>
      </c>
      <c r="BO359" s="338" t="e">
        <f>PRODUCT(BO356:BO358)</f>
        <v>#DIV/0!</v>
      </c>
      <c r="BQ359" s="338" t="e">
        <f>PRODUCT(BQ356:BQ358)</f>
        <v>#DIV/0!</v>
      </c>
      <c r="BR359" s="338" t="e">
        <f>PRODUCT(BR356:BR358)</f>
        <v>#DIV/0!</v>
      </c>
      <c r="BS359" s="338" t="e">
        <f>PRODUCT(BS356:BS358)</f>
        <v>#DIV/0!</v>
      </c>
      <c r="BT359" s="338" t="e">
        <f>PRODUCT(BT356:BT358)</f>
        <v>#DIV/0!</v>
      </c>
      <c r="BV359" s="338" t="e">
        <f>PRODUCT(BV356:BV358)</f>
        <v>#DIV/0!</v>
      </c>
      <c r="BW359" s="338" t="e">
        <f>PRODUCT(BW356:BW358)</f>
        <v>#DIV/0!</v>
      </c>
      <c r="BX359" s="338" t="e">
        <f>PRODUCT(BX356:BX358)</f>
        <v>#DIV/0!</v>
      </c>
      <c r="BY359" s="338" t="e">
        <f>PRODUCT(BY356:BY358)</f>
        <v>#DIV/0!</v>
      </c>
      <c r="CA359" s="338" t="e">
        <f>PRODUCT(CA356:CA358)</f>
        <v>#DIV/0!</v>
      </c>
      <c r="CB359" s="338" t="e">
        <f>PRODUCT(CB356:CB358)</f>
        <v>#DIV/0!</v>
      </c>
      <c r="CC359" s="338" t="e">
        <f>PRODUCT(CC356:CC358)</f>
        <v>#DIV/0!</v>
      </c>
      <c r="CD359" s="338" t="e">
        <f>PRODUCT(CD356:CD358)</f>
        <v>#DIV/0!</v>
      </c>
      <c r="CF359" s="338" t="e">
        <f>PRODUCT(CF356:CF358)</f>
        <v>#DIV/0!</v>
      </c>
      <c r="CG359" s="338" t="e">
        <f>PRODUCT(CG356:CG358)</f>
        <v>#DIV/0!</v>
      </c>
      <c r="CH359" s="338" t="e">
        <f>PRODUCT(CH356:CH358)</f>
        <v>#DIV/0!</v>
      </c>
      <c r="CI359" s="338" t="e">
        <f>PRODUCT(CI356:CI358)</f>
        <v>#DIV/0!</v>
      </c>
      <c r="CK359" s="338" t="e">
        <f>PRODUCT(CK356:CK358)</f>
        <v>#DIV/0!</v>
      </c>
      <c r="CL359" s="338" t="e">
        <f>PRODUCT(CL356:CL358)</f>
        <v>#DIV/0!</v>
      </c>
      <c r="CM359" s="338" t="e">
        <f>PRODUCT(CM356:CM358)</f>
        <v>#DIV/0!</v>
      </c>
      <c r="CN359" s="338" t="e">
        <f>PRODUCT(CN356:CN358)</f>
        <v>#DIV/0!</v>
      </c>
      <c r="CP359" s="338" t="e">
        <f>PRODUCT(CP356:CP358)</f>
        <v>#DIV/0!</v>
      </c>
      <c r="CQ359" s="338" t="e">
        <f>PRODUCT(CQ356:CQ358)</f>
        <v>#DIV/0!</v>
      </c>
      <c r="CR359" s="338" t="e">
        <f>PRODUCT(CR356:CR358)</f>
        <v>#DIV/0!</v>
      </c>
      <c r="CS359" s="338" t="e">
        <f>PRODUCT(CS356:CS358)</f>
        <v>#DIV/0!</v>
      </c>
      <c r="CU359" s="338" t="e">
        <f>PRODUCT(CU356:CU358)</f>
        <v>#DIV/0!</v>
      </c>
      <c r="CV359" s="338" t="e">
        <f>PRODUCT(CV356:CV358)</f>
        <v>#DIV/0!</v>
      </c>
      <c r="CW359" s="338" t="e">
        <f>PRODUCT(CW356:CW358)</f>
        <v>#DIV/0!</v>
      </c>
      <c r="CX359" s="338" t="e">
        <f>PRODUCT(CX356:CX358)</f>
        <v>#DIV/0!</v>
      </c>
    </row>
    <row r="360" ht="12.75" customFormat="1" customHeight="1" s="333">
      <c r="A360" s="334" t="n"/>
      <c r="B360" s="334" t="n"/>
      <c r="C360" s="333" t="inlineStr">
        <is>
          <t>ROE</t>
        </is>
      </c>
      <c r="D360" s="341">
        <f>D129/D263</f>
        <v>-0.0289453516477038</v>
      </c>
      <c r="E360" s="341">
        <f>E129/E263</f>
        <v>0.00308947828621393</v>
      </c>
      <c r="F360" s="341">
        <f>F129/F263</f>
        <v>0.0187336294271723</v>
      </c>
      <c r="G360" s="341">
        <f>G129/G263</f>
        <v>0.0379258624383973</v>
      </c>
      <c r="I360" s="338">
        <f>I129/I263</f>
        <v>0.0366831860215603</v>
      </c>
      <c r="J360" s="338">
        <f>J129/J263</f>
        <v>0.0517315500358252</v>
      </c>
      <c r="K360" s="338">
        <f>K129/K263</f>
        <v>0.0620922284851982</v>
      </c>
      <c r="L360" s="338">
        <f>L129/L263</f>
        <v>0.0480472653025761</v>
      </c>
      <c r="N360" s="338">
        <f>N129/N263</f>
        <v>0.063513850761168</v>
      </c>
      <c r="O360" s="338">
        <f>O129/O263</f>
        <v>0.0349315922984156</v>
      </c>
      <c r="P360" s="338">
        <f>P129/P263</f>
        <v>0.0167073322029693</v>
      </c>
      <c r="Q360" s="338">
        <f>Q129/Q263</f>
        <v>0.0280246069719754</v>
      </c>
      <c r="S360" s="338">
        <f>S129/S263</f>
        <v>0.0258499688084841</v>
      </c>
      <c r="T360" s="338">
        <f>T129/T263</f>
        <v>0.0131786222000231</v>
      </c>
      <c r="U360" s="338">
        <f>U129/U263</f>
        <v>0.0170184053679199</v>
      </c>
      <c r="V360" s="338">
        <f>V129/V263</f>
        <v>0.0142072500915416</v>
      </c>
      <c r="X360" s="338">
        <f>X129/X263</f>
        <v>0.0168297455968689</v>
      </c>
      <c r="Y360" s="338">
        <f>Y129/Y263</f>
        <v>0.0214738897022938</v>
      </c>
      <c r="Z360" s="338">
        <f>Z129/Z263</f>
        <v>0.0182221298413358</v>
      </c>
      <c r="AA360" s="338">
        <f>AA129/AA263</f>
        <v>0.00952116199874904</v>
      </c>
      <c r="AC360" s="338">
        <f>AC129/AC263</f>
        <v>0.0120490175943041</v>
      </c>
      <c r="AD360" s="338">
        <f>AD129/AD263</f>
        <v>0.0257367649019869</v>
      </c>
      <c r="AE360" s="338">
        <f>AE129/AE263</f>
        <v>0.0221732407803402</v>
      </c>
      <c r="AF360" s="338">
        <f>AF129/AF263</f>
        <v>0.0131963856204902</v>
      </c>
      <c r="AH360" s="338">
        <f>AH129/AH263</f>
        <v>0.0279584906857923</v>
      </c>
      <c r="AI360" s="338">
        <f>AI129/AI263</f>
        <v>0.0305381416423562</v>
      </c>
      <c r="AJ360" s="338">
        <f>AJ129/AJ263</f>
        <v>-0.0213011117685528</v>
      </c>
      <c r="AK360" s="338">
        <f>AK129/AK263</f>
        <v>-0.0072099628577671</v>
      </c>
      <c r="AM360" s="338">
        <f>AM129/AM263</f>
        <v>-0.017921931690229</v>
      </c>
      <c r="AN360" s="338">
        <f>AN129/AN263</f>
        <v>-0.0238418972332016</v>
      </c>
      <c r="AO360" s="338">
        <f>AO129/AO263</f>
        <v>-0.0207329444585341</v>
      </c>
      <c r="AP360" s="338">
        <f>AP129/AP263</f>
        <v>-0.0163498220754657</v>
      </c>
      <c r="AR360" s="338">
        <f>AR129/AR263</f>
        <v>-0.0276201899698512</v>
      </c>
      <c r="AS360" s="338">
        <f>AS129/AS263</f>
        <v>-0.0417305512965802</v>
      </c>
      <c r="AT360" s="338">
        <f>AT129/AT263</f>
        <v>-0.0314756089332704</v>
      </c>
      <c r="AU360" s="338">
        <f>AU129/AU263</f>
        <v>-0.0350085090126072</v>
      </c>
      <c r="AW360" s="338">
        <f>AW129/AW263</f>
        <v>-0.0483022648395291</v>
      </c>
      <c r="AX360" s="338">
        <f>AX129/AX263</f>
        <v>-0.109823874755382</v>
      </c>
      <c r="AY360" s="338">
        <f>AY129/AY263</f>
        <v>-0.0579539931961769</v>
      </c>
      <c r="AZ360" s="338">
        <f>AZ129/AZ263</f>
        <v>-0.114944591502535</v>
      </c>
      <c r="BB360" s="338">
        <f>BB129/BB263</f>
        <v>-0.145995676436579</v>
      </c>
      <c r="BC360" s="338">
        <f>BC129/BC263</f>
        <v>-0.516133851210039</v>
      </c>
      <c r="BD360" s="338">
        <f>BD129/BD263</f>
        <v>-0.271956997084548</v>
      </c>
      <c r="BE360" s="338">
        <f>BE129/BE263</f>
        <v>-1.49160886104274</v>
      </c>
      <c r="BG360" s="338">
        <f>BG129/BG263</f>
        <v>3.44712247909493</v>
      </c>
      <c r="BH360" s="338">
        <f>BH129/BH263</f>
        <v>0.918093894821681</v>
      </c>
      <c r="BI360" s="338">
        <f>BI129/BI263</f>
        <v>0.268848604368932</v>
      </c>
      <c r="BJ360" s="338">
        <f>BJ129/BJ263</f>
        <v>0.406915435269625</v>
      </c>
      <c r="BL360" s="338">
        <f>BL129/BL263</f>
        <v>0.295505491138383</v>
      </c>
      <c r="BM360" s="338">
        <f>BM129/BM263</f>
        <v>0.443362128167131</v>
      </c>
      <c r="BN360" s="338">
        <f>BN129/BN263</f>
        <v>0.143229571984436</v>
      </c>
      <c r="BO360" s="338">
        <f>BO129/BO263</f>
        <v>0.275576728775196</v>
      </c>
      <c r="BQ360" s="338">
        <f>BQ129/BQ263</f>
        <v>0.217712258824467</v>
      </c>
      <c r="BR360" s="338">
        <f>BR129/BR263</f>
        <v>0.371741844857188</v>
      </c>
      <c r="BS360" s="338">
        <f>BS129/BS263</f>
        <v>0.120857302731039</v>
      </c>
      <c r="BT360" s="338">
        <f>BT129/BT263</f>
        <v>0.246344175753415</v>
      </c>
      <c r="BV360" s="338">
        <f>BV129/BV263</f>
        <v>0.198209409140656</v>
      </c>
      <c r="BW360" s="338">
        <f>BW129/BW263</f>
        <v>0.350812783837698</v>
      </c>
      <c r="BX360" s="338">
        <f>BX129/BX263</f>
        <v>0.114183682891214</v>
      </c>
      <c r="BY360" s="338">
        <f>BY129/BY263</f>
        <v>0.237084517599108</v>
      </c>
      <c r="CA360" s="338">
        <f>CA129/CA263</f>
        <v>0.191844726959569</v>
      </c>
      <c r="CB360" s="338">
        <f>CB129/CB263</f>
        <v>0.34372014256794</v>
      </c>
      <c r="CC360" s="338">
        <f>CC129/CC263</f>
        <v>0.111887825890156</v>
      </c>
      <c r="CD360" s="338">
        <f>CD129/CD263</f>
        <v>0.233870582046009</v>
      </c>
      <c r="CF360" s="338">
        <f>CF129/CF263</f>
        <v>0.18961347006979</v>
      </c>
      <c r="CG360" s="338">
        <f>CG129/CG263</f>
        <v>0.34118988321483</v>
      </c>
      <c r="CH360" s="338">
        <f>CH129/CH263</f>
        <v>0.111070164270028</v>
      </c>
      <c r="CI360" s="338">
        <f>CI129/CI263</f>
        <v>0.232713320457936</v>
      </c>
      <c r="CK360" s="338">
        <f>CK129/CK263</f>
        <v>0.188807343319995</v>
      </c>
      <c r="CL360" s="338">
        <f>CL129/CL263</f>
        <v>0.340273317509076</v>
      </c>
      <c r="CM360" s="338">
        <f>CM129/CM263</f>
        <v>0.110772628017104</v>
      </c>
      <c r="CN360" s="338">
        <f>CN129/CN263</f>
        <v>0.232293017275068</v>
      </c>
      <c r="CP360" s="338">
        <f>CP129/CP263</f>
        <v>0.188514182115324</v>
      </c>
      <c r="CQ360" s="338">
        <f>CQ129/CQ263</f>
        <v>0.339938786693906</v>
      </c>
      <c r="CR360" s="338">
        <f>CR129/CR263</f>
        <v>0.110664266442669</v>
      </c>
      <c r="CS360" s="338">
        <f>CS129/CS263</f>
        <v>0.232139385365698</v>
      </c>
      <c r="CU360" s="338">
        <f>CU129/CU263</f>
        <v>0.18840698145489</v>
      </c>
      <c r="CV360" s="338">
        <f>CV129/CV263</f>
        <v>0.339816535578277</v>
      </c>
      <c r="CW360" s="338">
        <f>CW129/CW263</f>
        <v>0.110624587784013</v>
      </c>
      <c r="CX360" s="338">
        <f>CX129/CX263</f>
        <v>0.232083233632165</v>
      </c>
    </row>
    <row r="362" ht="12.75" customHeight="1" s="255">
      <c r="C362" s="330" t="inlineStr">
        <is>
          <t>Scenario Analysis</t>
        </is>
      </c>
      <c r="D362" s="330" t="n"/>
      <c r="E362" s="330" t="n"/>
      <c r="F362" s="330" t="n"/>
      <c r="G362" s="330" t="n"/>
      <c r="H362" s="330" t="n"/>
      <c r="I362" s="330" t="n"/>
      <c r="J362" s="330" t="n"/>
      <c r="K362" s="330" t="n"/>
      <c r="L362" s="330" t="n"/>
      <c r="M362" s="330" t="n"/>
      <c r="N362" s="330" t="n"/>
      <c r="O362" s="330" t="n"/>
      <c r="P362" s="330" t="n"/>
      <c r="Q362" s="330" t="n"/>
      <c r="R362" s="330" t="n"/>
      <c r="S362" s="330" t="n"/>
      <c r="T362" s="330" t="n"/>
      <c r="U362" s="330" t="n"/>
      <c r="V362" s="330" t="n"/>
      <c r="W362" s="330" t="n"/>
      <c r="X362" s="330" t="n"/>
      <c r="Y362" s="330" t="n"/>
      <c r="Z362" s="330" t="n"/>
      <c r="AA362" s="330" t="n"/>
      <c r="AB362" s="330" t="n"/>
      <c r="AC362" s="330" t="n"/>
      <c r="AD362" s="330" t="n"/>
      <c r="AE362" s="330" t="n"/>
      <c r="AF362" s="330" t="n"/>
      <c r="AG362" s="330" t="n"/>
      <c r="AH362" s="330" t="n"/>
      <c r="AI362" s="330" t="n"/>
      <c r="AJ362" s="330" t="n"/>
      <c r="AK362" s="330" t="n"/>
      <c r="AL362" s="330" t="n"/>
      <c r="AM362" s="330" t="n"/>
      <c r="AN362" s="330" t="n"/>
      <c r="AO362" s="330" t="n"/>
      <c r="AP362" s="330" t="n"/>
      <c r="AQ362" s="330" t="n"/>
      <c r="AR362" s="330" t="n"/>
      <c r="AS362" s="330" t="n"/>
      <c r="AT362" s="330" t="n"/>
      <c r="AU362" s="330" t="n"/>
      <c r="AV362" s="330" t="n"/>
      <c r="AW362" s="330" t="n"/>
      <c r="AX362" s="330" t="n"/>
      <c r="AY362" s="330" t="n"/>
      <c r="AZ362" s="330" t="n"/>
      <c r="BA362" s="330" t="n"/>
      <c r="BB362" s="330" t="n"/>
      <c r="BC362" s="330" t="n"/>
      <c r="BD362" s="330" t="n"/>
      <c r="BE362" s="330" t="n"/>
      <c r="BF362" s="330" t="n"/>
      <c r="BG362" s="330" t="n"/>
      <c r="BH362" s="330" t="n"/>
      <c r="BI362" s="330" t="n"/>
      <c r="BJ362" s="330" t="n"/>
      <c r="BK362" s="330" t="n"/>
      <c r="BL362" s="330" t="n"/>
      <c r="BM362" s="330" t="n"/>
      <c r="BN362" s="330" t="n"/>
      <c r="BO362" s="330" t="n"/>
      <c r="BP362" s="330" t="n"/>
      <c r="BQ362" s="330" t="n"/>
      <c r="BR362" s="330" t="n"/>
      <c r="BS362" s="330" t="n"/>
      <c r="BT362" s="330" t="n"/>
      <c r="BU362" s="330" t="n"/>
      <c r="BV362" s="330" t="n"/>
      <c r="BW362" s="330" t="n"/>
      <c r="BX362" s="330" t="n"/>
      <c r="BY362" s="330" t="n"/>
      <c r="BZ362" s="330" t="n"/>
      <c r="CA362" s="330" t="n"/>
      <c r="CB362" s="330" t="n"/>
      <c r="CC362" s="330" t="n"/>
      <c r="CD362" s="330" t="n"/>
      <c r="CE362" s="330" t="n"/>
      <c r="CF362" s="330" t="n"/>
      <c r="CG362" s="330" t="n"/>
      <c r="CH362" s="330" t="n"/>
      <c r="CI362" s="330" t="n"/>
      <c r="CJ362" s="330" t="n"/>
      <c r="CK362" s="330" t="n"/>
      <c r="CL362" s="330" t="n"/>
      <c r="CM362" s="330" t="n"/>
      <c r="CN362" s="330" t="n"/>
      <c r="CO362" s="330" t="n"/>
      <c r="CP362" s="330" t="n"/>
      <c r="CQ362" s="330" t="n"/>
      <c r="CR362" s="330" t="n"/>
      <c r="CS362" s="330" t="n"/>
      <c r="CT362" s="330" t="n"/>
      <c r="CU362" s="330" t="n"/>
      <c r="CV362" s="330" t="n"/>
      <c r="CW362" s="330" t="n"/>
      <c r="CX362" s="330" t="n"/>
      <c r="CY362" s="330" t="n"/>
    </row>
    <row r="365" ht="12.75" customHeight="1" s="255">
      <c r="C365" s="260" t="inlineStr">
        <is>
          <t>Bull case</t>
        </is>
      </c>
    </row>
    <row r="366" ht="12.75" customHeight="1" s="255">
      <c r="C366" s="260" t="inlineStr">
        <is>
          <t>Base case</t>
        </is>
      </c>
    </row>
    <row r="367" ht="12.75" customHeight="1" s="255">
      <c r="C367" s="260" t="inlineStr">
        <is>
          <t>Bear case</t>
        </is>
      </c>
    </row>
    <row r="370" ht="12.75" customHeight="1" s="255">
      <c r="C370" s="260" t="inlineStr">
        <is>
          <t>Bull case</t>
        </is>
      </c>
    </row>
    <row r="371" ht="12.75" customHeight="1" s="255">
      <c r="C371" s="260" t="inlineStr">
        <is>
          <t>Base case</t>
        </is>
      </c>
    </row>
    <row r="372" ht="12.75" customHeight="1" s="255">
      <c r="C372" s="260" t="inlineStr">
        <is>
          <t>Bear case</t>
        </is>
      </c>
    </row>
    <row r="375" ht="12.75" customHeight="1" s="255">
      <c r="C375" s="260" t="inlineStr">
        <is>
          <t>% Gross Margin</t>
        </is>
      </c>
    </row>
    <row r="376" ht="12.75" customHeight="1" s="255">
      <c r="C376" s="260" t="inlineStr">
        <is>
          <t>Bull case</t>
        </is>
      </c>
    </row>
    <row r="377" ht="12.75" customHeight="1" s="255">
      <c r="C377" s="260" t="inlineStr">
        <is>
          <t>Base case</t>
        </is>
      </c>
    </row>
    <row r="378" ht="12.75" customHeight="1" s="255">
      <c r="C378" s="260" t="inlineStr">
        <is>
          <t>Bear case</t>
        </is>
      </c>
    </row>
    <row r="381" ht="12.75" customHeight="1" s="255">
      <c r="C381" s="260" t="inlineStr">
        <is>
          <t>Capital expenditures</t>
        </is>
      </c>
    </row>
    <row r="382" ht="12.75" customHeight="1" s="255">
      <c r="C382" s="260" t="inlineStr">
        <is>
          <t>Bull case</t>
        </is>
      </c>
    </row>
    <row r="383" ht="12.75" customHeight="1" s="255">
      <c r="C383" s="260" t="inlineStr">
        <is>
          <t>Base case</t>
        </is>
      </c>
    </row>
    <row r="384" ht="12.75" customHeight="1" s="255">
      <c r="C384" s="260" t="inlineStr">
        <is>
          <t>Bear case</t>
        </is>
      </c>
    </row>
  </sheetData>
  <conditionalFormatting sqref="CU307:CX307">
    <cfRule type="cellIs" rank="0" priority="2" equalAverage="0" operator="notEqual" aboveAverage="0" dxfId="0" text="" percent="0" bottom="0">
      <formula>0</formula>
    </cfRule>
  </conditionalFormatting>
  <conditionalFormatting sqref="CP307:CS307">
    <cfRule type="cellIs" rank="0" priority="3" equalAverage="0" operator="notEqual" aboveAverage="0" dxfId="0" text="" percent="0" bottom="0">
      <formula>0</formula>
    </cfRule>
  </conditionalFormatting>
  <conditionalFormatting sqref="CK307:CN307">
    <cfRule type="cellIs" rank="0" priority="4" equalAverage="0" operator="notEqual" aboveAverage="0" dxfId="0" text="" percent="0" bottom="0">
      <formula>0</formula>
    </cfRule>
  </conditionalFormatting>
  <conditionalFormatting sqref="CF307:CI307">
    <cfRule type="cellIs" rank="0" priority="5" equalAverage="0" operator="notEqual" aboveAverage="0" dxfId="0" text="" percent="0" bottom="0">
      <formula>0</formula>
    </cfRule>
  </conditionalFormatting>
  <conditionalFormatting sqref="CA307:CD307">
    <cfRule type="cellIs" rank="0" priority="6" equalAverage="0" operator="notEqual" aboveAverage="0" dxfId="0" text="" percent="0" bottom="0">
      <formula>0</formula>
    </cfRule>
  </conditionalFormatting>
  <conditionalFormatting sqref="BV307:BY307">
    <cfRule type="cellIs" rank="0" priority="7" equalAverage="0" operator="notEqual" aboveAverage="0" dxfId="0" text="" percent="0" bottom="0">
      <formula>0</formula>
    </cfRule>
  </conditionalFormatting>
  <conditionalFormatting sqref="BQ307:BT307">
    <cfRule type="cellIs" rank="0" priority="8" equalAverage="0" operator="notEqual" aboveAverage="0" dxfId="0" text="" percent="0" bottom="0">
      <formula>0</formula>
    </cfRule>
  </conditionalFormatting>
  <conditionalFormatting sqref="BL307:BO307">
    <cfRule type="cellIs" rank="0" priority="9" equalAverage="0" operator="notEqual" aboveAverage="0" dxfId="0" text="" percent="0" bottom="0">
      <formula>0</formula>
    </cfRule>
  </conditionalFormatting>
  <conditionalFormatting sqref="BG307:BJ307">
    <cfRule type="cellIs" rank="0" priority="10" equalAverage="0" operator="notEqual" aboveAverage="0" dxfId="0" text="" percent="0" bottom="0">
      <formula>0</formula>
    </cfRule>
  </conditionalFormatting>
  <conditionalFormatting sqref="BB307:BE307">
    <cfRule type="cellIs" rank="0" priority="11" equalAverage="0" operator="notEqual" aboveAverage="0" dxfId="0" text="" percent="0" bottom="0">
      <formula>0</formula>
    </cfRule>
  </conditionalFormatting>
  <conditionalFormatting sqref="AW307:AZ307">
    <cfRule type="cellIs" rank="0" priority="12" equalAverage="0" operator="notEqual" aboveAverage="0" dxfId="0" text="" percent="0" bottom="0">
      <formula>0</formula>
    </cfRule>
  </conditionalFormatting>
  <conditionalFormatting sqref="AR307:AU307">
    <cfRule type="cellIs" rank="0" priority="13" equalAverage="0" operator="notEqual" aboveAverage="0" dxfId="0" text="" percent="0" bottom="0">
      <formula>0</formula>
    </cfRule>
  </conditionalFormatting>
  <conditionalFormatting sqref="AM307:AP307">
    <cfRule type="cellIs" rank="0" priority="14" equalAverage="0" operator="notEqual" aboveAverage="0" dxfId="0" text="" percent="0" bottom="0">
      <formula>0</formula>
    </cfRule>
  </conditionalFormatting>
  <conditionalFormatting sqref="AH307:AK307">
    <cfRule type="cellIs" rank="0" priority="15" equalAverage="0" operator="notEqual" aboveAverage="0" dxfId="0" text="" percent="0" bottom="0">
      <formula>0</formula>
    </cfRule>
  </conditionalFormatting>
  <conditionalFormatting sqref="E307:G307">
    <cfRule type="cellIs" rank="0" priority="16" equalAverage="0" operator="notEqual" aboveAverage="0" dxfId="0" text="" percent="0" bottom="0">
      <formula>0</formula>
    </cfRule>
  </conditionalFormatting>
  <conditionalFormatting sqref="E5:H5">
    <cfRule type="cellIs" rank="0" priority="17" equalAverage="0" operator="greaterThan" aboveAverage="0" dxfId="1" text="" percent="0" bottom="0">
      <formula>$B$5</formula>
    </cfRule>
  </conditionalFormatting>
  <conditionalFormatting sqref="D1:CY3">
    <cfRule type="cellIs" rank="0" priority="18" equalAverage="0" operator="greaterThan" aboveAverage="0" dxfId="2" text="" percent="0" bottom="0">
      <formula>1</formula>
    </cfRule>
  </conditionalFormatting>
  <conditionalFormatting sqref="AC307:AF307">
    <cfRule type="cellIs" rank="0" priority="19" equalAverage="0" operator="notEqual" aboveAverage="0" dxfId="0" text="" percent="0" bottom="0">
      <formula>0</formula>
    </cfRule>
  </conditionalFormatting>
  <conditionalFormatting sqref="X307:AA307">
    <cfRule type="cellIs" rank="0" priority="20" equalAverage="0" operator="notEqual" aboveAverage="0" dxfId="0" text="" percent="0" bottom="0">
      <formula>0</formula>
    </cfRule>
  </conditionalFormatting>
  <conditionalFormatting sqref="S307:V307">
    <cfRule type="cellIs" rank="0" priority="21" equalAverage="0" operator="notEqual" aboveAverage="0" dxfId="0" text="" percent="0" bottom="0">
      <formula>0</formula>
    </cfRule>
  </conditionalFormatting>
  <conditionalFormatting sqref="N307:Q307">
    <cfRule type="cellIs" rank="0" priority="22" equalAverage="0" operator="notEqual" aboveAverage="0" dxfId="0" text="" percent="0" bottom="0">
      <formula>0</formula>
    </cfRule>
  </conditionalFormatting>
  <conditionalFormatting sqref="I307:L307">
    <cfRule type="cellIs" rank="0" priority="23" equalAverage="0" operator="notEqual" aboveAverage="0" dxfId="0" text="" percent="0" bottom="0">
      <formula>0</formula>
    </cfRule>
  </conditionalFormatting>
  <conditionalFormatting sqref="J5:CY5">
    <cfRule type="cellIs" rank="0" priority="24" equalAverage="0" operator="greaterThan" aboveAverage="0" dxfId="1" text="" percent="0" bottom="0">
      <formula>$B$5</formula>
    </cfRule>
  </conditionalFormatting>
  <conditionalFormatting sqref="B1:B4 B13:B1048576">
    <cfRule type="expression" rank="0" priority="25" equalAverage="0" aboveAverage="0" dxfId="3" text="" percent="0" bottom="0">
      <formula>B1&lt;&gt;""</formula>
    </cfRule>
  </conditionalFormatting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3:AB102"/>
  <sheetViews>
    <sheetView showFormulas="0" showGridLines="1" showRowColHeaders="1" showZeros="1" rightToLeft="0" tabSelected="0" showOutlineSymbols="1" defaultGridColor="1" view="normal" topLeftCell="A9" colorId="64" zoomScale="100" zoomScaleNormal="100" zoomScalePageLayoutView="100" workbookViewId="0">
      <selection pane="topLeft" activeCell="D9" activeCellId="0" sqref="D9"/>
    </sheetView>
  </sheetViews>
  <sheetFormatPr baseColWidth="8" defaultColWidth="9.140625" defaultRowHeight="12.75" zeroHeight="0" outlineLevelRow="1"/>
  <cols>
    <col width="2" customWidth="1" style="349" min="1" max="1"/>
    <col outlineLevel="1" width="4.28" customWidth="1" style="349" min="2" max="2"/>
    <col width="54.57" customWidth="1" style="349" min="3" max="3"/>
    <col outlineLevel="1" width="12.85" customWidth="1" style="349" min="4" max="4"/>
    <col outlineLevel="1" width="11.28" customWidth="1" style="349" min="5" max="6"/>
    <col width="11.85" customWidth="1" style="349" min="7" max="7"/>
    <col width="14.14" customWidth="1" style="349" min="8" max="8"/>
    <col width="13.71" customWidth="1" style="349" min="9" max="9"/>
    <col width="11.28" customWidth="1" style="349" min="10" max="12"/>
    <col width="11.71" customWidth="1" style="349" min="13" max="13"/>
    <col width="11.57" customWidth="1" style="349" min="14" max="14"/>
    <col width="11.71" customWidth="1" style="349" min="15" max="15"/>
    <col width="10.85" customWidth="1" style="349" min="16" max="20"/>
    <col width="11.71" customWidth="1" style="349" min="21" max="22"/>
    <col width="9.279999999999999" customWidth="1" style="349" min="23" max="23"/>
    <col width="11.42" customWidth="1" style="349" min="24" max="25"/>
    <col width="10" customWidth="1" style="349" min="26" max="26"/>
    <col width="9.140000000000001" customWidth="1" style="349" min="27" max="27"/>
    <col width="19" customWidth="1" style="349" min="28" max="28"/>
    <col width="9.140000000000001" customWidth="1" style="349" min="29" max="31"/>
    <col width="8" customWidth="1" style="349" min="32" max="32"/>
    <col width="9.140000000000001" customWidth="1" style="349" min="33" max="261"/>
    <col width="2" customWidth="1" style="349" min="262" max="263"/>
    <col width="31.28" customWidth="1" style="349" min="264" max="264"/>
    <col width="13" customWidth="1" style="349" min="265" max="265"/>
    <col width="11.28" customWidth="1" style="349" min="266" max="268"/>
    <col width="13.71" customWidth="1" style="349" min="269" max="269"/>
    <col width="11.28" customWidth="1" style="349" min="270" max="273"/>
    <col width="9.140000000000001" customWidth="1" style="349" min="274" max="275"/>
    <col width="10.85" customWidth="1" style="349" min="276" max="276"/>
    <col width="9.140000000000001" customWidth="1" style="349" min="277" max="517"/>
    <col width="2" customWidth="1" style="349" min="518" max="519"/>
    <col width="31.28" customWidth="1" style="349" min="520" max="520"/>
    <col width="13" customWidth="1" style="349" min="521" max="521"/>
    <col width="11.28" customWidth="1" style="349" min="522" max="524"/>
    <col width="13.71" customWidth="1" style="349" min="525" max="525"/>
    <col width="11.28" customWidth="1" style="349" min="526" max="529"/>
    <col width="9.140000000000001" customWidth="1" style="349" min="530" max="531"/>
    <col width="10.85" customWidth="1" style="349" min="532" max="532"/>
    <col width="9.140000000000001" customWidth="1" style="349" min="533" max="773"/>
    <col width="2" customWidth="1" style="349" min="774" max="775"/>
    <col width="31.28" customWidth="1" style="349" min="776" max="776"/>
    <col width="13" customWidth="1" style="349" min="777" max="777"/>
    <col width="11.28" customWidth="1" style="349" min="778" max="780"/>
    <col width="13.71" customWidth="1" style="349" min="781" max="781"/>
    <col width="11.28" customWidth="1" style="349" min="782" max="785"/>
    <col width="9.140000000000001" customWidth="1" style="349" min="786" max="787"/>
    <col width="10.85" customWidth="1" style="349" min="788" max="788"/>
    <col width="9.140000000000001" customWidth="1" style="349" min="789" max="1029"/>
    <col width="2" customWidth="1" style="349" min="1030" max="1031"/>
    <col width="31.28" customWidth="1" style="349" min="1032" max="1032"/>
    <col width="13" customWidth="1" style="349" min="1033" max="1033"/>
    <col width="11.28" customWidth="1" style="349" min="1034" max="1036"/>
    <col width="13.71" customWidth="1" style="349" min="1037" max="1037"/>
    <col width="11.28" customWidth="1" style="349" min="1038" max="1041"/>
    <col width="9.140000000000001" customWidth="1" style="349" min="1042" max="1043"/>
    <col width="10.85" customWidth="1" style="349" min="1044" max="1044"/>
    <col width="9.140000000000001" customWidth="1" style="349" min="1045" max="1285"/>
    <col width="2" customWidth="1" style="349" min="1286" max="1287"/>
    <col width="31.28" customWidth="1" style="349" min="1288" max="1288"/>
    <col width="13" customWidth="1" style="349" min="1289" max="1289"/>
    <col width="11.28" customWidth="1" style="349" min="1290" max="1292"/>
    <col width="13.71" customWidth="1" style="349" min="1293" max="1293"/>
    <col width="11.28" customWidth="1" style="349" min="1294" max="1297"/>
    <col width="9.140000000000001" customWidth="1" style="349" min="1298" max="1299"/>
    <col width="10.85" customWidth="1" style="349" min="1300" max="1300"/>
    <col width="9.140000000000001" customWidth="1" style="349" min="1301" max="1541"/>
    <col width="2" customWidth="1" style="349" min="1542" max="1543"/>
    <col width="31.28" customWidth="1" style="349" min="1544" max="1544"/>
    <col width="13" customWidth="1" style="349" min="1545" max="1545"/>
    <col width="11.28" customWidth="1" style="349" min="1546" max="1548"/>
    <col width="13.71" customWidth="1" style="349" min="1549" max="1549"/>
    <col width="11.28" customWidth="1" style="349" min="1550" max="1553"/>
    <col width="9.140000000000001" customWidth="1" style="349" min="1554" max="1555"/>
    <col width="10.85" customWidth="1" style="349" min="1556" max="1556"/>
    <col width="9.140000000000001" customWidth="1" style="349" min="1557" max="1797"/>
    <col width="2" customWidth="1" style="349" min="1798" max="1799"/>
    <col width="31.28" customWidth="1" style="349" min="1800" max="1800"/>
    <col width="13" customWidth="1" style="349" min="1801" max="1801"/>
    <col width="11.28" customWidth="1" style="349" min="1802" max="1804"/>
    <col width="13.71" customWidth="1" style="349" min="1805" max="1805"/>
    <col width="11.28" customWidth="1" style="349" min="1806" max="1809"/>
    <col width="9.140000000000001" customWidth="1" style="349" min="1810" max="1811"/>
    <col width="10.85" customWidth="1" style="349" min="1812" max="1812"/>
    <col width="9.140000000000001" customWidth="1" style="349" min="1813" max="2053"/>
    <col width="2" customWidth="1" style="349" min="2054" max="2055"/>
    <col width="31.28" customWidth="1" style="349" min="2056" max="2056"/>
    <col width="13" customWidth="1" style="349" min="2057" max="2057"/>
    <col width="11.28" customWidth="1" style="349" min="2058" max="2060"/>
    <col width="13.71" customWidth="1" style="349" min="2061" max="2061"/>
    <col width="11.28" customWidth="1" style="349" min="2062" max="2065"/>
    <col width="9.140000000000001" customWidth="1" style="349" min="2066" max="2067"/>
    <col width="10.85" customWidth="1" style="349" min="2068" max="2068"/>
    <col width="9.140000000000001" customWidth="1" style="349" min="2069" max="2309"/>
    <col width="2" customWidth="1" style="349" min="2310" max="2311"/>
    <col width="31.28" customWidth="1" style="349" min="2312" max="2312"/>
    <col width="13" customWidth="1" style="349" min="2313" max="2313"/>
    <col width="11.28" customWidth="1" style="349" min="2314" max="2316"/>
    <col width="13.71" customWidth="1" style="349" min="2317" max="2317"/>
    <col width="11.28" customWidth="1" style="349" min="2318" max="2321"/>
    <col width="9.140000000000001" customWidth="1" style="349" min="2322" max="2323"/>
    <col width="10.85" customWidth="1" style="349" min="2324" max="2324"/>
    <col width="9.140000000000001" customWidth="1" style="349" min="2325" max="2565"/>
    <col width="2" customWidth="1" style="349" min="2566" max="2567"/>
    <col width="31.28" customWidth="1" style="349" min="2568" max="2568"/>
    <col width="13" customWidth="1" style="349" min="2569" max="2569"/>
    <col width="11.28" customWidth="1" style="349" min="2570" max="2572"/>
    <col width="13.71" customWidth="1" style="349" min="2573" max="2573"/>
    <col width="11.28" customWidth="1" style="349" min="2574" max="2577"/>
    <col width="9.140000000000001" customWidth="1" style="349" min="2578" max="2579"/>
    <col width="10.85" customWidth="1" style="349" min="2580" max="2580"/>
    <col width="9.140000000000001" customWidth="1" style="349" min="2581" max="2821"/>
    <col width="2" customWidth="1" style="349" min="2822" max="2823"/>
    <col width="31.28" customWidth="1" style="349" min="2824" max="2824"/>
    <col width="13" customWidth="1" style="349" min="2825" max="2825"/>
    <col width="11.28" customWidth="1" style="349" min="2826" max="2828"/>
    <col width="13.71" customWidth="1" style="349" min="2829" max="2829"/>
    <col width="11.28" customWidth="1" style="349" min="2830" max="2833"/>
    <col width="9.140000000000001" customWidth="1" style="349" min="2834" max="2835"/>
    <col width="10.85" customWidth="1" style="349" min="2836" max="2836"/>
    <col width="9.140000000000001" customWidth="1" style="349" min="2837" max="3077"/>
    <col width="2" customWidth="1" style="349" min="3078" max="3079"/>
    <col width="31.28" customWidth="1" style="349" min="3080" max="3080"/>
    <col width="13" customWidth="1" style="349" min="3081" max="3081"/>
    <col width="11.28" customWidth="1" style="349" min="3082" max="3084"/>
    <col width="13.71" customWidth="1" style="349" min="3085" max="3085"/>
    <col width="11.28" customWidth="1" style="349" min="3086" max="3089"/>
    <col width="9.140000000000001" customWidth="1" style="349" min="3090" max="3091"/>
    <col width="10.85" customWidth="1" style="349" min="3092" max="3092"/>
    <col width="9.140000000000001" customWidth="1" style="349" min="3093" max="3333"/>
    <col width="2" customWidth="1" style="349" min="3334" max="3335"/>
    <col width="31.28" customWidth="1" style="349" min="3336" max="3336"/>
    <col width="13" customWidth="1" style="349" min="3337" max="3337"/>
    <col width="11.28" customWidth="1" style="349" min="3338" max="3340"/>
    <col width="13.71" customWidth="1" style="349" min="3341" max="3341"/>
    <col width="11.28" customWidth="1" style="349" min="3342" max="3345"/>
    <col width="9.140000000000001" customWidth="1" style="349" min="3346" max="3347"/>
    <col width="10.85" customWidth="1" style="349" min="3348" max="3348"/>
    <col width="9.140000000000001" customWidth="1" style="349" min="3349" max="3589"/>
    <col width="2" customWidth="1" style="349" min="3590" max="3591"/>
    <col width="31.28" customWidth="1" style="349" min="3592" max="3592"/>
    <col width="13" customWidth="1" style="349" min="3593" max="3593"/>
    <col width="11.28" customWidth="1" style="349" min="3594" max="3596"/>
    <col width="13.71" customWidth="1" style="349" min="3597" max="3597"/>
    <col width="11.28" customWidth="1" style="349" min="3598" max="3601"/>
    <col width="9.140000000000001" customWidth="1" style="349" min="3602" max="3603"/>
    <col width="10.85" customWidth="1" style="349" min="3604" max="3604"/>
    <col width="9.140000000000001" customWidth="1" style="349" min="3605" max="3845"/>
    <col width="2" customWidth="1" style="349" min="3846" max="3847"/>
    <col width="31.28" customWidth="1" style="349" min="3848" max="3848"/>
    <col width="13" customWidth="1" style="349" min="3849" max="3849"/>
    <col width="11.28" customWidth="1" style="349" min="3850" max="3852"/>
    <col width="13.71" customWidth="1" style="349" min="3853" max="3853"/>
    <col width="11.28" customWidth="1" style="349" min="3854" max="3857"/>
    <col width="9.140000000000001" customWidth="1" style="349" min="3858" max="3859"/>
    <col width="10.85" customWidth="1" style="349" min="3860" max="3860"/>
    <col width="9.140000000000001" customWidth="1" style="349" min="3861" max="4101"/>
    <col width="2" customWidth="1" style="349" min="4102" max="4103"/>
    <col width="31.28" customWidth="1" style="349" min="4104" max="4104"/>
    <col width="13" customWidth="1" style="349" min="4105" max="4105"/>
    <col width="11.28" customWidth="1" style="349" min="4106" max="4108"/>
    <col width="13.71" customWidth="1" style="349" min="4109" max="4109"/>
    <col width="11.28" customWidth="1" style="349" min="4110" max="4113"/>
    <col width="9.140000000000001" customWidth="1" style="349" min="4114" max="4115"/>
    <col width="10.85" customWidth="1" style="349" min="4116" max="4116"/>
    <col width="9.140000000000001" customWidth="1" style="349" min="4117" max="4357"/>
    <col width="2" customWidth="1" style="349" min="4358" max="4359"/>
    <col width="31.28" customWidth="1" style="349" min="4360" max="4360"/>
    <col width="13" customWidth="1" style="349" min="4361" max="4361"/>
    <col width="11.28" customWidth="1" style="349" min="4362" max="4364"/>
    <col width="13.71" customWidth="1" style="349" min="4365" max="4365"/>
    <col width="11.28" customWidth="1" style="349" min="4366" max="4369"/>
    <col width="9.140000000000001" customWidth="1" style="349" min="4370" max="4371"/>
    <col width="10.85" customWidth="1" style="349" min="4372" max="4372"/>
    <col width="9.140000000000001" customWidth="1" style="349" min="4373" max="4613"/>
    <col width="2" customWidth="1" style="349" min="4614" max="4615"/>
    <col width="31.28" customWidth="1" style="349" min="4616" max="4616"/>
    <col width="13" customWidth="1" style="349" min="4617" max="4617"/>
    <col width="11.28" customWidth="1" style="349" min="4618" max="4620"/>
    <col width="13.71" customWidth="1" style="349" min="4621" max="4621"/>
    <col width="11.28" customWidth="1" style="349" min="4622" max="4625"/>
    <col width="9.140000000000001" customWidth="1" style="349" min="4626" max="4627"/>
    <col width="10.85" customWidth="1" style="349" min="4628" max="4628"/>
    <col width="9.140000000000001" customWidth="1" style="349" min="4629" max="4869"/>
    <col width="2" customWidth="1" style="349" min="4870" max="4871"/>
    <col width="31.28" customWidth="1" style="349" min="4872" max="4872"/>
    <col width="13" customWidth="1" style="349" min="4873" max="4873"/>
    <col width="11.28" customWidth="1" style="349" min="4874" max="4876"/>
    <col width="13.71" customWidth="1" style="349" min="4877" max="4877"/>
    <col width="11.28" customWidth="1" style="349" min="4878" max="4881"/>
    <col width="9.140000000000001" customWidth="1" style="349" min="4882" max="4883"/>
    <col width="10.85" customWidth="1" style="349" min="4884" max="4884"/>
    <col width="9.140000000000001" customWidth="1" style="349" min="4885" max="5125"/>
    <col width="2" customWidth="1" style="349" min="5126" max="5127"/>
    <col width="31.28" customWidth="1" style="349" min="5128" max="5128"/>
    <col width="13" customWidth="1" style="349" min="5129" max="5129"/>
    <col width="11.28" customWidth="1" style="349" min="5130" max="5132"/>
    <col width="13.71" customWidth="1" style="349" min="5133" max="5133"/>
    <col width="11.28" customWidth="1" style="349" min="5134" max="5137"/>
    <col width="9.140000000000001" customWidth="1" style="349" min="5138" max="5139"/>
    <col width="10.85" customWidth="1" style="349" min="5140" max="5140"/>
    <col width="9.140000000000001" customWidth="1" style="349" min="5141" max="5381"/>
    <col width="2" customWidth="1" style="349" min="5382" max="5383"/>
    <col width="31.28" customWidth="1" style="349" min="5384" max="5384"/>
    <col width="13" customWidth="1" style="349" min="5385" max="5385"/>
    <col width="11.28" customWidth="1" style="349" min="5386" max="5388"/>
    <col width="13.71" customWidth="1" style="349" min="5389" max="5389"/>
    <col width="11.28" customWidth="1" style="349" min="5390" max="5393"/>
    <col width="9.140000000000001" customWidth="1" style="349" min="5394" max="5395"/>
    <col width="10.85" customWidth="1" style="349" min="5396" max="5396"/>
    <col width="9.140000000000001" customWidth="1" style="349" min="5397" max="5637"/>
    <col width="2" customWidth="1" style="349" min="5638" max="5639"/>
    <col width="31.28" customWidth="1" style="349" min="5640" max="5640"/>
    <col width="13" customWidth="1" style="349" min="5641" max="5641"/>
    <col width="11.28" customWidth="1" style="349" min="5642" max="5644"/>
    <col width="13.71" customWidth="1" style="349" min="5645" max="5645"/>
    <col width="11.28" customWidth="1" style="349" min="5646" max="5649"/>
    <col width="9.140000000000001" customWidth="1" style="349" min="5650" max="5651"/>
    <col width="10.85" customWidth="1" style="349" min="5652" max="5652"/>
    <col width="9.140000000000001" customWidth="1" style="349" min="5653" max="5893"/>
    <col width="2" customWidth="1" style="349" min="5894" max="5895"/>
    <col width="31.28" customWidth="1" style="349" min="5896" max="5896"/>
    <col width="13" customWidth="1" style="349" min="5897" max="5897"/>
    <col width="11.28" customWidth="1" style="349" min="5898" max="5900"/>
    <col width="13.71" customWidth="1" style="349" min="5901" max="5901"/>
    <col width="11.28" customWidth="1" style="349" min="5902" max="5905"/>
    <col width="9.140000000000001" customWidth="1" style="349" min="5906" max="5907"/>
    <col width="10.85" customWidth="1" style="349" min="5908" max="5908"/>
    <col width="9.140000000000001" customWidth="1" style="349" min="5909" max="6149"/>
    <col width="2" customWidth="1" style="349" min="6150" max="6151"/>
    <col width="31.28" customWidth="1" style="349" min="6152" max="6152"/>
    <col width="13" customWidth="1" style="349" min="6153" max="6153"/>
    <col width="11.28" customWidth="1" style="349" min="6154" max="6156"/>
    <col width="13.71" customWidth="1" style="349" min="6157" max="6157"/>
    <col width="11.28" customWidth="1" style="349" min="6158" max="6161"/>
    <col width="9.140000000000001" customWidth="1" style="349" min="6162" max="6163"/>
    <col width="10.85" customWidth="1" style="349" min="6164" max="6164"/>
    <col width="9.140000000000001" customWidth="1" style="349" min="6165" max="6405"/>
    <col width="2" customWidth="1" style="349" min="6406" max="6407"/>
    <col width="31.28" customWidth="1" style="349" min="6408" max="6408"/>
    <col width="13" customWidth="1" style="349" min="6409" max="6409"/>
    <col width="11.28" customWidth="1" style="349" min="6410" max="6412"/>
    <col width="13.71" customWidth="1" style="349" min="6413" max="6413"/>
    <col width="11.28" customWidth="1" style="349" min="6414" max="6417"/>
    <col width="9.140000000000001" customWidth="1" style="349" min="6418" max="6419"/>
    <col width="10.85" customWidth="1" style="349" min="6420" max="6420"/>
    <col width="9.140000000000001" customWidth="1" style="349" min="6421" max="6661"/>
    <col width="2" customWidth="1" style="349" min="6662" max="6663"/>
    <col width="31.28" customWidth="1" style="349" min="6664" max="6664"/>
    <col width="13" customWidth="1" style="349" min="6665" max="6665"/>
    <col width="11.28" customWidth="1" style="349" min="6666" max="6668"/>
    <col width="13.71" customWidth="1" style="349" min="6669" max="6669"/>
    <col width="11.28" customWidth="1" style="349" min="6670" max="6673"/>
    <col width="9.140000000000001" customWidth="1" style="349" min="6674" max="6675"/>
    <col width="10.85" customWidth="1" style="349" min="6676" max="6676"/>
    <col width="9.140000000000001" customWidth="1" style="349" min="6677" max="6917"/>
    <col width="2" customWidth="1" style="349" min="6918" max="6919"/>
    <col width="31.28" customWidth="1" style="349" min="6920" max="6920"/>
    <col width="13" customWidth="1" style="349" min="6921" max="6921"/>
    <col width="11.28" customWidth="1" style="349" min="6922" max="6924"/>
    <col width="13.71" customWidth="1" style="349" min="6925" max="6925"/>
    <col width="11.28" customWidth="1" style="349" min="6926" max="6929"/>
    <col width="9.140000000000001" customWidth="1" style="349" min="6930" max="6931"/>
    <col width="10.85" customWidth="1" style="349" min="6932" max="6932"/>
    <col width="9.140000000000001" customWidth="1" style="349" min="6933" max="7173"/>
    <col width="2" customWidth="1" style="349" min="7174" max="7175"/>
    <col width="31.28" customWidth="1" style="349" min="7176" max="7176"/>
    <col width="13" customWidth="1" style="349" min="7177" max="7177"/>
    <col width="11.28" customWidth="1" style="349" min="7178" max="7180"/>
    <col width="13.71" customWidth="1" style="349" min="7181" max="7181"/>
    <col width="11.28" customWidth="1" style="349" min="7182" max="7185"/>
    <col width="9.140000000000001" customWidth="1" style="349" min="7186" max="7187"/>
    <col width="10.85" customWidth="1" style="349" min="7188" max="7188"/>
    <col width="9.140000000000001" customWidth="1" style="349" min="7189" max="7429"/>
    <col width="2" customWidth="1" style="349" min="7430" max="7431"/>
    <col width="31.28" customWidth="1" style="349" min="7432" max="7432"/>
    <col width="13" customWidth="1" style="349" min="7433" max="7433"/>
    <col width="11.28" customWidth="1" style="349" min="7434" max="7436"/>
    <col width="13.71" customWidth="1" style="349" min="7437" max="7437"/>
    <col width="11.28" customWidth="1" style="349" min="7438" max="7441"/>
    <col width="9.140000000000001" customWidth="1" style="349" min="7442" max="7443"/>
    <col width="10.85" customWidth="1" style="349" min="7444" max="7444"/>
    <col width="9.140000000000001" customWidth="1" style="349" min="7445" max="7685"/>
    <col width="2" customWidth="1" style="349" min="7686" max="7687"/>
    <col width="31.28" customWidth="1" style="349" min="7688" max="7688"/>
    <col width="13" customWidth="1" style="349" min="7689" max="7689"/>
    <col width="11.28" customWidth="1" style="349" min="7690" max="7692"/>
    <col width="13.71" customWidth="1" style="349" min="7693" max="7693"/>
    <col width="11.28" customWidth="1" style="349" min="7694" max="7697"/>
    <col width="9.140000000000001" customWidth="1" style="349" min="7698" max="7699"/>
    <col width="10.85" customWidth="1" style="349" min="7700" max="7700"/>
    <col width="9.140000000000001" customWidth="1" style="349" min="7701" max="7941"/>
    <col width="2" customWidth="1" style="349" min="7942" max="7943"/>
    <col width="31.28" customWidth="1" style="349" min="7944" max="7944"/>
    <col width="13" customWidth="1" style="349" min="7945" max="7945"/>
    <col width="11.28" customWidth="1" style="349" min="7946" max="7948"/>
    <col width="13.71" customWidth="1" style="349" min="7949" max="7949"/>
    <col width="11.28" customWidth="1" style="349" min="7950" max="7953"/>
    <col width="9.140000000000001" customWidth="1" style="349" min="7954" max="7955"/>
    <col width="10.85" customWidth="1" style="349" min="7956" max="7956"/>
    <col width="9.140000000000001" customWidth="1" style="349" min="7957" max="8197"/>
    <col width="2" customWidth="1" style="349" min="8198" max="8199"/>
    <col width="31.28" customWidth="1" style="349" min="8200" max="8200"/>
    <col width="13" customWidth="1" style="349" min="8201" max="8201"/>
    <col width="11.28" customWidth="1" style="349" min="8202" max="8204"/>
    <col width="13.71" customWidth="1" style="349" min="8205" max="8205"/>
    <col width="11.28" customWidth="1" style="349" min="8206" max="8209"/>
    <col width="9.140000000000001" customWidth="1" style="349" min="8210" max="8211"/>
    <col width="10.85" customWidth="1" style="349" min="8212" max="8212"/>
    <col width="9.140000000000001" customWidth="1" style="349" min="8213" max="8453"/>
    <col width="2" customWidth="1" style="349" min="8454" max="8455"/>
    <col width="31.28" customWidth="1" style="349" min="8456" max="8456"/>
    <col width="13" customWidth="1" style="349" min="8457" max="8457"/>
    <col width="11.28" customWidth="1" style="349" min="8458" max="8460"/>
    <col width="13.71" customWidth="1" style="349" min="8461" max="8461"/>
    <col width="11.28" customWidth="1" style="349" min="8462" max="8465"/>
    <col width="9.140000000000001" customWidth="1" style="349" min="8466" max="8467"/>
    <col width="10.85" customWidth="1" style="349" min="8468" max="8468"/>
    <col width="9.140000000000001" customWidth="1" style="349" min="8469" max="8709"/>
    <col width="2" customWidth="1" style="349" min="8710" max="8711"/>
    <col width="31.28" customWidth="1" style="349" min="8712" max="8712"/>
    <col width="13" customWidth="1" style="349" min="8713" max="8713"/>
    <col width="11.28" customWidth="1" style="349" min="8714" max="8716"/>
    <col width="13.71" customWidth="1" style="349" min="8717" max="8717"/>
    <col width="11.28" customWidth="1" style="349" min="8718" max="8721"/>
    <col width="9.140000000000001" customWidth="1" style="349" min="8722" max="8723"/>
    <col width="10.85" customWidth="1" style="349" min="8724" max="8724"/>
    <col width="9.140000000000001" customWidth="1" style="349" min="8725" max="8965"/>
    <col width="2" customWidth="1" style="349" min="8966" max="8967"/>
    <col width="31.28" customWidth="1" style="349" min="8968" max="8968"/>
    <col width="13" customWidth="1" style="349" min="8969" max="8969"/>
    <col width="11.28" customWidth="1" style="349" min="8970" max="8972"/>
    <col width="13.71" customWidth="1" style="349" min="8973" max="8973"/>
    <col width="11.28" customWidth="1" style="349" min="8974" max="8977"/>
    <col width="9.140000000000001" customWidth="1" style="349" min="8978" max="8979"/>
    <col width="10.85" customWidth="1" style="349" min="8980" max="8980"/>
    <col width="9.140000000000001" customWidth="1" style="349" min="8981" max="9221"/>
    <col width="2" customWidth="1" style="349" min="9222" max="9223"/>
    <col width="31.28" customWidth="1" style="349" min="9224" max="9224"/>
    <col width="13" customWidth="1" style="349" min="9225" max="9225"/>
    <col width="11.28" customWidth="1" style="349" min="9226" max="9228"/>
    <col width="13.71" customWidth="1" style="349" min="9229" max="9229"/>
    <col width="11.28" customWidth="1" style="349" min="9230" max="9233"/>
    <col width="9.140000000000001" customWidth="1" style="349" min="9234" max="9235"/>
    <col width="10.85" customWidth="1" style="349" min="9236" max="9236"/>
    <col width="9.140000000000001" customWidth="1" style="349" min="9237" max="9477"/>
    <col width="2" customWidth="1" style="349" min="9478" max="9479"/>
    <col width="31.28" customWidth="1" style="349" min="9480" max="9480"/>
    <col width="13" customWidth="1" style="349" min="9481" max="9481"/>
    <col width="11.28" customWidth="1" style="349" min="9482" max="9484"/>
    <col width="13.71" customWidth="1" style="349" min="9485" max="9485"/>
    <col width="11.28" customWidth="1" style="349" min="9486" max="9489"/>
    <col width="9.140000000000001" customWidth="1" style="349" min="9490" max="9491"/>
    <col width="10.85" customWidth="1" style="349" min="9492" max="9492"/>
    <col width="9.140000000000001" customWidth="1" style="349" min="9493" max="9733"/>
    <col width="2" customWidth="1" style="349" min="9734" max="9735"/>
    <col width="31.28" customWidth="1" style="349" min="9736" max="9736"/>
    <col width="13" customWidth="1" style="349" min="9737" max="9737"/>
    <col width="11.28" customWidth="1" style="349" min="9738" max="9740"/>
    <col width="13.71" customWidth="1" style="349" min="9741" max="9741"/>
    <col width="11.28" customWidth="1" style="349" min="9742" max="9745"/>
    <col width="9.140000000000001" customWidth="1" style="349" min="9746" max="9747"/>
    <col width="10.85" customWidth="1" style="349" min="9748" max="9748"/>
    <col width="9.140000000000001" customWidth="1" style="349" min="9749" max="9989"/>
    <col width="2" customWidth="1" style="349" min="9990" max="9991"/>
    <col width="31.28" customWidth="1" style="349" min="9992" max="9992"/>
    <col width="13" customWidth="1" style="349" min="9993" max="9993"/>
    <col width="11.28" customWidth="1" style="349" min="9994" max="9996"/>
    <col width="13.71" customWidth="1" style="349" min="9997" max="9997"/>
    <col width="11.28" customWidth="1" style="349" min="9998" max="10001"/>
    <col width="9.140000000000001" customWidth="1" style="349" min="10002" max="10003"/>
    <col width="10.85" customWidth="1" style="349" min="10004" max="10004"/>
    <col width="9.140000000000001" customWidth="1" style="349" min="10005" max="10245"/>
    <col width="2" customWidth="1" style="349" min="10246" max="10247"/>
    <col width="31.28" customWidth="1" style="349" min="10248" max="10248"/>
    <col width="13" customWidth="1" style="349" min="10249" max="10249"/>
    <col width="11.28" customWidth="1" style="349" min="10250" max="10252"/>
    <col width="13.71" customWidth="1" style="349" min="10253" max="10253"/>
    <col width="11.28" customWidth="1" style="349" min="10254" max="10257"/>
    <col width="9.140000000000001" customWidth="1" style="349" min="10258" max="10259"/>
    <col width="10.85" customWidth="1" style="349" min="10260" max="10260"/>
    <col width="9.140000000000001" customWidth="1" style="349" min="10261" max="10501"/>
    <col width="2" customWidth="1" style="349" min="10502" max="10503"/>
    <col width="31.28" customWidth="1" style="349" min="10504" max="10504"/>
    <col width="13" customWidth="1" style="349" min="10505" max="10505"/>
    <col width="11.28" customWidth="1" style="349" min="10506" max="10508"/>
    <col width="13.71" customWidth="1" style="349" min="10509" max="10509"/>
    <col width="11.28" customWidth="1" style="349" min="10510" max="10513"/>
    <col width="9.140000000000001" customWidth="1" style="349" min="10514" max="10515"/>
    <col width="10.85" customWidth="1" style="349" min="10516" max="10516"/>
    <col width="9.140000000000001" customWidth="1" style="349" min="10517" max="10757"/>
    <col width="2" customWidth="1" style="349" min="10758" max="10759"/>
    <col width="31.28" customWidth="1" style="349" min="10760" max="10760"/>
    <col width="13" customWidth="1" style="349" min="10761" max="10761"/>
    <col width="11.28" customWidth="1" style="349" min="10762" max="10764"/>
    <col width="13.71" customWidth="1" style="349" min="10765" max="10765"/>
    <col width="11.28" customWidth="1" style="349" min="10766" max="10769"/>
    <col width="9.140000000000001" customWidth="1" style="349" min="10770" max="10771"/>
    <col width="10.85" customWidth="1" style="349" min="10772" max="10772"/>
    <col width="9.140000000000001" customWidth="1" style="349" min="10773" max="11013"/>
    <col width="2" customWidth="1" style="349" min="11014" max="11015"/>
    <col width="31.28" customWidth="1" style="349" min="11016" max="11016"/>
    <col width="13" customWidth="1" style="349" min="11017" max="11017"/>
    <col width="11.28" customWidth="1" style="349" min="11018" max="11020"/>
    <col width="13.71" customWidth="1" style="349" min="11021" max="11021"/>
    <col width="11.28" customWidth="1" style="349" min="11022" max="11025"/>
    <col width="9.140000000000001" customWidth="1" style="349" min="11026" max="11027"/>
    <col width="10.85" customWidth="1" style="349" min="11028" max="11028"/>
    <col width="9.140000000000001" customWidth="1" style="349" min="11029" max="11269"/>
    <col width="2" customWidth="1" style="349" min="11270" max="11271"/>
    <col width="31.28" customWidth="1" style="349" min="11272" max="11272"/>
    <col width="13" customWidth="1" style="349" min="11273" max="11273"/>
    <col width="11.28" customWidth="1" style="349" min="11274" max="11276"/>
    <col width="13.71" customWidth="1" style="349" min="11277" max="11277"/>
    <col width="11.28" customWidth="1" style="349" min="11278" max="11281"/>
    <col width="9.140000000000001" customWidth="1" style="349" min="11282" max="11283"/>
    <col width="10.85" customWidth="1" style="349" min="11284" max="11284"/>
    <col width="9.140000000000001" customWidth="1" style="349" min="11285" max="11525"/>
    <col width="2" customWidth="1" style="349" min="11526" max="11527"/>
    <col width="31.28" customWidth="1" style="349" min="11528" max="11528"/>
    <col width="13" customWidth="1" style="349" min="11529" max="11529"/>
    <col width="11.28" customWidth="1" style="349" min="11530" max="11532"/>
    <col width="13.71" customWidth="1" style="349" min="11533" max="11533"/>
    <col width="11.28" customWidth="1" style="349" min="11534" max="11537"/>
    <col width="9.140000000000001" customWidth="1" style="349" min="11538" max="11539"/>
    <col width="10.85" customWidth="1" style="349" min="11540" max="11540"/>
    <col width="9.140000000000001" customWidth="1" style="349" min="11541" max="11781"/>
    <col width="2" customWidth="1" style="349" min="11782" max="11783"/>
    <col width="31.28" customWidth="1" style="349" min="11784" max="11784"/>
    <col width="13" customWidth="1" style="349" min="11785" max="11785"/>
    <col width="11.28" customWidth="1" style="349" min="11786" max="11788"/>
    <col width="13.71" customWidth="1" style="349" min="11789" max="11789"/>
    <col width="11.28" customWidth="1" style="349" min="11790" max="11793"/>
    <col width="9.140000000000001" customWidth="1" style="349" min="11794" max="11795"/>
    <col width="10.85" customWidth="1" style="349" min="11796" max="11796"/>
    <col width="9.140000000000001" customWidth="1" style="349" min="11797" max="12037"/>
    <col width="2" customWidth="1" style="349" min="12038" max="12039"/>
    <col width="31.28" customWidth="1" style="349" min="12040" max="12040"/>
    <col width="13" customWidth="1" style="349" min="12041" max="12041"/>
    <col width="11.28" customWidth="1" style="349" min="12042" max="12044"/>
    <col width="13.71" customWidth="1" style="349" min="12045" max="12045"/>
    <col width="11.28" customWidth="1" style="349" min="12046" max="12049"/>
    <col width="9.140000000000001" customWidth="1" style="349" min="12050" max="12051"/>
    <col width="10.85" customWidth="1" style="349" min="12052" max="12052"/>
    <col width="9.140000000000001" customWidth="1" style="349" min="12053" max="12293"/>
    <col width="2" customWidth="1" style="349" min="12294" max="12295"/>
    <col width="31.28" customWidth="1" style="349" min="12296" max="12296"/>
    <col width="13" customWidth="1" style="349" min="12297" max="12297"/>
    <col width="11.28" customWidth="1" style="349" min="12298" max="12300"/>
    <col width="13.71" customWidth="1" style="349" min="12301" max="12301"/>
    <col width="11.28" customWidth="1" style="349" min="12302" max="12305"/>
    <col width="9.140000000000001" customWidth="1" style="349" min="12306" max="12307"/>
    <col width="10.85" customWidth="1" style="349" min="12308" max="12308"/>
    <col width="9.140000000000001" customWidth="1" style="349" min="12309" max="12549"/>
    <col width="2" customWidth="1" style="349" min="12550" max="12551"/>
    <col width="31.28" customWidth="1" style="349" min="12552" max="12552"/>
    <col width="13" customWidth="1" style="349" min="12553" max="12553"/>
    <col width="11.28" customWidth="1" style="349" min="12554" max="12556"/>
    <col width="13.71" customWidth="1" style="349" min="12557" max="12557"/>
    <col width="11.28" customWidth="1" style="349" min="12558" max="12561"/>
    <col width="9.140000000000001" customWidth="1" style="349" min="12562" max="12563"/>
    <col width="10.85" customWidth="1" style="349" min="12564" max="12564"/>
    <col width="9.140000000000001" customWidth="1" style="349" min="12565" max="12805"/>
    <col width="2" customWidth="1" style="349" min="12806" max="12807"/>
    <col width="31.28" customWidth="1" style="349" min="12808" max="12808"/>
    <col width="13" customWidth="1" style="349" min="12809" max="12809"/>
    <col width="11.28" customWidth="1" style="349" min="12810" max="12812"/>
    <col width="13.71" customWidth="1" style="349" min="12813" max="12813"/>
    <col width="11.28" customWidth="1" style="349" min="12814" max="12817"/>
    <col width="9.140000000000001" customWidth="1" style="349" min="12818" max="12819"/>
    <col width="10.85" customWidth="1" style="349" min="12820" max="12820"/>
    <col width="9.140000000000001" customWidth="1" style="349" min="12821" max="13061"/>
    <col width="2" customWidth="1" style="349" min="13062" max="13063"/>
    <col width="31.28" customWidth="1" style="349" min="13064" max="13064"/>
    <col width="13" customWidth="1" style="349" min="13065" max="13065"/>
    <col width="11.28" customWidth="1" style="349" min="13066" max="13068"/>
    <col width="13.71" customWidth="1" style="349" min="13069" max="13069"/>
    <col width="11.28" customWidth="1" style="349" min="13070" max="13073"/>
    <col width="9.140000000000001" customWidth="1" style="349" min="13074" max="13075"/>
    <col width="10.85" customWidth="1" style="349" min="13076" max="13076"/>
    <col width="9.140000000000001" customWidth="1" style="349" min="13077" max="13317"/>
    <col width="2" customWidth="1" style="349" min="13318" max="13319"/>
    <col width="31.28" customWidth="1" style="349" min="13320" max="13320"/>
    <col width="13" customWidth="1" style="349" min="13321" max="13321"/>
    <col width="11.28" customWidth="1" style="349" min="13322" max="13324"/>
    <col width="13.71" customWidth="1" style="349" min="13325" max="13325"/>
    <col width="11.28" customWidth="1" style="349" min="13326" max="13329"/>
    <col width="9.140000000000001" customWidth="1" style="349" min="13330" max="13331"/>
    <col width="10.85" customWidth="1" style="349" min="13332" max="13332"/>
    <col width="9.140000000000001" customWidth="1" style="349" min="13333" max="13573"/>
    <col width="2" customWidth="1" style="349" min="13574" max="13575"/>
    <col width="31.28" customWidth="1" style="349" min="13576" max="13576"/>
    <col width="13" customWidth="1" style="349" min="13577" max="13577"/>
    <col width="11.28" customWidth="1" style="349" min="13578" max="13580"/>
    <col width="13.71" customWidth="1" style="349" min="13581" max="13581"/>
    <col width="11.28" customWidth="1" style="349" min="13582" max="13585"/>
    <col width="9.140000000000001" customWidth="1" style="349" min="13586" max="13587"/>
    <col width="10.85" customWidth="1" style="349" min="13588" max="13588"/>
    <col width="9.140000000000001" customWidth="1" style="349" min="13589" max="13829"/>
    <col width="2" customWidth="1" style="349" min="13830" max="13831"/>
    <col width="31.28" customWidth="1" style="349" min="13832" max="13832"/>
    <col width="13" customWidth="1" style="349" min="13833" max="13833"/>
    <col width="11.28" customWidth="1" style="349" min="13834" max="13836"/>
    <col width="13.71" customWidth="1" style="349" min="13837" max="13837"/>
    <col width="11.28" customWidth="1" style="349" min="13838" max="13841"/>
    <col width="9.140000000000001" customWidth="1" style="349" min="13842" max="13843"/>
    <col width="10.85" customWidth="1" style="349" min="13844" max="13844"/>
    <col width="9.140000000000001" customWidth="1" style="349" min="13845" max="14085"/>
    <col width="2" customWidth="1" style="349" min="14086" max="14087"/>
    <col width="31.28" customWidth="1" style="349" min="14088" max="14088"/>
    <col width="13" customWidth="1" style="349" min="14089" max="14089"/>
    <col width="11.28" customWidth="1" style="349" min="14090" max="14092"/>
    <col width="13.71" customWidth="1" style="349" min="14093" max="14093"/>
    <col width="11.28" customWidth="1" style="349" min="14094" max="14097"/>
    <col width="9.140000000000001" customWidth="1" style="349" min="14098" max="14099"/>
    <col width="10.85" customWidth="1" style="349" min="14100" max="14100"/>
    <col width="9.140000000000001" customWidth="1" style="349" min="14101" max="14341"/>
    <col width="2" customWidth="1" style="349" min="14342" max="14343"/>
    <col width="31.28" customWidth="1" style="349" min="14344" max="14344"/>
    <col width="13" customWidth="1" style="349" min="14345" max="14345"/>
    <col width="11.28" customWidth="1" style="349" min="14346" max="14348"/>
    <col width="13.71" customWidth="1" style="349" min="14349" max="14349"/>
    <col width="11.28" customWidth="1" style="349" min="14350" max="14353"/>
    <col width="9.140000000000001" customWidth="1" style="349" min="14354" max="14355"/>
    <col width="10.85" customWidth="1" style="349" min="14356" max="14356"/>
    <col width="9.140000000000001" customWidth="1" style="349" min="14357" max="14597"/>
    <col width="2" customWidth="1" style="349" min="14598" max="14599"/>
    <col width="31.28" customWidth="1" style="349" min="14600" max="14600"/>
    <col width="13" customWidth="1" style="349" min="14601" max="14601"/>
    <col width="11.28" customWidth="1" style="349" min="14602" max="14604"/>
    <col width="13.71" customWidth="1" style="349" min="14605" max="14605"/>
    <col width="11.28" customWidth="1" style="349" min="14606" max="14609"/>
    <col width="9.140000000000001" customWidth="1" style="349" min="14610" max="14611"/>
    <col width="10.85" customWidth="1" style="349" min="14612" max="14612"/>
    <col width="9.140000000000001" customWidth="1" style="349" min="14613" max="14853"/>
    <col width="2" customWidth="1" style="349" min="14854" max="14855"/>
    <col width="31.28" customWidth="1" style="349" min="14856" max="14856"/>
    <col width="13" customWidth="1" style="349" min="14857" max="14857"/>
    <col width="11.28" customWidth="1" style="349" min="14858" max="14860"/>
    <col width="13.71" customWidth="1" style="349" min="14861" max="14861"/>
    <col width="11.28" customWidth="1" style="349" min="14862" max="14865"/>
    <col width="9.140000000000001" customWidth="1" style="349" min="14866" max="14867"/>
    <col width="10.85" customWidth="1" style="349" min="14868" max="14868"/>
    <col width="9.140000000000001" customWidth="1" style="349" min="14869" max="15109"/>
    <col width="2" customWidth="1" style="349" min="15110" max="15111"/>
    <col width="31.28" customWidth="1" style="349" min="15112" max="15112"/>
    <col width="13" customWidth="1" style="349" min="15113" max="15113"/>
    <col width="11.28" customWidth="1" style="349" min="15114" max="15116"/>
    <col width="13.71" customWidth="1" style="349" min="15117" max="15117"/>
    <col width="11.28" customWidth="1" style="349" min="15118" max="15121"/>
    <col width="9.140000000000001" customWidth="1" style="349" min="15122" max="15123"/>
    <col width="10.85" customWidth="1" style="349" min="15124" max="15124"/>
    <col width="9.140000000000001" customWidth="1" style="349" min="15125" max="15365"/>
    <col width="2" customWidth="1" style="349" min="15366" max="15367"/>
    <col width="31.28" customWidth="1" style="349" min="15368" max="15368"/>
    <col width="13" customWidth="1" style="349" min="15369" max="15369"/>
    <col width="11.28" customWidth="1" style="349" min="15370" max="15372"/>
    <col width="13.71" customWidth="1" style="349" min="15373" max="15373"/>
    <col width="11.28" customWidth="1" style="349" min="15374" max="15377"/>
    <col width="9.140000000000001" customWidth="1" style="349" min="15378" max="15379"/>
    <col width="10.85" customWidth="1" style="349" min="15380" max="15380"/>
    <col width="9.140000000000001" customWidth="1" style="349" min="15381" max="15621"/>
    <col width="2" customWidth="1" style="349" min="15622" max="15623"/>
    <col width="31.28" customWidth="1" style="349" min="15624" max="15624"/>
    <col width="13" customWidth="1" style="349" min="15625" max="15625"/>
    <col width="11.28" customWidth="1" style="349" min="15626" max="15628"/>
    <col width="13.71" customWidth="1" style="349" min="15629" max="15629"/>
    <col width="11.28" customWidth="1" style="349" min="15630" max="15633"/>
    <col width="9.140000000000001" customWidth="1" style="349" min="15634" max="15635"/>
    <col width="10.85" customWidth="1" style="349" min="15636" max="15636"/>
    <col width="9.140000000000001" customWidth="1" style="349" min="15637" max="15877"/>
    <col width="2" customWidth="1" style="349" min="15878" max="15879"/>
    <col width="31.28" customWidth="1" style="349" min="15880" max="15880"/>
    <col width="13" customWidth="1" style="349" min="15881" max="15881"/>
    <col width="11.28" customWidth="1" style="349" min="15882" max="15884"/>
    <col width="13.71" customWidth="1" style="349" min="15885" max="15885"/>
    <col width="11.28" customWidth="1" style="349" min="15886" max="15889"/>
    <col width="9.140000000000001" customWidth="1" style="349" min="15890" max="15891"/>
    <col width="10.85" customWidth="1" style="349" min="15892" max="15892"/>
    <col width="9.140000000000001" customWidth="1" style="349" min="15893" max="16133"/>
    <col width="2" customWidth="1" style="349" min="16134" max="16135"/>
    <col width="31.28" customWidth="1" style="349" min="16136" max="16136"/>
    <col width="13" customWidth="1" style="349" min="16137" max="16137"/>
    <col width="11.28" customWidth="1" style="349" min="16138" max="16140"/>
    <col width="13.71" customWidth="1" style="349" min="16141" max="16141"/>
    <col width="11.28" customWidth="1" style="349" min="16142" max="16145"/>
    <col width="9.140000000000001" customWidth="1" style="349" min="16146" max="16147"/>
    <col width="10.85" customWidth="1" style="349" min="16148" max="16148"/>
    <col width="9.140000000000001" customWidth="1" style="349" min="16149" max="16384"/>
  </cols>
  <sheetData>
    <row r="1" outlineLevel="1" ht="6.75" customFormat="1" customHeight="1" s="350"/>
    <row r="2" outlineLevel="1" ht="6.75" customFormat="1" customHeight="1" s="350"/>
    <row r="3" outlineLevel="1" ht="12.75" customHeight="1" s="255">
      <c r="C3" s="349" t="str">
        <f>"Discounted Cash Flow Model for "&amp;ticker</f>
        <v>Discounted Cash Flow Model for </v>
      </c>
    </row>
    <row r="4" outlineLevel="1" ht="13.5" customHeight="1" s="255">
      <c r="C4" s="351" t="inlineStr">
        <is>
          <t>All figures in millions, except per share data</t>
        </is>
      </c>
      <c r="D4" s="351" t="n"/>
      <c r="E4" s="351" t="n"/>
      <c r="F4" s="351" t="n"/>
      <c r="G4" s="351" t="n"/>
      <c r="H4" s="351" t="n"/>
      <c r="I4" s="351" t="n"/>
      <c r="J4" s="351" t="n"/>
      <c r="K4" s="351" t="n"/>
      <c r="L4" s="351" t="n"/>
      <c r="M4" s="351" t="n"/>
      <c r="N4" s="351" t="n"/>
      <c r="O4" s="351" t="n"/>
      <c r="P4" s="351" t="n"/>
      <c r="Q4" s="351" t="n"/>
      <c r="R4" s="351" t="n"/>
      <c r="S4" s="351" t="n"/>
      <c r="T4" s="351" t="n"/>
      <c r="U4" s="351" t="n"/>
      <c r="V4" s="351" t="n"/>
    </row>
    <row r="5" outlineLevel="1" ht="12.75" customHeight="1" s="255"/>
    <row r="6" outlineLevel="1" ht="12.75" customHeight="1" s="255"/>
    <row r="7" outlineLevel="1" ht="12.75" customHeight="1" s="255">
      <c r="C7" s="349" t="inlineStr">
        <is>
          <t>Ticker</t>
        </is>
      </c>
      <c r="D7" s="352" t="n"/>
      <c r="F7" s="349" t="inlineStr">
        <is>
          <t>Last close</t>
        </is>
      </c>
      <c r="G7" s="353" t="n"/>
    </row>
    <row r="8" outlineLevel="1" ht="13.8" customHeight="1" s="255">
      <c r="C8" s="349" t="inlineStr">
        <is>
          <t>Operating scenario:</t>
        </is>
      </c>
      <c r="D8" s="354" t="str">
        <f>IF(scenario=2,"Base Case",IF(scenario=1,"Bull Case","Bear Case"))</f>
        <v>Base Case</v>
      </c>
      <c r="E8" s="355" t="n">
        <v>2</v>
      </c>
      <c r="F8" s="349" t="inlineStr">
        <is>
          <t>1 = Bull, 2 = Base, 3 = Bear</t>
        </is>
      </c>
    </row>
    <row r="9" outlineLevel="1" ht="12.75" customHeight="1" s="255">
      <c r="C9" s="349" t="inlineStr">
        <is>
          <t>Last fiscal year end date:</t>
        </is>
      </c>
      <c r="D9" s="356" t="n">
        <v>46022</v>
      </c>
    </row>
    <row r="10" outlineLevel="1" ht="12.75" customHeight="1" s="255">
      <c r="C10" s="349" t="inlineStr">
        <is>
          <t>Valuation / deal date:</t>
        </is>
      </c>
      <c r="D10" s="356" t="n">
        <v>46292</v>
      </c>
    </row>
    <row r="11" outlineLevel="1" ht="12.75" customHeight="1" s="255">
      <c r="C11" s="349" t="inlineStr">
        <is>
          <t>Stub year fraction:</t>
        </is>
      </c>
      <c r="D11" s="357">
        <f>1-(D10-D9)/365</f>
        <v>0.26027397260274</v>
      </c>
      <c r="E11" s="358" t="n"/>
      <c r="I11" s="359" t="n"/>
      <c r="O11" s="360" t="n"/>
      <c r="Z11" s="361" t="n"/>
    </row>
    <row r="12" outlineLevel="1" ht="12.75" customHeight="1" s="255">
      <c r="C12" s="349" t="inlineStr">
        <is>
          <t>Weighted average cost of capital:</t>
        </is>
      </c>
      <c r="D12" s="357" t="e">
        <f>J93</f>
        <v>#DIV/0!</v>
      </c>
      <c r="I12" s="359" t="n"/>
    </row>
    <row r="13" outlineLevel="1" ht="12.75" customHeight="1" s="255">
      <c r="D13" s="357" t="n"/>
      <c r="E13" s="357" t="n"/>
    </row>
    <row r="14" ht="12.75" customHeight="1" s="255">
      <c r="C14" s="362" t="inlineStr">
        <is>
          <t>Historicals</t>
        </is>
      </c>
      <c r="D14" s="362" t="n"/>
      <c r="E14" s="362" t="n"/>
      <c r="F14" s="362" t="n"/>
      <c r="G14" s="363" t="inlineStr">
        <is>
          <t>Projected Annual Forecast</t>
        </is>
      </c>
    </row>
    <row r="15" ht="13.8" customHeight="1" s="255">
      <c r="C15" s="364" t="n"/>
      <c r="D15" s="364" t="n"/>
      <c r="E15" s="364" t="n"/>
      <c r="F15" s="364" t="n"/>
      <c r="G15" s="365" t="inlineStr">
        <is>
          <t>Granular</t>
        </is>
      </c>
      <c r="H15" s="366" t="n"/>
      <c r="I15" s="366" t="n"/>
      <c r="J15" s="366" t="n"/>
      <c r="K15" s="366" t="n"/>
      <c r="L15" s="366" t="n"/>
      <c r="M15" s="367" t="inlineStr">
        <is>
          <t>Synthetic</t>
        </is>
      </c>
      <c r="N15" s="366" t="n"/>
      <c r="O15" s="366" t="n"/>
      <c r="P15" s="366" t="n"/>
      <c r="Q15" s="366" t="n"/>
      <c r="R15" s="366" t="n"/>
      <c r="S15" s="368" t="inlineStr">
        <is>
          <t>Fora do horizonte do Model (projecao vai ate 2037)</t>
        </is>
      </c>
      <c r="T15" s="366" t="n"/>
      <c r="U15" s="366" t="n"/>
      <c r="V15" s="366" t="n"/>
      <c r="X15" s="369" t="inlineStr">
        <is>
          <t>CAGR</t>
        </is>
      </c>
      <c r="Y15" s="370" t="n"/>
      <c r="Z15" s="370" t="n"/>
    </row>
    <row r="16" ht="13.8" customHeight="1" s="255">
      <c r="D16" s="371">
        <f>YEAR(D17)</f>
        <v>2023</v>
      </c>
      <c r="E16" s="371">
        <f>YEAR(E17)</f>
        <v>2024</v>
      </c>
      <c r="F16" s="371">
        <f>YEAR(F17)</f>
        <v>2025</v>
      </c>
      <c r="G16" s="371">
        <f>YEAR(G17)</f>
        <v>2026</v>
      </c>
      <c r="H16" s="371">
        <f>YEAR(H17)</f>
        <v>2027</v>
      </c>
      <c r="I16" s="371">
        <f>YEAR(I17)</f>
        <v>2028</v>
      </c>
      <c r="J16" s="371">
        <f>YEAR(J17)</f>
        <v>2029</v>
      </c>
      <c r="K16" s="371">
        <f>YEAR(K17)</f>
        <v>2030</v>
      </c>
      <c r="L16" s="371">
        <f>YEAR(L17)</f>
        <v>2031</v>
      </c>
      <c r="M16" s="371">
        <f>YEAR(M17)</f>
        <v>2032</v>
      </c>
      <c r="N16" s="371">
        <f>YEAR(N17)</f>
        <v>2033</v>
      </c>
      <c r="O16" s="371">
        <f>YEAR(O17)</f>
        <v>2034</v>
      </c>
      <c r="P16" s="371">
        <f>YEAR(P17)</f>
        <v>2035</v>
      </c>
      <c r="Q16" s="371">
        <f>YEAR(Q17)</f>
        <v>2036</v>
      </c>
      <c r="R16" s="371">
        <f>YEAR(R17)</f>
        <v>2037</v>
      </c>
      <c r="S16" s="372">
        <f>YEAR(S17)</f>
        <v>2038</v>
      </c>
      <c r="T16" s="372">
        <f>YEAR(T17)</f>
        <v>2039</v>
      </c>
      <c r="U16" s="372">
        <f>YEAR(U17)</f>
        <v>2040</v>
      </c>
      <c r="V16" s="372">
        <f>YEAR(V17)</f>
        <v>2041</v>
      </c>
      <c r="W16" s="371" t="n"/>
      <c r="X16" s="370" t="str">
        <f>F16&amp;"-"&amp;L16</f>
        <v>2025-2031</v>
      </c>
      <c r="Y16" s="370" t="str">
        <f>L16&amp;"-"&amp;R16</f>
        <v>2031-2037</v>
      </c>
      <c r="Z16" s="370" t="n"/>
    </row>
    <row r="17" outlineLevel="1" ht="12.75" customHeight="1" s="255">
      <c r="C17" s="373" t="n"/>
      <c r="D17" s="374">
        <f>DATE(YEAR(E17)-1,MONTH(E17),DAY(E17))</f>
        <v>45291.0</v>
      </c>
      <c r="E17" s="374">
        <f>DATE(YEAR(F17)-1,MONTH(F17),DAY(F17))</f>
        <v>45657.0</v>
      </c>
      <c r="F17" s="374">
        <f>DATE(YEAR(G17)-1,MONTH(G17),DAY(G17))</f>
        <v>46022.0</v>
      </c>
      <c r="G17" s="374">
        <f>DATE(YEAR(D9)+1,MONTH(D9),DAY(D9))</f>
        <v>46387.0</v>
      </c>
      <c r="H17" s="374">
        <f>DATE(YEAR(G17)+1,MONTH(G17),DAY(G17))</f>
        <v>46752.0</v>
      </c>
      <c r="I17" s="374">
        <f>DATE(YEAR(H17)+1,MONTH(H17),DAY(H17))</f>
        <v>47118.0</v>
      </c>
      <c r="J17" s="374">
        <f>DATE(YEAR(I17)+1,MONTH(I17),DAY(I17))</f>
        <v>47483.0</v>
      </c>
      <c r="K17" s="374">
        <f>DATE(YEAR(J17)+1,MONTH(J17),DAY(J17))</f>
        <v>47848.0</v>
      </c>
      <c r="L17" s="374">
        <f>DATE(YEAR(K17)+1,MONTH(K17),DAY(K17))</f>
        <v>48213.0</v>
      </c>
      <c r="M17" s="374">
        <f>DATE(YEAR(L17)+1,MONTH(L17),DAY(L17))</f>
        <v>48579.0</v>
      </c>
      <c r="N17" s="374">
        <f>DATE(YEAR(M17)+1,MONTH(M17),DAY(M17))</f>
        <v>48944.0</v>
      </c>
      <c r="O17" s="374">
        <f>DATE(YEAR(N17)+1,MONTH(N17),DAY(N17))</f>
        <v>49309.0</v>
      </c>
      <c r="P17" s="374">
        <f>DATE(YEAR(O17)+1,MONTH(O17),DAY(O17))</f>
        <v>49674.0</v>
      </c>
      <c r="Q17" s="374">
        <f>DATE(YEAR(P17)+1,MONTH(P17),DAY(P17))</f>
        <v>50040.0</v>
      </c>
      <c r="R17" s="374">
        <f>DATE(YEAR(Q17)+1,MONTH(Q17),DAY(Q17))</f>
        <v>50405.0</v>
      </c>
      <c r="S17" s="374">
        <f>DATE(YEAR(R17)+1,MONTH(R17),DAY(R17))</f>
        <v>50770.0</v>
      </c>
      <c r="T17" s="374">
        <f>DATE(YEAR(S17)+1,MONTH(S17),DAY(S17))</f>
        <v>51135.0</v>
      </c>
      <c r="U17" s="374">
        <f>DATE(YEAR(T17)+1,MONTH(T17),DAY(T17))</f>
        <v>51501.0</v>
      </c>
      <c r="V17" s="374">
        <f>DATE(YEAR(U17)+1,MONTH(U17),DAY(U17))</f>
        <v>51866.0</v>
      </c>
      <c r="W17" s="375" t="n"/>
      <c r="X17" s="370" t="n"/>
      <c r="Y17" s="370" t="n"/>
      <c r="Z17" s="370" t="n"/>
    </row>
    <row r="18" ht="12.75" customHeight="1" s="255">
      <c r="C18" s="376" t="inlineStr">
        <is>
          <t>Net Revenues</t>
        </is>
      </c>
      <c r="D18" s="377">
        <f>Model!W15</f>
        <v>22855</v>
      </c>
      <c r="E18" s="377">
        <f>Model!AB15</f>
        <v>25455</v>
      </c>
      <c r="F18" s="377">
        <f>Model!AG15</f>
        <v>25915</v>
      </c>
      <c r="G18" s="377">
        <f>Model!AL15</f>
        <v>25868</v>
      </c>
      <c r="H18" s="377">
        <f>Model!AQ15</f>
        <v>25868</v>
      </c>
      <c r="I18" s="377">
        <f>Model!AV15</f>
        <v>25868</v>
      </c>
      <c r="J18" s="377">
        <f>Model!BA15</f>
        <v>25868</v>
      </c>
      <c r="K18" s="377">
        <f>Model!BF15</f>
        <v>25868</v>
      </c>
      <c r="L18" s="377">
        <f>Model!BK15</f>
        <v>25868</v>
      </c>
      <c r="M18" s="377">
        <f>Model!BP15</f>
        <v>25868</v>
      </c>
      <c r="N18" s="377">
        <f>Model!BU15</f>
        <v>25868</v>
      </c>
      <c r="O18" s="377">
        <f>Model!BZ15</f>
        <v>25868</v>
      </c>
      <c r="P18" s="377">
        <f>Model!CE15</f>
        <v>25868</v>
      </c>
      <c r="Q18" s="377">
        <f>Model!CJ15</f>
        <v>25868</v>
      </c>
      <c r="R18" s="377">
        <f>Model!CO15</f>
        <v>25868</v>
      </c>
      <c r="S18" s="377" t="n"/>
      <c r="T18" s="377" t="n"/>
      <c r="U18" s="377" t="n"/>
      <c r="V18" s="378" t="n"/>
      <c r="X18" s="379">
        <f>((L18/F18)^(1/6))-1</f>
        <v>-0.000302498914195204</v>
      </c>
      <c r="Y18" s="379">
        <f>((R18/L18)^(1/6))-1</f>
        <v>0</v>
      </c>
      <c r="Z18" s="370" t="n"/>
    </row>
    <row r="19" ht="12.75" customHeight="1" s="255">
      <c r="C19" s="380" t="n"/>
      <c r="D19" s="373" t="n"/>
      <c r="E19" s="381">
        <f>E18/D18-1</f>
        <v>0.11376066506235</v>
      </c>
      <c r="F19" s="381">
        <f>F18/E18-1</f>
        <v>0.0180711058731093</v>
      </c>
      <c r="G19" s="381">
        <f>G18/F18-1</f>
        <v>-0.00181362145475594</v>
      </c>
      <c r="H19" s="381">
        <f>H18/G18-1</f>
        <v>0</v>
      </c>
      <c r="I19" s="381">
        <f>I18/H18-1</f>
        <v>0</v>
      </c>
      <c r="J19" s="381">
        <f>J18/I18-1</f>
        <v>0</v>
      </c>
      <c r="K19" s="381">
        <f>K18/J18-1</f>
        <v>0</v>
      </c>
      <c r="L19" s="381">
        <f>L18/K18-1</f>
        <v>0</v>
      </c>
      <c r="M19" s="381">
        <f>M18/L18-1</f>
        <v>0</v>
      </c>
      <c r="N19" s="381">
        <f>N18/M18-1</f>
        <v>0</v>
      </c>
      <c r="O19" s="381">
        <f>O18/N18-1</f>
        <v>0</v>
      </c>
      <c r="P19" s="381">
        <f>P18/O18-1</f>
        <v>0</v>
      </c>
      <c r="Q19" s="381">
        <f>Q18/P18-1</f>
        <v>0</v>
      </c>
      <c r="R19" s="381">
        <f>R18/Q18-1</f>
        <v>0</v>
      </c>
      <c r="S19" s="381" t="n"/>
      <c r="T19" s="381" t="n"/>
      <c r="U19" s="381" t="n"/>
      <c r="V19" s="382" t="n"/>
      <c r="X19" s="370" t="n"/>
      <c r="Y19" s="370" t="n"/>
      <c r="Z19" s="370" t="n"/>
    </row>
    <row r="20" outlineLevel="1" ht="12.75" customHeight="1" s="255">
      <c r="C20" s="383" t="inlineStr">
        <is>
          <t>EBITDA</t>
        </is>
      </c>
      <c r="D20" s="377">
        <f>Model!W61</f>
        <v>8293</v>
      </c>
      <c r="E20" s="377">
        <f>Model!AB61</f>
        <v>9105</v>
      </c>
      <c r="F20" s="377">
        <f>Model!AG61</f>
        <v>8762</v>
      </c>
      <c r="G20" s="377">
        <f>Model!AL61</f>
        <v>5177</v>
      </c>
      <c r="H20" s="377">
        <f>Model!AQ61</f>
        <v>0</v>
      </c>
      <c r="I20" s="377">
        <f>Model!BA61</f>
        <v>0</v>
      </c>
      <c r="J20" s="377">
        <f>Model!BA61</f>
        <v>0</v>
      </c>
      <c r="K20" s="377">
        <f>Model!BF61</f>
        <v>0</v>
      </c>
      <c r="L20" s="377">
        <f>Model!BK61</f>
        <v>0</v>
      </c>
      <c r="M20" s="384" t="n"/>
      <c r="N20" s="384" t="n"/>
      <c r="O20" s="384" t="n"/>
      <c r="P20" s="384" t="n"/>
      <c r="Q20" s="384" t="n"/>
      <c r="R20" s="384" t="n"/>
      <c r="S20" s="384" t="n"/>
      <c r="T20" s="384" t="n"/>
      <c r="U20" s="384" t="n"/>
      <c r="V20" s="385" t="n"/>
      <c r="X20" s="370" t="n"/>
      <c r="Y20" s="370" t="n"/>
      <c r="Z20" s="370" t="n"/>
    </row>
    <row r="21" outlineLevel="1" ht="12.75" customHeight="1" s="255">
      <c r="C21" s="380" t="n"/>
      <c r="D21" s="386">
        <f>D20/D18</f>
        <v>0.362852767446948</v>
      </c>
      <c r="E21" s="386">
        <f>E20/E18</f>
        <v>0.357690041249263</v>
      </c>
      <c r="F21" s="386">
        <f>F20/F18</f>
        <v>0.338105344395138</v>
      </c>
      <c r="G21" s="386">
        <f>G20/G18</f>
        <v>0.200131436523891</v>
      </c>
      <c r="H21" s="386">
        <f>H20/H18</f>
        <v>0</v>
      </c>
      <c r="I21" s="386">
        <f>I20/I18</f>
        <v>0</v>
      </c>
      <c r="J21" s="386">
        <f>J20/J18</f>
        <v>0</v>
      </c>
      <c r="K21" s="386">
        <f>K20/K18</f>
        <v>0</v>
      </c>
      <c r="L21" s="386">
        <f>L20/L18</f>
        <v>0</v>
      </c>
      <c r="M21" s="373" t="n"/>
      <c r="N21" s="373" t="n"/>
      <c r="O21" s="373" t="n"/>
      <c r="P21" s="373" t="n"/>
      <c r="Q21" s="373" t="n"/>
      <c r="R21" s="373" t="n"/>
      <c r="S21" s="373" t="n"/>
      <c r="T21" s="373" t="n"/>
      <c r="U21" s="373" t="n"/>
      <c r="V21" s="387" t="n"/>
      <c r="X21" s="379" t="n"/>
      <c r="Y21" s="379" t="n"/>
      <c r="Z21" s="370" t="n"/>
    </row>
    <row r="22" outlineLevel="1" ht="12.75" customHeight="1" s="255">
      <c r="C22" s="376" t="inlineStr">
        <is>
          <t>EBIT</t>
        </is>
      </c>
      <c r="D22" s="377">
        <f>Model!W65</f>
        <v>6225</v>
      </c>
      <c r="E22" s="377">
        <f>Model!AB65</f>
        <v>6864</v>
      </c>
      <c r="F22" s="377">
        <f>Model!AG65</f>
        <v>6518</v>
      </c>
      <c r="G22" s="377">
        <f>Model!AL65</f>
        <v>4140</v>
      </c>
      <c r="H22" s="377">
        <f>Model!AQ65</f>
        <v>0</v>
      </c>
      <c r="I22" s="377">
        <f>Model!AV65</f>
        <v>0</v>
      </c>
      <c r="J22" s="377">
        <f>Model!BA65</f>
        <v>0</v>
      </c>
      <c r="K22" s="377">
        <f>Model!BF65</f>
        <v>0</v>
      </c>
      <c r="L22" s="377">
        <f>Model!BK65</f>
        <v>0</v>
      </c>
      <c r="M22" s="377">
        <f>Model!BP65</f>
        <v>0</v>
      </c>
      <c r="N22" s="377">
        <f>Model!BU65</f>
        <v>0</v>
      </c>
      <c r="O22" s="377">
        <f>Model!BZ65</f>
        <v>0</v>
      </c>
      <c r="P22" s="377">
        <f>Model!CE65</f>
        <v>0</v>
      </c>
      <c r="Q22" s="377">
        <f>Model!CJ65</f>
        <v>0</v>
      </c>
      <c r="R22" s="377">
        <f>Model!CO65</f>
        <v>0</v>
      </c>
      <c r="S22" s="377" t="n"/>
      <c r="T22" s="377" t="n"/>
      <c r="U22" s="377" t="n"/>
      <c r="V22" s="378" t="n"/>
      <c r="X22" s="379">
        <f>((L22/F22)^(1/6))-1</f>
        <v>-1</v>
      </c>
      <c r="Y22" s="379" t="e">
        <f>((R22/L22)^(1/6))-1</f>
        <v>#DIV/0!</v>
      </c>
      <c r="Z22" s="370" t="n"/>
    </row>
    <row r="23" outlineLevel="1" ht="12.75" customHeight="1" s="255">
      <c r="C23" s="380" t="n"/>
      <c r="D23" s="386">
        <f>D22/D18</f>
        <v>0.272369284620433</v>
      </c>
      <c r="E23" s="386">
        <f>E22/E18</f>
        <v>0.269652327637007</v>
      </c>
      <c r="F23" s="386">
        <f>F22/F18</f>
        <v>0.251514566853174</v>
      </c>
      <c r="G23" s="386">
        <f>G22/G18</f>
        <v>0.160043296737282</v>
      </c>
      <c r="H23" s="386">
        <f>H22/H18</f>
        <v>0</v>
      </c>
      <c r="I23" s="386">
        <f>I22/I18</f>
        <v>0</v>
      </c>
      <c r="J23" s="386">
        <f>J22/J18</f>
        <v>0</v>
      </c>
      <c r="K23" s="386">
        <f>K22/K18</f>
        <v>0</v>
      </c>
      <c r="L23" s="386">
        <f>L22/L18</f>
        <v>0</v>
      </c>
      <c r="M23" s="386">
        <f>M22/M18</f>
        <v>0</v>
      </c>
      <c r="N23" s="386">
        <f>N22/N18</f>
        <v>0</v>
      </c>
      <c r="O23" s="386">
        <f>O22/O18</f>
        <v>0</v>
      </c>
      <c r="P23" s="386">
        <f>P22/P18</f>
        <v>0</v>
      </c>
      <c r="Q23" s="386">
        <f>Q22/Q18</f>
        <v>0</v>
      </c>
      <c r="R23" s="386">
        <f>R22/R18</f>
        <v>0</v>
      </c>
      <c r="S23" s="386" t="n"/>
      <c r="T23" s="386" t="n"/>
      <c r="U23" s="386" t="n"/>
      <c r="V23" s="388" t="n"/>
      <c r="X23" s="370" t="n"/>
      <c r="Y23" s="370" t="n"/>
      <c r="Z23" s="370" t="n"/>
    </row>
    <row r="24" ht="12.75" customHeight="1" s="255">
      <c r="C24" s="376" t="inlineStr">
        <is>
          <t>Tax rate</t>
        </is>
      </c>
      <c r="D24" s="389">
        <f>Model!W124</f>
        <v>0.377955377955378</v>
      </c>
      <c r="E24" s="389">
        <f>Model!AB124</f>
        <v>0.365281598378457</v>
      </c>
      <c r="F24" s="389">
        <f>Model!AG124</f>
        <v>0.348556183301946</v>
      </c>
      <c r="G24" s="389">
        <f>Model!AL124</f>
        <v>0.315997888067582</v>
      </c>
      <c r="H24" s="389">
        <f>Model!AQ124</f>
        <v>0</v>
      </c>
      <c r="I24" s="389">
        <f>Model!AV124</f>
        <v>0</v>
      </c>
      <c r="J24" s="389">
        <f>Model!BA124</f>
        <v>0</v>
      </c>
      <c r="K24" s="389">
        <f>Model!BF124</f>
        <v>0</v>
      </c>
      <c r="L24" s="389">
        <f>Model!BK124</f>
        <v>0</v>
      </c>
      <c r="M24" s="389">
        <f>Model!BP124</f>
        <v>0</v>
      </c>
      <c r="N24" s="389">
        <f>Model!BU124</f>
        <v>0</v>
      </c>
      <c r="O24" s="389">
        <f>Model!BZ124</f>
        <v>0</v>
      </c>
      <c r="P24" s="389">
        <f>Model!CE124</f>
        <v>0</v>
      </c>
      <c r="Q24" s="389">
        <f>Model!CJ124</f>
        <v>0</v>
      </c>
      <c r="R24" s="389">
        <f>Model!CO124</f>
        <v>0</v>
      </c>
      <c r="S24" s="389" t="n"/>
      <c r="T24" s="389" t="n"/>
      <c r="U24" s="389" t="n"/>
      <c r="V24" s="390" t="n"/>
      <c r="X24" s="370" t="n"/>
      <c r="Y24" s="370" t="n"/>
      <c r="Z24" s="370" t="n"/>
    </row>
    <row r="25" ht="12.75" customHeight="1" s="255">
      <c r="C25" s="380" t="inlineStr">
        <is>
          <t>NOPLAT</t>
        </is>
      </c>
      <c r="D25" s="391">
        <f>D22*(1-D24)</f>
        <v>3872.22777222777</v>
      </c>
      <c r="E25" s="391">
        <f>E22*(1-E24)</f>
        <v>4356.70710873027</v>
      </c>
      <c r="F25" s="391">
        <f>F22*(1-F24)</f>
        <v>4246.11079723792</v>
      </c>
      <c r="G25" s="391">
        <f>G22*(1-G24)</f>
        <v>2831.76874340021</v>
      </c>
      <c r="H25" s="391">
        <f>H22*(1-H24)</f>
        <v>0</v>
      </c>
      <c r="I25" s="391">
        <f>I22*(1-I24)</f>
        <v>0</v>
      </c>
      <c r="J25" s="391">
        <f>J22*(1-J24)</f>
        <v>0</v>
      </c>
      <c r="K25" s="391">
        <f>K22*(1-K24)</f>
        <v>0</v>
      </c>
      <c r="L25" s="391">
        <f>L22*(1-L24)</f>
        <v>0</v>
      </c>
      <c r="M25" s="391">
        <f>M22*(1-M24)</f>
        <v>0</v>
      </c>
      <c r="N25" s="391">
        <f>N22*(1-N24)</f>
        <v>0</v>
      </c>
      <c r="O25" s="391">
        <f>O22*(1-O24)</f>
        <v>0</v>
      </c>
      <c r="P25" s="391">
        <f>P22*(1-P24)</f>
        <v>0</v>
      </c>
      <c r="Q25" s="391">
        <f>Q22*(1-Q24)</f>
        <v>0</v>
      </c>
      <c r="R25" s="391">
        <f>R22*(1-R24)</f>
        <v>0</v>
      </c>
      <c r="S25" s="391" t="n"/>
      <c r="T25" s="391" t="n"/>
      <c r="U25" s="391" t="n"/>
      <c r="V25" s="392" t="n"/>
      <c r="X25" s="379" t="n"/>
      <c r="Y25" s="379" t="n"/>
      <c r="Z25" s="370" t="n"/>
    </row>
    <row r="26" ht="12.75" customHeight="1" s="255">
      <c r="C26" s="393" t="inlineStr">
        <is>
          <t>Depreciation &amp; Amortization</t>
        </is>
      </c>
      <c r="D26" s="394">
        <f>Model!W62</f>
        <v>-2068</v>
      </c>
      <c r="E26" s="394">
        <f>Model!AB62</f>
        <v>-2241</v>
      </c>
      <c r="F26" s="394">
        <f>Model!AG62</f>
        <v>-2244</v>
      </c>
      <c r="G26" s="394">
        <f>Model!AL62</f>
        <v>-1037</v>
      </c>
      <c r="H26" s="394">
        <f>Model!AQ62</f>
        <v>0</v>
      </c>
      <c r="I26" s="394">
        <f>Model!AV62</f>
        <v>0</v>
      </c>
      <c r="J26" s="394">
        <f>Model!BA62</f>
        <v>0</v>
      </c>
      <c r="K26" s="394">
        <f>Model!BF62</f>
        <v>0</v>
      </c>
      <c r="L26" s="395">
        <f>Model!BK62</f>
        <v>0</v>
      </c>
      <c r="X26" s="370" t="n"/>
      <c r="Y26" s="370" t="n"/>
      <c r="Z26" s="370" t="n"/>
    </row>
    <row r="27" ht="12.75" customHeight="1" s="255">
      <c r="C27" s="396" t="inlineStr">
        <is>
          <t>Cash from working capital</t>
        </is>
      </c>
      <c r="D27" s="397">
        <f>SUM(D28:D39)</f>
        <v>-4288</v>
      </c>
      <c r="E27" s="397">
        <f>SUM(E28:E39)</f>
        <v>238</v>
      </c>
      <c r="F27" s="397">
        <f>SUM(F28:F39)</f>
        <v>-2044</v>
      </c>
      <c r="G27" s="397">
        <f>SUM(G28:G39)</f>
        <v>-8749</v>
      </c>
      <c r="H27" s="397" t="e">
        <f>SUM(H28:H39)</f>
        <v>#DIV/0!</v>
      </c>
      <c r="I27" s="397" t="e">
        <f>SUM(I28:I39)</f>
        <v>#DIV/0!</v>
      </c>
      <c r="J27" s="397" t="e">
        <f>SUM(J28:J39)</f>
        <v>#DIV/0!</v>
      </c>
      <c r="K27" s="397" t="e">
        <f>SUM(K28:K39)</f>
        <v>#DIV/0!</v>
      </c>
      <c r="L27" s="398" t="e">
        <f>SUM(L28:L39)</f>
        <v>#DIV/0!</v>
      </c>
      <c r="X27" s="370" t="n"/>
      <c r="Y27" s="370" t="n"/>
      <c r="Z27" s="370" t="n"/>
    </row>
    <row r="28" outlineLevel="1" ht="12.75" customHeight="1" s="255">
      <c r="C28" s="399" t="inlineStr">
        <is>
          <t>Accounts receivable</t>
        </is>
      </c>
      <c r="D28" s="400">
        <f>Model!W272</f>
        <v>127</v>
      </c>
      <c r="E28" s="400">
        <f>Model!AB272</f>
        <v>631</v>
      </c>
      <c r="F28" s="400">
        <f>Model!AG272</f>
        <v>-399</v>
      </c>
      <c r="G28" s="400">
        <f>Model!AL272</f>
        <v>977</v>
      </c>
      <c r="H28" s="400">
        <f>Model!AQ272</f>
        <v>0</v>
      </c>
      <c r="I28" s="400">
        <f>Model!AV272</f>
        <v>0</v>
      </c>
      <c r="J28" s="400">
        <f>Model!BA272</f>
        <v>0</v>
      </c>
      <c r="K28" s="400">
        <f>Model!BF272</f>
        <v>0</v>
      </c>
      <c r="L28" s="401">
        <f>Model!BK272</f>
        <v>0</v>
      </c>
      <c r="X28" s="370" t="n"/>
      <c r="Y28" s="370" t="n"/>
      <c r="Z28" s="370" t="n"/>
    </row>
    <row r="29" outlineLevel="1" ht="12.75" customHeight="1" s="255">
      <c r="C29" s="399" t="inlineStr">
        <is>
          <t>Inventories</t>
        </is>
      </c>
      <c r="D29" s="400">
        <f>Model!W273</f>
        <v>0</v>
      </c>
      <c r="E29" s="400">
        <f>Model!AB273</f>
        <v>0</v>
      </c>
      <c r="F29" s="400">
        <f>Model!AG273</f>
        <v>0</v>
      </c>
      <c r="G29" s="400">
        <f>Model!AL273</f>
        <v>0</v>
      </c>
      <c r="H29" s="400">
        <f>Model!AQ273</f>
        <v>0</v>
      </c>
      <c r="I29" s="400">
        <f>Model!AV273</f>
        <v>0</v>
      </c>
      <c r="J29" s="400">
        <f>Model!BA273</f>
        <v>0</v>
      </c>
      <c r="K29" s="400">
        <f>Model!BF273</f>
        <v>0</v>
      </c>
      <c r="L29" s="401">
        <f>Model!BK273</f>
        <v>0</v>
      </c>
      <c r="X29" s="370" t="n"/>
      <c r="Y29" s="370" t="n"/>
      <c r="Z29" s="370" t="n"/>
    </row>
    <row r="30" outlineLevel="1" ht="12.75" customHeight="1" s="255">
      <c r="C30" s="399" t="inlineStr">
        <is>
          <t>Deferred income taxes (assets)</t>
        </is>
      </c>
      <c r="D30" s="400">
        <f>Model!W274</f>
        <v>0</v>
      </c>
      <c r="E30" s="400">
        <f>Model!AB274</f>
        <v>0</v>
      </c>
      <c r="F30" s="400">
        <f>Model!AG274</f>
        <v>0</v>
      </c>
      <c r="G30" s="400">
        <f>Model!AL274</f>
        <v>0</v>
      </c>
      <c r="H30" s="400">
        <f>Model!AQ274</f>
        <v>0</v>
      </c>
      <c r="I30" s="400">
        <f>Model!AV274</f>
        <v>0</v>
      </c>
      <c r="J30" s="400">
        <f>Model!BA274</f>
        <v>0</v>
      </c>
      <c r="K30" s="400">
        <f>Model!BF274</f>
        <v>0</v>
      </c>
      <c r="L30" s="401">
        <f>Model!BK274</f>
        <v>0</v>
      </c>
      <c r="X30" s="370" t="n"/>
      <c r="Y30" s="370" t="n"/>
      <c r="Z30" s="370" t="n"/>
    </row>
    <row r="31" outlineLevel="1" ht="12.75" customHeight="1" s="255">
      <c r="C31" s="399" t="inlineStr">
        <is>
          <t>Prepaid expenses</t>
        </is>
      </c>
      <c r="D31" s="400">
        <f>Model!W275</f>
        <v>0</v>
      </c>
      <c r="E31" s="400">
        <f>Model!AB275</f>
        <v>0</v>
      </c>
      <c r="F31" s="400">
        <f>Model!AG275</f>
        <v>0</v>
      </c>
      <c r="G31" s="400">
        <f>Model!AL275</f>
        <v>0</v>
      </c>
      <c r="H31" s="400">
        <f>Model!AQ275</f>
        <v>0</v>
      </c>
      <c r="I31" s="400">
        <f>Model!AV275</f>
        <v>0</v>
      </c>
      <c r="J31" s="400">
        <f>Model!BA275</f>
        <v>0</v>
      </c>
      <c r="K31" s="400">
        <f>Model!BF275</f>
        <v>0</v>
      </c>
      <c r="L31" s="401">
        <f>Model!BK275</f>
        <v>0</v>
      </c>
      <c r="X31" s="370" t="n"/>
      <c r="Y31" s="370" t="n"/>
      <c r="Z31" s="370" t="n"/>
    </row>
    <row r="32" outlineLevel="1" ht="12.75" customHeight="1" s="255">
      <c r="C32" s="399" t="inlineStr">
        <is>
          <t>Other current assets</t>
        </is>
      </c>
      <c r="D32" s="400">
        <f>Model!W276</f>
        <v>-4294</v>
      </c>
      <c r="E32" s="400">
        <f>Model!AB276</f>
        <v>-1849</v>
      </c>
      <c r="F32" s="400">
        <f>Model!AG276</f>
        <v>-932</v>
      </c>
      <c r="G32" s="400">
        <f>Model!AL276</f>
        <v>-4553</v>
      </c>
      <c r="H32" s="400">
        <f>Model!AQ276</f>
        <v>0</v>
      </c>
      <c r="I32" s="400">
        <f>Model!AV276</f>
        <v>0</v>
      </c>
      <c r="J32" s="400">
        <f>Model!BA276</f>
        <v>0</v>
      </c>
      <c r="K32" s="400">
        <f>Model!BF276</f>
        <v>0</v>
      </c>
      <c r="L32" s="401">
        <f>Model!BK276</f>
        <v>0</v>
      </c>
      <c r="X32" s="370" t="n"/>
      <c r="Y32" s="370" t="n"/>
      <c r="Z32" s="370" t="n"/>
    </row>
    <row r="33" outlineLevel="1" ht="12.75" customHeight="1" s="255">
      <c r="C33" s="399" t="inlineStr">
        <is>
          <t>Accounts payable</t>
        </is>
      </c>
      <c r="D33" s="400">
        <f>Model!W277</f>
        <v>-298</v>
      </c>
      <c r="E33" s="400">
        <f>Model!AB277</f>
        <v>328</v>
      </c>
      <c r="F33" s="400">
        <f>Model!AG277</f>
        <v>508</v>
      </c>
      <c r="G33" s="400">
        <f>Model!AL277</f>
        <v>-4565</v>
      </c>
      <c r="H33" s="400">
        <f>Model!AQ277</f>
        <v>0</v>
      </c>
      <c r="I33" s="400">
        <f>Model!AV277</f>
        <v>0</v>
      </c>
      <c r="J33" s="400">
        <f>Model!BA277</f>
        <v>0</v>
      </c>
      <c r="K33" s="400">
        <f>Model!BF277</f>
        <v>0</v>
      </c>
      <c r="L33" s="401">
        <f>Model!BK277</f>
        <v>0</v>
      </c>
      <c r="X33" s="370" t="n"/>
      <c r="Y33" s="370" t="n"/>
      <c r="Z33" s="370" t="n"/>
    </row>
    <row r="34" outlineLevel="1" ht="12.75" customHeight="1" s="255">
      <c r="C34" s="399" t="inlineStr">
        <is>
          <t>Accrued expenses</t>
        </is>
      </c>
      <c r="D34" s="400">
        <f>Model!W278</f>
        <v>0</v>
      </c>
      <c r="E34" s="400">
        <f>Model!AB278</f>
        <v>0</v>
      </c>
      <c r="F34" s="400">
        <f>Model!AG278</f>
        <v>0</v>
      </c>
      <c r="G34" s="400">
        <f>Model!AL278</f>
        <v>0</v>
      </c>
      <c r="H34" s="400" t="e">
        <f>Model!AQ278</f>
        <v>#DIV/0!</v>
      </c>
      <c r="I34" s="400" t="e">
        <f>Model!AV278</f>
        <v>#DIV/0!</v>
      </c>
      <c r="J34" s="400" t="e">
        <f>Model!BA278</f>
        <v>#DIV/0!</v>
      </c>
      <c r="K34" s="400" t="e">
        <f>Model!BF278</f>
        <v>#DIV/0!</v>
      </c>
      <c r="L34" s="401" t="e">
        <f>Model!BK278</f>
        <v>#DIV/0!</v>
      </c>
      <c r="X34" s="370" t="n"/>
      <c r="Y34" s="370" t="n"/>
      <c r="Z34" s="370" t="n"/>
    </row>
    <row r="35" outlineLevel="1" ht="12.75" customHeight="1" s="255">
      <c r="C35" s="399" t="inlineStr">
        <is>
          <t>Taxes payable</t>
        </is>
      </c>
      <c r="D35" s="400">
        <f>Model!W279</f>
        <v>42</v>
      </c>
      <c r="E35" s="400">
        <f>Model!AB279</f>
        <v>73</v>
      </c>
      <c r="F35" s="400">
        <f>Model!AG279</f>
        <v>-403</v>
      </c>
      <c r="G35" s="400">
        <f>Model!AL279</f>
        <v>-456</v>
      </c>
      <c r="H35" s="400" t="e">
        <f>Model!AQ279</f>
        <v>#DIV/0!</v>
      </c>
      <c r="I35" s="400" t="e">
        <f>Model!AV279</f>
        <v>#DIV/0!</v>
      </c>
      <c r="J35" s="400" t="e">
        <f>Model!BA279</f>
        <v>#DIV/0!</v>
      </c>
      <c r="K35" s="400" t="e">
        <f>Model!BF279</f>
        <v>#DIV/0!</v>
      </c>
      <c r="L35" s="401" t="e">
        <f>Model!BK279</f>
        <v>#DIV/0!</v>
      </c>
      <c r="X35" s="370" t="n"/>
      <c r="Y35" s="370" t="n"/>
      <c r="Z35" s="370" t="n"/>
    </row>
    <row r="36" outlineLevel="1" ht="12.75" customHeight="1" s="255">
      <c r="C36" s="399" t="inlineStr">
        <is>
          <t>Other current liabilities</t>
        </is>
      </c>
      <c r="D36" s="400">
        <f>Model!W280</f>
        <v>-3</v>
      </c>
      <c r="E36" s="400">
        <f>Model!AB280</f>
        <v>5</v>
      </c>
      <c r="F36" s="400">
        <f>Model!AG280</f>
        <v>-7</v>
      </c>
      <c r="G36" s="400">
        <f>Model!AL280</f>
        <v>13</v>
      </c>
      <c r="H36" s="400">
        <f>Model!AQ280</f>
        <v>0</v>
      </c>
      <c r="I36" s="400">
        <f>Model!AV280</f>
        <v>0</v>
      </c>
      <c r="J36" s="400">
        <f>Model!BA280</f>
        <v>0</v>
      </c>
      <c r="K36" s="400">
        <f>Model!BF280</f>
        <v>0</v>
      </c>
      <c r="L36" s="401">
        <f>Model!BK280</f>
        <v>0</v>
      </c>
      <c r="X36" s="370" t="n"/>
      <c r="Y36" s="370" t="n"/>
      <c r="Z36" s="370" t="n"/>
    </row>
    <row r="37" outlineLevel="1" ht="12.75" customHeight="1" s="255">
      <c r="C37" s="399" t="inlineStr">
        <is>
          <t>Deferred tax (liabilities)</t>
        </is>
      </c>
      <c r="D37" s="400">
        <f>Model!W281</f>
        <v>184</v>
      </c>
      <c r="E37" s="400">
        <f>Model!AB281</f>
        <v>-77</v>
      </c>
      <c r="F37" s="400">
        <f>Model!AG281</f>
        <v>246</v>
      </c>
      <c r="G37" s="400">
        <f>Model!AL281</f>
        <v>36</v>
      </c>
      <c r="H37" s="400">
        <f>Model!AQ281</f>
        <v>0</v>
      </c>
      <c r="I37" s="400">
        <f>Model!AV281</f>
        <v>0</v>
      </c>
      <c r="J37" s="400">
        <f>Model!BA281</f>
        <v>0</v>
      </c>
      <c r="K37" s="400">
        <f>Model!BF281</f>
        <v>0</v>
      </c>
      <c r="L37" s="401">
        <f>Model!BK281</f>
        <v>0</v>
      </c>
      <c r="X37" s="370" t="n"/>
      <c r="Y37" s="370" t="n"/>
      <c r="Z37" s="370" t="n"/>
    </row>
    <row r="38" outlineLevel="1" ht="15" customHeight="1" s="255">
      <c r="C38" s="399" t="inlineStr">
        <is>
          <t>Other non-current assets</t>
        </is>
      </c>
      <c r="D38" s="400">
        <f>(Model!W181-Model!R181)*-1</f>
        <v>-293</v>
      </c>
      <c r="E38" s="400">
        <f>(Model!AB181-Model!W181)*-1</f>
        <v>108</v>
      </c>
      <c r="F38" s="400">
        <f>(Model!AG181-Model!AB181)*-1</f>
        <v>-603</v>
      </c>
      <c r="G38" s="400">
        <f>(Model!AL181-Model!AG181)*-1</f>
        <v>-216</v>
      </c>
      <c r="H38" s="400">
        <f>(Model!AQ181-Model!AL181)*-1</f>
        <v>0</v>
      </c>
      <c r="I38" s="400">
        <f>(Model!AV181-Model!AQ181)*-1</f>
        <v>0</v>
      </c>
      <c r="J38" s="400">
        <f>(Model!BA181-Model!AV181)*-1</f>
        <v>0</v>
      </c>
      <c r="K38" s="400">
        <f>(Model!BF181-Model!BA181)*-1</f>
        <v>0</v>
      </c>
      <c r="L38" s="401">
        <f>(Model!BK181-Model!BF181)*-1</f>
        <v>0</v>
      </c>
      <c r="M38" s="349">
        <f>(Model!BP181-Model!BK181)*-1</f>
        <v>0</v>
      </c>
      <c r="N38" s="349">
        <f>(Model!BU181-Model!BP181)*-1</f>
        <v>0</v>
      </c>
      <c r="O38" s="349">
        <f>(Model!BZ181-Model!BU181)*-1</f>
        <v>0</v>
      </c>
      <c r="P38" s="349">
        <f>(Model!CE181-Model!BZ181)*-1</f>
        <v>0</v>
      </c>
      <c r="Q38" s="349">
        <f>(Model!CJ181-Model!CE181)*-1</f>
        <v>0</v>
      </c>
      <c r="R38" s="349">
        <f>(Model!CO181-Model!CJ181)*-1</f>
        <v>0</v>
      </c>
      <c r="X38" s="370" t="n"/>
      <c r="Y38" s="370" t="n"/>
      <c r="Z38" s="370" t="n"/>
    </row>
    <row r="39" outlineLevel="1" ht="15" customHeight="1" s="255">
      <c r="C39" s="399" t="inlineStr">
        <is>
          <t>Other non-current liabilities</t>
        </is>
      </c>
      <c r="D39" s="400">
        <f>Model!W232-Model!R232</f>
        <v>247</v>
      </c>
      <c r="E39" s="400">
        <f>Model!AB232-Model!W232</f>
        <v>1019</v>
      </c>
      <c r="F39" s="400">
        <f>Model!AG232-Model!AB232</f>
        <v>-454</v>
      </c>
      <c r="G39" s="400">
        <f>Model!AL232-Model!AG232</f>
        <v>15</v>
      </c>
      <c r="H39" s="400">
        <f>Model!AQ232-Model!AL232</f>
        <v>0</v>
      </c>
      <c r="I39" s="400">
        <f>Model!AV232-Model!AQ232</f>
        <v>0</v>
      </c>
      <c r="J39" s="400">
        <f>Model!BA232-Model!AV232</f>
        <v>0</v>
      </c>
      <c r="K39" s="400">
        <f>Model!BF232-Model!BA232</f>
        <v>0</v>
      </c>
      <c r="L39" s="401">
        <f>Model!BK232-Model!BF232</f>
        <v>0</v>
      </c>
      <c r="M39" s="349">
        <f>Model!BP232-Model!BK232</f>
        <v>0</v>
      </c>
      <c r="N39" s="349">
        <f>Model!BU232-Model!BP232</f>
        <v>0</v>
      </c>
      <c r="O39" s="349">
        <f>Model!BZ232-Model!BU232</f>
        <v>0</v>
      </c>
      <c r="P39" s="349">
        <f>Model!CE232-Model!BZ232</f>
        <v>0</v>
      </c>
      <c r="Q39" s="349">
        <f>Model!CJ232-Model!CE232</f>
        <v>0</v>
      </c>
      <c r="R39" s="349">
        <f>Model!CO232-Model!CJ232</f>
        <v>0</v>
      </c>
      <c r="X39" s="370" t="n"/>
      <c r="Y39" s="370" t="n"/>
      <c r="Z39" s="370" t="n"/>
    </row>
    <row r="40" ht="12.75" customHeight="1" s="255">
      <c r="C40" s="399" t="inlineStr">
        <is>
          <t>Capital expenditures</t>
        </is>
      </c>
      <c r="D40" s="400" t="n"/>
      <c r="E40" s="400" t="n"/>
      <c r="F40" s="400" t="n"/>
      <c r="G40" s="400" t="n"/>
      <c r="H40" s="400" t="n"/>
      <c r="I40" s="400" t="n"/>
      <c r="J40" s="400" t="n"/>
      <c r="K40" s="400" t="n"/>
      <c r="L40" s="401" t="n"/>
      <c r="X40" s="370" t="n"/>
      <c r="Y40" s="370" t="n"/>
      <c r="Z40" s="370" t="n"/>
    </row>
    <row r="41" ht="12.75" customHeight="1" s="255">
      <c r="C41" s="399" t="inlineStr">
        <is>
          <t>Capital expenditures [IFRS16 - implied lease payments]</t>
        </is>
      </c>
      <c r="F41" s="400" t="n"/>
      <c r="G41" s="400" t="n"/>
      <c r="H41" s="400" t="n"/>
      <c r="I41" s="400" t="n"/>
      <c r="J41" s="400" t="n"/>
      <c r="K41" s="400" t="n"/>
      <c r="L41" s="401" t="n"/>
      <c r="X41" s="370" t="n"/>
      <c r="Y41" s="370" t="n"/>
      <c r="Z41" s="370" t="n"/>
    </row>
    <row r="42" ht="12.75" customHeight="1" s="255">
      <c r="C42" s="402" t="inlineStr">
        <is>
          <t>Purchase of intangible assets</t>
        </is>
      </c>
      <c r="D42" s="403" t="n">
        <v>0</v>
      </c>
      <c r="E42" s="403" t="n">
        <v>0</v>
      </c>
      <c r="F42" s="403" t="n">
        <v>0</v>
      </c>
      <c r="G42" s="403" t="n">
        <v>0</v>
      </c>
      <c r="H42" s="403" t="n">
        <v>0</v>
      </c>
      <c r="I42" s="403" t="n">
        <v>0</v>
      </c>
      <c r="J42" s="403" t="n">
        <v>0</v>
      </c>
      <c r="K42" s="403" t="n">
        <v>0</v>
      </c>
      <c r="L42" s="404" t="n">
        <v>0</v>
      </c>
      <c r="M42" s="405" t="n"/>
      <c r="X42" s="370" t="n"/>
      <c r="Y42" s="370" t="n"/>
      <c r="Z42" s="370" t="n"/>
      <c r="AB42" s="360" t="n"/>
    </row>
    <row r="43" ht="12.75" customHeight="1" s="255">
      <c r="X43" s="370" t="n"/>
      <c r="Y43" s="370" t="n"/>
      <c r="Z43" s="370" t="n"/>
    </row>
    <row r="44" ht="12.75" customHeight="1" s="255">
      <c r="C44" s="376" t="inlineStr">
        <is>
          <t>Net Investments</t>
        </is>
      </c>
      <c r="D44" s="397">
        <f>SUM(D27+D40+D41+D42+D26)</f>
        <v>-6356</v>
      </c>
      <c r="E44" s="397">
        <f>SUM(E27+E40+E41+E42+E26)</f>
        <v>-2003</v>
      </c>
      <c r="F44" s="397">
        <f>SUM(F27+F40+F41+F42+F26)</f>
        <v>-4288</v>
      </c>
      <c r="G44" s="397">
        <f>SUM(G27+G40+G41+G42+G26)</f>
        <v>-9786</v>
      </c>
      <c r="H44" s="397" t="e">
        <f>SUM(H27+H40+H41+H42+H26)</f>
        <v>#DIV/0!</v>
      </c>
      <c r="I44" s="397" t="e">
        <f>SUM(I27+I40+I41+I42+I26)</f>
        <v>#DIV/0!</v>
      </c>
      <c r="J44" s="397" t="e">
        <f>SUM(J27+J40+J41+J42+J26)</f>
        <v>#DIV/0!</v>
      </c>
      <c r="K44" s="397" t="e">
        <f>SUM(K27+K40+K41+K42+K26)</f>
        <v>#DIV/0!</v>
      </c>
      <c r="L44" s="397" t="e">
        <f>SUM(L27+L40+L41+L42+L26)</f>
        <v>#DIV/0!</v>
      </c>
      <c r="M44" s="406" t="e">
        <f>+L46-M46</f>
        <v>#DIV/0!</v>
      </c>
      <c r="N44" s="397" t="e">
        <f>+M46-N46</f>
        <v>#DIV/0!</v>
      </c>
      <c r="O44" s="397" t="e">
        <f>+N46-O46</f>
        <v>#DIV/0!</v>
      </c>
      <c r="P44" s="397" t="e">
        <f>+O46-P46</f>
        <v>#DIV/0!</v>
      </c>
      <c r="Q44" s="397" t="e">
        <f>+P46-Q46</f>
        <v>#DIV/0!</v>
      </c>
      <c r="R44" s="397" t="e">
        <f>+Q46-R46</f>
        <v>#DIV/0!</v>
      </c>
      <c r="S44" s="397" t="n"/>
      <c r="T44" s="397" t="n"/>
      <c r="U44" s="397" t="n"/>
      <c r="V44" s="398" t="n"/>
      <c r="X44" s="370" t="n"/>
      <c r="Y44" s="405" t="n"/>
      <c r="Z44" s="370" t="n"/>
    </row>
    <row r="45" ht="12.75" customHeight="1" s="255">
      <c r="C45" s="407" t="n"/>
      <c r="D45" s="405" t="n"/>
      <c r="E45" s="405" t="n"/>
      <c r="F45" s="405" t="n"/>
      <c r="G45" s="405" t="n"/>
      <c r="H45" s="405" t="n"/>
      <c r="I45" s="405" t="n"/>
      <c r="J45" s="405" t="n"/>
      <c r="K45" s="405" t="n"/>
      <c r="L45" s="405" t="n"/>
      <c r="V45" s="408" t="n"/>
      <c r="X45" s="370" t="n"/>
      <c r="Y45" s="370" t="n"/>
      <c r="Z45" s="370" t="n"/>
    </row>
    <row r="46" ht="12.75" customHeight="1" s="255">
      <c r="C46" s="407" t="inlineStr">
        <is>
          <t>Invested Capital</t>
        </is>
      </c>
      <c r="D46" s="400">
        <f>Model!W342</f>
        <v>30364</v>
      </c>
      <c r="E46" s="400">
        <f>Model!AB342</f>
        <v>33268</v>
      </c>
      <c r="F46" s="400">
        <f>Model!AG342</f>
        <v>37780</v>
      </c>
      <c r="G46" s="400">
        <f>Model!AL342</f>
        <v>47534</v>
      </c>
      <c r="H46" s="400" t="e">
        <f>Model!AQ342</f>
        <v>#DIV/0!</v>
      </c>
      <c r="I46" s="400" t="e">
        <f>Model!AV342</f>
        <v>#DIV/0!</v>
      </c>
      <c r="J46" s="400" t="e">
        <f>Model!BA342</f>
        <v>#DIV/0!</v>
      </c>
      <c r="K46" s="400" t="e">
        <f>Model!BF342</f>
        <v>#DIV/0!</v>
      </c>
      <c r="L46" s="400" t="e">
        <f>Model!BK342</f>
        <v>#DIV/0!</v>
      </c>
      <c r="M46" s="409" t="e">
        <f>Model!BP342</f>
        <v>#DIV/0!</v>
      </c>
      <c r="N46" s="409" t="e">
        <f>Model!BU342</f>
        <v>#DIV/0!</v>
      </c>
      <c r="O46" s="409" t="e">
        <f>Model!BZ342</f>
        <v>#DIV/0!</v>
      </c>
      <c r="P46" s="409" t="e">
        <f>Model!CE342</f>
        <v>#DIV/0!</v>
      </c>
      <c r="Q46" s="409" t="e">
        <f>Model!CJ342</f>
        <v>#DIV/0!</v>
      </c>
      <c r="R46" s="409" t="e">
        <f>Model!CO342</f>
        <v>#DIV/0!</v>
      </c>
      <c r="S46" s="409" t="n"/>
      <c r="T46" s="409" t="n"/>
      <c r="U46" s="409" t="n"/>
      <c r="V46" s="410" t="n"/>
      <c r="X46" s="405" t="n"/>
      <c r="Y46" s="405" t="n"/>
      <c r="Z46" s="370" t="n"/>
    </row>
    <row r="47" ht="15" customHeight="1" s="255">
      <c r="C47" s="407" t="inlineStr">
        <is>
          <t>Invested Capital (ex Goodwill)</t>
        </is>
      </c>
      <c r="D47" s="400">
        <f>Model!W343</f>
        <v>30364</v>
      </c>
      <c r="E47" s="400">
        <f>Model!AB343</f>
        <v>33268</v>
      </c>
      <c r="F47" s="400">
        <f>Model!AG343</f>
        <v>37780</v>
      </c>
      <c r="G47" s="400">
        <f>Model!AL343</f>
        <v>47534</v>
      </c>
      <c r="H47" s="400" t="e">
        <f>Model!AQ343</f>
        <v>#DIV/0!</v>
      </c>
      <c r="I47" s="400" t="e">
        <f>Model!AV343</f>
        <v>#DIV/0!</v>
      </c>
      <c r="J47" s="400" t="e">
        <f>Model!BA343</f>
        <v>#DIV/0!</v>
      </c>
      <c r="K47" s="400" t="e">
        <f>Model!BF343</f>
        <v>#DIV/0!</v>
      </c>
      <c r="L47" s="400" t="e">
        <f>Model!BK343</f>
        <v>#DIV/0!</v>
      </c>
      <c r="M47" s="349" t="e">
        <f>Model!BP343</f>
        <v>#DIV/0!</v>
      </c>
      <c r="N47" s="349" t="e">
        <f>Model!BU343</f>
        <v>#DIV/0!</v>
      </c>
      <c r="O47" s="349" t="e">
        <f>Model!BZ343</f>
        <v>#DIV/0!</v>
      </c>
      <c r="P47" s="349" t="e">
        <f>Model!CE343</f>
        <v>#DIV/0!</v>
      </c>
      <c r="Q47" s="349" t="e">
        <f>Model!CJ343</f>
        <v>#DIV/0!</v>
      </c>
      <c r="R47" s="349" t="e">
        <f>Model!CO343</f>
        <v>#DIV/0!</v>
      </c>
      <c r="V47" s="408" t="n"/>
      <c r="X47" s="370" t="n"/>
      <c r="Y47" s="370" t="n"/>
      <c r="Z47" s="370" t="n"/>
    </row>
    <row r="48" ht="12.75" customHeight="1" s="255">
      <c r="C48" s="380" t="inlineStr">
        <is>
          <t>Invested Capital / Net Revenues</t>
        </is>
      </c>
      <c r="D48" s="386">
        <f>D46/D18</f>
        <v>1.32854955152046</v>
      </c>
      <c r="E48" s="386">
        <f>E46/E18</f>
        <v>1.30693380475349</v>
      </c>
      <c r="F48" s="386">
        <f>F46/F18</f>
        <v>1.45784294809956</v>
      </c>
      <c r="G48" s="386">
        <f>G46/G18</f>
        <v>1.83755991959177</v>
      </c>
      <c r="H48" s="386" t="e">
        <f>H46/H18</f>
        <v>#DIV/0!</v>
      </c>
      <c r="I48" s="386" t="e">
        <f>I46/I18</f>
        <v>#DIV/0!</v>
      </c>
      <c r="J48" s="386" t="e">
        <f>J46/J18</f>
        <v>#DIV/0!</v>
      </c>
      <c r="K48" s="386" t="e">
        <f>K46/K18</f>
        <v>#DIV/0!</v>
      </c>
      <c r="L48" s="386" t="e">
        <f>L46/L18</f>
        <v>#DIV/0!</v>
      </c>
      <c r="M48" s="411" t="n"/>
      <c r="N48" s="411" t="n"/>
      <c r="O48" s="411" t="n"/>
      <c r="P48" s="411" t="n"/>
      <c r="Q48" s="411" t="n"/>
      <c r="R48" s="411" t="n"/>
      <c r="S48" s="411" t="n"/>
      <c r="T48" s="411" t="n"/>
      <c r="U48" s="411" t="n"/>
      <c r="V48" s="412" t="n"/>
      <c r="X48" s="369" t="inlineStr">
        <is>
          <t>ROIC</t>
        </is>
      </c>
      <c r="Y48" s="370" t="n"/>
      <c r="Z48" s="370" t="n"/>
    </row>
    <row r="49" ht="12.75" customHeight="1" s="255">
      <c r="X49" s="413">
        <f>F16</f>
        <v>2025</v>
      </c>
      <c r="Y49" s="413">
        <f>L16</f>
        <v>2031</v>
      </c>
      <c r="Z49" s="413">
        <f>R16</f>
        <v>2037</v>
      </c>
    </row>
    <row r="50" ht="12.75" customHeight="1" s="255">
      <c r="C50" s="414" t="inlineStr">
        <is>
          <t>ROIC</t>
        </is>
      </c>
      <c r="D50" s="415" t="n"/>
      <c r="E50" s="415" t="n"/>
      <c r="F50" s="415" t="n"/>
      <c r="G50" s="415">
        <f>G25/AVERAGE(F46,G46)</f>
        <v>0.066384620188954</v>
      </c>
      <c r="H50" s="415" t="e">
        <f>H25/AVERAGE(G46,H46)</f>
        <v>#DIV/0!</v>
      </c>
      <c r="I50" s="415" t="e">
        <f>I25/AVERAGE(H46,I46)</f>
        <v>#DIV/0!</v>
      </c>
      <c r="J50" s="415" t="e">
        <f>J25/AVERAGE(I46,J46)</f>
        <v>#DIV/0!</v>
      </c>
      <c r="K50" s="415" t="e">
        <f>K25/AVERAGE(J46,K46)</f>
        <v>#DIV/0!</v>
      </c>
      <c r="L50" s="415" t="e">
        <f>L25/AVERAGE(K46,L46)</f>
        <v>#DIV/0!</v>
      </c>
      <c r="M50" s="416" t="e">
        <f>M25/AVERAGE(L46,M46)</f>
        <v>#DIV/0!</v>
      </c>
      <c r="N50" s="416" t="e">
        <f>N25/AVERAGE(M46,N46)</f>
        <v>#DIV/0!</v>
      </c>
      <c r="O50" s="416" t="e">
        <f>O25/AVERAGE(N46,O46)</f>
        <v>#DIV/0!</v>
      </c>
      <c r="P50" s="416" t="e">
        <f>P25/AVERAGE(O46,P46)</f>
        <v>#DIV/0!</v>
      </c>
      <c r="Q50" s="416" t="e">
        <f>Q25/AVERAGE(P46,Q46)</f>
        <v>#DIV/0!</v>
      </c>
      <c r="R50" s="416" t="e">
        <f>R25/AVERAGE(Q46,R46)</f>
        <v>#DIV/0!</v>
      </c>
      <c r="S50" s="416" t="n"/>
      <c r="T50" s="416" t="n"/>
      <c r="U50" s="416" t="n"/>
      <c r="V50" s="417" t="n"/>
      <c r="X50" s="379">
        <f>F50</f>
        <v>0</v>
      </c>
      <c r="Y50" s="379" t="e">
        <f>L50</f>
        <v>#DIV/0!</v>
      </c>
      <c r="Z50" s="418" t="e">
        <f>R50</f>
        <v>#DIV/0!</v>
      </c>
    </row>
    <row r="51" ht="12.75" customHeight="1" s="255">
      <c r="C51" s="360" t="inlineStr">
        <is>
          <t>Capital Turnover</t>
        </is>
      </c>
      <c r="D51" s="419">
        <f>D18/D46</f>
        <v>0.752700566460282</v>
      </c>
      <c r="E51" s="419">
        <f>E18/E46</f>
        <v>0.765149693399062</v>
      </c>
      <c r="F51" s="419">
        <f>F18/F46</f>
        <v>0.685944944415034</v>
      </c>
      <c r="G51" s="419">
        <f>G18/G46</f>
        <v>0.544199941094795</v>
      </c>
      <c r="H51" s="419" t="e">
        <f>H18/H46</f>
        <v>#DIV/0!</v>
      </c>
      <c r="I51" s="419" t="e">
        <f>I18/I46</f>
        <v>#DIV/0!</v>
      </c>
      <c r="J51" s="419" t="e">
        <f>J18/J46</f>
        <v>#DIV/0!</v>
      </c>
      <c r="K51" s="419" t="e">
        <f>K18/K46</f>
        <v>#DIV/0!</v>
      </c>
      <c r="L51" s="419" t="e">
        <f>L18/L46</f>
        <v>#DIV/0!</v>
      </c>
      <c r="M51" s="419" t="e">
        <f>M18/M46</f>
        <v>#DIV/0!</v>
      </c>
      <c r="N51" s="419" t="e">
        <f>N18/N46</f>
        <v>#DIV/0!</v>
      </c>
      <c r="O51" s="419" t="e">
        <f>O18/O46</f>
        <v>#DIV/0!</v>
      </c>
      <c r="P51" s="419" t="e">
        <f>P18/P46</f>
        <v>#DIV/0!</v>
      </c>
      <c r="Q51" s="419" t="e">
        <f>Q18/Q46</f>
        <v>#DIV/0!</v>
      </c>
      <c r="R51" s="419" t="e">
        <f>R18/R46</f>
        <v>#DIV/0!</v>
      </c>
      <c r="S51" s="419" t="n"/>
      <c r="T51" s="419" t="n"/>
      <c r="U51" s="419" t="n"/>
      <c r="V51" s="419" t="n"/>
    </row>
    <row r="53" ht="12.75" customFormat="1" customHeight="1" s="360">
      <c r="A53" s="349" t="n"/>
      <c r="B53" s="349" t="n"/>
      <c r="C53" s="360" t="inlineStr">
        <is>
          <t>Unlevered free cash flows = FCFF</t>
        </is>
      </c>
      <c r="D53" s="420">
        <f>D25+D44</f>
        <v>-2483.77222777223</v>
      </c>
      <c r="E53" s="420">
        <f>E25+E44</f>
        <v>2353.70710873027</v>
      </c>
      <c r="F53" s="420">
        <f>F25+F44</f>
        <v>-41.8892027620832</v>
      </c>
      <c r="G53" s="421">
        <f>(G25+G44)*stub_year_fraction</f>
        <v>-1810.00539555337</v>
      </c>
      <c r="H53" s="420" t="e">
        <f>H25+H44</f>
        <v>#DIV/0!</v>
      </c>
      <c r="I53" s="420" t="e">
        <f>I25+I44</f>
        <v>#DIV/0!</v>
      </c>
      <c r="J53" s="420" t="e">
        <f>J25+J44</f>
        <v>#DIV/0!</v>
      </c>
      <c r="K53" s="420" t="e">
        <f>K25+K44</f>
        <v>#DIV/0!</v>
      </c>
      <c r="L53" s="420" t="e">
        <f>L25+L44</f>
        <v>#DIV/0!</v>
      </c>
      <c r="M53" s="420" t="e">
        <f>M25+M44</f>
        <v>#DIV/0!</v>
      </c>
      <c r="N53" s="420" t="e">
        <f>N25+N44</f>
        <v>#DIV/0!</v>
      </c>
      <c r="O53" s="420" t="e">
        <f>O25+O44</f>
        <v>#DIV/0!</v>
      </c>
      <c r="P53" s="420" t="e">
        <f>P25+P44</f>
        <v>#DIV/0!</v>
      </c>
      <c r="Q53" s="420" t="e">
        <f>Q25+Q44</f>
        <v>#DIV/0!</v>
      </c>
      <c r="R53" s="420" t="e">
        <f>R25+R44</f>
        <v>#DIV/0!</v>
      </c>
      <c r="S53" s="420" t="n"/>
      <c r="T53" s="420" t="n"/>
      <c r="U53" s="420" t="n"/>
      <c r="V53" s="420" t="n"/>
    </row>
    <row r="54" ht="12.75" customHeight="1" s="255">
      <c r="C54" s="422" t="inlineStr">
        <is>
          <t>Discount factor</t>
        </is>
      </c>
      <c r="G54" s="423" t="e">
        <f>1/(1+wacc)^stub_year_fraction</f>
        <v>#DIV/0!</v>
      </c>
      <c r="H54" s="423" t="e">
        <f>1/(1+wacc)^(1+stub_year_fraction)</f>
        <v>#DIV/0!</v>
      </c>
      <c r="I54" s="423" t="e">
        <f>1/(1+wacc)^(2+stub_year_fraction)</f>
        <v>#DIV/0!</v>
      </c>
      <c r="J54" s="423" t="e">
        <f>1/(1+wacc)^(3+stub_year_fraction)</f>
        <v>#DIV/0!</v>
      </c>
      <c r="K54" s="423" t="e">
        <f>1/(1+wacc)^(4+stub_year_fraction)</f>
        <v>#DIV/0!</v>
      </c>
      <c r="L54" s="423" t="e">
        <f>1/(1+wacc)^(5+stub_year_fraction)</f>
        <v>#DIV/0!</v>
      </c>
      <c r="M54" s="423" t="e">
        <f>1/(1+wacc)^(6+stub_year_fraction)</f>
        <v>#DIV/0!</v>
      </c>
      <c r="N54" s="423" t="e">
        <f>1/(1+wacc)^(7+stub_year_fraction)</f>
        <v>#DIV/0!</v>
      </c>
      <c r="O54" s="423" t="e">
        <f>1/(1+wacc)^(8+stub_year_fraction)</f>
        <v>#DIV/0!</v>
      </c>
      <c r="P54" s="423" t="e">
        <f>1/(1+wacc)^(9+stub_year_fraction)</f>
        <v>#DIV/0!</v>
      </c>
      <c r="Q54" s="423" t="e">
        <f>1/(1+wacc)^(10+stub_year_fraction)</f>
        <v>#DIV/0!</v>
      </c>
      <c r="R54" s="423" t="e">
        <f>1/(1+wacc)^(11+stub_year_fraction)</f>
        <v>#DIV/0!</v>
      </c>
      <c r="S54" s="423" t="n"/>
      <c r="T54" s="423" t="n"/>
      <c r="U54" s="423" t="n"/>
      <c r="V54" s="423" t="n"/>
    </row>
    <row r="55" ht="12.75" customHeight="1" s="255">
      <c r="C55" s="422" t="inlineStr">
        <is>
          <t>Midyear adjustment factor</t>
        </is>
      </c>
      <c r="G55" s="424" t="e">
        <f>(1+wacc)^(stub_year_fraction/2)</f>
        <v>#DIV/0!</v>
      </c>
      <c r="H55" s="423" t="e">
        <f>(1+wacc)^0.5</f>
        <v>#DIV/0!</v>
      </c>
      <c r="I55" s="423" t="e">
        <f>(1+wacc)^0.5</f>
        <v>#DIV/0!</v>
      </c>
      <c r="J55" s="423" t="e">
        <f>(1+wacc)^0.5</f>
        <v>#DIV/0!</v>
      </c>
      <c r="K55" s="423" t="e">
        <f>(1+wacc)^0.5</f>
        <v>#DIV/0!</v>
      </c>
      <c r="L55" s="423" t="e">
        <f>(1+wacc)^0.5</f>
        <v>#DIV/0!</v>
      </c>
      <c r="M55" s="423" t="e">
        <f>(1+wacc)^0.5</f>
        <v>#DIV/0!</v>
      </c>
      <c r="N55" s="423" t="e">
        <f>(1+wacc)^0.5</f>
        <v>#DIV/0!</v>
      </c>
      <c r="O55" s="423" t="e">
        <f>(1+wacc)^0.5</f>
        <v>#DIV/0!</v>
      </c>
      <c r="P55" s="423" t="e">
        <f>(1+wacc)^0.5</f>
        <v>#DIV/0!</v>
      </c>
      <c r="Q55" s="423" t="e">
        <f>(1+wacc)^0.5</f>
        <v>#DIV/0!</v>
      </c>
      <c r="R55" s="423" t="e">
        <f>(1+wacc)^0.5</f>
        <v>#DIV/0!</v>
      </c>
      <c r="S55" s="423" t="n"/>
      <c r="T55" s="423" t="n"/>
      <c r="U55" s="423" t="n"/>
      <c r="V55" s="423" t="n"/>
    </row>
    <row r="56" ht="12.75" customHeight="1" s="255">
      <c r="C56" s="422" t="inlineStr">
        <is>
          <t>Present value of free cash flows</t>
        </is>
      </c>
      <c r="G56" s="405" t="e">
        <f>G54*G53*G55</f>
        <v>#DIV/0!</v>
      </c>
      <c r="H56" s="405" t="e">
        <f>H54*H53*H55</f>
        <v>#DIV/0!</v>
      </c>
      <c r="I56" s="405" t="e">
        <f>I54*I53*I55</f>
        <v>#DIV/0!</v>
      </c>
      <c r="J56" s="405" t="e">
        <f>J54*J53*J55</f>
        <v>#DIV/0!</v>
      </c>
      <c r="K56" s="405" t="e">
        <f>K54*K53*K55</f>
        <v>#DIV/0!</v>
      </c>
      <c r="L56" s="405" t="e">
        <f>L54*L53*L55</f>
        <v>#DIV/0!</v>
      </c>
      <c r="M56" s="405" t="e">
        <f>M54*M53*M55</f>
        <v>#DIV/0!</v>
      </c>
      <c r="N56" s="405" t="e">
        <f>N54*N53*N55</f>
        <v>#DIV/0!</v>
      </c>
      <c r="O56" s="405" t="e">
        <f>O54*O53*O55</f>
        <v>#DIV/0!</v>
      </c>
      <c r="P56" s="405" t="e">
        <f>P54*P53*P55</f>
        <v>#DIV/0!</v>
      </c>
      <c r="Q56" s="405" t="e">
        <f>Q54*Q53*Q55</f>
        <v>#DIV/0!</v>
      </c>
      <c r="R56" s="405" t="e">
        <f>R54*R53*R55</f>
        <v>#DIV/0!</v>
      </c>
      <c r="S56" s="405" t="n"/>
      <c r="T56" s="405" t="n"/>
      <c r="U56" s="405" t="n"/>
      <c r="V56" s="405" t="n"/>
    </row>
    <row r="57" ht="12.75" customHeight="1" s="255">
      <c r="C57" s="360" t="inlineStr">
        <is>
          <t>Sum of present values of FCFs</t>
        </is>
      </c>
      <c r="G57" s="420" t="e">
        <f>SUM(G56:R56)</f>
        <v>#DIV/0!</v>
      </c>
      <c r="H57" s="405" t="n"/>
      <c r="N57" s="425" t="n"/>
    </row>
    <row r="59" ht="12.75" customHeight="1" s="255">
      <c r="C59" s="360" t="n"/>
      <c r="D59" s="352" t="n">
        <v>50405</v>
      </c>
      <c r="E59" s="426" t="n"/>
      <c r="F59" s="427" t="n"/>
      <c r="G59" s="427" t="n"/>
      <c r="H59" s="352" t="n">
        <v>46022</v>
      </c>
      <c r="I59" s="427" t="n"/>
      <c r="J59" s="427" t="n"/>
      <c r="K59" s="427" t="n"/>
      <c r="L59" s="427" t="n"/>
    </row>
    <row r="60" ht="13.5" customHeight="1" s="255">
      <c r="C60" s="428" t="inlineStr">
        <is>
          <t>Terminal value</t>
        </is>
      </c>
      <c r="D60" s="429" t="n"/>
      <c r="E60" s="430" t="inlineStr">
        <is>
          <t>Equity value calculations</t>
        </is>
      </c>
      <c r="F60" s="431" t="n"/>
      <c r="G60" s="431" t="n"/>
      <c r="H60" s="431" t="n"/>
      <c r="I60" s="432" t="inlineStr">
        <is>
          <t xml:space="preserve"> Shares Outstanding Worksheet</t>
        </is>
      </c>
      <c r="J60" s="433" t="n"/>
      <c r="K60" s="434" t="n"/>
      <c r="L60" s="435" t="n"/>
    </row>
    <row r="61" ht="12.75" customHeight="1" s="255">
      <c r="C61" s="407" t="n"/>
      <c r="D61" s="408" t="n"/>
      <c r="I61" s="407" t="n"/>
      <c r="L61" s="408" t="n"/>
    </row>
    <row r="62" ht="12.75" customHeight="1" s="255">
      <c r="C62" s="436" t="inlineStr">
        <is>
          <t>Key value driver method</t>
        </is>
      </c>
      <c r="D62" s="437" t="n"/>
      <c r="E62" s="438" t="inlineStr">
        <is>
          <t>Enterprise value</t>
        </is>
      </c>
      <c r="H62" s="420" t="e">
        <f>D80</f>
        <v>#DIV/0!</v>
      </c>
      <c r="I62" s="439" t="inlineStr">
        <is>
          <t>Basic Shares Outanding :</t>
        </is>
      </c>
      <c r="J62" s="354" t="n"/>
      <c r="L62" s="440" t="n"/>
    </row>
    <row r="63" ht="13.5" customHeight="1" s="255">
      <c r="C63" s="436" t="inlineStr">
        <is>
          <t>g</t>
        </is>
      </c>
      <c r="D63" s="441" t="n"/>
      <c r="E63" s="442" t="inlineStr">
        <is>
          <t>Calculation of net debt:</t>
        </is>
      </c>
      <c r="H63" s="405" t="n"/>
      <c r="I63" s="439" t="inlineStr">
        <is>
          <t>Current Share Price:</t>
        </is>
      </c>
      <c r="L63" s="443" t="n"/>
    </row>
    <row r="64" ht="13.5" customHeight="1" s="255">
      <c r="C64" s="436" t="inlineStr">
        <is>
          <t>RONIC</t>
        </is>
      </c>
      <c r="D64" s="444" t="e">
        <f>R50</f>
        <v>#DIV/0!</v>
      </c>
      <c r="E64" s="422" t="inlineStr">
        <is>
          <t>Current portion of long-term debt</t>
        </is>
      </c>
      <c r="H64" s="401" t="n"/>
      <c r="I64" s="445" t="inlineStr">
        <is>
          <t>Options / Warrants Data</t>
        </is>
      </c>
      <c r="J64" s="373" t="n"/>
      <c r="K64" s="373" t="n"/>
      <c r="L64" s="446" t="n"/>
    </row>
    <row r="65" ht="12.75" customHeight="1" s="255">
      <c r="C65" s="436" t="inlineStr">
        <is>
          <t>NOPLAT (t+1)</t>
        </is>
      </c>
      <c r="D65" s="447">
        <f>SUMIFS(INDEX($C$17:$AQ$42,,MATCH(D$59,$C$17:$AQ$17,0)),$C$17:$C$42,"NOPLAT")*(1+D63)</f>
        <v>0</v>
      </c>
      <c r="E65" s="422" t="inlineStr">
        <is>
          <t>Short term debt</t>
        </is>
      </c>
      <c r="H65" s="401" t="n"/>
      <c r="I65" s="445" t="n"/>
      <c r="J65" s="448" t="inlineStr">
        <is>
          <t># of options</t>
        </is>
      </c>
      <c r="K65" s="448" t="inlineStr">
        <is>
          <t xml:space="preserve">$ strike </t>
        </is>
      </c>
      <c r="L65" s="446" t="inlineStr">
        <is>
          <t># In-the-$</t>
        </is>
      </c>
    </row>
    <row r="66" ht="12.75" customHeight="1" s="255">
      <c r="C66" s="436" t="inlineStr">
        <is>
          <t>Terminal value</t>
        </is>
      </c>
      <c r="D66" s="447" t="e">
        <f>(noplat_t1*(1-(g/ronic)))/(wacc-g)</f>
        <v>#DIV/0!</v>
      </c>
      <c r="E66" s="422" t="inlineStr">
        <is>
          <t>Long term debt</t>
        </is>
      </c>
      <c r="H66" s="401" t="n"/>
      <c r="I66" s="422" t="inlineStr">
        <is>
          <t>Batch 1</t>
        </is>
      </c>
      <c r="J66" s="449" t="n"/>
      <c r="K66" s="450" t="n"/>
      <c r="L66" s="451">
        <f>IF($K66&lt;$L$62,J66,0)</f>
        <v>0</v>
      </c>
    </row>
    <row r="67" ht="12.75" customHeight="1" s="255">
      <c r="C67" s="436" t="inlineStr">
        <is>
          <t>Midyear adjusted terminal value</t>
        </is>
      </c>
      <c r="D67" s="447" t="e">
        <f>D66*R55</f>
        <v>#DIV/0!</v>
      </c>
      <c r="E67" s="422" t="inlineStr">
        <is>
          <t>Convertible debt</t>
        </is>
      </c>
      <c r="H67" s="401" t="n"/>
      <c r="I67" s="422" t="inlineStr">
        <is>
          <t>Batch 2</t>
        </is>
      </c>
      <c r="J67" s="452" t="n"/>
      <c r="K67" s="453" t="n"/>
      <c r="L67" s="451">
        <f>IF($K67&lt;$L$61,J67,0)</f>
        <v>0</v>
      </c>
    </row>
    <row r="68" ht="12.75" customHeight="1" s="255">
      <c r="C68" s="436" t="inlineStr">
        <is>
          <t>Present value of terminal value</t>
        </is>
      </c>
      <c r="D68" s="447" t="e">
        <f>D67*R54</f>
        <v>#DIV/0!</v>
      </c>
      <c r="E68" s="422" t="inlineStr">
        <is>
          <t>Minority interest</t>
        </is>
      </c>
      <c r="H68" s="401" t="n"/>
      <c r="I68" s="422" t="inlineStr">
        <is>
          <t>Batch 3</t>
        </is>
      </c>
      <c r="J68" s="452" t="n"/>
      <c r="K68" s="453" t="n"/>
      <c r="L68" s="451">
        <f>IF($K68&lt;$L$61,J68,0)</f>
        <v>0</v>
      </c>
    </row>
    <row r="69" ht="12.75" customHeight="1" s="255">
      <c r="C69" s="439" t="inlineStr">
        <is>
          <t>Enterprise value</t>
        </is>
      </c>
      <c r="D69" s="454" t="e">
        <f>D68+G57</f>
        <v>#DIV/0!</v>
      </c>
      <c r="E69" s="422" t="inlineStr">
        <is>
          <t>Convertible preferred stock</t>
        </is>
      </c>
      <c r="H69" s="401" t="n"/>
      <c r="I69" s="422" t="inlineStr">
        <is>
          <t>Batch 4</t>
        </is>
      </c>
      <c r="J69" s="452" t="n"/>
      <c r="K69" s="453" t="n"/>
      <c r="L69" s="451">
        <f>IF($K69&lt;$L$61,J69,0)</f>
        <v>0</v>
      </c>
    </row>
    <row r="70" ht="12.75" customHeight="1" s="255">
      <c r="C70" s="407" t="n"/>
      <c r="D70" s="408" t="n"/>
      <c r="E70" s="422" t="inlineStr">
        <is>
          <t>Short term operating leases</t>
        </is>
      </c>
      <c r="H70" s="401" t="n"/>
      <c r="I70" s="422" t="inlineStr">
        <is>
          <t>Batch 5</t>
        </is>
      </c>
      <c r="J70" s="452" t="n"/>
      <c r="K70" s="453" t="n"/>
      <c r="L70" s="451">
        <f>IF($K70&lt;$L$61,J70,0)</f>
        <v>0</v>
      </c>
    </row>
    <row r="71" ht="12.75" customHeight="1" s="255">
      <c r="C71" s="436" t="inlineStr">
        <is>
          <t>Exit multiple method</t>
        </is>
      </c>
      <c r="D71" s="437" t="n"/>
      <c r="E71" s="422" t="inlineStr">
        <is>
          <t>Long term operating leases</t>
        </is>
      </c>
      <c r="H71" s="401" t="n"/>
      <c r="I71" s="445" t="inlineStr">
        <is>
          <t>Batch 6</t>
        </is>
      </c>
      <c r="J71" s="455" t="n"/>
      <c r="K71" s="456" t="n"/>
      <c r="L71" s="457">
        <f>IF($K71&lt;$L$61,J71,0)</f>
        <v>0</v>
      </c>
    </row>
    <row r="72" ht="12.75" customHeight="1" s="255">
      <c r="C72" s="439" t="inlineStr">
        <is>
          <t>Exit EV / EBITDA multiple</t>
        </is>
      </c>
      <c r="D72" s="458" t="n"/>
      <c r="E72" s="442" t="inlineStr">
        <is>
          <t>Less: Excess cash</t>
        </is>
      </c>
      <c r="H72" s="401" t="n"/>
      <c r="J72" s="427" t="n"/>
      <c r="K72" s="459" t="inlineStr">
        <is>
          <t>Total in-the-$ options:</t>
        </is>
      </c>
      <c r="L72" s="451">
        <f>SUM(L66:L71)</f>
        <v>0</v>
      </c>
    </row>
    <row r="73" ht="12.75" customHeight="1" s="255">
      <c r="C73" s="439" t="inlineStr">
        <is>
          <t>LTM EBITDA at end of projection</t>
        </is>
      </c>
      <c r="D73" s="454">
        <f>L20</f>
        <v>0</v>
      </c>
      <c r="E73" s="442" t="inlineStr">
        <is>
          <t>Less: Equity investments</t>
        </is>
      </c>
      <c r="H73" s="401" t="n"/>
      <c r="J73" s="427" t="n"/>
      <c r="K73" s="459" t="inlineStr">
        <is>
          <t>Total $ proceeds:</t>
        </is>
      </c>
      <c r="L73" s="460">
        <f>SUMPRODUCT(K66:K71,L66:L71)</f>
        <v>0</v>
      </c>
    </row>
    <row r="74" ht="12.75" customHeight="1" s="255">
      <c r="C74" s="439" t="inlineStr">
        <is>
          <t>Terminal value</t>
        </is>
      </c>
      <c r="D74" s="454">
        <f>D73*D72</f>
        <v>0</v>
      </c>
      <c r="E74" s="422" t="inlineStr">
        <is>
          <t>Net debt</t>
        </is>
      </c>
      <c r="H74" s="454">
        <f>SUM(H64:H73)</f>
        <v>0</v>
      </c>
      <c r="J74" s="427" t="n"/>
      <c r="K74" s="459" t="inlineStr">
        <is>
          <t>Total shares repurchased:</t>
        </is>
      </c>
      <c r="L74" s="451" t="e">
        <f>L73/L63</f>
        <v>#DIV/0!</v>
      </c>
    </row>
    <row r="75" ht="12.75" customHeight="1" s="255">
      <c r="C75" s="439" t="inlineStr">
        <is>
          <t>Present value of terminal value</t>
        </is>
      </c>
      <c r="D75" s="454" t="e">
        <f>D74*L54</f>
        <v>#DIV/0!</v>
      </c>
      <c r="E75" s="438" t="inlineStr">
        <is>
          <t>Equity value</t>
        </is>
      </c>
      <c r="H75" s="447" t="e">
        <f>D80-H74</f>
        <v>#DIV/0!</v>
      </c>
      <c r="J75" s="427" t="n"/>
      <c r="K75" s="461" t="inlineStr">
        <is>
          <t>Basic shares outstanding</t>
        </is>
      </c>
      <c r="L75" s="437">
        <f>L62</f>
        <v>0</v>
      </c>
    </row>
    <row r="76" ht="13.5" customHeight="1" s="255">
      <c r="C76" s="439" t="inlineStr">
        <is>
          <t>Enterprise value</t>
        </is>
      </c>
      <c r="D76" s="454" t="e">
        <f>G57+D75</f>
        <v>#DIV/0!</v>
      </c>
      <c r="E76" s="422" t="inlineStr">
        <is>
          <t>Shares outstanding</t>
        </is>
      </c>
      <c r="H76" s="454" t="e">
        <f>L79</f>
        <v>#DIV/0!</v>
      </c>
      <c r="J76" s="462" t="n"/>
      <c r="K76" s="461" t="inlineStr">
        <is>
          <t>New shares from options:</t>
        </is>
      </c>
      <c r="L76" s="437" t="e">
        <f>L72-L74</f>
        <v>#DIV/0!</v>
      </c>
    </row>
    <row r="77" ht="13.5" customHeight="1" s="255">
      <c r="C77" s="407" t="n"/>
      <c r="D77" s="463" t="n"/>
      <c r="E77" s="438" t="inlineStr">
        <is>
          <t>Equity value / share</t>
        </is>
      </c>
      <c r="H77" s="464" t="e">
        <f>H75/H76</f>
        <v>#DIV/0!</v>
      </c>
      <c r="K77" s="461" t="inlineStr">
        <is>
          <t>New shares from convert. pref. stock:</t>
        </is>
      </c>
      <c r="L77" s="465" t="n"/>
    </row>
    <row r="78" ht="12.75" customHeight="1" s="255">
      <c r="C78" s="436" t="inlineStr">
        <is>
          <t>Select a terminal value method</t>
        </is>
      </c>
      <c r="D78" s="466" t="n"/>
      <c r="F78" s="425" t="n"/>
      <c r="H78" s="467" t="n"/>
      <c r="K78" s="461" t="inlineStr">
        <is>
          <t>New shares from convertible debt:</t>
        </is>
      </c>
      <c r="L78" s="468" t="n"/>
    </row>
    <row r="79" ht="12.75" customHeight="1" s="255">
      <c r="C79" s="439" t="inlineStr">
        <is>
          <t>Perpetual growth = 1 / Exit multiple = 2</t>
        </is>
      </c>
      <c r="D79" s="469" t="n"/>
      <c r="H79" s="467" t="n"/>
      <c r="K79" s="470" t="inlineStr">
        <is>
          <t>Total Shares Outstanding:</t>
        </is>
      </c>
      <c r="L79" s="471" t="e">
        <f>L62+SUM(L76:L78)</f>
        <v>#DIV/0!</v>
      </c>
    </row>
    <row r="80" ht="12.75" customHeight="1" s="255">
      <c r="C80" s="439" t="inlineStr">
        <is>
          <t>Enterprise value</t>
        </is>
      </c>
      <c r="D80" s="437" t="e">
        <f>IF(D79=1,D69,D76)</f>
        <v>#DIV/0!</v>
      </c>
      <c r="H80" s="408" t="n"/>
      <c r="K80" s="470" t="n"/>
      <c r="L80" s="471" t="n"/>
    </row>
    <row r="81" ht="12.75" customHeight="1" s="255">
      <c r="C81" s="472" t="inlineStr">
        <is>
          <t>Terminal value as percent of total value</t>
        </is>
      </c>
      <c r="D81" s="473" t="e">
        <f>IF(D79=1,D68/D69,D75/D76)</f>
        <v>#DIV/0!</v>
      </c>
      <c r="E81" s="373" t="n"/>
      <c r="F81" s="373" t="n"/>
      <c r="G81" s="373" t="n"/>
      <c r="H81" s="387" t="n"/>
      <c r="I81" s="373" t="n"/>
      <c r="J81" s="373" t="n"/>
      <c r="K81" s="373" t="n"/>
      <c r="L81" s="387" t="n"/>
    </row>
    <row r="83" ht="13.5" customHeight="1" s="255">
      <c r="C83" s="474" t="inlineStr">
        <is>
          <t>Analysis of WACC</t>
        </is>
      </c>
      <c r="D83" s="475" t="n"/>
      <c r="E83" s="476" t="n"/>
      <c r="F83" s="476" t="n"/>
      <c r="G83" s="474" t="n"/>
      <c r="H83" s="475" t="n"/>
      <c r="I83" s="476" t="n"/>
      <c r="J83" s="476" t="n"/>
      <c r="K83" s="476" t="n"/>
      <c r="L83" s="476" t="n"/>
    </row>
    <row r="85" ht="12.75" customHeight="1" s="255">
      <c r="C85" s="477" t="inlineStr">
        <is>
          <t>Cost of debt</t>
        </is>
      </c>
      <c r="D85" s="373" t="n"/>
      <c r="F85" s="477" t="inlineStr">
        <is>
          <t>Capital structure</t>
        </is>
      </c>
      <c r="G85" s="477" t="n"/>
      <c r="H85" s="477" t="n"/>
      <c r="I85" s="477" t="n"/>
      <c r="J85" s="477" t="n"/>
    </row>
    <row r="86" ht="12.75" customHeight="1" s="255">
      <c r="C86" s="422" t="inlineStr">
        <is>
          <t>Cost of debt</t>
        </is>
      </c>
      <c r="D86" s="478" t="n"/>
      <c r="G86" s="479" t="inlineStr">
        <is>
          <t>Current capital structure</t>
        </is>
      </c>
      <c r="H86" s="366" t="n"/>
      <c r="I86" s="480" t="inlineStr">
        <is>
          <t>Target capital structure</t>
        </is>
      </c>
      <c r="J86" s="481" t="n"/>
    </row>
    <row r="87" ht="12.75" customHeight="1" s="255">
      <c r="C87" s="422" t="inlineStr">
        <is>
          <t>Marginal tax rate</t>
        </is>
      </c>
      <c r="D87" s="478" t="n"/>
      <c r="F87" s="373" t="n"/>
      <c r="G87" s="448" t="inlineStr">
        <is>
          <t>Market value</t>
        </is>
      </c>
      <c r="H87" s="448" t="inlineStr">
        <is>
          <t>% Weight</t>
        </is>
      </c>
      <c r="I87" s="448" t="inlineStr">
        <is>
          <t>override</t>
        </is>
      </c>
      <c r="J87" s="482" t="inlineStr">
        <is>
          <t>% Weight</t>
        </is>
      </c>
      <c r="K87" s="483" t="n"/>
      <c r="L87" s="484" t="n"/>
    </row>
    <row r="88" ht="12.75" customHeight="1" s="255">
      <c r="C88" s="349" t="inlineStr">
        <is>
          <t>Cost of debt after tax shield</t>
        </is>
      </c>
      <c r="D88" s="485">
        <f>costdebtfirm*(1-D87)</f>
        <v>0</v>
      </c>
      <c r="F88" s="349" t="inlineStr">
        <is>
          <t>Net debt</t>
        </is>
      </c>
      <c r="G88" s="486">
        <f>H74</f>
        <v>0</v>
      </c>
      <c r="H88" s="354" t="e">
        <f>debt/totalcap</f>
        <v>#DIV/0!</v>
      </c>
      <c r="I88" s="478" t="n"/>
      <c r="J88" s="354" t="e">
        <f>IF(I88,I88,H88)</f>
        <v>#DIV/0!</v>
      </c>
      <c r="L88" s="487" t="n"/>
    </row>
    <row r="89" ht="12.75" customHeight="1" s="255">
      <c r="F89" s="349" t="inlineStr">
        <is>
          <t>Equity</t>
        </is>
      </c>
      <c r="G89" s="488" t="e">
        <f>L63*L79</f>
        <v>#DIV/0!</v>
      </c>
      <c r="H89" s="354" t="e">
        <f>1-H88</f>
        <v>#DIV/0!</v>
      </c>
      <c r="J89" s="354" t="e">
        <f>1-debt_weight</f>
        <v>#DIV/0!</v>
      </c>
    </row>
    <row r="90" ht="12.75" customHeight="1" s="255">
      <c r="C90" s="477" t="inlineStr">
        <is>
          <t>Cost of equity</t>
        </is>
      </c>
      <c r="D90" s="373" t="n"/>
      <c r="F90" s="349" t="inlineStr">
        <is>
          <t>Total</t>
        </is>
      </c>
      <c r="G90" s="483" t="e">
        <f>SUM(G88:G89)</f>
        <v>#DIV/0!</v>
      </c>
    </row>
    <row r="91" ht="12.75" customHeight="1" s="255">
      <c r="C91" s="422" t="inlineStr">
        <is>
          <t>Risk-Free Rate (rf)</t>
        </is>
      </c>
      <c r="D91" s="478" t="n"/>
      <c r="E91" s="489" t="n"/>
    </row>
    <row r="92" ht="12.75" customHeight="1" s="255">
      <c r="C92" s="422" t="inlineStr">
        <is>
          <t>Market Risk Premium (rm-rf)</t>
        </is>
      </c>
      <c r="D92" s="478" t="n"/>
      <c r="F92" s="477" t="inlineStr">
        <is>
          <t>Weighted average cost of capital</t>
        </is>
      </c>
      <c r="G92" s="373" t="n"/>
      <c r="H92" s="373" t="n"/>
      <c r="I92" s="373" t="n"/>
      <c r="J92" s="373" t="n"/>
    </row>
    <row r="93" ht="12.75" customHeight="1" s="255">
      <c r="C93" s="422" t="inlineStr">
        <is>
          <t>Raw (observed) beta</t>
        </is>
      </c>
      <c r="D93" s="490" t="n"/>
      <c r="F93" s="349" t="inlineStr">
        <is>
          <t>Weighted average cost of capital:</t>
        </is>
      </c>
      <c r="J93" s="354" t="e">
        <f>debt_weight*D88+J89*costequity</f>
        <v>#DIV/0!</v>
      </c>
    </row>
    <row r="94" ht="12.75" customHeight="1" s="255">
      <c r="C94" s="422" t="inlineStr">
        <is>
          <t>Cost of equity using relevered industry beta</t>
        </is>
      </c>
      <c r="D94" s="485" t="e">
        <f>risk_free_rate+relevered_beta*risk_premium</f>
        <v>#DIV/0!</v>
      </c>
      <c r="E94" s="360" t="n"/>
    </row>
    <row r="95" ht="12.75" customHeight="1" s="255">
      <c r="C95" s="422" t="n"/>
      <c r="D95" s="485" t="n"/>
      <c r="E95" s="360" t="n"/>
      <c r="G95" s="483" t="n"/>
    </row>
    <row r="96" ht="12.75" customHeight="1" s="255">
      <c r="C96" s="477" t="inlineStr">
        <is>
          <t>Industry beta calculation</t>
        </is>
      </c>
      <c r="D96" s="373" t="n"/>
      <c r="E96" s="373" t="n"/>
      <c r="F96" s="373" t="n"/>
      <c r="G96" s="373" t="n"/>
      <c r="H96" s="373" t="n"/>
      <c r="I96" s="373" t="n"/>
      <c r="J96" s="373" t="n"/>
      <c r="K96" s="373" t="n"/>
      <c r="L96" s="373" t="n"/>
      <c r="M96" s="373" t="n"/>
    </row>
    <row r="97" ht="25.5" customHeight="1" s="255">
      <c r="C97" s="491" t="inlineStr">
        <is>
          <t xml:space="preserve">Comps </t>
        </is>
      </c>
      <c r="D97" s="492" t="inlineStr">
        <is>
          <t>Raw beta</t>
        </is>
      </c>
      <c r="E97" s="492" t="inlineStr">
        <is>
          <t>Share price</t>
        </is>
      </c>
      <c r="F97" s="492" t="inlineStr">
        <is>
          <t>Shares</t>
        </is>
      </c>
      <c r="G97" s="492" t="inlineStr">
        <is>
          <t>Market cap.</t>
        </is>
      </c>
      <c r="H97" s="492" t="inlineStr">
        <is>
          <t>Debt</t>
        </is>
      </c>
      <c r="I97" s="492" t="inlineStr">
        <is>
          <t>D / E</t>
        </is>
      </c>
      <c r="J97" s="492" t="inlineStr">
        <is>
          <t>Tax rate</t>
        </is>
      </c>
      <c r="K97" s="492" t="inlineStr">
        <is>
          <t>Unl. Beta</t>
        </is>
      </c>
      <c r="L97" s="492" t="inlineStr">
        <is>
          <t>Weigh. Beta</t>
        </is>
      </c>
      <c r="M97" s="492" t="inlineStr">
        <is>
          <t>Relev. Beta</t>
        </is>
      </c>
    </row>
    <row r="98" ht="12.75" customHeight="1" s="255">
      <c r="C98" s="493">
        <f>ticker</f>
        <v>0.0</v>
      </c>
      <c r="D98" s="494">
        <f>beta_observed</f>
        <v>0</v>
      </c>
      <c r="E98" s="495">
        <f>L63</f>
        <v>0</v>
      </c>
      <c r="F98" s="405" t="e">
        <f>L79</f>
        <v>#DIV/0!</v>
      </c>
      <c r="G98" s="405" t="e">
        <f>E98*F98</f>
        <v>#DIV/0!</v>
      </c>
      <c r="H98" s="405">
        <f>debt</f>
        <v>0</v>
      </c>
      <c r="I98" s="496" t="e">
        <f>debt/market_equity</f>
        <v>#DIV/0!</v>
      </c>
      <c r="J98" s="496">
        <f>F24</f>
        <v>0.348556183301946</v>
      </c>
      <c r="K98" s="494" t="e">
        <f>D98/(1+(I98)*(1-J98))</f>
        <v>#DIV/0!</v>
      </c>
      <c r="L98" s="497" t="e">
        <f>K98*G98/$G$102</f>
        <v>#DIV/0!</v>
      </c>
    </row>
    <row r="99" ht="12.75" customHeight="1" s="255">
      <c r="C99" s="498" t="inlineStr">
        <is>
          <t>TICKER 2</t>
        </is>
      </c>
      <c r="D99" s="490" t="n"/>
      <c r="E99" s="499" t="n"/>
      <c r="F99" s="500" t="n"/>
      <c r="G99" s="405">
        <f>E99*F99</f>
        <v>0</v>
      </c>
      <c r="H99" s="500" t="n"/>
      <c r="I99" s="496" t="e">
        <f>H99/(F99*E99)</f>
        <v>#DIV/0!</v>
      </c>
      <c r="J99" s="501" t="n"/>
      <c r="K99" s="494" t="e">
        <f>D99/(1+(I99)*(1-J99))</f>
        <v>#DIV/0!</v>
      </c>
      <c r="L99" s="497" t="e">
        <f>K99*G99/$G$102</f>
        <v>#DIV/0!</v>
      </c>
    </row>
    <row r="100" ht="12.75" customHeight="1" s="255">
      <c r="C100" s="498" t="inlineStr">
        <is>
          <t>TICKER 3</t>
        </is>
      </c>
      <c r="D100" s="490" t="n"/>
      <c r="E100" s="499" t="n"/>
      <c r="F100" s="500" t="n"/>
      <c r="G100" s="405">
        <f>E100*F100</f>
        <v>0</v>
      </c>
      <c r="H100" s="500" t="n"/>
      <c r="I100" s="496" t="e">
        <f>H100/(F100*E100)</f>
        <v>#DIV/0!</v>
      </c>
      <c r="J100" s="501" t="n"/>
      <c r="K100" s="494" t="e">
        <f>D100/(1+(I100)*(1-J100))</f>
        <v>#DIV/0!</v>
      </c>
      <c r="L100" s="497" t="e">
        <f>K100*G100/$G$102</f>
        <v>#DIV/0!</v>
      </c>
    </row>
    <row r="101" ht="12.75" customHeight="1" s="255">
      <c r="C101" s="502" t="inlineStr">
        <is>
          <t>TICKER 4</t>
        </is>
      </c>
      <c r="D101" s="503" t="n"/>
      <c r="E101" s="504" t="n"/>
      <c r="F101" s="505" t="n"/>
      <c r="G101" s="391">
        <f>E101*F101</f>
        <v>0</v>
      </c>
      <c r="H101" s="505" t="n"/>
      <c r="I101" s="506" t="e">
        <f>H101/(F101*E101)</f>
        <v>#DIV/0!</v>
      </c>
      <c r="J101" s="507" t="n"/>
      <c r="K101" s="508" t="e">
        <f>D101/(1+(I101)*(1-J101))</f>
        <v>#DIV/0!</v>
      </c>
      <c r="L101" s="497" t="e">
        <f>K101*G101/$G$102</f>
        <v>#DIV/0!</v>
      </c>
      <c r="M101" s="509" t="n"/>
    </row>
    <row r="102" ht="12.75" customHeight="1" s="255">
      <c r="D102" s="494" t="n"/>
      <c r="E102" s="470" t="n"/>
      <c r="F102" s="426" t="n"/>
      <c r="G102" s="405" t="e">
        <f>SUM(G98:G101)</f>
        <v>#DIV/0!</v>
      </c>
      <c r="I102" s="494" t="n"/>
      <c r="J102" s="509" t="inlineStr">
        <is>
          <t>Average:</t>
        </is>
      </c>
      <c r="K102" s="510" t="e">
        <f>AVERAGE(K98:K101)</f>
        <v>#DIV/0!</v>
      </c>
      <c r="L102" s="510" t="e">
        <f>SUM(L98:L101)</f>
        <v>#DIV/0!</v>
      </c>
      <c r="M102" s="510" t="e">
        <f>L102*(1+(debt/market_equity)*(1-D87))</f>
        <v>#DIV/0!</v>
      </c>
    </row>
  </sheetData>
  <mergeCells count="6">
    <mergeCell ref="G15:L15"/>
    <mergeCell ref="M15:R15"/>
    <mergeCell ref="G14:V14"/>
    <mergeCell ref="G86:H86"/>
    <mergeCell ref="I86:J86"/>
    <mergeCell ref="S15:V1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Nascimento</dc:creator>
  <dc:language xmlns:dc="http://purl.org/dc/elements/1.1/">en-US</dc:language>
  <dcterms:created xmlns:dcterms="http://purl.org/dc/terms/" xmlns:xsi="http://www.w3.org/2001/XMLSchema-instance" xsi:type="dcterms:W3CDTF">2025-10-26T03:14:16Z</dcterms:created>
  <dcterms:modified xmlns:dcterms="http://purl.org/dc/terms/" xmlns:xsi="http://www.w3.org/2001/XMLSchema-instance" xsi:type="dcterms:W3CDTF">2026-10-14T12:11:49Z</dcterms:modified>
  <cp:lastModifiedBy>Lucas Nascimento</cp:lastModifiedBy>
  <cp:revision>0</cp:revision>
</cp:coreProperties>
</file>