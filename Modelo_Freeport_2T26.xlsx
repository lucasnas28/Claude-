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500" firstSheet="0" activeTab="1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  <sheet xmlns:r="http://schemas.openxmlformats.org/officeDocument/2006/relationships" name="Control" sheetId="5" state="visible" r:id="rId5"/>
  </sheets>
  <definedNames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BalType" hidden="1">TRUE()</definedName>
    <definedName name="beta_observed">Valuation!$D$93</definedName>
    <definedName name="GrpAcct1" hidden="1">"5611"</definedName>
    <definedName name="GrpAcct2" hidden="1">"5612"</definedName>
    <definedName name="GrpLevel" hidden="1">2</definedName>
    <definedName name="last_close">Valuation!$G$7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owLevel" hidden="1">1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ColumnsCount" hidden="1">2</definedName>
    <definedName name="XRefCopyRangeCount" hidden="1">5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</definedNames>
  <calcPr calcId="191029" fullCalcOnLoad="1"/>
</workbook>
</file>

<file path=xl/styles.xml><?xml version="1.0" encoding="utf-8"?>
<styleSheet xmlns="http://schemas.openxmlformats.org/spreadsheetml/2006/main">
  <numFmts count="38">
    <numFmt numFmtId="164" formatCode="#,##0_ ;[Red]\-#,##0\ "/>
    <numFmt numFmtId="165" formatCode="#,##0_);[Red]\(#,##0\)"/>
    <numFmt numFmtId="166" formatCode="#,##0.0_);[Red]\(#,##0.0\)"/>
    <numFmt numFmtId="167" formatCode="#,##0.0_ ;[Red]\-#,##0.0\ "/>
    <numFmt numFmtId="168" formatCode="[$-409]d\-mmm;@"/>
    <numFmt numFmtId="169" formatCode="[$-409]d\-mmm"/>
    <numFmt numFmtId="170" formatCode="[$-416]d\-mmm"/>
    <numFmt numFmtId="171" formatCode="0.0%"/>
    <numFmt numFmtId="172" formatCode="#,##0.0;[Red]#,##0.0"/>
    <numFmt numFmtId="173" formatCode="#,##0.00_);[Red]\(#,##0.00\)"/>
    <numFmt numFmtId="174" formatCode="0.0\x"/>
    <numFmt numFmtId="175" formatCode="0.0"/>
    <numFmt numFmtId="176" formatCode="[$-409]d\-mmm\-yy;@"/>
    <numFmt numFmtId="177" formatCode="[$BRL]\ #,##0.00_);[Red]\([$BRL]\ #,##0.00\)"/>
    <numFmt numFmtId="178" formatCode="#,##0.0_);\(#,##0.0\)"/>
    <numFmt numFmtId="179" formatCode="#,##0.000_);\(#,##0.000\)"/>
    <numFmt numFmtId="180" formatCode="&quot;R$ &quot;#,##0.00"/>
    <numFmt numFmtId="181" formatCode="#,##0.0\x"/>
    <numFmt numFmtId="182" formatCode="\$#,##0.00_);&quot;($&quot;#,##0.00\)"/>
    <numFmt numFmtId="183" formatCode="#,##0.000_);[Red]\(#,##0.000\)"/>
    <numFmt numFmtId="184" formatCode="\$#,##0.00_);[Red]&quot;($&quot;#,##0.00\)"/>
    <numFmt numFmtId="185" formatCode="\$#,##0.0_);&quot;($&quot;#,##0.0\)"/>
    <numFmt numFmtId="186" formatCode="#,##0_);\(#,##0\)"/>
    <numFmt numFmtId="187" formatCode="0.0%;\(0.0%\)"/>
    <numFmt numFmtId="188" formatCode="0.000"/>
    <numFmt numFmtId="189" formatCode="#,##0.00_);\(#,##0.00\)"/>
    <numFmt numFmtId="190" formatCode="#,##0.0"/>
    <numFmt numFmtId="191" formatCode="0.00\x"/>
    <numFmt numFmtId="192" formatCode="0.0&quot;x&quot;"/>
    <numFmt numFmtId="193" formatCode="#,##0.0;\(#,##0.0\)"/>
    <numFmt numFmtId="194" formatCode="_(* #,##0.00_);_(* \(#,##0.00\);_(* \-??_);_(@_)"/>
    <numFmt numFmtId="195" formatCode="_(* #,##0_);_(* \(#,##0\);_(* \-_);_(@_)"/>
    <numFmt numFmtId="196" formatCode="_(\$* #,##0.00_);_(\$* \(#,##0.00\);_(\$* \-??_);_(@_)"/>
    <numFmt numFmtId="197" formatCode="_(\$* #,##0_);_(\$* \(#,##0\);_(\$* \-_);_(@_)"/>
    <numFmt numFmtId="198" formatCode="m/d/yyyy"/>
    <numFmt numFmtId="199" formatCode="0_);\(0\)"/>
    <numFmt numFmtId="200" formatCode="#,##0.0;(#,##0.0)"/>
    <numFmt numFmtId="201" formatCode="dd/mm/yyyy"/>
  </numFmts>
  <fonts count="26">
    <font>
      <name val="Arial"/>
      <family val="2"/>
      <sz val="10"/>
    </font>
    <font>
      <name val="Arial"/>
      <charset val="1"/>
      <sz val="10"/>
    </font>
    <font>
      <name val="Arial"/>
      <charset val="1"/>
      <b val="1"/>
      <sz val="8"/>
    </font>
    <font>
      <name val="Aptos Narrow"/>
      <charset val="1"/>
      <color theme="1"/>
      <sz val="11"/>
    </font>
    <font>
      <name val="Verdana"/>
      <charset val="1"/>
      <color theme="1"/>
      <sz val="10"/>
    </font>
    <font>
      <name val="Arial"/>
      <charset val="1"/>
      <sz val="8"/>
    </font>
    <font>
      <name val="Arial"/>
      <charset val="1"/>
      <b val="1"/>
      <color rgb="FF333333"/>
      <sz val="10"/>
    </font>
    <font>
      <name val="Calibri"/>
      <charset val="1"/>
      <color rgb="FF000000"/>
      <sz val="11"/>
    </font>
    <font>
      <name val="Cambria"/>
      <charset val="1"/>
      <b val="1"/>
      <color rgb="FFFFFFFF"/>
      <sz val="11"/>
    </font>
    <font>
      <name val="Cambria"/>
      <charset val="1"/>
      <b val="1"/>
      <color rgb="FF17365D"/>
      <sz val="11"/>
    </font>
    <font>
      <name val="Verdana"/>
      <charset val="1"/>
      <color rgb="FF0000FF"/>
      <sz val="10"/>
    </font>
    <font>
      <name val="Verdana"/>
      <charset val="1"/>
      <b val="1"/>
      <color theme="1"/>
      <sz val="10"/>
    </font>
    <font>
      <name val="Verdana"/>
      <charset val="1"/>
      <b val="1"/>
      <color rgb="FFFFFFFF"/>
      <sz val="10"/>
    </font>
    <font>
      <name val="Verdana"/>
      <charset val="1"/>
      <i val="1"/>
      <color theme="1"/>
      <sz val="10"/>
    </font>
    <font>
      <name val="Verdana"/>
      <charset val="1"/>
      <sz val="10"/>
    </font>
    <font>
      <name val="Verdana"/>
      <charset val="1"/>
      <b val="1"/>
      <color theme="0"/>
      <sz val="10"/>
    </font>
    <font>
      <name val="Verdana"/>
      <charset val="1"/>
      <b val="1"/>
      <sz val="10"/>
    </font>
    <font>
      <name val="Verdana"/>
      <charset val="1"/>
      <b val="1"/>
      <color theme="0" tint="-0.0499893185216834"/>
      <sz val="10"/>
    </font>
    <font>
      <name val="Verdana"/>
      <charset val="1"/>
      <b val="1"/>
      <color rgb="FF333333"/>
      <sz val="10"/>
    </font>
    <font>
      <name val="Verdana"/>
      <charset val="1"/>
      <b val="1"/>
      <color rgb="FF0000FF"/>
      <sz val="10"/>
    </font>
    <font>
      <name val="Verdana"/>
      <charset val="1"/>
      <color rgb="FF008000"/>
      <sz val="10"/>
    </font>
    <font>
      <name val="Cambria"/>
      <charset val="1"/>
      <b val="1"/>
      <color rgb="FFFFFFFF"/>
      <sz val="14"/>
    </font>
    <font>
      <name val="Cambria"/>
      <charset val="1"/>
      <color rgb="FF0000FF"/>
      <sz val="11"/>
    </font>
    <font>
      <name val="Verdana"/>
      <charset val="1"/>
      <family val="2"/>
      <b val="1"/>
      <color rgb="FFFFFFFF"/>
      <sz val="10"/>
    </font>
    <font>
      <name val="Verdana"/>
      <charset val="1"/>
      <family val="2"/>
      <b val="1"/>
      <color theme="1"/>
      <sz val="10"/>
    </font>
    <font>
      <name val="Verdana"/>
      <b val="1"/>
      <sz val="10"/>
    </font>
  </fonts>
  <fills count="15">
    <fill>
      <patternFill/>
    </fill>
    <fill>
      <patternFill patternType="gray125"/>
    </fill>
    <fill>
      <patternFill patternType="solid">
        <fgColor rgb="FFC0C0C0"/>
        <bgColor rgb="FFD8D8D8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  <fill>
      <patternFill patternType="solid">
        <fgColor rgb="FFE2F0D9"/>
        <bgColor rgb="FFD9EAF7"/>
      </patternFill>
    </fill>
    <fill>
      <patternFill patternType="solid">
        <fgColor rgb="FFFFFFCC"/>
        <bgColor rgb="FFFFF2CC"/>
      </patternFill>
    </fill>
    <fill>
      <patternFill patternType="solid">
        <fgColor rgb="FFD9D9D9"/>
        <bgColor rgb="FFD8D8D8"/>
      </patternFill>
    </fill>
    <fill>
      <patternFill patternType="solid">
        <fgColor rgb="FFD8D8D8"/>
        <bgColor rgb="FFD9D9D9"/>
      </patternFill>
    </fill>
    <fill>
      <patternFill patternType="solid">
        <fgColor rgb="FF00B050"/>
        <bgColor rgb="FF008080"/>
      </patternFill>
    </fill>
    <fill>
      <patternFill patternType="solid">
        <fgColor theme="0"/>
        <bgColor rgb="FFF2F2F2"/>
      </patternFill>
    </fill>
    <fill>
      <patternFill patternType="solid">
        <fgColor theme="4" tint="0.3998840296639912"/>
        <bgColor rgb="FF00CCFF"/>
      </patternFill>
    </fill>
    <fill>
      <patternFill patternType="solid">
        <fgColor theme="0" tint="-0.0499893185216834"/>
        <bgColor rgb="FFE2F0D9"/>
      </patternFill>
    </fill>
    <fill>
      <patternFill patternType="solid">
        <fgColor rgb="FFFFF2CC"/>
        <bgColor rgb="FFFFFFCC"/>
      </patternFill>
    </fill>
    <fill>
      <patternFill patternType="solid">
        <fgColor rgb="FF4472C4"/>
        <bgColor rgb="FF666699"/>
      </patternFill>
    </fill>
  </fills>
  <borders count="3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medium">
        <color auto="1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rgb="FFFFFF00"/>
      </right>
      <top/>
      <bottom style="thin">
        <color rgb="FFFFFF00"/>
      </bottom>
      <diagonal/>
    </border>
    <border>
      <left style="thin">
        <color rgb="FFFFFF00"/>
      </left>
      <right/>
      <top/>
      <bottom style="thin">
        <color rgb="FFFFFF00"/>
      </bottom>
      <diagonal/>
    </border>
    <border>
      <left/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n">
        <color rgb="FFFFFF00"/>
      </left>
      <right/>
      <top style="thin">
        <color rgb="FFFFFF00"/>
      </top>
      <bottom style="thin">
        <color rgb="FFFFFF00"/>
      </bottom>
      <diagonal/>
    </border>
    <border>
      <left/>
      <right style="thin">
        <color rgb="FFFFFF00"/>
      </right>
      <top/>
      <bottom style="thin">
        <color auto="1"/>
      </bottom>
      <diagonal/>
    </border>
    <border>
      <left style="thin">
        <color rgb="FFFFFF00"/>
      </left>
      <right/>
      <top/>
      <bottom style="thin">
        <color auto="1"/>
      </bottom>
      <diagonal/>
    </border>
    <border>
      <left style="medium">
        <color rgb="FF00B050"/>
      </left>
      <right style="thin">
        <color auto="1"/>
      </right>
      <top style="medium">
        <color rgb="FF00B050"/>
      </top>
      <bottom style="medium">
        <color rgb="FF00B050"/>
      </bottom>
      <diagonal/>
    </border>
    <border>
      <left/>
      <right style="thin">
        <color auto="1"/>
      </right>
      <top style="thin">
        <color rgb="FFFFFF00"/>
      </top>
      <bottom style="thin">
        <color rgb="FFFFFF00"/>
      </bottom>
      <diagonal/>
    </border>
    <border>
      <left/>
      <right style="thin">
        <color auto="1"/>
      </right>
      <top style="thin">
        <color rgb="FFFFFF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5">
    <xf numFmtId="0" fontId="0" fillId="0" borderId="0"/>
    <xf numFmtId="194" fontId="1" fillId="0" borderId="0"/>
    <xf numFmtId="194" fontId="1" fillId="0" borderId="0"/>
    <xf numFmtId="194" fontId="1" fillId="0" borderId="0"/>
    <xf numFmtId="194" fontId="1" fillId="0" borderId="0"/>
    <xf numFmtId="195" fontId="1" fillId="0" borderId="0"/>
    <xf numFmtId="195" fontId="1" fillId="0" borderId="0"/>
    <xf numFmtId="195" fontId="1" fillId="0" borderId="0"/>
    <xf numFmtId="195" fontId="1" fillId="0" borderId="0"/>
    <xf numFmtId="196" fontId="1" fillId="0" borderId="0"/>
    <xf numFmtId="196" fontId="1" fillId="0" borderId="0"/>
    <xf numFmtId="196" fontId="1" fillId="0" borderId="0"/>
    <xf numFmtId="196" fontId="1" fillId="0" borderId="0"/>
    <xf numFmtId="196" fontId="1" fillId="0" borderId="0"/>
    <xf numFmtId="197" fontId="1" fillId="0" borderId="0"/>
    <xf numFmtId="197" fontId="1" fillId="0" borderId="0"/>
    <xf numFmtId="197" fontId="1" fillId="0" borderId="0"/>
    <xf numFmtId="197" fontId="1" fillId="0" borderId="0"/>
    <xf numFmtId="198" fontId="2" fillId="0" borderId="1"/>
    <xf numFmtId="0" fontId="1" fillId="0" borderId="0"/>
    <xf numFmtId="0" fontId="1" fillId="0" borderId="0"/>
    <xf numFmtId="0" fontId="3" fillId="0" borderId="0"/>
    <xf numFmtId="0" fontId="1" fillId="0" borderId="0"/>
    <xf numFmtId="0" fontId="4" fillId="0" borderId="0"/>
    <xf numFmtId="0" fontId="3" fillId="0" borderId="0"/>
    <xf numFmtId="0" fontId="1" fillId="0" borderId="0"/>
    <xf numFmtId="0" fontId="1" fillId="0" borderId="0"/>
    <xf numFmtId="199" fontId="5" fillId="0" borderId="0"/>
    <xf numFmtId="0" fontId="6" fillId="2" borderId="2"/>
    <xf numFmtId="9" fontId="1" fillId="0" borderId="0"/>
    <xf numFmtId="9" fontId="3" fillId="0" borderId="0"/>
    <xf numFmtId="9" fontId="1" fillId="0" borderId="0"/>
    <xf numFmtId="9" fontId="1" fillId="0" borderId="0"/>
    <xf numFmtId="9" fontId="4" fillId="0" borderId="0"/>
    <xf numFmtId="194" fontId="7" fillId="0" borderId="0"/>
  </cellStyleXfs>
  <cellXfs count="275">
    <xf numFmtId="0" fontId="0" fillId="0" borderId="0" pivotButton="0" quotePrefix="0" xfId="0"/>
    <xf numFmtId="0" fontId="8" fillId="3" borderId="0" pivotButton="0" quotePrefix="0" xfId="24"/>
    <xf numFmtId="0" fontId="9" fillId="4" borderId="0" pivotButton="0" quotePrefix="0" xfId="24"/>
    <xf numFmtId="0" fontId="4" fillId="0" borderId="0" applyAlignment="1" pivotButton="0" quotePrefix="0" xfId="24">
      <alignment horizontal="center"/>
    </xf>
    <xf numFmtId="0" fontId="4" fillId="0" borderId="0" pivotButton="0" quotePrefix="0" xfId="24"/>
    <xf numFmtId="0" fontId="8" fillId="3" borderId="0" applyAlignment="1" pivotButton="0" quotePrefix="0" xfId="24">
      <alignment horizontal="center"/>
    </xf>
    <xf numFmtId="0" fontId="8" fillId="3" borderId="0" applyAlignment="1" pivotButton="0" quotePrefix="0" xfId="21">
      <alignment horizontal="center"/>
    </xf>
    <xf numFmtId="164" fontId="8" fillId="3" borderId="0" applyAlignment="1" pivotButton="0" quotePrefix="0" xfId="21">
      <alignment horizontal="center"/>
    </xf>
    <xf numFmtId="0" fontId="3" fillId="5" borderId="0" pivotButton="0" quotePrefix="0" xfId="24"/>
    <xf numFmtId="165" fontId="10" fillId="6" borderId="0" applyAlignment="1" pivotButton="0" quotePrefix="0" xfId="24">
      <alignment horizontal="center"/>
    </xf>
    <xf numFmtId="0" fontId="4" fillId="7" borderId="0" pivotButton="0" quotePrefix="0" xfId="20"/>
    <xf numFmtId="166" fontId="10" fillId="6" borderId="0" applyAlignment="1" pivotButton="0" quotePrefix="0" xfId="24">
      <alignment horizontal="center"/>
    </xf>
    <xf numFmtId="166" fontId="4" fillId="0" borderId="0" applyAlignment="1" pivotButton="0" quotePrefix="0" xfId="24">
      <alignment horizontal="center"/>
    </xf>
    <xf numFmtId="167" fontId="4" fillId="7" borderId="0" applyAlignment="1" pivotButton="0" quotePrefix="0" xfId="20">
      <alignment horizontal="left"/>
    </xf>
    <xf numFmtId="0" fontId="4" fillId="7" borderId="0" applyAlignment="1" pivotButton="0" quotePrefix="0" xfId="20">
      <alignment horizontal="left"/>
    </xf>
    <xf numFmtId="0" fontId="4" fillId="7" borderId="1" applyAlignment="1" pivotButton="0" quotePrefix="0" xfId="20">
      <alignment horizontal="left"/>
    </xf>
    <xf numFmtId="166" fontId="4" fillId="0" borderId="0" pivotButton="0" quotePrefix="0" xfId="24"/>
    <xf numFmtId="0" fontId="11" fillId="0" borderId="0" pivotButton="0" quotePrefix="0" xfId="20"/>
    <xf numFmtId="0" fontId="4" fillId="0" borderId="0" pivotButton="0" quotePrefix="0" xfId="20"/>
    <xf numFmtId="168" fontId="10" fillId="6" borderId="0" applyAlignment="1" pivotButton="0" quotePrefix="0" xfId="24">
      <alignment horizontal="center"/>
    </xf>
    <xf numFmtId="169" fontId="10" fillId="6" borderId="0" applyAlignment="1" pivotButton="0" quotePrefix="0" xfId="21">
      <alignment horizontal="center"/>
    </xf>
    <xf numFmtId="170" fontId="4" fillId="7" borderId="0" applyAlignment="1" pivotButton="0" quotePrefix="0" xfId="21">
      <alignment horizontal="center"/>
    </xf>
    <xf numFmtId="170" fontId="11" fillId="7" borderId="0" applyAlignment="1" pivotButton="0" quotePrefix="0" xfId="21">
      <alignment horizontal="center"/>
    </xf>
    <xf numFmtId="168" fontId="10" fillId="0" borderId="0" applyAlignment="1" pivotButton="0" quotePrefix="0" xfId="24">
      <alignment horizontal="center"/>
    </xf>
    <xf numFmtId="164" fontId="4" fillId="0" borderId="0" applyAlignment="1" pivotButton="0" quotePrefix="0" xfId="21">
      <alignment horizontal="center"/>
    </xf>
    <xf numFmtId="0" fontId="4" fillId="0" borderId="0" applyAlignment="1" pivotButton="0" quotePrefix="0" xfId="21">
      <alignment horizontal="center"/>
    </xf>
    <xf numFmtId="0" fontId="11" fillId="8" borderId="0" applyAlignment="1" pivotButton="0" quotePrefix="0" xfId="21">
      <alignment horizontal="center"/>
    </xf>
    <xf numFmtId="10" fontId="11" fillId="0" borderId="0" applyAlignment="1" pivotButton="0" quotePrefix="0" xfId="30">
      <alignment horizontal="center"/>
    </xf>
    <xf numFmtId="0" fontId="11" fillId="0" borderId="0" applyAlignment="1" pivotButton="0" quotePrefix="0" xfId="21">
      <alignment horizontal="center"/>
    </xf>
    <xf numFmtId="10" fontId="11" fillId="0" borderId="0" applyAlignment="1" pivotButton="0" quotePrefix="0" xfId="21">
      <alignment horizontal="center"/>
    </xf>
    <xf numFmtId="0" fontId="11" fillId="0" borderId="0" applyAlignment="1" pivotButton="0" quotePrefix="0" xfId="24">
      <alignment horizontal="center"/>
    </xf>
    <xf numFmtId="0" fontId="12" fillId="9" borderId="0" applyAlignment="1" pivotButton="0" quotePrefix="0" xfId="20">
      <alignment horizontal="left"/>
    </xf>
    <xf numFmtId="0" fontId="11" fillId="0" borderId="0" pivotButton="0" quotePrefix="0" xfId="24"/>
    <xf numFmtId="0" fontId="11" fillId="7" borderId="0" pivotButton="0" quotePrefix="0" xfId="20"/>
    <xf numFmtId="166" fontId="11" fillId="7" borderId="0" applyAlignment="1" pivotButton="0" quotePrefix="0" xfId="24">
      <alignment horizontal="center"/>
    </xf>
    <xf numFmtId="166" fontId="11" fillId="0" borderId="0" applyAlignment="1" pivotButton="0" quotePrefix="0" xfId="24">
      <alignment horizontal="center"/>
    </xf>
    <xf numFmtId="0" fontId="11" fillId="10" borderId="0" applyAlignment="1" pivotButton="0" quotePrefix="0" xfId="24">
      <alignment horizontal="center"/>
    </xf>
    <xf numFmtId="0" fontId="4" fillId="10" borderId="0" applyAlignment="1" pivotButton="0" quotePrefix="0" xfId="24">
      <alignment horizontal="center"/>
    </xf>
    <xf numFmtId="171" fontId="4" fillId="10" borderId="0" pivotButton="0" quotePrefix="0" xfId="20"/>
    <xf numFmtId="166" fontId="11" fillId="10" borderId="0" applyAlignment="1" pivotButton="0" quotePrefix="0" xfId="24">
      <alignment horizontal="center"/>
    </xf>
    <xf numFmtId="9" fontId="4" fillId="10" borderId="0" applyAlignment="1" pivotButton="0" quotePrefix="0" xfId="30">
      <alignment horizontal="center"/>
    </xf>
    <xf numFmtId="10" fontId="10" fillId="6" borderId="0" applyAlignment="1" pivotButton="0" quotePrefix="0" xfId="24">
      <alignment horizontal="center"/>
    </xf>
    <xf numFmtId="166" fontId="4" fillId="10" borderId="0" applyAlignment="1" pivotButton="0" quotePrefix="0" xfId="24">
      <alignment horizontal="center"/>
    </xf>
    <xf numFmtId="0" fontId="11" fillId="10" borderId="0" pivotButton="0" quotePrefix="0" xfId="24"/>
    <xf numFmtId="171" fontId="13" fillId="10" borderId="0" pivotButton="0" quotePrefix="0" xfId="20"/>
    <xf numFmtId="0" fontId="11" fillId="10" borderId="0" pivotButton="0" quotePrefix="0" xfId="20"/>
    <xf numFmtId="166" fontId="4" fillId="7" borderId="0" applyAlignment="1" pivotButton="0" quotePrefix="0" xfId="24">
      <alignment horizontal="center"/>
    </xf>
    <xf numFmtId="171" fontId="4" fillId="10" borderId="0" applyAlignment="1" pivotButton="0" quotePrefix="0" xfId="20">
      <alignment horizontal="left"/>
    </xf>
    <xf numFmtId="171" fontId="4" fillId="10" borderId="0" applyAlignment="1" pivotButton="0" quotePrefix="0" xfId="30">
      <alignment horizontal="center"/>
    </xf>
    <xf numFmtId="171" fontId="10" fillId="6" borderId="0" applyAlignment="1" pivotButton="0" quotePrefix="0" xfId="30">
      <alignment horizontal="center"/>
    </xf>
    <xf numFmtId="167" fontId="4" fillId="0" borderId="0" applyAlignment="1" pivotButton="0" quotePrefix="0" xfId="20">
      <alignment horizontal="left"/>
    </xf>
    <xf numFmtId="171" fontId="4" fillId="0" borderId="0" applyAlignment="1" pivotButton="0" quotePrefix="0" xfId="30">
      <alignment horizontal="center"/>
    </xf>
    <xf numFmtId="171" fontId="10" fillId="6" borderId="0" applyAlignment="1" pivotButton="0" quotePrefix="0" xfId="24">
      <alignment horizontal="center"/>
    </xf>
    <xf numFmtId="9" fontId="4" fillId="0" borderId="0" applyAlignment="1" pivotButton="0" quotePrefix="0" xfId="30">
      <alignment horizontal="center"/>
    </xf>
    <xf numFmtId="9" fontId="4" fillId="0" borderId="0" applyAlignment="1" pivotButton="0" quotePrefix="0" xfId="30">
      <alignment horizontal="left"/>
    </xf>
    <xf numFmtId="9" fontId="10" fillId="6" borderId="0" applyAlignment="1" pivotButton="0" quotePrefix="0" xfId="30">
      <alignment horizontal="center"/>
    </xf>
    <xf numFmtId="9" fontId="4" fillId="0" borderId="0" pivotButton="0" quotePrefix="0" xfId="30"/>
    <xf numFmtId="0" fontId="4" fillId="0" borderId="0" applyAlignment="1" pivotButton="0" quotePrefix="0" xfId="20">
      <alignment horizontal="left"/>
    </xf>
    <xf numFmtId="171" fontId="4" fillId="0" borderId="0" applyAlignment="1" pivotButton="0" quotePrefix="0" xfId="24">
      <alignment horizontal="center"/>
    </xf>
    <xf numFmtId="0" fontId="4" fillId="10" borderId="0" applyAlignment="1" pivotButton="0" quotePrefix="0" xfId="20">
      <alignment horizontal="left"/>
    </xf>
    <xf numFmtId="0" fontId="14" fillId="10" borderId="0" applyAlignment="1" pivotButton="0" quotePrefix="0" xfId="20">
      <alignment horizontal="left"/>
    </xf>
    <xf numFmtId="166" fontId="14" fillId="10" borderId="0" applyAlignment="1" pivotButton="0" quotePrefix="0" xfId="24">
      <alignment horizontal="center"/>
    </xf>
    <xf numFmtId="164" fontId="10" fillId="6" borderId="0" applyAlignment="1" pivotButton="0" quotePrefix="0" xfId="24">
      <alignment horizontal="center"/>
    </xf>
    <xf numFmtId="166" fontId="4" fillId="0" borderId="0" applyAlignment="1" pivotButton="0" quotePrefix="0" xfId="24">
      <alignment horizontal="center" vertical="center"/>
    </xf>
    <xf numFmtId="172" fontId="4" fillId="0" borderId="0" applyAlignment="1" pivotButton="0" quotePrefix="0" xfId="24">
      <alignment horizontal="center"/>
    </xf>
    <xf numFmtId="0" fontId="11" fillId="7" borderId="0" applyAlignment="1" pivotButton="0" quotePrefix="0" xfId="20">
      <alignment horizontal="left"/>
    </xf>
    <xf numFmtId="0" fontId="4" fillId="10" borderId="0" pivotButton="0" quotePrefix="0" xfId="24"/>
    <xf numFmtId="167" fontId="4" fillId="10" borderId="0" applyAlignment="1" pivotButton="0" quotePrefix="0" xfId="20">
      <alignment horizontal="left"/>
    </xf>
    <xf numFmtId="173" fontId="4" fillId="0" borderId="0" applyAlignment="1" pivotButton="0" quotePrefix="0" xfId="24">
      <alignment horizontal="center"/>
    </xf>
    <xf numFmtId="165" fontId="4" fillId="0" borderId="0" applyAlignment="1" pivotButton="0" quotePrefix="0" xfId="24">
      <alignment horizontal="center"/>
    </xf>
    <xf numFmtId="0" fontId="12" fillId="9" borderId="0" applyAlignment="1" pivotButton="0" quotePrefix="0" xfId="20">
      <alignment horizontal="center"/>
    </xf>
    <xf numFmtId="0" fontId="4" fillId="7" borderId="1" pivotButton="0" quotePrefix="0" xfId="20"/>
    <xf numFmtId="172" fontId="4" fillId="0" borderId="0" pivotButton="0" quotePrefix="0" xfId="24"/>
    <xf numFmtId="0" fontId="15" fillId="11" borderId="0" pivotButton="0" quotePrefix="0" xfId="24"/>
    <xf numFmtId="0" fontId="11" fillId="0" borderId="0" applyAlignment="1" pivotButton="0" quotePrefix="0" xfId="24">
      <alignment vertical="center"/>
    </xf>
    <xf numFmtId="0" fontId="11" fillId="0" borderId="0" applyAlignment="1" pivotButton="0" quotePrefix="0" xfId="24">
      <alignment horizontal="center" vertical="center"/>
    </xf>
    <xf numFmtId="0" fontId="4" fillId="0" borderId="0" applyAlignment="1" pivotButton="0" quotePrefix="0" xfId="24">
      <alignment horizontal="center" vertical="center"/>
    </xf>
    <xf numFmtId="0" fontId="4" fillId="0" borderId="0" applyAlignment="1" pivotButton="0" quotePrefix="0" xfId="24">
      <alignment vertical="center"/>
    </xf>
    <xf numFmtId="9" fontId="4" fillId="0" borderId="0" applyAlignment="1" pivotButton="0" quotePrefix="0" xfId="30">
      <alignment vertical="center"/>
    </xf>
    <xf numFmtId="9" fontId="4" fillId="0" borderId="0" applyAlignment="1" pivotButton="0" quotePrefix="0" xfId="30">
      <alignment horizontal="center" vertical="center"/>
    </xf>
    <xf numFmtId="171" fontId="4" fillId="0" borderId="0" applyAlignment="1" pivotButton="0" quotePrefix="0" xfId="24">
      <alignment horizontal="center" vertical="center"/>
    </xf>
    <xf numFmtId="171" fontId="4" fillId="0" borderId="0" applyAlignment="1" pivotButton="0" quotePrefix="0" xfId="30">
      <alignment horizontal="center" vertical="center"/>
    </xf>
    <xf numFmtId="174" fontId="4" fillId="0" borderId="0" applyAlignment="1" pivotButton="0" quotePrefix="0" xfId="24">
      <alignment horizontal="center" vertical="center"/>
    </xf>
    <xf numFmtId="174" fontId="4" fillId="0" borderId="0" applyAlignment="1" pivotButton="0" quotePrefix="0" xfId="24">
      <alignment vertical="center"/>
    </xf>
    <xf numFmtId="171" fontId="4" fillId="0" borderId="0" applyAlignment="1" pivotButton="0" quotePrefix="0" xfId="30">
      <alignment vertical="center"/>
    </xf>
    <xf numFmtId="175" fontId="4" fillId="0" borderId="0" applyAlignment="1" pivotButton="0" quotePrefix="0" xfId="24">
      <alignment horizontal="center" vertical="center"/>
    </xf>
    <xf numFmtId="166" fontId="4" fillId="0" borderId="0" applyAlignment="1" pivotButton="0" quotePrefix="0" xfId="24">
      <alignment vertical="center"/>
    </xf>
    <xf numFmtId="9" fontId="4" fillId="0" borderId="0" applyAlignment="1" pivotButton="0" quotePrefix="0" xfId="24">
      <alignment vertical="center"/>
    </xf>
    <xf numFmtId="9" fontId="4" fillId="0" borderId="0" applyAlignment="1" pivotButton="0" quotePrefix="0" xfId="24">
      <alignment horizontal="center" vertical="center"/>
    </xf>
    <xf numFmtId="172" fontId="4" fillId="0" borderId="0" applyAlignment="1" pivotButton="0" quotePrefix="0" xfId="24">
      <alignment vertical="center"/>
    </xf>
    <xf numFmtId="172" fontId="4" fillId="0" borderId="0" applyAlignment="1" pivotButton="0" quotePrefix="0" xfId="24">
      <alignment horizontal="center" vertical="center"/>
    </xf>
    <xf numFmtId="166" fontId="4" fillId="0" borderId="0" applyAlignment="1" pivotButton="0" quotePrefix="0" xfId="24">
      <alignment horizontal="right" vertical="center"/>
    </xf>
    <xf numFmtId="0" fontId="14" fillId="0" borderId="0" pivotButton="0" quotePrefix="0" xfId="22"/>
    <xf numFmtId="0" fontId="12" fillId="0" borderId="0" pivotButton="0" quotePrefix="0" xfId="22"/>
    <xf numFmtId="0" fontId="14" fillId="0" borderId="3" pivotButton="0" quotePrefix="0" xfId="22"/>
    <xf numFmtId="176" fontId="10" fillId="6" borderId="4" applyAlignment="1" pivotButton="0" quotePrefix="0" xfId="18">
      <alignment horizontal="center"/>
    </xf>
    <xf numFmtId="177" fontId="10" fillId="6" borderId="0" applyAlignment="1" pivotButton="0" quotePrefix="0" xfId="22">
      <alignment horizontal="center"/>
    </xf>
    <xf numFmtId="171" fontId="14" fillId="0" borderId="0" applyAlignment="1" pivotButton="0" quotePrefix="0" xfId="22">
      <alignment horizontal="right"/>
    </xf>
    <xf numFmtId="176" fontId="10" fillId="6" borderId="4" applyAlignment="1" pivotButton="0" quotePrefix="0" xfId="18">
      <alignment horizontal="right"/>
    </xf>
    <xf numFmtId="171" fontId="14" fillId="0" borderId="0" applyAlignment="1" pivotButton="0" quotePrefix="0" xfId="22">
      <alignment horizontal="center"/>
    </xf>
    <xf numFmtId="178" fontId="10" fillId="0" borderId="0" applyAlignment="1" pivotButton="0" quotePrefix="0" xfId="22">
      <alignment horizontal="center"/>
    </xf>
    <xf numFmtId="179" fontId="14" fillId="0" borderId="0" applyAlignment="1" pivotButton="0" quotePrefix="0" xfId="22">
      <alignment horizontal="center"/>
    </xf>
    <xf numFmtId="0" fontId="16" fillId="0" borderId="0" pivotButton="0" quotePrefix="0" xfId="22"/>
    <xf numFmtId="180" fontId="14" fillId="0" borderId="0" pivotButton="0" quotePrefix="0" xfId="22"/>
    <xf numFmtId="0" fontId="11" fillId="7" borderId="0" pivotButton="0" quotePrefix="0" xfId="22"/>
    <xf numFmtId="0" fontId="11" fillId="7" borderId="1" pivotButton="0" quotePrefix="0" xfId="22"/>
    <xf numFmtId="0" fontId="16" fillId="0" borderId="0" applyAlignment="1" pivotButton="0" quotePrefix="0" xfId="22">
      <alignment horizontal="center"/>
    </xf>
    <xf numFmtId="0" fontId="14" fillId="0" borderId="0" applyAlignment="1" pivotButton="0" quotePrefix="0" xfId="22">
      <alignment horizontal="center"/>
    </xf>
    <xf numFmtId="1" fontId="16" fillId="0" borderId="0" applyAlignment="1" pivotButton="0" quotePrefix="0" xfId="22">
      <alignment horizontal="center"/>
    </xf>
    <xf numFmtId="0" fontId="14" fillId="0" borderId="1" pivotButton="0" quotePrefix="0" xfId="22"/>
    <xf numFmtId="168" fontId="14" fillId="0" borderId="1" applyAlignment="1" pivotButton="0" quotePrefix="0" xfId="22">
      <alignment horizontal="center"/>
    </xf>
    <xf numFmtId="168" fontId="14" fillId="0" borderId="0" applyAlignment="1" pivotButton="0" quotePrefix="0" xfId="22">
      <alignment horizontal="center"/>
    </xf>
    <xf numFmtId="0" fontId="14" fillId="0" borderId="5" pivotButton="0" quotePrefix="0" xfId="22"/>
    <xf numFmtId="178" fontId="14" fillId="12" borderId="6" applyAlignment="1" pivotButton="0" quotePrefix="0" xfId="22">
      <alignment horizontal="center"/>
    </xf>
    <xf numFmtId="178" fontId="14" fillId="12" borderId="7" applyAlignment="1" pivotButton="0" quotePrefix="0" xfId="22">
      <alignment horizontal="center"/>
    </xf>
    <xf numFmtId="171" fontId="16" fillId="0" borderId="0" applyAlignment="1" pivotButton="0" quotePrefix="0" xfId="33">
      <alignment horizontal="center"/>
    </xf>
    <xf numFmtId="0" fontId="14" fillId="0" borderId="8" pivotButton="0" quotePrefix="0" xfId="22"/>
    <xf numFmtId="171" fontId="16" fillId="0" borderId="1" applyAlignment="1" pivotButton="0" quotePrefix="0" xfId="33">
      <alignment horizontal="center"/>
    </xf>
    <xf numFmtId="171" fontId="16" fillId="0" borderId="9" applyAlignment="1" pivotButton="0" quotePrefix="0" xfId="33">
      <alignment horizontal="center"/>
    </xf>
    <xf numFmtId="178" fontId="14" fillId="0" borderId="5" pivotButton="0" quotePrefix="0" xfId="22"/>
    <xf numFmtId="0" fontId="14" fillId="0" borderId="6" pivotButton="0" quotePrefix="0" xfId="22"/>
    <xf numFmtId="0" fontId="14" fillId="0" borderId="7" pivotButton="0" quotePrefix="0" xfId="22"/>
    <xf numFmtId="171" fontId="14" fillId="0" borderId="1" applyAlignment="1" pivotButton="0" quotePrefix="0" xfId="33">
      <alignment horizontal="center"/>
    </xf>
    <xf numFmtId="0" fontId="14" fillId="0" borderId="9" pivotButton="0" quotePrefix="0" xfId="22"/>
    <xf numFmtId="171" fontId="14" fillId="0" borderId="9" applyAlignment="1" pivotButton="0" quotePrefix="0" xfId="33">
      <alignment horizontal="center"/>
    </xf>
    <xf numFmtId="171" fontId="14" fillId="12" borderId="6" applyAlignment="1" pivotButton="0" quotePrefix="0" xfId="22">
      <alignment horizontal="center"/>
    </xf>
    <xf numFmtId="171" fontId="14" fillId="12" borderId="7" applyAlignment="1" pivotButton="0" quotePrefix="0" xfId="22">
      <alignment horizontal="center"/>
    </xf>
    <xf numFmtId="178" fontId="14" fillId="0" borderId="1" applyAlignment="1" pivotButton="0" quotePrefix="0" xfId="22">
      <alignment horizontal="center"/>
    </xf>
    <xf numFmtId="178" fontId="14" fillId="0" borderId="9" applyAlignment="1" pivotButton="0" quotePrefix="0" xfId="22">
      <alignment horizontal="center"/>
    </xf>
    <xf numFmtId="178" fontId="14" fillId="0" borderId="10" applyAlignment="1" pivotButton="0" quotePrefix="0" xfId="22">
      <alignment horizontal="left"/>
    </xf>
    <xf numFmtId="178" fontId="14" fillId="12" borderId="11" applyAlignment="1" pivotButton="0" quotePrefix="0" xfId="22">
      <alignment horizontal="center"/>
    </xf>
    <xf numFmtId="178" fontId="14" fillId="12" borderId="12" applyAlignment="1" pivotButton="0" quotePrefix="0" xfId="22">
      <alignment horizontal="center"/>
    </xf>
    <xf numFmtId="178" fontId="14" fillId="0" borderId="5" applyAlignment="1" pivotButton="0" quotePrefix="0" xfId="22">
      <alignment horizontal="left"/>
    </xf>
    <xf numFmtId="178" fontId="14" fillId="0" borderId="6" applyAlignment="1" pivotButton="0" quotePrefix="0" xfId="22">
      <alignment horizontal="center"/>
    </xf>
    <xf numFmtId="178" fontId="14" fillId="0" borderId="7" applyAlignment="1" pivotButton="0" quotePrefix="0" xfId="22">
      <alignment horizontal="center"/>
    </xf>
    <xf numFmtId="178" fontId="14" fillId="0" borderId="13" applyAlignment="1" pivotButton="0" quotePrefix="0" xfId="22">
      <alignment horizontal="left"/>
    </xf>
    <xf numFmtId="178" fontId="14" fillId="12" borderId="0" applyAlignment="1" pivotButton="0" quotePrefix="0" xfId="22">
      <alignment horizontal="center"/>
    </xf>
    <xf numFmtId="178" fontId="14" fillId="12" borderId="14" applyAlignment="1" pivotButton="0" quotePrefix="0" xfId="22">
      <alignment horizontal="center"/>
    </xf>
    <xf numFmtId="178" fontId="14" fillId="0" borderId="8" applyAlignment="1" pivotButton="0" quotePrefix="0" xfId="22">
      <alignment horizontal="left"/>
    </xf>
    <xf numFmtId="178" fontId="14" fillId="12" borderId="1" applyAlignment="1" pivotButton="0" quotePrefix="0" xfId="22">
      <alignment horizontal="center"/>
    </xf>
    <xf numFmtId="178" fontId="14" fillId="12" borderId="9" applyAlignment="1" pivotButton="0" quotePrefix="0" xfId="22">
      <alignment horizontal="center"/>
    </xf>
    <xf numFmtId="178" fontId="14" fillId="0" borderId="0" applyAlignment="1" pivotButton="0" quotePrefix="0" xfId="22">
      <alignment horizontal="center"/>
    </xf>
    <xf numFmtId="178" fontId="14" fillId="0" borderId="15" applyAlignment="1" pivotButton="0" quotePrefix="0" xfId="22">
      <alignment horizontal="center"/>
    </xf>
    <xf numFmtId="0" fontId="14" fillId="0" borderId="13" pivotButton="0" quotePrefix="0" xfId="22"/>
    <xf numFmtId="0" fontId="14" fillId="0" borderId="14" pivotButton="0" quotePrefix="0" xfId="22"/>
    <xf numFmtId="178" fontId="4" fillId="0" borderId="0" applyAlignment="1" pivotButton="0" quotePrefix="0" xfId="22">
      <alignment horizontal="center"/>
    </xf>
    <xf numFmtId="178" fontId="4" fillId="0" borderId="14" applyAlignment="1" pivotButton="0" quotePrefix="0" xfId="22">
      <alignment horizontal="center"/>
    </xf>
    <xf numFmtId="171" fontId="10" fillId="6" borderId="1" applyAlignment="1" pivotButton="0" quotePrefix="0" xfId="33">
      <alignment horizontal="center"/>
    </xf>
    <xf numFmtId="171" fontId="10" fillId="6" borderId="9" applyAlignment="1" pivotButton="0" quotePrefix="0" xfId="33">
      <alignment horizontal="center"/>
    </xf>
    <xf numFmtId="0" fontId="16" fillId="0" borderId="10" pivotButton="0" quotePrefix="0" xfId="22"/>
    <xf numFmtId="171" fontId="16" fillId="12" borderId="11" applyAlignment="1" pivotButton="0" quotePrefix="0" xfId="22">
      <alignment horizontal="center"/>
    </xf>
    <xf numFmtId="171" fontId="16" fillId="0" borderId="11" applyAlignment="1" pivotButton="0" quotePrefix="0" xfId="33">
      <alignment horizontal="center"/>
    </xf>
    <xf numFmtId="171" fontId="16" fillId="0" borderId="12" applyAlignment="1" pivotButton="0" quotePrefix="0" xfId="33">
      <alignment horizontal="center"/>
    </xf>
    <xf numFmtId="171" fontId="16" fillId="0" borderId="0" applyAlignment="1" pivotButton="0" quotePrefix="0" xfId="22">
      <alignment horizontal="center"/>
    </xf>
    <xf numFmtId="181" fontId="14" fillId="0" borderId="0" applyAlignment="1" pivotButton="0" quotePrefix="0" xfId="23">
      <alignment horizontal="center" vertical="center"/>
    </xf>
    <xf numFmtId="178" fontId="16" fillId="0" borderId="0" applyAlignment="1" pivotButton="0" quotePrefix="0" xfId="22">
      <alignment horizontal="center"/>
    </xf>
    <xf numFmtId="178" fontId="18" fillId="2" borderId="2" applyAlignment="1" pivotButton="0" quotePrefix="0" xfId="28">
      <alignment horizontal="center"/>
    </xf>
    <xf numFmtId="0" fontId="14" fillId="0" borderId="0" applyAlignment="1" pivotButton="0" quotePrefix="0" xfId="22">
      <alignment horizontal="left"/>
    </xf>
    <xf numFmtId="173" fontId="14" fillId="0" borderId="0" applyAlignment="1" pivotButton="0" quotePrefix="0" xfId="22">
      <alignment horizontal="center"/>
    </xf>
    <xf numFmtId="173" fontId="18" fillId="2" borderId="2" applyAlignment="1" pivotButton="0" quotePrefix="0" xfId="28">
      <alignment horizontal="center"/>
    </xf>
    <xf numFmtId="10" fontId="14" fillId="0" borderId="0" pivotButton="0" quotePrefix="0" xfId="22"/>
    <xf numFmtId="178" fontId="16" fillId="0" borderId="0" pivotButton="0" quotePrefix="0" xfId="22"/>
    <xf numFmtId="179" fontId="14" fillId="0" borderId="0" pivotButton="0" quotePrefix="0" xfId="22"/>
    <xf numFmtId="0" fontId="11" fillId="7" borderId="5" pivotButton="0" quotePrefix="0" xfId="22"/>
    <xf numFmtId="171" fontId="4" fillId="7" borderId="7" applyAlignment="1" pivotButton="0" quotePrefix="0" xfId="22">
      <alignment horizontal="center"/>
    </xf>
    <xf numFmtId="0" fontId="11" fillId="7" borderId="6" pivotButton="0" quotePrefix="0" xfId="22"/>
    <xf numFmtId="0" fontId="4" fillId="7" borderId="6" pivotButton="0" quotePrefix="0" xfId="22"/>
    <xf numFmtId="0" fontId="11" fillId="7" borderId="16" pivotButton="0" quotePrefix="0" xfId="22"/>
    <xf numFmtId="171" fontId="4" fillId="7" borderId="17" applyAlignment="1" pivotButton="0" quotePrefix="0" xfId="22">
      <alignment horizontal="center"/>
    </xf>
    <xf numFmtId="0" fontId="4" fillId="7" borderId="17" pivotButton="0" quotePrefix="0" xfId="22"/>
    <xf numFmtId="0" fontId="4" fillId="7" borderId="18" pivotButton="0" quotePrefix="0" xfId="22"/>
    <xf numFmtId="0" fontId="16" fillId="0" borderId="13" applyAlignment="1" pivotButton="0" quotePrefix="0" xfId="22">
      <alignment horizontal="left"/>
    </xf>
    <xf numFmtId="178" fontId="14" fillId="0" borderId="14" applyAlignment="1" pivotButton="0" quotePrefix="0" xfId="22">
      <alignment horizontal="right"/>
    </xf>
    <xf numFmtId="0" fontId="16" fillId="0" borderId="0" applyAlignment="1" pivotButton="0" quotePrefix="0" xfId="22">
      <alignment horizontal="left"/>
    </xf>
    <xf numFmtId="0" fontId="14" fillId="0" borderId="13" applyAlignment="1" pivotButton="0" quotePrefix="0" xfId="22">
      <alignment horizontal="left"/>
    </xf>
    <xf numFmtId="178" fontId="4" fillId="12" borderId="14" applyAlignment="1" pivotButton="0" quotePrefix="0" xfId="22">
      <alignment horizontal="center"/>
    </xf>
    <xf numFmtId="171" fontId="19" fillId="6" borderId="14" applyAlignment="1" pivotButton="0" quotePrefix="0" xfId="22">
      <alignment horizontal="center"/>
    </xf>
    <xf numFmtId="182" fontId="4" fillId="12" borderId="14" applyAlignment="1" pivotButton="0" quotePrefix="0" xfId="18">
      <alignment horizontal="center"/>
    </xf>
    <xf numFmtId="171" fontId="11" fillId="0" borderId="19" applyAlignment="1" pivotButton="0" quotePrefix="0" xfId="24">
      <alignment horizontal="center"/>
    </xf>
    <xf numFmtId="0" fontId="14" fillId="0" borderId="1" applyAlignment="1" pivotButton="0" quotePrefix="0" xfId="22">
      <alignment horizontal="left"/>
    </xf>
    <xf numFmtId="0" fontId="14" fillId="0" borderId="9" applyAlignment="1" pivotButton="0" quotePrefix="0" xfId="22">
      <alignment horizontal="right"/>
    </xf>
    <xf numFmtId="178" fontId="16" fillId="0" borderId="14" applyAlignment="1" pivotButton="0" quotePrefix="0" xfId="22">
      <alignment horizontal="center"/>
    </xf>
    <xf numFmtId="0" fontId="14" fillId="0" borderId="1" applyAlignment="1" pivotButton="0" quotePrefix="0" xfId="22">
      <alignment horizontal="right"/>
    </xf>
    <xf numFmtId="183" fontId="10" fillId="6" borderId="20" pivotButton="0" quotePrefix="0" xfId="22"/>
    <xf numFmtId="182" fontId="10" fillId="6" borderId="21" pivotButton="0" quotePrefix="0" xfId="10"/>
    <xf numFmtId="179" fontId="14" fillId="0" borderId="14" applyAlignment="1" pivotButton="0" quotePrefix="0" xfId="22">
      <alignment horizontal="right"/>
    </xf>
    <xf numFmtId="183" fontId="10" fillId="6" borderId="22" pivotButton="0" quotePrefix="0" xfId="22"/>
    <xf numFmtId="182" fontId="10" fillId="6" borderId="23" pivotButton="0" quotePrefix="0" xfId="10"/>
    <xf numFmtId="178" fontId="14" fillId="0" borderId="14" applyAlignment="1" pivotButton="0" quotePrefix="0" xfId="22">
      <alignment horizontal="center"/>
    </xf>
    <xf numFmtId="183" fontId="10" fillId="6" borderId="24" pivotButton="0" quotePrefix="0" xfId="22"/>
    <xf numFmtId="182" fontId="10" fillId="6" borderId="25" pivotButton="0" quotePrefix="0" xfId="10"/>
    <xf numFmtId="179" fontId="14" fillId="0" borderId="9" applyAlignment="1" pivotButton="0" quotePrefix="0" xfId="22">
      <alignment horizontal="right"/>
    </xf>
    <xf numFmtId="174" fontId="10" fillId="6" borderId="14" applyAlignment="1" pivotButton="0" quotePrefix="0" xfId="22">
      <alignment horizontal="center"/>
    </xf>
    <xf numFmtId="184" fontId="14" fillId="0" borderId="0" applyAlignment="1" pivotButton="0" quotePrefix="0" xfId="22">
      <alignment horizontal="right"/>
    </xf>
    <xf numFmtId="185" fontId="14" fillId="0" borderId="14" applyAlignment="1" pivotButton="0" quotePrefix="0" xfId="22">
      <alignment horizontal="right"/>
    </xf>
    <xf numFmtId="0" fontId="14" fillId="0" borderId="0" applyAlignment="1" pivotButton="0" quotePrefix="0" xfId="22">
      <alignment horizontal="right"/>
    </xf>
    <xf numFmtId="178" fontId="20" fillId="0" borderId="0" pivotButton="0" quotePrefix="0" xfId="22"/>
    <xf numFmtId="178" fontId="14" fillId="0" borderId="14" pivotButton="0" quotePrefix="0" xfId="22"/>
    <xf numFmtId="182" fontId="16" fillId="0" borderId="26" applyAlignment="1" pivotButton="0" quotePrefix="0" xfId="22">
      <alignment horizontal="center"/>
    </xf>
    <xf numFmtId="183" fontId="10" fillId="6" borderId="27" applyAlignment="1" pivotButton="0" quotePrefix="0" xfId="22">
      <alignment horizontal="right"/>
    </xf>
    <xf numFmtId="0" fontId="14" fillId="0" borderId="14" applyAlignment="1" pivotButton="0" quotePrefix="0" xfId="22">
      <alignment horizontal="right"/>
    </xf>
    <xf numFmtId="182" fontId="16" fillId="0" borderId="14" applyAlignment="1" pivotButton="0" quotePrefix="0" xfId="22">
      <alignment horizontal="center"/>
    </xf>
    <xf numFmtId="183" fontId="10" fillId="6" borderId="28" applyAlignment="1" pivotButton="0" quotePrefix="0" xfId="22">
      <alignment horizontal="right"/>
    </xf>
    <xf numFmtId="186" fontId="10" fillId="6" borderId="14" applyAlignment="1" pivotButton="0" quotePrefix="0" xfId="22">
      <alignment horizontal="right"/>
    </xf>
    <xf numFmtId="0" fontId="16" fillId="0" borderId="0" applyAlignment="1" pivotButton="0" quotePrefix="0" xfId="22">
      <alignment horizontal="right"/>
    </xf>
    <xf numFmtId="178" fontId="16" fillId="0" borderId="14" applyAlignment="1" pivotButton="0" quotePrefix="0" xfId="27">
      <alignment horizontal="right"/>
    </xf>
    <xf numFmtId="0" fontId="14" fillId="0" borderId="8" applyAlignment="1" pivotButton="0" quotePrefix="0" xfId="22">
      <alignment horizontal="left"/>
    </xf>
    <xf numFmtId="171" fontId="14" fillId="0" borderId="9" applyAlignment="1" pivotButton="0" quotePrefix="0" xfId="22">
      <alignment horizontal="right"/>
    </xf>
    <xf numFmtId="0" fontId="11" fillId="7" borderId="3" pivotButton="0" quotePrefix="0" xfId="22"/>
    <xf numFmtId="171" fontId="4" fillId="7" borderId="3" applyAlignment="1" pivotButton="0" quotePrefix="0" xfId="22">
      <alignment horizontal="center"/>
    </xf>
    <xf numFmtId="0" fontId="4" fillId="7" borderId="3" pivotButton="0" quotePrefix="0" xfId="22"/>
    <xf numFmtId="0" fontId="16" fillId="0" borderId="1" pivotButton="0" quotePrefix="0" xfId="22"/>
    <xf numFmtId="171" fontId="10" fillId="6" borderId="0" applyAlignment="1" pivotButton="0" quotePrefix="0" xfId="22">
      <alignment horizontal="center"/>
    </xf>
    <xf numFmtId="0" fontId="14" fillId="0" borderId="11" applyAlignment="1" pivotButton="0" quotePrefix="0" xfId="22">
      <alignment horizontal="right"/>
    </xf>
    <xf numFmtId="178" fontId="14" fillId="0" borderId="0" pivotButton="0" quotePrefix="0" xfId="22"/>
    <xf numFmtId="9" fontId="14" fillId="0" borderId="0" pivotButton="0" quotePrefix="0" xfId="22"/>
    <xf numFmtId="187" fontId="14" fillId="0" borderId="0" applyAlignment="1" pivotButton="0" quotePrefix="0" xfId="22">
      <alignment horizontal="center"/>
    </xf>
    <xf numFmtId="178" fontId="14" fillId="0" borderId="0" applyAlignment="1" pivotButton="0" quotePrefix="0" xfId="22">
      <alignment horizontal="right"/>
    </xf>
    <xf numFmtId="188" fontId="14" fillId="0" borderId="0" pivotButton="0" quotePrefix="0" xfId="22"/>
    <xf numFmtId="189" fontId="10" fillId="6" borderId="0" applyAlignment="1" pivotButton="0" quotePrefix="0" xfId="22">
      <alignment horizontal="center"/>
    </xf>
    <xf numFmtId="0" fontId="16" fillId="0" borderId="1" applyAlignment="1" pivotButton="0" quotePrefix="0" xfId="22">
      <alignment horizontal="left" wrapText="1"/>
    </xf>
    <xf numFmtId="0" fontId="16" fillId="0" borderId="1" applyAlignment="1" pivotButton="0" quotePrefix="0" xfId="22">
      <alignment horizontal="center" wrapText="1"/>
    </xf>
    <xf numFmtId="189" fontId="14" fillId="0" borderId="0" applyAlignment="1" pivotButton="0" quotePrefix="0" xfId="22">
      <alignment horizontal="center"/>
    </xf>
    <xf numFmtId="182" fontId="14" fillId="0" borderId="0" applyAlignment="1" pivotButton="0" quotePrefix="0" xfId="22">
      <alignment horizontal="center"/>
    </xf>
    <xf numFmtId="10" fontId="14" fillId="0" borderId="0" applyAlignment="1" pivotButton="0" quotePrefix="0" xfId="22">
      <alignment horizontal="center"/>
    </xf>
    <xf numFmtId="2" fontId="14" fillId="0" borderId="0" applyAlignment="1" pivotButton="0" quotePrefix="0" xfId="22">
      <alignment horizontal="center"/>
    </xf>
    <xf numFmtId="189" fontId="10" fillId="6" borderId="0" applyAlignment="1" pivotButton="0" quotePrefix="0" xfId="22">
      <alignment horizontal="left"/>
    </xf>
    <xf numFmtId="182" fontId="10" fillId="6" borderId="0" applyAlignment="1" pivotButton="0" quotePrefix="0" xfId="22">
      <alignment horizontal="center"/>
    </xf>
    <xf numFmtId="178" fontId="10" fillId="6" borderId="0" applyAlignment="1" pivotButton="0" quotePrefix="0" xfId="22">
      <alignment horizontal="center"/>
    </xf>
    <xf numFmtId="10" fontId="10" fillId="6" borderId="0" applyAlignment="1" pivotButton="0" quotePrefix="0" xfId="22">
      <alignment horizontal="center"/>
    </xf>
    <xf numFmtId="189" fontId="10" fillId="6" borderId="1" applyAlignment="1" pivotButton="0" quotePrefix="0" xfId="22">
      <alignment horizontal="left"/>
    </xf>
    <xf numFmtId="189" fontId="10" fillId="6" borderId="1" applyAlignment="1" pivotButton="0" quotePrefix="0" xfId="22">
      <alignment horizontal="center"/>
    </xf>
    <xf numFmtId="182" fontId="10" fillId="6" borderId="1" applyAlignment="1" pivotButton="0" quotePrefix="0" xfId="22">
      <alignment horizontal="center"/>
    </xf>
    <xf numFmtId="178" fontId="10" fillId="6" borderId="1" applyAlignment="1" pivotButton="0" quotePrefix="0" xfId="22">
      <alignment horizontal="center"/>
    </xf>
    <xf numFmtId="10" fontId="14" fillId="0" borderId="1" applyAlignment="1" pivotButton="0" quotePrefix="0" xfId="22">
      <alignment horizontal="center"/>
    </xf>
    <xf numFmtId="10" fontId="10" fillId="6" borderId="1" applyAlignment="1" pivotButton="0" quotePrefix="0" xfId="22">
      <alignment horizontal="center"/>
    </xf>
    <xf numFmtId="189" fontId="14" fillId="0" borderId="1" applyAlignment="1" pivotButton="0" quotePrefix="0" xfId="22">
      <alignment horizontal="center"/>
    </xf>
    <xf numFmtId="189" fontId="16" fillId="0" borderId="0" applyAlignment="1" pivotButton="0" quotePrefix="0" xfId="22">
      <alignment horizontal="right"/>
    </xf>
    <xf numFmtId="189" fontId="16" fillId="0" borderId="29" applyAlignment="1" pivotButton="0" quotePrefix="0" xfId="22">
      <alignment horizontal="center"/>
    </xf>
    <xf numFmtId="0" fontId="21" fillId="3" borderId="0" pivotButton="0" quotePrefix="0" xfId="24"/>
    <xf numFmtId="0" fontId="22" fillId="13" borderId="0" pivotButton="0" quotePrefix="0" xfId="24"/>
    <xf numFmtId="0" fontId="8" fillId="14" borderId="0" pivotButton="0" quotePrefix="0" xfId="24"/>
    <xf numFmtId="180" fontId="22" fillId="13" borderId="0" pivotButton="0" quotePrefix="0" xfId="24"/>
    <xf numFmtId="190" fontId="22" fillId="13" borderId="0" pivotButton="0" quotePrefix="0" xfId="24"/>
    <xf numFmtId="171" fontId="22" fillId="13" borderId="0" pivotButton="0" quotePrefix="0" xfId="24"/>
    <xf numFmtId="14" fontId="22" fillId="13" borderId="0" pivotButton="0" quotePrefix="0" xfId="24"/>
    <xf numFmtId="191" fontId="22" fillId="13" borderId="0" pivotButton="0" quotePrefix="0" xfId="24"/>
    <xf numFmtId="171" fontId="3" fillId="0" borderId="0" pivotButton="0" quotePrefix="0" xfId="24"/>
    <xf numFmtId="174" fontId="22" fillId="13" borderId="0" pivotButton="0" quotePrefix="0" xfId="24"/>
    <xf numFmtId="175" fontId="3" fillId="0" borderId="0" pivotButton="0" quotePrefix="0" xfId="24"/>
    <xf numFmtId="0" fontId="17" fillId="9" borderId="0" applyAlignment="1" pivotButton="0" quotePrefix="0" xfId="22">
      <alignment horizontal="center" wrapText="1"/>
    </xf>
    <xf numFmtId="0" fontId="14" fillId="0" borderId="0" pivotButton="0" quotePrefix="0" xfId="22"/>
    <xf numFmtId="0" fontId="16" fillId="0" borderId="1" applyAlignment="1" pivotButton="0" quotePrefix="0" xfId="22">
      <alignment horizontal="center"/>
    </xf>
    <xf numFmtId="0" fontId="0" fillId="0" borderId="1" pivotButton="0" quotePrefix="0" xfId="0"/>
    <xf numFmtId="0" fontId="16" fillId="0" borderId="10" applyAlignment="1" pivotButton="0" quotePrefix="0" xfId="22">
      <alignment horizontal="center"/>
    </xf>
    <xf numFmtId="0" fontId="0" fillId="0" borderId="11" pivotButton="0" quotePrefix="0" xfId="0"/>
    <xf numFmtId="0" fontId="15" fillId="9" borderId="1" applyAlignment="1" pivotButton="0" quotePrefix="0" xfId="22">
      <alignment horizontal="center"/>
    </xf>
    <xf numFmtId="171" fontId="4" fillId="0" borderId="0" applyAlignment="1" pivotButton="0" quotePrefix="0" xfId="30">
      <alignment horizontal="right" vertical="center"/>
    </xf>
    <xf numFmtId="171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24">
      <alignment horizontal="right" vertical="center"/>
    </xf>
    <xf numFmtId="193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30">
      <alignment horizontal="right" vertical="center"/>
    </xf>
    <xf numFmtId="192" fontId="4" fillId="0" borderId="0" applyAlignment="1" pivotButton="0" quotePrefix="0" xfId="24">
      <alignment horizontal="right" vertical="center"/>
    </xf>
    <xf numFmtId="193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30">
      <alignment horizontal="right" vertical="center"/>
    </xf>
    <xf numFmtId="200" fontId="0" fillId="0" borderId="0" pivotButton="0" quotePrefix="0" xfId="0"/>
    <xf numFmtId="169" fontId="11" fillId="7" borderId="0" applyAlignment="1" pivotButton="0" quotePrefix="0" xfId="21">
      <alignment horizontal="center"/>
    </xf>
    <xf numFmtId="0" fontId="23" fillId="9" borderId="0" applyAlignment="1" pivotButton="0" quotePrefix="0" xfId="0">
      <alignment horizontal="left" vertical="bottom"/>
    </xf>
    <xf numFmtId="0" fontId="24" fillId="7" borderId="0" applyAlignment="1" pivotButton="0" quotePrefix="0" xfId="0">
      <alignment horizontal="general" vertical="bottom"/>
    </xf>
    <xf numFmtId="3" fontId="24" fillId="7" borderId="0" applyAlignment="1" pivotButton="0" quotePrefix="0" xfId="0">
      <alignment horizontal="center" vertical="bottom"/>
    </xf>
    <xf numFmtId="3" fontId="24" fillId="0" borderId="0" applyAlignment="1" pivotButton="0" quotePrefix="0" xfId="0">
      <alignment horizontal="center" vertical="bottom"/>
    </xf>
    <xf numFmtId="0" fontId="25" fillId="7" borderId="0" applyAlignment="1" pivotButton="0" quotePrefix="0" xfId="0">
      <alignment horizontal="general" vertical="bottom"/>
    </xf>
    <xf numFmtId="171" fontId="24" fillId="7" borderId="0" applyAlignment="1" pivotButton="0" quotePrefix="0" xfId="0">
      <alignment horizontal="center" vertical="bottom"/>
    </xf>
    <xf numFmtId="171" fontId="24" fillId="0" borderId="0" applyAlignment="1" pivotButton="0" quotePrefix="0" xfId="0">
      <alignment horizontal="center" vertical="bottom"/>
    </xf>
    <xf numFmtId="201" fontId="22" fillId="13" borderId="0" pivotButton="0" quotePrefix="0" xfId="24"/>
  </cellXfs>
  <cellStyles count="35">
    <cellStyle name="Normal" xfId="0" builtinId="0"/>
    <cellStyle name="Comma" xfId="1"/>
    <cellStyle name="Comma 1" xfId="2"/>
    <cellStyle name="Comma 2" xfId="3"/>
    <cellStyle name="Comma 3" xfId="4"/>
    <cellStyle name="Comma [0]" xfId="5"/>
    <cellStyle name="Comma [0] 2" xfId="6"/>
    <cellStyle name="Comma [0] 3" xfId="7"/>
    <cellStyle name="Comma [0] 4" xfId="8"/>
    <cellStyle name="Currency" xfId="9"/>
    <cellStyle name="Currency 2" xfId="10"/>
    <cellStyle name="Currency 3" xfId="11"/>
    <cellStyle name="Currency 4" xfId="12"/>
    <cellStyle name="Currency 5" xfId="13"/>
    <cellStyle name="Currency [0]" xfId="14"/>
    <cellStyle name="Currency [0] 4" xfId="15"/>
    <cellStyle name="Currency [0] 5" xfId="16"/>
    <cellStyle name="Currency [0] 6" xfId="17"/>
    <cellStyle name="m/d/yy" xfId="18"/>
    <cellStyle name="Normal 3" xfId="19"/>
    <cellStyle name="Normal 2" xfId="20"/>
    <cellStyle name="Normal 2 2" xfId="21"/>
    <cellStyle name="Normal 2 3" xfId="22"/>
    <cellStyle name="Normal 4" xfId="23"/>
    <cellStyle name="Normal 5" xfId="24"/>
    <cellStyle name="Normal 6" xfId="25"/>
    <cellStyle name="Normal 7" xfId="26"/>
    <cellStyle name="Normal [3] 2" xfId="27"/>
    <cellStyle name="Output_dcfmodel" xfId="28"/>
    <cellStyle name="Percent" xfId="29"/>
    <cellStyle name="Percent 6" xfId="30"/>
    <cellStyle name="Percent 7" xfId="31"/>
    <cellStyle name="Percent 8" xfId="32"/>
    <cellStyle name="Porcentagem 3" xfId="33"/>
    <cellStyle name="Separador de milhares 2 17" xfId="34"/>
  </cellStyles>
  <dxfs count="24"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FFF2CC"/>
      <rgbColor rgb="FF99CCFF"/>
      <rgbColor rgb="FFFF99CC"/>
      <rgbColor rgb="FFCC99FF"/>
      <rgbColor rgb="FFD9D9D9"/>
      <rgbColor rgb="FF4472C4"/>
      <rgbColor rgb="FF46B1E1"/>
      <rgbColor rgb="FF99CC00"/>
      <rgbColor rgb="FFFFCC00"/>
      <rgbColor rgb="FFFF9900"/>
      <rgbColor rgb="FFFF6600"/>
      <rgbColor rgb="FF666699"/>
      <rgbColor rgb="FF70AD47"/>
      <rgbColor rgb="FF17365D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92"/>
  <sheetViews>
    <sheetView showGridLines="0" tabSelected="1" zoomScaleNormal="100" workbookViewId="0">
      <pane xSplit="3" ySplit="2" topLeftCell="D3" activePane="bottomRight" state="frozen"/>
      <selection activeCell="C3" sqref="C3"/>
      <selection pane="topRight" activeCell="C3" sqref="C3"/>
      <selection pane="bottomLeft" activeCell="C3" sqref="C3"/>
      <selection pane="bottomRight" activeCell="C3" sqref="C3"/>
    </sheetView>
  </sheetViews>
  <sheetFormatPr baseColWidth="8" defaultColWidth="9.7109375" defaultRowHeight="12.75"/>
  <cols>
    <col width="90" customWidth="1" min="1" max="1"/>
    <col width="10.140625" customWidth="1" min="2" max="2"/>
    <col width="45" customWidth="1" min="3" max="3"/>
    <col width="12.42578125" customWidth="1" min="4" max="33"/>
  </cols>
  <sheetData>
    <row r="1" ht="14.25" customHeight="1">
      <c r="A1" s="1" t="inlineStr">
        <is>
          <t>Base histórica normalizada (US$ mil) — convertida da máscara anterior; linhas de origem auditáveis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</row>
    <row r="2" ht="14.25" customHeight="1">
      <c r="A2" s="2" t="inlineStr">
        <is>
          <t>Fonte / conta original</t>
        </is>
      </c>
      <c r="B2" s="2" t="inlineStr">
        <is>
          <t>Código</t>
        </is>
      </c>
      <c r="C2" s="2" t="inlineStr">
        <is>
          <t>Conta padronizada</t>
        </is>
      </c>
      <c r="D2" s="2" t="inlineStr">
        <is>
          <t>1Q21</t>
        </is>
      </c>
      <c r="E2" s="2" t="inlineStr">
        <is>
          <t>2Q21</t>
        </is>
      </c>
      <c r="F2" s="2" t="inlineStr">
        <is>
          <t>3Q21</t>
        </is>
      </c>
      <c r="G2" s="2" t="inlineStr">
        <is>
          <t>4Q21</t>
        </is>
      </c>
      <c r="H2" s="2" t="inlineStr">
        <is>
          <t>2021</t>
        </is>
      </c>
      <c r="I2" s="2" t="inlineStr">
        <is>
          <t>1Q22</t>
        </is>
      </c>
      <c r="J2" s="2" t="inlineStr">
        <is>
          <t>2Q22</t>
        </is>
      </c>
      <c r="K2" s="2" t="inlineStr">
        <is>
          <t>3Q22</t>
        </is>
      </c>
      <c r="L2" s="2" t="inlineStr">
        <is>
          <t>4Q22</t>
        </is>
      </c>
      <c r="M2" s="2" t="inlineStr">
        <is>
          <t>2022</t>
        </is>
      </c>
      <c r="N2" s="2" t="inlineStr">
        <is>
          <t>1Q23</t>
        </is>
      </c>
      <c r="O2" s="2" t="inlineStr">
        <is>
          <t>2Q23</t>
        </is>
      </c>
      <c r="P2" s="2" t="inlineStr">
        <is>
          <t>3Q23</t>
        </is>
      </c>
      <c r="Q2" s="2" t="inlineStr">
        <is>
          <t>4Q23</t>
        </is>
      </c>
      <c r="R2" s="2" t="inlineStr">
        <is>
          <t>2023</t>
        </is>
      </c>
      <c r="S2" s="2" t="inlineStr">
        <is>
          <t>1Q24</t>
        </is>
      </c>
      <c r="T2" s="2" t="inlineStr">
        <is>
          <t>2Q24</t>
        </is>
      </c>
      <c r="U2" s="2" t="inlineStr">
        <is>
          <t>3Q24</t>
        </is>
      </c>
      <c r="V2" s="2" t="inlineStr">
        <is>
          <t>4Q24</t>
        </is>
      </c>
      <c r="W2" s="2" t="inlineStr">
        <is>
          <t>2024</t>
        </is>
      </c>
      <c r="X2" s="2" t="inlineStr">
        <is>
          <t>1Q25</t>
        </is>
      </c>
      <c r="Y2" s="2" t="inlineStr">
        <is>
          <t>2Q25</t>
        </is>
      </c>
      <c r="Z2" s="2" t="inlineStr">
        <is>
          <t>3Q25</t>
        </is>
      </c>
      <c r="AA2" s="2" t="inlineStr">
        <is>
          <t>4Q25</t>
        </is>
      </c>
      <c r="AB2" s="2" t="inlineStr">
        <is>
          <t>2025</t>
        </is>
      </c>
      <c r="AC2" s="2" t="inlineStr">
        <is>
          <t>1Q26</t>
        </is>
      </c>
      <c r="AD2" s="2" t="inlineStr">
        <is>
          <t>2Q26</t>
        </is>
      </c>
      <c r="AE2" s="2" t="inlineStr">
        <is>
          <t>3Q26</t>
        </is>
      </c>
      <c r="AF2" s="2" t="inlineStr">
        <is>
          <t>4Q26</t>
        </is>
      </c>
      <c r="AG2" s="2" t="inlineStr">
        <is>
          <t>2026</t>
        </is>
      </c>
    </row>
    <row r="3">
      <c r="A3" t="inlineStr">
        <is>
          <t>Fonte: ver coluna A de cada linha</t>
        </is>
      </c>
      <c r="C3" t="inlineStr">
        <is>
          <t>Unidade: US$ mil (monetário); demais unidades × 1.000</t>
        </is>
      </c>
    </row>
    <row r="4">
      <c r="A4" t="inlineStr">
        <is>
          <t>DRE - trimestre isolado (USD). Brutos SEC XBRL; linhas "derivada" são fórmulas nesta aba</t>
        </is>
      </c>
      <c r="C4" t="inlineStr">
        <is>
          <t>[linha bruta, sem código; lançada nas linhas abaixo]</t>
        </is>
      </c>
      <c r="D4" s="265" t="n"/>
      <c r="E4" s="265" t="n"/>
      <c r="F4" s="265" t="n"/>
      <c r="G4" s="265" t="n"/>
      <c r="I4" s="265" t="n"/>
      <c r="J4" s="265" t="n"/>
      <c r="K4" s="265" t="n"/>
      <c r="L4" s="265" t="n"/>
      <c r="N4" s="265" t="n"/>
      <c r="O4" s="265" t="n"/>
      <c r="P4" s="265" t="n"/>
      <c r="Q4" s="265" t="n"/>
      <c r="S4" s="265" t="n"/>
      <c r="T4" s="265" t="n"/>
      <c r="U4" s="265" t="n"/>
      <c r="V4" s="265" t="n"/>
      <c r="X4" s="265" t="n"/>
      <c r="Y4" s="265" t="n"/>
      <c r="Z4" s="265" t="n"/>
      <c r="AA4" s="265" t="n"/>
      <c r="AC4" s="265" t="n"/>
      <c r="AD4" s="265" t="n"/>
    </row>
    <row r="5">
      <c r="A5" t="inlineStr">
        <is>
          <t>Receita [us-gaap:Revenues/RevenueFromContractWithCustomerExcludingAssessedTax] · fonte · unid. moeda</t>
        </is>
      </c>
      <c r="B5" t="n">
        <v>1</v>
      </c>
      <c r="C5" t="inlineStr">
        <is>
          <t>Net Revenues</t>
        </is>
      </c>
      <c r="D5" s="265" t="n">
        <v>4850000</v>
      </c>
      <c r="E5" s="265" t="n">
        <v>5748000</v>
      </c>
      <c r="F5" s="265" t="n">
        <v>6083000</v>
      </c>
      <c r="G5" s="265" t="n">
        <v>6164000</v>
      </c>
      <c r="I5" s="265" t="n">
        <v>6603000</v>
      </c>
      <c r="J5" s="265" t="n">
        <v>5416000</v>
      </c>
      <c r="K5" s="265" t="n">
        <v>5003000</v>
      </c>
      <c r="L5" s="265" t="n">
        <v>5758000</v>
      </c>
      <c r="N5" s="265" t="n">
        <v>5389000</v>
      </c>
      <c r="O5" s="265" t="n">
        <v>5737000</v>
      </c>
      <c r="P5" s="265" t="n">
        <v>5824000</v>
      </c>
      <c r="Q5" s="265" t="n">
        <v>5905000</v>
      </c>
      <c r="S5" s="265" t="n">
        <v>6321000</v>
      </c>
      <c r="T5" s="265" t="n">
        <v>6624000</v>
      </c>
      <c r="U5" s="265" t="n">
        <v>6790000</v>
      </c>
      <c r="V5" s="265" t="n">
        <v>5720000</v>
      </c>
      <c r="X5" s="265" t="n">
        <v>5728000</v>
      </c>
      <c r="Y5" s="265" t="n">
        <v>7582000</v>
      </c>
      <c r="Z5" s="265" t="n">
        <v>6972000</v>
      </c>
      <c r="AA5" s="265" t="n">
        <v>5633000</v>
      </c>
      <c r="AC5" s="265" t="n">
        <v>6234000</v>
      </c>
      <c r="AD5" s="265" t="n">
        <v>7029000</v>
      </c>
    </row>
    <row r="6">
      <c r="A6" t="inlineStr">
        <is>
          <t>Custo da receita (divulgado positivo) [us-gaap:CostOfRevenue/CostOfGoodsAndServicesSold] · fonte · unid. moeda</t>
        </is>
      </c>
      <c r="C6" t="inlineStr">
        <is>
          <t>[linha bruta, sem código; lançada nas linhas abaixo]</t>
        </is>
      </c>
      <c r="D6" s="265" t="n">
        <v>3206000</v>
      </c>
      <c r="E6" s="265" t="n">
        <v>3550000</v>
      </c>
      <c r="F6" s="265" t="n">
        <v>3551000</v>
      </c>
      <c r="G6" s="265" t="n">
        <v>3723000</v>
      </c>
      <c r="I6" s="265" t="n">
        <v>3639000</v>
      </c>
      <c r="J6" s="265" t="n">
        <v>3528000</v>
      </c>
      <c r="K6" s="265" t="n">
        <v>3899000</v>
      </c>
      <c r="L6" s="265" t="n">
        <v>4023000</v>
      </c>
      <c r="N6" s="265" t="n">
        <v>3564000</v>
      </c>
      <c r="O6" s="265" t="n">
        <v>4096000</v>
      </c>
      <c r="P6" s="265" t="n">
        <v>4086000</v>
      </c>
      <c r="Q6" s="265" t="n">
        <v>3949000</v>
      </c>
      <c r="S6" s="265" t="n">
        <v>4439000</v>
      </c>
      <c r="T6" s="265" t="n">
        <v>4384000</v>
      </c>
      <c r="U6" s="265" t="n">
        <v>4677000</v>
      </c>
      <c r="V6" s="265" t="n">
        <v>4295000</v>
      </c>
      <c r="X6" s="265" t="n">
        <v>4222000</v>
      </c>
      <c r="Y6" s="265" t="n">
        <v>4950000</v>
      </c>
      <c r="Z6" s="265" t="n">
        <v>4830000</v>
      </c>
      <c r="AA6" s="265" t="n">
        <v>4616000</v>
      </c>
      <c r="AC6" s="265" t="n">
        <v>4579000</v>
      </c>
      <c r="AD6" s="265" t="n">
        <v>4843000</v>
      </c>
    </row>
    <row r="7">
      <c r="A7" t="inlineStr">
        <is>
          <t>(lançamento) código 2, sinal -1 sobre a linha bruta 6: Custo da receita (divulgado positivo) [us-gaap:CostOfRevenue/CostOfGoodsAndServicesSold]</t>
        </is>
      </c>
      <c r="B7" t="n">
        <v>2</v>
      </c>
      <c r="C7" t="inlineStr">
        <is>
          <t>COGS (cash)</t>
        </is>
      </c>
      <c r="D7" s="265">
        <f>IF(D6="","",-1*D6)</f>
        <v>-3206000</v>
      </c>
      <c r="E7" s="265">
        <f>IF(E6="","",-1*E6)</f>
        <v>-3550000</v>
      </c>
      <c r="F7" s="265">
        <f>IF(F6="","",-1*F6)</f>
        <v>-3551000</v>
      </c>
      <c r="G7" s="265">
        <f>IF(G6="","",-1*G6)</f>
        <v>-3723000</v>
      </c>
      <c r="I7" s="265">
        <f>IF(I6="","",-1*I6)</f>
        <v>-3639000</v>
      </c>
      <c r="J7" s="265">
        <f>IF(J6="","",-1*J6)</f>
        <v>-3528000</v>
      </c>
      <c r="K7" s="265">
        <f>IF(K6="","",-1*K6)</f>
        <v>-3899000</v>
      </c>
      <c r="L7" s="265">
        <f>IF(L6="","",-1*L6)</f>
        <v>-4023000</v>
      </c>
      <c r="N7" s="265">
        <f>IF(N6="","",-1*N6)</f>
        <v>-3564000</v>
      </c>
      <c r="O7" s="265">
        <f>IF(O6="","",-1*O6)</f>
        <v>-4096000</v>
      </c>
      <c r="P7" s="265">
        <f>IF(P6="","",-1*P6)</f>
        <v>-4086000</v>
      </c>
      <c r="Q7" s="265">
        <f>IF(Q6="","",-1*Q6)</f>
        <v>-3949000</v>
      </c>
      <c r="S7" s="265">
        <f>IF(S6="","",-1*S6)</f>
        <v>-4439000</v>
      </c>
      <c r="T7" s="265">
        <f>IF(T6="","",-1*T6)</f>
        <v>-4384000</v>
      </c>
      <c r="U7" s="265">
        <f>IF(U6="","",-1*U6)</f>
        <v>-4677000</v>
      </c>
      <c r="V7" s="265">
        <f>IF(V6="","",-1*V6)</f>
        <v>-4295000</v>
      </c>
      <c r="X7" s="265">
        <f>IF(X6="","",-1*X6)</f>
        <v>-4222000</v>
      </c>
      <c r="Y7" s="265">
        <f>IF(Y6="","",-1*Y6)</f>
        <v>-4950000</v>
      </c>
      <c r="Z7" s="265">
        <f>IF(Z6="","",-1*Z6)</f>
        <v>-4830000</v>
      </c>
      <c r="AA7" s="265">
        <f>IF(AA6="","",-1*AA6)</f>
        <v>-4616000</v>
      </c>
      <c r="AC7" s="265">
        <f>IF(AC6="","",-1*AC6)</f>
        <v>-4579000</v>
      </c>
      <c r="AD7" s="265">
        <f>IF(AD6="","",-1*AD6)</f>
        <v>-4843000</v>
      </c>
    </row>
    <row r="8">
      <c r="A8" t="inlineStr">
        <is>
          <t>Lucro operacional [us-gaap:OperatingIncomeLoss] · memoria · unid. moeda</t>
        </is>
      </c>
      <c r="C8" t="inlineStr">
        <is>
          <t>[linha bruta, sem código; lançada nas linhas abaixo]</t>
        </is>
      </c>
      <c r="D8" s="265" t="n">
        <v>1532000</v>
      </c>
      <c r="E8" s="265" t="n">
        <v>2067000</v>
      </c>
      <c r="F8" s="265" t="n">
        <v>2462000</v>
      </c>
      <c r="G8" s="265" t="n">
        <v>2305000</v>
      </c>
      <c r="I8" s="265" t="n">
        <v>2809000</v>
      </c>
      <c r="J8" s="265" t="n">
        <v>1736000</v>
      </c>
      <c r="K8" s="265" t="n">
        <v>962000</v>
      </c>
      <c r="L8" s="265" t="n">
        <v>1530000</v>
      </c>
      <c r="N8" s="265" t="n">
        <v>1601000</v>
      </c>
      <c r="O8" s="265" t="n">
        <v>1410000</v>
      </c>
      <c r="P8" s="265" t="n">
        <v>1492000</v>
      </c>
      <c r="Q8" s="265" t="n">
        <v>1722000</v>
      </c>
      <c r="S8" s="265" t="n">
        <v>1634000</v>
      </c>
      <c r="T8" s="265" t="n">
        <v>2049000</v>
      </c>
      <c r="U8" s="265" t="n">
        <v>1938000</v>
      </c>
      <c r="V8" s="265" t="n">
        <v>1243000</v>
      </c>
      <c r="X8" s="265" t="n">
        <v>1303000</v>
      </c>
      <c r="Y8" s="265" t="n">
        <v>2432000</v>
      </c>
      <c r="Z8" s="265" t="n">
        <v>1972000</v>
      </c>
      <c r="AA8" s="265" t="n">
        <v>811000</v>
      </c>
      <c r="AC8" s="265" t="n">
        <v>2137000</v>
      </c>
      <c r="AD8" s="265" t="n">
        <v>2003000</v>
      </c>
    </row>
    <row r="9">
      <c r="A9" t="inlineStr">
        <is>
          <t>Despesas operacionais = receita - custo - lucro operacional (P&amp;D + SG&amp;A + outras operacionais) · derivada · unid. moeda</t>
        </is>
      </c>
      <c r="C9" t="inlineStr">
        <is>
          <t>[linha bruta, sem código; lançada nas linhas abaixo]</t>
        </is>
      </c>
      <c r="D9" s="265">
        <f>N(D5)-N(D6)-N(D8)</f>
        <v>112000</v>
      </c>
      <c r="E9" s="265">
        <f>N(E5)-N(E6)-N(E8)</f>
        <v>131000</v>
      </c>
      <c r="F9" s="265">
        <f>N(F5)-N(F6)-N(F8)</f>
        <v>70000</v>
      </c>
      <c r="G9" s="265">
        <f>N(G5)-N(G6)-N(G8)</f>
        <v>136000</v>
      </c>
      <c r="I9" s="265">
        <f>N(I5)-N(I6)-N(I8)</f>
        <v>155000</v>
      </c>
      <c r="J9" s="265">
        <f>N(J5)-N(J6)-N(J8)</f>
        <v>152000</v>
      </c>
      <c r="K9" s="265">
        <f>N(K5)-N(K6)-N(K8)</f>
        <v>142000</v>
      </c>
      <c r="L9" s="265">
        <f>N(L5)-N(L6)-N(L8)</f>
        <v>205000</v>
      </c>
      <c r="N9" s="265">
        <f>N(N5)-N(N6)-N(N8)</f>
        <v>224000</v>
      </c>
      <c r="O9" s="265">
        <f>N(O5)-N(O6)-N(O8)</f>
        <v>231000</v>
      </c>
      <c r="P9" s="265">
        <f>N(P5)-N(P6)-N(P8)</f>
        <v>246000</v>
      </c>
      <c r="Q9" s="265">
        <f>N(Q5)-N(Q6)-N(Q8)</f>
        <v>234000</v>
      </c>
      <c r="S9" s="265">
        <f>N(S5)-N(S6)-N(S8)</f>
        <v>248000</v>
      </c>
      <c r="T9" s="265">
        <f>N(T5)-N(T6)-N(T8)</f>
        <v>191000</v>
      </c>
      <c r="U9" s="265">
        <f>N(U5)-N(U6)-N(U8)</f>
        <v>175000</v>
      </c>
      <c r="V9" s="265">
        <f>N(V5)-N(V6)-N(V8)</f>
        <v>182000</v>
      </c>
      <c r="X9" s="265">
        <f>N(X5)-N(X6)-N(X8)</f>
        <v>203000</v>
      </c>
      <c r="Y9" s="265">
        <f>N(Y5)-N(Y6)-N(Y8)</f>
        <v>200000</v>
      </c>
      <c r="Z9" s="265">
        <f>N(Z5)-N(Z6)-N(Z8)</f>
        <v>170000</v>
      </c>
      <c r="AA9" s="265">
        <f>N(AA5)-N(AA6)-N(AA8)</f>
        <v>206000</v>
      </c>
      <c r="AC9" s="265">
        <f>N(AC5)-N(AC6)-N(AC8)</f>
        <v>-482000</v>
      </c>
      <c r="AD9" s="265">
        <f>N(AD5)-N(AD6)-N(AD8)</f>
        <v>183000</v>
      </c>
    </row>
    <row r="10">
      <c r="A10" t="inlineStr">
        <is>
          <t>(lançamento) código 3, sinal -1 sobre a linha bruta 9: Despesas operacionais = receita - custo - lucro operacional (P&amp;D + SG&amp;A + outras operacion</t>
        </is>
      </c>
      <c r="B10" t="n">
        <v>3</v>
      </c>
      <c r="C10" t="inlineStr">
        <is>
          <t>SG&amp;A and Other (cash)</t>
        </is>
      </c>
      <c r="D10" s="265">
        <f>IF(D9="","",-1*D9)</f>
        <v>-112000</v>
      </c>
      <c r="E10" s="265">
        <f>IF(E9="","",-1*E9)</f>
        <v>-131000</v>
      </c>
      <c r="F10" s="265">
        <f>IF(F9="","",-1*F9)</f>
        <v>-70000</v>
      </c>
      <c r="G10" s="265">
        <f>IF(G9="","",-1*G9)</f>
        <v>-136000</v>
      </c>
      <c r="I10" s="265">
        <f>IF(I9="","",-1*I9)</f>
        <v>-155000</v>
      </c>
      <c r="J10" s="265">
        <f>IF(J9="","",-1*J9)</f>
        <v>-152000</v>
      </c>
      <c r="K10" s="265">
        <f>IF(K9="","",-1*K9)</f>
        <v>-142000</v>
      </c>
      <c r="L10" s="265">
        <f>IF(L9="","",-1*L9)</f>
        <v>-205000</v>
      </c>
      <c r="N10" s="265">
        <f>IF(N9="","",-1*N9)</f>
        <v>-224000</v>
      </c>
      <c r="O10" s="265">
        <f>IF(O9="","",-1*O9)</f>
        <v>-231000</v>
      </c>
      <c r="P10" s="265">
        <f>IF(P9="","",-1*P9)</f>
        <v>-246000</v>
      </c>
      <c r="Q10" s="265">
        <f>IF(Q9="","",-1*Q9)</f>
        <v>-234000</v>
      </c>
      <c r="S10" s="265">
        <f>IF(S9="","",-1*S9)</f>
        <v>-248000</v>
      </c>
      <c r="T10" s="265">
        <f>IF(T9="","",-1*T9)</f>
        <v>-191000</v>
      </c>
      <c r="U10" s="265">
        <f>IF(U9="","",-1*U9)</f>
        <v>-175000</v>
      </c>
      <c r="V10" s="265">
        <f>IF(V9="","",-1*V9)</f>
        <v>-182000</v>
      </c>
      <c r="X10" s="265">
        <f>IF(X9="","",-1*X9)</f>
        <v>-203000</v>
      </c>
      <c r="Y10" s="265">
        <f>IF(Y9="","",-1*Y9)</f>
        <v>-200000</v>
      </c>
      <c r="Z10" s="265">
        <f>IF(Z9="","",-1*Z9)</f>
        <v>-170000</v>
      </c>
      <c r="AA10" s="265">
        <f>IF(AA9="","",-1*AA9)</f>
        <v>-206000</v>
      </c>
      <c r="AC10" s="265">
        <f>IF(AC9="","",-1*AC9)</f>
        <v>482000</v>
      </c>
      <c r="AD10" s="265">
        <f>IF(AD9="","",-1*AD9)</f>
        <v>-183000</v>
      </c>
    </row>
    <row r="11">
      <c r="A11" t="inlineStr">
        <is>
          <t>Lucro antes do IR [us-gaap:IncomeLossFromContinuingOperationsBeforeIncomeTaxesExtraordi] · memoria · unid. moeda</t>
        </is>
      </c>
      <c r="C11" t="inlineStr">
        <is>
          <t>[linha bruta, sem código; lançada nas linhas abaixo]</t>
        </is>
      </c>
      <c r="D11" s="265" t="n">
        <v>1398000</v>
      </c>
      <c r="E11" s="265" t="n">
        <v>1928000</v>
      </c>
      <c r="F11" s="265" t="n">
        <v>2360000</v>
      </c>
      <c r="G11" s="265" t="n">
        <v>1973000</v>
      </c>
      <c r="I11" s="265" t="n">
        <v>2713000</v>
      </c>
      <c r="J11" s="265" t="n">
        <v>1599000</v>
      </c>
      <c r="K11" s="265" t="n">
        <v>867000</v>
      </c>
      <c r="L11" s="265" t="n">
        <v>1536000</v>
      </c>
      <c r="N11" s="265" t="n">
        <v>1538000</v>
      </c>
      <c r="O11" s="265" t="n">
        <v>1268000</v>
      </c>
      <c r="P11" s="265" t="n">
        <v>1472000</v>
      </c>
      <c r="Q11" s="265" t="n">
        <v>1728000</v>
      </c>
      <c r="S11" s="265" t="n">
        <v>1674000</v>
      </c>
      <c r="T11" s="265" t="n">
        <v>2030000</v>
      </c>
      <c r="U11" s="265" t="n">
        <v>1963000</v>
      </c>
      <c r="V11" s="265" t="n">
        <v>1240000</v>
      </c>
      <c r="X11" s="265" t="n">
        <v>1291000</v>
      </c>
      <c r="Y11" s="265" t="n">
        <v>2391000</v>
      </c>
      <c r="Z11" s="265" t="n">
        <v>1924000</v>
      </c>
      <c r="AA11" s="265" t="n">
        <v>766000</v>
      </c>
      <c r="AC11" s="265" t="n">
        <v>2034000</v>
      </c>
      <c r="AD11" s="265" t="n">
        <v>1930000</v>
      </c>
    </row>
    <row r="12">
      <c r="A12" t="inlineStr">
        <is>
          <t>Resultado não operacional total = lucro antes do IR - lucro operacional · derivada · unid. moeda</t>
        </is>
      </c>
      <c r="B12" t="n">
        <v>6</v>
      </c>
      <c r="C12" t="inlineStr">
        <is>
          <t>Nonoperating Income / (Loss)</t>
        </is>
      </c>
      <c r="D12" s="265">
        <f>N(D11)-N(D8)</f>
        <v>-134000</v>
      </c>
      <c r="E12" s="265">
        <f>N(E11)-N(E8)</f>
        <v>-139000</v>
      </c>
      <c r="F12" s="265">
        <f>N(F11)-N(F8)</f>
        <v>-102000</v>
      </c>
      <c r="G12" s="265">
        <f>N(G11)-N(G8)</f>
        <v>-332000</v>
      </c>
      <c r="I12" s="265">
        <f>N(I11)-N(I8)</f>
        <v>-96000</v>
      </c>
      <c r="J12" s="265">
        <f>N(J11)-N(J8)</f>
        <v>-137000</v>
      </c>
      <c r="K12" s="265">
        <f>N(K11)-N(K8)</f>
        <v>-95000</v>
      </c>
      <c r="L12" s="265">
        <f>N(L11)-N(L8)</f>
        <v>6000</v>
      </c>
      <c r="N12" s="265">
        <f>N(N11)-N(N8)</f>
        <v>-63000</v>
      </c>
      <c r="O12" s="265">
        <f>N(O11)-N(O8)</f>
        <v>-142000</v>
      </c>
      <c r="P12" s="265">
        <f>N(P11)-N(P8)</f>
        <v>-20000</v>
      </c>
      <c r="Q12" s="265">
        <f>N(Q11)-N(Q8)</f>
        <v>6000</v>
      </c>
      <c r="S12" s="265">
        <f>N(S11)-N(S8)</f>
        <v>40000</v>
      </c>
      <c r="T12" s="265">
        <f>N(T11)-N(T8)</f>
        <v>-19000</v>
      </c>
      <c r="U12" s="265">
        <f>N(U11)-N(U8)</f>
        <v>25000</v>
      </c>
      <c r="V12" s="265">
        <f>N(V11)-N(V8)</f>
        <v>-3000</v>
      </c>
      <c r="X12" s="265">
        <f>N(X11)-N(X8)</f>
        <v>-12000</v>
      </c>
      <c r="Y12" s="265">
        <f>N(Y11)-N(Y8)</f>
        <v>-41000</v>
      </c>
      <c r="Z12" s="265">
        <f>N(Z11)-N(Z8)</f>
        <v>-48000</v>
      </c>
      <c r="AA12" s="265">
        <f>N(AA11)-N(AA8)</f>
        <v>-45000</v>
      </c>
      <c r="AC12" s="265">
        <f>N(AC11)-N(AC8)</f>
        <v>-103000</v>
      </c>
      <c r="AD12" s="265">
        <f>N(AD11)-N(AD8)</f>
        <v>-73000</v>
      </c>
    </row>
    <row r="13">
      <c r="A13" t="inlineStr">
        <is>
          <t>Imposto de renda (divulgado positivo) [us-gaap:IncomeTaxExpenseBenefit] · fonte · unid. moeda</t>
        </is>
      </c>
      <c r="C13" t="inlineStr">
        <is>
          <t>[linha bruta, sem código; lançada nas linhas abaixo]</t>
        </is>
      </c>
      <c r="D13" s="265" t="n">
        <v>443000</v>
      </c>
      <c r="E13" s="265" t="n">
        <v>603000</v>
      </c>
      <c r="F13" s="265" t="n">
        <v>628000</v>
      </c>
      <c r="G13" s="265" t="n">
        <v>625000</v>
      </c>
      <c r="I13" s="265" t="n">
        <v>824000</v>
      </c>
      <c r="J13" s="265" t="n">
        <v>571000</v>
      </c>
      <c r="K13" s="265" t="n">
        <v>315000</v>
      </c>
      <c r="L13" s="265" t="n">
        <v>557000</v>
      </c>
      <c r="N13" s="265" t="n">
        <v>499000</v>
      </c>
      <c r="O13" s="265" t="n">
        <v>539000</v>
      </c>
      <c r="P13" s="265" t="n">
        <v>508000</v>
      </c>
      <c r="Q13" s="265" t="n">
        <v>724000</v>
      </c>
      <c r="S13" s="265" t="n">
        <v>512000</v>
      </c>
      <c r="T13" s="265" t="n">
        <v>754000</v>
      </c>
      <c r="U13" s="265" t="n">
        <v>737000</v>
      </c>
      <c r="V13" s="265" t="n">
        <v>520000</v>
      </c>
      <c r="X13" s="265" t="n">
        <v>500000</v>
      </c>
      <c r="Y13" s="265" t="n">
        <v>850000</v>
      </c>
      <c r="Z13" s="265" t="n">
        <v>669000</v>
      </c>
      <c r="AA13" s="265" t="n">
        <v>202000</v>
      </c>
      <c r="AC13" s="265" t="n">
        <v>653000</v>
      </c>
      <c r="AD13" s="265" t="n">
        <v>544000</v>
      </c>
    </row>
    <row r="14">
      <c r="A14" t="inlineStr">
        <is>
          <t>(lançamento) código 7, sinal -1 sobre a linha bruta 13: Imposto de renda (divulgado positivo) [us-gaap:IncomeTaxExpenseBenefit]</t>
        </is>
      </c>
      <c r="B14" t="n">
        <v>7</v>
      </c>
      <c r="C14" t="inlineStr">
        <is>
          <t>Taxes</t>
        </is>
      </c>
      <c r="D14" s="265">
        <f>IF(D13="","",-1*D13)</f>
        <v>-443000</v>
      </c>
      <c r="E14" s="265">
        <f>IF(E13="","",-1*E13)</f>
        <v>-603000</v>
      </c>
      <c r="F14" s="265">
        <f>IF(F13="","",-1*F13)</f>
        <v>-628000</v>
      </c>
      <c r="G14" s="265">
        <f>IF(G13="","",-1*G13)</f>
        <v>-625000</v>
      </c>
      <c r="I14" s="265">
        <f>IF(I13="","",-1*I13)</f>
        <v>-824000</v>
      </c>
      <c r="J14" s="265">
        <f>IF(J13="","",-1*J13)</f>
        <v>-571000</v>
      </c>
      <c r="K14" s="265">
        <f>IF(K13="","",-1*K13)</f>
        <v>-315000</v>
      </c>
      <c r="L14" s="265">
        <f>IF(L13="","",-1*L13)</f>
        <v>-557000</v>
      </c>
      <c r="N14" s="265">
        <f>IF(N13="","",-1*N13)</f>
        <v>-499000</v>
      </c>
      <c r="O14" s="265">
        <f>IF(O13="","",-1*O13)</f>
        <v>-539000</v>
      </c>
      <c r="P14" s="265">
        <f>IF(P13="","",-1*P13)</f>
        <v>-508000</v>
      </c>
      <c r="Q14" s="265">
        <f>IF(Q13="","",-1*Q13)</f>
        <v>-724000</v>
      </c>
      <c r="S14" s="265">
        <f>IF(S13="","",-1*S13)</f>
        <v>-512000</v>
      </c>
      <c r="T14" s="265">
        <f>IF(T13="","",-1*T13)</f>
        <v>-754000</v>
      </c>
      <c r="U14" s="265">
        <f>IF(U13="","",-1*U13)</f>
        <v>-737000</v>
      </c>
      <c r="V14" s="265">
        <f>IF(V13="","",-1*V13)</f>
        <v>-520000</v>
      </c>
      <c r="X14" s="265">
        <f>IF(X13="","",-1*X13)</f>
        <v>-500000</v>
      </c>
      <c r="Y14" s="265">
        <f>IF(Y13="","",-1*Y13)</f>
        <v>-850000</v>
      </c>
      <c r="Z14" s="265">
        <f>IF(Z13="","",-1*Z13)</f>
        <v>-669000</v>
      </c>
      <c r="AA14" s="265">
        <f>IF(AA13="","",-1*AA13)</f>
        <v>-202000</v>
      </c>
      <c r="AC14" s="265">
        <f>IF(AC13="","",-1*AC13)</f>
        <v>-653000</v>
      </c>
      <c r="AD14" s="265">
        <f>IF(AD13="","",-1*AD13)</f>
        <v>-544000</v>
      </c>
    </row>
    <row r="15">
      <c r="A15" t="inlineStr">
        <is>
          <t>Lucro atribuído a não controladores (divulgado positivo) [us-gaap:NetIncomeLossAttributableToNoncontrollingInterest] · fonte · unid. moeda</t>
        </is>
      </c>
      <c r="C15" t="inlineStr">
        <is>
          <t>[linha bruta, sem código; lançada nas linhas abaixo]</t>
        </is>
      </c>
      <c r="D15" s="265" t="n">
        <v>-235000</v>
      </c>
      <c r="E15" s="265" t="n">
        <v>248000</v>
      </c>
      <c r="F15" s="265" t="n">
        <v>324000</v>
      </c>
      <c r="G15" s="265" t="n">
        <v>-1866000</v>
      </c>
      <c r="I15" s="265" t="n">
        <v>377000</v>
      </c>
      <c r="J15" s="265" t="n">
        <v>198000</v>
      </c>
      <c r="K15" s="265" t="n">
        <v>156000</v>
      </c>
      <c r="L15" s="265" t="n">
        <v>280000</v>
      </c>
      <c r="N15" s="265" t="n">
        <v>386000</v>
      </c>
      <c r="O15" s="265" t="n">
        <v>388000</v>
      </c>
      <c r="P15" s="265" t="n">
        <v>510000</v>
      </c>
      <c r="Q15" s="265" t="n">
        <v>619000</v>
      </c>
      <c r="S15" s="265" t="n">
        <v>689000</v>
      </c>
      <c r="T15" s="265" t="n">
        <v>664000</v>
      </c>
      <c r="U15" s="265" t="n">
        <v>710000</v>
      </c>
      <c r="V15" s="265" t="n">
        <v>447000</v>
      </c>
      <c r="X15" s="265" t="n">
        <v>441000</v>
      </c>
      <c r="Y15" s="265" t="n">
        <v>775000</v>
      </c>
      <c r="Z15" s="265" t="n">
        <v>573000</v>
      </c>
      <c r="AA15" s="265" t="n">
        <v>159000</v>
      </c>
      <c r="AC15" s="265" t="n">
        <v>506000</v>
      </c>
      <c r="AD15" s="265" t="n">
        <v>407000</v>
      </c>
    </row>
    <row r="16">
      <c r="A16" t="inlineStr">
        <is>
          <t>(lançamento) código 9, sinal -1 sobre a linha bruta 15: Lucro atribuído a não controladores (divulgado positivo) [us-gaap:NetIncomeLossAttributabl</t>
        </is>
      </c>
      <c r="B16" t="n">
        <v>9</v>
      </c>
      <c r="C16" t="inlineStr">
        <is>
          <t>Minority Interest Expense, after tax (enter as - )</t>
        </is>
      </c>
      <c r="D16" s="265">
        <f>IF(D15="","",-1*D15)</f>
        <v>235000</v>
      </c>
      <c r="E16" s="265">
        <f>IF(E15="","",-1*E15)</f>
        <v>-248000</v>
      </c>
      <c r="F16" s="265">
        <f>IF(F15="","",-1*F15)</f>
        <v>-324000</v>
      </c>
      <c r="G16" s="265">
        <f>IF(G15="","",-1*G15)</f>
        <v>1866000</v>
      </c>
      <c r="I16" s="265">
        <f>IF(I15="","",-1*I15)</f>
        <v>-377000</v>
      </c>
      <c r="J16" s="265">
        <f>IF(J15="","",-1*J15)</f>
        <v>-198000</v>
      </c>
      <c r="K16" s="265">
        <f>IF(K15="","",-1*K15)</f>
        <v>-156000</v>
      </c>
      <c r="L16" s="265">
        <f>IF(L15="","",-1*L15)</f>
        <v>-280000</v>
      </c>
      <c r="N16" s="265">
        <f>IF(N15="","",-1*N15)</f>
        <v>-386000</v>
      </c>
      <c r="O16" s="265">
        <f>IF(O15="","",-1*O15)</f>
        <v>-388000</v>
      </c>
      <c r="P16" s="265">
        <f>IF(P15="","",-1*P15)</f>
        <v>-510000</v>
      </c>
      <c r="Q16" s="265">
        <f>IF(Q15="","",-1*Q15)</f>
        <v>-619000</v>
      </c>
      <c r="S16" s="265">
        <f>IF(S15="","",-1*S15)</f>
        <v>-689000</v>
      </c>
      <c r="T16" s="265">
        <f>IF(T15="","",-1*T15)</f>
        <v>-664000</v>
      </c>
      <c r="U16" s="265">
        <f>IF(U15="","",-1*U15)</f>
        <v>-710000</v>
      </c>
      <c r="V16" s="265">
        <f>IF(V15="","",-1*V15)</f>
        <v>-447000</v>
      </c>
      <c r="X16" s="265">
        <f>IF(X15="","",-1*X15)</f>
        <v>-441000</v>
      </c>
      <c r="Y16" s="265">
        <f>IF(Y15="","",-1*Y15)</f>
        <v>-775000</v>
      </c>
      <c r="Z16" s="265">
        <f>IF(Z15="","",-1*Z15)</f>
        <v>-573000</v>
      </c>
      <c r="AA16" s="265">
        <f>IF(AA15="","",-1*AA15)</f>
        <v>-159000</v>
      </c>
      <c r="AC16" s="265">
        <f>IF(AC15="","",-1*AC15)</f>
        <v>-506000</v>
      </c>
      <c r="AD16" s="265">
        <f>IF(AD15="","",-1*AD15)</f>
        <v>-407000</v>
      </c>
    </row>
    <row r="17">
      <c r="A17" t="inlineStr">
        <is>
          <t>Lucro líquido atribuído à companhia [us-gaap:NetIncomeLoss] · memoria · unid. moeda</t>
        </is>
      </c>
      <c r="C17" t="inlineStr">
        <is>
          <t>[linha bruta, sem código; lançada nas linhas abaixo]</t>
        </is>
      </c>
      <c r="D17" s="265" t="n">
        <v>718000</v>
      </c>
      <c r="E17" s="265" t="n">
        <v>1083000</v>
      </c>
      <c r="F17" s="265" t="n">
        <v>1399000</v>
      </c>
      <c r="G17" s="265" t="n">
        <v>1106000</v>
      </c>
      <c r="I17" s="265" t="n">
        <v>1527000</v>
      </c>
      <c r="J17" s="265" t="n">
        <v>840000</v>
      </c>
      <c r="K17" s="265" t="n">
        <v>404000</v>
      </c>
      <c r="L17" s="265" t="n">
        <v>697000</v>
      </c>
      <c r="N17" s="265" t="n">
        <v>663000</v>
      </c>
      <c r="O17" s="265" t="n">
        <v>343000</v>
      </c>
      <c r="P17" s="265" t="n">
        <v>454000</v>
      </c>
      <c r="Q17" s="265" t="n">
        <v>388000</v>
      </c>
      <c r="S17" s="265" t="n">
        <v>473000</v>
      </c>
      <c r="T17" s="265" t="n">
        <v>616000</v>
      </c>
      <c r="U17" s="265" t="n">
        <v>526000</v>
      </c>
      <c r="V17" s="265" t="n">
        <v>274000</v>
      </c>
      <c r="X17" s="265" t="n">
        <v>352000</v>
      </c>
      <c r="Y17" s="265" t="n">
        <v>772000</v>
      </c>
      <c r="Z17" s="265" t="n">
        <v>674000</v>
      </c>
      <c r="AA17" s="265" t="n">
        <v>406000</v>
      </c>
      <c r="AC17" s="265" t="n">
        <v>881000</v>
      </c>
      <c r="AD17" s="265" t="n">
        <v>984000</v>
      </c>
    </row>
    <row r="18">
      <c r="A18" t="inlineStr">
        <is>
          <t>Resultado após IR não classificado acima (equivalência patrimonial, operações descontinuadas): lucro - (LAIR - IR - minoritários); zero quando não há · derivada · unid. moeda</t>
        </is>
      </c>
      <c r="B18" t="n">
        <v>8</v>
      </c>
      <c r="C18" t="inlineStr">
        <is>
          <t>Equity in Income of Affiliates, after tax (enter as +)</t>
        </is>
      </c>
      <c r="D18" s="265">
        <f>N(D17)-(N(D11)-N(D13)-N(D15))</f>
        <v>-472000</v>
      </c>
      <c r="E18" s="265">
        <f>N(E17)-(N(E11)-N(E13)-N(E15))</f>
        <v>6000</v>
      </c>
      <c r="F18" s="265">
        <f>N(F17)-(N(F11)-N(F13)-N(F15))</f>
        <v>-9000</v>
      </c>
      <c r="G18" s="265">
        <f>N(G17)-(N(G11)-N(G13)-N(G15))</f>
        <v>-2108000</v>
      </c>
      <c r="I18" s="265">
        <f>N(I17)-(N(I11)-N(I13)-N(I15))</f>
        <v>15000</v>
      </c>
      <c r="J18" s="265">
        <f>N(J17)-(N(J11)-N(J13)-N(J15))</f>
        <v>10000</v>
      </c>
      <c r="K18" s="265">
        <f>N(K17)-(N(K11)-N(K13)-N(K15))</f>
        <v>8000</v>
      </c>
      <c r="L18" s="265">
        <f>N(L17)-(N(L11)-N(L13)-N(L15))</f>
        <v>-2000</v>
      </c>
      <c r="N18" s="265">
        <f>N(N17)-(N(N11)-N(N13)-N(N15))</f>
        <v>10000</v>
      </c>
      <c r="O18" s="265">
        <f>N(O17)-(N(O11)-N(O13)-N(O15))</f>
        <v>2000</v>
      </c>
      <c r="P18" s="265">
        <f>N(P17)-(N(P11)-N(P13)-N(P15))</f>
        <v>0</v>
      </c>
      <c r="Q18" s="265">
        <f>N(Q17)-(N(Q11)-N(Q13)-N(Q15))</f>
        <v>3000</v>
      </c>
      <c r="S18" s="265">
        <f>N(S17)-(N(S11)-N(S13)-N(S15))</f>
        <v>0</v>
      </c>
      <c r="T18" s="265">
        <f>N(T17)-(N(T11)-N(T13)-N(T15))</f>
        <v>4000</v>
      </c>
      <c r="U18" s="265">
        <f>N(U17)-(N(U11)-N(U13)-N(U15))</f>
        <v>10000</v>
      </c>
      <c r="V18" s="265">
        <f>N(V17)-(N(V11)-N(V13)-N(V15))</f>
        <v>1000</v>
      </c>
      <c r="X18" s="265">
        <f>N(X17)-(N(X11)-N(X13)-N(X15))</f>
        <v>2000</v>
      </c>
      <c r="Y18" s="265">
        <f>N(Y17)-(N(Y11)-N(Y13)-N(Y15))</f>
        <v>6000</v>
      </c>
      <c r="Z18" s="265">
        <f>N(Z17)-(N(Z11)-N(Z13)-N(Z15))</f>
        <v>-8000</v>
      </c>
      <c r="AA18" s="265">
        <f>N(AA17)-(N(AA11)-N(AA13)-N(AA15))</f>
        <v>1000</v>
      </c>
      <c r="AC18" s="265">
        <f>N(AC17)-(N(AC11)-N(AC13)-N(AC15))</f>
        <v>6000</v>
      </c>
      <c r="AD18" s="265">
        <f>N(AD17)-(N(AD11)-N(AD13)-N(AD15))</f>
        <v>5000</v>
      </c>
    </row>
    <row r="19">
      <c r="A19" t="inlineStr">
        <is>
          <t>Lucro líquido (check IS, código 44) · derivada · unid. moeda</t>
        </is>
      </c>
      <c r="B19" t="n">
        <v>44</v>
      </c>
      <c r="C19" t="inlineStr">
        <is>
          <t>Lucro líquido (check IS, código 44)</t>
        </is>
      </c>
      <c r="D19" s="265">
        <f>N(D17)</f>
        <v>718000</v>
      </c>
      <c r="E19" s="265">
        <f>N(E17)</f>
        <v>1083000</v>
      </c>
      <c r="F19" s="265">
        <f>N(F17)</f>
        <v>1399000</v>
      </c>
      <c r="G19" s="265">
        <f>N(G17)</f>
        <v>1106000</v>
      </c>
      <c r="I19" s="265">
        <f>N(I17)</f>
        <v>1527000</v>
      </c>
      <c r="J19" s="265">
        <f>N(J17)</f>
        <v>840000</v>
      </c>
      <c r="K19" s="265">
        <f>N(K17)</f>
        <v>404000</v>
      </c>
      <c r="L19" s="265">
        <f>N(L17)</f>
        <v>697000</v>
      </c>
      <c r="N19" s="265">
        <f>N(N17)</f>
        <v>663000</v>
      </c>
      <c r="O19" s="265">
        <f>N(O17)</f>
        <v>343000</v>
      </c>
      <c r="P19" s="265">
        <f>N(P17)</f>
        <v>454000</v>
      </c>
      <c r="Q19" s="265">
        <f>N(Q17)</f>
        <v>388000</v>
      </c>
      <c r="S19" s="265">
        <f>N(S17)</f>
        <v>473000</v>
      </c>
      <c r="T19" s="265">
        <f>N(T17)</f>
        <v>616000</v>
      </c>
      <c r="U19" s="265">
        <f>N(U17)</f>
        <v>526000</v>
      </c>
      <c r="V19" s="265">
        <f>N(V17)</f>
        <v>274000</v>
      </c>
      <c r="X19" s="265">
        <f>N(X17)</f>
        <v>352000</v>
      </c>
      <c r="Y19" s="265">
        <f>N(Y17)</f>
        <v>772000</v>
      </c>
      <c r="Z19" s="265">
        <f>N(Z17)</f>
        <v>674000</v>
      </c>
      <c r="AA19" s="265">
        <f>N(AA17)</f>
        <v>406000</v>
      </c>
      <c r="AC19" s="265">
        <f>N(AC17)</f>
        <v>881000</v>
      </c>
      <c r="AD19" s="265">
        <f>N(AD17)</f>
        <v>984000</v>
      </c>
    </row>
    <row r="20">
      <c r="A20" t="inlineStr">
        <is>
          <t>DFC - trimestre isolado (desacumulado na extração)</t>
        </is>
      </c>
      <c r="C20" t="inlineStr">
        <is>
          <t>[linha bruta, sem código; lançada nas linhas abaixo]</t>
        </is>
      </c>
      <c r="D20" s="265" t="n"/>
      <c r="E20" s="265" t="n"/>
      <c r="F20" s="265" t="n"/>
      <c r="G20" s="265" t="n"/>
      <c r="I20" s="265" t="n"/>
      <c r="J20" s="265" t="n"/>
      <c r="K20" s="265" t="n"/>
      <c r="L20" s="265" t="n"/>
      <c r="N20" s="265" t="n"/>
      <c r="O20" s="265" t="n"/>
      <c r="P20" s="265" t="n"/>
      <c r="Q20" s="265" t="n"/>
      <c r="S20" s="265" t="n"/>
      <c r="T20" s="265" t="n"/>
      <c r="U20" s="265" t="n"/>
      <c r="V20" s="265" t="n"/>
      <c r="X20" s="265" t="n"/>
      <c r="Y20" s="265" t="n"/>
      <c r="Z20" s="265" t="n"/>
      <c r="AA20" s="265" t="n"/>
      <c r="AC20" s="265" t="n"/>
      <c r="AD20" s="265" t="n"/>
    </row>
    <row r="21">
      <c r="A21" t="inlineStr">
        <is>
          <t>D&amp;A (fluxo de caixa). COD1=4 lança (positivo -&gt; -1); COD2=2 devolve ao custo, onde a companhia apresenta a D&amp;A [us-gaap:DepreciationDepletionAndAmortization/DepreciationAmortizationAndImpairment] · fonte · unid. moeda</t>
        </is>
      </c>
      <c r="C21" t="inlineStr">
        <is>
          <t>[linha bruta, sem código; lançada nas linhas abaixo]</t>
        </is>
      </c>
      <c r="D21" s="265" t="n">
        <v>419000</v>
      </c>
      <c r="E21" s="265" t="n">
        <v>483000</v>
      </c>
      <c r="F21" s="265" t="n">
        <v>528000</v>
      </c>
      <c r="G21" s="265" t="n">
        <v>568000</v>
      </c>
      <c r="I21" s="265" t="n">
        <v>489000</v>
      </c>
      <c r="J21" s="265" t="n">
        <v>507000</v>
      </c>
      <c r="K21" s="265" t="n">
        <v>508000</v>
      </c>
      <c r="L21" s="265" t="n">
        <v>515000</v>
      </c>
      <c r="N21" s="265" t="n">
        <v>399000</v>
      </c>
      <c r="O21" s="265" t="n">
        <v>547000</v>
      </c>
      <c r="P21" s="265" t="n">
        <v>533000</v>
      </c>
      <c r="Q21" s="265" t="n">
        <v>589000</v>
      </c>
      <c r="S21" s="265" t="n">
        <v>595000</v>
      </c>
      <c r="T21" s="265" t="n">
        <v>509000</v>
      </c>
      <c r="U21" s="265" t="n">
        <v>600000</v>
      </c>
      <c r="V21" s="265" t="n">
        <v>537000</v>
      </c>
      <c r="X21" s="265" t="n">
        <v>466000</v>
      </c>
      <c r="Y21" s="265" t="n">
        <v>668000</v>
      </c>
      <c r="Z21" s="265" t="n">
        <v>625000</v>
      </c>
      <c r="AA21" s="265" t="n">
        <v>485000</v>
      </c>
      <c r="AC21" s="265" t="n">
        <v>514000</v>
      </c>
      <c r="AD21" s="265" t="n">
        <v>523000</v>
      </c>
    </row>
    <row r="22">
      <c r="A22" t="inlineStr">
        <is>
          <t>(lançamento) código 4, sinal -1 sobre a linha bruta 21: D&amp;A (fluxo de caixa). COD1=4 lança (positivo -&gt; -1); COD2=2 devolve ao custo, onde a compa</t>
        </is>
      </c>
      <c r="B22" t="n">
        <v>4</v>
      </c>
      <c r="C22" t="inlineStr">
        <is>
          <t>D&amp;A</t>
        </is>
      </c>
      <c r="D22" s="265">
        <f>IF(D21="","",-1*D21)</f>
        <v>-419000</v>
      </c>
      <c r="E22" s="265">
        <f>IF(E21="","",-1*E21)</f>
        <v>-483000</v>
      </c>
      <c r="F22" s="265">
        <f>IF(F21="","",-1*F21)</f>
        <v>-528000</v>
      </c>
      <c r="G22" s="265">
        <f>IF(G21="","",-1*G21)</f>
        <v>-568000</v>
      </c>
      <c r="I22" s="265">
        <f>IF(I21="","",-1*I21)</f>
        <v>-489000</v>
      </c>
      <c r="J22" s="265">
        <f>IF(J21="","",-1*J21)</f>
        <v>-507000</v>
      </c>
      <c r="K22" s="265">
        <f>IF(K21="","",-1*K21)</f>
        <v>-508000</v>
      </c>
      <c r="L22" s="265">
        <f>IF(L21="","",-1*L21)</f>
        <v>-515000</v>
      </c>
      <c r="N22" s="265">
        <f>IF(N21="","",-1*N21)</f>
        <v>-399000</v>
      </c>
      <c r="O22" s="265">
        <f>IF(O21="","",-1*O21)</f>
        <v>-547000</v>
      </c>
      <c r="P22" s="265">
        <f>IF(P21="","",-1*P21)</f>
        <v>-533000</v>
      </c>
      <c r="Q22" s="265">
        <f>IF(Q21="","",-1*Q21)</f>
        <v>-589000</v>
      </c>
      <c r="S22" s="265">
        <f>IF(S21="","",-1*S21)</f>
        <v>-595000</v>
      </c>
      <c r="T22" s="265">
        <f>IF(T21="","",-1*T21)</f>
        <v>-509000</v>
      </c>
      <c r="U22" s="265">
        <f>IF(U21="","",-1*U21)</f>
        <v>-600000</v>
      </c>
      <c r="V22" s="265">
        <f>IF(V21="","",-1*V21)</f>
        <v>-537000</v>
      </c>
      <c r="X22" s="265">
        <f>IF(X21="","",-1*X21)</f>
        <v>-466000</v>
      </c>
      <c r="Y22" s="265">
        <f>IF(Y21="","",-1*Y21)</f>
        <v>-668000</v>
      </c>
      <c r="Z22" s="265">
        <f>IF(Z21="","",-1*Z21)</f>
        <v>-625000</v>
      </c>
      <c r="AA22" s="265">
        <f>IF(AA21="","",-1*AA21)</f>
        <v>-485000</v>
      </c>
      <c r="AC22" s="265">
        <f>IF(AC21="","",-1*AC21)</f>
        <v>-514000</v>
      </c>
      <c r="AD22" s="265">
        <f>IF(AD21="","",-1*AD21)</f>
        <v>-523000</v>
      </c>
    </row>
    <row r="23">
      <c r="A23" t="inlineStr">
        <is>
          <t>(lançamento) código 2, sinal +1 sobre a linha bruta 21: D&amp;A (fluxo de caixa). COD1=4 lança (positivo -&gt; -1); COD2=2 devolve ao custo, onde a compa</t>
        </is>
      </c>
      <c r="B23" t="n">
        <v>2</v>
      </c>
      <c r="C23" t="inlineStr">
        <is>
          <t>COGS (cash)</t>
        </is>
      </c>
      <c r="D23" s="265">
        <f>IF(D21="","",D21)</f>
        <v>419000</v>
      </c>
      <c r="E23" s="265">
        <f>IF(E21="","",E21)</f>
        <v>483000</v>
      </c>
      <c r="F23" s="265">
        <f>IF(F21="","",F21)</f>
        <v>528000</v>
      </c>
      <c r="G23" s="265">
        <f>IF(G21="","",G21)</f>
        <v>568000</v>
      </c>
      <c r="I23" s="265">
        <f>IF(I21="","",I21)</f>
        <v>489000</v>
      </c>
      <c r="J23" s="265">
        <f>IF(J21="","",J21)</f>
        <v>507000</v>
      </c>
      <c r="K23" s="265">
        <f>IF(K21="","",K21)</f>
        <v>508000</v>
      </c>
      <c r="L23" s="265">
        <f>IF(L21="","",L21)</f>
        <v>515000</v>
      </c>
      <c r="N23" s="265">
        <f>IF(N21="","",N21)</f>
        <v>399000</v>
      </c>
      <c r="O23" s="265">
        <f>IF(O21="","",O21)</f>
        <v>547000</v>
      </c>
      <c r="P23" s="265">
        <f>IF(P21="","",P21)</f>
        <v>533000</v>
      </c>
      <c r="Q23" s="265">
        <f>IF(Q21="","",Q21)</f>
        <v>589000</v>
      </c>
      <c r="S23" s="265">
        <f>IF(S21="","",S21)</f>
        <v>595000</v>
      </c>
      <c r="T23" s="265">
        <f>IF(T21="","",T21)</f>
        <v>509000</v>
      </c>
      <c r="U23" s="265">
        <f>IF(U21="","",U21)</f>
        <v>600000</v>
      </c>
      <c r="V23" s="265">
        <f>IF(V21="","",V21)</f>
        <v>537000</v>
      </c>
      <c r="X23" s="265">
        <f>IF(X21="","",X21)</f>
        <v>466000</v>
      </c>
      <c r="Y23" s="265">
        <f>IF(Y21="","",Y21)</f>
        <v>668000</v>
      </c>
      <c r="Z23" s="265">
        <f>IF(Z21="","",Z21)</f>
        <v>625000</v>
      </c>
      <c r="AA23" s="265">
        <f>IF(AA21="","",AA21)</f>
        <v>485000</v>
      </c>
      <c r="AC23" s="265">
        <f>IF(AC21="","",AC21)</f>
        <v>514000</v>
      </c>
      <c r="AD23" s="265">
        <f>IF(AD21="","",AD21)</f>
        <v>523000</v>
      </c>
    </row>
    <row r="24">
      <c r="A24" t="inlineStr">
        <is>
          <t>Dividendos pagos [us-gaap:PaymentsOfDividends] · fonte · unid. moeda</t>
        </is>
      </c>
      <c r="C24" t="inlineStr">
        <is>
          <t>[linha bruta, sem código; lançada nas linhas abaixo]</t>
        </is>
      </c>
      <c r="D24" s="265" t="n">
        <v>0</v>
      </c>
      <c r="E24" s="265" t="n">
        <v>111000</v>
      </c>
      <c r="F24" s="265" t="n">
        <v>109000</v>
      </c>
      <c r="G24" s="265" t="n">
        <v>780000</v>
      </c>
      <c r="I24" s="265" t="n">
        <v>220000</v>
      </c>
      <c r="J24" s="265" t="n">
        <v>218000</v>
      </c>
      <c r="K24" s="265" t="n">
        <v>214000</v>
      </c>
      <c r="L24" s="265" t="n">
        <v>214000</v>
      </c>
      <c r="N24" s="265" t="n">
        <v>217000</v>
      </c>
      <c r="O24" s="265" t="n">
        <v>215000</v>
      </c>
      <c r="P24" s="265" t="n">
        <v>215000</v>
      </c>
      <c r="Q24" s="265" t="n">
        <v>216000</v>
      </c>
      <c r="S24" s="265" t="n">
        <v>218000</v>
      </c>
      <c r="T24" s="265" t="n">
        <v>215000</v>
      </c>
      <c r="U24" s="265" t="n">
        <v>216000</v>
      </c>
      <c r="V24" s="265" t="n">
        <v>216000</v>
      </c>
      <c r="X24" s="265" t="n">
        <v>218000</v>
      </c>
      <c r="Y24" s="265" t="n">
        <v>215000</v>
      </c>
      <c r="Z24" s="265" t="n">
        <v>216000</v>
      </c>
      <c r="AA24" s="265" t="n">
        <v>216000</v>
      </c>
      <c r="AC24" s="265" t="n">
        <v>218000</v>
      </c>
      <c r="AD24" s="265" t="n">
        <v>216000</v>
      </c>
    </row>
    <row r="25">
      <c r="A25" t="inlineStr">
        <is>
          <t>(lançamento) código 10, sinal -1 sobre a linha bruta 24: Dividendos pagos [us-gaap:PaymentsOfDividends]</t>
        </is>
      </c>
      <c r="B25" t="n">
        <v>10</v>
      </c>
      <c r="C25" t="inlineStr">
        <is>
          <t>Common Dividends</t>
        </is>
      </c>
      <c r="D25" s="265">
        <f>IF(D24="","",-1*D24)</f>
        <v>0</v>
      </c>
      <c r="E25" s="265">
        <f>IF(E24="","",-1*E24)</f>
        <v>-111000</v>
      </c>
      <c r="F25" s="265">
        <f>IF(F24="","",-1*F24)</f>
        <v>-109000</v>
      </c>
      <c r="G25" s="265">
        <f>IF(G24="","",-1*G24)</f>
        <v>-780000</v>
      </c>
      <c r="I25" s="265">
        <f>IF(I24="","",-1*I24)</f>
        <v>-220000</v>
      </c>
      <c r="J25" s="265">
        <f>IF(J24="","",-1*J24)</f>
        <v>-218000</v>
      </c>
      <c r="K25" s="265">
        <f>IF(K24="","",-1*K24)</f>
        <v>-214000</v>
      </c>
      <c r="L25" s="265">
        <f>IF(L24="","",-1*L24)</f>
        <v>-214000</v>
      </c>
      <c r="N25" s="265">
        <f>IF(N24="","",-1*N24)</f>
        <v>-217000</v>
      </c>
      <c r="O25" s="265">
        <f>IF(O24="","",-1*O24)</f>
        <v>-215000</v>
      </c>
      <c r="P25" s="265">
        <f>IF(P24="","",-1*P24)</f>
        <v>-215000</v>
      </c>
      <c r="Q25" s="265">
        <f>IF(Q24="","",-1*Q24)</f>
        <v>-216000</v>
      </c>
      <c r="S25" s="265">
        <f>IF(S24="","",-1*S24)</f>
        <v>-218000</v>
      </c>
      <c r="T25" s="265">
        <f>IF(T24="","",-1*T24)</f>
        <v>-215000</v>
      </c>
      <c r="U25" s="265">
        <f>IF(U24="","",-1*U24)</f>
        <v>-216000</v>
      </c>
      <c r="V25" s="265">
        <f>IF(V24="","",-1*V24)</f>
        <v>-216000</v>
      </c>
      <c r="X25" s="265">
        <f>IF(X24="","",-1*X24)</f>
        <v>-218000</v>
      </c>
      <c r="Y25" s="265">
        <f>IF(Y24="","",-1*Y24)</f>
        <v>-215000</v>
      </c>
      <c r="Z25" s="265">
        <f>IF(Z24="","",-1*Z24)</f>
        <v>-216000</v>
      </c>
      <c r="AA25" s="265">
        <f>IF(AA24="","",-1*AA24)</f>
        <v>-216000</v>
      </c>
      <c r="AC25" s="265">
        <f>IF(AC24="","",-1*AC24)</f>
        <v>-218000</v>
      </c>
      <c r="AD25" s="265">
        <f>IF(AD24="","",-1*AD24)</f>
        <v>-216000</v>
      </c>
    </row>
    <row r="26">
      <c r="A26" t="inlineStr">
        <is>
          <t>BALANÇO DE FACE (USD, saldo no fim do trimestre; cada trimestre lido da instância do próprio 10-Q/10-K)</t>
        </is>
      </c>
      <c r="C26" t="inlineStr">
        <is>
          <t>[linha bruta, sem código; lançada nas linhas abaixo]</t>
        </is>
      </c>
      <c r="D26" s="265" t="n"/>
      <c r="E26" s="265" t="n"/>
      <c r="F26" s="265" t="n"/>
      <c r="G26" s="265" t="n"/>
      <c r="I26" s="265" t="n"/>
      <c r="J26" s="265" t="n"/>
      <c r="K26" s="265" t="n"/>
      <c r="L26" s="265" t="n"/>
      <c r="N26" s="265" t="n"/>
      <c r="O26" s="265" t="n"/>
      <c r="P26" s="265" t="n"/>
      <c r="Q26" s="265" t="n"/>
      <c r="S26" s="265" t="n"/>
      <c r="T26" s="265" t="n"/>
      <c r="U26" s="265" t="n"/>
      <c r="V26" s="265" t="n"/>
      <c r="X26" s="265" t="n"/>
      <c r="Y26" s="265" t="n"/>
      <c r="Z26" s="265" t="n"/>
      <c r="AA26" s="265" t="n"/>
      <c r="AC26" s="265" t="n"/>
      <c r="AD26" s="265" t="n"/>
    </row>
    <row r="27">
      <c r="A27" t="inlineStr">
        <is>
          <t>CashAndCashEquivalentsAtCarryingValue · fonte · unid. moeda</t>
        </is>
      </c>
      <c r="B27" t="n">
        <v>11</v>
      </c>
      <c r="C27" t="inlineStr">
        <is>
          <t>Cash and equivalents (inc. investment securities)</t>
        </is>
      </c>
      <c r="D27" s="265" t="n">
        <v>4580000</v>
      </c>
      <c r="E27" s="265" t="n">
        <v>6313000</v>
      </c>
      <c r="F27" s="265" t="n">
        <v>7672000</v>
      </c>
      <c r="G27" s="265" t="n">
        <v>8068000</v>
      </c>
      <c r="I27" s="265" t="n">
        <v>8338000</v>
      </c>
      <c r="J27" s="265" t="n">
        <v>9492000</v>
      </c>
      <c r="K27" s="265" t="n">
        <v>8578000</v>
      </c>
      <c r="L27" s="265" t="n">
        <v>8146000</v>
      </c>
      <c r="N27" s="265" t="n">
        <v>6852000</v>
      </c>
      <c r="O27" s="265" t="n">
        <v>6683000</v>
      </c>
      <c r="P27" s="265" t="n">
        <v>5745000</v>
      </c>
      <c r="Q27" s="265" t="n">
        <v>4758000</v>
      </c>
      <c r="S27" s="265" t="n">
        <v>5208000</v>
      </c>
      <c r="T27" s="265" t="n">
        <v>5273000</v>
      </c>
      <c r="U27" s="265" t="n">
        <v>5000000</v>
      </c>
      <c r="V27" s="265" t="n">
        <v>3923000</v>
      </c>
      <c r="X27" s="265" t="n">
        <v>4385000</v>
      </c>
      <c r="Y27" s="265" t="n">
        <v>4490000</v>
      </c>
      <c r="Z27" s="265" t="n">
        <v>4318000</v>
      </c>
      <c r="AA27" s="265" t="n">
        <v>3824000</v>
      </c>
      <c r="AC27" s="265" t="n">
        <v>3737000</v>
      </c>
      <c r="AD27" s="265" t="n">
        <v>4080000</v>
      </c>
    </row>
    <row r="28">
      <c r="A28" t="inlineStr">
        <is>
          <t>CashCashEquivalentsRestrictedCashAndRestrictedCashEquivalents · fonte · unid. moeda</t>
        </is>
      </c>
      <c r="B28" t="n">
        <v>11</v>
      </c>
      <c r="C28" t="inlineStr">
        <is>
          <t>Cash and equivalents (inc. investment securities)</t>
        </is>
      </c>
      <c r="D28" s="265" t="n">
        <v>0</v>
      </c>
      <c r="E28" s="265" t="n">
        <v>0</v>
      </c>
      <c r="F28" s="265" t="n">
        <v>0</v>
      </c>
      <c r="G28" s="265" t="n">
        <v>8314000</v>
      </c>
      <c r="I28" s="265" t="n">
        <v>0</v>
      </c>
      <c r="J28" s="265" t="n">
        <v>0</v>
      </c>
      <c r="K28" s="265" t="n">
        <v>0</v>
      </c>
      <c r="L28" s="265" t="n">
        <v>8390000</v>
      </c>
      <c r="N28" s="265" t="n">
        <v>0</v>
      </c>
      <c r="O28" s="265" t="n">
        <v>0</v>
      </c>
      <c r="P28" s="265" t="n">
        <v>0</v>
      </c>
      <c r="Q28" s="265" t="n">
        <v>6063000</v>
      </c>
      <c r="S28" s="265" t="n">
        <v>0</v>
      </c>
      <c r="T28" s="265" t="n">
        <v>0</v>
      </c>
      <c r="U28" s="265" t="n">
        <v>0</v>
      </c>
      <c r="V28" s="265" t="n">
        <v>4911000</v>
      </c>
      <c r="X28" s="265" t="n">
        <v>0</v>
      </c>
      <c r="Y28" s="265" t="n">
        <v>0</v>
      </c>
      <c r="Z28" s="265" t="n">
        <v>0</v>
      </c>
      <c r="AA28" s="265" t="n">
        <v>4173000</v>
      </c>
      <c r="AC28" s="265" t="n">
        <v>0</v>
      </c>
      <c r="AD28" s="265" t="n">
        <v>0</v>
      </c>
    </row>
    <row r="29">
      <c r="A29" t="inlineStr">
        <is>
          <t>AccountsReceivableNetCurrent · fonte · unid. moeda</t>
        </is>
      </c>
      <c r="B29" t="n">
        <v>12</v>
      </c>
      <c r="C29" t="inlineStr">
        <is>
          <t>Accounts receivable</t>
        </is>
      </c>
      <c r="D29" s="265" t="n">
        <v>1248000</v>
      </c>
      <c r="E29" s="265" t="n">
        <v>1100000</v>
      </c>
      <c r="F29" s="265" t="n">
        <v>931000</v>
      </c>
      <c r="G29" s="265" t="n">
        <v>1168000</v>
      </c>
      <c r="I29" s="265" t="n">
        <v>1537000</v>
      </c>
      <c r="J29" s="265" t="n">
        <v>977000</v>
      </c>
      <c r="K29" s="265" t="n">
        <v>844000</v>
      </c>
      <c r="L29" s="265" t="n">
        <v>1336000</v>
      </c>
      <c r="N29" s="265" t="n">
        <v>1134000</v>
      </c>
      <c r="O29" s="265" t="n">
        <v>675000</v>
      </c>
      <c r="P29" s="265" t="n">
        <v>792000</v>
      </c>
      <c r="Q29" s="265" t="n">
        <v>1209000</v>
      </c>
      <c r="S29" s="265" t="n">
        <v>1494000</v>
      </c>
      <c r="T29" s="265" t="n">
        <v>1128000</v>
      </c>
      <c r="U29" s="265" t="n">
        <v>979000</v>
      </c>
      <c r="V29" s="265" t="n">
        <v>578000</v>
      </c>
      <c r="X29" s="265" t="n">
        <v>743000</v>
      </c>
      <c r="Y29" s="265" t="n">
        <v>941000</v>
      </c>
      <c r="Z29" s="265" t="n">
        <v>916000</v>
      </c>
      <c r="AA29" s="265" t="n">
        <v>977000</v>
      </c>
      <c r="AC29" s="265" t="n">
        <v>681000</v>
      </c>
      <c r="AD29" s="265" t="n">
        <v>716000</v>
      </c>
    </row>
    <row r="30">
      <c r="A30" t="inlineStr">
        <is>
          <t>IncomeTaxesReceivable · fonte · unid. moeda</t>
        </is>
      </c>
      <c r="B30" t="n">
        <v>16</v>
      </c>
      <c r="C30" t="inlineStr">
        <is>
          <t>Other current assets</t>
        </is>
      </c>
      <c r="D30" s="265" t="n">
        <v>522000</v>
      </c>
      <c r="E30" s="265" t="n">
        <v>578000</v>
      </c>
      <c r="F30" s="265" t="n">
        <v>591000</v>
      </c>
      <c r="G30" s="265" t="n">
        <v>574000</v>
      </c>
      <c r="I30" s="265" t="n">
        <v>444000</v>
      </c>
      <c r="J30" s="265" t="n">
        <v>435000</v>
      </c>
      <c r="K30" s="265" t="n">
        <v>485000</v>
      </c>
      <c r="L30" s="265" t="n">
        <v>459000</v>
      </c>
      <c r="N30" s="265" t="n">
        <v>550000</v>
      </c>
      <c r="O30" s="265" t="n">
        <v>417000</v>
      </c>
      <c r="P30" s="265" t="n">
        <v>488000</v>
      </c>
      <c r="Q30" s="265" t="n">
        <v>455000</v>
      </c>
      <c r="S30" s="265" t="n">
        <v>744000</v>
      </c>
      <c r="T30" s="265" t="n">
        <v>428000</v>
      </c>
      <c r="U30" s="265" t="n">
        <v>0</v>
      </c>
      <c r="V30" s="265" t="n">
        <v>0</v>
      </c>
      <c r="X30" s="265" t="n">
        <v>0</v>
      </c>
      <c r="Y30" s="265" t="n">
        <v>0</v>
      </c>
      <c r="Z30" s="265" t="n">
        <v>0</v>
      </c>
      <c r="AA30" s="265" t="n">
        <v>0</v>
      </c>
      <c r="AC30" s="265" t="n">
        <v>0</v>
      </c>
      <c r="AD30" s="265" t="n">
        <v>0</v>
      </c>
    </row>
    <row r="31">
      <c r="A31" t="inlineStr">
        <is>
          <t>InventoryRawMaterialsAndSuppliesNetOfReserves · fonte · unid. moeda</t>
        </is>
      </c>
      <c r="B31" t="n">
        <v>16</v>
      </c>
      <c r="C31" t="inlineStr">
        <is>
          <t>Other current assets</t>
        </is>
      </c>
      <c r="D31" s="265" t="n">
        <v>1596000</v>
      </c>
      <c r="E31" s="265" t="n">
        <v>1616000</v>
      </c>
      <c r="F31" s="265" t="n">
        <v>1617000</v>
      </c>
      <c r="G31" s="265" t="n">
        <v>1669000</v>
      </c>
      <c r="I31" s="265" t="n">
        <v>1741000</v>
      </c>
      <c r="J31" s="265" t="n">
        <v>1776000</v>
      </c>
      <c r="K31" s="265" t="n">
        <v>1873000</v>
      </c>
      <c r="L31" s="265" t="n">
        <v>1964000</v>
      </c>
      <c r="N31" s="265" t="n">
        <v>2056000</v>
      </c>
      <c r="O31" s="265" t="n">
        <v>2098000</v>
      </c>
      <c r="P31" s="265" t="n">
        <v>2131000</v>
      </c>
      <c r="Q31" s="265" t="n">
        <v>2169000</v>
      </c>
      <c r="S31" s="265" t="n">
        <v>2202000</v>
      </c>
      <c r="T31" s="265" t="n">
        <v>2283000</v>
      </c>
      <c r="U31" s="265" t="n">
        <v>2328000</v>
      </c>
      <c r="V31" s="265" t="n">
        <v>2382000</v>
      </c>
      <c r="X31" s="265" t="n">
        <v>2418000</v>
      </c>
      <c r="Y31" s="265" t="n">
        <v>2516000</v>
      </c>
      <c r="Z31" s="265" t="n">
        <v>2633000</v>
      </c>
      <c r="AA31" s="265" t="n">
        <v>2738000</v>
      </c>
      <c r="AC31" s="265" t="n">
        <v>2865000</v>
      </c>
      <c r="AD31" s="265" t="n">
        <v>2924000</v>
      </c>
    </row>
    <row r="32">
      <c r="A32" t="inlineStr">
        <is>
          <t>InventoryMillandStockpilesonLeachPadsCurrent · fonte · unid. moeda</t>
        </is>
      </c>
      <c r="B32" t="n">
        <v>16</v>
      </c>
      <c r="C32" t="inlineStr">
        <is>
          <t>Other current assets</t>
        </is>
      </c>
      <c r="D32" s="265" t="n">
        <v>1007000</v>
      </c>
      <c r="E32" s="265" t="n">
        <v>1006000</v>
      </c>
      <c r="F32" s="265" t="n">
        <v>1086000</v>
      </c>
      <c r="G32" s="265" t="n">
        <v>1170000</v>
      </c>
      <c r="I32" s="265" t="n">
        <v>1227000</v>
      </c>
      <c r="J32" s="265" t="n">
        <v>1387000</v>
      </c>
      <c r="K32" s="265" t="n">
        <v>1369000</v>
      </c>
      <c r="L32" s="265" t="n">
        <v>1383000</v>
      </c>
      <c r="N32" s="265" t="n">
        <v>1440000</v>
      </c>
      <c r="O32" s="265" t="n">
        <v>1498000</v>
      </c>
      <c r="P32" s="265" t="n">
        <v>1403000</v>
      </c>
      <c r="Q32" s="265" t="n">
        <v>1419000</v>
      </c>
      <c r="S32" s="265" t="n">
        <v>1419000</v>
      </c>
      <c r="T32" s="265" t="n">
        <v>1436000</v>
      </c>
      <c r="U32" s="265" t="n">
        <v>1406000</v>
      </c>
      <c r="V32" s="265" t="n">
        <v>1388000</v>
      </c>
      <c r="X32" s="265" t="n">
        <v>1436000</v>
      </c>
      <c r="Y32" s="265" t="n">
        <v>1477000</v>
      </c>
      <c r="Z32" s="265" t="n">
        <v>1501000</v>
      </c>
      <c r="AA32" s="265" t="n">
        <v>1423000</v>
      </c>
      <c r="AC32" s="265" t="n">
        <v>1513000</v>
      </c>
      <c r="AD32" s="265" t="n">
        <v>1577000</v>
      </c>
    </row>
    <row r="33">
      <c r="A33" t="inlineStr">
        <is>
          <t>Product · fonte · unid. moeda</t>
        </is>
      </c>
      <c r="B33" t="n">
        <v>16</v>
      </c>
      <c r="C33" t="inlineStr">
        <is>
          <t>Other current assets</t>
        </is>
      </c>
      <c r="D33" s="265" t="n">
        <v>1542000</v>
      </c>
      <c r="E33" s="265" t="n">
        <v>1596000</v>
      </c>
      <c r="F33" s="265" t="n">
        <v>1417000</v>
      </c>
      <c r="G33" s="265" t="n">
        <v>1658000</v>
      </c>
      <c r="I33" s="265" t="n">
        <v>1486000</v>
      </c>
      <c r="J33" s="265" t="n">
        <v>1507000</v>
      </c>
      <c r="K33" s="265" t="n">
        <v>1577000</v>
      </c>
      <c r="L33" s="265" t="n">
        <v>1833000</v>
      </c>
      <c r="N33" s="265" t="n">
        <v>2241000</v>
      </c>
      <c r="O33" s="265" t="n">
        <v>2214000</v>
      </c>
      <c r="P33" s="265" t="n">
        <v>2415000</v>
      </c>
      <c r="Q33" s="265" t="n">
        <v>2472000</v>
      </c>
      <c r="S33" s="265" t="n">
        <v>2356000</v>
      </c>
      <c r="T33" s="265" t="n">
        <v>2755000</v>
      </c>
      <c r="U33" s="265" t="n">
        <v>2709000</v>
      </c>
      <c r="V33" s="265" t="n">
        <v>3038000</v>
      </c>
      <c r="X33" s="265" t="n">
        <v>3220000</v>
      </c>
      <c r="Y33" s="265" t="n">
        <v>2961000</v>
      </c>
      <c r="Z33" s="265" t="n">
        <v>2864000</v>
      </c>
      <c r="AA33" s="265" t="n">
        <v>3332000</v>
      </c>
      <c r="AC33" s="265" t="n">
        <v>3042000</v>
      </c>
      <c r="AD33" s="265" t="n">
        <v>3363000</v>
      </c>
    </row>
    <row r="34">
      <c r="A34" t="inlineStr">
        <is>
          <t>OtherAssetsCurrent · fonte · unid. moeda</t>
        </is>
      </c>
      <c r="B34" t="n">
        <v>16</v>
      </c>
      <c r="C34" t="inlineStr">
        <is>
          <t>Other current assets</t>
        </is>
      </c>
      <c r="D34" s="265" t="n">
        <v>361000</v>
      </c>
      <c r="E34" s="265" t="n">
        <v>390000</v>
      </c>
      <c r="F34" s="265" t="n">
        <v>477000</v>
      </c>
      <c r="G34" s="265" t="n">
        <v>523000</v>
      </c>
      <c r="I34" s="265" t="n">
        <v>529000</v>
      </c>
      <c r="J34" s="265" t="n">
        <v>608000</v>
      </c>
      <c r="K34" s="265" t="n">
        <v>647000</v>
      </c>
      <c r="L34" s="265" t="n">
        <v>492000</v>
      </c>
      <c r="N34" s="265" t="n">
        <v>473000</v>
      </c>
      <c r="O34" s="265" t="n">
        <v>472000</v>
      </c>
      <c r="P34" s="265" t="n">
        <v>406000</v>
      </c>
      <c r="Q34" s="265" t="n">
        <v>375000</v>
      </c>
      <c r="S34" s="265" t="n">
        <v>385000</v>
      </c>
      <c r="T34" s="265" t="n">
        <v>389000</v>
      </c>
      <c r="U34" s="265" t="n">
        <v>436000</v>
      </c>
      <c r="V34" s="265" t="n">
        <v>535000</v>
      </c>
      <c r="X34" s="265" t="n">
        <v>575000</v>
      </c>
      <c r="Y34" s="265" t="n">
        <v>547000</v>
      </c>
      <c r="Z34" s="265" t="n">
        <v>554000</v>
      </c>
      <c r="AA34" s="265" t="n">
        <v>580000</v>
      </c>
      <c r="AC34" s="265" t="n">
        <v>609000</v>
      </c>
      <c r="AD34" s="265" t="n">
        <v>573000</v>
      </c>
    </row>
    <row r="35">
      <c r="A35" t="inlineStr">
        <is>
          <t>RestrictedCashAndCashEquivalentsAtCarryingValue · fonte · unid. moeda</t>
        </is>
      </c>
      <c r="B35" t="n">
        <v>16</v>
      </c>
      <c r="C35" t="inlineStr">
        <is>
          <t>Other current assets</t>
        </is>
      </c>
      <c r="D35" s="265" t="n">
        <v>0</v>
      </c>
      <c r="E35" s="265" t="n">
        <v>0</v>
      </c>
      <c r="F35" s="265" t="n">
        <v>0</v>
      </c>
      <c r="G35" s="265" t="n">
        <v>0</v>
      </c>
      <c r="I35" s="265" t="n">
        <v>0</v>
      </c>
      <c r="J35" s="265" t="n">
        <v>0</v>
      </c>
      <c r="K35" s="265" t="n">
        <v>0</v>
      </c>
      <c r="L35" s="265" t="n">
        <v>0</v>
      </c>
      <c r="N35" s="265" t="n">
        <v>0</v>
      </c>
      <c r="O35" s="265" t="n">
        <v>0</v>
      </c>
      <c r="P35" s="265" t="n">
        <v>697000</v>
      </c>
      <c r="Q35" s="265" t="n">
        <v>1208000</v>
      </c>
      <c r="S35" s="265" t="n">
        <v>1034000</v>
      </c>
      <c r="T35" s="265" t="n">
        <v>1030000</v>
      </c>
      <c r="U35" s="265" t="n">
        <v>1117000</v>
      </c>
      <c r="V35" s="265" t="n">
        <v>888000</v>
      </c>
      <c r="X35" s="265" t="n">
        <v>460000</v>
      </c>
      <c r="Y35" s="265" t="n">
        <v>230000</v>
      </c>
      <c r="Z35" s="265" t="n">
        <v>230000</v>
      </c>
      <c r="AA35" s="265" t="n">
        <v>230000</v>
      </c>
      <c r="AC35" s="265" t="n">
        <v>280000</v>
      </c>
      <c r="AD35" s="265" t="n">
        <v>278000</v>
      </c>
    </row>
    <row r="36">
      <c r="A36" t="inlineStr">
        <is>
          <t>ValueAddedTaxReceivableCurrent · fonte · unid. moeda</t>
        </is>
      </c>
      <c r="B36" t="n">
        <v>16</v>
      </c>
      <c r="C36" t="inlineStr">
        <is>
          <t>Other current assets</t>
        </is>
      </c>
      <c r="D36" s="265" t="n">
        <v>0</v>
      </c>
      <c r="E36" s="265" t="n">
        <v>0</v>
      </c>
      <c r="F36" s="265" t="n">
        <v>0</v>
      </c>
      <c r="G36" s="265" t="n">
        <v>0</v>
      </c>
      <c r="I36" s="265" t="n">
        <v>0</v>
      </c>
      <c r="J36" s="265" t="n">
        <v>0</v>
      </c>
      <c r="K36" s="265" t="n">
        <v>0</v>
      </c>
      <c r="L36" s="265" t="n">
        <v>0</v>
      </c>
      <c r="N36" s="265" t="n">
        <v>0</v>
      </c>
      <c r="O36" s="265" t="n">
        <v>0</v>
      </c>
      <c r="P36" s="265" t="n">
        <v>0</v>
      </c>
      <c r="Q36" s="265" t="n">
        <v>0</v>
      </c>
      <c r="S36" s="265" t="n">
        <v>0</v>
      </c>
      <c r="T36" s="265" t="n">
        <v>0</v>
      </c>
      <c r="U36" s="265" t="n">
        <v>570000</v>
      </c>
      <c r="V36" s="265" t="n">
        <v>564000</v>
      </c>
      <c r="X36" s="265" t="n">
        <v>565000</v>
      </c>
      <c r="Y36" s="265" t="n">
        <v>474000</v>
      </c>
      <c r="Z36" s="265" t="n">
        <v>548000</v>
      </c>
      <c r="AA36" s="265" t="n">
        <v>686000</v>
      </c>
      <c r="AC36" s="265" t="n">
        <v>666000</v>
      </c>
      <c r="AD36" s="265" t="n">
        <v>654000</v>
      </c>
    </row>
    <row r="37">
      <c r="A37" t="inlineStr">
        <is>
          <t>InsuranceSettlementsReceivableCurrent · fonte · unid. moeda</t>
        </is>
      </c>
      <c r="B37" t="n">
        <v>16</v>
      </c>
      <c r="C37" t="inlineStr">
        <is>
          <t>Other current assets</t>
        </is>
      </c>
      <c r="D37" s="265" t="n">
        <v>0</v>
      </c>
      <c r="E37" s="265" t="n">
        <v>0</v>
      </c>
      <c r="F37" s="265" t="n">
        <v>0</v>
      </c>
      <c r="G37" s="265" t="n">
        <v>0</v>
      </c>
      <c r="I37" s="265" t="n">
        <v>0</v>
      </c>
      <c r="J37" s="265" t="n">
        <v>0</v>
      </c>
      <c r="K37" s="265" t="n">
        <v>0</v>
      </c>
      <c r="L37" s="265" t="n">
        <v>0</v>
      </c>
      <c r="N37" s="265" t="n">
        <v>0</v>
      </c>
      <c r="O37" s="265" t="n">
        <v>0</v>
      </c>
      <c r="P37" s="265" t="n">
        <v>0</v>
      </c>
      <c r="Q37" s="265" t="n">
        <v>0</v>
      </c>
      <c r="S37" s="265" t="n">
        <v>0</v>
      </c>
      <c r="T37" s="265" t="n">
        <v>0</v>
      </c>
      <c r="U37" s="265" t="n">
        <v>0</v>
      </c>
      <c r="V37" s="265" t="n">
        <v>0</v>
      </c>
      <c r="X37" s="265" t="n">
        <v>0</v>
      </c>
      <c r="Y37" s="265" t="n">
        <v>0</v>
      </c>
      <c r="Z37" s="265" t="n">
        <v>0</v>
      </c>
      <c r="AA37" s="265" t="n">
        <v>0</v>
      </c>
      <c r="AC37" s="265" t="n">
        <v>699000</v>
      </c>
      <c r="AD37" s="265" t="n">
        <v>0</v>
      </c>
    </row>
    <row r="38">
      <c r="A38" t="inlineStr">
        <is>
          <t>PropertyPlantAndEquipmentNet · fonte · unid. moeda</t>
        </is>
      </c>
      <c r="B38" t="n">
        <v>18</v>
      </c>
      <c r="C38" t="inlineStr">
        <is>
          <t>PP&amp;E</t>
        </is>
      </c>
      <c r="D38" s="265" t="n">
        <v>29775000</v>
      </c>
      <c r="E38" s="265" t="n">
        <v>29836000</v>
      </c>
      <c r="F38" s="265" t="n">
        <v>30102000</v>
      </c>
      <c r="G38" s="265" t="n">
        <v>30345000</v>
      </c>
      <c r="I38" s="265" t="n">
        <v>30708000</v>
      </c>
      <c r="J38" s="265" t="n">
        <v>31200000</v>
      </c>
      <c r="K38" s="265" t="n">
        <v>31814000</v>
      </c>
      <c r="L38" s="265" t="n">
        <v>32627000</v>
      </c>
      <c r="N38" s="265" t="n">
        <v>33159000</v>
      </c>
      <c r="O38" s="265" t="n">
        <v>33845000</v>
      </c>
      <c r="P38" s="265" t="n">
        <v>34535000</v>
      </c>
      <c r="Q38" s="265" t="n">
        <v>35295000</v>
      </c>
      <c r="S38" s="265" t="n">
        <v>36197000</v>
      </c>
      <c r="T38" s="265" t="n">
        <v>36784000</v>
      </c>
      <c r="U38" s="265" t="n">
        <v>37750000</v>
      </c>
      <c r="V38" s="265" t="n">
        <v>38514000</v>
      </c>
      <c r="X38" s="265" t="n">
        <v>39200000</v>
      </c>
      <c r="Y38" s="265" t="n">
        <v>39835000</v>
      </c>
      <c r="Z38" s="265" t="n">
        <v>40257000</v>
      </c>
      <c r="AA38" s="265" t="n">
        <v>40736000</v>
      </c>
      <c r="AC38" s="265" t="n">
        <v>41101000</v>
      </c>
      <c r="AD38" s="265" t="n">
        <v>41705000</v>
      </c>
    </row>
    <row r="39">
      <c r="A39" t="inlineStr">
        <is>
          <t>InventoryNoncurrent · fonte · unid. moeda</t>
        </is>
      </c>
      <c r="B39" t="n">
        <v>22</v>
      </c>
      <c r="C39" t="inlineStr">
        <is>
          <t>Other non-current assets</t>
        </is>
      </c>
      <c r="D39" s="265" t="n">
        <v>1475000</v>
      </c>
      <c r="E39" s="265" t="n">
        <v>1473000</v>
      </c>
      <c r="F39" s="265" t="n">
        <v>1450000</v>
      </c>
      <c r="G39" s="265" t="n">
        <v>1387000</v>
      </c>
      <c r="I39" s="265" t="n">
        <v>1377000</v>
      </c>
      <c r="J39" s="265" t="n">
        <v>1230000</v>
      </c>
      <c r="K39" s="265" t="n">
        <v>1194000</v>
      </c>
      <c r="L39" s="265" t="n">
        <v>1252000</v>
      </c>
      <c r="N39" s="265" t="n">
        <v>1235000</v>
      </c>
      <c r="O39" s="265" t="n">
        <v>1241000</v>
      </c>
      <c r="P39" s="265" t="n">
        <v>1327000</v>
      </c>
      <c r="Q39" s="265" t="n">
        <v>1336000</v>
      </c>
      <c r="S39" s="265" t="n">
        <v>1313000</v>
      </c>
      <c r="T39" s="265" t="n">
        <v>1286000</v>
      </c>
      <c r="U39" s="265" t="n">
        <v>1257000</v>
      </c>
      <c r="V39" s="265" t="n">
        <v>1225000</v>
      </c>
      <c r="X39" s="265" t="n">
        <v>1169000</v>
      </c>
      <c r="Y39" s="265" t="n">
        <v>1122000</v>
      </c>
      <c r="Z39" s="265" t="n">
        <v>1091000</v>
      </c>
      <c r="AA39" s="265" t="n">
        <v>1173000</v>
      </c>
      <c r="AC39" s="265" t="n">
        <v>1100000</v>
      </c>
      <c r="AD39" s="265" t="n">
        <v>1074000</v>
      </c>
    </row>
    <row r="40">
      <c r="A40" t="inlineStr">
        <is>
          <t>OtherAssetsNoncurrent · fonte · unid. moeda</t>
        </is>
      </c>
      <c r="B40" t="n">
        <v>22</v>
      </c>
      <c r="C40" t="inlineStr">
        <is>
          <t>Other non-current assets</t>
        </is>
      </c>
      <c r="D40" s="265" t="n">
        <v>1537000</v>
      </c>
      <c r="E40" s="265" t="n">
        <v>1528000</v>
      </c>
      <c r="F40" s="265" t="n">
        <v>1574000</v>
      </c>
      <c r="G40" s="265" t="n">
        <v>1460000</v>
      </c>
      <c r="I40" s="265" t="n">
        <v>1445000</v>
      </c>
      <c r="J40" s="265" t="n">
        <v>1501000</v>
      </c>
      <c r="K40" s="265" t="n">
        <v>1546000</v>
      </c>
      <c r="L40" s="265" t="n">
        <v>1601000</v>
      </c>
      <c r="N40" s="265" t="n">
        <v>1769000</v>
      </c>
      <c r="O40" s="265" t="n">
        <v>1764000</v>
      </c>
      <c r="P40" s="265" t="n">
        <v>1709000</v>
      </c>
      <c r="Q40" s="265" t="n">
        <v>1810000</v>
      </c>
      <c r="S40" s="265" t="n">
        <v>1846000</v>
      </c>
      <c r="T40" s="265" t="n">
        <v>1843000</v>
      </c>
      <c r="U40" s="265" t="n">
        <v>1848000</v>
      </c>
      <c r="V40" s="265" t="n">
        <v>1813000</v>
      </c>
      <c r="X40" s="265" t="n">
        <v>1851000</v>
      </c>
      <c r="Y40" s="265" t="n">
        <v>1899000</v>
      </c>
      <c r="Z40" s="265" t="n">
        <v>1916000</v>
      </c>
      <c r="AA40" s="265" t="n">
        <v>1658000</v>
      </c>
      <c r="AC40" s="265" t="n">
        <v>1715000</v>
      </c>
      <c r="AD40" s="265" t="n">
        <v>1717000</v>
      </c>
    </row>
    <row r="41">
      <c r="A41" t="inlineStr">
        <is>
          <t>IncomeTaxesReceivableNoncurrent · fonte · unid. moeda</t>
        </is>
      </c>
      <c r="B41" t="n">
        <v>22</v>
      </c>
      <c r="C41" t="inlineStr">
        <is>
          <t>Other non-current assets</t>
        </is>
      </c>
      <c r="D41" s="265" t="n">
        <v>0</v>
      </c>
      <c r="E41" s="265" t="n">
        <v>0</v>
      </c>
      <c r="F41" s="265" t="n">
        <v>0</v>
      </c>
      <c r="G41" s="265" t="n">
        <v>0</v>
      </c>
      <c r="I41" s="265" t="n">
        <v>0</v>
      </c>
      <c r="J41" s="265" t="n">
        <v>0</v>
      </c>
      <c r="K41" s="265" t="n">
        <v>0</v>
      </c>
      <c r="L41" s="265" t="n">
        <v>0</v>
      </c>
      <c r="N41" s="265" t="n">
        <v>0</v>
      </c>
      <c r="O41" s="265" t="n">
        <v>0</v>
      </c>
      <c r="P41" s="265" t="n">
        <v>0</v>
      </c>
      <c r="Q41" s="265" t="n">
        <v>0</v>
      </c>
      <c r="S41" s="265" t="n">
        <v>0</v>
      </c>
      <c r="T41" s="265" t="n">
        <v>0</v>
      </c>
      <c r="U41" s="265" t="n">
        <v>0</v>
      </c>
      <c r="V41" s="265" t="n">
        <v>0</v>
      </c>
      <c r="X41" s="265" t="n">
        <v>0</v>
      </c>
      <c r="Y41" s="265" t="n">
        <v>0</v>
      </c>
      <c r="Z41" s="265" t="n">
        <v>0</v>
      </c>
      <c r="AA41" s="265" t="n">
        <v>810000</v>
      </c>
      <c r="AC41" s="265" t="n">
        <v>832000</v>
      </c>
      <c r="AD41" s="265" t="n">
        <v>1066000</v>
      </c>
    </row>
    <row r="42">
      <c r="A42" t="inlineStr">
        <is>
          <t>AccountsPayableAndAccruedLiabilitiesCurrent · fonte · unid. moeda</t>
        </is>
      </c>
      <c r="B42" t="n">
        <v>23</v>
      </c>
      <c r="C42" t="inlineStr">
        <is>
          <t>Accounts payable</t>
        </is>
      </c>
      <c r="D42" s="265" t="n">
        <v>2866000</v>
      </c>
      <c r="E42" s="265" t="n">
        <v>3106000</v>
      </c>
      <c r="F42" s="265" t="n">
        <v>2949000</v>
      </c>
      <c r="G42" s="265" t="n">
        <v>3495000</v>
      </c>
      <c r="I42" s="265" t="n">
        <v>3163000</v>
      </c>
      <c r="J42" s="265" t="n">
        <v>3853000</v>
      </c>
      <c r="K42" s="265" t="n">
        <v>3947000</v>
      </c>
      <c r="L42" s="265" t="n">
        <v>4027000</v>
      </c>
      <c r="N42" s="265" t="n">
        <v>3836000</v>
      </c>
      <c r="O42" s="265" t="n">
        <v>3642000</v>
      </c>
      <c r="P42" s="265" t="n">
        <v>3724000</v>
      </c>
      <c r="Q42" s="265" t="n">
        <v>3729000</v>
      </c>
      <c r="S42" s="265" t="n">
        <v>3672000</v>
      </c>
      <c r="T42" s="265" t="n">
        <v>3910000</v>
      </c>
      <c r="U42" s="265" t="n">
        <v>3824000</v>
      </c>
      <c r="V42" s="265" t="n">
        <v>4057000</v>
      </c>
      <c r="X42" s="265" t="n">
        <v>4078000</v>
      </c>
      <c r="Y42" s="265" t="n">
        <v>4288000</v>
      </c>
      <c r="Z42" s="265" t="n">
        <v>4098000</v>
      </c>
      <c r="AA42" s="265" t="n">
        <v>4565000</v>
      </c>
      <c r="AC42" s="265" t="n">
        <v>4142000</v>
      </c>
      <c r="AD42" s="265" t="n">
        <v>4582000</v>
      </c>
    </row>
    <row r="43">
      <c r="A43" t="inlineStr">
        <is>
          <t>AccruedIncomeTaxesCurrent · fonte · unid. moeda</t>
        </is>
      </c>
      <c r="B43" t="n">
        <v>25</v>
      </c>
      <c r="C43" t="inlineStr">
        <is>
          <t>Taxes payable</t>
        </is>
      </c>
      <c r="D43" s="265" t="n">
        <v>647000</v>
      </c>
      <c r="E43" s="265" t="n">
        <v>919000</v>
      </c>
      <c r="F43" s="265" t="n">
        <v>1237000</v>
      </c>
      <c r="G43" s="265" t="n">
        <v>1541000</v>
      </c>
      <c r="I43" s="265" t="n">
        <v>1392000</v>
      </c>
      <c r="J43" s="265" t="n">
        <v>507000</v>
      </c>
      <c r="K43" s="265" t="n">
        <v>439000</v>
      </c>
      <c r="L43" s="265" t="n">
        <v>744000</v>
      </c>
      <c r="N43" s="265" t="n">
        <v>846000</v>
      </c>
      <c r="O43" s="265" t="n">
        <v>531000</v>
      </c>
      <c r="P43" s="265" t="n">
        <v>489000</v>
      </c>
      <c r="Q43" s="265" t="n">
        <v>786000</v>
      </c>
      <c r="S43" s="265" t="n">
        <v>1322000</v>
      </c>
      <c r="T43" s="265" t="n">
        <v>898000</v>
      </c>
      <c r="U43" s="265" t="n">
        <v>1072000</v>
      </c>
      <c r="V43" s="265" t="n">
        <v>859000</v>
      </c>
      <c r="X43" s="265" t="n">
        <v>857000</v>
      </c>
      <c r="Y43" s="265" t="n">
        <v>389000</v>
      </c>
      <c r="Z43" s="265" t="n">
        <v>528000</v>
      </c>
      <c r="AA43" s="265" t="n">
        <v>456000</v>
      </c>
      <c r="AC43" s="265" t="n">
        <v>725000</v>
      </c>
      <c r="AD43" s="265" t="n">
        <v>509000</v>
      </c>
    </row>
    <row r="44">
      <c r="A44" t="inlineStr">
        <is>
          <t>EnvironmentalAndAssetRetirementObligationsCurrent · fonte · unid. moeda</t>
        </is>
      </c>
      <c r="B44" t="n">
        <v>26</v>
      </c>
      <c r="C44" t="inlineStr">
        <is>
          <t>Other current liabilities (non-debt)</t>
        </is>
      </c>
      <c r="D44" s="265" t="n">
        <v>331000</v>
      </c>
      <c r="E44" s="265" t="n">
        <v>334000</v>
      </c>
      <c r="F44" s="265" t="n">
        <v>329000</v>
      </c>
      <c r="G44" s="265" t="n">
        <v>264000</v>
      </c>
      <c r="I44" s="265" t="n">
        <v>316000</v>
      </c>
      <c r="J44" s="265" t="n">
        <v>317000</v>
      </c>
      <c r="K44" s="265" t="n">
        <v>365000</v>
      </c>
      <c r="L44" s="265" t="n">
        <v>320000</v>
      </c>
      <c r="N44" s="265" t="n">
        <v>333000</v>
      </c>
      <c r="O44" s="265" t="n">
        <v>361000</v>
      </c>
      <c r="P44" s="265" t="n">
        <v>395000</v>
      </c>
      <c r="Q44" s="265" t="n">
        <v>316000</v>
      </c>
      <c r="S44" s="265" t="n">
        <v>325000</v>
      </c>
      <c r="T44" s="265" t="n">
        <v>342000</v>
      </c>
      <c r="U44" s="265" t="n">
        <v>364000</v>
      </c>
      <c r="V44" s="265" t="n">
        <v>320000</v>
      </c>
      <c r="X44" s="265" t="n">
        <v>296000</v>
      </c>
      <c r="Y44" s="265" t="n">
        <v>298000</v>
      </c>
      <c r="Z44" s="265" t="n">
        <v>299000</v>
      </c>
      <c r="AA44" s="265" t="n">
        <v>313000</v>
      </c>
      <c r="AC44" s="265" t="n">
        <v>323000</v>
      </c>
      <c r="AD44" s="265" t="n">
        <v>327000</v>
      </c>
    </row>
    <row r="45">
      <c r="A45" t="inlineStr">
        <is>
          <t>DividendsPayableCurrent · fonte · unid. moeda</t>
        </is>
      </c>
      <c r="B45" t="n">
        <v>26</v>
      </c>
      <c r="C45" t="inlineStr">
        <is>
          <t>Other current liabilities (non-debt)</t>
        </is>
      </c>
      <c r="D45" s="265" t="n">
        <v>111000</v>
      </c>
      <c r="E45" s="265" t="n">
        <v>111000</v>
      </c>
      <c r="F45" s="265" t="n">
        <v>111000</v>
      </c>
      <c r="G45" s="265" t="n">
        <v>220000</v>
      </c>
      <c r="I45" s="265" t="n">
        <v>218000</v>
      </c>
      <c r="J45" s="265" t="n">
        <v>217000</v>
      </c>
      <c r="K45" s="265" t="n">
        <v>216000</v>
      </c>
      <c r="L45" s="265" t="n">
        <v>217000</v>
      </c>
      <c r="N45" s="265" t="n">
        <v>217000</v>
      </c>
      <c r="O45" s="265" t="n">
        <v>217000</v>
      </c>
      <c r="P45" s="265" t="n">
        <v>217000</v>
      </c>
      <c r="Q45" s="265" t="n">
        <v>218000</v>
      </c>
      <c r="S45" s="265" t="n">
        <v>217000</v>
      </c>
      <c r="T45" s="265" t="n">
        <v>218000</v>
      </c>
      <c r="U45" s="265" t="n">
        <v>218000</v>
      </c>
      <c r="V45" s="265" t="n">
        <v>219000</v>
      </c>
      <c r="X45" s="265" t="n">
        <v>217000</v>
      </c>
      <c r="Y45" s="265" t="n">
        <v>218000</v>
      </c>
      <c r="Z45" s="265" t="n">
        <v>218000</v>
      </c>
      <c r="AA45" s="265" t="n">
        <v>219000</v>
      </c>
      <c r="AC45" s="265" t="n">
        <v>217000</v>
      </c>
      <c r="AD45" s="265" t="n">
        <v>218000</v>
      </c>
    </row>
    <row r="46">
      <c r="A46" t="inlineStr">
        <is>
          <t>LongTermDebtCurrent · fonte · unid. moeda</t>
        </is>
      </c>
      <c r="B46" t="n">
        <v>27</v>
      </c>
      <c r="C46" t="inlineStr">
        <is>
          <t>Current portion of long-term debt</t>
        </is>
      </c>
      <c r="D46" s="265" t="n">
        <v>656000</v>
      </c>
      <c r="E46" s="265" t="n">
        <v>1057000</v>
      </c>
      <c r="F46" s="265" t="n">
        <v>897000</v>
      </c>
      <c r="G46" s="265" t="n">
        <v>372000</v>
      </c>
      <c r="I46" s="265" t="n">
        <v>1365000</v>
      </c>
      <c r="J46" s="265" t="n">
        <v>1038000</v>
      </c>
      <c r="K46" s="265" t="n">
        <v>1032000</v>
      </c>
      <c r="L46" s="265" t="n">
        <v>1037000</v>
      </c>
      <c r="N46" s="265" t="n">
        <v>49000</v>
      </c>
      <c r="O46" s="265" t="n">
        <v>37000</v>
      </c>
      <c r="P46" s="265" t="n">
        <v>35000</v>
      </c>
      <c r="Q46" s="265" t="n">
        <v>766000</v>
      </c>
      <c r="S46" s="265" t="n">
        <v>769000</v>
      </c>
      <c r="T46" s="265" t="n">
        <v>768000</v>
      </c>
      <c r="U46" s="265" t="n">
        <v>769000</v>
      </c>
      <c r="V46" s="265" t="n">
        <v>41000</v>
      </c>
      <c r="X46" s="265" t="n">
        <v>495000</v>
      </c>
      <c r="Y46" s="265" t="n">
        <v>338000</v>
      </c>
      <c r="Z46" s="265" t="n">
        <v>383000</v>
      </c>
      <c r="AA46" s="265" t="n">
        <v>466000</v>
      </c>
      <c r="AC46" s="265" t="n">
        <v>500000</v>
      </c>
      <c r="AD46" s="265" t="n">
        <v>1220000</v>
      </c>
    </row>
    <row r="47">
      <c r="A47" t="inlineStr">
        <is>
          <t>LongTermDebtNoncurrent · fonte · unid. moeda</t>
        </is>
      </c>
      <c r="B47" t="n">
        <v>30</v>
      </c>
      <c r="C47" t="inlineStr">
        <is>
          <t>Long term debt</t>
        </is>
      </c>
      <c r="D47" s="265" t="n">
        <v>9153000</v>
      </c>
      <c r="E47" s="265" t="n">
        <v>8638000</v>
      </c>
      <c r="F47" s="265" t="n">
        <v>8768000</v>
      </c>
      <c r="G47" s="265" t="n">
        <v>9078000</v>
      </c>
      <c r="I47" s="265" t="n">
        <v>8256000</v>
      </c>
      <c r="J47" s="265" t="n">
        <v>10054000</v>
      </c>
      <c r="K47" s="265" t="n">
        <v>9658000</v>
      </c>
      <c r="L47" s="265" t="n">
        <v>9583000</v>
      </c>
      <c r="N47" s="265" t="n">
        <v>9586000</v>
      </c>
      <c r="O47" s="265" t="n">
        <v>9458000</v>
      </c>
      <c r="P47" s="265" t="n">
        <v>9370000</v>
      </c>
      <c r="Q47" s="265" t="n">
        <v>8656000</v>
      </c>
      <c r="S47" s="265" t="n">
        <v>8656000</v>
      </c>
      <c r="T47" s="265" t="n">
        <v>8658000</v>
      </c>
      <c r="U47" s="265" t="n">
        <v>8910000</v>
      </c>
      <c r="V47" s="265" t="n">
        <v>8907000</v>
      </c>
      <c r="X47" s="265" t="n">
        <v>8909000</v>
      </c>
      <c r="Y47" s="265" t="n">
        <v>8913000</v>
      </c>
      <c r="Z47" s="265" t="n">
        <v>8915000</v>
      </c>
      <c r="AA47" s="265" t="n">
        <v>8913000</v>
      </c>
      <c r="AC47" s="265" t="n">
        <v>8914000</v>
      </c>
      <c r="AD47" s="265" t="n">
        <v>8166000</v>
      </c>
    </row>
    <row r="48">
      <c r="A48" t="inlineStr">
        <is>
          <t>OperatingLeaseLiabilityNoncurrent · fonte · unid. moeda</t>
        </is>
      </c>
      <c r="B48" t="n">
        <v>31</v>
      </c>
      <c r="C48" t="inlineStr">
        <is>
          <t>Long term operating leases</t>
        </is>
      </c>
      <c r="D48" s="265" t="n">
        <v>0</v>
      </c>
      <c r="E48" s="265" t="n">
        <v>0</v>
      </c>
      <c r="F48" s="265" t="n">
        <v>0</v>
      </c>
      <c r="G48" s="265" t="n">
        <v>0</v>
      </c>
      <c r="I48" s="265" t="n">
        <v>0</v>
      </c>
      <c r="J48" s="265" t="n">
        <v>0</v>
      </c>
      <c r="K48" s="265" t="n">
        <v>0</v>
      </c>
      <c r="L48" s="265" t="n">
        <v>0</v>
      </c>
      <c r="N48" s="265" t="n">
        <v>0</v>
      </c>
      <c r="O48" s="265" t="n">
        <v>0</v>
      </c>
      <c r="P48" s="265" t="n">
        <v>0</v>
      </c>
      <c r="Q48" s="265" t="n">
        <v>0</v>
      </c>
      <c r="S48" s="265" t="n">
        <v>0</v>
      </c>
      <c r="T48" s="265" t="n">
        <v>0</v>
      </c>
      <c r="U48" s="265" t="n">
        <v>0</v>
      </c>
      <c r="V48" s="265" t="n">
        <v>0</v>
      </c>
      <c r="X48" s="265" t="n">
        <v>0</v>
      </c>
      <c r="Y48" s="265" t="n">
        <v>0</v>
      </c>
      <c r="Z48" s="265" t="n">
        <v>0</v>
      </c>
      <c r="AA48" s="265" t="n">
        <v>1010000</v>
      </c>
      <c r="AC48" s="265" t="n">
        <v>987000</v>
      </c>
      <c r="AD48" s="265" t="n">
        <v>973000</v>
      </c>
    </row>
    <row r="49">
      <c r="A49" t="inlineStr">
        <is>
          <t>DeferredIncomeTaxLiabilitiesNet · fonte · unid. moeda</t>
        </is>
      </c>
      <c r="B49" t="n">
        <v>33</v>
      </c>
      <c r="C49" t="inlineStr">
        <is>
          <t>Deferred income taxes</t>
        </is>
      </c>
      <c r="D49" s="265" t="n">
        <v>4446000</v>
      </c>
      <c r="E49" s="265" t="n">
        <v>4486000</v>
      </c>
      <c r="F49" s="265" t="n">
        <v>4500000</v>
      </c>
      <c r="G49" s="265" t="n">
        <v>4234000</v>
      </c>
      <c r="I49" s="265" t="n">
        <v>4282000</v>
      </c>
      <c r="J49" s="265" t="n">
        <v>4297000</v>
      </c>
      <c r="K49" s="265" t="n">
        <v>4316000</v>
      </c>
      <c r="L49" s="265" t="n">
        <v>4269000</v>
      </c>
      <c r="N49" s="265" t="n">
        <v>4305000</v>
      </c>
      <c r="O49" s="265" t="n">
        <v>4343000</v>
      </c>
      <c r="P49" s="265" t="n">
        <v>4399000</v>
      </c>
      <c r="Q49" s="265" t="n">
        <v>4453000</v>
      </c>
      <c r="S49" s="265" t="n">
        <v>4500000</v>
      </c>
      <c r="T49" s="265" t="n">
        <v>4491000</v>
      </c>
      <c r="U49" s="265" t="n">
        <v>4492000</v>
      </c>
      <c r="V49" s="265" t="n">
        <v>4376000</v>
      </c>
      <c r="X49" s="265" t="n">
        <v>4402000</v>
      </c>
      <c r="Y49" s="265" t="n">
        <v>4410000</v>
      </c>
      <c r="Z49" s="265" t="n">
        <v>4359000</v>
      </c>
      <c r="AA49" s="265" t="n">
        <v>4622000</v>
      </c>
      <c r="AC49" s="265" t="n">
        <v>4641000</v>
      </c>
      <c r="AD49" s="265" t="n">
        <v>4658000</v>
      </c>
    </row>
    <row r="50">
      <c r="A50" t="inlineStr">
        <is>
          <t>EnvironmentalAndAssetRetirementObligationsNoncurrent · fonte · unid. moeda</t>
        </is>
      </c>
      <c r="B50" t="n">
        <v>34</v>
      </c>
      <c r="C50" t="inlineStr">
        <is>
          <t>Other non-current liabilities</t>
        </is>
      </c>
      <c r="D50" s="265" t="n">
        <v>3720000</v>
      </c>
      <c r="E50" s="265" t="n">
        <v>3721000</v>
      </c>
      <c r="F50" s="265" t="n">
        <v>3688000</v>
      </c>
      <c r="G50" s="265" t="n">
        <v>4116000</v>
      </c>
      <c r="I50" s="265" t="n">
        <v>4145000</v>
      </c>
      <c r="J50" s="265" t="n">
        <v>4170000</v>
      </c>
      <c r="K50" s="265" t="n">
        <v>4223000</v>
      </c>
      <c r="L50" s="265" t="n">
        <v>4463000</v>
      </c>
      <c r="N50" s="265" t="n">
        <v>4493000</v>
      </c>
      <c r="O50" s="265" t="n">
        <v>4566000</v>
      </c>
      <c r="P50" s="265" t="n">
        <v>4645000</v>
      </c>
      <c r="Q50" s="265" t="n">
        <v>4624000</v>
      </c>
      <c r="S50" s="265" t="n">
        <v>5059000</v>
      </c>
      <c r="T50" s="265" t="n">
        <v>5083000</v>
      </c>
      <c r="U50" s="265" t="n">
        <v>5103000</v>
      </c>
      <c r="V50" s="265" t="n">
        <v>5404000</v>
      </c>
      <c r="X50" s="265" t="n">
        <v>5428000</v>
      </c>
      <c r="Y50" s="265" t="n">
        <v>5463000</v>
      </c>
      <c r="Z50" s="265" t="n">
        <v>5457000</v>
      </c>
      <c r="AA50" s="265" t="n">
        <v>5541000</v>
      </c>
      <c r="AC50" s="265" t="n">
        <v>5592000</v>
      </c>
      <c r="AD50" s="265" t="n">
        <v>5616000</v>
      </c>
    </row>
    <row r="51">
      <c r="A51" t="inlineStr">
        <is>
          <t>OtherLiabilitiesNoncurrent · fonte · unid. moeda</t>
        </is>
      </c>
      <c r="B51" t="n">
        <v>34</v>
      </c>
      <c r="C51" t="inlineStr">
        <is>
          <t>Other non-current liabilities</t>
        </is>
      </c>
      <c r="D51" s="265" t="n">
        <v>2140000</v>
      </c>
      <c r="E51" s="265" t="n">
        <v>2129000</v>
      </c>
      <c r="F51" s="265" t="n">
        <v>1907000</v>
      </c>
      <c r="G51" s="265" t="n">
        <v>1683000</v>
      </c>
      <c r="I51" s="265" t="n">
        <v>1653000</v>
      </c>
      <c r="J51" s="265" t="n">
        <v>1613000</v>
      </c>
      <c r="K51" s="265" t="n">
        <v>1550000</v>
      </c>
      <c r="L51" s="265" t="n">
        <v>1562000</v>
      </c>
      <c r="N51" s="265" t="n">
        <v>1596000</v>
      </c>
      <c r="O51" s="265" t="n">
        <v>1725000</v>
      </c>
      <c r="P51" s="265" t="n">
        <v>1697000</v>
      </c>
      <c r="Q51" s="265" t="n">
        <v>1648000</v>
      </c>
      <c r="S51" s="265" t="n">
        <v>1573000</v>
      </c>
      <c r="T51" s="265" t="n">
        <v>1581000</v>
      </c>
      <c r="U51" s="265" t="n">
        <v>1782000</v>
      </c>
      <c r="V51" s="265" t="n">
        <v>1887000</v>
      </c>
      <c r="X51" s="265" t="n">
        <v>2126000</v>
      </c>
      <c r="Y51" s="265" t="n">
        <v>2179000</v>
      </c>
      <c r="Z51" s="265" t="n">
        <v>2174000</v>
      </c>
      <c r="AA51" s="265" t="n">
        <v>1296000</v>
      </c>
      <c r="AC51" s="265" t="n">
        <v>1288000</v>
      </c>
      <c r="AD51" s="265" t="n">
        <v>1236000</v>
      </c>
    </row>
    <row r="52">
      <c r="A52" t="inlineStr">
        <is>
          <t>MinorityInterest · fonte · unid. moeda</t>
        </is>
      </c>
      <c r="B52" t="n">
        <v>35</v>
      </c>
      <c r="C52" t="inlineStr">
        <is>
          <t>Minority interest</t>
        </is>
      </c>
      <c r="D52" s="265" t="n">
        <v>8653000</v>
      </c>
      <c r="E52" s="265" t="n">
        <v>8924000</v>
      </c>
      <c r="F52" s="265" t="n">
        <v>9178000</v>
      </c>
      <c r="G52" s="265" t="n">
        <v>9039000</v>
      </c>
      <c r="I52" s="265" t="n">
        <v>9176000</v>
      </c>
      <c r="J52" s="265" t="n">
        <v>9158000</v>
      </c>
      <c r="K52" s="265" t="n">
        <v>9227000</v>
      </c>
      <c r="L52" s="265" t="n">
        <v>9316000</v>
      </c>
      <c r="N52" s="265" t="n">
        <v>9591000</v>
      </c>
      <c r="O52" s="265" t="n">
        <v>9825000</v>
      </c>
      <c r="P52" s="265" t="n">
        <v>10218000</v>
      </c>
      <c r="Q52" s="265" t="n">
        <v>10617000</v>
      </c>
      <c r="S52" s="265" t="n">
        <v>11132000</v>
      </c>
      <c r="T52" s="265" t="n">
        <v>11282000</v>
      </c>
      <c r="U52" s="265" t="n">
        <v>11318000</v>
      </c>
      <c r="V52" s="265" t="n">
        <v>11197000</v>
      </c>
      <c r="X52" s="265" t="n">
        <v>11526000</v>
      </c>
      <c r="Y52" s="265" t="n">
        <v>11788000</v>
      </c>
      <c r="Z52" s="265" t="n">
        <v>11712000</v>
      </c>
      <c r="AA52" s="265" t="n">
        <v>11867000</v>
      </c>
      <c r="AC52" s="265" t="n">
        <v>12006000</v>
      </c>
      <c r="AD52" s="265" t="n">
        <v>12113000</v>
      </c>
    </row>
    <row r="53">
      <c r="A53" t="inlineStr">
        <is>
          <t>CommonStockValue · fonte · unid. moeda</t>
        </is>
      </c>
      <c r="B53" t="n">
        <v>37</v>
      </c>
      <c r="C53" t="inlineStr">
        <is>
          <t>Common Stock and APIC</t>
        </is>
      </c>
      <c r="D53" s="265" t="n">
        <v>160000</v>
      </c>
      <c r="E53" s="265" t="n">
        <v>160000</v>
      </c>
      <c r="F53" s="265" t="n">
        <v>160000</v>
      </c>
      <c r="G53" s="265" t="n">
        <v>160000</v>
      </c>
      <c r="I53" s="265" t="n">
        <v>161000</v>
      </c>
      <c r="J53" s="265" t="n">
        <v>161000</v>
      </c>
      <c r="K53" s="265" t="n">
        <v>161000</v>
      </c>
      <c r="L53" s="265" t="n">
        <v>161000</v>
      </c>
      <c r="N53" s="265" t="n">
        <v>162000</v>
      </c>
      <c r="O53" s="265" t="n">
        <v>162000</v>
      </c>
      <c r="P53" s="265" t="n">
        <v>162000</v>
      </c>
      <c r="Q53" s="265" t="n">
        <v>162000</v>
      </c>
      <c r="S53" s="265" t="n">
        <v>162000</v>
      </c>
      <c r="T53" s="265" t="n">
        <v>162000</v>
      </c>
      <c r="U53" s="265" t="n">
        <v>162000</v>
      </c>
      <c r="V53" s="265" t="n">
        <v>162000</v>
      </c>
      <c r="X53" s="265" t="n">
        <v>163000</v>
      </c>
      <c r="Y53" s="265" t="n">
        <v>163000</v>
      </c>
      <c r="Z53" s="265" t="n">
        <v>163000</v>
      </c>
      <c r="AA53" s="265" t="n">
        <v>163000</v>
      </c>
      <c r="AC53" s="265" t="n">
        <v>163000</v>
      </c>
      <c r="AD53" s="265" t="n">
        <v>163000</v>
      </c>
    </row>
    <row r="54">
      <c r="A54" t="inlineStr">
        <is>
          <t>AdditionalPaidInCapital · fonte · unid. moeda</t>
        </is>
      </c>
      <c r="B54" t="n">
        <v>37</v>
      </c>
      <c r="C54" t="inlineStr">
        <is>
          <t>Common Stock and APIC</t>
        </is>
      </c>
      <c r="D54" s="265" t="n">
        <v>26080000</v>
      </c>
      <c r="E54" s="265" t="n">
        <v>26084000</v>
      </c>
      <c r="F54" s="265" t="n">
        <v>26023000</v>
      </c>
      <c r="G54" s="265" t="n">
        <v>25875000</v>
      </c>
      <c r="I54" s="265" t="n">
        <v>25835000</v>
      </c>
      <c r="J54" s="265" t="n">
        <v>25661000</v>
      </c>
      <c r="K54" s="265" t="n">
        <v>25483000</v>
      </c>
      <c r="L54" s="265" t="n">
        <v>25322000</v>
      </c>
      <c r="N54" s="265" t="n">
        <v>25227000</v>
      </c>
      <c r="O54" s="265" t="n">
        <v>25028000</v>
      </c>
      <c r="P54" s="265" t="n">
        <v>24833000</v>
      </c>
      <c r="Q54" s="265" t="n">
        <v>24637000</v>
      </c>
      <c r="S54" s="265" t="n">
        <v>24488000</v>
      </c>
      <c r="T54" s="265" t="n">
        <v>24321000</v>
      </c>
      <c r="U54" s="265" t="n">
        <v>23997000</v>
      </c>
      <c r="V54" s="265" t="n">
        <v>23797000</v>
      </c>
      <c r="X54" s="265" t="n">
        <v>23627000</v>
      </c>
      <c r="Y54" s="265" t="n">
        <v>23642000</v>
      </c>
      <c r="Z54" s="265" t="n">
        <v>23660000</v>
      </c>
      <c r="AA54" s="265" t="n">
        <v>23680000</v>
      </c>
      <c r="AC54" s="265" t="n">
        <v>23713000</v>
      </c>
      <c r="AD54" s="265" t="n">
        <v>23659000</v>
      </c>
    </row>
    <row r="55">
      <c r="A55" t="inlineStr">
        <is>
          <t>TreasuryStockValue (divulgado positivo, lançado negativo) · fonte · unid. moeda</t>
        </is>
      </c>
      <c r="B55" t="n">
        <v>38</v>
      </c>
      <c r="C55" t="inlineStr">
        <is>
          <t>Treasury stock (contra account)</t>
        </is>
      </c>
      <c r="D55" s="265" t="n">
        <v>-3777000</v>
      </c>
      <c r="E55" s="265" t="n">
        <v>-3777000</v>
      </c>
      <c r="F55" s="265" t="n">
        <v>-3777000</v>
      </c>
      <c r="G55" s="265" t="n">
        <v>-4292000</v>
      </c>
      <c r="I55" s="265" t="n">
        <v>-4895000</v>
      </c>
      <c r="J55" s="265" t="n">
        <v>-5539000</v>
      </c>
      <c r="K55" s="265" t="n">
        <v>-5701000</v>
      </c>
      <c r="L55" s="265" t="n">
        <v>-5701000</v>
      </c>
      <c r="N55" s="265" t="n">
        <v>-5769000</v>
      </c>
      <c r="O55" s="265" t="n">
        <v>-5769000</v>
      </c>
      <c r="P55" s="265" t="n">
        <v>-5772000</v>
      </c>
      <c r="Q55" s="265" t="n">
        <v>-5773000</v>
      </c>
      <c r="S55" s="265" t="n">
        <v>-5817000</v>
      </c>
      <c r="T55" s="265" t="n">
        <v>-5835000</v>
      </c>
      <c r="U55" s="265" t="n">
        <v>-5894000</v>
      </c>
      <c r="V55" s="265" t="n">
        <v>-5894000</v>
      </c>
      <c r="X55" s="265" t="n">
        <v>-5971000</v>
      </c>
      <c r="Y55" s="265" t="n">
        <v>-6024000</v>
      </c>
      <c r="Z55" s="265" t="n">
        <v>-6024000</v>
      </c>
      <c r="AA55" s="265" t="n">
        <v>-6024000</v>
      </c>
      <c r="AC55" s="265" t="n">
        <v>-6117000</v>
      </c>
      <c r="AD55" s="265" t="n">
        <v>-6227000</v>
      </c>
    </row>
    <row r="56">
      <c r="A56" t="inlineStr">
        <is>
          <t>AccumulatedOtherComprehensiveIncomeLossNetOfTax · fonte · unid. moeda</t>
        </is>
      </c>
      <c r="B56" t="n">
        <v>39</v>
      </c>
      <c r="C56" t="inlineStr">
        <is>
          <t>Comprehensive (accumulated) loss</t>
        </is>
      </c>
      <c r="D56" s="265" t="n">
        <v>-580000</v>
      </c>
      <c r="E56" s="265" t="n">
        <v>-576000</v>
      </c>
      <c r="F56" s="265" t="n">
        <v>-572000</v>
      </c>
      <c r="G56" s="265" t="n">
        <v>-388000</v>
      </c>
      <c r="I56" s="265" t="n">
        <v>-387000</v>
      </c>
      <c r="J56" s="265" t="n">
        <v>-386000</v>
      </c>
      <c r="K56" s="265" t="n">
        <v>-385000</v>
      </c>
      <c r="L56" s="265" t="n">
        <v>-320000</v>
      </c>
      <c r="N56" s="265" t="n">
        <v>-319000</v>
      </c>
      <c r="O56" s="265" t="n">
        <v>-318000</v>
      </c>
      <c r="P56" s="265" t="n">
        <v>-317000</v>
      </c>
      <c r="Q56" s="265" t="n">
        <v>-274000</v>
      </c>
      <c r="S56" s="265" t="n">
        <v>-274000</v>
      </c>
      <c r="T56" s="265" t="n">
        <v>-274000</v>
      </c>
      <c r="U56" s="265" t="n">
        <v>-273000</v>
      </c>
      <c r="V56" s="265" t="n">
        <v>-314000</v>
      </c>
      <c r="X56" s="265" t="n">
        <v>-313000</v>
      </c>
      <c r="Y56" s="265" t="n">
        <v>-311000</v>
      </c>
      <c r="Z56" s="265" t="n">
        <v>-310000</v>
      </c>
      <c r="AA56" s="265" t="n">
        <v>-305000</v>
      </c>
      <c r="AC56" s="265" t="n">
        <v>-304000</v>
      </c>
      <c r="AD56" s="265" t="n">
        <v>-303000</v>
      </c>
    </row>
    <row r="57">
      <c r="A57" t="inlineStr">
        <is>
          <t>RetainedEarningsAccumulatedDeficit · fonte · unid. moeda</t>
        </is>
      </c>
      <c r="B57" t="n">
        <v>41</v>
      </c>
      <c r="C57" t="inlineStr">
        <is>
          <t>Retained earnings</t>
        </is>
      </c>
      <c r="D57" s="265" t="n">
        <v>-10963000</v>
      </c>
      <c r="E57" s="265" t="n">
        <v>-9880000</v>
      </c>
      <c r="F57" s="265" t="n">
        <v>-8481000</v>
      </c>
      <c r="G57" s="265" t="n">
        <v>-7375000</v>
      </c>
      <c r="I57" s="265" t="n">
        <v>-5848000</v>
      </c>
      <c r="J57" s="265" t="n">
        <v>-5008000</v>
      </c>
      <c r="K57" s="265" t="n">
        <v>-4604000</v>
      </c>
      <c r="L57" s="265" t="n">
        <v>-3907000</v>
      </c>
      <c r="N57" s="265" t="n">
        <v>-3244000</v>
      </c>
      <c r="O57" s="265" t="n">
        <v>-2901000</v>
      </c>
      <c r="P57" s="265" t="n">
        <v>-2447000</v>
      </c>
      <c r="Q57" s="265" t="n">
        <v>-2059000</v>
      </c>
      <c r="S57" s="265" t="n">
        <v>-1586000</v>
      </c>
      <c r="T57" s="265" t="n">
        <v>-970000</v>
      </c>
      <c r="U57" s="265" t="n">
        <v>-444000</v>
      </c>
      <c r="V57" s="265" t="n">
        <v>-170000</v>
      </c>
      <c r="X57" s="265" t="n">
        <v>182000</v>
      </c>
      <c r="Y57" s="265" t="n">
        <v>738000</v>
      </c>
      <c r="Z57" s="265" t="n">
        <v>1196000</v>
      </c>
      <c r="AA57" s="265" t="n">
        <v>1385000</v>
      </c>
      <c r="AC57" s="265" t="n">
        <v>2050000</v>
      </c>
      <c r="AD57" s="265" t="n">
        <v>2817000</v>
      </c>
    </row>
    <row r="58">
      <c r="A58" t="inlineStr">
        <is>
          <t>[vazio] Estoques: não aparece como linha própria nas demonstrações (zero) · derivada · unid. moeda</t>
        </is>
      </c>
      <c r="B58" t="n">
        <v>13</v>
      </c>
      <c r="C58" t="inlineStr">
        <is>
          <t>Inventories</t>
        </is>
      </c>
      <c r="D58" s="265" t="n">
        <v>0</v>
      </c>
      <c r="E58" s="265" t="n">
        <v>0</v>
      </c>
      <c r="F58" s="265" t="n">
        <v>0</v>
      </c>
      <c r="G58" s="265" t="n">
        <v>0</v>
      </c>
      <c r="I58" s="265" t="n">
        <v>0</v>
      </c>
      <c r="J58" s="265" t="n">
        <v>0</v>
      </c>
      <c r="K58" s="265" t="n">
        <v>0</v>
      </c>
      <c r="L58" s="265" t="n">
        <v>0</v>
      </c>
      <c r="N58" s="265" t="n">
        <v>0</v>
      </c>
      <c r="O58" s="265" t="n">
        <v>0</v>
      </c>
      <c r="P58" s="265" t="n">
        <v>0</v>
      </c>
      <c r="Q58" s="265" t="n">
        <v>0</v>
      </c>
      <c r="S58" s="265" t="n">
        <v>0</v>
      </c>
      <c r="T58" s="265" t="n">
        <v>0</v>
      </c>
      <c r="U58" s="265" t="n">
        <v>0</v>
      </c>
      <c r="V58" s="265" t="n">
        <v>0</v>
      </c>
      <c r="X58" s="265" t="n">
        <v>0</v>
      </c>
      <c r="Y58" s="265" t="n">
        <v>0</v>
      </c>
      <c r="Z58" s="265" t="n">
        <v>0</v>
      </c>
      <c r="AA58" s="265" t="n">
        <v>0</v>
      </c>
      <c r="AC58" s="265" t="n">
        <v>0</v>
      </c>
      <c r="AD58" s="265" t="n">
        <v>0</v>
      </c>
    </row>
    <row r="59">
      <c r="A59" t="inlineStr">
        <is>
          <t>[vazio] IR diferido ativo: não aparece como linha própria nas demonstrações (zero) · derivada · unid. moeda</t>
        </is>
      </c>
      <c r="B59" t="n">
        <v>14</v>
      </c>
      <c r="C59" t="inlineStr">
        <is>
          <t>Deferred income taxes</t>
        </is>
      </c>
      <c r="D59" s="265" t="n">
        <v>0</v>
      </c>
      <c r="E59" s="265" t="n">
        <v>0</v>
      </c>
      <c r="F59" s="265" t="n">
        <v>0</v>
      </c>
      <c r="G59" s="265" t="n">
        <v>0</v>
      </c>
      <c r="I59" s="265" t="n">
        <v>0</v>
      </c>
      <c r="J59" s="265" t="n">
        <v>0</v>
      </c>
      <c r="K59" s="265" t="n">
        <v>0</v>
      </c>
      <c r="L59" s="265" t="n">
        <v>0</v>
      </c>
      <c r="N59" s="265" t="n">
        <v>0</v>
      </c>
      <c r="O59" s="265" t="n">
        <v>0</v>
      </c>
      <c r="P59" s="265" t="n">
        <v>0</v>
      </c>
      <c r="Q59" s="265" t="n">
        <v>0</v>
      </c>
      <c r="S59" s="265" t="n">
        <v>0</v>
      </c>
      <c r="T59" s="265" t="n">
        <v>0</v>
      </c>
      <c r="U59" s="265" t="n">
        <v>0</v>
      </c>
      <c r="V59" s="265" t="n">
        <v>0</v>
      </c>
      <c r="X59" s="265" t="n">
        <v>0</v>
      </c>
      <c r="Y59" s="265" t="n">
        <v>0</v>
      </c>
      <c r="Z59" s="265" t="n">
        <v>0</v>
      </c>
      <c r="AA59" s="265" t="n">
        <v>0</v>
      </c>
      <c r="AC59" s="265" t="n">
        <v>0</v>
      </c>
      <c r="AD59" s="265" t="n">
        <v>0</v>
      </c>
    </row>
    <row r="60">
      <c r="A60" t="inlineStr">
        <is>
          <t>[vazio] Despesas antecipadas: não aparece como linha própria nas demonstrações (zero) · derivada · unid. moeda</t>
        </is>
      </c>
      <c r="B60" t="n">
        <v>15</v>
      </c>
      <c r="C60" t="inlineStr">
        <is>
          <t>Prepaid expenses</t>
        </is>
      </c>
      <c r="D60" s="265" t="n">
        <v>0</v>
      </c>
      <c r="E60" s="265" t="n">
        <v>0</v>
      </c>
      <c r="F60" s="265" t="n">
        <v>0</v>
      </c>
      <c r="G60" s="265" t="n">
        <v>0</v>
      </c>
      <c r="I60" s="265" t="n">
        <v>0</v>
      </c>
      <c r="J60" s="265" t="n">
        <v>0</v>
      </c>
      <c r="K60" s="265" t="n">
        <v>0</v>
      </c>
      <c r="L60" s="265" t="n">
        <v>0</v>
      </c>
      <c r="N60" s="265" t="n">
        <v>0</v>
      </c>
      <c r="O60" s="265" t="n">
        <v>0</v>
      </c>
      <c r="P60" s="265" t="n">
        <v>0</v>
      </c>
      <c r="Q60" s="265" t="n">
        <v>0</v>
      </c>
      <c r="S60" s="265" t="n">
        <v>0</v>
      </c>
      <c r="T60" s="265" t="n">
        <v>0</v>
      </c>
      <c r="U60" s="265" t="n">
        <v>0</v>
      </c>
      <c r="V60" s="265" t="n">
        <v>0</v>
      </c>
      <c r="X60" s="265" t="n">
        <v>0</v>
      </c>
      <c r="Y60" s="265" t="n">
        <v>0</v>
      </c>
      <c r="Z60" s="265" t="n">
        <v>0</v>
      </c>
      <c r="AA60" s="265" t="n">
        <v>0</v>
      </c>
      <c r="AC60" s="265" t="n">
        <v>0</v>
      </c>
      <c r="AD60" s="265" t="n">
        <v>0</v>
      </c>
    </row>
    <row r="61">
      <c r="A61" t="inlineStr">
        <is>
          <t>[vazio] Investimentos em coligadas: não aparece como linha própria nas demonstrações (zero) · derivada · unid. moeda</t>
        </is>
      </c>
      <c r="B61" t="n">
        <v>17</v>
      </c>
      <c r="C61" t="inlineStr">
        <is>
          <t>Equity in affiliates</t>
        </is>
      </c>
      <c r="D61" s="265" t="n">
        <v>0</v>
      </c>
      <c r="E61" s="265" t="n">
        <v>0</v>
      </c>
      <c r="F61" s="265" t="n">
        <v>0</v>
      </c>
      <c r="G61" s="265" t="n">
        <v>0</v>
      </c>
      <c r="I61" s="265" t="n">
        <v>0</v>
      </c>
      <c r="J61" s="265" t="n">
        <v>0</v>
      </c>
      <c r="K61" s="265" t="n">
        <v>0</v>
      </c>
      <c r="L61" s="265" t="n">
        <v>0</v>
      </c>
      <c r="N61" s="265" t="n">
        <v>0</v>
      </c>
      <c r="O61" s="265" t="n">
        <v>0</v>
      </c>
      <c r="P61" s="265" t="n">
        <v>0</v>
      </c>
      <c r="Q61" s="265" t="n">
        <v>0</v>
      </c>
      <c r="S61" s="265" t="n">
        <v>0</v>
      </c>
      <c r="T61" s="265" t="n">
        <v>0</v>
      </c>
      <c r="U61" s="265" t="n">
        <v>0</v>
      </c>
      <c r="V61" s="265" t="n">
        <v>0</v>
      </c>
      <c r="X61" s="265" t="n">
        <v>0</v>
      </c>
      <c r="Y61" s="265" t="n">
        <v>0</v>
      </c>
      <c r="Z61" s="265" t="n">
        <v>0</v>
      </c>
      <c r="AA61" s="265" t="n">
        <v>0</v>
      </c>
      <c r="AC61" s="265" t="n">
        <v>0</v>
      </c>
      <c r="AD61" s="265" t="n">
        <v>0</v>
      </c>
    </row>
    <row r="62">
      <c r="A62" t="inlineStr">
        <is>
          <t>[vazio] Direito de uso: não aparece como linha própria nas demonstrações (zero) · derivada · unid. moeda</t>
        </is>
      </c>
      <c r="B62" t="n">
        <v>19</v>
      </c>
      <c r="C62" t="inlineStr">
        <is>
          <t>Right-of-use-assets</t>
        </is>
      </c>
      <c r="D62" s="265" t="n">
        <v>0</v>
      </c>
      <c r="E62" s="265" t="n">
        <v>0</v>
      </c>
      <c r="F62" s="265" t="n">
        <v>0</v>
      </c>
      <c r="G62" s="265" t="n">
        <v>0</v>
      </c>
      <c r="I62" s="265" t="n">
        <v>0</v>
      </c>
      <c r="J62" s="265" t="n">
        <v>0</v>
      </c>
      <c r="K62" s="265" t="n">
        <v>0</v>
      </c>
      <c r="L62" s="265" t="n">
        <v>0</v>
      </c>
      <c r="N62" s="265" t="n">
        <v>0</v>
      </c>
      <c r="O62" s="265" t="n">
        <v>0</v>
      </c>
      <c r="P62" s="265" t="n">
        <v>0</v>
      </c>
      <c r="Q62" s="265" t="n">
        <v>0</v>
      </c>
      <c r="S62" s="265" t="n">
        <v>0</v>
      </c>
      <c r="T62" s="265" t="n">
        <v>0</v>
      </c>
      <c r="U62" s="265" t="n">
        <v>0</v>
      </c>
      <c r="V62" s="265" t="n">
        <v>0</v>
      </c>
      <c r="X62" s="265" t="n">
        <v>0</v>
      </c>
      <c r="Y62" s="265" t="n">
        <v>0</v>
      </c>
      <c r="Z62" s="265" t="n">
        <v>0</v>
      </c>
      <c r="AA62" s="265" t="n">
        <v>0</v>
      </c>
      <c r="AC62" s="265" t="n">
        <v>0</v>
      </c>
      <c r="AD62" s="265" t="n">
        <v>0</v>
      </c>
    </row>
    <row r="63">
      <c r="A63" t="inlineStr">
        <is>
          <t>[vazio] Goodwill: não aparece como linha própria nas demonstrações (zero) · derivada · unid. moeda</t>
        </is>
      </c>
      <c r="B63" t="n">
        <v>20</v>
      </c>
      <c r="C63" t="inlineStr">
        <is>
          <t>Goodwill</t>
        </is>
      </c>
      <c r="D63" s="265" t="n">
        <v>0</v>
      </c>
      <c r="E63" s="265" t="n">
        <v>0</v>
      </c>
      <c r="F63" s="265" t="n">
        <v>0</v>
      </c>
      <c r="G63" s="265" t="n">
        <v>0</v>
      </c>
      <c r="I63" s="265" t="n">
        <v>0</v>
      </c>
      <c r="J63" s="265" t="n">
        <v>0</v>
      </c>
      <c r="K63" s="265" t="n">
        <v>0</v>
      </c>
      <c r="L63" s="265" t="n">
        <v>0</v>
      </c>
      <c r="N63" s="265" t="n">
        <v>0</v>
      </c>
      <c r="O63" s="265" t="n">
        <v>0</v>
      </c>
      <c r="P63" s="265" t="n">
        <v>0</v>
      </c>
      <c r="Q63" s="265" t="n">
        <v>0</v>
      </c>
      <c r="S63" s="265" t="n">
        <v>0</v>
      </c>
      <c r="T63" s="265" t="n">
        <v>0</v>
      </c>
      <c r="U63" s="265" t="n">
        <v>0</v>
      </c>
      <c r="V63" s="265" t="n">
        <v>0</v>
      </c>
      <c r="X63" s="265" t="n">
        <v>0</v>
      </c>
      <c r="Y63" s="265" t="n">
        <v>0</v>
      </c>
      <c r="Z63" s="265" t="n">
        <v>0</v>
      </c>
      <c r="AA63" s="265" t="n">
        <v>0</v>
      </c>
      <c r="AC63" s="265" t="n">
        <v>0</v>
      </c>
      <c r="AD63" s="265" t="n">
        <v>0</v>
      </c>
    </row>
    <row r="64">
      <c r="A64" t="inlineStr">
        <is>
          <t>[vazio] Intangíveis: não aparece como linha própria nas demonstrações (zero) · derivada · unid. moeda</t>
        </is>
      </c>
      <c r="B64" t="n">
        <v>21</v>
      </c>
      <c r="C64" t="inlineStr">
        <is>
          <t>Intangibles</t>
        </is>
      </c>
      <c r="D64" s="265" t="n">
        <v>0</v>
      </c>
      <c r="E64" s="265" t="n">
        <v>0</v>
      </c>
      <c r="F64" s="265" t="n">
        <v>0</v>
      </c>
      <c r="G64" s="265" t="n">
        <v>0</v>
      </c>
      <c r="I64" s="265" t="n">
        <v>0</v>
      </c>
      <c r="J64" s="265" t="n">
        <v>0</v>
      </c>
      <c r="K64" s="265" t="n">
        <v>0</v>
      </c>
      <c r="L64" s="265" t="n">
        <v>0</v>
      </c>
      <c r="N64" s="265" t="n">
        <v>0</v>
      </c>
      <c r="O64" s="265" t="n">
        <v>0</v>
      </c>
      <c r="P64" s="265" t="n">
        <v>0</v>
      </c>
      <c r="Q64" s="265" t="n">
        <v>0</v>
      </c>
      <c r="S64" s="265" t="n">
        <v>0</v>
      </c>
      <c r="T64" s="265" t="n">
        <v>0</v>
      </c>
      <c r="U64" s="265" t="n">
        <v>0</v>
      </c>
      <c r="V64" s="265" t="n">
        <v>0</v>
      </c>
      <c r="X64" s="265" t="n">
        <v>0</v>
      </c>
      <c r="Y64" s="265" t="n">
        <v>0</v>
      </c>
      <c r="Z64" s="265" t="n">
        <v>0</v>
      </c>
      <c r="AA64" s="265" t="n">
        <v>0</v>
      </c>
      <c r="AC64" s="265" t="n">
        <v>0</v>
      </c>
      <c r="AD64" s="265" t="n">
        <v>0</v>
      </c>
    </row>
    <row r="65">
      <c r="A65" t="inlineStr">
        <is>
          <t>[vazio] Despesas provisionadas: não aparece como linha própria nas demonstrações (zero) · derivada · unid. moeda</t>
        </is>
      </c>
      <c r="B65" t="n">
        <v>24</v>
      </c>
      <c r="C65" t="inlineStr">
        <is>
          <t>Accrued expenses</t>
        </is>
      </c>
      <c r="D65" s="265" t="n">
        <v>0</v>
      </c>
      <c r="E65" s="265" t="n">
        <v>0</v>
      </c>
      <c r="F65" s="265" t="n">
        <v>0</v>
      </c>
      <c r="G65" s="265" t="n">
        <v>0</v>
      </c>
      <c r="I65" s="265" t="n">
        <v>0</v>
      </c>
      <c r="J65" s="265" t="n">
        <v>0</v>
      </c>
      <c r="K65" s="265" t="n">
        <v>0</v>
      </c>
      <c r="L65" s="265" t="n">
        <v>0</v>
      </c>
      <c r="N65" s="265" t="n">
        <v>0</v>
      </c>
      <c r="O65" s="265" t="n">
        <v>0</v>
      </c>
      <c r="P65" s="265" t="n">
        <v>0</v>
      </c>
      <c r="Q65" s="265" t="n">
        <v>0</v>
      </c>
      <c r="S65" s="265" t="n">
        <v>0</v>
      </c>
      <c r="T65" s="265" t="n">
        <v>0</v>
      </c>
      <c r="U65" s="265" t="n">
        <v>0</v>
      </c>
      <c r="V65" s="265" t="n">
        <v>0</v>
      </c>
      <c r="X65" s="265" t="n">
        <v>0</v>
      </c>
      <c r="Y65" s="265" t="n">
        <v>0</v>
      </c>
      <c r="Z65" s="265" t="n">
        <v>0</v>
      </c>
      <c r="AA65" s="265" t="n">
        <v>0</v>
      </c>
      <c r="AC65" s="265" t="n">
        <v>0</v>
      </c>
      <c r="AD65" s="265" t="n">
        <v>0</v>
      </c>
    </row>
    <row r="66">
      <c r="A66" t="inlineStr">
        <is>
          <t>[vazio] Revolving: não aparece como linha própria nas demonstrações (zero) · derivada · unid. moeda</t>
        </is>
      </c>
      <c r="B66" t="n">
        <v>28</v>
      </c>
      <c r="C66" t="inlineStr">
        <is>
          <t>Short term debt (Revolving credit facility)</t>
        </is>
      </c>
      <c r="D66" s="265" t="n">
        <v>0</v>
      </c>
      <c r="E66" s="265" t="n">
        <v>0</v>
      </c>
      <c r="F66" s="265" t="n">
        <v>0</v>
      </c>
      <c r="G66" s="265" t="n">
        <v>0</v>
      </c>
      <c r="I66" s="265" t="n">
        <v>0</v>
      </c>
      <c r="J66" s="265" t="n">
        <v>0</v>
      </c>
      <c r="K66" s="265" t="n">
        <v>0</v>
      </c>
      <c r="L66" s="265" t="n">
        <v>0</v>
      </c>
      <c r="N66" s="265" t="n">
        <v>0</v>
      </c>
      <c r="O66" s="265" t="n">
        <v>0</v>
      </c>
      <c r="P66" s="265" t="n">
        <v>0</v>
      </c>
      <c r="Q66" s="265" t="n">
        <v>0</v>
      </c>
      <c r="S66" s="265" t="n">
        <v>0</v>
      </c>
      <c r="T66" s="265" t="n">
        <v>0</v>
      </c>
      <c r="U66" s="265" t="n">
        <v>0</v>
      </c>
      <c r="V66" s="265" t="n">
        <v>0</v>
      </c>
      <c r="X66" s="265" t="n">
        <v>0</v>
      </c>
      <c r="Y66" s="265" t="n">
        <v>0</v>
      </c>
      <c r="Z66" s="265" t="n">
        <v>0</v>
      </c>
      <c r="AA66" s="265" t="n">
        <v>0</v>
      </c>
      <c r="AC66" s="265" t="n">
        <v>0</v>
      </c>
      <c r="AD66" s="265" t="n">
        <v>0</v>
      </c>
    </row>
    <row r="67">
      <c r="A67" t="inlineStr">
        <is>
          <t>[vazio] Arrendamento CP: não aparece como linha própria nas demonstrações (zero) · derivada · unid. moeda</t>
        </is>
      </c>
      <c r="B67" t="n">
        <v>29</v>
      </c>
      <c r="C67" t="inlineStr">
        <is>
          <t>Short term operating leases</t>
        </is>
      </c>
      <c r="D67" s="265" t="n">
        <v>0</v>
      </c>
      <c r="E67" s="265" t="n">
        <v>0</v>
      </c>
      <c r="F67" s="265" t="n">
        <v>0</v>
      </c>
      <c r="G67" s="265" t="n">
        <v>0</v>
      </c>
      <c r="I67" s="265" t="n">
        <v>0</v>
      </c>
      <c r="J67" s="265" t="n">
        <v>0</v>
      </c>
      <c r="K67" s="265" t="n">
        <v>0</v>
      </c>
      <c r="L67" s="265" t="n">
        <v>0</v>
      </c>
      <c r="N67" s="265" t="n">
        <v>0</v>
      </c>
      <c r="O67" s="265" t="n">
        <v>0</v>
      </c>
      <c r="P67" s="265" t="n">
        <v>0</v>
      </c>
      <c r="Q67" s="265" t="n">
        <v>0</v>
      </c>
      <c r="S67" s="265" t="n">
        <v>0</v>
      </c>
      <c r="T67" s="265" t="n">
        <v>0</v>
      </c>
      <c r="U67" s="265" t="n">
        <v>0</v>
      </c>
      <c r="V67" s="265" t="n">
        <v>0</v>
      </c>
      <c r="X67" s="265" t="n">
        <v>0</v>
      </c>
      <c r="Y67" s="265" t="n">
        <v>0</v>
      </c>
      <c r="Z67" s="265" t="n">
        <v>0</v>
      </c>
      <c r="AA67" s="265" t="n">
        <v>0</v>
      </c>
      <c r="AC67" s="265" t="n">
        <v>0</v>
      </c>
      <c r="AD67" s="265" t="n">
        <v>0</v>
      </c>
    </row>
    <row r="68">
      <c r="A68" t="inlineStr">
        <is>
          <t>[vazio] Dívida conversível: não aparece como linha própria nas demonstrações (zero) · derivada · unid. moeda</t>
        </is>
      </c>
      <c r="B68" t="n">
        <v>32</v>
      </c>
      <c r="C68" t="inlineStr">
        <is>
          <t>Convertible debt</t>
        </is>
      </c>
      <c r="D68" s="265" t="n">
        <v>0</v>
      </c>
      <c r="E68" s="265" t="n">
        <v>0</v>
      </c>
      <c r="F68" s="265" t="n">
        <v>0</v>
      </c>
      <c r="G68" s="265" t="n">
        <v>0</v>
      </c>
      <c r="I68" s="265" t="n">
        <v>0</v>
      </c>
      <c r="J68" s="265" t="n">
        <v>0</v>
      </c>
      <c r="K68" s="265" t="n">
        <v>0</v>
      </c>
      <c r="L68" s="265" t="n">
        <v>0</v>
      </c>
      <c r="N68" s="265" t="n">
        <v>0</v>
      </c>
      <c r="O68" s="265" t="n">
        <v>0</v>
      </c>
      <c r="P68" s="265" t="n">
        <v>0</v>
      </c>
      <c r="Q68" s="265" t="n">
        <v>0</v>
      </c>
      <c r="S68" s="265" t="n">
        <v>0</v>
      </c>
      <c r="T68" s="265" t="n">
        <v>0</v>
      </c>
      <c r="U68" s="265" t="n">
        <v>0</v>
      </c>
      <c r="V68" s="265" t="n">
        <v>0</v>
      </c>
      <c r="X68" s="265" t="n">
        <v>0</v>
      </c>
      <c r="Y68" s="265" t="n">
        <v>0</v>
      </c>
      <c r="Z68" s="265" t="n">
        <v>0</v>
      </c>
      <c r="AA68" s="265" t="n">
        <v>0</v>
      </c>
      <c r="AC68" s="265" t="n">
        <v>0</v>
      </c>
      <c r="AD68" s="265" t="n">
        <v>0</v>
      </c>
    </row>
    <row r="69">
      <c r="A69" t="inlineStr">
        <is>
          <t>[vazio] Outras contas do PL: não aparece como linha própria nas demonstrações (zero) · derivada · unid. moeda</t>
        </is>
      </c>
      <c r="B69" t="n">
        <v>40</v>
      </c>
      <c r="C69" t="inlineStr">
        <is>
          <t>Other equity account</t>
        </is>
      </c>
      <c r="D69" s="265" t="n">
        <v>0</v>
      </c>
      <c r="E69" s="265" t="n">
        <v>0</v>
      </c>
      <c r="F69" s="265" t="n">
        <v>0</v>
      </c>
      <c r="G69" s="265" t="n">
        <v>0</v>
      </c>
      <c r="I69" s="265" t="n">
        <v>0</v>
      </c>
      <c r="J69" s="265" t="n">
        <v>0</v>
      </c>
      <c r="K69" s="265" t="n">
        <v>0</v>
      </c>
      <c r="L69" s="265" t="n">
        <v>0</v>
      </c>
      <c r="N69" s="265" t="n">
        <v>0</v>
      </c>
      <c r="O69" s="265" t="n">
        <v>0</v>
      </c>
      <c r="P69" s="265" t="n">
        <v>0</v>
      </c>
      <c r="Q69" s="265" t="n">
        <v>0</v>
      </c>
      <c r="S69" s="265" t="n">
        <v>0</v>
      </c>
      <c r="T69" s="265" t="n">
        <v>0</v>
      </c>
      <c r="U69" s="265" t="n">
        <v>0</v>
      </c>
      <c r="V69" s="265" t="n">
        <v>0</v>
      </c>
      <c r="X69" s="265" t="n">
        <v>0</v>
      </c>
      <c r="Y69" s="265" t="n">
        <v>0</v>
      </c>
      <c r="Z69" s="265" t="n">
        <v>0</v>
      </c>
      <c r="AA69" s="265" t="n">
        <v>0</v>
      </c>
      <c r="AC69" s="265" t="n">
        <v>0</v>
      </c>
      <c r="AD69" s="265" t="n">
        <v>0</v>
      </c>
    </row>
    <row r="70">
      <c r="A70" t="inlineStr">
        <is>
          <t>Linhas de face do ativo circulante sem tag própria (subtotal divulgado - soma das linhas) · derivada · unid. moeda</t>
        </is>
      </c>
      <c r="B70" t="n">
        <v>16</v>
      </c>
      <c r="C70" t="inlineStr">
        <is>
          <t>Other current assets</t>
        </is>
      </c>
      <c r="D70" s="265" t="n">
        <v>0</v>
      </c>
      <c r="E70" s="265" t="n">
        <v>0</v>
      </c>
      <c r="F70" s="265" t="n">
        <v>0</v>
      </c>
      <c r="G70" s="265" t="n">
        <v>-8314000</v>
      </c>
      <c r="I70" s="265" t="n">
        <v>0</v>
      </c>
      <c r="J70" s="265" t="n">
        <v>0</v>
      </c>
      <c r="K70" s="265" t="n">
        <v>0</v>
      </c>
      <c r="L70" s="265" t="n">
        <v>-8390000</v>
      </c>
      <c r="N70" s="265" t="n">
        <v>0</v>
      </c>
      <c r="O70" s="265" t="n">
        <v>0</v>
      </c>
      <c r="P70" s="265" t="n">
        <v>0</v>
      </c>
      <c r="Q70" s="265" t="n">
        <v>-6063000</v>
      </c>
      <c r="S70" s="265" t="n">
        <v>0</v>
      </c>
      <c r="T70" s="265" t="n">
        <v>0</v>
      </c>
      <c r="U70" s="265" t="n">
        <v>0</v>
      </c>
      <c r="V70" s="265" t="n">
        <v>-4911000</v>
      </c>
      <c r="X70" s="265" t="n">
        <v>0</v>
      </c>
      <c r="Y70" s="265" t="n">
        <v>0</v>
      </c>
      <c r="Z70" s="265" t="n">
        <v>0</v>
      </c>
      <c r="AA70" s="265" t="n">
        <v>-4173000</v>
      </c>
      <c r="AC70" s="265" t="n">
        <v>0</v>
      </c>
      <c r="AD70" s="265" t="n">
        <v>0</v>
      </c>
    </row>
    <row r="71">
      <c r="A71" t="inlineStr">
        <is>
          <t>BALANÇO - totais divulgados (memória)</t>
        </is>
      </c>
      <c r="C71" t="inlineStr">
        <is>
          <t>[linha bruta, sem código; lançada nas linhas abaixo]</t>
        </is>
      </c>
      <c r="D71" s="265" t="n"/>
      <c r="E71" s="265" t="n"/>
      <c r="F71" s="265" t="n"/>
      <c r="G71" s="265" t="n"/>
      <c r="I71" s="265" t="n"/>
      <c r="J71" s="265" t="n"/>
      <c r="K71" s="265" t="n"/>
      <c r="L71" s="265" t="n"/>
      <c r="N71" s="265" t="n"/>
      <c r="O71" s="265" t="n"/>
      <c r="P71" s="265" t="n"/>
      <c r="Q71" s="265" t="n"/>
      <c r="S71" s="265" t="n"/>
      <c r="T71" s="265" t="n"/>
      <c r="U71" s="265" t="n"/>
      <c r="V71" s="265" t="n"/>
      <c r="X71" s="265" t="n"/>
      <c r="Y71" s="265" t="n"/>
      <c r="Z71" s="265" t="n"/>
      <c r="AA71" s="265" t="n"/>
      <c r="AC71" s="265" t="n"/>
      <c r="AD71" s="265" t="n"/>
    </row>
    <row r="72">
      <c r="A72" t="inlineStr">
        <is>
          <t>Total do ativo [us-gaap:Assets] · memoria · unid. moeda</t>
        </is>
      </c>
      <c r="C72" t="inlineStr">
        <is>
          <t>[linha bruta, sem código; lançada nas linhas abaixo]</t>
        </is>
      </c>
      <c r="D72" s="265" t="n">
        <v>43643000</v>
      </c>
      <c r="E72" s="265" t="n">
        <v>45436000</v>
      </c>
      <c r="F72" s="265" t="n">
        <v>46917000</v>
      </c>
      <c r="G72" s="265" t="n">
        <v>48022000</v>
      </c>
      <c r="I72" s="265" t="n">
        <v>48832000</v>
      </c>
      <c r="J72" s="265" t="n">
        <v>50113000</v>
      </c>
      <c r="K72" s="265" t="n">
        <v>49927000</v>
      </c>
      <c r="L72" s="265" t="n">
        <v>51093000</v>
      </c>
      <c r="N72" s="265" t="n">
        <v>50909000</v>
      </c>
      <c r="O72" s="265" t="n">
        <v>50907000</v>
      </c>
      <c r="P72" s="265" t="n">
        <v>51648000</v>
      </c>
      <c r="Q72" s="265" t="n">
        <v>52506000</v>
      </c>
      <c r="S72" s="265" t="n">
        <v>54198000</v>
      </c>
      <c r="T72" s="265" t="n">
        <v>54635000</v>
      </c>
      <c r="U72" s="265" t="n">
        <v>55400000</v>
      </c>
      <c r="V72" s="265" t="n">
        <v>54848000</v>
      </c>
      <c r="X72" s="265" t="n">
        <v>56022000</v>
      </c>
      <c r="Y72" s="265" t="n">
        <v>56492000</v>
      </c>
      <c r="Z72" s="265" t="n">
        <v>56828000</v>
      </c>
      <c r="AA72" s="265" t="n">
        <v>58167000</v>
      </c>
      <c r="AC72" s="265" t="n">
        <v>58840000</v>
      </c>
      <c r="AD72" s="265" t="n">
        <v>59727000</v>
      </c>
    </row>
    <row r="73">
      <c r="A73" t="inlineStr">
        <is>
          <t>Total do passivo + PL [us-gaap:LiabilitiesAndStockholdersEquity] · memoria · unid. moeda</t>
        </is>
      </c>
      <c r="C73" t="inlineStr">
        <is>
          <t>[linha bruta, sem código; lançada nas linhas abaixo]</t>
        </is>
      </c>
      <c r="D73" s="265" t="n">
        <v>43643000</v>
      </c>
      <c r="E73" s="265" t="n">
        <v>45436000</v>
      </c>
      <c r="F73" s="265" t="n">
        <v>46917000</v>
      </c>
      <c r="G73" s="265" t="n">
        <v>48022000</v>
      </c>
      <c r="I73" s="265" t="n">
        <v>48832000</v>
      </c>
      <c r="J73" s="265" t="n">
        <v>50113000</v>
      </c>
      <c r="K73" s="265" t="n">
        <v>49927000</v>
      </c>
      <c r="L73" s="265" t="n">
        <v>51093000</v>
      </c>
      <c r="N73" s="265" t="n">
        <v>50909000</v>
      </c>
      <c r="O73" s="265" t="n">
        <v>50907000</v>
      </c>
      <c r="P73" s="265" t="n">
        <v>51648000</v>
      </c>
      <c r="Q73" s="265" t="n">
        <v>52506000</v>
      </c>
      <c r="S73" s="265" t="n">
        <v>54198000</v>
      </c>
      <c r="T73" s="265" t="n">
        <v>54635000</v>
      </c>
      <c r="U73" s="265" t="n">
        <v>55400000</v>
      </c>
      <c r="V73" s="265" t="n">
        <v>54848000</v>
      </c>
      <c r="X73" s="265" t="n">
        <v>56022000</v>
      </c>
      <c r="Y73" s="265" t="n">
        <v>56492000</v>
      </c>
      <c r="Z73" s="265" t="n">
        <v>56828000</v>
      </c>
      <c r="AA73" s="265" t="n">
        <v>58167000</v>
      </c>
      <c r="AC73" s="265" t="n">
        <v>58840000</v>
      </c>
      <c r="AD73" s="265" t="n">
        <v>59727000</v>
      </c>
    </row>
    <row r="74">
      <c r="A74" t="inlineStr">
        <is>
          <t>CHECKS (devem ser 0)</t>
        </is>
      </c>
      <c r="C74" t="inlineStr">
        <is>
          <t>[linha bruta, sem código; lançada nas linhas abaixo]</t>
        </is>
      </c>
      <c r="D74" s="265" t="n"/>
      <c r="E74" s="265" t="n"/>
      <c r="F74" s="265" t="n"/>
      <c r="G74" s="265" t="n"/>
      <c r="I74" s="265" t="n"/>
      <c r="J74" s="265" t="n"/>
      <c r="K74" s="265" t="n"/>
      <c r="L74" s="265" t="n"/>
      <c r="N74" s="265" t="n"/>
      <c r="O74" s="265" t="n"/>
      <c r="P74" s="265" t="n"/>
      <c r="Q74" s="265" t="n"/>
      <c r="S74" s="265" t="n"/>
      <c r="T74" s="265" t="n"/>
      <c r="U74" s="265" t="n"/>
      <c r="V74" s="265" t="n"/>
      <c r="X74" s="265" t="n"/>
      <c r="Y74" s="265" t="n"/>
      <c r="Z74" s="265" t="n"/>
      <c r="AA74" s="265" t="n"/>
      <c r="AC74" s="265" t="n"/>
      <c r="AD74" s="265" t="n"/>
    </row>
    <row r="75">
      <c r="A75" t="inlineStr">
        <is>
          <t>CHECK: contas de ativo - ativo total (USD, arredondado a 100 mil) · derivada · unid. moeda</t>
        </is>
      </c>
      <c r="C75" t="inlineStr">
        <is>
          <t>[linha bruta, sem código; lançada nas linhas abaixo]</t>
        </is>
      </c>
      <c r="D75" s="265">
        <f>ROUND(N(D27)+N(D28)+N(D29)+N(D30)+N(D31)+N(D32)+N(D33)+N(D34)+N(D35)+N(D36)+N(D37)+N(D38)+N(D39)+N(D40)+N(D41)+N(D70)-N(D72),-2)</f>
        <v>0</v>
      </c>
      <c r="E75" s="265">
        <f>ROUND(N(E27)+N(E28)+N(E29)+N(E30)+N(E31)+N(E32)+N(E33)+N(E34)+N(E35)+N(E36)+N(E37)+N(E38)+N(E39)+N(E40)+N(E41)+N(E70)-N(E72),-2)</f>
        <v>0</v>
      </c>
      <c r="F75" s="265">
        <f>ROUND(N(F27)+N(F28)+N(F29)+N(F30)+N(F31)+N(F32)+N(F33)+N(F34)+N(F35)+N(F36)+N(F37)+N(F38)+N(F39)+N(F40)+N(F41)+N(F70)-N(F72),-2)</f>
        <v>0</v>
      </c>
      <c r="G75" s="265">
        <f>ROUND(N(G27)+N(G28)+N(G29)+N(G30)+N(G31)+N(G32)+N(G33)+N(G34)+N(G35)+N(G36)+N(G37)+N(G38)+N(G39)+N(G40)+N(G41)+N(G70)-N(G72),-2)</f>
        <v>0</v>
      </c>
      <c r="I75" s="265">
        <f>ROUND(N(I27)+N(I28)+N(I29)+N(I30)+N(I31)+N(I32)+N(I33)+N(I34)+N(I35)+N(I36)+N(I37)+N(I38)+N(I39)+N(I40)+N(I41)+N(I70)-N(I72),-2)</f>
        <v>0</v>
      </c>
      <c r="J75" s="265">
        <f>ROUND(N(J27)+N(J28)+N(J29)+N(J30)+N(J31)+N(J32)+N(J33)+N(J34)+N(J35)+N(J36)+N(J37)+N(J38)+N(J39)+N(J40)+N(J41)+N(J70)-N(J72),-2)</f>
        <v>0</v>
      </c>
      <c r="K75" s="265">
        <f>ROUND(N(K27)+N(K28)+N(K29)+N(K30)+N(K31)+N(K32)+N(K33)+N(K34)+N(K35)+N(K36)+N(K37)+N(K38)+N(K39)+N(K40)+N(K41)+N(K70)-N(K72),-2)</f>
        <v>0</v>
      </c>
      <c r="L75" s="265">
        <f>ROUND(N(L27)+N(L28)+N(L29)+N(L30)+N(L31)+N(L32)+N(L33)+N(L34)+N(L35)+N(L36)+N(L37)+N(L38)+N(L39)+N(L40)+N(L41)+N(L70)-N(L72),-2)</f>
        <v>0</v>
      </c>
      <c r="N75" s="265">
        <f>ROUND(N(N27)+N(N28)+N(N29)+N(N30)+N(N31)+N(N32)+N(N33)+N(N34)+N(N35)+N(N36)+N(N37)+N(N38)+N(N39)+N(N40)+N(N41)+N(N70)-N(N72),-2)</f>
        <v>0</v>
      </c>
      <c r="O75" s="265">
        <f>ROUND(N(O27)+N(O28)+N(O29)+N(O30)+N(O31)+N(O32)+N(O33)+N(O34)+N(O35)+N(O36)+N(O37)+N(O38)+N(O39)+N(O40)+N(O41)+N(O70)-N(O72),-2)</f>
        <v>0</v>
      </c>
      <c r="P75" s="265">
        <f>ROUND(N(P27)+N(P28)+N(P29)+N(P30)+N(P31)+N(P32)+N(P33)+N(P34)+N(P35)+N(P36)+N(P37)+N(P38)+N(P39)+N(P40)+N(P41)+N(P70)-N(P72),-2)</f>
        <v>0</v>
      </c>
      <c r="Q75" s="265">
        <f>ROUND(N(Q27)+N(Q28)+N(Q29)+N(Q30)+N(Q31)+N(Q32)+N(Q33)+N(Q34)+N(Q35)+N(Q36)+N(Q37)+N(Q38)+N(Q39)+N(Q40)+N(Q41)+N(Q70)-N(Q72),-2)</f>
        <v>0</v>
      </c>
      <c r="S75" s="265">
        <f>ROUND(N(S27)+N(S28)+N(S29)+N(S30)+N(S31)+N(S32)+N(S33)+N(S34)+N(S35)+N(S36)+N(S37)+N(S38)+N(S39)+N(S40)+N(S41)+N(S70)-N(S72),-2)</f>
        <v>0</v>
      </c>
      <c r="T75" s="265">
        <f>ROUND(N(T27)+N(T28)+N(T29)+N(T30)+N(T31)+N(T32)+N(T33)+N(T34)+N(T35)+N(T36)+N(T37)+N(T38)+N(T39)+N(T40)+N(T41)+N(T70)-N(T72),-2)</f>
        <v>0</v>
      </c>
      <c r="U75" s="265">
        <f>ROUND(N(U27)+N(U28)+N(U29)+N(U30)+N(U31)+N(U32)+N(U33)+N(U34)+N(U35)+N(U36)+N(U37)+N(U38)+N(U39)+N(U40)+N(U41)+N(U70)-N(U72),-2)</f>
        <v>0</v>
      </c>
      <c r="V75" s="265">
        <f>ROUND(N(V27)+N(V28)+N(V29)+N(V30)+N(V31)+N(V32)+N(V33)+N(V34)+N(V35)+N(V36)+N(V37)+N(V38)+N(V39)+N(V40)+N(V41)+N(V70)-N(V72),-2)</f>
        <v>0</v>
      </c>
      <c r="X75" s="265">
        <f>ROUND(N(X27)+N(X28)+N(X29)+N(X30)+N(X31)+N(X32)+N(X33)+N(X34)+N(X35)+N(X36)+N(X37)+N(X38)+N(X39)+N(X40)+N(X41)+N(X70)-N(X72),-2)</f>
        <v>0</v>
      </c>
      <c r="Y75" s="265">
        <f>ROUND(N(Y27)+N(Y28)+N(Y29)+N(Y30)+N(Y31)+N(Y32)+N(Y33)+N(Y34)+N(Y35)+N(Y36)+N(Y37)+N(Y38)+N(Y39)+N(Y40)+N(Y41)+N(Y70)-N(Y72),-2)</f>
        <v>0</v>
      </c>
      <c r="Z75" s="265">
        <f>ROUND(N(Z27)+N(Z28)+N(Z29)+N(Z30)+N(Z31)+N(Z32)+N(Z33)+N(Z34)+N(Z35)+N(Z36)+N(Z37)+N(Z38)+N(Z39)+N(Z40)+N(Z41)+N(Z70)-N(Z72),-2)</f>
        <v>0</v>
      </c>
      <c r="AA75" s="265">
        <f>ROUND(N(AA27)+N(AA28)+N(AA29)+N(AA30)+N(AA31)+N(AA32)+N(AA33)+N(AA34)+N(AA35)+N(AA36)+N(AA37)+N(AA38)+N(AA39)+N(AA40)+N(AA41)+N(AA70)-N(AA72),-2)</f>
        <v>0</v>
      </c>
      <c r="AC75" s="265">
        <f>ROUND(N(AC27)+N(AC28)+N(AC29)+N(AC30)+N(AC31)+N(AC32)+N(AC33)+N(AC34)+N(AC35)+N(AC36)+N(AC37)+N(AC38)+N(AC39)+N(AC40)+N(AC41)+N(AC70)-N(AC72),-2)</f>
        <v>0</v>
      </c>
      <c r="AD75" s="265">
        <f>ROUND(N(AD27)+N(AD28)+N(AD29)+N(AD30)+N(AD31)+N(AD32)+N(AD33)+N(AD34)+N(AD35)+N(AD36)+N(AD37)+N(AD38)+N(AD39)+N(AD40)+N(AD41)+N(AD70)-N(AD72),-2)</f>
        <v>0</v>
      </c>
    </row>
    <row r="76">
      <c r="A76" t="inlineStr">
        <is>
          <t>CHECK: passivo + PL (contas) - passivo + PL total · derivada · unid. moeda</t>
        </is>
      </c>
      <c r="C76" t="inlineStr">
        <is>
          <t>[linha bruta, sem código; lançada nas linhas abaixo]</t>
        </is>
      </c>
      <c r="D76" s="265">
        <f>ROUND(N(D42)+N(D43)+N(D44)+N(D45)+N(D46)+N(D47)+N(D48)+N(D49)+N(D50)+N(D51)+N(D52)+N(D53)+N(D54)+N(D55)+N(D56)+N(D57)-N(D73),-2)</f>
        <v>0</v>
      </c>
      <c r="E76" s="265">
        <f>ROUND(N(E42)+N(E43)+N(E44)+N(E45)+N(E46)+N(E47)+N(E48)+N(E49)+N(E50)+N(E51)+N(E52)+N(E53)+N(E54)+N(E55)+N(E56)+N(E57)-N(E73),-2)</f>
        <v>0</v>
      </c>
      <c r="F76" s="265">
        <f>ROUND(N(F42)+N(F43)+N(F44)+N(F45)+N(F46)+N(F47)+N(F48)+N(F49)+N(F50)+N(F51)+N(F52)+N(F53)+N(F54)+N(F55)+N(F56)+N(F57)-N(F73),-2)</f>
        <v>0</v>
      </c>
      <c r="G76" s="265">
        <f>ROUND(N(G42)+N(G43)+N(G44)+N(G45)+N(G46)+N(G47)+N(G48)+N(G49)+N(G50)+N(G51)+N(G52)+N(G53)+N(G54)+N(G55)+N(G56)+N(G57)-N(G73),-2)</f>
        <v>0</v>
      </c>
      <c r="I76" s="265">
        <f>ROUND(N(I42)+N(I43)+N(I44)+N(I45)+N(I46)+N(I47)+N(I48)+N(I49)+N(I50)+N(I51)+N(I52)+N(I53)+N(I54)+N(I55)+N(I56)+N(I57)-N(I73),-2)</f>
        <v>0</v>
      </c>
      <c r="J76" s="265">
        <f>ROUND(N(J42)+N(J43)+N(J44)+N(J45)+N(J46)+N(J47)+N(J48)+N(J49)+N(J50)+N(J51)+N(J52)+N(J53)+N(J54)+N(J55)+N(J56)+N(J57)-N(J73),-2)</f>
        <v>0</v>
      </c>
      <c r="K76" s="265">
        <f>ROUND(N(K42)+N(K43)+N(K44)+N(K45)+N(K46)+N(K47)+N(K48)+N(K49)+N(K50)+N(K51)+N(K52)+N(K53)+N(K54)+N(K55)+N(K56)+N(K57)-N(K73),-2)</f>
        <v>0</v>
      </c>
      <c r="L76" s="265">
        <f>ROUND(N(L42)+N(L43)+N(L44)+N(L45)+N(L46)+N(L47)+N(L48)+N(L49)+N(L50)+N(L51)+N(L52)+N(L53)+N(L54)+N(L55)+N(L56)+N(L57)-N(L73),-2)</f>
        <v>0</v>
      </c>
      <c r="N76" s="265">
        <f>ROUND(N(N42)+N(N43)+N(N44)+N(N45)+N(N46)+N(N47)+N(N48)+N(N49)+N(N50)+N(N51)+N(N52)+N(N53)+N(N54)+N(N55)+N(N56)+N(N57)-N(N73),-2)</f>
        <v>0</v>
      </c>
      <c r="O76" s="265">
        <f>ROUND(N(O42)+N(O43)+N(O44)+N(O45)+N(O46)+N(O47)+N(O48)+N(O49)+N(O50)+N(O51)+N(O52)+N(O53)+N(O54)+N(O55)+N(O56)+N(O57)-N(O73),-2)</f>
        <v>0</v>
      </c>
      <c r="P76" s="265">
        <f>ROUND(N(P42)+N(P43)+N(P44)+N(P45)+N(P46)+N(P47)+N(P48)+N(P49)+N(P50)+N(P51)+N(P52)+N(P53)+N(P54)+N(P55)+N(P56)+N(P57)-N(P73),-2)</f>
        <v>0</v>
      </c>
      <c r="Q76" s="265">
        <f>ROUND(N(Q42)+N(Q43)+N(Q44)+N(Q45)+N(Q46)+N(Q47)+N(Q48)+N(Q49)+N(Q50)+N(Q51)+N(Q52)+N(Q53)+N(Q54)+N(Q55)+N(Q56)+N(Q57)-N(Q73),-2)</f>
        <v>0</v>
      </c>
      <c r="S76" s="265">
        <f>ROUND(N(S42)+N(S43)+N(S44)+N(S45)+N(S46)+N(S47)+N(S48)+N(S49)+N(S50)+N(S51)+N(S52)+N(S53)+N(S54)+N(S55)+N(S56)+N(S57)-N(S73),-2)</f>
        <v>0</v>
      </c>
      <c r="T76" s="265">
        <f>ROUND(N(T42)+N(T43)+N(T44)+N(T45)+N(T46)+N(T47)+N(T48)+N(T49)+N(T50)+N(T51)+N(T52)+N(T53)+N(T54)+N(T55)+N(T56)+N(T57)-N(T73),-2)</f>
        <v>0</v>
      </c>
      <c r="U76" s="265">
        <f>ROUND(N(U42)+N(U43)+N(U44)+N(U45)+N(U46)+N(U47)+N(U48)+N(U49)+N(U50)+N(U51)+N(U52)+N(U53)+N(U54)+N(U55)+N(U56)+N(U57)-N(U73),-2)</f>
        <v>0</v>
      </c>
      <c r="V76" s="265">
        <f>ROUND(N(V42)+N(V43)+N(V44)+N(V45)+N(V46)+N(V47)+N(V48)+N(V49)+N(V50)+N(V51)+N(V52)+N(V53)+N(V54)+N(V55)+N(V56)+N(V57)-N(V73),-2)</f>
        <v>0</v>
      </c>
      <c r="X76" s="265">
        <f>ROUND(N(X42)+N(X43)+N(X44)+N(X45)+N(X46)+N(X47)+N(X48)+N(X49)+N(X50)+N(X51)+N(X52)+N(X53)+N(X54)+N(X55)+N(X56)+N(X57)-N(X73),-2)</f>
        <v>0</v>
      </c>
      <c r="Y76" s="265">
        <f>ROUND(N(Y42)+N(Y43)+N(Y44)+N(Y45)+N(Y46)+N(Y47)+N(Y48)+N(Y49)+N(Y50)+N(Y51)+N(Y52)+N(Y53)+N(Y54)+N(Y55)+N(Y56)+N(Y57)-N(Y73),-2)</f>
        <v>0</v>
      </c>
      <c r="Z76" s="265">
        <f>ROUND(N(Z42)+N(Z43)+N(Z44)+N(Z45)+N(Z46)+N(Z47)+N(Z48)+N(Z49)+N(Z50)+N(Z51)+N(Z52)+N(Z53)+N(Z54)+N(Z55)+N(Z56)+N(Z57)-N(Z73),-2)</f>
        <v>0</v>
      </c>
      <c r="AA76" s="265">
        <f>ROUND(N(AA42)+N(AA43)+N(AA44)+N(AA45)+N(AA46)+N(AA47)+N(AA48)+N(AA49)+N(AA50)+N(AA51)+N(AA52)+N(AA53)+N(AA54)+N(AA55)+N(AA56)+N(AA57)-N(AA73),-2)</f>
        <v>0</v>
      </c>
      <c r="AC76" s="265">
        <f>ROUND(N(AC42)+N(AC43)+N(AC44)+N(AC45)+N(AC46)+N(AC47)+N(AC48)+N(AC49)+N(AC50)+N(AC51)+N(AC52)+N(AC53)+N(AC54)+N(AC55)+N(AC56)+N(AC57)-N(AC73),-2)</f>
        <v>0</v>
      </c>
      <c r="AD76" s="265">
        <f>ROUND(N(AD42)+N(AD43)+N(AD44)+N(AD45)+N(AD46)+N(AD47)+N(AD48)+N(AD49)+N(AD50)+N(AD51)+N(AD52)+N(AD53)+N(AD54)+N(AD55)+N(AD56)+N(AD57)-N(AD73),-2)</f>
        <v>0</v>
      </c>
    </row>
    <row r="77">
      <c r="A77" t="inlineStr">
        <is>
          <t>CHECK: receita - custo - despesas + não operacional - IR - minoritários + outros após IR - lucro (deve ser 0) · derivada</t>
        </is>
      </c>
      <c r="C77" t="inlineStr">
        <is>
          <t>[linha bruta, sem código; lançada nas linhas abaixo]</t>
        </is>
      </c>
      <c r="D77" s="265">
        <f>ROUND(N(D5)-N(D6)-N(D9)+N(D12)-N(D13)-N(D15)+N(D18)-N(D19),-2)</f>
        <v>0</v>
      </c>
      <c r="E77" s="265">
        <f>ROUND(N(E5)-N(E6)-N(E9)+N(E12)-N(E13)-N(E15)+N(E18)-N(E19),-2)</f>
        <v>0</v>
      </c>
      <c r="F77" s="265">
        <f>ROUND(N(F5)-N(F6)-N(F9)+N(F12)-N(F13)-N(F15)+N(F18)-N(F19),-2)</f>
        <v>0</v>
      </c>
      <c r="G77" s="265">
        <f>ROUND(N(G5)-N(G6)-N(G9)+N(G12)-N(G13)-N(G15)+N(G18)-N(G19),-2)</f>
        <v>0</v>
      </c>
      <c r="I77" s="265">
        <f>ROUND(N(I5)-N(I6)-N(I9)+N(I12)-N(I13)-N(I15)+N(I18)-N(I19),-2)</f>
        <v>0</v>
      </c>
      <c r="J77" s="265">
        <f>ROUND(N(J5)-N(J6)-N(J9)+N(J12)-N(J13)-N(J15)+N(J18)-N(J19),-2)</f>
        <v>0</v>
      </c>
      <c r="K77" s="265">
        <f>ROUND(N(K5)-N(K6)-N(K9)+N(K12)-N(K13)-N(K15)+N(K18)-N(K19),-2)</f>
        <v>0</v>
      </c>
      <c r="L77" s="265">
        <f>ROUND(N(L5)-N(L6)-N(L9)+N(L12)-N(L13)-N(L15)+N(L18)-N(L19),-2)</f>
        <v>0</v>
      </c>
      <c r="N77" s="265">
        <f>ROUND(N(N5)-N(N6)-N(N9)+N(N12)-N(N13)-N(N15)+N(N18)-N(N19),-2)</f>
        <v>0</v>
      </c>
      <c r="O77" s="265">
        <f>ROUND(N(O5)-N(O6)-N(O9)+N(O12)-N(O13)-N(O15)+N(O18)-N(O19),-2)</f>
        <v>0</v>
      </c>
      <c r="P77" s="265">
        <f>ROUND(N(P5)-N(P6)-N(P9)+N(P12)-N(P13)-N(P15)+N(P18)-N(P19),-2)</f>
        <v>0</v>
      </c>
      <c r="Q77" s="265">
        <f>ROUND(N(Q5)-N(Q6)-N(Q9)+N(Q12)-N(Q13)-N(Q15)+N(Q18)-N(Q19),-2)</f>
        <v>0</v>
      </c>
      <c r="S77" s="265">
        <f>ROUND(N(S5)-N(S6)-N(S9)+N(S12)-N(S13)-N(S15)+N(S18)-N(S19),-2)</f>
        <v>0</v>
      </c>
      <c r="T77" s="265">
        <f>ROUND(N(T5)-N(T6)-N(T9)+N(T12)-N(T13)-N(T15)+N(T18)-N(T19),-2)</f>
        <v>0</v>
      </c>
      <c r="U77" s="265">
        <f>ROUND(N(U5)-N(U6)-N(U9)+N(U12)-N(U13)-N(U15)+N(U18)-N(U19),-2)</f>
        <v>0</v>
      </c>
      <c r="V77" s="265">
        <f>ROUND(N(V5)-N(V6)-N(V9)+N(V12)-N(V13)-N(V15)+N(V18)-N(V19),-2)</f>
        <v>0</v>
      </c>
      <c r="X77" s="265">
        <f>ROUND(N(X5)-N(X6)-N(X9)+N(X12)-N(X13)-N(X15)+N(X18)-N(X19),-2)</f>
        <v>0</v>
      </c>
      <c r="Y77" s="265">
        <f>ROUND(N(Y5)-N(Y6)-N(Y9)+N(Y12)-N(Y13)-N(Y15)+N(Y18)-N(Y19),-2)</f>
        <v>0</v>
      </c>
      <c r="Z77" s="265">
        <f>ROUND(N(Z5)-N(Z6)-N(Z9)+N(Z12)-N(Z13)-N(Z15)+N(Z18)-N(Z19),-2)</f>
        <v>0</v>
      </c>
      <c r="AA77" s="265">
        <f>ROUND(N(AA5)-N(AA6)-N(AA9)+N(AA12)-N(AA13)-N(AA15)+N(AA18)-N(AA19),-2)</f>
        <v>0</v>
      </c>
      <c r="AC77" s="265">
        <f>ROUND(N(AC5)-N(AC6)-N(AC9)+N(AC12)-N(AC13)-N(AC15)+N(AC18)-N(AC19),-2)</f>
        <v>0</v>
      </c>
      <c r="AD77" s="265">
        <f>ROUND(N(AD5)-N(AD6)-N(AD9)+N(AD12)-N(AD13)-N(AD15)+N(AD18)-N(AD19),-2)</f>
        <v>0</v>
      </c>
    </row>
    <row r="78">
      <c r="D78" s="265" t="n"/>
      <c r="E78" s="265" t="n"/>
      <c r="F78" s="265" t="n"/>
      <c r="G78" s="265" t="n"/>
      <c r="I78" s="265" t="n"/>
      <c r="J78" s="265" t="n"/>
      <c r="K78" s="265" t="n"/>
      <c r="L78" s="265" t="n"/>
      <c r="N78" s="265" t="n"/>
      <c r="O78" s="265" t="n"/>
      <c r="P78" s="265" t="n"/>
      <c r="Q78" s="265" t="n"/>
      <c r="S78" s="265" t="n"/>
      <c r="T78" s="265" t="n"/>
      <c r="U78" s="265" t="n"/>
      <c r="V78" s="265" t="n"/>
      <c r="X78" s="265" t="n"/>
      <c r="Y78" s="265" t="n"/>
      <c r="Z78" s="265" t="n"/>
      <c r="AA78" s="265" t="n"/>
      <c r="AC78" s="265" t="n"/>
      <c r="AD78" s="265" t="n"/>
    </row>
    <row r="79">
      <c r="A79" t="inlineStr">
        <is>
          <t>DRIVERS DE RECEITA (codigos 45+): segmentos Morenci, Cerro Verde, Grasberg (Indonésia), Rod &amp; Refining e Atlantic Copper - receita total do segmento (terceiros + intersegmento) e lucro operacional - SEC XBRL (USD, fator 0,000001).</t>
        </is>
      </c>
      <c r="C79" t="inlineStr">
        <is>
          <t>[linha bruta, sem código; lançada nas linhas abaixo]</t>
        </is>
      </c>
      <c r="D79" s="265" t="n"/>
      <c r="E79" s="265" t="n"/>
      <c r="F79" s="265" t="n"/>
      <c r="G79" s="265" t="n"/>
      <c r="I79" s="265" t="n"/>
      <c r="J79" s="265" t="n"/>
      <c r="K79" s="265" t="n"/>
      <c r="L79" s="265" t="n"/>
      <c r="N79" s="265" t="n"/>
      <c r="O79" s="265" t="n"/>
      <c r="P79" s="265" t="n"/>
      <c r="Q79" s="265" t="n"/>
      <c r="S79" s="265" t="n"/>
      <c r="T79" s="265" t="n"/>
      <c r="U79" s="265" t="n"/>
      <c r="V79" s="265" t="n"/>
      <c r="X79" s="265" t="n"/>
      <c r="Y79" s="265" t="n"/>
      <c r="Z79" s="265" t="n"/>
      <c r="AA79" s="265" t="n"/>
      <c r="AC79" s="265" t="n"/>
      <c r="AD79" s="265" t="n"/>
    </row>
    <row r="80">
      <c r="A80" t="inlineStr">
        <is>
          <t>Morenci - receita (USD) · fonte · unid. moeda</t>
        </is>
      </c>
      <c r="B80" t="n">
        <v>45</v>
      </c>
      <c r="C80" t="inlineStr">
        <is>
          <t>Morenci - receita (USD)</t>
        </is>
      </c>
      <c r="D80" s="265" t="n">
        <v>568000</v>
      </c>
      <c r="E80" s="265" t="n">
        <v>778000</v>
      </c>
      <c r="F80" s="265" t="n">
        <v>727000</v>
      </c>
      <c r="G80" s="265" t="n">
        <v>737000</v>
      </c>
      <c r="I80" s="265" t="n">
        <v>801000</v>
      </c>
      <c r="J80" s="265" t="n">
        <v>747000</v>
      </c>
      <c r="K80" s="265" t="n">
        <v>569000</v>
      </c>
      <c r="L80" s="265" t="n">
        <v>572000</v>
      </c>
      <c r="N80" s="265" t="n">
        <v>625000</v>
      </c>
      <c r="O80" s="265" t="n">
        <v>596000</v>
      </c>
      <c r="P80" s="265" t="n">
        <v>641000</v>
      </c>
      <c r="Q80" s="265" t="n">
        <v>557000</v>
      </c>
      <c r="S80" s="265" t="n">
        <v>577000</v>
      </c>
      <c r="T80" s="265" t="n">
        <v>600000</v>
      </c>
      <c r="U80" s="265" t="n">
        <v>593000</v>
      </c>
      <c r="V80" s="265" t="n">
        <v>577000</v>
      </c>
      <c r="X80" s="265" t="n">
        <v>577000</v>
      </c>
      <c r="Y80" s="265" t="n">
        <v>622000</v>
      </c>
      <c r="Z80" s="265" t="n">
        <v>699000</v>
      </c>
      <c r="AA80" s="265" t="n">
        <v>750000</v>
      </c>
      <c r="AC80" s="265" t="n">
        <v>776000</v>
      </c>
      <c r="AD80" s="265" t="n">
        <v>756000</v>
      </c>
    </row>
    <row r="81">
      <c r="A81" t="inlineStr">
        <is>
          <t>Morenci - lucro do segmento (USD) · fonte · unid. moeda</t>
        </is>
      </c>
      <c r="B81" t="n">
        <v>46</v>
      </c>
      <c r="C81" t="inlineStr">
        <is>
          <t>Morenci - lucro do segmento (USD)</t>
        </is>
      </c>
      <c r="D81" s="265" t="n">
        <v>265000</v>
      </c>
      <c r="E81" s="265" t="n">
        <v>385000</v>
      </c>
      <c r="F81" s="265" t="n">
        <v>363000</v>
      </c>
      <c r="G81" s="265" t="n">
        <v>404000</v>
      </c>
      <c r="I81" s="265" t="n">
        <v>394000</v>
      </c>
      <c r="J81" s="265" t="n">
        <v>318000</v>
      </c>
      <c r="K81" s="265" t="n">
        <v>115000</v>
      </c>
      <c r="L81" s="265" t="n">
        <v>138000</v>
      </c>
      <c r="N81" s="265" t="n">
        <v>198000</v>
      </c>
      <c r="O81" s="265" t="n">
        <v>127000</v>
      </c>
      <c r="P81" s="265" t="n">
        <v>112000</v>
      </c>
      <c r="Q81" s="265" t="n">
        <v>68000</v>
      </c>
      <c r="S81" s="265" t="n">
        <v>66000</v>
      </c>
      <c r="T81" s="265" t="n">
        <v>111000</v>
      </c>
      <c r="U81" s="265" t="n">
        <v>50000</v>
      </c>
      <c r="V81" s="265" t="n">
        <v>88000</v>
      </c>
      <c r="X81" s="265" t="n">
        <v>109000</v>
      </c>
      <c r="Y81" s="265" t="n">
        <v>132000</v>
      </c>
      <c r="Z81" s="265" t="n">
        <v>134000</v>
      </c>
      <c r="AA81" s="265" t="n">
        <v>232000</v>
      </c>
      <c r="AC81" s="265" t="n">
        <v>262000</v>
      </c>
      <c r="AD81" s="265" t="n">
        <v>265000</v>
      </c>
    </row>
    <row r="82">
      <c r="A82" t="inlineStr">
        <is>
          <t>Cerro Verde - receita (USD) · fonte · unid. moeda</t>
        </is>
      </c>
      <c r="B82" t="n">
        <v>47</v>
      </c>
      <c r="C82" t="inlineStr">
        <is>
          <t>Cerro Verde - receita (USD)</t>
        </is>
      </c>
      <c r="D82" s="265" t="n">
        <v>962000</v>
      </c>
      <c r="E82" s="265" t="n">
        <v>945000</v>
      </c>
      <c r="F82" s="265" t="n">
        <v>1074000</v>
      </c>
      <c r="G82" s="265" t="n">
        <v>1215000</v>
      </c>
      <c r="I82" s="265" t="n">
        <v>1214000</v>
      </c>
      <c r="J82" s="265" t="n">
        <v>836000</v>
      </c>
      <c r="K82" s="265" t="n">
        <v>749000</v>
      </c>
      <c r="L82" s="265" t="n">
        <v>1151000</v>
      </c>
      <c r="N82" s="265" t="n">
        <v>1202000</v>
      </c>
      <c r="O82" s="265" t="n">
        <v>958000</v>
      </c>
      <c r="P82" s="265" t="n">
        <v>1041000</v>
      </c>
      <c r="Q82" s="265" t="n">
        <v>916000</v>
      </c>
      <c r="S82" s="265" t="n">
        <v>928000</v>
      </c>
      <c r="T82" s="265" t="n">
        <v>1257000</v>
      </c>
      <c r="U82" s="265" t="n">
        <v>1079000</v>
      </c>
      <c r="V82" s="265" t="n">
        <v>992000</v>
      </c>
      <c r="X82" s="265" t="n">
        <v>1091000</v>
      </c>
      <c r="Y82" s="265" t="n">
        <v>1029000</v>
      </c>
      <c r="Z82" s="265" t="n">
        <v>1205000</v>
      </c>
      <c r="AA82" s="265" t="n">
        <v>1381000</v>
      </c>
      <c r="AC82" s="265" t="n">
        <v>1381000</v>
      </c>
      <c r="AD82" s="265" t="n">
        <v>1487000</v>
      </c>
    </row>
    <row r="83">
      <c r="A83" t="inlineStr">
        <is>
          <t>Cerro Verde - lucro do segmento (USD) · fonte · unid. moeda</t>
        </is>
      </c>
      <c r="B83" t="n">
        <v>48</v>
      </c>
      <c r="C83" t="inlineStr">
        <is>
          <t>Cerro Verde - lucro do segmento (USD)</t>
        </is>
      </c>
      <c r="D83" s="265" t="n">
        <v>435000</v>
      </c>
      <c r="E83" s="265" t="n">
        <v>367000</v>
      </c>
      <c r="F83" s="265" t="n">
        <v>438000</v>
      </c>
      <c r="G83" s="265" t="n">
        <v>582000</v>
      </c>
      <c r="I83" s="265" t="n">
        <v>567000</v>
      </c>
      <c r="J83" s="265" t="n">
        <v>169000</v>
      </c>
      <c r="K83" s="265" t="n">
        <v>82000</v>
      </c>
      <c r="L83" s="265" t="n">
        <v>398000</v>
      </c>
      <c r="N83" s="265" t="n">
        <v>488000</v>
      </c>
      <c r="O83" s="265" t="n">
        <v>227000</v>
      </c>
      <c r="P83" s="265" t="n">
        <v>293000</v>
      </c>
      <c r="Q83" s="265" t="n">
        <v>170000</v>
      </c>
      <c r="S83" s="265" t="n">
        <v>228000</v>
      </c>
      <c r="T83" s="265" t="n">
        <v>476000</v>
      </c>
      <c r="U83" s="265" t="n">
        <v>352000</v>
      </c>
      <c r="V83" s="265" t="n">
        <v>271000</v>
      </c>
      <c r="X83" s="265" t="n">
        <v>409000</v>
      </c>
      <c r="Y83" s="265" t="n">
        <v>340000</v>
      </c>
      <c r="Z83" s="265" t="n">
        <v>467000</v>
      </c>
      <c r="AA83" s="265" t="n">
        <v>602000</v>
      </c>
      <c r="AC83" s="265" t="n">
        <v>638000</v>
      </c>
      <c r="AD83" s="265" t="n">
        <v>736000</v>
      </c>
    </row>
    <row r="84">
      <c r="A84" t="inlineStr">
        <is>
          <t>Grasberg (Indonésia) - receita (USD) · fonte · unid. moeda</t>
        </is>
      </c>
      <c r="B84" t="n">
        <v>49</v>
      </c>
      <c r="C84" t="inlineStr">
        <is>
          <t>Grasberg (Indonésia) - receita (USD)</t>
        </is>
      </c>
      <c r="D84" s="265" t="n">
        <v>1435000</v>
      </c>
      <c r="E84" s="265" t="n">
        <v>1809000</v>
      </c>
      <c r="F84" s="265" t="n">
        <v>2042000</v>
      </c>
      <c r="G84" s="265" t="n">
        <v>2237000</v>
      </c>
      <c r="I84" s="265" t="n">
        <v>2404000</v>
      </c>
      <c r="J84" s="265" t="n">
        <v>1978000</v>
      </c>
      <c r="K84" s="265" t="n">
        <v>1798000</v>
      </c>
      <c r="L84" s="265" t="n">
        <v>2246000</v>
      </c>
      <c r="N84" s="265" t="n">
        <v>1368000</v>
      </c>
      <c r="O84" s="265" t="n">
        <v>2237000</v>
      </c>
      <c r="P84" s="265" t="n">
        <v>2095000</v>
      </c>
      <c r="Q84" s="265" t="n">
        <v>2737000</v>
      </c>
      <c r="S84" s="265" t="n">
        <v>2825000</v>
      </c>
      <c r="T84" s="265" t="n">
        <v>2268000</v>
      </c>
      <c r="U84" s="265" t="n">
        <v>2982000</v>
      </c>
      <c r="V84" s="265" t="n">
        <v>2243000</v>
      </c>
      <c r="X84" s="265" t="n">
        <v>1570000</v>
      </c>
      <c r="Y84" s="265" t="n">
        <v>3417000</v>
      </c>
      <c r="Z84" s="265" t="n">
        <v>2675000</v>
      </c>
      <c r="AA84" s="265" t="n">
        <v>960000</v>
      </c>
      <c r="AC84" s="265" t="n">
        <v>1072000</v>
      </c>
      <c r="AD84" s="265" t="n">
        <v>1483000</v>
      </c>
    </row>
    <row r="85">
      <c r="A85" t="inlineStr">
        <is>
          <t>Grasberg (Indonésia) - lucro do segmento (USD) · fonte · unid. moeda</t>
        </is>
      </c>
      <c r="B85" t="n">
        <v>50</v>
      </c>
      <c r="C85" t="inlineStr">
        <is>
          <t>Grasberg (Indonésia) - lucro do segmento (USD)</t>
        </is>
      </c>
      <c r="D85" s="265" t="n">
        <v>755000</v>
      </c>
      <c r="E85" s="265" t="n">
        <v>1007000</v>
      </c>
      <c r="F85" s="265" t="n">
        <v>1165000</v>
      </c>
      <c r="G85" s="265" t="n">
        <v>1011000</v>
      </c>
      <c r="I85" s="265" t="n">
        <v>1503000</v>
      </c>
      <c r="J85" s="265" t="n">
        <v>1122000</v>
      </c>
      <c r="K85" s="265" t="n">
        <v>844000</v>
      </c>
      <c r="L85" s="265" t="n">
        <v>1131000</v>
      </c>
      <c r="N85" s="265" t="n">
        <v>854000</v>
      </c>
      <c r="O85" s="265" t="n">
        <v>1071000</v>
      </c>
      <c r="P85" s="265" t="n">
        <v>1120000</v>
      </c>
      <c r="Q85" s="265" t="n">
        <v>1672000</v>
      </c>
      <c r="S85" s="265" t="n">
        <v>1596000</v>
      </c>
      <c r="T85" s="265" t="n">
        <v>1314000</v>
      </c>
      <c r="U85" s="265" t="n">
        <v>1690000</v>
      </c>
      <c r="V85" s="265" t="n">
        <v>1022000</v>
      </c>
      <c r="X85" s="265" t="n">
        <v>777000</v>
      </c>
      <c r="Y85" s="265" t="n">
        <v>1868000</v>
      </c>
      <c r="Z85" s="265" t="n">
        <v>1282000</v>
      </c>
      <c r="AA85" s="265" t="n">
        <v>-87000</v>
      </c>
      <c r="AC85" s="265" t="n">
        <v>842000</v>
      </c>
      <c r="AD85" s="265" t="n">
        <v>499000</v>
      </c>
    </row>
    <row r="86">
      <c r="A86" t="inlineStr">
        <is>
          <t>Rod &amp; Refining - receita (USD) · fonte · unid. moeda</t>
        </is>
      </c>
      <c r="B86" t="n">
        <v>51</v>
      </c>
      <c r="C86" t="inlineStr">
        <is>
          <t>Rod &amp; Refining - receita (USD)</t>
        </is>
      </c>
      <c r="D86" s="265" t="n">
        <v>1316000</v>
      </c>
      <c r="E86" s="265" t="n">
        <v>1695000</v>
      </c>
      <c r="F86" s="265" t="n">
        <v>1704000</v>
      </c>
      <c r="G86" s="265" t="n">
        <v>1670000</v>
      </c>
      <c r="I86" s="265" t="n">
        <v>1752000</v>
      </c>
      <c r="J86" s="265" t="n">
        <v>1761000</v>
      </c>
      <c r="K86" s="265" t="n">
        <v>1443000</v>
      </c>
      <c r="L86" s="265" t="n">
        <v>1356000</v>
      </c>
      <c r="N86" s="265" t="n">
        <v>1529000</v>
      </c>
      <c r="O86" s="265" t="n">
        <v>1473000</v>
      </c>
      <c r="P86" s="265" t="n">
        <v>1578000</v>
      </c>
      <c r="Q86" s="265" t="n">
        <v>1346000</v>
      </c>
      <c r="S86" s="265" t="n">
        <v>1499000</v>
      </c>
      <c r="T86" s="265" t="n">
        <v>1704000</v>
      </c>
      <c r="U86" s="265" t="n">
        <v>1571000</v>
      </c>
      <c r="V86" s="265" t="n">
        <v>1465000</v>
      </c>
      <c r="X86" s="265" t="n">
        <v>1632000</v>
      </c>
      <c r="Y86" s="265" t="n">
        <v>1701000</v>
      </c>
      <c r="Z86" s="265" t="n">
        <v>1786000</v>
      </c>
      <c r="AA86" s="265" t="n">
        <v>1800000</v>
      </c>
      <c r="AC86" s="265" t="n">
        <v>2062000</v>
      </c>
      <c r="AD86" s="265" t="n">
        <v>2239000</v>
      </c>
    </row>
    <row r="87">
      <c r="A87" t="inlineStr">
        <is>
          <t>Rod &amp; Refining - lucro do segmento (USD) · fonte · unid. moeda</t>
        </is>
      </c>
      <c r="B87" t="n">
        <v>52</v>
      </c>
      <c r="C87" t="inlineStr">
        <is>
          <t>Rod &amp; Refining - lucro do segmento (USD)</t>
        </is>
      </c>
      <c r="D87" s="265" t="n">
        <v>-1000</v>
      </c>
      <c r="E87" s="265" t="n">
        <v>3000</v>
      </c>
      <c r="F87" s="265" t="n">
        <v>2000</v>
      </c>
      <c r="G87" s="265" t="n">
        <v>-5000</v>
      </c>
      <c r="I87" s="265" t="n">
        <v>-3000</v>
      </c>
      <c r="J87" s="265" t="n">
        <v>-5000</v>
      </c>
      <c r="K87" s="265" t="n">
        <v>-8000</v>
      </c>
      <c r="L87" s="265" t="n">
        <v>-7000</v>
      </c>
      <c r="N87" s="265" t="n">
        <v>1000</v>
      </c>
      <c r="O87" s="265" t="n">
        <v>7000</v>
      </c>
      <c r="P87" s="265" t="n">
        <v>10000</v>
      </c>
      <c r="Q87" s="265" t="n">
        <v>2000</v>
      </c>
      <c r="S87" s="265" t="n">
        <v>11000</v>
      </c>
      <c r="T87" s="265" t="n">
        <v>11000</v>
      </c>
      <c r="U87" s="265" t="n">
        <v>7000</v>
      </c>
      <c r="V87" s="265" t="n">
        <v>0</v>
      </c>
      <c r="X87" s="265" t="n">
        <v>9000</v>
      </c>
      <c r="Y87" s="265" t="n">
        <v>7000</v>
      </c>
      <c r="Z87" s="265" t="n">
        <v>11000</v>
      </c>
      <c r="AA87" s="265" t="n">
        <v>4000</v>
      </c>
      <c r="AC87" s="265" t="n">
        <v>15000</v>
      </c>
      <c r="AD87" s="265" t="n">
        <v>22000</v>
      </c>
    </row>
    <row r="88">
      <c r="A88" t="inlineStr">
        <is>
          <t>Atlantic Copper - receita (USD) · fonte · unid. moeda</t>
        </is>
      </c>
      <c r="B88" t="n">
        <v>53</v>
      </c>
      <c r="C88" t="inlineStr">
        <is>
          <t>Atlantic Copper - receita (USD)</t>
        </is>
      </c>
      <c r="D88" s="265" t="n">
        <v>687000</v>
      </c>
      <c r="E88" s="265" t="n">
        <v>794000</v>
      </c>
      <c r="F88" s="265" t="n">
        <v>783000</v>
      </c>
      <c r="G88" s="265" t="n">
        <v>697000</v>
      </c>
      <c r="I88" s="265" t="n">
        <v>718000</v>
      </c>
      <c r="J88" s="265" t="n">
        <v>433000</v>
      </c>
      <c r="K88" s="265" t="n">
        <v>609000</v>
      </c>
      <c r="L88" s="265" t="n">
        <v>683000</v>
      </c>
      <c r="N88" s="265" t="n">
        <v>756000</v>
      </c>
      <c r="O88" s="265" t="n">
        <v>748000</v>
      </c>
      <c r="P88" s="265" t="n">
        <v>700000</v>
      </c>
      <c r="Q88" s="265" t="n">
        <v>606000</v>
      </c>
      <c r="S88" s="265" t="n">
        <v>673000</v>
      </c>
      <c r="T88" s="265" t="n">
        <v>900000</v>
      </c>
      <c r="U88" s="265" t="n">
        <v>765000</v>
      </c>
      <c r="V88" s="265" t="n">
        <v>679000</v>
      </c>
      <c r="X88" s="265" t="n">
        <v>755000</v>
      </c>
      <c r="Y88" s="265" t="n">
        <v>818000</v>
      </c>
      <c r="Z88" s="265" t="n">
        <v>774000</v>
      </c>
      <c r="AA88" s="265" t="n">
        <v>834000</v>
      </c>
      <c r="AC88" s="265" t="n">
        <v>969000</v>
      </c>
      <c r="AD88" s="265" t="n">
        <v>1030000</v>
      </c>
    </row>
    <row r="89">
      <c r="A89" t="inlineStr">
        <is>
          <t>Atlantic Copper - lucro do segmento (USD) · fonte · unid. moeda</t>
        </is>
      </c>
      <c r="B89" t="n">
        <v>54</v>
      </c>
      <c r="C89" t="inlineStr">
        <is>
          <t>Atlantic Copper - lucro do segmento (USD)</t>
        </is>
      </c>
      <c r="D89" s="265" t="n">
        <v>0</v>
      </c>
      <c r="E89" s="265" t="n">
        <v>6000</v>
      </c>
      <c r="F89" s="265" t="n">
        <v>6000</v>
      </c>
      <c r="G89" s="265" t="n">
        <v>9000</v>
      </c>
      <c r="I89" s="265" t="n">
        <v>-18000</v>
      </c>
      <c r="J89" s="265" t="n">
        <v>-41000</v>
      </c>
      <c r="K89" s="265" t="n">
        <v>-9000</v>
      </c>
      <c r="L89" s="265" t="n">
        <v>7000</v>
      </c>
      <c r="N89" s="265" t="n">
        <v>7000</v>
      </c>
      <c r="O89" s="265" t="n">
        <v>9000</v>
      </c>
      <c r="P89" s="265" t="n">
        <v>7000</v>
      </c>
      <c r="Q89" s="265" t="n">
        <v>13000</v>
      </c>
      <c r="S89" s="265" t="n">
        <v>7000</v>
      </c>
      <c r="T89" s="265" t="n">
        <v>28000</v>
      </c>
      <c r="U89" s="265" t="n">
        <v>-1000</v>
      </c>
      <c r="V89" s="265" t="n">
        <v>15000</v>
      </c>
      <c r="X89" s="265" t="n">
        <v>5000</v>
      </c>
      <c r="Y89" s="265" t="n">
        <v>13000</v>
      </c>
      <c r="Z89" s="265" t="n">
        <v>7000</v>
      </c>
      <c r="AA89" s="265" t="n">
        <v>-14000</v>
      </c>
      <c r="AC89" s="265" t="n">
        <v>22000</v>
      </c>
      <c r="AD89" s="265" t="n">
        <v>26000</v>
      </c>
    </row>
    <row r="90">
      <c r="A90" t="inlineStr">
        <is>
          <t>Notas: valores dimensionais das instâncias XBRL. Até 3T25 a Freeport etiquetava a receita de cada mina separando vendas a terceiros (membro do segmento) e vendas intersegmento (membro de eliminação); a receita do segmento aqui é a soma das duas. A partir de 4T25 usa o total do segmento. As minas norte-americanas vendem quase tudo à Rod &amp; Refining, por isso a soma dos segmentos supera a receita consolidada (diferença = eliminações e demais minas/molibdênio).</t>
        </is>
      </c>
      <c r="C90" t="inlineStr">
        <is>
          <t>[linha bruta, sem código; lançada nas linhas abaixo]</t>
        </is>
      </c>
      <c r="D90" s="265" t="n"/>
      <c r="E90" s="265" t="n"/>
      <c r="F90" s="265" t="n"/>
      <c r="G90" s="265" t="n"/>
      <c r="I90" s="265" t="n"/>
      <c r="J90" s="265" t="n"/>
      <c r="K90" s="265" t="n"/>
      <c r="L90" s="265" t="n"/>
      <c r="N90" s="265" t="n"/>
      <c r="O90" s="265" t="n"/>
      <c r="P90" s="265" t="n"/>
      <c r="Q90" s="265" t="n"/>
      <c r="S90" s="265" t="n"/>
      <c r="T90" s="265" t="n"/>
      <c r="U90" s="265" t="n"/>
      <c r="V90" s="265" t="n"/>
      <c r="X90" s="265" t="n"/>
      <c r="Y90" s="265" t="n"/>
      <c r="Z90" s="265" t="n"/>
      <c r="AA90" s="265" t="n"/>
      <c r="AC90" s="265" t="n"/>
      <c r="AD90" s="265" t="n"/>
    </row>
    <row r="92">
      <c r="A92" t="inlineStr">
        <is>
          <t>Linhas de origem: 4 a 90. A Inputs (2) varre as linhas 4 a 150; as linhas 91 a 150 estão livres. Linhas "(lançamento)" aplicam código e sinal sobre a linha bruta indicada (a máscara tem uma só coluna de código).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62"/>
  <sheetViews>
    <sheetView showGridLines="0" tabSelected="1" zoomScaleNormal="100" workbookViewId="0">
      <pane xSplit="3" ySplit="3" topLeftCell="D4" activePane="bottomRight" state="frozen"/>
      <selection activeCell="C3" sqref="C3"/>
      <selection pane="topRight" activeCell="C3" sqref="C3"/>
      <selection pane="bottomLeft" activeCell="C3" sqref="C3"/>
      <selection pane="bottomRight" activeCell="C3" sqref="C3"/>
    </sheetView>
  </sheetViews>
  <sheetFormatPr baseColWidth="8" defaultColWidth="10.42578125" defaultRowHeight="12.75"/>
  <cols>
    <col width="14.7109375" customWidth="1" style="3" min="1" max="1"/>
    <col width="10.140625" customWidth="1" style="3" min="2" max="2"/>
    <col width="50" customWidth="1" style="4" min="3" max="3"/>
    <col width="12.42578125" customWidth="1" style="3" min="4" max="33"/>
    <col width="10.42578125" customWidth="1" style="4" min="34" max="54"/>
    <col width="11" customWidth="1" style="4" min="55" max="55"/>
    <col width="10.42578125" customWidth="1" style="4" min="56" max="58"/>
    <col width="10.42578125" customWidth="1" style="4" min="59" max="16384"/>
  </cols>
  <sheetData>
    <row r="1" ht="14.25" customFormat="1" customHeight="1" s="3">
      <c r="A1" s="5" t="str">
        <f>IF(Control!B3="","EMPRESA",Control!B3)</f>
        <v>Freeport-McMoRan Inc.</v>
      </c>
      <c r="B1" s="5" t="inlineStr">
        <is>
          <t>Código</t>
        </is>
      </c>
      <c r="C1" s="1" t="inlineStr">
        <is>
          <t>Conta padronizada</t>
        </is>
      </c>
      <c r="D1" s="1" t="n">
        <v>2021</v>
      </c>
      <c r="E1" s="1" t="n">
        <v>2021</v>
      </c>
      <c r="F1" s="1" t="n">
        <v>2021</v>
      </c>
      <c r="G1" s="1" t="n">
        <v>2021</v>
      </c>
      <c r="H1" s="1" t="n">
        <v>2021</v>
      </c>
      <c r="I1" s="1" t="n">
        <v>2022</v>
      </c>
      <c r="J1" s="1" t="n">
        <v>2022</v>
      </c>
      <c r="K1" s="1" t="n">
        <v>2022</v>
      </c>
      <c r="L1" s="1" t="n">
        <v>2022</v>
      </c>
      <c r="M1" s="1" t="n">
        <v>2022</v>
      </c>
      <c r="N1" s="1" t="n">
        <v>2023</v>
      </c>
      <c r="O1" s="1" t="n">
        <v>2023</v>
      </c>
      <c r="P1" s="1" t="n">
        <v>2023</v>
      </c>
      <c r="Q1" s="1" t="n">
        <v>2023</v>
      </c>
      <c r="R1" s="1" t="n">
        <v>2023</v>
      </c>
      <c r="S1" s="1" t="n">
        <v>2024</v>
      </c>
      <c r="T1" s="1" t="n">
        <v>2024</v>
      </c>
      <c r="U1" s="1" t="n">
        <v>2024</v>
      </c>
      <c r="V1" s="1" t="n">
        <v>2024</v>
      </c>
      <c r="W1" s="1" t="n">
        <v>2024</v>
      </c>
      <c r="X1" s="1" t="n">
        <v>2025</v>
      </c>
      <c r="Y1" s="1" t="n">
        <v>2025</v>
      </c>
      <c r="Z1" s="1" t="n">
        <v>2025</v>
      </c>
      <c r="AA1" s="1" t="n">
        <v>2025</v>
      </c>
      <c r="AB1" s="1" t="n">
        <v>2025</v>
      </c>
      <c r="AC1" s="1" t="n">
        <v>2026</v>
      </c>
      <c r="AD1" s="1" t="n">
        <v>2026</v>
      </c>
      <c r="AE1" s="1" t="n">
        <v>2026</v>
      </c>
      <c r="AF1" s="1" t="n">
        <v>2026</v>
      </c>
      <c r="AG1" s="1" t="n">
        <v>2026</v>
      </c>
    </row>
    <row r="2" ht="14.25" customHeight="1">
      <c r="A2" s="1" t="inlineStr">
        <is>
          <t>US$ milhões</t>
        </is>
      </c>
      <c r="B2" s="1" t="n"/>
      <c r="C2" s="1" t="inlineStr">
        <is>
          <t>Período</t>
        </is>
      </c>
      <c r="D2" s="6" t="inlineStr">
        <is>
          <t>1Q21</t>
        </is>
      </c>
      <c r="E2" s="6" t="inlineStr">
        <is>
          <t>2Q21</t>
        </is>
      </c>
      <c r="F2" s="6" t="inlineStr">
        <is>
          <t>3Q21</t>
        </is>
      </c>
      <c r="G2" s="6" t="inlineStr">
        <is>
          <t>4Q21</t>
        </is>
      </c>
      <c r="H2" s="7" t="inlineStr">
        <is>
          <t>2021</t>
        </is>
      </c>
      <c r="I2" s="6" t="inlineStr">
        <is>
          <t>1Q22</t>
        </is>
      </c>
      <c r="J2" s="6" t="inlineStr">
        <is>
          <t>2Q22</t>
        </is>
      </c>
      <c r="K2" s="6" t="inlineStr">
        <is>
          <t>3Q22</t>
        </is>
      </c>
      <c r="L2" s="6" t="inlineStr">
        <is>
          <t>4Q22</t>
        </is>
      </c>
      <c r="M2" s="7" t="inlineStr">
        <is>
          <t>2022</t>
        </is>
      </c>
      <c r="N2" s="6" t="inlineStr">
        <is>
          <t>1Q23</t>
        </is>
      </c>
      <c r="O2" s="6" t="inlineStr">
        <is>
          <t>2Q23</t>
        </is>
      </c>
      <c r="P2" s="6" t="inlineStr">
        <is>
          <t>3Q23</t>
        </is>
      </c>
      <c r="Q2" s="6" t="inlineStr">
        <is>
          <t>4Q23</t>
        </is>
      </c>
      <c r="R2" s="7" t="inlineStr">
        <is>
          <t>2023</t>
        </is>
      </c>
      <c r="S2" s="6" t="inlineStr">
        <is>
          <t>1Q24</t>
        </is>
      </c>
      <c r="T2" s="6" t="inlineStr">
        <is>
          <t>2Q24</t>
        </is>
      </c>
      <c r="U2" s="6" t="inlineStr">
        <is>
          <t>3Q24</t>
        </is>
      </c>
      <c r="V2" s="6" t="inlineStr">
        <is>
          <t>4Q24</t>
        </is>
      </c>
      <c r="W2" s="7" t="inlineStr">
        <is>
          <t>2024</t>
        </is>
      </c>
      <c r="X2" s="6" t="inlineStr">
        <is>
          <t>1Q25</t>
        </is>
      </c>
      <c r="Y2" s="6" t="inlineStr">
        <is>
          <t>2Q25</t>
        </is>
      </c>
      <c r="Z2" s="6" t="inlineStr">
        <is>
          <t>3Q25</t>
        </is>
      </c>
      <c r="AA2" s="6" t="inlineStr">
        <is>
          <t>4Q25</t>
        </is>
      </c>
      <c r="AB2" s="7" t="inlineStr">
        <is>
          <t>2025</t>
        </is>
      </c>
      <c r="AC2" s="6" t="inlineStr">
        <is>
          <t>1Q26</t>
        </is>
      </c>
      <c r="AD2" s="6" t="inlineStr">
        <is>
          <t>2Q26</t>
        </is>
      </c>
      <c r="AE2" s="6" t="inlineStr">
        <is>
          <t>3Q26</t>
        </is>
      </c>
      <c r="AF2" s="6" t="inlineStr">
        <is>
          <t>4Q26</t>
        </is>
      </c>
      <c r="AG2" s="7" t="inlineStr">
        <is>
          <t>2026</t>
        </is>
      </c>
    </row>
    <row r="3" ht="15" customHeight="1">
      <c r="A3" s="8" t="inlineStr">
        <is>
          <t>Actual flag</t>
        </is>
      </c>
      <c r="B3" s="8" t="n"/>
      <c r="C3" s="8" t="inlineStr">
        <is>
          <t>0 = sem dados / 1 = realizado</t>
        </is>
      </c>
      <c r="D3" s="8" t="n">
        <v>1</v>
      </c>
      <c r="E3" s="8" t="n">
        <v>1</v>
      </c>
      <c r="F3" s="8" t="n">
        <v>1</v>
      </c>
      <c r="G3" s="8" t="n">
        <v>1</v>
      </c>
      <c r="H3" s="8" t="n">
        <v>1</v>
      </c>
      <c r="I3" s="8" t="n">
        <v>1</v>
      </c>
      <c r="J3" s="8" t="n">
        <v>1</v>
      </c>
      <c r="K3" s="8" t="n">
        <v>1</v>
      </c>
      <c r="L3" s="8" t="n">
        <v>1</v>
      </c>
      <c r="M3" s="8" t="n">
        <v>1</v>
      </c>
      <c r="N3" s="8" t="n">
        <v>1</v>
      </c>
      <c r="O3" s="8" t="n">
        <v>1</v>
      </c>
      <c r="P3" s="8" t="n">
        <v>1</v>
      </c>
      <c r="Q3" s="8" t="n">
        <v>1</v>
      </c>
      <c r="R3" s="8" t="n">
        <v>1</v>
      </c>
      <c r="S3" s="8" t="n">
        <v>1</v>
      </c>
      <c r="T3" s="8" t="n">
        <v>1</v>
      </c>
      <c r="U3" s="8" t="n">
        <v>1</v>
      </c>
      <c r="V3" s="8" t="n">
        <v>1</v>
      </c>
      <c r="W3" s="8" t="n">
        <v>1</v>
      </c>
      <c r="X3" s="8" t="n">
        <v>1</v>
      </c>
      <c r="Y3" s="8" t="n">
        <v>1</v>
      </c>
      <c r="Z3" s="8" t="n">
        <v>1</v>
      </c>
      <c r="AA3" s="8" t="n">
        <v>1</v>
      </c>
      <c r="AB3" s="8" t="n">
        <v>1</v>
      </c>
      <c r="AC3" s="8" t="n">
        <v>1</v>
      </c>
      <c r="AD3" s="8" t="n">
        <v>1</v>
      </c>
      <c r="AE3" s="8" t="n">
        <v>0</v>
      </c>
      <c r="AF3" s="8" t="n">
        <v>0</v>
      </c>
      <c r="AG3" s="8" t="n">
        <v>0</v>
      </c>
    </row>
    <row r="4">
      <c r="B4" s="9" t="n">
        <v>1</v>
      </c>
      <c r="C4" s="10" t="inlineStr">
        <is>
          <t>Net Revenues</t>
        </is>
      </c>
      <c r="D4" s="11">
        <f>IF(D$3=0,"",SUMIFS(INDEX(Inputs!$D$4:$AG$150,0,MATCH(D$2,Inputs!$D$2:$AG$2,0)),Inputs!$B$4:$B$150,$B4)/1000)</f>
        <v>4850</v>
      </c>
      <c r="E4" s="11">
        <f>IF(E$3=0,"",SUMIFS(INDEX(Inputs!$D$4:$AG$150,0,MATCH(E$2,Inputs!$D$2:$AG$2,0)),Inputs!$B$4:$B$150,$B4)/1000)</f>
        <v>5748</v>
      </c>
      <c r="F4" s="11">
        <f>IF(F$3=0,"",SUMIFS(INDEX(Inputs!$D$4:$AG$150,0,MATCH(F$2,Inputs!$D$2:$AG$2,0)),Inputs!$B$4:$B$150,$B4)/1000)</f>
        <v>6083</v>
      </c>
      <c r="G4" s="11">
        <f>IF(G$3=0,"",SUMIFS(INDEX(Inputs!$D$4:$AG$150,0,MATCH(G$2,Inputs!$D$2:$AG$2,0)),Inputs!$B$4:$B$150,$B4)/1000)</f>
        <v>6164</v>
      </c>
      <c r="H4" s="12">
        <f>IF(COUNT(D4:G4)=4,SUM(D4:G4),"")</f>
        <v>22845</v>
      </c>
      <c r="I4" s="11">
        <f>IF(I$3=0,"",SUMIFS(INDEX(Inputs!$D$4:$AG$150,0,MATCH(I$2,Inputs!$D$2:$AG$2,0)),Inputs!$B$4:$B$150,$B4)/1000)</f>
        <v>6603</v>
      </c>
      <c r="J4" s="11">
        <f>IF(J$3=0,"",SUMIFS(INDEX(Inputs!$D$4:$AG$150,0,MATCH(J$2,Inputs!$D$2:$AG$2,0)),Inputs!$B$4:$B$150,$B4)/1000)</f>
        <v>5416</v>
      </c>
      <c r="K4" s="11">
        <f>IF(K$3=0,"",SUMIFS(INDEX(Inputs!$D$4:$AG$150,0,MATCH(K$2,Inputs!$D$2:$AG$2,0)),Inputs!$B$4:$B$150,$B4)/1000)</f>
        <v>5003</v>
      </c>
      <c r="L4" s="11">
        <f>IF(L$3=0,"",SUMIFS(INDEX(Inputs!$D$4:$AG$150,0,MATCH(L$2,Inputs!$D$2:$AG$2,0)),Inputs!$B$4:$B$150,$B4)/1000)</f>
        <v>5758</v>
      </c>
      <c r="M4" s="12">
        <f>IF(COUNT(I4:L4)=4,SUM(I4:L4),"")</f>
        <v>22780</v>
      </c>
      <c r="N4" s="11">
        <f>IF(N$3=0,"",SUMIFS(INDEX(Inputs!$D$4:$AG$150,0,MATCH(N$2,Inputs!$D$2:$AG$2,0)),Inputs!$B$4:$B$150,$B4)/1000)</f>
        <v>5389</v>
      </c>
      <c r="O4" s="11">
        <f>IF(O$3=0,"",SUMIFS(INDEX(Inputs!$D$4:$AG$150,0,MATCH(O$2,Inputs!$D$2:$AG$2,0)),Inputs!$B$4:$B$150,$B4)/1000)</f>
        <v>5737</v>
      </c>
      <c r="P4" s="11">
        <f>IF(P$3=0,"",SUMIFS(INDEX(Inputs!$D$4:$AG$150,0,MATCH(P$2,Inputs!$D$2:$AG$2,0)),Inputs!$B$4:$B$150,$B4)/1000)</f>
        <v>5824</v>
      </c>
      <c r="Q4" s="11">
        <f>IF(Q$3=0,"",SUMIFS(INDEX(Inputs!$D$4:$AG$150,0,MATCH(Q$2,Inputs!$D$2:$AG$2,0)),Inputs!$B$4:$B$150,$B4)/1000)</f>
        <v>5905</v>
      </c>
      <c r="R4" s="12">
        <f>IF(COUNT(N4:Q4)=4,SUM(N4:Q4),"")</f>
        <v>22855</v>
      </c>
      <c r="S4" s="11">
        <f>IF(S$3=0,"",SUMIFS(INDEX(Inputs!$D$4:$AG$150,0,MATCH(S$2,Inputs!$D$2:$AG$2,0)),Inputs!$B$4:$B$150,$B4)/1000)</f>
        <v>6321</v>
      </c>
      <c r="T4" s="11">
        <f>IF(T$3=0,"",SUMIFS(INDEX(Inputs!$D$4:$AG$150,0,MATCH(T$2,Inputs!$D$2:$AG$2,0)),Inputs!$B$4:$B$150,$B4)/1000)</f>
        <v>6624</v>
      </c>
      <c r="U4" s="11">
        <f>IF(U$3=0,"",SUMIFS(INDEX(Inputs!$D$4:$AG$150,0,MATCH(U$2,Inputs!$D$2:$AG$2,0)),Inputs!$B$4:$B$150,$B4)/1000)</f>
        <v>6790</v>
      </c>
      <c r="V4" s="11">
        <f>IF(V$3=0,"",SUMIFS(INDEX(Inputs!$D$4:$AG$150,0,MATCH(V$2,Inputs!$D$2:$AG$2,0)),Inputs!$B$4:$B$150,$B4)/1000)</f>
        <v>5720</v>
      </c>
      <c r="W4" s="12">
        <f>IF(COUNT(S4:V4)=4,SUM(S4:V4),"")</f>
        <v>25455</v>
      </c>
      <c r="X4" s="11">
        <f>IF(X$3=0,"",SUMIFS(INDEX(Inputs!$D$4:$AG$150,0,MATCH(X$2,Inputs!$D$2:$AG$2,0)),Inputs!$B$4:$B$150,$B4)/1000)</f>
        <v>5728</v>
      </c>
      <c r="Y4" s="11">
        <f>IF(Y$3=0,"",SUMIFS(INDEX(Inputs!$D$4:$AG$150,0,MATCH(Y$2,Inputs!$D$2:$AG$2,0)),Inputs!$B$4:$B$150,$B4)/1000)</f>
        <v>7582</v>
      </c>
      <c r="Z4" s="11">
        <f>IF(Z$3=0,"",SUMIFS(INDEX(Inputs!$D$4:$AG$150,0,MATCH(Z$2,Inputs!$D$2:$AG$2,0)),Inputs!$B$4:$B$150,$B4)/1000)</f>
        <v>6972</v>
      </c>
      <c r="AA4" s="11">
        <f>IF(AA$3=0,"",SUMIFS(INDEX(Inputs!$D$4:$AG$150,0,MATCH(AA$2,Inputs!$D$2:$AG$2,0)),Inputs!$B$4:$B$150,$B4)/1000)</f>
        <v>5633</v>
      </c>
      <c r="AB4" s="12">
        <f>IF(COUNT(X4:AA4)=4,SUM(X4:AA4),"")</f>
        <v>25915</v>
      </c>
      <c r="AC4" s="11">
        <f>IF(AC$3=0,"",SUMIFS(INDEX(Inputs!$D$4:$AG$150,0,MATCH(AC$2,Inputs!$D$2:$AG$2,0)),Inputs!$B$4:$B$150,$B4)/1000)</f>
        <v>6234</v>
      </c>
      <c r="AD4" s="11">
        <f>IF(AD$3=0,"",SUMIFS(INDEX(Inputs!$D$4:$AG$150,0,MATCH(AD$2,Inputs!$D$2:$AG$2,0)),Inputs!$B$4:$B$150,$B4)/1000)</f>
        <v>7029</v>
      </c>
      <c r="AE4" s="11" t="str">
        <f>IF(AE$3=0,"",SUMIFS(INDEX(Inputs!$D$4:$AG$150,0,MATCH(AE$2,Inputs!$D$2:$AG$2,0)),Inputs!$B$4:$B$150,$B4)/1000)</f>
        <v/>
      </c>
      <c r="AF4" s="11" t="str">
        <f>IF(AF$3=0,"",SUMIFS(INDEX(Inputs!$D$4:$AG$150,0,MATCH(AF$2,Inputs!$D$2:$AG$2,0)),Inputs!$B$4:$B$150,$B4)/1000)</f>
        <v/>
      </c>
      <c r="AG4" s="12" t="str">
        <f>IF(COUNT(AC4:AF4)=4,SUM(AC4:AF4),"")</f>
        <v/>
      </c>
    </row>
    <row r="5">
      <c r="B5" s="9" t="n">
        <v>2</v>
      </c>
      <c r="C5" s="13" t="inlineStr">
        <is>
          <t>COGS (cash)</t>
        </is>
      </c>
      <c r="D5" s="11">
        <f>IF(D$3=0,"",SUMIFS(INDEX(Inputs!$D$4:$AG$150,0,MATCH(D$2,Inputs!$D$2:$AG$2,0)),Inputs!$B$4:$B$150,$B5)/1000)</f>
        <v>-2787</v>
      </c>
      <c r="E5" s="11">
        <f>IF(E$3=0,"",SUMIFS(INDEX(Inputs!$D$4:$AG$150,0,MATCH(E$2,Inputs!$D$2:$AG$2,0)),Inputs!$B$4:$B$150,$B5)/1000)</f>
        <v>-3067</v>
      </c>
      <c r="F5" s="11">
        <f>IF(F$3=0,"",SUMIFS(INDEX(Inputs!$D$4:$AG$150,0,MATCH(F$2,Inputs!$D$2:$AG$2,0)),Inputs!$B$4:$B$150,$B5)/1000)</f>
        <v>-3023</v>
      </c>
      <c r="G5" s="11">
        <f>IF(G$3=0,"",SUMIFS(INDEX(Inputs!$D$4:$AG$150,0,MATCH(G$2,Inputs!$D$2:$AG$2,0)),Inputs!$B$4:$B$150,$B5)/1000)</f>
        <v>-3155</v>
      </c>
      <c r="H5" s="12">
        <f>IF(COUNT(D5:G5)=4,SUM(D5:G5),"")</f>
        <v>-12032</v>
      </c>
      <c r="I5" s="11">
        <f>IF(I$3=0,"",SUMIFS(INDEX(Inputs!$D$4:$AG$150,0,MATCH(I$2,Inputs!$D$2:$AG$2,0)),Inputs!$B$4:$B$150,$B5)/1000)</f>
        <v>-3150</v>
      </c>
      <c r="J5" s="11">
        <f>IF(J$3=0,"",SUMIFS(INDEX(Inputs!$D$4:$AG$150,0,MATCH(J$2,Inputs!$D$2:$AG$2,0)),Inputs!$B$4:$B$150,$B5)/1000)</f>
        <v>-3021</v>
      </c>
      <c r="K5" s="11">
        <f>IF(K$3=0,"",SUMIFS(INDEX(Inputs!$D$4:$AG$150,0,MATCH(K$2,Inputs!$D$2:$AG$2,0)),Inputs!$B$4:$B$150,$B5)/1000)</f>
        <v>-3391</v>
      </c>
      <c r="L5" s="11">
        <f>IF(L$3=0,"",SUMIFS(INDEX(Inputs!$D$4:$AG$150,0,MATCH(L$2,Inputs!$D$2:$AG$2,0)),Inputs!$B$4:$B$150,$B5)/1000)</f>
        <v>-3508</v>
      </c>
      <c r="M5" s="12">
        <f>IF(COUNT(I5:L5)=4,SUM(I5:L5),"")</f>
        <v>-13070</v>
      </c>
      <c r="N5" s="11">
        <f>IF(N$3=0,"",SUMIFS(INDEX(Inputs!$D$4:$AG$150,0,MATCH(N$2,Inputs!$D$2:$AG$2,0)),Inputs!$B$4:$B$150,$B5)/1000)</f>
        <v>-3165</v>
      </c>
      <c r="O5" s="11">
        <f>IF(O$3=0,"",SUMIFS(INDEX(Inputs!$D$4:$AG$150,0,MATCH(O$2,Inputs!$D$2:$AG$2,0)),Inputs!$B$4:$B$150,$B5)/1000)</f>
        <v>-3549</v>
      </c>
      <c r="P5" s="11">
        <f>IF(P$3=0,"",SUMIFS(INDEX(Inputs!$D$4:$AG$150,0,MATCH(P$2,Inputs!$D$2:$AG$2,0)),Inputs!$B$4:$B$150,$B5)/1000)</f>
        <v>-3553</v>
      </c>
      <c r="Q5" s="11">
        <f>IF(Q$3=0,"",SUMIFS(INDEX(Inputs!$D$4:$AG$150,0,MATCH(Q$2,Inputs!$D$2:$AG$2,0)),Inputs!$B$4:$B$150,$B5)/1000)</f>
        <v>-3360</v>
      </c>
      <c r="R5" s="12">
        <f>IF(COUNT(N5:Q5)=4,SUM(N5:Q5),"")</f>
        <v>-13627</v>
      </c>
      <c r="S5" s="11">
        <f>IF(S$3=0,"",SUMIFS(INDEX(Inputs!$D$4:$AG$150,0,MATCH(S$2,Inputs!$D$2:$AG$2,0)),Inputs!$B$4:$B$150,$B5)/1000)</f>
        <v>-3844</v>
      </c>
      <c r="T5" s="11">
        <f>IF(T$3=0,"",SUMIFS(INDEX(Inputs!$D$4:$AG$150,0,MATCH(T$2,Inputs!$D$2:$AG$2,0)),Inputs!$B$4:$B$150,$B5)/1000)</f>
        <v>-3875</v>
      </c>
      <c r="U5" s="11">
        <f>IF(U$3=0,"",SUMIFS(INDEX(Inputs!$D$4:$AG$150,0,MATCH(U$2,Inputs!$D$2:$AG$2,0)),Inputs!$B$4:$B$150,$B5)/1000)</f>
        <v>-4077</v>
      </c>
      <c r="V5" s="11">
        <f>IF(V$3=0,"",SUMIFS(INDEX(Inputs!$D$4:$AG$150,0,MATCH(V$2,Inputs!$D$2:$AG$2,0)),Inputs!$B$4:$B$150,$B5)/1000)</f>
        <v>-3758</v>
      </c>
      <c r="W5" s="12">
        <f>IF(COUNT(S5:V5)=4,SUM(S5:V5),"")</f>
        <v>-15554</v>
      </c>
      <c r="X5" s="11">
        <f>IF(X$3=0,"",SUMIFS(INDEX(Inputs!$D$4:$AG$150,0,MATCH(X$2,Inputs!$D$2:$AG$2,0)),Inputs!$B$4:$B$150,$B5)/1000)</f>
        <v>-3756</v>
      </c>
      <c r="Y5" s="11">
        <f>IF(Y$3=0,"",SUMIFS(INDEX(Inputs!$D$4:$AG$150,0,MATCH(Y$2,Inputs!$D$2:$AG$2,0)),Inputs!$B$4:$B$150,$B5)/1000)</f>
        <v>-4282</v>
      </c>
      <c r="Z5" s="11">
        <f>IF(Z$3=0,"",SUMIFS(INDEX(Inputs!$D$4:$AG$150,0,MATCH(Z$2,Inputs!$D$2:$AG$2,0)),Inputs!$B$4:$B$150,$B5)/1000)</f>
        <v>-4205</v>
      </c>
      <c r="AA5" s="11">
        <f>IF(AA$3=0,"",SUMIFS(INDEX(Inputs!$D$4:$AG$150,0,MATCH(AA$2,Inputs!$D$2:$AG$2,0)),Inputs!$B$4:$B$150,$B5)/1000)</f>
        <v>-4131</v>
      </c>
      <c r="AB5" s="12">
        <f>IF(COUNT(X5:AA5)=4,SUM(X5:AA5),"")</f>
        <v>-16374</v>
      </c>
      <c r="AC5" s="11">
        <f>IF(AC$3=0,"",SUMIFS(INDEX(Inputs!$D$4:$AG$150,0,MATCH(AC$2,Inputs!$D$2:$AG$2,0)),Inputs!$B$4:$B$150,$B5)/1000)</f>
        <v>-4065</v>
      </c>
      <c r="AD5" s="11">
        <f>IF(AD$3=0,"",SUMIFS(INDEX(Inputs!$D$4:$AG$150,0,MATCH(AD$2,Inputs!$D$2:$AG$2,0)),Inputs!$B$4:$B$150,$B5)/1000)</f>
        <v>-4320</v>
      </c>
      <c r="AE5" s="11" t="str">
        <f>IF(AE$3=0,"",SUMIFS(INDEX(Inputs!$D$4:$AG$150,0,MATCH(AE$2,Inputs!$D$2:$AG$2,0)),Inputs!$B$4:$B$150,$B5)/1000)</f>
        <v/>
      </c>
      <c r="AF5" s="11" t="str">
        <f>IF(AF$3=0,"",SUMIFS(INDEX(Inputs!$D$4:$AG$150,0,MATCH(AF$2,Inputs!$D$2:$AG$2,0)),Inputs!$B$4:$B$150,$B5)/1000)</f>
        <v/>
      </c>
      <c r="AG5" s="12" t="str">
        <f>IF(COUNT(AC5:AF5)=4,SUM(AC5:AF5),"")</f>
        <v/>
      </c>
    </row>
    <row r="6">
      <c r="B6" s="9" t="n">
        <v>3</v>
      </c>
      <c r="C6" s="13" t="inlineStr">
        <is>
          <t>SG&amp;A and Other (cash)</t>
        </is>
      </c>
      <c r="D6" s="11">
        <f>IF(D$3=0,"",SUMIFS(INDEX(Inputs!$D$4:$AG$150,0,MATCH(D$2,Inputs!$D$2:$AG$2,0)),Inputs!$B$4:$B$150,$B6)/1000)</f>
        <v>-112</v>
      </c>
      <c r="E6" s="11">
        <f>IF(E$3=0,"",SUMIFS(INDEX(Inputs!$D$4:$AG$150,0,MATCH(E$2,Inputs!$D$2:$AG$2,0)),Inputs!$B$4:$B$150,$B6)/1000)</f>
        <v>-131</v>
      </c>
      <c r="F6" s="11">
        <f>IF(F$3=0,"",SUMIFS(INDEX(Inputs!$D$4:$AG$150,0,MATCH(F$2,Inputs!$D$2:$AG$2,0)),Inputs!$B$4:$B$150,$B6)/1000)</f>
        <v>-70</v>
      </c>
      <c r="G6" s="11">
        <f>IF(G$3=0,"",SUMIFS(INDEX(Inputs!$D$4:$AG$150,0,MATCH(G$2,Inputs!$D$2:$AG$2,0)),Inputs!$B$4:$B$150,$B6)/1000)</f>
        <v>-136</v>
      </c>
      <c r="H6" s="12">
        <f>IF(COUNT(D6:G6)=4,SUM(D6:G6),"")</f>
        <v>-449</v>
      </c>
      <c r="I6" s="11">
        <f>IF(I$3=0,"",SUMIFS(INDEX(Inputs!$D$4:$AG$150,0,MATCH(I$2,Inputs!$D$2:$AG$2,0)),Inputs!$B$4:$B$150,$B6)/1000)</f>
        <v>-155</v>
      </c>
      <c r="J6" s="11">
        <f>IF(J$3=0,"",SUMIFS(INDEX(Inputs!$D$4:$AG$150,0,MATCH(J$2,Inputs!$D$2:$AG$2,0)),Inputs!$B$4:$B$150,$B6)/1000)</f>
        <v>-152</v>
      </c>
      <c r="K6" s="11">
        <f>IF(K$3=0,"",SUMIFS(INDEX(Inputs!$D$4:$AG$150,0,MATCH(K$2,Inputs!$D$2:$AG$2,0)),Inputs!$B$4:$B$150,$B6)/1000)</f>
        <v>-142</v>
      </c>
      <c r="L6" s="11">
        <f>IF(L$3=0,"",SUMIFS(INDEX(Inputs!$D$4:$AG$150,0,MATCH(L$2,Inputs!$D$2:$AG$2,0)),Inputs!$B$4:$B$150,$B6)/1000)</f>
        <v>-205</v>
      </c>
      <c r="M6" s="12">
        <f>IF(COUNT(I6:L6)=4,SUM(I6:L6),"")</f>
        <v>-654</v>
      </c>
      <c r="N6" s="11">
        <f>IF(N$3=0,"",SUMIFS(INDEX(Inputs!$D$4:$AG$150,0,MATCH(N$2,Inputs!$D$2:$AG$2,0)),Inputs!$B$4:$B$150,$B6)/1000)</f>
        <v>-224</v>
      </c>
      <c r="O6" s="11">
        <f>IF(O$3=0,"",SUMIFS(INDEX(Inputs!$D$4:$AG$150,0,MATCH(O$2,Inputs!$D$2:$AG$2,0)),Inputs!$B$4:$B$150,$B6)/1000)</f>
        <v>-231</v>
      </c>
      <c r="P6" s="11">
        <f>IF(P$3=0,"",SUMIFS(INDEX(Inputs!$D$4:$AG$150,0,MATCH(P$2,Inputs!$D$2:$AG$2,0)),Inputs!$B$4:$B$150,$B6)/1000)</f>
        <v>-246</v>
      </c>
      <c r="Q6" s="11">
        <f>IF(Q$3=0,"",SUMIFS(INDEX(Inputs!$D$4:$AG$150,0,MATCH(Q$2,Inputs!$D$2:$AG$2,0)),Inputs!$B$4:$B$150,$B6)/1000)</f>
        <v>-234</v>
      </c>
      <c r="R6" s="12">
        <f>IF(COUNT(N6:Q6)=4,SUM(N6:Q6),"")</f>
        <v>-935</v>
      </c>
      <c r="S6" s="11">
        <f>IF(S$3=0,"",SUMIFS(INDEX(Inputs!$D$4:$AG$150,0,MATCH(S$2,Inputs!$D$2:$AG$2,0)),Inputs!$B$4:$B$150,$B6)/1000)</f>
        <v>-248</v>
      </c>
      <c r="T6" s="11">
        <f>IF(T$3=0,"",SUMIFS(INDEX(Inputs!$D$4:$AG$150,0,MATCH(T$2,Inputs!$D$2:$AG$2,0)),Inputs!$B$4:$B$150,$B6)/1000)</f>
        <v>-191</v>
      </c>
      <c r="U6" s="11">
        <f>IF(U$3=0,"",SUMIFS(INDEX(Inputs!$D$4:$AG$150,0,MATCH(U$2,Inputs!$D$2:$AG$2,0)),Inputs!$B$4:$B$150,$B6)/1000)</f>
        <v>-175</v>
      </c>
      <c r="V6" s="11">
        <f>IF(V$3=0,"",SUMIFS(INDEX(Inputs!$D$4:$AG$150,0,MATCH(V$2,Inputs!$D$2:$AG$2,0)),Inputs!$B$4:$B$150,$B6)/1000)</f>
        <v>-182</v>
      </c>
      <c r="W6" s="12">
        <f>IF(COUNT(S6:V6)=4,SUM(S6:V6),"")</f>
        <v>-796</v>
      </c>
      <c r="X6" s="11">
        <f>IF(X$3=0,"",SUMIFS(INDEX(Inputs!$D$4:$AG$150,0,MATCH(X$2,Inputs!$D$2:$AG$2,0)),Inputs!$B$4:$B$150,$B6)/1000)</f>
        <v>-203</v>
      </c>
      <c r="Y6" s="11">
        <f>IF(Y$3=0,"",SUMIFS(INDEX(Inputs!$D$4:$AG$150,0,MATCH(Y$2,Inputs!$D$2:$AG$2,0)),Inputs!$B$4:$B$150,$B6)/1000)</f>
        <v>-200</v>
      </c>
      <c r="Z6" s="11">
        <f>IF(Z$3=0,"",SUMIFS(INDEX(Inputs!$D$4:$AG$150,0,MATCH(Z$2,Inputs!$D$2:$AG$2,0)),Inputs!$B$4:$B$150,$B6)/1000)</f>
        <v>-170</v>
      </c>
      <c r="AA6" s="11">
        <f>IF(AA$3=0,"",SUMIFS(INDEX(Inputs!$D$4:$AG$150,0,MATCH(AA$2,Inputs!$D$2:$AG$2,0)),Inputs!$B$4:$B$150,$B6)/1000)</f>
        <v>-206</v>
      </c>
      <c r="AB6" s="12">
        <f>IF(COUNT(X6:AA6)=4,SUM(X6:AA6),"")</f>
        <v>-779</v>
      </c>
      <c r="AC6" s="11">
        <f>IF(AC$3=0,"",SUMIFS(INDEX(Inputs!$D$4:$AG$150,0,MATCH(AC$2,Inputs!$D$2:$AG$2,0)),Inputs!$B$4:$B$150,$B6)/1000)</f>
        <v>482</v>
      </c>
      <c r="AD6" s="11">
        <f>IF(AD$3=0,"",SUMIFS(INDEX(Inputs!$D$4:$AG$150,0,MATCH(AD$2,Inputs!$D$2:$AG$2,0)),Inputs!$B$4:$B$150,$B6)/1000)</f>
        <v>-183</v>
      </c>
      <c r="AE6" s="11" t="str">
        <f>IF(AE$3=0,"",SUMIFS(INDEX(Inputs!$D$4:$AG$150,0,MATCH(AE$2,Inputs!$D$2:$AG$2,0)),Inputs!$B$4:$B$150,$B6)/1000)</f>
        <v/>
      </c>
      <c r="AF6" s="11" t="str">
        <f>IF(AF$3=0,"",SUMIFS(INDEX(Inputs!$D$4:$AG$150,0,MATCH(AF$2,Inputs!$D$2:$AG$2,0)),Inputs!$B$4:$B$150,$B6)/1000)</f>
        <v/>
      </c>
      <c r="AG6" s="12" t="str">
        <f>IF(COUNT(AC6:AF6)=4,SUM(AC6:AF6),"")</f>
        <v/>
      </c>
    </row>
    <row r="7">
      <c r="B7" s="9" t="n">
        <v>4</v>
      </c>
      <c r="C7" s="13" t="inlineStr">
        <is>
          <t>D&amp;A</t>
        </is>
      </c>
      <c r="D7" s="11">
        <f>IF(D$3=0,"",SUMIFS(INDEX(Inputs!$D$4:$AG$150,0,MATCH(D$2,Inputs!$D$2:$AG$2,0)),Inputs!$B$4:$B$150,$B7)/1000)</f>
        <v>-419</v>
      </c>
      <c r="E7" s="11">
        <f>IF(E$3=0,"",SUMIFS(INDEX(Inputs!$D$4:$AG$150,0,MATCH(E$2,Inputs!$D$2:$AG$2,0)),Inputs!$B$4:$B$150,$B7)/1000)</f>
        <v>-483</v>
      </c>
      <c r="F7" s="11">
        <f>IF(F$3=0,"",SUMIFS(INDEX(Inputs!$D$4:$AG$150,0,MATCH(F$2,Inputs!$D$2:$AG$2,0)),Inputs!$B$4:$B$150,$B7)/1000)</f>
        <v>-528</v>
      </c>
      <c r="G7" s="11">
        <f>IF(G$3=0,"",SUMIFS(INDEX(Inputs!$D$4:$AG$150,0,MATCH(G$2,Inputs!$D$2:$AG$2,0)),Inputs!$B$4:$B$150,$B7)/1000)</f>
        <v>-568</v>
      </c>
      <c r="H7" s="12">
        <f>IF(COUNT(D7:G7)=4,SUM(D7:G7),"")</f>
        <v>-1998</v>
      </c>
      <c r="I7" s="11">
        <f>IF(I$3=0,"",SUMIFS(INDEX(Inputs!$D$4:$AG$150,0,MATCH(I$2,Inputs!$D$2:$AG$2,0)),Inputs!$B$4:$B$150,$B7)/1000)</f>
        <v>-489</v>
      </c>
      <c r="J7" s="11">
        <f>IF(J$3=0,"",SUMIFS(INDEX(Inputs!$D$4:$AG$150,0,MATCH(J$2,Inputs!$D$2:$AG$2,0)),Inputs!$B$4:$B$150,$B7)/1000)</f>
        <v>-507</v>
      </c>
      <c r="K7" s="11">
        <f>IF(K$3=0,"",SUMIFS(INDEX(Inputs!$D$4:$AG$150,0,MATCH(K$2,Inputs!$D$2:$AG$2,0)),Inputs!$B$4:$B$150,$B7)/1000)</f>
        <v>-508</v>
      </c>
      <c r="L7" s="11">
        <f>IF(L$3=0,"",SUMIFS(INDEX(Inputs!$D$4:$AG$150,0,MATCH(L$2,Inputs!$D$2:$AG$2,0)),Inputs!$B$4:$B$150,$B7)/1000)</f>
        <v>-515</v>
      </c>
      <c r="M7" s="12">
        <f>IF(COUNT(I7:L7)=4,SUM(I7:L7),"")</f>
        <v>-2019</v>
      </c>
      <c r="N7" s="11">
        <f>IF(N$3=0,"",SUMIFS(INDEX(Inputs!$D$4:$AG$150,0,MATCH(N$2,Inputs!$D$2:$AG$2,0)),Inputs!$B$4:$B$150,$B7)/1000)</f>
        <v>-399</v>
      </c>
      <c r="O7" s="11">
        <f>IF(O$3=0,"",SUMIFS(INDEX(Inputs!$D$4:$AG$150,0,MATCH(O$2,Inputs!$D$2:$AG$2,0)),Inputs!$B$4:$B$150,$B7)/1000)</f>
        <v>-547</v>
      </c>
      <c r="P7" s="11">
        <f>IF(P$3=0,"",SUMIFS(INDEX(Inputs!$D$4:$AG$150,0,MATCH(P$2,Inputs!$D$2:$AG$2,0)),Inputs!$B$4:$B$150,$B7)/1000)</f>
        <v>-533</v>
      </c>
      <c r="Q7" s="11">
        <f>IF(Q$3=0,"",SUMIFS(INDEX(Inputs!$D$4:$AG$150,0,MATCH(Q$2,Inputs!$D$2:$AG$2,0)),Inputs!$B$4:$B$150,$B7)/1000)</f>
        <v>-589</v>
      </c>
      <c r="R7" s="12">
        <f>IF(COUNT(N7:Q7)=4,SUM(N7:Q7),"")</f>
        <v>-2068</v>
      </c>
      <c r="S7" s="11">
        <f>IF(S$3=0,"",SUMIFS(INDEX(Inputs!$D$4:$AG$150,0,MATCH(S$2,Inputs!$D$2:$AG$2,0)),Inputs!$B$4:$B$150,$B7)/1000)</f>
        <v>-595</v>
      </c>
      <c r="T7" s="11">
        <f>IF(T$3=0,"",SUMIFS(INDEX(Inputs!$D$4:$AG$150,0,MATCH(T$2,Inputs!$D$2:$AG$2,0)),Inputs!$B$4:$B$150,$B7)/1000)</f>
        <v>-509</v>
      </c>
      <c r="U7" s="11">
        <f>IF(U$3=0,"",SUMIFS(INDEX(Inputs!$D$4:$AG$150,0,MATCH(U$2,Inputs!$D$2:$AG$2,0)),Inputs!$B$4:$B$150,$B7)/1000)</f>
        <v>-600</v>
      </c>
      <c r="V7" s="11">
        <f>IF(V$3=0,"",SUMIFS(INDEX(Inputs!$D$4:$AG$150,0,MATCH(V$2,Inputs!$D$2:$AG$2,0)),Inputs!$B$4:$B$150,$B7)/1000)</f>
        <v>-537</v>
      </c>
      <c r="W7" s="12">
        <f>IF(COUNT(S7:V7)=4,SUM(S7:V7),"")</f>
        <v>-2241</v>
      </c>
      <c r="X7" s="11">
        <f>IF(X$3=0,"",SUMIFS(INDEX(Inputs!$D$4:$AG$150,0,MATCH(X$2,Inputs!$D$2:$AG$2,0)),Inputs!$B$4:$B$150,$B7)/1000)</f>
        <v>-466</v>
      </c>
      <c r="Y7" s="11">
        <f>IF(Y$3=0,"",SUMIFS(INDEX(Inputs!$D$4:$AG$150,0,MATCH(Y$2,Inputs!$D$2:$AG$2,0)),Inputs!$B$4:$B$150,$B7)/1000)</f>
        <v>-668</v>
      </c>
      <c r="Z7" s="11">
        <f>IF(Z$3=0,"",SUMIFS(INDEX(Inputs!$D$4:$AG$150,0,MATCH(Z$2,Inputs!$D$2:$AG$2,0)),Inputs!$B$4:$B$150,$B7)/1000)</f>
        <v>-625</v>
      </c>
      <c r="AA7" s="11">
        <f>IF(AA$3=0,"",SUMIFS(INDEX(Inputs!$D$4:$AG$150,0,MATCH(AA$2,Inputs!$D$2:$AG$2,0)),Inputs!$B$4:$B$150,$B7)/1000)</f>
        <v>-485</v>
      </c>
      <c r="AB7" s="12">
        <f>IF(COUNT(X7:AA7)=4,SUM(X7:AA7),"")</f>
        <v>-2244</v>
      </c>
      <c r="AC7" s="11">
        <f>IF(AC$3=0,"",SUMIFS(INDEX(Inputs!$D$4:$AG$150,0,MATCH(AC$2,Inputs!$D$2:$AG$2,0)),Inputs!$B$4:$B$150,$B7)/1000)</f>
        <v>-514</v>
      </c>
      <c r="AD7" s="11">
        <f>IF(AD$3=0,"",SUMIFS(INDEX(Inputs!$D$4:$AG$150,0,MATCH(AD$2,Inputs!$D$2:$AG$2,0)),Inputs!$B$4:$B$150,$B7)/1000)</f>
        <v>-523</v>
      </c>
      <c r="AE7" s="11" t="str">
        <f>IF(AE$3=0,"",SUMIFS(INDEX(Inputs!$D$4:$AG$150,0,MATCH(AE$2,Inputs!$D$2:$AG$2,0)),Inputs!$B$4:$B$150,$B7)/1000)</f>
        <v/>
      </c>
      <c r="AF7" s="11" t="str">
        <f>IF(AF$3=0,"",SUMIFS(INDEX(Inputs!$D$4:$AG$150,0,MATCH(AF$2,Inputs!$D$2:$AG$2,0)),Inputs!$B$4:$B$150,$B7)/1000)</f>
        <v/>
      </c>
      <c r="AG7" s="12" t="str">
        <f>IF(COUNT(AC7:AF7)=4,SUM(AC7:AF7),"")</f>
        <v/>
      </c>
    </row>
    <row r="8">
      <c r="B8" s="9" t="n">
        <v>5</v>
      </c>
      <c r="C8" s="14" t="inlineStr">
        <is>
          <t>Interest Expense</t>
        </is>
      </c>
      <c r="D8" s="11">
        <f>IF(D$3=0,"",SUMIFS(INDEX(Inputs!$D$4:$AG$150,0,MATCH(D$2,Inputs!$D$2:$AG$2,0)),Inputs!$B$4:$B$150,$B8)/1000)</f>
        <v>0</v>
      </c>
      <c r="E8" s="11">
        <f>IF(E$3=0,"",SUMIFS(INDEX(Inputs!$D$4:$AG$150,0,MATCH(E$2,Inputs!$D$2:$AG$2,0)),Inputs!$B$4:$B$150,$B8)/1000)</f>
        <v>0</v>
      </c>
      <c r="F8" s="11">
        <f>IF(F$3=0,"",SUMIFS(INDEX(Inputs!$D$4:$AG$150,0,MATCH(F$2,Inputs!$D$2:$AG$2,0)),Inputs!$B$4:$B$150,$B8)/1000)</f>
        <v>0</v>
      </c>
      <c r="G8" s="11">
        <f>IF(G$3=0,"",SUMIFS(INDEX(Inputs!$D$4:$AG$150,0,MATCH(G$2,Inputs!$D$2:$AG$2,0)),Inputs!$B$4:$B$150,$B8)/1000)</f>
        <v>0</v>
      </c>
      <c r="H8" s="12">
        <f>IF(COUNT(D8:G8)=4,SUM(D8:G8),"")</f>
        <v>0</v>
      </c>
      <c r="I8" s="11">
        <f>IF(I$3=0,"",SUMIFS(INDEX(Inputs!$D$4:$AG$150,0,MATCH(I$2,Inputs!$D$2:$AG$2,0)),Inputs!$B$4:$B$150,$B8)/1000)</f>
        <v>0</v>
      </c>
      <c r="J8" s="11">
        <f>IF(J$3=0,"",SUMIFS(INDEX(Inputs!$D$4:$AG$150,0,MATCH(J$2,Inputs!$D$2:$AG$2,0)),Inputs!$B$4:$B$150,$B8)/1000)</f>
        <v>0</v>
      </c>
      <c r="K8" s="11">
        <f>IF(K$3=0,"",SUMIFS(INDEX(Inputs!$D$4:$AG$150,0,MATCH(K$2,Inputs!$D$2:$AG$2,0)),Inputs!$B$4:$B$150,$B8)/1000)</f>
        <v>0</v>
      </c>
      <c r="L8" s="11">
        <f>IF(L$3=0,"",SUMIFS(INDEX(Inputs!$D$4:$AG$150,0,MATCH(L$2,Inputs!$D$2:$AG$2,0)),Inputs!$B$4:$B$150,$B8)/1000)</f>
        <v>0</v>
      </c>
      <c r="M8" s="12">
        <f>IF(COUNT(I8:L8)=4,SUM(I8:L8),"")</f>
        <v>0</v>
      </c>
      <c r="N8" s="11">
        <f>IF(N$3=0,"",SUMIFS(INDEX(Inputs!$D$4:$AG$150,0,MATCH(N$2,Inputs!$D$2:$AG$2,0)),Inputs!$B$4:$B$150,$B8)/1000)</f>
        <v>0</v>
      </c>
      <c r="O8" s="11">
        <f>IF(O$3=0,"",SUMIFS(INDEX(Inputs!$D$4:$AG$150,0,MATCH(O$2,Inputs!$D$2:$AG$2,0)),Inputs!$B$4:$B$150,$B8)/1000)</f>
        <v>0</v>
      </c>
      <c r="P8" s="11">
        <f>IF(P$3=0,"",SUMIFS(INDEX(Inputs!$D$4:$AG$150,0,MATCH(P$2,Inputs!$D$2:$AG$2,0)),Inputs!$B$4:$B$150,$B8)/1000)</f>
        <v>0</v>
      </c>
      <c r="Q8" s="11">
        <f>IF(Q$3=0,"",SUMIFS(INDEX(Inputs!$D$4:$AG$150,0,MATCH(Q$2,Inputs!$D$2:$AG$2,0)),Inputs!$B$4:$B$150,$B8)/1000)</f>
        <v>0</v>
      </c>
      <c r="R8" s="12">
        <f>IF(COUNT(N8:Q8)=4,SUM(N8:Q8),"")</f>
        <v>0</v>
      </c>
      <c r="S8" s="11">
        <f>IF(S$3=0,"",SUMIFS(INDEX(Inputs!$D$4:$AG$150,0,MATCH(S$2,Inputs!$D$2:$AG$2,0)),Inputs!$B$4:$B$150,$B8)/1000)</f>
        <v>0</v>
      </c>
      <c r="T8" s="11">
        <f>IF(T$3=0,"",SUMIFS(INDEX(Inputs!$D$4:$AG$150,0,MATCH(T$2,Inputs!$D$2:$AG$2,0)),Inputs!$B$4:$B$150,$B8)/1000)</f>
        <v>0</v>
      </c>
      <c r="U8" s="11">
        <f>IF(U$3=0,"",SUMIFS(INDEX(Inputs!$D$4:$AG$150,0,MATCH(U$2,Inputs!$D$2:$AG$2,0)),Inputs!$B$4:$B$150,$B8)/1000)</f>
        <v>0</v>
      </c>
      <c r="V8" s="11">
        <f>IF(V$3=0,"",SUMIFS(INDEX(Inputs!$D$4:$AG$150,0,MATCH(V$2,Inputs!$D$2:$AG$2,0)),Inputs!$B$4:$B$150,$B8)/1000)</f>
        <v>0</v>
      </c>
      <c r="W8" s="12">
        <f>IF(COUNT(S8:V8)=4,SUM(S8:V8),"")</f>
        <v>0</v>
      </c>
      <c r="X8" s="11">
        <f>IF(X$3=0,"",SUMIFS(INDEX(Inputs!$D$4:$AG$150,0,MATCH(X$2,Inputs!$D$2:$AG$2,0)),Inputs!$B$4:$B$150,$B8)/1000)</f>
        <v>0</v>
      </c>
      <c r="Y8" s="11">
        <f>IF(Y$3=0,"",SUMIFS(INDEX(Inputs!$D$4:$AG$150,0,MATCH(Y$2,Inputs!$D$2:$AG$2,0)),Inputs!$B$4:$B$150,$B8)/1000)</f>
        <v>0</v>
      </c>
      <c r="Z8" s="11">
        <f>IF(Z$3=0,"",SUMIFS(INDEX(Inputs!$D$4:$AG$150,0,MATCH(Z$2,Inputs!$D$2:$AG$2,0)),Inputs!$B$4:$B$150,$B8)/1000)</f>
        <v>0</v>
      </c>
      <c r="AA8" s="11">
        <f>IF(AA$3=0,"",SUMIFS(INDEX(Inputs!$D$4:$AG$150,0,MATCH(AA$2,Inputs!$D$2:$AG$2,0)),Inputs!$B$4:$B$150,$B8)/1000)</f>
        <v>0</v>
      </c>
      <c r="AB8" s="12">
        <f>IF(COUNT(X8:AA8)=4,SUM(X8:AA8),"")</f>
        <v>0</v>
      </c>
      <c r="AC8" s="11">
        <f>IF(AC$3=0,"",SUMIFS(INDEX(Inputs!$D$4:$AG$150,0,MATCH(AC$2,Inputs!$D$2:$AG$2,0)),Inputs!$B$4:$B$150,$B8)/1000)</f>
        <v>0</v>
      </c>
      <c r="AD8" s="11">
        <f>IF(AD$3=0,"",SUMIFS(INDEX(Inputs!$D$4:$AG$150,0,MATCH(AD$2,Inputs!$D$2:$AG$2,0)),Inputs!$B$4:$B$150,$B8)/1000)</f>
        <v>0</v>
      </c>
      <c r="AE8" s="11" t="str">
        <f>IF(AE$3=0,"",SUMIFS(INDEX(Inputs!$D$4:$AG$150,0,MATCH(AE$2,Inputs!$D$2:$AG$2,0)),Inputs!$B$4:$B$150,$B8)/1000)</f>
        <v/>
      </c>
      <c r="AF8" s="11" t="str">
        <f>IF(AF$3=0,"",SUMIFS(INDEX(Inputs!$D$4:$AG$150,0,MATCH(AF$2,Inputs!$D$2:$AG$2,0)),Inputs!$B$4:$B$150,$B8)/1000)</f>
        <v/>
      </c>
      <c r="AG8" s="12" t="str">
        <f>IF(COUNT(AC8:AF8)=4,SUM(AC8:AF8),"")</f>
        <v/>
      </c>
    </row>
    <row r="9">
      <c r="B9" s="9" t="n">
        <v>6</v>
      </c>
      <c r="C9" s="14" t="inlineStr">
        <is>
          <t>Nonoperating Income / (Loss)</t>
        </is>
      </c>
      <c r="D9" s="11">
        <f>IF(D$3=0,"",SUMIFS(INDEX(Inputs!$D$4:$AG$150,0,MATCH(D$2,Inputs!$D$2:$AG$2,0)),Inputs!$B$4:$B$150,$B9)/1000)</f>
        <v>-134</v>
      </c>
      <c r="E9" s="11">
        <f>IF(E$3=0,"",SUMIFS(INDEX(Inputs!$D$4:$AG$150,0,MATCH(E$2,Inputs!$D$2:$AG$2,0)),Inputs!$B$4:$B$150,$B9)/1000)</f>
        <v>-139</v>
      </c>
      <c r="F9" s="11">
        <f>IF(F$3=0,"",SUMIFS(INDEX(Inputs!$D$4:$AG$150,0,MATCH(F$2,Inputs!$D$2:$AG$2,0)),Inputs!$B$4:$B$150,$B9)/1000)</f>
        <v>-102</v>
      </c>
      <c r="G9" s="11">
        <f>IF(G$3=0,"",SUMIFS(INDEX(Inputs!$D$4:$AG$150,0,MATCH(G$2,Inputs!$D$2:$AG$2,0)),Inputs!$B$4:$B$150,$B9)/1000)</f>
        <v>-332</v>
      </c>
      <c r="H9" s="12">
        <f>IF(COUNT(D9:G9)=4,SUM(D9:G9),"")</f>
        <v>-707</v>
      </c>
      <c r="I9" s="11">
        <f>IF(I$3=0,"",SUMIFS(INDEX(Inputs!$D$4:$AG$150,0,MATCH(I$2,Inputs!$D$2:$AG$2,0)),Inputs!$B$4:$B$150,$B9)/1000)</f>
        <v>-96</v>
      </c>
      <c r="J9" s="11">
        <f>IF(J$3=0,"",SUMIFS(INDEX(Inputs!$D$4:$AG$150,0,MATCH(J$2,Inputs!$D$2:$AG$2,0)),Inputs!$B$4:$B$150,$B9)/1000)</f>
        <v>-137</v>
      </c>
      <c r="K9" s="11">
        <f>IF(K$3=0,"",SUMIFS(INDEX(Inputs!$D$4:$AG$150,0,MATCH(K$2,Inputs!$D$2:$AG$2,0)),Inputs!$B$4:$B$150,$B9)/1000)</f>
        <v>-95</v>
      </c>
      <c r="L9" s="11">
        <f>IF(L$3=0,"",SUMIFS(INDEX(Inputs!$D$4:$AG$150,0,MATCH(L$2,Inputs!$D$2:$AG$2,0)),Inputs!$B$4:$B$150,$B9)/1000)</f>
        <v>6</v>
      </c>
      <c r="M9" s="12">
        <f>IF(COUNT(I9:L9)=4,SUM(I9:L9),"")</f>
        <v>-322</v>
      </c>
      <c r="N9" s="11">
        <f>IF(N$3=0,"",SUMIFS(INDEX(Inputs!$D$4:$AG$150,0,MATCH(N$2,Inputs!$D$2:$AG$2,0)),Inputs!$B$4:$B$150,$B9)/1000)</f>
        <v>-63</v>
      </c>
      <c r="O9" s="11">
        <f>IF(O$3=0,"",SUMIFS(INDEX(Inputs!$D$4:$AG$150,0,MATCH(O$2,Inputs!$D$2:$AG$2,0)),Inputs!$B$4:$B$150,$B9)/1000)</f>
        <v>-142</v>
      </c>
      <c r="P9" s="11">
        <f>IF(P$3=0,"",SUMIFS(INDEX(Inputs!$D$4:$AG$150,0,MATCH(P$2,Inputs!$D$2:$AG$2,0)),Inputs!$B$4:$B$150,$B9)/1000)</f>
        <v>-20</v>
      </c>
      <c r="Q9" s="11">
        <f>IF(Q$3=0,"",SUMIFS(INDEX(Inputs!$D$4:$AG$150,0,MATCH(Q$2,Inputs!$D$2:$AG$2,0)),Inputs!$B$4:$B$150,$B9)/1000)</f>
        <v>6</v>
      </c>
      <c r="R9" s="12">
        <f>IF(COUNT(N9:Q9)=4,SUM(N9:Q9),"")</f>
        <v>-219</v>
      </c>
      <c r="S9" s="11">
        <f>IF(S$3=0,"",SUMIFS(INDEX(Inputs!$D$4:$AG$150,0,MATCH(S$2,Inputs!$D$2:$AG$2,0)),Inputs!$B$4:$B$150,$B9)/1000)</f>
        <v>40</v>
      </c>
      <c r="T9" s="11">
        <f>IF(T$3=0,"",SUMIFS(INDEX(Inputs!$D$4:$AG$150,0,MATCH(T$2,Inputs!$D$2:$AG$2,0)),Inputs!$B$4:$B$150,$B9)/1000)</f>
        <v>-19</v>
      </c>
      <c r="U9" s="11">
        <f>IF(U$3=0,"",SUMIFS(INDEX(Inputs!$D$4:$AG$150,0,MATCH(U$2,Inputs!$D$2:$AG$2,0)),Inputs!$B$4:$B$150,$B9)/1000)</f>
        <v>25</v>
      </c>
      <c r="V9" s="11">
        <f>IF(V$3=0,"",SUMIFS(INDEX(Inputs!$D$4:$AG$150,0,MATCH(V$2,Inputs!$D$2:$AG$2,0)),Inputs!$B$4:$B$150,$B9)/1000)</f>
        <v>-3</v>
      </c>
      <c r="W9" s="12">
        <f>IF(COUNT(S9:V9)=4,SUM(S9:V9),"")</f>
        <v>43</v>
      </c>
      <c r="X9" s="11">
        <f>IF(X$3=0,"",SUMIFS(INDEX(Inputs!$D$4:$AG$150,0,MATCH(X$2,Inputs!$D$2:$AG$2,0)),Inputs!$B$4:$B$150,$B9)/1000)</f>
        <v>-12</v>
      </c>
      <c r="Y9" s="11">
        <f>IF(Y$3=0,"",SUMIFS(INDEX(Inputs!$D$4:$AG$150,0,MATCH(Y$2,Inputs!$D$2:$AG$2,0)),Inputs!$B$4:$B$150,$B9)/1000)</f>
        <v>-41</v>
      </c>
      <c r="Z9" s="11">
        <f>IF(Z$3=0,"",SUMIFS(INDEX(Inputs!$D$4:$AG$150,0,MATCH(Z$2,Inputs!$D$2:$AG$2,0)),Inputs!$B$4:$B$150,$B9)/1000)</f>
        <v>-48</v>
      </c>
      <c r="AA9" s="11">
        <f>IF(AA$3=0,"",SUMIFS(INDEX(Inputs!$D$4:$AG$150,0,MATCH(AA$2,Inputs!$D$2:$AG$2,0)),Inputs!$B$4:$B$150,$B9)/1000)</f>
        <v>-45</v>
      </c>
      <c r="AB9" s="12">
        <f>IF(COUNT(X9:AA9)=4,SUM(X9:AA9),"")</f>
        <v>-146</v>
      </c>
      <c r="AC9" s="11">
        <f>IF(AC$3=0,"",SUMIFS(INDEX(Inputs!$D$4:$AG$150,0,MATCH(AC$2,Inputs!$D$2:$AG$2,0)),Inputs!$B$4:$B$150,$B9)/1000)</f>
        <v>-103</v>
      </c>
      <c r="AD9" s="11">
        <f>IF(AD$3=0,"",SUMIFS(INDEX(Inputs!$D$4:$AG$150,0,MATCH(AD$2,Inputs!$D$2:$AG$2,0)),Inputs!$B$4:$B$150,$B9)/1000)</f>
        <v>-73</v>
      </c>
      <c r="AE9" s="11" t="str">
        <f>IF(AE$3=0,"",SUMIFS(INDEX(Inputs!$D$4:$AG$150,0,MATCH(AE$2,Inputs!$D$2:$AG$2,0)),Inputs!$B$4:$B$150,$B9)/1000)</f>
        <v/>
      </c>
      <c r="AF9" s="11" t="str">
        <f>IF(AF$3=0,"",SUMIFS(INDEX(Inputs!$D$4:$AG$150,0,MATCH(AF$2,Inputs!$D$2:$AG$2,0)),Inputs!$B$4:$B$150,$B9)/1000)</f>
        <v/>
      </c>
      <c r="AG9" s="12" t="str">
        <f>IF(COUNT(AC9:AF9)=4,SUM(AC9:AF9),"")</f>
        <v/>
      </c>
    </row>
    <row r="10">
      <c r="B10" s="9" t="n">
        <v>7</v>
      </c>
      <c r="C10" s="14" t="inlineStr">
        <is>
          <t>Taxes</t>
        </is>
      </c>
      <c r="D10" s="11">
        <f>IF(D$3=0,"",SUMIFS(INDEX(Inputs!$D$4:$AG$150,0,MATCH(D$2,Inputs!$D$2:$AG$2,0)),Inputs!$B$4:$B$150,$B10)/1000)</f>
        <v>-443</v>
      </c>
      <c r="E10" s="11">
        <f>IF(E$3=0,"",SUMIFS(INDEX(Inputs!$D$4:$AG$150,0,MATCH(E$2,Inputs!$D$2:$AG$2,0)),Inputs!$B$4:$B$150,$B10)/1000)</f>
        <v>-603</v>
      </c>
      <c r="F10" s="11">
        <f>IF(F$3=0,"",SUMIFS(INDEX(Inputs!$D$4:$AG$150,0,MATCH(F$2,Inputs!$D$2:$AG$2,0)),Inputs!$B$4:$B$150,$B10)/1000)</f>
        <v>-628</v>
      </c>
      <c r="G10" s="11">
        <f>IF(G$3=0,"",SUMIFS(INDEX(Inputs!$D$4:$AG$150,0,MATCH(G$2,Inputs!$D$2:$AG$2,0)),Inputs!$B$4:$B$150,$B10)/1000)</f>
        <v>-625</v>
      </c>
      <c r="H10" s="12">
        <f>IF(COUNT(D10:G10)=4,SUM(D10:G10),"")</f>
        <v>-2299</v>
      </c>
      <c r="I10" s="11">
        <f>IF(I$3=0,"",SUMIFS(INDEX(Inputs!$D$4:$AG$150,0,MATCH(I$2,Inputs!$D$2:$AG$2,0)),Inputs!$B$4:$B$150,$B10)/1000)</f>
        <v>-824</v>
      </c>
      <c r="J10" s="11">
        <f>IF(J$3=0,"",SUMIFS(INDEX(Inputs!$D$4:$AG$150,0,MATCH(J$2,Inputs!$D$2:$AG$2,0)),Inputs!$B$4:$B$150,$B10)/1000)</f>
        <v>-571</v>
      </c>
      <c r="K10" s="11">
        <f>IF(K$3=0,"",SUMIFS(INDEX(Inputs!$D$4:$AG$150,0,MATCH(K$2,Inputs!$D$2:$AG$2,0)),Inputs!$B$4:$B$150,$B10)/1000)</f>
        <v>-315</v>
      </c>
      <c r="L10" s="11">
        <f>IF(L$3=0,"",SUMIFS(INDEX(Inputs!$D$4:$AG$150,0,MATCH(L$2,Inputs!$D$2:$AG$2,0)),Inputs!$B$4:$B$150,$B10)/1000)</f>
        <v>-557</v>
      </c>
      <c r="M10" s="12">
        <f>IF(COUNT(I10:L10)=4,SUM(I10:L10),"")</f>
        <v>-2267</v>
      </c>
      <c r="N10" s="11">
        <f>IF(N$3=0,"",SUMIFS(INDEX(Inputs!$D$4:$AG$150,0,MATCH(N$2,Inputs!$D$2:$AG$2,0)),Inputs!$B$4:$B$150,$B10)/1000)</f>
        <v>-499</v>
      </c>
      <c r="O10" s="11">
        <f>IF(O$3=0,"",SUMIFS(INDEX(Inputs!$D$4:$AG$150,0,MATCH(O$2,Inputs!$D$2:$AG$2,0)),Inputs!$B$4:$B$150,$B10)/1000)</f>
        <v>-539</v>
      </c>
      <c r="P10" s="11">
        <f>IF(P$3=0,"",SUMIFS(INDEX(Inputs!$D$4:$AG$150,0,MATCH(P$2,Inputs!$D$2:$AG$2,0)),Inputs!$B$4:$B$150,$B10)/1000)</f>
        <v>-508</v>
      </c>
      <c r="Q10" s="11">
        <f>IF(Q$3=0,"",SUMIFS(INDEX(Inputs!$D$4:$AG$150,0,MATCH(Q$2,Inputs!$D$2:$AG$2,0)),Inputs!$B$4:$B$150,$B10)/1000)</f>
        <v>-724</v>
      </c>
      <c r="R10" s="12">
        <f>IF(COUNT(N10:Q10)=4,SUM(N10:Q10),"")</f>
        <v>-2270</v>
      </c>
      <c r="S10" s="11">
        <f>IF(S$3=0,"",SUMIFS(INDEX(Inputs!$D$4:$AG$150,0,MATCH(S$2,Inputs!$D$2:$AG$2,0)),Inputs!$B$4:$B$150,$B10)/1000)</f>
        <v>-512</v>
      </c>
      <c r="T10" s="11">
        <f>IF(T$3=0,"",SUMIFS(INDEX(Inputs!$D$4:$AG$150,0,MATCH(T$2,Inputs!$D$2:$AG$2,0)),Inputs!$B$4:$B$150,$B10)/1000)</f>
        <v>-754</v>
      </c>
      <c r="U10" s="11">
        <f>IF(U$3=0,"",SUMIFS(INDEX(Inputs!$D$4:$AG$150,0,MATCH(U$2,Inputs!$D$2:$AG$2,0)),Inputs!$B$4:$B$150,$B10)/1000)</f>
        <v>-737</v>
      </c>
      <c r="V10" s="11">
        <f>IF(V$3=0,"",SUMIFS(INDEX(Inputs!$D$4:$AG$150,0,MATCH(V$2,Inputs!$D$2:$AG$2,0)),Inputs!$B$4:$B$150,$B10)/1000)</f>
        <v>-520</v>
      </c>
      <c r="W10" s="12">
        <f>IF(COUNT(S10:V10)=4,SUM(S10:V10),"")</f>
        <v>-2523</v>
      </c>
      <c r="X10" s="11">
        <f>IF(X$3=0,"",SUMIFS(INDEX(Inputs!$D$4:$AG$150,0,MATCH(X$2,Inputs!$D$2:$AG$2,0)),Inputs!$B$4:$B$150,$B10)/1000)</f>
        <v>-500</v>
      </c>
      <c r="Y10" s="11">
        <f>IF(Y$3=0,"",SUMIFS(INDEX(Inputs!$D$4:$AG$150,0,MATCH(Y$2,Inputs!$D$2:$AG$2,0)),Inputs!$B$4:$B$150,$B10)/1000)</f>
        <v>-850</v>
      </c>
      <c r="Z10" s="11">
        <f>IF(Z$3=0,"",SUMIFS(INDEX(Inputs!$D$4:$AG$150,0,MATCH(Z$2,Inputs!$D$2:$AG$2,0)),Inputs!$B$4:$B$150,$B10)/1000)</f>
        <v>-669</v>
      </c>
      <c r="AA10" s="11">
        <f>IF(AA$3=0,"",SUMIFS(INDEX(Inputs!$D$4:$AG$150,0,MATCH(AA$2,Inputs!$D$2:$AG$2,0)),Inputs!$B$4:$B$150,$B10)/1000)</f>
        <v>-202</v>
      </c>
      <c r="AB10" s="12">
        <f>IF(COUNT(X10:AA10)=4,SUM(X10:AA10),"")</f>
        <v>-2221</v>
      </c>
      <c r="AC10" s="11">
        <f>IF(AC$3=0,"",SUMIFS(INDEX(Inputs!$D$4:$AG$150,0,MATCH(AC$2,Inputs!$D$2:$AG$2,0)),Inputs!$B$4:$B$150,$B10)/1000)</f>
        <v>-653</v>
      </c>
      <c r="AD10" s="11">
        <f>IF(AD$3=0,"",SUMIFS(INDEX(Inputs!$D$4:$AG$150,0,MATCH(AD$2,Inputs!$D$2:$AG$2,0)),Inputs!$B$4:$B$150,$B10)/1000)</f>
        <v>-544</v>
      </c>
      <c r="AE10" s="11" t="str">
        <f>IF(AE$3=0,"",SUMIFS(INDEX(Inputs!$D$4:$AG$150,0,MATCH(AE$2,Inputs!$D$2:$AG$2,0)),Inputs!$B$4:$B$150,$B10)/1000)</f>
        <v/>
      </c>
      <c r="AF10" s="11" t="str">
        <f>IF(AF$3=0,"",SUMIFS(INDEX(Inputs!$D$4:$AG$150,0,MATCH(AF$2,Inputs!$D$2:$AG$2,0)),Inputs!$B$4:$B$150,$B10)/1000)</f>
        <v/>
      </c>
      <c r="AG10" s="12" t="str">
        <f>IF(COUNT(AC10:AF10)=4,SUM(AC10:AF10),"")</f>
        <v/>
      </c>
    </row>
    <row r="11">
      <c r="B11" s="9" t="n">
        <v>8</v>
      </c>
      <c r="C11" s="14" t="inlineStr">
        <is>
          <t>Equity in Income of Affiliates, after tax (enter as +)</t>
        </is>
      </c>
      <c r="D11" s="11">
        <f>IF(D$3=0,"",SUMIFS(INDEX(Inputs!$D$4:$AG$150,0,MATCH(D$2,Inputs!$D$2:$AG$2,0)),Inputs!$B$4:$B$150,$B11)/1000)</f>
        <v>-472</v>
      </c>
      <c r="E11" s="11">
        <f>IF(E$3=0,"",SUMIFS(INDEX(Inputs!$D$4:$AG$150,0,MATCH(E$2,Inputs!$D$2:$AG$2,0)),Inputs!$B$4:$B$150,$B11)/1000)</f>
        <v>6</v>
      </c>
      <c r="F11" s="11">
        <f>IF(F$3=0,"",SUMIFS(INDEX(Inputs!$D$4:$AG$150,0,MATCH(F$2,Inputs!$D$2:$AG$2,0)),Inputs!$B$4:$B$150,$B11)/1000)</f>
        <v>-9</v>
      </c>
      <c r="G11" s="11">
        <f>IF(G$3=0,"",SUMIFS(INDEX(Inputs!$D$4:$AG$150,0,MATCH(G$2,Inputs!$D$2:$AG$2,0)),Inputs!$B$4:$B$150,$B11)/1000)</f>
        <v>-2108</v>
      </c>
      <c r="H11" s="12">
        <f>IF(COUNT(D11:G11)=4,SUM(D11:G11),"")</f>
        <v>-2583</v>
      </c>
      <c r="I11" s="11">
        <f>IF(I$3=0,"",SUMIFS(INDEX(Inputs!$D$4:$AG$150,0,MATCH(I$2,Inputs!$D$2:$AG$2,0)),Inputs!$B$4:$B$150,$B11)/1000)</f>
        <v>15</v>
      </c>
      <c r="J11" s="11">
        <f>IF(J$3=0,"",SUMIFS(INDEX(Inputs!$D$4:$AG$150,0,MATCH(J$2,Inputs!$D$2:$AG$2,0)),Inputs!$B$4:$B$150,$B11)/1000)</f>
        <v>10</v>
      </c>
      <c r="K11" s="11">
        <f>IF(K$3=0,"",SUMIFS(INDEX(Inputs!$D$4:$AG$150,0,MATCH(K$2,Inputs!$D$2:$AG$2,0)),Inputs!$B$4:$B$150,$B11)/1000)</f>
        <v>8</v>
      </c>
      <c r="L11" s="11">
        <f>IF(L$3=0,"",SUMIFS(INDEX(Inputs!$D$4:$AG$150,0,MATCH(L$2,Inputs!$D$2:$AG$2,0)),Inputs!$B$4:$B$150,$B11)/1000)</f>
        <v>-2</v>
      </c>
      <c r="M11" s="12">
        <f>IF(COUNT(I11:L11)=4,SUM(I11:L11),"")</f>
        <v>31</v>
      </c>
      <c r="N11" s="11">
        <f>IF(N$3=0,"",SUMIFS(INDEX(Inputs!$D$4:$AG$150,0,MATCH(N$2,Inputs!$D$2:$AG$2,0)),Inputs!$B$4:$B$150,$B11)/1000)</f>
        <v>10</v>
      </c>
      <c r="O11" s="11">
        <f>IF(O$3=0,"",SUMIFS(INDEX(Inputs!$D$4:$AG$150,0,MATCH(O$2,Inputs!$D$2:$AG$2,0)),Inputs!$B$4:$B$150,$B11)/1000)</f>
        <v>2</v>
      </c>
      <c r="P11" s="11">
        <f>IF(P$3=0,"",SUMIFS(INDEX(Inputs!$D$4:$AG$150,0,MATCH(P$2,Inputs!$D$2:$AG$2,0)),Inputs!$B$4:$B$150,$B11)/1000)</f>
        <v>0</v>
      </c>
      <c r="Q11" s="11">
        <f>IF(Q$3=0,"",SUMIFS(INDEX(Inputs!$D$4:$AG$150,0,MATCH(Q$2,Inputs!$D$2:$AG$2,0)),Inputs!$B$4:$B$150,$B11)/1000)</f>
        <v>3</v>
      </c>
      <c r="R11" s="12">
        <f>IF(COUNT(N11:Q11)=4,SUM(N11:Q11),"")</f>
        <v>15</v>
      </c>
      <c r="S11" s="11">
        <f>IF(S$3=0,"",SUMIFS(INDEX(Inputs!$D$4:$AG$150,0,MATCH(S$2,Inputs!$D$2:$AG$2,0)),Inputs!$B$4:$B$150,$B11)/1000)</f>
        <v>0</v>
      </c>
      <c r="T11" s="11">
        <f>IF(T$3=0,"",SUMIFS(INDEX(Inputs!$D$4:$AG$150,0,MATCH(T$2,Inputs!$D$2:$AG$2,0)),Inputs!$B$4:$B$150,$B11)/1000)</f>
        <v>4</v>
      </c>
      <c r="U11" s="11">
        <f>IF(U$3=0,"",SUMIFS(INDEX(Inputs!$D$4:$AG$150,0,MATCH(U$2,Inputs!$D$2:$AG$2,0)),Inputs!$B$4:$B$150,$B11)/1000)</f>
        <v>10</v>
      </c>
      <c r="V11" s="11">
        <f>IF(V$3=0,"",SUMIFS(INDEX(Inputs!$D$4:$AG$150,0,MATCH(V$2,Inputs!$D$2:$AG$2,0)),Inputs!$B$4:$B$150,$B11)/1000)</f>
        <v>1</v>
      </c>
      <c r="W11" s="12">
        <f>IF(COUNT(S11:V11)=4,SUM(S11:V11),"")</f>
        <v>15</v>
      </c>
      <c r="X11" s="11">
        <f>IF(X$3=0,"",SUMIFS(INDEX(Inputs!$D$4:$AG$150,0,MATCH(X$2,Inputs!$D$2:$AG$2,0)),Inputs!$B$4:$B$150,$B11)/1000)</f>
        <v>2</v>
      </c>
      <c r="Y11" s="11">
        <f>IF(Y$3=0,"",SUMIFS(INDEX(Inputs!$D$4:$AG$150,0,MATCH(Y$2,Inputs!$D$2:$AG$2,0)),Inputs!$B$4:$B$150,$B11)/1000)</f>
        <v>6</v>
      </c>
      <c r="Z11" s="11">
        <f>IF(Z$3=0,"",SUMIFS(INDEX(Inputs!$D$4:$AG$150,0,MATCH(Z$2,Inputs!$D$2:$AG$2,0)),Inputs!$B$4:$B$150,$B11)/1000)</f>
        <v>-8</v>
      </c>
      <c r="AA11" s="11">
        <f>IF(AA$3=0,"",SUMIFS(INDEX(Inputs!$D$4:$AG$150,0,MATCH(AA$2,Inputs!$D$2:$AG$2,0)),Inputs!$B$4:$B$150,$B11)/1000)</f>
        <v>1</v>
      </c>
      <c r="AB11" s="12">
        <f>IF(COUNT(X11:AA11)=4,SUM(X11:AA11),"")</f>
        <v>1</v>
      </c>
      <c r="AC11" s="11">
        <f>IF(AC$3=0,"",SUMIFS(INDEX(Inputs!$D$4:$AG$150,0,MATCH(AC$2,Inputs!$D$2:$AG$2,0)),Inputs!$B$4:$B$150,$B11)/1000)</f>
        <v>6</v>
      </c>
      <c r="AD11" s="11">
        <f>IF(AD$3=0,"",SUMIFS(INDEX(Inputs!$D$4:$AG$150,0,MATCH(AD$2,Inputs!$D$2:$AG$2,0)),Inputs!$B$4:$B$150,$B11)/1000)</f>
        <v>5</v>
      </c>
      <c r="AE11" s="11" t="str">
        <f>IF(AE$3=0,"",SUMIFS(INDEX(Inputs!$D$4:$AG$150,0,MATCH(AE$2,Inputs!$D$2:$AG$2,0)),Inputs!$B$4:$B$150,$B11)/1000)</f>
        <v/>
      </c>
      <c r="AF11" s="11" t="str">
        <f>IF(AF$3=0,"",SUMIFS(INDEX(Inputs!$D$4:$AG$150,0,MATCH(AF$2,Inputs!$D$2:$AG$2,0)),Inputs!$B$4:$B$150,$B11)/1000)</f>
        <v/>
      </c>
      <c r="AG11" s="12" t="str">
        <f>IF(COUNT(AC11:AF11)=4,SUM(AC11:AF11),"")</f>
        <v/>
      </c>
    </row>
    <row r="12">
      <c r="B12" s="9" t="n">
        <v>9</v>
      </c>
      <c r="C12" s="14" t="inlineStr">
        <is>
          <t>Minority Interest Expense, after tax (enter as - )</t>
        </is>
      </c>
      <c r="D12" s="11">
        <f>IF(D$3=0,"",SUMIFS(INDEX(Inputs!$D$4:$AG$150,0,MATCH(D$2,Inputs!$D$2:$AG$2,0)),Inputs!$B$4:$B$150,$B12)/1000)</f>
        <v>235</v>
      </c>
      <c r="E12" s="11">
        <f>IF(E$3=0,"",SUMIFS(INDEX(Inputs!$D$4:$AG$150,0,MATCH(E$2,Inputs!$D$2:$AG$2,0)),Inputs!$B$4:$B$150,$B12)/1000)</f>
        <v>-248</v>
      </c>
      <c r="F12" s="11">
        <f>IF(F$3=0,"",SUMIFS(INDEX(Inputs!$D$4:$AG$150,0,MATCH(F$2,Inputs!$D$2:$AG$2,0)),Inputs!$B$4:$B$150,$B12)/1000)</f>
        <v>-324</v>
      </c>
      <c r="G12" s="11">
        <f>IF(G$3=0,"",SUMIFS(INDEX(Inputs!$D$4:$AG$150,0,MATCH(G$2,Inputs!$D$2:$AG$2,0)),Inputs!$B$4:$B$150,$B12)/1000)</f>
        <v>1866</v>
      </c>
      <c r="H12" s="12">
        <f>IF(COUNT(D12:G12)=4,SUM(D12:G12),"")</f>
        <v>1529</v>
      </c>
      <c r="I12" s="11">
        <f>IF(I$3=0,"",SUMIFS(INDEX(Inputs!$D$4:$AG$150,0,MATCH(I$2,Inputs!$D$2:$AG$2,0)),Inputs!$B$4:$B$150,$B12)/1000)</f>
        <v>-377</v>
      </c>
      <c r="J12" s="11">
        <f>IF(J$3=0,"",SUMIFS(INDEX(Inputs!$D$4:$AG$150,0,MATCH(J$2,Inputs!$D$2:$AG$2,0)),Inputs!$B$4:$B$150,$B12)/1000)</f>
        <v>-198</v>
      </c>
      <c r="K12" s="11">
        <f>IF(K$3=0,"",SUMIFS(INDEX(Inputs!$D$4:$AG$150,0,MATCH(K$2,Inputs!$D$2:$AG$2,0)),Inputs!$B$4:$B$150,$B12)/1000)</f>
        <v>-156</v>
      </c>
      <c r="L12" s="11">
        <f>IF(L$3=0,"",SUMIFS(INDEX(Inputs!$D$4:$AG$150,0,MATCH(L$2,Inputs!$D$2:$AG$2,0)),Inputs!$B$4:$B$150,$B12)/1000)</f>
        <v>-280</v>
      </c>
      <c r="M12" s="12">
        <f>IF(COUNT(I12:L12)=4,SUM(I12:L12),"")</f>
        <v>-1011</v>
      </c>
      <c r="N12" s="11">
        <f>IF(N$3=0,"",SUMIFS(INDEX(Inputs!$D$4:$AG$150,0,MATCH(N$2,Inputs!$D$2:$AG$2,0)),Inputs!$B$4:$B$150,$B12)/1000)</f>
        <v>-386</v>
      </c>
      <c r="O12" s="11">
        <f>IF(O$3=0,"",SUMIFS(INDEX(Inputs!$D$4:$AG$150,0,MATCH(O$2,Inputs!$D$2:$AG$2,0)),Inputs!$B$4:$B$150,$B12)/1000)</f>
        <v>-388</v>
      </c>
      <c r="P12" s="11">
        <f>IF(P$3=0,"",SUMIFS(INDEX(Inputs!$D$4:$AG$150,0,MATCH(P$2,Inputs!$D$2:$AG$2,0)),Inputs!$B$4:$B$150,$B12)/1000)</f>
        <v>-510</v>
      </c>
      <c r="Q12" s="11">
        <f>IF(Q$3=0,"",SUMIFS(INDEX(Inputs!$D$4:$AG$150,0,MATCH(Q$2,Inputs!$D$2:$AG$2,0)),Inputs!$B$4:$B$150,$B12)/1000)</f>
        <v>-619</v>
      </c>
      <c r="R12" s="12">
        <f>IF(COUNT(N12:Q12)=4,SUM(N12:Q12),"")</f>
        <v>-1903</v>
      </c>
      <c r="S12" s="11">
        <f>IF(S$3=0,"",SUMIFS(INDEX(Inputs!$D$4:$AG$150,0,MATCH(S$2,Inputs!$D$2:$AG$2,0)),Inputs!$B$4:$B$150,$B12)/1000)</f>
        <v>-689</v>
      </c>
      <c r="T12" s="11">
        <f>IF(T$3=0,"",SUMIFS(INDEX(Inputs!$D$4:$AG$150,0,MATCH(T$2,Inputs!$D$2:$AG$2,0)),Inputs!$B$4:$B$150,$B12)/1000)</f>
        <v>-664</v>
      </c>
      <c r="U12" s="11">
        <f>IF(U$3=0,"",SUMIFS(INDEX(Inputs!$D$4:$AG$150,0,MATCH(U$2,Inputs!$D$2:$AG$2,0)),Inputs!$B$4:$B$150,$B12)/1000)</f>
        <v>-710</v>
      </c>
      <c r="V12" s="11">
        <f>IF(V$3=0,"",SUMIFS(INDEX(Inputs!$D$4:$AG$150,0,MATCH(V$2,Inputs!$D$2:$AG$2,0)),Inputs!$B$4:$B$150,$B12)/1000)</f>
        <v>-447</v>
      </c>
      <c r="W12" s="12">
        <f>IF(COUNT(S12:V12)=4,SUM(S12:V12),"")</f>
        <v>-2510</v>
      </c>
      <c r="X12" s="11">
        <f>IF(X$3=0,"",SUMIFS(INDEX(Inputs!$D$4:$AG$150,0,MATCH(X$2,Inputs!$D$2:$AG$2,0)),Inputs!$B$4:$B$150,$B12)/1000)</f>
        <v>-441</v>
      </c>
      <c r="Y12" s="11">
        <f>IF(Y$3=0,"",SUMIFS(INDEX(Inputs!$D$4:$AG$150,0,MATCH(Y$2,Inputs!$D$2:$AG$2,0)),Inputs!$B$4:$B$150,$B12)/1000)</f>
        <v>-775</v>
      </c>
      <c r="Z12" s="11">
        <f>IF(Z$3=0,"",SUMIFS(INDEX(Inputs!$D$4:$AG$150,0,MATCH(Z$2,Inputs!$D$2:$AG$2,0)),Inputs!$B$4:$B$150,$B12)/1000)</f>
        <v>-573</v>
      </c>
      <c r="AA12" s="11">
        <f>IF(AA$3=0,"",SUMIFS(INDEX(Inputs!$D$4:$AG$150,0,MATCH(AA$2,Inputs!$D$2:$AG$2,0)),Inputs!$B$4:$B$150,$B12)/1000)</f>
        <v>-159</v>
      </c>
      <c r="AB12" s="12">
        <f>IF(COUNT(X12:AA12)=4,SUM(X12:AA12),"")</f>
        <v>-1948</v>
      </c>
      <c r="AC12" s="11">
        <f>IF(AC$3=0,"",SUMIFS(INDEX(Inputs!$D$4:$AG$150,0,MATCH(AC$2,Inputs!$D$2:$AG$2,0)),Inputs!$B$4:$B$150,$B12)/1000)</f>
        <v>-506</v>
      </c>
      <c r="AD12" s="11">
        <f>IF(AD$3=0,"",SUMIFS(INDEX(Inputs!$D$4:$AG$150,0,MATCH(AD$2,Inputs!$D$2:$AG$2,0)),Inputs!$B$4:$B$150,$B12)/1000)</f>
        <v>-407</v>
      </c>
      <c r="AE12" s="11" t="str">
        <f>IF(AE$3=0,"",SUMIFS(INDEX(Inputs!$D$4:$AG$150,0,MATCH(AE$2,Inputs!$D$2:$AG$2,0)),Inputs!$B$4:$B$150,$B12)/1000)</f>
        <v/>
      </c>
      <c r="AF12" s="11" t="str">
        <f>IF(AF$3=0,"",SUMIFS(INDEX(Inputs!$D$4:$AG$150,0,MATCH(AF$2,Inputs!$D$2:$AG$2,0)),Inputs!$B$4:$B$150,$B12)/1000)</f>
        <v/>
      </c>
      <c r="AG12" s="12" t="str">
        <f>IF(COUNT(AC12:AF12)=4,SUM(AC12:AF12),"")</f>
        <v/>
      </c>
    </row>
    <row r="13">
      <c r="B13" s="9" t="n">
        <v>10</v>
      </c>
      <c r="C13" s="13" t="inlineStr">
        <is>
          <t>Common Dividends</t>
        </is>
      </c>
      <c r="D13" s="11">
        <f>IF(D$3=0,"",SUMIFS(INDEX(Inputs!$D$4:$AG$150,0,MATCH(D$2,Inputs!$D$2:$AG$2,0)),Inputs!$B$4:$B$150,$B13)/1000)</f>
        <v>0</v>
      </c>
      <c r="E13" s="11">
        <f>IF(E$3=0,"",SUMIFS(INDEX(Inputs!$D$4:$AG$150,0,MATCH(E$2,Inputs!$D$2:$AG$2,0)),Inputs!$B$4:$B$150,$B13)/1000)</f>
        <v>-111</v>
      </c>
      <c r="F13" s="11">
        <f>IF(F$3=0,"",SUMIFS(INDEX(Inputs!$D$4:$AG$150,0,MATCH(F$2,Inputs!$D$2:$AG$2,0)),Inputs!$B$4:$B$150,$B13)/1000)</f>
        <v>-109</v>
      </c>
      <c r="G13" s="11">
        <f>IF(G$3=0,"",SUMIFS(INDEX(Inputs!$D$4:$AG$150,0,MATCH(G$2,Inputs!$D$2:$AG$2,0)),Inputs!$B$4:$B$150,$B13)/1000)</f>
        <v>-780</v>
      </c>
      <c r="H13" s="12">
        <f>IF(COUNT(D13:G13)=4,SUM(D13:G13),"")</f>
        <v>-1000</v>
      </c>
      <c r="I13" s="11">
        <f>IF(I$3=0,"",SUMIFS(INDEX(Inputs!$D$4:$AG$150,0,MATCH(I$2,Inputs!$D$2:$AG$2,0)),Inputs!$B$4:$B$150,$B13)/1000)</f>
        <v>-220</v>
      </c>
      <c r="J13" s="11">
        <f>IF(J$3=0,"",SUMIFS(INDEX(Inputs!$D$4:$AG$150,0,MATCH(J$2,Inputs!$D$2:$AG$2,0)),Inputs!$B$4:$B$150,$B13)/1000)</f>
        <v>-218</v>
      </c>
      <c r="K13" s="11">
        <f>IF(K$3=0,"",SUMIFS(INDEX(Inputs!$D$4:$AG$150,0,MATCH(K$2,Inputs!$D$2:$AG$2,0)),Inputs!$B$4:$B$150,$B13)/1000)</f>
        <v>-214</v>
      </c>
      <c r="L13" s="11">
        <f>IF(L$3=0,"",SUMIFS(INDEX(Inputs!$D$4:$AG$150,0,MATCH(L$2,Inputs!$D$2:$AG$2,0)),Inputs!$B$4:$B$150,$B13)/1000)</f>
        <v>-214</v>
      </c>
      <c r="M13" s="12">
        <f>IF(COUNT(I13:L13)=4,SUM(I13:L13),"")</f>
        <v>-866</v>
      </c>
      <c r="N13" s="11">
        <f>IF(N$3=0,"",SUMIFS(INDEX(Inputs!$D$4:$AG$150,0,MATCH(N$2,Inputs!$D$2:$AG$2,0)),Inputs!$B$4:$B$150,$B13)/1000)</f>
        <v>-217</v>
      </c>
      <c r="O13" s="11">
        <f>IF(O$3=0,"",SUMIFS(INDEX(Inputs!$D$4:$AG$150,0,MATCH(O$2,Inputs!$D$2:$AG$2,0)),Inputs!$B$4:$B$150,$B13)/1000)</f>
        <v>-215</v>
      </c>
      <c r="P13" s="11">
        <f>IF(P$3=0,"",SUMIFS(INDEX(Inputs!$D$4:$AG$150,0,MATCH(P$2,Inputs!$D$2:$AG$2,0)),Inputs!$B$4:$B$150,$B13)/1000)</f>
        <v>-215</v>
      </c>
      <c r="Q13" s="11">
        <f>IF(Q$3=0,"",SUMIFS(INDEX(Inputs!$D$4:$AG$150,0,MATCH(Q$2,Inputs!$D$2:$AG$2,0)),Inputs!$B$4:$B$150,$B13)/1000)</f>
        <v>-216</v>
      </c>
      <c r="R13" s="12">
        <f>IF(COUNT(N13:Q13)=4,SUM(N13:Q13),"")</f>
        <v>-863</v>
      </c>
      <c r="S13" s="11">
        <f>IF(S$3=0,"",SUMIFS(INDEX(Inputs!$D$4:$AG$150,0,MATCH(S$2,Inputs!$D$2:$AG$2,0)),Inputs!$B$4:$B$150,$B13)/1000)</f>
        <v>-218</v>
      </c>
      <c r="T13" s="11">
        <f>IF(T$3=0,"",SUMIFS(INDEX(Inputs!$D$4:$AG$150,0,MATCH(T$2,Inputs!$D$2:$AG$2,0)),Inputs!$B$4:$B$150,$B13)/1000)</f>
        <v>-215</v>
      </c>
      <c r="U13" s="11">
        <f>IF(U$3=0,"",SUMIFS(INDEX(Inputs!$D$4:$AG$150,0,MATCH(U$2,Inputs!$D$2:$AG$2,0)),Inputs!$B$4:$B$150,$B13)/1000)</f>
        <v>-216</v>
      </c>
      <c r="V13" s="11">
        <f>IF(V$3=0,"",SUMIFS(INDEX(Inputs!$D$4:$AG$150,0,MATCH(V$2,Inputs!$D$2:$AG$2,0)),Inputs!$B$4:$B$150,$B13)/1000)</f>
        <v>-216</v>
      </c>
      <c r="W13" s="12">
        <f>IF(COUNT(S13:V13)=4,SUM(S13:V13),"")</f>
        <v>-865</v>
      </c>
      <c r="X13" s="11">
        <f>IF(X$3=0,"",SUMIFS(INDEX(Inputs!$D$4:$AG$150,0,MATCH(X$2,Inputs!$D$2:$AG$2,0)),Inputs!$B$4:$B$150,$B13)/1000)</f>
        <v>-218</v>
      </c>
      <c r="Y13" s="11">
        <f>IF(Y$3=0,"",SUMIFS(INDEX(Inputs!$D$4:$AG$150,0,MATCH(Y$2,Inputs!$D$2:$AG$2,0)),Inputs!$B$4:$B$150,$B13)/1000)</f>
        <v>-215</v>
      </c>
      <c r="Z13" s="11">
        <f>IF(Z$3=0,"",SUMIFS(INDEX(Inputs!$D$4:$AG$150,0,MATCH(Z$2,Inputs!$D$2:$AG$2,0)),Inputs!$B$4:$B$150,$B13)/1000)</f>
        <v>-216</v>
      </c>
      <c r="AA13" s="11">
        <f>IF(AA$3=0,"",SUMIFS(INDEX(Inputs!$D$4:$AG$150,0,MATCH(AA$2,Inputs!$D$2:$AG$2,0)),Inputs!$B$4:$B$150,$B13)/1000)</f>
        <v>-216</v>
      </c>
      <c r="AB13" s="12">
        <f>IF(COUNT(X13:AA13)=4,SUM(X13:AA13),"")</f>
        <v>-865</v>
      </c>
      <c r="AC13" s="11">
        <f>IF(AC$3=0,"",SUMIFS(INDEX(Inputs!$D$4:$AG$150,0,MATCH(AC$2,Inputs!$D$2:$AG$2,0)),Inputs!$B$4:$B$150,$B13)/1000)</f>
        <v>-218</v>
      </c>
      <c r="AD13" s="11">
        <f>IF(AD$3=0,"",SUMIFS(INDEX(Inputs!$D$4:$AG$150,0,MATCH(AD$2,Inputs!$D$2:$AG$2,0)),Inputs!$B$4:$B$150,$B13)/1000)</f>
        <v>-216</v>
      </c>
      <c r="AE13" s="11" t="str">
        <f>IF(AE$3=0,"",SUMIFS(INDEX(Inputs!$D$4:$AG$150,0,MATCH(AE$2,Inputs!$D$2:$AG$2,0)),Inputs!$B$4:$B$150,$B13)/1000)</f>
        <v/>
      </c>
      <c r="AF13" s="11" t="str">
        <f>IF(AF$3=0,"",SUMIFS(INDEX(Inputs!$D$4:$AG$150,0,MATCH(AF$2,Inputs!$D$2:$AG$2,0)),Inputs!$B$4:$B$150,$B13)/1000)</f>
        <v/>
      </c>
      <c r="AG13" s="12" t="str">
        <f>IF(COUNT(AC13:AF13)=4,SUM(AC13:AF13),"")</f>
        <v/>
      </c>
    </row>
    <row r="14">
      <c r="D14" s="12" t="n"/>
    </row>
    <row r="15">
      <c r="B15" s="9" t="n">
        <v>11</v>
      </c>
      <c r="C15" s="13" t="inlineStr">
        <is>
          <t>Cash and equivalents (inc. investment securities)</t>
        </is>
      </c>
      <c r="D15" s="11">
        <f>IF(D$3=0,"",SUMIFS(INDEX(Inputs!$D$4:$AG$150,0,MATCH(D$2,Inputs!$D$2:$AG$2,0)),Inputs!$B$4:$B$150,$B15)/1000)</f>
        <v>4580</v>
      </c>
      <c r="E15" s="11">
        <f>IF(E$3=0,"",SUMIFS(INDEX(Inputs!$D$4:$AG$150,0,MATCH(E$2,Inputs!$D$2:$AG$2,0)),Inputs!$B$4:$B$150,$B15)/1000)</f>
        <v>6313</v>
      </c>
      <c r="F15" s="11">
        <f>IF(F$3=0,"",SUMIFS(INDEX(Inputs!$D$4:$AG$150,0,MATCH(F$2,Inputs!$D$2:$AG$2,0)),Inputs!$B$4:$B$150,$B15)/1000)</f>
        <v>7672</v>
      </c>
      <c r="G15" s="11">
        <f>IF(G$3=0,"",SUMIFS(INDEX(Inputs!$D$4:$AG$150,0,MATCH(G$2,Inputs!$D$2:$AG$2,0)),Inputs!$B$4:$B$150,$B15)/1000)</f>
        <v>16382</v>
      </c>
      <c r="H15" s="12">
        <f>IF(G15="","",G15)</f>
        <v>16382</v>
      </c>
      <c r="I15" s="11">
        <f>IF(I$3=0,"",SUMIFS(INDEX(Inputs!$D$4:$AG$150,0,MATCH(I$2,Inputs!$D$2:$AG$2,0)),Inputs!$B$4:$B$150,$B15)/1000)</f>
        <v>8338</v>
      </c>
      <c r="J15" s="11">
        <f>IF(J$3=0,"",SUMIFS(INDEX(Inputs!$D$4:$AG$150,0,MATCH(J$2,Inputs!$D$2:$AG$2,0)),Inputs!$B$4:$B$150,$B15)/1000)</f>
        <v>9492</v>
      </c>
      <c r="K15" s="11">
        <f>IF(K$3=0,"",SUMIFS(INDEX(Inputs!$D$4:$AG$150,0,MATCH(K$2,Inputs!$D$2:$AG$2,0)),Inputs!$B$4:$B$150,$B15)/1000)</f>
        <v>8578</v>
      </c>
      <c r="L15" s="11">
        <f>IF(L$3=0,"",SUMIFS(INDEX(Inputs!$D$4:$AG$150,0,MATCH(L$2,Inputs!$D$2:$AG$2,0)),Inputs!$B$4:$B$150,$B15)/1000)</f>
        <v>16536</v>
      </c>
      <c r="M15" s="12">
        <f>IF(L15="","",L15)</f>
        <v>16536</v>
      </c>
      <c r="N15" s="11">
        <f>IF(N$3=0,"",SUMIFS(INDEX(Inputs!$D$4:$AG$150,0,MATCH(N$2,Inputs!$D$2:$AG$2,0)),Inputs!$B$4:$B$150,$B15)/1000)</f>
        <v>6852</v>
      </c>
      <c r="O15" s="11">
        <f>IF(O$3=0,"",SUMIFS(INDEX(Inputs!$D$4:$AG$150,0,MATCH(O$2,Inputs!$D$2:$AG$2,0)),Inputs!$B$4:$B$150,$B15)/1000)</f>
        <v>6683</v>
      </c>
      <c r="P15" s="11">
        <f>IF(P$3=0,"",SUMIFS(INDEX(Inputs!$D$4:$AG$150,0,MATCH(P$2,Inputs!$D$2:$AG$2,0)),Inputs!$B$4:$B$150,$B15)/1000)</f>
        <v>5745</v>
      </c>
      <c r="Q15" s="11">
        <f>IF(Q$3=0,"",SUMIFS(INDEX(Inputs!$D$4:$AG$150,0,MATCH(Q$2,Inputs!$D$2:$AG$2,0)),Inputs!$B$4:$B$150,$B15)/1000)</f>
        <v>10821</v>
      </c>
      <c r="R15" s="12">
        <f>IF(Q15="","",Q15)</f>
        <v>10821</v>
      </c>
      <c r="S15" s="11">
        <f>IF(S$3=0,"",SUMIFS(INDEX(Inputs!$D$4:$AG$150,0,MATCH(S$2,Inputs!$D$2:$AG$2,0)),Inputs!$B$4:$B$150,$B15)/1000)</f>
        <v>5208</v>
      </c>
      <c r="T15" s="11">
        <f>IF(T$3=0,"",SUMIFS(INDEX(Inputs!$D$4:$AG$150,0,MATCH(T$2,Inputs!$D$2:$AG$2,0)),Inputs!$B$4:$B$150,$B15)/1000)</f>
        <v>5273</v>
      </c>
      <c r="U15" s="11">
        <f>IF(U$3=0,"",SUMIFS(INDEX(Inputs!$D$4:$AG$150,0,MATCH(U$2,Inputs!$D$2:$AG$2,0)),Inputs!$B$4:$B$150,$B15)/1000)</f>
        <v>5000</v>
      </c>
      <c r="V15" s="11">
        <f>IF(V$3=0,"",SUMIFS(INDEX(Inputs!$D$4:$AG$150,0,MATCH(V$2,Inputs!$D$2:$AG$2,0)),Inputs!$B$4:$B$150,$B15)/1000)</f>
        <v>8834</v>
      </c>
      <c r="W15" s="12">
        <f>IF(V15="","",V15)</f>
        <v>8834</v>
      </c>
      <c r="X15" s="11">
        <f>IF(X$3=0,"",SUMIFS(INDEX(Inputs!$D$4:$AG$150,0,MATCH(X$2,Inputs!$D$2:$AG$2,0)),Inputs!$B$4:$B$150,$B15)/1000)</f>
        <v>4385</v>
      </c>
      <c r="Y15" s="11">
        <f>IF(Y$3=0,"",SUMIFS(INDEX(Inputs!$D$4:$AG$150,0,MATCH(Y$2,Inputs!$D$2:$AG$2,0)),Inputs!$B$4:$B$150,$B15)/1000)</f>
        <v>4490</v>
      </c>
      <c r="Z15" s="11">
        <f>IF(Z$3=0,"",SUMIFS(INDEX(Inputs!$D$4:$AG$150,0,MATCH(Z$2,Inputs!$D$2:$AG$2,0)),Inputs!$B$4:$B$150,$B15)/1000)</f>
        <v>4318</v>
      </c>
      <c r="AA15" s="11">
        <f>IF(AA$3=0,"",SUMIFS(INDEX(Inputs!$D$4:$AG$150,0,MATCH(AA$2,Inputs!$D$2:$AG$2,0)),Inputs!$B$4:$B$150,$B15)/1000)</f>
        <v>7997</v>
      </c>
      <c r="AB15" s="12">
        <f>IF(AA15="","",AA15)</f>
        <v>7997</v>
      </c>
      <c r="AC15" s="11">
        <f>IF(AC$3=0,"",SUMIFS(INDEX(Inputs!$D$4:$AG$150,0,MATCH(AC$2,Inputs!$D$2:$AG$2,0)),Inputs!$B$4:$B$150,$B15)/1000)</f>
        <v>3737</v>
      </c>
      <c r="AD15" s="11">
        <f>IF(AD$3=0,"",SUMIFS(INDEX(Inputs!$D$4:$AG$150,0,MATCH(AD$2,Inputs!$D$2:$AG$2,0)),Inputs!$B$4:$B$150,$B15)/1000)</f>
        <v>4080</v>
      </c>
      <c r="AE15" s="11" t="str">
        <f>IF(AE$3=0,"",SUMIFS(INDEX(Inputs!$D$4:$AG$150,0,MATCH(AE$2,Inputs!$D$2:$AG$2,0)),Inputs!$B$4:$B$150,$B15)/1000)</f>
        <v/>
      </c>
      <c r="AF15" s="11" t="str">
        <f>IF(AF$3=0,"",SUMIFS(INDEX(Inputs!$D$4:$AG$150,0,MATCH(AF$2,Inputs!$D$2:$AG$2,0)),Inputs!$B$4:$B$150,$B15)/1000)</f>
        <v/>
      </c>
      <c r="AG15" s="12" t="str">
        <f>IF(AF15="","",AF15)</f>
        <v/>
      </c>
    </row>
    <row r="16">
      <c r="B16" s="9" t="n">
        <v>12</v>
      </c>
      <c r="C16" s="14" t="inlineStr">
        <is>
          <t>Accounts receivable</t>
        </is>
      </c>
      <c r="D16" s="11">
        <f>IF(D$3=0,"",SUMIFS(INDEX(Inputs!$D$4:$AG$150,0,MATCH(D$2,Inputs!$D$2:$AG$2,0)),Inputs!$B$4:$B$150,$B16)/1000)</f>
        <v>1248</v>
      </c>
      <c r="E16" s="11">
        <f>IF(E$3=0,"",SUMIFS(INDEX(Inputs!$D$4:$AG$150,0,MATCH(E$2,Inputs!$D$2:$AG$2,0)),Inputs!$B$4:$B$150,$B16)/1000)</f>
        <v>1100</v>
      </c>
      <c r="F16" s="11">
        <f>IF(F$3=0,"",SUMIFS(INDEX(Inputs!$D$4:$AG$150,0,MATCH(F$2,Inputs!$D$2:$AG$2,0)),Inputs!$B$4:$B$150,$B16)/1000)</f>
        <v>931</v>
      </c>
      <c r="G16" s="11">
        <f>IF(G$3=0,"",SUMIFS(INDEX(Inputs!$D$4:$AG$150,0,MATCH(G$2,Inputs!$D$2:$AG$2,0)),Inputs!$B$4:$B$150,$B16)/1000)</f>
        <v>1168</v>
      </c>
      <c r="H16" s="12">
        <f>IF(G16="","",G16)</f>
        <v>1168</v>
      </c>
      <c r="I16" s="11">
        <f>IF(I$3=0,"",SUMIFS(INDEX(Inputs!$D$4:$AG$150,0,MATCH(I$2,Inputs!$D$2:$AG$2,0)),Inputs!$B$4:$B$150,$B16)/1000)</f>
        <v>1537</v>
      </c>
      <c r="J16" s="11">
        <f>IF(J$3=0,"",SUMIFS(INDEX(Inputs!$D$4:$AG$150,0,MATCH(J$2,Inputs!$D$2:$AG$2,0)),Inputs!$B$4:$B$150,$B16)/1000)</f>
        <v>977</v>
      </c>
      <c r="K16" s="11">
        <f>IF(K$3=0,"",SUMIFS(INDEX(Inputs!$D$4:$AG$150,0,MATCH(K$2,Inputs!$D$2:$AG$2,0)),Inputs!$B$4:$B$150,$B16)/1000)</f>
        <v>844</v>
      </c>
      <c r="L16" s="11">
        <f>IF(L$3=0,"",SUMIFS(INDEX(Inputs!$D$4:$AG$150,0,MATCH(L$2,Inputs!$D$2:$AG$2,0)),Inputs!$B$4:$B$150,$B16)/1000)</f>
        <v>1336</v>
      </c>
      <c r="M16" s="12">
        <f>IF(L16="","",L16)</f>
        <v>1336</v>
      </c>
      <c r="N16" s="11">
        <f>IF(N$3=0,"",SUMIFS(INDEX(Inputs!$D$4:$AG$150,0,MATCH(N$2,Inputs!$D$2:$AG$2,0)),Inputs!$B$4:$B$150,$B16)/1000)</f>
        <v>1134</v>
      </c>
      <c r="O16" s="11">
        <f>IF(O$3=0,"",SUMIFS(INDEX(Inputs!$D$4:$AG$150,0,MATCH(O$2,Inputs!$D$2:$AG$2,0)),Inputs!$B$4:$B$150,$B16)/1000)</f>
        <v>675</v>
      </c>
      <c r="P16" s="11">
        <f>IF(P$3=0,"",SUMIFS(INDEX(Inputs!$D$4:$AG$150,0,MATCH(P$2,Inputs!$D$2:$AG$2,0)),Inputs!$B$4:$B$150,$B16)/1000)</f>
        <v>792</v>
      </c>
      <c r="Q16" s="11">
        <f>IF(Q$3=0,"",SUMIFS(INDEX(Inputs!$D$4:$AG$150,0,MATCH(Q$2,Inputs!$D$2:$AG$2,0)),Inputs!$B$4:$B$150,$B16)/1000)</f>
        <v>1209</v>
      </c>
      <c r="R16" s="12">
        <f>IF(Q16="","",Q16)</f>
        <v>1209</v>
      </c>
      <c r="S16" s="11">
        <f>IF(S$3=0,"",SUMIFS(INDEX(Inputs!$D$4:$AG$150,0,MATCH(S$2,Inputs!$D$2:$AG$2,0)),Inputs!$B$4:$B$150,$B16)/1000)</f>
        <v>1494</v>
      </c>
      <c r="T16" s="11">
        <f>IF(T$3=0,"",SUMIFS(INDEX(Inputs!$D$4:$AG$150,0,MATCH(T$2,Inputs!$D$2:$AG$2,0)),Inputs!$B$4:$B$150,$B16)/1000)</f>
        <v>1128</v>
      </c>
      <c r="U16" s="11">
        <f>IF(U$3=0,"",SUMIFS(INDEX(Inputs!$D$4:$AG$150,0,MATCH(U$2,Inputs!$D$2:$AG$2,0)),Inputs!$B$4:$B$150,$B16)/1000)</f>
        <v>979</v>
      </c>
      <c r="V16" s="11">
        <f>IF(V$3=0,"",SUMIFS(INDEX(Inputs!$D$4:$AG$150,0,MATCH(V$2,Inputs!$D$2:$AG$2,0)),Inputs!$B$4:$B$150,$B16)/1000)</f>
        <v>578</v>
      </c>
      <c r="W16" s="12">
        <f>IF(V16="","",V16)</f>
        <v>578</v>
      </c>
      <c r="X16" s="11">
        <f>IF(X$3=0,"",SUMIFS(INDEX(Inputs!$D$4:$AG$150,0,MATCH(X$2,Inputs!$D$2:$AG$2,0)),Inputs!$B$4:$B$150,$B16)/1000)</f>
        <v>743</v>
      </c>
      <c r="Y16" s="11">
        <f>IF(Y$3=0,"",SUMIFS(INDEX(Inputs!$D$4:$AG$150,0,MATCH(Y$2,Inputs!$D$2:$AG$2,0)),Inputs!$B$4:$B$150,$B16)/1000)</f>
        <v>941</v>
      </c>
      <c r="Z16" s="11">
        <f>IF(Z$3=0,"",SUMIFS(INDEX(Inputs!$D$4:$AG$150,0,MATCH(Z$2,Inputs!$D$2:$AG$2,0)),Inputs!$B$4:$B$150,$B16)/1000)</f>
        <v>916</v>
      </c>
      <c r="AA16" s="11">
        <f>IF(AA$3=0,"",SUMIFS(INDEX(Inputs!$D$4:$AG$150,0,MATCH(AA$2,Inputs!$D$2:$AG$2,0)),Inputs!$B$4:$B$150,$B16)/1000)</f>
        <v>977</v>
      </c>
      <c r="AB16" s="12">
        <f>IF(AA16="","",AA16)</f>
        <v>977</v>
      </c>
      <c r="AC16" s="11">
        <f>IF(AC$3=0,"",SUMIFS(INDEX(Inputs!$D$4:$AG$150,0,MATCH(AC$2,Inputs!$D$2:$AG$2,0)),Inputs!$B$4:$B$150,$B16)/1000)</f>
        <v>681</v>
      </c>
      <c r="AD16" s="11">
        <f>IF(AD$3=0,"",SUMIFS(INDEX(Inputs!$D$4:$AG$150,0,MATCH(AD$2,Inputs!$D$2:$AG$2,0)),Inputs!$B$4:$B$150,$B16)/1000)</f>
        <v>716</v>
      </c>
      <c r="AE16" s="11" t="str">
        <f>IF(AE$3=0,"",SUMIFS(INDEX(Inputs!$D$4:$AG$150,0,MATCH(AE$2,Inputs!$D$2:$AG$2,0)),Inputs!$B$4:$B$150,$B16)/1000)</f>
        <v/>
      </c>
      <c r="AF16" s="11" t="str">
        <f>IF(AF$3=0,"",SUMIFS(INDEX(Inputs!$D$4:$AG$150,0,MATCH(AF$2,Inputs!$D$2:$AG$2,0)),Inputs!$B$4:$B$150,$B16)/1000)</f>
        <v/>
      </c>
      <c r="AG16" s="12" t="str">
        <f>IF(AF16="","",AF16)</f>
        <v/>
      </c>
    </row>
    <row r="17">
      <c r="B17" s="9" t="n">
        <v>13</v>
      </c>
      <c r="C17" s="14" t="inlineStr">
        <is>
          <t>Inventories</t>
        </is>
      </c>
      <c r="D17" s="11">
        <f>IF(D$3=0,"",SUMIFS(INDEX(Inputs!$D$4:$AG$150,0,MATCH(D$2,Inputs!$D$2:$AG$2,0)),Inputs!$B$4:$B$150,$B17)/1000)</f>
        <v>0</v>
      </c>
      <c r="E17" s="11">
        <f>IF(E$3=0,"",SUMIFS(INDEX(Inputs!$D$4:$AG$150,0,MATCH(E$2,Inputs!$D$2:$AG$2,0)),Inputs!$B$4:$B$150,$B17)/1000)</f>
        <v>0</v>
      </c>
      <c r="F17" s="11">
        <f>IF(F$3=0,"",SUMIFS(INDEX(Inputs!$D$4:$AG$150,0,MATCH(F$2,Inputs!$D$2:$AG$2,0)),Inputs!$B$4:$B$150,$B17)/1000)</f>
        <v>0</v>
      </c>
      <c r="G17" s="11">
        <f>IF(G$3=0,"",SUMIFS(INDEX(Inputs!$D$4:$AG$150,0,MATCH(G$2,Inputs!$D$2:$AG$2,0)),Inputs!$B$4:$B$150,$B17)/1000)</f>
        <v>0</v>
      </c>
      <c r="H17" s="12">
        <f>IF(G17="","",G17)</f>
        <v>0</v>
      </c>
      <c r="I17" s="11">
        <f>IF(I$3=0,"",SUMIFS(INDEX(Inputs!$D$4:$AG$150,0,MATCH(I$2,Inputs!$D$2:$AG$2,0)),Inputs!$B$4:$B$150,$B17)/1000)</f>
        <v>0</v>
      </c>
      <c r="J17" s="11">
        <f>IF(J$3=0,"",SUMIFS(INDEX(Inputs!$D$4:$AG$150,0,MATCH(J$2,Inputs!$D$2:$AG$2,0)),Inputs!$B$4:$B$150,$B17)/1000)</f>
        <v>0</v>
      </c>
      <c r="K17" s="11">
        <f>IF(K$3=0,"",SUMIFS(INDEX(Inputs!$D$4:$AG$150,0,MATCH(K$2,Inputs!$D$2:$AG$2,0)),Inputs!$B$4:$B$150,$B17)/1000)</f>
        <v>0</v>
      </c>
      <c r="L17" s="11">
        <f>IF(L$3=0,"",SUMIFS(INDEX(Inputs!$D$4:$AG$150,0,MATCH(L$2,Inputs!$D$2:$AG$2,0)),Inputs!$B$4:$B$150,$B17)/1000)</f>
        <v>0</v>
      </c>
      <c r="M17" s="12">
        <f>IF(L17="","",L17)</f>
        <v>0</v>
      </c>
      <c r="N17" s="11">
        <f>IF(N$3=0,"",SUMIFS(INDEX(Inputs!$D$4:$AG$150,0,MATCH(N$2,Inputs!$D$2:$AG$2,0)),Inputs!$B$4:$B$150,$B17)/1000)</f>
        <v>0</v>
      </c>
      <c r="O17" s="11">
        <f>IF(O$3=0,"",SUMIFS(INDEX(Inputs!$D$4:$AG$150,0,MATCH(O$2,Inputs!$D$2:$AG$2,0)),Inputs!$B$4:$B$150,$B17)/1000)</f>
        <v>0</v>
      </c>
      <c r="P17" s="11">
        <f>IF(P$3=0,"",SUMIFS(INDEX(Inputs!$D$4:$AG$150,0,MATCH(P$2,Inputs!$D$2:$AG$2,0)),Inputs!$B$4:$B$150,$B17)/1000)</f>
        <v>0</v>
      </c>
      <c r="Q17" s="11">
        <f>IF(Q$3=0,"",SUMIFS(INDEX(Inputs!$D$4:$AG$150,0,MATCH(Q$2,Inputs!$D$2:$AG$2,0)),Inputs!$B$4:$B$150,$B17)/1000)</f>
        <v>0</v>
      </c>
      <c r="R17" s="12">
        <f>IF(Q17="","",Q17)</f>
        <v>0</v>
      </c>
      <c r="S17" s="11">
        <f>IF(S$3=0,"",SUMIFS(INDEX(Inputs!$D$4:$AG$150,0,MATCH(S$2,Inputs!$D$2:$AG$2,0)),Inputs!$B$4:$B$150,$B17)/1000)</f>
        <v>0</v>
      </c>
      <c r="T17" s="11">
        <f>IF(T$3=0,"",SUMIFS(INDEX(Inputs!$D$4:$AG$150,0,MATCH(T$2,Inputs!$D$2:$AG$2,0)),Inputs!$B$4:$B$150,$B17)/1000)</f>
        <v>0</v>
      </c>
      <c r="U17" s="11">
        <f>IF(U$3=0,"",SUMIFS(INDEX(Inputs!$D$4:$AG$150,0,MATCH(U$2,Inputs!$D$2:$AG$2,0)),Inputs!$B$4:$B$150,$B17)/1000)</f>
        <v>0</v>
      </c>
      <c r="V17" s="11">
        <f>IF(V$3=0,"",SUMIFS(INDEX(Inputs!$D$4:$AG$150,0,MATCH(V$2,Inputs!$D$2:$AG$2,0)),Inputs!$B$4:$B$150,$B17)/1000)</f>
        <v>0</v>
      </c>
      <c r="W17" s="12">
        <f>IF(V17="","",V17)</f>
        <v>0</v>
      </c>
      <c r="X17" s="11">
        <f>IF(X$3=0,"",SUMIFS(INDEX(Inputs!$D$4:$AG$150,0,MATCH(X$2,Inputs!$D$2:$AG$2,0)),Inputs!$B$4:$B$150,$B17)/1000)</f>
        <v>0</v>
      </c>
      <c r="Y17" s="11">
        <f>IF(Y$3=0,"",SUMIFS(INDEX(Inputs!$D$4:$AG$150,0,MATCH(Y$2,Inputs!$D$2:$AG$2,0)),Inputs!$B$4:$B$150,$B17)/1000)</f>
        <v>0</v>
      </c>
      <c r="Z17" s="11">
        <f>IF(Z$3=0,"",SUMIFS(INDEX(Inputs!$D$4:$AG$150,0,MATCH(Z$2,Inputs!$D$2:$AG$2,0)),Inputs!$B$4:$B$150,$B17)/1000)</f>
        <v>0</v>
      </c>
      <c r="AA17" s="11">
        <f>IF(AA$3=0,"",SUMIFS(INDEX(Inputs!$D$4:$AG$150,0,MATCH(AA$2,Inputs!$D$2:$AG$2,0)),Inputs!$B$4:$B$150,$B17)/1000)</f>
        <v>0</v>
      </c>
      <c r="AB17" s="12">
        <f>IF(AA17="","",AA17)</f>
        <v>0</v>
      </c>
      <c r="AC17" s="11">
        <f>IF(AC$3=0,"",SUMIFS(INDEX(Inputs!$D$4:$AG$150,0,MATCH(AC$2,Inputs!$D$2:$AG$2,0)),Inputs!$B$4:$B$150,$B17)/1000)</f>
        <v>0</v>
      </c>
      <c r="AD17" s="11">
        <f>IF(AD$3=0,"",SUMIFS(INDEX(Inputs!$D$4:$AG$150,0,MATCH(AD$2,Inputs!$D$2:$AG$2,0)),Inputs!$B$4:$B$150,$B17)/1000)</f>
        <v>0</v>
      </c>
      <c r="AE17" s="11" t="str">
        <f>IF(AE$3=0,"",SUMIFS(INDEX(Inputs!$D$4:$AG$150,0,MATCH(AE$2,Inputs!$D$2:$AG$2,0)),Inputs!$B$4:$B$150,$B17)/1000)</f>
        <v/>
      </c>
      <c r="AF17" s="11" t="str">
        <f>IF(AF$3=0,"",SUMIFS(INDEX(Inputs!$D$4:$AG$150,0,MATCH(AF$2,Inputs!$D$2:$AG$2,0)),Inputs!$B$4:$B$150,$B17)/1000)</f>
        <v/>
      </c>
      <c r="AG17" s="12" t="str">
        <f>IF(AF17="","",AF17)</f>
        <v/>
      </c>
    </row>
    <row r="18">
      <c r="B18" s="9" t="n">
        <v>14</v>
      </c>
      <c r="C18" s="14" t="inlineStr">
        <is>
          <t>Deferred income taxes</t>
        </is>
      </c>
      <c r="D18" s="11">
        <f>IF(D$3=0,"",SUMIFS(INDEX(Inputs!$D$4:$AG$150,0,MATCH(D$2,Inputs!$D$2:$AG$2,0)),Inputs!$B$4:$B$150,$B18)/1000)</f>
        <v>0</v>
      </c>
      <c r="E18" s="11">
        <f>IF(E$3=0,"",SUMIFS(INDEX(Inputs!$D$4:$AG$150,0,MATCH(E$2,Inputs!$D$2:$AG$2,0)),Inputs!$B$4:$B$150,$B18)/1000)</f>
        <v>0</v>
      </c>
      <c r="F18" s="11">
        <f>IF(F$3=0,"",SUMIFS(INDEX(Inputs!$D$4:$AG$150,0,MATCH(F$2,Inputs!$D$2:$AG$2,0)),Inputs!$B$4:$B$150,$B18)/1000)</f>
        <v>0</v>
      </c>
      <c r="G18" s="11">
        <f>IF(G$3=0,"",SUMIFS(INDEX(Inputs!$D$4:$AG$150,0,MATCH(G$2,Inputs!$D$2:$AG$2,0)),Inputs!$B$4:$B$150,$B18)/1000)</f>
        <v>0</v>
      </c>
      <c r="H18" s="12">
        <f>IF(G18="","",G18)</f>
        <v>0</v>
      </c>
      <c r="I18" s="11">
        <f>IF(I$3=0,"",SUMIFS(INDEX(Inputs!$D$4:$AG$150,0,MATCH(I$2,Inputs!$D$2:$AG$2,0)),Inputs!$B$4:$B$150,$B18)/1000)</f>
        <v>0</v>
      </c>
      <c r="J18" s="11">
        <f>IF(J$3=0,"",SUMIFS(INDEX(Inputs!$D$4:$AG$150,0,MATCH(J$2,Inputs!$D$2:$AG$2,0)),Inputs!$B$4:$B$150,$B18)/1000)</f>
        <v>0</v>
      </c>
      <c r="K18" s="11">
        <f>IF(K$3=0,"",SUMIFS(INDEX(Inputs!$D$4:$AG$150,0,MATCH(K$2,Inputs!$D$2:$AG$2,0)),Inputs!$B$4:$B$150,$B18)/1000)</f>
        <v>0</v>
      </c>
      <c r="L18" s="11">
        <f>IF(L$3=0,"",SUMIFS(INDEX(Inputs!$D$4:$AG$150,0,MATCH(L$2,Inputs!$D$2:$AG$2,0)),Inputs!$B$4:$B$150,$B18)/1000)</f>
        <v>0</v>
      </c>
      <c r="M18" s="12">
        <f>IF(L18="","",L18)</f>
        <v>0</v>
      </c>
      <c r="N18" s="11">
        <f>IF(N$3=0,"",SUMIFS(INDEX(Inputs!$D$4:$AG$150,0,MATCH(N$2,Inputs!$D$2:$AG$2,0)),Inputs!$B$4:$B$150,$B18)/1000)</f>
        <v>0</v>
      </c>
      <c r="O18" s="11">
        <f>IF(O$3=0,"",SUMIFS(INDEX(Inputs!$D$4:$AG$150,0,MATCH(O$2,Inputs!$D$2:$AG$2,0)),Inputs!$B$4:$B$150,$B18)/1000)</f>
        <v>0</v>
      </c>
      <c r="P18" s="11">
        <f>IF(P$3=0,"",SUMIFS(INDEX(Inputs!$D$4:$AG$150,0,MATCH(P$2,Inputs!$D$2:$AG$2,0)),Inputs!$B$4:$B$150,$B18)/1000)</f>
        <v>0</v>
      </c>
      <c r="Q18" s="11">
        <f>IF(Q$3=0,"",SUMIFS(INDEX(Inputs!$D$4:$AG$150,0,MATCH(Q$2,Inputs!$D$2:$AG$2,0)),Inputs!$B$4:$B$150,$B18)/1000)</f>
        <v>0</v>
      </c>
      <c r="R18" s="12">
        <f>IF(Q18="","",Q18)</f>
        <v>0</v>
      </c>
      <c r="S18" s="11">
        <f>IF(S$3=0,"",SUMIFS(INDEX(Inputs!$D$4:$AG$150,0,MATCH(S$2,Inputs!$D$2:$AG$2,0)),Inputs!$B$4:$B$150,$B18)/1000)</f>
        <v>0</v>
      </c>
      <c r="T18" s="11">
        <f>IF(T$3=0,"",SUMIFS(INDEX(Inputs!$D$4:$AG$150,0,MATCH(T$2,Inputs!$D$2:$AG$2,0)),Inputs!$B$4:$B$150,$B18)/1000)</f>
        <v>0</v>
      </c>
      <c r="U18" s="11">
        <f>IF(U$3=0,"",SUMIFS(INDEX(Inputs!$D$4:$AG$150,0,MATCH(U$2,Inputs!$D$2:$AG$2,0)),Inputs!$B$4:$B$150,$B18)/1000)</f>
        <v>0</v>
      </c>
      <c r="V18" s="11">
        <f>IF(V$3=0,"",SUMIFS(INDEX(Inputs!$D$4:$AG$150,0,MATCH(V$2,Inputs!$D$2:$AG$2,0)),Inputs!$B$4:$B$150,$B18)/1000)</f>
        <v>0</v>
      </c>
      <c r="W18" s="12">
        <f>IF(V18="","",V18)</f>
        <v>0</v>
      </c>
      <c r="X18" s="11">
        <f>IF(X$3=0,"",SUMIFS(INDEX(Inputs!$D$4:$AG$150,0,MATCH(X$2,Inputs!$D$2:$AG$2,0)),Inputs!$B$4:$B$150,$B18)/1000)</f>
        <v>0</v>
      </c>
      <c r="Y18" s="11">
        <f>IF(Y$3=0,"",SUMIFS(INDEX(Inputs!$D$4:$AG$150,0,MATCH(Y$2,Inputs!$D$2:$AG$2,0)),Inputs!$B$4:$B$150,$B18)/1000)</f>
        <v>0</v>
      </c>
      <c r="Z18" s="11">
        <f>IF(Z$3=0,"",SUMIFS(INDEX(Inputs!$D$4:$AG$150,0,MATCH(Z$2,Inputs!$D$2:$AG$2,0)),Inputs!$B$4:$B$150,$B18)/1000)</f>
        <v>0</v>
      </c>
      <c r="AA18" s="11">
        <f>IF(AA$3=0,"",SUMIFS(INDEX(Inputs!$D$4:$AG$150,0,MATCH(AA$2,Inputs!$D$2:$AG$2,0)),Inputs!$B$4:$B$150,$B18)/1000)</f>
        <v>0</v>
      </c>
      <c r="AB18" s="12">
        <f>IF(AA18="","",AA18)</f>
        <v>0</v>
      </c>
      <c r="AC18" s="11">
        <f>IF(AC$3=0,"",SUMIFS(INDEX(Inputs!$D$4:$AG$150,0,MATCH(AC$2,Inputs!$D$2:$AG$2,0)),Inputs!$B$4:$B$150,$B18)/1000)</f>
        <v>0</v>
      </c>
      <c r="AD18" s="11">
        <f>IF(AD$3=0,"",SUMIFS(INDEX(Inputs!$D$4:$AG$150,0,MATCH(AD$2,Inputs!$D$2:$AG$2,0)),Inputs!$B$4:$B$150,$B18)/1000)</f>
        <v>0</v>
      </c>
      <c r="AE18" s="11" t="str">
        <f>IF(AE$3=0,"",SUMIFS(INDEX(Inputs!$D$4:$AG$150,0,MATCH(AE$2,Inputs!$D$2:$AG$2,0)),Inputs!$B$4:$B$150,$B18)/1000)</f>
        <v/>
      </c>
      <c r="AF18" s="11" t="str">
        <f>IF(AF$3=0,"",SUMIFS(INDEX(Inputs!$D$4:$AG$150,0,MATCH(AF$2,Inputs!$D$2:$AG$2,0)),Inputs!$B$4:$B$150,$B18)/1000)</f>
        <v/>
      </c>
      <c r="AG18" s="12" t="str">
        <f>IF(AF18="","",AF18)</f>
        <v/>
      </c>
    </row>
    <row r="19">
      <c r="B19" s="9" t="n">
        <v>15</v>
      </c>
      <c r="C19" s="14" t="inlineStr">
        <is>
          <t>Prepaid expenses</t>
        </is>
      </c>
      <c r="D19" s="11">
        <f>IF(D$3=0,"",SUMIFS(INDEX(Inputs!$D$4:$AG$150,0,MATCH(D$2,Inputs!$D$2:$AG$2,0)),Inputs!$B$4:$B$150,$B19)/1000)</f>
        <v>0</v>
      </c>
      <c r="E19" s="11">
        <f>IF(E$3=0,"",SUMIFS(INDEX(Inputs!$D$4:$AG$150,0,MATCH(E$2,Inputs!$D$2:$AG$2,0)),Inputs!$B$4:$B$150,$B19)/1000)</f>
        <v>0</v>
      </c>
      <c r="F19" s="11">
        <f>IF(F$3=0,"",SUMIFS(INDEX(Inputs!$D$4:$AG$150,0,MATCH(F$2,Inputs!$D$2:$AG$2,0)),Inputs!$B$4:$B$150,$B19)/1000)</f>
        <v>0</v>
      </c>
      <c r="G19" s="11">
        <f>IF(G$3=0,"",SUMIFS(INDEX(Inputs!$D$4:$AG$150,0,MATCH(G$2,Inputs!$D$2:$AG$2,0)),Inputs!$B$4:$B$150,$B19)/1000)</f>
        <v>0</v>
      </c>
      <c r="H19" s="12">
        <f>IF(G19="","",G19)</f>
        <v>0</v>
      </c>
      <c r="I19" s="11">
        <f>IF(I$3=0,"",SUMIFS(INDEX(Inputs!$D$4:$AG$150,0,MATCH(I$2,Inputs!$D$2:$AG$2,0)),Inputs!$B$4:$B$150,$B19)/1000)</f>
        <v>0</v>
      </c>
      <c r="J19" s="11">
        <f>IF(J$3=0,"",SUMIFS(INDEX(Inputs!$D$4:$AG$150,0,MATCH(J$2,Inputs!$D$2:$AG$2,0)),Inputs!$B$4:$B$150,$B19)/1000)</f>
        <v>0</v>
      </c>
      <c r="K19" s="11">
        <f>IF(K$3=0,"",SUMIFS(INDEX(Inputs!$D$4:$AG$150,0,MATCH(K$2,Inputs!$D$2:$AG$2,0)),Inputs!$B$4:$B$150,$B19)/1000)</f>
        <v>0</v>
      </c>
      <c r="L19" s="11">
        <f>IF(L$3=0,"",SUMIFS(INDEX(Inputs!$D$4:$AG$150,0,MATCH(L$2,Inputs!$D$2:$AG$2,0)),Inputs!$B$4:$B$150,$B19)/1000)</f>
        <v>0</v>
      </c>
      <c r="M19" s="12">
        <f>IF(L19="","",L19)</f>
        <v>0</v>
      </c>
      <c r="N19" s="11">
        <f>IF(N$3=0,"",SUMIFS(INDEX(Inputs!$D$4:$AG$150,0,MATCH(N$2,Inputs!$D$2:$AG$2,0)),Inputs!$B$4:$B$150,$B19)/1000)</f>
        <v>0</v>
      </c>
      <c r="O19" s="11">
        <f>IF(O$3=0,"",SUMIFS(INDEX(Inputs!$D$4:$AG$150,0,MATCH(O$2,Inputs!$D$2:$AG$2,0)),Inputs!$B$4:$B$150,$B19)/1000)</f>
        <v>0</v>
      </c>
      <c r="P19" s="11">
        <f>IF(P$3=0,"",SUMIFS(INDEX(Inputs!$D$4:$AG$150,0,MATCH(P$2,Inputs!$D$2:$AG$2,0)),Inputs!$B$4:$B$150,$B19)/1000)</f>
        <v>0</v>
      </c>
      <c r="Q19" s="11">
        <f>IF(Q$3=0,"",SUMIFS(INDEX(Inputs!$D$4:$AG$150,0,MATCH(Q$2,Inputs!$D$2:$AG$2,0)),Inputs!$B$4:$B$150,$B19)/1000)</f>
        <v>0</v>
      </c>
      <c r="R19" s="12">
        <f>IF(Q19="","",Q19)</f>
        <v>0</v>
      </c>
      <c r="S19" s="11">
        <f>IF(S$3=0,"",SUMIFS(INDEX(Inputs!$D$4:$AG$150,0,MATCH(S$2,Inputs!$D$2:$AG$2,0)),Inputs!$B$4:$B$150,$B19)/1000)</f>
        <v>0</v>
      </c>
      <c r="T19" s="11">
        <f>IF(T$3=0,"",SUMIFS(INDEX(Inputs!$D$4:$AG$150,0,MATCH(T$2,Inputs!$D$2:$AG$2,0)),Inputs!$B$4:$B$150,$B19)/1000)</f>
        <v>0</v>
      </c>
      <c r="U19" s="11">
        <f>IF(U$3=0,"",SUMIFS(INDEX(Inputs!$D$4:$AG$150,0,MATCH(U$2,Inputs!$D$2:$AG$2,0)),Inputs!$B$4:$B$150,$B19)/1000)</f>
        <v>0</v>
      </c>
      <c r="V19" s="11">
        <f>IF(V$3=0,"",SUMIFS(INDEX(Inputs!$D$4:$AG$150,0,MATCH(V$2,Inputs!$D$2:$AG$2,0)),Inputs!$B$4:$B$150,$B19)/1000)</f>
        <v>0</v>
      </c>
      <c r="W19" s="12">
        <f>IF(V19="","",V19)</f>
        <v>0</v>
      </c>
      <c r="X19" s="11">
        <f>IF(X$3=0,"",SUMIFS(INDEX(Inputs!$D$4:$AG$150,0,MATCH(X$2,Inputs!$D$2:$AG$2,0)),Inputs!$B$4:$B$150,$B19)/1000)</f>
        <v>0</v>
      </c>
      <c r="Y19" s="11">
        <f>IF(Y$3=0,"",SUMIFS(INDEX(Inputs!$D$4:$AG$150,0,MATCH(Y$2,Inputs!$D$2:$AG$2,0)),Inputs!$B$4:$B$150,$B19)/1000)</f>
        <v>0</v>
      </c>
      <c r="Z19" s="11">
        <f>IF(Z$3=0,"",SUMIFS(INDEX(Inputs!$D$4:$AG$150,0,MATCH(Z$2,Inputs!$D$2:$AG$2,0)),Inputs!$B$4:$B$150,$B19)/1000)</f>
        <v>0</v>
      </c>
      <c r="AA19" s="11">
        <f>IF(AA$3=0,"",SUMIFS(INDEX(Inputs!$D$4:$AG$150,0,MATCH(AA$2,Inputs!$D$2:$AG$2,0)),Inputs!$B$4:$B$150,$B19)/1000)</f>
        <v>0</v>
      </c>
      <c r="AB19" s="12">
        <f>IF(AA19="","",AA19)</f>
        <v>0</v>
      </c>
      <c r="AC19" s="11">
        <f>IF(AC$3=0,"",SUMIFS(INDEX(Inputs!$D$4:$AG$150,0,MATCH(AC$2,Inputs!$D$2:$AG$2,0)),Inputs!$B$4:$B$150,$B19)/1000)</f>
        <v>0</v>
      </c>
      <c r="AD19" s="11">
        <f>IF(AD$3=0,"",SUMIFS(INDEX(Inputs!$D$4:$AG$150,0,MATCH(AD$2,Inputs!$D$2:$AG$2,0)),Inputs!$B$4:$B$150,$B19)/1000)</f>
        <v>0</v>
      </c>
      <c r="AE19" s="11" t="str">
        <f>IF(AE$3=0,"",SUMIFS(INDEX(Inputs!$D$4:$AG$150,0,MATCH(AE$2,Inputs!$D$2:$AG$2,0)),Inputs!$B$4:$B$150,$B19)/1000)</f>
        <v/>
      </c>
      <c r="AF19" s="11" t="str">
        <f>IF(AF$3=0,"",SUMIFS(INDEX(Inputs!$D$4:$AG$150,0,MATCH(AF$2,Inputs!$D$2:$AG$2,0)),Inputs!$B$4:$B$150,$B19)/1000)</f>
        <v/>
      </c>
      <c r="AG19" s="12" t="str">
        <f>IF(AF19="","",AF19)</f>
        <v/>
      </c>
    </row>
    <row r="20">
      <c r="B20" s="9" t="n">
        <v>16</v>
      </c>
      <c r="C20" s="14" t="inlineStr">
        <is>
          <t>Other current assets</t>
        </is>
      </c>
      <c r="D20" s="11">
        <f>IF(D$3=0,"",SUMIFS(INDEX(Inputs!$D$4:$AG$150,0,MATCH(D$2,Inputs!$D$2:$AG$2,0)),Inputs!$B$4:$B$150,$B20)/1000)</f>
        <v>5028</v>
      </c>
      <c r="E20" s="11">
        <f>IF(E$3=0,"",SUMIFS(INDEX(Inputs!$D$4:$AG$150,0,MATCH(E$2,Inputs!$D$2:$AG$2,0)),Inputs!$B$4:$B$150,$B20)/1000)</f>
        <v>5186</v>
      </c>
      <c r="F20" s="11">
        <f>IF(F$3=0,"",SUMIFS(INDEX(Inputs!$D$4:$AG$150,0,MATCH(F$2,Inputs!$D$2:$AG$2,0)),Inputs!$B$4:$B$150,$B20)/1000)</f>
        <v>5188</v>
      </c>
      <c r="G20" s="11">
        <f>IF(G$3=0,"",SUMIFS(INDEX(Inputs!$D$4:$AG$150,0,MATCH(G$2,Inputs!$D$2:$AG$2,0)),Inputs!$B$4:$B$150,$B20)/1000)</f>
        <v>-2720</v>
      </c>
      <c r="H20" s="12">
        <f>IF(G20="","",G20)</f>
        <v>-2720</v>
      </c>
      <c r="I20" s="11">
        <f>IF(I$3=0,"",SUMIFS(INDEX(Inputs!$D$4:$AG$150,0,MATCH(I$2,Inputs!$D$2:$AG$2,0)),Inputs!$B$4:$B$150,$B20)/1000)</f>
        <v>5427</v>
      </c>
      <c r="J20" s="11">
        <f>IF(J$3=0,"",SUMIFS(INDEX(Inputs!$D$4:$AG$150,0,MATCH(J$2,Inputs!$D$2:$AG$2,0)),Inputs!$B$4:$B$150,$B20)/1000)</f>
        <v>5713</v>
      </c>
      <c r="K20" s="11">
        <f>IF(K$3=0,"",SUMIFS(INDEX(Inputs!$D$4:$AG$150,0,MATCH(K$2,Inputs!$D$2:$AG$2,0)),Inputs!$B$4:$B$150,$B20)/1000)</f>
        <v>5951</v>
      </c>
      <c r="L20" s="11">
        <f>IF(L$3=0,"",SUMIFS(INDEX(Inputs!$D$4:$AG$150,0,MATCH(L$2,Inputs!$D$2:$AG$2,0)),Inputs!$B$4:$B$150,$B20)/1000)</f>
        <v>-2259</v>
      </c>
      <c r="M20" s="12">
        <f>IF(L20="","",L20)</f>
        <v>-2259</v>
      </c>
      <c r="N20" s="11">
        <f>IF(N$3=0,"",SUMIFS(INDEX(Inputs!$D$4:$AG$150,0,MATCH(N$2,Inputs!$D$2:$AG$2,0)),Inputs!$B$4:$B$150,$B20)/1000)</f>
        <v>6760</v>
      </c>
      <c r="O20" s="11">
        <f>IF(O$3=0,"",SUMIFS(INDEX(Inputs!$D$4:$AG$150,0,MATCH(O$2,Inputs!$D$2:$AG$2,0)),Inputs!$B$4:$B$150,$B20)/1000)</f>
        <v>6699</v>
      </c>
      <c r="P20" s="11">
        <f>IF(P$3=0,"",SUMIFS(INDEX(Inputs!$D$4:$AG$150,0,MATCH(P$2,Inputs!$D$2:$AG$2,0)),Inputs!$B$4:$B$150,$B20)/1000)</f>
        <v>7540</v>
      </c>
      <c r="Q20" s="11">
        <f>IF(Q$3=0,"",SUMIFS(INDEX(Inputs!$D$4:$AG$150,0,MATCH(Q$2,Inputs!$D$2:$AG$2,0)),Inputs!$B$4:$B$150,$B20)/1000)</f>
        <v>2035</v>
      </c>
      <c r="R20" s="12">
        <f>IF(Q20="","",Q20)</f>
        <v>2035</v>
      </c>
      <c r="S20" s="11">
        <f>IF(S$3=0,"",SUMIFS(INDEX(Inputs!$D$4:$AG$150,0,MATCH(S$2,Inputs!$D$2:$AG$2,0)),Inputs!$B$4:$B$150,$B20)/1000)</f>
        <v>8140</v>
      </c>
      <c r="T20" s="11">
        <f>IF(T$3=0,"",SUMIFS(INDEX(Inputs!$D$4:$AG$150,0,MATCH(T$2,Inputs!$D$2:$AG$2,0)),Inputs!$B$4:$B$150,$B20)/1000)</f>
        <v>8321</v>
      </c>
      <c r="U20" s="11">
        <f>IF(U$3=0,"",SUMIFS(INDEX(Inputs!$D$4:$AG$150,0,MATCH(U$2,Inputs!$D$2:$AG$2,0)),Inputs!$B$4:$B$150,$B20)/1000)</f>
        <v>8566</v>
      </c>
      <c r="V20" s="11">
        <f>IF(V$3=0,"",SUMIFS(INDEX(Inputs!$D$4:$AG$150,0,MATCH(V$2,Inputs!$D$2:$AG$2,0)),Inputs!$B$4:$B$150,$B20)/1000)</f>
        <v>3884</v>
      </c>
      <c r="W20" s="12">
        <f>IF(V20="","",V20)</f>
        <v>3884</v>
      </c>
      <c r="X20" s="11">
        <f>IF(X$3=0,"",SUMIFS(INDEX(Inputs!$D$4:$AG$150,0,MATCH(X$2,Inputs!$D$2:$AG$2,0)),Inputs!$B$4:$B$150,$B20)/1000)</f>
        <v>8674</v>
      </c>
      <c r="Y20" s="11">
        <f>IF(Y$3=0,"",SUMIFS(INDEX(Inputs!$D$4:$AG$150,0,MATCH(Y$2,Inputs!$D$2:$AG$2,0)),Inputs!$B$4:$B$150,$B20)/1000)</f>
        <v>8205</v>
      </c>
      <c r="Z20" s="11">
        <f>IF(Z$3=0,"",SUMIFS(INDEX(Inputs!$D$4:$AG$150,0,MATCH(Z$2,Inputs!$D$2:$AG$2,0)),Inputs!$B$4:$B$150,$B20)/1000)</f>
        <v>8330</v>
      </c>
      <c r="AA20" s="11">
        <f>IF(AA$3=0,"",SUMIFS(INDEX(Inputs!$D$4:$AG$150,0,MATCH(AA$2,Inputs!$D$2:$AG$2,0)),Inputs!$B$4:$B$150,$B20)/1000)</f>
        <v>4816</v>
      </c>
      <c r="AB20" s="12">
        <f>IF(AA20="","",AA20)</f>
        <v>4816</v>
      </c>
      <c r="AC20" s="11">
        <f>IF(AC$3=0,"",SUMIFS(INDEX(Inputs!$D$4:$AG$150,0,MATCH(AC$2,Inputs!$D$2:$AG$2,0)),Inputs!$B$4:$B$150,$B20)/1000)</f>
        <v>9674</v>
      </c>
      <c r="AD20" s="11">
        <f>IF(AD$3=0,"",SUMIFS(INDEX(Inputs!$D$4:$AG$150,0,MATCH(AD$2,Inputs!$D$2:$AG$2,0)),Inputs!$B$4:$B$150,$B20)/1000)</f>
        <v>9369</v>
      </c>
      <c r="AE20" s="11" t="str">
        <f>IF(AE$3=0,"",SUMIFS(INDEX(Inputs!$D$4:$AG$150,0,MATCH(AE$2,Inputs!$D$2:$AG$2,0)),Inputs!$B$4:$B$150,$B20)/1000)</f>
        <v/>
      </c>
      <c r="AF20" s="11" t="str">
        <f>IF(AF$3=0,"",SUMIFS(INDEX(Inputs!$D$4:$AG$150,0,MATCH(AF$2,Inputs!$D$2:$AG$2,0)),Inputs!$B$4:$B$150,$B20)/1000)</f>
        <v/>
      </c>
      <c r="AG20" s="12" t="str">
        <f>IF(AF20="","",AF20)</f>
        <v/>
      </c>
    </row>
    <row r="21">
      <c r="B21" s="9" t="n">
        <v>17</v>
      </c>
      <c r="C21" s="14" t="inlineStr">
        <is>
          <t>Equity in affiliates</t>
        </is>
      </c>
      <c r="D21" s="11">
        <f>IF(D$3=0,"",SUMIFS(INDEX(Inputs!$D$4:$AG$150,0,MATCH(D$2,Inputs!$D$2:$AG$2,0)),Inputs!$B$4:$B$150,$B21)/1000)</f>
        <v>0</v>
      </c>
      <c r="E21" s="11">
        <f>IF(E$3=0,"",SUMIFS(INDEX(Inputs!$D$4:$AG$150,0,MATCH(E$2,Inputs!$D$2:$AG$2,0)),Inputs!$B$4:$B$150,$B21)/1000)</f>
        <v>0</v>
      </c>
      <c r="F21" s="11">
        <f>IF(F$3=0,"",SUMIFS(INDEX(Inputs!$D$4:$AG$150,0,MATCH(F$2,Inputs!$D$2:$AG$2,0)),Inputs!$B$4:$B$150,$B21)/1000)</f>
        <v>0</v>
      </c>
      <c r="G21" s="11">
        <f>IF(G$3=0,"",SUMIFS(INDEX(Inputs!$D$4:$AG$150,0,MATCH(G$2,Inputs!$D$2:$AG$2,0)),Inputs!$B$4:$B$150,$B21)/1000)</f>
        <v>0</v>
      </c>
      <c r="H21" s="12">
        <f>IF(G21="","",G21)</f>
        <v>0</v>
      </c>
      <c r="I21" s="11">
        <f>IF(I$3=0,"",SUMIFS(INDEX(Inputs!$D$4:$AG$150,0,MATCH(I$2,Inputs!$D$2:$AG$2,0)),Inputs!$B$4:$B$150,$B21)/1000)</f>
        <v>0</v>
      </c>
      <c r="J21" s="11">
        <f>IF(J$3=0,"",SUMIFS(INDEX(Inputs!$D$4:$AG$150,0,MATCH(J$2,Inputs!$D$2:$AG$2,0)),Inputs!$B$4:$B$150,$B21)/1000)</f>
        <v>0</v>
      </c>
      <c r="K21" s="11">
        <f>IF(K$3=0,"",SUMIFS(INDEX(Inputs!$D$4:$AG$150,0,MATCH(K$2,Inputs!$D$2:$AG$2,0)),Inputs!$B$4:$B$150,$B21)/1000)</f>
        <v>0</v>
      </c>
      <c r="L21" s="11">
        <f>IF(L$3=0,"",SUMIFS(INDEX(Inputs!$D$4:$AG$150,0,MATCH(L$2,Inputs!$D$2:$AG$2,0)),Inputs!$B$4:$B$150,$B21)/1000)</f>
        <v>0</v>
      </c>
      <c r="M21" s="12">
        <f>IF(L21="","",L21)</f>
        <v>0</v>
      </c>
      <c r="N21" s="11">
        <f>IF(N$3=0,"",SUMIFS(INDEX(Inputs!$D$4:$AG$150,0,MATCH(N$2,Inputs!$D$2:$AG$2,0)),Inputs!$B$4:$B$150,$B21)/1000)</f>
        <v>0</v>
      </c>
      <c r="O21" s="11">
        <f>IF(O$3=0,"",SUMIFS(INDEX(Inputs!$D$4:$AG$150,0,MATCH(O$2,Inputs!$D$2:$AG$2,0)),Inputs!$B$4:$B$150,$B21)/1000)</f>
        <v>0</v>
      </c>
      <c r="P21" s="11">
        <f>IF(P$3=0,"",SUMIFS(INDEX(Inputs!$D$4:$AG$150,0,MATCH(P$2,Inputs!$D$2:$AG$2,0)),Inputs!$B$4:$B$150,$B21)/1000)</f>
        <v>0</v>
      </c>
      <c r="Q21" s="11">
        <f>IF(Q$3=0,"",SUMIFS(INDEX(Inputs!$D$4:$AG$150,0,MATCH(Q$2,Inputs!$D$2:$AG$2,0)),Inputs!$B$4:$B$150,$B21)/1000)</f>
        <v>0</v>
      </c>
      <c r="R21" s="12">
        <f>IF(Q21="","",Q21)</f>
        <v>0</v>
      </c>
      <c r="S21" s="11">
        <f>IF(S$3=0,"",SUMIFS(INDEX(Inputs!$D$4:$AG$150,0,MATCH(S$2,Inputs!$D$2:$AG$2,0)),Inputs!$B$4:$B$150,$B21)/1000)</f>
        <v>0</v>
      </c>
      <c r="T21" s="11">
        <f>IF(T$3=0,"",SUMIFS(INDEX(Inputs!$D$4:$AG$150,0,MATCH(T$2,Inputs!$D$2:$AG$2,0)),Inputs!$B$4:$B$150,$B21)/1000)</f>
        <v>0</v>
      </c>
      <c r="U21" s="11">
        <f>IF(U$3=0,"",SUMIFS(INDEX(Inputs!$D$4:$AG$150,0,MATCH(U$2,Inputs!$D$2:$AG$2,0)),Inputs!$B$4:$B$150,$B21)/1000)</f>
        <v>0</v>
      </c>
      <c r="V21" s="11">
        <f>IF(V$3=0,"",SUMIFS(INDEX(Inputs!$D$4:$AG$150,0,MATCH(V$2,Inputs!$D$2:$AG$2,0)),Inputs!$B$4:$B$150,$B21)/1000)</f>
        <v>0</v>
      </c>
      <c r="W21" s="12">
        <f>IF(V21="","",V21)</f>
        <v>0</v>
      </c>
      <c r="X21" s="11">
        <f>IF(X$3=0,"",SUMIFS(INDEX(Inputs!$D$4:$AG$150,0,MATCH(X$2,Inputs!$D$2:$AG$2,0)),Inputs!$B$4:$B$150,$B21)/1000)</f>
        <v>0</v>
      </c>
      <c r="Y21" s="11">
        <f>IF(Y$3=0,"",SUMIFS(INDEX(Inputs!$D$4:$AG$150,0,MATCH(Y$2,Inputs!$D$2:$AG$2,0)),Inputs!$B$4:$B$150,$B21)/1000)</f>
        <v>0</v>
      </c>
      <c r="Z21" s="11">
        <f>IF(Z$3=0,"",SUMIFS(INDEX(Inputs!$D$4:$AG$150,0,MATCH(Z$2,Inputs!$D$2:$AG$2,0)),Inputs!$B$4:$B$150,$B21)/1000)</f>
        <v>0</v>
      </c>
      <c r="AA21" s="11">
        <f>IF(AA$3=0,"",SUMIFS(INDEX(Inputs!$D$4:$AG$150,0,MATCH(AA$2,Inputs!$D$2:$AG$2,0)),Inputs!$B$4:$B$150,$B21)/1000)</f>
        <v>0</v>
      </c>
      <c r="AB21" s="12">
        <f>IF(AA21="","",AA21)</f>
        <v>0</v>
      </c>
      <c r="AC21" s="11">
        <f>IF(AC$3=0,"",SUMIFS(INDEX(Inputs!$D$4:$AG$150,0,MATCH(AC$2,Inputs!$D$2:$AG$2,0)),Inputs!$B$4:$B$150,$B21)/1000)</f>
        <v>0</v>
      </c>
      <c r="AD21" s="11">
        <f>IF(AD$3=0,"",SUMIFS(INDEX(Inputs!$D$4:$AG$150,0,MATCH(AD$2,Inputs!$D$2:$AG$2,0)),Inputs!$B$4:$B$150,$B21)/1000)</f>
        <v>0</v>
      </c>
      <c r="AE21" s="11" t="str">
        <f>IF(AE$3=0,"",SUMIFS(INDEX(Inputs!$D$4:$AG$150,0,MATCH(AE$2,Inputs!$D$2:$AG$2,0)),Inputs!$B$4:$B$150,$B21)/1000)</f>
        <v/>
      </c>
      <c r="AF21" s="11" t="str">
        <f>IF(AF$3=0,"",SUMIFS(INDEX(Inputs!$D$4:$AG$150,0,MATCH(AF$2,Inputs!$D$2:$AG$2,0)),Inputs!$B$4:$B$150,$B21)/1000)</f>
        <v/>
      </c>
      <c r="AG21" s="12" t="str">
        <f>IF(AF21="","",AF21)</f>
        <v/>
      </c>
    </row>
    <row r="22">
      <c r="B22" s="9" t="n">
        <v>18</v>
      </c>
      <c r="C22" s="14" t="inlineStr">
        <is>
          <t>PP&amp;E</t>
        </is>
      </c>
      <c r="D22" s="11">
        <f>IF(D$3=0,"",SUMIFS(INDEX(Inputs!$D$4:$AG$150,0,MATCH(D$2,Inputs!$D$2:$AG$2,0)),Inputs!$B$4:$B$150,$B22)/1000)</f>
        <v>29775</v>
      </c>
      <c r="E22" s="11">
        <f>IF(E$3=0,"",SUMIFS(INDEX(Inputs!$D$4:$AG$150,0,MATCH(E$2,Inputs!$D$2:$AG$2,0)),Inputs!$B$4:$B$150,$B22)/1000)</f>
        <v>29836</v>
      </c>
      <c r="F22" s="11">
        <f>IF(F$3=0,"",SUMIFS(INDEX(Inputs!$D$4:$AG$150,0,MATCH(F$2,Inputs!$D$2:$AG$2,0)),Inputs!$B$4:$B$150,$B22)/1000)</f>
        <v>30102</v>
      </c>
      <c r="G22" s="11">
        <f>IF(G$3=0,"",SUMIFS(INDEX(Inputs!$D$4:$AG$150,0,MATCH(G$2,Inputs!$D$2:$AG$2,0)),Inputs!$B$4:$B$150,$B22)/1000)</f>
        <v>30345</v>
      </c>
      <c r="H22" s="12">
        <f>IF(G22="","",G22)</f>
        <v>30345</v>
      </c>
      <c r="I22" s="11">
        <f>IF(I$3=0,"",SUMIFS(INDEX(Inputs!$D$4:$AG$150,0,MATCH(I$2,Inputs!$D$2:$AG$2,0)),Inputs!$B$4:$B$150,$B22)/1000)</f>
        <v>30708</v>
      </c>
      <c r="J22" s="11">
        <f>IF(J$3=0,"",SUMIFS(INDEX(Inputs!$D$4:$AG$150,0,MATCH(J$2,Inputs!$D$2:$AG$2,0)),Inputs!$B$4:$B$150,$B22)/1000)</f>
        <v>31200</v>
      </c>
      <c r="K22" s="11">
        <f>IF(K$3=0,"",SUMIFS(INDEX(Inputs!$D$4:$AG$150,0,MATCH(K$2,Inputs!$D$2:$AG$2,0)),Inputs!$B$4:$B$150,$B22)/1000)</f>
        <v>31814</v>
      </c>
      <c r="L22" s="11">
        <f>IF(L$3=0,"",SUMIFS(INDEX(Inputs!$D$4:$AG$150,0,MATCH(L$2,Inputs!$D$2:$AG$2,0)),Inputs!$B$4:$B$150,$B22)/1000)</f>
        <v>32627</v>
      </c>
      <c r="M22" s="12">
        <f>IF(L22="","",L22)</f>
        <v>32627</v>
      </c>
      <c r="N22" s="11">
        <f>IF(N$3=0,"",SUMIFS(INDEX(Inputs!$D$4:$AG$150,0,MATCH(N$2,Inputs!$D$2:$AG$2,0)),Inputs!$B$4:$B$150,$B22)/1000)</f>
        <v>33159</v>
      </c>
      <c r="O22" s="11">
        <f>IF(O$3=0,"",SUMIFS(INDEX(Inputs!$D$4:$AG$150,0,MATCH(O$2,Inputs!$D$2:$AG$2,0)),Inputs!$B$4:$B$150,$B22)/1000)</f>
        <v>33845</v>
      </c>
      <c r="P22" s="11">
        <f>IF(P$3=0,"",SUMIFS(INDEX(Inputs!$D$4:$AG$150,0,MATCH(P$2,Inputs!$D$2:$AG$2,0)),Inputs!$B$4:$B$150,$B22)/1000)</f>
        <v>34535</v>
      </c>
      <c r="Q22" s="11">
        <f>IF(Q$3=0,"",SUMIFS(INDEX(Inputs!$D$4:$AG$150,0,MATCH(Q$2,Inputs!$D$2:$AG$2,0)),Inputs!$B$4:$B$150,$B22)/1000)</f>
        <v>35295</v>
      </c>
      <c r="R22" s="12">
        <f>IF(Q22="","",Q22)</f>
        <v>35295</v>
      </c>
      <c r="S22" s="11">
        <f>IF(S$3=0,"",SUMIFS(INDEX(Inputs!$D$4:$AG$150,0,MATCH(S$2,Inputs!$D$2:$AG$2,0)),Inputs!$B$4:$B$150,$B22)/1000)</f>
        <v>36197</v>
      </c>
      <c r="T22" s="11">
        <f>IF(T$3=0,"",SUMIFS(INDEX(Inputs!$D$4:$AG$150,0,MATCH(T$2,Inputs!$D$2:$AG$2,0)),Inputs!$B$4:$B$150,$B22)/1000)</f>
        <v>36784</v>
      </c>
      <c r="U22" s="11">
        <f>IF(U$3=0,"",SUMIFS(INDEX(Inputs!$D$4:$AG$150,0,MATCH(U$2,Inputs!$D$2:$AG$2,0)),Inputs!$B$4:$B$150,$B22)/1000)</f>
        <v>37750</v>
      </c>
      <c r="V22" s="11">
        <f>IF(V$3=0,"",SUMIFS(INDEX(Inputs!$D$4:$AG$150,0,MATCH(V$2,Inputs!$D$2:$AG$2,0)),Inputs!$B$4:$B$150,$B22)/1000)</f>
        <v>38514</v>
      </c>
      <c r="W22" s="12">
        <f>IF(V22="","",V22)</f>
        <v>38514</v>
      </c>
      <c r="X22" s="11">
        <f>IF(X$3=0,"",SUMIFS(INDEX(Inputs!$D$4:$AG$150,0,MATCH(X$2,Inputs!$D$2:$AG$2,0)),Inputs!$B$4:$B$150,$B22)/1000)</f>
        <v>39200</v>
      </c>
      <c r="Y22" s="11">
        <f>IF(Y$3=0,"",SUMIFS(INDEX(Inputs!$D$4:$AG$150,0,MATCH(Y$2,Inputs!$D$2:$AG$2,0)),Inputs!$B$4:$B$150,$B22)/1000)</f>
        <v>39835</v>
      </c>
      <c r="Z22" s="11">
        <f>IF(Z$3=0,"",SUMIFS(INDEX(Inputs!$D$4:$AG$150,0,MATCH(Z$2,Inputs!$D$2:$AG$2,0)),Inputs!$B$4:$B$150,$B22)/1000)</f>
        <v>40257</v>
      </c>
      <c r="AA22" s="11">
        <f>IF(AA$3=0,"",SUMIFS(INDEX(Inputs!$D$4:$AG$150,0,MATCH(AA$2,Inputs!$D$2:$AG$2,0)),Inputs!$B$4:$B$150,$B22)/1000)</f>
        <v>40736</v>
      </c>
      <c r="AB22" s="12">
        <f>IF(AA22="","",AA22)</f>
        <v>40736</v>
      </c>
      <c r="AC22" s="11">
        <f>IF(AC$3=0,"",SUMIFS(INDEX(Inputs!$D$4:$AG$150,0,MATCH(AC$2,Inputs!$D$2:$AG$2,0)),Inputs!$B$4:$B$150,$B22)/1000)</f>
        <v>41101</v>
      </c>
      <c r="AD22" s="11">
        <f>IF(AD$3=0,"",SUMIFS(INDEX(Inputs!$D$4:$AG$150,0,MATCH(AD$2,Inputs!$D$2:$AG$2,0)),Inputs!$B$4:$B$150,$B22)/1000)</f>
        <v>41705</v>
      </c>
      <c r="AE22" s="11" t="str">
        <f>IF(AE$3=0,"",SUMIFS(INDEX(Inputs!$D$4:$AG$150,0,MATCH(AE$2,Inputs!$D$2:$AG$2,0)),Inputs!$B$4:$B$150,$B22)/1000)</f>
        <v/>
      </c>
      <c r="AF22" s="11" t="str">
        <f>IF(AF$3=0,"",SUMIFS(INDEX(Inputs!$D$4:$AG$150,0,MATCH(AF$2,Inputs!$D$2:$AG$2,0)),Inputs!$B$4:$B$150,$B22)/1000)</f>
        <v/>
      </c>
      <c r="AG22" s="12" t="str">
        <f>IF(AF22="","",AF22)</f>
        <v/>
      </c>
    </row>
    <row r="23">
      <c r="B23" s="9" t="n">
        <v>19</v>
      </c>
      <c r="C23" s="14" t="inlineStr">
        <is>
          <t>Right-of-use-assets</t>
        </is>
      </c>
      <c r="D23" s="11">
        <f>IF(D$3=0,"",SUMIFS(INDEX(Inputs!$D$4:$AG$150,0,MATCH(D$2,Inputs!$D$2:$AG$2,0)),Inputs!$B$4:$B$150,$B23)/1000)</f>
        <v>0</v>
      </c>
      <c r="E23" s="11">
        <f>IF(E$3=0,"",SUMIFS(INDEX(Inputs!$D$4:$AG$150,0,MATCH(E$2,Inputs!$D$2:$AG$2,0)),Inputs!$B$4:$B$150,$B23)/1000)</f>
        <v>0</v>
      </c>
      <c r="F23" s="11">
        <f>IF(F$3=0,"",SUMIFS(INDEX(Inputs!$D$4:$AG$150,0,MATCH(F$2,Inputs!$D$2:$AG$2,0)),Inputs!$B$4:$B$150,$B23)/1000)</f>
        <v>0</v>
      </c>
      <c r="G23" s="11">
        <f>IF(G$3=0,"",SUMIFS(INDEX(Inputs!$D$4:$AG$150,0,MATCH(G$2,Inputs!$D$2:$AG$2,0)),Inputs!$B$4:$B$150,$B23)/1000)</f>
        <v>0</v>
      </c>
      <c r="H23" s="12">
        <f>IF(G23="","",G23)</f>
        <v>0</v>
      </c>
      <c r="I23" s="11">
        <f>IF(I$3=0,"",SUMIFS(INDEX(Inputs!$D$4:$AG$150,0,MATCH(I$2,Inputs!$D$2:$AG$2,0)),Inputs!$B$4:$B$150,$B23)/1000)</f>
        <v>0</v>
      </c>
      <c r="J23" s="11">
        <f>IF(J$3=0,"",SUMIFS(INDEX(Inputs!$D$4:$AG$150,0,MATCH(J$2,Inputs!$D$2:$AG$2,0)),Inputs!$B$4:$B$150,$B23)/1000)</f>
        <v>0</v>
      </c>
      <c r="K23" s="11">
        <f>IF(K$3=0,"",SUMIFS(INDEX(Inputs!$D$4:$AG$150,0,MATCH(K$2,Inputs!$D$2:$AG$2,0)),Inputs!$B$4:$B$150,$B23)/1000)</f>
        <v>0</v>
      </c>
      <c r="L23" s="11">
        <f>IF(L$3=0,"",SUMIFS(INDEX(Inputs!$D$4:$AG$150,0,MATCH(L$2,Inputs!$D$2:$AG$2,0)),Inputs!$B$4:$B$150,$B23)/1000)</f>
        <v>0</v>
      </c>
      <c r="M23" s="12">
        <f>IF(L23="","",L23)</f>
        <v>0</v>
      </c>
      <c r="N23" s="11">
        <f>IF(N$3=0,"",SUMIFS(INDEX(Inputs!$D$4:$AG$150,0,MATCH(N$2,Inputs!$D$2:$AG$2,0)),Inputs!$B$4:$B$150,$B23)/1000)</f>
        <v>0</v>
      </c>
      <c r="O23" s="11">
        <f>IF(O$3=0,"",SUMIFS(INDEX(Inputs!$D$4:$AG$150,0,MATCH(O$2,Inputs!$D$2:$AG$2,0)),Inputs!$B$4:$B$150,$B23)/1000)</f>
        <v>0</v>
      </c>
      <c r="P23" s="11">
        <f>IF(P$3=0,"",SUMIFS(INDEX(Inputs!$D$4:$AG$150,0,MATCH(P$2,Inputs!$D$2:$AG$2,0)),Inputs!$B$4:$B$150,$B23)/1000)</f>
        <v>0</v>
      </c>
      <c r="Q23" s="11">
        <f>IF(Q$3=0,"",SUMIFS(INDEX(Inputs!$D$4:$AG$150,0,MATCH(Q$2,Inputs!$D$2:$AG$2,0)),Inputs!$B$4:$B$150,$B23)/1000)</f>
        <v>0</v>
      </c>
      <c r="R23" s="12">
        <f>IF(Q23="","",Q23)</f>
        <v>0</v>
      </c>
      <c r="S23" s="11">
        <f>IF(S$3=0,"",SUMIFS(INDEX(Inputs!$D$4:$AG$150,0,MATCH(S$2,Inputs!$D$2:$AG$2,0)),Inputs!$B$4:$B$150,$B23)/1000)</f>
        <v>0</v>
      </c>
      <c r="T23" s="11">
        <f>IF(T$3=0,"",SUMIFS(INDEX(Inputs!$D$4:$AG$150,0,MATCH(T$2,Inputs!$D$2:$AG$2,0)),Inputs!$B$4:$B$150,$B23)/1000)</f>
        <v>0</v>
      </c>
      <c r="U23" s="11">
        <f>IF(U$3=0,"",SUMIFS(INDEX(Inputs!$D$4:$AG$150,0,MATCH(U$2,Inputs!$D$2:$AG$2,0)),Inputs!$B$4:$B$150,$B23)/1000)</f>
        <v>0</v>
      </c>
      <c r="V23" s="11">
        <f>IF(V$3=0,"",SUMIFS(INDEX(Inputs!$D$4:$AG$150,0,MATCH(V$2,Inputs!$D$2:$AG$2,0)),Inputs!$B$4:$B$150,$B23)/1000)</f>
        <v>0</v>
      </c>
      <c r="W23" s="12">
        <f>IF(V23="","",V23)</f>
        <v>0</v>
      </c>
      <c r="X23" s="11">
        <f>IF(X$3=0,"",SUMIFS(INDEX(Inputs!$D$4:$AG$150,0,MATCH(X$2,Inputs!$D$2:$AG$2,0)),Inputs!$B$4:$B$150,$B23)/1000)</f>
        <v>0</v>
      </c>
      <c r="Y23" s="11">
        <f>IF(Y$3=0,"",SUMIFS(INDEX(Inputs!$D$4:$AG$150,0,MATCH(Y$2,Inputs!$D$2:$AG$2,0)),Inputs!$B$4:$B$150,$B23)/1000)</f>
        <v>0</v>
      </c>
      <c r="Z23" s="11">
        <f>IF(Z$3=0,"",SUMIFS(INDEX(Inputs!$D$4:$AG$150,0,MATCH(Z$2,Inputs!$D$2:$AG$2,0)),Inputs!$B$4:$B$150,$B23)/1000)</f>
        <v>0</v>
      </c>
      <c r="AA23" s="11">
        <f>IF(AA$3=0,"",SUMIFS(INDEX(Inputs!$D$4:$AG$150,0,MATCH(AA$2,Inputs!$D$2:$AG$2,0)),Inputs!$B$4:$B$150,$B23)/1000)</f>
        <v>0</v>
      </c>
      <c r="AB23" s="12">
        <f>IF(AA23="","",AA23)</f>
        <v>0</v>
      </c>
      <c r="AC23" s="11">
        <f>IF(AC$3=0,"",SUMIFS(INDEX(Inputs!$D$4:$AG$150,0,MATCH(AC$2,Inputs!$D$2:$AG$2,0)),Inputs!$B$4:$B$150,$B23)/1000)</f>
        <v>0</v>
      </c>
      <c r="AD23" s="11">
        <f>IF(AD$3=0,"",SUMIFS(INDEX(Inputs!$D$4:$AG$150,0,MATCH(AD$2,Inputs!$D$2:$AG$2,0)),Inputs!$B$4:$B$150,$B23)/1000)</f>
        <v>0</v>
      </c>
      <c r="AE23" s="11" t="str">
        <f>IF(AE$3=0,"",SUMIFS(INDEX(Inputs!$D$4:$AG$150,0,MATCH(AE$2,Inputs!$D$2:$AG$2,0)),Inputs!$B$4:$B$150,$B23)/1000)</f>
        <v/>
      </c>
      <c r="AF23" s="11" t="str">
        <f>IF(AF$3=0,"",SUMIFS(INDEX(Inputs!$D$4:$AG$150,0,MATCH(AF$2,Inputs!$D$2:$AG$2,0)),Inputs!$B$4:$B$150,$B23)/1000)</f>
        <v/>
      </c>
      <c r="AG23" s="12" t="str">
        <f>IF(AF23="","",AF23)</f>
        <v/>
      </c>
    </row>
    <row r="24">
      <c r="B24" s="9" t="n">
        <v>20</v>
      </c>
      <c r="C24" s="14" t="inlineStr">
        <is>
          <t>Goodwill</t>
        </is>
      </c>
      <c r="D24" s="11">
        <f>IF(D$3=0,"",SUMIFS(INDEX(Inputs!$D$4:$AG$150,0,MATCH(D$2,Inputs!$D$2:$AG$2,0)),Inputs!$B$4:$B$150,$B24)/1000)</f>
        <v>0</v>
      </c>
      <c r="E24" s="11">
        <f>IF(E$3=0,"",SUMIFS(INDEX(Inputs!$D$4:$AG$150,0,MATCH(E$2,Inputs!$D$2:$AG$2,0)),Inputs!$B$4:$B$150,$B24)/1000)</f>
        <v>0</v>
      </c>
      <c r="F24" s="11">
        <f>IF(F$3=0,"",SUMIFS(INDEX(Inputs!$D$4:$AG$150,0,MATCH(F$2,Inputs!$D$2:$AG$2,0)),Inputs!$B$4:$B$150,$B24)/1000)</f>
        <v>0</v>
      </c>
      <c r="G24" s="11">
        <f>IF(G$3=0,"",SUMIFS(INDEX(Inputs!$D$4:$AG$150,0,MATCH(G$2,Inputs!$D$2:$AG$2,0)),Inputs!$B$4:$B$150,$B24)/1000)</f>
        <v>0</v>
      </c>
      <c r="H24" s="12">
        <f>IF(G24="","",G24)</f>
        <v>0</v>
      </c>
      <c r="I24" s="11">
        <f>IF(I$3=0,"",SUMIFS(INDEX(Inputs!$D$4:$AG$150,0,MATCH(I$2,Inputs!$D$2:$AG$2,0)),Inputs!$B$4:$B$150,$B24)/1000)</f>
        <v>0</v>
      </c>
      <c r="J24" s="11">
        <f>IF(J$3=0,"",SUMIFS(INDEX(Inputs!$D$4:$AG$150,0,MATCH(J$2,Inputs!$D$2:$AG$2,0)),Inputs!$B$4:$B$150,$B24)/1000)</f>
        <v>0</v>
      </c>
      <c r="K24" s="11">
        <f>IF(K$3=0,"",SUMIFS(INDEX(Inputs!$D$4:$AG$150,0,MATCH(K$2,Inputs!$D$2:$AG$2,0)),Inputs!$B$4:$B$150,$B24)/1000)</f>
        <v>0</v>
      </c>
      <c r="L24" s="11">
        <f>IF(L$3=0,"",SUMIFS(INDEX(Inputs!$D$4:$AG$150,0,MATCH(L$2,Inputs!$D$2:$AG$2,0)),Inputs!$B$4:$B$150,$B24)/1000)</f>
        <v>0</v>
      </c>
      <c r="M24" s="12">
        <f>IF(L24="","",L24)</f>
        <v>0</v>
      </c>
      <c r="N24" s="11">
        <f>IF(N$3=0,"",SUMIFS(INDEX(Inputs!$D$4:$AG$150,0,MATCH(N$2,Inputs!$D$2:$AG$2,0)),Inputs!$B$4:$B$150,$B24)/1000)</f>
        <v>0</v>
      </c>
      <c r="O24" s="11">
        <f>IF(O$3=0,"",SUMIFS(INDEX(Inputs!$D$4:$AG$150,0,MATCH(O$2,Inputs!$D$2:$AG$2,0)),Inputs!$B$4:$B$150,$B24)/1000)</f>
        <v>0</v>
      </c>
      <c r="P24" s="11">
        <f>IF(P$3=0,"",SUMIFS(INDEX(Inputs!$D$4:$AG$150,0,MATCH(P$2,Inputs!$D$2:$AG$2,0)),Inputs!$B$4:$B$150,$B24)/1000)</f>
        <v>0</v>
      </c>
      <c r="Q24" s="11">
        <f>IF(Q$3=0,"",SUMIFS(INDEX(Inputs!$D$4:$AG$150,0,MATCH(Q$2,Inputs!$D$2:$AG$2,0)),Inputs!$B$4:$B$150,$B24)/1000)</f>
        <v>0</v>
      </c>
      <c r="R24" s="12">
        <f>IF(Q24="","",Q24)</f>
        <v>0</v>
      </c>
      <c r="S24" s="11">
        <f>IF(S$3=0,"",SUMIFS(INDEX(Inputs!$D$4:$AG$150,0,MATCH(S$2,Inputs!$D$2:$AG$2,0)),Inputs!$B$4:$B$150,$B24)/1000)</f>
        <v>0</v>
      </c>
      <c r="T24" s="11">
        <f>IF(T$3=0,"",SUMIFS(INDEX(Inputs!$D$4:$AG$150,0,MATCH(T$2,Inputs!$D$2:$AG$2,0)),Inputs!$B$4:$B$150,$B24)/1000)</f>
        <v>0</v>
      </c>
      <c r="U24" s="11">
        <f>IF(U$3=0,"",SUMIFS(INDEX(Inputs!$D$4:$AG$150,0,MATCH(U$2,Inputs!$D$2:$AG$2,0)),Inputs!$B$4:$B$150,$B24)/1000)</f>
        <v>0</v>
      </c>
      <c r="V24" s="11">
        <f>IF(V$3=0,"",SUMIFS(INDEX(Inputs!$D$4:$AG$150,0,MATCH(V$2,Inputs!$D$2:$AG$2,0)),Inputs!$B$4:$B$150,$B24)/1000)</f>
        <v>0</v>
      </c>
      <c r="W24" s="12">
        <f>IF(V24="","",V24)</f>
        <v>0</v>
      </c>
      <c r="X24" s="11">
        <f>IF(X$3=0,"",SUMIFS(INDEX(Inputs!$D$4:$AG$150,0,MATCH(X$2,Inputs!$D$2:$AG$2,0)),Inputs!$B$4:$B$150,$B24)/1000)</f>
        <v>0</v>
      </c>
      <c r="Y24" s="11">
        <f>IF(Y$3=0,"",SUMIFS(INDEX(Inputs!$D$4:$AG$150,0,MATCH(Y$2,Inputs!$D$2:$AG$2,0)),Inputs!$B$4:$B$150,$B24)/1000)</f>
        <v>0</v>
      </c>
      <c r="Z24" s="11">
        <f>IF(Z$3=0,"",SUMIFS(INDEX(Inputs!$D$4:$AG$150,0,MATCH(Z$2,Inputs!$D$2:$AG$2,0)),Inputs!$B$4:$B$150,$B24)/1000)</f>
        <v>0</v>
      </c>
      <c r="AA24" s="11">
        <f>IF(AA$3=0,"",SUMIFS(INDEX(Inputs!$D$4:$AG$150,0,MATCH(AA$2,Inputs!$D$2:$AG$2,0)),Inputs!$B$4:$B$150,$B24)/1000)</f>
        <v>0</v>
      </c>
      <c r="AB24" s="12">
        <f>IF(AA24="","",AA24)</f>
        <v>0</v>
      </c>
      <c r="AC24" s="11">
        <f>IF(AC$3=0,"",SUMIFS(INDEX(Inputs!$D$4:$AG$150,0,MATCH(AC$2,Inputs!$D$2:$AG$2,0)),Inputs!$B$4:$B$150,$B24)/1000)</f>
        <v>0</v>
      </c>
      <c r="AD24" s="11">
        <f>IF(AD$3=0,"",SUMIFS(INDEX(Inputs!$D$4:$AG$150,0,MATCH(AD$2,Inputs!$D$2:$AG$2,0)),Inputs!$B$4:$B$150,$B24)/1000)</f>
        <v>0</v>
      </c>
      <c r="AE24" s="11" t="str">
        <f>IF(AE$3=0,"",SUMIFS(INDEX(Inputs!$D$4:$AG$150,0,MATCH(AE$2,Inputs!$D$2:$AG$2,0)),Inputs!$B$4:$B$150,$B24)/1000)</f>
        <v/>
      </c>
      <c r="AF24" s="11" t="str">
        <f>IF(AF$3=0,"",SUMIFS(INDEX(Inputs!$D$4:$AG$150,0,MATCH(AF$2,Inputs!$D$2:$AG$2,0)),Inputs!$B$4:$B$150,$B24)/1000)</f>
        <v/>
      </c>
      <c r="AG24" s="12" t="str">
        <f>IF(AF24="","",AF24)</f>
        <v/>
      </c>
    </row>
    <row r="25">
      <c r="B25" s="9" t="n">
        <v>21</v>
      </c>
      <c r="C25" s="14" t="inlineStr">
        <is>
          <t>Intangibles</t>
        </is>
      </c>
      <c r="D25" s="11">
        <f>IF(D$3=0,"",SUMIFS(INDEX(Inputs!$D$4:$AG$150,0,MATCH(D$2,Inputs!$D$2:$AG$2,0)),Inputs!$B$4:$B$150,$B25)/1000)</f>
        <v>0</v>
      </c>
      <c r="E25" s="11">
        <f>IF(E$3=0,"",SUMIFS(INDEX(Inputs!$D$4:$AG$150,0,MATCH(E$2,Inputs!$D$2:$AG$2,0)),Inputs!$B$4:$B$150,$B25)/1000)</f>
        <v>0</v>
      </c>
      <c r="F25" s="11">
        <f>IF(F$3=0,"",SUMIFS(INDEX(Inputs!$D$4:$AG$150,0,MATCH(F$2,Inputs!$D$2:$AG$2,0)),Inputs!$B$4:$B$150,$B25)/1000)</f>
        <v>0</v>
      </c>
      <c r="G25" s="11">
        <f>IF(G$3=0,"",SUMIFS(INDEX(Inputs!$D$4:$AG$150,0,MATCH(G$2,Inputs!$D$2:$AG$2,0)),Inputs!$B$4:$B$150,$B25)/1000)</f>
        <v>0</v>
      </c>
      <c r="H25" s="12">
        <f>IF(G25="","",G25)</f>
        <v>0</v>
      </c>
      <c r="I25" s="11">
        <f>IF(I$3=0,"",SUMIFS(INDEX(Inputs!$D$4:$AG$150,0,MATCH(I$2,Inputs!$D$2:$AG$2,0)),Inputs!$B$4:$B$150,$B25)/1000)</f>
        <v>0</v>
      </c>
      <c r="J25" s="11">
        <f>IF(J$3=0,"",SUMIFS(INDEX(Inputs!$D$4:$AG$150,0,MATCH(J$2,Inputs!$D$2:$AG$2,0)),Inputs!$B$4:$B$150,$B25)/1000)</f>
        <v>0</v>
      </c>
      <c r="K25" s="11">
        <f>IF(K$3=0,"",SUMIFS(INDEX(Inputs!$D$4:$AG$150,0,MATCH(K$2,Inputs!$D$2:$AG$2,0)),Inputs!$B$4:$B$150,$B25)/1000)</f>
        <v>0</v>
      </c>
      <c r="L25" s="11">
        <f>IF(L$3=0,"",SUMIFS(INDEX(Inputs!$D$4:$AG$150,0,MATCH(L$2,Inputs!$D$2:$AG$2,0)),Inputs!$B$4:$B$150,$B25)/1000)</f>
        <v>0</v>
      </c>
      <c r="M25" s="12">
        <f>IF(L25="","",L25)</f>
        <v>0</v>
      </c>
      <c r="N25" s="11">
        <f>IF(N$3=0,"",SUMIFS(INDEX(Inputs!$D$4:$AG$150,0,MATCH(N$2,Inputs!$D$2:$AG$2,0)),Inputs!$B$4:$B$150,$B25)/1000)</f>
        <v>0</v>
      </c>
      <c r="O25" s="11">
        <f>IF(O$3=0,"",SUMIFS(INDEX(Inputs!$D$4:$AG$150,0,MATCH(O$2,Inputs!$D$2:$AG$2,0)),Inputs!$B$4:$B$150,$B25)/1000)</f>
        <v>0</v>
      </c>
      <c r="P25" s="11">
        <f>IF(P$3=0,"",SUMIFS(INDEX(Inputs!$D$4:$AG$150,0,MATCH(P$2,Inputs!$D$2:$AG$2,0)),Inputs!$B$4:$B$150,$B25)/1000)</f>
        <v>0</v>
      </c>
      <c r="Q25" s="11">
        <f>IF(Q$3=0,"",SUMIFS(INDEX(Inputs!$D$4:$AG$150,0,MATCH(Q$2,Inputs!$D$2:$AG$2,0)),Inputs!$B$4:$B$150,$B25)/1000)</f>
        <v>0</v>
      </c>
      <c r="R25" s="12">
        <f>IF(Q25="","",Q25)</f>
        <v>0</v>
      </c>
      <c r="S25" s="11">
        <f>IF(S$3=0,"",SUMIFS(INDEX(Inputs!$D$4:$AG$150,0,MATCH(S$2,Inputs!$D$2:$AG$2,0)),Inputs!$B$4:$B$150,$B25)/1000)</f>
        <v>0</v>
      </c>
      <c r="T25" s="11">
        <f>IF(T$3=0,"",SUMIFS(INDEX(Inputs!$D$4:$AG$150,0,MATCH(T$2,Inputs!$D$2:$AG$2,0)),Inputs!$B$4:$B$150,$B25)/1000)</f>
        <v>0</v>
      </c>
      <c r="U25" s="11">
        <f>IF(U$3=0,"",SUMIFS(INDEX(Inputs!$D$4:$AG$150,0,MATCH(U$2,Inputs!$D$2:$AG$2,0)),Inputs!$B$4:$B$150,$B25)/1000)</f>
        <v>0</v>
      </c>
      <c r="V25" s="11">
        <f>IF(V$3=0,"",SUMIFS(INDEX(Inputs!$D$4:$AG$150,0,MATCH(V$2,Inputs!$D$2:$AG$2,0)),Inputs!$B$4:$B$150,$B25)/1000)</f>
        <v>0</v>
      </c>
      <c r="W25" s="12">
        <f>IF(V25="","",V25)</f>
        <v>0</v>
      </c>
      <c r="X25" s="11">
        <f>IF(X$3=0,"",SUMIFS(INDEX(Inputs!$D$4:$AG$150,0,MATCH(X$2,Inputs!$D$2:$AG$2,0)),Inputs!$B$4:$B$150,$B25)/1000)</f>
        <v>0</v>
      </c>
      <c r="Y25" s="11">
        <f>IF(Y$3=0,"",SUMIFS(INDEX(Inputs!$D$4:$AG$150,0,MATCH(Y$2,Inputs!$D$2:$AG$2,0)),Inputs!$B$4:$B$150,$B25)/1000)</f>
        <v>0</v>
      </c>
      <c r="Z25" s="11">
        <f>IF(Z$3=0,"",SUMIFS(INDEX(Inputs!$D$4:$AG$150,0,MATCH(Z$2,Inputs!$D$2:$AG$2,0)),Inputs!$B$4:$B$150,$B25)/1000)</f>
        <v>0</v>
      </c>
      <c r="AA25" s="11">
        <f>IF(AA$3=0,"",SUMIFS(INDEX(Inputs!$D$4:$AG$150,0,MATCH(AA$2,Inputs!$D$2:$AG$2,0)),Inputs!$B$4:$B$150,$B25)/1000)</f>
        <v>0</v>
      </c>
      <c r="AB25" s="12">
        <f>IF(AA25="","",AA25)</f>
        <v>0</v>
      </c>
      <c r="AC25" s="11">
        <f>IF(AC$3=0,"",SUMIFS(INDEX(Inputs!$D$4:$AG$150,0,MATCH(AC$2,Inputs!$D$2:$AG$2,0)),Inputs!$B$4:$B$150,$B25)/1000)</f>
        <v>0</v>
      </c>
      <c r="AD25" s="11">
        <f>IF(AD$3=0,"",SUMIFS(INDEX(Inputs!$D$4:$AG$150,0,MATCH(AD$2,Inputs!$D$2:$AG$2,0)),Inputs!$B$4:$B$150,$B25)/1000)</f>
        <v>0</v>
      </c>
      <c r="AE25" s="11" t="str">
        <f>IF(AE$3=0,"",SUMIFS(INDEX(Inputs!$D$4:$AG$150,0,MATCH(AE$2,Inputs!$D$2:$AG$2,0)),Inputs!$B$4:$B$150,$B25)/1000)</f>
        <v/>
      </c>
      <c r="AF25" s="11" t="str">
        <f>IF(AF$3=0,"",SUMIFS(INDEX(Inputs!$D$4:$AG$150,0,MATCH(AF$2,Inputs!$D$2:$AG$2,0)),Inputs!$B$4:$B$150,$B25)/1000)</f>
        <v/>
      </c>
      <c r="AG25" s="12" t="str">
        <f>IF(AF25="","",AF25)</f>
        <v/>
      </c>
    </row>
    <row r="26">
      <c r="B26" s="9" t="n">
        <v>22</v>
      </c>
      <c r="C26" s="14" t="inlineStr">
        <is>
          <t>Other non-current assets</t>
        </is>
      </c>
      <c r="D26" s="11">
        <f>IF(D$3=0,"",SUMIFS(INDEX(Inputs!$D$4:$AG$150,0,MATCH(D$2,Inputs!$D$2:$AG$2,0)),Inputs!$B$4:$B$150,$B26)/1000)</f>
        <v>3012</v>
      </c>
      <c r="E26" s="11">
        <f>IF(E$3=0,"",SUMIFS(INDEX(Inputs!$D$4:$AG$150,0,MATCH(E$2,Inputs!$D$2:$AG$2,0)),Inputs!$B$4:$B$150,$B26)/1000)</f>
        <v>3001</v>
      </c>
      <c r="F26" s="11">
        <f>IF(F$3=0,"",SUMIFS(INDEX(Inputs!$D$4:$AG$150,0,MATCH(F$2,Inputs!$D$2:$AG$2,0)),Inputs!$B$4:$B$150,$B26)/1000)</f>
        <v>3024</v>
      </c>
      <c r="G26" s="11">
        <f>IF(G$3=0,"",SUMIFS(INDEX(Inputs!$D$4:$AG$150,0,MATCH(G$2,Inputs!$D$2:$AG$2,0)),Inputs!$B$4:$B$150,$B26)/1000)</f>
        <v>2847</v>
      </c>
      <c r="H26" s="12">
        <f>IF(G26="","",G26)</f>
        <v>2847</v>
      </c>
      <c r="I26" s="11">
        <f>IF(I$3=0,"",SUMIFS(INDEX(Inputs!$D$4:$AG$150,0,MATCH(I$2,Inputs!$D$2:$AG$2,0)),Inputs!$B$4:$B$150,$B26)/1000)</f>
        <v>2822</v>
      </c>
      <c r="J26" s="11">
        <f>IF(J$3=0,"",SUMIFS(INDEX(Inputs!$D$4:$AG$150,0,MATCH(J$2,Inputs!$D$2:$AG$2,0)),Inputs!$B$4:$B$150,$B26)/1000)</f>
        <v>2731</v>
      </c>
      <c r="K26" s="11">
        <f>IF(K$3=0,"",SUMIFS(INDEX(Inputs!$D$4:$AG$150,0,MATCH(K$2,Inputs!$D$2:$AG$2,0)),Inputs!$B$4:$B$150,$B26)/1000)</f>
        <v>2740</v>
      </c>
      <c r="L26" s="11">
        <f>IF(L$3=0,"",SUMIFS(INDEX(Inputs!$D$4:$AG$150,0,MATCH(L$2,Inputs!$D$2:$AG$2,0)),Inputs!$B$4:$B$150,$B26)/1000)</f>
        <v>2853</v>
      </c>
      <c r="M26" s="12">
        <f>IF(L26="","",L26)</f>
        <v>2853</v>
      </c>
      <c r="N26" s="11">
        <f>IF(N$3=0,"",SUMIFS(INDEX(Inputs!$D$4:$AG$150,0,MATCH(N$2,Inputs!$D$2:$AG$2,0)),Inputs!$B$4:$B$150,$B26)/1000)</f>
        <v>3004</v>
      </c>
      <c r="O26" s="11">
        <f>IF(O$3=0,"",SUMIFS(INDEX(Inputs!$D$4:$AG$150,0,MATCH(O$2,Inputs!$D$2:$AG$2,0)),Inputs!$B$4:$B$150,$B26)/1000)</f>
        <v>3005</v>
      </c>
      <c r="P26" s="11">
        <f>IF(P$3=0,"",SUMIFS(INDEX(Inputs!$D$4:$AG$150,0,MATCH(P$2,Inputs!$D$2:$AG$2,0)),Inputs!$B$4:$B$150,$B26)/1000)</f>
        <v>3036</v>
      </c>
      <c r="Q26" s="11">
        <f>IF(Q$3=0,"",SUMIFS(INDEX(Inputs!$D$4:$AG$150,0,MATCH(Q$2,Inputs!$D$2:$AG$2,0)),Inputs!$B$4:$B$150,$B26)/1000)</f>
        <v>3146</v>
      </c>
      <c r="R26" s="12">
        <f>IF(Q26="","",Q26)</f>
        <v>3146</v>
      </c>
      <c r="S26" s="11">
        <f>IF(S$3=0,"",SUMIFS(INDEX(Inputs!$D$4:$AG$150,0,MATCH(S$2,Inputs!$D$2:$AG$2,0)),Inputs!$B$4:$B$150,$B26)/1000)</f>
        <v>3159</v>
      </c>
      <c r="T26" s="11">
        <f>IF(T$3=0,"",SUMIFS(INDEX(Inputs!$D$4:$AG$150,0,MATCH(T$2,Inputs!$D$2:$AG$2,0)),Inputs!$B$4:$B$150,$B26)/1000)</f>
        <v>3129</v>
      </c>
      <c r="U26" s="11">
        <f>IF(U$3=0,"",SUMIFS(INDEX(Inputs!$D$4:$AG$150,0,MATCH(U$2,Inputs!$D$2:$AG$2,0)),Inputs!$B$4:$B$150,$B26)/1000)</f>
        <v>3105</v>
      </c>
      <c r="V26" s="11">
        <f>IF(V$3=0,"",SUMIFS(INDEX(Inputs!$D$4:$AG$150,0,MATCH(V$2,Inputs!$D$2:$AG$2,0)),Inputs!$B$4:$B$150,$B26)/1000)</f>
        <v>3038</v>
      </c>
      <c r="W26" s="12">
        <f>IF(V26="","",V26)</f>
        <v>3038</v>
      </c>
      <c r="X26" s="11">
        <f>IF(X$3=0,"",SUMIFS(INDEX(Inputs!$D$4:$AG$150,0,MATCH(X$2,Inputs!$D$2:$AG$2,0)),Inputs!$B$4:$B$150,$B26)/1000)</f>
        <v>3020</v>
      </c>
      <c r="Y26" s="11">
        <f>IF(Y$3=0,"",SUMIFS(INDEX(Inputs!$D$4:$AG$150,0,MATCH(Y$2,Inputs!$D$2:$AG$2,0)),Inputs!$B$4:$B$150,$B26)/1000)</f>
        <v>3021</v>
      </c>
      <c r="Z26" s="11">
        <f>IF(Z$3=0,"",SUMIFS(INDEX(Inputs!$D$4:$AG$150,0,MATCH(Z$2,Inputs!$D$2:$AG$2,0)),Inputs!$B$4:$B$150,$B26)/1000)</f>
        <v>3007</v>
      </c>
      <c r="AA26" s="11">
        <f>IF(AA$3=0,"",SUMIFS(INDEX(Inputs!$D$4:$AG$150,0,MATCH(AA$2,Inputs!$D$2:$AG$2,0)),Inputs!$B$4:$B$150,$B26)/1000)</f>
        <v>3641</v>
      </c>
      <c r="AB26" s="12">
        <f>IF(AA26="","",AA26)</f>
        <v>3641</v>
      </c>
      <c r="AC26" s="11">
        <f>IF(AC$3=0,"",SUMIFS(INDEX(Inputs!$D$4:$AG$150,0,MATCH(AC$2,Inputs!$D$2:$AG$2,0)),Inputs!$B$4:$B$150,$B26)/1000)</f>
        <v>3647</v>
      </c>
      <c r="AD26" s="11">
        <f>IF(AD$3=0,"",SUMIFS(INDEX(Inputs!$D$4:$AG$150,0,MATCH(AD$2,Inputs!$D$2:$AG$2,0)),Inputs!$B$4:$B$150,$B26)/1000)</f>
        <v>3857</v>
      </c>
      <c r="AE26" s="11" t="str">
        <f>IF(AE$3=0,"",SUMIFS(INDEX(Inputs!$D$4:$AG$150,0,MATCH(AE$2,Inputs!$D$2:$AG$2,0)),Inputs!$B$4:$B$150,$B26)/1000)</f>
        <v/>
      </c>
      <c r="AF26" s="11" t="str">
        <f>IF(AF$3=0,"",SUMIFS(INDEX(Inputs!$D$4:$AG$150,0,MATCH(AF$2,Inputs!$D$2:$AG$2,0)),Inputs!$B$4:$B$150,$B26)/1000)</f>
        <v/>
      </c>
      <c r="AG26" s="12" t="str">
        <f>IF(AF26="","",AF26)</f>
        <v/>
      </c>
    </row>
    <row r="27">
      <c r="C27" s="3" t="n"/>
    </row>
    <row r="28">
      <c r="B28" s="9" t="n">
        <v>23</v>
      </c>
      <c r="C28" s="14" t="inlineStr">
        <is>
          <t>Accounts payable</t>
        </is>
      </c>
      <c r="D28" s="11">
        <f>IF(D$3=0,"",SUMIFS(INDEX(Inputs!$D$4:$AG$150,0,MATCH(D$2,Inputs!$D$2:$AG$2,0)),Inputs!$B$4:$B$150,$B28)/1000)</f>
        <v>2866</v>
      </c>
      <c r="E28" s="11">
        <f>IF(E$3=0,"",SUMIFS(INDEX(Inputs!$D$4:$AG$150,0,MATCH(E$2,Inputs!$D$2:$AG$2,0)),Inputs!$B$4:$B$150,$B28)/1000)</f>
        <v>3106</v>
      </c>
      <c r="F28" s="11">
        <f>IF(F$3=0,"",SUMIFS(INDEX(Inputs!$D$4:$AG$150,0,MATCH(F$2,Inputs!$D$2:$AG$2,0)),Inputs!$B$4:$B$150,$B28)/1000)</f>
        <v>2949</v>
      </c>
      <c r="G28" s="11">
        <f>IF(G$3=0,"",SUMIFS(INDEX(Inputs!$D$4:$AG$150,0,MATCH(G$2,Inputs!$D$2:$AG$2,0)),Inputs!$B$4:$B$150,$B28)/1000)</f>
        <v>3495</v>
      </c>
      <c r="H28" s="12">
        <f>IF(G28="","",G28)</f>
        <v>3495</v>
      </c>
      <c r="I28" s="11">
        <f>IF(I$3=0,"",SUMIFS(INDEX(Inputs!$D$4:$AG$150,0,MATCH(I$2,Inputs!$D$2:$AG$2,0)),Inputs!$B$4:$B$150,$B28)/1000)</f>
        <v>3163</v>
      </c>
      <c r="J28" s="11">
        <f>IF(J$3=0,"",SUMIFS(INDEX(Inputs!$D$4:$AG$150,0,MATCH(J$2,Inputs!$D$2:$AG$2,0)),Inputs!$B$4:$B$150,$B28)/1000)</f>
        <v>3853</v>
      </c>
      <c r="K28" s="11">
        <f>IF(K$3=0,"",SUMIFS(INDEX(Inputs!$D$4:$AG$150,0,MATCH(K$2,Inputs!$D$2:$AG$2,0)),Inputs!$B$4:$B$150,$B28)/1000)</f>
        <v>3947</v>
      </c>
      <c r="L28" s="11">
        <f>IF(L$3=0,"",SUMIFS(INDEX(Inputs!$D$4:$AG$150,0,MATCH(L$2,Inputs!$D$2:$AG$2,0)),Inputs!$B$4:$B$150,$B28)/1000)</f>
        <v>4027</v>
      </c>
      <c r="M28" s="12">
        <f>IF(L28="","",L28)</f>
        <v>4027</v>
      </c>
      <c r="N28" s="11">
        <f>IF(N$3=0,"",SUMIFS(INDEX(Inputs!$D$4:$AG$150,0,MATCH(N$2,Inputs!$D$2:$AG$2,0)),Inputs!$B$4:$B$150,$B28)/1000)</f>
        <v>3836</v>
      </c>
      <c r="O28" s="11">
        <f>IF(O$3=0,"",SUMIFS(INDEX(Inputs!$D$4:$AG$150,0,MATCH(O$2,Inputs!$D$2:$AG$2,0)),Inputs!$B$4:$B$150,$B28)/1000)</f>
        <v>3642</v>
      </c>
      <c r="P28" s="11">
        <f>IF(P$3=0,"",SUMIFS(INDEX(Inputs!$D$4:$AG$150,0,MATCH(P$2,Inputs!$D$2:$AG$2,0)),Inputs!$B$4:$B$150,$B28)/1000)</f>
        <v>3724</v>
      </c>
      <c r="Q28" s="11">
        <f>IF(Q$3=0,"",SUMIFS(INDEX(Inputs!$D$4:$AG$150,0,MATCH(Q$2,Inputs!$D$2:$AG$2,0)),Inputs!$B$4:$B$150,$B28)/1000)</f>
        <v>3729</v>
      </c>
      <c r="R28" s="12">
        <f>IF(Q28="","",Q28)</f>
        <v>3729</v>
      </c>
      <c r="S28" s="11">
        <f>IF(S$3=0,"",SUMIFS(INDEX(Inputs!$D$4:$AG$150,0,MATCH(S$2,Inputs!$D$2:$AG$2,0)),Inputs!$B$4:$B$150,$B28)/1000)</f>
        <v>3672</v>
      </c>
      <c r="T28" s="11">
        <f>IF(T$3=0,"",SUMIFS(INDEX(Inputs!$D$4:$AG$150,0,MATCH(T$2,Inputs!$D$2:$AG$2,0)),Inputs!$B$4:$B$150,$B28)/1000)</f>
        <v>3910</v>
      </c>
      <c r="U28" s="11">
        <f>IF(U$3=0,"",SUMIFS(INDEX(Inputs!$D$4:$AG$150,0,MATCH(U$2,Inputs!$D$2:$AG$2,0)),Inputs!$B$4:$B$150,$B28)/1000)</f>
        <v>3824</v>
      </c>
      <c r="V28" s="11">
        <f>IF(V$3=0,"",SUMIFS(INDEX(Inputs!$D$4:$AG$150,0,MATCH(V$2,Inputs!$D$2:$AG$2,0)),Inputs!$B$4:$B$150,$B28)/1000)</f>
        <v>4057</v>
      </c>
      <c r="W28" s="12">
        <f>IF(V28="","",V28)</f>
        <v>4057</v>
      </c>
      <c r="X28" s="11">
        <f>IF(X$3=0,"",SUMIFS(INDEX(Inputs!$D$4:$AG$150,0,MATCH(X$2,Inputs!$D$2:$AG$2,0)),Inputs!$B$4:$B$150,$B28)/1000)</f>
        <v>4078</v>
      </c>
      <c r="Y28" s="11">
        <f>IF(Y$3=0,"",SUMIFS(INDEX(Inputs!$D$4:$AG$150,0,MATCH(Y$2,Inputs!$D$2:$AG$2,0)),Inputs!$B$4:$B$150,$B28)/1000)</f>
        <v>4288</v>
      </c>
      <c r="Z28" s="11">
        <f>IF(Z$3=0,"",SUMIFS(INDEX(Inputs!$D$4:$AG$150,0,MATCH(Z$2,Inputs!$D$2:$AG$2,0)),Inputs!$B$4:$B$150,$B28)/1000)</f>
        <v>4098</v>
      </c>
      <c r="AA28" s="11">
        <f>IF(AA$3=0,"",SUMIFS(INDEX(Inputs!$D$4:$AG$150,0,MATCH(AA$2,Inputs!$D$2:$AG$2,0)),Inputs!$B$4:$B$150,$B28)/1000)</f>
        <v>4565</v>
      </c>
      <c r="AB28" s="12">
        <f>IF(AA28="","",AA28)</f>
        <v>4565</v>
      </c>
      <c r="AC28" s="11">
        <f>IF(AC$3=0,"",SUMIFS(INDEX(Inputs!$D$4:$AG$150,0,MATCH(AC$2,Inputs!$D$2:$AG$2,0)),Inputs!$B$4:$B$150,$B28)/1000)</f>
        <v>4142</v>
      </c>
      <c r="AD28" s="11">
        <f>IF(AD$3=0,"",SUMIFS(INDEX(Inputs!$D$4:$AG$150,0,MATCH(AD$2,Inputs!$D$2:$AG$2,0)),Inputs!$B$4:$B$150,$B28)/1000)</f>
        <v>4582</v>
      </c>
      <c r="AE28" s="11" t="str">
        <f>IF(AE$3=0,"",SUMIFS(INDEX(Inputs!$D$4:$AG$150,0,MATCH(AE$2,Inputs!$D$2:$AG$2,0)),Inputs!$B$4:$B$150,$B28)/1000)</f>
        <v/>
      </c>
      <c r="AF28" s="11" t="str">
        <f>IF(AF$3=0,"",SUMIFS(INDEX(Inputs!$D$4:$AG$150,0,MATCH(AF$2,Inputs!$D$2:$AG$2,0)),Inputs!$B$4:$B$150,$B28)/1000)</f>
        <v/>
      </c>
      <c r="AG28" s="12" t="str">
        <f>IF(AF28="","",AF28)</f>
        <v/>
      </c>
    </row>
    <row r="29">
      <c r="B29" s="9" t="n">
        <v>24</v>
      </c>
      <c r="C29" s="14" t="inlineStr">
        <is>
          <t>Accrued expenses</t>
        </is>
      </c>
      <c r="D29" s="11">
        <f>IF(D$3=0,"",SUMIFS(INDEX(Inputs!$D$4:$AG$150,0,MATCH(D$2,Inputs!$D$2:$AG$2,0)),Inputs!$B$4:$B$150,$B29)/1000)</f>
        <v>0</v>
      </c>
      <c r="E29" s="11">
        <f>IF(E$3=0,"",SUMIFS(INDEX(Inputs!$D$4:$AG$150,0,MATCH(E$2,Inputs!$D$2:$AG$2,0)),Inputs!$B$4:$B$150,$B29)/1000)</f>
        <v>0</v>
      </c>
      <c r="F29" s="11">
        <f>IF(F$3=0,"",SUMIFS(INDEX(Inputs!$D$4:$AG$150,0,MATCH(F$2,Inputs!$D$2:$AG$2,0)),Inputs!$B$4:$B$150,$B29)/1000)</f>
        <v>0</v>
      </c>
      <c r="G29" s="11">
        <f>IF(G$3=0,"",SUMIFS(INDEX(Inputs!$D$4:$AG$150,0,MATCH(G$2,Inputs!$D$2:$AG$2,0)),Inputs!$B$4:$B$150,$B29)/1000)</f>
        <v>0</v>
      </c>
      <c r="H29" s="12">
        <f>IF(G29="","",G29)</f>
        <v>0</v>
      </c>
      <c r="I29" s="11">
        <f>IF(I$3=0,"",SUMIFS(INDEX(Inputs!$D$4:$AG$150,0,MATCH(I$2,Inputs!$D$2:$AG$2,0)),Inputs!$B$4:$B$150,$B29)/1000)</f>
        <v>0</v>
      </c>
      <c r="J29" s="11">
        <f>IF(J$3=0,"",SUMIFS(INDEX(Inputs!$D$4:$AG$150,0,MATCH(J$2,Inputs!$D$2:$AG$2,0)),Inputs!$B$4:$B$150,$B29)/1000)</f>
        <v>0</v>
      </c>
      <c r="K29" s="11">
        <f>IF(K$3=0,"",SUMIFS(INDEX(Inputs!$D$4:$AG$150,0,MATCH(K$2,Inputs!$D$2:$AG$2,0)),Inputs!$B$4:$B$150,$B29)/1000)</f>
        <v>0</v>
      </c>
      <c r="L29" s="11">
        <f>IF(L$3=0,"",SUMIFS(INDEX(Inputs!$D$4:$AG$150,0,MATCH(L$2,Inputs!$D$2:$AG$2,0)),Inputs!$B$4:$B$150,$B29)/1000)</f>
        <v>0</v>
      </c>
      <c r="M29" s="12">
        <f>IF(L29="","",L29)</f>
        <v>0</v>
      </c>
      <c r="N29" s="11">
        <f>IF(N$3=0,"",SUMIFS(INDEX(Inputs!$D$4:$AG$150,0,MATCH(N$2,Inputs!$D$2:$AG$2,0)),Inputs!$B$4:$B$150,$B29)/1000)</f>
        <v>0</v>
      </c>
      <c r="O29" s="11">
        <f>IF(O$3=0,"",SUMIFS(INDEX(Inputs!$D$4:$AG$150,0,MATCH(O$2,Inputs!$D$2:$AG$2,0)),Inputs!$B$4:$B$150,$B29)/1000)</f>
        <v>0</v>
      </c>
      <c r="P29" s="11">
        <f>IF(P$3=0,"",SUMIFS(INDEX(Inputs!$D$4:$AG$150,0,MATCH(P$2,Inputs!$D$2:$AG$2,0)),Inputs!$B$4:$B$150,$B29)/1000)</f>
        <v>0</v>
      </c>
      <c r="Q29" s="11">
        <f>IF(Q$3=0,"",SUMIFS(INDEX(Inputs!$D$4:$AG$150,0,MATCH(Q$2,Inputs!$D$2:$AG$2,0)),Inputs!$B$4:$B$150,$B29)/1000)</f>
        <v>0</v>
      </c>
      <c r="R29" s="12">
        <f>IF(Q29="","",Q29)</f>
        <v>0</v>
      </c>
      <c r="S29" s="11">
        <f>IF(S$3=0,"",SUMIFS(INDEX(Inputs!$D$4:$AG$150,0,MATCH(S$2,Inputs!$D$2:$AG$2,0)),Inputs!$B$4:$B$150,$B29)/1000)</f>
        <v>0</v>
      </c>
      <c r="T29" s="11">
        <f>IF(T$3=0,"",SUMIFS(INDEX(Inputs!$D$4:$AG$150,0,MATCH(T$2,Inputs!$D$2:$AG$2,0)),Inputs!$B$4:$B$150,$B29)/1000)</f>
        <v>0</v>
      </c>
      <c r="U29" s="11">
        <f>IF(U$3=0,"",SUMIFS(INDEX(Inputs!$D$4:$AG$150,0,MATCH(U$2,Inputs!$D$2:$AG$2,0)),Inputs!$B$4:$B$150,$B29)/1000)</f>
        <v>0</v>
      </c>
      <c r="V29" s="11">
        <f>IF(V$3=0,"",SUMIFS(INDEX(Inputs!$D$4:$AG$150,0,MATCH(V$2,Inputs!$D$2:$AG$2,0)),Inputs!$B$4:$B$150,$B29)/1000)</f>
        <v>0</v>
      </c>
      <c r="W29" s="12">
        <f>IF(V29="","",V29)</f>
        <v>0</v>
      </c>
      <c r="X29" s="11">
        <f>IF(X$3=0,"",SUMIFS(INDEX(Inputs!$D$4:$AG$150,0,MATCH(X$2,Inputs!$D$2:$AG$2,0)),Inputs!$B$4:$B$150,$B29)/1000)</f>
        <v>0</v>
      </c>
      <c r="Y29" s="11">
        <f>IF(Y$3=0,"",SUMIFS(INDEX(Inputs!$D$4:$AG$150,0,MATCH(Y$2,Inputs!$D$2:$AG$2,0)),Inputs!$B$4:$B$150,$B29)/1000)</f>
        <v>0</v>
      </c>
      <c r="Z29" s="11">
        <f>IF(Z$3=0,"",SUMIFS(INDEX(Inputs!$D$4:$AG$150,0,MATCH(Z$2,Inputs!$D$2:$AG$2,0)),Inputs!$B$4:$B$150,$B29)/1000)</f>
        <v>0</v>
      </c>
      <c r="AA29" s="11">
        <f>IF(AA$3=0,"",SUMIFS(INDEX(Inputs!$D$4:$AG$150,0,MATCH(AA$2,Inputs!$D$2:$AG$2,0)),Inputs!$B$4:$B$150,$B29)/1000)</f>
        <v>0</v>
      </c>
      <c r="AB29" s="12">
        <f>IF(AA29="","",AA29)</f>
        <v>0</v>
      </c>
      <c r="AC29" s="11">
        <f>IF(AC$3=0,"",SUMIFS(INDEX(Inputs!$D$4:$AG$150,0,MATCH(AC$2,Inputs!$D$2:$AG$2,0)),Inputs!$B$4:$B$150,$B29)/1000)</f>
        <v>0</v>
      </c>
      <c r="AD29" s="11">
        <f>IF(AD$3=0,"",SUMIFS(INDEX(Inputs!$D$4:$AG$150,0,MATCH(AD$2,Inputs!$D$2:$AG$2,0)),Inputs!$B$4:$B$150,$B29)/1000)</f>
        <v>0</v>
      </c>
      <c r="AE29" s="11" t="str">
        <f>IF(AE$3=0,"",SUMIFS(INDEX(Inputs!$D$4:$AG$150,0,MATCH(AE$2,Inputs!$D$2:$AG$2,0)),Inputs!$B$4:$B$150,$B29)/1000)</f>
        <v/>
      </c>
      <c r="AF29" s="11" t="str">
        <f>IF(AF$3=0,"",SUMIFS(INDEX(Inputs!$D$4:$AG$150,0,MATCH(AF$2,Inputs!$D$2:$AG$2,0)),Inputs!$B$4:$B$150,$B29)/1000)</f>
        <v/>
      </c>
      <c r="AG29" s="12" t="str">
        <f>IF(AF29="","",AF29)</f>
        <v/>
      </c>
    </row>
    <row r="30">
      <c r="B30" s="9" t="n">
        <v>25</v>
      </c>
      <c r="C30" s="14" t="inlineStr">
        <is>
          <t>Taxes payable</t>
        </is>
      </c>
      <c r="D30" s="11">
        <f>IF(D$3=0,"",SUMIFS(INDEX(Inputs!$D$4:$AG$150,0,MATCH(D$2,Inputs!$D$2:$AG$2,0)),Inputs!$B$4:$B$150,$B30)/1000)</f>
        <v>647</v>
      </c>
      <c r="E30" s="11">
        <f>IF(E$3=0,"",SUMIFS(INDEX(Inputs!$D$4:$AG$150,0,MATCH(E$2,Inputs!$D$2:$AG$2,0)),Inputs!$B$4:$B$150,$B30)/1000)</f>
        <v>919</v>
      </c>
      <c r="F30" s="11">
        <f>IF(F$3=0,"",SUMIFS(INDEX(Inputs!$D$4:$AG$150,0,MATCH(F$2,Inputs!$D$2:$AG$2,0)),Inputs!$B$4:$B$150,$B30)/1000)</f>
        <v>1237</v>
      </c>
      <c r="G30" s="11">
        <f>IF(G$3=0,"",SUMIFS(INDEX(Inputs!$D$4:$AG$150,0,MATCH(G$2,Inputs!$D$2:$AG$2,0)),Inputs!$B$4:$B$150,$B30)/1000)</f>
        <v>1541</v>
      </c>
      <c r="H30" s="12">
        <f>IF(G30="","",G30)</f>
        <v>1541</v>
      </c>
      <c r="I30" s="11">
        <f>IF(I$3=0,"",SUMIFS(INDEX(Inputs!$D$4:$AG$150,0,MATCH(I$2,Inputs!$D$2:$AG$2,0)),Inputs!$B$4:$B$150,$B30)/1000)</f>
        <v>1392</v>
      </c>
      <c r="J30" s="11">
        <f>IF(J$3=0,"",SUMIFS(INDEX(Inputs!$D$4:$AG$150,0,MATCH(J$2,Inputs!$D$2:$AG$2,0)),Inputs!$B$4:$B$150,$B30)/1000)</f>
        <v>507</v>
      </c>
      <c r="K30" s="11">
        <f>IF(K$3=0,"",SUMIFS(INDEX(Inputs!$D$4:$AG$150,0,MATCH(K$2,Inputs!$D$2:$AG$2,0)),Inputs!$B$4:$B$150,$B30)/1000)</f>
        <v>439</v>
      </c>
      <c r="L30" s="11">
        <f>IF(L$3=0,"",SUMIFS(INDEX(Inputs!$D$4:$AG$150,0,MATCH(L$2,Inputs!$D$2:$AG$2,0)),Inputs!$B$4:$B$150,$B30)/1000)</f>
        <v>744</v>
      </c>
      <c r="M30" s="12">
        <f>IF(L30="","",L30)</f>
        <v>744</v>
      </c>
      <c r="N30" s="11">
        <f>IF(N$3=0,"",SUMIFS(INDEX(Inputs!$D$4:$AG$150,0,MATCH(N$2,Inputs!$D$2:$AG$2,0)),Inputs!$B$4:$B$150,$B30)/1000)</f>
        <v>846</v>
      </c>
      <c r="O30" s="11">
        <f>IF(O$3=0,"",SUMIFS(INDEX(Inputs!$D$4:$AG$150,0,MATCH(O$2,Inputs!$D$2:$AG$2,0)),Inputs!$B$4:$B$150,$B30)/1000)</f>
        <v>531</v>
      </c>
      <c r="P30" s="11">
        <f>IF(P$3=0,"",SUMIFS(INDEX(Inputs!$D$4:$AG$150,0,MATCH(P$2,Inputs!$D$2:$AG$2,0)),Inputs!$B$4:$B$150,$B30)/1000)</f>
        <v>489</v>
      </c>
      <c r="Q30" s="11">
        <f>IF(Q$3=0,"",SUMIFS(INDEX(Inputs!$D$4:$AG$150,0,MATCH(Q$2,Inputs!$D$2:$AG$2,0)),Inputs!$B$4:$B$150,$B30)/1000)</f>
        <v>786</v>
      </c>
      <c r="R30" s="12">
        <f>IF(Q30="","",Q30)</f>
        <v>786</v>
      </c>
      <c r="S30" s="11">
        <f>IF(S$3=0,"",SUMIFS(INDEX(Inputs!$D$4:$AG$150,0,MATCH(S$2,Inputs!$D$2:$AG$2,0)),Inputs!$B$4:$B$150,$B30)/1000)</f>
        <v>1322</v>
      </c>
      <c r="T30" s="11">
        <f>IF(T$3=0,"",SUMIFS(INDEX(Inputs!$D$4:$AG$150,0,MATCH(T$2,Inputs!$D$2:$AG$2,0)),Inputs!$B$4:$B$150,$B30)/1000)</f>
        <v>898</v>
      </c>
      <c r="U30" s="11">
        <f>IF(U$3=0,"",SUMIFS(INDEX(Inputs!$D$4:$AG$150,0,MATCH(U$2,Inputs!$D$2:$AG$2,0)),Inputs!$B$4:$B$150,$B30)/1000)</f>
        <v>1072</v>
      </c>
      <c r="V30" s="11">
        <f>IF(V$3=0,"",SUMIFS(INDEX(Inputs!$D$4:$AG$150,0,MATCH(V$2,Inputs!$D$2:$AG$2,0)),Inputs!$B$4:$B$150,$B30)/1000)</f>
        <v>859</v>
      </c>
      <c r="W30" s="12">
        <f>IF(V30="","",V30)</f>
        <v>859</v>
      </c>
      <c r="X30" s="11">
        <f>IF(X$3=0,"",SUMIFS(INDEX(Inputs!$D$4:$AG$150,0,MATCH(X$2,Inputs!$D$2:$AG$2,0)),Inputs!$B$4:$B$150,$B30)/1000)</f>
        <v>857</v>
      </c>
      <c r="Y30" s="11">
        <f>IF(Y$3=0,"",SUMIFS(INDEX(Inputs!$D$4:$AG$150,0,MATCH(Y$2,Inputs!$D$2:$AG$2,0)),Inputs!$B$4:$B$150,$B30)/1000)</f>
        <v>389</v>
      </c>
      <c r="Z30" s="11">
        <f>IF(Z$3=0,"",SUMIFS(INDEX(Inputs!$D$4:$AG$150,0,MATCH(Z$2,Inputs!$D$2:$AG$2,0)),Inputs!$B$4:$B$150,$B30)/1000)</f>
        <v>528</v>
      </c>
      <c r="AA30" s="11">
        <f>IF(AA$3=0,"",SUMIFS(INDEX(Inputs!$D$4:$AG$150,0,MATCH(AA$2,Inputs!$D$2:$AG$2,0)),Inputs!$B$4:$B$150,$B30)/1000)</f>
        <v>456</v>
      </c>
      <c r="AB30" s="12">
        <f>IF(AA30="","",AA30)</f>
        <v>456</v>
      </c>
      <c r="AC30" s="11">
        <f>IF(AC$3=0,"",SUMIFS(INDEX(Inputs!$D$4:$AG$150,0,MATCH(AC$2,Inputs!$D$2:$AG$2,0)),Inputs!$B$4:$B$150,$B30)/1000)</f>
        <v>725</v>
      </c>
      <c r="AD30" s="11">
        <f>IF(AD$3=0,"",SUMIFS(INDEX(Inputs!$D$4:$AG$150,0,MATCH(AD$2,Inputs!$D$2:$AG$2,0)),Inputs!$B$4:$B$150,$B30)/1000)</f>
        <v>509</v>
      </c>
      <c r="AE30" s="11" t="str">
        <f>IF(AE$3=0,"",SUMIFS(INDEX(Inputs!$D$4:$AG$150,0,MATCH(AE$2,Inputs!$D$2:$AG$2,0)),Inputs!$B$4:$B$150,$B30)/1000)</f>
        <v/>
      </c>
      <c r="AF30" s="11" t="str">
        <f>IF(AF$3=0,"",SUMIFS(INDEX(Inputs!$D$4:$AG$150,0,MATCH(AF$2,Inputs!$D$2:$AG$2,0)),Inputs!$B$4:$B$150,$B30)/1000)</f>
        <v/>
      </c>
      <c r="AG30" s="12" t="str">
        <f>IF(AF30="","",AF30)</f>
        <v/>
      </c>
    </row>
    <row r="31">
      <c r="B31" s="9" t="n">
        <v>26</v>
      </c>
      <c r="C31" s="14" t="inlineStr">
        <is>
          <t>Other current liabilities (non-debt)</t>
        </is>
      </c>
      <c r="D31" s="11">
        <f>IF(D$3=0,"",SUMIFS(INDEX(Inputs!$D$4:$AG$150,0,MATCH(D$2,Inputs!$D$2:$AG$2,0)),Inputs!$B$4:$B$150,$B31)/1000)</f>
        <v>442</v>
      </c>
      <c r="E31" s="11">
        <f>IF(E$3=0,"",SUMIFS(INDEX(Inputs!$D$4:$AG$150,0,MATCH(E$2,Inputs!$D$2:$AG$2,0)),Inputs!$B$4:$B$150,$B31)/1000)</f>
        <v>445</v>
      </c>
      <c r="F31" s="11">
        <f>IF(F$3=0,"",SUMIFS(INDEX(Inputs!$D$4:$AG$150,0,MATCH(F$2,Inputs!$D$2:$AG$2,0)),Inputs!$B$4:$B$150,$B31)/1000)</f>
        <v>440</v>
      </c>
      <c r="G31" s="11">
        <f>IF(G$3=0,"",SUMIFS(INDEX(Inputs!$D$4:$AG$150,0,MATCH(G$2,Inputs!$D$2:$AG$2,0)),Inputs!$B$4:$B$150,$B31)/1000)</f>
        <v>484</v>
      </c>
      <c r="H31" s="12">
        <f>IF(G31="","",G31)</f>
        <v>484</v>
      </c>
      <c r="I31" s="11">
        <f>IF(I$3=0,"",SUMIFS(INDEX(Inputs!$D$4:$AG$150,0,MATCH(I$2,Inputs!$D$2:$AG$2,0)),Inputs!$B$4:$B$150,$B31)/1000)</f>
        <v>534</v>
      </c>
      <c r="J31" s="11">
        <f>IF(J$3=0,"",SUMIFS(INDEX(Inputs!$D$4:$AG$150,0,MATCH(J$2,Inputs!$D$2:$AG$2,0)),Inputs!$B$4:$B$150,$B31)/1000)</f>
        <v>534</v>
      </c>
      <c r="K31" s="11">
        <f>IF(K$3=0,"",SUMIFS(INDEX(Inputs!$D$4:$AG$150,0,MATCH(K$2,Inputs!$D$2:$AG$2,0)),Inputs!$B$4:$B$150,$B31)/1000)</f>
        <v>581</v>
      </c>
      <c r="L31" s="11">
        <f>IF(L$3=0,"",SUMIFS(INDEX(Inputs!$D$4:$AG$150,0,MATCH(L$2,Inputs!$D$2:$AG$2,0)),Inputs!$B$4:$B$150,$B31)/1000)</f>
        <v>537</v>
      </c>
      <c r="M31" s="12">
        <f>IF(L31="","",L31)</f>
        <v>537</v>
      </c>
      <c r="N31" s="11">
        <f>IF(N$3=0,"",SUMIFS(INDEX(Inputs!$D$4:$AG$150,0,MATCH(N$2,Inputs!$D$2:$AG$2,0)),Inputs!$B$4:$B$150,$B31)/1000)</f>
        <v>550</v>
      </c>
      <c r="O31" s="11">
        <f>IF(O$3=0,"",SUMIFS(INDEX(Inputs!$D$4:$AG$150,0,MATCH(O$2,Inputs!$D$2:$AG$2,0)),Inputs!$B$4:$B$150,$B31)/1000)</f>
        <v>578</v>
      </c>
      <c r="P31" s="11">
        <f>IF(P$3=0,"",SUMIFS(INDEX(Inputs!$D$4:$AG$150,0,MATCH(P$2,Inputs!$D$2:$AG$2,0)),Inputs!$B$4:$B$150,$B31)/1000)</f>
        <v>612</v>
      </c>
      <c r="Q31" s="11">
        <f>IF(Q$3=0,"",SUMIFS(INDEX(Inputs!$D$4:$AG$150,0,MATCH(Q$2,Inputs!$D$2:$AG$2,0)),Inputs!$B$4:$B$150,$B31)/1000)</f>
        <v>534</v>
      </c>
      <c r="R31" s="12">
        <f>IF(Q31="","",Q31)</f>
        <v>534</v>
      </c>
      <c r="S31" s="11">
        <f>IF(S$3=0,"",SUMIFS(INDEX(Inputs!$D$4:$AG$150,0,MATCH(S$2,Inputs!$D$2:$AG$2,0)),Inputs!$B$4:$B$150,$B31)/1000)</f>
        <v>542</v>
      </c>
      <c r="T31" s="11">
        <f>IF(T$3=0,"",SUMIFS(INDEX(Inputs!$D$4:$AG$150,0,MATCH(T$2,Inputs!$D$2:$AG$2,0)),Inputs!$B$4:$B$150,$B31)/1000)</f>
        <v>560</v>
      </c>
      <c r="U31" s="11">
        <f>IF(U$3=0,"",SUMIFS(INDEX(Inputs!$D$4:$AG$150,0,MATCH(U$2,Inputs!$D$2:$AG$2,0)),Inputs!$B$4:$B$150,$B31)/1000)</f>
        <v>582</v>
      </c>
      <c r="V31" s="11">
        <f>IF(V$3=0,"",SUMIFS(INDEX(Inputs!$D$4:$AG$150,0,MATCH(V$2,Inputs!$D$2:$AG$2,0)),Inputs!$B$4:$B$150,$B31)/1000)</f>
        <v>539</v>
      </c>
      <c r="W31" s="12">
        <f>IF(V31="","",V31)</f>
        <v>539</v>
      </c>
      <c r="X31" s="11">
        <f>IF(X$3=0,"",SUMIFS(INDEX(Inputs!$D$4:$AG$150,0,MATCH(X$2,Inputs!$D$2:$AG$2,0)),Inputs!$B$4:$B$150,$B31)/1000)</f>
        <v>513</v>
      </c>
      <c r="Y31" s="11">
        <f>IF(Y$3=0,"",SUMIFS(INDEX(Inputs!$D$4:$AG$150,0,MATCH(Y$2,Inputs!$D$2:$AG$2,0)),Inputs!$B$4:$B$150,$B31)/1000)</f>
        <v>516</v>
      </c>
      <c r="Z31" s="11">
        <f>IF(Z$3=0,"",SUMIFS(INDEX(Inputs!$D$4:$AG$150,0,MATCH(Z$2,Inputs!$D$2:$AG$2,0)),Inputs!$B$4:$B$150,$B31)/1000)</f>
        <v>517</v>
      </c>
      <c r="AA31" s="11">
        <f>IF(AA$3=0,"",SUMIFS(INDEX(Inputs!$D$4:$AG$150,0,MATCH(AA$2,Inputs!$D$2:$AG$2,0)),Inputs!$B$4:$B$150,$B31)/1000)</f>
        <v>532</v>
      </c>
      <c r="AB31" s="12">
        <f>IF(AA31="","",AA31)</f>
        <v>532</v>
      </c>
      <c r="AC31" s="11">
        <f>IF(AC$3=0,"",SUMIFS(INDEX(Inputs!$D$4:$AG$150,0,MATCH(AC$2,Inputs!$D$2:$AG$2,0)),Inputs!$B$4:$B$150,$B31)/1000)</f>
        <v>540</v>
      </c>
      <c r="AD31" s="11">
        <f>IF(AD$3=0,"",SUMIFS(INDEX(Inputs!$D$4:$AG$150,0,MATCH(AD$2,Inputs!$D$2:$AG$2,0)),Inputs!$B$4:$B$150,$B31)/1000)</f>
        <v>545</v>
      </c>
      <c r="AE31" s="11" t="str">
        <f>IF(AE$3=0,"",SUMIFS(INDEX(Inputs!$D$4:$AG$150,0,MATCH(AE$2,Inputs!$D$2:$AG$2,0)),Inputs!$B$4:$B$150,$B31)/1000)</f>
        <v/>
      </c>
      <c r="AF31" s="11" t="str">
        <f>IF(AF$3=0,"",SUMIFS(INDEX(Inputs!$D$4:$AG$150,0,MATCH(AF$2,Inputs!$D$2:$AG$2,0)),Inputs!$B$4:$B$150,$B31)/1000)</f>
        <v/>
      </c>
      <c r="AG31" s="12" t="str">
        <f>IF(AF31="","",AF31)</f>
        <v/>
      </c>
    </row>
    <row r="32">
      <c r="B32" s="9" t="n">
        <v>27</v>
      </c>
      <c r="C32" s="14" t="inlineStr">
        <is>
          <t>Current portion of long-term debt</t>
        </is>
      </c>
      <c r="D32" s="11">
        <f>IF(D$3=0,"",SUMIFS(INDEX(Inputs!$D$4:$AG$150,0,MATCH(D$2,Inputs!$D$2:$AG$2,0)),Inputs!$B$4:$B$150,$B32)/1000)</f>
        <v>656</v>
      </c>
      <c r="E32" s="11">
        <f>IF(E$3=0,"",SUMIFS(INDEX(Inputs!$D$4:$AG$150,0,MATCH(E$2,Inputs!$D$2:$AG$2,0)),Inputs!$B$4:$B$150,$B32)/1000)</f>
        <v>1057</v>
      </c>
      <c r="F32" s="11">
        <f>IF(F$3=0,"",SUMIFS(INDEX(Inputs!$D$4:$AG$150,0,MATCH(F$2,Inputs!$D$2:$AG$2,0)),Inputs!$B$4:$B$150,$B32)/1000)</f>
        <v>897</v>
      </c>
      <c r="G32" s="11">
        <f>IF(G$3=0,"",SUMIFS(INDEX(Inputs!$D$4:$AG$150,0,MATCH(G$2,Inputs!$D$2:$AG$2,0)),Inputs!$B$4:$B$150,$B32)/1000)</f>
        <v>372</v>
      </c>
      <c r="H32" s="12">
        <f>IF(G32="","",G32)</f>
        <v>372</v>
      </c>
      <c r="I32" s="11">
        <f>IF(I$3=0,"",SUMIFS(INDEX(Inputs!$D$4:$AG$150,0,MATCH(I$2,Inputs!$D$2:$AG$2,0)),Inputs!$B$4:$B$150,$B32)/1000)</f>
        <v>1365</v>
      </c>
      <c r="J32" s="11">
        <f>IF(J$3=0,"",SUMIFS(INDEX(Inputs!$D$4:$AG$150,0,MATCH(J$2,Inputs!$D$2:$AG$2,0)),Inputs!$B$4:$B$150,$B32)/1000)</f>
        <v>1038</v>
      </c>
      <c r="K32" s="11">
        <f>IF(K$3=0,"",SUMIFS(INDEX(Inputs!$D$4:$AG$150,0,MATCH(K$2,Inputs!$D$2:$AG$2,0)),Inputs!$B$4:$B$150,$B32)/1000)</f>
        <v>1032</v>
      </c>
      <c r="L32" s="11">
        <f>IF(L$3=0,"",SUMIFS(INDEX(Inputs!$D$4:$AG$150,0,MATCH(L$2,Inputs!$D$2:$AG$2,0)),Inputs!$B$4:$B$150,$B32)/1000)</f>
        <v>1037</v>
      </c>
      <c r="M32" s="12">
        <f>IF(L32="","",L32)</f>
        <v>1037</v>
      </c>
      <c r="N32" s="11">
        <f>IF(N$3=0,"",SUMIFS(INDEX(Inputs!$D$4:$AG$150,0,MATCH(N$2,Inputs!$D$2:$AG$2,0)),Inputs!$B$4:$B$150,$B32)/1000)</f>
        <v>49</v>
      </c>
      <c r="O32" s="11">
        <f>IF(O$3=0,"",SUMIFS(INDEX(Inputs!$D$4:$AG$150,0,MATCH(O$2,Inputs!$D$2:$AG$2,0)),Inputs!$B$4:$B$150,$B32)/1000)</f>
        <v>37</v>
      </c>
      <c r="P32" s="11">
        <f>IF(P$3=0,"",SUMIFS(INDEX(Inputs!$D$4:$AG$150,0,MATCH(P$2,Inputs!$D$2:$AG$2,0)),Inputs!$B$4:$B$150,$B32)/1000)</f>
        <v>35</v>
      </c>
      <c r="Q32" s="11">
        <f>IF(Q$3=0,"",SUMIFS(INDEX(Inputs!$D$4:$AG$150,0,MATCH(Q$2,Inputs!$D$2:$AG$2,0)),Inputs!$B$4:$B$150,$B32)/1000)</f>
        <v>766</v>
      </c>
      <c r="R32" s="12">
        <f>IF(Q32="","",Q32)</f>
        <v>766</v>
      </c>
      <c r="S32" s="11">
        <f>IF(S$3=0,"",SUMIFS(INDEX(Inputs!$D$4:$AG$150,0,MATCH(S$2,Inputs!$D$2:$AG$2,0)),Inputs!$B$4:$B$150,$B32)/1000)</f>
        <v>769</v>
      </c>
      <c r="T32" s="11">
        <f>IF(T$3=0,"",SUMIFS(INDEX(Inputs!$D$4:$AG$150,0,MATCH(T$2,Inputs!$D$2:$AG$2,0)),Inputs!$B$4:$B$150,$B32)/1000)</f>
        <v>768</v>
      </c>
      <c r="U32" s="11">
        <f>IF(U$3=0,"",SUMIFS(INDEX(Inputs!$D$4:$AG$150,0,MATCH(U$2,Inputs!$D$2:$AG$2,0)),Inputs!$B$4:$B$150,$B32)/1000)</f>
        <v>769</v>
      </c>
      <c r="V32" s="11">
        <f>IF(V$3=0,"",SUMIFS(INDEX(Inputs!$D$4:$AG$150,0,MATCH(V$2,Inputs!$D$2:$AG$2,0)),Inputs!$B$4:$B$150,$B32)/1000)</f>
        <v>41</v>
      </c>
      <c r="W32" s="12">
        <f>IF(V32="","",V32)</f>
        <v>41</v>
      </c>
      <c r="X32" s="11">
        <f>IF(X$3=0,"",SUMIFS(INDEX(Inputs!$D$4:$AG$150,0,MATCH(X$2,Inputs!$D$2:$AG$2,0)),Inputs!$B$4:$B$150,$B32)/1000)</f>
        <v>495</v>
      </c>
      <c r="Y32" s="11">
        <f>IF(Y$3=0,"",SUMIFS(INDEX(Inputs!$D$4:$AG$150,0,MATCH(Y$2,Inputs!$D$2:$AG$2,0)),Inputs!$B$4:$B$150,$B32)/1000)</f>
        <v>338</v>
      </c>
      <c r="Z32" s="11">
        <f>IF(Z$3=0,"",SUMIFS(INDEX(Inputs!$D$4:$AG$150,0,MATCH(Z$2,Inputs!$D$2:$AG$2,0)),Inputs!$B$4:$B$150,$B32)/1000)</f>
        <v>383</v>
      </c>
      <c r="AA32" s="11">
        <f>IF(AA$3=0,"",SUMIFS(INDEX(Inputs!$D$4:$AG$150,0,MATCH(AA$2,Inputs!$D$2:$AG$2,0)),Inputs!$B$4:$B$150,$B32)/1000)</f>
        <v>466</v>
      </c>
      <c r="AB32" s="12">
        <f>IF(AA32="","",AA32)</f>
        <v>466</v>
      </c>
      <c r="AC32" s="11">
        <f>IF(AC$3=0,"",SUMIFS(INDEX(Inputs!$D$4:$AG$150,0,MATCH(AC$2,Inputs!$D$2:$AG$2,0)),Inputs!$B$4:$B$150,$B32)/1000)</f>
        <v>500</v>
      </c>
      <c r="AD32" s="11">
        <f>IF(AD$3=0,"",SUMIFS(INDEX(Inputs!$D$4:$AG$150,0,MATCH(AD$2,Inputs!$D$2:$AG$2,0)),Inputs!$B$4:$B$150,$B32)/1000)</f>
        <v>1220</v>
      </c>
      <c r="AE32" s="11" t="str">
        <f>IF(AE$3=0,"",SUMIFS(INDEX(Inputs!$D$4:$AG$150,0,MATCH(AE$2,Inputs!$D$2:$AG$2,0)),Inputs!$B$4:$B$150,$B32)/1000)</f>
        <v/>
      </c>
      <c r="AF32" s="11" t="str">
        <f>IF(AF$3=0,"",SUMIFS(INDEX(Inputs!$D$4:$AG$150,0,MATCH(AF$2,Inputs!$D$2:$AG$2,0)),Inputs!$B$4:$B$150,$B32)/1000)</f>
        <v/>
      </c>
      <c r="AG32" s="12" t="str">
        <f>IF(AF32="","",AF32)</f>
        <v/>
      </c>
    </row>
    <row r="33">
      <c r="B33" s="9" t="n">
        <v>28</v>
      </c>
      <c r="C33" s="14" t="inlineStr">
        <is>
          <t>Short term debt (Revolving credit facility)</t>
        </is>
      </c>
      <c r="D33" s="11">
        <f>IF(D$3=0,"",SUMIFS(INDEX(Inputs!$D$4:$AG$150,0,MATCH(D$2,Inputs!$D$2:$AG$2,0)),Inputs!$B$4:$B$150,$B33)/1000)</f>
        <v>0</v>
      </c>
      <c r="E33" s="11">
        <f>IF(E$3=0,"",SUMIFS(INDEX(Inputs!$D$4:$AG$150,0,MATCH(E$2,Inputs!$D$2:$AG$2,0)),Inputs!$B$4:$B$150,$B33)/1000)</f>
        <v>0</v>
      </c>
      <c r="F33" s="11">
        <f>IF(F$3=0,"",SUMIFS(INDEX(Inputs!$D$4:$AG$150,0,MATCH(F$2,Inputs!$D$2:$AG$2,0)),Inputs!$B$4:$B$150,$B33)/1000)</f>
        <v>0</v>
      </c>
      <c r="G33" s="11">
        <f>IF(G$3=0,"",SUMIFS(INDEX(Inputs!$D$4:$AG$150,0,MATCH(G$2,Inputs!$D$2:$AG$2,0)),Inputs!$B$4:$B$150,$B33)/1000)</f>
        <v>0</v>
      </c>
      <c r="H33" s="12">
        <f>IF(G33="","",G33)</f>
        <v>0</v>
      </c>
      <c r="I33" s="11">
        <f>IF(I$3=0,"",SUMIFS(INDEX(Inputs!$D$4:$AG$150,0,MATCH(I$2,Inputs!$D$2:$AG$2,0)),Inputs!$B$4:$B$150,$B33)/1000)</f>
        <v>0</v>
      </c>
      <c r="J33" s="11">
        <f>IF(J$3=0,"",SUMIFS(INDEX(Inputs!$D$4:$AG$150,0,MATCH(J$2,Inputs!$D$2:$AG$2,0)),Inputs!$B$4:$B$150,$B33)/1000)</f>
        <v>0</v>
      </c>
      <c r="K33" s="11">
        <f>IF(K$3=0,"",SUMIFS(INDEX(Inputs!$D$4:$AG$150,0,MATCH(K$2,Inputs!$D$2:$AG$2,0)),Inputs!$B$4:$B$150,$B33)/1000)</f>
        <v>0</v>
      </c>
      <c r="L33" s="11">
        <f>IF(L$3=0,"",SUMIFS(INDEX(Inputs!$D$4:$AG$150,0,MATCH(L$2,Inputs!$D$2:$AG$2,0)),Inputs!$B$4:$B$150,$B33)/1000)</f>
        <v>0</v>
      </c>
      <c r="M33" s="12">
        <f>IF(L33="","",L33)</f>
        <v>0</v>
      </c>
      <c r="N33" s="11">
        <f>IF(N$3=0,"",SUMIFS(INDEX(Inputs!$D$4:$AG$150,0,MATCH(N$2,Inputs!$D$2:$AG$2,0)),Inputs!$B$4:$B$150,$B33)/1000)</f>
        <v>0</v>
      </c>
      <c r="O33" s="11">
        <f>IF(O$3=0,"",SUMIFS(INDEX(Inputs!$D$4:$AG$150,0,MATCH(O$2,Inputs!$D$2:$AG$2,0)),Inputs!$B$4:$B$150,$B33)/1000)</f>
        <v>0</v>
      </c>
      <c r="P33" s="11">
        <f>IF(P$3=0,"",SUMIFS(INDEX(Inputs!$D$4:$AG$150,0,MATCH(P$2,Inputs!$D$2:$AG$2,0)),Inputs!$B$4:$B$150,$B33)/1000)</f>
        <v>0</v>
      </c>
      <c r="Q33" s="11">
        <f>IF(Q$3=0,"",SUMIFS(INDEX(Inputs!$D$4:$AG$150,0,MATCH(Q$2,Inputs!$D$2:$AG$2,0)),Inputs!$B$4:$B$150,$B33)/1000)</f>
        <v>0</v>
      </c>
      <c r="R33" s="12">
        <f>IF(Q33="","",Q33)</f>
        <v>0</v>
      </c>
      <c r="S33" s="11">
        <f>IF(S$3=0,"",SUMIFS(INDEX(Inputs!$D$4:$AG$150,0,MATCH(S$2,Inputs!$D$2:$AG$2,0)),Inputs!$B$4:$B$150,$B33)/1000)</f>
        <v>0</v>
      </c>
      <c r="T33" s="11">
        <f>IF(T$3=0,"",SUMIFS(INDEX(Inputs!$D$4:$AG$150,0,MATCH(T$2,Inputs!$D$2:$AG$2,0)),Inputs!$B$4:$B$150,$B33)/1000)</f>
        <v>0</v>
      </c>
      <c r="U33" s="11">
        <f>IF(U$3=0,"",SUMIFS(INDEX(Inputs!$D$4:$AG$150,0,MATCH(U$2,Inputs!$D$2:$AG$2,0)),Inputs!$B$4:$B$150,$B33)/1000)</f>
        <v>0</v>
      </c>
      <c r="V33" s="11">
        <f>IF(V$3=0,"",SUMIFS(INDEX(Inputs!$D$4:$AG$150,0,MATCH(V$2,Inputs!$D$2:$AG$2,0)),Inputs!$B$4:$B$150,$B33)/1000)</f>
        <v>0</v>
      </c>
      <c r="W33" s="12">
        <f>IF(V33="","",V33)</f>
        <v>0</v>
      </c>
      <c r="X33" s="11">
        <f>IF(X$3=0,"",SUMIFS(INDEX(Inputs!$D$4:$AG$150,0,MATCH(X$2,Inputs!$D$2:$AG$2,0)),Inputs!$B$4:$B$150,$B33)/1000)</f>
        <v>0</v>
      </c>
      <c r="Y33" s="11">
        <f>IF(Y$3=0,"",SUMIFS(INDEX(Inputs!$D$4:$AG$150,0,MATCH(Y$2,Inputs!$D$2:$AG$2,0)),Inputs!$B$4:$B$150,$B33)/1000)</f>
        <v>0</v>
      </c>
      <c r="Z33" s="11">
        <f>IF(Z$3=0,"",SUMIFS(INDEX(Inputs!$D$4:$AG$150,0,MATCH(Z$2,Inputs!$D$2:$AG$2,0)),Inputs!$B$4:$B$150,$B33)/1000)</f>
        <v>0</v>
      </c>
      <c r="AA33" s="11">
        <f>IF(AA$3=0,"",SUMIFS(INDEX(Inputs!$D$4:$AG$150,0,MATCH(AA$2,Inputs!$D$2:$AG$2,0)),Inputs!$B$4:$B$150,$B33)/1000)</f>
        <v>0</v>
      </c>
      <c r="AB33" s="12">
        <f>IF(AA33="","",AA33)</f>
        <v>0</v>
      </c>
      <c r="AC33" s="11">
        <f>IF(AC$3=0,"",SUMIFS(INDEX(Inputs!$D$4:$AG$150,0,MATCH(AC$2,Inputs!$D$2:$AG$2,0)),Inputs!$B$4:$B$150,$B33)/1000)</f>
        <v>0</v>
      </c>
      <c r="AD33" s="11">
        <f>IF(AD$3=0,"",SUMIFS(INDEX(Inputs!$D$4:$AG$150,0,MATCH(AD$2,Inputs!$D$2:$AG$2,0)),Inputs!$B$4:$B$150,$B33)/1000)</f>
        <v>0</v>
      </c>
      <c r="AE33" s="11" t="str">
        <f>IF(AE$3=0,"",SUMIFS(INDEX(Inputs!$D$4:$AG$150,0,MATCH(AE$2,Inputs!$D$2:$AG$2,0)),Inputs!$B$4:$B$150,$B33)/1000)</f>
        <v/>
      </c>
      <c r="AF33" s="11" t="str">
        <f>IF(AF$3=0,"",SUMIFS(INDEX(Inputs!$D$4:$AG$150,0,MATCH(AF$2,Inputs!$D$2:$AG$2,0)),Inputs!$B$4:$B$150,$B33)/1000)</f>
        <v/>
      </c>
      <c r="AG33" s="12" t="str">
        <f>IF(AF33="","",AF33)</f>
        <v/>
      </c>
    </row>
    <row r="34">
      <c r="B34" s="9" t="n">
        <v>29</v>
      </c>
      <c r="C34" s="14" t="inlineStr">
        <is>
          <t>Short term operating leases</t>
        </is>
      </c>
      <c r="D34" s="11">
        <f>IF(D$3=0,"",SUMIFS(INDEX(Inputs!$D$4:$AG$150,0,MATCH(D$2,Inputs!$D$2:$AG$2,0)),Inputs!$B$4:$B$150,$B34)/1000)</f>
        <v>0</v>
      </c>
      <c r="E34" s="11">
        <f>IF(E$3=0,"",SUMIFS(INDEX(Inputs!$D$4:$AG$150,0,MATCH(E$2,Inputs!$D$2:$AG$2,0)),Inputs!$B$4:$B$150,$B34)/1000)</f>
        <v>0</v>
      </c>
      <c r="F34" s="11">
        <f>IF(F$3=0,"",SUMIFS(INDEX(Inputs!$D$4:$AG$150,0,MATCH(F$2,Inputs!$D$2:$AG$2,0)),Inputs!$B$4:$B$150,$B34)/1000)</f>
        <v>0</v>
      </c>
      <c r="G34" s="11">
        <f>IF(G$3=0,"",SUMIFS(INDEX(Inputs!$D$4:$AG$150,0,MATCH(G$2,Inputs!$D$2:$AG$2,0)),Inputs!$B$4:$B$150,$B34)/1000)</f>
        <v>0</v>
      </c>
      <c r="H34" s="12">
        <f>IF(G34="","",G34)</f>
        <v>0</v>
      </c>
      <c r="I34" s="11">
        <f>IF(I$3=0,"",SUMIFS(INDEX(Inputs!$D$4:$AG$150,0,MATCH(I$2,Inputs!$D$2:$AG$2,0)),Inputs!$B$4:$B$150,$B34)/1000)</f>
        <v>0</v>
      </c>
      <c r="J34" s="11">
        <f>IF(J$3=0,"",SUMIFS(INDEX(Inputs!$D$4:$AG$150,0,MATCH(J$2,Inputs!$D$2:$AG$2,0)),Inputs!$B$4:$B$150,$B34)/1000)</f>
        <v>0</v>
      </c>
      <c r="K34" s="11">
        <f>IF(K$3=0,"",SUMIFS(INDEX(Inputs!$D$4:$AG$150,0,MATCH(K$2,Inputs!$D$2:$AG$2,0)),Inputs!$B$4:$B$150,$B34)/1000)</f>
        <v>0</v>
      </c>
      <c r="L34" s="11">
        <f>IF(L$3=0,"",SUMIFS(INDEX(Inputs!$D$4:$AG$150,0,MATCH(L$2,Inputs!$D$2:$AG$2,0)),Inputs!$B$4:$B$150,$B34)/1000)</f>
        <v>0</v>
      </c>
      <c r="M34" s="12">
        <f>IF(L34="","",L34)</f>
        <v>0</v>
      </c>
      <c r="N34" s="11">
        <f>IF(N$3=0,"",SUMIFS(INDEX(Inputs!$D$4:$AG$150,0,MATCH(N$2,Inputs!$D$2:$AG$2,0)),Inputs!$B$4:$B$150,$B34)/1000)</f>
        <v>0</v>
      </c>
      <c r="O34" s="11">
        <f>IF(O$3=0,"",SUMIFS(INDEX(Inputs!$D$4:$AG$150,0,MATCH(O$2,Inputs!$D$2:$AG$2,0)),Inputs!$B$4:$B$150,$B34)/1000)</f>
        <v>0</v>
      </c>
      <c r="P34" s="11">
        <f>IF(P$3=0,"",SUMIFS(INDEX(Inputs!$D$4:$AG$150,0,MATCH(P$2,Inputs!$D$2:$AG$2,0)),Inputs!$B$4:$B$150,$B34)/1000)</f>
        <v>0</v>
      </c>
      <c r="Q34" s="11">
        <f>IF(Q$3=0,"",SUMIFS(INDEX(Inputs!$D$4:$AG$150,0,MATCH(Q$2,Inputs!$D$2:$AG$2,0)),Inputs!$B$4:$B$150,$B34)/1000)</f>
        <v>0</v>
      </c>
      <c r="R34" s="12">
        <f>IF(Q34="","",Q34)</f>
        <v>0</v>
      </c>
      <c r="S34" s="11">
        <f>IF(S$3=0,"",SUMIFS(INDEX(Inputs!$D$4:$AG$150,0,MATCH(S$2,Inputs!$D$2:$AG$2,0)),Inputs!$B$4:$B$150,$B34)/1000)</f>
        <v>0</v>
      </c>
      <c r="T34" s="11">
        <f>IF(T$3=0,"",SUMIFS(INDEX(Inputs!$D$4:$AG$150,0,MATCH(T$2,Inputs!$D$2:$AG$2,0)),Inputs!$B$4:$B$150,$B34)/1000)</f>
        <v>0</v>
      </c>
      <c r="U34" s="11">
        <f>IF(U$3=0,"",SUMIFS(INDEX(Inputs!$D$4:$AG$150,0,MATCH(U$2,Inputs!$D$2:$AG$2,0)),Inputs!$B$4:$B$150,$B34)/1000)</f>
        <v>0</v>
      </c>
      <c r="V34" s="11">
        <f>IF(V$3=0,"",SUMIFS(INDEX(Inputs!$D$4:$AG$150,0,MATCH(V$2,Inputs!$D$2:$AG$2,0)),Inputs!$B$4:$B$150,$B34)/1000)</f>
        <v>0</v>
      </c>
      <c r="W34" s="12">
        <f>IF(V34="","",V34)</f>
        <v>0</v>
      </c>
      <c r="X34" s="11">
        <f>IF(X$3=0,"",SUMIFS(INDEX(Inputs!$D$4:$AG$150,0,MATCH(X$2,Inputs!$D$2:$AG$2,0)),Inputs!$B$4:$B$150,$B34)/1000)</f>
        <v>0</v>
      </c>
      <c r="Y34" s="11">
        <f>IF(Y$3=0,"",SUMIFS(INDEX(Inputs!$D$4:$AG$150,0,MATCH(Y$2,Inputs!$D$2:$AG$2,0)),Inputs!$B$4:$B$150,$B34)/1000)</f>
        <v>0</v>
      </c>
      <c r="Z34" s="11">
        <f>IF(Z$3=0,"",SUMIFS(INDEX(Inputs!$D$4:$AG$150,0,MATCH(Z$2,Inputs!$D$2:$AG$2,0)),Inputs!$B$4:$B$150,$B34)/1000)</f>
        <v>0</v>
      </c>
      <c r="AA34" s="11">
        <f>IF(AA$3=0,"",SUMIFS(INDEX(Inputs!$D$4:$AG$150,0,MATCH(AA$2,Inputs!$D$2:$AG$2,0)),Inputs!$B$4:$B$150,$B34)/1000)</f>
        <v>0</v>
      </c>
      <c r="AB34" s="12">
        <f>IF(AA34="","",AA34)</f>
        <v>0</v>
      </c>
      <c r="AC34" s="11">
        <f>IF(AC$3=0,"",SUMIFS(INDEX(Inputs!$D$4:$AG$150,0,MATCH(AC$2,Inputs!$D$2:$AG$2,0)),Inputs!$B$4:$B$150,$B34)/1000)</f>
        <v>0</v>
      </c>
      <c r="AD34" s="11">
        <f>IF(AD$3=0,"",SUMIFS(INDEX(Inputs!$D$4:$AG$150,0,MATCH(AD$2,Inputs!$D$2:$AG$2,0)),Inputs!$B$4:$B$150,$B34)/1000)</f>
        <v>0</v>
      </c>
      <c r="AE34" s="11" t="str">
        <f>IF(AE$3=0,"",SUMIFS(INDEX(Inputs!$D$4:$AG$150,0,MATCH(AE$2,Inputs!$D$2:$AG$2,0)),Inputs!$B$4:$B$150,$B34)/1000)</f>
        <v/>
      </c>
      <c r="AF34" s="11" t="str">
        <f>IF(AF$3=0,"",SUMIFS(INDEX(Inputs!$D$4:$AG$150,0,MATCH(AF$2,Inputs!$D$2:$AG$2,0)),Inputs!$B$4:$B$150,$B34)/1000)</f>
        <v/>
      </c>
      <c r="AG34" s="12" t="str">
        <f>IF(AF34="","",AF34)</f>
        <v/>
      </c>
    </row>
    <row r="35">
      <c r="B35" s="9" t="n">
        <v>30</v>
      </c>
      <c r="C35" s="14" t="inlineStr">
        <is>
          <t>Long term debt</t>
        </is>
      </c>
      <c r="D35" s="11">
        <f>IF(D$3=0,"",SUMIFS(INDEX(Inputs!$D$4:$AG$150,0,MATCH(D$2,Inputs!$D$2:$AG$2,0)),Inputs!$B$4:$B$150,$B35)/1000)</f>
        <v>9153</v>
      </c>
      <c r="E35" s="11">
        <f>IF(E$3=0,"",SUMIFS(INDEX(Inputs!$D$4:$AG$150,0,MATCH(E$2,Inputs!$D$2:$AG$2,0)),Inputs!$B$4:$B$150,$B35)/1000)</f>
        <v>8638</v>
      </c>
      <c r="F35" s="11">
        <f>IF(F$3=0,"",SUMIFS(INDEX(Inputs!$D$4:$AG$150,0,MATCH(F$2,Inputs!$D$2:$AG$2,0)),Inputs!$B$4:$B$150,$B35)/1000)</f>
        <v>8768</v>
      </c>
      <c r="G35" s="11">
        <f>IF(G$3=0,"",SUMIFS(INDEX(Inputs!$D$4:$AG$150,0,MATCH(G$2,Inputs!$D$2:$AG$2,0)),Inputs!$B$4:$B$150,$B35)/1000)</f>
        <v>9078</v>
      </c>
      <c r="H35" s="12">
        <f>IF(G35="","",G35)</f>
        <v>9078</v>
      </c>
      <c r="I35" s="11">
        <f>IF(I$3=0,"",SUMIFS(INDEX(Inputs!$D$4:$AG$150,0,MATCH(I$2,Inputs!$D$2:$AG$2,0)),Inputs!$B$4:$B$150,$B35)/1000)</f>
        <v>8256</v>
      </c>
      <c r="J35" s="11">
        <f>IF(J$3=0,"",SUMIFS(INDEX(Inputs!$D$4:$AG$150,0,MATCH(J$2,Inputs!$D$2:$AG$2,0)),Inputs!$B$4:$B$150,$B35)/1000)</f>
        <v>10054</v>
      </c>
      <c r="K35" s="11">
        <f>IF(K$3=0,"",SUMIFS(INDEX(Inputs!$D$4:$AG$150,0,MATCH(K$2,Inputs!$D$2:$AG$2,0)),Inputs!$B$4:$B$150,$B35)/1000)</f>
        <v>9658</v>
      </c>
      <c r="L35" s="11">
        <f>IF(L$3=0,"",SUMIFS(INDEX(Inputs!$D$4:$AG$150,0,MATCH(L$2,Inputs!$D$2:$AG$2,0)),Inputs!$B$4:$B$150,$B35)/1000)</f>
        <v>9583</v>
      </c>
      <c r="M35" s="12">
        <f>IF(L35="","",L35)</f>
        <v>9583</v>
      </c>
      <c r="N35" s="11">
        <f>IF(N$3=0,"",SUMIFS(INDEX(Inputs!$D$4:$AG$150,0,MATCH(N$2,Inputs!$D$2:$AG$2,0)),Inputs!$B$4:$B$150,$B35)/1000)</f>
        <v>9586</v>
      </c>
      <c r="O35" s="11">
        <f>IF(O$3=0,"",SUMIFS(INDEX(Inputs!$D$4:$AG$150,0,MATCH(O$2,Inputs!$D$2:$AG$2,0)),Inputs!$B$4:$B$150,$B35)/1000)</f>
        <v>9458</v>
      </c>
      <c r="P35" s="11">
        <f>IF(P$3=0,"",SUMIFS(INDEX(Inputs!$D$4:$AG$150,0,MATCH(P$2,Inputs!$D$2:$AG$2,0)),Inputs!$B$4:$B$150,$B35)/1000)</f>
        <v>9370</v>
      </c>
      <c r="Q35" s="11">
        <f>IF(Q$3=0,"",SUMIFS(INDEX(Inputs!$D$4:$AG$150,0,MATCH(Q$2,Inputs!$D$2:$AG$2,0)),Inputs!$B$4:$B$150,$B35)/1000)</f>
        <v>8656</v>
      </c>
      <c r="R35" s="12">
        <f>IF(Q35="","",Q35)</f>
        <v>8656</v>
      </c>
      <c r="S35" s="11">
        <f>IF(S$3=0,"",SUMIFS(INDEX(Inputs!$D$4:$AG$150,0,MATCH(S$2,Inputs!$D$2:$AG$2,0)),Inputs!$B$4:$B$150,$B35)/1000)</f>
        <v>8656</v>
      </c>
      <c r="T35" s="11">
        <f>IF(T$3=0,"",SUMIFS(INDEX(Inputs!$D$4:$AG$150,0,MATCH(T$2,Inputs!$D$2:$AG$2,0)),Inputs!$B$4:$B$150,$B35)/1000)</f>
        <v>8658</v>
      </c>
      <c r="U35" s="11">
        <f>IF(U$3=0,"",SUMIFS(INDEX(Inputs!$D$4:$AG$150,0,MATCH(U$2,Inputs!$D$2:$AG$2,0)),Inputs!$B$4:$B$150,$B35)/1000)</f>
        <v>8910</v>
      </c>
      <c r="V35" s="11">
        <f>IF(V$3=0,"",SUMIFS(INDEX(Inputs!$D$4:$AG$150,0,MATCH(V$2,Inputs!$D$2:$AG$2,0)),Inputs!$B$4:$B$150,$B35)/1000)</f>
        <v>8907</v>
      </c>
      <c r="W35" s="12">
        <f>IF(V35="","",V35)</f>
        <v>8907</v>
      </c>
      <c r="X35" s="11">
        <f>IF(X$3=0,"",SUMIFS(INDEX(Inputs!$D$4:$AG$150,0,MATCH(X$2,Inputs!$D$2:$AG$2,0)),Inputs!$B$4:$B$150,$B35)/1000)</f>
        <v>8909</v>
      </c>
      <c r="Y35" s="11">
        <f>IF(Y$3=0,"",SUMIFS(INDEX(Inputs!$D$4:$AG$150,0,MATCH(Y$2,Inputs!$D$2:$AG$2,0)),Inputs!$B$4:$B$150,$B35)/1000)</f>
        <v>8913</v>
      </c>
      <c r="Z35" s="11">
        <f>IF(Z$3=0,"",SUMIFS(INDEX(Inputs!$D$4:$AG$150,0,MATCH(Z$2,Inputs!$D$2:$AG$2,0)),Inputs!$B$4:$B$150,$B35)/1000)</f>
        <v>8915</v>
      </c>
      <c r="AA35" s="11">
        <f>IF(AA$3=0,"",SUMIFS(INDEX(Inputs!$D$4:$AG$150,0,MATCH(AA$2,Inputs!$D$2:$AG$2,0)),Inputs!$B$4:$B$150,$B35)/1000)</f>
        <v>8913</v>
      </c>
      <c r="AB35" s="12">
        <f>IF(AA35="","",AA35)</f>
        <v>8913</v>
      </c>
      <c r="AC35" s="11">
        <f>IF(AC$3=0,"",SUMIFS(INDEX(Inputs!$D$4:$AG$150,0,MATCH(AC$2,Inputs!$D$2:$AG$2,0)),Inputs!$B$4:$B$150,$B35)/1000)</f>
        <v>8914</v>
      </c>
      <c r="AD35" s="11">
        <f>IF(AD$3=0,"",SUMIFS(INDEX(Inputs!$D$4:$AG$150,0,MATCH(AD$2,Inputs!$D$2:$AG$2,0)),Inputs!$B$4:$B$150,$B35)/1000)</f>
        <v>8166</v>
      </c>
      <c r="AE35" s="11" t="str">
        <f>IF(AE$3=0,"",SUMIFS(INDEX(Inputs!$D$4:$AG$150,0,MATCH(AE$2,Inputs!$D$2:$AG$2,0)),Inputs!$B$4:$B$150,$B35)/1000)</f>
        <v/>
      </c>
      <c r="AF35" s="11" t="str">
        <f>IF(AF$3=0,"",SUMIFS(INDEX(Inputs!$D$4:$AG$150,0,MATCH(AF$2,Inputs!$D$2:$AG$2,0)),Inputs!$B$4:$B$150,$B35)/1000)</f>
        <v/>
      </c>
      <c r="AG35" s="12" t="str">
        <f>IF(AF35="","",AF35)</f>
        <v/>
      </c>
    </row>
    <row r="36">
      <c r="B36" s="9" t="n">
        <v>31</v>
      </c>
      <c r="C36" s="14" t="inlineStr">
        <is>
          <t>Long term operating leases</t>
        </is>
      </c>
      <c r="D36" s="11">
        <f>IF(D$3=0,"",SUMIFS(INDEX(Inputs!$D$4:$AG$150,0,MATCH(D$2,Inputs!$D$2:$AG$2,0)),Inputs!$B$4:$B$150,$B36)/1000)</f>
        <v>0</v>
      </c>
      <c r="E36" s="11">
        <f>IF(E$3=0,"",SUMIFS(INDEX(Inputs!$D$4:$AG$150,0,MATCH(E$2,Inputs!$D$2:$AG$2,0)),Inputs!$B$4:$B$150,$B36)/1000)</f>
        <v>0</v>
      </c>
      <c r="F36" s="11">
        <f>IF(F$3=0,"",SUMIFS(INDEX(Inputs!$D$4:$AG$150,0,MATCH(F$2,Inputs!$D$2:$AG$2,0)),Inputs!$B$4:$B$150,$B36)/1000)</f>
        <v>0</v>
      </c>
      <c r="G36" s="11">
        <f>IF(G$3=0,"",SUMIFS(INDEX(Inputs!$D$4:$AG$150,0,MATCH(G$2,Inputs!$D$2:$AG$2,0)),Inputs!$B$4:$B$150,$B36)/1000)</f>
        <v>0</v>
      </c>
      <c r="H36" s="12">
        <f>IF(G36="","",G36)</f>
        <v>0</v>
      </c>
      <c r="I36" s="11">
        <f>IF(I$3=0,"",SUMIFS(INDEX(Inputs!$D$4:$AG$150,0,MATCH(I$2,Inputs!$D$2:$AG$2,0)),Inputs!$B$4:$B$150,$B36)/1000)</f>
        <v>0</v>
      </c>
      <c r="J36" s="11">
        <f>IF(J$3=0,"",SUMIFS(INDEX(Inputs!$D$4:$AG$150,0,MATCH(J$2,Inputs!$D$2:$AG$2,0)),Inputs!$B$4:$B$150,$B36)/1000)</f>
        <v>0</v>
      </c>
      <c r="K36" s="11">
        <f>IF(K$3=0,"",SUMIFS(INDEX(Inputs!$D$4:$AG$150,0,MATCH(K$2,Inputs!$D$2:$AG$2,0)),Inputs!$B$4:$B$150,$B36)/1000)</f>
        <v>0</v>
      </c>
      <c r="L36" s="11">
        <f>IF(L$3=0,"",SUMIFS(INDEX(Inputs!$D$4:$AG$150,0,MATCH(L$2,Inputs!$D$2:$AG$2,0)),Inputs!$B$4:$B$150,$B36)/1000)</f>
        <v>0</v>
      </c>
      <c r="M36" s="12">
        <f>IF(L36="","",L36)</f>
        <v>0</v>
      </c>
      <c r="N36" s="11">
        <f>IF(N$3=0,"",SUMIFS(INDEX(Inputs!$D$4:$AG$150,0,MATCH(N$2,Inputs!$D$2:$AG$2,0)),Inputs!$B$4:$B$150,$B36)/1000)</f>
        <v>0</v>
      </c>
      <c r="O36" s="11">
        <f>IF(O$3=0,"",SUMIFS(INDEX(Inputs!$D$4:$AG$150,0,MATCH(O$2,Inputs!$D$2:$AG$2,0)),Inputs!$B$4:$B$150,$B36)/1000)</f>
        <v>0</v>
      </c>
      <c r="P36" s="11">
        <f>IF(P$3=0,"",SUMIFS(INDEX(Inputs!$D$4:$AG$150,0,MATCH(P$2,Inputs!$D$2:$AG$2,0)),Inputs!$B$4:$B$150,$B36)/1000)</f>
        <v>0</v>
      </c>
      <c r="Q36" s="11">
        <f>IF(Q$3=0,"",SUMIFS(INDEX(Inputs!$D$4:$AG$150,0,MATCH(Q$2,Inputs!$D$2:$AG$2,0)),Inputs!$B$4:$B$150,$B36)/1000)</f>
        <v>0</v>
      </c>
      <c r="R36" s="12">
        <f>IF(Q36="","",Q36)</f>
        <v>0</v>
      </c>
      <c r="S36" s="11">
        <f>IF(S$3=0,"",SUMIFS(INDEX(Inputs!$D$4:$AG$150,0,MATCH(S$2,Inputs!$D$2:$AG$2,0)),Inputs!$B$4:$B$150,$B36)/1000)</f>
        <v>0</v>
      </c>
      <c r="T36" s="11">
        <f>IF(T$3=0,"",SUMIFS(INDEX(Inputs!$D$4:$AG$150,0,MATCH(T$2,Inputs!$D$2:$AG$2,0)),Inputs!$B$4:$B$150,$B36)/1000)</f>
        <v>0</v>
      </c>
      <c r="U36" s="11">
        <f>IF(U$3=0,"",SUMIFS(INDEX(Inputs!$D$4:$AG$150,0,MATCH(U$2,Inputs!$D$2:$AG$2,0)),Inputs!$B$4:$B$150,$B36)/1000)</f>
        <v>0</v>
      </c>
      <c r="V36" s="11">
        <f>IF(V$3=0,"",SUMIFS(INDEX(Inputs!$D$4:$AG$150,0,MATCH(V$2,Inputs!$D$2:$AG$2,0)),Inputs!$B$4:$B$150,$B36)/1000)</f>
        <v>0</v>
      </c>
      <c r="W36" s="12">
        <f>IF(V36="","",V36)</f>
        <v>0</v>
      </c>
      <c r="X36" s="11">
        <f>IF(X$3=0,"",SUMIFS(INDEX(Inputs!$D$4:$AG$150,0,MATCH(X$2,Inputs!$D$2:$AG$2,0)),Inputs!$B$4:$B$150,$B36)/1000)</f>
        <v>0</v>
      </c>
      <c r="Y36" s="11">
        <f>IF(Y$3=0,"",SUMIFS(INDEX(Inputs!$D$4:$AG$150,0,MATCH(Y$2,Inputs!$D$2:$AG$2,0)),Inputs!$B$4:$B$150,$B36)/1000)</f>
        <v>0</v>
      </c>
      <c r="Z36" s="11">
        <f>IF(Z$3=0,"",SUMIFS(INDEX(Inputs!$D$4:$AG$150,0,MATCH(Z$2,Inputs!$D$2:$AG$2,0)),Inputs!$B$4:$B$150,$B36)/1000)</f>
        <v>0</v>
      </c>
      <c r="AA36" s="11">
        <f>IF(AA$3=0,"",SUMIFS(INDEX(Inputs!$D$4:$AG$150,0,MATCH(AA$2,Inputs!$D$2:$AG$2,0)),Inputs!$B$4:$B$150,$B36)/1000)</f>
        <v>1010</v>
      </c>
      <c r="AB36" s="12">
        <f>IF(AA36="","",AA36)</f>
        <v>1010</v>
      </c>
      <c r="AC36" s="11">
        <f>IF(AC$3=0,"",SUMIFS(INDEX(Inputs!$D$4:$AG$150,0,MATCH(AC$2,Inputs!$D$2:$AG$2,0)),Inputs!$B$4:$B$150,$B36)/1000)</f>
        <v>987</v>
      </c>
      <c r="AD36" s="11">
        <f>IF(AD$3=0,"",SUMIFS(INDEX(Inputs!$D$4:$AG$150,0,MATCH(AD$2,Inputs!$D$2:$AG$2,0)),Inputs!$B$4:$B$150,$B36)/1000)</f>
        <v>973</v>
      </c>
      <c r="AE36" s="11" t="str">
        <f>IF(AE$3=0,"",SUMIFS(INDEX(Inputs!$D$4:$AG$150,0,MATCH(AE$2,Inputs!$D$2:$AG$2,0)),Inputs!$B$4:$B$150,$B36)/1000)</f>
        <v/>
      </c>
      <c r="AF36" s="11" t="str">
        <f>IF(AF$3=0,"",SUMIFS(INDEX(Inputs!$D$4:$AG$150,0,MATCH(AF$2,Inputs!$D$2:$AG$2,0)),Inputs!$B$4:$B$150,$B36)/1000)</f>
        <v/>
      </c>
      <c r="AG36" s="12" t="str">
        <f>IF(AF36="","",AF36)</f>
        <v/>
      </c>
    </row>
    <row r="37">
      <c r="B37" s="9" t="n">
        <v>32</v>
      </c>
      <c r="C37" s="14" t="inlineStr">
        <is>
          <t>Convertible debt</t>
        </is>
      </c>
      <c r="D37" s="11">
        <f>IF(D$3=0,"",SUMIFS(INDEX(Inputs!$D$4:$AG$150,0,MATCH(D$2,Inputs!$D$2:$AG$2,0)),Inputs!$B$4:$B$150,$B37)/1000)</f>
        <v>0</v>
      </c>
      <c r="E37" s="11">
        <f>IF(E$3=0,"",SUMIFS(INDEX(Inputs!$D$4:$AG$150,0,MATCH(E$2,Inputs!$D$2:$AG$2,0)),Inputs!$B$4:$B$150,$B37)/1000)</f>
        <v>0</v>
      </c>
      <c r="F37" s="11">
        <f>IF(F$3=0,"",SUMIFS(INDEX(Inputs!$D$4:$AG$150,0,MATCH(F$2,Inputs!$D$2:$AG$2,0)),Inputs!$B$4:$B$150,$B37)/1000)</f>
        <v>0</v>
      </c>
      <c r="G37" s="11">
        <f>IF(G$3=0,"",SUMIFS(INDEX(Inputs!$D$4:$AG$150,0,MATCH(G$2,Inputs!$D$2:$AG$2,0)),Inputs!$B$4:$B$150,$B37)/1000)</f>
        <v>0</v>
      </c>
      <c r="H37" s="12">
        <f>IF(G37="","",G37)</f>
        <v>0</v>
      </c>
      <c r="I37" s="11">
        <f>IF(I$3=0,"",SUMIFS(INDEX(Inputs!$D$4:$AG$150,0,MATCH(I$2,Inputs!$D$2:$AG$2,0)),Inputs!$B$4:$B$150,$B37)/1000)</f>
        <v>0</v>
      </c>
      <c r="J37" s="11">
        <f>IF(J$3=0,"",SUMIFS(INDEX(Inputs!$D$4:$AG$150,0,MATCH(J$2,Inputs!$D$2:$AG$2,0)),Inputs!$B$4:$B$150,$B37)/1000)</f>
        <v>0</v>
      </c>
      <c r="K37" s="11">
        <f>IF(K$3=0,"",SUMIFS(INDEX(Inputs!$D$4:$AG$150,0,MATCH(K$2,Inputs!$D$2:$AG$2,0)),Inputs!$B$4:$B$150,$B37)/1000)</f>
        <v>0</v>
      </c>
      <c r="L37" s="11">
        <f>IF(L$3=0,"",SUMIFS(INDEX(Inputs!$D$4:$AG$150,0,MATCH(L$2,Inputs!$D$2:$AG$2,0)),Inputs!$B$4:$B$150,$B37)/1000)</f>
        <v>0</v>
      </c>
      <c r="M37" s="12">
        <f>IF(L37="","",L37)</f>
        <v>0</v>
      </c>
      <c r="N37" s="11">
        <f>IF(N$3=0,"",SUMIFS(INDEX(Inputs!$D$4:$AG$150,0,MATCH(N$2,Inputs!$D$2:$AG$2,0)),Inputs!$B$4:$B$150,$B37)/1000)</f>
        <v>0</v>
      </c>
      <c r="O37" s="11">
        <f>IF(O$3=0,"",SUMIFS(INDEX(Inputs!$D$4:$AG$150,0,MATCH(O$2,Inputs!$D$2:$AG$2,0)),Inputs!$B$4:$B$150,$B37)/1000)</f>
        <v>0</v>
      </c>
      <c r="P37" s="11">
        <f>IF(P$3=0,"",SUMIFS(INDEX(Inputs!$D$4:$AG$150,0,MATCH(P$2,Inputs!$D$2:$AG$2,0)),Inputs!$B$4:$B$150,$B37)/1000)</f>
        <v>0</v>
      </c>
      <c r="Q37" s="11">
        <f>IF(Q$3=0,"",SUMIFS(INDEX(Inputs!$D$4:$AG$150,0,MATCH(Q$2,Inputs!$D$2:$AG$2,0)),Inputs!$B$4:$B$150,$B37)/1000)</f>
        <v>0</v>
      </c>
      <c r="R37" s="12">
        <f>IF(Q37="","",Q37)</f>
        <v>0</v>
      </c>
      <c r="S37" s="11">
        <f>IF(S$3=0,"",SUMIFS(INDEX(Inputs!$D$4:$AG$150,0,MATCH(S$2,Inputs!$D$2:$AG$2,0)),Inputs!$B$4:$B$150,$B37)/1000)</f>
        <v>0</v>
      </c>
      <c r="T37" s="11">
        <f>IF(T$3=0,"",SUMIFS(INDEX(Inputs!$D$4:$AG$150,0,MATCH(T$2,Inputs!$D$2:$AG$2,0)),Inputs!$B$4:$B$150,$B37)/1000)</f>
        <v>0</v>
      </c>
      <c r="U37" s="11">
        <f>IF(U$3=0,"",SUMIFS(INDEX(Inputs!$D$4:$AG$150,0,MATCH(U$2,Inputs!$D$2:$AG$2,0)),Inputs!$B$4:$B$150,$B37)/1000)</f>
        <v>0</v>
      </c>
      <c r="V37" s="11">
        <f>IF(V$3=0,"",SUMIFS(INDEX(Inputs!$D$4:$AG$150,0,MATCH(V$2,Inputs!$D$2:$AG$2,0)),Inputs!$B$4:$B$150,$B37)/1000)</f>
        <v>0</v>
      </c>
      <c r="W37" s="12">
        <f>IF(V37="","",V37)</f>
        <v>0</v>
      </c>
      <c r="X37" s="11">
        <f>IF(X$3=0,"",SUMIFS(INDEX(Inputs!$D$4:$AG$150,0,MATCH(X$2,Inputs!$D$2:$AG$2,0)),Inputs!$B$4:$B$150,$B37)/1000)</f>
        <v>0</v>
      </c>
      <c r="Y37" s="11">
        <f>IF(Y$3=0,"",SUMIFS(INDEX(Inputs!$D$4:$AG$150,0,MATCH(Y$2,Inputs!$D$2:$AG$2,0)),Inputs!$B$4:$B$150,$B37)/1000)</f>
        <v>0</v>
      </c>
      <c r="Z37" s="11">
        <f>IF(Z$3=0,"",SUMIFS(INDEX(Inputs!$D$4:$AG$150,0,MATCH(Z$2,Inputs!$D$2:$AG$2,0)),Inputs!$B$4:$B$150,$B37)/1000)</f>
        <v>0</v>
      </c>
      <c r="AA37" s="11">
        <f>IF(AA$3=0,"",SUMIFS(INDEX(Inputs!$D$4:$AG$150,0,MATCH(AA$2,Inputs!$D$2:$AG$2,0)),Inputs!$B$4:$B$150,$B37)/1000)</f>
        <v>0</v>
      </c>
      <c r="AB37" s="12">
        <f>IF(AA37="","",AA37)</f>
        <v>0</v>
      </c>
      <c r="AC37" s="11">
        <f>IF(AC$3=0,"",SUMIFS(INDEX(Inputs!$D$4:$AG$150,0,MATCH(AC$2,Inputs!$D$2:$AG$2,0)),Inputs!$B$4:$B$150,$B37)/1000)</f>
        <v>0</v>
      </c>
      <c r="AD37" s="11">
        <f>IF(AD$3=0,"",SUMIFS(INDEX(Inputs!$D$4:$AG$150,0,MATCH(AD$2,Inputs!$D$2:$AG$2,0)),Inputs!$B$4:$B$150,$B37)/1000)</f>
        <v>0</v>
      </c>
      <c r="AE37" s="11" t="str">
        <f>IF(AE$3=0,"",SUMIFS(INDEX(Inputs!$D$4:$AG$150,0,MATCH(AE$2,Inputs!$D$2:$AG$2,0)),Inputs!$B$4:$B$150,$B37)/1000)</f>
        <v/>
      </c>
      <c r="AF37" s="11" t="str">
        <f>IF(AF$3=0,"",SUMIFS(INDEX(Inputs!$D$4:$AG$150,0,MATCH(AF$2,Inputs!$D$2:$AG$2,0)),Inputs!$B$4:$B$150,$B37)/1000)</f>
        <v/>
      </c>
      <c r="AG37" s="12" t="str">
        <f>IF(AF37="","",AF37)</f>
        <v/>
      </c>
    </row>
    <row r="38">
      <c r="B38" s="9" t="n">
        <v>33</v>
      </c>
      <c r="C38" s="14" t="inlineStr">
        <is>
          <t>Deferred income taxes</t>
        </is>
      </c>
      <c r="D38" s="11">
        <f>IF(D$3=0,"",SUMIFS(INDEX(Inputs!$D$4:$AG$150,0,MATCH(D$2,Inputs!$D$2:$AG$2,0)),Inputs!$B$4:$B$150,$B38)/1000)</f>
        <v>4446</v>
      </c>
      <c r="E38" s="11">
        <f>IF(E$3=0,"",SUMIFS(INDEX(Inputs!$D$4:$AG$150,0,MATCH(E$2,Inputs!$D$2:$AG$2,0)),Inputs!$B$4:$B$150,$B38)/1000)</f>
        <v>4486</v>
      </c>
      <c r="F38" s="11">
        <f>IF(F$3=0,"",SUMIFS(INDEX(Inputs!$D$4:$AG$150,0,MATCH(F$2,Inputs!$D$2:$AG$2,0)),Inputs!$B$4:$B$150,$B38)/1000)</f>
        <v>4500</v>
      </c>
      <c r="G38" s="11">
        <f>IF(G$3=0,"",SUMIFS(INDEX(Inputs!$D$4:$AG$150,0,MATCH(G$2,Inputs!$D$2:$AG$2,0)),Inputs!$B$4:$B$150,$B38)/1000)</f>
        <v>4234</v>
      </c>
      <c r="H38" s="12">
        <f>IF(G38="","",G38)</f>
        <v>4234</v>
      </c>
      <c r="I38" s="11">
        <f>IF(I$3=0,"",SUMIFS(INDEX(Inputs!$D$4:$AG$150,0,MATCH(I$2,Inputs!$D$2:$AG$2,0)),Inputs!$B$4:$B$150,$B38)/1000)</f>
        <v>4282</v>
      </c>
      <c r="J38" s="11">
        <f>IF(J$3=0,"",SUMIFS(INDEX(Inputs!$D$4:$AG$150,0,MATCH(J$2,Inputs!$D$2:$AG$2,0)),Inputs!$B$4:$B$150,$B38)/1000)</f>
        <v>4297</v>
      </c>
      <c r="K38" s="11">
        <f>IF(K$3=0,"",SUMIFS(INDEX(Inputs!$D$4:$AG$150,0,MATCH(K$2,Inputs!$D$2:$AG$2,0)),Inputs!$B$4:$B$150,$B38)/1000)</f>
        <v>4316</v>
      </c>
      <c r="L38" s="11">
        <f>IF(L$3=0,"",SUMIFS(INDEX(Inputs!$D$4:$AG$150,0,MATCH(L$2,Inputs!$D$2:$AG$2,0)),Inputs!$B$4:$B$150,$B38)/1000)</f>
        <v>4269</v>
      </c>
      <c r="M38" s="12">
        <f>IF(L38="","",L38)</f>
        <v>4269</v>
      </c>
      <c r="N38" s="11">
        <f>IF(N$3=0,"",SUMIFS(INDEX(Inputs!$D$4:$AG$150,0,MATCH(N$2,Inputs!$D$2:$AG$2,0)),Inputs!$B$4:$B$150,$B38)/1000)</f>
        <v>4305</v>
      </c>
      <c r="O38" s="11">
        <f>IF(O$3=0,"",SUMIFS(INDEX(Inputs!$D$4:$AG$150,0,MATCH(O$2,Inputs!$D$2:$AG$2,0)),Inputs!$B$4:$B$150,$B38)/1000)</f>
        <v>4343</v>
      </c>
      <c r="P38" s="11">
        <f>IF(P$3=0,"",SUMIFS(INDEX(Inputs!$D$4:$AG$150,0,MATCH(P$2,Inputs!$D$2:$AG$2,0)),Inputs!$B$4:$B$150,$B38)/1000)</f>
        <v>4399</v>
      </c>
      <c r="Q38" s="11">
        <f>IF(Q$3=0,"",SUMIFS(INDEX(Inputs!$D$4:$AG$150,0,MATCH(Q$2,Inputs!$D$2:$AG$2,0)),Inputs!$B$4:$B$150,$B38)/1000)</f>
        <v>4453</v>
      </c>
      <c r="R38" s="12">
        <f>IF(Q38="","",Q38)</f>
        <v>4453</v>
      </c>
      <c r="S38" s="11">
        <f>IF(S$3=0,"",SUMIFS(INDEX(Inputs!$D$4:$AG$150,0,MATCH(S$2,Inputs!$D$2:$AG$2,0)),Inputs!$B$4:$B$150,$B38)/1000)</f>
        <v>4500</v>
      </c>
      <c r="T38" s="11">
        <f>IF(T$3=0,"",SUMIFS(INDEX(Inputs!$D$4:$AG$150,0,MATCH(T$2,Inputs!$D$2:$AG$2,0)),Inputs!$B$4:$B$150,$B38)/1000)</f>
        <v>4491</v>
      </c>
      <c r="U38" s="11">
        <f>IF(U$3=0,"",SUMIFS(INDEX(Inputs!$D$4:$AG$150,0,MATCH(U$2,Inputs!$D$2:$AG$2,0)),Inputs!$B$4:$B$150,$B38)/1000)</f>
        <v>4492</v>
      </c>
      <c r="V38" s="11">
        <f>IF(V$3=0,"",SUMIFS(INDEX(Inputs!$D$4:$AG$150,0,MATCH(V$2,Inputs!$D$2:$AG$2,0)),Inputs!$B$4:$B$150,$B38)/1000)</f>
        <v>4376</v>
      </c>
      <c r="W38" s="12">
        <f>IF(V38="","",V38)</f>
        <v>4376</v>
      </c>
      <c r="X38" s="11">
        <f>IF(X$3=0,"",SUMIFS(INDEX(Inputs!$D$4:$AG$150,0,MATCH(X$2,Inputs!$D$2:$AG$2,0)),Inputs!$B$4:$B$150,$B38)/1000)</f>
        <v>4402</v>
      </c>
      <c r="Y38" s="11">
        <f>IF(Y$3=0,"",SUMIFS(INDEX(Inputs!$D$4:$AG$150,0,MATCH(Y$2,Inputs!$D$2:$AG$2,0)),Inputs!$B$4:$B$150,$B38)/1000)</f>
        <v>4410</v>
      </c>
      <c r="Z38" s="11">
        <f>IF(Z$3=0,"",SUMIFS(INDEX(Inputs!$D$4:$AG$150,0,MATCH(Z$2,Inputs!$D$2:$AG$2,0)),Inputs!$B$4:$B$150,$B38)/1000)</f>
        <v>4359</v>
      </c>
      <c r="AA38" s="11">
        <f>IF(AA$3=0,"",SUMIFS(INDEX(Inputs!$D$4:$AG$150,0,MATCH(AA$2,Inputs!$D$2:$AG$2,0)),Inputs!$B$4:$B$150,$B38)/1000)</f>
        <v>4622</v>
      </c>
      <c r="AB38" s="12">
        <f>IF(AA38="","",AA38)</f>
        <v>4622</v>
      </c>
      <c r="AC38" s="11">
        <f>IF(AC$3=0,"",SUMIFS(INDEX(Inputs!$D$4:$AG$150,0,MATCH(AC$2,Inputs!$D$2:$AG$2,0)),Inputs!$B$4:$B$150,$B38)/1000)</f>
        <v>4641</v>
      </c>
      <c r="AD38" s="11">
        <f>IF(AD$3=0,"",SUMIFS(INDEX(Inputs!$D$4:$AG$150,0,MATCH(AD$2,Inputs!$D$2:$AG$2,0)),Inputs!$B$4:$B$150,$B38)/1000)</f>
        <v>4658</v>
      </c>
      <c r="AE38" s="11" t="str">
        <f>IF(AE$3=0,"",SUMIFS(INDEX(Inputs!$D$4:$AG$150,0,MATCH(AE$2,Inputs!$D$2:$AG$2,0)),Inputs!$B$4:$B$150,$B38)/1000)</f>
        <v/>
      </c>
      <c r="AF38" s="11" t="str">
        <f>IF(AF$3=0,"",SUMIFS(INDEX(Inputs!$D$4:$AG$150,0,MATCH(AF$2,Inputs!$D$2:$AG$2,0)),Inputs!$B$4:$B$150,$B38)/1000)</f>
        <v/>
      </c>
      <c r="AG38" s="12" t="str">
        <f>IF(AF38="","",AF38)</f>
        <v/>
      </c>
    </row>
    <row r="39">
      <c r="B39" s="9" t="n">
        <v>34</v>
      </c>
      <c r="C39" s="14" t="inlineStr">
        <is>
          <t>Other non-current liabilities</t>
        </is>
      </c>
      <c r="D39" s="11">
        <f>IF(D$3=0,"",SUMIFS(INDEX(Inputs!$D$4:$AG$150,0,MATCH(D$2,Inputs!$D$2:$AG$2,0)),Inputs!$B$4:$B$150,$B39)/1000)</f>
        <v>5860</v>
      </c>
      <c r="E39" s="11">
        <f>IF(E$3=0,"",SUMIFS(INDEX(Inputs!$D$4:$AG$150,0,MATCH(E$2,Inputs!$D$2:$AG$2,0)),Inputs!$B$4:$B$150,$B39)/1000)</f>
        <v>5850</v>
      </c>
      <c r="F39" s="11">
        <f>IF(F$3=0,"",SUMIFS(INDEX(Inputs!$D$4:$AG$150,0,MATCH(F$2,Inputs!$D$2:$AG$2,0)),Inputs!$B$4:$B$150,$B39)/1000)</f>
        <v>5595</v>
      </c>
      <c r="G39" s="11">
        <f>IF(G$3=0,"",SUMIFS(INDEX(Inputs!$D$4:$AG$150,0,MATCH(G$2,Inputs!$D$2:$AG$2,0)),Inputs!$B$4:$B$150,$B39)/1000)</f>
        <v>5799</v>
      </c>
      <c r="H39" s="12">
        <f>IF(G39="","",G39)</f>
        <v>5799</v>
      </c>
      <c r="I39" s="11">
        <f>IF(I$3=0,"",SUMIFS(INDEX(Inputs!$D$4:$AG$150,0,MATCH(I$2,Inputs!$D$2:$AG$2,0)),Inputs!$B$4:$B$150,$B39)/1000)</f>
        <v>5798</v>
      </c>
      <c r="J39" s="11">
        <f>IF(J$3=0,"",SUMIFS(INDEX(Inputs!$D$4:$AG$150,0,MATCH(J$2,Inputs!$D$2:$AG$2,0)),Inputs!$B$4:$B$150,$B39)/1000)</f>
        <v>5783</v>
      </c>
      <c r="K39" s="11">
        <f>IF(K$3=0,"",SUMIFS(INDEX(Inputs!$D$4:$AG$150,0,MATCH(K$2,Inputs!$D$2:$AG$2,0)),Inputs!$B$4:$B$150,$B39)/1000)</f>
        <v>5773</v>
      </c>
      <c r="L39" s="11">
        <f>IF(L$3=0,"",SUMIFS(INDEX(Inputs!$D$4:$AG$150,0,MATCH(L$2,Inputs!$D$2:$AG$2,0)),Inputs!$B$4:$B$150,$B39)/1000)</f>
        <v>6025</v>
      </c>
      <c r="M39" s="12">
        <f>IF(L39="","",L39)</f>
        <v>6025</v>
      </c>
      <c r="N39" s="11">
        <f>IF(N$3=0,"",SUMIFS(INDEX(Inputs!$D$4:$AG$150,0,MATCH(N$2,Inputs!$D$2:$AG$2,0)),Inputs!$B$4:$B$150,$B39)/1000)</f>
        <v>6089</v>
      </c>
      <c r="O39" s="11">
        <f>IF(O$3=0,"",SUMIFS(INDEX(Inputs!$D$4:$AG$150,0,MATCH(O$2,Inputs!$D$2:$AG$2,0)),Inputs!$B$4:$B$150,$B39)/1000)</f>
        <v>6291</v>
      </c>
      <c r="P39" s="11">
        <f>IF(P$3=0,"",SUMIFS(INDEX(Inputs!$D$4:$AG$150,0,MATCH(P$2,Inputs!$D$2:$AG$2,0)),Inputs!$B$4:$B$150,$B39)/1000)</f>
        <v>6342</v>
      </c>
      <c r="Q39" s="11">
        <f>IF(Q$3=0,"",SUMIFS(INDEX(Inputs!$D$4:$AG$150,0,MATCH(Q$2,Inputs!$D$2:$AG$2,0)),Inputs!$B$4:$B$150,$B39)/1000)</f>
        <v>6272</v>
      </c>
      <c r="R39" s="12">
        <f>IF(Q39="","",Q39)</f>
        <v>6272</v>
      </c>
      <c r="S39" s="11">
        <f>IF(S$3=0,"",SUMIFS(INDEX(Inputs!$D$4:$AG$150,0,MATCH(S$2,Inputs!$D$2:$AG$2,0)),Inputs!$B$4:$B$150,$B39)/1000)</f>
        <v>6632</v>
      </c>
      <c r="T39" s="11">
        <f>IF(T$3=0,"",SUMIFS(INDEX(Inputs!$D$4:$AG$150,0,MATCH(T$2,Inputs!$D$2:$AG$2,0)),Inputs!$B$4:$B$150,$B39)/1000)</f>
        <v>6664</v>
      </c>
      <c r="U39" s="11">
        <f>IF(U$3=0,"",SUMIFS(INDEX(Inputs!$D$4:$AG$150,0,MATCH(U$2,Inputs!$D$2:$AG$2,0)),Inputs!$B$4:$B$150,$B39)/1000)</f>
        <v>6885</v>
      </c>
      <c r="V39" s="11">
        <f>IF(V$3=0,"",SUMIFS(INDEX(Inputs!$D$4:$AG$150,0,MATCH(V$2,Inputs!$D$2:$AG$2,0)),Inputs!$B$4:$B$150,$B39)/1000)</f>
        <v>7291</v>
      </c>
      <c r="W39" s="12">
        <f>IF(V39="","",V39)</f>
        <v>7291</v>
      </c>
      <c r="X39" s="11">
        <f>IF(X$3=0,"",SUMIFS(INDEX(Inputs!$D$4:$AG$150,0,MATCH(X$2,Inputs!$D$2:$AG$2,0)),Inputs!$B$4:$B$150,$B39)/1000)</f>
        <v>7554</v>
      </c>
      <c r="Y39" s="11">
        <f>IF(Y$3=0,"",SUMIFS(INDEX(Inputs!$D$4:$AG$150,0,MATCH(Y$2,Inputs!$D$2:$AG$2,0)),Inputs!$B$4:$B$150,$B39)/1000)</f>
        <v>7642</v>
      </c>
      <c r="Z39" s="11">
        <f>IF(Z$3=0,"",SUMIFS(INDEX(Inputs!$D$4:$AG$150,0,MATCH(Z$2,Inputs!$D$2:$AG$2,0)),Inputs!$B$4:$B$150,$B39)/1000)</f>
        <v>7631</v>
      </c>
      <c r="AA39" s="11">
        <f>IF(AA$3=0,"",SUMIFS(INDEX(Inputs!$D$4:$AG$150,0,MATCH(AA$2,Inputs!$D$2:$AG$2,0)),Inputs!$B$4:$B$150,$B39)/1000)</f>
        <v>6837</v>
      </c>
      <c r="AB39" s="12">
        <f>IF(AA39="","",AA39)</f>
        <v>6837</v>
      </c>
      <c r="AC39" s="11">
        <f>IF(AC$3=0,"",SUMIFS(INDEX(Inputs!$D$4:$AG$150,0,MATCH(AC$2,Inputs!$D$2:$AG$2,0)),Inputs!$B$4:$B$150,$B39)/1000)</f>
        <v>6880</v>
      </c>
      <c r="AD39" s="11">
        <f>IF(AD$3=0,"",SUMIFS(INDEX(Inputs!$D$4:$AG$150,0,MATCH(AD$2,Inputs!$D$2:$AG$2,0)),Inputs!$B$4:$B$150,$B39)/1000)</f>
        <v>6852</v>
      </c>
      <c r="AE39" s="11" t="str">
        <f>IF(AE$3=0,"",SUMIFS(INDEX(Inputs!$D$4:$AG$150,0,MATCH(AE$2,Inputs!$D$2:$AG$2,0)),Inputs!$B$4:$B$150,$B39)/1000)</f>
        <v/>
      </c>
      <c r="AF39" s="11" t="str">
        <f>IF(AF$3=0,"",SUMIFS(INDEX(Inputs!$D$4:$AG$150,0,MATCH(AF$2,Inputs!$D$2:$AG$2,0)),Inputs!$B$4:$B$150,$B39)/1000)</f>
        <v/>
      </c>
      <c r="AG39" s="12" t="str">
        <f>IF(AF39="","",AF39)</f>
        <v/>
      </c>
    </row>
    <row r="40">
      <c r="C40" s="3" t="n"/>
    </row>
    <row r="41">
      <c r="B41" s="9" t="n">
        <v>35</v>
      </c>
      <c r="C41" s="14" t="inlineStr">
        <is>
          <t>Minority interest</t>
        </is>
      </c>
      <c r="D41" s="11">
        <f>IF(D$3=0,"",SUMIFS(INDEX(Inputs!$D$4:$AG$150,0,MATCH(D$2,Inputs!$D$2:$AG$2,0)),Inputs!$B$4:$B$150,$B41)/1000)</f>
        <v>8653</v>
      </c>
      <c r="E41" s="11">
        <f>IF(E$3=0,"",SUMIFS(INDEX(Inputs!$D$4:$AG$150,0,MATCH(E$2,Inputs!$D$2:$AG$2,0)),Inputs!$B$4:$B$150,$B41)/1000)</f>
        <v>8924</v>
      </c>
      <c r="F41" s="11">
        <f>IF(F$3=0,"",SUMIFS(INDEX(Inputs!$D$4:$AG$150,0,MATCH(F$2,Inputs!$D$2:$AG$2,0)),Inputs!$B$4:$B$150,$B41)/1000)</f>
        <v>9178</v>
      </c>
      <c r="G41" s="11">
        <f>IF(G$3=0,"",SUMIFS(INDEX(Inputs!$D$4:$AG$150,0,MATCH(G$2,Inputs!$D$2:$AG$2,0)),Inputs!$B$4:$B$150,$B41)/1000)</f>
        <v>9039</v>
      </c>
      <c r="H41" s="12">
        <f>IF(G41="","",G41)</f>
        <v>9039</v>
      </c>
      <c r="I41" s="11">
        <f>IF(I$3=0,"",SUMIFS(INDEX(Inputs!$D$4:$AG$150,0,MATCH(I$2,Inputs!$D$2:$AG$2,0)),Inputs!$B$4:$B$150,$B41)/1000)</f>
        <v>9176</v>
      </c>
      <c r="J41" s="11">
        <f>IF(J$3=0,"",SUMIFS(INDEX(Inputs!$D$4:$AG$150,0,MATCH(J$2,Inputs!$D$2:$AG$2,0)),Inputs!$B$4:$B$150,$B41)/1000)</f>
        <v>9158</v>
      </c>
      <c r="K41" s="11">
        <f>IF(K$3=0,"",SUMIFS(INDEX(Inputs!$D$4:$AG$150,0,MATCH(K$2,Inputs!$D$2:$AG$2,0)),Inputs!$B$4:$B$150,$B41)/1000)</f>
        <v>9227</v>
      </c>
      <c r="L41" s="11">
        <f>IF(L$3=0,"",SUMIFS(INDEX(Inputs!$D$4:$AG$150,0,MATCH(L$2,Inputs!$D$2:$AG$2,0)),Inputs!$B$4:$B$150,$B41)/1000)</f>
        <v>9316</v>
      </c>
      <c r="M41" s="12">
        <f>IF(L41="","",L41)</f>
        <v>9316</v>
      </c>
      <c r="N41" s="11">
        <f>IF(N$3=0,"",SUMIFS(INDEX(Inputs!$D$4:$AG$150,0,MATCH(N$2,Inputs!$D$2:$AG$2,0)),Inputs!$B$4:$B$150,$B41)/1000)</f>
        <v>9591</v>
      </c>
      <c r="O41" s="11">
        <f>IF(O$3=0,"",SUMIFS(INDEX(Inputs!$D$4:$AG$150,0,MATCH(O$2,Inputs!$D$2:$AG$2,0)),Inputs!$B$4:$B$150,$B41)/1000)</f>
        <v>9825</v>
      </c>
      <c r="P41" s="11">
        <f>IF(P$3=0,"",SUMIFS(INDEX(Inputs!$D$4:$AG$150,0,MATCH(P$2,Inputs!$D$2:$AG$2,0)),Inputs!$B$4:$B$150,$B41)/1000)</f>
        <v>10218</v>
      </c>
      <c r="Q41" s="11">
        <f>IF(Q$3=0,"",SUMIFS(INDEX(Inputs!$D$4:$AG$150,0,MATCH(Q$2,Inputs!$D$2:$AG$2,0)),Inputs!$B$4:$B$150,$B41)/1000)</f>
        <v>10617</v>
      </c>
      <c r="R41" s="12">
        <f>IF(Q41="","",Q41)</f>
        <v>10617</v>
      </c>
      <c r="S41" s="11">
        <f>IF(S$3=0,"",SUMIFS(INDEX(Inputs!$D$4:$AG$150,0,MATCH(S$2,Inputs!$D$2:$AG$2,0)),Inputs!$B$4:$B$150,$B41)/1000)</f>
        <v>11132</v>
      </c>
      <c r="T41" s="11">
        <f>IF(T$3=0,"",SUMIFS(INDEX(Inputs!$D$4:$AG$150,0,MATCH(T$2,Inputs!$D$2:$AG$2,0)),Inputs!$B$4:$B$150,$B41)/1000)</f>
        <v>11282</v>
      </c>
      <c r="U41" s="11">
        <f>IF(U$3=0,"",SUMIFS(INDEX(Inputs!$D$4:$AG$150,0,MATCH(U$2,Inputs!$D$2:$AG$2,0)),Inputs!$B$4:$B$150,$B41)/1000)</f>
        <v>11318</v>
      </c>
      <c r="V41" s="11">
        <f>IF(V$3=0,"",SUMIFS(INDEX(Inputs!$D$4:$AG$150,0,MATCH(V$2,Inputs!$D$2:$AG$2,0)),Inputs!$B$4:$B$150,$B41)/1000)</f>
        <v>11197</v>
      </c>
      <c r="W41" s="12">
        <f>IF(V41="","",V41)</f>
        <v>11197</v>
      </c>
      <c r="X41" s="11">
        <f>IF(X$3=0,"",SUMIFS(INDEX(Inputs!$D$4:$AG$150,0,MATCH(X$2,Inputs!$D$2:$AG$2,0)),Inputs!$B$4:$B$150,$B41)/1000)</f>
        <v>11526</v>
      </c>
      <c r="Y41" s="11">
        <f>IF(Y$3=0,"",SUMIFS(INDEX(Inputs!$D$4:$AG$150,0,MATCH(Y$2,Inputs!$D$2:$AG$2,0)),Inputs!$B$4:$B$150,$B41)/1000)</f>
        <v>11788</v>
      </c>
      <c r="Z41" s="11">
        <f>IF(Z$3=0,"",SUMIFS(INDEX(Inputs!$D$4:$AG$150,0,MATCH(Z$2,Inputs!$D$2:$AG$2,0)),Inputs!$B$4:$B$150,$B41)/1000)</f>
        <v>11712</v>
      </c>
      <c r="AA41" s="11">
        <f>IF(AA$3=0,"",SUMIFS(INDEX(Inputs!$D$4:$AG$150,0,MATCH(AA$2,Inputs!$D$2:$AG$2,0)),Inputs!$B$4:$B$150,$B41)/1000)</f>
        <v>11867</v>
      </c>
      <c r="AB41" s="12">
        <f>IF(AA41="","",AA41)</f>
        <v>11867</v>
      </c>
      <c r="AC41" s="11">
        <f>IF(AC$3=0,"",SUMIFS(INDEX(Inputs!$D$4:$AG$150,0,MATCH(AC$2,Inputs!$D$2:$AG$2,0)),Inputs!$B$4:$B$150,$B41)/1000)</f>
        <v>12006</v>
      </c>
      <c r="AD41" s="11">
        <f>IF(AD$3=0,"",SUMIFS(INDEX(Inputs!$D$4:$AG$150,0,MATCH(AD$2,Inputs!$D$2:$AG$2,0)),Inputs!$B$4:$B$150,$B41)/1000)</f>
        <v>12113</v>
      </c>
      <c r="AE41" s="11" t="str">
        <f>IF(AE$3=0,"",SUMIFS(INDEX(Inputs!$D$4:$AG$150,0,MATCH(AE$2,Inputs!$D$2:$AG$2,0)),Inputs!$B$4:$B$150,$B41)/1000)</f>
        <v/>
      </c>
      <c r="AF41" s="11" t="str">
        <f>IF(AF$3=0,"",SUMIFS(INDEX(Inputs!$D$4:$AG$150,0,MATCH(AF$2,Inputs!$D$2:$AG$2,0)),Inputs!$B$4:$B$150,$B41)/1000)</f>
        <v/>
      </c>
      <c r="AG41" s="12" t="str">
        <f>IF(AF41="","",AF41)</f>
        <v/>
      </c>
    </row>
    <row r="42">
      <c r="B42" s="9" t="n">
        <v>36</v>
      </c>
      <c r="C42" s="14" t="inlineStr">
        <is>
          <t>Convertible Preferred Stock</t>
        </is>
      </c>
      <c r="D42" s="11">
        <f>IF(D$3=0,"",SUMIFS(INDEX(Inputs!$D$4:$AG$150,0,MATCH(D$2,Inputs!$D$2:$AG$2,0)),Inputs!$B$4:$B$150,$B42)/1000)</f>
        <v>0</v>
      </c>
      <c r="E42" s="11">
        <f>IF(E$3=0,"",SUMIFS(INDEX(Inputs!$D$4:$AG$150,0,MATCH(E$2,Inputs!$D$2:$AG$2,0)),Inputs!$B$4:$B$150,$B42)/1000)</f>
        <v>0</v>
      </c>
      <c r="F42" s="11">
        <f>IF(F$3=0,"",SUMIFS(INDEX(Inputs!$D$4:$AG$150,0,MATCH(F$2,Inputs!$D$2:$AG$2,0)),Inputs!$B$4:$B$150,$B42)/1000)</f>
        <v>0</v>
      </c>
      <c r="G42" s="11">
        <f>IF(G$3=0,"",SUMIFS(INDEX(Inputs!$D$4:$AG$150,0,MATCH(G$2,Inputs!$D$2:$AG$2,0)),Inputs!$B$4:$B$150,$B42)/1000)</f>
        <v>0</v>
      </c>
      <c r="H42" s="12">
        <f>IF(G42="","",G42)</f>
        <v>0</v>
      </c>
      <c r="I42" s="11">
        <f>IF(I$3=0,"",SUMIFS(INDEX(Inputs!$D$4:$AG$150,0,MATCH(I$2,Inputs!$D$2:$AG$2,0)),Inputs!$B$4:$B$150,$B42)/1000)</f>
        <v>0</v>
      </c>
      <c r="J42" s="11">
        <f>IF(J$3=0,"",SUMIFS(INDEX(Inputs!$D$4:$AG$150,0,MATCH(J$2,Inputs!$D$2:$AG$2,0)),Inputs!$B$4:$B$150,$B42)/1000)</f>
        <v>0</v>
      </c>
      <c r="K42" s="11">
        <f>IF(K$3=0,"",SUMIFS(INDEX(Inputs!$D$4:$AG$150,0,MATCH(K$2,Inputs!$D$2:$AG$2,0)),Inputs!$B$4:$B$150,$B42)/1000)</f>
        <v>0</v>
      </c>
      <c r="L42" s="11">
        <f>IF(L$3=0,"",SUMIFS(INDEX(Inputs!$D$4:$AG$150,0,MATCH(L$2,Inputs!$D$2:$AG$2,0)),Inputs!$B$4:$B$150,$B42)/1000)</f>
        <v>0</v>
      </c>
      <c r="M42" s="12">
        <f>IF(L42="","",L42)</f>
        <v>0</v>
      </c>
      <c r="N42" s="11">
        <f>IF(N$3=0,"",SUMIFS(INDEX(Inputs!$D$4:$AG$150,0,MATCH(N$2,Inputs!$D$2:$AG$2,0)),Inputs!$B$4:$B$150,$B42)/1000)</f>
        <v>0</v>
      </c>
      <c r="O42" s="11">
        <f>IF(O$3=0,"",SUMIFS(INDEX(Inputs!$D$4:$AG$150,0,MATCH(O$2,Inputs!$D$2:$AG$2,0)),Inputs!$B$4:$B$150,$B42)/1000)</f>
        <v>0</v>
      </c>
      <c r="P42" s="11">
        <f>IF(P$3=0,"",SUMIFS(INDEX(Inputs!$D$4:$AG$150,0,MATCH(P$2,Inputs!$D$2:$AG$2,0)),Inputs!$B$4:$B$150,$B42)/1000)</f>
        <v>0</v>
      </c>
      <c r="Q42" s="11">
        <f>IF(Q$3=0,"",SUMIFS(INDEX(Inputs!$D$4:$AG$150,0,MATCH(Q$2,Inputs!$D$2:$AG$2,0)),Inputs!$B$4:$B$150,$B42)/1000)</f>
        <v>0</v>
      </c>
      <c r="R42" s="12">
        <f>IF(Q42="","",Q42)</f>
        <v>0</v>
      </c>
      <c r="S42" s="11">
        <f>IF(S$3=0,"",SUMIFS(INDEX(Inputs!$D$4:$AG$150,0,MATCH(S$2,Inputs!$D$2:$AG$2,0)),Inputs!$B$4:$B$150,$B42)/1000)</f>
        <v>0</v>
      </c>
      <c r="T42" s="11">
        <f>IF(T$3=0,"",SUMIFS(INDEX(Inputs!$D$4:$AG$150,0,MATCH(T$2,Inputs!$D$2:$AG$2,0)),Inputs!$B$4:$B$150,$B42)/1000)</f>
        <v>0</v>
      </c>
      <c r="U42" s="11">
        <f>IF(U$3=0,"",SUMIFS(INDEX(Inputs!$D$4:$AG$150,0,MATCH(U$2,Inputs!$D$2:$AG$2,0)),Inputs!$B$4:$B$150,$B42)/1000)</f>
        <v>0</v>
      </c>
      <c r="V42" s="11">
        <f>IF(V$3=0,"",SUMIFS(INDEX(Inputs!$D$4:$AG$150,0,MATCH(V$2,Inputs!$D$2:$AG$2,0)),Inputs!$B$4:$B$150,$B42)/1000)</f>
        <v>0</v>
      </c>
      <c r="W42" s="12">
        <f>IF(V42="","",V42)</f>
        <v>0</v>
      </c>
      <c r="X42" s="11">
        <f>IF(X$3=0,"",SUMIFS(INDEX(Inputs!$D$4:$AG$150,0,MATCH(X$2,Inputs!$D$2:$AG$2,0)),Inputs!$B$4:$B$150,$B42)/1000)</f>
        <v>0</v>
      </c>
      <c r="Y42" s="11">
        <f>IF(Y$3=0,"",SUMIFS(INDEX(Inputs!$D$4:$AG$150,0,MATCH(Y$2,Inputs!$D$2:$AG$2,0)),Inputs!$B$4:$B$150,$B42)/1000)</f>
        <v>0</v>
      </c>
      <c r="Z42" s="11">
        <f>IF(Z$3=0,"",SUMIFS(INDEX(Inputs!$D$4:$AG$150,0,MATCH(Z$2,Inputs!$D$2:$AG$2,0)),Inputs!$B$4:$B$150,$B42)/1000)</f>
        <v>0</v>
      </c>
      <c r="AA42" s="11">
        <f>IF(AA$3=0,"",SUMIFS(INDEX(Inputs!$D$4:$AG$150,0,MATCH(AA$2,Inputs!$D$2:$AG$2,0)),Inputs!$B$4:$B$150,$B42)/1000)</f>
        <v>0</v>
      </c>
      <c r="AB42" s="12">
        <f>IF(AA42="","",AA42)</f>
        <v>0</v>
      </c>
      <c r="AC42" s="11">
        <f>IF(AC$3=0,"",SUMIFS(INDEX(Inputs!$D$4:$AG$150,0,MATCH(AC$2,Inputs!$D$2:$AG$2,0)),Inputs!$B$4:$B$150,$B42)/1000)</f>
        <v>0</v>
      </c>
      <c r="AD42" s="11">
        <f>IF(AD$3=0,"",SUMIFS(INDEX(Inputs!$D$4:$AG$150,0,MATCH(AD$2,Inputs!$D$2:$AG$2,0)),Inputs!$B$4:$B$150,$B42)/1000)</f>
        <v>0</v>
      </c>
      <c r="AE42" s="11" t="str">
        <f>IF(AE$3=0,"",SUMIFS(INDEX(Inputs!$D$4:$AG$150,0,MATCH(AE$2,Inputs!$D$2:$AG$2,0)),Inputs!$B$4:$B$150,$B42)/1000)</f>
        <v/>
      </c>
      <c r="AF42" s="11" t="str">
        <f>IF(AF$3=0,"",SUMIFS(INDEX(Inputs!$D$4:$AG$150,0,MATCH(AF$2,Inputs!$D$2:$AG$2,0)),Inputs!$B$4:$B$150,$B42)/1000)</f>
        <v/>
      </c>
      <c r="AG42" s="12" t="str">
        <f>IF(AF42="","",AF42)</f>
        <v/>
      </c>
    </row>
    <row r="43">
      <c r="B43" s="9" t="n">
        <v>37</v>
      </c>
      <c r="C43" s="13" t="inlineStr">
        <is>
          <t>Common Stock and APIC</t>
        </is>
      </c>
      <c r="D43" s="11">
        <f>IF(D$3=0,"",SUMIFS(INDEX(Inputs!$D$4:$AG$150,0,MATCH(D$2,Inputs!$D$2:$AG$2,0)),Inputs!$B$4:$B$150,$B43)/1000)</f>
        <v>26240</v>
      </c>
      <c r="E43" s="11">
        <f>IF(E$3=0,"",SUMIFS(INDEX(Inputs!$D$4:$AG$150,0,MATCH(E$2,Inputs!$D$2:$AG$2,0)),Inputs!$B$4:$B$150,$B43)/1000)</f>
        <v>26244</v>
      </c>
      <c r="F43" s="11">
        <f>IF(F$3=0,"",SUMIFS(INDEX(Inputs!$D$4:$AG$150,0,MATCH(F$2,Inputs!$D$2:$AG$2,0)),Inputs!$B$4:$B$150,$B43)/1000)</f>
        <v>26183</v>
      </c>
      <c r="G43" s="11">
        <f>IF(G$3=0,"",SUMIFS(INDEX(Inputs!$D$4:$AG$150,0,MATCH(G$2,Inputs!$D$2:$AG$2,0)),Inputs!$B$4:$B$150,$B43)/1000)</f>
        <v>26035</v>
      </c>
      <c r="H43" s="12">
        <f>IF(G43="","",G43)</f>
        <v>26035</v>
      </c>
      <c r="I43" s="11">
        <f>IF(I$3=0,"",SUMIFS(INDEX(Inputs!$D$4:$AG$150,0,MATCH(I$2,Inputs!$D$2:$AG$2,0)),Inputs!$B$4:$B$150,$B43)/1000)</f>
        <v>25996</v>
      </c>
      <c r="J43" s="11">
        <f>IF(J$3=0,"",SUMIFS(INDEX(Inputs!$D$4:$AG$150,0,MATCH(J$2,Inputs!$D$2:$AG$2,0)),Inputs!$B$4:$B$150,$B43)/1000)</f>
        <v>25822</v>
      </c>
      <c r="K43" s="11">
        <f>IF(K$3=0,"",SUMIFS(INDEX(Inputs!$D$4:$AG$150,0,MATCH(K$2,Inputs!$D$2:$AG$2,0)),Inputs!$B$4:$B$150,$B43)/1000)</f>
        <v>25644</v>
      </c>
      <c r="L43" s="11">
        <f>IF(L$3=0,"",SUMIFS(INDEX(Inputs!$D$4:$AG$150,0,MATCH(L$2,Inputs!$D$2:$AG$2,0)),Inputs!$B$4:$B$150,$B43)/1000)</f>
        <v>25483</v>
      </c>
      <c r="M43" s="12">
        <f>IF(L43="","",L43)</f>
        <v>25483</v>
      </c>
      <c r="N43" s="11">
        <f>IF(N$3=0,"",SUMIFS(INDEX(Inputs!$D$4:$AG$150,0,MATCH(N$2,Inputs!$D$2:$AG$2,0)),Inputs!$B$4:$B$150,$B43)/1000)</f>
        <v>25389</v>
      </c>
      <c r="O43" s="11">
        <f>IF(O$3=0,"",SUMIFS(INDEX(Inputs!$D$4:$AG$150,0,MATCH(O$2,Inputs!$D$2:$AG$2,0)),Inputs!$B$4:$B$150,$B43)/1000)</f>
        <v>25190</v>
      </c>
      <c r="P43" s="11">
        <f>IF(P$3=0,"",SUMIFS(INDEX(Inputs!$D$4:$AG$150,0,MATCH(P$2,Inputs!$D$2:$AG$2,0)),Inputs!$B$4:$B$150,$B43)/1000)</f>
        <v>24995</v>
      </c>
      <c r="Q43" s="11">
        <f>IF(Q$3=0,"",SUMIFS(INDEX(Inputs!$D$4:$AG$150,0,MATCH(Q$2,Inputs!$D$2:$AG$2,0)),Inputs!$B$4:$B$150,$B43)/1000)</f>
        <v>24799</v>
      </c>
      <c r="R43" s="12">
        <f>IF(Q43="","",Q43)</f>
        <v>24799</v>
      </c>
      <c r="S43" s="11">
        <f>IF(S$3=0,"",SUMIFS(INDEX(Inputs!$D$4:$AG$150,0,MATCH(S$2,Inputs!$D$2:$AG$2,0)),Inputs!$B$4:$B$150,$B43)/1000)</f>
        <v>24650</v>
      </c>
      <c r="T43" s="11">
        <f>IF(T$3=0,"",SUMIFS(INDEX(Inputs!$D$4:$AG$150,0,MATCH(T$2,Inputs!$D$2:$AG$2,0)),Inputs!$B$4:$B$150,$B43)/1000)</f>
        <v>24483</v>
      </c>
      <c r="U43" s="11">
        <f>IF(U$3=0,"",SUMIFS(INDEX(Inputs!$D$4:$AG$150,0,MATCH(U$2,Inputs!$D$2:$AG$2,0)),Inputs!$B$4:$B$150,$B43)/1000)</f>
        <v>24159</v>
      </c>
      <c r="V43" s="11">
        <f>IF(V$3=0,"",SUMIFS(INDEX(Inputs!$D$4:$AG$150,0,MATCH(V$2,Inputs!$D$2:$AG$2,0)),Inputs!$B$4:$B$150,$B43)/1000)</f>
        <v>23959</v>
      </c>
      <c r="W43" s="12">
        <f>IF(V43="","",V43)</f>
        <v>23959</v>
      </c>
      <c r="X43" s="11">
        <f>IF(X$3=0,"",SUMIFS(INDEX(Inputs!$D$4:$AG$150,0,MATCH(X$2,Inputs!$D$2:$AG$2,0)),Inputs!$B$4:$B$150,$B43)/1000)</f>
        <v>23790</v>
      </c>
      <c r="Y43" s="11">
        <f>IF(Y$3=0,"",SUMIFS(INDEX(Inputs!$D$4:$AG$150,0,MATCH(Y$2,Inputs!$D$2:$AG$2,0)),Inputs!$B$4:$B$150,$B43)/1000)</f>
        <v>23805</v>
      </c>
      <c r="Z43" s="11">
        <f>IF(Z$3=0,"",SUMIFS(INDEX(Inputs!$D$4:$AG$150,0,MATCH(Z$2,Inputs!$D$2:$AG$2,0)),Inputs!$B$4:$B$150,$B43)/1000)</f>
        <v>23823</v>
      </c>
      <c r="AA43" s="11">
        <f>IF(AA$3=0,"",SUMIFS(INDEX(Inputs!$D$4:$AG$150,0,MATCH(AA$2,Inputs!$D$2:$AG$2,0)),Inputs!$B$4:$B$150,$B43)/1000)</f>
        <v>23843</v>
      </c>
      <c r="AB43" s="12">
        <f>IF(AA43="","",AA43)</f>
        <v>23843</v>
      </c>
      <c r="AC43" s="11">
        <f>IF(AC$3=0,"",SUMIFS(INDEX(Inputs!$D$4:$AG$150,0,MATCH(AC$2,Inputs!$D$2:$AG$2,0)),Inputs!$B$4:$B$150,$B43)/1000)</f>
        <v>23876</v>
      </c>
      <c r="AD43" s="11">
        <f>IF(AD$3=0,"",SUMIFS(INDEX(Inputs!$D$4:$AG$150,0,MATCH(AD$2,Inputs!$D$2:$AG$2,0)),Inputs!$B$4:$B$150,$B43)/1000)</f>
        <v>23822</v>
      </c>
      <c r="AE43" s="11" t="str">
        <f>IF(AE$3=0,"",SUMIFS(INDEX(Inputs!$D$4:$AG$150,0,MATCH(AE$2,Inputs!$D$2:$AG$2,0)),Inputs!$B$4:$B$150,$B43)/1000)</f>
        <v/>
      </c>
      <c r="AF43" s="11" t="str">
        <f>IF(AF$3=0,"",SUMIFS(INDEX(Inputs!$D$4:$AG$150,0,MATCH(AF$2,Inputs!$D$2:$AG$2,0)),Inputs!$B$4:$B$150,$B43)/1000)</f>
        <v/>
      </c>
      <c r="AG43" s="12" t="str">
        <f>IF(AF43="","",AF43)</f>
        <v/>
      </c>
    </row>
    <row r="44">
      <c r="B44" s="9" t="n">
        <v>38</v>
      </c>
      <c r="C44" s="14" t="inlineStr">
        <is>
          <t>Treasury stock (contra account)</t>
        </is>
      </c>
      <c r="D44" s="11">
        <f>IF(D$3=0,"",SUMIFS(INDEX(Inputs!$D$4:$AG$150,0,MATCH(D$2,Inputs!$D$2:$AG$2,0)),Inputs!$B$4:$B$150,$B44)/1000)</f>
        <v>-3777</v>
      </c>
      <c r="E44" s="11">
        <f>IF(E$3=0,"",SUMIFS(INDEX(Inputs!$D$4:$AG$150,0,MATCH(E$2,Inputs!$D$2:$AG$2,0)),Inputs!$B$4:$B$150,$B44)/1000)</f>
        <v>-3777</v>
      </c>
      <c r="F44" s="11">
        <f>IF(F$3=0,"",SUMIFS(INDEX(Inputs!$D$4:$AG$150,0,MATCH(F$2,Inputs!$D$2:$AG$2,0)),Inputs!$B$4:$B$150,$B44)/1000)</f>
        <v>-3777</v>
      </c>
      <c r="G44" s="11">
        <f>IF(G$3=0,"",SUMIFS(INDEX(Inputs!$D$4:$AG$150,0,MATCH(G$2,Inputs!$D$2:$AG$2,0)),Inputs!$B$4:$B$150,$B44)/1000)</f>
        <v>-4292</v>
      </c>
      <c r="H44" s="12">
        <f>IF(G44="","",G44)</f>
        <v>-4292</v>
      </c>
      <c r="I44" s="11">
        <f>IF(I$3=0,"",SUMIFS(INDEX(Inputs!$D$4:$AG$150,0,MATCH(I$2,Inputs!$D$2:$AG$2,0)),Inputs!$B$4:$B$150,$B44)/1000)</f>
        <v>-4895</v>
      </c>
      <c r="J44" s="11">
        <f>IF(J$3=0,"",SUMIFS(INDEX(Inputs!$D$4:$AG$150,0,MATCH(J$2,Inputs!$D$2:$AG$2,0)),Inputs!$B$4:$B$150,$B44)/1000)</f>
        <v>-5539</v>
      </c>
      <c r="K44" s="11">
        <f>IF(K$3=0,"",SUMIFS(INDEX(Inputs!$D$4:$AG$150,0,MATCH(K$2,Inputs!$D$2:$AG$2,0)),Inputs!$B$4:$B$150,$B44)/1000)</f>
        <v>-5701</v>
      </c>
      <c r="L44" s="11">
        <f>IF(L$3=0,"",SUMIFS(INDEX(Inputs!$D$4:$AG$150,0,MATCH(L$2,Inputs!$D$2:$AG$2,0)),Inputs!$B$4:$B$150,$B44)/1000)</f>
        <v>-5701</v>
      </c>
      <c r="M44" s="12">
        <f>IF(L44="","",L44)</f>
        <v>-5701</v>
      </c>
      <c r="N44" s="11">
        <f>IF(N$3=0,"",SUMIFS(INDEX(Inputs!$D$4:$AG$150,0,MATCH(N$2,Inputs!$D$2:$AG$2,0)),Inputs!$B$4:$B$150,$B44)/1000)</f>
        <v>-5769</v>
      </c>
      <c r="O44" s="11">
        <f>IF(O$3=0,"",SUMIFS(INDEX(Inputs!$D$4:$AG$150,0,MATCH(O$2,Inputs!$D$2:$AG$2,0)),Inputs!$B$4:$B$150,$B44)/1000)</f>
        <v>-5769</v>
      </c>
      <c r="P44" s="11">
        <f>IF(P$3=0,"",SUMIFS(INDEX(Inputs!$D$4:$AG$150,0,MATCH(P$2,Inputs!$D$2:$AG$2,0)),Inputs!$B$4:$B$150,$B44)/1000)</f>
        <v>-5772</v>
      </c>
      <c r="Q44" s="11">
        <f>IF(Q$3=0,"",SUMIFS(INDEX(Inputs!$D$4:$AG$150,0,MATCH(Q$2,Inputs!$D$2:$AG$2,0)),Inputs!$B$4:$B$150,$B44)/1000)</f>
        <v>-5773</v>
      </c>
      <c r="R44" s="12">
        <f>IF(Q44="","",Q44)</f>
        <v>-5773</v>
      </c>
      <c r="S44" s="11">
        <f>IF(S$3=0,"",SUMIFS(INDEX(Inputs!$D$4:$AG$150,0,MATCH(S$2,Inputs!$D$2:$AG$2,0)),Inputs!$B$4:$B$150,$B44)/1000)</f>
        <v>-5817</v>
      </c>
      <c r="T44" s="11">
        <f>IF(T$3=0,"",SUMIFS(INDEX(Inputs!$D$4:$AG$150,0,MATCH(T$2,Inputs!$D$2:$AG$2,0)),Inputs!$B$4:$B$150,$B44)/1000)</f>
        <v>-5835</v>
      </c>
      <c r="U44" s="11">
        <f>IF(U$3=0,"",SUMIFS(INDEX(Inputs!$D$4:$AG$150,0,MATCH(U$2,Inputs!$D$2:$AG$2,0)),Inputs!$B$4:$B$150,$B44)/1000)</f>
        <v>-5894</v>
      </c>
      <c r="V44" s="11">
        <f>IF(V$3=0,"",SUMIFS(INDEX(Inputs!$D$4:$AG$150,0,MATCH(V$2,Inputs!$D$2:$AG$2,0)),Inputs!$B$4:$B$150,$B44)/1000)</f>
        <v>-5894</v>
      </c>
      <c r="W44" s="12">
        <f>IF(V44="","",V44)</f>
        <v>-5894</v>
      </c>
      <c r="X44" s="11">
        <f>IF(X$3=0,"",SUMIFS(INDEX(Inputs!$D$4:$AG$150,0,MATCH(X$2,Inputs!$D$2:$AG$2,0)),Inputs!$B$4:$B$150,$B44)/1000)</f>
        <v>-5971</v>
      </c>
      <c r="Y44" s="11">
        <f>IF(Y$3=0,"",SUMIFS(INDEX(Inputs!$D$4:$AG$150,0,MATCH(Y$2,Inputs!$D$2:$AG$2,0)),Inputs!$B$4:$B$150,$B44)/1000)</f>
        <v>-6024</v>
      </c>
      <c r="Z44" s="11">
        <f>IF(Z$3=0,"",SUMIFS(INDEX(Inputs!$D$4:$AG$150,0,MATCH(Z$2,Inputs!$D$2:$AG$2,0)),Inputs!$B$4:$B$150,$B44)/1000)</f>
        <v>-6024</v>
      </c>
      <c r="AA44" s="11">
        <f>IF(AA$3=0,"",SUMIFS(INDEX(Inputs!$D$4:$AG$150,0,MATCH(AA$2,Inputs!$D$2:$AG$2,0)),Inputs!$B$4:$B$150,$B44)/1000)</f>
        <v>-6024</v>
      </c>
      <c r="AB44" s="12">
        <f>IF(AA44="","",AA44)</f>
        <v>-6024</v>
      </c>
      <c r="AC44" s="11">
        <f>IF(AC$3=0,"",SUMIFS(INDEX(Inputs!$D$4:$AG$150,0,MATCH(AC$2,Inputs!$D$2:$AG$2,0)),Inputs!$B$4:$B$150,$B44)/1000)</f>
        <v>-6117</v>
      </c>
      <c r="AD44" s="11">
        <f>IF(AD$3=0,"",SUMIFS(INDEX(Inputs!$D$4:$AG$150,0,MATCH(AD$2,Inputs!$D$2:$AG$2,0)),Inputs!$B$4:$B$150,$B44)/1000)</f>
        <v>-6227</v>
      </c>
      <c r="AE44" s="11" t="str">
        <f>IF(AE$3=0,"",SUMIFS(INDEX(Inputs!$D$4:$AG$150,0,MATCH(AE$2,Inputs!$D$2:$AG$2,0)),Inputs!$B$4:$B$150,$B44)/1000)</f>
        <v/>
      </c>
      <c r="AF44" s="11" t="str">
        <f>IF(AF$3=0,"",SUMIFS(INDEX(Inputs!$D$4:$AG$150,0,MATCH(AF$2,Inputs!$D$2:$AG$2,0)),Inputs!$B$4:$B$150,$B44)/1000)</f>
        <v/>
      </c>
      <c r="AG44" s="12" t="str">
        <f>IF(AF44="","",AF44)</f>
        <v/>
      </c>
    </row>
    <row r="45">
      <c r="B45" s="9" t="n">
        <v>39</v>
      </c>
      <c r="C45" s="14" t="inlineStr">
        <is>
          <t>Comprehensive (accumulated) loss</t>
        </is>
      </c>
      <c r="D45" s="11">
        <f>IF(D$3=0,"",SUMIFS(INDEX(Inputs!$D$4:$AG$150,0,MATCH(D$2,Inputs!$D$2:$AG$2,0)),Inputs!$B$4:$B$150,$B45)/1000)</f>
        <v>-580</v>
      </c>
      <c r="E45" s="11">
        <f>IF(E$3=0,"",SUMIFS(INDEX(Inputs!$D$4:$AG$150,0,MATCH(E$2,Inputs!$D$2:$AG$2,0)),Inputs!$B$4:$B$150,$B45)/1000)</f>
        <v>-576</v>
      </c>
      <c r="F45" s="11">
        <f>IF(F$3=0,"",SUMIFS(INDEX(Inputs!$D$4:$AG$150,0,MATCH(F$2,Inputs!$D$2:$AG$2,0)),Inputs!$B$4:$B$150,$B45)/1000)</f>
        <v>-572</v>
      </c>
      <c r="G45" s="11">
        <f>IF(G$3=0,"",SUMIFS(INDEX(Inputs!$D$4:$AG$150,0,MATCH(G$2,Inputs!$D$2:$AG$2,0)),Inputs!$B$4:$B$150,$B45)/1000)</f>
        <v>-388</v>
      </c>
      <c r="H45" s="12">
        <f>IF(G45="","",G45)</f>
        <v>-388</v>
      </c>
      <c r="I45" s="11">
        <f>IF(I$3=0,"",SUMIFS(INDEX(Inputs!$D$4:$AG$150,0,MATCH(I$2,Inputs!$D$2:$AG$2,0)),Inputs!$B$4:$B$150,$B45)/1000)</f>
        <v>-387</v>
      </c>
      <c r="J45" s="11">
        <f>IF(J$3=0,"",SUMIFS(INDEX(Inputs!$D$4:$AG$150,0,MATCH(J$2,Inputs!$D$2:$AG$2,0)),Inputs!$B$4:$B$150,$B45)/1000)</f>
        <v>-386</v>
      </c>
      <c r="K45" s="11">
        <f>IF(K$3=0,"",SUMIFS(INDEX(Inputs!$D$4:$AG$150,0,MATCH(K$2,Inputs!$D$2:$AG$2,0)),Inputs!$B$4:$B$150,$B45)/1000)</f>
        <v>-385</v>
      </c>
      <c r="L45" s="11">
        <f>IF(L$3=0,"",SUMIFS(INDEX(Inputs!$D$4:$AG$150,0,MATCH(L$2,Inputs!$D$2:$AG$2,0)),Inputs!$B$4:$B$150,$B45)/1000)</f>
        <v>-320</v>
      </c>
      <c r="M45" s="12">
        <f>IF(L45="","",L45)</f>
        <v>-320</v>
      </c>
      <c r="N45" s="11">
        <f>IF(N$3=0,"",SUMIFS(INDEX(Inputs!$D$4:$AG$150,0,MATCH(N$2,Inputs!$D$2:$AG$2,0)),Inputs!$B$4:$B$150,$B45)/1000)</f>
        <v>-319</v>
      </c>
      <c r="O45" s="11">
        <f>IF(O$3=0,"",SUMIFS(INDEX(Inputs!$D$4:$AG$150,0,MATCH(O$2,Inputs!$D$2:$AG$2,0)),Inputs!$B$4:$B$150,$B45)/1000)</f>
        <v>-318</v>
      </c>
      <c r="P45" s="11">
        <f>IF(P$3=0,"",SUMIFS(INDEX(Inputs!$D$4:$AG$150,0,MATCH(P$2,Inputs!$D$2:$AG$2,0)),Inputs!$B$4:$B$150,$B45)/1000)</f>
        <v>-317</v>
      </c>
      <c r="Q45" s="11">
        <f>IF(Q$3=0,"",SUMIFS(INDEX(Inputs!$D$4:$AG$150,0,MATCH(Q$2,Inputs!$D$2:$AG$2,0)),Inputs!$B$4:$B$150,$B45)/1000)</f>
        <v>-274</v>
      </c>
      <c r="R45" s="12">
        <f>IF(Q45="","",Q45)</f>
        <v>-274</v>
      </c>
      <c r="S45" s="11">
        <f>IF(S$3=0,"",SUMIFS(INDEX(Inputs!$D$4:$AG$150,0,MATCH(S$2,Inputs!$D$2:$AG$2,0)),Inputs!$B$4:$B$150,$B45)/1000)</f>
        <v>-274</v>
      </c>
      <c r="T45" s="11">
        <f>IF(T$3=0,"",SUMIFS(INDEX(Inputs!$D$4:$AG$150,0,MATCH(T$2,Inputs!$D$2:$AG$2,0)),Inputs!$B$4:$B$150,$B45)/1000)</f>
        <v>-274</v>
      </c>
      <c r="U45" s="11">
        <f>IF(U$3=0,"",SUMIFS(INDEX(Inputs!$D$4:$AG$150,0,MATCH(U$2,Inputs!$D$2:$AG$2,0)),Inputs!$B$4:$B$150,$B45)/1000)</f>
        <v>-273</v>
      </c>
      <c r="V45" s="11">
        <f>IF(V$3=0,"",SUMIFS(INDEX(Inputs!$D$4:$AG$150,0,MATCH(V$2,Inputs!$D$2:$AG$2,0)),Inputs!$B$4:$B$150,$B45)/1000)</f>
        <v>-314</v>
      </c>
      <c r="W45" s="12">
        <f>IF(V45="","",V45)</f>
        <v>-314</v>
      </c>
      <c r="X45" s="11">
        <f>IF(X$3=0,"",SUMIFS(INDEX(Inputs!$D$4:$AG$150,0,MATCH(X$2,Inputs!$D$2:$AG$2,0)),Inputs!$B$4:$B$150,$B45)/1000)</f>
        <v>-313</v>
      </c>
      <c r="Y45" s="11">
        <f>IF(Y$3=0,"",SUMIFS(INDEX(Inputs!$D$4:$AG$150,0,MATCH(Y$2,Inputs!$D$2:$AG$2,0)),Inputs!$B$4:$B$150,$B45)/1000)</f>
        <v>-311</v>
      </c>
      <c r="Z45" s="11">
        <f>IF(Z$3=0,"",SUMIFS(INDEX(Inputs!$D$4:$AG$150,0,MATCH(Z$2,Inputs!$D$2:$AG$2,0)),Inputs!$B$4:$B$150,$B45)/1000)</f>
        <v>-310</v>
      </c>
      <c r="AA45" s="11">
        <f>IF(AA$3=0,"",SUMIFS(INDEX(Inputs!$D$4:$AG$150,0,MATCH(AA$2,Inputs!$D$2:$AG$2,0)),Inputs!$B$4:$B$150,$B45)/1000)</f>
        <v>-305</v>
      </c>
      <c r="AB45" s="12">
        <f>IF(AA45="","",AA45)</f>
        <v>-305</v>
      </c>
      <c r="AC45" s="11">
        <f>IF(AC$3=0,"",SUMIFS(INDEX(Inputs!$D$4:$AG$150,0,MATCH(AC$2,Inputs!$D$2:$AG$2,0)),Inputs!$B$4:$B$150,$B45)/1000)</f>
        <v>-304</v>
      </c>
      <c r="AD45" s="11">
        <f>IF(AD$3=0,"",SUMIFS(INDEX(Inputs!$D$4:$AG$150,0,MATCH(AD$2,Inputs!$D$2:$AG$2,0)),Inputs!$B$4:$B$150,$B45)/1000)</f>
        <v>-303</v>
      </c>
      <c r="AE45" s="11" t="str">
        <f>IF(AE$3=0,"",SUMIFS(INDEX(Inputs!$D$4:$AG$150,0,MATCH(AE$2,Inputs!$D$2:$AG$2,0)),Inputs!$B$4:$B$150,$B45)/1000)</f>
        <v/>
      </c>
      <c r="AF45" s="11" t="str">
        <f>IF(AF$3=0,"",SUMIFS(INDEX(Inputs!$D$4:$AG$150,0,MATCH(AF$2,Inputs!$D$2:$AG$2,0)),Inputs!$B$4:$B$150,$B45)/1000)</f>
        <v/>
      </c>
      <c r="AG45" s="12" t="str">
        <f>IF(AF45="","",AF45)</f>
        <v/>
      </c>
    </row>
    <row r="46">
      <c r="B46" s="9" t="n">
        <v>40</v>
      </c>
      <c r="C46" s="14" t="inlineStr">
        <is>
          <t>Other equity account</t>
        </is>
      </c>
      <c r="D46" s="11">
        <f>IF(D$3=0,"",SUMIFS(INDEX(Inputs!$D$4:$AG$150,0,MATCH(D$2,Inputs!$D$2:$AG$2,0)),Inputs!$B$4:$B$150,$B46)/1000)</f>
        <v>0</v>
      </c>
      <c r="E46" s="11">
        <f>IF(E$3=0,"",SUMIFS(INDEX(Inputs!$D$4:$AG$150,0,MATCH(E$2,Inputs!$D$2:$AG$2,0)),Inputs!$B$4:$B$150,$B46)/1000)</f>
        <v>0</v>
      </c>
      <c r="F46" s="11">
        <f>IF(F$3=0,"",SUMIFS(INDEX(Inputs!$D$4:$AG$150,0,MATCH(F$2,Inputs!$D$2:$AG$2,0)),Inputs!$B$4:$B$150,$B46)/1000)</f>
        <v>0</v>
      </c>
      <c r="G46" s="11">
        <f>IF(G$3=0,"",SUMIFS(INDEX(Inputs!$D$4:$AG$150,0,MATCH(G$2,Inputs!$D$2:$AG$2,0)),Inputs!$B$4:$B$150,$B46)/1000)</f>
        <v>0</v>
      </c>
      <c r="H46" s="12">
        <f>IF(G46="","",G46)</f>
        <v>0</v>
      </c>
      <c r="I46" s="11">
        <f>IF(I$3=0,"",SUMIFS(INDEX(Inputs!$D$4:$AG$150,0,MATCH(I$2,Inputs!$D$2:$AG$2,0)),Inputs!$B$4:$B$150,$B46)/1000)</f>
        <v>0</v>
      </c>
      <c r="J46" s="11">
        <f>IF(J$3=0,"",SUMIFS(INDEX(Inputs!$D$4:$AG$150,0,MATCH(J$2,Inputs!$D$2:$AG$2,0)),Inputs!$B$4:$B$150,$B46)/1000)</f>
        <v>0</v>
      </c>
      <c r="K46" s="11">
        <f>IF(K$3=0,"",SUMIFS(INDEX(Inputs!$D$4:$AG$150,0,MATCH(K$2,Inputs!$D$2:$AG$2,0)),Inputs!$B$4:$B$150,$B46)/1000)</f>
        <v>0</v>
      </c>
      <c r="L46" s="11">
        <f>IF(L$3=0,"",SUMIFS(INDEX(Inputs!$D$4:$AG$150,0,MATCH(L$2,Inputs!$D$2:$AG$2,0)),Inputs!$B$4:$B$150,$B46)/1000)</f>
        <v>0</v>
      </c>
      <c r="M46" s="12">
        <f>IF(L46="","",L46)</f>
        <v>0</v>
      </c>
      <c r="N46" s="11">
        <f>IF(N$3=0,"",SUMIFS(INDEX(Inputs!$D$4:$AG$150,0,MATCH(N$2,Inputs!$D$2:$AG$2,0)),Inputs!$B$4:$B$150,$B46)/1000)</f>
        <v>0</v>
      </c>
      <c r="O46" s="11">
        <f>IF(O$3=0,"",SUMIFS(INDEX(Inputs!$D$4:$AG$150,0,MATCH(O$2,Inputs!$D$2:$AG$2,0)),Inputs!$B$4:$B$150,$B46)/1000)</f>
        <v>0</v>
      </c>
      <c r="P46" s="11">
        <f>IF(P$3=0,"",SUMIFS(INDEX(Inputs!$D$4:$AG$150,0,MATCH(P$2,Inputs!$D$2:$AG$2,0)),Inputs!$B$4:$B$150,$B46)/1000)</f>
        <v>0</v>
      </c>
      <c r="Q46" s="11">
        <f>IF(Q$3=0,"",SUMIFS(INDEX(Inputs!$D$4:$AG$150,0,MATCH(Q$2,Inputs!$D$2:$AG$2,0)),Inputs!$B$4:$B$150,$B46)/1000)</f>
        <v>0</v>
      </c>
      <c r="R46" s="12">
        <f>IF(Q46="","",Q46)</f>
        <v>0</v>
      </c>
      <c r="S46" s="11">
        <f>IF(S$3=0,"",SUMIFS(INDEX(Inputs!$D$4:$AG$150,0,MATCH(S$2,Inputs!$D$2:$AG$2,0)),Inputs!$B$4:$B$150,$B46)/1000)</f>
        <v>0</v>
      </c>
      <c r="T46" s="11">
        <f>IF(T$3=0,"",SUMIFS(INDEX(Inputs!$D$4:$AG$150,0,MATCH(T$2,Inputs!$D$2:$AG$2,0)),Inputs!$B$4:$B$150,$B46)/1000)</f>
        <v>0</v>
      </c>
      <c r="U46" s="11">
        <f>IF(U$3=0,"",SUMIFS(INDEX(Inputs!$D$4:$AG$150,0,MATCH(U$2,Inputs!$D$2:$AG$2,0)),Inputs!$B$4:$B$150,$B46)/1000)</f>
        <v>0</v>
      </c>
      <c r="V46" s="11">
        <f>IF(V$3=0,"",SUMIFS(INDEX(Inputs!$D$4:$AG$150,0,MATCH(V$2,Inputs!$D$2:$AG$2,0)),Inputs!$B$4:$B$150,$B46)/1000)</f>
        <v>0</v>
      </c>
      <c r="W46" s="12">
        <f>IF(V46="","",V46)</f>
        <v>0</v>
      </c>
      <c r="X46" s="11">
        <f>IF(X$3=0,"",SUMIFS(INDEX(Inputs!$D$4:$AG$150,0,MATCH(X$2,Inputs!$D$2:$AG$2,0)),Inputs!$B$4:$B$150,$B46)/1000)</f>
        <v>0</v>
      </c>
      <c r="Y46" s="11">
        <f>IF(Y$3=0,"",SUMIFS(INDEX(Inputs!$D$4:$AG$150,0,MATCH(Y$2,Inputs!$D$2:$AG$2,0)),Inputs!$B$4:$B$150,$B46)/1000)</f>
        <v>0</v>
      </c>
      <c r="Z46" s="11">
        <f>IF(Z$3=0,"",SUMIFS(INDEX(Inputs!$D$4:$AG$150,0,MATCH(Z$2,Inputs!$D$2:$AG$2,0)),Inputs!$B$4:$B$150,$B46)/1000)</f>
        <v>0</v>
      </c>
      <c r="AA46" s="11">
        <f>IF(AA$3=0,"",SUMIFS(INDEX(Inputs!$D$4:$AG$150,0,MATCH(AA$2,Inputs!$D$2:$AG$2,0)),Inputs!$B$4:$B$150,$B46)/1000)</f>
        <v>0</v>
      </c>
      <c r="AB46" s="12">
        <f>IF(AA46="","",AA46)</f>
        <v>0</v>
      </c>
      <c r="AC46" s="11">
        <f>IF(AC$3=0,"",SUMIFS(INDEX(Inputs!$D$4:$AG$150,0,MATCH(AC$2,Inputs!$D$2:$AG$2,0)),Inputs!$B$4:$B$150,$B46)/1000)</f>
        <v>0</v>
      </c>
      <c r="AD46" s="11">
        <f>IF(AD$3=0,"",SUMIFS(INDEX(Inputs!$D$4:$AG$150,0,MATCH(AD$2,Inputs!$D$2:$AG$2,0)),Inputs!$B$4:$B$150,$B46)/1000)</f>
        <v>0</v>
      </c>
      <c r="AE46" s="11" t="str">
        <f>IF(AE$3=0,"",SUMIFS(INDEX(Inputs!$D$4:$AG$150,0,MATCH(AE$2,Inputs!$D$2:$AG$2,0)),Inputs!$B$4:$B$150,$B46)/1000)</f>
        <v/>
      </c>
      <c r="AF46" s="11" t="str">
        <f>IF(AF$3=0,"",SUMIFS(INDEX(Inputs!$D$4:$AG$150,0,MATCH(AF$2,Inputs!$D$2:$AG$2,0)),Inputs!$B$4:$B$150,$B46)/1000)</f>
        <v/>
      </c>
      <c r="AG46" s="12" t="str">
        <f>IF(AF46="","",AF46)</f>
        <v/>
      </c>
    </row>
    <row r="47">
      <c r="B47" s="9" t="n">
        <v>41</v>
      </c>
      <c r="C47" s="15" t="inlineStr">
        <is>
          <t>Retained earnings</t>
        </is>
      </c>
      <c r="D47" s="11">
        <f>IF(D$3=0,"",SUMIFS(INDEX(Inputs!$D$4:$AG$150,0,MATCH(D$2,Inputs!$D$2:$AG$2,0)),Inputs!$B$4:$B$150,$B47)/1000)</f>
        <v>-10963</v>
      </c>
      <c r="E47" s="11">
        <f>IF(E$3=0,"",SUMIFS(INDEX(Inputs!$D$4:$AG$150,0,MATCH(E$2,Inputs!$D$2:$AG$2,0)),Inputs!$B$4:$B$150,$B47)/1000)</f>
        <v>-9880</v>
      </c>
      <c r="F47" s="11">
        <f>IF(F$3=0,"",SUMIFS(INDEX(Inputs!$D$4:$AG$150,0,MATCH(F$2,Inputs!$D$2:$AG$2,0)),Inputs!$B$4:$B$150,$B47)/1000)</f>
        <v>-8481</v>
      </c>
      <c r="G47" s="11">
        <f>IF(G$3=0,"",SUMIFS(INDEX(Inputs!$D$4:$AG$150,0,MATCH(G$2,Inputs!$D$2:$AG$2,0)),Inputs!$B$4:$B$150,$B47)/1000)</f>
        <v>-7375</v>
      </c>
      <c r="H47" s="12">
        <f>IF(G47="","",G47)</f>
        <v>-7375</v>
      </c>
      <c r="I47" s="11">
        <f>IF(I$3=0,"",SUMIFS(INDEX(Inputs!$D$4:$AG$150,0,MATCH(I$2,Inputs!$D$2:$AG$2,0)),Inputs!$B$4:$B$150,$B47)/1000)</f>
        <v>-5848</v>
      </c>
      <c r="J47" s="11">
        <f>IF(J$3=0,"",SUMIFS(INDEX(Inputs!$D$4:$AG$150,0,MATCH(J$2,Inputs!$D$2:$AG$2,0)),Inputs!$B$4:$B$150,$B47)/1000)</f>
        <v>-5008</v>
      </c>
      <c r="K47" s="11">
        <f>IF(K$3=0,"",SUMIFS(INDEX(Inputs!$D$4:$AG$150,0,MATCH(K$2,Inputs!$D$2:$AG$2,0)),Inputs!$B$4:$B$150,$B47)/1000)</f>
        <v>-4604</v>
      </c>
      <c r="L47" s="11">
        <f>IF(L$3=0,"",SUMIFS(INDEX(Inputs!$D$4:$AG$150,0,MATCH(L$2,Inputs!$D$2:$AG$2,0)),Inputs!$B$4:$B$150,$B47)/1000)</f>
        <v>-3907</v>
      </c>
      <c r="M47" s="12">
        <f>IF(L47="","",L47)</f>
        <v>-3907</v>
      </c>
      <c r="N47" s="11">
        <f>IF(N$3=0,"",SUMIFS(INDEX(Inputs!$D$4:$AG$150,0,MATCH(N$2,Inputs!$D$2:$AG$2,0)),Inputs!$B$4:$B$150,$B47)/1000)</f>
        <v>-3244</v>
      </c>
      <c r="O47" s="11">
        <f>IF(O$3=0,"",SUMIFS(INDEX(Inputs!$D$4:$AG$150,0,MATCH(O$2,Inputs!$D$2:$AG$2,0)),Inputs!$B$4:$B$150,$B47)/1000)</f>
        <v>-2901</v>
      </c>
      <c r="P47" s="11">
        <f>IF(P$3=0,"",SUMIFS(INDEX(Inputs!$D$4:$AG$150,0,MATCH(P$2,Inputs!$D$2:$AG$2,0)),Inputs!$B$4:$B$150,$B47)/1000)</f>
        <v>-2447</v>
      </c>
      <c r="Q47" s="11">
        <f>IF(Q$3=0,"",SUMIFS(INDEX(Inputs!$D$4:$AG$150,0,MATCH(Q$2,Inputs!$D$2:$AG$2,0)),Inputs!$B$4:$B$150,$B47)/1000)</f>
        <v>-2059</v>
      </c>
      <c r="R47" s="12">
        <f>IF(Q47="","",Q47)</f>
        <v>-2059</v>
      </c>
      <c r="S47" s="11">
        <f>IF(S$3=0,"",SUMIFS(INDEX(Inputs!$D$4:$AG$150,0,MATCH(S$2,Inputs!$D$2:$AG$2,0)),Inputs!$B$4:$B$150,$B47)/1000)</f>
        <v>-1586</v>
      </c>
      <c r="T47" s="11">
        <f>IF(T$3=0,"",SUMIFS(INDEX(Inputs!$D$4:$AG$150,0,MATCH(T$2,Inputs!$D$2:$AG$2,0)),Inputs!$B$4:$B$150,$B47)/1000)</f>
        <v>-970</v>
      </c>
      <c r="U47" s="11">
        <f>IF(U$3=0,"",SUMIFS(INDEX(Inputs!$D$4:$AG$150,0,MATCH(U$2,Inputs!$D$2:$AG$2,0)),Inputs!$B$4:$B$150,$B47)/1000)</f>
        <v>-444</v>
      </c>
      <c r="V47" s="11">
        <f>IF(V$3=0,"",SUMIFS(INDEX(Inputs!$D$4:$AG$150,0,MATCH(V$2,Inputs!$D$2:$AG$2,0)),Inputs!$B$4:$B$150,$B47)/1000)</f>
        <v>-170</v>
      </c>
      <c r="W47" s="12">
        <f>IF(V47="","",V47)</f>
        <v>-170</v>
      </c>
      <c r="X47" s="11">
        <f>IF(X$3=0,"",SUMIFS(INDEX(Inputs!$D$4:$AG$150,0,MATCH(X$2,Inputs!$D$2:$AG$2,0)),Inputs!$B$4:$B$150,$B47)/1000)</f>
        <v>182</v>
      </c>
      <c r="Y47" s="11">
        <f>IF(Y$3=0,"",SUMIFS(INDEX(Inputs!$D$4:$AG$150,0,MATCH(Y$2,Inputs!$D$2:$AG$2,0)),Inputs!$B$4:$B$150,$B47)/1000)</f>
        <v>738</v>
      </c>
      <c r="Z47" s="11">
        <f>IF(Z$3=0,"",SUMIFS(INDEX(Inputs!$D$4:$AG$150,0,MATCH(Z$2,Inputs!$D$2:$AG$2,0)),Inputs!$B$4:$B$150,$B47)/1000)</f>
        <v>1196</v>
      </c>
      <c r="AA47" s="11">
        <f>IF(AA$3=0,"",SUMIFS(INDEX(Inputs!$D$4:$AG$150,0,MATCH(AA$2,Inputs!$D$2:$AG$2,0)),Inputs!$B$4:$B$150,$B47)/1000)</f>
        <v>1385</v>
      </c>
      <c r="AB47" s="12">
        <f>IF(AA47="","",AA47)</f>
        <v>1385</v>
      </c>
      <c r="AC47" s="11">
        <f>IF(AC$3=0,"",SUMIFS(INDEX(Inputs!$D$4:$AG$150,0,MATCH(AC$2,Inputs!$D$2:$AG$2,0)),Inputs!$B$4:$B$150,$B47)/1000)</f>
        <v>2050</v>
      </c>
      <c r="AD47" s="11">
        <f>IF(AD$3=0,"",SUMIFS(INDEX(Inputs!$D$4:$AG$150,0,MATCH(AD$2,Inputs!$D$2:$AG$2,0)),Inputs!$B$4:$B$150,$B47)/1000)</f>
        <v>2817</v>
      </c>
      <c r="AE47" s="11" t="str">
        <f>IF(AE$3=0,"",SUMIFS(INDEX(Inputs!$D$4:$AG$150,0,MATCH(AE$2,Inputs!$D$2:$AG$2,0)),Inputs!$B$4:$B$150,$B47)/1000)</f>
        <v/>
      </c>
      <c r="AF47" s="11" t="str">
        <f>IF(AF$3=0,"",SUMIFS(INDEX(Inputs!$D$4:$AG$150,0,MATCH(AF$2,Inputs!$D$2:$AG$2,0)),Inputs!$B$4:$B$150,$B47)/1000)</f>
        <v/>
      </c>
      <c r="AG47" s="12" t="str">
        <f>IF(AF47="","",AF47)</f>
        <v/>
      </c>
    </row>
    <row r="48"/>
    <row r="49" customFormat="1" s="3">
      <c r="C49" s="4" t="n"/>
      <c r="D49" s="16" t="n"/>
      <c r="E49" s="16" t="n"/>
      <c r="F49" s="16" t="n"/>
      <c r="G49" s="16" t="n"/>
      <c r="H49" s="12" t="n"/>
      <c r="I49" s="16" t="n"/>
      <c r="J49" s="16" t="n"/>
      <c r="K49" s="16" t="n"/>
      <c r="L49" s="16" t="n"/>
      <c r="M49" s="12" t="n"/>
      <c r="N49" s="16" t="n"/>
      <c r="O49" s="16" t="n"/>
      <c r="P49" s="16" t="n"/>
      <c r="Q49" s="16" t="n"/>
      <c r="R49" s="12" t="n"/>
      <c r="S49" s="16" t="n"/>
      <c r="T49" s="16" t="n"/>
      <c r="U49" s="16" t="n"/>
      <c r="V49" s="16" t="n"/>
      <c r="W49" s="12" t="n"/>
      <c r="X49" s="16" t="n"/>
      <c r="Y49" s="16" t="n"/>
      <c r="Z49" s="16" t="n"/>
      <c r="AA49" s="16" t="n"/>
      <c r="AC49" s="16" t="n"/>
      <c r="AD49" s="16" t="n"/>
      <c r="AE49" s="16" t="n"/>
      <c r="AF49" s="16" t="n"/>
    </row>
    <row r="50">
      <c r="B50" s="9" t="n">
        <v>44</v>
      </c>
      <c r="C50" s="10" t="inlineStr">
        <is>
          <t>Net income reported (lucro líquido reportado) — base do check de DRE [Model linha 4]</t>
        </is>
      </c>
      <c r="D50" s="11">
        <f>IF(SUMPRODUCT((Inputs!$B$4:$B$150=$B50)*ISNUMBER(INDEX(Inputs!$D$4:$AG$150,0,MATCH(D$2,Inputs!$D$2:$AG$2,0))))=0,"",SUMIFS(INDEX(Inputs!$D$4:$AG$150,0,MATCH(D$2,Inputs!$D$2:$AG$2,0)),Inputs!$B$4:$B$150,$B50)/1000)</f>
        <v>718</v>
      </c>
      <c r="E50" s="11">
        <f>IF(SUMPRODUCT((Inputs!$B$4:$B$150=$B50)*ISNUMBER(INDEX(Inputs!$D$4:$AG$150,0,MATCH(E$2,Inputs!$D$2:$AG$2,0))))=0,"",SUMIFS(INDEX(Inputs!$D$4:$AG$150,0,MATCH(E$2,Inputs!$D$2:$AG$2,0)),Inputs!$B$4:$B$150,$B50)/1000)</f>
        <v>1083</v>
      </c>
      <c r="F50" s="11">
        <f>IF(SUMPRODUCT((Inputs!$B$4:$B$150=$B50)*ISNUMBER(INDEX(Inputs!$D$4:$AG$150,0,MATCH(F$2,Inputs!$D$2:$AG$2,0))))=0,"",SUMIFS(INDEX(Inputs!$D$4:$AG$150,0,MATCH(F$2,Inputs!$D$2:$AG$2,0)),Inputs!$B$4:$B$150,$B50)/1000)</f>
        <v>1399</v>
      </c>
      <c r="G50" s="11">
        <f>IF(SUMPRODUCT((Inputs!$B$4:$B$150=$B50)*ISNUMBER(INDEX(Inputs!$D$4:$AG$150,0,MATCH(G$2,Inputs!$D$2:$AG$2,0))))=0,"",SUMIFS(INDEX(Inputs!$D$4:$AG$150,0,MATCH(G$2,Inputs!$D$2:$AG$2,0)),Inputs!$B$4:$B$150,$B50)/1000)</f>
        <v>1106</v>
      </c>
      <c r="H50" s="12">
        <f>IF(COUNT(D50:G50)=4,SUM(D50:G50),"")</f>
        <v>4306</v>
      </c>
      <c r="I50" s="11">
        <f>IF(SUMPRODUCT((Inputs!$B$4:$B$150=$B50)*ISNUMBER(INDEX(Inputs!$D$4:$AG$150,0,MATCH(I$2,Inputs!$D$2:$AG$2,0))))=0,"",SUMIFS(INDEX(Inputs!$D$4:$AG$150,0,MATCH(I$2,Inputs!$D$2:$AG$2,0)),Inputs!$B$4:$B$150,$B50)/1000)</f>
        <v>1527</v>
      </c>
      <c r="J50" s="11">
        <f>IF(SUMPRODUCT((Inputs!$B$4:$B$150=$B50)*ISNUMBER(INDEX(Inputs!$D$4:$AG$150,0,MATCH(J$2,Inputs!$D$2:$AG$2,0))))=0,"",SUMIFS(INDEX(Inputs!$D$4:$AG$150,0,MATCH(J$2,Inputs!$D$2:$AG$2,0)),Inputs!$B$4:$B$150,$B50)/1000)</f>
        <v>840</v>
      </c>
      <c r="K50" s="11">
        <f>IF(SUMPRODUCT((Inputs!$B$4:$B$150=$B50)*ISNUMBER(INDEX(Inputs!$D$4:$AG$150,0,MATCH(K$2,Inputs!$D$2:$AG$2,0))))=0,"",SUMIFS(INDEX(Inputs!$D$4:$AG$150,0,MATCH(K$2,Inputs!$D$2:$AG$2,0)),Inputs!$B$4:$B$150,$B50)/1000)</f>
        <v>404</v>
      </c>
      <c r="L50" s="11">
        <f>IF(SUMPRODUCT((Inputs!$B$4:$B$150=$B50)*ISNUMBER(INDEX(Inputs!$D$4:$AG$150,0,MATCH(L$2,Inputs!$D$2:$AG$2,0))))=0,"",SUMIFS(INDEX(Inputs!$D$4:$AG$150,0,MATCH(L$2,Inputs!$D$2:$AG$2,0)),Inputs!$B$4:$B$150,$B50)/1000)</f>
        <v>697</v>
      </c>
      <c r="M50" s="12">
        <f>IF(COUNT(I50:L50)=4,SUM(I50:L50),"")</f>
        <v>3468</v>
      </c>
      <c r="N50" s="11">
        <f>IF(SUMPRODUCT((Inputs!$B$4:$B$150=$B50)*ISNUMBER(INDEX(Inputs!$D$4:$AG$150,0,MATCH(N$2,Inputs!$D$2:$AG$2,0))))=0,"",SUMIFS(INDEX(Inputs!$D$4:$AG$150,0,MATCH(N$2,Inputs!$D$2:$AG$2,0)),Inputs!$B$4:$B$150,$B50)/1000)</f>
        <v>663</v>
      </c>
      <c r="O50" s="11">
        <f>IF(SUMPRODUCT((Inputs!$B$4:$B$150=$B50)*ISNUMBER(INDEX(Inputs!$D$4:$AG$150,0,MATCH(O$2,Inputs!$D$2:$AG$2,0))))=0,"",SUMIFS(INDEX(Inputs!$D$4:$AG$150,0,MATCH(O$2,Inputs!$D$2:$AG$2,0)),Inputs!$B$4:$B$150,$B50)/1000)</f>
        <v>343</v>
      </c>
      <c r="P50" s="11">
        <f>IF(SUMPRODUCT((Inputs!$B$4:$B$150=$B50)*ISNUMBER(INDEX(Inputs!$D$4:$AG$150,0,MATCH(P$2,Inputs!$D$2:$AG$2,0))))=0,"",SUMIFS(INDEX(Inputs!$D$4:$AG$150,0,MATCH(P$2,Inputs!$D$2:$AG$2,0)),Inputs!$B$4:$B$150,$B50)/1000)</f>
        <v>454</v>
      </c>
      <c r="Q50" s="11">
        <f>IF(SUMPRODUCT((Inputs!$B$4:$B$150=$B50)*ISNUMBER(INDEX(Inputs!$D$4:$AG$150,0,MATCH(Q$2,Inputs!$D$2:$AG$2,0))))=0,"",SUMIFS(INDEX(Inputs!$D$4:$AG$150,0,MATCH(Q$2,Inputs!$D$2:$AG$2,0)),Inputs!$B$4:$B$150,$B50)/1000)</f>
        <v>388</v>
      </c>
      <c r="R50" s="12">
        <f>IF(COUNT(N50:Q50)=4,SUM(N50:Q50),"")</f>
        <v>1848</v>
      </c>
      <c r="S50" s="11">
        <f>IF(SUMPRODUCT((Inputs!$B$4:$B$150=$B50)*ISNUMBER(INDEX(Inputs!$D$4:$AG$150,0,MATCH(S$2,Inputs!$D$2:$AG$2,0))))=0,"",SUMIFS(INDEX(Inputs!$D$4:$AG$150,0,MATCH(S$2,Inputs!$D$2:$AG$2,0)),Inputs!$B$4:$B$150,$B50)/1000)</f>
        <v>473</v>
      </c>
      <c r="T50" s="11">
        <f>IF(SUMPRODUCT((Inputs!$B$4:$B$150=$B50)*ISNUMBER(INDEX(Inputs!$D$4:$AG$150,0,MATCH(T$2,Inputs!$D$2:$AG$2,0))))=0,"",SUMIFS(INDEX(Inputs!$D$4:$AG$150,0,MATCH(T$2,Inputs!$D$2:$AG$2,0)),Inputs!$B$4:$B$150,$B50)/1000)</f>
        <v>616</v>
      </c>
      <c r="U50" s="11">
        <f>IF(SUMPRODUCT((Inputs!$B$4:$B$150=$B50)*ISNUMBER(INDEX(Inputs!$D$4:$AG$150,0,MATCH(U$2,Inputs!$D$2:$AG$2,0))))=0,"",SUMIFS(INDEX(Inputs!$D$4:$AG$150,0,MATCH(U$2,Inputs!$D$2:$AG$2,0)),Inputs!$B$4:$B$150,$B50)/1000)</f>
        <v>526</v>
      </c>
      <c r="V50" s="11">
        <f>IF(SUMPRODUCT((Inputs!$B$4:$B$150=$B50)*ISNUMBER(INDEX(Inputs!$D$4:$AG$150,0,MATCH(V$2,Inputs!$D$2:$AG$2,0))))=0,"",SUMIFS(INDEX(Inputs!$D$4:$AG$150,0,MATCH(V$2,Inputs!$D$2:$AG$2,0)),Inputs!$B$4:$B$150,$B50)/1000)</f>
        <v>274</v>
      </c>
      <c r="W50" s="12">
        <f>IF(COUNT(S50:V50)=4,SUM(S50:V50),"")</f>
        <v>1889</v>
      </c>
      <c r="X50" s="11">
        <f>IF(SUMPRODUCT((Inputs!$B$4:$B$150=$B50)*ISNUMBER(INDEX(Inputs!$D$4:$AG$150,0,MATCH(X$2,Inputs!$D$2:$AG$2,0))))=0,"",SUMIFS(INDEX(Inputs!$D$4:$AG$150,0,MATCH(X$2,Inputs!$D$2:$AG$2,0)),Inputs!$B$4:$B$150,$B50)/1000)</f>
        <v>352</v>
      </c>
      <c r="Y50" s="11">
        <f>IF(SUMPRODUCT((Inputs!$B$4:$B$150=$B50)*ISNUMBER(INDEX(Inputs!$D$4:$AG$150,0,MATCH(Y$2,Inputs!$D$2:$AG$2,0))))=0,"",SUMIFS(INDEX(Inputs!$D$4:$AG$150,0,MATCH(Y$2,Inputs!$D$2:$AG$2,0)),Inputs!$B$4:$B$150,$B50)/1000)</f>
        <v>772</v>
      </c>
      <c r="Z50" s="11">
        <f>IF(SUMPRODUCT((Inputs!$B$4:$B$150=$B50)*ISNUMBER(INDEX(Inputs!$D$4:$AG$150,0,MATCH(Z$2,Inputs!$D$2:$AG$2,0))))=0,"",SUMIFS(INDEX(Inputs!$D$4:$AG$150,0,MATCH(Z$2,Inputs!$D$2:$AG$2,0)),Inputs!$B$4:$B$150,$B50)/1000)</f>
        <v>674</v>
      </c>
      <c r="AA50" s="11">
        <f>IF(SUMPRODUCT((Inputs!$B$4:$B$150=$B50)*ISNUMBER(INDEX(Inputs!$D$4:$AG$150,0,MATCH(AA$2,Inputs!$D$2:$AG$2,0))))=0,"",SUMIFS(INDEX(Inputs!$D$4:$AG$150,0,MATCH(AA$2,Inputs!$D$2:$AG$2,0)),Inputs!$B$4:$B$150,$B50)/1000)</f>
        <v>406</v>
      </c>
      <c r="AB50" s="12">
        <f>IF(COUNT(X50:AA50)=4,SUM(X50:AA50),"")</f>
        <v>2204</v>
      </c>
      <c r="AC50" s="11">
        <f>IF(SUMPRODUCT((Inputs!$B$4:$B$150=$B50)*ISNUMBER(INDEX(Inputs!$D$4:$AG$150,0,MATCH(AC$2,Inputs!$D$2:$AG$2,0))))=0,"",SUMIFS(INDEX(Inputs!$D$4:$AG$150,0,MATCH(AC$2,Inputs!$D$2:$AG$2,0)),Inputs!$B$4:$B$150,$B50)/1000)</f>
        <v>881</v>
      </c>
      <c r="AD50" s="11">
        <f>IF(SUMPRODUCT((Inputs!$B$4:$B$150=$B50)*ISNUMBER(INDEX(Inputs!$D$4:$AG$150,0,MATCH(AD$2,Inputs!$D$2:$AG$2,0))))=0,"",SUMIFS(INDEX(Inputs!$D$4:$AG$150,0,MATCH(AD$2,Inputs!$D$2:$AG$2,0)),Inputs!$B$4:$B$150,$B50)/1000)</f>
        <v>984</v>
      </c>
      <c r="AE50" s="11" t="str">
        <f>IF(SUMPRODUCT((Inputs!$B$4:$B$150=$B50)*ISNUMBER(INDEX(Inputs!$D$4:$AG$150,0,MATCH(AE$2,Inputs!$D$2:$AG$2,0))))=0,"",SUMIFS(INDEX(Inputs!$D$4:$AG$150,0,MATCH(AE$2,Inputs!$D$2:$AG$2,0)),Inputs!$B$4:$B$150,$B50)/1000)</f>
        <v/>
      </c>
      <c r="AF50" s="11" t="str">
        <f>IF(SUMPRODUCT((Inputs!$B$4:$B$150=$B50)*ISNUMBER(INDEX(Inputs!$D$4:$AG$150,0,MATCH(AF$2,Inputs!$D$2:$AG$2,0))))=0,"",SUMIFS(INDEX(Inputs!$D$4:$AG$150,0,MATCH(AF$2,Inputs!$D$2:$AG$2,0)),Inputs!$B$4:$B$150,$B50)/1000)</f>
        <v/>
      </c>
      <c r="AG50" s="12" t="str">
        <f>IF(COUNT(AC50:AF50)=4,SUM(AC50:AF50),"")</f>
        <v/>
      </c>
    </row>
    <row r="52">
      <c r="C52" t="inlineStr">
        <is>
          <t>Drivers de receita (memo) - codigos 45+ [Model, bloco abaixo da receita liquida]</t>
        </is>
      </c>
    </row>
    <row r="53">
      <c r="B53" s="9" t="n">
        <v>45</v>
      </c>
      <c r="C53" s="10" t="inlineStr">
        <is>
          <t>Morenci - receita (USD)</t>
        </is>
      </c>
      <c r="D53" s="11">
        <f>IF(SUMPRODUCT((Inputs!$B$4:$B$150=$B53)*ISNUMBER(INDEX(Inputs!$D$4:$AG$150,0,MATCH(D$2,Inputs!$D$2:$AG$2,0))))=0,"",SUMIFS(INDEX(Inputs!$D$4:$AG$150,0,MATCH(D$2,Inputs!$D$2:$AG$2,0)),Inputs!$B$4:$B$150,$B53)/1000)</f>
        <v>568</v>
      </c>
      <c r="E53" s="11">
        <f>IF(SUMPRODUCT((Inputs!$B$4:$B$150=$B53)*ISNUMBER(INDEX(Inputs!$D$4:$AG$150,0,MATCH(E$2,Inputs!$D$2:$AG$2,0))))=0,"",SUMIFS(INDEX(Inputs!$D$4:$AG$150,0,MATCH(E$2,Inputs!$D$2:$AG$2,0)),Inputs!$B$4:$B$150,$B53)/1000)</f>
        <v>778</v>
      </c>
      <c r="F53" s="11">
        <f>IF(SUMPRODUCT((Inputs!$B$4:$B$150=$B53)*ISNUMBER(INDEX(Inputs!$D$4:$AG$150,0,MATCH(F$2,Inputs!$D$2:$AG$2,0))))=0,"",SUMIFS(INDEX(Inputs!$D$4:$AG$150,0,MATCH(F$2,Inputs!$D$2:$AG$2,0)),Inputs!$B$4:$B$150,$B53)/1000)</f>
        <v>727</v>
      </c>
      <c r="G53" s="11">
        <f>IF(SUMPRODUCT((Inputs!$B$4:$B$150=$B53)*ISNUMBER(INDEX(Inputs!$D$4:$AG$150,0,MATCH(G$2,Inputs!$D$2:$AG$2,0))))=0,"",SUMIFS(INDEX(Inputs!$D$4:$AG$150,0,MATCH(G$2,Inputs!$D$2:$AG$2,0)),Inputs!$B$4:$B$150,$B53)/1000)</f>
        <v>737</v>
      </c>
      <c r="H53" s="12">
        <f>IF(COUNT(D53:G53)=4,SUM(D53:G53),"")</f>
        <v>2810</v>
      </c>
      <c r="I53" s="11">
        <f>IF(SUMPRODUCT((Inputs!$B$4:$B$150=$B53)*ISNUMBER(INDEX(Inputs!$D$4:$AG$150,0,MATCH(I$2,Inputs!$D$2:$AG$2,0))))=0,"",SUMIFS(INDEX(Inputs!$D$4:$AG$150,0,MATCH(I$2,Inputs!$D$2:$AG$2,0)),Inputs!$B$4:$B$150,$B53)/1000)</f>
        <v>801</v>
      </c>
      <c r="J53" s="11">
        <f>IF(SUMPRODUCT((Inputs!$B$4:$B$150=$B53)*ISNUMBER(INDEX(Inputs!$D$4:$AG$150,0,MATCH(J$2,Inputs!$D$2:$AG$2,0))))=0,"",SUMIFS(INDEX(Inputs!$D$4:$AG$150,0,MATCH(J$2,Inputs!$D$2:$AG$2,0)),Inputs!$B$4:$B$150,$B53)/1000)</f>
        <v>747</v>
      </c>
      <c r="K53" s="11">
        <f>IF(SUMPRODUCT((Inputs!$B$4:$B$150=$B53)*ISNUMBER(INDEX(Inputs!$D$4:$AG$150,0,MATCH(K$2,Inputs!$D$2:$AG$2,0))))=0,"",SUMIFS(INDEX(Inputs!$D$4:$AG$150,0,MATCH(K$2,Inputs!$D$2:$AG$2,0)),Inputs!$B$4:$B$150,$B53)/1000)</f>
        <v>569</v>
      </c>
      <c r="L53" s="11">
        <f>IF(SUMPRODUCT((Inputs!$B$4:$B$150=$B53)*ISNUMBER(INDEX(Inputs!$D$4:$AG$150,0,MATCH(L$2,Inputs!$D$2:$AG$2,0))))=0,"",SUMIFS(INDEX(Inputs!$D$4:$AG$150,0,MATCH(L$2,Inputs!$D$2:$AG$2,0)),Inputs!$B$4:$B$150,$B53)/1000)</f>
        <v>572</v>
      </c>
      <c r="M53" s="12">
        <f>IF(COUNT(I53:L53)=4,SUM(I53:L53),"")</f>
        <v>2689</v>
      </c>
      <c r="N53" s="11">
        <f>IF(SUMPRODUCT((Inputs!$B$4:$B$150=$B53)*ISNUMBER(INDEX(Inputs!$D$4:$AG$150,0,MATCH(N$2,Inputs!$D$2:$AG$2,0))))=0,"",SUMIFS(INDEX(Inputs!$D$4:$AG$150,0,MATCH(N$2,Inputs!$D$2:$AG$2,0)),Inputs!$B$4:$B$150,$B53)/1000)</f>
        <v>625</v>
      </c>
      <c r="O53" s="11">
        <f>IF(SUMPRODUCT((Inputs!$B$4:$B$150=$B53)*ISNUMBER(INDEX(Inputs!$D$4:$AG$150,0,MATCH(O$2,Inputs!$D$2:$AG$2,0))))=0,"",SUMIFS(INDEX(Inputs!$D$4:$AG$150,0,MATCH(O$2,Inputs!$D$2:$AG$2,0)),Inputs!$B$4:$B$150,$B53)/1000)</f>
        <v>596</v>
      </c>
      <c r="P53" s="11">
        <f>IF(SUMPRODUCT((Inputs!$B$4:$B$150=$B53)*ISNUMBER(INDEX(Inputs!$D$4:$AG$150,0,MATCH(P$2,Inputs!$D$2:$AG$2,0))))=0,"",SUMIFS(INDEX(Inputs!$D$4:$AG$150,0,MATCH(P$2,Inputs!$D$2:$AG$2,0)),Inputs!$B$4:$B$150,$B53)/1000)</f>
        <v>641</v>
      </c>
      <c r="Q53" s="11">
        <f>IF(SUMPRODUCT((Inputs!$B$4:$B$150=$B53)*ISNUMBER(INDEX(Inputs!$D$4:$AG$150,0,MATCH(Q$2,Inputs!$D$2:$AG$2,0))))=0,"",SUMIFS(INDEX(Inputs!$D$4:$AG$150,0,MATCH(Q$2,Inputs!$D$2:$AG$2,0)),Inputs!$B$4:$B$150,$B53)/1000)</f>
        <v>557</v>
      </c>
      <c r="R53" s="12">
        <f>IF(COUNT(N53:Q53)=4,SUM(N53:Q53),"")</f>
        <v>2419</v>
      </c>
      <c r="S53" s="11">
        <f>IF(SUMPRODUCT((Inputs!$B$4:$B$150=$B53)*ISNUMBER(INDEX(Inputs!$D$4:$AG$150,0,MATCH(S$2,Inputs!$D$2:$AG$2,0))))=0,"",SUMIFS(INDEX(Inputs!$D$4:$AG$150,0,MATCH(S$2,Inputs!$D$2:$AG$2,0)),Inputs!$B$4:$B$150,$B53)/1000)</f>
        <v>577</v>
      </c>
      <c r="T53" s="11">
        <f>IF(SUMPRODUCT((Inputs!$B$4:$B$150=$B53)*ISNUMBER(INDEX(Inputs!$D$4:$AG$150,0,MATCH(T$2,Inputs!$D$2:$AG$2,0))))=0,"",SUMIFS(INDEX(Inputs!$D$4:$AG$150,0,MATCH(T$2,Inputs!$D$2:$AG$2,0)),Inputs!$B$4:$B$150,$B53)/1000)</f>
        <v>600</v>
      </c>
      <c r="U53" s="11">
        <f>IF(SUMPRODUCT((Inputs!$B$4:$B$150=$B53)*ISNUMBER(INDEX(Inputs!$D$4:$AG$150,0,MATCH(U$2,Inputs!$D$2:$AG$2,0))))=0,"",SUMIFS(INDEX(Inputs!$D$4:$AG$150,0,MATCH(U$2,Inputs!$D$2:$AG$2,0)),Inputs!$B$4:$B$150,$B53)/1000)</f>
        <v>593</v>
      </c>
      <c r="V53" s="11">
        <f>IF(SUMPRODUCT((Inputs!$B$4:$B$150=$B53)*ISNUMBER(INDEX(Inputs!$D$4:$AG$150,0,MATCH(V$2,Inputs!$D$2:$AG$2,0))))=0,"",SUMIFS(INDEX(Inputs!$D$4:$AG$150,0,MATCH(V$2,Inputs!$D$2:$AG$2,0)),Inputs!$B$4:$B$150,$B53)/1000)</f>
        <v>577</v>
      </c>
      <c r="W53" s="12">
        <f>IF(COUNT(S53:V53)=4,SUM(S53:V53),"")</f>
        <v>2347</v>
      </c>
      <c r="X53" s="11">
        <f>IF(SUMPRODUCT((Inputs!$B$4:$B$150=$B53)*ISNUMBER(INDEX(Inputs!$D$4:$AG$150,0,MATCH(X$2,Inputs!$D$2:$AG$2,0))))=0,"",SUMIFS(INDEX(Inputs!$D$4:$AG$150,0,MATCH(X$2,Inputs!$D$2:$AG$2,0)),Inputs!$B$4:$B$150,$B53)/1000)</f>
        <v>577</v>
      </c>
      <c r="Y53" s="11">
        <f>IF(SUMPRODUCT((Inputs!$B$4:$B$150=$B53)*ISNUMBER(INDEX(Inputs!$D$4:$AG$150,0,MATCH(Y$2,Inputs!$D$2:$AG$2,0))))=0,"",SUMIFS(INDEX(Inputs!$D$4:$AG$150,0,MATCH(Y$2,Inputs!$D$2:$AG$2,0)),Inputs!$B$4:$B$150,$B53)/1000)</f>
        <v>622</v>
      </c>
      <c r="Z53" s="11">
        <f>IF(SUMPRODUCT((Inputs!$B$4:$B$150=$B53)*ISNUMBER(INDEX(Inputs!$D$4:$AG$150,0,MATCH(Z$2,Inputs!$D$2:$AG$2,0))))=0,"",SUMIFS(INDEX(Inputs!$D$4:$AG$150,0,MATCH(Z$2,Inputs!$D$2:$AG$2,0)),Inputs!$B$4:$B$150,$B53)/1000)</f>
        <v>699</v>
      </c>
      <c r="AA53" s="11">
        <f>IF(SUMPRODUCT((Inputs!$B$4:$B$150=$B53)*ISNUMBER(INDEX(Inputs!$D$4:$AG$150,0,MATCH(AA$2,Inputs!$D$2:$AG$2,0))))=0,"",SUMIFS(INDEX(Inputs!$D$4:$AG$150,0,MATCH(AA$2,Inputs!$D$2:$AG$2,0)),Inputs!$B$4:$B$150,$B53)/1000)</f>
        <v>750</v>
      </c>
      <c r="AB53" s="12">
        <f>IF(COUNT(X53:AA53)=4,SUM(X53:AA53),"")</f>
        <v>2648</v>
      </c>
      <c r="AC53" s="11">
        <f>IF(SUMPRODUCT((Inputs!$B$4:$B$150=$B53)*ISNUMBER(INDEX(Inputs!$D$4:$AG$150,0,MATCH(AC$2,Inputs!$D$2:$AG$2,0))))=0,"",SUMIFS(INDEX(Inputs!$D$4:$AG$150,0,MATCH(AC$2,Inputs!$D$2:$AG$2,0)),Inputs!$B$4:$B$150,$B53)/1000)</f>
        <v>776</v>
      </c>
      <c r="AD53" s="11">
        <f>IF(SUMPRODUCT((Inputs!$B$4:$B$150=$B53)*ISNUMBER(INDEX(Inputs!$D$4:$AG$150,0,MATCH(AD$2,Inputs!$D$2:$AG$2,0))))=0,"",SUMIFS(INDEX(Inputs!$D$4:$AG$150,0,MATCH(AD$2,Inputs!$D$2:$AG$2,0)),Inputs!$B$4:$B$150,$B53)/1000)</f>
        <v>756</v>
      </c>
      <c r="AE53" s="11" t="str">
        <f>IF(SUMPRODUCT((Inputs!$B$4:$B$150=$B53)*ISNUMBER(INDEX(Inputs!$D$4:$AG$150,0,MATCH(AE$2,Inputs!$D$2:$AG$2,0))))=0,"",SUMIFS(INDEX(Inputs!$D$4:$AG$150,0,MATCH(AE$2,Inputs!$D$2:$AG$2,0)),Inputs!$B$4:$B$150,$B53)/1000)</f>
        <v/>
      </c>
      <c r="AF53" s="11" t="str">
        <f>IF(SUMPRODUCT((Inputs!$B$4:$B$150=$B53)*ISNUMBER(INDEX(Inputs!$D$4:$AG$150,0,MATCH(AF$2,Inputs!$D$2:$AG$2,0))))=0,"",SUMIFS(INDEX(Inputs!$D$4:$AG$150,0,MATCH(AF$2,Inputs!$D$2:$AG$2,0)),Inputs!$B$4:$B$150,$B53)/1000)</f>
        <v/>
      </c>
      <c r="AG53" s="12" t="str">
        <f>IF(COUNT(AC53:AF53)=4,SUM(AC53:AF53),"")</f>
        <v/>
      </c>
    </row>
    <row r="54">
      <c r="B54" s="9" t="n">
        <v>46</v>
      </c>
      <c r="C54" s="10" t="inlineStr">
        <is>
          <t>Morenci - lucro do segmento (USD)</t>
        </is>
      </c>
      <c r="D54" s="11">
        <f>IF(SUMPRODUCT((Inputs!$B$4:$B$150=$B54)*ISNUMBER(INDEX(Inputs!$D$4:$AG$150,0,MATCH(D$2,Inputs!$D$2:$AG$2,0))))=0,"",SUMIFS(INDEX(Inputs!$D$4:$AG$150,0,MATCH(D$2,Inputs!$D$2:$AG$2,0)),Inputs!$B$4:$B$150,$B54)/1000)</f>
        <v>265</v>
      </c>
      <c r="E54" s="11">
        <f>IF(SUMPRODUCT((Inputs!$B$4:$B$150=$B54)*ISNUMBER(INDEX(Inputs!$D$4:$AG$150,0,MATCH(E$2,Inputs!$D$2:$AG$2,0))))=0,"",SUMIFS(INDEX(Inputs!$D$4:$AG$150,0,MATCH(E$2,Inputs!$D$2:$AG$2,0)),Inputs!$B$4:$B$150,$B54)/1000)</f>
        <v>385</v>
      </c>
      <c r="F54" s="11">
        <f>IF(SUMPRODUCT((Inputs!$B$4:$B$150=$B54)*ISNUMBER(INDEX(Inputs!$D$4:$AG$150,0,MATCH(F$2,Inputs!$D$2:$AG$2,0))))=0,"",SUMIFS(INDEX(Inputs!$D$4:$AG$150,0,MATCH(F$2,Inputs!$D$2:$AG$2,0)),Inputs!$B$4:$B$150,$B54)/1000)</f>
        <v>363</v>
      </c>
      <c r="G54" s="11">
        <f>IF(SUMPRODUCT((Inputs!$B$4:$B$150=$B54)*ISNUMBER(INDEX(Inputs!$D$4:$AG$150,0,MATCH(G$2,Inputs!$D$2:$AG$2,0))))=0,"",SUMIFS(INDEX(Inputs!$D$4:$AG$150,0,MATCH(G$2,Inputs!$D$2:$AG$2,0)),Inputs!$B$4:$B$150,$B54)/1000)</f>
        <v>404</v>
      </c>
      <c r="H54" s="12">
        <f>IF(COUNT(D54:G54)=4,SUM(D54:G54),"")</f>
        <v>1417</v>
      </c>
      <c r="I54" s="11">
        <f>IF(SUMPRODUCT((Inputs!$B$4:$B$150=$B54)*ISNUMBER(INDEX(Inputs!$D$4:$AG$150,0,MATCH(I$2,Inputs!$D$2:$AG$2,0))))=0,"",SUMIFS(INDEX(Inputs!$D$4:$AG$150,0,MATCH(I$2,Inputs!$D$2:$AG$2,0)),Inputs!$B$4:$B$150,$B54)/1000)</f>
        <v>394</v>
      </c>
      <c r="J54" s="11">
        <f>IF(SUMPRODUCT((Inputs!$B$4:$B$150=$B54)*ISNUMBER(INDEX(Inputs!$D$4:$AG$150,0,MATCH(J$2,Inputs!$D$2:$AG$2,0))))=0,"",SUMIFS(INDEX(Inputs!$D$4:$AG$150,0,MATCH(J$2,Inputs!$D$2:$AG$2,0)),Inputs!$B$4:$B$150,$B54)/1000)</f>
        <v>318</v>
      </c>
      <c r="K54" s="11">
        <f>IF(SUMPRODUCT((Inputs!$B$4:$B$150=$B54)*ISNUMBER(INDEX(Inputs!$D$4:$AG$150,0,MATCH(K$2,Inputs!$D$2:$AG$2,0))))=0,"",SUMIFS(INDEX(Inputs!$D$4:$AG$150,0,MATCH(K$2,Inputs!$D$2:$AG$2,0)),Inputs!$B$4:$B$150,$B54)/1000)</f>
        <v>115</v>
      </c>
      <c r="L54" s="11">
        <f>IF(SUMPRODUCT((Inputs!$B$4:$B$150=$B54)*ISNUMBER(INDEX(Inputs!$D$4:$AG$150,0,MATCH(L$2,Inputs!$D$2:$AG$2,0))))=0,"",SUMIFS(INDEX(Inputs!$D$4:$AG$150,0,MATCH(L$2,Inputs!$D$2:$AG$2,0)),Inputs!$B$4:$B$150,$B54)/1000)</f>
        <v>138</v>
      </c>
      <c r="M54" s="12">
        <f>IF(COUNT(I54:L54)=4,SUM(I54:L54),"")</f>
        <v>965</v>
      </c>
      <c r="N54" s="11">
        <f>IF(SUMPRODUCT((Inputs!$B$4:$B$150=$B54)*ISNUMBER(INDEX(Inputs!$D$4:$AG$150,0,MATCH(N$2,Inputs!$D$2:$AG$2,0))))=0,"",SUMIFS(INDEX(Inputs!$D$4:$AG$150,0,MATCH(N$2,Inputs!$D$2:$AG$2,0)),Inputs!$B$4:$B$150,$B54)/1000)</f>
        <v>198</v>
      </c>
      <c r="O54" s="11">
        <f>IF(SUMPRODUCT((Inputs!$B$4:$B$150=$B54)*ISNUMBER(INDEX(Inputs!$D$4:$AG$150,0,MATCH(O$2,Inputs!$D$2:$AG$2,0))))=0,"",SUMIFS(INDEX(Inputs!$D$4:$AG$150,0,MATCH(O$2,Inputs!$D$2:$AG$2,0)),Inputs!$B$4:$B$150,$B54)/1000)</f>
        <v>127</v>
      </c>
      <c r="P54" s="11">
        <f>IF(SUMPRODUCT((Inputs!$B$4:$B$150=$B54)*ISNUMBER(INDEX(Inputs!$D$4:$AG$150,0,MATCH(P$2,Inputs!$D$2:$AG$2,0))))=0,"",SUMIFS(INDEX(Inputs!$D$4:$AG$150,0,MATCH(P$2,Inputs!$D$2:$AG$2,0)),Inputs!$B$4:$B$150,$B54)/1000)</f>
        <v>112</v>
      </c>
      <c r="Q54" s="11">
        <f>IF(SUMPRODUCT((Inputs!$B$4:$B$150=$B54)*ISNUMBER(INDEX(Inputs!$D$4:$AG$150,0,MATCH(Q$2,Inputs!$D$2:$AG$2,0))))=0,"",SUMIFS(INDEX(Inputs!$D$4:$AG$150,0,MATCH(Q$2,Inputs!$D$2:$AG$2,0)),Inputs!$B$4:$B$150,$B54)/1000)</f>
        <v>68</v>
      </c>
      <c r="R54" s="12">
        <f>IF(COUNT(N54:Q54)=4,SUM(N54:Q54),"")</f>
        <v>505</v>
      </c>
      <c r="S54" s="11">
        <f>IF(SUMPRODUCT((Inputs!$B$4:$B$150=$B54)*ISNUMBER(INDEX(Inputs!$D$4:$AG$150,0,MATCH(S$2,Inputs!$D$2:$AG$2,0))))=0,"",SUMIFS(INDEX(Inputs!$D$4:$AG$150,0,MATCH(S$2,Inputs!$D$2:$AG$2,0)),Inputs!$B$4:$B$150,$B54)/1000)</f>
        <v>66</v>
      </c>
      <c r="T54" s="11">
        <f>IF(SUMPRODUCT((Inputs!$B$4:$B$150=$B54)*ISNUMBER(INDEX(Inputs!$D$4:$AG$150,0,MATCH(T$2,Inputs!$D$2:$AG$2,0))))=0,"",SUMIFS(INDEX(Inputs!$D$4:$AG$150,0,MATCH(T$2,Inputs!$D$2:$AG$2,0)),Inputs!$B$4:$B$150,$B54)/1000)</f>
        <v>111</v>
      </c>
      <c r="U54" s="11">
        <f>IF(SUMPRODUCT((Inputs!$B$4:$B$150=$B54)*ISNUMBER(INDEX(Inputs!$D$4:$AG$150,0,MATCH(U$2,Inputs!$D$2:$AG$2,0))))=0,"",SUMIFS(INDEX(Inputs!$D$4:$AG$150,0,MATCH(U$2,Inputs!$D$2:$AG$2,0)),Inputs!$B$4:$B$150,$B54)/1000)</f>
        <v>50</v>
      </c>
      <c r="V54" s="11">
        <f>IF(SUMPRODUCT((Inputs!$B$4:$B$150=$B54)*ISNUMBER(INDEX(Inputs!$D$4:$AG$150,0,MATCH(V$2,Inputs!$D$2:$AG$2,0))))=0,"",SUMIFS(INDEX(Inputs!$D$4:$AG$150,0,MATCH(V$2,Inputs!$D$2:$AG$2,0)),Inputs!$B$4:$B$150,$B54)/1000)</f>
        <v>88</v>
      </c>
      <c r="W54" s="12">
        <f>IF(COUNT(S54:V54)=4,SUM(S54:V54),"")</f>
        <v>315</v>
      </c>
      <c r="X54" s="11">
        <f>IF(SUMPRODUCT((Inputs!$B$4:$B$150=$B54)*ISNUMBER(INDEX(Inputs!$D$4:$AG$150,0,MATCH(X$2,Inputs!$D$2:$AG$2,0))))=0,"",SUMIFS(INDEX(Inputs!$D$4:$AG$150,0,MATCH(X$2,Inputs!$D$2:$AG$2,0)),Inputs!$B$4:$B$150,$B54)/1000)</f>
        <v>109</v>
      </c>
      <c r="Y54" s="11">
        <f>IF(SUMPRODUCT((Inputs!$B$4:$B$150=$B54)*ISNUMBER(INDEX(Inputs!$D$4:$AG$150,0,MATCH(Y$2,Inputs!$D$2:$AG$2,0))))=0,"",SUMIFS(INDEX(Inputs!$D$4:$AG$150,0,MATCH(Y$2,Inputs!$D$2:$AG$2,0)),Inputs!$B$4:$B$150,$B54)/1000)</f>
        <v>132</v>
      </c>
      <c r="Z54" s="11">
        <f>IF(SUMPRODUCT((Inputs!$B$4:$B$150=$B54)*ISNUMBER(INDEX(Inputs!$D$4:$AG$150,0,MATCH(Z$2,Inputs!$D$2:$AG$2,0))))=0,"",SUMIFS(INDEX(Inputs!$D$4:$AG$150,0,MATCH(Z$2,Inputs!$D$2:$AG$2,0)),Inputs!$B$4:$B$150,$B54)/1000)</f>
        <v>134</v>
      </c>
      <c r="AA54" s="11">
        <f>IF(SUMPRODUCT((Inputs!$B$4:$B$150=$B54)*ISNUMBER(INDEX(Inputs!$D$4:$AG$150,0,MATCH(AA$2,Inputs!$D$2:$AG$2,0))))=0,"",SUMIFS(INDEX(Inputs!$D$4:$AG$150,0,MATCH(AA$2,Inputs!$D$2:$AG$2,0)),Inputs!$B$4:$B$150,$B54)/1000)</f>
        <v>232</v>
      </c>
      <c r="AB54" s="12">
        <f>IF(COUNT(X54:AA54)=4,SUM(X54:AA54),"")</f>
        <v>607</v>
      </c>
      <c r="AC54" s="11">
        <f>IF(SUMPRODUCT((Inputs!$B$4:$B$150=$B54)*ISNUMBER(INDEX(Inputs!$D$4:$AG$150,0,MATCH(AC$2,Inputs!$D$2:$AG$2,0))))=0,"",SUMIFS(INDEX(Inputs!$D$4:$AG$150,0,MATCH(AC$2,Inputs!$D$2:$AG$2,0)),Inputs!$B$4:$B$150,$B54)/1000)</f>
        <v>262</v>
      </c>
      <c r="AD54" s="11">
        <f>IF(SUMPRODUCT((Inputs!$B$4:$B$150=$B54)*ISNUMBER(INDEX(Inputs!$D$4:$AG$150,0,MATCH(AD$2,Inputs!$D$2:$AG$2,0))))=0,"",SUMIFS(INDEX(Inputs!$D$4:$AG$150,0,MATCH(AD$2,Inputs!$D$2:$AG$2,0)),Inputs!$B$4:$B$150,$B54)/1000)</f>
        <v>265</v>
      </c>
      <c r="AE54" s="11" t="str">
        <f>IF(SUMPRODUCT((Inputs!$B$4:$B$150=$B54)*ISNUMBER(INDEX(Inputs!$D$4:$AG$150,0,MATCH(AE$2,Inputs!$D$2:$AG$2,0))))=0,"",SUMIFS(INDEX(Inputs!$D$4:$AG$150,0,MATCH(AE$2,Inputs!$D$2:$AG$2,0)),Inputs!$B$4:$B$150,$B54)/1000)</f>
        <v/>
      </c>
      <c r="AF54" s="11" t="str">
        <f>IF(SUMPRODUCT((Inputs!$B$4:$B$150=$B54)*ISNUMBER(INDEX(Inputs!$D$4:$AG$150,0,MATCH(AF$2,Inputs!$D$2:$AG$2,0))))=0,"",SUMIFS(INDEX(Inputs!$D$4:$AG$150,0,MATCH(AF$2,Inputs!$D$2:$AG$2,0)),Inputs!$B$4:$B$150,$B54)/1000)</f>
        <v/>
      </c>
      <c r="AG54" s="12" t="str">
        <f>IF(COUNT(AC54:AF54)=4,SUM(AC54:AF54),"")</f>
        <v/>
      </c>
    </row>
    <row r="55">
      <c r="B55" s="9" t="n">
        <v>47</v>
      </c>
      <c r="C55" s="10" t="inlineStr">
        <is>
          <t>Cerro Verde - receita (USD)</t>
        </is>
      </c>
      <c r="D55" s="11">
        <f>IF(SUMPRODUCT((Inputs!$B$4:$B$150=$B55)*ISNUMBER(INDEX(Inputs!$D$4:$AG$150,0,MATCH(D$2,Inputs!$D$2:$AG$2,0))))=0,"",SUMIFS(INDEX(Inputs!$D$4:$AG$150,0,MATCH(D$2,Inputs!$D$2:$AG$2,0)),Inputs!$B$4:$B$150,$B55)/1000)</f>
        <v>962</v>
      </c>
      <c r="E55" s="11">
        <f>IF(SUMPRODUCT((Inputs!$B$4:$B$150=$B55)*ISNUMBER(INDEX(Inputs!$D$4:$AG$150,0,MATCH(E$2,Inputs!$D$2:$AG$2,0))))=0,"",SUMIFS(INDEX(Inputs!$D$4:$AG$150,0,MATCH(E$2,Inputs!$D$2:$AG$2,0)),Inputs!$B$4:$B$150,$B55)/1000)</f>
        <v>945</v>
      </c>
      <c r="F55" s="11">
        <f>IF(SUMPRODUCT((Inputs!$B$4:$B$150=$B55)*ISNUMBER(INDEX(Inputs!$D$4:$AG$150,0,MATCH(F$2,Inputs!$D$2:$AG$2,0))))=0,"",SUMIFS(INDEX(Inputs!$D$4:$AG$150,0,MATCH(F$2,Inputs!$D$2:$AG$2,0)),Inputs!$B$4:$B$150,$B55)/1000)</f>
        <v>1074</v>
      </c>
      <c r="G55" s="11">
        <f>IF(SUMPRODUCT((Inputs!$B$4:$B$150=$B55)*ISNUMBER(INDEX(Inputs!$D$4:$AG$150,0,MATCH(G$2,Inputs!$D$2:$AG$2,0))))=0,"",SUMIFS(INDEX(Inputs!$D$4:$AG$150,0,MATCH(G$2,Inputs!$D$2:$AG$2,0)),Inputs!$B$4:$B$150,$B55)/1000)</f>
        <v>1215</v>
      </c>
      <c r="H55" s="12">
        <f>IF(COUNT(D55:G55)=4,SUM(D55:G55),"")</f>
        <v>4196</v>
      </c>
      <c r="I55" s="11">
        <f>IF(SUMPRODUCT((Inputs!$B$4:$B$150=$B55)*ISNUMBER(INDEX(Inputs!$D$4:$AG$150,0,MATCH(I$2,Inputs!$D$2:$AG$2,0))))=0,"",SUMIFS(INDEX(Inputs!$D$4:$AG$150,0,MATCH(I$2,Inputs!$D$2:$AG$2,0)),Inputs!$B$4:$B$150,$B55)/1000)</f>
        <v>1214</v>
      </c>
      <c r="J55" s="11">
        <f>IF(SUMPRODUCT((Inputs!$B$4:$B$150=$B55)*ISNUMBER(INDEX(Inputs!$D$4:$AG$150,0,MATCH(J$2,Inputs!$D$2:$AG$2,0))))=0,"",SUMIFS(INDEX(Inputs!$D$4:$AG$150,0,MATCH(J$2,Inputs!$D$2:$AG$2,0)),Inputs!$B$4:$B$150,$B55)/1000)</f>
        <v>836</v>
      </c>
      <c r="K55" s="11">
        <f>IF(SUMPRODUCT((Inputs!$B$4:$B$150=$B55)*ISNUMBER(INDEX(Inputs!$D$4:$AG$150,0,MATCH(K$2,Inputs!$D$2:$AG$2,0))))=0,"",SUMIFS(INDEX(Inputs!$D$4:$AG$150,0,MATCH(K$2,Inputs!$D$2:$AG$2,0)),Inputs!$B$4:$B$150,$B55)/1000)</f>
        <v>749</v>
      </c>
      <c r="L55" s="11">
        <f>IF(SUMPRODUCT((Inputs!$B$4:$B$150=$B55)*ISNUMBER(INDEX(Inputs!$D$4:$AG$150,0,MATCH(L$2,Inputs!$D$2:$AG$2,0))))=0,"",SUMIFS(INDEX(Inputs!$D$4:$AG$150,0,MATCH(L$2,Inputs!$D$2:$AG$2,0)),Inputs!$B$4:$B$150,$B55)/1000)</f>
        <v>1151</v>
      </c>
      <c r="M55" s="12">
        <f>IF(COUNT(I55:L55)=4,SUM(I55:L55),"")</f>
        <v>3950</v>
      </c>
      <c r="N55" s="11">
        <f>IF(SUMPRODUCT((Inputs!$B$4:$B$150=$B55)*ISNUMBER(INDEX(Inputs!$D$4:$AG$150,0,MATCH(N$2,Inputs!$D$2:$AG$2,0))))=0,"",SUMIFS(INDEX(Inputs!$D$4:$AG$150,0,MATCH(N$2,Inputs!$D$2:$AG$2,0)),Inputs!$B$4:$B$150,$B55)/1000)</f>
        <v>1202</v>
      </c>
      <c r="O55" s="11">
        <f>IF(SUMPRODUCT((Inputs!$B$4:$B$150=$B55)*ISNUMBER(INDEX(Inputs!$D$4:$AG$150,0,MATCH(O$2,Inputs!$D$2:$AG$2,0))))=0,"",SUMIFS(INDEX(Inputs!$D$4:$AG$150,0,MATCH(O$2,Inputs!$D$2:$AG$2,0)),Inputs!$B$4:$B$150,$B55)/1000)</f>
        <v>958</v>
      </c>
      <c r="P55" s="11">
        <f>IF(SUMPRODUCT((Inputs!$B$4:$B$150=$B55)*ISNUMBER(INDEX(Inputs!$D$4:$AG$150,0,MATCH(P$2,Inputs!$D$2:$AG$2,0))))=0,"",SUMIFS(INDEX(Inputs!$D$4:$AG$150,0,MATCH(P$2,Inputs!$D$2:$AG$2,0)),Inputs!$B$4:$B$150,$B55)/1000)</f>
        <v>1041</v>
      </c>
      <c r="Q55" s="11">
        <f>IF(SUMPRODUCT((Inputs!$B$4:$B$150=$B55)*ISNUMBER(INDEX(Inputs!$D$4:$AG$150,0,MATCH(Q$2,Inputs!$D$2:$AG$2,0))))=0,"",SUMIFS(INDEX(Inputs!$D$4:$AG$150,0,MATCH(Q$2,Inputs!$D$2:$AG$2,0)),Inputs!$B$4:$B$150,$B55)/1000)</f>
        <v>916</v>
      </c>
      <c r="R55" s="12">
        <f>IF(COUNT(N55:Q55)=4,SUM(N55:Q55),"")</f>
        <v>4117</v>
      </c>
      <c r="S55" s="11">
        <f>IF(SUMPRODUCT((Inputs!$B$4:$B$150=$B55)*ISNUMBER(INDEX(Inputs!$D$4:$AG$150,0,MATCH(S$2,Inputs!$D$2:$AG$2,0))))=0,"",SUMIFS(INDEX(Inputs!$D$4:$AG$150,0,MATCH(S$2,Inputs!$D$2:$AG$2,0)),Inputs!$B$4:$B$150,$B55)/1000)</f>
        <v>928</v>
      </c>
      <c r="T55" s="11">
        <f>IF(SUMPRODUCT((Inputs!$B$4:$B$150=$B55)*ISNUMBER(INDEX(Inputs!$D$4:$AG$150,0,MATCH(T$2,Inputs!$D$2:$AG$2,0))))=0,"",SUMIFS(INDEX(Inputs!$D$4:$AG$150,0,MATCH(T$2,Inputs!$D$2:$AG$2,0)),Inputs!$B$4:$B$150,$B55)/1000)</f>
        <v>1257</v>
      </c>
      <c r="U55" s="11">
        <f>IF(SUMPRODUCT((Inputs!$B$4:$B$150=$B55)*ISNUMBER(INDEX(Inputs!$D$4:$AG$150,0,MATCH(U$2,Inputs!$D$2:$AG$2,0))))=0,"",SUMIFS(INDEX(Inputs!$D$4:$AG$150,0,MATCH(U$2,Inputs!$D$2:$AG$2,0)),Inputs!$B$4:$B$150,$B55)/1000)</f>
        <v>1079</v>
      </c>
      <c r="V55" s="11">
        <f>IF(SUMPRODUCT((Inputs!$B$4:$B$150=$B55)*ISNUMBER(INDEX(Inputs!$D$4:$AG$150,0,MATCH(V$2,Inputs!$D$2:$AG$2,0))))=0,"",SUMIFS(INDEX(Inputs!$D$4:$AG$150,0,MATCH(V$2,Inputs!$D$2:$AG$2,0)),Inputs!$B$4:$B$150,$B55)/1000)</f>
        <v>992</v>
      </c>
      <c r="W55" s="12">
        <f>IF(COUNT(S55:V55)=4,SUM(S55:V55),"")</f>
        <v>4256</v>
      </c>
      <c r="X55" s="11">
        <f>IF(SUMPRODUCT((Inputs!$B$4:$B$150=$B55)*ISNUMBER(INDEX(Inputs!$D$4:$AG$150,0,MATCH(X$2,Inputs!$D$2:$AG$2,0))))=0,"",SUMIFS(INDEX(Inputs!$D$4:$AG$150,0,MATCH(X$2,Inputs!$D$2:$AG$2,0)),Inputs!$B$4:$B$150,$B55)/1000)</f>
        <v>1091</v>
      </c>
      <c r="Y55" s="11">
        <f>IF(SUMPRODUCT((Inputs!$B$4:$B$150=$B55)*ISNUMBER(INDEX(Inputs!$D$4:$AG$150,0,MATCH(Y$2,Inputs!$D$2:$AG$2,0))))=0,"",SUMIFS(INDEX(Inputs!$D$4:$AG$150,0,MATCH(Y$2,Inputs!$D$2:$AG$2,0)),Inputs!$B$4:$B$150,$B55)/1000)</f>
        <v>1029</v>
      </c>
      <c r="Z55" s="11">
        <f>IF(SUMPRODUCT((Inputs!$B$4:$B$150=$B55)*ISNUMBER(INDEX(Inputs!$D$4:$AG$150,0,MATCH(Z$2,Inputs!$D$2:$AG$2,0))))=0,"",SUMIFS(INDEX(Inputs!$D$4:$AG$150,0,MATCH(Z$2,Inputs!$D$2:$AG$2,0)),Inputs!$B$4:$B$150,$B55)/1000)</f>
        <v>1205</v>
      </c>
      <c r="AA55" s="11">
        <f>IF(SUMPRODUCT((Inputs!$B$4:$B$150=$B55)*ISNUMBER(INDEX(Inputs!$D$4:$AG$150,0,MATCH(AA$2,Inputs!$D$2:$AG$2,0))))=0,"",SUMIFS(INDEX(Inputs!$D$4:$AG$150,0,MATCH(AA$2,Inputs!$D$2:$AG$2,0)),Inputs!$B$4:$B$150,$B55)/1000)</f>
        <v>1381</v>
      </c>
      <c r="AB55" s="12">
        <f>IF(COUNT(X55:AA55)=4,SUM(X55:AA55),"")</f>
        <v>4706</v>
      </c>
      <c r="AC55" s="11">
        <f>IF(SUMPRODUCT((Inputs!$B$4:$B$150=$B55)*ISNUMBER(INDEX(Inputs!$D$4:$AG$150,0,MATCH(AC$2,Inputs!$D$2:$AG$2,0))))=0,"",SUMIFS(INDEX(Inputs!$D$4:$AG$150,0,MATCH(AC$2,Inputs!$D$2:$AG$2,0)),Inputs!$B$4:$B$150,$B55)/1000)</f>
        <v>1381</v>
      </c>
      <c r="AD55" s="11">
        <f>IF(SUMPRODUCT((Inputs!$B$4:$B$150=$B55)*ISNUMBER(INDEX(Inputs!$D$4:$AG$150,0,MATCH(AD$2,Inputs!$D$2:$AG$2,0))))=0,"",SUMIFS(INDEX(Inputs!$D$4:$AG$150,0,MATCH(AD$2,Inputs!$D$2:$AG$2,0)),Inputs!$B$4:$B$150,$B55)/1000)</f>
        <v>1487</v>
      </c>
      <c r="AE55" s="11" t="str">
        <f>IF(SUMPRODUCT((Inputs!$B$4:$B$150=$B55)*ISNUMBER(INDEX(Inputs!$D$4:$AG$150,0,MATCH(AE$2,Inputs!$D$2:$AG$2,0))))=0,"",SUMIFS(INDEX(Inputs!$D$4:$AG$150,0,MATCH(AE$2,Inputs!$D$2:$AG$2,0)),Inputs!$B$4:$B$150,$B55)/1000)</f>
        <v/>
      </c>
      <c r="AF55" s="11" t="str">
        <f>IF(SUMPRODUCT((Inputs!$B$4:$B$150=$B55)*ISNUMBER(INDEX(Inputs!$D$4:$AG$150,0,MATCH(AF$2,Inputs!$D$2:$AG$2,0))))=0,"",SUMIFS(INDEX(Inputs!$D$4:$AG$150,0,MATCH(AF$2,Inputs!$D$2:$AG$2,0)),Inputs!$B$4:$B$150,$B55)/1000)</f>
        <v/>
      </c>
      <c r="AG55" s="12" t="str">
        <f>IF(COUNT(AC55:AF55)=4,SUM(AC55:AF55),"")</f>
        <v/>
      </c>
    </row>
    <row r="56">
      <c r="B56" s="9" t="n">
        <v>48</v>
      </c>
      <c r="C56" s="10" t="inlineStr">
        <is>
          <t>Cerro Verde - lucro do segmento (USD)</t>
        </is>
      </c>
      <c r="D56" s="11">
        <f>IF(SUMPRODUCT((Inputs!$B$4:$B$150=$B56)*ISNUMBER(INDEX(Inputs!$D$4:$AG$150,0,MATCH(D$2,Inputs!$D$2:$AG$2,0))))=0,"",SUMIFS(INDEX(Inputs!$D$4:$AG$150,0,MATCH(D$2,Inputs!$D$2:$AG$2,0)),Inputs!$B$4:$B$150,$B56)/1000)</f>
        <v>435</v>
      </c>
      <c r="E56" s="11">
        <f>IF(SUMPRODUCT((Inputs!$B$4:$B$150=$B56)*ISNUMBER(INDEX(Inputs!$D$4:$AG$150,0,MATCH(E$2,Inputs!$D$2:$AG$2,0))))=0,"",SUMIFS(INDEX(Inputs!$D$4:$AG$150,0,MATCH(E$2,Inputs!$D$2:$AG$2,0)),Inputs!$B$4:$B$150,$B56)/1000)</f>
        <v>367</v>
      </c>
      <c r="F56" s="11">
        <f>IF(SUMPRODUCT((Inputs!$B$4:$B$150=$B56)*ISNUMBER(INDEX(Inputs!$D$4:$AG$150,0,MATCH(F$2,Inputs!$D$2:$AG$2,0))))=0,"",SUMIFS(INDEX(Inputs!$D$4:$AG$150,0,MATCH(F$2,Inputs!$D$2:$AG$2,0)),Inputs!$B$4:$B$150,$B56)/1000)</f>
        <v>438</v>
      </c>
      <c r="G56" s="11">
        <f>IF(SUMPRODUCT((Inputs!$B$4:$B$150=$B56)*ISNUMBER(INDEX(Inputs!$D$4:$AG$150,0,MATCH(G$2,Inputs!$D$2:$AG$2,0))))=0,"",SUMIFS(INDEX(Inputs!$D$4:$AG$150,0,MATCH(G$2,Inputs!$D$2:$AG$2,0)),Inputs!$B$4:$B$150,$B56)/1000)</f>
        <v>582</v>
      </c>
      <c r="H56" s="12">
        <f>IF(COUNT(D56:G56)=4,SUM(D56:G56),"")</f>
        <v>1822</v>
      </c>
      <c r="I56" s="11">
        <f>IF(SUMPRODUCT((Inputs!$B$4:$B$150=$B56)*ISNUMBER(INDEX(Inputs!$D$4:$AG$150,0,MATCH(I$2,Inputs!$D$2:$AG$2,0))))=0,"",SUMIFS(INDEX(Inputs!$D$4:$AG$150,0,MATCH(I$2,Inputs!$D$2:$AG$2,0)),Inputs!$B$4:$B$150,$B56)/1000)</f>
        <v>567</v>
      </c>
      <c r="J56" s="11">
        <f>IF(SUMPRODUCT((Inputs!$B$4:$B$150=$B56)*ISNUMBER(INDEX(Inputs!$D$4:$AG$150,0,MATCH(J$2,Inputs!$D$2:$AG$2,0))))=0,"",SUMIFS(INDEX(Inputs!$D$4:$AG$150,0,MATCH(J$2,Inputs!$D$2:$AG$2,0)),Inputs!$B$4:$B$150,$B56)/1000)</f>
        <v>169</v>
      </c>
      <c r="K56" s="11">
        <f>IF(SUMPRODUCT((Inputs!$B$4:$B$150=$B56)*ISNUMBER(INDEX(Inputs!$D$4:$AG$150,0,MATCH(K$2,Inputs!$D$2:$AG$2,0))))=0,"",SUMIFS(INDEX(Inputs!$D$4:$AG$150,0,MATCH(K$2,Inputs!$D$2:$AG$2,0)),Inputs!$B$4:$B$150,$B56)/1000)</f>
        <v>82</v>
      </c>
      <c r="L56" s="11">
        <f>IF(SUMPRODUCT((Inputs!$B$4:$B$150=$B56)*ISNUMBER(INDEX(Inputs!$D$4:$AG$150,0,MATCH(L$2,Inputs!$D$2:$AG$2,0))))=0,"",SUMIFS(INDEX(Inputs!$D$4:$AG$150,0,MATCH(L$2,Inputs!$D$2:$AG$2,0)),Inputs!$B$4:$B$150,$B56)/1000)</f>
        <v>398</v>
      </c>
      <c r="M56" s="12">
        <f>IF(COUNT(I56:L56)=4,SUM(I56:L56),"")</f>
        <v>1216</v>
      </c>
      <c r="N56" s="11">
        <f>IF(SUMPRODUCT((Inputs!$B$4:$B$150=$B56)*ISNUMBER(INDEX(Inputs!$D$4:$AG$150,0,MATCH(N$2,Inputs!$D$2:$AG$2,0))))=0,"",SUMIFS(INDEX(Inputs!$D$4:$AG$150,0,MATCH(N$2,Inputs!$D$2:$AG$2,0)),Inputs!$B$4:$B$150,$B56)/1000)</f>
        <v>488</v>
      </c>
      <c r="O56" s="11">
        <f>IF(SUMPRODUCT((Inputs!$B$4:$B$150=$B56)*ISNUMBER(INDEX(Inputs!$D$4:$AG$150,0,MATCH(O$2,Inputs!$D$2:$AG$2,0))))=0,"",SUMIFS(INDEX(Inputs!$D$4:$AG$150,0,MATCH(O$2,Inputs!$D$2:$AG$2,0)),Inputs!$B$4:$B$150,$B56)/1000)</f>
        <v>227</v>
      </c>
      <c r="P56" s="11">
        <f>IF(SUMPRODUCT((Inputs!$B$4:$B$150=$B56)*ISNUMBER(INDEX(Inputs!$D$4:$AG$150,0,MATCH(P$2,Inputs!$D$2:$AG$2,0))))=0,"",SUMIFS(INDEX(Inputs!$D$4:$AG$150,0,MATCH(P$2,Inputs!$D$2:$AG$2,0)),Inputs!$B$4:$B$150,$B56)/1000)</f>
        <v>293</v>
      </c>
      <c r="Q56" s="11">
        <f>IF(SUMPRODUCT((Inputs!$B$4:$B$150=$B56)*ISNUMBER(INDEX(Inputs!$D$4:$AG$150,0,MATCH(Q$2,Inputs!$D$2:$AG$2,0))))=0,"",SUMIFS(INDEX(Inputs!$D$4:$AG$150,0,MATCH(Q$2,Inputs!$D$2:$AG$2,0)),Inputs!$B$4:$B$150,$B56)/1000)</f>
        <v>170</v>
      </c>
      <c r="R56" s="12">
        <f>IF(COUNT(N56:Q56)=4,SUM(N56:Q56),"")</f>
        <v>1178</v>
      </c>
      <c r="S56" s="11">
        <f>IF(SUMPRODUCT((Inputs!$B$4:$B$150=$B56)*ISNUMBER(INDEX(Inputs!$D$4:$AG$150,0,MATCH(S$2,Inputs!$D$2:$AG$2,0))))=0,"",SUMIFS(INDEX(Inputs!$D$4:$AG$150,0,MATCH(S$2,Inputs!$D$2:$AG$2,0)),Inputs!$B$4:$B$150,$B56)/1000)</f>
        <v>228</v>
      </c>
      <c r="T56" s="11">
        <f>IF(SUMPRODUCT((Inputs!$B$4:$B$150=$B56)*ISNUMBER(INDEX(Inputs!$D$4:$AG$150,0,MATCH(T$2,Inputs!$D$2:$AG$2,0))))=0,"",SUMIFS(INDEX(Inputs!$D$4:$AG$150,0,MATCH(T$2,Inputs!$D$2:$AG$2,0)),Inputs!$B$4:$B$150,$B56)/1000)</f>
        <v>476</v>
      </c>
      <c r="U56" s="11">
        <f>IF(SUMPRODUCT((Inputs!$B$4:$B$150=$B56)*ISNUMBER(INDEX(Inputs!$D$4:$AG$150,0,MATCH(U$2,Inputs!$D$2:$AG$2,0))))=0,"",SUMIFS(INDEX(Inputs!$D$4:$AG$150,0,MATCH(U$2,Inputs!$D$2:$AG$2,0)),Inputs!$B$4:$B$150,$B56)/1000)</f>
        <v>352</v>
      </c>
      <c r="V56" s="11">
        <f>IF(SUMPRODUCT((Inputs!$B$4:$B$150=$B56)*ISNUMBER(INDEX(Inputs!$D$4:$AG$150,0,MATCH(V$2,Inputs!$D$2:$AG$2,0))))=0,"",SUMIFS(INDEX(Inputs!$D$4:$AG$150,0,MATCH(V$2,Inputs!$D$2:$AG$2,0)),Inputs!$B$4:$B$150,$B56)/1000)</f>
        <v>271</v>
      </c>
      <c r="W56" s="12">
        <f>IF(COUNT(S56:V56)=4,SUM(S56:V56),"")</f>
        <v>1327</v>
      </c>
      <c r="X56" s="11">
        <f>IF(SUMPRODUCT((Inputs!$B$4:$B$150=$B56)*ISNUMBER(INDEX(Inputs!$D$4:$AG$150,0,MATCH(X$2,Inputs!$D$2:$AG$2,0))))=0,"",SUMIFS(INDEX(Inputs!$D$4:$AG$150,0,MATCH(X$2,Inputs!$D$2:$AG$2,0)),Inputs!$B$4:$B$150,$B56)/1000)</f>
        <v>409</v>
      </c>
      <c r="Y56" s="11">
        <f>IF(SUMPRODUCT((Inputs!$B$4:$B$150=$B56)*ISNUMBER(INDEX(Inputs!$D$4:$AG$150,0,MATCH(Y$2,Inputs!$D$2:$AG$2,0))))=0,"",SUMIFS(INDEX(Inputs!$D$4:$AG$150,0,MATCH(Y$2,Inputs!$D$2:$AG$2,0)),Inputs!$B$4:$B$150,$B56)/1000)</f>
        <v>340</v>
      </c>
      <c r="Z56" s="11">
        <f>IF(SUMPRODUCT((Inputs!$B$4:$B$150=$B56)*ISNUMBER(INDEX(Inputs!$D$4:$AG$150,0,MATCH(Z$2,Inputs!$D$2:$AG$2,0))))=0,"",SUMIFS(INDEX(Inputs!$D$4:$AG$150,0,MATCH(Z$2,Inputs!$D$2:$AG$2,0)),Inputs!$B$4:$B$150,$B56)/1000)</f>
        <v>467</v>
      </c>
      <c r="AA56" s="11">
        <f>IF(SUMPRODUCT((Inputs!$B$4:$B$150=$B56)*ISNUMBER(INDEX(Inputs!$D$4:$AG$150,0,MATCH(AA$2,Inputs!$D$2:$AG$2,0))))=0,"",SUMIFS(INDEX(Inputs!$D$4:$AG$150,0,MATCH(AA$2,Inputs!$D$2:$AG$2,0)),Inputs!$B$4:$B$150,$B56)/1000)</f>
        <v>602</v>
      </c>
      <c r="AB56" s="12">
        <f>IF(COUNT(X56:AA56)=4,SUM(X56:AA56),"")</f>
        <v>1818</v>
      </c>
      <c r="AC56" s="11">
        <f>IF(SUMPRODUCT((Inputs!$B$4:$B$150=$B56)*ISNUMBER(INDEX(Inputs!$D$4:$AG$150,0,MATCH(AC$2,Inputs!$D$2:$AG$2,0))))=0,"",SUMIFS(INDEX(Inputs!$D$4:$AG$150,0,MATCH(AC$2,Inputs!$D$2:$AG$2,0)),Inputs!$B$4:$B$150,$B56)/1000)</f>
        <v>638</v>
      </c>
      <c r="AD56" s="11">
        <f>IF(SUMPRODUCT((Inputs!$B$4:$B$150=$B56)*ISNUMBER(INDEX(Inputs!$D$4:$AG$150,0,MATCH(AD$2,Inputs!$D$2:$AG$2,0))))=0,"",SUMIFS(INDEX(Inputs!$D$4:$AG$150,0,MATCH(AD$2,Inputs!$D$2:$AG$2,0)),Inputs!$B$4:$B$150,$B56)/1000)</f>
        <v>736</v>
      </c>
      <c r="AE56" s="11" t="str">
        <f>IF(SUMPRODUCT((Inputs!$B$4:$B$150=$B56)*ISNUMBER(INDEX(Inputs!$D$4:$AG$150,0,MATCH(AE$2,Inputs!$D$2:$AG$2,0))))=0,"",SUMIFS(INDEX(Inputs!$D$4:$AG$150,0,MATCH(AE$2,Inputs!$D$2:$AG$2,0)),Inputs!$B$4:$B$150,$B56)/1000)</f>
        <v/>
      </c>
      <c r="AF56" s="11" t="str">
        <f>IF(SUMPRODUCT((Inputs!$B$4:$B$150=$B56)*ISNUMBER(INDEX(Inputs!$D$4:$AG$150,0,MATCH(AF$2,Inputs!$D$2:$AG$2,0))))=0,"",SUMIFS(INDEX(Inputs!$D$4:$AG$150,0,MATCH(AF$2,Inputs!$D$2:$AG$2,0)),Inputs!$B$4:$B$150,$B56)/1000)</f>
        <v/>
      </c>
      <c r="AG56" s="12" t="str">
        <f>IF(COUNT(AC56:AF56)=4,SUM(AC56:AF56),"")</f>
        <v/>
      </c>
    </row>
    <row r="57">
      <c r="B57" s="9" t="n">
        <v>49</v>
      </c>
      <c r="C57" s="10" t="inlineStr">
        <is>
          <t>Grasberg (Indonésia) - receita (USD)</t>
        </is>
      </c>
      <c r="D57" s="11">
        <f>IF(SUMPRODUCT((Inputs!$B$4:$B$150=$B57)*ISNUMBER(INDEX(Inputs!$D$4:$AG$150,0,MATCH(D$2,Inputs!$D$2:$AG$2,0))))=0,"",SUMIFS(INDEX(Inputs!$D$4:$AG$150,0,MATCH(D$2,Inputs!$D$2:$AG$2,0)),Inputs!$B$4:$B$150,$B57)/1000)</f>
        <v>1435</v>
      </c>
      <c r="E57" s="11">
        <f>IF(SUMPRODUCT((Inputs!$B$4:$B$150=$B57)*ISNUMBER(INDEX(Inputs!$D$4:$AG$150,0,MATCH(E$2,Inputs!$D$2:$AG$2,0))))=0,"",SUMIFS(INDEX(Inputs!$D$4:$AG$150,0,MATCH(E$2,Inputs!$D$2:$AG$2,0)),Inputs!$B$4:$B$150,$B57)/1000)</f>
        <v>1809</v>
      </c>
      <c r="F57" s="11">
        <f>IF(SUMPRODUCT((Inputs!$B$4:$B$150=$B57)*ISNUMBER(INDEX(Inputs!$D$4:$AG$150,0,MATCH(F$2,Inputs!$D$2:$AG$2,0))))=0,"",SUMIFS(INDEX(Inputs!$D$4:$AG$150,0,MATCH(F$2,Inputs!$D$2:$AG$2,0)),Inputs!$B$4:$B$150,$B57)/1000)</f>
        <v>2042</v>
      </c>
      <c r="G57" s="11">
        <f>IF(SUMPRODUCT((Inputs!$B$4:$B$150=$B57)*ISNUMBER(INDEX(Inputs!$D$4:$AG$150,0,MATCH(G$2,Inputs!$D$2:$AG$2,0))))=0,"",SUMIFS(INDEX(Inputs!$D$4:$AG$150,0,MATCH(G$2,Inputs!$D$2:$AG$2,0)),Inputs!$B$4:$B$150,$B57)/1000)</f>
        <v>2237</v>
      </c>
      <c r="H57" s="12">
        <f>IF(COUNT(D57:G57)=4,SUM(D57:G57),"")</f>
        <v>7523</v>
      </c>
      <c r="I57" s="11">
        <f>IF(SUMPRODUCT((Inputs!$B$4:$B$150=$B57)*ISNUMBER(INDEX(Inputs!$D$4:$AG$150,0,MATCH(I$2,Inputs!$D$2:$AG$2,0))))=0,"",SUMIFS(INDEX(Inputs!$D$4:$AG$150,0,MATCH(I$2,Inputs!$D$2:$AG$2,0)),Inputs!$B$4:$B$150,$B57)/1000)</f>
        <v>2404</v>
      </c>
      <c r="J57" s="11">
        <f>IF(SUMPRODUCT((Inputs!$B$4:$B$150=$B57)*ISNUMBER(INDEX(Inputs!$D$4:$AG$150,0,MATCH(J$2,Inputs!$D$2:$AG$2,0))))=0,"",SUMIFS(INDEX(Inputs!$D$4:$AG$150,0,MATCH(J$2,Inputs!$D$2:$AG$2,0)),Inputs!$B$4:$B$150,$B57)/1000)</f>
        <v>1978</v>
      </c>
      <c r="K57" s="11">
        <f>IF(SUMPRODUCT((Inputs!$B$4:$B$150=$B57)*ISNUMBER(INDEX(Inputs!$D$4:$AG$150,0,MATCH(K$2,Inputs!$D$2:$AG$2,0))))=0,"",SUMIFS(INDEX(Inputs!$D$4:$AG$150,0,MATCH(K$2,Inputs!$D$2:$AG$2,0)),Inputs!$B$4:$B$150,$B57)/1000)</f>
        <v>1798</v>
      </c>
      <c r="L57" s="11">
        <f>IF(SUMPRODUCT((Inputs!$B$4:$B$150=$B57)*ISNUMBER(INDEX(Inputs!$D$4:$AG$150,0,MATCH(L$2,Inputs!$D$2:$AG$2,0))))=0,"",SUMIFS(INDEX(Inputs!$D$4:$AG$150,0,MATCH(L$2,Inputs!$D$2:$AG$2,0)),Inputs!$B$4:$B$150,$B57)/1000)</f>
        <v>2246</v>
      </c>
      <c r="M57" s="12">
        <f>IF(COUNT(I57:L57)=4,SUM(I57:L57),"")</f>
        <v>8426</v>
      </c>
      <c r="N57" s="11">
        <f>IF(SUMPRODUCT((Inputs!$B$4:$B$150=$B57)*ISNUMBER(INDEX(Inputs!$D$4:$AG$150,0,MATCH(N$2,Inputs!$D$2:$AG$2,0))))=0,"",SUMIFS(INDEX(Inputs!$D$4:$AG$150,0,MATCH(N$2,Inputs!$D$2:$AG$2,0)),Inputs!$B$4:$B$150,$B57)/1000)</f>
        <v>1368</v>
      </c>
      <c r="O57" s="11">
        <f>IF(SUMPRODUCT((Inputs!$B$4:$B$150=$B57)*ISNUMBER(INDEX(Inputs!$D$4:$AG$150,0,MATCH(O$2,Inputs!$D$2:$AG$2,0))))=0,"",SUMIFS(INDEX(Inputs!$D$4:$AG$150,0,MATCH(O$2,Inputs!$D$2:$AG$2,0)),Inputs!$B$4:$B$150,$B57)/1000)</f>
        <v>2237</v>
      </c>
      <c r="P57" s="11">
        <f>IF(SUMPRODUCT((Inputs!$B$4:$B$150=$B57)*ISNUMBER(INDEX(Inputs!$D$4:$AG$150,0,MATCH(P$2,Inputs!$D$2:$AG$2,0))))=0,"",SUMIFS(INDEX(Inputs!$D$4:$AG$150,0,MATCH(P$2,Inputs!$D$2:$AG$2,0)),Inputs!$B$4:$B$150,$B57)/1000)</f>
        <v>2095</v>
      </c>
      <c r="Q57" s="11">
        <f>IF(SUMPRODUCT((Inputs!$B$4:$B$150=$B57)*ISNUMBER(INDEX(Inputs!$D$4:$AG$150,0,MATCH(Q$2,Inputs!$D$2:$AG$2,0))))=0,"",SUMIFS(INDEX(Inputs!$D$4:$AG$150,0,MATCH(Q$2,Inputs!$D$2:$AG$2,0)),Inputs!$B$4:$B$150,$B57)/1000)</f>
        <v>2737</v>
      </c>
      <c r="R57" s="12">
        <f>IF(COUNT(N57:Q57)=4,SUM(N57:Q57),"")</f>
        <v>8437</v>
      </c>
      <c r="S57" s="11">
        <f>IF(SUMPRODUCT((Inputs!$B$4:$B$150=$B57)*ISNUMBER(INDEX(Inputs!$D$4:$AG$150,0,MATCH(S$2,Inputs!$D$2:$AG$2,0))))=0,"",SUMIFS(INDEX(Inputs!$D$4:$AG$150,0,MATCH(S$2,Inputs!$D$2:$AG$2,0)),Inputs!$B$4:$B$150,$B57)/1000)</f>
        <v>2825</v>
      </c>
      <c r="T57" s="11">
        <f>IF(SUMPRODUCT((Inputs!$B$4:$B$150=$B57)*ISNUMBER(INDEX(Inputs!$D$4:$AG$150,0,MATCH(T$2,Inputs!$D$2:$AG$2,0))))=0,"",SUMIFS(INDEX(Inputs!$D$4:$AG$150,0,MATCH(T$2,Inputs!$D$2:$AG$2,0)),Inputs!$B$4:$B$150,$B57)/1000)</f>
        <v>2268</v>
      </c>
      <c r="U57" s="11">
        <f>IF(SUMPRODUCT((Inputs!$B$4:$B$150=$B57)*ISNUMBER(INDEX(Inputs!$D$4:$AG$150,0,MATCH(U$2,Inputs!$D$2:$AG$2,0))))=0,"",SUMIFS(INDEX(Inputs!$D$4:$AG$150,0,MATCH(U$2,Inputs!$D$2:$AG$2,0)),Inputs!$B$4:$B$150,$B57)/1000)</f>
        <v>2982</v>
      </c>
      <c r="V57" s="11">
        <f>IF(SUMPRODUCT((Inputs!$B$4:$B$150=$B57)*ISNUMBER(INDEX(Inputs!$D$4:$AG$150,0,MATCH(V$2,Inputs!$D$2:$AG$2,0))))=0,"",SUMIFS(INDEX(Inputs!$D$4:$AG$150,0,MATCH(V$2,Inputs!$D$2:$AG$2,0)),Inputs!$B$4:$B$150,$B57)/1000)</f>
        <v>2243</v>
      </c>
      <c r="W57" s="12">
        <f>IF(COUNT(S57:V57)=4,SUM(S57:V57),"")</f>
        <v>10318</v>
      </c>
      <c r="X57" s="11">
        <f>IF(SUMPRODUCT((Inputs!$B$4:$B$150=$B57)*ISNUMBER(INDEX(Inputs!$D$4:$AG$150,0,MATCH(X$2,Inputs!$D$2:$AG$2,0))))=0,"",SUMIFS(INDEX(Inputs!$D$4:$AG$150,0,MATCH(X$2,Inputs!$D$2:$AG$2,0)),Inputs!$B$4:$B$150,$B57)/1000)</f>
        <v>1570</v>
      </c>
      <c r="Y57" s="11">
        <f>IF(SUMPRODUCT((Inputs!$B$4:$B$150=$B57)*ISNUMBER(INDEX(Inputs!$D$4:$AG$150,0,MATCH(Y$2,Inputs!$D$2:$AG$2,0))))=0,"",SUMIFS(INDEX(Inputs!$D$4:$AG$150,0,MATCH(Y$2,Inputs!$D$2:$AG$2,0)),Inputs!$B$4:$B$150,$B57)/1000)</f>
        <v>3417</v>
      </c>
      <c r="Z57" s="11">
        <f>IF(SUMPRODUCT((Inputs!$B$4:$B$150=$B57)*ISNUMBER(INDEX(Inputs!$D$4:$AG$150,0,MATCH(Z$2,Inputs!$D$2:$AG$2,0))))=0,"",SUMIFS(INDEX(Inputs!$D$4:$AG$150,0,MATCH(Z$2,Inputs!$D$2:$AG$2,0)),Inputs!$B$4:$B$150,$B57)/1000)</f>
        <v>2675</v>
      </c>
      <c r="AA57" s="11">
        <f>IF(SUMPRODUCT((Inputs!$B$4:$B$150=$B57)*ISNUMBER(INDEX(Inputs!$D$4:$AG$150,0,MATCH(AA$2,Inputs!$D$2:$AG$2,0))))=0,"",SUMIFS(INDEX(Inputs!$D$4:$AG$150,0,MATCH(AA$2,Inputs!$D$2:$AG$2,0)),Inputs!$B$4:$B$150,$B57)/1000)</f>
        <v>960</v>
      </c>
      <c r="AB57" s="12">
        <f>IF(COUNT(X57:AA57)=4,SUM(X57:AA57),"")</f>
        <v>8622</v>
      </c>
      <c r="AC57" s="11">
        <f>IF(SUMPRODUCT((Inputs!$B$4:$B$150=$B57)*ISNUMBER(INDEX(Inputs!$D$4:$AG$150,0,MATCH(AC$2,Inputs!$D$2:$AG$2,0))))=0,"",SUMIFS(INDEX(Inputs!$D$4:$AG$150,0,MATCH(AC$2,Inputs!$D$2:$AG$2,0)),Inputs!$B$4:$B$150,$B57)/1000)</f>
        <v>1072</v>
      </c>
      <c r="AD57" s="11">
        <f>IF(SUMPRODUCT((Inputs!$B$4:$B$150=$B57)*ISNUMBER(INDEX(Inputs!$D$4:$AG$150,0,MATCH(AD$2,Inputs!$D$2:$AG$2,0))))=0,"",SUMIFS(INDEX(Inputs!$D$4:$AG$150,0,MATCH(AD$2,Inputs!$D$2:$AG$2,0)),Inputs!$B$4:$B$150,$B57)/1000)</f>
        <v>1483</v>
      </c>
      <c r="AE57" s="11" t="str">
        <f>IF(SUMPRODUCT((Inputs!$B$4:$B$150=$B57)*ISNUMBER(INDEX(Inputs!$D$4:$AG$150,0,MATCH(AE$2,Inputs!$D$2:$AG$2,0))))=0,"",SUMIFS(INDEX(Inputs!$D$4:$AG$150,0,MATCH(AE$2,Inputs!$D$2:$AG$2,0)),Inputs!$B$4:$B$150,$B57)/1000)</f>
        <v/>
      </c>
      <c r="AF57" s="11" t="str">
        <f>IF(SUMPRODUCT((Inputs!$B$4:$B$150=$B57)*ISNUMBER(INDEX(Inputs!$D$4:$AG$150,0,MATCH(AF$2,Inputs!$D$2:$AG$2,0))))=0,"",SUMIFS(INDEX(Inputs!$D$4:$AG$150,0,MATCH(AF$2,Inputs!$D$2:$AG$2,0)),Inputs!$B$4:$B$150,$B57)/1000)</f>
        <v/>
      </c>
      <c r="AG57" s="12" t="str">
        <f>IF(COUNT(AC57:AF57)=4,SUM(AC57:AF57),"")</f>
        <v/>
      </c>
    </row>
    <row r="58">
      <c r="B58" s="9" t="n">
        <v>50</v>
      </c>
      <c r="C58" s="10" t="inlineStr">
        <is>
          <t>Grasberg (Indonésia) - lucro do segmento (USD)</t>
        </is>
      </c>
      <c r="D58" s="11">
        <f>IF(SUMPRODUCT((Inputs!$B$4:$B$150=$B58)*ISNUMBER(INDEX(Inputs!$D$4:$AG$150,0,MATCH(D$2,Inputs!$D$2:$AG$2,0))))=0,"",SUMIFS(INDEX(Inputs!$D$4:$AG$150,0,MATCH(D$2,Inputs!$D$2:$AG$2,0)),Inputs!$B$4:$B$150,$B58)/1000)</f>
        <v>755</v>
      </c>
      <c r="E58" s="11">
        <f>IF(SUMPRODUCT((Inputs!$B$4:$B$150=$B58)*ISNUMBER(INDEX(Inputs!$D$4:$AG$150,0,MATCH(E$2,Inputs!$D$2:$AG$2,0))))=0,"",SUMIFS(INDEX(Inputs!$D$4:$AG$150,0,MATCH(E$2,Inputs!$D$2:$AG$2,0)),Inputs!$B$4:$B$150,$B58)/1000)</f>
        <v>1007</v>
      </c>
      <c r="F58" s="11">
        <f>IF(SUMPRODUCT((Inputs!$B$4:$B$150=$B58)*ISNUMBER(INDEX(Inputs!$D$4:$AG$150,0,MATCH(F$2,Inputs!$D$2:$AG$2,0))))=0,"",SUMIFS(INDEX(Inputs!$D$4:$AG$150,0,MATCH(F$2,Inputs!$D$2:$AG$2,0)),Inputs!$B$4:$B$150,$B58)/1000)</f>
        <v>1165</v>
      </c>
      <c r="G58" s="11">
        <f>IF(SUMPRODUCT((Inputs!$B$4:$B$150=$B58)*ISNUMBER(INDEX(Inputs!$D$4:$AG$150,0,MATCH(G$2,Inputs!$D$2:$AG$2,0))))=0,"",SUMIFS(INDEX(Inputs!$D$4:$AG$150,0,MATCH(G$2,Inputs!$D$2:$AG$2,0)),Inputs!$B$4:$B$150,$B58)/1000)</f>
        <v>1011</v>
      </c>
      <c r="H58" s="12">
        <f>IF(COUNT(D58:G58)=4,SUM(D58:G58),"")</f>
        <v>3938</v>
      </c>
      <c r="I58" s="11">
        <f>IF(SUMPRODUCT((Inputs!$B$4:$B$150=$B58)*ISNUMBER(INDEX(Inputs!$D$4:$AG$150,0,MATCH(I$2,Inputs!$D$2:$AG$2,0))))=0,"",SUMIFS(INDEX(Inputs!$D$4:$AG$150,0,MATCH(I$2,Inputs!$D$2:$AG$2,0)),Inputs!$B$4:$B$150,$B58)/1000)</f>
        <v>1503</v>
      </c>
      <c r="J58" s="11">
        <f>IF(SUMPRODUCT((Inputs!$B$4:$B$150=$B58)*ISNUMBER(INDEX(Inputs!$D$4:$AG$150,0,MATCH(J$2,Inputs!$D$2:$AG$2,0))))=0,"",SUMIFS(INDEX(Inputs!$D$4:$AG$150,0,MATCH(J$2,Inputs!$D$2:$AG$2,0)),Inputs!$B$4:$B$150,$B58)/1000)</f>
        <v>1122</v>
      </c>
      <c r="K58" s="11">
        <f>IF(SUMPRODUCT((Inputs!$B$4:$B$150=$B58)*ISNUMBER(INDEX(Inputs!$D$4:$AG$150,0,MATCH(K$2,Inputs!$D$2:$AG$2,0))))=0,"",SUMIFS(INDEX(Inputs!$D$4:$AG$150,0,MATCH(K$2,Inputs!$D$2:$AG$2,0)),Inputs!$B$4:$B$150,$B58)/1000)</f>
        <v>844</v>
      </c>
      <c r="L58" s="11">
        <f>IF(SUMPRODUCT((Inputs!$B$4:$B$150=$B58)*ISNUMBER(INDEX(Inputs!$D$4:$AG$150,0,MATCH(L$2,Inputs!$D$2:$AG$2,0))))=0,"",SUMIFS(INDEX(Inputs!$D$4:$AG$150,0,MATCH(L$2,Inputs!$D$2:$AG$2,0)),Inputs!$B$4:$B$150,$B58)/1000)</f>
        <v>1131</v>
      </c>
      <c r="M58" s="12">
        <f>IF(COUNT(I58:L58)=4,SUM(I58:L58),"")</f>
        <v>4600</v>
      </c>
      <c r="N58" s="11">
        <f>IF(SUMPRODUCT((Inputs!$B$4:$B$150=$B58)*ISNUMBER(INDEX(Inputs!$D$4:$AG$150,0,MATCH(N$2,Inputs!$D$2:$AG$2,0))))=0,"",SUMIFS(INDEX(Inputs!$D$4:$AG$150,0,MATCH(N$2,Inputs!$D$2:$AG$2,0)),Inputs!$B$4:$B$150,$B58)/1000)</f>
        <v>854</v>
      </c>
      <c r="O58" s="11">
        <f>IF(SUMPRODUCT((Inputs!$B$4:$B$150=$B58)*ISNUMBER(INDEX(Inputs!$D$4:$AG$150,0,MATCH(O$2,Inputs!$D$2:$AG$2,0))))=0,"",SUMIFS(INDEX(Inputs!$D$4:$AG$150,0,MATCH(O$2,Inputs!$D$2:$AG$2,0)),Inputs!$B$4:$B$150,$B58)/1000)</f>
        <v>1071</v>
      </c>
      <c r="P58" s="11">
        <f>IF(SUMPRODUCT((Inputs!$B$4:$B$150=$B58)*ISNUMBER(INDEX(Inputs!$D$4:$AG$150,0,MATCH(P$2,Inputs!$D$2:$AG$2,0))))=0,"",SUMIFS(INDEX(Inputs!$D$4:$AG$150,0,MATCH(P$2,Inputs!$D$2:$AG$2,0)),Inputs!$B$4:$B$150,$B58)/1000)</f>
        <v>1120</v>
      </c>
      <c r="Q58" s="11">
        <f>IF(SUMPRODUCT((Inputs!$B$4:$B$150=$B58)*ISNUMBER(INDEX(Inputs!$D$4:$AG$150,0,MATCH(Q$2,Inputs!$D$2:$AG$2,0))))=0,"",SUMIFS(INDEX(Inputs!$D$4:$AG$150,0,MATCH(Q$2,Inputs!$D$2:$AG$2,0)),Inputs!$B$4:$B$150,$B58)/1000)</f>
        <v>1672</v>
      </c>
      <c r="R58" s="12">
        <f>IF(COUNT(N58:Q58)=4,SUM(N58:Q58),"")</f>
        <v>4717</v>
      </c>
      <c r="S58" s="11">
        <f>IF(SUMPRODUCT((Inputs!$B$4:$B$150=$B58)*ISNUMBER(INDEX(Inputs!$D$4:$AG$150,0,MATCH(S$2,Inputs!$D$2:$AG$2,0))))=0,"",SUMIFS(INDEX(Inputs!$D$4:$AG$150,0,MATCH(S$2,Inputs!$D$2:$AG$2,0)),Inputs!$B$4:$B$150,$B58)/1000)</f>
        <v>1596</v>
      </c>
      <c r="T58" s="11">
        <f>IF(SUMPRODUCT((Inputs!$B$4:$B$150=$B58)*ISNUMBER(INDEX(Inputs!$D$4:$AG$150,0,MATCH(T$2,Inputs!$D$2:$AG$2,0))))=0,"",SUMIFS(INDEX(Inputs!$D$4:$AG$150,0,MATCH(T$2,Inputs!$D$2:$AG$2,0)),Inputs!$B$4:$B$150,$B58)/1000)</f>
        <v>1314</v>
      </c>
      <c r="U58" s="11">
        <f>IF(SUMPRODUCT((Inputs!$B$4:$B$150=$B58)*ISNUMBER(INDEX(Inputs!$D$4:$AG$150,0,MATCH(U$2,Inputs!$D$2:$AG$2,0))))=0,"",SUMIFS(INDEX(Inputs!$D$4:$AG$150,0,MATCH(U$2,Inputs!$D$2:$AG$2,0)),Inputs!$B$4:$B$150,$B58)/1000)</f>
        <v>1690</v>
      </c>
      <c r="V58" s="11">
        <f>IF(SUMPRODUCT((Inputs!$B$4:$B$150=$B58)*ISNUMBER(INDEX(Inputs!$D$4:$AG$150,0,MATCH(V$2,Inputs!$D$2:$AG$2,0))))=0,"",SUMIFS(INDEX(Inputs!$D$4:$AG$150,0,MATCH(V$2,Inputs!$D$2:$AG$2,0)),Inputs!$B$4:$B$150,$B58)/1000)</f>
        <v>1022</v>
      </c>
      <c r="W58" s="12">
        <f>IF(COUNT(S58:V58)=4,SUM(S58:V58),"")</f>
        <v>5622</v>
      </c>
      <c r="X58" s="11">
        <f>IF(SUMPRODUCT((Inputs!$B$4:$B$150=$B58)*ISNUMBER(INDEX(Inputs!$D$4:$AG$150,0,MATCH(X$2,Inputs!$D$2:$AG$2,0))))=0,"",SUMIFS(INDEX(Inputs!$D$4:$AG$150,0,MATCH(X$2,Inputs!$D$2:$AG$2,0)),Inputs!$B$4:$B$150,$B58)/1000)</f>
        <v>777</v>
      </c>
      <c r="Y58" s="11">
        <f>IF(SUMPRODUCT((Inputs!$B$4:$B$150=$B58)*ISNUMBER(INDEX(Inputs!$D$4:$AG$150,0,MATCH(Y$2,Inputs!$D$2:$AG$2,0))))=0,"",SUMIFS(INDEX(Inputs!$D$4:$AG$150,0,MATCH(Y$2,Inputs!$D$2:$AG$2,0)),Inputs!$B$4:$B$150,$B58)/1000)</f>
        <v>1868</v>
      </c>
      <c r="Z58" s="11">
        <f>IF(SUMPRODUCT((Inputs!$B$4:$B$150=$B58)*ISNUMBER(INDEX(Inputs!$D$4:$AG$150,0,MATCH(Z$2,Inputs!$D$2:$AG$2,0))))=0,"",SUMIFS(INDEX(Inputs!$D$4:$AG$150,0,MATCH(Z$2,Inputs!$D$2:$AG$2,0)),Inputs!$B$4:$B$150,$B58)/1000)</f>
        <v>1282</v>
      </c>
      <c r="AA58" s="11">
        <f>IF(SUMPRODUCT((Inputs!$B$4:$B$150=$B58)*ISNUMBER(INDEX(Inputs!$D$4:$AG$150,0,MATCH(AA$2,Inputs!$D$2:$AG$2,0))))=0,"",SUMIFS(INDEX(Inputs!$D$4:$AG$150,0,MATCH(AA$2,Inputs!$D$2:$AG$2,0)),Inputs!$B$4:$B$150,$B58)/1000)</f>
        <v>-87</v>
      </c>
      <c r="AB58" s="12">
        <f>IF(COUNT(X58:AA58)=4,SUM(X58:AA58),"")</f>
        <v>3840</v>
      </c>
      <c r="AC58" s="11">
        <f>IF(SUMPRODUCT((Inputs!$B$4:$B$150=$B58)*ISNUMBER(INDEX(Inputs!$D$4:$AG$150,0,MATCH(AC$2,Inputs!$D$2:$AG$2,0))))=0,"",SUMIFS(INDEX(Inputs!$D$4:$AG$150,0,MATCH(AC$2,Inputs!$D$2:$AG$2,0)),Inputs!$B$4:$B$150,$B58)/1000)</f>
        <v>842</v>
      </c>
      <c r="AD58" s="11">
        <f>IF(SUMPRODUCT((Inputs!$B$4:$B$150=$B58)*ISNUMBER(INDEX(Inputs!$D$4:$AG$150,0,MATCH(AD$2,Inputs!$D$2:$AG$2,0))))=0,"",SUMIFS(INDEX(Inputs!$D$4:$AG$150,0,MATCH(AD$2,Inputs!$D$2:$AG$2,0)),Inputs!$B$4:$B$150,$B58)/1000)</f>
        <v>499</v>
      </c>
      <c r="AE58" s="11" t="str">
        <f>IF(SUMPRODUCT((Inputs!$B$4:$B$150=$B58)*ISNUMBER(INDEX(Inputs!$D$4:$AG$150,0,MATCH(AE$2,Inputs!$D$2:$AG$2,0))))=0,"",SUMIFS(INDEX(Inputs!$D$4:$AG$150,0,MATCH(AE$2,Inputs!$D$2:$AG$2,0)),Inputs!$B$4:$B$150,$B58)/1000)</f>
        <v/>
      </c>
      <c r="AF58" s="11" t="str">
        <f>IF(SUMPRODUCT((Inputs!$B$4:$B$150=$B58)*ISNUMBER(INDEX(Inputs!$D$4:$AG$150,0,MATCH(AF$2,Inputs!$D$2:$AG$2,0))))=0,"",SUMIFS(INDEX(Inputs!$D$4:$AG$150,0,MATCH(AF$2,Inputs!$D$2:$AG$2,0)),Inputs!$B$4:$B$150,$B58)/1000)</f>
        <v/>
      </c>
      <c r="AG58" s="12" t="str">
        <f>IF(COUNT(AC58:AF58)=4,SUM(AC58:AF58),"")</f>
        <v/>
      </c>
    </row>
    <row r="59">
      <c r="B59" s="9" t="n">
        <v>51</v>
      </c>
      <c r="C59" s="10" t="inlineStr">
        <is>
          <t>Rod &amp; Refining - receita (USD)</t>
        </is>
      </c>
      <c r="D59" s="11">
        <f>IF(SUMPRODUCT((Inputs!$B$4:$B$150=$B59)*ISNUMBER(INDEX(Inputs!$D$4:$AG$150,0,MATCH(D$2,Inputs!$D$2:$AG$2,0))))=0,"",SUMIFS(INDEX(Inputs!$D$4:$AG$150,0,MATCH(D$2,Inputs!$D$2:$AG$2,0)),Inputs!$B$4:$B$150,$B59)/1000)</f>
        <v>1316</v>
      </c>
      <c r="E59" s="11">
        <f>IF(SUMPRODUCT((Inputs!$B$4:$B$150=$B59)*ISNUMBER(INDEX(Inputs!$D$4:$AG$150,0,MATCH(E$2,Inputs!$D$2:$AG$2,0))))=0,"",SUMIFS(INDEX(Inputs!$D$4:$AG$150,0,MATCH(E$2,Inputs!$D$2:$AG$2,0)),Inputs!$B$4:$B$150,$B59)/1000)</f>
        <v>1695</v>
      </c>
      <c r="F59" s="11">
        <f>IF(SUMPRODUCT((Inputs!$B$4:$B$150=$B59)*ISNUMBER(INDEX(Inputs!$D$4:$AG$150,0,MATCH(F$2,Inputs!$D$2:$AG$2,0))))=0,"",SUMIFS(INDEX(Inputs!$D$4:$AG$150,0,MATCH(F$2,Inputs!$D$2:$AG$2,0)),Inputs!$B$4:$B$150,$B59)/1000)</f>
        <v>1704</v>
      </c>
      <c r="G59" s="11">
        <f>IF(SUMPRODUCT((Inputs!$B$4:$B$150=$B59)*ISNUMBER(INDEX(Inputs!$D$4:$AG$150,0,MATCH(G$2,Inputs!$D$2:$AG$2,0))))=0,"",SUMIFS(INDEX(Inputs!$D$4:$AG$150,0,MATCH(G$2,Inputs!$D$2:$AG$2,0)),Inputs!$B$4:$B$150,$B59)/1000)</f>
        <v>1670</v>
      </c>
      <c r="H59" s="12">
        <f>IF(COUNT(D59:G59)=4,SUM(D59:G59),"")</f>
        <v>6385</v>
      </c>
      <c r="I59" s="11">
        <f>IF(SUMPRODUCT((Inputs!$B$4:$B$150=$B59)*ISNUMBER(INDEX(Inputs!$D$4:$AG$150,0,MATCH(I$2,Inputs!$D$2:$AG$2,0))))=0,"",SUMIFS(INDEX(Inputs!$D$4:$AG$150,0,MATCH(I$2,Inputs!$D$2:$AG$2,0)),Inputs!$B$4:$B$150,$B59)/1000)</f>
        <v>1752</v>
      </c>
      <c r="J59" s="11">
        <f>IF(SUMPRODUCT((Inputs!$B$4:$B$150=$B59)*ISNUMBER(INDEX(Inputs!$D$4:$AG$150,0,MATCH(J$2,Inputs!$D$2:$AG$2,0))))=0,"",SUMIFS(INDEX(Inputs!$D$4:$AG$150,0,MATCH(J$2,Inputs!$D$2:$AG$2,0)),Inputs!$B$4:$B$150,$B59)/1000)</f>
        <v>1761</v>
      </c>
      <c r="K59" s="11">
        <f>IF(SUMPRODUCT((Inputs!$B$4:$B$150=$B59)*ISNUMBER(INDEX(Inputs!$D$4:$AG$150,0,MATCH(K$2,Inputs!$D$2:$AG$2,0))))=0,"",SUMIFS(INDEX(Inputs!$D$4:$AG$150,0,MATCH(K$2,Inputs!$D$2:$AG$2,0)),Inputs!$B$4:$B$150,$B59)/1000)</f>
        <v>1443</v>
      </c>
      <c r="L59" s="11">
        <f>IF(SUMPRODUCT((Inputs!$B$4:$B$150=$B59)*ISNUMBER(INDEX(Inputs!$D$4:$AG$150,0,MATCH(L$2,Inputs!$D$2:$AG$2,0))))=0,"",SUMIFS(INDEX(Inputs!$D$4:$AG$150,0,MATCH(L$2,Inputs!$D$2:$AG$2,0)),Inputs!$B$4:$B$150,$B59)/1000)</f>
        <v>1356</v>
      </c>
      <c r="M59" s="12">
        <f>IF(COUNT(I59:L59)=4,SUM(I59:L59),"")</f>
        <v>6312</v>
      </c>
      <c r="N59" s="11">
        <f>IF(SUMPRODUCT((Inputs!$B$4:$B$150=$B59)*ISNUMBER(INDEX(Inputs!$D$4:$AG$150,0,MATCH(N$2,Inputs!$D$2:$AG$2,0))))=0,"",SUMIFS(INDEX(Inputs!$D$4:$AG$150,0,MATCH(N$2,Inputs!$D$2:$AG$2,0)),Inputs!$B$4:$B$150,$B59)/1000)</f>
        <v>1529</v>
      </c>
      <c r="O59" s="11">
        <f>IF(SUMPRODUCT((Inputs!$B$4:$B$150=$B59)*ISNUMBER(INDEX(Inputs!$D$4:$AG$150,0,MATCH(O$2,Inputs!$D$2:$AG$2,0))))=0,"",SUMIFS(INDEX(Inputs!$D$4:$AG$150,0,MATCH(O$2,Inputs!$D$2:$AG$2,0)),Inputs!$B$4:$B$150,$B59)/1000)</f>
        <v>1473</v>
      </c>
      <c r="P59" s="11">
        <f>IF(SUMPRODUCT((Inputs!$B$4:$B$150=$B59)*ISNUMBER(INDEX(Inputs!$D$4:$AG$150,0,MATCH(P$2,Inputs!$D$2:$AG$2,0))))=0,"",SUMIFS(INDEX(Inputs!$D$4:$AG$150,0,MATCH(P$2,Inputs!$D$2:$AG$2,0)),Inputs!$B$4:$B$150,$B59)/1000)</f>
        <v>1578</v>
      </c>
      <c r="Q59" s="11">
        <f>IF(SUMPRODUCT((Inputs!$B$4:$B$150=$B59)*ISNUMBER(INDEX(Inputs!$D$4:$AG$150,0,MATCH(Q$2,Inputs!$D$2:$AG$2,0))))=0,"",SUMIFS(INDEX(Inputs!$D$4:$AG$150,0,MATCH(Q$2,Inputs!$D$2:$AG$2,0)),Inputs!$B$4:$B$150,$B59)/1000)</f>
        <v>1346</v>
      </c>
      <c r="R59" s="12">
        <f>IF(COUNT(N59:Q59)=4,SUM(N59:Q59),"")</f>
        <v>5926</v>
      </c>
      <c r="S59" s="11">
        <f>IF(SUMPRODUCT((Inputs!$B$4:$B$150=$B59)*ISNUMBER(INDEX(Inputs!$D$4:$AG$150,0,MATCH(S$2,Inputs!$D$2:$AG$2,0))))=0,"",SUMIFS(INDEX(Inputs!$D$4:$AG$150,0,MATCH(S$2,Inputs!$D$2:$AG$2,0)),Inputs!$B$4:$B$150,$B59)/1000)</f>
        <v>1499</v>
      </c>
      <c r="T59" s="11">
        <f>IF(SUMPRODUCT((Inputs!$B$4:$B$150=$B59)*ISNUMBER(INDEX(Inputs!$D$4:$AG$150,0,MATCH(T$2,Inputs!$D$2:$AG$2,0))))=0,"",SUMIFS(INDEX(Inputs!$D$4:$AG$150,0,MATCH(T$2,Inputs!$D$2:$AG$2,0)),Inputs!$B$4:$B$150,$B59)/1000)</f>
        <v>1704</v>
      </c>
      <c r="U59" s="11">
        <f>IF(SUMPRODUCT((Inputs!$B$4:$B$150=$B59)*ISNUMBER(INDEX(Inputs!$D$4:$AG$150,0,MATCH(U$2,Inputs!$D$2:$AG$2,0))))=0,"",SUMIFS(INDEX(Inputs!$D$4:$AG$150,0,MATCH(U$2,Inputs!$D$2:$AG$2,0)),Inputs!$B$4:$B$150,$B59)/1000)</f>
        <v>1571</v>
      </c>
      <c r="V59" s="11">
        <f>IF(SUMPRODUCT((Inputs!$B$4:$B$150=$B59)*ISNUMBER(INDEX(Inputs!$D$4:$AG$150,0,MATCH(V$2,Inputs!$D$2:$AG$2,0))))=0,"",SUMIFS(INDEX(Inputs!$D$4:$AG$150,0,MATCH(V$2,Inputs!$D$2:$AG$2,0)),Inputs!$B$4:$B$150,$B59)/1000)</f>
        <v>1465</v>
      </c>
      <c r="W59" s="12">
        <f>IF(COUNT(S59:V59)=4,SUM(S59:V59),"")</f>
        <v>6239</v>
      </c>
      <c r="X59" s="11">
        <f>IF(SUMPRODUCT((Inputs!$B$4:$B$150=$B59)*ISNUMBER(INDEX(Inputs!$D$4:$AG$150,0,MATCH(X$2,Inputs!$D$2:$AG$2,0))))=0,"",SUMIFS(INDEX(Inputs!$D$4:$AG$150,0,MATCH(X$2,Inputs!$D$2:$AG$2,0)),Inputs!$B$4:$B$150,$B59)/1000)</f>
        <v>1632</v>
      </c>
      <c r="Y59" s="11">
        <f>IF(SUMPRODUCT((Inputs!$B$4:$B$150=$B59)*ISNUMBER(INDEX(Inputs!$D$4:$AG$150,0,MATCH(Y$2,Inputs!$D$2:$AG$2,0))))=0,"",SUMIFS(INDEX(Inputs!$D$4:$AG$150,0,MATCH(Y$2,Inputs!$D$2:$AG$2,0)),Inputs!$B$4:$B$150,$B59)/1000)</f>
        <v>1701</v>
      </c>
      <c r="Z59" s="11">
        <f>IF(SUMPRODUCT((Inputs!$B$4:$B$150=$B59)*ISNUMBER(INDEX(Inputs!$D$4:$AG$150,0,MATCH(Z$2,Inputs!$D$2:$AG$2,0))))=0,"",SUMIFS(INDEX(Inputs!$D$4:$AG$150,0,MATCH(Z$2,Inputs!$D$2:$AG$2,0)),Inputs!$B$4:$B$150,$B59)/1000)</f>
        <v>1786</v>
      </c>
      <c r="AA59" s="11">
        <f>IF(SUMPRODUCT((Inputs!$B$4:$B$150=$B59)*ISNUMBER(INDEX(Inputs!$D$4:$AG$150,0,MATCH(AA$2,Inputs!$D$2:$AG$2,0))))=0,"",SUMIFS(INDEX(Inputs!$D$4:$AG$150,0,MATCH(AA$2,Inputs!$D$2:$AG$2,0)),Inputs!$B$4:$B$150,$B59)/1000)</f>
        <v>1800</v>
      </c>
      <c r="AB59" s="12">
        <f>IF(COUNT(X59:AA59)=4,SUM(X59:AA59),"")</f>
        <v>6919</v>
      </c>
      <c r="AC59" s="11">
        <f>IF(SUMPRODUCT((Inputs!$B$4:$B$150=$B59)*ISNUMBER(INDEX(Inputs!$D$4:$AG$150,0,MATCH(AC$2,Inputs!$D$2:$AG$2,0))))=0,"",SUMIFS(INDEX(Inputs!$D$4:$AG$150,0,MATCH(AC$2,Inputs!$D$2:$AG$2,0)),Inputs!$B$4:$B$150,$B59)/1000)</f>
        <v>2062</v>
      </c>
      <c r="AD59" s="11">
        <f>IF(SUMPRODUCT((Inputs!$B$4:$B$150=$B59)*ISNUMBER(INDEX(Inputs!$D$4:$AG$150,0,MATCH(AD$2,Inputs!$D$2:$AG$2,0))))=0,"",SUMIFS(INDEX(Inputs!$D$4:$AG$150,0,MATCH(AD$2,Inputs!$D$2:$AG$2,0)),Inputs!$B$4:$B$150,$B59)/1000)</f>
        <v>2239</v>
      </c>
      <c r="AE59" s="11" t="str">
        <f>IF(SUMPRODUCT((Inputs!$B$4:$B$150=$B59)*ISNUMBER(INDEX(Inputs!$D$4:$AG$150,0,MATCH(AE$2,Inputs!$D$2:$AG$2,0))))=0,"",SUMIFS(INDEX(Inputs!$D$4:$AG$150,0,MATCH(AE$2,Inputs!$D$2:$AG$2,0)),Inputs!$B$4:$B$150,$B59)/1000)</f>
        <v/>
      </c>
      <c r="AF59" s="11" t="str">
        <f>IF(SUMPRODUCT((Inputs!$B$4:$B$150=$B59)*ISNUMBER(INDEX(Inputs!$D$4:$AG$150,0,MATCH(AF$2,Inputs!$D$2:$AG$2,0))))=0,"",SUMIFS(INDEX(Inputs!$D$4:$AG$150,0,MATCH(AF$2,Inputs!$D$2:$AG$2,0)),Inputs!$B$4:$B$150,$B59)/1000)</f>
        <v/>
      </c>
      <c r="AG59" s="12" t="str">
        <f>IF(COUNT(AC59:AF59)=4,SUM(AC59:AF59),"")</f>
        <v/>
      </c>
    </row>
    <row r="60">
      <c r="B60" s="9" t="n">
        <v>52</v>
      </c>
      <c r="C60" s="10" t="inlineStr">
        <is>
          <t>Rod &amp; Refining - lucro do segmento (USD)</t>
        </is>
      </c>
      <c r="D60" s="11">
        <f>IF(SUMPRODUCT((Inputs!$B$4:$B$150=$B60)*ISNUMBER(INDEX(Inputs!$D$4:$AG$150,0,MATCH(D$2,Inputs!$D$2:$AG$2,0))))=0,"",SUMIFS(INDEX(Inputs!$D$4:$AG$150,0,MATCH(D$2,Inputs!$D$2:$AG$2,0)),Inputs!$B$4:$B$150,$B60)/1000)</f>
        <v>-1</v>
      </c>
      <c r="E60" s="11">
        <f>IF(SUMPRODUCT((Inputs!$B$4:$B$150=$B60)*ISNUMBER(INDEX(Inputs!$D$4:$AG$150,0,MATCH(E$2,Inputs!$D$2:$AG$2,0))))=0,"",SUMIFS(INDEX(Inputs!$D$4:$AG$150,0,MATCH(E$2,Inputs!$D$2:$AG$2,0)),Inputs!$B$4:$B$150,$B60)/1000)</f>
        <v>3</v>
      </c>
      <c r="F60" s="11">
        <f>IF(SUMPRODUCT((Inputs!$B$4:$B$150=$B60)*ISNUMBER(INDEX(Inputs!$D$4:$AG$150,0,MATCH(F$2,Inputs!$D$2:$AG$2,0))))=0,"",SUMIFS(INDEX(Inputs!$D$4:$AG$150,0,MATCH(F$2,Inputs!$D$2:$AG$2,0)),Inputs!$B$4:$B$150,$B60)/1000)</f>
        <v>2</v>
      </c>
      <c r="G60" s="11">
        <f>IF(SUMPRODUCT((Inputs!$B$4:$B$150=$B60)*ISNUMBER(INDEX(Inputs!$D$4:$AG$150,0,MATCH(G$2,Inputs!$D$2:$AG$2,0))))=0,"",SUMIFS(INDEX(Inputs!$D$4:$AG$150,0,MATCH(G$2,Inputs!$D$2:$AG$2,0)),Inputs!$B$4:$B$150,$B60)/1000)</f>
        <v>-5</v>
      </c>
      <c r="H60" s="12">
        <f>IF(COUNT(D60:G60)=4,SUM(D60:G60),"")</f>
        <v>-1</v>
      </c>
      <c r="I60" s="11">
        <f>IF(SUMPRODUCT((Inputs!$B$4:$B$150=$B60)*ISNUMBER(INDEX(Inputs!$D$4:$AG$150,0,MATCH(I$2,Inputs!$D$2:$AG$2,0))))=0,"",SUMIFS(INDEX(Inputs!$D$4:$AG$150,0,MATCH(I$2,Inputs!$D$2:$AG$2,0)),Inputs!$B$4:$B$150,$B60)/1000)</f>
        <v>-3</v>
      </c>
      <c r="J60" s="11">
        <f>IF(SUMPRODUCT((Inputs!$B$4:$B$150=$B60)*ISNUMBER(INDEX(Inputs!$D$4:$AG$150,0,MATCH(J$2,Inputs!$D$2:$AG$2,0))))=0,"",SUMIFS(INDEX(Inputs!$D$4:$AG$150,0,MATCH(J$2,Inputs!$D$2:$AG$2,0)),Inputs!$B$4:$B$150,$B60)/1000)</f>
        <v>-5</v>
      </c>
      <c r="K60" s="11">
        <f>IF(SUMPRODUCT((Inputs!$B$4:$B$150=$B60)*ISNUMBER(INDEX(Inputs!$D$4:$AG$150,0,MATCH(K$2,Inputs!$D$2:$AG$2,0))))=0,"",SUMIFS(INDEX(Inputs!$D$4:$AG$150,0,MATCH(K$2,Inputs!$D$2:$AG$2,0)),Inputs!$B$4:$B$150,$B60)/1000)</f>
        <v>-8</v>
      </c>
      <c r="L60" s="11">
        <f>IF(SUMPRODUCT((Inputs!$B$4:$B$150=$B60)*ISNUMBER(INDEX(Inputs!$D$4:$AG$150,0,MATCH(L$2,Inputs!$D$2:$AG$2,0))))=0,"",SUMIFS(INDEX(Inputs!$D$4:$AG$150,0,MATCH(L$2,Inputs!$D$2:$AG$2,0)),Inputs!$B$4:$B$150,$B60)/1000)</f>
        <v>-7</v>
      </c>
      <c r="M60" s="12">
        <f>IF(COUNT(I60:L60)=4,SUM(I60:L60),"")</f>
        <v>-23</v>
      </c>
      <c r="N60" s="11">
        <f>IF(SUMPRODUCT((Inputs!$B$4:$B$150=$B60)*ISNUMBER(INDEX(Inputs!$D$4:$AG$150,0,MATCH(N$2,Inputs!$D$2:$AG$2,0))))=0,"",SUMIFS(INDEX(Inputs!$D$4:$AG$150,0,MATCH(N$2,Inputs!$D$2:$AG$2,0)),Inputs!$B$4:$B$150,$B60)/1000)</f>
        <v>1</v>
      </c>
      <c r="O60" s="11">
        <f>IF(SUMPRODUCT((Inputs!$B$4:$B$150=$B60)*ISNUMBER(INDEX(Inputs!$D$4:$AG$150,0,MATCH(O$2,Inputs!$D$2:$AG$2,0))))=0,"",SUMIFS(INDEX(Inputs!$D$4:$AG$150,0,MATCH(O$2,Inputs!$D$2:$AG$2,0)),Inputs!$B$4:$B$150,$B60)/1000)</f>
        <v>7</v>
      </c>
      <c r="P60" s="11">
        <f>IF(SUMPRODUCT((Inputs!$B$4:$B$150=$B60)*ISNUMBER(INDEX(Inputs!$D$4:$AG$150,0,MATCH(P$2,Inputs!$D$2:$AG$2,0))))=0,"",SUMIFS(INDEX(Inputs!$D$4:$AG$150,0,MATCH(P$2,Inputs!$D$2:$AG$2,0)),Inputs!$B$4:$B$150,$B60)/1000)</f>
        <v>10</v>
      </c>
      <c r="Q60" s="11">
        <f>IF(SUMPRODUCT((Inputs!$B$4:$B$150=$B60)*ISNUMBER(INDEX(Inputs!$D$4:$AG$150,0,MATCH(Q$2,Inputs!$D$2:$AG$2,0))))=0,"",SUMIFS(INDEX(Inputs!$D$4:$AG$150,0,MATCH(Q$2,Inputs!$D$2:$AG$2,0)),Inputs!$B$4:$B$150,$B60)/1000)</f>
        <v>2</v>
      </c>
      <c r="R60" s="12">
        <f>IF(COUNT(N60:Q60)=4,SUM(N60:Q60),"")</f>
        <v>20</v>
      </c>
      <c r="S60" s="11">
        <f>IF(SUMPRODUCT((Inputs!$B$4:$B$150=$B60)*ISNUMBER(INDEX(Inputs!$D$4:$AG$150,0,MATCH(S$2,Inputs!$D$2:$AG$2,0))))=0,"",SUMIFS(INDEX(Inputs!$D$4:$AG$150,0,MATCH(S$2,Inputs!$D$2:$AG$2,0)),Inputs!$B$4:$B$150,$B60)/1000)</f>
        <v>11</v>
      </c>
      <c r="T60" s="11">
        <f>IF(SUMPRODUCT((Inputs!$B$4:$B$150=$B60)*ISNUMBER(INDEX(Inputs!$D$4:$AG$150,0,MATCH(T$2,Inputs!$D$2:$AG$2,0))))=0,"",SUMIFS(INDEX(Inputs!$D$4:$AG$150,0,MATCH(T$2,Inputs!$D$2:$AG$2,0)),Inputs!$B$4:$B$150,$B60)/1000)</f>
        <v>11</v>
      </c>
      <c r="U60" s="11">
        <f>IF(SUMPRODUCT((Inputs!$B$4:$B$150=$B60)*ISNUMBER(INDEX(Inputs!$D$4:$AG$150,0,MATCH(U$2,Inputs!$D$2:$AG$2,0))))=0,"",SUMIFS(INDEX(Inputs!$D$4:$AG$150,0,MATCH(U$2,Inputs!$D$2:$AG$2,0)),Inputs!$B$4:$B$150,$B60)/1000)</f>
        <v>7</v>
      </c>
      <c r="V60" s="11">
        <f>IF(SUMPRODUCT((Inputs!$B$4:$B$150=$B60)*ISNUMBER(INDEX(Inputs!$D$4:$AG$150,0,MATCH(V$2,Inputs!$D$2:$AG$2,0))))=0,"",SUMIFS(INDEX(Inputs!$D$4:$AG$150,0,MATCH(V$2,Inputs!$D$2:$AG$2,0)),Inputs!$B$4:$B$150,$B60)/1000)</f>
        <v>0</v>
      </c>
      <c r="W60" s="12">
        <f>IF(COUNT(S60:V60)=4,SUM(S60:V60),"")</f>
        <v>29</v>
      </c>
      <c r="X60" s="11">
        <f>IF(SUMPRODUCT((Inputs!$B$4:$B$150=$B60)*ISNUMBER(INDEX(Inputs!$D$4:$AG$150,0,MATCH(X$2,Inputs!$D$2:$AG$2,0))))=0,"",SUMIFS(INDEX(Inputs!$D$4:$AG$150,0,MATCH(X$2,Inputs!$D$2:$AG$2,0)),Inputs!$B$4:$B$150,$B60)/1000)</f>
        <v>9</v>
      </c>
      <c r="Y60" s="11">
        <f>IF(SUMPRODUCT((Inputs!$B$4:$B$150=$B60)*ISNUMBER(INDEX(Inputs!$D$4:$AG$150,0,MATCH(Y$2,Inputs!$D$2:$AG$2,0))))=0,"",SUMIFS(INDEX(Inputs!$D$4:$AG$150,0,MATCH(Y$2,Inputs!$D$2:$AG$2,0)),Inputs!$B$4:$B$150,$B60)/1000)</f>
        <v>7</v>
      </c>
      <c r="Z60" s="11">
        <f>IF(SUMPRODUCT((Inputs!$B$4:$B$150=$B60)*ISNUMBER(INDEX(Inputs!$D$4:$AG$150,0,MATCH(Z$2,Inputs!$D$2:$AG$2,0))))=0,"",SUMIFS(INDEX(Inputs!$D$4:$AG$150,0,MATCH(Z$2,Inputs!$D$2:$AG$2,0)),Inputs!$B$4:$B$150,$B60)/1000)</f>
        <v>11</v>
      </c>
      <c r="AA60" s="11">
        <f>IF(SUMPRODUCT((Inputs!$B$4:$B$150=$B60)*ISNUMBER(INDEX(Inputs!$D$4:$AG$150,0,MATCH(AA$2,Inputs!$D$2:$AG$2,0))))=0,"",SUMIFS(INDEX(Inputs!$D$4:$AG$150,0,MATCH(AA$2,Inputs!$D$2:$AG$2,0)),Inputs!$B$4:$B$150,$B60)/1000)</f>
        <v>4</v>
      </c>
      <c r="AB60" s="12">
        <f>IF(COUNT(X60:AA60)=4,SUM(X60:AA60),"")</f>
        <v>31</v>
      </c>
      <c r="AC60" s="11">
        <f>IF(SUMPRODUCT((Inputs!$B$4:$B$150=$B60)*ISNUMBER(INDEX(Inputs!$D$4:$AG$150,0,MATCH(AC$2,Inputs!$D$2:$AG$2,0))))=0,"",SUMIFS(INDEX(Inputs!$D$4:$AG$150,0,MATCH(AC$2,Inputs!$D$2:$AG$2,0)),Inputs!$B$4:$B$150,$B60)/1000)</f>
        <v>15</v>
      </c>
      <c r="AD60" s="11">
        <f>IF(SUMPRODUCT((Inputs!$B$4:$B$150=$B60)*ISNUMBER(INDEX(Inputs!$D$4:$AG$150,0,MATCH(AD$2,Inputs!$D$2:$AG$2,0))))=0,"",SUMIFS(INDEX(Inputs!$D$4:$AG$150,0,MATCH(AD$2,Inputs!$D$2:$AG$2,0)),Inputs!$B$4:$B$150,$B60)/1000)</f>
        <v>22</v>
      </c>
      <c r="AE60" s="11" t="str">
        <f>IF(SUMPRODUCT((Inputs!$B$4:$B$150=$B60)*ISNUMBER(INDEX(Inputs!$D$4:$AG$150,0,MATCH(AE$2,Inputs!$D$2:$AG$2,0))))=0,"",SUMIFS(INDEX(Inputs!$D$4:$AG$150,0,MATCH(AE$2,Inputs!$D$2:$AG$2,0)),Inputs!$B$4:$B$150,$B60)/1000)</f>
        <v/>
      </c>
      <c r="AF60" s="11" t="str">
        <f>IF(SUMPRODUCT((Inputs!$B$4:$B$150=$B60)*ISNUMBER(INDEX(Inputs!$D$4:$AG$150,0,MATCH(AF$2,Inputs!$D$2:$AG$2,0))))=0,"",SUMIFS(INDEX(Inputs!$D$4:$AG$150,0,MATCH(AF$2,Inputs!$D$2:$AG$2,0)),Inputs!$B$4:$B$150,$B60)/1000)</f>
        <v/>
      </c>
      <c r="AG60" s="12" t="str">
        <f>IF(COUNT(AC60:AF60)=4,SUM(AC60:AF60),"")</f>
        <v/>
      </c>
    </row>
    <row r="61">
      <c r="B61" s="9" t="n">
        <v>53</v>
      </c>
      <c r="C61" s="10" t="inlineStr">
        <is>
          <t>Atlantic Copper - receita (USD)</t>
        </is>
      </c>
      <c r="D61" s="11">
        <f>IF(SUMPRODUCT((Inputs!$B$4:$B$150=$B61)*ISNUMBER(INDEX(Inputs!$D$4:$AG$150,0,MATCH(D$2,Inputs!$D$2:$AG$2,0))))=0,"",SUMIFS(INDEX(Inputs!$D$4:$AG$150,0,MATCH(D$2,Inputs!$D$2:$AG$2,0)),Inputs!$B$4:$B$150,$B61)/1000)</f>
        <v>687</v>
      </c>
      <c r="E61" s="11">
        <f>IF(SUMPRODUCT((Inputs!$B$4:$B$150=$B61)*ISNUMBER(INDEX(Inputs!$D$4:$AG$150,0,MATCH(E$2,Inputs!$D$2:$AG$2,0))))=0,"",SUMIFS(INDEX(Inputs!$D$4:$AG$150,0,MATCH(E$2,Inputs!$D$2:$AG$2,0)),Inputs!$B$4:$B$150,$B61)/1000)</f>
        <v>794</v>
      </c>
      <c r="F61" s="11">
        <f>IF(SUMPRODUCT((Inputs!$B$4:$B$150=$B61)*ISNUMBER(INDEX(Inputs!$D$4:$AG$150,0,MATCH(F$2,Inputs!$D$2:$AG$2,0))))=0,"",SUMIFS(INDEX(Inputs!$D$4:$AG$150,0,MATCH(F$2,Inputs!$D$2:$AG$2,0)),Inputs!$B$4:$B$150,$B61)/1000)</f>
        <v>783</v>
      </c>
      <c r="G61" s="11">
        <f>IF(SUMPRODUCT((Inputs!$B$4:$B$150=$B61)*ISNUMBER(INDEX(Inputs!$D$4:$AG$150,0,MATCH(G$2,Inputs!$D$2:$AG$2,0))))=0,"",SUMIFS(INDEX(Inputs!$D$4:$AG$150,0,MATCH(G$2,Inputs!$D$2:$AG$2,0)),Inputs!$B$4:$B$150,$B61)/1000)</f>
        <v>697</v>
      </c>
      <c r="H61" s="12">
        <f>IF(COUNT(D61:G61)=4,SUM(D61:G61),"")</f>
        <v>2961</v>
      </c>
      <c r="I61" s="11">
        <f>IF(SUMPRODUCT((Inputs!$B$4:$B$150=$B61)*ISNUMBER(INDEX(Inputs!$D$4:$AG$150,0,MATCH(I$2,Inputs!$D$2:$AG$2,0))))=0,"",SUMIFS(INDEX(Inputs!$D$4:$AG$150,0,MATCH(I$2,Inputs!$D$2:$AG$2,0)),Inputs!$B$4:$B$150,$B61)/1000)</f>
        <v>718</v>
      </c>
      <c r="J61" s="11">
        <f>IF(SUMPRODUCT((Inputs!$B$4:$B$150=$B61)*ISNUMBER(INDEX(Inputs!$D$4:$AG$150,0,MATCH(J$2,Inputs!$D$2:$AG$2,0))))=0,"",SUMIFS(INDEX(Inputs!$D$4:$AG$150,0,MATCH(J$2,Inputs!$D$2:$AG$2,0)),Inputs!$B$4:$B$150,$B61)/1000)</f>
        <v>433</v>
      </c>
      <c r="K61" s="11">
        <f>IF(SUMPRODUCT((Inputs!$B$4:$B$150=$B61)*ISNUMBER(INDEX(Inputs!$D$4:$AG$150,0,MATCH(K$2,Inputs!$D$2:$AG$2,0))))=0,"",SUMIFS(INDEX(Inputs!$D$4:$AG$150,0,MATCH(K$2,Inputs!$D$2:$AG$2,0)),Inputs!$B$4:$B$150,$B61)/1000)</f>
        <v>609</v>
      </c>
      <c r="L61" s="11">
        <f>IF(SUMPRODUCT((Inputs!$B$4:$B$150=$B61)*ISNUMBER(INDEX(Inputs!$D$4:$AG$150,0,MATCH(L$2,Inputs!$D$2:$AG$2,0))))=0,"",SUMIFS(INDEX(Inputs!$D$4:$AG$150,0,MATCH(L$2,Inputs!$D$2:$AG$2,0)),Inputs!$B$4:$B$150,$B61)/1000)</f>
        <v>683</v>
      </c>
      <c r="M61" s="12">
        <f>IF(COUNT(I61:L61)=4,SUM(I61:L61),"")</f>
        <v>2443</v>
      </c>
      <c r="N61" s="11">
        <f>IF(SUMPRODUCT((Inputs!$B$4:$B$150=$B61)*ISNUMBER(INDEX(Inputs!$D$4:$AG$150,0,MATCH(N$2,Inputs!$D$2:$AG$2,0))))=0,"",SUMIFS(INDEX(Inputs!$D$4:$AG$150,0,MATCH(N$2,Inputs!$D$2:$AG$2,0)),Inputs!$B$4:$B$150,$B61)/1000)</f>
        <v>756</v>
      </c>
      <c r="O61" s="11">
        <f>IF(SUMPRODUCT((Inputs!$B$4:$B$150=$B61)*ISNUMBER(INDEX(Inputs!$D$4:$AG$150,0,MATCH(O$2,Inputs!$D$2:$AG$2,0))))=0,"",SUMIFS(INDEX(Inputs!$D$4:$AG$150,0,MATCH(O$2,Inputs!$D$2:$AG$2,0)),Inputs!$B$4:$B$150,$B61)/1000)</f>
        <v>748</v>
      </c>
      <c r="P61" s="11">
        <f>IF(SUMPRODUCT((Inputs!$B$4:$B$150=$B61)*ISNUMBER(INDEX(Inputs!$D$4:$AG$150,0,MATCH(P$2,Inputs!$D$2:$AG$2,0))))=0,"",SUMIFS(INDEX(Inputs!$D$4:$AG$150,0,MATCH(P$2,Inputs!$D$2:$AG$2,0)),Inputs!$B$4:$B$150,$B61)/1000)</f>
        <v>700</v>
      </c>
      <c r="Q61" s="11">
        <f>IF(SUMPRODUCT((Inputs!$B$4:$B$150=$B61)*ISNUMBER(INDEX(Inputs!$D$4:$AG$150,0,MATCH(Q$2,Inputs!$D$2:$AG$2,0))))=0,"",SUMIFS(INDEX(Inputs!$D$4:$AG$150,0,MATCH(Q$2,Inputs!$D$2:$AG$2,0)),Inputs!$B$4:$B$150,$B61)/1000)</f>
        <v>606</v>
      </c>
      <c r="R61" s="12">
        <f>IF(COUNT(N61:Q61)=4,SUM(N61:Q61),"")</f>
        <v>2810</v>
      </c>
      <c r="S61" s="11">
        <f>IF(SUMPRODUCT((Inputs!$B$4:$B$150=$B61)*ISNUMBER(INDEX(Inputs!$D$4:$AG$150,0,MATCH(S$2,Inputs!$D$2:$AG$2,0))))=0,"",SUMIFS(INDEX(Inputs!$D$4:$AG$150,0,MATCH(S$2,Inputs!$D$2:$AG$2,0)),Inputs!$B$4:$B$150,$B61)/1000)</f>
        <v>673</v>
      </c>
      <c r="T61" s="11">
        <f>IF(SUMPRODUCT((Inputs!$B$4:$B$150=$B61)*ISNUMBER(INDEX(Inputs!$D$4:$AG$150,0,MATCH(T$2,Inputs!$D$2:$AG$2,0))))=0,"",SUMIFS(INDEX(Inputs!$D$4:$AG$150,0,MATCH(T$2,Inputs!$D$2:$AG$2,0)),Inputs!$B$4:$B$150,$B61)/1000)</f>
        <v>900</v>
      </c>
      <c r="U61" s="11">
        <f>IF(SUMPRODUCT((Inputs!$B$4:$B$150=$B61)*ISNUMBER(INDEX(Inputs!$D$4:$AG$150,0,MATCH(U$2,Inputs!$D$2:$AG$2,0))))=0,"",SUMIFS(INDEX(Inputs!$D$4:$AG$150,0,MATCH(U$2,Inputs!$D$2:$AG$2,0)),Inputs!$B$4:$B$150,$B61)/1000)</f>
        <v>765</v>
      </c>
      <c r="V61" s="11">
        <f>IF(SUMPRODUCT((Inputs!$B$4:$B$150=$B61)*ISNUMBER(INDEX(Inputs!$D$4:$AG$150,0,MATCH(V$2,Inputs!$D$2:$AG$2,0))))=0,"",SUMIFS(INDEX(Inputs!$D$4:$AG$150,0,MATCH(V$2,Inputs!$D$2:$AG$2,0)),Inputs!$B$4:$B$150,$B61)/1000)</f>
        <v>679</v>
      </c>
      <c r="W61" s="12">
        <f>IF(COUNT(S61:V61)=4,SUM(S61:V61),"")</f>
        <v>3017</v>
      </c>
      <c r="X61" s="11">
        <f>IF(SUMPRODUCT((Inputs!$B$4:$B$150=$B61)*ISNUMBER(INDEX(Inputs!$D$4:$AG$150,0,MATCH(X$2,Inputs!$D$2:$AG$2,0))))=0,"",SUMIFS(INDEX(Inputs!$D$4:$AG$150,0,MATCH(X$2,Inputs!$D$2:$AG$2,0)),Inputs!$B$4:$B$150,$B61)/1000)</f>
        <v>755</v>
      </c>
      <c r="Y61" s="11">
        <f>IF(SUMPRODUCT((Inputs!$B$4:$B$150=$B61)*ISNUMBER(INDEX(Inputs!$D$4:$AG$150,0,MATCH(Y$2,Inputs!$D$2:$AG$2,0))))=0,"",SUMIFS(INDEX(Inputs!$D$4:$AG$150,0,MATCH(Y$2,Inputs!$D$2:$AG$2,0)),Inputs!$B$4:$B$150,$B61)/1000)</f>
        <v>818</v>
      </c>
      <c r="Z61" s="11">
        <f>IF(SUMPRODUCT((Inputs!$B$4:$B$150=$B61)*ISNUMBER(INDEX(Inputs!$D$4:$AG$150,0,MATCH(Z$2,Inputs!$D$2:$AG$2,0))))=0,"",SUMIFS(INDEX(Inputs!$D$4:$AG$150,0,MATCH(Z$2,Inputs!$D$2:$AG$2,0)),Inputs!$B$4:$B$150,$B61)/1000)</f>
        <v>774</v>
      </c>
      <c r="AA61" s="11">
        <f>IF(SUMPRODUCT((Inputs!$B$4:$B$150=$B61)*ISNUMBER(INDEX(Inputs!$D$4:$AG$150,0,MATCH(AA$2,Inputs!$D$2:$AG$2,0))))=0,"",SUMIFS(INDEX(Inputs!$D$4:$AG$150,0,MATCH(AA$2,Inputs!$D$2:$AG$2,0)),Inputs!$B$4:$B$150,$B61)/1000)</f>
        <v>834</v>
      </c>
      <c r="AB61" s="12">
        <f>IF(COUNT(X61:AA61)=4,SUM(X61:AA61),"")</f>
        <v>3181</v>
      </c>
      <c r="AC61" s="11">
        <f>IF(SUMPRODUCT((Inputs!$B$4:$B$150=$B61)*ISNUMBER(INDEX(Inputs!$D$4:$AG$150,0,MATCH(AC$2,Inputs!$D$2:$AG$2,0))))=0,"",SUMIFS(INDEX(Inputs!$D$4:$AG$150,0,MATCH(AC$2,Inputs!$D$2:$AG$2,0)),Inputs!$B$4:$B$150,$B61)/1000)</f>
        <v>969</v>
      </c>
      <c r="AD61" s="11">
        <f>IF(SUMPRODUCT((Inputs!$B$4:$B$150=$B61)*ISNUMBER(INDEX(Inputs!$D$4:$AG$150,0,MATCH(AD$2,Inputs!$D$2:$AG$2,0))))=0,"",SUMIFS(INDEX(Inputs!$D$4:$AG$150,0,MATCH(AD$2,Inputs!$D$2:$AG$2,0)),Inputs!$B$4:$B$150,$B61)/1000)</f>
        <v>1030</v>
      </c>
      <c r="AE61" s="11" t="str">
        <f>IF(SUMPRODUCT((Inputs!$B$4:$B$150=$B61)*ISNUMBER(INDEX(Inputs!$D$4:$AG$150,0,MATCH(AE$2,Inputs!$D$2:$AG$2,0))))=0,"",SUMIFS(INDEX(Inputs!$D$4:$AG$150,0,MATCH(AE$2,Inputs!$D$2:$AG$2,0)),Inputs!$B$4:$B$150,$B61)/1000)</f>
        <v/>
      </c>
      <c r="AF61" s="11" t="str">
        <f>IF(SUMPRODUCT((Inputs!$B$4:$B$150=$B61)*ISNUMBER(INDEX(Inputs!$D$4:$AG$150,0,MATCH(AF$2,Inputs!$D$2:$AG$2,0))))=0,"",SUMIFS(INDEX(Inputs!$D$4:$AG$150,0,MATCH(AF$2,Inputs!$D$2:$AG$2,0)),Inputs!$B$4:$B$150,$B61)/1000)</f>
        <v/>
      </c>
      <c r="AG61" s="12" t="str">
        <f>IF(COUNT(AC61:AF61)=4,SUM(AC61:AF61),"")</f>
        <v/>
      </c>
    </row>
    <row r="62">
      <c r="B62" s="9" t="n">
        <v>54</v>
      </c>
      <c r="C62" s="10" t="inlineStr">
        <is>
          <t>Atlantic Copper - lucro do segmento (USD)</t>
        </is>
      </c>
      <c r="D62" s="11">
        <f>IF(SUMPRODUCT((Inputs!$B$4:$B$150=$B62)*ISNUMBER(INDEX(Inputs!$D$4:$AG$150,0,MATCH(D$2,Inputs!$D$2:$AG$2,0))))=0,"",SUMIFS(INDEX(Inputs!$D$4:$AG$150,0,MATCH(D$2,Inputs!$D$2:$AG$2,0)),Inputs!$B$4:$B$150,$B62)/1000)</f>
        <v>0</v>
      </c>
      <c r="E62" s="11">
        <f>IF(SUMPRODUCT((Inputs!$B$4:$B$150=$B62)*ISNUMBER(INDEX(Inputs!$D$4:$AG$150,0,MATCH(E$2,Inputs!$D$2:$AG$2,0))))=0,"",SUMIFS(INDEX(Inputs!$D$4:$AG$150,0,MATCH(E$2,Inputs!$D$2:$AG$2,0)),Inputs!$B$4:$B$150,$B62)/1000)</f>
        <v>6</v>
      </c>
      <c r="F62" s="11">
        <f>IF(SUMPRODUCT((Inputs!$B$4:$B$150=$B62)*ISNUMBER(INDEX(Inputs!$D$4:$AG$150,0,MATCH(F$2,Inputs!$D$2:$AG$2,0))))=0,"",SUMIFS(INDEX(Inputs!$D$4:$AG$150,0,MATCH(F$2,Inputs!$D$2:$AG$2,0)),Inputs!$B$4:$B$150,$B62)/1000)</f>
        <v>6</v>
      </c>
      <c r="G62" s="11">
        <f>IF(SUMPRODUCT((Inputs!$B$4:$B$150=$B62)*ISNUMBER(INDEX(Inputs!$D$4:$AG$150,0,MATCH(G$2,Inputs!$D$2:$AG$2,0))))=0,"",SUMIFS(INDEX(Inputs!$D$4:$AG$150,0,MATCH(G$2,Inputs!$D$2:$AG$2,0)),Inputs!$B$4:$B$150,$B62)/1000)</f>
        <v>9</v>
      </c>
      <c r="H62" s="12">
        <f>IF(COUNT(D62:G62)=4,SUM(D62:G62),"")</f>
        <v>21</v>
      </c>
      <c r="I62" s="11">
        <f>IF(SUMPRODUCT((Inputs!$B$4:$B$150=$B62)*ISNUMBER(INDEX(Inputs!$D$4:$AG$150,0,MATCH(I$2,Inputs!$D$2:$AG$2,0))))=0,"",SUMIFS(INDEX(Inputs!$D$4:$AG$150,0,MATCH(I$2,Inputs!$D$2:$AG$2,0)),Inputs!$B$4:$B$150,$B62)/1000)</f>
        <v>-18</v>
      </c>
      <c r="J62" s="11">
        <f>IF(SUMPRODUCT((Inputs!$B$4:$B$150=$B62)*ISNUMBER(INDEX(Inputs!$D$4:$AG$150,0,MATCH(J$2,Inputs!$D$2:$AG$2,0))))=0,"",SUMIFS(INDEX(Inputs!$D$4:$AG$150,0,MATCH(J$2,Inputs!$D$2:$AG$2,0)),Inputs!$B$4:$B$150,$B62)/1000)</f>
        <v>-41</v>
      </c>
      <c r="K62" s="11">
        <f>IF(SUMPRODUCT((Inputs!$B$4:$B$150=$B62)*ISNUMBER(INDEX(Inputs!$D$4:$AG$150,0,MATCH(K$2,Inputs!$D$2:$AG$2,0))))=0,"",SUMIFS(INDEX(Inputs!$D$4:$AG$150,0,MATCH(K$2,Inputs!$D$2:$AG$2,0)),Inputs!$B$4:$B$150,$B62)/1000)</f>
        <v>-9</v>
      </c>
      <c r="L62" s="11">
        <f>IF(SUMPRODUCT((Inputs!$B$4:$B$150=$B62)*ISNUMBER(INDEX(Inputs!$D$4:$AG$150,0,MATCH(L$2,Inputs!$D$2:$AG$2,0))))=0,"",SUMIFS(INDEX(Inputs!$D$4:$AG$150,0,MATCH(L$2,Inputs!$D$2:$AG$2,0)),Inputs!$B$4:$B$150,$B62)/1000)</f>
        <v>7</v>
      </c>
      <c r="M62" s="12">
        <f>IF(COUNT(I62:L62)=4,SUM(I62:L62),"")</f>
        <v>-61</v>
      </c>
      <c r="N62" s="11">
        <f>IF(SUMPRODUCT((Inputs!$B$4:$B$150=$B62)*ISNUMBER(INDEX(Inputs!$D$4:$AG$150,0,MATCH(N$2,Inputs!$D$2:$AG$2,0))))=0,"",SUMIFS(INDEX(Inputs!$D$4:$AG$150,0,MATCH(N$2,Inputs!$D$2:$AG$2,0)),Inputs!$B$4:$B$150,$B62)/1000)</f>
        <v>7</v>
      </c>
      <c r="O62" s="11">
        <f>IF(SUMPRODUCT((Inputs!$B$4:$B$150=$B62)*ISNUMBER(INDEX(Inputs!$D$4:$AG$150,0,MATCH(O$2,Inputs!$D$2:$AG$2,0))))=0,"",SUMIFS(INDEX(Inputs!$D$4:$AG$150,0,MATCH(O$2,Inputs!$D$2:$AG$2,0)),Inputs!$B$4:$B$150,$B62)/1000)</f>
        <v>9</v>
      </c>
      <c r="P62" s="11">
        <f>IF(SUMPRODUCT((Inputs!$B$4:$B$150=$B62)*ISNUMBER(INDEX(Inputs!$D$4:$AG$150,0,MATCH(P$2,Inputs!$D$2:$AG$2,0))))=0,"",SUMIFS(INDEX(Inputs!$D$4:$AG$150,0,MATCH(P$2,Inputs!$D$2:$AG$2,0)),Inputs!$B$4:$B$150,$B62)/1000)</f>
        <v>7</v>
      </c>
      <c r="Q62" s="11">
        <f>IF(SUMPRODUCT((Inputs!$B$4:$B$150=$B62)*ISNUMBER(INDEX(Inputs!$D$4:$AG$150,0,MATCH(Q$2,Inputs!$D$2:$AG$2,0))))=0,"",SUMIFS(INDEX(Inputs!$D$4:$AG$150,0,MATCH(Q$2,Inputs!$D$2:$AG$2,0)),Inputs!$B$4:$B$150,$B62)/1000)</f>
        <v>13</v>
      </c>
      <c r="R62" s="12">
        <f>IF(COUNT(N62:Q62)=4,SUM(N62:Q62),"")</f>
        <v>36</v>
      </c>
      <c r="S62" s="11">
        <f>IF(SUMPRODUCT((Inputs!$B$4:$B$150=$B62)*ISNUMBER(INDEX(Inputs!$D$4:$AG$150,0,MATCH(S$2,Inputs!$D$2:$AG$2,0))))=0,"",SUMIFS(INDEX(Inputs!$D$4:$AG$150,0,MATCH(S$2,Inputs!$D$2:$AG$2,0)),Inputs!$B$4:$B$150,$B62)/1000)</f>
        <v>7</v>
      </c>
      <c r="T62" s="11">
        <f>IF(SUMPRODUCT((Inputs!$B$4:$B$150=$B62)*ISNUMBER(INDEX(Inputs!$D$4:$AG$150,0,MATCH(T$2,Inputs!$D$2:$AG$2,0))))=0,"",SUMIFS(INDEX(Inputs!$D$4:$AG$150,0,MATCH(T$2,Inputs!$D$2:$AG$2,0)),Inputs!$B$4:$B$150,$B62)/1000)</f>
        <v>28</v>
      </c>
      <c r="U62" s="11">
        <f>IF(SUMPRODUCT((Inputs!$B$4:$B$150=$B62)*ISNUMBER(INDEX(Inputs!$D$4:$AG$150,0,MATCH(U$2,Inputs!$D$2:$AG$2,0))))=0,"",SUMIFS(INDEX(Inputs!$D$4:$AG$150,0,MATCH(U$2,Inputs!$D$2:$AG$2,0)),Inputs!$B$4:$B$150,$B62)/1000)</f>
        <v>-1</v>
      </c>
      <c r="V62" s="11">
        <f>IF(SUMPRODUCT((Inputs!$B$4:$B$150=$B62)*ISNUMBER(INDEX(Inputs!$D$4:$AG$150,0,MATCH(V$2,Inputs!$D$2:$AG$2,0))))=0,"",SUMIFS(INDEX(Inputs!$D$4:$AG$150,0,MATCH(V$2,Inputs!$D$2:$AG$2,0)),Inputs!$B$4:$B$150,$B62)/1000)</f>
        <v>15</v>
      </c>
      <c r="W62" s="12">
        <f>IF(COUNT(S62:V62)=4,SUM(S62:V62),"")</f>
        <v>49</v>
      </c>
      <c r="X62" s="11">
        <f>IF(SUMPRODUCT((Inputs!$B$4:$B$150=$B62)*ISNUMBER(INDEX(Inputs!$D$4:$AG$150,0,MATCH(X$2,Inputs!$D$2:$AG$2,0))))=0,"",SUMIFS(INDEX(Inputs!$D$4:$AG$150,0,MATCH(X$2,Inputs!$D$2:$AG$2,0)),Inputs!$B$4:$B$150,$B62)/1000)</f>
        <v>5</v>
      </c>
      <c r="Y62" s="11">
        <f>IF(SUMPRODUCT((Inputs!$B$4:$B$150=$B62)*ISNUMBER(INDEX(Inputs!$D$4:$AG$150,0,MATCH(Y$2,Inputs!$D$2:$AG$2,0))))=0,"",SUMIFS(INDEX(Inputs!$D$4:$AG$150,0,MATCH(Y$2,Inputs!$D$2:$AG$2,0)),Inputs!$B$4:$B$150,$B62)/1000)</f>
        <v>13</v>
      </c>
      <c r="Z62" s="11">
        <f>IF(SUMPRODUCT((Inputs!$B$4:$B$150=$B62)*ISNUMBER(INDEX(Inputs!$D$4:$AG$150,0,MATCH(Z$2,Inputs!$D$2:$AG$2,0))))=0,"",SUMIFS(INDEX(Inputs!$D$4:$AG$150,0,MATCH(Z$2,Inputs!$D$2:$AG$2,0)),Inputs!$B$4:$B$150,$B62)/1000)</f>
        <v>7</v>
      </c>
      <c r="AA62" s="11">
        <f>IF(SUMPRODUCT((Inputs!$B$4:$B$150=$B62)*ISNUMBER(INDEX(Inputs!$D$4:$AG$150,0,MATCH(AA$2,Inputs!$D$2:$AG$2,0))))=0,"",SUMIFS(INDEX(Inputs!$D$4:$AG$150,0,MATCH(AA$2,Inputs!$D$2:$AG$2,0)),Inputs!$B$4:$B$150,$B62)/1000)</f>
        <v>-14</v>
      </c>
      <c r="AB62" s="12">
        <f>IF(COUNT(X62:AA62)=4,SUM(X62:AA62),"")</f>
        <v>11</v>
      </c>
      <c r="AC62" s="11">
        <f>IF(SUMPRODUCT((Inputs!$B$4:$B$150=$B62)*ISNUMBER(INDEX(Inputs!$D$4:$AG$150,0,MATCH(AC$2,Inputs!$D$2:$AG$2,0))))=0,"",SUMIFS(INDEX(Inputs!$D$4:$AG$150,0,MATCH(AC$2,Inputs!$D$2:$AG$2,0)),Inputs!$B$4:$B$150,$B62)/1000)</f>
        <v>22</v>
      </c>
      <c r="AD62" s="11">
        <f>IF(SUMPRODUCT((Inputs!$B$4:$B$150=$B62)*ISNUMBER(INDEX(Inputs!$D$4:$AG$150,0,MATCH(AD$2,Inputs!$D$2:$AG$2,0))))=0,"",SUMIFS(INDEX(Inputs!$D$4:$AG$150,0,MATCH(AD$2,Inputs!$D$2:$AG$2,0)),Inputs!$B$4:$B$150,$B62)/1000)</f>
        <v>26</v>
      </c>
      <c r="AE62" s="11" t="str">
        <f>IF(SUMPRODUCT((Inputs!$B$4:$B$150=$B62)*ISNUMBER(INDEX(Inputs!$D$4:$AG$150,0,MATCH(AE$2,Inputs!$D$2:$AG$2,0))))=0,"",SUMIFS(INDEX(Inputs!$D$4:$AG$150,0,MATCH(AE$2,Inputs!$D$2:$AG$2,0)),Inputs!$B$4:$B$150,$B62)/1000)</f>
        <v/>
      </c>
      <c r="AF62" s="11" t="str">
        <f>IF(SUMPRODUCT((Inputs!$B$4:$B$150=$B62)*ISNUMBER(INDEX(Inputs!$D$4:$AG$150,0,MATCH(AF$2,Inputs!$D$2:$AG$2,0))))=0,"",SUMIFS(INDEX(Inputs!$D$4:$AG$150,0,MATCH(AF$2,Inputs!$D$2:$AG$2,0)),Inputs!$B$4:$B$150,$B62)/1000)</f>
        <v/>
      </c>
      <c r="AG62" s="12" t="str">
        <f>IF(COUNT(AC62:AF62)=4,SUM(AC62:AF62),"")</f>
        <v/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84"/>
  <sheetViews>
    <sheetView showGridLines="0" zoomScaleNormal="100" workbookViewId="0">
      <pane xSplit="3" ySplit="11" topLeftCell="D270" activePane="bottomRight" state="frozen"/>
      <selection pane="topRight" activeCell="D1" sqref="D1"/>
      <selection pane="bottomLeft" activeCell="A12" sqref="A12"/>
      <selection pane="bottomRight" activeCell="O315" sqref="O315"/>
    </sheetView>
  </sheetViews>
  <sheetFormatPr baseColWidth="8" defaultColWidth="10.42578125" defaultRowHeight="12.75" outlineLevelRow="1"/>
  <cols>
    <col width="2" customWidth="1" style="3" min="1" max="1"/>
    <col width="8.85546875" customWidth="1" style="3" min="2" max="2"/>
    <col width="96.140625" customWidth="1" style="4" min="3" max="3"/>
    <col width="13" customWidth="1" style="4" min="4" max="24"/>
    <col width="12.7109375" customWidth="1" style="4" min="25" max="25"/>
    <col width="13" customWidth="1" style="4" min="26" max="27"/>
    <col width="12.7109375" customWidth="1" style="4" min="28" max="28"/>
    <col width="14" customWidth="1" style="4" min="29" max="29"/>
    <col width="15.140625" customWidth="1" style="4" min="30" max="30"/>
    <col width="12.42578125" customWidth="1" style="4" min="31" max="31"/>
    <col width="11.5703125" customWidth="1" style="4" min="32" max="32"/>
    <col width="12.42578125" customWidth="1" style="4" min="33" max="33"/>
    <col width="11.5703125" customWidth="1" style="4" min="34" max="34"/>
    <col width="12.7109375" customWidth="1" style="4" min="35" max="35"/>
    <col width="11.5703125" customWidth="1" style="4" min="36" max="37"/>
    <col width="11.28515625" customWidth="1" style="4" min="38" max="38"/>
    <col width="11.5703125" customWidth="1" style="4" min="39" max="39"/>
    <col width="12.7109375" customWidth="1" style="4" min="40" max="40"/>
    <col width="11.5703125" customWidth="1" style="4" min="41" max="42"/>
    <col width="11.28515625" customWidth="1" style="4" min="43" max="43"/>
    <col width="11.5703125" customWidth="1" style="4" min="44" max="44"/>
    <col width="12.7109375" customWidth="1" style="4" min="45" max="45"/>
    <col width="11.5703125" customWidth="1" style="4" min="46" max="47"/>
    <col width="11.28515625" customWidth="1" style="4" min="48" max="48"/>
    <col width="11.5703125" customWidth="1" style="4" min="49" max="49"/>
    <col width="12.7109375" customWidth="1" style="4" min="50" max="50"/>
    <col width="11.5703125" customWidth="1" style="4" min="51" max="52"/>
    <col width="11.28515625" customWidth="1" style="4" min="53" max="53"/>
    <col width="11.5703125" customWidth="1" style="4" min="54" max="54"/>
    <col width="12.7109375" customWidth="1" style="4" min="55" max="55"/>
    <col width="11.5703125" customWidth="1" style="4" min="56" max="57"/>
    <col width="11.28515625" customWidth="1" style="4" min="58" max="58"/>
    <col width="11.5703125" customWidth="1" style="4" min="59" max="59"/>
    <col width="12.7109375" customWidth="1" style="4" min="60" max="60"/>
    <col width="11.5703125" customWidth="1" style="4" min="61" max="62"/>
    <col width="11.28515625" customWidth="1" style="4" min="63" max="63"/>
    <col width="11.5703125" customWidth="1" style="4" min="64" max="64"/>
    <col width="12.7109375" customWidth="1" style="4" min="65" max="65"/>
    <col width="11.5703125" customWidth="1" style="4" min="66" max="67"/>
    <col width="11.28515625" customWidth="1" style="4" min="68" max="68"/>
    <col width="11.5703125" customWidth="1" style="4" min="69" max="69"/>
    <col width="12.7109375" customWidth="1" style="4" min="70" max="70"/>
    <col width="11.5703125" customWidth="1" style="4" min="71" max="72"/>
    <col width="11.28515625" customWidth="1" style="4" min="73" max="73"/>
    <col width="11.5703125" customWidth="1" style="4" min="74" max="74"/>
    <col width="12.7109375" customWidth="1" style="4" min="75" max="75"/>
    <col width="11.5703125" customWidth="1" style="4" min="76" max="77"/>
    <col width="11.28515625" customWidth="1" style="4" min="78" max="78"/>
    <col width="11.5703125" customWidth="1" style="4" min="79" max="79"/>
    <col width="12.7109375" customWidth="1" style="4" min="80" max="80"/>
    <col width="11.5703125" customWidth="1" style="4" min="81" max="82"/>
    <col width="11.28515625" customWidth="1" style="4" min="83" max="83"/>
    <col width="11.5703125" customWidth="1" style="4" min="84" max="84"/>
    <col width="12.7109375" customWidth="1" style="4" min="85" max="85"/>
    <col width="11.5703125" customWidth="1" style="4" min="86" max="87"/>
    <col width="11.28515625" customWidth="1" style="4" min="88" max="88"/>
    <col width="11.5703125" customWidth="1" style="4" min="89" max="89"/>
    <col width="12.7109375" customWidth="1" style="4" min="90" max="90"/>
    <col width="11.5703125" customWidth="1" style="4" min="91" max="92"/>
    <col width="11.28515625" customWidth="1" style="4" min="93" max="93"/>
    <col width="11.5703125" customWidth="1" style="4" min="94" max="94"/>
    <col width="12.7109375" customWidth="1" style="4" min="95" max="95"/>
    <col width="11.5703125" customWidth="1" style="4" min="96" max="97"/>
    <col width="11.28515625" customWidth="1" style="4" min="98" max="98"/>
    <col width="11.5703125" customWidth="1" style="4" min="99" max="99"/>
    <col width="12.7109375" customWidth="1" style="4" min="100" max="100"/>
    <col width="11.5703125" customWidth="1" style="4" min="101" max="102"/>
    <col width="11.28515625" customWidth="1" style="4" min="103" max="103"/>
    <col width="10.42578125" customWidth="1" style="4" min="104" max="106"/>
    <col width="10.42578125" customWidth="1" style="4" min="107" max="16384"/>
  </cols>
  <sheetData>
    <row r="1">
      <c r="C1" s="17" t="inlineStr">
        <is>
          <t>CHECKS</t>
        </is>
      </c>
      <c r="D1" s="12" t="n"/>
      <c r="E1" s="12" t="n"/>
      <c r="F1" s="12" t="n"/>
      <c r="G1" s="12" t="n"/>
      <c r="H1" s="12" t="n"/>
      <c r="I1" s="12">
        <f>IF(I2="","",SUM(I2,I3))</f>
        <v>0</v>
      </c>
      <c r="J1" s="12">
        <f>IF(J2="","",SUM(J2,J3))</f>
        <v>0</v>
      </c>
      <c r="K1" s="12">
        <f>IF(K2="","",SUM(K2,K3))</f>
        <v>0</v>
      </c>
      <c r="L1" s="12">
        <f>IF(L2="","",SUM(L2,L3))</f>
        <v>0</v>
      </c>
      <c r="M1" s="12">
        <f>IF(M2="","",SUM(M2,M3))</f>
        <v>0</v>
      </c>
      <c r="N1" s="12">
        <f>IF(N2="","",SUM(N2,N3))</f>
        <v>0</v>
      </c>
      <c r="O1" s="12">
        <f>IF(O2="","",SUM(O2,O3))</f>
        <v>0</v>
      </c>
      <c r="P1" s="12">
        <f>IF(P2="","",SUM(P2,P3))</f>
        <v>0</v>
      </c>
      <c r="Q1" s="12">
        <f>IF(Q2="","",SUM(Q2,Q3))</f>
        <v>0</v>
      </c>
      <c r="R1" s="12">
        <f>IF(R2="","",SUM(R2,R3))</f>
        <v>0</v>
      </c>
      <c r="S1" s="12">
        <f>IF(S2="","",SUM(S2,S3))</f>
        <v>0</v>
      </c>
      <c r="T1" s="12">
        <f>IF(T2="","",SUM(T2,T3))</f>
        <v>0</v>
      </c>
      <c r="U1" s="12">
        <f>IF(U2="","",SUM(U2,U3))</f>
        <v>0</v>
      </c>
      <c r="V1" s="12">
        <f>IF(V2="","",SUM(V2,V3))</f>
        <v>0</v>
      </c>
      <c r="W1" s="12">
        <f>IF(W2="","",SUM(W2,W3))</f>
        <v>0</v>
      </c>
      <c r="X1" s="12">
        <f>IF(X2="","",SUM(X2,X3))</f>
        <v>0</v>
      </c>
      <c r="Y1" s="12">
        <f>IF(Y2="","",SUM(Y2,Y3))</f>
        <v>0</v>
      </c>
      <c r="Z1" s="12">
        <f>IF(Z2="","",SUM(Z2,Z3))</f>
        <v>0</v>
      </c>
      <c r="AA1" s="12">
        <f>IF(AA2="","",SUM(AA2,AA3))</f>
        <v>0</v>
      </c>
      <c r="AB1" s="12">
        <f>IF(AB2="","",SUM(AB2,AB3))</f>
        <v>0</v>
      </c>
      <c r="AC1" s="12">
        <f>IF(AC2="","",SUM(AC2,AC3))</f>
        <v>0</v>
      </c>
      <c r="AD1" s="12">
        <f>IF(AD2="","",SUM(AD2,AD3))</f>
        <v>0</v>
      </c>
      <c r="AE1" s="12">
        <f>IF(AE2="","",SUM(AE2,AE3))</f>
        <v>0</v>
      </c>
      <c r="AF1" s="12">
        <f>IF(AF2="","",SUM(AF2,AF3))</f>
        <v>0</v>
      </c>
      <c r="AG1" s="12">
        <f>IF(AG2="","",SUM(AG2,AG3))</f>
        <v>0</v>
      </c>
      <c r="AH1" s="12">
        <f>IF(AH2="","",SUM(AH2,AH3))</f>
        <v>0</v>
      </c>
      <c r="AI1" s="12">
        <f>IF(AI2="","",SUM(AI2,AI3))</f>
        <v>0</v>
      </c>
      <c r="AJ1" s="12">
        <f>IF(AJ2="","",SUM(AJ2,AJ3))</f>
        <v>1232.12077522612</v>
      </c>
      <c r="AK1" s="12">
        <f>IF(AK2="","",SUM(AK2,AK3))</f>
        <v>995.487138102231</v>
      </c>
      <c r="AL1" s="12">
        <f>IF(AL2="","",SUM(AL2,AL3))</f>
        <v>4092.60791332835</v>
      </c>
      <c r="AM1" s="12">
        <f>IF(AM2="","",SUM(AM2,AM3))</f>
        <v>1101.69835237517</v>
      </c>
      <c r="AN1" s="12">
        <f>IF(AN2="","",SUM(AN2,AN3))</f>
        <v>1242.19405178778</v>
      </c>
      <c r="AO1" s="12">
        <f>IF(AO2="","",SUM(AO2,AO3))</f>
        <v>1248.09886722651</v>
      </c>
      <c r="AP1" s="12">
        <f>IF(AP2="","",SUM(AP2,AP3))</f>
        <v>1008.39657473995</v>
      </c>
      <c r="AQ1" s="12">
        <f>IF(AQ2="","",SUM(AQ2,AQ3))</f>
        <v>4600.38784612941</v>
      </c>
      <c r="AR1" s="12">
        <f>IF(AR2="","",SUM(AR2,AR3))</f>
        <v>1110.47663994926</v>
      </c>
      <c r="AS1" s="12">
        <f>IF(AS2="","",SUM(AS2,AS3))</f>
        <v>1252.09180336916</v>
      </c>
      <c r="AT1" s="12">
        <f>IF(AT2="","",SUM(AT2,AT3))</f>
        <v>1258.04366813666</v>
      </c>
      <c r="AU1" s="12">
        <f>IF(AU2="","",SUM(AU2,AU3))</f>
        <v>1016.43143755219</v>
      </c>
      <c r="AV1" s="12">
        <f>IF(AV2="","",SUM(AV2,AV3))</f>
        <v>4637.04354900728</v>
      </c>
      <c r="AW1" s="12">
        <f>IF(AW2="","",SUM(AW2,AW3))</f>
        <v>1113.77248936126</v>
      </c>
      <c r="AX1" s="12">
        <f>IF(AX2="","",SUM(AX2,AX3))</f>
        <v>1255.80796081493</v>
      </c>
      <c r="AY1" s="12">
        <f>IF(AY2="","",SUM(AY2,AY3))</f>
        <v>1261.77749047451</v>
      </c>
      <c r="AZ1" s="12">
        <f>IF(AZ2="","",SUM(AZ2,AZ3))</f>
        <v>1019.4481646361</v>
      </c>
      <c r="BA1" s="12">
        <f>IF(BA2="","",SUM(BA2,BA3))</f>
        <v>4650.80610528681</v>
      </c>
      <c r="BB1" s="12">
        <f>IF(BB2="","",SUM(BB2,BB3))</f>
        <v>1113.77248936126</v>
      </c>
      <c r="BC1" s="12">
        <f>IF(BC2="","",SUM(BC2,BC3))</f>
        <v>1255.80796081493</v>
      </c>
      <c r="BD1" s="12">
        <f>IF(BD2="","",SUM(BD2,BD3))</f>
        <v>1261.77749047451</v>
      </c>
      <c r="BE1" s="12">
        <f>IF(BE2="","",SUM(BE2,BE3))</f>
        <v>1019.4481646361</v>
      </c>
      <c r="BF1" s="12">
        <f>IF(BF2="","",SUM(BF2,BF3))</f>
        <v>4650.80610528681</v>
      </c>
      <c r="BG1" s="12" t="n"/>
      <c r="BH1" s="12" t="n"/>
      <c r="BI1" s="12" t="n"/>
      <c r="BJ1" s="12" t="n"/>
      <c r="BK1" s="12" t="n"/>
      <c r="BL1" s="12" t="n"/>
      <c r="BM1" s="12" t="n"/>
      <c r="BN1" s="12" t="n"/>
      <c r="BO1" s="12" t="n"/>
      <c r="BP1" s="12" t="n"/>
      <c r="BQ1" s="12" t="n"/>
      <c r="BR1" s="12" t="n"/>
      <c r="BS1" s="12" t="n"/>
      <c r="BT1" s="12" t="n"/>
      <c r="BU1" s="12" t="n"/>
      <c r="BV1" s="12" t="n"/>
      <c r="BW1" s="12" t="n"/>
      <c r="BX1" s="12" t="n"/>
      <c r="BY1" s="12" t="n"/>
      <c r="BZ1" s="12" t="n"/>
      <c r="CA1" s="12" t="n"/>
      <c r="CB1" s="12" t="n"/>
      <c r="CC1" s="12" t="n"/>
      <c r="CD1" s="12" t="n"/>
      <c r="CE1" s="12" t="n"/>
      <c r="CF1" s="12" t="n"/>
      <c r="CG1" s="12" t="n"/>
      <c r="CH1" s="12" t="n"/>
      <c r="CI1" s="12" t="n"/>
      <c r="CJ1" s="12" t="n"/>
      <c r="CK1" s="12" t="n"/>
      <c r="CL1" s="12" t="n"/>
      <c r="CM1" s="12" t="n"/>
      <c r="CN1" s="12" t="n"/>
      <c r="CO1" s="12" t="n"/>
      <c r="CP1" s="12" t="n"/>
      <c r="CQ1" s="12" t="n"/>
      <c r="CR1" s="12" t="n"/>
      <c r="CS1" s="12" t="n"/>
      <c r="CT1" s="12" t="n"/>
      <c r="CU1" s="12" t="n"/>
      <c r="CV1" s="12" t="n"/>
      <c r="CW1" s="12" t="n"/>
      <c r="CX1" s="12" t="n"/>
      <c r="CY1" s="12" t="n"/>
    </row>
    <row r="2">
      <c r="C2" s="18" t="inlineStr">
        <is>
          <t>BS</t>
        </is>
      </c>
      <c r="D2" s="12" t="n"/>
      <c r="E2" s="12" t="n"/>
      <c r="F2" s="12" t="n"/>
      <c r="G2" s="12" t="n"/>
      <c r="H2" s="12" t="n"/>
      <c r="I2" s="12">
        <f>IF(COUNT(I189,I265)&lt;2,"",ABS(I189-I265))</f>
        <v>0</v>
      </c>
      <c r="J2" s="12">
        <f>IF(COUNT(J189,J265)&lt;2,"",ABS(J189-J265))</f>
        <v>0</v>
      </c>
      <c r="K2" s="12">
        <f>IF(COUNT(K189,K265)&lt;2,"",ABS(K189-K265))</f>
        <v>0</v>
      </c>
      <c r="L2" s="12">
        <f>IF(COUNT(L189,L265)&lt;2,"",ABS(L189-L265))</f>
        <v>0</v>
      </c>
      <c r="M2" s="12">
        <f>IF(COUNT(M189,M265)&lt;2,"",ABS(M189-M265))</f>
        <v>0</v>
      </c>
      <c r="N2" s="12">
        <f>IF(COUNT(N189,N265)&lt;2,"",ABS(N189-N265))</f>
        <v>0</v>
      </c>
      <c r="O2" s="12">
        <f>IF(COUNT(O189,O265)&lt;2,"",ABS(O189-O265))</f>
        <v>0</v>
      </c>
      <c r="P2" s="12">
        <f>IF(COUNT(P189,P265)&lt;2,"",ABS(P189-P265))</f>
        <v>0</v>
      </c>
      <c r="Q2" s="12">
        <f>IF(COUNT(Q189,Q265)&lt;2,"",ABS(Q189-Q265))</f>
        <v>0</v>
      </c>
      <c r="R2" s="12">
        <f>IF(COUNT(R189,R265)&lt;2,"",ABS(R189-R265))</f>
        <v>0</v>
      </c>
      <c r="S2" s="12">
        <f>IF(COUNT(S189,S265)&lt;2,"",ABS(S189-S265))</f>
        <v>0</v>
      </c>
      <c r="T2" s="12">
        <f>IF(COUNT(T189,T265)&lt;2,"",ABS(T189-T265))</f>
        <v>0</v>
      </c>
      <c r="U2" s="12">
        <f>IF(COUNT(U189,U265)&lt;2,"",ABS(U189-U265))</f>
        <v>0</v>
      </c>
      <c r="V2" s="12">
        <f>IF(COUNT(V189,V265)&lt;2,"",ABS(V189-V265))</f>
        <v>0</v>
      </c>
      <c r="W2" s="12">
        <f>IF(COUNT(W189,W265)&lt;2,"",ABS(W189-W265))</f>
        <v>0</v>
      </c>
      <c r="X2" s="12">
        <f>IF(COUNT(X189,X265)&lt;2,"",ABS(X189-X265))</f>
        <v>0</v>
      </c>
      <c r="Y2" s="12">
        <f>IF(COUNT(Y189,Y265)&lt;2,"",ABS(Y189-Y265))</f>
        <v>0</v>
      </c>
      <c r="Z2" s="12">
        <f>IF(COUNT(Z189,Z265)&lt;2,"",ABS(Z189-Z265))</f>
        <v>0</v>
      </c>
      <c r="AA2" s="12">
        <f>IF(COUNT(AA189,AA265)&lt;2,"",ABS(AA189-AA265))</f>
        <v>0</v>
      </c>
      <c r="AB2" s="12">
        <f>IF(COUNT(AB189,AB265)&lt;2,"",ABS(AB189-AB265))</f>
        <v>0</v>
      </c>
      <c r="AC2" s="12">
        <f>IF(COUNT(AC189,AC265)&lt;2,"",ABS(AC189-AC265))</f>
        <v>0</v>
      </c>
      <c r="AD2" s="12">
        <f>IF(COUNT(AD189,AD265)&lt;2,"",ABS(AD189-AD265))</f>
        <v>0</v>
      </c>
      <c r="AE2" s="12">
        <f>IF(COUNT(AE189,AE265)&lt;2,"",ABS(AE189-AE265))</f>
        <v>0</v>
      </c>
      <c r="AF2" s="12">
        <f>IF(COUNT(AF189,AF265)&lt;2,"",ABS(AF189-AF265))</f>
        <v>0</v>
      </c>
      <c r="AG2" s="12">
        <f>IF(COUNT(AG189,AG265)&lt;2,"",ABS(AG189-AG265))</f>
        <v>0</v>
      </c>
      <c r="AH2" s="12">
        <f>IF(COUNT(AH189,AH265)&lt;2,"",ABS(AH189-AH265))</f>
        <v>0</v>
      </c>
      <c r="AI2" s="12">
        <f>IF(COUNT(AI189,AI265)&lt;2,"",ABS(AI189-AI265))</f>
        <v>0</v>
      </c>
      <c r="AJ2" s="12">
        <f>IF(COUNT(AJ189,AJ265)&lt;2,"",ABS(AJ189-AJ265))</f>
        <v>0</v>
      </c>
      <c r="AK2" s="12">
        <f>IF(COUNT(AK189,AK265)&lt;2,"",ABS(AK189-AK265))</f>
        <v>0</v>
      </c>
      <c r="AL2" s="12">
        <f>IF(COUNT(AL189,AL265)&lt;2,"",ABS(AL189-AL265))</f>
        <v>0</v>
      </c>
      <c r="AM2" s="12">
        <f>IF(COUNT(AM189,AM265)&lt;2,"",ABS(AM189-AM265))</f>
        <v>0</v>
      </c>
      <c r="AN2" s="12">
        <f>IF(COUNT(AN189,AN265)&lt;2,"",ABS(AN189-AN265))</f>
        <v>0</v>
      </c>
      <c r="AO2" s="12">
        <f>IF(COUNT(AO189,AO265)&lt;2,"",ABS(AO189-AO265))</f>
        <v>0</v>
      </c>
      <c r="AP2" s="12">
        <f>IF(COUNT(AP189,AP265)&lt;2,"",ABS(AP189-AP265))</f>
        <v>0</v>
      </c>
      <c r="AQ2" s="12">
        <f>IF(COUNT(AQ189,AQ265)&lt;2,"",ABS(AQ189-AQ265))</f>
        <v>0</v>
      </c>
      <c r="AR2" s="12">
        <f>IF(COUNT(AR189,AR265)&lt;2,"",ABS(AR189-AR265))</f>
        <v>0</v>
      </c>
      <c r="AS2" s="12">
        <f>IF(COUNT(AS189,AS265)&lt;2,"",ABS(AS189-AS265))</f>
        <v>0</v>
      </c>
      <c r="AT2" s="12">
        <f>IF(COUNT(AT189,AT265)&lt;2,"",ABS(AT189-AT265))</f>
        <v>0</v>
      </c>
      <c r="AU2" s="12">
        <f>IF(COUNT(AU189,AU265)&lt;2,"",ABS(AU189-AU265))</f>
        <v>0</v>
      </c>
      <c r="AV2" s="12">
        <f>IF(COUNT(AV189,AV265)&lt;2,"",ABS(AV189-AV265))</f>
        <v>0</v>
      </c>
      <c r="AW2" s="12">
        <f>IF(COUNT(AW189,AW265)&lt;2,"",ABS(AW189-AW265))</f>
        <v>0</v>
      </c>
      <c r="AX2" s="12">
        <f>IF(COUNT(AX189,AX265)&lt;2,"",ABS(AX189-AX265))</f>
        <v>0</v>
      </c>
      <c r="AY2" s="12">
        <f>IF(COUNT(AY189,AY265)&lt;2,"",ABS(AY189-AY265))</f>
        <v>0</v>
      </c>
      <c r="AZ2" s="12">
        <f>IF(COUNT(AZ189,AZ265)&lt;2,"",ABS(AZ189-AZ265))</f>
        <v>0</v>
      </c>
      <c r="BA2" s="12">
        <f>IF(COUNT(BA189,BA265)&lt;2,"",ABS(BA189-BA265))</f>
        <v>0</v>
      </c>
      <c r="BB2" s="12">
        <f>IF(COUNT(BB189,BB265)&lt;2,"",ABS(BB189-BB265))</f>
        <v>0</v>
      </c>
      <c r="BC2" s="12">
        <f>IF(COUNT(BC189,BC265)&lt;2,"",ABS(BC189-BC265))</f>
        <v>0</v>
      </c>
      <c r="BD2" s="12">
        <f>IF(COUNT(BD189,BD265)&lt;2,"",ABS(BD189-BD265))</f>
        <v>0</v>
      </c>
      <c r="BE2" s="12">
        <f>IF(COUNT(BE189,BE265)&lt;2,"",ABS(BE189-BE265))</f>
        <v>0</v>
      </c>
      <c r="BF2" s="12">
        <f>IF(COUNT(BF189,BF265)&lt;2,"",ABS(BF189-BF265))</f>
        <v>0</v>
      </c>
      <c r="BG2" s="12" t="n"/>
      <c r="BH2" s="12" t="n"/>
      <c r="BI2" s="12" t="n"/>
      <c r="BJ2" s="12" t="n"/>
      <c r="BK2" s="12" t="n"/>
      <c r="BL2" s="12" t="n"/>
      <c r="BM2" s="12" t="n"/>
      <c r="BN2" s="12" t="n"/>
      <c r="BO2" s="12" t="n"/>
      <c r="BP2" s="12" t="n"/>
      <c r="BQ2" s="12" t="n"/>
      <c r="BR2" s="12" t="n"/>
      <c r="BS2" s="12" t="n"/>
      <c r="BT2" s="12" t="n"/>
      <c r="BU2" s="12" t="n"/>
      <c r="BV2" s="12" t="n"/>
      <c r="BW2" s="12" t="n"/>
      <c r="BX2" s="12" t="n"/>
      <c r="BY2" s="12" t="n"/>
      <c r="BZ2" s="12" t="n"/>
      <c r="CA2" s="12" t="n"/>
      <c r="CB2" s="12" t="n"/>
      <c r="CC2" s="12" t="n"/>
      <c r="CD2" s="12" t="n"/>
      <c r="CE2" s="12" t="n"/>
      <c r="CF2" s="12" t="n"/>
      <c r="CG2" s="12" t="n"/>
      <c r="CH2" s="12" t="n"/>
      <c r="CI2" s="12" t="n"/>
      <c r="CJ2" s="12" t="n"/>
      <c r="CK2" s="12" t="n"/>
      <c r="CL2" s="12" t="n"/>
      <c r="CM2" s="12" t="n"/>
      <c r="CN2" s="12" t="n"/>
      <c r="CO2" s="12" t="n"/>
      <c r="CP2" s="12" t="n"/>
      <c r="CQ2" s="12" t="n"/>
      <c r="CR2" s="12" t="n"/>
      <c r="CS2" s="12" t="n"/>
      <c r="CT2" s="12" t="n"/>
      <c r="CU2" s="12" t="n"/>
      <c r="CV2" s="12" t="n"/>
      <c r="CW2" s="12" t="n"/>
      <c r="CX2" s="12" t="n"/>
      <c r="CY2" s="12" t="n"/>
    </row>
    <row r="3">
      <c r="C3" s="18" t="inlineStr">
        <is>
          <t>IS</t>
        </is>
      </c>
      <c r="D3" s="12" t="n"/>
      <c r="E3" s="12" t="n"/>
      <c r="F3" s="12" t="n"/>
      <c r="G3" s="12" t="n"/>
      <c r="H3" s="12" t="n"/>
      <c r="I3" s="12">
        <f>IF(COUNT(I129,I4)&lt;2,"",ABS(I129-I4))</f>
        <v>0</v>
      </c>
      <c r="J3" s="12">
        <f>IF(COUNT(J129,J4)&lt;2,"",ABS(J129-J4))</f>
        <v>0</v>
      </c>
      <c r="K3" s="12">
        <f>IF(COUNT(K129,K4)&lt;2,"",ABS(K129-K4))</f>
        <v>0</v>
      </c>
      <c r="L3" s="12">
        <f>IF(COUNT(L129,L4)&lt;2,"",ABS(L129-L4))</f>
        <v>0</v>
      </c>
      <c r="M3" s="12">
        <f>IF(COUNT(M129,M4)&lt;2,"",ABS(M129-M4))</f>
        <v>0</v>
      </c>
      <c r="N3" s="12">
        <f>IF(COUNT(N129,N4)&lt;2,"",ABS(N129-N4))</f>
        <v>0</v>
      </c>
      <c r="O3" s="12">
        <f>IF(COUNT(O129,O4)&lt;2,"",ABS(O129-O4))</f>
        <v>0</v>
      </c>
      <c r="P3" s="12">
        <f>IF(COUNT(P129,P4)&lt;2,"",ABS(P129-P4))</f>
        <v>0</v>
      </c>
      <c r="Q3" s="12">
        <f>IF(COUNT(Q129,Q4)&lt;2,"",ABS(Q129-Q4))</f>
        <v>0</v>
      </c>
      <c r="R3" s="12">
        <f>IF(COUNT(R129,R4)&lt;2,"",ABS(R129-R4))</f>
        <v>0</v>
      </c>
      <c r="S3" s="12">
        <f>IF(COUNT(S129,S4)&lt;2,"",ABS(S129-S4))</f>
        <v>0</v>
      </c>
      <c r="T3" s="12">
        <f>IF(COUNT(T129,T4)&lt;2,"",ABS(T129-T4))</f>
        <v>0</v>
      </c>
      <c r="U3" s="12">
        <f>IF(COUNT(U129,U4)&lt;2,"",ABS(U129-U4))</f>
        <v>0</v>
      </c>
      <c r="V3" s="12">
        <f>IF(COUNT(V129,V4)&lt;2,"",ABS(V129-V4))</f>
        <v>0</v>
      </c>
      <c r="W3" s="12">
        <f>IF(COUNT(W129,W4)&lt;2,"",ABS(W129-W4))</f>
        <v>0</v>
      </c>
      <c r="X3" s="12">
        <f>IF(COUNT(X129,X4)&lt;2,"",ABS(X129-X4))</f>
        <v>0</v>
      </c>
      <c r="Y3" s="12">
        <f>IF(COUNT(Y129,Y4)&lt;2,"",ABS(Y129-Y4))</f>
        <v>0</v>
      </c>
      <c r="Z3" s="12">
        <f>IF(COUNT(Z129,Z4)&lt;2,"",ABS(Z129-Z4))</f>
        <v>0</v>
      </c>
      <c r="AA3" s="12">
        <f>IF(COUNT(AA129,AA4)&lt;2,"",ABS(AA129-AA4))</f>
        <v>0</v>
      </c>
      <c r="AB3" s="12">
        <f>IF(COUNT(AB129,AB4)&lt;2,"",ABS(AB129-AB4))</f>
        <v>0</v>
      </c>
      <c r="AC3" s="12">
        <f>IF(COUNT(AC129,AC4)&lt;2,"",ABS(AC129-AC4))</f>
        <v>0</v>
      </c>
      <c r="AD3" s="12">
        <f>IF(COUNT(AD129,AD4)&lt;2,"",ABS(AD129-AD4))</f>
        <v>0</v>
      </c>
      <c r="AE3" s="12">
        <f>IF(COUNT(AE129,AE4)&lt;2,"",ABS(AE129-AE4))</f>
        <v>0</v>
      </c>
      <c r="AF3" s="12">
        <f>IF(COUNT(AF129,AF4)&lt;2,"",ABS(AF129-AF4))</f>
        <v>0</v>
      </c>
      <c r="AG3" s="12">
        <f>IF(COUNT(AG129,AG4)&lt;2,"",ABS(AG129-AG4))</f>
        <v>0</v>
      </c>
      <c r="AH3" s="12">
        <f>IF(COUNT(AH129,AH4)&lt;2,"",ABS(AH129-AH4))</f>
        <v>0</v>
      </c>
      <c r="AI3" s="12">
        <f>IF(COUNT(AI129,AI4)&lt;2,"",ABS(AI129-AI4))</f>
        <v>0</v>
      </c>
      <c r="AJ3" s="12">
        <f>ABS(AJ129-AJ4)</f>
        <v>1232.12077522612</v>
      </c>
      <c r="AK3" s="12">
        <f>ABS(AK129-AK4)</f>
        <v>995.487138102231</v>
      </c>
      <c r="AL3" s="12">
        <f>ABS(AL129-AL4)</f>
        <v>4092.60791332835</v>
      </c>
      <c r="AM3" s="12">
        <f>ABS(AM129-AM4)</f>
        <v>1101.69835237517</v>
      </c>
      <c r="AN3" s="12">
        <f>ABS(AN129-AN4)</f>
        <v>1242.19405178778</v>
      </c>
      <c r="AO3" s="12">
        <f>ABS(AO129-AO4)</f>
        <v>1248.09886722651</v>
      </c>
      <c r="AP3" s="12">
        <f>ABS(AP129-AP4)</f>
        <v>1008.39657473995</v>
      </c>
      <c r="AQ3" s="12">
        <f>ABS(AQ129-AQ4)</f>
        <v>4600.38784612941</v>
      </c>
      <c r="AR3" s="12">
        <f>ABS(AR129-AR4)</f>
        <v>1110.47663994926</v>
      </c>
      <c r="AS3" s="12">
        <f>ABS(AS129-AS4)</f>
        <v>1252.09180336916</v>
      </c>
      <c r="AT3" s="12">
        <f>ABS(AT129-AT4)</f>
        <v>1258.04366813666</v>
      </c>
      <c r="AU3" s="12">
        <f>ABS(AU129-AU4)</f>
        <v>1016.43143755219</v>
      </c>
      <c r="AV3" s="12">
        <f>ABS(AV129-AV4)</f>
        <v>4637.04354900728</v>
      </c>
      <c r="AW3" s="12">
        <f>ABS(AW129-AW4)</f>
        <v>1113.77248936126</v>
      </c>
      <c r="AX3" s="12">
        <f>ABS(AX129-AX4)</f>
        <v>1255.80796081493</v>
      </c>
      <c r="AY3" s="12">
        <f>ABS(AY129-AY4)</f>
        <v>1261.77749047451</v>
      </c>
      <c r="AZ3" s="12">
        <f>ABS(AZ129-AZ4)</f>
        <v>1019.4481646361</v>
      </c>
      <c r="BA3" s="12">
        <f>ABS(BA129-BA4)</f>
        <v>4650.80610528681</v>
      </c>
      <c r="BB3" s="12">
        <f>ABS(BB129-BB4)</f>
        <v>1113.77248936126</v>
      </c>
      <c r="BC3" s="12">
        <f>ABS(BC129-BC4)</f>
        <v>1255.80796081493</v>
      </c>
      <c r="BD3" s="12">
        <f>ABS(BD129-BD4)</f>
        <v>1261.77749047451</v>
      </c>
      <c r="BE3" s="12">
        <f>ABS(BE129-BE4)</f>
        <v>1019.4481646361</v>
      </c>
      <c r="BF3" s="12">
        <f>ABS(BF129-BF4)</f>
        <v>4650.80610528681</v>
      </c>
      <c r="BG3" s="12" t="n"/>
      <c r="BH3" s="12" t="n"/>
      <c r="BI3" s="12" t="n"/>
      <c r="BJ3" s="12" t="n"/>
      <c r="BK3" s="12" t="n"/>
      <c r="BL3" s="12" t="n"/>
      <c r="BM3" s="12" t="n"/>
      <c r="BN3" s="12" t="n"/>
      <c r="BO3" s="12" t="n"/>
      <c r="BP3" s="12" t="n"/>
      <c r="BQ3" s="12" t="n"/>
      <c r="BR3" s="12" t="n"/>
      <c r="BS3" s="12" t="n"/>
      <c r="BT3" s="12" t="n"/>
      <c r="BU3" s="12" t="n"/>
      <c r="BV3" s="12" t="n"/>
      <c r="BW3" s="12" t="n"/>
      <c r="BX3" s="12" t="n"/>
      <c r="BY3" s="12" t="n"/>
      <c r="BZ3" s="12" t="n"/>
      <c r="CA3" s="12" t="n"/>
      <c r="CB3" s="12" t="n"/>
      <c r="CC3" s="12" t="n"/>
      <c r="CD3" s="12" t="n"/>
      <c r="CE3" s="12" t="n"/>
      <c r="CF3" s="12" t="n"/>
      <c r="CG3" s="12" t="n"/>
      <c r="CH3" s="12" t="n"/>
      <c r="CI3" s="12" t="n"/>
      <c r="CJ3" s="12" t="n"/>
      <c r="CK3" s="12" t="n"/>
      <c r="CL3" s="12" t="n"/>
      <c r="CM3" s="12" t="n"/>
      <c r="CN3" s="12" t="n"/>
      <c r="CO3" s="12" t="n"/>
      <c r="CP3" s="12" t="n"/>
      <c r="CQ3" s="12" t="n"/>
      <c r="CR3" s="12" t="n"/>
      <c r="CS3" s="12" t="n"/>
      <c r="CT3" s="12" t="n"/>
      <c r="CU3" s="12" t="n"/>
      <c r="CV3" s="12" t="n"/>
      <c r="CW3" s="12" t="n"/>
      <c r="CX3" s="12" t="n"/>
      <c r="CY3" s="12" t="n"/>
    </row>
    <row r="4">
      <c r="C4" s="17" t="inlineStr">
        <is>
          <t>Net Income reportado (lucro líquido) — base do check de DRE</t>
        </is>
      </c>
      <c r="H4" s="11" t="n"/>
      <c r="I4">
        <f>IF(ISNUMBER('Inputs (2)'!D50),'Inputs (2)'!D50,"")</f>
        <v>718</v>
      </c>
      <c r="J4">
        <f>IF(ISNUMBER('Inputs (2)'!E50),'Inputs (2)'!E50,"")</f>
        <v>1083</v>
      </c>
      <c r="K4">
        <f>IF(ISNUMBER('Inputs (2)'!F50),'Inputs (2)'!F50,"")</f>
        <v>1399</v>
      </c>
      <c r="L4">
        <f>IF(ISNUMBER('Inputs (2)'!G50),'Inputs (2)'!G50,"")</f>
        <v>1106</v>
      </c>
      <c r="M4" s="11">
        <f>IF(COUNT(I4:L4)=4,SUM(I4:L4),"")</f>
        <v>4306</v>
      </c>
      <c r="N4">
        <f>IF(ISNUMBER('Inputs (2)'!I50),'Inputs (2)'!I50,"")</f>
        <v>1527</v>
      </c>
      <c r="O4">
        <f>IF(ISNUMBER('Inputs (2)'!J50),'Inputs (2)'!J50,"")</f>
        <v>840</v>
      </c>
      <c r="P4">
        <f>IF(ISNUMBER('Inputs (2)'!K50),'Inputs (2)'!K50,"")</f>
        <v>404</v>
      </c>
      <c r="Q4">
        <f>IF(ISNUMBER('Inputs (2)'!L50),'Inputs (2)'!L50,"")</f>
        <v>697</v>
      </c>
      <c r="R4" s="11">
        <f>IF(COUNT(N4:Q4)=4,SUM(N4:Q4),"")</f>
        <v>3468</v>
      </c>
      <c r="S4">
        <f>IF(ISNUMBER('Inputs (2)'!N50),'Inputs (2)'!N50,"")</f>
        <v>663</v>
      </c>
      <c r="T4">
        <f>IF(ISNUMBER('Inputs (2)'!O50),'Inputs (2)'!O50,"")</f>
        <v>343</v>
      </c>
      <c r="U4">
        <f>IF(ISNUMBER('Inputs (2)'!P50),'Inputs (2)'!P50,"")</f>
        <v>454</v>
      </c>
      <c r="V4">
        <f>IF(ISNUMBER('Inputs (2)'!Q50),'Inputs (2)'!Q50,"")</f>
        <v>388</v>
      </c>
      <c r="W4" s="11">
        <f>IF(COUNT(S4:V4)=4,SUM(S4:V4),"")</f>
        <v>1848</v>
      </c>
      <c r="X4">
        <f>IF(ISNUMBER('Inputs (2)'!S50),'Inputs (2)'!S50,"")</f>
        <v>473</v>
      </c>
      <c r="Y4">
        <f>IF(ISNUMBER('Inputs (2)'!T50),'Inputs (2)'!T50,"")</f>
        <v>616</v>
      </c>
      <c r="Z4">
        <f>IF(ISNUMBER('Inputs (2)'!U50),'Inputs (2)'!U50,"")</f>
        <v>526</v>
      </c>
      <c r="AA4">
        <f>IF(ISNUMBER('Inputs (2)'!V50),'Inputs (2)'!V50,"")</f>
        <v>274</v>
      </c>
      <c r="AB4" s="11">
        <f>IF(COUNT(X4:AA4)=4,SUM(X4:AA4),"")</f>
        <v>1889</v>
      </c>
      <c r="AC4">
        <f>IF(ISNUMBER('Inputs (2)'!X50),'Inputs (2)'!X50,"")</f>
        <v>352</v>
      </c>
      <c r="AD4">
        <f>IF(ISNUMBER('Inputs (2)'!Y50),'Inputs (2)'!Y50,"")</f>
        <v>772</v>
      </c>
      <c r="AE4">
        <f>IF(ISNUMBER('Inputs (2)'!Z50),'Inputs (2)'!Z50,"")</f>
        <v>674</v>
      </c>
      <c r="AF4">
        <f>IF(ISNUMBER('Inputs (2)'!AA50),'Inputs (2)'!AA50,"")</f>
        <v>406</v>
      </c>
      <c r="AG4" s="11">
        <f>IF(COUNT(AC4:AF4)=4,SUM(AC4:AF4),"")</f>
        <v>2204</v>
      </c>
      <c r="AH4" s="11">
        <f>IF(ISNUMBER('Inputs (2)'!AC50),'Inputs (2)'!AC50,"")</f>
        <v>881</v>
      </c>
      <c r="AI4" s="11">
        <f>IF(ISNUMBER('Inputs (2)'!AD50),'Inputs (2)'!AD50,"")</f>
        <v>984</v>
      </c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  <c r="AZ4" s="11" t="n"/>
      <c r="BA4" s="11" t="n"/>
      <c r="BB4" s="11" t="n"/>
      <c r="BC4" s="11" t="n"/>
      <c r="BD4" s="11" t="n"/>
      <c r="BE4" s="11" t="n"/>
      <c r="BF4" s="11" t="n"/>
      <c r="BG4" s="11" t="n"/>
      <c r="BH4" s="11" t="n"/>
      <c r="BI4" s="11" t="n"/>
      <c r="BJ4" s="11" t="n"/>
      <c r="BK4" s="11" t="n"/>
      <c r="BL4" s="11" t="n"/>
      <c r="BM4" s="11" t="n"/>
      <c r="BN4" s="11" t="n"/>
      <c r="BO4" s="11" t="n"/>
      <c r="BP4" s="11" t="n"/>
      <c r="BQ4" s="11" t="n"/>
      <c r="BR4" s="11" t="n"/>
      <c r="BS4" s="11" t="n"/>
      <c r="BT4" s="11" t="n"/>
      <c r="BU4" s="11" t="n"/>
      <c r="BV4" s="11" t="n"/>
      <c r="BW4" s="11" t="n"/>
      <c r="BX4" s="11" t="n"/>
      <c r="BY4" s="11" t="n"/>
      <c r="BZ4" s="11" t="n"/>
      <c r="CA4" s="11" t="n"/>
      <c r="CB4" s="11" t="n"/>
      <c r="CC4" s="11" t="n"/>
      <c r="CD4" s="11" t="n"/>
      <c r="CE4" s="11" t="n"/>
      <c r="CF4" s="11" t="n"/>
      <c r="CG4" s="11" t="n"/>
      <c r="CH4" s="11" t="n"/>
      <c r="CI4" s="11" t="n"/>
      <c r="CJ4" s="11" t="n"/>
      <c r="CK4" s="11" t="n"/>
      <c r="CL4" s="11" t="n"/>
      <c r="CM4" s="11" t="n"/>
      <c r="CN4" s="11" t="n"/>
      <c r="CO4" s="11" t="n"/>
      <c r="CP4" s="11" t="n"/>
      <c r="CQ4" s="11" t="n"/>
      <c r="CR4" s="11" t="n"/>
      <c r="CS4" s="11" t="n"/>
      <c r="CT4" s="11" t="n"/>
      <c r="CU4" s="11" t="n"/>
      <c r="CV4" s="11" t="n"/>
      <c r="CW4" s="11" t="n"/>
      <c r="CX4" s="11" t="n"/>
      <c r="CY4" s="11" t="n"/>
    </row>
    <row r="5">
      <c r="B5" s="19" t="n">
        <v>45930</v>
      </c>
      <c r="D5" s="20" t="n"/>
      <c r="E5" s="21" t="n"/>
      <c r="F5" s="21" t="n"/>
      <c r="G5" s="21" t="n"/>
      <c r="H5" s="266" t="n">
        <v>44196</v>
      </c>
      <c r="I5" s="20" t="n">
        <v>44286</v>
      </c>
      <c r="J5" s="21">
        <f>DATE(YEAR(I5),MONTH(I5)+3,DAY(I5)-1)</f>
        <v>44377.0</v>
      </c>
      <c r="K5" s="21">
        <f>DATE(YEAR(J5),MONTH(J5)+3,DAY(J5))</f>
        <v>44469.0</v>
      </c>
      <c r="L5" s="21">
        <f>DATE(YEAR(K5),MONTH(K5)+3,DAY(K5)+1)</f>
        <v>44561.0</v>
      </c>
      <c r="M5" s="22">
        <f>L5</f>
        <v>44561.0</v>
      </c>
      <c r="N5" s="21">
        <f>DATE(YEAR(M5),MONTH(M5)+3,DAY(M5))</f>
        <v>44651.0</v>
      </c>
      <c r="O5" s="21">
        <f>DATE(YEAR(N5),MONTH(N5)+3,DAY(N5)-1)</f>
        <v>44742.0</v>
      </c>
      <c r="P5" s="21">
        <f>DATE(YEAR(O5),MONTH(O5)+3,DAY(O5))</f>
        <v>44834.0</v>
      </c>
      <c r="Q5" s="21">
        <f>DATE(YEAR(P5),MONTH(P5)+3,DAY(P5)+1)</f>
        <v>44926.0</v>
      </c>
      <c r="R5" s="22">
        <f>Q5</f>
        <v>44926.0</v>
      </c>
      <c r="S5" s="21">
        <f>DATE(YEAR(R5),MONTH(R5)+3,DAY(R5))</f>
        <v>45016.0</v>
      </c>
      <c r="T5" s="21">
        <f>DATE(YEAR(S5),MONTH(S5)+3,DAY(S5))-1</f>
        <v>45107.0</v>
      </c>
      <c r="U5" s="21">
        <f>DATE(YEAR(T5),MONTH(T5)+3,DAY(T5))</f>
        <v>45199.0</v>
      </c>
      <c r="V5" s="21">
        <f>DATE(YEAR(U5),MONTH(U5)+3,DAY(U5))+1</f>
        <v>45291.0</v>
      </c>
      <c r="W5" s="22">
        <f>V5</f>
        <v>45291.0</v>
      </c>
      <c r="X5" s="21">
        <f>DATE(YEAR(W5),MONTH(W5)+3,DAY(W5))</f>
        <v>45382.0</v>
      </c>
      <c r="Y5" s="21">
        <f>DATE(YEAR(X5),MONTH(X5)+3,DAY(X5))-1</f>
        <v>45473.0</v>
      </c>
      <c r="Z5" s="21">
        <f>DATE(YEAR(Y5),MONTH(Y5)+3,DAY(Y5))</f>
        <v>45565.0</v>
      </c>
      <c r="AA5" s="21">
        <f>DATE(YEAR(Z5),MONTH(Z5)+3,DAY(Z5))+1</f>
        <v>45657.0</v>
      </c>
      <c r="AB5" s="22">
        <f>AA5</f>
        <v>45657.0</v>
      </c>
      <c r="AC5" s="21">
        <f>DATE(YEAR(AB5),MONTH(AB5)+3,DAY(AB5))</f>
        <v>45747.0</v>
      </c>
      <c r="AD5" s="21">
        <f>DATE(YEAR(AC5),MONTH(AC5)+3,DAY(AC5))-1</f>
        <v>45838.0</v>
      </c>
      <c r="AE5" s="21">
        <f>DATE(YEAR(AD5),MONTH(AD5)+3,DAY(AD5))</f>
        <v>45930.0</v>
      </c>
      <c r="AF5" s="21">
        <f>DATE(YEAR(AE5),MONTH(AE5)+3,DAY(AE5))+1</f>
        <v>46022.0</v>
      </c>
      <c r="AG5" s="22">
        <f>AF5</f>
        <v>46022.0</v>
      </c>
      <c r="AH5" s="21">
        <f>DATE(YEAR(AG5),MONTH(AG5)+3,DAY(AG5))</f>
        <v>46112.0</v>
      </c>
      <c r="AI5" s="21">
        <f>DATE(YEAR(AH5),MONTH(AH5)+3,DAY(AH5))-1</f>
        <v>46203.0</v>
      </c>
      <c r="AJ5" s="21">
        <f>DATE(YEAR(AI5),MONTH(AI5)+3,DAY(AI5))</f>
        <v>46295.0</v>
      </c>
      <c r="AK5" s="21">
        <f>DATE(YEAR(AJ5),MONTH(AJ5)+3,DAY(AJ5))+1</f>
        <v>46387.0</v>
      </c>
      <c r="AL5" s="22">
        <f>AK5</f>
        <v>46387.0</v>
      </c>
      <c r="AM5" s="21">
        <f>DATE(YEAR(AL5),MONTH(AL5)+3,DAY(AL5))</f>
        <v>46477.0</v>
      </c>
      <c r="AN5" s="21">
        <f>DATE(YEAR(AM5),MONTH(AM5)+3,DAY(AM5))-1</f>
        <v>46568.0</v>
      </c>
      <c r="AO5" s="21">
        <f>DATE(YEAR(AN5),MONTH(AN5)+3,DAY(AN5))</f>
        <v>46660.0</v>
      </c>
      <c r="AP5" s="21">
        <f>DATE(YEAR(AO5),MONTH(AO5)+3,DAY(AO5))+1</f>
        <v>46752.0</v>
      </c>
      <c r="AQ5" s="22">
        <f>AP5</f>
        <v>46752.0</v>
      </c>
      <c r="AR5" s="21">
        <f>DATE(YEAR(AQ5),MONTH(AQ5)+3,DAY(AQ5))</f>
        <v>46843.0</v>
      </c>
      <c r="AS5" s="21">
        <f>DATE(YEAR(AR5),MONTH(AR5)+3,DAY(AR5))-1</f>
        <v>46934.0</v>
      </c>
      <c r="AT5" s="21">
        <f>DATE(YEAR(AS5),MONTH(AS5)+3,DAY(AS5))</f>
        <v>47026.0</v>
      </c>
      <c r="AU5" s="21">
        <f>DATE(YEAR(AT5),MONTH(AT5)+3,DAY(AT5))+1</f>
        <v>47118.0</v>
      </c>
      <c r="AV5" s="22">
        <f>AU5</f>
        <v>47118.0</v>
      </c>
      <c r="AW5" s="21">
        <f>DATE(YEAR(AV5),MONTH(AV5)+3,DAY(AV5))</f>
        <v>47208.0</v>
      </c>
      <c r="AX5" s="21">
        <f>DATE(YEAR(AW5),MONTH(AW5)+3,DAY(AW5))-1</f>
        <v>47299.0</v>
      </c>
      <c r="AY5" s="21">
        <f>DATE(YEAR(AX5),MONTH(AX5)+3,DAY(AX5))</f>
        <v>47391.0</v>
      </c>
      <c r="AZ5" s="21">
        <f>DATE(YEAR(AY5),MONTH(AY5)+3,DAY(AY5))+1</f>
        <v>47483.0</v>
      </c>
      <c r="BA5" s="22">
        <f>AZ5</f>
        <v>47483.0</v>
      </c>
      <c r="BB5" s="21">
        <f>DATE(YEAR(BA5),MONTH(BA5)+3,DAY(BA5))</f>
        <v>47573.0</v>
      </c>
      <c r="BC5" s="21">
        <f>DATE(YEAR(BB5),MONTH(BB5)+3,DAY(BB5))-1</f>
        <v>47664.0</v>
      </c>
      <c r="BD5" s="21">
        <f>DATE(YEAR(BC5),MONTH(BC5)+3,DAY(BC5))</f>
        <v>47756.0</v>
      </c>
      <c r="BE5" s="21">
        <f>DATE(YEAR(BD5),MONTH(BD5)+3,DAY(BD5))+1</f>
        <v>47848.0</v>
      </c>
      <c r="BF5" s="22">
        <f>BE5</f>
        <v>47848.0</v>
      </c>
      <c r="BG5" s="21" t="n"/>
      <c r="BH5" s="21" t="n"/>
      <c r="BI5" s="21" t="n"/>
      <c r="BJ5" s="21" t="n"/>
      <c r="BK5" s="22" t="n"/>
      <c r="BL5" s="21" t="n"/>
      <c r="BM5" s="21" t="n"/>
      <c r="BN5" s="21" t="n"/>
      <c r="BO5" s="21" t="n"/>
      <c r="BP5" s="22" t="n"/>
      <c r="BQ5" s="21" t="n"/>
      <c r="BR5" s="21" t="n"/>
      <c r="BS5" s="21" t="n"/>
      <c r="BT5" s="21" t="n"/>
      <c r="BU5" s="22" t="n"/>
      <c r="BV5" s="21" t="n"/>
      <c r="BW5" s="21" t="n"/>
      <c r="BX5" s="21" t="n"/>
      <c r="BY5" s="21" t="n"/>
      <c r="BZ5" s="22" t="n"/>
      <c r="CA5" s="21" t="n"/>
      <c r="CB5" s="21" t="n"/>
      <c r="CC5" s="21" t="n"/>
      <c r="CD5" s="21" t="n"/>
      <c r="CE5" s="22" t="n"/>
      <c r="CF5" s="21" t="n"/>
      <c r="CG5" s="21" t="n"/>
      <c r="CH5" s="21" t="n"/>
      <c r="CI5" s="21" t="n"/>
      <c r="CJ5" s="22" t="n"/>
      <c r="CK5" s="21" t="n"/>
      <c r="CL5" s="21" t="n"/>
      <c r="CM5" s="21" t="n"/>
      <c r="CN5" s="21" t="n"/>
      <c r="CO5" s="22" t="n"/>
      <c r="CP5" s="21" t="n"/>
      <c r="CQ5" s="21" t="n"/>
      <c r="CR5" s="21" t="n"/>
      <c r="CS5" s="21" t="n"/>
      <c r="CT5" s="22" t="n"/>
      <c r="CU5" s="21" t="n"/>
      <c r="CV5" s="21" t="n"/>
      <c r="CW5" s="21" t="n"/>
      <c r="CX5" s="21" t="n"/>
      <c r="CY5" s="22" t="n"/>
    </row>
    <row r="6">
      <c r="B6" s="23" t="n"/>
      <c r="D6" s="24" t="n"/>
      <c r="E6" s="24" t="n"/>
      <c r="F6" s="24" t="n"/>
      <c r="G6" s="24" t="n"/>
      <c r="H6" s="24" t="n"/>
      <c r="I6" s="24">
        <f>YEAR(I5)</f>
        <v>2021</v>
      </c>
      <c r="J6" s="24">
        <f>YEAR(J5)</f>
        <v>2021</v>
      </c>
      <c r="K6" s="24">
        <f>YEAR(K5)</f>
        <v>2021</v>
      </c>
      <c r="L6" s="24">
        <f>YEAR(L5)</f>
        <v>2021</v>
      </c>
      <c r="M6" s="24">
        <f>YEAR(M5)</f>
        <v>2021</v>
      </c>
      <c r="N6" s="24">
        <f>YEAR(N5)</f>
        <v>2022</v>
      </c>
      <c r="O6" s="24">
        <f>YEAR(O5)</f>
        <v>2022</v>
      </c>
      <c r="P6" s="24">
        <f>YEAR(P5)</f>
        <v>2022</v>
      </c>
      <c r="Q6" s="24">
        <f>YEAR(Q5)</f>
        <v>2022</v>
      </c>
      <c r="R6" s="24">
        <f>YEAR(R5)</f>
        <v>2022</v>
      </c>
      <c r="S6" s="24">
        <f>YEAR(S5)</f>
        <v>2023</v>
      </c>
      <c r="T6" s="24">
        <f>YEAR(T5)</f>
        <v>2023</v>
      </c>
      <c r="U6" s="24">
        <f>YEAR(U5)</f>
        <v>2023</v>
      </c>
      <c r="V6" s="24">
        <f>YEAR(V5)</f>
        <v>2023</v>
      </c>
      <c r="W6" s="24">
        <f>YEAR(W5)</f>
        <v>2023</v>
      </c>
      <c r="X6" s="24">
        <f>YEAR(X5)</f>
        <v>2024</v>
      </c>
      <c r="Y6" s="24">
        <f>YEAR(Y5)</f>
        <v>2024</v>
      </c>
      <c r="Z6" s="24">
        <f>YEAR(Z5)</f>
        <v>2024</v>
      </c>
      <c r="AA6" s="24">
        <f>YEAR(AA5)</f>
        <v>2024</v>
      </c>
      <c r="AB6" s="24">
        <f>YEAR(AB5)</f>
        <v>2024</v>
      </c>
      <c r="AC6" s="24">
        <f>YEAR(AC5)</f>
        <v>2025</v>
      </c>
      <c r="AD6" s="24">
        <f>YEAR(AD5)</f>
        <v>2025</v>
      </c>
      <c r="AE6" s="24">
        <f>YEAR(AE5)</f>
        <v>2025</v>
      </c>
      <c r="AF6" s="24">
        <f>YEAR(AF5)</f>
        <v>2025</v>
      </c>
      <c r="AG6" s="24">
        <f>YEAR(AG5)</f>
        <v>2025</v>
      </c>
      <c r="AH6" s="24">
        <f>YEAR(AH5)</f>
        <v>2026</v>
      </c>
      <c r="AI6" s="24">
        <f>YEAR(AI5)</f>
        <v>2026</v>
      </c>
      <c r="AJ6" s="24">
        <f>YEAR(AJ5)</f>
        <v>2026</v>
      </c>
      <c r="AK6" s="24">
        <f>YEAR(AK5)</f>
        <v>2026</v>
      </c>
      <c r="AL6" s="24">
        <f>YEAR(AL5)</f>
        <v>2026</v>
      </c>
      <c r="AM6" s="24">
        <f>YEAR(AM5)</f>
        <v>2027</v>
      </c>
      <c r="AN6" s="24">
        <f>YEAR(AN5)</f>
        <v>2027</v>
      </c>
      <c r="AO6" s="24">
        <f>YEAR(AO5)</f>
        <v>2027</v>
      </c>
      <c r="AP6" s="24">
        <f>YEAR(AP5)</f>
        <v>2027</v>
      </c>
      <c r="AQ6" s="24">
        <f>YEAR(AQ5)</f>
        <v>2027</v>
      </c>
      <c r="AR6" s="24">
        <f>YEAR(AR5)</f>
        <v>2028</v>
      </c>
      <c r="AS6" s="24">
        <f>YEAR(AS5)</f>
        <v>2028</v>
      </c>
      <c r="AT6" s="24">
        <f>YEAR(AT5)</f>
        <v>2028</v>
      </c>
      <c r="AU6" s="24">
        <f>YEAR(AU5)</f>
        <v>2028</v>
      </c>
      <c r="AV6" s="24">
        <f>YEAR(AV5)</f>
        <v>2028</v>
      </c>
      <c r="AW6" s="24">
        <f>YEAR(AW5)</f>
        <v>2029</v>
      </c>
      <c r="AX6" s="24">
        <f>YEAR(AX5)</f>
        <v>2029</v>
      </c>
      <c r="AY6" s="24">
        <f>YEAR(AY5)</f>
        <v>2029</v>
      </c>
      <c r="AZ6" s="24">
        <f>YEAR(AZ5)</f>
        <v>2029</v>
      </c>
      <c r="BA6" s="24">
        <f>YEAR(BA5)</f>
        <v>2029</v>
      </c>
      <c r="BB6" s="24">
        <f>YEAR(BB5)</f>
        <v>2030</v>
      </c>
      <c r="BC6" s="24">
        <f>YEAR(BC5)</f>
        <v>2030</v>
      </c>
      <c r="BD6" s="24">
        <f>YEAR(BD5)</f>
        <v>2030</v>
      </c>
      <c r="BE6" s="24">
        <f>YEAR(BE5)</f>
        <v>2030</v>
      </c>
      <c r="BF6" s="24">
        <f>YEAR(BF5)</f>
        <v>2030</v>
      </c>
      <c r="BG6" s="24" t="n"/>
      <c r="BH6" s="24" t="n"/>
      <c r="BI6" s="24" t="n"/>
      <c r="BJ6" s="24" t="n"/>
      <c r="BK6" s="24" t="n"/>
      <c r="BL6" s="24" t="n"/>
      <c r="BM6" s="24" t="n"/>
      <c r="BN6" s="24" t="n"/>
      <c r="BO6" s="24" t="n"/>
      <c r="BP6" s="24" t="n"/>
      <c r="BQ6" s="24" t="n"/>
      <c r="BR6" s="24" t="n"/>
      <c r="BS6" s="24" t="n"/>
      <c r="BT6" s="24" t="n"/>
      <c r="BU6" s="24" t="n"/>
      <c r="BV6" s="24" t="n"/>
      <c r="BW6" s="24" t="n"/>
      <c r="BX6" s="24" t="n"/>
      <c r="BY6" s="24" t="n"/>
      <c r="BZ6" s="24" t="n"/>
      <c r="CA6" s="24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  <c r="CT6" s="24" t="n"/>
      <c r="CU6" s="24" t="n"/>
      <c r="CV6" s="24" t="n"/>
      <c r="CW6" s="24" t="n"/>
      <c r="CX6" s="24" t="n"/>
      <c r="CY6" s="24" t="n"/>
    </row>
    <row r="7">
      <c r="B7" s="4" t="n"/>
      <c r="D7" s="25" t="n"/>
      <c r="E7" s="25" t="n"/>
      <c r="F7" s="25" t="n"/>
      <c r="G7" s="25" t="n"/>
      <c r="H7" s="26" t="n">
        <v>2020</v>
      </c>
      <c r="I7" s="25" t="str">
        <f>"1Q"&amp;RIGHT(I6,2)</f>
        <v>1Q21</v>
      </c>
      <c r="J7" s="25" t="str">
        <f>"2Q"&amp;RIGHT(J6,2)</f>
        <v>2Q21</v>
      </c>
      <c r="K7" s="25" t="str">
        <f>"3Q"&amp;RIGHT(K6,2)</f>
        <v>3Q21</v>
      </c>
      <c r="L7" s="25" t="str">
        <f>"4Q"&amp;RIGHT(L6,2)</f>
        <v>4Q21</v>
      </c>
      <c r="M7" s="26">
        <f>H7+1</f>
        <v>2021</v>
      </c>
      <c r="N7" s="25" t="str">
        <f>"1Q"&amp;RIGHT(N6,2)</f>
        <v>1Q22</v>
      </c>
      <c r="O7" s="25" t="str">
        <f>"2Q"&amp;RIGHT(O6,2)</f>
        <v>2Q22</v>
      </c>
      <c r="P7" s="25" t="str">
        <f>"3Q"&amp;RIGHT(P6,2)</f>
        <v>3Q22</v>
      </c>
      <c r="Q7" s="25" t="str">
        <f>"4Q"&amp;RIGHT(Q6,2)</f>
        <v>4Q22</v>
      </c>
      <c r="R7" s="26">
        <f>M7+1</f>
        <v>2022</v>
      </c>
      <c r="S7" s="25" t="str">
        <f>"1Q"&amp;RIGHT(S6,2)</f>
        <v>1Q23</v>
      </c>
      <c r="T7" s="25" t="str">
        <f>"2Q"&amp;RIGHT(T6,2)</f>
        <v>2Q23</v>
      </c>
      <c r="U7" s="25" t="str">
        <f>"3Q"&amp;RIGHT(U6,2)</f>
        <v>3Q23</v>
      </c>
      <c r="V7" s="25" t="str">
        <f>"4Q"&amp;RIGHT(V6,2)</f>
        <v>4Q23</v>
      </c>
      <c r="W7" s="26">
        <f>R7+1</f>
        <v>2023</v>
      </c>
      <c r="X7" s="25" t="str">
        <f>"1Q"&amp;RIGHT(X6,2)</f>
        <v>1Q24</v>
      </c>
      <c r="Y7" s="25" t="str">
        <f>"2Q"&amp;RIGHT(Y6,2)</f>
        <v>2Q24</v>
      </c>
      <c r="Z7" s="25" t="str">
        <f>"3Q"&amp;RIGHT(Z6,2)</f>
        <v>3Q24</v>
      </c>
      <c r="AA7" s="25" t="str">
        <f>"4Q"&amp;RIGHT(AA6,2)</f>
        <v>4Q24</v>
      </c>
      <c r="AB7" s="26">
        <f>W7+1</f>
        <v>2024</v>
      </c>
      <c r="AC7" s="25" t="str">
        <f>"1Q"&amp;RIGHT(AC6,2)</f>
        <v>1Q25</v>
      </c>
      <c r="AD7" s="25" t="str">
        <f>"2Q"&amp;RIGHT(AD6,2)</f>
        <v>2Q25</v>
      </c>
      <c r="AE7" s="25" t="str">
        <f>"3Q"&amp;RIGHT(AE6,2)</f>
        <v>3Q25</v>
      </c>
      <c r="AF7" s="25" t="str">
        <f>"4Q"&amp;RIGHT(AF6,2)</f>
        <v>4Q25</v>
      </c>
      <c r="AG7" s="26">
        <f>AB7+1</f>
        <v>2025</v>
      </c>
      <c r="AH7" s="25" t="str">
        <f>"1Q"&amp;RIGHT(AH6,2)</f>
        <v>1Q26</v>
      </c>
      <c r="AI7" s="25" t="str">
        <f>"2Q"&amp;RIGHT(AI6,2)</f>
        <v>2Q26</v>
      </c>
      <c r="AJ7" s="25" t="str">
        <f>"3Q"&amp;RIGHT(AJ6,2)</f>
        <v>3Q26</v>
      </c>
      <c r="AK7" s="25" t="str">
        <f>"4Q"&amp;RIGHT(AK6,2)</f>
        <v>4Q26</v>
      </c>
      <c r="AL7" s="26">
        <f>AG7+1</f>
        <v>2026</v>
      </c>
      <c r="AM7" s="25" t="str">
        <f>"1Q"&amp;RIGHT(AM6,2)</f>
        <v>1Q27</v>
      </c>
      <c r="AN7" s="25" t="str">
        <f>"2Q"&amp;RIGHT(AN6,2)</f>
        <v>2Q27</v>
      </c>
      <c r="AO7" s="25" t="str">
        <f>"3Q"&amp;RIGHT(AO6,2)</f>
        <v>3Q27</v>
      </c>
      <c r="AP7" s="25" t="str">
        <f>"4Q"&amp;RIGHT(AP6,2)</f>
        <v>4Q27</v>
      </c>
      <c r="AQ7" s="26">
        <f>AL7+1</f>
        <v>2027</v>
      </c>
      <c r="AR7" s="25" t="str">
        <f>"1Q"&amp;RIGHT(AR6,2)</f>
        <v>1Q28</v>
      </c>
      <c r="AS7" s="25" t="str">
        <f>"2Q"&amp;RIGHT(AS6,2)</f>
        <v>2Q28</v>
      </c>
      <c r="AT7" s="25" t="str">
        <f>"3Q"&amp;RIGHT(AT6,2)</f>
        <v>3Q28</v>
      </c>
      <c r="AU7" s="25" t="str">
        <f>"4Q"&amp;RIGHT(AU6,2)</f>
        <v>4Q28</v>
      </c>
      <c r="AV7" s="26">
        <f>AQ7+1</f>
        <v>2028</v>
      </c>
      <c r="AW7" s="25" t="str">
        <f>"1Q"&amp;RIGHT(AW6,2)</f>
        <v>1Q29</v>
      </c>
      <c r="AX7" s="25" t="str">
        <f>"2Q"&amp;RIGHT(AX6,2)</f>
        <v>2Q29</v>
      </c>
      <c r="AY7" s="25" t="str">
        <f>"3Q"&amp;RIGHT(AY6,2)</f>
        <v>3Q29</v>
      </c>
      <c r="AZ7" s="25" t="str">
        <f>"4Q"&amp;RIGHT(AZ6,2)</f>
        <v>4Q29</v>
      </c>
      <c r="BA7" s="26">
        <f>AV7+1</f>
        <v>2029</v>
      </c>
      <c r="BB7" s="25" t="str">
        <f>"1Q"&amp;RIGHT(BB6,2)</f>
        <v>1Q30</v>
      </c>
      <c r="BC7" s="25" t="str">
        <f>"2Q"&amp;RIGHT(BC6,2)</f>
        <v>2Q30</v>
      </c>
      <c r="BD7" s="25" t="str">
        <f>"3Q"&amp;RIGHT(BD6,2)</f>
        <v>3Q30</v>
      </c>
      <c r="BE7" s="25" t="str">
        <f>"4Q"&amp;RIGHT(BE6,2)</f>
        <v>4Q30</v>
      </c>
      <c r="BF7" s="26">
        <f>BA7+1</f>
        <v>2030</v>
      </c>
      <c r="BG7" s="25" t="n"/>
      <c r="BH7" s="25" t="n"/>
      <c r="BI7" s="25" t="n"/>
      <c r="BJ7" s="25" t="n"/>
      <c r="BK7" s="26" t="n"/>
      <c r="BL7" s="25" t="n"/>
      <c r="BM7" s="25" t="n"/>
      <c r="BN7" s="25" t="n"/>
      <c r="BO7" s="25" t="n"/>
      <c r="BP7" s="26" t="n"/>
      <c r="BQ7" s="25" t="n"/>
      <c r="BR7" s="25" t="n"/>
      <c r="BS7" s="25" t="n"/>
      <c r="BT7" s="25" t="n"/>
      <c r="BU7" s="26" t="n"/>
      <c r="BV7" s="25" t="n"/>
      <c r="BW7" s="25" t="n"/>
      <c r="BX7" s="25" t="n"/>
      <c r="BY7" s="25" t="n"/>
      <c r="BZ7" s="26" t="n"/>
      <c r="CA7" s="25" t="n"/>
      <c r="CB7" s="25" t="n"/>
      <c r="CC7" s="25" t="n"/>
      <c r="CD7" s="25" t="n"/>
      <c r="CE7" s="26" t="n"/>
      <c r="CF7" s="25" t="n"/>
      <c r="CG7" s="25" t="n"/>
      <c r="CH7" s="25" t="n"/>
      <c r="CI7" s="25" t="n"/>
      <c r="CJ7" s="26" t="n"/>
      <c r="CK7" s="25" t="n"/>
      <c r="CL7" s="25" t="n"/>
      <c r="CM7" s="25" t="n"/>
      <c r="CN7" s="25" t="n"/>
      <c r="CO7" s="26" t="n"/>
      <c r="CP7" s="25" t="n"/>
      <c r="CQ7" s="25" t="n"/>
      <c r="CR7" s="25" t="n"/>
      <c r="CS7" s="25" t="n"/>
      <c r="CT7" s="26" t="n"/>
      <c r="CU7" s="25" t="n"/>
      <c r="CV7" s="25" t="n"/>
      <c r="CW7" s="25" t="n"/>
      <c r="CX7" s="25" t="n"/>
      <c r="CY7" s="26" t="n"/>
    </row>
    <row r="8">
      <c r="B8" s="4" t="n"/>
      <c r="C8" s="4" t="inlineStr">
        <is>
          <t>IPCA</t>
        </is>
      </c>
      <c r="D8" s="25" t="n"/>
      <c r="E8" s="25" t="n"/>
      <c r="F8" s="25" t="n"/>
      <c r="G8" s="25" t="n"/>
      <c r="H8" s="27" t="n"/>
      <c r="I8" s="25" t="n"/>
      <c r="J8" s="25" t="n"/>
      <c r="K8" s="25" t="n"/>
      <c r="L8" s="25" t="n"/>
      <c r="M8" s="27" t="n">
        <v>0.1006</v>
      </c>
      <c r="N8" s="25" t="n"/>
      <c r="O8" s="25" t="n"/>
      <c r="P8" s="25" t="n"/>
      <c r="Q8" s="25" t="n"/>
      <c r="R8" s="27" t="n">
        <v>0.0579</v>
      </c>
      <c r="S8" s="25" t="n"/>
      <c r="T8" s="25" t="n"/>
      <c r="U8" s="25" t="n"/>
      <c r="V8" s="25" t="n"/>
      <c r="W8" s="27" t="n">
        <v>0.0468</v>
      </c>
      <c r="X8" s="25" t="n"/>
      <c r="Y8" s="25" t="n"/>
      <c r="Z8" s="25" t="n"/>
      <c r="AA8" s="25" t="n"/>
      <c r="AB8" s="27" t="n">
        <v>0.0483</v>
      </c>
      <c r="AC8" s="25" t="n"/>
      <c r="AD8" s="25" t="n"/>
      <c r="AE8" s="25" t="n"/>
      <c r="AF8" s="25" t="n"/>
      <c r="AG8" s="27" t="n">
        <v>0.0468</v>
      </c>
      <c r="AH8" s="25" t="n"/>
      <c r="AI8" s="25" t="n"/>
      <c r="AJ8" s="25" t="n"/>
      <c r="AK8" s="25" t="n"/>
      <c r="AL8" s="28" t="n"/>
      <c r="AM8" s="25" t="n"/>
      <c r="AN8" s="25" t="n"/>
      <c r="AO8" s="25" t="n"/>
      <c r="AP8" s="25" t="n"/>
      <c r="AQ8" s="28" t="n"/>
      <c r="AR8" s="25" t="n"/>
      <c r="AS8" s="25" t="n"/>
      <c r="AT8" s="25" t="n"/>
      <c r="AU8" s="25" t="n"/>
      <c r="AV8" s="28" t="n"/>
      <c r="AW8" s="25" t="n"/>
      <c r="AX8" s="25" t="n"/>
      <c r="AY8" s="25" t="n"/>
      <c r="AZ8" s="25" t="n"/>
      <c r="BA8" s="28" t="n"/>
      <c r="BB8" s="25" t="n"/>
      <c r="BC8" s="25" t="n"/>
      <c r="BD8" s="25" t="n"/>
      <c r="BE8" s="25" t="n"/>
      <c r="BF8" s="28" t="n"/>
      <c r="BG8" s="25" t="n"/>
      <c r="BH8" s="25" t="n"/>
      <c r="BI8" s="25" t="n"/>
      <c r="BJ8" s="25" t="n"/>
      <c r="BK8" s="28" t="n"/>
      <c r="BL8" s="25" t="n"/>
      <c r="BM8" s="25" t="n"/>
      <c r="BN8" s="25" t="n"/>
      <c r="BO8" s="25" t="n"/>
      <c r="BP8" s="28" t="n"/>
      <c r="BQ8" s="25" t="n"/>
      <c r="BR8" s="25" t="n"/>
      <c r="BS8" s="25" t="n"/>
      <c r="BT8" s="25" t="n"/>
      <c r="BU8" s="28" t="n"/>
      <c r="BV8" s="25" t="n"/>
      <c r="BW8" s="25" t="n"/>
      <c r="BX8" s="25" t="n"/>
      <c r="BY8" s="25" t="n"/>
      <c r="BZ8" s="28" t="n"/>
      <c r="CA8" s="25" t="n"/>
      <c r="CB8" s="25" t="n"/>
      <c r="CC8" s="25" t="n"/>
      <c r="CD8" s="25" t="n"/>
      <c r="CE8" s="28" t="n"/>
      <c r="CF8" s="25" t="n"/>
      <c r="CG8" s="25" t="n"/>
      <c r="CH8" s="25" t="n"/>
      <c r="CI8" s="25" t="n"/>
      <c r="CJ8" s="28" t="n"/>
      <c r="CK8" s="25" t="n"/>
      <c r="CL8" s="25" t="n"/>
      <c r="CM8" s="25" t="n"/>
      <c r="CN8" s="25" t="n"/>
      <c r="CO8" s="28" t="n"/>
      <c r="CP8" s="25" t="n"/>
      <c r="CQ8" s="25" t="n"/>
      <c r="CR8" s="25" t="n"/>
      <c r="CS8" s="25" t="n"/>
      <c r="CT8" s="28" t="n"/>
      <c r="CU8" s="25" t="n"/>
      <c r="CV8" s="25" t="n"/>
      <c r="CW8" s="25" t="n"/>
      <c r="CX8" s="25" t="n"/>
      <c r="CY8" s="28" t="n"/>
    </row>
    <row r="9">
      <c r="B9" s="4" t="n"/>
      <c r="C9" s="4" t="inlineStr">
        <is>
          <t>GDP BRAZIL</t>
        </is>
      </c>
      <c r="D9" s="25" t="n"/>
      <c r="E9" s="25" t="n"/>
      <c r="F9" s="25" t="n"/>
      <c r="G9" s="25" t="n"/>
      <c r="H9" s="29" t="n"/>
      <c r="I9" s="25" t="n"/>
      <c r="J9" s="25" t="n"/>
      <c r="K9" s="25" t="n"/>
      <c r="L9" s="25" t="n"/>
      <c r="M9" s="29" t="n">
        <v>0.046</v>
      </c>
      <c r="N9" s="25" t="n"/>
      <c r="O9" s="25" t="n"/>
      <c r="P9" s="25" t="n"/>
      <c r="Q9" s="25" t="n"/>
      <c r="R9" s="29" t="n"/>
      <c r="S9" s="25" t="n"/>
      <c r="T9" s="25" t="n"/>
      <c r="U9" s="25" t="n"/>
      <c r="V9" s="25" t="n"/>
      <c r="W9" s="29" t="n"/>
      <c r="X9" s="25" t="n"/>
      <c r="Y9" s="25" t="n"/>
      <c r="Z9" s="25" t="n"/>
      <c r="AA9" s="25" t="n"/>
      <c r="AB9" s="29" t="n"/>
      <c r="AC9" s="25" t="n"/>
      <c r="AD9" s="25" t="n"/>
      <c r="AE9" s="25" t="n"/>
      <c r="AF9" s="25" t="n"/>
      <c r="AG9" s="29" t="n"/>
      <c r="AH9" s="25" t="n"/>
      <c r="AI9" s="25" t="n"/>
      <c r="AJ9" s="25" t="n"/>
      <c r="AK9" s="25" t="n"/>
      <c r="AL9" s="28" t="n"/>
      <c r="AM9" s="25" t="n"/>
      <c r="AN9" s="25" t="n"/>
      <c r="AO9" s="25" t="n"/>
      <c r="AP9" s="25" t="n"/>
      <c r="AQ9" s="28" t="n"/>
      <c r="AR9" s="25" t="n"/>
      <c r="AS9" s="25" t="n"/>
      <c r="AT9" s="25" t="n"/>
      <c r="AU9" s="25" t="n"/>
      <c r="AV9" s="28" t="n"/>
      <c r="AW9" s="25" t="n"/>
      <c r="AX9" s="25" t="n"/>
      <c r="AY9" s="25" t="n"/>
      <c r="AZ9" s="25" t="n"/>
      <c r="BA9" s="28" t="n"/>
      <c r="BB9" s="25" t="n"/>
      <c r="BC9" s="25" t="n"/>
      <c r="BD9" s="25" t="n"/>
      <c r="BE9" s="25" t="n"/>
      <c r="BF9" s="28" t="n"/>
      <c r="BG9" s="25" t="n"/>
      <c r="BH9" s="25" t="n"/>
      <c r="BI9" s="25" t="n"/>
      <c r="BJ9" s="25" t="n"/>
      <c r="BK9" s="28" t="n"/>
      <c r="BL9" s="25" t="n"/>
      <c r="BM9" s="25" t="n"/>
      <c r="BN9" s="25" t="n"/>
      <c r="BO9" s="25" t="n"/>
      <c r="BP9" s="28" t="n"/>
      <c r="BQ9" s="25" t="n"/>
      <c r="BR9" s="25" t="n"/>
      <c r="BS9" s="25" t="n"/>
      <c r="BT9" s="25" t="n"/>
      <c r="BU9" s="28" t="n"/>
      <c r="BV9" s="25" t="n"/>
      <c r="BW9" s="25" t="n"/>
      <c r="BX9" s="25" t="n"/>
      <c r="BY9" s="25" t="n"/>
      <c r="BZ9" s="28" t="n"/>
      <c r="CA9" s="25" t="n"/>
      <c r="CB9" s="25" t="n"/>
      <c r="CC9" s="25" t="n"/>
      <c r="CD9" s="25" t="n"/>
      <c r="CE9" s="28" t="n"/>
      <c r="CF9" s="25" t="n"/>
      <c r="CG9" s="25" t="n"/>
      <c r="CH9" s="25" t="n"/>
      <c r="CI9" s="25" t="n"/>
      <c r="CJ9" s="28" t="n"/>
      <c r="CK9" s="25" t="n"/>
      <c r="CL9" s="25" t="n"/>
      <c r="CM9" s="25" t="n"/>
      <c r="CN9" s="25" t="n"/>
      <c r="CO9" s="28" t="n"/>
      <c r="CP9" s="25" t="n"/>
      <c r="CQ9" s="25" t="n"/>
      <c r="CR9" s="25" t="n"/>
      <c r="CS9" s="25" t="n"/>
      <c r="CT9" s="28" t="n"/>
      <c r="CU9" s="25" t="n"/>
      <c r="CV9" s="25" t="n"/>
      <c r="CW9" s="25" t="n"/>
      <c r="CX9" s="25" t="n"/>
      <c r="CY9" s="28" t="n"/>
    </row>
    <row r="10">
      <c r="C10" s="4" t="inlineStr">
        <is>
          <t>CDI</t>
        </is>
      </c>
      <c r="H10" s="29" t="n"/>
      <c r="M10" s="29" t="n">
        <v>0.0442</v>
      </c>
      <c r="R10" s="29" t="n">
        <v>0.1239</v>
      </c>
      <c r="W10" s="29" t="n">
        <v>0.1304</v>
      </c>
      <c r="AB10" s="29" t="n">
        <v>0.1064</v>
      </c>
      <c r="AG10" s="29" t="n">
        <v>0.1464</v>
      </c>
    </row>
    <row r="11"/>
    <row r="12"/>
    <row r="13" customFormat="1" s="32">
      <c r="A13" s="30" t="n"/>
      <c r="B13" s="30" t="n"/>
      <c r="C13" s="31" t="inlineStr">
        <is>
          <t>Income Statement</t>
        </is>
      </c>
      <c r="D13" s="31" t="n"/>
      <c r="E13" s="31" t="n"/>
      <c r="F13" s="31" t="n"/>
      <c r="G13" s="31" t="n"/>
      <c r="H13" s="31" t="n"/>
      <c r="I13" s="31" t="str">
        <f>I7</f>
        <v>1Q21</v>
      </c>
      <c r="J13" s="31" t="str">
        <f>J7</f>
        <v>2Q21</v>
      </c>
      <c r="K13" s="31" t="str">
        <f>K7</f>
        <v>3Q21</v>
      </c>
      <c r="L13" s="31" t="str">
        <f>L7</f>
        <v>4Q21</v>
      </c>
      <c r="M13" s="31">
        <f>M7</f>
        <v>2021</v>
      </c>
      <c r="N13" s="31" t="str">
        <f>N7</f>
        <v>1Q22</v>
      </c>
      <c r="O13" s="31" t="str">
        <f>O7</f>
        <v>2Q22</v>
      </c>
      <c r="P13" s="31" t="str">
        <f>P7</f>
        <v>3Q22</v>
      </c>
      <c r="Q13" s="31" t="str">
        <f>Q7</f>
        <v>4Q22</v>
      </c>
      <c r="R13" s="31">
        <f>R7</f>
        <v>2022</v>
      </c>
      <c r="S13" s="31" t="str">
        <f>S7</f>
        <v>1Q23</v>
      </c>
      <c r="T13" s="31" t="str">
        <f>T7</f>
        <v>2Q23</v>
      </c>
      <c r="U13" s="31" t="str">
        <f>U7</f>
        <v>3Q23</v>
      </c>
      <c r="V13" s="31" t="str">
        <f>V7</f>
        <v>4Q23</v>
      </c>
      <c r="W13" s="31">
        <f>W7</f>
        <v>2023</v>
      </c>
      <c r="X13" s="31" t="str">
        <f>X7</f>
        <v>1Q24</v>
      </c>
      <c r="Y13" s="31" t="str">
        <f>Y7</f>
        <v>2Q24</v>
      </c>
      <c r="Z13" s="31" t="str">
        <f>Z7</f>
        <v>3Q24</v>
      </c>
      <c r="AA13" s="31" t="str">
        <f>AA7</f>
        <v>4Q24</v>
      </c>
      <c r="AB13" s="31">
        <f>AB7</f>
        <v>2024</v>
      </c>
      <c r="AC13" s="31" t="str">
        <f>AC7</f>
        <v>1Q25</v>
      </c>
      <c r="AD13" s="31" t="str">
        <f>AD7</f>
        <v>2Q25</v>
      </c>
      <c r="AE13" s="31" t="str">
        <f>AE7</f>
        <v>3Q25</v>
      </c>
      <c r="AF13" s="31" t="str">
        <f>AF7</f>
        <v>4Q25</v>
      </c>
      <c r="AG13" s="31">
        <f>AG7</f>
        <v>2025</v>
      </c>
      <c r="AH13" s="31" t="str">
        <f>AH7</f>
        <v>1Q26</v>
      </c>
      <c r="AI13" s="31" t="str">
        <f>AI7</f>
        <v>2Q26</v>
      </c>
      <c r="AJ13" s="31" t="str">
        <f>AJ7</f>
        <v>3Q26</v>
      </c>
      <c r="AK13" s="31" t="str">
        <f>AK7</f>
        <v>4Q26</v>
      </c>
      <c r="AL13" s="31">
        <f>AL7</f>
        <v>2026</v>
      </c>
      <c r="AM13" s="31" t="str">
        <f>AM7</f>
        <v>1Q27</v>
      </c>
      <c r="AN13" s="31" t="str">
        <f>AN7</f>
        <v>2Q27</v>
      </c>
      <c r="AO13" s="31" t="str">
        <f>AO7</f>
        <v>3Q27</v>
      </c>
      <c r="AP13" s="31" t="str">
        <f>AP7</f>
        <v>4Q27</v>
      </c>
      <c r="AQ13" s="31">
        <f>AQ7</f>
        <v>2027</v>
      </c>
      <c r="AR13" s="31" t="str">
        <f>AR7</f>
        <v>1Q28</v>
      </c>
      <c r="AS13" s="31" t="str">
        <f>AS7</f>
        <v>2Q28</v>
      </c>
      <c r="AT13" s="31" t="str">
        <f>AT7</f>
        <v>3Q28</v>
      </c>
      <c r="AU13" s="31" t="str">
        <f>AU7</f>
        <v>4Q28</v>
      </c>
      <c r="AV13" s="31">
        <f>AV7</f>
        <v>2028</v>
      </c>
      <c r="AW13" s="31" t="str">
        <f>AW7</f>
        <v>1Q29</v>
      </c>
      <c r="AX13" s="31" t="str">
        <f>AX7</f>
        <v>2Q29</v>
      </c>
      <c r="AY13" s="31" t="str">
        <f>AY7</f>
        <v>3Q29</v>
      </c>
      <c r="AZ13" s="31" t="str">
        <f>AZ7</f>
        <v>4Q29</v>
      </c>
      <c r="BA13" s="31">
        <f>BA7</f>
        <v>2029</v>
      </c>
      <c r="BB13" s="31" t="str">
        <f>BB7</f>
        <v>1Q30</v>
      </c>
      <c r="BC13" s="31" t="str">
        <f>BC7</f>
        <v>2Q30</v>
      </c>
      <c r="BD13" s="31" t="str">
        <f>BD7</f>
        <v>3Q30</v>
      </c>
      <c r="BE13" s="31" t="str">
        <f>BE7</f>
        <v>4Q30</v>
      </c>
      <c r="BF13" s="31">
        <f>BF7</f>
        <v>2030</v>
      </c>
      <c r="BG13" s="31" t="n"/>
      <c r="BH13" s="31" t="n"/>
      <c r="BI13" s="31" t="n"/>
      <c r="BJ13" s="31" t="n"/>
      <c r="BK13" s="31" t="n"/>
      <c r="BL13" s="31" t="n"/>
      <c r="BM13" s="31" t="n"/>
      <c r="BN13" s="31" t="n"/>
      <c r="BO13" s="31" t="n"/>
      <c r="BP13" s="31" t="n"/>
      <c r="BQ13" s="31" t="n"/>
      <c r="BR13" s="31" t="n"/>
      <c r="BS13" s="31" t="n"/>
      <c r="BT13" s="31" t="n"/>
      <c r="BU13" s="31" t="n"/>
      <c r="BV13" s="31" t="n"/>
      <c r="BW13" s="31" t="n"/>
      <c r="BX13" s="31" t="n"/>
      <c r="BY13" s="31" t="n"/>
      <c r="BZ13" s="31" t="n"/>
      <c r="CA13" s="31" t="n"/>
      <c r="CB13" s="31" t="n"/>
      <c r="CC13" s="31" t="n"/>
      <c r="CD13" s="31" t="n"/>
      <c r="CE13" s="31" t="n"/>
      <c r="CF13" s="31" t="n"/>
      <c r="CG13" s="31" t="n"/>
      <c r="CH13" s="31" t="n"/>
      <c r="CI13" s="31" t="n"/>
      <c r="CJ13" s="31" t="n"/>
      <c r="CK13" s="31" t="n"/>
      <c r="CL13" s="31" t="n"/>
      <c r="CM13" s="31" t="n"/>
      <c r="CN13" s="31" t="n"/>
      <c r="CO13" s="31" t="n"/>
      <c r="CP13" s="31" t="n"/>
      <c r="CQ13" s="31" t="n"/>
      <c r="CR13" s="31" t="n"/>
      <c r="CS13" s="31" t="n"/>
      <c r="CT13" s="31" t="n"/>
      <c r="CU13" s="31" t="n"/>
      <c r="CV13" s="31" t="n"/>
      <c r="CW13" s="31" t="n"/>
      <c r="CX13" s="31" t="n"/>
      <c r="CY13" s="31" t="n"/>
    </row>
    <row r="14">
      <c r="C14" s="17" t="n"/>
    </row>
    <row r="15" customFormat="1" s="32">
      <c r="A15" s="30" t="n"/>
      <c r="B15" s="3" t="n"/>
      <c r="C15" s="33" t="inlineStr">
        <is>
          <t>Net Revenues</t>
        </is>
      </c>
      <c r="D15" s="34" t="n"/>
      <c r="E15" s="34" t="n"/>
      <c r="F15" s="34" t="n"/>
      <c r="G15" s="34" t="n"/>
      <c r="H15" s="35" t="n"/>
      <c r="I15" s="34">
        <f>'Inputs (2)'!D4</f>
        <v>4850</v>
      </c>
      <c r="J15" s="34">
        <f>'Inputs (2)'!E4</f>
        <v>5748</v>
      </c>
      <c r="K15" s="34">
        <f>'Inputs (2)'!F4</f>
        <v>6083</v>
      </c>
      <c r="L15" s="34">
        <f>'Inputs (2)'!G4</f>
        <v>6164</v>
      </c>
      <c r="M15" s="35">
        <f>'Inputs (2)'!H4</f>
        <v>22845</v>
      </c>
      <c r="N15" s="34">
        <f>'Inputs (2)'!I4</f>
        <v>6603</v>
      </c>
      <c r="O15" s="34">
        <f>'Inputs (2)'!J4</f>
        <v>5416</v>
      </c>
      <c r="P15" s="34">
        <f>'Inputs (2)'!K4</f>
        <v>5003</v>
      </c>
      <c r="Q15" s="34">
        <f>'Inputs (2)'!L4</f>
        <v>5758</v>
      </c>
      <c r="R15" s="35">
        <f>'Inputs (2)'!M4</f>
        <v>22780</v>
      </c>
      <c r="S15" s="34">
        <f>'Inputs (2)'!N4</f>
        <v>5389</v>
      </c>
      <c r="T15" s="34">
        <f>'Inputs (2)'!O4</f>
        <v>5737</v>
      </c>
      <c r="U15" s="34">
        <f>'Inputs (2)'!P4</f>
        <v>5824</v>
      </c>
      <c r="V15" s="34">
        <f>'Inputs (2)'!Q4</f>
        <v>5905</v>
      </c>
      <c r="W15" s="35">
        <f>'Inputs (2)'!R4</f>
        <v>22855</v>
      </c>
      <c r="X15" s="34">
        <f>'Inputs (2)'!S4</f>
        <v>6321</v>
      </c>
      <c r="Y15" s="34">
        <f>'Inputs (2)'!T4</f>
        <v>6624</v>
      </c>
      <c r="Z15" s="34">
        <f>'Inputs (2)'!U4</f>
        <v>6790</v>
      </c>
      <c r="AA15" s="34">
        <f>'Inputs (2)'!V4</f>
        <v>5720</v>
      </c>
      <c r="AB15" s="35">
        <f>'Inputs (2)'!W4</f>
        <v>25455</v>
      </c>
      <c r="AC15" s="34">
        <f>'Inputs (2)'!X4</f>
        <v>5728</v>
      </c>
      <c r="AD15" s="34">
        <f>'Inputs (2)'!Y4</f>
        <v>7582</v>
      </c>
      <c r="AE15" s="34">
        <f>'Inputs (2)'!Z4</f>
        <v>6972</v>
      </c>
      <c r="AF15" s="34">
        <f>'Inputs (2)'!AA4</f>
        <v>5633</v>
      </c>
      <c r="AG15" s="35">
        <f>'Inputs (2)'!AB4</f>
        <v>25915</v>
      </c>
      <c r="AH15" s="35">
        <f>'Inputs (2)'!AC4</f>
        <v>6234</v>
      </c>
      <c r="AI15" s="35">
        <f>'Inputs (2)'!AD4</f>
        <v>7029</v>
      </c>
      <c r="AJ15" s="35">
        <f>AE15*(1+AJ16)</f>
        <v>7062.41261186935</v>
      </c>
      <c r="AK15" s="35">
        <f>AF15*(1+AK16)</f>
        <v>5706.04851443776</v>
      </c>
      <c r="AL15" s="35">
        <f>SUM(AH15:AK15)</f>
        <v>26031.4611263071</v>
      </c>
      <c r="AM15" s="35">
        <f>AH15*(1+AM16)</f>
        <v>6314.84225794514</v>
      </c>
      <c r="AN15" s="35">
        <f>AI15*(1+AN16)</f>
        <v>7120.15178554642</v>
      </c>
      <c r="AO15" s="35">
        <f>AJ15*(1+AO16)</f>
        <v>7153.99769080483</v>
      </c>
      <c r="AP15" s="35">
        <f>AK15*(1+AP16)</f>
        <v>5780.04431903379</v>
      </c>
      <c r="AQ15" s="35">
        <f>SUM(AM15:AP15)</f>
        <v>26369.0360533302</v>
      </c>
      <c r="AR15" s="35">
        <f>AM15*(1+AR16)</f>
        <v>6365.15866370702</v>
      </c>
      <c r="AS15" s="35">
        <f>AN15*(1+AS16)</f>
        <v>7176.88486480536</v>
      </c>
      <c r="AT15" s="35">
        <f>AO15*(1+AT16)</f>
        <v>7211.00045285754</v>
      </c>
      <c r="AU15" s="35">
        <f>AP15*(1+AU16)</f>
        <v>5826.0994766131</v>
      </c>
      <c r="AV15" s="35">
        <f>SUM(AR15:AU15)</f>
        <v>26579.143457983</v>
      </c>
      <c r="AW15" s="35">
        <f>AR15*(1+AW16)</f>
        <v>6384.05019522092</v>
      </c>
      <c r="AX15" s="35">
        <f>AS15*(1+AX16)</f>
        <v>7198.18556660376</v>
      </c>
      <c r="AY15" s="35">
        <f>AT15*(1+AY16)</f>
        <v>7232.40240833097</v>
      </c>
      <c r="AZ15" s="35">
        <f>AU15*(1+AZ16)</f>
        <v>5843.39110242805</v>
      </c>
      <c r="BA15" s="35">
        <f>SUM(AW15:AZ15)</f>
        <v>26658.0292725837</v>
      </c>
      <c r="BB15" s="35">
        <f>AW15*(1+BB16)</f>
        <v>6384.05019522092</v>
      </c>
      <c r="BC15" s="35">
        <f>AX15*(1+BC16)</f>
        <v>7198.18556660376</v>
      </c>
      <c r="BD15" s="35">
        <f>AY15*(1+BD16)</f>
        <v>7232.40240833097</v>
      </c>
      <c r="BE15" s="35">
        <f>AZ15*(1+BE16)</f>
        <v>5843.39110242805</v>
      </c>
      <c r="BF15" s="35">
        <f>SUM(BB15:BE15)</f>
        <v>26658.0292725837</v>
      </c>
      <c r="BG15" s="35" t="n"/>
      <c r="BH15" s="35" t="n"/>
      <c r="BI15" s="35" t="n"/>
      <c r="BJ15" s="35" t="n"/>
      <c r="BK15" s="35" t="n"/>
      <c r="BL15" s="35" t="n"/>
      <c r="BM15" s="35" t="n"/>
      <c r="BN15" s="35" t="n"/>
      <c r="BO15" s="35" t="n"/>
      <c r="BP15" s="35" t="n"/>
      <c r="BQ15" s="35" t="n"/>
      <c r="BR15" s="35" t="n"/>
      <c r="BS15" s="35" t="n"/>
      <c r="BT15" s="35" t="n"/>
      <c r="BU15" s="35" t="n"/>
      <c r="BV15" s="35" t="n"/>
      <c r="BW15" s="35" t="n"/>
      <c r="BX15" s="35" t="n"/>
      <c r="BY15" s="35" t="n"/>
      <c r="BZ15" s="35" t="n"/>
      <c r="CA15" s="35" t="n"/>
      <c r="CB15" s="35" t="n"/>
      <c r="CC15" s="35" t="n"/>
      <c r="CD15" s="35" t="n"/>
      <c r="CE15" s="35" t="n"/>
      <c r="CF15" s="35" t="n"/>
      <c r="CG15" s="35" t="n"/>
      <c r="CH15" s="35" t="n"/>
      <c r="CI15" s="35" t="n"/>
      <c r="CJ15" s="35" t="n"/>
      <c r="CK15" s="35" t="n"/>
      <c r="CL15" s="35" t="n"/>
      <c r="CM15" s="35" t="n"/>
      <c r="CN15" s="35" t="n"/>
      <c r="CO15" s="35" t="n"/>
      <c r="CP15" s="35" t="n"/>
      <c r="CQ15" s="35" t="n"/>
      <c r="CR15" s="35" t="n"/>
      <c r="CS15" s="35" t="n"/>
      <c r="CT15" s="35" t="n"/>
      <c r="CU15" s="35" t="n"/>
      <c r="CV15" s="35" t="n"/>
      <c r="CW15" s="35" t="n"/>
      <c r="CX15" s="35" t="n"/>
      <c r="CY15" s="35" t="n"/>
    </row>
    <row r="16" hidden="1" outlineLevel="1" customFormat="1" s="43">
      <c r="A16" s="36" t="n"/>
      <c r="B16" s="37" t="n"/>
      <c r="C16" s="38" t="inlineStr">
        <is>
          <t>% YoY</t>
        </is>
      </c>
      <c r="D16" s="39" t="n"/>
      <c r="E16" s="40" t="n"/>
      <c r="F16" s="40" t="n"/>
      <c r="G16" s="40" t="n"/>
      <c r="H16" s="39" t="n"/>
      <c r="I16" s="39" t="n"/>
      <c r="J16" s="40" t="n"/>
      <c r="K16" s="40" t="n"/>
      <c r="L16" s="40" t="n"/>
      <c r="M16" s="39" t="n"/>
      <c r="N16" s="40">
        <f>IFERROR(N15/I15-1,"")</f>
        <v>0.361443298969072</v>
      </c>
      <c r="O16" s="40">
        <f>IFERROR(O15/J15-1,"")</f>
        <v>-0.0577592205984691</v>
      </c>
      <c r="P16" s="40">
        <f>IFERROR(P15/K15-1,"")</f>
        <v>-0.177543975012329</v>
      </c>
      <c r="Q16" s="40">
        <f>IFERROR(Q15/L15-1,"")</f>
        <v>-0.0658663205710578</v>
      </c>
      <c r="R16" s="40">
        <f>IFERROR(R15/M15-1,"")</f>
        <v>-0.00284526154519593</v>
      </c>
      <c r="S16" s="40">
        <f>IFERROR(S15/N15-1,"")</f>
        <v>-0.183855823110707</v>
      </c>
      <c r="T16" s="40">
        <f>IFERROR(T15/O15-1,"")</f>
        <v>0.0592688330871491</v>
      </c>
      <c r="U16" s="40">
        <f>IFERROR(U15/P15-1,"")</f>
        <v>0.164101539076554</v>
      </c>
      <c r="V16" s="40">
        <f>IFERROR(V15/Q15-1,"")</f>
        <v>0.0255296978117401</v>
      </c>
      <c r="W16" s="40">
        <f>IFERROR(W15/R15-1,"")</f>
        <v>0.00329236172080782</v>
      </c>
      <c r="X16" s="40">
        <f>IFERROR(X15/S15-1,"")</f>
        <v>0.172944887734273</v>
      </c>
      <c r="Y16" s="40">
        <f>IFERROR(Y15/T15-1,"")</f>
        <v>0.154610423566324</v>
      </c>
      <c r="Z16" s="40">
        <f>IFERROR(Z15/U15-1,"")</f>
        <v>0.165865384615385</v>
      </c>
      <c r="AA16" s="40">
        <f>IFERROR(AA15/V15-1,"")</f>
        <v>-0.0313293818797629</v>
      </c>
      <c r="AB16" s="40">
        <f>IFERROR(AB15/W15-1,"")</f>
        <v>0.11376066506235</v>
      </c>
      <c r="AC16" s="40">
        <f>IFERROR(AC15/X15-1,"")</f>
        <v>-0.0938142698940041</v>
      </c>
      <c r="AD16" s="40">
        <f>IFERROR(AD15/Y15-1,"")</f>
        <v>0.144625603864734</v>
      </c>
      <c r="AE16" s="40">
        <f>IFERROR(AE15/Z15-1,"")</f>
        <v>0.0268041237113401</v>
      </c>
      <c r="AF16" s="41">
        <f>IFERROR(AF15/AA15-1,"")</f>
        <v>-0.0152097902097902</v>
      </c>
      <c r="AG16" s="40">
        <f>IFERROR(AG15/AB15-1,"")</f>
        <v>0.0180711058731093</v>
      </c>
      <c r="AH16" s="41">
        <f>IFERROR(AH15/AC15-1,"")</f>
        <v>0.0883379888268157</v>
      </c>
      <c r="AI16" s="41">
        <f>IFERROR(AI15/AD15-1,"")</f>
        <v>-0.0729359008177262</v>
      </c>
      <c r="AJ16" s="41">
        <f>Control!$B$18</f>
        <v>0.0129679592468949</v>
      </c>
      <c r="AK16" s="41">
        <f>Control!$B$18</f>
        <v>0.0129679592468949</v>
      </c>
      <c r="AL16" s="42">
        <f>IFERROR(AL15/AG15-1,"")</f>
        <v>0.00449396590033224</v>
      </c>
      <c r="AM16" s="41">
        <f>Control!$C$18</f>
        <v>0.0129679592468949</v>
      </c>
      <c r="AN16" s="41">
        <f>Control!$C$18</f>
        <v>0.0129679592468949</v>
      </c>
      <c r="AO16" s="41">
        <f>Control!$C$18</f>
        <v>0.0129679592468949</v>
      </c>
      <c r="AP16" s="41">
        <f>Control!$C$18</f>
        <v>0.0129679592468949</v>
      </c>
      <c r="AQ16" s="42">
        <f>IFERROR(AQ15/AL15-1,"")</f>
        <v>0.012967959246895</v>
      </c>
      <c r="AR16" s="41">
        <f>Control!$D$18</f>
        <v>0.00796795924689492</v>
      </c>
      <c r="AS16" s="41">
        <f>Control!$D$18</f>
        <v>0.00796795924689492</v>
      </c>
      <c r="AT16" s="41">
        <f>Control!$D$18</f>
        <v>0.00796795924689492</v>
      </c>
      <c r="AU16" s="41">
        <f>Control!$D$18</f>
        <v>0.00796795924689492</v>
      </c>
      <c r="AV16" s="42">
        <f>IFERROR(AV15/AQ15-1,"")</f>
        <v>0.00796795924689486</v>
      </c>
      <c r="AW16" s="41">
        <f>Control!$E$18</f>
        <v>0.00296795924689492</v>
      </c>
      <c r="AX16" s="41">
        <f>Control!$E$18</f>
        <v>0.00296795924689492</v>
      </c>
      <c r="AY16" s="41">
        <f>Control!$E$18</f>
        <v>0.00296795924689492</v>
      </c>
      <c r="AZ16" s="41">
        <f>Control!$E$18</f>
        <v>0.00296795924689492</v>
      </c>
      <c r="BA16" s="42">
        <f>IFERROR(BA15/AV15-1,"")</f>
        <v>0.00296795924689497</v>
      </c>
      <c r="BB16" s="41">
        <f>Control!$F$18</f>
        <v>0</v>
      </c>
      <c r="BC16" s="41">
        <f>Control!$F$18</f>
        <v>0</v>
      </c>
      <c r="BD16" s="41">
        <f>Control!$F$18</f>
        <v>0</v>
      </c>
      <c r="BE16" s="41">
        <f>Control!$F$18</f>
        <v>0</v>
      </c>
      <c r="BF16" s="42">
        <f>IFERROR(BF15/BA15-1,"")</f>
        <v>0</v>
      </c>
      <c r="BG16" s="41" t="n"/>
      <c r="BH16" s="41" t="n"/>
      <c r="BI16" s="41" t="n"/>
      <c r="BJ16" s="41" t="n"/>
      <c r="BK16" s="42" t="n"/>
      <c r="BL16" s="41" t="n"/>
      <c r="BM16" s="41" t="n"/>
      <c r="BN16" s="41" t="n"/>
      <c r="BO16" s="41" t="n"/>
      <c r="BP16" s="42" t="n"/>
      <c r="BQ16" s="41" t="n"/>
      <c r="BR16" s="41" t="n"/>
      <c r="BS16" s="41" t="n"/>
      <c r="BT16" s="41" t="n"/>
      <c r="BU16" s="42" t="n"/>
      <c r="BV16" s="41" t="n"/>
      <c r="BW16" s="41" t="n"/>
      <c r="BX16" s="41" t="n"/>
      <c r="BY16" s="41" t="n"/>
      <c r="BZ16" s="42" t="n"/>
      <c r="CA16" s="41" t="n"/>
      <c r="CB16" s="41" t="n"/>
      <c r="CC16" s="41" t="n"/>
      <c r="CD16" s="41" t="n"/>
      <c r="CE16" s="42" t="n"/>
      <c r="CF16" s="41" t="n"/>
      <c r="CG16" s="41" t="n"/>
      <c r="CH16" s="41" t="n"/>
      <c r="CI16" s="41" t="n"/>
      <c r="CJ16" s="42" t="n"/>
      <c r="CK16" s="41" t="n"/>
      <c r="CL16" s="41" t="n"/>
      <c r="CM16" s="41" t="n"/>
      <c r="CN16" s="41" t="n"/>
      <c r="CO16" s="42" t="n"/>
      <c r="CP16" s="41" t="n"/>
      <c r="CQ16" s="41" t="n"/>
      <c r="CR16" s="41" t="n"/>
      <c r="CS16" s="41" t="n"/>
      <c r="CT16" s="42" t="n"/>
      <c r="CU16" s="41" t="n"/>
      <c r="CV16" s="41" t="n"/>
      <c r="CW16" s="41" t="n"/>
      <c r="CX16" s="41" t="n"/>
      <c r="CY16" s="42" t="n"/>
    </row>
    <row r="17" hidden="1" outlineLevel="1" customFormat="1" s="43">
      <c r="A17" s="36" t="n"/>
      <c r="B17" s="37" t="n"/>
      <c r="C17" s="44" t="inlineStr">
        <is>
          <t>Check Receita</t>
        </is>
      </c>
      <c r="D17" s="39" t="n"/>
      <c r="E17" s="40" t="n"/>
      <c r="F17" s="40" t="n"/>
      <c r="G17" s="40" t="n"/>
      <c r="H17" s="39" t="n"/>
      <c r="I17" s="39" t="n"/>
      <c r="J17" s="40" t="n"/>
      <c r="K17" s="40" t="n"/>
      <c r="L17" s="40" t="n"/>
      <c r="M17" s="39" t="n"/>
      <c r="N17" s="40" t="n"/>
      <c r="O17" s="40" t="n"/>
      <c r="P17" s="40" t="n"/>
      <c r="Q17" s="40" t="n"/>
      <c r="R17" s="40" t="n"/>
      <c r="S17" s="40" t="n"/>
      <c r="T17" s="40" t="n"/>
      <c r="U17" s="40" t="n"/>
      <c r="V17" s="40" t="n"/>
      <c r="W17" s="40" t="n"/>
      <c r="X17" s="40" t="n"/>
      <c r="Y17" s="40" t="n"/>
      <c r="Z17" s="40" t="n"/>
      <c r="AA17" s="40" t="n"/>
      <c r="AB17" s="40" t="n"/>
      <c r="AC17" s="40" t="n"/>
      <c r="AD17" s="40" t="n"/>
      <c r="AE17" s="40" t="n"/>
      <c r="AF17" s="40" t="n"/>
      <c r="AG17" s="40" t="n"/>
      <c r="AH17" s="41" t="n"/>
      <c r="AI17" s="41" t="n"/>
      <c r="AJ17" s="41" t="n"/>
      <c r="AK17" s="41" t="n"/>
      <c r="AL17" s="42" t="n"/>
      <c r="AM17" s="41" t="n"/>
      <c r="AN17" s="41" t="n"/>
      <c r="AO17" s="41" t="n"/>
      <c r="AP17" s="41" t="n"/>
      <c r="AQ17" s="42" t="n"/>
      <c r="AR17" s="41" t="n"/>
      <c r="AS17" s="41" t="n"/>
      <c r="AT17" s="41" t="n"/>
      <c r="AU17" s="41" t="n"/>
      <c r="AV17" s="42" t="n"/>
      <c r="AW17" s="41" t="n"/>
      <c r="AX17" s="41" t="n"/>
      <c r="AY17" s="41" t="n"/>
      <c r="AZ17" s="41" t="n"/>
      <c r="BA17" s="42" t="n"/>
      <c r="BB17" s="41" t="n"/>
      <c r="BC17" s="41" t="n"/>
      <c r="BD17" s="41" t="n"/>
      <c r="BE17" s="41" t="n"/>
      <c r="BF17" s="42" t="n"/>
      <c r="BG17" s="41" t="n"/>
      <c r="BH17" s="41" t="n"/>
      <c r="BI17" s="41" t="n"/>
      <c r="BJ17" s="41" t="n"/>
      <c r="BK17" s="42" t="n"/>
      <c r="BL17" s="41" t="n"/>
      <c r="BM17" s="41" t="n"/>
      <c r="BN17" s="41" t="n"/>
      <c r="BO17" s="41" t="n"/>
      <c r="BP17" s="42" t="n"/>
      <c r="BQ17" s="41" t="n"/>
      <c r="BR17" s="41" t="n"/>
      <c r="BS17" s="41" t="n"/>
      <c r="BT17" s="41" t="n"/>
      <c r="BU17" s="42" t="n"/>
      <c r="BV17" s="41" t="n"/>
      <c r="BW17" s="41" t="n"/>
      <c r="BX17" s="41" t="n"/>
      <c r="BY17" s="41" t="n"/>
      <c r="BZ17" s="42" t="n"/>
      <c r="CA17" s="41" t="n"/>
      <c r="CB17" s="41" t="n"/>
      <c r="CC17" s="41" t="n"/>
      <c r="CD17" s="41" t="n"/>
      <c r="CE17" s="42" t="n"/>
      <c r="CF17" s="41" t="n"/>
      <c r="CG17" s="41" t="n"/>
      <c r="CH17" s="41" t="n"/>
      <c r="CI17" s="41" t="n"/>
      <c r="CJ17" s="42" t="n"/>
      <c r="CK17" s="41" t="n"/>
      <c r="CL17" s="41" t="n"/>
      <c r="CM17" s="41" t="n"/>
      <c r="CN17" s="41" t="n"/>
      <c r="CO17" s="42" t="n"/>
      <c r="CP17" s="41" t="n"/>
      <c r="CQ17" s="41" t="n"/>
      <c r="CR17" s="41" t="n"/>
      <c r="CS17" s="41" t="n"/>
      <c r="CT17" s="42" t="n"/>
      <c r="CU17" s="41" t="n"/>
      <c r="CV17" s="41" t="n"/>
      <c r="CW17" s="41" t="n"/>
      <c r="CX17" s="41" t="n"/>
      <c r="CY17" s="42" t="n"/>
    </row>
    <row r="18">
      <c r="C18" s="267" t="inlineStr">
        <is>
          <t>Segmentos - receita (USD milhões)</t>
        </is>
      </c>
      <c r="D18" s="267">
        <f>D7</f>
        <v>0</v>
      </c>
      <c r="E18" s="267">
        <f>E7</f>
        <v>0</v>
      </c>
      <c r="F18" s="267">
        <f>F7</f>
        <v>0</v>
      </c>
      <c r="G18" s="267">
        <f>G7</f>
        <v>0</v>
      </c>
      <c r="H18" s="267">
        <f>H7</f>
        <v>2020</v>
      </c>
      <c r="I18" s="267" t="str">
        <f>I7</f>
        <v>1Q21</v>
      </c>
      <c r="J18" s="267" t="str">
        <f>J7</f>
        <v>2Q21</v>
      </c>
      <c r="K18" s="267" t="str">
        <f>K7</f>
        <v>3Q21</v>
      </c>
      <c r="L18" s="267" t="str">
        <f>L7</f>
        <v>4Q21</v>
      </c>
      <c r="M18" s="267">
        <f>M7</f>
        <v>2021</v>
      </c>
      <c r="N18" s="267" t="str">
        <f>N7</f>
        <v>1Q22</v>
      </c>
      <c r="O18" s="267" t="str">
        <f>O7</f>
        <v>2Q22</v>
      </c>
      <c r="P18" s="267" t="str">
        <f>P7</f>
        <v>3Q22</v>
      </c>
      <c r="Q18" s="267" t="str">
        <f>Q7</f>
        <v>4Q22</v>
      </c>
      <c r="R18" s="267">
        <f>R7</f>
        <v>2022</v>
      </c>
      <c r="S18" s="267" t="str">
        <f>S7</f>
        <v>1Q23</v>
      </c>
      <c r="T18" s="267" t="str">
        <f>T7</f>
        <v>2Q23</v>
      </c>
      <c r="U18" s="267" t="str">
        <f>U7</f>
        <v>3Q23</v>
      </c>
      <c r="V18" s="267" t="str">
        <f>V7</f>
        <v>4Q23</v>
      </c>
      <c r="W18" s="267">
        <f>W7</f>
        <v>2023</v>
      </c>
      <c r="X18" s="267" t="str">
        <f>X7</f>
        <v>1Q24</v>
      </c>
      <c r="Y18" s="267" t="str">
        <f>Y7</f>
        <v>2Q24</v>
      </c>
      <c r="Z18" s="267" t="str">
        <f>Z7</f>
        <v>3Q24</v>
      </c>
      <c r="AA18" s="267" t="str">
        <f>AA7</f>
        <v>4Q24</v>
      </c>
      <c r="AB18" s="267">
        <f>AB7</f>
        <v>2024</v>
      </c>
      <c r="AC18" s="267" t="str">
        <f>AC7</f>
        <v>1Q25</v>
      </c>
      <c r="AD18" s="267" t="str">
        <f>AD7</f>
        <v>2Q25</v>
      </c>
      <c r="AE18" s="267" t="str">
        <f>AE7</f>
        <v>3Q25</v>
      </c>
      <c r="AF18" s="267" t="str">
        <f>AF7</f>
        <v>4Q25</v>
      </c>
      <c r="AG18" s="267">
        <f>AG7</f>
        <v>2025</v>
      </c>
      <c r="AH18" s="267" t="str">
        <f>AH7</f>
        <v>1Q26</v>
      </c>
      <c r="AI18" s="267" t="str">
        <f>AI7</f>
        <v>2Q26</v>
      </c>
    </row>
    <row r="19">
      <c r="C19" s="268" t="inlineStr">
        <is>
          <t xml:space="preserve">   Morenci</t>
        </is>
      </c>
      <c r="D19" s="269" t="str">
        <f>IFERROR(INDEX('Inputs (2)'!$D$53:$AL$53,MATCH(D$7&amp;"",'Inputs (2)'!$D$2:$AL$2,0)),"")</f>
        <v/>
      </c>
      <c r="E19" s="269" t="str">
        <f>IFERROR(INDEX('Inputs (2)'!$D$53:$AL$53,MATCH(E$7&amp;"",'Inputs (2)'!$D$2:$AL$2,0)),"")</f>
        <v/>
      </c>
      <c r="F19" s="269" t="str">
        <f>IFERROR(INDEX('Inputs (2)'!$D$53:$AL$53,MATCH(F$7&amp;"",'Inputs (2)'!$D$2:$AL$2,0)),"")</f>
        <v/>
      </c>
      <c r="G19" s="269" t="str">
        <f>IFERROR(INDEX('Inputs (2)'!$D$53:$AL$53,MATCH(G$7&amp;"",'Inputs (2)'!$D$2:$AL$2,0)),"")</f>
        <v/>
      </c>
      <c r="H19" s="270" t="str">
        <f>IF(COUNT(D19:G19)=4,SUM(D19:G19),"")</f>
        <v/>
      </c>
      <c r="I19" s="269">
        <f>IFERROR(INDEX('Inputs (2)'!$D$53:$AL$53,MATCH(I$7&amp;"",'Inputs (2)'!$D$2:$AL$2,0)),"")</f>
        <v>568</v>
      </c>
      <c r="J19" s="269">
        <f>IFERROR(INDEX('Inputs (2)'!$D$53:$AL$53,MATCH(J$7&amp;"",'Inputs (2)'!$D$2:$AL$2,0)),"")</f>
        <v>778</v>
      </c>
      <c r="K19" s="269">
        <f>IFERROR(INDEX('Inputs (2)'!$D$53:$AL$53,MATCH(K$7&amp;"",'Inputs (2)'!$D$2:$AL$2,0)),"")</f>
        <v>727</v>
      </c>
      <c r="L19" s="269">
        <f>IFERROR(INDEX('Inputs (2)'!$D$53:$AL$53,MATCH(L$7&amp;"",'Inputs (2)'!$D$2:$AL$2,0)),"")</f>
        <v>737</v>
      </c>
      <c r="M19" s="270">
        <f>IF(COUNT(I19:L19)=4,SUM(I19:L19),"")</f>
        <v>2810</v>
      </c>
      <c r="N19" s="269">
        <f>IFERROR(INDEX('Inputs (2)'!$D$53:$AL$53,MATCH(N$7&amp;"",'Inputs (2)'!$D$2:$AL$2,0)),"")</f>
        <v>801</v>
      </c>
      <c r="O19" s="269">
        <f>IFERROR(INDEX('Inputs (2)'!$D$53:$AL$53,MATCH(O$7&amp;"",'Inputs (2)'!$D$2:$AL$2,0)),"")</f>
        <v>747</v>
      </c>
      <c r="P19" s="269">
        <f>IFERROR(INDEX('Inputs (2)'!$D$53:$AL$53,MATCH(P$7&amp;"",'Inputs (2)'!$D$2:$AL$2,0)),"")</f>
        <v>569</v>
      </c>
      <c r="Q19" s="269">
        <f>IFERROR(INDEX('Inputs (2)'!$D$53:$AL$53,MATCH(Q$7&amp;"",'Inputs (2)'!$D$2:$AL$2,0)),"")</f>
        <v>572</v>
      </c>
      <c r="R19" s="270">
        <f>IF(COUNT(N19:Q19)=4,SUM(N19:Q19),"")</f>
        <v>2689</v>
      </c>
      <c r="S19" s="269">
        <f>IFERROR(INDEX('Inputs (2)'!$D$53:$AL$53,MATCH(S$7&amp;"",'Inputs (2)'!$D$2:$AL$2,0)),"")</f>
        <v>625</v>
      </c>
      <c r="T19" s="269">
        <f>IFERROR(INDEX('Inputs (2)'!$D$53:$AL$53,MATCH(T$7&amp;"",'Inputs (2)'!$D$2:$AL$2,0)),"")</f>
        <v>596</v>
      </c>
      <c r="U19" s="269">
        <f>IFERROR(INDEX('Inputs (2)'!$D$53:$AL$53,MATCH(U$7&amp;"",'Inputs (2)'!$D$2:$AL$2,0)),"")</f>
        <v>641</v>
      </c>
      <c r="V19" s="269">
        <f>IFERROR(INDEX('Inputs (2)'!$D$53:$AL$53,MATCH(V$7&amp;"",'Inputs (2)'!$D$2:$AL$2,0)),"")</f>
        <v>557</v>
      </c>
      <c r="W19" s="270">
        <f>IF(COUNT(S19:V19)=4,SUM(S19:V19),"")</f>
        <v>2419</v>
      </c>
      <c r="X19" s="269">
        <f>IFERROR(INDEX('Inputs (2)'!$D$53:$AL$53,MATCH(X$7&amp;"",'Inputs (2)'!$D$2:$AL$2,0)),"")</f>
        <v>577</v>
      </c>
      <c r="Y19" s="269">
        <f>IFERROR(INDEX('Inputs (2)'!$D$53:$AL$53,MATCH(Y$7&amp;"",'Inputs (2)'!$D$2:$AL$2,0)),"")</f>
        <v>600</v>
      </c>
      <c r="Z19" s="269">
        <f>IFERROR(INDEX('Inputs (2)'!$D$53:$AL$53,MATCH(Z$7&amp;"",'Inputs (2)'!$D$2:$AL$2,0)),"")</f>
        <v>593</v>
      </c>
      <c r="AA19" s="269">
        <f>IFERROR(INDEX('Inputs (2)'!$D$53:$AL$53,MATCH(AA$7&amp;"",'Inputs (2)'!$D$2:$AL$2,0)),"")</f>
        <v>577</v>
      </c>
      <c r="AB19" s="270">
        <f>IF(COUNT(X19:AA19)=4,SUM(X19:AA19),"")</f>
        <v>2347</v>
      </c>
      <c r="AC19" s="269">
        <f>IFERROR(INDEX('Inputs (2)'!$D$53:$AL$53,MATCH(AC$7&amp;"",'Inputs (2)'!$D$2:$AL$2,0)),"")</f>
        <v>577</v>
      </c>
      <c r="AD19" s="269">
        <f>IFERROR(INDEX('Inputs (2)'!$D$53:$AL$53,MATCH(AD$7&amp;"",'Inputs (2)'!$D$2:$AL$2,0)),"")</f>
        <v>622</v>
      </c>
      <c r="AE19" s="269">
        <f>IFERROR(INDEX('Inputs (2)'!$D$53:$AL$53,MATCH(AE$7&amp;"",'Inputs (2)'!$D$2:$AL$2,0)),"")</f>
        <v>699</v>
      </c>
      <c r="AF19" s="269">
        <f>IFERROR(INDEX('Inputs (2)'!$D$53:$AL$53,MATCH(AF$7&amp;"",'Inputs (2)'!$D$2:$AL$2,0)),"")</f>
        <v>750</v>
      </c>
      <c r="AG19" s="270">
        <f>IF(COUNT(AC19:AF19)=4,SUM(AC19:AF19),"")</f>
        <v>2648</v>
      </c>
      <c r="AH19" s="270">
        <f>IFERROR(INDEX('Inputs (2)'!$D$53:$AL$53,MATCH(AH$7&amp;"",'Inputs (2)'!$D$2:$AL$2,0)),"")</f>
        <v>776</v>
      </c>
      <c r="AI19" s="270">
        <f>IFERROR(INDEX('Inputs (2)'!$D$53:$AL$53,MATCH(AI$7&amp;"",'Inputs (2)'!$D$2:$AL$2,0)),"")</f>
        <v>756</v>
      </c>
    </row>
    <row r="20">
      <c r="C20" s="268" t="inlineStr">
        <is>
          <t xml:space="preserve">   Cerro Verde</t>
        </is>
      </c>
      <c r="D20" s="269" t="str">
        <f>IFERROR(INDEX('Inputs (2)'!$D$55:$AL$55,MATCH(D$7&amp;"",'Inputs (2)'!$D$2:$AL$2,0)),"")</f>
        <v/>
      </c>
      <c r="E20" s="269" t="str">
        <f>IFERROR(INDEX('Inputs (2)'!$D$55:$AL$55,MATCH(E$7&amp;"",'Inputs (2)'!$D$2:$AL$2,0)),"")</f>
        <v/>
      </c>
      <c r="F20" s="269" t="str">
        <f>IFERROR(INDEX('Inputs (2)'!$D$55:$AL$55,MATCH(F$7&amp;"",'Inputs (2)'!$D$2:$AL$2,0)),"")</f>
        <v/>
      </c>
      <c r="G20" s="269" t="str">
        <f>IFERROR(INDEX('Inputs (2)'!$D$55:$AL$55,MATCH(G$7&amp;"",'Inputs (2)'!$D$2:$AL$2,0)),"")</f>
        <v/>
      </c>
      <c r="H20" s="270" t="str">
        <f>IF(COUNT(D20:G20)=4,SUM(D20:G20),"")</f>
        <v/>
      </c>
      <c r="I20" s="269">
        <f>IFERROR(INDEX('Inputs (2)'!$D$55:$AL$55,MATCH(I$7&amp;"",'Inputs (2)'!$D$2:$AL$2,0)),"")</f>
        <v>962</v>
      </c>
      <c r="J20" s="269">
        <f>IFERROR(INDEX('Inputs (2)'!$D$55:$AL$55,MATCH(J$7&amp;"",'Inputs (2)'!$D$2:$AL$2,0)),"")</f>
        <v>945</v>
      </c>
      <c r="K20" s="269">
        <f>IFERROR(INDEX('Inputs (2)'!$D$55:$AL$55,MATCH(K$7&amp;"",'Inputs (2)'!$D$2:$AL$2,0)),"")</f>
        <v>1074</v>
      </c>
      <c r="L20" s="269">
        <f>IFERROR(INDEX('Inputs (2)'!$D$55:$AL$55,MATCH(L$7&amp;"",'Inputs (2)'!$D$2:$AL$2,0)),"")</f>
        <v>1215</v>
      </c>
      <c r="M20" s="270">
        <f>IF(COUNT(I20:L20)=4,SUM(I20:L20),"")</f>
        <v>4196</v>
      </c>
      <c r="N20" s="269">
        <f>IFERROR(INDEX('Inputs (2)'!$D$55:$AL$55,MATCH(N$7&amp;"",'Inputs (2)'!$D$2:$AL$2,0)),"")</f>
        <v>1214</v>
      </c>
      <c r="O20" s="269">
        <f>IFERROR(INDEX('Inputs (2)'!$D$55:$AL$55,MATCH(O$7&amp;"",'Inputs (2)'!$D$2:$AL$2,0)),"")</f>
        <v>836</v>
      </c>
      <c r="P20" s="269">
        <f>IFERROR(INDEX('Inputs (2)'!$D$55:$AL$55,MATCH(P$7&amp;"",'Inputs (2)'!$D$2:$AL$2,0)),"")</f>
        <v>749</v>
      </c>
      <c r="Q20" s="269">
        <f>IFERROR(INDEX('Inputs (2)'!$D$55:$AL$55,MATCH(Q$7&amp;"",'Inputs (2)'!$D$2:$AL$2,0)),"")</f>
        <v>1151</v>
      </c>
      <c r="R20" s="270">
        <f>IF(COUNT(N20:Q20)=4,SUM(N20:Q20),"")</f>
        <v>3950</v>
      </c>
      <c r="S20" s="269">
        <f>IFERROR(INDEX('Inputs (2)'!$D$55:$AL$55,MATCH(S$7&amp;"",'Inputs (2)'!$D$2:$AL$2,0)),"")</f>
        <v>1202</v>
      </c>
      <c r="T20" s="269">
        <f>IFERROR(INDEX('Inputs (2)'!$D$55:$AL$55,MATCH(T$7&amp;"",'Inputs (2)'!$D$2:$AL$2,0)),"")</f>
        <v>958</v>
      </c>
      <c r="U20" s="269">
        <f>IFERROR(INDEX('Inputs (2)'!$D$55:$AL$55,MATCH(U$7&amp;"",'Inputs (2)'!$D$2:$AL$2,0)),"")</f>
        <v>1041</v>
      </c>
      <c r="V20" s="269">
        <f>IFERROR(INDEX('Inputs (2)'!$D$55:$AL$55,MATCH(V$7&amp;"",'Inputs (2)'!$D$2:$AL$2,0)),"")</f>
        <v>916</v>
      </c>
      <c r="W20" s="270">
        <f>IF(COUNT(S20:V20)=4,SUM(S20:V20),"")</f>
        <v>4117</v>
      </c>
      <c r="X20" s="269">
        <f>IFERROR(INDEX('Inputs (2)'!$D$55:$AL$55,MATCH(X$7&amp;"",'Inputs (2)'!$D$2:$AL$2,0)),"")</f>
        <v>928</v>
      </c>
      <c r="Y20" s="269">
        <f>IFERROR(INDEX('Inputs (2)'!$D$55:$AL$55,MATCH(Y$7&amp;"",'Inputs (2)'!$D$2:$AL$2,0)),"")</f>
        <v>1257</v>
      </c>
      <c r="Z20" s="269">
        <f>IFERROR(INDEX('Inputs (2)'!$D$55:$AL$55,MATCH(Z$7&amp;"",'Inputs (2)'!$D$2:$AL$2,0)),"")</f>
        <v>1079</v>
      </c>
      <c r="AA20" s="269">
        <f>IFERROR(INDEX('Inputs (2)'!$D$55:$AL$55,MATCH(AA$7&amp;"",'Inputs (2)'!$D$2:$AL$2,0)),"")</f>
        <v>992</v>
      </c>
      <c r="AB20" s="270">
        <f>IF(COUNT(X20:AA20)=4,SUM(X20:AA20),"")</f>
        <v>4256</v>
      </c>
      <c r="AC20" s="269">
        <f>IFERROR(INDEX('Inputs (2)'!$D$55:$AL$55,MATCH(AC$7&amp;"",'Inputs (2)'!$D$2:$AL$2,0)),"")</f>
        <v>1091</v>
      </c>
      <c r="AD20" s="269">
        <f>IFERROR(INDEX('Inputs (2)'!$D$55:$AL$55,MATCH(AD$7&amp;"",'Inputs (2)'!$D$2:$AL$2,0)),"")</f>
        <v>1029</v>
      </c>
      <c r="AE20" s="269">
        <f>IFERROR(INDEX('Inputs (2)'!$D$55:$AL$55,MATCH(AE$7&amp;"",'Inputs (2)'!$D$2:$AL$2,0)),"")</f>
        <v>1205</v>
      </c>
      <c r="AF20" s="269">
        <f>IFERROR(INDEX('Inputs (2)'!$D$55:$AL$55,MATCH(AF$7&amp;"",'Inputs (2)'!$D$2:$AL$2,0)),"")</f>
        <v>1381</v>
      </c>
      <c r="AG20" s="270">
        <f>IF(COUNT(AC20:AF20)=4,SUM(AC20:AF20),"")</f>
        <v>4706</v>
      </c>
      <c r="AH20" s="270">
        <f>IFERROR(INDEX('Inputs (2)'!$D$55:$AL$55,MATCH(AH$7&amp;"",'Inputs (2)'!$D$2:$AL$2,0)),"")</f>
        <v>1381</v>
      </c>
      <c r="AI20" s="270">
        <f>IFERROR(INDEX('Inputs (2)'!$D$55:$AL$55,MATCH(AI$7&amp;"",'Inputs (2)'!$D$2:$AL$2,0)),"")</f>
        <v>1487</v>
      </c>
    </row>
    <row r="21">
      <c r="C21" s="268" t="inlineStr">
        <is>
          <t xml:space="preserve">   Grasberg (Indonésia)</t>
        </is>
      </c>
      <c r="D21" s="269" t="str">
        <f>IFERROR(INDEX('Inputs (2)'!$D$57:$AL$57,MATCH(D$7&amp;"",'Inputs (2)'!$D$2:$AL$2,0)),"")</f>
        <v/>
      </c>
      <c r="E21" s="269" t="str">
        <f>IFERROR(INDEX('Inputs (2)'!$D$57:$AL$57,MATCH(E$7&amp;"",'Inputs (2)'!$D$2:$AL$2,0)),"")</f>
        <v/>
      </c>
      <c r="F21" s="269" t="str">
        <f>IFERROR(INDEX('Inputs (2)'!$D$57:$AL$57,MATCH(F$7&amp;"",'Inputs (2)'!$D$2:$AL$2,0)),"")</f>
        <v/>
      </c>
      <c r="G21" s="269" t="str">
        <f>IFERROR(INDEX('Inputs (2)'!$D$57:$AL$57,MATCH(G$7&amp;"",'Inputs (2)'!$D$2:$AL$2,0)),"")</f>
        <v/>
      </c>
      <c r="H21" s="270" t="str">
        <f>IF(COUNT(D21:G21)=4,SUM(D21:G21),"")</f>
        <v/>
      </c>
      <c r="I21" s="269">
        <f>IFERROR(INDEX('Inputs (2)'!$D$57:$AL$57,MATCH(I$7&amp;"",'Inputs (2)'!$D$2:$AL$2,0)),"")</f>
        <v>1435</v>
      </c>
      <c r="J21" s="269">
        <f>IFERROR(INDEX('Inputs (2)'!$D$57:$AL$57,MATCH(J$7&amp;"",'Inputs (2)'!$D$2:$AL$2,0)),"")</f>
        <v>1809</v>
      </c>
      <c r="K21" s="269">
        <f>IFERROR(INDEX('Inputs (2)'!$D$57:$AL$57,MATCH(K$7&amp;"",'Inputs (2)'!$D$2:$AL$2,0)),"")</f>
        <v>2042</v>
      </c>
      <c r="L21" s="269">
        <f>IFERROR(INDEX('Inputs (2)'!$D$57:$AL$57,MATCH(L$7&amp;"",'Inputs (2)'!$D$2:$AL$2,0)),"")</f>
        <v>2237</v>
      </c>
      <c r="M21" s="270">
        <f>IF(COUNT(I21:L21)=4,SUM(I21:L21),"")</f>
        <v>7523</v>
      </c>
      <c r="N21" s="269">
        <f>IFERROR(INDEX('Inputs (2)'!$D$57:$AL$57,MATCH(N$7&amp;"",'Inputs (2)'!$D$2:$AL$2,0)),"")</f>
        <v>2404</v>
      </c>
      <c r="O21" s="269">
        <f>IFERROR(INDEX('Inputs (2)'!$D$57:$AL$57,MATCH(O$7&amp;"",'Inputs (2)'!$D$2:$AL$2,0)),"")</f>
        <v>1978</v>
      </c>
      <c r="P21" s="269">
        <f>IFERROR(INDEX('Inputs (2)'!$D$57:$AL$57,MATCH(P$7&amp;"",'Inputs (2)'!$D$2:$AL$2,0)),"")</f>
        <v>1798</v>
      </c>
      <c r="Q21" s="269">
        <f>IFERROR(INDEX('Inputs (2)'!$D$57:$AL$57,MATCH(Q$7&amp;"",'Inputs (2)'!$D$2:$AL$2,0)),"")</f>
        <v>2246</v>
      </c>
      <c r="R21" s="270">
        <f>IF(COUNT(N21:Q21)=4,SUM(N21:Q21),"")</f>
        <v>8426</v>
      </c>
      <c r="S21" s="269">
        <f>IFERROR(INDEX('Inputs (2)'!$D$57:$AL$57,MATCH(S$7&amp;"",'Inputs (2)'!$D$2:$AL$2,0)),"")</f>
        <v>1368</v>
      </c>
      <c r="T21" s="269">
        <f>IFERROR(INDEX('Inputs (2)'!$D$57:$AL$57,MATCH(T$7&amp;"",'Inputs (2)'!$D$2:$AL$2,0)),"")</f>
        <v>2237</v>
      </c>
      <c r="U21" s="269">
        <f>IFERROR(INDEX('Inputs (2)'!$D$57:$AL$57,MATCH(U$7&amp;"",'Inputs (2)'!$D$2:$AL$2,0)),"")</f>
        <v>2095</v>
      </c>
      <c r="V21" s="269">
        <f>IFERROR(INDEX('Inputs (2)'!$D$57:$AL$57,MATCH(V$7&amp;"",'Inputs (2)'!$D$2:$AL$2,0)),"")</f>
        <v>2737</v>
      </c>
      <c r="W21" s="270">
        <f>IF(COUNT(S21:V21)=4,SUM(S21:V21),"")</f>
        <v>8437</v>
      </c>
      <c r="X21" s="269">
        <f>IFERROR(INDEX('Inputs (2)'!$D$57:$AL$57,MATCH(X$7&amp;"",'Inputs (2)'!$D$2:$AL$2,0)),"")</f>
        <v>2825</v>
      </c>
      <c r="Y21" s="269">
        <f>IFERROR(INDEX('Inputs (2)'!$D$57:$AL$57,MATCH(Y$7&amp;"",'Inputs (2)'!$D$2:$AL$2,0)),"")</f>
        <v>2268</v>
      </c>
      <c r="Z21" s="269">
        <f>IFERROR(INDEX('Inputs (2)'!$D$57:$AL$57,MATCH(Z$7&amp;"",'Inputs (2)'!$D$2:$AL$2,0)),"")</f>
        <v>2982</v>
      </c>
      <c r="AA21" s="269">
        <f>IFERROR(INDEX('Inputs (2)'!$D$57:$AL$57,MATCH(AA$7&amp;"",'Inputs (2)'!$D$2:$AL$2,0)),"")</f>
        <v>2243</v>
      </c>
      <c r="AB21" s="270">
        <f>IF(COUNT(X21:AA21)=4,SUM(X21:AA21),"")</f>
        <v>10318</v>
      </c>
      <c r="AC21" s="269">
        <f>IFERROR(INDEX('Inputs (2)'!$D$57:$AL$57,MATCH(AC$7&amp;"",'Inputs (2)'!$D$2:$AL$2,0)),"")</f>
        <v>1570</v>
      </c>
      <c r="AD21" s="269">
        <f>IFERROR(INDEX('Inputs (2)'!$D$57:$AL$57,MATCH(AD$7&amp;"",'Inputs (2)'!$D$2:$AL$2,0)),"")</f>
        <v>3417</v>
      </c>
      <c r="AE21" s="269">
        <f>IFERROR(INDEX('Inputs (2)'!$D$57:$AL$57,MATCH(AE$7&amp;"",'Inputs (2)'!$D$2:$AL$2,0)),"")</f>
        <v>2675</v>
      </c>
      <c r="AF21" s="269">
        <f>IFERROR(INDEX('Inputs (2)'!$D$57:$AL$57,MATCH(AF$7&amp;"",'Inputs (2)'!$D$2:$AL$2,0)),"")</f>
        <v>960</v>
      </c>
      <c r="AG21" s="270">
        <f>IF(COUNT(AC21:AF21)=4,SUM(AC21:AF21),"")</f>
        <v>8622</v>
      </c>
      <c r="AH21" s="270">
        <f>IFERROR(INDEX('Inputs (2)'!$D$57:$AL$57,MATCH(AH$7&amp;"",'Inputs (2)'!$D$2:$AL$2,0)),"")</f>
        <v>1072</v>
      </c>
      <c r="AI21" s="270">
        <f>IFERROR(INDEX('Inputs (2)'!$D$57:$AL$57,MATCH(AI$7&amp;"",'Inputs (2)'!$D$2:$AL$2,0)),"")</f>
        <v>1483</v>
      </c>
    </row>
    <row r="22">
      <c r="C22" s="268" t="inlineStr">
        <is>
          <t xml:space="preserve">   Rod &amp; Refining</t>
        </is>
      </c>
      <c r="D22" s="269" t="str">
        <f>IFERROR(INDEX('Inputs (2)'!$D$59:$AL$59,MATCH(D$7&amp;"",'Inputs (2)'!$D$2:$AL$2,0)),"")</f>
        <v/>
      </c>
      <c r="E22" s="269" t="str">
        <f>IFERROR(INDEX('Inputs (2)'!$D$59:$AL$59,MATCH(E$7&amp;"",'Inputs (2)'!$D$2:$AL$2,0)),"")</f>
        <v/>
      </c>
      <c r="F22" s="269" t="str">
        <f>IFERROR(INDEX('Inputs (2)'!$D$59:$AL$59,MATCH(F$7&amp;"",'Inputs (2)'!$D$2:$AL$2,0)),"")</f>
        <v/>
      </c>
      <c r="G22" s="269" t="str">
        <f>IFERROR(INDEX('Inputs (2)'!$D$59:$AL$59,MATCH(G$7&amp;"",'Inputs (2)'!$D$2:$AL$2,0)),"")</f>
        <v/>
      </c>
      <c r="H22" s="270" t="str">
        <f>IF(COUNT(D22:G22)=4,SUM(D22:G22),"")</f>
        <v/>
      </c>
      <c r="I22" s="269">
        <f>IFERROR(INDEX('Inputs (2)'!$D$59:$AL$59,MATCH(I$7&amp;"",'Inputs (2)'!$D$2:$AL$2,0)),"")</f>
        <v>1316</v>
      </c>
      <c r="J22" s="269">
        <f>IFERROR(INDEX('Inputs (2)'!$D$59:$AL$59,MATCH(J$7&amp;"",'Inputs (2)'!$D$2:$AL$2,0)),"")</f>
        <v>1695</v>
      </c>
      <c r="K22" s="269">
        <f>IFERROR(INDEX('Inputs (2)'!$D$59:$AL$59,MATCH(K$7&amp;"",'Inputs (2)'!$D$2:$AL$2,0)),"")</f>
        <v>1704</v>
      </c>
      <c r="L22" s="269">
        <f>IFERROR(INDEX('Inputs (2)'!$D$59:$AL$59,MATCH(L$7&amp;"",'Inputs (2)'!$D$2:$AL$2,0)),"")</f>
        <v>1670</v>
      </c>
      <c r="M22" s="270">
        <f>IF(COUNT(I22:L22)=4,SUM(I22:L22),"")</f>
        <v>6385</v>
      </c>
      <c r="N22" s="269">
        <f>IFERROR(INDEX('Inputs (2)'!$D$59:$AL$59,MATCH(N$7&amp;"",'Inputs (2)'!$D$2:$AL$2,0)),"")</f>
        <v>1752</v>
      </c>
      <c r="O22" s="269">
        <f>IFERROR(INDEX('Inputs (2)'!$D$59:$AL$59,MATCH(O$7&amp;"",'Inputs (2)'!$D$2:$AL$2,0)),"")</f>
        <v>1761</v>
      </c>
      <c r="P22" s="269">
        <f>IFERROR(INDEX('Inputs (2)'!$D$59:$AL$59,MATCH(P$7&amp;"",'Inputs (2)'!$D$2:$AL$2,0)),"")</f>
        <v>1443</v>
      </c>
      <c r="Q22" s="269">
        <f>IFERROR(INDEX('Inputs (2)'!$D$59:$AL$59,MATCH(Q$7&amp;"",'Inputs (2)'!$D$2:$AL$2,0)),"")</f>
        <v>1356</v>
      </c>
      <c r="R22" s="270">
        <f>IF(COUNT(N22:Q22)=4,SUM(N22:Q22),"")</f>
        <v>6312</v>
      </c>
      <c r="S22" s="269">
        <f>IFERROR(INDEX('Inputs (2)'!$D$59:$AL$59,MATCH(S$7&amp;"",'Inputs (2)'!$D$2:$AL$2,0)),"")</f>
        <v>1529</v>
      </c>
      <c r="T22" s="269">
        <f>IFERROR(INDEX('Inputs (2)'!$D$59:$AL$59,MATCH(T$7&amp;"",'Inputs (2)'!$D$2:$AL$2,0)),"")</f>
        <v>1473</v>
      </c>
      <c r="U22" s="269">
        <f>IFERROR(INDEX('Inputs (2)'!$D$59:$AL$59,MATCH(U$7&amp;"",'Inputs (2)'!$D$2:$AL$2,0)),"")</f>
        <v>1578</v>
      </c>
      <c r="V22" s="269">
        <f>IFERROR(INDEX('Inputs (2)'!$D$59:$AL$59,MATCH(V$7&amp;"",'Inputs (2)'!$D$2:$AL$2,0)),"")</f>
        <v>1346</v>
      </c>
      <c r="W22" s="270">
        <f>IF(COUNT(S22:V22)=4,SUM(S22:V22),"")</f>
        <v>5926</v>
      </c>
      <c r="X22" s="269">
        <f>IFERROR(INDEX('Inputs (2)'!$D$59:$AL$59,MATCH(X$7&amp;"",'Inputs (2)'!$D$2:$AL$2,0)),"")</f>
        <v>1499</v>
      </c>
      <c r="Y22" s="269">
        <f>IFERROR(INDEX('Inputs (2)'!$D$59:$AL$59,MATCH(Y$7&amp;"",'Inputs (2)'!$D$2:$AL$2,0)),"")</f>
        <v>1704</v>
      </c>
      <c r="Z22" s="269">
        <f>IFERROR(INDEX('Inputs (2)'!$D$59:$AL$59,MATCH(Z$7&amp;"",'Inputs (2)'!$D$2:$AL$2,0)),"")</f>
        <v>1571</v>
      </c>
      <c r="AA22" s="269">
        <f>IFERROR(INDEX('Inputs (2)'!$D$59:$AL$59,MATCH(AA$7&amp;"",'Inputs (2)'!$D$2:$AL$2,0)),"")</f>
        <v>1465</v>
      </c>
      <c r="AB22" s="270">
        <f>IF(COUNT(X22:AA22)=4,SUM(X22:AA22),"")</f>
        <v>6239</v>
      </c>
      <c r="AC22" s="269">
        <f>IFERROR(INDEX('Inputs (2)'!$D$59:$AL$59,MATCH(AC$7&amp;"",'Inputs (2)'!$D$2:$AL$2,0)),"")</f>
        <v>1632</v>
      </c>
      <c r="AD22" s="269">
        <f>IFERROR(INDEX('Inputs (2)'!$D$59:$AL$59,MATCH(AD$7&amp;"",'Inputs (2)'!$D$2:$AL$2,0)),"")</f>
        <v>1701</v>
      </c>
      <c r="AE22" s="269">
        <f>IFERROR(INDEX('Inputs (2)'!$D$59:$AL$59,MATCH(AE$7&amp;"",'Inputs (2)'!$D$2:$AL$2,0)),"")</f>
        <v>1786</v>
      </c>
      <c r="AF22" s="269">
        <f>IFERROR(INDEX('Inputs (2)'!$D$59:$AL$59,MATCH(AF$7&amp;"",'Inputs (2)'!$D$2:$AL$2,0)),"")</f>
        <v>1800</v>
      </c>
      <c r="AG22" s="270">
        <f>IF(COUNT(AC22:AF22)=4,SUM(AC22:AF22),"")</f>
        <v>6919</v>
      </c>
      <c r="AH22" s="270">
        <f>IFERROR(INDEX('Inputs (2)'!$D$59:$AL$59,MATCH(AH$7&amp;"",'Inputs (2)'!$D$2:$AL$2,0)),"")</f>
        <v>2062</v>
      </c>
      <c r="AI22" s="270">
        <f>IFERROR(INDEX('Inputs (2)'!$D$59:$AL$59,MATCH(AI$7&amp;"",'Inputs (2)'!$D$2:$AL$2,0)),"")</f>
        <v>2239</v>
      </c>
    </row>
    <row r="23">
      <c r="C23" s="268" t="inlineStr">
        <is>
          <t xml:space="preserve">   Atlantic Copper</t>
        </is>
      </c>
      <c r="D23" s="269" t="str">
        <f>IFERROR(INDEX('Inputs (2)'!$D$61:$AL$61,MATCH(D$7&amp;"",'Inputs (2)'!$D$2:$AL$2,0)),"")</f>
        <v/>
      </c>
      <c r="E23" s="269" t="str">
        <f>IFERROR(INDEX('Inputs (2)'!$D$61:$AL$61,MATCH(E$7&amp;"",'Inputs (2)'!$D$2:$AL$2,0)),"")</f>
        <v/>
      </c>
      <c r="F23" s="269" t="str">
        <f>IFERROR(INDEX('Inputs (2)'!$D$61:$AL$61,MATCH(F$7&amp;"",'Inputs (2)'!$D$2:$AL$2,0)),"")</f>
        <v/>
      </c>
      <c r="G23" s="269" t="str">
        <f>IFERROR(INDEX('Inputs (2)'!$D$61:$AL$61,MATCH(G$7&amp;"",'Inputs (2)'!$D$2:$AL$2,0)),"")</f>
        <v/>
      </c>
      <c r="H23" s="270" t="str">
        <f>IF(COUNT(D23:G23)=4,SUM(D23:G23),"")</f>
        <v/>
      </c>
      <c r="I23" s="269">
        <f>IFERROR(INDEX('Inputs (2)'!$D$61:$AL$61,MATCH(I$7&amp;"",'Inputs (2)'!$D$2:$AL$2,0)),"")</f>
        <v>687</v>
      </c>
      <c r="J23" s="269">
        <f>IFERROR(INDEX('Inputs (2)'!$D$61:$AL$61,MATCH(J$7&amp;"",'Inputs (2)'!$D$2:$AL$2,0)),"")</f>
        <v>794</v>
      </c>
      <c r="K23" s="269">
        <f>IFERROR(INDEX('Inputs (2)'!$D$61:$AL$61,MATCH(K$7&amp;"",'Inputs (2)'!$D$2:$AL$2,0)),"")</f>
        <v>783</v>
      </c>
      <c r="L23" s="269">
        <f>IFERROR(INDEX('Inputs (2)'!$D$61:$AL$61,MATCH(L$7&amp;"",'Inputs (2)'!$D$2:$AL$2,0)),"")</f>
        <v>697</v>
      </c>
      <c r="M23" s="270">
        <f>IF(COUNT(I23:L23)=4,SUM(I23:L23),"")</f>
        <v>2961</v>
      </c>
      <c r="N23" s="269">
        <f>IFERROR(INDEX('Inputs (2)'!$D$61:$AL$61,MATCH(N$7&amp;"",'Inputs (2)'!$D$2:$AL$2,0)),"")</f>
        <v>718</v>
      </c>
      <c r="O23" s="269">
        <f>IFERROR(INDEX('Inputs (2)'!$D$61:$AL$61,MATCH(O$7&amp;"",'Inputs (2)'!$D$2:$AL$2,0)),"")</f>
        <v>433</v>
      </c>
      <c r="P23" s="269">
        <f>IFERROR(INDEX('Inputs (2)'!$D$61:$AL$61,MATCH(P$7&amp;"",'Inputs (2)'!$D$2:$AL$2,0)),"")</f>
        <v>609</v>
      </c>
      <c r="Q23" s="269">
        <f>IFERROR(INDEX('Inputs (2)'!$D$61:$AL$61,MATCH(Q$7&amp;"",'Inputs (2)'!$D$2:$AL$2,0)),"")</f>
        <v>683</v>
      </c>
      <c r="R23" s="270">
        <f>IF(COUNT(N23:Q23)=4,SUM(N23:Q23),"")</f>
        <v>2443</v>
      </c>
      <c r="S23" s="269">
        <f>IFERROR(INDEX('Inputs (2)'!$D$61:$AL$61,MATCH(S$7&amp;"",'Inputs (2)'!$D$2:$AL$2,0)),"")</f>
        <v>756</v>
      </c>
      <c r="T23" s="269">
        <f>IFERROR(INDEX('Inputs (2)'!$D$61:$AL$61,MATCH(T$7&amp;"",'Inputs (2)'!$D$2:$AL$2,0)),"")</f>
        <v>748</v>
      </c>
      <c r="U23" s="269">
        <f>IFERROR(INDEX('Inputs (2)'!$D$61:$AL$61,MATCH(U$7&amp;"",'Inputs (2)'!$D$2:$AL$2,0)),"")</f>
        <v>700</v>
      </c>
      <c r="V23" s="269">
        <f>IFERROR(INDEX('Inputs (2)'!$D$61:$AL$61,MATCH(V$7&amp;"",'Inputs (2)'!$D$2:$AL$2,0)),"")</f>
        <v>606</v>
      </c>
      <c r="W23" s="270">
        <f>IF(COUNT(S23:V23)=4,SUM(S23:V23),"")</f>
        <v>2810</v>
      </c>
      <c r="X23" s="269">
        <f>IFERROR(INDEX('Inputs (2)'!$D$61:$AL$61,MATCH(X$7&amp;"",'Inputs (2)'!$D$2:$AL$2,0)),"")</f>
        <v>673</v>
      </c>
      <c r="Y23" s="269">
        <f>IFERROR(INDEX('Inputs (2)'!$D$61:$AL$61,MATCH(Y$7&amp;"",'Inputs (2)'!$D$2:$AL$2,0)),"")</f>
        <v>900</v>
      </c>
      <c r="Z23" s="269">
        <f>IFERROR(INDEX('Inputs (2)'!$D$61:$AL$61,MATCH(Z$7&amp;"",'Inputs (2)'!$D$2:$AL$2,0)),"")</f>
        <v>765</v>
      </c>
      <c r="AA23" s="269">
        <f>IFERROR(INDEX('Inputs (2)'!$D$61:$AL$61,MATCH(AA$7&amp;"",'Inputs (2)'!$D$2:$AL$2,0)),"")</f>
        <v>679</v>
      </c>
      <c r="AB23" s="270">
        <f>IF(COUNT(X23:AA23)=4,SUM(X23:AA23),"")</f>
        <v>3017</v>
      </c>
      <c r="AC23" s="269">
        <f>IFERROR(INDEX('Inputs (2)'!$D$61:$AL$61,MATCH(AC$7&amp;"",'Inputs (2)'!$D$2:$AL$2,0)),"")</f>
        <v>755</v>
      </c>
      <c r="AD23" s="269">
        <f>IFERROR(INDEX('Inputs (2)'!$D$61:$AL$61,MATCH(AD$7&amp;"",'Inputs (2)'!$D$2:$AL$2,0)),"")</f>
        <v>818</v>
      </c>
      <c r="AE23" s="269">
        <f>IFERROR(INDEX('Inputs (2)'!$D$61:$AL$61,MATCH(AE$7&amp;"",'Inputs (2)'!$D$2:$AL$2,0)),"")</f>
        <v>774</v>
      </c>
      <c r="AF23" s="269">
        <f>IFERROR(INDEX('Inputs (2)'!$D$61:$AL$61,MATCH(AF$7&amp;"",'Inputs (2)'!$D$2:$AL$2,0)),"")</f>
        <v>834</v>
      </c>
      <c r="AG23" s="270">
        <f>IF(COUNT(AC23:AF23)=4,SUM(AC23:AF23),"")</f>
        <v>3181</v>
      </c>
      <c r="AH23" s="270">
        <f>IFERROR(INDEX('Inputs (2)'!$D$61:$AL$61,MATCH(AH$7&amp;"",'Inputs (2)'!$D$2:$AL$2,0)),"")</f>
        <v>969</v>
      </c>
      <c r="AI23" s="270">
        <f>IFERROR(INDEX('Inputs (2)'!$D$61:$AL$61,MATCH(AI$7&amp;"",'Inputs (2)'!$D$2:$AL$2,0)),"")</f>
        <v>1030</v>
      </c>
    </row>
    <row r="24">
      <c r="C24" s="271" t="inlineStr">
        <is>
          <t>Receita (soma dos segmentos)</t>
        </is>
      </c>
      <c r="D24" s="269" t="str">
        <f>IF(COUNT(D19,D20,D21,D22,D23)=0,"",N(D19)+N(D20)+N(D21)+N(D22)+N(D23))</f>
        <v/>
      </c>
      <c r="E24" s="269" t="str">
        <f>IF(COUNT(E19,E20,E21,E22,E23)=0,"",N(E19)+N(E20)+N(E21)+N(E22)+N(E23))</f>
        <v/>
      </c>
      <c r="F24" s="269" t="str">
        <f>IF(COUNT(F19,F20,F21,F22,F23)=0,"",N(F19)+N(F20)+N(F21)+N(F22)+N(F23))</f>
        <v/>
      </c>
      <c r="G24" s="269" t="str">
        <f>IF(COUNT(G19,G20,G21,G22,G23)=0,"",N(G19)+N(G20)+N(G21)+N(G22)+N(G23))</f>
        <v/>
      </c>
      <c r="H24" s="270" t="str">
        <f>IF(COUNT(H19,H20,H21,H22,H23)=0,"",N(H19)+N(H20)+N(H21)+N(H22)+N(H23))</f>
        <v/>
      </c>
      <c r="I24" s="269">
        <f>IF(COUNT(I19,I20,I21,I22,I23)=0,"",N(I19)+N(I20)+N(I21)+N(I22)+N(I23))</f>
        <v>4968</v>
      </c>
      <c r="J24" s="269">
        <f>IF(COUNT(J19,J20,J21,J22,J23)=0,"",N(J19)+N(J20)+N(J21)+N(J22)+N(J23))</f>
        <v>6021</v>
      </c>
      <c r="K24" s="269">
        <f>IF(COUNT(K19,K20,K21,K22,K23)=0,"",N(K19)+N(K20)+N(K21)+N(K22)+N(K23))</f>
        <v>6330</v>
      </c>
      <c r="L24" s="269">
        <f>IF(COUNT(L19,L20,L21,L22,L23)=0,"",N(L19)+N(L20)+N(L21)+N(L22)+N(L23))</f>
        <v>6556</v>
      </c>
      <c r="M24" s="270">
        <f>IF(COUNT(M19,M20,M21,M22,M23)=0,"",N(M19)+N(M20)+N(M21)+N(M22)+N(M23))</f>
        <v>23875</v>
      </c>
      <c r="N24" s="269">
        <f>IF(COUNT(N19,N20,N21,N22,N23)=0,"",N(N19)+N(N20)+N(N21)+N(N22)+N(N23))</f>
        <v>6889</v>
      </c>
      <c r="O24" s="269">
        <f>IF(COUNT(O19,O20,O21,O22,O23)=0,"",N(O19)+N(O20)+N(O21)+N(O22)+N(O23))</f>
        <v>5755</v>
      </c>
      <c r="P24" s="269">
        <f>IF(COUNT(P19,P20,P21,P22,P23)=0,"",N(P19)+N(P20)+N(P21)+N(P22)+N(P23))</f>
        <v>5168</v>
      </c>
      <c r="Q24" s="269">
        <f>IF(COUNT(Q19,Q20,Q21,Q22,Q23)=0,"",N(Q19)+N(Q20)+N(Q21)+N(Q22)+N(Q23))</f>
        <v>6008</v>
      </c>
      <c r="R24" s="270">
        <f>IF(COUNT(R19,R20,R21,R22,R23)=0,"",N(R19)+N(R20)+N(R21)+N(R22)+N(R23))</f>
        <v>23820</v>
      </c>
      <c r="S24" s="269">
        <f>IF(COUNT(S19,S20,S21,S22,S23)=0,"",N(S19)+N(S20)+N(S21)+N(S22)+N(S23))</f>
        <v>5480</v>
      </c>
      <c r="T24" s="269">
        <f>IF(COUNT(T19,T20,T21,T22,T23)=0,"",N(T19)+N(T20)+N(T21)+N(T22)+N(T23))</f>
        <v>6012</v>
      </c>
      <c r="U24" s="269">
        <f>IF(COUNT(U19,U20,U21,U22,U23)=0,"",N(U19)+N(U20)+N(U21)+N(U22)+N(U23))</f>
        <v>6055</v>
      </c>
      <c r="V24" s="269">
        <f>IF(COUNT(V19,V20,V21,V22,V23)=0,"",N(V19)+N(V20)+N(V21)+N(V22)+N(V23))</f>
        <v>6162</v>
      </c>
      <c r="W24" s="270">
        <f>IF(COUNT(W19,W20,W21,W22,W23)=0,"",N(W19)+N(W20)+N(W21)+N(W22)+N(W23))</f>
        <v>23709</v>
      </c>
      <c r="X24" s="269">
        <f>IF(COUNT(X19,X20,X21,X22,X23)=0,"",N(X19)+N(X20)+N(X21)+N(X22)+N(X23))</f>
        <v>6502</v>
      </c>
      <c r="Y24" s="269">
        <f>IF(COUNT(Y19,Y20,Y21,Y22,Y23)=0,"",N(Y19)+N(Y20)+N(Y21)+N(Y22)+N(Y23))</f>
        <v>6729</v>
      </c>
      <c r="Z24" s="269">
        <f>IF(COUNT(Z19,Z20,Z21,Z22,Z23)=0,"",N(Z19)+N(Z20)+N(Z21)+N(Z22)+N(Z23))</f>
        <v>6990</v>
      </c>
      <c r="AA24" s="269">
        <f>IF(COUNT(AA19,AA20,AA21,AA22,AA23)=0,"",N(AA19)+N(AA20)+N(AA21)+N(AA22)+N(AA23))</f>
        <v>5956</v>
      </c>
      <c r="AB24" s="270">
        <f>IF(COUNT(AB19,AB20,AB21,AB22,AB23)=0,"",N(AB19)+N(AB20)+N(AB21)+N(AB22)+N(AB23))</f>
        <v>26177</v>
      </c>
      <c r="AC24" s="269">
        <f>IF(COUNT(AC19,AC20,AC21,AC22,AC23)=0,"",N(AC19)+N(AC20)+N(AC21)+N(AC22)+N(AC23))</f>
        <v>5625</v>
      </c>
      <c r="AD24" s="269">
        <f>IF(COUNT(AD19,AD20,AD21,AD22,AD23)=0,"",N(AD19)+N(AD20)+N(AD21)+N(AD22)+N(AD23))</f>
        <v>7587</v>
      </c>
      <c r="AE24" s="269">
        <f>IF(COUNT(AE19,AE20,AE21,AE22,AE23)=0,"",N(AE19)+N(AE20)+N(AE21)+N(AE22)+N(AE23))</f>
        <v>7139</v>
      </c>
      <c r="AF24" s="269">
        <f>IF(COUNT(AF19,AF20,AF21,AF22,AF23)=0,"",N(AF19)+N(AF20)+N(AF21)+N(AF22)+N(AF23))</f>
        <v>5725</v>
      </c>
      <c r="AG24" s="270">
        <f>IF(COUNT(AG19,AG20,AG21,AG22,AG23)=0,"",N(AG19)+N(AG20)+N(AG21)+N(AG22)+N(AG23))</f>
        <v>26076</v>
      </c>
      <c r="AH24" s="270">
        <f>IF(COUNT(AH19,AH20,AH21,AH22,AH23)=0,"",N(AH19)+N(AH20)+N(AH21)+N(AH22)+N(AH23))</f>
        <v>6260</v>
      </c>
      <c r="AI24" s="270">
        <f>IF(COUNT(AI19,AI20,AI21,AI22,AI23)=0,"",N(AI19)+N(AI20)+N(AI21)+N(AI22)+N(AI23))</f>
        <v>6995</v>
      </c>
    </row>
    <row r="25">
      <c r="C25" s="268" t="inlineStr">
        <is>
          <t>Receita não alocada aos segmentos (linha 15 - soma)</t>
        </is>
      </c>
      <c r="D25" s="269" t="str">
        <f>IF(COUNT(D24)=0,"",ROUND(D15-D24,1))</f>
        <v/>
      </c>
      <c r="E25" s="269" t="str">
        <f>IF(COUNT(E24)=0,"",ROUND(E15-E24,1))</f>
        <v/>
      </c>
      <c r="F25" s="269" t="str">
        <f>IF(COUNT(F24)=0,"",ROUND(F15-F24,1))</f>
        <v/>
      </c>
      <c r="G25" s="269" t="str">
        <f>IF(COUNT(G24)=0,"",ROUND(G15-G24,1))</f>
        <v/>
      </c>
      <c r="H25" s="270" t="str">
        <f>IF(COUNT(H24)=0,"",ROUND(H15-H24,1))</f>
        <v/>
      </c>
      <c r="I25" s="269">
        <f>IF(COUNT(I24)=0,"",ROUND(I15-I24,1))</f>
        <v>-118</v>
      </c>
      <c r="J25" s="269">
        <f>IF(COUNT(J24)=0,"",ROUND(J15-J24,1))</f>
        <v>-273</v>
      </c>
      <c r="K25" s="269">
        <f>IF(COUNT(K24)=0,"",ROUND(K15-K24,1))</f>
        <v>-247</v>
      </c>
      <c r="L25" s="269">
        <f>IF(COUNT(L24)=0,"",ROUND(L15-L24,1))</f>
        <v>-392</v>
      </c>
      <c r="M25" s="270">
        <f>IF(COUNT(M24)=0,"",ROUND(M15-M24,1))</f>
        <v>-1030</v>
      </c>
      <c r="N25" s="269">
        <f>IF(COUNT(N24)=0,"",ROUND(N15-N24,1))</f>
        <v>-286</v>
      </c>
      <c r="O25" s="269">
        <f>IF(COUNT(O24)=0,"",ROUND(O15-O24,1))</f>
        <v>-339</v>
      </c>
      <c r="P25" s="269">
        <f>IF(COUNT(P24)=0,"",ROUND(P15-P24,1))</f>
        <v>-165</v>
      </c>
      <c r="Q25" s="269">
        <f>IF(COUNT(Q24)=0,"",ROUND(Q15-Q24,1))</f>
        <v>-250</v>
      </c>
      <c r="R25" s="270">
        <f>IF(COUNT(R24)=0,"",ROUND(R15-R24,1))</f>
        <v>-1040</v>
      </c>
      <c r="S25" s="269">
        <f>IF(COUNT(S24)=0,"",ROUND(S15-S24,1))</f>
        <v>-91</v>
      </c>
      <c r="T25" s="269">
        <f>IF(COUNT(T24)=0,"",ROUND(T15-T24,1))</f>
        <v>-275</v>
      </c>
      <c r="U25" s="269">
        <f>IF(COUNT(U24)=0,"",ROUND(U15-U24,1))</f>
        <v>-231</v>
      </c>
      <c r="V25" s="269">
        <f>IF(COUNT(V24)=0,"",ROUND(V15-V24,1))</f>
        <v>-257</v>
      </c>
      <c r="W25" s="270">
        <f>IF(COUNT(W24)=0,"",ROUND(W15-W24,1))</f>
        <v>-854</v>
      </c>
      <c r="X25" s="269">
        <f>IF(COUNT(X24)=0,"",ROUND(X15-X24,1))</f>
        <v>-181</v>
      </c>
      <c r="Y25" s="269">
        <f>IF(COUNT(Y24)=0,"",ROUND(Y15-Y24,1))</f>
        <v>-105</v>
      </c>
      <c r="Z25" s="269">
        <f>IF(COUNT(Z24)=0,"",ROUND(Z15-Z24,1))</f>
        <v>-200</v>
      </c>
      <c r="AA25" s="269">
        <f>IF(COUNT(AA24)=0,"",ROUND(AA15-AA24,1))</f>
        <v>-236</v>
      </c>
      <c r="AB25" s="270">
        <f>IF(COUNT(AB24)=0,"",ROUND(AB15-AB24,1))</f>
        <v>-722</v>
      </c>
      <c r="AC25" s="269">
        <f>IF(COUNT(AC24)=0,"",ROUND(AC15-AC24,1))</f>
        <v>103</v>
      </c>
      <c r="AD25" s="269">
        <f>IF(COUNT(AD24)=0,"",ROUND(AD15-AD24,1))</f>
        <v>-5</v>
      </c>
      <c r="AE25" s="269">
        <f>IF(COUNT(AE24)=0,"",ROUND(AE15-AE24,1))</f>
        <v>-167</v>
      </c>
      <c r="AF25" s="269">
        <f>IF(COUNT(AF24)=0,"",ROUND(AF15-AF24,1))</f>
        <v>-92</v>
      </c>
      <c r="AG25" s="270">
        <f>IF(COUNT(AG24)=0,"",ROUND(AG15-AG24,1))</f>
        <v>-161</v>
      </c>
      <c r="AH25" s="270">
        <f>IF(COUNT(AH24)=0,"",ROUND(AH15-AH24,1))</f>
        <v>-26</v>
      </c>
      <c r="AI25" s="270">
        <f>IF(COUNT(AI24)=0,"",ROUND(AI15-AI24,1))</f>
        <v>34</v>
      </c>
    </row>
    <row r="26">
      <c r="C26" s="268" t="inlineStr">
        <is>
          <t xml:space="preserve">   % YoY Morenci</t>
        </is>
      </c>
      <c r="D26" s="272" t="str">
        <f>""</f>
        <v/>
      </c>
      <c r="E26" s="272" t="str">
        <f>""</f>
        <v/>
      </c>
      <c r="F26" s="272" t="str">
        <f>""</f>
        <v/>
      </c>
      <c r="G26" s="272" t="str">
        <f>""</f>
        <v/>
      </c>
      <c r="H26" s="273" t="str">
        <f>""</f>
        <v/>
      </c>
      <c r="I26" s="272" t="str">
        <f>IFERROR(I19/D19-1,"")</f>
        <v/>
      </c>
      <c r="J26" s="272" t="str">
        <f>IFERROR(J19/E19-1,"")</f>
        <v/>
      </c>
      <c r="K26" s="272" t="str">
        <f>IFERROR(K19/F19-1,"")</f>
        <v/>
      </c>
      <c r="L26" s="272" t="str">
        <f>IFERROR(L19/G19-1,"")</f>
        <v/>
      </c>
      <c r="M26" s="273" t="str">
        <f>IFERROR(M19/H19-1,"")</f>
        <v/>
      </c>
      <c r="N26" s="272">
        <f>IFERROR(N19/I19-1,"")</f>
        <v>0.410211267605634</v>
      </c>
      <c r="O26" s="272">
        <f>IFERROR(O19/J19-1,"")</f>
        <v>-0.0398457583547558</v>
      </c>
      <c r="P26" s="272">
        <f>IFERROR(P19/K19-1,"")</f>
        <v>-0.217331499312242</v>
      </c>
      <c r="Q26" s="272">
        <f>IFERROR(Q19/L19-1,"")</f>
        <v>-0.223880597014925</v>
      </c>
      <c r="R26" s="273">
        <f>IFERROR(R19/M19-1,"")</f>
        <v>-0.0430604982206406</v>
      </c>
      <c r="S26" s="272">
        <f>IFERROR(S19/N19-1,"")</f>
        <v>-0.219725343320849</v>
      </c>
      <c r="T26" s="272">
        <f>IFERROR(T19/O19-1,"")</f>
        <v>-0.202141900937082</v>
      </c>
      <c r="U26" s="272">
        <f>IFERROR(U19/P19-1,"")</f>
        <v>0.126537785588752</v>
      </c>
      <c r="V26" s="272">
        <f>IFERROR(V19/Q19-1,"")</f>
        <v>-0.0262237762237763</v>
      </c>
      <c r="W26" s="273">
        <f>IFERROR(W19/R19-1,"")</f>
        <v>-0.100409074005206</v>
      </c>
      <c r="X26" s="272">
        <f>IFERROR(X19/S19-1,"")</f>
        <v>-0.0768</v>
      </c>
      <c r="Y26" s="272">
        <f>IFERROR(Y19/T19-1,"")</f>
        <v>0.00671140939597326</v>
      </c>
      <c r="Z26" s="272">
        <f>IFERROR(Z19/U19-1,"")</f>
        <v>-0.0748829953198128</v>
      </c>
      <c r="AA26" s="272">
        <f>IFERROR(AA19/V19-1,"")</f>
        <v>0.0359066427289048</v>
      </c>
      <c r="AB26" s="273">
        <f>IFERROR(AB19/W19-1,"")</f>
        <v>-0.0297643654402646</v>
      </c>
      <c r="AC26" s="272">
        <f>IFERROR(AC19/X19-1,"")</f>
        <v>0</v>
      </c>
      <c r="AD26" s="272">
        <f>IFERROR(AD19/Y19-1,"")</f>
        <v>0.0366666666666666</v>
      </c>
      <c r="AE26" s="272">
        <f>IFERROR(AE19/Z19-1,"")</f>
        <v>0.178752107925801</v>
      </c>
      <c r="AF26" s="272">
        <f>IFERROR(AF19/AA19-1,"")</f>
        <v>0.299826689774697</v>
      </c>
      <c r="AG26" s="273">
        <f>IFERROR(AG19/AB19-1,"")</f>
        <v>0.128248828291436</v>
      </c>
      <c r="AH26" s="273">
        <f>IFERROR(AH19/AC19-1,"")</f>
        <v>0.344887348353553</v>
      </c>
      <c r="AI26" s="273">
        <f>IFERROR(AI19/AD19-1,"")</f>
        <v>0.215434083601286</v>
      </c>
    </row>
    <row r="27">
      <c r="C27" s="268" t="inlineStr">
        <is>
          <t xml:space="preserve">   % YoY Cerro Verde</t>
        </is>
      </c>
      <c r="D27" s="272" t="str">
        <f>""</f>
        <v/>
      </c>
      <c r="E27" s="272" t="str">
        <f>""</f>
        <v/>
      </c>
      <c r="F27" s="272" t="str">
        <f>""</f>
        <v/>
      </c>
      <c r="G27" s="272" t="str">
        <f>""</f>
        <v/>
      </c>
      <c r="H27" s="273" t="str">
        <f>""</f>
        <v/>
      </c>
      <c r="I27" s="272" t="str">
        <f>IFERROR(I20/D20-1,"")</f>
        <v/>
      </c>
      <c r="J27" s="272" t="str">
        <f>IFERROR(J20/E20-1,"")</f>
        <v/>
      </c>
      <c r="K27" s="272" t="str">
        <f>IFERROR(K20/F20-1,"")</f>
        <v/>
      </c>
      <c r="L27" s="272" t="str">
        <f>IFERROR(L20/G20-1,"")</f>
        <v/>
      </c>
      <c r="M27" s="273" t="str">
        <f>IFERROR(M20/H20-1,"")</f>
        <v/>
      </c>
      <c r="N27" s="272">
        <f>IFERROR(N20/I20-1,"")</f>
        <v>0.261954261954262</v>
      </c>
      <c r="O27" s="272">
        <f>IFERROR(O20/J20-1,"")</f>
        <v>-0.115343915343915</v>
      </c>
      <c r="P27" s="272">
        <f>IFERROR(P20/K20-1,"")</f>
        <v>-0.302607076350093</v>
      </c>
      <c r="Q27" s="272">
        <f>IFERROR(Q20/L20-1,"")</f>
        <v>-0.0526748971193416</v>
      </c>
      <c r="R27" s="273">
        <f>IFERROR(R20/M20-1,"")</f>
        <v>-0.0586272640610105</v>
      </c>
      <c r="S27" s="272">
        <f>IFERROR(S20/N20-1,"")</f>
        <v>-0.00988467874794075</v>
      </c>
      <c r="T27" s="272">
        <f>IFERROR(T20/O20-1,"")</f>
        <v>0.145933014354067</v>
      </c>
      <c r="U27" s="272">
        <f>IFERROR(U20/P20-1,"")</f>
        <v>0.389853137516689</v>
      </c>
      <c r="V27" s="272">
        <f>IFERROR(V20/Q20-1,"")</f>
        <v>-0.204170286707211</v>
      </c>
      <c r="W27" s="273">
        <f>IFERROR(W20/R20-1,"")</f>
        <v>0.0422784810126582</v>
      </c>
      <c r="X27" s="272">
        <f>IFERROR(X20/S20-1,"")</f>
        <v>-0.227953410981697</v>
      </c>
      <c r="Y27" s="272">
        <f>IFERROR(Y20/T20-1,"")</f>
        <v>0.312108559498956</v>
      </c>
      <c r="Z27" s="272">
        <f>IFERROR(Z20/U20-1,"")</f>
        <v>0.0365033621517772</v>
      </c>
      <c r="AA27" s="272">
        <f>IFERROR(AA20/V20-1,"")</f>
        <v>0.0829694323144106</v>
      </c>
      <c r="AB27" s="273">
        <f>IFERROR(AB20/W20-1,"")</f>
        <v>0.0337624483847461</v>
      </c>
      <c r="AC27" s="272">
        <f>IFERROR(AC20/X20-1,"")</f>
        <v>0.175646551724138</v>
      </c>
      <c r="AD27" s="272">
        <f>IFERROR(AD20/Y20-1,"")</f>
        <v>-0.181384248210024</v>
      </c>
      <c r="AE27" s="272">
        <f>IFERROR(AE20/Z20-1,"")</f>
        <v>0.116774791473587</v>
      </c>
      <c r="AF27" s="272">
        <f>IFERROR(AF20/AA20-1,"")</f>
        <v>0.392137096774194</v>
      </c>
      <c r="AG27" s="273">
        <f>IFERROR(AG20/AB20-1,"")</f>
        <v>0.105733082706767</v>
      </c>
      <c r="AH27" s="273">
        <f>IFERROR(AH20/AC20-1,"")</f>
        <v>0.265811182401467</v>
      </c>
      <c r="AI27" s="273">
        <f>IFERROR(AI20/AD20-1,"")</f>
        <v>0.445092322643343</v>
      </c>
    </row>
    <row r="28">
      <c r="C28" s="268" t="inlineStr">
        <is>
          <t xml:space="preserve">   % YoY Grasberg (Indonésia)</t>
        </is>
      </c>
      <c r="D28" s="272" t="str">
        <f>""</f>
        <v/>
      </c>
      <c r="E28" s="272" t="str">
        <f>""</f>
        <v/>
      </c>
      <c r="F28" s="272" t="str">
        <f>""</f>
        <v/>
      </c>
      <c r="G28" s="272" t="str">
        <f>""</f>
        <v/>
      </c>
      <c r="H28" s="273" t="str">
        <f>""</f>
        <v/>
      </c>
      <c r="I28" s="272" t="str">
        <f>IFERROR(I21/D21-1,"")</f>
        <v/>
      </c>
      <c r="J28" s="272" t="str">
        <f>IFERROR(J21/E21-1,"")</f>
        <v/>
      </c>
      <c r="K28" s="272" t="str">
        <f>IFERROR(K21/F21-1,"")</f>
        <v/>
      </c>
      <c r="L28" s="272" t="str">
        <f>IFERROR(L21/G21-1,"")</f>
        <v/>
      </c>
      <c r="M28" s="273" t="str">
        <f>IFERROR(M21/H21-1,"")</f>
        <v/>
      </c>
      <c r="N28" s="272">
        <f>IFERROR(N21/I21-1,"")</f>
        <v>0.675261324041812</v>
      </c>
      <c r="O28" s="272">
        <f>IFERROR(O21/J21-1,"")</f>
        <v>0.0934217799889441</v>
      </c>
      <c r="P28" s="272">
        <f>IFERROR(P21/K21-1,"")</f>
        <v>-0.11949069539667</v>
      </c>
      <c r="Q28" s="272">
        <f>IFERROR(Q21/L21-1,"")</f>
        <v>0.0040232454179705</v>
      </c>
      <c r="R28" s="273">
        <f>IFERROR(R21/M21-1,"")</f>
        <v>0.120031902166689</v>
      </c>
      <c r="S28" s="272">
        <f>IFERROR(S21/N21-1,"")</f>
        <v>-0.430948419301165</v>
      </c>
      <c r="T28" s="272">
        <f>IFERROR(T21/O21-1,"")</f>
        <v>0.130940343781597</v>
      </c>
      <c r="U28" s="272">
        <f>IFERROR(U21/P21-1,"")</f>
        <v>0.165183537263626</v>
      </c>
      <c r="V28" s="272">
        <f>IFERROR(V21/Q21-1,"")</f>
        <v>0.218610863757792</v>
      </c>
      <c r="W28" s="273">
        <f>IFERROR(W21/R21-1,"")</f>
        <v>0.00130548302872069</v>
      </c>
      <c r="X28" s="272">
        <f>IFERROR(X21/S21-1,"")</f>
        <v>1.06505847953216</v>
      </c>
      <c r="Y28" s="272">
        <f>IFERROR(Y21/T21-1,"")</f>
        <v>0.0138578453285649</v>
      </c>
      <c r="Z28" s="272">
        <f>IFERROR(Z21/U21-1,"")</f>
        <v>0.423389021479714</v>
      </c>
      <c r="AA28" s="272">
        <f>IFERROR(AA21/V21-1,"")</f>
        <v>-0.180489587139204</v>
      </c>
      <c r="AB28" s="273">
        <f>IFERROR(AB21/W21-1,"")</f>
        <v>0.222946544980443</v>
      </c>
      <c r="AC28" s="272">
        <f>IFERROR(AC21/X21-1,"")</f>
        <v>-0.444247787610619</v>
      </c>
      <c r="AD28" s="272">
        <f>IFERROR(AD21/Y21-1,"")</f>
        <v>0.506613756613757</v>
      </c>
      <c r="AE28" s="272">
        <f>IFERROR(AE21/Z21-1,"")</f>
        <v>-0.102951039570758</v>
      </c>
      <c r="AF28" s="272">
        <f>IFERROR(AF21/AA21-1,"")</f>
        <v>-0.572001783325903</v>
      </c>
      <c r="AG28" s="273">
        <f>IFERROR(AG21/AB21-1,"")</f>
        <v>-0.164372940492344</v>
      </c>
      <c r="AH28" s="273">
        <f>IFERROR(AH21/AC21-1,"")</f>
        <v>-0.317197452229299</v>
      </c>
      <c r="AI28" s="273">
        <f>IFERROR(AI21/AD21-1,"")</f>
        <v>-0.565993561603746</v>
      </c>
    </row>
    <row r="29"/>
    <row r="30">
      <c r="C30" s="267" t="inlineStr">
        <is>
          <t>Segmentos - lucro e margem (USD milhões)</t>
        </is>
      </c>
      <c r="D30" s="267">
        <f>D7</f>
        <v>0</v>
      </c>
      <c r="E30" s="267">
        <f>E7</f>
        <v>0</v>
      </c>
      <c r="F30" s="267">
        <f>F7</f>
        <v>0</v>
      </c>
      <c r="G30" s="267">
        <f>G7</f>
        <v>0</v>
      </c>
      <c r="H30" s="267">
        <f>H7</f>
        <v>2020</v>
      </c>
      <c r="I30" s="267" t="str">
        <f>I7</f>
        <v>1Q21</v>
      </c>
      <c r="J30" s="267" t="str">
        <f>J7</f>
        <v>2Q21</v>
      </c>
      <c r="K30" s="267" t="str">
        <f>K7</f>
        <v>3Q21</v>
      </c>
      <c r="L30" s="267" t="str">
        <f>L7</f>
        <v>4Q21</v>
      </c>
      <c r="M30" s="267">
        <f>M7</f>
        <v>2021</v>
      </c>
      <c r="N30" s="267" t="str">
        <f>N7</f>
        <v>1Q22</v>
      </c>
      <c r="O30" s="267" t="str">
        <f>O7</f>
        <v>2Q22</v>
      </c>
      <c r="P30" s="267" t="str">
        <f>P7</f>
        <v>3Q22</v>
      </c>
      <c r="Q30" s="267" t="str">
        <f>Q7</f>
        <v>4Q22</v>
      </c>
      <c r="R30" s="267">
        <f>R7</f>
        <v>2022</v>
      </c>
      <c r="S30" s="267" t="str">
        <f>S7</f>
        <v>1Q23</v>
      </c>
      <c r="T30" s="267" t="str">
        <f>T7</f>
        <v>2Q23</v>
      </c>
      <c r="U30" s="267" t="str">
        <f>U7</f>
        <v>3Q23</v>
      </c>
      <c r="V30" s="267" t="str">
        <f>V7</f>
        <v>4Q23</v>
      </c>
      <c r="W30" s="267">
        <f>W7</f>
        <v>2023</v>
      </c>
      <c r="X30" s="267" t="str">
        <f>X7</f>
        <v>1Q24</v>
      </c>
      <c r="Y30" s="267" t="str">
        <f>Y7</f>
        <v>2Q24</v>
      </c>
      <c r="Z30" s="267" t="str">
        <f>Z7</f>
        <v>3Q24</v>
      </c>
      <c r="AA30" s="267" t="str">
        <f>AA7</f>
        <v>4Q24</v>
      </c>
      <c r="AB30" s="267">
        <f>AB7</f>
        <v>2024</v>
      </c>
      <c r="AC30" s="267" t="str">
        <f>AC7</f>
        <v>1Q25</v>
      </c>
      <c r="AD30" s="267" t="str">
        <f>AD7</f>
        <v>2Q25</v>
      </c>
      <c r="AE30" s="267" t="str">
        <f>AE7</f>
        <v>3Q25</v>
      </c>
      <c r="AF30" s="267" t="str">
        <f>AF7</f>
        <v>4Q25</v>
      </c>
      <c r="AG30" s="267">
        <f>AG7</f>
        <v>2025</v>
      </c>
      <c r="AH30" s="267" t="str">
        <f>AH7</f>
        <v>1Q26</v>
      </c>
      <c r="AI30" s="267" t="str">
        <f>AI7</f>
        <v>2Q26</v>
      </c>
    </row>
    <row r="31">
      <c r="C31" s="268" t="inlineStr">
        <is>
          <t xml:space="preserve">   Morenci</t>
        </is>
      </c>
      <c r="D31" s="269" t="str">
        <f>IFERROR(INDEX('Inputs (2)'!$D$54:$AL$54,MATCH(D$7&amp;"",'Inputs (2)'!$D$2:$AL$2,0)),"")</f>
        <v/>
      </c>
      <c r="E31" s="269" t="str">
        <f>IFERROR(INDEX('Inputs (2)'!$D$54:$AL$54,MATCH(E$7&amp;"",'Inputs (2)'!$D$2:$AL$2,0)),"")</f>
        <v/>
      </c>
      <c r="F31" s="269" t="str">
        <f>IFERROR(INDEX('Inputs (2)'!$D$54:$AL$54,MATCH(F$7&amp;"",'Inputs (2)'!$D$2:$AL$2,0)),"")</f>
        <v/>
      </c>
      <c r="G31" s="269" t="str">
        <f>IFERROR(INDEX('Inputs (2)'!$D$54:$AL$54,MATCH(G$7&amp;"",'Inputs (2)'!$D$2:$AL$2,0)),"")</f>
        <v/>
      </c>
      <c r="H31" s="270" t="str">
        <f>IF(COUNT(D31:G31)=4,SUM(D31:G31),"")</f>
        <v/>
      </c>
      <c r="I31" s="269">
        <f>IFERROR(INDEX('Inputs (2)'!$D$54:$AL$54,MATCH(I$7&amp;"",'Inputs (2)'!$D$2:$AL$2,0)),"")</f>
        <v>265</v>
      </c>
      <c r="J31" s="269">
        <f>IFERROR(INDEX('Inputs (2)'!$D$54:$AL$54,MATCH(J$7&amp;"",'Inputs (2)'!$D$2:$AL$2,0)),"")</f>
        <v>385</v>
      </c>
      <c r="K31" s="269">
        <f>IFERROR(INDEX('Inputs (2)'!$D$54:$AL$54,MATCH(K$7&amp;"",'Inputs (2)'!$D$2:$AL$2,0)),"")</f>
        <v>363</v>
      </c>
      <c r="L31" s="269">
        <f>IFERROR(INDEX('Inputs (2)'!$D$54:$AL$54,MATCH(L$7&amp;"",'Inputs (2)'!$D$2:$AL$2,0)),"")</f>
        <v>404</v>
      </c>
      <c r="M31" s="270">
        <f>IF(COUNT(I31:L31)=4,SUM(I31:L31),"")</f>
        <v>1417</v>
      </c>
      <c r="N31" s="269">
        <f>IFERROR(INDEX('Inputs (2)'!$D$54:$AL$54,MATCH(N$7&amp;"",'Inputs (2)'!$D$2:$AL$2,0)),"")</f>
        <v>394</v>
      </c>
      <c r="O31" s="269">
        <f>IFERROR(INDEX('Inputs (2)'!$D$54:$AL$54,MATCH(O$7&amp;"",'Inputs (2)'!$D$2:$AL$2,0)),"")</f>
        <v>318</v>
      </c>
      <c r="P31" s="269">
        <f>IFERROR(INDEX('Inputs (2)'!$D$54:$AL$54,MATCH(P$7&amp;"",'Inputs (2)'!$D$2:$AL$2,0)),"")</f>
        <v>115</v>
      </c>
      <c r="Q31" s="269">
        <f>IFERROR(INDEX('Inputs (2)'!$D$54:$AL$54,MATCH(Q$7&amp;"",'Inputs (2)'!$D$2:$AL$2,0)),"")</f>
        <v>138</v>
      </c>
      <c r="R31" s="270">
        <f>IF(COUNT(N31:Q31)=4,SUM(N31:Q31),"")</f>
        <v>965</v>
      </c>
      <c r="S31" s="269">
        <f>IFERROR(INDEX('Inputs (2)'!$D$54:$AL$54,MATCH(S$7&amp;"",'Inputs (2)'!$D$2:$AL$2,0)),"")</f>
        <v>198</v>
      </c>
      <c r="T31" s="269">
        <f>IFERROR(INDEX('Inputs (2)'!$D$54:$AL$54,MATCH(T$7&amp;"",'Inputs (2)'!$D$2:$AL$2,0)),"")</f>
        <v>127</v>
      </c>
      <c r="U31" s="269">
        <f>IFERROR(INDEX('Inputs (2)'!$D$54:$AL$54,MATCH(U$7&amp;"",'Inputs (2)'!$D$2:$AL$2,0)),"")</f>
        <v>112</v>
      </c>
      <c r="V31" s="269">
        <f>IFERROR(INDEX('Inputs (2)'!$D$54:$AL$54,MATCH(V$7&amp;"",'Inputs (2)'!$D$2:$AL$2,0)),"")</f>
        <v>68</v>
      </c>
      <c r="W31" s="270">
        <f>IF(COUNT(S31:V31)=4,SUM(S31:V31),"")</f>
        <v>505</v>
      </c>
      <c r="X31" s="269">
        <f>IFERROR(INDEX('Inputs (2)'!$D$54:$AL$54,MATCH(X$7&amp;"",'Inputs (2)'!$D$2:$AL$2,0)),"")</f>
        <v>66</v>
      </c>
      <c r="Y31" s="269">
        <f>IFERROR(INDEX('Inputs (2)'!$D$54:$AL$54,MATCH(Y$7&amp;"",'Inputs (2)'!$D$2:$AL$2,0)),"")</f>
        <v>111</v>
      </c>
      <c r="Z31" s="269">
        <f>IFERROR(INDEX('Inputs (2)'!$D$54:$AL$54,MATCH(Z$7&amp;"",'Inputs (2)'!$D$2:$AL$2,0)),"")</f>
        <v>50</v>
      </c>
      <c r="AA31" s="269">
        <f>IFERROR(INDEX('Inputs (2)'!$D$54:$AL$54,MATCH(AA$7&amp;"",'Inputs (2)'!$D$2:$AL$2,0)),"")</f>
        <v>88</v>
      </c>
      <c r="AB31" s="270">
        <f>IF(COUNT(X31:AA31)=4,SUM(X31:AA31),"")</f>
        <v>315</v>
      </c>
      <c r="AC31" s="269">
        <f>IFERROR(INDEX('Inputs (2)'!$D$54:$AL$54,MATCH(AC$7&amp;"",'Inputs (2)'!$D$2:$AL$2,0)),"")</f>
        <v>109</v>
      </c>
      <c r="AD31" s="269">
        <f>IFERROR(INDEX('Inputs (2)'!$D$54:$AL$54,MATCH(AD$7&amp;"",'Inputs (2)'!$D$2:$AL$2,0)),"")</f>
        <v>132</v>
      </c>
      <c r="AE31" s="269">
        <f>IFERROR(INDEX('Inputs (2)'!$D$54:$AL$54,MATCH(AE$7&amp;"",'Inputs (2)'!$D$2:$AL$2,0)),"")</f>
        <v>134</v>
      </c>
      <c r="AF31" s="269">
        <f>IFERROR(INDEX('Inputs (2)'!$D$54:$AL$54,MATCH(AF$7&amp;"",'Inputs (2)'!$D$2:$AL$2,0)),"")</f>
        <v>232</v>
      </c>
      <c r="AG31" s="270">
        <f>IF(COUNT(AC31:AF31)=4,SUM(AC31:AF31),"")</f>
        <v>607</v>
      </c>
      <c r="AH31" s="270">
        <f>IFERROR(INDEX('Inputs (2)'!$D$54:$AL$54,MATCH(AH$7&amp;"",'Inputs (2)'!$D$2:$AL$2,0)),"")</f>
        <v>262</v>
      </c>
      <c r="AI31" s="270">
        <f>IFERROR(INDEX('Inputs (2)'!$D$54:$AL$54,MATCH(AI$7&amp;"",'Inputs (2)'!$D$2:$AL$2,0)),"")</f>
        <v>265</v>
      </c>
    </row>
    <row r="32">
      <c r="C32" s="268" t="inlineStr">
        <is>
          <t xml:space="preserve">   Cerro Verde</t>
        </is>
      </c>
      <c r="D32" s="269" t="str">
        <f>IFERROR(INDEX('Inputs (2)'!$D$56:$AL$56,MATCH(D$7&amp;"",'Inputs (2)'!$D$2:$AL$2,0)),"")</f>
        <v/>
      </c>
      <c r="E32" s="269" t="str">
        <f>IFERROR(INDEX('Inputs (2)'!$D$56:$AL$56,MATCH(E$7&amp;"",'Inputs (2)'!$D$2:$AL$2,0)),"")</f>
        <v/>
      </c>
      <c r="F32" s="269" t="str">
        <f>IFERROR(INDEX('Inputs (2)'!$D$56:$AL$56,MATCH(F$7&amp;"",'Inputs (2)'!$D$2:$AL$2,0)),"")</f>
        <v/>
      </c>
      <c r="G32" s="269" t="str">
        <f>IFERROR(INDEX('Inputs (2)'!$D$56:$AL$56,MATCH(G$7&amp;"",'Inputs (2)'!$D$2:$AL$2,0)),"")</f>
        <v/>
      </c>
      <c r="H32" s="270" t="str">
        <f>IF(COUNT(D32:G32)=4,SUM(D32:G32),"")</f>
        <v/>
      </c>
      <c r="I32" s="269">
        <f>IFERROR(INDEX('Inputs (2)'!$D$56:$AL$56,MATCH(I$7&amp;"",'Inputs (2)'!$D$2:$AL$2,0)),"")</f>
        <v>435</v>
      </c>
      <c r="J32" s="269">
        <f>IFERROR(INDEX('Inputs (2)'!$D$56:$AL$56,MATCH(J$7&amp;"",'Inputs (2)'!$D$2:$AL$2,0)),"")</f>
        <v>367</v>
      </c>
      <c r="K32" s="269">
        <f>IFERROR(INDEX('Inputs (2)'!$D$56:$AL$56,MATCH(K$7&amp;"",'Inputs (2)'!$D$2:$AL$2,0)),"")</f>
        <v>438</v>
      </c>
      <c r="L32" s="269">
        <f>IFERROR(INDEX('Inputs (2)'!$D$56:$AL$56,MATCH(L$7&amp;"",'Inputs (2)'!$D$2:$AL$2,0)),"")</f>
        <v>582</v>
      </c>
      <c r="M32" s="270">
        <f>IF(COUNT(I32:L32)=4,SUM(I32:L32),"")</f>
        <v>1822</v>
      </c>
      <c r="N32" s="269">
        <f>IFERROR(INDEX('Inputs (2)'!$D$56:$AL$56,MATCH(N$7&amp;"",'Inputs (2)'!$D$2:$AL$2,0)),"")</f>
        <v>567</v>
      </c>
      <c r="O32" s="269">
        <f>IFERROR(INDEX('Inputs (2)'!$D$56:$AL$56,MATCH(O$7&amp;"",'Inputs (2)'!$D$2:$AL$2,0)),"")</f>
        <v>169</v>
      </c>
      <c r="P32" s="269">
        <f>IFERROR(INDEX('Inputs (2)'!$D$56:$AL$56,MATCH(P$7&amp;"",'Inputs (2)'!$D$2:$AL$2,0)),"")</f>
        <v>82</v>
      </c>
      <c r="Q32" s="269">
        <f>IFERROR(INDEX('Inputs (2)'!$D$56:$AL$56,MATCH(Q$7&amp;"",'Inputs (2)'!$D$2:$AL$2,0)),"")</f>
        <v>398</v>
      </c>
      <c r="R32" s="270">
        <f>IF(COUNT(N32:Q32)=4,SUM(N32:Q32),"")</f>
        <v>1216</v>
      </c>
      <c r="S32" s="269">
        <f>IFERROR(INDEX('Inputs (2)'!$D$56:$AL$56,MATCH(S$7&amp;"",'Inputs (2)'!$D$2:$AL$2,0)),"")</f>
        <v>488</v>
      </c>
      <c r="T32" s="269">
        <f>IFERROR(INDEX('Inputs (2)'!$D$56:$AL$56,MATCH(T$7&amp;"",'Inputs (2)'!$D$2:$AL$2,0)),"")</f>
        <v>227</v>
      </c>
      <c r="U32" s="269">
        <f>IFERROR(INDEX('Inputs (2)'!$D$56:$AL$56,MATCH(U$7&amp;"",'Inputs (2)'!$D$2:$AL$2,0)),"")</f>
        <v>293</v>
      </c>
      <c r="V32" s="269">
        <f>IFERROR(INDEX('Inputs (2)'!$D$56:$AL$56,MATCH(V$7&amp;"",'Inputs (2)'!$D$2:$AL$2,0)),"")</f>
        <v>170</v>
      </c>
      <c r="W32" s="270">
        <f>IF(COUNT(S32:V32)=4,SUM(S32:V32),"")</f>
        <v>1178</v>
      </c>
      <c r="X32" s="269">
        <f>IFERROR(INDEX('Inputs (2)'!$D$56:$AL$56,MATCH(X$7&amp;"",'Inputs (2)'!$D$2:$AL$2,0)),"")</f>
        <v>228</v>
      </c>
      <c r="Y32" s="269">
        <f>IFERROR(INDEX('Inputs (2)'!$D$56:$AL$56,MATCH(Y$7&amp;"",'Inputs (2)'!$D$2:$AL$2,0)),"")</f>
        <v>476</v>
      </c>
      <c r="Z32" s="269">
        <f>IFERROR(INDEX('Inputs (2)'!$D$56:$AL$56,MATCH(Z$7&amp;"",'Inputs (2)'!$D$2:$AL$2,0)),"")</f>
        <v>352</v>
      </c>
      <c r="AA32" s="269">
        <f>IFERROR(INDEX('Inputs (2)'!$D$56:$AL$56,MATCH(AA$7&amp;"",'Inputs (2)'!$D$2:$AL$2,0)),"")</f>
        <v>271</v>
      </c>
      <c r="AB32" s="270">
        <f>IF(COUNT(X32:AA32)=4,SUM(X32:AA32),"")</f>
        <v>1327</v>
      </c>
      <c r="AC32" s="269">
        <f>IFERROR(INDEX('Inputs (2)'!$D$56:$AL$56,MATCH(AC$7&amp;"",'Inputs (2)'!$D$2:$AL$2,0)),"")</f>
        <v>409</v>
      </c>
      <c r="AD32" s="269">
        <f>IFERROR(INDEX('Inputs (2)'!$D$56:$AL$56,MATCH(AD$7&amp;"",'Inputs (2)'!$D$2:$AL$2,0)),"")</f>
        <v>340</v>
      </c>
      <c r="AE32" s="269">
        <f>IFERROR(INDEX('Inputs (2)'!$D$56:$AL$56,MATCH(AE$7&amp;"",'Inputs (2)'!$D$2:$AL$2,0)),"")</f>
        <v>467</v>
      </c>
      <c r="AF32" s="269">
        <f>IFERROR(INDEX('Inputs (2)'!$D$56:$AL$56,MATCH(AF$7&amp;"",'Inputs (2)'!$D$2:$AL$2,0)),"")</f>
        <v>602</v>
      </c>
      <c r="AG32" s="270">
        <f>IF(COUNT(AC32:AF32)=4,SUM(AC32:AF32),"")</f>
        <v>1818</v>
      </c>
      <c r="AH32" s="270">
        <f>IFERROR(INDEX('Inputs (2)'!$D$56:$AL$56,MATCH(AH$7&amp;"",'Inputs (2)'!$D$2:$AL$2,0)),"")</f>
        <v>638</v>
      </c>
      <c r="AI32" s="270">
        <f>IFERROR(INDEX('Inputs (2)'!$D$56:$AL$56,MATCH(AI$7&amp;"",'Inputs (2)'!$D$2:$AL$2,0)),"")</f>
        <v>736</v>
      </c>
    </row>
    <row r="33">
      <c r="C33" s="268" t="inlineStr">
        <is>
          <t xml:space="preserve">   Grasberg (Indonésia)</t>
        </is>
      </c>
      <c r="D33" s="269" t="str">
        <f>IFERROR(INDEX('Inputs (2)'!$D$58:$AL$58,MATCH(D$7&amp;"",'Inputs (2)'!$D$2:$AL$2,0)),"")</f>
        <v/>
      </c>
      <c r="E33" s="269" t="str">
        <f>IFERROR(INDEX('Inputs (2)'!$D$58:$AL$58,MATCH(E$7&amp;"",'Inputs (2)'!$D$2:$AL$2,0)),"")</f>
        <v/>
      </c>
      <c r="F33" s="269" t="str">
        <f>IFERROR(INDEX('Inputs (2)'!$D$58:$AL$58,MATCH(F$7&amp;"",'Inputs (2)'!$D$2:$AL$2,0)),"")</f>
        <v/>
      </c>
      <c r="G33" s="269" t="str">
        <f>IFERROR(INDEX('Inputs (2)'!$D$58:$AL$58,MATCH(G$7&amp;"",'Inputs (2)'!$D$2:$AL$2,0)),"")</f>
        <v/>
      </c>
      <c r="H33" s="270" t="str">
        <f>IF(COUNT(D33:G33)=4,SUM(D33:G33),"")</f>
        <v/>
      </c>
      <c r="I33" s="269">
        <f>IFERROR(INDEX('Inputs (2)'!$D$58:$AL$58,MATCH(I$7&amp;"",'Inputs (2)'!$D$2:$AL$2,0)),"")</f>
        <v>755</v>
      </c>
      <c r="J33" s="269">
        <f>IFERROR(INDEX('Inputs (2)'!$D$58:$AL$58,MATCH(J$7&amp;"",'Inputs (2)'!$D$2:$AL$2,0)),"")</f>
        <v>1007</v>
      </c>
      <c r="K33" s="269">
        <f>IFERROR(INDEX('Inputs (2)'!$D$58:$AL$58,MATCH(K$7&amp;"",'Inputs (2)'!$D$2:$AL$2,0)),"")</f>
        <v>1165</v>
      </c>
      <c r="L33" s="269">
        <f>IFERROR(INDEX('Inputs (2)'!$D$58:$AL$58,MATCH(L$7&amp;"",'Inputs (2)'!$D$2:$AL$2,0)),"")</f>
        <v>1011</v>
      </c>
      <c r="M33" s="270">
        <f>IF(COUNT(I33:L33)=4,SUM(I33:L33),"")</f>
        <v>3938</v>
      </c>
      <c r="N33" s="269">
        <f>IFERROR(INDEX('Inputs (2)'!$D$58:$AL$58,MATCH(N$7&amp;"",'Inputs (2)'!$D$2:$AL$2,0)),"")</f>
        <v>1503</v>
      </c>
      <c r="O33" s="269">
        <f>IFERROR(INDEX('Inputs (2)'!$D$58:$AL$58,MATCH(O$7&amp;"",'Inputs (2)'!$D$2:$AL$2,0)),"")</f>
        <v>1122</v>
      </c>
      <c r="P33" s="269">
        <f>IFERROR(INDEX('Inputs (2)'!$D$58:$AL$58,MATCH(P$7&amp;"",'Inputs (2)'!$D$2:$AL$2,0)),"")</f>
        <v>844</v>
      </c>
      <c r="Q33" s="269">
        <f>IFERROR(INDEX('Inputs (2)'!$D$58:$AL$58,MATCH(Q$7&amp;"",'Inputs (2)'!$D$2:$AL$2,0)),"")</f>
        <v>1131</v>
      </c>
      <c r="R33" s="270">
        <f>IF(COUNT(N33:Q33)=4,SUM(N33:Q33),"")</f>
        <v>4600</v>
      </c>
      <c r="S33" s="269">
        <f>IFERROR(INDEX('Inputs (2)'!$D$58:$AL$58,MATCH(S$7&amp;"",'Inputs (2)'!$D$2:$AL$2,0)),"")</f>
        <v>854</v>
      </c>
      <c r="T33" s="269">
        <f>IFERROR(INDEX('Inputs (2)'!$D$58:$AL$58,MATCH(T$7&amp;"",'Inputs (2)'!$D$2:$AL$2,0)),"")</f>
        <v>1071</v>
      </c>
      <c r="U33" s="269">
        <f>IFERROR(INDEX('Inputs (2)'!$D$58:$AL$58,MATCH(U$7&amp;"",'Inputs (2)'!$D$2:$AL$2,0)),"")</f>
        <v>1120</v>
      </c>
      <c r="V33" s="269">
        <f>IFERROR(INDEX('Inputs (2)'!$D$58:$AL$58,MATCH(V$7&amp;"",'Inputs (2)'!$D$2:$AL$2,0)),"")</f>
        <v>1672</v>
      </c>
      <c r="W33" s="270">
        <f>IF(COUNT(S33:V33)=4,SUM(S33:V33),"")</f>
        <v>4717</v>
      </c>
      <c r="X33" s="269">
        <f>IFERROR(INDEX('Inputs (2)'!$D$58:$AL$58,MATCH(X$7&amp;"",'Inputs (2)'!$D$2:$AL$2,0)),"")</f>
        <v>1596</v>
      </c>
      <c r="Y33" s="269">
        <f>IFERROR(INDEX('Inputs (2)'!$D$58:$AL$58,MATCH(Y$7&amp;"",'Inputs (2)'!$D$2:$AL$2,0)),"")</f>
        <v>1314</v>
      </c>
      <c r="Z33" s="269">
        <f>IFERROR(INDEX('Inputs (2)'!$D$58:$AL$58,MATCH(Z$7&amp;"",'Inputs (2)'!$D$2:$AL$2,0)),"")</f>
        <v>1690</v>
      </c>
      <c r="AA33" s="269">
        <f>IFERROR(INDEX('Inputs (2)'!$D$58:$AL$58,MATCH(AA$7&amp;"",'Inputs (2)'!$D$2:$AL$2,0)),"")</f>
        <v>1022</v>
      </c>
      <c r="AB33" s="270">
        <f>IF(COUNT(X33:AA33)=4,SUM(X33:AA33),"")</f>
        <v>5622</v>
      </c>
      <c r="AC33" s="269">
        <f>IFERROR(INDEX('Inputs (2)'!$D$58:$AL$58,MATCH(AC$7&amp;"",'Inputs (2)'!$D$2:$AL$2,0)),"")</f>
        <v>777</v>
      </c>
      <c r="AD33" s="269">
        <f>IFERROR(INDEX('Inputs (2)'!$D$58:$AL$58,MATCH(AD$7&amp;"",'Inputs (2)'!$D$2:$AL$2,0)),"")</f>
        <v>1868</v>
      </c>
      <c r="AE33" s="269">
        <f>IFERROR(INDEX('Inputs (2)'!$D$58:$AL$58,MATCH(AE$7&amp;"",'Inputs (2)'!$D$2:$AL$2,0)),"")</f>
        <v>1282</v>
      </c>
      <c r="AF33" s="269">
        <f>IFERROR(INDEX('Inputs (2)'!$D$58:$AL$58,MATCH(AF$7&amp;"",'Inputs (2)'!$D$2:$AL$2,0)),"")</f>
        <v>-87</v>
      </c>
      <c r="AG33" s="270">
        <f>IF(COUNT(AC33:AF33)=4,SUM(AC33:AF33),"")</f>
        <v>3840</v>
      </c>
      <c r="AH33" s="270">
        <f>IFERROR(INDEX('Inputs (2)'!$D$58:$AL$58,MATCH(AH$7&amp;"",'Inputs (2)'!$D$2:$AL$2,0)),"")</f>
        <v>842</v>
      </c>
      <c r="AI33" s="270">
        <f>IFERROR(INDEX('Inputs (2)'!$D$58:$AL$58,MATCH(AI$7&amp;"",'Inputs (2)'!$D$2:$AL$2,0)),"")</f>
        <v>499</v>
      </c>
    </row>
    <row r="34">
      <c r="C34" s="268" t="inlineStr">
        <is>
          <t xml:space="preserve">   Rod &amp; Refining</t>
        </is>
      </c>
      <c r="D34" s="269" t="str">
        <f>IFERROR(INDEX('Inputs (2)'!$D$60:$AL$60,MATCH(D$7&amp;"",'Inputs (2)'!$D$2:$AL$2,0)),"")</f>
        <v/>
      </c>
      <c r="E34" s="269" t="str">
        <f>IFERROR(INDEX('Inputs (2)'!$D$60:$AL$60,MATCH(E$7&amp;"",'Inputs (2)'!$D$2:$AL$2,0)),"")</f>
        <v/>
      </c>
      <c r="F34" s="269" t="str">
        <f>IFERROR(INDEX('Inputs (2)'!$D$60:$AL$60,MATCH(F$7&amp;"",'Inputs (2)'!$D$2:$AL$2,0)),"")</f>
        <v/>
      </c>
      <c r="G34" s="269" t="str">
        <f>IFERROR(INDEX('Inputs (2)'!$D$60:$AL$60,MATCH(G$7&amp;"",'Inputs (2)'!$D$2:$AL$2,0)),"")</f>
        <v/>
      </c>
      <c r="H34" s="270" t="str">
        <f>IF(COUNT(D34:G34)=4,SUM(D34:G34),"")</f>
        <v/>
      </c>
      <c r="I34" s="269">
        <f>IFERROR(INDEX('Inputs (2)'!$D$60:$AL$60,MATCH(I$7&amp;"",'Inputs (2)'!$D$2:$AL$2,0)),"")</f>
        <v>-1</v>
      </c>
      <c r="J34" s="269">
        <f>IFERROR(INDEX('Inputs (2)'!$D$60:$AL$60,MATCH(J$7&amp;"",'Inputs (2)'!$D$2:$AL$2,0)),"")</f>
        <v>3</v>
      </c>
      <c r="K34" s="269">
        <f>IFERROR(INDEX('Inputs (2)'!$D$60:$AL$60,MATCH(K$7&amp;"",'Inputs (2)'!$D$2:$AL$2,0)),"")</f>
        <v>2</v>
      </c>
      <c r="L34" s="269">
        <f>IFERROR(INDEX('Inputs (2)'!$D$60:$AL$60,MATCH(L$7&amp;"",'Inputs (2)'!$D$2:$AL$2,0)),"")</f>
        <v>-5</v>
      </c>
      <c r="M34" s="270">
        <f>IF(COUNT(I34:L34)=4,SUM(I34:L34),"")</f>
        <v>-1</v>
      </c>
      <c r="N34" s="269">
        <f>IFERROR(INDEX('Inputs (2)'!$D$60:$AL$60,MATCH(N$7&amp;"",'Inputs (2)'!$D$2:$AL$2,0)),"")</f>
        <v>-3</v>
      </c>
      <c r="O34" s="269">
        <f>IFERROR(INDEX('Inputs (2)'!$D$60:$AL$60,MATCH(O$7&amp;"",'Inputs (2)'!$D$2:$AL$2,0)),"")</f>
        <v>-5</v>
      </c>
      <c r="P34" s="269">
        <f>IFERROR(INDEX('Inputs (2)'!$D$60:$AL$60,MATCH(P$7&amp;"",'Inputs (2)'!$D$2:$AL$2,0)),"")</f>
        <v>-8</v>
      </c>
      <c r="Q34" s="269">
        <f>IFERROR(INDEX('Inputs (2)'!$D$60:$AL$60,MATCH(Q$7&amp;"",'Inputs (2)'!$D$2:$AL$2,0)),"")</f>
        <v>-7</v>
      </c>
      <c r="R34" s="270">
        <f>IF(COUNT(N34:Q34)=4,SUM(N34:Q34),"")</f>
        <v>-23</v>
      </c>
      <c r="S34" s="269">
        <f>IFERROR(INDEX('Inputs (2)'!$D$60:$AL$60,MATCH(S$7&amp;"",'Inputs (2)'!$D$2:$AL$2,0)),"")</f>
        <v>1</v>
      </c>
      <c r="T34" s="269">
        <f>IFERROR(INDEX('Inputs (2)'!$D$60:$AL$60,MATCH(T$7&amp;"",'Inputs (2)'!$D$2:$AL$2,0)),"")</f>
        <v>7</v>
      </c>
      <c r="U34" s="269">
        <f>IFERROR(INDEX('Inputs (2)'!$D$60:$AL$60,MATCH(U$7&amp;"",'Inputs (2)'!$D$2:$AL$2,0)),"")</f>
        <v>10</v>
      </c>
      <c r="V34" s="269">
        <f>IFERROR(INDEX('Inputs (2)'!$D$60:$AL$60,MATCH(V$7&amp;"",'Inputs (2)'!$D$2:$AL$2,0)),"")</f>
        <v>2</v>
      </c>
      <c r="W34" s="270">
        <f>IF(COUNT(S34:V34)=4,SUM(S34:V34),"")</f>
        <v>20</v>
      </c>
      <c r="X34" s="269">
        <f>IFERROR(INDEX('Inputs (2)'!$D$60:$AL$60,MATCH(X$7&amp;"",'Inputs (2)'!$D$2:$AL$2,0)),"")</f>
        <v>11</v>
      </c>
      <c r="Y34" s="269">
        <f>IFERROR(INDEX('Inputs (2)'!$D$60:$AL$60,MATCH(Y$7&amp;"",'Inputs (2)'!$D$2:$AL$2,0)),"")</f>
        <v>11</v>
      </c>
      <c r="Z34" s="269">
        <f>IFERROR(INDEX('Inputs (2)'!$D$60:$AL$60,MATCH(Z$7&amp;"",'Inputs (2)'!$D$2:$AL$2,0)),"")</f>
        <v>7</v>
      </c>
      <c r="AA34" s="269">
        <f>IFERROR(INDEX('Inputs (2)'!$D$60:$AL$60,MATCH(AA$7&amp;"",'Inputs (2)'!$D$2:$AL$2,0)),"")</f>
        <v>0</v>
      </c>
      <c r="AB34" s="270">
        <f>IF(COUNT(X34:AA34)=4,SUM(X34:AA34),"")</f>
        <v>29</v>
      </c>
      <c r="AC34" s="269">
        <f>IFERROR(INDEX('Inputs (2)'!$D$60:$AL$60,MATCH(AC$7&amp;"",'Inputs (2)'!$D$2:$AL$2,0)),"")</f>
        <v>9</v>
      </c>
      <c r="AD34" s="269">
        <f>IFERROR(INDEX('Inputs (2)'!$D$60:$AL$60,MATCH(AD$7&amp;"",'Inputs (2)'!$D$2:$AL$2,0)),"")</f>
        <v>7</v>
      </c>
      <c r="AE34" s="269">
        <f>IFERROR(INDEX('Inputs (2)'!$D$60:$AL$60,MATCH(AE$7&amp;"",'Inputs (2)'!$D$2:$AL$2,0)),"")</f>
        <v>11</v>
      </c>
      <c r="AF34" s="269">
        <f>IFERROR(INDEX('Inputs (2)'!$D$60:$AL$60,MATCH(AF$7&amp;"",'Inputs (2)'!$D$2:$AL$2,0)),"")</f>
        <v>4</v>
      </c>
      <c r="AG34" s="270">
        <f>IF(COUNT(AC34:AF34)=4,SUM(AC34:AF34),"")</f>
        <v>31</v>
      </c>
      <c r="AH34" s="270">
        <f>IFERROR(INDEX('Inputs (2)'!$D$60:$AL$60,MATCH(AH$7&amp;"",'Inputs (2)'!$D$2:$AL$2,0)),"")</f>
        <v>15</v>
      </c>
      <c r="AI34" s="270">
        <f>IFERROR(INDEX('Inputs (2)'!$D$60:$AL$60,MATCH(AI$7&amp;"",'Inputs (2)'!$D$2:$AL$2,0)),"")</f>
        <v>22</v>
      </c>
    </row>
    <row r="35">
      <c r="C35" s="268" t="inlineStr">
        <is>
          <t xml:space="preserve">   Atlantic Copper</t>
        </is>
      </c>
      <c r="D35" s="269" t="str">
        <f>IFERROR(INDEX('Inputs (2)'!$D$62:$AL$62,MATCH(D$7&amp;"",'Inputs (2)'!$D$2:$AL$2,0)),"")</f>
        <v/>
      </c>
      <c r="E35" s="269" t="str">
        <f>IFERROR(INDEX('Inputs (2)'!$D$62:$AL$62,MATCH(E$7&amp;"",'Inputs (2)'!$D$2:$AL$2,0)),"")</f>
        <v/>
      </c>
      <c r="F35" s="269" t="str">
        <f>IFERROR(INDEX('Inputs (2)'!$D$62:$AL$62,MATCH(F$7&amp;"",'Inputs (2)'!$D$2:$AL$2,0)),"")</f>
        <v/>
      </c>
      <c r="G35" s="269" t="str">
        <f>IFERROR(INDEX('Inputs (2)'!$D$62:$AL$62,MATCH(G$7&amp;"",'Inputs (2)'!$D$2:$AL$2,0)),"")</f>
        <v/>
      </c>
      <c r="H35" s="270" t="str">
        <f>IF(COUNT(D35:G35)=4,SUM(D35:G35),"")</f>
        <v/>
      </c>
      <c r="I35" s="269">
        <f>IFERROR(INDEX('Inputs (2)'!$D$62:$AL$62,MATCH(I$7&amp;"",'Inputs (2)'!$D$2:$AL$2,0)),"")</f>
        <v>0</v>
      </c>
      <c r="J35" s="269">
        <f>IFERROR(INDEX('Inputs (2)'!$D$62:$AL$62,MATCH(J$7&amp;"",'Inputs (2)'!$D$2:$AL$2,0)),"")</f>
        <v>6</v>
      </c>
      <c r="K35" s="269">
        <f>IFERROR(INDEX('Inputs (2)'!$D$62:$AL$62,MATCH(K$7&amp;"",'Inputs (2)'!$D$2:$AL$2,0)),"")</f>
        <v>6</v>
      </c>
      <c r="L35" s="269">
        <f>IFERROR(INDEX('Inputs (2)'!$D$62:$AL$62,MATCH(L$7&amp;"",'Inputs (2)'!$D$2:$AL$2,0)),"")</f>
        <v>9</v>
      </c>
      <c r="M35" s="270">
        <f>IF(COUNT(I35:L35)=4,SUM(I35:L35),"")</f>
        <v>21</v>
      </c>
      <c r="N35" s="269">
        <f>IFERROR(INDEX('Inputs (2)'!$D$62:$AL$62,MATCH(N$7&amp;"",'Inputs (2)'!$D$2:$AL$2,0)),"")</f>
        <v>-18</v>
      </c>
      <c r="O35" s="269">
        <f>IFERROR(INDEX('Inputs (2)'!$D$62:$AL$62,MATCH(O$7&amp;"",'Inputs (2)'!$D$2:$AL$2,0)),"")</f>
        <v>-41</v>
      </c>
      <c r="P35" s="269">
        <f>IFERROR(INDEX('Inputs (2)'!$D$62:$AL$62,MATCH(P$7&amp;"",'Inputs (2)'!$D$2:$AL$2,0)),"")</f>
        <v>-9</v>
      </c>
      <c r="Q35" s="269">
        <f>IFERROR(INDEX('Inputs (2)'!$D$62:$AL$62,MATCH(Q$7&amp;"",'Inputs (2)'!$D$2:$AL$2,0)),"")</f>
        <v>7</v>
      </c>
      <c r="R35" s="270">
        <f>IF(COUNT(N35:Q35)=4,SUM(N35:Q35),"")</f>
        <v>-61</v>
      </c>
      <c r="S35" s="269">
        <f>IFERROR(INDEX('Inputs (2)'!$D$62:$AL$62,MATCH(S$7&amp;"",'Inputs (2)'!$D$2:$AL$2,0)),"")</f>
        <v>7</v>
      </c>
      <c r="T35" s="269">
        <f>IFERROR(INDEX('Inputs (2)'!$D$62:$AL$62,MATCH(T$7&amp;"",'Inputs (2)'!$D$2:$AL$2,0)),"")</f>
        <v>9</v>
      </c>
      <c r="U35" s="269">
        <f>IFERROR(INDEX('Inputs (2)'!$D$62:$AL$62,MATCH(U$7&amp;"",'Inputs (2)'!$D$2:$AL$2,0)),"")</f>
        <v>7</v>
      </c>
      <c r="V35" s="269">
        <f>IFERROR(INDEX('Inputs (2)'!$D$62:$AL$62,MATCH(V$7&amp;"",'Inputs (2)'!$D$2:$AL$2,0)),"")</f>
        <v>13</v>
      </c>
      <c r="W35" s="270">
        <f>IF(COUNT(S35:V35)=4,SUM(S35:V35),"")</f>
        <v>36</v>
      </c>
      <c r="X35" s="269">
        <f>IFERROR(INDEX('Inputs (2)'!$D$62:$AL$62,MATCH(X$7&amp;"",'Inputs (2)'!$D$2:$AL$2,0)),"")</f>
        <v>7</v>
      </c>
      <c r="Y35" s="269">
        <f>IFERROR(INDEX('Inputs (2)'!$D$62:$AL$62,MATCH(Y$7&amp;"",'Inputs (2)'!$D$2:$AL$2,0)),"")</f>
        <v>28</v>
      </c>
      <c r="Z35" s="269">
        <f>IFERROR(INDEX('Inputs (2)'!$D$62:$AL$62,MATCH(Z$7&amp;"",'Inputs (2)'!$D$2:$AL$2,0)),"")</f>
        <v>-1</v>
      </c>
      <c r="AA35" s="269">
        <f>IFERROR(INDEX('Inputs (2)'!$D$62:$AL$62,MATCH(AA$7&amp;"",'Inputs (2)'!$D$2:$AL$2,0)),"")</f>
        <v>15</v>
      </c>
      <c r="AB35" s="270">
        <f>IF(COUNT(X35:AA35)=4,SUM(X35:AA35),"")</f>
        <v>49</v>
      </c>
      <c r="AC35" s="269">
        <f>IFERROR(INDEX('Inputs (2)'!$D$62:$AL$62,MATCH(AC$7&amp;"",'Inputs (2)'!$D$2:$AL$2,0)),"")</f>
        <v>5</v>
      </c>
      <c r="AD35" s="269">
        <f>IFERROR(INDEX('Inputs (2)'!$D$62:$AL$62,MATCH(AD$7&amp;"",'Inputs (2)'!$D$2:$AL$2,0)),"")</f>
        <v>13</v>
      </c>
      <c r="AE35" s="269">
        <f>IFERROR(INDEX('Inputs (2)'!$D$62:$AL$62,MATCH(AE$7&amp;"",'Inputs (2)'!$D$2:$AL$2,0)),"")</f>
        <v>7</v>
      </c>
      <c r="AF35" s="269">
        <f>IFERROR(INDEX('Inputs (2)'!$D$62:$AL$62,MATCH(AF$7&amp;"",'Inputs (2)'!$D$2:$AL$2,0)),"")</f>
        <v>-14</v>
      </c>
      <c r="AG35" s="270">
        <f>IF(COUNT(AC35:AF35)=4,SUM(AC35:AF35),"")</f>
        <v>11</v>
      </c>
      <c r="AH35" s="270">
        <f>IFERROR(INDEX('Inputs (2)'!$D$62:$AL$62,MATCH(AH$7&amp;"",'Inputs (2)'!$D$2:$AL$2,0)),"")</f>
        <v>22</v>
      </c>
      <c r="AI35" s="270">
        <f>IFERROR(INDEX('Inputs (2)'!$D$62:$AL$62,MATCH(AI$7&amp;"",'Inputs (2)'!$D$2:$AL$2,0)),"")</f>
        <v>26</v>
      </c>
    </row>
    <row r="36">
      <c r="C36" s="268" t="inlineStr">
        <is>
          <t xml:space="preserve">   Margem Morenci</t>
        </is>
      </c>
      <c r="D36" s="272" t="str">
        <f>IFERROR(D31/D19,"")</f>
        <v/>
      </c>
      <c r="E36" s="272" t="str">
        <f>IFERROR(E31/E19,"")</f>
        <v/>
      </c>
      <c r="F36" s="272" t="str">
        <f>IFERROR(F31/F19,"")</f>
        <v/>
      </c>
      <c r="G36" s="272" t="str">
        <f>IFERROR(G31/G19,"")</f>
        <v/>
      </c>
      <c r="H36" s="273" t="str">
        <f>IFERROR(H31/H19,"")</f>
        <v/>
      </c>
      <c r="I36" s="272">
        <f>IFERROR(I31/I19,"")</f>
        <v>0.466549295774648</v>
      </c>
      <c r="J36" s="272">
        <f>IFERROR(J31/J19,"")</f>
        <v>0.494858611825193</v>
      </c>
      <c r="K36" s="272">
        <f>IFERROR(K31/K19,"")</f>
        <v>0.499312242090784</v>
      </c>
      <c r="L36" s="272">
        <f>IFERROR(L31/L19,"")</f>
        <v>0.548168249660787</v>
      </c>
      <c r="M36" s="273">
        <f>IFERROR(M31/M19,"")</f>
        <v>0.504270462633452</v>
      </c>
      <c r="N36" s="272">
        <f>IFERROR(N31/N19,"")</f>
        <v>0.491885143570537</v>
      </c>
      <c r="O36" s="272">
        <f>IFERROR(O31/O19,"")</f>
        <v>0.42570281124498</v>
      </c>
      <c r="P36" s="272">
        <f>IFERROR(P31/P19,"")</f>
        <v>0.202108963093146</v>
      </c>
      <c r="Q36" s="272">
        <f>IFERROR(Q31/Q19,"")</f>
        <v>0.241258741258741</v>
      </c>
      <c r="R36" s="273">
        <f>IFERROR(R31/R19,"")</f>
        <v>0.358869468203793</v>
      </c>
      <c r="S36" s="272">
        <f>IFERROR(S31/S19,"")</f>
        <v>0.3168</v>
      </c>
      <c r="T36" s="272">
        <f>IFERROR(T31/T19,"")</f>
        <v>0.213087248322148</v>
      </c>
      <c r="U36" s="272">
        <f>IFERROR(U31/U19,"")</f>
        <v>0.174726989079563</v>
      </c>
      <c r="V36" s="272">
        <f>IFERROR(V31/V19,"")</f>
        <v>0.122082585278276</v>
      </c>
      <c r="W36" s="273">
        <f>IFERROR(W31/W19,"")</f>
        <v>0.2087639520463</v>
      </c>
      <c r="X36" s="272">
        <f>IFERROR(X31/X19,"")</f>
        <v>0.114384748700173</v>
      </c>
      <c r="Y36" s="272">
        <f>IFERROR(Y31/Y19,"")</f>
        <v>0.185</v>
      </c>
      <c r="Z36" s="272">
        <f>IFERROR(Z31/Z19,"")</f>
        <v>0.0843170320404722</v>
      </c>
      <c r="AA36" s="272">
        <f>IFERROR(AA31/AA19,"")</f>
        <v>0.152512998266898</v>
      </c>
      <c r="AB36" s="273">
        <f>IFERROR(AB31/AB19,"")</f>
        <v>0.134213890072433</v>
      </c>
      <c r="AC36" s="272">
        <f>IFERROR(AC31/AC19,"")</f>
        <v>0.188908145580589</v>
      </c>
      <c r="AD36" s="272">
        <f>IFERROR(AD31/AD19,"")</f>
        <v>0.212218649517685</v>
      </c>
      <c r="AE36" s="272">
        <f>IFERROR(AE31/AE19,"")</f>
        <v>0.19170243204578</v>
      </c>
      <c r="AF36" s="272">
        <f>IFERROR(AF31/AF19,"")</f>
        <v>0.309333333333333</v>
      </c>
      <c r="AG36" s="273">
        <f>IFERROR(AG31/AG19,"")</f>
        <v>0.229229607250755</v>
      </c>
      <c r="AH36" s="273">
        <f>IFERROR(AH31/AH19,"")</f>
        <v>0.337628865979381</v>
      </c>
      <c r="AI36" s="273">
        <f>IFERROR(AI31/AI19,"")</f>
        <v>0.350529100529101</v>
      </c>
    </row>
    <row r="37">
      <c r="C37" s="268" t="inlineStr">
        <is>
          <t xml:space="preserve">   Margem Cerro Verde</t>
        </is>
      </c>
      <c r="D37" s="272" t="str">
        <f>IFERROR(D32/D20,"")</f>
        <v/>
      </c>
      <c r="E37" s="272" t="str">
        <f>IFERROR(E32/E20,"")</f>
        <v/>
      </c>
      <c r="F37" s="272" t="str">
        <f>IFERROR(F32/F20,"")</f>
        <v/>
      </c>
      <c r="G37" s="272" t="str">
        <f>IFERROR(G32/G20,"")</f>
        <v/>
      </c>
      <c r="H37" s="273" t="str">
        <f>IFERROR(H32/H20,"")</f>
        <v/>
      </c>
      <c r="I37" s="272">
        <f>IFERROR(I32/I20,"")</f>
        <v>0.452182952182952</v>
      </c>
      <c r="J37" s="272">
        <f>IFERROR(J32/J20,"")</f>
        <v>0.388359788359788</v>
      </c>
      <c r="K37" s="272">
        <f>IFERROR(K32/K20,"")</f>
        <v>0.407821229050279</v>
      </c>
      <c r="L37" s="272">
        <f>IFERROR(L32/L20,"")</f>
        <v>0.479012345679012</v>
      </c>
      <c r="M37" s="273">
        <f>IFERROR(M32/M20,"")</f>
        <v>0.434223069590086</v>
      </c>
      <c r="N37" s="272">
        <f>IFERROR(N32/N20,"")</f>
        <v>0.467051070840198</v>
      </c>
      <c r="O37" s="272">
        <f>IFERROR(O32/O20,"")</f>
        <v>0.202153110047847</v>
      </c>
      <c r="P37" s="272">
        <f>IFERROR(P32/P20,"")</f>
        <v>0.109479305740988</v>
      </c>
      <c r="Q37" s="272">
        <f>IFERROR(Q32/Q20,"")</f>
        <v>0.345786272806255</v>
      </c>
      <c r="R37" s="273">
        <f>IFERROR(R32/R20,"")</f>
        <v>0.307848101265823</v>
      </c>
      <c r="S37" s="272">
        <f>IFERROR(S32/S20,"")</f>
        <v>0.405990016638935</v>
      </c>
      <c r="T37" s="272">
        <f>IFERROR(T32/T20,"")</f>
        <v>0.236951983298539</v>
      </c>
      <c r="U37" s="272">
        <f>IFERROR(U32/U20,"")</f>
        <v>0.281460134486071</v>
      </c>
      <c r="V37" s="272">
        <f>IFERROR(V32/V20,"")</f>
        <v>0.185589519650655</v>
      </c>
      <c r="W37" s="273">
        <f>IFERROR(W32/W20,"")</f>
        <v>0.286130677677921</v>
      </c>
      <c r="X37" s="272">
        <f>IFERROR(X32/X20,"")</f>
        <v>0.245689655172414</v>
      </c>
      <c r="Y37" s="272">
        <f>IFERROR(Y32/Y20,"")</f>
        <v>0.378679395385839</v>
      </c>
      <c r="Z37" s="272">
        <f>IFERROR(Z32/Z20,"")</f>
        <v>0.326227988878591</v>
      </c>
      <c r="AA37" s="272">
        <f>IFERROR(AA32/AA20,"")</f>
        <v>0.273185483870968</v>
      </c>
      <c r="AB37" s="273">
        <f>IFERROR(AB32/AB20,"")</f>
        <v>0.311795112781955</v>
      </c>
      <c r="AC37" s="272">
        <f>IFERROR(AC32/AC20,"")</f>
        <v>0.374885426214482</v>
      </c>
      <c r="AD37" s="272">
        <f>IFERROR(AD32/AD20,"")</f>
        <v>0.33041788143829</v>
      </c>
      <c r="AE37" s="272">
        <f>IFERROR(AE32/AE20,"")</f>
        <v>0.387551867219917</v>
      </c>
      <c r="AF37" s="272">
        <f>IFERROR(AF32/AF20,"")</f>
        <v>0.435916002896452</v>
      </c>
      <c r="AG37" s="273">
        <f>IFERROR(AG32/AG20,"")</f>
        <v>0.386315342116447</v>
      </c>
      <c r="AH37" s="273">
        <f>IFERROR(AH32/AH20,"")</f>
        <v>0.461984069514844</v>
      </c>
      <c r="AI37" s="273">
        <f>IFERROR(AI32/AI20,"")</f>
        <v>0.494956287827841</v>
      </c>
    </row>
    <row r="38">
      <c r="C38" s="268" t="inlineStr">
        <is>
          <t xml:space="preserve">   Margem Grasberg (Indonésia)</t>
        </is>
      </c>
      <c r="D38" s="272" t="str">
        <f>IFERROR(D33/D21,"")</f>
        <v/>
      </c>
      <c r="E38" s="272" t="str">
        <f>IFERROR(E33/E21,"")</f>
        <v/>
      </c>
      <c r="F38" s="272" t="str">
        <f>IFERROR(F33/F21,"")</f>
        <v/>
      </c>
      <c r="G38" s="272" t="str">
        <f>IFERROR(G33/G21,"")</f>
        <v/>
      </c>
      <c r="H38" s="273" t="str">
        <f>IFERROR(H33/H21,"")</f>
        <v/>
      </c>
      <c r="I38" s="272">
        <f>IFERROR(I33/I21,"")</f>
        <v>0.526132404181185</v>
      </c>
      <c r="J38" s="272">
        <f>IFERROR(J33/J21,"")</f>
        <v>0.556661138750691</v>
      </c>
      <c r="K38" s="272">
        <f>IFERROR(K33/K21,"")</f>
        <v>0.570519098922625</v>
      </c>
      <c r="L38" s="272">
        <f>IFERROR(L33/L21,"")</f>
        <v>0.451944568618686</v>
      </c>
      <c r="M38" s="273">
        <f>IFERROR(M33/M21,"")</f>
        <v>0.523461385085737</v>
      </c>
      <c r="N38" s="272">
        <f>IFERROR(N33/N21,"")</f>
        <v>0.625207986688852</v>
      </c>
      <c r="O38" s="272">
        <f>IFERROR(O33/O21,"")</f>
        <v>0.567239635995956</v>
      </c>
      <c r="P38" s="272">
        <f>IFERROR(P33/P21,"")</f>
        <v>0.469410456062291</v>
      </c>
      <c r="Q38" s="272">
        <f>IFERROR(Q33/Q21,"")</f>
        <v>0.503561887800534</v>
      </c>
      <c r="R38" s="273">
        <f>IFERROR(R33/R21,"")</f>
        <v>0.545929266555899</v>
      </c>
      <c r="S38" s="272">
        <f>IFERROR(S33/S21,"")</f>
        <v>0.624269005847953</v>
      </c>
      <c r="T38" s="272">
        <f>IFERROR(T33/T21,"")</f>
        <v>0.478766204738489</v>
      </c>
      <c r="U38" s="272">
        <f>IFERROR(U33/U21,"")</f>
        <v>0.534606205250597</v>
      </c>
      <c r="V38" s="272">
        <f>IFERROR(V33/V21,"")</f>
        <v>0.610887833394227</v>
      </c>
      <c r="W38" s="273">
        <f>IFERROR(W33/W21,"")</f>
        <v>0.559084982813796</v>
      </c>
      <c r="X38" s="272">
        <f>IFERROR(X33/X21,"")</f>
        <v>0.564955752212389</v>
      </c>
      <c r="Y38" s="272">
        <f>IFERROR(Y33/Y21,"")</f>
        <v>0.579365079365079</v>
      </c>
      <c r="Z38" s="272">
        <f>IFERROR(Z33/Z21,"")</f>
        <v>0.56673373574782</v>
      </c>
      <c r="AA38" s="272">
        <f>IFERROR(AA33/AA21,"")</f>
        <v>0.455639768167633</v>
      </c>
      <c r="AB38" s="273">
        <f>IFERROR(AB33/AB21,"")</f>
        <v>0.544873037410351</v>
      </c>
      <c r="AC38" s="272">
        <f>IFERROR(AC33/AC21,"")</f>
        <v>0.494904458598726</v>
      </c>
      <c r="AD38" s="272">
        <f>IFERROR(AD33/AD21,"")</f>
        <v>0.546678372841674</v>
      </c>
      <c r="AE38" s="272">
        <f>IFERROR(AE33/AE21,"")</f>
        <v>0.479252336448598</v>
      </c>
      <c r="AF38" s="272">
        <f>IFERROR(AF33/AF21,"")</f>
        <v>-0.090625</v>
      </c>
      <c r="AG38" s="273">
        <f>IFERROR(AG33/AG21,"")</f>
        <v>0.445372303409882</v>
      </c>
      <c r="AH38" s="273">
        <f>IFERROR(AH33/AH21,"")</f>
        <v>0.78544776119403</v>
      </c>
      <c r="AI38" s="273">
        <f>IFERROR(AI33/AI21,"")</f>
        <v>0.336480107889413</v>
      </c>
    </row>
    <row r="39">
      <c r="C39" s="268" t="inlineStr">
        <is>
          <t xml:space="preserve">   Margem Rod &amp; Refining</t>
        </is>
      </c>
      <c r="D39" s="272" t="str">
        <f>IFERROR(D34/D22,"")</f>
        <v/>
      </c>
      <c r="E39" s="272" t="str">
        <f>IFERROR(E34/E22,"")</f>
        <v/>
      </c>
      <c r="F39" s="272" t="str">
        <f>IFERROR(F34/F22,"")</f>
        <v/>
      </c>
      <c r="G39" s="272" t="str">
        <f>IFERROR(G34/G22,"")</f>
        <v/>
      </c>
      <c r="H39" s="273" t="str">
        <f>IFERROR(H34/H22,"")</f>
        <v/>
      </c>
      <c r="I39" s="272">
        <f>IFERROR(I34/I22,"")</f>
        <v>-0.000759878419452888</v>
      </c>
      <c r="J39" s="272">
        <f>IFERROR(J34/J22,"")</f>
        <v>0.00176991150442478</v>
      </c>
      <c r="K39" s="272">
        <f>IFERROR(K34/K22,"")</f>
        <v>0.00117370892018779</v>
      </c>
      <c r="L39" s="272">
        <f>IFERROR(L34/L22,"")</f>
        <v>-0.0029940119760479</v>
      </c>
      <c r="M39" s="273">
        <f>IFERROR(M34/M22,"")</f>
        <v>-0.000156617071260767</v>
      </c>
      <c r="N39" s="272">
        <f>IFERROR(N34/N22,"")</f>
        <v>-0.00171232876712329</v>
      </c>
      <c r="O39" s="272">
        <f>IFERROR(O34/O22,"")</f>
        <v>-0.00283929585462805</v>
      </c>
      <c r="P39" s="272">
        <f>IFERROR(P34/P22,"")</f>
        <v>-0.00554400554400554</v>
      </c>
      <c r="Q39" s="272">
        <f>IFERROR(Q34/Q22,"")</f>
        <v>-0.00516224188790561</v>
      </c>
      <c r="R39" s="273">
        <f>IFERROR(R34/R22,"")</f>
        <v>-0.00364385297845374</v>
      </c>
      <c r="S39" s="272">
        <f>IFERROR(S34/S22,"")</f>
        <v>0.00065402223675605</v>
      </c>
      <c r="T39" s="272">
        <f>IFERROR(T34/T22,"")</f>
        <v>0.00475220638153428</v>
      </c>
      <c r="U39" s="272">
        <f>IFERROR(U34/U22,"")</f>
        <v>0.00633713561470215</v>
      </c>
      <c r="V39" s="272">
        <f>IFERROR(V34/V22,"")</f>
        <v>0.00148588410104012</v>
      </c>
      <c r="W39" s="273">
        <f>IFERROR(W34/W22,"")</f>
        <v>0.00337495781302734</v>
      </c>
      <c r="X39" s="272">
        <f>IFERROR(X34/X22,"")</f>
        <v>0.00733822548365577</v>
      </c>
      <c r="Y39" s="272">
        <f>IFERROR(Y34/Y22,"")</f>
        <v>0.00645539906103286</v>
      </c>
      <c r="Z39" s="272">
        <f>IFERROR(Z34/Z22,"")</f>
        <v>0.00445576066199873</v>
      </c>
      <c r="AA39" s="272">
        <f>IFERROR(AA34/AA22,"")</f>
        <v>0</v>
      </c>
      <c r="AB39" s="273">
        <f>IFERROR(AB34/AB22,"")</f>
        <v>0.00464818079820484</v>
      </c>
      <c r="AC39" s="272">
        <f>IFERROR(AC34/AC22,"")</f>
        <v>0.00551470588235294</v>
      </c>
      <c r="AD39" s="272">
        <f>IFERROR(AD34/AD22,"")</f>
        <v>0.00411522633744856</v>
      </c>
      <c r="AE39" s="272">
        <f>IFERROR(AE34/AE22,"")</f>
        <v>0.00615901455767077</v>
      </c>
      <c r="AF39" s="272">
        <f>IFERROR(AF34/AF22,"")</f>
        <v>0.00222222222222222</v>
      </c>
      <c r="AG39" s="273">
        <f>IFERROR(AG34/AG22,"")</f>
        <v>0.00448041624512213</v>
      </c>
      <c r="AH39" s="273">
        <f>IFERROR(AH34/AH22,"")</f>
        <v>0.007274490785645</v>
      </c>
      <c r="AI39" s="273">
        <f>IFERROR(AI34/AI22,"")</f>
        <v>0.00982581509602501</v>
      </c>
    </row>
    <row r="40">
      <c r="C40" s="268" t="inlineStr">
        <is>
          <t xml:space="preserve">   Margem Atlantic Copper</t>
        </is>
      </c>
      <c r="D40" s="272" t="str">
        <f>IFERROR(D35/D23,"")</f>
        <v/>
      </c>
      <c r="E40" s="272" t="str">
        <f>IFERROR(E35/E23,"")</f>
        <v/>
      </c>
      <c r="F40" s="272" t="str">
        <f>IFERROR(F35/F23,"")</f>
        <v/>
      </c>
      <c r="G40" s="272" t="str">
        <f>IFERROR(G35/G23,"")</f>
        <v/>
      </c>
      <c r="H40" s="273" t="str">
        <f>IFERROR(H35/H23,"")</f>
        <v/>
      </c>
      <c r="I40" s="272">
        <f>IFERROR(I35/I23,"")</f>
        <v>0</v>
      </c>
      <c r="J40" s="272">
        <f>IFERROR(J35/J23,"")</f>
        <v>0.00755667506297229</v>
      </c>
      <c r="K40" s="272">
        <f>IFERROR(K35/K23,"")</f>
        <v>0.00766283524904215</v>
      </c>
      <c r="L40" s="272">
        <f>IFERROR(L35/L23,"")</f>
        <v>0.0129124820659971</v>
      </c>
      <c r="M40" s="273">
        <f>IFERROR(M35/M23,"")</f>
        <v>0.00709219858156028</v>
      </c>
      <c r="N40" s="272">
        <f>IFERROR(N35/N23,"")</f>
        <v>-0.0250696378830084</v>
      </c>
      <c r="O40" s="272">
        <f>IFERROR(O35/O23,"")</f>
        <v>-0.0946882217090069</v>
      </c>
      <c r="P40" s="272">
        <f>IFERROR(P35/P23,"")</f>
        <v>-0.0147783251231527</v>
      </c>
      <c r="Q40" s="272">
        <f>IFERROR(Q35/Q23,"")</f>
        <v>0.0102489019033675</v>
      </c>
      <c r="R40" s="273">
        <f>IFERROR(R35/R23,"")</f>
        <v>-0.0249693000409333</v>
      </c>
      <c r="S40" s="272">
        <f>IFERROR(S35/S23,"")</f>
        <v>0.00925925925925926</v>
      </c>
      <c r="T40" s="272">
        <f>IFERROR(T35/T23,"")</f>
        <v>0.0120320855614973</v>
      </c>
      <c r="U40" s="272">
        <f>IFERROR(U35/U23,"")</f>
        <v>0.01</v>
      </c>
      <c r="V40" s="272">
        <f>IFERROR(V35/V23,"")</f>
        <v>0.0214521452145215</v>
      </c>
      <c r="W40" s="273">
        <f>IFERROR(W35/W23,"")</f>
        <v>0.0128113879003559</v>
      </c>
      <c r="X40" s="272">
        <f>IFERROR(X35/X23,"")</f>
        <v>0.0104011887072808</v>
      </c>
      <c r="Y40" s="272">
        <f>IFERROR(Y35/Y23,"")</f>
        <v>0.0311111111111111</v>
      </c>
      <c r="Z40" s="272">
        <f>IFERROR(Z35/Z23,"")</f>
        <v>-0.00130718954248366</v>
      </c>
      <c r="AA40" s="272">
        <f>IFERROR(AA35/AA23,"")</f>
        <v>0.0220913107511046</v>
      </c>
      <c r="AB40" s="273">
        <f>IFERROR(AB35/AB23,"")</f>
        <v>0.0162412993039443</v>
      </c>
      <c r="AC40" s="272">
        <f>IFERROR(AC35/AC23,"")</f>
        <v>0.00662251655629139</v>
      </c>
      <c r="AD40" s="272">
        <f>IFERROR(AD35/AD23,"")</f>
        <v>0.0158924205378973</v>
      </c>
      <c r="AE40" s="272">
        <f>IFERROR(AE35/AE23,"")</f>
        <v>0.00904392764857881</v>
      </c>
      <c r="AF40" s="272">
        <f>IFERROR(AF35/AF23,"")</f>
        <v>-0.0167865707434053</v>
      </c>
      <c r="AG40" s="273">
        <f>IFERROR(AG35/AG23,"")</f>
        <v>0.00345803206538824</v>
      </c>
      <c r="AH40" s="273">
        <f>IFERROR(AH35/AH23,"")</f>
        <v>0.022703818369453</v>
      </c>
      <c r="AI40" s="273">
        <f>IFERROR(AI35/AI23,"")</f>
        <v>0.0252427184466019</v>
      </c>
    </row>
    <row r="41"/>
    <row r="42"/>
    <row r="43"/>
    <row r="44" hidden="1" outlineLevel="1" customFormat="1" s="43">
      <c r="A44" s="36" t="n"/>
      <c r="B44" s="37" t="n"/>
      <c r="C44" s="45" t="n"/>
      <c r="D44" s="39" t="n"/>
      <c r="E44" s="39" t="n"/>
      <c r="F44" s="39" t="n"/>
      <c r="G44" s="39" t="n"/>
      <c r="H44" s="39" t="n"/>
      <c r="I44" s="39" t="n"/>
      <c r="J44" s="39" t="n"/>
      <c r="K44" s="39" t="n"/>
      <c r="L44" s="39" t="n"/>
      <c r="M44" s="39" t="n"/>
      <c r="N44" s="39" t="n"/>
      <c r="O44" s="39" t="n"/>
      <c r="P44" s="39" t="n"/>
      <c r="Q44" s="39" t="n"/>
      <c r="R44" s="39" t="n"/>
      <c r="S44" s="39" t="n"/>
      <c r="T44" s="39" t="n"/>
      <c r="U44" s="39" t="n"/>
      <c r="V44" s="39" t="n"/>
      <c r="W44" s="39" t="n"/>
      <c r="X44" s="39" t="n"/>
      <c r="Y44" s="39" t="n"/>
      <c r="Z44" s="39" t="n"/>
      <c r="AA44" s="39" t="n"/>
      <c r="AB44" s="39" t="n"/>
      <c r="AC44" s="39" t="n"/>
      <c r="AD44" s="39" t="n"/>
      <c r="AE44" s="39" t="n"/>
      <c r="AF44" s="39" t="n"/>
      <c r="AG44" s="39" t="n"/>
      <c r="AH44" s="39" t="n"/>
      <c r="AI44" s="39" t="n"/>
      <c r="AJ44" s="39" t="n"/>
      <c r="AK44" s="39" t="n"/>
      <c r="AL44" s="39" t="n"/>
      <c r="AM44" s="39" t="n"/>
      <c r="AN44" s="39" t="n"/>
      <c r="AO44" s="39" t="n"/>
      <c r="AP44" s="39" t="n"/>
      <c r="AQ44" s="39" t="n"/>
      <c r="AR44" s="39" t="n"/>
      <c r="AS44" s="39" t="n"/>
      <c r="AT44" s="39" t="n"/>
      <c r="AU44" s="39" t="n"/>
      <c r="AV44" s="39" t="n"/>
      <c r="AW44" s="39" t="n"/>
      <c r="AX44" s="39" t="n"/>
      <c r="AY44" s="39" t="n"/>
      <c r="AZ44" s="39" t="n"/>
      <c r="BA44" s="39" t="n"/>
      <c r="BB44" s="39" t="n"/>
      <c r="BC44" s="39" t="n"/>
      <c r="BD44" s="39" t="n"/>
      <c r="BE44" s="39" t="n"/>
      <c r="BF44" s="39" t="n"/>
      <c r="BG44" s="39" t="n"/>
      <c r="BH44" s="39" t="n"/>
      <c r="BI44" s="39" t="n"/>
      <c r="BJ44" s="39" t="n"/>
      <c r="BK44" s="39" t="n"/>
      <c r="BL44" s="39" t="n"/>
      <c r="BM44" s="39" t="n"/>
      <c r="BN44" s="39" t="n"/>
      <c r="BO44" s="39" t="n"/>
      <c r="BP44" s="39" t="n"/>
      <c r="BQ44" s="39" t="n"/>
      <c r="BR44" s="39" t="n"/>
      <c r="BS44" s="39" t="n"/>
      <c r="BT44" s="39" t="n"/>
      <c r="BU44" s="39" t="n"/>
      <c r="BV44" s="39" t="n"/>
      <c r="BW44" s="39" t="n"/>
      <c r="BX44" s="39" t="n"/>
      <c r="BY44" s="39" t="n"/>
      <c r="BZ44" s="39" t="n"/>
      <c r="CA44" s="39" t="n"/>
      <c r="CB44" s="39" t="n"/>
      <c r="CC44" s="39" t="n"/>
      <c r="CD44" s="39" t="n"/>
      <c r="CE44" s="39" t="n"/>
      <c r="CF44" s="39" t="n"/>
      <c r="CG44" s="39" t="n"/>
      <c r="CH44" s="39" t="n"/>
      <c r="CI44" s="39" t="n"/>
      <c r="CJ44" s="39" t="n"/>
      <c r="CK44" s="39" t="n"/>
      <c r="CL44" s="39" t="n"/>
      <c r="CM44" s="39" t="n"/>
      <c r="CN44" s="39" t="n"/>
      <c r="CO44" s="39" t="n"/>
      <c r="CP44" s="39" t="n"/>
      <c r="CQ44" s="39" t="n"/>
      <c r="CR44" s="39" t="n"/>
      <c r="CS44" s="39" t="n"/>
      <c r="CT44" s="39" t="n"/>
      <c r="CU44" s="39" t="n"/>
      <c r="CV44" s="39" t="n"/>
      <c r="CW44" s="39" t="n"/>
      <c r="CX44" s="39" t="n"/>
      <c r="CY44" s="39" t="n"/>
    </row>
    <row r="45" hidden="1" outlineLevel="1" customFormat="1" s="43">
      <c r="A45" s="36" t="n"/>
      <c r="B45" s="37" t="n"/>
      <c r="C45" s="45" t="n"/>
      <c r="D45" s="39" t="n"/>
      <c r="E45" s="39" t="n"/>
      <c r="F45" s="39" t="n"/>
      <c r="G45" s="39" t="n"/>
      <c r="H45" s="39" t="n"/>
      <c r="I45" s="39" t="n"/>
      <c r="J45" s="39" t="n"/>
      <c r="K45" s="39" t="n"/>
      <c r="L45" s="39" t="n"/>
      <c r="M45" s="39" t="n"/>
      <c r="N45" s="39" t="n"/>
      <c r="O45" s="39" t="n"/>
      <c r="P45" s="39" t="n"/>
      <c r="Q45" s="39" t="n"/>
      <c r="R45" s="39" t="n"/>
      <c r="S45" s="39" t="n"/>
      <c r="T45" s="39" t="n"/>
      <c r="U45" s="39" t="n"/>
      <c r="V45" s="39" t="n"/>
      <c r="W45" s="39" t="n"/>
      <c r="X45" s="39" t="n"/>
      <c r="Y45" s="39" t="n"/>
      <c r="Z45" s="39" t="n"/>
      <c r="AA45" s="39" t="n"/>
      <c r="AB45" s="39" t="n"/>
      <c r="AC45" s="39" t="n"/>
      <c r="AD45" s="39" t="n"/>
      <c r="AE45" s="39" t="n"/>
      <c r="AF45" s="39" t="n"/>
      <c r="AG45" s="39" t="n"/>
      <c r="AH45" s="39" t="n"/>
      <c r="AI45" s="39" t="n"/>
      <c r="AJ45" s="39" t="n"/>
      <c r="AK45" s="39" t="n"/>
      <c r="AL45" s="39" t="n"/>
      <c r="AM45" s="39" t="n"/>
      <c r="AN45" s="39" t="n"/>
      <c r="AO45" s="39" t="n"/>
      <c r="AP45" s="39" t="n"/>
      <c r="AQ45" s="39" t="n"/>
      <c r="AR45" s="39" t="n"/>
      <c r="AS45" s="39" t="n"/>
      <c r="AT45" s="39" t="n"/>
      <c r="AU45" s="39" t="n"/>
      <c r="AV45" s="39" t="n"/>
      <c r="AW45" s="39" t="n"/>
      <c r="AX45" s="39" t="n"/>
      <c r="AY45" s="39" t="n"/>
      <c r="AZ45" s="39" t="n"/>
      <c r="BA45" s="39" t="n"/>
      <c r="BB45" s="39" t="n"/>
      <c r="BC45" s="39" t="n"/>
      <c r="BD45" s="39" t="n"/>
      <c r="BE45" s="39" t="n"/>
      <c r="BF45" s="39" t="n"/>
      <c r="BG45" s="39" t="n"/>
      <c r="BH45" s="39" t="n"/>
      <c r="BI45" s="39" t="n"/>
      <c r="BJ45" s="39" t="n"/>
      <c r="BK45" s="39" t="n"/>
      <c r="BL45" s="39" t="n"/>
      <c r="BM45" s="39" t="n"/>
      <c r="BN45" s="39" t="n"/>
      <c r="BO45" s="39" t="n"/>
      <c r="BP45" s="39" t="n"/>
      <c r="BQ45" s="39" t="n"/>
      <c r="BR45" s="39" t="n"/>
      <c r="BS45" s="39" t="n"/>
      <c r="BT45" s="39" t="n"/>
      <c r="BU45" s="39" t="n"/>
      <c r="BV45" s="39" t="n"/>
      <c r="BW45" s="39" t="n"/>
      <c r="BX45" s="39" t="n"/>
      <c r="BY45" s="39" t="n"/>
      <c r="BZ45" s="39" t="n"/>
      <c r="CA45" s="39" t="n"/>
      <c r="CB45" s="39" t="n"/>
      <c r="CC45" s="39" t="n"/>
      <c r="CD45" s="39" t="n"/>
      <c r="CE45" s="39" t="n"/>
      <c r="CF45" s="39" t="n"/>
      <c r="CG45" s="39" t="n"/>
      <c r="CH45" s="39" t="n"/>
      <c r="CI45" s="39" t="n"/>
      <c r="CJ45" s="39" t="n"/>
      <c r="CK45" s="39" t="n"/>
      <c r="CL45" s="39" t="n"/>
      <c r="CM45" s="39" t="n"/>
      <c r="CN45" s="39" t="n"/>
      <c r="CO45" s="39" t="n"/>
      <c r="CP45" s="39" t="n"/>
      <c r="CQ45" s="39" t="n"/>
      <c r="CR45" s="39" t="n"/>
      <c r="CS45" s="39" t="n"/>
      <c r="CT45" s="39" t="n"/>
      <c r="CU45" s="39" t="n"/>
      <c r="CV45" s="39" t="n"/>
      <c r="CW45" s="39" t="n"/>
      <c r="CX45" s="39" t="n"/>
      <c r="CY45" s="39" t="n"/>
    </row>
    <row r="46" collapsed="1">
      <c r="C46" s="13" t="inlineStr">
        <is>
          <t>COGS (cash)</t>
        </is>
      </c>
      <c r="D46" s="46" t="n"/>
      <c r="E46" s="46" t="n"/>
      <c r="F46" s="46" t="n"/>
      <c r="G46" s="46" t="n"/>
      <c r="H46" s="12" t="n"/>
      <c r="I46" s="46">
        <f>'Inputs (2)'!D5</f>
        <v>-2787</v>
      </c>
      <c r="J46" s="46">
        <f>'Inputs (2)'!E5</f>
        <v>-3067</v>
      </c>
      <c r="K46" s="46">
        <f>'Inputs (2)'!F5</f>
        <v>-3023</v>
      </c>
      <c r="L46" s="46">
        <f>'Inputs (2)'!G5</f>
        <v>-3155</v>
      </c>
      <c r="M46" s="12">
        <f>'Inputs (2)'!H5</f>
        <v>-12032</v>
      </c>
      <c r="N46" s="46">
        <f>'Inputs (2)'!I5</f>
        <v>-3150</v>
      </c>
      <c r="O46" s="46">
        <f>'Inputs (2)'!J5</f>
        <v>-3021</v>
      </c>
      <c r="P46" s="46">
        <f>'Inputs (2)'!K5</f>
        <v>-3391</v>
      </c>
      <c r="Q46" s="46">
        <f>'Inputs (2)'!L5</f>
        <v>-3508</v>
      </c>
      <c r="R46" s="12">
        <f>'Inputs (2)'!M5</f>
        <v>-13070</v>
      </c>
      <c r="S46" s="46">
        <f>'Inputs (2)'!N5</f>
        <v>-3165</v>
      </c>
      <c r="T46" s="46">
        <f>'Inputs (2)'!O5</f>
        <v>-3549</v>
      </c>
      <c r="U46" s="46">
        <f>'Inputs (2)'!P5</f>
        <v>-3553</v>
      </c>
      <c r="V46" s="46">
        <f>'Inputs (2)'!Q5</f>
        <v>-3360</v>
      </c>
      <c r="W46" s="12">
        <f>'Inputs (2)'!R5</f>
        <v>-13627</v>
      </c>
      <c r="X46" s="46">
        <f>'Inputs (2)'!S5</f>
        <v>-3844</v>
      </c>
      <c r="Y46" s="46">
        <f>'Inputs (2)'!T5</f>
        <v>-3875</v>
      </c>
      <c r="Z46" s="46">
        <f>'Inputs (2)'!U5</f>
        <v>-4077</v>
      </c>
      <c r="AA46" s="46">
        <f>'Inputs (2)'!V5</f>
        <v>-3758</v>
      </c>
      <c r="AB46" s="12">
        <f>'Inputs (2)'!W5</f>
        <v>-15554</v>
      </c>
      <c r="AC46" s="46">
        <f>'Inputs (2)'!X5</f>
        <v>-3756</v>
      </c>
      <c r="AD46" s="46">
        <f>'Inputs (2)'!Y5</f>
        <v>-4282</v>
      </c>
      <c r="AE46" s="46">
        <f>'Inputs (2)'!Z5</f>
        <v>-4205</v>
      </c>
      <c r="AF46" s="46">
        <f>'Inputs (2)'!AA5</f>
        <v>-4131</v>
      </c>
      <c r="AG46" s="12">
        <f>'Inputs (2)'!AB5</f>
        <v>-16374</v>
      </c>
      <c r="AH46" s="12">
        <f>'Inputs (2)'!AC5</f>
        <v>-4065</v>
      </c>
      <c r="AI46" s="12">
        <f>'Inputs (2)'!AD5</f>
        <v>-4320</v>
      </c>
      <c r="AJ46" s="12">
        <f>-(1-AJ47)*AJ15</f>
        <v>-4500.68094153518</v>
      </c>
      <c r="AK46" s="12">
        <f>-(1-AK47)*AK15</f>
        <v>-3636.30747901143</v>
      </c>
      <c r="AL46" s="12">
        <f>SUM(AH46:AK46)</f>
        <v>-16521.9884205466</v>
      </c>
      <c r="AM46" s="12">
        <f>-(1-AM47)*AM15</f>
        <v>-4024.27495546906</v>
      </c>
      <c r="AN46" s="12">
        <f>-(1-AN47)*AN15</f>
        <v>-4537.47652582484</v>
      </c>
      <c r="AO46" s="12">
        <f>-(1-AO47)*AO15</f>
        <v>-4559.04558856829</v>
      </c>
      <c r="AP46" s="12">
        <f>-(1-AP47)*AP15</f>
        <v>-3683.46296620843</v>
      </c>
      <c r="AQ46" s="12">
        <f>SUM(AM46:AP46)</f>
        <v>-16804.2600360706</v>
      </c>
      <c r="AR46" s="12">
        <f>-(1-AR47)*AR15</f>
        <v>-4056.34021431254</v>
      </c>
      <c r="AS46" s="12">
        <f>-(1-AS47)*AS15</f>
        <v>-4573.63095386635</v>
      </c>
      <c r="AT46" s="12">
        <f>-(1-AT47)*AT15</f>
        <v>-4595.37187802273</v>
      </c>
      <c r="AU46" s="12">
        <f>-(1-AU47)*AU15</f>
        <v>-3712.81264901062</v>
      </c>
      <c r="AV46" s="12">
        <f>SUM(AR46:AU46)</f>
        <v>-16938.1556952123</v>
      </c>
      <c r="AW46" s="12">
        <f>-(1-AW47)*AW15</f>
        <v>-4068.37926676016</v>
      </c>
      <c r="AX46" s="12">
        <f>-(1-AX47)*AX15</f>
        <v>-4587.20530414777</v>
      </c>
      <c r="AY46" s="12">
        <f>-(1-AY47)*AY15</f>
        <v>-4609.01075448103</v>
      </c>
      <c r="AZ46" s="12">
        <f>-(1-AZ47)*AZ15</f>
        <v>-3723.83212564424</v>
      </c>
      <c r="BA46" s="12">
        <f>SUM(AW46:AZ46)</f>
        <v>-16988.4274510332</v>
      </c>
      <c r="BB46" s="12">
        <f>-(1-BB47)*BB15</f>
        <v>-4068.37926676016</v>
      </c>
      <c r="BC46" s="12">
        <f>-(1-BC47)*BC15</f>
        <v>-4587.20530414777</v>
      </c>
      <c r="BD46" s="12">
        <f>-(1-BD47)*BD15</f>
        <v>-4609.01075448103</v>
      </c>
      <c r="BE46" s="12">
        <f>-(1-BE47)*BE15</f>
        <v>-3723.83212564424</v>
      </c>
      <c r="BF46" s="12">
        <f>SUM(BB46:BE46)</f>
        <v>-16988.4274510332</v>
      </c>
      <c r="BG46" s="12" t="n"/>
      <c r="BH46" s="12" t="n"/>
      <c r="BI46" s="12" t="n"/>
      <c r="BJ46" s="12" t="n"/>
      <c r="BK46" s="12" t="n"/>
      <c r="BL46" s="12" t="n"/>
      <c r="BM46" s="12" t="n"/>
      <c r="BN46" s="12" t="n"/>
      <c r="BO46" s="12" t="n"/>
      <c r="BP46" s="12" t="n"/>
      <c r="BQ46" s="12" t="n"/>
      <c r="BR46" s="12" t="n"/>
      <c r="BS46" s="12" t="n"/>
      <c r="BT46" s="12" t="n"/>
      <c r="BU46" s="12" t="n"/>
      <c r="BV46" s="12" t="n"/>
      <c r="BW46" s="12" t="n"/>
      <c r="BX46" s="12" t="n"/>
      <c r="BY46" s="12" t="n"/>
      <c r="BZ46" s="12" t="n"/>
      <c r="CA46" s="12" t="n"/>
      <c r="CB46" s="12" t="n"/>
      <c r="CC46" s="12" t="n"/>
      <c r="CD46" s="12" t="n"/>
      <c r="CE46" s="12" t="n"/>
      <c r="CF46" s="12" t="n"/>
      <c r="CG46" s="12" t="n"/>
      <c r="CH46" s="12" t="n"/>
      <c r="CI46" s="12" t="n"/>
      <c r="CJ46" s="12" t="n"/>
      <c r="CK46" s="12" t="n"/>
      <c r="CL46" s="12" t="n"/>
      <c r="CM46" s="12" t="n"/>
      <c r="CN46" s="12" t="n"/>
      <c r="CO46" s="12" t="n"/>
      <c r="CP46" s="12" t="n"/>
      <c r="CQ46" s="12" t="n"/>
      <c r="CR46" s="12" t="n"/>
      <c r="CS46" s="12" t="n"/>
      <c r="CT46" s="12" t="n"/>
      <c r="CU46" s="12" t="n"/>
      <c r="CV46" s="12" t="n"/>
      <c r="CW46" s="12" t="n"/>
      <c r="CX46" s="12" t="n"/>
      <c r="CY46" s="12" t="n"/>
    </row>
    <row r="47" hidden="1" outlineLevel="1" customFormat="1" s="3">
      <c r="C47" s="47" t="inlineStr">
        <is>
          <t>% Gross Margin</t>
        </is>
      </c>
      <c r="D47" s="48" t="n"/>
      <c r="E47" s="48" t="n"/>
      <c r="F47" s="48" t="n"/>
      <c r="G47" s="48" t="n"/>
      <c r="H47" s="48" t="n"/>
      <c r="I47" s="48">
        <f>IFERROR((I15+I46)/I$15,"")</f>
        <v>0.425360824742268</v>
      </c>
      <c r="J47" s="48">
        <f>IFERROR((J15+J46)/J$15,"")</f>
        <v>0.466423103688239</v>
      </c>
      <c r="K47" s="48">
        <f>IFERROR((K15+K46)/K$15,"")</f>
        <v>0.503041262534933</v>
      </c>
      <c r="L47" s="48">
        <f>IFERROR((L15+L46)/L$15,"")</f>
        <v>0.488157040882544</v>
      </c>
      <c r="M47" s="48">
        <f>IFERROR((M15+M46)/M$15,"")</f>
        <v>0.473320201356971</v>
      </c>
      <c r="N47" s="48">
        <f>IFERROR((N15+N46)/N$15,"")</f>
        <v>0.522944116310768</v>
      </c>
      <c r="O47" s="48">
        <f>IFERROR((O15+O46)/O$15,"")</f>
        <v>0.442208271787297</v>
      </c>
      <c r="P47" s="48">
        <f>IFERROR((P15+P46)/P$15,"")</f>
        <v>0.322206675994403</v>
      </c>
      <c r="Q47" s="48">
        <f>IFERROR((Q15+Q46)/Q$15,"")</f>
        <v>0.390760680791942</v>
      </c>
      <c r="R47" s="48">
        <f>IFERROR((R15+R46)/R$15,"")</f>
        <v>0.426251097453907</v>
      </c>
      <c r="S47" s="48">
        <f>IFERROR((S15+S46)/S$15,"")</f>
        <v>0.412692521803674</v>
      </c>
      <c r="T47" s="48">
        <f>IFERROR((T15+T46)/T$15,"")</f>
        <v>0.381383998605543</v>
      </c>
      <c r="U47" s="48">
        <f>IFERROR((U15+U46)/U$15,"")</f>
        <v>0.389938186813187</v>
      </c>
      <c r="V47" s="48">
        <f>IFERROR((V15+V46)/V$15,"")</f>
        <v>0.430990685859441</v>
      </c>
      <c r="W47" s="48">
        <f>IFERROR((W15+W46)/W$15,"")</f>
        <v>0.403762852767447</v>
      </c>
      <c r="X47" s="48">
        <f>IFERROR((X15+X46)/X$15,"")</f>
        <v>0.39186837525708</v>
      </c>
      <c r="Y47" s="48">
        <f>IFERROR((Y15+Y46)/Y$15,"")</f>
        <v>0.415006038647343</v>
      </c>
      <c r="Z47" s="48">
        <f>IFERROR((Z15+Z46)/Z$15,"")</f>
        <v>0.399558173784978</v>
      </c>
      <c r="AA47" s="48">
        <f>IFERROR((AA15+AA46)/AA$15,"")</f>
        <v>0.343006993006993</v>
      </c>
      <c r="AB47" s="48">
        <f>IFERROR((AB15+AB46)/AB$15,"")</f>
        <v>0.388960911412296</v>
      </c>
      <c r="AC47" s="48">
        <f>IFERROR((AC15+AC46)/AC$15,"")</f>
        <v>0.34427374301676</v>
      </c>
      <c r="AD47" s="48">
        <f>IFERROR((AD15+AD46)/AD$15,"")</f>
        <v>0.435241361118438</v>
      </c>
      <c r="AE47" s="48">
        <f>IFERROR((AE15+AE46)/AE$15,"")</f>
        <v>0.396873207114171</v>
      </c>
      <c r="AF47" s="41">
        <f>IFERROR((AF15+AF46)/AF$15,"")</f>
        <v>0.266642996627019</v>
      </c>
      <c r="AG47" s="48">
        <f>IFERROR((AG15+AG46)/AG$15,"")</f>
        <v>0.368165155315454</v>
      </c>
      <c r="AH47" s="49">
        <f>IFERROR((AH15+AH46)/AH$15,"")</f>
        <v>0.347930702598653</v>
      </c>
      <c r="AI47" s="49">
        <f>IFERROR((AI15+AI46)/AI$15,"")</f>
        <v>0.385403329065301</v>
      </c>
      <c r="AJ47" s="49">
        <f>Control!$B$19</f>
        <v>0.362727556590057</v>
      </c>
      <c r="AK47" s="49">
        <f>Control!$B$19</f>
        <v>0.362727556590057</v>
      </c>
      <c r="AL47" s="48">
        <f>IFERROR((AL15+AL46)/AL$15,"")</f>
        <v>0.365306913031875</v>
      </c>
      <c r="AM47" s="49">
        <f>Control!$C$19</f>
        <v>0.362727556590057</v>
      </c>
      <c r="AN47" s="49">
        <f>Control!$C$19</f>
        <v>0.362727556590057</v>
      </c>
      <c r="AO47" s="49">
        <f>Control!$C$19</f>
        <v>0.362727556590057</v>
      </c>
      <c r="AP47" s="49">
        <f>Control!$C$19</f>
        <v>0.362727556590057</v>
      </c>
      <c r="AQ47" s="48">
        <f>IFERROR((AQ15+AQ46)/AQ$15,"")</f>
        <v>0.362727556590057</v>
      </c>
      <c r="AR47" s="49">
        <f>Control!$D$19</f>
        <v>0.362727556590057</v>
      </c>
      <c r="AS47" s="49">
        <f>Control!$D$19</f>
        <v>0.362727556590057</v>
      </c>
      <c r="AT47" s="49">
        <f>Control!$D$19</f>
        <v>0.362727556590057</v>
      </c>
      <c r="AU47" s="49">
        <f>Control!$D$19</f>
        <v>0.362727556590057</v>
      </c>
      <c r="AV47" s="48">
        <f>IFERROR((AV15+AV46)/AV$15,"")</f>
        <v>0.362727556590057</v>
      </c>
      <c r="AW47" s="49">
        <f>Control!$E$19</f>
        <v>0.362727556590057</v>
      </c>
      <c r="AX47" s="49">
        <f>Control!$E$19</f>
        <v>0.362727556590057</v>
      </c>
      <c r="AY47" s="49">
        <f>Control!$E$19</f>
        <v>0.362727556590057</v>
      </c>
      <c r="AZ47" s="49">
        <f>Control!$E$19</f>
        <v>0.362727556590057</v>
      </c>
      <c r="BA47" s="48">
        <f>IFERROR((BA15+BA46)/BA$15,"")</f>
        <v>0.362727556590057</v>
      </c>
      <c r="BB47" s="49">
        <f>Control!$F$19</f>
        <v>0.362727556590057</v>
      </c>
      <c r="BC47" s="49">
        <f>Control!$F$19</f>
        <v>0.362727556590057</v>
      </c>
      <c r="BD47" s="49">
        <f>Control!$F$19</f>
        <v>0.362727556590057</v>
      </c>
      <c r="BE47" s="49">
        <f>Control!$F$19</f>
        <v>0.362727556590057</v>
      </c>
      <c r="BF47" s="48">
        <f>IFERROR((BF15+BF46)/BF$15,"")</f>
        <v>0.362727556590057</v>
      </c>
      <c r="BG47" s="49" t="n"/>
      <c r="BH47" s="49" t="n"/>
      <c r="BI47" s="49" t="n"/>
      <c r="BJ47" s="49" t="n"/>
      <c r="BK47" s="48" t="n"/>
      <c r="BL47" s="49" t="n"/>
      <c r="BM47" s="49" t="n"/>
      <c r="BN47" s="49" t="n"/>
      <c r="BO47" s="49" t="n"/>
      <c r="BP47" s="48" t="n"/>
      <c r="BQ47" s="49" t="n"/>
      <c r="BR47" s="49" t="n"/>
      <c r="BS47" s="49" t="n"/>
      <c r="BT47" s="49" t="n"/>
      <c r="BU47" s="48" t="n"/>
      <c r="BV47" s="49" t="n"/>
      <c r="BW47" s="49" t="n"/>
      <c r="BX47" s="49" t="n"/>
      <c r="BY47" s="49" t="n"/>
      <c r="BZ47" s="48" t="n"/>
      <c r="CA47" s="49" t="n"/>
      <c r="CB47" s="49" t="n"/>
      <c r="CC47" s="49" t="n"/>
      <c r="CD47" s="49" t="n"/>
      <c r="CE47" s="48" t="n"/>
      <c r="CF47" s="49" t="n"/>
      <c r="CG47" s="49" t="n"/>
      <c r="CH47" s="49" t="n"/>
      <c r="CI47" s="49" t="n"/>
      <c r="CJ47" s="48" t="n"/>
      <c r="CK47" s="49" t="n"/>
      <c r="CL47" s="49" t="n"/>
      <c r="CM47" s="49" t="n"/>
      <c r="CN47" s="49" t="n"/>
      <c r="CO47" s="48" t="n"/>
      <c r="CP47" s="49" t="n"/>
      <c r="CQ47" s="49" t="n"/>
      <c r="CR47" s="49" t="n"/>
      <c r="CS47" s="49" t="n"/>
      <c r="CT47" s="48" t="n"/>
      <c r="CU47" s="49" t="n"/>
      <c r="CV47" s="49" t="n"/>
      <c r="CW47" s="49" t="n"/>
      <c r="CX47" s="49" t="n"/>
      <c r="CY47" s="48" t="n"/>
    </row>
    <row r="48" hidden="1" outlineLevel="1">
      <c r="C48" s="50" t="n"/>
      <c r="D48" s="50" t="n"/>
      <c r="E48" s="50" t="n"/>
      <c r="F48" s="50" t="n"/>
      <c r="G48" s="50" t="n"/>
      <c r="H48" s="50" t="n"/>
      <c r="I48" s="50" t="n"/>
      <c r="J48" s="50" t="n"/>
      <c r="K48" s="50" t="n"/>
      <c r="L48" s="50" t="n"/>
      <c r="M48" s="50" t="n"/>
      <c r="N48" s="50" t="n"/>
      <c r="O48" s="50" t="n"/>
      <c r="P48" s="50" t="n"/>
      <c r="Q48" s="50" t="n"/>
      <c r="R48" s="50" t="n"/>
      <c r="S48" s="50" t="n"/>
      <c r="T48" s="50" t="n"/>
      <c r="U48" s="50" t="n"/>
      <c r="V48" s="50" t="n"/>
      <c r="W48" s="50" t="n"/>
      <c r="X48" s="50" t="n"/>
      <c r="Y48" s="50" t="n"/>
      <c r="Z48" s="50" t="n"/>
      <c r="AA48" s="50" t="n"/>
      <c r="AB48" s="50" t="n"/>
      <c r="AC48" s="50" t="n"/>
      <c r="AD48" s="50" t="n"/>
      <c r="AE48" s="50" t="n"/>
      <c r="AF48" s="50" t="n"/>
      <c r="AG48" s="50" t="n"/>
      <c r="AH48" s="50" t="n"/>
      <c r="AI48" s="50" t="n"/>
      <c r="AJ48" s="50" t="n"/>
      <c r="AK48" s="50" t="n"/>
      <c r="AL48" s="50" t="n"/>
      <c r="AM48" s="50" t="n"/>
      <c r="AN48" s="50" t="n"/>
      <c r="AO48" s="50" t="n"/>
      <c r="AP48" s="50" t="n"/>
      <c r="AQ48" s="50" t="n"/>
      <c r="AR48" s="50" t="n"/>
      <c r="AS48" s="50" t="n"/>
      <c r="AT48" s="50" t="n"/>
      <c r="AU48" s="50" t="n"/>
      <c r="AV48" s="50" t="n"/>
      <c r="AW48" s="50" t="n"/>
      <c r="AX48" s="50" t="n"/>
      <c r="AY48" s="50" t="n"/>
      <c r="AZ48" s="50" t="n"/>
      <c r="BA48" s="50" t="n"/>
      <c r="BB48" s="50" t="n"/>
      <c r="BC48" s="50" t="n"/>
      <c r="BD48" s="50" t="n"/>
      <c r="BE48" s="50" t="n"/>
      <c r="BF48" s="50" t="n"/>
      <c r="BG48" s="50" t="n"/>
      <c r="BH48" s="50" t="n"/>
      <c r="BI48" s="50" t="n"/>
      <c r="BJ48" s="50" t="n"/>
      <c r="BK48" s="50" t="n"/>
      <c r="BL48" s="50" t="n"/>
      <c r="BM48" s="50" t="n"/>
      <c r="BN48" s="50" t="n"/>
      <c r="BO48" s="50" t="n"/>
      <c r="BP48" s="50" t="n"/>
      <c r="BQ48" s="50" t="n"/>
      <c r="BR48" s="50" t="n"/>
      <c r="BS48" s="50" t="n"/>
      <c r="BT48" s="50" t="n"/>
      <c r="BU48" s="50" t="n"/>
      <c r="BV48" s="50" t="n"/>
      <c r="BW48" s="50" t="n"/>
      <c r="BX48" s="50" t="n"/>
      <c r="BY48" s="50" t="n"/>
      <c r="BZ48" s="50" t="n"/>
      <c r="CA48" s="50" t="n"/>
      <c r="CB48" s="50" t="n"/>
      <c r="CC48" s="50" t="n"/>
      <c r="CD48" s="50" t="n"/>
      <c r="CE48" s="50" t="n"/>
      <c r="CF48" s="50" t="n"/>
      <c r="CG48" s="50" t="n"/>
      <c r="CH48" s="50" t="n"/>
      <c r="CI48" s="50" t="n"/>
      <c r="CJ48" s="50" t="n"/>
      <c r="CK48" s="50" t="n"/>
      <c r="CL48" s="50" t="n"/>
      <c r="CM48" s="50" t="n"/>
      <c r="CN48" s="50" t="n"/>
      <c r="CO48" s="50" t="n"/>
      <c r="CP48" s="50" t="n"/>
      <c r="CQ48" s="50" t="n"/>
      <c r="CR48" s="50" t="n"/>
      <c r="CS48" s="50" t="n"/>
      <c r="CT48" s="50" t="n"/>
      <c r="CU48" s="50" t="n"/>
      <c r="CV48" s="50" t="n"/>
      <c r="CW48" s="50" t="n"/>
      <c r="CX48" s="50" t="n"/>
      <c r="CY48" s="50" t="n"/>
    </row>
    <row r="49" hidden="1" outlineLevel="1">
      <c r="C49" s="50" t="n"/>
      <c r="D49" s="50" t="n"/>
      <c r="E49" s="50" t="n"/>
      <c r="F49" s="50" t="n"/>
      <c r="G49" s="50" t="n"/>
      <c r="H49" s="50" t="n"/>
      <c r="I49" s="50" t="n"/>
      <c r="J49" s="50" t="n"/>
      <c r="K49" s="50" t="n"/>
      <c r="L49" s="50" t="n"/>
      <c r="M49" s="50" t="n"/>
      <c r="N49" s="50" t="n"/>
      <c r="O49" s="50" t="n"/>
      <c r="P49" s="50" t="n"/>
      <c r="Q49" s="50" t="n"/>
      <c r="R49" s="50" t="n"/>
      <c r="S49" s="50" t="n"/>
      <c r="T49" s="50" t="n"/>
      <c r="U49" s="50" t="n"/>
      <c r="V49" s="50" t="n"/>
      <c r="W49" s="50" t="n"/>
      <c r="X49" s="50" t="n"/>
      <c r="Y49" s="50" t="n"/>
      <c r="Z49" s="50" t="n"/>
      <c r="AA49" s="50" t="n"/>
      <c r="AB49" s="50" t="n"/>
      <c r="AC49" s="50" t="n"/>
      <c r="AD49" s="50" t="n"/>
      <c r="AE49" s="50" t="n"/>
      <c r="AF49" s="50" t="n"/>
      <c r="AG49" s="50" t="n"/>
      <c r="AH49" s="50" t="n"/>
      <c r="AI49" s="50" t="n"/>
      <c r="AJ49" s="50" t="n"/>
      <c r="AK49" s="50" t="n"/>
      <c r="AL49" s="50" t="n"/>
      <c r="AM49" s="50" t="n"/>
      <c r="AN49" s="50" t="n"/>
      <c r="AO49" s="50" t="n"/>
      <c r="AP49" s="50" t="n"/>
      <c r="AQ49" s="50" t="n"/>
      <c r="AR49" s="50" t="n"/>
      <c r="AS49" s="50" t="n"/>
      <c r="AT49" s="50" t="n"/>
      <c r="AU49" s="50" t="n"/>
      <c r="AV49" s="50" t="n"/>
      <c r="AW49" s="50" t="n"/>
      <c r="AX49" s="50" t="n"/>
      <c r="AY49" s="50" t="n"/>
      <c r="AZ49" s="50" t="n"/>
      <c r="BA49" s="50" t="n"/>
      <c r="BB49" s="50" t="n"/>
      <c r="BC49" s="50" t="n"/>
      <c r="BD49" s="50" t="n"/>
      <c r="BE49" s="50" t="n"/>
      <c r="BF49" s="50" t="n"/>
      <c r="BG49" s="50" t="n"/>
      <c r="BH49" s="50" t="n"/>
      <c r="BI49" s="50" t="n"/>
      <c r="BJ49" s="50" t="n"/>
      <c r="BK49" s="50" t="n"/>
      <c r="BL49" s="50" t="n"/>
      <c r="BM49" s="50" t="n"/>
      <c r="BN49" s="50" t="n"/>
      <c r="BO49" s="50" t="n"/>
      <c r="BP49" s="50" t="n"/>
      <c r="BQ49" s="50" t="n"/>
      <c r="BR49" s="50" t="n"/>
      <c r="BS49" s="50" t="n"/>
      <c r="BT49" s="50" t="n"/>
      <c r="BU49" s="50" t="n"/>
      <c r="BV49" s="50" t="n"/>
      <c r="BW49" s="50" t="n"/>
      <c r="BX49" s="50" t="n"/>
      <c r="BY49" s="50" t="n"/>
      <c r="BZ49" s="50" t="n"/>
      <c r="CA49" s="50" t="n"/>
      <c r="CB49" s="50" t="n"/>
      <c r="CC49" s="50" t="n"/>
      <c r="CD49" s="50" t="n"/>
      <c r="CE49" s="50" t="n"/>
      <c r="CF49" s="50" t="n"/>
      <c r="CG49" s="50" t="n"/>
      <c r="CH49" s="50" t="n"/>
      <c r="CI49" s="50" t="n"/>
      <c r="CJ49" s="50" t="n"/>
      <c r="CK49" s="50" t="n"/>
      <c r="CL49" s="50" t="n"/>
      <c r="CM49" s="50" t="n"/>
      <c r="CN49" s="50" t="n"/>
      <c r="CO49" s="50" t="n"/>
      <c r="CP49" s="50" t="n"/>
      <c r="CQ49" s="50" t="n"/>
      <c r="CR49" s="50" t="n"/>
      <c r="CS49" s="50" t="n"/>
      <c r="CT49" s="50" t="n"/>
      <c r="CU49" s="50" t="n"/>
      <c r="CV49" s="50" t="n"/>
      <c r="CW49" s="50" t="n"/>
      <c r="CX49" s="50" t="n"/>
      <c r="CY49" s="50" t="n"/>
    </row>
    <row r="50" collapsed="1">
      <c r="C50" s="13" t="inlineStr">
        <is>
          <t>SG&amp;A and Other (cash)</t>
        </is>
      </c>
      <c r="D50" s="46" t="n"/>
      <c r="E50" s="46" t="n"/>
      <c r="F50" s="46" t="n"/>
      <c r="G50" s="46" t="n"/>
      <c r="H50" s="12" t="n"/>
      <c r="I50" s="46">
        <f>'Inputs (2)'!D6</f>
        <v>-112</v>
      </c>
      <c r="J50" s="46">
        <f>'Inputs (2)'!E6</f>
        <v>-131</v>
      </c>
      <c r="K50" s="46">
        <f>'Inputs (2)'!F6</f>
        <v>-70</v>
      </c>
      <c r="L50" s="46">
        <f>'Inputs (2)'!G6</f>
        <v>-136</v>
      </c>
      <c r="M50" s="12">
        <f>'Inputs (2)'!H6</f>
        <v>-449</v>
      </c>
      <c r="N50" s="46">
        <f>'Inputs (2)'!I6</f>
        <v>-155</v>
      </c>
      <c r="O50" s="46">
        <f>'Inputs (2)'!J6</f>
        <v>-152</v>
      </c>
      <c r="P50" s="46">
        <f>'Inputs (2)'!K6</f>
        <v>-142</v>
      </c>
      <c r="Q50" s="46">
        <f>'Inputs (2)'!L6</f>
        <v>-205</v>
      </c>
      <c r="R50" s="12">
        <f>'Inputs (2)'!M6</f>
        <v>-654</v>
      </c>
      <c r="S50" s="46">
        <f>'Inputs (2)'!N6</f>
        <v>-224</v>
      </c>
      <c r="T50" s="46">
        <f>'Inputs (2)'!O6</f>
        <v>-231</v>
      </c>
      <c r="U50" s="46">
        <f>'Inputs (2)'!P6</f>
        <v>-246</v>
      </c>
      <c r="V50" s="46">
        <f>'Inputs (2)'!Q6</f>
        <v>-234</v>
      </c>
      <c r="W50" s="12">
        <f>'Inputs (2)'!R6</f>
        <v>-935</v>
      </c>
      <c r="X50" s="46">
        <f>'Inputs (2)'!S6</f>
        <v>-248</v>
      </c>
      <c r="Y50" s="46">
        <f>'Inputs (2)'!T6</f>
        <v>-191</v>
      </c>
      <c r="Z50" s="46">
        <f>'Inputs (2)'!U6</f>
        <v>-175</v>
      </c>
      <c r="AA50" s="46">
        <f>'Inputs (2)'!V6</f>
        <v>-182</v>
      </c>
      <c r="AB50" s="12">
        <f>'Inputs (2)'!W6</f>
        <v>-796</v>
      </c>
      <c r="AC50" s="46">
        <f>'Inputs (2)'!X6</f>
        <v>-203</v>
      </c>
      <c r="AD50" s="46">
        <f>'Inputs (2)'!Y6</f>
        <v>-200</v>
      </c>
      <c r="AE50" s="46">
        <f>'Inputs (2)'!Z6</f>
        <v>-170</v>
      </c>
      <c r="AF50" s="46">
        <f>'Inputs (2)'!AA6</f>
        <v>-206</v>
      </c>
      <c r="AG50" s="12">
        <f>'Inputs (2)'!AB6</f>
        <v>-779</v>
      </c>
      <c r="AH50" s="12">
        <f>'Inputs (2)'!AC6</f>
        <v>482</v>
      </c>
      <c r="AI50" s="12">
        <f>'Inputs (2)'!AD6</f>
        <v>-183</v>
      </c>
      <c r="AJ50" s="12">
        <f>-AJ15*AJ51</f>
        <v>-84.1471524870267</v>
      </c>
      <c r="AK50" s="12">
        <f>-AK15*AK51</f>
        <v>-67.9863611531012</v>
      </c>
      <c r="AL50" s="12">
        <f>SUM(AH50:AK50)</f>
        <v>146.866486359872</v>
      </c>
      <c r="AM50" s="12">
        <f>-AM15*AM51</f>
        <v>-75.240009839949</v>
      </c>
      <c r="AN50" s="12">
        <f>-AN15*AN51</f>
        <v>-84.8351025288742</v>
      </c>
      <c r="AO50" s="12">
        <f>-AO15*AO51</f>
        <v>-85.2383693312208</v>
      </c>
      <c r="AP50" s="12">
        <f>-AP15*AP51</f>
        <v>-68.8680055138793</v>
      </c>
      <c r="AQ50" s="12">
        <f>SUM(AM50:AP50)</f>
        <v>-314.181487213923</v>
      </c>
      <c r="AR50" s="12">
        <f>-AR15*AR51</f>
        <v>-75.8395191720897</v>
      </c>
      <c r="AS50" s="12">
        <f>-AS15*AS51</f>
        <v>-85.5110651685304</v>
      </c>
      <c r="AT50" s="12">
        <f>-AT15*AT51</f>
        <v>-85.9175451843237</v>
      </c>
      <c r="AU50" s="12">
        <f>-AU15*AU51</f>
        <v>-69.4167429752288</v>
      </c>
      <c r="AV50" s="12">
        <f>SUM(AR50:AU50)</f>
        <v>-316.684872500173</v>
      </c>
      <c r="AW50" s="12">
        <f>-AW15*AW51</f>
        <v>-76.0646077742966</v>
      </c>
      <c r="AX50" s="12">
        <f>-AX15*AX51</f>
        <v>-85.7648585251092</v>
      </c>
      <c r="AY50" s="12">
        <f>-AY15*AY51</f>
        <v>-86.172544957024</v>
      </c>
      <c r="AZ50" s="12">
        <f>-AZ15*AZ51</f>
        <v>-69.6227690394315</v>
      </c>
      <c r="BA50" s="12">
        <f>SUM(AW50:AZ50)</f>
        <v>-317.624780295861</v>
      </c>
      <c r="BB50" s="12">
        <f>-BB15*BB51</f>
        <v>-76.0646077742966</v>
      </c>
      <c r="BC50" s="12">
        <f>-BC15*BC51</f>
        <v>-85.7648585251092</v>
      </c>
      <c r="BD50" s="12">
        <f>-BD15*BD51</f>
        <v>-86.172544957024</v>
      </c>
      <c r="BE50" s="12">
        <f>-BE15*BE51</f>
        <v>-69.6227690394315</v>
      </c>
      <c r="BF50" s="12">
        <f>SUM(BB50:BE50)</f>
        <v>-317.624780295861</v>
      </c>
      <c r="BG50" s="12" t="n"/>
      <c r="BH50" s="12" t="n"/>
      <c r="BI50" s="12" t="n"/>
      <c r="BJ50" s="12" t="n"/>
      <c r="BK50" s="12" t="n"/>
      <c r="BL50" s="12" t="n"/>
      <c r="BM50" s="12" t="n"/>
      <c r="BN50" s="12" t="n"/>
      <c r="BO50" s="12" t="n"/>
      <c r="BP50" s="12" t="n"/>
      <c r="BQ50" s="12" t="n"/>
      <c r="BR50" s="12" t="n"/>
      <c r="BS50" s="12" t="n"/>
      <c r="BT50" s="12" t="n"/>
      <c r="BU50" s="12" t="n"/>
      <c r="BV50" s="12" t="n"/>
      <c r="BW50" s="12" t="n"/>
      <c r="BX50" s="12" t="n"/>
      <c r="BY50" s="12" t="n"/>
      <c r="BZ50" s="12" t="n"/>
      <c r="CA50" s="12" t="n"/>
      <c r="CB50" s="12" t="n"/>
      <c r="CC50" s="12" t="n"/>
      <c r="CD50" s="12" t="n"/>
      <c r="CE50" s="12" t="n"/>
      <c r="CF50" s="12" t="n"/>
      <c r="CG50" s="12" t="n"/>
      <c r="CH50" s="12" t="n"/>
      <c r="CI50" s="12" t="n"/>
      <c r="CJ50" s="12" t="n"/>
      <c r="CK50" s="12" t="n"/>
      <c r="CL50" s="12" t="n"/>
      <c r="CM50" s="12" t="n"/>
      <c r="CN50" s="12" t="n"/>
      <c r="CO50" s="12" t="n"/>
      <c r="CP50" s="12" t="n"/>
      <c r="CQ50" s="12" t="n"/>
      <c r="CR50" s="12" t="n"/>
      <c r="CS50" s="12" t="n"/>
      <c r="CT50" s="12" t="n"/>
      <c r="CU50" s="12" t="n"/>
      <c r="CV50" s="12" t="n"/>
      <c r="CW50" s="12" t="n"/>
      <c r="CX50" s="12" t="n"/>
      <c r="CY50" s="12" t="n"/>
    </row>
    <row r="51" hidden="1" outlineLevel="1">
      <c r="C51" s="38" t="inlineStr">
        <is>
          <t>% SG&amp;A and Other Margin</t>
        </is>
      </c>
      <c r="D51" s="51" t="n"/>
      <c r="E51" s="51" t="n"/>
      <c r="F51" s="51" t="n"/>
      <c r="G51" s="51" t="n"/>
      <c r="H51" s="51" t="n"/>
      <c r="I51" s="51">
        <f>IFERROR(-(I50/I$15),"")</f>
        <v>0.0230927835051546</v>
      </c>
      <c r="J51" s="51">
        <f>IFERROR(-(J50/J$15),"")</f>
        <v>0.0227905358385525</v>
      </c>
      <c r="K51" s="51">
        <f>IFERROR(-(K50/K$15),"")</f>
        <v>0.0115074798619102</v>
      </c>
      <c r="L51" s="51">
        <f>IFERROR(-(L50/L$15),"")</f>
        <v>0.0220635950681376</v>
      </c>
      <c r="M51" s="51">
        <f>IFERROR(-(M50/M$15),"")</f>
        <v>0.0196541912891223</v>
      </c>
      <c r="N51" s="51">
        <f>IFERROR(-(N50/N$15),"")</f>
        <v>0.0234741784037559</v>
      </c>
      <c r="O51" s="51">
        <f>IFERROR(-(O50/O$15),"")</f>
        <v>0.0280649926144756</v>
      </c>
      <c r="P51" s="51">
        <f>IFERROR(-(P50/P$15),"")</f>
        <v>0.0283829702178693</v>
      </c>
      <c r="Q51" s="51">
        <f>IFERROR(-(Q50/Q$15),"")</f>
        <v>0.035602639805488</v>
      </c>
      <c r="R51" s="51">
        <f>IFERROR(-(R50/R$15),"")</f>
        <v>0.0287093942054434</v>
      </c>
      <c r="S51" s="51">
        <f>IFERROR(-(S50/S$15),"")</f>
        <v>0.0415661532751902</v>
      </c>
      <c r="T51" s="51">
        <f>IFERROR(-(T50/T$15),"")</f>
        <v>0.0402649468363256</v>
      </c>
      <c r="U51" s="51">
        <f>IFERROR(-(U50/U$15),"")</f>
        <v>0.042239010989011</v>
      </c>
      <c r="V51" s="51">
        <f>IFERROR(-(V50/V$15),"")</f>
        <v>0.0396274343776461</v>
      </c>
      <c r="W51" s="51">
        <f>IFERROR(-(W50/W$15),"")</f>
        <v>0.0409100853204988</v>
      </c>
      <c r="X51" s="51">
        <f>IFERROR(-(X50/X$15),"")</f>
        <v>0.039234298370511</v>
      </c>
      <c r="Y51" s="51">
        <f>IFERROR(-(Y50/Y$15),"")</f>
        <v>0.0288345410628019</v>
      </c>
      <c r="Z51" s="51">
        <f>IFERROR(-(Z50/Z$15),"")</f>
        <v>0.0257731958762887</v>
      </c>
      <c r="AA51" s="51">
        <f>IFERROR(-(AA50/AA$15),"")</f>
        <v>0.0318181818181818</v>
      </c>
      <c r="AB51" s="51">
        <f>IFERROR(-(AB50/AB$15),"")</f>
        <v>0.0312708701630328</v>
      </c>
      <c r="AC51" s="51">
        <f>IFERROR(-(AC50/AC$15),"")</f>
        <v>0.0354399441340782</v>
      </c>
      <c r="AD51" s="51">
        <f>IFERROR(-(AD50/AD$15),"")</f>
        <v>0.0263782643102084</v>
      </c>
      <c r="AE51" s="51">
        <f>IFERROR(-(AE50/AE$15),"")</f>
        <v>0.0243832472748135</v>
      </c>
      <c r="AF51" s="41">
        <f>IFERROR(-(AF50/AF$15),"")</f>
        <v>0.0365702112551039</v>
      </c>
      <c r="AG51" s="51">
        <f>IFERROR(-(AG50/AG$15),"")</f>
        <v>0.0300598109203164</v>
      </c>
      <c r="AH51" s="52">
        <f>IFERROR(-(AH50/AH$15),"")</f>
        <v>-0.0773179339108117</v>
      </c>
      <c r="AI51" s="52">
        <f>IFERROR(-(AI50/AI$15),"")</f>
        <v>0.0260349978659838</v>
      </c>
      <c r="AJ51" s="52">
        <f>Control!$B$20</f>
        <v>0.0119147884882294</v>
      </c>
      <c r="AK51" s="52">
        <f>Control!$B$20</f>
        <v>0.0119147884882294</v>
      </c>
      <c r="AL51" s="51">
        <f>IFERROR(-(AL50/AL$15),"")</f>
        <v>-0.00564188408968909</v>
      </c>
      <c r="AM51" s="52">
        <f>Control!$C$20</f>
        <v>0.0119147884882294</v>
      </c>
      <c r="AN51" s="52">
        <f>Control!$C$20</f>
        <v>0.0119147884882294</v>
      </c>
      <c r="AO51" s="52">
        <f>Control!$C$20</f>
        <v>0.0119147884882294</v>
      </c>
      <c r="AP51" s="52">
        <f>Control!$C$20</f>
        <v>0.0119147884882294</v>
      </c>
      <c r="AQ51" s="51">
        <f>IFERROR(-(AQ50/AQ$15),"")</f>
        <v>0.0119147884882294</v>
      </c>
      <c r="AR51" s="52">
        <f>Control!$D$20</f>
        <v>0.0119147884882294</v>
      </c>
      <c r="AS51" s="52">
        <f>Control!$D$20</f>
        <v>0.0119147884882294</v>
      </c>
      <c r="AT51" s="52">
        <f>Control!$D$20</f>
        <v>0.0119147884882294</v>
      </c>
      <c r="AU51" s="52">
        <f>Control!$D$20</f>
        <v>0.0119147884882294</v>
      </c>
      <c r="AV51" s="51">
        <f>IFERROR(-(AV50/AV$15),"")</f>
        <v>0.0119147884882294</v>
      </c>
      <c r="AW51" s="52">
        <f>Control!$E$20</f>
        <v>0.0119147884882294</v>
      </c>
      <c r="AX51" s="52">
        <f>Control!$E$20</f>
        <v>0.0119147884882294</v>
      </c>
      <c r="AY51" s="52">
        <f>Control!$E$20</f>
        <v>0.0119147884882294</v>
      </c>
      <c r="AZ51" s="52">
        <f>Control!$E$20</f>
        <v>0.0119147884882294</v>
      </c>
      <c r="BA51" s="51">
        <f>IFERROR(-(BA50/BA$15),"")</f>
        <v>0.0119147884882294</v>
      </c>
      <c r="BB51" s="52">
        <f>Control!$F$20</f>
        <v>0.0119147884882294</v>
      </c>
      <c r="BC51" s="52">
        <f>Control!$F$20</f>
        <v>0.0119147884882294</v>
      </c>
      <c r="BD51" s="52">
        <f>Control!$F$20</f>
        <v>0.0119147884882294</v>
      </c>
      <c r="BE51" s="52">
        <f>Control!$F$20</f>
        <v>0.0119147884882294</v>
      </c>
      <c r="BF51" s="51">
        <f>IFERROR(-(BF50/BF$15),"")</f>
        <v>0.0119147884882294</v>
      </c>
      <c r="BG51" s="52" t="n"/>
      <c r="BH51" s="52" t="n"/>
      <c r="BI51" s="52" t="n"/>
      <c r="BJ51" s="52" t="n"/>
      <c r="BK51" s="51" t="n"/>
      <c r="BL51" s="52" t="n"/>
      <c r="BM51" s="52" t="n"/>
      <c r="BN51" s="52" t="n"/>
      <c r="BO51" s="52" t="n"/>
      <c r="BP51" s="51" t="n"/>
      <c r="BQ51" s="52" t="n"/>
      <c r="BR51" s="52" t="n"/>
      <c r="BS51" s="52" t="n"/>
      <c r="BT51" s="52" t="n"/>
      <c r="BU51" s="51" t="n"/>
      <c r="BV51" s="52" t="n"/>
      <c r="BW51" s="52" t="n"/>
      <c r="BX51" s="52" t="n"/>
      <c r="BY51" s="52" t="n"/>
      <c r="BZ51" s="51" t="n"/>
      <c r="CA51" s="52" t="n"/>
      <c r="CB51" s="52" t="n"/>
      <c r="CC51" s="52" t="n"/>
      <c r="CD51" s="52" t="n"/>
      <c r="CE51" s="51" t="n"/>
      <c r="CF51" s="52" t="n"/>
      <c r="CG51" s="52" t="n"/>
      <c r="CH51" s="52" t="n"/>
      <c r="CI51" s="52" t="n"/>
      <c r="CJ51" s="51" t="n"/>
      <c r="CK51" s="52" t="n"/>
      <c r="CL51" s="52" t="n"/>
      <c r="CM51" s="52" t="n"/>
      <c r="CN51" s="52" t="n"/>
      <c r="CO51" s="51" t="n"/>
      <c r="CP51" s="52" t="n"/>
      <c r="CQ51" s="52" t="n"/>
      <c r="CR51" s="52" t="n"/>
      <c r="CS51" s="52" t="n"/>
      <c r="CT51" s="51" t="n"/>
      <c r="CU51" s="52" t="n"/>
      <c r="CV51" s="52" t="n"/>
      <c r="CW51" s="52" t="n"/>
      <c r="CX51" s="52" t="n"/>
      <c r="CY51" s="51" t="n"/>
    </row>
    <row r="52" hidden="1" outlineLevel="1">
      <c r="C52" s="50" t="n"/>
      <c r="D52" s="50" t="n"/>
      <c r="E52" s="50" t="n"/>
      <c r="F52" s="50" t="n"/>
      <c r="G52" s="50" t="n"/>
      <c r="H52" s="50" t="n"/>
      <c r="I52" s="50" t="n"/>
      <c r="J52" s="50" t="n"/>
      <c r="K52" s="50" t="n"/>
      <c r="L52" s="50" t="n"/>
      <c r="M52" s="50" t="n"/>
      <c r="N52" s="50" t="n"/>
      <c r="O52" s="50" t="n"/>
      <c r="P52" s="50" t="n"/>
      <c r="Q52" s="50" t="n"/>
      <c r="R52" s="50" t="n"/>
      <c r="S52" s="50" t="n"/>
      <c r="T52" s="50" t="n"/>
      <c r="U52" s="50" t="n"/>
      <c r="V52" s="50" t="n"/>
      <c r="W52" s="50" t="n"/>
      <c r="X52" s="50" t="n"/>
      <c r="Y52" s="50" t="n"/>
      <c r="Z52" s="50" t="n"/>
      <c r="AA52" s="50" t="n"/>
      <c r="AB52" s="50" t="n"/>
      <c r="AC52" s="50" t="n"/>
      <c r="AD52" s="50" t="n"/>
      <c r="AE52" s="50" t="n"/>
      <c r="AF52" s="50" t="n"/>
      <c r="AG52" s="50" t="n"/>
      <c r="AH52" s="50" t="n"/>
      <c r="AI52" s="50" t="n"/>
      <c r="AJ52" s="50" t="n"/>
      <c r="AK52" s="50" t="n"/>
      <c r="AL52" s="50" t="n"/>
      <c r="AM52" s="50" t="n"/>
      <c r="AN52" s="50" t="n"/>
      <c r="AO52" s="50" t="n"/>
      <c r="AP52" s="50" t="n"/>
      <c r="AQ52" s="50" t="n"/>
      <c r="AR52" s="50" t="n"/>
      <c r="AS52" s="50" t="n"/>
      <c r="AT52" s="50" t="n"/>
      <c r="AU52" s="50" t="n"/>
      <c r="AV52" s="50" t="n"/>
      <c r="AW52" s="50" t="n"/>
      <c r="AX52" s="50" t="n"/>
      <c r="AY52" s="50" t="n"/>
      <c r="AZ52" s="50" t="n"/>
      <c r="BA52" s="50" t="n"/>
      <c r="BB52" s="50" t="n"/>
      <c r="BC52" s="50" t="n"/>
      <c r="BD52" s="50" t="n"/>
      <c r="BE52" s="50" t="n"/>
      <c r="BF52" s="50" t="n"/>
      <c r="BG52" s="50" t="n"/>
      <c r="BH52" s="50" t="n"/>
      <c r="BI52" s="50" t="n"/>
      <c r="BJ52" s="50" t="n"/>
      <c r="BK52" s="50" t="n"/>
      <c r="BL52" s="50" t="n"/>
      <c r="BM52" s="50" t="n"/>
      <c r="BN52" s="50" t="n"/>
      <c r="BO52" s="50" t="n"/>
      <c r="BP52" s="50" t="n"/>
      <c r="BQ52" s="50" t="n"/>
      <c r="BR52" s="50" t="n"/>
      <c r="BS52" s="50" t="n"/>
      <c r="BT52" s="50" t="n"/>
      <c r="BU52" s="50" t="n"/>
      <c r="BV52" s="50" t="n"/>
      <c r="BW52" s="50" t="n"/>
      <c r="BX52" s="50" t="n"/>
      <c r="BY52" s="50" t="n"/>
      <c r="BZ52" s="50" t="n"/>
      <c r="CA52" s="50" t="n"/>
      <c r="CB52" s="50" t="n"/>
      <c r="CC52" s="50" t="n"/>
      <c r="CD52" s="50" t="n"/>
      <c r="CE52" s="50" t="n"/>
      <c r="CF52" s="50" t="n"/>
      <c r="CG52" s="50" t="n"/>
      <c r="CH52" s="50" t="n"/>
      <c r="CI52" s="50" t="n"/>
      <c r="CJ52" s="50" t="n"/>
      <c r="CK52" s="50" t="n"/>
      <c r="CL52" s="50" t="n"/>
      <c r="CM52" s="50" t="n"/>
      <c r="CN52" s="50" t="n"/>
      <c r="CO52" s="50" t="n"/>
      <c r="CP52" s="50" t="n"/>
      <c r="CQ52" s="50" t="n"/>
      <c r="CR52" s="50" t="n"/>
      <c r="CS52" s="50" t="n"/>
      <c r="CT52" s="50" t="n"/>
      <c r="CU52" s="50" t="n"/>
      <c r="CV52" s="50" t="n"/>
      <c r="CW52" s="50" t="n"/>
      <c r="CX52" s="50" t="n"/>
      <c r="CY52" s="50" t="n"/>
    </row>
    <row r="53" hidden="1" outlineLevel="1">
      <c r="C53" s="50" t="inlineStr">
        <is>
          <t>Com Vendas</t>
        </is>
      </c>
      <c r="D53" s="11" t="n"/>
      <c r="E53" s="11" t="n"/>
      <c r="F53" s="11" t="n"/>
      <c r="G53" s="11" t="n"/>
      <c r="H53" s="50" t="n"/>
      <c r="I53" s="11" t="n"/>
      <c r="J53" s="11" t="n"/>
      <c r="K53" s="11" t="n"/>
      <c r="L53" s="11" t="n"/>
      <c r="M53" s="50" t="n"/>
      <c r="N53" s="11" t="n"/>
      <c r="O53" s="11" t="n"/>
      <c r="P53" s="11" t="n"/>
      <c r="Q53" s="11" t="n"/>
      <c r="R53" s="50" t="n"/>
      <c r="S53" s="11" t="n"/>
      <c r="T53" s="11" t="n"/>
      <c r="U53" s="11" t="n"/>
      <c r="V53" s="11" t="n"/>
      <c r="W53" s="50" t="n"/>
      <c r="X53" s="11" t="n"/>
      <c r="Y53" s="11" t="n"/>
      <c r="Z53" s="11" t="n"/>
      <c r="AA53" s="11" t="n"/>
      <c r="AB53" s="50" t="n"/>
      <c r="AC53" s="11" t="n"/>
      <c r="AD53" s="11" t="n"/>
      <c r="AE53" s="11" t="n"/>
      <c r="AF53" s="11" t="n"/>
      <c r="AG53" s="50" t="n"/>
      <c r="AH53" s="50" t="n"/>
      <c r="AI53" s="50" t="n"/>
      <c r="AJ53" s="50" t="n"/>
      <c r="AK53" s="50" t="n"/>
      <c r="AL53" s="50" t="n"/>
      <c r="AM53" s="50" t="n"/>
      <c r="AN53" s="50" t="n"/>
      <c r="AO53" s="50" t="n"/>
      <c r="AP53" s="50" t="n"/>
      <c r="AQ53" s="50" t="n"/>
      <c r="AR53" s="50" t="n"/>
      <c r="AS53" s="50" t="n"/>
      <c r="AT53" s="50" t="n"/>
      <c r="AU53" s="50" t="n"/>
      <c r="AV53" s="50" t="n"/>
      <c r="AW53" s="50" t="n"/>
      <c r="AX53" s="50" t="n"/>
      <c r="AY53" s="50" t="n"/>
      <c r="AZ53" s="50" t="n"/>
      <c r="BA53" s="50" t="n"/>
      <c r="BB53" s="50" t="n"/>
      <c r="BC53" s="50" t="n"/>
      <c r="BD53" s="50" t="n"/>
      <c r="BE53" s="50" t="n"/>
      <c r="BF53" s="50" t="n"/>
      <c r="BG53" s="50" t="n"/>
      <c r="BH53" s="50" t="n"/>
      <c r="BI53" s="50" t="n"/>
      <c r="BJ53" s="50" t="n"/>
      <c r="BK53" s="50" t="n"/>
      <c r="BL53" s="50" t="n"/>
      <c r="BM53" s="50" t="n"/>
      <c r="BN53" s="50" t="n"/>
      <c r="BO53" s="50" t="n"/>
      <c r="BP53" s="50" t="n"/>
      <c r="BQ53" s="50" t="n"/>
      <c r="BR53" s="50" t="n"/>
      <c r="BS53" s="50" t="n"/>
      <c r="BT53" s="50" t="n"/>
      <c r="BU53" s="50" t="n"/>
      <c r="BV53" s="50" t="n"/>
      <c r="BW53" s="50" t="n"/>
      <c r="BX53" s="50" t="n"/>
      <c r="BY53" s="50" t="n"/>
      <c r="BZ53" s="50" t="n"/>
      <c r="CA53" s="50" t="n"/>
      <c r="CB53" s="50" t="n"/>
      <c r="CC53" s="50" t="n"/>
      <c r="CD53" s="50" t="n"/>
      <c r="CE53" s="50" t="n"/>
      <c r="CF53" s="50" t="n"/>
      <c r="CG53" s="50" t="n"/>
      <c r="CH53" s="50" t="n"/>
      <c r="CI53" s="50" t="n"/>
      <c r="CJ53" s="50" t="n"/>
      <c r="CK53" s="50" t="n"/>
      <c r="CL53" s="50" t="n"/>
      <c r="CM53" s="50" t="n"/>
      <c r="CN53" s="50" t="n"/>
      <c r="CO53" s="50" t="n"/>
      <c r="CP53" s="50" t="n"/>
      <c r="CQ53" s="50" t="n"/>
      <c r="CR53" s="50" t="n"/>
      <c r="CS53" s="50" t="n"/>
      <c r="CT53" s="50" t="n"/>
      <c r="CU53" s="50" t="n"/>
      <c r="CV53" s="50" t="n"/>
      <c r="CW53" s="50" t="n"/>
      <c r="CX53" s="50" t="n"/>
      <c r="CY53" s="50" t="n"/>
    </row>
    <row r="54" hidden="1" outlineLevel="1">
      <c r="C54" s="50" t="inlineStr">
        <is>
          <t>Gerais &amp; Administrativas</t>
        </is>
      </c>
      <c r="D54" s="11" t="n"/>
      <c r="E54" s="11" t="n"/>
      <c r="F54" s="11" t="n"/>
      <c r="G54" s="11" t="n"/>
      <c r="H54" s="50" t="n"/>
      <c r="I54" s="11" t="n"/>
      <c r="J54" s="11" t="n"/>
      <c r="K54" s="11" t="n"/>
      <c r="L54" s="11" t="n"/>
      <c r="M54" s="50" t="n"/>
      <c r="N54" s="11" t="n"/>
      <c r="O54" s="11" t="n"/>
      <c r="P54" s="11" t="n"/>
      <c r="Q54" s="11" t="n"/>
      <c r="R54" s="50" t="n"/>
      <c r="S54" s="11" t="n"/>
      <c r="T54" s="11" t="n"/>
      <c r="U54" s="11" t="n"/>
      <c r="V54" s="11" t="n"/>
      <c r="W54" s="50" t="n"/>
      <c r="X54" s="11" t="n"/>
      <c r="Y54" s="11" t="n"/>
      <c r="Z54" s="11" t="n"/>
      <c r="AA54" s="11" t="n"/>
      <c r="AB54" s="50" t="n"/>
      <c r="AC54" s="11" t="n"/>
      <c r="AD54" s="11" t="n"/>
      <c r="AE54" s="11" t="n"/>
      <c r="AF54" s="11" t="n"/>
      <c r="AG54" s="50" t="n"/>
      <c r="AH54" s="50" t="n"/>
      <c r="AI54" s="50" t="n"/>
      <c r="AJ54" s="50" t="n"/>
      <c r="AK54" s="50" t="n"/>
      <c r="AL54" s="50" t="n"/>
      <c r="AM54" s="50" t="n"/>
      <c r="AN54" s="50" t="n"/>
      <c r="AO54" s="50" t="n"/>
      <c r="AP54" s="50" t="n"/>
      <c r="AQ54" s="50" t="n"/>
      <c r="AR54" s="50" t="n"/>
      <c r="AS54" s="50" t="n"/>
      <c r="AT54" s="50" t="n"/>
      <c r="AU54" s="50" t="n"/>
      <c r="AV54" s="50" t="n"/>
      <c r="AW54" s="50" t="n"/>
      <c r="AX54" s="50" t="n"/>
      <c r="AY54" s="50" t="n"/>
      <c r="AZ54" s="50" t="n"/>
      <c r="BA54" s="50" t="n"/>
      <c r="BB54" s="50" t="n"/>
      <c r="BC54" s="50" t="n"/>
      <c r="BD54" s="50" t="n"/>
      <c r="BE54" s="50" t="n"/>
      <c r="BF54" s="50" t="n"/>
      <c r="BG54" s="50" t="n"/>
      <c r="BH54" s="50" t="n"/>
      <c r="BI54" s="50" t="n"/>
      <c r="BJ54" s="50" t="n"/>
      <c r="BK54" s="50" t="n"/>
      <c r="BL54" s="50" t="n"/>
      <c r="BM54" s="50" t="n"/>
      <c r="BN54" s="50" t="n"/>
      <c r="BO54" s="50" t="n"/>
      <c r="BP54" s="50" t="n"/>
      <c r="BQ54" s="50" t="n"/>
      <c r="BR54" s="50" t="n"/>
      <c r="BS54" s="50" t="n"/>
      <c r="BT54" s="50" t="n"/>
      <c r="BU54" s="50" t="n"/>
      <c r="BV54" s="50" t="n"/>
      <c r="BW54" s="50" t="n"/>
      <c r="BX54" s="50" t="n"/>
      <c r="BY54" s="50" t="n"/>
      <c r="BZ54" s="50" t="n"/>
      <c r="CA54" s="50" t="n"/>
      <c r="CB54" s="50" t="n"/>
      <c r="CC54" s="50" t="n"/>
      <c r="CD54" s="50" t="n"/>
      <c r="CE54" s="50" t="n"/>
      <c r="CF54" s="50" t="n"/>
      <c r="CG54" s="50" t="n"/>
      <c r="CH54" s="50" t="n"/>
      <c r="CI54" s="50" t="n"/>
      <c r="CJ54" s="50" t="n"/>
      <c r="CK54" s="50" t="n"/>
      <c r="CL54" s="50" t="n"/>
      <c r="CM54" s="50" t="n"/>
      <c r="CN54" s="50" t="n"/>
      <c r="CO54" s="50" t="n"/>
      <c r="CP54" s="50" t="n"/>
      <c r="CQ54" s="50" t="n"/>
      <c r="CR54" s="50" t="n"/>
      <c r="CS54" s="50" t="n"/>
      <c r="CT54" s="50" t="n"/>
      <c r="CU54" s="50" t="n"/>
      <c r="CV54" s="50" t="n"/>
      <c r="CW54" s="50" t="n"/>
      <c r="CX54" s="50" t="n"/>
      <c r="CY54" s="50" t="n"/>
    </row>
    <row r="55" hidden="1" outlineLevel="1">
      <c r="C55" s="50" t="inlineStr">
        <is>
          <t>Outras Receitas (Despesas) Operacionais, Líquidas</t>
        </is>
      </c>
      <c r="D55" s="11" t="n"/>
      <c r="E55" s="11" t="n"/>
      <c r="F55" s="11" t="n"/>
      <c r="G55" s="11" t="n"/>
      <c r="H55" s="50" t="n"/>
      <c r="I55" s="11" t="n"/>
      <c r="J55" s="11" t="n"/>
      <c r="K55" s="11" t="n"/>
      <c r="L55" s="11" t="n"/>
      <c r="M55" s="50" t="n"/>
      <c r="N55" s="11" t="n"/>
      <c r="O55" s="11" t="n"/>
      <c r="P55" s="11" t="n"/>
      <c r="Q55" s="11" t="n"/>
      <c r="R55" s="50" t="n"/>
      <c r="S55" s="11" t="n"/>
      <c r="T55" s="11" t="n"/>
      <c r="U55" s="11" t="n"/>
      <c r="V55" s="11" t="n"/>
      <c r="W55" s="50" t="n"/>
      <c r="X55" s="11" t="n"/>
      <c r="Y55" s="11" t="n"/>
      <c r="Z55" s="11" t="n"/>
      <c r="AA55" s="11" t="n"/>
      <c r="AB55" s="50" t="n"/>
      <c r="AC55" s="11" t="n"/>
      <c r="AD55" s="11" t="n"/>
      <c r="AE55" s="11" t="n"/>
      <c r="AF55" s="11" t="n"/>
      <c r="AG55" s="50" t="n"/>
      <c r="AH55" s="50" t="n"/>
      <c r="AI55" s="50" t="n"/>
      <c r="AJ55" s="50" t="n"/>
      <c r="AK55" s="50" t="n"/>
      <c r="AL55" s="50" t="n"/>
      <c r="AM55" s="50" t="n"/>
      <c r="AN55" s="50" t="n"/>
      <c r="AO55" s="50" t="n"/>
      <c r="AP55" s="50" t="n"/>
      <c r="AQ55" s="50" t="n"/>
      <c r="AR55" s="50" t="n"/>
      <c r="AS55" s="50" t="n"/>
      <c r="AT55" s="50" t="n"/>
      <c r="AU55" s="50" t="n"/>
      <c r="AV55" s="50" t="n"/>
      <c r="AW55" s="50" t="n"/>
      <c r="AX55" s="50" t="n"/>
      <c r="AY55" s="50" t="n"/>
      <c r="AZ55" s="50" t="n"/>
      <c r="BA55" s="50" t="n"/>
      <c r="BB55" s="50" t="n"/>
      <c r="BC55" s="50" t="n"/>
      <c r="BD55" s="50" t="n"/>
      <c r="BE55" s="50" t="n"/>
      <c r="BF55" s="50" t="n"/>
      <c r="BG55" s="50" t="n"/>
      <c r="BH55" s="50" t="n"/>
      <c r="BI55" s="50" t="n"/>
      <c r="BJ55" s="50" t="n"/>
      <c r="BK55" s="50" t="n"/>
      <c r="BL55" s="50" t="n"/>
      <c r="BM55" s="50" t="n"/>
      <c r="BN55" s="50" t="n"/>
      <c r="BO55" s="50" t="n"/>
      <c r="BP55" s="50" t="n"/>
      <c r="BQ55" s="50" t="n"/>
      <c r="BR55" s="50" t="n"/>
      <c r="BS55" s="50" t="n"/>
      <c r="BT55" s="50" t="n"/>
      <c r="BU55" s="50" t="n"/>
      <c r="BV55" s="50" t="n"/>
      <c r="BW55" s="50" t="n"/>
      <c r="BX55" s="50" t="n"/>
      <c r="BY55" s="50" t="n"/>
      <c r="BZ55" s="50" t="n"/>
      <c r="CA55" s="50" t="n"/>
      <c r="CB55" s="50" t="n"/>
      <c r="CC55" s="50" t="n"/>
      <c r="CD55" s="50" t="n"/>
      <c r="CE55" s="50" t="n"/>
      <c r="CF55" s="50" t="n"/>
      <c r="CG55" s="50" t="n"/>
      <c r="CH55" s="50" t="n"/>
      <c r="CI55" s="50" t="n"/>
      <c r="CJ55" s="50" t="n"/>
      <c r="CK55" s="50" t="n"/>
      <c r="CL55" s="50" t="n"/>
      <c r="CM55" s="50" t="n"/>
      <c r="CN55" s="50" t="n"/>
      <c r="CO55" s="50" t="n"/>
      <c r="CP55" s="50" t="n"/>
      <c r="CQ55" s="50" t="n"/>
      <c r="CR55" s="50" t="n"/>
      <c r="CS55" s="50" t="n"/>
      <c r="CT55" s="50" t="n"/>
      <c r="CU55" s="50" t="n"/>
      <c r="CV55" s="50" t="n"/>
      <c r="CW55" s="50" t="n"/>
      <c r="CX55" s="50" t="n"/>
      <c r="CY55" s="50" t="n"/>
    </row>
    <row r="56" hidden="1" outlineLevel="1">
      <c r="C56" s="50" t="n"/>
      <c r="D56" s="50" t="n"/>
      <c r="E56" s="50" t="n"/>
      <c r="F56" s="50" t="n"/>
      <c r="G56" s="50" t="n"/>
      <c r="H56" s="50" t="n"/>
      <c r="I56" s="50" t="n"/>
      <c r="J56" s="50" t="n"/>
      <c r="K56" s="50" t="n"/>
      <c r="L56" s="50" t="n"/>
      <c r="M56" s="50" t="n"/>
      <c r="N56" s="50" t="n"/>
      <c r="O56" s="50" t="n"/>
      <c r="P56" s="50" t="n"/>
      <c r="Q56" s="50" t="n"/>
      <c r="R56" s="50" t="n"/>
      <c r="S56" s="50" t="n"/>
      <c r="T56" s="50" t="n"/>
      <c r="U56" s="50" t="n"/>
      <c r="V56" s="50" t="n"/>
      <c r="W56" s="50" t="n"/>
      <c r="X56" s="50" t="n"/>
      <c r="Y56" s="50" t="n"/>
      <c r="Z56" s="50" t="n"/>
      <c r="AA56" s="50" t="n"/>
      <c r="AB56" s="50" t="n"/>
      <c r="AC56" s="50" t="n"/>
      <c r="AD56" s="50" t="n"/>
      <c r="AE56" s="50" t="n"/>
      <c r="AF56" s="50" t="n"/>
      <c r="AG56" s="50" t="n"/>
      <c r="AH56" s="50" t="n"/>
      <c r="AI56" s="50" t="n"/>
      <c r="AJ56" s="50" t="n"/>
      <c r="AK56" s="50" t="n"/>
      <c r="AL56" s="50" t="n"/>
      <c r="AM56" s="50" t="n"/>
      <c r="AN56" s="50" t="n"/>
      <c r="AO56" s="50" t="n"/>
      <c r="AP56" s="50" t="n"/>
      <c r="AQ56" s="50" t="n"/>
      <c r="AR56" s="50" t="n"/>
      <c r="AS56" s="50" t="n"/>
      <c r="AT56" s="50" t="n"/>
      <c r="AU56" s="50" t="n"/>
      <c r="AV56" s="50" t="n"/>
      <c r="AW56" s="50" t="n"/>
      <c r="AX56" s="50" t="n"/>
      <c r="AY56" s="50" t="n"/>
      <c r="AZ56" s="50" t="n"/>
      <c r="BA56" s="50" t="n"/>
      <c r="BB56" s="50" t="n"/>
      <c r="BC56" s="50" t="n"/>
      <c r="BD56" s="50" t="n"/>
      <c r="BE56" s="50" t="n"/>
      <c r="BF56" s="50" t="n"/>
      <c r="BG56" s="50" t="n"/>
      <c r="BH56" s="50" t="n"/>
      <c r="BI56" s="50" t="n"/>
      <c r="BJ56" s="50" t="n"/>
      <c r="BK56" s="50" t="n"/>
      <c r="BL56" s="50" t="n"/>
      <c r="BM56" s="50" t="n"/>
      <c r="BN56" s="50" t="n"/>
      <c r="BO56" s="50" t="n"/>
      <c r="BP56" s="50" t="n"/>
      <c r="BQ56" s="50" t="n"/>
      <c r="BR56" s="50" t="n"/>
      <c r="BS56" s="50" t="n"/>
      <c r="BT56" s="50" t="n"/>
      <c r="BU56" s="50" t="n"/>
      <c r="BV56" s="50" t="n"/>
      <c r="BW56" s="50" t="n"/>
      <c r="BX56" s="50" t="n"/>
      <c r="BY56" s="50" t="n"/>
      <c r="BZ56" s="50" t="n"/>
      <c r="CA56" s="50" t="n"/>
      <c r="CB56" s="50" t="n"/>
      <c r="CC56" s="50" t="n"/>
      <c r="CD56" s="50" t="n"/>
      <c r="CE56" s="50" t="n"/>
      <c r="CF56" s="50" t="n"/>
      <c r="CG56" s="50" t="n"/>
      <c r="CH56" s="50" t="n"/>
      <c r="CI56" s="50" t="n"/>
      <c r="CJ56" s="50" t="n"/>
      <c r="CK56" s="50" t="n"/>
      <c r="CL56" s="50" t="n"/>
      <c r="CM56" s="50" t="n"/>
      <c r="CN56" s="50" t="n"/>
      <c r="CO56" s="50" t="n"/>
      <c r="CP56" s="50" t="n"/>
      <c r="CQ56" s="50" t="n"/>
      <c r="CR56" s="50" t="n"/>
      <c r="CS56" s="50" t="n"/>
      <c r="CT56" s="50" t="n"/>
      <c r="CU56" s="50" t="n"/>
      <c r="CV56" s="50" t="n"/>
      <c r="CW56" s="50" t="n"/>
      <c r="CX56" s="50" t="n"/>
      <c r="CY56" s="50" t="n"/>
    </row>
    <row r="57" hidden="1" outlineLevel="1">
      <c r="C57" s="50" t="inlineStr">
        <is>
          <t>Com Vendas (%)</t>
        </is>
      </c>
      <c r="D57" s="50" t="n"/>
      <c r="E57" s="50" t="n"/>
      <c r="F57" s="50" t="n"/>
      <c r="G57" s="50" t="n"/>
      <c r="H57" s="50" t="n"/>
      <c r="I57" s="50" t="n"/>
      <c r="J57" s="50" t="n"/>
      <c r="K57" s="50" t="n"/>
      <c r="L57" s="50" t="n"/>
      <c r="M57" s="50" t="n"/>
      <c r="N57" s="50" t="n"/>
      <c r="O57" s="50" t="n"/>
      <c r="P57" s="50" t="n"/>
      <c r="Q57" s="50" t="n"/>
      <c r="R57" s="50" t="n"/>
      <c r="S57" s="50" t="n"/>
      <c r="T57" s="50" t="n"/>
      <c r="U57" s="50" t="n"/>
      <c r="V57" s="50" t="n"/>
      <c r="W57" s="50" t="n"/>
      <c r="X57" s="50" t="n"/>
      <c r="Y57" s="50" t="n"/>
      <c r="Z57" s="50" t="n"/>
      <c r="AA57" s="50" t="n"/>
      <c r="AB57" s="50" t="n"/>
      <c r="AC57" s="50" t="n"/>
      <c r="AD57" s="50" t="n"/>
      <c r="AE57" s="50" t="n"/>
      <c r="AF57" s="50" t="n"/>
      <c r="AG57" s="50" t="n"/>
      <c r="AH57" s="50" t="n"/>
      <c r="AI57" s="50" t="n"/>
      <c r="AJ57" s="50" t="n"/>
      <c r="AK57" s="50" t="n"/>
      <c r="AL57" s="50" t="n"/>
      <c r="AM57" s="50" t="n"/>
      <c r="AN57" s="50" t="n"/>
      <c r="AO57" s="50" t="n"/>
      <c r="AP57" s="50" t="n"/>
      <c r="AQ57" s="50" t="n"/>
      <c r="AR57" s="50" t="n"/>
      <c r="AS57" s="50" t="n"/>
      <c r="AT57" s="50" t="n"/>
      <c r="AU57" s="50" t="n"/>
      <c r="AV57" s="50" t="n"/>
      <c r="AW57" s="50" t="n"/>
      <c r="AX57" s="50" t="n"/>
      <c r="AY57" s="50" t="n"/>
      <c r="AZ57" s="50" t="n"/>
      <c r="BA57" s="50" t="n"/>
      <c r="BB57" s="50" t="n"/>
      <c r="BC57" s="50" t="n"/>
      <c r="BD57" s="50" t="n"/>
      <c r="BE57" s="50" t="n"/>
      <c r="BF57" s="50" t="n"/>
      <c r="BG57" s="50" t="n"/>
      <c r="BH57" s="50" t="n"/>
      <c r="BI57" s="50" t="n"/>
      <c r="BJ57" s="50" t="n"/>
      <c r="BK57" s="50" t="n"/>
      <c r="BL57" s="50" t="n"/>
      <c r="BM57" s="50" t="n"/>
      <c r="BN57" s="50" t="n"/>
      <c r="BO57" s="50" t="n"/>
      <c r="BP57" s="50" t="n"/>
      <c r="BQ57" s="50" t="n"/>
      <c r="BR57" s="50" t="n"/>
      <c r="BS57" s="50" t="n"/>
      <c r="BT57" s="50" t="n"/>
      <c r="BU57" s="50" t="n"/>
      <c r="BV57" s="50" t="n"/>
      <c r="BW57" s="50" t="n"/>
      <c r="BX57" s="50" t="n"/>
      <c r="BY57" s="50" t="n"/>
      <c r="BZ57" s="50" t="n"/>
      <c r="CA57" s="50" t="n"/>
      <c r="CB57" s="50" t="n"/>
      <c r="CC57" s="50" t="n"/>
      <c r="CD57" s="50" t="n"/>
      <c r="CE57" s="50" t="n"/>
      <c r="CF57" s="50" t="n"/>
      <c r="CG57" s="50" t="n"/>
      <c r="CH57" s="50" t="n"/>
      <c r="CI57" s="50" t="n"/>
      <c r="CJ57" s="50" t="n"/>
      <c r="CK57" s="50" t="n"/>
      <c r="CL57" s="50" t="n"/>
      <c r="CM57" s="50" t="n"/>
      <c r="CN57" s="50" t="n"/>
      <c r="CO57" s="50" t="n"/>
      <c r="CP57" s="50" t="n"/>
      <c r="CQ57" s="50" t="n"/>
      <c r="CR57" s="50" t="n"/>
      <c r="CS57" s="50" t="n"/>
      <c r="CT57" s="50" t="n"/>
      <c r="CU57" s="50" t="n"/>
      <c r="CV57" s="50" t="n"/>
      <c r="CW57" s="50" t="n"/>
      <c r="CX57" s="50" t="n"/>
      <c r="CY57" s="50" t="n"/>
    </row>
    <row r="58" hidden="1" outlineLevel="1">
      <c r="C58" s="50" t="inlineStr">
        <is>
          <t>Gerais &amp; Administrativas (%)</t>
        </is>
      </c>
      <c r="D58" s="50" t="n"/>
      <c r="E58" s="50" t="n"/>
      <c r="F58" s="50" t="n"/>
      <c r="G58" s="50" t="n"/>
      <c r="H58" s="50" t="n"/>
      <c r="I58" s="50" t="n"/>
      <c r="J58" s="50" t="n"/>
      <c r="K58" s="50" t="n"/>
      <c r="L58" s="50" t="n"/>
      <c r="M58" s="50" t="n"/>
      <c r="N58" s="50" t="n"/>
      <c r="O58" s="50" t="n"/>
      <c r="P58" s="50" t="n"/>
      <c r="Q58" s="50" t="n"/>
      <c r="R58" s="50" t="n"/>
      <c r="S58" s="50" t="n"/>
      <c r="T58" s="50" t="n"/>
      <c r="U58" s="50" t="n"/>
      <c r="V58" s="50" t="n"/>
      <c r="W58" s="50" t="n"/>
      <c r="X58" s="50" t="n"/>
      <c r="Y58" s="50" t="n"/>
      <c r="Z58" s="50" t="n"/>
      <c r="AA58" s="50" t="n"/>
      <c r="AB58" s="50" t="n"/>
      <c r="AC58" s="50" t="n"/>
      <c r="AD58" s="50" t="n"/>
      <c r="AE58" s="50" t="n"/>
      <c r="AF58" s="50" t="n"/>
      <c r="AG58" s="50" t="n"/>
      <c r="AH58" s="50" t="n"/>
      <c r="AI58" s="50" t="n"/>
      <c r="AJ58" s="50" t="n"/>
      <c r="AK58" s="50" t="n"/>
      <c r="AL58" s="50" t="n"/>
      <c r="AM58" s="50" t="n"/>
      <c r="AN58" s="50" t="n"/>
      <c r="AO58" s="50" t="n"/>
      <c r="AP58" s="50" t="n"/>
      <c r="AQ58" s="50" t="n"/>
      <c r="AR58" s="50" t="n"/>
      <c r="AS58" s="50" t="n"/>
      <c r="AT58" s="50" t="n"/>
      <c r="AU58" s="50" t="n"/>
      <c r="AV58" s="50" t="n"/>
      <c r="AW58" s="50" t="n"/>
      <c r="AX58" s="50" t="n"/>
      <c r="AY58" s="50" t="n"/>
      <c r="AZ58" s="50" t="n"/>
      <c r="BA58" s="50" t="n"/>
      <c r="BB58" s="50" t="n"/>
      <c r="BC58" s="50" t="n"/>
      <c r="BD58" s="50" t="n"/>
      <c r="BE58" s="50" t="n"/>
      <c r="BF58" s="50" t="n"/>
      <c r="BG58" s="50" t="n"/>
      <c r="BH58" s="50" t="n"/>
      <c r="BI58" s="50" t="n"/>
      <c r="BJ58" s="50" t="n"/>
      <c r="BK58" s="50" t="n"/>
      <c r="BL58" s="50" t="n"/>
      <c r="BM58" s="50" t="n"/>
      <c r="BN58" s="50" t="n"/>
      <c r="BO58" s="50" t="n"/>
      <c r="BP58" s="50" t="n"/>
      <c r="BQ58" s="50" t="n"/>
      <c r="BR58" s="50" t="n"/>
      <c r="BS58" s="50" t="n"/>
      <c r="BT58" s="50" t="n"/>
      <c r="BU58" s="50" t="n"/>
      <c r="BV58" s="50" t="n"/>
      <c r="BW58" s="50" t="n"/>
      <c r="BX58" s="50" t="n"/>
      <c r="BY58" s="50" t="n"/>
      <c r="BZ58" s="50" t="n"/>
      <c r="CA58" s="50" t="n"/>
      <c r="CB58" s="50" t="n"/>
      <c r="CC58" s="50" t="n"/>
      <c r="CD58" s="50" t="n"/>
      <c r="CE58" s="50" t="n"/>
      <c r="CF58" s="50" t="n"/>
      <c r="CG58" s="50" t="n"/>
      <c r="CH58" s="50" t="n"/>
      <c r="CI58" s="50" t="n"/>
      <c r="CJ58" s="50" t="n"/>
      <c r="CK58" s="50" t="n"/>
      <c r="CL58" s="50" t="n"/>
      <c r="CM58" s="50" t="n"/>
      <c r="CN58" s="50" t="n"/>
      <c r="CO58" s="50" t="n"/>
      <c r="CP58" s="50" t="n"/>
      <c r="CQ58" s="50" t="n"/>
      <c r="CR58" s="50" t="n"/>
      <c r="CS58" s="50" t="n"/>
      <c r="CT58" s="50" t="n"/>
      <c r="CU58" s="50" t="n"/>
      <c r="CV58" s="50" t="n"/>
      <c r="CW58" s="50" t="n"/>
      <c r="CX58" s="50" t="n"/>
      <c r="CY58" s="50" t="n"/>
    </row>
    <row r="59" hidden="1" outlineLevel="1">
      <c r="C59" s="50" t="inlineStr">
        <is>
          <t>Outras Receitas (Despesas) Operacionais, Líquidas (%)</t>
        </is>
      </c>
      <c r="D59" s="50" t="n"/>
      <c r="E59" s="50" t="n"/>
      <c r="F59" s="50" t="n"/>
      <c r="G59" s="50" t="n"/>
      <c r="H59" s="50" t="n"/>
      <c r="I59" s="50" t="n"/>
      <c r="J59" s="50" t="n"/>
      <c r="K59" s="50" t="n"/>
      <c r="L59" s="50" t="n"/>
      <c r="M59" s="50" t="n"/>
      <c r="N59" s="50" t="n"/>
      <c r="O59" s="50" t="n"/>
      <c r="P59" s="50" t="n"/>
      <c r="Q59" s="50" t="n"/>
      <c r="R59" s="50" t="n"/>
      <c r="S59" s="50" t="n"/>
      <c r="T59" s="50" t="n"/>
      <c r="U59" s="50" t="n"/>
      <c r="V59" s="50" t="n"/>
      <c r="W59" s="50" t="n"/>
      <c r="X59" s="50" t="n"/>
      <c r="Y59" s="50" t="n"/>
      <c r="Z59" s="50" t="n"/>
      <c r="AA59" s="50" t="n"/>
      <c r="AB59" s="50" t="n"/>
      <c r="AC59" s="50" t="n"/>
      <c r="AD59" s="50" t="n"/>
      <c r="AE59" s="50" t="n"/>
      <c r="AF59" s="50" t="n"/>
      <c r="AG59" s="50" t="n"/>
      <c r="AH59" s="50" t="n"/>
      <c r="AI59" s="50" t="n"/>
      <c r="AJ59" s="50" t="n"/>
      <c r="AK59" s="50" t="n"/>
      <c r="AL59" s="50" t="n"/>
      <c r="AM59" s="50" t="n"/>
      <c r="AN59" s="50" t="n"/>
      <c r="AO59" s="50" t="n"/>
      <c r="AP59" s="50" t="n"/>
      <c r="AQ59" s="50" t="n"/>
      <c r="AR59" s="50" t="n"/>
      <c r="AS59" s="50" t="n"/>
      <c r="AT59" s="50" t="n"/>
      <c r="AU59" s="50" t="n"/>
      <c r="AV59" s="50" t="n"/>
      <c r="AW59" s="50" t="n"/>
      <c r="AX59" s="50" t="n"/>
      <c r="AY59" s="50" t="n"/>
      <c r="AZ59" s="50" t="n"/>
      <c r="BA59" s="50" t="n"/>
      <c r="BB59" s="50" t="n"/>
      <c r="BC59" s="50" t="n"/>
      <c r="BD59" s="50" t="n"/>
      <c r="BE59" s="50" t="n"/>
      <c r="BF59" s="50" t="n"/>
      <c r="BG59" s="50" t="n"/>
      <c r="BH59" s="50" t="n"/>
      <c r="BI59" s="50" t="n"/>
      <c r="BJ59" s="50" t="n"/>
      <c r="BK59" s="50" t="n"/>
      <c r="BL59" s="50" t="n"/>
      <c r="BM59" s="50" t="n"/>
      <c r="BN59" s="50" t="n"/>
      <c r="BO59" s="50" t="n"/>
      <c r="BP59" s="50" t="n"/>
      <c r="BQ59" s="50" t="n"/>
      <c r="BR59" s="50" t="n"/>
      <c r="BS59" s="50" t="n"/>
      <c r="BT59" s="50" t="n"/>
      <c r="BU59" s="50" t="n"/>
      <c r="BV59" s="50" t="n"/>
      <c r="BW59" s="50" t="n"/>
      <c r="BX59" s="50" t="n"/>
      <c r="BY59" s="50" t="n"/>
      <c r="BZ59" s="50" t="n"/>
      <c r="CA59" s="50" t="n"/>
      <c r="CB59" s="50" t="n"/>
      <c r="CC59" s="50" t="n"/>
      <c r="CD59" s="50" t="n"/>
      <c r="CE59" s="50" t="n"/>
      <c r="CF59" s="50" t="n"/>
      <c r="CG59" s="50" t="n"/>
      <c r="CH59" s="50" t="n"/>
      <c r="CI59" s="50" t="n"/>
      <c r="CJ59" s="50" t="n"/>
      <c r="CK59" s="50" t="n"/>
      <c r="CL59" s="50" t="n"/>
      <c r="CM59" s="50" t="n"/>
      <c r="CN59" s="50" t="n"/>
      <c r="CO59" s="50" t="n"/>
      <c r="CP59" s="50" t="n"/>
      <c r="CQ59" s="50" t="n"/>
      <c r="CR59" s="50" t="n"/>
      <c r="CS59" s="50" t="n"/>
      <c r="CT59" s="50" t="n"/>
      <c r="CU59" s="50" t="n"/>
      <c r="CV59" s="50" t="n"/>
      <c r="CW59" s="50" t="n"/>
      <c r="CX59" s="50" t="n"/>
      <c r="CY59" s="50" t="n"/>
    </row>
    <row r="60" hidden="1" outlineLevel="1">
      <c r="C60" s="50" t="n"/>
      <c r="D60" s="50" t="n"/>
      <c r="E60" s="50" t="n"/>
      <c r="F60" s="50" t="n"/>
      <c r="G60" s="50" t="n"/>
      <c r="H60" s="50" t="n"/>
      <c r="I60" s="50" t="n"/>
      <c r="J60" s="50" t="n"/>
      <c r="K60" s="50" t="n"/>
      <c r="L60" s="50" t="n"/>
      <c r="M60" s="50" t="n"/>
      <c r="N60" s="50" t="n"/>
      <c r="O60" s="50" t="n"/>
      <c r="P60" s="50" t="n"/>
      <c r="Q60" s="50" t="n"/>
      <c r="R60" s="50" t="n"/>
      <c r="S60" s="50" t="n"/>
      <c r="T60" s="50" t="n"/>
      <c r="U60" s="50" t="n"/>
      <c r="V60" s="50" t="n"/>
      <c r="W60" s="50" t="n"/>
      <c r="X60" s="50" t="n"/>
      <c r="Y60" s="50" t="n"/>
      <c r="Z60" s="50" t="n"/>
      <c r="AA60" s="50" t="n"/>
      <c r="AB60" s="50" t="n"/>
      <c r="AC60" s="50" t="n"/>
      <c r="AD60" s="50" t="n"/>
      <c r="AE60" s="50" t="n"/>
      <c r="AF60" s="50" t="n"/>
      <c r="AG60" s="50" t="n"/>
      <c r="AH60" s="50" t="n"/>
      <c r="AI60" s="50" t="n"/>
      <c r="AJ60" s="50" t="n"/>
      <c r="AK60" s="50" t="n"/>
      <c r="AL60" s="50" t="n"/>
      <c r="AM60" s="50" t="n"/>
      <c r="AN60" s="50" t="n"/>
      <c r="AO60" s="50" t="n"/>
      <c r="AP60" s="50" t="n"/>
      <c r="AQ60" s="50" t="n"/>
      <c r="AR60" s="50" t="n"/>
      <c r="AS60" s="50" t="n"/>
      <c r="AT60" s="50" t="n"/>
      <c r="AU60" s="50" t="n"/>
      <c r="AV60" s="50" t="n"/>
      <c r="AW60" s="50" t="n"/>
      <c r="AX60" s="50" t="n"/>
      <c r="AY60" s="50" t="n"/>
      <c r="AZ60" s="50" t="n"/>
      <c r="BA60" s="50" t="n"/>
      <c r="BB60" s="50" t="n"/>
      <c r="BC60" s="50" t="n"/>
      <c r="BD60" s="50" t="n"/>
      <c r="BE60" s="50" t="n"/>
      <c r="BF60" s="50" t="n"/>
      <c r="BG60" s="50" t="n"/>
      <c r="BH60" s="50" t="n"/>
      <c r="BI60" s="50" t="n"/>
      <c r="BJ60" s="50" t="n"/>
      <c r="BK60" s="50" t="n"/>
      <c r="BL60" s="50" t="n"/>
      <c r="BM60" s="50" t="n"/>
      <c r="BN60" s="50" t="n"/>
      <c r="BO60" s="50" t="n"/>
      <c r="BP60" s="50" t="n"/>
      <c r="BQ60" s="50" t="n"/>
      <c r="BR60" s="50" t="n"/>
      <c r="BS60" s="50" t="n"/>
      <c r="BT60" s="50" t="n"/>
      <c r="BU60" s="50" t="n"/>
      <c r="BV60" s="50" t="n"/>
      <c r="BW60" s="50" t="n"/>
      <c r="BX60" s="50" t="n"/>
      <c r="BY60" s="50" t="n"/>
      <c r="BZ60" s="50" t="n"/>
      <c r="CA60" s="50" t="n"/>
      <c r="CB60" s="50" t="n"/>
      <c r="CC60" s="50" t="n"/>
      <c r="CD60" s="50" t="n"/>
      <c r="CE60" s="50" t="n"/>
      <c r="CF60" s="50" t="n"/>
      <c r="CG60" s="50" t="n"/>
      <c r="CH60" s="50" t="n"/>
      <c r="CI60" s="50" t="n"/>
      <c r="CJ60" s="50" t="n"/>
      <c r="CK60" s="50" t="n"/>
      <c r="CL60" s="50" t="n"/>
      <c r="CM60" s="50" t="n"/>
      <c r="CN60" s="50" t="n"/>
      <c r="CO60" s="50" t="n"/>
      <c r="CP60" s="50" t="n"/>
      <c r="CQ60" s="50" t="n"/>
      <c r="CR60" s="50" t="n"/>
      <c r="CS60" s="50" t="n"/>
      <c r="CT60" s="50" t="n"/>
      <c r="CU60" s="50" t="n"/>
      <c r="CV60" s="50" t="n"/>
      <c r="CW60" s="50" t="n"/>
      <c r="CX60" s="50" t="n"/>
      <c r="CY60" s="50" t="n"/>
    </row>
    <row r="61" collapsed="1" customFormat="1" s="32">
      <c r="A61" s="30" t="n"/>
      <c r="B61" s="3" t="n"/>
      <c r="C61" s="33" t="inlineStr">
        <is>
          <t>EBITDA</t>
        </is>
      </c>
      <c r="D61" s="35" t="n"/>
      <c r="E61" s="35" t="n"/>
      <c r="F61" s="35" t="n"/>
      <c r="G61" s="35" t="n"/>
      <c r="H61" s="35" t="n"/>
      <c r="I61" s="35">
        <f>SUM(I15,I46,I50)</f>
        <v>1951</v>
      </c>
      <c r="J61" s="35">
        <f>SUM(J15,J46,J50)</f>
        <v>2550</v>
      </c>
      <c r="K61" s="35">
        <f>SUM(K15,K46,K50)</f>
        <v>2990</v>
      </c>
      <c r="L61" s="35">
        <f>SUM(L15,L46,L50)</f>
        <v>2873</v>
      </c>
      <c r="M61" s="35">
        <f>SUM(I61:L61)</f>
        <v>10364</v>
      </c>
      <c r="N61" s="35">
        <f>SUM(N15,N46,N50)</f>
        <v>3298</v>
      </c>
      <c r="O61" s="35">
        <f>SUM(O15,O46,O50)</f>
        <v>2243</v>
      </c>
      <c r="P61" s="35">
        <f>SUM(P15,P46,P50)</f>
        <v>1470</v>
      </c>
      <c r="Q61" s="35">
        <f>SUM(Q15,Q46,Q50)</f>
        <v>2045</v>
      </c>
      <c r="R61" s="35">
        <f>SUM(N61:Q61)</f>
        <v>9056</v>
      </c>
      <c r="S61" s="35">
        <f>SUM(S15,S46,S50)</f>
        <v>2000</v>
      </c>
      <c r="T61" s="35">
        <f>SUM(T15,T46,T50)</f>
        <v>1957</v>
      </c>
      <c r="U61" s="35">
        <f>SUM(U15,U46,U50)</f>
        <v>2025</v>
      </c>
      <c r="V61" s="35">
        <f>SUM(V15,V46,V50)</f>
        <v>2311</v>
      </c>
      <c r="W61" s="35">
        <f>SUM(S61:V61)</f>
        <v>8293</v>
      </c>
      <c r="X61" s="35">
        <f>SUM(X15,X46,X50)</f>
        <v>2229</v>
      </c>
      <c r="Y61" s="35">
        <f>SUM(Y15,Y46,Y50)</f>
        <v>2558</v>
      </c>
      <c r="Z61" s="35">
        <f>SUM(Z15,Z46,Z50)</f>
        <v>2538</v>
      </c>
      <c r="AA61" s="35">
        <f>SUM(AA15,AA46,AA50)</f>
        <v>1780</v>
      </c>
      <c r="AB61" s="35">
        <f>SUM(X61:AA61)</f>
        <v>9105</v>
      </c>
      <c r="AC61" s="35">
        <f>SUM(AC15,AC46,AC50)</f>
        <v>1769</v>
      </c>
      <c r="AD61" s="35">
        <f>SUM(AD15,AD46,AD50)</f>
        <v>3100</v>
      </c>
      <c r="AE61" s="35">
        <f>SUM(AE15,AE46,AE50)</f>
        <v>2597</v>
      </c>
      <c r="AF61" s="35">
        <f>SUM(AF15,AF46,AF50)</f>
        <v>1296</v>
      </c>
      <c r="AG61" s="35">
        <f>SUM(AC61:AF61)</f>
        <v>8762</v>
      </c>
      <c r="AH61" s="35">
        <f>SUM(AH15,AH46,AH50)</f>
        <v>2651</v>
      </c>
      <c r="AI61" s="35">
        <f>SUM(AI15,AI46,AI50)</f>
        <v>2526</v>
      </c>
      <c r="AJ61" s="35">
        <f>SUM(AJ15,AJ46,AJ50)</f>
        <v>2477.58451784715</v>
      </c>
      <c r="AK61" s="35">
        <f>SUM(AK15,AK46,AK50)</f>
        <v>2001.75467427323</v>
      </c>
      <c r="AL61" s="35">
        <f>SUM(AH61:AK61)</f>
        <v>9656.33919212038</v>
      </c>
      <c r="AM61" s="35">
        <f>SUM(AM15,AM46,AM50)</f>
        <v>2215.32729263613</v>
      </c>
      <c r="AN61" s="35">
        <f>SUM(AN15,AN46,AN50)</f>
        <v>2497.84015719271</v>
      </c>
      <c r="AO61" s="35">
        <f>SUM(AO15,AO46,AO50)</f>
        <v>2509.71373290533</v>
      </c>
      <c r="AP61" s="35">
        <f>SUM(AP15,AP46,AP50)</f>
        <v>2027.71334731149</v>
      </c>
      <c r="AQ61" s="35">
        <f>SUM(AM61:AP61)</f>
        <v>9250.59453004566</v>
      </c>
      <c r="AR61" s="35">
        <f>SUM(AR15,AR46,AR50)</f>
        <v>2232.97893022239</v>
      </c>
      <c r="AS61" s="35">
        <f>SUM(AS15,AS46,AS50)</f>
        <v>2517.74284577048</v>
      </c>
      <c r="AT61" s="35">
        <f>SUM(AT15,AT46,AT50)</f>
        <v>2529.71102965049</v>
      </c>
      <c r="AU61" s="35">
        <f>SUM(AU15,AU46,AU50)</f>
        <v>2043.87008462725</v>
      </c>
      <c r="AV61" s="35">
        <f>SUM(AR61:AU61)</f>
        <v>9324.30289027061</v>
      </c>
      <c r="AW61" s="35">
        <f>SUM(AW15,AW46,AW50)</f>
        <v>2239.60632068646</v>
      </c>
      <c r="AX61" s="35">
        <f>SUM(AX15,AX46,AX50)</f>
        <v>2525.21540393089</v>
      </c>
      <c r="AY61" s="35">
        <f>SUM(AY15,AY46,AY50)</f>
        <v>2537.21910889291</v>
      </c>
      <c r="AZ61" s="35">
        <f>SUM(AZ15,AZ46,AZ50)</f>
        <v>2049.93620774437</v>
      </c>
      <c r="BA61" s="35">
        <f>SUM(AW61:AZ61)</f>
        <v>9351.97704125464</v>
      </c>
      <c r="BB61" s="35">
        <f>SUM(BB15,BB46,BB50)</f>
        <v>2239.60632068646</v>
      </c>
      <c r="BC61" s="35">
        <f>SUM(BC15,BC46,BC50)</f>
        <v>2525.21540393089</v>
      </c>
      <c r="BD61" s="35">
        <f>SUM(BD15,BD46,BD50)</f>
        <v>2537.21910889291</v>
      </c>
      <c r="BE61" s="35">
        <f>SUM(BE15,BE46,BE50)</f>
        <v>2049.93620774437</v>
      </c>
      <c r="BF61" s="35">
        <f>SUM(BB61:BE61)</f>
        <v>9351.97704125464</v>
      </c>
      <c r="BG61" s="35" t="n"/>
      <c r="BH61" s="35" t="n"/>
      <c r="BI61" s="35" t="n"/>
      <c r="BJ61" s="35" t="n"/>
      <c r="BK61" s="35" t="n"/>
      <c r="BL61" s="35" t="n"/>
      <c r="BM61" s="35" t="n"/>
      <c r="BN61" s="35" t="n"/>
      <c r="BO61" s="35" t="n"/>
      <c r="BP61" s="35" t="n"/>
      <c r="BQ61" s="35" t="n"/>
      <c r="BR61" s="35" t="n"/>
      <c r="BS61" s="35" t="n"/>
      <c r="BT61" s="35" t="n"/>
      <c r="BU61" s="35" t="n"/>
      <c r="BV61" s="35" t="n"/>
      <c r="BW61" s="35" t="n"/>
      <c r="BX61" s="35" t="n"/>
      <c r="BY61" s="35" t="n"/>
      <c r="BZ61" s="35" t="n"/>
      <c r="CA61" s="35" t="n"/>
      <c r="CB61" s="35" t="n"/>
      <c r="CC61" s="35" t="n"/>
      <c r="CD61" s="35" t="n"/>
      <c r="CE61" s="35" t="n"/>
      <c r="CF61" s="35" t="n"/>
      <c r="CG61" s="35" t="n"/>
      <c r="CH61" s="35" t="n"/>
      <c r="CI61" s="35" t="n"/>
      <c r="CJ61" s="35" t="n"/>
      <c r="CK61" s="35" t="n"/>
      <c r="CL61" s="35" t="n"/>
      <c r="CM61" s="35" t="n"/>
      <c r="CN61" s="35" t="n"/>
      <c r="CO61" s="35" t="n"/>
      <c r="CP61" s="35" t="n"/>
      <c r="CQ61" s="35" t="n"/>
      <c r="CR61" s="35" t="n"/>
      <c r="CS61" s="35" t="n"/>
      <c r="CT61" s="35" t="n"/>
      <c r="CU61" s="35" t="n"/>
      <c r="CV61" s="35" t="n"/>
      <c r="CW61" s="35" t="n"/>
      <c r="CX61" s="35" t="n"/>
      <c r="CY61" s="35" t="n"/>
    </row>
    <row r="62" ht="13.5" customHeight="1">
      <c r="C62" s="13" t="inlineStr">
        <is>
          <t>D&amp;A</t>
        </is>
      </c>
      <c r="D62" s="46" t="n"/>
      <c r="E62" s="46" t="n"/>
      <c r="F62" s="46" t="n"/>
      <c r="G62" s="46" t="n"/>
      <c r="H62" s="12" t="n"/>
      <c r="I62" s="46">
        <f>'Inputs (2)'!D7</f>
        <v>-419</v>
      </c>
      <c r="J62" s="46">
        <f>'Inputs (2)'!E7</f>
        <v>-483</v>
      </c>
      <c r="K62" s="46">
        <f>'Inputs (2)'!F7</f>
        <v>-528</v>
      </c>
      <c r="L62" s="46">
        <f>'Inputs (2)'!G7</f>
        <v>-568</v>
      </c>
      <c r="M62" s="12">
        <f>'Inputs (2)'!H7</f>
        <v>-1998</v>
      </c>
      <c r="N62" s="46">
        <f>'Inputs (2)'!I7</f>
        <v>-489</v>
      </c>
      <c r="O62" s="46">
        <f>'Inputs (2)'!J7</f>
        <v>-507</v>
      </c>
      <c r="P62" s="46">
        <f>'Inputs (2)'!K7</f>
        <v>-508</v>
      </c>
      <c r="Q62" s="46">
        <f>'Inputs (2)'!L7</f>
        <v>-515</v>
      </c>
      <c r="R62" s="12">
        <f>'Inputs (2)'!M7</f>
        <v>-2019</v>
      </c>
      <c r="S62" s="46">
        <f>'Inputs (2)'!N7</f>
        <v>-399</v>
      </c>
      <c r="T62" s="46">
        <f>'Inputs (2)'!O7</f>
        <v>-547</v>
      </c>
      <c r="U62" s="46">
        <f>'Inputs (2)'!P7</f>
        <v>-533</v>
      </c>
      <c r="V62" s="46">
        <f>'Inputs (2)'!Q7</f>
        <v>-589</v>
      </c>
      <c r="W62" s="12">
        <f>'Inputs (2)'!R7</f>
        <v>-2068</v>
      </c>
      <c r="X62" s="46">
        <f>'Inputs (2)'!S7</f>
        <v>-595</v>
      </c>
      <c r="Y62" s="46">
        <f>'Inputs (2)'!T7</f>
        <v>-509</v>
      </c>
      <c r="Z62" s="46">
        <f>'Inputs (2)'!U7</f>
        <v>-600</v>
      </c>
      <c r="AA62" s="46">
        <f>'Inputs (2)'!V7</f>
        <v>-537</v>
      </c>
      <c r="AB62" s="12">
        <f>'Inputs (2)'!W7</f>
        <v>-2241</v>
      </c>
      <c r="AC62" s="46">
        <f>'Inputs (2)'!X7</f>
        <v>-466</v>
      </c>
      <c r="AD62" s="46">
        <f>'Inputs (2)'!Y7</f>
        <v>-668</v>
      </c>
      <c r="AE62" s="46">
        <f>'Inputs (2)'!Z7</f>
        <v>-625</v>
      </c>
      <c r="AF62" s="46">
        <f>'Inputs (2)'!AA7</f>
        <v>-485</v>
      </c>
      <c r="AG62" s="12">
        <f>'Inputs (2)'!AB7</f>
        <v>-2244</v>
      </c>
      <c r="AH62" s="12">
        <f>'Inputs (2)'!AC7</f>
        <v>-514</v>
      </c>
      <c r="AI62" s="12">
        <f>'Inputs (2)'!AD7</f>
        <v>-523</v>
      </c>
      <c r="AJ62" s="12">
        <f>-AJ63*AJ15</f>
        <v>-590.958344369014</v>
      </c>
      <c r="AK62" s="12">
        <f>-AK63*AK15</f>
        <v>-477.462471863261</v>
      </c>
      <c r="AL62" s="12">
        <f>SUM(AH62:AK62)</f>
        <v>-2105.42081623227</v>
      </c>
      <c r="AM62" s="12">
        <f>-AM63*AM15</f>
        <v>-528.404233906545</v>
      </c>
      <c r="AN62" s="12">
        <f>-AN63*AN15</f>
        <v>-595.789759404733</v>
      </c>
      <c r="AO62" s="12">
        <f>-AO63*AO15</f>
        <v>-598.621868095404</v>
      </c>
      <c r="AP62" s="12">
        <f>-AP63*AP15</f>
        <v>-483.654185740305</v>
      </c>
      <c r="AQ62" s="12">
        <f>SUM(AM62:AP62)</f>
        <v>-2206.47004714699</v>
      </c>
      <c r="AR62" s="12">
        <f>-AR63*AR15</f>
        <v>-532.614537308199</v>
      </c>
      <c r="AS62" s="12">
        <f>-AS63*AS15</f>
        <v>-600.536987927387</v>
      </c>
      <c r="AT62" s="12">
        <f>-AT63*AT15</f>
        <v>-603.391662744688</v>
      </c>
      <c r="AU62" s="12">
        <f>-AU63*AU15</f>
        <v>-487.507922581874</v>
      </c>
      <c r="AV62" s="12">
        <f>SUM(AR62:AU62)</f>
        <v>-2224.05111056215</v>
      </c>
      <c r="AW62" s="12">
        <f>-AW63*AW15</f>
        <v>-534.195315549234</v>
      </c>
      <c r="AX62" s="12">
        <f>-AX63*AX15</f>
        <v>-602.319357233809</v>
      </c>
      <c r="AY62" s="12">
        <f>-AY63*AY15</f>
        <v>-605.18250460963</v>
      </c>
      <c r="AZ62" s="12">
        <f>-AZ63*AZ15</f>
        <v>-488.954826228636</v>
      </c>
      <c r="BA62" s="12">
        <f>SUM(AW62:AZ62)</f>
        <v>-2230.65200362131</v>
      </c>
      <c r="BB62" s="12">
        <f>-BB63*BB15</f>
        <v>-534.195315549234</v>
      </c>
      <c r="BC62" s="12">
        <f>-BC63*BC15</f>
        <v>-602.319357233809</v>
      </c>
      <c r="BD62" s="12">
        <f>-BD63*BD15</f>
        <v>-605.18250460963</v>
      </c>
      <c r="BE62" s="12">
        <f>-BE63*BE15</f>
        <v>-488.954826228636</v>
      </c>
      <c r="BF62" s="12">
        <f>SUM(BB62:BE62)</f>
        <v>-2230.65200362131</v>
      </c>
      <c r="BG62" s="12" t="n"/>
      <c r="BH62" s="12" t="n"/>
      <c r="BI62" s="12" t="n"/>
      <c r="BJ62" s="12" t="n"/>
      <c r="BK62" s="12" t="n"/>
      <c r="BL62" s="12" t="n"/>
      <c r="BM62" s="12" t="n"/>
      <c r="BN62" s="12" t="n"/>
      <c r="BO62" s="12" t="n"/>
      <c r="BP62" s="12" t="n"/>
      <c r="BQ62" s="12" t="n"/>
      <c r="BR62" s="12" t="n"/>
      <c r="BS62" s="12" t="n"/>
      <c r="BT62" s="12" t="n"/>
      <c r="BU62" s="12" t="n"/>
      <c r="BV62" s="12" t="n"/>
      <c r="BW62" s="12" t="n"/>
      <c r="BX62" s="12" t="n"/>
      <c r="BY62" s="12" t="n"/>
      <c r="BZ62" s="12" t="n"/>
      <c r="CA62" s="12" t="n"/>
      <c r="CB62" s="12" t="n"/>
      <c r="CC62" s="12" t="n"/>
      <c r="CD62" s="12" t="n"/>
      <c r="CE62" s="12" t="n"/>
      <c r="CF62" s="12" t="n"/>
      <c r="CG62" s="12" t="n"/>
      <c r="CH62" s="12" t="n"/>
      <c r="CI62" s="12" t="n"/>
      <c r="CJ62" s="12" t="n"/>
      <c r="CK62" s="12" t="n"/>
      <c r="CL62" s="12" t="n"/>
      <c r="CM62" s="12" t="n"/>
      <c r="CN62" s="12" t="n"/>
      <c r="CO62" s="12" t="n"/>
      <c r="CP62" s="12" t="n"/>
      <c r="CQ62" s="12" t="n"/>
      <c r="CR62" s="12" t="n"/>
      <c r="CS62" s="12" t="n"/>
      <c r="CT62" s="12" t="n"/>
      <c r="CU62" s="12" t="n"/>
      <c r="CV62" s="12" t="n"/>
      <c r="CW62" s="12" t="n"/>
      <c r="CX62" s="12" t="n"/>
      <c r="CY62" s="12" t="n"/>
    </row>
    <row r="63" hidden="1" outlineLevel="1" customFormat="1" s="56">
      <c r="A63" s="53" t="n"/>
      <c r="B63" s="53" t="n"/>
      <c r="C63" s="54" t="inlineStr">
        <is>
          <t>% of Revenue</t>
        </is>
      </c>
      <c r="D63" s="53" t="n"/>
      <c r="E63" s="53" t="n"/>
      <c r="F63" s="53" t="n"/>
      <c r="G63" s="53" t="n"/>
      <c r="H63" s="53" t="n"/>
      <c r="I63" s="53">
        <f>IFERROR(-I62/I15,"")</f>
        <v>0.0863917525773196</v>
      </c>
      <c r="J63" s="53">
        <f>IFERROR(-J62/J15,"")</f>
        <v>0.0840292275574113</v>
      </c>
      <c r="K63" s="53">
        <f>IFERROR(-K62/K15,"")</f>
        <v>0.0867992766726944</v>
      </c>
      <c r="L63" s="53">
        <f>IFERROR(-L62/L15,"")</f>
        <v>0.0921479558728099</v>
      </c>
      <c r="M63" s="53" t="n"/>
      <c r="N63" s="53">
        <f>IFERROR(-N62/N15,"")</f>
        <v>0.0740572467060427</v>
      </c>
      <c r="O63" s="53">
        <f>IFERROR(-O62/O15,"")</f>
        <v>0.0936115214180207</v>
      </c>
      <c r="P63" s="53">
        <f>IFERROR(-P62/P15,"")</f>
        <v>0.101539076554068</v>
      </c>
      <c r="Q63" s="53">
        <f>IFERROR(-Q62/Q15,"")</f>
        <v>0.0894407780479333</v>
      </c>
      <c r="R63" s="53" t="n"/>
      <c r="S63" s="53">
        <f>IFERROR(-S62/S15,"")</f>
        <v>0.0740397105214325</v>
      </c>
      <c r="T63" s="53">
        <f>IFERROR(-T62/T15,"")</f>
        <v>0.0953459996513857</v>
      </c>
      <c r="U63" s="53">
        <f>IFERROR(-U62/U15,"")</f>
        <v>0.0915178571428571</v>
      </c>
      <c r="V63" s="53">
        <f>IFERROR(-V62/V15,"")</f>
        <v>0.0997459779847587</v>
      </c>
      <c r="W63" s="53" t="n"/>
      <c r="X63" s="53">
        <f>IFERROR(-X62/X15,"")</f>
        <v>0.0941306755260244</v>
      </c>
      <c r="Y63" s="53">
        <f>IFERROR(-Y62/Y15,"")</f>
        <v>0.0768417874396135</v>
      </c>
      <c r="Z63" s="53">
        <f>IFERROR(-Z62/Z15,"")</f>
        <v>0.0883652430044183</v>
      </c>
      <c r="AA63" s="53">
        <f>IFERROR(-AA62/AA15,"")</f>
        <v>0.0938811188811189</v>
      </c>
      <c r="AB63" s="53" t="n"/>
      <c r="AC63" s="53">
        <f>IFERROR(-AC62/AC15,"")</f>
        <v>0.081354748603352</v>
      </c>
      <c r="AD63" s="53">
        <f>IFERROR(-AD62/AD15,"")</f>
        <v>0.088103402796096</v>
      </c>
      <c r="AE63" s="53">
        <f>IFERROR(-AE62/AE15,"")</f>
        <v>0.0896442914515204</v>
      </c>
      <c r="AF63" s="55">
        <f>IFERROR(-AF62/AF15,"")</f>
        <v>0.0860997692171134</v>
      </c>
      <c r="AG63" s="53" t="n"/>
      <c r="AH63" s="55">
        <f>IFERROR(-AH62/AH15,"")</f>
        <v>0.0824510747513635</v>
      </c>
      <c r="AI63" s="55">
        <f>IFERROR(-AI62/AI15,"")</f>
        <v>0.074406032152511</v>
      </c>
      <c r="AJ63" s="55">
        <f>Control!$B$21</f>
        <v>0.0836765531619927</v>
      </c>
      <c r="AK63" s="55">
        <f>Control!$B$21</f>
        <v>0.0836765531619927</v>
      </c>
      <c r="AL63" s="53" t="n"/>
      <c r="AM63" s="55">
        <f>Control!$C$21</f>
        <v>0.0836765531619927</v>
      </c>
      <c r="AN63" s="55">
        <f>Control!$C$21</f>
        <v>0.0836765531619927</v>
      </c>
      <c r="AO63" s="55">
        <f>Control!$C$21</f>
        <v>0.0836765531619927</v>
      </c>
      <c r="AP63" s="55">
        <f>Control!$C$21</f>
        <v>0.0836765531619927</v>
      </c>
      <c r="AQ63" s="53" t="n"/>
      <c r="AR63" s="55">
        <f>Control!$D$21</f>
        <v>0.0836765531619927</v>
      </c>
      <c r="AS63" s="55">
        <f>Control!$D$21</f>
        <v>0.0836765531619927</v>
      </c>
      <c r="AT63" s="55">
        <f>Control!$D$21</f>
        <v>0.0836765531619927</v>
      </c>
      <c r="AU63" s="55">
        <f>Control!$D$21</f>
        <v>0.0836765531619927</v>
      </c>
      <c r="AV63" s="53" t="n"/>
      <c r="AW63" s="55">
        <f>Control!$E$21</f>
        <v>0.0836765531619927</v>
      </c>
      <c r="AX63" s="55">
        <f>Control!$E$21</f>
        <v>0.0836765531619927</v>
      </c>
      <c r="AY63" s="55">
        <f>Control!$E$21</f>
        <v>0.0836765531619927</v>
      </c>
      <c r="AZ63" s="55">
        <f>Control!$E$21</f>
        <v>0.0836765531619927</v>
      </c>
      <c r="BA63" s="53" t="n"/>
      <c r="BB63" s="55">
        <f>Control!$F$21</f>
        <v>0.0836765531619927</v>
      </c>
      <c r="BC63" s="55">
        <f>Control!$F$21</f>
        <v>0.0836765531619927</v>
      </c>
      <c r="BD63" s="55">
        <f>Control!$F$21</f>
        <v>0.0836765531619927</v>
      </c>
      <c r="BE63" s="55">
        <f>Control!$F$21</f>
        <v>0.0836765531619927</v>
      </c>
      <c r="BF63" s="53" t="n"/>
      <c r="BG63" s="55" t="n"/>
      <c r="BH63" s="55" t="n"/>
      <c r="BI63" s="55" t="n"/>
      <c r="BJ63" s="55" t="n"/>
      <c r="BK63" s="53" t="n"/>
      <c r="BL63" s="55" t="n"/>
      <c r="BM63" s="55" t="n"/>
      <c r="BN63" s="55" t="n"/>
      <c r="BO63" s="55" t="n"/>
      <c r="BP63" s="53" t="n"/>
      <c r="BQ63" s="55" t="n"/>
      <c r="BR63" s="55" t="n"/>
      <c r="BS63" s="55" t="n"/>
      <c r="BT63" s="55" t="n"/>
      <c r="BU63" s="53" t="n"/>
      <c r="BV63" s="55" t="n"/>
      <c r="BW63" s="55" t="n"/>
      <c r="BX63" s="55" t="n"/>
      <c r="BY63" s="55" t="n"/>
      <c r="BZ63" s="53" t="n"/>
      <c r="CA63" s="55" t="n"/>
      <c r="CB63" s="55" t="n"/>
      <c r="CC63" s="55" t="n"/>
      <c r="CD63" s="55" t="n"/>
      <c r="CE63" s="53" t="n"/>
      <c r="CF63" s="55" t="n"/>
      <c r="CG63" s="55" t="n"/>
      <c r="CH63" s="55" t="n"/>
      <c r="CI63" s="55" t="n"/>
      <c r="CJ63" s="53" t="n"/>
      <c r="CK63" s="55" t="n"/>
      <c r="CL63" s="55" t="n"/>
      <c r="CM63" s="55" t="n"/>
      <c r="CN63" s="55" t="n"/>
      <c r="CO63" s="53" t="n"/>
      <c r="CP63" s="55" t="n"/>
      <c r="CQ63" s="55" t="n"/>
      <c r="CR63" s="55" t="n"/>
      <c r="CS63" s="55" t="n"/>
      <c r="CT63" s="53" t="n"/>
      <c r="CU63" s="55" t="n"/>
      <c r="CV63" s="55" t="n"/>
      <c r="CW63" s="55" t="n"/>
      <c r="CX63" s="55" t="n"/>
      <c r="CY63" s="53" t="n"/>
    </row>
    <row r="64" hidden="1" outlineLevel="1">
      <c r="C64" s="50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 t="n"/>
      <c r="Y64" s="12" t="n"/>
      <c r="Z64" s="12" t="n"/>
      <c r="AA64" s="12" t="n"/>
      <c r="AB64" s="12" t="n"/>
      <c r="AC64" s="12" t="n"/>
      <c r="AD64" s="12" t="n"/>
      <c r="AE64" s="12" t="n"/>
      <c r="AF64" s="12" t="n"/>
      <c r="AG64" s="12" t="n"/>
      <c r="AH64" s="12" t="n"/>
      <c r="AI64" s="12" t="n"/>
      <c r="AJ64" s="12" t="n"/>
      <c r="AK64" s="12" t="n"/>
      <c r="AL64" s="12" t="n"/>
      <c r="AM64" s="12" t="n"/>
      <c r="AN64" s="12" t="n"/>
      <c r="AO64" s="12" t="n"/>
      <c r="AP64" s="12" t="n"/>
      <c r="AQ64" s="12" t="n"/>
      <c r="AR64" s="12" t="n"/>
      <c r="AS64" s="12" t="n"/>
      <c r="AT64" s="12" t="n"/>
      <c r="AU64" s="12" t="n"/>
      <c r="AV64" s="12" t="n"/>
      <c r="AW64" s="12" t="n"/>
      <c r="AX64" s="12" t="n"/>
      <c r="AY64" s="12" t="n"/>
      <c r="AZ64" s="12" t="n"/>
      <c r="BA64" s="12" t="n"/>
      <c r="BB64" s="12" t="n"/>
      <c r="BC64" s="12" t="n"/>
      <c r="BD64" s="12" t="n"/>
      <c r="BE64" s="12" t="n"/>
      <c r="BF64" s="12" t="n"/>
      <c r="BG64" s="12" t="n"/>
      <c r="BH64" s="12" t="n"/>
      <c r="BI64" s="12" t="n"/>
      <c r="BJ64" s="12" t="n"/>
      <c r="BK64" s="12" t="n"/>
      <c r="BL64" s="12" t="n"/>
      <c r="BM64" s="12" t="n"/>
      <c r="BN64" s="12" t="n"/>
      <c r="BO64" s="12" t="n"/>
      <c r="BP64" s="12" t="n"/>
      <c r="BQ64" s="12" t="n"/>
      <c r="BR64" s="12" t="n"/>
      <c r="BS64" s="12" t="n"/>
      <c r="BT64" s="12" t="n"/>
      <c r="BU64" s="12" t="n"/>
      <c r="BV64" s="12" t="n"/>
      <c r="BW64" s="12" t="n"/>
      <c r="BX64" s="12" t="n"/>
      <c r="BY64" s="12" t="n"/>
      <c r="BZ64" s="12" t="n"/>
      <c r="CA64" s="12" t="n"/>
      <c r="CB64" s="12" t="n"/>
      <c r="CC64" s="12" t="n"/>
      <c r="CD64" s="12" t="n"/>
      <c r="CE64" s="12" t="n"/>
      <c r="CF64" s="12" t="n"/>
      <c r="CG64" s="12" t="n"/>
      <c r="CH64" s="12" t="n"/>
      <c r="CI64" s="12" t="n"/>
      <c r="CJ64" s="12" t="n"/>
      <c r="CK64" s="12" t="n"/>
      <c r="CL64" s="12" t="n"/>
      <c r="CM64" s="12" t="n"/>
      <c r="CN64" s="12" t="n"/>
      <c r="CO64" s="12" t="n"/>
      <c r="CP64" s="12" t="n"/>
      <c r="CQ64" s="12" t="n"/>
      <c r="CR64" s="12" t="n"/>
      <c r="CS64" s="12" t="n"/>
      <c r="CT64" s="12" t="n"/>
      <c r="CU64" s="12" t="n"/>
      <c r="CV64" s="12" t="n"/>
      <c r="CW64" s="12" t="n"/>
      <c r="CX64" s="12" t="n"/>
      <c r="CY64" s="12" t="n"/>
    </row>
    <row r="65" collapsed="1" customFormat="1" s="32">
      <c r="A65" s="30" t="n"/>
      <c r="B65" s="3" t="n"/>
      <c r="C65" s="33" t="inlineStr">
        <is>
          <t>Operating Profit - EBIT</t>
        </is>
      </c>
      <c r="D65" s="35" t="n"/>
      <c r="E65" s="35" t="n"/>
      <c r="F65" s="35" t="n"/>
      <c r="G65" s="35" t="n"/>
      <c r="H65" s="35" t="n"/>
      <c r="I65" s="35">
        <f>SUM(I61,I62)</f>
        <v>1532</v>
      </c>
      <c r="J65" s="35">
        <f>SUM(J61,J62)</f>
        <v>2067</v>
      </c>
      <c r="K65" s="35">
        <f>SUM(K61,K62)</f>
        <v>2462</v>
      </c>
      <c r="L65" s="35">
        <f>SUM(L61,L62)</f>
        <v>2305</v>
      </c>
      <c r="M65" s="35">
        <f>SUM(I65:L65)</f>
        <v>8366</v>
      </c>
      <c r="N65" s="35">
        <f>SUM(N61,N62)</f>
        <v>2809</v>
      </c>
      <c r="O65" s="35">
        <f>SUM(O61,O62)</f>
        <v>1736</v>
      </c>
      <c r="P65" s="35">
        <f>SUM(P61,P62)</f>
        <v>962</v>
      </c>
      <c r="Q65" s="35">
        <f>SUM(Q61,Q62)</f>
        <v>1530</v>
      </c>
      <c r="R65" s="35">
        <f>SUM(N65:Q65)</f>
        <v>7037</v>
      </c>
      <c r="S65" s="35">
        <f>SUM(S61,S62)</f>
        <v>1601</v>
      </c>
      <c r="T65" s="35">
        <f>SUM(T61,T62)</f>
        <v>1410</v>
      </c>
      <c r="U65" s="35">
        <f>SUM(U61,U62)</f>
        <v>1492</v>
      </c>
      <c r="V65" s="35">
        <f>SUM(V61,V62)</f>
        <v>1722</v>
      </c>
      <c r="W65" s="35">
        <f>SUM(S65:V65)</f>
        <v>6225</v>
      </c>
      <c r="X65" s="35">
        <f>SUM(X61,X62)</f>
        <v>1634</v>
      </c>
      <c r="Y65" s="35">
        <f>SUM(Y61,Y62)</f>
        <v>2049</v>
      </c>
      <c r="Z65" s="35">
        <f>SUM(Z61,Z62)</f>
        <v>1938</v>
      </c>
      <c r="AA65" s="35">
        <f>SUM(AA61,AA62)</f>
        <v>1243</v>
      </c>
      <c r="AB65" s="35">
        <f>SUM(X65:AA65)</f>
        <v>6864</v>
      </c>
      <c r="AC65" s="35">
        <f>SUM(AC61,AC62)</f>
        <v>1303</v>
      </c>
      <c r="AD65" s="35">
        <f>SUM(AD61,AD62)</f>
        <v>2432</v>
      </c>
      <c r="AE65" s="35">
        <f>SUM(AE61,AE62)</f>
        <v>1972</v>
      </c>
      <c r="AF65" s="35">
        <f>SUM(AF61,AF62)</f>
        <v>811</v>
      </c>
      <c r="AG65" s="35">
        <f>SUM(AC65:AF65)</f>
        <v>6518</v>
      </c>
      <c r="AH65" s="35">
        <f>SUM(AH61,AH62)</f>
        <v>2137</v>
      </c>
      <c r="AI65" s="35">
        <f>SUM(AI61,AI62)</f>
        <v>2003</v>
      </c>
      <c r="AJ65" s="35">
        <f>SUM(AJ61,AJ62)</f>
        <v>1886.62617347813</v>
      </c>
      <c r="AK65" s="35">
        <f>SUM(AK61,AK62)</f>
        <v>1524.29220240997</v>
      </c>
      <c r="AL65" s="35">
        <f>SUM(AL61,AL62)</f>
        <v>7550.9183758881</v>
      </c>
      <c r="AM65" s="35">
        <f>SUM(AM61,AM62)</f>
        <v>1686.92305872959</v>
      </c>
      <c r="AN65" s="35">
        <f>SUM(AN61,AN62)</f>
        <v>1902.05039778798</v>
      </c>
      <c r="AO65" s="35">
        <f>SUM(AO61,AO62)</f>
        <v>1911.09186480992</v>
      </c>
      <c r="AP65" s="35">
        <f>SUM(AP61,AP62)</f>
        <v>1544.05916157118</v>
      </c>
      <c r="AQ65" s="35">
        <f>SUM(AQ61,AQ62)</f>
        <v>7044.12448289867</v>
      </c>
      <c r="AR65" s="35">
        <f>SUM(AR61,AR62)</f>
        <v>1700.36439291419</v>
      </c>
      <c r="AS65" s="35">
        <f>SUM(AS61,AS62)</f>
        <v>1917.20585784309</v>
      </c>
      <c r="AT65" s="35">
        <f>SUM(AT61,AT62)</f>
        <v>1926.3193669058</v>
      </c>
      <c r="AU65" s="35">
        <f>SUM(AU61,AU62)</f>
        <v>1556.36216204538</v>
      </c>
      <c r="AV65" s="35">
        <f>SUM(AV61,AV62)</f>
        <v>7100.25177970846</v>
      </c>
      <c r="AW65" s="35">
        <f>SUM(AW61,AW62)</f>
        <v>1705.41100513723</v>
      </c>
      <c r="AX65" s="35">
        <f>SUM(AX61,AX62)</f>
        <v>1922.89604669708</v>
      </c>
      <c r="AY65" s="35">
        <f>SUM(AY61,AY62)</f>
        <v>1932.03660428328</v>
      </c>
      <c r="AZ65" s="35">
        <f>SUM(AZ61,AZ62)</f>
        <v>1560.98138151574</v>
      </c>
      <c r="BA65" s="35">
        <f>SUM(BA61,BA62)</f>
        <v>7121.32503763333</v>
      </c>
      <c r="BB65" s="35">
        <f>SUM(BB61,BB62)</f>
        <v>1705.41100513723</v>
      </c>
      <c r="BC65" s="35">
        <f>SUM(BC61,BC62)</f>
        <v>1922.89604669708</v>
      </c>
      <c r="BD65" s="35">
        <f>SUM(BD61,BD62)</f>
        <v>1932.03660428328</v>
      </c>
      <c r="BE65" s="35">
        <f>SUM(BE61,BE62)</f>
        <v>1560.98138151574</v>
      </c>
      <c r="BF65" s="35">
        <f>SUM(BF61,BF62)</f>
        <v>7121.32503763333</v>
      </c>
      <c r="BG65" s="35" t="n"/>
      <c r="BH65" s="35" t="n"/>
      <c r="BI65" s="35" t="n"/>
      <c r="BJ65" s="35" t="n"/>
      <c r="BK65" s="35" t="n"/>
      <c r="BL65" s="35" t="n"/>
      <c r="BM65" s="35" t="n"/>
      <c r="BN65" s="35" t="n"/>
      <c r="BO65" s="35" t="n"/>
      <c r="BP65" s="35" t="n"/>
      <c r="BQ65" s="35" t="n"/>
      <c r="BR65" s="35" t="n"/>
      <c r="BS65" s="35" t="n"/>
      <c r="BT65" s="35" t="n"/>
      <c r="BU65" s="35" t="n"/>
      <c r="BV65" s="35" t="n"/>
      <c r="BW65" s="35" t="n"/>
      <c r="BX65" s="35" t="n"/>
      <c r="BY65" s="35" t="n"/>
      <c r="BZ65" s="35" t="n"/>
      <c r="CA65" s="35" t="n"/>
      <c r="CB65" s="35" t="n"/>
      <c r="CC65" s="35" t="n"/>
      <c r="CD65" s="35" t="n"/>
      <c r="CE65" s="35" t="n"/>
      <c r="CF65" s="35" t="n"/>
      <c r="CG65" s="35" t="n"/>
      <c r="CH65" s="35" t="n"/>
      <c r="CI65" s="35" t="n"/>
      <c r="CJ65" s="35" t="n"/>
      <c r="CK65" s="35" t="n"/>
      <c r="CL65" s="35" t="n"/>
      <c r="CM65" s="35" t="n"/>
      <c r="CN65" s="35" t="n"/>
      <c r="CO65" s="35" t="n"/>
      <c r="CP65" s="35" t="n"/>
      <c r="CQ65" s="35" t="n"/>
      <c r="CR65" s="35" t="n"/>
      <c r="CS65" s="35" t="n"/>
      <c r="CT65" s="35" t="n"/>
      <c r="CU65" s="35" t="n"/>
      <c r="CV65" s="35" t="n"/>
      <c r="CW65" s="35" t="n"/>
      <c r="CX65" s="35" t="n"/>
      <c r="CY65" s="35" t="n"/>
    </row>
    <row r="66">
      <c r="C66" s="14" t="inlineStr">
        <is>
          <t>Interest Expense</t>
        </is>
      </c>
      <c r="D66" s="46" t="n"/>
      <c r="E66" s="46" t="n"/>
      <c r="F66" s="46" t="n"/>
      <c r="G66" s="46" t="n"/>
      <c r="H66" s="12" t="n"/>
      <c r="I66" s="46">
        <f>'Inputs (2)'!D8</f>
        <v>0</v>
      </c>
      <c r="J66" s="46">
        <f>'Inputs (2)'!E8</f>
        <v>0</v>
      </c>
      <c r="K66" s="46">
        <f>'Inputs (2)'!F8</f>
        <v>0</v>
      </c>
      <c r="L66" s="46">
        <f>'Inputs (2)'!G8</f>
        <v>0</v>
      </c>
      <c r="M66" s="12">
        <f>'Inputs (2)'!H8</f>
        <v>0</v>
      </c>
      <c r="N66" s="46">
        <f>'Inputs (2)'!I8</f>
        <v>0</v>
      </c>
      <c r="O66" s="46">
        <f>'Inputs (2)'!J8</f>
        <v>0</v>
      </c>
      <c r="P66" s="46">
        <f>'Inputs (2)'!K8</f>
        <v>0</v>
      </c>
      <c r="Q66" s="46">
        <f>'Inputs (2)'!L8</f>
        <v>0</v>
      </c>
      <c r="R66" s="12">
        <f>'Inputs (2)'!M8</f>
        <v>0</v>
      </c>
      <c r="S66" s="46">
        <f>'Inputs (2)'!N8</f>
        <v>0</v>
      </c>
      <c r="T66" s="46">
        <f>'Inputs (2)'!O8</f>
        <v>0</v>
      </c>
      <c r="U66" s="46">
        <f>'Inputs (2)'!P8</f>
        <v>0</v>
      </c>
      <c r="V66" s="46">
        <f>'Inputs (2)'!Q8</f>
        <v>0</v>
      </c>
      <c r="W66" s="12">
        <f>'Inputs (2)'!R8</f>
        <v>0</v>
      </c>
      <c r="X66" s="46">
        <f>'Inputs (2)'!S8</f>
        <v>0</v>
      </c>
      <c r="Y66" s="46">
        <f>'Inputs (2)'!T8</f>
        <v>0</v>
      </c>
      <c r="Z66" s="46">
        <f>'Inputs (2)'!U8</f>
        <v>0</v>
      </c>
      <c r="AA66" s="46">
        <f>'Inputs (2)'!V8</f>
        <v>0</v>
      </c>
      <c r="AB66" s="12">
        <f>'Inputs (2)'!W8</f>
        <v>0</v>
      </c>
      <c r="AC66" s="46">
        <f>'Inputs (2)'!X8</f>
        <v>0</v>
      </c>
      <c r="AD66" s="46">
        <f>'Inputs (2)'!Y8</f>
        <v>0</v>
      </c>
      <c r="AE66" s="46">
        <f>'Inputs (2)'!Z8</f>
        <v>0</v>
      </c>
      <c r="AF66" s="46">
        <f>'Inputs (2)'!AA8</f>
        <v>0</v>
      </c>
      <c r="AG66" s="12">
        <f>'Inputs (2)'!AB8</f>
        <v>0</v>
      </c>
      <c r="AH66" s="12">
        <f>'Inputs (2)'!AC8</f>
        <v>0</v>
      </c>
      <c r="AI66" s="12">
        <f>'Inputs (2)'!AD8</f>
        <v>0</v>
      </c>
      <c r="AJ66" s="12" t="str">
        <f>IF(Control!$E$9="","",-AI84*Control!$E$9/4)</f>
        <v/>
      </c>
      <c r="AK66" s="12" t="str">
        <f>IF(Control!$E$9="","",-AJ84*Control!$E$9/4)</f>
        <v/>
      </c>
      <c r="AL66" s="12">
        <f>SUM(AH66:AK66)</f>
        <v>0</v>
      </c>
      <c r="AM66" s="12" t="str">
        <f>IF(Control!$E$9="","",-AL84*Control!$E$9/4)</f>
        <v/>
      </c>
      <c r="AN66" s="12" t="str">
        <f>IF(Control!$E$9="","",-AM84*Control!$E$9/4)</f>
        <v/>
      </c>
      <c r="AO66" s="12" t="str">
        <f>IF(Control!$E$9="","",-AN84*Control!$E$9/4)</f>
        <v/>
      </c>
      <c r="AP66" s="12" t="str">
        <f>IF(Control!$E$9="","",-AO84*Control!$E$9/4)</f>
        <v/>
      </c>
      <c r="AQ66" s="12">
        <f>SUM(AM66:AP66)</f>
        <v>0</v>
      </c>
      <c r="AR66" s="12" t="str">
        <f>IF(Control!$E$9="","",-AQ84*Control!$E$9/4)</f>
        <v/>
      </c>
      <c r="AS66" s="12" t="str">
        <f>IF(Control!$E$9="","",-AR84*Control!$E$9/4)</f>
        <v/>
      </c>
      <c r="AT66" s="12" t="str">
        <f>IF(Control!$E$9="","",-AS84*Control!$E$9/4)</f>
        <v/>
      </c>
      <c r="AU66" s="12" t="str">
        <f>IF(Control!$E$9="","",-AT84*Control!$E$9/4)</f>
        <v/>
      </c>
      <c r="AV66" s="12">
        <f>SUM(AR66:AU66)</f>
        <v>0</v>
      </c>
      <c r="AW66" s="12" t="str">
        <f>IF(Control!$E$9="","",-AV84*Control!$E$9/4)</f>
        <v/>
      </c>
      <c r="AX66" s="12" t="str">
        <f>IF(Control!$E$9="","",-AW84*Control!$E$9/4)</f>
        <v/>
      </c>
      <c r="AY66" s="12" t="str">
        <f>IF(Control!$E$9="","",-AX84*Control!$E$9/4)</f>
        <v/>
      </c>
      <c r="AZ66" s="12" t="str">
        <f>IF(Control!$E$9="","",-AY84*Control!$E$9/4)</f>
        <v/>
      </c>
      <c r="BA66" s="12">
        <f>SUM(AW66:AZ66)</f>
        <v>0</v>
      </c>
      <c r="BB66" s="12" t="str">
        <f>IF(Control!$E$9="","",-BA84*Control!$E$9/4)</f>
        <v/>
      </c>
      <c r="BC66" s="12" t="str">
        <f>IF(Control!$E$9="","",-BB84*Control!$E$9/4)</f>
        <v/>
      </c>
      <c r="BD66" s="12" t="str">
        <f>IF(Control!$E$9="","",-BC84*Control!$E$9/4)</f>
        <v/>
      </c>
      <c r="BE66" s="12" t="str">
        <f>IF(Control!$E$9="","",-BD84*Control!$E$9/4)</f>
        <v/>
      </c>
      <c r="BF66" s="12">
        <f>SUM(BB66:BE66)</f>
        <v>0</v>
      </c>
      <c r="BG66" s="12" t="n"/>
      <c r="BH66" s="12" t="n"/>
      <c r="BI66" s="12" t="n"/>
      <c r="BJ66" s="12" t="n"/>
      <c r="BK66" s="12" t="n"/>
      <c r="BL66" s="12" t="n"/>
      <c r="BM66" s="12" t="n"/>
      <c r="BN66" s="12" t="n"/>
      <c r="BO66" s="12" t="n"/>
      <c r="BP66" s="12" t="n"/>
      <c r="BQ66" s="12" t="n"/>
      <c r="BR66" s="12" t="n"/>
      <c r="BS66" s="12" t="n"/>
      <c r="BT66" s="12" t="n"/>
      <c r="BU66" s="12" t="n"/>
      <c r="BV66" s="12" t="n"/>
      <c r="BW66" s="12" t="n"/>
      <c r="BX66" s="12" t="n"/>
      <c r="BY66" s="12" t="n"/>
      <c r="BZ66" s="12" t="n"/>
      <c r="CA66" s="12" t="n"/>
      <c r="CB66" s="12" t="n"/>
      <c r="CC66" s="12" t="n"/>
      <c r="CD66" s="12" t="n"/>
      <c r="CE66" s="12" t="n"/>
      <c r="CF66" s="12" t="n"/>
      <c r="CG66" s="12" t="n"/>
      <c r="CH66" s="12" t="n"/>
      <c r="CI66" s="12" t="n"/>
      <c r="CJ66" s="12" t="n"/>
      <c r="CK66" s="12" t="n"/>
      <c r="CL66" s="12" t="n"/>
      <c r="CM66" s="12" t="n"/>
      <c r="CN66" s="12" t="n"/>
      <c r="CO66" s="12" t="n"/>
      <c r="CP66" s="12" t="n"/>
      <c r="CQ66" s="12" t="n"/>
      <c r="CR66" s="12" t="n"/>
      <c r="CS66" s="12" t="n"/>
      <c r="CT66" s="12" t="n"/>
      <c r="CU66" s="12" t="n"/>
      <c r="CV66" s="12" t="n"/>
      <c r="CW66" s="12" t="n"/>
      <c r="CX66" s="12" t="n"/>
      <c r="CY66" s="12" t="n"/>
    </row>
    <row r="67" hidden="1" outlineLevel="1">
      <c r="C67" s="50" t="inlineStr">
        <is>
          <t>% of Debt</t>
        </is>
      </c>
      <c r="D67" s="53" t="n"/>
      <c r="E67" s="53" t="n"/>
      <c r="F67" s="53" t="n"/>
      <c r="G67" s="53" t="n"/>
      <c r="H67" s="12" t="n"/>
      <c r="I67" s="53">
        <f>IFERROR(-I66/SUM(I204+I209),"")</f>
        <v>0</v>
      </c>
      <c r="J67" s="53">
        <f>IFERROR(-J66/SUM(J204+J209),"")</f>
        <v>0</v>
      </c>
      <c r="K67" s="53">
        <f>IFERROR(-K66/SUM(K204+K209),"")</f>
        <v>0</v>
      </c>
      <c r="L67" s="53">
        <f>IFERROR(-L66/SUM(L204+L209),"")</f>
        <v>0</v>
      </c>
      <c r="M67" s="12" t="n"/>
      <c r="N67" s="53">
        <f>IFERROR(-N66/SUM(N204+N209),"")</f>
        <v>0</v>
      </c>
      <c r="O67" s="53">
        <f>IFERROR(-O66/SUM(O204+O209),"")</f>
        <v>0</v>
      </c>
      <c r="P67" s="53">
        <f>IFERROR(-P66/SUM(P204+P209),"")</f>
        <v>0</v>
      </c>
      <c r="Q67" s="53">
        <f>IFERROR(-Q66/SUM(Q204+Q209),"")</f>
        <v>0</v>
      </c>
      <c r="R67" s="12" t="n"/>
      <c r="S67" s="53">
        <f>IFERROR(-S66/SUM(S204+S209),"")</f>
        <v>0</v>
      </c>
      <c r="T67" s="53">
        <f>IFERROR(-T66/SUM(T204+T209),"")</f>
        <v>0</v>
      </c>
      <c r="U67" s="53">
        <f>IFERROR(-U66/SUM(U204+U209),"")</f>
        <v>0</v>
      </c>
      <c r="V67" s="53">
        <f>IFERROR(-V66/SUM(V204+V209),"")</f>
        <v>0</v>
      </c>
      <c r="W67" s="12" t="n"/>
      <c r="X67" s="53">
        <f>IFERROR(-X66/SUM(X204+X209),"")</f>
        <v>0</v>
      </c>
      <c r="Y67" s="53">
        <f>IFERROR(-Y66/SUM(Y204+Y209),"")</f>
        <v>0</v>
      </c>
      <c r="Z67" s="53">
        <f>IFERROR(-Z66/SUM(Z204+Z209),"")</f>
        <v>0</v>
      </c>
      <c r="AA67" s="53">
        <f>IFERROR(-AA66/SUM(AA204+AA209),"")</f>
        <v>0</v>
      </c>
      <c r="AB67" s="12" t="n"/>
      <c r="AC67" s="53">
        <f>IFERROR(-AC66/SUM(AC204+AC209),"")</f>
        <v>0</v>
      </c>
      <c r="AD67" s="53">
        <f>IFERROR(-AD66/SUM(AD204+AD209),"")</f>
        <v>0</v>
      </c>
      <c r="AE67" s="53">
        <f>IFERROR(-AE66/SUM(AE204+AE209),"")</f>
        <v>0</v>
      </c>
      <c r="AF67" s="55">
        <f>IFERROR(-AF66/SUM(AF204+AF209),"")</f>
        <v>0</v>
      </c>
      <c r="AG67" s="12" t="n"/>
      <c r="AH67" s="11">
        <f>IFERROR(-AH66/SUM(AH204+AH209),"")</f>
        <v>0</v>
      </c>
      <c r="AI67" s="11">
        <f>IFERROR(-AI66/SUM(AI204+AI209),"")</f>
        <v>0</v>
      </c>
      <c r="AJ67" s="11" t="str">
        <f>IFERROR(Control!$E$9,0)</f>
        <v/>
      </c>
      <c r="AK67" s="11" t="str">
        <f>IFERROR(Control!$E$9,0)</f>
        <v/>
      </c>
      <c r="AL67" s="12" t="n"/>
      <c r="AM67" s="11" t="str">
        <f>IFERROR(Control!$E$9,0)</f>
        <v/>
      </c>
      <c r="AN67" s="11" t="str">
        <f>IFERROR(Control!$E$9,0)</f>
        <v/>
      </c>
      <c r="AO67" s="11" t="str">
        <f>IFERROR(Control!$E$9,0)</f>
        <v/>
      </c>
      <c r="AP67" s="11" t="str">
        <f>IFERROR(Control!$E$9,0)</f>
        <v/>
      </c>
      <c r="AQ67" s="12" t="n"/>
      <c r="AR67" s="11" t="str">
        <f>IFERROR(Control!$E$9,0)</f>
        <v/>
      </c>
      <c r="AS67" s="11" t="str">
        <f>IFERROR(Control!$E$9,0)</f>
        <v/>
      </c>
      <c r="AT67" s="11" t="str">
        <f>IFERROR(Control!$E$9,0)</f>
        <v/>
      </c>
      <c r="AU67" s="11" t="str">
        <f>IFERROR(Control!$E$9,0)</f>
        <v/>
      </c>
      <c r="AV67" s="12" t="n"/>
      <c r="AW67" s="11" t="str">
        <f>IFERROR(Control!$E$9,0)</f>
        <v/>
      </c>
      <c r="AX67" s="11" t="str">
        <f>IFERROR(Control!$E$9,0)</f>
        <v/>
      </c>
      <c r="AY67" s="11" t="str">
        <f>IFERROR(Control!$E$9,0)</f>
        <v/>
      </c>
      <c r="AZ67" s="11" t="str">
        <f>IFERROR(Control!$E$9,0)</f>
        <v/>
      </c>
      <c r="BA67" s="12" t="n"/>
      <c r="BB67" s="11" t="str">
        <f>IFERROR(Control!$E$9,0)</f>
        <v/>
      </c>
      <c r="BC67" s="11" t="str">
        <f>IFERROR(Control!$E$9,0)</f>
        <v/>
      </c>
      <c r="BD67" s="11" t="str">
        <f>IFERROR(Control!$E$9,0)</f>
        <v/>
      </c>
      <c r="BE67" s="11" t="str">
        <f>IFERROR(Control!$E$9,0)</f>
        <v/>
      </c>
      <c r="BF67" s="12" t="n"/>
      <c r="BG67" s="11" t="n"/>
      <c r="BH67" s="11" t="n"/>
      <c r="BI67" s="11" t="n"/>
      <c r="BJ67" s="11" t="n"/>
      <c r="BK67" s="12" t="n"/>
      <c r="BL67" s="11" t="n"/>
      <c r="BM67" s="11" t="n"/>
      <c r="BN67" s="11" t="n"/>
      <c r="BO67" s="11" t="n"/>
      <c r="BP67" s="12" t="n"/>
      <c r="BQ67" s="11" t="n"/>
      <c r="BR67" s="11" t="n"/>
      <c r="BS67" s="11" t="n"/>
      <c r="BT67" s="11" t="n"/>
      <c r="BU67" s="12" t="n"/>
      <c r="BV67" s="11" t="n"/>
      <c r="BW67" s="11" t="n"/>
      <c r="BX67" s="11" t="n"/>
      <c r="BY67" s="11" t="n"/>
      <c r="BZ67" s="12" t="n"/>
      <c r="CA67" s="11" t="n"/>
      <c r="CB67" s="11" t="n"/>
      <c r="CC67" s="11" t="n"/>
      <c r="CD67" s="11" t="n"/>
      <c r="CE67" s="12" t="n"/>
      <c r="CF67" s="11" t="n"/>
      <c r="CG67" s="11" t="n"/>
      <c r="CH67" s="11" t="n"/>
      <c r="CI67" s="11" t="n"/>
      <c r="CJ67" s="12" t="n"/>
      <c r="CK67" s="11" t="n"/>
      <c r="CL67" s="11" t="n"/>
      <c r="CM67" s="11" t="n"/>
      <c r="CN67" s="11" t="n"/>
      <c r="CO67" s="12" t="n"/>
      <c r="CP67" s="11" t="n"/>
      <c r="CQ67" s="11" t="n"/>
      <c r="CR67" s="11" t="n"/>
      <c r="CS67" s="11" t="n"/>
      <c r="CT67" s="12" t="n"/>
      <c r="CU67" s="11" t="n"/>
      <c r="CV67" s="11" t="n"/>
      <c r="CW67" s="11" t="n"/>
      <c r="CX67" s="11" t="n"/>
      <c r="CY67" s="12" t="n"/>
    </row>
    <row r="68" hidden="1" outlineLevel="1">
      <c r="C68" s="50" t="inlineStr">
        <is>
          <t>%CDI</t>
        </is>
      </c>
      <c r="D68" s="11" t="n"/>
      <c r="E68" s="11" t="n"/>
      <c r="F68" s="11" t="n"/>
      <c r="G68" s="11" t="n"/>
      <c r="H68" s="12" t="n"/>
      <c r="I68" s="11" t="n"/>
      <c r="J68" s="11" t="n"/>
      <c r="K68" s="11" t="n"/>
      <c r="L68" s="11" t="n"/>
      <c r="M68" s="12" t="n"/>
      <c r="N68" s="11" t="n"/>
      <c r="O68" s="11" t="n"/>
      <c r="P68" s="11" t="n"/>
      <c r="Q68" s="11" t="n"/>
      <c r="R68" s="12" t="n"/>
      <c r="S68" s="11" t="n"/>
      <c r="T68" s="11" t="n"/>
      <c r="U68" s="11" t="n"/>
      <c r="V68" s="11" t="n"/>
      <c r="W68" s="12" t="n"/>
      <c r="X68" s="11" t="n"/>
      <c r="Y68" s="11" t="n"/>
      <c r="Z68" s="11" t="n"/>
      <c r="AA68" s="11" t="n"/>
      <c r="AB68" s="12" t="n"/>
      <c r="AC68" s="11" t="n"/>
      <c r="AD68" s="11" t="n"/>
      <c r="AE68" s="11" t="n"/>
      <c r="AF68" s="11" t="n"/>
      <c r="AG68" s="12" t="n"/>
      <c r="AH68" s="11" t="n"/>
      <c r="AI68" s="11" t="n"/>
      <c r="AJ68" s="11" t="n"/>
      <c r="AK68" s="11" t="n"/>
      <c r="AL68" s="12" t="n"/>
      <c r="AM68" s="11" t="n"/>
      <c r="AN68" s="11" t="n"/>
      <c r="AO68" s="11" t="n"/>
      <c r="AP68" s="11" t="n"/>
      <c r="AQ68" s="12" t="n"/>
      <c r="AR68" s="11" t="n"/>
      <c r="AS68" s="11" t="n"/>
      <c r="AT68" s="11" t="n"/>
      <c r="AU68" s="11" t="n"/>
      <c r="AV68" s="12" t="n"/>
      <c r="AW68" s="11" t="n"/>
      <c r="AX68" s="11" t="n"/>
      <c r="AY68" s="11" t="n"/>
      <c r="AZ68" s="11" t="n"/>
      <c r="BA68" s="12" t="n"/>
      <c r="BB68" s="11" t="n"/>
      <c r="BC68" s="11" t="n"/>
      <c r="BD68" s="11" t="n"/>
      <c r="BE68" s="11" t="n"/>
      <c r="BF68" s="12" t="n"/>
      <c r="BG68" s="11" t="n"/>
      <c r="BH68" s="11" t="n"/>
      <c r="BI68" s="11" t="n"/>
      <c r="BJ68" s="11" t="n"/>
      <c r="BK68" s="12" t="n"/>
      <c r="BL68" s="11" t="n"/>
      <c r="BM68" s="11" t="n"/>
      <c r="BN68" s="11" t="n"/>
      <c r="BO68" s="11" t="n"/>
      <c r="BP68" s="12" t="n"/>
      <c r="BQ68" s="11" t="n"/>
      <c r="BR68" s="11" t="n"/>
      <c r="BS68" s="11" t="n"/>
      <c r="BT68" s="11" t="n"/>
      <c r="BU68" s="12" t="n"/>
      <c r="BV68" s="11" t="n"/>
      <c r="BW68" s="11" t="n"/>
      <c r="BX68" s="11" t="n"/>
      <c r="BY68" s="11" t="n"/>
      <c r="BZ68" s="12" t="n"/>
      <c r="CA68" s="11" t="n"/>
      <c r="CB68" s="11" t="n"/>
      <c r="CC68" s="11" t="n"/>
      <c r="CD68" s="11" t="n"/>
      <c r="CE68" s="12" t="n"/>
      <c r="CF68" s="11" t="n"/>
      <c r="CG68" s="11" t="n"/>
      <c r="CH68" s="11" t="n"/>
      <c r="CI68" s="11" t="n"/>
      <c r="CJ68" s="12" t="n"/>
      <c r="CK68" s="11" t="n"/>
      <c r="CL68" s="11" t="n"/>
      <c r="CM68" s="11" t="n"/>
      <c r="CN68" s="11" t="n"/>
      <c r="CO68" s="12" t="n"/>
      <c r="CP68" s="11" t="n"/>
      <c r="CQ68" s="11" t="n"/>
      <c r="CR68" s="11" t="n"/>
      <c r="CS68" s="11" t="n"/>
      <c r="CT68" s="12" t="n"/>
      <c r="CU68" s="11" t="n"/>
      <c r="CV68" s="11" t="n"/>
      <c r="CW68" s="11" t="n"/>
      <c r="CX68" s="11" t="n"/>
      <c r="CY68" s="12" t="n"/>
    </row>
    <row r="69" hidden="1" outlineLevel="1">
      <c r="C69" s="57" t="n"/>
      <c r="D69" s="12" t="n"/>
      <c r="E69" s="12" t="n"/>
      <c r="F69" s="12" t="n"/>
      <c r="G69" s="12" t="n"/>
      <c r="H69" s="12" t="n"/>
      <c r="I69" s="12" t="n"/>
      <c r="J69" s="12" t="n"/>
      <c r="K69" s="12" t="n"/>
      <c r="L69" s="12" t="n"/>
      <c r="M69" s="12" t="n"/>
      <c r="N69" s="12" t="n"/>
      <c r="O69" s="12" t="n"/>
      <c r="P69" s="12" t="n"/>
      <c r="Q69" s="12" t="n"/>
      <c r="R69" s="12" t="n"/>
      <c r="S69" s="12" t="n"/>
      <c r="T69" s="12" t="n"/>
      <c r="U69" s="12" t="n"/>
      <c r="V69" s="12" t="n"/>
      <c r="W69" s="12" t="n"/>
      <c r="X69" s="12" t="n"/>
      <c r="Y69" s="12" t="n"/>
      <c r="Z69" s="12" t="n"/>
      <c r="AA69" s="12" t="n"/>
      <c r="AB69" s="12" t="n"/>
      <c r="AC69" s="12" t="n"/>
      <c r="AD69" s="12" t="n"/>
      <c r="AE69" s="12" t="n"/>
      <c r="AF69" s="12" t="n"/>
      <c r="AG69" s="12" t="n"/>
      <c r="AH69" s="12" t="n"/>
      <c r="AI69" s="12" t="n"/>
      <c r="AJ69" s="12" t="n"/>
      <c r="AK69" s="12" t="n"/>
      <c r="AL69" s="12" t="n"/>
      <c r="AM69" s="12" t="n"/>
      <c r="AN69" s="12" t="n"/>
      <c r="AO69" s="12" t="n"/>
      <c r="AP69" s="12" t="n"/>
      <c r="AQ69" s="12" t="n"/>
      <c r="AR69" s="12" t="n"/>
      <c r="AS69" s="12" t="n"/>
      <c r="AT69" s="12" t="n"/>
      <c r="AU69" s="12" t="n"/>
      <c r="AV69" s="12" t="n"/>
      <c r="AW69" s="12" t="n"/>
      <c r="AX69" s="12" t="n"/>
      <c r="AY69" s="12" t="n"/>
      <c r="AZ69" s="12" t="n"/>
      <c r="BA69" s="12" t="n"/>
      <c r="BB69" s="12" t="n"/>
      <c r="BC69" s="12" t="n"/>
      <c r="BD69" s="12" t="n"/>
      <c r="BE69" s="12" t="n"/>
      <c r="BF69" s="12" t="n"/>
      <c r="BG69" s="12" t="n"/>
      <c r="BH69" s="12" t="n"/>
      <c r="BI69" s="12" t="n"/>
      <c r="BJ69" s="12" t="n"/>
      <c r="BK69" s="12" t="n"/>
      <c r="BL69" s="12" t="n"/>
      <c r="BM69" s="12" t="n"/>
      <c r="BN69" s="12" t="n"/>
      <c r="BO69" s="12" t="n"/>
      <c r="BP69" s="12" t="n"/>
      <c r="BQ69" s="12" t="n"/>
      <c r="BR69" s="12" t="n"/>
      <c r="BS69" s="12" t="n"/>
      <c r="BT69" s="12" t="n"/>
      <c r="BU69" s="12" t="n"/>
      <c r="BV69" s="12" t="n"/>
      <c r="BW69" s="12" t="n"/>
      <c r="BX69" s="12" t="n"/>
      <c r="BY69" s="12" t="n"/>
      <c r="BZ69" s="12" t="n"/>
      <c r="CA69" s="12" t="n"/>
      <c r="CB69" s="12" t="n"/>
      <c r="CC69" s="12" t="n"/>
      <c r="CD69" s="12" t="n"/>
      <c r="CE69" s="12" t="n"/>
      <c r="CF69" s="12" t="n"/>
      <c r="CG69" s="12" t="n"/>
      <c r="CH69" s="12" t="n"/>
      <c r="CI69" s="12" t="n"/>
      <c r="CJ69" s="12" t="n"/>
      <c r="CK69" s="12" t="n"/>
      <c r="CL69" s="12" t="n"/>
      <c r="CM69" s="12" t="n"/>
      <c r="CN69" s="12" t="n"/>
      <c r="CO69" s="12" t="n"/>
      <c r="CP69" s="12" t="n"/>
      <c r="CQ69" s="12" t="n"/>
      <c r="CR69" s="12" t="n"/>
      <c r="CS69" s="12" t="n"/>
      <c r="CT69" s="12" t="n"/>
      <c r="CU69" s="12" t="n"/>
      <c r="CV69" s="12" t="n"/>
      <c r="CW69" s="12" t="n"/>
      <c r="CX69" s="12" t="n"/>
      <c r="CY69" s="12" t="n"/>
    </row>
    <row r="70" hidden="1" outlineLevel="1">
      <c r="C70" s="57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2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 t="n"/>
      <c r="Y70" s="12" t="n"/>
      <c r="Z70" s="12" t="n"/>
      <c r="AA70" s="12" t="n"/>
      <c r="AB70" s="12" t="n"/>
      <c r="AC70" s="12" t="n"/>
      <c r="AD70" s="12" t="n"/>
      <c r="AE70" s="12" t="n"/>
      <c r="AF70" s="12" t="n"/>
      <c r="AG70" s="12" t="n"/>
      <c r="AH70" s="12" t="n"/>
      <c r="AI70" s="12" t="n"/>
      <c r="AJ70" s="12" t="n"/>
      <c r="AK70" s="12" t="n"/>
      <c r="AL70" s="12" t="n"/>
      <c r="AM70" s="12" t="n"/>
      <c r="AN70" s="12" t="n"/>
      <c r="AO70" s="12" t="n"/>
      <c r="AP70" s="12" t="n"/>
      <c r="AQ70" s="12" t="n"/>
      <c r="AR70" s="12" t="n"/>
      <c r="AS70" s="12" t="n"/>
      <c r="AT70" s="12" t="n"/>
      <c r="AU70" s="12" t="n"/>
      <c r="AV70" s="12" t="n"/>
      <c r="AW70" s="12" t="n"/>
      <c r="AX70" s="12" t="n"/>
      <c r="AY70" s="12" t="n"/>
      <c r="AZ70" s="12" t="n"/>
      <c r="BA70" s="12" t="n"/>
      <c r="BB70" s="12" t="n"/>
      <c r="BC70" s="12" t="n"/>
      <c r="BD70" s="12" t="n"/>
      <c r="BE70" s="12" t="n"/>
      <c r="BF70" s="12" t="n"/>
      <c r="BG70" s="12" t="n"/>
      <c r="BH70" s="12" t="n"/>
      <c r="BI70" s="12" t="n"/>
      <c r="BJ70" s="12" t="n"/>
      <c r="BK70" s="12" t="n"/>
      <c r="BL70" s="12" t="n"/>
      <c r="BM70" s="12" t="n"/>
      <c r="BN70" s="12" t="n"/>
      <c r="BO70" s="12" t="n"/>
      <c r="BP70" s="12" t="n"/>
      <c r="BQ70" s="12" t="n"/>
      <c r="BR70" s="12" t="n"/>
      <c r="BS70" s="12" t="n"/>
      <c r="BT70" s="12" t="n"/>
      <c r="BU70" s="12" t="n"/>
      <c r="BV70" s="12" t="n"/>
      <c r="BW70" s="12" t="n"/>
      <c r="BX70" s="12" t="n"/>
      <c r="BY70" s="12" t="n"/>
      <c r="BZ70" s="12" t="n"/>
      <c r="CA70" s="12" t="n"/>
      <c r="CB70" s="12" t="n"/>
      <c r="CC70" s="12" t="n"/>
      <c r="CD70" s="12" t="n"/>
      <c r="CE70" s="12" t="n"/>
      <c r="CF70" s="12" t="n"/>
      <c r="CG70" s="12" t="n"/>
      <c r="CH70" s="12" t="n"/>
      <c r="CI70" s="12" t="n"/>
      <c r="CJ70" s="12" t="n"/>
      <c r="CK70" s="12" t="n"/>
      <c r="CL70" s="12" t="n"/>
      <c r="CM70" s="12" t="n"/>
      <c r="CN70" s="12" t="n"/>
      <c r="CO70" s="12" t="n"/>
      <c r="CP70" s="12" t="n"/>
      <c r="CQ70" s="12" t="n"/>
      <c r="CR70" s="12" t="n"/>
      <c r="CS70" s="12" t="n"/>
      <c r="CT70" s="12" t="n"/>
      <c r="CU70" s="12" t="n"/>
      <c r="CV70" s="12" t="n"/>
      <c r="CW70" s="12" t="n"/>
      <c r="CX70" s="12" t="n"/>
      <c r="CY70" s="12" t="n"/>
    </row>
    <row r="71" hidden="1" outlineLevel="1">
      <c r="C71" s="57" t="inlineStr">
        <is>
          <t>RECEITA FINANCEIRA</t>
        </is>
      </c>
      <c r="D71" s="12" t="n"/>
      <c r="E71" s="12" t="n"/>
      <c r="F71" s="12" t="n"/>
      <c r="G71" s="12" t="n"/>
      <c r="H71" s="12" t="n"/>
      <c r="I71" s="12" t="n"/>
      <c r="J71" s="12" t="n"/>
      <c r="K71" s="12" t="n"/>
      <c r="L71" s="12" t="n"/>
      <c r="M71" s="12" t="n"/>
      <c r="N71" s="12" t="n"/>
      <c r="O71" s="12" t="n"/>
      <c r="P71" s="12" t="n"/>
      <c r="Q71" s="12" t="n"/>
      <c r="R71" s="12" t="n"/>
      <c r="S71" s="12" t="n"/>
      <c r="T71" s="12" t="n"/>
      <c r="U71" s="12" t="n"/>
      <c r="V71" s="12" t="n"/>
      <c r="W71" s="12" t="n"/>
      <c r="X71" s="12" t="n"/>
      <c r="Y71" s="12" t="n"/>
      <c r="Z71" s="12" t="n"/>
      <c r="AA71" s="12" t="n"/>
      <c r="AB71" s="12" t="n"/>
      <c r="AC71" s="12" t="n"/>
      <c r="AD71" s="12" t="n"/>
      <c r="AE71" s="12" t="n"/>
      <c r="AF71" s="12" t="n"/>
      <c r="AG71" s="12" t="n"/>
      <c r="AH71" s="12" t="n"/>
      <c r="AI71" s="12" t="n"/>
      <c r="AJ71" s="12" t="n"/>
      <c r="AK71" s="12" t="n"/>
      <c r="AL71" s="12" t="n"/>
      <c r="AM71" s="12" t="n"/>
      <c r="AN71" s="12" t="n"/>
      <c r="AO71" s="12" t="n"/>
      <c r="AP71" s="12" t="n"/>
      <c r="AQ71" s="12" t="n"/>
      <c r="AR71" s="12" t="n"/>
      <c r="AS71" s="12" t="n"/>
      <c r="AT71" s="12" t="n"/>
      <c r="AU71" s="12" t="n"/>
      <c r="AV71" s="12" t="n"/>
      <c r="AW71" s="12" t="n"/>
      <c r="AX71" s="12" t="n"/>
      <c r="AY71" s="12" t="n"/>
      <c r="AZ71" s="12" t="n"/>
      <c r="BA71" s="12" t="n"/>
      <c r="BB71" s="12" t="n"/>
      <c r="BC71" s="12" t="n"/>
      <c r="BD71" s="12" t="n"/>
      <c r="BE71" s="12" t="n"/>
      <c r="BF71" s="12" t="n"/>
      <c r="BG71" s="12" t="n"/>
      <c r="BH71" s="12" t="n"/>
      <c r="BI71" s="12" t="n"/>
      <c r="BJ71" s="12" t="n"/>
      <c r="BK71" s="12" t="n"/>
      <c r="BL71" s="12" t="n"/>
      <c r="BM71" s="12" t="n"/>
      <c r="BN71" s="12" t="n"/>
      <c r="BO71" s="12" t="n"/>
      <c r="BP71" s="12" t="n"/>
      <c r="BQ71" s="12" t="n"/>
      <c r="BR71" s="12" t="n"/>
      <c r="BS71" s="12" t="n"/>
      <c r="BT71" s="12" t="n"/>
      <c r="BU71" s="12" t="n"/>
      <c r="BV71" s="12" t="n"/>
      <c r="BW71" s="12" t="n"/>
      <c r="BX71" s="12" t="n"/>
      <c r="BY71" s="12" t="n"/>
      <c r="BZ71" s="12" t="n"/>
      <c r="CA71" s="12" t="n"/>
      <c r="CB71" s="12" t="n"/>
      <c r="CC71" s="12" t="n"/>
      <c r="CD71" s="12" t="n"/>
      <c r="CE71" s="12" t="n"/>
      <c r="CF71" s="12" t="n"/>
      <c r="CG71" s="12" t="n"/>
      <c r="CH71" s="12" t="n"/>
      <c r="CI71" s="12" t="n"/>
      <c r="CJ71" s="12" t="n"/>
      <c r="CK71" s="12" t="n"/>
      <c r="CL71" s="12" t="n"/>
      <c r="CM71" s="12" t="n"/>
      <c r="CN71" s="12" t="n"/>
      <c r="CO71" s="12" t="n"/>
      <c r="CP71" s="12" t="n"/>
      <c r="CQ71" s="12" t="n"/>
      <c r="CR71" s="12" t="n"/>
      <c r="CS71" s="12" t="n"/>
      <c r="CT71" s="12" t="n"/>
      <c r="CU71" s="12" t="n"/>
      <c r="CV71" s="12" t="n"/>
      <c r="CW71" s="12" t="n"/>
      <c r="CX71" s="12" t="n"/>
      <c r="CY71" s="12" t="n"/>
    </row>
    <row r="72" hidden="1" outlineLevel="1">
      <c r="C72" s="57" t="inlineStr">
        <is>
          <t>DESPESA FINANCEIRA</t>
        </is>
      </c>
      <c r="D72" s="12" t="n"/>
      <c r="E72" s="12" t="n"/>
      <c r="F72" s="12" t="n"/>
      <c r="G72" s="12" t="n"/>
      <c r="H72" s="12" t="n"/>
      <c r="I72" s="12" t="n"/>
      <c r="J72" s="12" t="n"/>
      <c r="K72" s="12" t="n"/>
      <c r="L72" s="12" t="n"/>
      <c r="M72" s="12" t="n"/>
      <c r="N72" s="12" t="n"/>
      <c r="O72" s="12" t="n"/>
      <c r="P72" s="12" t="n"/>
      <c r="Q72" s="12" t="n"/>
      <c r="R72" s="12" t="n"/>
      <c r="S72" s="12" t="n"/>
      <c r="T72" s="12" t="n"/>
      <c r="U72" s="12" t="n"/>
      <c r="V72" s="12" t="n"/>
      <c r="W72" s="12" t="n"/>
      <c r="X72" s="12" t="n"/>
      <c r="Y72" s="12" t="n"/>
      <c r="Z72" s="12" t="n"/>
      <c r="AA72" s="12" t="n"/>
      <c r="AB72" s="12" t="n"/>
      <c r="AC72" s="12" t="n"/>
      <c r="AD72" s="12" t="n"/>
      <c r="AE72" s="12" t="n"/>
      <c r="AF72" s="12" t="n"/>
      <c r="AG72" s="12" t="n"/>
      <c r="AH72" s="12" t="n"/>
      <c r="AI72" s="12" t="n"/>
      <c r="AJ72" s="12" t="n"/>
      <c r="AK72" s="12" t="n"/>
      <c r="AL72" s="12" t="n"/>
      <c r="AM72" s="12" t="n"/>
      <c r="AN72" s="12" t="n"/>
      <c r="AO72" s="12" t="n"/>
      <c r="AP72" s="12" t="n"/>
      <c r="AQ72" s="12" t="n"/>
      <c r="AR72" s="12" t="n"/>
      <c r="AS72" s="12" t="n"/>
      <c r="AT72" s="12" t="n"/>
      <c r="AU72" s="12" t="n"/>
      <c r="AV72" s="12" t="n"/>
      <c r="AW72" s="12" t="n"/>
      <c r="AX72" s="12" t="n"/>
      <c r="AY72" s="12" t="n"/>
      <c r="AZ72" s="12" t="n"/>
      <c r="BA72" s="12" t="n"/>
      <c r="BB72" s="12" t="n"/>
      <c r="BC72" s="12" t="n"/>
      <c r="BD72" s="12" t="n"/>
      <c r="BE72" s="12" t="n"/>
      <c r="BF72" s="12" t="n"/>
      <c r="BG72" s="12" t="n"/>
      <c r="BH72" s="12" t="n"/>
      <c r="BI72" s="12" t="n"/>
      <c r="BJ72" s="12" t="n"/>
      <c r="BK72" s="12" t="n"/>
      <c r="BL72" s="12" t="n"/>
      <c r="BM72" s="12" t="n"/>
      <c r="BN72" s="12" t="n"/>
      <c r="BO72" s="12" t="n"/>
      <c r="BP72" s="12" t="n"/>
      <c r="BQ72" s="12" t="n"/>
      <c r="BR72" s="12" t="n"/>
      <c r="BS72" s="12" t="n"/>
      <c r="BT72" s="12" t="n"/>
      <c r="BU72" s="12" t="n"/>
      <c r="BV72" s="12" t="n"/>
      <c r="BW72" s="12" t="n"/>
      <c r="BX72" s="12" t="n"/>
      <c r="BY72" s="12" t="n"/>
      <c r="BZ72" s="12" t="n"/>
      <c r="CA72" s="12" t="n"/>
      <c r="CB72" s="12" t="n"/>
      <c r="CC72" s="12" t="n"/>
      <c r="CD72" s="12" t="n"/>
      <c r="CE72" s="12" t="n"/>
      <c r="CF72" s="12" t="n"/>
      <c r="CG72" s="12" t="n"/>
      <c r="CH72" s="12" t="n"/>
      <c r="CI72" s="12" t="n"/>
      <c r="CJ72" s="12" t="n"/>
      <c r="CK72" s="12" t="n"/>
      <c r="CL72" s="12" t="n"/>
      <c r="CM72" s="12" t="n"/>
      <c r="CN72" s="12" t="n"/>
      <c r="CO72" s="12" t="n"/>
      <c r="CP72" s="12" t="n"/>
      <c r="CQ72" s="12" t="n"/>
      <c r="CR72" s="12" t="n"/>
      <c r="CS72" s="12" t="n"/>
      <c r="CT72" s="12" t="n"/>
      <c r="CU72" s="12" t="n"/>
      <c r="CV72" s="12" t="n"/>
      <c r="CW72" s="12" t="n"/>
      <c r="CX72" s="12" t="n"/>
      <c r="CY72" s="12" t="n"/>
    </row>
    <row r="73" hidden="1" outlineLevel="1">
      <c r="C73" s="57" t="inlineStr">
        <is>
          <t>OUTROS</t>
        </is>
      </c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2" t="n"/>
      <c r="Z73" s="12" t="n"/>
      <c r="AA73" s="12" t="n"/>
      <c r="AB73" s="12" t="n"/>
      <c r="AC73" s="12" t="n"/>
      <c r="AD73" s="12" t="n"/>
      <c r="AE73" s="12" t="n"/>
      <c r="AF73" s="12" t="n"/>
      <c r="AG73" s="12" t="n"/>
      <c r="AH73" s="12" t="n"/>
      <c r="AI73" s="12" t="n"/>
      <c r="AJ73" s="12" t="n"/>
      <c r="AK73" s="12" t="n"/>
      <c r="AL73" s="12" t="n"/>
      <c r="AM73" s="12" t="n"/>
      <c r="AN73" s="12" t="n"/>
      <c r="AO73" s="12" t="n"/>
      <c r="AP73" s="12" t="n"/>
      <c r="AQ73" s="12" t="n"/>
      <c r="AR73" s="12" t="n"/>
      <c r="AS73" s="12" t="n"/>
      <c r="AT73" s="12" t="n"/>
      <c r="AU73" s="12" t="n"/>
      <c r="AV73" s="12" t="n"/>
      <c r="AW73" s="12" t="n"/>
      <c r="AX73" s="12" t="n"/>
      <c r="AY73" s="12" t="n"/>
      <c r="AZ73" s="12" t="n"/>
      <c r="BA73" s="12" t="n"/>
      <c r="BB73" s="12" t="n"/>
      <c r="BC73" s="12" t="n"/>
      <c r="BD73" s="12" t="n"/>
      <c r="BE73" s="12" t="n"/>
      <c r="BF73" s="12" t="n"/>
      <c r="BG73" s="12" t="n"/>
      <c r="BH73" s="12" t="n"/>
      <c r="BI73" s="12" t="n"/>
      <c r="BJ73" s="12" t="n"/>
      <c r="BK73" s="12" t="n"/>
      <c r="BL73" s="12" t="n"/>
      <c r="BM73" s="12" t="n"/>
      <c r="BN73" s="12" t="n"/>
      <c r="BO73" s="12" t="n"/>
      <c r="BP73" s="12" t="n"/>
      <c r="BQ73" s="12" t="n"/>
      <c r="BR73" s="12" t="n"/>
      <c r="BS73" s="12" t="n"/>
      <c r="BT73" s="12" t="n"/>
      <c r="BU73" s="12" t="n"/>
      <c r="BV73" s="12" t="n"/>
      <c r="BW73" s="12" t="n"/>
      <c r="BX73" s="12" t="n"/>
      <c r="BY73" s="12" t="n"/>
      <c r="BZ73" s="12" t="n"/>
      <c r="CA73" s="12" t="n"/>
      <c r="CB73" s="12" t="n"/>
      <c r="CC73" s="12" t="n"/>
      <c r="CD73" s="12" t="n"/>
      <c r="CE73" s="12" t="n"/>
      <c r="CF73" s="12" t="n"/>
      <c r="CG73" s="12" t="n"/>
      <c r="CH73" s="12" t="n"/>
      <c r="CI73" s="12" t="n"/>
      <c r="CJ73" s="12" t="n"/>
      <c r="CK73" s="12" t="n"/>
      <c r="CL73" s="12" t="n"/>
      <c r="CM73" s="12" t="n"/>
      <c r="CN73" s="12" t="n"/>
      <c r="CO73" s="12" t="n"/>
      <c r="CP73" s="12" t="n"/>
      <c r="CQ73" s="12" t="n"/>
      <c r="CR73" s="12" t="n"/>
      <c r="CS73" s="12" t="n"/>
      <c r="CT73" s="12" t="n"/>
      <c r="CU73" s="12" t="n"/>
      <c r="CV73" s="12" t="n"/>
      <c r="CW73" s="12" t="n"/>
      <c r="CX73" s="12" t="n"/>
      <c r="CY73" s="12" t="n"/>
    </row>
    <row r="74" hidden="1" outlineLevel="1">
      <c r="C74" s="57" t="n"/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 t="n"/>
      <c r="M74" s="12" t="n"/>
      <c r="N74" s="12" t="n"/>
      <c r="O74" s="12" t="n"/>
      <c r="P74" s="12" t="n"/>
      <c r="Q74" s="12" t="n"/>
      <c r="R74" s="12" t="n"/>
      <c r="S74" s="12" t="n"/>
      <c r="T74" s="12" t="n"/>
      <c r="U74" s="12" t="n"/>
      <c r="V74" s="12" t="n"/>
      <c r="W74" s="12" t="n"/>
      <c r="X74" s="12" t="n"/>
      <c r="Y74" s="12" t="n"/>
      <c r="Z74" s="12" t="n"/>
      <c r="AA74" s="12" t="n"/>
      <c r="AB74" s="12" t="n"/>
      <c r="AC74" s="12" t="n"/>
      <c r="AD74" s="12" t="n"/>
      <c r="AE74" s="12" t="n"/>
      <c r="AF74" s="12" t="n"/>
      <c r="AG74" s="12" t="n"/>
      <c r="AH74" s="12" t="n"/>
      <c r="AI74" s="12" t="n"/>
      <c r="AJ74" s="12" t="n"/>
      <c r="AK74" s="12" t="n"/>
      <c r="AL74" s="12" t="n"/>
      <c r="AM74" s="12" t="n"/>
      <c r="AN74" s="12" t="n"/>
      <c r="AO74" s="12" t="n"/>
      <c r="AP74" s="12" t="n"/>
      <c r="AQ74" s="12" t="n"/>
      <c r="AR74" s="12" t="n"/>
      <c r="AS74" s="12" t="n"/>
      <c r="AT74" s="12" t="n"/>
      <c r="AU74" s="12" t="n"/>
      <c r="AV74" s="12" t="n"/>
      <c r="AW74" s="12" t="n"/>
      <c r="AX74" s="12" t="n"/>
      <c r="AY74" s="12" t="n"/>
      <c r="AZ74" s="12" t="n"/>
      <c r="BA74" s="12" t="n"/>
      <c r="BB74" s="12" t="n"/>
      <c r="BC74" s="12" t="n"/>
      <c r="BD74" s="12" t="n"/>
      <c r="BE74" s="12" t="n"/>
      <c r="BF74" s="12" t="n"/>
      <c r="BG74" s="12" t="n"/>
      <c r="BH74" s="12" t="n"/>
      <c r="BI74" s="12" t="n"/>
      <c r="BJ74" s="12" t="n"/>
      <c r="BK74" s="12" t="n"/>
      <c r="BL74" s="12" t="n"/>
      <c r="BM74" s="12" t="n"/>
      <c r="BN74" s="12" t="n"/>
      <c r="BO74" s="12" t="n"/>
      <c r="BP74" s="12" t="n"/>
      <c r="BQ74" s="12" t="n"/>
      <c r="BR74" s="12" t="n"/>
      <c r="BS74" s="12" t="n"/>
      <c r="BT74" s="12" t="n"/>
      <c r="BU74" s="12" t="n"/>
      <c r="BV74" s="12" t="n"/>
      <c r="BW74" s="12" t="n"/>
      <c r="BX74" s="12" t="n"/>
      <c r="BY74" s="12" t="n"/>
      <c r="BZ74" s="12" t="n"/>
      <c r="CA74" s="12" t="n"/>
      <c r="CB74" s="12" t="n"/>
      <c r="CC74" s="12" t="n"/>
      <c r="CD74" s="12" t="n"/>
      <c r="CE74" s="12" t="n"/>
      <c r="CF74" s="12" t="n"/>
      <c r="CG74" s="12" t="n"/>
      <c r="CH74" s="12" t="n"/>
      <c r="CI74" s="12" t="n"/>
      <c r="CJ74" s="12" t="n"/>
      <c r="CK74" s="12" t="n"/>
      <c r="CL74" s="12" t="n"/>
      <c r="CM74" s="12" t="n"/>
      <c r="CN74" s="12" t="n"/>
      <c r="CO74" s="12" t="n"/>
      <c r="CP74" s="12" t="n"/>
      <c r="CQ74" s="12" t="n"/>
      <c r="CR74" s="12" t="n"/>
      <c r="CS74" s="12" t="n"/>
      <c r="CT74" s="12" t="n"/>
      <c r="CU74" s="12" t="n"/>
      <c r="CV74" s="12" t="n"/>
      <c r="CW74" s="12" t="n"/>
      <c r="CX74" s="12" t="n"/>
      <c r="CY74" s="12" t="n"/>
    </row>
    <row r="75" hidden="1" outlineLevel="1">
      <c r="C75" s="57" t="inlineStr">
        <is>
          <t>Cash and equivalents (inc. investment securities)</t>
        </is>
      </c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  <c r="P75" s="12" t="n"/>
      <c r="Q75" s="12" t="n"/>
      <c r="R75" s="12" t="n"/>
      <c r="S75" s="12" t="n"/>
      <c r="T75" s="12" t="n"/>
      <c r="U75" s="12" t="n"/>
      <c r="V75" s="12" t="n"/>
      <c r="W75" s="12" t="n"/>
      <c r="X75" s="12" t="n"/>
      <c r="Y75" s="12" t="n"/>
      <c r="Z75" s="12" t="n"/>
      <c r="AA75" s="12" t="n"/>
      <c r="AB75" s="12" t="n"/>
      <c r="AC75" s="12" t="n"/>
      <c r="AD75" s="12" t="n"/>
      <c r="AE75" s="12" t="n"/>
      <c r="AF75" s="12" t="n"/>
      <c r="AG75" s="12" t="n"/>
      <c r="AH75" s="12" t="n"/>
      <c r="AI75" s="12" t="n"/>
      <c r="AJ75" s="12" t="n"/>
      <c r="AK75" s="12" t="n"/>
      <c r="AL75" s="12" t="n"/>
      <c r="AM75" s="12" t="n"/>
      <c r="AN75" s="12" t="n"/>
      <c r="AO75" s="12" t="n"/>
      <c r="AP75" s="12" t="n"/>
      <c r="AQ75" s="12" t="n"/>
      <c r="AR75" s="12" t="n"/>
      <c r="AS75" s="12" t="n"/>
      <c r="AT75" s="12" t="n"/>
      <c r="AU75" s="12" t="n"/>
      <c r="AV75" s="12" t="n"/>
      <c r="AW75" s="12" t="n"/>
      <c r="AX75" s="12" t="n"/>
      <c r="AY75" s="12" t="n"/>
      <c r="AZ75" s="12" t="n"/>
      <c r="BA75" s="12" t="n"/>
      <c r="BB75" s="12" t="n"/>
      <c r="BC75" s="12" t="n"/>
      <c r="BD75" s="12" t="n"/>
      <c r="BE75" s="12" t="n"/>
      <c r="BF75" s="12" t="n"/>
      <c r="BG75" s="12" t="n"/>
      <c r="BH75" s="12" t="n"/>
      <c r="BI75" s="12" t="n"/>
      <c r="BJ75" s="12" t="n"/>
      <c r="BK75" s="12" t="n"/>
      <c r="BL75" s="12" t="n"/>
      <c r="BM75" s="12" t="n"/>
      <c r="BN75" s="12" t="n"/>
      <c r="BO75" s="12" t="n"/>
      <c r="BP75" s="12" t="n"/>
      <c r="BQ75" s="12" t="n"/>
      <c r="BR75" s="12" t="n"/>
      <c r="BS75" s="12" t="n"/>
      <c r="BT75" s="12" t="n"/>
      <c r="BU75" s="12" t="n"/>
      <c r="BV75" s="12" t="n"/>
      <c r="BW75" s="12" t="n"/>
      <c r="BX75" s="12" t="n"/>
      <c r="BY75" s="12" t="n"/>
      <c r="BZ75" s="12" t="n"/>
      <c r="CA75" s="12" t="n"/>
      <c r="CB75" s="12" t="n"/>
      <c r="CC75" s="12" t="n"/>
      <c r="CD75" s="12" t="n"/>
      <c r="CE75" s="12" t="n"/>
      <c r="CF75" s="12" t="n"/>
      <c r="CG75" s="12" t="n"/>
      <c r="CH75" s="12" t="n"/>
      <c r="CI75" s="12" t="n"/>
      <c r="CJ75" s="12" t="n"/>
      <c r="CK75" s="12" t="n"/>
      <c r="CL75" s="12" t="n"/>
      <c r="CM75" s="12" t="n"/>
      <c r="CN75" s="12" t="n"/>
      <c r="CO75" s="12" t="n"/>
      <c r="CP75" s="12" t="n"/>
      <c r="CQ75" s="12" t="n"/>
      <c r="CR75" s="12" t="n"/>
      <c r="CS75" s="12" t="n"/>
      <c r="CT75" s="12" t="n"/>
      <c r="CU75" s="12" t="n"/>
      <c r="CV75" s="12" t="n"/>
      <c r="CW75" s="12" t="n"/>
      <c r="CX75" s="12" t="n"/>
      <c r="CY75" s="12" t="n"/>
    </row>
    <row r="76" hidden="1" outlineLevel="1">
      <c r="C76" s="57" t="inlineStr">
        <is>
          <t>Interest on cash</t>
        </is>
      </c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2" t="n"/>
      <c r="Z76" s="12" t="n"/>
      <c r="AA76" s="12" t="n"/>
      <c r="AB76" s="12" t="n"/>
      <c r="AC76" s="12" t="n"/>
      <c r="AD76" s="12" t="n"/>
      <c r="AE76" s="12" t="n"/>
      <c r="AF76" s="12" t="n"/>
      <c r="AG76" s="12" t="n"/>
      <c r="AH76" s="12" t="n"/>
      <c r="AI76" s="12" t="n"/>
      <c r="AJ76" s="12" t="n"/>
      <c r="AK76" s="12" t="n"/>
      <c r="AL76" s="12" t="n"/>
      <c r="AM76" s="12" t="n"/>
      <c r="AN76" s="12" t="n"/>
      <c r="AO76" s="12" t="n"/>
      <c r="AP76" s="12" t="n"/>
      <c r="AQ76" s="12" t="n"/>
      <c r="AR76" s="12" t="n"/>
      <c r="AS76" s="12" t="n"/>
      <c r="AT76" s="12" t="n"/>
      <c r="AU76" s="12" t="n"/>
      <c r="AV76" s="12" t="n"/>
      <c r="AW76" s="12" t="n"/>
      <c r="AX76" s="12" t="n"/>
      <c r="AY76" s="12" t="n"/>
      <c r="AZ76" s="12" t="n"/>
      <c r="BA76" s="12" t="n"/>
      <c r="BB76" s="12" t="n"/>
      <c r="BC76" s="12" t="n"/>
      <c r="BD76" s="12" t="n"/>
      <c r="BE76" s="12" t="n"/>
      <c r="BF76" s="12" t="n"/>
      <c r="BG76" s="12" t="n"/>
      <c r="BH76" s="12" t="n"/>
      <c r="BI76" s="12" t="n"/>
      <c r="BJ76" s="12" t="n"/>
      <c r="BK76" s="12" t="n"/>
      <c r="BL76" s="12" t="n"/>
      <c r="BM76" s="12" t="n"/>
      <c r="BN76" s="12" t="n"/>
      <c r="BO76" s="12" t="n"/>
      <c r="BP76" s="12" t="n"/>
      <c r="BQ76" s="12" t="n"/>
      <c r="BR76" s="12" t="n"/>
      <c r="BS76" s="12" t="n"/>
      <c r="BT76" s="12" t="n"/>
      <c r="BU76" s="12" t="n"/>
      <c r="BV76" s="12" t="n"/>
      <c r="BW76" s="12" t="n"/>
      <c r="BX76" s="12" t="n"/>
      <c r="BY76" s="12" t="n"/>
      <c r="BZ76" s="12" t="n"/>
      <c r="CA76" s="12" t="n"/>
      <c r="CB76" s="12" t="n"/>
      <c r="CC76" s="12" t="n"/>
      <c r="CD76" s="12" t="n"/>
      <c r="CE76" s="12" t="n"/>
      <c r="CF76" s="12" t="n"/>
      <c r="CG76" s="12" t="n"/>
      <c r="CH76" s="12" t="n"/>
      <c r="CI76" s="12" t="n"/>
      <c r="CJ76" s="12" t="n"/>
      <c r="CK76" s="12" t="n"/>
      <c r="CL76" s="12" t="n"/>
      <c r="CM76" s="12" t="n"/>
      <c r="CN76" s="12" t="n"/>
      <c r="CO76" s="12" t="n"/>
      <c r="CP76" s="12" t="n"/>
      <c r="CQ76" s="12" t="n"/>
      <c r="CR76" s="12" t="n"/>
      <c r="CS76" s="12" t="n"/>
      <c r="CT76" s="12" t="n"/>
      <c r="CU76" s="12" t="n"/>
      <c r="CV76" s="12" t="n"/>
      <c r="CW76" s="12" t="n"/>
      <c r="CX76" s="12" t="n"/>
      <c r="CY76" s="12" t="n"/>
    </row>
    <row r="77" hidden="1" outlineLevel="1">
      <c r="C77" s="57" t="inlineStr">
        <is>
          <t>Average interest rate</t>
        </is>
      </c>
      <c r="D77" s="12" t="n"/>
      <c r="E77" s="12" t="n"/>
      <c r="F77" s="12" t="n"/>
      <c r="G77" s="12" t="n"/>
      <c r="H77" s="12" t="n"/>
      <c r="I77" s="12" t="n"/>
      <c r="J77" s="12" t="n"/>
      <c r="K77" s="12" t="n"/>
      <c r="L77" s="12" t="n"/>
      <c r="M77" s="12" t="n"/>
      <c r="N77" s="12" t="n"/>
      <c r="O77" s="12" t="n"/>
      <c r="P77" s="12" t="n"/>
      <c r="Q77" s="12" t="n"/>
      <c r="R77" s="12" t="n"/>
      <c r="S77" s="12" t="n"/>
      <c r="T77" s="12" t="n"/>
      <c r="U77" s="12" t="n"/>
      <c r="V77" s="12" t="n"/>
      <c r="W77" s="12" t="n"/>
      <c r="X77" s="12" t="n"/>
      <c r="Y77" s="12" t="n"/>
      <c r="Z77" s="12" t="n"/>
      <c r="AA77" s="12" t="n"/>
      <c r="AB77" s="12" t="n"/>
      <c r="AC77" s="12" t="n"/>
      <c r="AD77" s="12" t="n"/>
      <c r="AE77" s="12" t="n"/>
      <c r="AF77" s="12" t="n"/>
      <c r="AG77" s="12" t="n"/>
      <c r="AH77" s="12" t="n"/>
      <c r="AI77" s="12" t="n"/>
      <c r="AJ77" s="12" t="n"/>
      <c r="AK77" s="12" t="n"/>
      <c r="AL77" s="12" t="n"/>
      <c r="AM77" s="12" t="n"/>
      <c r="AN77" s="12" t="n"/>
      <c r="AO77" s="12" t="n"/>
      <c r="AP77" s="12" t="n"/>
      <c r="AQ77" s="12" t="n"/>
      <c r="AR77" s="12" t="n"/>
      <c r="AS77" s="12" t="n"/>
      <c r="AT77" s="12" t="n"/>
      <c r="AU77" s="12" t="n"/>
      <c r="AV77" s="12" t="n"/>
      <c r="AW77" s="12" t="n"/>
      <c r="AX77" s="12" t="n"/>
      <c r="AY77" s="12" t="n"/>
      <c r="AZ77" s="12" t="n"/>
      <c r="BA77" s="12" t="n"/>
      <c r="BB77" s="12" t="n"/>
      <c r="BC77" s="12" t="n"/>
      <c r="BD77" s="12" t="n"/>
      <c r="BE77" s="12" t="n"/>
      <c r="BF77" s="12" t="n"/>
      <c r="BG77" s="12" t="n"/>
      <c r="BH77" s="12" t="n"/>
      <c r="BI77" s="12" t="n"/>
      <c r="BJ77" s="12" t="n"/>
      <c r="BK77" s="12" t="n"/>
      <c r="BL77" s="12" t="n"/>
      <c r="BM77" s="12" t="n"/>
      <c r="BN77" s="12" t="n"/>
      <c r="BO77" s="12" t="n"/>
      <c r="BP77" s="12" t="n"/>
      <c r="BQ77" s="12" t="n"/>
      <c r="BR77" s="12" t="n"/>
      <c r="BS77" s="12" t="n"/>
      <c r="BT77" s="12" t="n"/>
      <c r="BU77" s="12" t="n"/>
      <c r="BV77" s="12" t="n"/>
      <c r="BW77" s="12" t="n"/>
      <c r="BX77" s="12" t="n"/>
      <c r="BY77" s="12" t="n"/>
      <c r="BZ77" s="12" t="n"/>
      <c r="CA77" s="12" t="n"/>
      <c r="CB77" s="12" t="n"/>
      <c r="CC77" s="12" t="n"/>
      <c r="CD77" s="12" t="n"/>
      <c r="CE77" s="12" t="n"/>
      <c r="CF77" s="12" t="n"/>
      <c r="CG77" s="12" t="n"/>
      <c r="CH77" s="12" t="n"/>
      <c r="CI77" s="12" t="n"/>
      <c r="CJ77" s="12" t="n"/>
      <c r="CK77" s="12" t="n"/>
      <c r="CL77" s="12" t="n"/>
      <c r="CM77" s="12" t="n"/>
      <c r="CN77" s="12" t="n"/>
      <c r="CO77" s="12" t="n"/>
      <c r="CP77" s="12" t="n"/>
      <c r="CQ77" s="12" t="n"/>
      <c r="CR77" s="12" t="n"/>
      <c r="CS77" s="12" t="n"/>
      <c r="CT77" s="12" t="n"/>
      <c r="CU77" s="12" t="n"/>
      <c r="CV77" s="12" t="n"/>
      <c r="CW77" s="12" t="n"/>
      <c r="CX77" s="12" t="n"/>
      <c r="CY77" s="12" t="n"/>
    </row>
    <row r="78" hidden="1" outlineLevel="1">
      <c r="C78" s="57" t="inlineStr">
        <is>
          <t>% CDI</t>
        </is>
      </c>
      <c r="D78" s="12" t="n"/>
      <c r="E78" s="12" t="n"/>
      <c r="F78" s="12" t="n"/>
      <c r="G78" s="12" t="n"/>
      <c r="H78" s="12" t="n"/>
      <c r="I78" s="12" t="n"/>
      <c r="J78" s="12" t="n"/>
      <c r="K78" s="12" t="n"/>
      <c r="L78" s="12" t="n"/>
      <c r="M78" s="12" t="n"/>
      <c r="N78" s="12" t="n"/>
      <c r="O78" s="12" t="n"/>
      <c r="P78" s="12" t="n"/>
      <c r="Q78" s="12" t="n"/>
      <c r="R78" s="12" t="n"/>
      <c r="S78" s="12" t="n"/>
      <c r="T78" s="12" t="n"/>
      <c r="U78" s="12" t="n"/>
      <c r="V78" s="12" t="n"/>
      <c r="W78" s="12" t="n"/>
      <c r="X78" s="12" t="n"/>
      <c r="Y78" s="12" t="n"/>
      <c r="Z78" s="12" t="n"/>
      <c r="AA78" s="12" t="n"/>
      <c r="AB78" s="12" t="n"/>
      <c r="AC78" s="12" t="n"/>
      <c r="AD78" s="12" t="n"/>
      <c r="AE78" s="12" t="n"/>
      <c r="AF78" s="12" t="n"/>
      <c r="AG78" s="12" t="n"/>
      <c r="AH78" s="12" t="n"/>
      <c r="AI78" s="12" t="n"/>
      <c r="AJ78" s="12" t="n"/>
      <c r="AK78" s="12" t="n"/>
      <c r="AL78" s="12" t="n"/>
      <c r="AM78" s="12" t="n"/>
      <c r="AN78" s="12" t="n"/>
      <c r="AO78" s="12" t="n"/>
      <c r="AP78" s="12" t="n"/>
      <c r="AQ78" s="12" t="n"/>
      <c r="AR78" s="12" t="n"/>
      <c r="AS78" s="12" t="n"/>
      <c r="AT78" s="12" t="n"/>
      <c r="AU78" s="12" t="n"/>
      <c r="AV78" s="12" t="n"/>
      <c r="AW78" s="12" t="n"/>
      <c r="AX78" s="12" t="n"/>
      <c r="AY78" s="12" t="n"/>
      <c r="AZ78" s="12" t="n"/>
      <c r="BA78" s="12" t="n"/>
      <c r="BB78" s="12" t="n"/>
      <c r="BC78" s="12" t="n"/>
      <c r="BD78" s="12" t="n"/>
      <c r="BE78" s="12" t="n"/>
      <c r="BF78" s="12" t="n"/>
      <c r="BG78" s="12" t="n"/>
      <c r="BH78" s="12" t="n"/>
      <c r="BI78" s="12" t="n"/>
      <c r="BJ78" s="12" t="n"/>
      <c r="BK78" s="12" t="n"/>
      <c r="BL78" s="12" t="n"/>
      <c r="BM78" s="12" t="n"/>
      <c r="BN78" s="12" t="n"/>
      <c r="BO78" s="12" t="n"/>
      <c r="BP78" s="12" t="n"/>
      <c r="BQ78" s="12" t="n"/>
      <c r="BR78" s="12" t="n"/>
      <c r="BS78" s="12" t="n"/>
      <c r="BT78" s="12" t="n"/>
      <c r="BU78" s="12" t="n"/>
      <c r="BV78" s="12" t="n"/>
      <c r="BW78" s="12" t="n"/>
      <c r="BX78" s="12" t="n"/>
      <c r="BY78" s="12" t="n"/>
      <c r="BZ78" s="12" t="n"/>
      <c r="CA78" s="12" t="n"/>
      <c r="CB78" s="12" t="n"/>
      <c r="CC78" s="12" t="n"/>
      <c r="CD78" s="12" t="n"/>
      <c r="CE78" s="12" t="n"/>
      <c r="CF78" s="12" t="n"/>
      <c r="CG78" s="12" t="n"/>
      <c r="CH78" s="12" t="n"/>
      <c r="CI78" s="12" t="n"/>
      <c r="CJ78" s="12" t="n"/>
      <c r="CK78" s="12" t="n"/>
      <c r="CL78" s="12" t="n"/>
      <c r="CM78" s="12" t="n"/>
      <c r="CN78" s="12" t="n"/>
      <c r="CO78" s="12" t="n"/>
      <c r="CP78" s="12" t="n"/>
      <c r="CQ78" s="12" t="n"/>
      <c r="CR78" s="12" t="n"/>
      <c r="CS78" s="12" t="n"/>
      <c r="CT78" s="12" t="n"/>
      <c r="CU78" s="12" t="n"/>
      <c r="CV78" s="12" t="n"/>
      <c r="CW78" s="12" t="n"/>
      <c r="CX78" s="12" t="n"/>
      <c r="CY78" s="12" t="n"/>
    </row>
    <row r="79" hidden="1" outlineLevel="1">
      <c r="C79" s="57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2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2" t="n"/>
      <c r="Z79" s="12" t="n"/>
      <c r="AA79" s="12" t="n"/>
      <c r="AB79" s="12" t="n"/>
      <c r="AC79" s="12" t="n"/>
      <c r="AD79" s="12" t="n"/>
      <c r="AE79" s="12" t="n"/>
      <c r="AF79" s="12" t="n"/>
      <c r="AG79" s="12" t="n"/>
      <c r="AH79" s="12" t="n"/>
      <c r="AI79" s="12" t="n"/>
      <c r="AJ79" s="12" t="n"/>
      <c r="AK79" s="12" t="n"/>
      <c r="AL79" s="12" t="n"/>
      <c r="AM79" s="12" t="n"/>
      <c r="AN79" s="12" t="n"/>
      <c r="AO79" s="12" t="n"/>
      <c r="AP79" s="12" t="n"/>
      <c r="AQ79" s="12" t="n"/>
      <c r="AR79" s="12" t="n"/>
      <c r="AS79" s="12" t="n"/>
      <c r="AT79" s="12" t="n"/>
      <c r="AU79" s="12" t="n"/>
      <c r="AV79" s="12" t="n"/>
      <c r="AW79" s="12" t="n"/>
      <c r="AX79" s="12" t="n"/>
      <c r="AY79" s="12" t="n"/>
      <c r="AZ79" s="12" t="n"/>
      <c r="BA79" s="12" t="n"/>
      <c r="BB79" s="12" t="n"/>
      <c r="BC79" s="12" t="n"/>
      <c r="BD79" s="12" t="n"/>
      <c r="BE79" s="12" t="n"/>
      <c r="BF79" s="12" t="n"/>
      <c r="BG79" s="12" t="n"/>
      <c r="BH79" s="12" t="n"/>
      <c r="BI79" s="12" t="n"/>
      <c r="BJ79" s="12" t="n"/>
      <c r="BK79" s="12" t="n"/>
      <c r="BL79" s="12" t="n"/>
      <c r="BM79" s="12" t="n"/>
      <c r="BN79" s="12" t="n"/>
      <c r="BO79" s="12" t="n"/>
      <c r="BP79" s="12" t="n"/>
      <c r="BQ79" s="12" t="n"/>
      <c r="BR79" s="12" t="n"/>
      <c r="BS79" s="12" t="n"/>
      <c r="BT79" s="12" t="n"/>
      <c r="BU79" s="12" t="n"/>
      <c r="BV79" s="12" t="n"/>
      <c r="BW79" s="12" t="n"/>
      <c r="BX79" s="12" t="n"/>
      <c r="BY79" s="12" t="n"/>
      <c r="BZ79" s="12" t="n"/>
      <c r="CA79" s="12" t="n"/>
      <c r="CB79" s="12" t="n"/>
      <c r="CC79" s="12" t="n"/>
      <c r="CD79" s="12" t="n"/>
      <c r="CE79" s="12" t="n"/>
      <c r="CF79" s="12" t="n"/>
      <c r="CG79" s="12" t="n"/>
      <c r="CH79" s="12" t="n"/>
      <c r="CI79" s="12" t="n"/>
      <c r="CJ79" s="12" t="n"/>
      <c r="CK79" s="12" t="n"/>
      <c r="CL79" s="12" t="n"/>
      <c r="CM79" s="12" t="n"/>
      <c r="CN79" s="12" t="n"/>
      <c r="CO79" s="12" t="n"/>
      <c r="CP79" s="12" t="n"/>
      <c r="CQ79" s="12" t="n"/>
      <c r="CR79" s="12" t="n"/>
      <c r="CS79" s="12" t="n"/>
      <c r="CT79" s="12" t="n"/>
      <c r="CU79" s="12" t="n"/>
      <c r="CV79" s="12" t="n"/>
      <c r="CW79" s="12" t="n"/>
      <c r="CX79" s="12" t="n"/>
      <c r="CY79" s="12" t="n"/>
    </row>
    <row r="80" hidden="1" outlineLevel="1">
      <c r="C80" s="57" t="inlineStr">
        <is>
          <t>Current portion of long-term debt</t>
        </is>
      </c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12" t="n"/>
      <c r="P80" s="12" t="n"/>
      <c r="Q80" s="12" t="n"/>
      <c r="R80" s="12" t="n"/>
      <c r="S80" s="12" t="n"/>
      <c r="T80" s="12" t="n"/>
      <c r="U80" s="12" t="n"/>
      <c r="V80" s="12" t="n"/>
      <c r="W80" s="12" t="n"/>
      <c r="X80" s="12" t="n"/>
      <c r="Y80" s="12" t="n"/>
      <c r="Z80" s="12" t="n"/>
      <c r="AA80" s="12" t="n"/>
      <c r="AB80" s="12" t="n"/>
      <c r="AC80" s="12" t="n"/>
      <c r="AD80" s="12" t="n"/>
      <c r="AE80" s="12" t="n"/>
      <c r="AF80" s="12" t="n"/>
      <c r="AG80" s="12" t="n"/>
      <c r="AH80" s="12" t="n"/>
      <c r="AI80" s="12" t="n"/>
      <c r="AJ80" s="12" t="n"/>
      <c r="AK80" s="12" t="n"/>
      <c r="AL80" s="12" t="n"/>
      <c r="AM80" s="12" t="n"/>
      <c r="AN80" s="12" t="n"/>
      <c r="AO80" s="12" t="n"/>
      <c r="AP80" s="12" t="n"/>
      <c r="AQ80" s="12" t="n"/>
      <c r="AR80" s="12" t="n"/>
      <c r="AS80" s="12" t="n"/>
      <c r="AT80" s="12" t="n"/>
      <c r="AU80" s="12" t="n"/>
      <c r="AV80" s="12" t="n"/>
      <c r="AW80" s="12" t="n"/>
      <c r="AX80" s="12" t="n"/>
      <c r="AY80" s="12" t="n"/>
      <c r="AZ80" s="12" t="n"/>
      <c r="BA80" s="12" t="n"/>
      <c r="BB80" s="12" t="n"/>
      <c r="BC80" s="12" t="n"/>
      <c r="BD80" s="12" t="n"/>
      <c r="BE80" s="12" t="n"/>
      <c r="BF80" s="12" t="n"/>
      <c r="BG80" s="12" t="n"/>
      <c r="BH80" s="12" t="n"/>
      <c r="BI80" s="12" t="n"/>
      <c r="BJ80" s="12" t="n"/>
      <c r="BK80" s="12" t="n"/>
      <c r="BL80" s="12" t="n"/>
      <c r="BM80" s="12" t="n"/>
      <c r="BN80" s="12" t="n"/>
      <c r="BO80" s="12" t="n"/>
      <c r="BP80" s="12" t="n"/>
      <c r="BQ80" s="12" t="n"/>
      <c r="BR80" s="12" t="n"/>
      <c r="BS80" s="12" t="n"/>
      <c r="BT80" s="12" t="n"/>
      <c r="BU80" s="12" t="n"/>
      <c r="BV80" s="12" t="n"/>
      <c r="BW80" s="12" t="n"/>
      <c r="BX80" s="12" t="n"/>
      <c r="BY80" s="12" t="n"/>
      <c r="BZ80" s="12" t="n"/>
      <c r="CA80" s="12" t="n"/>
      <c r="CB80" s="12" t="n"/>
      <c r="CC80" s="12" t="n"/>
      <c r="CD80" s="12" t="n"/>
      <c r="CE80" s="12" t="n"/>
      <c r="CF80" s="12" t="n"/>
      <c r="CG80" s="12" t="n"/>
      <c r="CH80" s="12" t="n"/>
      <c r="CI80" s="12" t="n"/>
      <c r="CJ80" s="12" t="n"/>
      <c r="CK80" s="12" t="n"/>
      <c r="CL80" s="12" t="n"/>
      <c r="CM80" s="12" t="n"/>
      <c r="CN80" s="12" t="n"/>
      <c r="CO80" s="12" t="n"/>
      <c r="CP80" s="12" t="n"/>
      <c r="CQ80" s="12" t="n"/>
      <c r="CR80" s="12" t="n"/>
      <c r="CS80" s="12" t="n"/>
      <c r="CT80" s="12" t="n"/>
      <c r="CU80" s="12" t="n"/>
      <c r="CV80" s="12" t="n"/>
      <c r="CW80" s="12" t="n"/>
      <c r="CX80" s="12" t="n"/>
      <c r="CY80" s="12" t="n"/>
    </row>
    <row r="81" hidden="1" outlineLevel="1">
      <c r="C81" s="57" t="inlineStr">
        <is>
          <t>Short term debt (Revolving credit facility)</t>
        </is>
      </c>
      <c r="D81" s="12" t="n"/>
      <c r="E81" s="12" t="n"/>
      <c r="F81" s="12" t="n"/>
      <c r="G81" s="12" t="n"/>
      <c r="H81" s="12" t="n"/>
      <c r="I81" s="12" t="n"/>
      <c r="J81" s="12" t="n"/>
      <c r="K81" s="12" t="n"/>
      <c r="L81" s="12" t="n"/>
      <c r="M81" s="12" t="n"/>
      <c r="N81" s="12" t="n"/>
      <c r="O81" s="12" t="n"/>
      <c r="P81" s="12" t="n"/>
      <c r="Q81" s="12" t="n"/>
      <c r="R81" s="12" t="n"/>
      <c r="S81" s="12" t="n"/>
      <c r="T81" s="12" t="n"/>
      <c r="U81" s="12" t="n"/>
      <c r="V81" s="12" t="n"/>
      <c r="W81" s="12" t="n"/>
      <c r="X81" s="12" t="n"/>
      <c r="Y81" s="12" t="n"/>
      <c r="Z81" s="12" t="n"/>
      <c r="AA81" s="12" t="n"/>
      <c r="AB81" s="12" t="n"/>
      <c r="AC81" s="12" t="n"/>
      <c r="AD81" s="12" t="n"/>
      <c r="AE81" s="12" t="n"/>
      <c r="AF81" s="12" t="n"/>
      <c r="AG81" s="12" t="n"/>
      <c r="AH81" s="12" t="n"/>
      <c r="AI81" s="12" t="n"/>
      <c r="AJ81" s="12" t="n"/>
      <c r="AK81" s="12" t="n"/>
      <c r="AL81" s="12" t="n"/>
      <c r="AM81" s="12" t="n"/>
      <c r="AN81" s="12" t="n"/>
      <c r="AO81" s="12" t="n"/>
      <c r="AP81" s="12" t="n"/>
      <c r="AQ81" s="12" t="n"/>
      <c r="AR81" s="12" t="n"/>
      <c r="AS81" s="12" t="n"/>
      <c r="AT81" s="12" t="n"/>
      <c r="AU81" s="12" t="n"/>
      <c r="AV81" s="12" t="n"/>
      <c r="AW81" s="12" t="n"/>
      <c r="AX81" s="12" t="n"/>
      <c r="AY81" s="12" t="n"/>
      <c r="AZ81" s="12" t="n"/>
      <c r="BA81" s="12" t="n"/>
      <c r="BB81" s="12" t="n"/>
      <c r="BC81" s="12" t="n"/>
      <c r="BD81" s="12" t="n"/>
      <c r="BE81" s="12" t="n"/>
      <c r="BF81" s="12" t="n"/>
      <c r="BG81" s="12" t="n"/>
      <c r="BH81" s="12" t="n"/>
      <c r="BI81" s="12" t="n"/>
      <c r="BJ81" s="12" t="n"/>
      <c r="BK81" s="12" t="n"/>
      <c r="BL81" s="12" t="n"/>
      <c r="BM81" s="12" t="n"/>
      <c r="BN81" s="12" t="n"/>
      <c r="BO81" s="12" t="n"/>
      <c r="BP81" s="12" t="n"/>
      <c r="BQ81" s="12" t="n"/>
      <c r="BR81" s="12" t="n"/>
      <c r="BS81" s="12" t="n"/>
      <c r="BT81" s="12" t="n"/>
      <c r="BU81" s="12" t="n"/>
      <c r="BV81" s="12" t="n"/>
      <c r="BW81" s="12" t="n"/>
      <c r="BX81" s="12" t="n"/>
      <c r="BY81" s="12" t="n"/>
      <c r="BZ81" s="12" t="n"/>
      <c r="CA81" s="12" t="n"/>
      <c r="CB81" s="12" t="n"/>
      <c r="CC81" s="12" t="n"/>
      <c r="CD81" s="12" t="n"/>
      <c r="CE81" s="12" t="n"/>
      <c r="CF81" s="12" t="n"/>
      <c r="CG81" s="12" t="n"/>
      <c r="CH81" s="12" t="n"/>
      <c r="CI81" s="12" t="n"/>
      <c r="CJ81" s="12" t="n"/>
      <c r="CK81" s="12" t="n"/>
      <c r="CL81" s="12" t="n"/>
      <c r="CM81" s="12" t="n"/>
      <c r="CN81" s="12" t="n"/>
      <c r="CO81" s="12" t="n"/>
      <c r="CP81" s="12" t="n"/>
      <c r="CQ81" s="12" t="n"/>
      <c r="CR81" s="12" t="n"/>
      <c r="CS81" s="12" t="n"/>
      <c r="CT81" s="12" t="n"/>
      <c r="CU81" s="12" t="n"/>
      <c r="CV81" s="12" t="n"/>
      <c r="CW81" s="12" t="n"/>
      <c r="CX81" s="12" t="n"/>
      <c r="CY81" s="12" t="n"/>
    </row>
    <row r="82" hidden="1" outlineLevel="1">
      <c r="C82" s="57" t="inlineStr">
        <is>
          <t>Long term debt</t>
        </is>
      </c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2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2" t="n"/>
      <c r="Z82" s="12" t="n"/>
      <c r="AA82" s="12" t="n"/>
      <c r="AB82" s="12" t="n"/>
      <c r="AC82" s="12" t="n"/>
      <c r="AD82" s="12" t="n"/>
      <c r="AE82" s="12" t="n"/>
      <c r="AF82" s="12" t="n"/>
      <c r="AG82" s="12" t="n"/>
      <c r="AH82" s="12" t="n"/>
      <c r="AI82" s="12" t="n"/>
      <c r="AJ82" s="12" t="n"/>
      <c r="AK82" s="12" t="n"/>
      <c r="AL82" s="12" t="n"/>
      <c r="AM82" s="12" t="n"/>
      <c r="AN82" s="12" t="n"/>
      <c r="AO82" s="12" t="n"/>
      <c r="AP82" s="12" t="n"/>
      <c r="AQ82" s="12" t="n"/>
      <c r="AR82" s="12" t="n"/>
      <c r="AS82" s="12" t="n"/>
      <c r="AT82" s="12" t="n"/>
      <c r="AU82" s="12" t="n"/>
      <c r="AV82" s="12" t="n"/>
      <c r="AW82" s="12" t="n"/>
      <c r="AX82" s="12" t="n"/>
      <c r="AY82" s="12" t="n"/>
      <c r="AZ82" s="12" t="n"/>
      <c r="BA82" s="12" t="n"/>
      <c r="BB82" s="12" t="n"/>
      <c r="BC82" s="12" t="n"/>
      <c r="BD82" s="12" t="n"/>
      <c r="BE82" s="12" t="n"/>
      <c r="BF82" s="12" t="n"/>
      <c r="BG82" s="12" t="n"/>
      <c r="BH82" s="12" t="n"/>
      <c r="BI82" s="12" t="n"/>
      <c r="BJ82" s="12" t="n"/>
      <c r="BK82" s="12" t="n"/>
      <c r="BL82" s="12" t="n"/>
      <c r="BM82" s="12" t="n"/>
      <c r="BN82" s="12" t="n"/>
      <c r="BO82" s="12" t="n"/>
      <c r="BP82" s="12" t="n"/>
      <c r="BQ82" s="12" t="n"/>
      <c r="BR82" s="12" t="n"/>
      <c r="BS82" s="12" t="n"/>
      <c r="BT82" s="12" t="n"/>
      <c r="BU82" s="12" t="n"/>
      <c r="BV82" s="12" t="n"/>
      <c r="BW82" s="12" t="n"/>
      <c r="BX82" s="12" t="n"/>
      <c r="BY82" s="12" t="n"/>
      <c r="BZ82" s="12" t="n"/>
      <c r="CA82" s="12" t="n"/>
      <c r="CB82" s="12" t="n"/>
      <c r="CC82" s="12" t="n"/>
      <c r="CD82" s="12" t="n"/>
      <c r="CE82" s="12" t="n"/>
      <c r="CF82" s="12" t="n"/>
      <c r="CG82" s="12" t="n"/>
      <c r="CH82" s="12" t="n"/>
      <c r="CI82" s="12" t="n"/>
      <c r="CJ82" s="12" t="n"/>
      <c r="CK82" s="12" t="n"/>
      <c r="CL82" s="12" t="n"/>
      <c r="CM82" s="12" t="n"/>
      <c r="CN82" s="12" t="n"/>
      <c r="CO82" s="12" t="n"/>
      <c r="CP82" s="12" t="n"/>
      <c r="CQ82" s="12" t="n"/>
      <c r="CR82" s="12" t="n"/>
      <c r="CS82" s="12" t="n"/>
      <c r="CT82" s="12" t="n"/>
      <c r="CU82" s="12" t="n"/>
      <c r="CV82" s="12" t="n"/>
      <c r="CW82" s="12" t="n"/>
      <c r="CX82" s="12" t="n"/>
      <c r="CY82" s="12" t="n"/>
    </row>
    <row r="83" hidden="1" outlineLevel="1">
      <c r="C83" s="57" t="inlineStr">
        <is>
          <t>Convertible debt</t>
        </is>
      </c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2" t="n"/>
      <c r="N83" s="12" t="n"/>
      <c r="O83" s="12" t="n"/>
      <c r="P83" s="12" t="n"/>
      <c r="Q83" s="12" t="n"/>
      <c r="R83" s="12" t="n"/>
      <c r="S83" s="12" t="n"/>
      <c r="T83" s="12" t="n"/>
      <c r="U83" s="12" t="n"/>
      <c r="V83" s="12" t="n"/>
      <c r="W83" s="12" t="n"/>
      <c r="X83" s="12" t="n"/>
      <c r="Y83" s="12" t="n"/>
      <c r="Z83" s="12" t="n"/>
      <c r="AA83" s="12" t="n"/>
      <c r="AB83" s="12" t="n"/>
      <c r="AC83" s="12" t="n"/>
      <c r="AD83" s="12" t="n"/>
      <c r="AE83" s="12" t="n"/>
      <c r="AF83" s="12" t="n"/>
      <c r="AG83" s="12" t="n"/>
      <c r="AH83" s="12" t="n"/>
      <c r="AI83" s="12" t="n"/>
      <c r="AJ83" s="12" t="n"/>
      <c r="AK83" s="12" t="n"/>
      <c r="AL83" s="12" t="n"/>
      <c r="AM83" s="12" t="n"/>
      <c r="AN83" s="12" t="n"/>
      <c r="AO83" s="12" t="n"/>
      <c r="AP83" s="12" t="n"/>
      <c r="AQ83" s="12" t="n"/>
      <c r="AR83" s="12" t="n"/>
      <c r="AS83" s="12" t="n"/>
      <c r="AT83" s="12" t="n"/>
      <c r="AU83" s="12" t="n"/>
      <c r="AV83" s="12" t="n"/>
      <c r="AW83" s="12" t="n"/>
      <c r="AX83" s="12" t="n"/>
      <c r="AY83" s="12" t="n"/>
      <c r="AZ83" s="12" t="n"/>
      <c r="BA83" s="12" t="n"/>
      <c r="BB83" s="12" t="n"/>
      <c r="BC83" s="12" t="n"/>
      <c r="BD83" s="12" t="n"/>
      <c r="BE83" s="12" t="n"/>
      <c r="BF83" s="12" t="n"/>
      <c r="BG83" s="12" t="n"/>
      <c r="BH83" s="12" t="n"/>
      <c r="BI83" s="12" t="n"/>
      <c r="BJ83" s="12" t="n"/>
      <c r="BK83" s="12" t="n"/>
      <c r="BL83" s="12" t="n"/>
      <c r="BM83" s="12" t="n"/>
      <c r="BN83" s="12" t="n"/>
      <c r="BO83" s="12" t="n"/>
      <c r="BP83" s="12" t="n"/>
      <c r="BQ83" s="12" t="n"/>
      <c r="BR83" s="12" t="n"/>
      <c r="BS83" s="12" t="n"/>
      <c r="BT83" s="12" t="n"/>
      <c r="BU83" s="12" t="n"/>
      <c r="BV83" s="12" t="n"/>
      <c r="BW83" s="12" t="n"/>
      <c r="BX83" s="12" t="n"/>
      <c r="BY83" s="12" t="n"/>
      <c r="BZ83" s="12" t="n"/>
      <c r="CA83" s="12" t="n"/>
      <c r="CB83" s="12" t="n"/>
      <c r="CC83" s="12" t="n"/>
      <c r="CD83" s="12" t="n"/>
      <c r="CE83" s="12" t="n"/>
      <c r="CF83" s="12" t="n"/>
      <c r="CG83" s="12" t="n"/>
      <c r="CH83" s="12" t="n"/>
      <c r="CI83" s="12" t="n"/>
      <c r="CJ83" s="12" t="n"/>
      <c r="CK83" s="12" t="n"/>
      <c r="CL83" s="12" t="n"/>
      <c r="CM83" s="12" t="n"/>
      <c r="CN83" s="12" t="n"/>
      <c r="CO83" s="12" t="n"/>
      <c r="CP83" s="12" t="n"/>
      <c r="CQ83" s="12" t="n"/>
      <c r="CR83" s="12" t="n"/>
      <c r="CS83" s="12" t="n"/>
      <c r="CT83" s="12" t="n"/>
      <c r="CU83" s="12" t="n"/>
      <c r="CV83" s="12" t="n"/>
      <c r="CW83" s="12" t="n"/>
      <c r="CX83" s="12" t="n"/>
      <c r="CY83" s="12" t="n"/>
    </row>
    <row r="84" hidden="1" outlineLevel="1">
      <c r="C84" s="57" t="inlineStr">
        <is>
          <t>Total debt</t>
        </is>
      </c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  <c r="AA84" s="12" t="n"/>
      <c r="AB84" s="12" t="n"/>
      <c r="AC84" s="12" t="n"/>
      <c r="AD84" s="12" t="n"/>
      <c r="AE84" s="12" t="n"/>
      <c r="AF84" s="12" t="n"/>
      <c r="AG84" s="12" t="n"/>
      <c r="AH84" s="12" t="n"/>
      <c r="AI84" s="12" t="n"/>
      <c r="AJ84" s="12" t="n"/>
      <c r="AK84" s="12" t="n"/>
      <c r="AL84" s="12" t="n"/>
      <c r="AM84" s="12" t="n"/>
      <c r="AN84" s="12" t="n"/>
      <c r="AO84" s="12" t="n"/>
      <c r="AP84" s="12" t="n"/>
      <c r="AQ84" s="12" t="n"/>
      <c r="AR84" s="12" t="n"/>
      <c r="AS84" s="12" t="n"/>
      <c r="AT84" s="12" t="n"/>
      <c r="AU84" s="12" t="n"/>
      <c r="AV84" s="12" t="n"/>
      <c r="AW84" s="12" t="n"/>
      <c r="AX84" s="12" t="n"/>
      <c r="AY84" s="12" t="n"/>
      <c r="AZ84" s="12" t="n"/>
      <c r="BA84" s="12" t="n"/>
      <c r="BB84" s="12" t="n"/>
      <c r="BC84" s="12" t="n"/>
      <c r="BD84" s="12" t="n"/>
      <c r="BE84" s="12" t="n"/>
      <c r="BF84" s="12" t="n"/>
      <c r="BG84" s="12" t="n"/>
      <c r="BH84" s="12" t="n"/>
      <c r="BI84" s="12" t="n"/>
      <c r="BJ84" s="12" t="n"/>
      <c r="BK84" s="12" t="n"/>
      <c r="BL84" s="12" t="n"/>
      <c r="BM84" s="12" t="n"/>
      <c r="BN84" s="12" t="n"/>
      <c r="BO84" s="12" t="n"/>
      <c r="BP84" s="12" t="n"/>
      <c r="BQ84" s="12" t="n"/>
      <c r="BR84" s="12" t="n"/>
      <c r="BS84" s="12" t="n"/>
      <c r="BT84" s="12" t="n"/>
      <c r="BU84" s="12" t="n"/>
      <c r="BV84" s="12" t="n"/>
      <c r="BW84" s="12" t="n"/>
      <c r="BX84" s="12" t="n"/>
      <c r="BY84" s="12" t="n"/>
      <c r="BZ84" s="12" t="n"/>
      <c r="CA84" s="12" t="n"/>
      <c r="CB84" s="12" t="n"/>
      <c r="CC84" s="12" t="n"/>
      <c r="CD84" s="12" t="n"/>
      <c r="CE84" s="12" t="n"/>
      <c r="CF84" s="12" t="n"/>
      <c r="CG84" s="12" t="n"/>
      <c r="CH84" s="12" t="n"/>
      <c r="CI84" s="12" t="n"/>
      <c r="CJ84" s="12" t="n"/>
      <c r="CK84" s="12" t="n"/>
      <c r="CL84" s="12" t="n"/>
      <c r="CM84" s="12" t="n"/>
      <c r="CN84" s="12" t="n"/>
      <c r="CO84" s="12" t="n"/>
      <c r="CP84" s="12" t="n"/>
      <c r="CQ84" s="12" t="n"/>
      <c r="CR84" s="12" t="n"/>
      <c r="CS84" s="12" t="n"/>
      <c r="CT84" s="12" t="n"/>
      <c r="CU84" s="12" t="n"/>
      <c r="CV84" s="12" t="n"/>
      <c r="CW84" s="12" t="n"/>
      <c r="CX84" s="12" t="n"/>
      <c r="CY84" s="12" t="n"/>
    </row>
    <row r="85" hidden="1" outlineLevel="1">
      <c r="C85" s="57" t="inlineStr">
        <is>
          <t>Interest expense</t>
        </is>
      </c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2" t="n"/>
      <c r="Z85" s="12" t="n"/>
      <c r="AA85" s="12" t="n"/>
      <c r="AB85" s="12" t="n"/>
      <c r="AC85" s="12" t="n"/>
      <c r="AD85" s="12" t="n"/>
      <c r="AE85" s="12" t="n"/>
      <c r="AF85" s="12" t="n"/>
      <c r="AG85" s="12" t="n"/>
      <c r="AH85" s="12" t="n"/>
      <c r="AI85" s="12" t="n"/>
      <c r="AJ85" s="12" t="n"/>
      <c r="AK85" s="12" t="n"/>
      <c r="AL85" s="12" t="n"/>
      <c r="AM85" s="12" t="n"/>
      <c r="AN85" s="12" t="n"/>
      <c r="AO85" s="12" t="n"/>
      <c r="AP85" s="12" t="n"/>
      <c r="AQ85" s="12" t="n"/>
      <c r="AR85" s="12" t="n"/>
      <c r="AS85" s="12" t="n"/>
      <c r="AT85" s="12" t="n"/>
      <c r="AU85" s="12" t="n"/>
      <c r="AV85" s="12" t="n"/>
      <c r="AW85" s="12" t="n"/>
      <c r="AX85" s="12" t="n"/>
      <c r="AY85" s="12" t="n"/>
      <c r="AZ85" s="12" t="n"/>
      <c r="BA85" s="12" t="n"/>
      <c r="BB85" s="12" t="n"/>
      <c r="BC85" s="12" t="n"/>
      <c r="BD85" s="12" t="n"/>
      <c r="BE85" s="12" t="n"/>
      <c r="BF85" s="12" t="n"/>
      <c r="BG85" s="12" t="n"/>
      <c r="BH85" s="12" t="n"/>
      <c r="BI85" s="12" t="n"/>
      <c r="BJ85" s="12" t="n"/>
      <c r="BK85" s="12" t="n"/>
      <c r="BL85" s="12" t="n"/>
      <c r="BM85" s="12" t="n"/>
      <c r="BN85" s="12" t="n"/>
      <c r="BO85" s="12" t="n"/>
      <c r="BP85" s="12" t="n"/>
      <c r="BQ85" s="12" t="n"/>
      <c r="BR85" s="12" t="n"/>
      <c r="BS85" s="12" t="n"/>
      <c r="BT85" s="12" t="n"/>
      <c r="BU85" s="12" t="n"/>
      <c r="BV85" s="12" t="n"/>
      <c r="BW85" s="12" t="n"/>
      <c r="BX85" s="12" t="n"/>
      <c r="BY85" s="12" t="n"/>
      <c r="BZ85" s="12" t="n"/>
      <c r="CA85" s="12" t="n"/>
      <c r="CB85" s="12" t="n"/>
      <c r="CC85" s="12" t="n"/>
      <c r="CD85" s="12" t="n"/>
      <c r="CE85" s="12" t="n"/>
      <c r="CF85" s="12" t="n"/>
      <c r="CG85" s="12" t="n"/>
      <c r="CH85" s="12" t="n"/>
      <c r="CI85" s="12" t="n"/>
      <c r="CJ85" s="12" t="n"/>
      <c r="CK85" s="12" t="n"/>
      <c r="CL85" s="12" t="n"/>
      <c r="CM85" s="12" t="n"/>
      <c r="CN85" s="12" t="n"/>
      <c r="CO85" s="12" t="n"/>
      <c r="CP85" s="12" t="n"/>
      <c r="CQ85" s="12" t="n"/>
      <c r="CR85" s="12" t="n"/>
      <c r="CS85" s="12" t="n"/>
      <c r="CT85" s="12" t="n"/>
      <c r="CU85" s="12" t="n"/>
      <c r="CV85" s="12" t="n"/>
      <c r="CW85" s="12" t="n"/>
      <c r="CX85" s="12" t="n"/>
      <c r="CY85" s="12" t="n"/>
    </row>
    <row r="86" hidden="1" outlineLevel="1">
      <c r="C86" s="57" t="inlineStr">
        <is>
          <t>Average interest rate</t>
        </is>
      </c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  <c r="AB86" s="12" t="n"/>
      <c r="AC86" s="12" t="n"/>
      <c r="AD86" s="12" t="n"/>
      <c r="AE86" s="12" t="n"/>
      <c r="AF86" s="12" t="n"/>
      <c r="AG86" s="12" t="n"/>
      <c r="AH86" s="12" t="n"/>
      <c r="AI86" s="12" t="n"/>
      <c r="AJ86" s="12" t="n"/>
      <c r="AK86" s="12" t="n"/>
      <c r="AL86" s="12" t="n"/>
      <c r="AM86" s="12" t="n"/>
      <c r="AN86" s="12" t="n"/>
      <c r="AO86" s="12" t="n"/>
      <c r="AP86" s="12" t="n"/>
      <c r="AQ86" s="12" t="n"/>
      <c r="AR86" s="12" t="n"/>
      <c r="AS86" s="12" t="n"/>
      <c r="AT86" s="12" t="n"/>
      <c r="AU86" s="12" t="n"/>
      <c r="AV86" s="12" t="n"/>
      <c r="AW86" s="12" t="n"/>
      <c r="AX86" s="12" t="n"/>
      <c r="AY86" s="12" t="n"/>
      <c r="AZ86" s="12" t="n"/>
      <c r="BA86" s="12" t="n"/>
      <c r="BB86" s="12" t="n"/>
      <c r="BC86" s="12" t="n"/>
      <c r="BD86" s="12" t="n"/>
      <c r="BE86" s="12" t="n"/>
      <c r="BF86" s="12" t="n"/>
      <c r="BG86" s="12" t="n"/>
      <c r="BH86" s="12" t="n"/>
      <c r="BI86" s="12" t="n"/>
      <c r="BJ86" s="12" t="n"/>
      <c r="BK86" s="12" t="n"/>
      <c r="BL86" s="12" t="n"/>
      <c r="BM86" s="12" t="n"/>
      <c r="BN86" s="12" t="n"/>
      <c r="BO86" s="12" t="n"/>
      <c r="BP86" s="12" t="n"/>
      <c r="BQ86" s="12" t="n"/>
      <c r="BR86" s="12" t="n"/>
      <c r="BS86" s="12" t="n"/>
      <c r="BT86" s="12" t="n"/>
      <c r="BU86" s="12" t="n"/>
      <c r="BV86" s="12" t="n"/>
      <c r="BW86" s="12" t="n"/>
      <c r="BX86" s="12" t="n"/>
      <c r="BY86" s="12" t="n"/>
      <c r="BZ86" s="12" t="n"/>
      <c r="CA86" s="12" t="n"/>
      <c r="CB86" s="12" t="n"/>
      <c r="CC86" s="12" t="n"/>
      <c r="CD86" s="12" t="n"/>
      <c r="CE86" s="12" t="n"/>
      <c r="CF86" s="12" t="n"/>
      <c r="CG86" s="12" t="n"/>
      <c r="CH86" s="12" t="n"/>
      <c r="CI86" s="12" t="n"/>
      <c r="CJ86" s="12" t="n"/>
      <c r="CK86" s="12" t="n"/>
      <c r="CL86" s="12" t="n"/>
      <c r="CM86" s="12" t="n"/>
      <c r="CN86" s="12" t="n"/>
      <c r="CO86" s="12" t="n"/>
      <c r="CP86" s="12" t="n"/>
      <c r="CQ86" s="12" t="n"/>
      <c r="CR86" s="12" t="n"/>
      <c r="CS86" s="12" t="n"/>
      <c r="CT86" s="12" t="n"/>
      <c r="CU86" s="12" t="n"/>
      <c r="CV86" s="12" t="n"/>
      <c r="CW86" s="12" t="n"/>
      <c r="CX86" s="12" t="n"/>
      <c r="CY86" s="12" t="n"/>
    </row>
    <row r="87" hidden="1" outlineLevel="1">
      <c r="C87" s="57" t="n"/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  <c r="P87" s="12" t="n"/>
      <c r="Q87" s="12" t="n"/>
      <c r="R87" s="12" t="n"/>
      <c r="S87" s="12" t="n"/>
      <c r="T87" s="12" t="n"/>
      <c r="U87" s="12" t="n"/>
      <c r="V87" s="12" t="n"/>
      <c r="W87" s="12" t="n"/>
      <c r="X87" s="12" t="n"/>
      <c r="Y87" s="12" t="n"/>
      <c r="Z87" s="12" t="n"/>
      <c r="AA87" s="12" t="n"/>
      <c r="AB87" s="12" t="n"/>
      <c r="AC87" s="12" t="n"/>
      <c r="AD87" s="12" t="n"/>
      <c r="AE87" s="12" t="n"/>
      <c r="AF87" s="12" t="n"/>
      <c r="AG87" s="12" t="n"/>
      <c r="AH87" s="12" t="n"/>
      <c r="AI87" s="12" t="n"/>
      <c r="AJ87" s="12" t="n"/>
      <c r="AK87" s="12" t="n"/>
      <c r="AL87" s="12" t="n"/>
      <c r="AM87" s="12" t="n"/>
      <c r="AN87" s="12" t="n"/>
      <c r="AO87" s="12" t="n"/>
      <c r="AP87" s="12" t="n"/>
      <c r="AQ87" s="12" t="n"/>
      <c r="AR87" s="12" t="n"/>
      <c r="AS87" s="12" t="n"/>
      <c r="AT87" s="12" t="n"/>
      <c r="AU87" s="12" t="n"/>
      <c r="AV87" s="12" t="n"/>
      <c r="AW87" s="12" t="n"/>
      <c r="AX87" s="12" t="n"/>
      <c r="AY87" s="12" t="n"/>
      <c r="AZ87" s="12" t="n"/>
      <c r="BA87" s="12" t="n"/>
      <c r="BB87" s="12" t="n"/>
      <c r="BC87" s="12" t="n"/>
      <c r="BD87" s="12" t="n"/>
      <c r="BE87" s="12" t="n"/>
      <c r="BF87" s="12" t="n"/>
      <c r="BG87" s="12" t="n"/>
      <c r="BH87" s="12" t="n"/>
      <c r="BI87" s="12" t="n"/>
      <c r="BJ87" s="12" t="n"/>
      <c r="BK87" s="12" t="n"/>
      <c r="BL87" s="12" t="n"/>
      <c r="BM87" s="12" t="n"/>
      <c r="BN87" s="12" t="n"/>
      <c r="BO87" s="12" t="n"/>
      <c r="BP87" s="12" t="n"/>
      <c r="BQ87" s="12" t="n"/>
      <c r="BR87" s="12" t="n"/>
      <c r="BS87" s="12" t="n"/>
      <c r="BT87" s="12" t="n"/>
      <c r="BU87" s="12" t="n"/>
      <c r="BV87" s="12" t="n"/>
      <c r="BW87" s="12" t="n"/>
      <c r="BX87" s="12" t="n"/>
      <c r="BY87" s="12" t="n"/>
      <c r="BZ87" s="12" t="n"/>
      <c r="CA87" s="12" t="n"/>
      <c r="CB87" s="12" t="n"/>
      <c r="CC87" s="12" t="n"/>
      <c r="CD87" s="12" t="n"/>
      <c r="CE87" s="12" t="n"/>
      <c r="CF87" s="12" t="n"/>
      <c r="CG87" s="12" t="n"/>
      <c r="CH87" s="12" t="n"/>
      <c r="CI87" s="12" t="n"/>
      <c r="CJ87" s="12" t="n"/>
      <c r="CK87" s="12" t="n"/>
      <c r="CL87" s="12" t="n"/>
      <c r="CM87" s="12" t="n"/>
      <c r="CN87" s="12" t="n"/>
      <c r="CO87" s="12" t="n"/>
      <c r="CP87" s="12" t="n"/>
      <c r="CQ87" s="12" t="n"/>
      <c r="CR87" s="12" t="n"/>
      <c r="CS87" s="12" t="n"/>
      <c r="CT87" s="12" t="n"/>
      <c r="CU87" s="12" t="n"/>
      <c r="CV87" s="12" t="n"/>
      <c r="CW87" s="12" t="n"/>
      <c r="CX87" s="12" t="n"/>
      <c r="CY87" s="12" t="n"/>
    </row>
    <row r="88" hidden="1" outlineLevel="1">
      <c r="C88" s="57" t="inlineStr">
        <is>
          <t>Stake</t>
        </is>
      </c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  <c r="AA88" s="12" t="n"/>
      <c r="AB88" s="12" t="n"/>
      <c r="AC88" s="12" t="n"/>
      <c r="AD88" s="12" t="n"/>
      <c r="AE88" s="12" t="n"/>
      <c r="AF88" s="12" t="n"/>
      <c r="AG88" s="12" t="n"/>
      <c r="AH88" s="12" t="n"/>
      <c r="AI88" s="12" t="n"/>
      <c r="AJ88" s="12" t="n"/>
      <c r="AK88" s="12" t="n"/>
      <c r="AL88" s="12" t="n"/>
      <c r="AM88" s="12" t="n"/>
      <c r="AN88" s="12" t="n"/>
      <c r="AO88" s="12" t="n"/>
      <c r="AP88" s="12" t="n"/>
      <c r="AQ88" s="12" t="n"/>
      <c r="AR88" s="12" t="n"/>
      <c r="AS88" s="12" t="n"/>
      <c r="AT88" s="12" t="n"/>
      <c r="AU88" s="12" t="n"/>
      <c r="AV88" s="12" t="n"/>
      <c r="AW88" s="12" t="n"/>
      <c r="AX88" s="12" t="n"/>
      <c r="AY88" s="12" t="n"/>
      <c r="AZ88" s="12" t="n"/>
      <c r="BA88" s="12" t="n"/>
      <c r="BB88" s="12" t="n"/>
      <c r="BC88" s="12" t="n"/>
      <c r="BD88" s="12" t="n"/>
      <c r="BE88" s="12" t="n"/>
      <c r="BF88" s="12" t="n"/>
      <c r="BG88" s="12" t="n"/>
      <c r="BH88" s="12" t="n"/>
      <c r="BI88" s="12" t="n"/>
      <c r="BJ88" s="12" t="n"/>
      <c r="BK88" s="12" t="n"/>
      <c r="BL88" s="12" t="n"/>
      <c r="BM88" s="12" t="n"/>
      <c r="BN88" s="12" t="n"/>
      <c r="BO88" s="12" t="n"/>
      <c r="BP88" s="12" t="n"/>
      <c r="BQ88" s="12" t="n"/>
      <c r="BR88" s="12" t="n"/>
      <c r="BS88" s="12" t="n"/>
      <c r="BT88" s="12" t="n"/>
      <c r="BU88" s="12" t="n"/>
      <c r="BV88" s="12" t="n"/>
      <c r="BW88" s="12" t="n"/>
      <c r="BX88" s="12" t="n"/>
      <c r="BY88" s="12" t="n"/>
      <c r="BZ88" s="12" t="n"/>
      <c r="CA88" s="12" t="n"/>
      <c r="CB88" s="12" t="n"/>
      <c r="CC88" s="12" t="n"/>
      <c r="CD88" s="12" t="n"/>
      <c r="CE88" s="12" t="n"/>
      <c r="CF88" s="12" t="n"/>
      <c r="CG88" s="12" t="n"/>
      <c r="CH88" s="12" t="n"/>
      <c r="CI88" s="12" t="n"/>
      <c r="CJ88" s="12" t="n"/>
      <c r="CK88" s="12" t="n"/>
      <c r="CL88" s="12" t="n"/>
      <c r="CM88" s="12" t="n"/>
      <c r="CN88" s="12" t="n"/>
      <c r="CO88" s="12" t="n"/>
      <c r="CP88" s="12" t="n"/>
      <c r="CQ88" s="12" t="n"/>
      <c r="CR88" s="12" t="n"/>
      <c r="CS88" s="12" t="n"/>
      <c r="CT88" s="12" t="n"/>
      <c r="CU88" s="12" t="n"/>
      <c r="CV88" s="12" t="n"/>
      <c r="CW88" s="12" t="n"/>
      <c r="CX88" s="12" t="n"/>
      <c r="CY88" s="12" t="n"/>
    </row>
    <row r="89" hidden="1" outlineLevel="1">
      <c r="C89" s="57" t="inlineStr">
        <is>
          <t>PRE</t>
        </is>
      </c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  <c r="AA89" s="12" t="n"/>
      <c r="AB89" s="12" t="n"/>
      <c r="AC89" s="12" t="n"/>
      <c r="AD89" s="12" t="n"/>
      <c r="AE89" s="12" t="n"/>
      <c r="AF89" s="12" t="n"/>
      <c r="AG89" s="12" t="n"/>
      <c r="AH89" s="12" t="n"/>
      <c r="AI89" s="12" t="n"/>
      <c r="AJ89" s="12" t="n"/>
      <c r="AK89" s="12" t="n"/>
      <c r="AL89" s="12" t="n"/>
      <c r="AM89" s="12" t="n"/>
      <c r="AN89" s="12" t="n"/>
      <c r="AO89" s="12" t="n"/>
      <c r="AP89" s="12" t="n"/>
      <c r="AQ89" s="12" t="n"/>
      <c r="AR89" s="12" t="n"/>
      <c r="AS89" s="12" t="n"/>
      <c r="AT89" s="12" t="n"/>
      <c r="AU89" s="12" t="n"/>
      <c r="AV89" s="12" t="n"/>
      <c r="AW89" s="12" t="n"/>
      <c r="AX89" s="12" t="n"/>
      <c r="AY89" s="12" t="n"/>
      <c r="AZ89" s="12" t="n"/>
      <c r="BA89" s="12" t="n"/>
      <c r="BB89" s="12" t="n"/>
      <c r="BC89" s="12" t="n"/>
      <c r="BD89" s="12" t="n"/>
      <c r="BE89" s="12" t="n"/>
      <c r="BF89" s="12" t="n"/>
      <c r="BG89" s="12" t="n"/>
      <c r="BH89" s="12" t="n"/>
      <c r="BI89" s="12" t="n"/>
      <c r="BJ89" s="12" t="n"/>
      <c r="BK89" s="12" t="n"/>
      <c r="BL89" s="12" t="n"/>
      <c r="BM89" s="12" t="n"/>
      <c r="BN89" s="12" t="n"/>
      <c r="BO89" s="12" t="n"/>
      <c r="BP89" s="12" t="n"/>
      <c r="BQ89" s="12" t="n"/>
      <c r="BR89" s="12" t="n"/>
      <c r="BS89" s="12" t="n"/>
      <c r="BT89" s="12" t="n"/>
      <c r="BU89" s="12" t="n"/>
      <c r="BV89" s="12" t="n"/>
      <c r="BW89" s="12" t="n"/>
      <c r="BX89" s="12" t="n"/>
      <c r="BY89" s="12" t="n"/>
      <c r="BZ89" s="12" t="n"/>
      <c r="CA89" s="12" t="n"/>
      <c r="CB89" s="12" t="n"/>
      <c r="CC89" s="12" t="n"/>
      <c r="CD89" s="12" t="n"/>
      <c r="CE89" s="12" t="n"/>
      <c r="CF89" s="12" t="n"/>
      <c r="CG89" s="12" t="n"/>
      <c r="CH89" s="12" t="n"/>
      <c r="CI89" s="12" t="n"/>
      <c r="CJ89" s="12" t="n"/>
      <c r="CK89" s="12" t="n"/>
      <c r="CL89" s="12" t="n"/>
      <c r="CM89" s="12" t="n"/>
      <c r="CN89" s="12" t="n"/>
      <c r="CO89" s="12" t="n"/>
      <c r="CP89" s="12" t="n"/>
      <c r="CQ89" s="12" t="n"/>
      <c r="CR89" s="12" t="n"/>
      <c r="CS89" s="12" t="n"/>
      <c r="CT89" s="12" t="n"/>
      <c r="CU89" s="12" t="n"/>
      <c r="CV89" s="12" t="n"/>
      <c r="CW89" s="12" t="n"/>
      <c r="CX89" s="12" t="n"/>
      <c r="CY89" s="12" t="n"/>
    </row>
    <row r="90" hidden="1" outlineLevel="1">
      <c r="C90" s="57" t="inlineStr">
        <is>
          <t>CDI+</t>
        </is>
      </c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  <c r="AA90" s="12" t="n"/>
      <c r="AB90" s="12" t="n"/>
      <c r="AC90" s="12" t="n"/>
      <c r="AD90" s="12" t="n"/>
      <c r="AE90" s="12" t="n"/>
      <c r="AF90" s="12" t="n"/>
      <c r="AG90" s="12" t="n"/>
      <c r="AH90" s="12" t="n"/>
      <c r="AI90" s="12" t="n"/>
      <c r="AJ90" s="12" t="n"/>
      <c r="AK90" s="12" t="n"/>
      <c r="AL90" s="12" t="n"/>
      <c r="AM90" s="12" t="n"/>
      <c r="AN90" s="12" t="n"/>
      <c r="AO90" s="12" t="n"/>
      <c r="AP90" s="12" t="n"/>
      <c r="AQ90" s="12" t="n"/>
      <c r="AR90" s="12" t="n"/>
      <c r="AS90" s="12" t="n"/>
      <c r="AT90" s="12" t="n"/>
      <c r="AU90" s="12" t="n"/>
      <c r="AV90" s="12" t="n"/>
      <c r="AW90" s="12" t="n"/>
      <c r="AX90" s="12" t="n"/>
      <c r="AY90" s="12" t="n"/>
      <c r="AZ90" s="12" t="n"/>
      <c r="BA90" s="12" t="n"/>
      <c r="BB90" s="12" t="n"/>
      <c r="BC90" s="12" t="n"/>
      <c r="BD90" s="12" t="n"/>
      <c r="BE90" s="12" t="n"/>
      <c r="BF90" s="12" t="n"/>
      <c r="BG90" s="12" t="n"/>
      <c r="BH90" s="12" t="n"/>
      <c r="BI90" s="12" t="n"/>
      <c r="BJ90" s="12" t="n"/>
      <c r="BK90" s="12" t="n"/>
      <c r="BL90" s="12" t="n"/>
      <c r="BM90" s="12" t="n"/>
      <c r="BN90" s="12" t="n"/>
      <c r="BO90" s="12" t="n"/>
      <c r="BP90" s="12" t="n"/>
      <c r="BQ90" s="12" t="n"/>
      <c r="BR90" s="12" t="n"/>
      <c r="BS90" s="12" t="n"/>
      <c r="BT90" s="12" t="n"/>
      <c r="BU90" s="12" t="n"/>
      <c r="BV90" s="12" t="n"/>
      <c r="BW90" s="12" t="n"/>
      <c r="BX90" s="12" t="n"/>
      <c r="BY90" s="12" t="n"/>
      <c r="BZ90" s="12" t="n"/>
      <c r="CA90" s="12" t="n"/>
      <c r="CB90" s="12" t="n"/>
      <c r="CC90" s="12" t="n"/>
      <c r="CD90" s="12" t="n"/>
      <c r="CE90" s="12" t="n"/>
      <c r="CF90" s="12" t="n"/>
      <c r="CG90" s="12" t="n"/>
      <c r="CH90" s="12" t="n"/>
      <c r="CI90" s="12" t="n"/>
      <c r="CJ90" s="12" t="n"/>
      <c r="CK90" s="12" t="n"/>
      <c r="CL90" s="12" t="n"/>
      <c r="CM90" s="12" t="n"/>
      <c r="CN90" s="12" t="n"/>
      <c r="CO90" s="12" t="n"/>
      <c r="CP90" s="12" t="n"/>
      <c r="CQ90" s="12" t="n"/>
      <c r="CR90" s="12" t="n"/>
      <c r="CS90" s="12" t="n"/>
      <c r="CT90" s="12" t="n"/>
      <c r="CU90" s="12" t="n"/>
      <c r="CV90" s="12" t="n"/>
      <c r="CW90" s="12" t="n"/>
      <c r="CX90" s="12" t="n"/>
      <c r="CY90" s="12" t="n"/>
    </row>
    <row r="91" hidden="1" outlineLevel="1">
      <c r="C91" s="57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  <c r="AA91" s="12" t="n"/>
      <c r="AB91" s="12" t="n"/>
      <c r="AC91" s="12" t="n"/>
      <c r="AD91" s="12" t="n"/>
      <c r="AE91" s="12" t="n"/>
      <c r="AF91" s="12" t="n"/>
      <c r="AG91" s="12" t="n"/>
      <c r="AH91" s="12" t="n"/>
      <c r="AI91" s="12" t="n"/>
      <c r="AJ91" s="12" t="n"/>
      <c r="AK91" s="12" t="n"/>
      <c r="AL91" s="12" t="n"/>
      <c r="AM91" s="12" t="n"/>
      <c r="AN91" s="12" t="n"/>
      <c r="AO91" s="12" t="n"/>
      <c r="AP91" s="12" t="n"/>
      <c r="AQ91" s="12" t="n"/>
      <c r="AR91" s="12" t="n"/>
      <c r="AS91" s="12" t="n"/>
      <c r="AT91" s="12" t="n"/>
      <c r="AU91" s="12" t="n"/>
      <c r="AV91" s="12" t="n"/>
      <c r="AW91" s="12" t="n"/>
      <c r="AX91" s="12" t="n"/>
      <c r="AY91" s="12" t="n"/>
      <c r="AZ91" s="12" t="n"/>
      <c r="BA91" s="12" t="n"/>
      <c r="BB91" s="12" t="n"/>
      <c r="BC91" s="12" t="n"/>
      <c r="BD91" s="12" t="n"/>
      <c r="BE91" s="12" t="n"/>
      <c r="BF91" s="12" t="n"/>
      <c r="BG91" s="12" t="n"/>
      <c r="BH91" s="12" t="n"/>
      <c r="BI91" s="12" t="n"/>
      <c r="BJ91" s="12" t="n"/>
      <c r="BK91" s="12" t="n"/>
      <c r="BL91" s="12" t="n"/>
      <c r="BM91" s="12" t="n"/>
      <c r="BN91" s="12" t="n"/>
      <c r="BO91" s="12" t="n"/>
      <c r="BP91" s="12" t="n"/>
      <c r="BQ91" s="12" t="n"/>
      <c r="BR91" s="12" t="n"/>
      <c r="BS91" s="12" t="n"/>
      <c r="BT91" s="12" t="n"/>
      <c r="BU91" s="12" t="n"/>
      <c r="BV91" s="12" t="n"/>
      <c r="BW91" s="12" t="n"/>
      <c r="BX91" s="12" t="n"/>
      <c r="BY91" s="12" t="n"/>
      <c r="BZ91" s="12" t="n"/>
      <c r="CA91" s="12" t="n"/>
      <c r="CB91" s="12" t="n"/>
      <c r="CC91" s="12" t="n"/>
      <c r="CD91" s="12" t="n"/>
      <c r="CE91" s="12" t="n"/>
      <c r="CF91" s="12" t="n"/>
      <c r="CG91" s="12" t="n"/>
      <c r="CH91" s="12" t="n"/>
      <c r="CI91" s="12" t="n"/>
      <c r="CJ91" s="12" t="n"/>
      <c r="CK91" s="12" t="n"/>
      <c r="CL91" s="12" t="n"/>
      <c r="CM91" s="12" t="n"/>
      <c r="CN91" s="12" t="n"/>
      <c r="CO91" s="12" t="n"/>
      <c r="CP91" s="12" t="n"/>
      <c r="CQ91" s="12" t="n"/>
      <c r="CR91" s="12" t="n"/>
      <c r="CS91" s="12" t="n"/>
      <c r="CT91" s="12" t="n"/>
      <c r="CU91" s="12" t="n"/>
      <c r="CV91" s="12" t="n"/>
      <c r="CW91" s="12" t="n"/>
      <c r="CX91" s="12" t="n"/>
      <c r="CY91" s="12" t="n"/>
    </row>
    <row r="92" hidden="1" outlineLevel="1">
      <c r="C92" s="57" t="inlineStr">
        <is>
          <t>Spread</t>
        </is>
      </c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  <c r="AA92" s="12" t="n"/>
      <c r="AB92" s="12" t="n"/>
      <c r="AC92" s="12" t="n"/>
      <c r="AD92" s="12" t="n"/>
      <c r="AE92" s="12" t="n"/>
      <c r="AF92" s="12" t="n"/>
      <c r="AG92" s="12" t="n"/>
      <c r="AH92" s="12" t="n"/>
      <c r="AI92" s="12" t="n"/>
      <c r="AJ92" s="12" t="n"/>
      <c r="AK92" s="12" t="n"/>
      <c r="AL92" s="12" t="n"/>
      <c r="AM92" s="12" t="n"/>
      <c r="AN92" s="12" t="n"/>
      <c r="AO92" s="12" t="n"/>
      <c r="AP92" s="12" t="n"/>
      <c r="AQ92" s="12" t="n"/>
      <c r="AR92" s="12" t="n"/>
      <c r="AS92" s="12" t="n"/>
      <c r="AT92" s="12" t="n"/>
      <c r="AU92" s="12" t="n"/>
      <c r="AV92" s="12" t="n"/>
      <c r="AW92" s="12" t="n"/>
      <c r="AX92" s="12" t="n"/>
      <c r="AY92" s="12" t="n"/>
      <c r="AZ92" s="12" t="n"/>
      <c r="BA92" s="12" t="n"/>
      <c r="BB92" s="12" t="n"/>
      <c r="BC92" s="12" t="n"/>
      <c r="BD92" s="12" t="n"/>
      <c r="BE92" s="12" t="n"/>
      <c r="BF92" s="12" t="n"/>
      <c r="BG92" s="12" t="n"/>
      <c r="BH92" s="12" t="n"/>
      <c r="BI92" s="12" t="n"/>
      <c r="BJ92" s="12" t="n"/>
      <c r="BK92" s="12" t="n"/>
      <c r="BL92" s="12" t="n"/>
      <c r="BM92" s="12" t="n"/>
      <c r="BN92" s="12" t="n"/>
      <c r="BO92" s="12" t="n"/>
      <c r="BP92" s="12" t="n"/>
      <c r="BQ92" s="12" t="n"/>
      <c r="BR92" s="12" t="n"/>
      <c r="BS92" s="12" t="n"/>
      <c r="BT92" s="12" t="n"/>
      <c r="BU92" s="12" t="n"/>
      <c r="BV92" s="12" t="n"/>
      <c r="BW92" s="12" t="n"/>
      <c r="BX92" s="12" t="n"/>
      <c r="BY92" s="12" t="n"/>
      <c r="BZ92" s="12" t="n"/>
      <c r="CA92" s="12" t="n"/>
      <c r="CB92" s="12" t="n"/>
      <c r="CC92" s="12" t="n"/>
      <c r="CD92" s="12" t="n"/>
      <c r="CE92" s="12" t="n"/>
      <c r="CF92" s="12" t="n"/>
      <c r="CG92" s="12" t="n"/>
      <c r="CH92" s="12" t="n"/>
      <c r="CI92" s="12" t="n"/>
      <c r="CJ92" s="12" t="n"/>
      <c r="CK92" s="12" t="n"/>
      <c r="CL92" s="12" t="n"/>
      <c r="CM92" s="12" t="n"/>
      <c r="CN92" s="12" t="n"/>
      <c r="CO92" s="12" t="n"/>
      <c r="CP92" s="12" t="n"/>
      <c r="CQ92" s="12" t="n"/>
      <c r="CR92" s="12" t="n"/>
      <c r="CS92" s="12" t="n"/>
      <c r="CT92" s="12" t="n"/>
      <c r="CU92" s="12" t="n"/>
      <c r="CV92" s="12" t="n"/>
      <c r="CW92" s="12" t="n"/>
      <c r="CX92" s="12" t="n"/>
      <c r="CY92" s="12" t="n"/>
    </row>
    <row r="93" hidden="1" outlineLevel="1">
      <c r="C93" s="57" t="inlineStr">
        <is>
          <t>PRE</t>
        </is>
      </c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  <c r="AA93" s="12" t="n"/>
      <c r="AB93" s="12" t="n"/>
      <c r="AC93" s="12" t="n"/>
      <c r="AD93" s="12" t="n"/>
      <c r="AE93" s="12" t="n"/>
      <c r="AF93" s="12" t="n"/>
      <c r="AG93" s="12" t="n"/>
      <c r="AH93" s="12" t="n"/>
      <c r="AI93" s="12" t="n"/>
      <c r="AJ93" s="12" t="n"/>
      <c r="AK93" s="12" t="n"/>
      <c r="AL93" s="12" t="n"/>
      <c r="AM93" s="12" t="n"/>
      <c r="AN93" s="12" t="n"/>
      <c r="AO93" s="12" t="n"/>
      <c r="AP93" s="12" t="n"/>
      <c r="AQ93" s="12" t="n"/>
      <c r="AR93" s="12" t="n"/>
      <c r="AS93" s="12" t="n"/>
      <c r="AT93" s="12" t="n"/>
      <c r="AU93" s="12" t="n"/>
      <c r="AV93" s="12" t="n"/>
      <c r="AW93" s="12" t="n"/>
      <c r="AX93" s="12" t="n"/>
      <c r="AY93" s="12" t="n"/>
      <c r="AZ93" s="12" t="n"/>
      <c r="BA93" s="12" t="n"/>
      <c r="BB93" s="12" t="n"/>
      <c r="BC93" s="12" t="n"/>
      <c r="BD93" s="12" t="n"/>
      <c r="BE93" s="12" t="n"/>
      <c r="BF93" s="12" t="n"/>
      <c r="BG93" s="12" t="n"/>
      <c r="BH93" s="12" t="n"/>
      <c r="BI93" s="12" t="n"/>
      <c r="BJ93" s="12" t="n"/>
      <c r="BK93" s="12" t="n"/>
      <c r="BL93" s="12" t="n"/>
      <c r="BM93" s="12" t="n"/>
      <c r="BN93" s="12" t="n"/>
      <c r="BO93" s="12" t="n"/>
      <c r="BP93" s="12" t="n"/>
      <c r="BQ93" s="12" t="n"/>
      <c r="BR93" s="12" t="n"/>
      <c r="BS93" s="12" t="n"/>
      <c r="BT93" s="12" t="n"/>
      <c r="BU93" s="12" t="n"/>
      <c r="BV93" s="12" t="n"/>
      <c r="BW93" s="12" t="n"/>
      <c r="BX93" s="12" t="n"/>
      <c r="BY93" s="12" t="n"/>
      <c r="BZ93" s="12" t="n"/>
      <c r="CA93" s="12" t="n"/>
      <c r="CB93" s="12" t="n"/>
      <c r="CC93" s="12" t="n"/>
      <c r="CD93" s="12" t="n"/>
      <c r="CE93" s="12" t="n"/>
      <c r="CF93" s="12" t="n"/>
      <c r="CG93" s="12" t="n"/>
      <c r="CH93" s="12" t="n"/>
      <c r="CI93" s="12" t="n"/>
      <c r="CJ93" s="12" t="n"/>
      <c r="CK93" s="12" t="n"/>
      <c r="CL93" s="12" t="n"/>
      <c r="CM93" s="12" t="n"/>
      <c r="CN93" s="12" t="n"/>
      <c r="CO93" s="12" t="n"/>
      <c r="CP93" s="12" t="n"/>
      <c r="CQ93" s="12" t="n"/>
      <c r="CR93" s="12" t="n"/>
      <c r="CS93" s="12" t="n"/>
      <c r="CT93" s="12" t="n"/>
      <c r="CU93" s="12" t="n"/>
      <c r="CV93" s="12" t="n"/>
      <c r="CW93" s="12" t="n"/>
      <c r="CX93" s="12" t="n"/>
      <c r="CY93" s="12" t="n"/>
    </row>
    <row r="94" hidden="1" outlineLevel="1">
      <c r="C94" s="57" t="inlineStr">
        <is>
          <t>CDI+</t>
        </is>
      </c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  <c r="AA94" s="12" t="n"/>
      <c r="AB94" s="12" t="n"/>
      <c r="AC94" s="12" t="n"/>
      <c r="AD94" s="12" t="n"/>
      <c r="AE94" s="12" t="n"/>
      <c r="AF94" s="12" t="n"/>
      <c r="AG94" s="12" t="n"/>
      <c r="AH94" s="12" t="n"/>
      <c r="AI94" s="12" t="n"/>
      <c r="AJ94" s="12" t="n"/>
      <c r="AK94" s="12" t="n"/>
      <c r="AL94" s="12" t="n"/>
      <c r="AM94" s="12" t="n"/>
      <c r="AN94" s="12" t="n"/>
      <c r="AO94" s="12" t="n"/>
      <c r="AP94" s="12" t="n"/>
      <c r="AQ94" s="12" t="n"/>
      <c r="AR94" s="12" t="n"/>
      <c r="AS94" s="12" t="n"/>
      <c r="AT94" s="12" t="n"/>
      <c r="AU94" s="12" t="n"/>
      <c r="AV94" s="12" t="n"/>
      <c r="AW94" s="12" t="n"/>
      <c r="AX94" s="12" t="n"/>
      <c r="AY94" s="12" t="n"/>
      <c r="AZ94" s="12" t="n"/>
      <c r="BA94" s="12" t="n"/>
      <c r="BB94" s="12" t="n"/>
      <c r="BC94" s="12" t="n"/>
      <c r="BD94" s="12" t="n"/>
      <c r="BE94" s="12" t="n"/>
      <c r="BF94" s="12" t="n"/>
      <c r="BG94" s="12" t="n"/>
      <c r="BH94" s="12" t="n"/>
      <c r="BI94" s="12" t="n"/>
      <c r="BJ94" s="12" t="n"/>
      <c r="BK94" s="12" t="n"/>
      <c r="BL94" s="12" t="n"/>
      <c r="BM94" s="12" t="n"/>
      <c r="BN94" s="12" t="n"/>
      <c r="BO94" s="12" t="n"/>
      <c r="BP94" s="12" t="n"/>
      <c r="BQ94" s="12" t="n"/>
      <c r="BR94" s="12" t="n"/>
      <c r="BS94" s="12" t="n"/>
      <c r="BT94" s="12" t="n"/>
      <c r="BU94" s="12" t="n"/>
      <c r="BV94" s="12" t="n"/>
      <c r="BW94" s="12" t="n"/>
      <c r="BX94" s="12" t="n"/>
      <c r="BY94" s="12" t="n"/>
      <c r="BZ94" s="12" t="n"/>
      <c r="CA94" s="12" t="n"/>
      <c r="CB94" s="12" t="n"/>
      <c r="CC94" s="12" t="n"/>
      <c r="CD94" s="12" t="n"/>
      <c r="CE94" s="12" t="n"/>
      <c r="CF94" s="12" t="n"/>
      <c r="CG94" s="12" t="n"/>
      <c r="CH94" s="12" t="n"/>
      <c r="CI94" s="12" t="n"/>
      <c r="CJ94" s="12" t="n"/>
      <c r="CK94" s="12" t="n"/>
      <c r="CL94" s="12" t="n"/>
      <c r="CM94" s="12" t="n"/>
      <c r="CN94" s="12" t="n"/>
      <c r="CO94" s="12" t="n"/>
      <c r="CP94" s="12" t="n"/>
      <c r="CQ94" s="12" t="n"/>
      <c r="CR94" s="12" t="n"/>
      <c r="CS94" s="12" t="n"/>
      <c r="CT94" s="12" t="n"/>
      <c r="CU94" s="12" t="n"/>
      <c r="CV94" s="12" t="n"/>
      <c r="CW94" s="12" t="n"/>
      <c r="CX94" s="12" t="n"/>
      <c r="CY94" s="12" t="n"/>
    </row>
    <row r="95" hidden="1" outlineLevel="1">
      <c r="C95" s="57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  <c r="AA95" s="12" t="n"/>
      <c r="AB95" s="12" t="n"/>
      <c r="AC95" s="12" t="n"/>
      <c r="AD95" s="12" t="n"/>
      <c r="AE95" s="12" t="n"/>
      <c r="AF95" s="12" t="n"/>
      <c r="AG95" s="12" t="n"/>
      <c r="AH95" s="12" t="n"/>
      <c r="AI95" s="12" t="n"/>
      <c r="AJ95" s="12" t="n"/>
      <c r="AK95" s="12" t="n"/>
      <c r="AL95" s="12" t="n"/>
      <c r="AM95" s="12" t="n"/>
      <c r="AN95" s="12" t="n"/>
      <c r="AO95" s="12" t="n"/>
      <c r="AP95" s="12" t="n"/>
      <c r="AQ95" s="12" t="n"/>
      <c r="AR95" s="12" t="n"/>
      <c r="AS95" s="12" t="n"/>
      <c r="AT95" s="12" t="n"/>
      <c r="AU95" s="12" t="n"/>
      <c r="AV95" s="12" t="n"/>
      <c r="AW95" s="12" t="n"/>
      <c r="AX95" s="12" t="n"/>
      <c r="AY95" s="12" t="n"/>
      <c r="AZ95" s="12" t="n"/>
      <c r="BA95" s="12" t="n"/>
      <c r="BB95" s="12" t="n"/>
      <c r="BC95" s="12" t="n"/>
      <c r="BD95" s="12" t="n"/>
      <c r="BE95" s="12" t="n"/>
      <c r="BF95" s="12" t="n"/>
      <c r="BG95" s="12" t="n"/>
      <c r="BH95" s="12" t="n"/>
      <c r="BI95" s="12" t="n"/>
      <c r="BJ95" s="12" t="n"/>
      <c r="BK95" s="12" t="n"/>
      <c r="BL95" s="12" t="n"/>
      <c r="BM95" s="12" t="n"/>
      <c r="BN95" s="12" t="n"/>
      <c r="BO95" s="12" t="n"/>
      <c r="BP95" s="12" t="n"/>
      <c r="BQ95" s="12" t="n"/>
      <c r="BR95" s="12" t="n"/>
      <c r="BS95" s="12" t="n"/>
      <c r="BT95" s="12" t="n"/>
      <c r="BU95" s="12" t="n"/>
      <c r="BV95" s="12" t="n"/>
      <c r="BW95" s="12" t="n"/>
      <c r="BX95" s="12" t="n"/>
      <c r="BY95" s="12" t="n"/>
      <c r="BZ95" s="12" t="n"/>
      <c r="CA95" s="12" t="n"/>
      <c r="CB95" s="12" t="n"/>
      <c r="CC95" s="12" t="n"/>
      <c r="CD95" s="12" t="n"/>
      <c r="CE95" s="12" t="n"/>
      <c r="CF95" s="12" t="n"/>
      <c r="CG95" s="12" t="n"/>
      <c r="CH95" s="12" t="n"/>
      <c r="CI95" s="12" t="n"/>
      <c r="CJ95" s="12" t="n"/>
      <c r="CK95" s="12" t="n"/>
      <c r="CL95" s="12" t="n"/>
      <c r="CM95" s="12" t="n"/>
      <c r="CN95" s="12" t="n"/>
      <c r="CO95" s="12" t="n"/>
      <c r="CP95" s="12" t="n"/>
      <c r="CQ95" s="12" t="n"/>
      <c r="CR95" s="12" t="n"/>
      <c r="CS95" s="12" t="n"/>
      <c r="CT95" s="12" t="n"/>
      <c r="CU95" s="12" t="n"/>
      <c r="CV95" s="12" t="n"/>
      <c r="CW95" s="12" t="n"/>
      <c r="CX95" s="12" t="n"/>
      <c r="CY95" s="12" t="n"/>
    </row>
    <row r="96" hidden="1" outlineLevel="1">
      <c r="C96" s="57" t="inlineStr">
        <is>
          <t>RECEITAS FINANCEIRAS - Rendimentos de aplicações financeiras</t>
        </is>
      </c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  <c r="AA96" s="12" t="n"/>
      <c r="AB96" s="12" t="n"/>
      <c r="AC96" s="12" t="n"/>
      <c r="AD96" s="12" t="n"/>
      <c r="AE96" s="12" t="n"/>
      <c r="AF96" s="12" t="n"/>
      <c r="AG96" s="12" t="n"/>
      <c r="AH96" s="12" t="n"/>
      <c r="AI96" s="12" t="n"/>
      <c r="AJ96" s="12" t="n"/>
      <c r="AK96" s="12" t="n"/>
      <c r="AL96" s="12" t="n"/>
      <c r="AM96" s="12" t="n"/>
      <c r="AN96" s="12" t="n"/>
      <c r="AO96" s="12" t="n"/>
      <c r="AP96" s="12" t="n"/>
      <c r="AQ96" s="12" t="n"/>
      <c r="AR96" s="12" t="n"/>
      <c r="AS96" s="12" t="n"/>
      <c r="AT96" s="12" t="n"/>
      <c r="AU96" s="12" t="n"/>
      <c r="AV96" s="12" t="n"/>
      <c r="AW96" s="12" t="n"/>
      <c r="AX96" s="12" t="n"/>
      <c r="AY96" s="12" t="n"/>
      <c r="AZ96" s="12" t="n"/>
      <c r="BA96" s="12" t="n"/>
      <c r="BB96" s="12" t="n"/>
      <c r="BC96" s="12" t="n"/>
      <c r="BD96" s="12" t="n"/>
      <c r="BE96" s="12" t="n"/>
      <c r="BF96" s="12" t="n"/>
      <c r="BG96" s="12" t="n"/>
      <c r="BH96" s="12" t="n"/>
      <c r="BI96" s="12" t="n"/>
      <c r="BJ96" s="12" t="n"/>
      <c r="BK96" s="12" t="n"/>
      <c r="BL96" s="12" t="n"/>
      <c r="BM96" s="12" t="n"/>
      <c r="BN96" s="12" t="n"/>
      <c r="BO96" s="12" t="n"/>
      <c r="BP96" s="12" t="n"/>
      <c r="BQ96" s="12" t="n"/>
      <c r="BR96" s="12" t="n"/>
      <c r="BS96" s="12" t="n"/>
      <c r="BT96" s="12" t="n"/>
      <c r="BU96" s="12" t="n"/>
      <c r="BV96" s="12" t="n"/>
      <c r="BW96" s="12" t="n"/>
      <c r="BX96" s="12" t="n"/>
      <c r="BY96" s="12" t="n"/>
      <c r="BZ96" s="12" t="n"/>
      <c r="CA96" s="12" t="n"/>
      <c r="CB96" s="12" t="n"/>
      <c r="CC96" s="12" t="n"/>
      <c r="CD96" s="12" t="n"/>
      <c r="CE96" s="12" t="n"/>
      <c r="CF96" s="12" t="n"/>
      <c r="CG96" s="12" t="n"/>
      <c r="CH96" s="12" t="n"/>
      <c r="CI96" s="12" t="n"/>
      <c r="CJ96" s="12" t="n"/>
      <c r="CK96" s="12" t="n"/>
      <c r="CL96" s="12" t="n"/>
      <c r="CM96" s="12" t="n"/>
      <c r="CN96" s="12" t="n"/>
      <c r="CO96" s="12" t="n"/>
      <c r="CP96" s="12" t="n"/>
      <c r="CQ96" s="12" t="n"/>
      <c r="CR96" s="12" t="n"/>
      <c r="CS96" s="12" t="n"/>
      <c r="CT96" s="12" t="n"/>
      <c r="CU96" s="12" t="n"/>
      <c r="CV96" s="12" t="n"/>
      <c r="CW96" s="12" t="n"/>
      <c r="CX96" s="12" t="n"/>
      <c r="CY96" s="12" t="n"/>
    </row>
    <row r="97" hidden="1" outlineLevel="1">
      <c r="C97" s="57" t="inlineStr">
        <is>
          <t>RECEITAS FINANCEIRAS - Variação cambial ativa</t>
        </is>
      </c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  <c r="AA97" s="12" t="n"/>
      <c r="AB97" s="12" t="n"/>
      <c r="AC97" s="12" t="n"/>
      <c r="AD97" s="12" t="n"/>
      <c r="AE97" s="12" t="n"/>
      <c r="AF97" s="12" t="n"/>
      <c r="AG97" s="12" t="n"/>
      <c r="AH97" s="12" t="n"/>
      <c r="AI97" s="12" t="n"/>
      <c r="AJ97" s="12" t="n"/>
      <c r="AK97" s="12" t="n"/>
      <c r="AL97" s="12" t="n"/>
      <c r="AM97" s="12" t="n"/>
      <c r="AN97" s="12" t="n"/>
      <c r="AO97" s="12" t="n"/>
      <c r="AP97" s="12" t="n"/>
      <c r="AQ97" s="12" t="n"/>
      <c r="AR97" s="12" t="n"/>
      <c r="AS97" s="12" t="n"/>
      <c r="AT97" s="12" t="n"/>
      <c r="AU97" s="12" t="n"/>
      <c r="AV97" s="12" t="n"/>
      <c r="AW97" s="12" t="n"/>
      <c r="AX97" s="12" t="n"/>
      <c r="AY97" s="12" t="n"/>
      <c r="AZ97" s="12" t="n"/>
      <c r="BA97" s="12" t="n"/>
      <c r="BB97" s="12" t="n"/>
      <c r="BC97" s="12" t="n"/>
      <c r="BD97" s="12" t="n"/>
      <c r="BE97" s="12" t="n"/>
      <c r="BF97" s="12" t="n"/>
      <c r="BG97" s="12" t="n"/>
      <c r="BH97" s="12" t="n"/>
      <c r="BI97" s="12" t="n"/>
      <c r="BJ97" s="12" t="n"/>
      <c r="BK97" s="12" t="n"/>
      <c r="BL97" s="12" t="n"/>
      <c r="BM97" s="12" t="n"/>
      <c r="BN97" s="12" t="n"/>
      <c r="BO97" s="12" t="n"/>
      <c r="BP97" s="12" t="n"/>
      <c r="BQ97" s="12" t="n"/>
      <c r="BR97" s="12" t="n"/>
      <c r="BS97" s="12" t="n"/>
      <c r="BT97" s="12" t="n"/>
      <c r="BU97" s="12" t="n"/>
      <c r="BV97" s="12" t="n"/>
      <c r="BW97" s="12" t="n"/>
      <c r="BX97" s="12" t="n"/>
      <c r="BY97" s="12" t="n"/>
      <c r="BZ97" s="12" t="n"/>
      <c r="CA97" s="12" t="n"/>
      <c r="CB97" s="12" t="n"/>
      <c r="CC97" s="12" t="n"/>
      <c r="CD97" s="12" t="n"/>
      <c r="CE97" s="12" t="n"/>
      <c r="CF97" s="12" t="n"/>
      <c r="CG97" s="12" t="n"/>
      <c r="CH97" s="12" t="n"/>
      <c r="CI97" s="12" t="n"/>
      <c r="CJ97" s="12" t="n"/>
      <c r="CK97" s="12" t="n"/>
      <c r="CL97" s="12" t="n"/>
      <c r="CM97" s="12" t="n"/>
      <c r="CN97" s="12" t="n"/>
      <c r="CO97" s="12" t="n"/>
      <c r="CP97" s="12" t="n"/>
      <c r="CQ97" s="12" t="n"/>
      <c r="CR97" s="12" t="n"/>
      <c r="CS97" s="12" t="n"/>
      <c r="CT97" s="12" t="n"/>
      <c r="CU97" s="12" t="n"/>
      <c r="CV97" s="12" t="n"/>
      <c r="CW97" s="12" t="n"/>
      <c r="CX97" s="12" t="n"/>
      <c r="CY97" s="12" t="n"/>
    </row>
    <row r="98" hidden="1" outlineLevel="1">
      <c r="C98" s="57" t="inlineStr">
        <is>
          <t>RECEITAS FINANCEIRAS - Atualização de contas a pagar por aquisição de empresas</t>
        </is>
      </c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  <c r="AA98" s="12" t="n"/>
      <c r="AB98" s="12" t="n"/>
      <c r="AC98" s="12" t="n"/>
      <c r="AD98" s="12" t="n"/>
      <c r="AE98" s="12" t="n"/>
      <c r="AF98" s="12" t="n"/>
      <c r="AG98" s="12" t="n"/>
      <c r="AH98" s="12" t="n"/>
      <c r="AI98" s="12" t="n"/>
      <c r="AJ98" s="12" t="n"/>
      <c r="AK98" s="12" t="n"/>
      <c r="AL98" s="12" t="n"/>
      <c r="AM98" s="12" t="n"/>
      <c r="AN98" s="12" t="n"/>
      <c r="AO98" s="12" t="n"/>
      <c r="AP98" s="12" t="n"/>
      <c r="AQ98" s="12" t="n"/>
      <c r="AR98" s="12" t="n"/>
      <c r="AS98" s="12" t="n"/>
      <c r="AT98" s="12" t="n"/>
      <c r="AU98" s="12" t="n"/>
      <c r="AV98" s="12" t="n"/>
      <c r="AW98" s="12" t="n"/>
      <c r="AX98" s="12" t="n"/>
      <c r="AY98" s="12" t="n"/>
      <c r="AZ98" s="12" t="n"/>
      <c r="BA98" s="12" t="n"/>
      <c r="BB98" s="12" t="n"/>
      <c r="BC98" s="12" t="n"/>
      <c r="BD98" s="12" t="n"/>
      <c r="BE98" s="12" t="n"/>
      <c r="BF98" s="12" t="n"/>
      <c r="BG98" s="12" t="n"/>
      <c r="BH98" s="12" t="n"/>
      <c r="BI98" s="12" t="n"/>
      <c r="BJ98" s="12" t="n"/>
      <c r="BK98" s="12" t="n"/>
      <c r="BL98" s="12" t="n"/>
      <c r="BM98" s="12" t="n"/>
      <c r="BN98" s="12" t="n"/>
      <c r="BO98" s="12" t="n"/>
      <c r="BP98" s="12" t="n"/>
      <c r="BQ98" s="12" t="n"/>
      <c r="BR98" s="12" t="n"/>
      <c r="BS98" s="12" t="n"/>
      <c r="BT98" s="12" t="n"/>
      <c r="BU98" s="12" t="n"/>
      <c r="BV98" s="12" t="n"/>
      <c r="BW98" s="12" t="n"/>
      <c r="BX98" s="12" t="n"/>
      <c r="BY98" s="12" t="n"/>
      <c r="BZ98" s="12" t="n"/>
      <c r="CA98" s="12" t="n"/>
      <c r="CB98" s="12" t="n"/>
      <c r="CC98" s="12" t="n"/>
      <c r="CD98" s="12" t="n"/>
      <c r="CE98" s="12" t="n"/>
      <c r="CF98" s="12" t="n"/>
      <c r="CG98" s="12" t="n"/>
      <c r="CH98" s="12" t="n"/>
      <c r="CI98" s="12" t="n"/>
      <c r="CJ98" s="12" t="n"/>
      <c r="CK98" s="12" t="n"/>
      <c r="CL98" s="12" t="n"/>
      <c r="CM98" s="12" t="n"/>
      <c r="CN98" s="12" t="n"/>
      <c r="CO98" s="12" t="n"/>
      <c r="CP98" s="12" t="n"/>
      <c r="CQ98" s="12" t="n"/>
      <c r="CR98" s="12" t="n"/>
      <c r="CS98" s="12" t="n"/>
      <c r="CT98" s="12" t="n"/>
      <c r="CU98" s="12" t="n"/>
      <c r="CV98" s="12" t="n"/>
      <c r="CW98" s="12" t="n"/>
      <c r="CX98" s="12" t="n"/>
      <c r="CY98" s="12" t="n"/>
    </row>
    <row r="99" hidden="1" outlineLevel="1">
      <c r="C99" s="57" t="inlineStr">
        <is>
          <t>RECEITAS FINANCEIRAS - Resultado positivo com instrumentos derivativos</t>
        </is>
      </c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  <c r="AA99" s="12" t="n"/>
      <c r="AB99" s="12" t="n"/>
      <c r="AC99" s="12" t="n"/>
      <c r="AD99" s="12" t="n"/>
      <c r="AE99" s="12" t="n"/>
      <c r="AF99" s="12" t="n"/>
      <c r="AG99" s="12" t="n"/>
      <c r="AH99" s="12" t="n"/>
      <c r="AI99" s="12" t="n"/>
      <c r="AJ99" s="12" t="n"/>
      <c r="AK99" s="12" t="n"/>
      <c r="AL99" s="12" t="n"/>
      <c r="AM99" s="12" t="n"/>
      <c r="AN99" s="12" t="n"/>
      <c r="AO99" s="12" t="n"/>
      <c r="AP99" s="12" t="n"/>
      <c r="AQ99" s="12" t="n"/>
      <c r="AR99" s="12" t="n"/>
      <c r="AS99" s="12" t="n"/>
      <c r="AT99" s="12" t="n"/>
      <c r="AU99" s="12" t="n"/>
      <c r="AV99" s="12" t="n"/>
      <c r="AW99" s="12" t="n"/>
      <c r="AX99" s="12" t="n"/>
      <c r="AY99" s="12" t="n"/>
      <c r="AZ99" s="12" t="n"/>
      <c r="BA99" s="12" t="n"/>
      <c r="BB99" s="12" t="n"/>
      <c r="BC99" s="12" t="n"/>
      <c r="BD99" s="12" t="n"/>
      <c r="BE99" s="12" t="n"/>
      <c r="BF99" s="12" t="n"/>
      <c r="BG99" s="12" t="n"/>
      <c r="BH99" s="12" t="n"/>
      <c r="BI99" s="12" t="n"/>
      <c r="BJ99" s="12" t="n"/>
      <c r="BK99" s="12" t="n"/>
      <c r="BL99" s="12" t="n"/>
      <c r="BM99" s="12" t="n"/>
      <c r="BN99" s="12" t="n"/>
      <c r="BO99" s="12" t="n"/>
      <c r="BP99" s="12" t="n"/>
      <c r="BQ99" s="12" t="n"/>
      <c r="BR99" s="12" t="n"/>
      <c r="BS99" s="12" t="n"/>
      <c r="BT99" s="12" t="n"/>
      <c r="BU99" s="12" t="n"/>
      <c r="BV99" s="12" t="n"/>
      <c r="BW99" s="12" t="n"/>
      <c r="BX99" s="12" t="n"/>
      <c r="BY99" s="12" t="n"/>
      <c r="BZ99" s="12" t="n"/>
      <c r="CA99" s="12" t="n"/>
      <c r="CB99" s="12" t="n"/>
      <c r="CC99" s="12" t="n"/>
      <c r="CD99" s="12" t="n"/>
      <c r="CE99" s="12" t="n"/>
      <c r="CF99" s="12" t="n"/>
      <c r="CG99" s="12" t="n"/>
      <c r="CH99" s="12" t="n"/>
      <c r="CI99" s="12" t="n"/>
      <c r="CJ99" s="12" t="n"/>
      <c r="CK99" s="12" t="n"/>
      <c r="CL99" s="12" t="n"/>
      <c r="CM99" s="12" t="n"/>
      <c r="CN99" s="12" t="n"/>
      <c r="CO99" s="12" t="n"/>
      <c r="CP99" s="12" t="n"/>
      <c r="CQ99" s="12" t="n"/>
      <c r="CR99" s="12" t="n"/>
      <c r="CS99" s="12" t="n"/>
      <c r="CT99" s="12" t="n"/>
      <c r="CU99" s="12" t="n"/>
      <c r="CV99" s="12" t="n"/>
      <c r="CW99" s="12" t="n"/>
      <c r="CX99" s="12" t="n"/>
      <c r="CY99" s="12" t="n"/>
    </row>
    <row r="100" hidden="1" outlineLevel="1">
      <c r="C100" s="57" t="inlineStr">
        <is>
          <t>RECEITAS FINANCEIRAS - Descontos obtidos de fornecedores por antecipação</t>
        </is>
      </c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  <c r="AA100" s="12" t="n"/>
      <c r="AB100" s="12" t="n"/>
      <c r="AC100" s="12" t="n"/>
      <c r="AD100" s="12" t="n"/>
      <c r="AE100" s="12" t="n"/>
      <c r="AF100" s="12" t="n"/>
      <c r="AG100" s="12" t="n"/>
      <c r="AH100" s="12" t="n"/>
      <c r="AI100" s="12" t="n"/>
      <c r="AJ100" s="12" t="n"/>
      <c r="AK100" s="12" t="n"/>
      <c r="AL100" s="12" t="n"/>
      <c r="AM100" s="12" t="n"/>
      <c r="AN100" s="12" t="n"/>
      <c r="AO100" s="12" t="n"/>
      <c r="AP100" s="12" t="n"/>
      <c r="AQ100" s="12" t="n"/>
      <c r="AR100" s="12" t="n"/>
      <c r="AS100" s="12" t="n"/>
      <c r="AT100" s="12" t="n"/>
      <c r="AU100" s="12" t="n"/>
      <c r="AV100" s="12" t="n"/>
      <c r="AW100" s="12" t="n"/>
      <c r="AX100" s="12" t="n"/>
      <c r="AY100" s="12" t="n"/>
      <c r="AZ100" s="12" t="n"/>
      <c r="BA100" s="12" t="n"/>
      <c r="BB100" s="12" t="n"/>
      <c r="BC100" s="12" t="n"/>
      <c r="BD100" s="12" t="n"/>
      <c r="BE100" s="12" t="n"/>
      <c r="BF100" s="12" t="n"/>
      <c r="BG100" s="12" t="n"/>
      <c r="BH100" s="12" t="n"/>
      <c r="BI100" s="12" t="n"/>
      <c r="BJ100" s="12" t="n"/>
      <c r="BK100" s="12" t="n"/>
      <c r="BL100" s="12" t="n"/>
      <c r="BM100" s="12" t="n"/>
      <c r="BN100" s="12" t="n"/>
      <c r="BO100" s="12" t="n"/>
      <c r="BP100" s="12" t="n"/>
      <c r="BQ100" s="12" t="n"/>
      <c r="BR100" s="12" t="n"/>
      <c r="BS100" s="12" t="n"/>
      <c r="BT100" s="12" t="n"/>
      <c r="BU100" s="12" t="n"/>
      <c r="BV100" s="12" t="n"/>
      <c r="BW100" s="12" t="n"/>
      <c r="BX100" s="12" t="n"/>
      <c r="BY100" s="12" t="n"/>
      <c r="BZ100" s="12" t="n"/>
      <c r="CA100" s="12" t="n"/>
      <c r="CB100" s="12" t="n"/>
      <c r="CC100" s="12" t="n"/>
      <c r="CD100" s="12" t="n"/>
      <c r="CE100" s="12" t="n"/>
      <c r="CF100" s="12" t="n"/>
      <c r="CG100" s="12" t="n"/>
      <c r="CH100" s="12" t="n"/>
      <c r="CI100" s="12" t="n"/>
      <c r="CJ100" s="12" t="n"/>
      <c r="CK100" s="12" t="n"/>
      <c r="CL100" s="12" t="n"/>
      <c r="CM100" s="12" t="n"/>
      <c r="CN100" s="12" t="n"/>
      <c r="CO100" s="12" t="n"/>
      <c r="CP100" s="12" t="n"/>
      <c r="CQ100" s="12" t="n"/>
      <c r="CR100" s="12" t="n"/>
      <c r="CS100" s="12" t="n"/>
      <c r="CT100" s="12" t="n"/>
      <c r="CU100" s="12" t="n"/>
      <c r="CV100" s="12" t="n"/>
      <c r="CW100" s="12" t="n"/>
      <c r="CX100" s="12" t="n"/>
      <c r="CY100" s="12" t="n"/>
    </row>
    <row r="101" hidden="1" outlineLevel="1">
      <c r="C101" s="57" t="inlineStr">
        <is>
          <t>RECEITAS FINANCEIRAS - Atualização monetária sobre Exclusão ICMS da base de PIS/COFINS (nota explicativa nº 7)</t>
        </is>
      </c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  <c r="AA101" s="12" t="n"/>
      <c r="AB101" s="12" t="n"/>
      <c r="AC101" s="12" t="n"/>
      <c r="AD101" s="12" t="n"/>
      <c r="AE101" s="12" t="n"/>
      <c r="AF101" s="12" t="n"/>
      <c r="AG101" s="12" t="n"/>
      <c r="AH101" s="12" t="n"/>
      <c r="AI101" s="12" t="n"/>
      <c r="AJ101" s="12" t="n"/>
      <c r="AK101" s="12" t="n"/>
      <c r="AL101" s="12" t="n"/>
      <c r="AM101" s="12" t="n"/>
      <c r="AN101" s="12" t="n"/>
      <c r="AO101" s="12" t="n"/>
      <c r="AP101" s="12" t="n"/>
      <c r="AQ101" s="12" t="n"/>
      <c r="AR101" s="12" t="n"/>
      <c r="AS101" s="12" t="n"/>
      <c r="AT101" s="12" t="n"/>
      <c r="AU101" s="12" t="n"/>
      <c r="AV101" s="12" t="n"/>
      <c r="AW101" s="12" t="n"/>
      <c r="AX101" s="12" t="n"/>
      <c r="AY101" s="12" t="n"/>
      <c r="AZ101" s="12" t="n"/>
      <c r="BA101" s="12" t="n"/>
      <c r="BB101" s="12" t="n"/>
      <c r="BC101" s="12" t="n"/>
      <c r="BD101" s="12" t="n"/>
      <c r="BE101" s="12" t="n"/>
      <c r="BF101" s="12" t="n"/>
      <c r="BG101" s="12" t="n"/>
      <c r="BH101" s="12" t="n"/>
      <c r="BI101" s="12" t="n"/>
      <c r="BJ101" s="12" t="n"/>
      <c r="BK101" s="12" t="n"/>
      <c r="BL101" s="12" t="n"/>
      <c r="BM101" s="12" t="n"/>
      <c r="BN101" s="12" t="n"/>
      <c r="BO101" s="12" t="n"/>
      <c r="BP101" s="12" t="n"/>
      <c r="BQ101" s="12" t="n"/>
      <c r="BR101" s="12" t="n"/>
      <c r="BS101" s="12" t="n"/>
      <c r="BT101" s="12" t="n"/>
      <c r="BU101" s="12" t="n"/>
      <c r="BV101" s="12" t="n"/>
      <c r="BW101" s="12" t="n"/>
      <c r="BX101" s="12" t="n"/>
      <c r="BY101" s="12" t="n"/>
      <c r="BZ101" s="12" t="n"/>
      <c r="CA101" s="12" t="n"/>
      <c r="CB101" s="12" t="n"/>
      <c r="CC101" s="12" t="n"/>
      <c r="CD101" s="12" t="n"/>
      <c r="CE101" s="12" t="n"/>
      <c r="CF101" s="12" t="n"/>
      <c r="CG101" s="12" t="n"/>
      <c r="CH101" s="12" t="n"/>
      <c r="CI101" s="12" t="n"/>
      <c r="CJ101" s="12" t="n"/>
      <c r="CK101" s="12" t="n"/>
      <c r="CL101" s="12" t="n"/>
      <c r="CM101" s="12" t="n"/>
      <c r="CN101" s="12" t="n"/>
      <c r="CO101" s="12" t="n"/>
      <c r="CP101" s="12" t="n"/>
      <c r="CQ101" s="12" t="n"/>
      <c r="CR101" s="12" t="n"/>
      <c r="CS101" s="12" t="n"/>
      <c r="CT101" s="12" t="n"/>
      <c r="CU101" s="12" t="n"/>
      <c r="CV101" s="12" t="n"/>
      <c r="CW101" s="12" t="n"/>
      <c r="CX101" s="12" t="n"/>
      <c r="CY101" s="12" t="n"/>
    </row>
    <row r="102" hidden="1" outlineLevel="1">
      <c r="C102" s="57" t="inlineStr">
        <is>
          <t>RECEITAS FINANCEIRAS - Outras</t>
        </is>
      </c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  <c r="AA102" s="12" t="n"/>
      <c r="AB102" s="12" t="n"/>
      <c r="AC102" s="12" t="n"/>
      <c r="AD102" s="12" t="n"/>
      <c r="AE102" s="12" t="n"/>
      <c r="AF102" s="12" t="n"/>
      <c r="AG102" s="12" t="n"/>
      <c r="AH102" s="12" t="n"/>
      <c r="AI102" s="12" t="n"/>
      <c r="AJ102" s="12" t="n"/>
      <c r="AK102" s="12" t="n"/>
      <c r="AL102" s="12" t="n"/>
      <c r="AM102" s="12" t="n"/>
      <c r="AN102" s="12" t="n"/>
      <c r="AO102" s="12" t="n"/>
      <c r="AP102" s="12" t="n"/>
      <c r="AQ102" s="12" t="n"/>
      <c r="AR102" s="12" t="n"/>
      <c r="AS102" s="12" t="n"/>
      <c r="AT102" s="12" t="n"/>
      <c r="AU102" s="12" t="n"/>
      <c r="AV102" s="12" t="n"/>
      <c r="AW102" s="12" t="n"/>
      <c r="AX102" s="12" t="n"/>
      <c r="AY102" s="12" t="n"/>
      <c r="AZ102" s="12" t="n"/>
      <c r="BA102" s="12" t="n"/>
      <c r="BB102" s="12" t="n"/>
      <c r="BC102" s="12" t="n"/>
      <c r="BD102" s="12" t="n"/>
      <c r="BE102" s="12" t="n"/>
      <c r="BF102" s="12" t="n"/>
      <c r="BG102" s="12" t="n"/>
      <c r="BH102" s="12" t="n"/>
      <c r="BI102" s="12" t="n"/>
      <c r="BJ102" s="12" t="n"/>
      <c r="BK102" s="12" t="n"/>
      <c r="BL102" s="12" t="n"/>
      <c r="BM102" s="12" t="n"/>
      <c r="BN102" s="12" t="n"/>
      <c r="BO102" s="12" t="n"/>
      <c r="BP102" s="12" t="n"/>
      <c r="BQ102" s="12" t="n"/>
      <c r="BR102" s="12" t="n"/>
      <c r="BS102" s="12" t="n"/>
      <c r="BT102" s="12" t="n"/>
      <c r="BU102" s="12" t="n"/>
      <c r="BV102" s="12" t="n"/>
      <c r="BW102" s="12" t="n"/>
      <c r="BX102" s="12" t="n"/>
      <c r="BY102" s="12" t="n"/>
      <c r="BZ102" s="12" t="n"/>
      <c r="CA102" s="12" t="n"/>
      <c r="CB102" s="12" t="n"/>
      <c r="CC102" s="12" t="n"/>
      <c r="CD102" s="12" t="n"/>
      <c r="CE102" s="12" t="n"/>
      <c r="CF102" s="12" t="n"/>
      <c r="CG102" s="12" t="n"/>
      <c r="CH102" s="12" t="n"/>
      <c r="CI102" s="12" t="n"/>
      <c r="CJ102" s="12" t="n"/>
      <c r="CK102" s="12" t="n"/>
      <c r="CL102" s="12" t="n"/>
      <c r="CM102" s="12" t="n"/>
      <c r="CN102" s="12" t="n"/>
      <c r="CO102" s="12" t="n"/>
      <c r="CP102" s="12" t="n"/>
      <c r="CQ102" s="12" t="n"/>
      <c r="CR102" s="12" t="n"/>
      <c r="CS102" s="12" t="n"/>
      <c r="CT102" s="12" t="n"/>
      <c r="CU102" s="12" t="n"/>
      <c r="CV102" s="12" t="n"/>
      <c r="CW102" s="12" t="n"/>
      <c r="CX102" s="12" t="n"/>
      <c r="CY102" s="12" t="n"/>
    </row>
    <row r="103" hidden="1" outlineLevel="1">
      <c r="C103" s="57" t="n"/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  <c r="AA103" s="12" t="n"/>
      <c r="AB103" s="12" t="n"/>
      <c r="AC103" s="12" t="n"/>
      <c r="AD103" s="12" t="n"/>
      <c r="AE103" s="12" t="n"/>
      <c r="AF103" s="12" t="n"/>
      <c r="AG103" s="12" t="n"/>
      <c r="AH103" s="12" t="n"/>
      <c r="AI103" s="12" t="n"/>
      <c r="AJ103" s="12" t="n"/>
      <c r="AK103" s="12" t="n"/>
      <c r="AL103" s="12" t="n"/>
      <c r="AM103" s="12" t="n"/>
      <c r="AN103" s="12" t="n"/>
      <c r="AO103" s="12" t="n"/>
      <c r="AP103" s="12" t="n"/>
      <c r="AQ103" s="12" t="n"/>
      <c r="AR103" s="12" t="n"/>
      <c r="AS103" s="12" t="n"/>
      <c r="AT103" s="12" t="n"/>
      <c r="AU103" s="12" t="n"/>
      <c r="AV103" s="12" t="n"/>
      <c r="AW103" s="12" t="n"/>
      <c r="AX103" s="12" t="n"/>
      <c r="AY103" s="12" t="n"/>
      <c r="AZ103" s="12" t="n"/>
      <c r="BA103" s="12" t="n"/>
      <c r="BB103" s="12" t="n"/>
      <c r="BC103" s="12" t="n"/>
      <c r="BD103" s="12" t="n"/>
      <c r="BE103" s="12" t="n"/>
      <c r="BF103" s="12" t="n"/>
      <c r="BG103" s="12" t="n"/>
      <c r="BH103" s="12" t="n"/>
      <c r="BI103" s="12" t="n"/>
      <c r="BJ103" s="12" t="n"/>
      <c r="BK103" s="12" t="n"/>
      <c r="BL103" s="12" t="n"/>
      <c r="BM103" s="12" t="n"/>
      <c r="BN103" s="12" t="n"/>
      <c r="BO103" s="12" t="n"/>
      <c r="BP103" s="12" t="n"/>
      <c r="BQ103" s="12" t="n"/>
      <c r="BR103" s="12" t="n"/>
      <c r="BS103" s="12" t="n"/>
      <c r="BT103" s="12" t="n"/>
      <c r="BU103" s="12" t="n"/>
      <c r="BV103" s="12" t="n"/>
      <c r="BW103" s="12" t="n"/>
      <c r="BX103" s="12" t="n"/>
      <c r="BY103" s="12" t="n"/>
      <c r="BZ103" s="12" t="n"/>
      <c r="CA103" s="12" t="n"/>
      <c r="CB103" s="12" t="n"/>
      <c r="CC103" s="12" t="n"/>
      <c r="CD103" s="12" t="n"/>
      <c r="CE103" s="12" t="n"/>
      <c r="CF103" s="12" t="n"/>
      <c r="CG103" s="12" t="n"/>
      <c r="CH103" s="12" t="n"/>
      <c r="CI103" s="12" t="n"/>
      <c r="CJ103" s="12" t="n"/>
      <c r="CK103" s="12" t="n"/>
      <c r="CL103" s="12" t="n"/>
      <c r="CM103" s="12" t="n"/>
      <c r="CN103" s="12" t="n"/>
      <c r="CO103" s="12" t="n"/>
      <c r="CP103" s="12" t="n"/>
      <c r="CQ103" s="12" t="n"/>
      <c r="CR103" s="12" t="n"/>
      <c r="CS103" s="12" t="n"/>
      <c r="CT103" s="12" t="n"/>
      <c r="CU103" s="12" t="n"/>
      <c r="CV103" s="12" t="n"/>
      <c r="CW103" s="12" t="n"/>
      <c r="CX103" s="12" t="n"/>
      <c r="CY103" s="12" t="n"/>
    </row>
    <row r="104" hidden="1" outlineLevel="1">
      <c r="C104" s="57" t="inlineStr">
        <is>
          <t>DESPESAS FINANCEIRAS - Encargos sobre empréstimos, financiamentos e debêntures</t>
        </is>
      </c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  <c r="AA104" s="12" t="n"/>
      <c r="AB104" s="12" t="n"/>
      <c r="AC104" s="12" t="n"/>
      <c r="AD104" s="12" t="n"/>
      <c r="AE104" s="12" t="n"/>
      <c r="AF104" s="12" t="n"/>
      <c r="AG104" s="12" t="n"/>
      <c r="AH104" s="12" t="n"/>
      <c r="AI104" s="12" t="n"/>
      <c r="AJ104" s="12" t="n"/>
      <c r="AK104" s="12" t="n"/>
      <c r="AL104" s="12" t="n"/>
      <c r="AM104" s="12" t="n"/>
      <c r="AN104" s="12" t="n"/>
      <c r="AO104" s="12" t="n"/>
      <c r="AP104" s="12" t="n"/>
      <c r="AQ104" s="12" t="n"/>
      <c r="AR104" s="12" t="n"/>
      <c r="AS104" s="12" t="n"/>
      <c r="AT104" s="12" t="n"/>
      <c r="AU104" s="12" t="n"/>
      <c r="AV104" s="12" t="n"/>
      <c r="AW104" s="12" t="n"/>
      <c r="AX104" s="12" t="n"/>
      <c r="AY104" s="12" t="n"/>
      <c r="AZ104" s="12" t="n"/>
      <c r="BA104" s="12" t="n"/>
      <c r="BB104" s="12" t="n"/>
      <c r="BC104" s="12" t="n"/>
      <c r="BD104" s="12" t="n"/>
      <c r="BE104" s="12" t="n"/>
      <c r="BF104" s="12" t="n"/>
      <c r="BG104" s="12" t="n"/>
      <c r="BH104" s="12" t="n"/>
      <c r="BI104" s="12" t="n"/>
      <c r="BJ104" s="12" t="n"/>
      <c r="BK104" s="12" t="n"/>
      <c r="BL104" s="12" t="n"/>
      <c r="BM104" s="12" t="n"/>
      <c r="BN104" s="12" t="n"/>
      <c r="BO104" s="12" t="n"/>
      <c r="BP104" s="12" t="n"/>
      <c r="BQ104" s="12" t="n"/>
      <c r="BR104" s="12" t="n"/>
      <c r="BS104" s="12" t="n"/>
      <c r="BT104" s="12" t="n"/>
      <c r="BU104" s="12" t="n"/>
      <c r="BV104" s="12" t="n"/>
      <c r="BW104" s="12" t="n"/>
      <c r="BX104" s="12" t="n"/>
      <c r="BY104" s="12" t="n"/>
      <c r="BZ104" s="12" t="n"/>
      <c r="CA104" s="12" t="n"/>
      <c r="CB104" s="12" t="n"/>
      <c r="CC104" s="12" t="n"/>
      <c r="CD104" s="12" t="n"/>
      <c r="CE104" s="12" t="n"/>
      <c r="CF104" s="12" t="n"/>
      <c r="CG104" s="12" t="n"/>
      <c r="CH104" s="12" t="n"/>
      <c r="CI104" s="12" t="n"/>
      <c r="CJ104" s="12" t="n"/>
      <c r="CK104" s="12" t="n"/>
      <c r="CL104" s="12" t="n"/>
      <c r="CM104" s="12" t="n"/>
      <c r="CN104" s="12" t="n"/>
      <c r="CO104" s="12" t="n"/>
      <c r="CP104" s="12" t="n"/>
      <c r="CQ104" s="12" t="n"/>
      <c r="CR104" s="12" t="n"/>
      <c r="CS104" s="12" t="n"/>
      <c r="CT104" s="12" t="n"/>
      <c r="CU104" s="12" t="n"/>
      <c r="CV104" s="12" t="n"/>
      <c r="CW104" s="12" t="n"/>
      <c r="CX104" s="12" t="n"/>
      <c r="CY104" s="12" t="n"/>
    </row>
    <row r="105" hidden="1" outlineLevel="1">
      <c r="C105" s="57" t="inlineStr">
        <is>
          <t>DESPESAS FINANCEIRAS - Variação cambial passiva</t>
        </is>
      </c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  <c r="AA105" s="12" t="n"/>
      <c r="AB105" s="12" t="n"/>
      <c r="AC105" s="12" t="n"/>
      <c r="AD105" s="12" t="n"/>
      <c r="AE105" s="12" t="n"/>
      <c r="AF105" s="12" t="n"/>
      <c r="AG105" s="12" t="n"/>
      <c r="AH105" s="12" t="n"/>
      <c r="AI105" s="12" t="n"/>
      <c r="AJ105" s="12" t="n"/>
      <c r="AK105" s="12" t="n"/>
      <c r="AL105" s="12" t="n"/>
      <c r="AM105" s="12" t="n"/>
      <c r="AN105" s="12" t="n"/>
      <c r="AO105" s="12" t="n"/>
      <c r="AP105" s="12" t="n"/>
      <c r="AQ105" s="12" t="n"/>
      <c r="AR105" s="12" t="n"/>
      <c r="AS105" s="12" t="n"/>
      <c r="AT105" s="12" t="n"/>
      <c r="AU105" s="12" t="n"/>
      <c r="AV105" s="12" t="n"/>
      <c r="AW105" s="12" t="n"/>
      <c r="AX105" s="12" t="n"/>
      <c r="AY105" s="12" t="n"/>
      <c r="AZ105" s="12" t="n"/>
      <c r="BA105" s="12" t="n"/>
      <c r="BB105" s="12" t="n"/>
      <c r="BC105" s="12" t="n"/>
      <c r="BD105" s="12" t="n"/>
      <c r="BE105" s="12" t="n"/>
      <c r="BF105" s="12" t="n"/>
      <c r="BG105" s="12" t="n"/>
      <c r="BH105" s="12" t="n"/>
      <c r="BI105" s="12" t="n"/>
      <c r="BJ105" s="12" t="n"/>
      <c r="BK105" s="12" t="n"/>
      <c r="BL105" s="12" t="n"/>
      <c r="BM105" s="12" t="n"/>
      <c r="BN105" s="12" t="n"/>
      <c r="BO105" s="12" t="n"/>
      <c r="BP105" s="12" t="n"/>
      <c r="BQ105" s="12" t="n"/>
      <c r="BR105" s="12" t="n"/>
      <c r="BS105" s="12" t="n"/>
      <c r="BT105" s="12" t="n"/>
      <c r="BU105" s="12" t="n"/>
      <c r="BV105" s="12" t="n"/>
      <c r="BW105" s="12" t="n"/>
      <c r="BX105" s="12" t="n"/>
      <c r="BY105" s="12" t="n"/>
      <c r="BZ105" s="12" t="n"/>
      <c r="CA105" s="12" t="n"/>
      <c r="CB105" s="12" t="n"/>
      <c r="CC105" s="12" t="n"/>
      <c r="CD105" s="12" t="n"/>
      <c r="CE105" s="12" t="n"/>
      <c r="CF105" s="12" t="n"/>
      <c r="CG105" s="12" t="n"/>
      <c r="CH105" s="12" t="n"/>
      <c r="CI105" s="12" t="n"/>
      <c r="CJ105" s="12" t="n"/>
      <c r="CK105" s="12" t="n"/>
      <c r="CL105" s="12" t="n"/>
      <c r="CM105" s="12" t="n"/>
      <c r="CN105" s="12" t="n"/>
      <c r="CO105" s="12" t="n"/>
      <c r="CP105" s="12" t="n"/>
      <c r="CQ105" s="12" t="n"/>
      <c r="CR105" s="12" t="n"/>
      <c r="CS105" s="12" t="n"/>
      <c r="CT105" s="12" t="n"/>
      <c r="CU105" s="12" t="n"/>
      <c r="CV105" s="12" t="n"/>
      <c r="CW105" s="12" t="n"/>
      <c r="CX105" s="12" t="n"/>
      <c r="CY105" s="12" t="n"/>
    </row>
    <row r="106" hidden="1" outlineLevel="1">
      <c r="C106" s="57" t="inlineStr">
        <is>
          <t>DESPESAS FINANCEIRAS - Resultado negativo com instrumentos derivativos</t>
        </is>
      </c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  <c r="Z106" s="12" t="n"/>
      <c r="AA106" s="12" t="n"/>
      <c r="AB106" s="12" t="n"/>
      <c r="AC106" s="12" t="n"/>
      <c r="AD106" s="12" t="n"/>
      <c r="AE106" s="12" t="n"/>
      <c r="AF106" s="12" t="n"/>
      <c r="AG106" s="12" t="n"/>
      <c r="AH106" s="12" t="n"/>
      <c r="AI106" s="12" t="n"/>
      <c r="AJ106" s="12" t="n"/>
      <c r="AK106" s="12" t="n"/>
      <c r="AL106" s="12" t="n"/>
      <c r="AM106" s="12" t="n"/>
      <c r="AN106" s="12" t="n"/>
      <c r="AO106" s="12" t="n"/>
      <c r="AP106" s="12" t="n"/>
      <c r="AQ106" s="12" t="n"/>
      <c r="AR106" s="12" t="n"/>
      <c r="AS106" s="12" t="n"/>
      <c r="AT106" s="12" t="n"/>
      <c r="AU106" s="12" t="n"/>
      <c r="AV106" s="12" t="n"/>
      <c r="AW106" s="12" t="n"/>
      <c r="AX106" s="12" t="n"/>
      <c r="AY106" s="12" t="n"/>
      <c r="AZ106" s="12" t="n"/>
      <c r="BA106" s="12" t="n"/>
      <c r="BB106" s="12" t="n"/>
      <c r="BC106" s="12" t="n"/>
      <c r="BD106" s="12" t="n"/>
      <c r="BE106" s="12" t="n"/>
      <c r="BF106" s="12" t="n"/>
      <c r="BG106" s="12" t="n"/>
      <c r="BH106" s="12" t="n"/>
      <c r="BI106" s="12" t="n"/>
      <c r="BJ106" s="12" t="n"/>
      <c r="BK106" s="12" t="n"/>
      <c r="BL106" s="12" t="n"/>
      <c r="BM106" s="12" t="n"/>
      <c r="BN106" s="12" t="n"/>
      <c r="BO106" s="12" t="n"/>
      <c r="BP106" s="12" t="n"/>
      <c r="BQ106" s="12" t="n"/>
      <c r="BR106" s="12" t="n"/>
      <c r="BS106" s="12" t="n"/>
      <c r="BT106" s="12" t="n"/>
      <c r="BU106" s="12" t="n"/>
      <c r="BV106" s="12" t="n"/>
      <c r="BW106" s="12" t="n"/>
      <c r="BX106" s="12" t="n"/>
      <c r="BY106" s="12" t="n"/>
      <c r="BZ106" s="12" t="n"/>
      <c r="CA106" s="12" t="n"/>
      <c r="CB106" s="12" t="n"/>
      <c r="CC106" s="12" t="n"/>
      <c r="CD106" s="12" t="n"/>
      <c r="CE106" s="12" t="n"/>
      <c r="CF106" s="12" t="n"/>
      <c r="CG106" s="12" t="n"/>
      <c r="CH106" s="12" t="n"/>
      <c r="CI106" s="12" t="n"/>
      <c r="CJ106" s="12" t="n"/>
      <c r="CK106" s="12" t="n"/>
      <c r="CL106" s="12" t="n"/>
      <c r="CM106" s="12" t="n"/>
      <c r="CN106" s="12" t="n"/>
      <c r="CO106" s="12" t="n"/>
      <c r="CP106" s="12" t="n"/>
      <c r="CQ106" s="12" t="n"/>
      <c r="CR106" s="12" t="n"/>
      <c r="CS106" s="12" t="n"/>
      <c r="CT106" s="12" t="n"/>
      <c r="CU106" s="12" t="n"/>
      <c r="CV106" s="12" t="n"/>
      <c r="CW106" s="12" t="n"/>
      <c r="CX106" s="12" t="n"/>
      <c r="CY106" s="12" t="n"/>
    </row>
    <row r="107" hidden="1" outlineLevel="1">
      <c r="C107" s="57" t="inlineStr">
        <is>
          <t>DESPESAS FINANCEIRAS - Juros sobre arrendamento - IFRS16</t>
        </is>
      </c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  <c r="AA107" s="12" t="n"/>
      <c r="AB107" s="12" t="n"/>
      <c r="AC107" s="12" t="n"/>
      <c r="AD107" s="12" t="n"/>
      <c r="AE107" s="12" t="n"/>
      <c r="AF107" s="12" t="n"/>
      <c r="AG107" s="12" t="n"/>
      <c r="AH107" s="12" t="n"/>
      <c r="AI107" s="12" t="n"/>
      <c r="AJ107" s="12" t="n"/>
      <c r="AK107" s="12" t="n"/>
      <c r="AL107" s="12" t="n"/>
      <c r="AM107" s="12" t="n"/>
      <c r="AN107" s="12" t="n"/>
      <c r="AO107" s="12" t="n"/>
      <c r="AP107" s="12" t="n"/>
      <c r="AQ107" s="12" t="n"/>
      <c r="AR107" s="12" t="n"/>
      <c r="AS107" s="12" t="n"/>
      <c r="AT107" s="12" t="n"/>
      <c r="AU107" s="12" t="n"/>
      <c r="AV107" s="12" t="n"/>
      <c r="AW107" s="12" t="n"/>
      <c r="AX107" s="12" t="n"/>
      <c r="AY107" s="12" t="n"/>
      <c r="AZ107" s="12" t="n"/>
      <c r="BA107" s="12" t="n"/>
      <c r="BB107" s="12" t="n"/>
      <c r="BC107" s="12" t="n"/>
      <c r="BD107" s="12" t="n"/>
      <c r="BE107" s="12" t="n"/>
      <c r="BF107" s="12" t="n"/>
      <c r="BG107" s="12" t="n"/>
      <c r="BH107" s="12" t="n"/>
      <c r="BI107" s="12" t="n"/>
      <c r="BJ107" s="12" t="n"/>
      <c r="BK107" s="12" t="n"/>
      <c r="BL107" s="12" t="n"/>
      <c r="BM107" s="12" t="n"/>
      <c r="BN107" s="12" t="n"/>
      <c r="BO107" s="12" t="n"/>
      <c r="BP107" s="12" t="n"/>
      <c r="BQ107" s="12" t="n"/>
      <c r="BR107" s="12" t="n"/>
      <c r="BS107" s="12" t="n"/>
      <c r="BT107" s="12" t="n"/>
      <c r="BU107" s="12" t="n"/>
      <c r="BV107" s="12" t="n"/>
      <c r="BW107" s="12" t="n"/>
      <c r="BX107" s="12" t="n"/>
      <c r="BY107" s="12" t="n"/>
      <c r="BZ107" s="12" t="n"/>
      <c r="CA107" s="12" t="n"/>
      <c r="CB107" s="12" t="n"/>
      <c r="CC107" s="12" t="n"/>
      <c r="CD107" s="12" t="n"/>
      <c r="CE107" s="12" t="n"/>
      <c r="CF107" s="12" t="n"/>
      <c r="CG107" s="12" t="n"/>
      <c r="CH107" s="12" t="n"/>
      <c r="CI107" s="12" t="n"/>
      <c r="CJ107" s="12" t="n"/>
      <c r="CK107" s="12" t="n"/>
      <c r="CL107" s="12" t="n"/>
      <c r="CM107" s="12" t="n"/>
      <c r="CN107" s="12" t="n"/>
      <c r="CO107" s="12" t="n"/>
      <c r="CP107" s="12" t="n"/>
      <c r="CQ107" s="12" t="n"/>
      <c r="CR107" s="12" t="n"/>
      <c r="CS107" s="12" t="n"/>
      <c r="CT107" s="12" t="n"/>
      <c r="CU107" s="12" t="n"/>
      <c r="CV107" s="12" t="n"/>
      <c r="CW107" s="12" t="n"/>
      <c r="CX107" s="12" t="n"/>
      <c r="CY107" s="12" t="n"/>
    </row>
    <row r="108" hidden="1" outlineLevel="1">
      <c r="C108" s="57" t="inlineStr">
        <is>
          <t>DESPESAS FINANCEIRAS - Despesas bancárias</t>
        </is>
      </c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  <c r="Z108" s="12" t="n"/>
      <c r="AA108" s="12" t="n"/>
      <c r="AB108" s="12" t="n"/>
      <c r="AC108" s="12" t="n"/>
      <c r="AD108" s="12" t="n"/>
      <c r="AE108" s="12" t="n"/>
      <c r="AF108" s="12" t="n"/>
      <c r="AG108" s="12" t="n"/>
      <c r="AH108" s="12" t="n"/>
      <c r="AI108" s="12" t="n"/>
      <c r="AJ108" s="12" t="n"/>
      <c r="AK108" s="12" t="n"/>
      <c r="AL108" s="12" t="n"/>
      <c r="AM108" s="12" t="n"/>
      <c r="AN108" s="12" t="n"/>
      <c r="AO108" s="12" t="n"/>
      <c r="AP108" s="12" t="n"/>
      <c r="AQ108" s="12" t="n"/>
      <c r="AR108" s="12" t="n"/>
      <c r="AS108" s="12" t="n"/>
      <c r="AT108" s="12" t="n"/>
      <c r="AU108" s="12" t="n"/>
      <c r="AV108" s="12" t="n"/>
      <c r="AW108" s="12" t="n"/>
      <c r="AX108" s="12" t="n"/>
      <c r="AY108" s="12" t="n"/>
      <c r="AZ108" s="12" t="n"/>
      <c r="BA108" s="12" t="n"/>
      <c r="BB108" s="12" t="n"/>
      <c r="BC108" s="12" t="n"/>
      <c r="BD108" s="12" t="n"/>
      <c r="BE108" s="12" t="n"/>
      <c r="BF108" s="12" t="n"/>
      <c r="BG108" s="12" t="n"/>
      <c r="BH108" s="12" t="n"/>
      <c r="BI108" s="12" t="n"/>
      <c r="BJ108" s="12" t="n"/>
      <c r="BK108" s="12" t="n"/>
      <c r="BL108" s="12" t="n"/>
      <c r="BM108" s="12" t="n"/>
      <c r="BN108" s="12" t="n"/>
      <c r="BO108" s="12" t="n"/>
      <c r="BP108" s="12" t="n"/>
      <c r="BQ108" s="12" t="n"/>
      <c r="BR108" s="12" t="n"/>
      <c r="BS108" s="12" t="n"/>
      <c r="BT108" s="12" t="n"/>
      <c r="BU108" s="12" t="n"/>
      <c r="BV108" s="12" t="n"/>
      <c r="BW108" s="12" t="n"/>
      <c r="BX108" s="12" t="n"/>
      <c r="BY108" s="12" t="n"/>
      <c r="BZ108" s="12" t="n"/>
      <c r="CA108" s="12" t="n"/>
      <c r="CB108" s="12" t="n"/>
      <c r="CC108" s="12" t="n"/>
      <c r="CD108" s="12" t="n"/>
      <c r="CE108" s="12" t="n"/>
      <c r="CF108" s="12" t="n"/>
      <c r="CG108" s="12" t="n"/>
      <c r="CH108" s="12" t="n"/>
      <c r="CI108" s="12" t="n"/>
      <c r="CJ108" s="12" t="n"/>
      <c r="CK108" s="12" t="n"/>
      <c r="CL108" s="12" t="n"/>
      <c r="CM108" s="12" t="n"/>
      <c r="CN108" s="12" t="n"/>
      <c r="CO108" s="12" t="n"/>
      <c r="CP108" s="12" t="n"/>
      <c r="CQ108" s="12" t="n"/>
      <c r="CR108" s="12" t="n"/>
      <c r="CS108" s="12" t="n"/>
      <c r="CT108" s="12" t="n"/>
      <c r="CU108" s="12" t="n"/>
      <c r="CV108" s="12" t="n"/>
      <c r="CW108" s="12" t="n"/>
      <c r="CX108" s="12" t="n"/>
      <c r="CY108" s="12" t="n"/>
    </row>
    <row r="109" hidden="1" outlineLevel="1">
      <c r="C109" s="57" t="inlineStr">
        <is>
          <t>DESPESAS FINANCEIRAS - Despesas com obtenção de empréstimos e financiamentos</t>
        </is>
      </c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  <c r="AA109" s="12" t="n"/>
      <c r="AB109" s="12" t="n"/>
      <c r="AC109" s="12" t="n"/>
      <c r="AD109" s="12" t="n"/>
      <c r="AE109" s="12" t="n"/>
      <c r="AF109" s="12" t="n"/>
      <c r="AG109" s="12" t="n"/>
      <c r="AH109" s="12" t="n"/>
      <c r="AI109" s="12" t="n"/>
      <c r="AJ109" s="12" t="n"/>
      <c r="AK109" s="12" t="n"/>
      <c r="AL109" s="12" t="n"/>
      <c r="AM109" s="12" t="n"/>
      <c r="AN109" s="12" t="n"/>
      <c r="AO109" s="12" t="n"/>
      <c r="AP109" s="12" t="n"/>
      <c r="AQ109" s="12" t="n"/>
      <c r="AR109" s="12" t="n"/>
      <c r="AS109" s="12" t="n"/>
      <c r="AT109" s="12" t="n"/>
      <c r="AU109" s="12" t="n"/>
      <c r="AV109" s="12" t="n"/>
      <c r="AW109" s="12" t="n"/>
      <c r="AX109" s="12" t="n"/>
      <c r="AY109" s="12" t="n"/>
      <c r="AZ109" s="12" t="n"/>
      <c r="BA109" s="12" t="n"/>
      <c r="BB109" s="12" t="n"/>
      <c r="BC109" s="12" t="n"/>
      <c r="BD109" s="12" t="n"/>
      <c r="BE109" s="12" t="n"/>
      <c r="BF109" s="12" t="n"/>
      <c r="BG109" s="12" t="n"/>
      <c r="BH109" s="12" t="n"/>
      <c r="BI109" s="12" t="n"/>
      <c r="BJ109" s="12" t="n"/>
      <c r="BK109" s="12" t="n"/>
      <c r="BL109" s="12" t="n"/>
      <c r="BM109" s="12" t="n"/>
      <c r="BN109" s="12" t="n"/>
      <c r="BO109" s="12" t="n"/>
      <c r="BP109" s="12" t="n"/>
      <c r="BQ109" s="12" t="n"/>
      <c r="BR109" s="12" t="n"/>
      <c r="BS109" s="12" t="n"/>
      <c r="BT109" s="12" t="n"/>
      <c r="BU109" s="12" t="n"/>
      <c r="BV109" s="12" t="n"/>
      <c r="BW109" s="12" t="n"/>
      <c r="BX109" s="12" t="n"/>
      <c r="BY109" s="12" t="n"/>
      <c r="BZ109" s="12" t="n"/>
      <c r="CA109" s="12" t="n"/>
      <c r="CB109" s="12" t="n"/>
      <c r="CC109" s="12" t="n"/>
      <c r="CD109" s="12" t="n"/>
      <c r="CE109" s="12" t="n"/>
      <c r="CF109" s="12" t="n"/>
      <c r="CG109" s="12" t="n"/>
      <c r="CH109" s="12" t="n"/>
      <c r="CI109" s="12" t="n"/>
      <c r="CJ109" s="12" t="n"/>
      <c r="CK109" s="12" t="n"/>
      <c r="CL109" s="12" t="n"/>
      <c r="CM109" s="12" t="n"/>
      <c r="CN109" s="12" t="n"/>
      <c r="CO109" s="12" t="n"/>
      <c r="CP109" s="12" t="n"/>
      <c r="CQ109" s="12" t="n"/>
      <c r="CR109" s="12" t="n"/>
      <c r="CS109" s="12" t="n"/>
      <c r="CT109" s="12" t="n"/>
      <c r="CU109" s="12" t="n"/>
      <c r="CV109" s="12" t="n"/>
      <c r="CW109" s="12" t="n"/>
      <c r="CX109" s="12" t="n"/>
      <c r="CY109" s="12" t="n"/>
    </row>
    <row r="110" hidden="1" outlineLevel="1">
      <c r="C110" s="57" t="inlineStr">
        <is>
          <t>DESPESAS FINANCEIRAS - Atualização de contas a pagar por aquisição de empresas</t>
        </is>
      </c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  <c r="W110" s="12" t="n"/>
      <c r="X110" s="12" t="n"/>
      <c r="Y110" s="12" t="n"/>
      <c r="Z110" s="12" t="n"/>
      <c r="AA110" s="12" t="n"/>
      <c r="AB110" s="12" t="n"/>
      <c r="AC110" s="12" t="n"/>
      <c r="AD110" s="12" t="n"/>
      <c r="AE110" s="12" t="n"/>
      <c r="AF110" s="12" t="n"/>
      <c r="AG110" s="12" t="n"/>
      <c r="AH110" s="12" t="n"/>
      <c r="AI110" s="12" t="n"/>
      <c r="AJ110" s="12" t="n"/>
      <c r="AK110" s="12" t="n"/>
      <c r="AL110" s="12" t="n"/>
      <c r="AM110" s="12" t="n"/>
      <c r="AN110" s="12" t="n"/>
      <c r="AO110" s="12" t="n"/>
      <c r="AP110" s="12" t="n"/>
      <c r="AQ110" s="12" t="n"/>
      <c r="AR110" s="12" t="n"/>
      <c r="AS110" s="12" t="n"/>
      <c r="AT110" s="12" t="n"/>
      <c r="AU110" s="12" t="n"/>
      <c r="AV110" s="12" t="n"/>
      <c r="AW110" s="12" t="n"/>
      <c r="AX110" s="12" t="n"/>
      <c r="AY110" s="12" t="n"/>
      <c r="AZ110" s="12" t="n"/>
      <c r="BA110" s="12" t="n"/>
      <c r="BB110" s="12" t="n"/>
      <c r="BC110" s="12" t="n"/>
      <c r="BD110" s="12" t="n"/>
      <c r="BE110" s="12" t="n"/>
      <c r="BF110" s="12" t="n"/>
      <c r="BG110" s="12" t="n"/>
      <c r="BH110" s="12" t="n"/>
      <c r="BI110" s="12" t="n"/>
      <c r="BJ110" s="12" t="n"/>
      <c r="BK110" s="12" t="n"/>
      <c r="BL110" s="12" t="n"/>
      <c r="BM110" s="12" t="n"/>
      <c r="BN110" s="12" t="n"/>
      <c r="BO110" s="12" t="n"/>
      <c r="BP110" s="12" t="n"/>
      <c r="BQ110" s="12" t="n"/>
      <c r="BR110" s="12" t="n"/>
      <c r="BS110" s="12" t="n"/>
      <c r="BT110" s="12" t="n"/>
      <c r="BU110" s="12" t="n"/>
      <c r="BV110" s="12" t="n"/>
      <c r="BW110" s="12" t="n"/>
      <c r="BX110" s="12" t="n"/>
      <c r="BY110" s="12" t="n"/>
      <c r="BZ110" s="12" t="n"/>
      <c r="CA110" s="12" t="n"/>
      <c r="CB110" s="12" t="n"/>
      <c r="CC110" s="12" t="n"/>
      <c r="CD110" s="12" t="n"/>
      <c r="CE110" s="12" t="n"/>
      <c r="CF110" s="12" t="n"/>
      <c r="CG110" s="12" t="n"/>
      <c r="CH110" s="12" t="n"/>
      <c r="CI110" s="12" t="n"/>
      <c r="CJ110" s="12" t="n"/>
      <c r="CK110" s="12" t="n"/>
      <c r="CL110" s="12" t="n"/>
      <c r="CM110" s="12" t="n"/>
      <c r="CN110" s="12" t="n"/>
      <c r="CO110" s="12" t="n"/>
      <c r="CP110" s="12" t="n"/>
      <c r="CQ110" s="12" t="n"/>
      <c r="CR110" s="12" t="n"/>
      <c r="CS110" s="12" t="n"/>
      <c r="CT110" s="12" t="n"/>
      <c r="CU110" s="12" t="n"/>
      <c r="CV110" s="12" t="n"/>
      <c r="CW110" s="12" t="n"/>
      <c r="CX110" s="12" t="n"/>
      <c r="CY110" s="12" t="n"/>
    </row>
    <row r="111" hidden="1" outlineLevel="1">
      <c r="C111" s="57" t="inlineStr">
        <is>
          <t>DESPESAS FINANCEIRAS - Outras</t>
        </is>
      </c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  <c r="AA111" s="12" t="n"/>
      <c r="AB111" s="12" t="n"/>
      <c r="AC111" s="12" t="n"/>
      <c r="AD111" s="12" t="n"/>
      <c r="AE111" s="12" t="n"/>
      <c r="AF111" s="12" t="n"/>
      <c r="AG111" s="12" t="n"/>
      <c r="AH111" s="12" t="n"/>
      <c r="AI111" s="12" t="n"/>
      <c r="AJ111" s="12" t="n"/>
      <c r="AK111" s="12" t="n"/>
      <c r="AL111" s="12" t="n"/>
      <c r="AM111" s="12" t="n"/>
      <c r="AN111" s="12" t="n"/>
      <c r="AO111" s="12" t="n"/>
      <c r="AP111" s="12" t="n"/>
      <c r="AQ111" s="12" t="n"/>
      <c r="AR111" s="12" t="n"/>
      <c r="AS111" s="12" t="n"/>
      <c r="AT111" s="12" t="n"/>
      <c r="AU111" s="12" t="n"/>
      <c r="AV111" s="12" t="n"/>
      <c r="AW111" s="12" t="n"/>
      <c r="AX111" s="12" t="n"/>
      <c r="AY111" s="12" t="n"/>
      <c r="AZ111" s="12" t="n"/>
      <c r="BA111" s="12" t="n"/>
      <c r="BB111" s="12" t="n"/>
      <c r="BC111" s="12" t="n"/>
      <c r="BD111" s="12" t="n"/>
      <c r="BE111" s="12" t="n"/>
      <c r="BF111" s="12" t="n"/>
      <c r="BG111" s="12" t="n"/>
      <c r="BH111" s="12" t="n"/>
      <c r="BI111" s="12" t="n"/>
      <c r="BJ111" s="12" t="n"/>
      <c r="BK111" s="12" t="n"/>
      <c r="BL111" s="12" t="n"/>
      <c r="BM111" s="12" t="n"/>
      <c r="BN111" s="12" t="n"/>
      <c r="BO111" s="12" t="n"/>
      <c r="BP111" s="12" t="n"/>
      <c r="BQ111" s="12" t="n"/>
      <c r="BR111" s="12" t="n"/>
      <c r="BS111" s="12" t="n"/>
      <c r="BT111" s="12" t="n"/>
      <c r="BU111" s="12" t="n"/>
      <c r="BV111" s="12" t="n"/>
      <c r="BW111" s="12" t="n"/>
      <c r="BX111" s="12" t="n"/>
      <c r="BY111" s="12" t="n"/>
      <c r="BZ111" s="12" t="n"/>
      <c r="CA111" s="12" t="n"/>
      <c r="CB111" s="12" t="n"/>
      <c r="CC111" s="12" t="n"/>
      <c r="CD111" s="12" t="n"/>
      <c r="CE111" s="12" t="n"/>
      <c r="CF111" s="12" t="n"/>
      <c r="CG111" s="12" t="n"/>
      <c r="CH111" s="12" t="n"/>
      <c r="CI111" s="12" t="n"/>
      <c r="CJ111" s="12" t="n"/>
      <c r="CK111" s="12" t="n"/>
      <c r="CL111" s="12" t="n"/>
      <c r="CM111" s="12" t="n"/>
      <c r="CN111" s="12" t="n"/>
      <c r="CO111" s="12" t="n"/>
      <c r="CP111" s="12" t="n"/>
      <c r="CQ111" s="12" t="n"/>
      <c r="CR111" s="12" t="n"/>
      <c r="CS111" s="12" t="n"/>
      <c r="CT111" s="12" t="n"/>
      <c r="CU111" s="12" t="n"/>
      <c r="CV111" s="12" t="n"/>
      <c r="CW111" s="12" t="n"/>
      <c r="CX111" s="12" t="n"/>
      <c r="CY111" s="12" t="n"/>
    </row>
    <row r="112" hidden="1" outlineLevel="1">
      <c r="C112" s="57" t="n"/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  <c r="Z112" s="12" t="n"/>
      <c r="AA112" s="12" t="n"/>
      <c r="AB112" s="12" t="n"/>
      <c r="AC112" s="12" t="n"/>
      <c r="AD112" s="12" t="n"/>
      <c r="AE112" s="12" t="n"/>
      <c r="AF112" s="12" t="n"/>
      <c r="AG112" s="12" t="n"/>
      <c r="AH112" s="12" t="n"/>
      <c r="AI112" s="12" t="n"/>
      <c r="AJ112" s="12" t="n"/>
      <c r="AK112" s="12" t="n"/>
      <c r="AL112" s="12" t="n"/>
      <c r="AM112" s="12" t="n"/>
      <c r="AN112" s="12" t="n"/>
      <c r="AO112" s="12" t="n"/>
      <c r="AP112" s="12" t="n"/>
      <c r="AQ112" s="12" t="n"/>
      <c r="AR112" s="12" t="n"/>
      <c r="AS112" s="12" t="n"/>
      <c r="AT112" s="12" t="n"/>
      <c r="AU112" s="12" t="n"/>
      <c r="AV112" s="12" t="n"/>
      <c r="AW112" s="12" t="n"/>
      <c r="AX112" s="12" t="n"/>
      <c r="AY112" s="12" t="n"/>
      <c r="AZ112" s="12" t="n"/>
      <c r="BA112" s="12" t="n"/>
      <c r="BB112" s="12" t="n"/>
      <c r="BC112" s="12" t="n"/>
      <c r="BD112" s="12" t="n"/>
      <c r="BE112" s="12" t="n"/>
      <c r="BF112" s="12" t="n"/>
      <c r="BG112" s="12" t="n"/>
      <c r="BH112" s="12" t="n"/>
      <c r="BI112" s="12" t="n"/>
      <c r="BJ112" s="12" t="n"/>
      <c r="BK112" s="12" t="n"/>
      <c r="BL112" s="12" t="n"/>
      <c r="BM112" s="12" t="n"/>
      <c r="BN112" s="12" t="n"/>
      <c r="BO112" s="12" t="n"/>
      <c r="BP112" s="12" t="n"/>
      <c r="BQ112" s="12" t="n"/>
      <c r="BR112" s="12" t="n"/>
      <c r="BS112" s="12" t="n"/>
      <c r="BT112" s="12" t="n"/>
      <c r="BU112" s="12" t="n"/>
      <c r="BV112" s="12" t="n"/>
      <c r="BW112" s="12" t="n"/>
      <c r="BX112" s="12" t="n"/>
      <c r="BY112" s="12" t="n"/>
      <c r="BZ112" s="12" t="n"/>
      <c r="CA112" s="12" t="n"/>
      <c r="CB112" s="12" t="n"/>
      <c r="CC112" s="12" t="n"/>
      <c r="CD112" s="12" t="n"/>
      <c r="CE112" s="12" t="n"/>
      <c r="CF112" s="12" t="n"/>
      <c r="CG112" s="12" t="n"/>
      <c r="CH112" s="12" t="n"/>
      <c r="CI112" s="12" t="n"/>
      <c r="CJ112" s="12" t="n"/>
      <c r="CK112" s="12" t="n"/>
      <c r="CL112" s="12" t="n"/>
      <c r="CM112" s="12" t="n"/>
      <c r="CN112" s="12" t="n"/>
      <c r="CO112" s="12" t="n"/>
      <c r="CP112" s="12" t="n"/>
      <c r="CQ112" s="12" t="n"/>
      <c r="CR112" s="12" t="n"/>
      <c r="CS112" s="12" t="n"/>
      <c r="CT112" s="12" t="n"/>
      <c r="CU112" s="12" t="n"/>
      <c r="CV112" s="12" t="n"/>
      <c r="CW112" s="12" t="n"/>
      <c r="CX112" s="12" t="n"/>
      <c r="CY112" s="12" t="n"/>
    </row>
    <row r="113" hidden="1" outlineLevel="1">
      <c r="C113" s="57" t="inlineStr">
        <is>
          <t>CHECK [EX IFRS-16]</t>
        </is>
      </c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  <c r="AA113" s="12" t="n"/>
      <c r="AB113" s="12" t="n"/>
      <c r="AC113" s="12" t="n"/>
      <c r="AD113" s="12" t="n"/>
      <c r="AE113" s="12" t="n"/>
      <c r="AF113" s="12" t="n"/>
      <c r="AG113" s="12" t="n"/>
      <c r="AH113" s="12" t="n"/>
      <c r="AI113" s="12" t="n"/>
      <c r="AJ113" s="12" t="n"/>
      <c r="AK113" s="12" t="n"/>
      <c r="AL113" s="12" t="n"/>
      <c r="AM113" s="12" t="n"/>
      <c r="AN113" s="12" t="n"/>
      <c r="AO113" s="12" t="n"/>
      <c r="AP113" s="12" t="n"/>
      <c r="AQ113" s="12" t="n"/>
      <c r="AR113" s="12" t="n"/>
      <c r="AS113" s="12" t="n"/>
      <c r="AT113" s="12" t="n"/>
      <c r="AU113" s="12" t="n"/>
      <c r="AV113" s="12" t="n"/>
      <c r="AW113" s="12" t="n"/>
      <c r="AX113" s="12" t="n"/>
      <c r="AY113" s="12" t="n"/>
      <c r="AZ113" s="12" t="n"/>
      <c r="BA113" s="12" t="n"/>
      <c r="BB113" s="12" t="n"/>
      <c r="BC113" s="12" t="n"/>
      <c r="BD113" s="12" t="n"/>
      <c r="BE113" s="12" t="n"/>
      <c r="BF113" s="12" t="n"/>
      <c r="BG113" s="12" t="n"/>
      <c r="BH113" s="12" t="n"/>
      <c r="BI113" s="12" t="n"/>
      <c r="BJ113" s="12" t="n"/>
      <c r="BK113" s="12" t="n"/>
      <c r="BL113" s="12" t="n"/>
      <c r="BM113" s="12" t="n"/>
      <c r="BN113" s="12" t="n"/>
      <c r="BO113" s="12" t="n"/>
      <c r="BP113" s="12" t="n"/>
      <c r="BQ113" s="12" t="n"/>
      <c r="BR113" s="12" t="n"/>
      <c r="BS113" s="12" t="n"/>
      <c r="BT113" s="12" t="n"/>
      <c r="BU113" s="12" t="n"/>
      <c r="BV113" s="12" t="n"/>
      <c r="BW113" s="12" t="n"/>
      <c r="BX113" s="12" t="n"/>
      <c r="BY113" s="12" t="n"/>
      <c r="BZ113" s="12" t="n"/>
      <c r="CA113" s="12" t="n"/>
      <c r="CB113" s="12" t="n"/>
      <c r="CC113" s="12" t="n"/>
      <c r="CD113" s="12" t="n"/>
      <c r="CE113" s="12" t="n"/>
      <c r="CF113" s="12" t="n"/>
      <c r="CG113" s="12" t="n"/>
      <c r="CH113" s="12" t="n"/>
      <c r="CI113" s="12" t="n"/>
      <c r="CJ113" s="12" t="n"/>
      <c r="CK113" s="12" t="n"/>
      <c r="CL113" s="12" t="n"/>
      <c r="CM113" s="12" t="n"/>
      <c r="CN113" s="12" t="n"/>
      <c r="CO113" s="12" t="n"/>
      <c r="CP113" s="12" t="n"/>
      <c r="CQ113" s="12" t="n"/>
      <c r="CR113" s="12" t="n"/>
      <c r="CS113" s="12" t="n"/>
      <c r="CT113" s="12" t="n"/>
      <c r="CU113" s="12" t="n"/>
      <c r="CV113" s="12" t="n"/>
      <c r="CW113" s="12" t="n"/>
      <c r="CX113" s="12" t="n"/>
      <c r="CY113" s="12" t="n"/>
    </row>
    <row r="114" hidden="1" outlineLevel="1">
      <c r="C114" s="57" t="n"/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  <c r="Z114" s="12" t="n"/>
      <c r="AA114" s="12" t="n"/>
      <c r="AB114" s="12" t="n"/>
      <c r="AC114" s="12" t="n"/>
      <c r="AD114" s="12" t="n"/>
      <c r="AE114" s="12" t="n"/>
      <c r="AF114" s="12" t="n"/>
      <c r="AG114" s="12" t="n"/>
      <c r="AH114" s="12" t="n"/>
      <c r="AI114" s="12" t="n"/>
      <c r="AJ114" s="12" t="n"/>
      <c r="AK114" s="12" t="n"/>
      <c r="AL114" s="12" t="n"/>
      <c r="AM114" s="12" t="n"/>
      <c r="AN114" s="12" t="n"/>
      <c r="AO114" s="12" t="n"/>
      <c r="AP114" s="12" t="n"/>
      <c r="AQ114" s="12" t="n"/>
      <c r="AR114" s="12" t="n"/>
      <c r="AS114" s="12" t="n"/>
      <c r="AT114" s="12" t="n"/>
      <c r="AU114" s="12" t="n"/>
      <c r="AV114" s="12" t="n"/>
      <c r="AW114" s="12" t="n"/>
      <c r="AX114" s="12" t="n"/>
      <c r="AY114" s="12" t="n"/>
      <c r="AZ114" s="12" t="n"/>
      <c r="BA114" s="12" t="n"/>
      <c r="BB114" s="12" t="n"/>
      <c r="BC114" s="12" t="n"/>
      <c r="BD114" s="12" t="n"/>
      <c r="BE114" s="12" t="n"/>
      <c r="BF114" s="12" t="n"/>
      <c r="BG114" s="12" t="n"/>
      <c r="BH114" s="12" t="n"/>
      <c r="BI114" s="12" t="n"/>
      <c r="BJ114" s="12" t="n"/>
      <c r="BK114" s="12" t="n"/>
      <c r="BL114" s="12" t="n"/>
      <c r="BM114" s="12" t="n"/>
      <c r="BN114" s="12" t="n"/>
      <c r="BO114" s="12" t="n"/>
      <c r="BP114" s="12" t="n"/>
      <c r="BQ114" s="12" t="n"/>
      <c r="BR114" s="12" t="n"/>
      <c r="BS114" s="12" t="n"/>
      <c r="BT114" s="12" t="n"/>
      <c r="BU114" s="12" t="n"/>
      <c r="BV114" s="12" t="n"/>
      <c r="BW114" s="12" t="n"/>
      <c r="BX114" s="12" t="n"/>
      <c r="BY114" s="12" t="n"/>
      <c r="BZ114" s="12" t="n"/>
      <c r="CA114" s="12" t="n"/>
      <c r="CB114" s="12" t="n"/>
      <c r="CC114" s="12" t="n"/>
      <c r="CD114" s="12" t="n"/>
      <c r="CE114" s="12" t="n"/>
      <c r="CF114" s="12" t="n"/>
      <c r="CG114" s="12" t="n"/>
      <c r="CH114" s="12" t="n"/>
      <c r="CI114" s="12" t="n"/>
      <c r="CJ114" s="12" t="n"/>
      <c r="CK114" s="12" t="n"/>
      <c r="CL114" s="12" t="n"/>
      <c r="CM114" s="12" t="n"/>
      <c r="CN114" s="12" t="n"/>
      <c r="CO114" s="12" t="n"/>
      <c r="CP114" s="12" t="n"/>
      <c r="CQ114" s="12" t="n"/>
      <c r="CR114" s="12" t="n"/>
      <c r="CS114" s="12" t="n"/>
      <c r="CT114" s="12" t="n"/>
      <c r="CU114" s="12" t="n"/>
      <c r="CV114" s="12" t="n"/>
      <c r="CW114" s="12" t="n"/>
      <c r="CX114" s="12" t="n"/>
      <c r="CY114" s="12" t="n"/>
    </row>
    <row r="115" collapsed="1">
      <c r="C115" s="14" t="inlineStr">
        <is>
          <t>Nonoperating Income / (Loss)</t>
        </is>
      </c>
      <c r="D115" s="46" t="n"/>
      <c r="E115" s="46" t="n"/>
      <c r="F115" s="46" t="n"/>
      <c r="G115" s="46" t="n"/>
      <c r="H115" s="12" t="n"/>
      <c r="I115" s="46">
        <f>'Inputs (2)'!D9</f>
        <v>-134</v>
      </c>
      <c r="J115" s="46">
        <f>'Inputs (2)'!E9</f>
        <v>-139</v>
      </c>
      <c r="K115" s="46">
        <f>'Inputs (2)'!F9</f>
        <v>-102</v>
      </c>
      <c r="L115" s="46">
        <f>'Inputs (2)'!G9</f>
        <v>-332</v>
      </c>
      <c r="M115" s="12">
        <f>'Inputs (2)'!H9</f>
        <v>-707</v>
      </c>
      <c r="N115" s="46">
        <f>'Inputs (2)'!I9</f>
        <v>-96</v>
      </c>
      <c r="O115" s="46">
        <f>'Inputs (2)'!J9</f>
        <v>-137</v>
      </c>
      <c r="P115" s="46">
        <f>'Inputs (2)'!K9</f>
        <v>-95</v>
      </c>
      <c r="Q115" s="46">
        <f>'Inputs (2)'!L9</f>
        <v>6</v>
      </c>
      <c r="R115" s="12">
        <f>'Inputs (2)'!M9</f>
        <v>-322</v>
      </c>
      <c r="S115" s="46">
        <f>'Inputs (2)'!N9</f>
        <v>-63</v>
      </c>
      <c r="T115" s="46">
        <f>'Inputs (2)'!O9</f>
        <v>-142</v>
      </c>
      <c r="U115" s="46">
        <f>'Inputs (2)'!P9</f>
        <v>-20</v>
      </c>
      <c r="V115" s="46">
        <f>'Inputs (2)'!Q9</f>
        <v>6</v>
      </c>
      <c r="W115" s="12">
        <f>'Inputs (2)'!R9</f>
        <v>-219</v>
      </c>
      <c r="X115" s="46">
        <f>'Inputs (2)'!S9</f>
        <v>40</v>
      </c>
      <c r="Y115" s="46">
        <f>'Inputs (2)'!T9</f>
        <v>-19</v>
      </c>
      <c r="Z115" s="46">
        <f>'Inputs (2)'!U9</f>
        <v>25</v>
      </c>
      <c r="AA115" s="46">
        <f>'Inputs (2)'!V9</f>
        <v>-3</v>
      </c>
      <c r="AB115" s="12">
        <f>'Inputs (2)'!W9</f>
        <v>43</v>
      </c>
      <c r="AC115" s="46">
        <f>'Inputs (2)'!X9</f>
        <v>-12</v>
      </c>
      <c r="AD115" s="46">
        <f>'Inputs (2)'!Y9</f>
        <v>-41</v>
      </c>
      <c r="AE115" s="46">
        <f>'Inputs (2)'!Z9</f>
        <v>-48</v>
      </c>
      <c r="AF115" s="46">
        <f>'Inputs (2)'!AA9</f>
        <v>-45</v>
      </c>
      <c r="AG115" s="12">
        <f>'Inputs (2)'!AB9</f>
        <v>-146</v>
      </c>
      <c r="AH115" s="12">
        <f>'Inputs (2)'!AC9</f>
        <v>-103</v>
      </c>
      <c r="AI115" s="12">
        <f>'Inputs (2)'!AD9</f>
        <v>-73</v>
      </c>
      <c r="AJ115" s="12">
        <f>AJ15*Control!$B$23</f>
        <v>-58.0452514426957</v>
      </c>
      <c r="AK115" s="12">
        <f>AK15*Control!$B$23</f>
        <v>-46.8974327849548</v>
      </c>
      <c r="AL115" s="12">
        <f>SUM(AH115:AK115)</f>
        <v>-280.94268422765</v>
      </c>
      <c r="AM115" s="12">
        <f>AM15*Control!$C$23</f>
        <v>-51.9010466858527</v>
      </c>
      <c r="AN115" s="12">
        <f>AN15*Control!$C$23</f>
        <v>-58.5198038426144</v>
      </c>
      <c r="AO115" s="12">
        <f>AO15*Control!$C$23</f>
        <v>-58.7979798978803</v>
      </c>
      <c r="AP115" s="12">
        <f>AP15*Control!$C$23</f>
        <v>-47.5055967820941</v>
      </c>
      <c r="AQ115" s="12">
        <f>SUM(AM115:AP115)</f>
        <v>-216.724427208442</v>
      </c>
      <c r="AR115" s="12">
        <f>AR15*Control!$D$23</f>
        <v>-52.3145921107167</v>
      </c>
      <c r="AS115" s="12">
        <f>AS15*Control!$D$23</f>
        <v>-58.9860872547687</v>
      </c>
      <c r="AT115" s="12">
        <f>AT15*Control!$D$23</f>
        <v>-59.2664798055064</v>
      </c>
      <c r="AU115" s="12">
        <f>AU15*Control!$D$23</f>
        <v>-47.8841194412532</v>
      </c>
      <c r="AV115" s="12">
        <f>SUM(AR115:AU115)</f>
        <v>-218.451278612245</v>
      </c>
      <c r="AW115" s="12">
        <f>AW15*Control!$E$23</f>
        <v>-52.4698596881193</v>
      </c>
      <c r="AX115" s="12">
        <f>AX15*Control!$E$23</f>
        <v>-59.1611555578746</v>
      </c>
      <c r="AY115" s="12">
        <f>AY15*Control!$E$23</f>
        <v>-59.442380302276</v>
      </c>
      <c r="AZ115" s="12">
        <f>AZ15*Control!$E$23</f>
        <v>-48.0262375563283</v>
      </c>
      <c r="BA115" s="12">
        <f>SUM(AW115:AZ115)</f>
        <v>-219.099633104598</v>
      </c>
      <c r="BB115" s="12">
        <f>BB15*Control!$F$23</f>
        <v>-52.4698596881193</v>
      </c>
      <c r="BC115" s="12">
        <f>BC15*Control!$F$23</f>
        <v>-59.1611555578746</v>
      </c>
      <c r="BD115" s="12">
        <f>BD15*Control!$F$23</f>
        <v>-59.442380302276</v>
      </c>
      <c r="BE115" s="12">
        <f>BE15*Control!$F$23</f>
        <v>-48.0262375563283</v>
      </c>
      <c r="BF115" s="12">
        <f>SUM(BB115:BE115)</f>
        <v>-219.099633104598</v>
      </c>
      <c r="BG115" s="12" t="n"/>
      <c r="BH115" s="12" t="n"/>
      <c r="BI115" s="12" t="n"/>
      <c r="BJ115" s="12" t="n"/>
      <c r="BK115" s="12" t="n"/>
      <c r="BL115" s="12" t="n"/>
      <c r="BM115" s="12" t="n"/>
      <c r="BN115" s="12" t="n"/>
      <c r="BO115" s="12" t="n"/>
      <c r="BP115" s="12" t="n"/>
      <c r="BQ115" s="12" t="n"/>
      <c r="BR115" s="12" t="n"/>
      <c r="BS115" s="12" t="n"/>
      <c r="BT115" s="12" t="n"/>
      <c r="BU115" s="12" t="n"/>
      <c r="BV115" s="12" t="n"/>
      <c r="BW115" s="12" t="n"/>
      <c r="BX115" s="12" t="n"/>
      <c r="BY115" s="12" t="n"/>
      <c r="BZ115" s="12" t="n"/>
      <c r="CA115" s="12" t="n"/>
      <c r="CB115" s="12" t="n"/>
      <c r="CC115" s="12" t="n"/>
      <c r="CD115" s="12" t="n"/>
      <c r="CE115" s="12" t="n"/>
      <c r="CF115" s="12" t="n"/>
      <c r="CG115" s="12" t="n"/>
      <c r="CH115" s="12" t="n"/>
      <c r="CI115" s="12" t="n"/>
      <c r="CJ115" s="12" t="n"/>
      <c r="CK115" s="12" t="n"/>
      <c r="CL115" s="12" t="n"/>
      <c r="CM115" s="12" t="n"/>
      <c r="CN115" s="12" t="n"/>
      <c r="CO115" s="12" t="n"/>
      <c r="CP115" s="12" t="n"/>
      <c r="CQ115" s="12" t="n"/>
      <c r="CR115" s="12" t="n"/>
      <c r="CS115" s="12" t="n"/>
      <c r="CT115" s="12" t="n"/>
      <c r="CU115" s="12" t="n"/>
      <c r="CV115" s="12" t="n"/>
      <c r="CW115" s="12" t="n"/>
      <c r="CX115" s="12" t="n"/>
      <c r="CY115" s="12" t="n"/>
    </row>
    <row r="116" hidden="1" outlineLevel="1">
      <c r="C116" s="57" t="n"/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  <c r="Z116" s="12" t="n"/>
      <c r="AA116" s="12" t="n"/>
      <c r="AB116" s="12" t="n"/>
      <c r="AC116" s="12" t="n"/>
      <c r="AD116" s="12" t="n"/>
      <c r="AE116" s="12" t="n"/>
      <c r="AF116" s="12" t="n"/>
      <c r="AG116" s="12" t="n"/>
      <c r="AH116" s="12" t="n"/>
      <c r="AI116" s="12" t="n"/>
      <c r="AJ116" s="12" t="n"/>
      <c r="AK116" s="12" t="n"/>
      <c r="AL116" s="12" t="n"/>
      <c r="AM116" s="12" t="n"/>
      <c r="AN116" s="12" t="n"/>
      <c r="AO116" s="12" t="n"/>
      <c r="AP116" s="12" t="n"/>
      <c r="AQ116" s="12" t="n"/>
      <c r="AR116" s="12" t="n"/>
      <c r="AS116" s="12" t="n"/>
      <c r="AT116" s="12" t="n"/>
      <c r="AU116" s="12" t="n"/>
      <c r="AV116" s="12" t="n"/>
      <c r="AW116" s="12" t="n"/>
      <c r="AX116" s="12" t="n"/>
      <c r="AY116" s="12" t="n"/>
      <c r="AZ116" s="12" t="n"/>
      <c r="BA116" s="12" t="n"/>
      <c r="BB116" s="12" t="n"/>
      <c r="BC116" s="12" t="n"/>
      <c r="BD116" s="12" t="n"/>
      <c r="BE116" s="12" t="n"/>
      <c r="BF116" s="12" t="n"/>
      <c r="BG116" s="12" t="n"/>
      <c r="BH116" s="12" t="n"/>
      <c r="BI116" s="12" t="n"/>
      <c r="BJ116" s="12" t="n"/>
      <c r="BK116" s="12" t="n"/>
      <c r="BL116" s="12" t="n"/>
      <c r="BM116" s="12" t="n"/>
      <c r="BN116" s="12" t="n"/>
      <c r="BO116" s="12" t="n"/>
      <c r="BP116" s="12" t="n"/>
      <c r="BQ116" s="12" t="n"/>
      <c r="BR116" s="12" t="n"/>
      <c r="BS116" s="12" t="n"/>
      <c r="BT116" s="12" t="n"/>
      <c r="BU116" s="12" t="n"/>
      <c r="BV116" s="12" t="n"/>
      <c r="BW116" s="12" t="n"/>
      <c r="BX116" s="12" t="n"/>
      <c r="BY116" s="12" t="n"/>
      <c r="BZ116" s="12" t="n"/>
      <c r="CA116" s="12" t="n"/>
      <c r="CB116" s="12" t="n"/>
      <c r="CC116" s="12" t="n"/>
      <c r="CD116" s="12" t="n"/>
      <c r="CE116" s="12" t="n"/>
      <c r="CF116" s="12" t="n"/>
      <c r="CG116" s="12" t="n"/>
      <c r="CH116" s="12" t="n"/>
      <c r="CI116" s="12" t="n"/>
      <c r="CJ116" s="12" t="n"/>
      <c r="CK116" s="12" t="n"/>
      <c r="CL116" s="12" t="n"/>
      <c r="CM116" s="12" t="n"/>
      <c r="CN116" s="12" t="n"/>
      <c r="CO116" s="12" t="n"/>
      <c r="CP116" s="12" t="n"/>
      <c r="CQ116" s="12" t="n"/>
      <c r="CR116" s="12" t="n"/>
      <c r="CS116" s="12" t="n"/>
      <c r="CT116" s="12" t="n"/>
      <c r="CU116" s="12" t="n"/>
      <c r="CV116" s="12" t="n"/>
      <c r="CW116" s="12" t="n"/>
      <c r="CX116" s="12" t="n"/>
      <c r="CY116" s="12" t="n"/>
    </row>
    <row r="117" hidden="1" outlineLevel="1">
      <c r="C117" s="50" t="inlineStr">
        <is>
          <t>Resultado Não Recorrente</t>
        </is>
      </c>
      <c r="D117" s="11" t="n"/>
      <c r="E117" s="11" t="n"/>
      <c r="F117" s="11" t="n"/>
      <c r="G117" s="11" t="n"/>
      <c r="H117" s="12" t="n"/>
      <c r="I117" s="11" t="n"/>
      <c r="J117" s="11" t="n"/>
      <c r="K117" s="11" t="n"/>
      <c r="L117" s="11" t="n"/>
      <c r="M117" s="12" t="n"/>
      <c r="N117" s="11" t="n"/>
      <c r="O117" s="11" t="n"/>
      <c r="P117" s="11" t="n"/>
      <c r="Q117" s="11" t="n"/>
      <c r="R117" s="12" t="n"/>
      <c r="S117" s="11" t="n"/>
      <c r="T117" s="11" t="n"/>
      <c r="U117" s="11" t="n"/>
      <c r="V117" s="11" t="n"/>
      <c r="W117" s="12" t="n"/>
      <c r="X117" s="11" t="n"/>
      <c r="Y117" s="11" t="n"/>
      <c r="Z117" s="11" t="n"/>
      <c r="AA117" s="11" t="n"/>
      <c r="AB117" s="12" t="n"/>
      <c r="AC117" s="11" t="n"/>
      <c r="AD117" s="11" t="n"/>
      <c r="AE117" s="11" t="n"/>
      <c r="AF117" s="11" t="n"/>
      <c r="AG117" s="12" t="n"/>
      <c r="AH117" s="12" t="n"/>
      <c r="AI117" s="12" t="n"/>
      <c r="AJ117" s="12" t="n"/>
      <c r="AK117" s="12" t="n"/>
      <c r="AL117" s="12" t="n"/>
      <c r="AM117" s="12" t="n"/>
      <c r="AN117" s="12" t="n"/>
      <c r="AO117" s="12" t="n"/>
      <c r="AP117" s="12" t="n"/>
      <c r="AQ117" s="12" t="n"/>
      <c r="AR117" s="12" t="n"/>
      <c r="AS117" s="12" t="n"/>
      <c r="AT117" s="12" t="n"/>
      <c r="AU117" s="12" t="n"/>
      <c r="AV117" s="12" t="n"/>
      <c r="AW117" s="12" t="n"/>
      <c r="AX117" s="12" t="n"/>
      <c r="AY117" s="12" t="n"/>
      <c r="AZ117" s="12" t="n"/>
      <c r="BA117" s="12" t="n"/>
      <c r="BB117" s="12" t="n"/>
      <c r="BC117" s="12" t="n"/>
      <c r="BD117" s="12" t="n"/>
      <c r="BE117" s="12" t="n"/>
      <c r="BF117" s="12" t="n"/>
      <c r="BG117" s="12" t="n"/>
      <c r="BH117" s="12" t="n"/>
      <c r="BI117" s="12" t="n"/>
      <c r="BJ117" s="12" t="n"/>
      <c r="BK117" s="12" t="n"/>
      <c r="BL117" s="12" t="n"/>
      <c r="BM117" s="12" t="n"/>
      <c r="BN117" s="12" t="n"/>
      <c r="BO117" s="12" t="n"/>
      <c r="BP117" s="12" t="n"/>
      <c r="BQ117" s="12" t="n"/>
      <c r="BR117" s="12" t="n"/>
      <c r="BS117" s="12" t="n"/>
      <c r="BT117" s="12" t="n"/>
      <c r="BU117" s="12" t="n"/>
      <c r="BV117" s="12" t="n"/>
      <c r="BW117" s="12" t="n"/>
      <c r="BX117" s="12" t="n"/>
      <c r="BY117" s="12" t="n"/>
      <c r="BZ117" s="12" t="n"/>
      <c r="CA117" s="12" t="n"/>
      <c r="CB117" s="12" t="n"/>
      <c r="CC117" s="12" t="n"/>
      <c r="CD117" s="12" t="n"/>
      <c r="CE117" s="12" t="n"/>
      <c r="CF117" s="12" t="n"/>
      <c r="CG117" s="12" t="n"/>
      <c r="CH117" s="12" t="n"/>
      <c r="CI117" s="12" t="n"/>
      <c r="CJ117" s="12" t="n"/>
      <c r="CK117" s="12" t="n"/>
      <c r="CL117" s="12" t="n"/>
      <c r="CM117" s="12" t="n"/>
      <c r="CN117" s="12" t="n"/>
      <c r="CO117" s="12" t="n"/>
      <c r="CP117" s="12" t="n"/>
      <c r="CQ117" s="12" t="n"/>
      <c r="CR117" s="12" t="n"/>
      <c r="CS117" s="12" t="n"/>
      <c r="CT117" s="12" t="n"/>
      <c r="CU117" s="12" t="n"/>
      <c r="CV117" s="12" t="n"/>
      <c r="CW117" s="12" t="n"/>
      <c r="CX117" s="12" t="n"/>
      <c r="CY117" s="12" t="n"/>
    </row>
    <row r="118" hidden="1" outlineLevel="1">
      <c r="C118" s="50" t="inlineStr">
        <is>
          <t>Plano de Opção de Compra de Ações</t>
        </is>
      </c>
      <c r="D118" s="11" t="n"/>
      <c r="E118" s="11" t="n"/>
      <c r="F118" s="11" t="n"/>
      <c r="G118" s="11" t="n"/>
      <c r="H118" s="12" t="n"/>
      <c r="I118" s="11" t="n"/>
      <c r="J118" s="11" t="n"/>
      <c r="K118" s="11" t="n"/>
      <c r="L118" s="11" t="n"/>
      <c r="M118" s="12" t="n"/>
      <c r="N118" s="11" t="n"/>
      <c r="O118" s="11" t="n"/>
      <c r="P118" s="11" t="n"/>
      <c r="Q118" s="11" t="n"/>
      <c r="R118" s="12" t="n"/>
      <c r="S118" s="11" t="n"/>
      <c r="T118" s="11" t="n"/>
      <c r="U118" s="11" t="n"/>
      <c r="V118" s="11" t="n"/>
      <c r="W118" s="12" t="n"/>
      <c r="X118" s="11" t="n"/>
      <c r="Y118" s="11" t="n"/>
      <c r="Z118" s="11" t="n"/>
      <c r="AA118" s="11" t="n"/>
      <c r="AB118" s="12" t="n"/>
      <c r="AC118" s="11" t="n"/>
      <c r="AD118" s="11" t="n"/>
      <c r="AE118" s="11" t="n"/>
      <c r="AF118" s="11" t="n"/>
      <c r="AG118" s="12" t="n"/>
      <c r="AH118" s="12" t="n"/>
      <c r="AI118" s="12" t="n"/>
      <c r="AJ118" s="12" t="n"/>
      <c r="AK118" s="12" t="n"/>
      <c r="AL118" s="12" t="n"/>
      <c r="AM118" s="12" t="n"/>
      <c r="AN118" s="12" t="n"/>
      <c r="AO118" s="12" t="n"/>
      <c r="AP118" s="12" t="n"/>
      <c r="AQ118" s="12" t="n"/>
      <c r="AR118" s="12" t="n"/>
      <c r="AS118" s="12" t="n"/>
      <c r="AT118" s="12" t="n"/>
      <c r="AU118" s="12" t="n"/>
      <c r="AV118" s="12" t="n"/>
      <c r="AW118" s="12" t="n"/>
      <c r="AX118" s="12" t="n"/>
      <c r="AY118" s="12" t="n"/>
      <c r="AZ118" s="12" t="n"/>
      <c r="BA118" s="12" t="n"/>
      <c r="BB118" s="12" t="n"/>
      <c r="BC118" s="12" t="n"/>
      <c r="BD118" s="12" t="n"/>
      <c r="BE118" s="12" t="n"/>
      <c r="BF118" s="12" t="n"/>
      <c r="BG118" s="12" t="n"/>
      <c r="BH118" s="12" t="n"/>
      <c r="BI118" s="12" t="n"/>
      <c r="BJ118" s="12" t="n"/>
      <c r="BK118" s="12" t="n"/>
      <c r="BL118" s="12" t="n"/>
      <c r="BM118" s="12" t="n"/>
      <c r="BN118" s="12" t="n"/>
      <c r="BO118" s="12" t="n"/>
      <c r="BP118" s="12" t="n"/>
      <c r="BQ118" s="12" t="n"/>
      <c r="BR118" s="12" t="n"/>
      <c r="BS118" s="12" t="n"/>
      <c r="BT118" s="12" t="n"/>
      <c r="BU118" s="12" t="n"/>
      <c r="BV118" s="12" t="n"/>
      <c r="BW118" s="12" t="n"/>
      <c r="BX118" s="12" t="n"/>
      <c r="BY118" s="12" t="n"/>
      <c r="BZ118" s="12" t="n"/>
      <c r="CA118" s="12" t="n"/>
      <c r="CB118" s="12" t="n"/>
      <c r="CC118" s="12" t="n"/>
      <c r="CD118" s="12" t="n"/>
      <c r="CE118" s="12" t="n"/>
      <c r="CF118" s="12" t="n"/>
      <c r="CG118" s="12" t="n"/>
      <c r="CH118" s="12" t="n"/>
      <c r="CI118" s="12" t="n"/>
      <c r="CJ118" s="12" t="n"/>
      <c r="CK118" s="12" t="n"/>
      <c r="CL118" s="12" t="n"/>
      <c r="CM118" s="12" t="n"/>
      <c r="CN118" s="12" t="n"/>
      <c r="CO118" s="12" t="n"/>
      <c r="CP118" s="12" t="n"/>
      <c r="CQ118" s="12" t="n"/>
      <c r="CR118" s="12" t="n"/>
      <c r="CS118" s="12" t="n"/>
      <c r="CT118" s="12" t="n"/>
      <c r="CU118" s="12" t="n"/>
      <c r="CV118" s="12" t="n"/>
      <c r="CW118" s="12" t="n"/>
      <c r="CX118" s="12" t="n"/>
      <c r="CY118" s="12" t="n"/>
    </row>
    <row r="119" hidden="1" outlineLevel="1">
      <c r="C119" s="50" t="inlineStr">
        <is>
          <t>Baixa Imobilizado</t>
        </is>
      </c>
      <c r="D119" s="11" t="n"/>
      <c r="E119" s="11" t="n"/>
      <c r="F119" s="11" t="n"/>
      <c r="G119" s="11" t="n"/>
      <c r="H119" s="12" t="n"/>
      <c r="I119" s="11" t="n"/>
      <c r="J119" s="11" t="n"/>
      <c r="K119" s="11" t="n"/>
      <c r="L119" s="11" t="n"/>
      <c r="M119" s="12" t="n"/>
      <c r="N119" s="11" t="n"/>
      <c r="O119" s="11" t="n"/>
      <c r="P119" s="11" t="n"/>
      <c r="Q119" s="11" t="n"/>
      <c r="R119" s="12" t="n"/>
      <c r="S119" s="11" t="n"/>
      <c r="T119" s="11" t="n"/>
      <c r="U119" s="11" t="n"/>
      <c r="V119" s="11" t="n"/>
      <c r="W119" s="12" t="n"/>
      <c r="X119" s="11" t="n"/>
      <c r="Y119" s="11" t="n"/>
      <c r="Z119" s="11" t="n"/>
      <c r="AA119" s="11" t="n"/>
      <c r="AB119" s="12" t="n"/>
      <c r="AC119" s="11" t="n"/>
      <c r="AD119" s="11" t="n"/>
      <c r="AE119" s="11" t="n"/>
      <c r="AF119" s="11" t="n"/>
      <c r="AG119" s="12" t="n"/>
      <c r="AH119" s="12" t="n"/>
      <c r="AI119" s="12" t="n"/>
      <c r="AJ119" s="12" t="n"/>
      <c r="AK119" s="12" t="n"/>
      <c r="AL119" s="12" t="n"/>
      <c r="AM119" s="12" t="n"/>
      <c r="AN119" s="12" t="n"/>
      <c r="AO119" s="12" t="n"/>
      <c r="AP119" s="12" t="n"/>
      <c r="AQ119" s="12" t="n"/>
      <c r="AR119" s="12" t="n"/>
      <c r="AS119" s="12" t="n"/>
      <c r="AT119" s="12" t="n"/>
      <c r="AU119" s="12" t="n"/>
      <c r="AV119" s="12" t="n"/>
      <c r="AW119" s="12" t="n"/>
      <c r="AX119" s="12" t="n"/>
      <c r="AY119" s="12" t="n"/>
      <c r="AZ119" s="12" t="n"/>
      <c r="BA119" s="12" t="n"/>
      <c r="BB119" s="12" t="n"/>
      <c r="BC119" s="12" t="n"/>
      <c r="BD119" s="12" t="n"/>
      <c r="BE119" s="12" t="n"/>
      <c r="BF119" s="12" t="n"/>
      <c r="BG119" s="12" t="n"/>
      <c r="BH119" s="12" t="n"/>
      <c r="BI119" s="12" t="n"/>
      <c r="BJ119" s="12" t="n"/>
      <c r="BK119" s="12" t="n"/>
      <c r="BL119" s="12" t="n"/>
      <c r="BM119" s="12" t="n"/>
      <c r="BN119" s="12" t="n"/>
      <c r="BO119" s="12" t="n"/>
      <c r="BP119" s="12" t="n"/>
      <c r="BQ119" s="12" t="n"/>
      <c r="BR119" s="12" t="n"/>
      <c r="BS119" s="12" t="n"/>
      <c r="BT119" s="12" t="n"/>
      <c r="BU119" s="12" t="n"/>
      <c r="BV119" s="12" t="n"/>
      <c r="BW119" s="12" t="n"/>
      <c r="BX119" s="12" t="n"/>
      <c r="BY119" s="12" t="n"/>
      <c r="BZ119" s="12" t="n"/>
      <c r="CA119" s="12" t="n"/>
      <c r="CB119" s="12" t="n"/>
      <c r="CC119" s="12" t="n"/>
      <c r="CD119" s="12" t="n"/>
      <c r="CE119" s="12" t="n"/>
      <c r="CF119" s="12" t="n"/>
      <c r="CG119" s="12" t="n"/>
      <c r="CH119" s="12" t="n"/>
      <c r="CI119" s="12" t="n"/>
      <c r="CJ119" s="12" t="n"/>
      <c r="CK119" s="12" t="n"/>
      <c r="CL119" s="12" t="n"/>
      <c r="CM119" s="12" t="n"/>
      <c r="CN119" s="12" t="n"/>
      <c r="CO119" s="12" t="n"/>
      <c r="CP119" s="12" t="n"/>
      <c r="CQ119" s="12" t="n"/>
      <c r="CR119" s="12" t="n"/>
      <c r="CS119" s="12" t="n"/>
      <c r="CT119" s="12" t="n"/>
      <c r="CU119" s="12" t="n"/>
      <c r="CV119" s="12" t="n"/>
      <c r="CW119" s="12" t="n"/>
      <c r="CX119" s="12" t="n"/>
      <c r="CY119" s="12" t="n"/>
    </row>
    <row r="120" hidden="1" outlineLevel="1">
      <c r="C120" s="57" t="n"/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2" t="n"/>
      <c r="S120" s="12" t="n"/>
      <c r="T120" s="12" t="n"/>
      <c r="U120" s="12" t="n"/>
      <c r="V120" s="12" t="n"/>
      <c r="W120" s="12" t="n"/>
      <c r="X120" s="12" t="n"/>
      <c r="Y120" s="12" t="n"/>
      <c r="Z120" s="12" t="n"/>
      <c r="AA120" s="12" t="n"/>
      <c r="AB120" s="12" t="n"/>
      <c r="AC120" s="12" t="n"/>
      <c r="AD120" s="12" t="n"/>
      <c r="AE120" s="12" t="n"/>
      <c r="AF120" s="12" t="n"/>
      <c r="AG120" s="12" t="n"/>
      <c r="AH120" s="12" t="n"/>
      <c r="AI120" s="12" t="n"/>
      <c r="AJ120" s="12" t="n"/>
      <c r="AK120" s="12" t="n"/>
      <c r="AL120" s="12" t="n"/>
      <c r="AM120" s="12" t="n"/>
      <c r="AN120" s="12" t="n"/>
      <c r="AO120" s="12" t="n"/>
      <c r="AP120" s="12" t="n"/>
      <c r="AQ120" s="12" t="n"/>
      <c r="AR120" s="12" t="n"/>
      <c r="AS120" s="12" t="n"/>
      <c r="AT120" s="12" t="n"/>
      <c r="AU120" s="12" t="n"/>
      <c r="AV120" s="12" t="n"/>
      <c r="AW120" s="12" t="n"/>
      <c r="AX120" s="12" t="n"/>
      <c r="AY120" s="12" t="n"/>
      <c r="AZ120" s="12" t="n"/>
      <c r="BA120" s="12" t="n"/>
      <c r="BB120" s="12" t="n"/>
      <c r="BC120" s="12" t="n"/>
      <c r="BD120" s="12" t="n"/>
      <c r="BE120" s="12" t="n"/>
      <c r="BF120" s="12" t="n"/>
      <c r="BG120" s="12" t="n"/>
      <c r="BH120" s="12" t="n"/>
      <c r="BI120" s="12" t="n"/>
      <c r="BJ120" s="12" t="n"/>
      <c r="BK120" s="12" t="n"/>
      <c r="BL120" s="12" t="n"/>
      <c r="BM120" s="12" t="n"/>
      <c r="BN120" s="12" t="n"/>
      <c r="BO120" s="12" t="n"/>
      <c r="BP120" s="12" t="n"/>
      <c r="BQ120" s="12" t="n"/>
      <c r="BR120" s="12" t="n"/>
      <c r="BS120" s="12" t="n"/>
      <c r="BT120" s="12" t="n"/>
      <c r="BU120" s="12" t="n"/>
      <c r="BV120" s="12" t="n"/>
      <c r="BW120" s="12" t="n"/>
      <c r="BX120" s="12" t="n"/>
      <c r="BY120" s="12" t="n"/>
      <c r="BZ120" s="12" t="n"/>
      <c r="CA120" s="12" t="n"/>
      <c r="CB120" s="12" t="n"/>
      <c r="CC120" s="12" t="n"/>
      <c r="CD120" s="12" t="n"/>
      <c r="CE120" s="12" t="n"/>
      <c r="CF120" s="12" t="n"/>
      <c r="CG120" s="12" t="n"/>
      <c r="CH120" s="12" t="n"/>
      <c r="CI120" s="12" t="n"/>
      <c r="CJ120" s="12" t="n"/>
      <c r="CK120" s="12" t="n"/>
      <c r="CL120" s="12" t="n"/>
      <c r="CM120" s="12" t="n"/>
      <c r="CN120" s="12" t="n"/>
      <c r="CO120" s="12" t="n"/>
      <c r="CP120" s="12" t="n"/>
      <c r="CQ120" s="12" t="n"/>
      <c r="CR120" s="12" t="n"/>
      <c r="CS120" s="12" t="n"/>
      <c r="CT120" s="12" t="n"/>
      <c r="CU120" s="12" t="n"/>
      <c r="CV120" s="12" t="n"/>
      <c r="CW120" s="12" t="n"/>
      <c r="CX120" s="12" t="n"/>
      <c r="CY120" s="12" t="n"/>
    </row>
    <row r="121" hidden="1" outlineLevel="1">
      <c r="C121" s="57" t="n"/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  <c r="P121" s="12" t="n"/>
      <c r="Q121" s="12" t="n"/>
      <c r="R121" s="12" t="n"/>
      <c r="S121" s="12" t="n"/>
      <c r="T121" s="12" t="n"/>
      <c r="U121" s="12" t="n"/>
      <c r="V121" s="12" t="n"/>
      <c r="W121" s="12" t="n"/>
      <c r="X121" s="12" t="n"/>
      <c r="Y121" s="12" t="n"/>
      <c r="Z121" s="12" t="n"/>
      <c r="AA121" s="12" t="n"/>
      <c r="AB121" s="12" t="n"/>
      <c r="AC121" s="12" t="n"/>
      <c r="AD121" s="12" t="n"/>
      <c r="AE121" s="12" t="n"/>
      <c r="AF121" s="12" t="n"/>
      <c r="AG121" s="12" t="n"/>
      <c r="AH121" s="12" t="n"/>
      <c r="AI121" s="12" t="n"/>
      <c r="AJ121" s="12" t="n"/>
      <c r="AK121" s="12" t="n"/>
      <c r="AL121" s="12" t="n"/>
      <c r="AM121" s="12" t="n"/>
      <c r="AN121" s="12" t="n"/>
      <c r="AO121" s="12" t="n"/>
      <c r="AP121" s="12" t="n"/>
      <c r="AQ121" s="12" t="n"/>
      <c r="AR121" s="12" t="n"/>
      <c r="AS121" s="12" t="n"/>
      <c r="AT121" s="12" t="n"/>
      <c r="AU121" s="12" t="n"/>
      <c r="AV121" s="12" t="n"/>
      <c r="AW121" s="12" t="n"/>
      <c r="AX121" s="12" t="n"/>
      <c r="AY121" s="12" t="n"/>
      <c r="AZ121" s="12" t="n"/>
      <c r="BA121" s="12" t="n"/>
      <c r="BB121" s="12" t="n"/>
      <c r="BC121" s="12" t="n"/>
      <c r="BD121" s="12" t="n"/>
      <c r="BE121" s="12" t="n"/>
      <c r="BF121" s="12" t="n"/>
      <c r="BG121" s="12" t="n"/>
      <c r="BH121" s="12" t="n"/>
      <c r="BI121" s="12" t="n"/>
      <c r="BJ121" s="12" t="n"/>
      <c r="BK121" s="12" t="n"/>
      <c r="BL121" s="12" t="n"/>
      <c r="BM121" s="12" t="n"/>
      <c r="BN121" s="12" t="n"/>
      <c r="BO121" s="12" t="n"/>
      <c r="BP121" s="12" t="n"/>
      <c r="BQ121" s="12" t="n"/>
      <c r="BR121" s="12" t="n"/>
      <c r="BS121" s="12" t="n"/>
      <c r="BT121" s="12" t="n"/>
      <c r="BU121" s="12" t="n"/>
      <c r="BV121" s="12" t="n"/>
      <c r="BW121" s="12" t="n"/>
      <c r="BX121" s="12" t="n"/>
      <c r="BY121" s="12" t="n"/>
      <c r="BZ121" s="12" t="n"/>
      <c r="CA121" s="12" t="n"/>
      <c r="CB121" s="12" t="n"/>
      <c r="CC121" s="12" t="n"/>
      <c r="CD121" s="12" t="n"/>
      <c r="CE121" s="12" t="n"/>
      <c r="CF121" s="12" t="n"/>
      <c r="CG121" s="12" t="n"/>
      <c r="CH121" s="12" t="n"/>
      <c r="CI121" s="12" t="n"/>
      <c r="CJ121" s="12" t="n"/>
      <c r="CK121" s="12" t="n"/>
      <c r="CL121" s="12" t="n"/>
      <c r="CM121" s="12" t="n"/>
      <c r="CN121" s="12" t="n"/>
      <c r="CO121" s="12" t="n"/>
      <c r="CP121" s="12" t="n"/>
      <c r="CQ121" s="12" t="n"/>
      <c r="CR121" s="12" t="n"/>
      <c r="CS121" s="12" t="n"/>
      <c r="CT121" s="12" t="n"/>
      <c r="CU121" s="12" t="n"/>
      <c r="CV121" s="12" t="n"/>
      <c r="CW121" s="12" t="n"/>
      <c r="CX121" s="12" t="n"/>
      <c r="CY121" s="12" t="n"/>
    </row>
    <row r="122" collapsed="1" customFormat="1" s="32">
      <c r="A122" s="30" t="n"/>
      <c r="B122" s="3" t="n"/>
      <c r="C122" s="33" t="inlineStr">
        <is>
          <t>Pretax Income - EBT</t>
        </is>
      </c>
      <c r="D122" s="35" t="n"/>
      <c r="E122" s="35" t="n"/>
      <c r="F122" s="35" t="n"/>
      <c r="G122" s="35" t="n"/>
      <c r="H122" s="35" t="n"/>
      <c r="I122" s="35">
        <f>SUM(I65,I66,I115)</f>
        <v>1398</v>
      </c>
      <c r="J122" s="35">
        <f>SUM(J65,J66,J115)</f>
        <v>1928</v>
      </c>
      <c r="K122" s="35">
        <f>SUM(K65,K66,K115)</f>
        <v>2360</v>
      </c>
      <c r="L122" s="35">
        <f>SUM(L65,L66,L115)</f>
        <v>1973</v>
      </c>
      <c r="M122" s="35">
        <f>SUM(I122:L122)</f>
        <v>7659</v>
      </c>
      <c r="N122" s="35">
        <f>SUM(N65,N66,N115)</f>
        <v>2713</v>
      </c>
      <c r="O122" s="35">
        <f>SUM(O65,O66,O115)</f>
        <v>1599</v>
      </c>
      <c r="P122" s="35">
        <f>SUM(P65,P66,P115)</f>
        <v>867</v>
      </c>
      <c r="Q122" s="35">
        <f>SUM(Q65,Q66,Q115)</f>
        <v>1536</v>
      </c>
      <c r="R122" s="35">
        <f>SUM(N122:Q122)</f>
        <v>6715</v>
      </c>
      <c r="S122" s="35">
        <f>SUM(S65,S66,S115)</f>
        <v>1538</v>
      </c>
      <c r="T122" s="35">
        <f>SUM(T65,T66,T115)</f>
        <v>1268</v>
      </c>
      <c r="U122" s="35">
        <f>SUM(U65,U66,U115)</f>
        <v>1472</v>
      </c>
      <c r="V122" s="35">
        <f>SUM(V65,V66,V115)</f>
        <v>1728</v>
      </c>
      <c r="W122" s="35">
        <f>SUM(S122:V122)</f>
        <v>6006</v>
      </c>
      <c r="X122" s="35">
        <f>SUM(X65,X66,X115)</f>
        <v>1674</v>
      </c>
      <c r="Y122" s="35">
        <f>SUM(Y65,Y66,Y115)</f>
        <v>2030</v>
      </c>
      <c r="Z122" s="35">
        <f>SUM(Z65,Z66,Z115)</f>
        <v>1963</v>
      </c>
      <c r="AA122" s="35">
        <f>SUM(AA65,AA66,AA115)</f>
        <v>1240</v>
      </c>
      <c r="AB122" s="35">
        <f>SUM(X122:AA122)</f>
        <v>6907</v>
      </c>
      <c r="AC122" s="35">
        <f>SUM(AC65,AC66,AC115)</f>
        <v>1291</v>
      </c>
      <c r="AD122" s="35">
        <f>SUM(AD65,AD66,AD115)</f>
        <v>2391</v>
      </c>
      <c r="AE122" s="35">
        <f>SUM(AE65,AE66,AE115)</f>
        <v>1924</v>
      </c>
      <c r="AF122" s="35">
        <f>SUM(AF65,AF66,AF115)</f>
        <v>766</v>
      </c>
      <c r="AG122" s="35">
        <f>SUM(AC122:AF122)</f>
        <v>6372</v>
      </c>
      <c r="AH122" s="35">
        <f>SUM(AH65,AH66,AH115)</f>
        <v>2034</v>
      </c>
      <c r="AI122" s="35">
        <f>SUM(AI65,AI66,AI115)</f>
        <v>1930</v>
      </c>
      <c r="AJ122" s="35">
        <f>SUM(AJ65,AJ66,AJ115:AJ120)</f>
        <v>1828.58092203544</v>
      </c>
      <c r="AK122" s="35">
        <f>SUM(AK65,AK66,AK115:AK120)</f>
        <v>1477.39476962502</v>
      </c>
      <c r="AL122" s="35">
        <f>SUM(AH122:AK122)</f>
        <v>7269.97569166045</v>
      </c>
      <c r="AM122" s="35">
        <f>SUM(AM65,AM66,AM115:AM120)</f>
        <v>1635.02201204373</v>
      </c>
      <c r="AN122" s="35">
        <f>SUM(AN65,AN66,AN115:AN120)</f>
        <v>1843.53059394536</v>
      </c>
      <c r="AO122" s="35">
        <f>SUM(AO65,AO66,AO115:AO120)</f>
        <v>1852.29388491204</v>
      </c>
      <c r="AP122" s="35">
        <f>SUM(AP65,AP66,AP115:AP120)</f>
        <v>1496.55356478909</v>
      </c>
      <c r="AQ122" s="35">
        <f>SUM(AM122:AP122)</f>
        <v>6827.40005569023</v>
      </c>
      <c r="AR122" s="35">
        <f>SUM(AR65,AR66,AR115:AR120)</f>
        <v>1648.04980080347</v>
      </c>
      <c r="AS122" s="35">
        <f>SUM(AS65,AS66,AS115:AS120)</f>
        <v>1858.21977058832</v>
      </c>
      <c r="AT122" s="35">
        <f>SUM(AT65,AT66,AT115:AT120)</f>
        <v>1867.05288710029</v>
      </c>
      <c r="AU122" s="35">
        <f>SUM(AU65,AU66,AU115:AU120)</f>
        <v>1508.47804260412</v>
      </c>
      <c r="AV122" s="35">
        <f>SUM(AR122:AU122)</f>
        <v>6881.80050109622</v>
      </c>
      <c r="AW122" s="35">
        <f>SUM(AW65,AW66,AW115:AW120)</f>
        <v>1652.94114544911</v>
      </c>
      <c r="AX122" s="35">
        <f>SUM(AX65,AX66,AX115:AX120)</f>
        <v>1863.73489113921</v>
      </c>
      <c r="AY122" s="35">
        <f>SUM(AY65,AY66,AY115:AY120)</f>
        <v>1872.594223981</v>
      </c>
      <c r="AZ122" s="35">
        <f>SUM(AZ65,AZ66,AZ115:AZ120)</f>
        <v>1512.95514395941</v>
      </c>
      <c r="BA122" s="35">
        <f>SUM(AW122:AZ122)</f>
        <v>6902.22540452873</v>
      </c>
      <c r="BB122" s="35">
        <f>SUM(BB65,BB66,BB115:BB120)</f>
        <v>1652.94114544911</v>
      </c>
      <c r="BC122" s="35">
        <f>SUM(BC65,BC66,BC115:BC120)</f>
        <v>1863.73489113921</v>
      </c>
      <c r="BD122" s="35">
        <f>SUM(BD65,BD66,BD115:BD120)</f>
        <v>1872.594223981</v>
      </c>
      <c r="BE122" s="35">
        <f>SUM(BE65,BE66,BE115:BE120)</f>
        <v>1512.95514395941</v>
      </c>
      <c r="BF122" s="35">
        <f>SUM(BB122:BE122)</f>
        <v>6902.22540452873</v>
      </c>
      <c r="BG122" s="35" t="n"/>
      <c r="BH122" s="35" t="n"/>
      <c r="BI122" s="35" t="n"/>
      <c r="BJ122" s="35" t="n"/>
      <c r="BK122" s="35" t="n"/>
      <c r="BL122" s="35" t="n"/>
      <c r="BM122" s="35" t="n"/>
      <c r="BN122" s="35" t="n"/>
      <c r="BO122" s="35" t="n"/>
      <c r="BP122" s="35" t="n"/>
      <c r="BQ122" s="35" t="n"/>
      <c r="BR122" s="35" t="n"/>
      <c r="BS122" s="35" t="n"/>
      <c r="BT122" s="35" t="n"/>
      <c r="BU122" s="35" t="n"/>
      <c r="BV122" s="35" t="n"/>
      <c r="BW122" s="35" t="n"/>
      <c r="BX122" s="35" t="n"/>
      <c r="BY122" s="35" t="n"/>
      <c r="BZ122" s="35" t="n"/>
      <c r="CA122" s="35" t="n"/>
      <c r="CB122" s="35" t="n"/>
      <c r="CC122" s="35" t="n"/>
      <c r="CD122" s="35" t="n"/>
      <c r="CE122" s="35" t="n"/>
      <c r="CF122" s="35" t="n"/>
      <c r="CG122" s="35" t="n"/>
      <c r="CH122" s="35" t="n"/>
      <c r="CI122" s="35" t="n"/>
      <c r="CJ122" s="35" t="n"/>
      <c r="CK122" s="35" t="n"/>
      <c r="CL122" s="35" t="n"/>
      <c r="CM122" s="35" t="n"/>
      <c r="CN122" s="35" t="n"/>
      <c r="CO122" s="35" t="n"/>
      <c r="CP122" s="35" t="n"/>
      <c r="CQ122" s="35" t="n"/>
      <c r="CR122" s="35" t="n"/>
      <c r="CS122" s="35" t="n"/>
      <c r="CT122" s="35" t="n"/>
      <c r="CU122" s="35" t="n"/>
      <c r="CV122" s="35" t="n"/>
      <c r="CW122" s="35" t="n"/>
      <c r="CX122" s="35" t="n"/>
      <c r="CY122" s="35" t="n"/>
    </row>
    <row r="123">
      <c r="C123" s="14" t="inlineStr">
        <is>
          <t>Taxes</t>
        </is>
      </c>
      <c r="D123" s="46" t="n"/>
      <c r="E123" s="46" t="n"/>
      <c r="F123" s="46" t="n"/>
      <c r="G123" s="46" t="n"/>
      <c r="H123" s="12" t="n"/>
      <c r="I123" s="46">
        <f>'Inputs (2)'!D10</f>
        <v>-443</v>
      </c>
      <c r="J123" s="46">
        <f>'Inputs (2)'!E10</f>
        <v>-603</v>
      </c>
      <c r="K123" s="46">
        <f>'Inputs (2)'!F10</f>
        <v>-628</v>
      </c>
      <c r="L123" s="46">
        <f>'Inputs (2)'!G10</f>
        <v>-625</v>
      </c>
      <c r="M123" s="12">
        <f>'Inputs (2)'!H10</f>
        <v>-2299</v>
      </c>
      <c r="N123" s="46">
        <f>'Inputs (2)'!I10</f>
        <v>-824</v>
      </c>
      <c r="O123" s="46">
        <f>'Inputs (2)'!J10</f>
        <v>-571</v>
      </c>
      <c r="P123" s="46">
        <f>'Inputs (2)'!K10</f>
        <v>-315</v>
      </c>
      <c r="Q123" s="46">
        <f>'Inputs (2)'!L10</f>
        <v>-557</v>
      </c>
      <c r="R123" s="12">
        <f>'Inputs (2)'!M10</f>
        <v>-2267</v>
      </c>
      <c r="S123" s="46">
        <f>'Inputs (2)'!N10</f>
        <v>-499</v>
      </c>
      <c r="T123" s="46">
        <f>'Inputs (2)'!O10</f>
        <v>-539</v>
      </c>
      <c r="U123" s="46">
        <f>'Inputs (2)'!P10</f>
        <v>-508</v>
      </c>
      <c r="V123" s="46">
        <f>'Inputs (2)'!Q10</f>
        <v>-724</v>
      </c>
      <c r="W123" s="12">
        <f>'Inputs (2)'!R10</f>
        <v>-2270</v>
      </c>
      <c r="X123" s="46">
        <f>'Inputs (2)'!S10</f>
        <v>-512</v>
      </c>
      <c r="Y123" s="46">
        <f>'Inputs (2)'!T10</f>
        <v>-754</v>
      </c>
      <c r="Z123" s="46">
        <f>'Inputs (2)'!U10</f>
        <v>-737</v>
      </c>
      <c r="AA123" s="46">
        <f>'Inputs (2)'!V10</f>
        <v>-520</v>
      </c>
      <c r="AB123" s="12">
        <f>'Inputs (2)'!W10</f>
        <v>-2523</v>
      </c>
      <c r="AC123" s="46">
        <f>'Inputs (2)'!X10</f>
        <v>-500</v>
      </c>
      <c r="AD123" s="46">
        <f>'Inputs (2)'!Y10</f>
        <v>-850</v>
      </c>
      <c r="AE123" s="46">
        <f>'Inputs (2)'!Z10</f>
        <v>-669</v>
      </c>
      <c r="AF123" s="46">
        <f>'Inputs (2)'!AA10</f>
        <v>-202</v>
      </c>
      <c r="AG123" s="12">
        <f>'Inputs (2)'!AB10</f>
        <v>-2221</v>
      </c>
      <c r="AH123" s="12">
        <f>'Inputs (2)'!AC10</f>
        <v>-653</v>
      </c>
      <c r="AI123" s="12">
        <f>'Inputs (2)'!AD10</f>
        <v>-544</v>
      </c>
      <c r="AJ123" s="12">
        <f>-AJ122*AJ124</f>
        <v>-596.460146809313</v>
      </c>
      <c r="AK123" s="12">
        <f>-AK122*AK124</f>
        <v>-481.907631522785</v>
      </c>
      <c r="AL123" s="12">
        <f>SUM(AH123:AK123)</f>
        <v>-2275.3677783321</v>
      </c>
      <c r="AM123" s="12">
        <f>-AM122*AM124</f>
        <v>-533.323659668568</v>
      </c>
      <c r="AN123" s="12">
        <f>-AN122*AN124</f>
        <v>-601.336542157581</v>
      </c>
      <c r="AO123" s="12">
        <f>-AO122*AO124</f>
        <v>-604.195017685533</v>
      </c>
      <c r="AP123" s="12">
        <f>-AP122*AP124</f>
        <v>-488.15699004914</v>
      </c>
      <c r="AQ123" s="12">
        <f>SUM(AM123:AP123)</f>
        <v>-2227.01220956082</v>
      </c>
      <c r="AR123" s="12">
        <f>-AR122*AR124</f>
        <v>-537.573160854212</v>
      </c>
      <c r="AS123" s="12">
        <f>-AS122*AS124</f>
        <v>-606.127967219162</v>
      </c>
      <c r="AT123" s="12">
        <f>-AT122*AT124</f>
        <v>-609.009218963628</v>
      </c>
      <c r="AU123" s="12">
        <f>-AU122*AU124</f>
        <v>-492.046605051939</v>
      </c>
      <c r="AV123" s="12">
        <f>SUM(AR123:AU123)</f>
        <v>-2244.75695208894</v>
      </c>
      <c r="AW123" s="12">
        <f>-AW122*AW124</f>
        <v>-539.168656087852</v>
      </c>
      <c r="AX123" s="12">
        <f>-AX122*AX124</f>
        <v>-607.926930324272</v>
      </c>
      <c r="AY123" s="12">
        <f>-AY122*AY124</f>
        <v>-610.816733506495</v>
      </c>
      <c r="AZ123" s="12">
        <f>-AZ122*AZ124</f>
        <v>-493.506979323306</v>
      </c>
      <c r="BA123" s="12">
        <f>SUM(AW123:AZ123)</f>
        <v>-2251.41929924192</v>
      </c>
      <c r="BB123" s="12">
        <f>-BB122*BB124</f>
        <v>-539.168656087852</v>
      </c>
      <c r="BC123" s="12">
        <f>-BC122*BC124</f>
        <v>-607.926930324272</v>
      </c>
      <c r="BD123" s="12">
        <f>-BD122*BD124</f>
        <v>-610.816733506495</v>
      </c>
      <c r="BE123" s="12">
        <f>-BE122*BE124</f>
        <v>-493.506979323306</v>
      </c>
      <c r="BF123" s="12">
        <f>SUM(BB123:BE123)</f>
        <v>-2251.41929924192</v>
      </c>
      <c r="BG123" s="12" t="n"/>
      <c r="BH123" s="12" t="n"/>
      <c r="BI123" s="12" t="n"/>
      <c r="BJ123" s="12" t="n"/>
      <c r="BK123" s="12" t="n"/>
      <c r="BL123" s="12" t="n"/>
      <c r="BM123" s="12" t="n"/>
      <c r="BN123" s="12" t="n"/>
      <c r="BO123" s="12" t="n"/>
      <c r="BP123" s="12" t="n"/>
      <c r="BQ123" s="12" t="n"/>
      <c r="BR123" s="12" t="n"/>
      <c r="BS123" s="12" t="n"/>
      <c r="BT123" s="12" t="n"/>
      <c r="BU123" s="12" t="n"/>
      <c r="BV123" s="12" t="n"/>
      <c r="BW123" s="12" t="n"/>
      <c r="BX123" s="12" t="n"/>
      <c r="BY123" s="12" t="n"/>
      <c r="BZ123" s="12" t="n"/>
      <c r="CA123" s="12" t="n"/>
      <c r="CB123" s="12" t="n"/>
      <c r="CC123" s="12" t="n"/>
      <c r="CD123" s="12" t="n"/>
      <c r="CE123" s="12" t="n"/>
      <c r="CF123" s="12" t="n"/>
      <c r="CG123" s="12" t="n"/>
      <c r="CH123" s="12" t="n"/>
      <c r="CI123" s="12" t="n"/>
      <c r="CJ123" s="12" t="n"/>
      <c r="CK123" s="12" t="n"/>
      <c r="CL123" s="12" t="n"/>
      <c r="CM123" s="12" t="n"/>
      <c r="CN123" s="12" t="n"/>
      <c r="CO123" s="12" t="n"/>
      <c r="CP123" s="12" t="n"/>
      <c r="CQ123" s="12" t="n"/>
      <c r="CR123" s="12" t="n"/>
      <c r="CS123" s="12" t="n"/>
      <c r="CT123" s="12" t="n"/>
      <c r="CU123" s="12" t="n"/>
      <c r="CV123" s="12" t="n"/>
      <c r="CW123" s="12" t="n"/>
      <c r="CX123" s="12" t="n"/>
      <c r="CY123" s="12" t="n"/>
    </row>
    <row r="124" hidden="1" outlineLevel="1">
      <c r="C124" s="57" t="inlineStr">
        <is>
          <t>% ETR</t>
        </is>
      </c>
      <c r="D124" s="53" t="n"/>
      <c r="E124" s="53" t="n"/>
      <c r="F124" s="53" t="n"/>
      <c r="G124" s="53" t="n"/>
      <c r="H124" s="53" t="n"/>
      <c r="I124" s="53">
        <f>IFERROR(-I123/I122,"")</f>
        <v>0.316881258941345</v>
      </c>
      <c r="J124" s="53">
        <f>IFERROR(-J123/J122,"")</f>
        <v>0.312759336099585</v>
      </c>
      <c r="K124" s="53">
        <f>IFERROR(-K123/K122,"")</f>
        <v>0.266101694915254</v>
      </c>
      <c r="L124" s="53">
        <f>IFERROR(-L123/L122,"")</f>
        <v>0.316776482513938</v>
      </c>
      <c r="M124" s="53">
        <f>IFERROR(-M123/M122,"")</f>
        <v>0.300169734952344</v>
      </c>
      <c r="N124" s="53">
        <f>IFERROR(-N123/N122,"")</f>
        <v>0.30372281607077</v>
      </c>
      <c r="O124" s="53">
        <f>IFERROR(-O123/O122,"")</f>
        <v>0.357098186366479</v>
      </c>
      <c r="P124" s="53">
        <f>IFERROR(-P123/P122,"")</f>
        <v>0.363321799307959</v>
      </c>
      <c r="Q124" s="53">
        <f>IFERROR(-Q123/Q122,"")</f>
        <v>0.362630208333333</v>
      </c>
      <c r="R124" s="53">
        <f>IFERROR(-R123/R122,"")</f>
        <v>0.337602382725242</v>
      </c>
      <c r="S124" s="53">
        <f>IFERROR(-S123/S122,"")</f>
        <v>0.32444733420026</v>
      </c>
      <c r="T124" s="53">
        <f>IFERROR(-T123/T122,"")</f>
        <v>0.425078864353312</v>
      </c>
      <c r="U124" s="53">
        <f>IFERROR(-U123/U122,"")</f>
        <v>0.345108695652174</v>
      </c>
      <c r="V124" s="53">
        <f>IFERROR(-V123/V122,"")</f>
        <v>0.418981481481481</v>
      </c>
      <c r="W124" s="53">
        <f>IFERROR(-W123/W122,"")</f>
        <v>0.377955377955378</v>
      </c>
      <c r="X124" s="53">
        <f>IFERROR(-X123/X122,"")</f>
        <v>0.305854241338112</v>
      </c>
      <c r="Y124" s="53">
        <f>IFERROR(-Y123/Y122,"")</f>
        <v>0.371428571428571</v>
      </c>
      <c r="Z124" s="53">
        <f>IFERROR(-Z123/Z122,"")</f>
        <v>0.375445746306673</v>
      </c>
      <c r="AA124" s="53">
        <f>IFERROR(-AA123/AA122,"")</f>
        <v>0.419354838709677</v>
      </c>
      <c r="AB124" s="53">
        <f>IFERROR(-AB123/AB122,"")</f>
        <v>0.365281598378457</v>
      </c>
      <c r="AC124" s="53">
        <f>IFERROR(-AC123/AC122,"")</f>
        <v>0.387296669248645</v>
      </c>
      <c r="AD124" s="53">
        <f>IFERROR(-AD123/AD122,"")</f>
        <v>0.355499790882476</v>
      </c>
      <c r="AE124" s="53">
        <f>IFERROR(-AE123/AE122,"")</f>
        <v>0.347713097713098</v>
      </c>
      <c r="AF124" s="41">
        <f>IFERROR(-AF123/AF122,"")</f>
        <v>0.263707571801567</v>
      </c>
      <c r="AG124" s="53">
        <f>IFERROR(-AG123/AG122,"")</f>
        <v>0.348556183301946</v>
      </c>
      <c r="AH124" s="41">
        <f>IFERROR(-AH123/AH122,"")</f>
        <v>0.321042281219272</v>
      </c>
      <c r="AI124" s="41">
        <f>IFERROR(-AI123/AI122,"")</f>
        <v>0.281865284974093</v>
      </c>
      <c r="AJ124" s="41">
        <f>Control!$B$22</f>
        <v>0.326187449306525</v>
      </c>
      <c r="AK124" s="41">
        <f>Control!$B$22</f>
        <v>0.326187449306525</v>
      </c>
      <c r="AL124" s="53">
        <f>IFERROR(-AL123/AL122,"")</f>
        <v>0.31298148368532</v>
      </c>
      <c r="AM124" s="41">
        <f>Control!$C$22</f>
        <v>0.326187449306525</v>
      </c>
      <c r="AN124" s="41">
        <f>Control!$C$22</f>
        <v>0.326187449306525</v>
      </c>
      <c r="AO124" s="41">
        <f>Control!$C$22</f>
        <v>0.326187449306525</v>
      </c>
      <c r="AP124" s="41">
        <f>Control!$C$22</f>
        <v>0.326187449306525</v>
      </c>
      <c r="AQ124" s="53">
        <f>IFERROR(-AQ123/AQ122,"")</f>
        <v>0.326187449306525</v>
      </c>
      <c r="AR124" s="41">
        <f>Control!$D$22</f>
        <v>0.326187449306525</v>
      </c>
      <c r="AS124" s="41">
        <f>Control!$D$22</f>
        <v>0.326187449306525</v>
      </c>
      <c r="AT124" s="41">
        <f>Control!$D$22</f>
        <v>0.326187449306525</v>
      </c>
      <c r="AU124" s="41">
        <f>Control!$D$22</f>
        <v>0.326187449306525</v>
      </c>
      <c r="AV124" s="53">
        <f>IFERROR(-AV123/AV122,"")</f>
        <v>0.326187449306525</v>
      </c>
      <c r="AW124" s="41">
        <f>Control!$E$22</f>
        <v>0.326187449306525</v>
      </c>
      <c r="AX124" s="41">
        <f>Control!$E$22</f>
        <v>0.326187449306525</v>
      </c>
      <c r="AY124" s="41">
        <f>Control!$E$22</f>
        <v>0.326187449306525</v>
      </c>
      <c r="AZ124" s="41">
        <f>Control!$E$22</f>
        <v>0.326187449306525</v>
      </c>
      <c r="BA124" s="53">
        <f>IFERROR(-BA123/BA122,"")</f>
        <v>0.326187449306525</v>
      </c>
      <c r="BB124" s="41">
        <f>Control!$F$22</f>
        <v>0.326187449306525</v>
      </c>
      <c r="BC124" s="41">
        <f>Control!$F$22</f>
        <v>0.326187449306525</v>
      </c>
      <c r="BD124" s="41">
        <f>Control!$F$22</f>
        <v>0.326187449306525</v>
      </c>
      <c r="BE124" s="41">
        <f>Control!$F$22</f>
        <v>0.326187449306525</v>
      </c>
      <c r="BF124" s="53">
        <f>IFERROR(-BF123/BF122,"")</f>
        <v>0.326187449306525</v>
      </c>
      <c r="BG124" s="41" t="n"/>
      <c r="BH124" s="41" t="n"/>
      <c r="BI124" s="41" t="n"/>
      <c r="BJ124" s="41" t="n"/>
      <c r="BK124" s="53" t="n"/>
      <c r="BL124" s="41" t="n"/>
      <c r="BM124" s="41" t="n"/>
      <c r="BN124" s="41" t="n"/>
      <c r="BO124" s="41" t="n"/>
      <c r="BP124" s="53" t="n"/>
      <c r="BQ124" s="41" t="n"/>
      <c r="BR124" s="41" t="n"/>
      <c r="BS124" s="41" t="n"/>
      <c r="BT124" s="41" t="n"/>
      <c r="BU124" s="53" t="n"/>
      <c r="BV124" s="41" t="n"/>
      <c r="BW124" s="41" t="n"/>
      <c r="BX124" s="41" t="n"/>
      <c r="BY124" s="41" t="n"/>
      <c r="BZ124" s="53" t="n"/>
      <c r="CA124" s="41" t="n"/>
      <c r="CB124" s="41" t="n"/>
      <c r="CC124" s="41" t="n"/>
      <c r="CD124" s="41" t="n"/>
      <c r="CE124" s="53" t="n"/>
      <c r="CF124" s="41" t="n"/>
      <c r="CG124" s="41" t="n"/>
      <c r="CH124" s="41" t="n"/>
      <c r="CI124" s="41" t="n"/>
      <c r="CJ124" s="53" t="n"/>
      <c r="CK124" s="41" t="n"/>
      <c r="CL124" s="41" t="n"/>
      <c r="CM124" s="41" t="n"/>
      <c r="CN124" s="41" t="n"/>
      <c r="CO124" s="53" t="n"/>
      <c r="CP124" s="41" t="n"/>
      <c r="CQ124" s="41" t="n"/>
      <c r="CR124" s="41" t="n"/>
      <c r="CS124" s="41" t="n"/>
      <c r="CT124" s="53" t="n"/>
      <c r="CU124" s="41" t="n"/>
      <c r="CV124" s="41" t="n"/>
      <c r="CW124" s="41" t="n"/>
      <c r="CX124" s="41" t="n"/>
      <c r="CY124" s="53" t="n"/>
    </row>
    <row r="125" hidden="1" outlineLevel="1">
      <c r="C125" s="57" t="n"/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12" t="n"/>
      <c r="P125" s="12" t="n"/>
      <c r="Q125" s="12" t="n"/>
      <c r="R125" s="12" t="n"/>
      <c r="S125" s="12" t="n"/>
      <c r="T125" s="12" t="n"/>
      <c r="U125" s="12" t="n"/>
      <c r="V125" s="12" t="n"/>
      <c r="W125" s="12" t="n"/>
      <c r="X125" s="12" t="n"/>
      <c r="Y125" s="12" t="n"/>
      <c r="Z125" s="12" t="n"/>
      <c r="AA125" s="12" t="n"/>
      <c r="AB125" s="12" t="n"/>
      <c r="AC125" s="12" t="n"/>
      <c r="AD125" s="12" t="n"/>
      <c r="AE125" s="12" t="n"/>
      <c r="AF125" s="12" t="n"/>
      <c r="AG125" s="12" t="n"/>
      <c r="AH125" s="12" t="n"/>
      <c r="AI125" s="12" t="n"/>
      <c r="AJ125" s="12" t="n"/>
      <c r="AK125" s="12" t="n"/>
      <c r="AL125" s="12" t="n"/>
      <c r="AM125" s="12" t="n"/>
      <c r="AN125" s="12" t="n"/>
      <c r="AO125" s="12" t="n"/>
      <c r="AP125" s="12" t="n"/>
      <c r="AQ125" s="12" t="n"/>
      <c r="AR125" s="12" t="n"/>
      <c r="AS125" s="12" t="n"/>
      <c r="AT125" s="12" t="n"/>
      <c r="AU125" s="12" t="n"/>
      <c r="AV125" s="12" t="n"/>
      <c r="AW125" s="12" t="n"/>
      <c r="AX125" s="12" t="n"/>
      <c r="AY125" s="12" t="n"/>
      <c r="AZ125" s="12" t="n"/>
      <c r="BA125" s="12" t="n"/>
      <c r="BB125" s="12" t="n"/>
      <c r="BC125" s="12" t="n"/>
      <c r="BD125" s="12" t="n"/>
      <c r="BE125" s="12" t="n"/>
      <c r="BF125" s="12" t="n"/>
      <c r="BG125" s="12" t="n"/>
      <c r="BH125" s="12" t="n"/>
      <c r="BI125" s="12" t="n"/>
      <c r="BJ125" s="12" t="n"/>
      <c r="BK125" s="12" t="n"/>
      <c r="BL125" s="12" t="n"/>
      <c r="BM125" s="12" t="n"/>
      <c r="BN125" s="12" t="n"/>
      <c r="BO125" s="12" t="n"/>
      <c r="BP125" s="12" t="n"/>
      <c r="BQ125" s="12" t="n"/>
      <c r="BR125" s="12" t="n"/>
      <c r="BS125" s="12" t="n"/>
      <c r="BT125" s="12" t="n"/>
      <c r="BU125" s="12" t="n"/>
      <c r="BV125" s="12" t="n"/>
      <c r="BW125" s="12" t="n"/>
      <c r="BX125" s="12" t="n"/>
      <c r="BY125" s="12" t="n"/>
      <c r="BZ125" s="12" t="n"/>
      <c r="CA125" s="12" t="n"/>
      <c r="CB125" s="12" t="n"/>
      <c r="CC125" s="12" t="n"/>
      <c r="CD125" s="12" t="n"/>
      <c r="CE125" s="12" t="n"/>
      <c r="CF125" s="12" t="n"/>
      <c r="CG125" s="12" t="n"/>
      <c r="CH125" s="12" t="n"/>
      <c r="CI125" s="12" t="n"/>
      <c r="CJ125" s="12" t="n"/>
      <c r="CK125" s="12" t="n"/>
      <c r="CL125" s="12" t="n"/>
      <c r="CM125" s="12" t="n"/>
      <c r="CN125" s="12" t="n"/>
      <c r="CO125" s="12" t="n"/>
      <c r="CP125" s="12" t="n"/>
      <c r="CQ125" s="12" t="n"/>
      <c r="CR125" s="12" t="n"/>
      <c r="CS125" s="12" t="n"/>
      <c r="CT125" s="12" t="n"/>
      <c r="CU125" s="12" t="n"/>
      <c r="CV125" s="12" t="n"/>
      <c r="CW125" s="12" t="n"/>
      <c r="CX125" s="12" t="n"/>
      <c r="CY125" s="12" t="n"/>
    </row>
    <row r="126" hidden="1" outlineLevel="1">
      <c r="C126" s="57" t="n"/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  <c r="P126" s="12" t="n"/>
      <c r="Q126" s="12" t="n"/>
      <c r="R126" s="12" t="n"/>
      <c r="S126" s="12" t="n"/>
      <c r="T126" s="12" t="n"/>
      <c r="U126" s="12" t="n"/>
      <c r="V126" s="12" t="n"/>
      <c r="W126" s="12" t="n"/>
      <c r="X126" s="12" t="n"/>
      <c r="Y126" s="12" t="n"/>
      <c r="Z126" s="12" t="n"/>
      <c r="AA126" s="12" t="n"/>
      <c r="AB126" s="12" t="n"/>
      <c r="AC126" s="12" t="n"/>
      <c r="AD126" s="12" t="n"/>
      <c r="AE126" s="12" t="n"/>
      <c r="AF126" s="12" t="n"/>
      <c r="AG126" s="12" t="n"/>
      <c r="AH126" s="12" t="n"/>
      <c r="AI126" s="12" t="n"/>
      <c r="AJ126" s="12" t="n"/>
      <c r="AK126" s="12" t="n"/>
      <c r="AL126" s="12" t="n"/>
      <c r="AM126" s="12" t="n"/>
      <c r="AN126" s="12" t="n"/>
      <c r="AO126" s="12" t="n"/>
      <c r="AP126" s="12" t="n"/>
      <c r="AQ126" s="12" t="n"/>
      <c r="AR126" s="12" t="n"/>
      <c r="AS126" s="12" t="n"/>
      <c r="AT126" s="12" t="n"/>
      <c r="AU126" s="12" t="n"/>
      <c r="AV126" s="12" t="n"/>
      <c r="AW126" s="12" t="n"/>
      <c r="AX126" s="12" t="n"/>
      <c r="AY126" s="12" t="n"/>
      <c r="AZ126" s="12" t="n"/>
      <c r="BA126" s="12" t="n"/>
      <c r="BB126" s="12" t="n"/>
      <c r="BC126" s="12" t="n"/>
      <c r="BD126" s="12" t="n"/>
      <c r="BE126" s="12" t="n"/>
      <c r="BF126" s="12" t="n"/>
      <c r="BG126" s="12" t="n"/>
      <c r="BH126" s="12" t="n"/>
      <c r="BI126" s="12" t="n"/>
      <c r="BJ126" s="12" t="n"/>
      <c r="BK126" s="12" t="n"/>
      <c r="BL126" s="12" t="n"/>
      <c r="BM126" s="12" t="n"/>
      <c r="BN126" s="12" t="n"/>
      <c r="BO126" s="12" t="n"/>
      <c r="BP126" s="12" t="n"/>
      <c r="BQ126" s="12" t="n"/>
      <c r="BR126" s="12" t="n"/>
      <c r="BS126" s="12" t="n"/>
      <c r="BT126" s="12" t="n"/>
      <c r="BU126" s="12" t="n"/>
      <c r="BV126" s="12" t="n"/>
      <c r="BW126" s="12" t="n"/>
      <c r="BX126" s="12" t="n"/>
      <c r="BY126" s="12" t="n"/>
      <c r="BZ126" s="12" t="n"/>
      <c r="CA126" s="12" t="n"/>
      <c r="CB126" s="12" t="n"/>
      <c r="CC126" s="12" t="n"/>
      <c r="CD126" s="12" t="n"/>
      <c r="CE126" s="12" t="n"/>
      <c r="CF126" s="12" t="n"/>
      <c r="CG126" s="12" t="n"/>
      <c r="CH126" s="12" t="n"/>
      <c r="CI126" s="12" t="n"/>
      <c r="CJ126" s="12" t="n"/>
      <c r="CK126" s="12" t="n"/>
      <c r="CL126" s="12" t="n"/>
      <c r="CM126" s="12" t="n"/>
      <c r="CN126" s="12" t="n"/>
      <c r="CO126" s="12" t="n"/>
      <c r="CP126" s="12" t="n"/>
      <c r="CQ126" s="12" t="n"/>
      <c r="CR126" s="12" t="n"/>
      <c r="CS126" s="12" t="n"/>
      <c r="CT126" s="12" t="n"/>
      <c r="CU126" s="12" t="n"/>
      <c r="CV126" s="12" t="n"/>
      <c r="CW126" s="12" t="n"/>
      <c r="CX126" s="12" t="n"/>
      <c r="CY126" s="12" t="n"/>
    </row>
    <row r="127" collapsed="1">
      <c r="C127" s="14" t="inlineStr">
        <is>
          <t>Equity in Income of Affiliates, after tax (enter as +)</t>
        </is>
      </c>
      <c r="D127" s="46" t="n"/>
      <c r="E127" s="46" t="n"/>
      <c r="F127" s="46" t="n"/>
      <c r="G127" s="46" t="n"/>
      <c r="H127" s="12" t="n"/>
      <c r="I127" s="46">
        <f>'Inputs (2)'!D11</f>
        <v>-472</v>
      </c>
      <c r="J127" s="46">
        <f>'Inputs (2)'!E11</f>
        <v>6</v>
      </c>
      <c r="K127" s="46">
        <f>'Inputs (2)'!F11</f>
        <v>-9</v>
      </c>
      <c r="L127" s="46">
        <f>'Inputs (2)'!G11</f>
        <v>-2108</v>
      </c>
      <c r="M127" s="12">
        <f>'Inputs (2)'!H11</f>
        <v>-2583</v>
      </c>
      <c r="N127" s="46">
        <f>'Inputs (2)'!I11</f>
        <v>15</v>
      </c>
      <c r="O127" s="46">
        <f>'Inputs (2)'!J11</f>
        <v>10</v>
      </c>
      <c r="P127" s="46">
        <f>'Inputs (2)'!K11</f>
        <v>8</v>
      </c>
      <c r="Q127" s="46">
        <f>'Inputs (2)'!L11</f>
        <v>-2</v>
      </c>
      <c r="R127" s="12">
        <f>'Inputs (2)'!M11</f>
        <v>31</v>
      </c>
      <c r="S127" s="46">
        <f>'Inputs (2)'!N11</f>
        <v>10</v>
      </c>
      <c r="T127" s="46">
        <f>'Inputs (2)'!O11</f>
        <v>2</v>
      </c>
      <c r="U127" s="46">
        <f>'Inputs (2)'!P11</f>
        <v>0</v>
      </c>
      <c r="V127" s="46">
        <f>'Inputs (2)'!Q11</f>
        <v>3</v>
      </c>
      <c r="W127" s="12">
        <f>'Inputs (2)'!R11</f>
        <v>15</v>
      </c>
      <c r="X127" s="46">
        <f>'Inputs (2)'!S11</f>
        <v>0</v>
      </c>
      <c r="Y127" s="46">
        <f>'Inputs (2)'!T11</f>
        <v>4</v>
      </c>
      <c r="Z127" s="46">
        <f>'Inputs (2)'!U11</f>
        <v>10</v>
      </c>
      <c r="AA127" s="46">
        <f>'Inputs (2)'!V11</f>
        <v>1</v>
      </c>
      <c r="AB127" s="12">
        <f>'Inputs (2)'!W11</f>
        <v>15</v>
      </c>
      <c r="AC127" s="46">
        <f>'Inputs (2)'!X11</f>
        <v>2</v>
      </c>
      <c r="AD127" s="46">
        <f>'Inputs (2)'!Y11</f>
        <v>6</v>
      </c>
      <c r="AE127" s="46">
        <f>'Inputs (2)'!Z11</f>
        <v>-8</v>
      </c>
      <c r="AF127" s="46">
        <f>'Inputs (2)'!AA11</f>
        <v>1</v>
      </c>
      <c r="AG127" s="12">
        <f>'Inputs (2)'!AB11</f>
        <v>1</v>
      </c>
      <c r="AH127" s="12">
        <f>'Inputs (2)'!AC11</f>
        <v>6</v>
      </c>
      <c r="AI127" s="12">
        <f>'Inputs (2)'!AD11</f>
        <v>5</v>
      </c>
      <c r="AJ127" s="12">
        <f>0</f>
        <v>0</v>
      </c>
      <c r="AK127" s="12">
        <f>0</f>
        <v>0</v>
      </c>
      <c r="AL127" s="12">
        <f>SUM(AH127:AK127)</f>
        <v>11</v>
      </c>
      <c r="AM127" s="12">
        <f>0</f>
        <v>0</v>
      </c>
      <c r="AN127" s="12">
        <f>0</f>
        <v>0</v>
      </c>
      <c r="AO127" s="12">
        <f>0</f>
        <v>0</v>
      </c>
      <c r="AP127" s="12">
        <f>0</f>
        <v>0</v>
      </c>
      <c r="AQ127" s="12">
        <f>SUM(AM127:AP127)</f>
        <v>0</v>
      </c>
      <c r="AR127" s="12">
        <f>0</f>
        <v>0</v>
      </c>
      <c r="AS127" s="12">
        <f>0</f>
        <v>0</v>
      </c>
      <c r="AT127" s="12">
        <f>0</f>
        <v>0</v>
      </c>
      <c r="AU127" s="12">
        <f>0</f>
        <v>0</v>
      </c>
      <c r="AV127" s="12">
        <f>SUM(AR127:AU127)</f>
        <v>0</v>
      </c>
      <c r="AW127" s="12">
        <f>0</f>
        <v>0</v>
      </c>
      <c r="AX127" s="12">
        <f>0</f>
        <v>0</v>
      </c>
      <c r="AY127" s="12">
        <f>0</f>
        <v>0</v>
      </c>
      <c r="AZ127" s="12">
        <f>0</f>
        <v>0</v>
      </c>
      <c r="BA127" s="12">
        <f>SUM(AW127:AZ127)</f>
        <v>0</v>
      </c>
      <c r="BB127" s="12">
        <f>0</f>
        <v>0</v>
      </c>
      <c r="BC127" s="12">
        <f>0</f>
        <v>0</v>
      </c>
      <c r="BD127" s="12">
        <f>0</f>
        <v>0</v>
      </c>
      <c r="BE127" s="12">
        <f>0</f>
        <v>0</v>
      </c>
      <c r="BF127" s="12">
        <f>SUM(BB127:BE127)</f>
        <v>0</v>
      </c>
      <c r="BG127" s="12" t="n"/>
      <c r="BH127" s="12" t="n"/>
      <c r="BI127" s="12" t="n"/>
      <c r="BJ127" s="12" t="n"/>
      <c r="BK127" s="12" t="n"/>
      <c r="BL127" s="12" t="n"/>
      <c r="BM127" s="12" t="n"/>
      <c r="BN127" s="12" t="n"/>
      <c r="BO127" s="12" t="n"/>
      <c r="BP127" s="12" t="n"/>
      <c r="BQ127" s="12" t="n"/>
      <c r="BR127" s="12" t="n"/>
      <c r="BS127" s="12" t="n"/>
      <c r="BT127" s="12" t="n"/>
      <c r="BU127" s="12" t="n"/>
      <c r="BV127" s="12" t="n"/>
      <c r="BW127" s="12" t="n"/>
      <c r="BX127" s="12" t="n"/>
      <c r="BY127" s="12" t="n"/>
      <c r="BZ127" s="12" t="n"/>
      <c r="CA127" s="12" t="n"/>
      <c r="CB127" s="12" t="n"/>
      <c r="CC127" s="12" t="n"/>
      <c r="CD127" s="12" t="n"/>
      <c r="CE127" s="12" t="n"/>
      <c r="CF127" s="12" t="n"/>
      <c r="CG127" s="12" t="n"/>
      <c r="CH127" s="12" t="n"/>
      <c r="CI127" s="12" t="n"/>
      <c r="CJ127" s="12" t="n"/>
      <c r="CK127" s="12" t="n"/>
      <c r="CL127" s="12" t="n"/>
      <c r="CM127" s="12" t="n"/>
      <c r="CN127" s="12" t="n"/>
      <c r="CO127" s="12" t="n"/>
      <c r="CP127" s="12" t="n"/>
      <c r="CQ127" s="12" t="n"/>
      <c r="CR127" s="12" t="n"/>
      <c r="CS127" s="12" t="n"/>
      <c r="CT127" s="12" t="n"/>
      <c r="CU127" s="12" t="n"/>
      <c r="CV127" s="12" t="n"/>
      <c r="CW127" s="12" t="n"/>
      <c r="CX127" s="12" t="n"/>
      <c r="CY127" s="12" t="n"/>
    </row>
    <row r="128">
      <c r="C128" s="14" t="inlineStr">
        <is>
          <t>Minority Interest Expense, after tax (enter as - )</t>
        </is>
      </c>
      <c r="D128" s="46" t="n"/>
      <c r="E128" s="46" t="n"/>
      <c r="F128" s="46" t="n"/>
      <c r="G128" s="46" t="n"/>
      <c r="H128" s="12" t="n"/>
      <c r="I128" s="46">
        <f>'Inputs (2)'!D12</f>
        <v>235</v>
      </c>
      <c r="J128" s="46">
        <f>'Inputs (2)'!E12</f>
        <v>-248</v>
      </c>
      <c r="K128" s="46">
        <f>'Inputs (2)'!F12</f>
        <v>-324</v>
      </c>
      <c r="L128" s="46">
        <f>'Inputs (2)'!G12</f>
        <v>1866</v>
      </c>
      <c r="M128" s="12">
        <f>'Inputs (2)'!H12</f>
        <v>1529</v>
      </c>
      <c r="N128" s="46">
        <f>'Inputs (2)'!I12</f>
        <v>-377</v>
      </c>
      <c r="O128" s="46">
        <f>'Inputs (2)'!J12</f>
        <v>-198</v>
      </c>
      <c r="P128" s="46">
        <f>'Inputs (2)'!K12</f>
        <v>-156</v>
      </c>
      <c r="Q128" s="46">
        <f>'Inputs (2)'!L12</f>
        <v>-280</v>
      </c>
      <c r="R128" s="12">
        <f>'Inputs (2)'!M12</f>
        <v>-1011</v>
      </c>
      <c r="S128" s="46">
        <f>'Inputs (2)'!N12</f>
        <v>-386</v>
      </c>
      <c r="T128" s="46">
        <f>'Inputs (2)'!O12</f>
        <v>-388</v>
      </c>
      <c r="U128" s="46">
        <f>'Inputs (2)'!P12</f>
        <v>-510</v>
      </c>
      <c r="V128" s="46">
        <f>'Inputs (2)'!Q12</f>
        <v>-619</v>
      </c>
      <c r="W128" s="12">
        <f>'Inputs (2)'!R12</f>
        <v>-1903</v>
      </c>
      <c r="X128" s="46">
        <f>'Inputs (2)'!S12</f>
        <v>-689</v>
      </c>
      <c r="Y128" s="46">
        <f>'Inputs (2)'!T12</f>
        <v>-664</v>
      </c>
      <c r="Z128" s="46">
        <f>'Inputs (2)'!U12</f>
        <v>-710</v>
      </c>
      <c r="AA128" s="46">
        <f>'Inputs (2)'!V12</f>
        <v>-447</v>
      </c>
      <c r="AB128" s="12">
        <f>'Inputs (2)'!W12</f>
        <v>-2510</v>
      </c>
      <c r="AC128" s="46">
        <f>'Inputs (2)'!X12</f>
        <v>-441</v>
      </c>
      <c r="AD128" s="46">
        <f>'Inputs (2)'!Y12</f>
        <v>-775</v>
      </c>
      <c r="AE128" s="46">
        <f>'Inputs (2)'!Z12</f>
        <v>-573</v>
      </c>
      <c r="AF128" s="46">
        <f>'Inputs (2)'!AA12</f>
        <v>-159</v>
      </c>
      <c r="AG128" s="12">
        <f>'Inputs (2)'!AB12</f>
        <v>-1948</v>
      </c>
      <c r="AH128" s="12">
        <f>'Inputs (2)'!AC12</f>
        <v>-506</v>
      </c>
      <c r="AI128" s="12">
        <f>'Inputs (2)'!AD12</f>
        <v>-407</v>
      </c>
      <c r="AJ128" s="12">
        <f>0</f>
        <v>0</v>
      </c>
      <c r="AK128" s="12">
        <f>0</f>
        <v>0</v>
      </c>
      <c r="AL128" s="12">
        <f>SUM(AH128:AK128)</f>
        <v>-913</v>
      </c>
      <c r="AM128" s="12">
        <f>0</f>
        <v>0</v>
      </c>
      <c r="AN128" s="12">
        <f>0</f>
        <v>0</v>
      </c>
      <c r="AO128" s="12">
        <f>0</f>
        <v>0</v>
      </c>
      <c r="AP128" s="12">
        <f>0</f>
        <v>0</v>
      </c>
      <c r="AQ128" s="12">
        <f>SUM(AM128:AP128)</f>
        <v>0</v>
      </c>
      <c r="AR128" s="12">
        <f>0</f>
        <v>0</v>
      </c>
      <c r="AS128" s="12">
        <f>0</f>
        <v>0</v>
      </c>
      <c r="AT128" s="12">
        <f>0</f>
        <v>0</v>
      </c>
      <c r="AU128" s="12">
        <f>0</f>
        <v>0</v>
      </c>
      <c r="AV128" s="12">
        <f>SUM(AR128:AU128)</f>
        <v>0</v>
      </c>
      <c r="AW128" s="12">
        <f>0</f>
        <v>0</v>
      </c>
      <c r="AX128" s="12">
        <f>0</f>
        <v>0</v>
      </c>
      <c r="AY128" s="12">
        <f>0</f>
        <v>0</v>
      </c>
      <c r="AZ128" s="12">
        <f>0</f>
        <v>0</v>
      </c>
      <c r="BA128" s="12">
        <f>SUM(AW128:AZ128)</f>
        <v>0</v>
      </c>
      <c r="BB128" s="12">
        <f>0</f>
        <v>0</v>
      </c>
      <c r="BC128" s="12">
        <f>0</f>
        <v>0</v>
      </c>
      <c r="BD128" s="12">
        <f>0</f>
        <v>0</v>
      </c>
      <c r="BE128" s="12">
        <f>0</f>
        <v>0</v>
      </c>
      <c r="BF128" s="12">
        <f>SUM(BB128:BE128)</f>
        <v>0</v>
      </c>
      <c r="BG128" s="12" t="n"/>
      <c r="BH128" s="12" t="n"/>
      <c r="BI128" s="12" t="n"/>
      <c r="BJ128" s="12" t="n"/>
      <c r="BK128" s="12" t="n"/>
      <c r="BL128" s="12" t="n"/>
      <c r="BM128" s="12" t="n"/>
      <c r="BN128" s="12" t="n"/>
      <c r="BO128" s="12" t="n"/>
      <c r="BP128" s="12" t="n"/>
      <c r="BQ128" s="12" t="n"/>
      <c r="BR128" s="12" t="n"/>
      <c r="BS128" s="12" t="n"/>
      <c r="BT128" s="12" t="n"/>
      <c r="BU128" s="12" t="n"/>
      <c r="BV128" s="12" t="n"/>
      <c r="BW128" s="12" t="n"/>
      <c r="BX128" s="12" t="n"/>
      <c r="BY128" s="12" t="n"/>
      <c r="BZ128" s="12" t="n"/>
      <c r="CA128" s="12" t="n"/>
      <c r="CB128" s="12" t="n"/>
      <c r="CC128" s="12" t="n"/>
      <c r="CD128" s="12" t="n"/>
      <c r="CE128" s="12" t="n"/>
      <c r="CF128" s="12" t="n"/>
      <c r="CG128" s="12" t="n"/>
      <c r="CH128" s="12" t="n"/>
      <c r="CI128" s="12" t="n"/>
      <c r="CJ128" s="12" t="n"/>
      <c r="CK128" s="12" t="n"/>
      <c r="CL128" s="12" t="n"/>
      <c r="CM128" s="12" t="n"/>
      <c r="CN128" s="12" t="n"/>
      <c r="CO128" s="12" t="n"/>
      <c r="CP128" s="12" t="n"/>
      <c r="CQ128" s="12" t="n"/>
      <c r="CR128" s="12" t="n"/>
      <c r="CS128" s="12" t="n"/>
      <c r="CT128" s="12" t="n"/>
      <c r="CU128" s="12" t="n"/>
      <c r="CV128" s="12" t="n"/>
      <c r="CW128" s="12" t="n"/>
      <c r="CX128" s="12" t="n"/>
      <c r="CY128" s="12" t="n"/>
    </row>
    <row r="129" customFormat="1" s="32">
      <c r="A129" s="30" t="n"/>
      <c r="B129" s="3" t="n"/>
      <c r="C129" s="33" t="inlineStr">
        <is>
          <t>Net Income</t>
        </is>
      </c>
      <c r="D129" s="35" t="n"/>
      <c r="E129" s="35" t="n"/>
      <c r="F129" s="35" t="n"/>
      <c r="G129" s="35" t="n"/>
      <c r="H129" s="35" t="n"/>
      <c r="I129" s="35">
        <f>SUM(I122,I123,I127,I128)</f>
        <v>718</v>
      </c>
      <c r="J129" s="35">
        <f>SUM(J122,J123,J127,J128)</f>
        <v>1083</v>
      </c>
      <c r="K129" s="35">
        <f>SUM(K122,K123,K127,K128)</f>
        <v>1399</v>
      </c>
      <c r="L129" s="35">
        <f>SUM(L122,L123,L127,L128)</f>
        <v>1106</v>
      </c>
      <c r="M129" s="35">
        <f>SUM(I129:L129)</f>
        <v>4306</v>
      </c>
      <c r="N129" s="35">
        <f>SUM(N122,N123,N127,N128)</f>
        <v>1527</v>
      </c>
      <c r="O129" s="35">
        <f>SUM(O122,O123,O127,O128)</f>
        <v>840</v>
      </c>
      <c r="P129" s="35">
        <f>SUM(P122,P123,P127,P128)</f>
        <v>404</v>
      </c>
      <c r="Q129" s="35">
        <f>SUM(Q122,Q123,Q127,Q128)</f>
        <v>697</v>
      </c>
      <c r="R129" s="35">
        <f>SUM(N129:Q129)</f>
        <v>3468</v>
      </c>
      <c r="S129" s="35">
        <f>SUM(S122,S123,S127,S128)</f>
        <v>663</v>
      </c>
      <c r="T129" s="35">
        <f>SUM(T122,T123,T127,T128)</f>
        <v>343</v>
      </c>
      <c r="U129" s="35">
        <f>SUM(U122,U123,U127,U128)</f>
        <v>454</v>
      </c>
      <c r="V129" s="35">
        <f>SUM(V122,V123,V127,V128)</f>
        <v>388</v>
      </c>
      <c r="W129" s="35">
        <f>SUM(S129:V129)</f>
        <v>1848</v>
      </c>
      <c r="X129" s="35">
        <f>SUM(X122,X123,X127,X128)</f>
        <v>473</v>
      </c>
      <c r="Y129" s="35">
        <f>SUM(Y122,Y123,Y127,Y128)</f>
        <v>616</v>
      </c>
      <c r="Z129" s="35">
        <f>SUM(Z122,Z123,Z127,Z128)</f>
        <v>526</v>
      </c>
      <c r="AA129" s="35">
        <f>SUM(AA122,AA123,AA127,AA128)</f>
        <v>274</v>
      </c>
      <c r="AB129" s="35">
        <f>SUM(X129:AA129)</f>
        <v>1889</v>
      </c>
      <c r="AC129" s="35">
        <f>SUM(AC122,AC123,AC127,AC128)</f>
        <v>352</v>
      </c>
      <c r="AD129" s="35">
        <f>SUM(AD122,AD123,AD127,AD128)</f>
        <v>772</v>
      </c>
      <c r="AE129" s="35">
        <f>SUM(AE122,AE123,AE127,AE128)</f>
        <v>674</v>
      </c>
      <c r="AF129" s="35">
        <f>SUM(AF122,AF123,AF127,AF128)</f>
        <v>406</v>
      </c>
      <c r="AG129" s="35">
        <f>SUM(AC129:AF129)</f>
        <v>2204</v>
      </c>
      <c r="AH129" s="35">
        <f>SUM(AH122,AH123,AH127,AH128)</f>
        <v>881</v>
      </c>
      <c r="AI129" s="35">
        <f>SUM(AI122,AI123,AI127,AI128)</f>
        <v>984</v>
      </c>
      <c r="AJ129" s="35">
        <f>SUM(AJ122,AJ123,AJ127,AJ128)</f>
        <v>1232.12077522612</v>
      </c>
      <c r="AK129" s="35">
        <f>SUM(AK122,AK123,AK127,AK128)</f>
        <v>995.487138102231</v>
      </c>
      <c r="AL129" s="35">
        <f>SUM(AH129:AK129)</f>
        <v>4092.60791332835</v>
      </c>
      <c r="AM129" s="35">
        <f>SUM(AM122,AM123,AM127,AM128)</f>
        <v>1101.69835237517</v>
      </c>
      <c r="AN129" s="35">
        <f>SUM(AN122,AN123,AN127,AN128)</f>
        <v>1242.19405178778</v>
      </c>
      <c r="AO129" s="35">
        <f>SUM(AO122,AO123,AO127,AO128)</f>
        <v>1248.09886722651</v>
      </c>
      <c r="AP129" s="35">
        <f>SUM(AP122,AP123,AP127,AP128)</f>
        <v>1008.39657473995</v>
      </c>
      <c r="AQ129" s="35">
        <f>SUM(AM129:AP129)</f>
        <v>4600.38784612941</v>
      </c>
      <c r="AR129" s="35">
        <f>SUM(AR122,AR123,AR127,AR128)</f>
        <v>1110.47663994926</v>
      </c>
      <c r="AS129" s="35">
        <f>SUM(AS122,AS123,AS127,AS128)</f>
        <v>1252.09180336916</v>
      </c>
      <c r="AT129" s="35">
        <f>SUM(AT122,AT123,AT127,AT128)</f>
        <v>1258.04366813666</v>
      </c>
      <c r="AU129" s="35">
        <f>SUM(AU122,AU123,AU127,AU128)</f>
        <v>1016.43143755219</v>
      </c>
      <c r="AV129" s="35">
        <f>SUM(AR129:AU129)</f>
        <v>4637.04354900728</v>
      </c>
      <c r="AW129" s="35">
        <f>SUM(AW122,AW123,AW127,AW128)</f>
        <v>1113.77248936126</v>
      </c>
      <c r="AX129" s="35">
        <f>SUM(AX122,AX123,AX127,AX128)</f>
        <v>1255.80796081493</v>
      </c>
      <c r="AY129" s="35">
        <f>SUM(AY122,AY123,AY127,AY128)</f>
        <v>1261.77749047451</v>
      </c>
      <c r="AZ129" s="35">
        <f>SUM(AZ122,AZ123,AZ127,AZ128)</f>
        <v>1019.4481646361</v>
      </c>
      <c r="BA129" s="35">
        <f>SUM(AW129:AZ129)</f>
        <v>4650.80610528681</v>
      </c>
      <c r="BB129" s="35">
        <f>SUM(BB122,BB123,BB127,BB128)</f>
        <v>1113.77248936126</v>
      </c>
      <c r="BC129" s="35">
        <f>SUM(BC122,BC123,BC127,BC128)</f>
        <v>1255.80796081493</v>
      </c>
      <c r="BD129" s="35">
        <f>SUM(BD122,BD123,BD127,BD128)</f>
        <v>1261.77749047451</v>
      </c>
      <c r="BE129" s="35">
        <f>SUM(BE122,BE123,BE127,BE128)</f>
        <v>1019.4481646361</v>
      </c>
      <c r="BF129" s="35">
        <f>SUM(BB129:BE129)</f>
        <v>4650.80610528681</v>
      </c>
      <c r="BG129" s="35" t="n"/>
      <c r="BH129" s="35" t="n"/>
      <c r="BI129" s="35" t="n"/>
      <c r="BJ129" s="35" t="n"/>
      <c r="BK129" s="35" t="n"/>
      <c r="BL129" s="35" t="n"/>
      <c r="BM129" s="35" t="n"/>
      <c r="BN129" s="35" t="n"/>
      <c r="BO129" s="35" t="n"/>
      <c r="BP129" s="35" t="n"/>
      <c r="BQ129" s="35" t="n"/>
      <c r="BR129" s="35" t="n"/>
      <c r="BS129" s="35" t="n"/>
      <c r="BT129" s="35" t="n"/>
      <c r="BU129" s="35" t="n"/>
      <c r="BV129" s="35" t="n"/>
      <c r="BW129" s="35" t="n"/>
      <c r="BX129" s="35" t="n"/>
      <c r="BY129" s="35" t="n"/>
      <c r="BZ129" s="35" t="n"/>
      <c r="CA129" s="35" t="n"/>
      <c r="CB129" s="35" t="n"/>
      <c r="CC129" s="35" t="n"/>
      <c r="CD129" s="35" t="n"/>
      <c r="CE129" s="35" t="n"/>
      <c r="CF129" s="35" t="n"/>
      <c r="CG129" s="35" t="n"/>
      <c r="CH129" s="35" t="n"/>
      <c r="CI129" s="35" t="n"/>
      <c r="CJ129" s="35" t="n"/>
      <c r="CK129" s="35" t="n"/>
      <c r="CL129" s="35" t="n"/>
      <c r="CM129" s="35" t="n"/>
      <c r="CN129" s="35" t="n"/>
      <c r="CO129" s="35" t="n"/>
      <c r="CP129" s="35" t="n"/>
      <c r="CQ129" s="35" t="n"/>
      <c r="CR129" s="35" t="n"/>
      <c r="CS129" s="35" t="n"/>
      <c r="CT129" s="35" t="n"/>
      <c r="CU129" s="35" t="n"/>
      <c r="CV129" s="35" t="n"/>
      <c r="CW129" s="35" t="n"/>
      <c r="CX129" s="35" t="n"/>
      <c r="CY129" s="35" t="n"/>
    </row>
    <row r="130">
      <c r="C130" s="13" t="inlineStr">
        <is>
          <t>Common Dividends</t>
        </is>
      </c>
      <c r="D130" s="46" t="n"/>
      <c r="E130" s="46" t="n"/>
      <c r="F130" s="46" t="n"/>
      <c r="G130" s="46" t="n"/>
      <c r="H130" s="12" t="n"/>
      <c r="I130" s="46">
        <f>'Inputs (2)'!D13</f>
        <v>0</v>
      </c>
      <c r="J130" s="46">
        <f>'Inputs (2)'!E13</f>
        <v>-111</v>
      </c>
      <c r="K130" s="46">
        <f>'Inputs (2)'!F13</f>
        <v>-109</v>
      </c>
      <c r="L130" s="46">
        <f>'Inputs (2)'!G13</f>
        <v>-780</v>
      </c>
      <c r="M130" s="12">
        <f>'Inputs (2)'!H13</f>
        <v>-1000</v>
      </c>
      <c r="N130" s="46">
        <f>'Inputs (2)'!I13</f>
        <v>-220</v>
      </c>
      <c r="O130" s="46">
        <f>'Inputs (2)'!J13</f>
        <v>-218</v>
      </c>
      <c r="P130" s="46">
        <f>'Inputs (2)'!K13</f>
        <v>-214</v>
      </c>
      <c r="Q130" s="46">
        <f>'Inputs (2)'!L13</f>
        <v>-214</v>
      </c>
      <c r="R130" s="12">
        <f>'Inputs (2)'!M13</f>
        <v>-866</v>
      </c>
      <c r="S130" s="46">
        <f>'Inputs (2)'!N13</f>
        <v>-217</v>
      </c>
      <c r="T130" s="46">
        <f>'Inputs (2)'!O13</f>
        <v>-215</v>
      </c>
      <c r="U130" s="46">
        <f>'Inputs (2)'!P13</f>
        <v>-215</v>
      </c>
      <c r="V130" s="46">
        <f>'Inputs (2)'!Q13</f>
        <v>-216</v>
      </c>
      <c r="W130" s="12">
        <f>'Inputs (2)'!R13</f>
        <v>-863</v>
      </c>
      <c r="X130" s="46">
        <f>'Inputs (2)'!S13</f>
        <v>-218</v>
      </c>
      <c r="Y130" s="46">
        <f>'Inputs (2)'!T13</f>
        <v>-215</v>
      </c>
      <c r="Z130" s="46">
        <f>'Inputs (2)'!U13</f>
        <v>-216</v>
      </c>
      <c r="AA130" s="46">
        <f>'Inputs (2)'!V13</f>
        <v>-216</v>
      </c>
      <c r="AB130" s="12">
        <f>'Inputs (2)'!W13</f>
        <v>-865</v>
      </c>
      <c r="AC130" s="46">
        <f>'Inputs (2)'!X13</f>
        <v>-218</v>
      </c>
      <c r="AD130" s="46">
        <f>'Inputs (2)'!Y13</f>
        <v>-215</v>
      </c>
      <c r="AE130" s="46">
        <f>'Inputs (2)'!Z13</f>
        <v>-216</v>
      </c>
      <c r="AF130" s="46">
        <f>'Inputs (2)'!AA13</f>
        <v>-216</v>
      </c>
      <c r="AG130" s="12">
        <f>'Inputs (2)'!AB13</f>
        <v>-865</v>
      </c>
      <c r="AH130" s="12">
        <f>'Inputs (2)'!AC13</f>
        <v>-218</v>
      </c>
      <c r="AI130" s="12">
        <f>'Inputs (2)'!AD13</f>
        <v>-216</v>
      </c>
      <c r="AJ130" s="12">
        <f>-MAX(0,AJ129)*Control!$E$15</f>
        <v>0</v>
      </c>
      <c r="AK130" s="12">
        <f>-MAX(0,AK129)*Control!$E$15</f>
        <v>0</v>
      </c>
      <c r="AL130" s="12">
        <f>SUM(AH130:AK130)</f>
        <v>-434</v>
      </c>
      <c r="AM130" s="12">
        <f>-MAX(0,AM129)*Control!$E$15</f>
        <v>0</v>
      </c>
      <c r="AN130" s="12">
        <f>-MAX(0,AN129)*Control!$E$15</f>
        <v>0</v>
      </c>
      <c r="AO130" s="12">
        <f>-MAX(0,AO129)*Control!$E$15</f>
        <v>0</v>
      </c>
      <c r="AP130" s="12">
        <f>-MAX(0,AP129)*Control!$E$15</f>
        <v>0</v>
      </c>
      <c r="AQ130" s="12">
        <f>SUM(AM130:AP130)</f>
        <v>0</v>
      </c>
      <c r="AR130" s="12">
        <f>-MAX(0,AR129)*Control!$E$15</f>
        <v>0</v>
      </c>
      <c r="AS130" s="12">
        <f>-MAX(0,AS129)*Control!$E$15</f>
        <v>0</v>
      </c>
      <c r="AT130" s="12">
        <f>-MAX(0,AT129)*Control!$E$15</f>
        <v>0</v>
      </c>
      <c r="AU130" s="12">
        <f>-MAX(0,AU129)*Control!$E$15</f>
        <v>0</v>
      </c>
      <c r="AV130" s="12">
        <f>SUM(AR130:AU130)</f>
        <v>0</v>
      </c>
      <c r="AW130" s="12">
        <f>-MAX(0,AW129)*Control!$E$15</f>
        <v>0</v>
      </c>
      <c r="AX130" s="12">
        <f>-MAX(0,AX129)*Control!$E$15</f>
        <v>0</v>
      </c>
      <c r="AY130" s="12">
        <f>-MAX(0,AY129)*Control!$E$15</f>
        <v>0</v>
      </c>
      <c r="AZ130" s="12">
        <f>-MAX(0,AZ129)*Control!$E$15</f>
        <v>0</v>
      </c>
      <c r="BA130" s="12">
        <f>SUM(AW130:AZ130)</f>
        <v>0</v>
      </c>
      <c r="BB130" s="12">
        <f>-MAX(0,BB129)*Control!$E$15</f>
        <v>0</v>
      </c>
      <c r="BC130" s="12">
        <f>-MAX(0,BC129)*Control!$E$15</f>
        <v>0</v>
      </c>
      <c r="BD130" s="12">
        <f>-MAX(0,BD129)*Control!$E$15</f>
        <v>0</v>
      </c>
      <c r="BE130" s="12">
        <f>-MAX(0,BE129)*Control!$E$15</f>
        <v>0</v>
      </c>
      <c r="BF130" s="12">
        <f>SUM(BB130:BE130)</f>
        <v>0</v>
      </c>
      <c r="BG130" s="12" t="n"/>
      <c r="BH130" s="12" t="n"/>
      <c r="BI130" s="12" t="n"/>
      <c r="BJ130" s="12" t="n"/>
      <c r="BK130" s="12" t="n"/>
      <c r="BL130" s="12" t="n"/>
      <c r="BM130" s="12" t="n"/>
      <c r="BN130" s="12" t="n"/>
      <c r="BO130" s="12" t="n"/>
      <c r="BP130" s="12" t="n"/>
      <c r="BQ130" s="12" t="n"/>
      <c r="BR130" s="12" t="n"/>
      <c r="BS130" s="12" t="n"/>
      <c r="BT130" s="12" t="n"/>
      <c r="BU130" s="12" t="n"/>
      <c r="BV130" s="12" t="n"/>
      <c r="BW130" s="12" t="n"/>
      <c r="BX130" s="12" t="n"/>
      <c r="BY130" s="12" t="n"/>
      <c r="BZ130" s="12" t="n"/>
      <c r="CA130" s="12" t="n"/>
      <c r="CB130" s="12" t="n"/>
      <c r="CC130" s="12" t="n"/>
      <c r="CD130" s="12" t="n"/>
      <c r="CE130" s="12" t="n"/>
      <c r="CF130" s="12" t="n"/>
      <c r="CG130" s="12" t="n"/>
      <c r="CH130" s="12" t="n"/>
      <c r="CI130" s="12" t="n"/>
      <c r="CJ130" s="12" t="n"/>
      <c r="CK130" s="12" t="n"/>
      <c r="CL130" s="12" t="n"/>
      <c r="CM130" s="12" t="n"/>
      <c r="CN130" s="12" t="n"/>
      <c r="CO130" s="12" t="n"/>
      <c r="CP130" s="12" t="n"/>
      <c r="CQ130" s="12" t="n"/>
      <c r="CR130" s="12" t="n"/>
      <c r="CS130" s="12" t="n"/>
      <c r="CT130" s="12" t="n"/>
      <c r="CU130" s="12" t="n"/>
      <c r="CV130" s="12" t="n"/>
      <c r="CW130" s="12" t="n"/>
      <c r="CX130" s="12" t="n"/>
      <c r="CY130" s="12" t="n"/>
    </row>
    <row r="131" hidden="1" outlineLevel="1">
      <c r="C131" s="50" t="inlineStr">
        <is>
          <t>% DVD Payout</t>
        </is>
      </c>
      <c r="D131" s="58" t="n"/>
      <c r="E131" s="58" t="n"/>
      <c r="F131" s="58" t="n"/>
      <c r="G131" s="58" t="n"/>
      <c r="H131" s="58" t="n"/>
      <c r="I131" s="58">
        <f>IF(I129=0,"",-I130/I129)</f>
        <v>0</v>
      </c>
      <c r="J131" s="58">
        <f>IF(J129=0,"",-J130/J129)</f>
        <v>0.102493074792244</v>
      </c>
      <c r="K131" s="58">
        <f>IF(K129=0,"",-K130/K129)</f>
        <v>0.0779127948534668</v>
      </c>
      <c r="L131" s="58">
        <f>IF(L129=0,"",-L130/L129)</f>
        <v>0.705244122965642</v>
      </c>
      <c r="M131" s="58">
        <f>IF(M129=0,"",-M130/M129)</f>
        <v>0.2322340919647</v>
      </c>
      <c r="N131" s="58">
        <f>IF(N129=0,"",-N130/N129)</f>
        <v>0.14407334643091</v>
      </c>
      <c r="O131" s="58">
        <f>IF(O129=0,"",-O130/O129)</f>
        <v>0.25952380952381</v>
      </c>
      <c r="P131" s="58">
        <f>IF(P129=0,"",-P130/P129)</f>
        <v>0.52970297029703</v>
      </c>
      <c r="Q131" s="58">
        <f>IF(Q129=0,"",-Q130/Q129)</f>
        <v>0.307030129124821</v>
      </c>
      <c r="R131" s="58">
        <f>IF(R129=0,"",-R130/R129)</f>
        <v>0.249711649365629</v>
      </c>
      <c r="S131" s="58">
        <f>IF(S129=0,"",-S130/S129)</f>
        <v>0.327300150829563</v>
      </c>
      <c r="T131" s="58">
        <f>IF(T129=0,"",-T130/T129)</f>
        <v>0.626822157434402</v>
      </c>
      <c r="U131" s="58">
        <f>IF(U129=0,"",-U130/U129)</f>
        <v>0.473568281938326</v>
      </c>
      <c r="V131" s="58">
        <f>IF(V129=0,"",-V130/V129)</f>
        <v>0.556701030927835</v>
      </c>
      <c r="W131" s="58">
        <f>IF(W129=0,"",-W130/W129)</f>
        <v>0.466991341991342</v>
      </c>
      <c r="X131" s="58">
        <f>IF(X129=0,"",-X130/X129)</f>
        <v>0.460887949260042</v>
      </c>
      <c r="Y131" s="58">
        <f>IF(Y129=0,"",-Y130/Y129)</f>
        <v>0.349025974025974</v>
      </c>
      <c r="Z131" s="58">
        <f>IF(Z129=0,"",-Z130/Z129)</f>
        <v>0.4106463878327</v>
      </c>
      <c r="AA131" s="58">
        <f>IF(AA129=0,"",-AA130/AA129)</f>
        <v>0.788321167883212</v>
      </c>
      <c r="AB131" s="58">
        <f>IF(AB129=0,"",-AB130/AB129)</f>
        <v>0.457914240338804</v>
      </c>
      <c r="AC131" s="58">
        <f>IF(AC129=0,"",-AC130/AC129)</f>
        <v>0.619318181818182</v>
      </c>
      <c r="AD131" s="58">
        <f>IF(AD129=0,"",-AD130/AD129)</f>
        <v>0.278497409326425</v>
      </c>
      <c r="AE131" s="58">
        <f>IF(AE129=0,"",-AE130/AE129)</f>
        <v>0.320474777448071</v>
      </c>
      <c r="AF131" s="41">
        <f>IF(AF129=0,"",-AF130/AF129)</f>
        <v>0.532019704433498</v>
      </c>
      <c r="AG131" s="12">
        <f>IF(AG129=0,"",-AG130/AG129)</f>
        <v>0.392468239564428</v>
      </c>
      <c r="AH131" s="41">
        <f>IF(AH129=0,"",-AH130/AH129)</f>
        <v>0.24744608399546</v>
      </c>
      <c r="AI131" s="41">
        <f>IF(AI129=0,"",-AI130/AI129)</f>
        <v>0.219512195121951</v>
      </c>
      <c r="AJ131" s="41">
        <f>IF(AJ129=0,"",-AJ130/AJ129)</f>
        <v>0</v>
      </c>
      <c r="AK131" s="41">
        <f>IF(AK129=0,"",-AK130/AK129)</f>
        <v>0</v>
      </c>
      <c r="AL131" s="12">
        <f>IF(AL129=0,"",-AL130/AL129)</f>
        <v>0.106044851886885</v>
      </c>
      <c r="AM131" s="41">
        <f>IF(AM129=0,"",-AM130/AM129)</f>
        <v>0</v>
      </c>
      <c r="AN131" s="41">
        <f>IF(AN129=0,"",-AN130/AN129)</f>
        <v>0</v>
      </c>
      <c r="AO131" s="41">
        <f>IF(AO129=0,"",-AO130/AO129)</f>
        <v>0</v>
      </c>
      <c r="AP131" s="41">
        <f>IF(AP129=0,"",-AP130/AP129)</f>
        <v>0</v>
      </c>
      <c r="AQ131" s="12">
        <f>IF(AQ129=0,"",-AQ130/AQ129)</f>
        <v>0</v>
      </c>
      <c r="AR131" s="41">
        <f>IF(AR129=0,"",-AR130/AR129)</f>
        <v>0</v>
      </c>
      <c r="AS131" s="41">
        <f>IF(AS129=0,"",-AS130/AS129)</f>
        <v>0</v>
      </c>
      <c r="AT131" s="41">
        <f>IF(AT129=0,"",-AT130/AT129)</f>
        <v>0</v>
      </c>
      <c r="AU131" s="41">
        <f>IF(AU129=0,"",-AU130/AU129)</f>
        <v>0</v>
      </c>
      <c r="AV131" s="12">
        <f>IF(AV129=0,"",-AV130/AV129)</f>
        <v>0</v>
      </c>
      <c r="AW131" s="41">
        <f>IF(AW129=0,"",-AW130/AW129)</f>
        <v>0</v>
      </c>
      <c r="AX131" s="41">
        <f>IF(AX129=0,"",-AX130/AX129)</f>
        <v>0</v>
      </c>
      <c r="AY131" s="41">
        <f>IF(AY129=0,"",-AY130/AY129)</f>
        <v>0</v>
      </c>
      <c r="AZ131" s="41">
        <f>IF(AZ129=0,"",-AZ130/AZ129)</f>
        <v>0</v>
      </c>
      <c r="BA131" s="12">
        <f>IF(BA129=0,"",-BA130/BA129)</f>
        <v>0</v>
      </c>
      <c r="BB131" s="41">
        <f>IF(BB129=0,"",-BB130/BB129)</f>
        <v>0</v>
      </c>
      <c r="BC131" s="41">
        <f>IF(BC129=0,"",-BC130/BC129)</f>
        <v>0</v>
      </c>
      <c r="BD131" s="41">
        <f>IF(BD129=0,"",-BD130/BD129)</f>
        <v>0</v>
      </c>
      <c r="BE131" s="41">
        <f>IF(BE129=0,"",-BE130/BE129)</f>
        <v>0</v>
      </c>
      <c r="BF131" s="12">
        <f>IF(BF129=0,"",-BF130/BF129)</f>
        <v>0</v>
      </c>
      <c r="BG131" s="41" t="n"/>
      <c r="BH131" s="41" t="n"/>
      <c r="BI131" s="41" t="n"/>
      <c r="BJ131" s="41" t="n"/>
      <c r="BK131" s="12" t="n"/>
      <c r="BL131" s="41" t="n"/>
      <c r="BM131" s="41" t="n"/>
      <c r="BN131" s="41" t="n"/>
      <c r="BO131" s="41" t="n"/>
      <c r="BP131" s="12" t="n"/>
      <c r="BQ131" s="41" t="n"/>
      <c r="BR131" s="41" t="n"/>
      <c r="BS131" s="41" t="n"/>
      <c r="BT131" s="41" t="n"/>
      <c r="BU131" s="12" t="n"/>
      <c r="BV131" s="41" t="n"/>
      <c r="BW131" s="41" t="n"/>
      <c r="BX131" s="41" t="n"/>
      <c r="BY131" s="41" t="n"/>
      <c r="BZ131" s="12" t="n"/>
      <c r="CA131" s="41" t="n"/>
      <c r="CB131" s="41" t="n"/>
      <c r="CC131" s="41" t="n"/>
      <c r="CD131" s="41" t="n"/>
      <c r="CE131" s="12" t="n"/>
      <c r="CF131" s="41" t="n"/>
      <c r="CG131" s="41" t="n"/>
      <c r="CH131" s="41" t="n"/>
      <c r="CI131" s="41" t="n"/>
      <c r="CJ131" s="12" t="n"/>
      <c r="CK131" s="41" t="n"/>
      <c r="CL131" s="41" t="n"/>
      <c r="CM131" s="41" t="n"/>
      <c r="CN131" s="41" t="n"/>
      <c r="CO131" s="12" t="n"/>
      <c r="CP131" s="41" t="n"/>
      <c r="CQ131" s="41" t="n"/>
      <c r="CR131" s="41" t="n"/>
      <c r="CS131" s="41" t="n"/>
      <c r="CT131" s="12" t="n"/>
      <c r="CU131" s="41" t="n"/>
      <c r="CV131" s="41" t="n"/>
      <c r="CW131" s="41" t="n"/>
      <c r="CX131" s="41" t="n"/>
      <c r="CY131" s="12" t="n"/>
    </row>
    <row r="132" hidden="1" outlineLevel="1">
      <c r="C132" s="18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  <c r="AA132" s="3" t="n"/>
      <c r="AB132" s="3" t="n"/>
      <c r="AC132" s="3" t="n"/>
      <c r="AD132" s="3" t="n"/>
      <c r="AE132" s="3" t="n"/>
      <c r="AF132" s="3" t="n"/>
      <c r="AG132" s="3" t="n"/>
      <c r="AH132" s="3" t="n"/>
      <c r="AI132" s="3" t="n"/>
      <c r="AJ132" s="3" t="n"/>
      <c r="AK132" s="3" t="n"/>
      <c r="AL132" s="3" t="n"/>
      <c r="AM132" s="3" t="n"/>
      <c r="AN132" s="3" t="n"/>
      <c r="AO132" s="3" t="n"/>
      <c r="AP132" s="3" t="n"/>
      <c r="AQ132" s="3" t="n"/>
      <c r="AR132" s="3" t="n"/>
      <c r="AS132" s="3" t="n"/>
      <c r="AT132" s="3" t="n"/>
      <c r="AU132" s="3" t="n"/>
      <c r="AV132" s="3" t="n"/>
      <c r="AW132" s="3" t="n"/>
      <c r="AX132" s="3" t="n"/>
      <c r="AY132" s="3" t="n"/>
      <c r="AZ132" s="3" t="n"/>
      <c r="BA132" s="3" t="n"/>
      <c r="BB132" s="3" t="n"/>
      <c r="BC132" s="3" t="n"/>
      <c r="BD132" s="3" t="n"/>
      <c r="BE132" s="3" t="n"/>
      <c r="BF132" s="3" t="n"/>
      <c r="BG132" s="3" t="n"/>
      <c r="BH132" s="3" t="n"/>
      <c r="BI132" s="3" t="n"/>
      <c r="BJ132" s="3" t="n"/>
      <c r="BK132" s="3" t="n"/>
      <c r="BL132" s="3" t="n"/>
      <c r="BM132" s="3" t="n"/>
      <c r="BN132" s="3" t="n"/>
      <c r="BO132" s="3" t="n"/>
      <c r="BP132" s="3" t="n"/>
      <c r="BQ132" s="3" t="n"/>
      <c r="BR132" s="3" t="n"/>
      <c r="BS132" s="3" t="n"/>
      <c r="BT132" s="3" t="n"/>
      <c r="BU132" s="3" t="n"/>
      <c r="BV132" s="3" t="n"/>
      <c r="BW132" s="3" t="n"/>
      <c r="BX132" s="3" t="n"/>
      <c r="BY132" s="3" t="n"/>
      <c r="BZ132" s="3" t="n"/>
      <c r="CA132" s="3" t="n"/>
      <c r="CB132" s="3" t="n"/>
      <c r="CC132" s="3" t="n"/>
      <c r="CD132" s="3" t="n"/>
      <c r="CE132" s="3" t="n"/>
      <c r="CF132" s="3" t="n"/>
      <c r="CG132" s="3" t="n"/>
      <c r="CH132" s="3" t="n"/>
      <c r="CI132" s="3" t="n"/>
      <c r="CJ132" s="3" t="n"/>
      <c r="CK132" s="3" t="n"/>
      <c r="CL132" s="3" t="n"/>
      <c r="CM132" s="3" t="n"/>
      <c r="CN132" s="3" t="n"/>
      <c r="CO132" s="3" t="n"/>
      <c r="CP132" s="3" t="n"/>
      <c r="CQ132" s="3" t="n"/>
      <c r="CR132" s="3" t="n"/>
      <c r="CS132" s="3" t="n"/>
      <c r="CT132" s="3" t="n"/>
      <c r="CU132" s="3" t="n"/>
      <c r="CV132" s="3" t="n"/>
      <c r="CW132" s="3" t="n"/>
      <c r="CX132" s="3" t="n"/>
      <c r="CY132" s="3" t="n"/>
    </row>
    <row r="133" hidden="1" outlineLevel="1">
      <c r="C133" s="18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  <c r="AA133" s="3" t="n"/>
      <c r="AB133" s="3" t="n"/>
      <c r="AC133" s="3" t="n"/>
      <c r="AD133" s="3" t="n"/>
      <c r="AE133" s="3" t="n"/>
      <c r="AF133" s="3" t="n"/>
      <c r="AG133" s="3" t="n"/>
      <c r="AH133" s="3" t="n"/>
      <c r="AI133" s="3" t="n"/>
      <c r="AJ133" s="3" t="n"/>
      <c r="AK133" s="3" t="n"/>
      <c r="AL133" s="3" t="n"/>
      <c r="AM133" s="3" t="n"/>
      <c r="AN133" s="3" t="n"/>
      <c r="AO133" s="3" t="n"/>
      <c r="AP133" s="3" t="n"/>
      <c r="AQ133" s="3" t="n"/>
      <c r="AR133" s="3" t="n"/>
      <c r="AS133" s="3" t="n"/>
      <c r="AT133" s="3" t="n"/>
      <c r="AU133" s="3" t="n"/>
      <c r="AV133" s="3" t="n"/>
      <c r="AW133" s="3" t="n"/>
      <c r="AX133" s="3" t="n"/>
      <c r="AY133" s="3" t="n"/>
      <c r="AZ133" s="3" t="n"/>
      <c r="BA133" s="3" t="n"/>
      <c r="BB133" s="3" t="n"/>
      <c r="BC133" s="3" t="n"/>
      <c r="BD133" s="3" t="n"/>
      <c r="BE133" s="3" t="n"/>
      <c r="BF133" s="3" t="n"/>
      <c r="BG133" s="3" t="n"/>
      <c r="BH133" s="3" t="n"/>
      <c r="BI133" s="3" t="n"/>
      <c r="BJ133" s="3" t="n"/>
      <c r="BK133" s="3" t="n"/>
      <c r="BL133" s="3" t="n"/>
      <c r="BM133" s="3" t="n"/>
      <c r="BN133" s="3" t="n"/>
      <c r="BO133" s="3" t="n"/>
      <c r="BP133" s="3" t="n"/>
      <c r="BQ133" s="3" t="n"/>
      <c r="BR133" s="3" t="n"/>
      <c r="BS133" s="3" t="n"/>
      <c r="BT133" s="3" t="n"/>
      <c r="BU133" s="3" t="n"/>
      <c r="BV133" s="3" t="n"/>
      <c r="BW133" s="3" t="n"/>
      <c r="BX133" s="3" t="n"/>
      <c r="BY133" s="3" t="n"/>
      <c r="BZ133" s="3" t="n"/>
      <c r="CA133" s="3" t="n"/>
      <c r="CB133" s="3" t="n"/>
      <c r="CC133" s="3" t="n"/>
      <c r="CD133" s="3" t="n"/>
      <c r="CE133" s="3" t="n"/>
      <c r="CF133" s="3" t="n"/>
      <c r="CG133" s="3" t="n"/>
      <c r="CH133" s="3" t="n"/>
      <c r="CI133" s="3" t="n"/>
      <c r="CJ133" s="3" t="n"/>
      <c r="CK133" s="3" t="n"/>
      <c r="CL133" s="3" t="n"/>
      <c r="CM133" s="3" t="n"/>
      <c r="CN133" s="3" t="n"/>
      <c r="CO133" s="3" t="n"/>
      <c r="CP133" s="3" t="n"/>
      <c r="CQ133" s="3" t="n"/>
      <c r="CR133" s="3" t="n"/>
      <c r="CS133" s="3" t="n"/>
      <c r="CT133" s="3" t="n"/>
      <c r="CU133" s="3" t="n"/>
      <c r="CV133" s="3" t="n"/>
      <c r="CW133" s="3" t="n"/>
      <c r="CX133" s="3" t="n"/>
      <c r="CY133" s="3" t="n"/>
    </row>
    <row r="134" collapsed="1" ht="11.25" customHeight="1">
      <c r="C134" s="31" t="inlineStr">
        <is>
          <t>Balance Sheet</t>
        </is>
      </c>
      <c r="D134" s="31" t="n"/>
      <c r="E134" s="31" t="n"/>
      <c r="F134" s="31" t="n"/>
      <c r="G134" s="31" t="n"/>
      <c r="H134" s="31" t="n"/>
      <c r="I134" s="31" t="str">
        <f>I13</f>
        <v>1Q21</v>
      </c>
      <c r="J134" s="31" t="str">
        <f>J13</f>
        <v>2Q21</v>
      </c>
      <c r="K134" s="31" t="str">
        <f>K13</f>
        <v>3Q21</v>
      </c>
      <c r="L134" s="31" t="str">
        <f>L13</f>
        <v>4Q21</v>
      </c>
      <c r="M134" s="31">
        <f>M13</f>
        <v>2021</v>
      </c>
      <c r="N134" s="31" t="str">
        <f>N13</f>
        <v>1Q22</v>
      </c>
      <c r="O134" s="31" t="str">
        <f>O13</f>
        <v>2Q22</v>
      </c>
      <c r="P134" s="31" t="str">
        <f>P13</f>
        <v>3Q22</v>
      </c>
      <c r="Q134" s="31" t="str">
        <f>Q13</f>
        <v>4Q22</v>
      </c>
      <c r="R134" s="31">
        <f>R13</f>
        <v>2022</v>
      </c>
      <c r="S134" s="31" t="str">
        <f>S13</f>
        <v>1Q23</v>
      </c>
      <c r="T134" s="31" t="str">
        <f>T13</f>
        <v>2Q23</v>
      </c>
      <c r="U134" s="31" t="str">
        <f>U13</f>
        <v>3Q23</v>
      </c>
      <c r="V134" s="31" t="str">
        <f>V13</f>
        <v>4Q23</v>
      </c>
      <c r="W134" s="31">
        <f>W13</f>
        <v>2023</v>
      </c>
      <c r="X134" s="31" t="str">
        <f>X13</f>
        <v>1Q24</v>
      </c>
      <c r="Y134" s="31" t="str">
        <f>Y13</f>
        <v>2Q24</v>
      </c>
      <c r="Z134" s="31" t="str">
        <f>Z13</f>
        <v>3Q24</v>
      </c>
      <c r="AA134" s="31" t="str">
        <f>AA13</f>
        <v>4Q24</v>
      </c>
      <c r="AB134" s="31">
        <f>AB13</f>
        <v>2024</v>
      </c>
      <c r="AC134" s="31" t="str">
        <f>AC13</f>
        <v>1Q25</v>
      </c>
      <c r="AD134" s="31" t="str">
        <f>AD13</f>
        <v>2Q25</v>
      </c>
      <c r="AE134" s="31" t="str">
        <f>AE13</f>
        <v>3Q25</v>
      </c>
      <c r="AF134" s="31" t="str">
        <f>AF13</f>
        <v>4Q25</v>
      </c>
      <c r="AG134" s="31">
        <f>AG13</f>
        <v>2025</v>
      </c>
      <c r="AH134" s="31" t="str">
        <f>AH13</f>
        <v>1Q26</v>
      </c>
      <c r="AI134" s="31" t="str">
        <f>AI13</f>
        <v>2Q26</v>
      </c>
      <c r="AJ134" s="31" t="str">
        <f>AJ13</f>
        <v>3Q26</v>
      </c>
      <c r="AK134" s="31" t="str">
        <f>AK13</f>
        <v>4Q26</v>
      </c>
      <c r="AL134" s="31">
        <f>AL13</f>
        <v>2026</v>
      </c>
      <c r="AM134" s="31" t="str">
        <f>AM13</f>
        <v>1Q27</v>
      </c>
      <c r="AN134" s="31" t="str">
        <f>AN13</f>
        <v>2Q27</v>
      </c>
      <c r="AO134" s="31" t="str">
        <f>AO13</f>
        <v>3Q27</v>
      </c>
      <c r="AP134" s="31" t="str">
        <f>AP13</f>
        <v>4Q27</v>
      </c>
      <c r="AQ134" s="31">
        <f>AQ13</f>
        <v>2027</v>
      </c>
      <c r="AR134" s="31" t="str">
        <f>AR13</f>
        <v>1Q28</v>
      </c>
      <c r="AS134" s="31" t="str">
        <f>AS13</f>
        <v>2Q28</v>
      </c>
      <c r="AT134" s="31" t="str">
        <f>AT13</f>
        <v>3Q28</v>
      </c>
      <c r="AU134" s="31" t="str">
        <f>AU13</f>
        <v>4Q28</v>
      </c>
      <c r="AV134" s="31">
        <f>AV13</f>
        <v>2028</v>
      </c>
      <c r="AW134" s="31" t="str">
        <f>AW13</f>
        <v>1Q29</v>
      </c>
      <c r="AX134" s="31" t="str">
        <f>AX13</f>
        <v>2Q29</v>
      </c>
      <c r="AY134" s="31" t="str">
        <f>AY13</f>
        <v>3Q29</v>
      </c>
      <c r="AZ134" s="31" t="str">
        <f>AZ13</f>
        <v>4Q29</v>
      </c>
      <c r="BA134" s="31">
        <f>BA13</f>
        <v>2029</v>
      </c>
      <c r="BB134" s="31" t="str">
        <f>BB13</f>
        <v>1Q30</v>
      </c>
      <c r="BC134" s="31" t="str">
        <f>BC13</f>
        <v>2Q30</v>
      </c>
      <c r="BD134" s="31" t="str">
        <f>BD13</f>
        <v>3Q30</v>
      </c>
      <c r="BE134" s="31" t="str">
        <f>BE13</f>
        <v>4Q30</v>
      </c>
      <c r="BF134" s="31">
        <f>BF13</f>
        <v>2030</v>
      </c>
      <c r="BG134" s="31" t="n"/>
      <c r="BH134" s="31" t="n"/>
      <c r="BI134" s="31" t="n"/>
      <c r="BJ134" s="31" t="n"/>
      <c r="BK134" s="31" t="n"/>
      <c r="BL134" s="31" t="n"/>
      <c r="BM134" s="31" t="n"/>
      <c r="BN134" s="31" t="n"/>
      <c r="BO134" s="31" t="n"/>
      <c r="BP134" s="31" t="n"/>
      <c r="BQ134" s="31" t="n"/>
      <c r="BR134" s="31" t="n"/>
      <c r="BS134" s="31" t="n"/>
      <c r="BT134" s="31" t="n"/>
      <c r="BU134" s="31" t="n"/>
      <c r="BV134" s="31" t="n"/>
      <c r="BW134" s="31" t="n"/>
      <c r="BX134" s="31" t="n"/>
      <c r="BY134" s="31" t="n"/>
      <c r="BZ134" s="31" t="n"/>
      <c r="CA134" s="31" t="n"/>
      <c r="CB134" s="31" t="n"/>
      <c r="CC134" s="31" t="n"/>
      <c r="CD134" s="31" t="n"/>
      <c r="CE134" s="31" t="n"/>
      <c r="CF134" s="31" t="n"/>
      <c r="CG134" s="31" t="n"/>
      <c r="CH134" s="31" t="n"/>
      <c r="CI134" s="31" t="n"/>
      <c r="CJ134" s="31" t="n"/>
      <c r="CK134" s="31" t="n"/>
      <c r="CL134" s="31" t="n"/>
      <c r="CM134" s="31" t="n"/>
      <c r="CN134" s="31" t="n"/>
      <c r="CO134" s="31" t="n"/>
      <c r="CP134" s="31" t="n"/>
      <c r="CQ134" s="31" t="n"/>
      <c r="CR134" s="31" t="n"/>
      <c r="CS134" s="31" t="n"/>
      <c r="CT134" s="31" t="n"/>
      <c r="CU134" s="31" t="n"/>
      <c r="CV134" s="31" t="n"/>
      <c r="CW134" s="31" t="n"/>
      <c r="CX134" s="31" t="n"/>
      <c r="CY134" s="31" t="n"/>
    </row>
    <row r="135">
      <c r="C135" s="18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  <c r="AA135" s="3" t="n"/>
      <c r="AB135" s="3" t="n"/>
      <c r="AC135" s="3" t="n"/>
      <c r="AD135" s="3" t="n"/>
      <c r="AE135" s="3" t="n"/>
      <c r="AF135" s="3" t="n"/>
      <c r="AG135" s="3" t="n"/>
      <c r="AH135" s="3" t="n"/>
      <c r="AI135" s="3" t="n"/>
      <c r="AJ135" s="3" t="n"/>
      <c r="AK135" s="3" t="n"/>
      <c r="AL135" s="3" t="n"/>
      <c r="AM135" s="3" t="n"/>
      <c r="AN135" s="3" t="n"/>
      <c r="AO135" s="3" t="n"/>
      <c r="AP135" s="3" t="n"/>
      <c r="AQ135" s="3" t="n"/>
      <c r="AR135" s="3" t="n"/>
      <c r="AS135" s="3" t="n"/>
      <c r="AT135" s="3" t="n"/>
      <c r="AU135" s="3" t="n"/>
      <c r="AV135" s="3" t="n"/>
      <c r="AW135" s="3" t="n"/>
      <c r="AX135" s="3" t="n"/>
      <c r="AY135" s="3" t="n"/>
      <c r="AZ135" s="3" t="n"/>
      <c r="BA135" s="3" t="n"/>
      <c r="BB135" s="3" t="n"/>
      <c r="BC135" s="3" t="n"/>
      <c r="BD135" s="3" t="n"/>
      <c r="BE135" s="3" t="n"/>
      <c r="BF135" s="3" t="n"/>
      <c r="BG135" s="3" t="n"/>
      <c r="BH135" s="3" t="n"/>
      <c r="BI135" s="3" t="n"/>
      <c r="BJ135" s="3" t="n"/>
      <c r="BK135" s="3" t="n"/>
      <c r="BL135" s="3" t="n"/>
      <c r="BM135" s="3" t="n"/>
      <c r="BN135" s="3" t="n"/>
      <c r="BO135" s="3" t="n"/>
      <c r="BP135" s="3" t="n"/>
      <c r="BQ135" s="3" t="n"/>
      <c r="BR135" s="3" t="n"/>
      <c r="BS135" s="3" t="n"/>
      <c r="BT135" s="3" t="n"/>
      <c r="BU135" s="3" t="n"/>
      <c r="BV135" s="3" t="n"/>
      <c r="BW135" s="3" t="n"/>
      <c r="BX135" s="3" t="n"/>
      <c r="BY135" s="3" t="n"/>
      <c r="BZ135" s="3" t="n"/>
      <c r="CA135" s="3" t="n"/>
      <c r="CB135" s="3" t="n"/>
      <c r="CC135" s="3" t="n"/>
      <c r="CD135" s="3" t="n"/>
      <c r="CE135" s="3" t="n"/>
      <c r="CF135" s="3" t="n"/>
      <c r="CG135" s="3" t="n"/>
      <c r="CH135" s="3" t="n"/>
      <c r="CI135" s="3" t="n"/>
      <c r="CJ135" s="3" t="n"/>
      <c r="CK135" s="3" t="n"/>
      <c r="CL135" s="3" t="n"/>
      <c r="CM135" s="3" t="n"/>
      <c r="CN135" s="3" t="n"/>
      <c r="CO135" s="3" t="n"/>
      <c r="CP135" s="3" t="n"/>
      <c r="CQ135" s="3" t="n"/>
      <c r="CR135" s="3" t="n"/>
      <c r="CS135" s="3" t="n"/>
      <c r="CT135" s="3" t="n"/>
      <c r="CU135" s="3" t="n"/>
      <c r="CV135" s="3" t="n"/>
      <c r="CW135" s="3" t="n"/>
      <c r="CX135" s="3" t="n"/>
      <c r="CY135" s="3" t="n"/>
    </row>
    <row r="136">
      <c r="C136" s="13" t="inlineStr">
        <is>
          <t>Cash and equivalents (inc. investment securities)</t>
        </is>
      </c>
      <c r="D136" s="46" t="n"/>
      <c r="E136" s="46" t="n"/>
      <c r="F136" s="46" t="n"/>
      <c r="G136" s="46" t="n"/>
      <c r="H136" s="12" t="n"/>
      <c r="I136" s="46">
        <f>'Inputs (2)'!D15</f>
        <v>4580</v>
      </c>
      <c r="J136" s="46">
        <f>'Inputs (2)'!E15</f>
        <v>6313</v>
      </c>
      <c r="K136" s="46">
        <f>'Inputs (2)'!F15</f>
        <v>7672</v>
      </c>
      <c r="L136" s="46">
        <f>'Inputs (2)'!G15</f>
        <v>16382</v>
      </c>
      <c r="M136" s="12">
        <f>'Inputs (2)'!H15</f>
        <v>16382</v>
      </c>
      <c r="N136" s="46">
        <f>'Inputs (2)'!I15</f>
        <v>8338</v>
      </c>
      <c r="O136" s="46">
        <f>'Inputs (2)'!J15</f>
        <v>9492</v>
      </c>
      <c r="P136" s="46">
        <f>'Inputs (2)'!K15</f>
        <v>8578</v>
      </c>
      <c r="Q136" s="46">
        <f>'Inputs (2)'!L15</f>
        <v>16536</v>
      </c>
      <c r="R136" s="12">
        <f>'Inputs (2)'!M15</f>
        <v>16536</v>
      </c>
      <c r="S136" s="46">
        <f>'Inputs (2)'!N15</f>
        <v>6852</v>
      </c>
      <c r="T136" s="46">
        <f>'Inputs (2)'!O15</f>
        <v>6683</v>
      </c>
      <c r="U136" s="46">
        <f>'Inputs (2)'!P15</f>
        <v>5745</v>
      </c>
      <c r="V136" s="46">
        <f>'Inputs (2)'!Q15</f>
        <v>10821</v>
      </c>
      <c r="W136" s="12">
        <f>'Inputs (2)'!R15</f>
        <v>10821</v>
      </c>
      <c r="X136" s="46">
        <f>'Inputs (2)'!S15</f>
        <v>5208</v>
      </c>
      <c r="Y136" s="46">
        <f>'Inputs (2)'!T15</f>
        <v>5273</v>
      </c>
      <c r="Z136" s="46">
        <f>'Inputs (2)'!U15</f>
        <v>5000</v>
      </c>
      <c r="AA136" s="46">
        <f>'Inputs (2)'!V15</f>
        <v>8834</v>
      </c>
      <c r="AB136" s="12">
        <f>'Inputs (2)'!W15</f>
        <v>8834</v>
      </c>
      <c r="AC136" s="46">
        <f>'Inputs (2)'!X15</f>
        <v>4385</v>
      </c>
      <c r="AD136" s="46">
        <f>'Inputs (2)'!Y15</f>
        <v>4490</v>
      </c>
      <c r="AE136" s="46">
        <f>'Inputs (2)'!Z15</f>
        <v>4318</v>
      </c>
      <c r="AF136" s="46">
        <f>'Inputs (2)'!AA15</f>
        <v>7997</v>
      </c>
      <c r="AG136" s="12">
        <f>'Inputs (2)'!AB15</f>
        <v>7997</v>
      </c>
      <c r="AH136" s="12">
        <f>'Inputs (2)'!AC15</f>
        <v>3737</v>
      </c>
      <c r="AI136" s="12">
        <f>'Inputs (2)'!AD15</f>
        <v>4080</v>
      </c>
      <c r="AJ136" s="12">
        <f>AJ265-SUM(AJ137,AJ141,AJ145,AJ146,AJ147,AJ153,AJ158,AJ168,AJ171,AJ172,AJ181)</f>
        <v>4614.28778316053</v>
      </c>
      <c r="AK136" s="12">
        <f>AK265-SUM(AK137,AK141,AK145,AK146,AK147,AK153,AK158,AK168,AK171,AK172,AK181)</f>
        <v>4433.55481724496</v>
      </c>
      <c r="AL136" s="12">
        <f>AK136</f>
        <v>4433.55481724496</v>
      </c>
      <c r="AM136" s="12">
        <f>AM265-SUM(AM137,AM141,AM145,AM146,AM147,AM153,AM158,AM168,AM171,AM172,AM181)</f>
        <v>5423.67216974535</v>
      </c>
      <c r="AN136" s="12">
        <f>AN265-SUM(AN137,AN141,AN145,AN146,AN147,AN153,AN158,AN168,AN171,AN172,AN181)</f>
        <v>6485.60327851204</v>
      </c>
      <c r="AO136" s="12">
        <f>AO265-SUM(AO137,AO141,AO145,AO146,AO147,AO153,AO158,AO168,AO171,AO172,AO181)</f>
        <v>7133.97669530711</v>
      </c>
      <c r="AP136" s="12">
        <f>AP265-SUM(AP137,AP141,AP145,AP146,AP147,AP153,AP158,AP168,AP171,AP172,AP181)</f>
        <v>6951.16691924742</v>
      </c>
      <c r="AQ136" s="12">
        <f>AP136</f>
        <v>6951.16691924742</v>
      </c>
      <c r="AR136" s="12">
        <f>AR265-SUM(AR137,AR141,AR145,AR146,AR147,AR153,AR158,AR168,AR171,AR172,AR181)</f>
        <v>7893.79364949105</v>
      </c>
      <c r="AS136" s="12">
        <f>AS265-SUM(AS137,AS141,AS145,AS146,AS147,AS153,AS158,AS168,AS171,AS172,AS181)</f>
        <v>8999.52419366168</v>
      </c>
      <c r="AT136" s="12">
        <f>AT265-SUM(AT137,AT141,AT145,AT146,AT147,AT153,AT158,AT168,AT171,AT172,AT181)</f>
        <v>9650.51041725837</v>
      </c>
      <c r="AU136" s="12">
        <f>AU265-SUM(AU137,AU141,AU145,AU146,AU147,AU153,AU158,AU168,AU171,AU172,AU181)</f>
        <v>9463.63524288242</v>
      </c>
      <c r="AV136" s="12">
        <f>AU136</f>
        <v>9463.63524288242</v>
      </c>
      <c r="AW136" s="12">
        <f>AW265-SUM(AW137,AW141,AW145,AW146,AW147,AW153,AW158,AW168,AW171,AW172,AW181)</f>
        <v>10429.0055699504</v>
      </c>
      <c r="AX136" s="12">
        <f>AX265-SUM(AX137,AX141,AX145,AX146,AX147,AX153,AX158,AX168,AX171,AX172,AX181)</f>
        <v>11497.3287197704</v>
      </c>
      <c r="AY136" s="12">
        <f>AY265-SUM(AY137,AY141,AY145,AY146,AY147,AY153,AY158,AY168,AY171,AY172,AY181)</f>
        <v>12147.4768334581</v>
      </c>
      <c r="AZ136" s="12">
        <f>AZ265-SUM(AZ137,AZ141,AZ145,AZ146,AZ147,AZ153,AZ158,AZ168,AZ171,AZ172,AZ181)</f>
        <v>11957.2462639106</v>
      </c>
      <c r="BA136" s="12">
        <f>AZ136</f>
        <v>11957.2462639106</v>
      </c>
      <c r="BB136" s="12">
        <f>BB265-SUM(BB137,BB141,BB145,BB146,BB147,BB153,BB158,BB168,BB171,BB172,BB181)</f>
        <v>12911.7814677262</v>
      </c>
      <c r="BC136" s="12">
        <f>BC265-SUM(BC137,BC141,BC145,BC146,BC147,BC153,BC158,BC168,BC171,BC172,BC181)</f>
        <v>13978.4148617869</v>
      </c>
      <c r="BD136" s="12">
        <f>BD265-SUM(BD137,BD141,BD145,BD146,BD147,BD153,BD158,BD168,BD171,BD172,BD181)</f>
        <v>14626.8682045889</v>
      </c>
      <c r="BE136" s="12">
        <f>BE265-SUM(BE137,BE141,BE145,BE146,BE147,BE153,BE158,BE168,BE171,BE172,BE181)</f>
        <v>14434.9378341449</v>
      </c>
      <c r="BF136" s="12">
        <f>BE136</f>
        <v>14434.9378341449</v>
      </c>
      <c r="BG136" s="12" t="n"/>
      <c r="BH136" s="12" t="n"/>
      <c r="BI136" s="12" t="n"/>
      <c r="BJ136" s="12" t="n"/>
      <c r="BK136" s="12" t="n"/>
      <c r="BL136" s="12" t="n"/>
      <c r="BM136" s="12" t="n"/>
      <c r="BN136" s="12" t="n"/>
      <c r="BO136" s="12" t="n"/>
      <c r="BP136" s="12" t="n"/>
      <c r="BQ136" s="12" t="n"/>
      <c r="BR136" s="12" t="n"/>
      <c r="BS136" s="12" t="n"/>
      <c r="BT136" s="12" t="n"/>
      <c r="BU136" s="12" t="n"/>
      <c r="BV136" s="12" t="n"/>
      <c r="BW136" s="12" t="n"/>
      <c r="BX136" s="12" t="n"/>
      <c r="BY136" s="12" t="n"/>
      <c r="BZ136" s="12" t="n"/>
      <c r="CA136" s="12" t="n"/>
      <c r="CB136" s="12" t="n"/>
      <c r="CC136" s="12" t="n"/>
      <c r="CD136" s="12" t="n"/>
      <c r="CE136" s="12" t="n"/>
      <c r="CF136" s="12" t="n"/>
      <c r="CG136" s="12" t="n"/>
      <c r="CH136" s="12" t="n"/>
      <c r="CI136" s="12" t="n"/>
      <c r="CJ136" s="12" t="n"/>
      <c r="CK136" s="12" t="n"/>
      <c r="CL136" s="12" t="n"/>
      <c r="CM136" s="12" t="n"/>
      <c r="CN136" s="12" t="n"/>
      <c r="CO136" s="12" t="n"/>
      <c r="CP136" s="12" t="n"/>
      <c r="CQ136" s="12" t="n"/>
      <c r="CR136" s="12" t="n"/>
      <c r="CS136" s="12" t="n"/>
      <c r="CT136" s="12" t="n"/>
      <c r="CU136" s="12" t="n"/>
      <c r="CV136" s="12" t="n"/>
      <c r="CW136" s="12" t="n"/>
      <c r="CX136" s="12" t="n"/>
      <c r="CY136" s="12" t="n"/>
    </row>
    <row r="137">
      <c r="C137" s="14" t="inlineStr">
        <is>
          <t>Accounts receivable</t>
        </is>
      </c>
      <c r="D137" s="46" t="n"/>
      <c r="E137" s="46" t="n"/>
      <c r="F137" s="46" t="n"/>
      <c r="G137" s="46" t="n"/>
      <c r="H137" s="12" t="n"/>
      <c r="I137" s="46">
        <f>'Inputs (2)'!D16</f>
        <v>1248</v>
      </c>
      <c r="J137" s="46">
        <f>'Inputs (2)'!E16</f>
        <v>1100</v>
      </c>
      <c r="K137" s="46">
        <f>'Inputs (2)'!F16</f>
        <v>931</v>
      </c>
      <c r="L137" s="46">
        <f>'Inputs (2)'!G16</f>
        <v>1168</v>
      </c>
      <c r="M137" s="12">
        <f>'Inputs (2)'!H16</f>
        <v>1168</v>
      </c>
      <c r="N137" s="46">
        <f>'Inputs (2)'!I16</f>
        <v>1537</v>
      </c>
      <c r="O137" s="46">
        <f>'Inputs (2)'!J16</f>
        <v>977</v>
      </c>
      <c r="P137" s="46">
        <f>'Inputs (2)'!K16</f>
        <v>844</v>
      </c>
      <c r="Q137" s="46">
        <f>'Inputs (2)'!L16</f>
        <v>1336</v>
      </c>
      <c r="R137" s="12">
        <f>'Inputs (2)'!M16</f>
        <v>1336</v>
      </c>
      <c r="S137" s="46">
        <f>'Inputs (2)'!N16</f>
        <v>1134</v>
      </c>
      <c r="T137" s="46">
        <f>'Inputs (2)'!O16</f>
        <v>675</v>
      </c>
      <c r="U137" s="46">
        <f>'Inputs (2)'!P16</f>
        <v>792</v>
      </c>
      <c r="V137" s="46">
        <f>'Inputs (2)'!Q16</f>
        <v>1209</v>
      </c>
      <c r="W137" s="12">
        <f>'Inputs (2)'!R16</f>
        <v>1209</v>
      </c>
      <c r="X137" s="46">
        <f>'Inputs (2)'!S16</f>
        <v>1494</v>
      </c>
      <c r="Y137" s="46">
        <f>'Inputs (2)'!T16</f>
        <v>1128</v>
      </c>
      <c r="Z137" s="46">
        <f>'Inputs (2)'!U16</f>
        <v>979</v>
      </c>
      <c r="AA137" s="46">
        <f>'Inputs (2)'!V16</f>
        <v>578</v>
      </c>
      <c r="AB137" s="12">
        <f>'Inputs (2)'!W16</f>
        <v>578</v>
      </c>
      <c r="AC137" s="46">
        <f>'Inputs (2)'!X16</f>
        <v>743</v>
      </c>
      <c r="AD137" s="46">
        <f>'Inputs (2)'!Y16</f>
        <v>941</v>
      </c>
      <c r="AE137" s="46">
        <f>'Inputs (2)'!Z16</f>
        <v>916</v>
      </c>
      <c r="AF137" s="46">
        <f>'Inputs (2)'!AA16</f>
        <v>977</v>
      </c>
      <c r="AG137" s="12">
        <f>'Inputs (2)'!AB16</f>
        <v>977</v>
      </c>
      <c r="AH137" s="12">
        <f>'Inputs (2)'!AC16</f>
        <v>681</v>
      </c>
      <c r="AI137" s="12">
        <f>'Inputs (2)'!AD16</f>
        <v>716</v>
      </c>
      <c r="AJ137" s="12">
        <f>(AJ138/(AJ$5-AI$5))*AJ$15</f>
        <v>897.045050135974</v>
      </c>
      <c r="AK137" s="12">
        <f>(AK138/(AK$5-AJ$5))*AK$15</f>
        <v>724.764022865166</v>
      </c>
      <c r="AL137" s="12">
        <f>AK137</f>
        <v>724.764022865166</v>
      </c>
      <c r="AM137" s="12">
        <f>(AM138/(AM$5-AL$5))*AM$15</f>
        <v>819.915301705847</v>
      </c>
      <c r="AN137" s="12">
        <f>(AN138/(AN$5-AM$5))*AN$15</f>
        <v>914.31712482793</v>
      </c>
      <c r="AO137" s="12">
        <f>(AO138/(AO$5-AN$5))*AO$15</f>
        <v>908.677893788766</v>
      </c>
      <c r="AP137" s="12">
        <f>(AP138/(AP$5-AO$5))*AP$15</f>
        <v>734.162733177297</v>
      </c>
      <c r="AQ137" s="12">
        <f>AP137</f>
        <v>734.162733177297</v>
      </c>
      <c r="AR137" s="12">
        <f>(AR138/(AR$5-AQ$5))*AR$15</f>
        <v>817.366503378208</v>
      </c>
      <c r="AS137" s="12">
        <f>(AS138/(AS$5-AR$5))*AS$15</f>
        <v>921.602366417297</v>
      </c>
      <c r="AT137" s="12">
        <f>(AT138/(AT$5-AS$5))*AT$15</f>
        <v>915.918202215029</v>
      </c>
      <c r="AU137" s="12">
        <f>(AU138/(AU$5-AT$5))*AU$15</f>
        <v>740.012511915843</v>
      </c>
      <c r="AV137" s="12">
        <f>AU137</f>
        <v>740.012511915843</v>
      </c>
      <c r="AW137" s="12">
        <f>(AW138/(AW$5-AV$5))*AW$15</f>
        <v>828.901218448346</v>
      </c>
      <c r="AX137" s="12">
        <f>(AX138/(AX$5-AW$5))*AX$15</f>
        <v>924.337644682665</v>
      </c>
      <c r="AY137" s="12">
        <f>(AY138/(AY$5-AX$5))*AY$15</f>
        <v>918.636610112692</v>
      </c>
      <c r="AZ137" s="12">
        <f>(AZ138/(AZ$5-AY$5))*AZ$15</f>
        <v>742.208838893402</v>
      </c>
      <c r="BA137" s="12">
        <f>AZ137</f>
        <v>742.208838893402</v>
      </c>
      <c r="BB137" s="12">
        <f>(BB138/(BB$5-BA$5))*BB$15</f>
        <v>828.901218448346</v>
      </c>
      <c r="BC137" s="12">
        <f>(BC138/(BC$5-BB$5))*BC$15</f>
        <v>924.337644682665</v>
      </c>
      <c r="BD137" s="12">
        <f>(BD138/(BD$5-BC$5))*BD$15</f>
        <v>918.636610112692</v>
      </c>
      <c r="BE137" s="12">
        <f>(BE138/(BE$5-BD$5))*BE$15</f>
        <v>742.208838893402</v>
      </c>
      <c r="BF137" s="12">
        <f>BE137</f>
        <v>742.208838893402</v>
      </c>
      <c r="BG137" s="12" t="n"/>
      <c r="BH137" s="12" t="n"/>
      <c r="BI137" s="12" t="n"/>
      <c r="BJ137" s="12" t="n"/>
      <c r="BK137" s="12" t="n"/>
      <c r="BL137" s="12" t="n"/>
      <c r="BM137" s="12" t="n"/>
      <c r="BN137" s="12" t="n"/>
      <c r="BO137" s="12" t="n"/>
      <c r="BP137" s="12" t="n"/>
      <c r="BQ137" s="12" t="n"/>
      <c r="BR137" s="12" t="n"/>
      <c r="BS137" s="12" t="n"/>
      <c r="BT137" s="12" t="n"/>
      <c r="BU137" s="12" t="n"/>
      <c r="BV137" s="12" t="n"/>
      <c r="BW137" s="12" t="n"/>
      <c r="BX137" s="12" t="n"/>
      <c r="BY137" s="12" t="n"/>
      <c r="BZ137" s="12" t="n"/>
      <c r="CA137" s="12" t="n"/>
      <c r="CB137" s="12" t="n"/>
      <c r="CC137" s="12" t="n"/>
      <c r="CD137" s="12" t="n"/>
      <c r="CE137" s="12" t="n"/>
      <c r="CF137" s="12" t="n"/>
      <c r="CG137" s="12" t="n"/>
      <c r="CH137" s="12" t="n"/>
      <c r="CI137" s="12" t="n"/>
      <c r="CJ137" s="12" t="n"/>
      <c r="CK137" s="12" t="n"/>
      <c r="CL137" s="12" t="n"/>
      <c r="CM137" s="12" t="n"/>
      <c r="CN137" s="12" t="n"/>
      <c r="CO137" s="12" t="n"/>
      <c r="CP137" s="12" t="n"/>
      <c r="CQ137" s="12" t="n"/>
      <c r="CR137" s="12" t="n"/>
      <c r="CS137" s="12" t="n"/>
      <c r="CT137" s="12" t="n"/>
      <c r="CU137" s="12" t="n"/>
      <c r="CV137" s="12" t="n"/>
      <c r="CW137" s="12" t="n"/>
      <c r="CX137" s="12" t="n"/>
      <c r="CY137" s="12" t="n"/>
    </row>
    <row r="138" hidden="1" outlineLevel="1">
      <c r="C138" s="57" t="inlineStr">
        <is>
          <t>DSO</t>
        </is>
      </c>
      <c r="D138" s="12" t="n"/>
      <c r="E138" s="12" t="n"/>
      <c r="F138" s="12" t="n"/>
      <c r="G138" s="12" t="n"/>
      <c r="H138" s="12" t="n"/>
      <c r="I138" s="12">
        <f>IFERROR((I137/I$15)*(I$5-H$5),"")</f>
        <v>23.1587628865979</v>
      </c>
      <c r="J138" s="12">
        <f>IFERROR((J137/J$15)*(J$5-I$5),"")</f>
        <v>17.4147529575505</v>
      </c>
      <c r="K138" s="12">
        <f>IFERROR((K137/K$15)*(K$5-J$5),"")</f>
        <v>14.0805523590334</v>
      </c>
      <c r="L138" s="12">
        <f>IFERROR((L137/L$15)*(L$5-K$5),"")</f>
        <v>17.4328358208955</v>
      </c>
      <c r="M138" s="12" t="n"/>
      <c r="N138" s="12">
        <f>IFERROR((N137/N$15)*(N$5-M$5),"")</f>
        <v>20.94956837801</v>
      </c>
      <c r="O138" s="12">
        <f>IFERROR((O137/O$15)*(O$5-N$5),"")</f>
        <v>16.4156203840473</v>
      </c>
      <c r="P138" s="12">
        <f>IFERROR((P137/P$15)*(P$5-O$5),"")</f>
        <v>15.5202878273036</v>
      </c>
      <c r="Q138" s="12">
        <f>IFERROR((Q137/Q$15)*(Q$5-P$5),"")</f>
        <v>21.3463007988885</v>
      </c>
      <c r="R138" s="12" t="n"/>
      <c r="S138" s="12">
        <f>IFERROR((S137/S$15)*(S$5-R$5),"")</f>
        <v>18.9385785860085</v>
      </c>
      <c r="T138" s="12">
        <f>IFERROR((T137/T$15)*(T$5-S$5),"")</f>
        <v>10.7068154087502</v>
      </c>
      <c r="U138" s="12">
        <f>IFERROR((U137/U$15)*(U$5-T$5),"")</f>
        <v>12.510989010989</v>
      </c>
      <c r="V138" s="12">
        <f>IFERROR((V137/V$15)*(V$5-U$5),"")</f>
        <v>18.8362404741744</v>
      </c>
      <c r="W138" s="12" t="n"/>
      <c r="X138" s="12">
        <f>IFERROR((X137/X$15)*(X$5-W$5),"")</f>
        <v>21.5083056478405</v>
      </c>
      <c r="Y138" s="12">
        <f>IFERROR((Y137/Y$15)*(Y$5-X$5),"")</f>
        <v>15.4963768115942</v>
      </c>
      <c r="Z138" s="12">
        <f>IFERROR((Z137/Z$15)*(Z$5-Y$5),"")</f>
        <v>13.2648011782032</v>
      </c>
      <c r="AA138" s="12">
        <f>IFERROR((AA137/AA$15)*(AA$5-Z$5),"")</f>
        <v>9.2965034965035</v>
      </c>
      <c r="AB138" s="12" t="n"/>
      <c r="AC138" s="12">
        <f>IFERROR((AC137/AC$15)*(AC$5-AB$5),"")</f>
        <v>11.6742318435754</v>
      </c>
      <c r="AD138" s="12">
        <f>IFERROR((AD137/AD$15)*(AD$5-AC$5),"")</f>
        <v>11.2939857557373</v>
      </c>
      <c r="AE138" s="12">
        <f>IFERROR((AE137/AE$15)*(AE$5-AD$5),"")</f>
        <v>12.087205966724</v>
      </c>
      <c r="AF138" s="11">
        <f>IFERROR((AF137/AF$15)*(AF$5-AE$5),"")</f>
        <v>15.9566838274454</v>
      </c>
      <c r="AG138" s="12" t="n"/>
      <c r="AH138" s="11">
        <f>IFERROR((AH137/AH$15)*(AH$5-AG$5),"")</f>
        <v>9.83156881616939</v>
      </c>
      <c r="AI138" s="11">
        <f>IFERROR((AI137/AI$15)*(AI$5-AH$5),"")</f>
        <v>9.26959738227344</v>
      </c>
      <c r="AJ138" s="11">
        <f>Control!$B$25</f>
        <v>11.6855455986542</v>
      </c>
      <c r="AK138" s="11">
        <f>Control!$B$25</f>
        <v>11.6855455986542</v>
      </c>
      <c r="AL138" s="12" t="n"/>
      <c r="AM138" s="11">
        <f>Control!$C$25</f>
        <v>11.6855455986542</v>
      </c>
      <c r="AN138" s="11">
        <f>Control!$C$25</f>
        <v>11.6855455986542</v>
      </c>
      <c r="AO138" s="11">
        <f>Control!$C$25</f>
        <v>11.6855455986542</v>
      </c>
      <c r="AP138" s="11">
        <f>Control!$C$25</f>
        <v>11.6855455986542</v>
      </c>
      <c r="AQ138" s="12" t="n"/>
      <c r="AR138" s="11">
        <f>Control!$D$25</f>
        <v>11.6855455986542</v>
      </c>
      <c r="AS138" s="11">
        <f>Control!$D$25</f>
        <v>11.6855455986542</v>
      </c>
      <c r="AT138" s="11">
        <f>Control!$D$25</f>
        <v>11.6855455986542</v>
      </c>
      <c r="AU138" s="11">
        <f>Control!$D$25</f>
        <v>11.6855455986542</v>
      </c>
      <c r="AV138" s="12" t="n"/>
      <c r="AW138" s="11">
        <f>Control!$E$25</f>
        <v>11.6855455986542</v>
      </c>
      <c r="AX138" s="11">
        <f>Control!$E$25</f>
        <v>11.6855455986542</v>
      </c>
      <c r="AY138" s="11">
        <f>Control!$E$25</f>
        <v>11.6855455986542</v>
      </c>
      <c r="AZ138" s="11">
        <f>Control!$E$25</f>
        <v>11.6855455986542</v>
      </c>
      <c r="BA138" s="12" t="n"/>
      <c r="BB138" s="11">
        <f>Control!$F$25</f>
        <v>11.6855455986542</v>
      </c>
      <c r="BC138" s="11">
        <f>Control!$F$25</f>
        <v>11.6855455986542</v>
      </c>
      <c r="BD138" s="11">
        <f>Control!$F$25</f>
        <v>11.6855455986542</v>
      </c>
      <c r="BE138" s="11">
        <f>Control!$F$25</f>
        <v>11.6855455986542</v>
      </c>
      <c r="BF138" s="12" t="n"/>
      <c r="BG138" s="11" t="n"/>
      <c r="BH138" s="11" t="n"/>
      <c r="BI138" s="11" t="n"/>
      <c r="BJ138" s="11" t="n"/>
      <c r="BK138" s="12" t="n"/>
      <c r="BL138" s="11" t="n"/>
      <c r="BM138" s="11" t="n"/>
      <c r="BN138" s="11" t="n"/>
      <c r="BO138" s="11" t="n"/>
      <c r="BP138" s="12" t="n"/>
      <c r="BQ138" s="11" t="n"/>
      <c r="BR138" s="11" t="n"/>
      <c r="BS138" s="11" t="n"/>
      <c r="BT138" s="11" t="n"/>
      <c r="BU138" s="12" t="n"/>
      <c r="BV138" s="11" t="n"/>
      <c r="BW138" s="11" t="n"/>
      <c r="BX138" s="11" t="n"/>
      <c r="BY138" s="11" t="n"/>
      <c r="BZ138" s="12" t="n"/>
      <c r="CA138" s="11" t="n"/>
      <c r="CB138" s="11" t="n"/>
      <c r="CC138" s="11" t="n"/>
      <c r="CD138" s="11" t="n"/>
      <c r="CE138" s="12" t="n"/>
      <c r="CF138" s="11" t="n"/>
      <c r="CG138" s="11" t="n"/>
      <c r="CH138" s="11" t="n"/>
      <c r="CI138" s="11" t="n"/>
      <c r="CJ138" s="12" t="n"/>
      <c r="CK138" s="11" t="n"/>
      <c r="CL138" s="11" t="n"/>
      <c r="CM138" s="11" t="n"/>
      <c r="CN138" s="11" t="n"/>
      <c r="CO138" s="12" t="n"/>
      <c r="CP138" s="11" t="n"/>
      <c r="CQ138" s="11" t="n"/>
      <c r="CR138" s="11" t="n"/>
      <c r="CS138" s="11" t="n"/>
      <c r="CT138" s="12" t="n"/>
      <c r="CU138" s="11" t="n"/>
      <c r="CV138" s="11" t="n"/>
      <c r="CW138" s="11" t="n"/>
      <c r="CX138" s="11" t="n"/>
      <c r="CY138" s="12" t="n"/>
    </row>
    <row r="139" hidden="1" outlineLevel="1">
      <c r="C139" s="57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12" t="n"/>
      <c r="T139" s="12" t="n"/>
      <c r="U139" s="12" t="n"/>
      <c r="V139" s="12" t="n"/>
      <c r="W139" s="12" t="n"/>
      <c r="X139" s="12" t="n"/>
      <c r="Y139" s="12" t="n"/>
      <c r="Z139" s="12" t="n"/>
      <c r="AA139" s="12" t="n"/>
      <c r="AB139" s="12" t="n"/>
      <c r="AC139" s="12" t="n"/>
      <c r="AD139" s="12" t="n"/>
      <c r="AE139" s="12" t="n"/>
      <c r="AF139" s="12" t="n"/>
      <c r="AG139" s="12" t="n"/>
      <c r="AH139" s="12" t="n"/>
      <c r="AI139" s="12" t="n"/>
      <c r="AJ139" s="12" t="n"/>
      <c r="AK139" s="12" t="n"/>
      <c r="AL139" s="12" t="n"/>
      <c r="AM139" s="12" t="n"/>
      <c r="AN139" s="12" t="n"/>
      <c r="AO139" s="12" t="n"/>
      <c r="AP139" s="12" t="n"/>
      <c r="AQ139" s="12" t="n"/>
      <c r="AR139" s="12" t="n"/>
      <c r="AS139" s="12" t="n"/>
      <c r="AT139" s="12" t="n"/>
      <c r="AU139" s="12" t="n"/>
      <c r="AV139" s="12" t="n"/>
      <c r="AW139" s="12" t="n"/>
      <c r="AX139" s="12" t="n"/>
      <c r="AY139" s="12" t="n"/>
      <c r="AZ139" s="12" t="n"/>
      <c r="BA139" s="12" t="n"/>
      <c r="BB139" s="12" t="n"/>
      <c r="BC139" s="12" t="n"/>
      <c r="BD139" s="12" t="n"/>
      <c r="BE139" s="12" t="n"/>
      <c r="BF139" s="12" t="n"/>
      <c r="BG139" s="12" t="n"/>
      <c r="BH139" s="12" t="n"/>
      <c r="BI139" s="12" t="n"/>
      <c r="BJ139" s="12" t="n"/>
      <c r="BK139" s="12" t="n"/>
      <c r="BL139" s="12" t="n"/>
      <c r="BM139" s="12" t="n"/>
      <c r="BN139" s="12" t="n"/>
      <c r="BO139" s="12" t="n"/>
      <c r="BP139" s="12" t="n"/>
      <c r="BQ139" s="12" t="n"/>
      <c r="BR139" s="12" t="n"/>
      <c r="BS139" s="12" t="n"/>
      <c r="BT139" s="12" t="n"/>
      <c r="BU139" s="12" t="n"/>
      <c r="BV139" s="12" t="n"/>
      <c r="BW139" s="12" t="n"/>
      <c r="BX139" s="12" t="n"/>
      <c r="BY139" s="12" t="n"/>
      <c r="BZ139" s="12" t="n"/>
      <c r="CA139" s="12" t="n"/>
      <c r="CB139" s="12" t="n"/>
      <c r="CC139" s="12" t="n"/>
      <c r="CD139" s="12" t="n"/>
      <c r="CE139" s="12" t="n"/>
      <c r="CF139" s="12" t="n"/>
      <c r="CG139" s="12" t="n"/>
      <c r="CH139" s="12" t="n"/>
      <c r="CI139" s="12" t="n"/>
      <c r="CJ139" s="12" t="n"/>
      <c r="CK139" s="12" t="n"/>
      <c r="CL139" s="12" t="n"/>
      <c r="CM139" s="12" t="n"/>
      <c r="CN139" s="12" t="n"/>
      <c r="CO139" s="12" t="n"/>
      <c r="CP139" s="12" t="n"/>
      <c r="CQ139" s="12" t="n"/>
      <c r="CR139" s="12" t="n"/>
      <c r="CS139" s="12" t="n"/>
      <c r="CT139" s="12" t="n"/>
      <c r="CU139" s="12" t="n"/>
      <c r="CV139" s="12" t="n"/>
      <c r="CW139" s="12" t="n"/>
      <c r="CX139" s="12" t="n"/>
      <c r="CY139" s="12" t="n"/>
    </row>
    <row r="140" hidden="1" outlineLevel="1">
      <c r="C140" s="57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2" t="n"/>
      <c r="S140" s="12" t="n"/>
      <c r="T140" s="12" t="n"/>
      <c r="U140" s="12" t="n"/>
      <c r="V140" s="12" t="n"/>
      <c r="W140" s="12" t="n"/>
      <c r="X140" s="12" t="n"/>
      <c r="Y140" s="12" t="n"/>
      <c r="Z140" s="12" t="n"/>
      <c r="AA140" s="12" t="n"/>
      <c r="AB140" s="12" t="n"/>
      <c r="AC140" s="12" t="n"/>
      <c r="AD140" s="12" t="n"/>
      <c r="AE140" s="12" t="n"/>
      <c r="AF140" s="12" t="n"/>
      <c r="AG140" s="12" t="n"/>
      <c r="AH140" s="12" t="n"/>
      <c r="AI140" s="12" t="n"/>
      <c r="AJ140" s="12" t="n"/>
      <c r="AK140" s="12" t="n"/>
      <c r="AL140" s="12" t="n"/>
      <c r="AM140" s="12" t="n"/>
      <c r="AN140" s="12" t="n"/>
      <c r="AO140" s="12" t="n"/>
      <c r="AP140" s="12" t="n"/>
      <c r="AQ140" s="12" t="n"/>
      <c r="AR140" s="12" t="n"/>
      <c r="AS140" s="12" t="n"/>
      <c r="AT140" s="12" t="n"/>
      <c r="AU140" s="12" t="n"/>
      <c r="AV140" s="12" t="n"/>
      <c r="AW140" s="12" t="n"/>
      <c r="AX140" s="12" t="n"/>
      <c r="AY140" s="12" t="n"/>
      <c r="AZ140" s="12" t="n"/>
      <c r="BA140" s="12" t="n"/>
      <c r="BB140" s="12" t="n"/>
      <c r="BC140" s="12" t="n"/>
      <c r="BD140" s="12" t="n"/>
      <c r="BE140" s="12" t="n"/>
      <c r="BF140" s="12" t="n"/>
      <c r="BG140" s="12" t="n"/>
      <c r="BH140" s="12" t="n"/>
      <c r="BI140" s="12" t="n"/>
      <c r="BJ140" s="12" t="n"/>
      <c r="BK140" s="12" t="n"/>
      <c r="BL140" s="12" t="n"/>
      <c r="BM140" s="12" t="n"/>
      <c r="BN140" s="12" t="n"/>
      <c r="BO140" s="12" t="n"/>
      <c r="BP140" s="12" t="n"/>
      <c r="BQ140" s="12" t="n"/>
      <c r="BR140" s="12" t="n"/>
      <c r="BS140" s="12" t="n"/>
      <c r="BT140" s="12" t="n"/>
      <c r="BU140" s="12" t="n"/>
      <c r="BV140" s="12" t="n"/>
      <c r="BW140" s="12" t="n"/>
      <c r="BX140" s="12" t="n"/>
      <c r="BY140" s="12" t="n"/>
      <c r="BZ140" s="12" t="n"/>
      <c r="CA140" s="12" t="n"/>
      <c r="CB140" s="12" t="n"/>
      <c r="CC140" s="12" t="n"/>
      <c r="CD140" s="12" t="n"/>
      <c r="CE140" s="12" t="n"/>
      <c r="CF140" s="12" t="n"/>
      <c r="CG140" s="12" t="n"/>
      <c r="CH140" s="12" t="n"/>
      <c r="CI140" s="12" t="n"/>
      <c r="CJ140" s="12" t="n"/>
      <c r="CK140" s="12" t="n"/>
      <c r="CL140" s="12" t="n"/>
      <c r="CM140" s="12" t="n"/>
      <c r="CN140" s="12" t="n"/>
      <c r="CO140" s="12" t="n"/>
      <c r="CP140" s="12" t="n"/>
      <c r="CQ140" s="12" t="n"/>
      <c r="CR140" s="12" t="n"/>
      <c r="CS140" s="12" t="n"/>
      <c r="CT140" s="12" t="n"/>
      <c r="CU140" s="12" t="n"/>
      <c r="CV140" s="12" t="n"/>
      <c r="CW140" s="12" t="n"/>
      <c r="CX140" s="12" t="n"/>
      <c r="CY140" s="12" t="n"/>
    </row>
    <row r="141" collapsed="1">
      <c r="C141" s="14" t="inlineStr">
        <is>
          <t>Inventories</t>
        </is>
      </c>
      <c r="D141" s="46" t="n"/>
      <c r="E141" s="46" t="n"/>
      <c r="F141" s="46" t="n"/>
      <c r="G141" s="46" t="n"/>
      <c r="H141" s="12" t="n"/>
      <c r="I141" s="46">
        <f>'Inputs (2)'!D17</f>
        <v>0</v>
      </c>
      <c r="J141" s="46">
        <f>'Inputs (2)'!E17</f>
        <v>0</v>
      </c>
      <c r="K141" s="46">
        <f>'Inputs (2)'!F17</f>
        <v>0</v>
      </c>
      <c r="L141" s="46">
        <f>'Inputs (2)'!G17</f>
        <v>0</v>
      </c>
      <c r="M141" s="12">
        <f>'Inputs (2)'!H17</f>
        <v>0</v>
      </c>
      <c r="N141" s="46">
        <f>'Inputs (2)'!I17</f>
        <v>0</v>
      </c>
      <c r="O141" s="46">
        <f>'Inputs (2)'!J17</f>
        <v>0</v>
      </c>
      <c r="P141" s="46">
        <f>'Inputs (2)'!K17</f>
        <v>0</v>
      </c>
      <c r="Q141" s="46">
        <f>'Inputs (2)'!L17</f>
        <v>0</v>
      </c>
      <c r="R141" s="12">
        <f>'Inputs (2)'!M17</f>
        <v>0</v>
      </c>
      <c r="S141" s="46">
        <f>'Inputs (2)'!N17</f>
        <v>0</v>
      </c>
      <c r="T141" s="46">
        <f>'Inputs (2)'!O17</f>
        <v>0</v>
      </c>
      <c r="U141" s="46">
        <f>'Inputs (2)'!P17</f>
        <v>0</v>
      </c>
      <c r="V141" s="46">
        <f>'Inputs (2)'!Q17</f>
        <v>0</v>
      </c>
      <c r="W141" s="12">
        <f>'Inputs (2)'!R17</f>
        <v>0</v>
      </c>
      <c r="X141" s="46">
        <f>'Inputs (2)'!S17</f>
        <v>0</v>
      </c>
      <c r="Y141" s="46">
        <f>'Inputs (2)'!T17</f>
        <v>0</v>
      </c>
      <c r="Z141" s="46">
        <f>'Inputs (2)'!U17</f>
        <v>0</v>
      </c>
      <c r="AA141" s="46">
        <f>'Inputs (2)'!V17</f>
        <v>0</v>
      </c>
      <c r="AB141" s="12">
        <f>'Inputs (2)'!W17</f>
        <v>0</v>
      </c>
      <c r="AC141" s="46">
        <f>'Inputs (2)'!X17</f>
        <v>0</v>
      </c>
      <c r="AD141" s="46">
        <f>'Inputs (2)'!Y17</f>
        <v>0</v>
      </c>
      <c r="AE141" s="46">
        <f>'Inputs (2)'!Z17</f>
        <v>0</v>
      </c>
      <c r="AF141" s="46">
        <f>'Inputs (2)'!AA17</f>
        <v>0</v>
      </c>
      <c r="AG141" s="12">
        <f>'Inputs (2)'!AB17</f>
        <v>0</v>
      </c>
      <c r="AH141" s="12">
        <f>'Inputs (2)'!AC17</f>
        <v>0</v>
      </c>
      <c r="AI141" s="12">
        <f>'Inputs (2)'!AD17</f>
        <v>0</v>
      </c>
      <c r="AJ141" s="12">
        <f>(AJ142/(AJ$5-AI$5))*-AJ$46</f>
        <v>0</v>
      </c>
      <c r="AK141" s="12">
        <f>(AK142/(AK$5-AJ$5))*-AK$46</f>
        <v>0</v>
      </c>
      <c r="AL141" s="12">
        <f>AK141</f>
        <v>0</v>
      </c>
      <c r="AM141" s="12">
        <f>(AM142/(AM$5-AL$5))*-AM$46</f>
        <v>0</v>
      </c>
      <c r="AN141" s="12">
        <f>(AN142/(AN$5-AM$5))*-AN$46</f>
        <v>0</v>
      </c>
      <c r="AO141" s="12">
        <f>(AO142/(AO$5-AN$5))*-AO$46</f>
        <v>0</v>
      </c>
      <c r="AP141" s="12">
        <f>(AP142/(AP$5-AO$5))*-AP$46</f>
        <v>0</v>
      </c>
      <c r="AQ141" s="12">
        <f>AP141</f>
        <v>0</v>
      </c>
      <c r="AR141" s="12">
        <f>(AR142/(AR$5-AQ$5))*-AR$46</f>
        <v>0</v>
      </c>
      <c r="AS141" s="12">
        <f>(AS142/(AS$5-AR$5))*-AS$46</f>
        <v>0</v>
      </c>
      <c r="AT141" s="12">
        <f>(AT142/(AT$5-AS$5))*-AT$46</f>
        <v>0</v>
      </c>
      <c r="AU141" s="12">
        <f>(AU142/(AU$5-AT$5))*-AU$46</f>
        <v>0</v>
      </c>
      <c r="AV141" s="12">
        <f>AU141</f>
        <v>0</v>
      </c>
      <c r="AW141" s="12">
        <f>(AW142/(AW$5-AV$5))*-AW$46</f>
        <v>0</v>
      </c>
      <c r="AX141" s="12">
        <f>(AX142/(AX$5-AW$5))*-AX$46</f>
        <v>0</v>
      </c>
      <c r="AY141" s="12">
        <f>(AY142/(AY$5-AX$5))*-AY$46</f>
        <v>0</v>
      </c>
      <c r="AZ141" s="12">
        <f>(AZ142/(AZ$5-AY$5))*-AZ$46</f>
        <v>0</v>
      </c>
      <c r="BA141" s="12">
        <f>AZ141</f>
        <v>0</v>
      </c>
      <c r="BB141" s="12">
        <f>(BB142/(BB$5-BA$5))*-BB$46</f>
        <v>0</v>
      </c>
      <c r="BC141" s="12">
        <f>(BC142/(BC$5-BB$5))*-BC$46</f>
        <v>0</v>
      </c>
      <c r="BD141" s="12">
        <f>(BD142/(BD$5-BC$5))*-BD$46</f>
        <v>0</v>
      </c>
      <c r="BE141" s="12">
        <f>(BE142/(BE$5-BD$5))*-BE$46</f>
        <v>0</v>
      </c>
      <c r="BF141" s="12">
        <f>BE141</f>
        <v>0</v>
      </c>
      <c r="BG141" s="12" t="n"/>
      <c r="BH141" s="12" t="n"/>
      <c r="BI141" s="12" t="n"/>
      <c r="BJ141" s="12" t="n"/>
      <c r="BK141" s="12" t="n"/>
      <c r="BL141" s="12" t="n"/>
      <c r="BM141" s="12" t="n"/>
      <c r="BN141" s="12" t="n"/>
      <c r="BO141" s="12" t="n"/>
      <c r="BP141" s="12" t="n"/>
      <c r="BQ141" s="12" t="n"/>
      <c r="BR141" s="12" t="n"/>
      <c r="BS141" s="12" t="n"/>
      <c r="BT141" s="12" t="n"/>
      <c r="BU141" s="12" t="n"/>
      <c r="BV141" s="12" t="n"/>
      <c r="BW141" s="12" t="n"/>
      <c r="BX141" s="12" t="n"/>
      <c r="BY141" s="12" t="n"/>
      <c r="BZ141" s="12" t="n"/>
      <c r="CA141" s="12" t="n"/>
      <c r="CB141" s="12" t="n"/>
      <c r="CC141" s="12" t="n"/>
      <c r="CD141" s="12" t="n"/>
      <c r="CE141" s="12" t="n"/>
      <c r="CF141" s="12" t="n"/>
      <c r="CG141" s="12" t="n"/>
      <c r="CH141" s="12" t="n"/>
      <c r="CI141" s="12" t="n"/>
      <c r="CJ141" s="12" t="n"/>
      <c r="CK141" s="12" t="n"/>
      <c r="CL141" s="12" t="n"/>
      <c r="CM141" s="12" t="n"/>
      <c r="CN141" s="12" t="n"/>
      <c r="CO141" s="12" t="n"/>
      <c r="CP141" s="12" t="n"/>
      <c r="CQ141" s="12" t="n"/>
      <c r="CR141" s="12" t="n"/>
      <c r="CS141" s="12" t="n"/>
      <c r="CT141" s="12" t="n"/>
      <c r="CU141" s="12" t="n"/>
      <c r="CV141" s="12" t="n"/>
      <c r="CW141" s="12" t="n"/>
      <c r="CX141" s="12" t="n"/>
      <c r="CY141" s="12" t="n"/>
    </row>
    <row r="142" hidden="1" outlineLevel="1">
      <c r="C142" s="57" t="inlineStr">
        <is>
          <t>DIO</t>
        </is>
      </c>
      <c r="D142" s="12" t="n"/>
      <c r="E142" s="12" t="n"/>
      <c r="F142" s="12" t="n"/>
      <c r="G142" s="12" t="n"/>
      <c r="H142" s="12" t="n"/>
      <c r="I142" s="12">
        <f>IFERROR(((I141/I$46)*(I$5-H$5))*-1,"")</f>
        <v>0</v>
      </c>
      <c r="J142" s="12">
        <f>IFERROR(((J141/J$46)*(J$5-I$5))*-1,"")</f>
        <v>0</v>
      </c>
      <c r="K142" s="12">
        <f>IFERROR(((K141/K$46)*(K$5-J$5))*-1,"")</f>
        <v>0</v>
      </c>
      <c r="L142" s="12">
        <f>IFERROR(((L141/L$46)*(L$5-K$5))*-1,"")</f>
        <v>0</v>
      </c>
      <c r="M142" s="12" t="n"/>
      <c r="N142" s="12">
        <f>IFERROR(((N141/N$46)*(N$5-M$5))*-1,"")</f>
        <v>0</v>
      </c>
      <c r="O142" s="12">
        <f>IFERROR(((O141/O$46)*(O$5-N$5))*-1,"")</f>
        <v>0</v>
      </c>
      <c r="P142" s="12">
        <f>IFERROR(((P141/P$46)*(P$5-O$5))*-1,"")</f>
        <v>0</v>
      </c>
      <c r="Q142" s="12">
        <f>IFERROR(((Q141/Q$46)*(Q$5-P$5))*-1,"")</f>
        <v>0</v>
      </c>
      <c r="R142" s="12" t="n"/>
      <c r="S142" s="12">
        <f>IFERROR(((S141/S$46)*(S$5-R$5))*-1,"")</f>
        <v>0</v>
      </c>
      <c r="T142" s="12">
        <f>IFERROR(((T141/T$46)*(T$5-S$5))*-1,"")</f>
        <v>0</v>
      </c>
      <c r="U142" s="12">
        <f>IFERROR(((U141/U$46)*(U$5-T$5))*-1,"")</f>
        <v>0</v>
      </c>
      <c r="V142" s="12">
        <f>IFERROR(((V141/V$46)*(V$5-U$5))*-1,"")</f>
        <v>0</v>
      </c>
      <c r="W142" s="12" t="n"/>
      <c r="X142" s="12">
        <f>IFERROR(((X141/X$46)*(X$5-W$5))*-1,"")</f>
        <v>0</v>
      </c>
      <c r="Y142" s="12">
        <f>IFERROR(((Y141/Y$46)*(Y$5-X$5))*-1,"")</f>
        <v>0</v>
      </c>
      <c r="Z142" s="12">
        <f>IFERROR(((Z141/Z$46)*(Z$5-Y$5))*-1,"")</f>
        <v>0</v>
      </c>
      <c r="AA142" s="12">
        <f>IFERROR(((AA141/AA$46)*(AA$5-Z$5))*-1,"")</f>
        <v>0</v>
      </c>
      <c r="AB142" s="12" t="n"/>
      <c r="AC142" s="12">
        <f>IFERROR(((AC141/AC$46)*(AC$5-AB$5))*-1,"")</f>
        <v>0</v>
      </c>
      <c r="AD142" s="12">
        <f>IFERROR(((AD141/AD$46)*(AD$5-AC$5))*-1,"")</f>
        <v>0</v>
      </c>
      <c r="AE142" s="12">
        <f>IFERROR(((AE141/AE$46)*(AE$5-AD$5))*-1,"")</f>
        <v>0</v>
      </c>
      <c r="AF142" s="11">
        <f>IFERROR(((AF141/AF$46)*(AF$5-AE$5))*-1,"")</f>
        <v>0</v>
      </c>
      <c r="AG142" s="12" t="n"/>
      <c r="AH142" s="11">
        <f>IFERROR(((AH141/AH$46)*(AH$5-AG$5))*-1,"")</f>
        <v>0</v>
      </c>
      <c r="AI142" s="11">
        <f>IFERROR(((AI141/AI$46)*(AI$5-AH$5))*-1,"")</f>
        <v>0</v>
      </c>
      <c r="AJ142" s="11">
        <f>Control!$B$26</f>
        <v>0</v>
      </c>
      <c r="AK142" s="11">
        <f>Control!$B$26</f>
        <v>0</v>
      </c>
      <c r="AL142" s="12" t="n"/>
      <c r="AM142" s="11">
        <f>Control!$C$26</f>
        <v>0</v>
      </c>
      <c r="AN142" s="11">
        <f>Control!$C$26</f>
        <v>0</v>
      </c>
      <c r="AO142" s="11">
        <f>Control!$C$26</f>
        <v>0</v>
      </c>
      <c r="AP142" s="11">
        <f>Control!$C$26</f>
        <v>0</v>
      </c>
      <c r="AQ142" s="12" t="n"/>
      <c r="AR142" s="11">
        <f>Control!$D$26</f>
        <v>0</v>
      </c>
      <c r="AS142" s="11">
        <f>Control!$D$26</f>
        <v>0</v>
      </c>
      <c r="AT142" s="11">
        <f>Control!$D$26</f>
        <v>0</v>
      </c>
      <c r="AU142" s="11">
        <f>Control!$D$26</f>
        <v>0</v>
      </c>
      <c r="AV142" s="12" t="n"/>
      <c r="AW142" s="11">
        <f>Control!$E$26</f>
        <v>0</v>
      </c>
      <c r="AX142" s="11">
        <f>Control!$E$26</f>
        <v>0</v>
      </c>
      <c r="AY142" s="11">
        <f>Control!$E$26</f>
        <v>0</v>
      </c>
      <c r="AZ142" s="11">
        <f>Control!$E$26</f>
        <v>0</v>
      </c>
      <c r="BA142" s="12" t="n"/>
      <c r="BB142" s="11">
        <f>Control!$F$26</f>
        <v>0</v>
      </c>
      <c r="BC142" s="11">
        <f>Control!$F$26</f>
        <v>0</v>
      </c>
      <c r="BD142" s="11">
        <f>Control!$F$26</f>
        <v>0</v>
      </c>
      <c r="BE142" s="11">
        <f>Control!$F$26</f>
        <v>0</v>
      </c>
      <c r="BF142" s="12" t="n"/>
      <c r="BG142" s="11" t="n"/>
      <c r="BH142" s="11" t="n"/>
      <c r="BI142" s="11" t="n"/>
      <c r="BJ142" s="11" t="n"/>
      <c r="BK142" s="12" t="n"/>
      <c r="BL142" s="11" t="n"/>
      <c r="BM142" s="11" t="n"/>
      <c r="BN142" s="11" t="n"/>
      <c r="BO142" s="11" t="n"/>
      <c r="BP142" s="12" t="n"/>
      <c r="BQ142" s="11" t="n"/>
      <c r="BR142" s="11" t="n"/>
      <c r="BS142" s="11" t="n"/>
      <c r="BT142" s="11" t="n"/>
      <c r="BU142" s="12" t="n"/>
      <c r="BV142" s="11" t="n"/>
      <c r="BW142" s="11" t="n"/>
      <c r="BX142" s="11" t="n"/>
      <c r="BY142" s="11" t="n"/>
      <c r="BZ142" s="12" t="n"/>
      <c r="CA142" s="11" t="n"/>
      <c r="CB142" s="11" t="n"/>
      <c r="CC142" s="11" t="n"/>
      <c r="CD142" s="11" t="n"/>
      <c r="CE142" s="12" t="n"/>
      <c r="CF142" s="11" t="n"/>
      <c r="CG142" s="11" t="n"/>
      <c r="CH142" s="11" t="n"/>
      <c r="CI142" s="11" t="n"/>
      <c r="CJ142" s="12" t="n"/>
      <c r="CK142" s="11" t="n"/>
      <c r="CL142" s="11" t="n"/>
      <c r="CM142" s="11" t="n"/>
      <c r="CN142" s="11" t="n"/>
      <c r="CO142" s="12" t="n"/>
      <c r="CP142" s="11" t="n"/>
      <c r="CQ142" s="11" t="n"/>
      <c r="CR142" s="11" t="n"/>
      <c r="CS142" s="11" t="n"/>
      <c r="CT142" s="12" t="n"/>
      <c r="CU142" s="11" t="n"/>
      <c r="CV142" s="11" t="n"/>
      <c r="CW142" s="11" t="n"/>
      <c r="CX142" s="11" t="n"/>
      <c r="CY142" s="12" t="n"/>
    </row>
    <row r="143" hidden="1" outlineLevel="1">
      <c r="C143" s="57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12" t="n"/>
      <c r="T143" s="12" t="n"/>
      <c r="U143" s="12" t="n"/>
      <c r="V143" s="12" t="n"/>
      <c r="W143" s="12" t="n"/>
      <c r="X143" s="12" t="n"/>
      <c r="Y143" s="12" t="n"/>
      <c r="Z143" s="12" t="n"/>
      <c r="AA143" s="12" t="n"/>
      <c r="AB143" s="12" t="n"/>
      <c r="AC143" s="12" t="n"/>
      <c r="AD143" s="12" t="n"/>
      <c r="AE143" s="12" t="n"/>
      <c r="AF143" s="12" t="n"/>
      <c r="AG143" s="12" t="n"/>
      <c r="AH143" s="12" t="n"/>
      <c r="AI143" s="12" t="n"/>
      <c r="AJ143" s="12" t="n"/>
      <c r="AK143" s="12" t="n"/>
      <c r="AL143" s="12" t="n"/>
      <c r="AM143" s="12" t="n"/>
      <c r="AN143" s="12" t="n"/>
      <c r="AO143" s="12" t="n"/>
      <c r="AP143" s="12" t="n"/>
      <c r="AQ143" s="12" t="n"/>
      <c r="AR143" s="12" t="n"/>
      <c r="AS143" s="12" t="n"/>
      <c r="AT143" s="12" t="n"/>
      <c r="AU143" s="12" t="n"/>
      <c r="AV143" s="12" t="n"/>
      <c r="AW143" s="12" t="n"/>
      <c r="AX143" s="12" t="n"/>
      <c r="AY143" s="12" t="n"/>
      <c r="AZ143" s="12" t="n"/>
      <c r="BA143" s="12" t="n"/>
      <c r="BB143" s="12" t="n"/>
      <c r="BC143" s="12" t="n"/>
      <c r="BD143" s="12" t="n"/>
      <c r="BE143" s="12" t="n"/>
      <c r="BF143" s="12" t="n"/>
      <c r="BG143" s="12" t="n"/>
      <c r="BH143" s="12" t="n"/>
      <c r="BI143" s="12" t="n"/>
      <c r="BJ143" s="12" t="n"/>
      <c r="BK143" s="12" t="n"/>
      <c r="BL143" s="12" t="n"/>
      <c r="BM143" s="12" t="n"/>
      <c r="BN143" s="12" t="n"/>
      <c r="BO143" s="12" t="n"/>
      <c r="BP143" s="12" t="n"/>
      <c r="BQ143" s="12" t="n"/>
      <c r="BR143" s="12" t="n"/>
      <c r="BS143" s="12" t="n"/>
      <c r="BT143" s="12" t="n"/>
      <c r="BU143" s="12" t="n"/>
      <c r="BV143" s="12" t="n"/>
      <c r="BW143" s="12" t="n"/>
      <c r="BX143" s="12" t="n"/>
      <c r="BY143" s="12" t="n"/>
      <c r="BZ143" s="12" t="n"/>
      <c r="CA143" s="12" t="n"/>
      <c r="CB143" s="12" t="n"/>
      <c r="CC143" s="12" t="n"/>
      <c r="CD143" s="12" t="n"/>
      <c r="CE143" s="12" t="n"/>
      <c r="CF143" s="12" t="n"/>
      <c r="CG143" s="12" t="n"/>
      <c r="CH143" s="12" t="n"/>
      <c r="CI143" s="12" t="n"/>
      <c r="CJ143" s="12" t="n"/>
      <c r="CK143" s="12" t="n"/>
      <c r="CL143" s="12" t="n"/>
      <c r="CM143" s="12" t="n"/>
      <c r="CN143" s="12" t="n"/>
      <c r="CO143" s="12" t="n"/>
      <c r="CP143" s="12" t="n"/>
      <c r="CQ143" s="12" t="n"/>
      <c r="CR143" s="12" t="n"/>
      <c r="CS143" s="12" t="n"/>
      <c r="CT143" s="12" t="n"/>
      <c r="CU143" s="12" t="n"/>
      <c r="CV143" s="12" t="n"/>
      <c r="CW143" s="12" t="n"/>
      <c r="CX143" s="12" t="n"/>
      <c r="CY143" s="12" t="n"/>
    </row>
    <row r="144" hidden="1" outlineLevel="1">
      <c r="C144" s="57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12" t="n"/>
      <c r="T144" s="12" t="n"/>
      <c r="U144" s="12" t="n"/>
      <c r="V144" s="12" t="n"/>
      <c r="W144" s="12" t="n"/>
      <c r="X144" s="12" t="n"/>
      <c r="Y144" s="12" t="n"/>
      <c r="Z144" s="12" t="n"/>
      <c r="AA144" s="12" t="n"/>
      <c r="AB144" s="12" t="n"/>
      <c r="AC144" s="12" t="n"/>
      <c r="AD144" s="12" t="n"/>
      <c r="AE144" s="12" t="n"/>
      <c r="AF144" s="12" t="n"/>
      <c r="AG144" s="12" t="n"/>
      <c r="AH144" s="12" t="n"/>
      <c r="AI144" s="12" t="n"/>
      <c r="AJ144" s="12" t="n"/>
      <c r="AK144" s="12" t="n"/>
      <c r="AL144" s="12" t="n"/>
      <c r="AM144" s="12" t="n"/>
      <c r="AN144" s="12" t="n"/>
      <c r="AO144" s="12" t="n"/>
      <c r="AP144" s="12" t="n"/>
      <c r="AQ144" s="12" t="n"/>
      <c r="AR144" s="12" t="n"/>
      <c r="AS144" s="12" t="n"/>
      <c r="AT144" s="12" t="n"/>
      <c r="AU144" s="12" t="n"/>
      <c r="AV144" s="12" t="n"/>
      <c r="AW144" s="12" t="n"/>
      <c r="AX144" s="12" t="n"/>
      <c r="AY144" s="12" t="n"/>
      <c r="AZ144" s="12" t="n"/>
      <c r="BA144" s="12" t="n"/>
      <c r="BB144" s="12" t="n"/>
      <c r="BC144" s="12" t="n"/>
      <c r="BD144" s="12" t="n"/>
      <c r="BE144" s="12" t="n"/>
      <c r="BF144" s="12" t="n"/>
      <c r="BG144" s="12" t="n"/>
      <c r="BH144" s="12" t="n"/>
      <c r="BI144" s="12" t="n"/>
      <c r="BJ144" s="12" t="n"/>
      <c r="BK144" s="12" t="n"/>
      <c r="BL144" s="12" t="n"/>
      <c r="BM144" s="12" t="n"/>
      <c r="BN144" s="12" t="n"/>
      <c r="BO144" s="12" t="n"/>
      <c r="BP144" s="12" t="n"/>
      <c r="BQ144" s="12" t="n"/>
      <c r="BR144" s="12" t="n"/>
      <c r="BS144" s="12" t="n"/>
      <c r="BT144" s="12" t="n"/>
      <c r="BU144" s="12" t="n"/>
      <c r="BV144" s="12" t="n"/>
      <c r="BW144" s="12" t="n"/>
      <c r="BX144" s="12" t="n"/>
      <c r="BY144" s="12" t="n"/>
      <c r="BZ144" s="12" t="n"/>
      <c r="CA144" s="12" t="n"/>
      <c r="CB144" s="12" t="n"/>
      <c r="CC144" s="12" t="n"/>
      <c r="CD144" s="12" t="n"/>
      <c r="CE144" s="12" t="n"/>
      <c r="CF144" s="12" t="n"/>
      <c r="CG144" s="12" t="n"/>
      <c r="CH144" s="12" t="n"/>
      <c r="CI144" s="12" t="n"/>
      <c r="CJ144" s="12" t="n"/>
      <c r="CK144" s="12" t="n"/>
      <c r="CL144" s="12" t="n"/>
      <c r="CM144" s="12" t="n"/>
      <c r="CN144" s="12" t="n"/>
      <c r="CO144" s="12" t="n"/>
      <c r="CP144" s="12" t="n"/>
      <c r="CQ144" s="12" t="n"/>
      <c r="CR144" s="12" t="n"/>
      <c r="CS144" s="12" t="n"/>
      <c r="CT144" s="12" t="n"/>
      <c r="CU144" s="12" t="n"/>
      <c r="CV144" s="12" t="n"/>
      <c r="CW144" s="12" t="n"/>
      <c r="CX144" s="12" t="n"/>
      <c r="CY144" s="12" t="n"/>
    </row>
    <row r="145" collapsed="1">
      <c r="C145" s="14" t="inlineStr">
        <is>
          <t>Deferred income taxes</t>
        </is>
      </c>
      <c r="D145" s="46" t="n"/>
      <c r="E145" s="46" t="n"/>
      <c r="F145" s="46" t="n"/>
      <c r="G145" s="46" t="n"/>
      <c r="H145" s="12" t="n"/>
      <c r="I145" s="46">
        <f>'Inputs (2)'!D18</f>
        <v>0</v>
      </c>
      <c r="J145" s="46">
        <f>'Inputs (2)'!E18</f>
        <v>0</v>
      </c>
      <c r="K145" s="46">
        <f>'Inputs (2)'!F18</f>
        <v>0</v>
      </c>
      <c r="L145" s="46">
        <f>'Inputs (2)'!G18</f>
        <v>0</v>
      </c>
      <c r="M145" s="12">
        <f>'Inputs (2)'!H18</f>
        <v>0</v>
      </c>
      <c r="N145" s="46">
        <f>'Inputs (2)'!I18</f>
        <v>0</v>
      </c>
      <c r="O145" s="46">
        <f>'Inputs (2)'!J18</f>
        <v>0</v>
      </c>
      <c r="P145" s="46">
        <f>'Inputs (2)'!K18</f>
        <v>0</v>
      </c>
      <c r="Q145" s="46">
        <f>'Inputs (2)'!L18</f>
        <v>0</v>
      </c>
      <c r="R145" s="12">
        <f>'Inputs (2)'!M18</f>
        <v>0</v>
      </c>
      <c r="S145" s="46">
        <f>'Inputs (2)'!N18</f>
        <v>0</v>
      </c>
      <c r="T145" s="46">
        <f>'Inputs (2)'!O18</f>
        <v>0</v>
      </c>
      <c r="U145" s="46">
        <f>'Inputs (2)'!P18</f>
        <v>0</v>
      </c>
      <c r="V145" s="46">
        <f>'Inputs (2)'!Q18</f>
        <v>0</v>
      </c>
      <c r="W145" s="12">
        <f>'Inputs (2)'!R18</f>
        <v>0</v>
      </c>
      <c r="X145" s="46">
        <f>'Inputs (2)'!S18</f>
        <v>0</v>
      </c>
      <c r="Y145" s="46">
        <f>'Inputs (2)'!T18</f>
        <v>0</v>
      </c>
      <c r="Z145" s="46">
        <f>'Inputs (2)'!U18</f>
        <v>0</v>
      </c>
      <c r="AA145" s="46">
        <f>'Inputs (2)'!V18</f>
        <v>0</v>
      </c>
      <c r="AB145" s="12">
        <f>'Inputs (2)'!W18</f>
        <v>0</v>
      </c>
      <c r="AC145" s="46">
        <f>'Inputs (2)'!X18</f>
        <v>0</v>
      </c>
      <c r="AD145" s="46">
        <f>'Inputs (2)'!Y18</f>
        <v>0</v>
      </c>
      <c r="AE145" s="46">
        <f>'Inputs (2)'!Z18</f>
        <v>0</v>
      </c>
      <c r="AF145" s="46">
        <f>'Inputs (2)'!AA18</f>
        <v>0</v>
      </c>
      <c r="AG145" s="12">
        <f>'Inputs (2)'!AB18</f>
        <v>0</v>
      </c>
      <c r="AH145" s="12">
        <f>'Inputs (2)'!AC18</f>
        <v>0</v>
      </c>
      <c r="AI145" s="12">
        <f>'Inputs (2)'!AD18</f>
        <v>0</v>
      </c>
      <c r="AJ145" s="12">
        <f>AI145</f>
        <v>0</v>
      </c>
      <c r="AK145" s="12">
        <f>AJ145</f>
        <v>0</v>
      </c>
      <c r="AL145" s="12">
        <f>AK145</f>
        <v>0</v>
      </c>
      <c r="AM145" s="12">
        <f>AL145</f>
        <v>0</v>
      </c>
      <c r="AN145" s="12">
        <f>AM145</f>
        <v>0</v>
      </c>
      <c r="AO145" s="12">
        <f>AN145</f>
        <v>0</v>
      </c>
      <c r="AP145" s="12">
        <f>AO145</f>
        <v>0</v>
      </c>
      <c r="AQ145" s="12">
        <f>AP145</f>
        <v>0</v>
      </c>
      <c r="AR145" s="12">
        <f>AQ145</f>
        <v>0</v>
      </c>
      <c r="AS145" s="12">
        <f>AR145</f>
        <v>0</v>
      </c>
      <c r="AT145" s="12">
        <f>AS145</f>
        <v>0</v>
      </c>
      <c r="AU145" s="12">
        <f>AT145</f>
        <v>0</v>
      </c>
      <c r="AV145" s="12">
        <f>AU145</f>
        <v>0</v>
      </c>
      <c r="AW145" s="12">
        <f>AV145</f>
        <v>0</v>
      </c>
      <c r="AX145" s="12">
        <f>AW145</f>
        <v>0</v>
      </c>
      <c r="AY145" s="12">
        <f>AX145</f>
        <v>0</v>
      </c>
      <c r="AZ145" s="12">
        <f>AY145</f>
        <v>0</v>
      </c>
      <c r="BA145" s="12">
        <f>AZ145</f>
        <v>0</v>
      </c>
      <c r="BB145" s="12">
        <f>BA145</f>
        <v>0</v>
      </c>
      <c r="BC145" s="12">
        <f>BB145</f>
        <v>0</v>
      </c>
      <c r="BD145" s="12">
        <f>BC145</f>
        <v>0</v>
      </c>
      <c r="BE145" s="12">
        <f>BD145</f>
        <v>0</v>
      </c>
      <c r="BF145" s="12">
        <f>BE145</f>
        <v>0</v>
      </c>
      <c r="BG145" s="12" t="n"/>
      <c r="BH145" s="12" t="n"/>
      <c r="BI145" s="12" t="n"/>
      <c r="BJ145" s="12" t="n"/>
      <c r="BK145" s="12" t="n"/>
      <c r="BL145" s="12" t="n"/>
      <c r="BM145" s="12" t="n"/>
      <c r="BN145" s="12" t="n"/>
      <c r="BO145" s="12" t="n"/>
      <c r="BP145" s="12" t="n"/>
      <c r="BQ145" s="12" t="n"/>
      <c r="BR145" s="12" t="n"/>
      <c r="BS145" s="12" t="n"/>
      <c r="BT145" s="12" t="n"/>
      <c r="BU145" s="12" t="n"/>
      <c r="BV145" s="12" t="n"/>
      <c r="BW145" s="12" t="n"/>
      <c r="BX145" s="12" t="n"/>
      <c r="BY145" s="12" t="n"/>
      <c r="BZ145" s="12" t="n"/>
      <c r="CA145" s="12" t="n"/>
      <c r="CB145" s="12" t="n"/>
      <c r="CC145" s="12" t="n"/>
      <c r="CD145" s="12" t="n"/>
      <c r="CE145" s="12" t="n"/>
      <c r="CF145" s="12" t="n"/>
      <c r="CG145" s="12" t="n"/>
      <c r="CH145" s="12" t="n"/>
      <c r="CI145" s="12" t="n"/>
      <c r="CJ145" s="12" t="n"/>
      <c r="CK145" s="12" t="n"/>
      <c r="CL145" s="12" t="n"/>
      <c r="CM145" s="12" t="n"/>
      <c r="CN145" s="12" t="n"/>
      <c r="CO145" s="12" t="n"/>
      <c r="CP145" s="12" t="n"/>
      <c r="CQ145" s="12" t="n"/>
      <c r="CR145" s="12" t="n"/>
      <c r="CS145" s="12" t="n"/>
      <c r="CT145" s="12" t="n"/>
      <c r="CU145" s="12" t="n"/>
      <c r="CV145" s="12" t="n"/>
      <c r="CW145" s="12" t="n"/>
      <c r="CX145" s="12" t="n"/>
      <c r="CY145" s="12" t="n"/>
    </row>
    <row r="146">
      <c r="C146" s="14" t="inlineStr">
        <is>
          <t>Prepaid expenses</t>
        </is>
      </c>
      <c r="D146" s="46" t="n"/>
      <c r="E146" s="46" t="n"/>
      <c r="F146" s="46" t="n"/>
      <c r="G146" s="46" t="n"/>
      <c r="H146" s="12" t="n"/>
      <c r="I146" s="46">
        <f>'Inputs (2)'!D19</f>
        <v>0</v>
      </c>
      <c r="J146" s="46">
        <f>'Inputs (2)'!E19</f>
        <v>0</v>
      </c>
      <c r="K146" s="46">
        <f>'Inputs (2)'!F19</f>
        <v>0</v>
      </c>
      <c r="L146" s="46">
        <f>'Inputs (2)'!G19</f>
        <v>0</v>
      </c>
      <c r="M146" s="12">
        <f>'Inputs (2)'!H19</f>
        <v>0</v>
      </c>
      <c r="N146" s="46">
        <f>'Inputs (2)'!I19</f>
        <v>0</v>
      </c>
      <c r="O146" s="46">
        <f>'Inputs (2)'!J19</f>
        <v>0</v>
      </c>
      <c r="P146" s="46">
        <f>'Inputs (2)'!K19</f>
        <v>0</v>
      </c>
      <c r="Q146" s="46">
        <f>'Inputs (2)'!L19</f>
        <v>0</v>
      </c>
      <c r="R146" s="12">
        <f>'Inputs (2)'!M19</f>
        <v>0</v>
      </c>
      <c r="S146" s="46">
        <f>'Inputs (2)'!N19</f>
        <v>0</v>
      </c>
      <c r="T146" s="46">
        <f>'Inputs (2)'!O19</f>
        <v>0</v>
      </c>
      <c r="U146" s="46">
        <f>'Inputs (2)'!P19</f>
        <v>0</v>
      </c>
      <c r="V146" s="46">
        <f>'Inputs (2)'!Q19</f>
        <v>0</v>
      </c>
      <c r="W146" s="12">
        <f>'Inputs (2)'!R19</f>
        <v>0</v>
      </c>
      <c r="X146" s="46">
        <f>'Inputs (2)'!S19</f>
        <v>0</v>
      </c>
      <c r="Y146" s="46">
        <f>'Inputs (2)'!T19</f>
        <v>0</v>
      </c>
      <c r="Z146" s="46">
        <f>'Inputs (2)'!U19</f>
        <v>0</v>
      </c>
      <c r="AA146" s="46">
        <f>'Inputs (2)'!V19</f>
        <v>0</v>
      </c>
      <c r="AB146" s="12">
        <f>'Inputs (2)'!W19</f>
        <v>0</v>
      </c>
      <c r="AC146" s="46">
        <f>'Inputs (2)'!X19</f>
        <v>0</v>
      </c>
      <c r="AD146" s="46">
        <f>'Inputs (2)'!Y19</f>
        <v>0</v>
      </c>
      <c r="AE146" s="46">
        <f>'Inputs (2)'!Z19</f>
        <v>0</v>
      </c>
      <c r="AF146" s="46">
        <f>'Inputs (2)'!AA19</f>
        <v>0</v>
      </c>
      <c r="AG146" s="12">
        <f>'Inputs (2)'!AB19</f>
        <v>0</v>
      </c>
      <c r="AH146" s="12">
        <f>'Inputs (2)'!AC19</f>
        <v>0</v>
      </c>
      <c r="AI146" s="12">
        <f>'Inputs (2)'!AD19</f>
        <v>0</v>
      </c>
      <c r="AJ146" s="12">
        <f>AI146</f>
        <v>0</v>
      </c>
      <c r="AK146" s="12">
        <f>AJ146</f>
        <v>0</v>
      </c>
      <c r="AL146" s="12">
        <f>AK146</f>
        <v>0</v>
      </c>
      <c r="AM146" s="12">
        <f>AL146</f>
        <v>0</v>
      </c>
      <c r="AN146" s="12">
        <f>AM146</f>
        <v>0</v>
      </c>
      <c r="AO146" s="12">
        <f>AN146</f>
        <v>0</v>
      </c>
      <c r="AP146" s="12">
        <f>AO146</f>
        <v>0</v>
      </c>
      <c r="AQ146" s="12">
        <f>AP146</f>
        <v>0</v>
      </c>
      <c r="AR146" s="12">
        <f>AQ146</f>
        <v>0</v>
      </c>
      <c r="AS146" s="12">
        <f>AR146</f>
        <v>0</v>
      </c>
      <c r="AT146" s="12">
        <f>AS146</f>
        <v>0</v>
      </c>
      <c r="AU146" s="12">
        <f>AT146</f>
        <v>0</v>
      </c>
      <c r="AV146" s="12">
        <f>AU146</f>
        <v>0</v>
      </c>
      <c r="AW146" s="12">
        <f>AV146</f>
        <v>0</v>
      </c>
      <c r="AX146" s="12">
        <f>AW146</f>
        <v>0</v>
      </c>
      <c r="AY146" s="12">
        <f>AX146</f>
        <v>0</v>
      </c>
      <c r="AZ146" s="12">
        <f>AY146</f>
        <v>0</v>
      </c>
      <c r="BA146" s="12">
        <f>AZ146</f>
        <v>0</v>
      </c>
      <c r="BB146" s="12">
        <f>BA146</f>
        <v>0</v>
      </c>
      <c r="BC146" s="12">
        <f>BB146</f>
        <v>0</v>
      </c>
      <c r="BD146" s="12">
        <f>BC146</f>
        <v>0</v>
      </c>
      <c r="BE146" s="12">
        <f>BD146</f>
        <v>0</v>
      </c>
      <c r="BF146" s="12">
        <f>BE146</f>
        <v>0</v>
      </c>
      <c r="BG146" s="12" t="n"/>
      <c r="BH146" s="12" t="n"/>
      <c r="BI146" s="12" t="n"/>
      <c r="BJ146" s="12" t="n"/>
      <c r="BK146" s="12" t="n"/>
      <c r="BL146" s="12" t="n"/>
      <c r="BM146" s="12" t="n"/>
      <c r="BN146" s="12" t="n"/>
      <c r="BO146" s="12" t="n"/>
      <c r="BP146" s="12" t="n"/>
      <c r="BQ146" s="12" t="n"/>
      <c r="BR146" s="12" t="n"/>
      <c r="BS146" s="12" t="n"/>
      <c r="BT146" s="12" t="n"/>
      <c r="BU146" s="12" t="n"/>
      <c r="BV146" s="12" t="n"/>
      <c r="BW146" s="12" t="n"/>
      <c r="BX146" s="12" t="n"/>
      <c r="BY146" s="12" t="n"/>
      <c r="BZ146" s="12" t="n"/>
      <c r="CA146" s="12" t="n"/>
      <c r="CB146" s="12" t="n"/>
      <c r="CC146" s="12" t="n"/>
      <c r="CD146" s="12" t="n"/>
      <c r="CE146" s="12" t="n"/>
      <c r="CF146" s="12" t="n"/>
      <c r="CG146" s="12" t="n"/>
      <c r="CH146" s="12" t="n"/>
      <c r="CI146" s="12" t="n"/>
      <c r="CJ146" s="12" t="n"/>
      <c r="CK146" s="12" t="n"/>
      <c r="CL146" s="12" t="n"/>
      <c r="CM146" s="12" t="n"/>
      <c r="CN146" s="12" t="n"/>
      <c r="CO146" s="12" t="n"/>
      <c r="CP146" s="12" t="n"/>
      <c r="CQ146" s="12" t="n"/>
      <c r="CR146" s="12" t="n"/>
      <c r="CS146" s="12" t="n"/>
      <c r="CT146" s="12" t="n"/>
      <c r="CU146" s="12" t="n"/>
      <c r="CV146" s="12" t="n"/>
      <c r="CW146" s="12" t="n"/>
      <c r="CX146" s="12" t="n"/>
      <c r="CY146" s="12" t="n"/>
    </row>
    <row r="147">
      <c r="C147" s="14" t="inlineStr">
        <is>
          <t>Other current assets</t>
        </is>
      </c>
      <c r="D147" s="46" t="n"/>
      <c r="E147" s="46" t="n"/>
      <c r="F147" s="46" t="n"/>
      <c r="G147" s="46" t="n"/>
      <c r="H147" s="12" t="n"/>
      <c r="I147" s="46">
        <f>'Inputs (2)'!D20</f>
        <v>5028</v>
      </c>
      <c r="J147" s="46">
        <f>'Inputs (2)'!E20</f>
        <v>5186</v>
      </c>
      <c r="K147" s="46">
        <f>'Inputs (2)'!F20</f>
        <v>5188</v>
      </c>
      <c r="L147" s="46">
        <f>'Inputs (2)'!G20</f>
        <v>-2720</v>
      </c>
      <c r="M147" s="12">
        <f>'Inputs (2)'!H20</f>
        <v>-2720</v>
      </c>
      <c r="N147" s="46">
        <f>'Inputs (2)'!I20</f>
        <v>5427</v>
      </c>
      <c r="O147" s="46">
        <f>'Inputs (2)'!J20</f>
        <v>5713</v>
      </c>
      <c r="P147" s="46">
        <f>'Inputs (2)'!K20</f>
        <v>5951</v>
      </c>
      <c r="Q147" s="46">
        <f>'Inputs (2)'!L20</f>
        <v>-2259</v>
      </c>
      <c r="R147" s="12">
        <f>'Inputs (2)'!M20</f>
        <v>-2259</v>
      </c>
      <c r="S147" s="46">
        <f>'Inputs (2)'!N20</f>
        <v>6760</v>
      </c>
      <c r="T147" s="46">
        <f>'Inputs (2)'!O20</f>
        <v>6699</v>
      </c>
      <c r="U147" s="46">
        <f>'Inputs (2)'!P20</f>
        <v>7540</v>
      </c>
      <c r="V147" s="46">
        <f>'Inputs (2)'!Q20</f>
        <v>2035</v>
      </c>
      <c r="W147" s="12">
        <f>'Inputs (2)'!R20</f>
        <v>2035</v>
      </c>
      <c r="X147" s="46">
        <f>'Inputs (2)'!S20</f>
        <v>8140</v>
      </c>
      <c r="Y147" s="46">
        <f>'Inputs (2)'!T20</f>
        <v>8321</v>
      </c>
      <c r="Z147" s="46">
        <f>'Inputs (2)'!U20</f>
        <v>8566</v>
      </c>
      <c r="AA147" s="46">
        <f>'Inputs (2)'!V20</f>
        <v>3884</v>
      </c>
      <c r="AB147" s="12">
        <f>'Inputs (2)'!W20</f>
        <v>3884</v>
      </c>
      <c r="AC147" s="46">
        <f>'Inputs (2)'!X20</f>
        <v>8674</v>
      </c>
      <c r="AD147" s="46">
        <f>'Inputs (2)'!Y20</f>
        <v>8205</v>
      </c>
      <c r="AE147" s="46">
        <f>'Inputs (2)'!Z20</f>
        <v>8330</v>
      </c>
      <c r="AF147" s="46">
        <f>'Inputs (2)'!AA20</f>
        <v>4816</v>
      </c>
      <c r="AG147" s="12">
        <f>'Inputs (2)'!AB20</f>
        <v>4816</v>
      </c>
      <c r="AH147" s="12">
        <f>'Inputs (2)'!AC20</f>
        <v>9674</v>
      </c>
      <c r="AI147" s="12">
        <f>'Inputs (2)'!AD20</f>
        <v>9369</v>
      </c>
      <c r="AJ147" s="12">
        <f>AI147</f>
        <v>9369</v>
      </c>
      <c r="AK147" s="12">
        <f>AJ147</f>
        <v>9369</v>
      </c>
      <c r="AL147" s="12">
        <f>AK147</f>
        <v>9369</v>
      </c>
      <c r="AM147" s="12">
        <f>AL147</f>
        <v>9369</v>
      </c>
      <c r="AN147" s="12">
        <f>AM147</f>
        <v>9369</v>
      </c>
      <c r="AO147" s="12">
        <f>AN147</f>
        <v>9369</v>
      </c>
      <c r="AP147" s="12">
        <f>AO147</f>
        <v>9369</v>
      </c>
      <c r="AQ147" s="12">
        <f>AP147</f>
        <v>9369</v>
      </c>
      <c r="AR147" s="12">
        <f>AQ147</f>
        <v>9369</v>
      </c>
      <c r="AS147" s="12">
        <f>AR147</f>
        <v>9369</v>
      </c>
      <c r="AT147" s="12">
        <f>AS147</f>
        <v>9369</v>
      </c>
      <c r="AU147" s="12">
        <f>AT147</f>
        <v>9369</v>
      </c>
      <c r="AV147" s="12">
        <f>AU147</f>
        <v>9369</v>
      </c>
      <c r="AW147" s="12">
        <f>AV147</f>
        <v>9369</v>
      </c>
      <c r="AX147" s="12">
        <f>AW147</f>
        <v>9369</v>
      </c>
      <c r="AY147" s="12">
        <f>AX147</f>
        <v>9369</v>
      </c>
      <c r="AZ147" s="12">
        <f>AY147</f>
        <v>9369</v>
      </c>
      <c r="BA147" s="12">
        <f>AZ147</f>
        <v>9369</v>
      </c>
      <c r="BB147" s="12">
        <f>BA147</f>
        <v>9369</v>
      </c>
      <c r="BC147" s="12">
        <f>BB147</f>
        <v>9369</v>
      </c>
      <c r="BD147" s="12">
        <f>BC147</f>
        <v>9369</v>
      </c>
      <c r="BE147" s="12">
        <f>BD147</f>
        <v>9369</v>
      </c>
      <c r="BF147" s="12">
        <f>BE147</f>
        <v>9369</v>
      </c>
      <c r="BG147" s="12" t="n"/>
      <c r="BH147" s="12" t="n"/>
      <c r="BI147" s="12" t="n"/>
      <c r="BJ147" s="12" t="n"/>
      <c r="BK147" s="12" t="n"/>
      <c r="BL147" s="12" t="n"/>
      <c r="BM147" s="12" t="n"/>
      <c r="BN147" s="12" t="n"/>
      <c r="BO147" s="12" t="n"/>
      <c r="BP147" s="12" t="n"/>
      <c r="BQ147" s="12" t="n"/>
      <c r="BR147" s="12" t="n"/>
      <c r="BS147" s="12" t="n"/>
      <c r="BT147" s="12" t="n"/>
      <c r="BU147" s="12" t="n"/>
      <c r="BV147" s="12" t="n"/>
      <c r="BW147" s="12" t="n"/>
      <c r="BX147" s="12" t="n"/>
      <c r="BY147" s="12" t="n"/>
      <c r="BZ147" s="12" t="n"/>
      <c r="CA147" s="12" t="n"/>
      <c r="CB147" s="12" t="n"/>
      <c r="CC147" s="12" t="n"/>
      <c r="CD147" s="12" t="n"/>
      <c r="CE147" s="12" t="n"/>
      <c r="CF147" s="12" t="n"/>
      <c r="CG147" s="12" t="n"/>
      <c r="CH147" s="12" t="n"/>
      <c r="CI147" s="12" t="n"/>
      <c r="CJ147" s="12" t="n"/>
      <c r="CK147" s="12" t="n"/>
      <c r="CL147" s="12" t="n"/>
      <c r="CM147" s="12" t="n"/>
      <c r="CN147" s="12" t="n"/>
      <c r="CO147" s="12" t="n"/>
      <c r="CP147" s="12" t="n"/>
      <c r="CQ147" s="12" t="n"/>
      <c r="CR147" s="12" t="n"/>
      <c r="CS147" s="12" t="n"/>
      <c r="CT147" s="12" t="n"/>
      <c r="CU147" s="12" t="n"/>
      <c r="CV147" s="12" t="n"/>
      <c r="CW147" s="12" t="n"/>
      <c r="CX147" s="12" t="n"/>
      <c r="CY147" s="12" t="n"/>
    </row>
    <row r="148" hidden="1" outlineLevel="1">
      <c r="C148" s="59" t="inlineStr">
        <is>
          <t>%(Var.)</t>
        </is>
      </c>
      <c r="D148" s="12" t="n"/>
      <c r="E148" s="40" t="n"/>
      <c r="F148" s="40" t="n"/>
      <c r="G148" s="40" t="n"/>
      <c r="H148" s="12" t="n"/>
      <c r="I148" s="40" t="str">
        <f>""</f>
        <v/>
      </c>
      <c r="J148" s="40">
        <f>IFERROR(IF(I147=0,"",J147/I147-1),"")</f>
        <v>0.0314240254574383</v>
      </c>
      <c r="K148" s="40">
        <f>IFERROR(IF(J147=0,"",K147/J147-1),"")</f>
        <v>0.000385653682992704</v>
      </c>
      <c r="L148" s="40">
        <f>IFERROR(IF(K147=0,"",L147/K147-1),"")</f>
        <v>-1.5242868157286</v>
      </c>
      <c r="M148" s="12">
        <f>IFERROR(IF(L147=0,"",M147/L147-1),"")</f>
        <v>0</v>
      </c>
      <c r="N148" s="40">
        <f>IFERROR(IF(M147=0,"",N147/M147-1),"")</f>
        <v>-2.99522058823529</v>
      </c>
      <c r="O148" s="40">
        <f>IFERROR(IF(N147=0,"",O147/N147-1),"")</f>
        <v>0.052699465634789</v>
      </c>
      <c r="P148" s="40">
        <f>IFERROR(IF(O147=0,"",P147/O147-1),"")</f>
        <v>0.0416593733590058</v>
      </c>
      <c r="Q148" s="40">
        <f>IFERROR(IF(P147=0,"",Q147/P147-1),"")</f>
        <v>-1.37960006721559</v>
      </c>
      <c r="R148" s="12">
        <f>IFERROR(IF(Q147=0,"",R147/Q147-1),"")</f>
        <v>0</v>
      </c>
      <c r="S148" s="40">
        <f>IFERROR(IF(R147=0,"",S147/R147-1),"")</f>
        <v>-3.99247454625941</v>
      </c>
      <c r="T148" s="40">
        <f>IFERROR(IF(S147=0,"",T147/S147-1),"")</f>
        <v>-0.00902366863905324</v>
      </c>
      <c r="U148" s="40">
        <f>IFERROR(IF(T147=0,"",U147/T147-1),"")</f>
        <v>0.125541125541126</v>
      </c>
      <c r="V148" s="40">
        <f>IFERROR(IF(U147=0,"",V147/U147-1),"")</f>
        <v>-0.730106100795756</v>
      </c>
      <c r="W148" s="12">
        <f>IFERROR(IF(V147=0,"",W147/V147-1),"")</f>
        <v>0</v>
      </c>
      <c r="X148" s="40">
        <f>IFERROR(IF(W147=0,"",X147/W147-1),"")</f>
        <v>3</v>
      </c>
      <c r="Y148" s="40">
        <f>IFERROR(IF(X147=0,"",Y147/X147-1),"")</f>
        <v>0.0222358722358722</v>
      </c>
      <c r="Z148" s="40">
        <f>IFERROR(IF(Y147=0,"",Z147/Y147-1),"")</f>
        <v>0.0294435764932099</v>
      </c>
      <c r="AA148" s="40">
        <f>IFERROR(IF(Z147=0,"",AA147/Z147-1),"")</f>
        <v>-0.546579500350222</v>
      </c>
      <c r="AB148" s="12">
        <f>IFERROR(IF(AA147=0,"",AB147/AA147-1),"")</f>
        <v>0</v>
      </c>
      <c r="AC148" s="40">
        <f>IFERROR(IF(AB147=0,"",AC147/AB147-1),"")</f>
        <v>1.23326467559217</v>
      </c>
      <c r="AD148" s="40">
        <f>IFERROR(IF(AC147=0,"",AD147/AC147-1),"")</f>
        <v>-0.054069633387134</v>
      </c>
      <c r="AE148" s="40">
        <f>IFERROR(IF(AD147=0,"",AE147/AD147-1),"")</f>
        <v>0.0152346130408287</v>
      </c>
      <c r="AF148" s="55">
        <f>IFERROR(IF(AE147=0,"",AF147/AE147-1),"")</f>
        <v>-0.421848739495798</v>
      </c>
      <c r="AG148" s="12">
        <f>IFERROR(IF(AF147=0,"",AG147/AF147-1),"")</f>
        <v>0</v>
      </c>
      <c r="AH148" s="12">
        <f>IFERROR(IF(AG147=0,"",AH147/AG147-1),"")</f>
        <v>1.00872093023256</v>
      </c>
      <c r="AI148" s="12">
        <f>IFERROR(IF(AH147=0,"",AI147/AH147-1),"")</f>
        <v>-0.031527806491627</v>
      </c>
      <c r="AJ148" s="12">
        <f>IFERROR(IF(AI147=0,"",AJ147/AI147-1),"")</f>
        <v>0</v>
      </c>
      <c r="AK148" s="12">
        <f>IFERROR(IF(AJ147=0,"",AK147/AJ147-1),"")</f>
        <v>0</v>
      </c>
      <c r="AL148" s="12">
        <f>IFERROR(IF(AK147=0,"",AL147/AK147-1),"")</f>
        <v>0</v>
      </c>
      <c r="AM148" s="12">
        <f>IFERROR(IF(AL147=0,"",AM147/AL147-1),"")</f>
        <v>0</v>
      </c>
      <c r="AN148" s="12">
        <f>IFERROR(IF(AM147=0,"",AN147/AM147-1),"")</f>
        <v>0</v>
      </c>
      <c r="AO148" s="12">
        <f>IFERROR(IF(AN147=0,"",AO147/AN147-1),"")</f>
        <v>0</v>
      </c>
      <c r="AP148" s="12">
        <f>IFERROR(IF(AO147=0,"",AP147/AO147-1),"")</f>
        <v>0</v>
      </c>
      <c r="AQ148" s="12">
        <f>IFERROR(IF(AP147=0,"",AQ147/AP147-1),"")</f>
        <v>0</v>
      </c>
      <c r="AR148" s="12">
        <f>IFERROR(IF(AQ147=0,"",AR147/AQ147-1),"")</f>
        <v>0</v>
      </c>
      <c r="AS148" s="12">
        <f>IFERROR(IF(AR147=0,"",AS147/AR147-1),"")</f>
        <v>0</v>
      </c>
      <c r="AT148" s="12">
        <f>IFERROR(IF(AS147=0,"",AT147/AS147-1),"")</f>
        <v>0</v>
      </c>
      <c r="AU148" s="12">
        <f>IFERROR(IF(AT147=0,"",AU147/AT147-1),"")</f>
        <v>0</v>
      </c>
      <c r="AV148" s="12">
        <f>IFERROR(IF(AU147=0,"",AV147/AU147-1),"")</f>
        <v>0</v>
      </c>
      <c r="AW148" s="12">
        <f>IFERROR(IF(AV147=0,"",AW147/AV147-1),"")</f>
        <v>0</v>
      </c>
      <c r="AX148" s="12">
        <f>IFERROR(IF(AW147=0,"",AX147/AW147-1),"")</f>
        <v>0</v>
      </c>
      <c r="AY148" s="12">
        <f>IFERROR(IF(AX147=0,"",AY147/AX147-1),"")</f>
        <v>0</v>
      </c>
      <c r="AZ148" s="12">
        <f>IFERROR(IF(AY147=0,"",AZ147/AY147-1),"")</f>
        <v>0</v>
      </c>
      <c r="BA148" s="12">
        <f>IFERROR(IF(AZ147=0,"",BA147/AZ147-1),"")</f>
        <v>0</v>
      </c>
      <c r="BB148" s="12">
        <f>IFERROR(IF(BA147=0,"",BB147/BA147-1),"")</f>
        <v>0</v>
      </c>
      <c r="BC148" s="12">
        <f>IFERROR(IF(BB147=0,"",BC147/BB147-1),"")</f>
        <v>0</v>
      </c>
      <c r="BD148" s="12">
        <f>IFERROR(IF(BC147=0,"",BD147/BC147-1),"")</f>
        <v>0</v>
      </c>
      <c r="BE148" s="12">
        <f>IFERROR(IF(BD147=0,"",BE147/BD147-1),"")</f>
        <v>0</v>
      </c>
      <c r="BF148" s="12">
        <f>IFERROR(IF(BE147=0,"",BF147/BE147-1),"")</f>
        <v>0</v>
      </c>
      <c r="BG148" s="12" t="n"/>
      <c r="BH148" s="12" t="n"/>
      <c r="BI148" s="12" t="n"/>
      <c r="BJ148" s="12" t="n"/>
      <c r="BK148" s="12" t="n"/>
      <c r="BL148" s="12" t="n"/>
      <c r="BM148" s="12" t="n"/>
      <c r="BN148" s="12" t="n"/>
      <c r="BO148" s="12" t="n"/>
      <c r="BP148" s="12" t="n"/>
      <c r="BQ148" s="12" t="n"/>
      <c r="BR148" s="12" t="n"/>
      <c r="BS148" s="12" t="n"/>
      <c r="BT148" s="12" t="n"/>
      <c r="BU148" s="12" t="n"/>
      <c r="BV148" s="12" t="n"/>
      <c r="BW148" s="12" t="n"/>
      <c r="BX148" s="12" t="n"/>
      <c r="BY148" s="12" t="n"/>
      <c r="BZ148" s="12" t="n"/>
      <c r="CA148" s="12" t="n"/>
      <c r="CB148" s="12" t="n"/>
      <c r="CC148" s="12" t="n"/>
      <c r="CD148" s="12" t="n"/>
      <c r="CE148" s="12" t="n"/>
      <c r="CF148" s="12" t="n"/>
      <c r="CG148" s="12" t="n"/>
      <c r="CH148" s="12" t="n"/>
      <c r="CI148" s="12" t="n"/>
      <c r="CJ148" s="12" t="n"/>
      <c r="CK148" s="12" t="n"/>
      <c r="CL148" s="12" t="n"/>
      <c r="CM148" s="12" t="n"/>
      <c r="CN148" s="12" t="n"/>
      <c r="CO148" s="12" t="n"/>
      <c r="CP148" s="12" t="n"/>
      <c r="CQ148" s="12" t="n"/>
      <c r="CR148" s="12" t="n"/>
      <c r="CS148" s="12" t="n"/>
      <c r="CT148" s="12" t="n"/>
      <c r="CU148" s="12" t="n"/>
      <c r="CV148" s="12" t="n"/>
      <c r="CW148" s="12" t="n"/>
      <c r="CX148" s="12" t="n"/>
      <c r="CY148" s="12" t="n"/>
    </row>
    <row r="149" hidden="1" outlineLevel="1">
      <c r="C149" s="57" t="n"/>
      <c r="D149" s="12" t="n"/>
      <c r="E149" s="40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12" t="n"/>
      <c r="T149" s="12" t="n"/>
      <c r="U149" s="12" t="n"/>
      <c r="V149" s="12" t="n"/>
      <c r="W149" s="12" t="n"/>
      <c r="X149" s="12" t="n"/>
      <c r="Y149" s="12" t="n"/>
      <c r="Z149" s="12" t="n"/>
      <c r="AA149" s="12" t="n"/>
      <c r="AB149" s="12" t="n"/>
      <c r="AC149" s="12" t="n"/>
      <c r="AD149" s="12" t="n"/>
      <c r="AE149" s="12" t="n"/>
      <c r="AF149" s="12" t="n"/>
      <c r="AG149" s="12" t="n"/>
      <c r="AH149" s="12" t="n"/>
      <c r="AI149" s="12" t="n"/>
      <c r="AJ149" s="12" t="n"/>
      <c r="AK149" s="12" t="n"/>
      <c r="AL149" s="12" t="n"/>
      <c r="AM149" s="12" t="n"/>
      <c r="AN149" s="12" t="n"/>
      <c r="AO149" s="12" t="n"/>
      <c r="AP149" s="12" t="n"/>
      <c r="AQ149" s="12" t="n"/>
      <c r="AR149" s="12" t="n"/>
      <c r="AS149" s="12" t="n"/>
      <c r="AT149" s="12" t="n"/>
      <c r="AU149" s="12" t="n"/>
      <c r="AV149" s="12" t="n"/>
      <c r="AW149" s="12" t="n"/>
      <c r="AX149" s="12" t="n"/>
      <c r="AY149" s="12" t="n"/>
      <c r="AZ149" s="12" t="n"/>
      <c r="BA149" s="12" t="n"/>
      <c r="BB149" s="12" t="n"/>
      <c r="BC149" s="12" t="n"/>
      <c r="BD149" s="12" t="n"/>
      <c r="BE149" s="12" t="n"/>
      <c r="BF149" s="12" t="n"/>
      <c r="BG149" s="12" t="n"/>
      <c r="BH149" s="12" t="n"/>
      <c r="BI149" s="12" t="n"/>
      <c r="BJ149" s="12" t="n"/>
      <c r="BK149" s="12" t="n"/>
      <c r="BL149" s="12" t="n"/>
      <c r="BM149" s="12" t="n"/>
      <c r="BN149" s="12" t="n"/>
      <c r="BO149" s="12" t="n"/>
      <c r="BP149" s="12" t="n"/>
      <c r="BQ149" s="12" t="n"/>
      <c r="BR149" s="12" t="n"/>
      <c r="BS149" s="12" t="n"/>
      <c r="BT149" s="12" t="n"/>
      <c r="BU149" s="12" t="n"/>
      <c r="BV149" s="12" t="n"/>
      <c r="BW149" s="12" t="n"/>
      <c r="BX149" s="12" t="n"/>
      <c r="BY149" s="12" t="n"/>
      <c r="BZ149" s="12" t="n"/>
      <c r="CA149" s="12" t="n"/>
      <c r="CB149" s="12" t="n"/>
      <c r="CC149" s="12" t="n"/>
      <c r="CD149" s="12" t="n"/>
      <c r="CE149" s="12" t="n"/>
      <c r="CF149" s="12" t="n"/>
      <c r="CG149" s="12" t="n"/>
      <c r="CH149" s="12" t="n"/>
      <c r="CI149" s="12" t="n"/>
      <c r="CJ149" s="12" t="n"/>
      <c r="CK149" s="12" t="n"/>
      <c r="CL149" s="12" t="n"/>
      <c r="CM149" s="12" t="n"/>
      <c r="CN149" s="12" t="n"/>
      <c r="CO149" s="12" t="n"/>
      <c r="CP149" s="12" t="n"/>
      <c r="CQ149" s="12" t="n"/>
      <c r="CR149" s="12" t="n"/>
      <c r="CS149" s="12" t="n"/>
      <c r="CT149" s="12" t="n"/>
      <c r="CU149" s="12" t="n"/>
      <c r="CV149" s="12" t="n"/>
      <c r="CW149" s="12" t="n"/>
      <c r="CX149" s="12" t="n"/>
      <c r="CY149" s="12" t="n"/>
    </row>
    <row r="150" hidden="1" outlineLevel="1">
      <c r="C150" s="60" t="inlineStr">
        <is>
          <t xml:space="preserve">Impostos e Contribuições a Recuperar </t>
        </is>
      </c>
      <c r="D150" s="11" t="n"/>
      <c r="E150" s="11" t="n"/>
      <c r="F150" s="11" t="n"/>
      <c r="G150" s="11" t="n"/>
      <c r="H150" s="12" t="n"/>
      <c r="I150" s="11" t="n"/>
      <c r="J150" s="11" t="n"/>
      <c r="K150" s="11" t="n"/>
      <c r="L150" s="11" t="n"/>
      <c r="M150" s="12" t="n"/>
      <c r="N150" s="11" t="n"/>
      <c r="O150" s="11" t="n"/>
      <c r="P150" s="11" t="n"/>
      <c r="Q150" s="11" t="n"/>
      <c r="R150" s="12" t="n"/>
      <c r="S150" s="11" t="n"/>
      <c r="T150" s="11" t="n"/>
      <c r="U150" s="11" t="n"/>
      <c r="V150" s="11" t="n"/>
      <c r="W150" s="12" t="n"/>
      <c r="X150" s="11" t="n"/>
      <c r="Y150" s="11" t="n"/>
      <c r="Z150" s="11" t="n"/>
      <c r="AA150" s="11" t="n"/>
      <c r="AB150" s="12" t="n"/>
      <c r="AC150" s="11" t="n"/>
      <c r="AD150" s="11" t="n"/>
      <c r="AE150" s="11" t="n"/>
      <c r="AF150" s="11" t="n"/>
      <c r="AG150" s="12">
        <f>AF150</f>
        <v>0</v>
      </c>
      <c r="AH150" s="61">
        <f>IFERROR(AG150*AH15/AG15,"")</f>
        <v>0</v>
      </c>
      <c r="AI150" s="61">
        <f>IFERROR(AH150*AI15/AH15,"")</f>
        <v>0</v>
      </c>
      <c r="AJ150" s="61">
        <f>IFERROR(AI150*AJ15/AI15,"")</f>
        <v>0</v>
      </c>
      <c r="AK150" s="61">
        <f>IFERROR(AJ150*AK15/AJ15,"")</f>
        <v>0</v>
      </c>
      <c r="AL150" s="12">
        <f>IFERROR(AK150,"")</f>
        <v>0</v>
      </c>
      <c r="AM150" s="12" t="n"/>
      <c r="AN150" s="12" t="n"/>
      <c r="AO150" s="12" t="n"/>
      <c r="AP150" s="12" t="n"/>
      <c r="AQ150" s="12" t="n"/>
      <c r="AR150" s="12" t="n"/>
      <c r="AS150" s="12" t="n"/>
      <c r="AT150" s="12" t="n"/>
      <c r="AU150" s="12" t="n"/>
      <c r="AV150" s="12" t="n"/>
      <c r="AW150" s="12" t="n"/>
      <c r="AX150" s="12" t="n"/>
      <c r="AY150" s="12" t="n"/>
      <c r="AZ150" s="12" t="n"/>
      <c r="BA150" s="12" t="n"/>
      <c r="BB150" s="12" t="n"/>
      <c r="BC150" s="12" t="n"/>
      <c r="BD150" s="12" t="n"/>
      <c r="BE150" s="12" t="n"/>
      <c r="BF150" s="12" t="n"/>
      <c r="BG150" s="12" t="n"/>
      <c r="BH150" s="12" t="n"/>
      <c r="BI150" s="12" t="n"/>
      <c r="BJ150" s="12" t="n"/>
      <c r="BK150" s="12" t="n"/>
      <c r="BL150" s="12" t="n"/>
      <c r="BM150" s="12" t="n"/>
      <c r="BN150" s="12" t="n"/>
      <c r="BO150" s="12" t="n"/>
      <c r="BP150" s="12" t="n"/>
      <c r="BQ150" s="12" t="n"/>
      <c r="BR150" s="12" t="n"/>
      <c r="BS150" s="12" t="n"/>
      <c r="BT150" s="12" t="n"/>
      <c r="BU150" s="12" t="n"/>
      <c r="BV150" s="12" t="n"/>
      <c r="BW150" s="12" t="n"/>
      <c r="BX150" s="12" t="n"/>
      <c r="BY150" s="12" t="n"/>
      <c r="BZ150" s="12" t="n"/>
      <c r="CA150" s="12" t="n"/>
      <c r="CB150" s="12" t="n"/>
      <c r="CC150" s="12" t="n"/>
      <c r="CD150" s="12" t="n"/>
      <c r="CE150" s="12" t="n"/>
      <c r="CF150" s="12" t="n"/>
      <c r="CG150" s="12" t="n"/>
      <c r="CH150" s="12" t="n"/>
      <c r="CI150" s="12" t="n"/>
      <c r="CJ150" s="12" t="n"/>
      <c r="CK150" s="12" t="n"/>
      <c r="CL150" s="12" t="n"/>
      <c r="CM150" s="12" t="n"/>
      <c r="CN150" s="12" t="n"/>
      <c r="CO150" s="12" t="n"/>
      <c r="CP150" s="12" t="n"/>
      <c r="CQ150" s="12" t="n"/>
      <c r="CR150" s="12" t="n"/>
      <c r="CS150" s="12" t="n"/>
      <c r="CT150" s="12" t="n"/>
      <c r="CU150" s="12" t="n"/>
      <c r="CV150" s="12" t="n"/>
      <c r="CW150" s="12" t="n"/>
      <c r="CX150" s="12" t="n"/>
      <c r="CY150" s="12" t="n"/>
    </row>
    <row r="151" hidden="1" outlineLevel="1">
      <c r="C151" s="60" t="inlineStr">
        <is>
          <t>Outros Créditos</t>
        </is>
      </c>
      <c r="D151" s="11" t="n"/>
      <c r="E151" s="11" t="n"/>
      <c r="F151" s="11" t="n"/>
      <c r="G151" s="11" t="n"/>
      <c r="H151" s="12" t="n"/>
      <c r="I151" s="11" t="n"/>
      <c r="J151" s="11" t="n"/>
      <c r="K151" s="11" t="n"/>
      <c r="L151" s="11" t="n"/>
      <c r="M151" s="12" t="n"/>
      <c r="N151" s="11" t="n"/>
      <c r="O151" s="11" t="n"/>
      <c r="P151" s="11" t="n"/>
      <c r="Q151" s="11" t="n"/>
      <c r="R151" s="12" t="n"/>
      <c r="S151" s="11" t="n"/>
      <c r="T151" s="11" t="n"/>
      <c r="U151" s="11" t="n"/>
      <c r="V151" s="11" t="n"/>
      <c r="W151" s="12" t="n"/>
      <c r="X151" s="11" t="n"/>
      <c r="Y151" s="11" t="n"/>
      <c r="Z151" s="11" t="n"/>
      <c r="AA151" s="11" t="n"/>
      <c r="AB151" s="12" t="n"/>
      <c r="AC151" s="11" t="n"/>
      <c r="AD151" s="11" t="n"/>
      <c r="AE151" s="11" t="n"/>
      <c r="AF151" s="11" t="n"/>
      <c r="AG151" s="12">
        <f>AF151</f>
        <v>0</v>
      </c>
      <c r="AH151" s="12">
        <f>AG151</f>
        <v>0</v>
      </c>
      <c r="AI151" s="12">
        <f>AH151</f>
        <v>0</v>
      </c>
      <c r="AJ151" s="12">
        <f>AI151</f>
        <v>0</v>
      </c>
      <c r="AK151" s="12">
        <f>AJ151</f>
        <v>0</v>
      </c>
      <c r="AL151" s="12">
        <f>AK151</f>
        <v>0</v>
      </c>
      <c r="AM151" s="12" t="n"/>
      <c r="AN151" s="12" t="n"/>
      <c r="AO151" s="12" t="n"/>
      <c r="AP151" s="12" t="n"/>
      <c r="AQ151" s="12" t="n"/>
      <c r="AR151" s="12" t="n"/>
      <c r="AS151" s="12" t="n"/>
      <c r="AT151" s="12" t="n"/>
      <c r="AU151" s="12" t="n"/>
      <c r="AV151" s="12" t="n"/>
      <c r="AW151" s="12" t="n"/>
      <c r="AX151" s="12" t="n"/>
      <c r="AY151" s="12" t="n"/>
      <c r="AZ151" s="12" t="n"/>
      <c r="BA151" s="12" t="n"/>
      <c r="BB151" s="12" t="n"/>
      <c r="BC151" s="12" t="n"/>
      <c r="BD151" s="12" t="n"/>
      <c r="BE151" s="12" t="n"/>
      <c r="BF151" s="12" t="n"/>
      <c r="BG151" s="12" t="n"/>
      <c r="BH151" s="12" t="n"/>
      <c r="BI151" s="12" t="n"/>
      <c r="BJ151" s="12" t="n"/>
      <c r="BK151" s="12" t="n"/>
      <c r="BL151" s="12" t="n"/>
      <c r="BM151" s="12" t="n"/>
      <c r="BN151" s="12" t="n"/>
      <c r="BO151" s="12" t="n"/>
      <c r="BP151" s="12" t="n"/>
      <c r="BQ151" s="12" t="n"/>
      <c r="BR151" s="12" t="n"/>
      <c r="BS151" s="12" t="n"/>
      <c r="BT151" s="12" t="n"/>
      <c r="BU151" s="12" t="n"/>
      <c r="BV151" s="12" t="n"/>
      <c r="BW151" s="12" t="n"/>
      <c r="BX151" s="12" t="n"/>
      <c r="BY151" s="12" t="n"/>
      <c r="BZ151" s="12" t="n"/>
      <c r="CA151" s="12" t="n"/>
      <c r="CB151" s="12" t="n"/>
      <c r="CC151" s="12" t="n"/>
      <c r="CD151" s="12" t="n"/>
      <c r="CE151" s="12" t="n"/>
      <c r="CF151" s="12" t="n"/>
      <c r="CG151" s="12" t="n"/>
      <c r="CH151" s="12" t="n"/>
      <c r="CI151" s="12" t="n"/>
      <c r="CJ151" s="12" t="n"/>
      <c r="CK151" s="12" t="n"/>
      <c r="CL151" s="12" t="n"/>
      <c r="CM151" s="12" t="n"/>
      <c r="CN151" s="12" t="n"/>
      <c r="CO151" s="12" t="n"/>
      <c r="CP151" s="12" t="n"/>
      <c r="CQ151" s="12" t="n"/>
      <c r="CR151" s="12" t="n"/>
      <c r="CS151" s="12" t="n"/>
      <c r="CT151" s="12" t="n"/>
      <c r="CU151" s="12" t="n"/>
      <c r="CV151" s="12" t="n"/>
      <c r="CW151" s="12" t="n"/>
      <c r="CX151" s="12" t="n"/>
      <c r="CY151" s="12" t="n"/>
    </row>
    <row r="152" hidden="1" outlineLevel="1">
      <c r="C152" s="57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  <c r="P152" s="12" t="n"/>
      <c r="Q152" s="12" t="n"/>
      <c r="R152" s="12" t="n"/>
      <c r="S152" s="12" t="n"/>
      <c r="T152" s="12" t="n"/>
      <c r="U152" s="12" t="n"/>
      <c r="V152" s="12" t="n"/>
      <c r="W152" s="12" t="n"/>
      <c r="X152" s="12" t="n"/>
      <c r="Y152" s="12" t="n"/>
      <c r="Z152" s="12" t="n"/>
      <c r="AA152" s="12" t="n"/>
      <c r="AB152" s="12" t="n"/>
      <c r="AC152" s="12" t="n"/>
      <c r="AD152" s="12" t="n"/>
      <c r="AE152" s="12" t="n"/>
      <c r="AF152" s="12" t="n"/>
      <c r="AG152" s="12" t="n"/>
      <c r="AH152" s="12" t="n"/>
      <c r="AI152" s="12" t="n"/>
      <c r="AJ152" s="12" t="n"/>
      <c r="AK152" s="12" t="n"/>
      <c r="AL152" s="12" t="n"/>
      <c r="AM152" s="12" t="n"/>
      <c r="AN152" s="12" t="n"/>
      <c r="AO152" s="12" t="n"/>
      <c r="AP152" s="12" t="n"/>
      <c r="AQ152" s="12" t="n"/>
      <c r="AR152" s="12" t="n"/>
      <c r="AS152" s="12" t="n"/>
      <c r="AT152" s="12" t="n"/>
      <c r="AU152" s="12" t="n"/>
      <c r="AV152" s="12" t="n"/>
      <c r="AW152" s="12" t="n"/>
      <c r="AX152" s="12" t="n"/>
      <c r="AY152" s="12" t="n"/>
      <c r="AZ152" s="12" t="n"/>
      <c r="BA152" s="12" t="n"/>
      <c r="BB152" s="12" t="n"/>
      <c r="BC152" s="12" t="n"/>
      <c r="BD152" s="12" t="n"/>
      <c r="BE152" s="12" t="n"/>
      <c r="BF152" s="12" t="n"/>
      <c r="BG152" s="12" t="n"/>
      <c r="BH152" s="12" t="n"/>
      <c r="BI152" s="12" t="n"/>
      <c r="BJ152" s="12" t="n"/>
      <c r="BK152" s="12" t="n"/>
      <c r="BL152" s="12" t="n"/>
      <c r="BM152" s="12" t="n"/>
      <c r="BN152" s="12" t="n"/>
      <c r="BO152" s="12" t="n"/>
      <c r="BP152" s="12" t="n"/>
      <c r="BQ152" s="12" t="n"/>
      <c r="BR152" s="12" t="n"/>
      <c r="BS152" s="12" t="n"/>
      <c r="BT152" s="12" t="n"/>
      <c r="BU152" s="12" t="n"/>
      <c r="BV152" s="12" t="n"/>
      <c r="BW152" s="12" t="n"/>
      <c r="BX152" s="12" t="n"/>
      <c r="BY152" s="12" t="n"/>
      <c r="BZ152" s="12" t="n"/>
      <c r="CA152" s="12" t="n"/>
      <c r="CB152" s="12" t="n"/>
      <c r="CC152" s="12" t="n"/>
      <c r="CD152" s="12" t="n"/>
      <c r="CE152" s="12" t="n"/>
      <c r="CF152" s="12" t="n"/>
      <c r="CG152" s="12" t="n"/>
      <c r="CH152" s="12" t="n"/>
      <c r="CI152" s="12" t="n"/>
      <c r="CJ152" s="12" t="n"/>
      <c r="CK152" s="12" t="n"/>
      <c r="CL152" s="12" t="n"/>
      <c r="CM152" s="12" t="n"/>
      <c r="CN152" s="12" t="n"/>
      <c r="CO152" s="12" t="n"/>
      <c r="CP152" s="12" t="n"/>
      <c r="CQ152" s="12" t="n"/>
      <c r="CR152" s="12" t="n"/>
      <c r="CS152" s="12" t="n"/>
      <c r="CT152" s="12" t="n"/>
      <c r="CU152" s="12" t="n"/>
      <c r="CV152" s="12" t="n"/>
      <c r="CW152" s="12" t="n"/>
      <c r="CX152" s="12" t="n"/>
      <c r="CY152" s="12" t="n"/>
    </row>
    <row r="153" collapsed="1">
      <c r="C153" s="14" t="inlineStr">
        <is>
          <t>Equity in affiliates</t>
        </is>
      </c>
      <c r="D153" s="46" t="n"/>
      <c r="E153" s="46" t="n"/>
      <c r="F153" s="46" t="n"/>
      <c r="G153" s="46" t="n"/>
      <c r="H153" s="12" t="n"/>
      <c r="I153" s="46">
        <f>'Inputs (2)'!D21</f>
        <v>0</v>
      </c>
      <c r="J153" s="46">
        <f>'Inputs (2)'!E21</f>
        <v>0</v>
      </c>
      <c r="K153" s="46">
        <f>'Inputs (2)'!F21</f>
        <v>0</v>
      </c>
      <c r="L153" s="46">
        <f>'Inputs (2)'!G21</f>
        <v>0</v>
      </c>
      <c r="M153" s="12">
        <f>'Inputs (2)'!H21</f>
        <v>0</v>
      </c>
      <c r="N153" s="46">
        <f>'Inputs (2)'!I21</f>
        <v>0</v>
      </c>
      <c r="O153" s="46">
        <f>'Inputs (2)'!J21</f>
        <v>0</v>
      </c>
      <c r="P153" s="46">
        <f>'Inputs (2)'!K21</f>
        <v>0</v>
      </c>
      <c r="Q153" s="46">
        <f>'Inputs (2)'!L21</f>
        <v>0</v>
      </c>
      <c r="R153" s="12">
        <f>'Inputs (2)'!M21</f>
        <v>0</v>
      </c>
      <c r="S153" s="46">
        <f>'Inputs (2)'!N21</f>
        <v>0</v>
      </c>
      <c r="T153" s="46">
        <f>'Inputs (2)'!O21</f>
        <v>0</v>
      </c>
      <c r="U153" s="46">
        <f>'Inputs (2)'!P21</f>
        <v>0</v>
      </c>
      <c r="V153" s="46">
        <f>'Inputs (2)'!Q21</f>
        <v>0</v>
      </c>
      <c r="W153" s="12">
        <f>'Inputs (2)'!R21</f>
        <v>0</v>
      </c>
      <c r="X153" s="46">
        <f>'Inputs (2)'!S21</f>
        <v>0</v>
      </c>
      <c r="Y153" s="46">
        <f>'Inputs (2)'!T21</f>
        <v>0</v>
      </c>
      <c r="Z153" s="46">
        <f>'Inputs (2)'!U21</f>
        <v>0</v>
      </c>
      <c r="AA153" s="46">
        <f>'Inputs (2)'!V21</f>
        <v>0</v>
      </c>
      <c r="AB153" s="12">
        <f>'Inputs (2)'!W21</f>
        <v>0</v>
      </c>
      <c r="AC153" s="46">
        <f>'Inputs (2)'!X21</f>
        <v>0</v>
      </c>
      <c r="AD153" s="46">
        <f>'Inputs (2)'!Y21</f>
        <v>0</v>
      </c>
      <c r="AE153" s="46">
        <f>'Inputs (2)'!Z21</f>
        <v>0</v>
      </c>
      <c r="AF153" s="46">
        <f>'Inputs (2)'!AA21</f>
        <v>0</v>
      </c>
      <c r="AG153" s="12">
        <f>'Inputs (2)'!AB21</f>
        <v>0</v>
      </c>
      <c r="AH153" s="12">
        <f>'Inputs (2)'!AC21</f>
        <v>0</v>
      </c>
      <c r="AI153" s="12">
        <f>'Inputs (2)'!AD21</f>
        <v>0</v>
      </c>
      <c r="AJ153" s="12">
        <f>AI153+AJ127</f>
        <v>0</v>
      </c>
      <c r="AK153" s="12">
        <f>AJ153+AK127</f>
        <v>0</v>
      </c>
      <c r="AL153" s="12">
        <f>AK153</f>
        <v>0</v>
      </c>
      <c r="AM153" s="12">
        <f>AL153+AM127</f>
        <v>0</v>
      </c>
      <c r="AN153" s="12">
        <f>AM153+AN127</f>
        <v>0</v>
      </c>
      <c r="AO153" s="12">
        <f>AN153+AO127</f>
        <v>0</v>
      </c>
      <c r="AP153" s="12">
        <f>AO153+AP127</f>
        <v>0</v>
      </c>
      <c r="AQ153" s="12">
        <f>AP153</f>
        <v>0</v>
      </c>
      <c r="AR153" s="12">
        <f>AQ153+AR127</f>
        <v>0</v>
      </c>
      <c r="AS153" s="12">
        <f>AR153+AS127</f>
        <v>0</v>
      </c>
      <c r="AT153" s="12">
        <f>AS153+AT127</f>
        <v>0</v>
      </c>
      <c r="AU153" s="12">
        <f>AT153+AU127</f>
        <v>0</v>
      </c>
      <c r="AV153" s="12">
        <f>AU153</f>
        <v>0</v>
      </c>
      <c r="AW153" s="12">
        <f>AV153+AW127</f>
        <v>0</v>
      </c>
      <c r="AX153" s="12">
        <f>AW153+AX127</f>
        <v>0</v>
      </c>
      <c r="AY153" s="12">
        <f>AX153+AY127</f>
        <v>0</v>
      </c>
      <c r="AZ153" s="12">
        <f>AY153+AZ127</f>
        <v>0</v>
      </c>
      <c r="BA153" s="12">
        <f>AZ153</f>
        <v>0</v>
      </c>
      <c r="BB153" s="12">
        <f>BA153+BB127</f>
        <v>0</v>
      </c>
      <c r="BC153" s="12">
        <f>BB153+BC127</f>
        <v>0</v>
      </c>
      <c r="BD153" s="12">
        <f>BC153+BD127</f>
        <v>0</v>
      </c>
      <c r="BE153" s="12">
        <f>BD153+BE127</f>
        <v>0</v>
      </c>
      <c r="BF153" s="12">
        <f>BE153</f>
        <v>0</v>
      </c>
      <c r="BG153" s="12" t="n"/>
      <c r="BH153" s="12" t="n"/>
      <c r="BI153" s="12" t="n"/>
      <c r="BJ153" s="12" t="n"/>
      <c r="BK153" s="12" t="n"/>
      <c r="BL153" s="12" t="n"/>
      <c r="BM153" s="12" t="n"/>
      <c r="BN153" s="12" t="n"/>
      <c r="BO153" s="12" t="n"/>
      <c r="BP153" s="12" t="n"/>
      <c r="BQ153" s="12" t="n"/>
      <c r="BR153" s="12" t="n"/>
      <c r="BS153" s="12" t="n"/>
      <c r="BT153" s="12" t="n"/>
      <c r="BU153" s="12" t="n"/>
      <c r="BV153" s="12" t="n"/>
      <c r="BW153" s="12" t="n"/>
      <c r="BX153" s="12" t="n"/>
      <c r="BY153" s="12" t="n"/>
      <c r="BZ153" s="12" t="n"/>
      <c r="CA153" s="12" t="n"/>
      <c r="CB153" s="12" t="n"/>
      <c r="CC153" s="12" t="n"/>
      <c r="CD153" s="12" t="n"/>
      <c r="CE153" s="12" t="n"/>
      <c r="CF153" s="12" t="n"/>
      <c r="CG153" s="12" t="n"/>
      <c r="CH153" s="12" t="n"/>
      <c r="CI153" s="12" t="n"/>
      <c r="CJ153" s="12" t="n"/>
      <c r="CK153" s="12" t="n"/>
      <c r="CL153" s="12" t="n"/>
      <c r="CM153" s="12" t="n"/>
      <c r="CN153" s="12" t="n"/>
      <c r="CO153" s="12" t="n"/>
      <c r="CP153" s="12" t="n"/>
      <c r="CQ153" s="12" t="n"/>
      <c r="CR153" s="12" t="n"/>
      <c r="CS153" s="12" t="n"/>
      <c r="CT153" s="12" t="n"/>
      <c r="CU153" s="12" t="n"/>
      <c r="CV153" s="12" t="n"/>
      <c r="CW153" s="12" t="n"/>
      <c r="CX153" s="12" t="n"/>
      <c r="CY153" s="12" t="n"/>
    </row>
    <row r="154" hidden="1" outlineLevel="1">
      <c r="C154" s="57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  <c r="P154" s="12" t="n"/>
      <c r="Q154" s="12" t="n"/>
      <c r="R154" s="12" t="n"/>
      <c r="S154" s="12" t="n"/>
      <c r="T154" s="12" t="n"/>
      <c r="U154" s="12" t="n"/>
      <c r="V154" s="12" t="n"/>
      <c r="W154" s="12" t="n"/>
      <c r="X154" s="12" t="n"/>
      <c r="Y154" s="12" t="n"/>
      <c r="Z154" s="12" t="n"/>
      <c r="AA154" s="12" t="n"/>
      <c r="AB154" s="12" t="n"/>
      <c r="AC154" s="12" t="n"/>
      <c r="AD154" s="12" t="n"/>
      <c r="AE154" s="12" t="n"/>
      <c r="AF154" s="12" t="n"/>
      <c r="AG154" s="12" t="n"/>
      <c r="AH154" s="12" t="n"/>
      <c r="AI154" s="12" t="n"/>
      <c r="AJ154" s="12" t="n"/>
      <c r="AK154" s="12" t="n"/>
      <c r="AL154" s="12" t="n"/>
      <c r="AM154" s="12" t="n"/>
      <c r="AN154" s="12" t="n"/>
      <c r="AO154" s="12" t="n"/>
      <c r="AP154" s="12" t="n"/>
      <c r="AQ154" s="12" t="n"/>
      <c r="AR154" s="12" t="n"/>
      <c r="AS154" s="12" t="n"/>
      <c r="AT154" s="12" t="n"/>
      <c r="AU154" s="12" t="n"/>
      <c r="AV154" s="12" t="n"/>
      <c r="AW154" s="12" t="n"/>
      <c r="AX154" s="12" t="n"/>
      <c r="AY154" s="12" t="n"/>
      <c r="AZ154" s="12" t="n"/>
      <c r="BA154" s="12" t="n"/>
      <c r="BB154" s="12" t="n"/>
      <c r="BC154" s="12" t="n"/>
      <c r="BD154" s="12" t="n"/>
      <c r="BE154" s="12" t="n"/>
      <c r="BF154" s="12" t="n"/>
      <c r="BG154" s="12" t="n"/>
      <c r="BH154" s="12" t="n"/>
      <c r="BI154" s="12" t="n"/>
      <c r="BJ154" s="12" t="n"/>
      <c r="BK154" s="12" t="n"/>
      <c r="BL154" s="12" t="n"/>
      <c r="BM154" s="12" t="n"/>
      <c r="BN154" s="12" t="n"/>
      <c r="BO154" s="12" t="n"/>
      <c r="BP154" s="12" t="n"/>
      <c r="BQ154" s="12" t="n"/>
      <c r="BR154" s="12" t="n"/>
      <c r="BS154" s="12" t="n"/>
      <c r="BT154" s="12" t="n"/>
      <c r="BU154" s="12" t="n"/>
      <c r="BV154" s="12" t="n"/>
      <c r="BW154" s="12" t="n"/>
      <c r="BX154" s="12" t="n"/>
      <c r="BY154" s="12" t="n"/>
      <c r="BZ154" s="12" t="n"/>
      <c r="CA154" s="12" t="n"/>
      <c r="CB154" s="12" t="n"/>
      <c r="CC154" s="12" t="n"/>
      <c r="CD154" s="12" t="n"/>
      <c r="CE154" s="12" t="n"/>
      <c r="CF154" s="12" t="n"/>
      <c r="CG154" s="12" t="n"/>
      <c r="CH154" s="12" t="n"/>
      <c r="CI154" s="12" t="n"/>
      <c r="CJ154" s="12" t="n"/>
      <c r="CK154" s="12" t="n"/>
      <c r="CL154" s="12" t="n"/>
      <c r="CM154" s="12" t="n"/>
      <c r="CN154" s="12" t="n"/>
      <c r="CO154" s="12" t="n"/>
      <c r="CP154" s="12" t="n"/>
      <c r="CQ154" s="12" t="n"/>
      <c r="CR154" s="12" t="n"/>
      <c r="CS154" s="12" t="n"/>
      <c r="CT154" s="12" t="n"/>
      <c r="CU154" s="12" t="n"/>
      <c r="CV154" s="12" t="n"/>
      <c r="CW154" s="12" t="n"/>
      <c r="CX154" s="12" t="n"/>
      <c r="CY154" s="12" t="n"/>
    </row>
    <row r="155" hidden="1" outlineLevel="1">
      <c r="C155" s="57" t="inlineStr">
        <is>
          <t>Equity in Income - % YoY</t>
        </is>
      </c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  <c r="M155" s="12" t="n"/>
      <c r="N155" s="12">
        <f>IF(I127=0,0,N127/I127-1)</f>
        <v>-1.03177966101695</v>
      </c>
      <c r="O155" s="12">
        <f>IF(J127=0,0,O127/J127-1)</f>
        <v>0.666666666666667</v>
      </c>
      <c r="P155" s="12">
        <f>IF(K127=0,0,P127/K127-1)</f>
        <v>-1.88888888888889</v>
      </c>
      <c r="Q155" s="12">
        <f>IF(L127=0,0,Q127/L127-1)</f>
        <v>-0.999051233396584</v>
      </c>
      <c r="R155" s="12" t="n"/>
      <c r="S155" s="12">
        <f>IF(N127=0,0,S127/N127-1)</f>
        <v>-0.333333333333333</v>
      </c>
      <c r="T155" s="12">
        <f>IF(O127=0,0,T127/O127-1)</f>
        <v>-0.8</v>
      </c>
      <c r="U155" s="12">
        <f>IF(P127=0,0,U127/P127-1)</f>
        <v>-1</v>
      </c>
      <c r="V155" s="12">
        <f>IF(Q127=0,0,V127/Q127-1)</f>
        <v>-2.5</v>
      </c>
      <c r="W155" s="12" t="n"/>
      <c r="X155" s="12">
        <f>IF(S127=0,0,X127/S127-1)</f>
        <v>-1</v>
      </c>
      <c r="Y155" s="12">
        <f>IF(T127=0,0,Y127/T127-1)</f>
        <v>1</v>
      </c>
      <c r="Z155" s="12">
        <f>IF(U127=0,0,Z127/U127-1)</f>
        <v>0</v>
      </c>
      <c r="AA155" s="12">
        <f>IF(V127=0,0,AA127/V127-1)</f>
        <v>-0.666666666666667</v>
      </c>
      <c r="AB155" s="12" t="n"/>
      <c r="AC155" s="12">
        <f>IF(X127=0,0,AC127/X127-1)</f>
        <v>0</v>
      </c>
      <c r="AD155" s="12">
        <f>IF(Y127=0,0,AD127/Y127-1)</f>
        <v>0.5</v>
      </c>
      <c r="AE155" s="12">
        <f>IF(Z127=0,0,AE127/Z127-1)</f>
        <v>-1.8</v>
      </c>
      <c r="AF155" s="12">
        <f>IF(AA127=0,0,AF127/AA127-1)</f>
        <v>0</v>
      </c>
      <c r="AG155" s="12" t="n"/>
      <c r="AH155" s="11">
        <f>IF(AC127=0,0,AH127/AC127-1)</f>
        <v>2</v>
      </c>
      <c r="AI155" s="11">
        <f>IF(AD127=0,0,AI127/AD127-1)</f>
        <v>-0.166666666666667</v>
      </c>
      <c r="AJ155" s="11" t="n"/>
      <c r="AK155" s="11" t="n"/>
      <c r="AL155" s="12" t="n"/>
      <c r="AM155" s="11" t="n"/>
      <c r="AN155" s="11" t="n"/>
      <c r="AO155" s="11" t="n"/>
      <c r="AP155" s="11" t="n"/>
      <c r="AQ155" s="12" t="n"/>
      <c r="AR155" s="11" t="n"/>
      <c r="AS155" s="11" t="n"/>
      <c r="AT155" s="11" t="n"/>
      <c r="AU155" s="11" t="n"/>
      <c r="AV155" s="12" t="n"/>
      <c r="AW155" s="11" t="n"/>
      <c r="AX155" s="11" t="n"/>
      <c r="AY155" s="11" t="n"/>
      <c r="AZ155" s="11" t="n"/>
      <c r="BA155" s="12" t="n"/>
      <c r="BB155" s="11" t="n"/>
      <c r="BC155" s="11" t="n"/>
      <c r="BD155" s="11" t="n"/>
      <c r="BE155" s="11" t="n"/>
      <c r="BF155" s="12" t="n"/>
      <c r="BG155" s="11" t="n"/>
      <c r="BH155" s="11" t="n"/>
      <c r="BI155" s="11" t="n"/>
      <c r="BJ155" s="11" t="n"/>
      <c r="BK155" s="12" t="n"/>
      <c r="BL155" s="11" t="n"/>
      <c r="BM155" s="11" t="n"/>
      <c r="BN155" s="11" t="n"/>
      <c r="BO155" s="11" t="n"/>
      <c r="BP155" s="12" t="n"/>
      <c r="BQ155" s="11" t="n"/>
      <c r="BR155" s="11" t="n"/>
      <c r="BS155" s="11" t="n"/>
      <c r="BT155" s="11" t="n"/>
      <c r="BU155" s="12" t="n"/>
      <c r="BV155" s="11" t="n"/>
      <c r="BW155" s="11" t="n"/>
      <c r="BX155" s="11" t="n"/>
      <c r="BY155" s="11" t="n"/>
      <c r="BZ155" s="12" t="n"/>
      <c r="CA155" s="11" t="n"/>
      <c r="CB155" s="11" t="n"/>
      <c r="CC155" s="11" t="n"/>
      <c r="CD155" s="11" t="n"/>
      <c r="CE155" s="12" t="n"/>
      <c r="CF155" s="11" t="n"/>
      <c r="CG155" s="11" t="n"/>
      <c r="CH155" s="11" t="n"/>
      <c r="CI155" s="11" t="n"/>
      <c r="CJ155" s="12" t="n"/>
      <c r="CK155" s="11" t="n"/>
      <c r="CL155" s="11" t="n"/>
      <c r="CM155" s="11" t="n"/>
      <c r="CN155" s="11" t="n"/>
      <c r="CO155" s="12" t="n"/>
      <c r="CP155" s="11" t="n"/>
      <c r="CQ155" s="11" t="n"/>
      <c r="CR155" s="11" t="n"/>
      <c r="CS155" s="11" t="n"/>
      <c r="CT155" s="12" t="n"/>
      <c r="CU155" s="11" t="n"/>
      <c r="CV155" s="11" t="n"/>
      <c r="CW155" s="11" t="n"/>
      <c r="CX155" s="11" t="n"/>
      <c r="CY155" s="12" t="n"/>
    </row>
    <row r="156" hidden="1" outlineLevel="1">
      <c r="C156" s="57" t="inlineStr">
        <is>
          <t>Dividends (enter as -)</t>
        </is>
      </c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  <c r="P156" s="12" t="n"/>
      <c r="Q156" s="12" t="n"/>
      <c r="R156" s="12" t="n"/>
      <c r="S156" s="12" t="n"/>
      <c r="T156" s="12" t="n"/>
      <c r="U156" s="12" t="n"/>
      <c r="V156" s="12" t="n"/>
      <c r="W156" s="12" t="n"/>
      <c r="X156" s="12" t="n"/>
      <c r="Y156" s="12" t="n"/>
      <c r="Z156" s="12" t="n"/>
      <c r="AA156" s="12" t="n"/>
      <c r="AB156" s="12" t="n"/>
      <c r="AC156" s="12" t="n"/>
      <c r="AD156" s="12" t="n"/>
      <c r="AE156" s="12" t="n"/>
      <c r="AF156" s="12" t="n"/>
      <c r="AG156" s="12" t="n"/>
      <c r="AH156" s="11" t="n"/>
      <c r="AI156" s="11" t="n"/>
      <c r="AJ156" s="11" t="n"/>
      <c r="AK156" s="11" t="n"/>
      <c r="AL156" s="12" t="n"/>
      <c r="AM156" s="11" t="n"/>
      <c r="AN156" s="11" t="n"/>
      <c r="AO156" s="11" t="n"/>
      <c r="AP156" s="11" t="n"/>
      <c r="AQ156" s="12" t="n"/>
      <c r="AR156" s="11" t="n"/>
      <c r="AS156" s="11" t="n"/>
      <c r="AT156" s="11" t="n"/>
      <c r="AU156" s="11" t="n"/>
      <c r="AV156" s="12" t="n"/>
      <c r="AW156" s="11" t="n"/>
      <c r="AX156" s="11" t="n"/>
      <c r="AY156" s="11" t="n"/>
      <c r="AZ156" s="11" t="n"/>
      <c r="BA156" s="12" t="n"/>
      <c r="BB156" s="11" t="n"/>
      <c r="BC156" s="11" t="n"/>
      <c r="BD156" s="11" t="n"/>
      <c r="BE156" s="11" t="n"/>
      <c r="BF156" s="12" t="n"/>
      <c r="BG156" s="11" t="n"/>
      <c r="BH156" s="11" t="n"/>
      <c r="BI156" s="11" t="n"/>
      <c r="BJ156" s="11" t="n"/>
      <c r="BK156" s="12" t="n"/>
      <c r="BL156" s="11" t="n"/>
      <c r="BM156" s="11" t="n"/>
      <c r="BN156" s="11" t="n"/>
      <c r="BO156" s="11" t="n"/>
      <c r="BP156" s="12" t="n"/>
      <c r="BQ156" s="11" t="n"/>
      <c r="BR156" s="11" t="n"/>
      <c r="BS156" s="11" t="n"/>
      <c r="BT156" s="11" t="n"/>
      <c r="BU156" s="12" t="n"/>
      <c r="BV156" s="11" t="n"/>
      <c r="BW156" s="11" t="n"/>
      <c r="BX156" s="11" t="n"/>
      <c r="BY156" s="11" t="n"/>
      <c r="BZ156" s="12" t="n"/>
      <c r="CA156" s="11" t="n"/>
      <c r="CB156" s="11" t="n"/>
      <c r="CC156" s="11" t="n"/>
      <c r="CD156" s="11" t="n"/>
      <c r="CE156" s="12" t="n"/>
      <c r="CF156" s="11" t="n"/>
      <c r="CG156" s="11" t="n"/>
      <c r="CH156" s="11" t="n"/>
      <c r="CI156" s="11" t="n"/>
      <c r="CJ156" s="12" t="n"/>
      <c r="CK156" s="11" t="n"/>
      <c r="CL156" s="11" t="n"/>
      <c r="CM156" s="11" t="n"/>
      <c r="CN156" s="11" t="n"/>
      <c r="CO156" s="12" t="n"/>
      <c r="CP156" s="11" t="n"/>
      <c r="CQ156" s="11" t="n"/>
      <c r="CR156" s="11" t="n"/>
      <c r="CS156" s="11" t="n"/>
      <c r="CT156" s="12" t="n"/>
      <c r="CU156" s="11" t="n"/>
      <c r="CV156" s="11" t="n"/>
      <c r="CW156" s="11" t="n"/>
      <c r="CX156" s="11" t="n"/>
      <c r="CY156" s="12" t="n"/>
    </row>
    <row r="157" hidden="1" outlineLevel="1">
      <c r="C157" s="57" t="n"/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  <c r="P157" s="12" t="n"/>
      <c r="Q157" s="12" t="n"/>
      <c r="R157" s="12" t="n"/>
      <c r="S157" s="12" t="n"/>
      <c r="T157" s="12" t="n"/>
      <c r="U157" s="12" t="n"/>
      <c r="V157" s="12" t="n"/>
      <c r="W157" s="12" t="n"/>
      <c r="X157" s="12" t="n"/>
      <c r="Y157" s="12" t="n"/>
      <c r="Z157" s="12" t="n"/>
      <c r="AA157" s="12" t="n"/>
      <c r="AB157" s="12" t="n"/>
      <c r="AC157" s="12" t="n"/>
      <c r="AD157" s="12" t="n"/>
      <c r="AE157" s="12" t="n"/>
      <c r="AF157" s="12" t="n"/>
      <c r="AG157" s="12" t="n"/>
      <c r="AH157" s="12" t="n"/>
      <c r="AI157" s="12" t="n"/>
      <c r="AJ157" s="12" t="n"/>
      <c r="AK157" s="12" t="n"/>
      <c r="AL157" s="12" t="n"/>
      <c r="AM157" s="12" t="n"/>
      <c r="AN157" s="12" t="n"/>
      <c r="AO157" s="12" t="n"/>
      <c r="AP157" s="12" t="n"/>
      <c r="AQ157" s="12" t="n"/>
      <c r="AR157" s="12" t="n"/>
      <c r="AS157" s="12" t="n"/>
      <c r="AT157" s="12" t="n"/>
      <c r="AU157" s="12" t="n"/>
      <c r="AV157" s="12" t="n"/>
      <c r="AW157" s="12" t="n"/>
      <c r="AX157" s="12" t="n"/>
      <c r="AY157" s="12" t="n"/>
      <c r="AZ157" s="12" t="n"/>
      <c r="BA157" s="12" t="n"/>
      <c r="BB157" s="12" t="n"/>
      <c r="BC157" s="12" t="n"/>
      <c r="BD157" s="12" t="n"/>
      <c r="BE157" s="12" t="n"/>
      <c r="BF157" s="12" t="n"/>
      <c r="BG157" s="12" t="n"/>
      <c r="BH157" s="12" t="n"/>
      <c r="BI157" s="12" t="n"/>
      <c r="BJ157" s="12" t="n"/>
      <c r="BK157" s="12" t="n"/>
      <c r="BL157" s="12" t="n"/>
      <c r="BM157" s="12" t="n"/>
      <c r="BN157" s="12" t="n"/>
      <c r="BO157" s="12" t="n"/>
      <c r="BP157" s="12" t="n"/>
      <c r="BQ157" s="12" t="n"/>
      <c r="BR157" s="12" t="n"/>
      <c r="BS157" s="12" t="n"/>
      <c r="BT157" s="12" t="n"/>
      <c r="BU157" s="12" t="n"/>
      <c r="BV157" s="12" t="n"/>
      <c r="BW157" s="12" t="n"/>
      <c r="BX157" s="12" t="n"/>
      <c r="BY157" s="12" t="n"/>
      <c r="BZ157" s="12" t="n"/>
      <c r="CA157" s="12" t="n"/>
      <c r="CB157" s="12" t="n"/>
      <c r="CC157" s="12" t="n"/>
      <c r="CD157" s="12" t="n"/>
      <c r="CE157" s="12" t="n"/>
      <c r="CF157" s="12" t="n"/>
      <c r="CG157" s="12" t="n"/>
      <c r="CH157" s="12" t="n"/>
      <c r="CI157" s="12" t="n"/>
      <c r="CJ157" s="12" t="n"/>
      <c r="CK157" s="12" t="n"/>
      <c r="CL157" s="12" t="n"/>
      <c r="CM157" s="12" t="n"/>
      <c r="CN157" s="12" t="n"/>
      <c r="CO157" s="12" t="n"/>
      <c r="CP157" s="12" t="n"/>
      <c r="CQ157" s="12" t="n"/>
      <c r="CR157" s="12" t="n"/>
      <c r="CS157" s="12" t="n"/>
      <c r="CT157" s="12" t="n"/>
      <c r="CU157" s="12" t="n"/>
      <c r="CV157" s="12" t="n"/>
      <c r="CW157" s="12" t="n"/>
      <c r="CX157" s="12" t="n"/>
      <c r="CY157" s="12" t="n"/>
    </row>
    <row r="158" collapsed="1">
      <c r="C158" s="14" t="inlineStr">
        <is>
          <t>PP&amp;E</t>
        </is>
      </c>
      <c r="D158" s="46" t="n"/>
      <c r="E158" s="46" t="n"/>
      <c r="F158" s="46" t="n"/>
      <c r="G158" s="46" t="n"/>
      <c r="H158" s="12" t="n"/>
      <c r="I158" s="46">
        <f>'Inputs (2)'!D22</f>
        <v>29775</v>
      </c>
      <c r="J158" s="46">
        <f>'Inputs (2)'!E22</f>
        <v>29836</v>
      </c>
      <c r="K158" s="46">
        <f>'Inputs (2)'!F22</f>
        <v>30102</v>
      </c>
      <c r="L158" s="46">
        <f>'Inputs (2)'!G22</f>
        <v>30345</v>
      </c>
      <c r="M158" s="12">
        <f>'Inputs (2)'!H22</f>
        <v>30345</v>
      </c>
      <c r="N158" s="46">
        <f>'Inputs (2)'!I22</f>
        <v>30708</v>
      </c>
      <c r="O158" s="46">
        <f>'Inputs (2)'!J22</f>
        <v>31200</v>
      </c>
      <c r="P158" s="46">
        <f>'Inputs (2)'!K22</f>
        <v>31814</v>
      </c>
      <c r="Q158" s="46">
        <f>'Inputs (2)'!L22</f>
        <v>32627</v>
      </c>
      <c r="R158" s="12">
        <f>'Inputs (2)'!M22</f>
        <v>32627</v>
      </c>
      <c r="S158" s="46">
        <f>'Inputs (2)'!N22</f>
        <v>33159</v>
      </c>
      <c r="T158" s="46">
        <f>'Inputs (2)'!O22</f>
        <v>33845</v>
      </c>
      <c r="U158" s="46">
        <f>'Inputs (2)'!P22</f>
        <v>34535</v>
      </c>
      <c r="V158" s="46">
        <f>'Inputs (2)'!Q22</f>
        <v>35295</v>
      </c>
      <c r="W158" s="12">
        <f>'Inputs (2)'!R22</f>
        <v>35295</v>
      </c>
      <c r="X158" s="46">
        <f>'Inputs (2)'!S22</f>
        <v>36197</v>
      </c>
      <c r="Y158" s="46">
        <f>'Inputs (2)'!T22</f>
        <v>36784</v>
      </c>
      <c r="Z158" s="46">
        <f>'Inputs (2)'!U22</f>
        <v>37750</v>
      </c>
      <c r="AA158" s="46">
        <f>'Inputs (2)'!V22</f>
        <v>38514</v>
      </c>
      <c r="AB158" s="12">
        <f>'Inputs (2)'!W22</f>
        <v>38514</v>
      </c>
      <c r="AC158" s="46">
        <f>'Inputs (2)'!X22</f>
        <v>39200</v>
      </c>
      <c r="AD158" s="46">
        <f>'Inputs (2)'!Y22</f>
        <v>39835</v>
      </c>
      <c r="AE158" s="46">
        <f>'Inputs (2)'!Z22</f>
        <v>40257</v>
      </c>
      <c r="AF158" s="46">
        <f>'Inputs (2)'!AA22</f>
        <v>40736</v>
      </c>
      <c r="AG158" s="12">
        <f>'Inputs (2)'!AB22</f>
        <v>40736</v>
      </c>
      <c r="AH158" s="12">
        <f>'Inputs (2)'!AC22</f>
        <v>41101</v>
      </c>
      <c r="AI158" s="12">
        <f>'Inputs (2)'!AD22</f>
        <v>41705</v>
      </c>
      <c r="AJ158" s="12">
        <f>AJ163</f>
        <v>42280.715156678</v>
      </c>
      <c r="AK158" s="12">
        <f>AK163</f>
        <v>42745.8619549521</v>
      </c>
      <c r="AL158" s="12">
        <f>AK158</f>
        <v>42745.8619549521</v>
      </c>
      <c r="AM158" s="12">
        <f>AM163</f>
        <v>43260.6365227562</v>
      </c>
      <c r="AN158" s="12">
        <f>AN163</f>
        <v>43841.0584728838</v>
      </c>
      <c r="AO158" s="12">
        <f>AO163</f>
        <v>44424.2394802513</v>
      </c>
      <c r="AP158" s="12">
        <f>AP163</f>
        <v>44895.4182832493</v>
      </c>
      <c r="AQ158" s="12">
        <f>AP158</f>
        <v>44895.4182832493</v>
      </c>
      <c r="AR158" s="12">
        <f>AR163</f>
        <v>45414.294553831</v>
      </c>
      <c r="AS158" s="12">
        <f>AS163</f>
        <v>45999.3412824032</v>
      </c>
      <c r="AT158" s="12">
        <f>AT163</f>
        <v>46587.1690522711</v>
      </c>
      <c r="AU158" s="12">
        <f>AU163</f>
        <v>47062.1021887693</v>
      </c>
      <c r="AV158" s="12">
        <f>AU158</f>
        <v>47062.1021887693</v>
      </c>
      <c r="AW158" s="12">
        <f>AW163</f>
        <v>47582.5184629763</v>
      </c>
      <c r="AX158" s="12">
        <f>AX163</f>
        <v>48169.3015863964</v>
      </c>
      <c r="AY158" s="12">
        <f>AY163</f>
        <v>48758.8740051294</v>
      </c>
      <c r="AZ158" s="12">
        <f>AZ163</f>
        <v>49235.2167238218</v>
      </c>
      <c r="BA158" s="12">
        <f>AZ158</f>
        <v>49235.2167238218</v>
      </c>
      <c r="BB158" s="12">
        <f>BB163</f>
        <v>49755.6329980288</v>
      </c>
      <c r="BC158" s="12">
        <f>BC163</f>
        <v>50342.4161214489</v>
      </c>
      <c r="BD158" s="12">
        <f>BD163</f>
        <v>50931.9885401819</v>
      </c>
      <c r="BE158" s="12">
        <f>BE163</f>
        <v>51408.3312588743</v>
      </c>
      <c r="BF158" s="12">
        <f>BE158</f>
        <v>51408.3312588743</v>
      </c>
      <c r="BG158" s="12" t="n"/>
      <c r="BH158" s="12" t="n"/>
      <c r="BI158" s="12" t="n"/>
      <c r="BJ158" s="12" t="n"/>
      <c r="BK158" s="12" t="n"/>
      <c r="BL158" s="12" t="n"/>
      <c r="BM158" s="12" t="n"/>
      <c r="BN158" s="12" t="n"/>
      <c r="BO158" s="12" t="n"/>
      <c r="BP158" s="12" t="n"/>
      <c r="BQ158" s="12" t="n"/>
      <c r="BR158" s="12" t="n"/>
      <c r="BS158" s="12" t="n"/>
      <c r="BT158" s="12" t="n"/>
      <c r="BU158" s="12" t="n"/>
      <c r="BV158" s="12" t="n"/>
      <c r="BW158" s="12" t="n"/>
      <c r="BX158" s="12" t="n"/>
      <c r="BY158" s="12" t="n"/>
      <c r="BZ158" s="12" t="n"/>
      <c r="CA158" s="12" t="n"/>
      <c r="CB158" s="12" t="n"/>
      <c r="CC158" s="12" t="n"/>
      <c r="CD158" s="12" t="n"/>
      <c r="CE158" s="12" t="n"/>
      <c r="CF158" s="12" t="n"/>
      <c r="CG158" s="12" t="n"/>
      <c r="CH158" s="12" t="n"/>
      <c r="CI158" s="12" t="n"/>
      <c r="CJ158" s="12" t="n"/>
      <c r="CK158" s="12" t="n"/>
      <c r="CL158" s="12" t="n"/>
      <c r="CM158" s="12" t="n"/>
      <c r="CN158" s="12" t="n"/>
      <c r="CO158" s="12" t="n"/>
      <c r="CP158" s="12" t="n"/>
      <c r="CQ158" s="12" t="n"/>
      <c r="CR158" s="12" t="n"/>
      <c r="CS158" s="12" t="n"/>
      <c r="CT158" s="12" t="n"/>
      <c r="CU158" s="12" t="n"/>
      <c r="CV158" s="12" t="n"/>
      <c r="CW158" s="12" t="n"/>
      <c r="CX158" s="12" t="n"/>
      <c r="CY158" s="12" t="n"/>
    </row>
    <row r="159" hidden="1" outlineLevel="1">
      <c r="C159" s="57" t="n"/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  <c r="P159" s="12" t="n"/>
      <c r="Q159" s="12" t="n"/>
      <c r="R159" s="12" t="n"/>
      <c r="S159" s="12" t="n"/>
      <c r="T159" s="12" t="n"/>
      <c r="U159" s="12" t="n"/>
      <c r="V159" s="12" t="n"/>
      <c r="W159" s="12" t="n"/>
      <c r="X159" s="12" t="n"/>
      <c r="Y159" s="12" t="n"/>
      <c r="Z159" s="12" t="n"/>
      <c r="AA159" s="12" t="n"/>
      <c r="AB159" s="12" t="n"/>
      <c r="AC159" s="12" t="n"/>
      <c r="AD159" s="12" t="n"/>
      <c r="AE159" s="12" t="n"/>
      <c r="AF159" s="12" t="n"/>
      <c r="AG159" s="12" t="n"/>
      <c r="AH159" s="12" t="n"/>
      <c r="AI159" s="12" t="n"/>
      <c r="AJ159" s="12" t="n"/>
      <c r="AK159" s="12" t="n"/>
      <c r="AL159" s="12" t="n"/>
      <c r="AM159" s="12" t="n"/>
      <c r="AN159" s="12" t="n"/>
      <c r="AO159" s="12" t="n"/>
      <c r="AP159" s="12" t="n"/>
      <c r="AQ159" s="12" t="n"/>
      <c r="AR159" s="12" t="n"/>
      <c r="AS159" s="12" t="n"/>
      <c r="AT159" s="12" t="n"/>
      <c r="AU159" s="12" t="n"/>
      <c r="AV159" s="12" t="n"/>
      <c r="AW159" s="12" t="n"/>
      <c r="AX159" s="12" t="n"/>
      <c r="AY159" s="12" t="n"/>
      <c r="AZ159" s="12" t="n"/>
      <c r="BA159" s="12" t="n"/>
      <c r="BB159" s="12" t="n"/>
      <c r="BC159" s="12" t="n"/>
      <c r="BD159" s="12" t="n"/>
      <c r="BE159" s="12" t="n"/>
      <c r="BF159" s="12" t="n"/>
      <c r="BG159" s="12" t="n"/>
      <c r="BH159" s="12" t="n"/>
      <c r="BI159" s="12" t="n"/>
      <c r="BJ159" s="12" t="n"/>
      <c r="BK159" s="12" t="n"/>
      <c r="BL159" s="12" t="n"/>
      <c r="BM159" s="12" t="n"/>
      <c r="BN159" s="12" t="n"/>
      <c r="BO159" s="12" t="n"/>
      <c r="BP159" s="12" t="n"/>
      <c r="BQ159" s="12" t="n"/>
      <c r="BR159" s="12" t="n"/>
      <c r="BS159" s="12" t="n"/>
      <c r="BT159" s="12" t="n"/>
      <c r="BU159" s="12" t="n"/>
      <c r="BV159" s="12" t="n"/>
      <c r="BW159" s="12" t="n"/>
      <c r="BX159" s="12" t="n"/>
      <c r="BY159" s="12" t="n"/>
      <c r="BZ159" s="12" t="n"/>
      <c r="CA159" s="12" t="n"/>
      <c r="CB159" s="12" t="n"/>
      <c r="CC159" s="12" t="n"/>
      <c r="CD159" s="12" t="n"/>
      <c r="CE159" s="12" t="n"/>
      <c r="CF159" s="12" t="n"/>
      <c r="CG159" s="12" t="n"/>
      <c r="CH159" s="12" t="n"/>
      <c r="CI159" s="12" t="n"/>
      <c r="CJ159" s="12" t="n"/>
      <c r="CK159" s="12" t="n"/>
      <c r="CL159" s="12" t="n"/>
      <c r="CM159" s="12" t="n"/>
      <c r="CN159" s="12" t="n"/>
      <c r="CO159" s="12" t="n"/>
      <c r="CP159" s="12" t="n"/>
      <c r="CQ159" s="12" t="n"/>
      <c r="CR159" s="12" t="n"/>
      <c r="CS159" s="12" t="n"/>
      <c r="CT159" s="12" t="n"/>
      <c r="CU159" s="12" t="n"/>
      <c r="CV159" s="12" t="n"/>
      <c r="CW159" s="12" t="n"/>
      <c r="CX159" s="12" t="n"/>
      <c r="CY159" s="12" t="n"/>
    </row>
    <row r="160" hidden="1" outlineLevel="1">
      <c r="C160" s="57" t="inlineStr">
        <is>
          <t>Capital expenditures</t>
        </is>
      </c>
      <c r="D160" s="12" t="n"/>
      <c r="E160" s="12" t="n"/>
      <c r="F160" s="12" t="n"/>
      <c r="G160" s="12" t="n"/>
      <c r="H160" s="12" t="n"/>
      <c r="I160" s="12" t="n"/>
      <c r="J160" s="12">
        <f>J158-I158-J62</f>
        <v>544</v>
      </c>
      <c r="K160" s="12">
        <f>K158-J158-K62</f>
        <v>794</v>
      </c>
      <c r="L160" s="12">
        <f>L158-K158-L62</f>
        <v>811</v>
      </c>
      <c r="M160" s="12" t="n"/>
      <c r="N160" s="12">
        <f>N158-M158-N62</f>
        <v>852</v>
      </c>
      <c r="O160" s="12">
        <f>O158-N158-O62</f>
        <v>999</v>
      </c>
      <c r="P160" s="12">
        <f>P158-O158-P62</f>
        <v>1122</v>
      </c>
      <c r="Q160" s="12">
        <f>Q158-P158-Q62</f>
        <v>1328</v>
      </c>
      <c r="R160" s="12" t="n"/>
      <c r="S160" s="12">
        <f>S158-R158-S62</f>
        <v>931</v>
      </c>
      <c r="T160" s="12">
        <f>T158-S158-T62</f>
        <v>1233</v>
      </c>
      <c r="U160" s="12">
        <f>U158-T158-U62</f>
        <v>1223</v>
      </c>
      <c r="V160" s="12">
        <f>V158-U158-V62</f>
        <v>1349</v>
      </c>
      <c r="W160" s="12" t="n"/>
      <c r="X160" s="12">
        <f>X158-W158-X62</f>
        <v>1497</v>
      </c>
      <c r="Y160" s="12">
        <f>Y158-X158-Y62</f>
        <v>1096</v>
      </c>
      <c r="Z160" s="12">
        <f>Z158-Y158-Z62</f>
        <v>1566</v>
      </c>
      <c r="AA160" s="12">
        <f>AA158-Z158-AA62</f>
        <v>1301</v>
      </c>
      <c r="AB160" s="12" t="n"/>
      <c r="AC160" s="12">
        <f>AC158-AB158-AC62</f>
        <v>1152</v>
      </c>
      <c r="AD160" s="12">
        <f>AD158-AC158-AD62</f>
        <v>1303</v>
      </c>
      <c r="AE160" s="12">
        <f>AE158-AD158-AE62</f>
        <v>1047</v>
      </c>
      <c r="AF160" s="11">
        <f>AF158-AE158-AF62</f>
        <v>964</v>
      </c>
      <c r="AG160" s="12">
        <f>SUM(AC160:AF160)</f>
        <v>4466</v>
      </c>
      <c r="AH160" s="11">
        <f>AH158-AG158-AH62</f>
        <v>879</v>
      </c>
      <c r="AI160" s="11">
        <f>AI158-AH158-AI62</f>
        <v>1127</v>
      </c>
      <c r="AJ160" s="11">
        <f>AJ15*Control!$B$24</f>
        <v>1166.67350104698</v>
      </c>
      <c r="AK160" s="11">
        <f>AK15*Control!$B$24</f>
        <v>942.609270137352</v>
      </c>
      <c r="AL160" s="12" t="n"/>
      <c r="AM160" s="11">
        <f>AM15*Control!$C$24</f>
        <v>1043.17880171068</v>
      </c>
      <c r="AN160" s="11">
        <f>AN15*Control!$C$24</f>
        <v>1176.2117095323</v>
      </c>
      <c r="AO160" s="11">
        <f>AO15*Control!$C$24</f>
        <v>1181.80287546299</v>
      </c>
      <c r="AP160" s="11">
        <f>AP15*Control!$C$24</f>
        <v>954.832988738239</v>
      </c>
      <c r="AQ160" s="12" t="n"/>
      <c r="AR160" s="11">
        <f>AR15*Control!$D$24</f>
        <v>1051.49080788993</v>
      </c>
      <c r="AS160" s="11">
        <f>AS15*Control!$D$24</f>
        <v>1185.58371649957</v>
      </c>
      <c r="AT160" s="11">
        <f>AT15*Control!$D$24</f>
        <v>1191.21943261254</v>
      </c>
      <c r="AU160" s="11">
        <f>AU15*Control!$D$24</f>
        <v>962.441059080096</v>
      </c>
      <c r="AV160" s="12" t="n"/>
      <c r="AW160" s="11">
        <f>AW15*Control!$E$24</f>
        <v>1054.61158975624</v>
      </c>
      <c r="AX160" s="11">
        <f>AX15*Control!$E$24</f>
        <v>1189.10248065393</v>
      </c>
      <c r="AY160" s="11">
        <f>AY15*Control!$E$24</f>
        <v>1194.75492334264</v>
      </c>
      <c r="AZ160" s="11">
        <f>AZ15*Control!$E$24</f>
        <v>965.297544920984</v>
      </c>
      <c r="BA160" s="12" t="n"/>
      <c r="BB160" s="11">
        <f>BB15*Control!$F$24</f>
        <v>1054.61158975624</v>
      </c>
      <c r="BC160" s="11">
        <f>BC15*Control!$F$24</f>
        <v>1189.10248065393</v>
      </c>
      <c r="BD160" s="11">
        <f>BD15*Control!$F$24</f>
        <v>1194.75492334264</v>
      </c>
      <c r="BE160" s="11">
        <f>BE15*Control!$F$24</f>
        <v>965.297544920984</v>
      </c>
      <c r="BF160" s="12" t="n"/>
      <c r="BG160" s="11" t="n"/>
      <c r="BH160" s="11" t="n"/>
      <c r="BI160" s="11" t="n"/>
      <c r="BJ160" s="11" t="n"/>
      <c r="BK160" s="12" t="n"/>
      <c r="BL160" s="11" t="n"/>
      <c r="BM160" s="11" t="n"/>
      <c r="BN160" s="11" t="n"/>
      <c r="BO160" s="11" t="n"/>
      <c r="BP160" s="12" t="n"/>
      <c r="BQ160" s="11" t="n"/>
      <c r="BR160" s="11" t="n"/>
      <c r="BS160" s="11" t="n"/>
      <c r="BT160" s="11" t="n"/>
      <c r="BU160" s="12" t="n"/>
      <c r="BV160" s="11" t="n"/>
      <c r="BW160" s="11" t="n"/>
      <c r="BX160" s="11" t="n"/>
      <c r="BY160" s="11" t="n"/>
      <c r="BZ160" s="12" t="n"/>
      <c r="CA160" s="11" t="n"/>
      <c r="CB160" s="11" t="n"/>
      <c r="CC160" s="11" t="n"/>
      <c r="CD160" s="11" t="n"/>
      <c r="CE160" s="12" t="n"/>
      <c r="CF160" s="11" t="n"/>
      <c r="CG160" s="11" t="n"/>
      <c r="CH160" s="11" t="n"/>
      <c r="CI160" s="11" t="n"/>
      <c r="CJ160" s="12" t="n"/>
      <c r="CK160" s="11" t="n"/>
      <c r="CL160" s="11" t="n"/>
      <c r="CM160" s="11" t="n"/>
      <c r="CN160" s="11" t="n"/>
      <c r="CO160" s="12" t="n"/>
      <c r="CP160" s="11" t="n"/>
      <c r="CQ160" s="11" t="n"/>
      <c r="CR160" s="11" t="n"/>
      <c r="CS160" s="11" t="n"/>
      <c r="CT160" s="12" t="n"/>
      <c r="CU160" s="11" t="n"/>
      <c r="CV160" s="11" t="n"/>
      <c r="CW160" s="11" t="n"/>
      <c r="CX160" s="11" t="n"/>
      <c r="CY160" s="12" t="n"/>
    </row>
    <row r="161" hidden="1" outlineLevel="1">
      <c r="C161" s="57" t="inlineStr">
        <is>
          <t>Recurring asset sales (enter as -)</t>
        </is>
      </c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>
        <f>SUM(I161:L161)</f>
        <v>0</v>
      </c>
      <c r="N161" s="12" t="n"/>
      <c r="O161" s="12" t="n"/>
      <c r="P161" s="12" t="n"/>
      <c r="Q161" s="12" t="n"/>
      <c r="R161" s="12">
        <f>SUM(N161:Q161)</f>
        <v>0</v>
      </c>
      <c r="S161" s="12" t="n"/>
      <c r="T161" s="12" t="n"/>
      <c r="U161" s="12" t="n"/>
      <c r="V161" s="12" t="n"/>
      <c r="W161" s="12">
        <f>SUM(S161:V161)</f>
        <v>0</v>
      </c>
      <c r="X161" s="12" t="n"/>
      <c r="Y161" s="12" t="n"/>
      <c r="Z161" s="12" t="n"/>
      <c r="AA161" s="12" t="n"/>
      <c r="AB161" s="12">
        <f>SUM(X161:AA161)</f>
        <v>0</v>
      </c>
      <c r="AC161" s="12" t="n"/>
      <c r="AD161" s="12" t="n"/>
      <c r="AE161" s="12" t="n"/>
      <c r="AF161" s="11" t="n"/>
      <c r="AG161" s="12">
        <f>SUM(AC161:AF161)</f>
        <v>0</v>
      </c>
      <c r="AH161" s="11" t="n"/>
      <c r="AI161" s="11" t="n"/>
      <c r="AJ161" s="11">
        <f>0</f>
        <v>0</v>
      </c>
      <c r="AK161" s="11">
        <f>0</f>
        <v>0</v>
      </c>
      <c r="AL161" s="12" t="n"/>
      <c r="AM161" s="11">
        <f>0</f>
        <v>0</v>
      </c>
      <c r="AN161" s="11">
        <f>0</f>
        <v>0</v>
      </c>
      <c r="AO161" s="11">
        <f>0</f>
        <v>0</v>
      </c>
      <c r="AP161" s="11">
        <f>0</f>
        <v>0</v>
      </c>
      <c r="AQ161" s="12" t="n"/>
      <c r="AR161" s="11">
        <f>0</f>
        <v>0</v>
      </c>
      <c r="AS161" s="11">
        <f>0</f>
        <v>0</v>
      </c>
      <c r="AT161" s="11">
        <f>0</f>
        <v>0</v>
      </c>
      <c r="AU161" s="11">
        <f>0</f>
        <v>0</v>
      </c>
      <c r="AV161" s="12" t="n"/>
      <c r="AW161" s="11">
        <f>0</f>
        <v>0</v>
      </c>
      <c r="AX161" s="11">
        <f>0</f>
        <v>0</v>
      </c>
      <c r="AY161" s="11">
        <f>0</f>
        <v>0</v>
      </c>
      <c r="AZ161" s="11">
        <f>0</f>
        <v>0</v>
      </c>
      <c r="BA161" s="12" t="n"/>
      <c r="BB161" s="11">
        <f>0</f>
        <v>0</v>
      </c>
      <c r="BC161" s="11">
        <f>0</f>
        <v>0</v>
      </c>
      <c r="BD161" s="11">
        <f>0</f>
        <v>0</v>
      </c>
      <c r="BE161" s="11">
        <f>0</f>
        <v>0</v>
      </c>
      <c r="BF161" s="12" t="n"/>
      <c r="BG161" s="11" t="n"/>
      <c r="BH161" s="11" t="n"/>
      <c r="BI161" s="11" t="n"/>
      <c r="BJ161" s="11" t="n"/>
      <c r="BK161" s="12" t="n"/>
      <c r="BL161" s="11" t="n"/>
      <c r="BM161" s="11" t="n"/>
      <c r="BN161" s="11" t="n"/>
      <c r="BO161" s="11" t="n"/>
      <c r="BP161" s="12" t="n"/>
      <c r="BQ161" s="11" t="n"/>
      <c r="BR161" s="11" t="n"/>
      <c r="BS161" s="11" t="n"/>
      <c r="BT161" s="11" t="n"/>
      <c r="BU161" s="12" t="n"/>
      <c r="BV161" s="11" t="n"/>
      <c r="BW161" s="11" t="n"/>
      <c r="BX161" s="11" t="n"/>
      <c r="BY161" s="11" t="n"/>
      <c r="BZ161" s="12" t="n"/>
      <c r="CA161" s="11" t="n"/>
      <c r="CB161" s="11" t="n"/>
      <c r="CC161" s="11" t="n"/>
      <c r="CD161" s="11" t="n"/>
      <c r="CE161" s="12" t="n"/>
      <c r="CF161" s="11" t="n"/>
      <c r="CG161" s="11" t="n"/>
      <c r="CH161" s="11" t="n"/>
      <c r="CI161" s="11" t="n"/>
      <c r="CJ161" s="12" t="n"/>
      <c r="CK161" s="11" t="n"/>
      <c r="CL161" s="11" t="n"/>
      <c r="CM161" s="11" t="n"/>
      <c r="CN161" s="11" t="n"/>
      <c r="CO161" s="12" t="n"/>
      <c r="CP161" s="11" t="n"/>
      <c r="CQ161" s="11" t="n"/>
      <c r="CR161" s="11" t="n"/>
      <c r="CS161" s="11" t="n"/>
      <c r="CT161" s="12" t="n"/>
      <c r="CU161" s="11" t="n"/>
      <c r="CV161" s="11" t="n"/>
      <c r="CW161" s="11" t="n"/>
      <c r="CX161" s="11" t="n"/>
      <c r="CY161" s="12" t="n"/>
    </row>
    <row r="162" hidden="1" outlineLevel="1">
      <c r="C162" s="57" t="inlineStr">
        <is>
          <t>Depreciation</t>
        </is>
      </c>
      <c r="D162" s="12" t="n"/>
      <c r="E162" s="12" t="n"/>
      <c r="F162" s="12" t="n"/>
      <c r="G162" s="12" t="n"/>
      <c r="H162" s="12" t="n"/>
      <c r="I162" s="12">
        <f>I62</f>
        <v>-419</v>
      </c>
      <c r="J162" s="12">
        <f>J62</f>
        <v>-483</v>
      </c>
      <c r="K162" s="12">
        <f>K62</f>
        <v>-528</v>
      </c>
      <c r="L162" s="12">
        <f>L62</f>
        <v>-568</v>
      </c>
      <c r="M162" s="12" t="n"/>
      <c r="N162" s="12">
        <f>N62</f>
        <v>-489</v>
      </c>
      <c r="O162" s="12">
        <f>O62</f>
        <v>-507</v>
      </c>
      <c r="P162" s="12">
        <f>P62</f>
        <v>-508</v>
      </c>
      <c r="Q162" s="12">
        <f>Q62</f>
        <v>-515</v>
      </c>
      <c r="R162" s="12" t="n"/>
      <c r="S162" s="12">
        <f>S62</f>
        <v>-399</v>
      </c>
      <c r="T162" s="12">
        <f>T62</f>
        <v>-547</v>
      </c>
      <c r="U162" s="12">
        <f>U62</f>
        <v>-533</v>
      </c>
      <c r="V162" s="12">
        <f>V62</f>
        <v>-589</v>
      </c>
      <c r="W162" s="12" t="n"/>
      <c r="X162" s="12">
        <f>X62</f>
        <v>-595</v>
      </c>
      <c r="Y162" s="12">
        <f>Y62</f>
        <v>-509</v>
      </c>
      <c r="Z162" s="12">
        <f>Z62</f>
        <v>-600</v>
      </c>
      <c r="AA162" s="12">
        <f>AA62</f>
        <v>-537</v>
      </c>
      <c r="AB162" s="12" t="n"/>
      <c r="AC162" s="12">
        <f>AC62</f>
        <v>-466</v>
      </c>
      <c r="AD162" s="12">
        <f>AD62</f>
        <v>-668</v>
      </c>
      <c r="AE162" s="12">
        <f>AE62</f>
        <v>-625</v>
      </c>
      <c r="AF162" s="12">
        <f>AF62</f>
        <v>-485</v>
      </c>
      <c r="AG162" s="12" t="n"/>
      <c r="AH162" s="12">
        <f>AH62</f>
        <v>-514</v>
      </c>
      <c r="AI162" s="12">
        <f>AI62</f>
        <v>-523</v>
      </c>
      <c r="AJ162" s="12">
        <f>AJ62</f>
        <v>-590.958344369014</v>
      </c>
      <c r="AK162" s="12">
        <f>AK62</f>
        <v>-477.462471863261</v>
      </c>
      <c r="AL162" s="12" t="n"/>
      <c r="AM162" s="12">
        <f>AM62</f>
        <v>-528.404233906545</v>
      </c>
      <c r="AN162" s="12">
        <f>AN62</f>
        <v>-595.789759404733</v>
      </c>
      <c r="AO162" s="12">
        <f>AO62</f>
        <v>-598.621868095404</v>
      </c>
      <c r="AP162" s="12">
        <f>AP62</f>
        <v>-483.654185740305</v>
      </c>
      <c r="AQ162" s="12" t="n"/>
      <c r="AR162" s="12">
        <f>AR62</f>
        <v>-532.614537308199</v>
      </c>
      <c r="AS162" s="12">
        <f>AS62</f>
        <v>-600.536987927387</v>
      </c>
      <c r="AT162" s="12">
        <f>AT62</f>
        <v>-603.391662744688</v>
      </c>
      <c r="AU162" s="12">
        <f>AU62</f>
        <v>-487.507922581874</v>
      </c>
      <c r="AV162" s="12" t="n"/>
      <c r="AW162" s="12">
        <f>AW62</f>
        <v>-534.195315549234</v>
      </c>
      <c r="AX162" s="12">
        <f>AX62</f>
        <v>-602.319357233809</v>
      </c>
      <c r="AY162" s="12">
        <f>AY62</f>
        <v>-605.18250460963</v>
      </c>
      <c r="AZ162" s="12">
        <f>AZ62</f>
        <v>-488.954826228636</v>
      </c>
      <c r="BA162" s="12" t="n"/>
      <c r="BB162" s="12">
        <f>BB62</f>
        <v>-534.195315549234</v>
      </c>
      <c r="BC162" s="12">
        <f>BC62</f>
        <v>-602.319357233809</v>
      </c>
      <c r="BD162" s="12">
        <f>BD62</f>
        <v>-605.18250460963</v>
      </c>
      <c r="BE162" s="12">
        <f>BE62</f>
        <v>-488.954826228636</v>
      </c>
      <c r="BF162" s="12" t="n"/>
      <c r="BG162" s="12" t="n"/>
      <c r="BH162" s="12" t="n"/>
      <c r="BI162" s="12" t="n"/>
      <c r="BJ162" s="12" t="n"/>
      <c r="BK162" s="12" t="n"/>
      <c r="BL162" s="12" t="n"/>
      <c r="BM162" s="12" t="n"/>
      <c r="BN162" s="12" t="n"/>
      <c r="BO162" s="12" t="n"/>
      <c r="BP162" s="12" t="n"/>
      <c r="BQ162" s="12" t="n"/>
      <c r="BR162" s="12" t="n"/>
      <c r="BS162" s="12" t="n"/>
      <c r="BT162" s="12" t="n"/>
      <c r="BU162" s="12" t="n"/>
      <c r="BV162" s="12" t="n"/>
      <c r="BW162" s="12" t="n"/>
      <c r="BX162" s="12" t="n"/>
      <c r="BY162" s="12" t="n"/>
      <c r="BZ162" s="12" t="n"/>
      <c r="CA162" s="12" t="n"/>
      <c r="CB162" s="12" t="n"/>
      <c r="CC162" s="12" t="n"/>
      <c r="CD162" s="12" t="n"/>
      <c r="CE162" s="12" t="n"/>
      <c r="CF162" s="12" t="n"/>
      <c r="CG162" s="12" t="n"/>
      <c r="CH162" s="12" t="n"/>
      <c r="CI162" s="12" t="n"/>
      <c r="CJ162" s="12" t="n"/>
      <c r="CK162" s="12" t="n"/>
      <c r="CL162" s="12" t="n"/>
      <c r="CM162" s="12" t="n"/>
      <c r="CN162" s="12" t="n"/>
      <c r="CO162" s="12" t="n"/>
      <c r="CP162" s="12" t="n"/>
      <c r="CQ162" s="12" t="n"/>
      <c r="CR162" s="12" t="n"/>
      <c r="CS162" s="12" t="n"/>
      <c r="CT162" s="12" t="n"/>
      <c r="CU162" s="12" t="n"/>
      <c r="CV162" s="12" t="n"/>
      <c r="CW162" s="12" t="n"/>
      <c r="CX162" s="12" t="n"/>
      <c r="CY162" s="12" t="n"/>
    </row>
    <row r="163" hidden="1" outlineLevel="1">
      <c r="C163" s="57" t="inlineStr">
        <is>
          <t>PP&amp;E</t>
        </is>
      </c>
      <c r="D163" s="12" t="n"/>
      <c r="E163" s="12" t="n"/>
      <c r="F163" s="12" t="n"/>
      <c r="G163" s="12" t="n"/>
      <c r="H163" s="12" t="n"/>
      <c r="I163" s="12">
        <f>I158</f>
        <v>29775</v>
      </c>
      <c r="J163" s="12">
        <f>J158</f>
        <v>29836</v>
      </c>
      <c r="K163" s="12">
        <f>K158</f>
        <v>30102</v>
      </c>
      <c r="L163" s="12">
        <f>L158</f>
        <v>30345</v>
      </c>
      <c r="M163" s="12" t="n"/>
      <c r="N163" s="12">
        <f>N158</f>
        <v>30708</v>
      </c>
      <c r="O163" s="12">
        <f>O158</f>
        <v>31200</v>
      </c>
      <c r="P163" s="12">
        <f>P158</f>
        <v>31814</v>
      </c>
      <c r="Q163" s="12">
        <f>Q158</f>
        <v>32627</v>
      </c>
      <c r="R163" s="12" t="n"/>
      <c r="S163" s="12">
        <f>S158</f>
        <v>33159</v>
      </c>
      <c r="T163" s="12">
        <f>T158</f>
        <v>33845</v>
      </c>
      <c r="U163" s="12">
        <f>U158</f>
        <v>34535</v>
      </c>
      <c r="V163" s="12">
        <f>V158</f>
        <v>35295</v>
      </c>
      <c r="W163" s="12" t="n"/>
      <c r="X163" s="12">
        <f>X158</f>
        <v>36197</v>
      </c>
      <c r="Y163" s="12">
        <f>Y158</f>
        <v>36784</v>
      </c>
      <c r="Z163" s="12">
        <f>Z158</f>
        <v>37750</v>
      </c>
      <c r="AA163" s="12">
        <f>Y163+SUM(AA160:AA162)</f>
        <v>37548</v>
      </c>
      <c r="AB163" s="12" t="n"/>
      <c r="AC163" s="12">
        <f>AC158</f>
        <v>39200</v>
      </c>
      <c r="AD163" s="12">
        <f>AD158</f>
        <v>39835</v>
      </c>
      <c r="AE163" s="12">
        <f>AE158</f>
        <v>40257</v>
      </c>
      <c r="AF163" s="12">
        <f>AF158</f>
        <v>40736</v>
      </c>
      <c r="AG163" s="12" t="n"/>
      <c r="AH163" s="12">
        <f>AH158</f>
        <v>41101</v>
      </c>
      <c r="AI163" s="12">
        <f>AI158</f>
        <v>41705</v>
      </c>
      <c r="AJ163" s="12">
        <f>AI163+SUM(AJ160:AJ162)</f>
        <v>42280.715156678</v>
      </c>
      <c r="AK163" s="12">
        <f>AJ163+SUM(AK160:AK162)</f>
        <v>42745.8619549521</v>
      </c>
      <c r="AL163" s="12" t="n"/>
      <c r="AM163" s="12">
        <f>AK163+SUM(AM160:AM162)</f>
        <v>43260.6365227562</v>
      </c>
      <c r="AN163" s="12">
        <f>AM163+SUM(AN160:AN162)</f>
        <v>43841.0584728838</v>
      </c>
      <c r="AO163" s="12">
        <f>AN163+SUM(AO160:AO162)</f>
        <v>44424.2394802513</v>
      </c>
      <c r="AP163" s="12">
        <f>AO163+SUM(AP160:AP162)</f>
        <v>44895.4182832493</v>
      </c>
      <c r="AQ163" s="12" t="n"/>
      <c r="AR163" s="12">
        <f>AP163+SUM(AR160:AR162)</f>
        <v>45414.294553831</v>
      </c>
      <c r="AS163" s="12">
        <f>AR163+SUM(AS160:AS162)</f>
        <v>45999.3412824032</v>
      </c>
      <c r="AT163" s="12">
        <f>AS163+SUM(AT160:AT162)</f>
        <v>46587.1690522711</v>
      </c>
      <c r="AU163" s="12">
        <f>AT163+SUM(AU160:AU162)</f>
        <v>47062.1021887693</v>
      </c>
      <c r="AV163" s="12" t="n"/>
      <c r="AW163" s="12">
        <f>AU163+SUM(AW160:AW162)</f>
        <v>47582.5184629763</v>
      </c>
      <c r="AX163" s="12">
        <f>AW163+SUM(AX160:AX162)</f>
        <v>48169.3015863964</v>
      </c>
      <c r="AY163" s="12">
        <f>AX163+SUM(AY160:AY162)</f>
        <v>48758.8740051294</v>
      </c>
      <c r="AZ163" s="12">
        <f>AY163+SUM(AZ160:AZ162)</f>
        <v>49235.2167238218</v>
      </c>
      <c r="BA163" s="12" t="n"/>
      <c r="BB163" s="12">
        <f>AZ163+SUM(BB160:BB162)</f>
        <v>49755.6329980288</v>
      </c>
      <c r="BC163" s="12">
        <f>BB163+SUM(BC160:BC162)</f>
        <v>50342.4161214489</v>
      </c>
      <c r="BD163" s="12">
        <f>BC163+SUM(BD160:BD162)</f>
        <v>50931.9885401819</v>
      </c>
      <c r="BE163" s="12">
        <f>BD163+SUM(BE160:BE162)</f>
        <v>51408.3312588743</v>
      </c>
      <c r="BF163" s="12" t="n"/>
      <c r="BG163" s="12" t="n"/>
      <c r="BH163" s="12" t="n"/>
      <c r="BI163" s="12" t="n"/>
      <c r="BJ163" s="12" t="n"/>
      <c r="BK163" s="12" t="n"/>
      <c r="BL163" s="12" t="n"/>
      <c r="BM163" s="12" t="n"/>
      <c r="BN163" s="12" t="n"/>
      <c r="BO163" s="12" t="n"/>
      <c r="BP163" s="12" t="n"/>
      <c r="BQ163" s="12" t="n"/>
      <c r="BR163" s="12" t="n"/>
      <c r="BS163" s="12" t="n"/>
      <c r="BT163" s="12" t="n"/>
      <c r="BU163" s="12" t="n"/>
      <c r="BV163" s="12" t="n"/>
      <c r="BW163" s="12" t="n"/>
      <c r="BX163" s="12" t="n"/>
      <c r="BY163" s="12" t="n"/>
      <c r="BZ163" s="12" t="n"/>
      <c r="CA163" s="12" t="n"/>
      <c r="CB163" s="12" t="n"/>
      <c r="CC163" s="12" t="n"/>
      <c r="CD163" s="12" t="n"/>
      <c r="CE163" s="12" t="n"/>
      <c r="CF163" s="12" t="n"/>
      <c r="CG163" s="12" t="n"/>
      <c r="CH163" s="12" t="n"/>
      <c r="CI163" s="12" t="n"/>
      <c r="CJ163" s="12" t="n"/>
      <c r="CK163" s="12" t="n"/>
      <c r="CL163" s="12" t="n"/>
      <c r="CM163" s="12" t="n"/>
      <c r="CN163" s="12" t="n"/>
      <c r="CO163" s="12" t="n"/>
      <c r="CP163" s="12" t="n"/>
      <c r="CQ163" s="12" t="n"/>
      <c r="CR163" s="12" t="n"/>
      <c r="CS163" s="12" t="n"/>
      <c r="CT163" s="12" t="n"/>
      <c r="CU163" s="12" t="n"/>
      <c r="CV163" s="12" t="n"/>
      <c r="CW163" s="12" t="n"/>
      <c r="CX163" s="12" t="n"/>
      <c r="CY163" s="12" t="n"/>
    </row>
    <row r="164" hidden="1" outlineLevel="1">
      <c r="C164" s="57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  <c r="P164" s="12" t="n"/>
      <c r="Q164" s="12" t="n"/>
      <c r="R164" s="12" t="n"/>
      <c r="S164" s="12" t="n"/>
      <c r="T164" s="12" t="n"/>
      <c r="U164" s="12" t="n"/>
      <c r="V164" s="12" t="n"/>
      <c r="W164" s="12" t="n"/>
      <c r="X164" s="12" t="n"/>
      <c r="Y164" s="12" t="n"/>
      <c r="Z164" s="12" t="n"/>
      <c r="AA164" s="12" t="n"/>
      <c r="AB164" s="12" t="n"/>
      <c r="AC164" s="12" t="n"/>
      <c r="AD164" s="12" t="n"/>
      <c r="AE164" s="12" t="n"/>
      <c r="AF164" s="12" t="n"/>
      <c r="AG164" s="12" t="n"/>
      <c r="AH164" s="12" t="n"/>
      <c r="AI164" s="12" t="n"/>
      <c r="AJ164" s="12">
        <f>IF(AJ15=0,"",AJ160/AJ15)</f>
        <v>0.165194752156823</v>
      </c>
      <c r="AK164" s="12">
        <f>IF(AK15=0,"",AK160/AK15)</f>
        <v>0.165194752156823</v>
      </c>
      <c r="AL164" s="12" t="n"/>
      <c r="AM164" s="12">
        <f>IF(AM15=0,"",AM160/AM15)</f>
        <v>0.165194752156823</v>
      </c>
      <c r="AN164" s="12">
        <f>IF(AN15=0,"",AN160/AN15)</f>
        <v>0.165194752156823</v>
      </c>
      <c r="AO164" s="12">
        <f>IF(AO15=0,"",AO160/AO15)</f>
        <v>0.165194752156823</v>
      </c>
      <c r="AP164" s="12">
        <f>IF(AP15=0,"",AP160/AP15)</f>
        <v>0.165194752156823</v>
      </c>
      <c r="AQ164" s="12" t="n"/>
      <c r="AR164" s="12">
        <f>IF(AR15=0,"",AR160/AR15)</f>
        <v>0.165194752156823</v>
      </c>
      <c r="AS164" s="12">
        <f>IF(AS15=0,"",AS160/AS15)</f>
        <v>0.165194752156823</v>
      </c>
      <c r="AT164" s="12">
        <f>IF(AT15=0,"",AT160/AT15)</f>
        <v>0.165194752156823</v>
      </c>
      <c r="AU164" s="12">
        <f>IF(AU15=0,"",AU160/AU15)</f>
        <v>0.165194752156823</v>
      </c>
      <c r="AV164" s="12" t="n"/>
      <c r="AW164" s="12">
        <f>IF(AW15=0,"",AW160/AW15)</f>
        <v>0.165194752156823</v>
      </c>
      <c r="AX164" s="12">
        <f>IF(AX15=0,"",AX160/AX15)</f>
        <v>0.165194752156823</v>
      </c>
      <c r="AY164" s="12">
        <f>IF(AY15=0,"",AY160/AY15)</f>
        <v>0.165194752156823</v>
      </c>
      <c r="AZ164" s="12">
        <f>IF(AZ15=0,"",AZ160/AZ15)</f>
        <v>0.165194752156823</v>
      </c>
      <c r="BA164" s="12" t="n"/>
      <c r="BB164" s="12">
        <f>IF(BB15=0,"",BB160/BB15)</f>
        <v>0.165194752156823</v>
      </c>
      <c r="BC164" s="12">
        <f>IF(BC15=0,"",BC160/BC15)</f>
        <v>0.165194752156823</v>
      </c>
      <c r="BD164" s="12">
        <f>IF(BD15=0,"",BD160/BD15)</f>
        <v>0.165194752156823</v>
      </c>
      <c r="BE164" s="12">
        <f>IF(BE15=0,"",BE160/BE15)</f>
        <v>0.165194752156823</v>
      </c>
      <c r="BF164" s="12" t="n"/>
      <c r="BG164" s="12" t="n"/>
      <c r="BH164" s="12" t="n"/>
      <c r="BI164" s="12" t="n"/>
      <c r="BJ164" s="12" t="n"/>
      <c r="BK164" s="12" t="n"/>
      <c r="BL164" s="12" t="n"/>
      <c r="BM164" s="12" t="n"/>
      <c r="BN164" s="12" t="n"/>
      <c r="BO164" s="12" t="n"/>
      <c r="BP164" s="12" t="n"/>
      <c r="BQ164" s="12" t="n"/>
      <c r="BR164" s="12" t="n"/>
      <c r="BS164" s="12" t="n"/>
      <c r="BT164" s="12" t="n"/>
      <c r="BU164" s="12" t="n"/>
      <c r="BV164" s="12" t="n"/>
      <c r="BW164" s="12" t="n"/>
      <c r="BX164" s="12" t="n"/>
      <c r="BY164" s="12" t="n"/>
      <c r="BZ164" s="12" t="n"/>
      <c r="CA164" s="12" t="n"/>
      <c r="CB164" s="12" t="n"/>
      <c r="CC164" s="12" t="n"/>
      <c r="CD164" s="12" t="n"/>
      <c r="CE164" s="12" t="n"/>
      <c r="CF164" s="12" t="n"/>
      <c r="CG164" s="12" t="n"/>
      <c r="CH164" s="12" t="n"/>
      <c r="CI164" s="12" t="n"/>
      <c r="CJ164" s="12" t="n"/>
      <c r="CK164" s="12" t="n"/>
      <c r="CL164" s="12" t="n"/>
      <c r="CM164" s="12" t="n"/>
      <c r="CN164" s="12" t="n"/>
      <c r="CO164" s="12" t="n"/>
      <c r="CP164" s="12" t="n"/>
      <c r="CQ164" s="12" t="n"/>
      <c r="CR164" s="12" t="n"/>
      <c r="CS164" s="12" t="n"/>
      <c r="CT164" s="12" t="n"/>
      <c r="CU164" s="12" t="n"/>
      <c r="CV164" s="12" t="n"/>
      <c r="CW164" s="12" t="n"/>
      <c r="CX164" s="12" t="n"/>
      <c r="CY164" s="12" t="n"/>
    </row>
    <row r="165" hidden="1" outlineLevel="1">
      <c r="C165" s="57" t="inlineStr">
        <is>
          <t>Capital expenditures (% Net Revenues)</t>
        </is>
      </c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12" t="n"/>
      <c r="O165" s="12" t="n"/>
      <c r="P165" s="12" t="n"/>
      <c r="Q165" s="12" t="n"/>
      <c r="R165" s="12" t="n"/>
      <c r="S165" s="12" t="n"/>
      <c r="T165" s="12" t="n"/>
      <c r="U165" s="12" t="n"/>
      <c r="V165" s="12" t="n"/>
      <c r="W165" s="12" t="n"/>
      <c r="X165" s="12" t="n"/>
      <c r="Y165" s="12" t="n"/>
      <c r="Z165" s="12" t="n"/>
      <c r="AA165" s="12" t="n"/>
      <c r="AB165" s="12" t="n"/>
      <c r="AC165" s="12" t="n"/>
      <c r="AD165" s="12" t="n"/>
      <c r="AE165" s="12" t="n"/>
      <c r="AF165" s="58">
        <f>IFERROR(AF160/AF15,"")</f>
        <v>0.171134386650098</v>
      </c>
      <c r="AG165" s="58">
        <f>IFERROR(AG160/AG15,"")</f>
        <v>0.17233262589234</v>
      </c>
      <c r="AH165" s="58">
        <f>IFERROR(AH160/AH15,"")</f>
        <v>0.141000962463908</v>
      </c>
      <c r="AI165" s="58">
        <f>IFERROR(AI160/AI15,"")</f>
        <v>0.160335751885048</v>
      </c>
      <c r="AJ165" s="58">
        <f>IFERROR(AJ160/AJ15,"")</f>
        <v>0.165194752156823</v>
      </c>
      <c r="AK165" s="58">
        <f>IFERROR(AK160/AK15,"")</f>
        <v>0.165194752156823</v>
      </c>
      <c r="AL165" s="58">
        <f>IFERROR(AL160/AL15,"")</f>
        <v>0</v>
      </c>
      <c r="AM165" s="58">
        <f>IFERROR(AM160/AM15,"")</f>
        <v>0.165194752156823</v>
      </c>
      <c r="AN165" s="58">
        <f>IFERROR(AN160/AN15,"")</f>
        <v>0.165194752156823</v>
      </c>
      <c r="AO165" s="58">
        <f>IFERROR(AO160/AO15,"")</f>
        <v>0.165194752156823</v>
      </c>
      <c r="AP165" s="58">
        <f>IFERROR(AP160/AP15,"")</f>
        <v>0.165194752156823</v>
      </c>
      <c r="AQ165" s="58">
        <f>IFERROR(AQ160/AQ15,"")</f>
        <v>0</v>
      </c>
      <c r="AR165" s="58">
        <f>IFERROR(AR160/AR15,"")</f>
        <v>0.165194752156823</v>
      </c>
      <c r="AS165" s="58">
        <f>IFERROR(AS160/AS15,"")</f>
        <v>0.165194752156823</v>
      </c>
      <c r="AT165" s="58">
        <f>IFERROR(AT160/AT15,"")</f>
        <v>0.165194752156823</v>
      </c>
      <c r="AU165" s="58">
        <f>IFERROR(AU160/AU15,"")</f>
        <v>0.165194752156823</v>
      </c>
      <c r="AV165" s="58">
        <f>IFERROR(AV160/AV15,"")</f>
        <v>0</v>
      </c>
      <c r="AW165" s="58">
        <f>IFERROR(AW160/AW15,"")</f>
        <v>0.165194752156823</v>
      </c>
      <c r="AX165" s="58">
        <f>IFERROR(AX160/AX15,"")</f>
        <v>0.165194752156823</v>
      </c>
      <c r="AY165" s="58">
        <f>IFERROR(AY160/AY15,"")</f>
        <v>0.165194752156823</v>
      </c>
      <c r="AZ165" s="58">
        <f>IFERROR(AZ160/AZ15,"")</f>
        <v>0.165194752156823</v>
      </c>
      <c r="BA165" s="58">
        <f>IFERROR(BA160/BA15,"")</f>
        <v>0</v>
      </c>
      <c r="BB165" s="58">
        <f>IFERROR(BB160/BB15,"")</f>
        <v>0.165194752156823</v>
      </c>
      <c r="BC165" s="58">
        <f>IFERROR(BC160/BC15,"")</f>
        <v>0.165194752156823</v>
      </c>
      <c r="BD165" s="58">
        <f>IFERROR(BD160/BD15,"")</f>
        <v>0.165194752156823</v>
      </c>
      <c r="BE165" s="58">
        <f>IFERROR(BE160/BE15,"")</f>
        <v>0.165194752156823</v>
      </c>
      <c r="BF165" s="58">
        <f>IFERROR(BF160/BF15,"")</f>
        <v>0</v>
      </c>
      <c r="BG165" s="58" t="n"/>
      <c r="BH165" s="58" t="n"/>
      <c r="BI165" s="58" t="n"/>
      <c r="BJ165" s="58" t="n"/>
      <c r="BK165" s="58" t="n"/>
      <c r="BL165" s="58" t="n"/>
      <c r="BM165" s="58" t="n"/>
      <c r="BN165" s="58" t="n"/>
      <c r="BO165" s="58" t="n"/>
      <c r="BP165" s="58" t="n"/>
      <c r="BQ165" s="58" t="n"/>
      <c r="BR165" s="58" t="n"/>
      <c r="BS165" s="58" t="n"/>
      <c r="BT165" s="58" t="n"/>
      <c r="BU165" s="58" t="n"/>
      <c r="BV165" s="58" t="n"/>
      <c r="BW165" s="58" t="n"/>
      <c r="BX165" s="58" t="n"/>
      <c r="BY165" s="58" t="n"/>
      <c r="BZ165" s="58" t="n"/>
      <c r="CA165" s="58" t="n"/>
      <c r="CB165" s="58" t="n"/>
      <c r="CC165" s="58" t="n"/>
      <c r="CD165" s="58" t="n"/>
      <c r="CE165" s="58" t="n"/>
      <c r="CF165" s="58" t="n"/>
      <c r="CG165" s="58" t="n"/>
      <c r="CH165" s="58" t="n"/>
      <c r="CI165" s="58" t="n"/>
      <c r="CJ165" s="58" t="n"/>
      <c r="CK165" s="58" t="n"/>
      <c r="CL165" s="58" t="n"/>
      <c r="CM165" s="58" t="n"/>
      <c r="CN165" s="58" t="n"/>
      <c r="CO165" s="58" t="n"/>
      <c r="CP165" s="58" t="n"/>
      <c r="CQ165" s="58" t="n"/>
      <c r="CR165" s="58" t="n"/>
      <c r="CS165" s="58" t="n"/>
      <c r="CT165" s="58" t="n"/>
      <c r="CU165" s="58" t="n"/>
      <c r="CV165" s="58" t="n"/>
      <c r="CW165" s="58" t="n"/>
      <c r="CX165" s="58" t="n"/>
      <c r="CY165" s="58" t="n"/>
    </row>
    <row r="166" hidden="1" outlineLevel="1">
      <c r="C166" s="57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12" t="n"/>
      <c r="S166" s="12" t="n"/>
      <c r="T166" s="12" t="n"/>
      <c r="U166" s="12" t="n"/>
      <c r="V166" s="12" t="n"/>
      <c r="W166" s="12" t="n"/>
      <c r="X166" s="12" t="n"/>
      <c r="Y166" s="12" t="n"/>
      <c r="Z166" s="12" t="n"/>
      <c r="AA166" s="12" t="n"/>
      <c r="AB166" s="12" t="n"/>
      <c r="AC166" s="12" t="n"/>
      <c r="AD166" s="12" t="n"/>
      <c r="AE166" s="12" t="n"/>
      <c r="AF166" s="12" t="n"/>
      <c r="AG166" s="12" t="n"/>
      <c r="AH166" s="12" t="n"/>
      <c r="AI166" s="12" t="n"/>
      <c r="AJ166" s="12" t="n"/>
      <c r="AK166" s="12" t="n"/>
      <c r="AL166" s="12" t="n"/>
      <c r="AM166" s="12" t="n"/>
      <c r="AN166" s="12" t="n"/>
      <c r="AO166" s="12" t="n"/>
      <c r="AP166" s="12" t="n"/>
      <c r="AQ166" s="12" t="n"/>
      <c r="AR166" s="12" t="n"/>
      <c r="AS166" s="12" t="n"/>
      <c r="AT166" s="12" t="n"/>
      <c r="AU166" s="12" t="n"/>
      <c r="AV166" s="12" t="n"/>
      <c r="AW166" s="12" t="n"/>
      <c r="AX166" s="12" t="n"/>
      <c r="AY166" s="12" t="n"/>
      <c r="AZ166" s="12" t="n"/>
      <c r="BA166" s="12" t="n"/>
      <c r="BB166" s="12" t="n"/>
      <c r="BC166" s="12" t="n"/>
      <c r="BD166" s="12" t="n"/>
      <c r="BE166" s="12" t="n"/>
      <c r="BF166" s="12" t="n"/>
      <c r="BG166" s="12" t="n"/>
      <c r="BH166" s="12" t="n"/>
      <c r="BI166" s="12" t="n"/>
      <c r="BJ166" s="12" t="n"/>
      <c r="BK166" s="12" t="n"/>
      <c r="BL166" s="12" t="n"/>
      <c r="BM166" s="12" t="n"/>
      <c r="BN166" s="12" t="n"/>
      <c r="BO166" s="12" t="n"/>
      <c r="BP166" s="12" t="n"/>
      <c r="BQ166" s="12" t="n"/>
      <c r="BR166" s="12" t="n"/>
      <c r="BS166" s="12" t="n"/>
      <c r="BT166" s="12" t="n"/>
      <c r="BU166" s="12" t="n"/>
      <c r="BV166" s="12" t="n"/>
      <c r="BW166" s="12" t="n"/>
      <c r="BX166" s="12" t="n"/>
      <c r="BY166" s="12" t="n"/>
      <c r="BZ166" s="12" t="n"/>
      <c r="CA166" s="12" t="n"/>
      <c r="CB166" s="12" t="n"/>
      <c r="CC166" s="12" t="n"/>
      <c r="CD166" s="12" t="n"/>
      <c r="CE166" s="12" t="n"/>
      <c r="CF166" s="12" t="n"/>
      <c r="CG166" s="12" t="n"/>
      <c r="CH166" s="12" t="n"/>
      <c r="CI166" s="12" t="n"/>
      <c r="CJ166" s="12" t="n"/>
      <c r="CK166" s="12" t="n"/>
      <c r="CL166" s="12" t="n"/>
      <c r="CM166" s="12" t="n"/>
      <c r="CN166" s="12" t="n"/>
      <c r="CO166" s="12" t="n"/>
      <c r="CP166" s="12" t="n"/>
      <c r="CQ166" s="12" t="n"/>
      <c r="CR166" s="12" t="n"/>
      <c r="CS166" s="12" t="n"/>
      <c r="CT166" s="12" t="n"/>
      <c r="CU166" s="12" t="n"/>
      <c r="CV166" s="12" t="n"/>
      <c r="CW166" s="12" t="n"/>
      <c r="CX166" s="12" t="n"/>
      <c r="CY166" s="12" t="n"/>
    </row>
    <row r="167" hidden="1" outlineLevel="1">
      <c r="C167" s="57" t="n"/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  <c r="P167" s="12" t="n"/>
      <c r="Q167" s="12" t="n"/>
      <c r="R167" s="12" t="n"/>
      <c r="S167" s="12" t="n"/>
      <c r="T167" s="12" t="n"/>
      <c r="U167" s="12" t="n"/>
      <c r="V167" s="12" t="n"/>
      <c r="W167" s="12" t="n"/>
      <c r="X167" s="12" t="n"/>
      <c r="Y167" s="12" t="n"/>
      <c r="Z167" s="12" t="n"/>
      <c r="AA167" s="12" t="n"/>
      <c r="AB167" s="12" t="n"/>
      <c r="AC167" s="12" t="n"/>
      <c r="AD167" s="12" t="n"/>
      <c r="AE167" s="12" t="n"/>
      <c r="AF167" s="12" t="n"/>
      <c r="AG167" s="12" t="n"/>
      <c r="AH167" s="12" t="n"/>
      <c r="AI167" s="12" t="n"/>
      <c r="AJ167" s="12" t="n"/>
      <c r="AK167" s="12" t="n"/>
      <c r="AL167" s="12" t="n"/>
      <c r="AM167" s="12" t="n"/>
      <c r="AN167" s="12" t="n"/>
      <c r="AO167" s="12" t="n"/>
      <c r="AP167" s="12" t="n"/>
      <c r="AQ167" s="12" t="n"/>
      <c r="AR167" s="12" t="n"/>
      <c r="AS167" s="12" t="n"/>
      <c r="AT167" s="12" t="n"/>
      <c r="AU167" s="12" t="n"/>
      <c r="AV167" s="12" t="n"/>
      <c r="AW167" s="12" t="n"/>
      <c r="AX167" s="12" t="n"/>
      <c r="AY167" s="12" t="n"/>
      <c r="AZ167" s="12" t="n"/>
      <c r="BA167" s="12" t="n"/>
      <c r="BB167" s="12" t="n"/>
      <c r="BC167" s="12" t="n"/>
      <c r="BD167" s="12" t="n"/>
      <c r="BE167" s="12" t="n"/>
      <c r="BF167" s="12" t="n"/>
      <c r="BG167" s="12" t="n"/>
      <c r="BH167" s="12" t="n"/>
      <c r="BI167" s="12" t="n"/>
      <c r="BJ167" s="12" t="n"/>
      <c r="BK167" s="12" t="n"/>
      <c r="BL167" s="12" t="n"/>
      <c r="BM167" s="12" t="n"/>
      <c r="BN167" s="12" t="n"/>
      <c r="BO167" s="12" t="n"/>
      <c r="BP167" s="12" t="n"/>
      <c r="BQ167" s="12" t="n"/>
      <c r="BR167" s="12" t="n"/>
      <c r="BS167" s="12" t="n"/>
      <c r="BT167" s="12" t="n"/>
      <c r="BU167" s="12" t="n"/>
      <c r="BV167" s="12" t="n"/>
      <c r="BW167" s="12" t="n"/>
      <c r="BX167" s="12" t="n"/>
      <c r="BY167" s="12" t="n"/>
      <c r="BZ167" s="12" t="n"/>
      <c r="CA167" s="12" t="n"/>
      <c r="CB167" s="12" t="n"/>
      <c r="CC167" s="12" t="n"/>
      <c r="CD167" s="12" t="n"/>
      <c r="CE167" s="12" t="n"/>
      <c r="CF167" s="12" t="n"/>
      <c r="CG167" s="12" t="n"/>
      <c r="CH167" s="12" t="n"/>
      <c r="CI167" s="12" t="n"/>
      <c r="CJ167" s="12" t="n"/>
      <c r="CK167" s="12" t="n"/>
      <c r="CL167" s="12" t="n"/>
      <c r="CM167" s="12" t="n"/>
      <c r="CN167" s="12" t="n"/>
      <c r="CO167" s="12" t="n"/>
      <c r="CP167" s="12" t="n"/>
      <c r="CQ167" s="12" t="n"/>
      <c r="CR167" s="12" t="n"/>
      <c r="CS167" s="12" t="n"/>
      <c r="CT167" s="12" t="n"/>
      <c r="CU167" s="12" t="n"/>
      <c r="CV167" s="12" t="n"/>
      <c r="CW167" s="12" t="n"/>
      <c r="CX167" s="12" t="n"/>
      <c r="CY167" s="12" t="n"/>
    </row>
    <row r="168" collapsed="1">
      <c r="C168" s="14" t="inlineStr">
        <is>
          <t>Right-of-use-assets</t>
        </is>
      </c>
      <c r="D168" s="46" t="n"/>
      <c r="E168" s="46" t="n"/>
      <c r="F168" s="46" t="n"/>
      <c r="G168" s="46" t="n"/>
      <c r="H168" s="12" t="n"/>
      <c r="I168" s="46">
        <f>'Inputs (2)'!D23</f>
        <v>0</v>
      </c>
      <c r="J168" s="46">
        <f>'Inputs (2)'!E23</f>
        <v>0</v>
      </c>
      <c r="K168" s="46">
        <f>'Inputs (2)'!F23</f>
        <v>0</v>
      </c>
      <c r="L168" s="46">
        <f>'Inputs (2)'!G23</f>
        <v>0</v>
      </c>
      <c r="M168" s="12">
        <f>'Inputs (2)'!H23</f>
        <v>0</v>
      </c>
      <c r="N168" s="46">
        <f>'Inputs (2)'!I23</f>
        <v>0</v>
      </c>
      <c r="O168" s="46">
        <f>'Inputs (2)'!J23</f>
        <v>0</v>
      </c>
      <c r="P168" s="46">
        <f>'Inputs (2)'!K23</f>
        <v>0</v>
      </c>
      <c r="Q168" s="46">
        <f>'Inputs (2)'!L23</f>
        <v>0</v>
      </c>
      <c r="R168" s="12">
        <f>'Inputs (2)'!M23</f>
        <v>0</v>
      </c>
      <c r="S168" s="46">
        <f>'Inputs (2)'!N23</f>
        <v>0</v>
      </c>
      <c r="T168" s="46">
        <f>'Inputs (2)'!O23</f>
        <v>0</v>
      </c>
      <c r="U168" s="46">
        <f>'Inputs (2)'!P23</f>
        <v>0</v>
      </c>
      <c r="V168" s="46">
        <f>'Inputs (2)'!Q23</f>
        <v>0</v>
      </c>
      <c r="W168" s="12">
        <f>'Inputs (2)'!R23</f>
        <v>0</v>
      </c>
      <c r="X168" s="46">
        <f>'Inputs (2)'!S23</f>
        <v>0</v>
      </c>
      <c r="Y168" s="46">
        <f>'Inputs (2)'!T23</f>
        <v>0</v>
      </c>
      <c r="Z168" s="46">
        <f>'Inputs (2)'!U23</f>
        <v>0</v>
      </c>
      <c r="AA168" s="46">
        <f>'Inputs (2)'!V23</f>
        <v>0</v>
      </c>
      <c r="AB168" s="12">
        <f>'Inputs (2)'!W23</f>
        <v>0</v>
      </c>
      <c r="AC168" s="46">
        <f>'Inputs (2)'!X23</f>
        <v>0</v>
      </c>
      <c r="AD168" s="46">
        <f>'Inputs (2)'!Y23</f>
        <v>0</v>
      </c>
      <c r="AE168" s="46">
        <f>'Inputs (2)'!Z23</f>
        <v>0</v>
      </c>
      <c r="AF168" s="46">
        <f>'Inputs (2)'!AA23</f>
        <v>0</v>
      </c>
      <c r="AG168" s="12">
        <f>'Inputs (2)'!AB23</f>
        <v>0</v>
      </c>
      <c r="AH168" s="12">
        <f>'Inputs (2)'!AC23</f>
        <v>0</v>
      </c>
      <c r="AI168" s="12">
        <f>'Inputs (2)'!AD23</f>
        <v>0</v>
      </c>
      <c r="AJ168" s="12">
        <f>AI168</f>
        <v>0</v>
      </c>
      <c r="AK168" s="12">
        <f>AJ168</f>
        <v>0</v>
      </c>
      <c r="AL168" s="12">
        <f>AK168</f>
        <v>0</v>
      </c>
      <c r="AM168" s="12">
        <f>AL168</f>
        <v>0</v>
      </c>
      <c r="AN168" s="12">
        <f>AM168</f>
        <v>0</v>
      </c>
      <c r="AO168" s="12">
        <f>AN168</f>
        <v>0</v>
      </c>
      <c r="AP168" s="12">
        <f>AO168</f>
        <v>0</v>
      </c>
      <c r="AQ168" s="12">
        <f>AP168</f>
        <v>0</v>
      </c>
      <c r="AR168" s="12">
        <f>AQ168</f>
        <v>0</v>
      </c>
      <c r="AS168" s="12">
        <f>AR168</f>
        <v>0</v>
      </c>
      <c r="AT168" s="12">
        <f>AS168</f>
        <v>0</v>
      </c>
      <c r="AU168" s="12">
        <f>AT168</f>
        <v>0</v>
      </c>
      <c r="AV168" s="12">
        <f>AU168</f>
        <v>0</v>
      </c>
      <c r="AW168" s="12">
        <f>AV168</f>
        <v>0</v>
      </c>
      <c r="AX168" s="12">
        <f>AW168</f>
        <v>0</v>
      </c>
      <c r="AY168" s="12">
        <f>AX168</f>
        <v>0</v>
      </c>
      <c r="AZ168" s="12">
        <f>AY168</f>
        <v>0</v>
      </c>
      <c r="BA168" s="12">
        <f>AZ168</f>
        <v>0</v>
      </c>
      <c r="BB168" s="12">
        <f>BA168</f>
        <v>0</v>
      </c>
      <c r="BC168" s="12">
        <f>BB168</f>
        <v>0</v>
      </c>
      <c r="BD168" s="12">
        <f>BC168</f>
        <v>0</v>
      </c>
      <c r="BE168" s="12">
        <f>BD168</f>
        <v>0</v>
      </c>
      <c r="BF168" s="12">
        <f>BE168</f>
        <v>0</v>
      </c>
      <c r="BG168" s="12" t="n"/>
      <c r="BH168" s="12" t="n"/>
      <c r="BI168" s="12" t="n"/>
      <c r="BJ168" s="12" t="n"/>
      <c r="BK168" s="12" t="n"/>
      <c r="BL168" s="12" t="n"/>
      <c r="BM168" s="12" t="n"/>
      <c r="BN168" s="12" t="n"/>
      <c r="BO168" s="12" t="n"/>
      <c r="BP168" s="12" t="n"/>
      <c r="BQ168" s="12" t="n"/>
      <c r="BR168" s="12" t="n"/>
      <c r="BS168" s="12" t="n"/>
      <c r="BT168" s="12" t="n"/>
      <c r="BU168" s="12" t="n"/>
      <c r="BV168" s="12" t="n"/>
      <c r="BW168" s="12" t="n"/>
      <c r="BX168" s="12" t="n"/>
      <c r="BY168" s="12" t="n"/>
      <c r="BZ168" s="12" t="n"/>
      <c r="CA168" s="12" t="n"/>
      <c r="CB168" s="12" t="n"/>
      <c r="CC168" s="12" t="n"/>
      <c r="CD168" s="12" t="n"/>
      <c r="CE168" s="12" t="n"/>
      <c r="CF168" s="12" t="n"/>
      <c r="CG168" s="12" t="n"/>
      <c r="CH168" s="12" t="n"/>
      <c r="CI168" s="12" t="n"/>
      <c r="CJ168" s="12" t="n"/>
      <c r="CK168" s="12" t="n"/>
      <c r="CL168" s="12" t="n"/>
      <c r="CM168" s="12" t="n"/>
      <c r="CN168" s="12" t="n"/>
      <c r="CO168" s="12" t="n"/>
      <c r="CP168" s="12" t="n"/>
      <c r="CQ168" s="12" t="n"/>
      <c r="CR168" s="12" t="n"/>
      <c r="CS168" s="12" t="n"/>
      <c r="CT168" s="12" t="n"/>
      <c r="CU168" s="12" t="n"/>
      <c r="CV168" s="12" t="n"/>
      <c r="CW168" s="12" t="n"/>
      <c r="CX168" s="12" t="n"/>
      <c r="CY168" s="12" t="n"/>
    </row>
    <row r="169" hidden="1" outlineLevel="1">
      <c r="C169" s="59" t="inlineStr">
        <is>
          <t>%(Var.)</t>
        </is>
      </c>
      <c r="D169" s="12" t="n"/>
      <c r="E169" s="40" t="n"/>
      <c r="F169" s="40" t="n"/>
      <c r="G169" s="40" t="n"/>
      <c r="H169" s="12" t="n"/>
      <c r="I169" s="40" t="str">
        <f>""</f>
        <v/>
      </c>
      <c r="J169" s="40" t="str">
        <f>IFERROR(IF(I168=0,"",J168/I168-1),"")</f>
        <v/>
      </c>
      <c r="K169" s="40" t="str">
        <f>IFERROR(IF(J168=0,"",K168/J168-1),"")</f>
        <v/>
      </c>
      <c r="L169" s="40" t="str">
        <f>IFERROR(IF(K168=0,"",L168/K168-1),"")</f>
        <v/>
      </c>
      <c r="M169" s="12" t="str">
        <f>IFERROR(IF(L168=0,"",M168/L168-1),"")</f>
        <v/>
      </c>
      <c r="N169" s="40" t="str">
        <f>IFERROR(IF(M168=0,"",N168/M168-1),"")</f>
        <v/>
      </c>
      <c r="O169" s="40" t="str">
        <f>IFERROR(IF(N168=0,"",O168/N168-1),"")</f>
        <v/>
      </c>
      <c r="P169" s="40" t="str">
        <f>IFERROR(IF(O168=0,"",P168/O168-1),"")</f>
        <v/>
      </c>
      <c r="Q169" s="40" t="str">
        <f>IFERROR(IF(P168=0,"",Q168/P168-1),"")</f>
        <v/>
      </c>
      <c r="R169" s="12" t="str">
        <f>IFERROR(IF(Q168=0,"",R168/Q168-1),"")</f>
        <v/>
      </c>
      <c r="S169" s="40" t="str">
        <f>IFERROR(IF(R168=0,"",S168/R168-1),"")</f>
        <v/>
      </c>
      <c r="T169" s="40" t="str">
        <f>IFERROR(IF(S168=0,"",T168/S168-1),"")</f>
        <v/>
      </c>
      <c r="U169" s="40" t="str">
        <f>IFERROR(IF(T168=0,"",U168/T168-1),"")</f>
        <v/>
      </c>
      <c r="V169" s="40" t="str">
        <f>IFERROR(IF(U168=0,"",V168/U168-1),"")</f>
        <v/>
      </c>
      <c r="W169" s="12" t="str">
        <f>IFERROR(IF(V168=0,"",W168/V168-1),"")</f>
        <v/>
      </c>
      <c r="X169" s="40" t="str">
        <f>IFERROR(IF(W168=0,"",X168/W168-1),"")</f>
        <v/>
      </c>
      <c r="Y169" s="40" t="str">
        <f>IFERROR(IF(X168=0,"",Y168/X168-1),"")</f>
        <v/>
      </c>
      <c r="Z169" s="40" t="str">
        <f>IFERROR(IF(Y168=0,"",Z168/Y168-1),"")</f>
        <v/>
      </c>
      <c r="AA169" s="40" t="str">
        <f>IFERROR(IF(Z168=0,"",AA168/Z168-1),"")</f>
        <v/>
      </c>
      <c r="AB169" s="12" t="str">
        <f>IFERROR(IF(AA168=0,"",AB168/AA168-1),"")</f>
        <v/>
      </c>
      <c r="AC169" s="40" t="str">
        <f>IFERROR(IF(AB168=0,"",AC168/AB168-1),"")</f>
        <v/>
      </c>
      <c r="AD169" s="40" t="str">
        <f>IFERROR(IF(AC168=0,"",AD168/AC168-1),"")</f>
        <v/>
      </c>
      <c r="AE169" s="40" t="str">
        <f>IFERROR(IF(AD168=0,"",AE168/AD168-1),"")</f>
        <v/>
      </c>
      <c r="AF169" s="55" t="str">
        <f>IFERROR(IF(AE168=0,"",AF168/AE168-1),"")</f>
        <v/>
      </c>
      <c r="AG169" s="12" t="str">
        <f>IFERROR(IF(AF168=0,"",AG168/AF168-1),"")</f>
        <v/>
      </c>
      <c r="AH169" s="55" t="str">
        <f>IFERROR(IF(AG168=0,"",AH168/AG168-1),"")</f>
        <v/>
      </c>
      <c r="AI169" s="55" t="str">
        <f>IFERROR(IF(AH168=0,"",AI168/AH168-1),"")</f>
        <v/>
      </c>
      <c r="AJ169" s="55" t="str">
        <f>IFERROR(IF(AI168=0,"",AJ168/AI168-1),"")</f>
        <v/>
      </c>
      <c r="AK169" s="55" t="str">
        <f>IFERROR(IF(AJ168=0,"",AK168/AJ168-1),"")</f>
        <v/>
      </c>
      <c r="AL169" s="12" t="str">
        <f>IFERROR(IF(AK168=0,"",AL168/AK168-1),"")</f>
        <v/>
      </c>
      <c r="AM169" s="55" t="str">
        <f>IFERROR(IF(AL168=0,"",AM168/AL168-1),"")</f>
        <v/>
      </c>
      <c r="AN169" s="55" t="str">
        <f>IFERROR(IF(AM168=0,"",AN168/AM168-1),"")</f>
        <v/>
      </c>
      <c r="AO169" s="55" t="str">
        <f>IFERROR(IF(AN168=0,"",AO168/AN168-1),"")</f>
        <v/>
      </c>
      <c r="AP169" s="55" t="str">
        <f>IFERROR(IF(AO168=0,"",AP168/AO168-1),"")</f>
        <v/>
      </c>
      <c r="AQ169" s="12" t="str">
        <f>IFERROR(IF(AP168=0,"",AQ168/AP168-1),"")</f>
        <v/>
      </c>
      <c r="AR169" s="55" t="str">
        <f>IFERROR(IF(AQ168=0,"",AR168/AQ168-1),"")</f>
        <v/>
      </c>
      <c r="AS169" s="55" t="str">
        <f>IFERROR(IF(AR168=0,"",AS168/AR168-1),"")</f>
        <v/>
      </c>
      <c r="AT169" s="55" t="str">
        <f>IFERROR(IF(AS168=0,"",AT168/AS168-1),"")</f>
        <v/>
      </c>
      <c r="AU169" s="55" t="str">
        <f>IFERROR(IF(AT168=0,"",AU168/AT168-1),"")</f>
        <v/>
      </c>
      <c r="AV169" s="12" t="str">
        <f>IFERROR(IF(AU168=0,"",AV168/AU168-1),"")</f>
        <v/>
      </c>
      <c r="AW169" s="55" t="str">
        <f>IFERROR(IF(AV168=0,"",AW168/AV168-1),"")</f>
        <v/>
      </c>
      <c r="AX169" s="55" t="str">
        <f>IFERROR(IF(AW168=0,"",AX168/AW168-1),"")</f>
        <v/>
      </c>
      <c r="AY169" s="55" t="str">
        <f>IFERROR(IF(AX168=0,"",AY168/AX168-1),"")</f>
        <v/>
      </c>
      <c r="AZ169" s="55" t="str">
        <f>IFERROR(IF(AY168=0,"",AZ168/AY168-1),"")</f>
        <v/>
      </c>
      <c r="BA169" s="12" t="str">
        <f>IFERROR(IF(AZ168=0,"",BA168/AZ168-1),"")</f>
        <v/>
      </c>
      <c r="BB169" s="55" t="str">
        <f>IFERROR(IF(BA168=0,"",BB168/BA168-1),"")</f>
        <v/>
      </c>
      <c r="BC169" s="55" t="str">
        <f>IFERROR(IF(BB168=0,"",BC168/BB168-1),"")</f>
        <v/>
      </c>
      <c r="BD169" s="55" t="str">
        <f>IFERROR(IF(BC168=0,"",BD168/BC168-1),"")</f>
        <v/>
      </c>
      <c r="BE169" s="55" t="str">
        <f>IFERROR(IF(BD168=0,"",BE168/BD168-1),"")</f>
        <v/>
      </c>
      <c r="BF169" s="12" t="str">
        <f>IFERROR(IF(BE168=0,"",BF168/BE168-1),"")</f>
        <v/>
      </c>
      <c r="BG169" s="55" t="n"/>
      <c r="BH169" s="55" t="n"/>
      <c r="BI169" s="55" t="n"/>
      <c r="BJ169" s="55" t="n"/>
      <c r="BK169" s="12" t="n"/>
      <c r="BL169" s="55" t="n"/>
      <c r="BM169" s="55" t="n"/>
      <c r="BN169" s="55" t="n"/>
      <c r="BO169" s="55" t="n"/>
      <c r="BP169" s="12" t="n"/>
      <c r="BQ169" s="55" t="n"/>
      <c r="BR169" s="55" t="n"/>
      <c r="BS169" s="55" t="n"/>
      <c r="BT169" s="55" t="n"/>
      <c r="BU169" s="12" t="n"/>
      <c r="BV169" s="55" t="n"/>
      <c r="BW169" s="55" t="n"/>
      <c r="BX169" s="55" t="n"/>
      <c r="BY169" s="55" t="n"/>
      <c r="BZ169" s="12" t="n"/>
      <c r="CA169" s="55" t="n"/>
      <c r="CB169" s="55" t="n"/>
      <c r="CC169" s="55" t="n"/>
      <c r="CD169" s="55" t="n"/>
      <c r="CE169" s="12" t="n"/>
      <c r="CF169" s="55" t="n"/>
      <c r="CG169" s="55" t="n"/>
      <c r="CH169" s="55" t="n"/>
      <c r="CI169" s="55" t="n"/>
      <c r="CJ169" s="12" t="n"/>
      <c r="CK169" s="55" t="n"/>
      <c r="CL169" s="55" t="n"/>
      <c r="CM169" s="55" t="n"/>
      <c r="CN169" s="55" t="n"/>
      <c r="CO169" s="12" t="n"/>
      <c r="CP169" s="55" t="n"/>
      <c r="CQ169" s="55" t="n"/>
      <c r="CR169" s="55" t="n"/>
      <c r="CS169" s="55" t="n"/>
      <c r="CT169" s="12" t="n"/>
      <c r="CU169" s="55" t="n"/>
      <c r="CV169" s="55" t="n"/>
      <c r="CW169" s="55" t="n"/>
      <c r="CX169" s="55" t="n"/>
      <c r="CY169" s="12" t="n"/>
    </row>
    <row r="170" hidden="1" outlineLevel="1">
      <c r="C170" s="57" t="n"/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  <c r="P170" s="12" t="n"/>
      <c r="Q170" s="12" t="n"/>
      <c r="R170" s="12" t="n"/>
      <c r="S170" s="12" t="n"/>
      <c r="T170" s="12" t="n"/>
      <c r="U170" s="12" t="n"/>
      <c r="V170" s="12" t="n"/>
      <c r="W170" s="12" t="n"/>
      <c r="X170" s="12" t="n"/>
      <c r="Y170" s="12" t="n"/>
      <c r="Z170" s="12" t="n"/>
      <c r="AA170" s="12" t="n"/>
      <c r="AB170" s="12" t="n"/>
      <c r="AC170" s="12" t="n"/>
      <c r="AD170" s="12" t="n"/>
      <c r="AE170" s="12" t="n"/>
      <c r="AF170" s="12" t="n"/>
      <c r="AG170" s="12" t="n"/>
      <c r="AH170" s="12" t="n"/>
      <c r="AI170" s="12" t="n"/>
      <c r="AJ170" s="12" t="n"/>
      <c r="AK170" s="12" t="n"/>
      <c r="AL170" s="12" t="n"/>
      <c r="AM170" s="12" t="n"/>
      <c r="AN170" s="12" t="n"/>
      <c r="AO170" s="12" t="n"/>
      <c r="AP170" s="12" t="n"/>
      <c r="AQ170" s="12" t="n"/>
      <c r="AR170" s="12" t="n"/>
      <c r="AS170" s="12" t="n"/>
      <c r="AT170" s="12" t="n"/>
      <c r="AU170" s="12" t="n"/>
      <c r="AV170" s="12" t="n"/>
      <c r="AW170" s="12" t="n"/>
      <c r="AX170" s="12" t="n"/>
      <c r="AY170" s="12" t="n"/>
      <c r="AZ170" s="12" t="n"/>
      <c r="BA170" s="12" t="n"/>
      <c r="BB170" s="12" t="n"/>
      <c r="BC170" s="12" t="n"/>
      <c r="BD170" s="12" t="n"/>
      <c r="BE170" s="12" t="n"/>
      <c r="BF170" s="12" t="n"/>
      <c r="BG170" s="12" t="n"/>
      <c r="BH170" s="12" t="n"/>
      <c r="BI170" s="12" t="n"/>
      <c r="BJ170" s="12" t="n"/>
      <c r="BK170" s="12" t="n"/>
      <c r="BL170" s="12" t="n"/>
      <c r="BM170" s="12" t="n"/>
      <c r="BN170" s="12" t="n"/>
      <c r="BO170" s="12" t="n"/>
      <c r="BP170" s="12" t="n"/>
      <c r="BQ170" s="12" t="n"/>
      <c r="BR170" s="12" t="n"/>
      <c r="BS170" s="12" t="n"/>
      <c r="BT170" s="12" t="n"/>
      <c r="BU170" s="12" t="n"/>
      <c r="BV170" s="12" t="n"/>
      <c r="BW170" s="12" t="n"/>
      <c r="BX170" s="12" t="n"/>
      <c r="BY170" s="12" t="n"/>
      <c r="BZ170" s="12" t="n"/>
      <c r="CA170" s="12" t="n"/>
      <c r="CB170" s="12" t="n"/>
      <c r="CC170" s="12" t="n"/>
      <c r="CD170" s="12" t="n"/>
      <c r="CE170" s="12" t="n"/>
      <c r="CF170" s="12" t="n"/>
      <c r="CG170" s="12" t="n"/>
      <c r="CH170" s="12" t="n"/>
      <c r="CI170" s="12" t="n"/>
      <c r="CJ170" s="12" t="n"/>
      <c r="CK170" s="12" t="n"/>
      <c r="CL170" s="12" t="n"/>
      <c r="CM170" s="12" t="n"/>
      <c r="CN170" s="12" t="n"/>
      <c r="CO170" s="12" t="n"/>
      <c r="CP170" s="12" t="n"/>
      <c r="CQ170" s="12" t="n"/>
      <c r="CR170" s="12" t="n"/>
      <c r="CS170" s="12" t="n"/>
      <c r="CT170" s="12" t="n"/>
      <c r="CU170" s="12" t="n"/>
      <c r="CV170" s="12" t="n"/>
      <c r="CW170" s="12" t="n"/>
      <c r="CX170" s="12" t="n"/>
      <c r="CY170" s="12" t="n"/>
    </row>
    <row r="171" collapsed="1">
      <c r="C171" s="14" t="inlineStr">
        <is>
          <t>Goodwill</t>
        </is>
      </c>
      <c r="D171" s="46" t="n"/>
      <c r="E171" s="46" t="n"/>
      <c r="F171" s="46" t="n"/>
      <c r="G171" s="46" t="n"/>
      <c r="H171" s="12" t="n"/>
      <c r="I171" s="46">
        <f>'Inputs (2)'!D24</f>
        <v>0</v>
      </c>
      <c r="J171" s="46">
        <f>'Inputs (2)'!E24</f>
        <v>0</v>
      </c>
      <c r="K171" s="46">
        <f>'Inputs (2)'!F24</f>
        <v>0</v>
      </c>
      <c r="L171" s="46">
        <f>'Inputs (2)'!G24</f>
        <v>0</v>
      </c>
      <c r="M171" s="12">
        <f>'Inputs (2)'!H24</f>
        <v>0</v>
      </c>
      <c r="N171" s="46">
        <f>'Inputs (2)'!I24</f>
        <v>0</v>
      </c>
      <c r="O171" s="46">
        <f>'Inputs (2)'!J24</f>
        <v>0</v>
      </c>
      <c r="P171" s="46">
        <f>'Inputs (2)'!K24</f>
        <v>0</v>
      </c>
      <c r="Q171" s="46">
        <f>'Inputs (2)'!L24</f>
        <v>0</v>
      </c>
      <c r="R171" s="12">
        <f>'Inputs (2)'!M24</f>
        <v>0</v>
      </c>
      <c r="S171" s="46">
        <f>'Inputs (2)'!N24</f>
        <v>0</v>
      </c>
      <c r="T171" s="46">
        <f>'Inputs (2)'!O24</f>
        <v>0</v>
      </c>
      <c r="U171" s="46">
        <f>'Inputs (2)'!P24</f>
        <v>0</v>
      </c>
      <c r="V171" s="46">
        <f>'Inputs (2)'!Q24</f>
        <v>0</v>
      </c>
      <c r="W171" s="12">
        <f>'Inputs (2)'!R24</f>
        <v>0</v>
      </c>
      <c r="X171" s="46">
        <f>'Inputs (2)'!S24</f>
        <v>0</v>
      </c>
      <c r="Y171" s="46">
        <f>'Inputs (2)'!T24</f>
        <v>0</v>
      </c>
      <c r="Z171" s="46">
        <f>'Inputs (2)'!U24</f>
        <v>0</v>
      </c>
      <c r="AA171" s="46">
        <f>'Inputs (2)'!V24</f>
        <v>0</v>
      </c>
      <c r="AB171" s="12">
        <f>'Inputs (2)'!W24</f>
        <v>0</v>
      </c>
      <c r="AC171" s="46">
        <f>'Inputs (2)'!X24</f>
        <v>0</v>
      </c>
      <c r="AD171" s="46">
        <f>'Inputs (2)'!Y24</f>
        <v>0</v>
      </c>
      <c r="AE171" s="46">
        <f>'Inputs (2)'!Z24</f>
        <v>0</v>
      </c>
      <c r="AF171" s="46">
        <f>'Inputs (2)'!AA24</f>
        <v>0</v>
      </c>
      <c r="AG171" s="12">
        <f>'Inputs (2)'!AB24</f>
        <v>0</v>
      </c>
      <c r="AH171" s="12">
        <f>'Inputs (2)'!AC24</f>
        <v>0</v>
      </c>
      <c r="AI171" s="12">
        <f>'Inputs (2)'!AD24</f>
        <v>0</v>
      </c>
      <c r="AJ171" s="12">
        <f>AI171</f>
        <v>0</v>
      </c>
      <c r="AK171" s="12">
        <f>AJ171</f>
        <v>0</v>
      </c>
      <c r="AL171" s="12">
        <f>AK171</f>
        <v>0</v>
      </c>
      <c r="AM171" s="12">
        <f>AL171</f>
        <v>0</v>
      </c>
      <c r="AN171" s="12">
        <f>AM171</f>
        <v>0</v>
      </c>
      <c r="AO171" s="12">
        <f>AN171</f>
        <v>0</v>
      </c>
      <c r="AP171" s="12">
        <f>AO171</f>
        <v>0</v>
      </c>
      <c r="AQ171" s="12">
        <f>AP171</f>
        <v>0</v>
      </c>
      <c r="AR171" s="12">
        <f>AQ171</f>
        <v>0</v>
      </c>
      <c r="AS171" s="12">
        <f>AR171</f>
        <v>0</v>
      </c>
      <c r="AT171" s="12">
        <f>AS171</f>
        <v>0</v>
      </c>
      <c r="AU171" s="12">
        <f>AT171</f>
        <v>0</v>
      </c>
      <c r="AV171" s="12">
        <f>AU171</f>
        <v>0</v>
      </c>
      <c r="AW171" s="12">
        <f>AV171</f>
        <v>0</v>
      </c>
      <c r="AX171" s="12">
        <f>AW171</f>
        <v>0</v>
      </c>
      <c r="AY171" s="12">
        <f>AX171</f>
        <v>0</v>
      </c>
      <c r="AZ171" s="12">
        <f>AY171</f>
        <v>0</v>
      </c>
      <c r="BA171" s="12">
        <f>AZ171</f>
        <v>0</v>
      </c>
      <c r="BB171" s="12">
        <f>BA171</f>
        <v>0</v>
      </c>
      <c r="BC171" s="12">
        <f>BB171</f>
        <v>0</v>
      </c>
      <c r="BD171" s="12">
        <f>BC171</f>
        <v>0</v>
      </c>
      <c r="BE171" s="12">
        <f>BD171</f>
        <v>0</v>
      </c>
      <c r="BF171" s="12">
        <f>BE171</f>
        <v>0</v>
      </c>
      <c r="BG171" s="12" t="n"/>
      <c r="BH171" s="12" t="n"/>
      <c r="BI171" s="12" t="n"/>
      <c r="BJ171" s="12" t="n"/>
      <c r="BK171" s="12" t="n"/>
      <c r="BL171" s="12" t="n"/>
      <c r="BM171" s="12" t="n"/>
      <c r="BN171" s="12" t="n"/>
      <c r="BO171" s="12" t="n"/>
      <c r="BP171" s="12" t="n"/>
      <c r="BQ171" s="12" t="n"/>
      <c r="BR171" s="12" t="n"/>
      <c r="BS171" s="12" t="n"/>
      <c r="BT171" s="12" t="n"/>
      <c r="BU171" s="12" t="n"/>
      <c r="BV171" s="12" t="n"/>
      <c r="BW171" s="12" t="n"/>
      <c r="BX171" s="12" t="n"/>
      <c r="BY171" s="12" t="n"/>
      <c r="BZ171" s="12" t="n"/>
      <c r="CA171" s="12" t="n"/>
      <c r="CB171" s="12" t="n"/>
      <c r="CC171" s="12" t="n"/>
      <c r="CD171" s="12" t="n"/>
      <c r="CE171" s="12" t="n"/>
      <c r="CF171" s="12" t="n"/>
      <c r="CG171" s="12" t="n"/>
      <c r="CH171" s="12" t="n"/>
      <c r="CI171" s="12" t="n"/>
      <c r="CJ171" s="12" t="n"/>
      <c r="CK171" s="12" t="n"/>
      <c r="CL171" s="12" t="n"/>
      <c r="CM171" s="12" t="n"/>
      <c r="CN171" s="12" t="n"/>
      <c r="CO171" s="12" t="n"/>
      <c r="CP171" s="12" t="n"/>
      <c r="CQ171" s="12" t="n"/>
      <c r="CR171" s="12" t="n"/>
      <c r="CS171" s="12" t="n"/>
      <c r="CT171" s="12" t="n"/>
      <c r="CU171" s="12" t="n"/>
      <c r="CV171" s="12" t="n"/>
      <c r="CW171" s="12" t="n"/>
      <c r="CX171" s="12" t="n"/>
      <c r="CY171" s="12" t="n"/>
    </row>
    <row r="172">
      <c r="C172" s="14" t="inlineStr">
        <is>
          <t>Intangibles</t>
        </is>
      </c>
      <c r="D172" s="46" t="n"/>
      <c r="E172" s="46" t="n"/>
      <c r="F172" s="46" t="n"/>
      <c r="G172" s="46" t="n"/>
      <c r="H172" s="12" t="n"/>
      <c r="I172" s="46">
        <f>'Inputs (2)'!D25</f>
        <v>0</v>
      </c>
      <c r="J172" s="46">
        <f>'Inputs (2)'!E25</f>
        <v>0</v>
      </c>
      <c r="K172" s="46">
        <f>'Inputs (2)'!F25</f>
        <v>0</v>
      </c>
      <c r="L172" s="46">
        <f>'Inputs (2)'!G25</f>
        <v>0</v>
      </c>
      <c r="M172" s="12">
        <f>'Inputs (2)'!H25</f>
        <v>0</v>
      </c>
      <c r="N172" s="46">
        <f>'Inputs (2)'!I25</f>
        <v>0</v>
      </c>
      <c r="O172" s="46">
        <f>'Inputs (2)'!J25</f>
        <v>0</v>
      </c>
      <c r="P172" s="46">
        <f>'Inputs (2)'!K25</f>
        <v>0</v>
      </c>
      <c r="Q172" s="46">
        <f>'Inputs (2)'!L25</f>
        <v>0</v>
      </c>
      <c r="R172" s="12">
        <f>'Inputs (2)'!M25</f>
        <v>0</v>
      </c>
      <c r="S172" s="46">
        <f>'Inputs (2)'!N25</f>
        <v>0</v>
      </c>
      <c r="T172" s="46">
        <f>'Inputs (2)'!O25</f>
        <v>0</v>
      </c>
      <c r="U172" s="46">
        <f>'Inputs (2)'!P25</f>
        <v>0</v>
      </c>
      <c r="V172" s="46">
        <f>'Inputs (2)'!Q25</f>
        <v>0</v>
      </c>
      <c r="W172" s="12">
        <f>'Inputs (2)'!R25</f>
        <v>0</v>
      </c>
      <c r="X172" s="46">
        <f>'Inputs (2)'!S25</f>
        <v>0</v>
      </c>
      <c r="Y172" s="46">
        <f>'Inputs (2)'!T25</f>
        <v>0</v>
      </c>
      <c r="Z172" s="46">
        <f>'Inputs (2)'!U25</f>
        <v>0</v>
      </c>
      <c r="AA172" s="46">
        <f>'Inputs (2)'!V25</f>
        <v>0</v>
      </c>
      <c r="AB172" s="12">
        <f>'Inputs (2)'!W25</f>
        <v>0</v>
      </c>
      <c r="AC172" s="46">
        <f>'Inputs (2)'!X25</f>
        <v>0</v>
      </c>
      <c r="AD172" s="46">
        <f>'Inputs (2)'!Y25</f>
        <v>0</v>
      </c>
      <c r="AE172" s="46">
        <f>'Inputs (2)'!Z25</f>
        <v>0</v>
      </c>
      <c r="AF172" s="46">
        <f>'Inputs (2)'!AA25</f>
        <v>0</v>
      </c>
      <c r="AG172" s="12">
        <f>'Inputs (2)'!AB25</f>
        <v>0</v>
      </c>
      <c r="AH172" s="12">
        <f>'Inputs (2)'!AC25</f>
        <v>0</v>
      </c>
      <c r="AI172" s="12">
        <f>'Inputs (2)'!AD25</f>
        <v>0</v>
      </c>
      <c r="AJ172" s="12">
        <f>AI172</f>
        <v>0</v>
      </c>
      <c r="AK172" s="12">
        <f>AJ172</f>
        <v>0</v>
      </c>
      <c r="AL172" s="12">
        <f>AK172</f>
        <v>0</v>
      </c>
      <c r="AM172" s="16">
        <f>AL172</f>
        <v>0</v>
      </c>
      <c r="AN172" s="12">
        <f>AM172</f>
        <v>0</v>
      </c>
      <c r="AO172" s="12">
        <f>AN172</f>
        <v>0</v>
      </c>
      <c r="AP172" s="12">
        <f>AO172</f>
        <v>0</v>
      </c>
      <c r="AQ172" s="12">
        <f>AP172</f>
        <v>0</v>
      </c>
      <c r="AR172" s="16">
        <f>AQ172</f>
        <v>0</v>
      </c>
      <c r="AS172" s="12">
        <f>AR172</f>
        <v>0</v>
      </c>
      <c r="AT172" s="12">
        <f>AS172</f>
        <v>0</v>
      </c>
      <c r="AU172" s="12">
        <f>AT172</f>
        <v>0</v>
      </c>
      <c r="AV172" s="12">
        <f>AU172</f>
        <v>0</v>
      </c>
      <c r="AW172" s="16">
        <f>AV172</f>
        <v>0</v>
      </c>
      <c r="AX172" s="12">
        <f>AW172</f>
        <v>0</v>
      </c>
      <c r="AY172" s="12">
        <f>AX172</f>
        <v>0</v>
      </c>
      <c r="AZ172" s="12">
        <f>AY172</f>
        <v>0</v>
      </c>
      <c r="BA172" s="12">
        <f>AZ172</f>
        <v>0</v>
      </c>
      <c r="BB172" s="16">
        <f>BA172</f>
        <v>0</v>
      </c>
      <c r="BC172" s="12">
        <f>BB172</f>
        <v>0</v>
      </c>
      <c r="BD172" s="12">
        <f>BC172</f>
        <v>0</v>
      </c>
      <c r="BE172" s="12">
        <f>BD172</f>
        <v>0</v>
      </c>
      <c r="BF172" s="12">
        <f>BE172</f>
        <v>0</v>
      </c>
      <c r="BH172" s="12" t="n"/>
      <c r="BI172" s="12" t="n"/>
      <c r="BJ172" s="12" t="n"/>
      <c r="BK172" s="12" t="n"/>
      <c r="BM172" s="12" t="n"/>
      <c r="BN172" s="12" t="n"/>
      <c r="BO172" s="12" t="n"/>
      <c r="BP172" s="12" t="n"/>
      <c r="BR172" s="12" t="n"/>
      <c r="BS172" s="12" t="n"/>
      <c r="BT172" s="12" t="n"/>
      <c r="BU172" s="12" t="n"/>
      <c r="BW172" s="12" t="n"/>
      <c r="BX172" s="12" t="n"/>
      <c r="BY172" s="12" t="n"/>
      <c r="BZ172" s="12" t="n"/>
      <c r="CB172" s="12" t="n"/>
      <c r="CC172" s="12" t="n"/>
      <c r="CD172" s="12" t="n"/>
      <c r="CE172" s="12" t="n"/>
      <c r="CG172" s="12" t="n"/>
      <c r="CH172" s="12" t="n"/>
      <c r="CI172" s="12" t="n"/>
      <c r="CJ172" s="12" t="n"/>
      <c r="CL172" s="12" t="n"/>
      <c r="CM172" s="12" t="n"/>
      <c r="CN172" s="12" t="n"/>
      <c r="CO172" s="12" t="n"/>
      <c r="CQ172" s="12" t="n"/>
      <c r="CR172" s="12" t="n"/>
      <c r="CS172" s="12" t="n"/>
      <c r="CT172" s="12" t="n"/>
      <c r="CV172" s="12" t="n"/>
      <c r="CW172" s="12" t="n"/>
      <c r="CX172" s="12" t="n"/>
      <c r="CY172" s="12" t="n"/>
    </row>
    <row r="173" hidden="1" outlineLevel="1">
      <c r="C173" s="57" t="n"/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  <c r="P173" s="12" t="n"/>
      <c r="Q173" s="12" t="n"/>
      <c r="R173" s="12" t="n"/>
      <c r="S173" s="12" t="n"/>
      <c r="T173" s="12" t="n"/>
      <c r="U173" s="12" t="n"/>
      <c r="V173" s="12" t="n"/>
      <c r="W173" s="12" t="n"/>
      <c r="X173" s="12" t="n"/>
      <c r="Y173" s="12" t="n"/>
      <c r="Z173" s="12" t="n"/>
      <c r="AA173" s="12" t="n"/>
      <c r="AB173" s="12" t="n"/>
      <c r="AC173" s="12" t="n"/>
      <c r="AD173" s="12" t="n"/>
      <c r="AE173" s="12" t="n"/>
      <c r="AF173" s="12" t="n"/>
      <c r="AG173" s="12" t="n"/>
      <c r="AH173" s="12" t="n"/>
      <c r="AI173" s="12" t="n"/>
      <c r="AJ173" s="12" t="n"/>
      <c r="AK173" s="12" t="n"/>
      <c r="AL173" s="12" t="n"/>
      <c r="AM173" s="12" t="n"/>
      <c r="AN173" s="12" t="n"/>
      <c r="AO173" s="12" t="n"/>
      <c r="AP173" s="12" t="n"/>
      <c r="AQ173" s="12" t="n"/>
      <c r="AR173" s="12" t="n"/>
      <c r="AS173" s="12" t="n"/>
      <c r="AT173" s="12" t="n"/>
      <c r="AU173" s="12" t="n"/>
      <c r="AV173" s="12" t="n"/>
      <c r="AW173" s="12" t="n"/>
      <c r="AX173" s="12" t="n"/>
      <c r="AY173" s="12" t="n"/>
      <c r="AZ173" s="12" t="n"/>
      <c r="BA173" s="12" t="n"/>
      <c r="BB173" s="12" t="n"/>
      <c r="BC173" s="12" t="n"/>
      <c r="BD173" s="12" t="n"/>
      <c r="BE173" s="12" t="n"/>
      <c r="BF173" s="12" t="n"/>
      <c r="BG173" s="12" t="n"/>
      <c r="BH173" s="12" t="n"/>
      <c r="BI173" s="12" t="n"/>
      <c r="BJ173" s="12" t="n"/>
      <c r="BK173" s="12" t="n"/>
      <c r="BL173" s="12" t="n"/>
      <c r="BM173" s="12" t="n"/>
      <c r="BN173" s="12" t="n"/>
      <c r="BO173" s="12" t="n"/>
      <c r="BP173" s="12" t="n"/>
      <c r="BQ173" s="12" t="n"/>
      <c r="BR173" s="12" t="n"/>
      <c r="BS173" s="12" t="n"/>
      <c r="BT173" s="12" t="n"/>
      <c r="BU173" s="12" t="n"/>
      <c r="BV173" s="12" t="n"/>
      <c r="BW173" s="12" t="n"/>
      <c r="BX173" s="12" t="n"/>
      <c r="BY173" s="12" t="n"/>
      <c r="BZ173" s="12" t="n"/>
      <c r="CA173" s="12" t="n"/>
      <c r="CB173" s="12" t="n"/>
      <c r="CC173" s="12" t="n"/>
      <c r="CD173" s="12" t="n"/>
      <c r="CE173" s="12" t="n"/>
      <c r="CF173" s="12" t="n"/>
      <c r="CG173" s="12" t="n"/>
      <c r="CH173" s="12" t="n"/>
      <c r="CI173" s="12" t="n"/>
      <c r="CJ173" s="12" t="n"/>
      <c r="CK173" s="12" t="n"/>
      <c r="CL173" s="12" t="n"/>
      <c r="CM173" s="12" t="n"/>
      <c r="CN173" s="12" t="n"/>
      <c r="CO173" s="12" t="n"/>
      <c r="CP173" s="12" t="n"/>
      <c r="CQ173" s="12" t="n"/>
      <c r="CR173" s="12" t="n"/>
      <c r="CS173" s="12" t="n"/>
      <c r="CT173" s="12" t="n"/>
      <c r="CU173" s="12" t="n"/>
      <c r="CV173" s="12" t="n"/>
      <c r="CW173" s="12" t="n"/>
      <c r="CX173" s="12" t="n"/>
      <c r="CY173" s="12" t="n"/>
    </row>
    <row r="174" hidden="1" outlineLevel="1">
      <c r="C174" s="57" t="inlineStr">
        <is>
          <t>Purchase of intangible assets</t>
        </is>
      </c>
      <c r="D174" s="12" t="n"/>
      <c r="E174" s="12" t="n"/>
      <c r="F174" s="12" t="n"/>
      <c r="G174" s="12" t="n"/>
      <c r="H174" s="12" t="n"/>
      <c r="I174" s="12" t="str">
        <f>IF(COUNT(H172)=0,"",I172-H172-I76)</f>
        <v/>
      </c>
      <c r="J174" s="12">
        <f>J172-I172-J76</f>
        <v>0</v>
      </c>
      <c r="K174" s="12">
        <f>K172-J172-K76</f>
        <v>0</v>
      </c>
      <c r="L174" s="12">
        <f>L172-K172-L76</f>
        <v>0</v>
      </c>
      <c r="M174" s="12" t="n"/>
      <c r="N174" s="12">
        <f>N172-M172-N76</f>
        <v>0</v>
      </c>
      <c r="O174" s="12">
        <f>O172-N172-O76</f>
        <v>0</v>
      </c>
      <c r="P174" s="12">
        <f>P172-O172-P76</f>
        <v>0</v>
      </c>
      <c r="Q174" s="12">
        <f>Q172-P172-Q76</f>
        <v>0</v>
      </c>
      <c r="R174" s="12" t="n"/>
      <c r="S174" s="12">
        <f>S172-R172-S76</f>
        <v>0</v>
      </c>
      <c r="T174" s="12">
        <f>T172-S172-T76</f>
        <v>0</v>
      </c>
      <c r="U174" s="12">
        <f>U172-T172-U76</f>
        <v>0</v>
      </c>
      <c r="V174" s="12">
        <f>V172-U172-V76</f>
        <v>0</v>
      </c>
      <c r="W174" s="12" t="n"/>
      <c r="X174" s="12">
        <f>X172-W172-X76</f>
        <v>0</v>
      </c>
      <c r="Y174" s="12">
        <f>Y172-X172-Y76</f>
        <v>0</v>
      </c>
      <c r="Z174" s="12">
        <f>Z172-Y172-Z76</f>
        <v>0</v>
      </c>
      <c r="AA174" s="12">
        <f>AA172-Z172-AA76</f>
        <v>0</v>
      </c>
      <c r="AB174" s="12" t="n"/>
      <c r="AC174" s="12">
        <f>AC172-AB172-AC76</f>
        <v>0</v>
      </c>
      <c r="AD174" s="12">
        <f>AD172-AC172-AD76</f>
        <v>0</v>
      </c>
      <c r="AE174" s="12">
        <f>AE172-AD172-AE76</f>
        <v>0</v>
      </c>
      <c r="AF174" s="12">
        <f>AF172-AE172-AF76</f>
        <v>0</v>
      </c>
      <c r="AG174" s="12" t="n"/>
      <c r="AH174" s="11">
        <f>AH172-AG172-AH76</f>
        <v>0</v>
      </c>
      <c r="AI174" s="11">
        <f>AI172-AH172-AI76</f>
        <v>0</v>
      </c>
      <c r="AJ174" s="11" t="n"/>
      <c r="AK174" s="11" t="n"/>
      <c r="AL174" s="12" t="n"/>
      <c r="AM174" s="11" t="n"/>
      <c r="AN174" s="11" t="n"/>
      <c r="AO174" s="11" t="n"/>
      <c r="AP174" s="11" t="n"/>
      <c r="AQ174" s="12" t="n"/>
      <c r="AR174" s="11" t="n"/>
      <c r="AS174" s="11" t="n"/>
      <c r="AT174" s="11" t="n"/>
      <c r="AU174" s="11" t="n"/>
      <c r="AV174" s="12" t="n"/>
      <c r="AW174" s="11" t="n"/>
      <c r="AX174" s="11" t="n"/>
      <c r="AY174" s="11" t="n"/>
      <c r="AZ174" s="11" t="n"/>
      <c r="BA174" s="12" t="n"/>
      <c r="BB174" s="11" t="n"/>
      <c r="BC174" s="11" t="n"/>
      <c r="BD174" s="11" t="n"/>
      <c r="BE174" s="11" t="n"/>
      <c r="BF174" s="12" t="n"/>
      <c r="BG174" s="11" t="n"/>
      <c r="BH174" s="11" t="n"/>
      <c r="BI174" s="11" t="n"/>
      <c r="BJ174" s="11" t="n"/>
      <c r="BK174" s="12" t="n"/>
      <c r="BL174" s="11" t="n"/>
      <c r="BM174" s="11" t="n"/>
      <c r="BN174" s="11" t="n"/>
      <c r="BO174" s="11" t="n"/>
      <c r="BP174" s="12" t="n"/>
      <c r="BQ174" s="11" t="n"/>
      <c r="BR174" s="11" t="n"/>
      <c r="BS174" s="11" t="n"/>
      <c r="BT174" s="11" t="n"/>
      <c r="BU174" s="12" t="n"/>
      <c r="BV174" s="11" t="n"/>
      <c r="BW174" s="11" t="n"/>
      <c r="BX174" s="11" t="n"/>
      <c r="BY174" s="11" t="n"/>
      <c r="BZ174" s="12" t="n"/>
      <c r="CA174" s="11" t="n"/>
      <c r="CB174" s="11" t="n"/>
      <c r="CC174" s="11" t="n"/>
      <c r="CD174" s="11" t="n"/>
      <c r="CE174" s="12" t="n"/>
      <c r="CF174" s="11" t="n"/>
      <c r="CG174" s="11" t="n"/>
      <c r="CH174" s="11" t="n"/>
      <c r="CI174" s="11" t="n"/>
      <c r="CJ174" s="12" t="n"/>
      <c r="CK174" s="11" t="n"/>
      <c r="CL174" s="11" t="n"/>
      <c r="CM174" s="11" t="n"/>
      <c r="CN174" s="11" t="n"/>
      <c r="CO174" s="12" t="n"/>
      <c r="CP174" s="11" t="n"/>
      <c r="CQ174" s="11" t="n"/>
      <c r="CR174" s="11" t="n"/>
      <c r="CS174" s="11" t="n"/>
      <c r="CT174" s="12" t="n"/>
      <c r="CU174" s="11" t="n"/>
      <c r="CV174" s="11" t="n"/>
      <c r="CW174" s="11" t="n"/>
      <c r="CX174" s="11" t="n"/>
      <c r="CY174" s="12" t="n"/>
    </row>
    <row r="175" hidden="1" outlineLevel="1">
      <c r="C175" s="57" t="inlineStr">
        <is>
          <t>Amortization (enter as -)</t>
        </is>
      </c>
      <c r="D175" s="12" t="n"/>
      <c r="E175" s="12" t="n"/>
      <c r="F175" s="12" t="n"/>
      <c r="G175" s="12" t="n"/>
      <c r="H175" s="12" t="n"/>
      <c r="I175" s="12">
        <f>I75</f>
        <v>0</v>
      </c>
      <c r="J175" s="12">
        <f>J75</f>
        <v>0</v>
      </c>
      <c r="K175" s="12">
        <f>K75</f>
        <v>0</v>
      </c>
      <c r="L175" s="12">
        <f>L75</f>
        <v>0</v>
      </c>
      <c r="M175" s="12" t="n"/>
      <c r="N175" s="12">
        <f>N75</f>
        <v>0</v>
      </c>
      <c r="O175" s="12">
        <f>O75</f>
        <v>0</v>
      </c>
      <c r="P175" s="12">
        <f>P75</f>
        <v>0</v>
      </c>
      <c r="Q175" s="12">
        <f>Q75</f>
        <v>0</v>
      </c>
      <c r="R175" s="12" t="n"/>
      <c r="S175" s="12">
        <f>S75</f>
        <v>0</v>
      </c>
      <c r="T175" s="12">
        <f>T75</f>
        <v>0</v>
      </c>
      <c r="U175" s="12">
        <f>U75</f>
        <v>0</v>
      </c>
      <c r="V175" s="12">
        <f>V75</f>
        <v>0</v>
      </c>
      <c r="W175" s="12" t="n"/>
      <c r="X175" s="12">
        <f>X75</f>
        <v>0</v>
      </c>
      <c r="Y175" s="12">
        <f>Y75</f>
        <v>0</v>
      </c>
      <c r="Z175" s="12">
        <f>Z75</f>
        <v>0</v>
      </c>
      <c r="AA175" s="12">
        <f>AA75</f>
        <v>0</v>
      </c>
      <c r="AB175" s="12" t="n"/>
      <c r="AC175" s="12">
        <f>AC75</f>
        <v>0</v>
      </c>
      <c r="AD175" s="12">
        <f>AD75</f>
        <v>0</v>
      </c>
      <c r="AE175" s="12">
        <f>AE75</f>
        <v>0</v>
      </c>
      <c r="AF175" s="12">
        <f>AF75</f>
        <v>0</v>
      </c>
      <c r="AG175" s="12" t="n"/>
      <c r="AH175" s="12">
        <f>AH75</f>
        <v>0</v>
      </c>
      <c r="AI175" s="11">
        <f>AI75</f>
        <v>0</v>
      </c>
      <c r="AJ175" s="11" t="n"/>
      <c r="AK175" s="11" t="n"/>
      <c r="AL175" s="12" t="n"/>
      <c r="AM175" s="11" t="n"/>
      <c r="AN175" s="11" t="n"/>
      <c r="AO175" s="11" t="n"/>
      <c r="AP175" s="11" t="n"/>
      <c r="AQ175" s="12" t="n"/>
      <c r="AR175" s="11" t="n"/>
      <c r="AS175" s="11" t="n"/>
      <c r="AT175" s="11" t="n"/>
      <c r="AU175" s="11" t="n"/>
      <c r="AV175" s="12" t="n"/>
      <c r="AW175" s="11" t="n"/>
      <c r="AX175" s="11" t="n"/>
      <c r="AY175" s="11" t="n"/>
      <c r="AZ175" s="11" t="n"/>
      <c r="BA175" s="12" t="n"/>
      <c r="BB175" s="11" t="n"/>
      <c r="BC175" s="11" t="n"/>
      <c r="BD175" s="11" t="n"/>
      <c r="BE175" s="11" t="n"/>
      <c r="BF175" s="12" t="n"/>
      <c r="BG175" s="11" t="n"/>
      <c r="BH175" s="11" t="n"/>
      <c r="BI175" s="11" t="n"/>
      <c r="BJ175" s="11" t="n"/>
      <c r="BK175" s="12" t="n"/>
      <c r="BL175" s="11" t="n"/>
      <c r="BM175" s="11" t="n"/>
      <c r="BN175" s="11" t="n"/>
      <c r="BO175" s="11" t="n"/>
      <c r="BP175" s="12" t="n"/>
      <c r="BQ175" s="11" t="n"/>
      <c r="BR175" s="11" t="n"/>
      <c r="BS175" s="11" t="n"/>
      <c r="BT175" s="11" t="n"/>
      <c r="BU175" s="12" t="n"/>
      <c r="BV175" s="11" t="n"/>
      <c r="BW175" s="11" t="n"/>
      <c r="BX175" s="11" t="n"/>
      <c r="BY175" s="11" t="n"/>
      <c r="BZ175" s="12" t="n"/>
      <c r="CA175" s="11" t="n"/>
      <c r="CB175" s="11" t="n"/>
      <c r="CC175" s="11" t="n"/>
      <c r="CD175" s="11" t="n"/>
      <c r="CE175" s="12" t="n"/>
      <c r="CF175" s="11" t="n"/>
      <c r="CG175" s="11" t="n"/>
      <c r="CH175" s="11" t="n"/>
      <c r="CI175" s="11" t="n"/>
      <c r="CJ175" s="12" t="n"/>
      <c r="CK175" s="11" t="n"/>
      <c r="CL175" s="11" t="n"/>
      <c r="CM175" s="11" t="n"/>
      <c r="CN175" s="11" t="n"/>
      <c r="CO175" s="12" t="n"/>
      <c r="CP175" s="11" t="n"/>
      <c r="CQ175" s="11" t="n"/>
      <c r="CR175" s="11" t="n"/>
      <c r="CS175" s="11" t="n"/>
      <c r="CT175" s="12" t="n"/>
      <c r="CU175" s="11" t="n"/>
      <c r="CV175" s="11" t="n"/>
      <c r="CW175" s="11" t="n"/>
      <c r="CX175" s="11" t="n"/>
      <c r="CY175" s="12" t="n"/>
    </row>
    <row r="176" hidden="1" outlineLevel="1">
      <c r="C176" s="57" t="inlineStr">
        <is>
          <t>Intangibles</t>
        </is>
      </c>
      <c r="D176" s="12" t="n"/>
      <c r="E176" s="12" t="n"/>
      <c r="F176" s="12" t="n"/>
      <c r="G176" s="12" t="n"/>
      <c r="H176" s="12" t="n"/>
      <c r="I176" s="12">
        <f>I172</f>
        <v>0</v>
      </c>
      <c r="J176" s="12">
        <f>J172</f>
        <v>0</v>
      </c>
      <c r="K176" s="12">
        <f>K172</f>
        <v>0</v>
      </c>
      <c r="L176" s="12">
        <f>L172</f>
        <v>0</v>
      </c>
      <c r="M176" s="12">
        <f>M172</f>
        <v>0</v>
      </c>
      <c r="N176" s="12">
        <f>N172</f>
        <v>0</v>
      </c>
      <c r="O176" s="12">
        <f>O172</f>
        <v>0</v>
      </c>
      <c r="P176" s="12">
        <f>P172</f>
        <v>0</v>
      </c>
      <c r="Q176" s="12">
        <f>Q172</f>
        <v>0</v>
      </c>
      <c r="R176" s="12">
        <f>R172</f>
        <v>0</v>
      </c>
      <c r="S176" s="12">
        <f>S172</f>
        <v>0</v>
      </c>
      <c r="T176" s="12">
        <f>T172</f>
        <v>0</v>
      </c>
      <c r="U176" s="12">
        <f>U172</f>
        <v>0</v>
      </c>
      <c r="V176" s="12">
        <f>V172</f>
        <v>0</v>
      </c>
      <c r="W176" s="12">
        <f>W172</f>
        <v>0</v>
      </c>
      <c r="X176" s="12">
        <f>X172</f>
        <v>0</v>
      </c>
      <c r="Y176" s="12">
        <f>Y172</f>
        <v>0</v>
      </c>
      <c r="Z176" s="12">
        <f>Z172</f>
        <v>0</v>
      </c>
      <c r="AA176" s="12">
        <f>AA172</f>
        <v>0</v>
      </c>
      <c r="AB176" s="12">
        <f>AB172</f>
        <v>0</v>
      </c>
      <c r="AC176" s="12">
        <f>AC172</f>
        <v>0</v>
      </c>
      <c r="AD176" s="12">
        <f>AD172</f>
        <v>0</v>
      </c>
      <c r="AE176" s="12">
        <f>AE172</f>
        <v>0</v>
      </c>
      <c r="AF176" s="12">
        <f>AF172</f>
        <v>0</v>
      </c>
      <c r="AG176" s="12">
        <f>AG172</f>
        <v>0</v>
      </c>
      <c r="AH176" s="12">
        <f>AH172</f>
        <v>0</v>
      </c>
      <c r="AI176" s="12">
        <f>AI172</f>
        <v>0</v>
      </c>
      <c r="AJ176" s="12">
        <f>AJ172</f>
        <v>0</v>
      </c>
      <c r="AK176" s="12">
        <f>AK172</f>
        <v>0</v>
      </c>
      <c r="AL176" s="12" t="n"/>
      <c r="AM176" s="12">
        <f>AM172</f>
        <v>0</v>
      </c>
      <c r="AN176" s="12">
        <f>AN172</f>
        <v>0</v>
      </c>
      <c r="AO176" s="12">
        <f>AO172</f>
        <v>0</v>
      </c>
      <c r="AP176" s="12">
        <f>AP172</f>
        <v>0</v>
      </c>
      <c r="AQ176" s="12" t="n"/>
      <c r="AR176" s="12">
        <f>AR172</f>
        <v>0</v>
      </c>
      <c r="AS176" s="12">
        <f>AS172</f>
        <v>0</v>
      </c>
      <c r="AT176" s="12">
        <f>AT172</f>
        <v>0</v>
      </c>
      <c r="AU176" s="12">
        <f>AU172</f>
        <v>0</v>
      </c>
      <c r="AV176" s="12" t="n"/>
      <c r="AW176" s="12">
        <f>AW172</f>
        <v>0</v>
      </c>
      <c r="AX176" s="12">
        <f>AX172</f>
        <v>0</v>
      </c>
      <c r="AY176" s="12">
        <f>AY172</f>
        <v>0</v>
      </c>
      <c r="AZ176" s="12">
        <f>AZ172</f>
        <v>0</v>
      </c>
      <c r="BA176" s="12" t="n"/>
      <c r="BB176" s="12">
        <f>BB172</f>
        <v>0</v>
      </c>
      <c r="BC176" s="12">
        <f>BC172</f>
        <v>0</v>
      </c>
      <c r="BD176" s="12">
        <f>BD172</f>
        <v>0</v>
      </c>
      <c r="BE176" s="12">
        <f>BE172</f>
        <v>0</v>
      </c>
      <c r="BF176" s="12" t="n"/>
      <c r="BG176" s="12" t="n"/>
      <c r="BH176" s="12" t="n"/>
      <c r="BI176" s="12" t="n"/>
      <c r="BJ176" s="12" t="n"/>
      <c r="BK176" s="12" t="n"/>
      <c r="BL176" s="12" t="n"/>
      <c r="BM176" s="12" t="n"/>
      <c r="BN176" s="12" t="n"/>
      <c r="BO176" s="12" t="n"/>
      <c r="BP176" s="12" t="n"/>
      <c r="BQ176" s="12" t="n"/>
      <c r="BR176" s="12" t="n"/>
      <c r="BS176" s="12" t="n"/>
      <c r="BT176" s="12" t="n"/>
      <c r="BU176" s="12" t="n"/>
      <c r="BV176" s="12" t="n"/>
      <c r="BW176" s="12" t="n"/>
      <c r="BX176" s="12" t="n"/>
      <c r="BY176" s="12" t="n"/>
      <c r="BZ176" s="12" t="n"/>
      <c r="CA176" s="12" t="n"/>
      <c r="CB176" s="12" t="n"/>
      <c r="CC176" s="12" t="n"/>
      <c r="CD176" s="12" t="n"/>
      <c r="CE176" s="12" t="n"/>
      <c r="CF176" s="12" t="n"/>
      <c r="CG176" s="12" t="n"/>
      <c r="CH176" s="12" t="n"/>
      <c r="CI176" s="12" t="n"/>
      <c r="CJ176" s="12" t="n"/>
      <c r="CK176" s="12" t="n"/>
      <c r="CL176" s="12" t="n"/>
      <c r="CM176" s="12" t="n"/>
      <c r="CN176" s="12" t="n"/>
      <c r="CO176" s="12" t="n"/>
      <c r="CP176" s="12" t="n"/>
      <c r="CQ176" s="12" t="n"/>
      <c r="CR176" s="12" t="n"/>
      <c r="CS176" s="12" t="n"/>
      <c r="CT176" s="12" t="n"/>
      <c r="CU176" s="12" t="n"/>
      <c r="CV176" s="12" t="n"/>
      <c r="CW176" s="12" t="n"/>
      <c r="CX176" s="12" t="n"/>
      <c r="CY176" s="12" t="n"/>
    </row>
    <row r="177" hidden="1" outlineLevel="1">
      <c r="C177" s="57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  <c r="P177" s="12" t="n"/>
      <c r="Q177" s="12" t="n"/>
      <c r="R177" s="12" t="n"/>
      <c r="S177" s="12" t="n"/>
      <c r="T177" s="12" t="n"/>
      <c r="U177" s="12" t="n"/>
      <c r="V177" s="12" t="n"/>
      <c r="W177" s="12" t="n"/>
      <c r="X177" s="12" t="n"/>
      <c r="Y177" s="12" t="n"/>
      <c r="Z177" s="12" t="n"/>
      <c r="AA177" s="12" t="n"/>
      <c r="AB177" s="12" t="n"/>
      <c r="AC177" s="12" t="n"/>
      <c r="AD177" s="12" t="n"/>
      <c r="AE177" s="12" t="n"/>
      <c r="AF177" s="12" t="n"/>
      <c r="AG177" s="12" t="n"/>
      <c r="AH177" s="12" t="n"/>
      <c r="AI177" s="12" t="n"/>
      <c r="AJ177" s="12" t="n"/>
      <c r="AK177" s="12" t="n"/>
      <c r="AL177" s="12" t="n"/>
      <c r="AM177" s="12" t="n"/>
      <c r="AN177" s="12" t="n"/>
      <c r="AO177" s="12" t="n"/>
      <c r="AP177" s="12" t="n"/>
      <c r="AQ177" s="12" t="n"/>
      <c r="AR177" s="12" t="n"/>
      <c r="AS177" s="12" t="n"/>
      <c r="AT177" s="12" t="n"/>
      <c r="AU177" s="12" t="n"/>
      <c r="AV177" s="12" t="n"/>
      <c r="AW177" s="12" t="n"/>
      <c r="AX177" s="12" t="n"/>
      <c r="AY177" s="12" t="n"/>
      <c r="AZ177" s="12" t="n"/>
      <c r="BA177" s="12" t="n"/>
      <c r="BB177" s="12" t="n"/>
      <c r="BC177" s="12" t="n"/>
      <c r="BD177" s="12" t="n"/>
      <c r="BE177" s="12" t="n"/>
      <c r="BF177" s="12" t="n"/>
      <c r="BG177" s="12" t="n"/>
      <c r="BH177" s="12" t="n"/>
      <c r="BI177" s="12" t="n"/>
      <c r="BJ177" s="12" t="n"/>
      <c r="BK177" s="12" t="n"/>
      <c r="BL177" s="12" t="n"/>
      <c r="BM177" s="12" t="n"/>
      <c r="BN177" s="12" t="n"/>
      <c r="BO177" s="12" t="n"/>
      <c r="BP177" s="12" t="n"/>
      <c r="BQ177" s="12" t="n"/>
      <c r="BR177" s="12" t="n"/>
      <c r="BS177" s="12" t="n"/>
      <c r="BT177" s="12" t="n"/>
      <c r="BU177" s="12" t="n"/>
      <c r="BV177" s="12" t="n"/>
      <c r="BW177" s="12" t="n"/>
      <c r="BX177" s="12" t="n"/>
      <c r="BY177" s="12" t="n"/>
      <c r="BZ177" s="12" t="n"/>
      <c r="CA177" s="12" t="n"/>
      <c r="CB177" s="12" t="n"/>
      <c r="CC177" s="12" t="n"/>
      <c r="CD177" s="12" t="n"/>
      <c r="CE177" s="12" t="n"/>
      <c r="CF177" s="12" t="n"/>
      <c r="CG177" s="12" t="n"/>
      <c r="CH177" s="12" t="n"/>
      <c r="CI177" s="12" t="n"/>
      <c r="CJ177" s="12" t="n"/>
      <c r="CK177" s="12" t="n"/>
      <c r="CL177" s="12" t="n"/>
      <c r="CM177" s="12" t="n"/>
      <c r="CN177" s="12" t="n"/>
      <c r="CO177" s="12" t="n"/>
      <c r="CP177" s="12" t="n"/>
      <c r="CQ177" s="12" t="n"/>
      <c r="CR177" s="12" t="n"/>
      <c r="CS177" s="12" t="n"/>
      <c r="CT177" s="12" t="n"/>
      <c r="CU177" s="12" t="n"/>
      <c r="CV177" s="12" t="n"/>
      <c r="CW177" s="12" t="n"/>
      <c r="CX177" s="12" t="n"/>
      <c r="CY177" s="12" t="n"/>
    </row>
    <row r="178" hidden="1" outlineLevel="1">
      <c r="C178" s="57" t="inlineStr">
        <is>
          <t>Definir % do D&amp;A No PPE and Intagibles</t>
        </is>
      </c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  <c r="P178" s="12" t="n"/>
      <c r="Q178" s="12" t="n"/>
      <c r="R178" s="12" t="n"/>
      <c r="S178" s="12" t="n"/>
      <c r="T178" s="12" t="n"/>
      <c r="U178" s="12" t="n"/>
      <c r="V178" s="12" t="n"/>
      <c r="W178" s="12" t="n"/>
      <c r="X178" s="12" t="n"/>
      <c r="Y178" s="12" t="n"/>
      <c r="Z178" s="12" t="n"/>
      <c r="AA178" s="12" t="n"/>
      <c r="AB178" s="12" t="n"/>
      <c r="AC178" s="12" t="n"/>
      <c r="AD178" s="12" t="n"/>
      <c r="AE178" s="12" t="n"/>
      <c r="AF178" s="12" t="n"/>
      <c r="AG178" s="12" t="n"/>
      <c r="AH178" s="12" t="n"/>
      <c r="AI178" s="12" t="n"/>
      <c r="AJ178" s="12" t="n"/>
      <c r="AK178" s="12" t="n"/>
      <c r="AL178" s="12" t="n"/>
      <c r="AM178" s="12" t="n"/>
      <c r="AN178" s="12" t="n"/>
      <c r="AO178" s="12" t="n"/>
      <c r="AP178" s="12" t="n"/>
      <c r="AQ178" s="12" t="n"/>
      <c r="AR178" s="12" t="n"/>
      <c r="AS178" s="12" t="n"/>
      <c r="AT178" s="12" t="n"/>
      <c r="AU178" s="12" t="n"/>
      <c r="AV178" s="12" t="n"/>
      <c r="AW178" s="12" t="n"/>
      <c r="AX178" s="12" t="n"/>
      <c r="AY178" s="12" t="n"/>
      <c r="AZ178" s="12" t="n"/>
      <c r="BA178" s="12" t="n"/>
      <c r="BB178" s="12" t="n"/>
      <c r="BC178" s="12" t="n"/>
      <c r="BD178" s="12" t="n"/>
      <c r="BE178" s="12" t="n"/>
      <c r="BF178" s="12" t="n"/>
      <c r="BG178" s="12" t="n"/>
      <c r="BH178" s="12" t="n"/>
      <c r="BI178" s="12" t="n"/>
      <c r="BJ178" s="12" t="n"/>
      <c r="BK178" s="12" t="n"/>
      <c r="BL178" s="12" t="n"/>
      <c r="BM178" s="12" t="n"/>
      <c r="BN178" s="12" t="n"/>
      <c r="BO178" s="12" t="n"/>
      <c r="BP178" s="12" t="n"/>
      <c r="BQ178" s="12" t="n"/>
      <c r="BR178" s="12" t="n"/>
      <c r="BS178" s="12" t="n"/>
      <c r="BT178" s="12" t="n"/>
      <c r="BU178" s="12" t="n"/>
      <c r="BV178" s="12" t="n"/>
      <c r="BW178" s="12" t="n"/>
      <c r="BX178" s="12" t="n"/>
      <c r="BY178" s="12" t="n"/>
      <c r="BZ178" s="12" t="n"/>
      <c r="CA178" s="12" t="n"/>
      <c r="CB178" s="12" t="n"/>
      <c r="CC178" s="12" t="n"/>
      <c r="CD178" s="12" t="n"/>
      <c r="CE178" s="12" t="n"/>
      <c r="CF178" s="12" t="n"/>
      <c r="CG178" s="12" t="n"/>
      <c r="CH178" s="12" t="n"/>
      <c r="CI178" s="12" t="n"/>
      <c r="CJ178" s="12" t="n"/>
      <c r="CK178" s="12" t="n"/>
      <c r="CL178" s="12" t="n"/>
      <c r="CM178" s="12" t="n"/>
      <c r="CN178" s="12" t="n"/>
      <c r="CO178" s="12" t="n"/>
      <c r="CP178" s="12" t="n"/>
      <c r="CQ178" s="12" t="n"/>
      <c r="CR178" s="12" t="n"/>
      <c r="CS178" s="12" t="n"/>
      <c r="CT178" s="12" t="n"/>
      <c r="CU178" s="12" t="n"/>
      <c r="CV178" s="12" t="n"/>
      <c r="CW178" s="12" t="n"/>
      <c r="CX178" s="12" t="n"/>
      <c r="CY178" s="12" t="n"/>
    </row>
    <row r="179" hidden="1" outlineLevel="1">
      <c r="C179" s="57" t="n"/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  <c r="P179" s="12" t="n"/>
      <c r="Q179" s="12" t="n"/>
      <c r="R179" s="12" t="n"/>
      <c r="S179" s="12" t="n"/>
      <c r="T179" s="12" t="n"/>
      <c r="U179" s="12" t="n"/>
      <c r="V179" s="12" t="n"/>
      <c r="W179" s="12" t="n"/>
      <c r="X179" s="12" t="n"/>
      <c r="Y179" s="12" t="n"/>
      <c r="Z179" s="12" t="n"/>
      <c r="AA179" s="12" t="n"/>
      <c r="AB179" s="12" t="n"/>
      <c r="AC179" s="12" t="n"/>
      <c r="AD179" s="12" t="n"/>
      <c r="AE179" s="12" t="n"/>
      <c r="AF179" s="12" t="n"/>
      <c r="AG179" s="12" t="n"/>
      <c r="AH179" s="12" t="n"/>
      <c r="AI179" s="12" t="n"/>
      <c r="AJ179" s="12" t="n"/>
      <c r="AK179" s="12" t="n"/>
      <c r="AL179" s="12" t="n"/>
      <c r="AM179" s="12" t="n"/>
      <c r="AN179" s="12" t="n"/>
      <c r="AO179" s="12" t="n"/>
      <c r="AP179" s="12" t="n"/>
      <c r="AQ179" s="12" t="n"/>
      <c r="AR179" s="12" t="n"/>
      <c r="AS179" s="12" t="n"/>
      <c r="AT179" s="12" t="n"/>
      <c r="AU179" s="12" t="n"/>
      <c r="AV179" s="12" t="n"/>
      <c r="AW179" s="12" t="n"/>
      <c r="AX179" s="12" t="n"/>
      <c r="AY179" s="12" t="n"/>
      <c r="AZ179" s="12" t="n"/>
      <c r="BA179" s="12" t="n"/>
      <c r="BB179" s="12" t="n"/>
      <c r="BC179" s="12" t="n"/>
      <c r="BD179" s="12" t="n"/>
      <c r="BE179" s="12" t="n"/>
      <c r="BF179" s="12" t="n"/>
      <c r="BG179" s="12" t="n"/>
      <c r="BH179" s="12" t="n"/>
      <c r="BI179" s="12" t="n"/>
      <c r="BJ179" s="12" t="n"/>
      <c r="BK179" s="12" t="n"/>
      <c r="BL179" s="12" t="n"/>
      <c r="BM179" s="12" t="n"/>
      <c r="BN179" s="12" t="n"/>
      <c r="BO179" s="12" t="n"/>
      <c r="BP179" s="12" t="n"/>
      <c r="BQ179" s="12" t="n"/>
      <c r="BR179" s="12" t="n"/>
      <c r="BS179" s="12" t="n"/>
      <c r="BT179" s="12" t="n"/>
      <c r="BU179" s="12" t="n"/>
      <c r="BV179" s="12" t="n"/>
      <c r="BW179" s="12" t="n"/>
      <c r="BX179" s="12" t="n"/>
      <c r="BY179" s="12" t="n"/>
      <c r="BZ179" s="12" t="n"/>
      <c r="CA179" s="12" t="n"/>
      <c r="CB179" s="12" t="n"/>
      <c r="CC179" s="12" t="n"/>
      <c r="CD179" s="12" t="n"/>
      <c r="CE179" s="12" t="n"/>
      <c r="CF179" s="12" t="n"/>
      <c r="CG179" s="12" t="n"/>
      <c r="CH179" s="12" t="n"/>
      <c r="CI179" s="12" t="n"/>
      <c r="CJ179" s="12" t="n"/>
      <c r="CK179" s="12" t="n"/>
      <c r="CL179" s="12" t="n"/>
      <c r="CM179" s="12" t="n"/>
      <c r="CN179" s="12" t="n"/>
      <c r="CO179" s="12" t="n"/>
      <c r="CP179" s="12" t="n"/>
      <c r="CQ179" s="12" t="n"/>
      <c r="CR179" s="12" t="n"/>
      <c r="CS179" s="12" t="n"/>
      <c r="CT179" s="12" t="n"/>
      <c r="CU179" s="12" t="n"/>
      <c r="CV179" s="12" t="n"/>
      <c r="CW179" s="12" t="n"/>
      <c r="CX179" s="12" t="n"/>
      <c r="CY179" s="12" t="n"/>
    </row>
    <row r="180" hidden="1" outlineLevel="1">
      <c r="C180" s="57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  <c r="P180" s="12" t="n"/>
      <c r="Q180" s="12" t="n"/>
      <c r="R180" s="12" t="n"/>
      <c r="S180" s="12" t="n"/>
      <c r="T180" s="12" t="n"/>
      <c r="U180" s="12" t="n"/>
      <c r="V180" s="12" t="n"/>
      <c r="W180" s="12" t="n"/>
      <c r="X180" s="12" t="n"/>
      <c r="Y180" s="12" t="n"/>
      <c r="Z180" s="12" t="n"/>
      <c r="AA180" s="12" t="n"/>
      <c r="AB180" s="12" t="n"/>
      <c r="AC180" s="12" t="n"/>
      <c r="AD180" s="12" t="n"/>
      <c r="AE180" s="12" t="n"/>
      <c r="AF180" s="12" t="n"/>
      <c r="AG180" s="12" t="n"/>
      <c r="AH180" s="12" t="n"/>
      <c r="AI180" s="12" t="n"/>
      <c r="AJ180" s="12" t="n"/>
      <c r="AK180" s="12" t="n"/>
      <c r="AL180" s="12" t="n"/>
      <c r="AM180" s="12" t="n"/>
      <c r="AN180" s="12" t="n"/>
      <c r="AO180" s="12" t="n"/>
      <c r="AP180" s="12" t="n"/>
      <c r="AQ180" s="12" t="n"/>
      <c r="AR180" s="12" t="n"/>
      <c r="AS180" s="12" t="n"/>
      <c r="AT180" s="12" t="n"/>
      <c r="AU180" s="12" t="n"/>
      <c r="AV180" s="12" t="n"/>
      <c r="AW180" s="12" t="n"/>
      <c r="AX180" s="12" t="n"/>
      <c r="AY180" s="12" t="n"/>
      <c r="AZ180" s="12" t="n"/>
      <c r="BA180" s="12" t="n"/>
      <c r="BB180" s="12" t="n"/>
      <c r="BC180" s="12" t="n"/>
      <c r="BD180" s="12" t="n"/>
      <c r="BE180" s="12" t="n"/>
      <c r="BF180" s="12" t="n"/>
      <c r="BG180" s="12" t="n"/>
      <c r="BH180" s="12" t="n"/>
      <c r="BI180" s="12" t="n"/>
      <c r="BJ180" s="12" t="n"/>
      <c r="BK180" s="12" t="n"/>
      <c r="BL180" s="12" t="n"/>
      <c r="BM180" s="12" t="n"/>
      <c r="BN180" s="12" t="n"/>
      <c r="BO180" s="12" t="n"/>
      <c r="BP180" s="12" t="n"/>
      <c r="BQ180" s="12" t="n"/>
      <c r="BR180" s="12" t="n"/>
      <c r="BS180" s="12" t="n"/>
      <c r="BT180" s="12" t="n"/>
      <c r="BU180" s="12" t="n"/>
      <c r="BV180" s="12" t="n"/>
      <c r="BW180" s="12" t="n"/>
      <c r="BX180" s="12" t="n"/>
      <c r="BY180" s="12" t="n"/>
      <c r="BZ180" s="12" t="n"/>
      <c r="CA180" s="12" t="n"/>
      <c r="CB180" s="12" t="n"/>
      <c r="CC180" s="12" t="n"/>
      <c r="CD180" s="12" t="n"/>
      <c r="CE180" s="12" t="n"/>
      <c r="CF180" s="12" t="n"/>
      <c r="CG180" s="12" t="n"/>
      <c r="CH180" s="12" t="n"/>
      <c r="CI180" s="12" t="n"/>
      <c r="CJ180" s="12" t="n"/>
      <c r="CK180" s="12" t="n"/>
      <c r="CL180" s="12" t="n"/>
      <c r="CM180" s="12" t="n"/>
      <c r="CN180" s="12" t="n"/>
      <c r="CO180" s="12" t="n"/>
      <c r="CP180" s="12" t="n"/>
      <c r="CQ180" s="12" t="n"/>
      <c r="CR180" s="12" t="n"/>
      <c r="CS180" s="12" t="n"/>
      <c r="CT180" s="12" t="n"/>
      <c r="CU180" s="12" t="n"/>
      <c r="CV180" s="12" t="n"/>
      <c r="CW180" s="12" t="n"/>
      <c r="CX180" s="12" t="n"/>
      <c r="CY180" s="12" t="n"/>
    </row>
    <row r="181" collapsed="1">
      <c r="C181" s="14" t="inlineStr">
        <is>
          <t>Other non-current assets</t>
        </is>
      </c>
      <c r="D181" s="46" t="n"/>
      <c r="E181" s="46" t="n"/>
      <c r="F181" s="46" t="n"/>
      <c r="G181" s="46" t="n"/>
      <c r="H181" s="12" t="n"/>
      <c r="I181" s="46">
        <f>'Inputs (2)'!D26</f>
        <v>3012</v>
      </c>
      <c r="J181" s="46">
        <f>'Inputs (2)'!E26</f>
        <v>3001</v>
      </c>
      <c r="K181" s="46">
        <f>'Inputs (2)'!F26</f>
        <v>3024</v>
      </c>
      <c r="L181" s="46">
        <f>'Inputs (2)'!G26</f>
        <v>2847</v>
      </c>
      <c r="M181" s="12">
        <f>'Inputs (2)'!H26</f>
        <v>2847</v>
      </c>
      <c r="N181" s="46">
        <f>'Inputs (2)'!I26</f>
        <v>2822</v>
      </c>
      <c r="O181" s="46">
        <f>'Inputs (2)'!J26</f>
        <v>2731</v>
      </c>
      <c r="P181" s="46">
        <f>'Inputs (2)'!K26</f>
        <v>2740</v>
      </c>
      <c r="Q181" s="46">
        <f>'Inputs (2)'!L26</f>
        <v>2853</v>
      </c>
      <c r="R181" s="12">
        <f>'Inputs (2)'!M26</f>
        <v>2853</v>
      </c>
      <c r="S181" s="46">
        <f>'Inputs (2)'!N26</f>
        <v>3004</v>
      </c>
      <c r="T181" s="46">
        <f>'Inputs (2)'!O26</f>
        <v>3005</v>
      </c>
      <c r="U181" s="46">
        <f>'Inputs (2)'!P26</f>
        <v>3036</v>
      </c>
      <c r="V181" s="46">
        <f>'Inputs (2)'!Q26</f>
        <v>3146</v>
      </c>
      <c r="W181" s="12">
        <f>'Inputs (2)'!R26</f>
        <v>3146</v>
      </c>
      <c r="X181" s="46">
        <f>'Inputs (2)'!S26</f>
        <v>3159</v>
      </c>
      <c r="Y181" s="46">
        <f>'Inputs (2)'!T26</f>
        <v>3129</v>
      </c>
      <c r="Z181" s="46">
        <f>'Inputs (2)'!U26</f>
        <v>3105</v>
      </c>
      <c r="AA181" s="46">
        <f>'Inputs (2)'!V26</f>
        <v>3038</v>
      </c>
      <c r="AB181" s="12">
        <f>'Inputs (2)'!W26</f>
        <v>3038</v>
      </c>
      <c r="AC181" s="46">
        <f>'Inputs (2)'!X26</f>
        <v>3020</v>
      </c>
      <c r="AD181" s="46">
        <f>'Inputs (2)'!Y26</f>
        <v>3021</v>
      </c>
      <c r="AE181" s="46">
        <f>'Inputs (2)'!Z26</f>
        <v>3007</v>
      </c>
      <c r="AF181" s="46">
        <f>'Inputs (2)'!AA26</f>
        <v>3641</v>
      </c>
      <c r="AG181" s="12">
        <f>'Inputs (2)'!AB26</f>
        <v>3641</v>
      </c>
      <c r="AH181" s="12">
        <f>'Inputs (2)'!AC26</f>
        <v>3647</v>
      </c>
      <c r="AI181" s="12">
        <f>'Inputs (2)'!AD26</f>
        <v>3857</v>
      </c>
      <c r="AJ181" s="12">
        <f>AI181</f>
        <v>3857</v>
      </c>
      <c r="AK181" s="12">
        <f>AJ181</f>
        <v>3857</v>
      </c>
      <c r="AL181" s="12">
        <f>AK181</f>
        <v>3857</v>
      </c>
      <c r="AM181" s="12">
        <f>AL181</f>
        <v>3857</v>
      </c>
      <c r="AN181" s="12">
        <f>AM181</f>
        <v>3857</v>
      </c>
      <c r="AO181" s="12">
        <f>AN181</f>
        <v>3857</v>
      </c>
      <c r="AP181" s="12">
        <f>AO181</f>
        <v>3857</v>
      </c>
      <c r="AQ181" s="12">
        <f>AP181</f>
        <v>3857</v>
      </c>
      <c r="AR181" s="12">
        <f>AQ181</f>
        <v>3857</v>
      </c>
      <c r="AS181" s="12">
        <f>AR181</f>
        <v>3857</v>
      </c>
      <c r="AT181" s="12">
        <f>AS181</f>
        <v>3857</v>
      </c>
      <c r="AU181" s="12">
        <f>AT181</f>
        <v>3857</v>
      </c>
      <c r="AV181" s="12">
        <f>AU181</f>
        <v>3857</v>
      </c>
      <c r="AW181" s="12">
        <f>AV181</f>
        <v>3857</v>
      </c>
      <c r="AX181" s="12">
        <f>AW181</f>
        <v>3857</v>
      </c>
      <c r="AY181" s="12">
        <f>AX181</f>
        <v>3857</v>
      </c>
      <c r="AZ181" s="12">
        <f>AY181</f>
        <v>3857</v>
      </c>
      <c r="BA181" s="12">
        <f>AZ181</f>
        <v>3857</v>
      </c>
      <c r="BB181" s="12">
        <f>BA181</f>
        <v>3857</v>
      </c>
      <c r="BC181" s="12">
        <f>BB181</f>
        <v>3857</v>
      </c>
      <c r="BD181" s="12">
        <f>BC181</f>
        <v>3857</v>
      </c>
      <c r="BE181" s="12">
        <f>BD181</f>
        <v>3857</v>
      </c>
      <c r="BF181" s="12">
        <f>BE181</f>
        <v>3857</v>
      </c>
      <c r="BG181" s="12" t="n"/>
      <c r="BH181" s="12" t="n"/>
      <c r="BI181" s="12" t="n"/>
      <c r="BJ181" s="12" t="n"/>
      <c r="BK181" s="12" t="n"/>
      <c r="BL181" s="12" t="n"/>
      <c r="BM181" s="12" t="n"/>
      <c r="BN181" s="12" t="n"/>
      <c r="BO181" s="12" t="n"/>
      <c r="BP181" s="12" t="n"/>
      <c r="BQ181" s="12" t="n"/>
      <c r="BR181" s="12" t="n"/>
      <c r="BS181" s="12" t="n"/>
      <c r="BT181" s="12" t="n"/>
      <c r="BU181" s="12" t="n"/>
      <c r="BV181" s="12" t="n"/>
      <c r="BW181" s="12" t="n"/>
      <c r="BX181" s="12" t="n"/>
      <c r="BY181" s="12" t="n"/>
      <c r="BZ181" s="12" t="n"/>
      <c r="CA181" s="12" t="n"/>
      <c r="CB181" s="12" t="n"/>
      <c r="CC181" s="12" t="n"/>
      <c r="CD181" s="12" t="n"/>
      <c r="CE181" s="12" t="n"/>
      <c r="CF181" s="12" t="n"/>
      <c r="CG181" s="12" t="n"/>
      <c r="CH181" s="12" t="n"/>
      <c r="CI181" s="12" t="n"/>
      <c r="CJ181" s="12" t="n"/>
      <c r="CK181" s="12" t="n"/>
      <c r="CL181" s="12" t="n"/>
      <c r="CM181" s="12" t="n"/>
      <c r="CN181" s="12" t="n"/>
      <c r="CO181" s="12" t="n"/>
      <c r="CP181" s="12" t="n"/>
      <c r="CQ181" s="12" t="n"/>
      <c r="CR181" s="12" t="n"/>
      <c r="CS181" s="12" t="n"/>
      <c r="CT181" s="12" t="n"/>
      <c r="CU181" s="12" t="n"/>
      <c r="CV181" s="12" t="n"/>
      <c r="CW181" s="12" t="n"/>
      <c r="CX181" s="12" t="n"/>
      <c r="CY181" s="12" t="n"/>
    </row>
    <row r="182" hidden="1" outlineLevel="1">
      <c r="C182" s="59" t="inlineStr">
        <is>
          <t>%(Var.)</t>
        </is>
      </c>
      <c r="D182" s="12" t="n"/>
      <c r="E182" s="40" t="n"/>
      <c r="F182" s="40" t="n"/>
      <c r="G182" s="40" t="n"/>
      <c r="H182" s="12" t="n"/>
      <c r="I182" s="40" t="str">
        <f>""</f>
        <v/>
      </c>
      <c r="J182" s="40">
        <f>IF(I181=0,"",J181/I181-1)</f>
        <v>-0.00365205843293492</v>
      </c>
      <c r="K182" s="40">
        <f>IF(J181=0,"",K181/J181-1)</f>
        <v>0.00766411196267902</v>
      </c>
      <c r="L182" s="40">
        <f>IF(K181=0,"",L181/K181-1)</f>
        <v>-0.058531746031746</v>
      </c>
      <c r="M182" s="12">
        <f>IF(L181=0,"",M181/L181-1)</f>
        <v>0</v>
      </c>
      <c r="N182" s="40">
        <f>IF(M181=0,"",N181/M181-1)</f>
        <v>-0.00878117316473481</v>
      </c>
      <c r="O182" s="40">
        <f>IF(N181=0,"",O181/N181-1)</f>
        <v>-0.0322466335931964</v>
      </c>
      <c r="P182" s="40">
        <f>IF(O181=0,"",P181/O181-1)</f>
        <v>0.00329549615525449</v>
      </c>
      <c r="Q182" s="40">
        <f>IF(P181=0,"",Q181/P181-1)</f>
        <v>0.0412408759124088</v>
      </c>
      <c r="R182" s="12">
        <f>IF(Q181=0,"",R181/Q181-1)</f>
        <v>0</v>
      </c>
      <c r="S182" s="40">
        <f>IF(R181=0,"",S181/R181-1)</f>
        <v>0.0529267437784788</v>
      </c>
      <c r="T182" s="40">
        <f>IF(S181=0,"",T181/S181-1)</f>
        <v>0.000332889480692433</v>
      </c>
      <c r="U182" s="40">
        <f>IF(T181=0,"",U181/T181-1)</f>
        <v>0.0103161397670548</v>
      </c>
      <c r="V182" s="40">
        <f>IF(U181=0,"",V181/U181-1)</f>
        <v>0.036231884057971</v>
      </c>
      <c r="W182" s="12">
        <f>IF(V181=0,"",W181/V181-1)</f>
        <v>0</v>
      </c>
      <c r="X182" s="40">
        <f>IF(W181=0,"",X181/W181-1)</f>
        <v>0.00413223140495878</v>
      </c>
      <c r="Y182" s="40">
        <f>IF(X181=0,"",Y181/X181-1)</f>
        <v>-0.00949667616334282</v>
      </c>
      <c r="Z182" s="40">
        <f>IF(Y181=0,"",Z181/Y181-1)</f>
        <v>-0.00767018216682647</v>
      </c>
      <c r="AA182" s="40">
        <f>IF(Z181=0,"",AA181/Z181-1)</f>
        <v>-0.0215780998389694</v>
      </c>
      <c r="AB182" s="12">
        <f>IF(AA181=0,"",AB181/AA181-1)</f>
        <v>0</v>
      </c>
      <c r="AC182" s="40">
        <f>IF(AB181=0,"",AC181/AB181-1)</f>
        <v>-0.00592495062541143</v>
      </c>
      <c r="AD182" s="40">
        <f>IF(AC181=0,"",AD181/AC181-1)</f>
        <v>0.000331125827814471</v>
      </c>
      <c r="AE182" s="40">
        <f>IF(AD181=0,"",AE181/AD181-1)</f>
        <v>-0.0046342270771268</v>
      </c>
      <c r="AF182" s="55">
        <f>IF(AE181=0,"",AF181/AE181-1)</f>
        <v>0.210841370136349</v>
      </c>
      <c r="AG182" s="12">
        <f>IF(AF181=0,"",AG181/AF181-1)</f>
        <v>0</v>
      </c>
      <c r="AH182" s="55">
        <f>IF(AG181=0,"",AH181/AG181-1)</f>
        <v>0.00164789892886574</v>
      </c>
      <c r="AI182" s="55">
        <f>IF(AH181=0,"",AI181/AH181-1)</f>
        <v>0.0575815738963532</v>
      </c>
      <c r="AJ182" s="55">
        <f>IF(AI181=0,"",AJ181/AI181-1)</f>
        <v>0</v>
      </c>
      <c r="AK182" s="55">
        <f>IF(AJ181=0,"",AK181/AJ181-1)</f>
        <v>0</v>
      </c>
      <c r="AL182" s="12">
        <f>IF(AK181=0,"",AL181/AK181-1)</f>
        <v>0</v>
      </c>
      <c r="AM182" s="55">
        <f>IF(AL181=0,"",AM181/AL181-1)</f>
        <v>0</v>
      </c>
      <c r="AN182" s="55">
        <f>IF(AM181=0,"",AN181/AM181-1)</f>
        <v>0</v>
      </c>
      <c r="AO182" s="55">
        <f>IF(AN181=0,"",AO181/AN181-1)</f>
        <v>0</v>
      </c>
      <c r="AP182" s="55">
        <f>IF(AO181=0,"",AP181/AO181-1)</f>
        <v>0</v>
      </c>
      <c r="AQ182" s="12">
        <f>IF(AP181=0,"",AQ181/AP181-1)</f>
        <v>0</v>
      </c>
      <c r="AR182" s="55">
        <f>IF(AQ181=0,"",AR181/AQ181-1)</f>
        <v>0</v>
      </c>
      <c r="AS182" s="55">
        <f>IF(AR181=0,"",AS181/AR181-1)</f>
        <v>0</v>
      </c>
      <c r="AT182" s="55">
        <f>IF(AS181=0,"",AT181/AS181-1)</f>
        <v>0</v>
      </c>
      <c r="AU182" s="55">
        <f>IF(AT181=0,"",AU181/AT181-1)</f>
        <v>0</v>
      </c>
      <c r="AV182" s="12">
        <f>IF(AU181=0,"",AV181/AU181-1)</f>
        <v>0</v>
      </c>
      <c r="AW182" s="55">
        <f>IF(AV181=0,"",AW181/AV181-1)</f>
        <v>0</v>
      </c>
      <c r="AX182" s="55">
        <f>IF(AW181=0,"",AX181/AW181-1)</f>
        <v>0</v>
      </c>
      <c r="AY182" s="55">
        <f>IF(AX181=0,"",AY181/AX181-1)</f>
        <v>0</v>
      </c>
      <c r="AZ182" s="55">
        <f>IF(AY181=0,"",AZ181/AY181-1)</f>
        <v>0</v>
      </c>
      <c r="BA182" s="12">
        <f>IF(AZ181=0,"",BA181/AZ181-1)</f>
        <v>0</v>
      </c>
      <c r="BB182" s="55">
        <f>IF(BA181=0,"",BB181/BA181-1)</f>
        <v>0</v>
      </c>
      <c r="BC182" s="55">
        <f>IF(BB181=0,"",BC181/BB181-1)</f>
        <v>0</v>
      </c>
      <c r="BD182" s="55">
        <f>IF(BC181=0,"",BD181/BC181-1)</f>
        <v>0</v>
      </c>
      <c r="BE182" s="55">
        <f>IF(BD181=0,"",BE181/BD181-1)</f>
        <v>0</v>
      </c>
      <c r="BF182" s="12">
        <f>IF(BE181=0,"",BF181/BE181-1)</f>
        <v>0</v>
      </c>
      <c r="BG182" s="55" t="n"/>
      <c r="BH182" s="55" t="n"/>
      <c r="BI182" s="55" t="n"/>
      <c r="BJ182" s="55" t="n"/>
      <c r="BK182" s="12" t="n"/>
      <c r="BL182" s="55" t="n"/>
      <c r="BM182" s="55" t="n"/>
      <c r="BN182" s="55" t="n"/>
      <c r="BO182" s="55" t="n"/>
      <c r="BP182" s="12" t="n"/>
      <c r="BQ182" s="55" t="n"/>
      <c r="BR182" s="55" t="n"/>
      <c r="BS182" s="55" t="n"/>
      <c r="BT182" s="55" t="n"/>
      <c r="BU182" s="12" t="n"/>
      <c r="BV182" s="55" t="n"/>
      <c r="BW182" s="55" t="n"/>
      <c r="BX182" s="55" t="n"/>
      <c r="BY182" s="55" t="n"/>
      <c r="BZ182" s="12" t="n"/>
      <c r="CA182" s="55" t="n"/>
      <c r="CB182" s="55" t="n"/>
      <c r="CC182" s="55" t="n"/>
      <c r="CD182" s="55" t="n"/>
      <c r="CE182" s="12" t="n"/>
      <c r="CF182" s="55" t="n"/>
      <c r="CG182" s="55" t="n"/>
      <c r="CH182" s="55" t="n"/>
      <c r="CI182" s="55" t="n"/>
      <c r="CJ182" s="12" t="n"/>
      <c r="CK182" s="55" t="n"/>
      <c r="CL182" s="55" t="n"/>
      <c r="CM182" s="55" t="n"/>
      <c r="CN182" s="55" t="n"/>
      <c r="CO182" s="12" t="n"/>
      <c r="CP182" s="55" t="n"/>
      <c r="CQ182" s="55" t="n"/>
      <c r="CR182" s="55" t="n"/>
      <c r="CS182" s="55" t="n"/>
      <c r="CT182" s="12" t="n"/>
      <c r="CU182" s="55" t="n"/>
      <c r="CV182" s="55" t="n"/>
      <c r="CW182" s="55" t="n"/>
      <c r="CX182" s="55" t="n"/>
      <c r="CY182" s="12" t="n"/>
    </row>
    <row r="183" hidden="1" outlineLevel="1">
      <c r="C183" s="57" t="n"/>
      <c r="D183" s="12" t="n"/>
      <c r="E183" s="40" t="n"/>
      <c r="F183" s="40" t="n"/>
      <c r="G183" s="40" t="n"/>
      <c r="H183" s="12" t="n"/>
      <c r="I183" s="40" t="n"/>
      <c r="J183" s="40" t="n"/>
      <c r="K183" s="40" t="n"/>
      <c r="L183" s="40" t="n"/>
      <c r="M183" s="12" t="n"/>
      <c r="N183" s="40" t="n"/>
      <c r="O183" s="40" t="n"/>
      <c r="P183" s="40" t="n"/>
      <c r="Q183" s="40" t="n"/>
      <c r="R183" s="12" t="n"/>
      <c r="S183" s="40" t="n"/>
      <c r="T183" s="40" t="n"/>
      <c r="U183" s="40" t="n"/>
      <c r="V183" s="40" t="n"/>
      <c r="W183" s="12" t="n"/>
      <c r="X183" s="40" t="n"/>
      <c r="Y183" s="40" t="n"/>
      <c r="Z183" s="40" t="n"/>
      <c r="AA183" s="40" t="n"/>
      <c r="AB183" s="12" t="n"/>
      <c r="AC183" s="40" t="n"/>
      <c r="AD183" s="40" t="n"/>
      <c r="AE183" s="40" t="n"/>
      <c r="AF183" s="55" t="n"/>
      <c r="AG183" s="12" t="n"/>
      <c r="AH183" s="55" t="n"/>
      <c r="AI183" s="55" t="n"/>
      <c r="AJ183" s="55" t="n"/>
      <c r="AK183" s="55" t="n"/>
      <c r="AL183" s="12" t="n"/>
      <c r="AM183" s="55" t="n"/>
      <c r="AN183" s="55" t="n"/>
      <c r="AO183" s="55" t="n"/>
      <c r="AP183" s="55" t="n"/>
      <c r="AQ183" s="12" t="n"/>
      <c r="AR183" s="55" t="n"/>
      <c r="AS183" s="55" t="n"/>
      <c r="AT183" s="55" t="n"/>
      <c r="AU183" s="55" t="n"/>
      <c r="AV183" s="12" t="n"/>
      <c r="AW183" s="55" t="n"/>
      <c r="AX183" s="55" t="n"/>
      <c r="AY183" s="55" t="n"/>
      <c r="AZ183" s="55" t="n"/>
      <c r="BA183" s="12" t="n"/>
      <c r="BB183" s="55" t="n"/>
      <c r="BC183" s="55" t="n"/>
      <c r="BD183" s="55" t="n"/>
      <c r="BE183" s="55" t="n"/>
      <c r="BF183" s="12" t="n"/>
      <c r="BG183" s="55" t="n"/>
      <c r="BH183" s="55" t="n"/>
      <c r="BI183" s="55" t="n"/>
      <c r="BJ183" s="55" t="n"/>
      <c r="BK183" s="12" t="n"/>
      <c r="BL183" s="55" t="n"/>
      <c r="BM183" s="55" t="n"/>
      <c r="BN183" s="55" t="n"/>
      <c r="BO183" s="55" t="n"/>
      <c r="BP183" s="12" t="n"/>
      <c r="BQ183" s="55" t="n"/>
      <c r="BR183" s="55" t="n"/>
      <c r="BS183" s="55" t="n"/>
      <c r="BT183" s="55" t="n"/>
      <c r="BU183" s="12" t="n"/>
      <c r="BV183" s="55" t="n"/>
      <c r="BW183" s="55" t="n"/>
      <c r="BX183" s="55" t="n"/>
      <c r="BY183" s="55" t="n"/>
      <c r="BZ183" s="12" t="n"/>
      <c r="CA183" s="55" t="n"/>
      <c r="CB183" s="55" t="n"/>
      <c r="CC183" s="55" t="n"/>
      <c r="CD183" s="55" t="n"/>
      <c r="CE183" s="12" t="n"/>
      <c r="CF183" s="55" t="n"/>
      <c r="CG183" s="55" t="n"/>
      <c r="CH183" s="55" t="n"/>
      <c r="CI183" s="55" t="n"/>
      <c r="CJ183" s="12" t="n"/>
      <c r="CK183" s="55" t="n"/>
      <c r="CL183" s="55" t="n"/>
      <c r="CM183" s="55" t="n"/>
      <c r="CN183" s="55" t="n"/>
      <c r="CO183" s="12" t="n"/>
      <c r="CP183" s="55" t="n"/>
      <c r="CQ183" s="55" t="n"/>
      <c r="CR183" s="55" t="n"/>
      <c r="CS183" s="55" t="n"/>
      <c r="CT183" s="12" t="n"/>
      <c r="CU183" s="55" t="n"/>
      <c r="CV183" s="55" t="n"/>
      <c r="CW183" s="55" t="n"/>
      <c r="CX183" s="55" t="n"/>
      <c r="CY183" s="12" t="n"/>
    </row>
    <row r="184" hidden="1" outlineLevel="1">
      <c r="C184" s="60" t="inlineStr">
        <is>
          <t>Outros Créditos - LP</t>
        </is>
      </c>
      <c r="D184" s="11" t="n"/>
      <c r="E184" s="11" t="n"/>
      <c r="F184" s="11" t="n"/>
      <c r="G184" s="11" t="n"/>
      <c r="H184" s="12" t="n"/>
      <c r="I184" s="11" t="n"/>
      <c r="J184" s="11" t="n"/>
      <c r="K184" s="11" t="n"/>
      <c r="L184" s="11" t="n"/>
      <c r="M184" s="12" t="n"/>
      <c r="N184" s="11" t="n"/>
      <c r="O184" s="11" t="n"/>
      <c r="P184" s="11" t="n"/>
      <c r="Q184" s="11" t="n"/>
      <c r="R184" s="12" t="n"/>
      <c r="S184" s="11" t="n"/>
      <c r="T184" s="11" t="n"/>
      <c r="U184" s="11" t="n"/>
      <c r="V184" s="11" t="n"/>
      <c r="W184" s="12" t="n"/>
      <c r="X184" s="11" t="n"/>
      <c r="Y184" s="11" t="n"/>
      <c r="Z184" s="11" t="n"/>
      <c r="AA184" s="11" t="n"/>
      <c r="AB184" s="12" t="n"/>
      <c r="AC184" s="11" t="n"/>
      <c r="AD184" s="11" t="n"/>
      <c r="AE184" s="11" t="n"/>
      <c r="AF184" s="11" t="n"/>
      <c r="AG184" s="12" t="n"/>
      <c r="AH184" s="12" t="n"/>
      <c r="AI184" s="12" t="n"/>
      <c r="AJ184" s="12" t="n"/>
      <c r="AK184" s="12" t="n"/>
      <c r="AL184" s="12" t="n"/>
      <c r="AM184" s="12" t="n"/>
      <c r="AN184" s="12" t="n"/>
      <c r="AO184" s="12" t="n"/>
      <c r="AP184" s="12" t="n"/>
      <c r="AQ184" s="12" t="n"/>
      <c r="AR184" s="12" t="n"/>
      <c r="AS184" s="12" t="n"/>
      <c r="AT184" s="12" t="n"/>
      <c r="AU184" s="12" t="n"/>
      <c r="AV184" s="12" t="n"/>
      <c r="AW184" s="12" t="n"/>
      <c r="AX184" s="12" t="n"/>
      <c r="AY184" s="12" t="n"/>
      <c r="AZ184" s="12" t="n"/>
      <c r="BA184" s="12" t="n"/>
      <c r="BB184" s="12" t="n"/>
      <c r="BC184" s="12" t="n"/>
      <c r="BD184" s="12" t="n"/>
      <c r="BE184" s="12" t="n"/>
      <c r="BF184" s="12" t="n"/>
      <c r="BG184" s="12" t="n"/>
      <c r="BH184" s="12" t="n"/>
      <c r="BI184" s="12" t="n"/>
      <c r="BJ184" s="12" t="n"/>
      <c r="BK184" s="12" t="n"/>
      <c r="BL184" s="12" t="n"/>
      <c r="BM184" s="12" t="n"/>
      <c r="BN184" s="12" t="n"/>
      <c r="BO184" s="12" t="n"/>
      <c r="BP184" s="12" t="n"/>
      <c r="BQ184" s="12" t="n"/>
      <c r="BR184" s="12" t="n"/>
      <c r="BS184" s="12" t="n"/>
      <c r="BT184" s="12" t="n"/>
      <c r="BU184" s="12" t="n"/>
      <c r="BV184" s="12" t="n"/>
      <c r="BW184" s="12" t="n"/>
      <c r="BX184" s="12" t="n"/>
      <c r="BY184" s="12" t="n"/>
      <c r="BZ184" s="12" t="n"/>
      <c r="CA184" s="12" t="n"/>
      <c r="CB184" s="12" t="n"/>
      <c r="CC184" s="12" t="n"/>
      <c r="CD184" s="12" t="n"/>
      <c r="CE184" s="12" t="n"/>
      <c r="CF184" s="12" t="n"/>
      <c r="CG184" s="12" t="n"/>
      <c r="CH184" s="12" t="n"/>
      <c r="CI184" s="12" t="n"/>
      <c r="CJ184" s="12" t="n"/>
      <c r="CK184" s="12" t="n"/>
      <c r="CL184" s="12" t="n"/>
      <c r="CM184" s="12" t="n"/>
      <c r="CN184" s="12" t="n"/>
      <c r="CO184" s="12" t="n"/>
      <c r="CP184" s="12" t="n"/>
      <c r="CQ184" s="12" t="n"/>
      <c r="CR184" s="12" t="n"/>
      <c r="CS184" s="12" t="n"/>
      <c r="CT184" s="12" t="n"/>
      <c r="CU184" s="12" t="n"/>
      <c r="CV184" s="12" t="n"/>
      <c r="CW184" s="12" t="n"/>
      <c r="CX184" s="12" t="n"/>
      <c r="CY184" s="12" t="n"/>
    </row>
    <row r="185" hidden="1" outlineLevel="1">
      <c r="C185" s="60" t="inlineStr">
        <is>
          <t xml:space="preserve">Impostos e Contribuições a Recuperar </t>
        </is>
      </c>
      <c r="D185" s="11" t="n"/>
      <c r="E185" s="11" t="n"/>
      <c r="F185" s="11" t="n"/>
      <c r="G185" s="11" t="n"/>
      <c r="H185" s="12" t="n"/>
      <c r="I185" s="11" t="n"/>
      <c r="J185" s="11" t="n"/>
      <c r="K185" s="11" t="n"/>
      <c r="L185" s="11" t="n"/>
      <c r="M185" s="12" t="n"/>
      <c r="N185" s="11" t="n"/>
      <c r="O185" s="11" t="n"/>
      <c r="P185" s="11" t="n"/>
      <c r="Q185" s="11" t="n"/>
      <c r="R185" s="12" t="n"/>
      <c r="S185" s="11" t="n"/>
      <c r="T185" s="11" t="n"/>
      <c r="U185" s="11" t="n"/>
      <c r="V185" s="11" t="n"/>
      <c r="W185" s="12" t="n"/>
      <c r="X185" s="11" t="n"/>
      <c r="Y185" s="11" t="n"/>
      <c r="Z185" s="11" t="n"/>
      <c r="AA185" s="11" t="n"/>
      <c r="AB185" s="12" t="n"/>
      <c r="AC185" s="11" t="n"/>
      <c r="AD185" s="11" t="n"/>
      <c r="AE185" s="11" t="n"/>
      <c r="AF185" s="11" t="n"/>
      <c r="AG185" s="12" t="n"/>
      <c r="AH185" s="12" t="n"/>
      <c r="AI185" s="12" t="n"/>
      <c r="AJ185" s="12" t="n"/>
      <c r="AK185" s="12" t="n"/>
      <c r="AL185" s="12" t="n"/>
      <c r="AM185" s="12" t="n"/>
      <c r="AN185" s="12" t="n"/>
      <c r="AO185" s="12" t="n"/>
      <c r="AP185" s="12" t="n"/>
      <c r="AQ185" s="12" t="n"/>
      <c r="AR185" s="12" t="n"/>
      <c r="AS185" s="12" t="n"/>
      <c r="AT185" s="12" t="n"/>
      <c r="AU185" s="12" t="n"/>
      <c r="AV185" s="12" t="n"/>
      <c r="AW185" s="12" t="n"/>
      <c r="AX185" s="12" t="n"/>
      <c r="AY185" s="12" t="n"/>
      <c r="AZ185" s="12" t="n"/>
      <c r="BA185" s="12" t="n"/>
      <c r="BB185" s="12" t="n"/>
      <c r="BC185" s="12" t="n"/>
      <c r="BD185" s="12" t="n"/>
      <c r="BE185" s="12" t="n"/>
      <c r="BF185" s="12" t="n"/>
      <c r="BG185" s="12" t="n"/>
      <c r="BH185" s="12" t="n"/>
      <c r="BI185" s="12" t="n"/>
      <c r="BJ185" s="12" t="n"/>
      <c r="BK185" s="12" t="n"/>
      <c r="BL185" s="12" t="n"/>
      <c r="BM185" s="12" t="n"/>
      <c r="BN185" s="12" t="n"/>
      <c r="BO185" s="12" t="n"/>
      <c r="BP185" s="12" t="n"/>
      <c r="BQ185" s="12" t="n"/>
      <c r="BR185" s="12" t="n"/>
      <c r="BS185" s="12" t="n"/>
      <c r="BT185" s="12" t="n"/>
      <c r="BU185" s="12" t="n"/>
      <c r="BV185" s="12" t="n"/>
      <c r="BW185" s="12" t="n"/>
      <c r="BX185" s="12" t="n"/>
      <c r="BY185" s="12" t="n"/>
      <c r="BZ185" s="12" t="n"/>
      <c r="CA185" s="12" t="n"/>
      <c r="CB185" s="12" t="n"/>
      <c r="CC185" s="12" t="n"/>
      <c r="CD185" s="12" t="n"/>
      <c r="CE185" s="12" t="n"/>
      <c r="CF185" s="12" t="n"/>
      <c r="CG185" s="12" t="n"/>
      <c r="CH185" s="12" t="n"/>
      <c r="CI185" s="12" t="n"/>
      <c r="CJ185" s="12" t="n"/>
      <c r="CK185" s="12" t="n"/>
      <c r="CL185" s="12" t="n"/>
      <c r="CM185" s="12" t="n"/>
      <c r="CN185" s="12" t="n"/>
      <c r="CO185" s="12" t="n"/>
      <c r="CP185" s="12" t="n"/>
      <c r="CQ185" s="12" t="n"/>
      <c r="CR185" s="12" t="n"/>
      <c r="CS185" s="12" t="n"/>
      <c r="CT185" s="12" t="n"/>
      <c r="CU185" s="12" t="n"/>
      <c r="CV185" s="12" t="n"/>
      <c r="CW185" s="12" t="n"/>
      <c r="CX185" s="12" t="n"/>
      <c r="CY185" s="12" t="n"/>
    </row>
    <row r="186" hidden="1" outlineLevel="1">
      <c r="C186" s="60" t="inlineStr">
        <is>
          <t xml:space="preserve">Imposto de Renda e Contribuição Social Diferidos </t>
        </is>
      </c>
      <c r="D186" s="11" t="n"/>
      <c r="E186" s="11" t="n"/>
      <c r="F186" s="11" t="n"/>
      <c r="G186" s="11" t="n"/>
      <c r="H186" s="12" t="n"/>
      <c r="I186" s="11" t="n"/>
      <c r="J186" s="11" t="n"/>
      <c r="K186" s="11" t="n"/>
      <c r="L186" s="11" t="n"/>
      <c r="M186" s="12" t="n"/>
      <c r="N186" s="11" t="n"/>
      <c r="O186" s="11" t="n"/>
      <c r="P186" s="11" t="n"/>
      <c r="Q186" s="11" t="n"/>
      <c r="R186" s="12" t="n"/>
      <c r="S186" s="11" t="n"/>
      <c r="T186" s="11" t="n"/>
      <c r="U186" s="11" t="n"/>
      <c r="V186" s="11" t="n"/>
      <c r="W186" s="12" t="n"/>
      <c r="X186" s="11" t="n"/>
      <c r="Y186" s="11" t="n"/>
      <c r="Z186" s="11" t="n"/>
      <c r="AA186" s="11" t="n"/>
      <c r="AB186" s="12" t="n"/>
      <c r="AC186" s="11" t="n"/>
      <c r="AD186" s="11" t="n"/>
      <c r="AE186" s="11" t="n"/>
      <c r="AF186" s="11" t="n"/>
      <c r="AG186" s="12" t="n"/>
      <c r="AH186" s="12" t="n"/>
      <c r="AI186" s="12" t="n"/>
      <c r="AJ186" s="12" t="n"/>
      <c r="AK186" s="12" t="n"/>
      <c r="AL186" s="12" t="n"/>
      <c r="AM186" s="12" t="n"/>
      <c r="AN186" s="12" t="n"/>
      <c r="AO186" s="12" t="n"/>
      <c r="AP186" s="12" t="n"/>
      <c r="AQ186" s="12" t="n"/>
      <c r="AR186" s="12" t="n"/>
      <c r="AS186" s="12" t="n"/>
      <c r="AT186" s="12" t="n"/>
      <c r="AU186" s="12" t="n"/>
      <c r="AV186" s="12" t="n"/>
      <c r="AW186" s="12" t="n"/>
      <c r="AX186" s="12" t="n"/>
      <c r="AY186" s="12" t="n"/>
      <c r="AZ186" s="12" t="n"/>
      <c r="BA186" s="12" t="n"/>
      <c r="BB186" s="12" t="n"/>
      <c r="BC186" s="12" t="n"/>
      <c r="BD186" s="12" t="n"/>
      <c r="BE186" s="12" t="n"/>
      <c r="BF186" s="12" t="n"/>
      <c r="BG186" s="12" t="n"/>
      <c r="BH186" s="12" t="n"/>
      <c r="BI186" s="12" t="n"/>
      <c r="BJ186" s="12" t="n"/>
      <c r="BK186" s="12" t="n"/>
      <c r="BL186" s="12" t="n"/>
      <c r="BM186" s="12" t="n"/>
      <c r="BN186" s="12" t="n"/>
      <c r="BO186" s="12" t="n"/>
      <c r="BP186" s="12" t="n"/>
      <c r="BQ186" s="12" t="n"/>
      <c r="BR186" s="12" t="n"/>
      <c r="BS186" s="12" t="n"/>
      <c r="BT186" s="12" t="n"/>
      <c r="BU186" s="12" t="n"/>
      <c r="BV186" s="12" t="n"/>
      <c r="BW186" s="12" t="n"/>
      <c r="BX186" s="12" t="n"/>
      <c r="BY186" s="12" t="n"/>
      <c r="BZ186" s="12" t="n"/>
      <c r="CA186" s="12" t="n"/>
      <c r="CB186" s="12" t="n"/>
      <c r="CC186" s="12" t="n"/>
      <c r="CD186" s="12" t="n"/>
      <c r="CE186" s="12" t="n"/>
      <c r="CF186" s="12" t="n"/>
      <c r="CG186" s="12" t="n"/>
      <c r="CH186" s="12" t="n"/>
      <c r="CI186" s="12" t="n"/>
      <c r="CJ186" s="12" t="n"/>
      <c r="CK186" s="12" t="n"/>
      <c r="CL186" s="12" t="n"/>
      <c r="CM186" s="12" t="n"/>
      <c r="CN186" s="12" t="n"/>
      <c r="CO186" s="12" t="n"/>
      <c r="CP186" s="12" t="n"/>
      <c r="CQ186" s="12" t="n"/>
      <c r="CR186" s="12" t="n"/>
      <c r="CS186" s="12" t="n"/>
      <c r="CT186" s="12" t="n"/>
      <c r="CU186" s="12" t="n"/>
      <c r="CV186" s="12" t="n"/>
      <c r="CW186" s="12" t="n"/>
      <c r="CX186" s="12" t="n"/>
      <c r="CY186" s="12" t="n"/>
    </row>
    <row r="187" hidden="1" outlineLevel="1">
      <c r="C187" s="60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12" t="n"/>
      <c r="S187" s="12" t="n"/>
      <c r="T187" s="12" t="n"/>
      <c r="U187" s="12" t="n"/>
      <c r="V187" s="12" t="n"/>
      <c r="W187" s="12" t="n"/>
      <c r="X187" s="12" t="n"/>
      <c r="Y187" s="12" t="n"/>
      <c r="Z187" s="12" t="n"/>
      <c r="AA187" s="12" t="n"/>
      <c r="AB187" s="12" t="n"/>
      <c r="AC187" s="12" t="n"/>
      <c r="AD187" s="12" t="n"/>
      <c r="AE187" s="12" t="n"/>
      <c r="AF187" s="12" t="n"/>
      <c r="AG187" s="12" t="n"/>
      <c r="AH187" s="12" t="n"/>
      <c r="AI187" s="12" t="n"/>
      <c r="AJ187" s="12" t="n"/>
      <c r="AK187" s="12" t="n"/>
      <c r="AL187" s="12" t="n"/>
      <c r="AM187" s="12" t="n"/>
      <c r="AN187" s="12" t="n"/>
      <c r="AO187" s="12" t="n"/>
      <c r="AP187" s="12" t="n"/>
      <c r="AQ187" s="12" t="n"/>
      <c r="AR187" s="12" t="n"/>
      <c r="AS187" s="12" t="n"/>
      <c r="AT187" s="12" t="n"/>
      <c r="AU187" s="12" t="n"/>
      <c r="AV187" s="12" t="n"/>
      <c r="AW187" s="12" t="n"/>
      <c r="AX187" s="12" t="n"/>
      <c r="AY187" s="12" t="n"/>
      <c r="AZ187" s="12" t="n"/>
      <c r="BA187" s="12" t="n"/>
      <c r="BB187" s="12" t="n"/>
      <c r="BC187" s="12" t="n"/>
      <c r="BD187" s="12" t="n"/>
      <c r="BE187" s="12" t="n"/>
      <c r="BF187" s="12" t="n"/>
      <c r="BG187" s="12" t="n"/>
      <c r="BH187" s="12" t="n"/>
      <c r="BI187" s="12" t="n"/>
      <c r="BJ187" s="12" t="n"/>
      <c r="BK187" s="12" t="n"/>
      <c r="BL187" s="12" t="n"/>
      <c r="BM187" s="12" t="n"/>
      <c r="BN187" s="12" t="n"/>
      <c r="BO187" s="12" t="n"/>
      <c r="BP187" s="12" t="n"/>
      <c r="BQ187" s="12" t="n"/>
      <c r="BR187" s="12" t="n"/>
      <c r="BS187" s="12" t="n"/>
      <c r="BT187" s="12" t="n"/>
      <c r="BU187" s="12" t="n"/>
      <c r="BV187" s="12" t="n"/>
      <c r="BW187" s="12" t="n"/>
      <c r="BX187" s="12" t="n"/>
      <c r="BY187" s="12" t="n"/>
      <c r="BZ187" s="12" t="n"/>
      <c r="CA187" s="12" t="n"/>
      <c r="CB187" s="12" t="n"/>
      <c r="CC187" s="12" t="n"/>
      <c r="CD187" s="12" t="n"/>
      <c r="CE187" s="12" t="n"/>
      <c r="CF187" s="12" t="n"/>
      <c r="CG187" s="12" t="n"/>
      <c r="CH187" s="12" t="n"/>
      <c r="CI187" s="12" t="n"/>
      <c r="CJ187" s="12" t="n"/>
      <c r="CK187" s="12" t="n"/>
      <c r="CL187" s="12" t="n"/>
      <c r="CM187" s="12" t="n"/>
      <c r="CN187" s="12" t="n"/>
      <c r="CO187" s="12" t="n"/>
      <c r="CP187" s="12" t="n"/>
      <c r="CQ187" s="12" t="n"/>
      <c r="CR187" s="12" t="n"/>
      <c r="CS187" s="12" t="n"/>
      <c r="CT187" s="12" t="n"/>
      <c r="CU187" s="12" t="n"/>
      <c r="CV187" s="12" t="n"/>
      <c r="CW187" s="12" t="n"/>
      <c r="CX187" s="12" t="n"/>
      <c r="CY187" s="12" t="n"/>
    </row>
    <row r="188" hidden="1" outlineLevel="1">
      <c r="C188" s="57" t="n"/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  <c r="P188" s="12" t="n"/>
      <c r="Q188" s="12" t="n"/>
      <c r="R188" s="12" t="n"/>
      <c r="S188" s="12" t="n"/>
      <c r="T188" s="12" t="n"/>
      <c r="U188" s="12" t="n"/>
      <c r="V188" s="12" t="n"/>
      <c r="W188" s="12" t="n"/>
      <c r="X188" s="12" t="n"/>
      <c r="Y188" s="12" t="n"/>
      <c r="Z188" s="12" t="n"/>
      <c r="AA188" s="12" t="n"/>
      <c r="AB188" s="12" t="n"/>
      <c r="AC188" s="12" t="n"/>
      <c r="AD188" s="12" t="n"/>
      <c r="AE188" s="12" t="n"/>
      <c r="AF188" s="12" t="n"/>
      <c r="AG188" s="12" t="n"/>
      <c r="AH188" s="12" t="n"/>
      <c r="AI188" s="12" t="n"/>
      <c r="AJ188" s="12" t="n"/>
      <c r="AK188" s="12" t="n"/>
      <c r="AL188" s="12" t="n"/>
      <c r="AM188" s="12" t="n"/>
      <c r="AN188" s="12" t="n"/>
      <c r="AO188" s="12" t="n"/>
      <c r="AP188" s="12" t="n"/>
      <c r="AQ188" s="12" t="n"/>
      <c r="AR188" s="12" t="n"/>
      <c r="AS188" s="12" t="n"/>
      <c r="AT188" s="12" t="n"/>
      <c r="AU188" s="12" t="n"/>
      <c r="AV188" s="12" t="n"/>
      <c r="AW188" s="12" t="n"/>
      <c r="AX188" s="12" t="n"/>
      <c r="AY188" s="12" t="n"/>
      <c r="AZ188" s="12" t="n"/>
      <c r="BA188" s="12" t="n"/>
      <c r="BB188" s="12" t="n"/>
      <c r="BC188" s="12" t="n"/>
      <c r="BD188" s="12" t="n"/>
      <c r="BE188" s="12" t="n"/>
      <c r="BF188" s="12" t="n"/>
      <c r="BG188" s="12" t="n"/>
      <c r="BH188" s="12" t="n"/>
      <c r="BI188" s="12" t="n"/>
      <c r="BJ188" s="12" t="n"/>
      <c r="BK188" s="12" t="n"/>
      <c r="BL188" s="12" t="n"/>
      <c r="BM188" s="12" t="n"/>
      <c r="BN188" s="12" t="n"/>
      <c r="BO188" s="12" t="n"/>
      <c r="BP188" s="12" t="n"/>
      <c r="BQ188" s="12" t="n"/>
      <c r="BR188" s="12" t="n"/>
      <c r="BS188" s="12" t="n"/>
      <c r="BT188" s="12" t="n"/>
      <c r="BU188" s="12" t="n"/>
      <c r="BV188" s="12" t="n"/>
      <c r="BW188" s="12" t="n"/>
      <c r="BX188" s="12" t="n"/>
      <c r="BY188" s="12" t="n"/>
      <c r="BZ188" s="12" t="n"/>
      <c r="CA188" s="12" t="n"/>
      <c r="CB188" s="12" t="n"/>
      <c r="CC188" s="12" t="n"/>
      <c r="CD188" s="12" t="n"/>
      <c r="CE188" s="12" t="n"/>
      <c r="CF188" s="12" t="n"/>
      <c r="CG188" s="12" t="n"/>
      <c r="CH188" s="12" t="n"/>
      <c r="CI188" s="12" t="n"/>
      <c r="CJ188" s="12" t="n"/>
      <c r="CK188" s="12" t="n"/>
      <c r="CL188" s="12" t="n"/>
      <c r="CM188" s="12" t="n"/>
      <c r="CN188" s="12" t="n"/>
      <c r="CO188" s="12" t="n"/>
      <c r="CP188" s="12" t="n"/>
      <c r="CQ188" s="12" t="n"/>
      <c r="CR188" s="12" t="n"/>
      <c r="CS188" s="12" t="n"/>
      <c r="CT188" s="12" t="n"/>
      <c r="CU188" s="12" t="n"/>
      <c r="CV188" s="12" t="n"/>
      <c r="CW188" s="12" t="n"/>
      <c r="CX188" s="12" t="n"/>
      <c r="CY188" s="12" t="n"/>
    </row>
    <row r="189" collapsed="1" customFormat="1" s="32">
      <c r="A189" s="30" t="n"/>
      <c r="B189" s="3" t="n"/>
      <c r="C189" s="33" t="inlineStr">
        <is>
          <t>Total Assets</t>
        </is>
      </c>
      <c r="D189" s="35" t="n"/>
      <c r="E189" s="35" t="n"/>
      <c r="F189" s="35" t="n"/>
      <c r="G189" s="35" t="n"/>
      <c r="H189" s="35" t="n"/>
      <c r="I189" s="35">
        <f>SUM(I136,I137,I141,I145,I146,I147,I153,I158,I168,I171,I172,I181)</f>
        <v>43643</v>
      </c>
      <c r="J189" s="35">
        <f>SUM(J136,J137,J141,J145,J146,J147,J153,J158,J168,J171,J172,J181)</f>
        <v>45436</v>
      </c>
      <c r="K189" s="35">
        <f>SUM(K136,K137,K141,K145,K146,K147,K153,K158,K168,K171,K172,K181)</f>
        <v>46917</v>
      </c>
      <c r="L189" s="35">
        <f>SUM(L136,L137,L141,L145,L146,L147,L153,L158,L168,L171,L172,L181)</f>
        <v>48022</v>
      </c>
      <c r="M189" s="35">
        <f>SUM(M136,M137,M141,M145,M146,M147,M153,M158,M168,M171,M172,M181)</f>
        <v>48022</v>
      </c>
      <c r="N189" s="35">
        <f>SUM(N136,N137,N141,N145,N146,N147,N153,N158,N168,N171,N172,N181)</f>
        <v>48832</v>
      </c>
      <c r="O189" s="35">
        <f>SUM(O136,O137,O141,O145,O146,O147,O153,O158,O168,O171,O172,O181)</f>
        <v>50113</v>
      </c>
      <c r="P189" s="35">
        <f>SUM(P136,P137,P141,P145,P146,P147,P153,P158,P168,P171,P172,P181)</f>
        <v>49927</v>
      </c>
      <c r="Q189" s="35">
        <f>SUM(Q136,Q137,Q141,Q145,Q146,Q147,Q153,Q158,Q168,Q171,Q172,Q181)</f>
        <v>51093</v>
      </c>
      <c r="R189" s="35">
        <f>SUM(R136,R137,R141,R145,R146,R147,R153,R158,R168,R171,R172,R181)</f>
        <v>51093</v>
      </c>
      <c r="S189" s="35">
        <f>SUM(S136,S137,S141,S145,S146,S147,S153,S158,S168,S171,S172,S181)</f>
        <v>50909</v>
      </c>
      <c r="T189" s="35">
        <f>SUM(T136,T137,T141,T145,T146,T147,T153,T158,T168,T171,T172,T181)</f>
        <v>50907</v>
      </c>
      <c r="U189" s="35">
        <f>SUM(U136,U137,U141,U145,U146,U147,U153,U158,U168,U171,U172,U181)</f>
        <v>51648</v>
      </c>
      <c r="V189" s="35">
        <f>SUM(V136,V137,V141,V145,V146,V147,V153,V158,V168,V171,V172,V181)</f>
        <v>52506</v>
      </c>
      <c r="W189" s="35">
        <f>SUM(W136,W137,W141,W145,W146,W147,W153,W158,W168,W171,W172,W181)</f>
        <v>52506</v>
      </c>
      <c r="X189" s="35">
        <f>SUM(X136,X137,X141,X145,X146,X147,X153,X158,X168,X171,X172,X181)</f>
        <v>54198</v>
      </c>
      <c r="Y189" s="35">
        <f>SUM(Y136,Y137,Y141,Y145,Y146,Y147,Y153,Y158,Y168,Y171,Y172,Y181)</f>
        <v>54635</v>
      </c>
      <c r="Z189" s="35">
        <f>SUM(Z136,Z137,Z141,Z145,Z146,Z147,Z153,Z158,Z168,Z171,Z172,Z181)</f>
        <v>55400</v>
      </c>
      <c r="AA189" s="35">
        <f>SUM(AA136,AA137,AA141,AA145,AA146,AA147,AA153,AA158,AA168,AA171,AA172,AA181)</f>
        <v>54848</v>
      </c>
      <c r="AB189" s="35">
        <f>SUM(AB136,AB137,AB141,AB145,AB146,AB147,AB153,AB158,AB168,AB171,AB172,AB181)</f>
        <v>54848</v>
      </c>
      <c r="AC189" s="35">
        <f>SUM(AC136,AC137,AC141,AC145,AC146,AC147,AC153,AC158,AC168,AC171,AC172,AC181)</f>
        <v>56022</v>
      </c>
      <c r="AD189" s="35">
        <f>SUM(AD136,AD137,AD141,AD145,AD146,AD147,AD153,AD158,AD168,AD171,AD172,AD181)</f>
        <v>56492</v>
      </c>
      <c r="AE189" s="35">
        <f>SUM(AE136,AE137,AE141,AE145,AE146,AE147,AE153,AE158,AE168,AE171,AE172,AE181)</f>
        <v>56828</v>
      </c>
      <c r="AF189" s="35">
        <f>SUM(AF136,AF137,AF141,AF145,AF146,AF147,AF153,AF158,AF168,AF171,AF172,AF181)</f>
        <v>58167</v>
      </c>
      <c r="AG189" s="35">
        <f>SUM(AG136,AG137,AG141,AG145,AG146,AG147,AG153,AG158,AG168,AG171,AG172,AG181)</f>
        <v>58167</v>
      </c>
      <c r="AH189" s="35">
        <f>SUM(AH136,AH137,AH141,AH145,AH146,AH147,AH153,AH158,AH168,AH171,AH172,AH181)</f>
        <v>58840</v>
      </c>
      <c r="AI189" s="35">
        <f>SUM(AI136,AI137,AI141,AI145,AI146,AI147,AI153,AI158,AI168,AI171,AI172,AI181)</f>
        <v>59727</v>
      </c>
      <c r="AJ189" s="35">
        <f>SUM(AJ136,AJ137,AJ141,AJ145,AJ146,AJ147,AJ153,AJ158,AJ168,AJ171,AJ172,AJ181)</f>
        <v>61018.0479899745</v>
      </c>
      <c r="AK189" s="35">
        <f>SUM(AK136,AK137,AK141,AK145,AK146,AK147,AK153,AK158,AK168,AK171,AK172,AK181)</f>
        <v>61130.1807950622</v>
      </c>
      <c r="AL189" s="35">
        <f>SUM(AL136,AL137,AL141,AL145,AL146,AL147,AL153,AL158,AL168,AL171,AL172,AL181)</f>
        <v>61130.1807950622</v>
      </c>
      <c r="AM189" s="35">
        <f>SUM(AM136,AM137,AM141,AM145,AM146,AM147,AM153,AM158,AM168,AM171,AM172,AM181)</f>
        <v>62730.2239942074</v>
      </c>
      <c r="AN189" s="35">
        <f>SUM(AN136,AN137,AN141,AN145,AN146,AN147,AN153,AN158,AN168,AN171,AN172,AN181)</f>
        <v>64466.9788762237</v>
      </c>
      <c r="AO189" s="35">
        <f>SUM(AO136,AO137,AO141,AO145,AO146,AO147,AO153,AO158,AO168,AO171,AO172,AO181)</f>
        <v>65692.8940693472</v>
      </c>
      <c r="AP189" s="35">
        <f>SUM(AP136,AP137,AP141,AP145,AP146,AP147,AP153,AP158,AP168,AP171,AP172,AP181)</f>
        <v>65806.747935674</v>
      </c>
      <c r="AQ189" s="35">
        <f>SUM(AQ136,AQ137,AQ141,AQ145,AQ146,AQ147,AQ153,AQ158,AQ168,AQ171,AQ172,AQ181)</f>
        <v>65806.747935674</v>
      </c>
      <c r="AR189" s="35">
        <f>SUM(AR136,AR137,AR141,AR145,AR146,AR147,AR153,AR158,AR168,AR171,AR172,AR181)</f>
        <v>67351.4547067003</v>
      </c>
      <c r="AS189" s="35">
        <f>SUM(AS136,AS137,AS141,AS145,AS146,AS147,AS153,AS158,AS168,AS171,AS172,AS181)</f>
        <v>69146.4678424822</v>
      </c>
      <c r="AT189" s="35">
        <f>SUM(AT136,AT137,AT141,AT145,AT146,AT147,AT153,AT158,AT168,AT171,AT172,AT181)</f>
        <v>70379.5976717444</v>
      </c>
      <c r="AU189" s="35">
        <f>SUM(AU136,AU137,AU141,AU145,AU146,AU147,AU153,AU158,AU168,AU171,AU172,AU181)</f>
        <v>70491.7499435675</v>
      </c>
      <c r="AV189" s="35">
        <f>SUM(AV136,AV137,AV141,AV145,AV146,AV147,AV153,AV158,AV168,AV171,AV172,AV181)</f>
        <v>70491.7499435675</v>
      </c>
      <c r="AW189" s="35">
        <f>SUM(AW136,AW137,AW141,AW145,AW146,AW147,AW153,AW158,AW168,AW171,AW172,AW181)</f>
        <v>72066.425251375</v>
      </c>
      <c r="AX189" s="35">
        <f>SUM(AX136,AX137,AX141,AX145,AX146,AX147,AX153,AX158,AX168,AX171,AX172,AX181)</f>
        <v>73816.9679508495</v>
      </c>
      <c r="AY189" s="35">
        <f>SUM(AY136,AY137,AY141,AY145,AY146,AY147,AY153,AY158,AY168,AY171,AY172,AY181)</f>
        <v>75050.9874487002</v>
      </c>
      <c r="AZ189" s="35">
        <f>SUM(AZ136,AZ137,AZ141,AZ145,AZ146,AZ147,AZ153,AZ158,AZ168,AZ171,AZ172,AZ181)</f>
        <v>75160.6718266258</v>
      </c>
      <c r="BA189" s="35">
        <f>SUM(BA136,BA137,BA141,BA145,BA146,BA147,BA153,BA158,BA168,BA171,BA172,BA181)</f>
        <v>75160.6718266258</v>
      </c>
      <c r="BB189" s="35">
        <f>SUM(BB136,BB137,BB141,BB145,BB146,BB147,BB153,BB158,BB168,BB171,BB172,BB181)</f>
        <v>76722.3156842034</v>
      </c>
      <c r="BC189" s="35">
        <f>SUM(BC136,BC137,BC141,BC145,BC146,BC147,BC153,BC158,BC168,BC171,BC172,BC181)</f>
        <v>78471.1686279184</v>
      </c>
      <c r="BD189" s="35">
        <f>SUM(BD136,BD137,BD141,BD145,BD146,BD147,BD153,BD158,BD168,BD171,BD172,BD181)</f>
        <v>79703.4933548835</v>
      </c>
      <c r="BE189" s="35">
        <f>SUM(BE136,BE137,BE141,BE145,BE146,BE147,BE153,BE158,BE168,BE171,BE172,BE181)</f>
        <v>79811.4779319126</v>
      </c>
      <c r="BF189" s="35">
        <f>SUM(BF136,BF137,BF141,BF145,BF146,BF147,BF153,BF158,BF168,BF171,BF172,BF181)</f>
        <v>79811.4779319126</v>
      </c>
      <c r="BG189" s="35" t="n"/>
      <c r="BH189" s="35" t="n"/>
      <c r="BI189" s="35" t="n"/>
      <c r="BJ189" s="35" t="n"/>
      <c r="BK189" s="35" t="n"/>
      <c r="BL189" s="35" t="n"/>
      <c r="BM189" s="35" t="n"/>
      <c r="BN189" s="35" t="n"/>
      <c r="BO189" s="35" t="n"/>
      <c r="BP189" s="35" t="n"/>
      <c r="BQ189" s="35" t="n"/>
      <c r="BR189" s="35" t="n"/>
      <c r="BS189" s="35" t="n"/>
      <c r="BT189" s="35" t="n"/>
      <c r="BU189" s="35" t="n"/>
      <c r="BV189" s="35" t="n"/>
      <c r="BW189" s="35" t="n"/>
      <c r="BX189" s="35" t="n"/>
      <c r="BY189" s="35" t="n"/>
      <c r="BZ189" s="35" t="n"/>
      <c r="CA189" s="35" t="n"/>
      <c r="CB189" s="35" t="n"/>
      <c r="CC189" s="35" t="n"/>
      <c r="CD189" s="35" t="n"/>
      <c r="CE189" s="35" t="n"/>
      <c r="CF189" s="35" t="n"/>
      <c r="CG189" s="35" t="n"/>
      <c r="CH189" s="35" t="n"/>
      <c r="CI189" s="35" t="n"/>
      <c r="CJ189" s="35" t="n"/>
      <c r="CK189" s="35" t="n"/>
      <c r="CL189" s="35" t="n"/>
      <c r="CM189" s="35" t="n"/>
      <c r="CN189" s="35" t="n"/>
      <c r="CO189" s="35" t="n"/>
      <c r="CP189" s="35" t="n"/>
      <c r="CQ189" s="35" t="n"/>
      <c r="CR189" s="35" t="n"/>
      <c r="CS189" s="35" t="n"/>
      <c r="CT189" s="35" t="n"/>
      <c r="CU189" s="35" t="n"/>
      <c r="CV189" s="35" t="n"/>
      <c r="CW189" s="35" t="n"/>
      <c r="CX189" s="35" t="n"/>
      <c r="CY189" s="35" t="n"/>
    </row>
    <row r="190">
      <c r="C190" s="14" t="inlineStr">
        <is>
          <t>Accounts payable</t>
        </is>
      </c>
      <c r="D190" s="46" t="n"/>
      <c r="E190" s="46" t="n"/>
      <c r="F190" s="46" t="n"/>
      <c r="G190" s="46" t="n"/>
      <c r="H190" s="12" t="n"/>
      <c r="I190" s="46">
        <f>'Inputs (2)'!D28</f>
        <v>2866</v>
      </c>
      <c r="J190" s="46">
        <f>'Inputs (2)'!E28</f>
        <v>3106</v>
      </c>
      <c r="K190" s="46">
        <f>'Inputs (2)'!F28</f>
        <v>2949</v>
      </c>
      <c r="L190" s="46">
        <f>'Inputs (2)'!G28</f>
        <v>3495</v>
      </c>
      <c r="M190" s="12">
        <f>'Inputs (2)'!H28</f>
        <v>3495</v>
      </c>
      <c r="N190" s="46">
        <f>'Inputs (2)'!I28</f>
        <v>3163</v>
      </c>
      <c r="O190" s="46">
        <f>'Inputs (2)'!J28</f>
        <v>3853</v>
      </c>
      <c r="P190" s="46">
        <f>'Inputs (2)'!K28</f>
        <v>3947</v>
      </c>
      <c r="Q190" s="46">
        <f>'Inputs (2)'!L28</f>
        <v>4027</v>
      </c>
      <c r="R190" s="12">
        <f>'Inputs (2)'!M28</f>
        <v>4027</v>
      </c>
      <c r="S190" s="46">
        <f>'Inputs (2)'!N28</f>
        <v>3836</v>
      </c>
      <c r="T190" s="46">
        <f>'Inputs (2)'!O28</f>
        <v>3642</v>
      </c>
      <c r="U190" s="46">
        <f>'Inputs (2)'!P28</f>
        <v>3724</v>
      </c>
      <c r="V190" s="46">
        <f>'Inputs (2)'!Q28</f>
        <v>3729</v>
      </c>
      <c r="W190" s="12">
        <f>'Inputs (2)'!R28</f>
        <v>3729</v>
      </c>
      <c r="X190" s="46">
        <f>'Inputs (2)'!S28</f>
        <v>3672</v>
      </c>
      <c r="Y190" s="46">
        <f>'Inputs (2)'!T28</f>
        <v>3910</v>
      </c>
      <c r="Z190" s="46">
        <f>'Inputs (2)'!U28</f>
        <v>3824</v>
      </c>
      <c r="AA190" s="46">
        <f>'Inputs (2)'!V28</f>
        <v>4057</v>
      </c>
      <c r="AB190" s="12">
        <f>'Inputs (2)'!W28</f>
        <v>4057</v>
      </c>
      <c r="AC190" s="46">
        <f>'Inputs (2)'!X28</f>
        <v>4078</v>
      </c>
      <c r="AD190" s="46">
        <f>'Inputs (2)'!Y28</f>
        <v>4288</v>
      </c>
      <c r="AE190" s="46">
        <f>'Inputs (2)'!Z28</f>
        <v>4098</v>
      </c>
      <c r="AF190" s="46">
        <f>'Inputs (2)'!AA28</f>
        <v>4565</v>
      </c>
      <c r="AG190" s="12">
        <f>'Inputs (2)'!AB28</f>
        <v>4565</v>
      </c>
      <c r="AH190" s="12">
        <f>'Inputs (2)'!AC28</f>
        <v>4142</v>
      </c>
      <c r="AI190" s="12">
        <f>'Inputs (2)'!AD28</f>
        <v>4582</v>
      </c>
      <c r="AJ190" s="12">
        <f>(AJ191/(AJ$5-AI$5))*-AJ$46</f>
        <v>4634.32652349167</v>
      </c>
      <c r="AK190" s="12">
        <f>(AK191/(AK$5-AJ$5))*-AK$46</f>
        <v>3744.28590172527</v>
      </c>
      <c r="AL190" s="12">
        <f>AK190</f>
        <v>3744.28590172527</v>
      </c>
      <c r="AM190" s="12">
        <f>(AM191/(AM$5-AL$5))*-AM$46</f>
        <v>4235.85775222339</v>
      </c>
      <c r="AN190" s="12">
        <f>(AN191/(AN$5-AM$5))*-AN$46</f>
        <v>4723.55775424037</v>
      </c>
      <c r="AO190" s="12">
        <f>(AO191/(AO$5-AN$5))*-AO$46</f>
        <v>4694.42428098512</v>
      </c>
      <c r="AP190" s="12">
        <f>(AP191/(AP$5-AO$5))*-AP$46</f>
        <v>3792.84164870757</v>
      </c>
      <c r="AQ190" s="12">
        <f>AP190</f>
        <v>3792.84164870757</v>
      </c>
      <c r="AR190" s="12">
        <f>(AR191/(AR$5-AQ$5))*-AR$46</f>
        <v>4222.69011511195</v>
      </c>
      <c r="AS190" s="12">
        <f>(AS191/(AS$5-AR$5))*-AS$46</f>
        <v>4761.19486992651</v>
      </c>
      <c r="AT190" s="12">
        <f>(AT191/(AT$5-AS$5))*-AT$46</f>
        <v>4731.82926234364</v>
      </c>
      <c r="AU190" s="12">
        <f>(AU191/(AU$5-AT$5))*-AU$46</f>
        <v>3823.06285639439</v>
      </c>
      <c r="AV190" s="12">
        <f>AU190</f>
        <v>3823.06285639439</v>
      </c>
      <c r="AW190" s="12">
        <f>(AW191/(AW$5-AV$5))*-AW$46</f>
        <v>4282.28091936682</v>
      </c>
      <c r="AX190" s="12">
        <f>(AX191/(AX$5-AW$5))*-AX$46</f>
        <v>4775.32590226698</v>
      </c>
      <c r="AY190" s="12">
        <f>(AY191/(AY$5-AX$5))*-AY$46</f>
        <v>4745.87313875754</v>
      </c>
      <c r="AZ190" s="12">
        <f>(AZ191/(AZ$5-AY$5))*-AZ$46</f>
        <v>3834.40955115049</v>
      </c>
      <c r="BA190" s="12">
        <f>AZ190</f>
        <v>3834.40955115049</v>
      </c>
      <c r="BB190" s="12">
        <f>(BB191/(BB$5-BA$5))*-BB$46</f>
        <v>4282.28091936682</v>
      </c>
      <c r="BC190" s="12">
        <f>(BC191/(BC$5-BB$5))*-BC$46</f>
        <v>4775.32590226698</v>
      </c>
      <c r="BD190" s="12">
        <f>(BD191/(BD$5-BC$5))*-BD$46</f>
        <v>4745.87313875754</v>
      </c>
      <c r="BE190" s="12">
        <f>(BE191/(BE$5-BD$5))*-BE$46</f>
        <v>3834.40955115049</v>
      </c>
      <c r="BF190" s="12">
        <f>BE190</f>
        <v>3834.40955115049</v>
      </c>
      <c r="BG190" s="12" t="n"/>
      <c r="BH190" s="12" t="n"/>
      <c r="BI190" s="12" t="n"/>
      <c r="BJ190" s="12" t="n"/>
      <c r="BK190" s="12" t="n"/>
      <c r="BL190" s="12" t="n"/>
      <c r="BM190" s="12" t="n"/>
      <c r="BN190" s="12" t="n"/>
      <c r="BO190" s="12" t="n"/>
      <c r="BP190" s="12" t="n"/>
      <c r="BQ190" s="12" t="n"/>
      <c r="BR190" s="12" t="n"/>
      <c r="BS190" s="12" t="n"/>
      <c r="BT190" s="12" t="n"/>
      <c r="BU190" s="12" t="n"/>
      <c r="BV190" s="12" t="n"/>
      <c r="BW190" s="12" t="n"/>
      <c r="BX190" s="12" t="n"/>
      <c r="BY190" s="12" t="n"/>
      <c r="BZ190" s="12" t="n"/>
      <c r="CA190" s="12" t="n"/>
      <c r="CB190" s="12" t="n"/>
      <c r="CC190" s="12" t="n"/>
      <c r="CD190" s="12" t="n"/>
      <c r="CE190" s="12" t="n"/>
      <c r="CF190" s="12" t="n"/>
      <c r="CG190" s="12" t="n"/>
      <c r="CH190" s="12" t="n"/>
      <c r="CI190" s="12" t="n"/>
      <c r="CJ190" s="12" t="n"/>
      <c r="CK190" s="12" t="n"/>
      <c r="CL190" s="12" t="n"/>
      <c r="CM190" s="12" t="n"/>
      <c r="CN190" s="12" t="n"/>
      <c r="CO190" s="12" t="n"/>
      <c r="CP190" s="12" t="n"/>
      <c r="CQ190" s="12" t="n"/>
      <c r="CR190" s="12" t="n"/>
      <c r="CS190" s="12" t="n"/>
      <c r="CT190" s="12" t="n"/>
      <c r="CU190" s="12" t="n"/>
      <c r="CV190" s="12" t="n"/>
      <c r="CW190" s="12" t="n"/>
      <c r="CX190" s="12" t="n"/>
      <c r="CY190" s="12" t="n"/>
    </row>
    <row r="191" hidden="1" outlineLevel="1">
      <c r="C191" s="57" t="inlineStr">
        <is>
          <t>DPO</t>
        </is>
      </c>
      <c r="D191" s="12" t="n"/>
      <c r="E191" s="12" t="n"/>
      <c r="F191" s="12" t="n"/>
      <c r="G191" s="12" t="n"/>
      <c r="H191" s="12" t="n"/>
      <c r="I191" s="12">
        <f>IFERROR(-(I190/I$46)*(I$5-H$5),"")</f>
        <v>92.551130247578</v>
      </c>
      <c r="J191" s="12">
        <f>IFERROR(-(J190/J$46)*(J$5-I$5),"")</f>
        <v>92.1571568307793</v>
      </c>
      <c r="K191" s="12">
        <f>IFERROR(-(K190/K$46)*(K$5-J$5),"")</f>
        <v>89.7479325173669</v>
      </c>
      <c r="L191" s="12">
        <f>IFERROR(-(L190/L$46)*(L$5-K$5),"")</f>
        <v>101.91442155309</v>
      </c>
      <c r="M191" s="12" t="n"/>
      <c r="N191" s="12">
        <f>IFERROR(-(N190/N$46)*(N$5-M$5),"")</f>
        <v>90.3714285714286</v>
      </c>
      <c r="O191" s="12">
        <f>IFERROR(-(O190/O$46)*(O$5-N$5),"")</f>
        <v>116.061900033102</v>
      </c>
      <c r="P191" s="12">
        <f>IFERROR(-(P190/P$46)*(P$5-O$5),"")</f>
        <v>107.084635800649</v>
      </c>
      <c r="Q191" s="12">
        <f>IFERROR(-(Q190/Q$46)*(Q$5-P$5),"")</f>
        <v>105.611174458381</v>
      </c>
      <c r="R191" s="12" t="n"/>
      <c r="S191" s="12">
        <f>IFERROR(-(S190/S$46)*(S$5-R$5),"")</f>
        <v>109.080568720379</v>
      </c>
      <c r="T191" s="12">
        <f>IFERROR(-(T190/T$46)*(T$5-S$5),"")</f>
        <v>93.3846153846154</v>
      </c>
      <c r="U191" s="12">
        <f>IFERROR(-(U190/U$46)*(U$5-T$5),"")</f>
        <v>96.427807486631</v>
      </c>
      <c r="V191" s="12">
        <f>IFERROR(-(V190/V$46)*(V$5-U$5),"")</f>
        <v>102.103571428571</v>
      </c>
      <c r="W191" s="12" t="n"/>
      <c r="X191" s="12">
        <f>IFERROR(-(X190/X$46)*(X$5-W$5),"")</f>
        <v>86.9281997918835</v>
      </c>
      <c r="Y191" s="12">
        <f>IFERROR(-(Y190/Y$46)*(Y$5-X$5),"")</f>
        <v>91.821935483871</v>
      </c>
      <c r="Z191" s="12">
        <f>IFERROR(-(Z190/Z$46)*(Z$5-Y$5),"")</f>
        <v>86.2909001716949</v>
      </c>
      <c r="AA191" s="12">
        <f>IFERROR(-(AA190/AA$46)*(AA$5-Z$5),"")</f>
        <v>99.3198509845663</v>
      </c>
      <c r="AB191" s="12" t="n"/>
      <c r="AC191" s="12">
        <f>IFERROR(-(AC190/AC$46)*(AC$5-AB$5),"")</f>
        <v>97.7156549520767</v>
      </c>
      <c r="AD191" s="12">
        <f>IFERROR(-(AD190/AD$46)*(AD$5-AC$5),"")</f>
        <v>91.1275105091079</v>
      </c>
      <c r="AE191" s="12">
        <f>IFERROR(-(AE190/AE$46)*(AE$5-AD$5),"")</f>
        <v>89.6589774078478</v>
      </c>
      <c r="AF191" s="11">
        <f>IFERROR(-(AF190/AF$46)*(AF$5-AE$5),"")</f>
        <v>101.665456305979</v>
      </c>
      <c r="AG191" s="12" t="n"/>
      <c r="AH191" s="11">
        <f>IFERROR(-(AH190/AH$46)*(AH$5-AG$5),"")</f>
        <v>91.7047970479705</v>
      </c>
      <c r="AI191" s="11">
        <f>IFERROR(-(AI190/AI$46)*(AI$5-AH$5),"")</f>
        <v>96.5189814814815</v>
      </c>
      <c r="AJ191" s="11">
        <f>Control!$B$27</f>
        <v>94.7318962840773</v>
      </c>
      <c r="AK191" s="11">
        <f>Control!$B$27</f>
        <v>94.7318962840773</v>
      </c>
      <c r="AL191" s="12" t="n"/>
      <c r="AM191" s="11">
        <f>Control!$C$27</f>
        <v>94.7318962840773</v>
      </c>
      <c r="AN191" s="11">
        <f>Control!$C$27</f>
        <v>94.7318962840773</v>
      </c>
      <c r="AO191" s="11">
        <f>Control!$C$27</f>
        <v>94.7318962840773</v>
      </c>
      <c r="AP191" s="11">
        <f>Control!$C$27</f>
        <v>94.7318962840773</v>
      </c>
      <c r="AQ191" s="12" t="n"/>
      <c r="AR191" s="11">
        <f>Control!$D$27</f>
        <v>94.7318962840773</v>
      </c>
      <c r="AS191" s="11">
        <f>Control!$D$27</f>
        <v>94.7318962840773</v>
      </c>
      <c r="AT191" s="11">
        <f>Control!$D$27</f>
        <v>94.7318962840773</v>
      </c>
      <c r="AU191" s="11">
        <f>Control!$D$27</f>
        <v>94.7318962840773</v>
      </c>
      <c r="AV191" s="12" t="n"/>
      <c r="AW191" s="11">
        <f>Control!$E$27</f>
        <v>94.7318962840773</v>
      </c>
      <c r="AX191" s="11">
        <f>Control!$E$27</f>
        <v>94.7318962840773</v>
      </c>
      <c r="AY191" s="11">
        <f>Control!$E$27</f>
        <v>94.7318962840773</v>
      </c>
      <c r="AZ191" s="11">
        <f>Control!$E$27</f>
        <v>94.7318962840773</v>
      </c>
      <c r="BA191" s="12" t="n"/>
      <c r="BB191" s="11">
        <f>Control!$F$27</f>
        <v>94.7318962840773</v>
      </c>
      <c r="BC191" s="11">
        <f>Control!$F$27</f>
        <v>94.7318962840773</v>
      </c>
      <c r="BD191" s="11">
        <f>Control!$F$27</f>
        <v>94.7318962840773</v>
      </c>
      <c r="BE191" s="11">
        <f>Control!$F$27</f>
        <v>94.7318962840773</v>
      </c>
      <c r="BF191" s="12" t="n"/>
      <c r="BG191" s="11" t="n"/>
      <c r="BH191" s="11" t="n"/>
      <c r="BI191" s="11" t="n"/>
      <c r="BJ191" s="11" t="n"/>
      <c r="BK191" s="12" t="n"/>
      <c r="BL191" s="11" t="n"/>
      <c r="BM191" s="11" t="n"/>
      <c r="BN191" s="11" t="n"/>
      <c r="BO191" s="11" t="n"/>
      <c r="BP191" s="12" t="n"/>
      <c r="BQ191" s="11" t="n"/>
      <c r="BR191" s="11" t="n"/>
      <c r="BS191" s="11" t="n"/>
      <c r="BT191" s="11" t="n"/>
      <c r="BU191" s="12" t="n"/>
      <c r="BV191" s="11" t="n"/>
      <c r="BW191" s="11" t="n"/>
      <c r="BX191" s="11" t="n"/>
      <c r="BY191" s="11" t="n"/>
      <c r="BZ191" s="12" t="n"/>
      <c r="CA191" s="11" t="n"/>
      <c r="CB191" s="11" t="n"/>
      <c r="CC191" s="11" t="n"/>
      <c r="CD191" s="11" t="n"/>
      <c r="CE191" s="12" t="n"/>
      <c r="CF191" s="11" t="n"/>
      <c r="CG191" s="11" t="n"/>
      <c r="CH191" s="11" t="n"/>
      <c r="CI191" s="11" t="n"/>
      <c r="CJ191" s="12" t="n"/>
      <c r="CK191" s="11" t="n"/>
      <c r="CL191" s="11" t="n"/>
      <c r="CM191" s="11" t="n"/>
      <c r="CN191" s="11" t="n"/>
      <c r="CO191" s="12" t="n"/>
      <c r="CP191" s="11" t="n"/>
      <c r="CQ191" s="11" t="n"/>
      <c r="CR191" s="11" t="n"/>
      <c r="CS191" s="11" t="n"/>
      <c r="CT191" s="12" t="n"/>
      <c r="CU191" s="11" t="n"/>
      <c r="CV191" s="11" t="n"/>
      <c r="CW191" s="11" t="n"/>
      <c r="CX191" s="11" t="n"/>
      <c r="CY191" s="12" t="n"/>
    </row>
    <row r="192" hidden="1" outlineLevel="1">
      <c r="C192" s="57" t="n"/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  <c r="P192" s="12" t="n"/>
      <c r="Q192" s="12" t="n"/>
      <c r="R192" s="12" t="n"/>
      <c r="S192" s="12" t="n"/>
      <c r="T192" s="12" t="n"/>
      <c r="U192" s="12" t="n"/>
      <c r="V192" s="12" t="n"/>
      <c r="W192" s="12" t="n"/>
      <c r="X192" s="12" t="n"/>
      <c r="Y192" s="12" t="n"/>
      <c r="Z192" s="12" t="n"/>
      <c r="AA192" s="12" t="n"/>
      <c r="AB192" s="12" t="n"/>
      <c r="AC192" s="12" t="n"/>
      <c r="AD192" s="12" t="n"/>
      <c r="AE192" s="12" t="n"/>
      <c r="AF192" s="12" t="n"/>
      <c r="AG192" s="12" t="n"/>
      <c r="AH192" s="12" t="n"/>
      <c r="AI192" s="12" t="n"/>
      <c r="AJ192" s="12" t="n"/>
      <c r="AK192" s="12" t="n"/>
      <c r="AL192" s="12" t="n"/>
      <c r="AM192" s="12" t="n"/>
      <c r="AN192" s="12" t="n"/>
      <c r="AO192" s="12" t="n"/>
      <c r="AP192" s="12" t="n"/>
      <c r="AQ192" s="12" t="n"/>
      <c r="AR192" s="12" t="n"/>
      <c r="AS192" s="12" t="n"/>
      <c r="AT192" s="12" t="n"/>
      <c r="AU192" s="12" t="n"/>
      <c r="AV192" s="12" t="n"/>
      <c r="AW192" s="12" t="n"/>
      <c r="AX192" s="12" t="n"/>
      <c r="AY192" s="12" t="n"/>
      <c r="AZ192" s="12" t="n"/>
      <c r="BA192" s="12" t="n"/>
      <c r="BB192" s="12" t="n"/>
      <c r="BC192" s="12" t="n"/>
      <c r="BD192" s="12" t="n"/>
      <c r="BE192" s="12" t="n"/>
      <c r="BF192" s="12" t="n"/>
      <c r="BG192" s="12" t="n"/>
      <c r="BH192" s="12" t="n"/>
      <c r="BI192" s="12" t="n"/>
      <c r="BJ192" s="12" t="n"/>
      <c r="BK192" s="12" t="n"/>
      <c r="BL192" s="12" t="n"/>
      <c r="BM192" s="12" t="n"/>
      <c r="BN192" s="12" t="n"/>
      <c r="BO192" s="12" t="n"/>
      <c r="BP192" s="12" t="n"/>
      <c r="BQ192" s="12" t="n"/>
      <c r="BR192" s="12" t="n"/>
      <c r="BS192" s="12" t="n"/>
      <c r="BT192" s="12" t="n"/>
      <c r="BU192" s="12" t="n"/>
      <c r="BV192" s="12" t="n"/>
      <c r="BW192" s="12" t="n"/>
      <c r="BX192" s="12" t="n"/>
      <c r="BY192" s="12" t="n"/>
      <c r="BZ192" s="12" t="n"/>
      <c r="CA192" s="12" t="n"/>
      <c r="CB192" s="12" t="n"/>
      <c r="CC192" s="12" t="n"/>
      <c r="CD192" s="12" t="n"/>
      <c r="CE192" s="12" t="n"/>
      <c r="CF192" s="12" t="n"/>
      <c r="CG192" s="12" t="n"/>
      <c r="CH192" s="12" t="n"/>
      <c r="CI192" s="12" t="n"/>
      <c r="CJ192" s="12" t="n"/>
      <c r="CK192" s="12" t="n"/>
      <c r="CL192" s="12" t="n"/>
      <c r="CM192" s="12" t="n"/>
      <c r="CN192" s="12" t="n"/>
      <c r="CO192" s="12" t="n"/>
      <c r="CP192" s="12" t="n"/>
      <c r="CQ192" s="12" t="n"/>
      <c r="CR192" s="12" t="n"/>
      <c r="CS192" s="12" t="n"/>
      <c r="CT192" s="12" t="n"/>
      <c r="CU192" s="12" t="n"/>
      <c r="CV192" s="12" t="n"/>
      <c r="CW192" s="12" t="n"/>
      <c r="CX192" s="12" t="n"/>
      <c r="CY192" s="12" t="n"/>
    </row>
    <row r="193" hidden="1" outlineLevel="1">
      <c r="C193" s="57" t="n"/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2" t="n"/>
      <c r="M193" s="12" t="n"/>
      <c r="N193" s="12" t="n"/>
      <c r="O193" s="12" t="n"/>
      <c r="P193" s="12" t="n"/>
      <c r="Q193" s="12" t="n"/>
      <c r="R193" s="12" t="n"/>
      <c r="S193" s="12" t="n"/>
      <c r="T193" s="12" t="n"/>
      <c r="U193" s="12" t="n"/>
      <c r="V193" s="12" t="n"/>
      <c r="W193" s="12" t="n"/>
      <c r="X193" s="12" t="n"/>
      <c r="Y193" s="12" t="n"/>
      <c r="Z193" s="12" t="n"/>
      <c r="AA193" s="12" t="n"/>
      <c r="AB193" s="12" t="n"/>
      <c r="AC193" s="12" t="n"/>
      <c r="AD193" s="12" t="n"/>
      <c r="AE193" s="12" t="n"/>
      <c r="AF193" s="12" t="n"/>
      <c r="AG193" s="12" t="n"/>
      <c r="AH193" s="12" t="n"/>
      <c r="AI193" s="12" t="n"/>
      <c r="AJ193" s="12" t="n"/>
      <c r="AK193" s="12" t="n"/>
      <c r="AL193" s="12" t="n"/>
      <c r="AM193" s="12" t="n"/>
      <c r="AN193" s="12" t="n"/>
      <c r="AO193" s="12" t="n"/>
      <c r="AP193" s="12" t="n"/>
      <c r="AQ193" s="12" t="n"/>
      <c r="AR193" s="12" t="n"/>
      <c r="AS193" s="12" t="n"/>
      <c r="AT193" s="12" t="n"/>
      <c r="AU193" s="12" t="n"/>
      <c r="AV193" s="12" t="n"/>
      <c r="AW193" s="12" t="n"/>
      <c r="AX193" s="12" t="n"/>
      <c r="AY193" s="12" t="n"/>
      <c r="AZ193" s="12" t="n"/>
      <c r="BA193" s="12" t="n"/>
      <c r="BB193" s="12" t="n"/>
      <c r="BC193" s="12" t="n"/>
      <c r="BD193" s="12" t="n"/>
      <c r="BE193" s="12" t="n"/>
      <c r="BF193" s="12" t="n"/>
      <c r="BG193" s="12" t="n"/>
      <c r="BH193" s="12" t="n"/>
      <c r="BI193" s="12" t="n"/>
      <c r="BJ193" s="12" t="n"/>
      <c r="BK193" s="12" t="n"/>
      <c r="BL193" s="12" t="n"/>
      <c r="BM193" s="12" t="n"/>
      <c r="BN193" s="12" t="n"/>
      <c r="BO193" s="12" t="n"/>
      <c r="BP193" s="12" t="n"/>
      <c r="BQ193" s="12" t="n"/>
      <c r="BR193" s="12" t="n"/>
      <c r="BS193" s="12" t="n"/>
      <c r="BT193" s="12" t="n"/>
      <c r="BU193" s="12" t="n"/>
      <c r="BV193" s="12" t="n"/>
      <c r="BW193" s="12" t="n"/>
      <c r="BX193" s="12" t="n"/>
      <c r="BY193" s="12" t="n"/>
      <c r="BZ193" s="12" t="n"/>
      <c r="CA193" s="12" t="n"/>
      <c r="CB193" s="12" t="n"/>
      <c r="CC193" s="12" t="n"/>
      <c r="CD193" s="12" t="n"/>
      <c r="CE193" s="12" t="n"/>
      <c r="CF193" s="12" t="n"/>
      <c r="CG193" s="12" t="n"/>
      <c r="CH193" s="12" t="n"/>
      <c r="CI193" s="12" t="n"/>
      <c r="CJ193" s="12" t="n"/>
      <c r="CK193" s="12" t="n"/>
      <c r="CL193" s="12" t="n"/>
      <c r="CM193" s="12" t="n"/>
      <c r="CN193" s="12" t="n"/>
      <c r="CO193" s="12" t="n"/>
      <c r="CP193" s="12" t="n"/>
      <c r="CQ193" s="12" t="n"/>
      <c r="CR193" s="12" t="n"/>
      <c r="CS193" s="12" t="n"/>
      <c r="CT193" s="12" t="n"/>
      <c r="CU193" s="12" t="n"/>
      <c r="CV193" s="12" t="n"/>
      <c r="CW193" s="12" t="n"/>
      <c r="CX193" s="12" t="n"/>
      <c r="CY193" s="12" t="n"/>
    </row>
    <row r="194" collapsed="1">
      <c r="C194" s="14" t="inlineStr">
        <is>
          <t>Accrued expenses</t>
        </is>
      </c>
      <c r="D194" s="46" t="n"/>
      <c r="E194" s="46" t="n"/>
      <c r="F194" s="46" t="n"/>
      <c r="G194" s="46" t="n"/>
      <c r="H194" s="12" t="n"/>
      <c r="I194" s="46">
        <f>'Inputs (2)'!D29</f>
        <v>0</v>
      </c>
      <c r="J194" s="46">
        <f>'Inputs (2)'!E29</f>
        <v>0</v>
      </c>
      <c r="K194" s="46">
        <f>'Inputs (2)'!F29</f>
        <v>0</v>
      </c>
      <c r="L194" s="46">
        <f>'Inputs (2)'!G29</f>
        <v>0</v>
      </c>
      <c r="M194" s="12">
        <f>'Inputs (2)'!H29</f>
        <v>0</v>
      </c>
      <c r="N194" s="46">
        <f>'Inputs (2)'!I29</f>
        <v>0</v>
      </c>
      <c r="O194" s="46">
        <f>'Inputs (2)'!J29</f>
        <v>0</v>
      </c>
      <c r="P194" s="46">
        <f>'Inputs (2)'!K29</f>
        <v>0</v>
      </c>
      <c r="Q194" s="46">
        <f>'Inputs (2)'!L29</f>
        <v>0</v>
      </c>
      <c r="R194" s="12">
        <f>'Inputs (2)'!M29</f>
        <v>0</v>
      </c>
      <c r="S194" s="46">
        <f>'Inputs (2)'!N29</f>
        <v>0</v>
      </c>
      <c r="T194" s="46">
        <f>'Inputs (2)'!O29</f>
        <v>0</v>
      </c>
      <c r="U194" s="46">
        <f>'Inputs (2)'!P29</f>
        <v>0</v>
      </c>
      <c r="V194" s="46">
        <f>'Inputs (2)'!Q29</f>
        <v>0</v>
      </c>
      <c r="W194" s="12">
        <f>'Inputs (2)'!R29</f>
        <v>0</v>
      </c>
      <c r="X194" s="46">
        <f>'Inputs (2)'!S29</f>
        <v>0</v>
      </c>
      <c r="Y194" s="46">
        <f>'Inputs (2)'!T29</f>
        <v>0</v>
      </c>
      <c r="Z194" s="46">
        <f>'Inputs (2)'!U29</f>
        <v>0</v>
      </c>
      <c r="AA194" s="46">
        <f>'Inputs (2)'!V29</f>
        <v>0</v>
      </c>
      <c r="AB194" s="12">
        <f>'Inputs (2)'!W29</f>
        <v>0</v>
      </c>
      <c r="AC194" s="46">
        <f>'Inputs (2)'!X29</f>
        <v>0</v>
      </c>
      <c r="AD194" s="46">
        <f>'Inputs (2)'!Y29</f>
        <v>0</v>
      </c>
      <c r="AE194" s="46">
        <f>'Inputs (2)'!Z29</f>
        <v>0</v>
      </c>
      <c r="AF194" s="46">
        <f>'Inputs (2)'!AA29</f>
        <v>0</v>
      </c>
      <c r="AG194" s="12">
        <f>'Inputs (2)'!AB29</f>
        <v>0</v>
      </c>
      <c r="AH194" s="12">
        <f>'Inputs (2)'!AC29</f>
        <v>0</v>
      </c>
      <c r="AI194" s="12">
        <f>'Inputs (2)'!AD29</f>
        <v>0</v>
      </c>
      <c r="AJ194" s="12">
        <f>AI194*(1+AJ16)</f>
        <v>0</v>
      </c>
      <c r="AK194" s="12">
        <f>AJ194*(1+AK16)</f>
        <v>0</v>
      </c>
      <c r="AL194" s="12">
        <f>AK194</f>
        <v>0</v>
      </c>
      <c r="AM194" s="12">
        <f>AL194*(1+AM16)</f>
        <v>0</v>
      </c>
      <c r="AN194" s="12">
        <f>AM194*(1+AN16)</f>
        <v>0</v>
      </c>
      <c r="AO194" s="12">
        <f>AN194*(1+AO16)</f>
        <v>0</v>
      </c>
      <c r="AP194" s="12">
        <f>AO194*(1+AP16)</f>
        <v>0</v>
      </c>
      <c r="AQ194" s="12">
        <f>AP194</f>
        <v>0</v>
      </c>
      <c r="AR194" s="12">
        <f>AQ194*(1+AR16)</f>
        <v>0</v>
      </c>
      <c r="AS194" s="12">
        <f>AR194*(1+AS16)</f>
        <v>0</v>
      </c>
      <c r="AT194" s="12">
        <f>AS194*(1+AT16)</f>
        <v>0</v>
      </c>
      <c r="AU194" s="12">
        <f>AT194*(1+AU16)</f>
        <v>0</v>
      </c>
      <c r="AV194" s="12">
        <f>AU194</f>
        <v>0</v>
      </c>
      <c r="AW194" s="12">
        <f>AV194*(1+AW16)</f>
        <v>0</v>
      </c>
      <c r="AX194" s="12">
        <f>AW194*(1+AX16)</f>
        <v>0</v>
      </c>
      <c r="AY194" s="12">
        <f>AX194*(1+AY16)</f>
        <v>0</v>
      </c>
      <c r="AZ194" s="12">
        <f>AY194*(1+AZ16)</f>
        <v>0</v>
      </c>
      <c r="BA194" s="12">
        <f>AZ194</f>
        <v>0</v>
      </c>
      <c r="BB194" s="12">
        <f>BA194*(1+BB16)</f>
        <v>0</v>
      </c>
      <c r="BC194" s="12">
        <f>BB194*(1+BC16)</f>
        <v>0</v>
      </c>
      <c r="BD194" s="12">
        <f>BC194*(1+BD16)</f>
        <v>0</v>
      </c>
      <c r="BE194" s="12">
        <f>BD194*(1+BE16)</f>
        <v>0</v>
      </c>
      <c r="BF194" s="12">
        <f>BE194</f>
        <v>0</v>
      </c>
      <c r="BG194" s="12" t="n"/>
      <c r="BH194" s="12" t="n"/>
      <c r="BI194" s="12" t="n"/>
      <c r="BJ194" s="12" t="n"/>
      <c r="BK194" s="12" t="n"/>
      <c r="BL194" s="12" t="n"/>
      <c r="BM194" s="12" t="n"/>
      <c r="BN194" s="12" t="n"/>
      <c r="BO194" s="12" t="n"/>
      <c r="BP194" s="12" t="n"/>
      <c r="BQ194" s="12" t="n"/>
      <c r="BR194" s="12" t="n"/>
      <c r="BS194" s="12" t="n"/>
      <c r="BT194" s="12" t="n"/>
      <c r="BU194" s="12" t="n"/>
      <c r="BV194" s="12" t="n"/>
      <c r="BW194" s="12" t="n"/>
      <c r="BX194" s="12" t="n"/>
      <c r="BY194" s="12" t="n"/>
      <c r="BZ194" s="12" t="n"/>
      <c r="CA194" s="12" t="n"/>
      <c r="CB194" s="12" t="n"/>
      <c r="CC194" s="12" t="n"/>
      <c r="CD194" s="12" t="n"/>
      <c r="CE194" s="12" t="n"/>
      <c r="CF194" s="12" t="n"/>
      <c r="CG194" s="12" t="n"/>
      <c r="CH194" s="12" t="n"/>
      <c r="CI194" s="12" t="n"/>
      <c r="CJ194" s="12" t="n"/>
      <c r="CK194" s="12" t="n"/>
      <c r="CL194" s="12" t="n"/>
      <c r="CM194" s="12" t="n"/>
      <c r="CN194" s="12" t="n"/>
      <c r="CO194" s="12" t="n"/>
      <c r="CP194" s="12" t="n"/>
      <c r="CQ194" s="12" t="n"/>
      <c r="CR194" s="12" t="n"/>
      <c r="CS194" s="12" t="n"/>
      <c r="CT194" s="12" t="n"/>
      <c r="CU194" s="12" t="n"/>
      <c r="CV194" s="12" t="n"/>
      <c r="CW194" s="12" t="n"/>
      <c r="CX194" s="12" t="n"/>
      <c r="CY194" s="12" t="n"/>
    </row>
    <row r="195" hidden="1" outlineLevel="1">
      <c r="C195" s="59" t="inlineStr">
        <is>
          <t>%(Var.)</t>
        </is>
      </c>
      <c r="D195" s="12" t="n"/>
      <c r="E195" s="40" t="n"/>
      <c r="F195" s="40" t="n"/>
      <c r="G195" s="40" t="n"/>
      <c r="H195" s="12" t="n"/>
      <c r="I195" s="40" t="str">
        <f>""</f>
        <v/>
      </c>
      <c r="J195" s="40" t="str">
        <f>IFERROR(IF(I194=0,"",J194/I194-1),"")</f>
        <v/>
      </c>
      <c r="K195" s="40" t="str">
        <f>IFERROR(IF(J194=0,"",K194/J194-1),"")</f>
        <v/>
      </c>
      <c r="L195" s="40" t="str">
        <f>IFERROR(IF(K194=0,"",L194/K194-1),"")</f>
        <v/>
      </c>
      <c r="M195" s="12" t="str">
        <f>IF(L194=0,"",M194/L194-1)</f>
        <v/>
      </c>
      <c r="N195" s="40" t="str">
        <f>IFERROR(IF(M194=0,"",N194/M194-1),"")</f>
        <v/>
      </c>
      <c r="O195" s="40" t="str">
        <f>IFERROR(IF(N194=0,"",O194/N194-1),"")</f>
        <v/>
      </c>
      <c r="P195" s="40" t="str">
        <f>IFERROR(IF(O194=0,"",P194/O194-1),"")</f>
        <v/>
      </c>
      <c r="Q195" s="40" t="str">
        <f>IFERROR(IF(P194=0,"",Q194/P194-1),"")</f>
        <v/>
      </c>
      <c r="R195" s="12" t="str">
        <f>IF(Q194=0,"",R194/Q194-1)</f>
        <v/>
      </c>
      <c r="S195" s="40" t="str">
        <f>IFERROR(IF(R194=0,"",S194/R194-1),"")</f>
        <v/>
      </c>
      <c r="T195" s="40" t="str">
        <f>IFERROR(IF(S194=0,"",T194/S194-1),"")</f>
        <v/>
      </c>
      <c r="U195" s="40" t="str">
        <f>IFERROR(IF(T194=0,"",U194/T194-1),"")</f>
        <v/>
      </c>
      <c r="V195" s="40" t="str">
        <f>IFERROR(IF(U194=0,"",V194/U194-1),"")</f>
        <v/>
      </c>
      <c r="W195" s="12" t="str">
        <f>IF(V194=0,"",W194/V194-1)</f>
        <v/>
      </c>
      <c r="X195" s="40" t="str">
        <f>IFERROR(IF(W194=0,"",X194/W194-1),"")</f>
        <v/>
      </c>
      <c r="Y195" s="40" t="str">
        <f>IFERROR(IF(X194=0,"",Y194/X194-1),"")</f>
        <v/>
      </c>
      <c r="Z195" s="40" t="str">
        <f>IFERROR(IF(Y194=0,"",Z194/Y194-1),"")</f>
        <v/>
      </c>
      <c r="AA195" s="40" t="str">
        <f>IFERROR(IF(Z194=0,"",AA194/Z194-1),"")</f>
        <v/>
      </c>
      <c r="AB195" s="12" t="str">
        <f>IF(AA194=0,"",AB194/AA194-1)</f>
        <v/>
      </c>
      <c r="AC195" s="40" t="str">
        <f>IFERROR(IF(AB194=0,"",AC194/AB194-1),"")</f>
        <v/>
      </c>
      <c r="AD195" s="40" t="str">
        <f>IFERROR(IF(AC194=0,"",AD194/AC194-1),"")</f>
        <v/>
      </c>
      <c r="AE195" s="40" t="str">
        <f>IFERROR(IF(AD194=0,"",AE194/AD194-1),"")</f>
        <v/>
      </c>
      <c r="AF195" s="55" t="str">
        <f>IFERROR(IF(AE194=0,"",AF194/AE194-1),"")</f>
        <v/>
      </c>
      <c r="AG195" s="12" t="str">
        <f>IF(AF194=0,"",AG194/AF194-1)</f>
        <v/>
      </c>
      <c r="AH195" s="55" t="str">
        <f>IFERROR(IF(AG194=0,"",AH194/AG194-1),"")</f>
        <v/>
      </c>
      <c r="AI195" s="55" t="str">
        <f>IFERROR(IF(AH194=0,"",AI194/AH194-1),"")</f>
        <v/>
      </c>
      <c r="AJ195" s="55" t="str">
        <f>IFERROR(IF(AI194=0,"",AJ194/AI194-1),"")</f>
        <v/>
      </c>
      <c r="AK195" s="55" t="str">
        <f>IF(AJ194=0,"",AK194/AJ194-1)</f>
        <v/>
      </c>
      <c r="AL195" s="12" t="str">
        <f>IF(AK194=0,"",AL194/AK194-1)</f>
        <v/>
      </c>
      <c r="AM195" s="55" t="str">
        <f>IF(AL194=0,"",AM194/AL194-1)</f>
        <v/>
      </c>
      <c r="AN195" s="55" t="str">
        <f>IF(AM194=0,"",AN194/AM194-1)</f>
        <v/>
      </c>
      <c r="AO195" s="55" t="str">
        <f>IF(AN194=0,"",AO194/AN194-1)</f>
        <v/>
      </c>
      <c r="AP195" s="55" t="str">
        <f>IF(AO194=0,"",AP194/AO194-1)</f>
        <v/>
      </c>
      <c r="AQ195" s="12" t="str">
        <f>IF(AP194=0,"",AQ194/AP194-1)</f>
        <v/>
      </c>
      <c r="AR195" s="55" t="str">
        <f>IF(AQ194=0,"",AR194/AQ194-1)</f>
        <v/>
      </c>
      <c r="AS195" s="55" t="str">
        <f>IF(AR194=0,"",AS194/AR194-1)</f>
        <v/>
      </c>
      <c r="AT195" s="55" t="str">
        <f>IF(AS194=0,"",AT194/AS194-1)</f>
        <v/>
      </c>
      <c r="AU195" s="55" t="str">
        <f>IF(AT194=0,"",AU194/AT194-1)</f>
        <v/>
      </c>
      <c r="AV195" s="12" t="str">
        <f>IF(AU194=0,"",AV194/AU194-1)</f>
        <v/>
      </c>
      <c r="AW195" s="55" t="str">
        <f>IF(AV194=0,"",AW194/AV194-1)</f>
        <v/>
      </c>
      <c r="AX195" s="55" t="str">
        <f>IF(AW194=0,"",AX194/AW194-1)</f>
        <v/>
      </c>
      <c r="AY195" s="55" t="str">
        <f>IF(AX194=0,"",AY194/AX194-1)</f>
        <v/>
      </c>
      <c r="AZ195" s="55" t="str">
        <f>IF(AY194=0,"",AZ194/AY194-1)</f>
        <v/>
      </c>
      <c r="BA195" s="12" t="str">
        <f>IF(AZ194=0,"",BA194/AZ194-1)</f>
        <v/>
      </c>
      <c r="BB195" s="55" t="str">
        <f>IF(BA194=0,"",BB194/BA194-1)</f>
        <v/>
      </c>
      <c r="BC195" s="55" t="str">
        <f>IF(BB194=0,"",BC194/BB194-1)</f>
        <v/>
      </c>
      <c r="BD195" s="55" t="str">
        <f>IF(BC194=0,"",BD194/BC194-1)</f>
        <v/>
      </c>
      <c r="BE195" s="55" t="str">
        <f>IF(BD194=0,"",BE194/BD194-1)</f>
        <v/>
      </c>
      <c r="BF195" s="12" t="str">
        <f>IF(BE194=0,"",BF194/BE194-1)</f>
        <v/>
      </c>
      <c r="BG195" s="55" t="n"/>
      <c r="BH195" s="55" t="n"/>
      <c r="BI195" s="55" t="n"/>
      <c r="BJ195" s="55" t="n"/>
      <c r="BK195" s="12" t="n"/>
      <c r="BL195" s="55" t="n"/>
      <c r="BM195" s="55" t="n"/>
      <c r="BN195" s="55" t="n"/>
      <c r="BO195" s="55" t="n"/>
      <c r="BP195" s="12" t="n"/>
      <c r="BQ195" s="55" t="n"/>
      <c r="BR195" s="55" t="n"/>
      <c r="BS195" s="55" t="n"/>
      <c r="BT195" s="55" t="n"/>
      <c r="BU195" s="12" t="n"/>
      <c r="BV195" s="55" t="n"/>
      <c r="BW195" s="55" t="n"/>
      <c r="BX195" s="55" t="n"/>
      <c r="BY195" s="55" t="n"/>
      <c r="BZ195" s="12" t="n"/>
      <c r="CA195" s="55" t="n"/>
      <c r="CB195" s="55" t="n"/>
      <c r="CC195" s="55" t="n"/>
      <c r="CD195" s="55" t="n"/>
      <c r="CE195" s="12" t="n"/>
      <c r="CF195" s="55" t="n"/>
      <c r="CG195" s="55" t="n"/>
      <c r="CH195" s="55" t="n"/>
      <c r="CI195" s="55" t="n"/>
      <c r="CJ195" s="12" t="n"/>
      <c r="CK195" s="55" t="n"/>
      <c r="CL195" s="55" t="n"/>
      <c r="CM195" s="55" t="n"/>
      <c r="CN195" s="55" t="n"/>
      <c r="CO195" s="12" t="n"/>
      <c r="CP195" s="55" t="n"/>
      <c r="CQ195" s="55" t="n"/>
      <c r="CR195" s="55" t="n"/>
      <c r="CS195" s="55" t="n"/>
      <c r="CT195" s="12" t="n"/>
      <c r="CU195" s="55" t="n"/>
      <c r="CV195" s="55" t="n"/>
      <c r="CW195" s="55" t="n"/>
      <c r="CX195" s="55" t="n"/>
      <c r="CY195" s="12" t="n"/>
    </row>
    <row r="196" collapsed="1">
      <c r="C196" s="14" t="inlineStr">
        <is>
          <t>Taxes payable</t>
        </is>
      </c>
      <c r="D196" s="46" t="n"/>
      <c r="E196" s="46" t="n"/>
      <c r="F196" s="46" t="n"/>
      <c r="G196" s="46" t="n"/>
      <c r="H196" s="12" t="n"/>
      <c r="I196" s="46">
        <f>'Inputs (2)'!D30</f>
        <v>647</v>
      </c>
      <c r="J196" s="46">
        <f>'Inputs (2)'!E30</f>
        <v>919</v>
      </c>
      <c r="K196" s="46">
        <f>'Inputs (2)'!F30</f>
        <v>1237</v>
      </c>
      <c r="L196" s="46">
        <f>'Inputs (2)'!G30</f>
        <v>1541</v>
      </c>
      <c r="M196" s="12">
        <f>'Inputs (2)'!H30</f>
        <v>1541</v>
      </c>
      <c r="N196" s="46">
        <f>'Inputs (2)'!I30</f>
        <v>1392</v>
      </c>
      <c r="O196" s="46">
        <f>'Inputs (2)'!J30</f>
        <v>507</v>
      </c>
      <c r="P196" s="46">
        <f>'Inputs (2)'!K30</f>
        <v>439</v>
      </c>
      <c r="Q196" s="46">
        <f>'Inputs (2)'!L30</f>
        <v>744</v>
      </c>
      <c r="R196" s="12">
        <f>'Inputs (2)'!M30</f>
        <v>744</v>
      </c>
      <c r="S196" s="46">
        <f>'Inputs (2)'!N30</f>
        <v>846</v>
      </c>
      <c r="T196" s="46">
        <f>'Inputs (2)'!O30</f>
        <v>531</v>
      </c>
      <c r="U196" s="46">
        <f>'Inputs (2)'!P30</f>
        <v>489</v>
      </c>
      <c r="V196" s="46">
        <f>'Inputs (2)'!Q30</f>
        <v>786</v>
      </c>
      <c r="W196" s="12">
        <f>'Inputs (2)'!R30</f>
        <v>786</v>
      </c>
      <c r="X196" s="46">
        <f>'Inputs (2)'!S30</f>
        <v>1322</v>
      </c>
      <c r="Y196" s="46">
        <f>'Inputs (2)'!T30</f>
        <v>898</v>
      </c>
      <c r="Z196" s="46">
        <f>'Inputs (2)'!U30</f>
        <v>1072</v>
      </c>
      <c r="AA196" s="46">
        <f>'Inputs (2)'!V30</f>
        <v>859</v>
      </c>
      <c r="AB196" s="12">
        <f>'Inputs (2)'!W30</f>
        <v>859</v>
      </c>
      <c r="AC196" s="46">
        <f>'Inputs (2)'!X30</f>
        <v>857</v>
      </c>
      <c r="AD196" s="46">
        <f>'Inputs (2)'!Y30</f>
        <v>389</v>
      </c>
      <c r="AE196" s="46">
        <f>'Inputs (2)'!Z30</f>
        <v>528</v>
      </c>
      <c r="AF196" s="46">
        <f>'Inputs (2)'!AA30</f>
        <v>456</v>
      </c>
      <c r="AG196" s="12">
        <f>'Inputs (2)'!AB30</f>
        <v>456</v>
      </c>
      <c r="AH196" s="12">
        <f>'Inputs (2)'!AC30</f>
        <v>725</v>
      </c>
      <c r="AI196" s="12">
        <f>'Inputs (2)'!AD30</f>
        <v>509</v>
      </c>
      <c r="AJ196" s="12">
        <f>AI196*(1+AJ16)</f>
        <v>515.60069125667</v>
      </c>
      <c r="AK196" s="12">
        <f>AJ196*(1+AK16)</f>
        <v>522.286980008557</v>
      </c>
      <c r="AL196" s="12">
        <f>AK196</f>
        <v>522.286980008557</v>
      </c>
      <c r="AM196" s="12">
        <f>AL196*(1+AM16)</f>
        <v>529.059976280492</v>
      </c>
      <c r="AN196" s="12">
        <f>AM196*(1+AN16)</f>
        <v>535.92080449206</v>
      </c>
      <c r="AO196" s="12">
        <f>AN196*(1+AO16)</f>
        <v>542.870603644277</v>
      </c>
      <c r="AP196" s="12">
        <f>AO196*(1+AP16)</f>
        <v>549.910527508673</v>
      </c>
      <c r="AQ196" s="12">
        <f>AP196</f>
        <v>549.910527508673</v>
      </c>
      <c r="AR196" s="12">
        <f>AQ196*(1+AR16)</f>
        <v>554.2921921813</v>
      </c>
      <c r="AS196" s="12">
        <f>AR196*(1+AS16)</f>
        <v>558.708769779473</v>
      </c>
      <c r="AT196" s="12">
        <f>AS196*(1+AT16)</f>
        <v>563.160538487959</v>
      </c>
      <c r="AU196" s="12">
        <f>AT196*(1+AU16)</f>
        <v>567.64777870809</v>
      </c>
      <c r="AV196" s="12">
        <f>AU196</f>
        <v>567.64777870809</v>
      </c>
      <c r="AW196" s="12">
        <f>AV196*(1+AW16)</f>
        <v>569.332534181886</v>
      </c>
      <c r="AX196" s="12">
        <f>AW196*(1+AX16)</f>
        <v>571.022289941269</v>
      </c>
      <c r="AY196" s="12">
        <f>AX196*(1+AY16)</f>
        <v>572.717060826884</v>
      </c>
      <c r="AZ196" s="12">
        <f>AY196*(1+AZ16)</f>
        <v>574.416861723419</v>
      </c>
      <c r="BA196" s="12">
        <f>AZ196</f>
        <v>574.416861723419</v>
      </c>
      <c r="BB196" s="12">
        <f>BA196*(1+BB16)</f>
        <v>574.416861723419</v>
      </c>
      <c r="BC196" s="12">
        <f>BB196*(1+BC16)</f>
        <v>574.416861723419</v>
      </c>
      <c r="BD196" s="12">
        <f>BC196*(1+BD16)</f>
        <v>574.416861723419</v>
      </c>
      <c r="BE196" s="12">
        <f>BD196*(1+BE16)</f>
        <v>574.416861723419</v>
      </c>
      <c r="BF196" s="12">
        <f>BE196</f>
        <v>574.416861723419</v>
      </c>
      <c r="BG196" s="12" t="n"/>
      <c r="BH196" s="12" t="n"/>
      <c r="BI196" s="12" t="n"/>
      <c r="BJ196" s="12" t="n"/>
      <c r="BK196" s="12" t="n"/>
      <c r="BL196" s="12" t="n"/>
      <c r="BM196" s="12" t="n"/>
      <c r="BN196" s="12" t="n"/>
      <c r="BO196" s="12" t="n"/>
      <c r="BP196" s="12" t="n"/>
      <c r="BQ196" s="12" t="n"/>
      <c r="BR196" s="12" t="n"/>
      <c r="BS196" s="12" t="n"/>
      <c r="BT196" s="12" t="n"/>
      <c r="BU196" s="12" t="n"/>
      <c r="BV196" s="12" t="n"/>
      <c r="BW196" s="12" t="n"/>
      <c r="BX196" s="12" t="n"/>
      <c r="BY196" s="12" t="n"/>
      <c r="BZ196" s="12" t="n"/>
      <c r="CA196" s="12" t="n"/>
      <c r="CB196" s="12" t="n"/>
      <c r="CC196" s="12" t="n"/>
      <c r="CD196" s="12" t="n"/>
      <c r="CE196" s="12" t="n"/>
      <c r="CF196" s="12" t="n"/>
      <c r="CG196" s="12" t="n"/>
      <c r="CH196" s="12" t="n"/>
      <c r="CI196" s="12" t="n"/>
      <c r="CJ196" s="12" t="n"/>
      <c r="CK196" s="12" t="n"/>
      <c r="CL196" s="12" t="n"/>
      <c r="CM196" s="12" t="n"/>
      <c r="CN196" s="12" t="n"/>
      <c r="CO196" s="12" t="n"/>
      <c r="CP196" s="12" t="n"/>
      <c r="CQ196" s="12" t="n"/>
      <c r="CR196" s="12" t="n"/>
      <c r="CS196" s="12" t="n"/>
      <c r="CT196" s="12" t="n"/>
      <c r="CU196" s="12" t="n"/>
      <c r="CV196" s="12" t="n"/>
      <c r="CW196" s="12" t="n"/>
      <c r="CX196" s="12" t="n"/>
      <c r="CY196" s="12" t="n"/>
    </row>
    <row r="197">
      <c r="C197" s="14" t="inlineStr">
        <is>
          <t>Other current liabilities (non-debt)</t>
        </is>
      </c>
      <c r="D197" s="46" t="n"/>
      <c r="E197" s="46" t="n"/>
      <c r="F197" s="46" t="n"/>
      <c r="G197" s="46" t="n"/>
      <c r="H197" s="12" t="n"/>
      <c r="I197" s="46">
        <f>'Inputs (2)'!D31</f>
        <v>442</v>
      </c>
      <c r="J197" s="46">
        <f>'Inputs (2)'!E31</f>
        <v>445</v>
      </c>
      <c r="K197" s="46">
        <f>'Inputs (2)'!F31</f>
        <v>440</v>
      </c>
      <c r="L197" s="46">
        <f>'Inputs (2)'!G31</f>
        <v>484</v>
      </c>
      <c r="M197" s="12">
        <f>'Inputs (2)'!H31</f>
        <v>484</v>
      </c>
      <c r="N197" s="46">
        <f>'Inputs (2)'!I31</f>
        <v>534</v>
      </c>
      <c r="O197" s="46">
        <f>'Inputs (2)'!J31</f>
        <v>534</v>
      </c>
      <c r="P197" s="46">
        <f>'Inputs (2)'!K31</f>
        <v>581</v>
      </c>
      <c r="Q197" s="46">
        <f>'Inputs (2)'!L31</f>
        <v>537</v>
      </c>
      <c r="R197" s="12">
        <f>'Inputs (2)'!M31</f>
        <v>537</v>
      </c>
      <c r="S197" s="46">
        <f>'Inputs (2)'!N31</f>
        <v>550</v>
      </c>
      <c r="T197" s="46">
        <f>'Inputs (2)'!O31</f>
        <v>578</v>
      </c>
      <c r="U197" s="46">
        <f>'Inputs (2)'!P31</f>
        <v>612</v>
      </c>
      <c r="V197" s="46">
        <f>'Inputs (2)'!Q31</f>
        <v>534</v>
      </c>
      <c r="W197" s="12">
        <f>'Inputs (2)'!R31</f>
        <v>534</v>
      </c>
      <c r="X197" s="46">
        <f>'Inputs (2)'!S31</f>
        <v>542</v>
      </c>
      <c r="Y197" s="46">
        <f>'Inputs (2)'!T31</f>
        <v>560</v>
      </c>
      <c r="Z197" s="46">
        <f>'Inputs (2)'!U31</f>
        <v>582</v>
      </c>
      <c r="AA197" s="46">
        <f>'Inputs (2)'!V31</f>
        <v>539</v>
      </c>
      <c r="AB197" s="12">
        <f>'Inputs (2)'!W31</f>
        <v>539</v>
      </c>
      <c r="AC197" s="46">
        <f>'Inputs (2)'!X31</f>
        <v>513</v>
      </c>
      <c r="AD197" s="46">
        <f>'Inputs (2)'!Y31</f>
        <v>516</v>
      </c>
      <c r="AE197" s="46">
        <f>'Inputs (2)'!Z31</f>
        <v>517</v>
      </c>
      <c r="AF197" s="46">
        <f>'Inputs (2)'!AA31</f>
        <v>532</v>
      </c>
      <c r="AG197" s="12">
        <f>'Inputs (2)'!AB31</f>
        <v>532</v>
      </c>
      <c r="AH197" s="12">
        <f>'Inputs (2)'!AC31</f>
        <v>540</v>
      </c>
      <c r="AI197" s="12">
        <f>'Inputs (2)'!AD31</f>
        <v>545</v>
      </c>
      <c r="AJ197" s="12">
        <f>AI197</f>
        <v>545</v>
      </c>
      <c r="AK197" s="12">
        <f>AJ197</f>
        <v>545</v>
      </c>
      <c r="AL197" s="12">
        <f>AK197</f>
        <v>545</v>
      </c>
      <c r="AM197" s="12">
        <f>AL197</f>
        <v>545</v>
      </c>
      <c r="AN197" s="12">
        <f>AM197</f>
        <v>545</v>
      </c>
      <c r="AO197" s="12">
        <f>AN197</f>
        <v>545</v>
      </c>
      <c r="AP197" s="12">
        <f>AO197</f>
        <v>545</v>
      </c>
      <c r="AQ197" s="12">
        <f>AP197</f>
        <v>545</v>
      </c>
      <c r="AR197" s="12">
        <f>AQ197</f>
        <v>545</v>
      </c>
      <c r="AS197" s="12">
        <f>AR197</f>
        <v>545</v>
      </c>
      <c r="AT197" s="12">
        <f>AS197</f>
        <v>545</v>
      </c>
      <c r="AU197" s="12">
        <f>AT197</f>
        <v>545</v>
      </c>
      <c r="AV197" s="12">
        <f>AU197</f>
        <v>545</v>
      </c>
      <c r="AW197" s="12">
        <f>AV197</f>
        <v>545</v>
      </c>
      <c r="AX197" s="12">
        <f>AW197</f>
        <v>545</v>
      </c>
      <c r="AY197" s="12">
        <f>AX197</f>
        <v>545</v>
      </c>
      <c r="AZ197" s="12">
        <f>AY197</f>
        <v>545</v>
      </c>
      <c r="BA197" s="12">
        <f>AZ197</f>
        <v>545</v>
      </c>
      <c r="BB197" s="12">
        <f>BA197</f>
        <v>545</v>
      </c>
      <c r="BC197" s="12">
        <f>BB197</f>
        <v>545</v>
      </c>
      <c r="BD197" s="12">
        <f>BC197</f>
        <v>545</v>
      </c>
      <c r="BE197" s="12">
        <f>BD197</f>
        <v>545</v>
      </c>
      <c r="BF197" s="12">
        <f>BE197</f>
        <v>545</v>
      </c>
      <c r="BG197" s="12" t="n"/>
      <c r="BH197" s="12" t="n"/>
      <c r="BI197" s="12" t="n"/>
      <c r="BJ197" s="12" t="n"/>
      <c r="BK197" s="12" t="n"/>
      <c r="BL197" s="12" t="n"/>
      <c r="BM197" s="12" t="n"/>
      <c r="BN197" s="12" t="n"/>
      <c r="BO197" s="12" t="n"/>
      <c r="BP197" s="12" t="n"/>
      <c r="BQ197" s="12" t="n"/>
      <c r="BR197" s="12" t="n"/>
      <c r="BS197" s="12" t="n"/>
      <c r="BT197" s="12" t="n"/>
      <c r="BU197" s="12" t="n"/>
      <c r="BV197" s="12" t="n"/>
      <c r="BW197" s="12" t="n"/>
      <c r="BX197" s="12" t="n"/>
      <c r="BY197" s="12" t="n"/>
      <c r="BZ197" s="12" t="n"/>
      <c r="CA197" s="12" t="n"/>
      <c r="CB197" s="12" t="n"/>
      <c r="CC197" s="12" t="n"/>
      <c r="CD197" s="12" t="n"/>
      <c r="CE197" s="12" t="n"/>
      <c r="CF197" s="12" t="n"/>
      <c r="CG197" s="12" t="n"/>
      <c r="CH197" s="12" t="n"/>
      <c r="CI197" s="12" t="n"/>
      <c r="CJ197" s="12" t="n"/>
      <c r="CK197" s="12" t="n"/>
      <c r="CL197" s="12" t="n"/>
      <c r="CM197" s="12" t="n"/>
      <c r="CN197" s="12" t="n"/>
      <c r="CO197" s="12" t="n"/>
      <c r="CP197" s="12" t="n"/>
      <c r="CQ197" s="12" t="n"/>
      <c r="CR197" s="12" t="n"/>
      <c r="CS197" s="12" t="n"/>
      <c r="CT197" s="12" t="n"/>
      <c r="CU197" s="12" t="n"/>
      <c r="CV197" s="12" t="n"/>
      <c r="CW197" s="12" t="n"/>
      <c r="CX197" s="12" t="n"/>
      <c r="CY197" s="12" t="n"/>
    </row>
    <row r="198" hidden="1" outlineLevel="1">
      <c r="C198" s="59" t="inlineStr">
        <is>
          <t>%(Var.)</t>
        </is>
      </c>
      <c r="D198" s="12" t="n"/>
      <c r="E198" s="40" t="n"/>
      <c r="F198" s="40" t="n"/>
      <c r="G198" s="40" t="n"/>
      <c r="H198" s="12" t="n"/>
      <c r="I198" s="40" t="str">
        <f>""</f>
        <v/>
      </c>
      <c r="J198" s="40">
        <f>IFERROR(IF(I197=0,"",J197/I197-1),"")</f>
        <v>0.00678733031674206</v>
      </c>
      <c r="K198" s="40">
        <f>IFERROR(IF(J197=0,"",K197/J197-1),"")</f>
        <v>-0.0112359550561798</v>
      </c>
      <c r="L198" s="40">
        <f>IFERROR(IF(K197=0,"",L197/K197-1),"")</f>
        <v>0.1</v>
      </c>
      <c r="M198" s="12">
        <f>IF(L197=0,"",M197/L197-1)</f>
        <v>0</v>
      </c>
      <c r="N198" s="40">
        <f>IFERROR(IF(M197=0,"",N197/M197-1),"")</f>
        <v>0.103305785123967</v>
      </c>
      <c r="O198" s="40">
        <f>IFERROR(IF(N197=0,"",O197/N197-1),"")</f>
        <v>0</v>
      </c>
      <c r="P198" s="40">
        <f>IFERROR(IF(O197=0,"",P197/O197-1),"")</f>
        <v>0.0880149812734083</v>
      </c>
      <c r="Q198" s="40">
        <f>IFERROR(IF(P197=0,"",Q197/P197-1),"")</f>
        <v>-0.0757314974182444</v>
      </c>
      <c r="R198" s="12">
        <f>IF(Q197=0,"",R197/Q197-1)</f>
        <v>0</v>
      </c>
      <c r="S198" s="40">
        <f>IFERROR(IF(R197=0,"",S197/R197-1),"")</f>
        <v>0.0242085661080074</v>
      </c>
      <c r="T198" s="40">
        <f>IFERROR(IF(S197=0,"",T197/S197-1),"")</f>
        <v>0.050909090909091</v>
      </c>
      <c r="U198" s="40">
        <f>IFERROR(IF(T197=0,"",U197/T197-1),"")</f>
        <v>0.0588235294117647</v>
      </c>
      <c r="V198" s="40">
        <f>IFERROR(IF(U197=0,"",V197/U197-1),"")</f>
        <v>-0.127450980392157</v>
      </c>
      <c r="W198" s="12">
        <f>IF(V197=0,"",W197/V197-1)</f>
        <v>0</v>
      </c>
      <c r="X198" s="40">
        <f>IFERROR(IF(W197=0,"",X197/W197-1),"")</f>
        <v>0.0149812734082397</v>
      </c>
      <c r="Y198" s="40">
        <f>IFERROR(IF(X197=0,"",Y197/X197-1),"")</f>
        <v>0.033210332103321</v>
      </c>
      <c r="Z198" s="40">
        <f>IFERROR(IF(Y197=0,"",Z197/Y197-1),"")</f>
        <v>0.0392857142857144</v>
      </c>
      <c r="AA198" s="40">
        <f>IFERROR(IF(Z197=0,"",AA197/Z197-1),"")</f>
        <v>-0.0738831615120275</v>
      </c>
      <c r="AB198" s="12">
        <f>IF(AA197=0,"",AB197/AA197-1)</f>
        <v>0</v>
      </c>
      <c r="AC198" s="40">
        <f>IFERROR(IF(AB197=0,"",AC197/AB197-1),"")</f>
        <v>-0.0482374768089053</v>
      </c>
      <c r="AD198" s="40">
        <f>IFERROR(IF(AC197=0,"",AD197/AC197-1),"")</f>
        <v>0.00584795321637421</v>
      </c>
      <c r="AE198" s="40">
        <f>IFERROR(IF(AD197=0,"",AE197/AD197-1),"")</f>
        <v>0.00193798449612403</v>
      </c>
      <c r="AF198" s="55">
        <f>IFERROR(IF(AE197=0,"",AF197/AE197-1),"")</f>
        <v>0.0290135396518376</v>
      </c>
      <c r="AG198" s="12">
        <f>IF(AF197=0,"",AG197/AF197-1)</f>
        <v>0</v>
      </c>
      <c r="AH198" s="55">
        <f>IFERROR(IF(AG197=0,"",AH197/AG197-1),"")</f>
        <v>0.0150375939849625</v>
      </c>
      <c r="AI198" s="55">
        <f>IFERROR(IF(AH197=0,"",AI197/AH197-1),"")</f>
        <v>0.0092592592592593</v>
      </c>
      <c r="AJ198" s="55">
        <f>IFERROR(IF(AI197=0,"",AJ197/AI197-1),"")</f>
        <v>0</v>
      </c>
      <c r="AK198" s="55">
        <f>IFERROR(IF(AJ197=0,"",AK197/AJ197-1),"")</f>
        <v>0</v>
      </c>
      <c r="AL198" s="12">
        <f>IFERROR(IF(AK197=0,"",AL197/AK197-1),"")</f>
        <v>0</v>
      </c>
      <c r="AM198" s="55">
        <f>IFERROR(IF(AL197=0,"",AM197/AL197-1),"")</f>
        <v>0</v>
      </c>
      <c r="AN198" s="55">
        <f>IFERROR(IF(AM197=0,"",AN197/AM197-1),"")</f>
        <v>0</v>
      </c>
      <c r="AO198" s="55">
        <f>IFERROR(IF(AN197=0,"",AO197/AN197-1),"")</f>
        <v>0</v>
      </c>
      <c r="AP198" s="55">
        <f>IFERROR(IF(AO197=0,"",AP197/AO197-1),"")</f>
        <v>0</v>
      </c>
      <c r="AQ198" s="12">
        <f>IFERROR(IF(AP197=0,"",AQ197/AP197-1),"")</f>
        <v>0</v>
      </c>
      <c r="AR198" s="55">
        <f>IFERROR(IF(AQ197=0,"",AR197/AQ197-1),"")</f>
        <v>0</v>
      </c>
      <c r="AS198" s="55">
        <f>IFERROR(IF(AR197=0,"",AS197/AR197-1),"")</f>
        <v>0</v>
      </c>
      <c r="AT198" s="55">
        <f>IFERROR(IF(AS197=0,"",AT197/AS197-1),"")</f>
        <v>0</v>
      </c>
      <c r="AU198" s="55">
        <f>IFERROR(IF(AT197=0,"",AU197/AT197-1),"")</f>
        <v>0</v>
      </c>
      <c r="AV198" s="12">
        <f>IFERROR(IF(AU197=0,"",AV197/AU197-1),"")</f>
        <v>0</v>
      </c>
      <c r="AW198" s="55">
        <f>IFERROR(IF(AV197=0,"",AW197/AV197-1),"")</f>
        <v>0</v>
      </c>
      <c r="AX198" s="55">
        <f>IFERROR(IF(AW197=0,"",AX197/AW197-1),"")</f>
        <v>0</v>
      </c>
      <c r="AY198" s="55">
        <f>IFERROR(IF(AX197=0,"",AY197/AX197-1),"")</f>
        <v>0</v>
      </c>
      <c r="AZ198" s="55">
        <f>IFERROR(IF(AY197=0,"",AZ197/AY197-1),"")</f>
        <v>0</v>
      </c>
      <c r="BA198" s="12">
        <f>IFERROR(IF(AZ197=0,"",BA197/AZ197-1),"")</f>
        <v>0</v>
      </c>
      <c r="BB198" s="55">
        <f>IFERROR(IF(BA197=0,"",BB197/BA197-1),"")</f>
        <v>0</v>
      </c>
      <c r="BC198" s="55">
        <f>IFERROR(IF(BB197=0,"",BC197/BB197-1),"")</f>
        <v>0</v>
      </c>
      <c r="BD198" s="55">
        <f>IFERROR(IF(BC197=0,"",BD197/BC197-1),"")</f>
        <v>0</v>
      </c>
      <c r="BE198" s="55">
        <f>IFERROR(IF(BD197=0,"",BE197/BD197-1),"")</f>
        <v>0</v>
      </c>
      <c r="BF198" s="12">
        <f>IFERROR(IF(BE197=0,"",BF197/BE197-1),"")</f>
        <v>0</v>
      </c>
      <c r="BG198" s="55" t="n"/>
      <c r="BH198" s="55" t="n"/>
      <c r="BI198" s="55" t="n"/>
      <c r="BJ198" s="55" t="n"/>
      <c r="BK198" s="12" t="n"/>
      <c r="BL198" s="55" t="n"/>
      <c r="BM198" s="55" t="n"/>
      <c r="BN198" s="55" t="n"/>
      <c r="BO198" s="55" t="n"/>
      <c r="BP198" s="12" t="n"/>
      <c r="BQ198" s="55" t="n"/>
      <c r="BR198" s="55" t="n"/>
      <c r="BS198" s="55" t="n"/>
      <c r="BT198" s="55" t="n"/>
      <c r="BU198" s="12" t="n"/>
      <c r="BV198" s="55" t="n"/>
      <c r="BW198" s="55" t="n"/>
      <c r="BX198" s="55" t="n"/>
      <c r="BY198" s="55" t="n"/>
      <c r="BZ198" s="12" t="n"/>
      <c r="CA198" s="55" t="n"/>
      <c r="CB198" s="55" t="n"/>
      <c r="CC198" s="55" t="n"/>
      <c r="CD198" s="55" t="n"/>
      <c r="CE198" s="12" t="n"/>
      <c r="CF198" s="55" t="n"/>
      <c r="CG198" s="55" t="n"/>
      <c r="CH198" s="55" t="n"/>
      <c r="CI198" s="55" t="n"/>
      <c r="CJ198" s="12" t="n"/>
      <c r="CK198" s="55" t="n"/>
      <c r="CL198" s="55" t="n"/>
      <c r="CM198" s="55" t="n"/>
      <c r="CN198" s="55" t="n"/>
      <c r="CO198" s="12" t="n"/>
      <c r="CP198" s="55" t="n"/>
      <c r="CQ198" s="55" t="n"/>
      <c r="CR198" s="55" t="n"/>
      <c r="CS198" s="55" t="n"/>
      <c r="CT198" s="12" t="n"/>
      <c r="CU198" s="55" t="n"/>
      <c r="CV198" s="55" t="n"/>
      <c r="CW198" s="55" t="n"/>
      <c r="CX198" s="55" t="n"/>
      <c r="CY198" s="12" t="n"/>
    </row>
    <row r="199" hidden="1" outlineLevel="1">
      <c r="C199" s="57" t="n"/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  <c r="P199" s="12" t="n"/>
      <c r="Q199" s="12" t="n"/>
      <c r="R199" s="12" t="n"/>
      <c r="S199" s="12" t="n"/>
      <c r="T199" s="12" t="n"/>
      <c r="U199" s="12" t="n"/>
      <c r="V199" s="12" t="n"/>
      <c r="W199" s="12" t="n"/>
      <c r="X199" s="12" t="n"/>
      <c r="Y199" s="12" t="n"/>
      <c r="Z199" s="12" t="n"/>
      <c r="AA199" s="12" t="n"/>
      <c r="AB199" s="12" t="n"/>
      <c r="AC199" s="12" t="n"/>
      <c r="AD199" s="12" t="n"/>
      <c r="AE199" s="12" t="n"/>
      <c r="AF199" s="12" t="n"/>
      <c r="AG199" s="12" t="n"/>
      <c r="AH199" s="12" t="n"/>
      <c r="AI199" s="12" t="n"/>
      <c r="AJ199" s="12" t="n"/>
      <c r="AK199" s="12" t="n"/>
      <c r="AL199" s="12" t="n"/>
      <c r="AM199" s="12" t="n"/>
      <c r="AN199" s="12" t="n"/>
      <c r="AO199" s="12" t="n"/>
      <c r="AP199" s="12" t="n"/>
      <c r="AQ199" s="12" t="n"/>
      <c r="AR199" s="12" t="n"/>
      <c r="AS199" s="12" t="n"/>
      <c r="AT199" s="12" t="n"/>
      <c r="AU199" s="12" t="n"/>
      <c r="AV199" s="12" t="n"/>
      <c r="AW199" s="12" t="n"/>
      <c r="AX199" s="12" t="n"/>
      <c r="AY199" s="12" t="n"/>
      <c r="AZ199" s="12" t="n"/>
      <c r="BA199" s="12" t="n"/>
      <c r="BB199" s="12" t="n"/>
      <c r="BC199" s="12" t="n"/>
      <c r="BD199" s="12" t="n"/>
      <c r="BE199" s="12" t="n"/>
      <c r="BF199" s="12" t="n"/>
      <c r="BG199" s="12" t="n"/>
      <c r="BH199" s="12" t="n"/>
      <c r="BI199" s="12" t="n"/>
      <c r="BJ199" s="12" t="n"/>
      <c r="BK199" s="12" t="n"/>
      <c r="BL199" s="12" t="n"/>
      <c r="BM199" s="12" t="n"/>
      <c r="BN199" s="12" t="n"/>
      <c r="BO199" s="12" t="n"/>
      <c r="BP199" s="12" t="n"/>
      <c r="BQ199" s="12" t="n"/>
      <c r="BR199" s="12" t="n"/>
      <c r="BS199" s="12" t="n"/>
      <c r="BT199" s="12" t="n"/>
      <c r="BU199" s="12" t="n"/>
      <c r="BV199" s="12" t="n"/>
      <c r="BW199" s="12" t="n"/>
      <c r="BX199" s="12" t="n"/>
      <c r="BY199" s="12" t="n"/>
      <c r="BZ199" s="12" t="n"/>
      <c r="CA199" s="12" t="n"/>
      <c r="CB199" s="12" t="n"/>
      <c r="CC199" s="12" t="n"/>
      <c r="CD199" s="12" t="n"/>
      <c r="CE199" s="12" t="n"/>
      <c r="CF199" s="12" t="n"/>
      <c r="CG199" s="12" t="n"/>
      <c r="CH199" s="12" t="n"/>
      <c r="CI199" s="12" t="n"/>
      <c r="CJ199" s="12" t="n"/>
      <c r="CK199" s="12" t="n"/>
      <c r="CL199" s="12" t="n"/>
      <c r="CM199" s="12" t="n"/>
      <c r="CN199" s="12" t="n"/>
      <c r="CO199" s="12" t="n"/>
      <c r="CP199" s="12" t="n"/>
      <c r="CQ199" s="12" t="n"/>
      <c r="CR199" s="12" t="n"/>
      <c r="CS199" s="12" t="n"/>
      <c r="CT199" s="12" t="n"/>
      <c r="CU199" s="12" t="n"/>
      <c r="CV199" s="12" t="n"/>
      <c r="CW199" s="12" t="n"/>
      <c r="CX199" s="12" t="n"/>
      <c r="CY199" s="12" t="n"/>
    </row>
    <row r="200" hidden="1" outlineLevel="1">
      <c r="C200" s="57" t="inlineStr">
        <is>
          <t xml:space="preserve">Dividendos a Pagar </t>
        </is>
      </c>
      <c r="D200" s="11" t="n"/>
      <c r="E200" s="11" t="n"/>
      <c r="F200" s="11" t="n"/>
      <c r="G200" s="11" t="n"/>
      <c r="H200" s="12" t="n"/>
      <c r="I200" s="11" t="n"/>
      <c r="J200" s="11" t="n"/>
      <c r="K200" s="11" t="n"/>
      <c r="L200" s="11" t="n"/>
      <c r="M200" s="12" t="n"/>
      <c r="N200" s="11" t="n"/>
      <c r="O200" s="11" t="n"/>
      <c r="P200" s="11" t="n"/>
      <c r="Q200" s="11" t="n"/>
      <c r="R200" s="12" t="n"/>
      <c r="S200" s="11" t="n"/>
      <c r="T200" s="11" t="n"/>
      <c r="U200" s="11" t="n"/>
      <c r="V200" s="11" t="n"/>
      <c r="W200" s="12" t="n"/>
      <c r="X200" s="11" t="n"/>
      <c r="Y200" s="11" t="n"/>
      <c r="Z200" s="11" t="n"/>
      <c r="AA200" s="11" t="n"/>
      <c r="AB200" s="12" t="n"/>
      <c r="AC200" s="11" t="n"/>
      <c r="AD200" s="11" t="n"/>
      <c r="AE200" s="11" t="n"/>
      <c r="AF200" s="11" t="n"/>
      <c r="AG200" s="12" t="n"/>
      <c r="AH200" s="11" t="n"/>
      <c r="AI200" s="11" t="n"/>
      <c r="AJ200" s="11" t="n"/>
      <c r="AK200" s="11" t="n"/>
      <c r="AL200" s="12" t="n"/>
      <c r="AM200" s="11" t="n"/>
      <c r="AN200" s="11" t="n"/>
      <c r="AO200" s="11" t="n"/>
      <c r="AP200" s="11" t="n"/>
      <c r="AQ200" s="12" t="n"/>
      <c r="AR200" s="11" t="n"/>
      <c r="AS200" s="11" t="n"/>
      <c r="AT200" s="11" t="n"/>
      <c r="AU200" s="11" t="n"/>
      <c r="AV200" s="12" t="n"/>
      <c r="AW200" s="11" t="n"/>
      <c r="AX200" s="11" t="n"/>
      <c r="AY200" s="11" t="n"/>
      <c r="AZ200" s="11" t="n"/>
      <c r="BA200" s="12" t="n"/>
      <c r="BB200" s="11" t="n"/>
      <c r="BC200" s="11" t="n"/>
      <c r="BD200" s="11" t="n"/>
      <c r="BE200" s="11" t="n"/>
      <c r="BF200" s="12" t="n"/>
      <c r="BG200" s="11" t="n"/>
      <c r="BH200" s="11" t="n"/>
      <c r="BI200" s="11" t="n"/>
      <c r="BJ200" s="11" t="n"/>
      <c r="BK200" s="12" t="n"/>
      <c r="BL200" s="11" t="n"/>
      <c r="BM200" s="11" t="n"/>
      <c r="BN200" s="11" t="n"/>
      <c r="BO200" s="11" t="n"/>
      <c r="BP200" s="12" t="n"/>
      <c r="BQ200" s="11" t="n"/>
      <c r="BR200" s="11" t="n"/>
      <c r="BS200" s="11" t="n"/>
      <c r="BT200" s="11" t="n"/>
      <c r="BU200" s="12" t="n"/>
      <c r="BV200" s="11" t="n"/>
      <c r="BW200" s="11" t="n"/>
      <c r="BX200" s="11" t="n"/>
      <c r="BY200" s="11" t="n"/>
      <c r="BZ200" s="12" t="n"/>
      <c r="CA200" s="11" t="n"/>
      <c r="CB200" s="11" t="n"/>
      <c r="CC200" s="11" t="n"/>
      <c r="CD200" s="11" t="n"/>
      <c r="CE200" s="12" t="n"/>
      <c r="CF200" s="11" t="n"/>
      <c r="CG200" s="11" t="n"/>
      <c r="CH200" s="11" t="n"/>
      <c r="CI200" s="11" t="n"/>
      <c r="CJ200" s="12" t="n"/>
      <c r="CK200" s="11" t="n"/>
      <c r="CL200" s="11" t="n"/>
      <c r="CM200" s="11" t="n"/>
      <c r="CN200" s="11" t="n"/>
      <c r="CO200" s="12" t="n"/>
      <c r="CP200" s="11" t="n"/>
      <c r="CQ200" s="11" t="n"/>
      <c r="CR200" s="11" t="n"/>
      <c r="CS200" s="11" t="n"/>
      <c r="CT200" s="12" t="n"/>
      <c r="CU200" s="11" t="n"/>
      <c r="CV200" s="11" t="n"/>
      <c r="CW200" s="11" t="n"/>
      <c r="CX200" s="11" t="n"/>
      <c r="CY200" s="12" t="n"/>
    </row>
    <row r="201" hidden="1" outlineLevel="1">
      <c r="C201" s="57" t="inlineStr">
        <is>
          <t>Contas a pagar pela aquisição de controladas</t>
        </is>
      </c>
      <c r="D201" s="11" t="n"/>
      <c r="E201" s="11" t="n"/>
      <c r="F201" s="11" t="n"/>
      <c r="G201" s="11" t="n"/>
      <c r="H201" s="12" t="n"/>
      <c r="I201" s="11" t="n"/>
      <c r="J201" s="11" t="n"/>
      <c r="K201" s="11" t="n"/>
      <c r="L201" s="11" t="n"/>
      <c r="M201" s="12" t="n"/>
      <c r="N201" s="11" t="n"/>
      <c r="O201" s="11" t="n"/>
      <c r="P201" s="11" t="n"/>
      <c r="Q201" s="11" t="n"/>
      <c r="R201" s="12" t="n"/>
      <c r="S201" s="11" t="n"/>
      <c r="T201" s="11" t="n"/>
      <c r="U201" s="11" t="n"/>
      <c r="V201" s="11" t="n"/>
      <c r="W201" s="12" t="n"/>
      <c r="X201" s="11" t="n"/>
      <c r="Y201" s="11" t="n"/>
      <c r="Z201" s="11" t="n"/>
      <c r="AA201" s="11" t="n"/>
      <c r="AB201" s="12" t="n"/>
      <c r="AC201" s="11" t="n"/>
      <c r="AD201" s="11" t="n"/>
      <c r="AE201" s="11" t="n"/>
      <c r="AF201" s="11" t="n"/>
      <c r="AG201" s="12" t="n"/>
      <c r="AH201" s="11" t="n"/>
      <c r="AI201" s="11" t="n"/>
      <c r="AJ201" s="11" t="n"/>
      <c r="AK201" s="11" t="n"/>
      <c r="AL201" s="12" t="n"/>
      <c r="AM201" s="11" t="n"/>
      <c r="AN201" s="11" t="n"/>
      <c r="AO201" s="11" t="n"/>
      <c r="AP201" s="11" t="n"/>
      <c r="AQ201" s="12" t="n"/>
      <c r="AR201" s="11" t="n"/>
      <c r="AS201" s="11" t="n"/>
      <c r="AT201" s="11" t="n"/>
      <c r="AU201" s="11" t="n"/>
      <c r="AV201" s="12" t="n"/>
      <c r="AW201" s="11" t="n"/>
      <c r="AX201" s="11" t="n"/>
      <c r="AY201" s="11" t="n"/>
      <c r="AZ201" s="11" t="n"/>
      <c r="BA201" s="12" t="n"/>
      <c r="BB201" s="11" t="n"/>
      <c r="BC201" s="11" t="n"/>
      <c r="BD201" s="11" t="n"/>
      <c r="BE201" s="11" t="n"/>
      <c r="BF201" s="12" t="n"/>
      <c r="BG201" s="11" t="n"/>
      <c r="BH201" s="11" t="n"/>
      <c r="BI201" s="11" t="n"/>
      <c r="BJ201" s="11" t="n"/>
      <c r="BK201" s="12" t="n"/>
      <c r="BL201" s="11" t="n"/>
      <c r="BM201" s="11" t="n"/>
      <c r="BN201" s="11" t="n"/>
      <c r="BO201" s="11" t="n"/>
      <c r="BP201" s="12" t="n"/>
      <c r="BQ201" s="11" t="n"/>
      <c r="BR201" s="11" t="n"/>
      <c r="BS201" s="11" t="n"/>
      <c r="BT201" s="11" t="n"/>
      <c r="BU201" s="12" t="n"/>
      <c r="BV201" s="11" t="n"/>
      <c r="BW201" s="11" t="n"/>
      <c r="BX201" s="11" t="n"/>
      <c r="BY201" s="11" t="n"/>
      <c r="BZ201" s="12" t="n"/>
      <c r="CA201" s="11" t="n"/>
      <c r="CB201" s="11" t="n"/>
      <c r="CC201" s="11" t="n"/>
      <c r="CD201" s="11" t="n"/>
      <c r="CE201" s="12" t="n"/>
      <c r="CF201" s="11" t="n"/>
      <c r="CG201" s="11" t="n"/>
      <c r="CH201" s="11" t="n"/>
      <c r="CI201" s="11" t="n"/>
      <c r="CJ201" s="12" t="n"/>
      <c r="CK201" s="11" t="n"/>
      <c r="CL201" s="11" t="n"/>
      <c r="CM201" s="11" t="n"/>
      <c r="CN201" s="11" t="n"/>
      <c r="CO201" s="12" t="n"/>
      <c r="CP201" s="11" t="n"/>
      <c r="CQ201" s="11" t="n"/>
      <c r="CR201" s="11" t="n"/>
      <c r="CS201" s="11" t="n"/>
      <c r="CT201" s="12" t="n"/>
      <c r="CU201" s="11" t="n"/>
      <c r="CV201" s="11" t="n"/>
      <c r="CW201" s="11" t="n"/>
      <c r="CX201" s="11" t="n"/>
      <c r="CY201" s="12" t="n"/>
    </row>
    <row r="202" hidden="1" outlineLevel="1">
      <c r="C202" s="57" t="inlineStr">
        <is>
          <t>Outros</t>
        </is>
      </c>
      <c r="D202" s="11" t="n"/>
      <c r="E202" s="11" t="n"/>
      <c r="F202" s="11" t="n"/>
      <c r="G202" s="11" t="n"/>
      <c r="H202" s="12" t="n"/>
      <c r="I202" s="11" t="n"/>
      <c r="J202" s="11" t="n"/>
      <c r="K202" s="11" t="n"/>
      <c r="L202" s="11" t="n"/>
      <c r="M202" s="12" t="n"/>
      <c r="N202" s="11" t="n"/>
      <c r="O202" s="11" t="n"/>
      <c r="P202" s="11" t="n"/>
      <c r="Q202" s="11" t="n"/>
      <c r="R202" s="12" t="n"/>
      <c r="S202" s="11" t="n"/>
      <c r="T202" s="11" t="n"/>
      <c r="U202" s="11" t="n"/>
      <c r="V202" s="11" t="n"/>
      <c r="W202" s="12" t="n"/>
      <c r="X202" s="11" t="n"/>
      <c r="Y202" s="11" t="n"/>
      <c r="Z202" s="11" t="n"/>
      <c r="AA202" s="11" t="n"/>
      <c r="AB202" s="12" t="n"/>
      <c r="AC202" s="11" t="n"/>
      <c r="AD202" s="11" t="n"/>
      <c r="AE202" s="11" t="n"/>
      <c r="AF202" s="11" t="n"/>
      <c r="AG202" s="12" t="n"/>
      <c r="AH202" s="11" t="n"/>
      <c r="AI202" s="11" t="n"/>
      <c r="AJ202" s="11" t="n"/>
      <c r="AK202" s="11" t="n"/>
      <c r="AL202" s="12" t="n"/>
      <c r="AM202" s="11" t="n"/>
      <c r="AN202" s="11" t="n"/>
      <c r="AO202" s="11" t="n"/>
      <c r="AP202" s="11" t="n"/>
      <c r="AQ202" s="12" t="n"/>
      <c r="AR202" s="11" t="n"/>
      <c r="AS202" s="11" t="n"/>
      <c r="AT202" s="11" t="n"/>
      <c r="AU202" s="11" t="n"/>
      <c r="AV202" s="12" t="n"/>
      <c r="AW202" s="11" t="n"/>
      <c r="AX202" s="11" t="n"/>
      <c r="AY202" s="11" t="n"/>
      <c r="AZ202" s="11" t="n"/>
      <c r="BA202" s="12" t="n"/>
      <c r="BB202" s="11" t="n"/>
      <c r="BC202" s="11" t="n"/>
      <c r="BD202" s="11" t="n"/>
      <c r="BE202" s="11" t="n"/>
      <c r="BF202" s="12" t="n"/>
      <c r="BG202" s="11" t="n"/>
      <c r="BH202" s="11" t="n"/>
      <c r="BI202" s="11" t="n"/>
      <c r="BJ202" s="11" t="n"/>
      <c r="BK202" s="12" t="n"/>
      <c r="BL202" s="11" t="n"/>
      <c r="BM202" s="11" t="n"/>
      <c r="BN202" s="11" t="n"/>
      <c r="BO202" s="11" t="n"/>
      <c r="BP202" s="12" t="n"/>
      <c r="BQ202" s="11" t="n"/>
      <c r="BR202" s="11" t="n"/>
      <c r="BS202" s="11" t="n"/>
      <c r="BT202" s="11" t="n"/>
      <c r="BU202" s="12" t="n"/>
      <c r="BV202" s="11" t="n"/>
      <c r="BW202" s="11" t="n"/>
      <c r="BX202" s="11" t="n"/>
      <c r="BY202" s="11" t="n"/>
      <c r="BZ202" s="12" t="n"/>
      <c r="CA202" s="11" t="n"/>
      <c r="CB202" s="11" t="n"/>
      <c r="CC202" s="11" t="n"/>
      <c r="CD202" s="11" t="n"/>
      <c r="CE202" s="12" t="n"/>
      <c r="CF202" s="11" t="n"/>
      <c r="CG202" s="11" t="n"/>
      <c r="CH202" s="11" t="n"/>
      <c r="CI202" s="11" t="n"/>
      <c r="CJ202" s="12" t="n"/>
      <c r="CK202" s="11" t="n"/>
      <c r="CL202" s="11" t="n"/>
      <c r="CM202" s="11" t="n"/>
      <c r="CN202" s="11" t="n"/>
      <c r="CO202" s="12" t="n"/>
      <c r="CP202" s="11" t="n"/>
      <c r="CQ202" s="11" t="n"/>
      <c r="CR202" s="11" t="n"/>
      <c r="CS202" s="11" t="n"/>
      <c r="CT202" s="12" t="n"/>
      <c r="CU202" s="11" t="n"/>
      <c r="CV202" s="11" t="n"/>
      <c r="CW202" s="11" t="n"/>
      <c r="CX202" s="11" t="n"/>
      <c r="CY202" s="12" t="n"/>
    </row>
    <row r="203" hidden="1" outlineLevel="1">
      <c r="C203" s="57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  <c r="P203" s="12" t="n"/>
      <c r="Q203" s="12" t="n"/>
      <c r="R203" s="12" t="n"/>
      <c r="S203" s="12" t="n"/>
      <c r="T203" s="12" t="n"/>
      <c r="U203" s="12" t="n"/>
      <c r="V203" s="12" t="n"/>
      <c r="W203" s="12" t="n"/>
      <c r="X203" s="12" t="n"/>
      <c r="Y203" s="12" t="n"/>
      <c r="Z203" s="12" t="n"/>
      <c r="AA203" s="12" t="n"/>
      <c r="AB203" s="12" t="n"/>
      <c r="AC203" s="12" t="n"/>
      <c r="AD203" s="12" t="n"/>
      <c r="AE203" s="12" t="n"/>
      <c r="AF203" s="12" t="n"/>
      <c r="AG203" s="12" t="n"/>
      <c r="AH203" s="12" t="n"/>
      <c r="AI203" s="12" t="n"/>
      <c r="AJ203" s="12" t="n"/>
      <c r="AK203" s="12" t="n"/>
      <c r="AL203" s="12" t="n"/>
      <c r="AM203" s="12" t="n"/>
      <c r="AN203" s="12" t="n"/>
      <c r="AO203" s="12" t="n"/>
      <c r="AP203" s="12" t="n"/>
      <c r="AQ203" s="12" t="n"/>
      <c r="AR203" s="12" t="n"/>
      <c r="AS203" s="12" t="n"/>
      <c r="AT203" s="12" t="n"/>
      <c r="AU203" s="12" t="n"/>
      <c r="AV203" s="12" t="n"/>
      <c r="AW203" s="12" t="n"/>
      <c r="AX203" s="12" t="n"/>
      <c r="AY203" s="12" t="n"/>
      <c r="AZ203" s="12" t="n"/>
      <c r="BA203" s="12" t="n"/>
      <c r="BB203" s="12" t="n"/>
      <c r="BC203" s="12" t="n"/>
      <c r="BD203" s="12" t="n"/>
      <c r="BE203" s="12" t="n"/>
      <c r="BF203" s="12" t="n"/>
      <c r="BG203" s="12" t="n"/>
      <c r="BH203" s="12" t="n"/>
      <c r="BI203" s="12" t="n"/>
      <c r="BJ203" s="12" t="n"/>
      <c r="BK203" s="12" t="n"/>
      <c r="BL203" s="12" t="n"/>
      <c r="BM203" s="12" t="n"/>
      <c r="BN203" s="12" t="n"/>
      <c r="BO203" s="12" t="n"/>
      <c r="BP203" s="12" t="n"/>
      <c r="BQ203" s="12" t="n"/>
      <c r="BR203" s="12" t="n"/>
      <c r="BS203" s="12" t="n"/>
      <c r="BT203" s="12" t="n"/>
      <c r="BU203" s="12" t="n"/>
      <c r="BV203" s="12" t="n"/>
      <c r="BW203" s="12" t="n"/>
      <c r="BX203" s="12" t="n"/>
      <c r="BY203" s="12" t="n"/>
      <c r="BZ203" s="12" t="n"/>
      <c r="CA203" s="12" t="n"/>
      <c r="CB203" s="12" t="n"/>
      <c r="CC203" s="12" t="n"/>
      <c r="CD203" s="12" t="n"/>
      <c r="CE203" s="12" t="n"/>
      <c r="CF203" s="12" t="n"/>
      <c r="CG203" s="12" t="n"/>
      <c r="CH203" s="12" t="n"/>
      <c r="CI203" s="12" t="n"/>
      <c r="CJ203" s="12" t="n"/>
      <c r="CK203" s="12" t="n"/>
      <c r="CL203" s="12" t="n"/>
      <c r="CM203" s="12" t="n"/>
      <c r="CN203" s="12" t="n"/>
      <c r="CO203" s="12" t="n"/>
      <c r="CP203" s="12" t="n"/>
      <c r="CQ203" s="12" t="n"/>
      <c r="CR203" s="12" t="n"/>
      <c r="CS203" s="12" t="n"/>
      <c r="CT203" s="12" t="n"/>
      <c r="CU203" s="12" t="n"/>
      <c r="CV203" s="12" t="n"/>
      <c r="CW203" s="12" t="n"/>
      <c r="CX203" s="12" t="n"/>
      <c r="CY203" s="12" t="n"/>
    </row>
    <row r="204" collapsed="1">
      <c r="C204" s="14" t="inlineStr">
        <is>
          <t>Current portion of long-term debt</t>
        </is>
      </c>
      <c r="D204" s="46" t="n"/>
      <c r="E204" s="46" t="n"/>
      <c r="F204" s="46" t="n"/>
      <c r="G204" s="46" t="n"/>
      <c r="H204" s="12" t="n"/>
      <c r="I204" s="46">
        <f>'Inputs (2)'!D32</f>
        <v>656</v>
      </c>
      <c r="J204" s="46">
        <f>'Inputs (2)'!E32</f>
        <v>1057</v>
      </c>
      <c r="K204" s="46">
        <f>'Inputs (2)'!F32</f>
        <v>897</v>
      </c>
      <c r="L204" s="46">
        <f>'Inputs (2)'!G32</f>
        <v>372</v>
      </c>
      <c r="M204" s="12">
        <f>'Inputs (2)'!H32</f>
        <v>372</v>
      </c>
      <c r="N204" s="46">
        <f>'Inputs (2)'!I32</f>
        <v>1365</v>
      </c>
      <c r="O204" s="46">
        <f>'Inputs (2)'!J32</f>
        <v>1038</v>
      </c>
      <c r="P204" s="46">
        <f>'Inputs (2)'!K32</f>
        <v>1032</v>
      </c>
      <c r="Q204" s="46">
        <f>'Inputs (2)'!L32</f>
        <v>1037</v>
      </c>
      <c r="R204" s="12">
        <f>'Inputs (2)'!M32</f>
        <v>1037</v>
      </c>
      <c r="S204" s="46">
        <f>'Inputs (2)'!N32</f>
        <v>49</v>
      </c>
      <c r="T204" s="46">
        <f>'Inputs (2)'!O32</f>
        <v>37</v>
      </c>
      <c r="U204" s="46">
        <f>'Inputs (2)'!P32</f>
        <v>35</v>
      </c>
      <c r="V204" s="46">
        <f>'Inputs (2)'!Q32</f>
        <v>766</v>
      </c>
      <c r="W204" s="12">
        <f>'Inputs (2)'!R32</f>
        <v>766</v>
      </c>
      <c r="X204" s="46">
        <f>'Inputs (2)'!S32</f>
        <v>769</v>
      </c>
      <c r="Y204" s="46">
        <f>'Inputs (2)'!T32</f>
        <v>768</v>
      </c>
      <c r="Z204" s="46">
        <f>'Inputs (2)'!U32</f>
        <v>769</v>
      </c>
      <c r="AA204" s="46">
        <f>'Inputs (2)'!V32</f>
        <v>41</v>
      </c>
      <c r="AB204" s="12">
        <f>'Inputs (2)'!W32</f>
        <v>41</v>
      </c>
      <c r="AC204" s="46">
        <f>'Inputs (2)'!X32</f>
        <v>495</v>
      </c>
      <c r="AD204" s="46">
        <f>'Inputs (2)'!Y32</f>
        <v>338</v>
      </c>
      <c r="AE204" s="46">
        <f>'Inputs (2)'!Z32</f>
        <v>383</v>
      </c>
      <c r="AF204" s="46">
        <f>'Inputs (2)'!AA32</f>
        <v>466</v>
      </c>
      <c r="AG204" s="12">
        <f>'Inputs (2)'!AB32</f>
        <v>466</v>
      </c>
      <c r="AH204" s="12">
        <f>'Inputs (2)'!AC32</f>
        <v>500</v>
      </c>
      <c r="AI204" s="12">
        <f>'Inputs (2)'!AD32</f>
        <v>1220</v>
      </c>
      <c r="AJ204" s="12">
        <f>AI204</f>
        <v>1220</v>
      </c>
      <c r="AK204" s="12">
        <f>AJ204</f>
        <v>1220</v>
      </c>
      <c r="AL204" s="12">
        <f>AK204</f>
        <v>1220</v>
      </c>
      <c r="AM204" s="12">
        <f>AL204</f>
        <v>1220</v>
      </c>
      <c r="AN204" s="12">
        <f>AM204</f>
        <v>1220</v>
      </c>
      <c r="AO204" s="12">
        <f>AN204</f>
        <v>1220</v>
      </c>
      <c r="AP204" s="12">
        <f>AO204</f>
        <v>1220</v>
      </c>
      <c r="AQ204" s="12">
        <f>AP204</f>
        <v>1220</v>
      </c>
      <c r="AR204" s="12">
        <f>AQ204</f>
        <v>1220</v>
      </c>
      <c r="AS204" s="12">
        <f>AR204</f>
        <v>1220</v>
      </c>
      <c r="AT204" s="12">
        <f>AS204</f>
        <v>1220</v>
      </c>
      <c r="AU204" s="12">
        <f>AT204</f>
        <v>1220</v>
      </c>
      <c r="AV204" s="12">
        <f>AU204</f>
        <v>1220</v>
      </c>
      <c r="AW204" s="12">
        <f>AV204</f>
        <v>1220</v>
      </c>
      <c r="AX204" s="12">
        <f>AW204</f>
        <v>1220</v>
      </c>
      <c r="AY204" s="12">
        <f>AX204</f>
        <v>1220</v>
      </c>
      <c r="AZ204" s="12">
        <f>AY204</f>
        <v>1220</v>
      </c>
      <c r="BA204" s="12">
        <f>AZ204</f>
        <v>1220</v>
      </c>
      <c r="BB204" s="12">
        <f>BA204</f>
        <v>1220</v>
      </c>
      <c r="BC204" s="12">
        <f>BB204</f>
        <v>1220</v>
      </c>
      <c r="BD204" s="12">
        <f>BC204</f>
        <v>1220</v>
      </c>
      <c r="BE204" s="12">
        <f>BD204</f>
        <v>1220</v>
      </c>
      <c r="BF204" s="12">
        <f>BE204</f>
        <v>1220</v>
      </c>
      <c r="BG204" s="12" t="n"/>
      <c r="BH204" s="12" t="n"/>
      <c r="BI204" s="12" t="n"/>
      <c r="BJ204" s="12" t="n"/>
      <c r="BK204" s="12" t="n"/>
      <c r="BL204" s="12" t="n"/>
      <c r="BM204" s="12" t="n"/>
      <c r="BN204" s="12" t="n"/>
      <c r="BO204" s="12" t="n"/>
      <c r="BP204" s="12" t="n"/>
      <c r="BQ204" s="12" t="n"/>
      <c r="BR204" s="12" t="n"/>
      <c r="BS204" s="12" t="n"/>
      <c r="BT204" s="12" t="n"/>
      <c r="BU204" s="12" t="n"/>
      <c r="BV204" s="12" t="n"/>
      <c r="BW204" s="12" t="n"/>
      <c r="BX204" s="12" t="n"/>
      <c r="BY204" s="12" t="n"/>
      <c r="BZ204" s="12" t="n"/>
      <c r="CA204" s="12" t="n"/>
      <c r="CB204" s="12" t="n"/>
      <c r="CC204" s="12" t="n"/>
      <c r="CD204" s="12" t="n"/>
      <c r="CE204" s="12" t="n"/>
      <c r="CF204" s="12" t="n"/>
      <c r="CG204" s="12" t="n"/>
      <c r="CH204" s="12" t="n"/>
      <c r="CI204" s="12" t="n"/>
      <c r="CJ204" s="12" t="n"/>
      <c r="CK204" s="12" t="n"/>
      <c r="CL204" s="12" t="n"/>
      <c r="CM204" s="12" t="n"/>
      <c r="CN204" s="12" t="n"/>
      <c r="CO204" s="12" t="n"/>
      <c r="CP204" s="12" t="n"/>
      <c r="CQ204" s="12" t="n"/>
      <c r="CR204" s="12" t="n"/>
      <c r="CS204" s="12" t="n"/>
      <c r="CT204" s="12" t="n"/>
      <c r="CU204" s="12" t="n"/>
      <c r="CV204" s="12" t="n"/>
      <c r="CW204" s="12" t="n"/>
      <c r="CX204" s="12" t="n"/>
      <c r="CY204" s="12" t="n"/>
    </row>
    <row r="205">
      <c r="C205" s="14" t="inlineStr">
        <is>
          <t>Short term debt (Revolving credit facility)</t>
        </is>
      </c>
      <c r="D205" s="46" t="n"/>
      <c r="E205" s="46" t="n"/>
      <c r="F205" s="46" t="n"/>
      <c r="G205" s="46" t="n"/>
      <c r="H205" s="12" t="n"/>
      <c r="I205" s="46">
        <f>'Inputs (2)'!D33</f>
        <v>0</v>
      </c>
      <c r="J205" s="46">
        <f>'Inputs (2)'!E33</f>
        <v>0</v>
      </c>
      <c r="K205" s="46">
        <f>'Inputs (2)'!F33</f>
        <v>0</v>
      </c>
      <c r="L205" s="46">
        <f>'Inputs (2)'!G33</f>
        <v>0</v>
      </c>
      <c r="M205" s="12">
        <f>'Inputs (2)'!H33</f>
        <v>0</v>
      </c>
      <c r="N205" s="46">
        <f>'Inputs (2)'!I33</f>
        <v>0</v>
      </c>
      <c r="O205" s="46">
        <f>'Inputs (2)'!J33</f>
        <v>0</v>
      </c>
      <c r="P205" s="46">
        <f>'Inputs (2)'!K33</f>
        <v>0</v>
      </c>
      <c r="Q205" s="46">
        <f>'Inputs (2)'!L33</f>
        <v>0</v>
      </c>
      <c r="R205" s="12">
        <f>'Inputs (2)'!M33</f>
        <v>0</v>
      </c>
      <c r="S205" s="46">
        <f>'Inputs (2)'!N33</f>
        <v>0</v>
      </c>
      <c r="T205" s="46">
        <f>'Inputs (2)'!O33</f>
        <v>0</v>
      </c>
      <c r="U205" s="46">
        <f>'Inputs (2)'!P33</f>
        <v>0</v>
      </c>
      <c r="V205" s="46">
        <f>'Inputs (2)'!Q33</f>
        <v>0</v>
      </c>
      <c r="W205" s="12">
        <f>'Inputs (2)'!R33</f>
        <v>0</v>
      </c>
      <c r="X205" s="46">
        <f>'Inputs (2)'!S33</f>
        <v>0</v>
      </c>
      <c r="Y205" s="46">
        <f>'Inputs (2)'!T33</f>
        <v>0</v>
      </c>
      <c r="Z205" s="46">
        <f>'Inputs (2)'!U33</f>
        <v>0</v>
      </c>
      <c r="AA205" s="46">
        <f>'Inputs (2)'!V33</f>
        <v>0</v>
      </c>
      <c r="AB205" s="12">
        <f>'Inputs (2)'!W33</f>
        <v>0</v>
      </c>
      <c r="AC205" s="46">
        <f>'Inputs (2)'!X33</f>
        <v>0</v>
      </c>
      <c r="AD205" s="46">
        <f>'Inputs (2)'!Y33</f>
        <v>0</v>
      </c>
      <c r="AE205" s="46">
        <f>'Inputs (2)'!Z33</f>
        <v>0</v>
      </c>
      <c r="AF205" s="46">
        <f>'Inputs (2)'!AA33</f>
        <v>0</v>
      </c>
      <c r="AG205" s="12">
        <f>'Inputs (2)'!AB33</f>
        <v>0</v>
      </c>
      <c r="AH205" s="12">
        <f>'Inputs (2)'!AC33</f>
        <v>0</v>
      </c>
      <c r="AI205" s="12">
        <f>'Inputs (2)'!AD33</f>
        <v>0</v>
      </c>
      <c r="AJ205" s="12">
        <f>AI205</f>
        <v>0</v>
      </c>
      <c r="AK205" s="12">
        <f>AJ205</f>
        <v>0</v>
      </c>
      <c r="AL205" s="12">
        <f>AK205</f>
        <v>0</v>
      </c>
      <c r="AM205" s="12">
        <f>AL205</f>
        <v>0</v>
      </c>
      <c r="AN205" s="12">
        <f>AM205</f>
        <v>0</v>
      </c>
      <c r="AO205" s="12">
        <f>AN205</f>
        <v>0</v>
      </c>
      <c r="AP205" s="12">
        <f>AO205</f>
        <v>0</v>
      </c>
      <c r="AQ205" s="12">
        <f>AP205</f>
        <v>0</v>
      </c>
      <c r="AR205" s="12">
        <f>AQ205</f>
        <v>0</v>
      </c>
      <c r="AS205" s="12">
        <f>AR205</f>
        <v>0</v>
      </c>
      <c r="AT205" s="12">
        <f>AS205</f>
        <v>0</v>
      </c>
      <c r="AU205" s="12">
        <f>AT205</f>
        <v>0</v>
      </c>
      <c r="AV205" s="12">
        <f>AU205</f>
        <v>0</v>
      </c>
      <c r="AW205" s="12">
        <f>AV205</f>
        <v>0</v>
      </c>
      <c r="AX205" s="12">
        <f>AW205</f>
        <v>0</v>
      </c>
      <c r="AY205" s="12">
        <f>AX205</f>
        <v>0</v>
      </c>
      <c r="AZ205" s="12">
        <f>AY205</f>
        <v>0</v>
      </c>
      <c r="BA205" s="12">
        <f>AZ205</f>
        <v>0</v>
      </c>
      <c r="BB205" s="12">
        <f>BA205</f>
        <v>0</v>
      </c>
      <c r="BC205" s="12">
        <f>BB205</f>
        <v>0</v>
      </c>
      <c r="BD205" s="12">
        <f>BC205</f>
        <v>0</v>
      </c>
      <c r="BE205" s="12">
        <f>BD205</f>
        <v>0</v>
      </c>
      <c r="BF205" s="12">
        <f>BE205</f>
        <v>0</v>
      </c>
      <c r="BG205" s="12" t="n"/>
      <c r="BH205" s="12" t="n"/>
      <c r="BI205" s="12" t="n"/>
      <c r="BJ205" s="12" t="n"/>
      <c r="BK205" s="12" t="n"/>
      <c r="BL205" s="12" t="n"/>
      <c r="BM205" s="12" t="n"/>
      <c r="BN205" s="12" t="n"/>
      <c r="BO205" s="12" t="n"/>
      <c r="BP205" s="12" t="n"/>
      <c r="BQ205" s="12" t="n"/>
      <c r="BR205" s="12" t="n"/>
      <c r="BS205" s="12" t="n"/>
      <c r="BT205" s="12" t="n"/>
      <c r="BU205" s="12" t="n"/>
      <c r="BV205" s="12" t="n"/>
      <c r="BW205" s="12" t="n"/>
      <c r="BX205" s="12" t="n"/>
      <c r="BY205" s="12" t="n"/>
      <c r="BZ205" s="12" t="n"/>
      <c r="CA205" s="12" t="n"/>
      <c r="CB205" s="12" t="n"/>
      <c r="CC205" s="12" t="n"/>
      <c r="CD205" s="12" t="n"/>
      <c r="CE205" s="12" t="n"/>
      <c r="CF205" s="12" t="n"/>
      <c r="CG205" s="12" t="n"/>
      <c r="CH205" s="12" t="n"/>
      <c r="CI205" s="12" t="n"/>
      <c r="CJ205" s="12" t="n"/>
      <c r="CK205" s="12" t="n"/>
      <c r="CL205" s="12" t="n"/>
      <c r="CM205" s="12" t="n"/>
      <c r="CN205" s="12" t="n"/>
      <c r="CO205" s="12" t="n"/>
      <c r="CP205" s="12" t="n"/>
      <c r="CQ205" s="12" t="n"/>
      <c r="CR205" s="12" t="n"/>
      <c r="CS205" s="12" t="n"/>
      <c r="CT205" s="12" t="n"/>
      <c r="CU205" s="12" t="n"/>
      <c r="CV205" s="12" t="n"/>
      <c r="CW205" s="12" t="n"/>
      <c r="CX205" s="12" t="n"/>
      <c r="CY205" s="12" t="n"/>
    </row>
    <row r="206">
      <c r="C206" s="14" t="inlineStr">
        <is>
          <t>Short term operating leases</t>
        </is>
      </c>
      <c r="D206" s="46" t="n"/>
      <c r="E206" s="46" t="n"/>
      <c r="F206" s="46" t="n"/>
      <c r="G206" s="46" t="n"/>
      <c r="H206" s="12" t="n"/>
      <c r="I206" s="46">
        <f>'Inputs (2)'!D34</f>
        <v>0</v>
      </c>
      <c r="J206" s="46">
        <f>'Inputs (2)'!E34</f>
        <v>0</v>
      </c>
      <c r="K206" s="46">
        <f>'Inputs (2)'!F34</f>
        <v>0</v>
      </c>
      <c r="L206" s="46">
        <f>'Inputs (2)'!G34</f>
        <v>0</v>
      </c>
      <c r="M206" s="12">
        <f>'Inputs (2)'!H34</f>
        <v>0</v>
      </c>
      <c r="N206" s="46">
        <f>'Inputs (2)'!I34</f>
        <v>0</v>
      </c>
      <c r="O206" s="46">
        <f>'Inputs (2)'!J34</f>
        <v>0</v>
      </c>
      <c r="P206" s="46">
        <f>'Inputs (2)'!K34</f>
        <v>0</v>
      </c>
      <c r="Q206" s="46">
        <f>'Inputs (2)'!L34</f>
        <v>0</v>
      </c>
      <c r="R206" s="12">
        <f>'Inputs (2)'!M34</f>
        <v>0</v>
      </c>
      <c r="S206" s="46">
        <f>'Inputs (2)'!N34</f>
        <v>0</v>
      </c>
      <c r="T206" s="46">
        <f>'Inputs (2)'!O34</f>
        <v>0</v>
      </c>
      <c r="U206" s="46">
        <f>'Inputs (2)'!P34</f>
        <v>0</v>
      </c>
      <c r="V206" s="46">
        <f>'Inputs (2)'!Q34</f>
        <v>0</v>
      </c>
      <c r="W206" s="12">
        <f>'Inputs (2)'!R34</f>
        <v>0</v>
      </c>
      <c r="X206" s="46">
        <f>'Inputs (2)'!S34</f>
        <v>0</v>
      </c>
      <c r="Y206" s="46">
        <f>'Inputs (2)'!T34</f>
        <v>0</v>
      </c>
      <c r="Z206" s="46">
        <f>'Inputs (2)'!U34</f>
        <v>0</v>
      </c>
      <c r="AA206" s="46">
        <f>'Inputs (2)'!V34</f>
        <v>0</v>
      </c>
      <c r="AB206" s="12">
        <f>'Inputs (2)'!W34</f>
        <v>0</v>
      </c>
      <c r="AC206" s="46">
        <f>'Inputs (2)'!X34</f>
        <v>0</v>
      </c>
      <c r="AD206" s="46">
        <f>'Inputs (2)'!Y34</f>
        <v>0</v>
      </c>
      <c r="AE206" s="46">
        <f>'Inputs (2)'!Z34</f>
        <v>0</v>
      </c>
      <c r="AF206" s="46">
        <f>'Inputs (2)'!AA34</f>
        <v>0</v>
      </c>
      <c r="AG206" s="12">
        <f>'Inputs (2)'!AB34</f>
        <v>0</v>
      </c>
      <c r="AH206" s="12">
        <f>'Inputs (2)'!AC34</f>
        <v>0</v>
      </c>
      <c r="AI206" s="12">
        <f>'Inputs (2)'!AD34</f>
        <v>0</v>
      </c>
      <c r="AJ206" s="12">
        <f>AI206</f>
        <v>0</v>
      </c>
      <c r="AK206" s="12">
        <f>AJ206</f>
        <v>0</v>
      </c>
      <c r="AL206" s="12">
        <f>AK206</f>
        <v>0</v>
      </c>
      <c r="AM206" s="12">
        <f>AL206</f>
        <v>0</v>
      </c>
      <c r="AN206" s="12">
        <f>AM206</f>
        <v>0</v>
      </c>
      <c r="AO206" s="12">
        <f>AN206</f>
        <v>0</v>
      </c>
      <c r="AP206" s="12">
        <f>AO206</f>
        <v>0</v>
      </c>
      <c r="AQ206" s="12">
        <f>AP206</f>
        <v>0</v>
      </c>
      <c r="AR206" s="12">
        <f>AQ206</f>
        <v>0</v>
      </c>
      <c r="AS206" s="12">
        <f>AR206</f>
        <v>0</v>
      </c>
      <c r="AT206" s="12">
        <f>AS206</f>
        <v>0</v>
      </c>
      <c r="AU206" s="12">
        <f>AT206</f>
        <v>0</v>
      </c>
      <c r="AV206" s="12">
        <f>AU206</f>
        <v>0</v>
      </c>
      <c r="AW206" s="12">
        <f>AV206</f>
        <v>0</v>
      </c>
      <c r="AX206" s="12">
        <f>AW206</f>
        <v>0</v>
      </c>
      <c r="AY206" s="12">
        <f>AX206</f>
        <v>0</v>
      </c>
      <c r="AZ206" s="12">
        <f>AY206</f>
        <v>0</v>
      </c>
      <c r="BA206" s="12">
        <f>AZ206</f>
        <v>0</v>
      </c>
      <c r="BB206" s="12">
        <f>BA206</f>
        <v>0</v>
      </c>
      <c r="BC206" s="12">
        <f>BB206</f>
        <v>0</v>
      </c>
      <c r="BD206" s="12">
        <f>BC206</f>
        <v>0</v>
      </c>
      <c r="BE206" s="12">
        <f>BD206</f>
        <v>0</v>
      </c>
      <c r="BF206" s="12">
        <f>BE206</f>
        <v>0</v>
      </c>
      <c r="BG206" s="12" t="n"/>
      <c r="BH206" s="12" t="n"/>
      <c r="BI206" s="12" t="n"/>
      <c r="BJ206" s="12" t="n"/>
      <c r="BK206" s="12" t="n"/>
      <c r="BL206" s="12" t="n"/>
      <c r="BM206" s="12" t="n"/>
      <c r="BN206" s="12" t="n"/>
      <c r="BO206" s="12" t="n"/>
      <c r="BP206" s="12" t="n"/>
      <c r="BQ206" s="12" t="n"/>
      <c r="BR206" s="12" t="n"/>
      <c r="BS206" s="12" t="n"/>
      <c r="BT206" s="12" t="n"/>
      <c r="BU206" s="12" t="n"/>
      <c r="BV206" s="12" t="n"/>
      <c r="BW206" s="12" t="n"/>
      <c r="BX206" s="12" t="n"/>
      <c r="BY206" s="12" t="n"/>
      <c r="BZ206" s="12" t="n"/>
      <c r="CA206" s="12" t="n"/>
      <c r="CB206" s="12" t="n"/>
      <c r="CC206" s="12" t="n"/>
      <c r="CD206" s="12" t="n"/>
      <c r="CE206" s="12" t="n"/>
      <c r="CF206" s="12" t="n"/>
      <c r="CG206" s="12" t="n"/>
      <c r="CH206" s="12" t="n"/>
      <c r="CI206" s="12" t="n"/>
      <c r="CJ206" s="12" t="n"/>
      <c r="CK206" s="12" t="n"/>
      <c r="CL206" s="12" t="n"/>
      <c r="CM206" s="12" t="n"/>
      <c r="CN206" s="12" t="n"/>
      <c r="CO206" s="12" t="n"/>
      <c r="CP206" s="12" t="n"/>
      <c r="CQ206" s="12" t="n"/>
      <c r="CR206" s="12" t="n"/>
      <c r="CS206" s="12" t="n"/>
      <c r="CT206" s="12" t="n"/>
      <c r="CU206" s="12" t="n"/>
      <c r="CV206" s="12" t="n"/>
      <c r="CW206" s="12" t="n"/>
      <c r="CX206" s="12" t="n"/>
      <c r="CY206" s="12" t="n"/>
    </row>
    <row r="207" hidden="1" outlineLevel="1">
      <c r="C207" s="59" t="inlineStr">
        <is>
          <t>%(Var.)</t>
        </is>
      </c>
      <c r="D207" s="12" t="n"/>
      <c r="E207" s="40" t="n"/>
      <c r="F207" s="40" t="n"/>
      <c r="G207" s="40" t="n"/>
      <c r="H207" s="12" t="n"/>
      <c r="I207" s="40" t="str">
        <f>""</f>
        <v/>
      </c>
      <c r="J207" s="40" t="str">
        <f>IFERROR(IF(I206=0,"",J206/I206-1),"")</f>
        <v/>
      </c>
      <c r="K207" s="40" t="str">
        <f>IFERROR(IF(J206=0,"",K206/J206-1),"")</f>
        <v/>
      </c>
      <c r="L207" s="40" t="str">
        <f>IFERROR(IF(K206=0,"",L206/K206-1),"")</f>
        <v/>
      </c>
      <c r="M207" s="12" t="str">
        <f>IF(L206=0,"",M206/L206-1)</f>
        <v/>
      </c>
      <c r="N207" s="40" t="str">
        <f>IFERROR(IF(M206=0,"",N206/M206-1),"")</f>
        <v/>
      </c>
      <c r="O207" s="40" t="str">
        <f>IFERROR(IF(N206=0,"",O206/N206-1),"")</f>
        <v/>
      </c>
      <c r="P207" s="40" t="str">
        <f>IFERROR(IF(O206=0,"",P206/O206-1),"")</f>
        <v/>
      </c>
      <c r="Q207" s="40" t="str">
        <f>IFERROR(IF(P206=0,"",Q206/P206-1),"")</f>
        <v/>
      </c>
      <c r="R207" s="12" t="str">
        <f>IF(Q206=0,"",R206/Q206-1)</f>
        <v/>
      </c>
      <c r="S207" s="40" t="str">
        <f>IFERROR(IF(R206=0,"",S206/R206-1),"")</f>
        <v/>
      </c>
      <c r="T207" s="40" t="str">
        <f>IFERROR(IF(S206=0,"",T206/S206-1),"")</f>
        <v/>
      </c>
      <c r="U207" s="40" t="str">
        <f>IFERROR(IF(T206=0,"",U206/T206-1),"")</f>
        <v/>
      </c>
      <c r="V207" s="40" t="str">
        <f>IFERROR(IF(U206=0,"",V206/U206-1),"")</f>
        <v/>
      </c>
      <c r="W207" s="12" t="str">
        <f>IF(V206=0,"",W206/V206-1)</f>
        <v/>
      </c>
      <c r="X207" s="40" t="str">
        <f>IFERROR(IF(W206=0,"",X206/W206-1),"")</f>
        <v/>
      </c>
      <c r="Y207" s="40" t="str">
        <f>IFERROR(IF(X206=0,"",Y206/X206-1),"")</f>
        <v/>
      </c>
      <c r="Z207" s="40" t="str">
        <f>IFERROR(IF(Y206=0,"",Z206/Y206-1),"")</f>
        <v/>
      </c>
      <c r="AA207" s="40" t="str">
        <f>IFERROR(IF(Z206=0,"",AA206/Z206-1),"")</f>
        <v/>
      </c>
      <c r="AB207" s="12" t="str">
        <f>IF(AA206=0,"",AB206/AA206-1)</f>
        <v/>
      </c>
      <c r="AC207" s="40" t="str">
        <f>IFERROR(IF(AB206=0,"",AC206/AB206-1),"")</f>
        <v/>
      </c>
      <c r="AD207" s="40" t="str">
        <f>IFERROR(IF(AC206=0,"",AD206/AC206-1),"")</f>
        <v/>
      </c>
      <c r="AE207" s="40" t="str">
        <f>IFERROR(IF(AD206=0,"",AE206/AD206-1),"")</f>
        <v/>
      </c>
      <c r="AF207" s="11" t="str">
        <f>IFERROR(IF(AE206=0,"",AF206/AE206-1),"")</f>
        <v/>
      </c>
      <c r="AG207" s="12" t="str">
        <f>IF(AF206=0,"",AG206/AF206-1)</f>
        <v/>
      </c>
      <c r="AH207" s="11" t="str">
        <f>IFERROR(IF(AG206=0,"",AH206/AG206-1),"")</f>
        <v/>
      </c>
      <c r="AI207" s="11" t="str">
        <f>IFERROR(IF(AH206=0,"",AI206/AH206-1),"")</f>
        <v/>
      </c>
      <c r="AJ207" s="11" t="str">
        <f>IFERROR(IF(AI206=0,"",AJ206/AI206-1),"")</f>
        <v/>
      </c>
      <c r="AK207" s="11" t="str">
        <f>IFERROR(IF(AJ206=0,"",AK206/AJ206-1),"")</f>
        <v/>
      </c>
      <c r="AL207" s="12" t="str">
        <f>IFERROR(IF(AK206=0,"",AL206/AK206-1),"")</f>
        <v/>
      </c>
      <c r="AM207" s="11" t="str">
        <f>IFERROR(IF(AL206=0,"",AM206/AL206-1),"")</f>
        <v/>
      </c>
      <c r="AN207" s="11" t="str">
        <f>IFERROR(IF(AM206=0,"",AN206/AM206-1),"")</f>
        <v/>
      </c>
      <c r="AO207" s="11" t="str">
        <f>IFERROR(IF(AN206=0,"",AO206/AN206-1),"")</f>
        <v/>
      </c>
      <c r="AP207" s="11" t="str">
        <f>IFERROR(IF(AO206=0,"",AP206/AO206-1),"")</f>
        <v/>
      </c>
      <c r="AQ207" s="12" t="str">
        <f>IFERROR(IF(AP206=0,"",AQ206/AP206-1),"")</f>
        <v/>
      </c>
      <c r="AR207" s="11" t="str">
        <f>IFERROR(IF(AQ206=0,"",AR206/AQ206-1),"")</f>
        <v/>
      </c>
      <c r="AS207" s="11" t="str">
        <f>IFERROR(IF(AR206=0,"",AS206/AR206-1),"")</f>
        <v/>
      </c>
      <c r="AT207" s="11" t="str">
        <f>IFERROR(IF(AS206=0,"",AT206/AS206-1),"")</f>
        <v/>
      </c>
      <c r="AU207" s="11" t="str">
        <f>IFERROR(IF(AT206=0,"",AU206/AT206-1),"")</f>
        <v/>
      </c>
      <c r="AV207" s="12" t="str">
        <f>IFERROR(IF(AU206=0,"",AV206/AU206-1),"")</f>
        <v/>
      </c>
      <c r="AW207" s="11" t="str">
        <f>IFERROR(IF(AV206=0,"",AW206/AV206-1),"")</f>
        <v/>
      </c>
      <c r="AX207" s="11" t="str">
        <f>IFERROR(IF(AW206=0,"",AX206/AW206-1),"")</f>
        <v/>
      </c>
      <c r="AY207" s="11" t="str">
        <f>IFERROR(IF(AX206=0,"",AY206/AX206-1),"")</f>
        <v/>
      </c>
      <c r="AZ207" s="11" t="str">
        <f>IFERROR(IF(AY206=0,"",AZ206/AY206-1),"")</f>
        <v/>
      </c>
      <c r="BA207" s="12" t="str">
        <f>IFERROR(IF(AZ206=0,"",BA206/AZ206-1),"")</f>
        <v/>
      </c>
      <c r="BB207" s="11" t="str">
        <f>IFERROR(IF(BA206=0,"",BB206/BA206-1),"")</f>
        <v/>
      </c>
      <c r="BC207" s="11" t="str">
        <f>IFERROR(IF(BB206=0,"",BC206/BB206-1),"")</f>
        <v/>
      </c>
      <c r="BD207" s="11" t="str">
        <f>IFERROR(IF(BC206=0,"",BD206/BC206-1),"")</f>
        <v/>
      </c>
      <c r="BE207" s="11" t="str">
        <f>IFERROR(IF(BD206=0,"",BE206/BD206-1),"")</f>
        <v/>
      </c>
      <c r="BF207" s="12" t="str">
        <f>IFERROR(IF(BE206=0,"",BF206/BE206-1),"")</f>
        <v/>
      </c>
      <c r="BG207" s="11" t="n"/>
      <c r="BH207" s="11" t="n"/>
      <c r="BI207" s="11" t="n"/>
      <c r="BJ207" s="11" t="n"/>
      <c r="BK207" s="12" t="n"/>
      <c r="BL207" s="11" t="n"/>
      <c r="BM207" s="11" t="n"/>
      <c r="BN207" s="11" t="n"/>
      <c r="BO207" s="11" t="n"/>
      <c r="BP207" s="12" t="n"/>
      <c r="BQ207" s="11" t="n"/>
      <c r="BR207" s="11" t="n"/>
      <c r="BS207" s="11" t="n"/>
      <c r="BT207" s="11" t="n"/>
      <c r="BU207" s="12" t="n"/>
      <c r="BV207" s="11" t="n"/>
      <c r="BW207" s="11" t="n"/>
      <c r="BX207" s="11" t="n"/>
      <c r="BY207" s="11" t="n"/>
      <c r="BZ207" s="12" t="n"/>
      <c r="CA207" s="11" t="n"/>
      <c r="CB207" s="11" t="n"/>
      <c r="CC207" s="11" t="n"/>
      <c r="CD207" s="11" t="n"/>
      <c r="CE207" s="12" t="n"/>
      <c r="CF207" s="11" t="n"/>
      <c r="CG207" s="11" t="n"/>
      <c r="CH207" s="11" t="n"/>
      <c r="CI207" s="11" t="n"/>
      <c r="CJ207" s="12" t="n"/>
      <c r="CK207" s="11" t="n"/>
      <c r="CL207" s="11" t="n"/>
      <c r="CM207" s="11" t="n"/>
      <c r="CN207" s="11" t="n"/>
      <c r="CO207" s="12" t="n"/>
      <c r="CP207" s="11" t="n"/>
      <c r="CQ207" s="11" t="n"/>
      <c r="CR207" s="11" t="n"/>
      <c r="CS207" s="11" t="n"/>
      <c r="CT207" s="12" t="n"/>
      <c r="CU207" s="11" t="n"/>
      <c r="CV207" s="11" t="n"/>
      <c r="CW207" s="11" t="n"/>
      <c r="CX207" s="11" t="n"/>
      <c r="CY207" s="12" t="n"/>
    </row>
    <row r="208" hidden="1" outlineLevel="1">
      <c r="C208" s="57" t="n"/>
      <c r="D208" s="12" t="n"/>
      <c r="E208" s="12" t="n"/>
      <c r="F208" s="12" t="n"/>
      <c r="G208" s="12" t="n"/>
      <c r="H208" s="12" t="n"/>
      <c r="I208" s="12" t="n"/>
      <c r="J208" s="12" t="n"/>
      <c r="K208" s="12" t="n"/>
      <c r="L208" s="12" t="n"/>
      <c r="M208" s="12" t="n"/>
      <c r="N208" s="12" t="n"/>
      <c r="O208" s="12" t="n"/>
      <c r="P208" s="12" t="n"/>
      <c r="Q208" s="12" t="n"/>
      <c r="R208" s="12" t="n"/>
      <c r="S208" s="12" t="n"/>
      <c r="T208" s="12" t="n"/>
      <c r="U208" s="12" t="n"/>
      <c r="V208" s="12" t="n"/>
      <c r="W208" s="12" t="n"/>
      <c r="X208" s="12" t="n"/>
      <c r="Y208" s="12" t="n"/>
      <c r="Z208" s="12" t="n"/>
      <c r="AA208" s="12" t="n"/>
      <c r="AB208" s="12" t="n"/>
      <c r="AC208" s="12" t="n"/>
      <c r="AD208" s="12" t="n"/>
      <c r="AE208" s="12" t="n"/>
      <c r="AF208" s="12" t="n"/>
      <c r="AG208" s="12" t="n"/>
      <c r="AH208" s="12" t="n"/>
      <c r="AI208" s="12" t="n"/>
      <c r="AJ208" s="12" t="n"/>
      <c r="AK208" s="12" t="n"/>
      <c r="AL208" s="12" t="n"/>
      <c r="AM208" s="12" t="n"/>
      <c r="AN208" s="12" t="n"/>
      <c r="AO208" s="12" t="n"/>
      <c r="AP208" s="12" t="n"/>
      <c r="AQ208" s="12" t="n"/>
      <c r="AR208" s="12" t="n"/>
      <c r="AS208" s="12" t="n"/>
      <c r="AT208" s="12" t="n"/>
      <c r="AU208" s="12" t="n"/>
      <c r="AV208" s="12" t="n"/>
      <c r="AW208" s="12" t="n"/>
      <c r="AX208" s="12" t="n"/>
      <c r="AY208" s="12" t="n"/>
      <c r="AZ208" s="12" t="n"/>
      <c r="BA208" s="12" t="n"/>
      <c r="BB208" s="12" t="n"/>
      <c r="BC208" s="12" t="n"/>
      <c r="BD208" s="12" t="n"/>
      <c r="BE208" s="12" t="n"/>
      <c r="BF208" s="12" t="n"/>
      <c r="BG208" s="12" t="n"/>
      <c r="BH208" s="12" t="n"/>
      <c r="BI208" s="12" t="n"/>
      <c r="BJ208" s="12" t="n"/>
      <c r="BK208" s="12" t="n"/>
      <c r="BL208" s="12" t="n"/>
      <c r="BM208" s="12" t="n"/>
      <c r="BN208" s="12" t="n"/>
      <c r="BO208" s="12" t="n"/>
      <c r="BP208" s="12" t="n"/>
      <c r="BQ208" s="12" t="n"/>
      <c r="BR208" s="12" t="n"/>
      <c r="BS208" s="12" t="n"/>
      <c r="BT208" s="12" t="n"/>
      <c r="BU208" s="12" t="n"/>
      <c r="BV208" s="12" t="n"/>
      <c r="BW208" s="12" t="n"/>
      <c r="BX208" s="12" t="n"/>
      <c r="BY208" s="12" t="n"/>
      <c r="BZ208" s="12" t="n"/>
      <c r="CA208" s="12" t="n"/>
      <c r="CB208" s="12" t="n"/>
      <c r="CC208" s="12" t="n"/>
      <c r="CD208" s="12" t="n"/>
      <c r="CE208" s="12" t="n"/>
      <c r="CF208" s="12" t="n"/>
      <c r="CG208" s="12" t="n"/>
      <c r="CH208" s="12" t="n"/>
      <c r="CI208" s="12" t="n"/>
      <c r="CJ208" s="12" t="n"/>
      <c r="CK208" s="12" t="n"/>
      <c r="CL208" s="12" t="n"/>
      <c r="CM208" s="12" t="n"/>
      <c r="CN208" s="12" t="n"/>
      <c r="CO208" s="12" t="n"/>
      <c r="CP208" s="12" t="n"/>
      <c r="CQ208" s="12" t="n"/>
      <c r="CR208" s="12" t="n"/>
      <c r="CS208" s="12" t="n"/>
      <c r="CT208" s="12" t="n"/>
      <c r="CU208" s="12" t="n"/>
      <c r="CV208" s="12" t="n"/>
      <c r="CW208" s="12" t="n"/>
      <c r="CX208" s="12" t="n"/>
      <c r="CY208" s="12" t="n"/>
    </row>
    <row r="209" collapsed="1">
      <c r="C209" s="14" t="inlineStr">
        <is>
          <t>Long term debt</t>
        </is>
      </c>
      <c r="D209" s="46" t="n"/>
      <c r="E209" s="46" t="n"/>
      <c r="F209" s="46" t="n"/>
      <c r="G209" s="46" t="n"/>
      <c r="H209" s="12" t="n"/>
      <c r="I209" s="46">
        <f>'Inputs (2)'!D35</f>
        <v>9153</v>
      </c>
      <c r="J209" s="46">
        <f>'Inputs (2)'!E35</f>
        <v>8638</v>
      </c>
      <c r="K209" s="46">
        <f>'Inputs (2)'!F35</f>
        <v>8768</v>
      </c>
      <c r="L209" s="46">
        <f>'Inputs (2)'!G35</f>
        <v>9078</v>
      </c>
      <c r="M209" s="12">
        <f>'Inputs (2)'!H35</f>
        <v>9078</v>
      </c>
      <c r="N209" s="46">
        <f>'Inputs (2)'!I35</f>
        <v>8256</v>
      </c>
      <c r="O209" s="46">
        <f>'Inputs (2)'!J35</f>
        <v>10054</v>
      </c>
      <c r="P209" s="46">
        <f>'Inputs (2)'!K35</f>
        <v>9658</v>
      </c>
      <c r="Q209" s="46">
        <f>'Inputs (2)'!L35</f>
        <v>9583</v>
      </c>
      <c r="R209" s="12">
        <f>'Inputs (2)'!M35</f>
        <v>9583</v>
      </c>
      <c r="S209" s="46">
        <f>'Inputs (2)'!N35</f>
        <v>9586</v>
      </c>
      <c r="T209" s="46">
        <f>'Inputs (2)'!O35</f>
        <v>9458</v>
      </c>
      <c r="U209" s="46">
        <f>'Inputs (2)'!P35</f>
        <v>9370</v>
      </c>
      <c r="V209" s="46">
        <f>'Inputs (2)'!Q35</f>
        <v>8656</v>
      </c>
      <c r="W209" s="12">
        <f>'Inputs (2)'!R35</f>
        <v>8656</v>
      </c>
      <c r="X209" s="46">
        <f>'Inputs (2)'!S35</f>
        <v>8656</v>
      </c>
      <c r="Y209" s="46">
        <f>'Inputs (2)'!T35</f>
        <v>8658</v>
      </c>
      <c r="Z209" s="46">
        <f>'Inputs (2)'!U35</f>
        <v>8910</v>
      </c>
      <c r="AA209" s="46">
        <f>'Inputs (2)'!V35</f>
        <v>8907</v>
      </c>
      <c r="AB209" s="12">
        <f>'Inputs (2)'!W35</f>
        <v>8907</v>
      </c>
      <c r="AC209" s="46">
        <f>'Inputs (2)'!X35</f>
        <v>8909</v>
      </c>
      <c r="AD209" s="46">
        <f>'Inputs (2)'!Y35</f>
        <v>8913</v>
      </c>
      <c r="AE209" s="46">
        <f>'Inputs (2)'!Z35</f>
        <v>8915</v>
      </c>
      <c r="AF209" s="46">
        <f>'Inputs (2)'!AA35</f>
        <v>8913</v>
      </c>
      <c r="AG209" s="12">
        <f>'Inputs (2)'!AB35</f>
        <v>8913</v>
      </c>
      <c r="AH209" s="12">
        <f>'Inputs (2)'!AC35</f>
        <v>8914</v>
      </c>
      <c r="AI209" s="12">
        <f>'Inputs (2)'!AD35</f>
        <v>8166</v>
      </c>
      <c r="AJ209" s="12">
        <f>AJ215</f>
        <v>8166</v>
      </c>
      <c r="AK209" s="12">
        <f>AK215</f>
        <v>8166</v>
      </c>
      <c r="AL209" s="12">
        <f>AK209</f>
        <v>8166</v>
      </c>
      <c r="AM209" s="12">
        <f>AM215</f>
        <v>8166</v>
      </c>
      <c r="AN209" s="12">
        <f>AN215</f>
        <v>8166</v>
      </c>
      <c r="AO209" s="12">
        <f>AO215</f>
        <v>8166</v>
      </c>
      <c r="AP209" s="12">
        <f>AP215</f>
        <v>8166</v>
      </c>
      <c r="AQ209" s="12">
        <f>AP209</f>
        <v>8166</v>
      </c>
      <c r="AR209" s="12">
        <f>AR215</f>
        <v>8166</v>
      </c>
      <c r="AS209" s="12">
        <f>AS215</f>
        <v>8166</v>
      </c>
      <c r="AT209" s="12">
        <f>AT215</f>
        <v>8166</v>
      </c>
      <c r="AU209" s="12">
        <f>AU215</f>
        <v>8166</v>
      </c>
      <c r="AV209" s="12">
        <f>AU209</f>
        <v>8166</v>
      </c>
      <c r="AW209" s="12">
        <f>AW215</f>
        <v>8166</v>
      </c>
      <c r="AX209" s="12">
        <f>AX215</f>
        <v>8166</v>
      </c>
      <c r="AY209" s="12">
        <f>AY215</f>
        <v>8166</v>
      </c>
      <c r="AZ209" s="12">
        <f>AZ215</f>
        <v>8166</v>
      </c>
      <c r="BA209" s="12">
        <f>AZ209</f>
        <v>8166</v>
      </c>
      <c r="BB209" s="12">
        <f>BB215</f>
        <v>8166</v>
      </c>
      <c r="BC209" s="12">
        <f>BC215</f>
        <v>8166</v>
      </c>
      <c r="BD209" s="12">
        <f>BD215</f>
        <v>8166</v>
      </c>
      <c r="BE209" s="12">
        <f>BE215</f>
        <v>8166</v>
      </c>
      <c r="BF209" s="12">
        <f>BE209</f>
        <v>8166</v>
      </c>
      <c r="BG209" s="12" t="n"/>
      <c r="BH209" s="12" t="n"/>
      <c r="BI209" s="12" t="n"/>
      <c r="BJ209" s="12" t="n"/>
      <c r="BK209" s="12" t="n"/>
      <c r="BL209" s="12" t="n"/>
      <c r="BM209" s="12" t="n"/>
      <c r="BN209" s="12" t="n"/>
      <c r="BO209" s="12" t="n"/>
      <c r="BP209" s="12" t="n"/>
      <c r="BQ209" s="12" t="n"/>
      <c r="BR209" s="12" t="n"/>
      <c r="BS209" s="12" t="n"/>
      <c r="BT209" s="12" t="n"/>
      <c r="BU209" s="12" t="n"/>
      <c r="BV209" s="12" t="n"/>
      <c r="BW209" s="12" t="n"/>
      <c r="BX209" s="12" t="n"/>
      <c r="BY209" s="12" t="n"/>
      <c r="BZ209" s="12" t="n"/>
      <c r="CA209" s="12" t="n"/>
      <c r="CB209" s="12" t="n"/>
      <c r="CC209" s="12" t="n"/>
      <c r="CD209" s="12" t="n"/>
      <c r="CE209" s="12" t="n"/>
      <c r="CF209" s="12" t="n"/>
      <c r="CG209" s="12" t="n"/>
      <c r="CH209" s="12" t="n"/>
      <c r="CI209" s="12" t="n"/>
      <c r="CJ209" s="12" t="n"/>
      <c r="CK209" s="12" t="n"/>
      <c r="CL209" s="12" t="n"/>
      <c r="CM209" s="12" t="n"/>
      <c r="CN209" s="12" t="n"/>
      <c r="CO209" s="12" t="n"/>
      <c r="CP209" s="12" t="n"/>
      <c r="CQ209" s="12" t="n"/>
      <c r="CR209" s="12" t="n"/>
      <c r="CS209" s="12" t="n"/>
      <c r="CT209" s="12" t="n"/>
      <c r="CU209" s="12" t="n"/>
      <c r="CV209" s="12" t="n"/>
      <c r="CW209" s="12" t="n"/>
      <c r="CX209" s="12" t="n"/>
      <c r="CY209" s="12" t="n"/>
    </row>
    <row r="210" hidden="1" outlineLevel="1">
      <c r="C210" s="57" t="n"/>
      <c r="D210" s="12" t="n"/>
      <c r="E210" s="12" t="n"/>
      <c r="F210" s="12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  <c r="P210" s="12" t="n"/>
      <c r="Q210" s="12" t="n"/>
      <c r="R210" s="12" t="n"/>
      <c r="S210" s="12" t="n"/>
      <c r="T210" s="12" t="n"/>
      <c r="U210" s="12" t="n"/>
      <c r="V210" s="12" t="n"/>
      <c r="W210" s="12" t="n"/>
      <c r="X210" s="12" t="n"/>
      <c r="Y210" s="12" t="n"/>
      <c r="Z210" s="12" t="n"/>
      <c r="AA210" s="12" t="n"/>
      <c r="AB210" s="12" t="n"/>
      <c r="AC210" s="12" t="n"/>
      <c r="AD210" s="12" t="n"/>
      <c r="AE210" s="12" t="n"/>
      <c r="AF210" s="12" t="n"/>
      <c r="AG210" s="12" t="n"/>
      <c r="AH210" s="12" t="n"/>
      <c r="AI210" s="12" t="n"/>
      <c r="AJ210" s="12" t="n"/>
      <c r="AK210" s="12" t="n"/>
      <c r="AL210" s="12" t="n"/>
      <c r="AM210" s="12" t="n"/>
      <c r="AN210" s="12" t="n"/>
      <c r="AO210" s="12" t="n"/>
      <c r="AP210" s="12" t="n"/>
      <c r="AQ210" s="12" t="n"/>
      <c r="AR210" s="12" t="n"/>
      <c r="AS210" s="12" t="n"/>
      <c r="AT210" s="12" t="n"/>
      <c r="AU210" s="12" t="n"/>
      <c r="AV210" s="12" t="n"/>
      <c r="AW210" s="12" t="n"/>
      <c r="AX210" s="12" t="n"/>
      <c r="AY210" s="12" t="n"/>
      <c r="AZ210" s="12" t="n"/>
      <c r="BA210" s="12" t="n"/>
      <c r="BB210" s="12" t="n"/>
      <c r="BC210" s="12" t="n"/>
      <c r="BD210" s="12" t="n"/>
      <c r="BE210" s="12" t="n"/>
      <c r="BF210" s="12" t="n"/>
      <c r="BG210" s="12" t="n"/>
      <c r="BH210" s="12" t="n"/>
      <c r="BI210" s="12" t="n"/>
      <c r="BJ210" s="12" t="n"/>
      <c r="BK210" s="12" t="n"/>
      <c r="BL210" s="12" t="n"/>
      <c r="BM210" s="12" t="n"/>
      <c r="BN210" s="12" t="n"/>
      <c r="BO210" s="12" t="n"/>
      <c r="BP210" s="12" t="n"/>
      <c r="BQ210" s="12" t="n"/>
      <c r="BR210" s="12" t="n"/>
      <c r="BS210" s="12" t="n"/>
      <c r="BT210" s="12" t="n"/>
      <c r="BU210" s="12" t="n"/>
      <c r="BV210" s="12" t="n"/>
      <c r="BW210" s="12" t="n"/>
      <c r="BX210" s="12" t="n"/>
      <c r="BY210" s="12" t="n"/>
      <c r="BZ210" s="12" t="n"/>
      <c r="CA210" s="12" t="n"/>
      <c r="CB210" s="12" t="n"/>
      <c r="CC210" s="12" t="n"/>
      <c r="CD210" s="12" t="n"/>
      <c r="CE210" s="12" t="n"/>
      <c r="CF210" s="12" t="n"/>
      <c r="CG210" s="12" t="n"/>
      <c r="CH210" s="12" t="n"/>
      <c r="CI210" s="12" t="n"/>
      <c r="CJ210" s="12" t="n"/>
      <c r="CK210" s="12" t="n"/>
      <c r="CL210" s="12" t="n"/>
      <c r="CM210" s="12" t="n"/>
      <c r="CN210" s="12" t="n"/>
      <c r="CO210" s="12" t="n"/>
      <c r="CP210" s="12" t="n"/>
      <c r="CQ210" s="12" t="n"/>
      <c r="CR210" s="12" t="n"/>
      <c r="CS210" s="12" t="n"/>
      <c r="CT210" s="12" t="n"/>
      <c r="CU210" s="12" t="n"/>
      <c r="CV210" s="12" t="n"/>
      <c r="CW210" s="12" t="n"/>
      <c r="CX210" s="12" t="n"/>
      <c r="CY210" s="12" t="n"/>
    </row>
    <row r="211" hidden="1" outlineLevel="1">
      <c r="C211" s="57" t="inlineStr">
        <is>
          <t>Current portion of LTD</t>
        </is>
      </c>
      <c r="D211" s="12" t="n"/>
      <c r="E211" s="12" t="n"/>
      <c r="F211" s="12" t="n"/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12" t="n"/>
      <c r="P211" s="12" t="n"/>
      <c r="Q211" s="12" t="n"/>
      <c r="R211" s="12" t="n"/>
      <c r="S211" s="12" t="n"/>
      <c r="T211" s="12" t="n"/>
      <c r="U211" s="12" t="n"/>
      <c r="V211" s="12" t="n"/>
      <c r="W211" s="12" t="n"/>
      <c r="X211" s="12" t="n"/>
      <c r="Y211" s="12" t="n"/>
      <c r="Z211" s="12" t="n"/>
      <c r="AA211" s="12" t="n"/>
      <c r="AB211" s="12" t="n"/>
      <c r="AC211" s="12" t="n"/>
      <c r="AD211" s="12" t="n"/>
      <c r="AE211" s="12" t="n"/>
      <c r="AF211" s="12" t="n"/>
      <c r="AG211" s="12" t="n"/>
      <c r="AH211" s="12">
        <f>AF204</f>
        <v>466</v>
      </c>
      <c r="AI211" s="62" t="n"/>
      <c r="AJ211" s="62" t="n"/>
      <c r="AK211" s="62" t="n"/>
      <c r="AL211" s="12" t="n"/>
      <c r="AM211" s="12">
        <f>AK204</f>
        <v>1220</v>
      </c>
      <c r="AN211" s="62" t="n"/>
      <c r="AO211" s="62" t="n"/>
      <c r="AP211" s="62" t="n"/>
      <c r="AQ211" s="12" t="n"/>
      <c r="AR211" s="12">
        <f>AP204</f>
        <v>1220</v>
      </c>
      <c r="AS211" s="62" t="n"/>
      <c r="AT211" s="62" t="n"/>
      <c r="AU211" s="62" t="n"/>
      <c r="AV211" s="12" t="n"/>
      <c r="AW211" s="12">
        <f>AU204</f>
        <v>1220</v>
      </c>
      <c r="AX211" s="62" t="n"/>
      <c r="AY211" s="62" t="n"/>
      <c r="AZ211" s="62" t="n"/>
      <c r="BA211" s="12" t="n"/>
      <c r="BB211" s="12">
        <f>AZ204</f>
        <v>1220</v>
      </c>
      <c r="BC211" s="62" t="n"/>
      <c r="BD211" s="62" t="n"/>
      <c r="BE211" s="62" t="n"/>
      <c r="BF211" s="12" t="n"/>
      <c r="BG211" s="12" t="n"/>
      <c r="BH211" s="62" t="n"/>
      <c r="BI211" s="62" t="n"/>
      <c r="BJ211" s="62" t="n"/>
      <c r="BK211" s="12" t="n"/>
      <c r="BL211" s="12" t="n"/>
      <c r="BM211" s="62" t="n"/>
      <c r="BN211" s="62" t="n"/>
      <c r="BO211" s="62" t="n"/>
      <c r="BP211" s="12" t="n"/>
      <c r="BQ211" s="12" t="n"/>
      <c r="BR211" s="62" t="n"/>
      <c r="BS211" s="62" t="n"/>
      <c r="BT211" s="62" t="n"/>
      <c r="BU211" s="12" t="n"/>
      <c r="BV211" s="12" t="n"/>
      <c r="BW211" s="62" t="n"/>
      <c r="BX211" s="62" t="n"/>
      <c r="BY211" s="62" t="n"/>
      <c r="BZ211" s="12" t="n"/>
      <c r="CA211" s="12" t="n"/>
      <c r="CB211" s="62" t="n"/>
      <c r="CC211" s="62" t="n"/>
      <c r="CD211" s="62" t="n"/>
      <c r="CE211" s="12" t="n"/>
      <c r="CF211" s="12" t="n"/>
      <c r="CG211" s="62" t="n"/>
      <c r="CH211" s="62" t="n"/>
      <c r="CI211" s="62" t="n"/>
      <c r="CJ211" s="12" t="n"/>
      <c r="CK211" s="12" t="n"/>
      <c r="CL211" s="62" t="n"/>
      <c r="CM211" s="62" t="n"/>
      <c r="CN211" s="62" t="n"/>
      <c r="CO211" s="12" t="n"/>
      <c r="CP211" s="12" t="n"/>
      <c r="CQ211" s="62" t="n"/>
      <c r="CR211" s="62" t="n"/>
      <c r="CS211" s="62" t="n"/>
      <c r="CT211" s="12" t="n"/>
      <c r="CU211" s="12" t="n"/>
      <c r="CV211" s="62" t="n"/>
      <c r="CW211" s="62" t="n"/>
      <c r="CX211" s="62" t="n"/>
      <c r="CY211" s="12" t="n"/>
    </row>
    <row r="212" hidden="1" outlineLevel="1">
      <c r="C212" s="57" t="n"/>
      <c r="D212" s="12" t="n"/>
      <c r="E212" s="12" t="n"/>
      <c r="F212" s="12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  <c r="P212" s="12" t="n"/>
      <c r="Q212" s="12" t="n"/>
      <c r="R212" s="12" t="n"/>
      <c r="S212" s="12" t="n"/>
      <c r="T212" s="12" t="n"/>
      <c r="U212" s="12" t="n"/>
      <c r="V212" s="12" t="n"/>
      <c r="W212" s="12" t="n"/>
      <c r="X212" s="12" t="n"/>
      <c r="Y212" s="12" t="n"/>
      <c r="Z212" s="12" t="n"/>
      <c r="AA212" s="12" t="n"/>
      <c r="AB212" s="12" t="n"/>
      <c r="AC212" s="12" t="n"/>
      <c r="AD212" s="12" t="n"/>
      <c r="AE212" s="12" t="n"/>
      <c r="AF212" s="12" t="n"/>
      <c r="AG212" s="12" t="n"/>
      <c r="AH212" s="12" t="n"/>
      <c r="AI212" s="12" t="n"/>
      <c r="AJ212" s="12" t="n"/>
      <c r="AK212" s="12" t="n"/>
      <c r="AL212" s="12" t="n"/>
      <c r="AM212" s="12" t="n"/>
      <c r="AN212" s="12" t="n"/>
      <c r="AO212" s="12" t="n"/>
      <c r="AP212" s="12" t="n"/>
      <c r="AQ212" s="12" t="n"/>
      <c r="AR212" s="12" t="n"/>
      <c r="AS212" s="12" t="n"/>
      <c r="AT212" s="12" t="n"/>
      <c r="AU212" s="12" t="n"/>
      <c r="AV212" s="12" t="n"/>
      <c r="AW212" s="12" t="n"/>
      <c r="AX212" s="12" t="n"/>
      <c r="AY212" s="12" t="n"/>
      <c r="AZ212" s="12" t="n"/>
      <c r="BA212" s="12" t="n"/>
      <c r="BB212" s="12" t="n"/>
      <c r="BC212" s="12" t="n"/>
      <c r="BD212" s="12" t="n"/>
      <c r="BE212" s="12" t="n"/>
      <c r="BF212" s="12" t="n"/>
      <c r="BG212" s="12" t="n"/>
      <c r="BH212" s="12" t="n"/>
      <c r="BI212" s="12" t="n"/>
      <c r="BJ212" s="12" t="n"/>
      <c r="BK212" s="12" t="n"/>
      <c r="BL212" s="12" t="n"/>
      <c r="BM212" s="12" t="n"/>
      <c r="BN212" s="12" t="n"/>
      <c r="BO212" s="12" t="n"/>
      <c r="BP212" s="12" t="n"/>
      <c r="BQ212" s="12" t="n"/>
      <c r="BR212" s="12" t="n"/>
      <c r="BS212" s="12" t="n"/>
      <c r="BT212" s="12" t="n"/>
      <c r="BU212" s="12" t="n"/>
      <c r="BV212" s="12" t="n"/>
      <c r="BW212" s="12" t="n"/>
      <c r="BX212" s="12" t="n"/>
      <c r="BY212" s="12" t="n"/>
      <c r="BZ212" s="12" t="n"/>
      <c r="CA212" s="12" t="n"/>
      <c r="CB212" s="12" t="n"/>
      <c r="CC212" s="12" t="n"/>
      <c r="CD212" s="12" t="n"/>
      <c r="CE212" s="12" t="n"/>
      <c r="CF212" s="12" t="n"/>
      <c r="CG212" s="12" t="n"/>
      <c r="CH212" s="12" t="n"/>
      <c r="CI212" s="12" t="n"/>
      <c r="CJ212" s="12" t="n"/>
      <c r="CK212" s="12" t="n"/>
      <c r="CL212" s="12" t="n"/>
      <c r="CM212" s="12" t="n"/>
      <c r="CN212" s="12" t="n"/>
      <c r="CO212" s="12" t="n"/>
      <c r="CP212" s="12" t="n"/>
      <c r="CQ212" s="12" t="n"/>
      <c r="CR212" s="12" t="n"/>
      <c r="CS212" s="12" t="n"/>
      <c r="CT212" s="12" t="n"/>
      <c r="CU212" s="12" t="n"/>
      <c r="CV212" s="12" t="n"/>
      <c r="CW212" s="12" t="n"/>
      <c r="CX212" s="12" t="n"/>
      <c r="CY212" s="12" t="n"/>
    </row>
    <row r="213" hidden="1" outlineLevel="1">
      <c r="C213" s="57" t="inlineStr">
        <is>
          <t>Reclassification of LTD to CP of LTD</t>
        </is>
      </c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  <c r="P213" s="12" t="n"/>
      <c r="Q213" s="12" t="n"/>
      <c r="R213" s="12" t="n"/>
      <c r="S213" s="12" t="n"/>
      <c r="T213" s="12" t="n"/>
      <c r="U213" s="12" t="n"/>
      <c r="V213" s="12" t="n"/>
      <c r="W213" s="12" t="n"/>
      <c r="X213" s="12" t="n"/>
      <c r="Y213" s="12" t="n"/>
      <c r="Z213" s="12" t="n"/>
      <c r="AA213" s="12" t="n"/>
      <c r="AB213" s="12" t="n"/>
      <c r="AC213" s="12" t="n"/>
      <c r="AD213" s="12" t="n"/>
      <c r="AE213" s="12" t="n"/>
      <c r="AF213" s="12" t="n"/>
      <c r="AG213" s="12" t="n"/>
      <c r="AH213" s="12" t="n"/>
      <c r="AI213" s="12">
        <f>-AI211</f>
        <v>0</v>
      </c>
      <c r="AJ213" s="12">
        <f>-AJ211</f>
        <v>0</v>
      </c>
      <c r="AK213" s="12">
        <f>-AK211</f>
        <v>0</v>
      </c>
      <c r="AL213" s="12" t="n"/>
      <c r="AM213" s="12" t="n"/>
      <c r="AN213" s="12">
        <f>-AN211</f>
        <v>0</v>
      </c>
      <c r="AO213" s="12">
        <f>-AO211</f>
        <v>0</v>
      </c>
      <c r="AP213" s="12">
        <f>-AP211</f>
        <v>0</v>
      </c>
      <c r="AQ213" s="12" t="n"/>
      <c r="AR213" s="12" t="n"/>
      <c r="AS213" s="12">
        <f>-AS211</f>
        <v>0</v>
      </c>
      <c r="AT213" s="12">
        <f>-AT211</f>
        <v>0</v>
      </c>
      <c r="AU213" s="12">
        <f>-AU211</f>
        <v>0</v>
      </c>
      <c r="AV213" s="12" t="n"/>
      <c r="AW213" s="12" t="n"/>
      <c r="AX213" s="12">
        <f>-AX211</f>
        <v>0</v>
      </c>
      <c r="AY213" s="12">
        <f>-AY211</f>
        <v>0</v>
      </c>
      <c r="AZ213" s="12">
        <f>-AZ211</f>
        <v>0</v>
      </c>
      <c r="BA213" s="12" t="n"/>
      <c r="BB213" s="12" t="n"/>
      <c r="BC213" s="12">
        <f>-BC211</f>
        <v>0</v>
      </c>
      <c r="BD213" s="12">
        <f>-BD211</f>
        <v>0</v>
      </c>
      <c r="BE213" s="12">
        <f>-BE211</f>
        <v>0</v>
      </c>
      <c r="BF213" s="12" t="n"/>
      <c r="BG213" s="12" t="n"/>
      <c r="BH213" s="12" t="n"/>
      <c r="BI213" s="12" t="n"/>
      <c r="BJ213" s="12" t="n"/>
      <c r="BK213" s="12" t="n"/>
      <c r="BL213" s="12" t="n"/>
      <c r="BM213" s="12" t="n"/>
      <c r="BN213" s="12" t="n"/>
      <c r="BO213" s="12" t="n"/>
      <c r="BP213" s="12" t="n"/>
      <c r="BQ213" s="12" t="n"/>
      <c r="BR213" s="12" t="n"/>
      <c r="BS213" s="12" t="n"/>
      <c r="BT213" s="12" t="n"/>
      <c r="BU213" s="12" t="n"/>
      <c r="BV213" s="12" t="n"/>
      <c r="BW213" s="12" t="n"/>
      <c r="BX213" s="12" t="n"/>
      <c r="BY213" s="12" t="n"/>
      <c r="BZ213" s="12" t="n"/>
      <c r="CA213" s="12" t="n"/>
      <c r="CB213" s="12" t="n"/>
      <c r="CC213" s="12" t="n"/>
      <c r="CD213" s="12" t="n"/>
      <c r="CE213" s="12" t="n"/>
      <c r="CF213" s="12" t="n"/>
      <c r="CG213" s="12" t="n"/>
      <c r="CH213" s="12" t="n"/>
      <c r="CI213" s="12" t="n"/>
      <c r="CJ213" s="12" t="n"/>
      <c r="CK213" s="12" t="n"/>
      <c r="CL213" s="12" t="n"/>
      <c r="CM213" s="12" t="n"/>
      <c r="CN213" s="12" t="n"/>
      <c r="CO213" s="12" t="n"/>
      <c r="CP213" s="12" t="n"/>
      <c r="CQ213" s="12" t="n"/>
      <c r="CR213" s="12" t="n"/>
      <c r="CS213" s="12" t="n"/>
      <c r="CT213" s="12" t="n"/>
      <c r="CU213" s="12" t="n"/>
      <c r="CV213" s="12" t="n"/>
      <c r="CW213" s="12" t="n"/>
      <c r="CX213" s="12" t="n"/>
      <c r="CY213" s="12" t="n"/>
    </row>
    <row r="214" hidden="1" outlineLevel="1">
      <c r="C214" s="57" t="inlineStr">
        <is>
          <t>Discretionary (paydown)/borrowing of long term debt</t>
        </is>
      </c>
      <c r="D214" s="12" t="n"/>
      <c r="E214" s="12" t="n"/>
      <c r="F214" s="12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  <c r="P214" s="12" t="n"/>
      <c r="Q214" s="12" t="n"/>
      <c r="R214" s="12" t="n"/>
      <c r="S214" s="12" t="n"/>
      <c r="T214" s="12" t="n"/>
      <c r="U214" s="12" t="n"/>
      <c r="V214" s="12" t="n"/>
      <c r="W214" s="12" t="n"/>
      <c r="X214" s="12" t="n"/>
      <c r="Y214" s="12" t="n"/>
      <c r="Z214" s="12" t="n"/>
      <c r="AA214" s="12" t="n"/>
      <c r="AB214" s="12" t="n"/>
      <c r="AC214" s="12" t="n"/>
      <c r="AD214" s="12" t="n"/>
      <c r="AE214" s="12" t="n"/>
      <c r="AF214" s="12" t="n"/>
      <c r="AG214" s="12" t="n"/>
      <c r="AH214" s="62" t="n"/>
      <c r="AI214" s="62" t="n"/>
      <c r="AJ214" s="62" t="n"/>
      <c r="AK214" s="62" t="n"/>
      <c r="AL214" s="12" t="n"/>
      <c r="AM214" s="62" t="n"/>
      <c r="AN214" s="62" t="n"/>
      <c r="AO214" s="62" t="n"/>
      <c r="AP214" s="62" t="n"/>
      <c r="AQ214" s="12" t="n"/>
      <c r="AR214" s="62" t="n"/>
      <c r="AS214" s="62" t="n"/>
      <c r="AT214" s="62" t="n"/>
      <c r="AU214" s="62" t="n"/>
      <c r="AV214" s="12" t="n"/>
      <c r="AW214" s="62" t="n"/>
      <c r="AX214" s="62" t="n"/>
      <c r="AY214" s="62" t="n"/>
      <c r="AZ214" s="62" t="n"/>
      <c r="BA214" s="12" t="n"/>
      <c r="BB214" s="62" t="n"/>
      <c r="BC214" s="62" t="n"/>
      <c r="BD214" s="62" t="n"/>
      <c r="BE214" s="62" t="n"/>
      <c r="BF214" s="12" t="n"/>
      <c r="BG214" s="62" t="n"/>
      <c r="BH214" s="62" t="n"/>
      <c r="BI214" s="62" t="n"/>
      <c r="BJ214" s="62" t="n"/>
      <c r="BK214" s="12" t="n"/>
      <c r="BL214" s="62" t="n"/>
      <c r="BM214" s="62" t="n"/>
      <c r="BN214" s="62" t="n"/>
      <c r="BO214" s="62" t="n"/>
      <c r="BP214" s="12" t="n"/>
      <c r="BQ214" s="62" t="n"/>
      <c r="BR214" s="62" t="n"/>
      <c r="BS214" s="62" t="n"/>
      <c r="BT214" s="62" t="n"/>
      <c r="BU214" s="12" t="n"/>
      <c r="BV214" s="62" t="n"/>
      <c r="BW214" s="62" t="n"/>
      <c r="BX214" s="62" t="n"/>
      <c r="BY214" s="62" t="n"/>
      <c r="BZ214" s="12" t="n"/>
      <c r="CA214" s="62" t="n"/>
      <c r="CB214" s="62" t="n"/>
      <c r="CC214" s="62" t="n"/>
      <c r="CD214" s="62" t="n"/>
      <c r="CE214" s="12" t="n"/>
      <c r="CF214" s="62" t="n"/>
      <c r="CG214" s="62" t="n"/>
      <c r="CH214" s="62" t="n"/>
      <c r="CI214" s="62" t="n"/>
      <c r="CJ214" s="12" t="n"/>
      <c r="CK214" s="62" t="n"/>
      <c r="CL214" s="62" t="n"/>
      <c r="CM214" s="62" t="n"/>
      <c r="CN214" s="62" t="n"/>
      <c r="CO214" s="12" t="n"/>
      <c r="CP214" s="62" t="n"/>
      <c r="CQ214" s="62" t="n"/>
      <c r="CR214" s="62" t="n"/>
      <c r="CS214" s="62" t="n"/>
      <c r="CT214" s="12" t="n"/>
      <c r="CU214" s="62" t="n"/>
      <c r="CV214" s="62" t="n"/>
      <c r="CW214" s="62" t="n"/>
      <c r="CX214" s="62" t="n"/>
      <c r="CY214" s="12" t="n"/>
    </row>
    <row r="215" hidden="1" outlineLevel="1">
      <c r="C215" s="57" t="inlineStr">
        <is>
          <t>Long term debt</t>
        </is>
      </c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  <c r="P215" s="12" t="n"/>
      <c r="Q215" s="12" t="n"/>
      <c r="R215" s="12" t="n"/>
      <c r="S215" s="12" t="n"/>
      <c r="T215" s="12" t="n"/>
      <c r="U215" s="12" t="n"/>
      <c r="V215" s="12" t="n"/>
      <c r="W215" s="12" t="n"/>
      <c r="X215" s="12" t="n"/>
      <c r="Y215" s="12" t="n"/>
      <c r="Z215" s="12" t="n"/>
      <c r="AA215" s="12" t="n"/>
      <c r="AB215" s="12" t="n"/>
      <c r="AC215" s="12" t="n"/>
      <c r="AD215" s="12" t="n"/>
      <c r="AE215" s="12" t="n"/>
      <c r="AF215" s="12" t="n"/>
      <c r="AG215" s="12" t="n"/>
      <c r="AH215" s="12">
        <f>AH209</f>
        <v>8914</v>
      </c>
      <c r="AI215" s="12">
        <f>AI209</f>
        <v>8166</v>
      </c>
      <c r="AJ215" s="12">
        <f>AI215+SUM(AJ213:AJ214)</f>
        <v>8166</v>
      </c>
      <c r="AK215" s="12">
        <f>AJ215+SUM(AK213:AK214)</f>
        <v>8166</v>
      </c>
      <c r="AL215" s="12" t="n"/>
      <c r="AM215" s="12">
        <f>AK215+SUM(AM213:AM214)</f>
        <v>8166</v>
      </c>
      <c r="AN215" s="12">
        <f>AM215+SUM(AN213:AN214)</f>
        <v>8166</v>
      </c>
      <c r="AO215" s="12">
        <f>AN215+SUM(AO213:AO214)</f>
        <v>8166</v>
      </c>
      <c r="AP215" s="12">
        <f>AO215+SUM(AP213:AP214)</f>
        <v>8166</v>
      </c>
      <c r="AQ215" s="12" t="n"/>
      <c r="AR215" s="12">
        <f>AP215+SUM(AR213:AR214)</f>
        <v>8166</v>
      </c>
      <c r="AS215" s="12">
        <f>AR215+SUM(AS213:AS214)</f>
        <v>8166</v>
      </c>
      <c r="AT215" s="12">
        <f>AS215+SUM(AT213:AT214)</f>
        <v>8166</v>
      </c>
      <c r="AU215" s="12">
        <f>AT215+SUM(AU213:AU214)</f>
        <v>8166</v>
      </c>
      <c r="AV215" s="12" t="n"/>
      <c r="AW215" s="12">
        <f>AU215+SUM(AW213:AW214)</f>
        <v>8166</v>
      </c>
      <c r="AX215" s="12">
        <f>AW215+SUM(AX213:AX214)</f>
        <v>8166</v>
      </c>
      <c r="AY215" s="12">
        <f>AX215+SUM(AY213:AY214)</f>
        <v>8166</v>
      </c>
      <c r="AZ215" s="12">
        <f>AY215+SUM(AZ213:AZ214)</f>
        <v>8166</v>
      </c>
      <c r="BA215" s="12" t="n"/>
      <c r="BB215" s="12">
        <f>AZ215+SUM(BB213:BB214)</f>
        <v>8166</v>
      </c>
      <c r="BC215" s="12">
        <f>BB215+SUM(BC213:BC214)</f>
        <v>8166</v>
      </c>
      <c r="BD215" s="12">
        <f>BC215+SUM(BD213:BD214)</f>
        <v>8166</v>
      </c>
      <c r="BE215" s="12">
        <f>BD215+SUM(BE213:BE214)</f>
        <v>8166</v>
      </c>
      <c r="BF215" s="12" t="n"/>
      <c r="BG215" s="12" t="n"/>
      <c r="BH215" s="12" t="n"/>
      <c r="BI215" s="12" t="n"/>
      <c r="BJ215" s="12" t="n"/>
      <c r="BK215" s="12" t="n"/>
      <c r="BL215" s="12" t="n"/>
      <c r="BM215" s="12" t="n"/>
      <c r="BN215" s="12" t="n"/>
      <c r="BO215" s="12" t="n"/>
      <c r="BP215" s="12" t="n"/>
      <c r="BQ215" s="12" t="n"/>
      <c r="BR215" s="12" t="n"/>
      <c r="BS215" s="12" t="n"/>
      <c r="BT215" s="12" t="n"/>
      <c r="BU215" s="12" t="n"/>
      <c r="BV215" s="12" t="n"/>
      <c r="BW215" s="12" t="n"/>
      <c r="BX215" s="12" t="n"/>
      <c r="BY215" s="12" t="n"/>
      <c r="BZ215" s="12" t="n"/>
      <c r="CA215" s="12" t="n"/>
      <c r="CB215" s="12" t="n"/>
      <c r="CC215" s="12" t="n"/>
      <c r="CD215" s="12" t="n"/>
      <c r="CE215" s="12" t="n"/>
      <c r="CF215" s="12" t="n"/>
      <c r="CG215" s="12" t="n"/>
      <c r="CH215" s="12" t="n"/>
      <c r="CI215" s="12" t="n"/>
      <c r="CJ215" s="12" t="n"/>
      <c r="CK215" s="12" t="n"/>
      <c r="CL215" s="12" t="n"/>
      <c r="CM215" s="12" t="n"/>
      <c r="CN215" s="12" t="n"/>
      <c r="CO215" s="12" t="n"/>
      <c r="CP215" s="12" t="n"/>
      <c r="CQ215" s="12" t="n"/>
      <c r="CR215" s="12" t="n"/>
      <c r="CS215" s="12" t="n"/>
      <c r="CT215" s="12" t="n"/>
      <c r="CU215" s="12" t="n"/>
      <c r="CV215" s="12" t="n"/>
      <c r="CW215" s="12" t="n"/>
      <c r="CX215" s="12" t="n"/>
      <c r="CY215" s="12" t="n"/>
    </row>
    <row r="216" hidden="1" outlineLevel="1">
      <c r="C216" s="57" t="n"/>
      <c r="D216" s="12" t="n"/>
      <c r="E216" s="12" t="n"/>
      <c r="F216" s="12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  <c r="P216" s="12" t="n"/>
      <c r="Q216" s="12" t="n"/>
      <c r="R216" s="12" t="n"/>
      <c r="S216" s="12" t="n"/>
      <c r="T216" s="12" t="n"/>
      <c r="U216" s="12" t="n"/>
      <c r="V216" s="12" t="n"/>
      <c r="W216" s="12" t="n"/>
      <c r="X216" s="12" t="n"/>
      <c r="Y216" s="12" t="n"/>
      <c r="Z216" s="12" t="n"/>
      <c r="AA216" s="12" t="n"/>
      <c r="AB216" s="12" t="n"/>
      <c r="AC216" s="12" t="n"/>
      <c r="AD216" s="12" t="n"/>
      <c r="AE216" s="12" t="n"/>
      <c r="AF216" s="12" t="n"/>
      <c r="AG216" s="12" t="n"/>
      <c r="AH216" s="12" t="n"/>
      <c r="AI216" s="12" t="n"/>
      <c r="AJ216" s="12" t="n"/>
      <c r="AK216" s="12" t="n"/>
      <c r="AL216" s="12" t="n"/>
      <c r="AM216" s="12" t="n"/>
      <c r="AN216" s="12" t="n"/>
      <c r="AO216" s="12" t="n"/>
      <c r="AP216" s="12" t="n"/>
      <c r="AQ216" s="12" t="n"/>
      <c r="AR216" s="12" t="n"/>
      <c r="AS216" s="12" t="n"/>
      <c r="AT216" s="12" t="n"/>
      <c r="AU216" s="12" t="n"/>
      <c r="AV216" s="12" t="n"/>
      <c r="AW216" s="12" t="n"/>
      <c r="AX216" s="12" t="n"/>
      <c r="AY216" s="12" t="n"/>
      <c r="AZ216" s="12" t="n"/>
      <c r="BA216" s="12" t="n"/>
      <c r="BB216" s="12" t="n"/>
      <c r="BC216" s="12" t="n"/>
      <c r="BD216" s="12" t="n"/>
      <c r="BE216" s="12" t="n"/>
      <c r="BF216" s="12" t="n"/>
      <c r="BG216" s="12" t="n"/>
      <c r="BH216" s="12" t="n"/>
      <c r="BI216" s="12" t="n"/>
      <c r="BJ216" s="12" t="n"/>
      <c r="BK216" s="12" t="n"/>
      <c r="BL216" s="12" t="n"/>
      <c r="BM216" s="12" t="n"/>
      <c r="BN216" s="12" t="n"/>
      <c r="BO216" s="12" t="n"/>
      <c r="BP216" s="12" t="n"/>
      <c r="BQ216" s="12" t="n"/>
      <c r="BR216" s="12" t="n"/>
      <c r="BS216" s="12" t="n"/>
      <c r="BT216" s="12" t="n"/>
      <c r="BU216" s="12" t="n"/>
      <c r="BV216" s="12" t="n"/>
      <c r="BW216" s="12" t="n"/>
      <c r="BX216" s="12" t="n"/>
      <c r="BY216" s="12" t="n"/>
      <c r="BZ216" s="12" t="n"/>
      <c r="CA216" s="12" t="n"/>
      <c r="CB216" s="12" t="n"/>
      <c r="CC216" s="12" t="n"/>
      <c r="CD216" s="12" t="n"/>
      <c r="CE216" s="12" t="n"/>
      <c r="CF216" s="12" t="n"/>
      <c r="CG216" s="12" t="n"/>
      <c r="CH216" s="12" t="n"/>
      <c r="CI216" s="12" t="n"/>
      <c r="CJ216" s="12" t="n"/>
      <c r="CK216" s="12" t="n"/>
      <c r="CL216" s="12" t="n"/>
      <c r="CM216" s="12" t="n"/>
      <c r="CN216" s="12" t="n"/>
      <c r="CO216" s="12" t="n"/>
      <c r="CP216" s="12" t="n"/>
      <c r="CQ216" s="12" t="n"/>
      <c r="CR216" s="12" t="n"/>
      <c r="CS216" s="12" t="n"/>
      <c r="CT216" s="12" t="n"/>
      <c r="CU216" s="12" t="n"/>
      <c r="CV216" s="12" t="n"/>
      <c r="CW216" s="12" t="n"/>
      <c r="CX216" s="12" t="n"/>
      <c r="CY216" s="12" t="n"/>
    </row>
    <row r="217" hidden="1" outlineLevel="1">
      <c r="C217" s="57" t="inlineStr">
        <is>
          <t>Discretionary (paydown)/borrowing of convertible debt</t>
        </is>
      </c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  <c r="P217" s="12" t="n"/>
      <c r="Q217" s="12" t="n"/>
      <c r="R217" s="12" t="n"/>
      <c r="S217" s="12" t="n"/>
      <c r="T217" s="12" t="n"/>
      <c r="U217" s="12" t="n"/>
      <c r="V217" s="12" t="n"/>
      <c r="W217" s="12" t="n"/>
      <c r="X217" s="12" t="n"/>
      <c r="Y217" s="12" t="n"/>
      <c r="Z217" s="12" t="n"/>
      <c r="AA217" s="12" t="n"/>
      <c r="AB217" s="12" t="n"/>
      <c r="AC217" s="12" t="n"/>
      <c r="AD217" s="12" t="n"/>
      <c r="AE217" s="12" t="n"/>
      <c r="AF217" s="12" t="n"/>
      <c r="AG217" s="12" t="n"/>
      <c r="AH217" s="62" t="n"/>
      <c r="AI217" s="62" t="n"/>
      <c r="AJ217" s="62" t="n"/>
      <c r="AK217" s="62" t="n"/>
      <c r="AL217" s="12" t="n"/>
      <c r="AM217" s="62" t="n"/>
      <c r="AN217" s="62" t="n"/>
      <c r="AO217" s="62" t="n"/>
      <c r="AP217" s="62" t="n"/>
      <c r="AQ217" s="12" t="n"/>
      <c r="AR217" s="62" t="n"/>
      <c r="AS217" s="62" t="n"/>
      <c r="AT217" s="62" t="n"/>
      <c r="AU217" s="62" t="n"/>
      <c r="AV217" s="12" t="n"/>
      <c r="AW217" s="62" t="n"/>
      <c r="AX217" s="62" t="n"/>
      <c r="AY217" s="62" t="n"/>
      <c r="AZ217" s="62" t="n"/>
      <c r="BA217" s="12" t="n"/>
      <c r="BB217" s="62" t="n"/>
      <c r="BC217" s="62" t="n"/>
      <c r="BD217" s="62" t="n"/>
      <c r="BE217" s="62" t="n"/>
      <c r="BF217" s="12" t="n"/>
      <c r="BG217" s="62" t="n"/>
      <c r="BH217" s="62" t="n"/>
      <c r="BI217" s="62" t="n"/>
      <c r="BJ217" s="62" t="n"/>
      <c r="BK217" s="12" t="n"/>
      <c r="BL217" s="62" t="n"/>
      <c r="BM217" s="62" t="n"/>
      <c r="BN217" s="62" t="n"/>
      <c r="BO217" s="62" t="n"/>
      <c r="BP217" s="12" t="n"/>
      <c r="BQ217" s="62" t="n"/>
      <c r="BR217" s="62" t="n"/>
      <c r="BS217" s="62" t="n"/>
      <c r="BT217" s="62" t="n"/>
      <c r="BU217" s="12" t="n"/>
      <c r="BV217" s="62" t="n"/>
      <c r="BW217" s="62" t="n"/>
      <c r="BX217" s="62" t="n"/>
      <c r="BY217" s="62" t="n"/>
      <c r="BZ217" s="12" t="n"/>
      <c r="CA217" s="62" t="n"/>
      <c r="CB217" s="62" t="n"/>
      <c r="CC217" s="62" t="n"/>
      <c r="CD217" s="62" t="n"/>
      <c r="CE217" s="12" t="n"/>
      <c r="CF217" s="62" t="n"/>
      <c r="CG217" s="62" t="n"/>
      <c r="CH217" s="62" t="n"/>
      <c r="CI217" s="62" t="n"/>
      <c r="CJ217" s="12" t="n"/>
      <c r="CK217" s="62" t="n"/>
      <c r="CL217" s="62" t="n"/>
      <c r="CM217" s="62" t="n"/>
      <c r="CN217" s="62" t="n"/>
      <c r="CO217" s="12" t="n"/>
      <c r="CP217" s="62" t="n"/>
      <c r="CQ217" s="62" t="n"/>
      <c r="CR217" s="62" t="n"/>
      <c r="CS217" s="62" t="n"/>
      <c r="CT217" s="12" t="n"/>
      <c r="CU217" s="62" t="n"/>
      <c r="CV217" s="62" t="n"/>
      <c r="CW217" s="62" t="n"/>
      <c r="CX217" s="62" t="n"/>
      <c r="CY217" s="12" t="n"/>
    </row>
    <row r="218" hidden="1" outlineLevel="1">
      <c r="C218" s="57" t="inlineStr">
        <is>
          <t>Convertible debt</t>
        </is>
      </c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12" t="n"/>
      <c r="Q218" s="12" t="n"/>
      <c r="R218" s="12" t="n"/>
      <c r="S218" s="12" t="n"/>
      <c r="T218" s="12" t="n"/>
      <c r="U218" s="12" t="n"/>
      <c r="V218" s="12" t="n"/>
      <c r="W218" s="12" t="n"/>
      <c r="X218" s="12" t="n"/>
      <c r="Y218" s="12" t="n"/>
      <c r="Z218" s="12" t="n"/>
      <c r="AA218" s="12" t="n"/>
      <c r="AB218" s="12" t="n"/>
      <c r="AC218" s="12" t="n"/>
      <c r="AD218" s="12" t="n"/>
      <c r="AE218" s="12" t="n"/>
      <c r="AF218" s="12" t="n"/>
      <c r="AG218" s="12" t="n"/>
      <c r="AH218" s="12">
        <f>AH230</f>
        <v>0</v>
      </c>
      <c r="AI218" s="12">
        <f>AH218+SUM(AI217)</f>
        <v>0</v>
      </c>
      <c r="AJ218" s="12">
        <f>AI218+SUM(AJ217)</f>
        <v>0</v>
      </c>
      <c r="AK218" s="12">
        <f>AJ218+SUM(AK217)</f>
        <v>0</v>
      </c>
      <c r="AL218" s="12" t="n"/>
      <c r="AM218" s="12">
        <f>AM230</f>
        <v>0</v>
      </c>
      <c r="AN218" s="12">
        <f>AM218+SUM(AN217)</f>
        <v>0</v>
      </c>
      <c r="AO218" s="12">
        <f>AN218+SUM(AO217)</f>
        <v>0</v>
      </c>
      <c r="AP218" s="12">
        <f>AO218+SUM(AP217)</f>
        <v>0</v>
      </c>
      <c r="AQ218" s="12" t="n"/>
      <c r="AR218" s="12">
        <f>AR230</f>
        <v>0</v>
      </c>
      <c r="AS218" s="12">
        <f>AR218+SUM(AS217)</f>
        <v>0</v>
      </c>
      <c r="AT218" s="12">
        <f>AS218+SUM(AT217)</f>
        <v>0</v>
      </c>
      <c r="AU218" s="12">
        <f>AT218+SUM(AU217)</f>
        <v>0</v>
      </c>
      <c r="AV218" s="12" t="n"/>
      <c r="AW218" s="12">
        <f>AW230</f>
        <v>0</v>
      </c>
      <c r="AX218" s="12">
        <f>AW218+SUM(AX217)</f>
        <v>0</v>
      </c>
      <c r="AY218" s="12">
        <f>AX218+SUM(AY217)</f>
        <v>0</v>
      </c>
      <c r="AZ218" s="12">
        <f>AY218+SUM(AZ217)</f>
        <v>0</v>
      </c>
      <c r="BA218" s="12" t="n"/>
      <c r="BB218" s="12">
        <f>BB230</f>
        <v>0</v>
      </c>
      <c r="BC218" s="12">
        <f>BB218+SUM(BC217)</f>
        <v>0</v>
      </c>
      <c r="BD218" s="12">
        <f>BC218+SUM(BD217)</f>
        <v>0</v>
      </c>
      <c r="BE218" s="12">
        <f>BD218+SUM(BE217)</f>
        <v>0</v>
      </c>
      <c r="BF218" s="12" t="n"/>
      <c r="BG218" s="12" t="n"/>
      <c r="BH218" s="12" t="n"/>
      <c r="BI218" s="12" t="n"/>
      <c r="BJ218" s="12" t="n"/>
      <c r="BK218" s="12" t="n"/>
      <c r="BL218" s="12" t="n"/>
      <c r="BM218" s="12" t="n"/>
      <c r="BN218" s="12" t="n"/>
      <c r="BO218" s="12" t="n"/>
      <c r="BP218" s="12" t="n"/>
      <c r="BQ218" s="12" t="n"/>
      <c r="BR218" s="12" t="n"/>
      <c r="BS218" s="12" t="n"/>
      <c r="BT218" s="12" t="n"/>
      <c r="BU218" s="12" t="n"/>
      <c r="BV218" s="12" t="n"/>
      <c r="BW218" s="12" t="n"/>
      <c r="BX218" s="12" t="n"/>
      <c r="BY218" s="12" t="n"/>
      <c r="BZ218" s="12" t="n"/>
      <c r="CA218" s="12" t="n"/>
      <c r="CB218" s="12" t="n"/>
      <c r="CC218" s="12" t="n"/>
      <c r="CD218" s="12" t="n"/>
      <c r="CE218" s="12" t="n"/>
      <c r="CF218" s="12" t="n"/>
      <c r="CG218" s="12" t="n"/>
      <c r="CH218" s="12" t="n"/>
      <c r="CI218" s="12" t="n"/>
      <c r="CJ218" s="12" t="n"/>
      <c r="CK218" s="12" t="n"/>
      <c r="CL218" s="12" t="n"/>
      <c r="CM218" s="12" t="n"/>
      <c r="CN218" s="12" t="n"/>
      <c r="CO218" s="12" t="n"/>
      <c r="CP218" s="12" t="n"/>
      <c r="CQ218" s="12" t="n"/>
      <c r="CR218" s="12" t="n"/>
      <c r="CS218" s="12" t="n"/>
      <c r="CT218" s="12" t="n"/>
      <c r="CU218" s="12" t="n"/>
      <c r="CV218" s="12" t="n"/>
      <c r="CW218" s="12" t="n"/>
      <c r="CX218" s="12" t="n"/>
      <c r="CY218" s="12" t="n"/>
    </row>
    <row r="219" hidden="1" outlineLevel="1">
      <c r="C219" s="57" t="n"/>
      <c r="D219" s="12" t="n"/>
      <c r="E219" s="12" t="n"/>
      <c r="F219" s="12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  <c r="P219" s="12" t="n"/>
      <c r="Q219" s="12" t="n"/>
      <c r="R219" s="12" t="n"/>
      <c r="S219" s="12" t="n"/>
      <c r="T219" s="12" t="n"/>
      <c r="U219" s="12" t="n"/>
      <c r="V219" s="12" t="n"/>
      <c r="W219" s="12" t="n"/>
      <c r="X219" s="12" t="n"/>
      <c r="Y219" s="12" t="n"/>
      <c r="Z219" s="12" t="n"/>
      <c r="AA219" s="12" t="n"/>
      <c r="AB219" s="12" t="n"/>
      <c r="AC219" s="12" t="n"/>
      <c r="AD219" s="12" t="n"/>
      <c r="AE219" s="12" t="n"/>
      <c r="AF219" s="12" t="n"/>
      <c r="AG219" s="12" t="n"/>
      <c r="AI219" s="12" t="n"/>
      <c r="AJ219" s="12" t="n"/>
      <c r="AK219" s="12" t="n"/>
      <c r="AL219" s="12" t="n"/>
      <c r="AN219" s="12" t="n"/>
      <c r="AO219" s="12" t="n"/>
      <c r="AP219" s="12" t="n"/>
      <c r="AQ219" s="12" t="n"/>
      <c r="AS219" s="12" t="n"/>
      <c r="AT219" s="12" t="n"/>
      <c r="AU219" s="12" t="n"/>
      <c r="AV219" s="12" t="n"/>
      <c r="AX219" s="12" t="n"/>
      <c r="AY219" s="12" t="n"/>
      <c r="AZ219" s="12" t="n"/>
      <c r="BA219" s="12" t="n"/>
      <c r="BC219" s="12" t="n"/>
      <c r="BD219" s="12" t="n"/>
      <c r="BE219" s="12" t="n"/>
      <c r="BF219" s="12" t="n"/>
      <c r="BH219" s="12" t="n"/>
      <c r="BI219" s="12" t="n"/>
      <c r="BJ219" s="12" t="n"/>
      <c r="BK219" s="12" t="n"/>
      <c r="BM219" s="12" t="n"/>
      <c r="BN219" s="12" t="n"/>
      <c r="BO219" s="12" t="n"/>
      <c r="BP219" s="12" t="n"/>
      <c r="BR219" s="12" t="n"/>
      <c r="BS219" s="12" t="n"/>
      <c r="BT219" s="12" t="n"/>
      <c r="BU219" s="12" t="n"/>
      <c r="BW219" s="12" t="n"/>
      <c r="BX219" s="12" t="n"/>
      <c r="BY219" s="12" t="n"/>
      <c r="BZ219" s="12" t="n"/>
      <c r="CB219" s="12" t="n"/>
      <c r="CC219" s="12" t="n"/>
      <c r="CD219" s="12" t="n"/>
      <c r="CE219" s="12" t="n"/>
      <c r="CG219" s="12" t="n"/>
      <c r="CH219" s="12" t="n"/>
      <c r="CI219" s="12" t="n"/>
      <c r="CJ219" s="12" t="n"/>
      <c r="CL219" s="12" t="n"/>
      <c r="CM219" s="12" t="n"/>
      <c r="CN219" s="12" t="n"/>
      <c r="CO219" s="12" t="n"/>
      <c r="CQ219" s="12" t="n"/>
      <c r="CR219" s="12" t="n"/>
      <c r="CS219" s="12" t="n"/>
      <c r="CT219" s="12" t="n"/>
      <c r="CV219" s="12" t="n"/>
      <c r="CW219" s="12" t="n"/>
      <c r="CX219" s="12" t="n"/>
      <c r="CY219" s="12" t="n"/>
    </row>
    <row r="220" hidden="1" outlineLevel="1">
      <c r="C220" s="57" t="inlineStr">
        <is>
          <t>Calculation of short term debt</t>
        </is>
      </c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12" t="n"/>
      <c r="Q220" s="12" t="n"/>
      <c r="R220" s="12" t="n"/>
      <c r="S220" s="12" t="n"/>
      <c r="T220" s="12" t="n"/>
      <c r="U220" s="12" t="n"/>
      <c r="V220" s="12" t="n"/>
      <c r="W220" s="12" t="n"/>
      <c r="X220" s="12" t="n"/>
      <c r="Y220" s="12" t="n"/>
      <c r="Z220" s="12" t="n"/>
      <c r="AA220" s="12" t="n"/>
      <c r="AB220" s="12" t="n"/>
      <c r="AC220" s="12" t="n"/>
      <c r="AD220" s="12" t="n"/>
      <c r="AE220" s="12" t="n"/>
      <c r="AF220" s="12" t="n"/>
      <c r="AG220" s="12" t="n"/>
      <c r="AH220" s="12" t="n"/>
      <c r="AI220" s="12" t="n"/>
      <c r="AJ220" s="12" t="n"/>
      <c r="AK220" s="12" t="n"/>
      <c r="AL220" s="12" t="n"/>
      <c r="AM220" s="12" t="n"/>
      <c r="AN220" s="12" t="n"/>
      <c r="AO220" s="12" t="n"/>
      <c r="AP220" s="12" t="n"/>
      <c r="AQ220" s="12" t="n"/>
      <c r="AR220" s="12" t="n"/>
      <c r="AS220" s="12" t="n"/>
      <c r="AT220" s="12" t="n"/>
      <c r="AU220" s="12" t="n"/>
      <c r="AV220" s="12" t="n"/>
      <c r="AW220" s="12" t="n"/>
      <c r="AX220" s="12" t="n"/>
      <c r="AY220" s="12" t="n"/>
      <c r="AZ220" s="12" t="n"/>
      <c r="BA220" s="12" t="n"/>
      <c r="BB220" s="12" t="n"/>
      <c r="BC220" s="12" t="n"/>
      <c r="BD220" s="12" t="n"/>
      <c r="BE220" s="12" t="n"/>
      <c r="BF220" s="12" t="n"/>
      <c r="BG220" s="12" t="n"/>
      <c r="BH220" s="12" t="n"/>
      <c r="BI220" s="12" t="n"/>
      <c r="BJ220" s="12" t="n"/>
      <c r="BK220" s="12" t="n"/>
      <c r="BL220" s="12" t="n"/>
      <c r="BM220" s="12" t="n"/>
      <c r="BN220" s="12" t="n"/>
      <c r="BO220" s="12" t="n"/>
      <c r="BP220" s="12" t="n"/>
      <c r="BQ220" s="12" t="n"/>
      <c r="BR220" s="12" t="n"/>
      <c r="BS220" s="12" t="n"/>
      <c r="BT220" s="12" t="n"/>
      <c r="BU220" s="12" t="n"/>
      <c r="BV220" s="12" t="n"/>
      <c r="BW220" s="12" t="n"/>
      <c r="BX220" s="12" t="n"/>
      <c r="BY220" s="12" t="n"/>
      <c r="BZ220" s="12" t="n"/>
      <c r="CA220" s="12" t="n"/>
      <c r="CB220" s="12" t="n"/>
      <c r="CC220" s="12" t="n"/>
      <c r="CD220" s="12" t="n"/>
      <c r="CE220" s="12" t="n"/>
      <c r="CF220" s="12" t="n"/>
      <c r="CG220" s="12" t="n"/>
      <c r="CH220" s="12" t="n"/>
      <c r="CI220" s="12" t="n"/>
      <c r="CJ220" s="12" t="n"/>
      <c r="CK220" s="12" t="n"/>
      <c r="CL220" s="12" t="n"/>
      <c r="CM220" s="12" t="n"/>
      <c r="CN220" s="12" t="n"/>
      <c r="CO220" s="12" t="n"/>
      <c r="CP220" s="12" t="n"/>
      <c r="CQ220" s="12" t="n"/>
      <c r="CR220" s="12" t="n"/>
      <c r="CS220" s="12" t="n"/>
      <c r="CT220" s="12" t="n"/>
      <c r="CU220" s="12" t="n"/>
      <c r="CV220" s="12" t="n"/>
      <c r="CW220" s="12" t="n"/>
      <c r="CX220" s="12" t="n"/>
      <c r="CY220" s="12" t="n"/>
    </row>
    <row r="221" hidden="1" outlineLevel="1">
      <c r="C221" s="57" t="inlineStr">
        <is>
          <t>Cash @ beginning of the period (end of last period)</t>
        </is>
      </c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12" t="n"/>
      <c r="Q221" s="12" t="n"/>
      <c r="R221" s="12" t="n"/>
      <c r="S221" s="12" t="n"/>
      <c r="T221" s="12" t="n"/>
      <c r="U221" s="12" t="n"/>
      <c r="V221" s="12" t="n"/>
      <c r="W221" s="12" t="n"/>
      <c r="X221" s="12" t="n"/>
      <c r="Y221" s="12" t="n"/>
      <c r="Z221" s="12" t="n"/>
      <c r="AA221" s="12" t="n"/>
      <c r="AB221" s="12" t="n"/>
      <c r="AC221" s="12" t="n"/>
      <c r="AD221" s="12" t="n"/>
      <c r="AE221" s="12" t="n"/>
      <c r="AF221" s="12" t="n"/>
      <c r="AG221" s="12" t="n"/>
      <c r="AH221" s="63">
        <f>AG136</f>
        <v>7997</v>
      </c>
      <c r="AI221" s="12" t="n"/>
      <c r="AJ221" s="12" t="n"/>
      <c r="AK221" s="12" t="n"/>
      <c r="AL221" s="12" t="n"/>
      <c r="AM221" s="63">
        <f>AL136</f>
        <v>4433.55481724496</v>
      </c>
      <c r="AN221" s="12" t="n"/>
      <c r="AO221" s="12" t="n"/>
      <c r="AP221" s="12" t="n"/>
      <c r="AQ221" s="12" t="n"/>
      <c r="AR221" s="63">
        <f>AQ136</f>
        <v>6951.16691924742</v>
      </c>
      <c r="AS221" s="12" t="n"/>
      <c r="AT221" s="12" t="n"/>
      <c r="AU221" s="12" t="n"/>
      <c r="AV221" s="12" t="n"/>
      <c r="AW221" s="63">
        <f>AV136</f>
        <v>9463.63524288242</v>
      </c>
      <c r="AX221" s="12" t="n"/>
      <c r="AY221" s="12" t="n"/>
      <c r="AZ221" s="12" t="n"/>
      <c r="BA221" s="12" t="n"/>
      <c r="BB221" s="63">
        <f>BA136</f>
        <v>11957.2462639106</v>
      </c>
      <c r="BC221" s="12" t="n"/>
      <c r="BD221" s="12" t="n"/>
      <c r="BE221" s="12" t="n"/>
      <c r="BF221" s="12" t="n"/>
      <c r="BG221" s="63" t="n"/>
      <c r="BH221" s="12" t="n"/>
      <c r="BI221" s="12" t="n"/>
      <c r="BJ221" s="12" t="n"/>
      <c r="BK221" s="12" t="n"/>
      <c r="BL221" s="63" t="n"/>
      <c r="BM221" s="12" t="n"/>
      <c r="BN221" s="12" t="n"/>
      <c r="BO221" s="12" t="n"/>
      <c r="BP221" s="12" t="n"/>
      <c r="BQ221" s="63" t="n"/>
      <c r="BR221" s="12" t="n"/>
      <c r="BS221" s="12" t="n"/>
      <c r="BT221" s="12" t="n"/>
      <c r="BU221" s="12" t="n"/>
      <c r="BV221" s="63" t="n"/>
      <c r="BW221" s="12" t="n"/>
      <c r="BX221" s="12" t="n"/>
      <c r="BY221" s="12" t="n"/>
      <c r="BZ221" s="12" t="n"/>
      <c r="CA221" s="63" t="n"/>
      <c r="CB221" s="12" t="n"/>
      <c r="CC221" s="12" t="n"/>
      <c r="CD221" s="12" t="n"/>
      <c r="CE221" s="12" t="n"/>
      <c r="CF221" s="63" t="n"/>
      <c r="CG221" s="12" t="n"/>
      <c r="CH221" s="12" t="n"/>
      <c r="CI221" s="12" t="n"/>
      <c r="CJ221" s="12" t="n"/>
      <c r="CK221" s="63" t="n"/>
      <c r="CL221" s="12" t="n"/>
      <c r="CM221" s="12" t="n"/>
      <c r="CN221" s="12" t="n"/>
      <c r="CO221" s="12" t="n"/>
      <c r="CP221" s="63" t="n"/>
      <c r="CQ221" s="12" t="n"/>
      <c r="CR221" s="12" t="n"/>
      <c r="CS221" s="12" t="n"/>
      <c r="CT221" s="12" t="n"/>
      <c r="CU221" s="63" t="n"/>
      <c r="CV221" s="12" t="n"/>
      <c r="CW221" s="12" t="n"/>
      <c r="CX221" s="12" t="n"/>
      <c r="CY221" s="12" t="n"/>
    </row>
    <row r="222" hidden="1" outlineLevel="1">
      <c r="C222" s="57" t="inlineStr">
        <is>
          <t>Plus: Free cash flows prior to debt during period</t>
        </is>
      </c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  <c r="P222" s="12" t="n"/>
      <c r="Q222" s="12" t="n"/>
      <c r="R222" s="12" t="n"/>
      <c r="S222" s="12" t="n"/>
      <c r="T222" s="12" t="n"/>
      <c r="U222" s="12" t="n"/>
      <c r="V222" s="12" t="n"/>
      <c r="W222" s="12" t="n"/>
      <c r="X222" s="12" t="n"/>
      <c r="Y222" s="12" t="n"/>
      <c r="Z222" s="12" t="n"/>
      <c r="AA222" s="12" t="n"/>
      <c r="AB222" s="12" t="n"/>
      <c r="AC222" s="12" t="n"/>
      <c r="AD222" s="12" t="n"/>
      <c r="AE222" s="12" t="n"/>
      <c r="AF222" s="12" t="n"/>
      <c r="AG222" s="12" t="inlineStr">
        <is>
          <t>% of sales</t>
        </is>
      </c>
      <c r="AH222" s="64">
        <f>(AH284+AH291)+SUM(AH294:AH300)</f>
        <v>-99</v>
      </c>
      <c r="AI222" s="64">
        <f>(AI284+AI291)+SUM(AI294:AI300)</f>
        <v>-511</v>
      </c>
      <c r="AJ222" s="64">
        <f>(AJ284+AJ291)+SUM(AJ294:AJ300)</f>
        <v>0</v>
      </c>
      <c r="AK222" s="64">
        <f>(AK284+AK291)+SUM(AK294:AK300)</f>
        <v>0</v>
      </c>
      <c r="AL222" s="12" t="n"/>
      <c r="AM222" s="64">
        <f>(AM284+AM291)+SUM(AM294:AM300)</f>
        <v>0</v>
      </c>
      <c r="AN222" s="64">
        <f>(AN284+AN291)+SUM(AN294:AN300)</f>
        <v>0</v>
      </c>
      <c r="AO222" s="64">
        <f>(AO284+AO291)+SUM(AO294:AO300)</f>
        <v>0</v>
      </c>
      <c r="AP222" s="64">
        <f>(AP284+AP291)+SUM(AP294:AP300)</f>
        <v>0</v>
      </c>
      <c r="AQ222" s="12" t="n"/>
      <c r="AR222" s="64">
        <f>(AR284+AR291)+SUM(AR294:AR300)</f>
        <v>0</v>
      </c>
      <c r="AS222" s="64">
        <f>(AS284+AS291)+SUM(AS294:AS300)</f>
        <v>0</v>
      </c>
      <c r="AT222" s="64">
        <f>(AT284+AT291)+SUM(AT294:AT300)</f>
        <v>0</v>
      </c>
      <c r="AU222" s="64">
        <f>(AU284+AU291)+SUM(AU294:AU300)</f>
        <v>0</v>
      </c>
      <c r="AV222" s="12" t="n"/>
      <c r="AW222" s="64">
        <f>(AW284+AW291)+SUM(AW294:AW300)</f>
        <v>0</v>
      </c>
      <c r="AX222" s="64">
        <f>(AX284+AX291)+SUM(AX294:AX300)</f>
        <v>0</v>
      </c>
      <c r="AY222" s="64">
        <f>(AY284+AY291)+SUM(AY294:AY300)</f>
        <v>0</v>
      </c>
      <c r="AZ222" s="64">
        <f>(AZ284+AZ291)+SUM(AZ294:AZ300)</f>
        <v>0</v>
      </c>
      <c r="BA222" s="12" t="n"/>
      <c r="BB222" s="64">
        <f>(BB284+BB291)+SUM(BB294:BB300)</f>
        <v>0</v>
      </c>
      <c r="BC222" s="64">
        <f>(BC284+BC291)+SUM(BC294:BC300)</f>
        <v>0</v>
      </c>
      <c r="BD222" s="64">
        <f>(BD284+BD291)+SUM(BD294:BD300)</f>
        <v>0</v>
      </c>
      <c r="BE222" s="64">
        <f>(BE284+BE291)+SUM(BE294:BE300)</f>
        <v>0</v>
      </c>
      <c r="BF222" s="12" t="n"/>
      <c r="BG222" s="64" t="n"/>
      <c r="BH222" s="64" t="n"/>
      <c r="BI222" s="64" t="n"/>
      <c r="BJ222" s="64" t="n"/>
      <c r="BK222" s="12" t="n"/>
      <c r="BL222" s="64" t="n"/>
      <c r="BM222" s="64" t="n"/>
      <c r="BN222" s="64" t="n"/>
      <c r="BO222" s="64" t="n"/>
      <c r="BP222" s="12" t="n"/>
      <c r="BQ222" s="64" t="n"/>
      <c r="BR222" s="64" t="n"/>
      <c r="BS222" s="64" t="n"/>
      <c r="BT222" s="64" t="n"/>
      <c r="BU222" s="12" t="n"/>
      <c r="BV222" s="64" t="n"/>
      <c r="BW222" s="64" t="n"/>
      <c r="BX222" s="64" t="n"/>
      <c r="BY222" s="64" t="n"/>
      <c r="BZ222" s="12" t="n"/>
      <c r="CA222" s="64" t="n"/>
      <c r="CB222" s="64" t="n"/>
      <c r="CC222" s="64" t="n"/>
      <c r="CD222" s="64" t="n"/>
      <c r="CE222" s="12" t="n"/>
      <c r="CF222" s="64" t="n"/>
      <c r="CG222" s="64" t="n"/>
      <c r="CH222" s="64" t="n"/>
      <c r="CI222" s="64" t="n"/>
      <c r="CJ222" s="12" t="n"/>
      <c r="CK222" s="64" t="n"/>
      <c r="CL222" s="64" t="n"/>
      <c r="CM222" s="64" t="n"/>
      <c r="CN222" s="64" t="n"/>
      <c r="CO222" s="12" t="n"/>
      <c r="CP222" s="64" t="n"/>
      <c r="CQ222" s="64" t="n"/>
      <c r="CR222" s="64" t="n"/>
      <c r="CS222" s="64" t="n"/>
      <c r="CT222" s="12" t="n"/>
      <c r="CU222" s="64" t="n"/>
      <c r="CV222" s="64" t="n"/>
      <c r="CW222" s="64" t="n"/>
      <c r="CX222" s="64" t="n"/>
      <c r="CY222" s="12" t="n"/>
    </row>
    <row r="223" hidden="1" outlineLevel="1">
      <c r="C223" s="57" t="inlineStr">
        <is>
          <t>Less: Minimum cash balance</t>
        </is>
      </c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  <c r="P223" s="12" t="n"/>
      <c r="Q223" s="12" t="n"/>
      <c r="R223" s="12" t="n"/>
      <c r="S223" s="12" t="n"/>
      <c r="T223" s="12" t="n"/>
      <c r="U223" s="12" t="n"/>
      <c r="V223" s="12" t="n"/>
      <c r="W223" s="12" t="n"/>
      <c r="X223" s="12" t="n"/>
      <c r="Y223" s="12" t="n"/>
      <c r="Z223" s="12" t="n"/>
      <c r="AA223" s="12" t="n"/>
      <c r="AB223" s="12" t="n"/>
      <c r="AC223" s="12" t="n"/>
      <c r="AD223" s="12" t="n"/>
      <c r="AE223" s="12" t="n"/>
      <c r="AF223" s="12" t="n"/>
      <c r="AG223" s="52" t="n"/>
      <c r="AH223" s="12">
        <f>($AG$223*AH15)</f>
        <v>0</v>
      </c>
      <c r="AI223" s="12">
        <f>($AG$223*AI15)</f>
        <v>0</v>
      </c>
      <c r="AJ223" s="12">
        <f>($AG$223*AJ15)</f>
        <v>0</v>
      </c>
      <c r="AK223" s="12">
        <f>($AG$223*AK15)</f>
        <v>0</v>
      </c>
      <c r="AL223" s="12" t="n"/>
      <c r="AM223" s="12">
        <f>($AG$223*AM15)</f>
        <v>0</v>
      </c>
      <c r="AN223" s="12">
        <f>($AG$223*AN15)</f>
        <v>0</v>
      </c>
      <c r="AO223" s="12">
        <f>($AG$223*AO15)</f>
        <v>0</v>
      </c>
      <c r="AP223" s="12">
        <f>($AG$223*AP15)</f>
        <v>0</v>
      </c>
      <c r="AQ223" s="12" t="n"/>
      <c r="AR223" s="12">
        <f>($AG$223*AR15)</f>
        <v>0</v>
      </c>
      <c r="AS223" s="12">
        <f>($AG$223*AS15)</f>
        <v>0</v>
      </c>
      <c r="AT223" s="12">
        <f>($AG$223*AT15)</f>
        <v>0</v>
      </c>
      <c r="AU223" s="12">
        <f>($AG$223*AU15)</f>
        <v>0</v>
      </c>
      <c r="AV223" s="12" t="n"/>
      <c r="AW223" s="12">
        <f>($AG$223*AW15)</f>
        <v>0</v>
      </c>
      <c r="AX223" s="12">
        <f>($AG$223*AX15)</f>
        <v>0</v>
      </c>
      <c r="AY223" s="12">
        <f>($AG$223*AY15)</f>
        <v>0</v>
      </c>
      <c r="AZ223" s="12">
        <f>($AG$223*AZ15)</f>
        <v>0</v>
      </c>
      <c r="BA223" s="12" t="n"/>
      <c r="BB223" s="12">
        <f>($AG$223*BB15)</f>
        <v>0</v>
      </c>
      <c r="BC223" s="12">
        <f>($AG$223*BC15)</f>
        <v>0</v>
      </c>
      <c r="BD223" s="12">
        <f>($AG$223*BD15)</f>
        <v>0</v>
      </c>
      <c r="BE223" s="12">
        <f>($AG$223*BE15)</f>
        <v>0</v>
      </c>
      <c r="BF223" s="12" t="n"/>
      <c r="BG223" s="12" t="n"/>
      <c r="BH223" s="12" t="n"/>
      <c r="BI223" s="12" t="n"/>
      <c r="BJ223" s="12" t="n"/>
      <c r="BK223" s="12" t="n"/>
      <c r="BL223" s="12" t="n"/>
      <c r="BM223" s="12" t="n"/>
      <c r="BN223" s="12" t="n"/>
      <c r="BO223" s="12" t="n"/>
      <c r="BP223" s="12" t="n"/>
      <c r="BQ223" s="12" t="n"/>
      <c r="BR223" s="12" t="n"/>
      <c r="BS223" s="12" t="n"/>
      <c r="BT223" s="12" t="n"/>
      <c r="BU223" s="12" t="n"/>
      <c r="BV223" s="12" t="n"/>
      <c r="BW223" s="12" t="n"/>
      <c r="BX223" s="12" t="n"/>
      <c r="BY223" s="12" t="n"/>
      <c r="BZ223" s="12" t="n"/>
      <c r="CA223" s="12" t="n"/>
      <c r="CB223" s="12" t="n"/>
      <c r="CC223" s="12" t="n"/>
      <c r="CD223" s="12" t="n"/>
      <c r="CE223" s="12" t="n"/>
      <c r="CF223" s="12" t="n"/>
      <c r="CG223" s="12" t="n"/>
      <c r="CH223" s="12" t="n"/>
      <c r="CI223" s="12" t="n"/>
      <c r="CJ223" s="12" t="n"/>
      <c r="CK223" s="12" t="n"/>
      <c r="CL223" s="12" t="n"/>
      <c r="CM223" s="12" t="n"/>
      <c r="CN223" s="12" t="n"/>
      <c r="CO223" s="12" t="n"/>
      <c r="CP223" s="12" t="n"/>
      <c r="CQ223" s="12" t="n"/>
      <c r="CR223" s="12" t="n"/>
      <c r="CS223" s="12" t="n"/>
      <c r="CT223" s="12" t="n"/>
      <c r="CU223" s="12" t="n"/>
      <c r="CV223" s="12" t="n"/>
      <c r="CW223" s="12" t="n"/>
      <c r="CX223" s="12" t="n"/>
      <c r="CY223" s="12" t="n"/>
    </row>
    <row r="224" hidden="1" outlineLevel="1">
      <c r="C224" s="57" t="inlineStr">
        <is>
          <t>Total cash available / (debt required) for short term debt paydown</t>
        </is>
      </c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  <c r="P224" s="12" t="n"/>
      <c r="Q224" s="12" t="n"/>
      <c r="R224" s="12" t="n"/>
      <c r="S224" s="12" t="n"/>
      <c r="T224" s="12" t="n"/>
      <c r="U224" s="12" t="n"/>
      <c r="V224" s="12" t="n"/>
      <c r="W224" s="12" t="n"/>
      <c r="X224" s="12" t="n"/>
      <c r="Y224" s="12" t="n"/>
      <c r="Z224" s="12" t="n"/>
      <c r="AA224" s="12" t="n"/>
      <c r="AB224" s="12" t="n"/>
      <c r="AC224" s="12" t="n"/>
      <c r="AD224" s="12" t="n"/>
      <c r="AE224" s="12" t="n"/>
      <c r="AF224" s="12" t="n"/>
      <c r="AG224" s="12" t="n"/>
      <c r="AH224" s="3">
        <f>AH221+AH222-AH223-AF211+AH213+AH217</f>
        <v>7898</v>
      </c>
      <c r="AI224" s="3">
        <f>AI221+AI222-AI223-AG211+AI213+AI217</f>
        <v>-511</v>
      </c>
      <c r="AJ224" s="3">
        <f>AJ221+AJ222-AJ223-AH211+AJ213+AJ217</f>
        <v>-466</v>
      </c>
      <c r="AK224" s="3">
        <f>AK221+AK222-AK223-AI211+AK213+AK217</f>
        <v>0</v>
      </c>
      <c r="AL224" s="12" t="n"/>
      <c r="AM224" s="3">
        <f>AM221+AM222-AM223-AK211+AM213+AM217</f>
        <v>4433.55481724496</v>
      </c>
      <c r="AN224" s="3">
        <f>AN221+AN222-AN223-AL211+AN213+AN217</f>
        <v>0</v>
      </c>
      <c r="AO224" s="3">
        <f>AO221+AO222-AO223-AM211+AO213+AO217</f>
        <v>-1220</v>
      </c>
      <c r="AP224" s="3">
        <f>AP221+AP222-AP223-AN211+AP213+AP217</f>
        <v>0</v>
      </c>
      <c r="AQ224" s="12" t="n"/>
      <c r="AR224" s="3">
        <f>AR221+AR222-AR223-AP211+AR213+AR217</f>
        <v>6951.16691924742</v>
      </c>
      <c r="AS224" s="3">
        <f>AS221+AS222-AS223-AQ211+AS213+AS217</f>
        <v>0</v>
      </c>
      <c r="AT224" s="3">
        <f>AT221+AT222-AT223-AR211+AT213+AT217</f>
        <v>-1220</v>
      </c>
      <c r="AU224" s="3">
        <f>AU221+AU222-AU223-AS211+AU213+AU217</f>
        <v>0</v>
      </c>
      <c r="AV224" s="12" t="n"/>
      <c r="AW224" s="3">
        <f>AW221+AW222-AW223-AU211+AW213+AW217</f>
        <v>9463.63524288242</v>
      </c>
      <c r="AX224" s="3">
        <f>AX221+AX222-AX223-AV211+AX213+AX217</f>
        <v>0</v>
      </c>
      <c r="AY224" s="3">
        <f>AY221+AY222-AY223-AW211+AY213+AY217</f>
        <v>-1220</v>
      </c>
      <c r="AZ224" s="3">
        <f>AZ221+AZ222-AZ223-AX211+AZ213+AZ217</f>
        <v>0</v>
      </c>
      <c r="BA224" s="12" t="n"/>
      <c r="BB224" s="3">
        <f>BB221+BB222-BB223-AZ211+BB213+BB217</f>
        <v>11957.2462639106</v>
      </c>
      <c r="BC224" s="3">
        <f>BC221+BC222-BC223-BA211+BC213+BC217</f>
        <v>0</v>
      </c>
      <c r="BD224" s="3">
        <f>BD221+BD222-BD223-BB211+BD213+BD217</f>
        <v>-1220</v>
      </c>
      <c r="BE224" s="3">
        <f>BE221+BE222-BE223-BC211+BE213+BE217</f>
        <v>0</v>
      </c>
      <c r="BF224" s="12" t="n"/>
      <c r="BG224" s="3" t="n"/>
      <c r="BH224" s="3" t="n"/>
      <c r="BI224" s="3" t="n"/>
      <c r="BJ224" s="3" t="n"/>
      <c r="BK224" s="12" t="n"/>
      <c r="BL224" s="3" t="n"/>
      <c r="BM224" s="3" t="n"/>
      <c r="BN224" s="3" t="n"/>
      <c r="BO224" s="3" t="n"/>
      <c r="BP224" s="12" t="n"/>
      <c r="BQ224" s="3" t="n"/>
      <c r="BR224" s="3" t="n"/>
      <c r="BS224" s="3" t="n"/>
      <c r="BT224" s="3" t="n"/>
      <c r="BU224" s="12" t="n"/>
      <c r="BV224" s="3" t="n"/>
      <c r="BW224" s="3" t="n"/>
      <c r="BX224" s="3" t="n"/>
      <c r="BY224" s="3" t="n"/>
      <c r="BZ224" s="12" t="n"/>
      <c r="CA224" s="3" t="n"/>
      <c r="CB224" s="3" t="n"/>
      <c r="CC224" s="3" t="n"/>
      <c r="CD224" s="3" t="n"/>
      <c r="CE224" s="12" t="n"/>
      <c r="CF224" s="3" t="n"/>
      <c r="CG224" s="3" t="n"/>
      <c r="CH224" s="3" t="n"/>
      <c r="CI224" s="3" t="n"/>
      <c r="CJ224" s="12" t="n"/>
      <c r="CK224" s="3" t="n"/>
      <c r="CL224" s="3" t="n"/>
      <c r="CM224" s="3" t="n"/>
      <c r="CN224" s="3" t="n"/>
      <c r="CO224" s="12" t="n"/>
      <c r="CP224" s="3" t="n"/>
      <c r="CQ224" s="3" t="n"/>
      <c r="CR224" s="3" t="n"/>
      <c r="CS224" s="3" t="n"/>
      <c r="CT224" s="12" t="n"/>
      <c r="CU224" s="3" t="n"/>
      <c r="CV224" s="3" t="n"/>
      <c r="CW224" s="3" t="n"/>
      <c r="CX224" s="3" t="n"/>
      <c r="CY224" s="12" t="n"/>
    </row>
    <row r="225" hidden="1" outlineLevel="1">
      <c r="C225" s="57" t="inlineStr">
        <is>
          <t>Short term debt</t>
        </is>
      </c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12" t="n"/>
      <c r="Q225" s="12" t="n"/>
      <c r="R225" s="12" t="n"/>
      <c r="S225" s="12" t="n"/>
      <c r="T225" s="12" t="n"/>
      <c r="U225" s="12" t="n"/>
      <c r="V225" s="12" t="n"/>
      <c r="W225" s="12" t="n"/>
      <c r="X225" s="12" t="n"/>
      <c r="Y225" s="12" t="n"/>
      <c r="Z225" s="12" t="n"/>
      <c r="AA225" s="12" t="n"/>
      <c r="AB225" s="12" t="n"/>
      <c r="AC225" s="12" t="n"/>
      <c r="AD225" s="12" t="n"/>
      <c r="AE225" s="12" t="n"/>
      <c r="AF225" s="12" t="n"/>
      <c r="AG225" s="12" t="n"/>
      <c r="AH225" s="12">
        <f>AH205</f>
        <v>0</v>
      </c>
      <c r="AI225" s="12">
        <f>MAX(0,AH225-AI224)</f>
        <v>511</v>
      </c>
      <c r="AJ225" s="12">
        <f>MAX(0,AI225-AJ224)</f>
        <v>977</v>
      </c>
      <c r="AK225" s="12">
        <f>MAX(0,AJ225-AK224)</f>
        <v>977</v>
      </c>
      <c r="AL225" s="12" t="n"/>
      <c r="AM225" s="12">
        <f>AM205</f>
        <v>0</v>
      </c>
      <c r="AN225" s="12">
        <f>MAX(0,AM225-AN224)</f>
        <v>0</v>
      </c>
      <c r="AO225" s="12">
        <f>MAX(0,AN225-AO224)</f>
        <v>1220</v>
      </c>
      <c r="AP225" s="12">
        <f>MAX(0,AO225-AP224)</f>
        <v>1220</v>
      </c>
      <c r="AQ225" s="12" t="n"/>
      <c r="AR225" s="12">
        <f>AR205</f>
        <v>0</v>
      </c>
      <c r="AS225" s="12">
        <f>MAX(0,AR225-AS224)</f>
        <v>0</v>
      </c>
      <c r="AT225" s="12">
        <f>MAX(0,AS225-AT224)</f>
        <v>1220</v>
      </c>
      <c r="AU225" s="12">
        <f>MAX(0,AT225-AU224)</f>
        <v>1220</v>
      </c>
      <c r="AV225" s="12" t="n"/>
      <c r="AW225" s="12">
        <f>AW205</f>
        <v>0</v>
      </c>
      <c r="AX225" s="12">
        <f>MAX(0,AW225-AX224)</f>
        <v>0</v>
      </c>
      <c r="AY225" s="12">
        <f>MAX(0,AX225-AY224)</f>
        <v>1220</v>
      </c>
      <c r="AZ225" s="12">
        <f>MAX(0,AY225-AZ224)</f>
        <v>1220</v>
      </c>
      <c r="BA225" s="12" t="n"/>
      <c r="BB225" s="12">
        <f>BB205</f>
        <v>0</v>
      </c>
      <c r="BC225" s="12">
        <f>MAX(0,BB225-BC224)</f>
        <v>0</v>
      </c>
      <c r="BD225" s="12">
        <f>MAX(0,BC225-BD224)</f>
        <v>1220</v>
      </c>
      <c r="BE225" s="12">
        <f>MAX(0,BD225-BE224)</f>
        <v>1220</v>
      </c>
      <c r="BF225" s="12" t="n"/>
      <c r="BG225" s="12" t="n"/>
      <c r="BH225" s="12" t="n"/>
      <c r="BI225" s="12" t="n"/>
      <c r="BJ225" s="12" t="n"/>
      <c r="BK225" s="12" t="n"/>
      <c r="BL225" s="12" t="n"/>
      <c r="BM225" s="12" t="n"/>
      <c r="BN225" s="12" t="n"/>
      <c r="BO225" s="12" t="n"/>
      <c r="BP225" s="12" t="n"/>
      <c r="BQ225" s="12" t="n"/>
      <c r="BR225" s="12" t="n"/>
      <c r="BS225" s="12" t="n"/>
      <c r="BT225" s="12" t="n"/>
      <c r="BU225" s="12" t="n"/>
      <c r="BV225" s="12" t="n"/>
      <c r="BW225" s="12" t="n"/>
      <c r="BX225" s="12" t="n"/>
      <c r="BY225" s="12" t="n"/>
      <c r="BZ225" s="12" t="n"/>
      <c r="CA225" s="12" t="n"/>
      <c r="CB225" s="12" t="n"/>
      <c r="CC225" s="12" t="n"/>
      <c r="CD225" s="12" t="n"/>
      <c r="CE225" s="12" t="n"/>
      <c r="CF225" s="12" t="n"/>
      <c r="CG225" s="12" t="n"/>
      <c r="CH225" s="12" t="n"/>
      <c r="CI225" s="12" t="n"/>
      <c r="CJ225" s="12" t="n"/>
      <c r="CK225" s="12" t="n"/>
      <c r="CL225" s="12" t="n"/>
      <c r="CM225" s="12" t="n"/>
      <c r="CN225" s="12" t="n"/>
      <c r="CO225" s="12" t="n"/>
      <c r="CP225" s="12" t="n"/>
      <c r="CQ225" s="12" t="n"/>
      <c r="CR225" s="12" t="n"/>
      <c r="CS225" s="12" t="n"/>
      <c r="CT225" s="12" t="n"/>
      <c r="CU225" s="12" t="n"/>
      <c r="CV225" s="12" t="n"/>
      <c r="CW225" s="12" t="n"/>
      <c r="CX225" s="12" t="n"/>
      <c r="CY225" s="12" t="n"/>
    </row>
    <row r="226" hidden="1" outlineLevel="1">
      <c r="C226" s="57" t="n"/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  <c r="P226" s="12" t="n"/>
      <c r="Q226" s="12" t="n"/>
      <c r="R226" s="12" t="n"/>
      <c r="S226" s="12" t="n"/>
      <c r="T226" s="12" t="n"/>
      <c r="U226" s="12" t="n"/>
      <c r="V226" s="12" t="n"/>
      <c r="W226" s="12" t="n"/>
      <c r="X226" s="12" t="n"/>
      <c r="Y226" s="12" t="n"/>
      <c r="Z226" s="12" t="n"/>
      <c r="AA226" s="12" t="n"/>
      <c r="AB226" s="12" t="n"/>
      <c r="AC226" s="12" t="n"/>
      <c r="AD226" s="12" t="n"/>
      <c r="AE226" s="12" t="n"/>
      <c r="AF226" s="12" t="n"/>
      <c r="AG226" s="12" t="n"/>
      <c r="AH226" s="12" t="n"/>
      <c r="AI226" s="12" t="n"/>
      <c r="AJ226" s="12" t="n"/>
      <c r="AK226" s="12" t="n"/>
      <c r="AL226" s="12" t="n"/>
      <c r="AM226" s="12" t="n"/>
      <c r="AN226" s="12" t="n"/>
      <c r="AO226" s="12" t="n"/>
      <c r="AP226" s="12" t="n"/>
      <c r="AQ226" s="12" t="n"/>
      <c r="AR226" s="12" t="n"/>
      <c r="AS226" s="12" t="n"/>
      <c r="AT226" s="12" t="n"/>
      <c r="AU226" s="12" t="n"/>
      <c r="AV226" s="12" t="n"/>
      <c r="AW226" s="12" t="n"/>
      <c r="AX226" s="12" t="n"/>
      <c r="AY226" s="12" t="n"/>
      <c r="AZ226" s="12" t="n"/>
      <c r="BA226" s="12" t="n"/>
      <c r="BB226" s="12" t="n"/>
      <c r="BC226" s="12" t="n"/>
      <c r="BD226" s="12" t="n"/>
      <c r="BE226" s="12" t="n"/>
      <c r="BF226" s="12" t="n"/>
      <c r="BG226" s="12" t="n"/>
      <c r="BH226" s="12" t="n"/>
      <c r="BI226" s="12" t="n"/>
      <c r="BJ226" s="12" t="n"/>
      <c r="BK226" s="12" t="n"/>
      <c r="BL226" s="12" t="n"/>
      <c r="BM226" s="12" t="n"/>
      <c r="BN226" s="12" t="n"/>
      <c r="BO226" s="12" t="n"/>
      <c r="BP226" s="12" t="n"/>
      <c r="BQ226" s="12" t="n"/>
      <c r="BR226" s="12" t="n"/>
      <c r="BS226" s="12" t="n"/>
      <c r="BT226" s="12" t="n"/>
      <c r="BU226" s="12" t="n"/>
      <c r="BV226" s="12" t="n"/>
      <c r="BW226" s="12" t="n"/>
      <c r="BX226" s="12" t="n"/>
      <c r="BY226" s="12" t="n"/>
      <c r="BZ226" s="12" t="n"/>
      <c r="CA226" s="12" t="n"/>
      <c r="CB226" s="12" t="n"/>
      <c r="CC226" s="12" t="n"/>
      <c r="CD226" s="12" t="n"/>
      <c r="CE226" s="12" t="n"/>
      <c r="CF226" s="12" t="n"/>
      <c r="CG226" s="12" t="n"/>
      <c r="CH226" s="12" t="n"/>
      <c r="CI226" s="12" t="n"/>
      <c r="CJ226" s="12" t="n"/>
      <c r="CK226" s="12" t="n"/>
      <c r="CL226" s="12" t="n"/>
      <c r="CM226" s="12" t="n"/>
      <c r="CN226" s="12" t="n"/>
      <c r="CO226" s="12" t="n"/>
      <c r="CP226" s="12" t="n"/>
      <c r="CQ226" s="12" t="n"/>
      <c r="CR226" s="12" t="n"/>
      <c r="CS226" s="12" t="n"/>
      <c r="CT226" s="12" t="n"/>
      <c r="CU226" s="12" t="n"/>
      <c r="CV226" s="12" t="n"/>
      <c r="CW226" s="12" t="n"/>
      <c r="CX226" s="12" t="n"/>
      <c r="CY226" s="12" t="n"/>
    </row>
    <row r="227" collapsed="1">
      <c r="C227" s="14" t="inlineStr">
        <is>
          <t>Long term operating leases</t>
        </is>
      </c>
      <c r="D227" s="46" t="n"/>
      <c r="E227" s="46" t="n"/>
      <c r="F227" s="46" t="n"/>
      <c r="G227" s="46" t="n"/>
      <c r="H227" s="12" t="n"/>
      <c r="I227" s="46">
        <f>'Inputs (2)'!D36</f>
        <v>0</v>
      </c>
      <c r="J227" s="46">
        <f>'Inputs (2)'!E36</f>
        <v>0</v>
      </c>
      <c r="K227" s="46">
        <f>'Inputs (2)'!F36</f>
        <v>0</v>
      </c>
      <c r="L227" s="46">
        <f>'Inputs (2)'!G36</f>
        <v>0</v>
      </c>
      <c r="M227" s="12">
        <f>'Inputs (2)'!H36</f>
        <v>0</v>
      </c>
      <c r="N227" s="46">
        <f>'Inputs (2)'!I36</f>
        <v>0</v>
      </c>
      <c r="O227" s="46">
        <f>'Inputs (2)'!J36</f>
        <v>0</v>
      </c>
      <c r="P227" s="46">
        <f>'Inputs (2)'!K36</f>
        <v>0</v>
      </c>
      <c r="Q227" s="46">
        <f>'Inputs (2)'!L36</f>
        <v>0</v>
      </c>
      <c r="R227" s="12">
        <f>'Inputs (2)'!M36</f>
        <v>0</v>
      </c>
      <c r="S227" s="46">
        <f>'Inputs (2)'!N36</f>
        <v>0</v>
      </c>
      <c r="T227" s="46">
        <f>'Inputs (2)'!O36</f>
        <v>0</v>
      </c>
      <c r="U227" s="46">
        <f>'Inputs (2)'!P36</f>
        <v>0</v>
      </c>
      <c r="V227" s="46">
        <f>'Inputs (2)'!Q36</f>
        <v>0</v>
      </c>
      <c r="W227" s="12">
        <f>'Inputs (2)'!R36</f>
        <v>0</v>
      </c>
      <c r="X227" s="46">
        <f>'Inputs (2)'!S36</f>
        <v>0</v>
      </c>
      <c r="Y227" s="46">
        <f>'Inputs (2)'!T36</f>
        <v>0</v>
      </c>
      <c r="Z227" s="46">
        <f>'Inputs (2)'!U36</f>
        <v>0</v>
      </c>
      <c r="AA227" s="46">
        <f>'Inputs (2)'!V36</f>
        <v>0</v>
      </c>
      <c r="AB227" s="12">
        <f>'Inputs (2)'!W36</f>
        <v>0</v>
      </c>
      <c r="AC227" s="46">
        <f>'Inputs (2)'!X36</f>
        <v>0</v>
      </c>
      <c r="AD227" s="46">
        <f>'Inputs (2)'!Y36</f>
        <v>0</v>
      </c>
      <c r="AE227" s="46">
        <f>'Inputs (2)'!Z36</f>
        <v>0</v>
      </c>
      <c r="AF227" s="46">
        <f>'Inputs (2)'!AA36</f>
        <v>1010</v>
      </c>
      <c r="AG227" s="12">
        <f>'Inputs (2)'!AB36</f>
        <v>1010</v>
      </c>
      <c r="AH227" s="12">
        <f>'Inputs (2)'!AC36</f>
        <v>987</v>
      </c>
      <c r="AI227" s="12">
        <f>'Inputs (2)'!AD36</f>
        <v>973</v>
      </c>
      <c r="AJ227" s="12">
        <f>AI227</f>
        <v>973</v>
      </c>
      <c r="AK227" s="12">
        <f>AJ227</f>
        <v>973</v>
      </c>
      <c r="AL227" s="12">
        <f>AK227</f>
        <v>973</v>
      </c>
      <c r="AM227" s="12">
        <f>AL227</f>
        <v>973</v>
      </c>
      <c r="AN227" s="12">
        <f>AM227</f>
        <v>973</v>
      </c>
      <c r="AO227" s="12">
        <f>AN227</f>
        <v>973</v>
      </c>
      <c r="AP227" s="12">
        <f>AO227</f>
        <v>973</v>
      </c>
      <c r="AQ227" s="12">
        <f>AP227</f>
        <v>973</v>
      </c>
      <c r="AR227" s="12">
        <f>AQ227</f>
        <v>973</v>
      </c>
      <c r="AS227" s="12">
        <f>AR227</f>
        <v>973</v>
      </c>
      <c r="AT227" s="12">
        <f>AS227</f>
        <v>973</v>
      </c>
      <c r="AU227" s="12">
        <f>AT227</f>
        <v>973</v>
      </c>
      <c r="AV227" s="12">
        <f>AU227</f>
        <v>973</v>
      </c>
      <c r="AW227" s="12">
        <f>AV227</f>
        <v>973</v>
      </c>
      <c r="AX227" s="12">
        <f>AW227</f>
        <v>973</v>
      </c>
      <c r="AY227" s="12">
        <f>AX227</f>
        <v>973</v>
      </c>
      <c r="AZ227" s="12">
        <f>AY227</f>
        <v>973</v>
      </c>
      <c r="BA227" s="12">
        <f>AZ227</f>
        <v>973</v>
      </c>
      <c r="BB227" s="12">
        <f>BA227</f>
        <v>973</v>
      </c>
      <c r="BC227" s="12">
        <f>BB227</f>
        <v>973</v>
      </c>
      <c r="BD227" s="12">
        <f>BC227</f>
        <v>973</v>
      </c>
      <c r="BE227" s="12">
        <f>BD227</f>
        <v>973</v>
      </c>
      <c r="BF227" s="12">
        <f>BE227</f>
        <v>973</v>
      </c>
      <c r="BG227" s="12" t="n"/>
      <c r="BH227" s="12" t="n"/>
      <c r="BI227" s="12" t="n"/>
      <c r="BJ227" s="12" t="n"/>
      <c r="BK227" s="12" t="n"/>
      <c r="BL227" s="12" t="n"/>
      <c r="BM227" s="12" t="n"/>
      <c r="BN227" s="12" t="n"/>
      <c r="BO227" s="12" t="n"/>
      <c r="BP227" s="12" t="n"/>
      <c r="BQ227" s="12" t="n"/>
      <c r="BR227" s="12" t="n"/>
      <c r="BS227" s="12" t="n"/>
      <c r="BT227" s="12" t="n"/>
      <c r="BU227" s="12" t="n"/>
      <c r="BV227" s="12" t="n"/>
      <c r="BW227" s="12" t="n"/>
      <c r="BX227" s="12" t="n"/>
      <c r="BY227" s="12" t="n"/>
      <c r="BZ227" s="12" t="n"/>
      <c r="CA227" s="12" t="n"/>
      <c r="CB227" s="12" t="n"/>
      <c r="CC227" s="12" t="n"/>
      <c r="CD227" s="12" t="n"/>
      <c r="CE227" s="12" t="n"/>
      <c r="CF227" s="12" t="n"/>
      <c r="CG227" s="12" t="n"/>
      <c r="CH227" s="12" t="n"/>
      <c r="CI227" s="12" t="n"/>
      <c r="CJ227" s="12" t="n"/>
      <c r="CK227" s="12" t="n"/>
      <c r="CL227" s="12" t="n"/>
      <c r="CM227" s="12" t="n"/>
      <c r="CN227" s="12" t="n"/>
      <c r="CO227" s="12" t="n"/>
      <c r="CP227" s="12" t="n"/>
      <c r="CQ227" s="12" t="n"/>
      <c r="CR227" s="12" t="n"/>
      <c r="CS227" s="12" t="n"/>
      <c r="CT227" s="12" t="n"/>
      <c r="CU227" s="12" t="n"/>
      <c r="CV227" s="12" t="n"/>
      <c r="CW227" s="12" t="n"/>
      <c r="CX227" s="12" t="n"/>
      <c r="CY227" s="12" t="n"/>
    </row>
    <row r="228" hidden="1" outlineLevel="1">
      <c r="C228" s="59" t="inlineStr">
        <is>
          <t>%(Var.)</t>
        </is>
      </c>
      <c r="D228" s="12" t="n"/>
      <c r="E228" s="40" t="n"/>
      <c r="F228" s="40" t="n"/>
      <c r="G228" s="40" t="n"/>
      <c r="H228" s="12" t="n"/>
      <c r="I228" s="40" t="str">
        <f>""</f>
        <v/>
      </c>
      <c r="J228" s="40" t="str">
        <f>IFERROR(IF(I227=0,"",J227/I227-1),"")</f>
        <v/>
      </c>
      <c r="K228" s="40" t="str">
        <f>IFERROR(IF(J227=0,"",K227/J227-1),"")</f>
        <v/>
      </c>
      <c r="L228" s="40" t="str">
        <f>IFERROR(IF(K227=0,"",L227/K227-1),"")</f>
        <v/>
      </c>
      <c r="M228" s="12" t="str">
        <f>IF(L227=0,"",M227/L227-1)</f>
        <v/>
      </c>
      <c r="N228" s="40" t="str">
        <f>IFERROR(IF(M227=0,"",N227/M227-1),"")</f>
        <v/>
      </c>
      <c r="O228" s="40" t="str">
        <f>IFERROR(IF(N227=0,"",O227/N227-1),"")</f>
        <v/>
      </c>
      <c r="P228" s="40" t="str">
        <f>IFERROR(IF(O227=0,"",P227/O227-1),"")</f>
        <v/>
      </c>
      <c r="Q228" s="40" t="str">
        <f>IFERROR(IF(P227=0,"",Q227/P227-1),"")</f>
        <v/>
      </c>
      <c r="R228" s="12" t="str">
        <f>IF(Q227=0,"",R227/Q227-1)</f>
        <v/>
      </c>
      <c r="S228" s="40" t="str">
        <f>IFERROR(IF(R227=0,"",S227/R227-1),"")</f>
        <v/>
      </c>
      <c r="T228" s="40" t="str">
        <f>IFERROR(IF(S227=0,"",T227/S227-1),"")</f>
        <v/>
      </c>
      <c r="U228" s="40" t="str">
        <f>IFERROR(IF(T227=0,"",U227/T227-1),"")</f>
        <v/>
      </c>
      <c r="V228" s="40" t="str">
        <f>IFERROR(IF(U227=0,"",V227/U227-1),"")</f>
        <v/>
      </c>
      <c r="W228" s="12" t="str">
        <f>IF(V227=0,"",W227/V227-1)</f>
        <v/>
      </c>
      <c r="X228" s="40" t="str">
        <f>IFERROR(IF(W227=0,"",X227/W227-1),"")</f>
        <v/>
      </c>
      <c r="Y228" s="40" t="str">
        <f>IFERROR(IF(X227=0,"",Y227/X227-1),"")</f>
        <v/>
      </c>
      <c r="Z228" s="40" t="str">
        <f>IFERROR(IF(Y227=0,"",Z227/Y227-1),"")</f>
        <v/>
      </c>
      <c r="AA228" s="40" t="str">
        <f>IFERROR(IF(Z227=0,"",AA227/Z227-1),"")</f>
        <v/>
      </c>
      <c r="AB228" s="12" t="str">
        <f>IF(AA227=0,"",AB227/AA227-1)</f>
        <v/>
      </c>
      <c r="AC228" s="40" t="str">
        <f>IFERROR(IF(AB227=0,"",AC227/AB227-1),"")</f>
        <v/>
      </c>
      <c r="AD228" s="40" t="str">
        <f>IFERROR(IF(AC227=0,"",AD227/AC227-1),"")</f>
        <v/>
      </c>
      <c r="AE228" s="40" t="str">
        <f>IFERROR(IF(AD227=0,"",AE227/AD227-1),"")</f>
        <v/>
      </c>
      <c r="AF228" s="41" t="str">
        <f>IFERROR(IF(AE227=0,"",AF227/AE227-1),"")</f>
        <v/>
      </c>
      <c r="AG228" s="12">
        <f>IF(AF227=0,"",AG227/AF227-1)</f>
        <v>0</v>
      </c>
      <c r="AH228" s="11">
        <f>IFERROR(IF(AG227=0,"",AH227/AG227-1),"")</f>
        <v>-0.0227722772277228</v>
      </c>
      <c r="AI228" s="11">
        <f>IFERROR(IF(AH227=0,"",AI227/AH227-1),"")</f>
        <v>-0.0141843971631206</v>
      </c>
      <c r="AJ228" s="11">
        <f>IFERROR(IF(AI227=0,"",AJ227/AI227-1),"")</f>
        <v>0</v>
      </c>
      <c r="AK228" s="11">
        <f>IFERROR(IF(AJ227=0,"",AK227/AJ227-1),"")</f>
        <v>0</v>
      </c>
      <c r="AL228" s="12">
        <f>IFERROR(IF(AK227=0,"",AL227/AK227-1),"")</f>
        <v>0</v>
      </c>
      <c r="AM228" s="11">
        <f>IFERROR(IF(AL227=0,"",AM227/AL227-1),"")</f>
        <v>0</v>
      </c>
      <c r="AN228" s="11">
        <f>IFERROR(IF(AM227=0,"",AN227/AM227-1),"")</f>
        <v>0</v>
      </c>
      <c r="AO228" s="11">
        <f>IFERROR(IF(AN227=0,"",AO227/AN227-1),"")</f>
        <v>0</v>
      </c>
      <c r="AP228" s="11">
        <f>IFERROR(IF(AO227=0,"",AP227/AO227-1),"")</f>
        <v>0</v>
      </c>
      <c r="AQ228" s="12">
        <f>IFERROR(IF(AP227=0,"",AQ227/AP227-1),"")</f>
        <v>0</v>
      </c>
      <c r="AR228" s="11">
        <f>IFERROR(IF(AQ227=0,"",AR227/AQ227-1),"")</f>
        <v>0</v>
      </c>
      <c r="AS228" s="11">
        <f>IFERROR(IF(AR227=0,"",AS227/AR227-1),"")</f>
        <v>0</v>
      </c>
      <c r="AT228" s="11">
        <f>IFERROR(IF(AS227=0,"",AT227/AS227-1),"")</f>
        <v>0</v>
      </c>
      <c r="AU228" s="11">
        <f>IFERROR(IF(AT227=0,"",AU227/AT227-1),"")</f>
        <v>0</v>
      </c>
      <c r="AV228" s="12">
        <f>IFERROR(IF(AU227=0,"",AV227/AU227-1),"")</f>
        <v>0</v>
      </c>
      <c r="AW228" s="11">
        <f>IFERROR(IF(AV227=0,"",AW227/AV227-1),"")</f>
        <v>0</v>
      </c>
      <c r="AX228" s="11">
        <f>IFERROR(IF(AW227=0,"",AX227/AW227-1),"")</f>
        <v>0</v>
      </c>
      <c r="AY228" s="11">
        <f>IFERROR(IF(AX227=0,"",AY227/AX227-1),"")</f>
        <v>0</v>
      </c>
      <c r="AZ228" s="11">
        <f>IFERROR(IF(AY227=0,"",AZ227/AY227-1),"")</f>
        <v>0</v>
      </c>
      <c r="BA228" s="12">
        <f>IFERROR(IF(AZ227=0,"",BA227/AZ227-1),"")</f>
        <v>0</v>
      </c>
      <c r="BB228" s="11">
        <f>IFERROR(IF(BA227=0,"",BB227/BA227-1),"")</f>
        <v>0</v>
      </c>
      <c r="BC228" s="11">
        <f>IFERROR(IF(BB227=0,"",BC227/BB227-1),"")</f>
        <v>0</v>
      </c>
      <c r="BD228" s="11">
        <f>IFERROR(IF(BC227=0,"",BD227/BC227-1),"")</f>
        <v>0</v>
      </c>
      <c r="BE228" s="11">
        <f>IFERROR(IF(BD227=0,"",BE227/BD227-1),"")</f>
        <v>0</v>
      </c>
      <c r="BF228" s="12">
        <f>IFERROR(IF(BE227=0,"",BF227/BE227-1),"")</f>
        <v>0</v>
      </c>
      <c r="BG228" s="11" t="n"/>
      <c r="BH228" s="11" t="n"/>
      <c r="BI228" s="11" t="n"/>
      <c r="BJ228" s="11" t="n"/>
      <c r="BK228" s="12" t="n"/>
      <c r="BL228" s="11" t="n"/>
      <c r="BM228" s="11" t="n"/>
      <c r="BN228" s="11" t="n"/>
      <c r="BO228" s="11" t="n"/>
      <c r="BP228" s="12" t="n"/>
      <c r="BQ228" s="11" t="n"/>
      <c r="BR228" s="11" t="n"/>
      <c r="BS228" s="11" t="n"/>
      <c r="BT228" s="11" t="n"/>
      <c r="BU228" s="12" t="n"/>
      <c r="BV228" s="11" t="n"/>
      <c r="BW228" s="11" t="n"/>
      <c r="BX228" s="11" t="n"/>
      <c r="BY228" s="11" t="n"/>
      <c r="BZ228" s="12" t="n"/>
      <c r="CA228" s="11" t="n"/>
      <c r="CB228" s="11" t="n"/>
      <c r="CC228" s="11" t="n"/>
      <c r="CD228" s="11" t="n"/>
      <c r="CE228" s="12" t="n"/>
      <c r="CF228" s="11" t="n"/>
      <c r="CG228" s="11" t="n"/>
      <c r="CH228" s="11" t="n"/>
      <c r="CI228" s="11" t="n"/>
      <c r="CJ228" s="12" t="n"/>
      <c r="CK228" s="11" t="n"/>
      <c r="CL228" s="11" t="n"/>
      <c r="CM228" s="11" t="n"/>
      <c r="CN228" s="11" t="n"/>
      <c r="CO228" s="12" t="n"/>
      <c r="CP228" s="11" t="n"/>
      <c r="CQ228" s="11" t="n"/>
      <c r="CR228" s="11" t="n"/>
      <c r="CS228" s="11" t="n"/>
      <c r="CT228" s="12" t="n"/>
      <c r="CU228" s="11" t="n"/>
      <c r="CV228" s="11" t="n"/>
      <c r="CW228" s="11" t="n"/>
      <c r="CX228" s="11" t="n"/>
      <c r="CY228" s="12" t="n"/>
    </row>
    <row r="229" hidden="1" outlineLevel="1">
      <c r="C229" s="57" t="n"/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  <c r="P229" s="12" t="n"/>
      <c r="Q229" s="12" t="n"/>
      <c r="R229" s="12" t="n"/>
      <c r="S229" s="12" t="n"/>
      <c r="T229" s="12" t="n"/>
      <c r="U229" s="12" t="n"/>
      <c r="V229" s="12" t="n"/>
      <c r="W229" s="12" t="n"/>
      <c r="X229" s="12" t="n"/>
      <c r="Y229" s="12" t="n"/>
      <c r="Z229" s="12" t="n"/>
      <c r="AA229" s="12" t="n"/>
      <c r="AB229" s="12" t="n"/>
      <c r="AC229" s="12" t="n"/>
      <c r="AD229" s="12" t="n"/>
      <c r="AE229" s="12" t="n"/>
      <c r="AF229" s="12" t="n"/>
      <c r="AG229" s="12" t="n"/>
      <c r="AH229" s="12" t="n"/>
      <c r="AI229" s="12" t="n"/>
      <c r="AJ229" s="12" t="n"/>
      <c r="AK229" s="12" t="n"/>
      <c r="AL229" s="12" t="n"/>
      <c r="AM229" s="12" t="n"/>
      <c r="AN229" s="12" t="n"/>
      <c r="AO229" s="12" t="n"/>
      <c r="AP229" s="12" t="n"/>
      <c r="AQ229" s="12" t="n"/>
      <c r="AR229" s="12" t="n"/>
      <c r="AS229" s="12" t="n"/>
      <c r="AT229" s="12" t="n"/>
      <c r="AU229" s="12" t="n"/>
      <c r="AV229" s="12" t="n"/>
      <c r="AW229" s="12" t="n"/>
      <c r="AX229" s="12" t="n"/>
      <c r="AY229" s="12" t="n"/>
      <c r="AZ229" s="12" t="n"/>
      <c r="BA229" s="12" t="n"/>
      <c r="BB229" s="12" t="n"/>
      <c r="BC229" s="12" t="n"/>
      <c r="BD229" s="12" t="n"/>
      <c r="BE229" s="12" t="n"/>
      <c r="BF229" s="12" t="n"/>
      <c r="BG229" s="12" t="n"/>
      <c r="BH229" s="12" t="n"/>
      <c r="BI229" s="12" t="n"/>
      <c r="BJ229" s="12" t="n"/>
      <c r="BK229" s="12" t="n"/>
      <c r="BL229" s="12" t="n"/>
      <c r="BM229" s="12" t="n"/>
      <c r="BN229" s="12" t="n"/>
      <c r="BO229" s="12" t="n"/>
      <c r="BP229" s="12" t="n"/>
      <c r="BQ229" s="12" t="n"/>
      <c r="BR229" s="12" t="n"/>
      <c r="BS229" s="12" t="n"/>
      <c r="BT229" s="12" t="n"/>
      <c r="BU229" s="12" t="n"/>
      <c r="BV229" s="12" t="n"/>
      <c r="BW229" s="12" t="n"/>
      <c r="BX229" s="12" t="n"/>
      <c r="BY229" s="12" t="n"/>
      <c r="BZ229" s="12" t="n"/>
      <c r="CA229" s="12" t="n"/>
      <c r="CB229" s="12" t="n"/>
      <c r="CC229" s="12" t="n"/>
      <c r="CD229" s="12" t="n"/>
      <c r="CE229" s="12" t="n"/>
      <c r="CF229" s="12" t="n"/>
      <c r="CG229" s="12" t="n"/>
      <c r="CH229" s="12" t="n"/>
      <c r="CI229" s="12" t="n"/>
      <c r="CJ229" s="12" t="n"/>
      <c r="CK229" s="12" t="n"/>
      <c r="CL229" s="12" t="n"/>
      <c r="CM229" s="12" t="n"/>
      <c r="CN229" s="12" t="n"/>
      <c r="CO229" s="12" t="n"/>
      <c r="CP229" s="12" t="n"/>
      <c r="CQ229" s="12" t="n"/>
      <c r="CR229" s="12" t="n"/>
      <c r="CS229" s="12" t="n"/>
      <c r="CT229" s="12" t="n"/>
      <c r="CU229" s="12" t="n"/>
      <c r="CV229" s="12" t="n"/>
      <c r="CW229" s="12" t="n"/>
      <c r="CX229" s="12" t="n"/>
      <c r="CY229" s="12" t="n"/>
    </row>
    <row r="230" collapsed="1">
      <c r="C230" s="14" t="inlineStr">
        <is>
          <t>Convertible debt</t>
        </is>
      </c>
      <c r="D230" s="46" t="n"/>
      <c r="E230" s="46" t="n"/>
      <c r="F230" s="46" t="n"/>
      <c r="G230" s="46" t="n"/>
      <c r="H230" s="12" t="n"/>
      <c r="I230" s="46">
        <f>'Inputs (2)'!D37</f>
        <v>0</v>
      </c>
      <c r="J230" s="46">
        <f>'Inputs (2)'!E37</f>
        <v>0</v>
      </c>
      <c r="K230" s="46">
        <f>'Inputs (2)'!F37</f>
        <v>0</v>
      </c>
      <c r="L230" s="46">
        <f>'Inputs (2)'!G37</f>
        <v>0</v>
      </c>
      <c r="M230" s="12">
        <f>'Inputs (2)'!H37</f>
        <v>0</v>
      </c>
      <c r="N230" s="46">
        <f>'Inputs (2)'!I37</f>
        <v>0</v>
      </c>
      <c r="O230" s="46">
        <f>'Inputs (2)'!J37</f>
        <v>0</v>
      </c>
      <c r="P230" s="46">
        <f>'Inputs (2)'!K37</f>
        <v>0</v>
      </c>
      <c r="Q230" s="46">
        <f>'Inputs (2)'!L37</f>
        <v>0</v>
      </c>
      <c r="R230" s="12">
        <f>'Inputs (2)'!M37</f>
        <v>0</v>
      </c>
      <c r="S230" s="46">
        <f>'Inputs (2)'!N37</f>
        <v>0</v>
      </c>
      <c r="T230" s="46">
        <f>'Inputs (2)'!O37</f>
        <v>0</v>
      </c>
      <c r="U230" s="46">
        <f>'Inputs (2)'!P37</f>
        <v>0</v>
      </c>
      <c r="V230" s="46">
        <f>'Inputs (2)'!Q37</f>
        <v>0</v>
      </c>
      <c r="W230" s="12">
        <f>'Inputs (2)'!R37</f>
        <v>0</v>
      </c>
      <c r="X230" s="46">
        <f>'Inputs (2)'!S37</f>
        <v>0</v>
      </c>
      <c r="Y230" s="46">
        <f>'Inputs (2)'!T37</f>
        <v>0</v>
      </c>
      <c r="Z230" s="46">
        <f>'Inputs (2)'!U37</f>
        <v>0</v>
      </c>
      <c r="AA230" s="46">
        <f>'Inputs (2)'!V37</f>
        <v>0</v>
      </c>
      <c r="AB230" s="12">
        <f>'Inputs (2)'!W37</f>
        <v>0</v>
      </c>
      <c r="AC230" s="46">
        <f>'Inputs (2)'!X37</f>
        <v>0</v>
      </c>
      <c r="AD230" s="46">
        <f>'Inputs (2)'!Y37</f>
        <v>0</v>
      </c>
      <c r="AE230" s="46">
        <f>'Inputs (2)'!Z37</f>
        <v>0</v>
      </c>
      <c r="AF230" s="46">
        <f>'Inputs (2)'!AA37</f>
        <v>0</v>
      </c>
      <c r="AG230" s="12">
        <f>'Inputs (2)'!AB37</f>
        <v>0</v>
      </c>
      <c r="AH230" s="12">
        <f>'Inputs (2)'!AC37</f>
        <v>0</v>
      </c>
      <c r="AI230" s="12">
        <f>'Inputs (2)'!AD37</f>
        <v>0</v>
      </c>
      <c r="AJ230" s="12">
        <f>AI230</f>
        <v>0</v>
      </c>
      <c r="AK230" s="12">
        <f>AJ230</f>
        <v>0</v>
      </c>
      <c r="AL230" s="12">
        <f>AK230</f>
        <v>0</v>
      </c>
      <c r="AM230" s="12">
        <f>AL230</f>
        <v>0</v>
      </c>
      <c r="AN230" s="12">
        <f>AM230</f>
        <v>0</v>
      </c>
      <c r="AO230" s="12">
        <f>AN230</f>
        <v>0</v>
      </c>
      <c r="AP230" s="12">
        <f>AO230</f>
        <v>0</v>
      </c>
      <c r="AQ230" s="12">
        <f>AP230</f>
        <v>0</v>
      </c>
      <c r="AR230" s="12">
        <f>AQ230</f>
        <v>0</v>
      </c>
      <c r="AS230" s="12">
        <f>AR230</f>
        <v>0</v>
      </c>
      <c r="AT230" s="12">
        <f>AS230</f>
        <v>0</v>
      </c>
      <c r="AU230" s="12">
        <f>AT230</f>
        <v>0</v>
      </c>
      <c r="AV230" s="12">
        <f>AU230</f>
        <v>0</v>
      </c>
      <c r="AW230" s="12">
        <f>AV230</f>
        <v>0</v>
      </c>
      <c r="AX230" s="12">
        <f>AW230</f>
        <v>0</v>
      </c>
      <c r="AY230" s="12">
        <f>AX230</f>
        <v>0</v>
      </c>
      <c r="AZ230" s="12">
        <f>AY230</f>
        <v>0</v>
      </c>
      <c r="BA230" s="12">
        <f>AZ230</f>
        <v>0</v>
      </c>
      <c r="BB230" s="12">
        <f>BA230</f>
        <v>0</v>
      </c>
      <c r="BC230" s="12">
        <f>BB230</f>
        <v>0</v>
      </c>
      <c r="BD230" s="12">
        <f>BC230</f>
        <v>0</v>
      </c>
      <c r="BE230" s="12">
        <f>BD230</f>
        <v>0</v>
      </c>
      <c r="BF230" s="12">
        <f>BE230</f>
        <v>0</v>
      </c>
      <c r="BG230" s="12" t="n"/>
      <c r="BH230" s="12" t="n"/>
      <c r="BI230" s="12" t="n"/>
      <c r="BJ230" s="12" t="n"/>
      <c r="BK230" s="12" t="n"/>
      <c r="BL230" s="12" t="n"/>
      <c r="BM230" s="12" t="n"/>
      <c r="BN230" s="12" t="n"/>
      <c r="BO230" s="12" t="n"/>
      <c r="BP230" s="12" t="n"/>
      <c r="BQ230" s="12" t="n"/>
      <c r="BR230" s="12" t="n"/>
      <c r="BS230" s="12" t="n"/>
      <c r="BT230" s="12" t="n"/>
      <c r="BU230" s="12" t="n"/>
      <c r="BV230" s="12" t="n"/>
      <c r="BW230" s="12" t="n"/>
      <c r="BX230" s="12" t="n"/>
      <c r="BY230" s="12" t="n"/>
      <c r="BZ230" s="12" t="n"/>
      <c r="CA230" s="12" t="n"/>
      <c r="CB230" s="12" t="n"/>
      <c r="CC230" s="12" t="n"/>
      <c r="CD230" s="12" t="n"/>
      <c r="CE230" s="12" t="n"/>
      <c r="CF230" s="12" t="n"/>
      <c r="CG230" s="12" t="n"/>
      <c r="CH230" s="12" t="n"/>
      <c r="CI230" s="12" t="n"/>
      <c r="CJ230" s="12" t="n"/>
      <c r="CK230" s="12" t="n"/>
      <c r="CL230" s="12" t="n"/>
      <c r="CM230" s="12" t="n"/>
      <c r="CN230" s="12" t="n"/>
      <c r="CO230" s="12" t="n"/>
      <c r="CP230" s="12" t="n"/>
      <c r="CQ230" s="12" t="n"/>
      <c r="CR230" s="12" t="n"/>
      <c r="CS230" s="12" t="n"/>
      <c r="CT230" s="12" t="n"/>
      <c r="CU230" s="12" t="n"/>
      <c r="CV230" s="12" t="n"/>
      <c r="CW230" s="12" t="n"/>
      <c r="CX230" s="12" t="n"/>
      <c r="CY230" s="12" t="n"/>
    </row>
    <row r="231">
      <c r="C231" s="14" t="inlineStr">
        <is>
          <t>Deferred income taxes</t>
        </is>
      </c>
      <c r="D231" s="46" t="n"/>
      <c r="E231" s="46" t="n"/>
      <c r="F231" s="46" t="n"/>
      <c r="G231" s="46" t="n"/>
      <c r="H231" s="12" t="n"/>
      <c r="I231" s="46">
        <f>'Inputs (2)'!D38</f>
        <v>4446</v>
      </c>
      <c r="J231" s="46">
        <f>'Inputs (2)'!E38</f>
        <v>4486</v>
      </c>
      <c r="K231" s="46">
        <f>'Inputs (2)'!F38</f>
        <v>4500</v>
      </c>
      <c r="L231" s="46">
        <f>'Inputs (2)'!G38</f>
        <v>4234</v>
      </c>
      <c r="M231" s="12">
        <f>'Inputs (2)'!H38</f>
        <v>4234</v>
      </c>
      <c r="N231" s="46">
        <f>'Inputs (2)'!I38</f>
        <v>4282</v>
      </c>
      <c r="O231" s="46">
        <f>'Inputs (2)'!J38</f>
        <v>4297</v>
      </c>
      <c r="P231" s="46">
        <f>'Inputs (2)'!K38</f>
        <v>4316</v>
      </c>
      <c r="Q231" s="46">
        <f>'Inputs (2)'!L38</f>
        <v>4269</v>
      </c>
      <c r="R231" s="12">
        <f>'Inputs (2)'!M38</f>
        <v>4269</v>
      </c>
      <c r="S231" s="46">
        <f>'Inputs (2)'!N38</f>
        <v>4305</v>
      </c>
      <c r="T231" s="46">
        <f>'Inputs (2)'!O38</f>
        <v>4343</v>
      </c>
      <c r="U231" s="46">
        <f>'Inputs (2)'!P38</f>
        <v>4399</v>
      </c>
      <c r="V231" s="46">
        <f>'Inputs (2)'!Q38</f>
        <v>4453</v>
      </c>
      <c r="W231" s="12">
        <f>'Inputs (2)'!R38</f>
        <v>4453</v>
      </c>
      <c r="X231" s="46">
        <f>'Inputs (2)'!S38</f>
        <v>4500</v>
      </c>
      <c r="Y231" s="46">
        <f>'Inputs (2)'!T38</f>
        <v>4491</v>
      </c>
      <c r="Z231" s="46">
        <f>'Inputs (2)'!U38</f>
        <v>4492</v>
      </c>
      <c r="AA231" s="46">
        <f>'Inputs (2)'!V38</f>
        <v>4376</v>
      </c>
      <c r="AB231" s="12">
        <f>'Inputs (2)'!W38</f>
        <v>4376</v>
      </c>
      <c r="AC231" s="46">
        <f>'Inputs (2)'!X38</f>
        <v>4402</v>
      </c>
      <c r="AD231" s="46">
        <f>'Inputs (2)'!Y38</f>
        <v>4410</v>
      </c>
      <c r="AE231" s="46">
        <f>'Inputs (2)'!Z38</f>
        <v>4359</v>
      </c>
      <c r="AF231" s="46">
        <f>'Inputs (2)'!AA38</f>
        <v>4622</v>
      </c>
      <c r="AG231" s="12">
        <f>'Inputs (2)'!AB38</f>
        <v>4622</v>
      </c>
      <c r="AH231" s="12">
        <f>'Inputs (2)'!AC38</f>
        <v>4641</v>
      </c>
      <c r="AI231" s="12">
        <f>'Inputs (2)'!AD38</f>
        <v>4658</v>
      </c>
      <c r="AJ231" s="12">
        <f>AI231</f>
        <v>4658</v>
      </c>
      <c r="AK231" s="12">
        <f>AJ231</f>
        <v>4658</v>
      </c>
      <c r="AL231" s="12">
        <f>AK231</f>
        <v>4658</v>
      </c>
      <c r="AM231" s="12">
        <f>AL231</f>
        <v>4658</v>
      </c>
      <c r="AN231" s="12">
        <f>AM231</f>
        <v>4658</v>
      </c>
      <c r="AO231" s="12">
        <f>AN231</f>
        <v>4658</v>
      </c>
      <c r="AP231" s="12">
        <f>AO231</f>
        <v>4658</v>
      </c>
      <c r="AQ231" s="12">
        <f>AP231</f>
        <v>4658</v>
      </c>
      <c r="AR231" s="12">
        <f>AQ231</f>
        <v>4658</v>
      </c>
      <c r="AS231" s="12">
        <f>AR231</f>
        <v>4658</v>
      </c>
      <c r="AT231" s="12">
        <f>AS231</f>
        <v>4658</v>
      </c>
      <c r="AU231" s="12">
        <f>AT231</f>
        <v>4658</v>
      </c>
      <c r="AV231" s="12">
        <f>AU231</f>
        <v>4658</v>
      </c>
      <c r="AW231" s="12">
        <f>AV231</f>
        <v>4658</v>
      </c>
      <c r="AX231" s="12">
        <f>AW231</f>
        <v>4658</v>
      </c>
      <c r="AY231" s="12">
        <f>AX231</f>
        <v>4658</v>
      </c>
      <c r="AZ231" s="12">
        <f>AY231</f>
        <v>4658</v>
      </c>
      <c r="BA231" s="12">
        <f>AZ231</f>
        <v>4658</v>
      </c>
      <c r="BB231" s="12">
        <f>BA231</f>
        <v>4658</v>
      </c>
      <c r="BC231" s="12">
        <f>BB231</f>
        <v>4658</v>
      </c>
      <c r="BD231" s="12">
        <f>BC231</f>
        <v>4658</v>
      </c>
      <c r="BE231" s="12">
        <f>BD231</f>
        <v>4658</v>
      </c>
      <c r="BF231" s="12">
        <f>BE231</f>
        <v>4658</v>
      </c>
      <c r="BG231" s="12" t="n"/>
      <c r="BH231" s="12" t="n"/>
      <c r="BI231" s="12" t="n"/>
      <c r="BJ231" s="12" t="n"/>
      <c r="BK231" s="12" t="n"/>
      <c r="BL231" s="12" t="n"/>
      <c r="BM231" s="12" t="n"/>
      <c r="BN231" s="12" t="n"/>
      <c r="BO231" s="12" t="n"/>
      <c r="BP231" s="12" t="n"/>
      <c r="BQ231" s="12" t="n"/>
      <c r="BR231" s="12" t="n"/>
      <c r="BS231" s="12" t="n"/>
      <c r="BT231" s="12" t="n"/>
      <c r="BU231" s="12" t="n"/>
      <c r="BV231" s="12" t="n"/>
      <c r="BW231" s="12" t="n"/>
      <c r="BX231" s="12" t="n"/>
      <c r="BY231" s="12" t="n"/>
      <c r="BZ231" s="12" t="n"/>
      <c r="CA231" s="12" t="n"/>
      <c r="CB231" s="12" t="n"/>
      <c r="CC231" s="12" t="n"/>
      <c r="CD231" s="12" t="n"/>
      <c r="CE231" s="12" t="n"/>
      <c r="CF231" s="12" t="n"/>
      <c r="CG231" s="12" t="n"/>
      <c r="CH231" s="12" t="n"/>
      <c r="CI231" s="12" t="n"/>
      <c r="CJ231" s="12" t="n"/>
      <c r="CK231" s="12" t="n"/>
      <c r="CL231" s="12" t="n"/>
      <c r="CM231" s="12" t="n"/>
      <c r="CN231" s="12" t="n"/>
      <c r="CO231" s="12" t="n"/>
      <c r="CP231" s="12" t="n"/>
      <c r="CQ231" s="12" t="n"/>
      <c r="CR231" s="12" t="n"/>
      <c r="CS231" s="12" t="n"/>
      <c r="CT231" s="12" t="n"/>
      <c r="CU231" s="12" t="n"/>
      <c r="CV231" s="12" t="n"/>
      <c r="CW231" s="12" t="n"/>
      <c r="CX231" s="12" t="n"/>
      <c r="CY231" s="12" t="n"/>
    </row>
    <row r="232">
      <c r="C232" s="14" t="inlineStr">
        <is>
          <t>Other non-current liabilities</t>
        </is>
      </c>
      <c r="D232" s="46" t="n"/>
      <c r="E232" s="46" t="n"/>
      <c r="F232" s="46" t="n"/>
      <c r="G232" s="46" t="n"/>
      <c r="H232" s="12" t="n"/>
      <c r="I232" s="46">
        <f>'Inputs (2)'!D39</f>
        <v>5860</v>
      </c>
      <c r="J232" s="46">
        <f>'Inputs (2)'!E39</f>
        <v>5850</v>
      </c>
      <c r="K232" s="46">
        <f>'Inputs (2)'!F39</f>
        <v>5595</v>
      </c>
      <c r="L232" s="46">
        <f>'Inputs (2)'!G39</f>
        <v>5799</v>
      </c>
      <c r="M232" s="12">
        <f>'Inputs (2)'!H39</f>
        <v>5799</v>
      </c>
      <c r="N232" s="46">
        <f>'Inputs (2)'!I39</f>
        <v>5798</v>
      </c>
      <c r="O232" s="46">
        <f>'Inputs (2)'!J39</f>
        <v>5783</v>
      </c>
      <c r="P232" s="46">
        <f>'Inputs (2)'!K39</f>
        <v>5773</v>
      </c>
      <c r="Q232" s="46">
        <f>'Inputs (2)'!L39</f>
        <v>6025</v>
      </c>
      <c r="R232" s="12">
        <f>'Inputs (2)'!M39</f>
        <v>6025</v>
      </c>
      <c r="S232" s="46">
        <f>'Inputs (2)'!N39</f>
        <v>6089</v>
      </c>
      <c r="T232" s="46">
        <f>'Inputs (2)'!O39</f>
        <v>6291</v>
      </c>
      <c r="U232" s="46">
        <f>'Inputs (2)'!P39</f>
        <v>6342</v>
      </c>
      <c r="V232" s="46">
        <f>'Inputs (2)'!Q39</f>
        <v>6272</v>
      </c>
      <c r="W232" s="12">
        <f>'Inputs (2)'!R39</f>
        <v>6272</v>
      </c>
      <c r="X232" s="46">
        <f>'Inputs (2)'!S39</f>
        <v>6632</v>
      </c>
      <c r="Y232" s="46">
        <f>'Inputs (2)'!T39</f>
        <v>6664</v>
      </c>
      <c r="Z232" s="46">
        <f>'Inputs (2)'!U39</f>
        <v>6885</v>
      </c>
      <c r="AA232" s="46">
        <f>'Inputs (2)'!V39</f>
        <v>7291</v>
      </c>
      <c r="AB232" s="12">
        <f>'Inputs (2)'!W39</f>
        <v>7291</v>
      </c>
      <c r="AC232" s="46">
        <f>'Inputs (2)'!X39</f>
        <v>7554</v>
      </c>
      <c r="AD232" s="46">
        <f>'Inputs (2)'!Y39</f>
        <v>7642</v>
      </c>
      <c r="AE232" s="46">
        <f>'Inputs (2)'!Z39</f>
        <v>7631</v>
      </c>
      <c r="AF232" s="46">
        <f>'Inputs (2)'!AA39</f>
        <v>6837</v>
      </c>
      <c r="AG232" s="12">
        <f>'Inputs (2)'!AB39</f>
        <v>6837</v>
      </c>
      <c r="AH232" s="12">
        <f>'Inputs (2)'!AC39</f>
        <v>6880</v>
      </c>
      <c r="AI232" s="12">
        <f>'Inputs (2)'!AD39</f>
        <v>6852</v>
      </c>
      <c r="AJ232" s="12">
        <f>AI232</f>
        <v>6852</v>
      </c>
      <c r="AK232" s="12">
        <f>AJ232</f>
        <v>6852</v>
      </c>
      <c r="AL232" s="12">
        <f>AK232</f>
        <v>6852</v>
      </c>
      <c r="AM232" s="12">
        <f>AL232</f>
        <v>6852</v>
      </c>
      <c r="AN232" s="12">
        <f>AM232</f>
        <v>6852</v>
      </c>
      <c r="AO232" s="12">
        <f>AN232</f>
        <v>6852</v>
      </c>
      <c r="AP232" s="12">
        <f>AO232</f>
        <v>6852</v>
      </c>
      <c r="AQ232" s="12">
        <f>AP232</f>
        <v>6852</v>
      </c>
      <c r="AR232" s="12">
        <f>AQ232</f>
        <v>6852</v>
      </c>
      <c r="AS232" s="12">
        <f>AR232</f>
        <v>6852</v>
      </c>
      <c r="AT232" s="12">
        <f>AS232</f>
        <v>6852</v>
      </c>
      <c r="AU232" s="12">
        <f>AT232</f>
        <v>6852</v>
      </c>
      <c r="AV232" s="12">
        <f>AU232</f>
        <v>6852</v>
      </c>
      <c r="AW232" s="12">
        <f>AV232</f>
        <v>6852</v>
      </c>
      <c r="AX232" s="12">
        <f>AW232</f>
        <v>6852</v>
      </c>
      <c r="AY232" s="12">
        <f>AX232</f>
        <v>6852</v>
      </c>
      <c r="AZ232" s="12">
        <f>AY232</f>
        <v>6852</v>
      </c>
      <c r="BA232" s="12">
        <f>AZ232</f>
        <v>6852</v>
      </c>
      <c r="BB232" s="12">
        <f>BA232</f>
        <v>6852</v>
      </c>
      <c r="BC232" s="12">
        <f>BB232</f>
        <v>6852</v>
      </c>
      <c r="BD232" s="12">
        <f>BC232</f>
        <v>6852</v>
      </c>
      <c r="BE232" s="12">
        <f>BD232</f>
        <v>6852</v>
      </c>
      <c r="BF232" s="12">
        <f>BE232</f>
        <v>6852</v>
      </c>
      <c r="BG232" s="12" t="n"/>
      <c r="BH232" s="12" t="n"/>
      <c r="BI232" s="12" t="n"/>
      <c r="BJ232" s="12" t="n"/>
      <c r="BK232" s="12" t="n"/>
      <c r="BL232" s="12" t="n"/>
      <c r="BM232" s="12" t="n"/>
      <c r="BN232" s="12" t="n"/>
      <c r="BO232" s="12" t="n"/>
      <c r="BP232" s="12" t="n"/>
      <c r="BQ232" s="12" t="n"/>
      <c r="BR232" s="12" t="n"/>
      <c r="BS232" s="12" t="n"/>
      <c r="BT232" s="12" t="n"/>
      <c r="BU232" s="12" t="n"/>
      <c r="BV232" s="12" t="n"/>
      <c r="BW232" s="12" t="n"/>
      <c r="BX232" s="12" t="n"/>
      <c r="BY232" s="12" t="n"/>
      <c r="BZ232" s="12" t="n"/>
      <c r="CA232" s="12" t="n"/>
      <c r="CB232" s="12" t="n"/>
      <c r="CC232" s="12" t="n"/>
      <c r="CD232" s="12" t="n"/>
      <c r="CE232" s="12" t="n"/>
      <c r="CF232" s="12" t="n"/>
      <c r="CG232" s="12" t="n"/>
      <c r="CH232" s="12" t="n"/>
      <c r="CI232" s="12" t="n"/>
      <c r="CJ232" s="12" t="n"/>
      <c r="CK232" s="12" t="n"/>
      <c r="CL232" s="12" t="n"/>
      <c r="CM232" s="12" t="n"/>
      <c r="CN232" s="12" t="n"/>
      <c r="CO232" s="12" t="n"/>
      <c r="CP232" s="12" t="n"/>
      <c r="CQ232" s="12" t="n"/>
      <c r="CR232" s="12" t="n"/>
      <c r="CS232" s="12" t="n"/>
      <c r="CT232" s="12" t="n"/>
      <c r="CU232" s="12" t="n"/>
      <c r="CV232" s="12" t="n"/>
      <c r="CW232" s="12" t="n"/>
      <c r="CX232" s="12" t="n"/>
      <c r="CY232" s="12" t="n"/>
    </row>
    <row r="233" hidden="1" outlineLevel="1" ht="12" customHeight="1">
      <c r="C233" s="59" t="inlineStr">
        <is>
          <t>%(Var.)</t>
        </is>
      </c>
      <c r="D233" s="12" t="n"/>
      <c r="E233" s="40" t="n"/>
      <c r="F233" s="40" t="n"/>
      <c r="G233" s="40" t="n"/>
      <c r="H233" s="12" t="n"/>
      <c r="I233" s="40" t="str">
        <f>""</f>
        <v/>
      </c>
      <c r="J233" s="40">
        <f>IF(I232=0,"",J232/I232-1)</f>
        <v>-0.00170648464163825</v>
      </c>
      <c r="K233" s="40">
        <f>IF(J232=0,"",K232/J232-1)</f>
        <v>-0.0435897435897435</v>
      </c>
      <c r="L233" s="40">
        <f>IF(K232=0,"",L232/K232-1)</f>
        <v>0.036461126005362</v>
      </c>
      <c r="M233" s="12">
        <f>IF(L232=0,"",M232/L232-1)</f>
        <v>0</v>
      </c>
      <c r="N233" s="40">
        <f>IF(M232=0,"",N232/M232-1)</f>
        <v>-0.000172443524745658</v>
      </c>
      <c r="O233" s="40">
        <f>IF(N232=0,"",O232/N232-1)</f>
        <v>-0.00258709899965504</v>
      </c>
      <c r="P233" s="40">
        <f>IF(O232=0,"",P232/O232-1)</f>
        <v>-0.00172920629431095</v>
      </c>
      <c r="Q233" s="40">
        <f>IF(P232=0,"",Q232/P232-1)</f>
        <v>0.0436514810323923</v>
      </c>
      <c r="R233" s="12">
        <f>IF(Q232=0,"",R232/Q232-1)</f>
        <v>0</v>
      </c>
      <c r="S233" s="40">
        <f>IF(R232=0,"",S232/R232-1)</f>
        <v>0.0106224066390042</v>
      </c>
      <c r="T233" s="40">
        <f>IF(S232=0,"",T232/S232-1)</f>
        <v>0.0331745771062573</v>
      </c>
      <c r="U233" s="40">
        <f>IF(T232=0,"",U232/T232-1)</f>
        <v>0.00810681926561752</v>
      </c>
      <c r="V233" s="40">
        <f>IF(U232=0,"",V232/U232-1)</f>
        <v>-0.0110375275938189</v>
      </c>
      <c r="W233" s="12">
        <f>IF(V232=0,"",W232/V232-1)</f>
        <v>0</v>
      </c>
      <c r="X233" s="40">
        <f>IF(W232=0,"",X232/W232-1)</f>
        <v>0.0573979591836735</v>
      </c>
      <c r="Y233" s="40">
        <f>IF(X232=0,"",Y232/X232-1)</f>
        <v>0.00482509047044633</v>
      </c>
      <c r="Z233" s="40">
        <f>IF(Y232=0,"",Z232/Y232-1)</f>
        <v>0.0331632653061225</v>
      </c>
      <c r="AA233" s="40">
        <f>IF(Z232=0,"",AA232/Z232-1)</f>
        <v>0.0589687726942629</v>
      </c>
      <c r="AB233" s="12">
        <f>IF(AA232=0,"",AB232/AA232-1)</f>
        <v>0</v>
      </c>
      <c r="AC233" s="40">
        <f>IF(AB232=0,"",AC232/AB232-1)</f>
        <v>0.036071869428062</v>
      </c>
      <c r="AD233" s="40">
        <f>IF(AC232=0,"",AD232/AC232-1)</f>
        <v>0.0116494572411967</v>
      </c>
      <c r="AE233" s="40">
        <f>IF(AD232=0,"",AE232/AD232-1)</f>
        <v>-0.00143941376602985</v>
      </c>
      <c r="AF233" s="41">
        <f>IF(AE232=0,"",AF232/AE232-1)</f>
        <v>-0.104049272703446</v>
      </c>
      <c r="AG233" s="12">
        <f>IF(AF232=0,"",AG232/AF232-1)</f>
        <v>0</v>
      </c>
      <c r="AH233" s="41">
        <f>IF(AG232=0,"",AH232/AG232-1)</f>
        <v>0.00628930817610063</v>
      </c>
      <c r="AI233" s="41">
        <f>IF(AH232=0,"",AI232/AH232-1)</f>
        <v>-0.00406976744186049</v>
      </c>
      <c r="AJ233" s="41">
        <f>IF(AI232=0,"",AJ232/AI232-1)</f>
        <v>0</v>
      </c>
      <c r="AK233" s="41">
        <f>IF(AJ232=0,"",AK232/AJ232-1)</f>
        <v>0</v>
      </c>
      <c r="AL233" s="12">
        <f>IF(AK232=0,"",AL232/AK232-1)</f>
        <v>0</v>
      </c>
      <c r="AM233" s="41">
        <f>IF(AL232=0,"",AM232/AL232-1)</f>
        <v>0</v>
      </c>
      <c r="AN233" s="41">
        <f>IF(AM232=0,"",AN232/AM232-1)</f>
        <v>0</v>
      </c>
      <c r="AO233" s="41">
        <f>IF(AN232=0,"",AO232/AN232-1)</f>
        <v>0</v>
      </c>
      <c r="AP233" s="41">
        <f>IF(AO232=0,"",AP232/AO232-1)</f>
        <v>0</v>
      </c>
      <c r="AQ233" s="12">
        <f>IF(AP232=0,"",AQ232/AP232-1)</f>
        <v>0</v>
      </c>
      <c r="AR233" s="41">
        <f>IF(AQ232=0,"",AR232/AQ232-1)</f>
        <v>0</v>
      </c>
      <c r="AS233" s="41">
        <f>IF(AR232=0,"",AS232/AR232-1)</f>
        <v>0</v>
      </c>
      <c r="AT233" s="41">
        <f>IF(AS232=0,"",AT232/AS232-1)</f>
        <v>0</v>
      </c>
      <c r="AU233" s="41">
        <f>IF(AT232=0,"",AU232/AT232-1)</f>
        <v>0</v>
      </c>
      <c r="AV233" s="12">
        <f>IF(AU232=0,"",AV232/AU232-1)</f>
        <v>0</v>
      </c>
      <c r="AW233" s="41">
        <f>IF(AV232=0,"",AW232/AV232-1)</f>
        <v>0</v>
      </c>
      <c r="AX233" s="41">
        <f>IF(AW232=0,"",AX232/AW232-1)</f>
        <v>0</v>
      </c>
      <c r="AY233" s="41">
        <f>IF(AX232=0,"",AY232/AX232-1)</f>
        <v>0</v>
      </c>
      <c r="AZ233" s="41">
        <f>IF(AY232=0,"",AZ232/AY232-1)</f>
        <v>0</v>
      </c>
      <c r="BA233" s="12">
        <f>IF(AZ232=0,"",BA232/AZ232-1)</f>
        <v>0</v>
      </c>
      <c r="BB233" s="41">
        <f>IF(BA232=0,"",BB232/BA232-1)</f>
        <v>0</v>
      </c>
      <c r="BC233" s="41">
        <f>IF(BB232=0,"",BC232/BB232-1)</f>
        <v>0</v>
      </c>
      <c r="BD233" s="41">
        <f>IF(BC232=0,"",BD232/BC232-1)</f>
        <v>0</v>
      </c>
      <c r="BE233" s="41">
        <f>IF(BD232=0,"",BE232/BD232-1)</f>
        <v>0</v>
      </c>
      <c r="BF233" s="12">
        <f>IF(BE232=0,"",BF232/BE232-1)</f>
        <v>0</v>
      </c>
      <c r="BG233" s="41" t="n"/>
      <c r="BH233" s="41" t="n"/>
      <c r="BI233" s="41" t="n"/>
      <c r="BJ233" s="41" t="n"/>
      <c r="BK233" s="12" t="n"/>
      <c r="BL233" s="41" t="n"/>
      <c r="BM233" s="41" t="n"/>
      <c r="BN233" s="41" t="n"/>
      <c r="BO233" s="41" t="n"/>
      <c r="BP233" s="12" t="n"/>
      <c r="BQ233" s="41" t="n"/>
      <c r="BR233" s="41" t="n"/>
      <c r="BS233" s="41" t="n"/>
      <c r="BT233" s="41" t="n"/>
      <c r="BU233" s="12" t="n"/>
      <c r="BV233" s="41" t="n"/>
      <c r="BW233" s="41" t="n"/>
      <c r="BX233" s="41" t="n"/>
      <c r="BY233" s="41" t="n"/>
      <c r="BZ233" s="12" t="n"/>
      <c r="CA233" s="41" t="n"/>
      <c r="CB233" s="41" t="n"/>
      <c r="CC233" s="41" t="n"/>
      <c r="CD233" s="41" t="n"/>
      <c r="CE233" s="12" t="n"/>
      <c r="CF233" s="41" t="n"/>
      <c r="CG233" s="41" t="n"/>
      <c r="CH233" s="41" t="n"/>
      <c r="CI233" s="41" t="n"/>
      <c r="CJ233" s="12" t="n"/>
      <c r="CK233" s="41" t="n"/>
      <c r="CL233" s="41" t="n"/>
      <c r="CM233" s="41" t="n"/>
      <c r="CN233" s="41" t="n"/>
      <c r="CO233" s="12" t="n"/>
      <c r="CP233" s="41" t="n"/>
      <c r="CQ233" s="41" t="n"/>
      <c r="CR233" s="41" t="n"/>
      <c r="CS233" s="41" t="n"/>
      <c r="CT233" s="12" t="n"/>
      <c r="CU233" s="41" t="n"/>
      <c r="CV233" s="41" t="n"/>
      <c r="CW233" s="41" t="n"/>
      <c r="CX233" s="41" t="n"/>
      <c r="CY233" s="12" t="n"/>
    </row>
    <row r="234" hidden="1" outlineLevel="1" ht="12" customHeight="1">
      <c r="C234" s="59" t="n"/>
      <c r="D234" s="12" t="n"/>
      <c r="E234" s="12" t="n"/>
      <c r="F234" s="12" t="n"/>
      <c r="G234" s="12" t="n"/>
      <c r="H234" s="12" t="n"/>
      <c r="I234" s="12" t="n"/>
      <c r="J234" s="12" t="n"/>
      <c r="K234" s="12" t="n"/>
      <c r="L234" s="12" t="n"/>
      <c r="M234" s="12" t="n"/>
      <c r="N234" s="12" t="n"/>
      <c r="O234" s="12" t="n"/>
      <c r="P234" s="12" t="n"/>
      <c r="Q234" s="12" t="n"/>
      <c r="R234" s="12" t="n"/>
      <c r="S234" s="12" t="n"/>
      <c r="T234" s="12" t="n"/>
      <c r="U234" s="12" t="n"/>
      <c r="V234" s="12" t="n"/>
      <c r="W234" s="12" t="n"/>
      <c r="X234" s="12" t="n"/>
      <c r="Y234" s="12" t="n"/>
      <c r="Z234" s="12" t="n"/>
      <c r="AA234" s="12" t="n"/>
      <c r="AB234" s="12" t="n"/>
      <c r="AC234" s="12" t="n"/>
      <c r="AD234" s="12" t="n"/>
      <c r="AE234" s="12" t="n"/>
      <c r="AF234" s="12" t="n"/>
      <c r="AG234" s="12" t="n"/>
      <c r="AH234" s="12" t="n"/>
      <c r="AI234" s="12" t="n"/>
      <c r="AJ234" s="12" t="n"/>
      <c r="AK234" s="12" t="n"/>
      <c r="AL234" s="12" t="n"/>
      <c r="AM234" s="12" t="n"/>
      <c r="AN234" s="12" t="n"/>
      <c r="AO234" s="12" t="n"/>
      <c r="AP234" s="12" t="n"/>
      <c r="AQ234" s="12" t="n"/>
      <c r="AR234" s="12" t="n"/>
      <c r="AS234" s="12" t="n"/>
      <c r="AT234" s="12" t="n"/>
      <c r="AU234" s="12" t="n"/>
      <c r="AV234" s="12" t="n"/>
      <c r="AW234" s="12" t="n"/>
      <c r="AX234" s="12" t="n"/>
      <c r="AY234" s="12" t="n"/>
      <c r="AZ234" s="12" t="n"/>
      <c r="BA234" s="12" t="n"/>
      <c r="BB234" s="12" t="n"/>
      <c r="BC234" s="12" t="n"/>
      <c r="BD234" s="12" t="n"/>
      <c r="BE234" s="12" t="n"/>
      <c r="BF234" s="12" t="n"/>
      <c r="BG234" s="12" t="n"/>
      <c r="BH234" s="12" t="n"/>
      <c r="BI234" s="12" t="n"/>
      <c r="BJ234" s="12" t="n"/>
      <c r="BK234" s="12" t="n"/>
      <c r="BL234" s="12" t="n"/>
      <c r="BM234" s="12" t="n"/>
      <c r="BN234" s="12" t="n"/>
      <c r="BO234" s="12" t="n"/>
      <c r="BP234" s="12" t="n"/>
      <c r="BQ234" s="12" t="n"/>
      <c r="BR234" s="12" t="n"/>
      <c r="BS234" s="12" t="n"/>
      <c r="BT234" s="12" t="n"/>
      <c r="BU234" s="12" t="n"/>
      <c r="BV234" s="12" t="n"/>
      <c r="BW234" s="12" t="n"/>
      <c r="BX234" s="12" t="n"/>
      <c r="BY234" s="12" t="n"/>
      <c r="BZ234" s="12" t="n"/>
      <c r="CA234" s="12" t="n"/>
      <c r="CB234" s="12" t="n"/>
      <c r="CC234" s="12" t="n"/>
      <c r="CD234" s="12" t="n"/>
      <c r="CE234" s="12" t="n"/>
      <c r="CF234" s="12" t="n"/>
      <c r="CG234" s="12" t="n"/>
      <c r="CH234" s="12" t="n"/>
      <c r="CI234" s="12" t="n"/>
      <c r="CJ234" s="12" t="n"/>
      <c r="CK234" s="12" t="n"/>
      <c r="CL234" s="12" t="n"/>
      <c r="CM234" s="12" t="n"/>
      <c r="CN234" s="12" t="n"/>
      <c r="CO234" s="12" t="n"/>
      <c r="CP234" s="12" t="n"/>
      <c r="CQ234" s="12" t="n"/>
      <c r="CR234" s="12" t="n"/>
      <c r="CS234" s="12" t="n"/>
      <c r="CT234" s="12" t="n"/>
      <c r="CU234" s="12" t="n"/>
      <c r="CV234" s="12" t="n"/>
      <c r="CW234" s="12" t="n"/>
      <c r="CX234" s="12" t="n"/>
      <c r="CY234" s="12" t="n"/>
    </row>
    <row r="235" hidden="1" outlineLevel="1">
      <c r="C235" s="57" t="inlineStr">
        <is>
          <t>Contas a pagar pela aquisição de controladas</t>
        </is>
      </c>
      <c r="D235" s="11" t="n"/>
      <c r="E235" s="11" t="n"/>
      <c r="F235" s="11" t="n"/>
      <c r="G235" s="11" t="n"/>
      <c r="H235" s="12" t="n"/>
      <c r="I235" s="11" t="n"/>
      <c r="J235" s="11" t="n"/>
      <c r="K235" s="11" t="n"/>
      <c r="L235" s="11" t="n"/>
      <c r="M235" s="12" t="n"/>
      <c r="N235" s="11" t="n"/>
      <c r="O235" s="11" t="n"/>
      <c r="P235" s="11" t="n"/>
      <c r="Q235" s="11" t="n"/>
      <c r="R235" s="12" t="n"/>
      <c r="S235" s="11" t="n"/>
      <c r="T235" s="11" t="n"/>
      <c r="U235" s="11" t="n"/>
      <c r="V235" s="11" t="n"/>
      <c r="W235" s="12" t="n"/>
      <c r="X235" s="11" t="n"/>
      <c r="Y235" s="11" t="n"/>
      <c r="Z235" s="11" t="n"/>
      <c r="AA235" s="11" t="n"/>
      <c r="AB235" s="12" t="n"/>
      <c r="AC235" s="11" t="n"/>
      <c r="AD235" s="11" t="n"/>
      <c r="AE235" s="11" t="n"/>
      <c r="AF235" s="11" t="n"/>
      <c r="AG235" s="12" t="n"/>
      <c r="AH235" s="12" t="n"/>
      <c r="AI235" s="12" t="n"/>
      <c r="AJ235" s="12" t="n"/>
      <c r="AK235" s="12" t="n"/>
      <c r="AL235" s="12" t="n"/>
      <c r="AM235" s="12" t="n"/>
      <c r="AN235" s="12" t="n"/>
      <c r="AO235" s="12" t="n"/>
      <c r="AP235" s="12" t="n"/>
      <c r="AQ235" s="12" t="n"/>
      <c r="AR235" s="12" t="n"/>
      <c r="AS235" s="12" t="n"/>
      <c r="AT235" s="12" t="n"/>
      <c r="AU235" s="12" t="n"/>
      <c r="AV235" s="12" t="n"/>
      <c r="AW235" s="12" t="n"/>
      <c r="AX235" s="12" t="n"/>
      <c r="AY235" s="12" t="n"/>
      <c r="AZ235" s="12" t="n"/>
      <c r="BA235" s="12" t="n"/>
      <c r="BB235" s="12" t="n"/>
      <c r="BC235" s="12" t="n"/>
      <c r="BD235" s="12" t="n"/>
      <c r="BE235" s="12" t="n"/>
      <c r="BF235" s="12" t="n"/>
      <c r="BG235" s="12" t="n"/>
      <c r="BH235" s="12" t="n"/>
      <c r="BI235" s="12" t="n"/>
      <c r="BJ235" s="12" t="n"/>
      <c r="BK235" s="12" t="n"/>
      <c r="BL235" s="12" t="n"/>
      <c r="BM235" s="12" t="n"/>
      <c r="BN235" s="12" t="n"/>
      <c r="BO235" s="12" t="n"/>
      <c r="BP235" s="12" t="n"/>
      <c r="BQ235" s="12" t="n"/>
      <c r="BR235" s="12" t="n"/>
      <c r="BS235" s="12" t="n"/>
      <c r="BT235" s="12" t="n"/>
      <c r="BU235" s="12" t="n"/>
      <c r="BV235" s="12" t="n"/>
      <c r="BW235" s="12" t="n"/>
      <c r="BX235" s="12" t="n"/>
      <c r="BY235" s="12" t="n"/>
      <c r="BZ235" s="12" t="n"/>
      <c r="CA235" s="12" t="n"/>
      <c r="CB235" s="12" t="n"/>
      <c r="CC235" s="12" t="n"/>
      <c r="CD235" s="12" t="n"/>
      <c r="CE235" s="12" t="n"/>
      <c r="CF235" s="12" t="n"/>
      <c r="CG235" s="12" t="n"/>
      <c r="CH235" s="12" t="n"/>
      <c r="CI235" s="12" t="n"/>
      <c r="CJ235" s="12" t="n"/>
      <c r="CK235" s="12" t="n"/>
      <c r="CL235" s="12" t="n"/>
      <c r="CM235" s="12" t="n"/>
      <c r="CN235" s="12" t="n"/>
      <c r="CO235" s="12" t="n"/>
      <c r="CP235" s="12" t="n"/>
      <c r="CQ235" s="12" t="n"/>
      <c r="CR235" s="12" t="n"/>
      <c r="CS235" s="12" t="n"/>
      <c r="CT235" s="12" t="n"/>
      <c r="CU235" s="12" t="n"/>
      <c r="CV235" s="12" t="n"/>
      <c r="CW235" s="12" t="n"/>
      <c r="CX235" s="12" t="n"/>
      <c r="CY235" s="12" t="n"/>
    </row>
    <row r="236" hidden="1" outlineLevel="1">
      <c r="C236" s="57" t="inlineStr">
        <is>
          <t xml:space="preserve">Outras Obrigações </t>
        </is>
      </c>
      <c r="D236" s="11" t="n"/>
      <c r="E236" s="11" t="n"/>
      <c r="F236" s="11" t="n"/>
      <c r="G236" s="11" t="n"/>
      <c r="H236" s="12" t="n"/>
      <c r="I236" s="11" t="n"/>
      <c r="J236" s="11" t="n"/>
      <c r="K236" s="11" t="n"/>
      <c r="L236" s="11" t="n"/>
      <c r="M236" s="12" t="n"/>
      <c r="N236" s="11" t="n"/>
      <c r="O236" s="11" t="n"/>
      <c r="P236" s="11" t="n"/>
      <c r="Q236" s="11" t="n"/>
      <c r="R236" s="12" t="n"/>
      <c r="S236" s="11" t="n"/>
      <c r="T236" s="11" t="n"/>
      <c r="U236" s="11" t="n"/>
      <c r="V236" s="11" t="n"/>
      <c r="W236" s="12" t="n"/>
      <c r="X236" s="11" t="n"/>
      <c r="Y236" s="11" t="n"/>
      <c r="Z236" s="11" t="n"/>
      <c r="AA236" s="11" t="n"/>
      <c r="AB236" s="12" t="n"/>
      <c r="AC236" s="11" t="n"/>
      <c r="AD236" s="11" t="n"/>
      <c r="AE236" s="11" t="n"/>
      <c r="AF236" s="11" t="n"/>
      <c r="AG236" s="12" t="n"/>
      <c r="AH236" s="12" t="n"/>
      <c r="AI236" s="12" t="n"/>
      <c r="AJ236" s="12" t="n"/>
      <c r="AK236" s="12" t="n"/>
      <c r="AL236" s="12" t="n"/>
      <c r="AM236" s="12" t="n"/>
      <c r="AN236" s="12" t="n"/>
      <c r="AO236" s="12" t="n"/>
      <c r="AP236" s="12" t="n"/>
      <c r="AQ236" s="12" t="n"/>
      <c r="AR236" s="12" t="n"/>
      <c r="AS236" s="12" t="n"/>
      <c r="AT236" s="12" t="n"/>
      <c r="AU236" s="12" t="n"/>
      <c r="AV236" s="12" t="n"/>
      <c r="AW236" s="12" t="n"/>
      <c r="AX236" s="12" t="n"/>
      <c r="AY236" s="12" t="n"/>
      <c r="AZ236" s="12" t="n"/>
      <c r="BA236" s="12" t="n"/>
      <c r="BB236" s="12" t="n"/>
      <c r="BC236" s="12" t="n"/>
      <c r="BD236" s="12" t="n"/>
      <c r="BE236" s="12" t="n"/>
      <c r="BF236" s="12" t="n"/>
      <c r="BG236" s="12" t="n"/>
      <c r="BH236" s="12" t="n"/>
      <c r="BI236" s="12" t="n"/>
      <c r="BJ236" s="12" t="n"/>
      <c r="BK236" s="12" t="n"/>
      <c r="BL236" s="12" t="n"/>
      <c r="BM236" s="12" t="n"/>
      <c r="BN236" s="12" t="n"/>
      <c r="BO236" s="12" t="n"/>
      <c r="BP236" s="12" t="n"/>
      <c r="BQ236" s="12" t="n"/>
      <c r="BR236" s="12" t="n"/>
      <c r="BS236" s="12" t="n"/>
      <c r="BT236" s="12" t="n"/>
      <c r="BU236" s="12" t="n"/>
      <c r="BV236" s="12" t="n"/>
      <c r="BW236" s="12" t="n"/>
      <c r="BX236" s="12" t="n"/>
      <c r="BY236" s="12" t="n"/>
      <c r="BZ236" s="12" t="n"/>
      <c r="CA236" s="12" t="n"/>
      <c r="CB236" s="12" t="n"/>
      <c r="CC236" s="12" t="n"/>
      <c r="CD236" s="12" t="n"/>
      <c r="CE236" s="12" t="n"/>
      <c r="CF236" s="12" t="n"/>
      <c r="CG236" s="12" t="n"/>
      <c r="CH236" s="12" t="n"/>
      <c r="CI236" s="12" t="n"/>
      <c r="CJ236" s="12" t="n"/>
      <c r="CK236" s="12" t="n"/>
      <c r="CL236" s="12" t="n"/>
      <c r="CM236" s="12" t="n"/>
      <c r="CN236" s="12" t="n"/>
      <c r="CO236" s="12" t="n"/>
      <c r="CP236" s="12" t="n"/>
      <c r="CQ236" s="12" t="n"/>
      <c r="CR236" s="12" t="n"/>
      <c r="CS236" s="12" t="n"/>
      <c r="CT236" s="12" t="n"/>
      <c r="CU236" s="12" t="n"/>
      <c r="CV236" s="12" t="n"/>
      <c r="CW236" s="12" t="n"/>
      <c r="CX236" s="12" t="n"/>
      <c r="CY236" s="12" t="n"/>
    </row>
    <row r="237" hidden="1" outlineLevel="1">
      <c r="C237" s="57" t="inlineStr">
        <is>
          <t xml:space="preserve">Provisão de Risco Cíveis, Trabalhistas e Tributários </t>
        </is>
      </c>
      <c r="D237" s="11" t="n"/>
      <c r="E237" s="11" t="n"/>
      <c r="F237" s="11" t="n"/>
      <c r="G237" s="11" t="n"/>
      <c r="H237" s="12" t="n"/>
      <c r="I237" s="11" t="n"/>
      <c r="J237" s="11" t="n"/>
      <c r="K237" s="11" t="n"/>
      <c r="L237" s="11" t="n"/>
      <c r="M237" s="12" t="n"/>
      <c r="N237" s="11" t="n"/>
      <c r="O237" s="11" t="n"/>
      <c r="P237" s="11" t="n"/>
      <c r="Q237" s="11" t="n"/>
      <c r="R237" s="12" t="n"/>
      <c r="S237" s="11" t="n"/>
      <c r="T237" s="11" t="n"/>
      <c r="U237" s="11" t="n"/>
      <c r="V237" s="11" t="n"/>
      <c r="W237" s="12" t="n"/>
      <c r="X237" s="11" t="n"/>
      <c r="Y237" s="11" t="n"/>
      <c r="Z237" s="11" t="n"/>
      <c r="AA237" s="11" t="n"/>
      <c r="AB237" s="12" t="n"/>
      <c r="AC237" s="11" t="n"/>
      <c r="AD237" s="11" t="n"/>
      <c r="AE237" s="11" t="n"/>
      <c r="AF237" s="11" t="n"/>
      <c r="AG237" s="12" t="n"/>
      <c r="AH237" s="12" t="n"/>
      <c r="AI237" s="12" t="n"/>
      <c r="AJ237" s="12" t="n"/>
      <c r="AK237" s="12" t="n"/>
      <c r="AL237" s="12" t="n"/>
      <c r="AM237" s="12" t="n"/>
      <c r="AN237" s="12" t="n"/>
      <c r="AO237" s="12" t="n"/>
      <c r="AP237" s="12" t="n"/>
      <c r="AQ237" s="12" t="n"/>
      <c r="AR237" s="12" t="n"/>
      <c r="AS237" s="12" t="n"/>
      <c r="AT237" s="12" t="n"/>
      <c r="AU237" s="12" t="n"/>
      <c r="AV237" s="12" t="n"/>
      <c r="AW237" s="12" t="n"/>
      <c r="AX237" s="12" t="n"/>
      <c r="AY237" s="12" t="n"/>
      <c r="AZ237" s="12" t="n"/>
      <c r="BA237" s="12" t="n"/>
      <c r="BB237" s="12" t="n"/>
      <c r="BC237" s="12" t="n"/>
      <c r="BD237" s="12" t="n"/>
      <c r="BE237" s="12" t="n"/>
      <c r="BF237" s="12" t="n"/>
      <c r="BG237" s="12" t="n"/>
      <c r="BH237" s="12" t="n"/>
      <c r="BI237" s="12" t="n"/>
      <c r="BJ237" s="12" t="n"/>
      <c r="BK237" s="12" t="n"/>
      <c r="BL237" s="12" t="n"/>
      <c r="BM237" s="12" t="n"/>
      <c r="BN237" s="12" t="n"/>
      <c r="BO237" s="12" t="n"/>
      <c r="BP237" s="12" t="n"/>
      <c r="BQ237" s="12" t="n"/>
      <c r="BR237" s="12" t="n"/>
      <c r="BS237" s="12" t="n"/>
      <c r="BT237" s="12" t="n"/>
      <c r="BU237" s="12" t="n"/>
      <c r="BV237" s="12" t="n"/>
      <c r="BW237" s="12" t="n"/>
      <c r="BX237" s="12" t="n"/>
      <c r="BY237" s="12" t="n"/>
      <c r="BZ237" s="12" t="n"/>
      <c r="CA237" s="12" t="n"/>
      <c r="CB237" s="12" t="n"/>
      <c r="CC237" s="12" t="n"/>
      <c r="CD237" s="12" t="n"/>
      <c r="CE237" s="12" t="n"/>
      <c r="CF237" s="12" t="n"/>
      <c r="CG237" s="12" t="n"/>
      <c r="CH237" s="12" t="n"/>
      <c r="CI237" s="12" t="n"/>
      <c r="CJ237" s="12" t="n"/>
      <c r="CK237" s="12" t="n"/>
      <c r="CL237" s="12" t="n"/>
      <c r="CM237" s="12" t="n"/>
      <c r="CN237" s="12" t="n"/>
      <c r="CO237" s="12" t="n"/>
      <c r="CP237" s="12" t="n"/>
      <c r="CQ237" s="12" t="n"/>
      <c r="CR237" s="12" t="n"/>
      <c r="CS237" s="12" t="n"/>
      <c r="CT237" s="12" t="n"/>
      <c r="CU237" s="12" t="n"/>
      <c r="CV237" s="12" t="n"/>
      <c r="CW237" s="12" t="n"/>
      <c r="CX237" s="12" t="n"/>
      <c r="CY237" s="12" t="n"/>
    </row>
    <row r="238" hidden="1" outlineLevel="1">
      <c r="C238" s="57" t="n"/>
      <c r="D238" s="12" t="n"/>
      <c r="E238" s="12" t="n"/>
      <c r="F238" s="12" t="n"/>
      <c r="G238" s="12" t="n"/>
      <c r="H238" s="12" t="n"/>
      <c r="I238" s="12" t="n"/>
      <c r="J238" s="12" t="n"/>
      <c r="K238" s="12" t="n"/>
      <c r="L238" s="12" t="n"/>
      <c r="M238" s="12" t="n"/>
      <c r="N238" s="12" t="n"/>
      <c r="O238" s="12" t="n"/>
      <c r="P238" s="12" t="n"/>
      <c r="Q238" s="12" t="n"/>
      <c r="R238" s="12" t="n"/>
      <c r="S238" s="12" t="n"/>
      <c r="T238" s="12" t="n"/>
      <c r="U238" s="12" t="n"/>
      <c r="V238" s="12" t="n"/>
      <c r="W238" s="12" t="n"/>
      <c r="X238" s="12" t="n"/>
      <c r="Y238" s="12" t="n"/>
      <c r="Z238" s="12" t="n"/>
      <c r="AA238" s="12" t="n"/>
      <c r="AB238" s="12" t="n"/>
      <c r="AC238" s="12" t="n"/>
      <c r="AD238" s="12" t="n"/>
      <c r="AE238" s="12" t="n"/>
      <c r="AF238" s="12" t="n"/>
      <c r="AG238" s="12" t="n"/>
      <c r="AH238" s="12" t="n"/>
      <c r="AI238" s="12" t="n"/>
      <c r="AJ238" s="12" t="n"/>
      <c r="AK238" s="12" t="n"/>
      <c r="AL238" s="12" t="n"/>
      <c r="AM238" s="12" t="n"/>
      <c r="AN238" s="12" t="n"/>
      <c r="AO238" s="12" t="n"/>
      <c r="AP238" s="12" t="n"/>
      <c r="AQ238" s="12" t="n"/>
      <c r="AR238" s="12" t="n"/>
      <c r="AS238" s="12" t="n"/>
      <c r="AT238" s="12" t="n"/>
      <c r="AU238" s="12" t="n"/>
      <c r="AV238" s="12" t="n"/>
      <c r="AW238" s="12" t="n"/>
      <c r="AX238" s="12" t="n"/>
      <c r="AY238" s="12" t="n"/>
      <c r="AZ238" s="12" t="n"/>
      <c r="BA238" s="12" t="n"/>
      <c r="BB238" s="12" t="n"/>
      <c r="BC238" s="12" t="n"/>
      <c r="BD238" s="12" t="n"/>
      <c r="BE238" s="12" t="n"/>
      <c r="BF238" s="12" t="n"/>
      <c r="BG238" s="12" t="n"/>
      <c r="BH238" s="12" t="n"/>
      <c r="BI238" s="12" t="n"/>
      <c r="BJ238" s="12" t="n"/>
      <c r="BK238" s="12" t="n"/>
      <c r="BL238" s="12" t="n"/>
      <c r="BM238" s="12" t="n"/>
      <c r="BN238" s="12" t="n"/>
      <c r="BO238" s="12" t="n"/>
      <c r="BP238" s="12" t="n"/>
      <c r="BQ238" s="12" t="n"/>
      <c r="BR238" s="12" t="n"/>
      <c r="BS238" s="12" t="n"/>
      <c r="BT238" s="12" t="n"/>
      <c r="BU238" s="12" t="n"/>
      <c r="BV238" s="12" t="n"/>
      <c r="BW238" s="12" t="n"/>
      <c r="BX238" s="12" t="n"/>
      <c r="BY238" s="12" t="n"/>
      <c r="BZ238" s="12" t="n"/>
      <c r="CA238" s="12" t="n"/>
      <c r="CB238" s="12" t="n"/>
      <c r="CC238" s="12" t="n"/>
      <c r="CD238" s="12" t="n"/>
      <c r="CE238" s="12" t="n"/>
      <c r="CF238" s="12" t="n"/>
      <c r="CG238" s="12" t="n"/>
      <c r="CH238" s="12" t="n"/>
      <c r="CI238" s="12" t="n"/>
      <c r="CJ238" s="12" t="n"/>
      <c r="CK238" s="12" t="n"/>
      <c r="CL238" s="12" t="n"/>
      <c r="CM238" s="12" t="n"/>
      <c r="CN238" s="12" t="n"/>
      <c r="CO238" s="12" t="n"/>
      <c r="CP238" s="12" t="n"/>
      <c r="CQ238" s="12" t="n"/>
      <c r="CR238" s="12" t="n"/>
      <c r="CS238" s="12" t="n"/>
      <c r="CT238" s="12" t="n"/>
      <c r="CU238" s="12" t="n"/>
      <c r="CV238" s="12" t="n"/>
      <c r="CW238" s="12" t="n"/>
      <c r="CX238" s="12" t="n"/>
      <c r="CY238" s="12" t="n"/>
    </row>
    <row r="239" collapsed="1" customFormat="1" s="32">
      <c r="A239" s="30" t="n"/>
      <c r="B239" s="30" t="n"/>
      <c r="C239" s="65" t="inlineStr">
        <is>
          <t>Total Liabilities</t>
        </is>
      </c>
      <c r="D239" s="35" t="n"/>
      <c r="E239" s="35" t="n"/>
      <c r="F239" s="35" t="n"/>
      <c r="G239" s="35" t="n"/>
      <c r="H239" s="35" t="n"/>
      <c r="I239" s="35">
        <f>SUM(I190+I194+I196+I197+I204+I205+I206+I209+I227+I230+I231+I232)</f>
        <v>24070</v>
      </c>
      <c r="J239" s="35">
        <f>SUM(J190+J194+J196+J197+J204+J205+J206+J209+J227+J230+J231+J232)</f>
        <v>24501</v>
      </c>
      <c r="K239" s="35">
        <f>SUM(K190+K194+K196+K197+K204+K205+K206+K209+K227+K230+K231+K232)</f>
        <v>24386</v>
      </c>
      <c r="L239" s="35">
        <f>SUM(L190+L194+L196+L197+L204+L205+L206+L209+L227+L230+L231+L232)</f>
        <v>25003</v>
      </c>
      <c r="M239" s="35">
        <f>SUM(M190,M194,M196,M197,M204,M205,M209,M206,M227,M230,M231,M232)</f>
        <v>25003</v>
      </c>
      <c r="N239" s="35">
        <f>SUM(N190+N194+N196+N197+N204+N205+N206+N209+N227+N230+N231+N232)</f>
        <v>24790</v>
      </c>
      <c r="O239" s="35">
        <f>SUM(O190+O194+O196+O197+O204+O205+O206+O209+O227+O230+O231+O232)</f>
        <v>26066</v>
      </c>
      <c r="P239" s="35">
        <f>SUM(P190+P194+P196+P197+P204+P205+P206+P209+P227+P230+P231+P232)</f>
        <v>25746</v>
      </c>
      <c r="Q239" s="35">
        <f>SUM(Q190+Q194+Q196+Q197+Q204+Q205+Q206+Q209+Q227+Q230+Q231+Q232)</f>
        <v>26222</v>
      </c>
      <c r="R239" s="35">
        <f>SUM(R190,R194,R196,R197,R204,R205,R209,R206,R227,R230,R231,R232)</f>
        <v>26222</v>
      </c>
      <c r="S239" s="35">
        <f>SUM(S190+S194+S196+S197+S204+S205+S206+S209+S227+S230+S231+S232)</f>
        <v>25261</v>
      </c>
      <c r="T239" s="35">
        <f>SUM(T190+T194+T196+T197+T204+T205+T206+T209+T227+T230+T231+T232)</f>
        <v>24880</v>
      </c>
      <c r="U239" s="35">
        <f>SUM(U190+U194+U196+U197+U204+U205+U206+U209+U227+U230+U231+U232)</f>
        <v>24971</v>
      </c>
      <c r="V239" s="35">
        <f>SUM(V190+V194+V196+V197+V204+V205+V206+V209+V227+V230+V231+V232)</f>
        <v>25196</v>
      </c>
      <c r="W239" s="35">
        <f>SUM(W190,W194,W196,W197,W204,W205,W209,W206,W227,W230,W231,W232)</f>
        <v>25196</v>
      </c>
      <c r="X239" s="35">
        <f>SUM(X190+X194+X196+X197+X204+X205+X206+X209+X227+X230+X231+X232)</f>
        <v>26093</v>
      </c>
      <c r="Y239" s="35">
        <f>SUM(Y190+Y194+Y196+Y197+Y204+Y205+Y206+Y209+Y227+Y230+Y231+Y232)</f>
        <v>25949</v>
      </c>
      <c r="Z239" s="35">
        <f>SUM(Z190+Z194+Z196+Z197+Z204+Z205+Z206+Z209+Z227+Z230+Z231+Z232)</f>
        <v>26534</v>
      </c>
      <c r="AA239" s="35">
        <f>SUM(AA190+AA194+AA196+AA197+AA204+AA205+AA206+AA209+AA227+AA230+AA231+AA232)</f>
        <v>26070</v>
      </c>
      <c r="AB239" s="35">
        <f>SUM(AB190,AB194,AB196,AB197,AB204,AB205,AB209,AB206,AB227,AB230,AB231,AB232)</f>
        <v>26070</v>
      </c>
      <c r="AC239" s="35">
        <f>SUM(AC190+AC194+AC196+AC197+AC204+AC205+AC206+AC209+AC227+AC230+AC231+AC232)</f>
        <v>26808</v>
      </c>
      <c r="AD239" s="35">
        <f>SUM(AD190+AD194+AD196+AD197+AD204+AD205+AD206+AD209+AD227+AD230+AD231+AD232)</f>
        <v>26496</v>
      </c>
      <c r="AE239" s="35">
        <f>SUM(AE190+AE194+AE196+AE197+AE204+AE205+AE206+AE209+AE227+AE230+AE231+AE232)</f>
        <v>26431</v>
      </c>
      <c r="AF239" s="35">
        <f>SUM(AF190+AF194+AF196+AF197+AF204+AF205+AF206+AF209+AF227+AF230+AF231+AF232)</f>
        <v>27401</v>
      </c>
      <c r="AG239" s="35">
        <f>SUM(AG190,AG194,AG196,AG197,AG204,AG205,AG209,AG206,AG227,AG230,AG231,AG232)</f>
        <v>27401</v>
      </c>
      <c r="AH239" s="35">
        <f>SUM(AH190+AH194+AH196+AH197+AH204+AH205+AH206+AH209+AH227+AH230+AH231+AH232)</f>
        <v>27329</v>
      </c>
      <c r="AI239" s="35">
        <f>SUM(AI190+AI194+AI196+AI197+AI204+AI205+AI206+AI209+AI227+AI230+AI231+AI232)</f>
        <v>27505</v>
      </c>
      <c r="AJ239" s="35">
        <f>SUM(AJ190+AJ194+AJ196+AJ197+AJ204+AJ205+AJ206+AJ209+AJ227+AJ230+AJ231+AJ232)</f>
        <v>27563.9272147483</v>
      </c>
      <c r="AK239" s="35">
        <f>SUM(AK190+AK194+AK196+AK197+AK204+AK205+AK206+AK209+AK227+AK230+AK231+AK232)</f>
        <v>26680.5728817338</v>
      </c>
      <c r="AL239" s="35">
        <f>SUM(AL190,AL194,AL196,AL197,AL204,AL205,AL209,AL206,AL227,AL230,AL231,AL232)</f>
        <v>26680.5728817338</v>
      </c>
      <c r="AM239" s="35">
        <f>SUM(AM190+AM194+AM196+AM197+AM204+AM205+AM206+AM209+AM227+AM230+AM231+AM232)</f>
        <v>27178.9177285039</v>
      </c>
      <c r="AN239" s="35">
        <f>SUM(AN190+AN194+AN196+AN197+AN204+AN205+AN206+AN209+AN227+AN230+AN231+AN232)</f>
        <v>27673.4785587324</v>
      </c>
      <c r="AO239" s="35">
        <f>SUM(AO190+AO194+AO196+AO197+AO204+AO205+AO206+AO209+AO227+AO230+AO231+AO232)</f>
        <v>27651.2948846294</v>
      </c>
      <c r="AP239" s="35">
        <f>SUM(AP190+AP194+AP196+AP197+AP204+AP205+AP206+AP209+AP227+AP230+AP231+AP232)</f>
        <v>26756.7521762162</v>
      </c>
      <c r="AQ239" s="35">
        <f>SUM(AQ190,AQ194,AQ196,AQ197,AQ204,AQ205,AQ209,AQ206,AQ227,AQ230,AQ231,AQ232)</f>
        <v>26756.7521762162</v>
      </c>
      <c r="AR239" s="35">
        <f>SUM(AR190+AR194+AR196+AR197+AR204+AR205+AR206+AR209+AR227+AR230+AR231+AR232)</f>
        <v>27190.9823072933</v>
      </c>
      <c r="AS239" s="35">
        <f>SUM(AS190+AS194+AS196+AS197+AS204+AS205+AS206+AS209+AS227+AS230+AS231+AS232)</f>
        <v>27733.903639706</v>
      </c>
      <c r="AT239" s="35">
        <f>SUM(AT190+AT194+AT196+AT197+AT204+AT205+AT206+AT209+AT227+AT230+AT231+AT232)</f>
        <v>27708.9898008316</v>
      </c>
      <c r="AU239" s="35">
        <f>SUM(AU190+AU194+AU196+AU197+AU204+AU205+AU206+AU209+AU227+AU230+AU231+AU232)</f>
        <v>26804.7106351025</v>
      </c>
      <c r="AV239" s="35">
        <f>SUM(AV190,AV194,AV196,AV197,AV204,AV205,AV209,AV206,AV227,AV230,AV231,AV232)</f>
        <v>26804.7106351025</v>
      </c>
      <c r="AW239" s="35">
        <f>SUM(AW190+AW194+AW196+AW197+AW204+AW205+AW206+AW209+AW227+AW230+AW231+AW232)</f>
        <v>27265.6134535487</v>
      </c>
      <c r="AX239" s="35">
        <f>SUM(AX190+AX194+AX196+AX197+AX204+AX205+AX206+AX209+AX227+AX230+AX231+AX232)</f>
        <v>27760.3481922083</v>
      </c>
      <c r="AY239" s="35">
        <f>SUM(AY190+AY194+AY196+AY197+AY204+AY205+AY206+AY209+AY227+AY230+AY231+AY232)</f>
        <v>27732.5901995844</v>
      </c>
      <c r="AZ239" s="35">
        <f>SUM(AZ190+AZ194+AZ196+AZ197+AZ204+AZ205+AZ206+AZ209+AZ227+AZ230+AZ231+AZ232)</f>
        <v>26822.8264128739</v>
      </c>
      <c r="BA239" s="35">
        <f>SUM(BA190,BA194,BA196,BA197,BA204,BA205,BA209,BA206,BA227,BA230,BA231,BA232)</f>
        <v>26822.8264128739</v>
      </c>
      <c r="BB239" s="35">
        <f>SUM(BB190+BB194+BB196+BB197+BB204+BB205+BB206+BB209+BB227+BB230+BB231+BB232)</f>
        <v>27270.6977810902</v>
      </c>
      <c r="BC239" s="35">
        <f>SUM(BC190+BC194+BC196+BC197+BC204+BC205+BC206+BC209+BC227+BC230+BC231+BC232)</f>
        <v>27763.7427639904</v>
      </c>
      <c r="BD239" s="35">
        <f>SUM(BD190+BD194+BD196+BD197+BD204+BD205+BD206+BD209+BD227+BD230+BD231+BD232)</f>
        <v>27734.290000481</v>
      </c>
      <c r="BE239" s="35">
        <f>SUM(BE190+BE194+BE196+BE197+BE204+BE205+BE206+BE209+BE227+BE230+BE231+BE232)</f>
        <v>26822.8264128739</v>
      </c>
      <c r="BF239" s="35">
        <f>SUM(BF190,BF194,BF196,BF197,BF204,BF205,BF209,BF206,BF227,BF230,BF231,BF232)</f>
        <v>26822.8264128739</v>
      </c>
      <c r="BG239" s="35" t="n"/>
      <c r="BH239" s="35" t="n"/>
      <c r="BI239" s="35" t="n"/>
      <c r="BJ239" s="35" t="n"/>
      <c r="BK239" s="35" t="n"/>
      <c r="BL239" s="35" t="n"/>
      <c r="BM239" s="35" t="n"/>
      <c r="BN239" s="35" t="n"/>
      <c r="BO239" s="35" t="n"/>
      <c r="BP239" s="35" t="n"/>
      <c r="BQ239" s="35" t="n"/>
      <c r="BR239" s="35" t="n"/>
      <c r="BS239" s="35" t="n"/>
      <c r="BT239" s="35" t="n"/>
      <c r="BU239" s="35" t="n"/>
      <c r="BV239" s="35" t="n"/>
      <c r="BW239" s="35" t="n"/>
      <c r="BX239" s="35" t="n"/>
      <c r="BY239" s="35" t="n"/>
      <c r="BZ239" s="35" t="n"/>
      <c r="CA239" s="35" t="n"/>
      <c r="CB239" s="35" t="n"/>
      <c r="CC239" s="35" t="n"/>
      <c r="CD239" s="35" t="n"/>
      <c r="CE239" s="35" t="n"/>
      <c r="CF239" s="35" t="n"/>
      <c r="CG239" s="35" t="n"/>
      <c r="CH239" s="35" t="n"/>
      <c r="CI239" s="35" t="n"/>
      <c r="CJ239" s="35" t="n"/>
      <c r="CK239" s="35" t="n"/>
      <c r="CL239" s="35" t="n"/>
      <c r="CM239" s="35" t="n"/>
      <c r="CN239" s="35" t="n"/>
      <c r="CO239" s="35" t="n"/>
      <c r="CP239" s="35" t="n"/>
      <c r="CQ239" s="35" t="n"/>
      <c r="CR239" s="35" t="n"/>
      <c r="CS239" s="35" t="n"/>
      <c r="CT239" s="35" t="n"/>
      <c r="CU239" s="35" t="n"/>
      <c r="CV239" s="35" t="n"/>
      <c r="CW239" s="35" t="n"/>
      <c r="CX239" s="35" t="n"/>
      <c r="CY239" s="35" t="n"/>
    </row>
    <row r="240">
      <c r="C240" s="14" t="inlineStr">
        <is>
          <t>Minority interest</t>
        </is>
      </c>
      <c r="D240" s="46" t="n"/>
      <c r="E240" s="46" t="n"/>
      <c r="F240" s="46" t="n"/>
      <c r="G240" s="46" t="n"/>
      <c r="H240" s="12" t="n"/>
      <c r="I240" s="46">
        <f>'Inputs (2)'!D41</f>
        <v>8653</v>
      </c>
      <c r="J240" s="46">
        <f>'Inputs (2)'!E41</f>
        <v>8924</v>
      </c>
      <c r="K240" s="46">
        <f>'Inputs (2)'!F41</f>
        <v>9178</v>
      </c>
      <c r="L240" s="46">
        <f>'Inputs (2)'!G41</f>
        <v>9039</v>
      </c>
      <c r="M240" s="12">
        <f>'Inputs (2)'!H41</f>
        <v>9039</v>
      </c>
      <c r="N240" s="46">
        <f>'Inputs (2)'!I41</f>
        <v>9176</v>
      </c>
      <c r="O240" s="46">
        <f>'Inputs (2)'!J41</f>
        <v>9158</v>
      </c>
      <c r="P240" s="46">
        <f>'Inputs (2)'!K41</f>
        <v>9227</v>
      </c>
      <c r="Q240" s="46">
        <f>'Inputs (2)'!L41</f>
        <v>9316</v>
      </c>
      <c r="R240" s="12">
        <f>'Inputs (2)'!M41</f>
        <v>9316</v>
      </c>
      <c r="S240" s="46">
        <f>'Inputs (2)'!N41</f>
        <v>9591</v>
      </c>
      <c r="T240" s="46">
        <f>'Inputs (2)'!O41</f>
        <v>9825</v>
      </c>
      <c r="U240" s="46">
        <f>'Inputs (2)'!P41</f>
        <v>10218</v>
      </c>
      <c r="V240" s="46">
        <f>'Inputs (2)'!Q41</f>
        <v>10617</v>
      </c>
      <c r="W240" s="12">
        <f>'Inputs (2)'!R41</f>
        <v>10617</v>
      </c>
      <c r="X240" s="46">
        <f>'Inputs (2)'!S41</f>
        <v>11132</v>
      </c>
      <c r="Y240" s="46">
        <f>'Inputs (2)'!T41</f>
        <v>11282</v>
      </c>
      <c r="Z240" s="46">
        <f>'Inputs (2)'!U41</f>
        <v>11318</v>
      </c>
      <c r="AA240" s="46">
        <f>'Inputs (2)'!V41</f>
        <v>11197</v>
      </c>
      <c r="AB240" s="12">
        <f>'Inputs (2)'!W41</f>
        <v>11197</v>
      </c>
      <c r="AC240" s="46">
        <f>'Inputs (2)'!X41</f>
        <v>11526</v>
      </c>
      <c r="AD240" s="46">
        <f>'Inputs (2)'!Y41</f>
        <v>11788</v>
      </c>
      <c r="AE240" s="46">
        <f>'Inputs (2)'!Z41</f>
        <v>11712</v>
      </c>
      <c r="AF240" s="46">
        <f>'Inputs (2)'!AA41</f>
        <v>11867</v>
      </c>
      <c r="AG240" s="12">
        <f>'Inputs (2)'!AB41</f>
        <v>11867</v>
      </c>
      <c r="AH240" s="12">
        <f>'Inputs (2)'!AC41</f>
        <v>12006</v>
      </c>
      <c r="AI240" s="12">
        <f>'Inputs (2)'!AD41</f>
        <v>12113</v>
      </c>
      <c r="AJ240" s="12">
        <f>AI240</f>
        <v>12113</v>
      </c>
      <c r="AK240" s="12">
        <f>AJ240</f>
        <v>12113</v>
      </c>
      <c r="AL240" s="12">
        <f>AK240</f>
        <v>12113</v>
      </c>
      <c r="AM240" s="12">
        <f>AL240</f>
        <v>12113</v>
      </c>
      <c r="AN240" s="12">
        <f>AM240</f>
        <v>12113</v>
      </c>
      <c r="AO240" s="12">
        <f>AN240</f>
        <v>12113</v>
      </c>
      <c r="AP240" s="12">
        <f>AO240</f>
        <v>12113</v>
      </c>
      <c r="AQ240" s="12">
        <f>AP240</f>
        <v>12113</v>
      </c>
      <c r="AR240" s="12">
        <f>AQ240</f>
        <v>12113</v>
      </c>
      <c r="AS240" s="12">
        <f>AR240</f>
        <v>12113</v>
      </c>
      <c r="AT240" s="12">
        <f>AS240</f>
        <v>12113</v>
      </c>
      <c r="AU240" s="12">
        <f>AT240</f>
        <v>12113</v>
      </c>
      <c r="AV240" s="12">
        <f>AU240</f>
        <v>12113</v>
      </c>
      <c r="AW240" s="12">
        <f>AV240</f>
        <v>12113</v>
      </c>
      <c r="AX240" s="12">
        <f>AW240</f>
        <v>12113</v>
      </c>
      <c r="AY240" s="12">
        <f>AX240</f>
        <v>12113</v>
      </c>
      <c r="AZ240" s="12">
        <f>AY240</f>
        <v>12113</v>
      </c>
      <c r="BA240" s="12">
        <f>AZ240</f>
        <v>12113</v>
      </c>
      <c r="BB240" s="12">
        <f>BA240</f>
        <v>12113</v>
      </c>
      <c r="BC240" s="12">
        <f>BB240</f>
        <v>12113</v>
      </c>
      <c r="BD240" s="12">
        <f>BC240</f>
        <v>12113</v>
      </c>
      <c r="BE240" s="12">
        <f>BD240</f>
        <v>12113</v>
      </c>
      <c r="BF240" s="12">
        <f>BE240</f>
        <v>12113</v>
      </c>
      <c r="BG240" s="12" t="n"/>
      <c r="BH240" s="12" t="n"/>
      <c r="BI240" s="12" t="n"/>
      <c r="BJ240" s="12" t="n"/>
      <c r="BK240" s="12" t="n"/>
      <c r="BL240" s="12" t="n"/>
      <c r="BM240" s="12" t="n"/>
      <c r="BN240" s="12" t="n"/>
      <c r="BO240" s="12" t="n"/>
      <c r="BP240" s="12" t="n"/>
      <c r="BQ240" s="12" t="n"/>
      <c r="BR240" s="12" t="n"/>
      <c r="BS240" s="12" t="n"/>
      <c r="BT240" s="12" t="n"/>
      <c r="BU240" s="12" t="n"/>
      <c r="BV240" s="12" t="n"/>
      <c r="BW240" s="12" t="n"/>
      <c r="BX240" s="12" t="n"/>
      <c r="BY240" s="12" t="n"/>
      <c r="BZ240" s="12" t="n"/>
      <c r="CA240" s="12" t="n"/>
      <c r="CB240" s="12" t="n"/>
      <c r="CC240" s="12" t="n"/>
      <c r="CD240" s="12" t="n"/>
      <c r="CE240" s="12" t="n"/>
      <c r="CF240" s="12" t="n"/>
      <c r="CG240" s="12" t="n"/>
      <c r="CH240" s="12" t="n"/>
      <c r="CI240" s="12" t="n"/>
      <c r="CJ240" s="12" t="n"/>
      <c r="CK240" s="12" t="n"/>
      <c r="CL240" s="12" t="n"/>
      <c r="CM240" s="12" t="n"/>
      <c r="CN240" s="12" t="n"/>
      <c r="CO240" s="12" t="n"/>
      <c r="CP240" s="12" t="n"/>
      <c r="CQ240" s="12" t="n"/>
      <c r="CR240" s="12" t="n"/>
      <c r="CS240" s="12" t="n"/>
      <c r="CT240" s="12" t="n"/>
      <c r="CU240" s="12" t="n"/>
      <c r="CV240" s="12" t="n"/>
      <c r="CW240" s="12" t="n"/>
      <c r="CX240" s="12" t="n"/>
      <c r="CY240" s="12" t="n"/>
    </row>
    <row r="241" hidden="1" outlineLevel="1" customFormat="1" s="66">
      <c r="A241" s="37" t="n"/>
      <c r="B241" s="37" t="n"/>
      <c r="C241" s="59" t="n"/>
      <c r="D241" s="42" t="n"/>
      <c r="E241" s="42" t="n"/>
      <c r="F241" s="42" t="n"/>
      <c r="G241" s="42" t="n"/>
      <c r="H241" s="42" t="n"/>
      <c r="I241" s="42" t="n"/>
      <c r="J241" s="42" t="n"/>
      <c r="K241" s="42" t="n"/>
      <c r="L241" s="42" t="n"/>
      <c r="M241" s="42" t="n"/>
      <c r="N241" s="42" t="n"/>
      <c r="O241" s="42" t="n"/>
      <c r="P241" s="42" t="n"/>
      <c r="Q241" s="42" t="n"/>
      <c r="R241" s="42" t="n"/>
      <c r="S241" s="42" t="n"/>
      <c r="T241" s="42" t="n"/>
      <c r="U241" s="42" t="n"/>
      <c r="V241" s="42" t="n"/>
      <c r="W241" s="42" t="n"/>
      <c r="X241" s="42" t="n"/>
      <c r="Y241" s="42" t="n"/>
      <c r="Z241" s="42" t="n"/>
      <c r="AA241" s="42" t="n"/>
      <c r="AB241" s="42" t="n"/>
      <c r="AC241" s="42" t="n"/>
      <c r="AD241" s="42" t="n"/>
      <c r="AE241" s="42" t="n"/>
      <c r="AF241" s="42" t="n"/>
      <c r="AG241" s="42" t="n"/>
      <c r="AH241" s="42" t="n"/>
      <c r="AI241" s="42" t="n"/>
      <c r="AJ241" s="42" t="n"/>
      <c r="AK241" s="42" t="n"/>
      <c r="AL241" s="42" t="n"/>
      <c r="AM241" s="42" t="n"/>
      <c r="AN241" s="42" t="n"/>
      <c r="AO241" s="42" t="n"/>
      <c r="AP241" s="42" t="n"/>
      <c r="AQ241" s="42" t="n"/>
      <c r="AR241" s="42" t="n"/>
      <c r="AS241" s="42" t="n"/>
      <c r="AT241" s="42" t="n"/>
      <c r="AU241" s="42" t="n"/>
      <c r="AV241" s="42" t="n"/>
      <c r="AW241" s="42" t="n"/>
      <c r="AX241" s="42" t="n"/>
      <c r="AY241" s="42" t="n"/>
      <c r="AZ241" s="42" t="n"/>
      <c r="BA241" s="42" t="n"/>
      <c r="BB241" s="42" t="n"/>
      <c r="BC241" s="42" t="n"/>
      <c r="BD241" s="42" t="n"/>
      <c r="BE241" s="42" t="n"/>
      <c r="BF241" s="42" t="n"/>
      <c r="BG241" s="42" t="n"/>
      <c r="BH241" s="42" t="n"/>
      <c r="BI241" s="42" t="n"/>
      <c r="BJ241" s="42" t="n"/>
      <c r="BK241" s="42" t="n"/>
      <c r="BL241" s="42" t="n"/>
      <c r="BM241" s="42" t="n"/>
      <c r="BN241" s="42" t="n"/>
      <c r="BO241" s="42" t="n"/>
      <c r="BP241" s="42" t="n"/>
      <c r="BQ241" s="42" t="n"/>
      <c r="BR241" s="42" t="n"/>
      <c r="BS241" s="42" t="n"/>
      <c r="BT241" s="42" t="n"/>
      <c r="BU241" s="42" t="n"/>
      <c r="BV241" s="42" t="n"/>
      <c r="BW241" s="42" t="n"/>
      <c r="BX241" s="42" t="n"/>
      <c r="BY241" s="42" t="n"/>
      <c r="BZ241" s="42" t="n"/>
      <c r="CA241" s="42" t="n"/>
      <c r="CB241" s="42" t="n"/>
      <c r="CC241" s="42" t="n"/>
      <c r="CD241" s="42" t="n"/>
      <c r="CE241" s="42" t="n"/>
      <c r="CF241" s="42" t="n"/>
      <c r="CG241" s="42" t="n"/>
      <c r="CH241" s="42" t="n"/>
      <c r="CI241" s="42" t="n"/>
      <c r="CJ241" s="42" t="n"/>
      <c r="CK241" s="42" t="n"/>
      <c r="CL241" s="42" t="n"/>
      <c r="CM241" s="42" t="n"/>
      <c r="CN241" s="42" t="n"/>
      <c r="CO241" s="42" t="n"/>
      <c r="CP241" s="42" t="n"/>
      <c r="CQ241" s="42" t="n"/>
      <c r="CR241" s="42" t="n"/>
      <c r="CS241" s="42" t="n"/>
      <c r="CT241" s="42" t="n"/>
      <c r="CU241" s="42" t="n"/>
      <c r="CV241" s="42" t="n"/>
      <c r="CW241" s="42" t="n"/>
      <c r="CX241" s="42" t="n"/>
      <c r="CY241" s="42" t="n"/>
    </row>
    <row r="242" hidden="1" outlineLevel="1" customFormat="1" s="66">
      <c r="A242" s="37" t="n"/>
      <c r="B242" s="37" t="n"/>
      <c r="C242" s="57" t="inlineStr">
        <is>
          <t>Minority Interest Expense - % YoY</t>
        </is>
      </c>
      <c r="D242" s="42" t="n"/>
      <c r="E242" s="58" t="n"/>
      <c r="F242" s="42" t="n"/>
      <c r="G242" s="42" t="n"/>
      <c r="H242" s="58" t="n"/>
      <c r="I242" s="42" t="n"/>
      <c r="J242" s="58">
        <f>IF(I127=0,0,J127/I127-1)</f>
        <v>-1.01271186440678</v>
      </c>
      <c r="K242" s="42" t="n"/>
      <c r="L242" s="42" t="n"/>
      <c r="M242" s="58" t="n"/>
      <c r="N242" s="58">
        <f>IF(I127=0,0,N127/I127-1)</f>
        <v>-1.03177966101695</v>
      </c>
      <c r="O242" s="58">
        <f>IF(J127=0,0,O127/J127-1)</f>
        <v>0.666666666666667</v>
      </c>
      <c r="P242" s="58">
        <f>IF(K127=0,0,P127/K127-1)</f>
        <v>-1.88888888888889</v>
      </c>
      <c r="Q242" s="58">
        <f>IF(L127=0,0,Q127/L127-1)</f>
        <v>-0.999051233396584</v>
      </c>
      <c r="R242" s="58" t="n"/>
      <c r="S242" s="58">
        <f>IF(N127=0,0,S127/N127-1)</f>
        <v>-0.333333333333333</v>
      </c>
      <c r="T242" s="58">
        <f>IF(O127=0,0,T127/O127-1)</f>
        <v>-0.8</v>
      </c>
      <c r="U242" s="58">
        <f>IF(P127=0,0,U127/P127-1)</f>
        <v>-1</v>
      </c>
      <c r="V242" s="58">
        <f>IF(Q127=0,0,V127/Q127-1)</f>
        <v>-2.5</v>
      </c>
      <c r="W242" s="58">
        <f>IF(R128=0,0,W128/R128-1)</f>
        <v>0.882294757665677</v>
      </c>
      <c r="X242" s="58">
        <f>IF(S127=0,0,X127/S127-1)</f>
        <v>-1</v>
      </c>
      <c r="Y242" s="58">
        <f>IF(T127=0,0,Y127/T127-1)</f>
        <v>1</v>
      </c>
      <c r="Z242" s="58">
        <f>IF(U127=0,0,Z127/U127-1)</f>
        <v>0</v>
      </c>
      <c r="AA242" s="58">
        <f>IF(V127=0,0,AA127/V127-1)</f>
        <v>-0.666666666666667</v>
      </c>
      <c r="AB242" s="58">
        <f>IF(W128=0,0,AB128/W128-1)</f>
        <v>0.318970047293747</v>
      </c>
      <c r="AC242" s="58">
        <f>IF(X127=0,0,AC127/X127-1)</f>
        <v>0</v>
      </c>
      <c r="AD242" s="58">
        <f>IF(Y127=0,0,AD127/Y127-1)</f>
        <v>0.5</v>
      </c>
      <c r="AE242" s="58">
        <f>IF(Z127=0,0,AE127/Z127-1)</f>
        <v>-1.8</v>
      </c>
      <c r="AF242" s="58">
        <f>IF(AA127=0,0,AF127/AA127-1)</f>
        <v>0</v>
      </c>
      <c r="AG242" s="58">
        <f>IF(AB128=0,0,AG128/AB128-1)</f>
        <v>-0.22390438247012</v>
      </c>
      <c r="AH242" s="62">
        <f>IF(AC127=0,0,AH127/AC127-1)</f>
        <v>2</v>
      </c>
      <c r="AI242" s="62">
        <f>IF(AD127=0,0,AI127/AD127-1)</f>
        <v>-0.166666666666667</v>
      </c>
      <c r="AJ242" s="62" t="n"/>
      <c r="AK242" s="62" t="n"/>
      <c r="AL242" s="58">
        <f>IF(AG128=0,0,AL128/AG128-1)</f>
        <v>-0.531314168377823</v>
      </c>
      <c r="AM242" s="62" t="n"/>
      <c r="AN242" s="62" t="n"/>
      <c r="AO242" s="62" t="n"/>
      <c r="AP242" s="62" t="n"/>
      <c r="AQ242" s="58">
        <f>IF(AL128=0,0,AQ128/AL128-1)</f>
        <v>-1</v>
      </c>
      <c r="AR242" s="62" t="n"/>
      <c r="AS242" s="62" t="n"/>
      <c r="AT242" s="62" t="n"/>
      <c r="AU242" s="62" t="n"/>
      <c r="AV242" s="58">
        <f>IF(AQ128=0,0,AV128/AQ128-1)</f>
        <v>0</v>
      </c>
      <c r="AW242" s="62" t="n"/>
      <c r="AX242" s="62" t="n"/>
      <c r="AY242" s="62" t="n"/>
      <c r="AZ242" s="62" t="n"/>
      <c r="BA242" s="58">
        <f>IF(AV128=0,0,BA128/AV128-1)</f>
        <v>0</v>
      </c>
      <c r="BB242" s="62" t="n"/>
      <c r="BC242" s="62" t="n"/>
      <c r="BD242" s="62" t="n"/>
      <c r="BE242" s="62" t="n"/>
      <c r="BF242" s="58">
        <f>IF(BA128=0,0,BF128/BA128-1)</f>
        <v>0</v>
      </c>
      <c r="BG242" s="62" t="n"/>
      <c r="BH242" s="62" t="n"/>
      <c r="BI242" s="62" t="n"/>
      <c r="BJ242" s="62" t="n"/>
      <c r="BK242" s="58" t="n"/>
      <c r="BL242" s="62" t="n"/>
      <c r="BM242" s="62" t="n"/>
      <c r="BN242" s="62" t="n"/>
      <c r="BO242" s="62" t="n"/>
      <c r="BP242" s="58" t="n"/>
      <c r="BQ242" s="62" t="n"/>
      <c r="BR242" s="62" t="n"/>
      <c r="BS242" s="62" t="n"/>
      <c r="BT242" s="62" t="n"/>
      <c r="BU242" s="58" t="n"/>
      <c r="BV242" s="62" t="n"/>
      <c r="BW242" s="62" t="n"/>
      <c r="BX242" s="62" t="n"/>
      <c r="BY242" s="62" t="n"/>
      <c r="BZ242" s="58" t="n"/>
      <c r="CA242" s="62" t="n"/>
      <c r="CB242" s="62" t="n"/>
      <c r="CC242" s="62" t="n"/>
      <c r="CD242" s="62" t="n"/>
      <c r="CE242" s="58" t="n"/>
      <c r="CF242" s="62" t="n"/>
      <c r="CG242" s="62" t="n"/>
      <c r="CH242" s="62" t="n"/>
      <c r="CI242" s="62" t="n"/>
      <c r="CJ242" s="58" t="n"/>
      <c r="CK242" s="62" t="n"/>
      <c r="CL242" s="62" t="n"/>
      <c r="CM242" s="62" t="n"/>
      <c r="CN242" s="62" t="n"/>
      <c r="CO242" s="58" t="n"/>
      <c r="CP242" s="62" t="n"/>
      <c r="CQ242" s="62" t="n"/>
      <c r="CR242" s="62" t="n"/>
      <c r="CS242" s="62" t="n"/>
      <c r="CT242" s="58" t="n"/>
      <c r="CU242" s="62" t="n"/>
      <c r="CV242" s="62" t="n"/>
      <c r="CW242" s="62" t="n"/>
      <c r="CX242" s="62" t="n"/>
      <c r="CY242" s="58" t="n"/>
    </row>
    <row r="243" hidden="1" outlineLevel="1" customFormat="1" s="66">
      <c r="A243" s="37" t="n"/>
      <c r="B243" s="37" t="n"/>
      <c r="C243" s="57" t="inlineStr">
        <is>
          <t>Dividends (enter as -)</t>
        </is>
      </c>
      <c r="D243" s="42" t="n"/>
      <c r="E243" s="42" t="n"/>
      <c r="F243" s="42" t="n"/>
      <c r="G243" s="42" t="n"/>
      <c r="H243" s="42" t="n"/>
      <c r="I243" s="42" t="n"/>
      <c r="J243" s="42" t="n"/>
      <c r="K243" s="42" t="n"/>
      <c r="L243" s="42" t="n"/>
      <c r="M243" s="42" t="n"/>
      <c r="N243" s="42" t="n"/>
      <c r="O243" s="42" t="n"/>
      <c r="P243" s="42" t="n"/>
      <c r="Q243" s="42" t="n"/>
      <c r="R243" s="42" t="n"/>
      <c r="S243" s="42" t="n"/>
      <c r="T243" s="42" t="n"/>
      <c r="U243" s="42" t="n"/>
      <c r="V243" s="42" t="n"/>
      <c r="W243" s="42" t="n"/>
      <c r="X243" s="42" t="n"/>
      <c r="Y243" s="42" t="n"/>
      <c r="Z243" s="42" t="n"/>
      <c r="AA243" s="42" t="n"/>
      <c r="AB243" s="42" t="n"/>
      <c r="AC243" s="42" t="n"/>
      <c r="AD243" s="42" t="n"/>
      <c r="AE243" s="42" t="n"/>
      <c r="AF243" s="42" t="n"/>
      <c r="AG243" s="42" t="n"/>
      <c r="AH243" s="62" t="n"/>
      <c r="AI243" s="62" t="n"/>
      <c r="AJ243" s="62" t="n"/>
      <c r="AK243" s="62" t="n"/>
      <c r="AL243" s="42" t="n"/>
      <c r="AM243" s="62" t="n"/>
      <c r="AN243" s="62" t="n"/>
      <c r="AO243" s="62" t="n"/>
      <c r="AP243" s="62" t="n"/>
      <c r="AQ243" s="42" t="n"/>
      <c r="AR243" s="62" t="n"/>
      <c r="AS243" s="62" t="n"/>
      <c r="AT243" s="62" t="n"/>
      <c r="AU243" s="62" t="n"/>
      <c r="AV243" s="42" t="n"/>
      <c r="AW243" s="62" t="n"/>
      <c r="AX243" s="62" t="n"/>
      <c r="AY243" s="62" t="n"/>
      <c r="AZ243" s="62" t="n"/>
      <c r="BA243" s="42" t="n"/>
      <c r="BB243" s="62" t="n"/>
      <c r="BC243" s="62" t="n"/>
      <c r="BD243" s="62" t="n"/>
      <c r="BE243" s="62" t="n"/>
      <c r="BF243" s="42" t="n"/>
      <c r="BG243" s="62" t="n"/>
      <c r="BH243" s="62" t="n"/>
      <c r="BI243" s="62" t="n"/>
      <c r="BJ243" s="62" t="n"/>
      <c r="BK243" s="42" t="n"/>
      <c r="BL243" s="62" t="n"/>
      <c r="BM243" s="62" t="n"/>
      <c r="BN243" s="62" t="n"/>
      <c r="BO243" s="62" t="n"/>
      <c r="BP243" s="42" t="n"/>
      <c r="BQ243" s="62" t="n"/>
      <c r="BR243" s="62" t="n"/>
      <c r="BS243" s="62" t="n"/>
      <c r="BT243" s="62" t="n"/>
      <c r="BU243" s="42" t="n"/>
      <c r="BV243" s="62" t="n"/>
      <c r="BW243" s="62" t="n"/>
      <c r="BX243" s="62" t="n"/>
      <c r="BY243" s="62" t="n"/>
      <c r="BZ243" s="42" t="n"/>
      <c r="CA243" s="62" t="n"/>
      <c r="CB243" s="62" t="n"/>
      <c r="CC243" s="62" t="n"/>
      <c r="CD243" s="62" t="n"/>
      <c r="CE243" s="42" t="n"/>
      <c r="CF243" s="62" t="n"/>
      <c r="CG243" s="62" t="n"/>
      <c r="CH243" s="62" t="n"/>
      <c r="CI243" s="62" t="n"/>
      <c r="CJ243" s="42" t="n"/>
      <c r="CK243" s="62" t="n"/>
      <c r="CL243" s="62" t="n"/>
      <c r="CM243" s="62" t="n"/>
      <c r="CN243" s="62" t="n"/>
      <c r="CO243" s="42" t="n"/>
      <c r="CP243" s="62" t="n"/>
      <c r="CQ243" s="62" t="n"/>
      <c r="CR243" s="62" t="n"/>
      <c r="CS243" s="62" t="n"/>
      <c r="CT243" s="42" t="n"/>
      <c r="CU243" s="62" t="n"/>
      <c r="CV243" s="62" t="n"/>
      <c r="CW243" s="62" t="n"/>
      <c r="CX243" s="62" t="n"/>
      <c r="CY243" s="42" t="n"/>
    </row>
    <row r="244" hidden="1" outlineLevel="1" customFormat="1" s="66">
      <c r="A244" s="37" t="n"/>
      <c r="B244" s="37" t="n"/>
      <c r="C244" s="59" t="n"/>
      <c r="D244" s="42" t="n"/>
      <c r="E244" s="42" t="n"/>
      <c r="F244" s="42" t="n"/>
      <c r="G244" s="42" t="n"/>
      <c r="H244" s="42" t="n"/>
      <c r="I244" s="42" t="n"/>
      <c r="J244" s="42" t="n"/>
      <c r="K244" s="42" t="n"/>
      <c r="L244" s="42" t="n"/>
      <c r="M244" s="42" t="n"/>
      <c r="N244" s="42" t="n"/>
      <c r="O244" s="42" t="n"/>
      <c r="P244" s="42" t="n"/>
      <c r="Q244" s="42" t="n"/>
      <c r="R244" s="42" t="n"/>
      <c r="S244" s="42" t="n"/>
      <c r="T244" s="42" t="n"/>
      <c r="U244" s="42" t="n"/>
      <c r="V244" s="42" t="n"/>
      <c r="W244" s="42" t="n"/>
      <c r="X244" s="42" t="n"/>
      <c r="Y244" s="42" t="n"/>
      <c r="Z244" s="42" t="n"/>
      <c r="AA244" s="42" t="n"/>
      <c r="AB244" s="42" t="n"/>
      <c r="AC244" s="42" t="n"/>
      <c r="AD244" s="42" t="n"/>
      <c r="AE244" s="42" t="n"/>
      <c r="AF244" s="42" t="n"/>
      <c r="AG244" s="42" t="n"/>
      <c r="AH244" s="42" t="n"/>
      <c r="AI244" s="42" t="n"/>
      <c r="AJ244" s="42" t="n"/>
      <c r="AK244" s="42" t="n"/>
      <c r="AL244" s="42" t="n"/>
      <c r="AM244" s="42" t="n"/>
      <c r="AN244" s="42" t="n"/>
      <c r="AO244" s="42" t="n"/>
      <c r="AP244" s="42" t="n"/>
      <c r="AQ244" s="42" t="n"/>
      <c r="AR244" s="42" t="n"/>
      <c r="AS244" s="42" t="n"/>
      <c r="AT244" s="42" t="n"/>
      <c r="AU244" s="42" t="n"/>
      <c r="AV244" s="42" t="n"/>
      <c r="AW244" s="42" t="n"/>
      <c r="AX244" s="42" t="n"/>
      <c r="AY244" s="42" t="n"/>
      <c r="AZ244" s="42" t="n"/>
      <c r="BA244" s="42" t="n"/>
      <c r="BB244" s="42" t="n"/>
      <c r="BC244" s="42" t="n"/>
      <c r="BD244" s="42" t="n"/>
      <c r="BE244" s="42" t="n"/>
      <c r="BF244" s="42" t="n"/>
      <c r="BG244" s="42" t="n"/>
      <c r="BH244" s="42" t="n"/>
      <c r="BI244" s="42" t="n"/>
      <c r="BJ244" s="42" t="n"/>
      <c r="BK244" s="42" t="n"/>
      <c r="BL244" s="42" t="n"/>
      <c r="BM244" s="42" t="n"/>
      <c r="BN244" s="42" t="n"/>
      <c r="BO244" s="42" t="n"/>
      <c r="BP244" s="42" t="n"/>
      <c r="BQ244" s="42" t="n"/>
      <c r="BR244" s="42" t="n"/>
      <c r="BS244" s="42" t="n"/>
      <c r="BT244" s="42" t="n"/>
      <c r="BU244" s="42" t="n"/>
      <c r="BV244" s="42" t="n"/>
      <c r="BW244" s="42" t="n"/>
      <c r="BX244" s="42" t="n"/>
      <c r="BY244" s="42" t="n"/>
      <c r="BZ244" s="42" t="n"/>
      <c r="CA244" s="42" t="n"/>
      <c r="CB244" s="42" t="n"/>
      <c r="CC244" s="42" t="n"/>
      <c r="CD244" s="42" t="n"/>
      <c r="CE244" s="42" t="n"/>
      <c r="CF244" s="42" t="n"/>
      <c r="CG244" s="42" t="n"/>
      <c r="CH244" s="42" t="n"/>
      <c r="CI244" s="42" t="n"/>
      <c r="CJ244" s="42" t="n"/>
      <c r="CK244" s="42" t="n"/>
      <c r="CL244" s="42" t="n"/>
      <c r="CM244" s="42" t="n"/>
      <c r="CN244" s="42" t="n"/>
      <c r="CO244" s="42" t="n"/>
      <c r="CP244" s="42" t="n"/>
      <c r="CQ244" s="42" t="n"/>
      <c r="CR244" s="42" t="n"/>
      <c r="CS244" s="42" t="n"/>
      <c r="CT244" s="42" t="n"/>
      <c r="CU244" s="42" t="n"/>
      <c r="CV244" s="42" t="n"/>
      <c r="CW244" s="42" t="n"/>
      <c r="CX244" s="42" t="n"/>
      <c r="CY244" s="42" t="n"/>
    </row>
    <row r="245" collapsed="1">
      <c r="C245" s="14" t="inlineStr">
        <is>
          <t>Convertible Preferred Stock</t>
        </is>
      </c>
      <c r="D245" s="46" t="n"/>
      <c r="E245" s="46" t="n"/>
      <c r="F245" s="46" t="n"/>
      <c r="G245" s="46" t="n"/>
      <c r="H245" s="12" t="n"/>
      <c r="I245" s="46">
        <f>'Inputs (2)'!D42</f>
        <v>0</v>
      </c>
      <c r="J245" s="46">
        <f>'Inputs (2)'!E42</f>
        <v>0</v>
      </c>
      <c r="K245" s="46">
        <f>'Inputs (2)'!F42</f>
        <v>0</v>
      </c>
      <c r="L245" s="46">
        <f>'Inputs (2)'!G42</f>
        <v>0</v>
      </c>
      <c r="M245" s="12">
        <f>'Inputs (2)'!H42</f>
        <v>0</v>
      </c>
      <c r="N245" s="46">
        <f>'Inputs (2)'!I42</f>
        <v>0</v>
      </c>
      <c r="O245" s="46">
        <f>'Inputs (2)'!J42</f>
        <v>0</v>
      </c>
      <c r="P245" s="46">
        <f>'Inputs (2)'!K42</f>
        <v>0</v>
      </c>
      <c r="Q245" s="46">
        <f>'Inputs (2)'!L42</f>
        <v>0</v>
      </c>
      <c r="R245" s="12">
        <f>'Inputs (2)'!M42</f>
        <v>0</v>
      </c>
      <c r="S245" s="46">
        <f>'Inputs (2)'!N42</f>
        <v>0</v>
      </c>
      <c r="T245" s="46">
        <f>'Inputs (2)'!O42</f>
        <v>0</v>
      </c>
      <c r="U245" s="46">
        <f>'Inputs (2)'!P42</f>
        <v>0</v>
      </c>
      <c r="V245" s="46">
        <f>'Inputs (2)'!Q42</f>
        <v>0</v>
      </c>
      <c r="W245" s="12">
        <f>'Inputs (2)'!R42</f>
        <v>0</v>
      </c>
      <c r="X245" s="46">
        <f>'Inputs (2)'!S42</f>
        <v>0</v>
      </c>
      <c r="Y245" s="46">
        <f>'Inputs (2)'!T42</f>
        <v>0</v>
      </c>
      <c r="Z245" s="46">
        <f>'Inputs (2)'!U42</f>
        <v>0</v>
      </c>
      <c r="AA245" s="46">
        <f>'Inputs (2)'!V42</f>
        <v>0</v>
      </c>
      <c r="AB245" s="12">
        <f>'Inputs (2)'!W42</f>
        <v>0</v>
      </c>
      <c r="AC245" s="46">
        <f>'Inputs (2)'!X42</f>
        <v>0</v>
      </c>
      <c r="AD245" s="46">
        <f>'Inputs (2)'!Y42</f>
        <v>0</v>
      </c>
      <c r="AE245" s="46">
        <f>'Inputs (2)'!Z42</f>
        <v>0</v>
      </c>
      <c r="AF245" s="46">
        <f>'Inputs (2)'!AA42</f>
        <v>0</v>
      </c>
      <c r="AG245" s="12">
        <f>'Inputs (2)'!AB42</f>
        <v>0</v>
      </c>
      <c r="AH245" s="12">
        <f>'Inputs (2)'!AC42</f>
        <v>0</v>
      </c>
      <c r="AI245" s="12">
        <f>'Inputs (2)'!AD42</f>
        <v>0</v>
      </c>
      <c r="AJ245" s="12">
        <f>AI245</f>
        <v>0</v>
      </c>
      <c r="AK245" s="12">
        <f>AJ245</f>
        <v>0</v>
      </c>
      <c r="AL245" s="12">
        <f>AK245</f>
        <v>0</v>
      </c>
      <c r="AM245" s="12">
        <f>AL245</f>
        <v>0</v>
      </c>
      <c r="AN245" s="12">
        <f>AM245</f>
        <v>0</v>
      </c>
      <c r="AO245" s="12">
        <f>AN245</f>
        <v>0</v>
      </c>
      <c r="AP245" s="12">
        <f>AO245</f>
        <v>0</v>
      </c>
      <c r="AQ245" s="12">
        <f>AP245</f>
        <v>0</v>
      </c>
      <c r="AR245" s="12">
        <f>AQ245</f>
        <v>0</v>
      </c>
      <c r="AS245" s="12">
        <f>AR245</f>
        <v>0</v>
      </c>
      <c r="AT245" s="12">
        <f>AS245</f>
        <v>0</v>
      </c>
      <c r="AU245" s="12">
        <f>AT245</f>
        <v>0</v>
      </c>
      <c r="AV245" s="12">
        <f>AU245</f>
        <v>0</v>
      </c>
      <c r="AW245" s="12">
        <f>AV245</f>
        <v>0</v>
      </c>
      <c r="AX245" s="12">
        <f>AW245</f>
        <v>0</v>
      </c>
      <c r="AY245" s="12">
        <f>AX245</f>
        <v>0</v>
      </c>
      <c r="AZ245" s="12">
        <f>AY245</f>
        <v>0</v>
      </c>
      <c r="BA245" s="12">
        <f>AZ245</f>
        <v>0</v>
      </c>
      <c r="BB245" s="12">
        <f>BA245</f>
        <v>0</v>
      </c>
      <c r="BC245" s="12">
        <f>BB245</f>
        <v>0</v>
      </c>
      <c r="BD245" s="12">
        <f>BC245</f>
        <v>0</v>
      </c>
      <c r="BE245" s="12">
        <f>BD245</f>
        <v>0</v>
      </c>
      <c r="BF245" s="12">
        <f>BE245</f>
        <v>0</v>
      </c>
      <c r="BG245" s="12" t="n"/>
      <c r="BH245" s="12" t="n"/>
      <c r="BI245" s="12" t="n"/>
      <c r="BJ245" s="12" t="n"/>
      <c r="BK245" s="12" t="n"/>
      <c r="BL245" s="12" t="n"/>
      <c r="BM245" s="12" t="n"/>
      <c r="BN245" s="12" t="n"/>
      <c r="BO245" s="12" t="n"/>
      <c r="BP245" s="12" t="n"/>
      <c r="BQ245" s="12" t="n"/>
      <c r="BR245" s="12" t="n"/>
      <c r="BS245" s="12" t="n"/>
      <c r="BT245" s="12" t="n"/>
      <c r="BU245" s="12" t="n"/>
      <c r="BV245" s="12" t="n"/>
      <c r="BW245" s="12" t="n"/>
      <c r="BX245" s="12" t="n"/>
      <c r="BY245" s="12" t="n"/>
      <c r="BZ245" s="12" t="n"/>
      <c r="CA245" s="12" t="n"/>
      <c r="CB245" s="12" t="n"/>
      <c r="CC245" s="12" t="n"/>
      <c r="CD245" s="12" t="n"/>
      <c r="CE245" s="12" t="n"/>
      <c r="CF245" s="12" t="n"/>
      <c r="CG245" s="12" t="n"/>
      <c r="CH245" s="12" t="n"/>
      <c r="CI245" s="12" t="n"/>
      <c r="CJ245" s="12" t="n"/>
      <c r="CK245" s="12" t="n"/>
      <c r="CL245" s="12" t="n"/>
      <c r="CM245" s="12" t="n"/>
      <c r="CN245" s="12" t="n"/>
      <c r="CO245" s="12" t="n"/>
      <c r="CP245" s="12" t="n"/>
      <c r="CQ245" s="12" t="n"/>
      <c r="CR245" s="12" t="n"/>
      <c r="CS245" s="12" t="n"/>
      <c r="CT245" s="12" t="n"/>
      <c r="CU245" s="12" t="n"/>
      <c r="CV245" s="12" t="n"/>
      <c r="CW245" s="12" t="n"/>
      <c r="CX245" s="12" t="n"/>
      <c r="CY245" s="12" t="n"/>
    </row>
    <row r="246">
      <c r="C246" s="13" t="inlineStr">
        <is>
          <t>Common Stock and APIC</t>
        </is>
      </c>
      <c r="D246" s="46" t="n"/>
      <c r="E246" s="46" t="n"/>
      <c r="F246" s="46" t="n"/>
      <c r="G246" s="46" t="n"/>
      <c r="H246" s="12" t="n"/>
      <c r="I246" s="46">
        <f>'Inputs (2)'!D43</f>
        <v>26240</v>
      </c>
      <c r="J246" s="46">
        <f>'Inputs (2)'!E43</f>
        <v>26244</v>
      </c>
      <c r="K246" s="46">
        <f>'Inputs (2)'!F43</f>
        <v>26183</v>
      </c>
      <c r="L246" s="46">
        <f>'Inputs (2)'!G43</f>
        <v>26035</v>
      </c>
      <c r="M246" s="12">
        <f>'Inputs (2)'!H43</f>
        <v>26035</v>
      </c>
      <c r="N246" s="46">
        <f>'Inputs (2)'!I43</f>
        <v>25996</v>
      </c>
      <c r="O246" s="46">
        <f>'Inputs (2)'!J43</f>
        <v>25822</v>
      </c>
      <c r="P246" s="46">
        <f>'Inputs (2)'!K43</f>
        <v>25644</v>
      </c>
      <c r="Q246" s="46">
        <f>'Inputs (2)'!L43</f>
        <v>25483</v>
      </c>
      <c r="R246" s="12">
        <f>'Inputs (2)'!M43</f>
        <v>25483</v>
      </c>
      <c r="S246" s="46">
        <f>'Inputs (2)'!N43</f>
        <v>25389</v>
      </c>
      <c r="T246" s="46">
        <f>'Inputs (2)'!O43</f>
        <v>25190</v>
      </c>
      <c r="U246" s="46">
        <f>'Inputs (2)'!P43</f>
        <v>24995</v>
      </c>
      <c r="V246" s="46">
        <f>'Inputs (2)'!Q43</f>
        <v>24799</v>
      </c>
      <c r="W246" s="12">
        <f>'Inputs (2)'!R43</f>
        <v>24799</v>
      </c>
      <c r="X246" s="46">
        <f>'Inputs (2)'!S43</f>
        <v>24650</v>
      </c>
      <c r="Y246" s="46">
        <f>'Inputs (2)'!T43</f>
        <v>24483</v>
      </c>
      <c r="Z246" s="46">
        <f>'Inputs (2)'!U43</f>
        <v>24159</v>
      </c>
      <c r="AA246" s="46">
        <f>'Inputs (2)'!V43</f>
        <v>23959</v>
      </c>
      <c r="AB246" s="12">
        <f>'Inputs (2)'!W43</f>
        <v>23959</v>
      </c>
      <c r="AC246" s="46">
        <f>'Inputs (2)'!X43</f>
        <v>23790</v>
      </c>
      <c r="AD246" s="46">
        <f>'Inputs (2)'!Y43</f>
        <v>23805</v>
      </c>
      <c r="AE246" s="46">
        <f>'Inputs (2)'!Z43</f>
        <v>23823</v>
      </c>
      <c r="AF246" s="46">
        <f>'Inputs (2)'!AA43</f>
        <v>23843</v>
      </c>
      <c r="AG246" s="12">
        <f>'Inputs (2)'!AB43</f>
        <v>23843</v>
      </c>
      <c r="AH246" s="12">
        <f>'Inputs (2)'!AC43</f>
        <v>23876</v>
      </c>
      <c r="AI246" s="12">
        <f>'Inputs (2)'!AD43</f>
        <v>23822</v>
      </c>
      <c r="AJ246" s="12">
        <f>AI246+AJ250</f>
        <v>23822</v>
      </c>
      <c r="AK246" s="12">
        <f>AJ246+AK250</f>
        <v>23822</v>
      </c>
      <c r="AL246" s="12">
        <f>AK246</f>
        <v>23822</v>
      </c>
      <c r="AM246" s="12">
        <f>AL246+AM250</f>
        <v>23822</v>
      </c>
      <c r="AN246" s="12">
        <f>AM246+AN250</f>
        <v>23822</v>
      </c>
      <c r="AO246" s="12">
        <f>AN246+AO250</f>
        <v>23822</v>
      </c>
      <c r="AP246" s="12">
        <f>AO246+AP250</f>
        <v>23822</v>
      </c>
      <c r="AQ246" s="12">
        <f>AP246</f>
        <v>23822</v>
      </c>
      <c r="AR246" s="12">
        <f>AQ246+AR250</f>
        <v>23822</v>
      </c>
      <c r="AS246" s="12">
        <f>AR246+AS250</f>
        <v>23822</v>
      </c>
      <c r="AT246" s="12">
        <f>AS246+AT250</f>
        <v>23822</v>
      </c>
      <c r="AU246" s="12">
        <f>AT246+AU250</f>
        <v>23822</v>
      </c>
      <c r="AV246" s="12">
        <f>AU246</f>
        <v>23822</v>
      </c>
      <c r="AW246" s="12">
        <f>AV246+AW250</f>
        <v>23822</v>
      </c>
      <c r="AX246" s="12">
        <f>AW246+AX250</f>
        <v>23822</v>
      </c>
      <c r="AY246" s="12">
        <f>AX246+AY250</f>
        <v>23822</v>
      </c>
      <c r="AZ246" s="12">
        <f>AY246+AZ250</f>
        <v>23822</v>
      </c>
      <c r="BA246" s="12">
        <f>AZ246</f>
        <v>23822</v>
      </c>
      <c r="BB246" s="12">
        <f>BA246+BB250</f>
        <v>23822</v>
      </c>
      <c r="BC246" s="12">
        <f>BB246+BC250</f>
        <v>23822</v>
      </c>
      <c r="BD246" s="12">
        <f>BC246+BD250</f>
        <v>23822</v>
      </c>
      <c r="BE246" s="12">
        <f>BD246+BE250</f>
        <v>23822</v>
      </c>
      <c r="BF246" s="12">
        <f>BE246</f>
        <v>23822</v>
      </c>
      <c r="BG246" s="12" t="n"/>
      <c r="BH246" s="12" t="n"/>
      <c r="BI246" s="12" t="n"/>
      <c r="BJ246" s="12" t="n"/>
      <c r="BK246" s="12" t="n"/>
      <c r="BL246" s="12" t="n"/>
      <c r="BM246" s="12" t="n"/>
      <c r="BN246" s="12" t="n"/>
      <c r="BO246" s="12" t="n"/>
      <c r="BP246" s="12" t="n"/>
      <c r="BQ246" s="12" t="n"/>
      <c r="BR246" s="12" t="n"/>
      <c r="BS246" s="12" t="n"/>
      <c r="BT246" s="12" t="n"/>
      <c r="BU246" s="12" t="n"/>
      <c r="BV246" s="12" t="n"/>
      <c r="BW246" s="12" t="n"/>
      <c r="BX246" s="12" t="n"/>
      <c r="BY246" s="12" t="n"/>
      <c r="BZ246" s="12" t="n"/>
      <c r="CA246" s="12" t="n"/>
      <c r="CB246" s="12" t="n"/>
      <c r="CC246" s="12" t="n"/>
      <c r="CD246" s="12" t="n"/>
      <c r="CE246" s="12" t="n"/>
      <c r="CF246" s="12" t="n"/>
      <c r="CG246" s="12" t="n"/>
      <c r="CH246" s="12" t="n"/>
      <c r="CI246" s="12" t="n"/>
      <c r="CJ246" s="12" t="n"/>
      <c r="CK246" s="12" t="n"/>
      <c r="CL246" s="12" t="n"/>
      <c r="CM246" s="12" t="n"/>
      <c r="CN246" s="12" t="n"/>
      <c r="CO246" s="12" t="n"/>
      <c r="CP246" s="12" t="n"/>
      <c r="CQ246" s="12" t="n"/>
      <c r="CR246" s="12" t="n"/>
      <c r="CS246" s="12" t="n"/>
      <c r="CT246" s="12" t="n"/>
      <c r="CU246" s="12" t="n"/>
      <c r="CV246" s="12" t="n"/>
      <c r="CW246" s="12" t="n"/>
      <c r="CX246" s="12" t="n"/>
      <c r="CY246" s="12" t="n"/>
    </row>
    <row r="247" hidden="1" outlineLevel="1" customFormat="1" s="66">
      <c r="A247" s="37" t="n"/>
      <c r="B247" s="37" t="n"/>
      <c r="C247" s="67" t="n"/>
      <c r="D247" s="42" t="n"/>
      <c r="E247" s="42" t="n"/>
      <c r="F247" s="42" t="n"/>
      <c r="G247" s="42" t="n"/>
      <c r="H247" s="42" t="n"/>
      <c r="I247" s="42" t="n"/>
      <c r="J247" s="42" t="n"/>
      <c r="K247" s="42" t="n"/>
      <c r="L247" s="42" t="n"/>
      <c r="M247" s="42" t="n"/>
      <c r="N247" s="42" t="n"/>
      <c r="O247" s="42" t="n"/>
      <c r="P247" s="42" t="n"/>
      <c r="Q247" s="42" t="n"/>
      <c r="R247" s="42" t="n"/>
      <c r="S247" s="42" t="n"/>
      <c r="T247" s="42" t="n"/>
      <c r="U247" s="42" t="n"/>
      <c r="V247" s="42" t="n"/>
      <c r="W247" s="42" t="n"/>
      <c r="X247" s="42" t="n"/>
      <c r="Y247" s="42" t="n"/>
      <c r="Z247" s="42" t="n"/>
      <c r="AA247" s="42" t="n"/>
      <c r="AB247" s="42" t="n"/>
      <c r="AC247" s="42" t="n"/>
      <c r="AD247" s="42" t="n"/>
      <c r="AE247" s="42" t="n"/>
      <c r="AF247" s="42" t="n"/>
      <c r="AG247" s="42" t="n"/>
      <c r="AH247" s="42" t="n"/>
      <c r="AI247" s="42" t="n"/>
      <c r="AJ247" s="42" t="n"/>
      <c r="AK247" s="42" t="n"/>
      <c r="AL247" s="42" t="n"/>
      <c r="AM247" s="42" t="n"/>
      <c r="AN247" s="42" t="n"/>
      <c r="AO247" s="42" t="n"/>
      <c r="AP247" s="42" t="n"/>
      <c r="AQ247" s="42" t="n"/>
      <c r="AR247" s="42" t="n"/>
      <c r="AS247" s="42" t="n"/>
      <c r="AT247" s="42" t="n"/>
      <c r="AU247" s="42" t="n"/>
      <c r="AV247" s="42" t="n"/>
      <c r="AW247" s="42" t="n"/>
      <c r="AX247" s="42" t="n"/>
      <c r="AY247" s="42" t="n"/>
      <c r="AZ247" s="42" t="n"/>
      <c r="BA247" s="42" t="n"/>
      <c r="BB247" s="42" t="n"/>
      <c r="BC247" s="42" t="n"/>
      <c r="BD247" s="42" t="n"/>
      <c r="BE247" s="42" t="n"/>
      <c r="BF247" s="42" t="n"/>
      <c r="BG247" s="42" t="n"/>
      <c r="BH247" s="42" t="n"/>
      <c r="BI247" s="42" t="n"/>
      <c r="BJ247" s="42" t="n"/>
      <c r="BK247" s="42" t="n"/>
      <c r="BL247" s="42" t="n"/>
      <c r="BM247" s="42" t="n"/>
      <c r="BN247" s="42" t="n"/>
      <c r="BO247" s="42" t="n"/>
      <c r="BP247" s="42" t="n"/>
      <c r="BQ247" s="42" t="n"/>
      <c r="BR247" s="42" t="n"/>
      <c r="BS247" s="42" t="n"/>
      <c r="BT247" s="42" t="n"/>
      <c r="BU247" s="42" t="n"/>
      <c r="BV247" s="42" t="n"/>
      <c r="BW247" s="42" t="n"/>
      <c r="BX247" s="42" t="n"/>
      <c r="BY247" s="42" t="n"/>
      <c r="BZ247" s="42" t="n"/>
      <c r="CA247" s="42" t="n"/>
      <c r="CB247" s="42" t="n"/>
      <c r="CC247" s="42" t="n"/>
      <c r="CD247" s="42" t="n"/>
      <c r="CE247" s="42" t="n"/>
      <c r="CF247" s="42" t="n"/>
      <c r="CG247" s="42" t="n"/>
      <c r="CH247" s="42" t="n"/>
      <c r="CI247" s="42" t="n"/>
      <c r="CJ247" s="42" t="n"/>
      <c r="CK247" s="42" t="n"/>
      <c r="CL247" s="42" t="n"/>
      <c r="CM247" s="42" t="n"/>
      <c r="CN247" s="42" t="n"/>
      <c r="CO247" s="42" t="n"/>
      <c r="CP247" s="42" t="n"/>
      <c r="CQ247" s="42" t="n"/>
      <c r="CR247" s="42" t="n"/>
      <c r="CS247" s="42" t="n"/>
      <c r="CT247" s="42" t="n"/>
      <c r="CU247" s="42" t="n"/>
      <c r="CV247" s="42" t="n"/>
      <c r="CW247" s="42" t="n"/>
      <c r="CX247" s="42" t="n"/>
      <c r="CY247" s="42" t="n"/>
    </row>
    <row r="248" hidden="1" outlineLevel="1" customFormat="1" s="66">
      <c r="A248" s="37" t="n"/>
      <c r="B248" s="37" t="n"/>
      <c r="C248" s="67" t="inlineStr">
        <is>
          <t>Diluted Shares outstanding</t>
        </is>
      </c>
      <c r="D248" s="42" t="n"/>
      <c r="E248" s="42" t="n"/>
      <c r="F248" s="42" t="n"/>
      <c r="G248" s="42" t="n"/>
      <c r="H248" s="42" t="n"/>
      <c r="I248" s="42" t="n"/>
      <c r="J248" s="42" t="n"/>
      <c r="K248" s="42" t="n"/>
      <c r="L248" s="42" t="n"/>
      <c r="M248" s="42" t="n"/>
      <c r="N248" s="42" t="n"/>
      <c r="O248" s="42" t="n"/>
      <c r="P248" s="42" t="n"/>
      <c r="Q248" s="42" t="n"/>
      <c r="R248" s="42" t="n"/>
      <c r="S248" s="42" t="n"/>
      <c r="T248" s="42" t="n"/>
      <c r="U248" s="42" t="n"/>
      <c r="V248" s="42" t="n"/>
      <c r="W248" s="42" t="n"/>
      <c r="X248" s="42" t="n"/>
      <c r="Y248" s="42" t="n"/>
      <c r="Z248" s="42" t="n"/>
      <c r="AA248" s="42" t="n"/>
      <c r="AB248" s="42" t="n"/>
      <c r="AC248" s="42" t="n"/>
      <c r="AD248" s="42" t="n"/>
      <c r="AE248" s="42" t="n"/>
      <c r="AF248" s="42" t="n"/>
      <c r="AG248" s="42" t="n"/>
      <c r="AH248" s="42" t="n"/>
      <c r="AI248" s="42" t="n"/>
      <c r="AJ248" s="42" t="n"/>
      <c r="AK248" s="42" t="n"/>
      <c r="AL248" s="42" t="n"/>
      <c r="AM248" s="42" t="n"/>
      <c r="AN248" s="42" t="n"/>
      <c r="AO248" s="42" t="n"/>
      <c r="AP248" s="42" t="n"/>
      <c r="AQ248" s="42" t="n"/>
      <c r="AR248" s="42" t="n"/>
      <c r="AS248" s="42" t="n"/>
      <c r="AT248" s="42" t="n"/>
      <c r="AU248" s="42" t="n"/>
      <c r="AV248" s="42" t="n"/>
      <c r="AW248" s="42" t="n"/>
      <c r="AX248" s="42" t="n"/>
      <c r="AY248" s="42" t="n"/>
      <c r="AZ248" s="42" t="n"/>
      <c r="BA248" s="42" t="n"/>
      <c r="BB248" s="42" t="n"/>
      <c r="BC248" s="42" t="n"/>
      <c r="BD248" s="42" t="n"/>
      <c r="BE248" s="42" t="n"/>
      <c r="BF248" s="42" t="n"/>
      <c r="BG248" s="42" t="n"/>
      <c r="BH248" s="42" t="n"/>
      <c r="BI248" s="42" t="n"/>
      <c r="BJ248" s="42" t="n"/>
      <c r="BK248" s="42" t="n"/>
      <c r="BL248" s="42" t="n"/>
      <c r="BM248" s="42" t="n"/>
      <c r="BN248" s="42" t="n"/>
      <c r="BO248" s="42" t="n"/>
      <c r="BP248" s="42" t="n"/>
      <c r="BQ248" s="42" t="n"/>
      <c r="BR248" s="42" t="n"/>
      <c r="BS248" s="42" t="n"/>
      <c r="BT248" s="42" t="n"/>
      <c r="BU248" s="42" t="n"/>
      <c r="BV248" s="42" t="n"/>
      <c r="BW248" s="42" t="n"/>
      <c r="BX248" s="42" t="n"/>
      <c r="BY248" s="42" t="n"/>
      <c r="BZ248" s="42" t="n"/>
      <c r="CA248" s="42" t="n"/>
      <c r="CB248" s="42" t="n"/>
      <c r="CC248" s="42" t="n"/>
      <c r="CD248" s="42" t="n"/>
      <c r="CE248" s="42" t="n"/>
      <c r="CF248" s="42" t="n"/>
      <c r="CG248" s="42" t="n"/>
      <c r="CH248" s="42" t="n"/>
      <c r="CI248" s="42" t="n"/>
      <c r="CJ248" s="42" t="n"/>
      <c r="CK248" s="42" t="n"/>
      <c r="CL248" s="42" t="n"/>
      <c r="CM248" s="42" t="n"/>
      <c r="CN248" s="42" t="n"/>
      <c r="CO248" s="42" t="n"/>
      <c r="CP248" s="42" t="n"/>
      <c r="CQ248" s="42" t="n"/>
      <c r="CR248" s="42" t="n"/>
      <c r="CS248" s="42" t="n"/>
      <c r="CT248" s="42" t="n"/>
      <c r="CU248" s="42" t="n"/>
      <c r="CV248" s="42" t="n"/>
      <c r="CW248" s="42" t="n"/>
      <c r="CX248" s="42" t="n"/>
      <c r="CY248" s="42" t="n"/>
    </row>
    <row r="249" hidden="1" outlineLevel="1" customFormat="1" s="66">
      <c r="A249" s="37" t="n"/>
      <c r="B249" s="37" t="n"/>
      <c r="C249" s="67" t="inlineStr">
        <is>
          <t>Treasury share $ repurchases</t>
        </is>
      </c>
      <c r="D249" s="42" t="n"/>
      <c r="E249" s="42" t="n"/>
      <c r="F249" s="42" t="n"/>
      <c r="G249" s="42" t="n"/>
      <c r="H249" s="42" t="n"/>
      <c r="I249" s="42" t="n"/>
      <c r="J249" s="42" t="n"/>
      <c r="K249" s="42" t="n"/>
      <c r="L249" s="42" t="n"/>
      <c r="M249" s="42" t="n"/>
      <c r="N249" s="42" t="n"/>
      <c r="O249" s="42" t="n"/>
      <c r="P249" s="42" t="n"/>
      <c r="Q249" s="42" t="n"/>
      <c r="R249" s="42" t="n"/>
      <c r="S249" s="42" t="n"/>
      <c r="T249" s="42" t="n"/>
      <c r="U249" s="42" t="n"/>
      <c r="V249" s="42" t="n"/>
      <c r="W249" s="42" t="n"/>
      <c r="X249" s="42" t="n"/>
      <c r="Y249" s="42" t="n"/>
      <c r="Z249" s="42" t="n"/>
      <c r="AA249" s="42" t="n"/>
      <c r="AB249" s="42" t="n"/>
      <c r="AC249" s="42" t="n"/>
      <c r="AD249" s="42" t="n"/>
      <c r="AE249" s="42" t="n"/>
      <c r="AF249" s="42" t="n"/>
      <c r="AG249" s="42" t="n"/>
      <c r="AH249" s="11" t="n"/>
      <c r="AI249" s="11" t="n"/>
      <c r="AJ249" s="11" t="n"/>
      <c r="AK249" s="11" t="n"/>
      <c r="AL249" s="42" t="n"/>
      <c r="AM249" s="11" t="n"/>
      <c r="AN249" s="11" t="n"/>
      <c r="AO249" s="11" t="n"/>
      <c r="AP249" s="11" t="n"/>
      <c r="AQ249" s="42" t="n"/>
      <c r="AR249" s="11" t="n"/>
      <c r="AS249" s="11" t="n"/>
      <c r="AT249" s="11" t="n"/>
      <c r="AU249" s="11" t="n"/>
      <c r="AV249" s="42" t="n"/>
      <c r="AW249" s="11" t="n"/>
      <c r="AX249" s="11" t="n"/>
      <c r="AY249" s="11" t="n"/>
      <c r="AZ249" s="11" t="n"/>
      <c r="BA249" s="42" t="n"/>
      <c r="BB249" s="11" t="n"/>
      <c r="BC249" s="11" t="n"/>
      <c r="BD249" s="11" t="n"/>
      <c r="BE249" s="11" t="n"/>
      <c r="BF249" s="42" t="n"/>
      <c r="BG249" s="11" t="n"/>
      <c r="BH249" s="11" t="n"/>
      <c r="BI249" s="11" t="n"/>
      <c r="BJ249" s="11" t="n"/>
      <c r="BK249" s="42" t="n"/>
      <c r="BL249" s="11" t="n"/>
      <c r="BM249" s="11" t="n"/>
      <c r="BN249" s="11" t="n"/>
      <c r="BO249" s="11" t="n"/>
      <c r="BP249" s="42" t="n"/>
      <c r="BQ249" s="11" t="n"/>
      <c r="BR249" s="11" t="n"/>
      <c r="BS249" s="11" t="n"/>
      <c r="BT249" s="11" t="n"/>
      <c r="BU249" s="42" t="n"/>
      <c r="BV249" s="11" t="n"/>
      <c r="BW249" s="11" t="n"/>
      <c r="BX249" s="11" t="n"/>
      <c r="BY249" s="11" t="n"/>
      <c r="BZ249" s="42" t="n"/>
      <c r="CA249" s="11" t="n"/>
      <c r="CB249" s="11" t="n"/>
      <c r="CC249" s="11" t="n"/>
      <c r="CD249" s="11" t="n"/>
      <c r="CE249" s="42" t="n"/>
      <c r="CF249" s="11" t="n"/>
      <c r="CG249" s="11" t="n"/>
      <c r="CH249" s="11" t="n"/>
      <c r="CI249" s="11" t="n"/>
      <c r="CJ249" s="42" t="n"/>
      <c r="CK249" s="11" t="n"/>
      <c r="CL249" s="11" t="n"/>
      <c r="CM249" s="11" t="n"/>
      <c r="CN249" s="11" t="n"/>
      <c r="CO249" s="42" t="n"/>
      <c r="CP249" s="11" t="n"/>
      <c r="CQ249" s="11" t="n"/>
      <c r="CR249" s="11" t="n"/>
      <c r="CS249" s="11" t="n"/>
      <c r="CT249" s="42" t="n"/>
      <c r="CU249" s="11" t="n"/>
      <c r="CV249" s="11" t="n"/>
      <c r="CW249" s="11" t="n"/>
      <c r="CX249" s="11" t="n"/>
      <c r="CY249" s="42" t="n"/>
    </row>
    <row r="250" hidden="1" outlineLevel="1" customFormat="1" s="66">
      <c r="A250" s="37" t="n"/>
      <c r="B250" s="37" t="n"/>
      <c r="C250" s="67" t="inlineStr">
        <is>
          <t>Value of shares issued</t>
        </is>
      </c>
      <c r="D250" s="42" t="n"/>
      <c r="E250" s="42" t="n"/>
      <c r="F250" s="42" t="n"/>
      <c r="G250" s="42" t="n"/>
      <c r="H250" s="42" t="n"/>
      <c r="I250" s="42" t="n"/>
      <c r="J250" s="42" t="n"/>
      <c r="K250" s="42" t="n"/>
      <c r="L250" s="42" t="n"/>
      <c r="M250" s="42" t="n"/>
      <c r="N250" s="42" t="n"/>
      <c r="O250" s="42" t="n"/>
      <c r="P250" s="42" t="n"/>
      <c r="Q250" s="42" t="n"/>
      <c r="R250" s="42" t="n"/>
      <c r="S250" s="42" t="n"/>
      <c r="T250" s="42" t="n"/>
      <c r="U250" s="42" t="n"/>
      <c r="V250" s="42" t="n"/>
      <c r="W250" s="42" t="n"/>
      <c r="X250" s="42" t="n"/>
      <c r="Y250" s="42" t="n"/>
      <c r="Z250" s="42" t="n"/>
      <c r="AA250" s="42" t="n"/>
      <c r="AB250" s="42" t="n"/>
      <c r="AC250" s="42" t="n"/>
      <c r="AD250" s="42" t="n"/>
      <c r="AE250" s="42" t="n"/>
      <c r="AF250" s="42" t="n"/>
      <c r="AG250" s="42" t="n"/>
      <c r="AH250" s="11" t="n"/>
      <c r="AI250" s="11" t="n"/>
      <c r="AJ250" s="11" t="n"/>
      <c r="AK250" s="11" t="n"/>
      <c r="AL250" s="42" t="n"/>
      <c r="AM250" s="11" t="n"/>
      <c r="AN250" s="11" t="n"/>
      <c r="AO250" s="11" t="n"/>
      <c r="AP250" s="11" t="n"/>
      <c r="AQ250" s="42" t="n"/>
      <c r="AR250" s="11" t="n"/>
      <c r="AS250" s="11" t="n"/>
      <c r="AT250" s="11" t="n"/>
      <c r="AU250" s="11" t="n"/>
      <c r="AV250" s="42" t="n"/>
      <c r="AW250" s="11" t="n"/>
      <c r="AX250" s="11" t="n"/>
      <c r="AY250" s="11" t="n"/>
      <c r="AZ250" s="11" t="n"/>
      <c r="BA250" s="42" t="n"/>
      <c r="BB250" s="11" t="n"/>
      <c r="BC250" s="11" t="n"/>
      <c r="BD250" s="11" t="n"/>
      <c r="BE250" s="11" t="n"/>
      <c r="BF250" s="42" t="n"/>
      <c r="BG250" s="11" t="n"/>
      <c r="BH250" s="11" t="n"/>
      <c r="BI250" s="11" t="n"/>
      <c r="BJ250" s="11" t="n"/>
      <c r="BK250" s="42" t="n"/>
      <c r="BL250" s="11" t="n"/>
      <c r="BM250" s="11" t="n"/>
      <c r="BN250" s="11" t="n"/>
      <c r="BO250" s="11" t="n"/>
      <c r="BP250" s="42" t="n"/>
      <c r="BQ250" s="11" t="n"/>
      <c r="BR250" s="11" t="n"/>
      <c r="BS250" s="11" t="n"/>
      <c r="BT250" s="11" t="n"/>
      <c r="BU250" s="42" t="n"/>
      <c r="BV250" s="11" t="n"/>
      <c r="BW250" s="11" t="n"/>
      <c r="BX250" s="11" t="n"/>
      <c r="BY250" s="11" t="n"/>
      <c r="BZ250" s="42" t="n"/>
      <c r="CA250" s="11" t="n"/>
      <c r="CB250" s="11" t="n"/>
      <c r="CC250" s="11" t="n"/>
      <c r="CD250" s="11" t="n"/>
      <c r="CE250" s="42" t="n"/>
      <c r="CF250" s="11" t="n"/>
      <c r="CG250" s="11" t="n"/>
      <c r="CH250" s="11" t="n"/>
      <c r="CI250" s="11" t="n"/>
      <c r="CJ250" s="42" t="n"/>
      <c r="CK250" s="11" t="n"/>
      <c r="CL250" s="11" t="n"/>
      <c r="CM250" s="11" t="n"/>
      <c r="CN250" s="11" t="n"/>
      <c r="CO250" s="42" t="n"/>
      <c r="CP250" s="11" t="n"/>
      <c r="CQ250" s="11" t="n"/>
      <c r="CR250" s="11" t="n"/>
      <c r="CS250" s="11" t="n"/>
      <c r="CT250" s="42" t="n"/>
      <c r="CU250" s="11" t="n"/>
      <c r="CV250" s="11" t="n"/>
      <c r="CW250" s="11" t="n"/>
      <c r="CX250" s="11" t="n"/>
      <c r="CY250" s="42" t="n"/>
    </row>
    <row r="251" hidden="1" outlineLevel="1" customFormat="1" s="66">
      <c r="A251" s="37" t="n"/>
      <c r="B251" s="37" t="n"/>
      <c r="C251" s="67" t="inlineStr">
        <is>
          <t>Expected average share price</t>
        </is>
      </c>
      <c r="D251" s="42" t="n"/>
      <c r="E251" s="42" t="n"/>
      <c r="F251" s="42" t="n"/>
      <c r="G251" s="42" t="n"/>
      <c r="H251" s="42" t="n"/>
      <c r="I251" s="42" t="n"/>
      <c r="J251" s="42" t="n"/>
      <c r="K251" s="42" t="n"/>
      <c r="L251" s="42" t="n"/>
      <c r="M251" s="42" t="n"/>
      <c r="N251" s="42" t="n"/>
      <c r="O251" s="42" t="n"/>
      <c r="P251" s="42" t="n"/>
      <c r="Q251" s="42" t="n"/>
      <c r="R251" s="42" t="n"/>
      <c r="S251" s="42" t="n"/>
      <c r="T251" s="42" t="n"/>
      <c r="U251" s="42" t="n"/>
      <c r="V251" s="42" t="n"/>
      <c r="W251" s="42" t="n"/>
      <c r="X251" s="42" t="n"/>
      <c r="Y251" s="42" t="n"/>
      <c r="Z251" s="42" t="n"/>
      <c r="AA251" s="42" t="n"/>
      <c r="AB251" s="42" t="n"/>
      <c r="AC251" s="42" t="n"/>
      <c r="AD251" s="42" t="n"/>
      <c r="AE251" s="42" t="n"/>
      <c r="AF251" s="42" t="n"/>
      <c r="AG251" s="42" t="n"/>
      <c r="AH251" s="68">
        <f>AF251*(1+AH252)</f>
        <v>0</v>
      </c>
      <c r="AI251" s="68">
        <f>AH251*(1+AI252)</f>
        <v>0</v>
      </c>
      <c r="AJ251" s="68">
        <f>AH251*(1+AJ252)</f>
        <v>0</v>
      </c>
      <c r="AK251" s="68">
        <f>AJ251*(1+AK252)</f>
        <v>0</v>
      </c>
      <c r="AL251" s="42" t="n"/>
      <c r="AM251" s="68">
        <f>AK251*(1+AM252)</f>
        <v>0</v>
      </c>
      <c r="AN251" s="68">
        <f>AM251*(1+AN252)</f>
        <v>0</v>
      </c>
      <c r="AO251" s="68">
        <f>AM251*(1+AO252)</f>
        <v>0</v>
      </c>
      <c r="AP251" s="68">
        <f>AO251*(1+AP252)</f>
        <v>0</v>
      </c>
      <c r="AQ251" s="42" t="n"/>
      <c r="AR251" s="68">
        <f>AP251*(1+AR252)</f>
        <v>0</v>
      </c>
      <c r="AS251" s="68">
        <f>AR251*(1+AS252)</f>
        <v>0</v>
      </c>
      <c r="AT251" s="68">
        <f>AR251*(1+AT252)</f>
        <v>0</v>
      </c>
      <c r="AU251" s="68">
        <f>AT251*(1+AU252)</f>
        <v>0</v>
      </c>
      <c r="AV251" s="42" t="n"/>
      <c r="AW251" s="68">
        <f>AU251*(1+AW252)</f>
        <v>0</v>
      </c>
      <c r="AX251" s="68">
        <f>AW251*(1+AX252)</f>
        <v>0</v>
      </c>
      <c r="AY251" s="68">
        <f>AW251*(1+AY252)</f>
        <v>0</v>
      </c>
      <c r="AZ251" s="68">
        <f>AY251*(1+AZ252)</f>
        <v>0</v>
      </c>
      <c r="BA251" s="42" t="n"/>
      <c r="BB251" s="68">
        <f>AZ251*(1+BB252)</f>
        <v>0</v>
      </c>
      <c r="BC251" s="68">
        <f>BB251*(1+BC252)</f>
        <v>0</v>
      </c>
      <c r="BD251" s="68">
        <f>BB251*(1+BD252)</f>
        <v>0</v>
      </c>
      <c r="BE251" s="68">
        <f>BD251*(1+BE252)</f>
        <v>0</v>
      </c>
      <c r="BF251" s="42" t="n"/>
      <c r="BG251" s="68" t="n"/>
      <c r="BH251" s="68" t="n"/>
      <c r="BI251" s="68" t="n"/>
      <c r="BJ251" s="68" t="n"/>
      <c r="BK251" s="42" t="n"/>
      <c r="BL251" s="68" t="n"/>
      <c r="BM251" s="68" t="n"/>
      <c r="BN251" s="68" t="n"/>
      <c r="BO251" s="68" t="n"/>
      <c r="BP251" s="42" t="n"/>
      <c r="BQ251" s="68" t="n"/>
      <c r="BR251" s="68" t="n"/>
      <c r="BS251" s="68" t="n"/>
      <c r="BT251" s="68" t="n"/>
      <c r="BU251" s="42" t="n"/>
      <c r="BV251" s="68" t="n"/>
      <c r="BW251" s="68" t="n"/>
      <c r="BX251" s="68" t="n"/>
      <c r="BY251" s="68" t="n"/>
      <c r="BZ251" s="42" t="n"/>
      <c r="CA251" s="68" t="n"/>
      <c r="CB251" s="68" t="n"/>
      <c r="CC251" s="68" t="n"/>
      <c r="CD251" s="68" t="n"/>
      <c r="CE251" s="42" t="n"/>
      <c r="CF251" s="68" t="n"/>
      <c r="CG251" s="68" t="n"/>
      <c r="CH251" s="68" t="n"/>
      <c r="CI251" s="68" t="n"/>
      <c r="CJ251" s="42" t="n"/>
      <c r="CK251" s="68" t="n"/>
      <c r="CL251" s="68" t="n"/>
      <c r="CM251" s="68" t="n"/>
      <c r="CN251" s="68" t="n"/>
      <c r="CO251" s="42" t="n"/>
      <c r="CP251" s="68" t="n"/>
      <c r="CQ251" s="68" t="n"/>
      <c r="CR251" s="68" t="n"/>
      <c r="CS251" s="68" t="n"/>
      <c r="CT251" s="42" t="n"/>
      <c r="CU251" s="68" t="n"/>
      <c r="CV251" s="68" t="n"/>
      <c r="CW251" s="68" t="n"/>
      <c r="CX251" s="68" t="n"/>
      <c r="CY251" s="42" t="n"/>
    </row>
    <row r="252" hidden="1" outlineLevel="1" customFormat="1" s="66">
      <c r="A252" s="37" t="n"/>
      <c r="B252" s="37" t="n"/>
      <c r="C252" s="67" t="inlineStr">
        <is>
          <t>Consensus EPS growth</t>
        </is>
      </c>
      <c r="D252" s="42" t="n"/>
      <c r="E252" s="42" t="n"/>
      <c r="F252" s="42" t="n"/>
      <c r="G252" s="42" t="n"/>
      <c r="H252" s="42" t="n"/>
      <c r="I252" s="42" t="n"/>
      <c r="J252" s="42" t="n"/>
      <c r="K252" s="42" t="n"/>
      <c r="L252" s="42" t="n"/>
      <c r="M252" s="42" t="n"/>
      <c r="N252" s="42" t="n"/>
      <c r="O252" s="42" t="n"/>
      <c r="P252" s="42" t="n"/>
      <c r="Q252" s="42" t="n"/>
      <c r="R252" s="42" t="n"/>
      <c r="S252" s="42" t="n"/>
      <c r="T252" s="42" t="n"/>
      <c r="U252" s="42" t="n"/>
      <c r="V252" s="42" t="n"/>
      <c r="W252" s="42" t="n"/>
      <c r="X252" s="42" t="n"/>
      <c r="Y252" s="42" t="n"/>
      <c r="Z252" s="42" t="n"/>
      <c r="AA252" s="42" t="n"/>
      <c r="AB252" s="42" t="n"/>
      <c r="AC252" s="42" t="n"/>
      <c r="AD252" s="42" t="n"/>
      <c r="AE252" s="42" t="n"/>
      <c r="AF252" s="42" t="n"/>
      <c r="AG252" s="42" t="n"/>
      <c r="AH252" s="58">
        <f>$AL$257</f>
        <v>0</v>
      </c>
      <c r="AI252" s="58">
        <f>$AL$257</f>
        <v>0</v>
      </c>
      <c r="AJ252" s="58">
        <f>$AL$257</f>
        <v>0</v>
      </c>
      <c r="AK252" s="58">
        <f>$AL$257</f>
        <v>0</v>
      </c>
      <c r="AL252" s="42" t="n"/>
      <c r="AM252" s="58">
        <f>$AL$257</f>
        <v>0</v>
      </c>
      <c r="AN252" s="58">
        <f>$AL$257</f>
        <v>0</v>
      </c>
      <c r="AO252" s="58">
        <f>$AL$257</f>
        <v>0</v>
      </c>
      <c r="AP252" s="58">
        <f>$AL$257</f>
        <v>0</v>
      </c>
      <c r="AQ252" s="42" t="n"/>
      <c r="AR252" s="58">
        <f>$AL$257</f>
        <v>0</v>
      </c>
      <c r="AS252" s="58">
        <f>$AL$257</f>
        <v>0</v>
      </c>
      <c r="AT252" s="58">
        <f>$AL$257</f>
        <v>0</v>
      </c>
      <c r="AU252" s="58">
        <f>$AL$257</f>
        <v>0</v>
      </c>
      <c r="AV252" s="42" t="n"/>
      <c r="AW252" s="58">
        <f>$AL$257</f>
        <v>0</v>
      </c>
      <c r="AX252" s="58">
        <f>$AL$257</f>
        <v>0</v>
      </c>
      <c r="AY252" s="58">
        <f>$AL$257</f>
        <v>0</v>
      </c>
      <c r="AZ252" s="58">
        <f>$AL$257</f>
        <v>0</v>
      </c>
      <c r="BA252" s="42" t="n"/>
      <c r="BB252" s="58">
        <f>$AL$257</f>
        <v>0</v>
      </c>
      <c r="BC252" s="58">
        <f>$AL$257</f>
        <v>0</v>
      </c>
      <c r="BD252" s="58">
        <f>$AL$257</f>
        <v>0</v>
      </c>
      <c r="BE252" s="58">
        <f>$AL$257</f>
        <v>0</v>
      </c>
      <c r="BF252" s="42" t="n"/>
      <c r="BG252" s="58" t="n"/>
      <c r="BH252" s="58" t="n"/>
      <c r="BI252" s="58" t="n"/>
      <c r="BJ252" s="58" t="n"/>
      <c r="BK252" s="42" t="n"/>
      <c r="BL252" s="58" t="n"/>
      <c r="BM252" s="58" t="n"/>
      <c r="BN252" s="58" t="n"/>
      <c r="BO252" s="58" t="n"/>
      <c r="BP252" s="42" t="n"/>
      <c r="BQ252" s="58" t="n"/>
      <c r="BR252" s="58" t="n"/>
      <c r="BS252" s="58" t="n"/>
      <c r="BT252" s="58" t="n"/>
      <c r="BU252" s="42" t="n"/>
      <c r="BV252" s="58" t="n"/>
      <c r="BW252" s="58" t="n"/>
      <c r="BX252" s="58" t="n"/>
      <c r="BY252" s="58" t="n"/>
      <c r="BZ252" s="42" t="n"/>
      <c r="CA252" s="58" t="n"/>
      <c r="CB252" s="58" t="n"/>
      <c r="CC252" s="58" t="n"/>
      <c r="CD252" s="58" t="n"/>
      <c r="CE252" s="42" t="n"/>
      <c r="CF252" s="58" t="n"/>
      <c r="CG252" s="58" t="n"/>
      <c r="CH252" s="58" t="n"/>
      <c r="CI252" s="58" t="n"/>
      <c r="CJ252" s="42" t="n"/>
      <c r="CK252" s="58" t="n"/>
      <c r="CL252" s="58" t="n"/>
      <c r="CM252" s="58" t="n"/>
      <c r="CN252" s="58" t="n"/>
      <c r="CO252" s="42" t="n"/>
      <c r="CP252" s="58" t="n"/>
      <c r="CQ252" s="58" t="n"/>
      <c r="CR252" s="58" t="n"/>
      <c r="CS252" s="58" t="n"/>
      <c r="CT252" s="42" t="n"/>
      <c r="CU252" s="58" t="n"/>
      <c r="CV252" s="58" t="n"/>
      <c r="CW252" s="58" t="n"/>
      <c r="CX252" s="58" t="n"/>
      <c r="CY252" s="42" t="n"/>
    </row>
    <row r="253" hidden="1" outlineLevel="1" customFormat="1" s="66">
      <c r="A253" s="37" t="n"/>
      <c r="B253" s="37" t="n"/>
      <c r="C253" s="67" t="n"/>
      <c r="D253" s="42" t="n"/>
      <c r="E253" s="42" t="n"/>
      <c r="F253" s="42" t="n"/>
      <c r="G253" s="42" t="n"/>
      <c r="H253" s="42" t="n"/>
      <c r="I253" s="42" t="n"/>
      <c r="J253" s="42" t="n"/>
      <c r="K253" s="42" t="n"/>
      <c r="L253" s="42" t="n"/>
      <c r="M253" s="42" t="n"/>
      <c r="N253" s="42" t="n"/>
      <c r="O253" s="42" t="n"/>
      <c r="P253" s="42" t="n"/>
      <c r="Q253" s="42" t="n"/>
      <c r="R253" s="42" t="n"/>
      <c r="S253" s="42" t="n"/>
      <c r="T253" s="42" t="n"/>
      <c r="U253" s="42" t="n"/>
      <c r="V253" s="42" t="n"/>
      <c r="W253" s="42" t="n"/>
      <c r="X253" s="42" t="n"/>
      <c r="Y253" s="42" t="n"/>
      <c r="Z253" s="42" t="n"/>
      <c r="AA253" s="42" t="n"/>
      <c r="AB253" s="42" t="n"/>
      <c r="AC253" s="42" t="n"/>
      <c r="AD253" s="42" t="n"/>
      <c r="AE253" s="42" t="n"/>
      <c r="AF253" s="42" t="n"/>
      <c r="AG253" s="42" t="n"/>
      <c r="AH253" s="12" t="n"/>
      <c r="AI253" s="12" t="n"/>
      <c r="AJ253" s="12" t="n"/>
      <c r="AK253" s="12" t="n"/>
      <c r="AL253" s="42" t="n"/>
      <c r="AM253" s="12" t="n"/>
      <c r="AN253" s="12" t="n"/>
      <c r="AO253" s="12" t="n"/>
      <c r="AP253" s="12" t="n"/>
      <c r="AQ253" s="42" t="n"/>
      <c r="AR253" s="12" t="n"/>
      <c r="AS253" s="12" t="n"/>
      <c r="AT253" s="12" t="n"/>
      <c r="AU253" s="12" t="n"/>
      <c r="AV253" s="42" t="n"/>
      <c r="AW253" s="12" t="n"/>
      <c r="AX253" s="12" t="n"/>
      <c r="AY253" s="12" t="n"/>
      <c r="AZ253" s="12" t="n"/>
      <c r="BA253" s="42" t="n"/>
      <c r="BB253" s="12" t="n"/>
      <c r="BC253" s="12" t="n"/>
      <c r="BD253" s="12" t="n"/>
      <c r="BE253" s="12" t="n"/>
      <c r="BF253" s="42" t="n"/>
      <c r="BG253" s="12" t="n"/>
      <c r="BH253" s="12" t="n"/>
      <c r="BI253" s="12" t="n"/>
      <c r="BJ253" s="12" t="n"/>
      <c r="BK253" s="42" t="n"/>
      <c r="BL253" s="12" t="n"/>
      <c r="BM253" s="12" t="n"/>
      <c r="BN253" s="12" t="n"/>
      <c r="BO253" s="12" t="n"/>
      <c r="BP253" s="42" t="n"/>
      <c r="BQ253" s="12" t="n"/>
      <c r="BR253" s="12" t="n"/>
      <c r="BS253" s="12" t="n"/>
      <c r="BT253" s="12" t="n"/>
      <c r="BU253" s="42" t="n"/>
      <c r="BV253" s="12" t="n"/>
      <c r="BW253" s="12" t="n"/>
      <c r="BX253" s="12" t="n"/>
      <c r="BY253" s="12" t="n"/>
      <c r="BZ253" s="42" t="n"/>
      <c r="CA253" s="12" t="n"/>
      <c r="CB253" s="12" t="n"/>
      <c r="CC253" s="12" t="n"/>
      <c r="CD253" s="12" t="n"/>
      <c r="CE253" s="42" t="n"/>
      <c r="CF253" s="12" t="n"/>
      <c r="CG253" s="12" t="n"/>
      <c r="CH253" s="12" t="n"/>
      <c r="CI253" s="12" t="n"/>
      <c r="CJ253" s="42" t="n"/>
      <c r="CK253" s="12" t="n"/>
      <c r="CL253" s="12" t="n"/>
      <c r="CM253" s="12" t="n"/>
      <c r="CN253" s="12" t="n"/>
      <c r="CO253" s="42" t="n"/>
      <c r="CP253" s="12" t="n"/>
      <c r="CQ253" s="12" t="n"/>
      <c r="CR253" s="12" t="n"/>
      <c r="CS253" s="12" t="n"/>
      <c r="CT253" s="42" t="n"/>
      <c r="CU253" s="12" t="n"/>
      <c r="CV253" s="12" t="n"/>
      <c r="CW253" s="12" t="n"/>
      <c r="CX253" s="12" t="n"/>
      <c r="CY253" s="42" t="n"/>
    </row>
    <row r="254" hidden="1" outlineLevel="1" customFormat="1" s="66">
      <c r="A254" s="37" t="n"/>
      <c r="B254" s="37" t="n"/>
      <c r="C254" s="67" t="inlineStr">
        <is>
          <t>Shares repurchased</t>
        </is>
      </c>
      <c r="D254" s="42" t="n"/>
      <c r="E254" s="42" t="n"/>
      <c r="F254" s="42" t="n"/>
      <c r="G254" s="42" t="n"/>
      <c r="H254" s="42" t="n"/>
      <c r="I254" s="42" t="n"/>
      <c r="J254" s="42" t="n"/>
      <c r="K254" s="42" t="n"/>
      <c r="L254" s="42" t="n"/>
      <c r="M254" s="42" t="n"/>
      <c r="N254" s="42" t="n"/>
      <c r="O254" s="42" t="n"/>
      <c r="P254" s="42" t="n"/>
      <c r="Q254" s="42" t="n"/>
      <c r="R254" s="42" t="n"/>
      <c r="S254" s="42" t="n"/>
      <c r="T254" s="42" t="n"/>
      <c r="U254" s="42" t="n"/>
      <c r="V254" s="42" t="n"/>
      <c r="W254" s="42" t="n"/>
      <c r="X254" s="42" t="n"/>
      <c r="Y254" s="42" t="n"/>
      <c r="Z254" s="42" t="n"/>
      <c r="AA254" s="42" t="n"/>
      <c r="AB254" s="42" t="n"/>
      <c r="AC254" s="42" t="n"/>
      <c r="AD254" s="42" t="n"/>
      <c r="AE254" s="42" t="n"/>
      <c r="AF254" s="42" t="n"/>
      <c r="AG254" s="42" t="n"/>
      <c r="AH254" s="69" t="str">
        <f>IFERROR(-AH249/AH251,"")</f>
        <v/>
      </c>
      <c r="AI254" s="69" t="str">
        <f>IFERROR(-AI249/AI251,"")</f>
        <v/>
      </c>
      <c r="AJ254" s="69" t="str">
        <f>IFERROR(-AJ249/AJ251,"")</f>
        <v/>
      </c>
      <c r="AK254" s="69" t="str">
        <f>IFERROR(-AK249/AK251,"")</f>
        <v/>
      </c>
      <c r="AL254" s="42" t="n"/>
      <c r="AM254" s="69" t="str">
        <f>IFERROR(-AM249/AM251,"")</f>
        <v/>
      </c>
      <c r="AN254" s="69" t="str">
        <f>IFERROR(-AN249/AN251,"")</f>
        <v/>
      </c>
      <c r="AO254" s="69" t="str">
        <f>IFERROR(-AO249/AO251,"")</f>
        <v/>
      </c>
      <c r="AP254" s="69" t="str">
        <f>IFERROR(-AP249/AP251,"")</f>
        <v/>
      </c>
      <c r="AQ254" s="42" t="n"/>
      <c r="AR254" s="69" t="str">
        <f>IFERROR(-AR249/AR251,"")</f>
        <v/>
      </c>
      <c r="AS254" s="69" t="str">
        <f>IFERROR(-AS249/AS251,"")</f>
        <v/>
      </c>
      <c r="AT254" s="69" t="str">
        <f>IFERROR(-AT249/AT251,"")</f>
        <v/>
      </c>
      <c r="AU254" s="69" t="str">
        <f>IFERROR(-AU249/AU251,"")</f>
        <v/>
      </c>
      <c r="AV254" s="42" t="n"/>
      <c r="AW254" s="69" t="str">
        <f>IFERROR(-AW249/AW251,"")</f>
        <v/>
      </c>
      <c r="AX254" s="69" t="str">
        <f>IFERROR(-AX249/AX251,"")</f>
        <v/>
      </c>
      <c r="AY254" s="69" t="str">
        <f>IFERROR(-AY249/AY251,"")</f>
        <v/>
      </c>
      <c r="AZ254" s="69" t="str">
        <f>IFERROR(-AZ249/AZ251,"")</f>
        <v/>
      </c>
      <c r="BA254" s="42" t="n"/>
      <c r="BB254" s="69" t="str">
        <f>IFERROR(-BB249/BB251,"")</f>
        <v/>
      </c>
      <c r="BC254" s="69" t="str">
        <f>IFERROR(-BC249/BC251,"")</f>
        <v/>
      </c>
      <c r="BD254" s="69" t="str">
        <f>IFERROR(-BD249/BD251,"")</f>
        <v/>
      </c>
      <c r="BE254" s="69" t="str">
        <f>IFERROR(-BE249/BE251,"")</f>
        <v/>
      </c>
      <c r="BF254" s="42" t="n"/>
      <c r="BG254" s="69" t="n"/>
      <c r="BH254" s="69" t="n"/>
      <c r="BI254" s="69" t="n"/>
      <c r="BJ254" s="69" t="n"/>
      <c r="BK254" s="42" t="n"/>
      <c r="BL254" s="69" t="n"/>
      <c r="BM254" s="69" t="n"/>
      <c r="BN254" s="69" t="n"/>
      <c r="BO254" s="69" t="n"/>
      <c r="BP254" s="42" t="n"/>
      <c r="BQ254" s="69" t="n"/>
      <c r="BR254" s="69" t="n"/>
      <c r="BS254" s="69" t="n"/>
      <c r="BT254" s="69" t="n"/>
      <c r="BU254" s="42" t="n"/>
      <c r="BV254" s="69" t="n"/>
      <c r="BW254" s="69" t="n"/>
      <c r="BX254" s="69" t="n"/>
      <c r="BY254" s="69" t="n"/>
      <c r="BZ254" s="42" t="n"/>
      <c r="CA254" s="69" t="n"/>
      <c r="CB254" s="69" t="n"/>
      <c r="CC254" s="69" t="n"/>
      <c r="CD254" s="69" t="n"/>
      <c r="CE254" s="42" t="n"/>
      <c r="CF254" s="69" t="n"/>
      <c r="CG254" s="69" t="n"/>
      <c r="CH254" s="69" t="n"/>
      <c r="CI254" s="69" t="n"/>
      <c r="CJ254" s="42" t="n"/>
      <c r="CK254" s="69" t="n"/>
      <c r="CL254" s="69" t="n"/>
      <c r="CM254" s="69" t="n"/>
      <c r="CN254" s="69" t="n"/>
      <c r="CO254" s="42" t="n"/>
      <c r="CP254" s="69" t="n"/>
      <c r="CQ254" s="69" t="n"/>
      <c r="CR254" s="69" t="n"/>
      <c r="CS254" s="69" t="n"/>
      <c r="CT254" s="42" t="n"/>
      <c r="CU254" s="69" t="n"/>
      <c r="CV254" s="69" t="n"/>
      <c r="CW254" s="69" t="n"/>
      <c r="CX254" s="69" t="n"/>
      <c r="CY254" s="42" t="n"/>
    </row>
    <row r="255" hidden="1" outlineLevel="1" customFormat="1" s="66">
      <c r="A255" s="37" t="n"/>
      <c r="B255" s="37" t="n"/>
      <c r="C255" s="67" t="inlineStr">
        <is>
          <t>Shares issued</t>
        </is>
      </c>
      <c r="D255" s="42" t="n"/>
      <c r="E255" s="42" t="n"/>
      <c r="F255" s="42" t="n"/>
      <c r="G255" s="42" t="n"/>
      <c r="H255" s="42" t="n"/>
      <c r="I255" s="42" t="n"/>
      <c r="J255" s="42" t="n"/>
      <c r="K255" s="42" t="n"/>
      <c r="L255" s="42" t="n"/>
      <c r="M255" s="42" t="n"/>
      <c r="N255" s="42" t="n"/>
      <c r="O255" s="42" t="n"/>
      <c r="P255" s="42" t="n"/>
      <c r="Q255" s="42" t="n"/>
      <c r="R255" s="42" t="n"/>
      <c r="S255" s="42" t="n"/>
      <c r="T255" s="42" t="n"/>
      <c r="U255" s="42" t="n"/>
      <c r="V255" s="42" t="n"/>
      <c r="W255" s="42" t="n"/>
      <c r="X255" s="42" t="n"/>
      <c r="Y255" s="42" t="n"/>
      <c r="Z255" s="42" t="n"/>
      <c r="AA255" s="42" t="n"/>
      <c r="AB255" s="42" t="n"/>
      <c r="AC255" s="42" t="n"/>
      <c r="AD255" s="42" t="n"/>
      <c r="AE255" s="42" t="n"/>
      <c r="AF255" s="9" t="n"/>
      <c r="AG255" s="42" t="n"/>
      <c r="AH255" s="69" t="str">
        <f>IFERROR(AH250/AH251,"")</f>
        <v/>
      </c>
      <c r="AI255" s="69" t="str">
        <f>IFERROR(AI250/AI251,"")</f>
        <v/>
      </c>
      <c r="AJ255" s="69" t="str">
        <f>IFERROR(AJ250/AJ251,"")</f>
        <v/>
      </c>
      <c r="AK255" s="69" t="str">
        <f>IFERROR(AK250/AK251,"")</f>
        <v/>
      </c>
      <c r="AL255" s="42" t="n"/>
      <c r="AM255" s="69" t="str">
        <f>IFERROR(AM250/AM251,"")</f>
        <v/>
      </c>
      <c r="AN255" s="69" t="str">
        <f>IFERROR(AN250/AN251,"")</f>
        <v/>
      </c>
      <c r="AO255" s="69" t="str">
        <f>IFERROR(AO250/AO251,"")</f>
        <v/>
      </c>
      <c r="AP255" s="69" t="str">
        <f>IFERROR(AP250/AP251,"")</f>
        <v/>
      </c>
      <c r="AQ255" s="42" t="n"/>
      <c r="AR255" s="69" t="str">
        <f>IFERROR(AR250/AR251,"")</f>
        <v/>
      </c>
      <c r="AS255" s="69" t="str">
        <f>IFERROR(AS250/AS251,"")</f>
        <v/>
      </c>
      <c r="AT255" s="69" t="str">
        <f>IFERROR(AT250/AT251,"")</f>
        <v/>
      </c>
      <c r="AU255" s="69" t="str">
        <f>IFERROR(AU250/AU251,"")</f>
        <v/>
      </c>
      <c r="AV255" s="42" t="n"/>
      <c r="AW255" s="69" t="str">
        <f>IFERROR(AW250/AW251,"")</f>
        <v/>
      </c>
      <c r="AX255" s="69" t="str">
        <f>IFERROR(AX250/AX251,"")</f>
        <v/>
      </c>
      <c r="AY255" s="69" t="str">
        <f>IFERROR(AY250/AY251,"")</f>
        <v/>
      </c>
      <c r="AZ255" s="69" t="str">
        <f>IFERROR(AZ250/AZ251,"")</f>
        <v/>
      </c>
      <c r="BA255" s="42" t="n"/>
      <c r="BB255" s="69" t="str">
        <f>IFERROR(BB250/BB251,"")</f>
        <v/>
      </c>
      <c r="BC255" s="69" t="str">
        <f>IFERROR(BC250/BC251,"")</f>
        <v/>
      </c>
      <c r="BD255" s="69" t="str">
        <f>IFERROR(BD250/BD251,"")</f>
        <v/>
      </c>
      <c r="BE255" s="69" t="str">
        <f>IFERROR(BE250/BE251,"")</f>
        <v/>
      </c>
      <c r="BF255" s="42" t="n"/>
      <c r="BG255" s="69" t="n"/>
      <c r="BH255" s="69" t="n"/>
      <c r="BI255" s="69" t="n"/>
      <c r="BJ255" s="69" t="n"/>
      <c r="BK255" s="42" t="n"/>
      <c r="BL255" s="69" t="n"/>
      <c r="BM255" s="69" t="n"/>
      <c r="BN255" s="69" t="n"/>
      <c r="BO255" s="69" t="n"/>
      <c r="BP255" s="42" t="n"/>
      <c r="BQ255" s="69" t="n"/>
      <c r="BR255" s="69" t="n"/>
      <c r="BS255" s="69" t="n"/>
      <c r="BT255" s="69" t="n"/>
      <c r="BU255" s="42" t="n"/>
      <c r="BV255" s="69" t="n"/>
      <c r="BW255" s="69" t="n"/>
      <c r="BX255" s="69" t="n"/>
      <c r="BY255" s="69" t="n"/>
      <c r="BZ255" s="42" t="n"/>
      <c r="CA255" s="69" t="n"/>
      <c r="CB255" s="69" t="n"/>
      <c r="CC255" s="69" t="n"/>
      <c r="CD255" s="69" t="n"/>
      <c r="CE255" s="42" t="n"/>
      <c r="CF255" s="69" t="n"/>
      <c r="CG255" s="69" t="n"/>
      <c r="CH255" s="69" t="n"/>
      <c r="CI255" s="69" t="n"/>
      <c r="CJ255" s="42" t="n"/>
      <c r="CK255" s="69" t="n"/>
      <c r="CL255" s="69" t="n"/>
      <c r="CM255" s="69" t="n"/>
      <c r="CN255" s="69" t="n"/>
      <c r="CO255" s="42" t="n"/>
      <c r="CP255" s="69" t="n"/>
      <c r="CQ255" s="69" t="n"/>
      <c r="CR255" s="69" t="n"/>
      <c r="CS255" s="69" t="n"/>
      <c r="CT255" s="42" t="n"/>
      <c r="CU255" s="69" t="n"/>
      <c r="CV255" s="69" t="n"/>
      <c r="CW255" s="69" t="n"/>
      <c r="CX255" s="69" t="n"/>
      <c r="CY255" s="42" t="n"/>
    </row>
    <row r="256" hidden="1" outlineLevel="1" customFormat="1" s="66">
      <c r="A256" s="37" t="n"/>
      <c r="B256" s="37" t="n"/>
      <c r="C256" s="67" t="inlineStr">
        <is>
          <t>End of period basic shares outstanding</t>
        </is>
      </c>
      <c r="D256" s="42" t="n"/>
      <c r="E256" s="42" t="n"/>
      <c r="F256" s="42" t="n"/>
      <c r="G256" s="42" t="n"/>
      <c r="H256" s="42" t="n"/>
      <c r="I256" s="42" t="n"/>
      <c r="J256" s="42" t="n"/>
      <c r="K256" s="42" t="n"/>
      <c r="L256" s="42" t="n"/>
      <c r="M256" s="42" t="n"/>
      <c r="N256" s="42" t="n"/>
      <c r="O256" s="42" t="n"/>
      <c r="P256" s="42" t="n"/>
      <c r="Q256" s="42" t="n"/>
      <c r="R256" s="42" t="n"/>
      <c r="S256" s="42" t="n"/>
      <c r="T256" s="42" t="n"/>
      <c r="U256" s="42" t="n"/>
      <c r="V256" s="42" t="n"/>
      <c r="W256" s="42" t="n"/>
      <c r="X256" s="42" t="n"/>
      <c r="Y256" s="42" t="n"/>
      <c r="Z256" s="42" t="n"/>
      <c r="AA256" s="42" t="n"/>
      <c r="AB256" s="42" t="n"/>
      <c r="AC256" s="42" t="n"/>
      <c r="AD256" s="42" t="n"/>
      <c r="AE256" s="42" t="n"/>
      <c r="AF256" s="42" t="n"/>
      <c r="AG256" s="42" t="n"/>
      <c r="AH256" s="3" t="str">
        <f>IFERROR(AG256+AH255-AH254,"")</f>
        <v/>
      </c>
      <c r="AI256" s="3" t="str">
        <f>IFERROR(AH256+AI255-AI254,"")</f>
        <v/>
      </c>
      <c r="AJ256" s="69" t="str">
        <f>IFERROR(AH256+AJ255-AJ254,"")</f>
        <v/>
      </c>
      <c r="AK256" s="69" t="str">
        <f>IFERROR(AJ256+AK255-AK254,"")</f>
        <v/>
      </c>
      <c r="AL256" s="42" t="n"/>
      <c r="AM256" s="3" t="str">
        <f>IFERROR(AK256+AM255-AM254,"")</f>
        <v/>
      </c>
      <c r="AN256" s="3" t="str">
        <f>IFERROR(AM256+AN255-AN254,"")</f>
        <v/>
      </c>
      <c r="AO256" s="69" t="str">
        <f>IFERROR(AM256+AO255-AO254,"")</f>
        <v/>
      </c>
      <c r="AP256" s="69" t="str">
        <f>IFERROR(AO256+AP255-AP254,"")</f>
        <v/>
      </c>
      <c r="AQ256" s="42" t="n"/>
      <c r="AR256" s="3" t="str">
        <f>IFERROR(AP256+AR255-AR254,"")</f>
        <v/>
      </c>
      <c r="AS256" s="3" t="str">
        <f>IFERROR(AR256+AS255-AS254,"")</f>
        <v/>
      </c>
      <c r="AT256" s="69" t="str">
        <f>IFERROR(AR256+AT255-AT254,"")</f>
        <v/>
      </c>
      <c r="AU256" s="69" t="str">
        <f>IFERROR(AT256+AU255-AU254,"")</f>
        <v/>
      </c>
      <c r="AV256" s="42" t="n"/>
      <c r="AW256" s="3" t="str">
        <f>IFERROR(AU256+AW255-AW254,"")</f>
        <v/>
      </c>
      <c r="AX256" s="3" t="str">
        <f>IFERROR(AW256+AX255-AX254,"")</f>
        <v/>
      </c>
      <c r="AY256" s="69" t="str">
        <f>IFERROR(AW256+AY255-AY254,"")</f>
        <v/>
      </c>
      <c r="AZ256" s="69" t="str">
        <f>IFERROR(AY256+AZ255-AZ254,"")</f>
        <v/>
      </c>
      <c r="BA256" s="42" t="n"/>
      <c r="BB256" s="3" t="str">
        <f>IFERROR(AZ256+BB255-BB254,"")</f>
        <v/>
      </c>
      <c r="BC256" s="3" t="str">
        <f>IFERROR(BB256+BC255-BC254,"")</f>
        <v/>
      </c>
      <c r="BD256" s="69" t="str">
        <f>IFERROR(BB256+BD255-BD254,"")</f>
        <v/>
      </c>
      <c r="BE256" s="69" t="str">
        <f>IFERROR(BD256+BE255-BE254,"")</f>
        <v/>
      </c>
      <c r="BF256" s="42" t="n"/>
      <c r="BG256" s="3" t="n"/>
      <c r="BH256" s="3" t="n"/>
      <c r="BI256" s="69" t="n"/>
      <c r="BJ256" s="69" t="n"/>
      <c r="BK256" s="42" t="n"/>
      <c r="BL256" s="3" t="n"/>
      <c r="BM256" s="3" t="n"/>
      <c r="BN256" s="69" t="n"/>
      <c r="BO256" s="69" t="n"/>
      <c r="BP256" s="42" t="n"/>
      <c r="BQ256" s="3" t="n"/>
      <c r="BR256" s="3" t="n"/>
      <c r="BS256" s="69" t="n"/>
      <c r="BT256" s="69" t="n"/>
      <c r="BU256" s="42" t="n"/>
      <c r="BV256" s="3" t="n"/>
      <c r="BW256" s="3" t="n"/>
      <c r="BX256" s="69" t="n"/>
      <c r="BY256" s="69" t="n"/>
      <c r="BZ256" s="42" t="n"/>
      <c r="CA256" s="3" t="n"/>
      <c r="CB256" s="3" t="n"/>
      <c r="CC256" s="69" t="n"/>
      <c r="CD256" s="69" t="n"/>
      <c r="CE256" s="42" t="n"/>
      <c r="CF256" s="3" t="n"/>
      <c r="CG256" s="3" t="n"/>
      <c r="CH256" s="69" t="n"/>
      <c r="CI256" s="69" t="n"/>
      <c r="CJ256" s="42" t="n"/>
      <c r="CK256" s="3" t="n"/>
      <c r="CL256" s="3" t="n"/>
      <c r="CM256" s="69" t="n"/>
      <c r="CN256" s="69" t="n"/>
      <c r="CO256" s="42" t="n"/>
      <c r="CP256" s="3" t="n"/>
      <c r="CQ256" s="3" t="n"/>
      <c r="CR256" s="69" t="n"/>
      <c r="CS256" s="69" t="n"/>
      <c r="CT256" s="42" t="n"/>
      <c r="CU256" s="3" t="n"/>
      <c r="CV256" s="3" t="n"/>
      <c r="CW256" s="69" t="n"/>
      <c r="CX256" s="69" t="n"/>
      <c r="CY256" s="42" t="n"/>
    </row>
    <row r="257" hidden="1" outlineLevel="1" customFormat="1" s="66">
      <c r="A257" s="37" t="n"/>
      <c r="B257" s="37" t="n"/>
      <c r="C257" s="67" t="inlineStr">
        <is>
          <t>Weighted average basic shares outstanding</t>
        </is>
      </c>
      <c r="D257" s="42" t="n"/>
      <c r="E257" s="42" t="n"/>
      <c r="F257" s="42" t="n"/>
      <c r="G257" s="42" t="n"/>
      <c r="H257" s="42" t="n"/>
      <c r="I257" s="42" t="n"/>
      <c r="J257" s="42" t="n"/>
      <c r="K257" s="42" t="n"/>
      <c r="L257" s="42" t="n"/>
      <c r="M257" s="42" t="n"/>
      <c r="N257" s="42" t="n"/>
      <c r="O257" s="42" t="n"/>
      <c r="P257" s="42" t="n"/>
      <c r="Q257" s="42" t="n"/>
      <c r="R257" s="42" t="n"/>
      <c r="S257" s="42" t="n"/>
      <c r="T257" s="42" t="n"/>
      <c r="U257" s="42" t="n"/>
      <c r="V257" s="42" t="n"/>
      <c r="W257" s="42" t="n"/>
      <c r="X257" s="42" t="n"/>
      <c r="Y257" s="42" t="n"/>
      <c r="Z257" s="42" t="n"/>
      <c r="AA257" s="42" t="n"/>
      <c r="AB257" s="42" t="n"/>
      <c r="AC257" s="42" t="n"/>
      <c r="AD257" s="42" t="n"/>
      <c r="AE257" s="42" t="n"/>
      <c r="AF257" s="42" t="n"/>
      <c r="AG257" s="42" t="n"/>
      <c r="AH257" s="69" t="str">
        <f>IFERROR(AVERAGE(AG256,AH256),"")</f>
        <v/>
      </c>
      <c r="AI257" s="69" t="str">
        <f>IFERROR(AVERAGE(AH256,AI256),"")</f>
        <v/>
      </c>
      <c r="AJ257" s="69" t="str">
        <f>IFERROR(AVERAGE(AH256,AJ256),"")</f>
        <v/>
      </c>
      <c r="AK257" s="69" t="str">
        <f>IFERROR(AVERAGE(AJ256,AK256),"")</f>
        <v/>
      </c>
      <c r="AL257" s="42" t="n"/>
      <c r="AM257" s="69" t="str">
        <f>IFERROR(AVERAGE(AL256,AM256),"")</f>
        <v/>
      </c>
      <c r="AN257" s="69" t="str">
        <f>IFERROR(AVERAGE(AM256,AN256),"")</f>
        <v/>
      </c>
      <c r="AO257" s="69" t="str">
        <f>IFERROR(AVERAGE(AM256,AO256),"")</f>
        <v/>
      </c>
      <c r="AP257" s="69" t="str">
        <f>IFERROR(AVERAGE(AO256,AP256),"")</f>
        <v/>
      </c>
      <c r="AQ257" s="42" t="n"/>
      <c r="AR257" s="69" t="str">
        <f>IFERROR(AVERAGE(AQ256,AR256),"")</f>
        <v/>
      </c>
      <c r="AS257" s="69" t="str">
        <f>IFERROR(AVERAGE(AR256,AS256),"")</f>
        <v/>
      </c>
      <c r="AT257" s="69" t="str">
        <f>IFERROR(AVERAGE(AR256,AT256),"")</f>
        <v/>
      </c>
      <c r="AU257" s="69" t="str">
        <f>IFERROR(AVERAGE(AT256,AU256),"")</f>
        <v/>
      </c>
      <c r="AV257" s="42" t="n"/>
      <c r="AW257" s="69" t="str">
        <f>IFERROR(AVERAGE(AV256,AW256),"")</f>
        <v/>
      </c>
      <c r="AX257" s="69" t="str">
        <f>IFERROR(AVERAGE(AW256,AX256),"")</f>
        <v/>
      </c>
      <c r="AY257" s="69" t="str">
        <f>IFERROR(AVERAGE(AW256,AY256),"")</f>
        <v/>
      </c>
      <c r="AZ257" s="69" t="str">
        <f>IFERROR(AVERAGE(AY256,AZ256),"")</f>
        <v/>
      </c>
      <c r="BA257" s="42" t="n"/>
      <c r="BB257" s="69" t="str">
        <f>IFERROR(AVERAGE(BA256,BB256),"")</f>
        <v/>
      </c>
      <c r="BC257" s="69" t="str">
        <f>IFERROR(AVERAGE(BB256,BC256),"")</f>
        <v/>
      </c>
      <c r="BD257" s="69" t="str">
        <f>IFERROR(AVERAGE(BB256,BD256),"")</f>
        <v/>
      </c>
      <c r="BE257" s="69" t="str">
        <f>IFERROR(AVERAGE(BD256,BE256),"")</f>
        <v/>
      </c>
      <c r="BF257" s="42" t="n"/>
      <c r="BG257" s="69" t="n"/>
      <c r="BH257" s="69" t="n"/>
      <c r="BI257" s="69" t="n"/>
      <c r="BJ257" s="69" t="n"/>
      <c r="BK257" s="42" t="n"/>
      <c r="BL257" s="69" t="n"/>
      <c r="BM257" s="69" t="n"/>
      <c r="BN257" s="69" t="n"/>
      <c r="BO257" s="69" t="n"/>
      <c r="BP257" s="42" t="n"/>
      <c r="BQ257" s="69" t="n"/>
      <c r="BR257" s="69" t="n"/>
      <c r="BS257" s="69" t="n"/>
      <c r="BT257" s="69" t="n"/>
      <c r="BU257" s="42" t="n"/>
      <c r="BV257" s="69" t="n"/>
      <c r="BW257" s="69" t="n"/>
      <c r="BX257" s="69" t="n"/>
      <c r="BY257" s="69" t="n"/>
      <c r="BZ257" s="42" t="n"/>
      <c r="CA257" s="69" t="n"/>
      <c r="CB257" s="69" t="n"/>
      <c r="CC257" s="69" t="n"/>
      <c r="CD257" s="69" t="n"/>
      <c r="CE257" s="42" t="n"/>
      <c r="CF257" s="69" t="n"/>
      <c r="CG257" s="69" t="n"/>
      <c r="CH257" s="69" t="n"/>
      <c r="CI257" s="69" t="n"/>
      <c r="CJ257" s="42" t="n"/>
      <c r="CK257" s="69" t="n"/>
      <c r="CL257" s="69" t="n"/>
      <c r="CM257" s="69" t="n"/>
      <c r="CN257" s="69" t="n"/>
      <c r="CO257" s="42" t="n"/>
      <c r="CP257" s="69" t="n"/>
      <c r="CQ257" s="69" t="n"/>
      <c r="CR257" s="69" t="n"/>
      <c r="CS257" s="69" t="n"/>
      <c r="CT257" s="42" t="n"/>
      <c r="CU257" s="69" t="n"/>
      <c r="CV257" s="69" t="n"/>
      <c r="CW257" s="69" t="n"/>
      <c r="CX257" s="69" t="n"/>
      <c r="CY257" s="42" t="n"/>
    </row>
    <row r="258" hidden="1" outlineLevel="1" customFormat="1" s="66">
      <c r="A258" s="37" t="n"/>
      <c r="B258" s="37" t="n"/>
      <c r="C258" s="67" t="n"/>
      <c r="D258" s="42" t="n"/>
      <c r="E258" s="42" t="n"/>
      <c r="F258" s="42" t="n"/>
      <c r="G258" s="42" t="n"/>
      <c r="H258" s="12" t="n"/>
      <c r="I258" s="42" t="n"/>
      <c r="J258" s="42" t="n"/>
      <c r="K258" s="42" t="n"/>
      <c r="L258" s="42" t="n"/>
      <c r="M258" s="12" t="n"/>
      <c r="N258" s="42" t="n"/>
      <c r="O258" s="42" t="n"/>
      <c r="P258" s="42" t="n"/>
      <c r="Q258" s="42" t="n"/>
      <c r="R258" s="12" t="n"/>
      <c r="S258" s="42" t="n"/>
      <c r="T258" s="42" t="n"/>
      <c r="U258" s="42" t="n"/>
      <c r="V258" s="42" t="n"/>
      <c r="W258" s="12" t="n"/>
      <c r="X258" s="42" t="n"/>
      <c r="Y258" s="42" t="n"/>
      <c r="Z258" s="42" t="n"/>
      <c r="AA258" s="42" t="n"/>
      <c r="AB258" s="12" t="n"/>
      <c r="AC258" s="42" t="n"/>
      <c r="AD258" s="42" t="n"/>
      <c r="AE258" s="42" t="n"/>
      <c r="AF258" s="42" t="n"/>
      <c r="AG258" s="12" t="n"/>
      <c r="AH258" s="42" t="n"/>
      <c r="AI258" s="42" t="n"/>
      <c r="AJ258" s="42" t="n"/>
      <c r="AK258" s="42" t="n"/>
      <c r="AL258" s="12" t="n"/>
      <c r="AM258" s="42" t="n"/>
      <c r="AN258" s="42" t="n"/>
      <c r="AO258" s="42" t="n"/>
      <c r="AP258" s="42" t="n"/>
      <c r="AQ258" s="12" t="n"/>
      <c r="AR258" s="42" t="n"/>
      <c r="AS258" s="42" t="n"/>
      <c r="AT258" s="42" t="n"/>
      <c r="AU258" s="42" t="n"/>
      <c r="AV258" s="12" t="n"/>
      <c r="AW258" s="42" t="n"/>
      <c r="AX258" s="42" t="n"/>
      <c r="AY258" s="42" t="n"/>
      <c r="AZ258" s="42" t="n"/>
      <c r="BA258" s="12" t="n"/>
      <c r="BB258" s="42" t="n"/>
      <c r="BC258" s="42" t="n"/>
      <c r="BD258" s="42" t="n"/>
      <c r="BE258" s="42" t="n"/>
      <c r="BF258" s="12" t="n"/>
      <c r="BG258" s="42" t="n"/>
      <c r="BH258" s="42" t="n"/>
      <c r="BI258" s="42" t="n"/>
      <c r="BJ258" s="42" t="n"/>
      <c r="BK258" s="12" t="n"/>
      <c r="BL258" s="42" t="n"/>
      <c r="BM258" s="42" t="n"/>
      <c r="BN258" s="42" t="n"/>
      <c r="BO258" s="42" t="n"/>
      <c r="BP258" s="12" t="n"/>
      <c r="BQ258" s="42" t="n"/>
      <c r="BR258" s="42" t="n"/>
      <c r="BS258" s="42" t="n"/>
      <c r="BT258" s="42" t="n"/>
      <c r="BU258" s="12" t="n"/>
      <c r="BV258" s="42" t="n"/>
      <c r="BW258" s="42" t="n"/>
      <c r="BX258" s="42" t="n"/>
      <c r="BY258" s="42" t="n"/>
      <c r="BZ258" s="12" t="n"/>
      <c r="CA258" s="42" t="n"/>
      <c r="CB258" s="42" t="n"/>
      <c r="CC258" s="42" t="n"/>
      <c r="CD258" s="42" t="n"/>
      <c r="CE258" s="12" t="n"/>
      <c r="CF258" s="42" t="n"/>
      <c r="CG258" s="42" t="n"/>
      <c r="CH258" s="42" t="n"/>
      <c r="CI258" s="42" t="n"/>
      <c r="CJ258" s="12" t="n"/>
      <c r="CK258" s="42" t="n"/>
      <c r="CL258" s="42" t="n"/>
      <c r="CM258" s="42" t="n"/>
      <c r="CN258" s="42" t="n"/>
      <c r="CO258" s="12" t="n"/>
      <c r="CP258" s="42" t="n"/>
      <c r="CQ258" s="42" t="n"/>
      <c r="CR258" s="42" t="n"/>
      <c r="CS258" s="42" t="n"/>
      <c r="CT258" s="12" t="n"/>
      <c r="CU258" s="42" t="n"/>
      <c r="CV258" s="42" t="n"/>
      <c r="CW258" s="42" t="n"/>
      <c r="CX258" s="42" t="n"/>
      <c r="CY258" s="12" t="n"/>
    </row>
    <row r="259" collapsed="1">
      <c r="C259" s="14" t="inlineStr">
        <is>
          <t>Treasury stock (contra account)</t>
        </is>
      </c>
      <c r="D259" s="46" t="n"/>
      <c r="E259" s="46" t="n"/>
      <c r="F259" s="46" t="n"/>
      <c r="G259" s="46" t="n"/>
      <c r="H259" s="12" t="n"/>
      <c r="I259" s="46">
        <f>'Inputs (2)'!D44</f>
        <v>-3777</v>
      </c>
      <c r="J259" s="46">
        <f>'Inputs (2)'!E44</f>
        <v>-3777</v>
      </c>
      <c r="K259" s="46">
        <f>'Inputs (2)'!F44</f>
        <v>-3777</v>
      </c>
      <c r="L259" s="46">
        <f>'Inputs (2)'!G44</f>
        <v>-4292</v>
      </c>
      <c r="M259" s="12">
        <f>'Inputs (2)'!H44</f>
        <v>-4292</v>
      </c>
      <c r="N259" s="46">
        <f>'Inputs (2)'!I44</f>
        <v>-4895</v>
      </c>
      <c r="O259" s="46">
        <f>'Inputs (2)'!J44</f>
        <v>-5539</v>
      </c>
      <c r="P259" s="46">
        <f>'Inputs (2)'!K44</f>
        <v>-5701</v>
      </c>
      <c r="Q259" s="46">
        <f>'Inputs (2)'!L44</f>
        <v>-5701</v>
      </c>
      <c r="R259" s="12">
        <f>'Inputs (2)'!M44</f>
        <v>-5701</v>
      </c>
      <c r="S259" s="46">
        <f>'Inputs (2)'!N44</f>
        <v>-5769</v>
      </c>
      <c r="T259" s="46">
        <f>'Inputs (2)'!O44</f>
        <v>-5769</v>
      </c>
      <c r="U259" s="46">
        <f>'Inputs (2)'!P44</f>
        <v>-5772</v>
      </c>
      <c r="V259" s="46">
        <f>'Inputs (2)'!Q44</f>
        <v>-5773</v>
      </c>
      <c r="W259" s="12">
        <f>'Inputs (2)'!R44</f>
        <v>-5773</v>
      </c>
      <c r="X259" s="46">
        <f>'Inputs (2)'!S44</f>
        <v>-5817</v>
      </c>
      <c r="Y259" s="46">
        <f>'Inputs (2)'!T44</f>
        <v>-5835</v>
      </c>
      <c r="Z259" s="46">
        <f>'Inputs (2)'!U44</f>
        <v>-5894</v>
      </c>
      <c r="AA259" s="46">
        <f>'Inputs (2)'!V44</f>
        <v>-5894</v>
      </c>
      <c r="AB259" s="12">
        <f>'Inputs (2)'!W44</f>
        <v>-5894</v>
      </c>
      <c r="AC259" s="46">
        <f>'Inputs (2)'!X44</f>
        <v>-5971</v>
      </c>
      <c r="AD259" s="46">
        <f>'Inputs (2)'!Y44</f>
        <v>-6024</v>
      </c>
      <c r="AE259" s="46">
        <f>'Inputs (2)'!Z44</f>
        <v>-6024</v>
      </c>
      <c r="AF259" s="46">
        <f>'Inputs (2)'!AA44</f>
        <v>-6024</v>
      </c>
      <c r="AG259" s="12">
        <f>'Inputs (2)'!AB44</f>
        <v>-6024</v>
      </c>
      <c r="AH259" s="12">
        <f>'Inputs (2)'!AC44</f>
        <v>-6117</v>
      </c>
      <c r="AI259" s="12">
        <f>'Inputs (2)'!AD44</f>
        <v>-6227</v>
      </c>
      <c r="AJ259" s="12">
        <f>AI259</f>
        <v>-6227</v>
      </c>
      <c r="AK259" s="12">
        <f>AJ259</f>
        <v>-6227</v>
      </c>
      <c r="AL259" s="12">
        <f>AK259</f>
        <v>-6227</v>
      </c>
      <c r="AM259" s="12">
        <f>AL259</f>
        <v>-6227</v>
      </c>
      <c r="AN259" s="12">
        <f>AM259</f>
        <v>-6227</v>
      </c>
      <c r="AO259" s="12">
        <f>AN259</f>
        <v>-6227</v>
      </c>
      <c r="AP259" s="12">
        <f>AO259</f>
        <v>-6227</v>
      </c>
      <c r="AQ259" s="12">
        <f>AP259</f>
        <v>-6227</v>
      </c>
      <c r="AR259" s="12">
        <f>AQ259</f>
        <v>-6227</v>
      </c>
      <c r="AS259" s="12">
        <f>AR259</f>
        <v>-6227</v>
      </c>
      <c r="AT259" s="12">
        <f>AS259</f>
        <v>-6227</v>
      </c>
      <c r="AU259" s="12">
        <f>AT259</f>
        <v>-6227</v>
      </c>
      <c r="AV259" s="12">
        <f>AU259</f>
        <v>-6227</v>
      </c>
      <c r="AW259" s="12">
        <f>AV259</f>
        <v>-6227</v>
      </c>
      <c r="AX259" s="12">
        <f>AW259</f>
        <v>-6227</v>
      </c>
      <c r="AY259" s="12">
        <f>AX259</f>
        <v>-6227</v>
      </c>
      <c r="AZ259" s="12">
        <f>AY259</f>
        <v>-6227</v>
      </c>
      <c r="BA259" s="12">
        <f>AZ259</f>
        <v>-6227</v>
      </c>
      <c r="BB259" s="12">
        <f>BA259</f>
        <v>-6227</v>
      </c>
      <c r="BC259" s="12">
        <f>BB259</f>
        <v>-6227</v>
      </c>
      <c r="BD259" s="12">
        <f>BC259</f>
        <v>-6227</v>
      </c>
      <c r="BE259" s="12">
        <f>BD259</f>
        <v>-6227</v>
      </c>
      <c r="BF259" s="12">
        <f>BE259</f>
        <v>-6227</v>
      </c>
      <c r="BG259" s="12" t="n"/>
      <c r="BH259" s="12" t="n"/>
      <c r="BI259" s="12" t="n"/>
      <c r="BJ259" s="12" t="n"/>
      <c r="BK259" s="12" t="n"/>
      <c r="BL259" s="12" t="n"/>
      <c r="BM259" s="12" t="n"/>
      <c r="BN259" s="12" t="n"/>
      <c r="BO259" s="12" t="n"/>
      <c r="BP259" s="12" t="n"/>
      <c r="BQ259" s="12" t="n"/>
      <c r="BR259" s="12" t="n"/>
      <c r="BS259" s="12" t="n"/>
      <c r="BT259" s="12" t="n"/>
      <c r="BU259" s="12" t="n"/>
      <c r="BV259" s="12" t="n"/>
      <c r="BW259" s="12" t="n"/>
      <c r="BX259" s="12" t="n"/>
      <c r="BY259" s="12" t="n"/>
      <c r="BZ259" s="12" t="n"/>
      <c r="CA259" s="12" t="n"/>
      <c r="CB259" s="12" t="n"/>
      <c r="CC259" s="12" t="n"/>
      <c r="CD259" s="12" t="n"/>
      <c r="CE259" s="12" t="n"/>
      <c r="CF259" s="12" t="n"/>
      <c r="CG259" s="12" t="n"/>
      <c r="CH259" s="12" t="n"/>
      <c r="CI259" s="12" t="n"/>
      <c r="CJ259" s="12" t="n"/>
      <c r="CK259" s="12" t="n"/>
      <c r="CL259" s="12" t="n"/>
      <c r="CM259" s="12" t="n"/>
      <c r="CN259" s="12" t="n"/>
      <c r="CO259" s="12" t="n"/>
      <c r="CP259" s="12" t="n"/>
      <c r="CQ259" s="12" t="n"/>
      <c r="CR259" s="12" t="n"/>
      <c r="CS259" s="12" t="n"/>
      <c r="CT259" s="12" t="n"/>
      <c r="CU259" s="12" t="n"/>
      <c r="CV259" s="12" t="n"/>
      <c r="CW259" s="12" t="n"/>
      <c r="CX259" s="12" t="n"/>
      <c r="CY259" s="12" t="n"/>
    </row>
    <row r="260">
      <c r="C260" s="14" t="inlineStr">
        <is>
          <t>Comprehensive (accumulated) loss</t>
        </is>
      </c>
      <c r="D260" s="46" t="n"/>
      <c r="E260" s="46" t="n"/>
      <c r="F260" s="46" t="n"/>
      <c r="G260" s="46" t="n"/>
      <c r="H260" s="12" t="n"/>
      <c r="I260" s="46">
        <f>'Inputs (2)'!D45</f>
        <v>-580</v>
      </c>
      <c r="J260" s="46">
        <f>'Inputs (2)'!E45</f>
        <v>-576</v>
      </c>
      <c r="K260" s="46">
        <f>'Inputs (2)'!F45</f>
        <v>-572</v>
      </c>
      <c r="L260" s="46">
        <f>'Inputs (2)'!G45</f>
        <v>-388</v>
      </c>
      <c r="M260" s="12">
        <f>'Inputs (2)'!H45</f>
        <v>-388</v>
      </c>
      <c r="N260" s="46">
        <f>'Inputs (2)'!I45</f>
        <v>-387</v>
      </c>
      <c r="O260" s="46">
        <f>'Inputs (2)'!J45</f>
        <v>-386</v>
      </c>
      <c r="P260" s="46">
        <f>'Inputs (2)'!K45</f>
        <v>-385</v>
      </c>
      <c r="Q260" s="46">
        <f>'Inputs (2)'!L45</f>
        <v>-320</v>
      </c>
      <c r="R260" s="12">
        <f>'Inputs (2)'!M45</f>
        <v>-320</v>
      </c>
      <c r="S260" s="46">
        <f>'Inputs (2)'!N45</f>
        <v>-319</v>
      </c>
      <c r="T260" s="46">
        <f>'Inputs (2)'!O45</f>
        <v>-318</v>
      </c>
      <c r="U260" s="46">
        <f>'Inputs (2)'!P45</f>
        <v>-317</v>
      </c>
      <c r="V260" s="46">
        <f>'Inputs (2)'!Q45</f>
        <v>-274</v>
      </c>
      <c r="W260" s="12">
        <f>'Inputs (2)'!R45</f>
        <v>-274</v>
      </c>
      <c r="X260" s="46">
        <f>'Inputs (2)'!S45</f>
        <v>-274</v>
      </c>
      <c r="Y260" s="46">
        <f>'Inputs (2)'!T45</f>
        <v>-274</v>
      </c>
      <c r="Z260" s="46">
        <f>'Inputs (2)'!U45</f>
        <v>-273</v>
      </c>
      <c r="AA260" s="46">
        <f>'Inputs (2)'!V45</f>
        <v>-314</v>
      </c>
      <c r="AB260" s="12">
        <f>'Inputs (2)'!W45</f>
        <v>-314</v>
      </c>
      <c r="AC260" s="46">
        <f>'Inputs (2)'!X45</f>
        <v>-313</v>
      </c>
      <c r="AD260" s="46">
        <f>'Inputs (2)'!Y45</f>
        <v>-311</v>
      </c>
      <c r="AE260" s="46">
        <f>'Inputs (2)'!Z45</f>
        <v>-310</v>
      </c>
      <c r="AF260" s="46">
        <f>'Inputs (2)'!AA45</f>
        <v>-305</v>
      </c>
      <c r="AG260" s="12">
        <f>'Inputs (2)'!AB45</f>
        <v>-305</v>
      </c>
      <c r="AH260" s="12">
        <f>'Inputs (2)'!AC45</f>
        <v>-304</v>
      </c>
      <c r="AI260" s="12">
        <f>'Inputs (2)'!AD45</f>
        <v>-303</v>
      </c>
      <c r="AJ260" s="12">
        <f>AI260</f>
        <v>-303</v>
      </c>
      <c r="AK260" s="12">
        <f>AJ260</f>
        <v>-303</v>
      </c>
      <c r="AL260" s="12">
        <f>AK260</f>
        <v>-303</v>
      </c>
      <c r="AM260" s="12">
        <f>AL260</f>
        <v>-303</v>
      </c>
      <c r="AN260" s="12">
        <f>AM260</f>
        <v>-303</v>
      </c>
      <c r="AO260" s="12">
        <f>AN260</f>
        <v>-303</v>
      </c>
      <c r="AP260" s="12">
        <f>AO260</f>
        <v>-303</v>
      </c>
      <c r="AQ260" s="12">
        <f>AP260</f>
        <v>-303</v>
      </c>
      <c r="AR260" s="12">
        <f>AQ260</f>
        <v>-303</v>
      </c>
      <c r="AS260" s="12">
        <f>AR260</f>
        <v>-303</v>
      </c>
      <c r="AT260" s="12">
        <f>AS260</f>
        <v>-303</v>
      </c>
      <c r="AU260" s="12">
        <f>AT260</f>
        <v>-303</v>
      </c>
      <c r="AV260" s="12">
        <f>AU260</f>
        <v>-303</v>
      </c>
      <c r="AW260" s="12">
        <f>AV260</f>
        <v>-303</v>
      </c>
      <c r="AX260" s="12">
        <f>AW260</f>
        <v>-303</v>
      </c>
      <c r="AY260" s="12">
        <f>AX260</f>
        <v>-303</v>
      </c>
      <c r="AZ260" s="12">
        <f>AY260</f>
        <v>-303</v>
      </c>
      <c r="BA260" s="12">
        <f>AZ260</f>
        <v>-303</v>
      </c>
      <c r="BB260" s="12">
        <f>BA260</f>
        <v>-303</v>
      </c>
      <c r="BC260" s="12">
        <f>BB260</f>
        <v>-303</v>
      </c>
      <c r="BD260" s="12">
        <f>BC260</f>
        <v>-303</v>
      </c>
      <c r="BE260" s="12">
        <f>BD260</f>
        <v>-303</v>
      </c>
      <c r="BF260" s="12">
        <f>BE260</f>
        <v>-303</v>
      </c>
      <c r="BG260" s="12" t="n"/>
      <c r="BH260" s="12" t="n"/>
      <c r="BI260" s="12" t="n"/>
      <c r="BJ260" s="12" t="n"/>
      <c r="BK260" s="12" t="n"/>
      <c r="BL260" s="12" t="n"/>
      <c r="BM260" s="12" t="n"/>
      <c r="BN260" s="12" t="n"/>
      <c r="BO260" s="12" t="n"/>
      <c r="BP260" s="12" t="n"/>
      <c r="BQ260" s="12" t="n"/>
      <c r="BR260" s="12" t="n"/>
      <c r="BS260" s="12" t="n"/>
      <c r="BT260" s="12" t="n"/>
      <c r="BU260" s="12" t="n"/>
      <c r="BV260" s="12" t="n"/>
      <c r="BW260" s="12" t="n"/>
      <c r="BX260" s="12" t="n"/>
      <c r="BY260" s="12" t="n"/>
      <c r="BZ260" s="12" t="n"/>
      <c r="CA260" s="12" t="n"/>
      <c r="CB260" s="12" t="n"/>
      <c r="CC260" s="12" t="n"/>
      <c r="CD260" s="12" t="n"/>
      <c r="CE260" s="12" t="n"/>
      <c r="CF260" s="12" t="n"/>
      <c r="CG260" s="12" t="n"/>
      <c r="CH260" s="12" t="n"/>
      <c r="CI260" s="12" t="n"/>
      <c r="CJ260" s="12" t="n"/>
      <c r="CK260" s="12" t="n"/>
      <c r="CL260" s="12" t="n"/>
      <c r="CM260" s="12" t="n"/>
      <c r="CN260" s="12" t="n"/>
      <c r="CO260" s="12" t="n"/>
      <c r="CP260" s="12" t="n"/>
      <c r="CQ260" s="12" t="n"/>
      <c r="CR260" s="12" t="n"/>
      <c r="CS260" s="12" t="n"/>
      <c r="CT260" s="12" t="n"/>
      <c r="CU260" s="12" t="n"/>
      <c r="CV260" s="12" t="n"/>
      <c r="CW260" s="12" t="n"/>
      <c r="CX260" s="12" t="n"/>
      <c r="CY260" s="12" t="n"/>
    </row>
    <row r="261">
      <c r="C261" s="14" t="inlineStr">
        <is>
          <t>Other equity account</t>
        </is>
      </c>
      <c r="D261" s="46" t="n"/>
      <c r="E261" s="46" t="n"/>
      <c r="F261" s="46" t="n"/>
      <c r="G261" s="46" t="n"/>
      <c r="H261" s="12" t="n"/>
      <c r="I261" s="46">
        <f>'Inputs (2)'!D46</f>
        <v>0</v>
      </c>
      <c r="J261" s="46">
        <f>'Inputs (2)'!E46</f>
        <v>0</v>
      </c>
      <c r="K261" s="46">
        <f>'Inputs (2)'!F46</f>
        <v>0</v>
      </c>
      <c r="L261" s="46">
        <f>'Inputs (2)'!G46</f>
        <v>0</v>
      </c>
      <c r="M261" s="12">
        <f>'Inputs (2)'!H46</f>
        <v>0</v>
      </c>
      <c r="N261" s="46">
        <f>'Inputs (2)'!I46</f>
        <v>0</v>
      </c>
      <c r="O261" s="46">
        <f>'Inputs (2)'!J46</f>
        <v>0</v>
      </c>
      <c r="P261" s="46">
        <f>'Inputs (2)'!K46</f>
        <v>0</v>
      </c>
      <c r="Q261" s="46">
        <f>'Inputs (2)'!L46</f>
        <v>0</v>
      </c>
      <c r="R261" s="12">
        <f>'Inputs (2)'!M46</f>
        <v>0</v>
      </c>
      <c r="S261" s="46">
        <f>'Inputs (2)'!N46</f>
        <v>0</v>
      </c>
      <c r="T261" s="46">
        <f>'Inputs (2)'!O46</f>
        <v>0</v>
      </c>
      <c r="U261" s="46">
        <f>'Inputs (2)'!P46</f>
        <v>0</v>
      </c>
      <c r="V261" s="46">
        <f>'Inputs (2)'!Q46</f>
        <v>0</v>
      </c>
      <c r="W261" s="12">
        <f>'Inputs (2)'!R46</f>
        <v>0</v>
      </c>
      <c r="X261" s="46">
        <f>'Inputs (2)'!S46</f>
        <v>0</v>
      </c>
      <c r="Y261" s="46">
        <f>'Inputs (2)'!T46</f>
        <v>0</v>
      </c>
      <c r="Z261" s="46">
        <f>'Inputs (2)'!U46</f>
        <v>0</v>
      </c>
      <c r="AA261" s="46">
        <f>'Inputs (2)'!V46</f>
        <v>0</v>
      </c>
      <c r="AB261" s="12">
        <f>'Inputs (2)'!W46</f>
        <v>0</v>
      </c>
      <c r="AC261" s="46">
        <f>'Inputs (2)'!X46</f>
        <v>0</v>
      </c>
      <c r="AD261" s="46">
        <f>'Inputs (2)'!Y46</f>
        <v>0</v>
      </c>
      <c r="AE261" s="46">
        <f>'Inputs (2)'!Z46</f>
        <v>0</v>
      </c>
      <c r="AF261" s="46">
        <f>'Inputs (2)'!AA46</f>
        <v>0</v>
      </c>
      <c r="AG261" s="12">
        <f>'Inputs (2)'!AB46</f>
        <v>0</v>
      </c>
      <c r="AH261" s="12">
        <f>'Inputs (2)'!AC46</f>
        <v>0</v>
      </c>
      <c r="AI261" s="12">
        <f>'Inputs (2)'!AD46</f>
        <v>0</v>
      </c>
      <c r="AJ261" s="12">
        <f>AI261</f>
        <v>0</v>
      </c>
      <c r="AK261" s="12">
        <f>AJ261</f>
        <v>0</v>
      </c>
      <c r="AL261" s="12">
        <f>AK261</f>
        <v>0</v>
      </c>
      <c r="AM261" s="12">
        <f>AL261</f>
        <v>0</v>
      </c>
      <c r="AN261" s="12">
        <f>AM261</f>
        <v>0</v>
      </c>
      <c r="AO261" s="12">
        <f>AN261</f>
        <v>0</v>
      </c>
      <c r="AP261" s="12">
        <f>AO261</f>
        <v>0</v>
      </c>
      <c r="AQ261" s="12">
        <f>AP261</f>
        <v>0</v>
      </c>
      <c r="AR261" s="12">
        <f>AQ261</f>
        <v>0</v>
      </c>
      <c r="AS261" s="12">
        <f>AR261</f>
        <v>0</v>
      </c>
      <c r="AT261" s="12">
        <f>AS261</f>
        <v>0</v>
      </c>
      <c r="AU261" s="12">
        <f>AT261</f>
        <v>0</v>
      </c>
      <c r="AV261" s="12">
        <f>AU261</f>
        <v>0</v>
      </c>
      <c r="AW261" s="12">
        <f>AV261</f>
        <v>0</v>
      </c>
      <c r="AX261" s="12">
        <f>AW261</f>
        <v>0</v>
      </c>
      <c r="AY261" s="12">
        <f>AX261</f>
        <v>0</v>
      </c>
      <c r="AZ261" s="12">
        <f>AY261</f>
        <v>0</v>
      </c>
      <c r="BA261" s="12">
        <f>AZ261</f>
        <v>0</v>
      </c>
      <c r="BB261" s="12">
        <f>BA261</f>
        <v>0</v>
      </c>
      <c r="BC261" s="12">
        <f>BB261</f>
        <v>0</v>
      </c>
      <c r="BD261" s="12">
        <f>BC261</f>
        <v>0</v>
      </c>
      <c r="BE261" s="12">
        <f>BD261</f>
        <v>0</v>
      </c>
      <c r="BF261" s="12">
        <f>BE261</f>
        <v>0</v>
      </c>
      <c r="BG261" s="12" t="n"/>
      <c r="BH261" s="12" t="n"/>
      <c r="BI261" s="12" t="n"/>
      <c r="BJ261" s="12" t="n"/>
      <c r="BK261" s="12" t="n"/>
      <c r="BL261" s="12" t="n"/>
      <c r="BM261" s="12" t="n"/>
      <c r="BN261" s="12" t="n"/>
      <c r="BO261" s="12" t="n"/>
      <c r="BP261" s="12" t="n"/>
      <c r="BQ261" s="12" t="n"/>
      <c r="BR261" s="12" t="n"/>
      <c r="BS261" s="12" t="n"/>
      <c r="BT261" s="12" t="n"/>
      <c r="BU261" s="12" t="n"/>
      <c r="BV261" s="12" t="n"/>
      <c r="BW261" s="12" t="n"/>
      <c r="BX261" s="12" t="n"/>
      <c r="BY261" s="12" t="n"/>
      <c r="BZ261" s="12" t="n"/>
      <c r="CA261" s="12" t="n"/>
      <c r="CB261" s="12" t="n"/>
      <c r="CC261" s="12" t="n"/>
      <c r="CD261" s="12" t="n"/>
      <c r="CE261" s="12" t="n"/>
      <c r="CF261" s="12" t="n"/>
      <c r="CG261" s="12" t="n"/>
      <c r="CH261" s="12" t="n"/>
      <c r="CI261" s="12" t="n"/>
      <c r="CJ261" s="12" t="n"/>
      <c r="CK261" s="12" t="n"/>
      <c r="CL261" s="12" t="n"/>
      <c r="CM261" s="12" t="n"/>
      <c r="CN261" s="12" t="n"/>
      <c r="CO261" s="12" t="n"/>
      <c r="CP261" s="12" t="n"/>
      <c r="CQ261" s="12" t="n"/>
      <c r="CR261" s="12" t="n"/>
      <c r="CS261" s="12" t="n"/>
      <c r="CT261" s="12" t="n"/>
      <c r="CU261" s="12" t="n"/>
      <c r="CV261" s="12" t="n"/>
      <c r="CW261" s="12" t="n"/>
      <c r="CX261" s="12" t="n"/>
      <c r="CY261" s="12" t="n"/>
    </row>
    <row r="262">
      <c r="C262" s="15" t="inlineStr">
        <is>
          <t>Retained earnings</t>
        </is>
      </c>
      <c r="D262" s="46" t="n"/>
      <c r="E262" s="46" t="n"/>
      <c r="F262" s="46" t="n"/>
      <c r="G262" s="46" t="n"/>
      <c r="H262" s="12" t="n"/>
      <c r="I262" s="46">
        <f>'Inputs (2)'!D47</f>
        <v>-10963</v>
      </c>
      <c r="J262" s="46">
        <f>'Inputs (2)'!E47</f>
        <v>-9880</v>
      </c>
      <c r="K262" s="46">
        <f>'Inputs (2)'!F47</f>
        <v>-8481</v>
      </c>
      <c r="L262" s="46">
        <f>'Inputs (2)'!G47</f>
        <v>-7375</v>
      </c>
      <c r="M262" s="12">
        <f>'Inputs (2)'!H47</f>
        <v>-7375</v>
      </c>
      <c r="N262" s="46">
        <f>'Inputs (2)'!I47</f>
        <v>-5848</v>
      </c>
      <c r="O262" s="46">
        <f>'Inputs (2)'!J47</f>
        <v>-5008</v>
      </c>
      <c r="P262" s="46">
        <f>'Inputs (2)'!K47</f>
        <v>-4604</v>
      </c>
      <c r="Q262" s="46">
        <f>'Inputs (2)'!L47</f>
        <v>-3907</v>
      </c>
      <c r="R262" s="12">
        <f>'Inputs (2)'!M47</f>
        <v>-3907</v>
      </c>
      <c r="S262" s="46">
        <f>'Inputs (2)'!N47</f>
        <v>-3244</v>
      </c>
      <c r="T262" s="46">
        <f>'Inputs (2)'!O47</f>
        <v>-2901</v>
      </c>
      <c r="U262" s="46">
        <f>'Inputs (2)'!P47</f>
        <v>-2447</v>
      </c>
      <c r="V262" s="46">
        <f>'Inputs (2)'!Q47</f>
        <v>-2059</v>
      </c>
      <c r="W262" s="12">
        <f>'Inputs (2)'!R47</f>
        <v>-2059</v>
      </c>
      <c r="X262" s="46">
        <f>'Inputs (2)'!S47</f>
        <v>-1586</v>
      </c>
      <c r="Y262" s="46">
        <f>'Inputs (2)'!T47</f>
        <v>-970</v>
      </c>
      <c r="Z262" s="46">
        <f>'Inputs (2)'!U47</f>
        <v>-444</v>
      </c>
      <c r="AA262" s="46">
        <f>'Inputs (2)'!V47</f>
        <v>-170</v>
      </c>
      <c r="AB262" s="12">
        <f>'Inputs (2)'!W47</f>
        <v>-170</v>
      </c>
      <c r="AC262" s="46">
        <f>'Inputs (2)'!X47</f>
        <v>182</v>
      </c>
      <c r="AD262" s="46">
        <f>'Inputs (2)'!Y47</f>
        <v>738</v>
      </c>
      <c r="AE262" s="46">
        <f>'Inputs (2)'!Z47</f>
        <v>1196</v>
      </c>
      <c r="AF262" s="46">
        <f>'Inputs (2)'!AA47</f>
        <v>1385</v>
      </c>
      <c r="AG262" s="12">
        <f>'Inputs (2)'!AB47</f>
        <v>1385</v>
      </c>
      <c r="AH262" s="12">
        <f>'Inputs (2)'!AC47</f>
        <v>2050</v>
      </c>
      <c r="AI262" s="12">
        <f>'Inputs (2)'!AD47</f>
        <v>2817</v>
      </c>
      <c r="AJ262" s="12">
        <f>AI262+AJ129+AJ130</f>
        <v>4049.12077522612</v>
      </c>
      <c r="AK262" s="12">
        <f>AJ262+AK129+AK130</f>
        <v>5044.60791332835</v>
      </c>
      <c r="AL262" s="12">
        <f>AK262</f>
        <v>5044.60791332835</v>
      </c>
      <c r="AM262" s="12">
        <f>AL262+AM129+AM130</f>
        <v>6146.30626570352</v>
      </c>
      <c r="AN262" s="12">
        <f>AM262+AN129+AN130</f>
        <v>7388.5003174913</v>
      </c>
      <c r="AO262" s="12">
        <f>AN262+AO129+AO130</f>
        <v>8636.59918471781</v>
      </c>
      <c r="AP262" s="12">
        <f>AO262+AP129+AP130</f>
        <v>9644.99575945776</v>
      </c>
      <c r="AQ262" s="12">
        <f>AP262</f>
        <v>9644.99575945776</v>
      </c>
      <c r="AR262" s="12">
        <f>AQ262+AR129+AR130</f>
        <v>10755.472399407</v>
      </c>
      <c r="AS262" s="12">
        <f>AR262+AS129+AS130</f>
        <v>12007.5642027762</v>
      </c>
      <c r="AT262" s="12">
        <f>AS262+AT129+AT130</f>
        <v>13265.6078709128</v>
      </c>
      <c r="AU262" s="12">
        <f>AT262+AU129+AU130</f>
        <v>14282.039308465</v>
      </c>
      <c r="AV262" s="12">
        <f>AU262</f>
        <v>14282.039308465</v>
      </c>
      <c r="AW262" s="12">
        <f>AV262+AW129+AW130</f>
        <v>15395.8117978263</v>
      </c>
      <c r="AX262" s="12">
        <f>AW262+AX129+AX130</f>
        <v>16651.6197586412</v>
      </c>
      <c r="AY262" s="12">
        <f>AX262+AY129+AY130</f>
        <v>17913.3972491157</v>
      </c>
      <c r="AZ262" s="12">
        <f>AY262+AZ129+AZ130</f>
        <v>18932.8454137518</v>
      </c>
      <c r="BA262" s="12">
        <f>AZ262</f>
        <v>18932.8454137518</v>
      </c>
      <c r="BB262" s="12">
        <f>BA262+BB129+BB130</f>
        <v>20046.6179031131</v>
      </c>
      <c r="BC262" s="12">
        <f>BB262+BC129+BC130</f>
        <v>21302.425863928</v>
      </c>
      <c r="BD262" s="12">
        <f>BC262+BD129+BD130</f>
        <v>22564.2033544025</v>
      </c>
      <c r="BE262" s="12">
        <f>BD262+BE129+BE130</f>
        <v>23583.6515190386</v>
      </c>
      <c r="BF262" s="12">
        <f>BE262</f>
        <v>23583.6515190386</v>
      </c>
      <c r="BG262" s="12" t="n"/>
      <c r="BH262" s="12" t="n"/>
      <c r="BI262" s="12" t="n"/>
      <c r="BJ262" s="12" t="n"/>
      <c r="BK262" s="12" t="n"/>
      <c r="BL262" s="12" t="n"/>
      <c r="BM262" s="12" t="n"/>
      <c r="BN262" s="12" t="n"/>
      <c r="BO262" s="12" t="n"/>
      <c r="BP262" s="12" t="n"/>
      <c r="BQ262" s="12" t="n"/>
      <c r="BR262" s="12" t="n"/>
      <c r="BS262" s="12" t="n"/>
      <c r="BT262" s="12" t="n"/>
      <c r="BU262" s="12" t="n"/>
      <c r="BV262" s="12" t="n"/>
      <c r="BW262" s="12" t="n"/>
      <c r="BX262" s="12" t="n"/>
      <c r="BY262" s="12" t="n"/>
      <c r="BZ262" s="12" t="n"/>
      <c r="CA262" s="12" t="n"/>
      <c r="CB262" s="12" t="n"/>
      <c r="CC262" s="12" t="n"/>
      <c r="CD262" s="12" t="n"/>
      <c r="CE262" s="12" t="n"/>
      <c r="CF262" s="12" t="n"/>
      <c r="CG262" s="12" t="n"/>
      <c r="CH262" s="12" t="n"/>
      <c r="CI262" s="12" t="n"/>
      <c r="CJ262" s="12" t="n"/>
      <c r="CK262" s="12" t="n"/>
      <c r="CL262" s="12" t="n"/>
      <c r="CM262" s="12" t="n"/>
      <c r="CN262" s="12" t="n"/>
      <c r="CO262" s="12" t="n"/>
      <c r="CP262" s="12" t="n"/>
      <c r="CQ262" s="12" t="n"/>
      <c r="CR262" s="12" t="n"/>
      <c r="CS262" s="12" t="n"/>
      <c r="CT262" s="12" t="n"/>
      <c r="CU262" s="12" t="n"/>
      <c r="CV262" s="12" t="n"/>
      <c r="CW262" s="12" t="n"/>
      <c r="CX262" s="12" t="n"/>
      <c r="CY262" s="12" t="n"/>
    </row>
    <row r="263" customFormat="1" s="32">
      <c r="A263" s="30" t="inlineStr">
        <is>
          <t xml:space="preserve"> </t>
        </is>
      </c>
      <c r="B263" s="30" t="n"/>
      <c r="C263" s="65" t="inlineStr">
        <is>
          <t>Total Shareholders' Equity</t>
        </is>
      </c>
      <c r="D263" s="35" t="n"/>
      <c r="E263" s="35" t="n"/>
      <c r="F263" s="35" t="n"/>
      <c r="G263" s="35" t="n"/>
      <c r="H263" s="35" t="n"/>
      <c r="I263" s="35">
        <f>SUM(I240+I245+I246+I259+I260+I261+I262)</f>
        <v>19573</v>
      </c>
      <c r="J263" s="35">
        <f>SUM(J240+J245+J246+J259+J260+J261+J262)</f>
        <v>20935</v>
      </c>
      <c r="K263" s="35">
        <f>SUM(K240+K245+K246+K259+K260+K261+K262)</f>
        <v>22531</v>
      </c>
      <c r="L263" s="35">
        <f>SUM(L240+L245+L246+L259+L260+L261+L262)</f>
        <v>23019</v>
      </c>
      <c r="M263" s="35">
        <f>SUM(M240,M245,M246,M259,M260,M261,M262)</f>
        <v>23019</v>
      </c>
      <c r="N263" s="35">
        <f>SUM(N240+N245+N246+N259+N260+N261+N262)</f>
        <v>24042</v>
      </c>
      <c r="O263" s="35">
        <f>SUM(O240+O245+O246+O259+O260+O261+O262)</f>
        <v>24047</v>
      </c>
      <c r="P263" s="35">
        <f>SUM(P240+P245+P246+P259+P260+P261+P262)</f>
        <v>24181</v>
      </c>
      <c r="Q263" s="35">
        <f>SUM(Q240+Q245+Q246+Q259+Q260+Q261+Q262)</f>
        <v>24871</v>
      </c>
      <c r="R263" s="35">
        <f>SUM(R240,R245,R246,R259,R260,R261,R262)</f>
        <v>24871</v>
      </c>
      <c r="S263" s="35">
        <f>SUM(S240+S245+S246+S259+S260+S261+S262)</f>
        <v>25648</v>
      </c>
      <c r="T263" s="35">
        <f>SUM(T240+T245+T246+T259+T260+T261+T262)</f>
        <v>26027</v>
      </c>
      <c r="U263" s="35">
        <f>SUM(U240+U245+U246+U259+U260+U261+U262)</f>
        <v>26677</v>
      </c>
      <c r="V263" s="35">
        <f>SUM(V240+V245+V246+V259+V260+V261+V262)</f>
        <v>27310</v>
      </c>
      <c r="W263" s="35">
        <f>SUM(W240,W245,W246,W259,W260,W261,W262)</f>
        <v>27310</v>
      </c>
      <c r="X263" s="35">
        <f>SUM(X240+X245+X246+X259+X260+X261+X262)</f>
        <v>28105</v>
      </c>
      <c r="Y263" s="35">
        <f>SUM(Y240+Y245+Y246+Y259+Y260+Y261+Y262)</f>
        <v>28686</v>
      </c>
      <c r="Z263" s="35">
        <f>SUM(Z240+Z245+Z246+Z259+Z260+Z261+Z262)</f>
        <v>28866</v>
      </c>
      <c r="AA263" s="35">
        <f>SUM(AA240+AA245+AA246+AA259+AA260+AA261+AA262)</f>
        <v>28778</v>
      </c>
      <c r="AB263" s="35">
        <f>SUM(AB240,AB245,AB246,AB259,AB260,AB261,AB262)</f>
        <v>28778</v>
      </c>
      <c r="AC263" s="35">
        <f>SUM(AC240+AC245+AC246+AC259+AC260+AC261+AC262)</f>
        <v>29214</v>
      </c>
      <c r="AD263" s="35">
        <f>SUM(AD240+AD245+AD246+AD259+AD260+AD261+AD262)</f>
        <v>29996</v>
      </c>
      <c r="AE263" s="35">
        <f>SUM(AE240+AE245+AE246+AE259+AE260+AE261+AE262)</f>
        <v>30397</v>
      </c>
      <c r="AF263" s="35">
        <f>SUM(AF240+AF245+AF246+AF259+AF260+AF261+AF262)</f>
        <v>30766</v>
      </c>
      <c r="AG263" s="35">
        <f>SUM(AG240,AG245,AG246,AG259,AG260,AG261,AG262)</f>
        <v>30766</v>
      </c>
      <c r="AH263" s="35">
        <f>SUM(AH240+AH245+AH246+AH259+AH260+AH261+AH262)</f>
        <v>31511</v>
      </c>
      <c r="AI263" s="35">
        <f>SUM(AI240+AI245+AI246+AI259+AI260+AI261+AI262)</f>
        <v>32222</v>
      </c>
      <c r="AJ263" s="35">
        <f>SUM(AJ240+AJ245+AJ246+AJ259+AJ260+AJ261+AJ262)</f>
        <v>33454.1207752261</v>
      </c>
      <c r="AK263" s="35">
        <f>SUM(AK240+AK245+AK246+AK259+AK260+AK261+AK262)</f>
        <v>34449.6079133284</v>
      </c>
      <c r="AL263" s="35">
        <f>SUM(AL240,AL245,AL246,AL259,AL260,AL261,AL262)</f>
        <v>34449.6079133284</v>
      </c>
      <c r="AM263" s="35">
        <f>SUM(AM240+AM245+AM246+AM259+AM260+AM261+AM262)</f>
        <v>35551.3062657035</v>
      </c>
      <c r="AN263" s="35">
        <f>SUM(AN240+AN245+AN246+AN259+AN260+AN261+AN262)</f>
        <v>36793.5003174913</v>
      </c>
      <c r="AO263" s="35">
        <f>SUM(AO240+AO245+AO246+AO259+AO260+AO261+AO262)</f>
        <v>38041.5991847178</v>
      </c>
      <c r="AP263" s="35">
        <f>SUM(AP240+AP245+AP246+AP259+AP260+AP261+AP262)</f>
        <v>39049.9957594578</v>
      </c>
      <c r="AQ263" s="35">
        <f>SUM(AQ240,AQ245,AQ246,AQ259,AQ260,AQ261,AQ262)</f>
        <v>39049.9957594578</v>
      </c>
      <c r="AR263" s="35">
        <f>SUM(AR240+AR245+AR246+AR259+AR260+AR261+AR262)</f>
        <v>40160.472399407</v>
      </c>
      <c r="AS263" s="35">
        <f>SUM(AS240+AS245+AS246+AS259+AS260+AS261+AS262)</f>
        <v>41412.5642027762</v>
      </c>
      <c r="AT263" s="35">
        <f>SUM(AT240+AT245+AT246+AT259+AT260+AT261+AT262)</f>
        <v>42670.6078709129</v>
      </c>
      <c r="AU263" s="35">
        <f>SUM(AU240+AU245+AU246+AU259+AU260+AU261+AU262)</f>
        <v>43687.039308465</v>
      </c>
      <c r="AV263" s="35">
        <f>SUM(AV240,AV245,AV246,AV259,AV260,AV261,AV262)</f>
        <v>43687.039308465</v>
      </c>
      <c r="AW263" s="35">
        <f>SUM(AW240+AW245+AW246+AW259+AW260+AW261+AW262)</f>
        <v>44800.8117978263</v>
      </c>
      <c r="AX263" s="35">
        <f>SUM(AX240+AX245+AX246+AX259+AX260+AX261+AX262)</f>
        <v>46056.6197586412</v>
      </c>
      <c r="AY263" s="35">
        <f>SUM(AY240+AY245+AY246+AY259+AY260+AY261+AY262)</f>
        <v>47318.3972491157</v>
      </c>
      <c r="AZ263" s="35">
        <f>SUM(AZ240+AZ245+AZ246+AZ259+AZ260+AZ261+AZ262)</f>
        <v>48337.8454137518</v>
      </c>
      <c r="BA263" s="35">
        <f>SUM(BA240,BA245,BA246,BA259,BA260,BA261,BA262)</f>
        <v>48337.8454137518</v>
      </c>
      <c r="BB263" s="35">
        <f>SUM(BB240+BB245+BB246+BB259+BB260+BB261+BB262)</f>
        <v>49451.6179031131</v>
      </c>
      <c r="BC263" s="35">
        <f>SUM(BC240+BC245+BC246+BC259+BC260+BC261+BC262)</f>
        <v>50707.425863928</v>
      </c>
      <c r="BD263" s="35">
        <f>SUM(BD240+BD245+BD246+BD259+BD260+BD261+BD262)</f>
        <v>51969.2033544026</v>
      </c>
      <c r="BE263" s="35">
        <f>SUM(BE240+BE245+BE246+BE259+BE260+BE261+BE262)</f>
        <v>52988.6515190386</v>
      </c>
      <c r="BF263" s="35">
        <f>SUM(BF240,BF245,BF246,BF259,BF260,BF261,BF262)</f>
        <v>52988.6515190386</v>
      </c>
      <c r="BG263" s="35" t="n"/>
      <c r="BH263" s="35" t="n"/>
      <c r="BI263" s="35" t="n"/>
      <c r="BJ263" s="35" t="n"/>
      <c r="BK263" s="35" t="n"/>
      <c r="BL263" s="35" t="n"/>
      <c r="BM263" s="35" t="n"/>
      <c r="BN263" s="35" t="n"/>
      <c r="BO263" s="35" t="n"/>
      <c r="BP263" s="35" t="n"/>
      <c r="BQ263" s="35" t="n"/>
      <c r="BR263" s="35" t="n"/>
      <c r="BS263" s="35" t="n"/>
      <c r="BT263" s="35" t="n"/>
      <c r="BU263" s="35" t="n"/>
      <c r="BV263" s="35" t="n"/>
      <c r="BW263" s="35" t="n"/>
      <c r="BX263" s="35" t="n"/>
      <c r="BY263" s="35" t="n"/>
      <c r="BZ263" s="35" t="n"/>
      <c r="CA263" s="35" t="n"/>
      <c r="CB263" s="35" t="n"/>
      <c r="CC263" s="35" t="n"/>
      <c r="CD263" s="35" t="n"/>
      <c r="CE263" s="35" t="n"/>
      <c r="CF263" s="35" t="n"/>
      <c r="CG263" s="35" t="n"/>
      <c r="CH263" s="35" t="n"/>
      <c r="CI263" s="35" t="n"/>
      <c r="CJ263" s="35" t="n"/>
      <c r="CK263" s="35" t="n"/>
      <c r="CL263" s="35" t="n"/>
      <c r="CM263" s="35" t="n"/>
      <c r="CN263" s="35" t="n"/>
      <c r="CO263" s="35" t="n"/>
      <c r="CP263" s="35" t="n"/>
      <c r="CQ263" s="35" t="n"/>
      <c r="CR263" s="35" t="n"/>
      <c r="CS263" s="35" t="n"/>
      <c r="CT263" s="35" t="n"/>
      <c r="CU263" s="35" t="n"/>
      <c r="CV263" s="35" t="n"/>
      <c r="CW263" s="35" t="n"/>
      <c r="CX263" s="35" t="n"/>
      <c r="CY263" s="35" t="n"/>
    </row>
    <row r="264">
      <c r="C264" s="10" t="n"/>
      <c r="D264" s="12" t="n"/>
      <c r="E264" s="12" t="n"/>
      <c r="F264" s="12" t="n"/>
      <c r="G264" s="12" t="n"/>
      <c r="H264" s="12" t="n"/>
      <c r="I264" s="12" t="n"/>
      <c r="J264" s="12" t="n"/>
      <c r="K264" s="12" t="n"/>
      <c r="L264" s="12" t="n"/>
      <c r="M264" s="12" t="n"/>
      <c r="N264" s="12" t="n"/>
      <c r="O264" s="12" t="n"/>
      <c r="P264" s="12" t="n"/>
      <c r="Q264" s="12" t="n"/>
      <c r="R264" s="12" t="n"/>
      <c r="S264" s="12" t="n"/>
      <c r="T264" s="12" t="n"/>
      <c r="U264" s="12" t="n"/>
      <c r="V264" s="12" t="n"/>
      <c r="W264" s="12" t="n"/>
      <c r="X264" s="12" t="n"/>
      <c r="Y264" s="12" t="n"/>
      <c r="Z264" s="12" t="n"/>
      <c r="AA264" s="12" t="n"/>
      <c r="AB264" s="12" t="n"/>
      <c r="AC264" s="12" t="n"/>
      <c r="AD264" s="12" t="n"/>
      <c r="AE264" s="12" t="n"/>
      <c r="AF264" s="12" t="n"/>
      <c r="AG264" s="12" t="n"/>
      <c r="AH264" s="12" t="n"/>
      <c r="AI264" s="12" t="n"/>
      <c r="AJ264" s="12" t="n"/>
      <c r="AK264" s="12" t="n"/>
      <c r="AL264" s="12" t="n"/>
      <c r="AM264" s="12" t="n"/>
      <c r="AN264" s="12" t="n"/>
      <c r="AO264" s="12" t="n"/>
      <c r="AP264" s="12" t="n"/>
      <c r="AQ264" s="12" t="n"/>
      <c r="AR264" s="12" t="n"/>
      <c r="AS264" s="12" t="n"/>
      <c r="AT264" s="12" t="n"/>
      <c r="AU264" s="12" t="n"/>
      <c r="AV264" s="12" t="n"/>
      <c r="AW264" s="12" t="n"/>
      <c r="AX264" s="12" t="n"/>
      <c r="AY264" s="12" t="n"/>
      <c r="AZ264" s="12" t="n"/>
      <c r="BA264" s="12" t="n"/>
      <c r="BB264" s="12" t="n"/>
      <c r="BC264" s="12" t="n"/>
      <c r="BD264" s="12" t="n"/>
      <c r="BE264" s="12" t="n"/>
      <c r="BF264" s="12" t="n"/>
      <c r="BG264" s="12" t="n"/>
      <c r="BH264" s="12" t="n"/>
      <c r="BI264" s="12" t="n"/>
      <c r="BJ264" s="12" t="n"/>
      <c r="BK264" s="12" t="n"/>
      <c r="BL264" s="12" t="n"/>
      <c r="BM264" s="12" t="n"/>
      <c r="BN264" s="12" t="n"/>
      <c r="BO264" s="12" t="n"/>
      <c r="BP264" s="12" t="n"/>
      <c r="BQ264" s="12" t="n"/>
      <c r="BR264" s="12" t="n"/>
      <c r="BS264" s="12" t="n"/>
      <c r="BT264" s="12" t="n"/>
      <c r="BU264" s="12" t="n"/>
      <c r="BV264" s="12" t="n"/>
      <c r="BW264" s="12" t="n"/>
      <c r="BX264" s="12" t="n"/>
      <c r="BY264" s="12" t="n"/>
      <c r="BZ264" s="12" t="n"/>
      <c r="CA264" s="12" t="n"/>
      <c r="CB264" s="12" t="n"/>
      <c r="CC264" s="12" t="n"/>
      <c r="CD264" s="12" t="n"/>
      <c r="CE264" s="12" t="n"/>
      <c r="CF264" s="12" t="n"/>
      <c r="CG264" s="12" t="n"/>
      <c r="CH264" s="12" t="n"/>
      <c r="CI264" s="12" t="n"/>
      <c r="CJ264" s="12" t="n"/>
      <c r="CK264" s="12" t="n"/>
      <c r="CL264" s="12" t="n"/>
      <c r="CM264" s="12" t="n"/>
      <c r="CN264" s="12" t="n"/>
      <c r="CO264" s="12" t="n"/>
      <c r="CP264" s="12" t="n"/>
      <c r="CQ264" s="12" t="n"/>
      <c r="CR264" s="12" t="n"/>
      <c r="CS264" s="12" t="n"/>
      <c r="CT264" s="12" t="n"/>
      <c r="CU264" s="12" t="n"/>
      <c r="CV264" s="12" t="n"/>
      <c r="CW264" s="12" t="n"/>
      <c r="CX264" s="12" t="n"/>
      <c r="CY264" s="12" t="n"/>
    </row>
    <row r="265" customFormat="1" s="32">
      <c r="A265" s="30" t="n"/>
      <c r="B265" s="3" t="n"/>
      <c r="C265" s="33" t="inlineStr">
        <is>
          <t>Total Liabilities + Shareholders' Equity</t>
        </is>
      </c>
      <c r="D265" s="35" t="n"/>
      <c r="E265" s="35" t="n"/>
      <c r="F265" s="35" t="n"/>
      <c r="G265" s="35" t="n"/>
      <c r="H265" s="35" t="n"/>
      <c r="I265" s="35">
        <f>I263+I239</f>
        <v>43643</v>
      </c>
      <c r="J265" s="35">
        <f>J263+J239</f>
        <v>45436</v>
      </c>
      <c r="K265" s="35">
        <f>K263+K239</f>
        <v>46917</v>
      </c>
      <c r="L265" s="35">
        <f>L263+L239</f>
        <v>48022</v>
      </c>
      <c r="M265" s="35">
        <f>M263+M239</f>
        <v>48022</v>
      </c>
      <c r="N265" s="35">
        <f>N263+N239</f>
        <v>48832</v>
      </c>
      <c r="O265" s="35">
        <f>O263+O239</f>
        <v>50113</v>
      </c>
      <c r="P265" s="35">
        <f>P263+P239</f>
        <v>49927</v>
      </c>
      <c r="Q265" s="35">
        <f>Q263+Q239</f>
        <v>51093</v>
      </c>
      <c r="R265" s="35">
        <f>R263+R239</f>
        <v>51093</v>
      </c>
      <c r="S265" s="35">
        <f>S263+S239</f>
        <v>50909</v>
      </c>
      <c r="T265" s="35">
        <f>T263+T239</f>
        <v>50907</v>
      </c>
      <c r="U265" s="35">
        <f>U263+U239</f>
        <v>51648</v>
      </c>
      <c r="V265" s="35">
        <f>V263+V239</f>
        <v>52506</v>
      </c>
      <c r="W265" s="35">
        <f>W263+W239</f>
        <v>52506</v>
      </c>
      <c r="X265" s="35">
        <f>X263+X239</f>
        <v>54198</v>
      </c>
      <c r="Y265" s="35">
        <f>Y263+Y239</f>
        <v>54635</v>
      </c>
      <c r="Z265" s="35">
        <f>Z263+Z239</f>
        <v>55400</v>
      </c>
      <c r="AA265" s="35">
        <f>AA263+AA239</f>
        <v>54848</v>
      </c>
      <c r="AB265" s="35">
        <f>AB263+AB239</f>
        <v>54848</v>
      </c>
      <c r="AC265" s="35">
        <f>AC263+AC239</f>
        <v>56022</v>
      </c>
      <c r="AD265" s="35">
        <f>AD263+AD239</f>
        <v>56492</v>
      </c>
      <c r="AE265" s="35">
        <f>AE263+AE239</f>
        <v>56828</v>
      </c>
      <c r="AF265" s="35">
        <f>AF263+AF239</f>
        <v>58167</v>
      </c>
      <c r="AG265" s="35">
        <f>AG263+AG239</f>
        <v>58167</v>
      </c>
      <c r="AH265" s="35">
        <f>AH263+AH239</f>
        <v>58840</v>
      </c>
      <c r="AI265" s="35">
        <f>AI263+AI239</f>
        <v>59727</v>
      </c>
      <c r="AJ265" s="35">
        <f>AJ263+AJ239</f>
        <v>61018.0479899745</v>
      </c>
      <c r="AK265" s="35">
        <f>AK263+AK239</f>
        <v>61130.1807950622</v>
      </c>
      <c r="AL265" s="35">
        <f>AL263+AL239</f>
        <v>61130.1807950622</v>
      </c>
      <c r="AM265" s="35">
        <f>AM263+AM239</f>
        <v>62730.2239942074</v>
      </c>
      <c r="AN265" s="35">
        <f>AN263+AN239</f>
        <v>64466.9788762237</v>
      </c>
      <c r="AO265" s="35">
        <f>AO263+AO239</f>
        <v>65692.8940693472</v>
      </c>
      <c r="AP265" s="35">
        <f>AP263+AP239</f>
        <v>65806.747935674</v>
      </c>
      <c r="AQ265" s="35">
        <f>AQ263+AQ239</f>
        <v>65806.747935674</v>
      </c>
      <c r="AR265" s="35">
        <f>AR263+AR239</f>
        <v>67351.4547067003</v>
      </c>
      <c r="AS265" s="35">
        <f>AS263+AS239</f>
        <v>69146.4678424822</v>
      </c>
      <c r="AT265" s="35">
        <f>AT263+AT239</f>
        <v>70379.5976717444</v>
      </c>
      <c r="AU265" s="35">
        <f>AU263+AU239</f>
        <v>70491.7499435675</v>
      </c>
      <c r="AV265" s="35">
        <f>AV263+AV239</f>
        <v>70491.7499435675</v>
      </c>
      <c r="AW265" s="35">
        <f>AW263+AW239</f>
        <v>72066.425251375</v>
      </c>
      <c r="AX265" s="35">
        <f>AX263+AX239</f>
        <v>73816.9679508495</v>
      </c>
      <c r="AY265" s="35">
        <f>AY263+AY239</f>
        <v>75050.9874487002</v>
      </c>
      <c r="AZ265" s="35">
        <f>AZ263+AZ239</f>
        <v>75160.6718266258</v>
      </c>
      <c r="BA265" s="35">
        <f>BA263+BA239</f>
        <v>75160.6718266258</v>
      </c>
      <c r="BB265" s="35">
        <f>BB263+BB239</f>
        <v>76722.3156842034</v>
      </c>
      <c r="BC265" s="35">
        <f>BC263+BC239</f>
        <v>78471.1686279184</v>
      </c>
      <c r="BD265" s="35">
        <f>BD263+BD239</f>
        <v>79703.4933548835</v>
      </c>
      <c r="BE265" s="35">
        <f>BE263+BE239</f>
        <v>79811.4779319126</v>
      </c>
      <c r="BF265" s="35">
        <f>BF263+BF239</f>
        <v>79811.4779319126</v>
      </c>
      <c r="BG265" s="35" t="n"/>
      <c r="BH265" s="35" t="n"/>
      <c r="BI265" s="35" t="n"/>
      <c r="BJ265" s="35" t="n"/>
      <c r="BK265" s="35" t="n"/>
      <c r="BL265" s="35" t="n"/>
      <c r="BM265" s="35" t="n"/>
      <c r="BN265" s="35" t="n"/>
      <c r="BO265" s="35" t="n"/>
      <c r="BP265" s="35" t="n"/>
      <c r="BQ265" s="35" t="n"/>
      <c r="BR265" s="35" t="n"/>
      <c r="BS265" s="35" t="n"/>
      <c r="BT265" s="35" t="n"/>
      <c r="BU265" s="35" t="n"/>
      <c r="BV265" s="35" t="n"/>
      <c r="BW265" s="35" t="n"/>
      <c r="BX265" s="35" t="n"/>
      <c r="BY265" s="35" t="n"/>
      <c r="BZ265" s="35" t="n"/>
      <c r="CA265" s="35" t="n"/>
      <c r="CB265" s="35" t="n"/>
      <c r="CC265" s="35" t="n"/>
      <c r="CD265" s="35" t="n"/>
      <c r="CE265" s="35" t="n"/>
      <c r="CF265" s="35" t="n"/>
      <c r="CG265" s="35" t="n"/>
      <c r="CH265" s="35" t="n"/>
      <c r="CI265" s="35" t="n"/>
      <c r="CJ265" s="35" t="n"/>
      <c r="CK265" s="35" t="n"/>
      <c r="CL265" s="35" t="n"/>
      <c r="CM265" s="35" t="n"/>
      <c r="CN265" s="35" t="n"/>
      <c r="CO265" s="35" t="n"/>
      <c r="CP265" s="35" t="n"/>
      <c r="CQ265" s="35" t="n"/>
      <c r="CR265" s="35" t="n"/>
      <c r="CS265" s="35" t="n"/>
      <c r="CT265" s="35" t="n"/>
      <c r="CU265" s="35" t="n"/>
      <c r="CV265" s="35" t="n"/>
      <c r="CW265" s="35" t="n"/>
      <c r="CX265" s="35" t="n"/>
      <c r="CY265" s="35" t="n"/>
    </row>
    <row r="266">
      <c r="C266" s="18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  <c r="AA266" s="3" t="n"/>
      <c r="AB266" s="3" t="n"/>
      <c r="AC266" s="3" t="n"/>
      <c r="AD266" s="3" t="n"/>
      <c r="AE266" s="3" t="n"/>
      <c r="AF266" s="3" t="n"/>
      <c r="AG266" s="3" t="n"/>
      <c r="AH266" s="3" t="n"/>
      <c r="AI266" s="3" t="n"/>
      <c r="AJ266" s="3" t="n"/>
      <c r="AK266" s="3" t="n"/>
      <c r="AL266" s="3" t="n"/>
      <c r="AM266" s="3" t="n"/>
      <c r="AN266" s="3" t="n"/>
      <c r="AO266" s="3" t="n"/>
      <c r="AP266" s="3" t="n"/>
      <c r="AQ266" s="3" t="n"/>
      <c r="AR266" s="3" t="n"/>
      <c r="AS266" s="3" t="n"/>
      <c r="AT266" s="3" t="n"/>
      <c r="AU266" s="3" t="n"/>
      <c r="AV266" s="3" t="n"/>
      <c r="AW266" s="3" t="n"/>
      <c r="AX266" s="3" t="n"/>
      <c r="AY266" s="3" t="n"/>
      <c r="AZ266" s="3" t="n"/>
      <c r="BA266" s="3" t="n"/>
      <c r="BB266" s="3" t="n"/>
      <c r="BC266" s="3" t="n"/>
      <c r="BD266" s="3" t="n"/>
      <c r="BE266" s="3" t="n"/>
      <c r="BF266" s="3" t="n"/>
      <c r="BG266" s="3" t="n"/>
      <c r="BH266" s="3" t="n"/>
      <c r="BI266" s="3" t="n"/>
      <c r="BJ266" s="3" t="n"/>
      <c r="BK266" s="3" t="n"/>
      <c r="BL266" s="3" t="n"/>
      <c r="BM266" s="3" t="n"/>
      <c r="BN266" s="3" t="n"/>
      <c r="BO266" s="3" t="n"/>
      <c r="BP266" s="3" t="n"/>
      <c r="BQ266" s="3" t="n"/>
      <c r="BR266" s="3" t="n"/>
      <c r="BS266" s="3" t="n"/>
      <c r="BT266" s="3" t="n"/>
      <c r="BU266" s="3" t="n"/>
      <c r="BV266" s="3" t="n"/>
      <c r="BW266" s="3" t="n"/>
      <c r="BX266" s="3" t="n"/>
      <c r="BY266" s="3" t="n"/>
      <c r="BZ266" s="3" t="n"/>
      <c r="CA266" s="3" t="n"/>
      <c r="CB266" s="3" t="n"/>
      <c r="CC266" s="3" t="n"/>
      <c r="CD266" s="3" t="n"/>
      <c r="CE266" s="3" t="n"/>
      <c r="CF266" s="3" t="n"/>
      <c r="CG266" s="3" t="n"/>
      <c r="CH266" s="3" t="n"/>
      <c r="CI266" s="3" t="n"/>
      <c r="CJ266" s="3" t="n"/>
      <c r="CK266" s="3" t="n"/>
      <c r="CL266" s="3" t="n"/>
      <c r="CM266" s="3" t="n"/>
      <c r="CN266" s="3" t="n"/>
      <c r="CO266" s="3" t="n"/>
      <c r="CP266" s="3" t="n"/>
      <c r="CQ266" s="3" t="n"/>
      <c r="CR266" s="3" t="n"/>
      <c r="CS266" s="3" t="n"/>
      <c r="CT266" s="3" t="n"/>
      <c r="CU266" s="3" t="n"/>
      <c r="CV266" s="3" t="n"/>
      <c r="CW266" s="3" t="n"/>
      <c r="CX266" s="3" t="n"/>
      <c r="CY266" s="3" t="n"/>
    </row>
    <row r="267" customFormat="1" s="32">
      <c r="A267" s="30" t="n"/>
      <c r="B267" s="30" t="n"/>
      <c r="C267" s="31" t="inlineStr">
        <is>
          <t>Cash Flow Statement</t>
        </is>
      </c>
      <c r="D267" s="70" t="n"/>
      <c r="E267" s="70" t="n"/>
      <c r="F267" s="70" t="n"/>
      <c r="G267" s="70" t="n"/>
      <c r="H267" s="70" t="n"/>
      <c r="I267" s="70" t="str">
        <f>I134</f>
        <v>1Q21</v>
      </c>
      <c r="J267" s="70" t="str">
        <f>J134</f>
        <v>2Q21</v>
      </c>
      <c r="K267" s="70" t="str">
        <f>K134</f>
        <v>3Q21</v>
      </c>
      <c r="L267" s="70" t="str">
        <f>L134</f>
        <v>4Q21</v>
      </c>
      <c r="M267" s="70">
        <f>M134</f>
        <v>2021</v>
      </c>
      <c r="N267" s="70" t="str">
        <f>N134</f>
        <v>1Q22</v>
      </c>
      <c r="O267" s="70" t="str">
        <f>O134</f>
        <v>2Q22</v>
      </c>
      <c r="P267" s="70" t="str">
        <f>P134</f>
        <v>3Q22</v>
      </c>
      <c r="Q267" s="70" t="str">
        <f>Q134</f>
        <v>4Q22</v>
      </c>
      <c r="R267" s="70">
        <f>R134</f>
        <v>2022</v>
      </c>
      <c r="S267" s="70" t="str">
        <f>S134</f>
        <v>1Q23</v>
      </c>
      <c r="T267" s="70" t="str">
        <f>T134</f>
        <v>2Q23</v>
      </c>
      <c r="U267" s="70" t="str">
        <f>U134</f>
        <v>3Q23</v>
      </c>
      <c r="V267" s="70" t="str">
        <f>V134</f>
        <v>4Q23</v>
      </c>
      <c r="W267" s="70">
        <f>W134</f>
        <v>2023</v>
      </c>
      <c r="X267" s="70" t="str">
        <f>X134</f>
        <v>1Q24</v>
      </c>
      <c r="Y267" s="70" t="str">
        <f>Y134</f>
        <v>2Q24</v>
      </c>
      <c r="Z267" s="70" t="str">
        <f>Z134</f>
        <v>3Q24</v>
      </c>
      <c r="AA267" s="70" t="str">
        <f>AA134</f>
        <v>4Q24</v>
      </c>
      <c r="AB267" s="70">
        <f>AB134</f>
        <v>2024</v>
      </c>
      <c r="AC267" s="70" t="str">
        <f>AC134</f>
        <v>1Q25</v>
      </c>
      <c r="AD267" s="70" t="str">
        <f>AD134</f>
        <v>2Q25</v>
      </c>
      <c r="AE267" s="70" t="str">
        <f>AE134</f>
        <v>3Q25</v>
      </c>
      <c r="AF267" s="70" t="str">
        <f>AF134</f>
        <v>4Q25</v>
      </c>
      <c r="AG267" s="70">
        <f>AG134</f>
        <v>2025</v>
      </c>
      <c r="AH267" s="70" t="str">
        <f>AH134</f>
        <v>1Q26</v>
      </c>
      <c r="AI267" s="70" t="str">
        <f>AI134</f>
        <v>2Q26</v>
      </c>
      <c r="AJ267" s="70" t="str">
        <f>AJ134</f>
        <v>3Q26</v>
      </c>
      <c r="AK267" s="70" t="str">
        <f>AK134</f>
        <v>4Q26</v>
      </c>
      <c r="AL267" s="70">
        <f>AL134</f>
        <v>2026</v>
      </c>
      <c r="AM267" s="70" t="str">
        <f>AM134</f>
        <v>1Q27</v>
      </c>
      <c r="AN267" s="70" t="str">
        <f>AN134</f>
        <v>2Q27</v>
      </c>
      <c r="AO267" s="70" t="str">
        <f>AO134</f>
        <v>3Q27</v>
      </c>
      <c r="AP267" s="70" t="str">
        <f>AP134</f>
        <v>4Q27</v>
      </c>
      <c r="AQ267" s="70">
        <f>AQ134</f>
        <v>2027</v>
      </c>
      <c r="AR267" s="70" t="str">
        <f>AR134</f>
        <v>1Q28</v>
      </c>
      <c r="AS267" s="70" t="str">
        <f>AS134</f>
        <v>2Q28</v>
      </c>
      <c r="AT267" s="70" t="str">
        <f>AT134</f>
        <v>3Q28</v>
      </c>
      <c r="AU267" s="70" t="str">
        <f>AU134</f>
        <v>4Q28</v>
      </c>
      <c r="AV267" s="70">
        <f>AV134</f>
        <v>2028</v>
      </c>
      <c r="AW267" s="70" t="str">
        <f>AW134</f>
        <v>1Q29</v>
      </c>
      <c r="AX267" s="70" t="str">
        <f>AX134</f>
        <v>2Q29</v>
      </c>
      <c r="AY267" s="70" t="str">
        <f>AY134</f>
        <v>3Q29</v>
      </c>
      <c r="AZ267" s="70" t="str">
        <f>AZ134</f>
        <v>4Q29</v>
      </c>
      <c r="BA267" s="70">
        <f>BA134</f>
        <v>2029</v>
      </c>
      <c r="BB267" s="70" t="str">
        <f>BB134</f>
        <v>1Q30</v>
      </c>
      <c r="BC267" s="70" t="str">
        <f>BC134</f>
        <v>2Q30</v>
      </c>
      <c r="BD267" s="70" t="str">
        <f>BD134</f>
        <v>3Q30</v>
      </c>
      <c r="BE267" s="70" t="str">
        <f>BE134</f>
        <v>4Q30</v>
      </c>
      <c r="BF267" s="70">
        <f>BF134</f>
        <v>2030</v>
      </c>
      <c r="BG267" s="70" t="n"/>
      <c r="BH267" s="70" t="n"/>
      <c r="BI267" s="70" t="n"/>
      <c r="BJ267" s="70" t="n"/>
      <c r="BK267" s="70" t="n"/>
      <c r="BL267" s="70" t="n"/>
      <c r="BM267" s="70" t="n"/>
      <c r="BN267" s="70" t="n"/>
      <c r="BO267" s="70" t="n"/>
      <c r="BP267" s="70" t="n"/>
      <c r="BQ267" s="70" t="n"/>
      <c r="BR267" s="70" t="n"/>
      <c r="BS267" s="70" t="n"/>
      <c r="BT267" s="70" t="n"/>
      <c r="BU267" s="70" t="n"/>
      <c r="BV267" s="70" t="n"/>
      <c r="BW267" s="70" t="n"/>
      <c r="BX267" s="70" t="n"/>
      <c r="BY267" s="70" t="n"/>
      <c r="BZ267" s="70" t="n"/>
      <c r="CA267" s="70" t="n"/>
      <c r="CB267" s="70" t="n"/>
      <c r="CC267" s="70" t="n"/>
      <c r="CD267" s="70" t="n"/>
      <c r="CE267" s="70" t="n"/>
      <c r="CF267" s="70" t="n"/>
      <c r="CG267" s="70" t="n"/>
      <c r="CH267" s="70" t="n"/>
      <c r="CI267" s="70" t="n"/>
      <c r="CJ267" s="70" t="n"/>
      <c r="CK267" s="70" t="n"/>
      <c r="CL267" s="70" t="n"/>
      <c r="CM267" s="70" t="n"/>
      <c r="CN267" s="70" t="n"/>
      <c r="CO267" s="70" t="n"/>
      <c r="CP267" s="70" t="n"/>
      <c r="CQ267" s="70" t="n"/>
      <c r="CR267" s="70" t="n"/>
      <c r="CS267" s="70" t="n"/>
      <c r="CT267" s="70" t="n"/>
      <c r="CU267" s="70" t="n"/>
      <c r="CV267" s="70" t="n"/>
      <c r="CW267" s="70" t="n"/>
      <c r="CX267" s="70" t="n"/>
      <c r="CY267" s="70" t="n"/>
    </row>
    <row r="268">
      <c r="C268" s="18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  <c r="AA268" s="3" t="n"/>
      <c r="AB268" s="3" t="n"/>
      <c r="AC268" s="3" t="n"/>
      <c r="AD268" s="3" t="n"/>
      <c r="AE268" s="3" t="n"/>
      <c r="AF268" s="3" t="n"/>
      <c r="AG268" s="3" t="n"/>
      <c r="AH268" s="3" t="n"/>
      <c r="AI268" s="3" t="n"/>
      <c r="AJ268" s="3" t="n"/>
      <c r="AK268" s="3" t="n"/>
      <c r="AL268" s="3" t="n"/>
      <c r="AM268" s="3" t="n"/>
      <c r="AN268" s="3" t="n"/>
      <c r="AO268" s="3" t="n"/>
      <c r="AP268" s="3" t="n"/>
      <c r="AQ268" s="3" t="n"/>
      <c r="AR268" s="3" t="n"/>
      <c r="AS268" s="3" t="n"/>
      <c r="AT268" s="3" t="n"/>
      <c r="AU268" s="3" t="n"/>
      <c r="AV268" s="3" t="n"/>
      <c r="AW268" s="3" t="n"/>
      <c r="AX268" s="3" t="n"/>
      <c r="AY268" s="3" t="n"/>
      <c r="AZ268" s="3" t="n"/>
      <c r="BA268" s="3" t="n"/>
      <c r="BB268" s="3" t="n"/>
      <c r="BC268" s="3" t="n"/>
      <c r="BD268" s="3" t="n"/>
      <c r="BE268" s="3" t="n"/>
      <c r="BF268" s="3" t="n"/>
      <c r="BG268" s="3" t="n"/>
      <c r="BH268" s="3" t="n"/>
      <c r="BI268" s="3" t="n"/>
      <c r="BJ268" s="3" t="n"/>
      <c r="BK268" s="3" t="n"/>
      <c r="BL268" s="3" t="n"/>
      <c r="BM268" s="3" t="n"/>
      <c r="BN268" s="3" t="n"/>
      <c r="BO268" s="3" t="n"/>
      <c r="BP268" s="3" t="n"/>
      <c r="BQ268" s="3" t="n"/>
      <c r="BR268" s="3" t="n"/>
      <c r="BS268" s="3" t="n"/>
      <c r="BT268" s="3" t="n"/>
      <c r="BU268" s="3" t="n"/>
      <c r="BV268" s="3" t="n"/>
      <c r="BW268" s="3" t="n"/>
      <c r="BX268" s="3" t="n"/>
      <c r="BY268" s="3" t="n"/>
      <c r="BZ268" s="3" t="n"/>
      <c r="CA268" s="3" t="n"/>
      <c r="CB268" s="3" t="n"/>
      <c r="CC268" s="3" t="n"/>
      <c r="CD268" s="3" t="n"/>
      <c r="CE268" s="3" t="n"/>
      <c r="CF268" s="3" t="n"/>
      <c r="CG268" s="3" t="n"/>
      <c r="CH268" s="3" t="n"/>
      <c r="CI268" s="3" t="n"/>
      <c r="CJ268" s="3" t="n"/>
      <c r="CK268" s="3" t="n"/>
      <c r="CL268" s="3" t="n"/>
      <c r="CM268" s="3" t="n"/>
      <c r="CN268" s="3" t="n"/>
      <c r="CO268" s="3" t="n"/>
      <c r="CP268" s="3" t="n"/>
      <c r="CQ268" s="3" t="n"/>
      <c r="CR268" s="3" t="n"/>
      <c r="CS268" s="3" t="n"/>
      <c r="CT268" s="3" t="n"/>
      <c r="CU268" s="3" t="n"/>
      <c r="CV268" s="3" t="n"/>
      <c r="CW268" s="3" t="n"/>
      <c r="CX268" s="3" t="n"/>
      <c r="CY268" s="3" t="n"/>
    </row>
    <row r="269">
      <c r="C269" s="10" t="inlineStr">
        <is>
          <t>Net Income</t>
        </is>
      </c>
      <c r="D269" s="12" t="n"/>
      <c r="E269" s="12" t="n"/>
      <c r="F269" s="12" t="n"/>
      <c r="G269" s="12" t="n"/>
      <c r="H269" s="12" t="n"/>
      <c r="I269" s="12" t="n"/>
      <c r="J269" s="12">
        <f>J129</f>
        <v>1083</v>
      </c>
      <c r="K269" s="12">
        <f>K129</f>
        <v>1399</v>
      </c>
      <c r="L269" s="12">
        <f>L129</f>
        <v>1106</v>
      </c>
      <c r="M269" s="12" t="n"/>
      <c r="N269" s="12">
        <f>N129</f>
        <v>1527</v>
      </c>
      <c r="O269" s="12">
        <f>O129</f>
        <v>840</v>
      </c>
      <c r="P269" s="12">
        <f>P129</f>
        <v>404</v>
      </c>
      <c r="Q269" s="12">
        <f>Q129</f>
        <v>697</v>
      </c>
      <c r="R269" s="12">
        <f>SUM(N269:Q269)</f>
        <v>3468</v>
      </c>
      <c r="S269" s="12">
        <f>S129</f>
        <v>663</v>
      </c>
      <c r="T269" s="12">
        <f>T129</f>
        <v>343</v>
      </c>
      <c r="U269" s="12">
        <f>U129</f>
        <v>454</v>
      </c>
      <c r="V269" s="12">
        <f>V129</f>
        <v>388</v>
      </c>
      <c r="W269" s="12">
        <f>SUM(S269:V269)</f>
        <v>1848</v>
      </c>
      <c r="X269" s="12">
        <f>X129</f>
        <v>473</v>
      </c>
      <c r="Y269" s="12">
        <f>Y129</f>
        <v>616</v>
      </c>
      <c r="Z269" s="12">
        <f>Z129</f>
        <v>526</v>
      </c>
      <c r="AA269" s="12">
        <f>AA129</f>
        <v>274</v>
      </c>
      <c r="AB269" s="12">
        <f>SUM(X269:AA269)</f>
        <v>1889</v>
      </c>
      <c r="AC269" s="12">
        <f>AC129</f>
        <v>352</v>
      </c>
      <c r="AD269" s="12">
        <f>AD129</f>
        <v>772</v>
      </c>
      <c r="AE269" s="12">
        <f>AE129</f>
        <v>674</v>
      </c>
      <c r="AF269" s="12">
        <f>AF129</f>
        <v>406</v>
      </c>
      <c r="AG269" s="12">
        <f>SUM(AC269:AF269)</f>
        <v>2204</v>
      </c>
      <c r="AH269" s="12">
        <f>AH129</f>
        <v>881</v>
      </c>
      <c r="AI269" s="12">
        <f>AI129</f>
        <v>984</v>
      </c>
      <c r="AJ269" s="12">
        <f>AJ129</f>
        <v>1232.12077522612</v>
      </c>
      <c r="AK269" s="12">
        <f>AK129</f>
        <v>995.487138102231</v>
      </c>
      <c r="AL269" s="12">
        <f>SUM(AH269:AK269)</f>
        <v>4092.60791332835</v>
      </c>
      <c r="AM269" s="12">
        <f>AM129</f>
        <v>1101.69835237517</v>
      </c>
      <c r="AN269" s="12">
        <f>AN129</f>
        <v>1242.19405178778</v>
      </c>
      <c r="AO269" s="12">
        <f>AO129</f>
        <v>1248.09886722651</v>
      </c>
      <c r="AP269" s="12">
        <f>AP129</f>
        <v>1008.39657473995</v>
      </c>
      <c r="AQ269" s="12">
        <f>SUM(AM269:AP269)</f>
        <v>4600.38784612941</v>
      </c>
      <c r="AR269" s="12">
        <f>AR129</f>
        <v>1110.47663994926</v>
      </c>
      <c r="AS269" s="12">
        <f>AS129</f>
        <v>1252.09180336916</v>
      </c>
      <c r="AT269" s="12">
        <f>AT129</f>
        <v>1258.04366813666</v>
      </c>
      <c r="AU269" s="12">
        <f>AU129</f>
        <v>1016.43143755219</v>
      </c>
      <c r="AV269" s="12">
        <f>SUM(AR269:AU269)</f>
        <v>4637.04354900728</v>
      </c>
      <c r="AW269" s="12">
        <f>AW129</f>
        <v>1113.77248936126</v>
      </c>
      <c r="AX269" s="12">
        <f>AX129</f>
        <v>1255.80796081493</v>
      </c>
      <c r="AY269" s="12">
        <f>AY129</f>
        <v>1261.77749047451</v>
      </c>
      <c r="AZ269" s="12">
        <f>AZ129</f>
        <v>1019.4481646361</v>
      </c>
      <c r="BA269" s="12">
        <f>SUM(AW269:AZ269)</f>
        <v>4650.80610528681</v>
      </c>
      <c r="BB269" s="12">
        <f>BB129</f>
        <v>1113.77248936126</v>
      </c>
      <c r="BC269" s="12">
        <f>BC129</f>
        <v>1255.80796081493</v>
      </c>
      <c r="BD269" s="12">
        <f>BD129</f>
        <v>1261.77749047451</v>
      </c>
      <c r="BE269" s="12">
        <f>BE129</f>
        <v>1019.4481646361</v>
      </c>
      <c r="BF269" s="12">
        <f>SUM(BB269:BE269)</f>
        <v>4650.80610528681</v>
      </c>
      <c r="BG269" s="12" t="n"/>
      <c r="BH269" s="12" t="n"/>
      <c r="BI269" s="12" t="n"/>
      <c r="BJ269" s="12" t="n"/>
      <c r="BK269" s="12" t="n"/>
      <c r="BL269" s="12" t="n"/>
      <c r="BM269" s="12" t="n"/>
      <c r="BN269" s="12" t="n"/>
      <c r="BO269" s="12" t="n"/>
      <c r="BP269" s="12" t="n"/>
      <c r="BQ269" s="12" t="n"/>
      <c r="BR269" s="12" t="n"/>
      <c r="BS269" s="12" t="n"/>
      <c r="BT269" s="12" t="n"/>
      <c r="BU269" s="12" t="n"/>
      <c r="BV269" s="12" t="n"/>
      <c r="BW269" s="12" t="n"/>
      <c r="BX269" s="12" t="n"/>
      <c r="BY269" s="12" t="n"/>
      <c r="BZ269" s="12" t="n"/>
      <c r="CA269" s="12" t="n"/>
      <c r="CB269" s="12" t="n"/>
      <c r="CC269" s="12" t="n"/>
      <c r="CD269" s="12" t="n"/>
      <c r="CE269" s="12" t="n"/>
      <c r="CF269" s="12" t="n"/>
      <c r="CG269" s="12" t="n"/>
      <c r="CH269" s="12" t="n"/>
      <c r="CI269" s="12" t="n"/>
      <c r="CJ269" s="12" t="n"/>
      <c r="CK269" s="12" t="n"/>
      <c r="CL269" s="12" t="n"/>
      <c r="CM269" s="12" t="n"/>
      <c r="CN269" s="12" t="n"/>
      <c r="CO269" s="12" t="n"/>
      <c r="CP269" s="12" t="n"/>
      <c r="CQ269" s="12" t="n"/>
      <c r="CR269" s="12" t="n"/>
      <c r="CS269" s="12" t="n"/>
      <c r="CT269" s="12" t="n"/>
      <c r="CU269" s="12" t="n"/>
      <c r="CV269" s="12" t="n"/>
      <c r="CW269" s="12" t="n"/>
      <c r="CX269" s="12" t="n"/>
      <c r="CY269" s="12" t="n"/>
    </row>
    <row r="270">
      <c r="C270" s="10" t="inlineStr">
        <is>
          <t>Depreciation &amp; amortization</t>
        </is>
      </c>
      <c r="D270" s="12" t="n"/>
      <c r="E270" s="12" t="n"/>
      <c r="F270" s="12" t="n"/>
      <c r="G270" s="12" t="n"/>
      <c r="H270" s="12" t="n"/>
      <c r="I270" s="12" t="n"/>
      <c r="J270" s="12">
        <f>-J62</f>
        <v>483</v>
      </c>
      <c r="K270" s="12">
        <f>-K62</f>
        <v>528</v>
      </c>
      <c r="L270" s="12">
        <f>-L62</f>
        <v>568</v>
      </c>
      <c r="M270" s="12" t="n"/>
      <c r="N270" s="12">
        <f>-N62</f>
        <v>489</v>
      </c>
      <c r="O270" s="12">
        <f>-O62</f>
        <v>507</v>
      </c>
      <c r="P270" s="12">
        <f>-P62</f>
        <v>508</v>
      </c>
      <c r="Q270" s="12">
        <f>-Q62</f>
        <v>515</v>
      </c>
      <c r="R270" s="12">
        <f>SUM(N270:Q270)</f>
        <v>2019</v>
      </c>
      <c r="S270" s="12">
        <f>-S62</f>
        <v>399</v>
      </c>
      <c r="T270" s="12">
        <f>-T62</f>
        <v>547</v>
      </c>
      <c r="U270" s="12">
        <f>-U62</f>
        <v>533</v>
      </c>
      <c r="V270" s="12">
        <f>-V62</f>
        <v>589</v>
      </c>
      <c r="W270" s="12">
        <f>SUM(S270:V270)</f>
        <v>2068</v>
      </c>
      <c r="X270" s="12">
        <f>-X62</f>
        <v>595</v>
      </c>
      <c r="Y270" s="12">
        <f>-Y62</f>
        <v>509</v>
      </c>
      <c r="Z270" s="12">
        <f>-Z62</f>
        <v>600</v>
      </c>
      <c r="AA270" s="12">
        <f>-AA62</f>
        <v>537</v>
      </c>
      <c r="AB270" s="12">
        <f>SUM(X270:AA270)</f>
        <v>2241</v>
      </c>
      <c r="AC270" s="12">
        <f>-AC62</f>
        <v>466</v>
      </c>
      <c r="AD270" s="12">
        <f>-AD62</f>
        <v>668</v>
      </c>
      <c r="AE270" s="12">
        <f>-AE62</f>
        <v>625</v>
      </c>
      <c r="AF270" s="12">
        <f>-AF62</f>
        <v>485</v>
      </c>
      <c r="AG270" s="12">
        <f>SUM(AC270:AF270)</f>
        <v>2244</v>
      </c>
      <c r="AH270" s="12">
        <f>-AH62</f>
        <v>514</v>
      </c>
      <c r="AI270" s="12">
        <f>-AI62</f>
        <v>523</v>
      </c>
      <c r="AJ270" s="12">
        <f>-AJ62</f>
        <v>590.958344369014</v>
      </c>
      <c r="AK270" s="12">
        <f>-AK62</f>
        <v>477.462471863261</v>
      </c>
      <c r="AL270" s="12">
        <f>SUM(AH270:AK270)</f>
        <v>2105.42081623227</v>
      </c>
      <c r="AM270" s="12">
        <f>-AM62</f>
        <v>528.404233906545</v>
      </c>
      <c r="AN270" s="12">
        <f>-AN62</f>
        <v>595.789759404733</v>
      </c>
      <c r="AO270" s="12">
        <f>-AO62</f>
        <v>598.621868095404</v>
      </c>
      <c r="AP270" s="12">
        <f>-AP62</f>
        <v>483.654185740305</v>
      </c>
      <c r="AQ270" s="12">
        <f>SUM(AM270:AP270)</f>
        <v>2206.47004714699</v>
      </c>
      <c r="AR270" s="12">
        <f>-AR62</f>
        <v>532.614537308199</v>
      </c>
      <c r="AS270" s="12">
        <f>-AS62</f>
        <v>600.536987927387</v>
      </c>
      <c r="AT270" s="12">
        <f>-AT62</f>
        <v>603.391662744688</v>
      </c>
      <c r="AU270" s="12">
        <f>-AU62</f>
        <v>487.507922581874</v>
      </c>
      <c r="AV270" s="12">
        <f>SUM(AR270:AU270)</f>
        <v>2224.05111056215</v>
      </c>
      <c r="AW270" s="12">
        <f>-AW62</f>
        <v>534.195315549234</v>
      </c>
      <c r="AX270" s="12">
        <f>-AX62</f>
        <v>602.319357233809</v>
      </c>
      <c r="AY270" s="12">
        <f>-AY62</f>
        <v>605.18250460963</v>
      </c>
      <c r="AZ270" s="12">
        <f>-AZ62</f>
        <v>488.954826228636</v>
      </c>
      <c r="BA270" s="12">
        <f>SUM(AW270:AZ270)</f>
        <v>2230.65200362131</v>
      </c>
      <c r="BB270" s="12">
        <f>-BB62</f>
        <v>534.195315549234</v>
      </c>
      <c r="BC270" s="12">
        <f>-BC62</f>
        <v>602.319357233809</v>
      </c>
      <c r="BD270" s="12">
        <f>-BD62</f>
        <v>605.18250460963</v>
      </c>
      <c r="BE270" s="12">
        <f>-BE62</f>
        <v>488.954826228636</v>
      </c>
      <c r="BF270" s="12">
        <f>SUM(BB270:BE270)</f>
        <v>2230.65200362131</v>
      </c>
      <c r="BG270" s="12" t="n"/>
      <c r="BH270" s="12" t="n"/>
      <c r="BI270" s="12" t="n"/>
      <c r="BJ270" s="12" t="n"/>
      <c r="BK270" s="12" t="n"/>
      <c r="BL270" s="12" t="n"/>
      <c r="BM270" s="12" t="n"/>
      <c r="BN270" s="12" t="n"/>
      <c r="BO270" s="12" t="n"/>
      <c r="BP270" s="12" t="n"/>
      <c r="BQ270" s="12" t="n"/>
      <c r="BR270" s="12" t="n"/>
      <c r="BS270" s="12" t="n"/>
      <c r="BT270" s="12" t="n"/>
      <c r="BU270" s="12" t="n"/>
      <c r="BV270" s="12" t="n"/>
      <c r="BW270" s="12" t="n"/>
      <c r="BX270" s="12" t="n"/>
      <c r="BY270" s="12" t="n"/>
      <c r="BZ270" s="12" t="n"/>
      <c r="CA270" s="12" t="n"/>
      <c r="CB270" s="12" t="n"/>
      <c r="CC270" s="12" t="n"/>
      <c r="CD270" s="12" t="n"/>
      <c r="CE270" s="12" t="n"/>
      <c r="CF270" s="12" t="n"/>
      <c r="CG270" s="12" t="n"/>
      <c r="CH270" s="12" t="n"/>
      <c r="CI270" s="12" t="n"/>
      <c r="CJ270" s="12" t="n"/>
      <c r="CK270" s="12" t="n"/>
      <c r="CL270" s="12" t="n"/>
      <c r="CM270" s="12" t="n"/>
      <c r="CN270" s="12" t="n"/>
      <c r="CO270" s="12" t="n"/>
      <c r="CP270" s="12" t="n"/>
      <c r="CQ270" s="12" t="n"/>
      <c r="CR270" s="12" t="n"/>
      <c r="CS270" s="12" t="n"/>
      <c r="CT270" s="12" t="n"/>
      <c r="CU270" s="12" t="n"/>
      <c r="CV270" s="12" t="n"/>
      <c r="CW270" s="12" t="n"/>
      <c r="CX270" s="12" t="n"/>
      <c r="CY270" s="12" t="n"/>
    </row>
    <row r="271">
      <c r="C271" s="10" t="inlineStr">
        <is>
          <t xml:space="preserve">Changes in working capital </t>
        </is>
      </c>
      <c r="D271" s="12" t="n"/>
      <c r="E271" s="12" t="n"/>
      <c r="F271" s="12" t="n"/>
      <c r="G271" s="12" t="n"/>
      <c r="H271" s="12" t="n"/>
      <c r="I271" s="12" t="n"/>
      <c r="J271" s="12">
        <f>SUM(J272:J281)</f>
        <v>545</v>
      </c>
      <c r="K271" s="12">
        <f>SUM(K272:K281)</f>
        <v>337</v>
      </c>
      <c r="L271" s="12">
        <f>SUM(L272:L281)</f>
        <v>8299</v>
      </c>
      <c r="M271" s="12" t="n"/>
      <c r="N271" s="12">
        <f>SUM(N272:N281)</f>
        <v>-8899</v>
      </c>
      <c r="O271" s="12">
        <f>SUM(O272:O281)</f>
        <v>94</v>
      </c>
      <c r="P271" s="12">
        <f>SUM(P272:P281)</f>
        <v>-13</v>
      </c>
      <c r="Q271" s="12">
        <f>SUM(Q272:Q281)</f>
        <v>8012</v>
      </c>
      <c r="R271" s="12">
        <f>SUM(N271:Q271)</f>
        <v>-806</v>
      </c>
      <c r="S271" s="12">
        <f>SUM(S272:S281)</f>
        <v>-8857</v>
      </c>
      <c r="T271" s="12">
        <f>SUM(T272:T281)</f>
        <v>77</v>
      </c>
      <c r="U271" s="12">
        <f>SUM(U272:U281)</f>
        <v>-828</v>
      </c>
      <c r="V271" s="12">
        <f>SUM(V272:V281)</f>
        <v>5366</v>
      </c>
      <c r="W271" s="12">
        <f>SUM(S271:V271)</f>
        <v>-4242</v>
      </c>
      <c r="X271" s="12">
        <f>SUM(X272:X281)</f>
        <v>-5856</v>
      </c>
      <c r="Y271" s="12">
        <f>SUM(Y272:Y281)</f>
        <v>8</v>
      </c>
      <c r="Z271" s="12">
        <f>SUM(Z272:Z281)</f>
        <v>15</v>
      </c>
      <c r="AA271" s="12">
        <f>SUM(AA272:AA281)</f>
        <v>4944</v>
      </c>
      <c r="AB271" s="12">
        <f>SUM(X271:AA271)</f>
        <v>-889</v>
      </c>
      <c r="AC271" s="12">
        <f>SUM(AC272:AC281)</f>
        <v>-4936</v>
      </c>
      <c r="AD271" s="12">
        <f>SUM(AD272:AD281)</f>
        <v>24</v>
      </c>
      <c r="AE271" s="12">
        <f>SUM(AE272:AE281)</f>
        <v>-201</v>
      </c>
      <c r="AF271" s="12">
        <f>SUM(AF272:AF281)</f>
        <v>4126</v>
      </c>
      <c r="AG271" s="12">
        <f>SUM(AC271:AF271)</f>
        <v>-987</v>
      </c>
      <c r="AH271" s="12">
        <f>SUM(AH272:AH281)</f>
        <v>-4689</v>
      </c>
      <c r="AI271" s="12">
        <f>SUM(AI272:AI281)</f>
        <v>516</v>
      </c>
      <c r="AJ271" s="12">
        <f>SUM(AJ272:AJ281)</f>
        <v>-122.117835387632</v>
      </c>
      <c r="AK271" s="12">
        <f>SUM(AK272:AK281)</f>
        <v>-711.073305743708</v>
      </c>
      <c r="AL271" s="12">
        <f>SUM(AH271:AK271)</f>
        <v>-5006.19114113134</v>
      </c>
      <c r="AM271" s="12">
        <f>SUM(AM272:AM281)</f>
        <v>403.193567929372</v>
      </c>
      <c r="AN271" s="12">
        <f>SUM(AN272:AN281)</f>
        <v>400.159007106469</v>
      </c>
      <c r="AO271" s="12">
        <f>SUM(AO272:AO281)</f>
        <v>-16.544443063875</v>
      </c>
      <c r="AP271" s="12">
        <f>SUM(AP272:AP281)</f>
        <v>-720.027547801685</v>
      </c>
      <c r="AQ271" s="12">
        <f>SUM(AM271:AP271)</f>
        <v>66.7805841702818</v>
      </c>
      <c r="AR271" s="12">
        <f>SUM(AR272:AR281)</f>
        <v>351.026360876097</v>
      </c>
      <c r="AS271" s="12">
        <f>SUM(AS272:AS281)</f>
        <v>438.685469373649</v>
      </c>
      <c r="AT271" s="12">
        <f>SUM(AT272:AT281)</f>
        <v>-19.2296746721205</v>
      </c>
      <c r="AU271" s="12">
        <f>SUM(AU272:AU281)</f>
        <v>-728.373475429927</v>
      </c>
      <c r="AV271" s="12">
        <f>SUM(AR271:AU271)</f>
        <v>42.1086801476987</v>
      </c>
      <c r="AW271" s="12">
        <f>SUM(AW272:AW281)</f>
        <v>372.01411191372</v>
      </c>
      <c r="AX271" s="12">
        <f>SUM(AX272:AX281)</f>
        <v>399.298312425223</v>
      </c>
      <c r="AY271" s="12">
        <f>SUM(AY272:AY281)</f>
        <v>-22.0569580538528</v>
      </c>
      <c r="AZ271" s="12">
        <f>SUM(AZ272:AZ281)</f>
        <v>-733.336015491223</v>
      </c>
      <c r="BA271" s="12">
        <f>SUM(AW271:AZ271)</f>
        <v>15.9194507938671</v>
      </c>
      <c r="BB271" s="12">
        <f>SUM(BB272:BB281)</f>
        <v>361.178988661386</v>
      </c>
      <c r="BC271" s="12">
        <f>SUM(BC272:BC281)</f>
        <v>397.60855666584</v>
      </c>
      <c r="BD271" s="12">
        <f>SUM(BD272:BD281)</f>
        <v>-23.7517289394671</v>
      </c>
      <c r="BE271" s="12">
        <f>SUM(BE272:BE281)</f>
        <v>-735.035816387759</v>
      </c>
      <c r="BF271" s="12">
        <f>SUM(BB271:BE271)</f>
        <v>0</v>
      </c>
      <c r="BG271" s="12" t="n"/>
      <c r="BH271" s="12" t="n"/>
      <c r="BI271" s="12" t="n"/>
      <c r="BJ271" s="12" t="n"/>
      <c r="BK271" s="12" t="n"/>
      <c r="BL271" s="12" t="n"/>
      <c r="BM271" s="12" t="n"/>
      <c r="BN271" s="12" t="n"/>
      <c r="BO271" s="12" t="n"/>
      <c r="BP271" s="12" t="n"/>
      <c r="BQ271" s="12" t="n"/>
      <c r="BR271" s="12" t="n"/>
      <c r="BS271" s="12" t="n"/>
      <c r="BT271" s="12" t="n"/>
      <c r="BU271" s="12" t="n"/>
      <c r="BV271" s="12" t="n"/>
      <c r="BW271" s="12" t="n"/>
      <c r="BX271" s="12" t="n"/>
      <c r="BY271" s="12" t="n"/>
      <c r="BZ271" s="12" t="n"/>
      <c r="CA271" s="12" t="n"/>
      <c r="CB271" s="12" t="n"/>
      <c r="CC271" s="12" t="n"/>
      <c r="CD271" s="12" t="n"/>
      <c r="CE271" s="12" t="n"/>
      <c r="CF271" s="12" t="n"/>
      <c r="CG271" s="12" t="n"/>
      <c r="CH271" s="12" t="n"/>
      <c r="CI271" s="12" t="n"/>
      <c r="CJ271" s="12" t="n"/>
      <c r="CK271" s="12" t="n"/>
      <c r="CL271" s="12" t="n"/>
      <c r="CM271" s="12" t="n"/>
      <c r="CN271" s="12" t="n"/>
      <c r="CO271" s="12" t="n"/>
      <c r="CP271" s="12" t="n"/>
      <c r="CQ271" s="12" t="n"/>
      <c r="CR271" s="12" t="n"/>
      <c r="CS271" s="12" t="n"/>
      <c r="CT271" s="12" t="n"/>
      <c r="CU271" s="12" t="n"/>
      <c r="CV271" s="12" t="n"/>
      <c r="CW271" s="12" t="n"/>
      <c r="CX271" s="12" t="n"/>
      <c r="CY271" s="12" t="n"/>
    </row>
    <row r="272" hidden="1" outlineLevel="1">
      <c r="C272" s="10" t="inlineStr">
        <is>
          <t>Accounts receivable</t>
        </is>
      </c>
      <c r="D272" s="12" t="n"/>
      <c r="E272" s="12" t="n"/>
      <c r="F272" s="12" t="n"/>
      <c r="G272" s="12" t="n"/>
      <c r="H272" s="12" t="n"/>
      <c r="I272" s="12" t="n"/>
      <c r="J272" s="12">
        <f>(J137-I137)*-1</f>
        <v>148</v>
      </c>
      <c r="K272" s="12">
        <f>(K137-J137)*-1</f>
        <v>169</v>
      </c>
      <c r="L272" s="12">
        <f>(L137-K137)*-1</f>
        <v>-237</v>
      </c>
      <c r="M272" s="12" t="n"/>
      <c r="N272" s="12">
        <f>(N137-M137)*-1</f>
        <v>-369</v>
      </c>
      <c r="O272" s="12">
        <f>(O137-N137)*-1</f>
        <v>560</v>
      </c>
      <c r="P272" s="12">
        <f>(P137-O137)*-1</f>
        <v>133</v>
      </c>
      <c r="Q272" s="12">
        <f>(Q137-P137)*-1</f>
        <v>-492</v>
      </c>
      <c r="R272" s="12">
        <f>SUM(N272:Q272)</f>
        <v>-168</v>
      </c>
      <c r="S272" s="12">
        <f>(S137-R137)*-1</f>
        <v>202</v>
      </c>
      <c r="T272" s="12">
        <f>(T137-S137)*-1</f>
        <v>459</v>
      </c>
      <c r="U272" s="12">
        <f>(U137-T137)*-1</f>
        <v>-117</v>
      </c>
      <c r="V272" s="12">
        <f>(V137-U137)*-1</f>
        <v>-417</v>
      </c>
      <c r="W272" s="12">
        <f>SUM(S272:V272)</f>
        <v>127</v>
      </c>
      <c r="X272" s="12">
        <f>(X137-W137)*-1</f>
        <v>-285</v>
      </c>
      <c r="Y272" s="12">
        <f>(Y137-X137)*-1</f>
        <v>366</v>
      </c>
      <c r="Z272" s="12">
        <f>(Z137-Y137)*-1</f>
        <v>149</v>
      </c>
      <c r="AA272" s="12">
        <f>(AA137-Z137)*-1</f>
        <v>401</v>
      </c>
      <c r="AB272" s="12">
        <f>SUM(X272:AA272)</f>
        <v>631</v>
      </c>
      <c r="AC272" s="12">
        <f>(AC137-AB137)*-1</f>
        <v>-165</v>
      </c>
      <c r="AD272" s="12">
        <f>(AD137-AC137)*-1</f>
        <v>-198</v>
      </c>
      <c r="AE272" s="12">
        <f>(AE137-AD137)*-1</f>
        <v>25</v>
      </c>
      <c r="AF272" s="12">
        <f>(AF137-AE137)*-1</f>
        <v>-61</v>
      </c>
      <c r="AG272" s="12">
        <f>SUM(AC272:AF272)</f>
        <v>-399</v>
      </c>
      <c r="AH272" s="12">
        <f>(AH137-AG137)*-1</f>
        <v>296</v>
      </c>
      <c r="AI272" s="12">
        <f>(AI137-AH137)*-1</f>
        <v>-35</v>
      </c>
      <c r="AJ272" s="12">
        <f>(AJ137-AI137)*-1</f>
        <v>-181.045050135974</v>
      </c>
      <c r="AK272" s="12">
        <f>(AK137-AJ137)*-1</f>
        <v>172.281027270807</v>
      </c>
      <c r="AL272" s="12">
        <f>SUM(AH272:AK272)</f>
        <v>252.235977134834</v>
      </c>
      <c r="AM272" s="12">
        <f>(AM137-AL137)*-1</f>
        <v>-95.1512788406803</v>
      </c>
      <c r="AN272" s="12">
        <f>(AN137-AM137)*-1</f>
        <v>-94.4018231220831</v>
      </c>
      <c r="AO272" s="12">
        <f>(AO137-AN137)*-1</f>
        <v>5.63923103916386</v>
      </c>
      <c r="AP272" s="12">
        <f>(AP137-AO137)*-1</f>
        <v>174.515160611468</v>
      </c>
      <c r="AQ272" s="12">
        <f>SUM(AM272:AP272)</f>
        <v>-9.39871031213113</v>
      </c>
      <c r="AR272" s="12">
        <f>(AR137-AQ137)*-1</f>
        <v>-83.2037702009111</v>
      </c>
      <c r="AS272" s="12">
        <f>(AS137-AR137)*-1</f>
        <v>-104.235863039088</v>
      </c>
      <c r="AT272" s="12">
        <f>(AT137-AS137)*-1</f>
        <v>5.68416420226788</v>
      </c>
      <c r="AU272" s="12">
        <f>(AU137-AT137)*-1</f>
        <v>175.905690299186</v>
      </c>
      <c r="AV272" s="12">
        <f>SUM(AR272:AU272)</f>
        <v>-5.84977873854575</v>
      </c>
      <c r="AW272" s="12">
        <f>(AW137-AV137)*-1</f>
        <v>-88.8887065325024</v>
      </c>
      <c r="AX272" s="12">
        <f>(AX137-AW137)*-1</f>
        <v>-95.4364262343198</v>
      </c>
      <c r="AY272" s="12">
        <f>(AY137-AX137)*-1</f>
        <v>5.70103456997299</v>
      </c>
      <c r="AZ272" s="12">
        <f>(AZ137-AY137)*-1</f>
        <v>176.427771219291</v>
      </c>
      <c r="BA272" s="12">
        <f>SUM(AW272:AZ272)</f>
        <v>-2.19632697755856</v>
      </c>
      <c r="BB272" s="12">
        <f>(BB137-BA137)*-1</f>
        <v>-86.6923795549438</v>
      </c>
      <c r="BC272" s="12">
        <f>(BC137-BB137)*-1</f>
        <v>-95.4364262343198</v>
      </c>
      <c r="BD272" s="12">
        <f>(BD137-BC137)*-1</f>
        <v>5.70103456997299</v>
      </c>
      <c r="BE272" s="12">
        <f>(BE137-BD137)*-1</f>
        <v>176.427771219291</v>
      </c>
      <c r="BF272" s="12">
        <f>SUM(BB272:BE272)</f>
        <v>0</v>
      </c>
      <c r="BG272" s="12" t="n"/>
      <c r="BH272" s="12" t="n"/>
      <c r="BI272" s="12" t="n"/>
      <c r="BJ272" s="12" t="n"/>
      <c r="BK272" s="12" t="n"/>
      <c r="BL272" s="12" t="n"/>
      <c r="BM272" s="12" t="n"/>
      <c r="BN272" s="12" t="n"/>
      <c r="BO272" s="12" t="n"/>
      <c r="BP272" s="12" t="n"/>
      <c r="BQ272" s="12" t="n"/>
      <c r="BR272" s="12" t="n"/>
      <c r="BS272" s="12" t="n"/>
      <c r="BT272" s="12" t="n"/>
      <c r="BU272" s="12" t="n"/>
      <c r="BV272" s="12" t="n"/>
      <c r="BW272" s="12" t="n"/>
      <c r="BX272" s="12" t="n"/>
      <c r="BY272" s="12" t="n"/>
      <c r="BZ272" s="12" t="n"/>
      <c r="CA272" s="12" t="n"/>
      <c r="CB272" s="12" t="n"/>
      <c r="CC272" s="12" t="n"/>
      <c r="CD272" s="12" t="n"/>
      <c r="CE272" s="12" t="n"/>
      <c r="CF272" s="12" t="n"/>
      <c r="CG272" s="12" t="n"/>
      <c r="CH272" s="12" t="n"/>
      <c r="CI272" s="12" t="n"/>
      <c r="CJ272" s="12" t="n"/>
      <c r="CK272" s="12" t="n"/>
      <c r="CL272" s="12" t="n"/>
      <c r="CM272" s="12" t="n"/>
      <c r="CN272" s="12" t="n"/>
      <c r="CO272" s="12" t="n"/>
      <c r="CP272" s="12" t="n"/>
      <c r="CQ272" s="12" t="n"/>
      <c r="CR272" s="12" t="n"/>
      <c r="CS272" s="12" t="n"/>
      <c r="CT272" s="12" t="n"/>
      <c r="CU272" s="12" t="n"/>
      <c r="CV272" s="12" t="n"/>
      <c r="CW272" s="12" t="n"/>
      <c r="CX272" s="12" t="n"/>
      <c r="CY272" s="12" t="n"/>
    </row>
    <row r="273" hidden="1" outlineLevel="1">
      <c r="C273" s="10" t="inlineStr">
        <is>
          <t>Inventories</t>
        </is>
      </c>
      <c r="D273" s="12" t="n"/>
      <c r="E273" s="12" t="n"/>
      <c r="F273" s="12" t="n"/>
      <c r="G273" s="12" t="n"/>
      <c r="H273" s="12" t="n"/>
      <c r="I273" s="12" t="n"/>
      <c r="J273" s="12">
        <f>(J141-I141)*-1</f>
        <v>0</v>
      </c>
      <c r="K273" s="12">
        <f>(K141-J141)*-1</f>
        <v>0</v>
      </c>
      <c r="L273" s="12">
        <f>(L141-K141)*-1</f>
        <v>0</v>
      </c>
      <c r="M273" s="12" t="n"/>
      <c r="N273" s="12">
        <f>(N141-M141)*-1</f>
        <v>0</v>
      </c>
      <c r="O273" s="12">
        <f>(O141-N141)*-1</f>
        <v>0</v>
      </c>
      <c r="P273" s="12">
        <f>(P141-O141)*-1</f>
        <v>0</v>
      </c>
      <c r="Q273" s="12">
        <f>(Q141-P141)*-1</f>
        <v>0</v>
      </c>
      <c r="R273" s="12">
        <f>SUM(N273:Q273)</f>
        <v>0</v>
      </c>
      <c r="S273" s="12">
        <f>(S141-R141)*-1</f>
        <v>0</v>
      </c>
      <c r="T273" s="12">
        <f>(T141-S141)*-1</f>
        <v>0</v>
      </c>
      <c r="U273" s="12">
        <f>(U141-T141)*-1</f>
        <v>0</v>
      </c>
      <c r="V273" s="12">
        <f>(V141-U141)*-1</f>
        <v>0</v>
      </c>
      <c r="W273" s="12">
        <f>SUM(S273:V273)</f>
        <v>0</v>
      </c>
      <c r="X273" s="12">
        <f>(X141-W141)*-1</f>
        <v>0</v>
      </c>
      <c r="Y273" s="12">
        <f>(Y141-X141)*-1</f>
        <v>0</v>
      </c>
      <c r="Z273" s="12">
        <f>(Z141-Y141)*-1</f>
        <v>0</v>
      </c>
      <c r="AA273" s="12">
        <f>(AA141-Z141)*-1</f>
        <v>0</v>
      </c>
      <c r="AB273" s="12">
        <f>SUM(X273:AA273)</f>
        <v>0</v>
      </c>
      <c r="AC273" s="12">
        <f>(AC141-AB141)*-1</f>
        <v>0</v>
      </c>
      <c r="AD273" s="12">
        <f>(AD141-AC141)*-1</f>
        <v>0</v>
      </c>
      <c r="AE273" s="12">
        <f>(AE141-AD141)*-1</f>
        <v>0</v>
      </c>
      <c r="AF273" s="12">
        <f>(AF141-AE141)*-1</f>
        <v>0</v>
      </c>
      <c r="AG273" s="12">
        <f>SUM(AC273:AF273)</f>
        <v>0</v>
      </c>
      <c r="AH273" s="12">
        <f>(AH141-AG141)*-1</f>
        <v>0</v>
      </c>
      <c r="AI273" s="12">
        <f>(AI141-AH141)*-1</f>
        <v>0</v>
      </c>
      <c r="AJ273" s="12">
        <f>(AJ141-AI141)*-1</f>
        <v>0</v>
      </c>
      <c r="AK273" s="12">
        <f>(AK141-AJ141)*-1</f>
        <v>0</v>
      </c>
      <c r="AL273" s="12">
        <f>SUM(AH273:AK273)</f>
        <v>0</v>
      </c>
      <c r="AM273" s="12">
        <f>(AM141-AL141)*-1</f>
        <v>0</v>
      </c>
      <c r="AN273" s="12">
        <f>(AN141-AM141)*-1</f>
        <v>0</v>
      </c>
      <c r="AO273" s="12">
        <f>(AO141-AN141)*-1</f>
        <v>0</v>
      </c>
      <c r="AP273" s="12">
        <f>(AP141-AO141)*-1</f>
        <v>0</v>
      </c>
      <c r="AQ273" s="12">
        <f>SUM(AM273:AP273)</f>
        <v>0</v>
      </c>
      <c r="AR273" s="12">
        <f>(AR141-AQ141)*-1</f>
        <v>0</v>
      </c>
      <c r="AS273" s="12">
        <f>(AS141-AR141)*-1</f>
        <v>0</v>
      </c>
      <c r="AT273" s="12">
        <f>(AT141-AS141)*-1</f>
        <v>0</v>
      </c>
      <c r="AU273" s="12">
        <f>(AU141-AT141)*-1</f>
        <v>0</v>
      </c>
      <c r="AV273" s="12">
        <f>SUM(AR273:AU273)</f>
        <v>0</v>
      </c>
      <c r="AW273" s="12">
        <f>(AW141-AV141)*-1</f>
        <v>0</v>
      </c>
      <c r="AX273" s="12">
        <f>(AX141-AW141)*-1</f>
        <v>0</v>
      </c>
      <c r="AY273" s="12">
        <f>(AY141-AX141)*-1</f>
        <v>0</v>
      </c>
      <c r="AZ273" s="12">
        <f>(AZ141-AY141)*-1</f>
        <v>0</v>
      </c>
      <c r="BA273" s="12">
        <f>SUM(AW273:AZ273)</f>
        <v>0</v>
      </c>
      <c r="BB273" s="12">
        <f>(BB141-BA141)*-1</f>
        <v>0</v>
      </c>
      <c r="BC273" s="12">
        <f>(BC141-BB141)*-1</f>
        <v>0</v>
      </c>
      <c r="BD273" s="12">
        <f>(BD141-BC141)*-1</f>
        <v>0</v>
      </c>
      <c r="BE273" s="12">
        <f>(BE141-BD141)*-1</f>
        <v>0</v>
      </c>
      <c r="BF273" s="12">
        <f>SUM(BB273:BE273)</f>
        <v>0</v>
      </c>
      <c r="BG273" s="12" t="n"/>
      <c r="BH273" s="12" t="n"/>
      <c r="BI273" s="12" t="n"/>
      <c r="BJ273" s="12" t="n"/>
      <c r="BK273" s="12" t="n"/>
      <c r="BL273" s="12" t="n"/>
      <c r="BM273" s="12" t="n"/>
      <c r="BN273" s="12" t="n"/>
      <c r="BO273" s="12" t="n"/>
      <c r="BP273" s="12" t="n"/>
      <c r="BQ273" s="12" t="n"/>
      <c r="BR273" s="12" t="n"/>
      <c r="BS273" s="12" t="n"/>
      <c r="BT273" s="12" t="n"/>
      <c r="BU273" s="12" t="n"/>
      <c r="BV273" s="12" t="n"/>
      <c r="BW273" s="12" t="n"/>
      <c r="BX273" s="12" t="n"/>
      <c r="BY273" s="12" t="n"/>
      <c r="BZ273" s="12" t="n"/>
      <c r="CA273" s="12" t="n"/>
      <c r="CB273" s="12" t="n"/>
      <c r="CC273" s="12" t="n"/>
      <c r="CD273" s="12" t="n"/>
      <c r="CE273" s="12" t="n"/>
      <c r="CF273" s="12" t="n"/>
      <c r="CG273" s="12" t="n"/>
      <c r="CH273" s="12" t="n"/>
      <c r="CI273" s="12" t="n"/>
      <c r="CJ273" s="12" t="n"/>
      <c r="CK273" s="12" t="n"/>
      <c r="CL273" s="12" t="n"/>
      <c r="CM273" s="12" t="n"/>
      <c r="CN273" s="12" t="n"/>
      <c r="CO273" s="12" t="n"/>
      <c r="CP273" s="12" t="n"/>
      <c r="CQ273" s="12" t="n"/>
      <c r="CR273" s="12" t="n"/>
      <c r="CS273" s="12" t="n"/>
      <c r="CT273" s="12" t="n"/>
      <c r="CU273" s="12" t="n"/>
      <c r="CV273" s="12" t="n"/>
      <c r="CW273" s="12" t="n"/>
      <c r="CX273" s="12" t="n"/>
      <c r="CY273" s="12" t="n"/>
    </row>
    <row r="274" hidden="1" outlineLevel="1">
      <c r="C274" s="10" t="inlineStr">
        <is>
          <t>Deferred income taxes</t>
        </is>
      </c>
      <c r="D274" s="12" t="n"/>
      <c r="E274" s="12" t="n"/>
      <c r="F274" s="12" t="n"/>
      <c r="G274" s="12" t="n"/>
      <c r="H274" s="12" t="n"/>
      <c r="I274" s="12" t="n"/>
      <c r="J274" s="12">
        <f>(J145-I145)*-1</f>
        <v>0</v>
      </c>
      <c r="K274" s="12">
        <f>(K145-J145)*-1</f>
        <v>0</v>
      </c>
      <c r="L274" s="12">
        <f>(L145-K145)*-1</f>
        <v>0</v>
      </c>
      <c r="M274" s="12" t="n"/>
      <c r="N274" s="12">
        <f>(N145-M145)*-1</f>
        <v>0</v>
      </c>
      <c r="O274" s="12">
        <f>(O145-N145)*-1</f>
        <v>0</v>
      </c>
      <c r="P274" s="12">
        <f>(P145-O145)*-1</f>
        <v>0</v>
      </c>
      <c r="Q274" s="12">
        <f>(Q145-P145)*-1</f>
        <v>0</v>
      </c>
      <c r="R274" s="12">
        <f>SUM(N274:Q274)</f>
        <v>0</v>
      </c>
      <c r="S274" s="12">
        <f>(S145-R145)*-1</f>
        <v>0</v>
      </c>
      <c r="T274" s="12">
        <f>(T145-S145)*-1</f>
        <v>0</v>
      </c>
      <c r="U274" s="12">
        <f>(U145-T145)*-1</f>
        <v>0</v>
      </c>
      <c r="V274" s="12">
        <f>(V145-U145)*-1</f>
        <v>0</v>
      </c>
      <c r="W274" s="12">
        <f>SUM(S274:V274)</f>
        <v>0</v>
      </c>
      <c r="X274" s="12">
        <f>(X145-W145)*-1</f>
        <v>0</v>
      </c>
      <c r="Y274" s="12">
        <f>(Y145-X145)*-1</f>
        <v>0</v>
      </c>
      <c r="Z274" s="12">
        <f>(Z145-Y145)*-1</f>
        <v>0</v>
      </c>
      <c r="AA274" s="12">
        <f>(AA145-Z145)*-1</f>
        <v>0</v>
      </c>
      <c r="AB274" s="12">
        <f>SUM(X274:AA274)</f>
        <v>0</v>
      </c>
      <c r="AC274" s="12">
        <f>(AC145-AB145)*-1</f>
        <v>0</v>
      </c>
      <c r="AD274" s="12">
        <f>(AD145-AC145)*-1</f>
        <v>0</v>
      </c>
      <c r="AE274" s="12">
        <f>(AE145-AD145)*-1</f>
        <v>0</v>
      </c>
      <c r="AF274" s="12">
        <f>(AF145-AE145)*-1</f>
        <v>0</v>
      </c>
      <c r="AG274" s="12">
        <f>SUM(AC274:AF274)</f>
        <v>0</v>
      </c>
      <c r="AH274" s="12">
        <f>(AH145-AG145)*-1</f>
        <v>0</v>
      </c>
      <c r="AI274" s="12">
        <f>(AI145-AH145)*-1</f>
        <v>0</v>
      </c>
      <c r="AJ274" s="12">
        <f>(AJ145-AI145)*-1</f>
        <v>0</v>
      </c>
      <c r="AK274" s="12">
        <f>(AK145-AJ145)*-1</f>
        <v>0</v>
      </c>
      <c r="AL274" s="12">
        <f>SUM(AH274:AK274)</f>
        <v>0</v>
      </c>
      <c r="AM274" s="12">
        <f>(AM145-AL145)*-1</f>
        <v>0</v>
      </c>
      <c r="AN274" s="12">
        <f>(AN145-AM145)*-1</f>
        <v>0</v>
      </c>
      <c r="AO274" s="12">
        <f>(AO145-AN145)*-1</f>
        <v>0</v>
      </c>
      <c r="AP274" s="12">
        <f>(AP145-AO145)*-1</f>
        <v>0</v>
      </c>
      <c r="AQ274" s="12">
        <f>SUM(AM274:AP274)</f>
        <v>0</v>
      </c>
      <c r="AR274" s="12">
        <f>(AR145-AQ145)*-1</f>
        <v>0</v>
      </c>
      <c r="AS274" s="12">
        <f>(AS145-AR145)*-1</f>
        <v>0</v>
      </c>
      <c r="AT274" s="12">
        <f>(AT145-AS145)*-1</f>
        <v>0</v>
      </c>
      <c r="AU274" s="12">
        <f>(AU145-AT145)*-1</f>
        <v>0</v>
      </c>
      <c r="AV274" s="12">
        <f>SUM(AR274:AU274)</f>
        <v>0</v>
      </c>
      <c r="AW274" s="12">
        <f>(AW145-AV145)*-1</f>
        <v>0</v>
      </c>
      <c r="AX274" s="12">
        <f>(AX145-AW145)*-1</f>
        <v>0</v>
      </c>
      <c r="AY274" s="12">
        <f>(AY145-AX145)*-1</f>
        <v>0</v>
      </c>
      <c r="AZ274" s="12">
        <f>(AZ145-AY145)*-1</f>
        <v>0</v>
      </c>
      <c r="BA274" s="12">
        <f>SUM(AW274:AZ274)</f>
        <v>0</v>
      </c>
      <c r="BB274" s="12">
        <f>(BB145-BA145)*-1</f>
        <v>0</v>
      </c>
      <c r="BC274" s="12">
        <f>(BC145-BB145)*-1</f>
        <v>0</v>
      </c>
      <c r="BD274" s="12">
        <f>(BD145-BC145)*-1</f>
        <v>0</v>
      </c>
      <c r="BE274" s="12">
        <f>(BE145-BD145)*-1</f>
        <v>0</v>
      </c>
      <c r="BF274" s="12">
        <f>SUM(BB274:BE274)</f>
        <v>0</v>
      </c>
      <c r="BG274" s="12" t="n"/>
      <c r="BH274" s="12" t="n"/>
      <c r="BI274" s="12" t="n"/>
      <c r="BJ274" s="12" t="n"/>
      <c r="BK274" s="12" t="n"/>
      <c r="BL274" s="12" t="n"/>
      <c r="BM274" s="12" t="n"/>
      <c r="BN274" s="12" t="n"/>
      <c r="BO274" s="12" t="n"/>
      <c r="BP274" s="12" t="n"/>
      <c r="BQ274" s="12" t="n"/>
      <c r="BR274" s="12" t="n"/>
      <c r="BS274" s="12" t="n"/>
      <c r="BT274" s="12" t="n"/>
      <c r="BU274" s="12" t="n"/>
      <c r="BV274" s="12" t="n"/>
      <c r="BW274" s="12" t="n"/>
      <c r="BX274" s="12" t="n"/>
      <c r="BY274" s="12" t="n"/>
      <c r="BZ274" s="12" t="n"/>
      <c r="CA274" s="12" t="n"/>
      <c r="CB274" s="12" t="n"/>
      <c r="CC274" s="12" t="n"/>
      <c r="CD274" s="12" t="n"/>
      <c r="CE274" s="12" t="n"/>
      <c r="CF274" s="12" t="n"/>
      <c r="CG274" s="12" t="n"/>
      <c r="CH274" s="12" t="n"/>
      <c r="CI274" s="12" t="n"/>
      <c r="CJ274" s="12" t="n"/>
      <c r="CK274" s="12" t="n"/>
      <c r="CL274" s="12" t="n"/>
      <c r="CM274" s="12" t="n"/>
      <c r="CN274" s="12" t="n"/>
      <c r="CO274" s="12" t="n"/>
      <c r="CP274" s="12" t="n"/>
      <c r="CQ274" s="12" t="n"/>
      <c r="CR274" s="12" t="n"/>
      <c r="CS274" s="12" t="n"/>
      <c r="CT274" s="12" t="n"/>
      <c r="CU274" s="12" t="n"/>
      <c r="CV274" s="12" t="n"/>
      <c r="CW274" s="12" t="n"/>
      <c r="CX274" s="12" t="n"/>
      <c r="CY274" s="12" t="n"/>
    </row>
    <row r="275" hidden="1" outlineLevel="1">
      <c r="C275" s="10" t="inlineStr">
        <is>
          <t>Prepaid expenses</t>
        </is>
      </c>
      <c r="D275" s="12" t="n"/>
      <c r="E275" s="12" t="n"/>
      <c r="F275" s="12" t="n"/>
      <c r="G275" s="12" t="n"/>
      <c r="H275" s="12" t="n"/>
      <c r="I275" s="12" t="n"/>
      <c r="J275" s="12">
        <f>(J146-I146)*-1</f>
        <v>0</v>
      </c>
      <c r="K275" s="12">
        <f>(K146-J146)*-1</f>
        <v>0</v>
      </c>
      <c r="L275" s="12">
        <f>(L146-K146)*-1</f>
        <v>0</v>
      </c>
      <c r="M275" s="12" t="n"/>
      <c r="N275" s="12">
        <f>(N146-M146)*-1</f>
        <v>0</v>
      </c>
      <c r="O275" s="12">
        <f>(O146-N146)*-1</f>
        <v>0</v>
      </c>
      <c r="P275" s="12">
        <f>(P146-O146)*-1</f>
        <v>0</v>
      </c>
      <c r="Q275" s="12">
        <f>(Q146-P146)*-1</f>
        <v>0</v>
      </c>
      <c r="R275" s="12">
        <f>SUM(N275:Q275)</f>
        <v>0</v>
      </c>
      <c r="S275" s="12">
        <f>(S146-R146)*-1</f>
        <v>0</v>
      </c>
      <c r="T275" s="12">
        <f>(T146-S146)*-1</f>
        <v>0</v>
      </c>
      <c r="U275" s="12">
        <f>(U146-T146)*-1</f>
        <v>0</v>
      </c>
      <c r="V275" s="12">
        <f>(V146-U146)*-1</f>
        <v>0</v>
      </c>
      <c r="W275" s="12">
        <f>SUM(S275:V275)</f>
        <v>0</v>
      </c>
      <c r="X275" s="12">
        <f>(X146-W146)*-1</f>
        <v>0</v>
      </c>
      <c r="Y275" s="12">
        <f>(Y146-X146)*-1</f>
        <v>0</v>
      </c>
      <c r="Z275" s="12">
        <f>(Z146-Y146)*-1</f>
        <v>0</v>
      </c>
      <c r="AA275" s="12">
        <f>(AA146-Z146)*-1</f>
        <v>0</v>
      </c>
      <c r="AB275" s="12">
        <f>SUM(X275:AA275)</f>
        <v>0</v>
      </c>
      <c r="AC275" s="12">
        <f>(AC146-AB146)*-1</f>
        <v>0</v>
      </c>
      <c r="AD275" s="12">
        <f>(AD146-AC146)*-1</f>
        <v>0</v>
      </c>
      <c r="AE275" s="12">
        <f>(AE146-AD146)*-1</f>
        <v>0</v>
      </c>
      <c r="AF275" s="12">
        <f>(AF146-AE146)*-1</f>
        <v>0</v>
      </c>
      <c r="AG275" s="12">
        <f>SUM(AC275:AF275)</f>
        <v>0</v>
      </c>
      <c r="AH275" s="12">
        <f>(AH146-AG146)*-1</f>
        <v>0</v>
      </c>
      <c r="AI275" s="12">
        <f>(AI146-AH146)*-1</f>
        <v>0</v>
      </c>
      <c r="AJ275" s="12">
        <f>(AJ146-AI146)*-1</f>
        <v>0</v>
      </c>
      <c r="AK275" s="12">
        <f>(AK146-AJ146)*-1</f>
        <v>0</v>
      </c>
      <c r="AL275" s="12">
        <f>SUM(AH275:AK275)</f>
        <v>0</v>
      </c>
      <c r="AM275" s="12">
        <f>(AM146-AL146)*-1</f>
        <v>0</v>
      </c>
      <c r="AN275" s="12">
        <f>(AN146-AM146)*-1</f>
        <v>0</v>
      </c>
      <c r="AO275" s="12">
        <f>(AO146-AN146)*-1</f>
        <v>0</v>
      </c>
      <c r="AP275" s="12">
        <f>(AP146-AO146)*-1</f>
        <v>0</v>
      </c>
      <c r="AQ275" s="12">
        <f>SUM(AM275:AP275)</f>
        <v>0</v>
      </c>
      <c r="AR275" s="12">
        <f>(AR146-AQ146)*-1</f>
        <v>0</v>
      </c>
      <c r="AS275" s="12">
        <f>(AS146-AR146)*-1</f>
        <v>0</v>
      </c>
      <c r="AT275" s="12">
        <f>(AT146-AS146)*-1</f>
        <v>0</v>
      </c>
      <c r="AU275" s="12">
        <f>(AU146-AT146)*-1</f>
        <v>0</v>
      </c>
      <c r="AV275" s="12">
        <f>SUM(AR275:AU275)</f>
        <v>0</v>
      </c>
      <c r="AW275" s="12">
        <f>(AW146-AV146)*-1</f>
        <v>0</v>
      </c>
      <c r="AX275" s="12">
        <f>(AX146-AW146)*-1</f>
        <v>0</v>
      </c>
      <c r="AY275" s="12">
        <f>(AY146-AX146)*-1</f>
        <v>0</v>
      </c>
      <c r="AZ275" s="12">
        <f>(AZ146-AY146)*-1</f>
        <v>0</v>
      </c>
      <c r="BA275" s="12">
        <f>SUM(AW275:AZ275)</f>
        <v>0</v>
      </c>
      <c r="BB275" s="12">
        <f>(BB146-BA146)*-1</f>
        <v>0</v>
      </c>
      <c r="BC275" s="12">
        <f>(BC146-BB146)*-1</f>
        <v>0</v>
      </c>
      <c r="BD275" s="12">
        <f>(BD146-BC146)*-1</f>
        <v>0</v>
      </c>
      <c r="BE275" s="12">
        <f>(BE146-BD146)*-1</f>
        <v>0</v>
      </c>
      <c r="BF275" s="12">
        <f>SUM(BB275:BE275)</f>
        <v>0</v>
      </c>
      <c r="BG275" s="12" t="n"/>
      <c r="BH275" s="12" t="n"/>
      <c r="BI275" s="12" t="n"/>
      <c r="BJ275" s="12" t="n"/>
      <c r="BK275" s="12" t="n"/>
      <c r="BL275" s="12" t="n"/>
      <c r="BM275" s="12" t="n"/>
      <c r="BN275" s="12" t="n"/>
      <c r="BO275" s="12" t="n"/>
      <c r="BP275" s="12" t="n"/>
      <c r="BQ275" s="12" t="n"/>
      <c r="BR275" s="12" t="n"/>
      <c r="BS275" s="12" t="n"/>
      <c r="BT275" s="12" t="n"/>
      <c r="BU275" s="12" t="n"/>
      <c r="BV275" s="12" t="n"/>
      <c r="BW275" s="12" t="n"/>
      <c r="BX275" s="12" t="n"/>
      <c r="BY275" s="12" t="n"/>
      <c r="BZ275" s="12" t="n"/>
      <c r="CA275" s="12" t="n"/>
      <c r="CB275" s="12" t="n"/>
      <c r="CC275" s="12" t="n"/>
      <c r="CD275" s="12" t="n"/>
      <c r="CE275" s="12" t="n"/>
      <c r="CF275" s="12" t="n"/>
      <c r="CG275" s="12" t="n"/>
      <c r="CH275" s="12" t="n"/>
      <c r="CI275" s="12" t="n"/>
      <c r="CJ275" s="12" t="n"/>
      <c r="CK275" s="12" t="n"/>
      <c r="CL275" s="12" t="n"/>
      <c r="CM275" s="12" t="n"/>
      <c r="CN275" s="12" t="n"/>
      <c r="CO275" s="12" t="n"/>
      <c r="CP275" s="12" t="n"/>
      <c r="CQ275" s="12" t="n"/>
      <c r="CR275" s="12" t="n"/>
      <c r="CS275" s="12" t="n"/>
      <c r="CT275" s="12" t="n"/>
      <c r="CU275" s="12" t="n"/>
      <c r="CV275" s="12" t="n"/>
      <c r="CW275" s="12" t="n"/>
      <c r="CX275" s="12" t="n"/>
      <c r="CY275" s="12" t="n"/>
    </row>
    <row r="276" hidden="1" outlineLevel="1">
      <c r="C276" s="10" t="inlineStr">
        <is>
          <t>Other current assets</t>
        </is>
      </c>
      <c r="D276" s="12" t="n"/>
      <c r="E276" s="12" t="n"/>
      <c r="F276" s="12" t="n"/>
      <c r="G276" s="12" t="n"/>
      <c r="H276" s="12" t="n"/>
      <c r="I276" s="12" t="n"/>
      <c r="J276" s="12">
        <f>(J147-I147)*-1</f>
        <v>-158</v>
      </c>
      <c r="K276" s="12">
        <f>(K147-J147)*-1</f>
        <v>-2</v>
      </c>
      <c r="L276" s="12">
        <f>(L147-K147)*-1</f>
        <v>7908</v>
      </c>
      <c r="M276" s="12" t="n"/>
      <c r="N276" s="12">
        <f>(N147-M147)*-1</f>
        <v>-8147</v>
      </c>
      <c r="O276" s="12">
        <f>(O147-N147)*-1</f>
        <v>-286</v>
      </c>
      <c r="P276" s="12">
        <f>(P147-O147)*-1</f>
        <v>-238</v>
      </c>
      <c r="Q276" s="12">
        <f>(Q147-P147)*-1</f>
        <v>8210</v>
      </c>
      <c r="R276" s="12">
        <f>SUM(N276:Q276)</f>
        <v>-461</v>
      </c>
      <c r="S276" s="12">
        <f>(S147-R147)*-1</f>
        <v>-9019</v>
      </c>
      <c r="T276" s="12">
        <f>(T147-S147)*-1</f>
        <v>61</v>
      </c>
      <c r="U276" s="12">
        <f>(U147-T147)*-1</f>
        <v>-841</v>
      </c>
      <c r="V276" s="12">
        <f>(V147-U147)*-1</f>
        <v>5505</v>
      </c>
      <c r="W276" s="12">
        <f>SUM(S276:V276)</f>
        <v>-4294</v>
      </c>
      <c r="X276" s="12">
        <f>(X147-W147)*-1</f>
        <v>-6105</v>
      </c>
      <c r="Y276" s="12">
        <f>(Y147-X147)*-1</f>
        <v>-181</v>
      </c>
      <c r="Z276" s="12">
        <f>(Z147-Y147)*-1</f>
        <v>-245</v>
      </c>
      <c r="AA276" s="12">
        <f>(AA147-Z147)*-1</f>
        <v>4682</v>
      </c>
      <c r="AB276" s="12">
        <f>SUM(X276:AA276)</f>
        <v>-1849</v>
      </c>
      <c r="AC276" s="12">
        <f>(AC147-AB147)*-1</f>
        <v>-4790</v>
      </c>
      <c r="AD276" s="12">
        <f>(AD147-AC147)*-1</f>
        <v>469</v>
      </c>
      <c r="AE276" s="12">
        <f>(AE147-AD147)*-1</f>
        <v>-125</v>
      </c>
      <c r="AF276" s="12">
        <f>(AF147-AE147)*-1</f>
        <v>3514</v>
      </c>
      <c r="AG276" s="12">
        <f>SUM(AC276:AF276)</f>
        <v>-932</v>
      </c>
      <c r="AH276" s="12">
        <f>(AH147-AG147)*-1</f>
        <v>-4858</v>
      </c>
      <c r="AI276" s="12">
        <f>(AI147-AH147)*-1</f>
        <v>305</v>
      </c>
      <c r="AJ276" s="12">
        <f>(AJ147-AI147)*-1</f>
        <v>0</v>
      </c>
      <c r="AK276" s="12">
        <f>(AK147-AJ147)*-1</f>
        <v>0</v>
      </c>
      <c r="AL276" s="12">
        <f>SUM(AH276:AK276)</f>
        <v>-4553</v>
      </c>
      <c r="AM276" s="12">
        <f>(AM147-AL147)*-1</f>
        <v>0</v>
      </c>
      <c r="AN276" s="12">
        <f>(AN147-AM147)*-1</f>
        <v>0</v>
      </c>
      <c r="AO276" s="12">
        <f>(AO147-AN147)*-1</f>
        <v>0</v>
      </c>
      <c r="AP276" s="12">
        <f>(AP147-AO147)*-1</f>
        <v>0</v>
      </c>
      <c r="AQ276" s="12">
        <f>SUM(AM276:AP276)</f>
        <v>0</v>
      </c>
      <c r="AR276" s="12">
        <f>(AR147-AQ147)*-1</f>
        <v>0</v>
      </c>
      <c r="AS276" s="12">
        <f>(AS147-AR147)*-1</f>
        <v>0</v>
      </c>
      <c r="AT276" s="12">
        <f>(AT147-AS147)*-1</f>
        <v>0</v>
      </c>
      <c r="AU276" s="12">
        <f>(AU147-AT147)*-1</f>
        <v>0</v>
      </c>
      <c r="AV276" s="12">
        <f>SUM(AR276:AU276)</f>
        <v>0</v>
      </c>
      <c r="AW276" s="12">
        <f>(AW147-AV147)*-1</f>
        <v>0</v>
      </c>
      <c r="AX276" s="12">
        <f>(AX147-AW147)*-1</f>
        <v>0</v>
      </c>
      <c r="AY276" s="12">
        <f>(AY147-AX147)*-1</f>
        <v>0</v>
      </c>
      <c r="AZ276" s="12">
        <f>(AZ147-AY147)*-1</f>
        <v>0</v>
      </c>
      <c r="BA276" s="12">
        <f>SUM(AW276:AZ276)</f>
        <v>0</v>
      </c>
      <c r="BB276" s="12">
        <f>(BB147-BA147)*-1</f>
        <v>0</v>
      </c>
      <c r="BC276" s="12">
        <f>(BC147-BB147)*-1</f>
        <v>0</v>
      </c>
      <c r="BD276" s="12">
        <f>(BD147-BC147)*-1</f>
        <v>0</v>
      </c>
      <c r="BE276" s="12">
        <f>(BE147-BD147)*-1</f>
        <v>0</v>
      </c>
      <c r="BF276" s="12">
        <f>SUM(BB276:BE276)</f>
        <v>0</v>
      </c>
      <c r="BG276" s="12" t="n"/>
      <c r="BH276" s="12" t="n"/>
      <c r="BI276" s="12" t="n"/>
      <c r="BJ276" s="12" t="n"/>
      <c r="BK276" s="12" t="n"/>
      <c r="BL276" s="12" t="n"/>
      <c r="BM276" s="12" t="n"/>
      <c r="BN276" s="12" t="n"/>
      <c r="BO276" s="12" t="n"/>
      <c r="BP276" s="12" t="n"/>
      <c r="BQ276" s="12" t="n"/>
      <c r="BR276" s="12" t="n"/>
      <c r="BS276" s="12" t="n"/>
      <c r="BT276" s="12" t="n"/>
      <c r="BU276" s="12" t="n"/>
      <c r="BV276" s="12" t="n"/>
      <c r="BW276" s="12" t="n"/>
      <c r="BX276" s="12" t="n"/>
      <c r="BY276" s="12" t="n"/>
      <c r="BZ276" s="12" t="n"/>
      <c r="CA276" s="12" t="n"/>
      <c r="CB276" s="12" t="n"/>
      <c r="CC276" s="12" t="n"/>
      <c r="CD276" s="12" t="n"/>
      <c r="CE276" s="12" t="n"/>
      <c r="CF276" s="12" t="n"/>
      <c r="CG276" s="12" t="n"/>
      <c r="CH276" s="12" t="n"/>
      <c r="CI276" s="12" t="n"/>
      <c r="CJ276" s="12" t="n"/>
      <c r="CK276" s="12" t="n"/>
      <c r="CL276" s="12" t="n"/>
      <c r="CM276" s="12" t="n"/>
      <c r="CN276" s="12" t="n"/>
      <c r="CO276" s="12" t="n"/>
      <c r="CP276" s="12" t="n"/>
      <c r="CQ276" s="12" t="n"/>
      <c r="CR276" s="12" t="n"/>
      <c r="CS276" s="12" t="n"/>
      <c r="CT276" s="12" t="n"/>
      <c r="CU276" s="12" t="n"/>
      <c r="CV276" s="12" t="n"/>
      <c r="CW276" s="12" t="n"/>
      <c r="CX276" s="12" t="n"/>
      <c r="CY276" s="12" t="n"/>
    </row>
    <row r="277" hidden="1" outlineLevel="1">
      <c r="C277" s="10" t="inlineStr">
        <is>
          <t>Accounts payable</t>
        </is>
      </c>
      <c r="D277" s="12" t="n"/>
      <c r="E277" s="12" t="n"/>
      <c r="F277" s="12" t="n"/>
      <c r="G277" s="12" t="n"/>
      <c r="H277" s="12" t="n"/>
      <c r="I277" s="12" t="n"/>
      <c r="J277" s="12">
        <f>J190-I190</f>
        <v>240</v>
      </c>
      <c r="K277" s="12">
        <f>K190-J190</f>
        <v>-157</v>
      </c>
      <c r="L277" s="12">
        <f>L190-K190</f>
        <v>546</v>
      </c>
      <c r="M277" s="12" t="n"/>
      <c r="N277" s="12">
        <f>N190-M190</f>
        <v>-332</v>
      </c>
      <c r="O277" s="12">
        <f>O190-N190</f>
        <v>690</v>
      </c>
      <c r="P277" s="12">
        <f>P190-O190</f>
        <v>94</v>
      </c>
      <c r="Q277" s="12">
        <f>Q190-P190</f>
        <v>80</v>
      </c>
      <c r="R277" s="12">
        <f>SUM(N277:Q277)</f>
        <v>532</v>
      </c>
      <c r="S277" s="12">
        <f>S190-R190</f>
        <v>-191</v>
      </c>
      <c r="T277" s="12">
        <f>T190-S190</f>
        <v>-194</v>
      </c>
      <c r="U277" s="12">
        <f>U190-T190</f>
        <v>82</v>
      </c>
      <c r="V277" s="12">
        <f>V190-U190</f>
        <v>5</v>
      </c>
      <c r="W277" s="12">
        <f>SUM(S277:V277)</f>
        <v>-298</v>
      </c>
      <c r="X277" s="12">
        <f>X190-W190</f>
        <v>-57</v>
      </c>
      <c r="Y277" s="12">
        <f>Y190-X190</f>
        <v>238</v>
      </c>
      <c r="Z277" s="12">
        <f>Z190-Y190</f>
        <v>-86</v>
      </c>
      <c r="AA277" s="12">
        <f>AA190-Z190</f>
        <v>233</v>
      </c>
      <c r="AB277" s="12">
        <f>SUM(X277:AA277)</f>
        <v>328</v>
      </c>
      <c r="AC277" s="12">
        <f>AC190-AB190</f>
        <v>21</v>
      </c>
      <c r="AD277" s="12">
        <f>AD190-AC190</f>
        <v>210</v>
      </c>
      <c r="AE277" s="12">
        <f>AE190-AD190</f>
        <v>-190</v>
      </c>
      <c r="AF277" s="12">
        <f>AF190-AE190</f>
        <v>467</v>
      </c>
      <c r="AG277" s="12">
        <f>SUM(AC277:AF277)</f>
        <v>508</v>
      </c>
      <c r="AH277" s="12">
        <f>AH190-AG190</f>
        <v>-423</v>
      </c>
      <c r="AI277" s="12">
        <f>AI190-AH190</f>
        <v>440</v>
      </c>
      <c r="AJ277" s="12">
        <f>AJ190-AI190</f>
        <v>52.3265234916726</v>
      </c>
      <c r="AK277" s="12">
        <f>AK190-AJ190</f>
        <v>-890.040621766402</v>
      </c>
      <c r="AL277" s="12">
        <f>SUM(AH277:AK277)</f>
        <v>-820.71409827473</v>
      </c>
      <c r="AM277" s="12">
        <f>AM190-AL190</f>
        <v>491.571850498118</v>
      </c>
      <c r="AN277" s="12">
        <f>AN190-AM190</f>
        <v>487.700002016984</v>
      </c>
      <c r="AO277" s="12">
        <f>AO190-AN190</f>
        <v>-29.133473255255</v>
      </c>
      <c r="AP277" s="12">
        <f>AP190-AO190</f>
        <v>-901.582632277549</v>
      </c>
      <c r="AQ277" s="12">
        <f>SUM(AM277:AP277)</f>
        <v>48.555746982297</v>
      </c>
      <c r="AR277" s="12">
        <f>AR190-AQ190</f>
        <v>429.848466404381</v>
      </c>
      <c r="AS277" s="12">
        <f>AS190-AR190</f>
        <v>538.504754814565</v>
      </c>
      <c r="AT277" s="12">
        <f>AT190-AS190</f>
        <v>-29.365607582874</v>
      </c>
      <c r="AU277" s="12">
        <f>AU190-AT190</f>
        <v>-908.766405949245</v>
      </c>
      <c r="AV277" s="12">
        <f>SUM(AR277:AU277)</f>
        <v>30.2212076868273</v>
      </c>
      <c r="AW277" s="12">
        <f>AW190-AV190</f>
        <v>459.218062972426</v>
      </c>
      <c r="AX277" s="12">
        <f>AX190-AW190</f>
        <v>493.04498290016</v>
      </c>
      <c r="AY277" s="12">
        <f>AY190-AX190</f>
        <v>-29.45276350944</v>
      </c>
      <c r="AZ277" s="12">
        <f>AZ190-AY190</f>
        <v>-911.46358760705</v>
      </c>
      <c r="BA277" s="12">
        <f>SUM(AW277:AZ277)</f>
        <v>11.3466947560964</v>
      </c>
      <c r="BB277" s="12">
        <f>BB190-BA190</f>
        <v>447.87136821633</v>
      </c>
      <c r="BC277" s="12">
        <f>BC190-BB190</f>
        <v>493.04498290016</v>
      </c>
      <c r="BD277" s="12">
        <f>BD190-BC190</f>
        <v>-29.45276350944</v>
      </c>
      <c r="BE277" s="12">
        <f>BE190-BD190</f>
        <v>-911.46358760705</v>
      </c>
      <c r="BF277" s="12">
        <f>SUM(BB277:BE277)</f>
        <v>0</v>
      </c>
      <c r="BG277" s="12" t="n"/>
      <c r="BH277" s="12" t="n"/>
      <c r="BI277" s="12" t="n"/>
      <c r="BJ277" s="12" t="n"/>
      <c r="BK277" s="12" t="n"/>
      <c r="BL277" s="12" t="n"/>
      <c r="BM277" s="12" t="n"/>
      <c r="BN277" s="12" t="n"/>
      <c r="BO277" s="12" t="n"/>
      <c r="BP277" s="12" t="n"/>
      <c r="BQ277" s="12" t="n"/>
      <c r="BR277" s="12" t="n"/>
      <c r="BS277" s="12" t="n"/>
      <c r="BT277" s="12" t="n"/>
      <c r="BU277" s="12" t="n"/>
      <c r="BV277" s="12" t="n"/>
      <c r="BW277" s="12" t="n"/>
      <c r="BX277" s="12" t="n"/>
      <c r="BY277" s="12" t="n"/>
      <c r="BZ277" s="12" t="n"/>
      <c r="CA277" s="12" t="n"/>
      <c r="CB277" s="12" t="n"/>
      <c r="CC277" s="12" t="n"/>
      <c r="CD277" s="12" t="n"/>
      <c r="CE277" s="12" t="n"/>
      <c r="CF277" s="12" t="n"/>
      <c r="CG277" s="12" t="n"/>
      <c r="CH277" s="12" t="n"/>
      <c r="CI277" s="12" t="n"/>
      <c r="CJ277" s="12" t="n"/>
      <c r="CK277" s="12" t="n"/>
      <c r="CL277" s="12" t="n"/>
      <c r="CM277" s="12" t="n"/>
      <c r="CN277" s="12" t="n"/>
      <c r="CO277" s="12" t="n"/>
      <c r="CP277" s="12" t="n"/>
      <c r="CQ277" s="12" t="n"/>
      <c r="CR277" s="12" t="n"/>
      <c r="CS277" s="12" t="n"/>
      <c r="CT277" s="12" t="n"/>
      <c r="CU277" s="12" t="n"/>
      <c r="CV277" s="12" t="n"/>
      <c r="CW277" s="12" t="n"/>
      <c r="CX277" s="12" t="n"/>
      <c r="CY277" s="12" t="n"/>
    </row>
    <row r="278" hidden="1" outlineLevel="1">
      <c r="C278" s="10" t="inlineStr">
        <is>
          <t>Accrued expenses</t>
        </is>
      </c>
      <c r="D278" s="12" t="n"/>
      <c r="E278" s="12" t="n"/>
      <c r="F278" s="12" t="n"/>
      <c r="G278" s="12" t="n"/>
      <c r="H278" s="12" t="n"/>
      <c r="I278" s="12" t="n"/>
      <c r="J278" s="12">
        <f>J194-I194</f>
        <v>0</v>
      </c>
      <c r="K278" s="12">
        <f>K194-J194</f>
        <v>0</v>
      </c>
      <c r="L278" s="12">
        <f>L194-K194</f>
        <v>0</v>
      </c>
      <c r="M278" s="12" t="n"/>
      <c r="N278" s="12">
        <f>N194-M194</f>
        <v>0</v>
      </c>
      <c r="O278" s="12">
        <f>O194-N194</f>
        <v>0</v>
      </c>
      <c r="P278" s="12">
        <f>P194-O194</f>
        <v>0</v>
      </c>
      <c r="Q278" s="12">
        <f>Q194-P194</f>
        <v>0</v>
      </c>
      <c r="R278" s="12">
        <f>SUM(N278:Q278)</f>
        <v>0</v>
      </c>
      <c r="S278" s="12">
        <f>S194-R194</f>
        <v>0</v>
      </c>
      <c r="T278" s="12">
        <f>T194-S194</f>
        <v>0</v>
      </c>
      <c r="U278" s="12">
        <f>U194-T194</f>
        <v>0</v>
      </c>
      <c r="V278" s="12">
        <f>V194-U194</f>
        <v>0</v>
      </c>
      <c r="W278" s="12">
        <f>SUM(S278:V278)</f>
        <v>0</v>
      </c>
      <c r="X278" s="12">
        <f>X194-W194</f>
        <v>0</v>
      </c>
      <c r="Y278" s="12">
        <f>Y194-X194</f>
        <v>0</v>
      </c>
      <c r="Z278" s="12">
        <f>Z194-Y194</f>
        <v>0</v>
      </c>
      <c r="AA278" s="12">
        <f>AA194-Z194</f>
        <v>0</v>
      </c>
      <c r="AB278" s="12">
        <f>SUM(X278:AA278)</f>
        <v>0</v>
      </c>
      <c r="AC278" s="12">
        <f>AC194-AB194</f>
        <v>0</v>
      </c>
      <c r="AD278" s="12">
        <f>AD194-AC194</f>
        <v>0</v>
      </c>
      <c r="AE278" s="12">
        <f>AE194-AD194</f>
        <v>0</v>
      </c>
      <c r="AF278" s="12">
        <f>AF194-AE194</f>
        <v>0</v>
      </c>
      <c r="AG278" s="12">
        <f>SUM(AC278:AF278)</f>
        <v>0</v>
      </c>
      <c r="AH278" s="12">
        <f>AH194-AG194</f>
        <v>0</v>
      </c>
      <c r="AI278" s="12">
        <f>AI194-AH194</f>
        <v>0</v>
      </c>
      <c r="AJ278" s="12">
        <f>AJ194-AI194</f>
        <v>0</v>
      </c>
      <c r="AK278" s="12">
        <f>AK194-AJ194</f>
        <v>0</v>
      </c>
      <c r="AL278" s="12">
        <f>SUM(AH278:AK278)</f>
        <v>0</v>
      </c>
      <c r="AM278" s="12">
        <f>AM194-AL194</f>
        <v>0</v>
      </c>
      <c r="AN278" s="12">
        <f>AN194-AM194</f>
        <v>0</v>
      </c>
      <c r="AO278" s="12">
        <f>AO194-AN194</f>
        <v>0</v>
      </c>
      <c r="AP278" s="12">
        <f>AP194-AO194</f>
        <v>0</v>
      </c>
      <c r="AQ278" s="12">
        <f>SUM(AM278:AP278)</f>
        <v>0</v>
      </c>
      <c r="AR278" s="12">
        <f>AR194-AQ194</f>
        <v>0</v>
      </c>
      <c r="AS278" s="12">
        <f>AS194-AR194</f>
        <v>0</v>
      </c>
      <c r="AT278" s="12">
        <f>AT194-AS194</f>
        <v>0</v>
      </c>
      <c r="AU278" s="12">
        <f>AU194-AT194</f>
        <v>0</v>
      </c>
      <c r="AV278" s="12">
        <f>SUM(AR278:AU278)</f>
        <v>0</v>
      </c>
      <c r="AW278" s="12">
        <f>AW194-AV194</f>
        <v>0</v>
      </c>
      <c r="AX278" s="12">
        <f>AX194-AW194</f>
        <v>0</v>
      </c>
      <c r="AY278" s="12">
        <f>AY194-AX194</f>
        <v>0</v>
      </c>
      <c r="AZ278" s="12">
        <f>AZ194-AY194</f>
        <v>0</v>
      </c>
      <c r="BA278" s="12">
        <f>SUM(AW278:AZ278)</f>
        <v>0</v>
      </c>
      <c r="BB278" s="12">
        <f>BB194-BA194</f>
        <v>0</v>
      </c>
      <c r="BC278" s="12">
        <f>BC194-BB194</f>
        <v>0</v>
      </c>
      <c r="BD278" s="12">
        <f>BD194-BC194</f>
        <v>0</v>
      </c>
      <c r="BE278" s="12">
        <f>BE194-BD194</f>
        <v>0</v>
      </c>
      <c r="BF278" s="12">
        <f>SUM(BB278:BE278)</f>
        <v>0</v>
      </c>
      <c r="BG278" s="12" t="n"/>
      <c r="BH278" s="12" t="n"/>
      <c r="BI278" s="12" t="n"/>
      <c r="BJ278" s="12" t="n"/>
      <c r="BK278" s="12" t="n"/>
      <c r="BL278" s="12" t="n"/>
      <c r="BM278" s="12" t="n"/>
      <c r="BN278" s="12" t="n"/>
      <c r="BO278" s="12" t="n"/>
      <c r="BP278" s="12" t="n"/>
      <c r="BQ278" s="12" t="n"/>
      <c r="BR278" s="12" t="n"/>
      <c r="BS278" s="12" t="n"/>
      <c r="BT278" s="12" t="n"/>
      <c r="BU278" s="12" t="n"/>
      <c r="BV278" s="12" t="n"/>
      <c r="BW278" s="12" t="n"/>
      <c r="BX278" s="12" t="n"/>
      <c r="BY278" s="12" t="n"/>
      <c r="BZ278" s="12" t="n"/>
      <c r="CA278" s="12" t="n"/>
      <c r="CB278" s="12" t="n"/>
      <c r="CC278" s="12" t="n"/>
      <c r="CD278" s="12" t="n"/>
      <c r="CE278" s="12" t="n"/>
      <c r="CF278" s="12" t="n"/>
      <c r="CG278" s="12" t="n"/>
      <c r="CH278" s="12" t="n"/>
      <c r="CI278" s="12" t="n"/>
      <c r="CJ278" s="12" t="n"/>
      <c r="CK278" s="12" t="n"/>
      <c r="CL278" s="12" t="n"/>
      <c r="CM278" s="12" t="n"/>
      <c r="CN278" s="12" t="n"/>
      <c r="CO278" s="12" t="n"/>
      <c r="CP278" s="12" t="n"/>
      <c r="CQ278" s="12" t="n"/>
      <c r="CR278" s="12" t="n"/>
      <c r="CS278" s="12" t="n"/>
      <c r="CT278" s="12" t="n"/>
      <c r="CU278" s="12" t="n"/>
      <c r="CV278" s="12" t="n"/>
      <c r="CW278" s="12" t="n"/>
      <c r="CX278" s="12" t="n"/>
      <c r="CY278" s="12" t="n"/>
    </row>
    <row r="279" hidden="1" outlineLevel="1">
      <c r="C279" s="10" t="inlineStr">
        <is>
          <t>Taxes payable</t>
        </is>
      </c>
      <c r="D279" s="12" t="n"/>
      <c r="E279" s="12" t="n"/>
      <c r="F279" s="12" t="n"/>
      <c r="G279" s="12" t="n"/>
      <c r="H279" s="12" t="n"/>
      <c r="I279" s="12" t="n"/>
      <c r="J279" s="12">
        <f>J196-I196</f>
        <v>272</v>
      </c>
      <c r="K279" s="12">
        <f>K196-J196</f>
        <v>318</v>
      </c>
      <c r="L279" s="12">
        <f>L196-K196</f>
        <v>304</v>
      </c>
      <c r="M279" s="12" t="n"/>
      <c r="N279" s="12">
        <f>N196-M196</f>
        <v>-149</v>
      </c>
      <c r="O279" s="12">
        <f>O196-N196</f>
        <v>-885</v>
      </c>
      <c r="P279" s="12">
        <f>P196-O196</f>
        <v>-68</v>
      </c>
      <c r="Q279" s="12">
        <f>Q196-P196</f>
        <v>305</v>
      </c>
      <c r="R279" s="12">
        <f>SUM(N279:Q279)</f>
        <v>-797</v>
      </c>
      <c r="S279" s="12">
        <f>S196-R196</f>
        <v>102</v>
      </c>
      <c r="T279" s="12">
        <f>T196-S196</f>
        <v>-315</v>
      </c>
      <c r="U279" s="12">
        <f>U196-T196</f>
        <v>-42</v>
      </c>
      <c r="V279" s="12">
        <f>V196-U196</f>
        <v>297</v>
      </c>
      <c r="W279" s="12">
        <f>SUM(S279:V279)</f>
        <v>42</v>
      </c>
      <c r="X279" s="12">
        <f>X196-W196</f>
        <v>536</v>
      </c>
      <c r="Y279" s="12">
        <f>Y196-X196</f>
        <v>-424</v>
      </c>
      <c r="Z279" s="12">
        <f>Z196-Y196</f>
        <v>174</v>
      </c>
      <c r="AA279" s="12">
        <f>AA196-Z196</f>
        <v>-213</v>
      </c>
      <c r="AB279" s="12">
        <f>SUM(X279:AA279)</f>
        <v>73</v>
      </c>
      <c r="AC279" s="12">
        <f>AC196-AB196</f>
        <v>-2</v>
      </c>
      <c r="AD279" s="12">
        <f>AD196-AC196</f>
        <v>-468</v>
      </c>
      <c r="AE279" s="12">
        <f>AE196-AD196</f>
        <v>139</v>
      </c>
      <c r="AF279" s="12">
        <f>AF196-AE196</f>
        <v>-72</v>
      </c>
      <c r="AG279" s="12">
        <f>SUM(AC279:AF279)</f>
        <v>-403</v>
      </c>
      <c r="AH279" s="12">
        <f>AH196-AG196</f>
        <v>269</v>
      </c>
      <c r="AI279" s="12">
        <f>AI196-AH196</f>
        <v>-216</v>
      </c>
      <c r="AJ279" s="12">
        <f>AJ196-AI196</f>
        <v>6.60069125666951</v>
      </c>
      <c r="AK279" s="12">
        <f>AK196-AJ196</f>
        <v>6.68628875188733</v>
      </c>
      <c r="AL279" s="12">
        <f>SUM(AH279:AK279)</f>
        <v>66.2869800085568</v>
      </c>
      <c r="AM279" s="12">
        <f>AM196-AL196</f>
        <v>6.77299627193486</v>
      </c>
      <c r="AN279" s="12">
        <f>AN196-AM196</f>
        <v>6.86082821156867</v>
      </c>
      <c r="AO279" s="12">
        <f>AO196-AN196</f>
        <v>6.9497991522162</v>
      </c>
      <c r="AP279" s="12">
        <f>AP196-AO196</f>
        <v>7.0399238643962</v>
      </c>
      <c r="AQ279" s="12">
        <f>SUM(AM279:AP279)</f>
        <v>27.6235475001159</v>
      </c>
      <c r="AR279" s="12">
        <f>AR196-AQ196</f>
        <v>4.38166467262761</v>
      </c>
      <c r="AS279" s="12">
        <f>AS196-AR196</f>
        <v>4.41657759817258</v>
      </c>
      <c r="AT279" s="12">
        <f>AT196-AS196</f>
        <v>4.45176870848559</v>
      </c>
      <c r="AU279" s="12">
        <f>AU196-AT196</f>
        <v>4.48724022013141</v>
      </c>
      <c r="AV279" s="12">
        <f>SUM(AR279:AU279)</f>
        <v>17.7372511994172</v>
      </c>
      <c r="AW279" s="12">
        <f>AW196-AV196</f>
        <v>1.68475547379603</v>
      </c>
      <c r="AX279" s="12">
        <f>AX196-AW196</f>
        <v>1.68975575938327</v>
      </c>
      <c r="AY279" s="12">
        <f>AY196-AX196</f>
        <v>1.69477088561428</v>
      </c>
      <c r="AZ279" s="12">
        <f>AZ196-AY196</f>
        <v>1.69980089653563</v>
      </c>
      <c r="BA279" s="12">
        <f>SUM(AW279:AZ279)</f>
        <v>6.76908301532922</v>
      </c>
      <c r="BB279" s="12">
        <f>BB196-BA196</f>
        <v>0</v>
      </c>
      <c r="BC279" s="12">
        <f>BC196-BB196</f>
        <v>0</v>
      </c>
      <c r="BD279" s="12">
        <f>BD196-BC196</f>
        <v>0</v>
      </c>
      <c r="BE279" s="12">
        <f>BE196-BD196</f>
        <v>0</v>
      </c>
      <c r="BF279" s="12">
        <f>SUM(BB279:BE279)</f>
        <v>0</v>
      </c>
      <c r="BG279" s="12" t="n"/>
      <c r="BH279" s="12" t="n"/>
      <c r="BI279" s="12" t="n"/>
      <c r="BJ279" s="12" t="n"/>
      <c r="BK279" s="12" t="n"/>
      <c r="BL279" s="12" t="n"/>
      <c r="BM279" s="12" t="n"/>
      <c r="BN279" s="12" t="n"/>
      <c r="BO279" s="12" t="n"/>
      <c r="BP279" s="12" t="n"/>
      <c r="BQ279" s="12" t="n"/>
      <c r="BR279" s="12" t="n"/>
      <c r="BS279" s="12" t="n"/>
      <c r="BT279" s="12" t="n"/>
      <c r="BU279" s="12" t="n"/>
      <c r="BV279" s="12" t="n"/>
      <c r="BW279" s="12" t="n"/>
      <c r="BX279" s="12" t="n"/>
      <c r="BY279" s="12" t="n"/>
      <c r="BZ279" s="12" t="n"/>
      <c r="CA279" s="12" t="n"/>
      <c r="CB279" s="12" t="n"/>
      <c r="CC279" s="12" t="n"/>
      <c r="CD279" s="12" t="n"/>
      <c r="CE279" s="12" t="n"/>
      <c r="CF279" s="12" t="n"/>
      <c r="CG279" s="12" t="n"/>
      <c r="CH279" s="12" t="n"/>
      <c r="CI279" s="12" t="n"/>
      <c r="CJ279" s="12" t="n"/>
      <c r="CK279" s="12" t="n"/>
      <c r="CL279" s="12" t="n"/>
      <c r="CM279" s="12" t="n"/>
      <c r="CN279" s="12" t="n"/>
      <c r="CO279" s="12" t="n"/>
      <c r="CP279" s="12" t="n"/>
      <c r="CQ279" s="12" t="n"/>
      <c r="CR279" s="12" t="n"/>
      <c r="CS279" s="12" t="n"/>
      <c r="CT279" s="12" t="n"/>
      <c r="CU279" s="12" t="n"/>
      <c r="CV279" s="12" t="n"/>
      <c r="CW279" s="12" t="n"/>
      <c r="CX279" s="12" t="n"/>
      <c r="CY279" s="12" t="n"/>
    </row>
    <row r="280" hidden="1" outlineLevel="1">
      <c r="C280" s="10" t="inlineStr">
        <is>
          <t>Other current liabilities (non-debt)</t>
        </is>
      </c>
      <c r="D280" s="12" t="n"/>
      <c r="E280" s="12" t="n"/>
      <c r="F280" s="12" t="n"/>
      <c r="G280" s="12" t="n"/>
      <c r="H280" s="12" t="n"/>
      <c r="I280" s="12" t="n"/>
      <c r="J280" s="12">
        <f>J197-I197</f>
        <v>3</v>
      </c>
      <c r="K280" s="12">
        <f>K197-J197</f>
        <v>-5</v>
      </c>
      <c r="L280" s="12">
        <f>L197-K197</f>
        <v>44</v>
      </c>
      <c r="M280" s="12" t="n"/>
      <c r="N280" s="12">
        <f>N197-M197</f>
        <v>50</v>
      </c>
      <c r="O280" s="12">
        <f>O197-N197</f>
        <v>0</v>
      </c>
      <c r="P280" s="12">
        <f>P197-O197</f>
        <v>47</v>
      </c>
      <c r="Q280" s="12">
        <f>Q197-P197</f>
        <v>-44</v>
      </c>
      <c r="R280" s="12">
        <f>SUM(N280:Q280)</f>
        <v>53</v>
      </c>
      <c r="S280" s="12">
        <f>S197-R197</f>
        <v>13</v>
      </c>
      <c r="T280" s="12">
        <f>T197-S197</f>
        <v>28</v>
      </c>
      <c r="U280" s="12">
        <f>U197-T197</f>
        <v>34</v>
      </c>
      <c r="V280" s="12">
        <f>V197-U197</f>
        <v>-78</v>
      </c>
      <c r="W280" s="12">
        <f>SUM(S280:V280)</f>
        <v>-3</v>
      </c>
      <c r="X280" s="12">
        <f>X197-W197</f>
        <v>8</v>
      </c>
      <c r="Y280" s="12">
        <f>Y197-X197</f>
        <v>18</v>
      </c>
      <c r="Z280" s="12">
        <f>Z197-Y197</f>
        <v>22</v>
      </c>
      <c r="AA280" s="12">
        <f>AA197-Z197</f>
        <v>-43</v>
      </c>
      <c r="AB280" s="12">
        <f>SUM(X280:AA280)</f>
        <v>5</v>
      </c>
      <c r="AC280" s="12">
        <f>AC197-AB197</f>
        <v>-26</v>
      </c>
      <c r="AD280" s="12">
        <f>AD197-AC197</f>
        <v>3</v>
      </c>
      <c r="AE280" s="12">
        <f>AE197-AD197</f>
        <v>1</v>
      </c>
      <c r="AF280" s="12">
        <f>AF197-AE197</f>
        <v>15</v>
      </c>
      <c r="AG280" s="12">
        <f>SUM(AC280:AF280)</f>
        <v>-7</v>
      </c>
      <c r="AH280" s="12">
        <f>AH197-AG197</f>
        <v>8</v>
      </c>
      <c r="AI280" s="12">
        <f>AI197-AH197</f>
        <v>5</v>
      </c>
      <c r="AJ280" s="12">
        <f>AJ197-AI197</f>
        <v>0</v>
      </c>
      <c r="AK280" s="12">
        <f>AK197-AJ197</f>
        <v>0</v>
      </c>
      <c r="AL280" s="12">
        <f>SUM(AH280:AK280)</f>
        <v>13</v>
      </c>
      <c r="AM280" s="12">
        <f>AM197-AL197</f>
        <v>0</v>
      </c>
      <c r="AN280" s="12">
        <f>AN197-AM197</f>
        <v>0</v>
      </c>
      <c r="AO280" s="12">
        <f>AO197-AN197</f>
        <v>0</v>
      </c>
      <c r="AP280" s="12">
        <f>AP197-AO197</f>
        <v>0</v>
      </c>
      <c r="AQ280" s="12">
        <f>SUM(AM280:AP280)</f>
        <v>0</v>
      </c>
      <c r="AR280" s="12">
        <f>AR197-AQ197</f>
        <v>0</v>
      </c>
      <c r="AS280" s="12">
        <f>AS197-AR197</f>
        <v>0</v>
      </c>
      <c r="AT280" s="12">
        <f>AT197-AS197</f>
        <v>0</v>
      </c>
      <c r="AU280" s="12">
        <f>AU197-AT197</f>
        <v>0</v>
      </c>
      <c r="AV280" s="12">
        <f>SUM(AR280:AU280)</f>
        <v>0</v>
      </c>
      <c r="AW280" s="12">
        <f>AW197-AV197</f>
        <v>0</v>
      </c>
      <c r="AX280" s="12">
        <f>AX197-AW197</f>
        <v>0</v>
      </c>
      <c r="AY280" s="12">
        <f>AY197-AX197</f>
        <v>0</v>
      </c>
      <c r="AZ280" s="12">
        <f>AZ197-AY197</f>
        <v>0</v>
      </c>
      <c r="BA280" s="12">
        <f>SUM(AW280:AZ280)</f>
        <v>0</v>
      </c>
      <c r="BB280" s="12">
        <f>BB197-BA197</f>
        <v>0</v>
      </c>
      <c r="BC280" s="12">
        <f>BC197-BB197</f>
        <v>0</v>
      </c>
      <c r="BD280" s="12">
        <f>BD197-BC197</f>
        <v>0</v>
      </c>
      <c r="BE280" s="12">
        <f>BE197-BD197</f>
        <v>0</v>
      </c>
      <c r="BF280" s="12">
        <f>SUM(BB280:BE280)</f>
        <v>0</v>
      </c>
      <c r="BG280" s="12" t="n"/>
      <c r="BH280" s="12" t="n"/>
      <c r="BI280" s="12" t="n"/>
      <c r="BJ280" s="12" t="n"/>
      <c r="BK280" s="12" t="n"/>
      <c r="BL280" s="12" t="n"/>
      <c r="BM280" s="12" t="n"/>
      <c r="BN280" s="12" t="n"/>
      <c r="BO280" s="12" t="n"/>
      <c r="BP280" s="12" t="n"/>
      <c r="BQ280" s="12" t="n"/>
      <c r="BR280" s="12" t="n"/>
      <c r="BS280" s="12" t="n"/>
      <c r="BT280" s="12" t="n"/>
      <c r="BU280" s="12" t="n"/>
      <c r="BV280" s="12" t="n"/>
      <c r="BW280" s="12" t="n"/>
      <c r="BX280" s="12" t="n"/>
      <c r="BY280" s="12" t="n"/>
      <c r="BZ280" s="12" t="n"/>
      <c r="CA280" s="12" t="n"/>
      <c r="CB280" s="12" t="n"/>
      <c r="CC280" s="12" t="n"/>
      <c r="CD280" s="12" t="n"/>
      <c r="CE280" s="12" t="n"/>
      <c r="CF280" s="12" t="n"/>
      <c r="CG280" s="12" t="n"/>
      <c r="CH280" s="12" t="n"/>
      <c r="CI280" s="12" t="n"/>
      <c r="CJ280" s="12" t="n"/>
      <c r="CK280" s="12" t="n"/>
      <c r="CL280" s="12" t="n"/>
      <c r="CM280" s="12" t="n"/>
      <c r="CN280" s="12" t="n"/>
      <c r="CO280" s="12" t="n"/>
      <c r="CP280" s="12" t="n"/>
      <c r="CQ280" s="12" t="n"/>
      <c r="CR280" s="12" t="n"/>
      <c r="CS280" s="12" t="n"/>
      <c r="CT280" s="12" t="n"/>
      <c r="CU280" s="12" t="n"/>
      <c r="CV280" s="12" t="n"/>
      <c r="CW280" s="12" t="n"/>
      <c r="CX280" s="12" t="n"/>
      <c r="CY280" s="12" t="n"/>
    </row>
    <row r="281" hidden="1" outlineLevel="1">
      <c r="C281" s="10" t="inlineStr">
        <is>
          <t>Deferred income taxes</t>
        </is>
      </c>
      <c r="D281" s="12" t="n"/>
      <c r="E281" s="12" t="n"/>
      <c r="F281" s="12" t="n"/>
      <c r="G281" s="12" t="n"/>
      <c r="H281" s="12" t="n"/>
      <c r="I281" s="12" t="n"/>
      <c r="J281" s="12">
        <f>J231-I231</f>
        <v>40</v>
      </c>
      <c r="K281" s="12">
        <f>K231-J231</f>
        <v>14</v>
      </c>
      <c r="L281" s="12">
        <f>L231-K231</f>
        <v>-266</v>
      </c>
      <c r="M281" s="12" t="n"/>
      <c r="N281" s="12">
        <f>N231-M231</f>
        <v>48</v>
      </c>
      <c r="O281" s="12">
        <f>O231-N231</f>
        <v>15</v>
      </c>
      <c r="P281" s="12">
        <f>P231-O231</f>
        <v>19</v>
      </c>
      <c r="Q281" s="12">
        <f>Q231-P231</f>
        <v>-47</v>
      </c>
      <c r="R281" s="12">
        <f>SUM(N281:Q281)</f>
        <v>35</v>
      </c>
      <c r="S281" s="12">
        <f>S231-R231</f>
        <v>36</v>
      </c>
      <c r="T281" s="12">
        <f>T231-S231</f>
        <v>38</v>
      </c>
      <c r="U281" s="12">
        <f>U231-T231</f>
        <v>56</v>
      </c>
      <c r="V281" s="12">
        <f>V231-U231</f>
        <v>54</v>
      </c>
      <c r="W281" s="12">
        <f>SUM(S281:V281)</f>
        <v>184</v>
      </c>
      <c r="X281" s="12">
        <f>X231-W231</f>
        <v>47</v>
      </c>
      <c r="Y281" s="12">
        <f>Y231-X231</f>
        <v>-9</v>
      </c>
      <c r="Z281" s="12">
        <f>Z231-Y231</f>
        <v>1</v>
      </c>
      <c r="AA281" s="12">
        <f>AA231-Z231</f>
        <v>-116</v>
      </c>
      <c r="AB281" s="12">
        <f>SUM(X281:AA281)</f>
        <v>-77</v>
      </c>
      <c r="AC281" s="12">
        <f>AC231-AB231</f>
        <v>26</v>
      </c>
      <c r="AD281" s="12">
        <f>AD231-AC231</f>
        <v>8</v>
      </c>
      <c r="AE281" s="12">
        <f>AE231-AD231</f>
        <v>-51</v>
      </c>
      <c r="AF281" s="12">
        <f>AF231-AE231</f>
        <v>263</v>
      </c>
      <c r="AG281" s="12">
        <f>SUM(AC281:AF281)</f>
        <v>246</v>
      </c>
      <c r="AH281" s="12">
        <f>AH231-AG231</f>
        <v>19</v>
      </c>
      <c r="AI281" s="12">
        <f>AI231-AH231</f>
        <v>17</v>
      </c>
      <c r="AJ281" s="12">
        <f>AJ231-AI231</f>
        <v>0</v>
      </c>
      <c r="AK281" s="12">
        <f>AK231-AJ231</f>
        <v>0</v>
      </c>
      <c r="AL281" s="12">
        <f>SUM(AH281:AK281)</f>
        <v>36</v>
      </c>
      <c r="AM281" s="12">
        <f>AM231-AL231</f>
        <v>0</v>
      </c>
      <c r="AN281" s="12">
        <f>AN231-AM231</f>
        <v>0</v>
      </c>
      <c r="AO281" s="12">
        <f>AO231-AN231</f>
        <v>0</v>
      </c>
      <c r="AP281" s="12">
        <f>AP231-AO231</f>
        <v>0</v>
      </c>
      <c r="AQ281" s="12">
        <f>SUM(AM281:AP281)</f>
        <v>0</v>
      </c>
      <c r="AR281" s="12">
        <f>AR231-AQ231</f>
        <v>0</v>
      </c>
      <c r="AS281" s="12">
        <f>AS231-AR231</f>
        <v>0</v>
      </c>
      <c r="AT281" s="12">
        <f>AT231-AS231</f>
        <v>0</v>
      </c>
      <c r="AU281" s="12">
        <f>AU231-AT231</f>
        <v>0</v>
      </c>
      <c r="AV281" s="12">
        <f>SUM(AR281:AU281)</f>
        <v>0</v>
      </c>
      <c r="AW281" s="12">
        <f>AW231-AV231</f>
        <v>0</v>
      </c>
      <c r="AX281" s="12">
        <f>AX231-AW231</f>
        <v>0</v>
      </c>
      <c r="AY281" s="12">
        <f>AY231-AX231</f>
        <v>0</v>
      </c>
      <c r="AZ281" s="12">
        <f>AZ231-AY231</f>
        <v>0</v>
      </c>
      <c r="BA281" s="12">
        <f>SUM(AW281:AZ281)</f>
        <v>0</v>
      </c>
      <c r="BB281" s="12">
        <f>BB231-BA231</f>
        <v>0</v>
      </c>
      <c r="BC281" s="12">
        <f>BC231-BB231</f>
        <v>0</v>
      </c>
      <c r="BD281" s="12">
        <f>BD231-BC231</f>
        <v>0</v>
      </c>
      <c r="BE281" s="12">
        <f>BE231-BD231</f>
        <v>0</v>
      </c>
      <c r="BF281" s="12">
        <f>SUM(BB281:BE281)</f>
        <v>0</v>
      </c>
      <c r="BG281" s="12" t="n"/>
      <c r="BH281" s="12" t="n"/>
      <c r="BI281" s="12" t="n"/>
      <c r="BJ281" s="12" t="n"/>
      <c r="BK281" s="12" t="n"/>
      <c r="BL281" s="12" t="n"/>
      <c r="BM281" s="12" t="n"/>
      <c r="BN281" s="12" t="n"/>
      <c r="BO281" s="12" t="n"/>
      <c r="BP281" s="12" t="n"/>
      <c r="BQ281" s="12" t="n"/>
      <c r="BR281" s="12" t="n"/>
      <c r="BS281" s="12" t="n"/>
      <c r="BT281" s="12" t="n"/>
      <c r="BU281" s="12" t="n"/>
      <c r="BV281" s="12" t="n"/>
      <c r="BW281" s="12" t="n"/>
      <c r="BX281" s="12" t="n"/>
      <c r="BY281" s="12" t="n"/>
      <c r="BZ281" s="12" t="n"/>
      <c r="CA281" s="12" t="n"/>
      <c r="CB281" s="12" t="n"/>
      <c r="CC281" s="12" t="n"/>
      <c r="CD281" s="12" t="n"/>
      <c r="CE281" s="12" t="n"/>
      <c r="CF281" s="12" t="n"/>
      <c r="CG281" s="12" t="n"/>
      <c r="CH281" s="12" t="n"/>
      <c r="CI281" s="12" t="n"/>
      <c r="CJ281" s="12" t="n"/>
      <c r="CK281" s="12" t="n"/>
      <c r="CL281" s="12" t="n"/>
      <c r="CM281" s="12" t="n"/>
      <c r="CN281" s="12" t="n"/>
      <c r="CO281" s="12" t="n"/>
      <c r="CP281" s="12" t="n"/>
      <c r="CQ281" s="12" t="n"/>
      <c r="CR281" s="12" t="n"/>
      <c r="CS281" s="12" t="n"/>
      <c r="CT281" s="12" t="n"/>
      <c r="CU281" s="12" t="n"/>
      <c r="CV281" s="12" t="n"/>
      <c r="CW281" s="12" t="n"/>
      <c r="CX281" s="12" t="n"/>
      <c r="CY281" s="12" t="n"/>
    </row>
    <row r="282" collapsed="1">
      <c r="C282" s="10" t="inlineStr">
        <is>
          <t>Equity income in affiliates</t>
        </is>
      </c>
      <c r="D282" s="12" t="n"/>
      <c r="E282" s="12" t="n"/>
      <c r="F282" s="12" t="n"/>
      <c r="G282" s="12" t="n"/>
      <c r="H282" s="12" t="n"/>
      <c r="I282" s="12" t="n"/>
      <c r="J282" s="12">
        <f>(J153-I153)*-1</f>
        <v>0</v>
      </c>
      <c r="K282" s="12">
        <f>(K153-J153)*-1</f>
        <v>0</v>
      </c>
      <c r="L282" s="12">
        <f>(L153-K153)*-1</f>
        <v>0</v>
      </c>
      <c r="M282" s="12" t="n"/>
      <c r="N282" s="12">
        <f>(N153-M153)*-1</f>
        <v>0</v>
      </c>
      <c r="O282" s="12">
        <f>(O153-N153)*-1</f>
        <v>0</v>
      </c>
      <c r="P282" s="12">
        <f>(P153-O153)*-1</f>
        <v>0</v>
      </c>
      <c r="Q282" s="12">
        <f>(Q153-P153)*-1</f>
        <v>0</v>
      </c>
      <c r="R282" s="12">
        <f>SUM(N282:Q282)</f>
        <v>0</v>
      </c>
      <c r="S282" s="12">
        <f>(S153-R153)*-1</f>
        <v>0</v>
      </c>
      <c r="T282" s="12">
        <f>(T153-S153)*-1</f>
        <v>0</v>
      </c>
      <c r="U282" s="12">
        <f>(U153-T153)*-1</f>
        <v>0</v>
      </c>
      <c r="V282" s="12">
        <f>(V153-U153)*-1</f>
        <v>0</v>
      </c>
      <c r="W282" s="12">
        <f>SUM(S282:V282)</f>
        <v>0</v>
      </c>
      <c r="X282" s="12">
        <f>(X153-W153)*-1</f>
        <v>0</v>
      </c>
      <c r="Y282" s="12">
        <f>(Y153-X153)*-1</f>
        <v>0</v>
      </c>
      <c r="Z282" s="12">
        <f>(Z153-Y153)*-1</f>
        <v>0</v>
      </c>
      <c r="AA282" s="12">
        <f>(AA153-Z153)*-1</f>
        <v>0</v>
      </c>
      <c r="AB282" s="12">
        <f>SUM(X282:AA282)</f>
        <v>0</v>
      </c>
      <c r="AC282" s="12">
        <f>(AC153-AB153)*-1</f>
        <v>0</v>
      </c>
      <c r="AD282" s="12">
        <f>(AD153-AC153)*-1</f>
        <v>0</v>
      </c>
      <c r="AE282" s="12">
        <f>(AE153-AD153)*-1</f>
        <v>0</v>
      </c>
      <c r="AF282" s="12">
        <f>(AF153-AE153)*-1</f>
        <v>0</v>
      </c>
      <c r="AG282" s="12">
        <f>SUM(AC282:AF282)</f>
        <v>0</v>
      </c>
      <c r="AH282" s="12">
        <f>(AH153-AG153)*-1</f>
        <v>0</v>
      </c>
      <c r="AI282" s="12">
        <f>(AI153-AH153)*-1</f>
        <v>0</v>
      </c>
      <c r="AJ282" s="12">
        <f>(AJ153-AI153)*-1</f>
        <v>0</v>
      </c>
      <c r="AK282" s="12">
        <f>(AK153-AJ153)*-1</f>
        <v>0</v>
      </c>
      <c r="AL282" s="12">
        <f>SUM(AH282:AK282)</f>
        <v>0</v>
      </c>
      <c r="AM282" s="12">
        <f>(AM153-AL153)*-1</f>
        <v>0</v>
      </c>
      <c r="AN282" s="12">
        <f>(AN153-AM153)*-1</f>
        <v>0</v>
      </c>
      <c r="AO282" s="12">
        <f>(AO153-AN153)*-1</f>
        <v>0</v>
      </c>
      <c r="AP282" s="12">
        <f>(AP153-AO153)*-1</f>
        <v>0</v>
      </c>
      <c r="AQ282" s="12">
        <f>SUM(AM282:AP282)</f>
        <v>0</v>
      </c>
      <c r="AR282" s="12">
        <f>(AR153-AQ153)*-1</f>
        <v>0</v>
      </c>
      <c r="AS282" s="12">
        <f>(AS153-AR153)*-1</f>
        <v>0</v>
      </c>
      <c r="AT282" s="12">
        <f>(AT153-AS153)*-1</f>
        <v>0</v>
      </c>
      <c r="AU282" s="12">
        <f>(AU153-AT153)*-1</f>
        <v>0</v>
      </c>
      <c r="AV282" s="12">
        <f>SUM(AR282:AU282)</f>
        <v>0</v>
      </c>
      <c r="AW282" s="12">
        <f>(AW153-AV153)*-1</f>
        <v>0</v>
      </c>
      <c r="AX282" s="12">
        <f>(AX153-AW153)*-1</f>
        <v>0</v>
      </c>
      <c r="AY282" s="12">
        <f>(AY153-AX153)*-1</f>
        <v>0</v>
      </c>
      <c r="AZ282" s="12">
        <f>(AZ153-AY153)*-1</f>
        <v>0</v>
      </c>
      <c r="BA282" s="12">
        <f>SUM(AW282:AZ282)</f>
        <v>0</v>
      </c>
      <c r="BB282" s="12">
        <f>(BB153-BA153)*-1</f>
        <v>0</v>
      </c>
      <c r="BC282" s="12">
        <f>(BC153-BB153)*-1</f>
        <v>0</v>
      </c>
      <c r="BD282" s="12">
        <f>(BD153-BC153)*-1</f>
        <v>0</v>
      </c>
      <c r="BE282" s="12">
        <f>(BE153-BD153)*-1</f>
        <v>0</v>
      </c>
      <c r="BF282" s="12">
        <f>SUM(BB282:BE282)</f>
        <v>0</v>
      </c>
      <c r="BG282" s="12" t="n"/>
      <c r="BH282" s="12" t="n"/>
      <c r="BI282" s="12" t="n"/>
      <c r="BJ282" s="12" t="n"/>
      <c r="BK282" s="12" t="n"/>
      <c r="BL282" s="12" t="n"/>
      <c r="BM282" s="12" t="n"/>
      <c r="BN282" s="12" t="n"/>
      <c r="BO282" s="12" t="n"/>
      <c r="BP282" s="12" t="n"/>
      <c r="BQ282" s="12" t="n"/>
      <c r="BR282" s="12" t="n"/>
      <c r="BS282" s="12" t="n"/>
      <c r="BT282" s="12" t="n"/>
      <c r="BU282" s="12" t="n"/>
      <c r="BV282" s="12" t="n"/>
      <c r="BW282" s="12" t="n"/>
      <c r="BX282" s="12" t="n"/>
      <c r="BY282" s="12" t="n"/>
      <c r="BZ282" s="12" t="n"/>
      <c r="CA282" s="12" t="n"/>
      <c r="CB282" s="12" t="n"/>
      <c r="CC282" s="12" t="n"/>
      <c r="CD282" s="12" t="n"/>
      <c r="CE282" s="12" t="n"/>
      <c r="CF282" s="12" t="n"/>
      <c r="CG282" s="12" t="n"/>
      <c r="CH282" s="12" t="n"/>
      <c r="CI282" s="12" t="n"/>
      <c r="CJ282" s="12" t="n"/>
      <c r="CK282" s="12" t="n"/>
      <c r="CL282" s="12" t="n"/>
      <c r="CM282" s="12" t="n"/>
      <c r="CN282" s="12" t="n"/>
      <c r="CO282" s="12" t="n"/>
      <c r="CP282" s="12" t="n"/>
      <c r="CQ282" s="12" t="n"/>
      <c r="CR282" s="12" t="n"/>
      <c r="CS282" s="12" t="n"/>
      <c r="CT282" s="12" t="n"/>
      <c r="CU282" s="12" t="n"/>
      <c r="CV282" s="12" t="n"/>
      <c r="CW282" s="12" t="n"/>
      <c r="CX282" s="12" t="n"/>
      <c r="CY282" s="12" t="n"/>
    </row>
    <row r="283">
      <c r="C283" s="10" t="inlineStr">
        <is>
          <t>Dividends received from affiliates</t>
        </is>
      </c>
      <c r="D283" s="12" t="n"/>
      <c r="E283" s="12" t="n"/>
      <c r="F283" s="12" t="n"/>
      <c r="G283" s="12" t="n"/>
      <c r="H283" s="12" t="n"/>
      <c r="I283" s="12" t="n"/>
      <c r="J283" s="12">
        <f>-J156</f>
        <v>0</v>
      </c>
      <c r="K283" s="12">
        <f>-K156</f>
        <v>0</v>
      </c>
      <c r="L283" s="12">
        <f>-L156</f>
        <v>0</v>
      </c>
      <c r="M283" s="12" t="n"/>
      <c r="N283" s="12">
        <f>-N156</f>
        <v>0</v>
      </c>
      <c r="O283" s="12">
        <f>-O156</f>
        <v>0</v>
      </c>
      <c r="P283" s="12">
        <f>-P156</f>
        <v>0</v>
      </c>
      <c r="Q283" s="12">
        <f>-Q156</f>
        <v>0</v>
      </c>
      <c r="R283" s="12">
        <f>SUM(N283:Q283)</f>
        <v>0</v>
      </c>
      <c r="S283" s="12">
        <f>-S156</f>
        <v>0</v>
      </c>
      <c r="T283" s="12">
        <f>-T156</f>
        <v>0</v>
      </c>
      <c r="U283" s="12">
        <f>-U156</f>
        <v>0</v>
      </c>
      <c r="V283" s="12">
        <f>-V156</f>
        <v>0</v>
      </c>
      <c r="W283" s="12">
        <f>SUM(S283:V283)</f>
        <v>0</v>
      </c>
      <c r="X283" s="12">
        <f>-X156</f>
        <v>0</v>
      </c>
      <c r="Y283" s="12">
        <f>-Y156</f>
        <v>0</v>
      </c>
      <c r="Z283" s="12">
        <f>-Z156</f>
        <v>0</v>
      </c>
      <c r="AA283" s="12">
        <f>-AA156</f>
        <v>0</v>
      </c>
      <c r="AB283" s="12">
        <f>SUM(X283:AA283)</f>
        <v>0</v>
      </c>
      <c r="AC283" s="12">
        <f>-AC156</f>
        <v>0</v>
      </c>
      <c r="AD283" s="12">
        <f>-AD156</f>
        <v>0</v>
      </c>
      <c r="AE283" s="12">
        <f>-AE156</f>
        <v>0</v>
      </c>
      <c r="AF283" s="12">
        <f>-AF156</f>
        <v>0</v>
      </c>
      <c r="AG283" s="12">
        <f>SUM(AC283:AF283)</f>
        <v>0</v>
      </c>
      <c r="AH283" s="12">
        <f>-AH156</f>
        <v>0</v>
      </c>
      <c r="AI283" s="12">
        <f>-AI156</f>
        <v>0</v>
      </c>
      <c r="AJ283" s="12">
        <f>-AJ156</f>
        <v>0</v>
      </c>
      <c r="AK283" s="12">
        <f>-AK156</f>
        <v>0</v>
      </c>
      <c r="AL283" s="12">
        <f>SUM(AH283:AK283)</f>
        <v>0</v>
      </c>
      <c r="AM283" s="12">
        <f>-AM156</f>
        <v>0</v>
      </c>
      <c r="AN283" s="12">
        <f>-AN156</f>
        <v>0</v>
      </c>
      <c r="AO283" s="12">
        <f>-AO156</f>
        <v>0</v>
      </c>
      <c r="AP283" s="12">
        <f>-AP156</f>
        <v>0</v>
      </c>
      <c r="AQ283" s="12">
        <f>SUM(AM283:AP283)</f>
        <v>0</v>
      </c>
      <c r="AR283" s="12">
        <f>-AR156</f>
        <v>0</v>
      </c>
      <c r="AS283" s="12">
        <f>-AS156</f>
        <v>0</v>
      </c>
      <c r="AT283" s="12">
        <f>-AT156</f>
        <v>0</v>
      </c>
      <c r="AU283" s="12">
        <f>-AU156</f>
        <v>0</v>
      </c>
      <c r="AV283" s="12">
        <f>SUM(AR283:AU283)</f>
        <v>0</v>
      </c>
      <c r="AW283" s="12">
        <f>-AW156</f>
        <v>0</v>
      </c>
      <c r="AX283" s="12">
        <f>-AX156</f>
        <v>0</v>
      </c>
      <c r="AY283" s="12">
        <f>-AY156</f>
        <v>0</v>
      </c>
      <c r="AZ283" s="12">
        <f>-AZ156</f>
        <v>0</v>
      </c>
      <c r="BA283" s="12">
        <f>SUM(AW283:AZ283)</f>
        <v>0</v>
      </c>
      <c r="BB283" s="12">
        <f>-BB156</f>
        <v>0</v>
      </c>
      <c r="BC283" s="12">
        <f>-BC156</f>
        <v>0</v>
      </c>
      <c r="BD283" s="12">
        <f>-BD156</f>
        <v>0</v>
      </c>
      <c r="BE283" s="12">
        <f>-BE156</f>
        <v>0</v>
      </c>
      <c r="BF283" s="12">
        <f>SUM(BB283:BE283)</f>
        <v>0</v>
      </c>
      <c r="BG283" s="12" t="n"/>
      <c r="BH283" s="12" t="n"/>
      <c r="BI283" s="12" t="n"/>
      <c r="BJ283" s="12" t="n"/>
      <c r="BK283" s="12" t="n"/>
      <c r="BL283" s="12" t="n"/>
      <c r="BM283" s="12" t="n"/>
      <c r="BN283" s="12" t="n"/>
      <c r="BO283" s="12" t="n"/>
      <c r="BP283" s="12" t="n"/>
      <c r="BQ283" s="12" t="n"/>
      <c r="BR283" s="12" t="n"/>
      <c r="BS283" s="12" t="n"/>
      <c r="BT283" s="12" t="n"/>
      <c r="BU283" s="12" t="n"/>
      <c r="BV283" s="12" t="n"/>
      <c r="BW283" s="12" t="n"/>
      <c r="BX283" s="12" t="n"/>
      <c r="BY283" s="12" t="n"/>
      <c r="BZ283" s="12" t="n"/>
      <c r="CA283" s="12" t="n"/>
      <c r="CB283" s="12" t="n"/>
      <c r="CC283" s="12" t="n"/>
      <c r="CD283" s="12" t="n"/>
      <c r="CE283" s="12" t="n"/>
      <c r="CF283" s="12" t="n"/>
      <c r="CG283" s="12" t="n"/>
      <c r="CH283" s="12" t="n"/>
      <c r="CI283" s="12" t="n"/>
      <c r="CJ283" s="12" t="n"/>
      <c r="CK283" s="12" t="n"/>
      <c r="CL283" s="12" t="n"/>
      <c r="CM283" s="12" t="n"/>
      <c r="CN283" s="12" t="n"/>
      <c r="CO283" s="12" t="n"/>
      <c r="CP283" s="12" t="n"/>
      <c r="CQ283" s="12" t="n"/>
      <c r="CR283" s="12" t="n"/>
      <c r="CS283" s="12" t="n"/>
      <c r="CT283" s="12" t="n"/>
      <c r="CU283" s="12" t="n"/>
      <c r="CV283" s="12" t="n"/>
      <c r="CW283" s="12" t="n"/>
      <c r="CX283" s="12" t="n"/>
      <c r="CY283" s="12" t="n"/>
    </row>
    <row r="284">
      <c r="C284" s="71" t="inlineStr">
        <is>
          <t>Minority interest expense</t>
        </is>
      </c>
      <c r="D284" s="12" t="n"/>
      <c r="E284" s="12" t="n"/>
      <c r="F284" s="12" t="n"/>
      <c r="G284" s="12" t="n"/>
      <c r="H284" s="12" t="n"/>
      <c r="I284" s="12" t="n"/>
      <c r="J284" s="12">
        <f>-J128</f>
        <v>248</v>
      </c>
      <c r="K284" s="12">
        <f>-K128</f>
        <v>324</v>
      </c>
      <c r="L284" s="12">
        <f>-L128</f>
        <v>-1866</v>
      </c>
      <c r="M284" s="12" t="n"/>
      <c r="N284" s="12">
        <f>-N128</f>
        <v>377</v>
      </c>
      <c r="O284" s="12">
        <f>-O128</f>
        <v>198</v>
      </c>
      <c r="P284" s="12">
        <f>-P128</f>
        <v>156</v>
      </c>
      <c r="Q284" s="12">
        <f>-Q128</f>
        <v>280</v>
      </c>
      <c r="R284" s="12">
        <f>SUM(N284:Q284)</f>
        <v>1011</v>
      </c>
      <c r="S284" s="12">
        <f>-S128</f>
        <v>386</v>
      </c>
      <c r="T284" s="12">
        <f>-T128</f>
        <v>388</v>
      </c>
      <c r="U284" s="12">
        <f>-U128</f>
        <v>510</v>
      </c>
      <c r="V284" s="12">
        <f>-V128</f>
        <v>619</v>
      </c>
      <c r="W284" s="12">
        <f>SUM(S284:V284)</f>
        <v>1903</v>
      </c>
      <c r="X284" s="12">
        <f>-X128</f>
        <v>689</v>
      </c>
      <c r="Y284" s="12">
        <f>-Y128</f>
        <v>664</v>
      </c>
      <c r="Z284" s="12">
        <f>-Z128</f>
        <v>710</v>
      </c>
      <c r="AA284" s="12">
        <f>-AA128</f>
        <v>447</v>
      </c>
      <c r="AB284" s="12">
        <f>SUM(X284:AA284)</f>
        <v>2510</v>
      </c>
      <c r="AC284" s="12">
        <f>-AC128</f>
        <v>441</v>
      </c>
      <c r="AD284" s="12">
        <f>-AD128</f>
        <v>775</v>
      </c>
      <c r="AE284" s="12">
        <f>-AE128</f>
        <v>573</v>
      </c>
      <c r="AF284" s="12">
        <f>-AF128</f>
        <v>159</v>
      </c>
      <c r="AG284" s="12">
        <f>SUM(AC284:AF284)</f>
        <v>1948</v>
      </c>
      <c r="AH284" s="12">
        <f>-AH128</f>
        <v>506</v>
      </c>
      <c r="AI284" s="12">
        <f>-AI128</f>
        <v>407</v>
      </c>
      <c r="AJ284" s="12">
        <f>-AJ128</f>
        <v>0</v>
      </c>
      <c r="AK284" s="12">
        <f>-AK128</f>
        <v>0</v>
      </c>
      <c r="AL284" s="12">
        <f>SUM(AH284:AK284)</f>
        <v>913</v>
      </c>
      <c r="AM284" s="12">
        <f>-AM128</f>
        <v>0</v>
      </c>
      <c r="AN284" s="12">
        <f>-AN128</f>
        <v>0</v>
      </c>
      <c r="AO284" s="12">
        <f>-AO128</f>
        <v>0</v>
      </c>
      <c r="AP284" s="12">
        <f>-AP128</f>
        <v>0</v>
      </c>
      <c r="AQ284" s="12">
        <f>SUM(AM284:AP284)</f>
        <v>0</v>
      </c>
      <c r="AR284" s="12">
        <f>-AR128</f>
        <v>0</v>
      </c>
      <c r="AS284" s="12">
        <f>-AS128</f>
        <v>0</v>
      </c>
      <c r="AT284" s="12">
        <f>-AT128</f>
        <v>0</v>
      </c>
      <c r="AU284" s="12">
        <f>-AU128</f>
        <v>0</v>
      </c>
      <c r="AV284" s="12">
        <f>SUM(AR284:AU284)</f>
        <v>0</v>
      </c>
      <c r="AW284" s="12">
        <f>-AW128</f>
        <v>0</v>
      </c>
      <c r="AX284" s="12">
        <f>-AX128</f>
        <v>0</v>
      </c>
      <c r="AY284" s="12">
        <f>-AY128</f>
        <v>0</v>
      </c>
      <c r="AZ284" s="12">
        <f>-AZ128</f>
        <v>0</v>
      </c>
      <c r="BA284" s="12">
        <f>SUM(AW284:AZ284)</f>
        <v>0</v>
      </c>
      <c r="BB284" s="12">
        <f>-BB128</f>
        <v>0</v>
      </c>
      <c r="BC284" s="12">
        <f>-BC128</f>
        <v>0</v>
      </c>
      <c r="BD284" s="12">
        <f>-BD128</f>
        <v>0</v>
      </c>
      <c r="BE284" s="12">
        <f>-BE128</f>
        <v>0</v>
      </c>
      <c r="BF284" s="12">
        <f>SUM(BB284:BE284)</f>
        <v>0</v>
      </c>
      <c r="BG284" s="12" t="n"/>
      <c r="BH284" s="12" t="n"/>
      <c r="BI284" s="12" t="n"/>
      <c r="BJ284" s="12" t="n"/>
      <c r="BK284" s="12" t="n"/>
      <c r="BL284" s="12" t="n"/>
      <c r="BM284" s="12" t="n"/>
      <c r="BN284" s="12" t="n"/>
      <c r="BO284" s="12" t="n"/>
      <c r="BP284" s="12" t="n"/>
      <c r="BQ284" s="12" t="n"/>
      <c r="BR284" s="12" t="n"/>
      <c r="BS284" s="12" t="n"/>
      <c r="BT284" s="12" t="n"/>
      <c r="BU284" s="12" t="n"/>
      <c r="BV284" s="12" t="n"/>
      <c r="BW284" s="12" t="n"/>
      <c r="BX284" s="12" t="n"/>
      <c r="BY284" s="12" t="n"/>
      <c r="BZ284" s="12" t="n"/>
      <c r="CA284" s="12" t="n"/>
      <c r="CB284" s="12" t="n"/>
      <c r="CC284" s="12" t="n"/>
      <c r="CD284" s="12" t="n"/>
      <c r="CE284" s="12" t="n"/>
      <c r="CF284" s="12" t="n"/>
      <c r="CG284" s="12" t="n"/>
      <c r="CH284" s="12" t="n"/>
      <c r="CI284" s="12" t="n"/>
      <c r="CJ284" s="12" t="n"/>
      <c r="CK284" s="12" t="n"/>
      <c r="CL284" s="12" t="n"/>
      <c r="CM284" s="12" t="n"/>
      <c r="CN284" s="12" t="n"/>
      <c r="CO284" s="12" t="n"/>
      <c r="CP284" s="12" t="n"/>
      <c r="CQ284" s="12" t="n"/>
      <c r="CR284" s="12" t="n"/>
      <c r="CS284" s="12" t="n"/>
      <c r="CT284" s="12" t="n"/>
      <c r="CU284" s="12" t="n"/>
      <c r="CV284" s="12" t="n"/>
      <c r="CW284" s="12" t="n"/>
      <c r="CX284" s="12" t="n"/>
      <c r="CY284" s="12" t="n"/>
    </row>
    <row r="285">
      <c r="C285" s="14" t="inlineStr">
        <is>
          <t>Cash from operations</t>
        </is>
      </c>
      <c r="D285" s="12" t="n"/>
      <c r="E285" s="12" t="n"/>
      <c r="F285" s="12" t="n"/>
      <c r="G285" s="12" t="n"/>
      <c r="H285" s="12" t="n"/>
      <c r="I285" s="12" t="n"/>
      <c r="J285" s="12">
        <f>SUM(J269,J270,J271,J282,J283,J284)</f>
        <v>2359</v>
      </c>
      <c r="K285" s="12">
        <f>SUM(K269,K270,K271,K282,K283,K284)</f>
        <v>2588</v>
      </c>
      <c r="L285" s="12">
        <f>SUM(L269,L270,L271,L282,L283,L284)</f>
        <v>8107</v>
      </c>
      <c r="M285" s="12" t="n"/>
      <c r="N285" s="12">
        <f>SUM(N269,N270,N271,N282,N283,N284)</f>
        <v>-6506</v>
      </c>
      <c r="O285" s="12">
        <f>SUM(O269,O270,O271,O282,O283,O284)</f>
        <v>1639</v>
      </c>
      <c r="P285" s="12">
        <f>SUM(P269,P270,P271,P282,P283,P284)</f>
        <v>1055</v>
      </c>
      <c r="Q285" s="12">
        <f>SUM(Q269,Q270,Q271,Q282,Q283,Q284)</f>
        <v>9504</v>
      </c>
      <c r="R285" s="12">
        <f>SUM(R269,R270,R271,R282,R283,R284)</f>
        <v>5692</v>
      </c>
      <c r="S285" s="12">
        <f>SUM(S269,S270,S271,S282,S283,S284)</f>
        <v>-7409</v>
      </c>
      <c r="T285" s="12">
        <f>SUM(T269,T270,T271,T282,T283,T284)</f>
        <v>1355</v>
      </c>
      <c r="U285" s="12">
        <f>SUM(U269,U270,U271,U282,U283,U284)</f>
        <v>669</v>
      </c>
      <c r="V285" s="12">
        <f>SUM(V269,V270,V271,V282,V283,V284)</f>
        <v>6962</v>
      </c>
      <c r="W285" s="12">
        <f>SUM(W269,W270,W271,W282,W283,W284)</f>
        <v>1577</v>
      </c>
      <c r="X285" s="12">
        <f>SUM(X269,X270,X271,X282,X283,X284)</f>
        <v>-4099</v>
      </c>
      <c r="Y285" s="12">
        <f>SUM(Y269,Y270,Y271,Y282,Y283,Y284)</f>
        <v>1797</v>
      </c>
      <c r="Z285" s="12">
        <f>SUM(Z269,Z270,Z271,Z282,Z283,Z284)</f>
        <v>1851</v>
      </c>
      <c r="AA285" s="12">
        <f>SUM(AA269,AA270,AA271,AA282,AA283,AA284)</f>
        <v>6202</v>
      </c>
      <c r="AB285" s="12">
        <f>SUM(AB269,AB270,AB271,AB282,AB283,AB284)</f>
        <v>5751</v>
      </c>
      <c r="AC285" s="12">
        <f>SUM(AC269,AC270,AC271,AC282,AC283,AC284)</f>
        <v>-3677</v>
      </c>
      <c r="AD285" s="12">
        <f>SUM(AD269,AD270,AD271,AD282,AD283,AD284)</f>
        <v>2239</v>
      </c>
      <c r="AE285" s="12">
        <f>SUM(AE269,AE270,AE271,AE282,AE283,AE284)</f>
        <v>1671</v>
      </c>
      <c r="AF285" s="12">
        <f>SUM(AF269,AF270,AF271,AF282,AF283,AF284)</f>
        <v>5176</v>
      </c>
      <c r="AG285" s="12">
        <f>SUM(AG269,AG270,AG271,AG282,AG283,AG284)</f>
        <v>5409</v>
      </c>
      <c r="AH285" s="12">
        <f>SUM(AH269,AH270,AH271,AH282,AH283,AH284)</f>
        <v>-2788</v>
      </c>
      <c r="AI285" s="12">
        <f>SUM(AI269,AI270,AI271,AI282,AI283,AI284)</f>
        <v>2430</v>
      </c>
      <c r="AJ285" s="12">
        <f>SUM(AJ269,AJ270,AJ271,AJ282,AJ283,AJ284)</f>
        <v>1700.96128420751</v>
      </c>
      <c r="AK285" s="12">
        <f>SUM(AK269,AK270,AK271,AK282,AK283,AK284)</f>
        <v>761.876304221784</v>
      </c>
      <c r="AL285" s="12">
        <f>SUM(AL269,AL270,AL271,AL282,AL283,AL284)</f>
        <v>2104.83758842929</v>
      </c>
      <c r="AM285" s="12">
        <f>SUM(AM269,AM270,AM271,AM282,AM283,AM284)</f>
        <v>2033.29615421108</v>
      </c>
      <c r="AN285" s="12">
        <f>SUM(AN269,AN270,AN271,AN282,AN283,AN284)</f>
        <v>2238.14281829898</v>
      </c>
      <c r="AO285" s="12">
        <f>SUM(AO269,AO270,AO271,AO282,AO283,AO284)</f>
        <v>1830.17629225804</v>
      </c>
      <c r="AP285" s="12">
        <f>SUM(AP269,AP270,AP271,AP282,AP283,AP284)</f>
        <v>772.023212678569</v>
      </c>
      <c r="AQ285" s="12">
        <f>SUM(AQ269,AQ270,AQ271,AQ282,AQ283,AQ284)</f>
        <v>6873.63847744667</v>
      </c>
      <c r="AR285" s="12">
        <f>SUM(AR269,AR270,AR271,AR282,AR283,AR284)</f>
        <v>1994.11753813356</v>
      </c>
      <c r="AS285" s="12">
        <f>SUM(AS269,AS270,AS271,AS282,AS283,AS284)</f>
        <v>2291.3142606702</v>
      </c>
      <c r="AT285" s="12">
        <f>SUM(AT269,AT270,AT271,AT282,AT283,AT284)</f>
        <v>1842.20565620923</v>
      </c>
      <c r="AU285" s="12">
        <f>SUM(AU269,AU270,AU271,AU282,AU283,AU284)</f>
        <v>775.565884704132</v>
      </c>
      <c r="AV285" s="12">
        <f>SUM(AV269,AV270,AV271,AV282,AV283,AV284)</f>
        <v>6903.20333971712</v>
      </c>
      <c r="AW285" s="12">
        <f>SUM(AW269,AW270,AW271,AW282,AW283,AW284)</f>
        <v>2019.98191682421</v>
      </c>
      <c r="AX285" s="12">
        <f>SUM(AX269,AX270,AX271,AX282,AX283,AX284)</f>
        <v>2257.42563047397</v>
      </c>
      <c r="AY285" s="12">
        <f>SUM(AY269,AY270,AY271,AY282,AY283,AY284)</f>
        <v>1844.90303703029</v>
      </c>
      <c r="AZ285" s="12">
        <f>SUM(AZ269,AZ270,AZ271,AZ282,AZ283,AZ284)</f>
        <v>775.066975373515</v>
      </c>
      <c r="BA285" s="12">
        <f>SUM(BA269,BA270,BA271,BA282,BA283,BA284)</f>
        <v>6897.37755970198</v>
      </c>
      <c r="BB285" s="12">
        <f>SUM(BB269,BB270,BB271,BB282,BB283,BB284)</f>
        <v>2009.14679357188</v>
      </c>
      <c r="BC285" s="12">
        <f>SUM(BC269,BC270,BC271,BC282,BC283,BC284)</f>
        <v>2255.73587471458</v>
      </c>
      <c r="BD285" s="12">
        <f>SUM(BD269,BD270,BD271,BD282,BD283,BD284)</f>
        <v>1843.20826614467</v>
      </c>
      <c r="BE285" s="12">
        <f>SUM(BE269,BE270,BE271,BE282,BE283,BE284)</f>
        <v>773.367174476979</v>
      </c>
      <c r="BF285" s="12">
        <f>SUM(BF269,BF270,BF271,BF282,BF283,BF284)</f>
        <v>6881.45810890812</v>
      </c>
      <c r="BG285" s="12" t="n"/>
      <c r="BH285" s="12" t="n"/>
      <c r="BI285" s="12" t="n"/>
      <c r="BJ285" s="12" t="n"/>
      <c r="BK285" s="12" t="n"/>
      <c r="BL285" s="12" t="n"/>
      <c r="BM285" s="12" t="n"/>
      <c r="BN285" s="12" t="n"/>
      <c r="BO285" s="12" t="n"/>
      <c r="BP285" s="12" t="n"/>
      <c r="BQ285" s="12" t="n"/>
      <c r="BR285" s="12" t="n"/>
      <c r="BS285" s="12" t="n"/>
      <c r="BT285" s="12" t="n"/>
      <c r="BU285" s="12" t="n"/>
      <c r="BV285" s="12" t="n"/>
      <c r="BW285" s="12" t="n"/>
      <c r="BX285" s="12" t="n"/>
      <c r="BY285" s="12" t="n"/>
      <c r="BZ285" s="12" t="n"/>
      <c r="CA285" s="12" t="n"/>
      <c r="CB285" s="12" t="n"/>
      <c r="CC285" s="12" t="n"/>
      <c r="CD285" s="12" t="n"/>
      <c r="CE285" s="12" t="n"/>
      <c r="CF285" s="12" t="n"/>
      <c r="CG285" s="12" t="n"/>
      <c r="CH285" s="12" t="n"/>
      <c r="CI285" s="12" t="n"/>
      <c r="CJ285" s="12" t="n"/>
      <c r="CK285" s="12" t="n"/>
      <c r="CL285" s="12" t="n"/>
      <c r="CM285" s="12" t="n"/>
      <c r="CN285" s="12" t="n"/>
      <c r="CO285" s="12" t="n"/>
      <c r="CP285" s="12" t="n"/>
      <c r="CQ285" s="12" t="n"/>
      <c r="CR285" s="12" t="n"/>
      <c r="CS285" s="12" t="n"/>
      <c r="CT285" s="12" t="n"/>
      <c r="CU285" s="12" t="n"/>
      <c r="CV285" s="12" t="n"/>
      <c r="CW285" s="12" t="n"/>
      <c r="CX285" s="12" t="n"/>
      <c r="CY285" s="12" t="n"/>
    </row>
    <row r="286">
      <c r="C286" s="14" t="n"/>
      <c r="D286" s="12" t="n"/>
      <c r="E286" s="12" t="n"/>
      <c r="F286" s="12" t="n"/>
      <c r="G286" s="12" t="n"/>
      <c r="H286" s="12" t="n"/>
      <c r="I286" s="12" t="n"/>
      <c r="J286" s="12" t="n"/>
      <c r="K286" s="12" t="n"/>
      <c r="L286" s="12" t="n"/>
      <c r="M286" s="12" t="n"/>
      <c r="N286" s="12" t="n"/>
      <c r="O286" s="12" t="n"/>
      <c r="P286" s="12" t="n"/>
      <c r="Q286" s="12" t="n"/>
      <c r="R286" s="12" t="n"/>
      <c r="S286" s="12" t="n"/>
      <c r="T286" s="12" t="n"/>
      <c r="U286" s="12" t="n"/>
      <c r="V286" s="12" t="n"/>
      <c r="W286" s="12" t="n"/>
      <c r="X286" s="12" t="n"/>
      <c r="Y286" s="12" t="n"/>
      <c r="Z286" s="12" t="n"/>
      <c r="AA286" s="12" t="n"/>
      <c r="AB286" s="12" t="n"/>
      <c r="AC286" s="12" t="n"/>
      <c r="AD286" s="12" t="n"/>
      <c r="AE286" s="12" t="n"/>
      <c r="AF286" s="12" t="n"/>
      <c r="AG286" s="12" t="n"/>
      <c r="AH286" s="12" t="n"/>
      <c r="AI286" s="12" t="n"/>
      <c r="AJ286" s="12" t="n"/>
      <c r="AK286" s="12" t="n"/>
      <c r="AL286" s="12" t="n"/>
      <c r="AM286" s="12" t="n"/>
      <c r="AN286" s="12" t="n"/>
      <c r="AO286" s="12" t="n"/>
      <c r="AP286" s="12" t="n"/>
      <c r="AQ286" s="12" t="n"/>
      <c r="AR286" s="12" t="n"/>
      <c r="AS286" s="12" t="n"/>
      <c r="AT286" s="12" t="n"/>
      <c r="AU286" s="12" t="n"/>
      <c r="AV286" s="12" t="n"/>
      <c r="AW286" s="12" t="n"/>
      <c r="AX286" s="12" t="n"/>
      <c r="AY286" s="12" t="n"/>
      <c r="AZ286" s="12" t="n"/>
      <c r="BA286" s="12" t="n"/>
      <c r="BB286" s="12" t="n"/>
      <c r="BC286" s="12" t="n"/>
      <c r="BD286" s="12" t="n"/>
      <c r="BE286" s="12" t="n"/>
      <c r="BF286" s="12" t="n"/>
      <c r="BG286" s="12" t="n"/>
      <c r="BH286" s="12" t="n"/>
      <c r="BI286" s="12" t="n"/>
      <c r="BJ286" s="12" t="n"/>
      <c r="BK286" s="12" t="n"/>
      <c r="BL286" s="12" t="n"/>
      <c r="BM286" s="12" t="n"/>
      <c r="BN286" s="12" t="n"/>
      <c r="BO286" s="12" t="n"/>
      <c r="BP286" s="12" t="n"/>
      <c r="BQ286" s="12" t="n"/>
      <c r="BR286" s="12" t="n"/>
      <c r="BS286" s="12" t="n"/>
      <c r="BT286" s="12" t="n"/>
      <c r="BU286" s="12" t="n"/>
      <c r="BV286" s="12" t="n"/>
      <c r="BW286" s="12" t="n"/>
      <c r="BX286" s="12" t="n"/>
      <c r="BY286" s="12" t="n"/>
      <c r="BZ286" s="12" t="n"/>
      <c r="CA286" s="12" t="n"/>
      <c r="CB286" s="12" t="n"/>
      <c r="CC286" s="12" t="n"/>
      <c r="CD286" s="12" t="n"/>
      <c r="CE286" s="12" t="n"/>
      <c r="CF286" s="12" t="n"/>
      <c r="CG286" s="12" t="n"/>
      <c r="CH286" s="12" t="n"/>
      <c r="CI286" s="12" t="n"/>
      <c r="CJ286" s="12" t="n"/>
      <c r="CK286" s="12" t="n"/>
      <c r="CL286" s="12" t="n"/>
      <c r="CM286" s="12" t="n"/>
      <c r="CN286" s="12" t="n"/>
      <c r="CO286" s="12" t="n"/>
      <c r="CP286" s="12" t="n"/>
      <c r="CQ286" s="12" t="n"/>
      <c r="CR286" s="12" t="n"/>
      <c r="CS286" s="12" t="n"/>
      <c r="CT286" s="12" t="n"/>
      <c r="CU286" s="12" t="n"/>
      <c r="CV286" s="12" t="n"/>
      <c r="CW286" s="12" t="n"/>
      <c r="CX286" s="12" t="n"/>
      <c r="CY286" s="12" t="n"/>
    </row>
    <row r="287">
      <c r="C287" s="10" t="inlineStr">
        <is>
          <t>Purchase of fixed assets (capital expenditures)</t>
        </is>
      </c>
      <c r="D287" s="12" t="n"/>
      <c r="E287" s="12" t="n"/>
      <c r="F287" s="12" t="n"/>
      <c r="G287" s="12" t="n"/>
      <c r="H287" s="12" t="n"/>
      <c r="I287" s="12" t="n"/>
      <c r="J287" s="12">
        <f>-J160</f>
        <v>-544</v>
      </c>
      <c r="K287" s="12">
        <f>-K160</f>
        <v>-794</v>
      </c>
      <c r="L287" s="12">
        <f>-L160</f>
        <v>-811</v>
      </c>
      <c r="M287" s="12" t="n"/>
      <c r="N287" s="12">
        <f>-N160</f>
        <v>-852</v>
      </c>
      <c r="O287" s="12">
        <f>-O160</f>
        <v>-999</v>
      </c>
      <c r="P287" s="12">
        <f>-P160</f>
        <v>-1122</v>
      </c>
      <c r="Q287" s="12">
        <f>-Q160</f>
        <v>-1328</v>
      </c>
      <c r="R287" s="12">
        <f>SUM(N287:Q287)</f>
        <v>-4301</v>
      </c>
      <c r="S287" s="12">
        <f>-S160</f>
        <v>-931</v>
      </c>
      <c r="T287" s="12">
        <f>-T160</f>
        <v>-1233</v>
      </c>
      <c r="U287" s="12">
        <f>-U160</f>
        <v>-1223</v>
      </c>
      <c r="V287" s="12">
        <f>-V160</f>
        <v>-1349</v>
      </c>
      <c r="W287" s="12">
        <f>SUM(S287:V287)</f>
        <v>-4736</v>
      </c>
      <c r="X287" s="12">
        <f>-X160</f>
        <v>-1497</v>
      </c>
      <c r="Y287" s="12">
        <f>-Y160</f>
        <v>-1096</v>
      </c>
      <c r="Z287" s="12">
        <f>-Z160</f>
        <v>-1566</v>
      </c>
      <c r="AA287" s="12">
        <f>-AA160</f>
        <v>-1301</v>
      </c>
      <c r="AB287" s="12">
        <f>SUM(X287:AA287)</f>
        <v>-5460</v>
      </c>
      <c r="AC287" s="12">
        <f>-AC160</f>
        <v>-1152</v>
      </c>
      <c r="AD287" s="12">
        <f>-AD160</f>
        <v>-1303</v>
      </c>
      <c r="AE287" s="12">
        <f>-AE160</f>
        <v>-1047</v>
      </c>
      <c r="AF287" s="12">
        <f>-AF160</f>
        <v>-964</v>
      </c>
      <c r="AG287" s="12">
        <f>SUM(AC287:AF287)</f>
        <v>-4466</v>
      </c>
      <c r="AH287" s="12">
        <f>-AH160</f>
        <v>-879</v>
      </c>
      <c r="AI287" s="12">
        <f>-AI160</f>
        <v>-1127</v>
      </c>
      <c r="AJ287" s="12">
        <f>-AJ160</f>
        <v>-1166.67350104698</v>
      </c>
      <c r="AK287" s="12">
        <f>-AK160</f>
        <v>-942.609270137352</v>
      </c>
      <c r="AL287" s="12">
        <f>SUM(AH287:AK287)</f>
        <v>-4115.28277118433</v>
      </c>
      <c r="AM287" s="12">
        <f>-AM160</f>
        <v>-1043.17880171068</v>
      </c>
      <c r="AN287" s="12">
        <f>-AN160</f>
        <v>-1176.2117095323</v>
      </c>
      <c r="AO287" s="12">
        <f>-AO160</f>
        <v>-1181.80287546299</v>
      </c>
      <c r="AP287" s="12">
        <f>-AP160</f>
        <v>-954.832988738239</v>
      </c>
      <c r="AQ287" s="12">
        <f>SUM(AM287:AP287)</f>
        <v>-4356.0263754442</v>
      </c>
      <c r="AR287" s="12">
        <f>-AR160</f>
        <v>-1051.49080788993</v>
      </c>
      <c r="AS287" s="12">
        <f>-AS160</f>
        <v>-1185.58371649957</v>
      </c>
      <c r="AT287" s="12">
        <f>-AT160</f>
        <v>-1191.21943261254</v>
      </c>
      <c r="AU287" s="12">
        <f>-AU160</f>
        <v>-962.441059080096</v>
      </c>
      <c r="AV287" s="12">
        <f>SUM(AR287:AU287)</f>
        <v>-4390.73501608214</v>
      </c>
      <c r="AW287" s="12">
        <f>-AW160</f>
        <v>-1054.61158975624</v>
      </c>
      <c r="AX287" s="12">
        <f>-AX160</f>
        <v>-1189.10248065393</v>
      </c>
      <c r="AY287" s="12">
        <f>-AY160</f>
        <v>-1194.75492334264</v>
      </c>
      <c r="AZ287" s="12">
        <f>-AZ160</f>
        <v>-965.297544920984</v>
      </c>
      <c r="BA287" s="12">
        <f>SUM(AW287:AZ287)</f>
        <v>-4403.76653867379</v>
      </c>
      <c r="BB287" s="12">
        <f>-BB160</f>
        <v>-1054.61158975624</v>
      </c>
      <c r="BC287" s="12">
        <f>-BC160</f>
        <v>-1189.10248065393</v>
      </c>
      <c r="BD287" s="12">
        <f>-BD160</f>
        <v>-1194.75492334264</v>
      </c>
      <c r="BE287" s="12">
        <f>-BE160</f>
        <v>-965.297544920984</v>
      </c>
      <c r="BF287" s="12">
        <f>SUM(BB287:BE287)</f>
        <v>-4403.76653867379</v>
      </c>
      <c r="BG287" s="12" t="n"/>
      <c r="BH287" s="12" t="n"/>
      <c r="BI287" s="12" t="n"/>
      <c r="BJ287" s="12" t="n"/>
      <c r="BK287" s="12" t="n"/>
      <c r="BL287" s="12" t="n"/>
      <c r="BM287" s="12" t="n"/>
      <c r="BN287" s="12" t="n"/>
      <c r="BO287" s="12" t="n"/>
      <c r="BP287" s="12" t="n"/>
      <c r="BQ287" s="12" t="n"/>
      <c r="BR287" s="12" t="n"/>
      <c r="BS287" s="12" t="n"/>
      <c r="BT287" s="12" t="n"/>
      <c r="BU287" s="12" t="n"/>
      <c r="BV287" s="12" t="n"/>
      <c r="BW287" s="12" t="n"/>
      <c r="BX287" s="12" t="n"/>
      <c r="BY287" s="12" t="n"/>
      <c r="BZ287" s="12" t="n"/>
      <c r="CA287" s="12" t="n"/>
      <c r="CB287" s="12" t="n"/>
      <c r="CC287" s="12" t="n"/>
      <c r="CD287" s="12" t="n"/>
      <c r="CE287" s="12" t="n"/>
      <c r="CF287" s="12" t="n"/>
      <c r="CG287" s="12" t="n"/>
      <c r="CH287" s="12" t="n"/>
      <c r="CI287" s="12" t="n"/>
      <c r="CJ287" s="12" t="n"/>
      <c r="CK287" s="12" t="n"/>
      <c r="CL287" s="12" t="n"/>
      <c r="CM287" s="12" t="n"/>
      <c r="CN287" s="12" t="n"/>
      <c r="CO287" s="12" t="n"/>
      <c r="CP287" s="12" t="n"/>
      <c r="CQ287" s="12" t="n"/>
      <c r="CR287" s="12" t="n"/>
      <c r="CS287" s="12" t="n"/>
      <c r="CT287" s="12" t="n"/>
      <c r="CU287" s="12" t="n"/>
      <c r="CV287" s="12" t="n"/>
      <c r="CW287" s="12" t="n"/>
      <c r="CX287" s="12" t="n"/>
      <c r="CY287" s="12" t="n"/>
    </row>
    <row r="288">
      <c r="C288" s="10" t="inlineStr">
        <is>
          <t>Proceeds from sale of fixed assets</t>
        </is>
      </c>
      <c r="D288" s="12" t="n"/>
      <c r="E288" s="12" t="n"/>
      <c r="F288" s="12" t="n"/>
      <c r="G288" s="12" t="n"/>
      <c r="H288" s="12" t="n"/>
      <c r="I288" s="12" t="n"/>
      <c r="J288" s="12">
        <f>-J161</f>
        <v>0</v>
      </c>
      <c r="K288" s="12">
        <f>-K161</f>
        <v>0</v>
      </c>
      <c r="L288" s="12">
        <f>-L161</f>
        <v>0</v>
      </c>
      <c r="M288" s="12" t="n"/>
      <c r="N288" s="12">
        <f>-N161</f>
        <v>0</v>
      </c>
      <c r="O288" s="12">
        <f>-O161</f>
        <v>0</v>
      </c>
      <c r="P288" s="12">
        <f>-P161</f>
        <v>0</v>
      </c>
      <c r="Q288" s="12">
        <f>-Q161</f>
        <v>0</v>
      </c>
      <c r="R288" s="12">
        <f>SUM(N288:Q288)</f>
        <v>0</v>
      </c>
      <c r="S288" s="12">
        <f>-S161</f>
        <v>0</v>
      </c>
      <c r="T288" s="12">
        <f>-T161</f>
        <v>0</v>
      </c>
      <c r="U288" s="12">
        <f>-U161</f>
        <v>0</v>
      </c>
      <c r="V288" s="12">
        <f>-V161</f>
        <v>0</v>
      </c>
      <c r="W288" s="12">
        <f>SUM(S288:V288)</f>
        <v>0</v>
      </c>
      <c r="X288" s="12">
        <f>-X161</f>
        <v>0</v>
      </c>
      <c r="Y288" s="12">
        <f>-Y161</f>
        <v>0</v>
      </c>
      <c r="Z288" s="12">
        <f>-Z161</f>
        <v>0</v>
      </c>
      <c r="AA288" s="12">
        <f>-AA161</f>
        <v>0</v>
      </c>
      <c r="AB288" s="12">
        <f>SUM(X288:AA288)</f>
        <v>0</v>
      </c>
      <c r="AC288" s="12">
        <f>-AC161</f>
        <v>0</v>
      </c>
      <c r="AD288" s="12">
        <f>-AD161</f>
        <v>0</v>
      </c>
      <c r="AE288" s="12">
        <f>-AE161</f>
        <v>0</v>
      </c>
      <c r="AF288" s="12">
        <f>-AF161</f>
        <v>0</v>
      </c>
      <c r="AG288" s="12">
        <f>SUM(AC288:AF288)</f>
        <v>0</v>
      </c>
      <c r="AH288" s="12">
        <f>-AH161</f>
        <v>0</v>
      </c>
      <c r="AI288" s="12">
        <f>-AI161</f>
        <v>0</v>
      </c>
      <c r="AJ288" s="12">
        <f>-AJ161</f>
        <v>0</v>
      </c>
      <c r="AK288" s="12">
        <f>-AK161</f>
        <v>0</v>
      </c>
      <c r="AL288" s="12">
        <f>SUM(AH288:AK288)</f>
        <v>0</v>
      </c>
      <c r="AM288" s="12">
        <f>-AM161</f>
        <v>0</v>
      </c>
      <c r="AN288" s="12">
        <f>-AN161</f>
        <v>0</v>
      </c>
      <c r="AO288" s="12">
        <f>-AO161</f>
        <v>0</v>
      </c>
      <c r="AP288" s="12">
        <f>-AP161</f>
        <v>0</v>
      </c>
      <c r="AQ288" s="12">
        <f>SUM(AM288:AP288)</f>
        <v>0</v>
      </c>
      <c r="AR288" s="12">
        <f>-AR161</f>
        <v>0</v>
      </c>
      <c r="AS288" s="12">
        <f>-AS161</f>
        <v>0</v>
      </c>
      <c r="AT288" s="12">
        <f>-AT161</f>
        <v>0</v>
      </c>
      <c r="AU288" s="12">
        <f>-AU161</f>
        <v>0</v>
      </c>
      <c r="AV288" s="12">
        <f>SUM(AR288:AU288)</f>
        <v>0</v>
      </c>
      <c r="AW288" s="12">
        <f>-AW161</f>
        <v>0</v>
      </c>
      <c r="AX288" s="12">
        <f>-AX161</f>
        <v>0</v>
      </c>
      <c r="AY288" s="12">
        <f>-AY161</f>
        <v>0</v>
      </c>
      <c r="AZ288" s="12">
        <f>-AZ161</f>
        <v>0</v>
      </c>
      <c r="BA288" s="12">
        <f>SUM(AW288:AZ288)</f>
        <v>0</v>
      </c>
      <c r="BB288" s="12">
        <f>-BB161</f>
        <v>0</v>
      </c>
      <c r="BC288" s="12">
        <f>-BC161</f>
        <v>0</v>
      </c>
      <c r="BD288" s="12">
        <f>-BD161</f>
        <v>0</v>
      </c>
      <c r="BE288" s="12">
        <f>-BE161</f>
        <v>0</v>
      </c>
      <c r="BF288" s="12">
        <f>SUM(BB288:BE288)</f>
        <v>0</v>
      </c>
      <c r="BG288" s="12" t="n"/>
      <c r="BH288" s="12" t="n"/>
      <c r="BI288" s="12" t="n"/>
      <c r="BJ288" s="12" t="n"/>
      <c r="BK288" s="12" t="n"/>
      <c r="BL288" s="12" t="n"/>
      <c r="BM288" s="12" t="n"/>
      <c r="BN288" s="12" t="n"/>
      <c r="BO288" s="12" t="n"/>
      <c r="BP288" s="12" t="n"/>
      <c r="BQ288" s="12" t="n"/>
      <c r="BR288" s="12" t="n"/>
      <c r="BS288" s="12" t="n"/>
      <c r="BT288" s="12" t="n"/>
      <c r="BU288" s="12" t="n"/>
      <c r="BV288" s="12" t="n"/>
      <c r="BW288" s="12" t="n"/>
      <c r="BX288" s="12" t="n"/>
      <c r="BY288" s="12" t="n"/>
      <c r="BZ288" s="12" t="n"/>
      <c r="CA288" s="12" t="n"/>
      <c r="CB288" s="12" t="n"/>
      <c r="CC288" s="12" t="n"/>
      <c r="CD288" s="12" t="n"/>
      <c r="CE288" s="12" t="n"/>
      <c r="CF288" s="12" t="n"/>
      <c r="CG288" s="12" t="n"/>
      <c r="CH288" s="12" t="n"/>
      <c r="CI288" s="12" t="n"/>
      <c r="CJ288" s="12" t="n"/>
      <c r="CK288" s="12" t="n"/>
      <c r="CL288" s="12" t="n"/>
      <c r="CM288" s="12" t="n"/>
      <c r="CN288" s="12" t="n"/>
      <c r="CO288" s="12" t="n"/>
      <c r="CP288" s="12" t="n"/>
      <c r="CQ288" s="12" t="n"/>
      <c r="CR288" s="12" t="n"/>
      <c r="CS288" s="12" t="n"/>
      <c r="CT288" s="12" t="n"/>
      <c r="CU288" s="12" t="n"/>
      <c r="CV288" s="12" t="n"/>
      <c r="CW288" s="12" t="n"/>
      <c r="CX288" s="12" t="n"/>
      <c r="CY288" s="12" t="n"/>
    </row>
    <row r="289">
      <c r="C289" s="10" t="inlineStr">
        <is>
          <t>Var.Right-of-use-assets</t>
        </is>
      </c>
      <c r="D289" s="12" t="n"/>
      <c r="E289" s="12" t="n"/>
      <c r="F289" s="12" t="n"/>
      <c r="G289" s="12" t="n"/>
      <c r="H289" s="12" t="n"/>
      <c r="I289" s="12" t="n"/>
      <c r="J289" s="12">
        <f>(J168-I168)*-1</f>
        <v>0</v>
      </c>
      <c r="K289" s="12">
        <f>(K168-J168)*-1</f>
        <v>0</v>
      </c>
      <c r="L289" s="12">
        <f>(L168-K168)*-1</f>
        <v>0</v>
      </c>
      <c r="M289" s="12" t="n"/>
      <c r="N289" s="12">
        <f>(N168-M168)*-1</f>
        <v>0</v>
      </c>
      <c r="O289" s="12">
        <f>(O168-N168)*-1</f>
        <v>0</v>
      </c>
      <c r="P289" s="12">
        <f>(P168-O168)*-1</f>
        <v>0</v>
      </c>
      <c r="Q289" s="12">
        <f>(Q168-P168)*-1</f>
        <v>0</v>
      </c>
      <c r="R289" s="12">
        <f>SUM(N289:Q289)</f>
        <v>0</v>
      </c>
      <c r="S289" s="12">
        <f>(S168-R168)*-1</f>
        <v>0</v>
      </c>
      <c r="T289" s="12">
        <f>(T168-S168)*-1</f>
        <v>0</v>
      </c>
      <c r="U289" s="12">
        <f>(U168-T168)*-1</f>
        <v>0</v>
      </c>
      <c r="V289" s="12">
        <f>(V168-U168)*-1</f>
        <v>0</v>
      </c>
      <c r="W289" s="12">
        <f>SUM(S289:V289)</f>
        <v>0</v>
      </c>
      <c r="X289" s="12">
        <f>(X168-W168)*-1</f>
        <v>0</v>
      </c>
      <c r="Y289" s="12">
        <f>(Y168-X168)*-1</f>
        <v>0</v>
      </c>
      <c r="Z289" s="12">
        <f>(Z168-Y168)*-1</f>
        <v>0</v>
      </c>
      <c r="AA289" s="12">
        <f>(AA168-Z168)*-1</f>
        <v>0</v>
      </c>
      <c r="AB289" s="12">
        <f>SUM(X289:AA289)</f>
        <v>0</v>
      </c>
      <c r="AC289" s="12">
        <f>(AC168-AB168)*-1</f>
        <v>0</v>
      </c>
      <c r="AD289" s="12">
        <f>(AD168-AC168)*-1</f>
        <v>0</v>
      </c>
      <c r="AE289" s="12">
        <f>(AE168-AD168)*-1</f>
        <v>0</v>
      </c>
      <c r="AF289" s="12">
        <f>(AF168-AE168)*-1</f>
        <v>0</v>
      </c>
      <c r="AG289" s="12">
        <f>SUM(AC289:AF289)</f>
        <v>0</v>
      </c>
      <c r="AH289" s="12">
        <f>(AH168-AG168)*-1</f>
        <v>0</v>
      </c>
      <c r="AI289" s="12">
        <f>(AI168-AH168)*-1</f>
        <v>0</v>
      </c>
      <c r="AJ289" s="12">
        <f>(AJ168-AI168)*-1</f>
        <v>0</v>
      </c>
      <c r="AK289" s="12">
        <f>(AK168-AJ168)*-1</f>
        <v>0</v>
      </c>
      <c r="AL289" s="12">
        <f>SUM(AH289:AK289)</f>
        <v>0</v>
      </c>
      <c r="AM289" s="12">
        <f>(AM168-AL168)*-1</f>
        <v>0</v>
      </c>
      <c r="AN289" s="12">
        <f>(AN168-AM168)*-1</f>
        <v>0</v>
      </c>
      <c r="AO289" s="12">
        <f>(AO168-AN168)*-1</f>
        <v>0</v>
      </c>
      <c r="AP289" s="12">
        <f>(AP168-AO168)*-1</f>
        <v>0</v>
      </c>
      <c r="AQ289" s="12">
        <f>SUM(AM289:AP289)</f>
        <v>0</v>
      </c>
      <c r="AR289" s="12">
        <f>(AR168-AQ168)*-1</f>
        <v>0</v>
      </c>
      <c r="AS289" s="12">
        <f>(AS168-AR168)*-1</f>
        <v>0</v>
      </c>
      <c r="AT289" s="12">
        <f>(AT168-AS168)*-1</f>
        <v>0</v>
      </c>
      <c r="AU289" s="12">
        <f>(AU168-AT168)*-1</f>
        <v>0</v>
      </c>
      <c r="AV289" s="12">
        <f>SUM(AR289:AU289)</f>
        <v>0</v>
      </c>
      <c r="AW289" s="12">
        <f>(AW168-AV168)*-1</f>
        <v>0</v>
      </c>
      <c r="AX289" s="12">
        <f>(AX168-AW168)*-1</f>
        <v>0</v>
      </c>
      <c r="AY289" s="12">
        <f>(AY168-AX168)*-1</f>
        <v>0</v>
      </c>
      <c r="AZ289" s="12">
        <f>(AZ168-AY168)*-1</f>
        <v>0</v>
      </c>
      <c r="BA289" s="12">
        <f>SUM(AW289:AZ289)</f>
        <v>0</v>
      </c>
      <c r="BB289" s="12">
        <f>(BB168-BA168)*-1</f>
        <v>0</v>
      </c>
      <c r="BC289" s="12">
        <f>(BC168-BB168)*-1</f>
        <v>0</v>
      </c>
      <c r="BD289" s="12">
        <f>(BD168-BC168)*-1</f>
        <v>0</v>
      </c>
      <c r="BE289" s="12">
        <f>(BE168-BD168)*-1</f>
        <v>0</v>
      </c>
      <c r="BF289" s="12">
        <f>SUM(BB289:BE289)</f>
        <v>0</v>
      </c>
      <c r="BG289" s="12" t="n"/>
      <c r="BH289" s="12" t="n"/>
      <c r="BI289" s="12" t="n"/>
      <c r="BJ289" s="12" t="n"/>
      <c r="BK289" s="12" t="n"/>
      <c r="BL289" s="12" t="n"/>
      <c r="BM289" s="12" t="n"/>
      <c r="BN289" s="12" t="n"/>
      <c r="BO289" s="12" t="n"/>
      <c r="BP289" s="12" t="n"/>
      <c r="BQ289" s="12" t="n"/>
      <c r="BR289" s="12" t="n"/>
      <c r="BS289" s="12" t="n"/>
      <c r="BT289" s="12" t="n"/>
      <c r="BU289" s="12" t="n"/>
      <c r="BV289" s="12" t="n"/>
      <c r="BW289" s="12" t="n"/>
      <c r="BX289" s="12" t="n"/>
      <c r="BY289" s="12" t="n"/>
      <c r="BZ289" s="12" t="n"/>
      <c r="CA289" s="12" t="n"/>
      <c r="CB289" s="12" t="n"/>
      <c r="CC289" s="12" t="n"/>
      <c r="CD289" s="12" t="n"/>
      <c r="CE289" s="12" t="n"/>
      <c r="CF289" s="12" t="n"/>
      <c r="CG289" s="12" t="n"/>
      <c r="CH289" s="12" t="n"/>
      <c r="CI289" s="12" t="n"/>
      <c r="CJ289" s="12" t="n"/>
      <c r="CK289" s="12" t="n"/>
      <c r="CL289" s="12" t="n"/>
      <c r="CM289" s="12" t="n"/>
      <c r="CN289" s="12" t="n"/>
      <c r="CO289" s="12" t="n"/>
      <c r="CP289" s="12" t="n"/>
      <c r="CQ289" s="12" t="n"/>
      <c r="CR289" s="12" t="n"/>
      <c r="CS289" s="12" t="n"/>
      <c r="CT289" s="12" t="n"/>
      <c r="CU289" s="12" t="n"/>
      <c r="CV289" s="12" t="n"/>
      <c r="CW289" s="12" t="n"/>
      <c r="CX289" s="12" t="n"/>
      <c r="CY289" s="12" t="n"/>
      <c r="CZ289" s="12" t="n"/>
      <c r="DA289" s="12" t="n"/>
      <c r="DB289" s="12" t="n"/>
      <c r="DC289" s="12" t="n"/>
    </row>
    <row r="290">
      <c r="C290" s="10" t="inlineStr">
        <is>
          <t>Purchases of intangible assets</t>
        </is>
      </c>
      <c r="D290" s="12" t="n"/>
      <c r="E290" s="12" t="n"/>
      <c r="F290" s="12" t="n"/>
      <c r="G290" s="12" t="n"/>
      <c r="H290" s="12" t="n"/>
      <c r="I290" s="12" t="n"/>
      <c r="J290" s="12">
        <f>((J172-I172)*-1)+((J171-I171)*-1)</f>
        <v>0</v>
      </c>
      <c r="K290" s="12">
        <f>((K172-J172)*-1)+((K171-J171)*-1)</f>
        <v>0</v>
      </c>
      <c r="L290" s="12">
        <f>((L172-K172)*-1)+((L171-K171)*-1)</f>
        <v>0</v>
      </c>
      <c r="M290" s="12" t="n"/>
      <c r="N290" s="12">
        <f>((N172-M172)*-1)+((N171-M171)*-1)</f>
        <v>0</v>
      </c>
      <c r="O290" s="12">
        <f>((O172-N172)*-1)+((O171-N171)*-1)</f>
        <v>0</v>
      </c>
      <c r="P290" s="12">
        <f>((P172-O172)*-1)+((P171-O171)*-1)</f>
        <v>0</v>
      </c>
      <c r="Q290" s="12">
        <f>((Q172-P172)*-1)+((Q171-P171)*-1)</f>
        <v>0</v>
      </c>
      <c r="R290" s="12">
        <f>SUM(N290:Q290)</f>
        <v>0</v>
      </c>
      <c r="S290" s="12">
        <f>((S172-R172)*-1)+((S171-R171)*-1)</f>
        <v>0</v>
      </c>
      <c r="T290" s="12">
        <f>((T172-S172)*-1)+((T171-S171)*-1)</f>
        <v>0</v>
      </c>
      <c r="U290" s="12">
        <f>((U172-T172)*-1)+((U171-T171)*-1)</f>
        <v>0</v>
      </c>
      <c r="V290" s="12">
        <f>((V172-U172)*-1)+((V171-U171)*-1)</f>
        <v>0</v>
      </c>
      <c r="W290" s="12">
        <f>SUM(S290:V290)</f>
        <v>0</v>
      </c>
      <c r="X290" s="12">
        <f>((X172-W172)*-1)+((X171-W171)*-1)</f>
        <v>0</v>
      </c>
      <c r="Y290" s="12">
        <f>((Y172-X172)*-1)+((Y171-X171)*-1)</f>
        <v>0</v>
      </c>
      <c r="Z290" s="12">
        <f>((Z172-Y172)*-1)+((Z171-Y171)*-1)</f>
        <v>0</v>
      </c>
      <c r="AA290" s="12">
        <f>((AA172-Z172)*-1)+((AA171-Z171)*-1)</f>
        <v>0</v>
      </c>
      <c r="AB290" s="12">
        <f>SUM(X290:AA290)</f>
        <v>0</v>
      </c>
      <c r="AC290" s="12">
        <f>((AC172-AB172)*-1)+((AC171-AB171)*-1)</f>
        <v>0</v>
      </c>
      <c r="AD290" s="12">
        <f>((AD172-AC172)*-1)+((AD171-AC171)*-1)</f>
        <v>0</v>
      </c>
      <c r="AE290" s="12">
        <f>((AE172-AD172)*-1)+((AE171-AD171)*-1)</f>
        <v>0</v>
      </c>
      <c r="AF290" s="12">
        <f>((AF172-AE172)*-1)+((AF171-AE171)*-1)</f>
        <v>0</v>
      </c>
      <c r="AG290" s="12">
        <f>SUM(AC290:AF290)</f>
        <v>0</v>
      </c>
      <c r="AH290" s="12">
        <f>((AH172-AG172)*-1)+((AH171-AG171)*-1)</f>
        <v>0</v>
      </c>
      <c r="AI290" s="12">
        <f>((AI172-AH172)*-1)+((AI171-AH171)*-1)</f>
        <v>0</v>
      </c>
      <c r="AJ290" s="12">
        <f>((AJ172-AI172)*-1)+((AJ171-AI171)*-1)</f>
        <v>0</v>
      </c>
      <c r="AK290" s="12">
        <f>((AK172-AJ172)*-1)+((AK171-AJ171)*-1)</f>
        <v>0</v>
      </c>
      <c r="AL290" s="12">
        <f>SUM(AH290:AK290)</f>
        <v>0</v>
      </c>
      <c r="AM290" s="12">
        <f>((AM172-AL172)*-1)+((AM171-AL171)*-1)</f>
        <v>0</v>
      </c>
      <c r="AN290" s="12">
        <f>((AN172-AM172)*-1)+((AN171-AM171)*-1)</f>
        <v>0</v>
      </c>
      <c r="AO290" s="12">
        <f>((AO172-AN172)*-1)+((AO171-AN171)*-1)</f>
        <v>0</v>
      </c>
      <c r="AP290" s="12">
        <f>((AP172-AO172)*-1)+((AP171-AO171)*-1)</f>
        <v>0</v>
      </c>
      <c r="AQ290" s="12">
        <f>SUM(AM290:AP290)</f>
        <v>0</v>
      </c>
      <c r="AR290" s="12">
        <f>((AR172-AQ172)*-1)+((AR171-AQ171)*-1)</f>
        <v>0</v>
      </c>
      <c r="AS290" s="12">
        <f>((AS172-AR172)*-1)+((AS171-AR171)*-1)</f>
        <v>0</v>
      </c>
      <c r="AT290" s="12">
        <f>((AT172-AS172)*-1)+((AT171-AS171)*-1)</f>
        <v>0</v>
      </c>
      <c r="AU290" s="12">
        <f>((AU172-AT172)*-1)+((AU171-AT171)*-1)</f>
        <v>0</v>
      </c>
      <c r="AV290" s="12">
        <f>SUM(AR290:AU290)</f>
        <v>0</v>
      </c>
      <c r="AW290" s="12">
        <f>((AW172-AV172)*-1)+((AW171-AV171)*-1)</f>
        <v>0</v>
      </c>
      <c r="AX290" s="12">
        <f>((AX172-AW172)*-1)+((AX171-AW171)*-1)</f>
        <v>0</v>
      </c>
      <c r="AY290" s="12">
        <f>((AY172-AX172)*-1)+((AY171-AX171)*-1)</f>
        <v>0</v>
      </c>
      <c r="AZ290" s="12">
        <f>((AZ172-AY172)*-1)+((AZ171-AY171)*-1)</f>
        <v>0</v>
      </c>
      <c r="BA290" s="12">
        <f>SUM(AW290:AZ290)</f>
        <v>0</v>
      </c>
      <c r="BB290" s="12">
        <f>((BB172-BA172)*-1)+((BB171-BA171)*-1)</f>
        <v>0</v>
      </c>
      <c r="BC290" s="12">
        <f>((BC172-BB172)*-1)+((BC171-BB171)*-1)</f>
        <v>0</v>
      </c>
      <c r="BD290" s="12">
        <f>((BD172-BC172)*-1)+((BD171-BC171)*-1)</f>
        <v>0</v>
      </c>
      <c r="BE290" s="12">
        <f>((BE172-BD172)*-1)+((BE171-BD171)*-1)</f>
        <v>0</v>
      </c>
      <c r="BF290" s="12">
        <f>SUM(BB290:BE290)</f>
        <v>0</v>
      </c>
      <c r="BG290" s="12" t="n"/>
      <c r="BH290" s="12" t="n"/>
      <c r="BI290" s="12" t="n"/>
      <c r="BJ290" s="12" t="n"/>
      <c r="BK290" s="12" t="n"/>
      <c r="BL290" s="12" t="n"/>
      <c r="BM290" s="12" t="n"/>
      <c r="BN290" s="12" t="n"/>
      <c r="BO290" s="12" t="n"/>
      <c r="BP290" s="12" t="n"/>
      <c r="BQ290" s="12" t="n"/>
      <c r="BR290" s="12" t="n"/>
      <c r="BS290" s="12" t="n"/>
      <c r="BT290" s="12" t="n"/>
      <c r="BU290" s="12" t="n"/>
      <c r="BV290" s="12" t="n"/>
      <c r="BW290" s="12" t="n"/>
      <c r="BX290" s="12" t="n"/>
      <c r="BY290" s="12" t="n"/>
      <c r="BZ290" s="12" t="n"/>
      <c r="CA290" s="12" t="n"/>
      <c r="CB290" s="12" t="n"/>
      <c r="CC290" s="12" t="n"/>
      <c r="CD290" s="12" t="n"/>
      <c r="CE290" s="12" t="n"/>
      <c r="CF290" s="12" t="n"/>
      <c r="CG290" s="12" t="n"/>
      <c r="CH290" s="12" t="n"/>
      <c r="CI290" s="12" t="n"/>
      <c r="CJ290" s="12" t="n"/>
      <c r="CK290" s="12" t="n"/>
      <c r="CL290" s="12" t="n"/>
      <c r="CM290" s="12" t="n"/>
      <c r="CN290" s="12" t="n"/>
      <c r="CO290" s="12" t="n"/>
      <c r="CP290" s="12" t="n"/>
      <c r="CQ290" s="12" t="n"/>
      <c r="CR290" s="12" t="n"/>
      <c r="CS290" s="12" t="n"/>
      <c r="CT290" s="12" t="n"/>
      <c r="CU290" s="12" t="n"/>
      <c r="CV290" s="12" t="n"/>
      <c r="CW290" s="12" t="n"/>
      <c r="CX290" s="12" t="n"/>
      <c r="CY290" s="12" t="n"/>
      <c r="CZ290" s="12" t="n"/>
      <c r="DA290" s="12" t="n"/>
      <c r="DB290" s="12" t="n"/>
      <c r="DC290" s="12" t="n"/>
    </row>
    <row r="291">
      <c r="C291" s="71" t="inlineStr">
        <is>
          <t>Purchases/Proceeds from other long-term assets</t>
        </is>
      </c>
      <c r="D291" s="12" t="n"/>
      <c r="E291" s="12" t="n"/>
      <c r="F291" s="12" t="n"/>
      <c r="G291" s="12" t="n"/>
      <c r="H291" s="12" t="n"/>
      <c r="I291" s="12" t="n"/>
      <c r="J291" s="12">
        <f>((J181-I181)*-1)+(J232-I232)</f>
        <v>1</v>
      </c>
      <c r="K291" s="12">
        <f>((K181-J181)*-1)+(K232-J232)</f>
        <v>-278</v>
      </c>
      <c r="L291" s="12">
        <f>((L181-K181)*-1)+(L232-K232)</f>
        <v>381</v>
      </c>
      <c r="M291" s="12" t="n"/>
      <c r="N291" s="12">
        <f>((N181-M181)*-1)+(N232-M232)</f>
        <v>24</v>
      </c>
      <c r="O291" s="12">
        <f>((O181-N181)*-1)+(O232-N232)</f>
        <v>76</v>
      </c>
      <c r="P291" s="12">
        <f>((P181-O181)*-1)+(P232-O232)</f>
        <v>-19</v>
      </c>
      <c r="Q291" s="12">
        <f>((Q181-P181)*-1)+(Q232-P232)</f>
        <v>139</v>
      </c>
      <c r="R291" s="12">
        <f>SUM(N291:Q291)</f>
        <v>220</v>
      </c>
      <c r="S291" s="12">
        <f>((S181-R181)*-1)+(S232-R232)</f>
        <v>-87</v>
      </c>
      <c r="T291" s="12">
        <f>((T181-S181)*-1)+(T232-S232)</f>
        <v>201</v>
      </c>
      <c r="U291" s="12">
        <f>((U181-T181)*-1)+(U232-T232)</f>
        <v>20</v>
      </c>
      <c r="V291" s="12">
        <f>((V181-U181)*-1)+(V232-U232)</f>
        <v>-180</v>
      </c>
      <c r="W291" s="12">
        <f>SUM(S291:V291)</f>
        <v>-46</v>
      </c>
      <c r="X291" s="12">
        <f>((X181-W181)*-1)+(X232-W232)</f>
        <v>347</v>
      </c>
      <c r="Y291" s="12">
        <f>((Y181-X181)*-1)+(Y232-X232)</f>
        <v>62</v>
      </c>
      <c r="Z291" s="12">
        <f>((Z181-Y181)*-1)+(Z232-Y232)</f>
        <v>245</v>
      </c>
      <c r="AA291" s="12">
        <f>((AA181-Z181)*-1)+(AA232-Z232)</f>
        <v>473</v>
      </c>
      <c r="AB291" s="12">
        <f>SUM(X291:AA291)</f>
        <v>1127</v>
      </c>
      <c r="AC291" s="12">
        <f>((AC181-AB181)*-1)+(AC232-AB232)</f>
        <v>281</v>
      </c>
      <c r="AD291" s="12">
        <f>((AD181-AC181)*-1)+(AD232-AC232)</f>
        <v>87</v>
      </c>
      <c r="AE291" s="12">
        <f>((AE181-AD181)*-1)+(AE232-AD232)</f>
        <v>3</v>
      </c>
      <c r="AF291" s="12">
        <f>((AF181-AE181)*-1)+(AF232-AE232)</f>
        <v>-1428</v>
      </c>
      <c r="AG291" s="12">
        <f>SUM(AC291:AF291)</f>
        <v>-1057</v>
      </c>
      <c r="AH291" s="12">
        <f>((AH181-AG181)*-1)+(AH232-AG232)</f>
        <v>37</v>
      </c>
      <c r="AI291" s="12">
        <f>((AI181-AH181)*-1)+(AI232-AH232)</f>
        <v>-238</v>
      </c>
      <c r="AJ291" s="12">
        <f>((AJ181-AI181)*-1)+(AJ232-AI232)</f>
        <v>0</v>
      </c>
      <c r="AK291" s="12">
        <f>((AK181-AJ181)*-1)+(AK232-AJ232)</f>
        <v>0</v>
      </c>
      <c r="AL291" s="12">
        <f>SUM(AH291:AK291)</f>
        <v>-201</v>
      </c>
      <c r="AM291" s="12">
        <f>((AM181-AL181)*-1)+(AM232-AL232)</f>
        <v>0</v>
      </c>
      <c r="AN291" s="12">
        <f>((AN181-AM181)*-1)+(AN232-AM232)</f>
        <v>0</v>
      </c>
      <c r="AO291" s="12">
        <f>((AO181-AN181)*-1)+(AO232-AN232)</f>
        <v>0</v>
      </c>
      <c r="AP291" s="12">
        <f>((AP181-AO181)*-1)+(AP232-AO232)</f>
        <v>0</v>
      </c>
      <c r="AQ291" s="12">
        <f>SUM(AM291:AP291)</f>
        <v>0</v>
      </c>
      <c r="AR291" s="12">
        <f>((AR181-AQ181)*-1)+(AR232-AQ232)</f>
        <v>0</v>
      </c>
      <c r="AS291" s="12">
        <f>((AS181-AR181)*-1)+(AS232-AR232)</f>
        <v>0</v>
      </c>
      <c r="AT291" s="12">
        <f>((AT181-AS181)*-1)+(AT232-AS232)</f>
        <v>0</v>
      </c>
      <c r="AU291" s="12">
        <f>((AU181-AT181)*-1)+(AU232-AT232)</f>
        <v>0</v>
      </c>
      <c r="AV291" s="12">
        <f>SUM(AR291:AU291)</f>
        <v>0</v>
      </c>
      <c r="AW291" s="12">
        <f>((AW181-AV181)*-1)+(AW232-AV232)</f>
        <v>0</v>
      </c>
      <c r="AX291" s="12">
        <f>((AX181-AW181)*-1)+(AX232-AW232)</f>
        <v>0</v>
      </c>
      <c r="AY291" s="12">
        <f>((AY181-AX181)*-1)+(AY232-AX232)</f>
        <v>0</v>
      </c>
      <c r="AZ291" s="12">
        <f>((AZ181-AY181)*-1)+(AZ232-AY232)</f>
        <v>0</v>
      </c>
      <c r="BA291" s="12">
        <f>SUM(AW291:AZ291)</f>
        <v>0</v>
      </c>
      <c r="BB291" s="12">
        <f>((BB181-BA181)*-1)+(BB232-BA232)</f>
        <v>0</v>
      </c>
      <c r="BC291" s="12">
        <f>((BC181-BB181)*-1)+(BC232-BB232)</f>
        <v>0</v>
      </c>
      <c r="BD291" s="12">
        <f>((BD181-BC181)*-1)+(BD232-BC232)</f>
        <v>0</v>
      </c>
      <c r="BE291" s="12">
        <f>((BE181-BD181)*-1)+(BE232-BD232)</f>
        <v>0</v>
      </c>
      <c r="BF291" s="12">
        <f>SUM(BB291:BE291)</f>
        <v>0</v>
      </c>
      <c r="BG291" s="12" t="n"/>
      <c r="BH291" s="12" t="n"/>
      <c r="BI291" s="12" t="n"/>
      <c r="BJ291" s="12" t="n"/>
      <c r="BK291" s="12" t="n"/>
      <c r="BL291" s="12" t="n"/>
      <c r="BM291" s="12" t="n"/>
      <c r="BN291" s="12" t="n"/>
      <c r="BO291" s="12" t="n"/>
      <c r="BP291" s="12" t="n"/>
      <c r="BQ291" s="12" t="n"/>
      <c r="BR291" s="12" t="n"/>
      <c r="BS291" s="12" t="n"/>
      <c r="BT291" s="12" t="n"/>
      <c r="BU291" s="12" t="n"/>
      <c r="BV291" s="12" t="n"/>
      <c r="BW291" s="12" t="n"/>
      <c r="BX291" s="12" t="n"/>
      <c r="BY291" s="12" t="n"/>
      <c r="BZ291" s="12" t="n"/>
      <c r="CA291" s="12" t="n"/>
      <c r="CB291" s="12" t="n"/>
      <c r="CC291" s="12" t="n"/>
      <c r="CD291" s="12" t="n"/>
      <c r="CE291" s="12" t="n"/>
      <c r="CF291" s="12" t="n"/>
      <c r="CG291" s="12" t="n"/>
      <c r="CH291" s="12" t="n"/>
      <c r="CI291" s="12" t="n"/>
      <c r="CJ291" s="12" t="n"/>
      <c r="CK291" s="12" t="n"/>
      <c r="CL291" s="12" t="n"/>
      <c r="CM291" s="12" t="n"/>
      <c r="CN291" s="12" t="n"/>
      <c r="CO291" s="12" t="n"/>
      <c r="CP291" s="12" t="n"/>
      <c r="CQ291" s="12" t="n"/>
      <c r="CR291" s="12" t="n"/>
      <c r="CS291" s="12" t="n"/>
      <c r="CT291" s="12" t="n"/>
      <c r="CU291" s="12" t="n"/>
      <c r="CV291" s="12" t="n"/>
      <c r="CW291" s="12" t="n"/>
      <c r="CX291" s="12" t="n"/>
      <c r="CY291" s="12" t="n"/>
    </row>
    <row r="292">
      <c r="C292" s="14" t="inlineStr">
        <is>
          <t>Cash from investing</t>
        </is>
      </c>
      <c r="D292" s="12" t="n"/>
      <c r="E292" s="12" t="n"/>
      <c r="F292" s="12" t="n"/>
      <c r="G292" s="12" t="n"/>
      <c r="H292" s="12" t="n"/>
      <c r="I292" s="12" t="n"/>
      <c r="J292" s="12">
        <f>SUM(J287,J288,J290,J291,J289)</f>
        <v>-543</v>
      </c>
      <c r="K292" s="12">
        <f>SUM(K287,K288,K290,K291,K289)</f>
        <v>-1072</v>
      </c>
      <c r="L292" s="12">
        <f>SUM(L287,L288,L290,L291,L289)</f>
        <v>-430</v>
      </c>
      <c r="M292" s="12" t="n"/>
      <c r="N292" s="12">
        <f>SUM(N287,N288,N290,N291,N289)</f>
        <v>-828</v>
      </c>
      <c r="O292" s="12">
        <f>SUM(O287,O288,O290,O291,O289)</f>
        <v>-923</v>
      </c>
      <c r="P292" s="12">
        <f>SUM(P287,P288,P290,P291,P289)</f>
        <v>-1141</v>
      </c>
      <c r="Q292" s="12">
        <f>SUM(Q287,Q288,Q290,Q291,Q289)</f>
        <v>-1189</v>
      </c>
      <c r="R292" s="12">
        <f>SUM(R287,R288,R290,R291)</f>
        <v>-4081</v>
      </c>
      <c r="S292" s="12">
        <f>SUM(S287,S288,S290,S291,S289)</f>
        <v>-1018</v>
      </c>
      <c r="T292" s="12">
        <f>SUM(T287,T288,T290,T291,T289)</f>
        <v>-1032</v>
      </c>
      <c r="U292" s="12">
        <f>SUM(U287,U288,U290,U291,U289)</f>
        <v>-1203</v>
      </c>
      <c r="V292" s="12">
        <f>SUM(V287,V288,V290,V291,V289)</f>
        <v>-1529</v>
      </c>
      <c r="W292" s="12">
        <f>SUM(W287,W288,W290,W291)</f>
        <v>-4782</v>
      </c>
      <c r="X292" s="12">
        <f>SUM(X287,X288,X290,X291,X289)</f>
        <v>-1150</v>
      </c>
      <c r="Y292" s="12">
        <f>SUM(Y287,Y288,Y290,Y291,Y289)</f>
        <v>-1034</v>
      </c>
      <c r="Z292" s="12">
        <f>SUM(Z287,Z288,Z290,Z291,Z289)</f>
        <v>-1321</v>
      </c>
      <c r="AA292" s="12">
        <f>SUM(AA287,AA288,AA290,AA291,AA289)</f>
        <v>-828</v>
      </c>
      <c r="AB292" s="12">
        <f>SUM(AB287,AB288,AB290,AB291)</f>
        <v>-4333</v>
      </c>
      <c r="AC292" s="12">
        <f>SUM(AC287,AC288,AC290,AC291,AC289)</f>
        <v>-871</v>
      </c>
      <c r="AD292" s="12">
        <f>SUM(AD287,AD288,AD290,AD291,AD289)</f>
        <v>-1216</v>
      </c>
      <c r="AE292" s="12">
        <f>SUM(AE287,AE288,AE290,AE291,AE289)</f>
        <v>-1044</v>
      </c>
      <c r="AF292" s="12">
        <f>SUM(AF287,AF288,AF290,AF291,AF289)</f>
        <v>-2392</v>
      </c>
      <c r="AG292" s="12">
        <f>SUM(AG287,AG288,AG290,AG291)</f>
        <v>-5523</v>
      </c>
      <c r="AH292" s="12">
        <f>SUM(AH287,AH288,AH290,AH291,AH289)</f>
        <v>-842</v>
      </c>
      <c r="AI292" s="12">
        <f>SUM(AI287,AI288,AI290,AI291,AI289)</f>
        <v>-1365</v>
      </c>
      <c r="AJ292" s="12">
        <f>SUM(AJ287,AJ288,AJ290,AJ291,AJ289)</f>
        <v>-1166.67350104698</v>
      </c>
      <c r="AK292" s="12">
        <f>SUM(AK287,AK288,AK290,AK291,AK289)</f>
        <v>-942.609270137352</v>
      </c>
      <c r="AL292" s="12">
        <f>SUM(AL287,AL288,AL290,AL291)</f>
        <v>-4316.28277118433</v>
      </c>
      <c r="AM292" s="12">
        <f>SUM(AM287,AM288,AM290,AM291,AM289)</f>
        <v>-1043.17880171068</v>
      </c>
      <c r="AN292" s="12">
        <f>SUM(AN287,AN288,AN290,AN291,AN289)</f>
        <v>-1176.2117095323</v>
      </c>
      <c r="AO292" s="12">
        <f>SUM(AO287,AO288,AO290,AO291,AO289)</f>
        <v>-1181.80287546299</v>
      </c>
      <c r="AP292" s="12">
        <f>SUM(AP287,AP288,AP290,AP291,AP289)</f>
        <v>-954.832988738239</v>
      </c>
      <c r="AQ292" s="12">
        <f>SUM(AQ287,AQ288,AQ290,AQ291)</f>
        <v>-4356.0263754442</v>
      </c>
      <c r="AR292" s="12">
        <f>SUM(AR287,AR288,AR290,AR291,AR289)</f>
        <v>-1051.49080788993</v>
      </c>
      <c r="AS292" s="12">
        <f>SUM(AS287,AS288,AS290,AS291,AS289)</f>
        <v>-1185.58371649957</v>
      </c>
      <c r="AT292" s="12">
        <f>SUM(AT287,AT288,AT290,AT291,AT289)</f>
        <v>-1191.21943261254</v>
      </c>
      <c r="AU292" s="12">
        <f>SUM(AU287,AU288,AU290,AU291,AU289)</f>
        <v>-962.441059080096</v>
      </c>
      <c r="AV292" s="12">
        <f>SUM(AV287,AV288,AV290,AV291)</f>
        <v>-4390.73501608214</v>
      </c>
      <c r="AW292" s="12">
        <f>SUM(AW287,AW288,AW290,AW291,AW289)</f>
        <v>-1054.61158975624</v>
      </c>
      <c r="AX292" s="12">
        <f>SUM(AX287,AX288,AX290,AX291,AX289)</f>
        <v>-1189.10248065393</v>
      </c>
      <c r="AY292" s="12">
        <f>SUM(AY287,AY288,AY290,AY291,AY289)</f>
        <v>-1194.75492334264</v>
      </c>
      <c r="AZ292" s="12">
        <f>SUM(AZ287,AZ288,AZ290,AZ291,AZ289)</f>
        <v>-965.297544920984</v>
      </c>
      <c r="BA292" s="12">
        <f>SUM(BA287,BA288,BA290,BA291)</f>
        <v>-4403.76653867379</v>
      </c>
      <c r="BB292" s="12">
        <f>SUM(BB287,BB288,BB290,BB291,BB289)</f>
        <v>-1054.61158975624</v>
      </c>
      <c r="BC292" s="12">
        <f>SUM(BC287,BC288,BC290,BC291,BC289)</f>
        <v>-1189.10248065393</v>
      </c>
      <c r="BD292" s="12">
        <f>SUM(BD287,BD288,BD290,BD291,BD289)</f>
        <v>-1194.75492334264</v>
      </c>
      <c r="BE292" s="12">
        <f>SUM(BE287,BE288,BE290,BE291,BE289)</f>
        <v>-965.297544920984</v>
      </c>
      <c r="BF292" s="12">
        <f>SUM(BF287,BF288,BF290,BF291)</f>
        <v>-4403.76653867379</v>
      </c>
      <c r="BG292" s="12" t="n"/>
      <c r="BH292" s="12" t="n"/>
      <c r="BI292" s="12" t="n"/>
      <c r="BJ292" s="12" t="n"/>
      <c r="BK292" s="12" t="n"/>
      <c r="BL292" s="12" t="n"/>
      <c r="BM292" s="12" t="n"/>
      <c r="BN292" s="12" t="n"/>
      <c r="BO292" s="12" t="n"/>
      <c r="BP292" s="12" t="n"/>
      <c r="BQ292" s="12" t="n"/>
      <c r="BR292" s="12" t="n"/>
      <c r="BS292" s="12" t="n"/>
      <c r="BT292" s="12" t="n"/>
      <c r="BU292" s="12" t="n"/>
      <c r="BV292" s="12" t="n"/>
      <c r="BW292" s="12" t="n"/>
      <c r="BX292" s="12" t="n"/>
      <c r="BY292" s="12" t="n"/>
      <c r="BZ292" s="12" t="n"/>
      <c r="CA292" s="12" t="n"/>
      <c r="CB292" s="12" t="n"/>
      <c r="CC292" s="12" t="n"/>
      <c r="CD292" s="12" t="n"/>
      <c r="CE292" s="12" t="n"/>
      <c r="CF292" s="12" t="n"/>
      <c r="CG292" s="12" t="n"/>
      <c r="CH292" s="12" t="n"/>
      <c r="CI292" s="12" t="n"/>
      <c r="CJ292" s="12" t="n"/>
      <c r="CK292" s="12" t="n"/>
      <c r="CL292" s="12" t="n"/>
      <c r="CM292" s="12" t="n"/>
      <c r="CN292" s="12" t="n"/>
      <c r="CO292" s="12" t="n"/>
      <c r="CP292" s="12" t="n"/>
      <c r="CQ292" s="12" t="n"/>
      <c r="CR292" s="12" t="n"/>
      <c r="CS292" s="12" t="n"/>
      <c r="CT292" s="12" t="n"/>
      <c r="CU292" s="12" t="n"/>
      <c r="CV292" s="12" t="n"/>
      <c r="CW292" s="12" t="n"/>
      <c r="CX292" s="12" t="n"/>
      <c r="CY292" s="12" t="n"/>
    </row>
    <row r="293">
      <c r="C293" s="14" t="n"/>
      <c r="D293" s="12" t="n"/>
      <c r="E293" s="12" t="n"/>
      <c r="F293" s="12" t="n"/>
      <c r="G293" s="12" t="n"/>
      <c r="H293" s="12" t="n"/>
      <c r="I293" s="12" t="n"/>
      <c r="J293" s="12" t="n"/>
      <c r="K293" s="12" t="n"/>
      <c r="L293" s="12" t="n"/>
      <c r="M293" s="12" t="n"/>
      <c r="N293" s="12" t="n"/>
      <c r="O293" s="12" t="n"/>
      <c r="P293" s="12" t="n"/>
      <c r="Q293" s="12" t="n"/>
      <c r="R293" s="12" t="n"/>
      <c r="S293" s="12" t="n"/>
      <c r="T293" s="12" t="n"/>
      <c r="U293" s="12" t="n"/>
      <c r="V293" s="12" t="n"/>
      <c r="W293" s="12" t="n"/>
      <c r="X293" s="12" t="n"/>
      <c r="Y293" s="12" t="n"/>
      <c r="Z293" s="12" t="n"/>
      <c r="AA293" s="12" t="n"/>
      <c r="AB293" s="12" t="n"/>
      <c r="AC293" s="12" t="n"/>
      <c r="AD293" s="12" t="n"/>
      <c r="AE293" s="12" t="n"/>
      <c r="AF293" s="12" t="n"/>
      <c r="AG293" s="12" t="n"/>
      <c r="AH293" s="12" t="n"/>
      <c r="AI293" s="12" t="n"/>
      <c r="AJ293" s="12" t="n"/>
      <c r="AK293" s="12" t="n"/>
      <c r="AL293" s="12" t="n"/>
      <c r="AM293" s="12" t="n"/>
      <c r="AN293" s="12" t="n"/>
      <c r="AO293" s="12" t="n"/>
      <c r="AP293" s="12" t="n"/>
      <c r="AQ293" s="12" t="n"/>
      <c r="AR293" s="12" t="n"/>
      <c r="AS293" s="12" t="n"/>
      <c r="AT293" s="12" t="n"/>
      <c r="AU293" s="12" t="n"/>
      <c r="AV293" s="12" t="n"/>
      <c r="AW293" s="12" t="n"/>
      <c r="AX293" s="12" t="n"/>
      <c r="AY293" s="12" t="n"/>
      <c r="AZ293" s="12" t="n"/>
      <c r="BA293" s="12" t="n"/>
      <c r="BB293" s="12" t="n"/>
      <c r="BC293" s="12" t="n"/>
      <c r="BD293" s="12" t="n"/>
      <c r="BE293" s="12" t="n"/>
      <c r="BF293" s="12" t="n"/>
      <c r="BG293" s="12" t="n"/>
      <c r="BH293" s="12" t="n"/>
      <c r="BI293" s="12" t="n"/>
      <c r="BJ293" s="12" t="n"/>
      <c r="BK293" s="12" t="n"/>
      <c r="BL293" s="12" t="n"/>
      <c r="BM293" s="12" t="n"/>
      <c r="BN293" s="12" t="n"/>
      <c r="BO293" s="12" t="n"/>
      <c r="BP293" s="12" t="n"/>
      <c r="BQ293" s="12" t="n"/>
      <c r="BR293" s="12" t="n"/>
      <c r="BS293" s="12" t="n"/>
      <c r="BT293" s="12" t="n"/>
      <c r="BU293" s="12" t="n"/>
      <c r="BV293" s="12" t="n"/>
      <c r="BW293" s="12" t="n"/>
      <c r="BX293" s="12" t="n"/>
      <c r="BY293" s="12" t="n"/>
      <c r="BZ293" s="12" t="n"/>
      <c r="CA293" s="12" t="n"/>
      <c r="CB293" s="12" t="n"/>
      <c r="CC293" s="12" t="n"/>
      <c r="CD293" s="12" t="n"/>
      <c r="CE293" s="12" t="n"/>
      <c r="CF293" s="12" t="n"/>
      <c r="CG293" s="12" t="n"/>
      <c r="CH293" s="12" t="n"/>
      <c r="CI293" s="12" t="n"/>
      <c r="CJ293" s="12" t="n"/>
      <c r="CK293" s="12" t="n"/>
      <c r="CL293" s="12" t="n"/>
      <c r="CM293" s="12" t="n"/>
      <c r="CN293" s="12" t="n"/>
      <c r="CO293" s="12" t="n"/>
      <c r="CP293" s="12" t="n"/>
      <c r="CQ293" s="12" t="n"/>
      <c r="CR293" s="12" t="n"/>
      <c r="CS293" s="12" t="n"/>
      <c r="CT293" s="12" t="n"/>
      <c r="CU293" s="12" t="n"/>
      <c r="CV293" s="12" t="n"/>
      <c r="CW293" s="12" t="n"/>
      <c r="CX293" s="12" t="n"/>
      <c r="CY293" s="12" t="n"/>
    </row>
    <row r="294">
      <c r="C294" s="14" t="inlineStr">
        <is>
          <t>Convertible preferred stock</t>
        </is>
      </c>
      <c r="D294" s="12" t="n"/>
      <c r="E294" s="12" t="n"/>
      <c r="F294" s="12" t="n"/>
      <c r="G294" s="12" t="n"/>
      <c r="H294" s="12" t="n"/>
      <c r="I294" s="12" t="n"/>
      <c r="J294" s="12">
        <f>J245-I245</f>
        <v>0</v>
      </c>
      <c r="K294" s="12">
        <f>K245-J245</f>
        <v>0</v>
      </c>
      <c r="L294" s="12">
        <f>L245-K245</f>
        <v>0</v>
      </c>
      <c r="M294" s="12" t="n"/>
      <c r="N294" s="12">
        <f>N245-M245</f>
        <v>0</v>
      </c>
      <c r="O294" s="12">
        <f>O245-N245</f>
        <v>0</v>
      </c>
      <c r="P294" s="12">
        <f>P245-O245</f>
        <v>0</v>
      </c>
      <c r="Q294" s="12">
        <f>Q245-P245</f>
        <v>0</v>
      </c>
      <c r="R294" s="12">
        <f>SUM(N294:Q294)</f>
        <v>0</v>
      </c>
      <c r="S294" s="12">
        <f>S245-R245</f>
        <v>0</v>
      </c>
      <c r="T294" s="12">
        <f>T245-S245</f>
        <v>0</v>
      </c>
      <c r="U294" s="12">
        <f>U245-T245</f>
        <v>0</v>
      </c>
      <c r="V294" s="12">
        <f>V245-U245</f>
        <v>0</v>
      </c>
      <c r="W294" s="12">
        <f>SUM(S294:V294)</f>
        <v>0</v>
      </c>
      <c r="X294" s="12">
        <f>X245-W245</f>
        <v>0</v>
      </c>
      <c r="Y294" s="12">
        <f>Y245-X245</f>
        <v>0</v>
      </c>
      <c r="Z294" s="12">
        <f>Z245-Y245</f>
        <v>0</v>
      </c>
      <c r="AA294" s="12">
        <f>AA245-Z245</f>
        <v>0</v>
      </c>
      <c r="AB294" s="12">
        <f>SUM(X294:AA294)</f>
        <v>0</v>
      </c>
      <c r="AC294" s="12">
        <f>AC245-AB245</f>
        <v>0</v>
      </c>
      <c r="AD294" s="12">
        <f>AD245-AC245</f>
        <v>0</v>
      </c>
      <c r="AE294" s="12">
        <f>AE245-AD245</f>
        <v>0</v>
      </c>
      <c r="AF294" s="12">
        <f>AF245-AE245</f>
        <v>0</v>
      </c>
      <c r="AG294" s="12">
        <f>SUM(AC294:AF294)</f>
        <v>0</v>
      </c>
      <c r="AH294" s="12">
        <f>AH245-AG245</f>
        <v>0</v>
      </c>
      <c r="AI294" s="12">
        <f>AI245-AH245</f>
        <v>0</v>
      </c>
      <c r="AJ294" s="12">
        <f>AJ245-AI245</f>
        <v>0</v>
      </c>
      <c r="AK294" s="12">
        <f>AK245-AJ245</f>
        <v>0</v>
      </c>
      <c r="AL294" s="12">
        <f>SUM(AH294:AK294)</f>
        <v>0</v>
      </c>
      <c r="AM294" s="12">
        <f>AM245-AL245</f>
        <v>0</v>
      </c>
      <c r="AN294" s="12">
        <f>AN245-AM245</f>
        <v>0</v>
      </c>
      <c r="AO294" s="12">
        <f>AO245-AN245</f>
        <v>0</v>
      </c>
      <c r="AP294" s="12">
        <f>AP245-AO245</f>
        <v>0</v>
      </c>
      <c r="AQ294" s="12">
        <f>SUM(AM294:AP294)</f>
        <v>0</v>
      </c>
      <c r="AR294" s="12">
        <f>AR245-AQ245</f>
        <v>0</v>
      </c>
      <c r="AS294" s="12">
        <f>AS245-AR245</f>
        <v>0</v>
      </c>
      <c r="AT294" s="12">
        <f>AT245-AS245</f>
        <v>0</v>
      </c>
      <c r="AU294" s="12">
        <f>AU245-AT245</f>
        <v>0</v>
      </c>
      <c r="AV294" s="12">
        <f>SUM(AR294:AU294)</f>
        <v>0</v>
      </c>
      <c r="AW294" s="12">
        <f>AW245-AV245</f>
        <v>0</v>
      </c>
      <c r="AX294" s="12">
        <f>AX245-AW245</f>
        <v>0</v>
      </c>
      <c r="AY294" s="12">
        <f>AY245-AX245</f>
        <v>0</v>
      </c>
      <c r="AZ294" s="12">
        <f>AZ245-AY245</f>
        <v>0</v>
      </c>
      <c r="BA294" s="12">
        <f>SUM(AW294:AZ294)</f>
        <v>0</v>
      </c>
      <c r="BB294" s="12">
        <f>BB245-BA245</f>
        <v>0</v>
      </c>
      <c r="BC294" s="12">
        <f>BC245-BB245</f>
        <v>0</v>
      </c>
      <c r="BD294" s="12">
        <f>BD245-BC245</f>
        <v>0</v>
      </c>
      <c r="BE294" s="12">
        <f>BE245-BD245</f>
        <v>0</v>
      </c>
      <c r="BF294" s="12">
        <f>SUM(BB294:BE294)</f>
        <v>0</v>
      </c>
      <c r="BG294" s="12" t="n"/>
      <c r="BH294" s="12" t="n"/>
      <c r="BI294" s="12" t="n"/>
      <c r="BJ294" s="12" t="n"/>
      <c r="BK294" s="12" t="n"/>
      <c r="BL294" s="12" t="n"/>
      <c r="BM294" s="12" t="n"/>
      <c r="BN294" s="12" t="n"/>
      <c r="BO294" s="12" t="n"/>
      <c r="BP294" s="12" t="n"/>
      <c r="BQ294" s="12" t="n"/>
      <c r="BR294" s="12" t="n"/>
      <c r="BS294" s="12" t="n"/>
      <c r="BT294" s="12" t="n"/>
      <c r="BU294" s="12" t="n"/>
      <c r="BV294" s="12" t="n"/>
      <c r="BW294" s="12" t="n"/>
      <c r="BX294" s="12" t="n"/>
      <c r="BY294" s="12" t="n"/>
      <c r="BZ294" s="12" t="n"/>
      <c r="CA294" s="12" t="n"/>
      <c r="CB294" s="12" t="n"/>
      <c r="CC294" s="12" t="n"/>
      <c r="CD294" s="12" t="n"/>
      <c r="CE294" s="12" t="n"/>
      <c r="CF294" s="12" t="n"/>
      <c r="CG294" s="12" t="n"/>
      <c r="CH294" s="12" t="n"/>
      <c r="CI294" s="12" t="n"/>
      <c r="CJ294" s="12" t="n"/>
      <c r="CK294" s="12" t="n"/>
      <c r="CL294" s="12" t="n"/>
      <c r="CM294" s="12" t="n"/>
      <c r="CN294" s="12" t="n"/>
      <c r="CO294" s="12" t="n"/>
      <c r="CP294" s="12" t="n"/>
      <c r="CQ294" s="12" t="n"/>
      <c r="CR294" s="12" t="n"/>
      <c r="CS294" s="12" t="n"/>
      <c r="CT294" s="12" t="n"/>
      <c r="CU294" s="12" t="n"/>
      <c r="CV294" s="12" t="n"/>
      <c r="CW294" s="12" t="n"/>
      <c r="CX294" s="12" t="n"/>
      <c r="CY294" s="12" t="n"/>
    </row>
    <row r="295">
      <c r="C295" s="14" t="inlineStr">
        <is>
          <t>Common stock and APIC</t>
        </is>
      </c>
      <c r="D295" s="12" t="n"/>
      <c r="E295" s="12" t="n"/>
      <c r="F295" s="12" t="n"/>
      <c r="G295" s="12" t="n"/>
      <c r="H295" s="12" t="n"/>
      <c r="I295" s="12" t="n"/>
      <c r="J295" s="12">
        <f>J246-I246</f>
        <v>4</v>
      </c>
      <c r="K295" s="12">
        <f>K246-J246</f>
        <v>-61</v>
      </c>
      <c r="L295" s="12">
        <f>L246-K246</f>
        <v>-148</v>
      </c>
      <c r="M295" s="12" t="n"/>
      <c r="N295" s="12">
        <f>N246-M246</f>
        <v>-39</v>
      </c>
      <c r="O295" s="12">
        <f>O246-N246</f>
        <v>-174</v>
      </c>
      <c r="P295" s="12">
        <f>P246-O246</f>
        <v>-178</v>
      </c>
      <c r="Q295" s="12">
        <f>Q246-P246</f>
        <v>-161</v>
      </c>
      <c r="R295" s="12">
        <f>SUM(N295:Q295)</f>
        <v>-552</v>
      </c>
      <c r="S295" s="12">
        <f>S246-R246</f>
        <v>-94</v>
      </c>
      <c r="T295" s="12">
        <f>T246-S246</f>
        <v>-199</v>
      </c>
      <c r="U295" s="12">
        <f>U246-T246</f>
        <v>-195</v>
      </c>
      <c r="V295" s="12">
        <f>V246-U246</f>
        <v>-196</v>
      </c>
      <c r="W295" s="12">
        <f>SUM(S295:V295)</f>
        <v>-684</v>
      </c>
      <c r="X295" s="12">
        <f>X246-W246</f>
        <v>-149</v>
      </c>
      <c r="Y295" s="12">
        <f>Y246-X246</f>
        <v>-167</v>
      </c>
      <c r="Z295" s="12">
        <f>Z246-Y246</f>
        <v>-324</v>
      </c>
      <c r="AA295" s="12">
        <f>AA246-Z246</f>
        <v>-200</v>
      </c>
      <c r="AB295" s="12">
        <f>SUM(X295:AA295)</f>
        <v>-840</v>
      </c>
      <c r="AC295" s="12">
        <f>AC246-AB246</f>
        <v>-169</v>
      </c>
      <c r="AD295" s="12">
        <f>AD246-AC246</f>
        <v>15</v>
      </c>
      <c r="AE295" s="12">
        <f>AE246-AD246</f>
        <v>18</v>
      </c>
      <c r="AF295" s="12">
        <f>AF246-AE246</f>
        <v>20</v>
      </c>
      <c r="AG295" s="12">
        <f>SUM(AC295:AF295)</f>
        <v>-116</v>
      </c>
      <c r="AH295" s="12">
        <f>AH246-AG246</f>
        <v>33</v>
      </c>
      <c r="AI295" s="12">
        <f>AI246-AH246</f>
        <v>-54</v>
      </c>
      <c r="AJ295" s="12">
        <f>AJ246-AI246</f>
        <v>0</v>
      </c>
      <c r="AK295" s="12">
        <f>AK246-AJ246</f>
        <v>0</v>
      </c>
      <c r="AL295" s="12">
        <f>SUM(AH295:AK295)</f>
        <v>-21</v>
      </c>
      <c r="AM295" s="12">
        <f>AM246-AL246</f>
        <v>0</v>
      </c>
      <c r="AN295" s="12">
        <f>AN246-AM246</f>
        <v>0</v>
      </c>
      <c r="AO295" s="12">
        <f>AO246-AN246</f>
        <v>0</v>
      </c>
      <c r="AP295" s="12">
        <f>AP246-AO246</f>
        <v>0</v>
      </c>
      <c r="AQ295" s="12">
        <f>SUM(AM295:AP295)</f>
        <v>0</v>
      </c>
      <c r="AR295" s="12">
        <f>AR246-AQ246</f>
        <v>0</v>
      </c>
      <c r="AS295" s="12">
        <f>AS246-AR246</f>
        <v>0</v>
      </c>
      <c r="AT295" s="12">
        <f>AT246-AS246</f>
        <v>0</v>
      </c>
      <c r="AU295" s="12">
        <f>AU246-AT246</f>
        <v>0</v>
      </c>
      <c r="AV295" s="12">
        <f>SUM(AR295:AU295)</f>
        <v>0</v>
      </c>
      <c r="AW295" s="12">
        <f>AW246-AV246</f>
        <v>0</v>
      </c>
      <c r="AX295" s="12">
        <f>AX246-AW246</f>
        <v>0</v>
      </c>
      <c r="AY295" s="12">
        <f>AY246-AX246</f>
        <v>0</v>
      </c>
      <c r="AZ295" s="12">
        <f>AZ246-AY246</f>
        <v>0</v>
      </c>
      <c r="BA295" s="12">
        <f>SUM(AW295:AZ295)</f>
        <v>0</v>
      </c>
      <c r="BB295" s="12">
        <f>BB246-BA246</f>
        <v>0</v>
      </c>
      <c r="BC295" s="12">
        <f>BC246-BB246</f>
        <v>0</v>
      </c>
      <c r="BD295" s="12">
        <f>BD246-BC246</f>
        <v>0</v>
      </c>
      <c r="BE295" s="12">
        <f>BE246-BD246</f>
        <v>0</v>
      </c>
      <c r="BF295" s="12">
        <f>SUM(BB295:BE295)</f>
        <v>0</v>
      </c>
      <c r="BG295" s="12" t="n"/>
      <c r="BH295" s="12" t="n"/>
      <c r="BI295" s="12" t="n"/>
      <c r="BJ295" s="12" t="n"/>
      <c r="BK295" s="12" t="n"/>
      <c r="BL295" s="12" t="n"/>
      <c r="BM295" s="12" t="n"/>
      <c r="BN295" s="12" t="n"/>
      <c r="BO295" s="12" t="n"/>
      <c r="BP295" s="12" t="n"/>
      <c r="BQ295" s="12" t="n"/>
      <c r="BR295" s="12" t="n"/>
      <c r="BS295" s="12" t="n"/>
      <c r="BT295" s="12" t="n"/>
      <c r="BU295" s="12" t="n"/>
      <c r="BV295" s="12" t="n"/>
      <c r="BW295" s="12" t="n"/>
      <c r="BX295" s="12" t="n"/>
      <c r="BY295" s="12" t="n"/>
      <c r="BZ295" s="12" t="n"/>
      <c r="CA295" s="12" t="n"/>
      <c r="CB295" s="12" t="n"/>
      <c r="CC295" s="12" t="n"/>
      <c r="CD295" s="12" t="n"/>
      <c r="CE295" s="12" t="n"/>
      <c r="CF295" s="12" t="n"/>
      <c r="CG295" s="12" t="n"/>
      <c r="CH295" s="12" t="n"/>
      <c r="CI295" s="12" t="n"/>
      <c r="CJ295" s="12" t="n"/>
      <c r="CK295" s="12" t="n"/>
      <c r="CL295" s="12" t="n"/>
      <c r="CM295" s="12" t="n"/>
      <c r="CN295" s="12" t="n"/>
      <c r="CO295" s="12" t="n"/>
      <c r="CP295" s="12" t="n"/>
      <c r="CQ295" s="12" t="n"/>
      <c r="CR295" s="12" t="n"/>
      <c r="CS295" s="12" t="n"/>
      <c r="CT295" s="12" t="n"/>
      <c r="CU295" s="12" t="n"/>
      <c r="CV295" s="12" t="n"/>
      <c r="CW295" s="12" t="n"/>
      <c r="CX295" s="12" t="n"/>
      <c r="CY295" s="12" t="n"/>
    </row>
    <row r="296">
      <c r="C296" s="14" t="inlineStr">
        <is>
          <t>Treasury stock repurchases</t>
        </is>
      </c>
      <c r="D296" s="12" t="n"/>
      <c r="E296" s="12" t="n"/>
      <c r="F296" s="12" t="n"/>
      <c r="G296" s="12" t="n"/>
      <c r="H296" s="12" t="n"/>
      <c r="I296" s="12" t="n"/>
      <c r="J296" s="12">
        <f>J259-I259</f>
        <v>0</v>
      </c>
      <c r="K296" s="12">
        <f>K259-J259</f>
        <v>0</v>
      </c>
      <c r="L296" s="12">
        <f>L259-K259</f>
        <v>-515</v>
      </c>
      <c r="M296" s="12" t="n"/>
      <c r="N296" s="12">
        <f>N259-M259</f>
        <v>-603</v>
      </c>
      <c r="O296" s="12">
        <f>O259-N259</f>
        <v>-644</v>
      </c>
      <c r="P296" s="12">
        <f>P259-O259</f>
        <v>-162</v>
      </c>
      <c r="Q296" s="12">
        <f>Q259-P259</f>
        <v>0</v>
      </c>
      <c r="R296" s="12">
        <f>SUM(N296:Q296)</f>
        <v>-1409</v>
      </c>
      <c r="S296" s="12">
        <f>S259-R259</f>
        <v>-68</v>
      </c>
      <c r="T296" s="12">
        <f>T259-S259</f>
        <v>0</v>
      </c>
      <c r="U296" s="12">
        <f>U259-T259</f>
        <v>-3</v>
      </c>
      <c r="V296" s="12">
        <f>V259-U259</f>
        <v>-1</v>
      </c>
      <c r="W296" s="12">
        <f>SUM(S296:V296)</f>
        <v>-72</v>
      </c>
      <c r="X296" s="12">
        <f>X259-W259</f>
        <v>-44</v>
      </c>
      <c r="Y296" s="12">
        <f>Y259-X259</f>
        <v>-18</v>
      </c>
      <c r="Z296" s="12">
        <f>Z259-Y259</f>
        <v>-59</v>
      </c>
      <c r="AA296" s="12">
        <f>AA259-Z259</f>
        <v>0</v>
      </c>
      <c r="AB296" s="12">
        <f>SUM(X296:AA296)</f>
        <v>-121</v>
      </c>
      <c r="AC296" s="12">
        <f>AC259-AB259</f>
        <v>-77</v>
      </c>
      <c r="AD296" s="12">
        <f>AD259-AC259</f>
        <v>-53</v>
      </c>
      <c r="AE296" s="12">
        <f>AE259-AD259</f>
        <v>0</v>
      </c>
      <c r="AF296" s="12">
        <f>AF259-AE259</f>
        <v>0</v>
      </c>
      <c r="AG296" s="12">
        <f>SUM(AC296:AF296)</f>
        <v>-130</v>
      </c>
      <c r="AH296" s="12">
        <f>AH259-AG259</f>
        <v>-93</v>
      </c>
      <c r="AI296" s="12">
        <f>AI259-AH259</f>
        <v>-110</v>
      </c>
      <c r="AJ296" s="12">
        <f>AJ259-AI259</f>
        <v>0</v>
      </c>
      <c r="AK296" s="12">
        <f>AK259-AJ259</f>
        <v>0</v>
      </c>
      <c r="AL296" s="12">
        <f>SUM(AH296:AK296)</f>
        <v>-203</v>
      </c>
      <c r="AM296" s="12">
        <f>AM259-AL259</f>
        <v>0</v>
      </c>
      <c r="AN296" s="12">
        <f>AN259-AM259</f>
        <v>0</v>
      </c>
      <c r="AO296" s="12">
        <f>AO259-AN259</f>
        <v>0</v>
      </c>
      <c r="AP296" s="12">
        <f>AP259-AO259</f>
        <v>0</v>
      </c>
      <c r="AQ296" s="12">
        <f>SUM(AM296:AP296)</f>
        <v>0</v>
      </c>
      <c r="AR296" s="12">
        <f>AR259-AQ259</f>
        <v>0</v>
      </c>
      <c r="AS296" s="12">
        <f>AS259-AR259</f>
        <v>0</v>
      </c>
      <c r="AT296" s="12">
        <f>AT259-AS259</f>
        <v>0</v>
      </c>
      <c r="AU296" s="12">
        <f>AU259-AT259</f>
        <v>0</v>
      </c>
      <c r="AV296" s="12">
        <f>SUM(AR296:AU296)</f>
        <v>0</v>
      </c>
      <c r="AW296" s="12">
        <f>AW259-AV259</f>
        <v>0</v>
      </c>
      <c r="AX296" s="12">
        <f>AX259-AW259</f>
        <v>0</v>
      </c>
      <c r="AY296" s="12">
        <f>AY259-AX259</f>
        <v>0</v>
      </c>
      <c r="AZ296" s="12">
        <f>AZ259-AY259</f>
        <v>0</v>
      </c>
      <c r="BA296" s="12">
        <f>SUM(AW296:AZ296)</f>
        <v>0</v>
      </c>
      <c r="BB296" s="12">
        <f>BB259-BA259</f>
        <v>0</v>
      </c>
      <c r="BC296" s="12">
        <f>BC259-BB259</f>
        <v>0</v>
      </c>
      <c r="BD296" s="12">
        <f>BD259-BC259</f>
        <v>0</v>
      </c>
      <c r="BE296" s="12">
        <f>BE259-BD259</f>
        <v>0</v>
      </c>
      <c r="BF296" s="12">
        <f>SUM(BB296:BE296)</f>
        <v>0</v>
      </c>
      <c r="BG296" s="12" t="n"/>
      <c r="BH296" s="12" t="n"/>
      <c r="BI296" s="12" t="n"/>
      <c r="BJ296" s="12" t="n"/>
      <c r="BK296" s="12" t="n"/>
      <c r="BL296" s="12" t="n"/>
      <c r="BM296" s="12" t="n"/>
      <c r="BN296" s="12" t="n"/>
      <c r="BO296" s="12" t="n"/>
      <c r="BP296" s="12" t="n"/>
      <c r="BQ296" s="12" t="n"/>
      <c r="BR296" s="12" t="n"/>
      <c r="BS296" s="12" t="n"/>
      <c r="BT296" s="12" t="n"/>
      <c r="BU296" s="12" t="n"/>
      <c r="BV296" s="12" t="n"/>
      <c r="BW296" s="12" t="n"/>
      <c r="BX296" s="12" t="n"/>
      <c r="BY296" s="12" t="n"/>
      <c r="BZ296" s="12" t="n"/>
      <c r="CA296" s="12" t="n"/>
      <c r="CB296" s="12" t="n"/>
      <c r="CC296" s="12" t="n"/>
      <c r="CD296" s="12" t="n"/>
      <c r="CE296" s="12" t="n"/>
      <c r="CF296" s="12" t="n"/>
      <c r="CG296" s="12" t="n"/>
      <c r="CH296" s="12" t="n"/>
      <c r="CI296" s="12" t="n"/>
      <c r="CJ296" s="12" t="n"/>
      <c r="CK296" s="12" t="n"/>
      <c r="CL296" s="12" t="n"/>
      <c r="CM296" s="12" t="n"/>
      <c r="CN296" s="12" t="n"/>
      <c r="CO296" s="12" t="n"/>
      <c r="CP296" s="12" t="n"/>
      <c r="CQ296" s="12" t="n"/>
      <c r="CR296" s="12" t="n"/>
      <c r="CS296" s="12" t="n"/>
      <c r="CT296" s="12" t="n"/>
      <c r="CU296" s="12" t="n"/>
      <c r="CV296" s="12" t="n"/>
      <c r="CW296" s="12" t="n"/>
      <c r="CX296" s="12" t="n"/>
      <c r="CY296" s="12" t="n"/>
    </row>
    <row r="297">
      <c r="C297" s="14" t="inlineStr">
        <is>
          <t>Comprehensive accumulated loss</t>
        </is>
      </c>
      <c r="D297" s="12" t="n"/>
      <c r="E297" s="12" t="n"/>
      <c r="F297" s="12" t="n"/>
      <c r="G297" s="12" t="n"/>
      <c r="H297" s="12" t="n"/>
      <c r="I297" s="12" t="n"/>
      <c r="J297" s="12">
        <f>J260-I260</f>
        <v>4</v>
      </c>
      <c r="K297" s="12">
        <f>K260-J260</f>
        <v>4</v>
      </c>
      <c r="L297" s="12">
        <f>L260-K260</f>
        <v>184</v>
      </c>
      <c r="M297" s="12" t="n"/>
      <c r="N297" s="12">
        <f>N260-M260</f>
        <v>1</v>
      </c>
      <c r="O297" s="12">
        <f>O260-N260</f>
        <v>1</v>
      </c>
      <c r="P297" s="12">
        <f>P260-O260</f>
        <v>1</v>
      </c>
      <c r="Q297" s="12">
        <f>Q260-P260</f>
        <v>65</v>
      </c>
      <c r="R297" s="12">
        <f>SUM(N297:Q297)</f>
        <v>68</v>
      </c>
      <c r="S297" s="12">
        <f>S260-R260</f>
        <v>1</v>
      </c>
      <c r="T297" s="12">
        <f>T260-S260</f>
        <v>1</v>
      </c>
      <c r="U297" s="12">
        <f>U260-T260</f>
        <v>1</v>
      </c>
      <c r="V297" s="12">
        <f>V260-U260</f>
        <v>43</v>
      </c>
      <c r="W297" s="12">
        <f>SUM(S297:V297)</f>
        <v>46</v>
      </c>
      <c r="X297" s="12">
        <f>X260-W260</f>
        <v>0</v>
      </c>
      <c r="Y297" s="12">
        <f>Y260-X260</f>
        <v>0</v>
      </c>
      <c r="Z297" s="12">
        <f>Z260-Y260</f>
        <v>1</v>
      </c>
      <c r="AA297" s="12">
        <f>AA260-Z260</f>
        <v>-41</v>
      </c>
      <c r="AB297" s="12">
        <f>SUM(X297:AA297)</f>
        <v>-40</v>
      </c>
      <c r="AC297" s="12">
        <f>AC260-AB260</f>
        <v>1</v>
      </c>
      <c r="AD297" s="12">
        <f>AD260-AC260</f>
        <v>2</v>
      </c>
      <c r="AE297" s="12">
        <f>AE260-AD260</f>
        <v>1</v>
      </c>
      <c r="AF297" s="12">
        <f>AF260-AE260</f>
        <v>5</v>
      </c>
      <c r="AG297" s="12">
        <f>SUM(AC297:AF297)</f>
        <v>9</v>
      </c>
      <c r="AH297" s="12">
        <f>AH260-AG260</f>
        <v>1</v>
      </c>
      <c r="AI297" s="12">
        <f>AI260-AH260</f>
        <v>1</v>
      </c>
      <c r="AJ297" s="12">
        <f>AJ260-AI260</f>
        <v>0</v>
      </c>
      <c r="AK297" s="12">
        <f>AK260-AJ260</f>
        <v>0</v>
      </c>
      <c r="AL297" s="12">
        <f>SUM(AH297:AK297)</f>
        <v>2</v>
      </c>
      <c r="AM297" s="12">
        <f>AM260-AL260</f>
        <v>0</v>
      </c>
      <c r="AN297" s="12">
        <f>AN260-AM260</f>
        <v>0</v>
      </c>
      <c r="AO297" s="12">
        <f>AO260-AN260</f>
        <v>0</v>
      </c>
      <c r="AP297" s="12">
        <f>AP260-AO260</f>
        <v>0</v>
      </c>
      <c r="AQ297" s="12">
        <f>SUM(AM297:AP297)</f>
        <v>0</v>
      </c>
      <c r="AR297" s="12">
        <f>AR260-AQ260</f>
        <v>0</v>
      </c>
      <c r="AS297" s="12">
        <f>AS260-AR260</f>
        <v>0</v>
      </c>
      <c r="AT297" s="12">
        <f>AT260-AS260</f>
        <v>0</v>
      </c>
      <c r="AU297" s="12">
        <f>AU260-AT260</f>
        <v>0</v>
      </c>
      <c r="AV297" s="12">
        <f>SUM(AR297:AU297)</f>
        <v>0</v>
      </c>
      <c r="AW297" s="12">
        <f>AW260-AV260</f>
        <v>0</v>
      </c>
      <c r="AX297" s="12">
        <f>AX260-AW260</f>
        <v>0</v>
      </c>
      <c r="AY297" s="12">
        <f>AY260-AX260</f>
        <v>0</v>
      </c>
      <c r="AZ297" s="12">
        <f>AZ260-AY260</f>
        <v>0</v>
      </c>
      <c r="BA297" s="12">
        <f>SUM(AW297:AZ297)</f>
        <v>0</v>
      </c>
      <c r="BB297" s="12">
        <f>BB260-BA260</f>
        <v>0</v>
      </c>
      <c r="BC297" s="12">
        <f>BC260-BB260</f>
        <v>0</v>
      </c>
      <c r="BD297" s="12">
        <f>BD260-BC260</f>
        <v>0</v>
      </c>
      <c r="BE297" s="12">
        <f>BE260-BD260</f>
        <v>0</v>
      </c>
      <c r="BF297" s="12">
        <f>SUM(BB297:BE297)</f>
        <v>0</v>
      </c>
      <c r="BG297" s="12" t="n"/>
      <c r="BH297" s="12" t="n"/>
      <c r="BI297" s="12" t="n"/>
      <c r="BJ297" s="12" t="n"/>
      <c r="BK297" s="12" t="n"/>
      <c r="BL297" s="12" t="n"/>
      <c r="BM297" s="12" t="n"/>
      <c r="BN297" s="12" t="n"/>
      <c r="BO297" s="12" t="n"/>
      <c r="BP297" s="12" t="n"/>
      <c r="BQ297" s="12" t="n"/>
      <c r="BR297" s="12" t="n"/>
      <c r="BS297" s="12" t="n"/>
      <c r="BT297" s="12" t="n"/>
      <c r="BU297" s="12" t="n"/>
      <c r="BV297" s="12" t="n"/>
      <c r="BW297" s="12" t="n"/>
      <c r="BX297" s="12" t="n"/>
      <c r="BY297" s="12" t="n"/>
      <c r="BZ297" s="12" t="n"/>
      <c r="CA297" s="12" t="n"/>
      <c r="CB297" s="12" t="n"/>
      <c r="CC297" s="12" t="n"/>
      <c r="CD297" s="12" t="n"/>
      <c r="CE297" s="12" t="n"/>
      <c r="CF297" s="12" t="n"/>
      <c r="CG297" s="12" t="n"/>
      <c r="CH297" s="12" t="n"/>
      <c r="CI297" s="12" t="n"/>
      <c r="CJ297" s="12" t="n"/>
      <c r="CK297" s="12" t="n"/>
      <c r="CL297" s="12" t="n"/>
      <c r="CM297" s="12" t="n"/>
      <c r="CN297" s="12" t="n"/>
      <c r="CO297" s="12" t="n"/>
      <c r="CP297" s="12" t="n"/>
      <c r="CQ297" s="12" t="n"/>
      <c r="CR297" s="12" t="n"/>
      <c r="CS297" s="12" t="n"/>
      <c r="CT297" s="12" t="n"/>
      <c r="CU297" s="12" t="n"/>
      <c r="CV297" s="12" t="n"/>
      <c r="CW297" s="12" t="n"/>
      <c r="CX297" s="12" t="n"/>
      <c r="CY297" s="12" t="n"/>
    </row>
    <row r="298">
      <c r="C298" s="14" t="inlineStr">
        <is>
          <t>Other equity account</t>
        </is>
      </c>
      <c r="D298" s="12" t="n"/>
      <c r="E298" s="12" t="n"/>
      <c r="F298" s="12" t="n"/>
      <c r="G298" s="12" t="n"/>
      <c r="H298" s="12" t="n"/>
      <c r="I298" s="12" t="n"/>
      <c r="J298" s="12">
        <f>J261-I261</f>
        <v>0</v>
      </c>
      <c r="K298" s="12">
        <f>K261-J261</f>
        <v>0</v>
      </c>
      <c r="L298" s="12">
        <f>L261-K261</f>
        <v>0</v>
      </c>
      <c r="M298" s="12" t="n"/>
      <c r="N298" s="12">
        <f>N261-M261</f>
        <v>0</v>
      </c>
      <c r="O298" s="12">
        <f>O261-N261</f>
        <v>0</v>
      </c>
      <c r="P298" s="12">
        <f>P261-O261</f>
        <v>0</v>
      </c>
      <c r="Q298" s="12">
        <f>Q261-P261</f>
        <v>0</v>
      </c>
      <c r="R298" s="12">
        <f>SUM(N298:Q298)</f>
        <v>0</v>
      </c>
      <c r="S298" s="12">
        <f>S261-R261</f>
        <v>0</v>
      </c>
      <c r="T298" s="12">
        <f>T261-S261</f>
        <v>0</v>
      </c>
      <c r="U298" s="12">
        <f>U261-T261</f>
        <v>0</v>
      </c>
      <c r="V298" s="12">
        <f>V261-U261</f>
        <v>0</v>
      </c>
      <c r="W298" s="12">
        <f>SUM(S298:V298)</f>
        <v>0</v>
      </c>
      <c r="X298" s="12">
        <f>X261-W261</f>
        <v>0</v>
      </c>
      <c r="Y298" s="12">
        <f>Y261-X261</f>
        <v>0</v>
      </c>
      <c r="Z298" s="12">
        <f>Z261-Y261</f>
        <v>0</v>
      </c>
      <c r="AA298" s="12">
        <f>AA261-Z261</f>
        <v>0</v>
      </c>
      <c r="AB298" s="12">
        <f>SUM(X298:AA298)</f>
        <v>0</v>
      </c>
      <c r="AC298" s="12">
        <f>AC261-AB261</f>
        <v>0</v>
      </c>
      <c r="AD298" s="12">
        <f>AD261-AC261</f>
        <v>0</v>
      </c>
      <c r="AE298" s="12">
        <f>AE261-AD261</f>
        <v>0</v>
      </c>
      <c r="AF298" s="12">
        <f>AF261-AE261</f>
        <v>0</v>
      </c>
      <c r="AG298" s="12">
        <f>SUM(AC298:AF298)</f>
        <v>0</v>
      </c>
      <c r="AH298" s="12">
        <f>AH261-AG261</f>
        <v>0</v>
      </c>
      <c r="AI298" s="12">
        <f>AI261-AH261</f>
        <v>0</v>
      </c>
      <c r="AJ298" s="12">
        <f>AJ261-AI261</f>
        <v>0</v>
      </c>
      <c r="AK298" s="12">
        <f>AK261-AJ261</f>
        <v>0</v>
      </c>
      <c r="AL298" s="12">
        <f>SUM(AH298:AK298)</f>
        <v>0</v>
      </c>
      <c r="AM298" s="12">
        <f>AM261-AL261</f>
        <v>0</v>
      </c>
      <c r="AN298" s="12">
        <f>AN261-AM261</f>
        <v>0</v>
      </c>
      <c r="AO298" s="12">
        <f>AO261-AN261</f>
        <v>0</v>
      </c>
      <c r="AP298" s="12">
        <f>AP261-AO261</f>
        <v>0</v>
      </c>
      <c r="AQ298" s="12">
        <f>SUM(AM298:AP298)</f>
        <v>0</v>
      </c>
      <c r="AR298" s="12">
        <f>AR261-AQ261</f>
        <v>0</v>
      </c>
      <c r="AS298" s="12">
        <f>AS261-AR261</f>
        <v>0</v>
      </c>
      <c r="AT298" s="12">
        <f>AT261-AS261</f>
        <v>0</v>
      </c>
      <c r="AU298" s="12">
        <f>AU261-AT261</f>
        <v>0</v>
      </c>
      <c r="AV298" s="12">
        <f>SUM(AR298:AU298)</f>
        <v>0</v>
      </c>
      <c r="AW298" s="12">
        <f>AW261-AV261</f>
        <v>0</v>
      </c>
      <c r="AX298" s="12">
        <f>AX261-AW261</f>
        <v>0</v>
      </c>
      <c r="AY298" s="12">
        <f>AY261-AX261</f>
        <v>0</v>
      </c>
      <c r="AZ298" s="12">
        <f>AZ261-AY261</f>
        <v>0</v>
      </c>
      <c r="BA298" s="12">
        <f>SUM(AW298:AZ298)</f>
        <v>0</v>
      </c>
      <c r="BB298" s="12">
        <f>BB261-BA261</f>
        <v>0</v>
      </c>
      <c r="BC298" s="12">
        <f>BC261-BB261</f>
        <v>0</v>
      </c>
      <c r="BD298" s="12">
        <f>BD261-BC261</f>
        <v>0</v>
      </c>
      <c r="BE298" s="12">
        <f>BE261-BD261</f>
        <v>0</v>
      </c>
      <c r="BF298" s="12">
        <f>SUM(BB298:BE298)</f>
        <v>0</v>
      </c>
      <c r="BG298" s="12" t="n"/>
      <c r="BH298" s="12" t="n"/>
      <c r="BI298" s="12" t="n"/>
      <c r="BJ298" s="12" t="n"/>
      <c r="BK298" s="12" t="n"/>
      <c r="BL298" s="12" t="n"/>
      <c r="BM298" s="12" t="n"/>
      <c r="BN298" s="12" t="n"/>
      <c r="BO298" s="12" t="n"/>
      <c r="BP298" s="12" t="n"/>
      <c r="BQ298" s="12" t="n"/>
      <c r="BR298" s="12" t="n"/>
      <c r="BS298" s="12" t="n"/>
      <c r="BT298" s="12" t="n"/>
      <c r="BU298" s="12" t="n"/>
      <c r="BV298" s="12" t="n"/>
      <c r="BW298" s="12" t="n"/>
      <c r="BX298" s="12" t="n"/>
      <c r="BY298" s="12" t="n"/>
      <c r="BZ298" s="12" t="n"/>
      <c r="CA298" s="12" t="n"/>
      <c r="CB298" s="12" t="n"/>
      <c r="CC298" s="12" t="n"/>
      <c r="CD298" s="12" t="n"/>
      <c r="CE298" s="12" t="n"/>
      <c r="CF298" s="12" t="n"/>
      <c r="CG298" s="12" t="n"/>
      <c r="CH298" s="12" t="n"/>
      <c r="CI298" s="12" t="n"/>
      <c r="CJ298" s="12" t="n"/>
      <c r="CK298" s="12" t="n"/>
      <c r="CL298" s="12" t="n"/>
      <c r="CM298" s="12" t="n"/>
      <c r="CN298" s="12" t="n"/>
      <c r="CO298" s="12" t="n"/>
      <c r="CP298" s="12" t="n"/>
      <c r="CQ298" s="12" t="n"/>
      <c r="CR298" s="12" t="n"/>
      <c r="CS298" s="12" t="n"/>
      <c r="CT298" s="12" t="n"/>
      <c r="CU298" s="12" t="n"/>
      <c r="CV298" s="12" t="n"/>
      <c r="CW298" s="12" t="n"/>
      <c r="CX298" s="12" t="n"/>
      <c r="CY298" s="12" t="n"/>
    </row>
    <row r="299">
      <c r="C299" s="10" t="inlineStr">
        <is>
          <t>Common and preferred dividends</t>
        </is>
      </c>
      <c r="D299" s="12" t="n"/>
      <c r="E299" s="12" t="n"/>
      <c r="F299" s="12" t="n"/>
      <c r="G299" s="12" t="n"/>
      <c r="H299" s="12" t="n"/>
      <c r="I299" s="12" t="n"/>
      <c r="J299" s="12">
        <f>(J262-I262)-J269</f>
        <v>0</v>
      </c>
      <c r="K299" s="12">
        <f>(K262-J262)-K269</f>
        <v>0</v>
      </c>
      <c r="L299" s="12">
        <f>(L262-K262)-L269</f>
        <v>0</v>
      </c>
      <c r="M299" s="12" t="n"/>
      <c r="N299" s="12">
        <f>(N262-M262)-N269</f>
        <v>0</v>
      </c>
      <c r="O299" s="12">
        <f>(O262-N262)-O269</f>
        <v>0</v>
      </c>
      <c r="P299" s="12">
        <f>(P262-O262)-P269</f>
        <v>0</v>
      </c>
      <c r="Q299" s="12">
        <f>(Q262-P262)-Q269</f>
        <v>0</v>
      </c>
      <c r="R299" s="12">
        <f>SUM(N299:Q299)</f>
        <v>0</v>
      </c>
      <c r="S299" s="12">
        <f>(S262-R262)-S269</f>
        <v>0</v>
      </c>
      <c r="T299" s="12">
        <f>(T262-S262)-T269</f>
        <v>0</v>
      </c>
      <c r="U299" s="12">
        <f>(U262-T262)-U269</f>
        <v>0</v>
      </c>
      <c r="V299" s="12">
        <f>(V262-U262)-V269</f>
        <v>0</v>
      </c>
      <c r="W299" s="12">
        <f>SUM(S299:V299)</f>
        <v>0</v>
      </c>
      <c r="X299" s="12">
        <f>(X262-W262)-X269</f>
        <v>0</v>
      </c>
      <c r="Y299" s="12">
        <f>(Y262-X262)-Y269</f>
        <v>0</v>
      </c>
      <c r="Z299" s="12">
        <f>(Z262-Y262)-Z269</f>
        <v>0</v>
      </c>
      <c r="AA299" s="12">
        <f>(AA262-Z262)-AA269</f>
        <v>0</v>
      </c>
      <c r="AB299" s="12">
        <f>SUM(X299:AA299)</f>
        <v>0</v>
      </c>
      <c r="AC299" s="12">
        <f>(AC262-AB262)-AC269</f>
        <v>0</v>
      </c>
      <c r="AD299" s="12">
        <f>(AD262-AC262)-AD269</f>
        <v>-216</v>
      </c>
      <c r="AE299" s="12">
        <f>(AE262-AD262)-AE269</f>
        <v>-216</v>
      </c>
      <c r="AF299" s="12">
        <f>(AF262-AE262)-AF269</f>
        <v>-217</v>
      </c>
      <c r="AG299" s="12">
        <f>SUM(AC299:AF299)</f>
        <v>-649</v>
      </c>
      <c r="AH299" s="12">
        <f>(AH262-AG262)-AH269</f>
        <v>-216</v>
      </c>
      <c r="AI299" s="12">
        <f>(AI262-AH262)-AI269</f>
        <v>-217</v>
      </c>
      <c r="AJ299" s="12">
        <f>(AJ262-AI262)-AJ269</f>
        <v>0</v>
      </c>
      <c r="AK299" s="12">
        <f>(AK262-AJ262)-AK269</f>
        <v>0</v>
      </c>
      <c r="AL299" s="12">
        <f>SUM(AH299:AK299)</f>
        <v>-433</v>
      </c>
      <c r="AM299" s="12">
        <f>(AM262-AL262)-AM269</f>
        <v>0</v>
      </c>
      <c r="AN299" s="12">
        <f>(AN262-AM262)-AN269</f>
        <v>0</v>
      </c>
      <c r="AO299" s="12">
        <f>(AO262-AN262)-AO269</f>
        <v>0</v>
      </c>
      <c r="AP299" s="12">
        <f>(AP262-AO262)-AP269</f>
        <v>0</v>
      </c>
      <c r="AQ299" s="12">
        <f>SUM(AM299:AP299)</f>
        <v>0</v>
      </c>
      <c r="AR299" s="12">
        <f>(AR262-AQ262)-AR269</f>
        <v>0</v>
      </c>
      <c r="AS299" s="12">
        <f>(AS262-AR262)-AS269</f>
        <v>0</v>
      </c>
      <c r="AT299" s="12">
        <f>(AT262-AS262)-AT269</f>
        <v>0</v>
      </c>
      <c r="AU299" s="12">
        <f>(AU262-AT262)-AU269</f>
        <v>0</v>
      </c>
      <c r="AV299" s="12">
        <f>SUM(AR299:AU299)</f>
        <v>0</v>
      </c>
      <c r="AW299" s="12">
        <f>(AW262-AV262)-AW269</f>
        <v>0</v>
      </c>
      <c r="AX299" s="12">
        <f>(AX262-AW262)-AX269</f>
        <v>0</v>
      </c>
      <c r="AY299" s="12">
        <f>(AY262-AX262)-AY269</f>
        <v>0</v>
      </c>
      <c r="AZ299" s="12">
        <f>(AZ262-AY262)-AZ269</f>
        <v>0</v>
      </c>
      <c r="BA299" s="12">
        <f>SUM(AW299:AZ299)</f>
        <v>0</v>
      </c>
      <c r="BB299" s="12">
        <f>(BB262-BA262)-BB269</f>
        <v>0</v>
      </c>
      <c r="BC299" s="12">
        <f>(BC262-BB262)-BC269</f>
        <v>0</v>
      </c>
      <c r="BD299" s="12">
        <f>(BD262-BC262)-BD269</f>
        <v>0</v>
      </c>
      <c r="BE299" s="12">
        <f>(BE262-BD262)-BE269</f>
        <v>0</v>
      </c>
      <c r="BF299" s="12">
        <f>SUM(BB299:BE299)</f>
        <v>0</v>
      </c>
      <c r="BG299" s="12" t="n"/>
      <c r="BH299" s="12" t="n"/>
      <c r="BI299" s="12" t="n"/>
      <c r="BJ299" s="12" t="n"/>
      <c r="BK299" s="12" t="n"/>
      <c r="BL299" s="12" t="n"/>
      <c r="BM299" s="12" t="n"/>
      <c r="BN299" s="12" t="n"/>
      <c r="BO299" s="12" t="n"/>
      <c r="BP299" s="12" t="n"/>
      <c r="BQ299" s="12" t="n"/>
      <c r="BR299" s="12" t="n"/>
      <c r="BS299" s="12" t="n"/>
      <c r="BT299" s="12" t="n"/>
      <c r="BU299" s="12" t="n"/>
      <c r="BV299" s="12" t="n"/>
      <c r="BW299" s="12" t="n"/>
      <c r="BX299" s="12" t="n"/>
      <c r="BY299" s="12" t="n"/>
      <c r="BZ299" s="12" t="n"/>
      <c r="CA299" s="12" t="n"/>
      <c r="CB299" s="12" t="n"/>
      <c r="CC299" s="12" t="n"/>
      <c r="CD299" s="12" t="n"/>
      <c r="CE299" s="12" t="n"/>
      <c r="CF299" s="12" t="n"/>
      <c r="CG299" s="12" t="n"/>
      <c r="CH299" s="12" t="n"/>
      <c r="CI299" s="12" t="n"/>
      <c r="CJ299" s="12" t="n"/>
      <c r="CK299" s="12" t="n"/>
      <c r="CL299" s="12" t="n"/>
      <c r="CM299" s="12" t="n"/>
      <c r="CN299" s="12" t="n"/>
      <c r="CO299" s="12" t="n"/>
      <c r="CP299" s="12" t="n"/>
      <c r="CQ299" s="12" t="n"/>
      <c r="CR299" s="12" t="n"/>
      <c r="CS299" s="12" t="n"/>
      <c r="CT299" s="12" t="n"/>
      <c r="CU299" s="12" t="n"/>
      <c r="CV299" s="12" t="n"/>
      <c r="CW299" s="12" t="n"/>
      <c r="CX299" s="12" t="n"/>
      <c r="CY299" s="12" t="n"/>
    </row>
    <row r="300">
      <c r="C300" s="14" t="inlineStr">
        <is>
          <t>Dividends to minority interests</t>
        </is>
      </c>
      <c r="D300" s="12" t="n"/>
      <c r="E300" s="12" t="n"/>
      <c r="F300" s="12" t="n"/>
      <c r="G300" s="12" t="n"/>
      <c r="H300" s="12" t="n"/>
      <c r="I300" s="12" t="n"/>
      <c r="J300" s="12">
        <f>(J240-I240)+J128</f>
        <v>23</v>
      </c>
      <c r="K300" s="12">
        <f>(K240-J240)+K128</f>
        <v>-70</v>
      </c>
      <c r="L300" s="12">
        <f>(L240-K240)+L128</f>
        <v>1727</v>
      </c>
      <c r="M300" s="12" t="n"/>
      <c r="N300" s="12">
        <f>(N240-M240)+N128</f>
        <v>-240</v>
      </c>
      <c r="O300" s="12">
        <f>(O240-N240)+O128</f>
        <v>-216</v>
      </c>
      <c r="P300" s="12">
        <f>(P240-O240)+P128</f>
        <v>-87</v>
      </c>
      <c r="Q300" s="12">
        <f>(Q240-P240)+Q128</f>
        <v>-191</v>
      </c>
      <c r="R300" s="12">
        <f>SUM(N300:Q300)</f>
        <v>-734</v>
      </c>
      <c r="S300" s="12">
        <f>(S240-R240)+S128</f>
        <v>-111</v>
      </c>
      <c r="T300" s="12">
        <f>(T240-S240)+T128</f>
        <v>-154</v>
      </c>
      <c r="U300" s="12">
        <f>(U240-T240)+U128</f>
        <v>-117</v>
      </c>
      <c r="V300" s="12">
        <f>(V240-U240)+V128</f>
        <v>-220</v>
      </c>
      <c r="W300" s="12">
        <f>SUM(S300:V300)</f>
        <v>-602</v>
      </c>
      <c r="X300" s="12">
        <f>(X240-W240)+X128</f>
        <v>-174</v>
      </c>
      <c r="Y300" s="12">
        <f>(Y240-X240)+Y128</f>
        <v>-514</v>
      </c>
      <c r="Z300" s="12">
        <f>(Z240-Y240)+Z128</f>
        <v>-674</v>
      </c>
      <c r="AA300" s="12">
        <f>(AA240-Z240)+AA128</f>
        <v>-568</v>
      </c>
      <c r="AB300" s="12">
        <f>SUM(X300:AA300)</f>
        <v>-1930</v>
      </c>
      <c r="AC300" s="12">
        <f>(AC240-AB240)+AC128</f>
        <v>-112</v>
      </c>
      <c r="AD300" s="12">
        <f>(AD240-AC240)+AD128</f>
        <v>-513</v>
      </c>
      <c r="AE300" s="12">
        <f>(AE240-AD240)+AE128</f>
        <v>-649</v>
      </c>
      <c r="AF300" s="12">
        <f>(AF240-AE240)+AF128</f>
        <v>-4</v>
      </c>
      <c r="AG300" s="12">
        <f>SUM(AC300:AF300)</f>
        <v>-1278</v>
      </c>
      <c r="AH300" s="12">
        <f>(AH240-AG240)+AH128</f>
        <v>-367</v>
      </c>
      <c r="AI300" s="12">
        <f>(AI240-AH240)+AI128</f>
        <v>-300</v>
      </c>
      <c r="AJ300" s="12">
        <f>(AJ240-AI240)+AJ128</f>
        <v>0</v>
      </c>
      <c r="AK300" s="12">
        <f>(AK240-AJ240)+AK128</f>
        <v>0</v>
      </c>
      <c r="AL300" s="12">
        <f>SUM(AH300:AK300)</f>
        <v>-667</v>
      </c>
      <c r="AM300" s="12">
        <f>(AM240-AL240)+AM128</f>
        <v>0</v>
      </c>
      <c r="AN300" s="12">
        <f>(AN240-AM240)+AN128</f>
        <v>0</v>
      </c>
      <c r="AO300" s="12">
        <f>(AO240-AN240)+AO128</f>
        <v>0</v>
      </c>
      <c r="AP300" s="12">
        <f>(AP240-AO240)+AP128</f>
        <v>0</v>
      </c>
      <c r="AQ300" s="12">
        <f>SUM(AM300:AP300)</f>
        <v>0</v>
      </c>
      <c r="AR300" s="12">
        <f>(AR240-AQ240)+AR128</f>
        <v>0</v>
      </c>
      <c r="AS300" s="12">
        <f>(AS240-AR240)+AS128</f>
        <v>0</v>
      </c>
      <c r="AT300" s="12">
        <f>(AT240-AS240)+AT128</f>
        <v>0</v>
      </c>
      <c r="AU300" s="12">
        <f>(AU240-AT240)+AU128</f>
        <v>0</v>
      </c>
      <c r="AV300" s="12">
        <f>SUM(AR300:AU300)</f>
        <v>0</v>
      </c>
      <c r="AW300" s="12">
        <f>(AW240-AV240)+AW128</f>
        <v>0</v>
      </c>
      <c r="AX300" s="12">
        <f>(AX240-AW240)+AX128</f>
        <v>0</v>
      </c>
      <c r="AY300" s="12">
        <f>(AY240-AX240)+AY128</f>
        <v>0</v>
      </c>
      <c r="AZ300" s="12">
        <f>(AZ240-AY240)+AZ128</f>
        <v>0</v>
      </c>
      <c r="BA300" s="12">
        <f>SUM(AW300:AZ300)</f>
        <v>0</v>
      </c>
      <c r="BB300" s="12">
        <f>(BB240-BA240)+BB128</f>
        <v>0</v>
      </c>
      <c r="BC300" s="12">
        <f>(BC240-BB240)+BC128</f>
        <v>0</v>
      </c>
      <c r="BD300" s="12">
        <f>(BD240-BC240)+BD128</f>
        <v>0</v>
      </c>
      <c r="BE300" s="12">
        <f>(BE240-BD240)+BE128</f>
        <v>0</v>
      </c>
      <c r="BF300" s="12">
        <f>SUM(BB300:BE300)</f>
        <v>0</v>
      </c>
      <c r="BG300" s="12" t="n"/>
      <c r="BH300" s="12" t="n"/>
      <c r="BI300" s="12" t="n"/>
      <c r="BJ300" s="12" t="n"/>
      <c r="BK300" s="12" t="n"/>
      <c r="BL300" s="12" t="n"/>
      <c r="BM300" s="12" t="n"/>
      <c r="BN300" s="12" t="n"/>
      <c r="BO300" s="12" t="n"/>
      <c r="BP300" s="12" t="n"/>
      <c r="BQ300" s="12" t="n"/>
      <c r="BR300" s="12" t="n"/>
      <c r="BS300" s="12" t="n"/>
      <c r="BT300" s="12" t="n"/>
      <c r="BU300" s="12" t="n"/>
      <c r="BV300" s="12" t="n"/>
      <c r="BW300" s="12" t="n"/>
      <c r="BX300" s="12" t="n"/>
      <c r="BY300" s="12" t="n"/>
      <c r="BZ300" s="12" t="n"/>
      <c r="CA300" s="12" t="n"/>
      <c r="CB300" s="12" t="n"/>
      <c r="CC300" s="12" t="n"/>
      <c r="CD300" s="12" t="n"/>
      <c r="CE300" s="12" t="n"/>
      <c r="CF300" s="12" t="n"/>
      <c r="CG300" s="12" t="n"/>
      <c r="CH300" s="12" t="n"/>
      <c r="CI300" s="12" t="n"/>
      <c r="CJ300" s="12" t="n"/>
      <c r="CK300" s="12" t="n"/>
      <c r="CL300" s="12" t="n"/>
      <c r="CM300" s="12" t="n"/>
      <c r="CN300" s="12" t="n"/>
      <c r="CO300" s="12" t="n"/>
      <c r="CP300" s="12" t="n"/>
      <c r="CQ300" s="12" t="n"/>
      <c r="CR300" s="12" t="n"/>
      <c r="CS300" s="12" t="n"/>
      <c r="CT300" s="12" t="n"/>
      <c r="CU300" s="12" t="n"/>
      <c r="CV300" s="12" t="n"/>
      <c r="CW300" s="12" t="n"/>
      <c r="CX300" s="12" t="n"/>
      <c r="CY300" s="12" t="n"/>
    </row>
    <row r="301">
      <c r="C301" s="15" t="inlineStr">
        <is>
          <t>Increases / (decreases) in debt</t>
        </is>
      </c>
      <c r="D301" s="12" t="n"/>
      <c r="E301" s="12" t="n"/>
      <c r="F301" s="12" t="n"/>
      <c r="G301" s="12" t="n"/>
      <c r="H301" s="12" t="n"/>
      <c r="I301" s="12" t="n"/>
      <c r="J301" s="12">
        <f>SUM(J204:J206,J209,J230,J227)-SUM(I204:I206,I209,I230,I227)</f>
        <v>-114</v>
      </c>
      <c r="K301" s="12">
        <f>SUM(K204:K206,K209,K230,K227)-SUM(J204:J206,J209,J230,J227)</f>
        <v>-30</v>
      </c>
      <c r="L301" s="12">
        <f>SUM(L204:L206,L209,L230,L227)-SUM(K204:K206,K209,K230,K227)</f>
        <v>-215</v>
      </c>
      <c r="M301" s="12" t="n"/>
      <c r="N301" s="12">
        <f>SUM(N204:N206,N209,N230,N227)-SUM(M204:M206,M209,M230,M227)</f>
        <v>171</v>
      </c>
      <c r="O301" s="12">
        <f>SUM(O204:O206,O209,O230,O227)-SUM(N204:N206,N209,N230,N227)</f>
        <v>1471</v>
      </c>
      <c r="P301" s="12">
        <f>SUM(P204:P206,P209,P230,P227)-SUM(O204:O206,O209,O230,O227)</f>
        <v>-402</v>
      </c>
      <c r="Q301" s="12">
        <f>SUM(Q204:Q206,Q209,Q230,Q227)-SUM(P204:P206,P209,P230,P227)</f>
        <v>-70</v>
      </c>
      <c r="R301" s="12">
        <f>SUM(N301:Q301)</f>
        <v>1170</v>
      </c>
      <c r="S301" s="12">
        <f>SUM(S204:S206,S209,S230,S227)-SUM(R204:R206,R209,R230,R227)</f>
        <v>-985</v>
      </c>
      <c r="T301" s="12">
        <f>SUM(T204:T206,T209,T230,T227)-SUM(S204:S206,S209,S230,S227)</f>
        <v>-140</v>
      </c>
      <c r="U301" s="12">
        <f>SUM(U204:U206,U209,U230,U227)-SUM(T204:T206,T209,T230,T227)</f>
        <v>-90</v>
      </c>
      <c r="V301" s="12">
        <f>SUM(V204:V206,V209,V230,V227)-SUM(U204:U206,U209,U230,U227)</f>
        <v>17</v>
      </c>
      <c r="W301" s="12">
        <f>SUM(S301:V301)</f>
        <v>-1198</v>
      </c>
      <c r="X301" s="12">
        <f>SUM(X204:X206,X209,X230,X227)-SUM(W204:W206,W209,W230,W227)</f>
        <v>3</v>
      </c>
      <c r="Y301" s="12">
        <f>SUM(Y204:Y206,Y209,Y230,Y227)-SUM(X204:X206,X209,X230,X227)</f>
        <v>1</v>
      </c>
      <c r="Z301" s="12">
        <f>SUM(Z204:Z206,Z209,Z230,Z227)-SUM(Y204:Y206,Y209,Y230,Y227)</f>
        <v>253</v>
      </c>
      <c r="AA301" s="12">
        <f>SUM(AA204:AA206,AA209,AA230,AA227)-SUM(Z204:Z206,Z209,Z230,Z227)</f>
        <v>-731</v>
      </c>
      <c r="AB301" s="12">
        <f>SUM(X301:AA301)</f>
        <v>-474</v>
      </c>
      <c r="AC301" s="12">
        <f>SUM(AC204:AC206,AC209,AC230,AC227)-SUM(AB204:AB206,AB209,AB230,AB227)</f>
        <v>456</v>
      </c>
      <c r="AD301" s="12">
        <f>SUM(AD204:AD206,AD209,AD230,AD227)-SUM(AC204:AC206,AC209,AC230,AC227)</f>
        <v>-153</v>
      </c>
      <c r="AE301" s="12">
        <f>SUM(AE204:AE206,AE209,AE230,AE227)-SUM(AD204:AD206,AD209,AD230,AD227)</f>
        <v>47</v>
      </c>
      <c r="AF301" s="12">
        <f>SUM(AF204:AF206,AF209,AF230,AF227)-SUM(AE204:AE206,AE209,AE230,AE227)</f>
        <v>1091</v>
      </c>
      <c r="AG301" s="12">
        <f>SUM(AC301:AF301)</f>
        <v>1441</v>
      </c>
      <c r="AH301" s="12">
        <f>SUM(AH204:AH206,AH209,AH230,AH227)-SUM(AG204:AG206,AG209,AG230,AG227)</f>
        <v>12</v>
      </c>
      <c r="AI301" s="12">
        <f>SUM(AI204:AI206,AI209,AI230,AI227)-SUM(AH204:AH206,AH209,AH230,AH227)</f>
        <v>-42</v>
      </c>
      <c r="AJ301" s="12">
        <f>SUM(AJ204:AJ206,AJ209,AJ230,AJ227)-SUM(AI204:AI206,AI209,AI230,AI227)</f>
        <v>0</v>
      </c>
      <c r="AK301" s="12">
        <f>SUM(AK204:AK206,AK209,AK230,AK227)-SUM(AJ204:AJ206,AJ209,AJ230,AJ227)</f>
        <v>0</v>
      </c>
      <c r="AL301" s="12">
        <f>SUM(AH301:AK301)</f>
        <v>-30</v>
      </c>
      <c r="AM301" s="12">
        <f>SUM(AM204:AM206,AM209,AM230,AM227)-SUM(AL204:AL206,AL209,AL230,AL227)</f>
        <v>0</v>
      </c>
      <c r="AN301" s="12">
        <f>SUM(AN204:AN206,AN209,AN230,AN227)-SUM(AM204:AM206,AM209,AM230,AM227)</f>
        <v>0</v>
      </c>
      <c r="AO301" s="12">
        <f>SUM(AO204:AO206,AO209,AO230,AO227)-SUM(AN204:AN206,AN209,AN230,AN227)</f>
        <v>0</v>
      </c>
      <c r="AP301" s="12">
        <f>SUM(AP204:AP206,AP209,AP230,AP227)-SUM(AO204:AO206,AO209,AO230,AO227)</f>
        <v>0</v>
      </c>
      <c r="AQ301" s="12">
        <f>SUM(AM301:AP301)</f>
        <v>0</v>
      </c>
      <c r="AR301" s="12">
        <f>SUM(AR204:AR206,AR209,AR230,AR227)-SUM(AQ204:AQ206,AQ209,AQ230,AQ227)</f>
        <v>0</v>
      </c>
      <c r="AS301" s="12">
        <f>SUM(AS204:AS206,AS209,AS230,AS227)-SUM(AR204:AR206,AR209,AR230,AR227)</f>
        <v>0</v>
      </c>
      <c r="AT301" s="12">
        <f>SUM(AT204:AT206,AT209,AT230,AT227)-SUM(AS204:AS206,AS209,AS230,AS227)</f>
        <v>0</v>
      </c>
      <c r="AU301" s="12">
        <f>SUM(AU204:AU206,AU209,AU230,AU227)-SUM(AT204:AT206,AT209,AT230,AT227)</f>
        <v>0</v>
      </c>
      <c r="AV301" s="12">
        <f>SUM(AR301:AU301)</f>
        <v>0</v>
      </c>
      <c r="AW301" s="12">
        <f>SUM(AW204:AW206,AW209,AW230,AW227)-SUM(AV204:AV206,AV209,AV230,AV227)</f>
        <v>0</v>
      </c>
      <c r="AX301" s="12">
        <f>SUM(AX204:AX206,AX209,AX230,AX227)-SUM(AW204:AW206,AW209,AW230,AW227)</f>
        <v>0</v>
      </c>
      <c r="AY301" s="12">
        <f>SUM(AY204:AY206,AY209,AY230,AY227)-SUM(AX204:AX206,AX209,AX230,AX227)</f>
        <v>0</v>
      </c>
      <c r="AZ301" s="12">
        <f>SUM(AZ204:AZ206,AZ209,AZ230,AZ227)-SUM(AY204:AY206,AY209,AY230,AY227)</f>
        <v>0</v>
      </c>
      <c r="BA301" s="12">
        <f>SUM(AW301:AZ301)</f>
        <v>0</v>
      </c>
      <c r="BB301" s="12">
        <f>SUM(BB204:BB206,BB209,BB230,BB227)-SUM(BA204:BA206,BA209,BA230,BA227)</f>
        <v>0</v>
      </c>
      <c r="BC301" s="12">
        <f>SUM(BC204:BC206,BC209,BC230,BC227)-SUM(BB204:BB206,BB209,BB230,BB227)</f>
        <v>0</v>
      </c>
      <c r="BD301" s="12">
        <f>SUM(BD204:BD206,BD209,BD230,BD227)-SUM(BC204:BC206,BC209,BC230,BC227)</f>
        <v>0</v>
      </c>
      <c r="BE301" s="12">
        <f>SUM(BE204:BE206,BE209,BE230,BE227)-SUM(BD204:BD206,BD209,BD230,BD227)</f>
        <v>0</v>
      </c>
      <c r="BF301" s="12">
        <f>SUM(BB301:BE301)</f>
        <v>0</v>
      </c>
      <c r="BG301" s="12" t="n"/>
      <c r="BH301" s="12" t="n"/>
      <c r="BI301" s="12" t="n"/>
      <c r="BJ301" s="12" t="n"/>
      <c r="BK301" s="12" t="n"/>
      <c r="BL301" s="12" t="n"/>
      <c r="BM301" s="12" t="n"/>
      <c r="BN301" s="12" t="n"/>
      <c r="BO301" s="12" t="n"/>
      <c r="BP301" s="12" t="n"/>
      <c r="BQ301" s="12" t="n"/>
      <c r="BR301" s="12" t="n"/>
      <c r="BS301" s="12" t="n"/>
      <c r="BT301" s="12" t="n"/>
      <c r="BU301" s="12" t="n"/>
      <c r="BV301" s="12" t="n"/>
      <c r="BW301" s="12" t="n"/>
      <c r="BX301" s="12" t="n"/>
      <c r="BY301" s="12" t="n"/>
      <c r="BZ301" s="12" t="n"/>
      <c r="CA301" s="12" t="n"/>
      <c r="CB301" s="12" t="n"/>
      <c r="CC301" s="12" t="n"/>
      <c r="CD301" s="12" t="n"/>
      <c r="CE301" s="12" t="n"/>
      <c r="CF301" s="12" t="n"/>
      <c r="CG301" s="12" t="n"/>
      <c r="CH301" s="12" t="n"/>
      <c r="CI301" s="12" t="n"/>
      <c r="CJ301" s="12" t="n"/>
      <c r="CK301" s="12" t="n"/>
      <c r="CL301" s="12" t="n"/>
      <c r="CM301" s="12" t="n"/>
      <c r="CN301" s="12" t="n"/>
      <c r="CO301" s="12" t="n"/>
      <c r="CP301" s="12" t="n"/>
      <c r="CQ301" s="12" t="n"/>
      <c r="CR301" s="12" t="n"/>
      <c r="CS301" s="12" t="n"/>
      <c r="CT301" s="12" t="n"/>
      <c r="CU301" s="12" t="n"/>
      <c r="CV301" s="12" t="n"/>
      <c r="CW301" s="12" t="n"/>
      <c r="CX301" s="12" t="n"/>
      <c r="CY301" s="12" t="n"/>
      <c r="CZ301" s="12" t="n"/>
      <c r="DA301" s="12" t="n"/>
      <c r="DB301" s="12" t="n"/>
      <c r="DC301" s="12" t="n"/>
    </row>
    <row r="302">
      <c r="C302" s="14" t="inlineStr">
        <is>
          <t>Cash from financing</t>
        </is>
      </c>
      <c r="D302" s="12" t="n"/>
      <c r="E302" s="12" t="n"/>
      <c r="F302" s="12" t="n"/>
      <c r="G302" s="12" t="n"/>
      <c r="H302" s="12" t="n"/>
      <c r="I302" s="12" t="n"/>
      <c r="J302" s="12">
        <f>SUM(J294,J295,J296,J297,J298,J299,J300,J301)</f>
        <v>-83</v>
      </c>
      <c r="K302" s="12">
        <f>SUM(K294,K295,K296,K297,K298,K299,K300,K301)</f>
        <v>-157</v>
      </c>
      <c r="L302" s="12">
        <f>SUM(L294,L295,L296,L297,L298,L299,L300,L301)</f>
        <v>1033</v>
      </c>
      <c r="M302" s="12" t="n"/>
      <c r="N302" s="12">
        <f>SUM(N294,N295,N296,N297,N298,N299,N300,N301)</f>
        <v>-710</v>
      </c>
      <c r="O302" s="12">
        <f>SUM(O294,O295,O296,O297,O298,O299,O300,O301)</f>
        <v>438</v>
      </c>
      <c r="P302" s="12">
        <f>SUM(P294,P295,P296,P297,P298,P299,P300,P301)</f>
        <v>-828</v>
      </c>
      <c r="Q302" s="12">
        <f>SUM(Q294,Q295,Q296,Q297,Q298,Q299,Q300,Q301)</f>
        <v>-357</v>
      </c>
      <c r="R302" s="12">
        <f>SUM(R294,R295,R296,R297,R298,R299,R300,R301)</f>
        <v>-1457</v>
      </c>
      <c r="S302" s="12">
        <f>SUM(S294,S295,S296,S297,S298,S299,S300,S301)</f>
        <v>-1257</v>
      </c>
      <c r="T302" s="12">
        <f>SUM(T294,T295,T296,T297,T298,T299,T300,T301)</f>
        <v>-492</v>
      </c>
      <c r="U302" s="12">
        <f>SUM(U294,U295,U296,U297,U298,U299,U300,U301)</f>
        <v>-404</v>
      </c>
      <c r="V302" s="12">
        <f>SUM(V294,V295,V296,V297,V298,V299,V300,V301)</f>
        <v>-357</v>
      </c>
      <c r="W302" s="12">
        <f>SUM(W294,W295,W296,W297,W298,W299,W300,W301)</f>
        <v>-2510</v>
      </c>
      <c r="X302" s="12">
        <f>SUM(X294,X295,X296,X297,X298,X299,X300,X301)</f>
        <v>-364</v>
      </c>
      <c r="Y302" s="12">
        <f>SUM(Y294,Y295,Y296,Y297,Y298,Y299,Y300,Y301)</f>
        <v>-698</v>
      </c>
      <c r="Z302" s="12">
        <f>SUM(Z294,Z295,Z296,Z297,Z298,Z299,Z300,Z301)</f>
        <v>-803</v>
      </c>
      <c r="AA302" s="12">
        <f>SUM(AA294,AA295,AA296,AA297,AA298,AA299,AA300,AA301)</f>
        <v>-1540</v>
      </c>
      <c r="AB302" s="12">
        <f>SUM(AB294,AB295,AB296,AB297,AB298,AB299,AB300,AB301)</f>
        <v>-3405</v>
      </c>
      <c r="AC302" s="12">
        <f>SUM(AC294,AC295,AC296,AC297,AC298,AC299,AC300,AC301)</f>
        <v>99</v>
      </c>
      <c r="AD302" s="12">
        <f>SUM(AD294,AD295,AD296,AD297,AD298,AD299,AD300,AD301)</f>
        <v>-918</v>
      </c>
      <c r="AE302" s="12">
        <f>SUM(AE294,AE295,AE296,AE297,AE298,AE299,AE300,AE301)</f>
        <v>-799</v>
      </c>
      <c r="AF302" s="12">
        <f>SUM(AF294,AF295,AF296,AF297,AF298,AF299,AF300,AF301)</f>
        <v>895</v>
      </c>
      <c r="AG302" s="12">
        <f>SUM(AG294,AG295,AG296,AG297,AG298,AG299,AG300,AG301)</f>
        <v>-723</v>
      </c>
      <c r="AH302" s="12">
        <f>SUM(AH294,AH295,AH296,AH297,AH298,AH299,AH300,AH301)</f>
        <v>-630</v>
      </c>
      <c r="AI302" s="12">
        <f>SUM(AI294,AI295,AI296,AI297,AI298,AI299,AI300,AI301)</f>
        <v>-722</v>
      </c>
      <c r="AJ302" s="12">
        <f>SUM(AJ294,AJ295,AJ296,AJ297,AJ298,AJ299,AJ300,AJ301)</f>
        <v>0</v>
      </c>
      <c r="AK302" s="12">
        <f>SUM(AK294,AK295,AK296,AK297,AK298,AK299,AK300,AK301)</f>
        <v>0</v>
      </c>
      <c r="AL302" s="12">
        <f>SUM(AL294,AL295,AL296,AL297,AL298,AL299,AL300,AL301)</f>
        <v>-1352</v>
      </c>
      <c r="AM302" s="12">
        <f>SUM(AM294,AM295,AM296,AM297,AM298,AM299,AM300,AM301)</f>
        <v>0</v>
      </c>
      <c r="AN302" s="12">
        <f>SUM(AN294,AN295,AN296,AN297,AN298,AN299,AN300,AN301)</f>
        <v>0</v>
      </c>
      <c r="AO302" s="12">
        <f>SUM(AO294,AO295,AO296,AO297,AO298,AO299,AO300,AO301)</f>
        <v>0</v>
      </c>
      <c r="AP302" s="12">
        <f>SUM(AP294,AP295,AP296,AP297,AP298,AP299,AP300,AP301)</f>
        <v>0</v>
      </c>
      <c r="AQ302" s="12">
        <f>SUM(AQ294,AQ295,AQ296,AQ297,AQ298,AQ299,AQ300,AQ301)</f>
        <v>0</v>
      </c>
      <c r="AR302" s="12">
        <f>SUM(AR294,AR295,AR296,AR297,AR298,AR299,AR300,AR301)</f>
        <v>0</v>
      </c>
      <c r="AS302" s="12">
        <f>SUM(AS294,AS295,AS296,AS297,AS298,AS299,AS300,AS301)</f>
        <v>0</v>
      </c>
      <c r="AT302" s="12">
        <f>SUM(AT294,AT295,AT296,AT297,AT298,AT299,AT300,AT301)</f>
        <v>0</v>
      </c>
      <c r="AU302" s="12">
        <f>SUM(AU294,AU295,AU296,AU297,AU298,AU299,AU300,AU301)</f>
        <v>0</v>
      </c>
      <c r="AV302" s="12">
        <f>SUM(AV294,AV295,AV296,AV297,AV298,AV299,AV300,AV301)</f>
        <v>0</v>
      </c>
      <c r="AW302" s="12">
        <f>SUM(AW294,AW295,AW296,AW297,AW298,AW299,AW300,AW301)</f>
        <v>0</v>
      </c>
      <c r="AX302" s="12">
        <f>SUM(AX294,AX295,AX296,AX297,AX298,AX299,AX300,AX301)</f>
        <v>0</v>
      </c>
      <c r="AY302" s="12">
        <f>SUM(AY294,AY295,AY296,AY297,AY298,AY299,AY300,AY301)</f>
        <v>0</v>
      </c>
      <c r="AZ302" s="12">
        <f>SUM(AZ294,AZ295,AZ296,AZ297,AZ298,AZ299,AZ300,AZ301)</f>
        <v>0</v>
      </c>
      <c r="BA302" s="12">
        <f>SUM(BA294,BA295,BA296,BA297,BA298,BA299,BA300,BA301)</f>
        <v>0</v>
      </c>
      <c r="BB302" s="12">
        <f>SUM(BB294,BB295,BB296,BB297,BB298,BB299,BB300,BB301)</f>
        <v>0</v>
      </c>
      <c r="BC302" s="12">
        <f>SUM(BC294,BC295,BC296,BC297,BC298,BC299,BC300,BC301)</f>
        <v>0</v>
      </c>
      <c r="BD302" s="12">
        <f>SUM(BD294,BD295,BD296,BD297,BD298,BD299,BD300,BD301)</f>
        <v>0</v>
      </c>
      <c r="BE302" s="12">
        <f>SUM(BE294,BE295,BE296,BE297,BE298,BE299,BE300,BE301)</f>
        <v>0</v>
      </c>
      <c r="BF302" s="12">
        <f>SUM(BF294,BF295,BF296,BF297,BF298,BF299,BF300,BF301)</f>
        <v>0</v>
      </c>
      <c r="BG302" s="12" t="n"/>
      <c r="BH302" s="12" t="n"/>
      <c r="BI302" s="12" t="n"/>
      <c r="BJ302" s="12" t="n"/>
      <c r="BK302" s="12" t="n"/>
      <c r="BL302" s="12" t="n"/>
      <c r="BM302" s="12" t="n"/>
      <c r="BN302" s="12" t="n"/>
      <c r="BO302" s="12" t="n"/>
      <c r="BP302" s="12" t="n"/>
      <c r="BQ302" s="12" t="n"/>
      <c r="BR302" s="12" t="n"/>
      <c r="BS302" s="12" t="n"/>
      <c r="BT302" s="12" t="n"/>
      <c r="BU302" s="12" t="n"/>
      <c r="BV302" s="12" t="n"/>
      <c r="BW302" s="12" t="n"/>
      <c r="BX302" s="12" t="n"/>
      <c r="BY302" s="12" t="n"/>
      <c r="BZ302" s="12" t="n"/>
      <c r="CA302" s="12" t="n"/>
      <c r="CB302" s="12" t="n"/>
      <c r="CC302" s="12" t="n"/>
      <c r="CD302" s="12" t="n"/>
      <c r="CE302" s="12" t="n"/>
      <c r="CF302" s="12" t="n"/>
      <c r="CG302" s="12" t="n"/>
      <c r="CH302" s="12" t="n"/>
      <c r="CI302" s="12" t="n"/>
      <c r="CJ302" s="12" t="n"/>
      <c r="CK302" s="12" t="n"/>
      <c r="CL302" s="12" t="n"/>
      <c r="CM302" s="12" t="n"/>
      <c r="CN302" s="12" t="n"/>
      <c r="CO302" s="12" t="n"/>
      <c r="CP302" s="12" t="n"/>
      <c r="CQ302" s="12" t="n"/>
      <c r="CR302" s="12" t="n"/>
      <c r="CS302" s="12" t="n"/>
      <c r="CT302" s="12" t="n"/>
      <c r="CU302" s="12" t="n"/>
      <c r="CV302" s="12" t="n"/>
      <c r="CW302" s="12" t="n"/>
      <c r="CX302" s="12" t="n"/>
      <c r="CY302" s="12" t="n"/>
    </row>
    <row r="303">
      <c r="C303" s="14" t="n"/>
      <c r="D303" s="12" t="n"/>
      <c r="E303" s="12" t="n"/>
      <c r="F303" s="12" t="n"/>
      <c r="G303" s="12" t="n"/>
      <c r="H303" s="12" t="n"/>
      <c r="I303" s="12" t="n"/>
      <c r="J303" s="12" t="n"/>
      <c r="K303" s="12" t="n"/>
      <c r="L303" s="12" t="n"/>
      <c r="M303" s="12" t="n"/>
      <c r="N303" s="12" t="n"/>
      <c r="O303" s="12" t="n"/>
      <c r="P303" s="12" t="n"/>
      <c r="Q303" s="12" t="n"/>
      <c r="R303" s="12" t="n"/>
      <c r="S303" s="12" t="n"/>
      <c r="T303" s="12" t="n"/>
      <c r="U303" s="12" t="n"/>
      <c r="V303" s="12" t="n"/>
      <c r="W303" s="12" t="n"/>
      <c r="X303" s="12" t="n"/>
      <c r="Y303" s="12" t="n"/>
      <c r="Z303" s="12" t="n"/>
      <c r="AA303" s="12" t="n"/>
      <c r="AB303" s="12" t="n"/>
      <c r="AC303" s="12" t="n"/>
      <c r="AD303" s="12" t="n"/>
      <c r="AE303" s="12" t="n"/>
      <c r="AF303" s="12" t="n"/>
      <c r="AG303" s="12" t="n"/>
      <c r="AH303" s="12" t="n"/>
      <c r="AI303" s="12" t="n"/>
      <c r="AJ303" s="12" t="n"/>
      <c r="AK303" s="12" t="n"/>
      <c r="AL303" s="12" t="n"/>
      <c r="AM303" s="12" t="n"/>
      <c r="AN303" s="12" t="n"/>
      <c r="AO303" s="12" t="n"/>
      <c r="AP303" s="12" t="n"/>
      <c r="AQ303" s="12" t="n"/>
      <c r="AR303" s="12" t="n"/>
      <c r="AS303" s="12" t="n"/>
      <c r="AT303" s="12" t="n"/>
      <c r="AU303" s="12" t="n"/>
      <c r="AV303" s="12" t="n"/>
      <c r="AW303" s="12" t="n"/>
      <c r="AX303" s="12" t="n"/>
      <c r="AY303" s="12" t="n"/>
      <c r="AZ303" s="12" t="n"/>
      <c r="BA303" s="12" t="n"/>
      <c r="BB303" s="12" t="n"/>
      <c r="BC303" s="12" t="n"/>
      <c r="BD303" s="12" t="n"/>
      <c r="BE303" s="12" t="n"/>
      <c r="BF303" s="12" t="n"/>
      <c r="BG303" s="12" t="n"/>
      <c r="BH303" s="12" t="n"/>
      <c r="BI303" s="12" t="n"/>
      <c r="BJ303" s="12" t="n"/>
      <c r="BK303" s="12" t="n"/>
      <c r="BL303" s="12" t="n"/>
      <c r="BM303" s="12" t="n"/>
      <c r="BN303" s="12" t="n"/>
      <c r="BO303" s="12" t="n"/>
      <c r="BP303" s="12" t="n"/>
      <c r="BQ303" s="12" t="n"/>
      <c r="BR303" s="12" t="n"/>
      <c r="BS303" s="12" t="n"/>
      <c r="BT303" s="12" t="n"/>
      <c r="BU303" s="12" t="n"/>
      <c r="BV303" s="12" t="n"/>
      <c r="BW303" s="12" t="n"/>
      <c r="BX303" s="12" t="n"/>
      <c r="BY303" s="12" t="n"/>
      <c r="BZ303" s="12" t="n"/>
      <c r="CA303" s="12" t="n"/>
      <c r="CB303" s="12" t="n"/>
      <c r="CC303" s="12" t="n"/>
      <c r="CD303" s="12" t="n"/>
      <c r="CE303" s="12" t="n"/>
      <c r="CF303" s="12" t="n"/>
      <c r="CG303" s="12" t="n"/>
      <c r="CH303" s="12" t="n"/>
      <c r="CI303" s="12" t="n"/>
      <c r="CJ303" s="12" t="n"/>
      <c r="CK303" s="12" t="n"/>
      <c r="CL303" s="12" t="n"/>
      <c r="CM303" s="12" t="n"/>
      <c r="CN303" s="12" t="n"/>
      <c r="CO303" s="12" t="n"/>
      <c r="CP303" s="12" t="n"/>
      <c r="CQ303" s="12" t="n"/>
      <c r="CR303" s="12" t="n"/>
      <c r="CS303" s="12" t="n"/>
      <c r="CT303" s="12" t="n"/>
      <c r="CU303" s="12" t="n"/>
      <c r="CV303" s="12" t="n"/>
      <c r="CW303" s="12" t="n"/>
      <c r="CX303" s="12" t="n"/>
      <c r="CY303" s="12" t="n"/>
    </row>
    <row r="304">
      <c r="C304" s="14" t="inlineStr">
        <is>
          <t>Others / cash reconciliation plug</t>
        </is>
      </c>
      <c r="D304" s="12" t="n"/>
      <c r="E304" s="12" t="n"/>
      <c r="F304" s="12" t="n"/>
      <c r="G304" s="12" t="n"/>
      <c r="H304" s="12" t="n"/>
      <c r="I304" s="12" t="n"/>
      <c r="J304" s="12">
        <f>J136-I136-SUM(J285,J292,J302)</f>
        <v>0</v>
      </c>
      <c r="K304" s="12">
        <f>K136-J136-SUM(K285,K292,K302)</f>
        <v>0</v>
      </c>
      <c r="L304" s="12">
        <f>L136-K136-SUM(L285,L292,L302)</f>
        <v>0</v>
      </c>
      <c r="M304" s="12" t="n"/>
      <c r="N304" s="12">
        <f>N136-M136-SUM(N285,N292,N302)</f>
        <v>0</v>
      </c>
      <c r="O304" s="12">
        <f>O136-N136-SUM(O285,O292,O302)</f>
        <v>0</v>
      </c>
      <c r="P304" s="12">
        <f>P136-O136-SUM(P285,P292,P302)</f>
        <v>0</v>
      </c>
      <c r="Q304" s="12">
        <f>Q136-P136-SUM(Q285,Q292,Q302)</f>
        <v>0</v>
      </c>
      <c r="R304" s="12">
        <f>SUM(N304:Q304)</f>
        <v>0</v>
      </c>
      <c r="S304" s="12">
        <f>S136-R136-SUM(S285,S292,S302)</f>
        <v>0</v>
      </c>
      <c r="T304" s="12">
        <f>T136-S136-SUM(T285,T292,T302)</f>
        <v>0</v>
      </c>
      <c r="U304" s="12">
        <f>U136-T136-SUM(U285,U292,U302)</f>
        <v>0</v>
      </c>
      <c r="V304" s="12">
        <f>V136-U136-SUM(V285,V292,V302)</f>
        <v>0</v>
      </c>
      <c r="W304" s="12">
        <f>SUM(S304:V304)</f>
        <v>0</v>
      </c>
      <c r="X304" s="12">
        <f>X136-W136-SUM(X285,X292,X302)</f>
        <v>0</v>
      </c>
      <c r="Y304" s="12">
        <f>Y136-X136-SUM(Y285,Y292,Y302)</f>
        <v>0</v>
      </c>
      <c r="Z304" s="12">
        <f>Z136-Y136-SUM(Z285,Z292,Z302)</f>
        <v>0</v>
      </c>
      <c r="AA304" s="12">
        <f>AA136-Z136-SUM(AA285,AA292,AA302)</f>
        <v>0</v>
      </c>
      <c r="AB304" s="12">
        <f>SUM(X304:AA304)</f>
        <v>0</v>
      </c>
      <c r="AC304" s="12">
        <f>AC136-AB136-SUM(AC285,AC292,AC302)</f>
        <v>0</v>
      </c>
      <c r="AD304" s="12">
        <f>AD136-AC136-SUM(AD285,AD292,AD302)</f>
        <v>0</v>
      </c>
      <c r="AE304" s="12">
        <f>AE136-AD136-SUM(AE285,AE292,AE302)</f>
        <v>0</v>
      </c>
      <c r="AF304" s="12">
        <f>AF136-AE136-SUM(AF285,AF292,AF302)</f>
        <v>0</v>
      </c>
      <c r="AG304" s="12">
        <f>SUM(AC304:AF304)</f>
        <v>0</v>
      </c>
      <c r="AH304" s="12">
        <f>AH136-AG136-SUM(AH285,AH292,AH302)</f>
        <v>0</v>
      </c>
      <c r="AI304" s="12">
        <f>AI136-AH136-SUM(AI285,AI292,AI302)</f>
        <v>0</v>
      </c>
      <c r="AJ304" s="12">
        <f>AJ136-AI136-SUM(AJ285,AJ292,AJ302)</f>
        <v>0</v>
      </c>
      <c r="AK304" s="12">
        <f>AK136-AJ136-SUM(AK285,AK292,AK302)</f>
        <v>2.50111042987555e-12</v>
      </c>
      <c r="AL304" s="12">
        <f>SUM(AH304:AK304)</f>
        <v>2.50111042987555e-12</v>
      </c>
      <c r="AM304" s="12">
        <f>AM136-AL136-SUM(AM285,AM292,AM302)</f>
        <v>-1.36424205265939e-11</v>
      </c>
      <c r="AN304" s="12">
        <f>AN136-AM136-SUM(AN285,AN292,AN302)</f>
        <v>0</v>
      </c>
      <c r="AO304" s="12">
        <f>AO136-AN136-SUM(AO285,AO292,AO302)</f>
        <v>1.68256519827992e-11</v>
      </c>
      <c r="AP304" s="12">
        <f>AP136-AO136-SUM(AP285,AP292,AP302)</f>
        <v>-1.7166712495964e-11</v>
      </c>
      <c r="AQ304" s="12">
        <f>SUM(AM304:AP304)</f>
        <v>-1.39834810397588e-11</v>
      </c>
      <c r="AR304" s="12">
        <f>AR136-AQ136-SUM(AR285,AR292,AR302)</f>
        <v>7.50333128962666e-12</v>
      </c>
      <c r="AS304" s="12">
        <f>AS136-AR136-SUM(AS285,AS292,AS302)</f>
        <v>0</v>
      </c>
      <c r="AT304" s="12">
        <f>AT136-AS136-SUM(AT285,AT292,AT302)</f>
        <v>-7.04858393874019e-12</v>
      </c>
      <c r="AU304" s="12">
        <f>AU136-AT136-SUM(AU285,AU292,AU302)</f>
        <v>1.44382283906452e-11</v>
      </c>
      <c r="AV304" s="12">
        <f>SUM(AR304:AU304)</f>
        <v>1.48929757415317e-11</v>
      </c>
      <c r="AW304" s="12">
        <f>AW136-AV136-SUM(AW285,AW292,AW302)</f>
        <v>-1.61435309564695e-11</v>
      </c>
      <c r="AX304" s="12">
        <f>AX136-AW136-SUM(AX285,AX292,AX302)</f>
        <v>-5.6843418860808e-12</v>
      </c>
      <c r="AY304" s="12">
        <f>AY136-AX136-SUM(AY285,AY292,AY302)</f>
        <v>-5.45696821063757e-12</v>
      </c>
      <c r="AZ304" s="12">
        <f>AZ136-AY136-SUM(AZ285,AZ292,AZ302)</f>
        <v>1.21644916362129e-11</v>
      </c>
      <c r="BA304" s="12">
        <f>SUM(AW304:AZ304)</f>
        <v>-1.51203494169749e-11</v>
      </c>
      <c r="BB304" s="12">
        <f>BB136-BA136-SUM(BB285,BB292,BB302)</f>
        <v>5.22959453519434e-12</v>
      </c>
      <c r="BC304" s="12">
        <f>BC136-BB136-SUM(BC285,BC292,BC302)</f>
        <v>-1.34150468511507e-11</v>
      </c>
      <c r="BD304" s="12">
        <f>BD136-BC136-SUM(BD285,BD292,BD302)</f>
        <v>6.3664629124105e-12</v>
      </c>
      <c r="BE304" s="12">
        <f>BE136-BD136-SUM(BE285,BE292,BE302)</f>
        <v>-1.23918653116561e-11</v>
      </c>
      <c r="BF304" s="12">
        <f>SUM(BB304:BE304)</f>
        <v>-1.4210854715202e-11</v>
      </c>
      <c r="BG304" s="12" t="n"/>
      <c r="BH304" s="12" t="n"/>
      <c r="BI304" s="12" t="n"/>
      <c r="BJ304" s="12" t="n"/>
      <c r="BK304" s="12" t="n"/>
      <c r="BL304" s="12" t="n"/>
      <c r="BM304" s="12" t="n"/>
      <c r="BN304" s="12" t="n"/>
      <c r="BO304" s="12" t="n"/>
      <c r="BP304" s="12" t="n"/>
      <c r="BQ304" s="12" t="n"/>
      <c r="BR304" s="12" t="n"/>
      <c r="BS304" s="12" t="n"/>
      <c r="BT304" s="12" t="n"/>
      <c r="BU304" s="12" t="n"/>
      <c r="BV304" s="12" t="n"/>
      <c r="BW304" s="12" t="n"/>
      <c r="BX304" s="12" t="n"/>
      <c r="BY304" s="12" t="n"/>
      <c r="BZ304" s="12" t="n"/>
      <c r="CA304" s="12" t="n"/>
      <c r="CB304" s="12" t="n"/>
      <c r="CC304" s="12" t="n"/>
      <c r="CD304" s="12" t="n"/>
      <c r="CE304" s="12" t="n"/>
      <c r="CF304" s="12" t="n"/>
      <c r="CG304" s="12" t="n"/>
      <c r="CH304" s="12" t="n"/>
      <c r="CI304" s="12" t="n"/>
      <c r="CJ304" s="12" t="n"/>
      <c r="CK304" s="12" t="n"/>
      <c r="CL304" s="12" t="n"/>
      <c r="CM304" s="12" t="n"/>
      <c r="CN304" s="12" t="n"/>
      <c r="CO304" s="12" t="n"/>
      <c r="CP304" s="12" t="n"/>
      <c r="CQ304" s="12" t="n"/>
      <c r="CR304" s="12" t="n"/>
      <c r="CS304" s="12" t="n"/>
      <c r="CT304" s="12" t="n"/>
      <c r="CU304" s="12" t="n"/>
      <c r="CV304" s="12" t="n"/>
      <c r="CW304" s="12" t="n"/>
      <c r="CX304" s="12" t="n"/>
      <c r="CY304" s="12" t="n"/>
    </row>
    <row r="305">
      <c r="C305" s="14" t="n"/>
      <c r="D305" s="12" t="n"/>
      <c r="E305" s="12" t="n"/>
      <c r="F305" s="12" t="n"/>
      <c r="G305" s="12" t="n"/>
      <c r="H305" s="12" t="n"/>
      <c r="I305" s="12" t="n"/>
      <c r="J305" s="12" t="n"/>
      <c r="K305" s="12" t="n"/>
      <c r="L305" s="12" t="n"/>
      <c r="M305" s="12" t="n"/>
      <c r="N305" s="12" t="n"/>
      <c r="O305" s="12" t="n"/>
      <c r="P305" s="12" t="n"/>
      <c r="Q305" s="12" t="n"/>
      <c r="R305" s="12" t="n"/>
      <c r="S305" s="12" t="n"/>
      <c r="T305" s="12" t="n"/>
      <c r="U305" s="12" t="n"/>
      <c r="V305" s="12" t="n"/>
      <c r="W305" s="12" t="n"/>
      <c r="X305" s="12" t="n"/>
      <c r="Y305" s="12" t="n"/>
      <c r="Z305" s="12" t="n"/>
      <c r="AA305" s="12" t="n"/>
      <c r="AB305" s="12" t="n"/>
      <c r="AC305" s="12" t="n"/>
      <c r="AD305" s="12" t="n"/>
      <c r="AE305" s="12" t="n"/>
      <c r="AF305" s="12" t="n"/>
      <c r="AG305" s="12" t="n"/>
      <c r="AH305" s="12" t="n"/>
      <c r="AI305" s="12" t="n"/>
      <c r="AJ305" s="12" t="n"/>
      <c r="AK305" s="12" t="n"/>
      <c r="AL305" s="12" t="n"/>
      <c r="AM305" s="12" t="n"/>
      <c r="AN305" s="12" t="n"/>
      <c r="AO305" s="12" t="n"/>
      <c r="AP305" s="12" t="n"/>
      <c r="AQ305" s="12" t="n"/>
      <c r="AR305" s="12" t="n"/>
      <c r="AS305" s="12" t="n"/>
      <c r="AT305" s="12" t="n"/>
      <c r="AU305" s="12" t="n"/>
      <c r="AV305" s="12" t="n"/>
      <c r="AW305" s="12" t="n"/>
      <c r="AX305" s="12" t="n"/>
      <c r="AY305" s="12" t="n"/>
      <c r="AZ305" s="12" t="n"/>
      <c r="BA305" s="12" t="n"/>
      <c r="BB305" s="12" t="n"/>
      <c r="BC305" s="12" t="n"/>
      <c r="BD305" s="12" t="n"/>
      <c r="BE305" s="12" t="n"/>
      <c r="BF305" s="12" t="n"/>
      <c r="BG305" s="12" t="n"/>
      <c r="BH305" s="12" t="n"/>
      <c r="BI305" s="12" t="n"/>
      <c r="BJ305" s="12" t="n"/>
      <c r="BK305" s="12" t="n"/>
      <c r="BL305" s="12" t="n"/>
      <c r="BM305" s="12" t="n"/>
      <c r="BN305" s="12" t="n"/>
      <c r="BO305" s="12" t="n"/>
      <c r="BP305" s="12" t="n"/>
      <c r="BQ305" s="12" t="n"/>
      <c r="BR305" s="12" t="n"/>
      <c r="BS305" s="12" t="n"/>
      <c r="BT305" s="12" t="n"/>
      <c r="BU305" s="12" t="n"/>
      <c r="BV305" s="12" t="n"/>
      <c r="BW305" s="12" t="n"/>
      <c r="BX305" s="12" t="n"/>
      <c r="BY305" s="12" t="n"/>
      <c r="BZ305" s="12" t="n"/>
      <c r="CA305" s="12" t="n"/>
      <c r="CB305" s="12" t="n"/>
      <c r="CC305" s="12" t="n"/>
      <c r="CD305" s="12" t="n"/>
      <c r="CE305" s="12" t="n"/>
      <c r="CF305" s="12" t="n"/>
      <c r="CG305" s="12" t="n"/>
      <c r="CH305" s="12" t="n"/>
      <c r="CI305" s="12" t="n"/>
      <c r="CJ305" s="12" t="n"/>
      <c r="CK305" s="12" t="n"/>
      <c r="CL305" s="12" t="n"/>
      <c r="CM305" s="12" t="n"/>
      <c r="CN305" s="12" t="n"/>
      <c r="CO305" s="12" t="n"/>
      <c r="CP305" s="12" t="n"/>
      <c r="CQ305" s="12" t="n"/>
      <c r="CR305" s="12" t="n"/>
      <c r="CS305" s="12" t="n"/>
      <c r="CT305" s="12" t="n"/>
      <c r="CU305" s="12" t="n"/>
      <c r="CV305" s="12" t="n"/>
      <c r="CW305" s="12" t="n"/>
      <c r="CX305" s="12" t="n"/>
      <c r="CY305" s="12" t="n"/>
    </row>
    <row r="306">
      <c r="C306" s="14" t="inlineStr">
        <is>
          <t>Total increase/decrease of cash</t>
        </is>
      </c>
      <c r="D306" s="12" t="n"/>
      <c r="E306" s="12" t="n"/>
      <c r="F306" s="12" t="n"/>
      <c r="G306" s="12" t="n"/>
      <c r="H306" s="12" t="n"/>
      <c r="I306" s="12" t="n"/>
      <c r="J306" s="12">
        <f>SUM(J285,J292,J302,J304)</f>
        <v>1733</v>
      </c>
      <c r="K306" s="12">
        <f>SUM(K285,K292,K302,K304)</f>
        <v>1359</v>
      </c>
      <c r="L306" s="12">
        <f>SUM(L285,L292,L302,L304)</f>
        <v>8710</v>
      </c>
      <c r="M306" s="12" t="n"/>
      <c r="N306" s="12">
        <f>SUM(N285,N292,N302,N304)</f>
        <v>-8044</v>
      </c>
      <c r="O306" s="12">
        <f>SUM(O285,O292,O302,O304)</f>
        <v>1154</v>
      </c>
      <c r="P306" s="12">
        <f>SUM(P285,P292,P302,P304)</f>
        <v>-914</v>
      </c>
      <c r="Q306" s="12">
        <f>SUM(Q285,Q292,Q302,Q304)</f>
        <v>7958</v>
      </c>
      <c r="R306" s="12">
        <f>SUM(N306:Q306)</f>
        <v>154</v>
      </c>
      <c r="S306" s="12">
        <f>SUM(S285,S292,S302,S304)</f>
        <v>-9684</v>
      </c>
      <c r="T306" s="12">
        <f>SUM(T285,T292,T302,T304)</f>
        <v>-169</v>
      </c>
      <c r="U306" s="12">
        <f>SUM(U285,U292,U302,U304)</f>
        <v>-938</v>
      </c>
      <c r="V306" s="12">
        <f>SUM(V285,V292,V302,V304)</f>
        <v>5076</v>
      </c>
      <c r="W306" s="12">
        <f>SUM(S306:V306)</f>
        <v>-5715</v>
      </c>
      <c r="X306" s="12">
        <f>SUM(X285,X292,X302,X304)</f>
        <v>-5613</v>
      </c>
      <c r="Y306" s="12">
        <f>SUM(Y285,Y292,Y302,Y304)</f>
        <v>65</v>
      </c>
      <c r="Z306" s="12">
        <f>SUM(Z285,Z292,Z302,Z304)</f>
        <v>-273</v>
      </c>
      <c r="AA306" s="12">
        <f>SUM(AA285,AA292,AA302,AA304)</f>
        <v>3834</v>
      </c>
      <c r="AB306" s="12">
        <f>SUM(X306:AA306)</f>
        <v>-1987</v>
      </c>
      <c r="AC306" s="12">
        <f>SUM(AC285,AC292,AC302,AC304)</f>
        <v>-4449</v>
      </c>
      <c r="AD306" s="12">
        <f>SUM(AD285,AD292,AD302,AD304)</f>
        <v>105</v>
      </c>
      <c r="AE306" s="12">
        <f>SUM(AE285,AE292,AE302,AE304)</f>
        <v>-172</v>
      </c>
      <c r="AF306" s="12">
        <f>SUM(AF285,AF292,AF302,AF304)</f>
        <v>3679</v>
      </c>
      <c r="AG306" s="12">
        <f>SUM(AC306:AF306)</f>
        <v>-837</v>
      </c>
      <c r="AH306" s="12">
        <f>SUM(AH285,AH292,AH302,AH304)</f>
        <v>-4260</v>
      </c>
      <c r="AI306" s="12">
        <f>SUM(AI285,AI292,AI302,AI304)</f>
        <v>343</v>
      </c>
      <c r="AJ306" s="12">
        <f>SUM(AJ285,AJ292,AJ302,AJ304)</f>
        <v>534.287783160529</v>
      </c>
      <c r="AK306" s="12">
        <f>SUM(AK285,AK292,AK302,AK304)</f>
        <v>-180.732965915566</v>
      </c>
      <c r="AL306" s="12">
        <f>SUM(AH306:AK306)</f>
        <v>-3563.44518275504</v>
      </c>
      <c r="AM306" s="12">
        <f>SUM(AM285,AM292,AM302,AM304)</f>
        <v>990.117352500391</v>
      </c>
      <c r="AN306" s="12">
        <f>SUM(AN285,AN292,AN302,AN304)</f>
        <v>1061.93110876668</v>
      </c>
      <c r="AO306" s="12">
        <f>SUM(AO285,AO292,AO302,AO304)</f>
        <v>648.373416795068</v>
      </c>
      <c r="AP306" s="12">
        <f>SUM(AP285,AP292,AP302,AP304)</f>
        <v>-182.809776059687</v>
      </c>
      <c r="AQ306" s="12">
        <f>SUM(AM306:AP306)</f>
        <v>2517.61210200246</v>
      </c>
      <c r="AR306" s="12">
        <f>SUM(AR285,AR292,AR302,AR304)</f>
        <v>942.626730243632</v>
      </c>
      <c r="AS306" s="12">
        <f>SUM(AS285,AS292,AS302,AS304)</f>
        <v>1105.73054417063</v>
      </c>
      <c r="AT306" s="12">
        <f>SUM(AT285,AT292,AT302,AT304)</f>
        <v>650.986223596687</v>
      </c>
      <c r="AU306" s="12">
        <f>SUM(AU285,AU292,AU302,AU304)</f>
        <v>-186.875174375949</v>
      </c>
      <c r="AV306" s="12">
        <f>SUM(AR306:AU306)</f>
        <v>2512.46832363499</v>
      </c>
      <c r="AW306" s="12">
        <f>SUM(AW285,AW292,AW302,AW304)</f>
        <v>965.370327067962</v>
      </c>
      <c r="AX306" s="12">
        <f>SUM(AX285,AX292,AX302,AX304)</f>
        <v>1068.32314982003</v>
      </c>
      <c r="AY306" s="12">
        <f>SUM(AY285,AY292,AY302,AY304)</f>
        <v>650.148113687639</v>
      </c>
      <c r="AZ306" s="12">
        <f>SUM(AZ285,AZ292,AZ302,AZ304)</f>
        <v>-190.230569547457</v>
      </c>
      <c r="BA306" s="12">
        <f>SUM(AW306:AZ306)</f>
        <v>2493.61102102818</v>
      </c>
      <c r="BB306" s="12">
        <f>SUM(BB285,BB292,BB302,BB304)</f>
        <v>954.535203815649</v>
      </c>
      <c r="BC306" s="12">
        <f>SUM(BC285,BC292,BC302,BC304)</f>
        <v>1066.63339406064</v>
      </c>
      <c r="BD306" s="12">
        <f>SUM(BD285,BD292,BD302,BD304)</f>
        <v>648.453342802037</v>
      </c>
      <c r="BE306" s="12">
        <f>SUM(BE285,BE292,BE302,BE304)</f>
        <v>-191.930370444017</v>
      </c>
      <c r="BF306" s="12">
        <f>SUM(BB306:BE306)</f>
        <v>2477.69157023431</v>
      </c>
      <c r="BG306" s="12" t="n"/>
      <c r="BH306" s="12" t="n"/>
      <c r="BI306" s="12" t="n"/>
      <c r="BJ306" s="12" t="n"/>
      <c r="BK306" s="12" t="n"/>
      <c r="BL306" s="12" t="n"/>
      <c r="BM306" s="12" t="n"/>
      <c r="BN306" s="12" t="n"/>
      <c r="BO306" s="12" t="n"/>
      <c r="BP306" s="12" t="n"/>
      <c r="BQ306" s="12" t="n"/>
      <c r="BR306" s="12" t="n"/>
      <c r="BS306" s="12" t="n"/>
      <c r="BT306" s="12" t="n"/>
      <c r="BU306" s="12" t="n"/>
      <c r="BV306" s="12" t="n"/>
      <c r="BW306" s="12" t="n"/>
      <c r="BX306" s="12" t="n"/>
      <c r="BY306" s="12" t="n"/>
      <c r="BZ306" s="12" t="n"/>
      <c r="CA306" s="12" t="n"/>
      <c r="CB306" s="12" t="n"/>
      <c r="CC306" s="12" t="n"/>
      <c r="CD306" s="12" t="n"/>
      <c r="CE306" s="12" t="n"/>
      <c r="CF306" s="12" t="n"/>
      <c r="CG306" s="12" t="n"/>
      <c r="CH306" s="12" t="n"/>
      <c r="CI306" s="12" t="n"/>
      <c r="CJ306" s="12" t="n"/>
      <c r="CK306" s="12" t="n"/>
      <c r="CL306" s="12" t="n"/>
      <c r="CM306" s="12" t="n"/>
      <c r="CN306" s="12" t="n"/>
      <c r="CO306" s="12" t="n"/>
      <c r="CP306" s="12" t="n"/>
      <c r="CQ306" s="12" t="n"/>
      <c r="CR306" s="12" t="n"/>
      <c r="CS306" s="12" t="n"/>
      <c r="CT306" s="12" t="n"/>
      <c r="CU306" s="12" t="n"/>
      <c r="CV306" s="12" t="n"/>
      <c r="CW306" s="12" t="n"/>
      <c r="CX306" s="12" t="n"/>
      <c r="CY306" s="12" t="n"/>
    </row>
    <row r="307">
      <c r="C307" s="4" t="inlineStr">
        <is>
          <t>Check</t>
        </is>
      </c>
      <c r="E307" s="72" t="n"/>
      <c r="F307" s="72" t="n"/>
      <c r="G307" s="72" t="n"/>
      <c r="I307" s="72" t="str">
        <f>""</f>
        <v/>
      </c>
      <c r="J307" s="72">
        <f>J136-I136-J306</f>
        <v>0</v>
      </c>
      <c r="K307" s="72">
        <f>K136-J136-K306</f>
        <v>0</v>
      </c>
      <c r="L307" s="72">
        <f>L136-K136-L306</f>
        <v>0</v>
      </c>
      <c r="M307" s="4" t="str">
        <f>""</f>
        <v/>
      </c>
      <c r="N307" s="72">
        <f>N136-M136-N306</f>
        <v>0</v>
      </c>
      <c r="O307" s="72">
        <f>O136-N136-O306</f>
        <v>0</v>
      </c>
      <c r="P307" s="72">
        <f>P136-O136-P306</f>
        <v>0</v>
      </c>
      <c r="Q307" s="72">
        <f>Q136-P136-Q306</f>
        <v>0</v>
      </c>
      <c r="R307" s="4">
        <f>R136-M136-R306</f>
        <v>0</v>
      </c>
      <c r="S307" s="72">
        <f>S136-R136-S306</f>
        <v>0</v>
      </c>
      <c r="T307" s="72">
        <f>T136-S136-T306</f>
        <v>0</v>
      </c>
      <c r="U307" s="72">
        <f>U136-T136-U306</f>
        <v>0</v>
      </c>
      <c r="V307" s="72">
        <f>V136-U136-V306</f>
        <v>0</v>
      </c>
      <c r="W307" s="4">
        <f>W136-R136-W306</f>
        <v>0</v>
      </c>
      <c r="X307" s="72">
        <f>X136-W136-X306</f>
        <v>0</v>
      </c>
      <c r="Y307" s="72">
        <f>Y136-X136-Y306</f>
        <v>0</v>
      </c>
      <c r="Z307" s="72">
        <f>Z136-Y136-Z306</f>
        <v>0</v>
      </c>
      <c r="AA307" s="72">
        <f>AA136-Z136-AA306</f>
        <v>0</v>
      </c>
      <c r="AB307" s="4">
        <f>AB136-W136-AB306</f>
        <v>0</v>
      </c>
      <c r="AC307" s="72">
        <f>AC136-AB136-AC306</f>
        <v>0</v>
      </c>
      <c r="AD307" s="72">
        <f>AD136-AC136-AD306</f>
        <v>0</v>
      </c>
      <c r="AE307" s="72">
        <f>AE136-AD136-AE306</f>
        <v>0</v>
      </c>
      <c r="AF307" s="72">
        <f>AF136-AE136-AF306</f>
        <v>0</v>
      </c>
      <c r="AG307" s="4">
        <f>AG136-AB136-AG306</f>
        <v>0</v>
      </c>
      <c r="AH307" s="72">
        <f>AH136-AG136-AH306</f>
        <v>0</v>
      </c>
      <c r="AI307" s="72">
        <f>AI136-AH136-AI306</f>
        <v>0</v>
      </c>
      <c r="AJ307" s="72">
        <f>AJ136-AI136-AJ306</f>
        <v>0</v>
      </c>
      <c r="AK307" s="72">
        <f>AK136-AJ136-AK306</f>
        <v>0</v>
      </c>
      <c r="AL307" s="4">
        <f>AL136-AG136-AL306</f>
        <v>0</v>
      </c>
      <c r="AM307" s="72">
        <f>AM136-AL136-AM306</f>
        <v>0</v>
      </c>
      <c r="AN307" s="72">
        <f>AN136-AM136-AN306</f>
        <v>0</v>
      </c>
      <c r="AO307" s="72">
        <f>AO136-AN136-AO306</f>
        <v>0</v>
      </c>
      <c r="AP307" s="72">
        <f>AP136-AO136-AP306</f>
        <v>0</v>
      </c>
      <c r="AQ307" s="4">
        <f>AQ136-AL136-AQ306</f>
        <v>0</v>
      </c>
      <c r="AR307" s="72">
        <f>AR136-AQ136-AR306</f>
        <v>0</v>
      </c>
      <c r="AS307" s="72">
        <f>AS136-AR136-AS306</f>
        <v>0</v>
      </c>
      <c r="AT307" s="72">
        <f>AT136-AS136-AT306</f>
        <v>0</v>
      </c>
      <c r="AU307" s="72">
        <f>AU136-AT136-AU306</f>
        <v>0</v>
      </c>
      <c r="AV307" s="4">
        <f>AV136-AQ136-AV306</f>
        <v>0</v>
      </c>
      <c r="AW307" s="72">
        <f>AW136-AV136-AW306</f>
        <v>0</v>
      </c>
      <c r="AX307" s="72">
        <f>AX136-AW136-AX306</f>
        <v>0</v>
      </c>
      <c r="AY307" s="72">
        <f>AY136-AX136-AY306</f>
        <v>0</v>
      </c>
      <c r="AZ307" s="72">
        <f>AZ136-AY136-AZ306</f>
        <v>0</v>
      </c>
      <c r="BA307" s="4">
        <f>BA136-AV136-BA306</f>
        <v>0</v>
      </c>
      <c r="BB307" s="72">
        <f>BB136-BA136-BB306</f>
        <v>0</v>
      </c>
      <c r="BC307" s="72">
        <f>BC136-BB136-BC306</f>
        <v>0</v>
      </c>
      <c r="BD307" s="72">
        <f>BD136-BC136-BD306</f>
        <v>0</v>
      </c>
      <c r="BE307" s="72">
        <f>BE136-BD136-BE306</f>
        <v>0</v>
      </c>
      <c r="BF307" s="4">
        <f>BF136-BA136-BF306</f>
        <v>0</v>
      </c>
      <c r="BG307" s="72" t="n"/>
      <c r="BH307" s="72" t="n"/>
      <c r="BI307" s="72" t="n"/>
      <c r="BJ307" s="72" t="n"/>
      <c r="BL307" s="72" t="n"/>
      <c r="BM307" s="72" t="n"/>
      <c r="BN307" s="72" t="n"/>
      <c r="BO307" s="72" t="n"/>
      <c r="BQ307" s="72" t="n"/>
      <c r="BR307" s="72" t="n"/>
      <c r="BS307" s="72" t="n"/>
      <c r="BT307" s="72" t="n"/>
      <c r="BV307" s="72" t="n"/>
      <c r="BW307" s="72" t="n"/>
      <c r="BX307" s="72" t="n"/>
      <c r="BY307" s="72" t="n"/>
      <c r="CA307" s="72" t="n"/>
      <c r="CB307" s="72" t="n"/>
      <c r="CC307" s="72" t="n"/>
      <c r="CD307" s="72" t="n"/>
      <c r="CF307" s="72" t="n"/>
      <c r="CG307" s="72" t="n"/>
      <c r="CH307" s="72" t="n"/>
      <c r="CI307" s="72" t="n"/>
      <c r="CK307" s="72" t="n"/>
      <c r="CL307" s="72" t="n"/>
      <c r="CM307" s="72" t="n"/>
      <c r="CN307" s="72" t="n"/>
      <c r="CP307" s="72" t="n"/>
      <c r="CQ307" s="72" t="n"/>
      <c r="CR307" s="72" t="n"/>
      <c r="CS307" s="72" t="n"/>
      <c r="CU307" s="72" t="n"/>
      <c r="CV307" s="72" t="n"/>
      <c r="CW307" s="72" t="n"/>
      <c r="CX307" s="72" t="n"/>
    </row>
    <row r="308"/>
    <row r="309">
      <c r="C309" s="73" t="inlineStr">
        <is>
          <t>Ratio Analysis</t>
        </is>
      </c>
      <c r="D309" s="73" t="n"/>
      <c r="E309" s="73" t="n"/>
      <c r="F309" s="73" t="n"/>
      <c r="G309" s="73" t="n"/>
      <c r="H309" s="73" t="n"/>
      <c r="I309" s="73" t="n"/>
      <c r="J309" s="73" t="n"/>
      <c r="K309" s="73" t="n"/>
      <c r="L309" s="73" t="n"/>
      <c r="M309" s="73" t="n"/>
      <c r="N309" s="73" t="n"/>
      <c r="O309" s="73" t="n"/>
      <c r="P309" s="73" t="n"/>
      <c r="Q309" s="73" t="n"/>
      <c r="R309" s="73" t="n"/>
      <c r="S309" s="73" t="n"/>
      <c r="T309" s="73" t="n"/>
      <c r="U309" s="73" t="n"/>
      <c r="V309" s="73" t="n"/>
      <c r="W309" s="73" t="n"/>
      <c r="X309" s="73" t="n"/>
      <c r="Y309" s="73" t="n"/>
      <c r="Z309" s="73" t="n"/>
      <c r="AA309" s="73" t="n"/>
      <c r="AB309" s="73" t="n"/>
      <c r="AC309" s="73" t="n"/>
      <c r="AD309" s="73" t="n"/>
      <c r="AE309" s="73" t="n"/>
      <c r="AF309" s="73" t="n"/>
      <c r="AG309" s="73" t="n"/>
      <c r="AH309" s="73" t="n"/>
      <c r="AI309" s="73" t="n"/>
      <c r="AJ309" s="73" t="n"/>
      <c r="AK309" s="73" t="n"/>
      <c r="AL309" s="73" t="n"/>
      <c r="AM309" s="73" t="n"/>
      <c r="AN309" s="73" t="n"/>
      <c r="AO309" s="73" t="n"/>
      <c r="AP309" s="73" t="n"/>
      <c r="AQ309" s="73" t="n"/>
      <c r="AR309" s="73" t="n"/>
      <c r="AS309" s="73" t="n"/>
      <c r="AT309" s="73" t="n"/>
      <c r="AU309" s="73" t="n"/>
      <c r="AV309" s="73" t="n"/>
      <c r="AW309" s="73" t="n"/>
      <c r="AX309" s="73" t="n"/>
      <c r="AY309" s="73" t="n"/>
      <c r="AZ309" s="73" t="n"/>
      <c r="BA309" s="73" t="n"/>
      <c r="BB309" s="73" t="n"/>
      <c r="BC309" s="73" t="n"/>
      <c r="BD309" s="73" t="n"/>
      <c r="BE309" s="73" t="n"/>
      <c r="BF309" s="73" t="n"/>
      <c r="BG309" s="73" t="n"/>
      <c r="BH309" s="73" t="n"/>
      <c r="BI309" s="73" t="n"/>
      <c r="BJ309" s="73" t="n"/>
      <c r="BK309" s="73" t="n"/>
      <c r="BL309" s="73" t="n"/>
      <c r="BM309" s="73" t="n"/>
      <c r="BN309" s="73" t="n"/>
      <c r="BO309" s="73" t="n"/>
      <c r="BP309" s="73" t="n"/>
      <c r="BQ309" s="73" t="n"/>
      <c r="BR309" s="73" t="n"/>
      <c r="BS309" s="73" t="n"/>
      <c r="BT309" s="73" t="n"/>
      <c r="BU309" s="73" t="n"/>
      <c r="BV309" s="73" t="n"/>
      <c r="BW309" s="73" t="n"/>
      <c r="BX309" s="73" t="n"/>
      <c r="BY309" s="73" t="n"/>
      <c r="BZ309" s="73" t="n"/>
      <c r="CA309" s="73" t="n"/>
      <c r="CB309" s="73" t="n"/>
      <c r="CC309" s="73" t="n"/>
      <c r="CD309" s="73" t="n"/>
      <c r="CE309" s="73" t="n"/>
      <c r="CF309" s="73" t="n"/>
      <c r="CG309" s="73" t="n"/>
      <c r="CH309" s="73" t="n"/>
      <c r="CI309" s="73" t="n"/>
      <c r="CJ309" s="73" t="n"/>
      <c r="CK309" s="73" t="n"/>
      <c r="CL309" s="73" t="n"/>
      <c r="CM309" s="73" t="n"/>
      <c r="CN309" s="73" t="n"/>
      <c r="CO309" s="73" t="n"/>
      <c r="CP309" s="73" t="n"/>
      <c r="CQ309" s="73" t="n"/>
      <c r="CR309" s="73" t="n"/>
      <c r="CS309" s="73" t="n"/>
      <c r="CT309" s="73" t="n"/>
      <c r="CU309" s="73" t="n"/>
      <c r="CV309" s="73" t="n"/>
      <c r="CW309" s="73" t="n"/>
      <c r="CX309" s="73" t="n"/>
      <c r="CY309" s="73" t="n"/>
    </row>
    <row r="310"/>
    <row r="311" customFormat="1" s="74">
      <c r="C311" s="74" t="inlineStr">
        <is>
          <t>YEAR</t>
        </is>
      </c>
      <c r="D311">
        <f>IFERROR(D267,"")</f>
        <v>0</v>
      </c>
      <c r="E311" s="75">
        <f>IFERROR(E267,"")</f>
        <v>0</v>
      </c>
      <c r="F311" s="75">
        <f>IFERROR(F267,"")</f>
        <v>0</v>
      </c>
      <c r="G311" s="75">
        <f>IFERROR(G267,"")</f>
        <v>0</v>
      </c>
      <c r="H311" s="75">
        <f>IFERROR(H267,"")</f>
        <v>0</v>
      </c>
      <c r="I311" s="75" t="str">
        <f>IFERROR(I267,"")</f>
        <v>1Q21</v>
      </c>
      <c r="J311" s="75" t="str">
        <f>IFERROR(J267,"")</f>
        <v>2Q21</v>
      </c>
      <c r="K311" s="75" t="str">
        <f>IFERROR(K267,"")</f>
        <v>3Q21</v>
      </c>
      <c r="L311" s="75" t="str">
        <f>IFERROR(L267,"")</f>
        <v>4Q21</v>
      </c>
      <c r="M311" s="75">
        <f>IFERROR(M267,"")</f>
        <v>2021</v>
      </c>
      <c r="N311" s="75" t="str">
        <f>IFERROR(N267,"")</f>
        <v>1Q22</v>
      </c>
      <c r="O311" s="75" t="str">
        <f>IFERROR(O267,"")</f>
        <v>2Q22</v>
      </c>
      <c r="P311" s="75" t="str">
        <f>IFERROR(P267,"")</f>
        <v>3Q22</v>
      </c>
      <c r="Q311" s="75" t="str">
        <f>IFERROR(Q267,"")</f>
        <v>4Q22</v>
      </c>
      <c r="R311" s="75">
        <f>IFERROR(R267,"")</f>
        <v>2022</v>
      </c>
      <c r="S311" s="75" t="str">
        <f>IFERROR(S267,"")</f>
        <v>1Q23</v>
      </c>
      <c r="T311" s="75" t="str">
        <f>IFERROR(T267,"")</f>
        <v>2Q23</v>
      </c>
      <c r="U311" s="75" t="str">
        <f>IFERROR(U267,"")</f>
        <v>3Q23</v>
      </c>
      <c r="V311" s="75" t="str">
        <f>IFERROR(V267,"")</f>
        <v>4Q23</v>
      </c>
      <c r="W311" s="75">
        <f>IFERROR(W267,"")</f>
        <v>2023</v>
      </c>
      <c r="X311" s="75" t="str">
        <f>IFERROR(X267,"")</f>
        <v>1Q24</v>
      </c>
      <c r="Y311" s="75" t="str">
        <f>IFERROR(Y267,"")</f>
        <v>2Q24</v>
      </c>
      <c r="Z311" s="75" t="str">
        <f>IFERROR(Z267,"")</f>
        <v>3Q24</v>
      </c>
      <c r="AA311" s="75" t="str">
        <f>IFERROR(AA267,"")</f>
        <v>4Q24</v>
      </c>
      <c r="AB311" s="75">
        <f>IFERROR(AB267,"")</f>
        <v>2024</v>
      </c>
      <c r="AC311" s="75" t="str">
        <f>IFERROR(AC267,"")</f>
        <v>1Q25</v>
      </c>
      <c r="AD311" s="75" t="str">
        <f>IFERROR(AD267,"")</f>
        <v>2Q25</v>
      </c>
      <c r="AE311" s="75" t="str">
        <f>IFERROR(AE267,"")</f>
        <v>3Q25</v>
      </c>
      <c r="AF311" s="75" t="str">
        <f>IFERROR(AF267,"")</f>
        <v>4Q25</v>
      </c>
      <c r="AG311" s="75">
        <f>IFERROR(AG267,"")</f>
        <v>2025</v>
      </c>
      <c r="AH311" s="75" t="str">
        <f>IFERROR(AH267,"")</f>
        <v>1Q26</v>
      </c>
      <c r="AI311" s="75" t="str">
        <f>IFERROR(AI267,"")</f>
        <v>2Q26</v>
      </c>
      <c r="AJ311" s="75" t="str">
        <f>IFERROR(AJ267,"")</f>
        <v>3Q26</v>
      </c>
      <c r="AK311" s="75" t="str">
        <f>IFERROR(AK267,"")</f>
        <v>4Q26</v>
      </c>
      <c r="AL311" s="75">
        <f>IFERROR(AL267,"")</f>
        <v>2026</v>
      </c>
      <c r="AM311" s="75" t="str">
        <f>IFERROR(AM267,"")</f>
        <v>1Q27</v>
      </c>
      <c r="AN311" s="75" t="str">
        <f>IFERROR(AN267,"")</f>
        <v>2Q27</v>
      </c>
      <c r="AO311" s="75" t="str">
        <f>IFERROR(AO267,"")</f>
        <v>3Q27</v>
      </c>
      <c r="AP311" s="75" t="str">
        <f>IFERROR(AP267,"")</f>
        <v>4Q27</v>
      </c>
      <c r="AQ311" s="75">
        <f>IFERROR(AQ267,"")</f>
        <v>2027</v>
      </c>
      <c r="AR311" s="75" t="str">
        <f>IFERROR(AR267,"")</f>
        <v>1Q28</v>
      </c>
      <c r="AS311" s="75" t="str">
        <f>IFERROR(AS267,"")</f>
        <v>2Q28</v>
      </c>
      <c r="AT311" s="75" t="str">
        <f>IFERROR(AT267,"")</f>
        <v>3Q28</v>
      </c>
      <c r="AU311" s="75" t="str">
        <f>IFERROR(AU267,"")</f>
        <v>4Q28</v>
      </c>
      <c r="AV311" s="75">
        <f>IFERROR(AV267,"")</f>
        <v>2028</v>
      </c>
      <c r="AW311" s="75" t="str">
        <f>IFERROR(AW267,"")</f>
        <v>1Q29</v>
      </c>
      <c r="AX311" s="75" t="str">
        <f>IFERROR(AX267,"")</f>
        <v>2Q29</v>
      </c>
      <c r="AY311" s="75" t="str">
        <f>IFERROR(AY267,"")</f>
        <v>3Q29</v>
      </c>
      <c r="AZ311" s="75" t="str">
        <f>IFERROR(AZ267,"")</f>
        <v>4Q29</v>
      </c>
      <c r="BA311" s="75">
        <f>IFERROR(BA267,"")</f>
        <v>2029</v>
      </c>
      <c r="BB311" s="75" t="str">
        <f>IFERROR(BB267,"")</f>
        <v>1Q30</v>
      </c>
      <c r="BC311" s="75" t="str">
        <f>IFERROR(BC267,"")</f>
        <v>2Q30</v>
      </c>
      <c r="BD311" s="75" t="str">
        <f>IFERROR(BD267,"")</f>
        <v>3Q30</v>
      </c>
      <c r="BE311" s="75" t="str">
        <f>IFERROR(BE267,"")</f>
        <v>4Q30</v>
      </c>
      <c r="BF311" s="75">
        <f>IFERROR(BF267,"")</f>
        <v>2030</v>
      </c>
      <c r="BG311" s="75" t="n"/>
      <c r="BH311" s="75" t="n"/>
      <c r="BI311" s="75" t="n"/>
      <c r="BJ311" s="75" t="n"/>
      <c r="BK311" s="75" t="n"/>
      <c r="BL311" s="75" t="n"/>
      <c r="BM311" s="75" t="n"/>
      <c r="BN311" s="75" t="n"/>
      <c r="BO311" s="75" t="n"/>
      <c r="BP311" s="75" t="n"/>
      <c r="BQ311" s="75" t="n"/>
      <c r="BR311" s="75" t="n"/>
      <c r="BS311" s="75" t="n"/>
      <c r="BT311" s="75" t="n"/>
      <c r="BU311" s="75" t="n"/>
      <c r="BV311" s="75" t="n"/>
      <c r="BW311" s="75" t="n"/>
      <c r="BX311" s="75" t="n"/>
      <c r="BY311" s="75" t="n"/>
      <c r="BZ311" s="75" t="n"/>
      <c r="CA311" s="75" t="n"/>
      <c r="CB311" s="75" t="n"/>
      <c r="CC311" s="75" t="n"/>
      <c r="CD311" s="75" t="n"/>
      <c r="CE311" s="75" t="n"/>
      <c r="CF311" s="75" t="n"/>
      <c r="CG311" s="75" t="n"/>
      <c r="CH311" s="75" t="n"/>
      <c r="CI311" s="75" t="n"/>
      <c r="CJ311" s="75" t="n"/>
      <c r="CK311" s="75" t="n"/>
      <c r="CL311" s="75" t="n"/>
      <c r="CM311" s="75" t="n"/>
      <c r="CN311" s="75" t="n"/>
      <c r="CO311" s="75" t="n"/>
      <c r="CP311" s="75" t="n"/>
      <c r="CQ311" s="75" t="n"/>
      <c r="CR311" s="75" t="n"/>
      <c r="CS311" s="75" t="n"/>
      <c r="CT311" s="75" t="n"/>
      <c r="CU311" s="75" t="n"/>
      <c r="CV311" s="75" t="n"/>
      <c r="CW311" s="75" t="n"/>
      <c r="CX311" s="75" t="n"/>
      <c r="CY311" s="75" t="n"/>
    </row>
    <row r="312" customFormat="1" s="77">
      <c r="A312" s="76" t="n"/>
      <c r="B312" s="76" t="n"/>
      <c r="C312" s="74" t="inlineStr">
        <is>
          <t>GROWTH &amp; MARGINS</t>
        </is>
      </c>
    </row>
    <row r="313" customFormat="1" s="77">
      <c r="A313" s="76" t="n"/>
      <c r="B313" s="76" t="n"/>
      <c r="C313" s="77" t="inlineStr">
        <is>
          <t>NET REVENUE GROWTH (YoY)</t>
        </is>
      </c>
      <c r="E313" s="78" t="str">
        <f>IFERROR(E15/D15-1,"")</f>
        <v/>
      </c>
      <c r="F313" s="78" t="str">
        <f>IFERROR(F15/E15-1,"")</f>
        <v/>
      </c>
      <c r="G313" s="78" t="str">
        <f>IFERROR(G15/F15-1,"")</f>
        <v/>
      </c>
      <c r="H313" s="257" t="str">
        <f>""</f>
        <v/>
      </c>
      <c r="I313" s="257" t="str">
        <f>""</f>
        <v/>
      </c>
      <c r="J313" s="257" t="str">
        <f>""</f>
        <v/>
      </c>
      <c r="K313" s="257" t="str">
        <f>""</f>
        <v/>
      </c>
      <c r="L313" s="257" t="str">
        <f>""</f>
        <v/>
      </c>
      <c r="M313" s="257" t="str">
        <f>IFERROR(IF(AND(ISNUMBER(M15),ISNUMBER(H15),H15&lt;&gt;0),M15/H15-1,""),"")</f>
        <v/>
      </c>
      <c r="N313" s="257">
        <f>IFERROR(IF(AND(ISNUMBER(N15),ISNUMBER(I15),I15&lt;&gt;0),N15/I15-1,""),"")</f>
        <v>0.361443298969072</v>
      </c>
      <c r="O313" s="257">
        <f>IFERROR(IF(AND(ISNUMBER(O15),ISNUMBER(J15),J15&lt;&gt;0),O15/J15-1,""),"")</f>
        <v>-0.0577592205984691</v>
      </c>
      <c r="P313" s="257">
        <f>IFERROR(IF(AND(ISNUMBER(P15),ISNUMBER(K15),K15&lt;&gt;0),P15/K15-1,""),"")</f>
        <v>-0.177543975012329</v>
      </c>
      <c r="Q313" s="257">
        <f>IFERROR(IF(AND(ISNUMBER(Q15),ISNUMBER(L15),L15&lt;&gt;0),Q15/L15-1,""),"")</f>
        <v>-0.0658663205710578</v>
      </c>
      <c r="R313" s="257">
        <f>IFERROR(IF(AND(ISNUMBER(R15),ISNUMBER(M15),M15&lt;&gt;0),R15/M15-1,""),"")</f>
        <v>-0.00284526154519593</v>
      </c>
      <c r="S313" s="257">
        <f>IFERROR(IF(AND(ISNUMBER(S15),ISNUMBER(N15),N15&lt;&gt;0),S15/N15-1,""),"")</f>
        <v>-0.183855823110707</v>
      </c>
      <c r="T313" s="257">
        <f>IFERROR(IF(AND(ISNUMBER(T15),ISNUMBER(O15),O15&lt;&gt;0),T15/O15-1,""),"")</f>
        <v>0.0592688330871491</v>
      </c>
      <c r="U313" s="257">
        <f>IFERROR(IF(AND(ISNUMBER(U15),ISNUMBER(P15),P15&lt;&gt;0),U15/P15-1,""),"")</f>
        <v>0.164101539076554</v>
      </c>
      <c r="V313" s="257">
        <f>IFERROR(IF(AND(ISNUMBER(V15),ISNUMBER(Q15),Q15&lt;&gt;0),V15/Q15-1,""),"")</f>
        <v>0.0255296978117401</v>
      </c>
      <c r="W313" s="257">
        <f>IFERROR(IF(AND(ISNUMBER(W15),ISNUMBER(R15),R15&lt;&gt;0),W15/R15-1,""),"")</f>
        <v>0.00329236172080782</v>
      </c>
      <c r="X313" s="257">
        <f>IFERROR(IF(AND(ISNUMBER(X15),ISNUMBER(S15),S15&lt;&gt;0),X15/S15-1,""),"")</f>
        <v>0.172944887734273</v>
      </c>
      <c r="Y313" s="257">
        <f>IFERROR(IF(AND(ISNUMBER(Y15),ISNUMBER(T15),T15&lt;&gt;0),Y15/T15-1,""),"")</f>
        <v>0.154610423566324</v>
      </c>
      <c r="Z313" s="257">
        <f>IFERROR(IF(AND(ISNUMBER(Z15),ISNUMBER(U15),U15&lt;&gt;0),Z15/U15-1,""),"")</f>
        <v>0.165865384615385</v>
      </c>
      <c r="AA313" s="257">
        <f>IFERROR(IF(AND(ISNUMBER(AA15),ISNUMBER(V15),V15&lt;&gt;0),AA15/V15-1,""),"")</f>
        <v>-0.0313293818797629</v>
      </c>
      <c r="AB313" s="257">
        <f>IFERROR(IF(AND(ISNUMBER(AB15),ISNUMBER(W15),W15&lt;&gt;0),AB15/W15-1,""),"")</f>
        <v>0.11376066506235</v>
      </c>
      <c r="AC313" s="257">
        <f>IFERROR(IF(AND(ISNUMBER(AC15),ISNUMBER(X15),X15&lt;&gt;0),AC15/X15-1,""),"")</f>
        <v>-0.0938142698940041</v>
      </c>
      <c r="AD313" s="257">
        <f>IFERROR(IF(AND(ISNUMBER(AD15),ISNUMBER(Y15),Y15&lt;&gt;0),AD15/Y15-1,""),"")</f>
        <v>0.144625603864734</v>
      </c>
      <c r="AE313" s="257">
        <f>IFERROR(IF(AND(ISNUMBER(AE15),ISNUMBER(Z15),Z15&lt;&gt;0),AE15/Z15-1,""),"")</f>
        <v>0.0268041237113401</v>
      </c>
      <c r="AF313" s="257">
        <f>IFERROR(IF(AND(ISNUMBER(AF15),ISNUMBER(AA15),AA15&lt;&gt;0),AF15/AA15-1,""),"")</f>
        <v>-0.0152097902097902</v>
      </c>
      <c r="AG313" s="257">
        <f>IFERROR(IF(AND(ISNUMBER(AG15),ISNUMBER(AB15),AB15&lt;&gt;0),AG15/AB15-1,""),"")</f>
        <v>0.0180711058731093</v>
      </c>
      <c r="AH313" s="257">
        <f>IFERROR(IF(AND(ISNUMBER(AH15),ISNUMBER(AC15),AC15&lt;&gt;0),AH15/AC15-1,""),"")</f>
        <v>0.0883379888268157</v>
      </c>
      <c r="AI313" s="257">
        <f>IFERROR(IF(AND(ISNUMBER(AI15),ISNUMBER(AD15),AD15&lt;&gt;0),AI15/AD15-1,""),"")</f>
        <v>-0.0729359008177262</v>
      </c>
      <c r="AJ313" s="257">
        <f>IFERROR(IF(AND(ISNUMBER(AJ15),ISNUMBER(AE15),AE15&lt;&gt;0),AJ15/AE15-1,""),"")</f>
        <v>0.012967959246895</v>
      </c>
      <c r="AK313" s="257">
        <f>IFERROR(IF(AND(ISNUMBER(AK15),ISNUMBER(AF15),AF15&lt;&gt;0),AK15/AF15-1,""),"")</f>
        <v>0.012967959246895</v>
      </c>
      <c r="AL313" s="257">
        <f>IFERROR(IF(AND(ISNUMBER(AL15),ISNUMBER(AG15),AG15&lt;&gt;0),AL15/AG15-1,""),"")</f>
        <v>0.00449396590033224</v>
      </c>
      <c r="AM313" s="257">
        <f>IFERROR(IF(AND(ISNUMBER(AM15),ISNUMBER(AH15),AH15&lt;&gt;0),AM15/AH15-1,""),"")</f>
        <v>0.012967959246895</v>
      </c>
      <c r="AN313" s="257">
        <f>IFERROR(IF(AND(ISNUMBER(AN15),ISNUMBER(AI15),AI15&lt;&gt;0),AN15/AI15-1,""),"")</f>
        <v>0.012967959246895</v>
      </c>
      <c r="AO313" s="257">
        <f>IFERROR(IF(AND(ISNUMBER(AO15),ISNUMBER(AJ15),AJ15&lt;&gt;0),AO15/AJ15-1,""),"")</f>
        <v>0.012967959246895</v>
      </c>
      <c r="AP313" s="257">
        <f>IFERROR(IF(AND(ISNUMBER(AP15),ISNUMBER(AK15),AK15&lt;&gt;0),AP15/AK15-1,""),"")</f>
        <v>0.012967959246895</v>
      </c>
      <c r="AQ313" s="257">
        <f>IFERROR(IF(AND(ISNUMBER(AQ15),ISNUMBER(AL15),AL15&lt;&gt;0),AQ15/AL15-1,""),"")</f>
        <v>0.012967959246895</v>
      </c>
      <c r="AR313" s="257">
        <f>IFERROR(IF(AND(ISNUMBER(AR15),ISNUMBER(AM15),AM15&lt;&gt;0),AR15/AM15-1,""),"")</f>
        <v>0.00796795924689486</v>
      </c>
      <c r="AS313" s="257">
        <f>IFERROR(IF(AND(ISNUMBER(AS15),ISNUMBER(AN15),AN15&lt;&gt;0),AS15/AN15-1,""),"")</f>
        <v>0.00796795924689486</v>
      </c>
      <c r="AT313" s="257">
        <f>IFERROR(IF(AND(ISNUMBER(AT15),ISNUMBER(AO15),AO15&lt;&gt;0),AT15/AO15-1,""),"")</f>
        <v>0.00796795924689486</v>
      </c>
      <c r="AU313" s="257">
        <f>IFERROR(IF(AND(ISNUMBER(AU15),ISNUMBER(AP15),AP15&lt;&gt;0),AU15/AP15-1,""),"")</f>
        <v>0.00796795924689486</v>
      </c>
      <c r="AV313" s="257">
        <f>IFERROR(IF(AND(ISNUMBER(AV15),ISNUMBER(AQ15),AQ15&lt;&gt;0),AV15/AQ15-1,""),"")</f>
        <v>0.00796795924689486</v>
      </c>
      <c r="AW313" s="257">
        <f>IFERROR(IF(AND(ISNUMBER(AW15),ISNUMBER(AR15),AR15&lt;&gt;0),AW15/AR15-1,""),"")</f>
        <v>0.00296795924689497</v>
      </c>
      <c r="AX313" s="257">
        <f>IFERROR(IF(AND(ISNUMBER(AX15),ISNUMBER(AS15),AS15&lt;&gt;0),AX15/AS15-1,""),"")</f>
        <v>0.00296795924689497</v>
      </c>
      <c r="AY313" s="257">
        <f>IFERROR(IF(AND(ISNUMBER(AY15),ISNUMBER(AT15),AT15&lt;&gt;0),AY15/AT15-1,""),"")</f>
        <v>0.00296795924689497</v>
      </c>
      <c r="AZ313" s="257">
        <f>IFERROR(IF(AND(ISNUMBER(AZ15),ISNUMBER(AU15),AU15&lt;&gt;0),AZ15/AU15-1,""),"")</f>
        <v>0.00296795924689497</v>
      </c>
      <c r="BA313" s="257">
        <f>IFERROR(IF(AND(ISNUMBER(BA15),ISNUMBER(AV15),AV15&lt;&gt;0),BA15/AV15-1,""),"")</f>
        <v>0.00296795924689497</v>
      </c>
      <c r="BB313" s="257">
        <f>IFERROR(IF(AND(ISNUMBER(BB15),ISNUMBER(AW15),AW15&lt;&gt;0),BB15/AW15-1,""),"")</f>
        <v>0</v>
      </c>
      <c r="BC313" s="257">
        <f>IFERROR(IF(AND(ISNUMBER(BC15),ISNUMBER(AX15),AX15&lt;&gt;0),BC15/AX15-1,""),"")</f>
        <v>0</v>
      </c>
      <c r="BD313" s="257">
        <f>IFERROR(IF(AND(ISNUMBER(BD15),ISNUMBER(AY15),AY15&lt;&gt;0),BD15/AY15-1,""),"")</f>
        <v>0</v>
      </c>
      <c r="BE313" s="257">
        <f>IFERROR(IF(AND(ISNUMBER(BE15),ISNUMBER(AZ15),AZ15&lt;&gt;0),BE15/AZ15-1,""),"")</f>
        <v>0</v>
      </c>
      <c r="BF313" s="257">
        <f>IFERROR(IF(AND(ISNUMBER(BF15),ISNUMBER(BA15),BA15&lt;&gt;0),BF15/BA15-1,""),"")</f>
        <v>0</v>
      </c>
      <c r="BG313" s="79" t="n"/>
      <c r="BH313" s="79" t="n"/>
      <c r="BI313" s="79" t="n"/>
      <c r="BJ313" s="79" t="n"/>
      <c r="BK313" s="78" t="n"/>
      <c r="BL313" s="79" t="n"/>
      <c r="BM313" s="79" t="n"/>
      <c r="BN313" s="79" t="n"/>
      <c r="BO313" s="79" t="n"/>
      <c r="BP313" s="78" t="n"/>
      <c r="BQ313" s="79" t="n"/>
      <c r="BR313" s="79" t="n"/>
      <c r="BS313" s="79" t="n"/>
      <c r="BT313" s="79" t="n"/>
      <c r="BU313" s="78" t="n"/>
      <c r="BV313" s="79" t="n"/>
      <c r="BW313" s="79" t="n"/>
      <c r="BX313" s="79" t="n"/>
      <c r="BY313" s="79" t="n"/>
      <c r="BZ313" s="78" t="n"/>
      <c r="CA313" s="79" t="n"/>
      <c r="CB313" s="79" t="n"/>
      <c r="CC313" s="79" t="n"/>
      <c r="CD313" s="79" t="n"/>
      <c r="CE313" s="78" t="n"/>
      <c r="CF313" s="79" t="n"/>
      <c r="CG313" s="79" t="n"/>
      <c r="CH313" s="79" t="n"/>
      <c r="CI313" s="79" t="n"/>
      <c r="CJ313" s="78" t="n"/>
      <c r="CK313" s="79" t="n"/>
      <c r="CL313" s="79" t="n"/>
      <c r="CM313" s="79" t="n"/>
      <c r="CN313" s="79" t="n"/>
      <c r="CO313" s="78" t="n"/>
      <c r="CP313" s="79" t="n"/>
      <c r="CQ313" s="79" t="n"/>
      <c r="CR313" s="79" t="n"/>
      <c r="CS313" s="79" t="n"/>
      <c r="CT313" s="78" t="n"/>
      <c r="CU313" s="79" t="n"/>
      <c r="CV313" s="79" t="n"/>
      <c r="CW313" s="79" t="n"/>
      <c r="CX313" s="79" t="n"/>
      <c r="CY313" s="78" t="n"/>
    </row>
    <row r="314" customFormat="1" s="77">
      <c r="A314" s="76" t="n"/>
      <c r="B314" s="76" t="n"/>
      <c r="C314" s="77" t="inlineStr">
        <is>
          <t>GROSS MARGIN</t>
        </is>
      </c>
      <c r="D314" s="79" t="str">
        <f>IFERROR(SUM(D15,D46)/D15,"")</f>
        <v/>
      </c>
      <c r="E314" s="79" t="str">
        <f>IFERROR(SUM(E15,E46)/E15,"")</f>
        <v/>
      </c>
      <c r="F314" s="79" t="str">
        <f>IFERROR(SUM(F15,F46)/F15,"")</f>
        <v/>
      </c>
      <c r="G314" s="79" t="str">
        <f>IFERROR(SUM(G15,G46)/G15,"")</f>
        <v/>
      </c>
      <c r="H314" s="258" t="str">
        <f>IFERROR(IF(N(H15)&lt;&gt;0,(H15+H46)/H15,""),"")</f>
        <v/>
      </c>
      <c r="I314" s="258">
        <f>IFERROR(IF(N(I15)&lt;&gt;0,(I15+I46)/I15,""),"")</f>
        <v>0.425360824742268</v>
      </c>
      <c r="J314" s="258">
        <f>IFERROR(IF(N(J15)&lt;&gt;0,(J15+J46)/J15,""),"")</f>
        <v>0.466423103688239</v>
      </c>
      <c r="K314" s="258">
        <f>IFERROR(IF(N(K15)&lt;&gt;0,(K15+K46)/K15,""),"")</f>
        <v>0.503041262534933</v>
      </c>
      <c r="L314" s="258">
        <f>IFERROR(IF(N(L15)&lt;&gt;0,(L15+L46)/L15,""),"")</f>
        <v>0.488157040882544</v>
      </c>
      <c r="M314" s="258">
        <f>IFERROR(IF(N(M15)&lt;&gt;0,(M15+M46)/M15,""),"")</f>
        <v>0.473320201356971</v>
      </c>
      <c r="N314" s="258">
        <f>IFERROR(IF(N(N15)&lt;&gt;0,(N15+N46)/N15,""),"")</f>
        <v>0.522944116310768</v>
      </c>
      <c r="O314" s="258">
        <f>IFERROR(IF(N(O15)&lt;&gt;0,(O15+O46)/O15,""),"")</f>
        <v>0.442208271787297</v>
      </c>
      <c r="P314" s="258">
        <f>IFERROR(IF(N(P15)&lt;&gt;0,(P15+P46)/P15,""),"")</f>
        <v>0.322206675994403</v>
      </c>
      <c r="Q314" s="258">
        <f>IFERROR(IF(N(Q15)&lt;&gt;0,(Q15+Q46)/Q15,""),"")</f>
        <v>0.390760680791942</v>
      </c>
      <c r="R314" s="258">
        <f>IFERROR(IF(N(R15)&lt;&gt;0,(R15+R46)/R15,""),"")</f>
        <v>0.426251097453907</v>
      </c>
      <c r="S314" s="258">
        <f>IFERROR(IF(N(S15)&lt;&gt;0,(S15+S46)/S15,""),"")</f>
        <v>0.412692521803674</v>
      </c>
      <c r="T314" s="258">
        <f>IFERROR(IF(N(T15)&lt;&gt;0,(T15+T46)/T15,""),"")</f>
        <v>0.381383998605543</v>
      </c>
      <c r="U314" s="258">
        <f>IFERROR(IF(N(U15)&lt;&gt;0,(U15+U46)/U15,""),"")</f>
        <v>0.389938186813187</v>
      </c>
      <c r="V314" s="258">
        <f>IFERROR(IF(N(V15)&lt;&gt;0,(V15+V46)/V15,""),"")</f>
        <v>0.430990685859441</v>
      </c>
      <c r="W314" s="258">
        <f>IFERROR(IF(N(W15)&lt;&gt;0,(W15+W46)/W15,""),"")</f>
        <v>0.403762852767447</v>
      </c>
      <c r="X314" s="258">
        <f>IFERROR(IF(N(X15)&lt;&gt;0,(X15+X46)/X15,""),"")</f>
        <v>0.39186837525708</v>
      </c>
      <c r="Y314" s="258">
        <f>IFERROR(IF(N(Y15)&lt;&gt;0,(Y15+Y46)/Y15,""),"")</f>
        <v>0.415006038647343</v>
      </c>
      <c r="Z314" s="258">
        <f>IFERROR(IF(N(Z15)&lt;&gt;0,(Z15+Z46)/Z15,""),"")</f>
        <v>0.399558173784978</v>
      </c>
      <c r="AA314" s="258">
        <f>IFERROR(IF(N(AA15)&lt;&gt;0,(AA15+AA46)/AA15,""),"")</f>
        <v>0.343006993006993</v>
      </c>
      <c r="AB314" s="258">
        <f>IFERROR(IF(N(AB15)&lt;&gt;0,(AB15+AB46)/AB15,""),"")</f>
        <v>0.388960911412296</v>
      </c>
      <c r="AC314" s="258">
        <f>IFERROR(IF(N(AC15)&lt;&gt;0,(AC15+AC46)/AC15,""),"")</f>
        <v>0.34427374301676</v>
      </c>
      <c r="AD314" s="258">
        <f>IFERROR(IF(N(AD15)&lt;&gt;0,(AD15+AD46)/AD15,""),"")</f>
        <v>0.435241361118438</v>
      </c>
      <c r="AE314" s="258">
        <f>IFERROR(IF(N(AE15)&lt;&gt;0,(AE15+AE46)/AE15,""),"")</f>
        <v>0.396873207114171</v>
      </c>
      <c r="AF314" s="258">
        <f>IFERROR(IF(N(AF15)&lt;&gt;0,(AF15+AF46)/AF15,""),"")</f>
        <v>0.266642996627019</v>
      </c>
      <c r="AG314" s="258">
        <f>IFERROR(IF(N(AG15)&lt;&gt;0,(AG15+AG46)/AG15,""),"")</f>
        <v>0.368165155315454</v>
      </c>
      <c r="AH314" s="258">
        <f>IFERROR(IF(N(AH15)&lt;&gt;0,(AH15+AH46)/AH15,""),"")</f>
        <v>0.347930702598653</v>
      </c>
      <c r="AI314" s="258">
        <f>IFERROR(IF(N(AI15)&lt;&gt;0,(AI15+AI46)/AI15,""),"")</f>
        <v>0.385403329065301</v>
      </c>
      <c r="AJ314" s="258">
        <f>IFERROR(IF(N(AJ15)&lt;&gt;0,(AJ15+AJ46)/AJ15,""),"")</f>
        <v>0.362727556590057</v>
      </c>
      <c r="AK314" s="258">
        <f>IFERROR(IF(N(AK15)&lt;&gt;0,(AK15+AK46)/AK15,""),"")</f>
        <v>0.362727556590057</v>
      </c>
      <c r="AL314" s="258">
        <f>IFERROR(IF(N(AL15)&lt;&gt;0,(AL15+AL46)/AL15,""),"")</f>
        <v>0.365306913031875</v>
      </c>
      <c r="AM314" s="258">
        <f>IFERROR(IF(N(AM15)&lt;&gt;0,(AM15+AM46)/AM15,""),"")</f>
        <v>0.362727556590057</v>
      </c>
      <c r="AN314" s="258">
        <f>IFERROR(IF(N(AN15)&lt;&gt;0,(AN15+AN46)/AN15,""),"")</f>
        <v>0.362727556590057</v>
      </c>
      <c r="AO314" s="258">
        <f>IFERROR(IF(N(AO15)&lt;&gt;0,(AO15+AO46)/AO15,""),"")</f>
        <v>0.362727556590057</v>
      </c>
      <c r="AP314" s="258">
        <f>IFERROR(IF(N(AP15)&lt;&gt;0,(AP15+AP46)/AP15,""),"")</f>
        <v>0.362727556590057</v>
      </c>
      <c r="AQ314" s="258">
        <f>IFERROR(IF(N(AQ15)&lt;&gt;0,(AQ15+AQ46)/AQ15,""),"")</f>
        <v>0.362727556590057</v>
      </c>
      <c r="AR314" s="258">
        <f>IFERROR(IF(N(AR15)&lt;&gt;0,(AR15+AR46)/AR15,""),"")</f>
        <v>0.362727556590057</v>
      </c>
      <c r="AS314" s="258">
        <f>IFERROR(IF(N(AS15)&lt;&gt;0,(AS15+AS46)/AS15,""),"")</f>
        <v>0.362727556590057</v>
      </c>
      <c r="AT314" s="258">
        <f>IFERROR(IF(N(AT15)&lt;&gt;0,(AT15+AT46)/AT15,""),"")</f>
        <v>0.362727556590057</v>
      </c>
      <c r="AU314" s="258">
        <f>IFERROR(IF(N(AU15)&lt;&gt;0,(AU15+AU46)/AU15,""),"")</f>
        <v>0.362727556590057</v>
      </c>
      <c r="AV314" s="258">
        <f>IFERROR(IF(N(AV15)&lt;&gt;0,(AV15+AV46)/AV15,""),"")</f>
        <v>0.362727556590057</v>
      </c>
      <c r="AW314" s="258">
        <f>IFERROR(IF(N(AW15)&lt;&gt;0,(AW15+AW46)/AW15,""),"")</f>
        <v>0.362727556590057</v>
      </c>
      <c r="AX314" s="258">
        <f>IFERROR(IF(N(AX15)&lt;&gt;0,(AX15+AX46)/AX15,""),"")</f>
        <v>0.362727556590057</v>
      </c>
      <c r="AY314" s="258">
        <f>IFERROR(IF(N(AY15)&lt;&gt;0,(AY15+AY46)/AY15,""),"")</f>
        <v>0.362727556590057</v>
      </c>
      <c r="AZ314" s="258">
        <f>IFERROR(IF(N(AZ15)&lt;&gt;0,(AZ15+AZ46)/AZ15,""),"")</f>
        <v>0.362727556590057</v>
      </c>
      <c r="BA314" s="258">
        <f>IFERROR(IF(N(BA15)&lt;&gt;0,(BA15+BA46)/BA15,""),"")</f>
        <v>0.362727556590057</v>
      </c>
      <c r="BB314" s="258">
        <f>IFERROR(IF(N(BB15)&lt;&gt;0,(BB15+BB46)/BB15,""),"")</f>
        <v>0.362727556590057</v>
      </c>
      <c r="BC314" s="258">
        <f>IFERROR(IF(N(BC15)&lt;&gt;0,(BC15+BC46)/BC15,""),"")</f>
        <v>0.362727556590057</v>
      </c>
      <c r="BD314" s="258">
        <f>IFERROR(IF(N(BD15)&lt;&gt;0,(BD15+BD46)/BD15,""),"")</f>
        <v>0.362727556590057</v>
      </c>
      <c r="BE314" s="258">
        <f>IFERROR(IF(N(BE15)&lt;&gt;0,(BE15+BE46)/BE15,""),"")</f>
        <v>0.362727556590057</v>
      </c>
      <c r="BF314" s="258">
        <f>IFERROR(IF(N(BF15)&lt;&gt;0,(BF15+BF46)/BF15,""),"")</f>
        <v>0.362727556590057</v>
      </c>
      <c r="BG314" s="80" t="n"/>
      <c r="BH314" s="80" t="n"/>
      <c r="BI314" s="80" t="n"/>
      <c r="BJ314" s="80" t="n"/>
      <c r="BL314" s="80" t="n"/>
      <c r="BM314" s="80" t="n"/>
      <c r="BN314" s="80" t="n"/>
      <c r="BO314" s="80" t="n"/>
      <c r="BQ314" s="80" t="n"/>
      <c r="BR314" s="80" t="n"/>
      <c r="BS314" s="80" t="n"/>
      <c r="BT314" s="80" t="n"/>
      <c r="BV314" s="80" t="n"/>
      <c r="BW314" s="80" t="n"/>
      <c r="BX314" s="80" t="n"/>
      <c r="BY314" s="80" t="n"/>
      <c r="CA314" s="80" t="n"/>
      <c r="CB314" s="80" t="n"/>
      <c r="CC314" s="80" t="n"/>
      <c r="CD314" s="80" t="n"/>
      <c r="CF314" s="80" t="n"/>
      <c r="CG314" s="80" t="n"/>
      <c r="CH314" s="80" t="n"/>
      <c r="CI314" s="80" t="n"/>
      <c r="CK314" s="80" t="n"/>
      <c r="CL314" s="80" t="n"/>
      <c r="CM314" s="80" t="n"/>
      <c r="CN314" s="80" t="n"/>
      <c r="CP314" s="80" t="n"/>
      <c r="CQ314" s="80" t="n"/>
      <c r="CR314" s="80" t="n"/>
      <c r="CS314" s="80" t="n"/>
      <c r="CU314" s="80" t="n"/>
      <c r="CV314" s="80" t="n"/>
      <c r="CW314" s="80" t="n"/>
      <c r="CX314" s="80" t="n"/>
    </row>
    <row r="315" customFormat="1" s="77">
      <c r="A315" s="76" t="n"/>
      <c r="B315" s="76" t="n"/>
      <c r="C315" s="77" t="inlineStr">
        <is>
          <t>EBIT MARGIN</t>
        </is>
      </c>
      <c r="D315" s="78" t="str">
        <f>IFERROR((D65/D15),"")</f>
        <v/>
      </c>
      <c r="E315" s="78" t="str">
        <f>IFERROR((E65/E15),"")</f>
        <v/>
      </c>
      <c r="F315" s="78" t="str">
        <f>IFERROR((F65/F15),"")</f>
        <v/>
      </c>
      <c r="G315" s="78" t="str">
        <f>IFERROR((G65/G15),"")</f>
        <v/>
      </c>
      <c r="H315" s="258" t="str">
        <f>IFERROR(IF(N(H15)&lt;&gt;0,H65/H15,""),"")</f>
        <v/>
      </c>
      <c r="I315" s="257">
        <f>IFERROR(IF(N(I15)&lt;&gt;0,I65/I15,""),"")</f>
        <v>0.315876288659794</v>
      </c>
      <c r="J315" s="257">
        <f>IFERROR(IF(N(J15)&lt;&gt;0,J65/J15,""),"")</f>
        <v>0.359603340292276</v>
      </c>
      <c r="K315" s="257">
        <f>IFERROR(IF(N(K15)&lt;&gt;0,K65/K15,""),"")</f>
        <v>0.404734506000329</v>
      </c>
      <c r="L315" s="257">
        <f>IFERROR(IF(N(L15)&lt;&gt;0,L65/L15,""),"")</f>
        <v>0.373945489941596</v>
      </c>
      <c r="M315" s="258">
        <f>IFERROR(IF(N(M15)&lt;&gt;0,M65/M15,""),"")</f>
        <v>0.366207047493981</v>
      </c>
      <c r="N315" s="257">
        <f>IFERROR(IF(N(N15)&lt;&gt;0,N65/N15,""),"")</f>
        <v>0.425412691200969</v>
      </c>
      <c r="O315" s="257">
        <f>IFERROR(IF(N(O15)&lt;&gt;0,O65/O15,""),"")</f>
        <v>0.320531757754801</v>
      </c>
      <c r="P315" s="257">
        <f>IFERROR(IF(N(P15)&lt;&gt;0,P65/P15,""),"")</f>
        <v>0.192284629222467</v>
      </c>
      <c r="Q315" s="257">
        <f>IFERROR(IF(N(Q15)&lt;&gt;0,Q65/Q15,""),"")</f>
        <v>0.26571726293852</v>
      </c>
      <c r="R315" s="258">
        <f>IFERROR(IF(N(R15)&lt;&gt;0,R65/R15,""),"")</f>
        <v>0.30891132572432</v>
      </c>
      <c r="S315" s="257">
        <f>IFERROR(IF(N(S15)&lt;&gt;0,S65/S15,""),"")</f>
        <v>0.297086658007051</v>
      </c>
      <c r="T315" s="257">
        <f>IFERROR(IF(N(T15)&lt;&gt;0,T65/T15,""),"")</f>
        <v>0.245773052117832</v>
      </c>
      <c r="U315" s="257">
        <f>IFERROR(IF(N(U15)&lt;&gt;0,U65/U15,""),"")</f>
        <v>0.256181318681319</v>
      </c>
      <c r="V315" s="257">
        <f>IFERROR(IF(N(V15)&lt;&gt;0,V65/V15,""),"")</f>
        <v>0.291617273497036</v>
      </c>
      <c r="W315" s="258">
        <f>IFERROR(IF(N(W15)&lt;&gt;0,W65/W15,""),"")</f>
        <v>0.272369284620433</v>
      </c>
      <c r="X315" s="257">
        <f>IFERROR(IF(N(X15)&lt;&gt;0,X65/X15,""),"")</f>
        <v>0.258503401360544</v>
      </c>
      <c r="Y315" s="257">
        <f>IFERROR(IF(N(Y15)&lt;&gt;0,Y65/Y15,""),"")</f>
        <v>0.309329710144928</v>
      </c>
      <c r="Z315" s="257">
        <f>IFERROR(IF(N(Z15)&lt;&gt;0,Z65/Z15,""),"")</f>
        <v>0.285419734904271</v>
      </c>
      <c r="AA315" s="257">
        <f>IFERROR(IF(N(AA15)&lt;&gt;0,AA65/AA15,""),"")</f>
        <v>0.217307692307692</v>
      </c>
      <c r="AB315" s="258">
        <f>IFERROR(IF(N(AB15)&lt;&gt;0,AB65/AB15,""),"")</f>
        <v>0.269652327637007</v>
      </c>
      <c r="AC315" s="257">
        <f>IFERROR(IF(N(AC15)&lt;&gt;0,AC65/AC15,""),"")</f>
        <v>0.22747905027933</v>
      </c>
      <c r="AD315" s="257">
        <f>IFERROR(IF(N(AD15)&lt;&gt;0,AD65/AD15,""),"")</f>
        <v>0.320759694012134</v>
      </c>
      <c r="AE315" s="257">
        <f>IFERROR(IF(N(AE15)&lt;&gt;0,AE65/AE15,""),"")</f>
        <v>0.282845668387837</v>
      </c>
      <c r="AF315" s="257">
        <f>IFERROR(IF(N(AF15)&lt;&gt;0,AF65/AF15,""),"")</f>
        <v>0.143973016154802</v>
      </c>
      <c r="AG315" s="258">
        <f>IFERROR(IF(N(AG15)&lt;&gt;0,AG65/AG15,""),"")</f>
        <v>0.251514566853174</v>
      </c>
      <c r="AH315" s="257">
        <f>IFERROR(IF(N(AH15)&lt;&gt;0,AH65/AH15,""),"")</f>
        <v>0.342797561758101</v>
      </c>
      <c r="AI315" s="257">
        <f>IFERROR(IF(N(AI15)&lt;&gt;0,AI65/AI15,""),"")</f>
        <v>0.284962299046806</v>
      </c>
      <c r="AJ315" s="257">
        <f>IFERROR(IF(N(AJ15)&lt;&gt;0,AJ65/AJ15,""),"")</f>
        <v>0.267136214939835</v>
      </c>
      <c r="AK315" s="257">
        <f>IFERROR(IF(N(AK15)&lt;&gt;0,AK65/AK15,""),"")</f>
        <v>0.267136214939835</v>
      </c>
      <c r="AL315" s="258">
        <f>IFERROR(IF(N(AL15)&lt;&gt;0,AL65/AL15,""),"")</f>
        <v>0.29006894154924</v>
      </c>
      <c r="AM315" s="257">
        <f>IFERROR(IF(N(AM15)&lt;&gt;0,AM65/AM15,""),"")</f>
        <v>0.267136214939835</v>
      </c>
      <c r="AN315" s="257">
        <f>IFERROR(IF(N(AN15)&lt;&gt;0,AN65/AN15,""),"")</f>
        <v>0.267136214939835</v>
      </c>
      <c r="AO315" s="257">
        <f>IFERROR(IF(N(AO15)&lt;&gt;0,AO65/AO15,""),"")</f>
        <v>0.267136214939835</v>
      </c>
      <c r="AP315" s="257">
        <f>IFERROR(IF(N(AP15)&lt;&gt;0,AP65/AP15,""),"")</f>
        <v>0.267136214939835</v>
      </c>
      <c r="AQ315" s="258">
        <f>IFERROR(IF(N(AQ15)&lt;&gt;0,AQ65/AQ15,""),"")</f>
        <v>0.267136214939835</v>
      </c>
      <c r="AR315" s="257">
        <f>IFERROR(IF(N(AR15)&lt;&gt;0,AR65/AR15,""),"")</f>
        <v>0.267136214939835</v>
      </c>
      <c r="AS315" s="257">
        <f>IFERROR(IF(N(AS15)&lt;&gt;0,AS65/AS15,""),"")</f>
        <v>0.267136214939835</v>
      </c>
      <c r="AT315" s="257">
        <f>IFERROR(IF(N(AT15)&lt;&gt;0,AT65/AT15,""),"")</f>
        <v>0.267136214939835</v>
      </c>
      <c r="AU315" s="257">
        <f>IFERROR(IF(N(AU15)&lt;&gt;0,AU65/AU15,""),"")</f>
        <v>0.267136214939835</v>
      </c>
      <c r="AV315" s="258">
        <f>IFERROR(IF(N(AV15)&lt;&gt;0,AV65/AV15,""),"")</f>
        <v>0.267136214939835</v>
      </c>
      <c r="AW315" s="257">
        <f>IFERROR(IF(N(AW15)&lt;&gt;0,AW65/AW15,""),"")</f>
        <v>0.267136214939835</v>
      </c>
      <c r="AX315" s="257">
        <f>IFERROR(IF(N(AX15)&lt;&gt;0,AX65/AX15,""),"")</f>
        <v>0.267136214939835</v>
      </c>
      <c r="AY315" s="257">
        <f>IFERROR(IF(N(AY15)&lt;&gt;0,AY65/AY15,""),"")</f>
        <v>0.267136214939835</v>
      </c>
      <c r="AZ315" s="257">
        <f>IFERROR(IF(N(AZ15)&lt;&gt;0,AZ65/AZ15,""),"")</f>
        <v>0.267136214939835</v>
      </c>
      <c r="BA315" s="258">
        <f>IFERROR(IF(N(BA15)&lt;&gt;0,BA65/BA15,""),"")</f>
        <v>0.267136214939835</v>
      </c>
      <c r="BB315" s="257">
        <f>IFERROR(IF(N(BB15)&lt;&gt;0,BB65/BB15,""),"")</f>
        <v>0.267136214939835</v>
      </c>
      <c r="BC315" s="257">
        <f>IFERROR(IF(N(BC15)&lt;&gt;0,BC65/BC15,""),"")</f>
        <v>0.267136214939835</v>
      </c>
      <c r="BD315" s="257">
        <f>IFERROR(IF(N(BD15)&lt;&gt;0,BD65/BD15,""),"")</f>
        <v>0.267136214939835</v>
      </c>
      <c r="BE315" s="257">
        <f>IFERROR(IF(N(BE15)&lt;&gt;0,BE65/BE15,""),"")</f>
        <v>0.267136214939835</v>
      </c>
      <c r="BF315" s="258">
        <f>IFERROR(IF(N(BF15)&lt;&gt;0,BF65/BF15,""),"")</f>
        <v>0.267136214939835</v>
      </c>
      <c r="BG315" s="81" t="n"/>
      <c r="BH315" s="81" t="n"/>
      <c r="BI315" s="81" t="n"/>
      <c r="BJ315" s="81" t="n"/>
      <c r="BL315" s="81" t="n"/>
      <c r="BM315" s="81" t="n"/>
      <c r="BN315" s="81" t="n"/>
      <c r="BO315" s="81" t="n"/>
      <c r="BQ315" s="81" t="n"/>
      <c r="BR315" s="81" t="n"/>
      <c r="BS315" s="81" t="n"/>
      <c r="BT315" s="81" t="n"/>
      <c r="BV315" s="81" t="n"/>
      <c r="BW315" s="81" t="n"/>
      <c r="BX315" s="81" t="n"/>
      <c r="BY315" s="81" t="n"/>
      <c r="CA315" s="81" t="n"/>
      <c r="CB315" s="81" t="n"/>
      <c r="CC315" s="81" t="n"/>
      <c r="CD315" s="81" t="n"/>
      <c r="CF315" s="81" t="n"/>
      <c r="CG315" s="81" t="n"/>
      <c r="CH315" s="81" t="n"/>
      <c r="CI315" s="81" t="n"/>
      <c r="CK315" s="81" t="n"/>
      <c r="CL315" s="81" t="n"/>
      <c r="CM315" s="81" t="n"/>
      <c r="CN315" s="81" t="n"/>
      <c r="CP315" s="81" t="n"/>
      <c r="CQ315" s="81" t="n"/>
      <c r="CR315" s="81" t="n"/>
      <c r="CS315" s="81" t="n"/>
      <c r="CU315" s="81" t="n"/>
      <c r="CV315" s="81" t="n"/>
      <c r="CW315" s="81" t="n"/>
      <c r="CX315" s="81" t="n"/>
    </row>
    <row r="316" customFormat="1" s="77">
      <c r="A316" s="76" t="n"/>
      <c r="B316" s="76" t="n"/>
      <c r="C316" s="77" t="inlineStr">
        <is>
          <t>EBITDA MARGIN</t>
        </is>
      </c>
      <c r="D316" s="78" t="str">
        <f>IFERROR(D61/D15,"")</f>
        <v/>
      </c>
      <c r="E316" s="78" t="str">
        <f>IFERROR(E61/E15,"")</f>
        <v/>
      </c>
      <c r="F316" s="78" t="str">
        <f>IFERROR(F61/F15,"")</f>
        <v/>
      </c>
      <c r="G316" s="78" t="str">
        <f>IFERROR(G61/G15,"")</f>
        <v/>
      </c>
      <c r="H316" s="258" t="str">
        <f>IFERROR(IF(N(H15)&lt;&gt;0,H61/H15,""),"")</f>
        <v/>
      </c>
      <c r="I316" s="257">
        <f>IFERROR(IF(N(I15)&lt;&gt;0,I61/I15,""),"")</f>
        <v>0.402268041237113</v>
      </c>
      <c r="J316" s="257">
        <f>IFERROR(IF(N(J15)&lt;&gt;0,J61/J15,""),"")</f>
        <v>0.443632567849687</v>
      </c>
      <c r="K316" s="257">
        <f>IFERROR(IF(N(K15)&lt;&gt;0,K61/K15,""),"")</f>
        <v>0.491533782673023</v>
      </c>
      <c r="L316" s="257">
        <f>IFERROR(IF(N(L15)&lt;&gt;0,L61/L15,""),"")</f>
        <v>0.466093445814406</v>
      </c>
      <c r="M316" s="258">
        <f>IFERROR(IF(N(M15)&lt;&gt;0,M61/M15,""),"")</f>
        <v>0.453666010067849</v>
      </c>
      <c r="N316" s="257">
        <f>IFERROR(IF(N(N15)&lt;&gt;0,N61/N15,""),"")</f>
        <v>0.499469937907012</v>
      </c>
      <c r="O316" s="257">
        <f>IFERROR(IF(N(O15)&lt;&gt;0,O61/O15,""),"")</f>
        <v>0.414143279172821</v>
      </c>
      <c r="P316" s="257">
        <f>IFERROR(IF(N(P15)&lt;&gt;0,P61/P15,""),"")</f>
        <v>0.293823705776534</v>
      </c>
      <c r="Q316" s="257">
        <f>IFERROR(IF(N(Q15)&lt;&gt;0,Q61/Q15,""),"")</f>
        <v>0.355158040986454</v>
      </c>
      <c r="R316" s="258">
        <f>IFERROR(IF(N(R15)&lt;&gt;0,R61/R15,""),"")</f>
        <v>0.397541703248464</v>
      </c>
      <c r="S316" s="257">
        <f>IFERROR(IF(N(S15)&lt;&gt;0,S61/S15,""),"")</f>
        <v>0.371126368528484</v>
      </c>
      <c r="T316" s="257">
        <f>IFERROR(IF(N(T15)&lt;&gt;0,T61/T15,""),"")</f>
        <v>0.341119051769217</v>
      </c>
      <c r="U316" s="257">
        <f>IFERROR(IF(N(U15)&lt;&gt;0,U61/U15,""),"")</f>
        <v>0.347699175824176</v>
      </c>
      <c r="V316" s="257">
        <f>IFERROR(IF(N(V15)&lt;&gt;0,V61/V15,""),"")</f>
        <v>0.391363251481795</v>
      </c>
      <c r="W316" s="258">
        <f>IFERROR(IF(N(W15)&lt;&gt;0,W61/W15,""),"")</f>
        <v>0.362852767446948</v>
      </c>
      <c r="X316" s="257">
        <f>IFERROR(IF(N(X15)&lt;&gt;0,X61/X15,""),"")</f>
        <v>0.352634076886569</v>
      </c>
      <c r="Y316" s="257">
        <f>IFERROR(IF(N(Y15)&lt;&gt;0,Y61/Y15,""),"")</f>
        <v>0.386171497584541</v>
      </c>
      <c r="Z316" s="257">
        <f>IFERROR(IF(N(Z15)&lt;&gt;0,Z61/Z15,""),"")</f>
        <v>0.373784977908689</v>
      </c>
      <c r="AA316" s="257">
        <f>IFERROR(IF(N(AA15)&lt;&gt;0,AA61/AA15,""),"")</f>
        <v>0.311188811188811</v>
      </c>
      <c r="AB316" s="258">
        <f>IFERROR(IF(N(AB15)&lt;&gt;0,AB61/AB15,""),"")</f>
        <v>0.357690041249263</v>
      </c>
      <c r="AC316" s="257">
        <f>IFERROR(IF(N(AC15)&lt;&gt;0,AC61/AC15,""),"")</f>
        <v>0.308833798882682</v>
      </c>
      <c r="AD316" s="257">
        <f>IFERROR(IF(N(AD15)&lt;&gt;0,AD61/AD15,""),"")</f>
        <v>0.40886309680823</v>
      </c>
      <c r="AE316" s="257">
        <f>IFERROR(IF(N(AE15)&lt;&gt;0,AE61/AE15,""),"")</f>
        <v>0.372489959839357</v>
      </c>
      <c r="AF316" s="257">
        <f>IFERROR(IF(N(AF15)&lt;&gt;0,AF61/AF15,""),"")</f>
        <v>0.230072785371916</v>
      </c>
      <c r="AG316" s="258">
        <f>IFERROR(IF(N(AG15)&lt;&gt;0,AG61/AG15,""),"")</f>
        <v>0.338105344395138</v>
      </c>
      <c r="AH316" s="257">
        <f>IFERROR(IF(N(AH15)&lt;&gt;0,AH61/AH15,""),"")</f>
        <v>0.425248636509464</v>
      </c>
      <c r="AI316" s="257">
        <f>IFERROR(IF(N(AI15)&lt;&gt;0,AI61/AI15,""),"")</f>
        <v>0.359368331199317</v>
      </c>
      <c r="AJ316" s="257">
        <f>IFERROR(IF(N(AJ15)&lt;&gt;0,AJ61/AJ15,""),"")</f>
        <v>0.350812768101828</v>
      </c>
      <c r="AK316" s="257">
        <f>IFERROR(IF(N(AK15)&lt;&gt;0,AK61/AK15,""),"")</f>
        <v>0.350812768101828</v>
      </c>
      <c r="AL316" s="258">
        <f>IFERROR(IF(N(AL15)&lt;&gt;0,AL61/AL15,""),"")</f>
        <v>0.370948797121564</v>
      </c>
      <c r="AM316" s="257">
        <f>IFERROR(IF(N(AM15)&lt;&gt;0,AM61/AM15,""),"")</f>
        <v>0.350812768101828</v>
      </c>
      <c r="AN316" s="257">
        <f>IFERROR(IF(N(AN15)&lt;&gt;0,AN61/AN15,""),"")</f>
        <v>0.350812768101828</v>
      </c>
      <c r="AO316" s="257">
        <f>IFERROR(IF(N(AO15)&lt;&gt;0,AO61/AO15,""),"")</f>
        <v>0.350812768101828</v>
      </c>
      <c r="AP316" s="257">
        <f>IFERROR(IF(N(AP15)&lt;&gt;0,AP61/AP15,""),"")</f>
        <v>0.350812768101828</v>
      </c>
      <c r="AQ316" s="258">
        <f>IFERROR(IF(N(AQ15)&lt;&gt;0,AQ61/AQ15,""),"")</f>
        <v>0.350812768101828</v>
      </c>
      <c r="AR316" s="257">
        <f>IFERROR(IF(N(AR15)&lt;&gt;0,AR61/AR15,""),"")</f>
        <v>0.350812768101828</v>
      </c>
      <c r="AS316" s="257">
        <f>IFERROR(IF(N(AS15)&lt;&gt;0,AS61/AS15,""),"")</f>
        <v>0.350812768101828</v>
      </c>
      <c r="AT316" s="257">
        <f>IFERROR(IF(N(AT15)&lt;&gt;0,AT61/AT15,""),"")</f>
        <v>0.350812768101828</v>
      </c>
      <c r="AU316" s="257">
        <f>IFERROR(IF(N(AU15)&lt;&gt;0,AU61/AU15,""),"")</f>
        <v>0.350812768101828</v>
      </c>
      <c r="AV316" s="258">
        <f>IFERROR(IF(N(AV15)&lt;&gt;0,AV61/AV15,""),"")</f>
        <v>0.350812768101828</v>
      </c>
      <c r="AW316" s="257">
        <f>IFERROR(IF(N(AW15)&lt;&gt;0,AW61/AW15,""),"")</f>
        <v>0.350812768101828</v>
      </c>
      <c r="AX316" s="257">
        <f>IFERROR(IF(N(AX15)&lt;&gt;0,AX61/AX15,""),"")</f>
        <v>0.350812768101828</v>
      </c>
      <c r="AY316" s="257">
        <f>IFERROR(IF(N(AY15)&lt;&gt;0,AY61/AY15,""),"")</f>
        <v>0.350812768101828</v>
      </c>
      <c r="AZ316" s="257">
        <f>IFERROR(IF(N(AZ15)&lt;&gt;0,AZ61/AZ15,""),"")</f>
        <v>0.350812768101828</v>
      </c>
      <c r="BA316" s="258">
        <f>IFERROR(IF(N(BA15)&lt;&gt;0,BA61/BA15,""),"")</f>
        <v>0.350812768101828</v>
      </c>
      <c r="BB316" s="257">
        <f>IFERROR(IF(N(BB15)&lt;&gt;0,BB61/BB15,""),"")</f>
        <v>0.350812768101828</v>
      </c>
      <c r="BC316" s="257">
        <f>IFERROR(IF(N(BC15)&lt;&gt;0,BC61/BC15,""),"")</f>
        <v>0.350812768101828</v>
      </c>
      <c r="BD316" s="257">
        <f>IFERROR(IF(N(BD15)&lt;&gt;0,BD61/BD15,""),"")</f>
        <v>0.350812768101828</v>
      </c>
      <c r="BE316" s="257">
        <f>IFERROR(IF(N(BE15)&lt;&gt;0,BE61/BE15,""),"")</f>
        <v>0.350812768101828</v>
      </c>
      <c r="BF316" s="258">
        <f>IFERROR(IF(N(BF15)&lt;&gt;0,BF61/BF15,""),"")</f>
        <v>0.350812768101828</v>
      </c>
      <c r="BG316" s="81" t="n"/>
      <c r="BH316" s="81" t="n"/>
      <c r="BI316" s="81" t="n"/>
      <c r="BJ316" s="81" t="n"/>
      <c r="BL316" s="81" t="n"/>
      <c r="BM316" s="81" t="n"/>
      <c r="BN316" s="81" t="n"/>
      <c r="BO316" s="81" t="n"/>
      <c r="BQ316" s="81" t="n"/>
      <c r="BR316" s="81" t="n"/>
      <c r="BS316" s="81" t="n"/>
      <c r="BT316" s="81" t="n"/>
      <c r="BV316" s="81" t="n"/>
      <c r="BW316" s="81" t="n"/>
      <c r="BX316" s="81" t="n"/>
      <c r="BY316" s="81" t="n"/>
      <c r="CA316" s="81" t="n"/>
      <c r="CB316" s="81" t="n"/>
      <c r="CC316" s="81" t="n"/>
      <c r="CD316" s="81" t="n"/>
      <c r="CF316" s="81" t="n"/>
      <c r="CG316" s="81" t="n"/>
      <c r="CH316" s="81" t="n"/>
      <c r="CI316" s="81" t="n"/>
      <c r="CK316" s="81" t="n"/>
      <c r="CL316" s="81" t="n"/>
      <c r="CM316" s="81" t="n"/>
      <c r="CN316" s="81" t="n"/>
      <c r="CP316" s="81" t="n"/>
      <c r="CQ316" s="81" t="n"/>
      <c r="CR316" s="81" t="n"/>
      <c r="CS316" s="81" t="n"/>
      <c r="CU316" s="81" t="n"/>
      <c r="CV316" s="81" t="n"/>
      <c r="CW316" s="81" t="n"/>
      <c r="CX316" s="81" t="n"/>
    </row>
    <row r="317" customFormat="1" s="77">
      <c r="A317" s="76" t="n"/>
      <c r="B317" s="76" t="n"/>
      <c r="C317" s="77" t="inlineStr">
        <is>
          <t>ETR</t>
        </is>
      </c>
      <c r="D317" s="78" t="str">
        <f>IFERROR(-D123/D122,"")</f>
        <v/>
      </c>
      <c r="E317" s="78" t="str">
        <f>IFERROR(-E123/E122,"")</f>
        <v/>
      </c>
      <c r="F317" s="78" t="str">
        <f>IFERROR(-F123/F122,"")</f>
        <v/>
      </c>
      <c r="G317" s="78" t="str">
        <f>IFERROR(-G123/G122,"")</f>
        <v/>
      </c>
      <c r="H317" s="258" t="str">
        <f>IFERROR(IF(N(H122)&lt;&gt;0,-H123/H122,""),"")</f>
        <v/>
      </c>
      <c r="I317" s="257">
        <f>IFERROR(IF(N(I122)&lt;&gt;0,-I123/I122,""),"")</f>
        <v>0.316881258941345</v>
      </c>
      <c r="J317" s="257">
        <f>IFERROR(IF(N(J122)&lt;&gt;0,-J123/J122,""),"")</f>
        <v>0.312759336099585</v>
      </c>
      <c r="K317" s="257">
        <f>IFERROR(IF(N(K122)&lt;&gt;0,-K123/K122,""),"")</f>
        <v>0.266101694915254</v>
      </c>
      <c r="L317" s="257">
        <f>IFERROR(IF(N(L122)&lt;&gt;0,-L123/L122,""),"")</f>
        <v>0.316776482513938</v>
      </c>
      <c r="M317" s="258">
        <f>IFERROR(IF(N(M122)&lt;&gt;0,-M123/M122,""),"")</f>
        <v>0.300169734952344</v>
      </c>
      <c r="N317" s="257">
        <f>IFERROR(IF(N(N122)&lt;&gt;0,-N123/N122,""),"")</f>
        <v>0.30372281607077</v>
      </c>
      <c r="O317" s="257">
        <f>IFERROR(IF(N(O122)&lt;&gt;0,-O123/O122,""),"")</f>
        <v>0.357098186366479</v>
      </c>
      <c r="P317" s="257">
        <f>IFERROR(IF(N(P122)&lt;&gt;0,-P123/P122,""),"")</f>
        <v>0.363321799307959</v>
      </c>
      <c r="Q317" s="257">
        <f>IFERROR(IF(N(Q122)&lt;&gt;0,-Q123/Q122,""),"")</f>
        <v>0.362630208333333</v>
      </c>
      <c r="R317" s="258">
        <f>IFERROR(IF(N(R122)&lt;&gt;0,-R123/R122,""),"")</f>
        <v>0.337602382725242</v>
      </c>
      <c r="S317" s="257">
        <f>IFERROR(IF(N(S122)&lt;&gt;0,-S123/S122,""),"")</f>
        <v>0.32444733420026</v>
      </c>
      <c r="T317" s="257">
        <f>IFERROR(IF(N(T122)&lt;&gt;0,-T123/T122,""),"")</f>
        <v>0.425078864353312</v>
      </c>
      <c r="U317" s="257">
        <f>IFERROR(IF(N(U122)&lt;&gt;0,-U123/U122,""),"")</f>
        <v>0.345108695652174</v>
      </c>
      <c r="V317" s="257">
        <f>IFERROR(IF(N(V122)&lt;&gt;0,-V123/V122,""),"")</f>
        <v>0.418981481481481</v>
      </c>
      <c r="W317" s="258">
        <f>IFERROR(IF(N(W122)&lt;&gt;0,-W123/W122,""),"")</f>
        <v>0.377955377955378</v>
      </c>
      <c r="X317" s="257">
        <f>IFERROR(IF(N(X122)&lt;&gt;0,-X123/X122,""),"")</f>
        <v>0.305854241338112</v>
      </c>
      <c r="Y317" s="257">
        <f>IFERROR(IF(N(Y122)&lt;&gt;0,-Y123/Y122,""),"")</f>
        <v>0.371428571428571</v>
      </c>
      <c r="Z317" s="257">
        <f>IFERROR(IF(N(Z122)&lt;&gt;0,-Z123/Z122,""),"")</f>
        <v>0.375445746306673</v>
      </c>
      <c r="AA317" s="257">
        <f>IFERROR(IF(N(AA122)&lt;&gt;0,-AA123/AA122,""),"")</f>
        <v>0.419354838709677</v>
      </c>
      <c r="AB317" s="258">
        <f>IFERROR(IF(N(AB122)&lt;&gt;0,-AB123/AB122,""),"")</f>
        <v>0.365281598378457</v>
      </c>
      <c r="AC317" s="257">
        <f>IFERROR(IF(N(AC122)&lt;&gt;0,-AC123/AC122,""),"")</f>
        <v>0.387296669248645</v>
      </c>
      <c r="AD317" s="257">
        <f>IFERROR(IF(N(AD122)&lt;&gt;0,-AD123/AD122,""),"")</f>
        <v>0.355499790882476</v>
      </c>
      <c r="AE317" s="257">
        <f>IFERROR(IF(N(AE122)&lt;&gt;0,-AE123/AE122,""),"")</f>
        <v>0.347713097713098</v>
      </c>
      <c r="AF317" s="257">
        <f>IFERROR(IF(N(AF122)&lt;&gt;0,-AF123/AF122,""),"")</f>
        <v>0.263707571801567</v>
      </c>
      <c r="AG317" s="258">
        <f>IFERROR(IF(N(AG122)&lt;&gt;0,-AG123/AG122,""),"")</f>
        <v>0.348556183301946</v>
      </c>
      <c r="AH317" s="257">
        <f>IFERROR(IF(N(AH122)&lt;&gt;0,-AH123/AH122,""),"")</f>
        <v>0.321042281219272</v>
      </c>
      <c r="AI317" s="257">
        <f>IFERROR(IF(N(AI122)&lt;&gt;0,-AI123/AI122,""),"")</f>
        <v>0.281865284974093</v>
      </c>
      <c r="AJ317" s="257">
        <f>IFERROR(IF(N(AJ122)&lt;&gt;0,-AJ123/AJ122,""),"")</f>
        <v>0.326187449306525</v>
      </c>
      <c r="AK317" s="257">
        <f>IFERROR(IF(N(AK122)&lt;&gt;0,-AK123/AK122,""),"")</f>
        <v>0.326187449306525</v>
      </c>
      <c r="AL317" s="258">
        <f>IFERROR(IF(N(AL122)&lt;&gt;0,-AL123/AL122,""),"")</f>
        <v>0.31298148368532</v>
      </c>
      <c r="AM317" s="257">
        <f>IFERROR(IF(N(AM122)&lt;&gt;0,-AM123/AM122,""),"")</f>
        <v>0.326187449306525</v>
      </c>
      <c r="AN317" s="257">
        <f>IFERROR(IF(N(AN122)&lt;&gt;0,-AN123/AN122,""),"")</f>
        <v>0.326187449306525</v>
      </c>
      <c r="AO317" s="257">
        <f>IFERROR(IF(N(AO122)&lt;&gt;0,-AO123/AO122,""),"")</f>
        <v>0.326187449306525</v>
      </c>
      <c r="AP317" s="257">
        <f>IFERROR(IF(N(AP122)&lt;&gt;0,-AP123/AP122,""),"")</f>
        <v>0.326187449306525</v>
      </c>
      <c r="AQ317" s="258">
        <f>IFERROR(IF(N(AQ122)&lt;&gt;0,-AQ123/AQ122,""),"")</f>
        <v>0.326187449306525</v>
      </c>
      <c r="AR317" s="257">
        <f>IFERROR(IF(N(AR122)&lt;&gt;0,-AR123/AR122,""),"")</f>
        <v>0.326187449306525</v>
      </c>
      <c r="AS317" s="257">
        <f>IFERROR(IF(N(AS122)&lt;&gt;0,-AS123/AS122,""),"")</f>
        <v>0.326187449306525</v>
      </c>
      <c r="AT317" s="257">
        <f>IFERROR(IF(N(AT122)&lt;&gt;0,-AT123/AT122,""),"")</f>
        <v>0.326187449306525</v>
      </c>
      <c r="AU317" s="257">
        <f>IFERROR(IF(N(AU122)&lt;&gt;0,-AU123/AU122,""),"")</f>
        <v>0.326187449306525</v>
      </c>
      <c r="AV317" s="258">
        <f>IFERROR(IF(N(AV122)&lt;&gt;0,-AV123/AV122,""),"")</f>
        <v>0.326187449306525</v>
      </c>
      <c r="AW317" s="257">
        <f>IFERROR(IF(N(AW122)&lt;&gt;0,-AW123/AW122,""),"")</f>
        <v>0.326187449306525</v>
      </c>
      <c r="AX317" s="257">
        <f>IFERROR(IF(N(AX122)&lt;&gt;0,-AX123/AX122,""),"")</f>
        <v>0.326187449306525</v>
      </c>
      <c r="AY317" s="257">
        <f>IFERROR(IF(N(AY122)&lt;&gt;0,-AY123/AY122,""),"")</f>
        <v>0.326187449306525</v>
      </c>
      <c r="AZ317" s="257">
        <f>IFERROR(IF(N(AZ122)&lt;&gt;0,-AZ123/AZ122,""),"")</f>
        <v>0.326187449306525</v>
      </c>
      <c r="BA317" s="258">
        <f>IFERROR(IF(N(BA122)&lt;&gt;0,-BA123/BA122,""),"")</f>
        <v>0.326187449306525</v>
      </c>
      <c r="BB317" s="257">
        <f>IFERROR(IF(N(BB122)&lt;&gt;0,-BB123/BB122,""),"")</f>
        <v>0.326187449306525</v>
      </c>
      <c r="BC317" s="257">
        <f>IFERROR(IF(N(BC122)&lt;&gt;0,-BC123/BC122,""),"")</f>
        <v>0.326187449306525</v>
      </c>
      <c r="BD317" s="257">
        <f>IFERROR(IF(N(BD122)&lt;&gt;0,-BD123/BD122,""),"")</f>
        <v>0.326187449306525</v>
      </c>
      <c r="BE317" s="257">
        <f>IFERROR(IF(N(BE122)&lt;&gt;0,-BE123/BE122,""),"")</f>
        <v>0.326187449306525</v>
      </c>
      <c r="BF317" s="258">
        <f>IFERROR(IF(N(BF122)&lt;&gt;0,-BF123/BF122,""),"")</f>
        <v>0.326187449306525</v>
      </c>
      <c r="BG317" s="81" t="n"/>
      <c r="BH317" s="81" t="n"/>
      <c r="BI317" s="81" t="n"/>
      <c r="BJ317" s="81" t="n"/>
      <c r="BL317" s="81" t="n"/>
      <c r="BM317" s="81" t="n"/>
      <c r="BN317" s="81" t="n"/>
      <c r="BO317" s="81" t="n"/>
      <c r="BQ317" s="81" t="n"/>
      <c r="BR317" s="81" t="n"/>
      <c r="BS317" s="81" t="n"/>
      <c r="BT317" s="81" t="n"/>
      <c r="BV317" s="81" t="n"/>
      <c r="BW317" s="81" t="n"/>
      <c r="BX317" s="81" t="n"/>
      <c r="BY317" s="81" t="n"/>
      <c r="CA317" s="81" t="n"/>
      <c r="CB317" s="81" t="n"/>
      <c r="CC317" s="81" t="n"/>
      <c r="CD317" s="81" t="n"/>
      <c r="CF317" s="81" t="n"/>
      <c r="CG317" s="81" t="n"/>
      <c r="CH317" s="81" t="n"/>
      <c r="CI317" s="81" t="n"/>
      <c r="CK317" s="81" t="n"/>
      <c r="CL317" s="81" t="n"/>
      <c r="CM317" s="81" t="n"/>
      <c r="CN317" s="81" t="n"/>
      <c r="CP317" s="81" t="n"/>
      <c r="CQ317" s="81" t="n"/>
      <c r="CR317" s="81" t="n"/>
      <c r="CS317" s="81" t="n"/>
      <c r="CU317" s="81" t="n"/>
      <c r="CV317" s="81" t="n"/>
      <c r="CW317" s="81" t="n"/>
      <c r="CX317" s="81" t="n"/>
    </row>
    <row r="318" customFormat="1" s="77">
      <c r="A318" s="76" t="n"/>
      <c r="B318" s="76" t="n"/>
    </row>
    <row r="319" customFormat="1" s="77">
      <c r="A319" s="76" t="n"/>
      <c r="B319" s="76" t="n"/>
      <c r="C319" s="74" t="inlineStr">
        <is>
          <t>CAPITAL STRUCTURE</t>
        </is>
      </c>
    </row>
    <row r="320" customFormat="1" s="77">
      <c r="A320" s="76" t="n"/>
      <c r="B320" s="76" t="n"/>
      <c r="C320" s="77" t="inlineStr">
        <is>
          <t>TOTAL DEBT / EQUITY (BOOK VALUE)</t>
        </is>
      </c>
      <c r="H320" s="262" t="str">
        <f>IFERROR(IF(N(H263)&lt;&gt;0,(N(H204)+N(H205)+N(H206)+N(H209)+N(H227)+N(H230))/H263,""),"")</f>
        <v/>
      </c>
      <c r="I320" s="262">
        <f>IFERROR(IF(N(I263)&lt;&gt;0,(N(I204)+N(I205)+N(I206)+N(I209)+N(I227)+N(I230))/I263,""),"")</f>
        <v>0.501149542737444</v>
      </c>
      <c r="J320" s="262">
        <f>IFERROR(IF(N(J263)&lt;&gt;0,(N(J204)+N(J205)+N(J206)+N(J209)+N(J227)+N(J230))/J263,""),"")</f>
        <v>0.463100071650346</v>
      </c>
      <c r="K320" s="262">
        <f>IFERROR(IF(N(K263)&lt;&gt;0,(N(K204)+N(K205)+N(K206)+N(K209)+N(K227)+N(K230))/K263,""),"")</f>
        <v>0.428964537747992</v>
      </c>
      <c r="L320" s="262">
        <f>IFERROR(IF(N(L263)&lt;&gt;0,(N(L204)+N(L205)+N(L206)+N(L209)+N(L227)+N(L230))/L263,""),"")</f>
        <v>0.410530431382771</v>
      </c>
      <c r="M320" s="262">
        <f>IFERROR(IF(N(M263)&lt;&gt;0,(N(M204)+N(M205)+N(M206)+N(M209)+N(M227)+N(M230))/M263,""),"")</f>
        <v>0.410530431382771</v>
      </c>
      <c r="N320" s="262">
        <f>IFERROR(IF(N(N263)&lt;&gt;0,(N(N204)+N(N205)+N(N206)+N(N209)+N(N227)+N(N230))/N263,""),"")</f>
        <v>0.400174694285001</v>
      </c>
      <c r="O320" s="262">
        <f>IFERROR(IF(N(O263)&lt;&gt;0,(N(O204)+N(O205)+N(O206)+N(O209)+N(O227)+N(O230))/O263,""),"")</f>
        <v>0.461263359254793</v>
      </c>
      <c r="P320" s="262">
        <f>IFERROR(IF(N(P263)&lt;&gt;0,(N(P204)+N(P205)+N(P206)+N(P209)+N(P227)+N(P230))/P263,""),"")</f>
        <v>0.442082626855796</v>
      </c>
      <c r="Q320" s="262">
        <f>IFERROR(IF(N(Q263)&lt;&gt;0,(N(Q204)+N(Q205)+N(Q206)+N(Q209)+N(Q227)+N(Q230))/Q263,""),"")</f>
        <v>0.427003337220056</v>
      </c>
      <c r="R320" s="262">
        <f>IFERROR(IF(N(R263)&lt;&gt;0,(N(R204)+N(R205)+N(R206)+N(R209)+N(R227)+N(R230))/R263,""),"")</f>
        <v>0.427003337220056</v>
      </c>
      <c r="S320" s="262">
        <f>IFERROR(IF(N(S263)&lt;&gt;0,(N(S204)+N(S205)+N(S206)+N(S209)+N(S227)+N(S230))/S263,""),"")</f>
        <v>0.375662819713038</v>
      </c>
      <c r="T320" s="262">
        <f>IFERROR(IF(N(T263)&lt;&gt;0,(N(T204)+N(T205)+N(T206)+N(T209)+N(T227)+N(T230))/T263,""),"")</f>
        <v>0.364813462942329</v>
      </c>
      <c r="U320" s="262">
        <f>IFERROR(IF(N(U263)&lt;&gt;0,(N(U204)+N(U205)+N(U206)+N(U209)+N(U227)+N(U230))/U263,""),"")</f>
        <v>0.352550886531469</v>
      </c>
      <c r="V320" s="262">
        <f>IFERROR(IF(N(V263)&lt;&gt;0,(N(V204)+N(V205)+N(V206)+N(V209)+N(V227)+N(V230))/V263,""),"")</f>
        <v>0.345001830831197</v>
      </c>
      <c r="W320" s="262">
        <f>IFERROR(IF(N(W263)&lt;&gt;0,(N(W204)+N(W205)+N(W206)+N(W209)+N(W227)+N(W230))/W263,""),"")</f>
        <v>0.345001830831197</v>
      </c>
      <c r="X320" s="262">
        <f>IFERROR(IF(N(X263)&lt;&gt;0,(N(X204)+N(X205)+N(X206)+N(X209)+N(X227)+N(X230))/X263,""),"")</f>
        <v>0.335349581924924</v>
      </c>
      <c r="Y320" s="262">
        <f>IFERROR(IF(N(Y263)&lt;&gt;0,(N(Y204)+N(Y205)+N(Y206)+N(Y209)+N(Y227)+N(Y230))/Y263,""),"")</f>
        <v>0.328592344697762</v>
      </c>
      <c r="Z320" s="262">
        <f>IFERROR(IF(N(Z263)&lt;&gt;0,(N(Z204)+N(Z205)+N(Z206)+N(Z209)+N(Z227)+N(Z230))/Z263,""),"")</f>
        <v>0.335307974780018</v>
      </c>
      <c r="AA320" s="262">
        <f>IFERROR(IF(N(AA263)&lt;&gt;0,(N(AA204)+N(AA205)+N(AA206)+N(AA209)+N(AA227)+N(AA230))/AA263,""),"")</f>
        <v>0.310931961915352</v>
      </c>
      <c r="AB320" s="262">
        <f>IFERROR(IF(N(AB263)&lt;&gt;0,(N(AB204)+N(AB205)+N(AB206)+N(AB209)+N(AB227)+N(AB230))/AB263,""),"")</f>
        <v>0.310931961915352</v>
      </c>
      <c r="AC320" s="262">
        <f>IFERROR(IF(N(AC263)&lt;&gt;0,(N(AC204)+N(AC205)+N(AC206)+N(AC209)+N(AC227)+N(AC230))/AC263,""),"")</f>
        <v>0.321900458684193</v>
      </c>
      <c r="AD320" s="262">
        <f>IFERROR(IF(N(AD263)&lt;&gt;0,(N(AD204)+N(AD205)+N(AD206)+N(AD209)+N(AD227)+N(AD230))/AD263,""),"")</f>
        <v>0.308407787705027</v>
      </c>
      <c r="AE320" s="262">
        <f>IFERROR(IF(N(AE263)&lt;&gt;0,(N(AE204)+N(AE205)+N(AE206)+N(AE209)+N(AE227)+N(AE230))/AE263,""),"")</f>
        <v>0.305885449221963</v>
      </c>
      <c r="AF320" s="262">
        <f>IFERROR(IF(N(AF263)&lt;&gt;0,(N(AF204)+N(AF205)+N(AF206)+N(AF209)+N(AF227)+N(AF230))/AF263,""),"")</f>
        <v>0.3376779561854</v>
      </c>
      <c r="AG320" s="262">
        <f>IFERROR(IF(N(AG263)&lt;&gt;0,(N(AG204)+N(AG205)+N(AG206)+N(AG209)+N(AG227)+N(AG230))/AG263,""),"")</f>
        <v>0.3376779561854</v>
      </c>
      <c r="AH320" s="262">
        <f>IFERROR(IF(N(AH263)&lt;&gt;0,(N(AH204)+N(AH205)+N(AH206)+N(AH209)+N(AH227)+N(AH230))/AH263,""),"")</f>
        <v>0.330075211830789</v>
      </c>
      <c r="AI320" s="262">
        <f>IFERROR(IF(N(AI263)&lt;&gt;0,(N(AI204)+N(AI205)+N(AI206)+N(AI209)+N(AI227)+N(AI230))/AI263,""),"")</f>
        <v>0.321488424058097</v>
      </c>
      <c r="AJ320" s="262">
        <f>IFERROR(IF(N(AJ263)&lt;&gt;0,(N(AJ204)+N(AJ205)+N(AJ206)+N(AJ209)+N(AJ227)+N(AJ230))/AJ263,""),"")</f>
        <v>0.309647952477985</v>
      </c>
      <c r="AK320" s="262">
        <f>IFERROR(IF(N(AK263)&lt;&gt;0,(N(AK204)+N(AK205)+N(AK206)+N(AK209)+N(AK227)+N(AK230))/AK263,""),"")</f>
        <v>0.300700084194345</v>
      </c>
      <c r="AL320" s="262">
        <f>IFERROR(IF(N(AL263)&lt;&gt;0,(N(AL204)+N(AL205)+N(AL206)+N(AL209)+N(AL227)+N(AL230))/AL263,""),"")</f>
        <v>0.300700084194345</v>
      </c>
      <c r="AM320" s="262">
        <f>IFERROR(IF(N(AM263)&lt;&gt;0,(N(AM204)+N(AM205)+N(AM206)+N(AM209)+N(AM227)+N(AM230))/AM263,""),"")</f>
        <v>0.291381698398896</v>
      </c>
      <c r="AN320" s="262">
        <f>IFERROR(IF(N(AN263)&lt;&gt;0,(N(AN204)+N(AN205)+N(AN206)+N(AN209)+N(AN227)+N(AN230))/AN263,""),"")</f>
        <v>0.281544292079094</v>
      </c>
      <c r="AO320" s="262">
        <f>IFERROR(IF(N(AO263)&lt;&gt;0,(N(AO204)+N(AO205)+N(AO206)+N(AO209)+N(AO227)+N(AO230))/AO263,""),"")</f>
        <v>0.272307164315044</v>
      </c>
      <c r="AP320" s="262">
        <f>IFERROR(IF(N(AP263)&lt;&gt;0,(N(AP204)+N(AP205)+N(AP206)+N(AP209)+N(AP227)+N(AP230))/AP263,""),"")</f>
        <v>0.265275316899134</v>
      </c>
      <c r="AQ320" s="262">
        <f>IFERROR(IF(N(AQ263)&lt;&gt;0,(N(AQ204)+N(AQ205)+N(AQ206)+N(AQ209)+N(AQ227)+N(AQ230))/AQ263,""),"")</f>
        <v>0.265275316899134</v>
      </c>
      <c r="AR320" s="262">
        <f>IFERROR(IF(N(AR263)&lt;&gt;0,(N(AR204)+N(AR205)+N(AR206)+N(AR209)+N(AR227)+N(AR230))/AR263,""),"")</f>
        <v>0.257940192958312</v>
      </c>
      <c r="AS320" s="262">
        <f>IFERROR(IF(N(AS263)&lt;&gt;0,(N(AS204)+N(AS205)+N(AS206)+N(AS209)+N(AS227)+N(AS230))/AS263,""),"")</f>
        <v>0.250141477578574</v>
      </c>
      <c r="AT320" s="262">
        <f>IFERROR(IF(N(AT263)&lt;&gt;0,(N(AT204)+N(AT205)+N(AT206)+N(AT209)+N(AT227)+N(AT230))/AT263,""),"")</f>
        <v>0.242766637666331</v>
      </c>
      <c r="AU320" s="262">
        <f>IFERROR(IF(N(AU263)&lt;&gt;0,(N(AU204)+N(AU205)+N(AU206)+N(AU209)+N(AU227)+N(AU230))/AU263,""),"")</f>
        <v>0.237118380278812</v>
      </c>
      <c r="AV320" s="262">
        <f>IFERROR(IF(N(AV263)&lt;&gt;0,(N(AV204)+N(AV205)+N(AV206)+N(AV209)+N(AV227)+N(AV230))/AV263,""),"")</f>
        <v>0.237118380278812</v>
      </c>
      <c r="AW320" s="262">
        <f>IFERROR(IF(N(AW263)&lt;&gt;0,(N(AW204)+N(AW205)+N(AW206)+N(AW209)+N(AW227)+N(AW230))/AW263,""),"")</f>
        <v>0.231223488689163</v>
      </c>
      <c r="AX320" s="262">
        <f>IFERROR(IF(N(AX263)&lt;&gt;0,(N(AX204)+N(AX205)+N(AX206)+N(AX209)+N(AX227)+N(AX230))/AX263,""),"")</f>
        <v>0.224918807639078</v>
      </c>
      <c r="AY320" s="262">
        <f>IFERROR(IF(N(AY263)&lt;&gt;0,(N(AY204)+N(AY205)+N(AY206)+N(AY209)+N(AY227)+N(AY230))/AY263,""),"")</f>
        <v>0.218921193494008</v>
      </c>
      <c r="AZ320" s="262">
        <f>IFERROR(IF(N(AZ263)&lt;&gt;0,(N(AZ204)+N(AZ205)+N(AZ206)+N(AZ209)+N(AZ227)+N(AZ230))/AZ263,""),"")</f>
        <v>0.214304131914265</v>
      </c>
      <c r="BA320" s="262">
        <f>IFERROR(IF(N(BA263)&lt;&gt;0,(N(BA204)+N(BA205)+N(BA206)+N(BA209)+N(BA227)+N(BA230))/BA263,""),"")</f>
        <v>0.214304131914265</v>
      </c>
      <c r="BB320" s="262">
        <f>IFERROR(IF(N(BB263)&lt;&gt;0,(N(BB204)+N(BB205)+N(BB206)+N(BB209)+N(BB227)+N(BB230))/BB263,""),"")</f>
        <v>0.209477473928065</v>
      </c>
      <c r="BC320" s="262">
        <f>IFERROR(IF(N(BC263)&lt;&gt;0,(N(BC204)+N(BC205)+N(BC206)+N(BC209)+N(BC227)+N(BC230))/BC263,""),"")</f>
        <v>0.204289604993913</v>
      </c>
      <c r="BD320" s="262">
        <f>IFERROR(IF(N(BD263)&lt;&gt;0,(N(BD204)+N(BD205)+N(BD206)+N(BD209)+N(BD227)+N(BD230))/BD263,""),"")</f>
        <v>0.19932959005273</v>
      </c>
      <c r="BE320" s="262">
        <f>IFERROR(IF(N(BE263)&lt;&gt;0,(N(BE204)+N(BE205)+N(BE206)+N(BE209)+N(BE227)+N(BE230))/BE263,""),"")</f>
        <v>0.195494689957869</v>
      </c>
      <c r="BF320" s="262">
        <f>IFERROR(IF(N(BF263)&lt;&gt;0,(N(BF204)+N(BF205)+N(BF206)+N(BF209)+N(BF227)+N(BF230))/BF263,""),"")</f>
        <v>0.195494689957869</v>
      </c>
    </row>
    <row r="321" customFormat="1" s="77">
      <c r="A321" s="76" t="n"/>
      <c r="B321" s="76" t="n"/>
      <c r="C321" s="77" t="inlineStr">
        <is>
          <t>NET DEBT / (NET DEBT + EQUITY) (BOOK VALUE)</t>
        </is>
      </c>
      <c r="H321" s="258" t="str">
        <f>IFERROR(IF(((N(H204)+N(H205)+N(H206)+N(H209)+N(H227)+N(H230))-N(H136)+N(H263))&lt;&gt;0,((N(H204)+N(H205)+N(H206)+N(H209)+N(H227)+N(H230))-N(H136))/((N(H204)+N(H205)+N(H206)+N(H209)+N(H227)+N(H230))-N(H136)+H263),""),"")</f>
        <v/>
      </c>
      <c r="I321" s="258">
        <f>IFERROR(IF(((N(I204)+N(I205)+N(I206)+N(I209)+N(I227)+N(I230))-N(I136)+N(I263))&lt;&gt;0,((N(I204)+N(I205)+N(I206)+N(I209)+N(I227)+N(I230))-N(I136))/((N(I204)+N(I205)+N(I206)+N(I209)+N(I227)+N(I230))-N(I136)+I263),""),"")</f>
        <v>0.210829771792597</v>
      </c>
      <c r="J321" s="258">
        <f>IFERROR(IF(((N(J204)+N(J205)+N(J206)+N(J209)+N(J227)+N(J230))-N(J136)+N(J263))&lt;&gt;0,((N(J204)+N(J205)+N(J206)+N(J209)+N(J227)+N(J230))-N(J136))/((N(J204)+N(J205)+N(J206)+N(J209)+N(J227)+N(J230))-N(J136)+J263),""),"")</f>
        <v>0.139079656207591</v>
      </c>
      <c r="K321" s="258">
        <f>IFERROR(IF(((N(K204)+N(K205)+N(K206)+N(K209)+N(K227)+N(K230))-N(K136)+N(K263))&lt;&gt;0,((N(K204)+N(K205)+N(K206)+N(K209)+N(K227)+N(K230))-N(K136))/((N(K204)+N(K205)+N(K206)+N(K209)+N(K227)+N(K230))-N(K136)+K263),""),"")</f>
        <v>0.0812673299624857</v>
      </c>
      <c r="L321" s="258">
        <f>IFERROR(IF(((N(L204)+N(L205)+N(L206)+N(L209)+N(L227)+N(L230))-N(L136)+N(L263))&lt;&gt;0,((N(L204)+N(L205)+N(L206)+N(L209)+N(L227)+N(L230))-N(L136))/((N(L204)+N(L205)+N(L206)+N(L209)+N(L227)+N(L230))-N(L136)+L263),""),"")</f>
        <v>-0.430906943494747</v>
      </c>
      <c r="M321" s="258">
        <f>IFERROR(IF(((N(M204)+N(M205)+N(M206)+N(M209)+N(M227)+N(M230))-N(M136)+N(M263))&lt;&gt;0,((N(M204)+N(M205)+N(M206)+N(M209)+N(M227)+N(M230))-N(M136))/((N(M204)+N(M205)+N(M206)+N(M209)+N(M227)+N(M230))-N(M136)+M263),""),"")</f>
        <v>-0.430906943494747</v>
      </c>
      <c r="N321" s="258">
        <f>IFERROR(IF(((N(N204)+N(N205)+N(N206)+N(N209)+N(N227)+N(N230))-N(N136)+N(N263))&lt;&gt;0,((N(N204)+N(N205)+N(N206)+N(N209)+N(N227)+N(N230))-N(N136))/((N(N204)+N(N205)+N(N206)+N(N209)+N(N227)+N(N230))-N(N136)+N263),""),"")</f>
        <v>0.0506614017769003</v>
      </c>
      <c r="O321" s="258">
        <f>IFERROR(IF(((N(O204)+N(O205)+N(O206)+N(O209)+N(O227)+N(O230))-N(O136)+N(O263))&lt;&gt;0,((N(O204)+N(O205)+N(O206)+N(O209)+N(O227)+N(O230))-N(O136))/((N(O204)+N(O205)+N(O206)+N(O209)+N(O227)+N(O230))-N(O136)+O263),""),"")</f>
        <v>0.0623854641868445</v>
      </c>
      <c r="P321" s="258">
        <f>IFERROR(IF(((N(P204)+N(P205)+N(P206)+N(P209)+N(P227)+N(P230))-N(P136)+N(P263))&lt;&gt;0,((N(P204)+N(P205)+N(P206)+N(P209)+N(P227)+N(P230))-N(P136))/((N(P204)+N(P205)+N(P206)+N(P209)+N(P227)+N(P230))-N(P136)+P263),""),"")</f>
        <v>0.0803255619366371</v>
      </c>
      <c r="Q321" s="258">
        <f>IFERROR(IF(((N(Q204)+N(Q205)+N(Q206)+N(Q209)+N(Q227)+N(Q230))-N(Q136)+N(Q263))&lt;&gt;0,((N(Q204)+N(Q205)+N(Q206)+N(Q209)+N(Q227)+N(Q230))-N(Q136))/((N(Q204)+N(Q205)+N(Q206)+N(Q209)+N(Q227)+N(Q230))-N(Q136)+Q263),""),"")</f>
        <v>-0.312107623318386</v>
      </c>
      <c r="R321" s="258">
        <f>IFERROR(IF(((N(R204)+N(R205)+N(R206)+N(R209)+N(R227)+N(R230))-N(R136)+N(R263))&lt;&gt;0,((N(R204)+N(R205)+N(R206)+N(R209)+N(R227)+N(R230))-N(R136))/((N(R204)+N(R205)+N(R206)+N(R209)+N(R227)+N(R230))-N(R136)+R263),""),"")</f>
        <v>-0.312107623318386</v>
      </c>
      <c r="S321" s="258">
        <f>IFERROR(IF(((N(S204)+N(S205)+N(S206)+N(S209)+N(S227)+N(S230))-N(S136)+N(S263))&lt;&gt;0,((N(S204)+N(S205)+N(S206)+N(S209)+N(S227)+N(S230))-N(S136))/((N(S204)+N(S205)+N(S206)+N(S209)+N(S227)+N(S230))-N(S136)+S263),""),"")</f>
        <v>0.0978861102317892</v>
      </c>
      <c r="T321" s="258">
        <f>IFERROR(IF(((N(T204)+N(T205)+N(T206)+N(T209)+N(T227)+N(T230))-N(T136)+N(T263))&lt;&gt;0,((N(T204)+N(T205)+N(T206)+N(T209)+N(T227)+N(T230))-N(T136))/((N(T204)+N(T205)+N(T206)+N(T209)+N(T227)+N(T230))-N(T136)+T263),""),"")</f>
        <v>0.0975068483650612</v>
      </c>
      <c r="U321" s="258">
        <f>IFERROR(IF(((N(U204)+N(U205)+N(U206)+N(U209)+N(U227)+N(U230))-N(U136)+N(U263))&lt;&gt;0,((N(U204)+N(U205)+N(U206)+N(U209)+N(U227)+N(U230))-N(U136))/((N(U204)+N(U205)+N(U206)+N(U209)+N(U227)+N(U230))-N(U136)+U263),""),"")</f>
        <v>0.120644757227148</v>
      </c>
      <c r="V321" s="258">
        <f>IFERROR(IF(((N(V204)+N(V205)+N(V206)+N(V209)+N(V227)+N(V230))-N(V136)+N(V263))&lt;&gt;0,((N(V204)+N(V205)+N(V206)+N(V209)+N(V227)+N(V230))-N(V136))/((N(V204)+N(V205)+N(V206)+N(V209)+N(V227)+N(V230))-N(V136)+V263),""),"")</f>
        <v>-0.0539925128323878</v>
      </c>
      <c r="W321" s="258">
        <f>IFERROR(IF(((N(W204)+N(W205)+N(W206)+N(W209)+N(W227)+N(W230))-N(W136)+N(W263))&lt;&gt;0,((N(W204)+N(W205)+N(W206)+N(W209)+N(W227)+N(W230))-N(W136))/((N(W204)+N(W205)+N(W206)+N(W209)+N(W227)+N(W230))-N(W136)+W263),""),"")</f>
        <v>-0.0539925128323878</v>
      </c>
      <c r="X321" s="258">
        <f>IFERROR(IF(((N(X204)+N(X205)+N(X206)+N(X209)+N(X227)+N(X230))-N(X136)+N(X263))&lt;&gt;0,((N(X204)+N(X205)+N(X206)+N(X209)+N(X227)+N(X230))-N(X136))/((N(X204)+N(X205)+N(X206)+N(X209)+N(X227)+N(X230))-N(X136)+X263),""),"")</f>
        <v>0.130468411608193</v>
      </c>
      <c r="Y321" s="258">
        <f>IFERROR(IF(((N(Y204)+N(Y205)+N(Y206)+N(Y209)+N(Y227)+N(Y230))-N(Y136)+N(Y263))&lt;&gt;0,((N(Y204)+N(Y205)+N(Y206)+N(Y209)+N(Y227)+N(Y230))-N(Y136))/((N(Y204)+N(Y205)+N(Y206)+N(Y209)+N(Y227)+N(Y230))-N(Y136)+Y263),""),"")</f>
        <v>0.126465483114589</v>
      </c>
      <c r="Z321" s="258">
        <f>IFERROR(IF(((N(Z204)+N(Z205)+N(Z206)+N(Z209)+N(Z227)+N(Z230))-N(Z136)+N(Z263))&lt;&gt;0,((N(Z204)+N(Z205)+N(Z206)+N(Z209)+N(Z227)+N(Z230))-N(Z136))/((N(Z204)+N(Z205)+N(Z206)+N(Z209)+N(Z227)+N(Z230))-N(Z136)+Z263),""),"")</f>
        <v>0.139484274854673</v>
      </c>
      <c r="AA321" s="258">
        <f>IFERROR(IF(((N(AA204)+N(AA205)+N(AA206)+N(AA209)+N(AA227)+N(AA230))-N(AA136)+N(AA263))&lt;&gt;0,((N(AA204)+N(AA205)+N(AA206)+N(AA209)+N(AA227)+N(AA230))-N(AA136))/((N(AA204)+N(AA205)+N(AA206)+N(AA209)+N(AA227)+N(AA230))-N(AA136)+AA263),""),"")</f>
        <v>0.00394572892150076</v>
      </c>
      <c r="AB321" s="258">
        <f>IFERROR(IF(((N(AB204)+N(AB205)+N(AB206)+N(AB209)+N(AB227)+N(AB230))-N(AB136)+N(AB263))&lt;&gt;0,((N(AB204)+N(AB205)+N(AB206)+N(AB209)+N(AB227)+N(AB230))-N(AB136))/((N(AB204)+N(AB205)+N(AB206)+N(AB209)+N(AB227)+N(AB230))-N(AB136)+AB263),""),"")</f>
        <v>0.00394572892150076</v>
      </c>
      <c r="AC321" s="258">
        <f>IFERROR(IF(((N(AC204)+N(AC205)+N(AC206)+N(AC209)+N(AC227)+N(AC230))-N(AC136)+N(AC263))&lt;&gt;0,((N(AC204)+N(AC205)+N(AC206)+N(AC209)+N(AC227)+N(AC230))-N(AC136))/((N(AC204)+N(AC205)+N(AC206)+N(AC209)+N(AC227)+N(AC230))-N(AC136)+AC263),""),"")</f>
        <v>0.146612917360442</v>
      </c>
      <c r="AD321" s="258">
        <f>IFERROR(IF(((N(AD204)+N(AD205)+N(AD206)+N(AD209)+N(AD227)+N(AD230))-N(AD136)+N(AD263))&lt;&gt;0,((N(AD204)+N(AD205)+N(AD206)+N(AD209)+N(AD227)+N(AD230))-N(AD136))/((N(AD204)+N(AD205)+N(AD206)+N(AD209)+N(AD227)+N(AD230))-N(AD136)+AD263),""),"")</f>
        <v>0.136979601231407</v>
      </c>
      <c r="AE321" s="258">
        <f>IFERROR(IF(((N(AE204)+N(AE205)+N(AE206)+N(AE209)+N(AE227)+N(AE230))-N(AE136)+N(AE263))&lt;&gt;0,((N(AE204)+N(AE205)+N(AE206)+N(AE209)+N(AE227)+N(AE230))-N(AE136))/((N(AE204)+N(AE205)+N(AE206)+N(AE209)+N(AE227)+N(AE230))-N(AE136)+AE263),""),"")</f>
        <v>0.140769426463522</v>
      </c>
      <c r="AF321" s="258">
        <f>IFERROR(IF(((N(AF204)+N(AF205)+N(AF206)+N(AF209)+N(AF227)+N(AF230))-N(AF136)+N(AF263))&lt;&gt;0,((N(AF204)+N(AF205)+N(AF206)+N(AF209)+N(AF227)+N(AF230))-N(AF136))/((N(AF204)+N(AF205)+N(AF206)+N(AF209)+N(AF227)+N(AF230))-N(AF136)+AF263),""),"")</f>
        <v>0.0721394535255444</v>
      </c>
      <c r="AG321" s="258">
        <f>IFERROR(IF(((N(AG204)+N(AG205)+N(AG206)+N(AG209)+N(AG227)+N(AG230))-N(AG136)+N(AG263))&lt;&gt;0,((N(AG204)+N(AG205)+N(AG206)+N(AG209)+N(AG227)+N(AG230))-N(AG136))/((N(AG204)+N(AG205)+N(AG206)+N(AG209)+N(AG227)+N(AG230))-N(AG136)+AG263),""),"")</f>
        <v>0.0721394535255444</v>
      </c>
      <c r="AH321" s="258">
        <f>IFERROR(IF(((N(AH204)+N(AH205)+N(AH206)+N(AH209)+N(AH227)+N(AH230))-N(AH136)+N(AH263))&lt;&gt;0,((N(AH204)+N(AH205)+N(AH206)+N(AH209)+N(AH227)+N(AH230))-N(AH136))/((N(AH204)+N(AH205)+N(AH206)+N(AH209)+N(AH227)+N(AH230))-N(AH136)+AH263),""),"")</f>
        <v>0.17456450556647</v>
      </c>
      <c r="AI321" s="258">
        <f>IFERROR(IF(((N(AI204)+N(AI205)+N(AI206)+N(AI209)+N(AI227)+N(AI230))-N(AI136)+N(AI263))&lt;&gt;0,((N(AI204)+N(AI205)+N(AI206)+N(AI209)+N(AI227)+N(AI230))-N(AI136))/((N(AI204)+N(AI205)+N(AI206)+N(AI209)+N(AI227)+N(AI230))-N(AI136)+AI263),""),"")</f>
        <v>0.163086673073427</v>
      </c>
      <c r="AJ321" s="258">
        <f>IFERROR(IF(((N(AJ204)+N(AJ205)+N(AJ206)+N(AJ209)+N(AJ227)+N(AJ230))-N(AJ136)+N(AJ263))&lt;&gt;0,((N(AJ204)+N(AJ205)+N(AJ206)+N(AJ209)+N(AJ227)+N(AJ230))-N(AJ136))/((N(AJ204)+N(AJ205)+N(AJ206)+N(AJ209)+N(AJ227)+N(AJ230))-N(AJ136)+AJ263),""),"")</f>
        <v>0.146553144018402</v>
      </c>
      <c r="AK321" s="258">
        <f>IFERROR(IF(((N(AK204)+N(AK205)+N(AK206)+N(AK209)+N(AK227)+N(AK230))-N(AK136)+N(AK263))&lt;&gt;0,((N(AK204)+N(AK205)+N(AK206)+N(AK209)+N(AK227)+N(AK230))-N(AK136))/((N(AK204)+N(AK205)+N(AK206)+N(AK209)+N(AK227)+N(AK230))-N(AK136)+AK263),""),"")</f>
        <v>0.146760059204228</v>
      </c>
      <c r="AL321" s="258">
        <f>IFERROR(IF(((N(AL204)+N(AL205)+N(AL206)+N(AL209)+N(AL227)+N(AL230))-N(AL136)+N(AL263))&lt;&gt;0,((N(AL204)+N(AL205)+N(AL206)+N(AL209)+N(AL227)+N(AL230))-N(AL136))/((N(AL204)+N(AL205)+N(AL206)+N(AL209)+N(AL227)+N(AL230))-N(AL136)+AL263),""),"")</f>
        <v>0.146760059204228</v>
      </c>
      <c r="AM321" s="258">
        <f>IFERROR(IF(((N(AM204)+N(AM205)+N(AM206)+N(AM209)+N(AM227)+N(AM230))-N(AM136)+N(AM263))&lt;&gt;0,((N(AM204)+N(AM205)+N(AM206)+N(AM209)+N(AM227)+N(AM230))-N(AM136))/((N(AM204)+N(AM205)+N(AM206)+N(AM209)+N(AM227)+N(AM230))-N(AM136)+AM263),""),"")</f>
        <v>0.121900176205247</v>
      </c>
      <c r="AN321" s="258">
        <f>IFERROR(IF(((N(AN204)+N(AN205)+N(AN206)+N(AN209)+N(AN227)+N(AN230))-N(AN136)+N(AN263))&lt;&gt;0,((N(AN204)+N(AN205)+N(AN206)+N(AN209)+N(AN227)+N(AN230))-N(AN136))/((N(AN204)+N(AN205)+N(AN206)+N(AN209)+N(AN227)+N(AN230))-N(AN136)+AN263),""),"")</f>
        <v>0.0952469208008495</v>
      </c>
      <c r="AO321" s="258">
        <f>IFERROR(IF(((N(AO204)+N(AO205)+N(AO206)+N(AO209)+N(AO227)+N(AO230))-N(AO136)+N(AO263))&lt;&gt;0,((N(AO204)+N(AO205)+N(AO206)+N(AO209)+N(AO227)+N(AO230))-N(AO136))/((N(AO204)+N(AO205)+N(AO206)+N(AO209)+N(AO227)+N(AO230))-N(AO136)+AO263),""),"")</f>
        <v>0.0781508907233795</v>
      </c>
      <c r="AP321" s="258">
        <f>IFERROR(IF(((N(AP204)+N(AP205)+N(AP206)+N(AP209)+N(AP227)+N(AP230))-N(AP136)+N(AP263))&lt;&gt;0,((N(AP204)+N(AP205)+N(AP206)+N(AP209)+N(AP227)+N(AP230))-N(AP136))/((N(AP204)+N(AP205)+N(AP206)+N(AP209)+N(AP227)+N(AP230))-N(AP136)+AP263),""),"")</f>
        <v>0.0802639506974774</v>
      </c>
      <c r="AQ321" s="258">
        <f>IFERROR(IF(((N(AQ204)+N(AQ205)+N(AQ206)+N(AQ209)+N(AQ227)+N(AQ230))-N(AQ136)+N(AQ263))&lt;&gt;0,((N(AQ204)+N(AQ205)+N(AQ206)+N(AQ209)+N(AQ227)+N(AQ230))-N(AQ136))/((N(AQ204)+N(AQ205)+N(AQ206)+N(AQ209)+N(AQ227)+N(AQ230))-N(AQ136)+AQ263),""),"")</f>
        <v>0.0802639506974774</v>
      </c>
      <c r="AR321" s="258">
        <f>IFERROR(IF(((N(AR204)+N(AR205)+N(AR206)+N(AR209)+N(AR227)+N(AR230))-N(AR136)+N(AR263))&lt;&gt;0,((N(AR204)+N(AR205)+N(AR206)+N(AR209)+N(AR227)+N(AR230))-N(AR136))/((N(AR204)+N(AR205)+N(AR206)+N(AR209)+N(AR227)+N(AR230))-N(AR136)+AR263),""),"")</f>
        <v>0.0578338321595361</v>
      </c>
      <c r="AS321" s="258">
        <f>IFERROR(IF(((N(AS204)+N(AS205)+N(AS206)+N(AS209)+N(AS227)+N(AS230))-N(AS136)+N(AS263))&lt;&gt;0,((N(AS204)+N(AS205)+N(AS206)+N(AS209)+N(AS227)+N(AS230))-N(AS136))/((N(AS204)+N(AS205)+N(AS206)+N(AS209)+N(AS227)+N(AS230))-N(AS136)+AS263),""),"")</f>
        <v>0.0317842171205447</v>
      </c>
      <c r="AT321" s="258">
        <f>IFERROR(IF(((N(AT204)+N(AT205)+N(AT206)+N(AT209)+N(AT227)+N(AT230))-N(AT136)+N(AT263))&lt;&gt;0,((N(AT204)+N(AT205)+N(AT206)+N(AT209)+N(AT227)+N(AT230))-N(AT136))/((N(AT204)+N(AT205)+N(AT206)+N(AT209)+N(AT227)+N(AT230))-N(AT136)+AT263),""),"")</f>
        <v>0.0163325109172355</v>
      </c>
      <c r="AU321" s="258">
        <f>IFERROR(IF(((N(AU204)+N(AU205)+N(AU206)+N(AU209)+N(AU227)+N(AU230))-N(AU136)+N(AU263))&lt;&gt;0,((N(AU204)+N(AU205)+N(AU206)+N(AU209)+N(AU227)+N(AU230))-N(AU136))/((N(AU204)+N(AU205)+N(AU206)+N(AU209)+N(AU227)+N(AU230))-N(AU136)+AU263),""),"")</f>
        <v>0.020083366428613</v>
      </c>
      <c r="AV321" s="258">
        <f>IFERROR(IF(((N(AV204)+N(AV205)+N(AV206)+N(AV209)+N(AV227)+N(AV230))-N(AV136)+N(AV263))&lt;&gt;0,((N(AV204)+N(AV205)+N(AV206)+N(AV209)+N(AV227)+N(AV230))-N(AV136))/((N(AV204)+N(AV205)+N(AV206)+N(AV209)+N(AV227)+N(AV230))-N(AV136)+AV263),""),"")</f>
        <v>0.020083366428613</v>
      </c>
      <c r="AW321" s="258">
        <f>IFERROR(IF(((N(AW204)+N(AW205)+N(AW206)+N(AW209)+N(AW227)+N(AW230))-N(AW136)+N(AW263))&lt;&gt;0,((N(AW204)+N(AW205)+N(AW206)+N(AW209)+N(AW227)+N(AW230))-N(AW136))/((N(AW204)+N(AW205)+N(AW206)+N(AW209)+N(AW227)+N(AW230))-N(AW136)+AW263),""),"")</f>
        <v>-0.00156504154192401</v>
      </c>
      <c r="AX321" s="258">
        <f>IFERROR(IF(((N(AX204)+N(AX205)+N(AX206)+N(AX209)+N(AX227)+N(AX230))-N(AX136)+N(AX263))&lt;&gt;0,((N(AX204)+N(AX205)+N(AX206)+N(AX209)+N(AX227)+N(AX230))-N(AX136))/((N(AX204)+N(AX205)+N(AX206)+N(AX209)+N(AX227)+N(AX230))-N(AX136)+AX263),""),"")</f>
        <v>-0.0253422090075809</v>
      </c>
      <c r="AY321" s="258">
        <f>IFERROR(IF(((N(AY204)+N(AY205)+N(AY206)+N(AY209)+N(AY227)+N(AY230))-N(AY136)+N(AY263))&lt;&gt;0,((N(AY204)+N(AY205)+N(AY206)+N(AY209)+N(AY227)+N(AY230))-N(AY136))/((N(AY204)+N(AY205)+N(AY206)+N(AY209)+N(AY227)+N(AY230))-N(AY136)+AY263),""),"")</f>
        <v>-0.0392813520676174</v>
      </c>
      <c r="AZ321" s="258">
        <f>IFERROR(IF(((N(AZ204)+N(AZ205)+N(AZ206)+N(AZ209)+N(AZ227)+N(AZ230))-N(AZ136)+N(AZ263))&lt;&gt;0,((N(AZ204)+N(AZ205)+N(AZ206)+N(AZ209)+N(AZ227)+N(AZ230))-N(AZ136))/((N(AZ204)+N(AZ205)+N(AZ206)+N(AZ209)+N(AZ227)+N(AZ230))-N(AZ136)+AZ263),""),"")</f>
        <v>-0.0341946934287309</v>
      </c>
      <c r="BA321" s="258">
        <f>IFERROR(IF(((N(BA204)+N(BA205)+N(BA206)+N(BA209)+N(BA227)+N(BA230))-N(BA136)+N(BA263))&lt;&gt;0,((N(BA204)+N(BA205)+N(BA206)+N(BA209)+N(BA227)+N(BA230))-N(BA136))/((N(BA204)+N(BA205)+N(BA206)+N(BA209)+N(BA227)+N(BA230))-N(BA136)+BA263),""),"")</f>
        <v>-0.0341946934287309</v>
      </c>
      <c r="BB321" s="258">
        <f>IFERROR(IF(((N(BB204)+N(BB205)+N(BB206)+N(BB209)+N(BB227)+N(BB230))-N(BB136)+N(BB263))&lt;&gt;0,((N(BB204)+N(BB205)+N(BB206)+N(BB209)+N(BB227)+N(BB230))-N(BB136))/((N(BB204)+N(BB205)+N(BB206)+N(BB209)+N(BB227)+N(BB230))-N(BB136)+BB263),""),"")</f>
        <v>-0.0544316589014579</v>
      </c>
      <c r="BC321" s="258">
        <f>IFERROR(IF(((N(BC204)+N(BC205)+N(BC206)+N(BC209)+N(BC227)+N(BC230))-N(BC136)+N(BC263))&lt;&gt;0,((N(BC204)+N(BC205)+N(BC206)+N(BC209)+N(BC227)+N(BC230))-N(BC136))/((N(BC204)+N(BC205)+N(BC206)+N(BC209)+N(BC227)+N(BC230))-N(BC136)+BC263),""),"")</f>
        <v>-0.0768648916095077</v>
      </c>
      <c r="BD321" s="258">
        <f>IFERROR(IF(((N(BD204)+N(BD205)+N(BD206)+N(BD209)+N(BD227)+N(BD230))-N(BD136)+N(BD263))&lt;&gt;0,((N(BD204)+N(BD205)+N(BD206)+N(BD209)+N(BD227)+N(BD230))-N(BD136))/((N(BD204)+N(BD205)+N(BD206)+N(BD209)+N(BD227)+N(BD230))-N(BD136)+BD263),""),"")</f>
        <v>-0.0894706236457534</v>
      </c>
      <c r="BE321" s="258">
        <f>IFERROR(IF(((N(BE204)+N(BE205)+N(BE206)+N(BE209)+N(BE227)+N(BE230))-N(BE136)+N(BE263))&lt;&gt;0,((N(BE204)+N(BE205)+N(BE206)+N(BE209)+N(BE227)+N(BE230))-N(BE136))/((N(BE204)+N(BE205)+N(BE206)+N(BE209)+N(BE227)+N(BE230))-N(BE136)+BE263),""),"")</f>
        <v>-0.0833308464625982</v>
      </c>
      <c r="BF321" s="258">
        <f>IFERROR(IF(((N(BF204)+N(BF205)+N(BF206)+N(BF209)+N(BF227)+N(BF230))-N(BF136)+N(BF263))&lt;&gt;0,((N(BF204)+N(BF205)+N(BF206)+N(BF209)+N(BF227)+N(BF230))-N(BF136))/((N(BF204)+N(BF205)+N(BF206)+N(BF209)+N(BF227)+N(BF230))-N(BF136)+BF263),""),"")</f>
        <v>-0.0833308464625982</v>
      </c>
    </row>
    <row r="322" customFormat="1" s="77">
      <c r="A322" s="76" t="n"/>
      <c r="B322" s="76" t="n"/>
    </row>
    <row r="323" customFormat="1" s="77">
      <c r="A323" s="76" t="n"/>
      <c r="B323" s="76" t="n"/>
      <c r="C323" s="74" t="inlineStr">
        <is>
          <t>FINANCIAL RISK RATIOS</t>
        </is>
      </c>
    </row>
    <row r="324" customFormat="1" s="77">
      <c r="A324" s="76" t="n"/>
      <c r="B324" s="76" t="n"/>
      <c r="C324" s="77" t="inlineStr">
        <is>
          <t>EBITDA / TOTAL INTEREST (LTM)</t>
        </is>
      </c>
      <c r="D324" s="82" t="str">
        <f>IFERROR(D61/-D66,"")</f>
        <v/>
      </c>
      <c r="E324" s="82" t="str">
        <f>IFERROR(E61/-E66,"")</f>
        <v/>
      </c>
      <c r="F324" s="82" t="str">
        <f>IFERROR(F61/-F66,"")</f>
        <v/>
      </c>
      <c r="G324" s="82" t="str">
        <f>IFERROR(G61/-G66,"")</f>
        <v/>
      </c>
      <c r="H324" s="262" t="str">
        <f>IFERROR(IF(AND(COUNT(H61)=1,(H66)&lt;&gt;0),(H61)/-(H66),""),"")</f>
        <v/>
      </c>
      <c r="I324" s="262" t="str">
        <f>""</f>
        <v/>
      </c>
      <c r="J324" s="262" t="str">
        <f>""</f>
        <v/>
      </c>
      <c r="K324" s="262" t="str">
        <f>""</f>
        <v/>
      </c>
      <c r="L324" s="262" t="str">
        <f>IFERROR(IF(AND(COUNT(I61,J61,K61,L61)=4,(I66+J66+K66+L66)&lt;&gt;0),(I61+J61+K61+L61)/-(I66+J66+K66+L66),""),"")</f>
        <v/>
      </c>
      <c r="M324" s="262" t="str">
        <f>IFERROR(IF(AND(COUNT(I61,J61,K61,L61)=4,(I66+J66+K66+L66)&lt;&gt;0),(I61+J61+K61+L61)/-(I66+J66+K66+L66),""),"")</f>
        <v/>
      </c>
      <c r="N324" s="262" t="str">
        <f>IFERROR(IF(AND(COUNT(J61,K61,L61,N61)=4,(J66+K66+L66+N66)&lt;&gt;0),(J61+K61+L61+N61)/-(J66+K66+L66+N66),""),"")</f>
        <v/>
      </c>
      <c r="O324" s="262" t="str">
        <f>IFERROR(IF(AND(COUNT(K61,L61,N61,O61)=4,(K66+L66+N66+O66)&lt;&gt;0),(K61+L61+N61+O61)/-(K66+L66+N66+O66),""),"")</f>
        <v/>
      </c>
      <c r="P324" s="262" t="str">
        <f>IFERROR(IF(AND(COUNT(L61,N61,O61,P61)=4,(L66+N66+O66+P66)&lt;&gt;0),(L61+N61+O61+P61)/-(L66+N66+O66+P66),""),"")</f>
        <v/>
      </c>
      <c r="Q324" s="262" t="str">
        <f>IFERROR(IF(AND(COUNT(N61,O61,P61,Q61)=4,(N66+O66+P66+Q66)&lt;&gt;0),(N61+O61+P61+Q61)/-(N66+O66+P66+Q66),""),"")</f>
        <v/>
      </c>
      <c r="R324" s="262" t="str">
        <f>IFERROR(IF(AND(COUNT(N61,O61,P61,Q61)=4,(N66+O66+P66+Q66)&lt;&gt;0),(N61+O61+P61+Q61)/-(N66+O66+P66+Q66),""),"")</f>
        <v/>
      </c>
      <c r="S324" s="262" t="str">
        <f>IFERROR(IF(AND(COUNT(O61,P61,Q61,S61)=4,(O66+P66+Q66+S66)&lt;&gt;0),(O61+P61+Q61+S61)/-(O66+P66+Q66+S66),""),"")</f>
        <v/>
      </c>
      <c r="T324" s="262" t="str">
        <f>IFERROR(IF(AND(COUNT(P61,Q61,S61,T61)=4,(P66+Q66+S66+T66)&lt;&gt;0),(P61+Q61+S61+T61)/-(P66+Q66+S66+T66),""),"")</f>
        <v/>
      </c>
      <c r="U324" s="262" t="str">
        <f>IFERROR(IF(AND(COUNT(Q61,S61,T61,U61)=4,(Q66+S66+T66+U66)&lt;&gt;0),(Q61+S61+T61+U61)/-(Q66+S66+T66+U66),""),"")</f>
        <v/>
      </c>
      <c r="V324" s="262" t="str">
        <f>IFERROR(IF(AND(COUNT(S61,T61,U61,V61)=4,(S66+T66+U66+V66)&lt;&gt;0),(S61+T61+U61+V61)/-(S66+T66+U66+V66),""),"")</f>
        <v/>
      </c>
      <c r="W324" s="262" t="str">
        <f>IFERROR(IF(AND(COUNT(S61,T61,U61,V61)=4,(S66+T66+U66+V66)&lt;&gt;0),(S61+T61+U61+V61)/-(S66+T66+U66+V66),""),"")</f>
        <v/>
      </c>
      <c r="X324" s="262" t="str">
        <f>IFERROR(IF(AND(COUNT(T61,U61,V61,X61)=4,(T66+U66+V66+X66)&lt;&gt;0),(T61+U61+V61+X61)/-(T66+U66+V66+X66),""),"")</f>
        <v/>
      </c>
      <c r="Y324" s="262" t="str">
        <f>IFERROR(IF(AND(COUNT(U61,V61,X61,Y61)=4,(U66+V66+X66+Y66)&lt;&gt;0),(U61+V61+X61+Y61)/-(U66+V66+X66+Y66),""),"")</f>
        <v/>
      </c>
      <c r="Z324" s="262" t="str">
        <f>IFERROR(IF(AND(COUNT(V61,X61,Y61,Z61)=4,(V66+X66+Y66+Z66)&lt;&gt;0),(V61+X61+Y61+Z61)/-(V66+X66+Y66+Z66),""),"")</f>
        <v/>
      </c>
      <c r="AA324" s="262" t="str">
        <f>IFERROR(IF(AND(COUNT(X61,Y61,Z61,AA61)=4,(X66+Y66+Z66+AA66)&lt;&gt;0),(X61+Y61+Z61+AA61)/-(X66+Y66+Z66+AA66),""),"")</f>
        <v/>
      </c>
      <c r="AB324" s="262" t="str">
        <f>IFERROR(IF(AND(COUNT(X61,Y61,Z61,AA61)=4,(X66+Y66+Z66+AA66)&lt;&gt;0),(X61+Y61+Z61+AA61)/-(X66+Y66+Z66+AA66),""),"")</f>
        <v/>
      </c>
      <c r="AC324" s="262" t="str">
        <f>IFERROR(IF(AND(COUNT(Y61,Z61,AA61,AC61)=4,(Y66+Z66+AA66+AC66)&lt;&gt;0),(Y61+Z61+AA61+AC61)/-(Y66+Z66+AA66+AC66),""),"")</f>
        <v/>
      </c>
      <c r="AD324" s="262" t="str">
        <f>IFERROR(IF(AND(COUNT(Z61,AA61,AC61,AD61)=4,(Z66+AA66+AC66+AD66)&lt;&gt;0),(Z61+AA61+AC61+AD61)/-(Z66+AA66+AC66+AD66),""),"")</f>
        <v/>
      </c>
      <c r="AE324" s="262" t="str">
        <f>IFERROR(IF(AND(COUNT(AA61,AC61,AD61,AE61)=4,(AA66+AC66+AD66+AE66)&lt;&gt;0),(AA61+AC61+AD61+AE61)/-(AA66+AC66+AD66+AE66),""),"")</f>
        <v/>
      </c>
      <c r="AF324" s="262" t="str">
        <f>IFERROR(IF(AND(COUNT(AB61,AD61,AE61,AF61)=4,(AB66+AD66+AE66+AF66)&lt;&gt;0),(AB61+AD61+AE61+AF61)/-(AB66+AD66+AE66+AF66),""),"")</f>
        <v/>
      </c>
      <c r="AG324" s="262" t="str">
        <f>IFERROR(IF(AND(COUNT(AC61,AD61,AE61,AF61)=4,(AC66+AD66+AE66+AF66)&lt;&gt;0),(AC61+AD61+AE61+AF61)/-(AC66+AD66+AE66+AF66),""),"")</f>
        <v/>
      </c>
      <c r="AH324" s="262" t="str">
        <f>IFERROR(IF(AND(COUNT(AD61,AF61,AG61,AH61)=4,(AD66+AF66+AG66+AH66)&lt;&gt;0),(AD61+AF61+AG61+AH61)/-(AD66+AF66+AG66+AH66),""),"")</f>
        <v/>
      </c>
      <c r="AI324" s="262" t="str">
        <f>IFERROR(IF(AND(COUNT(AE61,AG61,AH61,AI61)=4,(AE66+AG66+AH66+AI66)&lt;&gt;0),(AE61+AG61+AH61+AI61)/-(AE66+AG66+AH66+AI66),""),"")</f>
        <v/>
      </c>
      <c r="AJ324" s="262" t="str">
        <f>IFERROR(IF(AND(COUNT(AF61,AH61,AI61,AJ61)=4,(AF66+AH66+AI66+AJ66)&lt;&gt;0),(AF61+AH61+AI61+AJ61)/-(AF66+AH66+AI66+AJ66),""),"")</f>
        <v/>
      </c>
      <c r="AK324" s="262" t="str">
        <f>IFERROR(IF(AND(COUNT(AH61,AI61,AJ61,AK61)=4,(AH66+AI66+AJ66+AK66)&lt;&gt;0),(AH61+AI61+AJ61+AK61)/-(AH66+AI66+AJ66+AK66),""),"")</f>
        <v/>
      </c>
      <c r="AL324" s="262" t="str">
        <f>IFERROR(IF(AND(COUNT(AH61,AI61,AJ61,AK61)=4,(AH66+AI66+AJ66+AK66)&lt;&gt;0),(AH61+AI61+AJ61+AK61)/-(AH66+AI66+AJ66+AK66),""),"")</f>
        <v/>
      </c>
      <c r="AM324" s="262" t="str">
        <f>IFERROR(IF(AND(COUNT(AI61,AJ61,AK61,AM61)=4,(AI66+AJ66+AK66+AM66)&lt;&gt;0),(AI61+AJ61+AK61+AM61)/-(AI66+AJ66+AK66+AM66),""),"")</f>
        <v/>
      </c>
      <c r="AN324" s="262" t="str">
        <f>IFERROR(IF(AND(COUNT(AJ61,AK61,AM61,AN61)=4,(AJ66+AK66+AM66+AN66)&lt;&gt;0),(AJ61+AK61+AM61+AN61)/-(AJ66+AK66+AM66+AN66),""),"")</f>
        <v/>
      </c>
      <c r="AO324" s="262" t="str">
        <f>IFERROR(IF(AND(COUNT(AK61,AM61,AN61,AO61)=4,(AK66+AM66+AN66+AO66)&lt;&gt;0),(AK61+AM61+AN61+AO61)/-(AK66+AM66+AN66+AO66),""),"")</f>
        <v/>
      </c>
      <c r="AP324" s="262" t="str">
        <f>IFERROR(IF(AND(COUNT(AM61,AN61,AO61,AP61)=4,(AM66+AN66+AO66+AP66)&lt;&gt;0),(AM61+AN61+AO61+AP61)/-(AM66+AN66+AO66+AP66),""),"")</f>
        <v/>
      </c>
      <c r="AQ324" s="262" t="str">
        <f>IFERROR(IF(AND(COUNT(AM61,AN61,AO61,AP61)=4,(AM66+AN66+AO66+AP66)&lt;&gt;0),(AM61+AN61+AO61+AP61)/-(AM66+AN66+AO66+AP66),""),"")</f>
        <v/>
      </c>
      <c r="AR324" s="262" t="str">
        <f>IFERROR(IF(AND(COUNT(AN61,AO61,AP61,AR61)=4,(AN66+AO66+AP66+AR66)&lt;&gt;0),(AN61+AO61+AP61+AR61)/-(AN66+AO66+AP66+AR66),""),"")</f>
        <v/>
      </c>
      <c r="AS324" s="262" t="str">
        <f>IFERROR(IF(AND(COUNT(AO61,AP61,AR61,AS61)=4,(AO66+AP66+AR66+AS66)&lt;&gt;0),(AO61+AP61+AR61+AS61)/-(AO66+AP66+AR66+AS66),""),"")</f>
        <v/>
      </c>
      <c r="AT324" s="262" t="str">
        <f>IFERROR(IF(AND(COUNT(AP61,AR61,AS61,AT61)=4,(AP66+AR66+AS66+AT66)&lt;&gt;0),(AP61+AR61+AS61+AT61)/-(AP66+AR66+AS66+AT66),""),"")</f>
        <v/>
      </c>
      <c r="AU324" s="262" t="str">
        <f>IFERROR(IF(AND(COUNT(AR61,AS61,AT61,AU61)=4,(AR66+AS66+AT66+AU66)&lt;&gt;0),(AR61+AS61+AT61+AU61)/-(AR66+AS66+AT66+AU66),""),"")</f>
        <v/>
      </c>
      <c r="AV324" s="262" t="str">
        <f>IFERROR(IF(AND(COUNT(AR61,AS61,AT61,AU61)=4,(AR66+AS66+AT66+AU66)&lt;&gt;0),(AR61+AS61+AT61+AU61)/-(AR66+AS66+AT66+AU66),""),"")</f>
        <v/>
      </c>
      <c r="AW324" s="262" t="str">
        <f>IFERROR(IF(AND(COUNT(AS61,AT61,AU61,AW61)=4,(AS66+AT66+AU66+AW66)&lt;&gt;0),(AS61+AT61+AU61+AW61)/-(AS66+AT66+AU66+AW66),""),"")</f>
        <v/>
      </c>
      <c r="AX324" s="262" t="str">
        <f>IFERROR(IF(AND(COUNT(AT61,AU61,AW61,AX61)=4,(AT66+AU66+AW66+AX66)&lt;&gt;0),(AT61+AU61+AW61+AX61)/-(AT66+AU66+AW66+AX66),""),"")</f>
        <v/>
      </c>
      <c r="AY324" s="262" t="str">
        <f>IFERROR(IF(AND(COUNT(AU61,AW61,AX61,AY61)=4,(AU66+AW66+AX66+AY66)&lt;&gt;0),(AU61+AW61+AX61+AY61)/-(AU66+AW66+AX66+AY66),""),"")</f>
        <v/>
      </c>
      <c r="AZ324" s="262" t="str">
        <f>IFERROR(IF(AND(COUNT(AW61,AX61,AY61,AZ61)=4,(AW66+AX66+AY66+AZ66)&lt;&gt;0),(AW61+AX61+AY61+AZ61)/-(AW66+AX66+AY66+AZ66),""),"")</f>
        <v/>
      </c>
      <c r="BA324" s="262" t="str">
        <f>IFERROR(IF(AND(COUNT(AW61,AX61,AY61,AZ61)=4,(AW66+AX66+AY66+AZ66)&lt;&gt;0),(AW61+AX61+AY61+AZ61)/-(AW66+AX66+AY66+AZ66),""),"")</f>
        <v/>
      </c>
      <c r="BB324" s="262" t="str">
        <f>IFERROR(IF(AND(COUNT(AX61,AY61,AZ61,BB61)=4,(AX66+AY66+AZ66+BB66)&lt;&gt;0),(AX61+AY61+AZ61+BB61)/-(AX66+AY66+AZ66+BB66),""),"")</f>
        <v/>
      </c>
      <c r="BC324" s="262" t="str">
        <f>IFERROR(IF(AND(COUNT(AY61,AZ61,BB61,BC61)=4,(AY66+AZ66+BB66+BC66)&lt;&gt;0),(AY61+AZ61+BB61+BC61)/-(AY66+AZ66+BB66+BC66),""),"")</f>
        <v/>
      </c>
      <c r="BD324" s="262" t="str">
        <f>IFERROR(IF(AND(COUNT(AZ61,BB61,BC61,BD61)=4,(AZ66+BB66+BC66+BD66)&lt;&gt;0),(AZ61+BB61+BC61+BD61)/-(AZ66+BB66+BC66+BD66),""),"")</f>
        <v/>
      </c>
      <c r="BE324" s="262" t="str">
        <f>IFERROR(IF(AND(COUNT(BB61,BC61,BD61,BE61)=4,(BB66+BC66+BD66+BE66)&lt;&gt;0),(BB61+BC61+BD61+BE61)/-(BB66+BC66+BD66+BE66),""),"")</f>
        <v/>
      </c>
      <c r="BF324" s="262" t="str">
        <f>IFERROR(IF(AND(COUNT(BB61,BC61,BD61,BE61)=4,(BB66+BC66+BD66+BE66)&lt;&gt;0),(BB61+BC61+BD61+BE61)/-(BB66+BC66+BD66+BE66),""),"")</f>
        <v/>
      </c>
      <c r="BG324" s="82" t="n"/>
      <c r="BH324" s="82" t="n"/>
      <c r="BI324" s="82" t="n"/>
      <c r="BJ324" s="82" t="n"/>
      <c r="BL324" s="82" t="n"/>
      <c r="BM324" s="82" t="n"/>
      <c r="BN324" s="82" t="n"/>
      <c r="BO324" s="82" t="n"/>
      <c r="BQ324" s="82" t="n"/>
      <c r="BR324" s="82" t="n"/>
      <c r="BS324" s="82" t="n"/>
      <c r="BT324" s="82" t="n"/>
      <c r="BV324" s="82" t="n"/>
      <c r="BW324" s="82" t="n"/>
      <c r="BX324" s="82" t="n"/>
      <c r="BY324" s="82" t="n"/>
      <c r="CA324" s="82" t="n"/>
      <c r="CB324" s="82" t="n"/>
      <c r="CC324" s="82" t="n"/>
      <c r="CD324" s="82" t="n"/>
      <c r="CF324" s="82" t="n"/>
      <c r="CG324" s="82" t="n"/>
      <c r="CH324" s="82" t="n"/>
      <c r="CI324" s="82" t="n"/>
      <c r="CK324" s="82" t="n"/>
      <c r="CL324" s="82" t="n"/>
      <c r="CM324" s="82" t="n"/>
      <c r="CN324" s="82" t="n"/>
      <c r="CP324" s="82" t="n"/>
      <c r="CQ324" s="82" t="n"/>
      <c r="CR324" s="82" t="n"/>
      <c r="CS324" s="82" t="n"/>
      <c r="CU324" s="82" t="n"/>
      <c r="CV324" s="82" t="n"/>
      <c r="CW324" s="82" t="n"/>
      <c r="CX324" s="82" t="n"/>
    </row>
    <row r="325" customFormat="1" s="77">
      <c r="A325" s="76" t="n"/>
      <c r="B325" s="76" t="n"/>
      <c r="C325" s="77" t="inlineStr">
        <is>
          <t>(EBITDA - CAPEX) / TOTAL INTEREST (LTM)</t>
        </is>
      </c>
      <c r="D325" s="82" t="str">
        <f>IFERROR((D61-D160)/-D66,"")</f>
        <v/>
      </c>
      <c r="E325" s="82" t="str">
        <f>IFERROR((E61-E160)/-E66,"")</f>
        <v/>
      </c>
      <c r="F325" s="82" t="str">
        <f>IFERROR((F61-F160)/-F66,"")</f>
        <v/>
      </c>
      <c r="G325" s="82" t="str">
        <f>IFERROR((G61-G160)/-G66,"")</f>
        <v/>
      </c>
      <c r="H325" s="262" t="str">
        <f>IFERROR(IF(AND(COUNT(H61)=1,(H66)&lt;&gt;0),((H61)-(H160))/-(H66),""),"")</f>
        <v/>
      </c>
      <c r="I325" s="262" t="str">
        <f>""</f>
        <v/>
      </c>
      <c r="J325" s="262" t="str">
        <f>""</f>
        <v/>
      </c>
      <c r="K325" s="262" t="str">
        <f>""</f>
        <v/>
      </c>
      <c r="L325" s="262" t="str">
        <f>IFERROR(IF(AND(COUNT(I61,J61,K61,L61)=4,(I66+J66+K66+L66)&lt;&gt;0),((I61+J61+K61+L61)-(I160+J160+K160+L160))/-(I66+J66+K66+L66),""),"")</f>
        <v/>
      </c>
      <c r="M325" s="262" t="str">
        <f>IFERROR(IF(AND(COUNT(I61,J61,K61,L61)=4,(I66+J66+K66+L66)&lt;&gt;0),((I61+J61+K61+L61)-(I160+J160+K160+L160))/-(I66+J66+K66+L66),""),"")</f>
        <v/>
      </c>
      <c r="N325" s="262" t="str">
        <f>IFERROR(IF(AND(COUNT(J61,K61,L61,N61)=4,(J66+K66+L66+N66)&lt;&gt;0),((J61+K61+L61+N61)-(J160+K160+L160+N160))/-(J66+K66+L66+N66),""),"")</f>
        <v/>
      </c>
      <c r="O325" s="262" t="str">
        <f>IFERROR(IF(AND(COUNT(K61,L61,N61,O61)=4,(K66+L66+N66+O66)&lt;&gt;0),((K61+L61+N61+O61)-(K160+L160+N160+O160))/-(K66+L66+N66+O66),""),"")</f>
        <v/>
      </c>
      <c r="P325" s="262" t="str">
        <f>IFERROR(IF(AND(COUNT(L61,N61,O61,P61)=4,(L66+N66+O66+P66)&lt;&gt;0),((L61+N61+O61+P61)-(L160+N160+O160+P160))/-(L66+N66+O66+P66),""),"")</f>
        <v/>
      </c>
      <c r="Q325" s="262" t="str">
        <f>IFERROR(IF(AND(COUNT(N61,O61,P61,Q61)=4,(N66+O66+P66+Q66)&lt;&gt;0),((N61+O61+P61+Q61)-(N160+O160+P160+Q160))/-(N66+O66+P66+Q66),""),"")</f>
        <v/>
      </c>
      <c r="R325" s="262" t="str">
        <f>IFERROR(IF(AND(COUNT(N61,O61,P61,Q61)=4,(N66+O66+P66+Q66)&lt;&gt;0),((N61+O61+P61+Q61)-(N160+O160+P160+Q160))/-(N66+O66+P66+Q66),""),"")</f>
        <v/>
      </c>
      <c r="S325" s="262" t="str">
        <f>IFERROR(IF(AND(COUNT(O61,P61,Q61,S61)=4,(O66+P66+Q66+S66)&lt;&gt;0),((O61+P61+Q61+S61)-(O160+P160+Q160+S160))/-(O66+P66+Q66+S66),""),"")</f>
        <v/>
      </c>
      <c r="T325" s="262" t="str">
        <f>IFERROR(IF(AND(COUNT(P61,Q61,S61,T61)=4,(P66+Q66+S66+T66)&lt;&gt;0),((P61+Q61+S61+T61)-(P160+Q160+S160+T160))/-(P66+Q66+S66+T66),""),"")</f>
        <v/>
      </c>
      <c r="U325" s="262" t="str">
        <f>IFERROR(IF(AND(COUNT(Q61,S61,T61,U61)=4,(Q66+S66+T66+U66)&lt;&gt;0),((Q61+S61+T61+U61)-(Q160+S160+T160+U160))/-(Q66+S66+T66+U66),""),"")</f>
        <v/>
      </c>
      <c r="V325" s="262" t="str">
        <f>IFERROR(IF(AND(COUNT(S61,T61,U61,V61)=4,(S66+T66+U66+V66)&lt;&gt;0),((S61+T61+U61+V61)-(S160+T160+U160+V160))/-(S66+T66+U66+V66),""),"")</f>
        <v/>
      </c>
      <c r="W325" s="262" t="str">
        <f>IFERROR(IF(AND(COUNT(S61,T61,U61,V61)=4,(S66+T66+U66+V66)&lt;&gt;0),((S61+T61+U61+V61)-(S160+T160+U160+V160))/-(S66+T66+U66+V66),""),"")</f>
        <v/>
      </c>
      <c r="X325" s="262" t="str">
        <f>IFERROR(IF(AND(COUNT(T61,U61,V61,X61)=4,(T66+U66+V66+X66)&lt;&gt;0),((T61+U61+V61+X61)-(T160+U160+V160+X160))/-(T66+U66+V66+X66),""),"")</f>
        <v/>
      </c>
      <c r="Y325" s="262" t="str">
        <f>IFERROR(IF(AND(COUNT(U61,V61,X61,Y61)=4,(U66+V66+X66+Y66)&lt;&gt;0),((U61+V61+X61+Y61)-(U160+V160+X160+Y160))/-(U66+V66+X66+Y66),""),"")</f>
        <v/>
      </c>
      <c r="Z325" s="262" t="str">
        <f>IFERROR(IF(AND(COUNT(V61,X61,Y61,Z61)=4,(V66+X66+Y66+Z66)&lt;&gt;0),((V61+X61+Y61+Z61)-(V160+X160+Y160+Z160))/-(V66+X66+Y66+Z66),""),"")</f>
        <v/>
      </c>
      <c r="AA325" s="262" t="str">
        <f>IFERROR(IF(AND(COUNT(X61,Y61,Z61,AA61)=4,(X66+Y66+Z66+AA66)&lt;&gt;0),((X61+Y61+Z61+AA61)-(X160+Y160+Z160+AA160))/-(X66+Y66+Z66+AA66),""),"")</f>
        <v/>
      </c>
      <c r="AB325" s="262" t="str">
        <f>IFERROR(IF(AND(COUNT(X61,Y61,Z61,AA61)=4,(X66+Y66+Z66+AA66)&lt;&gt;0),((X61+Y61+Z61+AA61)-(X160+Y160+Z160+AA160))/-(X66+Y66+Z66+AA66),""),"")</f>
        <v/>
      </c>
      <c r="AC325" s="262" t="str">
        <f>IFERROR(IF(AND(COUNT(Y61,Z61,AA61,AC61)=4,(Y66+Z66+AA66+AC66)&lt;&gt;0),((Y61+Z61+AA61+AC61)-(Y160+Z160+AA160+AC160))/-(Y66+Z66+AA66+AC66),""),"")</f>
        <v/>
      </c>
      <c r="AD325" s="262" t="str">
        <f>IFERROR(IF(AND(COUNT(Z61,AA61,AC61,AD61)=4,(Z66+AA66+AC66+AD66)&lt;&gt;0),((Z61+AA61+AC61+AD61)-(Z160+AA160+AC160+AD160))/-(Z66+AA66+AC66+AD66),""),"")</f>
        <v/>
      </c>
      <c r="AE325" s="262" t="str">
        <f>IFERROR(IF(AND(COUNT(AA61,AC61,AD61,AE61)=4,(AA66+AC66+AD66+AE66)&lt;&gt;0),((AA61+AC61+AD61+AE61)-(AA160+AC160+AD160+AE160))/-(AA66+AC66+AD66+AE66),""),"")</f>
        <v/>
      </c>
      <c r="AF325" s="262" t="str">
        <f>IFERROR(IF(AND(COUNT(AB61,AD61,AE61,AF61)=4,(AB66+AD66+AE66+AF66)&lt;&gt;0),((AB61+AD61+AE61+AF61)-(AB160+AD160+AE160+AF160))/-(AB66+AD66+AE66+AF66),""),"")</f>
        <v/>
      </c>
      <c r="AG325" s="262" t="str">
        <f>IFERROR(IF(AND(COUNT(AC61,AD61,AE61,AF61)=4,(AC66+AD66+AE66+AF66)&lt;&gt;0),((AC61+AD61+AE61+AF61)-(AC160+AD160+AE160+AF160))/-(AC66+AD66+AE66+AF66),""),"")</f>
        <v/>
      </c>
      <c r="AH325" s="262" t="str">
        <f>IFERROR(IF(AND(COUNT(AD61,AF61,AG61,AH61)=4,(AD66+AF66+AG66+AH66)&lt;&gt;0),((AD61+AF61+AG61+AH61)-(AD160+AF160+AG160+AH160))/-(AD66+AF66+AG66+AH66),""),"")</f>
        <v/>
      </c>
      <c r="AI325" s="262" t="str">
        <f>IFERROR(IF(AND(COUNT(AE61,AG61,AH61,AI61)=4,(AE66+AG66+AH66+AI66)&lt;&gt;0),((AE61+AG61+AH61+AI61)-(AE160+AG160+AH160+AI160))/-(AE66+AG66+AH66+AI66),""),"")</f>
        <v/>
      </c>
      <c r="AJ325" s="262" t="str">
        <f>IFERROR(IF(AND(COUNT(AF61,AH61,AI61,AJ61)=4,(AF66+AH66+AI66+AJ66)&lt;&gt;0),((AF61+AH61+AI61+AJ61)-(AF160+AH160+AI160+AJ160))/-(AF66+AH66+AI66+AJ66),""),"")</f>
        <v/>
      </c>
      <c r="AK325" s="262" t="str">
        <f>IFERROR(IF(AND(COUNT(AH61,AI61,AJ61,AK61)=4,(AH66+AI66+AJ66+AK66)&lt;&gt;0),((AH61+AI61+AJ61+AK61)-(AH160+AI160+AJ160+AK160))/-(AH66+AI66+AJ66+AK66),""),"")</f>
        <v/>
      </c>
      <c r="AL325" s="262" t="str">
        <f>IFERROR(IF(AND(COUNT(AH61,AI61,AJ61,AK61)=4,(AH66+AI66+AJ66+AK66)&lt;&gt;0),((AH61+AI61+AJ61+AK61)-(AH160+AI160+AJ160+AK160))/-(AH66+AI66+AJ66+AK66),""),"")</f>
        <v/>
      </c>
      <c r="AM325" s="262" t="str">
        <f>IFERROR(IF(AND(COUNT(AI61,AJ61,AK61,AM61)=4,(AI66+AJ66+AK66+AM66)&lt;&gt;0),((AI61+AJ61+AK61+AM61)-(AI160+AJ160+AK160+AM160))/-(AI66+AJ66+AK66+AM66),""),"")</f>
        <v/>
      </c>
      <c r="AN325" s="262" t="str">
        <f>IFERROR(IF(AND(COUNT(AJ61,AK61,AM61,AN61)=4,(AJ66+AK66+AM66+AN66)&lt;&gt;0),((AJ61+AK61+AM61+AN61)-(AJ160+AK160+AM160+AN160))/-(AJ66+AK66+AM66+AN66),""),"")</f>
        <v/>
      </c>
      <c r="AO325" s="262" t="str">
        <f>IFERROR(IF(AND(COUNT(AK61,AM61,AN61,AO61)=4,(AK66+AM66+AN66+AO66)&lt;&gt;0),((AK61+AM61+AN61+AO61)-(AK160+AM160+AN160+AO160))/-(AK66+AM66+AN66+AO66),""),"")</f>
        <v/>
      </c>
      <c r="AP325" s="262" t="str">
        <f>IFERROR(IF(AND(COUNT(AM61,AN61,AO61,AP61)=4,(AM66+AN66+AO66+AP66)&lt;&gt;0),((AM61+AN61+AO61+AP61)-(AM160+AN160+AO160+AP160))/-(AM66+AN66+AO66+AP66),""),"")</f>
        <v/>
      </c>
      <c r="AQ325" s="262" t="str">
        <f>IFERROR(IF(AND(COUNT(AM61,AN61,AO61,AP61)=4,(AM66+AN66+AO66+AP66)&lt;&gt;0),((AM61+AN61+AO61+AP61)-(AM160+AN160+AO160+AP160))/-(AM66+AN66+AO66+AP66),""),"")</f>
        <v/>
      </c>
      <c r="AR325" s="262" t="str">
        <f>IFERROR(IF(AND(COUNT(AN61,AO61,AP61,AR61)=4,(AN66+AO66+AP66+AR66)&lt;&gt;0),((AN61+AO61+AP61+AR61)-(AN160+AO160+AP160+AR160))/-(AN66+AO66+AP66+AR66),""),"")</f>
        <v/>
      </c>
      <c r="AS325" s="262" t="str">
        <f>IFERROR(IF(AND(COUNT(AO61,AP61,AR61,AS61)=4,(AO66+AP66+AR66+AS66)&lt;&gt;0),((AO61+AP61+AR61+AS61)-(AO160+AP160+AR160+AS160))/-(AO66+AP66+AR66+AS66),""),"")</f>
        <v/>
      </c>
      <c r="AT325" s="262" t="str">
        <f>IFERROR(IF(AND(COUNT(AP61,AR61,AS61,AT61)=4,(AP66+AR66+AS66+AT66)&lt;&gt;0),((AP61+AR61+AS61+AT61)-(AP160+AR160+AS160+AT160))/-(AP66+AR66+AS66+AT66),""),"")</f>
        <v/>
      </c>
      <c r="AU325" s="262" t="str">
        <f>IFERROR(IF(AND(COUNT(AR61,AS61,AT61,AU61)=4,(AR66+AS66+AT66+AU66)&lt;&gt;0),((AR61+AS61+AT61+AU61)-(AR160+AS160+AT160+AU160))/-(AR66+AS66+AT66+AU66),""),"")</f>
        <v/>
      </c>
      <c r="AV325" s="262" t="str">
        <f>IFERROR(IF(AND(COUNT(AR61,AS61,AT61,AU61)=4,(AR66+AS66+AT66+AU66)&lt;&gt;0),((AR61+AS61+AT61+AU61)-(AR160+AS160+AT160+AU160))/-(AR66+AS66+AT66+AU66),""),"")</f>
        <v/>
      </c>
      <c r="AW325" s="262" t="str">
        <f>IFERROR(IF(AND(COUNT(AS61,AT61,AU61,AW61)=4,(AS66+AT66+AU66+AW66)&lt;&gt;0),((AS61+AT61+AU61+AW61)-(AS160+AT160+AU160+AW160))/-(AS66+AT66+AU66+AW66),""),"")</f>
        <v/>
      </c>
      <c r="AX325" s="262" t="str">
        <f>IFERROR(IF(AND(COUNT(AT61,AU61,AW61,AX61)=4,(AT66+AU66+AW66+AX66)&lt;&gt;0),((AT61+AU61+AW61+AX61)-(AT160+AU160+AW160+AX160))/-(AT66+AU66+AW66+AX66),""),"")</f>
        <v/>
      </c>
      <c r="AY325" s="262" t="str">
        <f>IFERROR(IF(AND(COUNT(AU61,AW61,AX61,AY61)=4,(AU66+AW66+AX66+AY66)&lt;&gt;0),((AU61+AW61+AX61+AY61)-(AU160+AW160+AX160+AY160))/-(AU66+AW66+AX66+AY66),""),"")</f>
        <v/>
      </c>
      <c r="AZ325" s="262" t="str">
        <f>IFERROR(IF(AND(COUNT(AW61,AX61,AY61,AZ61)=4,(AW66+AX66+AY66+AZ66)&lt;&gt;0),((AW61+AX61+AY61+AZ61)-(AW160+AX160+AY160+AZ160))/-(AW66+AX66+AY66+AZ66),""),"")</f>
        <v/>
      </c>
      <c r="BA325" s="262" t="str">
        <f>IFERROR(IF(AND(COUNT(AW61,AX61,AY61,AZ61)=4,(AW66+AX66+AY66+AZ66)&lt;&gt;0),((AW61+AX61+AY61+AZ61)-(AW160+AX160+AY160+AZ160))/-(AW66+AX66+AY66+AZ66),""),"")</f>
        <v/>
      </c>
      <c r="BB325" s="262" t="str">
        <f>IFERROR(IF(AND(COUNT(AX61,AY61,AZ61,BB61)=4,(AX66+AY66+AZ66+BB66)&lt;&gt;0),((AX61+AY61+AZ61+BB61)-(AX160+AY160+AZ160+BB160))/-(AX66+AY66+AZ66+BB66),""),"")</f>
        <v/>
      </c>
      <c r="BC325" s="262" t="str">
        <f>IFERROR(IF(AND(COUNT(AY61,AZ61,BB61,BC61)=4,(AY66+AZ66+BB66+BC66)&lt;&gt;0),((AY61+AZ61+BB61+BC61)-(AY160+AZ160+BB160+BC160))/-(AY66+AZ66+BB66+BC66),""),"")</f>
        <v/>
      </c>
      <c r="BD325" s="262" t="str">
        <f>IFERROR(IF(AND(COUNT(AZ61,BB61,BC61,BD61)=4,(AZ66+BB66+BC66+BD66)&lt;&gt;0),((AZ61+BB61+BC61+BD61)-(AZ160+BB160+BC160+BD160))/-(AZ66+BB66+BC66+BD66),""),"")</f>
        <v/>
      </c>
      <c r="BE325" s="262" t="str">
        <f>IFERROR(IF(AND(COUNT(BB61,BC61,BD61,BE61)=4,(BB66+BC66+BD66+BE66)&lt;&gt;0),((BB61+BC61+BD61+BE61)-(BB160+BC160+BD160+BE160))/-(BB66+BC66+BD66+BE66),""),"")</f>
        <v/>
      </c>
      <c r="BF325" s="262" t="str">
        <f>IFERROR(IF(AND(COUNT(BB61,BC61,BD61,BE61)=4,(BB66+BC66+BD66+BE66)&lt;&gt;0),((BB61+BC61+BD61+BE61)-(BB160+BC160+BD160+BE160))/-(BB66+BC66+BD66+BE66),""),"")</f>
        <v/>
      </c>
      <c r="BG325" s="82" t="n"/>
      <c r="BH325" s="82" t="n"/>
      <c r="BI325" s="82" t="n"/>
      <c r="BJ325" s="82" t="n"/>
      <c r="BL325" s="82" t="n"/>
      <c r="BM325" s="82" t="n"/>
      <c r="BN325" s="82" t="n"/>
      <c r="BO325" s="82" t="n"/>
      <c r="BQ325" s="82" t="n"/>
      <c r="BR325" s="82" t="n"/>
      <c r="BS325" s="82" t="n"/>
      <c r="BT325" s="82" t="n"/>
      <c r="BV325" s="82" t="n"/>
      <c r="BW325" s="82" t="n"/>
      <c r="BX325" s="82" t="n"/>
      <c r="BY325" s="82" t="n"/>
      <c r="CA325" s="82" t="n"/>
      <c r="CB325" s="82" t="n"/>
      <c r="CC325" s="82" t="n"/>
      <c r="CD325" s="82" t="n"/>
      <c r="CF325" s="82" t="n"/>
      <c r="CG325" s="82" t="n"/>
      <c r="CH325" s="82" t="n"/>
      <c r="CI325" s="82" t="n"/>
      <c r="CK325" s="82" t="n"/>
      <c r="CL325" s="82" t="n"/>
      <c r="CM325" s="82" t="n"/>
      <c r="CN325" s="82" t="n"/>
      <c r="CP325" s="82" t="n"/>
      <c r="CQ325" s="82" t="n"/>
      <c r="CR325" s="82" t="n"/>
      <c r="CS325" s="82" t="n"/>
      <c r="CU325" s="82" t="n"/>
      <c r="CV325" s="82" t="n"/>
      <c r="CW325" s="82" t="n"/>
      <c r="CX325" s="82" t="n"/>
    </row>
    <row r="326" customFormat="1" s="77">
      <c r="A326" s="76" t="n"/>
      <c r="B326" s="76" t="n"/>
      <c r="C326" s="77" t="inlineStr">
        <is>
          <t>TOTAL DEBT / EBITDA (LTM)</t>
        </is>
      </c>
      <c r="D326" s="82" t="str">
        <f>IFERROR(SUM(D204,D205,D206,D209,D227,D230)/D61,"")</f>
        <v/>
      </c>
      <c r="E326" s="82" t="str">
        <f>IFERROR(SUM(E204,E205,E206,E209,E227,E230)/E61,"")</f>
        <v/>
      </c>
      <c r="F326" s="82" t="str">
        <f>IFERROR(SUM(F204,F205,F206,F209,F227,F230)/F61,"")</f>
        <v/>
      </c>
      <c r="G326" s="82" t="str">
        <f>IFERROR(SUM(G204,G205,G206,G209,G227,G230)/G61,"")</f>
        <v/>
      </c>
      <c r="H326" s="262" t="str">
        <f>IFERROR(IF(AND(COUNT(H61)=1,(H61)&lt;&gt;0),(N(H204)+N(H205)+N(H206)+N(H209)+N(H227)+N(H230))/(H61),""),"")</f>
        <v/>
      </c>
      <c r="I326" s="262" t="str">
        <f>""</f>
        <v/>
      </c>
      <c r="J326" s="262" t="str">
        <f>""</f>
        <v/>
      </c>
      <c r="K326" s="262" t="str">
        <f>""</f>
        <v/>
      </c>
      <c r="L326" s="262">
        <f>IFERROR(IF(AND(COUNT(I61,J61,K61,L61)=4,(I61+J61+K61+L61)&lt;&gt;0),(N(L204)+N(L205)+N(L206)+N(L209)+N(L227)+N(L230))/(I61+J61+K61+L61),""),"")</f>
        <v>0.911810111925897</v>
      </c>
      <c r="M326" s="262">
        <f>IFERROR(IF(AND(COUNT(I61,J61,K61,L61)=4,(I61+J61+K61+L61)&lt;&gt;0),(N(M204)+N(M205)+N(M206)+N(M209)+N(M227)+N(M230))/(I61+J61+K61+L61),""),"")</f>
        <v>0.911810111925897</v>
      </c>
      <c r="N326" s="262">
        <f>IFERROR(IF(AND(COUNT(J61,K61,L61,N61)=4,(J61+K61+L61+N61)&lt;&gt;0),(N(N204)+N(N205)+N(N206)+N(N209)+N(N227)+N(N230))/(J61+K61+L61+N61),""),"")</f>
        <v>0.821535308684143</v>
      </c>
      <c r="O326" s="262">
        <f>IFERROR(IF(AND(COUNT(K61,L61,N61,O61)=4,(K61+L61+N61+O61)&lt;&gt;0),(N(O204)+N(O205)+N(O206)+N(O209)+N(O227)+N(O230))/(K61+L61+N61+O61),""),"")</f>
        <v>0.972641178533848</v>
      </c>
      <c r="P326" s="262">
        <f>IFERROR(IF(AND(COUNT(L61,N61,O61,P61)=4,(L61+N61+O61+P61)&lt;&gt;0),(N(P204)+N(P205)+N(P206)+N(P209)+N(P227)+N(P230))/(L61+N61+O61+P61),""),"")</f>
        <v>1.08154593282072</v>
      </c>
      <c r="Q326" s="262">
        <f>IFERROR(IF(AND(COUNT(N61,O61,P61,Q61)=4,(N61+O61+P61+Q61)&lt;&gt;0),(N(Q204)+N(Q205)+N(Q206)+N(Q209)+N(Q227)+N(Q230))/(N61+O61+P61+Q61),""),"")</f>
        <v>1.17270318021201</v>
      </c>
      <c r="R326" s="262">
        <f>IFERROR(IF(AND(COUNT(N61,O61,P61,Q61)=4,(N61+O61+P61+Q61)&lt;&gt;0),(N(R204)+N(R205)+N(R206)+N(R209)+N(R227)+N(R230))/(N61+O61+P61+Q61),""),"")</f>
        <v>1.17270318021201</v>
      </c>
      <c r="S326" s="262">
        <f>IFERROR(IF(AND(COUNT(O61,P61,Q61,S61)=4,(O61+P61+Q61+S61)&lt;&gt;0),(N(S204)+N(S205)+N(S206)+N(S209)+N(S227)+N(S230))/(O61+P61+Q61+S61),""),"")</f>
        <v>1.24194379994844</v>
      </c>
      <c r="T326" s="262">
        <f>IFERROR(IF(AND(COUNT(P61,Q61,S61,T61)=4,(P61+Q61+S61+T61)&lt;&gt;0),(N(T204)+N(T205)+N(T206)+N(T209)+N(T227)+N(T230))/(P61+Q61+S61+T61),""),"")</f>
        <v>1.27074411134904</v>
      </c>
      <c r="U326" s="262">
        <f>IFERROR(IF(AND(COUNT(Q61,S61,T61,U61)=4,(Q61+S61+T61+U61)&lt;&gt;0),(N(U204)+N(U205)+N(U206)+N(U209)+N(U227)+N(U230))/(Q61+S61+T61+U61),""),"")</f>
        <v>1.17167061168556</v>
      </c>
      <c r="V326" s="262">
        <f>IFERROR(IF(AND(COUNT(S61,T61,U61,V61)=4,(S61+T61+U61+V61)&lt;&gt;0),(N(V204)+N(V205)+N(V206)+N(V209)+N(V227)+N(V230))/(S61+T61+U61+V61),""),"")</f>
        <v>1.1361389123357</v>
      </c>
      <c r="W326" s="262">
        <f>IFERROR(IF(AND(COUNT(S61,T61,U61,V61)=4,(S61+T61+U61+V61)&lt;&gt;0),(N(W204)+N(W205)+N(W206)+N(W209)+N(W227)+N(W230))/(S61+T61+U61+V61),""),"")</f>
        <v>1.1361389123357</v>
      </c>
      <c r="X326" s="262">
        <f>IFERROR(IF(AND(COUNT(T61,U61,V61,X61)=4,(T61+U61+V61+X61)&lt;&gt;0),(N(X204)+N(X205)+N(X206)+N(X209)+N(X227)+N(X230))/(T61+U61+V61+X61),""),"")</f>
        <v>1.10596104200892</v>
      </c>
      <c r="Y326" s="262">
        <f>IFERROR(IF(AND(COUNT(U61,V61,X61,Y61)=4,(U61+V61+X61+Y61)&lt;&gt;0),(N(Y204)+N(Y205)+N(Y206)+N(Y209)+N(Y227)+N(Y230))/(U61+V61+X61+Y61),""),"")</f>
        <v>1.03321275896087</v>
      </c>
      <c r="Z326" s="262">
        <f>IFERROR(IF(AND(COUNT(V61,X61,Y61,Z61)=4,(V61+X61+Y61+Z61)&lt;&gt;0),(N(Z204)+N(Z205)+N(Z206)+N(Z209)+N(Z227)+N(Z230))/(V61+X61+Y61+Z61),""),"")</f>
        <v>1.00446243254462</v>
      </c>
      <c r="AA326" s="262">
        <f>IFERROR(IF(AND(COUNT(X61,Y61,Z61,AA61)=4,(X61+Y61+Z61+AA61)&lt;&gt;0),(N(AA204)+N(AA205)+N(AA206)+N(AA209)+N(AA227)+N(AA230))/(X61+Y61+Z61+AA61),""),"")</f>
        <v>0.982756727073037</v>
      </c>
      <c r="AB326" s="262">
        <f>IFERROR(IF(AND(COUNT(X61,Y61,Z61,AA61)=4,(X61+Y61+Z61+AA61)&lt;&gt;0),(N(AB204)+N(AB205)+N(AB206)+N(AB209)+N(AB227)+N(AB230))/(X61+Y61+Z61+AA61),""),"")</f>
        <v>0.982756727073037</v>
      </c>
      <c r="AC326" s="262">
        <f>IFERROR(IF(AND(COUNT(Y61,Z61,AA61,AC61)=4,(Y61+Z61+AA61+AC61)&lt;&gt;0),(N(AC204)+N(AC205)+N(AC206)+N(AC209)+N(AC227)+N(AC230))/(Y61+Z61+AA61+AC61),""),"")</f>
        <v>1.0877964141122</v>
      </c>
      <c r="AD326" s="262">
        <f>IFERROR(IF(AND(COUNT(Z61,AA61,AC61,AD61)=4,(Z61+AA61+AC61+AD61)&lt;&gt;0),(N(AD204)+N(AD205)+N(AD206)+N(AD209)+N(AD227)+N(AD230))/(Z61+AA61+AC61+AD61),""),"")</f>
        <v>1.00696636551649</v>
      </c>
      <c r="AE326" s="262">
        <f>IFERROR(IF(AND(COUNT(AA61,AC61,AD61,AE61)=4,(AA61+AC61+AD61+AE61)&lt;&gt;0),(N(AE204)+N(AE205)+N(AE206)+N(AE209)+N(AE227)+N(AE230))/(AA61+AC61+AD61+AE61),""),"")</f>
        <v>1.00562405364482</v>
      </c>
      <c r="AF326" s="262">
        <f>IFERROR(IF(AND(COUNT(AB61,AD61,AE61,AF61)=4,(AB61+AD61+AE61+AF61)&lt;&gt;0),(N(AF204)+N(AF205)+N(AF206)+N(AF209)+N(AF227)+N(AF230))/(AB61+AD61+AE61+AF61),""),"")</f>
        <v>0.645359672008945</v>
      </c>
      <c r="AG326" s="262">
        <f>IFERROR(IF(AND(COUNT(AC61,AD61,AE61,AF61)=4,(AC61+AD61+AE61+AF61)&lt;&gt;0),(N(AG204)+N(AG205)+N(AG206)+N(AG209)+N(AG227)+N(AG230))/(AC61+AD61+AE61+AF61),""),"")</f>
        <v>1.18568819904131</v>
      </c>
      <c r="AH326" s="262">
        <f>IFERROR(IF(AND(COUNT(AD61,AF61,AG61,AH61)=4,(AD61+AF61+AG61+AH61)&lt;&gt;0),(N(AH204)+N(AH205)+N(AH206)+N(AH209)+N(AH227)+N(AH230))/(AD61+AF61+AG61+AH61),""),"")</f>
        <v>0.657916376747422</v>
      </c>
      <c r="AI326" s="262">
        <f>IFERROR(IF(AND(COUNT(AE61,AG61,AH61,AI61)=4,(AE61+AG61+AH61+AI61)&lt;&gt;0),(N(AI204)+N(AI205)+N(AI206)+N(AI209)+N(AI227)+N(AI230))/(AE61+AG61+AH61+AI61),""),"")</f>
        <v>0.626451378809869</v>
      </c>
      <c r="AJ326" s="262">
        <f>IFERROR(IF(AND(COUNT(AF61,AH61,AI61,AJ61)=4,(AF61+AH61+AI61+AJ61)&lt;&gt;0),(N(AJ204)+N(AJ205)+N(AJ206)+N(AJ209)+N(AJ227)+N(AJ230))/(AF61+AH61+AI61+AJ61),""),"")</f>
        <v>1.15735458163034</v>
      </c>
      <c r="AK326" s="262">
        <f>IFERROR(IF(AND(COUNT(AH61,AI61,AJ61,AK61)=4,(AH61+AI61+AJ61+AK61)&lt;&gt;0),(N(AK204)+N(AK205)+N(AK206)+N(AK209)+N(AK227)+N(AK230))/(AH61+AI61+AJ61+AK61),""),"")</f>
        <v>1.0727667901779</v>
      </c>
      <c r="AL326" s="262">
        <f>IFERROR(IF(AND(COUNT(AH61,AI61,AJ61,AK61)=4,(AH61+AI61+AJ61+AK61)&lt;&gt;0),(N(AL204)+N(AL205)+N(AL206)+N(AL209)+N(AL227)+N(AL230))/(AH61+AI61+AJ61+AK61),""),"")</f>
        <v>1.0727667901779</v>
      </c>
      <c r="AM326" s="262">
        <f>IFERROR(IF(AND(COUNT(AI61,AJ61,AK61,AM61)=4,(AI61+AJ61+AK61+AM61)&lt;&gt;0),(N(AM204)+N(AM205)+N(AM206)+N(AM209)+N(AM227)+N(AM230))/(AI61+AJ61+AK61+AM61),""),"")</f>
        <v>1.12345458076435</v>
      </c>
      <c r="AN326" s="262">
        <f>IFERROR(IF(AND(COUNT(AJ61,AK61,AM61,AN61)=4,(AJ61+AK61+AM61+AN61)&lt;&gt;0),(N(AN204)+N(AN205)+N(AN206)+N(AN209)+N(AN227)+N(AN230))/(AJ61+AK61+AM61+AN61),""),"")</f>
        <v>1.12689611261498</v>
      </c>
      <c r="AO326" s="262">
        <f>IFERROR(IF(AND(COUNT(AK61,AM61,AN61,AO61)=4,(AK61+AM61+AN61+AO61)&lt;&gt;0),(N(AO204)+N(AO205)+N(AO206)+N(AO209)+N(AO227)+N(AO230))/(AK61+AM61+AN61+AO61),""),"")</f>
        <v>1.12297115686479</v>
      </c>
      <c r="AP326" s="262">
        <f>IFERROR(IF(AND(COUNT(AM61,AN61,AO61,AP61)=4,(AM61+AN61+AO61+AP61)&lt;&gt;0),(N(AP204)+N(AP205)+N(AP206)+N(AP209)+N(AP227)+N(AP230))/(AM61+AN61+AO61+AP61),""),"")</f>
        <v>1.11981991712579</v>
      </c>
      <c r="AQ326" s="262">
        <f>IFERROR(IF(AND(COUNT(AM61,AN61,AO61,AP61)=4,(AM61+AN61+AO61+AP61)&lt;&gt;0),(N(AQ204)+N(AQ205)+N(AQ206)+N(AQ209)+N(AQ227)+N(AQ230))/(AM61+AN61+AO61+AP61),""),"")</f>
        <v>1.11981991712579</v>
      </c>
      <c r="AR326" s="262">
        <f>IFERROR(IF(AND(COUNT(AN61,AO61,AP61,AR61)=4,(AN61+AO61+AP61+AR61)&lt;&gt;0),(N(AR204)+N(AR205)+N(AR206)+N(AR209)+N(AR227)+N(AR230))/(AN61+AO61+AP61+AR61),""),"")</f>
        <v>1.1176871883461</v>
      </c>
      <c r="AS326" s="262">
        <f>IFERROR(IF(AND(COUNT(AO61,AP61,AR61,AS61)=4,(AO61+AP61+AR61+AS61)&lt;&gt;0),(N(AS204)+N(AS205)+N(AS206)+N(AS209)+N(AS227)+N(AS230))/(AO61+AP61+AR61+AS61),""),"")</f>
        <v>1.1152922030394</v>
      </c>
      <c r="AT326" s="262">
        <f>IFERROR(IF(AND(COUNT(AP61,AR61,AS61,AT61)=4,(AP61+AR61+AS61+AT61)&lt;&gt;0),(N(AT204)+N(AT205)+N(AT206)+N(AT209)+N(AT227)+N(AT230))/(AP61+AR61+AS61+AT61),""),"")</f>
        <v>1.11289614814563</v>
      </c>
      <c r="AU326" s="262">
        <f>IFERROR(IF(AND(COUNT(AR61,AS61,AT61,AU61)=4,(AR61+AS61+AT61+AU61)&lt;&gt;0),(N(AU204)+N(AU205)+N(AU206)+N(AU209)+N(AU227)+N(AU230))/(AR61+AS61+AT61+AU61),""),"")</f>
        <v>1.11096777120025</v>
      </c>
      <c r="AV326" s="262">
        <f>IFERROR(IF(AND(COUNT(AR61,AS61,AT61,AU61)=4,(AR61+AS61+AT61+AU61)&lt;&gt;0),(N(AV204)+N(AV205)+N(AV206)+N(AV209)+N(AV227)+N(AV230))/(AR61+AS61+AT61+AU61),""),"")</f>
        <v>1.11096777120025</v>
      </c>
      <c r="AW326" s="262">
        <f>IFERROR(IF(AND(COUNT(AS61,AT61,AU61,AW61)=4,(AS61+AT61+AU61+AW61)&lt;&gt;0),(N(AW204)+N(AW205)+N(AW206)+N(AW209)+N(AW227)+N(AW230))/(AS61+AT61+AU61+AW61),""),"")</f>
        <v>1.11017869476401</v>
      </c>
      <c r="AX326" s="262">
        <f>IFERROR(IF(AND(COUNT(AT61,AU61,AW61,AX61)=4,(AT61+AU61+AW61+AX61)&lt;&gt;0),(N(AX204)+N(AX205)+N(AX206)+N(AX209)+N(AX227)+N(AX230))/(AT61+AU61+AW61+AX61),""),"")</f>
        <v>1.10929033355191</v>
      </c>
      <c r="AY326" s="262">
        <f>IFERROR(IF(AND(COUNT(AU61,AW61,AX61,AY61)=4,(AU61+AW61+AX61+AY61)&lt;&gt;0),(N(AY204)+N(AY205)+N(AY206)+N(AY209)+N(AY227)+N(AY230))/(AU61+AW61+AX61+AY61),""),"")</f>
        <v>1.10839918021221</v>
      </c>
      <c r="AZ326" s="262">
        <f>IFERROR(IF(AND(COUNT(AW61,AX61,AY61,AZ61)=4,(AW61+AX61+AY61+AZ61)&lt;&gt;0),(N(AZ204)+N(AZ205)+N(AZ206)+N(AZ209)+N(AZ227)+N(AZ230))/(AW61+AX61+AY61+AZ61),""),"")</f>
        <v>1.10768022144441</v>
      </c>
      <c r="BA326" s="262">
        <f>IFERROR(IF(AND(COUNT(AW61,AX61,AY61,AZ61)=4,(AW61+AX61+AY61+AZ61)&lt;&gt;0),(N(BA204)+N(BA205)+N(BA206)+N(BA209)+N(BA227)+N(BA230))/(AW61+AX61+AY61+AZ61),""),"")</f>
        <v>1.10768022144441</v>
      </c>
      <c r="BB326" s="262">
        <f>IFERROR(IF(AND(COUNT(AX61,AY61,AZ61,BB61)=4,(AX61+AY61+AZ61+BB61)&lt;&gt;0),(N(BB204)+N(BB205)+N(BB206)+N(BB209)+N(BB227)+N(BB230))/(AX61+AY61+AZ61+BB61),""),"")</f>
        <v>1.10768022144441</v>
      </c>
      <c r="BC326" s="262">
        <f>IFERROR(IF(AND(COUNT(AY61,AZ61,BB61,BC61)=4,(AY61+AZ61+BB61+BC61)&lt;&gt;0),(N(BC204)+N(BC205)+N(BC206)+N(BC209)+N(BC227)+N(BC230))/(AY61+AZ61+BB61+BC61),""),"")</f>
        <v>1.10768022144441</v>
      </c>
      <c r="BD326" s="262">
        <f>IFERROR(IF(AND(COUNT(AZ61,BB61,BC61,BD61)=4,(AZ61+BB61+BC61+BD61)&lt;&gt;0),(N(BD204)+N(BD205)+N(BD206)+N(BD209)+N(BD227)+N(BD230))/(AZ61+BB61+BC61+BD61),""),"")</f>
        <v>1.10768022144441</v>
      </c>
      <c r="BE326" s="262">
        <f>IFERROR(IF(AND(COUNT(BB61,BC61,BD61,BE61)=4,(BB61+BC61+BD61+BE61)&lt;&gt;0),(N(BE204)+N(BE205)+N(BE206)+N(BE209)+N(BE227)+N(BE230))/(BB61+BC61+BD61+BE61),""),"")</f>
        <v>1.10768022144441</v>
      </c>
      <c r="BF326" s="262">
        <f>IFERROR(IF(AND(COUNT(BB61,BC61,BD61,BE61)=4,(BB61+BC61+BD61+BE61)&lt;&gt;0),(N(BF204)+N(BF205)+N(BF206)+N(BF209)+N(BF227)+N(BF230))/(BB61+BC61+BD61+BE61),""),"")</f>
        <v>1.10768022144441</v>
      </c>
      <c r="BG326" s="82" t="n"/>
      <c r="BH326" s="82" t="n"/>
      <c r="BI326" s="82" t="n"/>
      <c r="BJ326" s="82" t="n"/>
      <c r="BL326" s="82" t="n"/>
      <c r="BM326" s="82" t="n"/>
      <c r="BN326" s="82" t="n"/>
      <c r="BO326" s="82" t="n"/>
      <c r="BQ326" s="82" t="n"/>
      <c r="BR326" s="82" t="n"/>
      <c r="BS326" s="82" t="n"/>
      <c r="BT326" s="82" t="n"/>
      <c r="BV326" s="82" t="n"/>
      <c r="BW326" s="82" t="n"/>
      <c r="BX326" s="82" t="n"/>
      <c r="BY326" s="82" t="n"/>
      <c r="CA326" s="82" t="n"/>
      <c r="CB326" s="82" t="n"/>
      <c r="CC326" s="82" t="n"/>
      <c r="CD326" s="82" t="n"/>
      <c r="CF326" s="82" t="n"/>
      <c r="CG326" s="82" t="n"/>
      <c r="CH326" s="82" t="n"/>
      <c r="CI326" s="82" t="n"/>
      <c r="CK326" s="82" t="n"/>
      <c r="CL326" s="82" t="n"/>
      <c r="CM326" s="82" t="n"/>
      <c r="CN326" s="82" t="n"/>
      <c r="CP326" s="82" t="n"/>
      <c r="CQ326" s="82" t="n"/>
      <c r="CR326" s="82" t="n"/>
      <c r="CS326" s="82" t="n"/>
      <c r="CU326" s="82" t="n"/>
      <c r="CV326" s="82" t="n"/>
      <c r="CW326" s="82" t="n"/>
      <c r="CX326" s="82" t="n"/>
    </row>
    <row r="327" customFormat="1" s="77">
      <c r="A327" s="76" t="n"/>
      <c r="B327" s="76" t="n"/>
      <c r="C327" s="77" t="inlineStr">
        <is>
          <t>TOTAL DEBT / TOTAL CAPITALIZATION</t>
        </is>
      </c>
      <c r="D327" s="80" t="str">
        <f>IFERROR(SUM(D204+D205+D206+D209+D227+D230)/(SUM(D204+D205+D206+D209+D227+D230)+D263),"")</f>
        <v/>
      </c>
      <c r="E327" s="80" t="str">
        <f>IFERROR(SUM(E204+E205+E206+E209+E227+E230)/(SUM(E204+E205+E206+E209+E227+E230)+E263),"")</f>
        <v/>
      </c>
      <c r="F327" s="80" t="str">
        <f>IFERROR(SUM(F204+F205+F206+F209+F227+F230)/(SUM(F204+F205+F206+F209+F227+F230)+F263),"")</f>
        <v/>
      </c>
      <c r="G327" s="80" t="str">
        <f>IFERROR(SUM(G204+G205+G206+G209+G227+G230)/(SUM(G204+G205+G206+G209+G227+G230)+G263),"")</f>
        <v/>
      </c>
      <c r="H327" s="258" t="str">
        <f>IFERROR(IF(((N(H204)+N(H205)+N(H206)+N(H209)+N(H227)+N(H230))+N(H263))&lt;&gt;0,(N(H204)+N(H205)+N(H206)+N(H209)+N(H227)+N(H230))/((N(H204)+N(H205)+N(H206)+N(H209)+N(H227)+N(H230))+H263),""),"")</f>
        <v/>
      </c>
      <c r="I327" s="258">
        <f>IFERROR(IF(((N(I204)+N(I205)+N(I206)+N(I209)+N(I227)+N(I230))+N(I263))&lt;&gt;0,(N(I204)+N(I205)+N(I206)+N(I209)+N(I227)+N(I230))/((N(I204)+N(I205)+N(I206)+N(I209)+N(I227)+N(I230))+I263),""),"")</f>
        <v>0.333843849976176</v>
      </c>
      <c r="J327" s="258">
        <f>IFERROR(IF(((N(J204)+N(J205)+N(J206)+N(J209)+N(J227)+N(J230))+N(J263))&lt;&gt;0,(N(J204)+N(J205)+N(J206)+N(J209)+N(J227)+N(J230))/((N(J204)+N(J205)+N(J206)+N(J209)+N(J227)+N(J230))+J263),""),"")</f>
        <v>0.316519751877245</v>
      </c>
      <c r="K327" s="258">
        <f>IFERROR(IF(((N(K204)+N(K205)+N(K206)+N(K209)+N(K227)+N(K230))+N(K263))&lt;&gt;0,(N(K204)+N(K205)+N(K206)+N(K209)+N(K227)+N(K230))/((N(K204)+N(K205)+N(K206)+N(K209)+N(K227)+N(K230))+K263),""),"")</f>
        <v>0.300192570505653</v>
      </c>
      <c r="L327" s="258">
        <f>IFERROR(IF(((N(L204)+N(L205)+N(L206)+N(L209)+N(L227)+N(L230))+N(L263))&lt;&gt;0,(N(L204)+N(L205)+N(L206)+N(L209)+N(L227)+N(L230))/((N(L204)+N(L205)+N(L206)+N(L209)+N(L227)+N(L230))+L263),""),"")</f>
        <v>0.29104684468262</v>
      </c>
      <c r="M327" s="258">
        <f>IFERROR(IF(((N(M204)+N(M205)+N(M206)+N(M209)+N(M227)+N(M230))+N(M263))&lt;&gt;0,(N(M204)+N(M205)+N(M206)+N(M209)+N(M227)+N(M230))/((N(M204)+N(M205)+N(M206)+N(M209)+N(M227)+N(M230))+M263),""),"")</f>
        <v>0.29104684468262</v>
      </c>
      <c r="N327" s="258">
        <f>IFERROR(IF(((N(N204)+N(N205)+N(N206)+N(N209)+N(N227)+N(N230))+N(N263))&lt;&gt;0,(N(N204)+N(N205)+N(N206)+N(N209)+N(N227)+N(N230))/((N(N204)+N(N205)+N(N206)+N(N209)+N(N227)+N(N230))+N263),""),"")</f>
        <v>0.285803404331165</v>
      </c>
      <c r="O327" s="258">
        <f>IFERROR(IF(((N(O204)+N(O205)+N(O206)+N(O209)+N(O227)+N(O230))+N(O263))&lt;&gt;0,(N(O204)+N(O205)+N(O206)+N(O209)+N(O227)+N(O230))/((N(O204)+N(O205)+N(O206)+N(O209)+N(O227)+N(O230))+O263),""),"")</f>
        <v>0.315660661942571</v>
      </c>
      <c r="P327" s="258">
        <f>IFERROR(IF(((N(P204)+N(P205)+N(P206)+N(P209)+N(P227)+N(P230))+N(P263))&lt;&gt;0,(N(P204)+N(P205)+N(P206)+N(P209)+N(P227)+N(P230))/((N(P204)+N(P205)+N(P206)+N(P209)+N(P227)+N(P230))+P263),""),"")</f>
        <v>0.3065584583178</v>
      </c>
      <c r="Q327" s="258">
        <f>IFERROR(IF(((N(Q204)+N(Q205)+N(Q206)+N(Q209)+N(Q227)+N(Q230))+N(Q263))&lt;&gt;0,(N(Q204)+N(Q205)+N(Q206)+N(Q209)+N(Q227)+N(Q230))/((N(Q204)+N(Q205)+N(Q206)+N(Q209)+N(Q227)+N(Q230))+Q263),""),"")</f>
        <v>0.299230790904736</v>
      </c>
      <c r="R327" s="258">
        <f>IFERROR(IF(((N(R204)+N(R205)+N(R206)+N(R209)+N(R227)+N(R230))+N(R263))&lt;&gt;0,(N(R204)+N(R205)+N(R206)+N(R209)+N(R227)+N(R230))/((N(R204)+N(R205)+N(R206)+N(R209)+N(R227)+N(R230))+R263),""),"")</f>
        <v>0.299230790904736</v>
      </c>
      <c r="S327" s="258">
        <f>IFERROR(IF(((N(S204)+N(S205)+N(S206)+N(S209)+N(S227)+N(S230))+N(S263))&lt;&gt;0,(N(S204)+N(S205)+N(S206)+N(S209)+N(S227)+N(S230))/((N(S204)+N(S205)+N(S206)+N(S209)+N(S227)+N(S230))+S263),""),"")</f>
        <v>0.2730776861378</v>
      </c>
      <c r="T327" s="258">
        <f>IFERROR(IF(((N(T204)+N(T205)+N(T206)+N(T209)+N(T227)+N(T230))+N(T263))&lt;&gt;0,(N(T204)+N(T205)+N(T206)+N(T209)+N(T227)+N(T230))/((N(T204)+N(T205)+N(T206)+N(T209)+N(T227)+N(T230))+T263),""),"")</f>
        <v>0.267299138562018</v>
      </c>
      <c r="U327" s="258">
        <f>IFERROR(IF(((N(U204)+N(U205)+N(U206)+N(U209)+N(U227)+N(U230))+N(U263))&lt;&gt;0,(N(U204)+N(U205)+N(U206)+N(U209)+N(U227)+N(U230))/((N(U204)+N(U205)+N(U206)+N(U209)+N(U227)+N(U230))+U263),""),"")</f>
        <v>0.260656282911147</v>
      </c>
      <c r="V327" s="258">
        <f>IFERROR(IF(((N(V204)+N(V205)+N(V206)+N(V209)+N(V227)+N(V230))+N(V263))&lt;&gt;0,(N(V204)+N(V205)+N(V206)+N(V209)+N(V227)+N(V230))/((N(V204)+N(V205)+N(V206)+N(V209)+N(V227)+N(V230))+V263),""),"")</f>
        <v>0.256506588260917</v>
      </c>
      <c r="W327" s="258">
        <f>IFERROR(IF(((N(W204)+N(W205)+N(W206)+N(W209)+N(W227)+N(W230))+N(W263))&lt;&gt;0,(N(W204)+N(W205)+N(W206)+N(W209)+N(W227)+N(W230))/((N(W204)+N(W205)+N(W206)+N(W209)+N(W227)+N(W230))+W263),""),"")</f>
        <v>0.256506588260917</v>
      </c>
      <c r="X327" s="258">
        <f>IFERROR(IF(((N(X204)+N(X205)+N(X206)+N(X209)+N(X227)+N(X230))+N(X263))&lt;&gt;0,(N(X204)+N(X205)+N(X206)+N(X209)+N(X227)+N(X230))/((N(X204)+N(X205)+N(X206)+N(X209)+N(X227)+N(X230))+X263),""),"")</f>
        <v>0.25113242739142</v>
      </c>
      <c r="Y327" s="258">
        <f>IFERROR(IF(((N(Y204)+N(Y205)+N(Y206)+N(Y209)+N(Y227)+N(Y230))+N(Y263))&lt;&gt;0,(N(Y204)+N(Y205)+N(Y206)+N(Y209)+N(Y227)+N(Y230))/((N(Y204)+N(Y205)+N(Y206)+N(Y209)+N(Y227)+N(Y230))+Y263),""),"")</f>
        <v>0.247323677581864</v>
      </c>
      <c r="Z327" s="258">
        <f>IFERROR(IF(((N(Z204)+N(Z205)+N(Z206)+N(Z209)+N(Z227)+N(Z230))+N(Z263))&lt;&gt;0,(N(Z204)+N(Z205)+N(Z206)+N(Z209)+N(Z227)+N(Z230))/((N(Z204)+N(Z205)+N(Z206)+N(Z209)+N(Z227)+N(Z230))+Z263),""),"")</f>
        <v>0.251109093267609</v>
      </c>
      <c r="AA327" s="258">
        <f>IFERROR(IF(((N(AA204)+N(AA205)+N(AA206)+N(AA209)+N(AA227)+N(AA230))+N(AA263))&lt;&gt;0,(N(AA204)+N(AA205)+N(AA206)+N(AA209)+N(AA227)+N(AA230))/((N(AA204)+N(AA205)+N(AA206)+N(AA209)+N(AA227)+N(AA230))+AA263),""),"")</f>
        <v>0.237183904999205</v>
      </c>
      <c r="AB327" s="258">
        <f>IFERROR(IF(((N(AB204)+N(AB205)+N(AB206)+N(AB209)+N(AB227)+N(AB230))+N(AB263))&lt;&gt;0,(N(AB204)+N(AB205)+N(AB206)+N(AB209)+N(AB227)+N(AB230))/((N(AB204)+N(AB205)+N(AB206)+N(AB209)+N(AB227)+N(AB230))+AB263),""),"")</f>
        <v>0.237183904999205</v>
      </c>
      <c r="AC327" s="258">
        <f>IFERROR(IF(((N(AC204)+N(AC205)+N(AC206)+N(AC209)+N(AC227)+N(AC230))+N(AC263))&lt;&gt;0,(N(AC204)+N(AC205)+N(AC206)+N(AC209)+N(AC227)+N(AC230))/((N(AC204)+N(AC205)+N(AC206)+N(AC209)+N(AC227)+N(AC230))+AC263),""),"")</f>
        <v>0.243513387539489</v>
      </c>
      <c r="AD327" s="258">
        <f>IFERROR(IF(((N(AD204)+N(AD205)+N(AD206)+N(AD209)+N(AD227)+N(AD230))+N(AD263))&lt;&gt;0,(N(AD204)+N(AD205)+N(AD206)+N(AD209)+N(AD227)+N(AD230))/((N(AD204)+N(AD205)+N(AD206)+N(AD209)+N(AD227)+N(AD230))+AD263),""),"")</f>
        <v>0.235712283741432</v>
      </c>
      <c r="AE327" s="258">
        <f>IFERROR(IF(((N(AE204)+N(AE205)+N(AE206)+N(AE209)+N(AE227)+N(AE230))+N(AE263))&lt;&gt;0,(N(AE204)+N(AE205)+N(AE206)+N(AE209)+N(AE227)+N(AE230))/((N(AE204)+N(AE205)+N(AE206)+N(AE209)+N(AE227)+N(AE230))+AE263),""),"")</f>
        <v>0.234236049880338</v>
      </c>
      <c r="AF327" s="258">
        <f>IFERROR(IF(((N(AF204)+N(AF205)+N(AF206)+N(AF209)+N(AF227)+N(AF230))+N(AF263))&lt;&gt;0,(N(AF204)+N(AF205)+N(AF206)+N(AF209)+N(AF227)+N(AF230))/((N(AF204)+N(AF205)+N(AF206)+N(AF209)+N(AF227)+N(AF230))+AF263),""),"")</f>
        <v>0.252435913011785</v>
      </c>
      <c r="AG327" s="258">
        <f>IFERROR(IF(((N(AG204)+N(AG205)+N(AG206)+N(AG209)+N(AG227)+N(AG230))+N(AG263))&lt;&gt;0,(N(AG204)+N(AG205)+N(AG206)+N(AG209)+N(AG227)+N(AG230))/((N(AG204)+N(AG205)+N(AG206)+N(AG209)+N(AG227)+N(AG230))+AG263),""),"")</f>
        <v>0.252435913011785</v>
      </c>
      <c r="AH327" s="258">
        <f>IFERROR(IF(((N(AH204)+N(AH205)+N(AH206)+N(AH209)+N(AH227)+N(AH230))+N(AH263))&lt;&gt;0,(N(AH204)+N(AH205)+N(AH206)+N(AH209)+N(AH227)+N(AH230))/((N(AH204)+N(AH205)+N(AH206)+N(AH209)+N(AH227)+N(AH230))+AH263),""),"")</f>
        <v>0.248162817331552</v>
      </c>
      <c r="AI327" s="258">
        <f>IFERROR(IF(((N(AI204)+N(AI205)+N(AI206)+N(AI209)+N(AI227)+N(AI230))+N(AI263))&lt;&gt;0,(N(AI204)+N(AI205)+N(AI206)+N(AI209)+N(AI227)+N(AI230))/((N(AI204)+N(AI205)+N(AI206)+N(AI209)+N(AI227)+N(AI230))+AI263),""),"")</f>
        <v>0.243277518141894</v>
      </c>
      <c r="AJ327" s="258">
        <f>IFERROR(IF(((N(AJ204)+N(AJ205)+N(AJ206)+N(AJ209)+N(AJ227)+N(AJ230))+N(AJ263))&lt;&gt;0,(N(AJ204)+N(AJ205)+N(AJ206)+N(AJ209)+N(AJ227)+N(AJ230))/((N(AJ204)+N(AJ205)+N(AJ206)+N(AJ209)+N(AJ227)+N(AJ230))+AJ263),""),"")</f>
        <v>0.236436022285302</v>
      </c>
      <c r="AK327" s="258">
        <f>IFERROR(IF(((N(AK204)+N(AK205)+N(AK206)+N(AK209)+N(AK227)+N(AK230))+N(AK263))&lt;&gt;0,(N(AK204)+N(AK205)+N(AK206)+N(AK209)+N(AK227)+N(AK230))/((N(AK204)+N(AK205)+N(AK206)+N(AK209)+N(AK227)+N(AK230))+AK263),""),"")</f>
        <v>0.231183258806813</v>
      </c>
      <c r="AL327" s="258">
        <f>IFERROR(IF(((N(AL204)+N(AL205)+N(AL206)+N(AL209)+N(AL227)+N(AL230))+N(AL263))&lt;&gt;0,(N(AL204)+N(AL205)+N(AL206)+N(AL209)+N(AL227)+N(AL230))/((N(AL204)+N(AL205)+N(AL206)+N(AL209)+N(AL227)+N(AL230))+AL263),""),"")</f>
        <v>0.231183258806813</v>
      </c>
      <c r="AM327" s="258">
        <f>IFERROR(IF(((N(AM204)+N(AM205)+N(AM206)+N(AM209)+N(AM227)+N(AM230))+N(AM263))&lt;&gt;0,(N(AM204)+N(AM205)+N(AM206)+N(AM209)+N(AM227)+N(AM230))/((N(AM204)+N(AM205)+N(AM206)+N(AM209)+N(AM227)+N(AM230))+AM263),""),"")</f>
        <v>0.225635610881091</v>
      </c>
      <c r="AN327" s="258">
        <f>IFERROR(IF(((N(AN204)+N(AN205)+N(AN206)+N(AN209)+N(AN227)+N(AN230))+N(AN263))&lt;&gt;0,(N(AN204)+N(AN205)+N(AN206)+N(AN209)+N(AN227)+N(AN230))/((N(AN204)+N(AN205)+N(AN206)+N(AN209)+N(AN227)+N(AN230))+AN263),""),"")</f>
        <v>0.219691425274373</v>
      </c>
      <c r="AO327" s="258">
        <f>IFERROR(IF(((N(AO204)+N(AO205)+N(AO206)+N(AO209)+N(AO227)+N(AO230))+N(AO263))&lt;&gt;0,(N(AO204)+N(AO205)+N(AO206)+N(AO209)+N(AO227)+N(AO230))/((N(AO204)+N(AO205)+N(AO206)+N(AO209)+N(AO227)+N(AO230))+AO263),""),"")</f>
        <v>0.21402627600674</v>
      </c>
      <c r="AP327" s="258">
        <f>IFERROR(IF(((N(AP204)+N(AP205)+N(AP206)+N(AP209)+N(AP227)+N(AP230))+N(AP263))&lt;&gt;0,(N(AP204)+N(AP205)+N(AP206)+N(AP209)+N(AP227)+N(AP230))/((N(AP204)+N(AP205)+N(AP206)+N(AP209)+N(AP227)+N(AP230))+AP263),""),"")</f>
        <v>0.209658177438612</v>
      </c>
      <c r="AQ327" s="258">
        <f>IFERROR(IF(((N(AQ204)+N(AQ205)+N(AQ206)+N(AQ209)+N(AQ227)+N(AQ230))+N(AQ263))&lt;&gt;0,(N(AQ204)+N(AQ205)+N(AQ206)+N(AQ209)+N(AQ227)+N(AQ230))/((N(AQ204)+N(AQ205)+N(AQ206)+N(AQ209)+N(AQ227)+N(AQ230))+AQ263),""),"")</f>
        <v>0.209658177438612</v>
      </c>
      <c r="AR327" s="258">
        <f>IFERROR(IF(((N(AR204)+N(AR205)+N(AR206)+N(AR209)+N(AR227)+N(AR230))+N(AR263))&lt;&gt;0,(N(AR204)+N(AR205)+N(AR206)+N(AR209)+N(AR227)+N(AR230))/((N(AR204)+N(AR205)+N(AR206)+N(AR209)+N(AR227)+N(AR230))+AR263),""),"")</f>
        <v>0.205049647353831</v>
      </c>
      <c r="AS327" s="258">
        <f>IFERROR(IF(((N(AS204)+N(AS205)+N(AS206)+N(AS209)+N(AS227)+N(AS230))+N(AS263))&lt;&gt;0,(N(AS204)+N(AS205)+N(AS206)+N(AS209)+N(AS227)+N(AS230))/((N(AS204)+N(AS205)+N(AS206)+N(AS209)+N(AS227)+N(AS230))+AS263),""),"")</f>
        <v>0.200090535403304</v>
      </c>
      <c r="AT327" s="258">
        <f>IFERROR(IF(((N(AT204)+N(AT205)+N(AT206)+N(AT209)+N(AT227)+N(AT230))+N(AT263))&lt;&gt;0,(N(AT204)+N(AT205)+N(AT206)+N(AT209)+N(AT227)+N(AT230))/((N(AT204)+N(AT205)+N(AT206)+N(AT209)+N(AT227)+N(AT230))+AT263),""),"")</f>
        <v>0.195343703563043</v>
      </c>
      <c r="AU327" s="258">
        <f>IFERROR(IF(((N(AU204)+N(AU205)+N(AU206)+N(AU209)+N(AU227)+N(AU230))+N(AU263))&lt;&gt;0,(N(AU204)+N(AU205)+N(AU206)+N(AU209)+N(AU227)+N(AU230))/((N(AU204)+N(AU205)+N(AU206)+N(AU209)+N(AU227)+N(AU230))+AU263),""),"")</f>
        <v>0.191669919434365</v>
      </c>
      <c r="AV327" s="258">
        <f>IFERROR(IF(((N(AV204)+N(AV205)+N(AV206)+N(AV209)+N(AV227)+N(AV230))+N(AV263))&lt;&gt;0,(N(AV204)+N(AV205)+N(AV206)+N(AV209)+N(AV227)+N(AV230))/((N(AV204)+N(AV205)+N(AV206)+N(AV209)+N(AV227)+N(AV230))+AV263),""),"")</f>
        <v>0.191669919434365</v>
      </c>
      <c r="AW327" s="258">
        <f>IFERROR(IF(((N(AW204)+N(AW205)+N(AW206)+N(AW209)+N(AW227)+N(AW230))+N(AW263))&lt;&gt;0,(N(AW204)+N(AW205)+N(AW206)+N(AW209)+N(AW227)+N(AW230))/((N(AW204)+N(AW205)+N(AW206)+N(AW209)+N(AW227)+N(AW230))+AW263),""),"")</f>
        <v>0.187799770564268</v>
      </c>
      <c r="AX327" s="258">
        <f>IFERROR(IF(((N(AX204)+N(AX205)+N(AX206)+N(AX209)+N(AX227)+N(AX230))+N(AX263))&lt;&gt;0,(N(AX204)+N(AX205)+N(AX206)+N(AX209)+N(AX227)+N(AX230))/((N(AX204)+N(AX205)+N(AX206)+N(AX209)+N(AX227)+N(AX230))+AX263),""),"")</f>
        <v>0.183619360104846</v>
      </c>
      <c r="AY327" s="258">
        <f>IFERROR(IF(((N(AY204)+N(AY205)+N(AY206)+N(AY209)+N(AY227)+N(AY230))+N(AY263))&lt;&gt;0,(N(AY204)+N(AY205)+N(AY206)+N(AY209)+N(AY227)+N(AY230))/((N(AY204)+N(AY205)+N(AY206)+N(AY209)+N(AY227)+N(AY230))+AY263),""),"")</f>
        <v>0.179602417828568</v>
      </c>
      <c r="AZ327" s="258">
        <f>IFERROR(IF(((N(AZ204)+N(AZ205)+N(AZ206)+N(AZ209)+N(AZ227)+N(AZ230))+N(AZ263))&lt;&gt;0,(N(AZ204)+N(AZ205)+N(AZ206)+N(AZ209)+N(AZ227)+N(AZ230))/((N(AZ204)+N(AZ205)+N(AZ206)+N(AZ209)+N(AZ227)+N(AZ230))+AZ263),""),"")</f>
        <v>0.176483078894271</v>
      </c>
      <c r="BA327" s="258">
        <f>IFERROR(IF(((N(BA204)+N(BA205)+N(BA206)+N(BA209)+N(BA227)+N(BA230))+N(BA263))&lt;&gt;0,(N(BA204)+N(BA205)+N(BA206)+N(BA209)+N(BA227)+N(BA230))/((N(BA204)+N(BA205)+N(BA206)+N(BA209)+N(BA227)+N(BA230))+BA263),""),"")</f>
        <v>0.176483078894271</v>
      </c>
      <c r="BB327" s="258">
        <f>IFERROR(IF(((N(BB204)+N(BB205)+N(BB206)+N(BB209)+N(BB227)+N(BB230))+N(BB263))&lt;&gt;0,(N(BB204)+N(BB205)+N(BB206)+N(BB209)+N(BB227)+N(BB230))/((N(BB204)+N(BB205)+N(BB206)+N(BB209)+N(BB227)+N(BB230))+BB263),""),"")</f>
        <v>0.173196672483479</v>
      </c>
      <c r="BC327" s="258">
        <f>IFERROR(IF(((N(BC204)+N(BC205)+N(BC206)+N(BC209)+N(BC227)+N(BC230))+N(BC263))&lt;&gt;0,(N(BC204)+N(BC205)+N(BC206)+N(BC209)+N(BC227)+N(BC230))/((N(BC204)+N(BC205)+N(BC206)+N(BC209)+N(BC227)+N(BC230))+BC263),""),"")</f>
        <v>0.169634948393452</v>
      </c>
      <c r="BD327" s="258">
        <f>IFERROR(IF(((N(BD204)+N(BD205)+N(BD206)+N(BD209)+N(BD227)+N(BD230))+N(BD263))&lt;&gt;0,(N(BD204)+N(BD205)+N(BD206)+N(BD209)+N(BD227)+N(BD230))/((N(BD204)+N(BD205)+N(BD206)+N(BD209)+N(BD227)+N(BD230))+BD263),""),"")</f>
        <v>0.166200843959804</v>
      </c>
      <c r="BE327" s="258">
        <f>IFERROR(IF(((N(BE204)+N(BE205)+N(BE206)+N(BE209)+N(BE227)+N(BE230))+N(BE263))&lt;&gt;0,(N(BE204)+N(BE205)+N(BE206)+N(BE209)+N(BE227)+N(BE230))/((N(BE204)+N(BE205)+N(BE206)+N(BE209)+N(BE227)+N(BE230))+BE263),""),"")</f>
        <v>0.16352618844736</v>
      </c>
      <c r="BF327" s="258">
        <f>IFERROR(IF(((N(BF204)+N(BF205)+N(BF206)+N(BF209)+N(BF227)+N(BF230))+N(BF263))&lt;&gt;0,(N(BF204)+N(BF205)+N(BF206)+N(BF209)+N(BF227)+N(BF230))/((N(BF204)+N(BF205)+N(BF206)+N(BF209)+N(BF227)+N(BF230))+BF263),""),"")</f>
        <v>0.16352618844736</v>
      </c>
      <c r="BG327" s="80" t="n"/>
      <c r="BH327" s="80" t="n"/>
      <c r="BI327" s="80" t="n"/>
      <c r="BJ327" s="80" t="n"/>
      <c r="BL327" s="80" t="n"/>
      <c r="BM327" s="80" t="n"/>
      <c r="BN327" s="80" t="n"/>
      <c r="BO327" s="80" t="n"/>
      <c r="BQ327" s="80" t="n"/>
      <c r="BR327" s="80" t="n"/>
      <c r="BS327" s="80" t="n"/>
      <c r="BT327" s="80" t="n"/>
      <c r="BV327" s="80" t="n"/>
      <c r="BW327" s="80" t="n"/>
      <c r="BX327" s="80" t="n"/>
      <c r="BY327" s="80" t="n"/>
      <c r="CA327" s="80" t="n"/>
      <c r="CB327" s="80" t="n"/>
      <c r="CC327" s="80" t="n"/>
      <c r="CD327" s="80" t="n"/>
      <c r="CF327" s="80" t="n"/>
      <c r="CG327" s="80" t="n"/>
      <c r="CH327" s="80" t="n"/>
      <c r="CI327" s="80" t="n"/>
      <c r="CK327" s="80" t="n"/>
      <c r="CL327" s="80" t="n"/>
      <c r="CM327" s="80" t="n"/>
      <c r="CN327" s="80" t="n"/>
      <c r="CP327" s="80" t="n"/>
      <c r="CQ327" s="80" t="n"/>
      <c r="CR327" s="80" t="n"/>
      <c r="CS327" s="80" t="n"/>
      <c r="CU327" s="80" t="n"/>
      <c r="CV327" s="80" t="n"/>
      <c r="CW327" s="80" t="n"/>
      <c r="CX327" s="80" t="n"/>
    </row>
    <row r="328" customFormat="1" s="77">
      <c r="A328" s="76" t="n"/>
      <c r="B328" s="76" t="n"/>
      <c r="C328" s="77" t="inlineStr">
        <is>
          <t>NET DEBT / EBITDA (LTM)</t>
        </is>
      </c>
      <c r="D328" s="82" t="str">
        <f>IFERROR(SUM((D204+D205+D206+D209+D227)-D136)/(D61*4),"")</f>
        <v/>
      </c>
      <c r="E328" s="82" t="str">
        <f>IFERROR(SUM((E204+E205+E206+E209+E227)-E136)/(E61*4),"")</f>
        <v/>
      </c>
      <c r="F328" s="82" t="str">
        <f>IFERROR(SUM((F204+F205+F206+F209+F227)-F136)/(F61*4),"")</f>
        <v/>
      </c>
      <c r="G328" s="82" t="str">
        <f>IFERROR(SUM((G204+G205+G206+G209+G227)-G136)/(G61*4),"")</f>
        <v/>
      </c>
      <c r="H328" s="262" t="str">
        <f>IFERROR(IF(AND(COUNT(H61)=1,(H61)&lt;&gt;0),((N(H204)+N(H205)+N(H206)+N(H209)+N(H227)+N(H230))-N(H136))/(H61),""),"")</f>
        <v/>
      </c>
      <c r="I328" s="262" t="str">
        <f>""</f>
        <v/>
      </c>
      <c r="J328" s="262" t="str">
        <f>""</f>
        <v/>
      </c>
      <c r="K328" s="262" t="str">
        <f>""</f>
        <v/>
      </c>
      <c r="L328" s="262">
        <f>IFERROR(IF(AND(COUNT(I61,J61,K61,L61)=4,(I61+J61+K61+L61)&lt;&gt;0),((N(L204)+N(L205)+N(L206)+N(L209)+N(L227)+N(L230))-N(L136))/(I61+J61+K61+L61),""),"")</f>
        <v>-0.668853724430722</v>
      </c>
      <c r="M328" s="262">
        <f>IFERROR(IF(AND(COUNT(I61,J61,K61,L61)=4,(I61+J61+K61+L61)&lt;&gt;0),((N(M204)+N(M205)+N(M206)+N(M209)+N(M227)+N(M230))-N(M136))/(I61+J61+K61+L61),""),"")</f>
        <v>-0.668853724430722</v>
      </c>
      <c r="N328" s="262">
        <f>IFERROR(IF(AND(COUNT(J61,K61,L61,N61)=4,(J61+K61+L61+N61)&lt;&gt;0),((N(N204)+N(N205)+N(N206)+N(N209)+N(N227)+N(N230))-N(N136))/(J61+K61+L61+N61),""),"")</f>
        <v>0.109555119118777</v>
      </c>
      <c r="O328" s="262">
        <f>IFERROR(IF(AND(COUNT(K61,L61,N61,O61)=4,(K61+L61+N61+O61)&lt;&gt;0),((N(O204)+N(O205)+N(O206)+N(O209)+N(O227)+N(O230))-N(O136))/(K61+L61+N61+O61),""),"")</f>
        <v>0.14030164854437</v>
      </c>
      <c r="P328" s="262">
        <f>IFERROR(IF(AND(COUNT(L61,N61,O61,P61)=4,(L61+N61+O61+P61)&lt;&gt;0),((N(P204)+N(P205)+N(P206)+N(P209)+N(P227)+N(P230))-N(P136))/(L61+N61+O61+P61),""),"")</f>
        <v>0.213678672602185</v>
      </c>
      <c r="Q328" s="262">
        <f>IFERROR(IF(AND(COUNT(N61,O61,P61,Q61)=4,(N61+O61+P61+Q61)&lt;&gt;0),((N(Q204)+N(Q205)+N(Q206)+N(Q209)+N(Q227)+N(Q230))-N(Q136))/(N61+O61+P61+Q61),""),"")</f>
        <v>-0.653268551236749</v>
      </c>
      <c r="R328" s="262">
        <f>IFERROR(IF(AND(COUNT(N61,O61,P61,Q61)=4,(N61+O61+P61+Q61)&lt;&gt;0),((N(R204)+N(R205)+N(R206)+N(R209)+N(R227)+N(R230))-N(R136))/(N61+O61+P61+Q61),""),"")</f>
        <v>-0.653268551236749</v>
      </c>
      <c r="S328" s="262">
        <f>IFERROR(IF(AND(COUNT(O61,P61,Q61,S61)=4,(O61+P61+Q61+S61)&lt;&gt;0),((N(S204)+N(S205)+N(S206)+N(S209)+N(S227)+N(S230))-N(S136))/(O61+P61+Q61+S61),""),"")</f>
        <v>0.358726475895849</v>
      </c>
      <c r="T328" s="262">
        <f>IFERROR(IF(AND(COUNT(P61,Q61,S61,T61)=4,(P61+Q61+S61+T61)&lt;&gt;0),((N(T204)+N(T205)+N(T206)+N(T209)+N(T227)+N(T230))-N(T136))/(P61+Q61+S61+T61),""),"")</f>
        <v>0.376338329764454</v>
      </c>
      <c r="U328" s="262">
        <f>IFERROR(IF(AND(COUNT(Q61,S61,T61,U61)=4,(Q61+S61+T61+U61)&lt;&gt;0),((N(U204)+N(U205)+N(U206)+N(U209)+N(U227)+N(U230))-N(U136))/(Q61+S61+T61+U61),""),"")</f>
        <v>0.45596113118226</v>
      </c>
      <c r="V328" s="262">
        <f>IFERROR(IF(AND(COUNT(S61,T61,U61,V61)=4,(S61+T61+U61+V61)&lt;&gt;0),((N(V204)+N(V205)+N(V206)+N(V209)+N(V227)+N(V230))-N(V136))/(S61+T61+U61+V61),""),"")</f>
        <v>-0.16869649101652</v>
      </c>
      <c r="W328" s="262">
        <f>IFERROR(IF(AND(COUNT(S61,T61,U61,V61)=4,(S61+T61+U61+V61)&lt;&gt;0),((N(W204)+N(W205)+N(W206)+N(W209)+N(W227)+N(W230))-N(W136))/(S61+T61+U61+V61),""),"")</f>
        <v>-0.16869649101652</v>
      </c>
      <c r="X328" s="262">
        <f>IFERROR(IF(AND(COUNT(T61,U61,V61,X61)=4,(T61+U61+V61+X61)&lt;&gt;0),((N(X204)+N(X205)+N(X206)+N(X209)+N(X227)+N(X230))-N(X136))/(T61+U61+V61+X61),""),"")</f>
        <v>0.494836892748181</v>
      </c>
      <c r="Y328" s="262">
        <f>IFERROR(IF(AND(COUNT(U61,V61,X61,Y61)=4,(U61+V61+X61+Y61)&lt;&gt;0),((N(Y204)+N(Y205)+N(Y206)+N(Y209)+N(Y227)+N(Y230))-N(Y136))/(U61+V61+X61+Y61),""),"")</f>
        <v>0.455223062589061</v>
      </c>
      <c r="Z328" s="262">
        <f>IFERROR(IF(AND(COUNT(V61,X61,Y61,Z61)=4,(V61+X61+Y61+Z61)&lt;&gt;0),((N(Z204)+N(Z205)+N(Z206)+N(Z209)+N(Z227)+N(Z230))-N(Z136))/(V61+X61+Y61+Z61),""),"")</f>
        <v>0.485574927355749</v>
      </c>
      <c r="AA328" s="262">
        <f>IFERROR(IF(AND(COUNT(X61,Y61,Z61,AA61)=4,(X61+Y61+Z61+AA61)&lt;&gt;0),((N(AA204)+N(AA205)+N(AA206)+N(AA209)+N(AA227)+N(AA230))-N(AA136))/(X61+Y61+Z61+AA61),""),"")</f>
        <v>0.0125205930807249</v>
      </c>
      <c r="AB328" s="262">
        <f>IFERROR(IF(AND(COUNT(X61,Y61,Z61,AA61)=4,(X61+Y61+Z61+AA61)&lt;&gt;0),((N(AB204)+N(AB205)+N(AB206)+N(AB209)+N(AB227)+N(AB230))-N(AB136))/(X61+Y61+Z61+AA61),""),"")</f>
        <v>0.0125205930807249</v>
      </c>
      <c r="AC328" s="262">
        <f>IFERROR(IF(AND(COUNT(Y61,Z61,AA61,AC61)=4,(Y61+Z61+AA61+AC61)&lt;&gt;0),((N(AC204)+N(AC205)+N(AC206)+N(AC209)+N(AC227)+N(AC230))-N(AC136))/(Y61+Z61+AA61+AC61),""),"")</f>
        <v>0.580566801619433</v>
      </c>
      <c r="AD328" s="262">
        <f>IFERROR(IF(AND(COUNT(Z61,AA61,AC61,AD61)=4,(Z61+AA61+AC61+AD61)&lt;&gt;0),((N(AD204)+N(AD205)+N(AD206)+N(AD209)+N(AD227)+N(AD230))-N(AD136))/(Z61+AA61+AC61+AD61),""),"")</f>
        <v>0.518232284750191</v>
      </c>
      <c r="AE328" s="262">
        <f>IFERROR(IF(AND(COUNT(AA61,AC61,AD61,AE61)=4,(AA61+AC61+AD61+AE61)&lt;&gt;0),((N(AE204)+N(AE205)+N(AE206)+N(AE209)+N(AE227)+N(AE230))-N(AE136))/(AA61+AC61+AD61+AE61),""),"")</f>
        <v>0.538611291369241</v>
      </c>
      <c r="AF328" s="262">
        <f>IFERROR(IF(AND(COUNT(AB61,AD61,AE61,AF61)=4,(AB61+AD61+AE61+AF61)&lt;&gt;0),((N(AF204)+N(AF205)+N(AF206)+N(AF209)+N(AF227)+N(AF230))-N(AF136))/(AB61+AD61+AE61+AF61),""),"")</f>
        <v>0.148589886942477</v>
      </c>
      <c r="AG328" s="262">
        <f>IFERROR(IF(AND(COUNT(AC61,AD61,AE61,AF61)=4,(AC61+AD61+AE61+AF61)&lt;&gt;0),((N(AG204)+N(AG205)+N(AG206)+N(AG209)+N(AG227)+N(AG230))-N(AG136))/(AC61+AD61+AE61+AF61),""),"")</f>
        <v>0.27299703264095</v>
      </c>
      <c r="AH328" s="262">
        <f>IFERROR(IF(AND(COUNT(AD61,AF61,AG61,AH61)=4,(AD61+AF61+AG61+AH61)&lt;&gt;0),((N(AH204)+N(AH205)+N(AH206)+N(AH209)+N(AH227)+N(AH230))-N(AH136))/(AD61+AF61+AG61+AH61),""),"")</f>
        <v>0.421532038712126</v>
      </c>
      <c r="AI328" s="262">
        <f>IFERROR(IF(AND(COUNT(AE61,AG61,AH61,AI61)=4,(AE61+AG61+AH61+AI61)&lt;&gt;0),((N(AI204)+N(AI205)+N(AI206)+N(AI209)+N(AI227)+N(AI230))-N(AI136))/(AE61+AG61+AH61+AI61),""),"")</f>
        <v>0.379716981132075</v>
      </c>
      <c r="AJ328" s="262">
        <f>IFERROR(IF(AND(COUNT(AF61,AH61,AI61,AJ61)=4,(AF61+AH61+AI61+AJ61)&lt;&gt;0),((N(AJ204)+N(AJ205)+N(AJ206)+N(AJ209)+N(AJ227)+N(AJ230))-N(AJ136))/(AF61+AH61+AI61+AJ61),""),"")</f>
        <v>0.641825369659905</v>
      </c>
      <c r="AK328" s="262">
        <f>IFERROR(IF(AND(COUNT(AH61,AI61,AJ61,AK61)=4,(AH61+AI61+AJ61+AK61)&lt;&gt;0),((N(AK204)+N(AK205)+N(AK206)+N(AK209)+N(AK227)+N(AK230))-N(AK136))/(AH61+AI61+AJ61+AK61),""),"")</f>
        <v>0.613632668122329</v>
      </c>
      <c r="AL328" s="262">
        <f>IFERROR(IF(AND(COUNT(AH61,AI61,AJ61,AK61)=4,(AH61+AI61+AJ61+AK61)&lt;&gt;0),((N(AL204)+N(AL205)+N(AL206)+N(AL209)+N(AL227)+N(AL230))-N(AL136))/(AH61+AI61+AJ61+AK61),""),"")</f>
        <v>0.613632668122329</v>
      </c>
      <c r="AM328" s="262">
        <f>IFERROR(IF(AND(COUNT(AI61,AJ61,AK61,AM61)=4,(AI61+AJ61+AK61+AM61)&lt;&gt;0),((N(AM204)+N(AM205)+N(AM206)+N(AM209)+N(AM227)+N(AM230))-N(AM136))/(AI61+AJ61+AK61+AM61),""),"")</f>
        <v>0.535246322856777</v>
      </c>
      <c r="AN328" s="262">
        <f>IFERROR(IF(AND(COUNT(AJ61,AK61,AM61,AN61)=4,(AJ61+AK61+AM61+AN61)&lt;&gt;0),((N(AN204)+N(AN205)+N(AN206)+N(AN209)+N(AN227)+N(AN230))-N(AN136))/(AJ61+AK61+AM61+AN61),""),"")</f>
        <v>0.42136458230142</v>
      </c>
      <c r="AO328" s="262">
        <f>IFERROR(IF(AND(COUNT(AK61,AM61,AN61,AO61)=4,(AK61+AM61+AN61+AO61)&lt;&gt;0),((N(AO204)+N(AO205)+N(AO206)+N(AO209)+N(AO227)+N(AO230))-N(AO136))/(AK61+AM61+AN61+AO61),""),"")</f>
        <v>0.349609822510559</v>
      </c>
      <c r="AP328" s="262">
        <f>IFERROR(IF(AND(COUNT(AM61,AN61,AO61,AP61)=4,(AM61+AN61+AO61+AP61)&lt;&gt;0),((N(AP204)+N(AP205)+N(AP206)+N(AP209)+N(AP227)+N(AP230))-N(AP136))/(AM61+AN61+AO61+AP61),""),"")</f>
        <v>0.368390709341333</v>
      </c>
      <c r="AQ328" s="262">
        <f>IFERROR(IF(AND(COUNT(AM61,AN61,AO61,AP61)=4,(AM61+AN61+AO61+AP61)&lt;&gt;0),((N(AQ204)+N(AQ205)+N(AQ206)+N(AQ209)+N(AQ227)+N(AQ230))-N(AQ136))/(AM61+AN61+AO61+AP61),""),"")</f>
        <v>0.368390709341333</v>
      </c>
      <c r="AR328" s="262">
        <f>IFERROR(IF(AND(COUNT(AN61,AO61,AP61,AR61)=4,(AN61+AO61+AP61+AR61)&lt;&gt;0),((N(AR204)+N(AR205)+N(AR206)+N(AR209)+N(AR227)+N(AR230))-N(AR136))/(AN61+AO61+AP61+AR61),""),"")</f>
        <v>0.265984125358943</v>
      </c>
      <c r="AS328" s="262">
        <f>IFERROR(IF(AND(COUNT(AO61,AP61,AR61,AS61)=4,(AO61+AP61+AR61+AS61)&lt;&gt;0),((N(AS204)+N(AS205)+N(AS206)+N(AS209)+N(AS227)+N(AS230))-N(AS136))/(AO61+AP61+AR61+AS61),""),"")</f>
        <v>0.146366711751118</v>
      </c>
      <c r="AT328" s="262">
        <f>IFERROR(IF(AND(COUNT(AP61,AR61,AS61,AT61)=4,(AP61+AR61+AS61+AT61)&lt;&gt;0),((N(AT204)+N(AT205)+N(AT206)+N(AT209)+N(AT227)+N(AT230))-N(AT136))/(AP61+AR61+AS61+AT61),""),"")</f>
        <v>0.0761150041156933</v>
      </c>
      <c r="AU328" s="262">
        <f>IFERROR(IF(AND(COUNT(AR61,AS61,AT61,AU61)=4,(AR61+AS61+AT61+AU61)&lt;&gt;0),((N(AU204)+N(AU205)+N(AU206)+N(AU209)+N(AU227)+N(AU230))-N(AU136))/(AR61+AS61+AT61+AU61),""),"")</f>
        <v>0.0960248468603316</v>
      </c>
      <c r="AV328" s="262">
        <f>IFERROR(IF(AND(COUNT(AR61,AS61,AT61,AU61)=4,(AR61+AS61+AT61+AU61)&lt;&gt;0),((N(AV204)+N(AV205)+N(AV206)+N(AV209)+N(AV227)+N(AV230))-N(AV136))/(AR61+AS61+AT61+AU61),""),"")</f>
        <v>0.0960248468603316</v>
      </c>
      <c r="AW328" s="262">
        <f>IFERROR(IF(AND(COUNT(AS61,AT61,AU61,AW61)=4,(AS61+AT61+AU61+AW61)&lt;&gt;0),((N(AW204)+N(AW205)+N(AW206)+N(AW209)+N(AW227)+N(AW230))-N(AW136))/(AS61+AT61+AU61+AW61),""),"")</f>
        <v>-0.00750252845580871</v>
      </c>
      <c r="AX328" s="262">
        <f>IFERROR(IF(AND(COUNT(AT61,AU61,AW61,AX61)=4,(AT61+AU61+AW61+AX61)&lt;&gt;0),((N(AX204)+N(AX205)+N(AX206)+N(AX209)+N(AX227)+N(AX230))-N(AX136))/(AT61+AU61+AW61+AX61),""),"")</f>
        <v>-0.121897581353976</v>
      </c>
      <c r="AY328" s="262">
        <f>IFERROR(IF(AND(COUNT(AU61,AW61,AX61,AY61)=4,(AU61+AW61+AX61+AY61)&lt;&gt;0),((N(AY204)+N(AY205)+N(AY206)+N(AY209)+N(AY227)+N(AY230))-N(AY136))/(AU61+AW61+AX61+AY61),""),"")</f>
        <v>-0.191364635199676</v>
      </c>
      <c r="AZ328" s="262">
        <f>IFERROR(IF(AND(COUNT(AW61,AX61,AY61,AZ61)=4,(AW61+AX61+AY61+AZ61)&lt;&gt;0),((N(AZ204)+N(AZ205)+N(AZ206)+N(AZ209)+N(AZ227)+N(AZ230))-N(AZ136))/(AW61+AX61+AY61+AZ61),""),"")</f>
        <v>-0.170899292936692</v>
      </c>
      <c r="BA328" s="262">
        <f>IFERROR(IF(AND(COUNT(AW61,AX61,AY61,AZ61)=4,(AW61+AX61+AY61+AZ61)&lt;&gt;0),((N(BA204)+N(BA205)+N(BA206)+N(BA209)+N(BA227)+N(BA230))-N(BA136))/(AW61+AX61+AY61+AZ61),""),"")</f>
        <v>-0.170899292936692</v>
      </c>
      <c r="BB328" s="262">
        <f>IFERROR(IF(AND(COUNT(AX61,AY61,AZ61,BB61)=4,(AX61+AY61+AZ61+BB61)&lt;&gt;0),((N(BB204)+N(BB205)+N(BB206)+N(BB209)+N(BB227)+N(BB230))-N(BB136))/(AX61+AY61+AZ61+BB61),""),"")</f>
        <v>-0.272967037500743</v>
      </c>
      <c r="BC328" s="262">
        <f>IFERROR(IF(AND(COUNT(AY61,AZ61,BB61,BC61)=4,(AY61+AZ61+BB61+BC61)&lt;&gt;0),((N(BC204)+N(BC205)+N(BC206)+N(BC209)+N(BC227)+N(BC230))-N(BC136))/(AY61+AZ61+BB61+BC61),""),"")</f>
        <v>-0.387021358780123</v>
      </c>
      <c r="BD328" s="262">
        <f>IFERROR(IF(AND(COUNT(AZ61,BB61,BC61,BD61)=4,(AZ61+BB61+BC61+BD61)&lt;&gt;0),((N(BD204)+N(BD205)+N(BD206)+N(BD209)+N(BD227)+N(BD230))-N(BD136))/(AZ61+BB61+BC61+BD61),""),"")</f>
        <v>-0.456359995941174</v>
      </c>
      <c r="BE328" s="262">
        <f>IFERROR(IF(AND(COUNT(BB61,BC61,BD61,BE61)=4,(BB61+BC61+BD61+BE61)&lt;&gt;0),((N(BE204)+N(BE205)+N(BE206)+N(BE209)+N(BE227)+N(BE230))-N(BE136))/(BB61+BC61+BD61+BE61),""),"")</f>
        <v>-0.435837023141161</v>
      </c>
      <c r="BF328" s="262">
        <f>IFERROR(IF(AND(COUNT(BB61,BC61,BD61,BE61)=4,(BB61+BC61+BD61+BE61)&lt;&gt;0),((N(BF204)+N(BF205)+N(BF206)+N(BF209)+N(BF227)+N(BF230))-N(BF136))/(BB61+BC61+BD61+BE61),""),"")</f>
        <v>-0.435837023141161</v>
      </c>
      <c r="BG328" s="82" t="n"/>
      <c r="BH328" s="82" t="n"/>
      <c r="BI328" s="82" t="n"/>
      <c r="BJ328" s="82" t="n"/>
      <c r="BL328" s="82" t="n"/>
      <c r="BM328" s="82" t="n"/>
      <c r="BN328" s="82" t="n"/>
      <c r="BO328" s="82" t="n"/>
      <c r="BQ328" s="82" t="n"/>
      <c r="BR328" s="82" t="n"/>
      <c r="BS328" s="82" t="n"/>
      <c r="BT328" s="82" t="n"/>
      <c r="BV328" s="82" t="n"/>
      <c r="BW328" s="82" t="n"/>
      <c r="BX328" s="82" t="n"/>
      <c r="BY328" s="82" t="n"/>
      <c r="CA328" s="82" t="n"/>
      <c r="CB328" s="82" t="n"/>
      <c r="CC328" s="82" t="n"/>
      <c r="CD328" s="82" t="n"/>
      <c r="CF328" s="82" t="n"/>
      <c r="CG328" s="82" t="n"/>
      <c r="CH328" s="82" t="n"/>
      <c r="CI328" s="82" t="n"/>
      <c r="CK328" s="82" t="n"/>
      <c r="CL328" s="82" t="n"/>
      <c r="CM328" s="82" t="n"/>
      <c r="CN328" s="82" t="n"/>
      <c r="CP328" s="82" t="n"/>
      <c r="CQ328" s="82" t="n"/>
      <c r="CR328" s="82" t="n"/>
      <c r="CS328" s="82" t="n"/>
      <c r="CU328" s="82" t="n"/>
      <c r="CV328" s="82" t="n"/>
      <c r="CW328" s="82" t="n"/>
      <c r="CX328" s="82" t="n"/>
    </row>
    <row r="329" customFormat="1" s="77">
      <c r="A329" s="76" t="n"/>
      <c r="B329" s="76" t="n"/>
      <c r="C329" s="83" t="inlineStr">
        <is>
          <t>NET DEBT (EX IFRS 16.) / EBITDA (LTM)</t>
        </is>
      </c>
      <c r="D329" s="82" t="str">
        <f>IFERROR(SUM((D204+D205+D209)-D136)/(D61*4),"")</f>
        <v/>
      </c>
      <c r="E329" s="82" t="str">
        <f>IFERROR(SUM((E204+E205+E209)-E136)/(E61*4),"")</f>
        <v/>
      </c>
      <c r="F329" s="82" t="str">
        <f>IFERROR(SUM((F204+F205+F209)-F136)/(F61*4),"")</f>
        <v/>
      </c>
      <c r="G329" s="82" t="str">
        <f>IFERROR(SUM((G204+G205+G209)-G136)/(G61*4),"")</f>
        <v/>
      </c>
      <c r="H329" s="262" t="str">
        <f>IFERROR(IF(AND(COUNT(H61)=1,(H61)&lt;&gt;0),((N(H204)+N(H205)+N(H209)+N(H230))-N(H136))/(H61),""),"")</f>
        <v/>
      </c>
      <c r="I329" s="262" t="str">
        <f>""</f>
        <v/>
      </c>
      <c r="J329" s="262" t="str">
        <f>""</f>
        <v/>
      </c>
      <c r="K329" s="262" t="str">
        <f>""</f>
        <v/>
      </c>
      <c r="L329" s="262">
        <f>IFERROR(IF(AND(COUNT(I61,J61,K61,L61)=4,(I61+J61+K61+L61)&lt;&gt;0),((N(L204)+N(L205)+N(L209)+N(L230))-N(L136))/(I61+J61+K61+L61),""),"")</f>
        <v>-0.668853724430722</v>
      </c>
      <c r="M329" s="262">
        <f>IFERROR(IF(AND(COUNT(I61,J61,K61,L61)=4,(I61+J61+K61+L61)&lt;&gt;0),((N(M204)+N(M205)+N(M209)+N(M230))-N(M136))/(I61+J61+K61+L61),""),"")</f>
        <v>-0.668853724430722</v>
      </c>
      <c r="N329" s="262">
        <f>IFERROR(IF(AND(COUNT(J61,K61,L61,N61)=4,(J61+K61+L61+N61)&lt;&gt;0),((N(N204)+N(N205)+N(N209)+N(N230))-N(N136))/(J61+K61+L61+N61),""),"")</f>
        <v>0.109555119118777</v>
      </c>
      <c r="O329" s="262">
        <f>IFERROR(IF(AND(COUNT(K61,L61,N61,O61)=4,(K61+L61+N61+O61)&lt;&gt;0),((N(O204)+N(O205)+N(O209)+N(O230))-N(O136))/(K61+L61+N61+O61),""),"")</f>
        <v>0.14030164854437</v>
      </c>
      <c r="P329" s="262">
        <f>IFERROR(IF(AND(COUNT(L61,N61,O61,P61)=4,(L61+N61+O61+P61)&lt;&gt;0),((N(P204)+N(P205)+N(P209)+N(P230))-N(P136))/(L61+N61+O61+P61),""),"")</f>
        <v>0.213678672602185</v>
      </c>
      <c r="Q329" s="262">
        <f>IFERROR(IF(AND(COUNT(N61,O61,P61,Q61)=4,(N61+O61+P61+Q61)&lt;&gt;0),((N(Q204)+N(Q205)+N(Q209)+N(Q230))-N(Q136))/(N61+O61+P61+Q61),""),"")</f>
        <v>-0.653268551236749</v>
      </c>
      <c r="R329" s="262">
        <f>IFERROR(IF(AND(COUNT(N61,O61,P61,Q61)=4,(N61+O61+P61+Q61)&lt;&gt;0),((N(R204)+N(R205)+N(R209)+N(R230))-N(R136))/(N61+O61+P61+Q61),""),"")</f>
        <v>-0.653268551236749</v>
      </c>
      <c r="S329" s="262">
        <f>IFERROR(IF(AND(COUNT(O61,P61,Q61,S61)=4,(O61+P61+Q61+S61)&lt;&gt;0),((N(S204)+N(S205)+N(S209)+N(S230))-N(S136))/(O61+P61+Q61+S61),""),"")</f>
        <v>0.358726475895849</v>
      </c>
      <c r="T329" s="262">
        <f>IFERROR(IF(AND(COUNT(P61,Q61,S61,T61)=4,(P61+Q61+S61+T61)&lt;&gt;0),((N(T204)+N(T205)+N(T209)+N(T230))-N(T136))/(P61+Q61+S61+T61),""),"")</f>
        <v>0.376338329764454</v>
      </c>
      <c r="U329" s="262">
        <f>IFERROR(IF(AND(COUNT(Q61,S61,T61,U61)=4,(Q61+S61+T61+U61)&lt;&gt;0),((N(U204)+N(U205)+N(U209)+N(U230))-N(U136))/(Q61+S61+T61+U61),""),"")</f>
        <v>0.45596113118226</v>
      </c>
      <c r="V329" s="262">
        <f>IFERROR(IF(AND(COUNT(S61,T61,U61,V61)=4,(S61+T61+U61+V61)&lt;&gt;0),((N(V204)+N(V205)+N(V209)+N(V230))-N(V136))/(S61+T61+U61+V61),""),"")</f>
        <v>-0.16869649101652</v>
      </c>
      <c r="W329" s="262">
        <f>IFERROR(IF(AND(COUNT(S61,T61,U61,V61)=4,(S61+T61+U61+V61)&lt;&gt;0),((N(W204)+N(W205)+N(W209)+N(W230))-N(W136))/(S61+T61+U61+V61),""),"")</f>
        <v>-0.16869649101652</v>
      </c>
      <c r="X329" s="262">
        <f>IFERROR(IF(AND(COUNT(T61,U61,V61,X61)=4,(T61+U61+V61+X61)&lt;&gt;0),((N(X204)+N(X205)+N(X209)+N(X230))-N(X136))/(T61+U61+V61+X61),""),"")</f>
        <v>0.494836892748181</v>
      </c>
      <c r="Y329" s="262">
        <f>IFERROR(IF(AND(COUNT(U61,V61,X61,Y61)=4,(U61+V61+X61+Y61)&lt;&gt;0),((N(Y204)+N(Y205)+N(Y209)+N(Y230))-N(Y136))/(U61+V61+X61+Y61),""),"")</f>
        <v>0.455223062589061</v>
      </c>
      <c r="Z329" s="262">
        <f>IFERROR(IF(AND(COUNT(V61,X61,Y61,Z61)=4,(V61+X61+Y61+Z61)&lt;&gt;0),((N(Z204)+N(Z205)+N(Z209)+N(Z230))-N(Z136))/(V61+X61+Y61+Z61),""),"")</f>
        <v>0.485574927355749</v>
      </c>
      <c r="AA329" s="262">
        <f>IFERROR(IF(AND(COUNT(X61,Y61,Z61,AA61)=4,(X61+Y61+Z61+AA61)&lt;&gt;0),((N(AA204)+N(AA205)+N(AA209)+N(AA230))-N(AA136))/(X61+Y61+Z61+AA61),""),"")</f>
        <v>0.0125205930807249</v>
      </c>
      <c r="AB329" s="262">
        <f>IFERROR(IF(AND(COUNT(X61,Y61,Z61,AA61)=4,(X61+Y61+Z61+AA61)&lt;&gt;0),((N(AB204)+N(AB205)+N(AB209)+N(AB230))-N(AB136))/(X61+Y61+Z61+AA61),""),"")</f>
        <v>0.0125205930807249</v>
      </c>
      <c r="AC329" s="262">
        <f>IFERROR(IF(AND(COUNT(Y61,Z61,AA61,AC61)=4,(Y61+Z61+AA61+AC61)&lt;&gt;0),((N(AC204)+N(AC205)+N(AC209)+N(AC230))-N(AC136))/(Y61+Z61+AA61+AC61),""),"")</f>
        <v>0.580566801619433</v>
      </c>
      <c r="AD329" s="262">
        <f>IFERROR(IF(AND(COUNT(Z61,AA61,AC61,AD61)=4,(Z61+AA61+AC61+AD61)&lt;&gt;0),((N(AD204)+N(AD205)+N(AD209)+N(AD230))-N(AD136))/(Z61+AA61+AC61+AD61),""),"")</f>
        <v>0.518232284750191</v>
      </c>
      <c r="AE329" s="262">
        <f>IFERROR(IF(AND(COUNT(AA61,AC61,AD61,AE61)=4,(AA61+AC61+AD61+AE61)&lt;&gt;0),((N(AE204)+N(AE205)+N(AE209)+N(AE230))-N(AE136))/(AA61+AC61+AD61+AE61),""),"")</f>
        <v>0.538611291369241</v>
      </c>
      <c r="AF329" s="262">
        <f>IFERROR(IF(AND(COUNT(AB61,AD61,AE61,AF61)=4,(AB61+AD61+AE61+AF61)&lt;&gt;0),((N(AF204)+N(AF205)+N(AF209)+N(AF230))-N(AF136))/(AB61+AD61+AE61+AF61),""),"")</f>
        <v>0.0858491738104112</v>
      </c>
      <c r="AG329" s="262">
        <f>IFERROR(IF(AND(COUNT(AC61,AD61,AE61,AF61)=4,(AC61+AD61+AE61+AF61)&lt;&gt;0),((N(AG204)+N(AG205)+N(AG209)+N(AG230))-N(AG136))/(AC61+AD61+AE61+AF61),""),"")</f>
        <v>0.157726546450582</v>
      </c>
      <c r="AH329" s="262">
        <f>IFERROR(IF(AND(COUNT(AD61,AF61,AG61,AH61)=4,(AD61+AF61+AG61+AH61)&lt;&gt;0),((N(AH204)+N(AH205)+N(AH209)+N(AH230))-N(AH136))/(AD61+AF61+AG61+AH61),""),"")</f>
        <v>0.359099247264217</v>
      </c>
      <c r="AI329" s="262">
        <f>IFERROR(IF(AND(COUNT(AE61,AG61,AH61,AI61)=4,(AE61+AG61+AH61+AI61)&lt;&gt;0),((N(AI204)+N(AI205)+N(AI209)+N(AI230))-N(AI136))/(AE61+AG61+AH61+AI61),""),"")</f>
        <v>0.320875665215288</v>
      </c>
      <c r="AJ329" s="262">
        <f>IFERROR(IF(AND(COUNT(AF61,AH61,AI61,AJ61)=4,(AF61+AH61+AI61+AJ61)&lt;&gt;0),((N(AJ204)+N(AJ205)+N(AJ209)+N(AJ230))-N(AJ136))/(AF61+AH61+AI61+AJ61),""),"")</f>
        <v>0.533117385498662</v>
      </c>
      <c r="AK329" s="262">
        <f>IFERROR(IF(AND(COUNT(AH61,AI61,AJ61,AK61)=4,(AH61+AI61+AJ61+AK61)&lt;&gt;0),((N(AK204)+N(AK205)+N(AK209)+N(AK230))-N(AK136))/(AH61+AI61+AJ61+AK61),""),"")</f>
        <v>0.512869844795454</v>
      </c>
      <c r="AL329" s="262">
        <f>IFERROR(IF(AND(COUNT(AH61,AI61,AJ61,AK61)=4,(AH61+AI61+AJ61+AK61)&lt;&gt;0),((N(AL204)+N(AL205)+N(AL209)+N(AL230))-N(AL136))/(AH61+AI61+AJ61+AK61),""),"")</f>
        <v>0.512869844795454</v>
      </c>
      <c r="AM329" s="262">
        <f>IFERROR(IF(AND(COUNT(AI61,AJ61,AK61,AM61)=4,(AI61+AJ61+AK61+AM61)&lt;&gt;0),((N(AM204)+N(AM205)+N(AM209)+N(AM230))-N(AM136))/(AI61+AJ61+AK61+AM61),""),"")</f>
        <v>0.429722497479452</v>
      </c>
      <c r="AN329" s="262">
        <f>IFERROR(IF(AND(COUNT(AJ61,AK61,AM61,AN61)=4,(AJ61+AK61+AM61+AN61)&lt;&gt;0),((N(AN204)+N(AN205)+N(AN209)+N(AN230))-N(AN136))/(AJ61+AK61+AM61+AN61),""),"")</f>
        <v>0.315517500770926</v>
      </c>
      <c r="AO329" s="262">
        <f>IFERROR(IF(AND(COUNT(AK61,AM61,AN61,AO61)=4,(AK61+AM61+AN61+AO61)&lt;&gt;0),((N(AO204)+N(AO205)+N(AO209)+N(AO230))-N(AO136))/(AK61+AM61+AN61+AO61),""),"")</f>
        <v>0.244131404166178</v>
      </c>
      <c r="AP329" s="262">
        <f>IFERROR(IF(AND(COUNT(AM61,AN61,AO61,AP61)=4,(AM61+AN61+AO61+AP61)&lt;&gt;0),((N(AP204)+N(AP205)+N(AP209)+N(AP230))-N(AP136))/(AM61+AN61+AO61+AP61),""),"")</f>
        <v>0.263208280596919</v>
      </c>
      <c r="AQ329" s="262">
        <f>IFERROR(IF(AND(COUNT(AM61,AN61,AO61,AP61)=4,(AM61+AN61+AO61+AP61)&lt;&gt;0),((N(AQ204)+N(AQ205)+N(AQ209)+N(AQ230))-N(AQ136))/(AM61+AN61+AO61+AP61),""),"")</f>
        <v>0.263208280596919</v>
      </c>
      <c r="AR329" s="262">
        <f>IFERROR(IF(AND(COUNT(AN61,AO61,AP61,AR61)=4,(AN61+AO61+AP61+AR61)&lt;&gt;0),((N(AR204)+N(AR205)+N(AR209)+N(AR230))-N(AR136))/(AN61+AO61+AP61+AR61),""),"")</f>
        <v>0.161002019532053</v>
      </c>
      <c r="AS329" s="262">
        <f>IFERROR(IF(AND(COUNT(AO61,AP61,AR61,AS61)=4,(AO61+AP61+AR61+AS61)&lt;&gt;0),((N(AS204)+N(AS205)+N(AS209)+N(AS230))-N(AS136))/(AO61+AP61+AR61+AS61),""),"")</f>
        <v>0.0416095620689732</v>
      </c>
      <c r="AT329" s="262">
        <f>IFERROR(IF(AND(COUNT(AP61,AR61,AS61,AT61)=4,(AP61+AR61+AS61+AT61)&lt;&gt;0),((N(AT204)+N(AT205)+N(AT209)+N(AT230))-N(AT136))/(AP61+AR61+AS61+AT61),""),"")</f>
        <v>-0.028417088957547</v>
      </c>
      <c r="AU329" s="262">
        <f>IFERROR(IF(AND(COUNT(AR61,AS61,AT61,AU61)=4,(AR61+AS61+AT61+AU61)&lt;&gt;0),((N(AU204)+N(AU205)+N(AU209)+N(AU230))-N(AU136))/(AR61+AS61+AT61+AU61),""),"")</f>
        <v>-0.00832611765147887</v>
      </c>
      <c r="AV329" s="262">
        <f>IFERROR(IF(AND(COUNT(AR61,AS61,AT61,AU61)=4,(AR61+AS61+AT61+AU61)&lt;&gt;0),((N(AV204)+N(AV205)+N(AV209)+N(AV230))-N(AV136))/(AR61+AS61+AT61+AU61),""),"")</f>
        <v>-0.00832611765147887</v>
      </c>
      <c r="AW329" s="262">
        <f>IFERROR(IF(AND(COUNT(AS61,AT61,AU61,AW61)=4,(AS61+AT61+AU61+AW61)&lt;&gt;0),((N(AW204)+N(AW205)+N(AW209)+N(AW230))-N(AW136))/(AS61+AT61+AU61+AW61),""),"")</f>
        <v>-0.111779376607694</v>
      </c>
      <c r="AX329" s="262">
        <f>IFERROR(IF(AND(COUNT(AT61,AU61,AW61,AX61)=4,(AT61+AU61+AW61+AX61)&lt;&gt;0),((N(AX204)+N(AX205)+N(AX209)+N(AX230))-N(AX136))/(AT61+AU61+AW61+AX61),""),"")</f>
        <v>-0.226090987526966</v>
      </c>
      <c r="AY329" s="262">
        <f>IFERROR(IF(AND(COUNT(AU61,AW61,AX61,AY61)=4,(AU61+AW61+AX61+AY61)&lt;&gt;0),((N(AY204)+N(AY205)+N(AY209)+N(AY230))-N(AY136))/(AU61+AW61+AX61+AY61),""),"")</f>
        <v>-0.295474337134851</v>
      </c>
      <c r="AZ329" s="262">
        <f>IFERROR(IF(AND(COUNT(AW61,AX61,AY61,AZ61)=4,(AW61+AX61+AY61+AZ61)&lt;&gt;0),((N(AZ204)+N(AZ205)+N(AZ209)+N(AZ230))-N(AZ136))/(AW61+AX61+AY61+AZ61),""),"")</f>
        <v>-0.274941464523275</v>
      </c>
      <c r="BA329" s="262">
        <f>IFERROR(IF(AND(COUNT(AW61,AX61,AY61,AZ61)=4,(AW61+AX61+AY61+AZ61)&lt;&gt;0),((N(BA204)+N(BA205)+N(BA209)+N(BA230))-N(BA136))/(AW61+AX61+AY61+AZ61),""),"")</f>
        <v>-0.274941464523275</v>
      </c>
      <c r="BB329" s="262">
        <f>IFERROR(IF(AND(COUNT(AX61,AY61,AZ61,BB61)=4,(AX61+AY61+AZ61+BB61)&lt;&gt;0),((N(BB204)+N(BB205)+N(BB209)+N(BB230))-N(BB136))/(AX61+AY61+AZ61+BB61),""),"")</f>
        <v>-0.377009209087326</v>
      </c>
      <c r="BC329" s="262">
        <f>IFERROR(IF(AND(COUNT(AY61,AZ61,BB61,BC61)=4,(AY61+AZ61+BB61+BC61)&lt;&gt;0),((N(BC204)+N(BC205)+N(BC209)+N(BC230))-N(BC136))/(AY61+AZ61+BB61+BC61),""),"")</f>
        <v>-0.491063530366706</v>
      </c>
      <c r="BD329" s="262">
        <f>IFERROR(IF(AND(COUNT(AZ61,BB61,BC61,BD61)=4,(AZ61+BB61+BC61+BD61)&lt;&gt;0),((N(BD204)+N(BD205)+N(BD209)+N(BD230))-N(BD136))/(AZ61+BB61+BC61+BD61),""),"")</f>
        <v>-0.560402167527758</v>
      </c>
      <c r="BE329" s="262">
        <f>IFERROR(IF(AND(COUNT(BB61,BC61,BD61,BE61)=4,(BB61+BC61+BD61+BE61)&lt;&gt;0),((N(BE204)+N(BE205)+N(BE209)+N(BE230))-N(BE136))/(BB61+BC61+BD61+BE61),""),"")</f>
        <v>-0.539879194727744</v>
      </c>
      <c r="BF329" s="262">
        <f>IFERROR(IF(AND(COUNT(BB61,BC61,BD61,BE61)=4,(BB61+BC61+BD61+BE61)&lt;&gt;0),((N(BF204)+N(BF205)+N(BF209)+N(BF230))-N(BF136))/(BB61+BC61+BD61+BE61),""),"")</f>
        <v>-0.539879194727744</v>
      </c>
      <c r="BG329" s="82" t="n"/>
      <c r="BH329" s="82" t="n"/>
      <c r="BI329" s="82" t="n"/>
      <c r="BJ329" s="82" t="n"/>
      <c r="BL329" s="82" t="n"/>
      <c r="BM329" s="82" t="n"/>
      <c r="BN329" s="82" t="n"/>
      <c r="BO329" s="82" t="n"/>
      <c r="BQ329" s="82" t="n"/>
      <c r="BR329" s="82" t="n"/>
      <c r="BS329" s="82" t="n"/>
      <c r="BT329" s="82" t="n"/>
      <c r="BV329" s="82" t="n"/>
      <c r="BW329" s="82" t="n"/>
      <c r="BX329" s="82" t="n"/>
      <c r="BY329" s="82" t="n"/>
      <c r="CA329" s="82" t="n"/>
      <c r="CB329" s="82" t="n"/>
      <c r="CC329" s="82" t="n"/>
      <c r="CD329" s="82" t="n"/>
      <c r="CF329" s="82" t="n"/>
      <c r="CG329" s="82" t="n"/>
      <c r="CH329" s="82" t="n"/>
      <c r="CI329" s="82" t="n"/>
      <c r="CK329" s="82" t="n"/>
      <c r="CL329" s="82" t="n"/>
      <c r="CM329" s="82" t="n"/>
      <c r="CN329" s="82" t="n"/>
      <c r="CP329" s="82" t="n"/>
      <c r="CQ329" s="82" t="n"/>
      <c r="CR329" s="82" t="n"/>
      <c r="CS329" s="82" t="n"/>
      <c r="CU329" s="82" t="n"/>
      <c r="CV329" s="82" t="n"/>
      <c r="CW329" s="82" t="n"/>
      <c r="CX329" s="82" t="n"/>
    </row>
    <row r="330" customFormat="1" s="77">
      <c r="A330" s="76" t="n"/>
      <c r="B330" s="76" t="n"/>
      <c r="C330" s="77" t="inlineStr">
        <is>
          <t>INTEREST COVERAGE (EBIT / INTEREST, LTM)</t>
        </is>
      </c>
      <c r="D330" s="82" t="str">
        <f>IFERROR(D65/-D66,"")</f>
        <v/>
      </c>
      <c r="E330" s="82" t="str">
        <f>IFERROR(E65/-E66,"")</f>
        <v/>
      </c>
      <c r="F330" s="82" t="str">
        <f>IFERROR(F65/-F66,"")</f>
        <v/>
      </c>
      <c r="G330" s="82" t="str">
        <f>IFERROR(G65/-G66,"")</f>
        <v/>
      </c>
      <c r="H330" s="262" t="str">
        <f>IFERROR(IF(AND(COUNT(H65)=1,(H66)&lt;&gt;0),(H65)/-(H66),""),"")</f>
        <v/>
      </c>
      <c r="I330" s="262" t="str">
        <f>""</f>
        <v/>
      </c>
      <c r="J330" s="262" t="str">
        <f>""</f>
        <v/>
      </c>
      <c r="K330" s="262" t="str">
        <f>""</f>
        <v/>
      </c>
      <c r="L330" s="262" t="str">
        <f>IFERROR(IF(AND(COUNT(I65,J65,K65,L65)=4,(I66+J66+K66+L66)&lt;&gt;0),(I65+J65+K65+L65)/-(I66+J66+K66+L66),""),"")</f>
        <v/>
      </c>
      <c r="M330" s="262" t="str">
        <f>IFERROR(IF(AND(COUNT(I65,J65,K65,L65)=4,(I66+J66+K66+L66)&lt;&gt;0),(I65+J65+K65+L65)/-(I66+J66+K66+L66),""),"")</f>
        <v/>
      </c>
      <c r="N330" s="262" t="str">
        <f>IFERROR(IF(AND(COUNT(J65,K65,L65,N65)=4,(J66+K66+L66+N66)&lt;&gt;0),(J65+K65+L65+N65)/-(J66+K66+L66+N66),""),"")</f>
        <v/>
      </c>
      <c r="O330" s="262" t="str">
        <f>IFERROR(IF(AND(COUNT(K65,L65,N65,O65)=4,(K66+L66+N66+O66)&lt;&gt;0),(K65+L65+N65+O65)/-(K66+L66+N66+O66),""),"")</f>
        <v/>
      </c>
      <c r="P330" s="262" t="str">
        <f>IFERROR(IF(AND(COUNT(L65,N65,O65,P65)=4,(L66+N66+O66+P66)&lt;&gt;0),(L65+N65+O65+P65)/-(L66+N66+O66+P66),""),"")</f>
        <v/>
      </c>
      <c r="Q330" s="262" t="str">
        <f>IFERROR(IF(AND(COUNT(N65,O65,P65,Q65)=4,(N66+O66+P66+Q66)&lt;&gt;0),(N65+O65+P65+Q65)/-(N66+O66+P66+Q66),""),"")</f>
        <v/>
      </c>
      <c r="R330" s="262" t="str">
        <f>IFERROR(IF(AND(COUNT(N65,O65,P65,Q65)=4,(N66+O66+P66+Q66)&lt;&gt;0),(N65+O65+P65+Q65)/-(N66+O66+P66+Q66),""),"")</f>
        <v/>
      </c>
      <c r="S330" s="262" t="str">
        <f>IFERROR(IF(AND(COUNT(O65,P65,Q65,S65)=4,(O66+P66+Q66+S66)&lt;&gt;0),(O65+P65+Q65+S65)/-(O66+P66+Q66+S66),""),"")</f>
        <v/>
      </c>
      <c r="T330" s="262" t="str">
        <f>IFERROR(IF(AND(COUNT(P65,Q65,S65,T65)=4,(P66+Q66+S66+T66)&lt;&gt;0),(P65+Q65+S65+T65)/-(P66+Q66+S66+T66),""),"")</f>
        <v/>
      </c>
      <c r="U330" s="262" t="str">
        <f>IFERROR(IF(AND(COUNT(Q65,S65,T65,U65)=4,(Q66+S66+T66+U66)&lt;&gt;0),(Q65+S65+T65+U65)/-(Q66+S66+T66+U66),""),"")</f>
        <v/>
      </c>
      <c r="V330" s="262" t="str">
        <f>IFERROR(IF(AND(COUNT(S65,T65,U65,V65)=4,(S66+T66+U66+V66)&lt;&gt;0),(S65+T65+U65+V65)/-(S66+T66+U66+V66),""),"")</f>
        <v/>
      </c>
      <c r="W330" s="262" t="str">
        <f>IFERROR(IF(AND(COUNT(S65,T65,U65,V65)=4,(S66+T66+U66+V66)&lt;&gt;0),(S65+T65+U65+V65)/-(S66+T66+U66+V66),""),"")</f>
        <v/>
      </c>
      <c r="X330" s="262" t="str">
        <f>IFERROR(IF(AND(COUNT(T65,U65,V65,X65)=4,(T66+U66+V66+X66)&lt;&gt;0),(T65+U65+V65+X65)/-(T66+U66+V66+X66),""),"")</f>
        <v/>
      </c>
      <c r="Y330" s="262" t="str">
        <f>IFERROR(IF(AND(COUNT(U65,V65,X65,Y65)=4,(U66+V66+X66+Y66)&lt;&gt;0),(U65+V65+X65+Y65)/-(U66+V66+X66+Y66),""),"")</f>
        <v/>
      </c>
      <c r="Z330" s="262" t="str">
        <f>IFERROR(IF(AND(COUNT(V65,X65,Y65,Z65)=4,(V66+X66+Y66+Z66)&lt;&gt;0),(V65+X65+Y65+Z65)/-(V66+X66+Y66+Z66),""),"")</f>
        <v/>
      </c>
      <c r="AA330" s="262" t="str">
        <f>IFERROR(IF(AND(COUNT(X65,Y65,Z65,AA65)=4,(X66+Y66+Z66+AA66)&lt;&gt;0),(X65+Y65+Z65+AA65)/-(X66+Y66+Z66+AA66),""),"")</f>
        <v/>
      </c>
      <c r="AB330" s="262" t="str">
        <f>IFERROR(IF(AND(COUNT(X65,Y65,Z65,AA65)=4,(X66+Y66+Z66+AA66)&lt;&gt;0),(X65+Y65+Z65+AA65)/-(X66+Y66+Z66+AA66),""),"")</f>
        <v/>
      </c>
      <c r="AC330" s="262" t="str">
        <f>IFERROR(IF(AND(COUNT(Y65,Z65,AA65,AC65)=4,(Y66+Z66+AA66+AC66)&lt;&gt;0),(Y65+Z65+AA65+AC65)/-(Y66+Z66+AA66+AC66),""),"")</f>
        <v/>
      </c>
      <c r="AD330" s="262" t="str">
        <f>IFERROR(IF(AND(COUNT(Z65,AA65,AC65,AD65)=4,(Z66+AA66+AC66+AD66)&lt;&gt;0),(Z65+AA65+AC65+AD65)/-(Z66+AA66+AC66+AD66),""),"")</f>
        <v/>
      </c>
      <c r="AE330" s="262" t="str">
        <f>IFERROR(IF(AND(COUNT(AA65,AC65,AD65,AE65)=4,(AA66+AC66+AD66+AE66)&lt;&gt;0),(AA65+AC65+AD65+AE65)/-(AA66+AC66+AD66+AE66),""),"")</f>
        <v/>
      </c>
      <c r="AF330" s="262" t="str">
        <f>IFERROR(IF(AND(COUNT(AB65,AD65,AE65,AF65)=4,(AB66+AD66+AE66+AF66)&lt;&gt;0),(AB65+AD65+AE65+AF65)/-(AB66+AD66+AE66+AF66),""),"")</f>
        <v/>
      </c>
      <c r="AG330" s="262" t="str">
        <f>IFERROR(IF(AND(COUNT(AC65,AD65,AE65,AF65)=4,(AC66+AD66+AE66+AF66)&lt;&gt;0),(AC65+AD65+AE65+AF65)/-(AC66+AD66+AE66+AF66),""),"")</f>
        <v/>
      </c>
      <c r="AH330" s="262" t="str">
        <f>IFERROR(IF(AND(COUNT(AD65,AF65,AG65,AH65)=4,(AD66+AF66+AG66+AH66)&lt;&gt;0),(AD65+AF65+AG65+AH65)/-(AD66+AF66+AG66+AH66),""),"")</f>
        <v/>
      </c>
      <c r="AI330" s="262" t="str">
        <f>IFERROR(IF(AND(COUNT(AE65,AG65,AH65,AI65)=4,(AE66+AG66+AH66+AI66)&lt;&gt;0),(AE65+AG65+AH65+AI65)/-(AE66+AG66+AH66+AI66),""),"")</f>
        <v/>
      </c>
      <c r="AJ330" s="262" t="str">
        <f>IFERROR(IF(AND(COUNT(AF65,AH65,AI65,AJ65)=4,(AF66+AH66+AI66+AJ66)&lt;&gt;0),(AF65+AH65+AI65+AJ65)/-(AF66+AH66+AI66+AJ66),""),"")</f>
        <v/>
      </c>
      <c r="AK330" s="262" t="str">
        <f>IFERROR(IF(AND(COUNT(AH65,AI65,AJ65,AK65)=4,(AH66+AI66+AJ66+AK66)&lt;&gt;0),(AH65+AI65+AJ65+AK65)/-(AH66+AI66+AJ66+AK66),""),"")</f>
        <v/>
      </c>
      <c r="AL330" s="262" t="str">
        <f>IFERROR(IF(AND(COUNT(AH65,AI65,AJ65,AK65)=4,(AH66+AI66+AJ66+AK66)&lt;&gt;0),(AH65+AI65+AJ65+AK65)/-(AH66+AI66+AJ66+AK66),""),"")</f>
        <v/>
      </c>
      <c r="AM330" s="262" t="str">
        <f>IFERROR(IF(AND(COUNT(AI65,AJ65,AK65,AM65)=4,(AI66+AJ66+AK66+AM66)&lt;&gt;0),(AI65+AJ65+AK65+AM65)/-(AI66+AJ66+AK66+AM66),""),"")</f>
        <v/>
      </c>
      <c r="AN330" s="262" t="str">
        <f>IFERROR(IF(AND(COUNT(AJ65,AK65,AM65,AN65)=4,(AJ66+AK66+AM66+AN66)&lt;&gt;0),(AJ65+AK65+AM65+AN65)/-(AJ66+AK66+AM66+AN66),""),"")</f>
        <v/>
      </c>
      <c r="AO330" s="262" t="str">
        <f>IFERROR(IF(AND(COUNT(AK65,AM65,AN65,AO65)=4,(AK66+AM66+AN66+AO66)&lt;&gt;0),(AK65+AM65+AN65+AO65)/-(AK66+AM66+AN66+AO66),""),"")</f>
        <v/>
      </c>
      <c r="AP330" s="262" t="str">
        <f>IFERROR(IF(AND(COUNT(AM65,AN65,AO65,AP65)=4,(AM66+AN66+AO66+AP66)&lt;&gt;0),(AM65+AN65+AO65+AP65)/-(AM66+AN66+AO66+AP66),""),"")</f>
        <v/>
      </c>
      <c r="AQ330" s="262" t="str">
        <f>IFERROR(IF(AND(COUNT(AM65,AN65,AO65,AP65)=4,(AM66+AN66+AO66+AP66)&lt;&gt;0),(AM65+AN65+AO65+AP65)/-(AM66+AN66+AO66+AP66),""),"")</f>
        <v/>
      </c>
      <c r="AR330" s="262" t="str">
        <f>IFERROR(IF(AND(COUNT(AN65,AO65,AP65,AR65)=4,(AN66+AO66+AP66+AR66)&lt;&gt;0),(AN65+AO65+AP65+AR65)/-(AN66+AO66+AP66+AR66),""),"")</f>
        <v/>
      </c>
      <c r="AS330" s="262" t="str">
        <f>IFERROR(IF(AND(COUNT(AO65,AP65,AR65,AS65)=4,(AO66+AP66+AR66+AS66)&lt;&gt;0),(AO65+AP65+AR65+AS65)/-(AO66+AP66+AR66+AS66),""),"")</f>
        <v/>
      </c>
      <c r="AT330" s="262" t="str">
        <f>IFERROR(IF(AND(COUNT(AP65,AR65,AS65,AT65)=4,(AP66+AR66+AS66+AT66)&lt;&gt;0),(AP65+AR65+AS65+AT65)/-(AP66+AR66+AS66+AT66),""),"")</f>
        <v/>
      </c>
      <c r="AU330" s="262" t="str">
        <f>IFERROR(IF(AND(COUNT(AR65,AS65,AT65,AU65)=4,(AR66+AS66+AT66+AU66)&lt;&gt;0),(AR65+AS65+AT65+AU65)/-(AR66+AS66+AT66+AU66),""),"")</f>
        <v/>
      </c>
      <c r="AV330" s="262" t="str">
        <f>IFERROR(IF(AND(COUNT(AR65,AS65,AT65,AU65)=4,(AR66+AS66+AT66+AU66)&lt;&gt;0),(AR65+AS65+AT65+AU65)/-(AR66+AS66+AT66+AU66),""),"")</f>
        <v/>
      </c>
      <c r="AW330" s="262" t="str">
        <f>IFERROR(IF(AND(COUNT(AS65,AT65,AU65,AW65)=4,(AS66+AT66+AU66+AW66)&lt;&gt;0),(AS65+AT65+AU65+AW65)/-(AS66+AT66+AU66+AW66),""),"")</f>
        <v/>
      </c>
      <c r="AX330" s="262" t="str">
        <f>IFERROR(IF(AND(COUNT(AT65,AU65,AW65,AX65)=4,(AT66+AU66+AW66+AX66)&lt;&gt;0),(AT65+AU65+AW65+AX65)/-(AT66+AU66+AW66+AX66),""),"")</f>
        <v/>
      </c>
      <c r="AY330" s="262" t="str">
        <f>IFERROR(IF(AND(COUNT(AU65,AW65,AX65,AY65)=4,(AU66+AW66+AX66+AY66)&lt;&gt;0),(AU65+AW65+AX65+AY65)/-(AU66+AW66+AX66+AY66),""),"")</f>
        <v/>
      </c>
      <c r="AZ330" s="262" t="str">
        <f>IFERROR(IF(AND(COUNT(AW65,AX65,AY65,AZ65)=4,(AW66+AX66+AY66+AZ66)&lt;&gt;0),(AW65+AX65+AY65+AZ65)/-(AW66+AX66+AY66+AZ66),""),"")</f>
        <v/>
      </c>
      <c r="BA330" s="262" t="str">
        <f>IFERROR(IF(AND(COUNT(AW65,AX65,AY65,AZ65)=4,(AW66+AX66+AY66+AZ66)&lt;&gt;0),(AW65+AX65+AY65+AZ65)/-(AW66+AX66+AY66+AZ66),""),"")</f>
        <v/>
      </c>
      <c r="BB330" s="262" t="str">
        <f>IFERROR(IF(AND(COUNT(AX65,AY65,AZ65,BB65)=4,(AX66+AY66+AZ66+BB66)&lt;&gt;0),(AX65+AY65+AZ65+BB65)/-(AX66+AY66+AZ66+BB66),""),"")</f>
        <v/>
      </c>
      <c r="BC330" s="262" t="str">
        <f>IFERROR(IF(AND(COUNT(AY65,AZ65,BB65,BC65)=4,(AY66+AZ66+BB66+BC66)&lt;&gt;0),(AY65+AZ65+BB65+BC65)/-(AY66+AZ66+BB66+BC66),""),"")</f>
        <v/>
      </c>
      <c r="BD330" s="262" t="str">
        <f>IFERROR(IF(AND(COUNT(AZ65,BB65,BC65,BD65)=4,(AZ66+BB66+BC66+BD66)&lt;&gt;0),(AZ65+BB65+BC65+BD65)/-(AZ66+BB66+BC66+BD66),""),"")</f>
        <v/>
      </c>
      <c r="BE330" s="262" t="str">
        <f>IFERROR(IF(AND(COUNT(BB65,BC65,BD65,BE65)=4,(BB66+BC66+BD66+BE66)&lt;&gt;0),(BB65+BC65+BD65+BE65)/-(BB66+BC66+BD66+BE66),""),"")</f>
        <v/>
      </c>
      <c r="BF330" s="262" t="str">
        <f>IFERROR(IF(AND(COUNT(BB65,BC65,BD65,BE65)=4,(BB66+BC66+BD66+BE66)&lt;&gt;0),(BB65+BC65+BD65+BE65)/-(BB66+BC66+BD66+BE66),""),"")</f>
        <v/>
      </c>
      <c r="BG330" s="82" t="n"/>
      <c r="BH330" s="82" t="n"/>
      <c r="BI330" s="82" t="n"/>
      <c r="BJ330" s="82" t="n"/>
      <c r="BL330" s="82" t="n"/>
      <c r="BM330" s="82" t="n"/>
      <c r="BN330" s="82" t="n"/>
      <c r="BO330" s="82" t="n"/>
      <c r="BQ330" s="82" t="n"/>
      <c r="BR330" s="82" t="n"/>
      <c r="BS330" s="82" t="n"/>
      <c r="BT330" s="82" t="n"/>
      <c r="BV330" s="82" t="n"/>
      <c r="BW330" s="82" t="n"/>
      <c r="BX330" s="82" t="n"/>
      <c r="BY330" s="82" t="n"/>
      <c r="CA330" s="82" t="n"/>
      <c r="CB330" s="82" t="n"/>
      <c r="CC330" s="82" t="n"/>
      <c r="CD330" s="82" t="n"/>
      <c r="CF330" s="82" t="n"/>
      <c r="CG330" s="82" t="n"/>
      <c r="CH330" s="82" t="n"/>
      <c r="CI330" s="82" t="n"/>
      <c r="CK330" s="82" t="n"/>
      <c r="CL330" s="82" t="n"/>
      <c r="CM330" s="82" t="n"/>
      <c r="CN330" s="82" t="n"/>
      <c r="CP330" s="82" t="n"/>
      <c r="CQ330" s="82" t="n"/>
      <c r="CR330" s="82" t="n"/>
      <c r="CS330" s="82" t="n"/>
      <c r="CU330" s="82" t="n"/>
      <c r="CV330" s="82" t="n"/>
      <c r="CW330" s="82" t="n"/>
      <c r="CX330" s="82" t="n"/>
    </row>
    <row r="331" customFormat="1" s="77">
      <c r="A331" s="76" t="n"/>
      <c r="B331" s="76" t="n"/>
    </row>
    <row r="332" customFormat="1" s="77">
      <c r="A332" s="76" t="n"/>
      <c r="B332" s="76" t="n"/>
      <c r="C332" s="74" t="inlineStr">
        <is>
          <t>INTERNAL LIQUIDITY</t>
        </is>
      </c>
    </row>
    <row r="333" customFormat="1" s="77">
      <c r="A333" s="76" t="n"/>
      <c r="B333" s="76" t="n"/>
      <c r="C333" s="77" t="inlineStr">
        <is>
          <t>CURRENT RATIO</t>
        </is>
      </c>
      <c r="D333" s="82" t="str">
        <f>IFERROR(SUM(D136,D137,D141,D145,D146,D147)/SUM(D190,D194,D196,D197),"")</f>
        <v/>
      </c>
      <c r="E333" s="82" t="str">
        <f>IFERROR(SUM(E136,E137,E141,E145,E146,E147)/SUM(E190,E194,E196,E197),"")</f>
        <v/>
      </c>
      <c r="F333" s="82" t="str">
        <f>IFERROR(SUM(F136,F137,F141,F145,F146,F147)/SUM(F190,F194,F196,F197),"")</f>
        <v/>
      </c>
      <c r="G333" s="82" t="str">
        <f>IFERROR(SUM(G136,G137,G141,G145,G146,G147)/SUM(G190,G194,G196,G197),"")</f>
        <v/>
      </c>
      <c r="H333" s="262" t="str">
        <f>IFERROR(IF((N(H190)+N(H194)+N(H196)+N(H197)+N(H204)+N(H205)+N(H206))&lt;&gt;0,(N(H136)+(N(H137)+N(H141)+N(H145)+N(H146)+N(H147)))/(N(H190)+N(H194)+N(H196)+N(H197)+N(H204)+N(H205)+N(H206)),""),"")</f>
        <v/>
      </c>
      <c r="I333" s="262">
        <f>IFERROR(IF((N(I190)+N(I194)+N(I196)+N(I197)+N(I204)+N(I205)+N(I206))&lt;&gt;0,(N(I136)+(N(I137)+N(I141)+N(I145)+N(I146)+N(I147)))/(N(I190)+N(I194)+N(I196)+N(I197)+N(I204)+N(I205)+N(I206)),""),"")</f>
        <v>2.35436998481891</v>
      </c>
      <c r="J333" s="262">
        <f>IFERROR(IF((N(J190)+N(J194)+N(J196)+N(J197)+N(J204)+N(J205)+N(J206))&lt;&gt;0,(N(J136)+(N(J137)+N(J141)+N(J145)+N(J146)+N(J147)))/(N(J190)+N(J194)+N(J196)+N(J197)+N(J204)+N(J205)+N(J206)),""),"")</f>
        <v>2.27953681925095</v>
      </c>
      <c r="K333" s="262">
        <f>IFERROR(IF((N(K190)+N(K194)+N(K196)+N(K197)+N(K204)+N(K205)+N(K206))&lt;&gt;0,(N(K136)+(N(K137)+N(K141)+N(K145)+N(K146)+N(K147)))/(N(K190)+N(K194)+N(K196)+N(K197)+N(K204)+N(K205)+N(K206)),""),"")</f>
        <v>2.49701249321021</v>
      </c>
      <c r="L333" s="262">
        <f>IFERROR(IF((N(L190)+N(L194)+N(L196)+N(L197)+N(L204)+N(L205)+N(L206))&lt;&gt;0,(N(L136)+(N(L137)+N(L141)+N(L145)+N(L146)+N(L147)))/(N(L190)+N(L194)+N(L196)+N(L197)+N(L204)+N(L205)+N(L206)),""),"")</f>
        <v>2.51697216564834</v>
      </c>
      <c r="M333" s="262">
        <f>IFERROR(IF((N(M190)+N(M194)+N(M196)+N(M197)+N(M204)+N(M205)+N(M206))&lt;&gt;0,(N(M136)+(N(M137)+N(M141)+N(M145)+N(M146)+N(M147)))/(N(M190)+N(M194)+N(M196)+N(M197)+N(M204)+N(M205)+N(M206)),""),"")</f>
        <v>2.51697216564834</v>
      </c>
      <c r="N333" s="262">
        <f>IFERROR(IF((N(N190)+N(N194)+N(N196)+N(N197)+N(N204)+N(N205)+N(N206))&lt;&gt;0,(N(N136)+(N(N137)+N(N141)+N(N145)+N(N146)+N(N147)))/(N(N190)+N(N194)+N(N196)+N(N197)+N(N204)+N(N205)+N(N206)),""),"")</f>
        <v>2.37093275488069</v>
      </c>
      <c r="O333" s="262">
        <f>IFERROR(IF((N(O190)+N(O194)+N(O196)+N(O197)+N(O204)+N(O205)+N(O206))&lt;&gt;0,(N(O136)+(N(O137)+N(O141)+N(O145)+N(O146)+N(O147)))/(N(O190)+N(O194)+N(O196)+N(O197)+N(O204)+N(O205)+N(O206)),""),"")</f>
        <v>2.72791638570465</v>
      </c>
      <c r="P333" s="262">
        <f>IFERROR(IF((N(P190)+N(P194)+N(P196)+N(P197)+N(P204)+N(P205)+N(P206))&lt;&gt;0,(N(P136)+(N(P137)+N(P141)+N(P145)+N(P146)+N(P147)))/(N(P190)+N(P194)+N(P196)+N(P197)+N(P204)+N(P205)+N(P206)),""),"")</f>
        <v>2.5625937656276</v>
      </c>
      <c r="Q333" s="262">
        <f>IFERROR(IF((N(Q190)+N(Q194)+N(Q196)+N(Q197)+N(Q204)+N(Q205)+N(Q206))&lt;&gt;0,(N(Q136)+(N(Q137)+N(Q141)+N(Q145)+N(Q146)+N(Q147)))/(N(Q190)+N(Q194)+N(Q196)+N(Q197)+N(Q204)+N(Q205)+N(Q206)),""),"")</f>
        <v>2.46067769897557</v>
      </c>
      <c r="R333" s="262">
        <f>IFERROR(IF((N(R190)+N(R194)+N(R196)+N(R197)+N(R204)+N(R205)+N(R206))&lt;&gt;0,(N(R136)+(N(R137)+N(R141)+N(R145)+N(R146)+N(R147)))/(N(R190)+N(R194)+N(R196)+N(R197)+N(R204)+N(R205)+N(R206)),""),"")</f>
        <v>2.46067769897557</v>
      </c>
      <c r="S333" s="262">
        <f>IFERROR(IF((N(S190)+N(S194)+N(S196)+N(S197)+N(S204)+N(S205)+N(S206))&lt;&gt;0,(N(S136)+(N(S137)+N(S141)+N(S145)+N(S146)+N(S147)))/(N(S190)+N(S194)+N(S196)+N(S197)+N(S204)+N(S205)+N(S206)),""),"")</f>
        <v>2.79227419049422</v>
      </c>
      <c r="T333" s="262">
        <f>IFERROR(IF((N(T190)+N(T194)+N(T196)+N(T197)+N(T204)+N(T205)+N(T206))&lt;&gt;0,(N(T136)+(N(T137)+N(T141)+N(T145)+N(T146)+N(T147)))/(N(T190)+N(T194)+N(T196)+N(T197)+N(T204)+N(T205)+N(T206)),""),"")</f>
        <v>2.9358813700919</v>
      </c>
      <c r="U333" s="262">
        <f>IFERROR(IF((N(U190)+N(U194)+N(U196)+N(U197)+N(U204)+N(U205)+N(U206))&lt;&gt;0,(N(U136)+(N(U137)+N(U141)+N(U145)+N(U146)+N(U147)))/(N(U190)+N(U194)+N(U196)+N(U197)+N(U204)+N(U205)+N(U206)),""),"")</f>
        <v>2.89650205761317</v>
      </c>
      <c r="V333" s="262">
        <f>IFERROR(IF((N(V190)+N(V194)+N(V196)+N(V197)+N(V204)+N(V205)+N(V206))&lt;&gt;0,(N(V136)+(N(V137)+N(V141)+N(V145)+N(V146)+N(V147)))/(N(V190)+N(V194)+N(V196)+N(V197)+N(V204)+N(V205)+N(V206)),""),"")</f>
        <v>2.41874462596733</v>
      </c>
      <c r="W333" s="262">
        <f>IFERROR(IF((N(W190)+N(W194)+N(W196)+N(W197)+N(W204)+N(W205)+N(W206))&lt;&gt;0,(N(W136)+(N(W137)+N(W141)+N(W145)+N(W146)+N(W147)))/(N(W190)+N(W194)+N(W196)+N(W197)+N(W204)+N(W205)+N(W206)),""),"")</f>
        <v>2.41874462596733</v>
      </c>
      <c r="X333" s="262">
        <f>IFERROR(IF((N(X190)+N(X194)+N(X196)+N(X197)+N(X204)+N(X205)+N(X206))&lt;&gt;0,(N(X136)+(N(X137)+N(X141)+N(X145)+N(X146)+N(X147)))/(N(X190)+N(X194)+N(X196)+N(X197)+N(X204)+N(X205)+N(X206)),""),"")</f>
        <v>2.35400475812847</v>
      </c>
      <c r="Y333" s="262">
        <f>IFERROR(IF((N(Y190)+N(Y194)+N(Y196)+N(Y197)+N(Y204)+N(Y205)+N(Y206))&lt;&gt;0,(N(Y136)+(N(Y137)+N(Y141)+N(Y145)+N(Y146)+N(Y147)))/(N(Y190)+N(Y194)+N(Y196)+N(Y197)+N(Y204)+N(Y205)+N(Y206)),""),"")</f>
        <v>2.39928292046936</v>
      </c>
      <c r="Z333" s="262">
        <f>IFERROR(IF((N(Z190)+N(Z194)+N(Z196)+N(Z197)+N(Z204)+N(Z205)+N(Z206))&lt;&gt;0,(N(Z136)+(N(Z137)+N(Z141)+N(Z145)+N(Z146)+N(Z147)))/(N(Z190)+N(Z194)+N(Z196)+N(Z197)+N(Z204)+N(Z205)+N(Z206)),""),"")</f>
        <v>2.32831759244437</v>
      </c>
      <c r="AA333" s="262">
        <f>IFERROR(IF((N(AA190)+N(AA194)+N(AA196)+N(AA197)+N(AA204)+N(AA205)+N(AA206))&lt;&gt;0,(N(AA136)+(N(AA137)+N(AA141)+N(AA145)+N(AA146)+N(AA147)))/(N(AA190)+N(AA194)+N(AA196)+N(AA197)+N(AA204)+N(AA205)+N(AA206)),""),"")</f>
        <v>2.41921397379913</v>
      </c>
      <c r="AB333" s="262">
        <f>IFERROR(IF((N(AB190)+N(AB194)+N(AB196)+N(AB197)+N(AB204)+N(AB205)+N(AB206))&lt;&gt;0,(N(AB136)+(N(AB137)+N(AB141)+N(AB145)+N(AB146)+N(AB147)))/(N(AB190)+N(AB194)+N(AB196)+N(AB197)+N(AB204)+N(AB205)+N(AB206)),""),"")</f>
        <v>2.41921397379913</v>
      </c>
      <c r="AC333" s="262">
        <f>IFERROR(IF((N(AC190)+N(AC194)+N(AC196)+N(AC197)+N(AC204)+N(AC205)+N(AC206))&lt;&gt;0,(N(AC136)+(N(AC137)+N(AC141)+N(AC145)+N(AC146)+N(AC147)))/(N(AC190)+N(AC194)+N(AC196)+N(AC197)+N(AC204)+N(AC205)+N(AC206)),""),"")</f>
        <v>2.32239609624769</v>
      </c>
      <c r="AD333" s="262">
        <f>IFERROR(IF((N(AD190)+N(AD194)+N(AD196)+N(AD197)+N(AD204)+N(AD205)+N(AD206))&lt;&gt;0,(N(AD136)+(N(AD137)+N(AD141)+N(AD145)+N(AD146)+N(AD147)))/(N(AD190)+N(AD194)+N(AD196)+N(AD197)+N(AD204)+N(AD205)+N(AD206)),""),"")</f>
        <v>2.46537696619056</v>
      </c>
      <c r="AE333" s="262">
        <f>IFERROR(IF((N(AE190)+N(AE194)+N(AE196)+N(AE197)+N(AE204)+N(AE205)+N(AE206))&lt;&gt;0,(N(AE136)+(N(AE137)+N(AE141)+N(AE145)+N(AE146)+N(AE147)))/(N(AE190)+N(AE194)+N(AE196)+N(AE197)+N(AE204)+N(AE205)+N(AE206)),""),"")</f>
        <v>2.45457835685849</v>
      </c>
      <c r="AF333" s="262">
        <f>IFERROR(IF((N(AF190)+N(AF194)+N(AF196)+N(AF197)+N(AF204)+N(AF205)+N(AF206))&lt;&gt;0,(N(AF136)+(N(AF137)+N(AF141)+N(AF145)+N(AF146)+N(AF147)))/(N(AF190)+N(AF194)+N(AF196)+N(AF197)+N(AF204)+N(AF205)+N(AF206)),""),"")</f>
        <v>2.29107825220136</v>
      </c>
      <c r="AG333" s="262">
        <f>IFERROR(IF((N(AG190)+N(AG194)+N(AG196)+N(AG197)+N(AG204)+N(AG205)+N(AG206))&lt;&gt;0,(N(AG136)+(N(AG137)+N(AG141)+N(AG145)+N(AG146)+N(AG147)))/(N(AG190)+N(AG194)+N(AG196)+N(AG197)+N(AG204)+N(AG205)+N(AG206)),""),"")</f>
        <v>2.29107825220136</v>
      </c>
      <c r="AH333" s="262">
        <f>IFERROR(IF((N(AH190)+N(AH194)+N(AH196)+N(AH197)+N(AH204)+N(AH205)+N(AH206))&lt;&gt;0,(N(AH136)+(N(AH137)+N(AH141)+N(AH145)+N(AH146)+N(AH147)))/(N(AH190)+N(AH194)+N(AH196)+N(AH197)+N(AH204)+N(AH205)+N(AH206)),""),"")</f>
        <v>2.38564415100728</v>
      </c>
      <c r="AI333" s="262">
        <f>IFERROR(IF((N(AI190)+N(AI194)+N(AI196)+N(AI197)+N(AI204)+N(AI205)+N(AI206))&lt;&gt;0,(N(AI136)+(N(AI137)+N(AI141)+N(AI145)+N(AI146)+N(AI147)))/(N(AI190)+N(AI194)+N(AI196)+N(AI197)+N(AI204)+N(AI205)+N(AI206)),""),"")</f>
        <v>2.06607351225204</v>
      </c>
      <c r="AJ333" s="262">
        <f>IFERROR(IF((N(AJ190)+N(AJ194)+N(AJ196)+N(AJ197)+N(AJ204)+N(AJ205)+N(AJ206))&lt;&gt;0,(N(AJ136)+(N(AJ137)+N(AJ141)+N(AJ145)+N(AJ146)+N(AJ147)))/(N(AJ190)+N(AJ194)+N(AJ196)+N(AJ197)+N(AJ204)+N(AJ205)+N(AJ206)),""),"")</f>
        <v>2.15191460028087</v>
      </c>
      <c r="AK333" s="262">
        <f>IFERROR(IF((N(AK190)+N(AK194)+N(AK196)+N(AK197)+N(AK204)+N(AK205)+N(AK206))&lt;&gt;0,(N(AK136)+(N(AK137)+N(AK141)+N(AK145)+N(AK146)+N(AK147)))/(N(AK190)+N(AK194)+N(AK196)+N(AK197)+N(AK204)+N(AK205)+N(AK206)),""),"")</f>
        <v>2.4085456853394</v>
      </c>
      <c r="AL333" s="262">
        <f>IFERROR(IF((N(AL190)+N(AL194)+N(AL196)+N(AL197)+N(AL204)+N(AL205)+N(AL206))&lt;&gt;0,(N(AL136)+(N(AL137)+N(AL141)+N(AL145)+N(AL146)+N(AL147)))/(N(AL190)+N(AL194)+N(AL196)+N(AL197)+N(AL204)+N(AL205)+N(AL206)),""),"")</f>
        <v>2.4085456853394</v>
      </c>
      <c r="AM333" s="262">
        <f>IFERROR(IF((N(AM190)+N(AM194)+N(AM196)+N(AM197)+N(AM204)+N(AM205)+N(AM206))&lt;&gt;0,(N(AM136)+(N(AM137)+N(AM141)+N(AM145)+N(AM146)+N(AM147)))/(N(AM190)+N(AM194)+N(AM196)+N(AM197)+N(AM204)+N(AM205)+N(AM206)),""),"")</f>
        <v>2.39093172694969</v>
      </c>
      <c r="AN333" s="262">
        <f>IFERROR(IF((N(AN190)+N(AN194)+N(AN196)+N(AN197)+N(AN204)+N(AN205)+N(AN206))&lt;&gt;0,(N(AN136)+(N(AN137)+N(AN141)+N(AN145)+N(AN146)+N(AN147)))/(N(AN190)+N(AN194)+N(AN196)+N(AN197)+N(AN204)+N(AN205)+N(AN206)),""),"")</f>
        <v>2.38721212729645</v>
      </c>
      <c r="AO333" s="262">
        <f>IFERROR(IF((N(AO190)+N(AO194)+N(AO196)+N(AO197)+N(AO204)+N(AO205)+N(AO206))&lt;&gt;0,(N(AO136)+(N(AO137)+N(AO141)+N(AO145)+N(AO146)+N(AO147)))/(N(AO190)+N(AO194)+N(AO196)+N(AO197)+N(AO204)+N(AO205)+N(AO206)),""),"")</f>
        <v>2.48656403021756</v>
      </c>
      <c r="AP333" s="262">
        <f>IFERROR(IF((N(AP190)+N(AP194)+N(AP196)+N(AP197)+N(AP204)+N(AP205)+N(AP206))&lt;&gt;0,(N(AP136)+(N(AP137)+N(AP141)+N(AP145)+N(AP146)+N(AP147)))/(N(AP190)+N(AP194)+N(AP196)+N(AP197)+N(AP204)+N(AP205)+N(AP206)),""),"")</f>
        <v>2.79224322801353</v>
      </c>
      <c r="AQ333" s="262">
        <f>IFERROR(IF((N(AQ190)+N(AQ194)+N(AQ196)+N(AQ197)+N(AQ204)+N(AQ205)+N(AQ206))&lt;&gt;0,(N(AQ136)+(N(AQ137)+N(AQ141)+N(AQ145)+N(AQ146)+N(AQ147)))/(N(AQ190)+N(AQ194)+N(AQ196)+N(AQ197)+N(AQ204)+N(AQ205)+N(AQ206)),""),"")</f>
        <v>2.79224322801353</v>
      </c>
      <c r="AR333" s="262">
        <f>IFERROR(IF((N(AR190)+N(AR194)+N(AR196)+N(AR197)+N(AR204)+N(AR205)+N(AR206))&lt;&gt;0,(N(AR136)+(N(AR137)+N(AR141)+N(AR145)+N(AR146)+N(AR147)))/(N(AR190)+N(AR194)+N(AR196)+N(AR197)+N(AR204)+N(AR205)+N(AR206)),""),"")</f>
        <v>2.7637127866752</v>
      </c>
      <c r="AS333" s="262">
        <f>IFERROR(IF((N(AS190)+N(AS194)+N(AS196)+N(AS197)+N(AS204)+N(AS205)+N(AS206))&lt;&gt;0,(N(AS136)+(N(AS137)+N(AS141)+N(AS145)+N(AS146)+N(AS147)))/(N(AS190)+N(AS194)+N(AS196)+N(AS197)+N(AS204)+N(AS205)+N(AS206)),""),"")</f>
        <v>2.7227083868821</v>
      </c>
      <c r="AT333" s="262">
        <f>IFERROR(IF((N(AT190)+N(AT194)+N(AT196)+N(AT197)+N(AT204)+N(AT205)+N(AT206))&lt;&gt;0,(N(AT136)+(N(AT137)+N(AT141)+N(AT145)+N(AT146)+N(AT147)))/(N(AT190)+N(AT194)+N(AT196)+N(AT197)+N(AT204)+N(AT205)+N(AT206)),""),"")</f>
        <v>2.82371918117009</v>
      </c>
      <c r="AU333" s="262">
        <f>IFERROR(IF((N(AU190)+N(AU194)+N(AU196)+N(AU197)+N(AU204)+N(AU205)+N(AU206))&lt;&gt;0,(N(AU136)+(N(AU137)+N(AU141)+N(AU145)+N(AU146)+N(AU147)))/(N(AU190)+N(AU194)+N(AU196)+N(AU197)+N(AU204)+N(AU205)+N(AU206)),""),"")</f>
        <v>3.17959191310694</v>
      </c>
      <c r="AV333" s="262">
        <f>IFERROR(IF((N(AV190)+N(AV194)+N(AV196)+N(AV197)+N(AV204)+N(AV205)+N(AV206))&lt;&gt;0,(N(AV136)+(N(AV137)+N(AV141)+N(AV145)+N(AV146)+N(AV147)))/(N(AV190)+N(AV194)+N(AV196)+N(AV197)+N(AV204)+N(AV205)+N(AV206)),""),"")</f>
        <v>3.17959191310694</v>
      </c>
      <c r="AW333" s="262">
        <f>IFERROR(IF((N(AW190)+N(AW194)+N(AW196)+N(AW197)+N(AW204)+N(AW205)+N(AW206))&lt;&gt;0,(N(AW136)+(N(AW137)+N(AW141)+N(AW145)+N(AW146)+N(AW147)))/(N(AW190)+N(AW194)+N(AW196)+N(AW197)+N(AW204)+N(AW205)+N(AW206)),""),"")</f>
        <v>3.11744171443714</v>
      </c>
      <c r="AX333" s="262">
        <f>IFERROR(IF((N(AX190)+N(AX194)+N(AX196)+N(AX197)+N(AX204)+N(AX205)+N(AX206))&lt;&gt;0,(N(AX136)+(N(AX137)+N(AX141)+N(AX145)+N(AX146)+N(AX147)))/(N(AX190)+N(AX194)+N(AX196)+N(AX197)+N(AX204)+N(AX205)+N(AX206)),""),"")</f>
        <v>3.06421029817224</v>
      </c>
      <c r="AY333" s="262">
        <f>IFERROR(IF((N(AY190)+N(AY194)+N(AY196)+N(AY197)+N(AY204)+N(AY205)+N(AY206))&lt;&gt;0,(N(AY136)+(N(AY137)+N(AY141)+N(AY145)+N(AY146)+N(AY147)))/(N(AY190)+N(AY194)+N(AY196)+N(AY197)+N(AY204)+N(AY205)+N(AY206)),""),"")</f>
        <v>3.16719527971663</v>
      </c>
      <c r="AZ333" s="262">
        <f>IFERROR(IF((N(AZ190)+N(AZ194)+N(AZ196)+N(AZ197)+N(AZ204)+N(AZ205)+N(AZ206))&lt;&gt;0,(N(AZ136)+(N(AZ137)+N(AZ141)+N(AZ145)+N(AZ146)+N(AZ147)))/(N(AZ190)+N(AZ194)+N(AZ196)+N(AZ197)+N(AZ204)+N(AZ205)+N(AZ206)),""),"")</f>
        <v>3.57451823666211</v>
      </c>
      <c r="BA333" s="262">
        <f>IFERROR(IF((N(BA190)+N(BA194)+N(BA196)+N(BA197)+N(BA204)+N(BA205)+N(BA206))&lt;&gt;0,(N(BA136)+(N(BA137)+N(BA141)+N(BA145)+N(BA146)+N(BA147)))/(N(BA190)+N(BA194)+N(BA196)+N(BA197)+N(BA204)+N(BA205)+N(BA206)),""),"")</f>
        <v>3.57451823666211</v>
      </c>
      <c r="BB333" s="262">
        <f>IFERROR(IF((N(BB190)+N(BB194)+N(BB196)+N(BB197)+N(BB204)+N(BB205)+N(BB206))&lt;&gt;0,(N(BB136)+(N(BB137)+N(BB141)+N(BB145)+N(BB146)+N(BB147)))/(N(BB190)+N(BB194)+N(BB196)+N(BB197)+N(BB204)+N(BB205)+N(BB206)),""),"")</f>
        <v>3.48999357116079</v>
      </c>
      <c r="BC333" s="262">
        <f>IFERROR(IF((N(BC190)+N(BC194)+N(BC196)+N(BC197)+N(BC204)+N(BC205)+N(BC206))&lt;&gt;0,(N(BC136)+(N(BC137)+N(BC141)+N(BC145)+N(BC146)+N(BC147)))/(N(BC190)+N(BC194)+N(BC196)+N(BC197)+N(BC204)+N(BC205)+N(BC206)),""),"")</f>
        <v>3.4114729529387</v>
      </c>
      <c r="BD333" s="262">
        <f>IFERROR(IF((N(BD190)+N(BD194)+N(BD196)+N(BD197)+N(BD204)+N(BD205)+N(BD206))&lt;&gt;0,(N(BD136)+(N(BD137)+N(BD141)+N(BD145)+N(BD146)+N(BD147)))/(N(BD190)+N(BD194)+N(BD196)+N(BD197)+N(BD204)+N(BD205)+N(BD206)),""),"")</f>
        <v>3.51637051031226</v>
      </c>
      <c r="BE333" s="262">
        <f>IFERROR(IF((N(BE190)+N(BE194)+N(BE196)+N(BE197)+N(BE204)+N(BE205)+N(BE206))&lt;&gt;0,(N(BE136)+(N(BE137)+N(BE141)+N(BE145)+N(BE146)+N(BE147)))/(N(BE190)+N(BE194)+N(BE196)+N(BE197)+N(BE204)+N(BE205)+N(BE206)),""),"")</f>
        <v>3.9758401081465</v>
      </c>
      <c r="BF333" s="262">
        <f>IFERROR(IF((N(BF190)+N(BF194)+N(BF196)+N(BF197)+N(BF204)+N(BF205)+N(BF206))&lt;&gt;0,(N(BF136)+(N(BF137)+N(BF141)+N(BF145)+N(BF146)+N(BF147)))/(N(BF190)+N(BF194)+N(BF196)+N(BF197)+N(BF204)+N(BF205)+N(BF206)),""),"")</f>
        <v>3.9758401081465</v>
      </c>
      <c r="BG333" s="82" t="n"/>
      <c r="BH333" s="82" t="n"/>
      <c r="BI333" s="82" t="n"/>
      <c r="BJ333" s="82" t="n"/>
      <c r="BL333" s="82" t="n"/>
      <c r="BM333" s="82" t="n"/>
      <c r="BN333" s="82" t="n"/>
      <c r="BO333" s="82" t="n"/>
      <c r="BQ333" s="82" t="n"/>
      <c r="BR333" s="82" t="n"/>
      <c r="BS333" s="82" t="n"/>
      <c r="BT333" s="82" t="n"/>
      <c r="BV333" s="82" t="n"/>
      <c r="BW333" s="82" t="n"/>
      <c r="BX333" s="82" t="n"/>
      <c r="BY333" s="82" t="n"/>
      <c r="CA333" s="82" t="n"/>
      <c r="CB333" s="82" t="n"/>
      <c r="CC333" s="82" t="n"/>
      <c r="CD333" s="82" t="n"/>
      <c r="CF333" s="82" t="n"/>
      <c r="CG333" s="82" t="n"/>
      <c r="CH333" s="82" t="n"/>
      <c r="CI333" s="82" t="n"/>
      <c r="CK333" s="82" t="n"/>
      <c r="CL333" s="82" t="n"/>
      <c r="CM333" s="82" t="n"/>
      <c r="CN333" s="82" t="n"/>
      <c r="CP333" s="82" t="n"/>
      <c r="CQ333" s="82" t="n"/>
      <c r="CR333" s="82" t="n"/>
      <c r="CS333" s="82" t="n"/>
      <c r="CU333" s="82" t="n"/>
      <c r="CV333" s="82" t="n"/>
      <c r="CW333" s="82" t="n"/>
      <c r="CX333" s="82" t="n"/>
    </row>
    <row r="334" customFormat="1" s="77">
      <c r="A334" s="76" t="n"/>
      <c r="B334" s="76" t="n"/>
      <c r="C334" s="77" t="inlineStr">
        <is>
          <t>CASH RATIO</t>
        </is>
      </c>
      <c r="D334" s="82" t="str">
        <f>IFERROR(SUM(D136)/SUM(D190,D194,D196,D197),"")</f>
        <v/>
      </c>
      <c r="E334" s="82" t="str">
        <f>IFERROR(SUM(E136)/SUM(E190,E194,E196,E197),"")</f>
        <v/>
      </c>
      <c r="F334" s="82" t="str">
        <f>IFERROR(SUM(F136)/SUM(F190,F194,F196,F197),"")</f>
        <v/>
      </c>
      <c r="G334" s="82" t="str">
        <f>IFERROR(SUM(G136)/SUM(G190,G194,G196,G197),"")</f>
        <v/>
      </c>
      <c r="H334" s="262" t="str">
        <f>IFERROR(IF((N(H190)+N(H194)+N(H196)+N(H197)+N(H204)+N(H205)+N(H206))&lt;&gt;0,N(H136)/(N(H190)+N(H194)+N(H196)+N(H197)+N(H204)+N(H205)+N(H206)),""),"")</f>
        <v/>
      </c>
      <c r="I334" s="262">
        <f>IFERROR(IF((N(I190)+N(I194)+N(I196)+N(I197)+N(I204)+N(I205)+N(I206))&lt;&gt;0,N(I136)/(N(I190)+N(I194)+N(I196)+N(I197)+N(I204)+N(I205)+N(I206)),""),"")</f>
        <v>0.993276946432444</v>
      </c>
      <c r="J334" s="262">
        <f>IFERROR(IF((N(J190)+N(J194)+N(J196)+N(J197)+N(J204)+N(J205)+N(J206))&lt;&gt;0,N(J136)/(N(J190)+N(J194)+N(J196)+N(J197)+N(J204)+N(J205)+N(J206)),""),"")</f>
        <v>1.14221096435679</v>
      </c>
      <c r="K334" s="262">
        <f>IFERROR(IF((N(K190)+N(K194)+N(K196)+N(K197)+N(K204)+N(K205)+N(K206))&lt;&gt;0,N(K136)/(N(K190)+N(K194)+N(K196)+N(K197)+N(K204)+N(K205)+N(K206)),""),"")</f>
        <v>1.38910012674271</v>
      </c>
      <c r="L334" s="262">
        <f>IFERROR(IF((N(L190)+N(L194)+N(L196)+N(L197)+N(L204)+N(L205)+N(L206))&lt;&gt;0,N(L136)/(N(L190)+N(L194)+N(L196)+N(L197)+N(L204)+N(L205)+N(L206)),""),"")</f>
        <v>2.78038017651052</v>
      </c>
      <c r="M334" s="262">
        <f>IFERROR(IF((N(M190)+N(M194)+N(M196)+N(M197)+N(M204)+N(M205)+N(M206))&lt;&gt;0,N(M136)/(N(M190)+N(M194)+N(M196)+N(M197)+N(M204)+N(M205)+N(M206)),""),"")</f>
        <v>2.78038017651052</v>
      </c>
      <c r="N334" s="262">
        <f>IFERROR(IF((N(N190)+N(N194)+N(N196)+N(N197)+N(N204)+N(N205)+N(N206))&lt;&gt;0,N(N136)/(N(N190)+N(N194)+N(N196)+N(N197)+N(N204)+N(N205)+N(N206)),""),"")</f>
        <v>1.29191199256275</v>
      </c>
      <c r="O334" s="262">
        <f>IFERROR(IF((N(O190)+N(O194)+N(O196)+N(O197)+N(O204)+N(O205)+N(O206))&lt;&gt;0,N(O136)/(N(O190)+N(O194)+N(O196)+N(O197)+N(O204)+N(O205)+N(O206)),""),"")</f>
        <v>1.60013486176669</v>
      </c>
      <c r="P334" s="262">
        <f>IFERROR(IF((N(P190)+N(P194)+N(P196)+N(P197)+N(P204)+N(P205)+N(P206))&lt;&gt;0,N(P136)/(N(P190)+N(P194)+N(P196)+N(P197)+N(P204)+N(P205)+N(P206)),""),"")</f>
        <v>1.42990498416403</v>
      </c>
      <c r="Q334" s="262">
        <f>IFERROR(IF((N(Q190)+N(Q194)+N(Q196)+N(Q197)+N(Q204)+N(Q205)+N(Q206))&lt;&gt;0,N(Q136)/(N(Q190)+N(Q194)+N(Q196)+N(Q197)+N(Q204)+N(Q205)+N(Q206)),""),"")</f>
        <v>2.60614657210402</v>
      </c>
      <c r="R334" s="262">
        <f>IFERROR(IF((N(R190)+N(R194)+N(R196)+N(R197)+N(R204)+N(R205)+N(R206))&lt;&gt;0,N(R136)/(N(R190)+N(R194)+N(R196)+N(R197)+N(R204)+N(R205)+N(R206)),""),"")</f>
        <v>2.60614657210402</v>
      </c>
      <c r="S334" s="262">
        <f>IFERROR(IF((N(S190)+N(S194)+N(S196)+N(S197)+N(S204)+N(S205)+N(S206))&lt;&gt;0,N(S136)/(N(S190)+N(S194)+N(S196)+N(S197)+N(S204)+N(S205)+N(S206)),""),"")</f>
        <v>1.29748153758758</v>
      </c>
      <c r="T334" s="262">
        <f>IFERROR(IF((N(T190)+N(T194)+N(T196)+N(T197)+N(T204)+N(T205)+N(T206))&lt;&gt;0,N(T136)/(N(T190)+N(T194)+N(T196)+N(T197)+N(T204)+N(T205)+N(T206)),""),"")</f>
        <v>1.39578111946533</v>
      </c>
      <c r="U334" s="262">
        <f>IFERROR(IF((N(U190)+N(U194)+N(U196)+N(U197)+N(U204)+N(U205)+N(U206))&lt;&gt;0,N(U136)/(N(U190)+N(U194)+N(U196)+N(U197)+N(U204)+N(U205)+N(U206)),""),"")</f>
        <v>1.1820987654321</v>
      </c>
      <c r="V334" s="262">
        <f>IFERROR(IF((N(V190)+N(V194)+N(V196)+N(V197)+N(V204)+N(V205)+N(V206))&lt;&gt;0,N(V136)/(N(V190)+N(V194)+N(V196)+N(V197)+N(V204)+N(V205)+N(V206)),""),"")</f>
        <v>1.86087704213242</v>
      </c>
      <c r="W334" s="262">
        <f>IFERROR(IF((N(W190)+N(W194)+N(W196)+N(W197)+N(W204)+N(W205)+N(W206))&lt;&gt;0,N(W136)/(N(W190)+N(W194)+N(W196)+N(W197)+N(W204)+N(W205)+N(W206)),""),"")</f>
        <v>1.86087704213242</v>
      </c>
      <c r="X334" s="262">
        <f>IFERROR(IF((N(X190)+N(X194)+N(X196)+N(X197)+N(X204)+N(X205)+N(X206))&lt;&gt;0,N(X136)/(N(X190)+N(X194)+N(X196)+N(X197)+N(X204)+N(X205)+N(X206)),""),"")</f>
        <v>0.826011102299762</v>
      </c>
      <c r="Y334" s="262">
        <f>IFERROR(IF((N(Y190)+N(Y194)+N(Y196)+N(Y197)+N(Y204)+N(Y205)+N(Y206))&lt;&gt;0,N(Y136)/(N(Y190)+N(Y194)+N(Y196)+N(Y197)+N(Y204)+N(Y205)+N(Y206)),""),"")</f>
        <v>0.859354628422425</v>
      </c>
      <c r="Z334" s="262">
        <f>IFERROR(IF((N(Z190)+N(Z194)+N(Z196)+N(Z197)+N(Z204)+N(Z205)+N(Z206))&lt;&gt;0,N(Z136)/(N(Z190)+N(Z194)+N(Z196)+N(Z197)+N(Z204)+N(Z205)+N(Z206)),""),"")</f>
        <v>0.800384184408516</v>
      </c>
      <c r="AA334" s="262">
        <f>IFERROR(IF((N(AA190)+N(AA194)+N(AA196)+N(AA197)+N(AA204)+N(AA205)+N(AA206))&lt;&gt;0,N(AA136)/(N(AA190)+N(AA194)+N(AA196)+N(AA197)+N(AA204)+N(AA205)+N(AA206)),""),"")</f>
        <v>1.60735080058224</v>
      </c>
      <c r="AB334" s="262">
        <f>IFERROR(IF((N(AB190)+N(AB194)+N(AB196)+N(AB197)+N(AB204)+N(AB205)+N(AB206))&lt;&gt;0,N(AB136)/(N(AB190)+N(AB194)+N(AB196)+N(AB197)+N(AB204)+N(AB205)+N(AB206)),""),"")</f>
        <v>1.60735080058224</v>
      </c>
      <c r="AC334" s="262">
        <f>IFERROR(IF((N(AC190)+N(AC194)+N(AC196)+N(AC197)+N(AC204)+N(AC205)+N(AC206))&lt;&gt;0,N(AC136)/(N(AC190)+N(AC194)+N(AC196)+N(AC197)+N(AC204)+N(AC205)+N(AC206)),""),"")</f>
        <v>0.737842840316339</v>
      </c>
      <c r="AD334" s="262">
        <f>IFERROR(IF((N(AD190)+N(AD194)+N(AD196)+N(AD197)+N(AD204)+N(AD205)+N(AD206))&lt;&gt;0,N(AD136)/(N(AD190)+N(AD194)+N(AD196)+N(AD197)+N(AD204)+N(AD205)+N(AD206)),""),"")</f>
        <v>0.811788103417104</v>
      </c>
      <c r="AE334" s="262">
        <f>IFERROR(IF((N(AE190)+N(AE194)+N(AE196)+N(AE197)+N(AE204)+N(AE205)+N(AE206))&lt;&gt;0,N(AE136)/(N(AE190)+N(AE194)+N(AE196)+N(AE197)+N(AE204)+N(AE205)+N(AE206)),""),"")</f>
        <v>0.781397032211365</v>
      </c>
      <c r="AF334" s="262">
        <f>IFERROR(IF((N(AF190)+N(AF194)+N(AF196)+N(AF197)+N(AF204)+N(AF205)+N(AF206))&lt;&gt;0,N(AF136)/(N(AF190)+N(AF194)+N(AF196)+N(AF197)+N(AF204)+N(AF205)+N(AF206)),""),"")</f>
        <v>1.3286260176109</v>
      </c>
      <c r="AG334" s="262">
        <f>IFERROR(IF((N(AG190)+N(AG194)+N(AG196)+N(AG197)+N(AG204)+N(AG205)+N(AG206))&lt;&gt;0,N(AG136)/(N(AG190)+N(AG194)+N(AG196)+N(AG197)+N(AG204)+N(AG205)+N(AG206)),""),"")</f>
        <v>1.3286260176109</v>
      </c>
      <c r="AH334" s="262">
        <f>IFERROR(IF((N(AH190)+N(AH194)+N(AH196)+N(AH197)+N(AH204)+N(AH205)+N(AH206))&lt;&gt;0,N(AH136)/(N(AH190)+N(AH194)+N(AH196)+N(AH197)+N(AH204)+N(AH205)+N(AH206)),""),"")</f>
        <v>0.632639241577789</v>
      </c>
      <c r="AI334" s="262">
        <f>IFERROR(IF((N(AI190)+N(AI194)+N(AI196)+N(AI197)+N(AI204)+N(AI205)+N(AI206))&lt;&gt;0,N(AI136)/(N(AI190)+N(AI194)+N(AI196)+N(AI197)+N(AI204)+N(AI205)+N(AI206)),""),"")</f>
        <v>0.5950991831972</v>
      </c>
      <c r="AJ334" s="262">
        <f>IFERROR(IF((N(AJ190)+N(AJ194)+N(AJ196)+N(AJ197)+N(AJ204)+N(AJ205)+N(AJ206))&lt;&gt;0,N(AJ136)/(N(AJ190)+N(AJ194)+N(AJ196)+N(AJ197)+N(AJ204)+N(AJ205)+N(AJ206)),""),"")</f>
        <v>0.667293760275459</v>
      </c>
      <c r="AK334" s="262">
        <f>IFERROR(IF((N(AK190)+N(AK194)+N(AK196)+N(AK197)+N(AK204)+N(AK205)+N(AK206))&lt;&gt;0,N(AK136)/(N(AK190)+N(AK194)+N(AK196)+N(AK197)+N(AK204)+N(AK205)+N(AK206)),""),"")</f>
        <v>0.735057820601266</v>
      </c>
      <c r="AL334" s="262">
        <f>IFERROR(IF((N(AL190)+N(AL194)+N(AL196)+N(AL197)+N(AL204)+N(AL205)+N(AL206))&lt;&gt;0,N(AL136)/(N(AL190)+N(AL194)+N(AL196)+N(AL197)+N(AL204)+N(AL205)+N(AL206)),""),"")</f>
        <v>0.735057820601266</v>
      </c>
      <c r="AM334" s="262">
        <f>IFERROR(IF((N(AM190)+N(AM194)+N(AM196)+N(AM197)+N(AM204)+N(AM205)+N(AM206))&lt;&gt;0,N(AM136)/(N(AM190)+N(AM194)+N(AM196)+N(AM197)+N(AM204)+N(AM205)+N(AM206)),""),"")</f>
        <v>0.8305881322318</v>
      </c>
      <c r="AN334" s="262">
        <f>IFERROR(IF((N(AN190)+N(AN194)+N(AN196)+N(AN197)+N(AN204)+N(AN205)+N(AN206))&lt;&gt;0,N(AN136)/(N(AN190)+N(AN194)+N(AN196)+N(AN197)+N(AN204)+N(AN205)+N(AN206)),""),"")</f>
        <v>0.923286080850728</v>
      </c>
      <c r="AO334" s="262">
        <f>IFERROR(IF((N(AO190)+N(AO194)+N(AO196)+N(AO197)+N(AO204)+N(AO205)+N(AO206))&lt;&gt;0,N(AO136)/(N(AO190)+N(AO194)+N(AO196)+N(AO197)+N(AO204)+N(AO205)+N(AO206)),""),"")</f>
        <v>1.0188055220249</v>
      </c>
      <c r="AP334" s="262">
        <f>IFERROR(IF((N(AP190)+N(AP194)+N(AP196)+N(AP197)+N(AP204)+N(AP205)+N(AP206))&lt;&gt;0,N(AP136)/(N(AP190)+N(AP194)+N(AP196)+N(AP197)+N(AP204)+N(AP205)+N(AP206)),""),"")</f>
        <v>1.13808922148404</v>
      </c>
      <c r="AQ334" s="262">
        <f>IFERROR(IF((N(AQ190)+N(AQ194)+N(AQ196)+N(AQ197)+N(AQ204)+N(AQ205)+N(AQ206))&lt;&gt;0,N(AQ136)/(N(AQ190)+N(AQ194)+N(AQ196)+N(AQ197)+N(AQ204)+N(AQ205)+N(AQ206)),""),"")</f>
        <v>1.13808922148404</v>
      </c>
      <c r="AR334" s="262">
        <f>IFERROR(IF((N(AR190)+N(AR194)+N(AR196)+N(AR197)+N(AR204)+N(AR205)+N(AR206))&lt;&gt;0,N(AR136)/(N(AR190)+N(AR194)+N(AR196)+N(AR197)+N(AR204)+N(AR205)+N(AR206)),""),"")</f>
        <v>1.20663634945799</v>
      </c>
      <c r="AS334" s="262">
        <f>IFERROR(IF((N(AS190)+N(AS194)+N(AS196)+N(AS197)+N(AS204)+N(AS205)+N(AS206))&lt;&gt;0,N(AS136)/(N(AS190)+N(AS194)+N(AS196)+N(AS197)+N(AS204)+N(AS205)+N(AS206)),""),"")</f>
        <v>1.27023946285248</v>
      </c>
      <c r="AT334" s="262">
        <f>IFERROR(IF((N(AT190)+N(AT194)+N(AT196)+N(AT197)+N(AT204)+N(AT205)+N(AT206))&lt;&gt;0,N(AT136)/(N(AT190)+N(AT194)+N(AT196)+N(AT197)+N(AT204)+N(AT205)+N(AT206)),""),"")</f>
        <v>1.36692979586481</v>
      </c>
      <c r="AU334" s="262">
        <f>IFERROR(IF((N(AU190)+N(AU194)+N(AU196)+N(AU197)+N(AU204)+N(AU205)+N(AU206))&lt;&gt;0,N(AU136)/(N(AU190)+N(AU194)+N(AU196)+N(AU197)+N(AU204)+N(AU205)+N(AU206)),""),"")</f>
        <v>1.53737493587121</v>
      </c>
      <c r="AV334" s="262">
        <f>IFERROR(IF((N(AV190)+N(AV194)+N(AV196)+N(AV197)+N(AV204)+N(AV205)+N(AV206))&lt;&gt;0,N(AV136)/(N(AV190)+N(AV194)+N(AV196)+N(AV197)+N(AV204)+N(AV205)+N(AV206)),""),"")</f>
        <v>1.53737493587121</v>
      </c>
      <c r="AW334" s="262">
        <f>IFERROR(IF((N(AW190)+N(AW194)+N(AW196)+N(AW197)+N(AW204)+N(AW205)+N(AW206))&lt;&gt;0,N(AW136)/(N(AW190)+N(AW194)+N(AW196)+N(AW197)+N(AW204)+N(AW205)+N(AW206)),""),"")</f>
        <v>1.57618480256799</v>
      </c>
      <c r="AX334" s="262">
        <f>IFERROR(IF((N(AX190)+N(AX194)+N(AX196)+N(AX197)+N(AX204)+N(AX205)+N(AX206))&lt;&gt;0,N(AX136)/(N(AX190)+N(AX194)+N(AX196)+N(AX197)+N(AX204)+N(AX205)+N(AX206)),""),"")</f>
        <v>1.61675794926872</v>
      </c>
      <c r="AY334" s="262">
        <f>IFERROR(IF((N(AY190)+N(AY194)+N(AY196)+N(AY197)+N(AY204)+N(AY205)+N(AY206))&lt;&gt;0,N(AY136)/(N(AY190)+N(AY194)+N(AY196)+N(AY197)+N(AY204)+N(AY205)+N(AY206)),""),"")</f>
        <v>1.71487571855451</v>
      </c>
      <c r="AZ334" s="262">
        <f>IFERROR(IF((N(AZ190)+N(AZ194)+N(AZ196)+N(AZ197)+N(AZ204)+N(AZ205)+N(AZ206))&lt;&gt;0,N(AZ136)/(N(AZ190)+N(AZ194)+N(AZ196)+N(AZ197)+N(AZ204)+N(AZ205)+N(AZ206)),""),"")</f>
        <v>1.93676424704408</v>
      </c>
      <c r="BA334" s="262">
        <f>IFERROR(IF((N(BA190)+N(BA194)+N(BA196)+N(BA197)+N(BA204)+N(BA205)+N(BA206))&lt;&gt;0,N(BA136)/(N(BA190)+N(BA194)+N(BA196)+N(BA197)+N(BA204)+N(BA205)+N(BA206)),""),"")</f>
        <v>1.93676424704408</v>
      </c>
      <c r="BB334" s="262">
        <f>IFERROR(IF((N(BB190)+N(BB194)+N(BB196)+N(BB197)+N(BB204)+N(BB205)+N(BB206))&lt;&gt;0,N(BB136)/(N(BB190)+N(BB194)+N(BB196)+N(BB197)+N(BB204)+N(BB205)+N(BB206)),""),"")</f>
        <v>1.94992008010374</v>
      </c>
      <c r="BC334" s="262">
        <f>IFERROR(IF((N(BC190)+N(BC194)+N(BC196)+N(BC197)+N(BC204)+N(BC205)+N(BC206))&lt;&gt;0,N(BC136)/(N(BC190)+N(BC194)+N(BC196)+N(BC197)+N(BC204)+N(BC205)+N(BC206)),""),"")</f>
        <v>1.9647112095936</v>
      </c>
      <c r="BD334" s="262">
        <f>IFERROR(IF((N(BD190)+N(BD194)+N(BD196)+N(BD197)+N(BD204)+N(BD205)+N(BD206))&lt;&gt;0,N(BD136)/(N(BD190)+N(BD194)+N(BD196)+N(BD197)+N(BD204)+N(BD205)+N(BD206)),""),"")</f>
        <v>2.06439936877616</v>
      </c>
      <c r="BE334" s="262">
        <f>IFERROR(IF((N(BE190)+N(BE194)+N(BE196)+N(BE197)+N(BE204)+N(BE205)+N(BE206))&lt;&gt;0,N(BE136)/(N(BE190)+N(BE194)+N(BE196)+N(BE197)+N(BE204)+N(BE205)+N(BE206)),""),"")</f>
        <v>2.33808611852847</v>
      </c>
      <c r="BF334" s="262">
        <f>IFERROR(IF((N(BF190)+N(BF194)+N(BF196)+N(BF197)+N(BF204)+N(BF205)+N(BF206))&lt;&gt;0,N(BF136)/(N(BF190)+N(BF194)+N(BF196)+N(BF197)+N(BF204)+N(BF205)+N(BF206)),""),"")</f>
        <v>2.33808611852847</v>
      </c>
      <c r="BG334" s="82" t="n"/>
      <c r="BH334" s="82" t="n"/>
      <c r="BI334" s="82" t="n"/>
      <c r="BJ334" s="82" t="n"/>
      <c r="BL334" s="82" t="n"/>
      <c r="BM334" s="82" t="n"/>
      <c r="BN334" s="82" t="n"/>
      <c r="BO334" s="82" t="n"/>
      <c r="BQ334" s="82" t="n"/>
      <c r="BR334" s="82" t="n"/>
      <c r="BS334" s="82" t="n"/>
      <c r="BT334" s="82" t="n"/>
      <c r="BV334" s="82" t="n"/>
      <c r="BW334" s="82" t="n"/>
      <c r="BX334" s="82" t="n"/>
      <c r="BY334" s="82" t="n"/>
      <c r="CA334" s="82" t="n"/>
      <c r="CB334" s="82" t="n"/>
      <c r="CC334" s="82" t="n"/>
      <c r="CD334" s="82" t="n"/>
      <c r="CF334" s="82" t="n"/>
      <c r="CG334" s="82" t="n"/>
      <c r="CH334" s="82" t="n"/>
      <c r="CI334" s="82" t="n"/>
      <c r="CK334" s="82" t="n"/>
      <c r="CL334" s="82" t="n"/>
      <c r="CM334" s="82" t="n"/>
      <c r="CN334" s="82" t="n"/>
      <c r="CP334" s="82" t="n"/>
      <c r="CQ334" s="82" t="n"/>
      <c r="CR334" s="82" t="n"/>
      <c r="CS334" s="82" t="n"/>
      <c r="CU334" s="82" t="n"/>
      <c r="CV334" s="82" t="n"/>
      <c r="CW334" s="82" t="n"/>
      <c r="CX334" s="82" t="n"/>
    </row>
    <row r="335" customFormat="1" s="77">
      <c r="A335" s="76" t="n"/>
      <c r="B335" s="76" t="n"/>
    </row>
    <row r="336" customFormat="1" s="77">
      <c r="A336" s="76" t="n"/>
      <c r="B336" s="76" t="n"/>
      <c r="C336" s="74" t="inlineStr">
        <is>
          <t>OPERATING EFFICIENCY</t>
        </is>
      </c>
    </row>
    <row r="337" customFormat="1" s="84">
      <c r="A337" s="81" t="n"/>
      <c r="B337" s="81" t="n"/>
      <c r="C337" s="84" t="inlineStr">
        <is>
          <t>RETURN ON CAPITAL (ROIC) - LTM</t>
        </is>
      </c>
      <c r="D337" t="str">
        <f>IFERROR(D339/D342,"")</f>
        <v/>
      </c>
      <c r="E337" t="str">
        <f>IFERROR(E339/E342,"")</f>
        <v/>
      </c>
      <c r="F337" t="str">
        <f>IFERROR(F339/F342,"")</f>
        <v/>
      </c>
      <c r="G337" t="str">
        <f>IFERROR(G339/G342,"")</f>
        <v/>
      </c>
      <c r="H337" s="257" t="str">
        <f>IFERROR(IF(AND(COUNT(H339)=1,N(H342)&lt;&gt;0),(H339)/H342,""),"")</f>
        <v/>
      </c>
      <c r="I337" s="257" t="str">
        <f>""</f>
        <v/>
      </c>
      <c r="J337" s="257" t="str">
        <f>""</f>
        <v/>
      </c>
      <c r="K337" s="257" t="str">
        <f>""</f>
        <v/>
      </c>
      <c r="L337" s="257">
        <f>IFERROR(IF(AND(COUNT(I339,J339,K339,L339)=4,N(L342)&lt;&gt;0),(I339+J339+K339+L339)/L342,""),"")</f>
        <v>0.287818128955663</v>
      </c>
      <c r="M337" s="257">
        <f>IFERROR(IF(AND(COUNT(I339,J339,K339,L339)=4,N(M342)&lt;&gt;0),(I339+J339+K339+L339)/M342,""),"")</f>
        <v>0.287818128955663</v>
      </c>
      <c r="N337" s="257">
        <f>IFERROR(IF(AND(COUNT(J339,K339,L339,N339)=4,N(N342)&lt;&gt;0),(J339+K339+L339+N339)/N342,""),"")</f>
        <v>0.22825875289166</v>
      </c>
      <c r="O337" s="257">
        <f>IFERROR(IF(AND(COUNT(K339,L339,N339,O339)=4,N(O342)&lt;&gt;0),(K339+L339+N339+O339)/O342,""),"")</f>
        <v>0.215522575242086</v>
      </c>
      <c r="P337" s="257">
        <f>IFERROR(IF(AND(COUNT(L339,N339,O339,P339)=4,N(P342)&lt;&gt;0),(L339+N339+O339+P339)/P342,""),"")</f>
        <v>0.171819882877458</v>
      </c>
      <c r="Q337" s="257">
        <f>IFERROR(IF(AND(COUNT(N339,O339,P339,Q339)=4,N(Q342)&lt;&gt;0),(N339+O339+P339+Q339)/Q342,""),"")</f>
        <v>0.200636426474369</v>
      </c>
      <c r="R337" s="257">
        <f>IFERROR(IF(AND(COUNT(N339,O339,P339,Q339)=4,N(R342)&lt;&gt;0),(N339+O339+P339+Q339)/R342,""),"")</f>
        <v>0.200636426474369</v>
      </c>
      <c r="S337" s="257">
        <f>IFERROR(IF(AND(COUNT(O339,P339,Q339,S339)=4,N(S342)&lt;&gt;0),(O339+P339+Q339+S339)/S342,""),"")</f>
        <v>0.115631035457262</v>
      </c>
      <c r="T337" s="257">
        <f>IFERROR(IF(AND(COUNT(P339,Q339,S339,T339)=4,N(T342)&lt;&gt;0),(P339+Q339+S339+T339)/T342,""),"")</f>
        <v>0.104871883235578</v>
      </c>
      <c r="U337" s="257">
        <f>IFERROR(IF(AND(COUNT(Q339,S339,T339,U339)=4,N(U342)&lt;&gt;0),(Q339+S339+T339+U339)/U342,""),"")</f>
        <v>0.110676883537085</v>
      </c>
      <c r="V337" s="257">
        <f>IFERROR(IF(AND(COUNT(S339,T339,U339,V339)=4,N(V342)&lt;&gt;0),(S339+T339+U339+V339)/V342,""),"")</f>
        <v>0.127447317026184</v>
      </c>
      <c r="W337" s="257">
        <f>IFERROR(IF(AND(COUNT(S339,T339,U339,V339)=4,N(W342)&lt;&gt;0),(S339+T339+U339+V339)/W342,""),"")</f>
        <v>0.127447317026184</v>
      </c>
      <c r="X337" s="257">
        <f>IFERROR(IF(AND(COUNT(T339,U339,V339,X339)=4,N(X342)&lt;&gt;0),(T339+U339+V339+X339)/X342,""),"")</f>
        <v>0.106525574001716</v>
      </c>
      <c r="Y337" s="257">
        <f>IFERROR(IF(AND(COUNT(U339,V339,X339,Y339)=4,N(Y342)&lt;&gt;0),(U339+V339+X339+Y339)/Y342,""),"")</f>
        <v>0.117862007548144</v>
      </c>
      <c r="Z337" s="257">
        <f>IFERROR(IF(AND(COUNT(V339,X339,Y339,Z339)=4,N(Z342)&lt;&gt;0),(V339+X339+Y339+Z339)/Z342,""),"")</f>
        <v>0.121804481408706</v>
      </c>
      <c r="AA337" s="257">
        <f>IFERROR(IF(AND(COUNT(X339,Y339,Z339,AA339)=4,N(AA342)&lt;&gt;0),(X339+Y339+Z339+AA339)/AA342,""),"")</f>
        <v>0.13088568912883</v>
      </c>
      <c r="AB337" s="257">
        <f>IFERROR(IF(AND(COUNT(X339,Y339,Z339,AA339)=4,N(AB342)&lt;&gt;0),(X339+Y339+Z339+AA339)/AB342,""),"")</f>
        <v>0.13088568912883</v>
      </c>
      <c r="AC337" s="257">
        <f>IFERROR(IF(AND(COUNT(Y339,Z339,AA339,AC339)=4,N(AC342)&lt;&gt;0),(Y339+Z339+AA339+AC339)/AC342,""),"")</f>
        <v>0.104009923029725</v>
      </c>
      <c r="AD337" s="257">
        <f>IFERROR(IF(AND(COUNT(Z339,AA339,AC339,AD339)=4,N(AD342)&lt;&gt;0),(Z339+AA339+AC339+AD339)/AD342,""),"")</f>
        <v>0.109732811491418</v>
      </c>
      <c r="AE337" s="257">
        <f>IFERROR(IF(AND(COUNT(AA339,AC339,AD339,AE339)=4,N(AE342)&lt;&gt;0),(AA339+AC339+AD339+AE339)/AE342,""),"")</f>
        <v>0.110072192856263</v>
      </c>
      <c r="AF337" s="257">
        <f>IFERROR(IF(AND(COUNT(AB339,AD339,AE339,AF339)=4,N(AF342)&lt;&gt;0),(AB339+AD339+AE339+AF339)/AF342,""),"")</f>
        <v>0.206658934565452</v>
      </c>
      <c r="AG337" s="257">
        <f>IFERROR(IF(AND(COUNT(AC339,AD339,AE339,AF339)=4,N(AG342)&lt;&gt;0),(AC339+AD339+AE339+AF339)/AG342,""),"")</f>
        <v>0.112472733698294</v>
      </c>
      <c r="AH337" s="257">
        <f>IFERROR(IF(AND(COUNT(AD339,AF339,AG339,AH339)=4,N(AH342)&lt;&gt;0),(AD339+AF339+AG339+AH339)/AH342,""),"")</f>
        <v>0.183613628319205</v>
      </c>
      <c r="AI337" s="257">
        <f>IFERROR(IF(AND(COUNT(AE339,AG339,AH339,AI339)=4,N(AI342)&lt;&gt;0),(AE339+AG339+AH339+AI339)/AI342,""),"")</f>
        <v>0.195133739145462</v>
      </c>
      <c r="AJ337" s="257">
        <f>IFERROR(IF(AND(COUNT(AF339,AH339,AI339,AJ339)=4,N(AJ342)&lt;&gt;0),(AF339+AH339+AI339+AJ339)/AJ342,""),"")</f>
        <v>0.108483027799051</v>
      </c>
      <c r="AK337" s="257">
        <f>IFERROR(IF(AND(COUNT(AH339,AI339,AJ339,AK339)=4,N(AK342)&lt;&gt;0),(AH339+AI339+AJ339+AK339)/AK342,""),"")</f>
        <v>0.115197077116384</v>
      </c>
      <c r="AL337" s="257">
        <f>IFERROR(IF(AND(COUNT(AH339,AI339,AJ339,AK339)=4,N(AL342)&lt;&gt;0),(AH339+AI339+AJ339+AK339)/AL342,""),"")</f>
        <v>0.115197077116384</v>
      </c>
      <c r="AM337" s="257">
        <f>IFERROR(IF(AND(COUNT(AI339,AJ339,AK339,AM339)=4,N(AM342)&lt;&gt;0),(AI339+AJ339+AK339+AM339)/AM342,""),"")</f>
        <v>0.107951110289846</v>
      </c>
      <c r="AN337" s="257">
        <f>IFERROR(IF(AND(COUNT(AJ339,AK339,AM339,AN339)=4,N(AN342)&lt;&gt;0),(AJ339+AK339+AM339+AN339)/AN342,""),"")</f>
        <v>0.104062342736607</v>
      </c>
      <c r="AO337" s="257">
        <f>IFERROR(IF(AND(COUNT(AK339,AM339,AN339,AO339)=4,N(AO342)&lt;&gt;0),(AK339+AM339+AN339+AO339)/AO342,""),"")</f>
        <v>0.103062366188068</v>
      </c>
      <c r="AP337" s="257">
        <f>IFERROR(IF(AND(COUNT(AM339,AN339,AO339,AP339)=4,N(AP342)&lt;&gt;0),(AM339+AN339+AO339+AP339)/AP342,""),"")</f>
        <v>0.10073938211554</v>
      </c>
      <c r="AQ337" s="257">
        <f>IFERROR(IF(AND(COUNT(AM339,AN339,AO339,AP339)=4,N(AQ342)&lt;&gt;0),(AM339+AN339+AO339+AP339)/AQ342,""),"")</f>
        <v>0.10073938211554</v>
      </c>
      <c r="AR337" s="257">
        <f>IFERROR(IF(AND(COUNT(AN339,AO339,AP339,AR339)=4,N(AR342)&lt;&gt;0),(AN339+AO339+AP339+AR339)/AR342,""),"")</f>
        <v>0.100573317276089</v>
      </c>
      <c r="AS337" s="257">
        <f>IFERROR(IF(AND(COUNT(AO339,AP339,AR339,AS339)=4,N(AS342)&lt;&gt;0),(AO339+AP339+AR339+AS339)/AS342,""),"")</f>
        <v>0.100478269956694</v>
      </c>
      <c r="AT337" s="257">
        <f>IFERROR(IF(AND(COUNT(AP339,AR339,AS339,AT339)=4,N(AT342)&lt;&gt;0),(AP339+AR339+AS339+AT339)/AT342,""),"")</f>
        <v>0.0994220945744757</v>
      </c>
      <c r="AU337" s="257">
        <f>IFERROR(IF(AND(COUNT(AR339,AS339,AT339,AU339)=4,N(AU342)&lt;&gt;0),(AR339+AS339+AT339+AU339)/AU342,""),"")</f>
        <v>0.0971608347461808</v>
      </c>
      <c r="AV337" s="257">
        <f>IFERROR(IF(AND(COUNT(AR339,AS339,AT339,AU339)=4,N(AV342)&lt;&gt;0),(AR339+AS339+AT339+AU339)/AV342,""),"")</f>
        <v>0.0971608347461808</v>
      </c>
      <c r="AW337" s="257">
        <f>IFERROR(IF(AND(COUNT(AS339,AT339,AU339,AW339)=4,N(AW342)&lt;&gt;0),(AS339+AT339+AU339+AW339)/AW342,""),"")</f>
        <v>0.0969377395115775</v>
      </c>
      <c r="AX337" s="257">
        <f>IFERROR(IF(AND(COUNT(AT339,AU339,AW339,AX339)=4,N(AX342)&lt;&gt;0),(AT339+AU339+AW339+AX339)/AX342,""),"")</f>
        <v>0.0966484836434101</v>
      </c>
      <c r="AY337" s="257">
        <f>IFERROR(IF(AND(COUNT(AU339,AW339,AX339,AY339)=4,N(AY342)&lt;&gt;0),(AU339+AW339+AX339+AY339)/AY342,""),"")</f>
        <v>0.0955474078255578</v>
      </c>
      <c r="AZ337" s="257">
        <f>IFERROR(IF(AND(COUNT(AW339,AX339,AY339,AZ339)=4,N(AZ342)&lt;&gt;0),(AW339+AX339+AY339+AZ339)/AZ342,""),"")</f>
        <v>0.0933591892869541</v>
      </c>
      <c r="BA337" s="257">
        <f>IFERROR(IF(AND(COUNT(AW339,AX339,AY339,AZ339)=4,N(BA342)&lt;&gt;0),(AW339+AX339+AY339+AZ339)/BA342,""),"")</f>
        <v>0.0933591892869541</v>
      </c>
      <c r="BB337" s="257">
        <f>IFERROR(IF(AND(COUNT(AX339,AY339,AZ339,BB339)=4,N(BB342)&lt;&gt;0),(AX339+AY339+AZ339+BB339)/BB342,""),"")</f>
        <v>0.0930708421944899</v>
      </c>
      <c r="BC337" s="257">
        <f>IFERROR(IF(AND(COUNT(AY339,AZ339,BB339,BC339)=4,N(BC342)&lt;&gt;0),(AY339+AZ339+BB339+BC339)/BC342,""),"")</f>
        <v>0.0927305911121626</v>
      </c>
      <c r="BD337" s="257">
        <f>IFERROR(IF(AND(COUNT(AZ339,BB339,BC339,BD339)=4,N(BD342)&lt;&gt;0),(AZ339+BB339+BC339+BD339)/BD342,""),"")</f>
        <v>0.091644368176094</v>
      </c>
      <c r="BE337" s="257">
        <f>IFERROR(IF(AND(COUNT(BB339,BC339,BD339,BE339)=4,N(BE342)&lt;&gt;0),(BB339+BC339+BD339+BE339)/BE342,""),"")</f>
        <v>0.0895720414730655</v>
      </c>
      <c r="BF337" s="257">
        <f>IFERROR(IF(AND(COUNT(BB339,BC339,BD339,BE339)=4,N(BF342)&lt;&gt;0),(BB339+BC339+BD339+BE339)/BF342,""),"")</f>
        <v>0.0895720414730655</v>
      </c>
      <c r="BG337" s="81" t="n"/>
      <c r="BH337" s="81" t="n"/>
      <c r="BI337" s="81" t="n"/>
      <c r="BJ337" s="81" t="n"/>
      <c r="BL337" s="81" t="n"/>
      <c r="BM337" s="81" t="n"/>
      <c r="BN337" s="81" t="n"/>
      <c r="BO337" s="81" t="n"/>
      <c r="BQ337" s="81" t="n"/>
      <c r="BR337" s="81" t="n"/>
      <c r="BS337" s="81" t="n"/>
      <c r="BT337" s="81" t="n"/>
      <c r="BV337" s="81" t="n"/>
      <c r="BW337" s="81" t="n"/>
      <c r="BX337" s="81" t="n"/>
      <c r="BY337" s="81" t="n"/>
      <c r="CA337" s="81" t="n"/>
      <c r="CB337" s="81" t="n"/>
      <c r="CC337" s="81" t="n"/>
      <c r="CD337" s="81" t="n"/>
      <c r="CF337" s="81" t="n"/>
      <c r="CG337" s="81" t="n"/>
      <c r="CH337" s="81" t="n"/>
      <c r="CI337" s="81" t="n"/>
      <c r="CK337" s="81" t="n"/>
      <c r="CL337" s="81" t="n"/>
      <c r="CM337" s="81" t="n"/>
      <c r="CN337" s="81" t="n"/>
      <c r="CP337" s="81" t="n"/>
      <c r="CQ337" s="81" t="n"/>
      <c r="CR337" s="81" t="n"/>
      <c r="CS337" s="81" t="n"/>
      <c r="CU337" s="81" t="n"/>
      <c r="CV337" s="81" t="n"/>
      <c r="CW337" s="81" t="n"/>
      <c r="CX337" s="81" t="n"/>
    </row>
    <row r="338" customFormat="1" s="84">
      <c r="A338" s="81" t="n"/>
      <c r="B338" s="81" t="n"/>
      <c r="C338" s="84" t="inlineStr">
        <is>
          <t>RETURN ON CAPITAL (ROIC) - EX GOODWILL - LTM</t>
        </is>
      </c>
      <c r="D338" t="str">
        <f>IFERROR(D339/D343,"")</f>
        <v/>
      </c>
      <c r="E338" t="str">
        <f>IFERROR(E339/E343,"")</f>
        <v/>
      </c>
      <c r="F338" t="str">
        <f>IFERROR(F339/F343,"")</f>
        <v/>
      </c>
      <c r="G338" t="str">
        <f>IFERROR(G339/G343,"")</f>
        <v/>
      </c>
      <c r="H338" s="257" t="str">
        <f>IFERROR(IF(AND(COUNT(H339)=1,N(H343)&lt;&gt;0),(H339)/H343,""),"")</f>
        <v/>
      </c>
      <c r="I338" s="257" t="str">
        <f>""</f>
        <v/>
      </c>
      <c r="J338" s="257" t="str">
        <f>""</f>
        <v/>
      </c>
      <c r="K338" s="257" t="str">
        <f>""</f>
        <v/>
      </c>
      <c r="L338" s="257">
        <f>IFERROR(IF(AND(COUNT(I339,J339,K339,L339)=4,N(L343)&lt;&gt;0),(I339+J339+K339+L339)/L343,""),"")</f>
        <v>0.287818128955663</v>
      </c>
      <c r="M338" s="257">
        <f>IFERROR(IF(AND(COUNT(I339,J339,K339,L339)=4,N(M343)&lt;&gt;0),(I339+J339+K339+L339)/M343,""),"")</f>
        <v>0.287818128955663</v>
      </c>
      <c r="N338" s="257">
        <f>IFERROR(IF(AND(COUNT(J339,K339,L339,N339)=4,N(N343)&lt;&gt;0),(J339+K339+L339+N339)/N343,""),"")</f>
        <v>0.22825875289166</v>
      </c>
      <c r="O338" s="257">
        <f>IFERROR(IF(AND(COUNT(K339,L339,N339,O339)=4,N(O343)&lt;&gt;0),(K339+L339+N339+O339)/O343,""),"")</f>
        <v>0.215522575242086</v>
      </c>
      <c r="P338" s="257">
        <f>IFERROR(IF(AND(COUNT(L339,N339,O339,P339)=4,N(P343)&lt;&gt;0),(L339+N339+O339+P339)/P343,""),"")</f>
        <v>0.171819882877458</v>
      </c>
      <c r="Q338" s="257">
        <f>IFERROR(IF(AND(COUNT(N339,O339,P339,Q339)=4,N(Q343)&lt;&gt;0),(N339+O339+P339+Q339)/Q343,""),"")</f>
        <v>0.200636426474369</v>
      </c>
      <c r="R338" s="257">
        <f>IFERROR(IF(AND(COUNT(N339,O339,P339,Q339)=4,N(R343)&lt;&gt;0),(N339+O339+P339+Q339)/R343,""),"")</f>
        <v>0.200636426474369</v>
      </c>
      <c r="S338" s="257">
        <f>IFERROR(IF(AND(COUNT(O339,P339,Q339,S339)=4,N(S343)&lt;&gt;0),(O339+P339+Q339+S339)/S343,""),"")</f>
        <v>0.115631035457262</v>
      </c>
      <c r="T338" s="257">
        <f>IFERROR(IF(AND(COUNT(P339,Q339,S339,T339)=4,N(T343)&lt;&gt;0),(P339+Q339+S339+T339)/T343,""),"")</f>
        <v>0.104871883235578</v>
      </c>
      <c r="U338" s="257">
        <f>IFERROR(IF(AND(COUNT(Q339,S339,T339,U339)=4,N(U343)&lt;&gt;0),(Q339+S339+T339+U339)/U343,""),"")</f>
        <v>0.110676883537085</v>
      </c>
      <c r="V338" s="257">
        <f>IFERROR(IF(AND(COUNT(S339,T339,U339,V339)=4,N(V343)&lt;&gt;0),(S339+T339+U339+V339)/V343,""),"")</f>
        <v>0.127447317026184</v>
      </c>
      <c r="W338" s="257">
        <f>IFERROR(IF(AND(COUNT(S339,T339,U339,V339)=4,N(W343)&lt;&gt;0),(S339+T339+U339+V339)/W343,""),"")</f>
        <v>0.127447317026184</v>
      </c>
      <c r="X338" s="257">
        <f>IFERROR(IF(AND(COUNT(T339,U339,V339,X339)=4,N(X343)&lt;&gt;0),(T339+U339+V339+X339)/X343,""),"")</f>
        <v>0.106525574001716</v>
      </c>
      <c r="Y338" s="257">
        <f>IFERROR(IF(AND(COUNT(U339,V339,X339,Y339)=4,N(Y343)&lt;&gt;0),(U339+V339+X339+Y339)/Y343,""),"")</f>
        <v>0.117862007548144</v>
      </c>
      <c r="Z338" s="257">
        <f>IFERROR(IF(AND(COUNT(V339,X339,Y339,Z339)=4,N(Z343)&lt;&gt;0),(V339+X339+Y339+Z339)/Z343,""),"")</f>
        <v>0.121804481408706</v>
      </c>
      <c r="AA338" s="257">
        <f>IFERROR(IF(AND(COUNT(X339,Y339,Z339,AA339)=4,N(AA343)&lt;&gt;0),(X339+Y339+Z339+AA339)/AA343,""),"")</f>
        <v>0.13088568912883</v>
      </c>
      <c r="AB338" s="257">
        <f>IFERROR(IF(AND(COUNT(X339,Y339,Z339,AA339)=4,N(AB343)&lt;&gt;0),(X339+Y339+Z339+AA339)/AB343,""),"")</f>
        <v>0.13088568912883</v>
      </c>
      <c r="AC338" s="257">
        <f>IFERROR(IF(AND(COUNT(Y339,Z339,AA339,AC339)=4,N(AC343)&lt;&gt;0),(Y339+Z339+AA339+AC339)/AC343,""),"")</f>
        <v>0.104009923029725</v>
      </c>
      <c r="AD338" s="257">
        <f>IFERROR(IF(AND(COUNT(Z339,AA339,AC339,AD339)=4,N(AD343)&lt;&gt;0),(Z339+AA339+AC339+AD339)/AD343,""),"")</f>
        <v>0.109732811491418</v>
      </c>
      <c r="AE338" s="257">
        <f>IFERROR(IF(AND(COUNT(AA339,AC339,AD339,AE339)=4,N(AE343)&lt;&gt;0),(AA339+AC339+AD339+AE339)/AE343,""),"")</f>
        <v>0.110072192856263</v>
      </c>
      <c r="AF338" s="257">
        <f>IFERROR(IF(AND(COUNT(AB339,AD339,AE339,AF339)=4,N(AF343)&lt;&gt;0),(AB339+AD339+AE339+AF339)/AF343,""),"")</f>
        <v>0.206658934565452</v>
      </c>
      <c r="AG338" s="257">
        <f>IFERROR(IF(AND(COUNT(AC339,AD339,AE339,AF339)=4,N(AG343)&lt;&gt;0),(AC339+AD339+AE339+AF339)/AG343,""),"")</f>
        <v>0.112472733698294</v>
      </c>
      <c r="AH338" s="257">
        <f>IFERROR(IF(AND(COUNT(AD339,AF339,AG339,AH339)=4,N(AH343)&lt;&gt;0),(AD339+AF339+AG339+AH339)/AH343,""),"")</f>
        <v>0.183613628319205</v>
      </c>
      <c r="AI338" s="257">
        <f>IFERROR(IF(AND(COUNT(AE339,AG339,AH339,AI339)=4,N(AI343)&lt;&gt;0),(AE339+AG339+AH339+AI339)/AI343,""),"")</f>
        <v>0.195133739145462</v>
      </c>
      <c r="AJ338" s="257">
        <f>IFERROR(IF(AND(COUNT(AF339,AH339,AI339,AJ339)=4,N(AJ343)&lt;&gt;0),(AF339+AH339+AI339+AJ339)/AJ343,""),"")</f>
        <v>0.108483027799051</v>
      </c>
      <c r="AK338" s="257">
        <f>IFERROR(IF(AND(COUNT(AH339,AI339,AJ339,AK339)=4,N(AK343)&lt;&gt;0),(AH339+AI339+AJ339+AK339)/AK343,""),"")</f>
        <v>0.115197077116384</v>
      </c>
      <c r="AL338" s="257">
        <f>IFERROR(IF(AND(COUNT(AH339,AI339,AJ339,AK339)=4,N(AL343)&lt;&gt;0),(AH339+AI339+AJ339+AK339)/AL343,""),"")</f>
        <v>0.115197077116384</v>
      </c>
      <c r="AM338" s="257">
        <f>IFERROR(IF(AND(COUNT(AI339,AJ339,AK339,AM339)=4,N(AM343)&lt;&gt;0),(AI339+AJ339+AK339+AM339)/AM343,""),"")</f>
        <v>0.107951110289846</v>
      </c>
      <c r="AN338" s="257">
        <f>IFERROR(IF(AND(COUNT(AJ339,AK339,AM339,AN339)=4,N(AN343)&lt;&gt;0),(AJ339+AK339+AM339+AN339)/AN343,""),"")</f>
        <v>0.104062342736607</v>
      </c>
      <c r="AO338" s="257">
        <f>IFERROR(IF(AND(COUNT(AK339,AM339,AN339,AO339)=4,N(AO343)&lt;&gt;0),(AK339+AM339+AN339+AO339)/AO343,""),"")</f>
        <v>0.103062366188068</v>
      </c>
      <c r="AP338" s="257">
        <f>IFERROR(IF(AND(COUNT(AM339,AN339,AO339,AP339)=4,N(AP343)&lt;&gt;0),(AM339+AN339+AO339+AP339)/AP343,""),"")</f>
        <v>0.10073938211554</v>
      </c>
      <c r="AQ338" s="257">
        <f>IFERROR(IF(AND(COUNT(AM339,AN339,AO339,AP339)=4,N(AQ343)&lt;&gt;0),(AM339+AN339+AO339+AP339)/AQ343,""),"")</f>
        <v>0.10073938211554</v>
      </c>
      <c r="AR338" s="257">
        <f>IFERROR(IF(AND(COUNT(AN339,AO339,AP339,AR339)=4,N(AR343)&lt;&gt;0),(AN339+AO339+AP339+AR339)/AR343,""),"")</f>
        <v>0.100573317276089</v>
      </c>
      <c r="AS338" s="257">
        <f>IFERROR(IF(AND(COUNT(AO339,AP339,AR339,AS339)=4,N(AS343)&lt;&gt;0),(AO339+AP339+AR339+AS339)/AS343,""),"")</f>
        <v>0.100478269956694</v>
      </c>
      <c r="AT338" s="257">
        <f>IFERROR(IF(AND(COUNT(AP339,AR339,AS339,AT339)=4,N(AT343)&lt;&gt;0),(AP339+AR339+AS339+AT339)/AT343,""),"")</f>
        <v>0.0994220945744757</v>
      </c>
      <c r="AU338" s="257">
        <f>IFERROR(IF(AND(COUNT(AR339,AS339,AT339,AU339)=4,N(AU343)&lt;&gt;0),(AR339+AS339+AT339+AU339)/AU343,""),"")</f>
        <v>0.0971608347461808</v>
      </c>
      <c r="AV338" s="257">
        <f>IFERROR(IF(AND(COUNT(AR339,AS339,AT339,AU339)=4,N(AV343)&lt;&gt;0),(AR339+AS339+AT339+AU339)/AV343,""),"")</f>
        <v>0.0971608347461808</v>
      </c>
      <c r="AW338" s="257">
        <f>IFERROR(IF(AND(COUNT(AS339,AT339,AU339,AW339)=4,N(AW343)&lt;&gt;0),(AS339+AT339+AU339+AW339)/AW343,""),"")</f>
        <v>0.0969377395115775</v>
      </c>
      <c r="AX338" s="257">
        <f>IFERROR(IF(AND(COUNT(AT339,AU339,AW339,AX339)=4,N(AX343)&lt;&gt;0),(AT339+AU339+AW339+AX339)/AX343,""),"")</f>
        <v>0.0966484836434101</v>
      </c>
      <c r="AY338" s="257">
        <f>IFERROR(IF(AND(COUNT(AU339,AW339,AX339,AY339)=4,N(AY343)&lt;&gt;0),(AU339+AW339+AX339+AY339)/AY343,""),"")</f>
        <v>0.0955474078255578</v>
      </c>
      <c r="AZ338" s="257">
        <f>IFERROR(IF(AND(COUNT(AW339,AX339,AY339,AZ339)=4,N(AZ343)&lt;&gt;0),(AW339+AX339+AY339+AZ339)/AZ343,""),"")</f>
        <v>0.0933591892869541</v>
      </c>
      <c r="BA338" s="257">
        <f>IFERROR(IF(AND(COUNT(AW339,AX339,AY339,AZ339)=4,N(BA343)&lt;&gt;0),(AW339+AX339+AY339+AZ339)/BA343,""),"")</f>
        <v>0.0933591892869541</v>
      </c>
      <c r="BB338" s="257">
        <f>IFERROR(IF(AND(COUNT(AX339,AY339,AZ339,BB339)=4,N(BB343)&lt;&gt;0),(AX339+AY339+AZ339+BB339)/BB343,""),"")</f>
        <v>0.0930708421944899</v>
      </c>
      <c r="BC338" s="257">
        <f>IFERROR(IF(AND(COUNT(AY339,AZ339,BB339,BC339)=4,N(BC343)&lt;&gt;0),(AY339+AZ339+BB339+BC339)/BC343,""),"")</f>
        <v>0.0927305911121626</v>
      </c>
      <c r="BD338" s="257">
        <f>IFERROR(IF(AND(COUNT(AZ339,BB339,BC339,BD339)=4,N(BD343)&lt;&gt;0),(AZ339+BB339+BC339+BD339)/BD343,""),"")</f>
        <v>0.091644368176094</v>
      </c>
      <c r="BE338" s="257">
        <f>IFERROR(IF(AND(COUNT(BB339,BC339,BD339,BE339)=4,N(BE343)&lt;&gt;0),(BB339+BC339+BD339+BE339)/BE343,""),"")</f>
        <v>0.0895720414730655</v>
      </c>
      <c r="BF338" s="257">
        <f>IFERROR(IF(AND(COUNT(BB339,BC339,BD339,BE339)=4,N(BF343)&lt;&gt;0),(BB339+BC339+BD339+BE339)/BF343,""),"")</f>
        <v>0.0895720414730655</v>
      </c>
      <c r="BG338" s="81" t="n"/>
      <c r="BH338" s="81" t="n"/>
      <c r="BI338" s="81" t="n"/>
      <c r="BJ338" s="81" t="n"/>
      <c r="BL338" s="81" t="n"/>
      <c r="BM338" s="81" t="n"/>
      <c r="BN338" s="81" t="n"/>
      <c r="BO338" s="81" t="n"/>
      <c r="BQ338" s="81" t="n"/>
      <c r="BR338" s="81" t="n"/>
      <c r="BS338" s="81" t="n"/>
      <c r="BT338" s="81" t="n"/>
      <c r="BV338" s="81" t="n"/>
      <c r="BW338" s="81" t="n"/>
      <c r="BX338" s="81" t="n"/>
      <c r="BY338" s="81" t="n"/>
      <c r="CA338" s="81" t="n"/>
      <c r="CB338" s="81" t="n"/>
      <c r="CC338" s="81" t="n"/>
      <c r="CD338" s="81" t="n"/>
      <c r="CF338" s="81" t="n"/>
      <c r="CG338" s="81" t="n"/>
      <c r="CH338" s="81" t="n"/>
      <c r="CI338" s="81" t="n"/>
      <c r="CK338" s="81" t="n"/>
      <c r="CL338" s="81" t="n"/>
      <c r="CM338" s="81" t="n"/>
      <c r="CN338" s="81" t="n"/>
      <c r="CP338" s="81" t="n"/>
      <c r="CQ338" s="81" t="n"/>
      <c r="CR338" s="81" t="n"/>
      <c r="CS338" s="81" t="n"/>
      <c r="CU338" s="81" t="n"/>
      <c r="CV338" s="81" t="n"/>
      <c r="CW338" s="81" t="n"/>
      <c r="CX338" s="81" t="n"/>
    </row>
    <row r="339" customFormat="1" s="77">
      <c r="A339" s="76" t="n"/>
      <c r="B339" s="76" t="n"/>
      <c r="C339" s="77" t="inlineStr">
        <is>
          <t>NOPLAT</t>
        </is>
      </c>
      <c r="D339">
        <f>IFERROR(D340*(1-D341),"")</f>
        <v>0</v>
      </c>
      <c r="E339">
        <f>IFERROR(E340*(1-E341),"")</f>
        <v>0</v>
      </c>
      <c r="F339">
        <f>IFERROR(F340*(1-F341),"")</f>
        <v>0</v>
      </c>
      <c r="G339">
        <f>IFERROR(G340*(1-G341),"")</f>
        <v>0</v>
      </c>
      <c r="H339" s="263">
        <f>IFERROR(H340*(1-N(H341)),0)</f>
        <v>0</v>
      </c>
      <c r="I339" s="263">
        <f>IFERROR(I340*(1-N(I341)),0)</f>
        <v>1046.53791130186</v>
      </c>
      <c r="J339" s="263">
        <f>IFERROR(J340*(1-N(J341)),0)</f>
        <v>1420.52645228216</v>
      </c>
      <c r="K339" s="263">
        <f>IFERROR(K340*(1-N(K341)),0)</f>
        <v>1806.85762711864</v>
      </c>
      <c r="L339" s="263">
        <f>IFERROR(L340*(1-N(L341)),0)</f>
        <v>1574.83020780537</v>
      </c>
      <c r="M339" s="263">
        <f>IFERROR(M340*(1-N(M341)),0)</f>
        <v>5854.77999738869</v>
      </c>
      <c r="N339" s="263">
        <f>IFERROR(N340*(1-N(N341)),0)</f>
        <v>1955.84260965721</v>
      </c>
      <c r="O339" s="263">
        <f>IFERROR(O340*(1-N(O341)),0)</f>
        <v>1116.07754846779</v>
      </c>
      <c r="P339" s="263">
        <f>IFERROR(P340*(1-N(P341)),0)</f>
        <v>612.484429065744</v>
      </c>
      <c r="Q339" s="263">
        <f>IFERROR(Q340*(1-N(Q341)),0)</f>
        <v>975.17578125</v>
      </c>
      <c r="R339" s="263">
        <f>IFERROR(R340*(1-N(R341)),0)</f>
        <v>4661.29203276247</v>
      </c>
      <c r="S339" s="263">
        <f>IFERROR(S340*(1-N(S341)),0)</f>
        <v>1081.55981794538</v>
      </c>
      <c r="T339" s="263">
        <f>IFERROR(T340*(1-N(T341)),0)</f>
        <v>810.63880126183</v>
      </c>
      <c r="U339" s="263">
        <f>IFERROR(U340*(1-N(U341)),0)</f>
        <v>977.097826086957</v>
      </c>
      <c r="V339" s="263">
        <f>IFERROR(V340*(1-N(V341)),0)</f>
        <v>1000.51388888889</v>
      </c>
      <c r="W339" s="263">
        <f>IFERROR(W340*(1-N(W341)),0)</f>
        <v>3872.22777222777</v>
      </c>
      <c r="X339" s="263">
        <f>IFERROR(X340*(1-N(X341)),0)</f>
        <v>1134.23416965352</v>
      </c>
      <c r="Y339" s="263">
        <f>IFERROR(Y340*(1-N(Y341)),0)</f>
        <v>1287.94285714286</v>
      </c>
      <c r="Z339" s="263">
        <f>IFERROR(Z340*(1-N(Z341)),0)</f>
        <v>1210.38614365767</v>
      </c>
      <c r="AA339" s="263">
        <f>IFERROR(AA340*(1-N(AA341)),0)</f>
        <v>721.741935483871</v>
      </c>
      <c r="AB339" s="263">
        <f>IFERROR(AB340*(1-N(AB341)),0)</f>
        <v>4356.70710873027</v>
      </c>
      <c r="AC339" s="263">
        <f>IFERROR(AC340*(1-N(AC341)),0)</f>
        <v>798.352439969016</v>
      </c>
      <c r="AD339" s="263">
        <f>IFERROR(AD340*(1-N(AD341)),0)</f>
        <v>1567.42450857382</v>
      </c>
      <c r="AE339" s="263">
        <f>IFERROR(AE340*(1-N(AE341)),0)</f>
        <v>1286.30977130977</v>
      </c>
      <c r="AF339" s="263">
        <f>IFERROR(AF340*(1-N(AF341)),0)</f>
        <v>597.13315926893</v>
      </c>
      <c r="AG339" s="263">
        <f>IFERROR(AG340*(1-N(AG341)),0)</f>
        <v>4246.11079723792</v>
      </c>
      <c r="AH339" s="263">
        <f>IFERROR(AH340*(1-N(AH341)),0)</f>
        <v>1450.93264503442</v>
      </c>
      <c r="AI339" s="263">
        <f>IFERROR(AI340*(1-N(AI341)),0)</f>
        <v>1438.42383419689</v>
      </c>
      <c r="AJ339" s="263">
        <f>IFERROR(AJ340*(1-N(AJ341)),0)</f>
        <v>1271.23239415637</v>
      </c>
      <c r="AK339" s="263">
        <f>IFERROR(AK340*(1-N(AK341)),0)</f>
        <v>1027.08721690804</v>
      </c>
      <c r="AL339" s="263">
        <f>IFERROR(AL340*(1-N(AL341)),0)</f>
        <v>5187.6207394159</v>
      </c>
      <c r="AM339" s="263">
        <f>IFERROR(AM340*(1-N(AM341)),0)</f>
        <v>1136.66992902622</v>
      </c>
      <c r="AN339" s="263">
        <f>IFERROR(AN340*(1-N(AN341)),0)</f>
        <v>1281.62543008106</v>
      </c>
      <c r="AO339" s="263">
        <f>IFERROR(AO340*(1-N(AO341)),0)</f>
        <v>1287.71768403712</v>
      </c>
      <c r="AP339" s="263">
        <f>IFERROR(AP340*(1-N(AP341)),0)</f>
        <v>1040.40644207991</v>
      </c>
      <c r="AQ339" s="263">
        <f>IFERROR(AQ340*(1-N(AQ341)),0)</f>
        <v>4746.41948522431</v>
      </c>
      <c r="AR339" s="263">
        <f>IFERROR(AR340*(1-N(AR341)),0)</f>
        <v>1145.72686869787</v>
      </c>
      <c r="AS339" s="263">
        <f>IFERROR(AS340*(1-N(AS341)),0)</f>
        <v>1291.83736927773</v>
      </c>
      <c r="AT339" s="263">
        <f>IFERROR(AT340*(1-N(AT341)),0)</f>
        <v>1297.97816606504</v>
      </c>
      <c r="AU339" s="263">
        <f>IFERROR(AU340*(1-N(AU341)),0)</f>
        <v>1048.69635821061</v>
      </c>
      <c r="AV339" s="263">
        <f>IFERROR(AV340*(1-N(AV341)),0)</f>
        <v>4784.23876225124</v>
      </c>
      <c r="AW339" s="263">
        <f>IFERROR(AW340*(1-N(AW341)),0)</f>
        <v>1149.12733935224</v>
      </c>
      <c r="AX339" s="263">
        <f>IFERROR(AX340*(1-N(AX341)),0)</f>
        <v>1295.67148994336</v>
      </c>
      <c r="AY339" s="263">
        <f>IFERROR(AY340*(1-N(AY341)),0)</f>
        <v>1301.83051236528</v>
      </c>
      <c r="AZ339" s="263">
        <f>IFERROR(AZ340*(1-N(AZ341)),0)</f>
        <v>1051.80884626414</v>
      </c>
      <c r="BA339" s="263">
        <f>IFERROR(BA340*(1-N(BA341)),0)</f>
        <v>4798.43818792502</v>
      </c>
      <c r="BB339" s="263">
        <f>IFERROR(BB340*(1-N(BB341)),0)</f>
        <v>1149.12733935224</v>
      </c>
      <c r="BC339" s="263">
        <f>IFERROR(BC340*(1-N(BC341)),0)</f>
        <v>1295.67148994336</v>
      </c>
      <c r="BD339" s="263">
        <f>IFERROR(BD340*(1-N(BD341)),0)</f>
        <v>1301.83051236528</v>
      </c>
      <c r="BE339" s="263">
        <f>IFERROR(BE340*(1-N(BE341)),0)</f>
        <v>1051.80884626414</v>
      </c>
      <c r="BF339" s="263">
        <f>IFERROR(BF340*(1-N(BF341)),0)</f>
        <v>4798.43818792502</v>
      </c>
      <c r="BG339" s="85" t="n"/>
      <c r="BH339" s="76" t="n"/>
      <c r="BI339" s="76" t="n"/>
      <c r="BJ339" s="76" t="n"/>
      <c r="BL339" s="85" t="n"/>
      <c r="BM339" s="76" t="n"/>
      <c r="BN339" s="76" t="n"/>
      <c r="BO339" s="76" t="n"/>
      <c r="BQ339" s="85" t="n"/>
      <c r="BR339" s="76" t="n"/>
      <c r="BS339" s="76" t="n"/>
      <c r="BT339" s="76" t="n"/>
      <c r="BV339" s="85" t="n"/>
      <c r="BW339" s="76" t="n"/>
      <c r="BX339" s="76" t="n"/>
      <c r="BY339" s="76" t="n"/>
      <c r="CA339" s="85" t="n"/>
      <c r="CB339" s="76" t="n"/>
      <c r="CC339" s="76" t="n"/>
      <c r="CD339" s="76" t="n"/>
      <c r="CF339" s="85" t="n"/>
      <c r="CG339" s="76" t="n"/>
      <c r="CH339" s="76" t="n"/>
      <c r="CI339" s="76" t="n"/>
      <c r="CK339" s="85" t="n"/>
      <c r="CL339" s="76" t="n"/>
      <c r="CM339" s="76" t="n"/>
      <c r="CN339" s="76" t="n"/>
      <c r="CP339" s="85" t="n"/>
      <c r="CQ339" s="76" t="n"/>
      <c r="CR339" s="76" t="n"/>
      <c r="CS339" s="76" t="n"/>
      <c r="CU339" s="85" t="n"/>
      <c r="CV339" s="76" t="n"/>
      <c r="CW339" s="76" t="n"/>
      <c r="CX339" s="76" t="n"/>
    </row>
    <row r="340" customFormat="1" s="77">
      <c r="A340" s="76" t="n"/>
      <c r="B340" s="76" t="n"/>
      <c r="C340" s="77" t="inlineStr">
        <is>
          <t>EBIT</t>
        </is>
      </c>
      <c r="D340" s="86">
        <f>IFERROR(D122,"")</f>
        <v>0</v>
      </c>
      <c r="E340" s="86">
        <f>IFERROR(E122,"")</f>
        <v>0</v>
      </c>
      <c r="F340" s="86">
        <f>IFERROR(F122,"")</f>
        <v>0</v>
      </c>
      <c r="G340" s="86">
        <f>IFERROR(G122,"")</f>
        <v>0</v>
      </c>
      <c r="H340" s="263">
        <f>IFERROR(H65,0)</f>
        <v>0</v>
      </c>
      <c r="I340" s="263">
        <f>IFERROR(I65,0)</f>
        <v>1532</v>
      </c>
      <c r="J340" s="263">
        <f>IFERROR(J65,0)</f>
        <v>2067</v>
      </c>
      <c r="K340" s="263">
        <f>IFERROR(K65,0)</f>
        <v>2462</v>
      </c>
      <c r="L340" s="263">
        <f>IFERROR(L65,0)</f>
        <v>2305</v>
      </c>
      <c r="M340" s="263">
        <f>IFERROR(M65,0)</f>
        <v>8366</v>
      </c>
      <c r="N340" s="263">
        <f>IFERROR(N65,0)</f>
        <v>2809</v>
      </c>
      <c r="O340" s="263">
        <f>IFERROR(O65,0)</f>
        <v>1736</v>
      </c>
      <c r="P340" s="263">
        <f>IFERROR(P65,0)</f>
        <v>962</v>
      </c>
      <c r="Q340" s="263">
        <f>IFERROR(Q65,0)</f>
        <v>1530</v>
      </c>
      <c r="R340" s="263">
        <f>IFERROR(R65,0)</f>
        <v>7037</v>
      </c>
      <c r="S340" s="263">
        <f>IFERROR(S65,0)</f>
        <v>1601</v>
      </c>
      <c r="T340" s="263">
        <f>IFERROR(T65,0)</f>
        <v>1410</v>
      </c>
      <c r="U340" s="263">
        <f>IFERROR(U65,0)</f>
        <v>1492</v>
      </c>
      <c r="V340" s="263">
        <f>IFERROR(V65,0)</f>
        <v>1722</v>
      </c>
      <c r="W340" s="263">
        <f>IFERROR(W65,0)</f>
        <v>6225</v>
      </c>
      <c r="X340" s="263">
        <f>IFERROR(X65,0)</f>
        <v>1634</v>
      </c>
      <c r="Y340" s="263">
        <f>IFERROR(Y65,0)</f>
        <v>2049</v>
      </c>
      <c r="Z340" s="263">
        <f>IFERROR(Z65,0)</f>
        <v>1938</v>
      </c>
      <c r="AA340" s="263">
        <f>IFERROR(AA65,0)</f>
        <v>1243</v>
      </c>
      <c r="AB340" s="263">
        <f>IFERROR(AB65,0)</f>
        <v>6864</v>
      </c>
      <c r="AC340" s="263">
        <f>IFERROR(AC65,0)</f>
        <v>1303</v>
      </c>
      <c r="AD340" s="263">
        <f>IFERROR(AD65,0)</f>
        <v>2432</v>
      </c>
      <c r="AE340" s="263">
        <f>IFERROR(AE65,0)</f>
        <v>1972</v>
      </c>
      <c r="AF340" s="263">
        <f>IFERROR(AF65,0)</f>
        <v>811</v>
      </c>
      <c r="AG340" s="263">
        <f>IFERROR(AG65,0)</f>
        <v>6518</v>
      </c>
      <c r="AH340" s="263">
        <f>IFERROR(AH65,0)</f>
        <v>2137</v>
      </c>
      <c r="AI340" s="263">
        <f>IFERROR(AI65,0)</f>
        <v>2003</v>
      </c>
      <c r="AJ340" s="263">
        <f>IFERROR(AJ65,0)</f>
        <v>1886.62617347813</v>
      </c>
      <c r="AK340" s="263">
        <f>IFERROR(AK65,0)</f>
        <v>1524.29220240997</v>
      </c>
      <c r="AL340" s="263">
        <f>IFERROR(AL65,0)</f>
        <v>7550.9183758881</v>
      </c>
      <c r="AM340" s="263">
        <f>IFERROR(AM65,0)</f>
        <v>1686.92305872959</v>
      </c>
      <c r="AN340" s="263">
        <f>IFERROR(AN65,0)</f>
        <v>1902.05039778798</v>
      </c>
      <c r="AO340" s="263">
        <f>IFERROR(AO65,0)</f>
        <v>1911.09186480992</v>
      </c>
      <c r="AP340" s="263">
        <f>IFERROR(AP65,0)</f>
        <v>1544.05916157118</v>
      </c>
      <c r="AQ340" s="263">
        <f>IFERROR(AQ65,0)</f>
        <v>7044.12448289867</v>
      </c>
      <c r="AR340" s="263">
        <f>IFERROR(AR65,0)</f>
        <v>1700.36439291419</v>
      </c>
      <c r="AS340" s="263">
        <f>IFERROR(AS65,0)</f>
        <v>1917.20585784309</v>
      </c>
      <c r="AT340" s="263">
        <f>IFERROR(AT65,0)</f>
        <v>1926.3193669058</v>
      </c>
      <c r="AU340" s="263">
        <f>IFERROR(AU65,0)</f>
        <v>1556.36216204538</v>
      </c>
      <c r="AV340" s="263">
        <f>IFERROR(AV65,0)</f>
        <v>7100.25177970846</v>
      </c>
      <c r="AW340" s="263">
        <f>IFERROR(AW65,0)</f>
        <v>1705.41100513723</v>
      </c>
      <c r="AX340" s="263">
        <f>IFERROR(AX65,0)</f>
        <v>1922.89604669708</v>
      </c>
      <c r="AY340" s="263">
        <f>IFERROR(AY65,0)</f>
        <v>1932.03660428328</v>
      </c>
      <c r="AZ340" s="263">
        <f>IFERROR(AZ65,0)</f>
        <v>1560.98138151574</v>
      </c>
      <c r="BA340" s="263">
        <f>IFERROR(BA65,0)</f>
        <v>7121.32503763333</v>
      </c>
      <c r="BB340" s="263">
        <f>IFERROR(BB65,0)</f>
        <v>1705.41100513723</v>
      </c>
      <c r="BC340" s="263">
        <f>IFERROR(BC65,0)</f>
        <v>1922.89604669708</v>
      </c>
      <c r="BD340" s="263">
        <f>IFERROR(BD65,0)</f>
        <v>1932.03660428328</v>
      </c>
      <c r="BE340" s="263">
        <f>IFERROR(BE65,0)</f>
        <v>1560.98138151574</v>
      </c>
      <c r="BF340" s="263">
        <f>IFERROR(BF65,0)</f>
        <v>7121.32503763333</v>
      </c>
      <c r="BG340" s="63" t="n"/>
      <c r="BH340" s="63" t="n"/>
      <c r="BI340" s="63" t="n"/>
      <c r="BJ340" s="63" t="n"/>
      <c r="BL340" s="63" t="n"/>
      <c r="BM340" s="63" t="n"/>
      <c r="BN340" s="63" t="n"/>
      <c r="BO340" s="63" t="n"/>
      <c r="BQ340" s="63" t="n"/>
      <c r="BR340" s="63" t="n"/>
      <c r="BS340" s="63" t="n"/>
      <c r="BT340" s="63" t="n"/>
      <c r="BV340" s="63" t="n"/>
      <c r="BW340" s="63" t="n"/>
      <c r="BX340" s="63" t="n"/>
      <c r="BY340" s="63" t="n"/>
      <c r="CA340" s="63" t="n"/>
      <c r="CB340" s="63" t="n"/>
      <c r="CC340" s="63" t="n"/>
      <c r="CD340" s="63" t="n"/>
      <c r="CF340" s="63" t="n"/>
      <c r="CG340" s="63" t="n"/>
      <c r="CH340" s="63" t="n"/>
      <c r="CI340" s="63" t="n"/>
      <c r="CK340" s="63" t="n"/>
      <c r="CL340" s="63" t="n"/>
      <c r="CM340" s="63" t="n"/>
      <c r="CN340" s="63" t="n"/>
      <c r="CP340" s="63" t="n"/>
      <c r="CQ340" s="63" t="n"/>
      <c r="CR340" s="63" t="n"/>
      <c r="CS340" s="63" t="n"/>
      <c r="CU340" s="63" t="n"/>
      <c r="CV340" s="63" t="n"/>
      <c r="CW340" s="63" t="n"/>
      <c r="CX340" s="63" t="n"/>
    </row>
    <row r="341" customFormat="1" s="77">
      <c r="A341" s="76" t="n"/>
      <c r="B341" s="76" t="n"/>
      <c r="C341" s="77" t="inlineStr">
        <is>
          <t>ETR (LIMITED TO 0%-100%)</t>
        </is>
      </c>
      <c r="D341" s="87">
        <f>IFERROR(D124,"")</f>
        <v>0</v>
      </c>
      <c r="E341" s="87">
        <f>IFERROR(E124,"")</f>
        <v>0</v>
      </c>
      <c r="F341" s="87">
        <f>IFERROR(F124,"")</f>
        <v>0</v>
      </c>
      <c r="G341" s="87">
        <f>IFERROR(G124,"")</f>
        <v>0</v>
      </c>
      <c r="H341" s="258" t="str">
        <f>IFERROR(IF(N(H122)&lt;&gt;0,MAX(0,MIN(1,-H123/H122)),""),"")</f>
        <v/>
      </c>
      <c r="I341" s="258">
        <f>IFERROR(IF(N(I122)&lt;&gt;0,MAX(0,MIN(1,-I123/I122)),""),"")</f>
        <v>0.316881258941345</v>
      </c>
      <c r="J341" s="258">
        <f>IFERROR(IF(N(J122)&lt;&gt;0,MAX(0,MIN(1,-J123/J122)),""),"")</f>
        <v>0.312759336099585</v>
      </c>
      <c r="K341" s="258">
        <f>IFERROR(IF(N(K122)&lt;&gt;0,MAX(0,MIN(1,-K123/K122)),""),"")</f>
        <v>0.266101694915254</v>
      </c>
      <c r="L341" s="258">
        <f>IFERROR(IF(N(L122)&lt;&gt;0,MAX(0,MIN(1,-L123/L122)),""),"")</f>
        <v>0.316776482513938</v>
      </c>
      <c r="M341" s="258">
        <f>IFERROR(IF(N(M122)&lt;&gt;0,MAX(0,MIN(1,-M123/M122)),""),"")</f>
        <v>0.300169734952344</v>
      </c>
      <c r="N341" s="258">
        <f>IFERROR(IF(N(N122)&lt;&gt;0,MAX(0,MIN(1,-N123/N122)),""),"")</f>
        <v>0.30372281607077</v>
      </c>
      <c r="O341" s="258">
        <f>IFERROR(IF(N(O122)&lt;&gt;0,MAX(0,MIN(1,-O123/O122)),""),"")</f>
        <v>0.357098186366479</v>
      </c>
      <c r="P341" s="258">
        <f>IFERROR(IF(N(P122)&lt;&gt;0,MAX(0,MIN(1,-P123/P122)),""),"")</f>
        <v>0.363321799307959</v>
      </c>
      <c r="Q341" s="258">
        <f>IFERROR(IF(N(Q122)&lt;&gt;0,MAX(0,MIN(1,-Q123/Q122)),""),"")</f>
        <v>0.362630208333333</v>
      </c>
      <c r="R341" s="258">
        <f>IFERROR(IF(N(R122)&lt;&gt;0,MAX(0,MIN(1,-R123/R122)),""),"")</f>
        <v>0.337602382725242</v>
      </c>
      <c r="S341" s="258">
        <f>IFERROR(IF(N(S122)&lt;&gt;0,MAX(0,MIN(1,-S123/S122)),""),"")</f>
        <v>0.32444733420026</v>
      </c>
      <c r="T341" s="258">
        <f>IFERROR(IF(N(T122)&lt;&gt;0,MAX(0,MIN(1,-T123/T122)),""),"")</f>
        <v>0.425078864353312</v>
      </c>
      <c r="U341" s="258">
        <f>IFERROR(IF(N(U122)&lt;&gt;0,MAX(0,MIN(1,-U123/U122)),""),"")</f>
        <v>0.345108695652174</v>
      </c>
      <c r="V341" s="258">
        <f>IFERROR(IF(N(V122)&lt;&gt;0,MAX(0,MIN(1,-V123/V122)),""),"")</f>
        <v>0.418981481481481</v>
      </c>
      <c r="W341" s="258">
        <f>IFERROR(IF(N(W122)&lt;&gt;0,MAX(0,MIN(1,-W123/W122)),""),"")</f>
        <v>0.377955377955378</v>
      </c>
      <c r="X341" s="258">
        <f>IFERROR(IF(N(X122)&lt;&gt;0,MAX(0,MIN(1,-X123/X122)),""),"")</f>
        <v>0.305854241338112</v>
      </c>
      <c r="Y341" s="258">
        <f>IFERROR(IF(N(Y122)&lt;&gt;0,MAX(0,MIN(1,-Y123/Y122)),""),"")</f>
        <v>0.371428571428571</v>
      </c>
      <c r="Z341" s="258">
        <f>IFERROR(IF(N(Z122)&lt;&gt;0,MAX(0,MIN(1,-Z123/Z122)),""),"")</f>
        <v>0.375445746306673</v>
      </c>
      <c r="AA341" s="258">
        <f>IFERROR(IF(N(AA122)&lt;&gt;0,MAX(0,MIN(1,-AA123/AA122)),""),"")</f>
        <v>0.419354838709677</v>
      </c>
      <c r="AB341" s="258">
        <f>IFERROR(IF(N(AB122)&lt;&gt;0,MAX(0,MIN(1,-AB123/AB122)),""),"")</f>
        <v>0.365281598378457</v>
      </c>
      <c r="AC341" s="258">
        <f>IFERROR(IF(N(AC122)&lt;&gt;0,MAX(0,MIN(1,-AC123/AC122)),""),"")</f>
        <v>0.387296669248645</v>
      </c>
      <c r="AD341" s="258">
        <f>IFERROR(IF(N(AD122)&lt;&gt;0,MAX(0,MIN(1,-AD123/AD122)),""),"")</f>
        <v>0.355499790882476</v>
      </c>
      <c r="AE341" s="258">
        <f>IFERROR(IF(N(AE122)&lt;&gt;0,MAX(0,MIN(1,-AE123/AE122)),""),"")</f>
        <v>0.347713097713098</v>
      </c>
      <c r="AF341" s="258">
        <f>IFERROR(IF(N(AF122)&lt;&gt;0,MAX(0,MIN(1,-AF123/AF122)),""),"")</f>
        <v>0.263707571801567</v>
      </c>
      <c r="AG341" s="258">
        <f>IFERROR(IF(N(AG122)&lt;&gt;0,MAX(0,MIN(1,-AG123/AG122)),""),"")</f>
        <v>0.348556183301946</v>
      </c>
      <c r="AH341" s="258">
        <f>IFERROR(IF(N(AH122)&lt;&gt;0,MAX(0,MIN(1,-AH123/AH122)),""),"")</f>
        <v>0.321042281219272</v>
      </c>
      <c r="AI341" s="258">
        <f>IFERROR(IF(N(AI122)&lt;&gt;0,MAX(0,MIN(1,-AI123/AI122)),""),"")</f>
        <v>0.281865284974093</v>
      </c>
      <c r="AJ341" s="258">
        <f>IFERROR(IF(N(AJ122)&lt;&gt;0,MAX(0,MIN(1,-AJ123/AJ122)),""),"")</f>
        <v>0.326187449306525</v>
      </c>
      <c r="AK341" s="258">
        <f>IFERROR(IF(N(AK122)&lt;&gt;0,MAX(0,MIN(1,-AK123/AK122)),""),"")</f>
        <v>0.326187449306525</v>
      </c>
      <c r="AL341" s="258">
        <f>IFERROR(IF(N(AL122)&lt;&gt;0,MAX(0,MIN(1,-AL123/AL122)),""),"")</f>
        <v>0.31298148368532</v>
      </c>
      <c r="AM341" s="258">
        <f>IFERROR(IF(N(AM122)&lt;&gt;0,MAX(0,MIN(1,-AM123/AM122)),""),"")</f>
        <v>0.326187449306525</v>
      </c>
      <c r="AN341" s="258">
        <f>IFERROR(IF(N(AN122)&lt;&gt;0,MAX(0,MIN(1,-AN123/AN122)),""),"")</f>
        <v>0.326187449306525</v>
      </c>
      <c r="AO341" s="258">
        <f>IFERROR(IF(N(AO122)&lt;&gt;0,MAX(0,MIN(1,-AO123/AO122)),""),"")</f>
        <v>0.326187449306525</v>
      </c>
      <c r="AP341" s="258">
        <f>IFERROR(IF(N(AP122)&lt;&gt;0,MAX(0,MIN(1,-AP123/AP122)),""),"")</f>
        <v>0.326187449306525</v>
      </c>
      <c r="AQ341" s="258">
        <f>IFERROR(IF(N(AQ122)&lt;&gt;0,MAX(0,MIN(1,-AQ123/AQ122)),""),"")</f>
        <v>0.326187449306525</v>
      </c>
      <c r="AR341" s="258">
        <f>IFERROR(IF(N(AR122)&lt;&gt;0,MAX(0,MIN(1,-AR123/AR122)),""),"")</f>
        <v>0.326187449306525</v>
      </c>
      <c r="AS341" s="258">
        <f>IFERROR(IF(N(AS122)&lt;&gt;0,MAX(0,MIN(1,-AS123/AS122)),""),"")</f>
        <v>0.326187449306525</v>
      </c>
      <c r="AT341" s="258">
        <f>IFERROR(IF(N(AT122)&lt;&gt;0,MAX(0,MIN(1,-AT123/AT122)),""),"")</f>
        <v>0.326187449306525</v>
      </c>
      <c r="AU341" s="258">
        <f>IFERROR(IF(N(AU122)&lt;&gt;0,MAX(0,MIN(1,-AU123/AU122)),""),"")</f>
        <v>0.326187449306525</v>
      </c>
      <c r="AV341" s="258">
        <f>IFERROR(IF(N(AV122)&lt;&gt;0,MAX(0,MIN(1,-AV123/AV122)),""),"")</f>
        <v>0.326187449306525</v>
      </c>
      <c r="AW341" s="258">
        <f>IFERROR(IF(N(AW122)&lt;&gt;0,MAX(0,MIN(1,-AW123/AW122)),""),"")</f>
        <v>0.326187449306525</v>
      </c>
      <c r="AX341" s="258">
        <f>IFERROR(IF(N(AX122)&lt;&gt;0,MAX(0,MIN(1,-AX123/AX122)),""),"")</f>
        <v>0.326187449306525</v>
      </c>
      <c r="AY341" s="258">
        <f>IFERROR(IF(N(AY122)&lt;&gt;0,MAX(0,MIN(1,-AY123/AY122)),""),"")</f>
        <v>0.326187449306525</v>
      </c>
      <c r="AZ341" s="258">
        <f>IFERROR(IF(N(AZ122)&lt;&gt;0,MAX(0,MIN(1,-AZ123/AZ122)),""),"")</f>
        <v>0.326187449306525</v>
      </c>
      <c r="BA341" s="258">
        <f>IFERROR(IF(N(BA122)&lt;&gt;0,MAX(0,MIN(1,-BA123/BA122)),""),"")</f>
        <v>0.326187449306525</v>
      </c>
      <c r="BB341" s="258">
        <f>IFERROR(IF(N(BB122)&lt;&gt;0,MAX(0,MIN(1,-BB123/BB122)),""),"")</f>
        <v>0.326187449306525</v>
      </c>
      <c r="BC341" s="258">
        <f>IFERROR(IF(N(BC122)&lt;&gt;0,MAX(0,MIN(1,-BC123/BC122)),""),"")</f>
        <v>0.326187449306525</v>
      </c>
      <c r="BD341" s="258">
        <f>IFERROR(IF(N(BD122)&lt;&gt;0,MAX(0,MIN(1,-BD123/BD122)),""),"")</f>
        <v>0.326187449306525</v>
      </c>
      <c r="BE341" s="258">
        <f>IFERROR(IF(N(BE122)&lt;&gt;0,MAX(0,MIN(1,-BE123/BE122)),""),"")</f>
        <v>0.326187449306525</v>
      </c>
      <c r="BF341" s="258">
        <f>IFERROR(IF(N(BF122)&lt;&gt;0,MAX(0,MIN(1,-BF123/BF122)),""),"")</f>
        <v>0.326187449306525</v>
      </c>
      <c r="BG341" s="88" t="n"/>
      <c r="BH341" s="88" t="n"/>
      <c r="BI341" s="88" t="n"/>
      <c r="BJ341" s="88" t="n"/>
      <c r="BL341" s="88" t="n"/>
      <c r="BM341" s="88" t="n"/>
      <c r="BN341" s="88" t="n"/>
      <c r="BO341" s="88" t="n"/>
      <c r="BQ341" s="88" t="n"/>
      <c r="BR341" s="88" t="n"/>
      <c r="BS341" s="88" t="n"/>
      <c r="BT341" s="88" t="n"/>
      <c r="BV341" s="88" t="n"/>
      <c r="BW341" s="88" t="n"/>
      <c r="BX341" s="88" t="n"/>
      <c r="BY341" s="88" t="n"/>
      <c r="CA341" s="88" t="n"/>
      <c r="CB341" s="88" t="n"/>
      <c r="CC341" s="88" t="n"/>
      <c r="CD341" s="88" t="n"/>
      <c r="CF341" s="88" t="n"/>
      <c r="CG341" s="88" t="n"/>
      <c r="CH341" s="88" t="n"/>
      <c r="CI341" s="88" t="n"/>
      <c r="CK341" s="88" t="n"/>
      <c r="CL341" s="88" t="n"/>
      <c r="CM341" s="88" t="n"/>
      <c r="CN341" s="88" t="n"/>
      <c r="CP341" s="88" t="n"/>
      <c r="CQ341" s="88" t="n"/>
      <c r="CR341" s="88" t="n"/>
      <c r="CS341" s="88" t="n"/>
      <c r="CU341" s="88" t="n"/>
      <c r="CV341" s="88" t="n"/>
      <c r="CW341" s="88" t="n"/>
      <c r="CX341" s="88" t="n"/>
    </row>
    <row r="342" customFormat="1" s="77">
      <c r="A342" s="76" t="n"/>
      <c r="B342" s="76" t="n"/>
      <c r="C342" s="77" t="inlineStr">
        <is>
          <t>INVESTED CAPITAL</t>
        </is>
      </c>
      <c r="D342" s="86">
        <f>IFERROR(D345-D346+D347,"")</f>
        <v>0</v>
      </c>
      <c r="E342" s="86">
        <f>IFERROR(E345-E346+E347,"")</f>
        <v>0</v>
      </c>
      <c r="F342" s="86">
        <f>IFERROR(F345-F346+F347,"")</f>
        <v>0</v>
      </c>
      <c r="G342" s="86">
        <f>IFERROR(G345-G346+G347,"")</f>
        <v>0</v>
      </c>
      <c r="H342" s="263">
        <f>IFERROR(H344+H347,0)</f>
        <v>0</v>
      </c>
      <c r="I342" s="263">
        <f>IFERROR(I344+I347,0)</f>
        <v>29248</v>
      </c>
      <c r="J342" s="263">
        <f>IFERROR(J344+J347,0)</f>
        <v>28803</v>
      </c>
      <c r="K342" s="263">
        <f>IFERROR(K344+K347,0)</f>
        <v>29024</v>
      </c>
      <c r="L342" s="263">
        <f>IFERROR(L344+L347,0)</f>
        <v>20321</v>
      </c>
      <c r="M342" s="263">
        <f>IFERROR(M344+M347,0)</f>
        <v>20321</v>
      </c>
      <c r="N342" s="263">
        <f>IFERROR(N344+N347,0)</f>
        <v>29607</v>
      </c>
      <c r="O342" s="263">
        <f>IFERROR(O344+O347,0)</f>
        <v>29944</v>
      </c>
      <c r="P342" s="263">
        <f>IFERROR(P344+P347,0)</f>
        <v>30609</v>
      </c>
      <c r="Q342" s="263">
        <f>IFERROR(Q344+Q347,0)</f>
        <v>23224</v>
      </c>
      <c r="R342" s="263">
        <f>IFERROR(R344+R347,0)</f>
        <v>23224</v>
      </c>
      <c r="S342" s="263">
        <f>IFERROR(S344+S347,0)</f>
        <v>32736</v>
      </c>
      <c r="T342" s="263">
        <f>IFERROR(T344+T347,0)</f>
        <v>33182</v>
      </c>
      <c r="U342" s="263">
        <f>IFERROR(U344+U347,0)</f>
        <v>34736</v>
      </c>
      <c r="V342" s="263">
        <f>IFERROR(V344+V347,0)</f>
        <v>30364</v>
      </c>
      <c r="W342" s="263">
        <f>IFERROR(W344+W347,0)</f>
        <v>30364</v>
      </c>
      <c r="X342" s="263">
        <f>IFERROR(X344+X347,0)</f>
        <v>36822</v>
      </c>
      <c r="Y342" s="263">
        <f>IFERROR(Y344+Y347,0)</f>
        <v>37330</v>
      </c>
      <c r="Z342" s="263">
        <f>IFERROR(Z344+Z347,0)</f>
        <v>38037</v>
      </c>
      <c r="AA342" s="263">
        <f>IFERROR(AA344+AA347,0)</f>
        <v>33268</v>
      </c>
      <c r="AB342" s="263">
        <f>IFERROR(AB344+AB347,0)</f>
        <v>33268</v>
      </c>
      <c r="AC342" s="263">
        <f>IFERROR(AC344+AC347,0)</f>
        <v>38635</v>
      </c>
      <c r="AD342" s="263">
        <f>IFERROR(AD344+AD347,0)</f>
        <v>39167</v>
      </c>
      <c r="AE342" s="263">
        <f>IFERROR(AE344+AE347,0)</f>
        <v>39736</v>
      </c>
      <c r="AF342" s="263">
        <f>IFERROR(AF344+AF347,0)</f>
        <v>37780</v>
      </c>
      <c r="AG342" s="263">
        <f>IFERROR(AG344+AG347,0)</f>
        <v>37780</v>
      </c>
      <c r="AH342" s="263">
        <f>IFERROR(AH344+AH347,0)</f>
        <v>42816</v>
      </c>
      <c r="AI342" s="263">
        <f>IFERROR(AI344+AI347,0)</f>
        <v>43159</v>
      </c>
      <c r="AJ342" s="263">
        <f>IFERROR(AJ344+AJ347,0)</f>
        <v>43856.8329920656</v>
      </c>
      <c r="AK342" s="263">
        <f>IFERROR(AK344+AK347,0)</f>
        <v>45033.0530960834</v>
      </c>
      <c r="AL342" s="263">
        <f>IFERROR(AL344+AL347,0)</f>
        <v>45033.0530960834</v>
      </c>
      <c r="AM342" s="263">
        <f>IFERROR(AM344+AM347,0)</f>
        <v>45144.6340959582</v>
      </c>
      <c r="AN342" s="263">
        <f>IFERROR(AN344+AN347,0)</f>
        <v>45324.8970389793</v>
      </c>
      <c r="AO342" s="263">
        <f>IFERROR(AO344+AO347,0)</f>
        <v>45924.6224894107</v>
      </c>
      <c r="AP342" s="263">
        <f>IFERROR(AP344+AP347,0)</f>
        <v>47115.8288402103</v>
      </c>
      <c r="AQ342" s="263">
        <f>IFERROR(AQ344+AQ347,0)</f>
        <v>47115.8288402103</v>
      </c>
      <c r="AR342" s="263">
        <f>IFERROR(AR344+AR347,0)</f>
        <v>47283.678749916</v>
      </c>
      <c r="AS342" s="263">
        <f>IFERROR(AS344+AS347,0)</f>
        <v>47430.0400091145</v>
      </c>
      <c r="AT342" s="263">
        <f>IFERROR(AT344+AT347,0)</f>
        <v>48037.0974536545</v>
      </c>
      <c r="AU342" s="263">
        <f>IFERROR(AU344+AU347,0)</f>
        <v>49240.4040655826</v>
      </c>
      <c r="AV342" s="263">
        <f>IFERROR(AV344+AV347,0)</f>
        <v>49240.4040655826</v>
      </c>
      <c r="AW342" s="263">
        <f>IFERROR(AW344+AW347,0)</f>
        <v>49388.8062278759</v>
      </c>
      <c r="AX342" s="263">
        <f>IFERROR(AX344+AX347,0)</f>
        <v>49576.2910388708</v>
      </c>
      <c r="AY342" s="263">
        <f>IFERROR(AY344+AY347,0)</f>
        <v>50187.9204156577</v>
      </c>
      <c r="AZ342" s="263">
        <f>IFERROR(AZ344+AZ347,0)</f>
        <v>51397.5991498413</v>
      </c>
      <c r="BA342" s="263">
        <f>IFERROR(BA344+BA347,0)</f>
        <v>51397.5991498413</v>
      </c>
      <c r="BB342" s="263">
        <f>IFERROR(BB344+BB347,0)</f>
        <v>51556.8364353869</v>
      </c>
      <c r="BC342" s="263">
        <f>IFERROR(BC344+BC347,0)</f>
        <v>51746.0110021412</v>
      </c>
      <c r="BD342" s="263">
        <f>IFERROR(BD344+BD347,0)</f>
        <v>52359.3351498136</v>
      </c>
      <c r="BE342" s="263">
        <f>IFERROR(BE344+BE347,0)</f>
        <v>53570.7136848937</v>
      </c>
      <c r="BF342" s="263">
        <f>IFERROR(BF344+BF347,0)</f>
        <v>53570.7136848937</v>
      </c>
      <c r="BG342" s="63" t="n"/>
      <c r="BH342" s="63" t="n"/>
      <c r="BI342" s="63" t="n"/>
      <c r="BJ342" s="63" t="n"/>
      <c r="BL342" s="63" t="n"/>
      <c r="BM342" s="63" t="n"/>
      <c r="BN342" s="63" t="n"/>
      <c r="BO342" s="63" t="n"/>
      <c r="BQ342" s="63" t="n"/>
      <c r="BR342" s="63" t="n"/>
      <c r="BS342" s="63" t="n"/>
      <c r="BT342" s="63" t="n"/>
      <c r="BV342" s="63" t="n"/>
      <c r="BW342" s="63" t="n"/>
      <c r="BX342" s="63" t="n"/>
      <c r="BY342" s="63" t="n"/>
      <c r="CA342" s="63" t="n"/>
      <c r="CB342" s="63" t="n"/>
      <c r="CC342" s="63" t="n"/>
      <c r="CD342" s="63" t="n"/>
      <c r="CF342" s="63" t="n"/>
      <c r="CG342" s="63" t="n"/>
      <c r="CH342" s="63" t="n"/>
      <c r="CI342" s="63" t="n"/>
      <c r="CK342" s="63" t="n"/>
      <c r="CL342" s="63" t="n"/>
      <c r="CM342" s="63" t="n"/>
      <c r="CN342" s="63" t="n"/>
      <c r="CP342" s="63" t="n"/>
      <c r="CQ342" s="63" t="n"/>
      <c r="CR342" s="63" t="n"/>
      <c r="CS342" s="63" t="n"/>
      <c r="CU342" s="63" t="n"/>
      <c r="CV342" s="63" t="n"/>
      <c r="CW342" s="63" t="n"/>
      <c r="CX342" s="63" t="n"/>
    </row>
    <row r="343" customFormat="1" s="77">
      <c r="A343" s="76" t="n"/>
      <c r="B343" s="76" t="n"/>
      <c r="C343" s="77" t="inlineStr">
        <is>
          <t>INVESTED CAPITAL - EX GOODWILL</t>
        </is>
      </c>
      <c r="D343" s="89">
        <f>IFERROR(D342-D171,"")</f>
        <v>0</v>
      </c>
      <c r="E343" s="89">
        <f>IFERROR(E342-E171,"")</f>
        <v>0</v>
      </c>
      <c r="F343" s="89">
        <f>IFERROR(F342-F171,"")</f>
        <v>0</v>
      </c>
      <c r="G343" s="89">
        <f>IFERROR(G342-G171,"")</f>
        <v>0</v>
      </c>
      <c r="H343" s="263">
        <f>IFERROR(H342-N(H171),0)</f>
        <v>0</v>
      </c>
      <c r="I343" s="263">
        <f>IFERROR(I342-N(I171),0)</f>
        <v>29248</v>
      </c>
      <c r="J343" s="263">
        <f>IFERROR(J342-N(J171),0)</f>
        <v>28803</v>
      </c>
      <c r="K343" s="263">
        <f>IFERROR(K342-N(K171),0)</f>
        <v>29024</v>
      </c>
      <c r="L343" s="263">
        <f>IFERROR(L342-N(L171),0)</f>
        <v>20321</v>
      </c>
      <c r="M343" s="263">
        <f>IFERROR(M342-N(M171),0)</f>
        <v>20321</v>
      </c>
      <c r="N343" s="263">
        <f>IFERROR(N342-N(N171),0)</f>
        <v>29607</v>
      </c>
      <c r="O343" s="263">
        <f>IFERROR(O342-N(O171),0)</f>
        <v>29944</v>
      </c>
      <c r="P343" s="263">
        <f>IFERROR(P342-N(P171),0)</f>
        <v>30609</v>
      </c>
      <c r="Q343" s="263">
        <f>IFERROR(Q342-N(Q171),0)</f>
        <v>23224</v>
      </c>
      <c r="R343" s="263">
        <f>IFERROR(R342-N(R171),0)</f>
        <v>23224</v>
      </c>
      <c r="S343" s="263">
        <f>IFERROR(S342-N(S171),0)</f>
        <v>32736</v>
      </c>
      <c r="T343" s="263">
        <f>IFERROR(T342-N(T171),0)</f>
        <v>33182</v>
      </c>
      <c r="U343" s="263">
        <f>IFERROR(U342-N(U171),0)</f>
        <v>34736</v>
      </c>
      <c r="V343" s="263">
        <f>IFERROR(V342-N(V171),0)</f>
        <v>30364</v>
      </c>
      <c r="W343" s="263">
        <f>IFERROR(W342-N(W171),0)</f>
        <v>30364</v>
      </c>
      <c r="X343" s="263">
        <f>IFERROR(X342-N(X171),0)</f>
        <v>36822</v>
      </c>
      <c r="Y343" s="263">
        <f>IFERROR(Y342-N(Y171),0)</f>
        <v>37330</v>
      </c>
      <c r="Z343" s="263">
        <f>IFERROR(Z342-N(Z171),0)</f>
        <v>38037</v>
      </c>
      <c r="AA343" s="263">
        <f>IFERROR(AA342-N(AA171),0)</f>
        <v>33268</v>
      </c>
      <c r="AB343" s="263">
        <f>IFERROR(AB342-N(AB171),0)</f>
        <v>33268</v>
      </c>
      <c r="AC343" s="263">
        <f>IFERROR(AC342-N(AC171),0)</f>
        <v>38635</v>
      </c>
      <c r="AD343" s="263">
        <f>IFERROR(AD342-N(AD171),0)</f>
        <v>39167</v>
      </c>
      <c r="AE343" s="263">
        <f>IFERROR(AE342-N(AE171),0)</f>
        <v>39736</v>
      </c>
      <c r="AF343" s="263">
        <f>IFERROR(AF342-N(AF171),0)</f>
        <v>37780</v>
      </c>
      <c r="AG343" s="263">
        <f>IFERROR(AG342-N(AG171),0)</f>
        <v>37780</v>
      </c>
      <c r="AH343" s="263">
        <f>IFERROR(AH342-N(AH171),0)</f>
        <v>42816</v>
      </c>
      <c r="AI343" s="263">
        <f>IFERROR(AI342-N(AI171),0)</f>
        <v>43159</v>
      </c>
      <c r="AJ343" s="263">
        <f>IFERROR(AJ342-N(AJ171),0)</f>
        <v>43856.8329920656</v>
      </c>
      <c r="AK343" s="263">
        <f>IFERROR(AK342-N(AK171),0)</f>
        <v>45033.0530960834</v>
      </c>
      <c r="AL343" s="263">
        <f>IFERROR(AL342-N(AL171),0)</f>
        <v>45033.0530960834</v>
      </c>
      <c r="AM343" s="263">
        <f>IFERROR(AM342-N(AM171),0)</f>
        <v>45144.6340959582</v>
      </c>
      <c r="AN343" s="263">
        <f>IFERROR(AN342-N(AN171),0)</f>
        <v>45324.8970389793</v>
      </c>
      <c r="AO343" s="263">
        <f>IFERROR(AO342-N(AO171),0)</f>
        <v>45924.6224894107</v>
      </c>
      <c r="AP343" s="263">
        <f>IFERROR(AP342-N(AP171),0)</f>
        <v>47115.8288402103</v>
      </c>
      <c r="AQ343" s="263">
        <f>IFERROR(AQ342-N(AQ171),0)</f>
        <v>47115.8288402103</v>
      </c>
      <c r="AR343" s="263">
        <f>IFERROR(AR342-N(AR171),0)</f>
        <v>47283.678749916</v>
      </c>
      <c r="AS343" s="263">
        <f>IFERROR(AS342-N(AS171),0)</f>
        <v>47430.0400091145</v>
      </c>
      <c r="AT343" s="263">
        <f>IFERROR(AT342-N(AT171),0)</f>
        <v>48037.0974536545</v>
      </c>
      <c r="AU343" s="263">
        <f>IFERROR(AU342-N(AU171),0)</f>
        <v>49240.4040655826</v>
      </c>
      <c r="AV343" s="263">
        <f>IFERROR(AV342-N(AV171),0)</f>
        <v>49240.4040655826</v>
      </c>
      <c r="AW343" s="263">
        <f>IFERROR(AW342-N(AW171),0)</f>
        <v>49388.8062278759</v>
      </c>
      <c r="AX343" s="263">
        <f>IFERROR(AX342-N(AX171),0)</f>
        <v>49576.2910388708</v>
      </c>
      <c r="AY343" s="263">
        <f>IFERROR(AY342-N(AY171),0)</f>
        <v>50187.9204156577</v>
      </c>
      <c r="AZ343" s="263">
        <f>IFERROR(AZ342-N(AZ171),0)</f>
        <v>51397.5991498413</v>
      </c>
      <c r="BA343" s="263">
        <f>IFERROR(BA342-N(BA171),0)</f>
        <v>51397.5991498413</v>
      </c>
      <c r="BB343" s="263">
        <f>IFERROR(BB342-N(BB171),0)</f>
        <v>51556.8364353869</v>
      </c>
      <c r="BC343" s="263">
        <f>IFERROR(BC342-N(BC171),0)</f>
        <v>51746.0110021412</v>
      </c>
      <c r="BD343" s="263">
        <f>IFERROR(BD342-N(BD171),0)</f>
        <v>52359.3351498136</v>
      </c>
      <c r="BE343" s="263">
        <f>IFERROR(BE342-N(BE171),0)</f>
        <v>53570.7136848937</v>
      </c>
      <c r="BF343" s="263">
        <f>IFERROR(BF342-N(BF171),0)</f>
        <v>53570.7136848937</v>
      </c>
      <c r="BG343" s="90" t="n"/>
      <c r="BH343" s="90" t="n"/>
      <c r="BI343" s="90" t="n"/>
      <c r="BJ343" s="90" t="n"/>
      <c r="BL343" s="90" t="n"/>
      <c r="BM343" s="90" t="n"/>
      <c r="BN343" s="90" t="n"/>
      <c r="BO343" s="90" t="n"/>
      <c r="BQ343" s="90" t="n"/>
      <c r="BR343" s="90" t="n"/>
      <c r="BS343" s="90" t="n"/>
      <c r="BT343" s="90" t="n"/>
      <c r="BV343" s="90" t="n"/>
      <c r="BW343" s="90" t="n"/>
      <c r="BX343" s="90" t="n"/>
      <c r="BY343" s="90" t="n"/>
      <c r="CA343" s="90" t="n"/>
      <c r="CB343" s="90" t="n"/>
      <c r="CC343" s="90" t="n"/>
      <c r="CD343" s="90" t="n"/>
      <c r="CF343" s="90" t="n"/>
      <c r="CG343" s="90" t="n"/>
      <c r="CH343" s="90" t="n"/>
      <c r="CI343" s="90" t="n"/>
      <c r="CK343" s="90" t="n"/>
      <c r="CL343" s="90" t="n"/>
      <c r="CM343" s="90" t="n"/>
      <c r="CN343" s="90" t="n"/>
      <c r="CP343" s="90" t="n"/>
      <c r="CQ343" s="90" t="n"/>
      <c r="CR343" s="90" t="n"/>
      <c r="CS343" s="90" t="n"/>
      <c r="CU343" s="90" t="n"/>
      <c r="CV343" s="90" t="n"/>
      <c r="CW343" s="90" t="n"/>
      <c r="CX343" s="90" t="n"/>
    </row>
    <row r="344" customFormat="1" s="77">
      <c r="A344" s="76" t="n"/>
      <c r="B344" s="76" t="n"/>
      <c r="C344" s="77" t="inlineStr">
        <is>
          <t>OPERATING WORKING CAPITAL</t>
        </is>
      </c>
      <c r="D344" s="91">
        <f>IFERROR(D345-D346,"")</f>
        <v>0</v>
      </c>
      <c r="E344" s="91">
        <f>IFERROR(E345-E346,"")</f>
        <v>0</v>
      </c>
      <c r="F344" s="91">
        <f>IFERROR(F345-F346,"")</f>
        <v>0</v>
      </c>
      <c r="G344" s="91">
        <f>IFERROR(G345-G346,"")</f>
        <v>0</v>
      </c>
      <c r="H344" s="263">
        <f>IFERROR(H345-H346,0)</f>
        <v>0</v>
      </c>
      <c r="I344" s="263">
        <f>IFERROR(I345-I346,0)</f>
        <v>2321</v>
      </c>
      <c r="J344" s="263">
        <f>IFERROR(J345-J346,0)</f>
        <v>1816</v>
      </c>
      <c r="K344" s="263">
        <f>IFERROR(K345-K346,0)</f>
        <v>1493</v>
      </c>
      <c r="L344" s="263">
        <f>IFERROR(L345-L346,0)</f>
        <v>-7072</v>
      </c>
      <c r="M344" s="263">
        <f>IFERROR(M345-M346,0)</f>
        <v>-7072</v>
      </c>
      <c r="N344" s="263">
        <f>IFERROR(N345-N346,0)</f>
        <v>1875</v>
      </c>
      <c r="O344" s="263">
        <f>IFERROR(O345-O346,0)</f>
        <v>1796</v>
      </c>
      <c r="P344" s="263">
        <f>IFERROR(P345-P346,0)</f>
        <v>1828</v>
      </c>
      <c r="Q344" s="263">
        <f>IFERROR(Q345-Q346,0)</f>
        <v>-6231</v>
      </c>
      <c r="R344" s="263">
        <f>IFERROR(R345-R346,0)</f>
        <v>-6231</v>
      </c>
      <c r="S344" s="263">
        <f>IFERROR(S345-S346,0)</f>
        <v>2662</v>
      </c>
      <c r="T344" s="263">
        <f>IFERROR(T345-T346,0)</f>
        <v>2623</v>
      </c>
      <c r="U344" s="263">
        <f>IFERROR(U345-U346,0)</f>
        <v>3507</v>
      </c>
      <c r="V344" s="263">
        <f>IFERROR(V345-V346,0)</f>
        <v>-1805</v>
      </c>
      <c r="W344" s="263">
        <f>IFERROR(W345-W346,0)</f>
        <v>-1805</v>
      </c>
      <c r="X344" s="263">
        <f>IFERROR(X345-X346,0)</f>
        <v>4098</v>
      </c>
      <c r="Y344" s="263">
        <f>IFERROR(Y345-Y346,0)</f>
        <v>4081</v>
      </c>
      <c r="Z344" s="263">
        <f>IFERROR(Z345-Z346,0)</f>
        <v>4067</v>
      </c>
      <c r="AA344" s="263">
        <f>IFERROR(AA345-AA346,0)</f>
        <v>-993</v>
      </c>
      <c r="AB344" s="263">
        <f>IFERROR(AB345-AB346,0)</f>
        <v>-993</v>
      </c>
      <c r="AC344" s="263">
        <f>IFERROR(AC345-AC346,0)</f>
        <v>3969</v>
      </c>
      <c r="AD344" s="263">
        <f>IFERROR(AD345-AD346,0)</f>
        <v>3953</v>
      </c>
      <c r="AE344" s="263">
        <f>IFERROR(AE345-AE346,0)</f>
        <v>4103</v>
      </c>
      <c r="AF344" s="263">
        <f>IFERROR(AF345-AF346,0)</f>
        <v>240</v>
      </c>
      <c r="AG344" s="263">
        <f>IFERROR(AG345-AG346,0)</f>
        <v>240</v>
      </c>
      <c r="AH344" s="263">
        <f>IFERROR(AH345-AH346,0)</f>
        <v>4948</v>
      </c>
      <c r="AI344" s="263">
        <f>IFERROR(AI345-AI346,0)</f>
        <v>4449</v>
      </c>
      <c r="AJ344" s="263">
        <f>IFERROR(AJ345-AJ346,0)</f>
        <v>4571.11783538763</v>
      </c>
      <c r="AK344" s="263">
        <f>IFERROR(AK345-AK346,0)</f>
        <v>5282.19114113134</v>
      </c>
      <c r="AL344" s="263">
        <f>IFERROR(AL345-AL346,0)</f>
        <v>5282.19114113134</v>
      </c>
      <c r="AM344" s="263">
        <f>IFERROR(AM345-AM346,0)</f>
        <v>4878.99757320197</v>
      </c>
      <c r="AN344" s="263">
        <f>IFERROR(AN345-AN346,0)</f>
        <v>4478.8385660955</v>
      </c>
      <c r="AO344" s="263">
        <f>IFERROR(AO345-AO346,0)</f>
        <v>4495.38300915937</v>
      </c>
      <c r="AP344" s="263">
        <f>IFERROR(AP345-AP346,0)</f>
        <v>5215.41055696106</v>
      </c>
      <c r="AQ344" s="263">
        <f>IFERROR(AQ345-AQ346,0)</f>
        <v>5215.41055696106</v>
      </c>
      <c r="AR344" s="263">
        <f>IFERROR(AR345-AR346,0)</f>
        <v>4864.38419608496</v>
      </c>
      <c r="AS344" s="263">
        <f>IFERROR(AS345-AS346,0)</f>
        <v>4425.69872671131</v>
      </c>
      <c r="AT344" s="263">
        <f>IFERROR(AT345-AT346,0)</f>
        <v>4444.92840138343</v>
      </c>
      <c r="AU344" s="263">
        <f>IFERROR(AU345-AU346,0)</f>
        <v>5173.30187681336</v>
      </c>
      <c r="AV344" s="263">
        <f>IFERROR(AV345-AV346,0)</f>
        <v>5173.30187681336</v>
      </c>
      <c r="AW344" s="263">
        <f>IFERROR(AW345-AW346,0)</f>
        <v>4801.28776489964</v>
      </c>
      <c r="AX344" s="263">
        <f>IFERROR(AX345-AX346,0)</f>
        <v>4401.98945247442</v>
      </c>
      <c r="AY344" s="263">
        <f>IFERROR(AY345-AY346,0)</f>
        <v>4424.04641052827</v>
      </c>
      <c r="AZ344" s="263">
        <f>IFERROR(AZ345-AZ346,0)</f>
        <v>5157.38242601949</v>
      </c>
      <c r="BA344" s="263">
        <f>IFERROR(BA345-BA346,0)</f>
        <v>5157.38242601949</v>
      </c>
      <c r="BB344" s="263">
        <f>IFERROR(BB345-BB346,0)</f>
        <v>4796.20343735811</v>
      </c>
      <c r="BC344" s="263">
        <f>IFERROR(BC345-BC346,0)</f>
        <v>4398.59488069227</v>
      </c>
      <c r="BD344" s="263">
        <f>IFERROR(BD345-BD346,0)</f>
        <v>4422.34660963173</v>
      </c>
      <c r="BE344" s="263">
        <f>IFERROR(BE345-BE346,0)</f>
        <v>5157.38242601949</v>
      </c>
      <c r="BF344" s="263">
        <f>IFERROR(BF345-BF346,0)</f>
        <v>5157.38242601949</v>
      </c>
      <c r="BG344" s="63" t="n"/>
      <c r="BH344" s="63" t="n"/>
      <c r="BI344" s="63" t="n"/>
      <c r="BJ344" s="63" t="n"/>
      <c r="BL344" s="63" t="n"/>
      <c r="BM344" s="63" t="n"/>
      <c r="BN344" s="63" t="n"/>
      <c r="BO344" s="63" t="n"/>
      <c r="BQ344" s="63" t="n"/>
      <c r="BR344" s="63" t="n"/>
      <c r="BS344" s="63" t="n"/>
      <c r="BT344" s="63" t="n"/>
      <c r="BV344" s="63" t="n"/>
      <c r="BW344" s="63" t="n"/>
      <c r="BX344" s="63" t="n"/>
      <c r="BY344" s="63" t="n"/>
      <c r="CA344" s="63" t="n"/>
      <c r="CB344" s="63" t="n"/>
      <c r="CC344" s="63" t="n"/>
      <c r="CD344" s="63" t="n"/>
      <c r="CF344" s="63" t="n"/>
      <c r="CG344" s="63" t="n"/>
      <c r="CH344" s="63" t="n"/>
      <c r="CI344" s="63" t="n"/>
      <c r="CK344" s="63" t="n"/>
      <c r="CL344" s="63" t="n"/>
      <c r="CM344" s="63" t="n"/>
      <c r="CN344" s="63" t="n"/>
      <c r="CP344" s="63" t="n"/>
      <c r="CQ344" s="63" t="n"/>
      <c r="CR344" s="63" t="n"/>
      <c r="CS344" s="63" t="n"/>
      <c r="CU344" s="63" t="n"/>
      <c r="CV344" s="63" t="n"/>
      <c r="CW344" s="63" t="n"/>
      <c r="CX344" s="63" t="n"/>
    </row>
    <row r="345" customFormat="1" s="77">
      <c r="A345" s="76" t="n"/>
      <c r="B345" s="76" t="n"/>
      <c r="C345" s="77" t="inlineStr">
        <is>
          <t>CURRENT ASSETS (OPERATING, EX CASH)</t>
        </is>
      </c>
      <c r="D345" s="89">
        <f>IFERROR(D137+D141+D145+D146+D147,"")</f>
        <v>0</v>
      </c>
      <c r="E345" s="89">
        <f>IFERROR(E137+E141+E145+E146+E147,"")</f>
        <v>0</v>
      </c>
      <c r="F345" s="89">
        <f>IFERROR(F137+F141+F145+F146+F147,"")</f>
        <v>0</v>
      </c>
      <c r="G345" s="89">
        <f>IFERROR(G137+G141+G145+G146+G147,"")</f>
        <v>0</v>
      </c>
      <c r="H345" s="263">
        <f>IFERROR((N(H137)+N(H141)+N(H145)+N(H146)+N(H147)),0)</f>
        <v>0</v>
      </c>
      <c r="I345" s="263">
        <f>IFERROR((N(I137)+N(I141)+N(I145)+N(I146)+N(I147)),0)</f>
        <v>6276</v>
      </c>
      <c r="J345" s="263">
        <f>IFERROR((N(J137)+N(J141)+N(J145)+N(J146)+N(J147)),0)</f>
        <v>6286</v>
      </c>
      <c r="K345" s="263">
        <f>IFERROR((N(K137)+N(K141)+N(K145)+N(K146)+N(K147)),0)</f>
        <v>6119</v>
      </c>
      <c r="L345" s="263">
        <f>IFERROR((N(L137)+N(L141)+N(L145)+N(L146)+N(L147)),0)</f>
        <v>-1552</v>
      </c>
      <c r="M345" s="263">
        <f>IFERROR((N(M137)+N(M141)+N(M145)+N(M146)+N(M147)),0)</f>
        <v>-1552</v>
      </c>
      <c r="N345" s="263">
        <f>IFERROR((N(N137)+N(N141)+N(N145)+N(N146)+N(N147)),0)</f>
        <v>6964</v>
      </c>
      <c r="O345" s="263">
        <f>IFERROR((N(O137)+N(O141)+N(O145)+N(O146)+N(O147)),0)</f>
        <v>6690</v>
      </c>
      <c r="P345" s="263">
        <f>IFERROR((N(P137)+N(P141)+N(P145)+N(P146)+N(P147)),0)</f>
        <v>6795</v>
      </c>
      <c r="Q345" s="263">
        <f>IFERROR((N(Q137)+N(Q141)+N(Q145)+N(Q146)+N(Q147)),0)</f>
        <v>-923</v>
      </c>
      <c r="R345" s="263">
        <f>IFERROR((N(R137)+N(R141)+N(R145)+N(R146)+N(R147)),0)</f>
        <v>-923</v>
      </c>
      <c r="S345" s="263">
        <f>IFERROR((N(S137)+N(S141)+N(S145)+N(S146)+N(S147)),0)</f>
        <v>7894</v>
      </c>
      <c r="T345" s="263">
        <f>IFERROR((N(T137)+N(T141)+N(T145)+N(T146)+N(T147)),0)</f>
        <v>7374</v>
      </c>
      <c r="U345" s="263">
        <f>IFERROR((N(U137)+N(U141)+N(U145)+N(U146)+N(U147)),0)</f>
        <v>8332</v>
      </c>
      <c r="V345" s="263">
        <f>IFERROR((N(V137)+N(V141)+N(V145)+N(V146)+N(V147)),0)</f>
        <v>3244</v>
      </c>
      <c r="W345" s="263">
        <f>IFERROR((N(W137)+N(W141)+N(W145)+N(W146)+N(W147)),0)</f>
        <v>3244</v>
      </c>
      <c r="X345" s="263">
        <f>IFERROR((N(X137)+N(X141)+N(X145)+N(X146)+N(X147)),0)</f>
        <v>9634</v>
      </c>
      <c r="Y345" s="263">
        <f>IFERROR((N(Y137)+N(Y141)+N(Y145)+N(Y146)+N(Y147)),0)</f>
        <v>9449</v>
      </c>
      <c r="Z345" s="263">
        <f>IFERROR((N(Z137)+N(Z141)+N(Z145)+N(Z146)+N(Z147)),0)</f>
        <v>9545</v>
      </c>
      <c r="AA345" s="263">
        <f>IFERROR((N(AA137)+N(AA141)+N(AA145)+N(AA146)+N(AA147)),0)</f>
        <v>4462</v>
      </c>
      <c r="AB345" s="263">
        <f>IFERROR((N(AB137)+N(AB141)+N(AB145)+N(AB146)+N(AB147)),0)</f>
        <v>4462</v>
      </c>
      <c r="AC345" s="263">
        <f>IFERROR((N(AC137)+N(AC141)+N(AC145)+N(AC146)+N(AC147)),0)</f>
        <v>9417</v>
      </c>
      <c r="AD345" s="263">
        <f>IFERROR((N(AD137)+N(AD141)+N(AD145)+N(AD146)+N(AD147)),0)</f>
        <v>9146</v>
      </c>
      <c r="AE345" s="263">
        <f>IFERROR((N(AE137)+N(AE141)+N(AE145)+N(AE146)+N(AE147)),0)</f>
        <v>9246</v>
      </c>
      <c r="AF345" s="263">
        <f>IFERROR((N(AF137)+N(AF141)+N(AF145)+N(AF146)+N(AF147)),0)</f>
        <v>5793</v>
      </c>
      <c r="AG345" s="263">
        <f>IFERROR((N(AG137)+N(AG141)+N(AG145)+N(AG146)+N(AG147)),0)</f>
        <v>5793</v>
      </c>
      <c r="AH345" s="263">
        <f>IFERROR((N(AH137)+N(AH141)+N(AH145)+N(AH146)+N(AH147)),0)</f>
        <v>10355</v>
      </c>
      <c r="AI345" s="263">
        <f>IFERROR((N(AI137)+N(AI141)+N(AI145)+N(AI146)+N(AI147)),0)</f>
        <v>10085</v>
      </c>
      <c r="AJ345" s="263">
        <f>IFERROR((N(AJ137)+N(AJ141)+N(AJ145)+N(AJ146)+N(AJ147)),0)</f>
        <v>10266.045050136</v>
      </c>
      <c r="AK345" s="263">
        <f>IFERROR((N(AK137)+N(AK141)+N(AK145)+N(AK146)+N(AK147)),0)</f>
        <v>10093.7640228652</v>
      </c>
      <c r="AL345" s="263">
        <f>IFERROR((N(AL137)+N(AL141)+N(AL145)+N(AL146)+N(AL147)),0)</f>
        <v>10093.7640228652</v>
      </c>
      <c r="AM345" s="263">
        <f>IFERROR((N(AM137)+N(AM141)+N(AM145)+N(AM146)+N(AM147)),0)</f>
        <v>10188.9153017058</v>
      </c>
      <c r="AN345" s="263">
        <f>IFERROR((N(AN137)+N(AN141)+N(AN145)+N(AN146)+N(AN147)),0)</f>
        <v>10283.3171248279</v>
      </c>
      <c r="AO345" s="263">
        <f>IFERROR((N(AO137)+N(AO141)+N(AO145)+N(AO146)+N(AO147)),0)</f>
        <v>10277.6778937888</v>
      </c>
      <c r="AP345" s="263">
        <f>IFERROR((N(AP137)+N(AP141)+N(AP145)+N(AP146)+N(AP147)),0)</f>
        <v>10103.1627331773</v>
      </c>
      <c r="AQ345" s="263">
        <f>IFERROR((N(AQ137)+N(AQ141)+N(AQ145)+N(AQ146)+N(AQ147)),0)</f>
        <v>10103.1627331773</v>
      </c>
      <c r="AR345" s="263">
        <f>IFERROR((N(AR137)+N(AR141)+N(AR145)+N(AR146)+N(AR147)),0)</f>
        <v>10186.3665033782</v>
      </c>
      <c r="AS345" s="263">
        <f>IFERROR((N(AS137)+N(AS141)+N(AS145)+N(AS146)+N(AS147)),0)</f>
        <v>10290.6023664173</v>
      </c>
      <c r="AT345" s="263">
        <f>IFERROR((N(AT137)+N(AT141)+N(AT145)+N(AT146)+N(AT147)),0)</f>
        <v>10284.918202215</v>
      </c>
      <c r="AU345" s="263">
        <f>IFERROR((N(AU137)+N(AU141)+N(AU145)+N(AU146)+N(AU147)),0)</f>
        <v>10109.0125119158</v>
      </c>
      <c r="AV345" s="263">
        <f>IFERROR((N(AV137)+N(AV141)+N(AV145)+N(AV146)+N(AV147)),0)</f>
        <v>10109.0125119158</v>
      </c>
      <c r="AW345" s="263">
        <f>IFERROR((N(AW137)+N(AW141)+N(AW145)+N(AW146)+N(AW147)),0)</f>
        <v>10197.9012184483</v>
      </c>
      <c r="AX345" s="263">
        <f>IFERROR((N(AX137)+N(AX141)+N(AX145)+N(AX146)+N(AX147)),0)</f>
        <v>10293.3376446827</v>
      </c>
      <c r="AY345" s="263">
        <f>IFERROR((N(AY137)+N(AY141)+N(AY145)+N(AY146)+N(AY147)),0)</f>
        <v>10287.6366101127</v>
      </c>
      <c r="AZ345" s="263">
        <f>IFERROR((N(AZ137)+N(AZ141)+N(AZ145)+N(AZ146)+N(AZ147)),0)</f>
        <v>10111.2088388934</v>
      </c>
      <c r="BA345" s="263">
        <f>IFERROR((N(BA137)+N(BA141)+N(BA145)+N(BA146)+N(BA147)),0)</f>
        <v>10111.2088388934</v>
      </c>
      <c r="BB345" s="263">
        <f>IFERROR((N(BB137)+N(BB141)+N(BB145)+N(BB146)+N(BB147)),0)</f>
        <v>10197.9012184483</v>
      </c>
      <c r="BC345" s="263">
        <f>IFERROR((N(BC137)+N(BC141)+N(BC145)+N(BC146)+N(BC147)),0)</f>
        <v>10293.3376446827</v>
      </c>
      <c r="BD345" s="263">
        <f>IFERROR((N(BD137)+N(BD141)+N(BD145)+N(BD146)+N(BD147)),0)</f>
        <v>10287.6366101127</v>
      </c>
      <c r="BE345" s="263">
        <f>IFERROR((N(BE137)+N(BE141)+N(BE145)+N(BE146)+N(BE147)),0)</f>
        <v>10111.2088388934</v>
      </c>
      <c r="BF345" s="263">
        <f>IFERROR((N(BF137)+N(BF141)+N(BF145)+N(BF146)+N(BF147)),0)</f>
        <v>10111.2088388934</v>
      </c>
      <c r="BG345" s="90" t="n"/>
      <c r="BH345" s="90" t="n"/>
      <c r="BI345" s="90" t="n"/>
      <c r="BJ345" s="90" t="n"/>
      <c r="BL345" s="90" t="n"/>
      <c r="BM345" s="90" t="n"/>
      <c r="BN345" s="90" t="n"/>
      <c r="BO345" s="90" t="n"/>
      <c r="BQ345" s="90" t="n"/>
      <c r="BR345" s="90" t="n"/>
      <c r="BS345" s="90" t="n"/>
      <c r="BT345" s="90" t="n"/>
      <c r="BV345" s="90" t="n"/>
      <c r="BW345" s="90" t="n"/>
      <c r="BX345" s="90" t="n"/>
      <c r="BY345" s="90" t="n"/>
      <c r="CA345" s="90" t="n"/>
      <c r="CB345" s="90" t="n"/>
      <c r="CC345" s="90" t="n"/>
      <c r="CD345" s="90" t="n"/>
      <c r="CF345" s="90" t="n"/>
      <c r="CG345" s="90" t="n"/>
      <c r="CH345" s="90" t="n"/>
      <c r="CI345" s="90" t="n"/>
      <c r="CK345" s="90" t="n"/>
      <c r="CL345" s="90" t="n"/>
      <c r="CM345" s="90" t="n"/>
      <c r="CN345" s="90" t="n"/>
      <c r="CP345" s="90" t="n"/>
      <c r="CQ345" s="90" t="n"/>
      <c r="CR345" s="90" t="n"/>
      <c r="CS345" s="90" t="n"/>
      <c r="CU345" s="90" t="n"/>
      <c r="CV345" s="90" t="n"/>
      <c r="CW345" s="90" t="n"/>
      <c r="CX345" s="90" t="n"/>
    </row>
    <row r="346" customFormat="1" s="77">
      <c r="A346" s="76" t="n"/>
      <c r="B346" s="76" t="n"/>
      <c r="C346" s="77" t="inlineStr">
        <is>
          <t>CURRENT LIABILITIES (OPERATING, EX DEBT)</t>
        </is>
      </c>
      <c r="D346" s="89">
        <f>IFERROR(D190+D194+D196+D197,"")</f>
        <v>0</v>
      </c>
      <c r="E346" s="89">
        <f>IFERROR(E190+E194+E196+E197,"")</f>
        <v>0</v>
      </c>
      <c r="F346" s="89">
        <f>IFERROR(F190+F194+F196+F197,"")</f>
        <v>0</v>
      </c>
      <c r="G346" s="89">
        <f>IFERROR(G190+G194+G196+G197,"")</f>
        <v>0</v>
      </c>
      <c r="H346" s="263">
        <f>IFERROR((N(H190)+N(H194)+N(H196)+N(H197)),0)</f>
        <v>0</v>
      </c>
      <c r="I346" s="263">
        <f>IFERROR((N(I190)+N(I194)+N(I196)+N(I197)),0)</f>
        <v>3955</v>
      </c>
      <c r="J346" s="263">
        <f>IFERROR((N(J190)+N(J194)+N(J196)+N(J197)),0)</f>
        <v>4470</v>
      </c>
      <c r="K346" s="263">
        <f>IFERROR((N(K190)+N(K194)+N(K196)+N(K197)),0)</f>
        <v>4626</v>
      </c>
      <c r="L346" s="263">
        <f>IFERROR((N(L190)+N(L194)+N(L196)+N(L197)),0)</f>
        <v>5520</v>
      </c>
      <c r="M346" s="263">
        <f>IFERROR((N(M190)+N(M194)+N(M196)+N(M197)),0)</f>
        <v>5520</v>
      </c>
      <c r="N346" s="263">
        <f>IFERROR((N(N190)+N(N194)+N(N196)+N(N197)),0)</f>
        <v>5089</v>
      </c>
      <c r="O346" s="263">
        <f>IFERROR((N(O190)+N(O194)+N(O196)+N(O197)),0)</f>
        <v>4894</v>
      </c>
      <c r="P346" s="263">
        <f>IFERROR((N(P190)+N(P194)+N(P196)+N(P197)),0)</f>
        <v>4967</v>
      </c>
      <c r="Q346" s="263">
        <f>IFERROR((N(Q190)+N(Q194)+N(Q196)+N(Q197)),0)</f>
        <v>5308</v>
      </c>
      <c r="R346" s="263">
        <f>IFERROR((N(R190)+N(R194)+N(R196)+N(R197)),0)</f>
        <v>5308</v>
      </c>
      <c r="S346" s="263">
        <f>IFERROR((N(S190)+N(S194)+N(S196)+N(S197)),0)</f>
        <v>5232</v>
      </c>
      <c r="T346" s="263">
        <f>IFERROR((N(T190)+N(T194)+N(T196)+N(T197)),0)</f>
        <v>4751</v>
      </c>
      <c r="U346" s="263">
        <f>IFERROR((N(U190)+N(U194)+N(U196)+N(U197)),0)</f>
        <v>4825</v>
      </c>
      <c r="V346" s="263">
        <f>IFERROR((N(V190)+N(V194)+N(V196)+N(V197)),0)</f>
        <v>5049</v>
      </c>
      <c r="W346" s="263">
        <f>IFERROR((N(W190)+N(W194)+N(W196)+N(W197)),0)</f>
        <v>5049</v>
      </c>
      <c r="X346" s="263">
        <f>IFERROR((N(X190)+N(X194)+N(X196)+N(X197)),0)</f>
        <v>5536</v>
      </c>
      <c r="Y346" s="263">
        <f>IFERROR((N(Y190)+N(Y194)+N(Y196)+N(Y197)),0)</f>
        <v>5368</v>
      </c>
      <c r="Z346" s="263">
        <f>IFERROR((N(Z190)+N(Z194)+N(Z196)+N(Z197)),0)</f>
        <v>5478</v>
      </c>
      <c r="AA346" s="263">
        <f>IFERROR((N(AA190)+N(AA194)+N(AA196)+N(AA197)),0)</f>
        <v>5455</v>
      </c>
      <c r="AB346" s="263">
        <f>IFERROR((N(AB190)+N(AB194)+N(AB196)+N(AB197)),0)</f>
        <v>5455</v>
      </c>
      <c r="AC346" s="263">
        <f>IFERROR((N(AC190)+N(AC194)+N(AC196)+N(AC197)),0)</f>
        <v>5448</v>
      </c>
      <c r="AD346" s="263">
        <f>IFERROR((N(AD190)+N(AD194)+N(AD196)+N(AD197)),0)</f>
        <v>5193</v>
      </c>
      <c r="AE346" s="263">
        <f>IFERROR((N(AE190)+N(AE194)+N(AE196)+N(AE197)),0)</f>
        <v>5143</v>
      </c>
      <c r="AF346" s="263">
        <f>IFERROR((N(AF190)+N(AF194)+N(AF196)+N(AF197)),0)</f>
        <v>5553</v>
      </c>
      <c r="AG346" s="263">
        <f>IFERROR((N(AG190)+N(AG194)+N(AG196)+N(AG197)),0)</f>
        <v>5553</v>
      </c>
      <c r="AH346" s="263">
        <f>IFERROR((N(AH190)+N(AH194)+N(AH196)+N(AH197)),0)</f>
        <v>5407</v>
      </c>
      <c r="AI346" s="263">
        <f>IFERROR((N(AI190)+N(AI194)+N(AI196)+N(AI197)),0)</f>
        <v>5636</v>
      </c>
      <c r="AJ346" s="263">
        <f>IFERROR((N(AJ190)+N(AJ194)+N(AJ196)+N(AJ197)),0)</f>
        <v>5694.92721474834</v>
      </c>
      <c r="AK346" s="263">
        <f>IFERROR((N(AK190)+N(AK194)+N(AK196)+N(AK197)),0)</f>
        <v>4811.57288173383</v>
      </c>
      <c r="AL346" s="263">
        <f>IFERROR((N(AL190)+N(AL194)+N(AL196)+N(AL197)),0)</f>
        <v>4811.57288173383</v>
      </c>
      <c r="AM346" s="263">
        <f>IFERROR((N(AM190)+N(AM194)+N(AM196)+N(AM197)),0)</f>
        <v>5309.91772850388</v>
      </c>
      <c r="AN346" s="263">
        <f>IFERROR((N(AN190)+N(AN194)+N(AN196)+N(AN197)),0)</f>
        <v>5804.47855873243</v>
      </c>
      <c r="AO346" s="263">
        <f>IFERROR((N(AO190)+N(AO194)+N(AO196)+N(AO197)),0)</f>
        <v>5782.29488462939</v>
      </c>
      <c r="AP346" s="263">
        <f>IFERROR((N(AP190)+N(AP194)+N(AP196)+N(AP197)),0)</f>
        <v>4887.75217621624</v>
      </c>
      <c r="AQ346" s="263">
        <f>IFERROR((N(AQ190)+N(AQ194)+N(AQ196)+N(AQ197)),0)</f>
        <v>4887.75217621624</v>
      </c>
      <c r="AR346" s="263">
        <f>IFERROR((N(AR190)+N(AR194)+N(AR196)+N(AR197)),0)</f>
        <v>5321.98230729325</v>
      </c>
      <c r="AS346" s="263">
        <f>IFERROR((N(AS190)+N(AS194)+N(AS196)+N(AS197)),0)</f>
        <v>5864.90363970599</v>
      </c>
      <c r="AT346" s="263">
        <f>IFERROR((N(AT190)+N(AT194)+N(AT196)+N(AT197)),0)</f>
        <v>5839.9898008316</v>
      </c>
      <c r="AU346" s="263">
        <f>IFERROR((N(AU190)+N(AU194)+N(AU196)+N(AU197)),0)</f>
        <v>4935.71063510249</v>
      </c>
      <c r="AV346" s="263">
        <f>IFERROR((N(AV190)+N(AV194)+N(AV196)+N(AV197)),0)</f>
        <v>4935.71063510249</v>
      </c>
      <c r="AW346" s="263">
        <f>IFERROR((N(AW190)+N(AW194)+N(AW196)+N(AW197)),0)</f>
        <v>5396.61345354871</v>
      </c>
      <c r="AX346" s="263">
        <f>IFERROR((N(AX190)+N(AX194)+N(AX196)+N(AX197)),0)</f>
        <v>5891.34819220825</v>
      </c>
      <c r="AY346" s="263">
        <f>IFERROR((N(AY190)+N(AY194)+N(AY196)+N(AY197)),0)</f>
        <v>5863.59019958442</v>
      </c>
      <c r="AZ346" s="263">
        <f>IFERROR((N(AZ190)+N(AZ194)+N(AZ196)+N(AZ197)),0)</f>
        <v>4953.82641287391</v>
      </c>
      <c r="BA346" s="263">
        <f>IFERROR((N(BA190)+N(BA194)+N(BA196)+N(BA197)),0)</f>
        <v>4953.82641287391</v>
      </c>
      <c r="BB346" s="263">
        <f>IFERROR((N(BB190)+N(BB194)+N(BB196)+N(BB197)),0)</f>
        <v>5401.69778109024</v>
      </c>
      <c r="BC346" s="263">
        <f>IFERROR((N(BC190)+N(BC194)+N(BC196)+N(BC197)),0)</f>
        <v>5894.7427639904</v>
      </c>
      <c r="BD346" s="263">
        <f>IFERROR((N(BD190)+N(BD194)+N(BD196)+N(BD197)),0)</f>
        <v>5865.29000048096</v>
      </c>
      <c r="BE346" s="263">
        <f>IFERROR((N(BE190)+N(BE194)+N(BE196)+N(BE197)),0)</f>
        <v>4953.82641287391</v>
      </c>
      <c r="BF346" s="263">
        <f>IFERROR((N(BF190)+N(BF194)+N(BF196)+N(BF197)),0)</f>
        <v>4953.82641287391</v>
      </c>
      <c r="BG346" s="90" t="n"/>
      <c r="BH346" s="90" t="n"/>
      <c r="BI346" s="90" t="n"/>
      <c r="BJ346" s="90" t="n"/>
      <c r="BL346" s="90" t="n"/>
      <c r="BM346" s="90" t="n"/>
      <c r="BN346" s="90" t="n"/>
      <c r="BO346" s="90" t="n"/>
      <c r="BQ346" s="90" t="n"/>
      <c r="BR346" s="90" t="n"/>
      <c r="BS346" s="90" t="n"/>
      <c r="BT346" s="90" t="n"/>
      <c r="BV346" s="90" t="n"/>
      <c r="BW346" s="90" t="n"/>
      <c r="BX346" s="90" t="n"/>
      <c r="BY346" s="90" t="n"/>
      <c r="CA346" s="90" t="n"/>
      <c r="CB346" s="90" t="n"/>
      <c r="CC346" s="90" t="n"/>
      <c r="CD346" s="90" t="n"/>
      <c r="CF346" s="90" t="n"/>
      <c r="CG346" s="90" t="n"/>
      <c r="CH346" s="90" t="n"/>
      <c r="CI346" s="90" t="n"/>
      <c r="CK346" s="90" t="n"/>
      <c r="CL346" s="90" t="n"/>
      <c r="CM346" s="90" t="n"/>
      <c r="CN346" s="90" t="n"/>
      <c r="CP346" s="90" t="n"/>
      <c r="CQ346" s="90" t="n"/>
      <c r="CR346" s="90" t="n"/>
      <c r="CS346" s="90" t="n"/>
      <c r="CU346" s="90" t="n"/>
      <c r="CV346" s="90" t="n"/>
      <c r="CW346" s="90" t="n"/>
      <c r="CX346" s="90" t="n"/>
    </row>
    <row r="347" customFormat="1" s="77">
      <c r="A347" s="76" t="n"/>
      <c r="B347" s="76" t="n"/>
      <c r="C347" s="77" t="inlineStr">
        <is>
          <t>FIXED ASSETS</t>
        </is>
      </c>
      <c r="D347" s="89">
        <f>IFERROR(D158+D168+D171+D172+D181-D232,"")</f>
        <v>0</v>
      </c>
      <c r="E347" s="89">
        <f>IFERROR(E158+E168+E171+E172+E181-E232,"")</f>
        <v>0</v>
      </c>
      <c r="F347" s="89">
        <f>IFERROR(F158+F168+F171+F172+F181-F232,"")</f>
        <v>0</v>
      </c>
      <c r="G347" s="89">
        <f>IFERROR(G158+G168+G171+G172+G181-G232,"")</f>
        <v>0</v>
      </c>
      <c r="H347" s="263">
        <f>IFERROR((N(H158)+N(H168)+N(H171)+N(H172)+N(H181))-N(H232),0)</f>
        <v>0</v>
      </c>
      <c r="I347" s="263">
        <f>IFERROR((N(I158)+N(I168)+N(I171)+N(I172)+N(I181))-N(I232),0)</f>
        <v>26927</v>
      </c>
      <c r="J347" s="263">
        <f>IFERROR((N(J158)+N(J168)+N(J171)+N(J172)+N(J181))-N(J232),0)</f>
        <v>26987</v>
      </c>
      <c r="K347" s="263">
        <f>IFERROR((N(K158)+N(K168)+N(K171)+N(K172)+N(K181))-N(K232),0)</f>
        <v>27531</v>
      </c>
      <c r="L347" s="263">
        <f>IFERROR((N(L158)+N(L168)+N(L171)+N(L172)+N(L181))-N(L232),0)</f>
        <v>27393</v>
      </c>
      <c r="M347" s="263">
        <f>IFERROR((N(M158)+N(M168)+N(M171)+N(M172)+N(M181))-N(M232),0)</f>
        <v>27393</v>
      </c>
      <c r="N347" s="263">
        <f>IFERROR((N(N158)+N(N168)+N(N171)+N(N172)+N(N181))-N(N232),0)</f>
        <v>27732</v>
      </c>
      <c r="O347" s="263">
        <f>IFERROR((N(O158)+N(O168)+N(O171)+N(O172)+N(O181))-N(O232),0)</f>
        <v>28148</v>
      </c>
      <c r="P347" s="263">
        <f>IFERROR((N(P158)+N(P168)+N(P171)+N(P172)+N(P181))-N(P232),0)</f>
        <v>28781</v>
      </c>
      <c r="Q347" s="263">
        <f>IFERROR((N(Q158)+N(Q168)+N(Q171)+N(Q172)+N(Q181))-N(Q232),0)</f>
        <v>29455</v>
      </c>
      <c r="R347" s="263">
        <f>IFERROR((N(R158)+N(R168)+N(R171)+N(R172)+N(R181))-N(R232),0)</f>
        <v>29455</v>
      </c>
      <c r="S347" s="263">
        <f>IFERROR((N(S158)+N(S168)+N(S171)+N(S172)+N(S181))-N(S232),0)</f>
        <v>30074</v>
      </c>
      <c r="T347" s="263">
        <f>IFERROR((N(T158)+N(T168)+N(T171)+N(T172)+N(T181))-N(T232),0)</f>
        <v>30559</v>
      </c>
      <c r="U347" s="263">
        <f>IFERROR((N(U158)+N(U168)+N(U171)+N(U172)+N(U181))-N(U232),0)</f>
        <v>31229</v>
      </c>
      <c r="V347" s="263">
        <f>IFERROR((N(V158)+N(V168)+N(V171)+N(V172)+N(V181))-N(V232),0)</f>
        <v>32169</v>
      </c>
      <c r="W347" s="263">
        <f>IFERROR((N(W158)+N(W168)+N(W171)+N(W172)+N(W181))-N(W232),0)</f>
        <v>32169</v>
      </c>
      <c r="X347" s="263">
        <f>IFERROR((N(X158)+N(X168)+N(X171)+N(X172)+N(X181))-N(X232),0)</f>
        <v>32724</v>
      </c>
      <c r="Y347" s="263">
        <f>IFERROR((N(Y158)+N(Y168)+N(Y171)+N(Y172)+N(Y181))-N(Y232),0)</f>
        <v>33249</v>
      </c>
      <c r="Z347" s="263">
        <f>IFERROR((N(Z158)+N(Z168)+N(Z171)+N(Z172)+N(Z181))-N(Z232),0)</f>
        <v>33970</v>
      </c>
      <c r="AA347" s="263">
        <f>IFERROR((N(AA158)+N(AA168)+N(AA171)+N(AA172)+N(AA181))-N(AA232),0)</f>
        <v>34261</v>
      </c>
      <c r="AB347" s="263">
        <f>IFERROR((N(AB158)+N(AB168)+N(AB171)+N(AB172)+N(AB181))-N(AB232),0)</f>
        <v>34261</v>
      </c>
      <c r="AC347" s="263">
        <f>IFERROR((N(AC158)+N(AC168)+N(AC171)+N(AC172)+N(AC181))-N(AC232),0)</f>
        <v>34666</v>
      </c>
      <c r="AD347" s="263">
        <f>IFERROR((N(AD158)+N(AD168)+N(AD171)+N(AD172)+N(AD181))-N(AD232),0)</f>
        <v>35214</v>
      </c>
      <c r="AE347" s="263">
        <f>IFERROR((N(AE158)+N(AE168)+N(AE171)+N(AE172)+N(AE181))-N(AE232),0)</f>
        <v>35633</v>
      </c>
      <c r="AF347" s="263">
        <f>IFERROR((N(AF158)+N(AF168)+N(AF171)+N(AF172)+N(AF181))-N(AF232),0)</f>
        <v>37540</v>
      </c>
      <c r="AG347" s="263">
        <f>IFERROR((N(AG158)+N(AG168)+N(AG171)+N(AG172)+N(AG181))-N(AG232),0)</f>
        <v>37540</v>
      </c>
      <c r="AH347" s="263">
        <f>IFERROR((N(AH158)+N(AH168)+N(AH171)+N(AH172)+N(AH181))-N(AH232),0)</f>
        <v>37868</v>
      </c>
      <c r="AI347" s="263">
        <f>IFERROR((N(AI158)+N(AI168)+N(AI171)+N(AI172)+N(AI181))-N(AI232),0)</f>
        <v>38710</v>
      </c>
      <c r="AJ347" s="263">
        <f>IFERROR((N(AJ158)+N(AJ168)+N(AJ171)+N(AJ172)+N(AJ181))-N(AJ232),0)</f>
        <v>39285.715156678</v>
      </c>
      <c r="AK347" s="263">
        <f>IFERROR((N(AK158)+N(AK168)+N(AK171)+N(AK172)+N(AK181))-N(AK232),0)</f>
        <v>39750.8619549521</v>
      </c>
      <c r="AL347" s="263">
        <f>IFERROR((N(AL158)+N(AL168)+N(AL171)+N(AL172)+N(AL181))-N(AL232),0)</f>
        <v>39750.8619549521</v>
      </c>
      <c r="AM347" s="263">
        <f>IFERROR((N(AM158)+N(AM168)+N(AM171)+N(AM172)+N(AM181))-N(AM232),0)</f>
        <v>40265.6365227562</v>
      </c>
      <c r="AN347" s="263">
        <f>IFERROR((N(AN158)+N(AN168)+N(AN171)+N(AN172)+N(AN181))-N(AN232),0)</f>
        <v>40846.0584728838</v>
      </c>
      <c r="AO347" s="263">
        <f>IFERROR((N(AO158)+N(AO168)+N(AO171)+N(AO172)+N(AO181))-N(AO232),0)</f>
        <v>41429.2394802513</v>
      </c>
      <c r="AP347" s="263">
        <f>IFERROR((N(AP158)+N(AP168)+N(AP171)+N(AP172)+N(AP181))-N(AP232),0)</f>
        <v>41900.4182832493</v>
      </c>
      <c r="AQ347" s="263">
        <f>IFERROR((N(AQ158)+N(AQ168)+N(AQ171)+N(AQ172)+N(AQ181))-N(AQ232),0)</f>
        <v>41900.4182832493</v>
      </c>
      <c r="AR347" s="263">
        <f>IFERROR((N(AR158)+N(AR168)+N(AR171)+N(AR172)+N(AR181))-N(AR232),0)</f>
        <v>42419.294553831</v>
      </c>
      <c r="AS347" s="263">
        <f>IFERROR((N(AS158)+N(AS168)+N(AS171)+N(AS172)+N(AS181))-N(AS232),0)</f>
        <v>43004.3412824032</v>
      </c>
      <c r="AT347" s="263">
        <f>IFERROR((N(AT158)+N(AT168)+N(AT171)+N(AT172)+N(AT181))-N(AT232),0)</f>
        <v>43592.1690522711</v>
      </c>
      <c r="AU347" s="263">
        <f>IFERROR((N(AU158)+N(AU168)+N(AU171)+N(AU172)+N(AU181))-N(AU232),0)</f>
        <v>44067.1021887693</v>
      </c>
      <c r="AV347" s="263">
        <f>IFERROR((N(AV158)+N(AV168)+N(AV171)+N(AV172)+N(AV181))-N(AV232),0)</f>
        <v>44067.1021887693</v>
      </c>
      <c r="AW347" s="263">
        <f>IFERROR((N(AW158)+N(AW168)+N(AW171)+N(AW172)+N(AW181))-N(AW232),0)</f>
        <v>44587.5184629763</v>
      </c>
      <c r="AX347" s="263">
        <f>IFERROR((N(AX158)+N(AX168)+N(AX171)+N(AX172)+N(AX181))-N(AX232),0)</f>
        <v>45174.3015863964</v>
      </c>
      <c r="AY347" s="263">
        <f>IFERROR((N(AY158)+N(AY168)+N(AY171)+N(AY172)+N(AY181))-N(AY232),0)</f>
        <v>45763.8740051294</v>
      </c>
      <c r="AZ347" s="263">
        <f>IFERROR((N(AZ158)+N(AZ168)+N(AZ171)+N(AZ172)+N(AZ181))-N(AZ232),0)</f>
        <v>46240.2167238218</v>
      </c>
      <c r="BA347" s="263">
        <f>IFERROR((N(BA158)+N(BA168)+N(BA171)+N(BA172)+N(BA181))-N(BA232),0)</f>
        <v>46240.2167238218</v>
      </c>
      <c r="BB347" s="263">
        <f>IFERROR((N(BB158)+N(BB168)+N(BB171)+N(BB172)+N(BB181))-N(BB232),0)</f>
        <v>46760.6329980288</v>
      </c>
      <c r="BC347" s="263">
        <f>IFERROR((N(BC158)+N(BC168)+N(BC171)+N(BC172)+N(BC181))-N(BC232),0)</f>
        <v>47347.4161214489</v>
      </c>
      <c r="BD347" s="263">
        <f>IFERROR((N(BD158)+N(BD168)+N(BD171)+N(BD172)+N(BD181))-N(BD232),0)</f>
        <v>47936.9885401819</v>
      </c>
      <c r="BE347" s="263">
        <f>IFERROR((N(BE158)+N(BE168)+N(BE171)+N(BE172)+N(BE181))-N(BE232),0)</f>
        <v>48413.3312588743</v>
      </c>
      <c r="BF347" s="263">
        <f>IFERROR((N(BF158)+N(BF168)+N(BF171)+N(BF172)+N(BF181))-N(BF232),0)</f>
        <v>48413.3312588743</v>
      </c>
      <c r="BG347" s="90" t="n"/>
      <c r="BH347" s="90" t="n"/>
      <c r="BI347" s="90" t="n"/>
      <c r="BJ347" s="90" t="n"/>
      <c r="BL347" s="90" t="n"/>
      <c r="BM347" s="90" t="n"/>
      <c r="BN347" s="90" t="n"/>
      <c r="BO347" s="90" t="n"/>
      <c r="BQ347" s="90" t="n"/>
      <c r="BR347" s="90" t="n"/>
      <c r="BS347" s="90" t="n"/>
      <c r="BT347" s="90" t="n"/>
      <c r="BV347" s="90" t="n"/>
      <c r="BW347" s="90" t="n"/>
      <c r="BX347" s="90" t="n"/>
      <c r="BY347" s="90" t="n"/>
      <c r="CA347" s="90" t="n"/>
      <c r="CB347" s="90" t="n"/>
      <c r="CC347" s="90" t="n"/>
      <c r="CD347" s="90" t="n"/>
      <c r="CF347" s="90" t="n"/>
      <c r="CG347" s="90" t="n"/>
      <c r="CH347" s="90" t="n"/>
      <c r="CI347" s="90" t="n"/>
      <c r="CK347" s="90" t="n"/>
      <c r="CL347" s="90" t="n"/>
      <c r="CM347" s="90" t="n"/>
      <c r="CN347" s="90" t="n"/>
      <c r="CP347" s="90" t="n"/>
      <c r="CQ347" s="90" t="n"/>
      <c r="CR347" s="90" t="n"/>
      <c r="CS347" s="90" t="n"/>
      <c r="CU347" s="90" t="n"/>
      <c r="CV347" s="90" t="n"/>
      <c r="CW347" s="90" t="n"/>
      <c r="CX347" s="90" t="n"/>
    </row>
    <row r="348" customFormat="1" s="77">
      <c r="A348" s="76" t="n"/>
      <c r="B348" s="76" t="n"/>
    </row>
    <row r="349" customFormat="1" s="77">
      <c r="A349" s="76" t="n"/>
      <c r="B349" s="76" t="n"/>
    </row>
    <row r="350" customFormat="1" s="77">
      <c r="A350" s="76" t="n"/>
      <c r="B350" s="76" t="n"/>
    </row>
    <row r="351" customFormat="1" s="77">
      <c r="A351" s="76" t="n"/>
      <c r="B351" s="76" t="n"/>
    </row>
    <row r="352" customFormat="1" s="77">
      <c r="A352" s="76" t="n"/>
      <c r="B352" s="76" t="n"/>
    </row>
    <row r="353" customFormat="1" s="77">
      <c r="A353" s="76" t="n"/>
      <c r="B353" s="76" t="n"/>
    </row>
    <row r="354" customFormat="1" s="77">
      <c r="A354" s="76" t="n"/>
      <c r="B354" s="76" t="n"/>
    </row>
    <row r="355" customFormat="1" s="77">
      <c r="A355" s="76" t="n"/>
      <c r="B355" s="76" t="n"/>
      <c r="C355" s="74" t="inlineStr">
        <is>
          <t>DUPONT ANALYSIS</t>
        </is>
      </c>
    </row>
    <row r="356" customFormat="1" s="77">
      <c r="A356" s="76" t="n"/>
      <c r="B356" s="76" t="n"/>
      <c r="C356" s="77" t="inlineStr">
        <is>
          <t>NET PROFIT MARGIN (LTM)</t>
        </is>
      </c>
      <c r="D356" s="84" t="str">
        <f>IFERROR(D129/D15,"")</f>
        <v/>
      </c>
      <c r="E356" s="84" t="str">
        <f>IFERROR(E129/E15,"")</f>
        <v/>
      </c>
      <c r="F356" s="84" t="str">
        <f>IFERROR(F129/F15,"")</f>
        <v/>
      </c>
      <c r="G356" s="84" t="str">
        <f>IFERROR(G129/G15,"")</f>
        <v/>
      </c>
      <c r="H356" s="258" t="str">
        <f>IFERROR(IF(AND(COUNT(H129)=1,(H15)&lt;&gt;0),(H129)/(H15),""),"")</f>
        <v/>
      </c>
      <c r="I356" s="257" t="str">
        <f>""</f>
        <v/>
      </c>
      <c r="J356" s="257" t="str">
        <f>""</f>
        <v/>
      </c>
      <c r="K356" s="257" t="str">
        <f>""</f>
        <v/>
      </c>
      <c r="L356" s="257">
        <f>IFERROR(IF(AND(COUNT(I129,J129,K129,L129)=4,(I15+J15+K15+L15)&lt;&gt;0),(I129+J129+K129+L129)/(I15+J15+K15+L15),""),"")</f>
        <v>0.188487634055592</v>
      </c>
      <c r="M356" s="258">
        <f>IFERROR(IF(AND(COUNT(I129,J129,K129,L129)=4,(I15+J15+K15+L15)&lt;&gt;0),(I129+J129+K129+L129)/(I15+J15+K15+L15),""),"")</f>
        <v>0.188487634055592</v>
      </c>
      <c r="N356" s="257">
        <f>IFERROR(IF(AND(COUNT(J129,K129,L129,N129)=4,(J15+K15+L15+N15)&lt;&gt;0),(J129+K129+L129+N129)/(J15+K15+L15+N15),""),"")</f>
        <v>0.20794373526303</v>
      </c>
      <c r="O356" s="257">
        <f>IFERROR(IF(AND(COUNT(K129,L129,N129,O129)=4,(K15+L15+N15+O15)&lt;&gt;0),(K129+L129+N129+O129)/(K15+L15+N15+O15),""),"")</f>
        <v>0.200774746558971</v>
      </c>
      <c r="P356" s="257">
        <f>IFERROR(IF(AND(COUNT(L129,N129,O129,P129)=4,(L15+N15+O15+P15)&lt;&gt;0),(L129+N129+O129+P129)/(L15+N15+O15+P15),""),"")</f>
        <v>0.167212973345985</v>
      </c>
      <c r="Q356" s="257">
        <f>IFERROR(IF(AND(COUNT(N129,O129,P129,Q129)=4,(N15+O15+P15+Q15)&lt;&gt;0),(N129+O129+P129+Q129)/(N15+O15+P15+Q15),""),"")</f>
        <v>0.152238805970149</v>
      </c>
      <c r="R356" s="258">
        <f>IFERROR(IF(AND(COUNT(N129,O129,P129,Q129)=4,(N15+O15+P15+Q15)&lt;&gt;0),(N129+O129+P129+Q129)/(N15+O15+P15+Q15),""),"")</f>
        <v>0.152238805970149</v>
      </c>
      <c r="S356" s="257">
        <f>IFERROR(IF(AND(COUNT(O129,P129,Q129,S129)=4,(O15+P15+Q15+S15)&lt;&gt;0),(O129+P129+Q129+S129)/(O15+P15+Q15+S15),""),"")</f>
        <v>0.120745618102569</v>
      </c>
      <c r="T356" s="257">
        <f>IFERROR(IF(AND(COUNT(P129,Q129,S129,T129)=4,(P15+Q15+S15+T15)&lt;&gt;0),(P129+Q129+S129+T129)/(P15+Q15+S15+T15),""),"")</f>
        <v>0.0962671905697446</v>
      </c>
      <c r="U356" s="257">
        <f>IFERROR(IF(AND(COUNT(Q129,S129,T129,U129)=4,(Q15+S15+T15+U15)&lt;&gt;0),(Q129+S129+T129+U129)/(Q15+S15+T15+U15),""),"")</f>
        <v>0.0949885502906465</v>
      </c>
      <c r="V356" s="257">
        <f>IFERROR(IF(AND(COUNT(S129,T129,U129,V129)=4,(S15+T15+U15+V15)&lt;&gt;0),(S129+T129+U129+V129)/(S15+T15+U15+V15),""),"")</f>
        <v>0.0808575803981623</v>
      </c>
      <c r="W356" s="258">
        <f>IFERROR(IF(AND(COUNT(S129,T129,U129,V129)=4,(S15+T15+U15+V15)&lt;&gt;0),(S129+T129+U129+V129)/(S15+T15+U15+V15),""),"")</f>
        <v>0.0808575803981623</v>
      </c>
      <c r="X356" s="257">
        <f>IFERROR(IF(AND(COUNT(T129,U129,V129,X129)=4,(T15+U15+V15+X15)&lt;&gt;0),(T129+U129+V129+X129)/(T15+U15+V15+X15),""),"")</f>
        <v>0.0697019380333796</v>
      </c>
      <c r="Y356" s="257">
        <f>IFERROR(IF(AND(COUNT(U129,V129,X129,Y129)=4,(U15+V15+X15+Y15)&lt;&gt;0),(U129+V129+X129+Y129)/(U15+V15+X15+Y15),""),"")</f>
        <v>0.0782605171435519</v>
      </c>
      <c r="Z356" s="257">
        <f>IFERROR(IF(AND(COUNT(V129,X129,Y129,Z129)=4,(V15+X15+Y15+Z15)&lt;&gt;0),(V129+X129+Y129+Z129)/(V15+X15+Y15+Z15),""),"")</f>
        <v>0.0781201248049922</v>
      </c>
      <c r="AA356" s="257">
        <f>IFERROR(IF(AND(COUNT(X129,Y129,Z129,AA129)=4,(X15+Y15+Z15+AA15)&lt;&gt;0),(X129+Y129+Z129+AA129)/(X15+Y15+Z15+AA15),""),"")</f>
        <v>0.0742093891180515</v>
      </c>
      <c r="AB356" s="258">
        <f>IFERROR(IF(AND(COUNT(X129,Y129,Z129,AA129)=4,(X15+Y15+Z15+AA15)&lt;&gt;0),(X129+Y129+Z129+AA129)/(X15+Y15+Z15+AA15),""),"")</f>
        <v>0.0742093891180515</v>
      </c>
      <c r="AC356" s="257">
        <f>IFERROR(IF(AND(COUNT(Y129,Z129,AA129,AC129)=4,(Y15+Z15+AA15+AC15)&lt;&gt;0),(Y129+Z129+AA129+AC129)/(Y15+Z15+AA15+AC15),""),"")</f>
        <v>0.0711125412275762</v>
      </c>
      <c r="AD356" s="257">
        <f>IFERROR(IF(AND(COUNT(Z129,AA129,AC129,AD129)=4,(Z15+AA15+AC15+AD15)&lt;&gt;0),(Z129+AA129+AC129+AD129)/(Z15+AA15+AC15+AD15),""),"")</f>
        <v>0.0745158791634392</v>
      </c>
      <c r="AE356" s="257">
        <f>IFERROR(IF(AND(COUNT(AA129,AC129,AD129,AE129)=4,(AA15+AC15+AD15+AE15)&lt;&gt;0),(AA129+AC129+AD129+AE129)/(AA15+AC15+AD15+AE15),""),"")</f>
        <v>0.0796861779863087</v>
      </c>
      <c r="AF356" s="257">
        <f>IFERROR(IF(AND(COUNT(AB129,AD129,AE129,AF129)=4,(AB15+AD15+AE15+AF15)&lt;&gt;0),(AB129+AD129+AE129+AF129)/(AB15+AD15+AE15+AF15),""),"")</f>
        <v>0.0819639805442356</v>
      </c>
      <c r="AG356" s="258">
        <f>IFERROR(IF(AND(COUNT(AC129,AD129,AE129,AF129)=4,(AC15+AD15+AE15+AF15)&lt;&gt;0),(AC129+AD129+AE129+AF129)/(AC15+AD15+AE15+AF15),""),"")</f>
        <v>0.0850472699208952</v>
      </c>
      <c r="AH356" s="257">
        <f>IFERROR(IF(AND(COUNT(AD129,AF129,AG129,AH129)=4,(AD15+AF15+AG15+AH15)&lt;&gt;0),(AD129+AF129+AG129+AH129)/(AD15+AF15+AG15+AH15),""),"")</f>
        <v>0.0939731946036505</v>
      </c>
      <c r="AI356" s="257">
        <f>IFERROR(IF(AND(COUNT(AE129,AG129,AH129,AI129)=4,(AE15+AG15+AH15+AI15)&lt;&gt;0),(AE129+AG129+AH129+AI129)/(AE15+AG15+AH15+AI15),""),"")</f>
        <v>0.102773564463705</v>
      </c>
      <c r="AJ356" s="257">
        <f>IFERROR(IF(AND(COUNT(AF129,AH129,AI129,AJ129)=4,(AF15+AH15+AI15+AJ15)&lt;&gt;0),(AF129+AH129+AI129+AJ129)/(AF15+AH15+AI15+AJ15),""),"")</f>
        <v>0.134951271004312</v>
      </c>
      <c r="AK356" s="257">
        <f>IFERROR(IF(AND(COUNT(AH129,AI129,AJ129,AK129)=4,(AH15+AI15+AJ15+AK15)&lt;&gt;0),(AH129+AI129+AJ129+AK129)/(AH15+AI15+AJ15+AK15),""),"")</f>
        <v>0.157217756370671</v>
      </c>
      <c r="AL356" s="258">
        <f>IFERROR(IF(AND(COUNT(AH129,AI129,AJ129,AK129)=4,(AH15+AI15+AJ15+AK15)&lt;&gt;0),(AH129+AI129+AJ129+AK129)/(AH15+AI15+AJ15+AK15),""),"")</f>
        <v>0.157217756370671</v>
      </c>
      <c r="AM356" s="257">
        <f>IFERROR(IF(AND(COUNT(AI129,AJ129,AK129,AM129)=4,(AI15+AJ15+AK15+AM15)&lt;&gt;0),(AI129+AJ129+AK129+AM129)/(AI15+AJ15+AK15+AM15),""),"")</f>
        <v>0.16518291022556</v>
      </c>
      <c r="AN356" s="257">
        <f>IFERROR(IF(AND(COUNT(AJ129,AK129,AM129,AN129)=4,(AJ15+AK15+AM15+AN15)&lt;&gt;0),(AJ129+AK129+AM129+AN129)/(AJ15+AK15+AM15+AN15),""),"")</f>
        <v>0.174461737502475</v>
      </c>
      <c r="AO356" s="257">
        <f>IFERROR(IF(AND(COUNT(AK129,AM129,AN129,AO129)=4,(AK15+AM15+AN15+AO15)&lt;&gt;0),(AK129+AM129+AN129+AO129)/(AK15+AM15+AN15+AO15),""),"")</f>
        <v>0.174461737502475</v>
      </c>
      <c r="AP356" s="257">
        <f>IFERROR(IF(AND(COUNT(AM129,AN129,AO129,AP129)=4,(AM15+AN15+AO15+AP15)&lt;&gt;0),(AM129+AN129+AO129+AP129)/(AM15+AN15+AO15+AP15),""),"")</f>
        <v>0.174461737502476</v>
      </c>
      <c r="AQ356" s="258">
        <f>IFERROR(IF(AND(COUNT(AM129,AN129,AO129,AP129)=4,(AM15+AN15+AO15+AP15)&lt;&gt;0),(AM129+AN129+AO129+AP129)/(AM15+AN15+AO15+AP15),""),"")</f>
        <v>0.174461737502476</v>
      </c>
      <c r="AR356" s="257">
        <f>IFERROR(IF(AND(COUNT(AN129,AO129,AP129,AR129)=4,(AN15+AO15+AP15+AR15)&lt;&gt;0),(AN129+AO129+AP129+AR129)/(AN15+AO15+AP15+AR15),""),"")</f>
        <v>0.174461737502475</v>
      </c>
      <c r="AS356" s="257">
        <f>IFERROR(IF(AND(COUNT(AO129,AP129,AR129,AS129)=4,(AO15+AP15+AR15+AS15)&lt;&gt;0),(AO129+AP129+AR129+AS129)/(AO15+AP15+AR15+AS15),""),"")</f>
        <v>0.174461737502476</v>
      </c>
      <c r="AT356" s="257">
        <f>IFERROR(IF(AND(COUNT(AP129,AR129,AS129,AT129)=4,(AP15+AR15+AS15+AT15)&lt;&gt;0),(AP129+AR129+AS129+AT129)/(AP15+AR15+AS15+AT15),""),"")</f>
        <v>0.174461737502476</v>
      </c>
      <c r="AU356" s="257">
        <f>IFERROR(IF(AND(COUNT(AR129,AS129,AT129,AU129)=4,(AR15+AS15+AT15+AU15)&lt;&gt;0),(AR129+AS129+AT129+AU129)/(AR15+AS15+AT15+AU15),""),"")</f>
        <v>0.174461737502476</v>
      </c>
      <c r="AV356" s="258">
        <f>IFERROR(IF(AND(COUNT(AR129,AS129,AT129,AU129)=4,(AR15+AS15+AT15+AU15)&lt;&gt;0),(AR129+AS129+AT129+AU129)/(AR15+AS15+AT15+AU15),""),"")</f>
        <v>0.174461737502476</v>
      </c>
      <c r="AW356" s="257">
        <f>IFERROR(IF(AND(COUNT(AS129,AT129,AU129,AW129)=4,(AS15+AT15+AU15+AW15)&lt;&gt;0),(AS129+AT129+AU129+AW129)/(AS15+AT15+AU15+AW15),""),"")</f>
        <v>0.174461737502476</v>
      </c>
      <c r="AX356" s="257">
        <f>IFERROR(IF(AND(COUNT(AT129,AU129,AW129,AX129)=4,(AT15+AU15+AW15+AX15)&lt;&gt;0),(AT129+AU129+AW129+AX129)/(AT15+AU15+AW15+AX15),""),"")</f>
        <v>0.174461737502476</v>
      </c>
      <c r="AY356" s="257">
        <f>IFERROR(IF(AND(COUNT(AU129,AW129,AX129,AY129)=4,(AU15+AW15+AX15+AY15)&lt;&gt;0),(AU129+AW129+AX129+AY129)/(AU15+AW15+AX15+AY15),""),"")</f>
        <v>0.174461737502476</v>
      </c>
      <c r="AZ356" s="257">
        <f>IFERROR(IF(AND(COUNT(AW129,AX129,AY129,AZ129)=4,(AW15+AX15+AY15+AZ15)&lt;&gt;0),(AW129+AX129+AY129+AZ129)/(AW15+AX15+AY15+AZ15),""),"")</f>
        <v>0.174461737502476</v>
      </c>
      <c r="BA356" s="258">
        <f>IFERROR(IF(AND(COUNT(AW129,AX129,AY129,AZ129)=4,(AW15+AX15+AY15+AZ15)&lt;&gt;0),(AW129+AX129+AY129+AZ129)/(AW15+AX15+AY15+AZ15),""),"")</f>
        <v>0.174461737502476</v>
      </c>
      <c r="BB356" s="257">
        <f>IFERROR(IF(AND(COUNT(AX129,AY129,AZ129,BB129)=4,(AX15+AY15+AZ15+BB15)&lt;&gt;0),(AX129+AY129+AZ129+BB129)/(AX15+AY15+AZ15+BB15),""),"")</f>
        <v>0.174461737502476</v>
      </c>
      <c r="BC356" s="257">
        <f>IFERROR(IF(AND(COUNT(AY129,AZ129,BB129,BC129)=4,(AY15+AZ15+BB15+BC15)&lt;&gt;0),(AY129+AZ129+BB129+BC129)/(AY15+AZ15+BB15+BC15),""),"")</f>
        <v>0.174461737502476</v>
      </c>
      <c r="BD356" s="257">
        <f>IFERROR(IF(AND(COUNT(AZ129,BB129,BC129,BD129)=4,(AZ15+BB15+BC15+BD15)&lt;&gt;0),(AZ129+BB129+BC129+BD129)/(AZ15+BB15+BC15+BD15),""),"")</f>
        <v>0.174461737502476</v>
      </c>
      <c r="BE356" s="257">
        <f>IFERROR(IF(AND(COUNT(BB129,BC129,BD129,BE129)=4,(BB15+BC15+BD15+BE15)&lt;&gt;0),(BB129+BC129+BD129+BE129)/(BB15+BC15+BD15+BE15),""),"")</f>
        <v>0.174461737502476</v>
      </c>
      <c r="BF356" s="258">
        <f>IFERROR(IF(AND(COUNT(BB129,BC129,BD129,BE129)=4,(BB15+BC15+BD15+BE15)&lt;&gt;0),(BB129+BC129+BD129+BE129)/(BB15+BC15+BD15+BE15),""),"")</f>
        <v>0.174461737502476</v>
      </c>
      <c r="BG356" s="81" t="n"/>
      <c r="BH356" s="81" t="n"/>
      <c r="BI356" s="81" t="n"/>
      <c r="BJ356" s="81" t="n"/>
      <c r="BL356" s="81" t="n"/>
      <c r="BM356" s="81" t="n"/>
      <c r="BN356" s="81" t="n"/>
      <c r="BO356" s="81" t="n"/>
      <c r="BQ356" s="81" t="n"/>
      <c r="BR356" s="81" t="n"/>
      <c r="BS356" s="81" t="n"/>
      <c r="BT356" s="81" t="n"/>
      <c r="BV356" s="81" t="n"/>
      <c r="BW356" s="81" t="n"/>
      <c r="BX356" s="81" t="n"/>
      <c r="BY356" s="81" t="n"/>
      <c r="CA356" s="81" t="n"/>
      <c r="CB356" s="81" t="n"/>
      <c r="CC356" s="81" t="n"/>
      <c r="CD356" s="81" t="n"/>
      <c r="CF356" s="81" t="n"/>
      <c r="CG356" s="81" t="n"/>
      <c r="CH356" s="81" t="n"/>
      <c r="CI356" s="81" t="n"/>
      <c r="CK356" s="81" t="n"/>
      <c r="CL356" s="81" t="n"/>
      <c r="CM356" s="81" t="n"/>
      <c r="CN356" s="81" t="n"/>
      <c r="CP356" s="81" t="n"/>
      <c r="CQ356" s="81" t="n"/>
      <c r="CR356" s="81" t="n"/>
      <c r="CS356" s="81" t="n"/>
      <c r="CU356" s="81" t="n"/>
      <c r="CV356" s="81" t="n"/>
      <c r="CW356" s="81" t="n"/>
      <c r="CX356" s="81" t="n"/>
    </row>
    <row r="357" customFormat="1" s="77">
      <c r="A357" s="76" t="n"/>
      <c r="B357" s="76" t="n"/>
      <c r="C357" s="77" t="inlineStr">
        <is>
          <t>ASSET TURNOVER (LTM REVENUE / ASSETS)</t>
        </is>
      </c>
      <c r="D357" s="84" t="str">
        <f>IFERROR(D15/D189,"")</f>
        <v/>
      </c>
      <c r="E357" s="84" t="str">
        <f>IFERROR(E15/E189,"")</f>
        <v/>
      </c>
      <c r="F357" s="84" t="str">
        <f>IFERROR(F15/F189,"")</f>
        <v/>
      </c>
      <c r="G357" s="84" t="str">
        <f>IFERROR(G15/G189,"")</f>
        <v/>
      </c>
      <c r="H357" s="262" t="str">
        <f>IFERROR(IF(AND(COUNT(H15)=1,N(H189)&lt;&gt;0),(H15)/H189,""),"")</f>
        <v/>
      </c>
      <c r="I357" s="264" t="str">
        <f>""</f>
        <v/>
      </c>
      <c r="J357" s="264" t="str">
        <f>""</f>
        <v/>
      </c>
      <c r="K357" s="264" t="str">
        <f>""</f>
        <v/>
      </c>
      <c r="L357" s="264">
        <f>IFERROR(IF(AND(COUNT(I15,J15,K15,L15)=4,N(L189)&lt;&gt;0),(I15+J15+K15+L15)/L189,""),"")</f>
        <v>0.47571946191329</v>
      </c>
      <c r="M357" s="262">
        <f>IFERROR(IF(AND(COUNT(I15,J15,K15,L15)=4,N(M189)&lt;&gt;0),(I15+J15+K15+L15)/M189,""),"")</f>
        <v>0.47571946191329</v>
      </c>
      <c r="N357" s="264">
        <f>IFERROR(IF(AND(COUNT(J15,K15,L15,N15)=4,N(N189)&lt;&gt;0),(J15+K15+L15+N15)/N189,""),"")</f>
        <v>0.503727064220184</v>
      </c>
      <c r="O357" s="264">
        <f>IFERROR(IF(AND(COUNT(K15,L15,N15,O15)=4,N(O189)&lt;&gt;0),(K15+L15+N15+O15)/O189,""),"")</f>
        <v>0.48422565003093</v>
      </c>
      <c r="P357" s="264">
        <f>IFERROR(IF(AND(COUNT(L15,N15,O15,P15)=4,N(P189)&lt;&gt;0),(L15+N15+O15+P15)/P189,""),"")</f>
        <v>0.464398021110822</v>
      </c>
      <c r="Q357" s="264">
        <f>IFERROR(IF(AND(COUNT(N15,O15,P15,Q15)=4,N(Q189)&lt;&gt;0),(N15+O15+P15+Q15)/Q189,""),"")</f>
        <v>0.445853639441802</v>
      </c>
      <c r="R357" s="262">
        <f>IFERROR(IF(AND(COUNT(N15,O15,P15,Q15)=4,N(R189)&lt;&gt;0),(N15+O15+P15+Q15)/R189,""),"")</f>
        <v>0.445853639441802</v>
      </c>
      <c r="S357" s="264">
        <f>IFERROR(IF(AND(COUNT(O15,P15,Q15,S15)=4,N(S189)&lt;&gt;0),(O15+P15+Q15+S15)/S189,""),"")</f>
        <v>0.423618613604667</v>
      </c>
      <c r="T357" s="264">
        <f>IFERROR(IF(AND(COUNT(P15,Q15,S15,T15)=4,N(T189)&lt;&gt;0),(P15+Q15+S15+T15)/T189,""),"")</f>
        <v>0.429940872571552</v>
      </c>
      <c r="U357" s="264">
        <f>IFERROR(IF(AND(COUNT(Q15,S15,T15,U15)=4,N(U189)&lt;&gt;0),(Q15+S15+T15+U15)/U189,""),"")</f>
        <v>0.439668525402726</v>
      </c>
      <c r="V357" s="264">
        <f>IFERROR(IF(AND(COUNT(S15,T15,U15,V15)=4,N(V189)&lt;&gt;0),(S15+T15+U15+V15)/V189,""),"")</f>
        <v>0.435283586637718</v>
      </c>
      <c r="W357" s="262">
        <f>IFERROR(IF(AND(COUNT(S15,T15,U15,V15)=4,N(W189)&lt;&gt;0),(S15+T15+U15+V15)/W189,""),"")</f>
        <v>0.435283586637718</v>
      </c>
      <c r="X357" s="264">
        <f>IFERROR(IF(AND(COUNT(T15,U15,V15,X15)=4,N(X189)&lt;&gt;0),(T15+U15+V15+X15)/X189,""),"")</f>
        <v>0.438890733975423</v>
      </c>
      <c r="Y357" s="264">
        <f>IFERROR(IF(AND(COUNT(U15,V15,X15,Y15)=4,N(Y189)&lt;&gt;0),(U15+V15+X15+Y15)/Y189,""),"")</f>
        <v>0.451615264940057</v>
      </c>
      <c r="Z357" s="264">
        <f>IFERROR(IF(AND(COUNT(V15,X15,Y15,Z15)=4,N(Z189)&lt;&gt;0),(V15+X15+Y15+Z15)/Z189,""),"")</f>
        <v>0.462815884476534</v>
      </c>
      <c r="AA357" s="264">
        <f>IFERROR(IF(AND(COUNT(X15,Y15,Z15,AA15)=4,N(AA189)&lt;&gt;0),(X15+Y15+Z15+AA15)/AA189,""),"")</f>
        <v>0.464100787631272</v>
      </c>
      <c r="AB357" s="262">
        <f>IFERROR(IF(AND(COUNT(X15,Y15,Z15,AA15)=4,N(AB189)&lt;&gt;0),(X15+Y15+Z15+AA15)/AB189,""),"")</f>
        <v>0.464100787631272</v>
      </c>
      <c r="AC357" s="264">
        <f>IFERROR(IF(AND(COUNT(Y15,Z15,AA15,AC15)=4,N(AC189)&lt;&gt;0),(Y15+Z15+AA15+AC15)/AC189,""),"")</f>
        <v>0.44378993966656</v>
      </c>
      <c r="AD357" s="264">
        <f>IFERROR(IF(AND(COUNT(Z15,AA15,AC15,AD15)=4,N(AD189)&lt;&gt;0),(Z15+AA15+AC15+AD15)/AD189,""),"")</f>
        <v>0.457055866317355</v>
      </c>
      <c r="AE357" s="264">
        <f>IFERROR(IF(AND(COUNT(AA15,AC15,AD15,AE15)=4,N(AE189)&lt;&gt;0),(AA15+AC15+AD15+AE15)/AE189,""),"")</f>
        <v>0.457556134299993</v>
      </c>
      <c r="AF357" s="264">
        <f>IFERROR(IF(AND(COUNT(AB15,AD15,AE15,AF15)=4,N(AF189)&lt;&gt;0),(AB15+AD15+AE15+AF15)/AF189,""),"")</f>
        <v>0.784671721078962</v>
      </c>
      <c r="AG357" s="262">
        <f>IFERROR(IF(AND(COUNT(AC15,AD15,AE15,AF15)=4,N(AG189)&lt;&gt;0),(AC15+AD15+AE15+AF15)/AG189,""),"")</f>
        <v>0.445527532793508</v>
      </c>
      <c r="AH357" s="264">
        <f>IFERROR(IF(AND(COUNT(AD15,AF15,AG15,AH15)=4,N(AH189)&lt;&gt;0),(AD15+AF15+AG15+AH15)/AH189,""),"")</f>
        <v>0.770972127804215</v>
      </c>
      <c r="AI357" s="264">
        <f>IFERROR(IF(AND(COUNT(AE15,AG15,AH15,AI15)=4,N(AI189)&lt;&gt;0),(AE15+AG15+AH15+AI15)/AI189,""),"")</f>
        <v>0.772682371456795</v>
      </c>
      <c r="AJ357" s="264">
        <f>IFERROR(IF(AND(COUNT(AF15,AH15,AI15,AJ15)=4,N(AJ189)&lt;&gt;0),(AF15+AH15+AI15+AJ15)/AJ189,""),"")</f>
        <v>0.425421878722414</v>
      </c>
      <c r="AK357" s="264">
        <f>IFERROR(IF(AND(COUNT(AH15,AI15,AJ15,AK15)=4,N(AK189)&lt;&gt;0),(AH15+AI15+AJ15+AK15)/AK189,""),"")</f>
        <v>0.425836481877538</v>
      </c>
      <c r="AL357" s="262">
        <f>IFERROR(IF(AND(COUNT(AH15,AI15,AJ15,AK15)=4,N(AL189)&lt;&gt;0),(AH15+AI15+AJ15+AK15)/AL189,""),"")</f>
        <v>0.425836481877538</v>
      </c>
      <c r="AM357" s="264">
        <f>IFERROR(IF(AND(COUNT(AI15,AJ15,AK15,AM15)=4,N(AM189)&lt;&gt;0),(AI15+AJ15+AK15+AM15)/AM189,""),"")</f>
        <v>0.416263512571922</v>
      </c>
      <c r="AN357" s="264">
        <f>IFERROR(IF(AND(COUNT(AJ15,AK15,AM15,AN15)=4,N(AN189)&lt;&gt;0),(AJ15+AK15+AM15+AN15)/AN189,""),"")</f>
        <v>0.406463209949844</v>
      </c>
      <c r="AO357" s="264">
        <f>IFERROR(IF(AND(COUNT(AK15,AM15,AN15,AO15)=4,N(AO189)&lt;&gt;0),(AK15+AM15+AN15+AO15)/AO189,""),"")</f>
        <v>0.400272215454177</v>
      </c>
      <c r="AP357" s="264">
        <f>IFERROR(IF(AND(COUNT(AM15,AN15,AO15,AP15)=4,N(AP189)&lt;&gt;0),(AM15+AN15+AO15+AP15)/AP189,""),"")</f>
        <v>0.400704135677786</v>
      </c>
      <c r="AQ357" s="262">
        <f>IFERROR(IF(AND(COUNT(AM15,AN15,AO15,AP15)=4,N(AQ189)&lt;&gt;0),(AM15+AN15+AO15+AP15)/AQ189,""),"")</f>
        <v>0.400704135677786</v>
      </c>
      <c r="AR357" s="264">
        <f>IFERROR(IF(AND(COUNT(AN15,AO15,AP15,AR15)=4,N(AR189)&lt;&gt;0),(AN15+AO15+AP15+AR15)/AR189,""),"")</f>
        <v>0.3922610517344</v>
      </c>
      <c r="AS357" s="264">
        <f>IFERROR(IF(AND(COUNT(AO15,AP15,AR15,AS15)=4,N(AS189)&lt;&gt;0),(AO15+AP15+AR15+AS15)/AS189,""),"")</f>
        <v>0.382898597201875</v>
      </c>
      <c r="AT357" s="264">
        <f>IFERROR(IF(AND(COUNT(AP15,AR15,AS15,AT15)=4,N(AT189)&lt;&gt;0),(AP15+AR15+AS15+AT15)/AT189,""),"")</f>
        <v>0.376999715516363</v>
      </c>
      <c r="AU357" s="264">
        <f>IFERROR(IF(AND(COUNT(AR15,AS15,AT15,AU15)=4,N(AU189)&lt;&gt;0),(AR15+AS15+AT15+AU15)/AU189,""),"")</f>
        <v>0.377053250618137</v>
      </c>
      <c r="AV357" s="262">
        <f>IFERROR(IF(AND(COUNT(AR15,AS15,AT15,AU15)=4,N(AV189)&lt;&gt;0),(AR15+AS15+AT15+AU15)/AV189,""),"")</f>
        <v>0.377053250618137</v>
      </c>
      <c r="AW357" s="264">
        <f>IFERROR(IF(AND(COUNT(AS15,AT15,AU15,AW15)=4,N(AW189)&lt;&gt;0),(AS15+AT15+AU15+AW15)/AW189,""),"")</f>
        <v>0.369076652501082</v>
      </c>
      <c r="AX357" s="264">
        <f>IFERROR(IF(AND(COUNT(AT15,AU15,AW15,AX15)=4,N(AX189)&lt;&gt;0),(AT15+AU15+AW15+AX15)/AX189,""),"")</f>
        <v>0.360612694211711</v>
      </c>
      <c r="AY357" s="264">
        <f>IFERROR(IF(AND(COUNT(AU15,AW15,AX15,AY15)=4,N(AY189)&lt;&gt;0),(AU15+AW15+AX15+AY15)/AY189,""),"")</f>
        <v>0.354968516103517</v>
      </c>
      <c r="AZ357" s="264">
        <f>IFERROR(IF(AND(COUNT(AW15,AX15,AY15,AZ15)=4,N(AZ189)&lt;&gt;0),(AW15+AX15+AY15+AZ15)/AZ189,""),"")</f>
        <v>0.354680561319039</v>
      </c>
      <c r="BA357" s="262">
        <f>IFERROR(IF(AND(COUNT(AW15,AX15,AY15,AZ15)=4,N(BA189)&lt;&gt;0),(AW15+AX15+AY15+AZ15)/BA189,""),"")</f>
        <v>0.354680561319039</v>
      </c>
      <c r="BB357" s="264">
        <f>IFERROR(IF(AND(COUNT(AX15,AY15,AZ15,BB15)=4,N(BB189)&lt;&gt;0),(AX15+AY15+AZ15+BB15)/BB189,""),"")</f>
        <v>0.347461218223793</v>
      </c>
      <c r="BC357" s="264">
        <f>IFERROR(IF(AND(COUNT(AY15,AZ15,BB15,BC15)=4,N(BC189)&lt;&gt;0),(AY15+AZ15+BB15+BC15)/BC189,""),"")</f>
        <v>0.339717500563631</v>
      </c>
      <c r="BD357" s="264">
        <f>IFERROR(IF(AND(COUNT(AZ15,BB15,BC15,BD15)=4,N(BD189)&lt;&gt;0),(AZ15+BB15+BC15+BD15)/BD189,""),"")</f>
        <v>0.334465004612628</v>
      </c>
      <c r="BE357" s="264">
        <f>IFERROR(IF(AND(COUNT(BB15,BC15,BD15,BE15)=4,N(BE189)&lt;&gt;0),(BB15+BC15+BD15+BE15)/BE189,""),"")</f>
        <v>0.334012474939078</v>
      </c>
      <c r="BF357" s="262">
        <f>IFERROR(IF(AND(COUNT(BB15,BC15,BD15,BE15)=4,N(BF189)&lt;&gt;0),(BB15+BC15+BD15+BE15)/BF189,""),"")</f>
        <v>0.334012474939078</v>
      </c>
      <c r="BG357" s="81" t="n"/>
      <c r="BH357" s="81" t="n"/>
      <c r="BI357" s="81" t="n"/>
      <c r="BJ357" s="81" t="n"/>
      <c r="BL357" s="81" t="n"/>
      <c r="BM357" s="81" t="n"/>
      <c r="BN357" s="81" t="n"/>
      <c r="BO357" s="81" t="n"/>
      <c r="BQ357" s="81" t="n"/>
      <c r="BR357" s="81" t="n"/>
      <c r="BS357" s="81" t="n"/>
      <c r="BT357" s="81" t="n"/>
      <c r="BV357" s="81" t="n"/>
      <c r="BW357" s="81" t="n"/>
      <c r="BX357" s="81" t="n"/>
      <c r="BY357" s="81" t="n"/>
      <c r="CA357" s="81" t="n"/>
      <c r="CB357" s="81" t="n"/>
      <c r="CC357" s="81" t="n"/>
      <c r="CD357" s="81" t="n"/>
      <c r="CF357" s="81" t="n"/>
      <c r="CG357" s="81" t="n"/>
      <c r="CH357" s="81" t="n"/>
      <c r="CI357" s="81" t="n"/>
      <c r="CK357" s="81" t="n"/>
      <c r="CL357" s="81" t="n"/>
      <c r="CM357" s="81" t="n"/>
      <c r="CN357" s="81" t="n"/>
      <c r="CP357" s="81" t="n"/>
      <c r="CQ357" s="81" t="n"/>
      <c r="CR357" s="81" t="n"/>
      <c r="CS357" s="81" t="n"/>
      <c r="CU357" s="81" t="n"/>
      <c r="CV357" s="81" t="n"/>
      <c r="CW357" s="81" t="n"/>
      <c r="CX357" s="81" t="n"/>
    </row>
    <row r="358" customFormat="1" s="77">
      <c r="A358" s="76" t="n"/>
      <c r="B358" s="76" t="n"/>
      <c r="C358" s="77" t="inlineStr">
        <is>
          <t>EQUITY MULTIPLIER (ASSETS / EQUITY)</t>
        </is>
      </c>
      <c r="D358" s="84" t="str">
        <f>IFERROR(D189/D263,"")</f>
        <v/>
      </c>
      <c r="E358" s="84" t="str">
        <f>IFERROR(E189/E263,"")</f>
        <v/>
      </c>
      <c r="F358" s="84" t="str">
        <f>IFERROR(F189/F263,"")</f>
        <v/>
      </c>
      <c r="G358" s="84" t="str">
        <f>IFERROR(G189/G263,"")</f>
        <v/>
      </c>
      <c r="H358" s="262" t="str">
        <f>IFERROR(IF(N(H263)&lt;&gt;0,H189/H263,""),"")</f>
        <v/>
      </c>
      <c r="I358" s="264">
        <f>IFERROR(IF(N(I263)&lt;&gt;0,I189/I263,""),"")</f>
        <v>2.2297552751239</v>
      </c>
      <c r="J358" s="264">
        <f>IFERROR(IF(N(J263)&lt;&gt;0,J189/J263,""),"")</f>
        <v>2.17033675662766</v>
      </c>
      <c r="K358" s="264">
        <f>IFERROR(IF(N(K263)&lt;&gt;0,K189/K263,""),"")</f>
        <v>2.08233101060761</v>
      </c>
      <c r="L358" s="264">
        <f>IFERROR(IF(N(L263)&lt;&gt;0,L189/L263,""),"")</f>
        <v>2.08618966940354</v>
      </c>
      <c r="M358" s="262">
        <f>IFERROR(IF(N(M263)&lt;&gt;0,M189/M263,""),"")</f>
        <v>2.08618966940354</v>
      </c>
      <c r="N358" s="264">
        <f>IFERROR(IF(N(N263)&lt;&gt;0,N189/N263,""),"")</f>
        <v>2.03111222028117</v>
      </c>
      <c r="O358" s="264">
        <f>IFERROR(IF(N(O263)&lt;&gt;0,O189/O263,""),"")</f>
        <v>2.08396057720298</v>
      </c>
      <c r="P358" s="264">
        <f>IFERROR(IF(N(P263)&lt;&gt;0,P189/P263,""),"")</f>
        <v>2.06472023489517</v>
      </c>
      <c r="Q358" s="264">
        <f>IFERROR(IF(N(Q263)&lt;&gt;0,Q189/Q263,""),"")</f>
        <v>2.05432029271039</v>
      </c>
      <c r="R358" s="262">
        <f>IFERROR(IF(N(R263)&lt;&gt;0,R189/R263,""),"")</f>
        <v>2.05432029271039</v>
      </c>
      <c r="S358" s="264">
        <f>IFERROR(IF(N(S263)&lt;&gt;0,S189/S263,""),"")</f>
        <v>1.98491110417966</v>
      </c>
      <c r="T358" s="264">
        <f>IFERROR(IF(N(T263)&lt;&gt;0,T189/T263,""),"")</f>
        <v>1.95593037999001</v>
      </c>
      <c r="U358" s="264">
        <f>IFERROR(IF(N(U263)&lt;&gt;0,U189/U263,""),"")</f>
        <v>1.93604978070997</v>
      </c>
      <c r="V358" s="264">
        <f>IFERROR(IF(N(V263)&lt;&gt;0,V189/V263,""),"")</f>
        <v>1.92259245697547</v>
      </c>
      <c r="W358" s="262">
        <f>IFERROR(IF(N(W263)&lt;&gt;0,W189/W263,""),"")</f>
        <v>1.92259245697547</v>
      </c>
      <c r="X358" s="264">
        <f>IFERROR(IF(N(X263)&lt;&gt;0,X189/X263,""),"")</f>
        <v>1.92841131471268</v>
      </c>
      <c r="Y358" s="264">
        <f>IFERROR(IF(N(Y263)&lt;&gt;0,Y189/Y263,""),"")</f>
        <v>1.90458760370913</v>
      </c>
      <c r="Z358" s="264">
        <f>IFERROR(IF(N(Z263)&lt;&gt;0,Z189/Z263,""),"")</f>
        <v>1.91921291484792</v>
      </c>
      <c r="AA358" s="264">
        <f>IFERROR(IF(N(AA263)&lt;&gt;0,AA189/AA263,""),"")</f>
        <v>1.90590034053791</v>
      </c>
      <c r="AB358" s="262">
        <f>IFERROR(IF(N(AB263)&lt;&gt;0,AB189/AB263,""),"")</f>
        <v>1.90590034053791</v>
      </c>
      <c r="AC358" s="264">
        <f>IFERROR(IF(N(AC263)&lt;&gt;0,AC189/AC263,""),"")</f>
        <v>1.91764222632984</v>
      </c>
      <c r="AD358" s="264">
        <f>IFERROR(IF(N(AD263)&lt;&gt;0,AD189/AD263,""),"")</f>
        <v>1.88331777570343</v>
      </c>
      <c r="AE358" s="264">
        <f>IFERROR(IF(N(AE263)&lt;&gt;0,AE189/AE263,""),"")</f>
        <v>1.86952659801954</v>
      </c>
      <c r="AF358" s="264">
        <f>IFERROR(IF(N(AF263)&lt;&gt;0,AF189/AF263,""),"")</f>
        <v>1.89062601573165</v>
      </c>
      <c r="AG358" s="262">
        <f>IFERROR(IF(N(AG263)&lt;&gt;0,AG189/AG263,""),"")</f>
        <v>1.89062601573165</v>
      </c>
      <c r="AH358" s="264">
        <f>IFERROR(IF(N(AH263)&lt;&gt;0,AH189/AH263,""),"")</f>
        <v>1.86728444035416</v>
      </c>
      <c r="AI358" s="264">
        <f>IFERROR(IF(N(AI263)&lt;&gt;0,AI189/AI263,""),"")</f>
        <v>1.85360933523679</v>
      </c>
      <c r="AJ358" s="264">
        <f>IFERROR(IF(N(AJ263)&lt;&gt;0,AJ189/AJ263,""),"")</f>
        <v>1.82393219657294</v>
      </c>
      <c r="AK358" s="264">
        <f>IFERROR(IF(N(AK263)&lt;&gt;0,AK189/AK263,""),"")</f>
        <v>1.77448117693703</v>
      </c>
      <c r="AL358" s="262">
        <f>IFERROR(IF(N(AL263)&lt;&gt;0,AL189/AL263,""),"")</f>
        <v>1.77448117693703</v>
      </c>
      <c r="AM358" s="264">
        <f>IFERROR(IF(N(AM263)&lt;&gt;0,AM189/AM263,""),"")</f>
        <v>1.76449842729755</v>
      </c>
      <c r="AN358" s="264">
        <f>IFERROR(IF(N(AN263)&lt;&gt;0,AN189/AN263,""),"")</f>
        <v>1.75212954244467</v>
      </c>
      <c r="AO358" s="264">
        <f>IFERROR(IF(N(AO263)&lt;&gt;0,AO189/AO263,""),"")</f>
        <v>1.72686993915171</v>
      </c>
      <c r="AP358" s="264">
        <f>IFERROR(IF(N(AP263)&lt;&gt;0,AP189/AP263,""),"")</f>
        <v>1.68519219159546</v>
      </c>
      <c r="AQ358" s="262">
        <f>IFERROR(IF(N(AQ263)&lt;&gt;0,AQ189/AQ263,""),"")</f>
        <v>1.68519219159546</v>
      </c>
      <c r="AR358" s="264">
        <f>IFERROR(IF(N(AR263)&lt;&gt;0,AR189/AR263,""),"")</f>
        <v>1.67705832832023</v>
      </c>
      <c r="AS358" s="264">
        <f>IFERROR(IF(N(AS263)&lt;&gt;0,AS189/AS263,""),"")</f>
        <v>1.66969781209169</v>
      </c>
      <c r="AT358" s="264">
        <f>IFERROR(IF(N(AT263)&lt;&gt;0,AT189/AT263,""),"")</f>
        <v>1.64936946491732</v>
      </c>
      <c r="AU358" s="264">
        <f>IFERROR(IF(N(AU263)&lt;&gt;0,AU189/AU263,""),"")</f>
        <v>1.61356207835097</v>
      </c>
      <c r="AV358" s="262">
        <f>IFERROR(IF(N(AV263)&lt;&gt;0,AV189/AV263,""),"")</f>
        <v>1.61356207835097</v>
      </c>
      <c r="AW358" s="264">
        <f>IFERROR(IF(N(AW263)&lt;&gt;0,AW189/AW263,""),"")</f>
        <v>1.60859641509602</v>
      </c>
      <c r="AX358" s="264">
        <f>IFERROR(IF(N(AX263)&lt;&gt;0,AX189/AX263,""),"")</f>
        <v>1.60274393426365</v>
      </c>
      <c r="AY358" s="264">
        <f>IFERROR(IF(N(AY263)&lt;&gt;0,AY189/AY263,""),"")</f>
        <v>1.5860847326164</v>
      </c>
      <c r="AZ358" s="264">
        <f>IFERROR(IF(N(AZ263)&lt;&gt;0,AZ189/AZ263,""),"")</f>
        <v>1.55490322713563</v>
      </c>
      <c r="BA358" s="262">
        <f>IFERROR(IF(N(BA263)&lt;&gt;0,BA189/BA263,""),"")</f>
        <v>1.55490322713563</v>
      </c>
      <c r="BB358" s="264">
        <f>IFERROR(IF(N(BB263)&lt;&gt;0,BB189/BB263,""),"")</f>
        <v>1.55146219552452</v>
      </c>
      <c r="BC358" s="264">
        <f>IFERROR(IF(N(BC263)&lt;&gt;0,BC189/BC263,""),"")</f>
        <v>1.54752814387568</v>
      </c>
      <c r="BD358" s="264">
        <f>IFERROR(IF(N(BD263)&lt;&gt;0,BD189/BD263,""),"")</f>
        <v>1.53366779189105</v>
      </c>
      <c r="BE358" s="264">
        <f>IFERROR(IF(N(BE263)&lt;&gt;0,BE189/BE263,""),"")</f>
        <v>1.50619945297601</v>
      </c>
      <c r="BF358" s="262">
        <f>IFERROR(IF(N(BF263)&lt;&gt;0,BF189/BF263,""),"")</f>
        <v>1.50619945297601</v>
      </c>
      <c r="BG358" s="81" t="n"/>
      <c r="BH358" s="81" t="n"/>
      <c r="BI358" s="81" t="n"/>
      <c r="BJ358" s="81" t="n"/>
      <c r="BL358" s="81" t="n"/>
      <c r="BM358" s="81" t="n"/>
      <c r="BN358" s="81" t="n"/>
      <c r="BO358" s="81" t="n"/>
      <c r="BQ358" s="81" t="n"/>
      <c r="BR358" s="81" t="n"/>
      <c r="BS358" s="81" t="n"/>
      <c r="BT358" s="81" t="n"/>
      <c r="BV358" s="81" t="n"/>
      <c r="BW358" s="81" t="n"/>
      <c r="BX358" s="81" t="n"/>
      <c r="BY358" s="81" t="n"/>
      <c r="CA358" s="81" t="n"/>
      <c r="CB358" s="81" t="n"/>
      <c r="CC358" s="81" t="n"/>
      <c r="CD358" s="81" t="n"/>
      <c r="CF358" s="81" t="n"/>
      <c r="CG358" s="81" t="n"/>
      <c r="CH358" s="81" t="n"/>
      <c r="CI358" s="81" t="n"/>
      <c r="CK358" s="81" t="n"/>
      <c r="CL358" s="81" t="n"/>
      <c r="CM358" s="81" t="n"/>
      <c r="CN358" s="81" t="n"/>
      <c r="CP358" s="81" t="n"/>
      <c r="CQ358" s="81" t="n"/>
      <c r="CR358" s="81" t="n"/>
      <c r="CS358" s="81" t="n"/>
      <c r="CU358" s="81" t="n"/>
      <c r="CV358" s="81" t="n"/>
      <c r="CW358" s="81" t="n"/>
      <c r="CX358" s="81" t="n"/>
    </row>
    <row r="359" customFormat="1" s="77">
      <c r="A359" s="76" t="n"/>
      <c r="B359" s="76" t="n"/>
      <c r="C359" s="77" t="inlineStr">
        <is>
          <t>ROE - DUPONT</t>
        </is>
      </c>
      <c r="D359" s="84">
        <f>IFERROR(PRODUCT(D356:D358),"")</f>
        <v>0</v>
      </c>
      <c r="E359" s="84">
        <f>IFERROR(PRODUCT(E356:E358),"")</f>
        <v>0</v>
      </c>
      <c r="F359" s="84">
        <f>IFERROR(PRODUCT(F356:F358),"")</f>
        <v>0</v>
      </c>
      <c r="G359" s="84">
        <f>IFERROR(PRODUCT(G356:G358),"")</f>
        <v>0</v>
      </c>
      <c r="H359" s="258" t="str">
        <f>IFERROR(IF(COUNT(H356,H357,H358)=3,H356*H357*H358,""),"")</f>
        <v/>
      </c>
      <c r="I359" s="257" t="str">
        <f>IFERROR(IF(COUNT(I356,I357,I358)=3,I356*I357*I358,""),"")</f>
        <v/>
      </c>
      <c r="J359" s="257" t="str">
        <f>IFERROR(IF(COUNT(J356,J357,J358)=3,J356*J357*J358,""),"")</f>
        <v/>
      </c>
      <c r="K359" s="257" t="str">
        <f>IFERROR(IF(COUNT(K356,K357,K358)=3,K356*K357*K358,""),"")</f>
        <v/>
      </c>
      <c r="L359" s="257">
        <f>IFERROR(IF(COUNT(L356,L357,L358)=3,L356*L357*L358,""),"")</f>
        <v>0.187062861114731</v>
      </c>
      <c r="M359" s="258">
        <f>IFERROR(IF(COUNT(M356,M357,M358)=3,M356*M357*M358,""),"")</f>
        <v>0.187062861114731</v>
      </c>
      <c r="N359" s="257">
        <f>IFERROR(IF(COUNT(N356,N357,N358)=3,N356*N357*N358,""),"")</f>
        <v>0.212752682805091</v>
      </c>
      <c r="O359" s="257">
        <f>IFERROR(IF(COUNT(O356,O357,O358)=3,O356*O357*O358,""),"")</f>
        <v>0.202603235330811</v>
      </c>
      <c r="P359" s="257">
        <f>IFERROR(IF(COUNT(P356,P357,P358)=3,P356*P357*P358,""),"")</f>
        <v>0.160332492452752</v>
      </c>
      <c r="Q359" s="257">
        <f>IFERROR(IF(COUNT(Q356,Q357,Q358)=3,Q356*Q357*Q358,""),"")</f>
        <v>0.13943950786056</v>
      </c>
      <c r="R359" s="258">
        <f>IFERROR(IF(COUNT(R356,R357,R358)=3,R356*R357*R358,""),"")</f>
        <v>0.13943950786056</v>
      </c>
      <c r="S359" s="257">
        <f>IFERROR(IF(COUNT(S356,S357,S358)=3,S356*S357*S358,""),"")</f>
        <v>0.101528384279476</v>
      </c>
      <c r="T359" s="257">
        <f>IFERROR(IF(COUNT(T356,T357,T358)=3,T356*T357*T358,""),"")</f>
        <v>0.0809543935144273</v>
      </c>
      <c r="U359" s="257">
        <f>IFERROR(IF(COUNT(U356,U357,U358)=3,U356*U357*U358,""),"")</f>
        <v>0.080856168234809</v>
      </c>
      <c r="V359" s="257">
        <f>IFERROR(IF(COUNT(V356,V357,V358)=3,V356*V357*V358,""),"")</f>
        <v>0.0676675210545588</v>
      </c>
      <c r="W359" s="258">
        <f>IFERROR(IF(COUNT(W356,W357,W358)=3,W356*W357*W358,""),"")</f>
        <v>0.0676675210545588</v>
      </c>
      <c r="X359" s="257">
        <f>IFERROR(IF(COUNT(X356,X357,X358)=3,X356*X357*X358,""),"")</f>
        <v>0.0589930617327878</v>
      </c>
      <c r="Y359" s="257">
        <f>IFERROR(IF(COUNT(Y356,Y357,Y358)=3,Y356*Y357*Y358,""),"")</f>
        <v>0.0673150665830022</v>
      </c>
      <c r="Z359" s="257">
        <f>IFERROR(IF(COUNT(Z356,Z357,Z358)=3,Z356*Z357*Z358,""),"")</f>
        <v>0.0693895932931476</v>
      </c>
      <c r="AA359" s="257">
        <f>IFERROR(IF(COUNT(AA356,AA357,AA358)=3,AA356*AA357*AA358,""),"")</f>
        <v>0.0656404197650983</v>
      </c>
      <c r="AB359" s="258">
        <f>IFERROR(IF(COUNT(AB356,AB357,AB358)=3,AB356*AB357*AB358,""),"")</f>
        <v>0.0656404197650983</v>
      </c>
      <c r="AC359" s="257">
        <f>IFERROR(IF(COUNT(AC356,AC357,AC358)=3,AC356*AC357*AC358,""),"")</f>
        <v>0.060518929280482</v>
      </c>
      <c r="AD359" s="257">
        <f>IFERROR(IF(COUNT(AD356,AD357,AD358)=3,AD356*AD357*AD358,""),"")</f>
        <v>0.0641418855847446</v>
      </c>
      <c r="AE359" s="257">
        <f>IFERROR(IF(COUNT(AE356,AE357,AE358)=3,AE356*AE357*AE358,""),"")</f>
        <v>0.0681646215087015</v>
      </c>
      <c r="AF359" s="257">
        <f>IFERROR(IF(COUNT(AF356,AF357,AF358)=3,AF356*AF357*AF358,""),"")</f>
        <v>0.121595267503088</v>
      </c>
      <c r="AG359" s="258">
        <f>IFERROR(IF(COUNT(AG356,AG357,AG358)=3,AG356*AG357*AG358,""),"")</f>
        <v>0.0716375219398037</v>
      </c>
      <c r="AH359" s="257">
        <f>IFERROR(IF(COUNT(AH356,AH357,AH358)=3,AH356*AH357*AH358,""),"")</f>
        <v>0.135286090571546</v>
      </c>
      <c r="AI359" s="257">
        <f>IFERROR(IF(COUNT(AI356,AI357,AI358)=3,AI356*AI357*AI358,""),"")</f>
        <v>0.147197566879772</v>
      </c>
      <c r="AJ359" s="257">
        <f>IFERROR(IF(COUNT(AJ356,AJ357,AJ358)=3,AJ356*AJ357*AJ358,""),"")</f>
        <v>0.104714178524169</v>
      </c>
      <c r="AK359" s="257">
        <f>IFERROR(IF(COUNT(AK356,AK357,AK358)=3,AK356*AK357*AK358,""),"")</f>
        <v>0.118799840149848</v>
      </c>
      <c r="AL359" s="258">
        <f>IFERROR(IF(COUNT(AL356,AL357,AL358)=3,AL356*AL357*AL358,""),"")</f>
        <v>0.118799840149848</v>
      </c>
      <c r="AM359" s="257">
        <f>IFERROR(IF(COUNT(AM356,AM357,AM358)=3,AM356*AM357*AM358,""),"")</f>
        <v>0.121326238576628</v>
      </c>
      <c r="AN359" s="257">
        <f>IFERROR(IF(COUNT(AN356,AN357,AN358)=3,AN356*AN357*AN358,""),"")</f>
        <v>0.124247496923201</v>
      </c>
      <c r="AO359" s="257">
        <f>IFERROR(IF(COUNT(AO356,AO357,AO358)=3,AO356*AO357*AO358,""),"")</f>
        <v>0.120591103103115</v>
      </c>
      <c r="AP359" s="257">
        <f>IFERROR(IF(COUNT(AP356,AP357,AP358)=3,AP356*AP357*AP358,""),"")</f>
        <v>0.117807640094691</v>
      </c>
      <c r="AQ359" s="258">
        <f>IFERROR(IF(COUNT(AQ356,AQ357,AQ358)=3,AQ356*AQ357*AQ358,""),"")</f>
        <v>0.117807640094691</v>
      </c>
      <c r="AR359" s="257">
        <f>IFERROR(IF(COUNT(AR356,AR357,AR358)=3,AR356*AR357*AR358,""),"")</f>
        <v>0.114768723033536</v>
      </c>
      <c r="AS359" s="257">
        <f>IFERROR(IF(COUNT(AS356,AS357,AS358)=3,AS356*AS357*AS358,""),"")</f>
        <v>0.111537741605849</v>
      </c>
      <c r="AT359" s="257">
        <f>IFERROR(IF(COUNT(AT356,AT357,AT358)=3,AT356*AT357*AT358,""),"")</f>
        <v>0.108482370351946</v>
      </c>
      <c r="AU359" s="257">
        <f>IFERROR(IF(COUNT(AU356,AU357,AU358)=3,AU356*AU357*AU358,""),"")</f>
        <v>0.106142316403409</v>
      </c>
      <c r="AV359" s="258">
        <f>IFERROR(IF(COUNT(AV356,AV357,AV358)=3,AV356*AV357*AV358,""),"")</f>
        <v>0.106142316403409</v>
      </c>
      <c r="AW359" s="257">
        <f>IFERROR(IF(COUNT(AW356,AW357,AW358)=3,AW356*AW357*AW358,""),"")</f>
        <v>0.103577127560988</v>
      </c>
      <c r="AX359" s="257">
        <f>IFERROR(IF(COUNT(AX356,AX357,AX358)=3,AX356*AX357*AX358,""),"")</f>
        <v>0.10083361697411</v>
      </c>
      <c r="AY359" s="257">
        <f>IFERROR(IF(COUNT(AY356,AY357,AY358)=3,AY356*AY357*AY358,""),"")</f>
        <v>0.0982237279452601</v>
      </c>
      <c r="AZ359" s="257">
        <f>IFERROR(IF(COUNT(AZ356,AZ357,AZ358)=3,AZ356*AZ357*AZ358,""),"")</f>
        <v>0.0962145926339463</v>
      </c>
      <c r="BA359" s="258">
        <f>IFERROR(IF(COUNT(BA356,BA357,BA358)=3,BA356*BA357*BA358,""),"")</f>
        <v>0.0962145926339463</v>
      </c>
      <c r="BB359" s="257">
        <f>IFERROR(IF(COUNT(BB356,BB357,BB358)=3,BB356*BB357*BB358,""),"")</f>
        <v>0.0940476025354476</v>
      </c>
      <c r="BC359" s="257">
        <f>IFERROR(IF(COUNT(BC356,BC357,BC358)=3,BC356*BC357*BC358,""),"")</f>
        <v>0.0917184421423228</v>
      </c>
      <c r="BD359" s="257">
        <f>IFERROR(IF(COUNT(BD356,BD357,BD358)=3,BD356*BD357*BD358,""),"")</f>
        <v>0.089491579725992</v>
      </c>
      <c r="BE359" s="257">
        <f>IFERROR(IF(COUNT(BE356,BE357,BE358)=3,BE356*BE357*BE358,""),"")</f>
        <v>0.0877698520713588</v>
      </c>
      <c r="BF359" s="258">
        <f>IFERROR(IF(COUNT(BF356,BF357,BF358)=3,BF356*BF357*BF358,""),"")</f>
        <v>0.0877698520713588</v>
      </c>
      <c r="BG359" s="81" t="n"/>
      <c r="BH359" s="81" t="n"/>
      <c r="BI359" s="81" t="n"/>
      <c r="BJ359" s="81" t="n"/>
      <c r="BL359" s="81" t="n"/>
      <c r="BM359" s="81" t="n"/>
      <c r="BN359" s="81" t="n"/>
      <c r="BO359" s="81" t="n"/>
      <c r="BQ359" s="81" t="n"/>
      <c r="BR359" s="81" t="n"/>
      <c r="BS359" s="81" t="n"/>
      <c r="BT359" s="81" t="n"/>
      <c r="BV359" s="81" t="n"/>
      <c r="BW359" s="81" t="n"/>
      <c r="BX359" s="81" t="n"/>
      <c r="BY359" s="81" t="n"/>
      <c r="CA359" s="81" t="n"/>
      <c r="CB359" s="81" t="n"/>
      <c r="CC359" s="81" t="n"/>
      <c r="CD359" s="81" t="n"/>
      <c r="CF359" s="81" t="n"/>
      <c r="CG359" s="81" t="n"/>
      <c r="CH359" s="81" t="n"/>
      <c r="CI359" s="81" t="n"/>
      <c r="CK359" s="81" t="n"/>
      <c r="CL359" s="81" t="n"/>
      <c r="CM359" s="81" t="n"/>
      <c r="CN359" s="81" t="n"/>
      <c r="CP359" s="81" t="n"/>
      <c r="CQ359" s="81" t="n"/>
      <c r="CR359" s="81" t="n"/>
      <c r="CS359" s="81" t="n"/>
      <c r="CU359" s="81" t="n"/>
      <c r="CV359" s="81" t="n"/>
      <c r="CW359" s="81" t="n"/>
      <c r="CX359" s="81" t="n"/>
    </row>
    <row r="360" customFormat="1" s="77">
      <c r="A360" s="76" t="n"/>
      <c r="B360" s="76" t="n"/>
      <c r="C360" s="77" t="inlineStr">
        <is>
          <t>ROE (LTM)</t>
        </is>
      </c>
      <c r="D360" s="84" t="str">
        <f>IFERROR(D129/D263,"")</f>
        <v/>
      </c>
      <c r="E360" s="84" t="str">
        <f>IFERROR(E129/E263,"")</f>
        <v/>
      </c>
      <c r="F360" s="84" t="str">
        <f>IFERROR(F129/F263,"")</f>
        <v/>
      </c>
      <c r="G360" s="84" t="str">
        <f>IFERROR(G129/G263,"")</f>
        <v/>
      </c>
      <c r="H360" s="258" t="str">
        <f>IFERROR(IF(AND(COUNT(H129)=1,N(H263)&lt;&gt;0),(H129)/H263,""),"")</f>
        <v/>
      </c>
      <c r="I360" s="257" t="str">
        <f>""</f>
        <v/>
      </c>
      <c r="J360" s="257" t="str">
        <f>""</f>
        <v/>
      </c>
      <c r="K360" s="257" t="str">
        <f>""</f>
        <v/>
      </c>
      <c r="L360" s="257">
        <f>IFERROR(IF(AND(COUNT(I129,J129,K129,L129)=4,N(L263)&lt;&gt;0),(I129+J129+K129+L129)/L263,""),"")</f>
        <v>0.187062861114731</v>
      </c>
      <c r="M360" s="258">
        <f>IFERROR(IF(AND(COUNT(I129,J129,K129,L129)=4,N(M263)&lt;&gt;0),(I129+J129+K129+L129)/M263,""),"")</f>
        <v>0.187062861114731</v>
      </c>
      <c r="N360" s="257">
        <f>IFERROR(IF(AND(COUNT(J129,K129,L129,N129)=4,N(N263)&lt;&gt;0),(J129+K129+L129+N129)/N263,""),"")</f>
        <v>0.212752682805091</v>
      </c>
      <c r="O360" s="257">
        <f>IFERROR(IF(AND(COUNT(K129,L129,N129,O129)=4,N(O263)&lt;&gt;0),(K129+L129+N129+O129)/O263,""),"")</f>
        <v>0.20260323533081</v>
      </c>
      <c r="P360" s="257">
        <f>IFERROR(IF(AND(COUNT(L129,N129,O129,P129)=4,N(P263)&lt;&gt;0),(L129+N129+O129+P129)/P263,""),"")</f>
        <v>0.160332492452752</v>
      </c>
      <c r="Q360" s="257">
        <f>IFERROR(IF(AND(COUNT(N129,O129,P129,Q129)=4,N(Q263)&lt;&gt;0),(N129+O129+P129+Q129)/Q263,""),"")</f>
        <v>0.139439507860561</v>
      </c>
      <c r="R360" s="258">
        <f>IFERROR(IF(AND(COUNT(N129,O129,P129,Q129)=4,N(R263)&lt;&gt;0),(N129+O129+P129+Q129)/R263,""),"")</f>
        <v>0.139439507860561</v>
      </c>
      <c r="S360" s="257">
        <f>IFERROR(IF(AND(COUNT(O129,P129,Q129,S129)=4,N(S263)&lt;&gt;0),(O129+P129+Q129+S129)/S263,""),"")</f>
        <v>0.101528384279476</v>
      </c>
      <c r="T360" s="257">
        <f>IFERROR(IF(AND(COUNT(P129,Q129,S129,T129)=4,N(T263)&lt;&gt;0),(P129+Q129+S129+T129)/T263,""),"")</f>
        <v>0.0809543935144273</v>
      </c>
      <c r="U360" s="257">
        <f>IFERROR(IF(AND(COUNT(Q129,S129,T129,U129)=4,N(U263)&lt;&gt;0),(Q129+S129+T129+U129)/U263,""),"")</f>
        <v>0.080856168234809</v>
      </c>
      <c r="V360" s="257">
        <f>IFERROR(IF(AND(COUNT(S129,T129,U129,V129)=4,N(V263)&lt;&gt;0),(S129+T129+U129+V129)/V263,""),"")</f>
        <v>0.0676675210545588</v>
      </c>
      <c r="W360" s="258">
        <f>IFERROR(IF(AND(COUNT(S129,T129,U129,V129)=4,N(W263)&lt;&gt;0),(S129+T129+U129+V129)/W263,""),"")</f>
        <v>0.0676675210545588</v>
      </c>
      <c r="X360" s="257">
        <f>IFERROR(IF(AND(COUNT(T129,U129,V129,X129)=4,N(X263)&lt;&gt;0),(T129+U129+V129+X129)/X263,""),"")</f>
        <v>0.0589930617327878</v>
      </c>
      <c r="Y360" s="257">
        <f>IFERROR(IF(AND(COUNT(U129,V129,X129,Y129)=4,N(Y263)&lt;&gt;0),(U129+V129+X129+Y129)/Y263,""),"")</f>
        <v>0.0673150665830022</v>
      </c>
      <c r="Z360" s="257">
        <f>IFERROR(IF(AND(COUNT(V129,X129,Y129,Z129)=4,N(Z263)&lt;&gt;0),(V129+X129+Y129+Z129)/Z263,""),"")</f>
        <v>0.0693895932931476</v>
      </c>
      <c r="AA360" s="257">
        <f>IFERROR(IF(AND(COUNT(X129,Y129,Z129,AA129)=4,N(AA263)&lt;&gt;0),(X129+Y129+Z129+AA129)/AA263,""),"")</f>
        <v>0.0656404197650983</v>
      </c>
      <c r="AB360" s="258">
        <f>IFERROR(IF(AND(COUNT(X129,Y129,Z129,AA129)=4,N(AB263)&lt;&gt;0),(X129+Y129+Z129+AA129)/AB263,""),"")</f>
        <v>0.0656404197650983</v>
      </c>
      <c r="AC360" s="257">
        <f>IFERROR(IF(AND(COUNT(Y129,Z129,AA129,AC129)=4,N(AC263)&lt;&gt;0),(Y129+Z129+AA129+AC129)/AC263,""),"")</f>
        <v>0.060518929280482</v>
      </c>
      <c r="AD360" s="257">
        <f>IFERROR(IF(AND(COUNT(Z129,AA129,AC129,AD129)=4,N(AD263)&lt;&gt;0),(Z129+AA129+AC129+AD129)/AD263,""),"")</f>
        <v>0.0641418855847446</v>
      </c>
      <c r="AE360" s="257">
        <f>IFERROR(IF(AND(COUNT(AA129,AC129,AD129,AE129)=4,N(AE263)&lt;&gt;0),(AA129+AC129+AD129+AE129)/AE263,""),"")</f>
        <v>0.0681646215087015</v>
      </c>
      <c r="AF360" s="257">
        <f>IFERROR(IF(AND(COUNT(AB129,AD129,AE129,AF129)=4,N(AF263)&lt;&gt;0),(AB129+AD129+AE129+AF129)/AF263,""),"")</f>
        <v>0.121595267503088</v>
      </c>
      <c r="AG360" s="258">
        <f>IFERROR(IF(AND(COUNT(AC129,AD129,AE129,AF129)=4,N(AG263)&lt;&gt;0),(AC129+AD129+AE129+AF129)/AG263,""),"")</f>
        <v>0.0716375219398037</v>
      </c>
      <c r="AH360" s="257">
        <f>IFERROR(IF(AND(COUNT(AD129,AF129,AG129,AH129)=4,N(AH263)&lt;&gt;0),(AD129+AF129+AG129+AH129)/AH263,""),"")</f>
        <v>0.135286090571546</v>
      </c>
      <c r="AI360" s="257">
        <f>IFERROR(IF(AND(COUNT(AE129,AG129,AH129,AI129)=4,N(AI263)&lt;&gt;0),(AE129+AG129+AH129+AI129)/AI263,""),"")</f>
        <v>0.147197566879772</v>
      </c>
      <c r="AJ360" s="257">
        <f>IFERROR(IF(AND(COUNT(AF129,AH129,AI129,AJ129)=4,N(AJ263)&lt;&gt;0),(AF129+AH129+AI129+AJ129)/AJ263,""),"")</f>
        <v>0.104714178524169</v>
      </c>
      <c r="AK360" s="257">
        <f>IFERROR(IF(AND(COUNT(AH129,AI129,AJ129,AK129)=4,N(AK263)&lt;&gt;0),(AH129+AI129+AJ129+AK129)/AK263,""),"")</f>
        <v>0.118799840149848</v>
      </c>
      <c r="AL360" s="258">
        <f>IFERROR(IF(AND(COUNT(AH129,AI129,AJ129,AK129)=4,N(AL263)&lt;&gt;0),(AH129+AI129+AJ129+AK129)/AL263,""),"")</f>
        <v>0.118799840149848</v>
      </c>
      <c r="AM360" s="257">
        <f>IFERROR(IF(AND(COUNT(AI129,AJ129,AK129,AM129)=4,N(AM263)&lt;&gt;0),(AI129+AJ129+AK129+AM129)/AM263,""),"")</f>
        <v>0.121326238576628</v>
      </c>
      <c r="AN360" s="257">
        <f>IFERROR(IF(AND(COUNT(AJ129,AK129,AM129,AN129)=4,N(AN263)&lt;&gt;0),(AJ129+AK129+AM129+AN129)/AN263,""),"")</f>
        <v>0.124247496923201</v>
      </c>
      <c r="AO360" s="257">
        <f>IFERROR(IF(AND(COUNT(AK129,AM129,AN129,AO129)=4,N(AO263)&lt;&gt;0),(AK129+AM129+AN129+AO129)/AO263,""),"")</f>
        <v>0.120591103103115</v>
      </c>
      <c r="AP360" s="257">
        <f>IFERROR(IF(AND(COUNT(AM129,AN129,AO129,AP129)=4,N(AP263)&lt;&gt;0),(AM129+AN129+AO129+AP129)/AP263,""),"")</f>
        <v>0.117807640094691</v>
      </c>
      <c r="AQ360" s="258">
        <f>IFERROR(IF(AND(COUNT(AM129,AN129,AO129,AP129)=4,N(AQ263)&lt;&gt;0),(AM129+AN129+AO129+AP129)/AQ263,""),"")</f>
        <v>0.117807640094691</v>
      </c>
      <c r="AR360" s="257">
        <f>IFERROR(IF(AND(COUNT(AN129,AO129,AP129,AR129)=4,N(AR263)&lt;&gt;0),(AN129+AO129+AP129+AR129)/AR263,""),"")</f>
        <v>0.114768723033536</v>
      </c>
      <c r="AS360" s="257">
        <f>IFERROR(IF(AND(COUNT(AO129,AP129,AR129,AS129)=4,N(AS263)&lt;&gt;0),(AO129+AP129+AR129+AS129)/AS263,""),"")</f>
        <v>0.111537741605849</v>
      </c>
      <c r="AT360" s="257">
        <f>IFERROR(IF(AND(COUNT(AP129,AR129,AS129,AT129)=4,N(AT263)&lt;&gt;0),(AP129+AR129+AS129+AT129)/AT263,""),"")</f>
        <v>0.108482370351946</v>
      </c>
      <c r="AU360" s="257">
        <f>IFERROR(IF(AND(COUNT(AR129,AS129,AT129,AU129)=4,N(AU263)&lt;&gt;0),(AR129+AS129+AT129+AU129)/AU263,""),"")</f>
        <v>0.106142316403409</v>
      </c>
      <c r="AV360" s="258">
        <f>IFERROR(IF(AND(COUNT(AR129,AS129,AT129,AU129)=4,N(AV263)&lt;&gt;0),(AR129+AS129+AT129+AU129)/AV263,""),"")</f>
        <v>0.106142316403409</v>
      </c>
      <c r="AW360" s="257">
        <f>IFERROR(IF(AND(COUNT(AS129,AT129,AU129,AW129)=4,N(AW263)&lt;&gt;0),(AS129+AT129+AU129+AW129)/AW263,""),"")</f>
        <v>0.103577127560988</v>
      </c>
      <c r="AX360" s="257">
        <f>IFERROR(IF(AND(COUNT(AT129,AU129,AW129,AX129)=4,N(AX263)&lt;&gt;0),(AT129+AU129+AW129+AX129)/AX263,""),"")</f>
        <v>0.10083361697411</v>
      </c>
      <c r="AY360" s="257">
        <f>IFERROR(IF(AND(COUNT(AU129,AW129,AX129,AY129)=4,N(AY263)&lt;&gt;0),(AU129+AW129+AX129+AY129)/AY263,""),"")</f>
        <v>0.0982237279452601</v>
      </c>
      <c r="AZ360" s="257">
        <f>IFERROR(IF(AND(COUNT(AW129,AX129,AY129,AZ129)=4,N(AZ263)&lt;&gt;0),(AW129+AX129+AY129+AZ129)/AZ263,""),"")</f>
        <v>0.0962145926339463</v>
      </c>
      <c r="BA360" s="258">
        <f>IFERROR(IF(AND(COUNT(AW129,AX129,AY129,AZ129)=4,N(BA263)&lt;&gt;0),(AW129+AX129+AY129+AZ129)/BA263,""),"")</f>
        <v>0.0962145926339463</v>
      </c>
      <c r="BB360" s="257">
        <f>IFERROR(IF(AND(COUNT(AX129,AY129,AZ129,BB129)=4,N(BB263)&lt;&gt;0),(AX129+AY129+AZ129+BB129)/BB263,""),"")</f>
        <v>0.0940476025354476</v>
      </c>
      <c r="BC360" s="257">
        <f>IFERROR(IF(AND(COUNT(AY129,AZ129,BB129,BC129)=4,N(BC263)&lt;&gt;0),(AY129+AZ129+BB129+BC129)/BC263,""),"")</f>
        <v>0.0917184421423228</v>
      </c>
      <c r="BD360" s="257">
        <f>IFERROR(IF(AND(COUNT(AZ129,BB129,BC129,BD129)=4,N(BD263)&lt;&gt;0),(AZ129+BB129+BC129+BD129)/BD263,""),"")</f>
        <v>0.089491579725992</v>
      </c>
      <c r="BE360" s="257">
        <f>IFERROR(IF(AND(COUNT(BB129,BC129,BD129,BE129)=4,N(BE263)&lt;&gt;0),(BB129+BC129+BD129+BE129)/BE263,""),"")</f>
        <v>0.0877698520713588</v>
      </c>
      <c r="BF360" s="258">
        <f>IFERROR(IF(AND(COUNT(BB129,BC129,BD129,BE129)=4,N(BF263)&lt;&gt;0),(BB129+BC129+BD129+BE129)/BF263,""),"")</f>
        <v>0.0877698520713588</v>
      </c>
      <c r="BG360" s="81" t="n"/>
      <c r="BH360" s="81" t="n"/>
      <c r="BI360" s="81" t="n"/>
      <c r="BJ360" s="81" t="n"/>
      <c r="BL360" s="81" t="n"/>
      <c r="BM360" s="81" t="n"/>
      <c r="BN360" s="81" t="n"/>
      <c r="BO360" s="81" t="n"/>
      <c r="BQ360" s="81" t="n"/>
      <c r="BR360" s="81" t="n"/>
      <c r="BS360" s="81" t="n"/>
      <c r="BT360" s="81" t="n"/>
      <c r="BV360" s="81" t="n"/>
      <c r="BW360" s="81" t="n"/>
      <c r="BX360" s="81" t="n"/>
      <c r="BY360" s="81" t="n"/>
      <c r="CA360" s="81" t="n"/>
      <c r="CB360" s="81" t="n"/>
      <c r="CC360" s="81" t="n"/>
      <c r="CD360" s="81" t="n"/>
      <c r="CF360" s="81" t="n"/>
      <c r="CG360" s="81" t="n"/>
      <c r="CH360" s="81" t="n"/>
      <c r="CI360" s="81" t="n"/>
      <c r="CK360" s="81" t="n"/>
      <c r="CL360" s="81" t="n"/>
      <c r="CM360" s="81" t="n"/>
      <c r="CN360" s="81" t="n"/>
      <c r="CP360" s="81" t="n"/>
      <c r="CQ360" s="81" t="n"/>
      <c r="CR360" s="81" t="n"/>
      <c r="CS360" s="81" t="n"/>
      <c r="CU360" s="81" t="n"/>
      <c r="CV360" s="81" t="n"/>
      <c r="CW360" s="81" t="n"/>
      <c r="CX360" s="81" t="n"/>
    </row>
    <row r="361"/>
    <row r="362">
      <c r="C362" s="73" t="inlineStr">
        <is>
          <t>Scenario Analysis</t>
        </is>
      </c>
      <c r="D362" s="73" t="n"/>
      <c r="E362" s="73" t="n"/>
      <c r="F362" s="73" t="n"/>
      <c r="G362" s="73" t="n"/>
      <c r="H362" s="73" t="n"/>
      <c r="I362" s="73" t="n"/>
      <c r="J362" s="73" t="n"/>
      <c r="K362" s="73" t="n"/>
      <c r="L362" s="73" t="n"/>
      <c r="M362" s="73" t="n"/>
      <c r="N362" s="73" t="n"/>
      <c r="O362" s="73" t="n"/>
      <c r="P362" s="73" t="n"/>
      <c r="Q362" s="73" t="n"/>
      <c r="R362" s="73" t="n"/>
      <c r="S362" s="73" t="n"/>
      <c r="T362" s="73" t="n"/>
      <c r="U362" s="73" t="n"/>
      <c r="V362" s="73" t="n"/>
      <c r="W362" s="73" t="n"/>
      <c r="X362" s="73" t="n"/>
      <c r="Y362" s="73" t="n"/>
      <c r="Z362" s="73" t="n"/>
      <c r="AA362" s="73" t="n"/>
      <c r="AB362" s="73" t="n"/>
      <c r="AC362" s="73" t="n"/>
      <c r="AD362" s="73" t="n"/>
      <c r="AE362" s="73" t="n"/>
      <c r="AF362" s="73" t="n"/>
      <c r="AG362" s="73" t="n"/>
      <c r="AH362" s="73" t="n"/>
      <c r="AI362" s="73" t="n"/>
      <c r="AJ362" s="73" t="n"/>
      <c r="AK362" s="73" t="n"/>
      <c r="AL362" s="73" t="n"/>
      <c r="AM362" s="73" t="n"/>
      <c r="AN362" s="73" t="n"/>
      <c r="AO362" s="73" t="n"/>
      <c r="AP362" s="73" t="n"/>
      <c r="AQ362" s="73" t="n"/>
      <c r="AR362" s="73" t="n"/>
      <c r="AS362" s="73" t="n"/>
      <c r="AT362" s="73" t="n"/>
      <c r="AU362" s="73" t="n"/>
      <c r="AV362" s="73" t="n"/>
      <c r="AW362" s="73" t="n"/>
      <c r="AX362" s="73" t="n"/>
      <c r="AY362" s="73" t="n"/>
      <c r="AZ362" s="73" t="n"/>
      <c r="BA362" s="73" t="n"/>
      <c r="BB362" s="73" t="n"/>
      <c r="BC362" s="73" t="n"/>
      <c r="BD362" s="73" t="n"/>
      <c r="BE362" s="73" t="n"/>
      <c r="BF362" s="73" t="n"/>
      <c r="BG362" s="73" t="n"/>
      <c r="BH362" s="73" t="n"/>
      <c r="BI362" s="73" t="n"/>
      <c r="BJ362" s="73" t="n"/>
      <c r="BK362" s="73" t="n"/>
      <c r="BL362" s="73" t="n"/>
      <c r="BM362" s="73" t="n"/>
      <c r="BN362" s="73" t="n"/>
      <c r="BO362" s="73" t="n"/>
      <c r="BP362" s="73" t="n"/>
      <c r="BQ362" s="73" t="n"/>
      <c r="BR362" s="73" t="n"/>
      <c r="BS362" s="73" t="n"/>
      <c r="BT362" s="73" t="n"/>
      <c r="BU362" s="73" t="n"/>
      <c r="BV362" s="73" t="n"/>
      <c r="BW362" s="73" t="n"/>
      <c r="BX362" s="73" t="n"/>
      <c r="BY362" s="73" t="n"/>
      <c r="BZ362" s="73" t="n"/>
      <c r="CA362" s="73" t="n"/>
      <c r="CB362" s="73" t="n"/>
      <c r="CC362" s="73" t="n"/>
      <c r="CD362" s="73" t="n"/>
      <c r="CE362" s="73" t="n"/>
      <c r="CF362" s="73" t="n"/>
      <c r="CG362" s="73" t="n"/>
      <c r="CH362" s="73" t="n"/>
      <c r="CI362" s="73" t="n"/>
      <c r="CJ362" s="73" t="n"/>
      <c r="CK362" s="73" t="n"/>
      <c r="CL362" s="73" t="n"/>
      <c r="CM362" s="73" t="n"/>
      <c r="CN362" s="73" t="n"/>
      <c r="CO362" s="73" t="n"/>
      <c r="CP362" s="73" t="n"/>
      <c r="CQ362" s="73" t="n"/>
      <c r="CR362" s="73" t="n"/>
      <c r="CS362" s="73" t="n"/>
      <c r="CT362" s="73" t="n"/>
      <c r="CU362" s="73" t="n"/>
      <c r="CV362" s="73" t="n"/>
      <c r="CW362" s="73" t="n"/>
      <c r="CX362" s="73" t="n"/>
      <c r="CY362" s="73" t="n"/>
    </row>
    <row r="363"/>
    <row r="364"/>
    <row r="365">
      <c r="C365" s="4" t="inlineStr">
        <is>
          <t>Bull case</t>
        </is>
      </c>
    </row>
    <row r="366">
      <c r="C366" s="4" t="inlineStr">
        <is>
          <t>Base case</t>
        </is>
      </c>
    </row>
    <row r="367">
      <c r="C367" s="4" t="inlineStr">
        <is>
          <t>Bear case</t>
        </is>
      </c>
    </row>
    <row r="368"/>
    <row r="369"/>
    <row r="370">
      <c r="C370" s="4" t="inlineStr">
        <is>
          <t>Bull case</t>
        </is>
      </c>
    </row>
    <row r="371">
      <c r="C371" s="4" t="inlineStr">
        <is>
          <t>Base case</t>
        </is>
      </c>
    </row>
    <row r="372">
      <c r="C372" s="4" t="inlineStr">
        <is>
          <t>Bear case</t>
        </is>
      </c>
    </row>
    <row r="373"/>
    <row r="374"/>
    <row r="375">
      <c r="C375" s="4" t="inlineStr">
        <is>
          <t>% Gross Margin</t>
        </is>
      </c>
    </row>
    <row r="376">
      <c r="C376" s="4" t="inlineStr">
        <is>
          <t>Bull case</t>
        </is>
      </c>
    </row>
    <row r="377">
      <c r="C377" s="4" t="inlineStr">
        <is>
          <t>Base case</t>
        </is>
      </c>
    </row>
    <row r="378">
      <c r="C378" s="4" t="inlineStr">
        <is>
          <t>Bear case</t>
        </is>
      </c>
    </row>
    <row r="379"/>
    <row r="380"/>
    <row r="381">
      <c r="C381" s="4" t="inlineStr">
        <is>
          <t>Capital expenditures</t>
        </is>
      </c>
    </row>
    <row r="382">
      <c r="C382" s="4" t="inlineStr">
        <is>
          <t>Bull case</t>
        </is>
      </c>
    </row>
    <row r="383">
      <c r="C383" s="4" t="inlineStr">
        <is>
          <t>Base case</t>
        </is>
      </c>
    </row>
    <row r="384">
      <c r="C384" s="4" t="inlineStr">
        <is>
          <t>Bear case</t>
        </is>
      </c>
    </row>
  </sheetData>
  <conditionalFormatting sqref="B1:B4 B13:B1048576">
    <cfRule type="expression" priority="25" dxfId="23">
      <formula>B1&lt;&gt;""</formula>
    </cfRule>
  </conditionalFormatting>
  <conditionalFormatting sqref="D1:CY3">
    <cfRule type="cellIs" priority="18" operator="greaterThan" dxfId="22">
      <formula>1</formula>
    </cfRule>
  </conditionalFormatting>
  <conditionalFormatting sqref="E307:G307">
    <cfRule type="cellIs" priority="16" operator="notEqual" dxfId="0">
      <formula>0</formula>
    </cfRule>
  </conditionalFormatting>
  <conditionalFormatting sqref="E5:H5">
    <cfRule type="cellIs" priority="17" operator="greaterThan" dxfId="18">
      <formula>$B$5</formula>
    </cfRule>
  </conditionalFormatting>
  <conditionalFormatting sqref="I307:L307">
    <cfRule type="cellIs" priority="23" operator="notEqual" dxfId="0">
      <formula>0</formula>
    </cfRule>
  </conditionalFormatting>
  <conditionalFormatting sqref="J5:CY5">
    <cfRule type="cellIs" priority="24" operator="greaterThan" dxfId="18">
      <formula>$B$5</formula>
    </cfRule>
  </conditionalFormatting>
  <conditionalFormatting sqref="N307:Q307">
    <cfRule type="cellIs" priority="22" operator="notEqual" dxfId="0">
      <formula>0</formula>
    </cfRule>
  </conditionalFormatting>
  <conditionalFormatting sqref="S307:V307">
    <cfRule type="cellIs" priority="21" operator="notEqual" dxfId="0">
      <formula>0</formula>
    </cfRule>
  </conditionalFormatting>
  <conditionalFormatting sqref="X307:AA307">
    <cfRule type="cellIs" priority="20" operator="notEqual" dxfId="0">
      <formula>0</formula>
    </cfRule>
  </conditionalFormatting>
  <conditionalFormatting sqref="AC307:AF307">
    <cfRule type="cellIs" priority="19" operator="notEqual" dxfId="0">
      <formula>0</formula>
    </cfRule>
  </conditionalFormatting>
  <conditionalFormatting sqref="AH307:AK307">
    <cfRule type="cellIs" priority="15" operator="notEqual" dxfId="0">
      <formula>0</formula>
    </cfRule>
  </conditionalFormatting>
  <conditionalFormatting sqref="AM307:AP307">
    <cfRule type="cellIs" priority="14" operator="notEqual" dxfId="0">
      <formula>0</formula>
    </cfRule>
  </conditionalFormatting>
  <conditionalFormatting sqref="AR307:AU307">
    <cfRule type="cellIs" priority="13" operator="notEqual" dxfId="0">
      <formula>0</formula>
    </cfRule>
  </conditionalFormatting>
  <conditionalFormatting sqref="AW307:AZ307">
    <cfRule type="cellIs" priority="12" operator="notEqual" dxfId="0">
      <formula>0</formula>
    </cfRule>
  </conditionalFormatting>
  <conditionalFormatting sqref="BB307:BE307">
    <cfRule type="cellIs" priority="11" operator="notEqual" dxfId="0">
      <formula>0</formula>
    </cfRule>
  </conditionalFormatting>
  <conditionalFormatting sqref="BG307:BJ307">
    <cfRule type="cellIs" priority="10" operator="notEqual" dxfId="0">
      <formula>0</formula>
    </cfRule>
  </conditionalFormatting>
  <conditionalFormatting sqref="BL307:BO307">
    <cfRule type="cellIs" priority="9" operator="notEqual" dxfId="0">
      <formula>0</formula>
    </cfRule>
  </conditionalFormatting>
  <conditionalFormatting sqref="BQ307:BT307">
    <cfRule type="cellIs" priority="8" operator="notEqual" dxfId="0">
      <formula>0</formula>
    </cfRule>
  </conditionalFormatting>
  <conditionalFormatting sqref="BV307:BY307">
    <cfRule type="cellIs" priority="7" operator="notEqual" dxfId="0">
      <formula>0</formula>
    </cfRule>
  </conditionalFormatting>
  <conditionalFormatting sqref="CA307:CD307">
    <cfRule type="cellIs" priority="6" operator="notEqual" dxfId="0">
      <formula>0</formula>
    </cfRule>
  </conditionalFormatting>
  <conditionalFormatting sqref="CF307:CI307">
    <cfRule type="cellIs" priority="5" operator="notEqual" dxfId="0">
      <formula>0</formula>
    </cfRule>
  </conditionalFormatting>
  <conditionalFormatting sqref="CK307:CN307">
    <cfRule type="cellIs" priority="4" operator="notEqual" dxfId="0">
      <formula>0</formula>
    </cfRule>
  </conditionalFormatting>
  <conditionalFormatting sqref="CP307:CS307">
    <cfRule type="cellIs" priority="3" operator="notEqual" dxfId="0">
      <formula>0</formula>
    </cfRule>
  </conditionalFormatting>
  <conditionalFormatting sqref="CU307:CX307">
    <cfRule type="cellIs" priority="2" operator="notEqual" dxfId="0">
      <formula>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102"/>
  <sheetViews>
    <sheetView zoomScaleNormal="100" workbookViewId="0">
      <selection activeCell="A1" sqref="A1"/>
    </sheetView>
  </sheetViews>
  <sheetFormatPr baseColWidth="8" defaultColWidth="10.42578125" defaultRowHeight="12.75"/>
  <cols>
    <col width="2.28515625" customWidth="1" style="251" min="1" max="1"/>
    <col width="4.85546875" customWidth="1" style="251" min="2" max="2"/>
    <col width="62" customWidth="1" style="251" min="3" max="3"/>
    <col width="14.5703125" customWidth="1" style="251" min="4" max="4"/>
    <col width="12.85546875" customWidth="1" style="251" min="5" max="6"/>
    <col width="13.42578125" customWidth="1" style="251" min="7" max="7"/>
    <col width="16" customWidth="1" style="251" min="8" max="8"/>
    <col width="15.5703125" customWidth="1" style="251" min="9" max="9"/>
    <col width="12.85546875" customWidth="1" style="251" min="10" max="12"/>
    <col width="13.28515625" customWidth="1" style="251" min="13" max="13"/>
    <col width="13.140625" customWidth="1" style="251" min="14" max="14"/>
    <col width="13.28515625" customWidth="1" style="251" min="15" max="15"/>
    <col width="12.28515625" customWidth="1" style="251" min="16" max="20"/>
    <col width="13.28515625" customWidth="1" style="251" min="21" max="22"/>
    <col width="10.5703125" customWidth="1" style="251" min="23" max="23"/>
    <col width="13" customWidth="1" style="251" min="24" max="25"/>
    <col width="11.28515625" customWidth="1" style="251" min="26" max="26"/>
    <col width="10.42578125" customWidth="1" style="251" min="27" max="27"/>
    <col width="21.5703125" customWidth="1" style="251" min="28" max="28"/>
    <col width="10.42578125" customWidth="1" style="251" min="29" max="31"/>
    <col width="9.140625" customWidth="1" style="251" min="32" max="32"/>
    <col width="10.42578125" customWidth="1" style="251" min="33" max="261"/>
    <col width="2.28515625" customWidth="1" style="251" min="262" max="263"/>
    <col width="35.42578125" customWidth="1" style="251" min="264" max="264"/>
    <col width="14.7109375" customWidth="1" style="251" min="265" max="265"/>
    <col width="12.85546875" customWidth="1" style="251" min="266" max="268"/>
    <col width="15.5703125" customWidth="1" style="251" min="269" max="269"/>
    <col width="12.85546875" customWidth="1" style="251" min="270" max="273"/>
    <col width="10.42578125" customWidth="1" style="251" min="274" max="275"/>
    <col width="12.28515625" customWidth="1" style="251" min="276" max="276"/>
    <col width="10.42578125" customWidth="1" style="251" min="277" max="517"/>
    <col width="2.28515625" customWidth="1" style="251" min="518" max="519"/>
    <col width="35.42578125" customWidth="1" style="251" min="520" max="520"/>
    <col width="14.7109375" customWidth="1" style="251" min="521" max="521"/>
    <col width="12.85546875" customWidth="1" style="251" min="522" max="524"/>
    <col width="15.5703125" customWidth="1" style="251" min="525" max="525"/>
    <col width="12.85546875" customWidth="1" style="251" min="526" max="529"/>
    <col width="10.42578125" customWidth="1" style="251" min="530" max="531"/>
    <col width="12.28515625" customWidth="1" style="251" min="532" max="532"/>
    <col width="10.42578125" customWidth="1" style="251" min="533" max="773"/>
    <col width="2.28515625" customWidth="1" style="251" min="774" max="775"/>
    <col width="35.42578125" customWidth="1" style="251" min="776" max="776"/>
    <col width="14.7109375" customWidth="1" style="251" min="777" max="777"/>
    <col width="12.85546875" customWidth="1" style="251" min="778" max="780"/>
    <col width="15.5703125" customWidth="1" style="251" min="781" max="781"/>
    <col width="12.85546875" customWidth="1" style="251" min="782" max="785"/>
    <col width="10.42578125" customWidth="1" style="251" min="786" max="787"/>
    <col width="12.28515625" customWidth="1" style="251" min="788" max="788"/>
    <col width="10.42578125" customWidth="1" style="251" min="789" max="1029"/>
    <col width="2.28515625" customWidth="1" style="251" min="1030" max="1031"/>
    <col width="35.42578125" customWidth="1" style="251" min="1032" max="1032"/>
    <col width="14.7109375" customWidth="1" style="251" min="1033" max="1033"/>
    <col width="12.85546875" customWidth="1" style="251" min="1034" max="1036"/>
    <col width="15.5703125" customWidth="1" style="251" min="1037" max="1037"/>
    <col width="12.85546875" customWidth="1" style="251" min="1038" max="1041"/>
    <col width="10.42578125" customWidth="1" style="251" min="1042" max="1043"/>
    <col width="12.28515625" customWidth="1" style="251" min="1044" max="1044"/>
    <col width="10.42578125" customWidth="1" style="251" min="1045" max="1285"/>
    <col width="2.28515625" customWidth="1" style="251" min="1286" max="1287"/>
    <col width="35.42578125" customWidth="1" style="251" min="1288" max="1288"/>
    <col width="14.7109375" customWidth="1" style="251" min="1289" max="1289"/>
    <col width="12.85546875" customWidth="1" style="251" min="1290" max="1292"/>
    <col width="15.5703125" customWidth="1" style="251" min="1293" max="1293"/>
    <col width="12.85546875" customWidth="1" style="251" min="1294" max="1297"/>
    <col width="10.42578125" customWidth="1" style="251" min="1298" max="1299"/>
    <col width="12.28515625" customWidth="1" style="251" min="1300" max="1300"/>
    <col width="10.42578125" customWidth="1" style="251" min="1301" max="1541"/>
    <col width="2.28515625" customWidth="1" style="251" min="1542" max="1543"/>
    <col width="35.42578125" customWidth="1" style="251" min="1544" max="1544"/>
    <col width="14.7109375" customWidth="1" style="251" min="1545" max="1545"/>
    <col width="12.85546875" customWidth="1" style="251" min="1546" max="1548"/>
    <col width="15.5703125" customWidth="1" style="251" min="1549" max="1549"/>
    <col width="12.85546875" customWidth="1" style="251" min="1550" max="1553"/>
    <col width="10.42578125" customWidth="1" style="251" min="1554" max="1555"/>
    <col width="12.28515625" customWidth="1" style="251" min="1556" max="1556"/>
    <col width="10.42578125" customWidth="1" style="251" min="1557" max="1797"/>
    <col width="2.28515625" customWidth="1" style="251" min="1798" max="1799"/>
    <col width="35.42578125" customWidth="1" style="251" min="1800" max="1800"/>
    <col width="14.7109375" customWidth="1" style="251" min="1801" max="1801"/>
    <col width="12.85546875" customWidth="1" style="251" min="1802" max="1804"/>
    <col width="15.5703125" customWidth="1" style="251" min="1805" max="1805"/>
    <col width="12.85546875" customWidth="1" style="251" min="1806" max="1809"/>
    <col width="10.42578125" customWidth="1" style="251" min="1810" max="1811"/>
    <col width="12.28515625" customWidth="1" style="251" min="1812" max="1812"/>
    <col width="10.42578125" customWidth="1" style="251" min="1813" max="2053"/>
    <col width="2.28515625" customWidth="1" style="251" min="2054" max="2055"/>
    <col width="35.42578125" customWidth="1" style="251" min="2056" max="2056"/>
    <col width="14.7109375" customWidth="1" style="251" min="2057" max="2057"/>
    <col width="12.85546875" customWidth="1" style="251" min="2058" max="2060"/>
    <col width="15.5703125" customWidth="1" style="251" min="2061" max="2061"/>
    <col width="12.85546875" customWidth="1" style="251" min="2062" max="2065"/>
    <col width="10.42578125" customWidth="1" style="251" min="2066" max="2067"/>
    <col width="12.28515625" customWidth="1" style="251" min="2068" max="2068"/>
    <col width="10.42578125" customWidth="1" style="251" min="2069" max="2309"/>
    <col width="2.28515625" customWidth="1" style="251" min="2310" max="2311"/>
    <col width="35.42578125" customWidth="1" style="251" min="2312" max="2312"/>
    <col width="14.7109375" customWidth="1" style="251" min="2313" max="2313"/>
    <col width="12.85546875" customWidth="1" style="251" min="2314" max="2316"/>
    <col width="15.5703125" customWidth="1" style="251" min="2317" max="2317"/>
    <col width="12.85546875" customWidth="1" style="251" min="2318" max="2321"/>
    <col width="10.42578125" customWidth="1" style="251" min="2322" max="2323"/>
    <col width="12.28515625" customWidth="1" style="251" min="2324" max="2324"/>
    <col width="10.42578125" customWidth="1" style="251" min="2325" max="2565"/>
    <col width="2.28515625" customWidth="1" style="251" min="2566" max="2567"/>
    <col width="35.42578125" customWidth="1" style="251" min="2568" max="2568"/>
    <col width="14.7109375" customWidth="1" style="251" min="2569" max="2569"/>
    <col width="12.85546875" customWidth="1" style="251" min="2570" max="2572"/>
    <col width="15.5703125" customWidth="1" style="251" min="2573" max="2573"/>
    <col width="12.85546875" customWidth="1" style="251" min="2574" max="2577"/>
    <col width="10.42578125" customWidth="1" style="251" min="2578" max="2579"/>
    <col width="12.28515625" customWidth="1" style="251" min="2580" max="2580"/>
    <col width="10.42578125" customWidth="1" style="251" min="2581" max="2821"/>
    <col width="2.28515625" customWidth="1" style="251" min="2822" max="2823"/>
    <col width="35.42578125" customWidth="1" style="251" min="2824" max="2824"/>
    <col width="14.7109375" customWidth="1" style="251" min="2825" max="2825"/>
    <col width="12.85546875" customWidth="1" style="251" min="2826" max="2828"/>
    <col width="15.5703125" customWidth="1" style="251" min="2829" max="2829"/>
    <col width="12.85546875" customWidth="1" style="251" min="2830" max="2833"/>
    <col width="10.42578125" customWidth="1" style="251" min="2834" max="2835"/>
    <col width="12.28515625" customWidth="1" style="251" min="2836" max="2836"/>
    <col width="10.42578125" customWidth="1" style="251" min="2837" max="3077"/>
    <col width="2.28515625" customWidth="1" style="251" min="3078" max="3079"/>
    <col width="35.42578125" customWidth="1" style="251" min="3080" max="3080"/>
    <col width="14.7109375" customWidth="1" style="251" min="3081" max="3081"/>
    <col width="12.85546875" customWidth="1" style="251" min="3082" max="3084"/>
    <col width="15.5703125" customWidth="1" style="251" min="3085" max="3085"/>
    <col width="12.85546875" customWidth="1" style="251" min="3086" max="3089"/>
    <col width="10.42578125" customWidth="1" style="251" min="3090" max="3091"/>
    <col width="12.28515625" customWidth="1" style="251" min="3092" max="3092"/>
    <col width="10.42578125" customWidth="1" style="251" min="3093" max="3333"/>
    <col width="2.28515625" customWidth="1" style="251" min="3334" max="3335"/>
    <col width="35.42578125" customWidth="1" style="251" min="3336" max="3336"/>
    <col width="14.7109375" customWidth="1" style="251" min="3337" max="3337"/>
    <col width="12.85546875" customWidth="1" style="251" min="3338" max="3340"/>
    <col width="15.5703125" customWidth="1" style="251" min="3341" max="3341"/>
    <col width="12.85546875" customWidth="1" style="251" min="3342" max="3345"/>
    <col width="10.42578125" customWidth="1" style="251" min="3346" max="3347"/>
    <col width="12.28515625" customWidth="1" style="251" min="3348" max="3348"/>
    <col width="10.42578125" customWidth="1" style="251" min="3349" max="3589"/>
    <col width="2.28515625" customWidth="1" style="251" min="3590" max="3591"/>
    <col width="35.42578125" customWidth="1" style="251" min="3592" max="3592"/>
    <col width="14.7109375" customWidth="1" style="251" min="3593" max="3593"/>
    <col width="12.85546875" customWidth="1" style="251" min="3594" max="3596"/>
    <col width="15.5703125" customWidth="1" style="251" min="3597" max="3597"/>
    <col width="12.85546875" customWidth="1" style="251" min="3598" max="3601"/>
    <col width="10.42578125" customWidth="1" style="251" min="3602" max="3603"/>
    <col width="12.28515625" customWidth="1" style="251" min="3604" max="3604"/>
    <col width="10.42578125" customWidth="1" style="251" min="3605" max="3845"/>
    <col width="2.28515625" customWidth="1" style="251" min="3846" max="3847"/>
    <col width="35.42578125" customWidth="1" style="251" min="3848" max="3848"/>
    <col width="14.7109375" customWidth="1" style="251" min="3849" max="3849"/>
    <col width="12.85546875" customWidth="1" style="251" min="3850" max="3852"/>
    <col width="15.5703125" customWidth="1" style="251" min="3853" max="3853"/>
    <col width="12.85546875" customWidth="1" style="251" min="3854" max="3857"/>
    <col width="10.42578125" customWidth="1" style="251" min="3858" max="3859"/>
    <col width="12.28515625" customWidth="1" style="251" min="3860" max="3860"/>
    <col width="10.42578125" customWidth="1" style="251" min="3861" max="4101"/>
    <col width="2.28515625" customWidth="1" style="251" min="4102" max="4103"/>
    <col width="35.42578125" customWidth="1" style="251" min="4104" max="4104"/>
    <col width="14.7109375" customWidth="1" style="251" min="4105" max="4105"/>
    <col width="12.85546875" customWidth="1" style="251" min="4106" max="4108"/>
    <col width="15.5703125" customWidth="1" style="251" min="4109" max="4109"/>
    <col width="12.85546875" customWidth="1" style="251" min="4110" max="4113"/>
    <col width="10.42578125" customWidth="1" style="251" min="4114" max="4115"/>
    <col width="12.28515625" customWidth="1" style="251" min="4116" max="4116"/>
    <col width="10.42578125" customWidth="1" style="251" min="4117" max="4357"/>
    <col width="2.28515625" customWidth="1" style="251" min="4358" max="4359"/>
    <col width="35.42578125" customWidth="1" style="251" min="4360" max="4360"/>
    <col width="14.7109375" customWidth="1" style="251" min="4361" max="4361"/>
    <col width="12.85546875" customWidth="1" style="251" min="4362" max="4364"/>
    <col width="15.5703125" customWidth="1" style="251" min="4365" max="4365"/>
    <col width="12.85546875" customWidth="1" style="251" min="4366" max="4369"/>
    <col width="10.42578125" customWidth="1" style="251" min="4370" max="4371"/>
    <col width="12.28515625" customWidth="1" style="251" min="4372" max="4372"/>
    <col width="10.42578125" customWidth="1" style="251" min="4373" max="4613"/>
    <col width="2.28515625" customWidth="1" style="251" min="4614" max="4615"/>
    <col width="35.42578125" customWidth="1" style="251" min="4616" max="4616"/>
    <col width="14.7109375" customWidth="1" style="251" min="4617" max="4617"/>
    <col width="12.85546875" customWidth="1" style="251" min="4618" max="4620"/>
    <col width="15.5703125" customWidth="1" style="251" min="4621" max="4621"/>
    <col width="12.85546875" customWidth="1" style="251" min="4622" max="4625"/>
    <col width="10.42578125" customWidth="1" style="251" min="4626" max="4627"/>
    <col width="12.28515625" customWidth="1" style="251" min="4628" max="4628"/>
    <col width="10.42578125" customWidth="1" style="251" min="4629" max="4869"/>
    <col width="2.28515625" customWidth="1" style="251" min="4870" max="4871"/>
    <col width="35.42578125" customWidth="1" style="251" min="4872" max="4872"/>
    <col width="14.7109375" customWidth="1" style="251" min="4873" max="4873"/>
    <col width="12.85546875" customWidth="1" style="251" min="4874" max="4876"/>
    <col width="15.5703125" customWidth="1" style="251" min="4877" max="4877"/>
    <col width="12.85546875" customWidth="1" style="251" min="4878" max="4881"/>
    <col width="10.42578125" customWidth="1" style="251" min="4882" max="4883"/>
    <col width="12.28515625" customWidth="1" style="251" min="4884" max="4884"/>
    <col width="10.42578125" customWidth="1" style="251" min="4885" max="5125"/>
    <col width="2.28515625" customWidth="1" style="251" min="5126" max="5127"/>
    <col width="35.42578125" customWidth="1" style="251" min="5128" max="5128"/>
    <col width="14.7109375" customWidth="1" style="251" min="5129" max="5129"/>
    <col width="12.85546875" customWidth="1" style="251" min="5130" max="5132"/>
    <col width="15.5703125" customWidth="1" style="251" min="5133" max="5133"/>
    <col width="12.85546875" customWidth="1" style="251" min="5134" max="5137"/>
    <col width="10.42578125" customWidth="1" style="251" min="5138" max="5139"/>
    <col width="12.28515625" customWidth="1" style="251" min="5140" max="5140"/>
    <col width="10.42578125" customWidth="1" style="251" min="5141" max="5381"/>
    <col width="2.28515625" customWidth="1" style="251" min="5382" max="5383"/>
    <col width="35.42578125" customWidth="1" style="251" min="5384" max="5384"/>
    <col width="14.7109375" customWidth="1" style="251" min="5385" max="5385"/>
    <col width="12.85546875" customWidth="1" style="251" min="5386" max="5388"/>
    <col width="15.5703125" customWidth="1" style="251" min="5389" max="5389"/>
    <col width="12.85546875" customWidth="1" style="251" min="5390" max="5393"/>
    <col width="10.42578125" customWidth="1" style="251" min="5394" max="5395"/>
    <col width="12.28515625" customWidth="1" style="251" min="5396" max="5396"/>
    <col width="10.42578125" customWidth="1" style="251" min="5397" max="5637"/>
    <col width="2.28515625" customWidth="1" style="251" min="5638" max="5639"/>
    <col width="35.42578125" customWidth="1" style="251" min="5640" max="5640"/>
    <col width="14.7109375" customWidth="1" style="251" min="5641" max="5641"/>
    <col width="12.85546875" customWidth="1" style="251" min="5642" max="5644"/>
    <col width="15.5703125" customWidth="1" style="251" min="5645" max="5645"/>
    <col width="12.85546875" customWidth="1" style="251" min="5646" max="5649"/>
    <col width="10.42578125" customWidth="1" style="251" min="5650" max="5651"/>
    <col width="12.28515625" customWidth="1" style="251" min="5652" max="5652"/>
    <col width="10.42578125" customWidth="1" style="251" min="5653" max="5893"/>
    <col width="2.28515625" customWidth="1" style="251" min="5894" max="5895"/>
    <col width="35.42578125" customWidth="1" style="251" min="5896" max="5896"/>
    <col width="14.7109375" customWidth="1" style="251" min="5897" max="5897"/>
    <col width="12.85546875" customWidth="1" style="251" min="5898" max="5900"/>
    <col width="15.5703125" customWidth="1" style="251" min="5901" max="5901"/>
    <col width="12.85546875" customWidth="1" style="251" min="5902" max="5905"/>
    <col width="10.42578125" customWidth="1" style="251" min="5906" max="5907"/>
    <col width="12.28515625" customWidth="1" style="251" min="5908" max="5908"/>
    <col width="10.42578125" customWidth="1" style="251" min="5909" max="6149"/>
    <col width="2.28515625" customWidth="1" style="251" min="6150" max="6151"/>
    <col width="35.42578125" customWidth="1" style="251" min="6152" max="6152"/>
    <col width="14.7109375" customWidth="1" style="251" min="6153" max="6153"/>
    <col width="12.85546875" customWidth="1" style="251" min="6154" max="6156"/>
    <col width="15.5703125" customWidth="1" style="251" min="6157" max="6157"/>
    <col width="12.85546875" customWidth="1" style="251" min="6158" max="6161"/>
    <col width="10.42578125" customWidth="1" style="251" min="6162" max="6163"/>
    <col width="12.28515625" customWidth="1" style="251" min="6164" max="6164"/>
    <col width="10.42578125" customWidth="1" style="251" min="6165" max="6405"/>
    <col width="2.28515625" customWidth="1" style="251" min="6406" max="6407"/>
    <col width="35.42578125" customWidth="1" style="251" min="6408" max="6408"/>
    <col width="14.7109375" customWidth="1" style="251" min="6409" max="6409"/>
    <col width="12.85546875" customWidth="1" style="251" min="6410" max="6412"/>
    <col width="15.5703125" customWidth="1" style="251" min="6413" max="6413"/>
    <col width="12.85546875" customWidth="1" style="251" min="6414" max="6417"/>
    <col width="10.42578125" customWidth="1" style="251" min="6418" max="6419"/>
    <col width="12.28515625" customWidth="1" style="251" min="6420" max="6420"/>
    <col width="10.42578125" customWidth="1" style="251" min="6421" max="6661"/>
    <col width="2.28515625" customWidth="1" style="251" min="6662" max="6663"/>
    <col width="35.42578125" customWidth="1" style="251" min="6664" max="6664"/>
    <col width="14.7109375" customWidth="1" style="251" min="6665" max="6665"/>
    <col width="12.85546875" customWidth="1" style="251" min="6666" max="6668"/>
    <col width="15.5703125" customWidth="1" style="251" min="6669" max="6669"/>
    <col width="12.85546875" customWidth="1" style="251" min="6670" max="6673"/>
    <col width="10.42578125" customWidth="1" style="251" min="6674" max="6675"/>
    <col width="12.28515625" customWidth="1" style="251" min="6676" max="6676"/>
    <col width="10.42578125" customWidth="1" style="251" min="6677" max="6917"/>
    <col width="2.28515625" customWidth="1" style="251" min="6918" max="6919"/>
    <col width="35.42578125" customWidth="1" style="251" min="6920" max="6920"/>
    <col width="14.7109375" customWidth="1" style="251" min="6921" max="6921"/>
    <col width="12.85546875" customWidth="1" style="251" min="6922" max="6924"/>
    <col width="15.5703125" customWidth="1" style="251" min="6925" max="6925"/>
    <col width="12.85546875" customWidth="1" style="251" min="6926" max="6929"/>
    <col width="10.42578125" customWidth="1" style="251" min="6930" max="6931"/>
    <col width="12.28515625" customWidth="1" style="251" min="6932" max="6932"/>
    <col width="10.42578125" customWidth="1" style="251" min="6933" max="7173"/>
    <col width="2.28515625" customWidth="1" style="251" min="7174" max="7175"/>
    <col width="35.42578125" customWidth="1" style="251" min="7176" max="7176"/>
    <col width="14.7109375" customWidth="1" style="251" min="7177" max="7177"/>
    <col width="12.85546875" customWidth="1" style="251" min="7178" max="7180"/>
    <col width="15.5703125" customWidth="1" style="251" min="7181" max="7181"/>
    <col width="12.85546875" customWidth="1" style="251" min="7182" max="7185"/>
    <col width="10.42578125" customWidth="1" style="251" min="7186" max="7187"/>
    <col width="12.28515625" customWidth="1" style="251" min="7188" max="7188"/>
    <col width="10.42578125" customWidth="1" style="251" min="7189" max="7429"/>
    <col width="2.28515625" customWidth="1" style="251" min="7430" max="7431"/>
    <col width="35.42578125" customWidth="1" style="251" min="7432" max="7432"/>
    <col width="14.7109375" customWidth="1" style="251" min="7433" max="7433"/>
    <col width="12.85546875" customWidth="1" style="251" min="7434" max="7436"/>
    <col width="15.5703125" customWidth="1" style="251" min="7437" max="7437"/>
    <col width="12.85546875" customWidth="1" style="251" min="7438" max="7441"/>
    <col width="10.42578125" customWidth="1" style="251" min="7442" max="7443"/>
    <col width="12.28515625" customWidth="1" style="251" min="7444" max="7444"/>
    <col width="10.42578125" customWidth="1" style="251" min="7445" max="7685"/>
    <col width="2.28515625" customWidth="1" style="251" min="7686" max="7687"/>
    <col width="35.42578125" customWidth="1" style="251" min="7688" max="7688"/>
    <col width="14.7109375" customWidth="1" style="251" min="7689" max="7689"/>
    <col width="12.85546875" customWidth="1" style="251" min="7690" max="7692"/>
    <col width="15.5703125" customWidth="1" style="251" min="7693" max="7693"/>
    <col width="12.85546875" customWidth="1" style="251" min="7694" max="7697"/>
    <col width="10.42578125" customWidth="1" style="251" min="7698" max="7699"/>
    <col width="12.28515625" customWidth="1" style="251" min="7700" max="7700"/>
    <col width="10.42578125" customWidth="1" style="251" min="7701" max="7941"/>
    <col width="2.28515625" customWidth="1" style="251" min="7942" max="7943"/>
    <col width="35.42578125" customWidth="1" style="251" min="7944" max="7944"/>
    <col width="14.7109375" customWidth="1" style="251" min="7945" max="7945"/>
    <col width="12.85546875" customWidth="1" style="251" min="7946" max="7948"/>
    <col width="15.5703125" customWidth="1" style="251" min="7949" max="7949"/>
    <col width="12.85546875" customWidth="1" style="251" min="7950" max="7953"/>
    <col width="10.42578125" customWidth="1" style="251" min="7954" max="7955"/>
    <col width="12.28515625" customWidth="1" style="251" min="7956" max="7956"/>
    <col width="10.42578125" customWidth="1" style="251" min="7957" max="8197"/>
    <col width="2.28515625" customWidth="1" style="251" min="8198" max="8199"/>
    <col width="35.42578125" customWidth="1" style="251" min="8200" max="8200"/>
    <col width="14.7109375" customWidth="1" style="251" min="8201" max="8201"/>
    <col width="12.85546875" customWidth="1" style="251" min="8202" max="8204"/>
    <col width="15.5703125" customWidth="1" style="251" min="8205" max="8205"/>
    <col width="12.85546875" customWidth="1" style="251" min="8206" max="8209"/>
    <col width="10.42578125" customWidth="1" style="251" min="8210" max="8211"/>
    <col width="12.28515625" customWidth="1" style="251" min="8212" max="8212"/>
    <col width="10.42578125" customWidth="1" style="251" min="8213" max="8453"/>
    <col width="2.28515625" customWidth="1" style="251" min="8454" max="8455"/>
    <col width="35.42578125" customWidth="1" style="251" min="8456" max="8456"/>
    <col width="14.7109375" customWidth="1" style="251" min="8457" max="8457"/>
    <col width="12.85546875" customWidth="1" style="251" min="8458" max="8460"/>
    <col width="15.5703125" customWidth="1" style="251" min="8461" max="8461"/>
    <col width="12.85546875" customWidth="1" style="251" min="8462" max="8465"/>
    <col width="10.42578125" customWidth="1" style="251" min="8466" max="8467"/>
    <col width="12.28515625" customWidth="1" style="251" min="8468" max="8468"/>
    <col width="10.42578125" customWidth="1" style="251" min="8469" max="8709"/>
    <col width="2.28515625" customWidth="1" style="251" min="8710" max="8711"/>
    <col width="35.42578125" customWidth="1" style="251" min="8712" max="8712"/>
    <col width="14.7109375" customWidth="1" style="251" min="8713" max="8713"/>
    <col width="12.85546875" customWidth="1" style="251" min="8714" max="8716"/>
    <col width="15.5703125" customWidth="1" style="251" min="8717" max="8717"/>
    <col width="12.85546875" customWidth="1" style="251" min="8718" max="8721"/>
    <col width="10.42578125" customWidth="1" style="251" min="8722" max="8723"/>
    <col width="12.28515625" customWidth="1" style="251" min="8724" max="8724"/>
    <col width="10.42578125" customWidth="1" style="251" min="8725" max="8965"/>
    <col width="2.28515625" customWidth="1" style="251" min="8966" max="8967"/>
    <col width="35.42578125" customWidth="1" style="251" min="8968" max="8968"/>
    <col width="14.7109375" customWidth="1" style="251" min="8969" max="8969"/>
    <col width="12.85546875" customWidth="1" style="251" min="8970" max="8972"/>
    <col width="15.5703125" customWidth="1" style="251" min="8973" max="8973"/>
    <col width="12.85546875" customWidth="1" style="251" min="8974" max="8977"/>
    <col width="10.42578125" customWidth="1" style="251" min="8978" max="8979"/>
    <col width="12.28515625" customWidth="1" style="251" min="8980" max="8980"/>
    <col width="10.42578125" customWidth="1" style="251" min="8981" max="9221"/>
    <col width="2.28515625" customWidth="1" style="251" min="9222" max="9223"/>
    <col width="35.42578125" customWidth="1" style="251" min="9224" max="9224"/>
    <col width="14.7109375" customWidth="1" style="251" min="9225" max="9225"/>
    <col width="12.85546875" customWidth="1" style="251" min="9226" max="9228"/>
    <col width="15.5703125" customWidth="1" style="251" min="9229" max="9229"/>
    <col width="12.85546875" customWidth="1" style="251" min="9230" max="9233"/>
    <col width="10.42578125" customWidth="1" style="251" min="9234" max="9235"/>
    <col width="12.28515625" customWidth="1" style="251" min="9236" max="9236"/>
    <col width="10.42578125" customWidth="1" style="251" min="9237" max="9477"/>
    <col width="2.28515625" customWidth="1" style="251" min="9478" max="9479"/>
    <col width="35.42578125" customWidth="1" style="251" min="9480" max="9480"/>
    <col width="14.7109375" customWidth="1" style="251" min="9481" max="9481"/>
    <col width="12.85546875" customWidth="1" style="251" min="9482" max="9484"/>
    <col width="15.5703125" customWidth="1" style="251" min="9485" max="9485"/>
    <col width="12.85546875" customWidth="1" style="251" min="9486" max="9489"/>
    <col width="10.42578125" customWidth="1" style="251" min="9490" max="9491"/>
    <col width="12.28515625" customWidth="1" style="251" min="9492" max="9492"/>
    <col width="10.42578125" customWidth="1" style="251" min="9493" max="9733"/>
    <col width="2.28515625" customWidth="1" style="251" min="9734" max="9735"/>
    <col width="35.42578125" customWidth="1" style="251" min="9736" max="9736"/>
    <col width="14.7109375" customWidth="1" style="251" min="9737" max="9737"/>
    <col width="12.85546875" customWidth="1" style="251" min="9738" max="9740"/>
    <col width="15.5703125" customWidth="1" style="251" min="9741" max="9741"/>
    <col width="12.85546875" customWidth="1" style="251" min="9742" max="9745"/>
    <col width="10.42578125" customWidth="1" style="251" min="9746" max="9747"/>
    <col width="12.28515625" customWidth="1" style="251" min="9748" max="9748"/>
    <col width="10.42578125" customWidth="1" style="251" min="9749" max="9989"/>
    <col width="2.28515625" customWidth="1" style="251" min="9990" max="9991"/>
    <col width="35.42578125" customWidth="1" style="251" min="9992" max="9992"/>
    <col width="14.7109375" customWidth="1" style="251" min="9993" max="9993"/>
    <col width="12.85546875" customWidth="1" style="251" min="9994" max="9996"/>
    <col width="15.5703125" customWidth="1" style="251" min="9997" max="9997"/>
    <col width="12.85546875" customWidth="1" style="251" min="9998" max="10001"/>
    <col width="10.42578125" customWidth="1" style="251" min="10002" max="10003"/>
    <col width="12.28515625" customWidth="1" style="251" min="10004" max="10004"/>
    <col width="10.42578125" customWidth="1" style="251" min="10005" max="10245"/>
    <col width="2.28515625" customWidth="1" style="251" min="10246" max="10247"/>
    <col width="35.42578125" customWidth="1" style="251" min="10248" max="10248"/>
    <col width="14.7109375" customWidth="1" style="251" min="10249" max="10249"/>
    <col width="12.85546875" customWidth="1" style="251" min="10250" max="10252"/>
    <col width="15.5703125" customWidth="1" style="251" min="10253" max="10253"/>
    <col width="12.85546875" customWidth="1" style="251" min="10254" max="10257"/>
    <col width="10.42578125" customWidth="1" style="251" min="10258" max="10259"/>
    <col width="12.28515625" customWidth="1" style="251" min="10260" max="10260"/>
    <col width="10.42578125" customWidth="1" style="251" min="10261" max="10501"/>
    <col width="2.28515625" customWidth="1" style="251" min="10502" max="10503"/>
    <col width="35.42578125" customWidth="1" style="251" min="10504" max="10504"/>
    <col width="14.7109375" customWidth="1" style="251" min="10505" max="10505"/>
    <col width="12.85546875" customWidth="1" style="251" min="10506" max="10508"/>
    <col width="15.5703125" customWidth="1" style="251" min="10509" max="10509"/>
    <col width="12.85546875" customWidth="1" style="251" min="10510" max="10513"/>
    <col width="10.42578125" customWidth="1" style="251" min="10514" max="10515"/>
    <col width="12.28515625" customWidth="1" style="251" min="10516" max="10516"/>
    <col width="10.42578125" customWidth="1" style="251" min="10517" max="10757"/>
    <col width="2.28515625" customWidth="1" style="251" min="10758" max="10759"/>
    <col width="35.42578125" customWidth="1" style="251" min="10760" max="10760"/>
    <col width="14.7109375" customWidth="1" style="251" min="10761" max="10761"/>
    <col width="12.85546875" customWidth="1" style="251" min="10762" max="10764"/>
    <col width="15.5703125" customWidth="1" style="251" min="10765" max="10765"/>
    <col width="12.85546875" customWidth="1" style="251" min="10766" max="10769"/>
    <col width="10.42578125" customWidth="1" style="251" min="10770" max="10771"/>
    <col width="12.28515625" customWidth="1" style="251" min="10772" max="10772"/>
    <col width="10.42578125" customWidth="1" style="251" min="10773" max="11013"/>
    <col width="2.28515625" customWidth="1" style="251" min="11014" max="11015"/>
    <col width="35.42578125" customWidth="1" style="251" min="11016" max="11016"/>
    <col width="14.7109375" customWidth="1" style="251" min="11017" max="11017"/>
    <col width="12.85546875" customWidth="1" style="251" min="11018" max="11020"/>
    <col width="15.5703125" customWidth="1" style="251" min="11021" max="11021"/>
    <col width="12.85546875" customWidth="1" style="251" min="11022" max="11025"/>
    <col width="10.42578125" customWidth="1" style="251" min="11026" max="11027"/>
    <col width="12.28515625" customWidth="1" style="251" min="11028" max="11028"/>
    <col width="10.42578125" customWidth="1" style="251" min="11029" max="11269"/>
    <col width="2.28515625" customWidth="1" style="251" min="11270" max="11271"/>
    <col width="35.42578125" customWidth="1" style="251" min="11272" max="11272"/>
    <col width="14.7109375" customWidth="1" style="251" min="11273" max="11273"/>
    <col width="12.85546875" customWidth="1" style="251" min="11274" max="11276"/>
    <col width="15.5703125" customWidth="1" style="251" min="11277" max="11277"/>
    <col width="12.85546875" customWidth="1" style="251" min="11278" max="11281"/>
    <col width="10.42578125" customWidth="1" style="251" min="11282" max="11283"/>
    <col width="12.28515625" customWidth="1" style="251" min="11284" max="11284"/>
    <col width="10.42578125" customWidth="1" style="251" min="11285" max="11525"/>
    <col width="2.28515625" customWidth="1" style="251" min="11526" max="11527"/>
    <col width="35.42578125" customWidth="1" style="251" min="11528" max="11528"/>
    <col width="14.7109375" customWidth="1" style="251" min="11529" max="11529"/>
    <col width="12.85546875" customWidth="1" style="251" min="11530" max="11532"/>
    <col width="15.5703125" customWidth="1" style="251" min="11533" max="11533"/>
    <col width="12.85546875" customWidth="1" style="251" min="11534" max="11537"/>
    <col width="10.42578125" customWidth="1" style="251" min="11538" max="11539"/>
    <col width="12.28515625" customWidth="1" style="251" min="11540" max="11540"/>
    <col width="10.42578125" customWidth="1" style="251" min="11541" max="11781"/>
    <col width="2.28515625" customWidth="1" style="251" min="11782" max="11783"/>
    <col width="35.42578125" customWidth="1" style="251" min="11784" max="11784"/>
    <col width="14.7109375" customWidth="1" style="251" min="11785" max="11785"/>
    <col width="12.85546875" customWidth="1" style="251" min="11786" max="11788"/>
    <col width="15.5703125" customWidth="1" style="251" min="11789" max="11789"/>
    <col width="12.85546875" customWidth="1" style="251" min="11790" max="11793"/>
    <col width="10.42578125" customWidth="1" style="251" min="11794" max="11795"/>
    <col width="12.28515625" customWidth="1" style="251" min="11796" max="11796"/>
    <col width="10.42578125" customWidth="1" style="251" min="11797" max="12037"/>
    <col width="2.28515625" customWidth="1" style="251" min="12038" max="12039"/>
    <col width="35.42578125" customWidth="1" style="251" min="12040" max="12040"/>
    <col width="14.7109375" customWidth="1" style="251" min="12041" max="12041"/>
    <col width="12.85546875" customWidth="1" style="251" min="12042" max="12044"/>
    <col width="15.5703125" customWidth="1" style="251" min="12045" max="12045"/>
    <col width="12.85546875" customWidth="1" style="251" min="12046" max="12049"/>
    <col width="10.42578125" customWidth="1" style="251" min="12050" max="12051"/>
    <col width="12.28515625" customWidth="1" style="251" min="12052" max="12052"/>
    <col width="10.42578125" customWidth="1" style="251" min="12053" max="12293"/>
    <col width="2.28515625" customWidth="1" style="251" min="12294" max="12295"/>
    <col width="35.42578125" customWidth="1" style="251" min="12296" max="12296"/>
    <col width="14.7109375" customWidth="1" style="251" min="12297" max="12297"/>
    <col width="12.85546875" customWidth="1" style="251" min="12298" max="12300"/>
    <col width="15.5703125" customWidth="1" style="251" min="12301" max="12301"/>
    <col width="12.85546875" customWidth="1" style="251" min="12302" max="12305"/>
    <col width="10.42578125" customWidth="1" style="251" min="12306" max="12307"/>
    <col width="12.28515625" customWidth="1" style="251" min="12308" max="12308"/>
    <col width="10.42578125" customWidth="1" style="251" min="12309" max="12549"/>
    <col width="2.28515625" customWidth="1" style="251" min="12550" max="12551"/>
    <col width="35.42578125" customWidth="1" style="251" min="12552" max="12552"/>
    <col width="14.7109375" customWidth="1" style="251" min="12553" max="12553"/>
    <col width="12.85546875" customWidth="1" style="251" min="12554" max="12556"/>
    <col width="15.5703125" customWidth="1" style="251" min="12557" max="12557"/>
    <col width="12.85546875" customWidth="1" style="251" min="12558" max="12561"/>
    <col width="10.42578125" customWidth="1" style="251" min="12562" max="12563"/>
    <col width="12.28515625" customWidth="1" style="251" min="12564" max="12564"/>
    <col width="10.42578125" customWidth="1" style="251" min="12565" max="12805"/>
    <col width="2.28515625" customWidth="1" style="251" min="12806" max="12807"/>
    <col width="35.42578125" customWidth="1" style="251" min="12808" max="12808"/>
    <col width="14.7109375" customWidth="1" style="251" min="12809" max="12809"/>
    <col width="12.85546875" customWidth="1" style="251" min="12810" max="12812"/>
    <col width="15.5703125" customWidth="1" style="251" min="12813" max="12813"/>
    <col width="12.85546875" customWidth="1" style="251" min="12814" max="12817"/>
    <col width="10.42578125" customWidth="1" style="251" min="12818" max="12819"/>
    <col width="12.28515625" customWidth="1" style="251" min="12820" max="12820"/>
    <col width="10.42578125" customWidth="1" style="251" min="12821" max="13061"/>
    <col width="2.28515625" customWidth="1" style="251" min="13062" max="13063"/>
    <col width="35.42578125" customWidth="1" style="251" min="13064" max="13064"/>
    <col width="14.7109375" customWidth="1" style="251" min="13065" max="13065"/>
    <col width="12.85546875" customWidth="1" style="251" min="13066" max="13068"/>
    <col width="15.5703125" customWidth="1" style="251" min="13069" max="13069"/>
    <col width="12.85546875" customWidth="1" style="251" min="13070" max="13073"/>
    <col width="10.42578125" customWidth="1" style="251" min="13074" max="13075"/>
    <col width="12.28515625" customWidth="1" style="251" min="13076" max="13076"/>
    <col width="10.42578125" customWidth="1" style="251" min="13077" max="13317"/>
    <col width="2.28515625" customWidth="1" style="251" min="13318" max="13319"/>
    <col width="35.42578125" customWidth="1" style="251" min="13320" max="13320"/>
    <col width="14.7109375" customWidth="1" style="251" min="13321" max="13321"/>
    <col width="12.85546875" customWidth="1" style="251" min="13322" max="13324"/>
    <col width="15.5703125" customWidth="1" style="251" min="13325" max="13325"/>
    <col width="12.85546875" customWidth="1" style="251" min="13326" max="13329"/>
    <col width="10.42578125" customWidth="1" style="251" min="13330" max="13331"/>
    <col width="12.28515625" customWidth="1" style="251" min="13332" max="13332"/>
    <col width="10.42578125" customWidth="1" style="251" min="13333" max="13573"/>
    <col width="2.28515625" customWidth="1" style="251" min="13574" max="13575"/>
    <col width="35.42578125" customWidth="1" style="251" min="13576" max="13576"/>
    <col width="14.7109375" customWidth="1" style="251" min="13577" max="13577"/>
    <col width="12.85546875" customWidth="1" style="251" min="13578" max="13580"/>
    <col width="15.5703125" customWidth="1" style="251" min="13581" max="13581"/>
    <col width="12.85546875" customWidth="1" style="251" min="13582" max="13585"/>
    <col width="10.42578125" customWidth="1" style="251" min="13586" max="13587"/>
    <col width="12.28515625" customWidth="1" style="251" min="13588" max="13588"/>
    <col width="10.42578125" customWidth="1" style="251" min="13589" max="13829"/>
    <col width="2.28515625" customWidth="1" style="251" min="13830" max="13831"/>
    <col width="35.42578125" customWidth="1" style="251" min="13832" max="13832"/>
    <col width="14.7109375" customWidth="1" style="251" min="13833" max="13833"/>
    <col width="12.85546875" customWidth="1" style="251" min="13834" max="13836"/>
    <col width="15.5703125" customWidth="1" style="251" min="13837" max="13837"/>
    <col width="12.85546875" customWidth="1" style="251" min="13838" max="13841"/>
    <col width="10.42578125" customWidth="1" style="251" min="13842" max="13843"/>
    <col width="12.28515625" customWidth="1" style="251" min="13844" max="13844"/>
    <col width="10.42578125" customWidth="1" style="251" min="13845" max="14085"/>
    <col width="2.28515625" customWidth="1" style="251" min="14086" max="14087"/>
    <col width="35.42578125" customWidth="1" style="251" min="14088" max="14088"/>
    <col width="14.7109375" customWidth="1" style="251" min="14089" max="14089"/>
    <col width="12.85546875" customWidth="1" style="251" min="14090" max="14092"/>
    <col width="15.5703125" customWidth="1" style="251" min="14093" max="14093"/>
    <col width="12.85546875" customWidth="1" style="251" min="14094" max="14097"/>
    <col width="10.42578125" customWidth="1" style="251" min="14098" max="14099"/>
    <col width="12.28515625" customWidth="1" style="251" min="14100" max="14100"/>
    <col width="10.42578125" customWidth="1" style="251" min="14101" max="14341"/>
    <col width="2.28515625" customWidth="1" style="251" min="14342" max="14343"/>
    <col width="35.42578125" customWidth="1" style="251" min="14344" max="14344"/>
    <col width="14.7109375" customWidth="1" style="251" min="14345" max="14345"/>
    <col width="12.85546875" customWidth="1" style="251" min="14346" max="14348"/>
    <col width="15.5703125" customWidth="1" style="251" min="14349" max="14349"/>
    <col width="12.85546875" customWidth="1" style="251" min="14350" max="14353"/>
    <col width="10.42578125" customWidth="1" style="251" min="14354" max="14355"/>
    <col width="12.28515625" customWidth="1" style="251" min="14356" max="14356"/>
    <col width="10.42578125" customWidth="1" style="251" min="14357" max="14597"/>
    <col width="2.28515625" customWidth="1" style="251" min="14598" max="14599"/>
    <col width="35.42578125" customWidth="1" style="251" min="14600" max="14600"/>
    <col width="14.7109375" customWidth="1" style="251" min="14601" max="14601"/>
    <col width="12.85546875" customWidth="1" style="251" min="14602" max="14604"/>
    <col width="15.5703125" customWidth="1" style="251" min="14605" max="14605"/>
    <col width="12.85546875" customWidth="1" style="251" min="14606" max="14609"/>
    <col width="10.42578125" customWidth="1" style="251" min="14610" max="14611"/>
    <col width="12.28515625" customWidth="1" style="251" min="14612" max="14612"/>
    <col width="10.42578125" customWidth="1" style="251" min="14613" max="14853"/>
    <col width="2.28515625" customWidth="1" style="251" min="14854" max="14855"/>
    <col width="35.42578125" customWidth="1" style="251" min="14856" max="14856"/>
    <col width="14.7109375" customWidth="1" style="251" min="14857" max="14857"/>
    <col width="12.85546875" customWidth="1" style="251" min="14858" max="14860"/>
    <col width="15.5703125" customWidth="1" style="251" min="14861" max="14861"/>
    <col width="12.85546875" customWidth="1" style="251" min="14862" max="14865"/>
    <col width="10.42578125" customWidth="1" style="251" min="14866" max="14867"/>
    <col width="12.28515625" customWidth="1" style="251" min="14868" max="14868"/>
    <col width="10.42578125" customWidth="1" style="251" min="14869" max="15109"/>
    <col width="2.28515625" customWidth="1" style="251" min="15110" max="15111"/>
    <col width="35.42578125" customWidth="1" style="251" min="15112" max="15112"/>
    <col width="14.7109375" customWidth="1" style="251" min="15113" max="15113"/>
    <col width="12.85546875" customWidth="1" style="251" min="15114" max="15116"/>
    <col width="15.5703125" customWidth="1" style="251" min="15117" max="15117"/>
    <col width="12.85546875" customWidth="1" style="251" min="15118" max="15121"/>
    <col width="10.42578125" customWidth="1" style="251" min="15122" max="15123"/>
    <col width="12.28515625" customWidth="1" style="251" min="15124" max="15124"/>
    <col width="10.42578125" customWidth="1" style="251" min="15125" max="15365"/>
    <col width="2.28515625" customWidth="1" style="251" min="15366" max="15367"/>
    <col width="35.42578125" customWidth="1" style="251" min="15368" max="15368"/>
    <col width="14.7109375" customWidth="1" style="251" min="15369" max="15369"/>
    <col width="12.85546875" customWidth="1" style="251" min="15370" max="15372"/>
    <col width="15.5703125" customWidth="1" style="251" min="15373" max="15373"/>
    <col width="12.85546875" customWidth="1" style="251" min="15374" max="15377"/>
    <col width="10.42578125" customWidth="1" style="251" min="15378" max="15379"/>
    <col width="12.28515625" customWidth="1" style="251" min="15380" max="15380"/>
    <col width="10.42578125" customWidth="1" style="251" min="15381" max="15621"/>
    <col width="2.28515625" customWidth="1" style="251" min="15622" max="15623"/>
    <col width="35.42578125" customWidth="1" style="251" min="15624" max="15624"/>
    <col width="14.7109375" customWidth="1" style="251" min="15625" max="15625"/>
    <col width="12.85546875" customWidth="1" style="251" min="15626" max="15628"/>
    <col width="15.5703125" customWidth="1" style="251" min="15629" max="15629"/>
    <col width="12.85546875" customWidth="1" style="251" min="15630" max="15633"/>
    <col width="10.42578125" customWidth="1" style="251" min="15634" max="15635"/>
    <col width="12.28515625" customWidth="1" style="251" min="15636" max="15636"/>
    <col width="10.42578125" customWidth="1" style="251" min="15637" max="15877"/>
    <col width="2.28515625" customWidth="1" style="251" min="15878" max="15879"/>
    <col width="35.42578125" customWidth="1" style="251" min="15880" max="15880"/>
    <col width="14.7109375" customWidth="1" style="251" min="15881" max="15881"/>
    <col width="12.85546875" customWidth="1" style="251" min="15882" max="15884"/>
    <col width="15.5703125" customWidth="1" style="251" min="15885" max="15885"/>
    <col width="12.85546875" customWidth="1" style="251" min="15886" max="15889"/>
    <col width="10.42578125" customWidth="1" style="251" min="15890" max="15891"/>
    <col width="12.28515625" customWidth="1" style="251" min="15892" max="15892"/>
    <col width="10.42578125" customWidth="1" style="251" min="15893" max="16133"/>
    <col width="2.28515625" customWidth="1" style="251" min="16134" max="16135"/>
    <col width="35.42578125" customWidth="1" style="251" min="16136" max="16136"/>
    <col width="14.7109375" customWidth="1" style="251" min="16137" max="16137"/>
    <col width="12.85546875" customWidth="1" style="251" min="16138" max="16140"/>
    <col width="15.5703125" customWidth="1" style="251" min="16141" max="16141"/>
    <col width="12.85546875" customWidth="1" style="251" min="16142" max="16145"/>
    <col width="10.42578125" customWidth="1" style="251" min="16146" max="16147"/>
    <col width="12.28515625" customWidth="1" style="251" min="16148" max="16148"/>
    <col width="10.42578125" customWidth="1" style="251" min="16149" max="16384"/>
  </cols>
  <sheetData>
    <row r="1" ht="6.75" customFormat="1" customHeight="1" s="93"/>
    <row r="2" ht="6.75" customFormat="1" customHeight="1" s="93"/>
    <row r="3">
      <c r="C3" s="251" t="inlineStr">
        <is>
          <t>Discounted Cash Flow Model</t>
        </is>
      </c>
    </row>
    <row r="4" ht="13.5" customHeight="1">
      <c r="C4" s="94" t="inlineStr">
        <is>
          <t>All figures in millions, except per share data</t>
        </is>
      </c>
      <c r="D4" s="94" t="n"/>
      <c r="E4" s="94" t="n"/>
      <c r="F4" s="94" t="n"/>
      <c r="G4" s="94" t="n"/>
      <c r="H4" s="94" t="n"/>
      <c r="I4" s="94" t="n"/>
      <c r="J4" s="94" t="n"/>
      <c r="K4" s="94" t="n"/>
      <c r="L4" s="94" t="n"/>
      <c r="M4" s="94" t="n"/>
      <c r="N4" s="94" t="n"/>
      <c r="O4" s="94" t="n"/>
      <c r="P4" s="94" t="n"/>
      <c r="Q4" s="94" t="n"/>
      <c r="R4" s="94" t="n"/>
      <c r="S4" s="94" t="n"/>
      <c r="T4" s="94" t="n"/>
      <c r="U4" s="94" t="n"/>
      <c r="V4" s="94" t="n"/>
    </row>
    <row r="5"/>
    <row r="6"/>
    <row r="7">
      <c r="C7" s="251" t="inlineStr">
        <is>
          <t>Ticker</t>
        </is>
      </c>
      <c r="D7" s="95" t="str">
        <f>IFERROR(IF(Control!B4="","",Control!B4),"")</f>
        <v>FCX</v>
      </c>
      <c r="F7" s="251" t="inlineStr">
        <is>
          <t>Last close</t>
        </is>
      </c>
      <c r="G7" s="96" t="str">
        <f>IFERROR(IF(Control!E4="","",Control!E4),"")</f>
        <v/>
      </c>
    </row>
    <row r="8">
      <c r="C8" s="251" t="inlineStr">
        <is>
          <t>Operating scenario:</t>
        </is>
      </c>
      <c r="D8" s="97" t="str">
        <f>IFERROR(IF(Control!B10=1,"Bull Case",IF(Control!B10=2,"Base Case","Bear Case")),"")</f>
        <v>Base Case</v>
      </c>
    </row>
    <row r="9">
      <c r="C9" s="251" t="inlineStr">
        <is>
          <t>Last fiscal year end date:</t>
        </is>
      </c>
      <c r="D9" s="98" t="str">
        <f>IFERROR(IF(Control!B12="","",DATE(YEAR(Control!B12)-1,12,31)),"")</f>
        <v/>
      </c>
    </row>
    <row r="10">
      <c r="C10" s="251" t="inlineStr">
        <is>
          <t>Valuation / deal date:</t>
        </is>
      </c>
      <c r="D10" s="98" t="str">
        <f>IFERROR(IF(Control!B12="","",Control!B12),"")</f>
        <v/>
      </c>
    </row>
    <row r="11">
      <c r="C11" s="251" t="inlineStr">
        <is>
          <t>Stub year fraction:</t>
        </is>
      </c>
      <c r="D11" s="99" t="str">
        <f>IFERROR(IF(Control!B12="","",Control!B13),"")</f>
        <v/>
      </c>
      <c r="E11" s="100" t="n"/>
      <c r="I11" s="101" t="n"/>
      <c r="O11" s="102" t="n"/>
      <c r="Z11" s="103" t="n"/>
    </row>
    <row r="12">
      <c r="C12" s="251" t="inlineStr">
        <is>
          <t>Weighted average cost of capital:</t>
        </is>
      </c>
      <c r="D12" s="99" t="str">
        <f>IFERROR(IF(Control!E12="","",Control!E12),"")</f>
        <v/>
      </c>
      <c r="I12" s="101" t="n"/>
    </row>
    <row r="13">
      <c r="D13" s="99" t="n"/>
      <c r="E13" s="99" t="n"/>
    </row>
    <row r="14" ht="14.85" customHeight="1">
      <c r="C14" s="104" t="inlineStr">
        <is>
          <t>Historicals</t>
        </is>
      </c>
      <c r="D14" s="104" t="n"/>
      <c r="E14" s="104" t="n"/>
      <c r="F14" s="104" t="n"/>
      <c r="G14" s="250" t="inlineStr">
        <is>
          <t>Projected Annual Forecast</t>
        </is>
      </c>
    </row>
    <row r="15">
      <c r="C15" s="105" t="n"/>
      <c r="D15" s="105" t="n"/>
      <c r="E15" s="105" t="n"/>
      <c r="F15" s="105" t="n"/>
      <c r="G15" s="256" t="inlineStr">
        <is>
          <t>Granular</t>
        </is>
      </c>
      <c r="H15" s="253" t="n"/>
      <c r="I15" s="253" t="n"/>
      <c r="J15" s="253" t="n"/>
      <c r="K15" s="253" t="n"/>
      <c r="L15" s="253" t="n"/>
      <c r="M15" s="253" t="n"/>
      <c r="N15" s="253" t="n"/>
      <c r="O15" s="253" t="n"/>
      <c r="P15" s="253" t="n"/>
      <c r="Q15" s="253" t="n"/>
      <c r="R15" s="253" t="n"/>
      <c r="S15" s="253" t="n"/>
      <c r="T15" s="253" t="n"/>
      <c r="U15" s="253" t="n"/>
      <c r="V15" s="253" t="n"/>
      <c r="X15" s="106" t="n"/>
      <c r="Y15" s="107" t="n"/>
      <c r="Z15" s="107" t="n"/>
    </row>
    <row r="16">
      <c r="D16" s="108" t="n">
        <v>2023</v>
      </c>
      <c r="E16" s="108" t="n">
        <v>2024</v>
      </c>
      <c r="F16" s="108" t="n">
        <v>2025</v>
      </c>
      <c r="G16" s="108" t="n">
        <v>2026</v>
      </c>
      <c r="H16" s="108" t="n">
        <v>2027</v>
      </c>
      <c r="I16" s="108" t="n">
        <v>2028</v>
      </c>
      <c r="J16" s="108" t="n">
        <v>2029</v>
      </c>
      <c r="K16" s="108" t="n">
        <v>2030</v>
      </c>
      <c r="L16" s="108" t="n"/>
      <c r="M16" s="108" t="n"/>
      <c r="N16" s="108" t="n"/>
      <c r="O16" s="108" t="n"/>
      <c r="P16" s="108" t="n"/>
      <c r="Q16" s="108" t="n"/>
      <c r="R16" s="108" t="n"/>
      <c r="S16" s="108" t="n"/>
      <c r="T16" s="108" t="n"/>
      <c r="U16" s="108" t="n"/>
      <c r="V16" s="108" t="n"/>
      <c r="W16" s="108" t="n"/>
      <c r="X16" s="107" t="n"/>
      <c r="Y16" s="107" t="n"/>
      <c r="Z16" s="107" t="n"/>
    </row>
    <row r="17">
      <c r="C17" s="109" t="n"/>
      <c r="D17" s="110" t="n">
        <v>45291</v>
      </c>
      <c r="E17" s="110" t="n">
        <v>45657</v>
      </c>
      <c r="F17" s="110" t="n">
        <v>46022</v>
      </c>
      <c r="G17" s="110" t="n">
        <v>46387</v>
      </c>
      <c r="H17" s="110" t="n">
        <v>46752</v>
      </c>
      <c r="I17" s="110" t="n">
        <v>47118</v>
      </c>
      <c r="J17" s="110" t="n">
        <v>47483</v>
      </c>
      <c r="K17" s="110" t="n">
        <v>47848</v>
      </c>
      <c r="L17" s="110" t="n"/>
      <c r="M17" s="110" t="n"/>
      <c r="N17" s="110" t="n"/>
      <c r="O17" s="110" t="n"/>
      <c r="P17" s="110" t="n"/>
      <c r="Q17" s="110" t="n"/>
      <c r="R17" s="110" t="n"/>
      <c r="S17" s="110" t="n"/>
      <c r="T17" s="110" t="n"/>
      <c r="U17" s="110" t="n"/>
      <c r="V17" s="110" t="n"/>
      <c r="W17" s="111" t="n"/>
      <c r="X17" s="107" t="n"/>
      <c r="Y17" s="107" t="n"/>
      <c r="Z17" s="107" t="n"/>
    </row>
    <row r="18">
      <c r="C18" s="112" t="inlineStr">
        <is>
          <t>Net Revenues</t>
        </is>
      </c>
      <c r="D18" s="113">
        <f>IFERROR(Model!W15,"")</f>
        <v>22855</v>
      </c>
      <c r="E18" s="113">
        <f>IFERROR(Model!AB15,"")</f>
        <v>25455</v>
      </c>
      <c r="F18" s="113">
        <f>IFERROR(Model!AG15,"")</f>
        <v>25915</v>
      </c>
      <c r="G18" s="113">
        <f>IFERROR(Model!AL15,"")</f>
        <v>26031.4611263071</v>
      </c>
      <c r="H18" s="113">
        <f>IFERROR(Model!AQ15,"")</f>
        <v>26369.0360533302</v>
      </c>
      <c r="I18" s="113">
        <f>IFERROR(Model!AV15,"")</f>
        <v>26579.143457983</v>
      </c>
      <c r="J18" s="113">
        <f>IFERROR(Model!BA15,"")</f>
        <v>26658.0292725837</v>
      </c>
      <c r="K18" s="113">
        <f>IFERROR(Model!BF15,"")</f>
        <v>26658.0292725837</v>
      </c>
      <c r="L18" s="113" t="n"/>
      <c r="M18" s="113" t="n"/>
      <c r="N18" s="113" t="n"/>
      <c r="O18" s="113" t="n"/>
      <c r="P18" s="113" t="n"/>
      <c r="Q18" s="113" t="n"/>
      <c r="R18" s="113" t="n"/>
      <c r="S18" s="113" t="n"/>
      <c r="T18" s="113" t="n"/>
      <c r="U18" s="113" t="n"/>
      <c r="V18" s="114" t="n"/>
      <c r="X18" s="115" t="n"/>
      <c r="Y18" s="115" t="n"/>
      <c r="Z18" s="107" t="n"/>
    </row>
    <row r="19">
      <c r="C19" s="116" t="n"/>
      <c r="D19" s="109" t="str">
        <f>IFERROR("","")</f>
        <v/>
      </c>
      <c r="E19" s="117">
        <f>IFERROR(IF(D18=0,"",E18/D18-1),"")</f>
        <v>0.11376066506235</v>
      </c>
      <c r="F19" s="117">
        <f>IFERROR(IF(E18=0,"",F18/E18-1),"")</f>
        <v>0.0180711058731093</v>
      </c>
      <c r="G19" s="117">
        <f>IFERROR(IF(F18=0,"",G18/F18-1),"")</f>
        <v>0.00449396590033224</v>
      </c>
      <c r="H19" s="117">
        <f>IFERROR(IF(G18=0,"",H18/G18-1),"")</f>
        <v>0.012967959246895</v>
      </c>
      <c r="I19" s="117">
        <f>IFERROR(IF(H18=0,"",I18/H18-1),"")</f>
        <v>0.00796795924689486</v>
      </c>
      <c r="J19" s="117">
        <f>IFERROR(IF(I18=0,"",J18/I18-1),"")</f>
        <v>0.00296795924689497</v>
      </c>
      <c r="K19" s="117">
        <f>IFERROR(IF(J18=0,"",K18/J18-1),"")</f>
        <v>0</v>
      </c>
      <c r="L19" s="117" t="n"/>
      <c r="M19" s="117" t="n"/>
      <c r="N19" s="117" t="n"/>
      <c r="O19" s="117" t="n"/>
      <c r="P19" s="117" t="n"/>
      <c r="Q19" s="117" t="n"/>
      <c r="R19" s="117" t="n"/>
      <c r="S19" s="117" t="n"/>
      <c r="T19" s="117" t="n"/>
      <c r="U19" s="117" t="n"/>
      <c r="V19" s="118" t="n"/>
      <c r="X19" s="107" t="n"/>
      <c r="Y19" s="107" t="n"/>
      <c r="Z19" s="107" t="n"/>
    </row>
    <row r="20">
      <c r="C20" s="119" t="inlineStr">
        <is>
          <t>EBITDA</t>
        </is>
      </c>
      <c r="D20" s="113">
        <f>IFERROR(Model!W61,"")</f>
        <v>8293</v>
      </c>
      <c r="E20" s="113">
        <f>IFERROR(Model!AB61,"")</f>
        <v>9105</v>
      </c>
      <c r="F20" s="113">
        <f>IFERROR(Model!AG61,"")</f>
        <v>8762</v>
      </c>
      <c r="G20" s="113">
        <f>IFERROR(Model!AL61,"")</f>
        <v>9656.33919212038</v>
      </c>
      <c r="H20" s="113">
        <f>IFERROR(Model!AQ61,"")</f>
        <v>9250.59453004566</v>
      </c>
      <c r="I20" s="113">
        <f>IFERROR(Model!AV61,"")</f>
        <v>9324.30289027061</v>
      </c>
      <c r="J20" s="113">
        <f>IFERROR(Model!BA61,"")</f>
        <v>9351.97704125464</v>
      </c>
      <c r="K20" s="113">
        <f>IFERROR(Model!BF61,"")</f>
        <v>9351.97704125464</v>
      </c>
      <c r="L20" s="113" t="n"/>
      <c r="M20" s="120" t="n"/>
      <c r="N20" s="120" t="n"/>
      <c r="O20" s="120" t="n"/>
      <c r="P20" s="120" t="n"/>
      <c r="Q20" s="120" t="n"/>
      <c r="R20" s="120" t="n"/>
      <c r="S20" s="120" t="n"/>
      <c r="T20" s="120" t="n"/>
      <c r="U20" s="120" t="n"/>
      <c r="V20" s="121" t="n"/>
      <c r="X20" s="107" t="n"/>
      <c r="Y20" s="107" t="n"/>
      <c r="Z20" s="107" t="n"/>
    </row>
    <row r="21">
      <c r="C21" s="116" t="n"/>
      <c r="D21" s="122">
        <f>IFERROR(IF(D18=0,"",D20/D18),"")</f>
        <v>0.362852767446948</v>
      </c>
      <c r="E21" s="122">
        <f>IFERROR(IF(E18=0,"",E20/E18),"")</f>
        <v>0.357690041249263</v>
      </c>
      <c r="F21" s="122">
        <f>IFERROR(IF(F18=0,"",F20/F18),"")</f>
        <v>0.338105344395138</v>
      </c>
      <c r="G21" s="122">
        <f>IFERROR(IF(G18=0,"",G20/G18),"")</f>
        <v>0.370948797121564</v>
      </c>
      <c r="H21" s="122">
        <f>IFERROR(IF(H18=0,"",H20/H18),"")</f>
        <v>0.350812768101828</v>
      </c>
      <c r="I21" s="122">
        <f>IFERROR(IF(I18=0,"",I20/I18),"")</f>
        <v>0.350812768101828</v>
      </c>
      <c r="J21" s="122">
        <f>IFERROR(IF(J18=0,"",J20/J18),"")</f>
        <v>0.350812768101828</v>
      </c>
      <c r="K21" s="122">
        <f>IFERROR(IF(K18=0,"",K20/K18),"")</f>
        <v>0.350812768101828</v>
      </c>
      <c r="L21" s="122" t="n"/>
      <c r="M21" s="109" t="n"/>
      <c r="N21" s="109" t="n"/>
      <c r="O21" s="109" t="n"/>
      <c r="P21" s="109" t="n"/>
      <c r="Q21" s="109" t="n"/>
      <c r="R21" s="109" t="n"/>
      <c r="S21" s="109" t="n"/>
      <c r="T21" s="109" t="n"/>
      <c r="U21" s="109" t="n"/>
      <c r="V21" s="123" t="n"/>
      <c r="X21" s="115" t="n"/>
      <c r="Y21" s="115" t="n"/>
      <c r="Z21" s="107" t="n"/>
    </row>
    <row r="22">
      <c r="C22" s="112" t="inlineStr">
        <is>
          <t>EBIT</t>
        </is>
      </c>
      <c r="D22" s="113">
        <f>IFERROR(Model!W65,"")</f>
        <v>6225</v>
      </c>
      <c r="E22" s="113">
        <f>IFERROR(Model!AB65,"")</f>
        <v>6864</v>
      </c>
      <c r="F22" s="113">
        <f>IFERROR(Model!AG65,"")</f>
        <v>6518</v>
      </c>
      <c r="G22" s="113">
        <f>IFERROR(Model!AL65,"")</f>
        <v>7550.9183758881</v>
      </c>
      <c r="H22" s="113">
        <f>IFERROR(Model!AQ65,"")</f>
        <v>7044.12448289867</v>
      </c>
      <c r="I22" s="113">
        <f>IFERROR(Model!AV65,"")</f>
        <v>7100.25177970846</v>
      </c>
      <c r="J22" s="113">
        <f>IFERROR(Model!BA65,"")</f>
        <v>7121.32503763333</v>
      </c>
      <c r="K22" s="113">
        <f>IFERROR(Model!BF65,"")</f>
        <v>7121.32503763333</v>
      </c>
      <c r="L22" s="113" t="n"/>
      <c r="M22" s="113" t="n"/>
      <c r="N22" s="113" t="n"/>
      <c r="O22" s="113" t="n"/>
      <c r="P22" s="113" t="n"/>
      <c r="Q22" s="113" t="n"/>
      <c r="R22" s="113" t="n"/>
      <c r="S22" s="113" t="n"/>
      <c r="T22" s="113" t="n"/>
      <c r="U22" s="113" t="n"/>
      <c r="V22" s="114" t="n"/>
      <c r="X22" s="115" t="n"/>
      <c r="Y22" s="115" t="n"/>
      <c r="Z22" s="107" t="n"/>
    </row>
    <row r="23">
      <c r="C23" s="116" t="n"/>
      <c r="D23" s="122">
        <f>IFERROR(IF(D18=0,"",D22/D18),"")</f>
        <v>0.272369284620433</v>
      </c>
      <c r="E23" s="122">
        <f>IFERROR(IF(E18=0,"",E22/E18),"")</f>
        <v>0.269652327637007</v>
      </c>
      <c r="F23" s="122">
        <f>IFERROR(IF(F18=0,"",F22/F18),"")</f>
        <v>0.251514566853174</v>
      </c>
      <c r="G23" s="122">
        <f>IFERROR(IF(G18=0,"",G22/G18),"")</f>
        <v>0.29006894154924</v>
      </c>
      <c r="H23" s="122">
        <f>IFERROR(IF(H18=0,"",H22/H18),"")</f>
        <v>0.267136214939835</v>
      </c>
      <c r="I23" s="122">
        <f>IFERROR(IF(I18=0,"",I22/I18),"")</f>
        <v>0.267136214939835</v>
      </c>
      <c r="J23" s="122">
        <f>IFERROR(IF(J18=0,"",J22/J18),"")</f>
        <v>0.267136214939835</v>
      </c>
      <c r="K23" s="122">
        <f>IFERROR(IF(K18=0,"",K22/K18),"")</f>
        <v>0.267136214939835</v>
      </c>
      <c r="L23" s="122" t="n"/>
      <c r="M23" s="122" t="n"/>
      <c r="N23" s="122" t="n"/>
      <c r="O23" s="122" t="n"/>
      <c r="P23" s="122" t="n"/>
      <c r="Q23" s="122" t="n"/>
      <c r="R23" s="122" t="n"/>
      <c r="S23" s="122" t="n"/>
      <c r="T23" s="122" t="n"/>
      <c r="U23" s="122" t="n"/>
      <c r="V23" s="124" t="n"/>
      <c r="X23" s="107" t="n"/>
      <c r="Y23" s="107" t="n"/>
      <c r="Z23" s="107" t="n"/>
    </row>
    <row r="24">
      <c r="C24" s="112" t="inlineStr">
        <is>
          <t>Tax rate</t>
        </is>
      </c>
      <c r="D24" s="125">
        <f>IFERROR(Model!W124,"")</f>
        <v>0.377955377955378</v>
      </c>
      <c r="E24" s="125">
        <f>IFERROR(Model!AB124,"")</f>
        <v>0.365281598378457</v>
      </c>
      <c r="F24" s="125">
        <f>IFERROR(Model!AG124,"")</f>
        <v>0.348556183301946</v>
      </c>
      <c r="G24" s="125">
        <f>IFERROR(Model!AL124,"")</f>
        <v>0.31298148368532</v>
      </c>
      <c r="H24" s="125">
        <f>IFERROR(Model!AQ124,"")</f>
        <v>0.326187449306525</v>
      </c>
      <c r="I24" s="125">
        <f>IFERROR(Model!AV124,"")</f>
        <v>0.326187449306525</v>
      </c>
      <c r="J24" s="125">
        <f>IFERROR(Model!BA124,"")</f>
        <v>0.326187449306525</v>
      </c>
      <c r="K24" s="125">
        <f>IFERROR(Model!BF124,"")</f>
        <v>0.326187449306525</v>
      </c>
      <c r="L24" s="125" t="n"/>
      <c r="M24" s="125" t="n"/>
      <c r="N24" s="125" t="n"/>
      <c r="O24" s="125" t="n"/>
      <c r="P24" s="125" t="n"/>
      <c r="Q24" s="125" t="n"/>
      <c r="R24" s="125" t="n"/>
      <c r="S24" s="125" t="n"/>
      <c r="T24" s="125" t="n"/>
      <c r="U24" s="125" t="n"/>
      <c r="V24" s="126" t="n"/>
      <c r="X24" s="107" t="n"/>
      <c r="Y24" s="107" t="n"/>
      <c r="Z24" s="107" t="n"/>
    </row>
    <row r="25">
      <c r="C25" s="116" t="inlineStr">
        <is>
          <t>NOPLAT</t>
        </is>
      </c>
      <c r="D25" s="127">
        <f>IFERROR(D22*(1-D24),"")</f>
        <v>3872.22777222777</v>
      </c>
      <c r="E25" s="127">
        <f>IFERROR(E22*(1-E24),"")</f>
        <v>4356.70710873027</v>
      </c>
      <c r="F25" s="127">
        <f>IFERROR(F22*(1-F24),"")</f>
        <v>4246.11079723792</v>
      </c>
      <c r="G25" s="127">
        <f>IFERROR(G22*(1-G24),"")</f>
        <v>5187.6207394159</v>
      </c>
      <c r="H25" s="127">
        <f>IFERROR(H22*(1-H24),"")</f>
        <v>4746.41948522431</v>
      </c>
      <c r="I25" s="127">
        <f>IFERROR(I22*(1-I24),"")</f>
        <v>4784.23876225124</v>
      </c>
      <c r="J25" s="127">
        <f>IFERROR(J22*(1-J24),"")</f>
        <v>4798.43818792502</v>
      </c>
      <c r="K25" s="127">
        <f>IFERROR(K22*(1-K24),"")</f>
        <v>4798.43818792502</v>
      </c>
      <c r="L25" s="127" t="n"/>
      <c r="M25" s="127" t="n"/>
      <c r="N25" s="127" t="n"/>
      <c r="O25" s="127" t="n"/>
      <c r="P25" s="127" t="n"/>
      <c r="Q25" s="127" t="n"/>
      <c r="R25" s="127" t="n"/>
      <c r="S25" s="127" t="n"/>
      <c r="T25" s="127" t="n"/>
      <c r="U25" s="127" t="n"/>
      <c r="V25" s="128" t="n"/>
      <c r="X25" s="115" t="n"/>
      <c r="Y25" s="115" t="n"/>
      <c r="Z25" s="107" t="n"/>
    </row>
    <row r="26">
      <c r="C26" s="129" t="inlineStr">
        <is>
          <t>Depreciation &amp; Amortization</t>
        </is>
      </c>
      <c r="D26" s="130">
        <f>IFERROR(-Model!W62,"")</f>
        <v>2068</v>
      </c>
      <c r="E26" s="130">
        <f>IFERROR(-Model!AB62,"")</f>
        <v>2241</v>
      </c>
      <c r="F26" s="130">
        <f>IFERROR(-Model!AG62,"")</f>
        <v>2244</v>
      </c>
      <c r="G26" s="130">
        <f>IFERROR(-Model!AL62,"")</f>
        <v>2105.42081623227</v>
      </c>
      <c r="H26" s="130">
        <f>IFERROR(-Model!AQ62,"")</f>
        <v>2206.47004714699</v>
      </c>
      <c r="I26" s="130">
        <f>IFERROR(-Model!AV62,"")</f>
        <v>2224.05111056215</v>
      </c>
      <c r="J26" s="130">
        <f>IFERROR(-Model!BA62,"")</f>
        <v>2230.65200362131</v>
      </c>
      <c r="K26" s="130">
        <f>IFERROR(-Model!BF62,"")</f>
        <v>2230.65200362131</v>
      </c>
      <c r="L26" s="131" t="n"/>
      <c r="X26" s="107" t="n"/>
      <c r="Y26" s="107" t="n"/>
      <c r="Z26" s="107" t="n"/>
    </row>
    <row r="27">
      <c r="C27" s="132" t="inlineStr">
        <is>
          <t>Cash from working capital</t>
        </is>
      </c>
      <c r="D27" s="133">
        <f>IFERROR(Model!W271,"")</f>
        <v>-4242</v>
      </c>
      <c r="E27" s="133">
        <f>IFERROR(Model!AB271,"")</f>
        <v>-889</v>
      </c>
      <c r="F27" s="133">
        <f>IFERROR(Model!AG271,"")</f>
        <v>-987</v>
      </c>
      <c r="G27" s="133">
        <f>IFERROR(Model!AL271,"")</f>
        <v>-5006.19114113134</v>
      </c>
      <c r="H27" s="133">
        <f>IFERROR(Model!AQ271,"")</f>
        <v>66.7805841702818</v>
      </c>
      <c r="I27" s="133">
        <f>IFERROR(Model!AV271,"")</f>
        <v>42.1086801476987</v>
      </c>
      <c r="J27" s="133">
        <f>IFERROR(Model!BA271,"")</f>
        <v>15.9194507938671</v>
      </c>
      <c r="K27" s="133">
        <f>IFERROR(Model!BF271,"")</f>
        <v>0</v>
      </c>
      <c r="L27" s="134" t="n"/>
      <c r="X27" s="107" t="n"/>
      <c r="Y27" s="107" t="n"/>
      <c r="Z27" s="107" t="n"/>
    </row>
    <row r="28">
      <c r="C28" s="135" t="inlineStr">
        <is>
          <t>Accounts receivable</t>
        </is>
      </c>
      <c r="D28" s="136">
        <f>IFERROR(Model!W272,"")</f>
        <v>127</v>
      </c>
      <c r="E28" s="136">
        <f>IFERROR(Model!AB272,"")</f>
        <v>631</v>
      </c>
      <c r="F28" s="136">
        <f>IFERROR(Model!AG272,"")</f>
        <v>-399</v>
      </c>
      <c r="G28" s="136">
        <f>IFERROR(Model!AL272,"")</f>
        <v>252.235977134834</v>
      </c>
      <c r="H28" s="136">
        <f>IFERROR(Model!AQ272,"")</f>
        <v>-9.39871031213113</v>
      </c>
      <c r="I28" s="136">
        <f>IFERROR(Model!AV272,"")</f>
        <v>-5.84977873854575</v>
      </c>
      <c r="J28" s="136">
        <f>IFERROR(Model!BA272,"")</f>
        <v>-2.19632697755856</v>
      </c>
      <c r="K28" s="136">
        <f>IFERROR(Model!BF272,"")</f>
        <v>0</v>
      </c>
      <c r="L28" s="137" t="n"/>
      <c r="X28" s="107" t="n"/>
      <c r="Y28" s="107" t="n"/>
      <c r="Z28" s="107" t="n"/>
    </row>
    <row r="29">
      <c r="C29" s="135" t="inlineStr">
        <is>
          <t>Inventories</t>
        </is>
      </c>
      <c r="D29" s="136">
        <f>IFERROR(Model!W273,"")</f>
        <v>0</v>
      </c>
      <c r="E29" s="136">
        <f>IFERROR(Model!AB273,"")</f>
        <v>0</v>
      </c>
      <c r="F29" s="136">
        <f>IFERROR(Model!AG273,"")</f>
        <v>0</v>
      </c>
      <c r="G29" s="136">
        <f>IFERROR(Model!AL273,"")</f>
        <v>0</v>
      </c>
      <c r="H29" s="136">
        <f>IFERROR(Model!AQ273,"")</f>
        <v>0</v>
      </c>
      <c r="I29" s="136">
        <f>IFERROR(Model!AV273,"")</f>
        <v>0</v>
      </c>
      <c r="J29" s="136">
        <f>IFERROR(Model!BA273,"")</f>
        <v>0</v>
      </c>
      <c r="K29" s="136">
        <f>IFERROR(Model!BF273,"")</f>
        <v>0</v>
      </c>
      <c r="L29" s="137" t="n"/>
      <c r="X29" s="107" t="n"/>
      <c r="Y29" s="107" t="n"/>
      <c r="Z29" s="107" t="n"/>
    </row>
    <row r="30">
      <c r="C30" s="135" t="inlineStr">
        <is>
          <t>Deferred income taxes (assets)</t>
        </is>
      </c>
      <c r="D30" s="136">
        <f>IFERROR(Model!W274,"")</f>
        <v>0</v>
      </c>
      <c r="E30" s="136">
        <f>IFERROR(Model!AB274,"")</f>
        <v>0</v>
      </c>
      <c r="F30" s="136">
        <f>IFERROR(Model!AG274,"")</f>
        <v>0</v>
      </c>
      <c r="G30" s="136">
        <f>IFERROR(Model!AL274,"")</f>
        <v>0</v>
      </c>
      <c r="H30" s="136">
        <f>IFERROR(Model!AQ274,"")</f>
        <v>0</v>
      </c>
      <c r="I30" s="136">
        <f>IFERROR(Model!AV274,"")</f>
        <v>0</v>
      </c>
      <c r="J30" s="136">
        <f>IFERROR(Model!BA274,"")</f>
        <v>0</v>
      </c>
      <c r="K30" s="136">
        <f>IFERROR(Model!BF274,"")</f>
        <v>0</v>
      </c>
      <c r="L30" s="137" t="n"/>
      <c r="X30" s="107" t="n"/>
      <c r="Y30" s="107" t="n"/>
      <c r="Z30" s="107" t="n"/>
    </row>
    <row r="31">
      <c r="C31" s="135" t="inlineStr">
        <is>
          <t>Prepaid expenses</t>
        </is>
      </c>
      <c r="D31" s="136">
        <f>IFERROR(Model!W275,"")</f>
        <v>0</v>
      </c>
      <c r="E31" s="136">
        <f>IFERROR(Model!AB275,"")</f>
        <v>0</v>
      </c>
      <c r="F31" s="136">
        <f>IFERROR(Model!AG275,"")</f>
        <v>0</v>
      </c>
      <c r="G31" s="136">
        <f>IFERROR(Model!AL275,"")</f>
        <v>0</v>
      </c>
      <c r="H31" s="136">
        <f>IFERROR(Model!AQ275,"")</f>
        <v>0</v>
      </c>
      <c r="I31" s="136">
        <f>IFERROR(Model!AV275,"")</f>
        <v>0</v>
      </c>
      <c r="J31" s="136">
        <f>IFERROR(Model!BA275,"")</f>
        <v>0</v>
      </c>
      <c r="K31" s="136">
        <f>IFERROR(Model!BF275,"")</f>
        <v>0</v>
      </c>
      <c r="L31" s="137" t="n"/>
      <c r="X31" s="107" t="n"/>
      <c r="Y31" s="107" t="n"/>
      <c r="Z31" s="107" t="n"/>
    </row>
    <row r="32">
      <c r="C32" s="135" t="inlineStr">
        <is>
          <t>Other current assets</t>
        </is>
      </c>
      <c r="D32" s="136">
        <f>IFERROR(Model!W276,"")</f>
        <v>-4294</v>
      </c>
      <c r="E32" s="136">
        <f>IFERROR(Model!AB276,"")</f>
        <v>-1849</v>
      </c>
      <c r="F32" s="136">
        <f>IFERROR(Model!AG276,"")</f>
        <v>-932</v>
      </c>
      <c r="G32" s="136">
        <f>IFERROR(Model!AL276,"")</f>
        <v>-4553</v>
      </c>
      <c r="H32" s="136">
        <f>IFERROR(Model!AQ276,"")</f>
        <v>0</v>
      </c>
      <c r="I32" s="136">
        <f>IFERROR(Model!AV276,"")</f>
        <v>0</v>
      </c>
      <c r="J32" s="136">
        <f>IFERROR(Model!BA276,"")</f>
        <v>0</v>
      </c>
      <c r="K32" s="136">
        <f>IFERROR(Model!BF276,"")</f>
        <v>0</v>
      </c>
      <c r="L32" s="137" t="n"/>
      <c r="X32" s="107" t="n"/>
      <c r="Y32" s="107" t="n"/>
      <c r="Z32" s="107" t="n"/>
    </row>
    <row r="33">
      <c r="C33" s="135" t="inlineStr">
        <is>
          <t>Accounts payable</t>
        </is>
      </c>
      <c r="D33" s="136">
        <f>IFERROR(Model!W277,"")</f>
        <v>-298</v>
      </c>
      <c r="E33" s="136">
        <f>IFERROR(Model!AB277,"")</f>
        <v>328</v>
      </c>
      <c r="F33" s="136">
        <f>IFERROR(Model!AG277,"")</f>
        <v>508</v>
      </c>
      <c r="G33" s="136">
        <f>IFERROR(Model!AL277,"")</f>
        <v>-820.71409827473</v>
      </c>
      <c r="H33" s="136">
        <f>IFERROR(Model!AQ277,"")</f>
        <v>48.555746982297</v>
      </c>
      <c r="I33" s="136">
        <f>IFERROR(Model!AV277,"")</f>
        <v>30.2212076868273</v>
      </c>
      <c r="J33" s="136">
        <f>IFERROR(Model!BA277,"")</f>
        <v>11.3466947560964</v>
      </c>
      <c r="K33" s="136">
        <f>IFERROR(Model!BF277,"")</f>
        <v>0</v>
      </c>
      <c r="L33" s="137" t="n"/>
      <c r="X33" s="107" t="n"/>
      <c r="Y33" s="107" t="n"/>
      <c r="Z33" s="107" t="n"/>
    </row>
    <row r="34">
      <c r="C34" s="135" t="inlineStr">
        <is>
          <t>Accrued expenses</t>
        </is>
      </c>
      <c r="D34" s="136">
        <f>IFERROR(Model!W278,"")</f>
        <v>0</v>
      </c>
      <c r="E34" s="136">
        <f>IFERROR(Model!AB278,"")</f>
        <v>0</v>
      </c>
      <c r="F34" s="136">
        <f>IFERROR(Model!AG278,"")</f>
        <v>0</v>
      </c>
      <c r="G34" s="136">
        <f>IFERROR(Model!AL278,"")</f>
        <v>0</v>
      </c>
      <c r="H34" s="136">
        <f>IFERROR(Model!AQ278,"")</f>
        <v>0</v>
      </c>
      <c r="I34" s="136">
        <f>IFERROR(Model!AV278,"")</f>
        <v>0</v>
      </c>
      <c r="J34" s="136">
        <f>IFERROR(Model!BA278,"")</f>
        <v>0</v>
      </c>
      <c r="K34" s="136">
        <f>IFERROR(Model!BF278,"")</f>
        <v>0</v>
      </c>
      <c r="L34" s="137" t="n"/>
      <c r="X34" s="107" t="n"/>
      <c r="Y34" s="107" t="n"/>
      <c r="Z34" s="107" t="n"/>
    </row>
    <row r="35">
      <c r="C35" s="135" t="inlineStr">
        <is>
          <t>Taxes payable</t>
        </is>
      </c>
      <c r="D35" s="136">
        <f>IFERROR(Model!W279,"")</f>
        <v>42</v>
      </c>
      <c r="E35" s="136">
        <f>IFERROR(Model!AB279,"")</f>
        <v>73</v>
      </c>
      <c r="F35" s="136">
        <f>IFERROR(Model!AG279,"")</f>
        <v>-403</v>
      </c>
      <c r="G35" s="136">
        <f>IFERROR(Model!AL279,"")</f>
        <v>66.2869800085568</v>
      </c>
      <c r="H35" s="136">
        <f>IFERROR(Model!AQ279,"")</f>
        <v>27.6235475001159</v>
      </c>
      <c r="I35" s="136">
        <f>IFERROR(Model!AV279,"")</f>
        <v>17.7372511994172</v>
      </c>
      <c r="J35" s="136">
        <f>IFERROR(Model!BA279,"")</f>
        <v>6.76908301532922</v>
      </c>
      <c r="K35" s="136">
        <f>IFERROR(Model!BF279,"")</f>
        <v>0</v>
      </c>
      <c r="L35" s="137" t="n"/>
      <c r="X35" s="107" t="n"/>
      <c r="Y35" s="107" t="n"/>
      <c r="Z35" s="107" t="n"/>
    </row>
    <row r="36">
      <c r="C36" s="135" t="inlineStr">
        <is>
          <t>Other current liabilities</t>
        </is>
      </c>
      <c r="D36" s="136">
        <f>IFERROR(Model!W280,"")</f>
        <v>-3</v>
      </c>
      <c r="E36" s="136">
        <f>IFERROR(Model!AB280,"")</f>
        <v>5</v>
      </c>
      <c r="F36" s="136">
        <f>IFERROR(Model!AG280,"")</f>
        <v>-7</v>
      </c>
      <c r="G36" s="136">
        <f>IFERROR(Model!AL280,"")</f>
        <v>13</v>
      </c>
      <c r="H36" s="136">
        <f>IFERROR(Model!AQ280,"")</f>
        <v>0</v>
      </c>
      <c r="I36" s="136">
        <f>IFERROR(Model!AV280,"")</f>
        <v>0</v>
      </c>
      <c r="J36" s="136">
        <f>IFERROR(Model!BA280,"")</f>
        <v>0</v>
      </c>
      <c r="K36" s="136">
        <f>IFERROR(Model!BF280,"")</f>
        <v>0</v>
      </c>
      <c r="L36" s="137" t="n"/>
      <c r="X36" s="107" t="n"/>
      <c r="Y36" s="107" t="n"/>
      <c r="Z36" s="107" t="n"/>
    </row>
    <row r="37">
      <c r="C37" s="135" t="inlineStr">
        <is>
          <t>Deferred tax (liabilities)</t>
        </is>
      </c>
      <c r="D37" s="136">
        <f>IFERROR(Model!W281,"")</f>
        <v>184</v>
      </c>
      <c r="E37" s="136">
        <f>IFERROR(Model!AB281,"")</f>
        <v>-77</v>
      </c>
      <c r="F37" s="136">
        <f>IFERROR(Model!AG281,"")</f>
        <v>246</v>
      </c>
      <c r="G37" s="136">
        <f>IFERROR(Model!AL281,"")</f>
        <v>36</v>
      </c>
      <c r="H37" s="136">
        <f>IFERROR(Model!AQ281,"")</f>
        <v>0</v>
      </c>
      <c r="I37" s="136">
        <f>IFERROR(Model!AV281,"")</f>
        <v>0</v>
      </c>
      <c r="J37" s="136">
        <f>IFERROR(Model!BA281,"")</f>
        <v>0</v>
      </c>
      <c r="K37" s="136">
        <f>IFERROR(Model!BF281,"")</f>
        <v>0</v>
      </c>
      <c r="L37" s="137" t="n"/>
      <c r="X37" s="107" t="n"/>
      <c r="Y37" s="107" t="n"/>
      <c r="Z37" s="107" t="n"/>
    </row>
    <row r="38">
      <c r="C38" s="135" t="inlineStr">
        <is>
          <t>Other non-current assets</t>
        </is>
      </c>
      <c r="D38" s="136">
        <f>IFERROR((Model!W181-Model!R181)*-1,"")</f>
        <v>-293</v>
      </c>
      <c r="E38" s="136">
        <f>IFERROR((Model!AB181-Model!W181)*-1,"")</f>
        <v>108</v>
      </c>
      <c r="F38" s="136">
        <f>IFERROR((Model!AG181-Model!AB181)*-1,"")</f>
        <v>-603</v>
      </c>
      <c r="G38" s="136">
        <f>IFERROR((Model!AL181-Model!AG181)*-1,"")</f>
        <v>-216</v>
      </c>
      <c r="H38" s="136">
        <f>IFERROR((Model!AQ181-Model!AL181)*-1,"")</f>
        <v>0</v>
      </c>
      <c r="I38" s="136">
        <f>IFERROR((Model!AV181-Model!AQ181)*-1,"")</f>
        <v>0</v>
      </c>
      <c r="J38" s="136">
        <f>IFERROR((Model!BA181-Model!AV181)*-1,"")</f>
        <v>0</v>
      </c>
      <c r="K38" s="136">
        <f>IFERROR((Model!BF181-Model!BA181)*-1,"")</f>
        <v>0</v>
      </c>
      <c r="L38" s="137" t="n"/>
      <c r="X38" s="107" t="n"/>
      <c r="Y38" s="107" t="n"/>
      <c r="Z38" s="107" t="n"/>
    </row>
    <row r="39">
      <c r="C39" s="135" t="inlineStr">
        <is>
          <t>Other non-current liabilities</t>
        </is>
      </c>
      <c r="D39" s="136">
        <f>IFERROR(Model!W232-Model!R232,"")</f>
        <v>247</v>
      </c>
      <c r="E39" s="136">
        <f>IFERROR(Model!AB232-Model!W232,"")</f>
        <v>1019</v>
      </c>
      <c r="F39" s="136">
        <f>IFERROR(Model!AG232-Model!AB232,"")</f>
        <v>-454</v>
      </c>
      <c r="G39" s="136">
        <f>IFERROR(Model!AL232-Model!AG232,"")</f>
        <v>15</v>
      </c>
      <c r="H39" s="136">
        <f>IFERROR(Model!AQ232-Model!AL232,"")</f>
        <v>0</v>
      </c>
      <c r="I39" s="136">
        <f>IFERROR(Model!AV232-Model!AQ232,"")</f>
        <v>0</v>
      </c>
      <c r="J39" s="136">
        <f>IFERROR(Model!BA232-Model!AV232,"")</f>
        <v>0</v>
      </c>
      <c r="K39" s="136">
        <f>IFERROR(Model!BF232-Model!BA232,"")</f>
        <v>0</v>
      </c>
      <c r="L39" s="137" t="n"/>
      <c r="X39" s="107" t="n"/>
      <c r="Y39" s="107" t="n"/>
      <c r="Z39" s="107" t="n"/>
    </row>
    <row r="40">
      <c r="C40" s="135" t="inlineStr">
        <is>
          <t>Capital expenditures</t>
        </is>
      </c>
      <c r="D40" s="136">
        <f>IFERROR(Model!W287,"")</f>
        <v>-4736</v>
      </c>
      <c r="E40" s="136">
        <f>IFERROR(Model!AB287,"")</f>
        <v>-5460</v>
      </c>
      <c r="F40" s="136">
        <f>IFERROR(Model!AG287,"")</f>
        <v>-4466</v>
      </c>
      <c r="G40" s="136">
        <f>IFERROR(Model!AL287,"")</f>
        <v>-4115.28277118433</v>
      </c>
      <c r="H40" s="136">
        <f>IFERROR(Model!AQ287,"")</f>
        <v>-4356.0263754442</v>
      </c>
      <c r="I40" s="136">
        <f>IFERROR(Model!AV287,"")</f>
        <v>-4390.73501608214</v>
      </c>
      <c r="J40" s="136">
        <f>IFERROR(Model!BA287,"")</f>
        <v>-4403.76653867379</v>
      </c>
      <c r="K40" s="136">
        <f>IFERROR(Model!BF287,"")</f>
        <v>-4403.76653867379</v>
      </c>
      <c r="L40" s="137" t="n"/>
      <c r="X40" s="107" t="n"/>
      <c r="Y40" s="107" t="n"/>
      <c r="Z40" s="107" t="n"/>
    </row>
    <row r="41">
      <c r="C41" s="135" t="inlineStr">
        <is>
          <t>Capital expenditures [IFRS16 - implied lease payments]</t>
        </is>
      </c>
      <c r="D41" s="251">
        <f>IFERROR(0,"")</f>
        <v>0</v>
      </c>
      <c r="E41" s="251">
        <f>IFERROR(0,"")</f>
        <v>0</v>
      </c>
      <c r="F41" s="136">
        <f>IFERROR(0,"")</f>
        <v>0</v>
      </c>
      <c r="G41" s="136">
        <f>IFERROR(0,"")</f>
        <v>0</v>
      </c>
      <c r="H41" s="136">
        <f>IFERROR(0,"")</f>
        <v>0</v>
      </c>
      <c r="I41" s="136">
        <f>IFERROR(0,"")</f>
        <v>0</v>
      </c>
      <c r="J41" s="136">
        <f>IFERROR(0,"")</f>
        <v>0</v>
      </c>
      <c r="K41" s="136">
        <f>IFERROR(0,"")</f>
        <v>0</v>
      </c>
      <c r="L41" s="137" t="n"/>
      <c r="X41" s="107" t="n"/>
      <c r="Y41" s="107" t="n"/>
      <c r="Z41" s="107" t="n"/>
    </row>
    <row r="42">
      <c r="C42" s="138" t="inlineStr">
        <is>
          <t>Purchase of intangible assets</t>
        </is>
      </c>
      <c r="D42" s="139">
        <f>IFERROR(0,"")</f>
        <v>0</v>
      </c>
      <c r="E42" s="139">
        <f>IFERROR(0,"")</f>
        <v>0</v>
      </c>
      <c r="F42" s="139">
        <f>IFERROR(0,"")</f>
        <v>0</v>
      </c>
      <c r="G42" s="139">
        <f>IFERROR(0,"")</f>
        <v>0</v>
      </c>
      <c r="H42" s="139">
        <f>IFERROR(0,"")</f>
        <v>0</v>
      </c>
      <c r="I42" s="139">
        <f>IFERROR(0,"")</f>
        <v>0</v>
      </c>
      <c r="J42" s="139">
        <f>IFERROR(0,"")</f>
        <v>0</v>
      </c>
      <c r="K42" s="139">
        <f>IFERROR(0,"")</f>
        <v>0</v>
      </c>
      <c r="L42" s="140" t="n"/>
      <c r="M42" s="141" t="n"/>
      <c r="X42" s="107" t="n"/>
      <c r="Y42" s="107" t="n"/>
      <c r="Z42" s="107" t="n"/>
      <c r="AB42" s="102" t="n"/>
    </row>
    <row r="43">
      <c r="X43" s="107" t="n"/>
      <c r="Y43" s="107" t="n"/>
      <c r="Z43" s="107" t="n"/>
    </row>
    <row r="44">
      <c r="C44" s="112" t="inlineStr">
        <is>
          <t>Net Investments</t>
        </is>
      </c>
      <c r="D44" s="133">
        <f>IFERROR(SUM(D27,D40:D42,D26),"")</f>
        <v>-6910</v>
      </c>
      <c r="E44" s="133">
        <f>IFERROR(SUM(E27,E40:E42,E26),"")</f>
        <v>-4108</v>
      </c>
      <c r="F44" s="133">
        <f>IFERROR(SUM(F27,F40:F42,F26),"")</f>
        <v>-3209</v>
      </c>
      <c r="G44" s="133">
        <f>IFERROR(SUM(G27,G40:G42,G26),"")</f>
        <v>-7016.05309608339</v>
      </c>
      <c r="H44" s="133">
        <f>IFERROR(SUM(H27,H40:H42,H26),"")</f>
        <v>-2082.77574412694</v>
      </c>
      <c r="I44" s="133">
        <f>IFERROR(SUM(I27,I40:I42,I26),"")</f>
        <v>-2124.5752253723</v>
      </c>
      <c r="J44" s="133">
        <f>IFERROR(SUM(J27,J40:J42,J26),"")</f>
        <v>-2157.19508425861</v>
      </c>
      <c r="K44" s="133">
        <f>IFERROR(SUM(K27,K40:K42,K26),"")</f>
        <v>-2173.11453505248</v>
      </c>
      <c r="L44" s="133" t="n"/>
      <c r="M44" s="142" t="n"/>
      <c r="N44" s="133" t="n"/>
      <c r="O44" s="133" t="n"/>
      <c r="P44" s="133" t="n"/>
      <c r="Q44" s="133" t="n"/>
      <c r="R44" s="133" t="n"/>
      <c r="S44" s="133" t="n"/>
      <c r="T44" s="133" t="n"/>
      <c r="U44" s="133" t="n"/>
      <c r="V44" s="134" t="n"/>
      <c r="X44" s="107" t="n"/>
      <c r="Y44" s="141" t="n"/>
      <c r="Z44" s="107" t="n"/>
    </row>
    <row r="45">
      <c r="C45" s="143" t="n"/>
      <c r="D45" s="141" t="n"/>
      <c r="E45" s="141" t="n"/>
      <c r="F45" s="141" t="n"/>
      <c r="G45" s="141" t="n"/>
      <c r="H45" s="141" t="n"/>
      <c r="I45" s="141" t="n"/>
      <c r="J45" s="141" t="n"/>
      <c r="K45" s="141" t="n"/>
      <c r="L45" s="141" t="n"/>
      <c r="V45" s="144" t="n"/>
      <c r="X45" s="107" t="n"/>
      <c r="Y45" s="107" t="n"/>
      <c r="Z45" s="107" t="n"/>
    </row>
    <row r="46">
      <c r="C46" s="143" t="inlineStr">
        <is>
          <t>Invested Capital</t>
        </is>
      </c>
      <c r="D46" s="136">
        <f>IFERROR(Model!W342,"")</f>
        <v>30364</v>
      </c>
      <c r="E46" s="136">
        <f>IFERROR(Model!AB342,"")</f>
        <v>33268</v>
      </c>
      <c r="F46" s="136">
        <f>IFERROR(Model!AG342,"")</f>
        <v>37780</v>
      </c>
      <c r="G46" s="136">
        <f>IFERROR(Model!AL342,"")</f>
        <v>45033.0530960834</v>
      </c>
      <c r="H46" s="136">
        <f>IFERROR(Model!AQ342,"")</f>
        <v>47115.8288402103</v>
      </c>
      <c r="I46" s="136">
        <f>IFERROR(Model!AV342,"")</f>
        <v>49240.4040655826</v>
      </c>
      <c r="J46" s="136">
        <f>IFERROR(Model!BA342,"")</f>
        <v>51397.5991498413</v>
      </c>
      <c r="K46" s="136">
        <f>IFERROR(Model!BF342,"")</f>
        <v>53570.7136848937</v>
      </c>
      <c r="L46" s="136" t="n"/>
      <c r="M46" s="145" t="n"/>
      <c r="N46" s="145" t="n"/>
      <c r="O46" s="145" t="n"/>
      <c r="P46" s="145" t="n"/>
      <c r="Q46" s="145" t="n"/>
      <c r="R46" s="145" t="n"/>
      <c r="S46" s="145" t="n"/>
      <c r="T46" s="145" t="n"/>
      <c r="U46" s="145" t="n"/>
      <c r="V46" s="146" t="n"/>
      <c r="X46" s="141" t="n"/>
      <c r="Y46" s="141" t="n"/>
      <c r="Z46" s="107" t="n"/>
    </row>
    <row r="47">
      <c r="C47" s="143" t="inlineStr">
        <is>
          <t>Invested Capital (ex Goodwill)</t>
        </is>
      </c>
      <c r="D47" s="136">
        <f>IFERROR(Model!W343,"")</f>
        <v>30364</v>
      </c>
      <c r="E47" s="136">
        <f>IFERROR(Model!AB343,"")</f>
        <v>33268</v>
      </c>
      <c r="F47" s="136">
        <f>IFERROR(Model!AG343,"")</f>
        <v>37780</v>
      </c>
      <c r="G47" s="136">
        <f>IFERROR(Model!AL343,"")</f>
        <v>45033.0530960834</v>
      </c>
      <c r="H47" s="136">
        <f>IFERROR(Model!AQ343,"")</f>
        <v>47115.8288402103</v>
      </c>
      <c r="I47" s="136">
        <f>IFERROR(Model!AV343,"")</f>
        <v>49240.4040655826</v>
      </c>
      <c r="J47" s="136">
        <f>IFERROR(Model!BA343,"")</f>
        <v>51397.5991498413</v>
      </c>
      <c r="K47" s="136">
        <f>IFERROR(Model!BF343,"")</f>
        <v>53570.7136848937</v>
      </c>
      <c r="L47" s="136" t="n"/>
      <c r="V47" s="144" t="n"/>
      <c r="X47" s="107" t="n"/>
      <c r="Y47" s="107" t="n"/>
      <c r="Z47" s="107" t="n"/>
    </row>
    <row r="48">
      <c r="C48" s="116" t="inlineStr">
        <is>
          <t>Invested Capital / Net Revenues</t>
        </is>
      </c>
      <c r="D48" s="122">
        <f>IFERROR(IF(D18=0,"",D46/D18),"")</f>
        <v>1.32854955152046</v>
      </c>
      <c r="E48" s="122">
        <f>IFERROR(IF(E18=0,"",E46/E18),"")</f>
        <v>1.30693380475349</v>
      </c>
      <c r="F48" s="122">
        <f>IFERROR(IF(F18=0,"",F46/F18),"")</f>
        <v>1.45784294809956</v>
      </c>
      <c r="G48" s="122">
        <f>IFERROR(IF(G18=0,"",G46/G18),"")</f>
        <v>1.72994719265195</v>
      </c>
      <c r="H48" s="122">
        <f>IFERROR(IF(H18=0,"",H46/H18),"")</f>
        <v>1.78678616635514</v>
      </c>
      <c r="I48" s="122">
        <f>IFERROR(IF(I18=0,"",I46/I18),"")</f>
        <v>1.85259559411397</v>
      </c>
      <c r="J48" s="122">
        <f>IFERROR(IF(J18=0,"",J46/J18),"")</f>
        <v>1.92803446287385</v>
      </c>
      <c r="K48" s="122">
        <f>IFERROR(IF(K18=0,"",K46/K18),"")</f>
        <v>2.00955266186868</v>
      </c>
      <c r="L48" s="122" t="n"/>
      <c r="M48" s="147" t="n"/>
      <c r="N48" s="147" t="n"/>
      <c r="O48" s="147" t="n"/>
      <c r="P48" s="147" t="n"/>
      <c r="Q48" s="147" t="n"/>
      <c r="R48" s="147" t="n"/>
      <c r="S48" s="147" t="n"/>
      <c r="T48" s="147" t="n"/>
      <c r="U48" s="147" t="n"/>
      <c r="V48" s="148" t="n"/>
      <c r="X48" s="106" t="n"/>
      <c r="Y48" s="107" t="n"/>
      <c r="Z48" s="107" t="n"/>
    </row>
    <row r="49">
      <c r="X49" s="107" t="n"/>
      <c r="Y49" s="107" t="n"/>
      <c r="Z49" s="107" t="n"/>
    </row>
    <row r="50">
      <c r="C50" s="149" t="inlineStr">
        <is>
          <t>ROIC</t>
        </is>
      </c>
      <c r="D50" s="150">
        <f>IFERROR(IF(D46=0,"",D25/D46),"")</f>
        <v>0.127526932295737</v>
      </c>
      <c r="E50" s="150">
        <f>IFERROR(IF(E46=0,"",E25/E46),"")</f>
        <v>0.130957890727735</v>
      </c>
      <c r="F50" s="150">
        <f>IFERROR(IF(F46=0,"",F25/F46),"")</f>
        <v>0.112390439312809</v>
      </c>
      <c r="G50" s="150">
        <f>IFERROR(IF(G46=0,"",G25/G46),"")</f>
        <v>0.115195847999635</v>
      </c>
      <c r="H50" s="150">
        <f>IFERROR(IF(H46=0,"",H25/H46),"")</f>
        <v>0.10073938211554</v>
      </c>
      <c r="I50" s="150">
        <f>IFERROR(IF(I46=0,"",I25/I46),"")</f>
        <v>0.0971608347461808</v>
      </c>
      <c r="J50" s="150">
        <f>IFERROR(IF(J46=0,"",J25/J46),"")</f>
        <v>0.0933591892869541</v>
      </c>
      <c r="K50" s="150">
        <f>IFERROR(IF(K46=0,"",K25/K46),"")</f>
        <v>0.0895720414730655</v>
      </c>
      <c r="L50" s="150" t="n"/>
      <c r="M50" s="151" t="n"/>
      <c r="N50" s="151" t="n"/>
      <c r="O50" s="151" t="n"/>
      <c r="P50" s="151" t="n"/>
      <c r="Q50" s="151" t="n"/>
      <c r="R50" s="151" t="n"/>
      <c r="S50" s="151" t="n"/>
      <c r="T50" s="151" t="n"/>
      <c r="U50" s="151" t="n"/>
      <c r="V50" s="152" t="n"/>
      <c r="X50" s="115" t="n"/>
      <c r="Y50" s="115" t="n"/>
      <c r="Z50" s="153" t="n"/>
    </row>
    <row r="51">
      <c r="C51" s="102" t="inlineStr">
        <is>
          <t>Capital Turnover</t>
        </is>
      </c>
      <c r="D51" s="154">
        <f>IFERROR(IF(D46=0,"",D18/D46),"")</f>
        <v>0.752700566460282</v>
      </c>
      <c r="E51" s="154">
        <f>IFERROR(IF(E46=0,"",E18/E46),"")</f>
        <v>0.765149693399062</v>
      </c>
      <c r="F51" s="154">
        <f>IFERROR(IF(F46=0,"",F18/F46),"")</f>
        <v>0.685944944415034</v>
      </c>
      <c r="G51" s="154">
        <f>IFERROR(IF(G46=0,"",G18/G46),"")</f>
        <v>0.578052326826828</v>
      </c>
      <c r="H51" s="154">
        <f>IFERROR(IF(H46=0,"",H18/H46),"")</f>
        <v>0.559664059880146</v>
      </c>
      <c r="I51" s="154">
        <f>IFERROR(IF(I46=0,"",I18/I46),"")</f>
        <v>0.539783211823011</v>
      </c>
      <c r="J51" s="154">
        <f>IFERROR(IF(J46=0,"",J18/J46),"")</f>
        <v>0.518662928104221</v>
      </c>
      <c r="K51" s="154">
        <f>IFERROR(IF(K46=0,"",K18/K46),"")</f>
        <v>0.497623186978391</v>
      </c>
      <c r="L51" s="154" t="n"/>
      <c r="M51" s="154" t="n"/>
      <c r="N51" s="154" t="n"/>
      <c r="O51" s="154" t="n"/>
      <c r="P51" s="154" t="n"/>
      <c r="Q51" s="154" t="n"/>
      <c r="R51" s="154" t="n"/>
      <c r="S51" s="154" t="n"/>
      <c r="T51" s="154" t="n"/>
      <c r="U51" s="154" t="n"/>
      <c r="V51" s="154" t="n"/>
    </row>
    <row r="52"/>
    <row r="53" customFormat="1" s="102">
      <c r="A53" s="251" t="n"/>
      <c r="B53" s="251" t="n"/>
      <c r="C53" s="102" t="inlineStr">
        <is>
          <t>Unlevered free cash flows = FCFF</t>
        </is>
      </c>
      <c r="D53" s="155">
        <f>IFERROR(D25+D44,"")</f>
        <v>-3037.77222777223</v>
      </c>
      <c r="E53" s="155">
        <f>IFERROR(E25+E44,"")</f>
        <v>248.707108730274</v>
      </c>
      <c r="F53" s="155">
        <f>IFERROR(F25+F44,"")</f>
        <v>1037.11079723792</v>
      </c>
      <c r="G53" s="156">
        <f>IFERROR(G25+G44,"")</f>
        <v>-1828.4323566675</v>
      </c>
      <c r="H53" s="155">
        <f>IFERROR(H25+H44,"")</f>
        <v>2663.64374109737</v>
      </c>
      <c r="I53" s="155">
        <f>IFERROR(I25+I44,"")</f>
        <v>2659.66353687895</v>
      </c>
      <c r="J53" s="155">
        <f>IFERROR(J25+J44,"")</f>
        <v>2641.24310366641</v>
      </c>
      <c r="K53" s="155">
        <f>IFERROR(K25+K44,"")</f>
        <v>2625.32365287254</v>
      </c>
      <c r="L53" s="155" t="n"/>
      <c r="M53" s="155" t="n"/>
      <c r="N53" s="155" t="n"/>
      <c r="O53" s="155" t="n"/>
      <c r="P53" s="155" t="n"/>
      <c r="Q53" s="155" t="n"/>
      <c r="R53" s="155" t="n"/>
      <c r="S53" s="155" t="n"/>
      <c r="T53" s="155" t="n"/>
      <c r="U53" s="155" t="n"/>
      <c r="V53" s="155" t="n"/>
    </row>
    <row r="54">
      <c r="C54" s="157" t="inlineStr">
        <is>
          <t>Discount factor</t>
        </is>
      </c>
      <c r="G54" s="158" t="str">
        <f>IFERROR(IF(Control!E12="","",1/(1+Control!E12)^Control!B13),"")</f>
        <v/>
      </c>
      <c r="H54" s="158" t="str">
        <f>IFERROR(IF(G54="","",G54/(1+Control!E12)),"")</f>
        <v/>
      </c>
      <c r="I54" s="158" t="str">
        <f>IFERROR(IF(H54="","",H54/(1+Control!E12)),"")</f>
        <v/>
      </c>
      <c r="J54" s="158" t="str">
        <f>IFERROR(IF(I54="","",I54/(1+Control!E12)),"")</f>
        <v/>
      </c>
      <c r="K54" s="158" t="str">
        <f>IFERROR(IF(J54="","",J54/(1+Control!E12)),"")</f>
        <v/>
      </c>
      <c r="L54" s="158" t="n"/>
      <c r="M54" s="158" t="n"/>
      <c r="N54" s="158" t="n"/>
      <c r="O54" s="158" t="n"/>
      <c r="P54" s="158" t="n"/>
      <c r="Q54" s="158" t="n"/>
      <c r="R54" s="158" t="n"/>
      <c r="S54" s="158" t="n"/>
      <c r="T54" s="158" t="n"/>
      <c r="U54" s="158" t="n"/>
      <c r="V54" s="158" t="n"/>
    </row>
    <row r="55">
      <c r="C55" s="157" t="inlineStr">
        <is>
          <t>Midyear adjustment factor</t>
        </is>
      </c>
      <c r="G55" s="159" t="str">
        <f>IFERROR(IF(Control!E12="","",(1+Control!E12)^0.5),"")</f>
        <v/>
      </c>
      <c r="H55" s="158" t="str">
        <f>IFERROR(G55,"")</f>
        <v/>
      </c>
      <c r="I55" s="158" t="str">
        <f>IFERROR(H55,"")</f>
        <v/>
      </c>
      <c r="J55" s="158" t="str">
        <f>IFERROR(I55,"")</f>
        <v/>
      </c>
      <c r="K55" s="158" t="str">
        <f>IFERROR(J55,"")</f>
        <v/>
      </c>
      <c r="L55" s="158" t="n"/>
      <c r="M55" s="158" t="n"/>
      <c r="N55" s="158" t="n"/>
      <c r="O55" s="158" t="n"/>
      <c r="P55" s="158" t="n"/>
      <c r="Q55" s="158" t="n"/>
      <c r="R55" s="158" t="n"/>
      <c r="S55" s="158" t="n"/>
      <c r="T55" s="158" t="n"/>
      <c r="U55" s="158" t="n"/>
      <c r="V55" s="158" t="n"/>
    </row>
    <row r="56">
      <c r="C56" s="157" t="inlineStr">
        <is>
          <t>Present value of free cash flows</t>
        </is>
      </c>
      <c r="G56" s="141" t="str">
        <f>IFERROR(IF(G54="","",G53*G54*G55),"")</f>
        <v/>
      </c>
      <c r="H56" s="141" t="str">
        <f>IFERROR(IF(H54="","",H53*H54*H55),"")</f>
        <v/>
      </c>
      <c r="I56" s="141" t="str">
        <f>IFERROR(IF(I54="","",I53*I54*I55),"")</f>
        <v/>
      </c>
      <c r="J56" s="141" t="str">
        <f>IFERROR(IF(J54="","",J53*J54*J55),"")</f>
        <v/>
      </c>
      <c r="K56" s="141" t="str">
        <f>IFERROR(IF(K54="","",K53*K54*K55),"")</f>
        <v/>
      </c>
      <c r="L56" s="141" t="n"/>
      <c r="M56" s="141" t="n"/>
      <c r="N56" s="141" t="n"/>
      <c r="O56" s="141" t="n"/>
      <c r="P56" s="141" t="n"/>
      <c r="Q56" s="141" t="n"/>
      <c r="R56" s="141" t="n"/>
      <c r="S56" s="141" t="n"/>
      <c r="T56" s="141" t="n"/>
      <c r="U56" s="141" t="n"/>
      <c r="V56" s="141" t="n"/>
    </row>
    <row r="57">
      <c r="C57" s="102" t="inlineStr">
        <is>
          <t>Sum of present values of FCFs</t>
        </is>
      </c>
      <c r="G57" s="155" t="str">
        <f>IFERROR(IF(COUNT(G56:K56)=0,"",SUM(G56:K56)),"")</f>
        <v/>
      </c>
      <c r="H57" s="141" t="n"/>
      <c r="N57" s="160" t="n"/>
    </row>
    <row r="58"/>
    <row r="59">
      <c r="C59" s="102" t="n"/>
      <c r="D59" s="95">
        <f>IFERROR(IF(Control!B9="","",Control!B9),"")</f>
        <v>47848.0</v>
      </c>
      <c r="E59" s="161" t="n"/>
      <c r="F59" s="162" t="n"/>
      <c r="G59" s="162" t="n"/>
      <c r="H59" s="95">
        <f>IFERROR(IF(Control!B7="","",Control!B7),"")</f>
        <v>46203.0</v>
      </c>
      <c r="I59" s="162" t="n"/>
      <c r="J59" s="162" t="n"/>
      <c r="K59" s="162" t="n"/>
      <c r="L59" s="162" t="n"/>
    </row>
    <row r="60" ht="13.5" customHeight="1">
      <c r="C60" s="163" t="inlineStr">
        <is>
          <t>Terminal value</t>
        </is>
      </c>
      <c r="D60" s="164" t="n"/>
      <c r="E60" s="165" t="inlineStr">
        <is>
          <t>Equity value calculations</t>
        </is>
      </c>
      <c r="F60" s="166" t="n"/>
      <c r="G60" s="166" t="n"/>
      <c r="H60" s="166" t="n"/>
      <c r="I60" s="167" t="inlineStr">
        <is>
          <t xml:space="preserve"> Shares Outstanding Worksheet</t>
        </is>
      </c>
      <c r="J60" s="168" t="n"/>
      <c r="K60" s="169" t="n"/>
      <c r="L60" s="170" t="n"/>
    </row>
    <row r="61">
      <c r="C61" s="143" t="n"/>
      <c r="D61" s="144" t="n"/>
      <c r="I61" s="143" t="n"/>
      <c r="L61" s="144" t="n"/>
    </row>
    <row r="62">
      <c r="C62" s="171" t="inlineStr">
        <is>
          <t>Key value driver method</t>
        </is>
      </c>
      <c r="D62" s="172" t="n"/>
      <c r="E62" s="173" t="inlineStr">
        <is>
          <t>Enterprise value</t>
        </is>
      </c>
      <c r="H62" s="155" t="str">
        <f>IFERROR(D80,"")</f>
        <v/>
      </c>
      <c r="I62" s="174" t="inlineStr">
        <is>
          <t>Basic Shares Outanding :</t>
        </is>
      </c>
      <c r="J62" s="97" t="n"/>
      <c r="L62" s="175" t="n"/>
    </row>
    <row r="63" ht="13.5" customHeight="1">
      <c r="C63" s="171" t="inlineStr">
        <is>
          <t>g</t>
        </is>
      </c>
      <c r="D63" s="176" t="str">
        <f>IFERROR(IF(Control!E13="","",Control!E13),"")</f>
        <v/>
      </c>
      <c r="E63" s="157" t="inlineStr">
        <is>
          <t>Calculation of net debt:</t>
        </is>
      </c>
      <c r="H63" s="141" t="n"/>
      <c r="I63" s="174" t="inlineStr">
        <is>
          <t>Current Share Price:</t>
        </is>
      </c>
      <c r="L63" s="177" t="n"/>
    </row>
    <row r="64" ht="13.5" customHeight="1">
      <c r="C64" s="171" t="inlineStr">
        <is>
          <t>RONIC</t>
        </is>
      </c>
      <c r="D64" s="178">
        <f>IFERROR(K50,"")</f>
        <v>0.0895720414730655</v>
      </c>
      <c r="E64" s="157" t="inlineStr">
        <is>
          <t>Current portion of long-term debt</t>
        </is>
      </c>
      <c r="H64" s="137">
        <f>IFERROR(INDEX(Model!$I$204:$BF$204,1,MATCH(Control!$B$7,Model!$I$5:$BF$5,0)),"")</f>
        <v>1220</v>
      </c>
      <c r="I64" s="179" t="inlineStr">
        <is>
          <t>Options / Warrants Data</t>
        </is>
      </c>
      <c r="J64" s="109" t="n"/>
      <c r="K64" s="109" t="n"/>
      <c r="L64" s="180" t="n"/>
    </row>
    <row r="65">
      <c r="C65" s="171" t="inlineStr">
        <is>
          <t>NOPLAT (t+1)</t>
        </is>
      </c>
      <c r="D65" s="181" t="str">
        <f>IFERROR(K25*(1+D63),"")</f>
        <v/>
      </c>
      <c r="E65" s="157" t="inlineStr">
        <is>
          <t>Short term debt</t>
        </is>
      </c>
      <c r="H65" s="137">
        <f>IFERROR(INDEX(Model!$I$205:$BF$205,1,MATCH(Control!$B$7,Model!$I$5:$BF$5,0)),"")</f>
        <v>0</v>
      </c>
      <c r="I65" s="179" t="n"/>
      <c r="J65" s="182" t="inlineStr">
        <is>
          <t># of options</t>
        </is>
      </c>
      <c r="K65" s="182" t="inlineStr">
        <is>
          <t xml:space="preserve">$ strike </t>
        </is>
      </c>
      <c r="L65" s="180" t="n"/>
    </row>
    <row r="66">
      <c r="C66" s="171" t="inlineStr">
        <is>
          <t>Terminal value</t>
        </is>
      </c>
      <c r="D66" s="181" t="str">
        <f>IFERROR(IF(OR(Control!E12="",D64="",D64&lt;=D63,Control!E12&lt;=D63),"",(D65*(1-D63/D64))/(Control!E12-D63)),"")</f>
        <v/>
      </c>
      <c r="E66" s="157" t="inlineStr">
        <is>
          <t>Long term debt</t>
        </is>
      </c>
      <c r="H66" s="137">
        <f>IFERROR(INDEX(Model!$I$209:$BF$209,1,MATCH(Control!$B$7,Model!$I$5:$BF$5,0)),"")</f>
        <v>8166</v>
      </c>
      <c r="I66" s="157" t="inlineStr">
        <is>
          <t>Batch 1</t>
        </is>
      </c>
      <c r="J66" s="183" t="n"/>
      <c r="K66" s="184" t="n"/>
      <c r="L66" s="185" t="n"/>
    </row>
    <row r="67">
      <c r="C67" s="171" t="inlineStr">
        <is>
          <t>Midyear adjusted terminal value</t>
        </is>
      </c>
      <c r="D67" s="181" t="str">
        <f>IFERROR(IF(D66="","",D66*K55),"")</f>
        <v/>
      </c>
      <c r="E67" s="157" t="inlineStr">
        <is>
          <t>Convertible debt</t>
        </is>
      </c>
      <c r="H67" s="137">
        <f>IFERROR(INDEX(Model!$I$230:$BF$230,1,MATCH(Control!$B$7,Model!$I$5:$BF$5,0)),"")</f>
        <v>0</v>
      </c>
      <c r="I67" s="157" t="inlineStr">
        <is>
          <t>Batch 2</t>
        </is>
      </c>
      <c r="J67" s="186" t="n"/>
      <c r="K67" s="187" t="n"/>
      <c r="L67" s="185" t="n"/>
    </row>
    <row r="68">
      <c r="C68" s="171" t="inlineStr">
        <is>
          <t>Present value of terminal value</t>
        </is>
      </c>
      <c r="D68" s="181" t="str">
        <f>IFERROR(IF(D67="","",D67*K54),"")</f>
        <v/>
      </c>
      <c r="E68" s="157" t="inlineStr">
        <is>
          <t>Minority interest</t>
        </is>
      </c>
      <c r="H68" s="137">
        <f>IFERROR(INDEX(Model!$I$240:$BF$240,1,MATCH(Control!$B$7,Model!$I$5:$BF$5,0)),"")</f>
        <v>12113</v>
      </c>
      <c r="I68" s="157" t="inlineStr">
        <is>
          <t>Batch 3</t>
        </is>
      </c>
      <c r="J68" s="186" t="n"/>
      <c r="K68" s="187" t="n"/>
      <c r="L68" s="185" t="n"/>
    </row>
    <row r="69">
      <c r="C69" s="174" t="inlineStr">
        <is>
          <t>Enterprise value</t>
        </is>
      </c>
      <c r="D69" s="188" t="str">
        <f>IFERROR(IF(OR(D68="",G57=""),"",D68+G57),"")</f>
        <v/>
      </c>
      <c r="E69" s="157" t="inlineStr">
        <is>
          <t>Convertible preferred stock</t>
        </is>
      </c>
      <c r="H69" s="137">
        <f>IFERROR(INDEX(Model!$I$245:$BF$245,1,MATCH(Control!$B$7,Model!$I$5:$BF$5,0)),"")</f>
        <v>0</v>
      </c>
      <c r="I69" s="157" t="inlineStr">
        <is>
          <t>Batch 4</t>
        </is>
      </c>
      <c r="J69" s="186" t="n"/>
      <c r="K69" s="187" t="n"/>
      <c r="L69" s="185" t="n"/>
    </row>
    <row r="70">
      <c r="C70" s="143" t="n"/>
      <c r="D70" s="144" t="n"/>
      <c r="E70" s="157" t="inlineStr">
        <is>
          <t>Short term operating leases</t>
        </is>
      </c>
      <c r="H70" s="137">
        <f>IFERROR(INDEX(Model!$I$206:$BF$206,1,MATCH(Control!$B$7,Model!$I$5:$BF$5,0)),"")</f>
        <v>0</v>
      </c>
      <c r="I70" s="157" t="inlineStr">
        <is>
          <t>Batch 5</t>
        </is>
      </c>
      <c r="J70" s="186" t="n"/>
      <c r="K70" s="187" t="n"/>
      <c r="L70" s="185" t="n"/>
    </row>
    <row r="71">
      <c r="C71" s="171" t="inlineStr">
        <is>
          <t>Exit multiple method</t>
        </is>
      </c>
      <c r="D71" s="172" t="n"/>
      <c r="E71" s="157" t="inlineStr">
        <is>
          <t>Long term operating leases</t>
        </is>
      </c>
      <c r="H71" s="137">
        <f>IFERROR(INDEX(Model!$I$227:$BF$227,1,MATCH(Control!$B$7,Model!$I$5:$BF$5,0)),"")</f>
        <v>973</v>
      </c>
      <c r="I71" s="179" t="inlineStr">
        <is>
          <t>Batch 6</t>
        </is>
      </c>
      <c r="J71" s="189" t="n"/>
      <c r="K71" s="190" t="n"/>
      <c r="L71" s="191" t="n"/>
    </row>
    <row r="72">
      <c r="C72" s="174" t="inlineStr">
        <is>
          <t>Exit EV / EBITDA multiple</t>
        </is>
      </c>
      <c r="D72" s="192" t="str">
        <f>IFERROR(IF(Control!E14="","",Control!E14),"")</f>
        <v/>
      </c>
      <c r="E72" s="157" t="inlineStr">
        <is>
          <t>Less: Excess cash</t>
        </is>
      </c>
      <c r="H72" s="137">
        <f>IFERROR(-INDEX(Model!$I$136:$BF$136,1,MATCH(Control!$B$7,Model!$I$5:$BF$5,0)),"")</f>
        <v>-4080</v>
      </c>
      <c r="J72" s="162" t="n"/>
      <c r="K72" s="193" t="inlineStr">
        <is>
          <t>Total in-the-$ options:</t>
        </is>
      </c>
      <c r="L72" s="185" t="n"/>
    </row>
    <row r="73">
      <c r="C73" s="174" t="inlineStr">
        <is>
          <t>LTM EBITDA at end of projection</t>
        </is>
      </c>
      <c r="D73" s="188">
        <f>IFERROR(K20,"")</f>
        <v>9351.97704125464</v>
      </c>
      <c r="E73" s="157" t="inlineStr">
        <is>
          <t>Less: Equity investments</t>
        </is>
      </c>
      <c r="H73" s="137">
        <f>IFERROR(-INDEX(Model!$I$153:$BF$153,1,MATCH(Control!$B$7,Model!$I$5:$BF$5,0)),"")</f>
        <v>0</v>
      </c>
      <c r="J73" s="162" t="n"/>
      <c r="K73" s="193" t="inlineStr">
        <is>
          <t>Total $ proceeds:</t>
        </is>
      </c>
      <c r="L73" s="194" t="n"/>
    </row>
    <row r="74">
      <c r="C74" s="174" t="inlineStr">
        <is>
          <t>Terminal value</t>
        </is>
      </c>
      <c r="D74" s="188" t="str">
        <f>IFERROR(IF(OR(D72="",D73=""),"",D73*D72),"")</f>
        <v/>
      </c>
      <c r="E74" s="157" t="inlineStr">
        <is>
          <t>Net debt</t>
        </is>
      </c>
      <c r="H74" s="188">
        <f>IFERROR(SUM(H64:H73),"")</f>
        <v>18392</v>
      </c>
      <c r="J74" s="162" t="n"/>
      <c r="K74" s="193" t="inlineStr">
        <is>
          <t>Total shares repurchased:</t>
        </is>
      </c>
      <c r="L74" s="185" t="n"/>
    </row>
    <row r="75">
      <c r="C75" s="174" t="inlineStr">
        <is>
          <t>Present value of terminal value</t>
        </is>
      </c>
      <c r="D75" s="188" t="str">
        <f>IFERROR(IF(OR(D74="",K54="",K55=""),"",D74*K54*K55),"")</f>
        <v/>
      </c>
      <c r="E75" s="173" t="inlineStr">
        <is>
          <t>Equity value</t>
        </is>
      </c>
      <c r="H75" s="181" t="str">
        <f>IFERROR(IF(H62="","",H62-H74),"")</f>
        <v/>
      </c>
      <c r="J75" s="162" t="n"/>
      <c r="K75" s="195" t="inlineStr">
        <is>
          <t>Basic shares outstanding</t>
        </is>
      </c>
      <c r="L75" s="172" t="n"/>
    </row>
    <row r="76" ht="13.5" customHeight="1">
      <c r="C76" s="174" t="inlineStr">
        <is>
          <t>Enterprise value</t>
        </is>
      </c>
      <c r="D76" s="188" t="str">
        <f>IFERROR(IF(OR(D75="",G57=""),"",G57+D75),"")</f>
        <v/>
      </c>
      <c r="E76" s="157" t="inlineStr">
        <is>
          <t>Shares outstanding</t>
        </is>
      </c>
      <c r="H76" s="188" t="str">
        <f>IFERROR(IF(Control!E5="","",Control!E5),"")</f>
        <v/>
      </c>
      <c r="J76" s="196" t="n"/>
      <c r="K76" s="195" t="inlineStr">
        <is>
          <t>New shares from options:</t>
        </is>
      </c>
      <c r="L76" s="172" t="n"/>
    </row>
    <row r="77" ht="13.5" customHeight="1">
      <c r="C77" s="143" t="n"/>
      <c r="D77" s="197" t="n"/>
      <c r="E77" s="173" t="inlineStr">
        <is>
          <t>Equity value / share</t>
        </is>
      </c>
      <c r="H77" s="198" t="str">
        <f>IFERROR(IF(OR(H75="",H76="",H76=0),"",H75/H76),"")</f>
        <v/>
      </c>
      <c r="K77" s="195" t="inlineStr">
        <is>
          <t>New shares from convert. pref. stock:</t>
        </is>
      </c>
      <c r="L77" s="199" t="n"/>
    </row>
    <row r="78">
      <c r="C78" s="171" t="inlineStr">
        <is>
          <t>Select a terminal value method</t>
        </is>
      </c>
      <c r="D78" s="200" t="n"/>
      <c r="F78" s="160" t="n"/>
      <c r="H78" s="201" t="n"/>
      <c r="K78" s="195" t="inlineStr">
        <is>
          <t>New shares from convertible debt:</t>
        </is>
      </c>
      <c r="L78" s="202" t="n"/>
    </row>
    <row r="79">
      <c r="C79" s="174" t="inlineStr">
        <is>
          <t>Perpetual growth = 1 / Exit multiple = 2</t>
        </is>
      </c>
      <c r="D79" s="203">
        <f>IFERROR(Control!B11,"")</f>
        <v>1</v>
      </c>
      <c r="H79" s="201" t="n"/>
      <c r="K79" s="204" t="inlineStr">
        <is>
          <t>Total Shares Outstanding:</t>
        </is>
      </c>
      <c r="L79" s="205" t="n"/>
    </row>
    <row r="80">
      <c r="C80" s="174" t="inlineStr">
        <is>
          <t>Enterprise value</t>
        </is>
      </c>
      <c r="D80" s="172" t="str">
        <f>IFERROR(IF(D79=1,D69,D76),"")</f>
        <v/>
      </c>
      <c r="H80" s="144" t="n"/>
      <c r="K80" s="204" t="n"/>
      <c r="L80" s="205" t="n"/>
    </row>
    <row r="81">
      <c r="C81" s="206" t="inlineStr">
        <is>
          <t>Terminal value as percent of total value</t>
        </is>
      </c>
      <c r="D81" s="207" t="str">
        <f>IFERROR(IF(D79=1,D68/D69,D75/D76),"")</f>
        <v/>
      </c>
      <c r="E81" s="109" t="n"/>
      <c r="F81" s="109" t="n"/>
      <c r="G81" s="109" t="n"/>
      <c r="H81" s="123" t="n"/>
      <c r="I81" s="109" t="n"/>
      <c r="J81" s="109" t="n"/>
      <c r="K81" s="109" t="n"/>
      <c r="L81" s="123" t="n"/>
    </row>
    <row r="82"/>
    <row r="83" ht="13.5" customHeight="1">
      <c r="C83" s="208" t="inlineStr">
        <is>
          <t>Analysis of WACC</t>
        </is>
      </c>
      <c r="D83" s="209" t="n"/>
      <c r="E83" s="210" t="n"/>
      <c r="F83" s="210" t="n"/>
      <c r="G83" s="208" t="n"/>
      <c r="H83" s="209" t="n"/>
      <c r="I83" s="210" t="n"/>
      <c r="J83" s="210" t="n"/>
      <c r="K83" s="210" t="n"/>
      <c r="L83" s="210" t="n"/>
    </row>
    <row r="84"/>
    <row r="85">
      <c r="C85" s="211" t="inlineStr">
        <is>
          <t>Cost of debt</t>
        </is>
      </c>
      <c r="D85" s="109" t="n"/>
      <c r="F85" s="211" t="inlineStr">
        <is>
          <t>Capital structure</t>
        </is>
      </c>
      <c r="G85" s="211" t="n"/>
      <c r="H85" s="211" t="n"/>
      <c r="I85" s="211" t="n"/>
      <c r="J85" s="211" t="n"/>
    </row>
    <row r="86">
      <c r="C86" s="157" t="inlineStr">
        <is>
          <t>Cost of debt</t>
        </is>
      </c>
      <c r="D86" s="212" t="str">
        <f>IFERROR(IF(Control!E9="","",Control!E9),"")</f>
        <v/>
      </c>
      <c r="G86" s="252" t="inlineStr">
        <is>
          <t>Current capital structure</t>
        </is>
      </c>
      <c r="H86" s="253" t="n"/>
      <c r="I86" s="254" t="inlineStr">
        <is>
          <t>Target capital structure</t>
        </is>
      </c>
      <c r="J86" s="255" t="n"/>
    </row>
    <row r="87">
      <c r="C87" s="157" t="inlineStr">
        <is>
          <t>Marginal tax rate</t>
        </is>
      </c>
      <c r="D87" s="212" t="str">
        <f>IFERROR(IF(Control!E10="","",Control!E10),"")</f>
        <v/>
      </c>
      <c r="F87" s="109" t="n"/>
      <c r="G87" s="182" t="inlineStr">
        <is>
          <t>Market value</t>
        </is>
      </c>
      <c r="H87" s="182" t="inlineStr">
        <is>
          <t>% Weight</t>
        </is>
      </c>
      <c r="I87" s="182" t="inlineStr">
        <is>
          <t>override</t>
        </is>
      </c>
      <c r="J87" s="213" t="inlineStr">
        <is>
          <t>% Weight</t>
        </is>
      </c>
      <c r="K87" s="214" t="n"/>
      <c r="L87" s="215" t="n"/>
    </row>
    <row r="88">
      <c r="C88" s="251" t="inlineStr">
        <is>
          <t>Cost of debt after tax shield</t>
        </is>
      </c>
      <c r="D88" s="216" t="str">
        <f>IFERROR(IF(D86="","",D86*(1-D87)),"")</f>
        <v/>
      </c>
      <c r="F88" s="251" t="inlineStr">
        <is>
          <t>Net debt</t>
        </is>
      </c>
      <c r="G88" s="217">
        <f>IFERROR(H74,"")</f>
        <v>18392</v>
      </c>
      <c r="H88" s="97">
        <f>IFERROR(debt/totalcap,"")</f>
        <v>1</v>
      </c>
      <c r="I88" s="212" t="n"/>
      <c r="J88" s="97">
        <f>IFERROR(IF(I88,I88,H88),"")</f>
        <v>1</v>
      </c>
      <c r="L88" s="218" t="n"/>
    </row>
    <row r="89">
      <c r="F89" s="251" t="inlineStr">
        <is>
          <t>Equity</t>
        </is>
      </c>
      <c r="G89" s="217">
        <f>IFERROR(L63*L79,"")</f>
        <v>0</v>
      </c>
      <c r="H89" s="97">
        <f>IFERROR(1-H88,"")</f>
        <v>0</v>
      </c>
      <c r="J89" s="97">
        <f>IFERROR(1-debt_weight,"")</f>
        <v>0</v>
      </c>
    </row>
    <row r="90">
      <c r="C90" s="211" t="inlineStr">
        <is>
          <t>Cost of equity</t>
        </is>
      </c>
      <c r="D90" s="109" t="n"/>
      <c r="F90" s="251" t="inlineStr">
        <is>
          <t>Total</t>
        </is>
      </c>
      <c r="G90" s="214">
        <f>IFERROR(SUM(G88:G89),"")</f>
        <v>18392</v>
      </c>
    </row>
    <row r="91">
      <c r="C91" s="157" t="inlineStr">
        <is>
          <t>Risk-Free Rate (rf)</t>
        </is>
      </c>
      <c r="D91" s="212" t="str">
        <f>IFERROR(IF(Control!E6="","",Control!E6),"")</f>
        <v/>
      </c>
      <c r="E91" s="195" t="n"/>
    </row>
    <row r="92">
      <c r="C92" s="157" t="inlineStr">
        <is>
          <t>Market Risk Premium (rm-rf)</t>
        </is>
      </c>
      <c r="D92" s="212" t="str">
        <f>IFERROR(IF(Control!E7="","",Control!E7),"")</f>
        <v/>
      </c>
      <c r="F92" s="211" t="inlineStr">
        <is>
          <t>Weighted average cost of capital</t>
        </is>
      </c>
      <c r="G92" s="109" t="n"/>
      <c r="H92" s="109" t="n"/>
      <c r="I92" s="109" t="n"/>
      <c r="J92" s="109" t="n"/>
    </row>
    <row r="93">
      <c r="C93" s="157" t="inlineStr">
        <is>
          <t>Raw (observed) beta</t>
        </is>
      </c>
      <c r="D93" s="219" t="str">
        <f>IFERROR(IF(Control!E8="","",Control!E8),"")</f>
        <v/>
      </c>
      <c r="F93" s="251" t="inlineStr">
        <is>
          <t>Weighted average cost of capital:</t>
        </is>
      </c>
      <c r="J93" s="97" t="str">
        <f>IFERROR(IF(Control!E12="","",Control!E12),"")</f>
        <v/>
      </c>
    </row>
    <row r="94">
      <c r="C94" s="157" t="inlineStr">
        <is>
          <t>Cost of equity using relevered industry beta</t>
        </is>
      </c>
      <c r="D94" s="216" t="str">
        <f>IFERROR(IF(COUNT(D91:D93)&lt;3,"",D91+D93*D92),"")</f>
        <v/>
      </c>
      <c r="E94" s="102" t="n"/>
    </row>
    <row r="95">
      <c r="C95" s="157" t="n"/>
      <c r="D95" s="216" t="n"/>
      <c r="E95" s="102" t="n"/>
      <c r="G95" s="214" t="n"/>
    </row>
    <row r="96">
      <c r="C96" s="211" t="inlineStr">
        <is>
          <t>Industry beta calculation</t>
        </is>
      </c>
      <c r="D96" s="109" t="n"/>
      <c r="E96" s="109" t="n"/>
      <c r="F96" s="109" t="n"/>
      <c r="G96" s="109" t="n"/>
      <c r="H96" s="109" t="n"/>
      <c r="I96" s="109" t="n"/>
      <c r="J96" s="109" t="n"/>
      <c r="K96" s="109" t="n"/>
      <c r="L96" s="109" t="n"/>
      <c r="M96" s="109" t="n"/>
    </row>
    <row r="97" ht="25.5" customHeight="1">
      <c r="C97" s="220" t="inlineStr">
        <is>
          <t xml:space="preserve">Comps </t>
        </is>
      </c>
      <c r="D97" s="221" t="inlineStr">
        <is>
          <t>Raw beta</t>
        </is>
      </c>
      <c r="E97" s="221" t="inlineStr">
        <is>
          <t>Share price</t>
        </is>
      </c>
      <c r="F97" s="221" t="inlineStr">
        <is>
          <t>Shares</t>
        </is>
      </c>
      <c r="G97" s="221" t="inlineStr">
        <is>
          <t>Market cap.</t>
        </is>
      </c>
      <c r="H97" s="221" t="inlineStr">
        <is>
          <t>Debt</t>
        </is>
      </c>
      <c r="I97" s="221" t="inlineStr">
        <is>
          <t>D / E</t>
        </is>
      </c>
      <c r="J97" s="221" t="inlineStr">
        <is>
          <t>Tax rate</t>
        </is>
      </c>
      <c r="K97" s="221" t="inlineStr">
        <is>
          <t>Unl. Beta</t>
        </is>
      </c>
      <c r="L97" s="221" t="n"/>
      <c r="M97" s="221" t="n"/>
    </row>
    <row r="98">
      <c r="C98" s="251" t="str">
        <f>IFERROR(ticker,"")</f>
        <v>FCX</v>
      </c>
      <c r="D98" s="222" t="n"/>
      <c r="E98" s="223" t="n"/>
      <c r="F98" s="141" t="n"/>
      <c r="G98" s="141" t="n"/>
      <c r="H98" s="141" t="n"/>
      <c r="I98" s="224" t="n"/>
      <c r="J98" s="224" t="n"/>
      <c r="K98" s="222" t="n"/>
      <c r="L98" s="225" t="n"/>
    </row>
    <row r="99">
      <c r="C99" s="226" t="inlineStr">
        <is>
          <t>TICKER 2</t>
        </is>
      </c>
      <c r="D99" s="219" t="n"/>
      <c r="E99" s="227" t="n"/>
      <c r="F99" s="228" t="n"/>
      <c r="G99" s="141" t="n"/>
      <c r="H99" s="228" t="n"/>
      <c r="I99" s="224" t="n"/>
      <c r="J99" s="229" t="n"/>
      <c r="K99" s="222" t="n"/>
      <c r="L99" s="225" t="n"/>
    </row>
    <row r="100">
      <c r="C100" s="226" t="inlineStr">
        <is>
          <t>TICKER 3</t>
        </is>
      </c>
      <c r="D100" s="219" t="n"/>
      <c r="E100" s="227" t="n"/>
      <c r="F100" s="228" t="n"/>
      <c r="G100" s="141" t="n"/>
      <c r="H100" s="228" t="n"/>
      <c r="I100" s="224" t="n"/>
      <c r="J100" s="229" t="n"/>
      <c r="K100" s="222" t="n"/>
      <c r="L100" s="225" t="n"/>
    </row>
    <row r="101">
      <c r="C101" s="230" t="inlineStr">
        <is>
          <t>TICKER 4</t>
        </is>
      </c>
      <c r="D101" s="231" t="n"/>
      <c r="E101" s="232" t="n"/>
      <c r="F101" s="233" t="n"/>
      <c r="G101" s="127" t="n"/>
      <c r="H101" s="233" t="n"/>
      <c r="I101" s="234" t="n"/>
      <c r="J101" s="235" t="n"/>
      <c r="K101" s="236" t="n"/>
      <c r="L101" s="225" t="n"/>
      <c r="M101" s="237" t="n"/>
    </row>
    <row r="102">
      <c r="D102" s="222" t="n"/>
      <c r="E102" s="204" t="n"/>
      <c r="F102" s="161" t="n"/>
      <c r="G102" s="141" t="n"/>
      <c r="I102" s="222" t="n"/>
      <c r="J102" s="237" t="n"/>
      <c r="K102" s="238" t="n"/>
      <c r="L102" s="238" t="n"/>
      <c r="M102" s="238" t="n"/>
    </row>
  </sheetData>
  <mergeCells count="4">
    <mergeCell ref="G14:V14"/>
    <mergeCell ref="G86:H86"/>
    <mergeCell ref="I86:J86"/>
    <mergeCell ref="G15:V15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70AD47"/>
    <outlinePr summaryBelow="1" summaryRight="1"/>
    <pageSetUpPr/>
  </sheetPr>
  <dimension ref="A1:F33"/>
  <sheetViews>
    <sheetView showGridLines="0" zoomScaleNormal="100" workbookViewId="0">
      <pane ySplit="1" topLeftCell="A2" activePane="bottomLeft" state="frozen"/>
      <selection pane="bottomLeft" activeCell="B3" sqref="B3:B12"/>
    </sheetView>
  </sheetViews>
  <sheetFormatPr baseColWidth="8" defaultColWidth="9.7109375" defaultRowHeight="12.75"/>
  <cols>
    <col width="43.140625" customWidth="1" min="1" max="1"/>
    <col width="27.28515625" customWidth="1" min="2" max="2"/>
    <col width="18.140625" customWidth="1" min="3" max="3"/>
    <col width="34" customWidth="1" min="4" max="4"/>
    <col width="18.140625" customWidth="1" min="5" max="6"/>
  </cols>
  <sheetData>
    <row r="1" ht="18" customHeight="1">
      <c r="A1" s="239" t="inlineStr">
        <is>
          <t>CONTROL &amp; ASSUMPTIONS – BASE MODEL</t>
        </is>
      </c>
      <c r="B1" s="239" t="n"/>
      <c r="C1" s="239" t="n"/>
      <c r="D1" s="239" t="n"/>
      <c r="E1" s="239" t="n"/>
      <c r="F1" s="239" t="n"/>
    </row>
    <row r="3" ht="14.25" customHeight="1">
      <c r="A3" t="inlineStr">
        <is>
          <t>Company</t>
        </is>
      </c>
      <c r="B3" s="240" t="inlineStr">
        <is>
          <t>Freeport-McMoRan Inc.</t>
        </is>
      </c>
      <c r="D3" s="241" t="inlineStr">
        <is>
          <t>Valuation assumptions</t>
        </is>
      </c>
      <c r="E3" s="241" t="n"/>
      <c r="F3" s="241" t="n"/>
    </row>
    <row r="4" ht="14.25" customHeight="1">
      <c r="A4" t="inlineStr">
        <is>
          <t>Ticker</t>
        </is>
      </c>
      <c r="B4" s="240" t="inlineStr">
        <is>
          <t>FCX</t>
        </is>
      </c>
      <c r="D4" t="inlineStr">
        <is>
          <t>Last close (US$/share)</t>
        </is>
      </c>
      <c r="E4" s="242" t="n"/>
    </row>
    <row r="5" ht="14.25" customHeight="1">
      <c r="A5" t="inlineStr">
        <is>
          <t>Currency</t>
        </is>
      </c>
      <c r="B5" s="240" t="inlineStr">
        <is>
          <t>USD</t>
        </is>
      </c>
      <c r="D5" t="inlineStr">
        <is>
          <t>Shares outstanding (mm)</t>
        </is>
      </c>
      <c r="E5" s="243" t="n"/>
    </row>
    <row r="6" ht="14.25" customHeight="1">
      <c r="A6" t="inlineStr">
        <is>
          <t>Model unit</t>
        </is>
      </c>
      <c r="B6" s="240" t="inlineStr">
        <is>
          <t>US$ milhões</t>
        </is>
      </c>
      <c r="D6" t="inlineStr">
        <is>
          <t>Risk-free rate</t>
        </is>
      </c>
      <c r="E6" s="244" t="n"/>
    </row>
    <row r="7" ht="14.25" customHeight="1">
      <c r="A7" t="inlineStr">
        <is>
          <t>Last actual period</t>
        </is>
      </c>
      <c r="B7" s="274" t="n">
        <v>46203</v>
      </c>
      <c r="D7" t="inlineStr">
        <is>
          <t>Market risk premium</t>
        </is>
      </c>
      <c r="E7" s="244" t="n"/>
    </row>
    <row r="8" ht="14.25" customHeight="1">
      <c r="A8" t="inlineStr">
        <is>
          <t>Quarterly forecast through</t>
        </is>
      </c>
      <c r="B8" s="245" t="n">
        <v>47118</v>
      </c>
      <c r="D8" t="inlineStr">
        <is>
          <t>Beta</t>
        </is>
      </c>
      <c r="E8" s="246" t="n"/>
    </row>
    <row r="9" ht="15" customHeight="1">
      <c r="A9" t="inlineStr">
        <is>
          <t>Forecast end</t>
        </is>
      </c>
      <c r="B9" s="245" t="n">
        <v>47848</v>
      </c>
      <c r="D9" t="inlineStr">
        <is>
          <t>Pre-tax cost of debt</t>
        </is>
      </c>
      <c r="E9" s="247" t="str">
        <f>IFERROR(-Model!AG66/AVERAGE(Model!AB84,Model!AG84),"")</f>
        <v/>
      </c>
    </row>
    <row r="10" ht="14.25" customHeight="1">
      <c r="A10" t="inlineStr">
        <is>
          <t>Scenario (1 Bull / 2 Base / 3 Bear)</t>
        </is>
      </c>
      <c r="B10" s="240" t="n">
        <v>2</v>
      </c>
      <c r="D10" t="inlineStr">
        <is>
          <t>Marginal tax rate</t>
        </is>
      </c>
      <c r="E10" s="244" t="n"/>
    </row>
    <row r="11" ht="14.25" customHeight="1">
      <c r="A11" t="inlineStr">
        <is>
          <t>Terminal method (1 Perpetuity / 2 Exit)</t>
        </is>
      </c>
      <c r="B11" s="240" t="n">
        <v>1</v>
      </c>
      <c r="D11" t="inlineStr">
        <is>
          <t>Target debt weight</t>
        </is>
      </c>
      <c r="E11" s="244" t="n"/>
    </row>
    <row r="12" ht="15" customHeight="1">
      <c r="A12" t="inlineStr">
        <is>
          <t>Valuation date</t>
        </is>
      </c>
      <c r="B12" s="245" t="n"/>
      <c r="D12" t="inlineStr">
        <is>
          <t>WACC</t>
        </is>
      </c>
      <c r="E12" s="247" t="str">
        <f>IF(COUNT(E6:E11)&lt;6,"",E11*E9*(1-E10)+(1-E11)*(E6+E8*E7))</f>
        <v/>
      </c>
    </row>
    <row r="13" ht="15" customHeight="1">
      <c r="A13" t="inlineStr">
        <is>
          <t>Stub year fraction</t>
        </is>
      </c>
      <c r="B13" s="247">
        <f>IFERROR((DATE(YEAR(B12),12,31)-B12)/365,"")</f>
        <v>0.00273972602739726</v>
      </c>
      <c r="D13" t="inlineStr">
        <is>
          <t>Terminal growth</t>
        </is>
      </c>
      <c r="E13" s="244" t="n"/>
    </row>
    <row r="14" ht="14.25" customHeight="1">
      <c r="D14" t="inlineStr">
        <is>
          <t>Exit EV/EBITDA</t>
        </is>
      </c>
      <c r="E14" s="248" t="n"/>
    </row>
    <row r="15" ht="14.25" customHeight="1">
      <c r="D15" t="inlineStr">
        <is>
          <t>Dividend payout</t>
        </is>
      </c>
      <c r="E15" s="244" t="n"/>
    </row>
    <row r="17" ht="14.25" customHeight="1">
      <c r="A17" s="241" t="inlineStr">
        <is>
          <t>Forecast drivers</t>
        </is>
      </c>
      <c r="B17" s="241" t="inlineStr">
        <is>
          <t>2026E</t>
        </is>
      </c>
      <c r="C17" s="241" t="inlineStr">
        <is>
          <t>2027E</t>
        </is>
      </c>
      <c r="D17" s="241" t="inlineStr">
        <is>
          <t>2028E</t>
        </is>
      </c>
      <c r="E17" s="241" t="inlineStr">
        <is>
          <t>2029E</t>
        </is>
      </c>
      <c r="F17" s="241" t="inlineStr">
        <is>
          <t>2030E</t>
        </is>
      </c>
    </row>
    <row r="18" ht="15" customHeight="1">
      <c r="A18" t="inlineStr">
        <is>
          <t>Revenue growth</t>
        </is>
      </c>
      <c r="B18" s="247">
        <f>IFERROR(AVERAGE(Model!AC16:AF16,Model!AH16:AI16),"")</f>
        <v>0.0129679592468949</v>
      </c>
      <c r="C18" s="247">
        <f>IF(B18="","",B18)</f>
        <v>0.0129679592468949</v>
      </c>
      <c r="D18" s="247">
        <f>IF(C18="","",MAX(0,C18-0.5%))</f>
        <v>0.00796795924689492</v>
      </c>
      <c r="E18" s="247">
        <f>IF(D18="","",MAX(0,D18-0.5%))</f>
        <v>0.00296795924689492</v>
      </c>
      <c r="F18" s="247">
        <f>IF(E18="","",MAX(0,E18-0.5%))</f>
        <v>0</v>
      </c>
    </row>
    <row r="19" ht="15" customHeight="1">
      <c r="A19" t="inlineStr">
        <is>
          <t>Gross margin</t>
        </is>
      </c>
      <c r="B19" s="247">
        <f>IFERROR(AVERAGE(Model!AC47:AF47,Model!AH47:AI47),"")</f>
        <v>0.362727556590057</v>
      </c>
      <c r="C19" s="247">
        <f>IF(B19="","",B19)</f>
        <v>0.362727556590057</v>
      </c>
      <c r="D19" s="247">
        <f>IF(C19="","",C19)</f>
        <v>0.362727556590057</v>
      </c>
      <c r="E19" s="247">
        <f>IF(D19="","",D19)</f>
        <v>0.362727556590057</v>
      </c>
      <c r="F19" s="247">
        <f>IF(E19="","",E19)</f>
        <v>0.362727556590057</v>
      </c>
    </row>
    <row r="20" ht="15" customHeight="1">
      <c r="A20" t="inlineStr">
        <is>
          <t>SG&amp;A / Revenue</t>
        </is>
      </c>
      <c r="B20" s="247">
        <f>IFERROR(AVERAGE(Model!AC51:AF51,Model!AH51:AI51),"")</f>
        <v>0.0119147884882294</v>
      </c>
      <c r="C20" s="247">
        <f>IF(B20="","",B20)</f>
        <v>0.0119147884882294</v>
      </c>
      <c r="D20" s="247">
        <f>IF(C20="","",C20)</f>
        <v>0.0119147884882294</v>
      </c>
      <c r="E20" s="247">
        <f>IF(D20="","",D20)</f>
        <v>0.0119147884882294</v>
      </c>
      <c r="F20" s="247">
        <f>IF(E20="","",E20)</f>
        <v>0.0119147884882294</v>
      </c>
    </row>
    <row r="21" ht="15" customHeight="1">
      <c r="A21" t="inlineStr">
        <is>
          <t>D&amp;A / Revenue</t>
        </is>
      </c>
      <c r="B21" s="247">
        <f>IFERROR(AVERAGE(Model!AC63:AF63,Model!AH63:AI63),"")</f>
        <v>0.0836765531619927</v>
      </c>
      <c r="C21" s="247">
        <f>IF(B21="","",B21)</f>
        <v>0.0836765531619927</v>
      </c>
      <c r="D21" s="247">
        <f>IF(C21="","",C21)</f>
        <v>0.0836765531619927</v>
      </c>
      <c r="E21" s="247">
        <f>IF(D21="","",D21)</f>
        <v>0.0836765531619927</v>
      </c>
      <c r="F21" s="247">
        <f>IF(E21="","",E21)</f>
        <v>0.0836765531619927</v>
      </c>
    </row>
    <row r="22" ht="15" customHeight="1">
      <c r="A22" t="inlineStr">
        <is>
          <t>Effective tax rate</t>
        </is>
      </c>
      <c r="B22" s="247">
        <f>IFERROR(AVERAGE(Model!AC124:AF124,Model!AH124:AI124),"")</f>
        <v>0.326187449306525</v>
      </c>
      <c r="C22" s="247">
        <f>IF(B22="","",B22)</f>
        <v>0.326187449306525</v>
      </c>
      <c r="D22" s="247">
        <f>IF(C22="","",C22)</f>
        <v>0.326187449306525</v>
      </c>
      <c r="E22" s="247">
        <f>IF(D22="","",D22)</f>
        <v>0.326187449306525</v>
      </c>
      <c r="F22" s="247">
        <f>IF(E22="","",E22)</f>
        <v>0.326187449306525</v>
      </c>
    </row>
    <row r="23" ht="15" customHeight="1">
      <c r="A23" t="inlineStr">
        <is>
          <t>Financial income / Revenue</t>
        </is>
      </c>
      <c r="B23" s="247">
        <f>IFERROR(AVERAGE(Model!AC115:AF115,Model!AH115:AI115)/AVERAGE(Model!AC15:AF15,Model!AH15:AI15),"")</f>
        <v>-0.00821889836132523</v>
      </c>
      <c r="C23" s="247">
        <f>IF(B23="","",B23)</f>
        <v>-0.00821889836132523</v>
      </c>
      <c r="D23" s="247">
        <f>IF(C23="","",C23)</f>
        <v>-0.00821889836132523</v>
      </c>
      <c r="E23" s="247">
        <f>IF(D23="","",D23)</f>
        <v>-0.00821889836132523</v>
      </c>
      <c r="F23" s="247">
        <f>IF(E23="","",E23)</f>
        <v>-0.00821889836132523</v>
      </c>
    </row>
    <row r="24" ht="15" customHeight="1">
      <c r="A24" t="inlineStr">
        <is>
          <t>Capex / Revenue</t>
        </is>
      </c>
      <c r="B24" s="247">
        <f>IFERROR(-AVERAGE(Model!AC287:AF287,Model!AH287:AI287)/AVERAGE(Model!AC15:AF15,Model!AH15:AI15),"")</f>
        <v>0.165194752156823</v>
      </c>
      <c r="C24" s="247">
        <f>IF(B24="","",B24)</f>
        <v>0.165194752156823</v>
      </c>
      <c r="D24" s="247">
        <f>IF(C24="","",C24)</f>
        <v>0.165194752156823</v>
      </c>
      <c r="E24" s="247">
        <f>IF(D24="","",D24)</f>
        <v>0.165194752156823</v>
      </c>
      <c r="F24" s="247">
        <f>IF(E24="","",E24)</f>
        <v>0.165194752156823</v>
      </c>
    </row>
    <row r="25" ht="15" customHeight="1">
      <c r="A25" t="inlineStr">
        <is>
          <t>DSO</t>
        </is>
      </c>
      <c r="B25" s="249">
        <f>IFERROR(AVERAGE(Model!AC138:AF138,Model!AH138:AI138),0)</f>
        <v>11.6855455986542</v>
      </c>
      <c r="C25" s="249">
        <f>IF(B25="","",B25)</f>
        <v>11.6855455986542</v>
      </c>
      <c r="D25" s="249">
        <f>IF(C25="","",C25)</f>
        <v>11.6855455986542</v>
      </c>
      <c r="E25" s="249">
        <f>IF(D25="","",D25)</f>
        <v>11.6855455986542</v>
      </c>
      <c r="F25" s="249">
        <f>IF(E25="","",E25)</f>
        <v>11.6855455986542</v>
      </c>
    </row>
    <row r="26" ht="15" customHeight="1">
      <c r="A26" t="inlineStr">
        <is>
          <t>DIO</t>
        </is>
      </c>
      <c r="B26" s="249">
        <f>IFERROR(AVERAGE(Model!AC142:AF142,Model!AH142:AI142),0)</f>
        <v>0</v>
      </c>
      <c r="C26" s="249">
        <f>IF(B26="","",B26)</f>
        <v>0</v>
      </c>
      <c r="D26" s="249">
        <f>IF(C26="","",C26)</f>
        <v>0</v>
      </c>
      <c r="E26" s="249">
        <f>IF(D26="","",D26)</f>
        <v>0</v>
      </c>
      <c r="F26" s="249">
        <f>IF(E26="","",E26)</f>
        <v>0</v>
      </c>
    </row>
    <row r="27" ht="15" customHeight="1">
      <c r="A27" t="inlineStr">
        <is>
          <t>DPO</t>
        </is>
      </c>
      <c r="B27" s="249">
        <f>IFERROR(AVERAGE(Model!AC191:AF191,Model!AH191:AI191),0)</f>
        <v>94.7318962840773</v>
      </c>
      <c r="C27" s="249">
        <f>IF(B27="","",B27)</f>
        <v>94.7318962840773</v>
      </c>
      <c r="D27" s="249">
        <f>IF(C27="","",C27)</f>
        <v>94.7318962840773</v>
      </c>
      <c r="E27" s="249">
        <f>IF(D27="","",D27)</f>
        <v>94.7318962840773</v>
      </c>
      <c r="F27" s="249">
        <f>IF(E27="","",E27)</f>
        <v>94.7318962840773</v>
      </c>
    </row>
    <row r="29">
      <c r="A29" t="inlineStr">
        <is>
          <t>Model status</t>
        </is>
      </c>
    </row>
    <row r="30">
      <c r="A30" t="inlineStr">
        <is>
          <t>Source</t>
        </is>
      </c>
      <c r="B30" t="inlineStr">
        <is>
          <t>Freeport-McMoRan Inc. (FCX, CIK 831259) - fonte: SEC EDGAR XBRL (instâncias dos 10-Q/10-K). Moeda: USD. Brutos em USD unidades (fator 0,000001 -&gt; milhões). Colunas = trimestres-CALENDÁRIO (cada fechamento vai para o fim de trimestre mais próximo); an</t>
        </is>
      </c>
    </row>
    <row r="31">
      <c r="A31" t="inlineStr">
        <is>
          <t>Unit flow</t>
        </is>
      </c>
      <c r="B31" t="inlineStr">
        <is>
          <t>US$ mil na Inputs → US$ milhões via Inputs (2)</t>
        </is>
      </c>
    </row>
    <row r="32">
      <c r="A32" t="inlineStr">
        <is>
          <t>Historical coverage</t>
        </is>
      </c>
      <c r="B32" t="str">
        <f>IF(B7="","","1Q21–"&amp;ROUNDUP(MONTH(B7)/3,0)&amp;"Q"&amp;RIGHT(YEAR(B7),2))</f>
        <v>1Q21–2Q26</v>
      </c>
    </row>
    <row r="33">
      <c r="A33" t="inlineStr">
        <is>
          <t>Valuation readiness</t>
        </is>
      </c>
      <c r="B33" t="str">
        <f>IF(OR(B3="",B4=""),"PENDING COMPANY SETUP",IF(OR(E4="",E5="",E12=""),"PENDING MARKET INPUTS","READY"))</f>
        <v>PENDING MARKET INPUTS</v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2026-09-23T00:39:42Z</dcterms:created>
  <dcterms:modified xmlns:dcterms="http://purl.org/dc/terms/" xmlns:xsi="http://www.w3.org/2001/XMLSchema-instance" xsi:type="dcterms:W3CDTF">2026-10-16T15:38:21Z</dcterms:modified>
  <cp:lastModifiedBy>Lucas Nascimento</cp:lastModifiedBy>
  <cp:revision>0</cp:revision>
</cp:coreProperties>
</file>