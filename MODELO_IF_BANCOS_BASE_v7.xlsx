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6a87abe30126f2/Documentos/Treinamento - Ready Desk Equity Research/Modelos Próprios/Modelo Padrão - Atualizado 2026/IF's/"/>
    </mc:Choice>
  </mc:AlternateContent>
  <xr:revisionPtr revIDLastSave="9" documentId="11_C01688989B4A97C2D1CC7A8B740360A5B00965EF" xr6:coauthVersionLast="47" xr6:coauthVersionMax="47" xr10:uidLastSave="{CB74E2F2-C592-4804-A67D-C5B46CAB304E}"/>
  <bookViews>
    <workbookView xWindow="-120" yWindow="-120" windowWidth="38640" windowHeight="21120" xr2:uid="{00000000-000D-0000-FFFF-FFFF00000000}"/>
  </bookViews>
  <sheets>
    <sheet name="Inputs" sheetId="1" r:id="rId1"/>
    <sheet name="Inputs (2)" sheetId="2" r:id="rId2"/>
    <sheet name="Model" sheetId="3" r:id="rId3"/>
    <sheet name="Valuation" sheetId="4" r:id="rId4"/>
    <sheet name="Glossá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F59" i="3"/>
  <c r="D133" i="4"/>
  <c r="D130" i="4"/>
  <c r="C109" i="4"/>
  <c r="C108" i="4"/>
  <c r="F107" i="4"/>
  <c r="F106" i="4"/>
  <c r="F105" i="4"/>
  <c r="F104" i="4"/>
  <c r="G103" i="4"/>
  <c r="E103" i="4"/>
  <c r="C97" i="4"/>
  <c r="C96" i="4"/>
  <c r="C95" i="4"/>
  <c r="C94" i="4"/>
  <c r="E93" i="4"/>
  <c r="E92" i="4"/>
  <c r="H90" i="4"/>
  <c r="G90" i="4"/>
  <c r="F90" i="4"/>
  <c r="E90" i="4"/>
  <c r="C76" i="4"/>
  <c r="C75" i="4"/>
  <c r="E72" i="4"/>
  <c r="C66" i="4"/>
  <c r="C54" i="4"/>
  <c r="E52" i="4"/>
  <c r="O39" i="4"/>
  <c r="M39" i="4"/>
  <c r="C38" i="4"/>
  <c r="C37" i="4"/>
  <c r="C36" i="4"/>
  <c r="O28" i="4"/>
  <c r="N28" i="4"/>
  <c r="M28" i="4"/>
  <c r="L28" i="4"/>
  <c r="K28" i="4"/>
  <c r="J28" i="4"/>
  <c r="I28" i="4"/>
  <c r="H28" i="4"/>
  <c r="G28" i="4"/>
  <c r="F28" i="4"/>
  <c r="E28" i="4"/>
  <c r="E24" i="4"/>
  <c r="L39" i="4" s="1"/>
  <c r="E22" i="4"/>
  <c r="D121" i="4" s="1"/>
  <c r="E21" i="4"/>
  <c r="D134" i="4" s="1"/>
  <c r="E19" i="4"/>
  <c r="E18" i="4"/>
  <c r="E17" i="4"/>
  <c r="E16" i="4"/>
  <c r="E10" i="4"/>
  <c r="C6" i="4"/>
  <c r="E5" i="4"/>
  <c r="C5" i="4"/>
  <c r="C202" i="3"/>
  <c r="C201" i="3"/>
  <c r="C200" i="3"/>
  <c r="E86" i="3"/>
  <c r="E85" i="3"/>
  <c r="BG14" i="3"/>
  <c r="BF14" i="3"/>
  <c r="BE14" i="3"/>
  <c r="BA14" i="3"/>
  <c r="AZ14" i="3"/>
  <c r="AI14" i="3"/>
  <c r="AG14" i="3"/>
  <c r="K14" i="3"/>
  <c r="E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BG11" i="3"/>
  <c r="BF11" i="3"/>
  <c r="BE11" i="3"/>
  <c r="BD11" i="3"/>
  <c r="BD14" i="3" s="1"/>
  <c r="BC11" i="3"/>
  <c r="BC14" i="3" s="1"/>
  <c r="BB11" i="3"/>
  <c r="BB14" i="3" s="1"/>
  <c r="BA11" i="3"/>
  <c r="AZ11" i="3"/>
  <c r="AY11" i="3"/>
  <c r="AY14" i="3" s="1"/>
  <c r="AX11" i="3"/>
  <c r="AX14" i="3" s="1"/>
  <c r="AV11" i="3"/>
  <c r="AV14" i="3" s="1"/>
  <c r="AU11" i="3"/>
  <c r="AU14" i="3" s="1"/>
  <c r="AT11" i="3"/>
  <c r="AT14" i="3" s="1"/>
  <c r="AS11" i="3"/>
  <c r="AS14" i="3" s="1"/>
  <c r="AR11" i="3"/>
  <c r="AR14" i="3" s="1"/>
  <c r="AQ11" i="3"/>
  <c r="AQ14" i="3" s="1"/>
  <c r="AP11" i="3"/>
  <c r="AP14" i="3" s="1"/>
  <c r="AO11" i="3"/>
  <c r="AO14" i="3" s="1"/>
  <c r="AN11" i="3"/>
  <c r="AN14" i="3" s="1"/>
  <c r="AM11" i="3"/>
  <c r="AM14" i="3" s="1"/>
  <c r="AL11" i="3"/>
  <c r="AL14" i="3" s="1"/>
  <c r="AK11" i="3"/>
  <c r="AK14" i="3" s="1"/>
  <c r="AJ11" i="3"/>
  <c r="AJ14" i="3" s="1"/>
  <c r="AI11" i="3"/>
  <c r="AH11" i="3"/>
  <c r="AH14" i="3" s="1"/>
  <c r="AG11" i="3"/>
  <c r="AF11" i="3"/>
  <c r="AF14" i="3" s="1"/>
  <c r="AE11" i="3"/>
  <c r="AE14" i="3" s="1"/>
  <c r="AD11" i="3"/>
  <c r="AD14" i="3" s="1"/>
  <c r="AB11" i="3"/>
  <c r="AB14" i="3" s="1"/>
  <c r="AA11" i="3"/>
  <c r="AA14" i="3" s="1"/>
  <c r="Z11" i="3"/>
  <c r="Z14" i="3" s="1"/>
  <c r="Y11" i="3"/>
  <c r="Y14" i="3" s="1"/>
  <c r="W11" i="3"/>
  <c r="W14" i="3" s="1"/>
  <c r="V11" i="3"/>
  <c r="V14" i="3" s="1"/>
  <c r="U11" i="3"/>
  <c r="U14" i="3" s="1"/>
  <c r="T11" i="3"/>
  <c r="T14" i="3" s="1"/>
  <c r="R11" i="3"/>
  <c r="R14" i="3" s="1"/>
  <c r="Q11" i="3"/>
  <c r="Q14" i="3" s="1"/>
  <c r="P11" i="3"/>
  <c r="P14" i="3" s="1"/>
  <c r="O11" i="3"/>
  <c r="O14" i="3" s="1"/>
  <c r="O6" i="3" s="1"/>
  <c r="N11" i="3"/>
  <c r="N14" i="3" s="1"/>
  <c r="M11" i="3"/>
  <c r="M14" i="3" s="1"/>
  <c r="L11" i="3"/>
  <c r="L14" i="3" s="1"/>
  <c r="K11" i="3"/>
  <c r="J11" i="3"/>
  <c r="J14" i="3" s="1"/>
  <c r="H11" i="3"/>
  <c r="G11" i="3"/>
  <c r="G14" i="3" s="1"/>
  <c r="F11" i="3"/>
  <c r="F14" i="3" s="1"/>
  <c r="E11" i="3"/>
  <c r="BG6" i="3"/>
  <c r="BF6" i="3"/>
  <c r="BC6" i="3"/>
  <c r="BB6" i="3"/>
  <c r="BA6" i="3"/>
  <c r="AZ6" i="3"/>
  <c r="AY6" i="3"/>
  <c r="AX6" i="3"/>
  <c r="AQ6" i="3"/>
  <c r="AP6" i="3"/>
  <c r="AM6" i="3"/>
  <c r="AL6" i="3"/>
  <c r="AK6" i="3"/>
  <c r="AE6" i="3"/>
  <c r="AD6" i="3"/>
  <c r="Z6" i="3"/>
  <c r="Y6" i="3"/>
  <c r="W6" i="3"/>
  <c r="R6" i="3"/>
  <c r="N6" i="3"/>
  <c r="M6" i="3"/>
  <c r="K6" i="3"/>
  <c r="G6" i="3"/>
  <c r="F6" i="3"/>
  <c r="E6" i="3"/>
  <c r="AJ72" i="2"/>
  <c r="W65" i="2"/>
  <c r="X65" i="2" s="1"/>
  <c r="AI53" i="2"/>
  <c r="K53" i="2"/>
  <c r="AJ46" i="2"/>
  <c r="AZ45" i="2"/>
  <c r="AU44" i="2"/>
  <c r="AI44" i="2"/>
  <c r="W44" i="2"/>
  <c r="X44" i="2" s="1"/>
  <c r="K44" i="2"/>
  <c r="R43" i="2"/>
  <c r="AV37" i="2"/>
  <c r="AW37" i="2" s="1"/>
  <c r="AJ37" i="2"/>
  <c r="L37" i="2"/>
  <c r="Z35" i="2"/>
  <c r="AV23" i="2"/>
  <c r="AW23" i="2" s="1"/>
  <c r="AJ23" i="2"/>
  <c r="L23" i="2"/>
  <c r="BC22" i="2"/>
  <c r="U20" i="2"/>
  <c r="AU18" i="2"/>
  <c r="AI18" i="2"/>
  <c r="W18" i="2"/>
  <c r="K18" i="2"/>
  <c r="AV15" i="2"/>
  <c r="AW15" i="2" s="1"/>
  <c r="AJ15" i="2"/>
  <c r="L15" i="2"/>
  <c r="AV14" i="2"/>
  <c r="AW14" i="2" s="1"/>
  <c r="AU14" i="2"/>
  <c r="AJ14" i="2"/>
  <c r="AI14" i="2"/>
  <c r="W14" i="2"/>
  <c r="X14" i="2" s="1"/>
  <c r="L14" i="2"/>
  <c r="K14" i="2"/>
  <c r="BF13" i="2"/>
  <c r="BG13" i="2" s="1"/>
  <c r="AV13" i="2"/>
  <c r="AW13" i="2" s="1"/>
  <c r="AU13" i="2"/>
  <c r="AJ13" i="2"/>
  <c r="AJ11" i="2" s="1"/>
  <c r="AI13" i="2"/>
  <c r="X13" i="2"/>
  <c r="W13" i="2"/>
  <c r="R13" i="2"/>
  <c r="S13" i="2" s="1"/>
  <c r="L13" i="2"/>
  <c r="K13" i="2"/>
  <c r="BE12" i="2"/>
  <c r="AV12" i="2"/>
  <c r="AV11" i="2" s="1"/>
  <c r="AP12" i="2"/>
  <c r="AJ12" i="2"/>
  <c r="Q12" i="2"/>
  <c r="L12" i="2"/>
  <c r="L11" i="2" s="1"/>
  <c r="AW11" i="2"/>
  <c r="BD10" i="2"/>
  <c r="AV10" i="2"/>
  <c r="AW10" i="2" s="1"/>
  <c r="AU10" i="2"/>
  <c r="AT10" i="2"/>
  <c r="AJ10" i="2"/>
  <c r="AI10" i="2"/>
  <c r="AE10" i="2"/>
  <c r="W10" i="2"/>
  <c r="X10" i="2" s="1"/>
  <c r="L10" i="2"/>
  <c r="K10" i="2"/>
  <c r="BA9" i="2"/>
  <c r="BB9" i="2" s="1"/>
  <c r="AU9" i="2"/>
  <c r="AU6" i="2" s="1"/>
  <c r="AT9" i="2"/>
  <c r="AL9" i="2"/>
  <c r="AM9" i="2" s="1"/>
  <c r="AI9" i="2"/>
  <c r="AD9" i="2"/>
  <c r="W9" i="2"/>
  <c r="X9" i="2" s="1"/>
  <c r="U9" i="2"/>
  <c r="O9" i="2"/>
  <c r="K9" i="2"/>
  <c r="E9" i="2"/>
  <c r="E22" i="3" s="1"/>
  <c r="BG8" i="2"/>
  <c r="BF8" i="2"/>
  <c r="BA8" i="2"/>
  <c r="BB8" i="2" s="1"/>
  <c r="AV8" i="2"/>
  <c r="AW8" i="2" s="1"/>
  <c r="AU8" i="2"/>
  <c r="AS8" i="2"/>
  <c r="AP8" i="2"/>
  <c r="AO8" i="2"/>
  <c r="AJ8" i="2"/>
  <c r="AI8" i="2"/>
  <c r="AB8" i="2"/>
  <c r="AC8" i="2" s="1"/>
  <c r="W8" i="2"/>
  <c r="X8" i="2" s="1"/>
  <c r="V8" i="2"/>
  <c r="L8" i="2"/>
  <c r="K8" i="2"/>
  <c r="J8" i="2"/>
  <c r="F8" i="2"/>
  <c r="E8" i="2"/>
  <c r="E21" i="3" s="1"/>
  <c r="BA7" i="2"/>
  <c r="AZ7" i="2"/>
  <c r="AV7" i="2"/>
  <c r="AU7" i="2"/>
  <c r="AJ7" i="2"/>
  <c r="AI7" i="2"/>
  <c r="AI6" i="2" s="1"/>
  <c r="AD7" i="2"/>
  <c r="W7" i="2"/>
  <c r="X7" i="2" s="1"/>
  <c r="S7" i="2"/>
  <c r="R7" i="2"/>
  <c r="Q7" i="2"/>
  <c r="L7" i="2"/>
  <c r="K7" i="2"/>
  <c r="E7" i="2"/>
  <c r="K6" i="2"/>
  <c r="BF5" i="2"/>
  <c r="AW5" i="2"/>
  <c r="AV5" i="2"/>
  <c r="AU5" i="2"/>
  <c r="AJ5" i="2"/>
  <c r="AI5" i="2"/>
  <c r="AG5" i="2"/>
  <c r="AE5" i="2"/>
  <c r="AD5" i="2"/>
  <c r="W5" i="2"/>
  <c r="V5" i="2"/>
  <c r="U5" i="2"/>
  <c r="O5" i="2"/>
  <c r="L5" i="2"/>
  <c r="K5" i="2"/>
  <c r="J5" i="2"/>
  <c r="G5" i="2"/>
  <c r="F5" i="2"/>
  <c r="BG3" i="2"/>
  <c r="BF3" i="2"/>
  <c r="BF12" i="2" s="1"/>
  <c r="BE3" i="2"/>
  <c r="BD3" i="2"/>
  <c r="BD50" i="2" s="1"/>
  <c r="BC3" i="2"/>
  <c r="BC12" i="2" s="1"/>
  <c r="BB3" i="2"/>
  <c r="BA3" i="2"/>
  <c r="BA12" i="2" s="1"/>
  <c r="AZ3" i="2"/>
  <c r="AZ33" i="2" s="1"/>
  <c r="AY3" i="2"/>
  <c r="AY26" i="2" s="1"/>
  <c r="AX3" i="2"/>
  <c r="AX35" i="2" s="1"/>
  <c r="AW3" i="2"/>
  <c r="AV3" i="2"/>
  <c r="AV35" i="2" s="1"/>
  <c r="AW35" i="2" s="1"/>
  <c r="AU3" i="2"/>
  <c r="AU35" i="2" s="1"/>
  <c r="AT3" i="2"/>
  <c r="AT25" i="2" s="1"/>
  <c r="AS3" i="2"/>
  <c r="AR3" i="2"/>
  <c r="AQ3" i="2"/>
  <c r="AQ9" i="2" s="1"/>
  <c r="AR9" i="2" s="1"/>
  <c r="AP3" i="2"/>
  <c r="AP9" i="2" s="1"/>
  <c r="AO3" i="2"/>
  <c r="AO9" i="2" s="1"/>
  <c r="AN3" i="2"/>
  <c r="AN9" i="2" s="1"/>
  <c r="AM3" i="2"/>
  <c r="AL3" i="2"/>
  <c r="AL35" i="2" s="1"/>
  <c r="AM35" i="2" s="1"/>
  <c r="AK3" i="2"/>
  <c r="AJ3" i="2"/>
  <c r="AJ35" i="2" s="1"/>
  <c r="AI3" i="2"/>
  <c r="AI35" i="2" s="1"/>
  <c r="AH3" i="2"/>
  <c r="AG3" i="2"/>
  <c r="AF3" i="2"/>
  <c r="AF15" i="2" s="1"/>
  <c r="AE3" i="2"/>
  <c r="AE22" i="2" s="1"/>
  <c r="AD3" i="2"/>
  <c r="AD13" i="2" s="1"/>
  <c r="AC3" i="2"/>
  <c r="AB3" i="2"/>
  <c r="AB10" i="2" s="1"/>
  <c r="AC10" i="2" s="1"/>
  <c r="AA3" i="2"/>
  <c r="AA26" i="2" s="1"/>
  <c r="Z3" i="2"/>
  <c r="Z21" i="2" s="1"/>
  <c r="Y3" i="2"/>
  <c r="Y12" i="2" s="1"/>
  <c r="X3" i="2"/>
  <c r="W3" i="2"/>
  <c r="W35" i="2" s="1"/>
  <c r="X35" i="2" s="1"/>
  <c r="V3" i="2"/>
  <c r="U3" i="2"/>
  <c r="T3" i="2"/>
  <c r="S3" i="2"/>
  <c r="R3" i="2"/>
  <c r="R12" i="2" s="1"/>
  <c r="Q3" i="2"/>
  <c r="Q9" i="2" s="1"/>
  <c r="P3" i="2"/>
  <c r="P19" i="2" s="1"/>
  <c r="O3" i="2"/>
  <c r="O10" i="2" s="1"/>
  <c r="N3" i="2"/>
  <c r="M3" i="2"/>
  <c r="L3" i="2"/>
  <c r="L72" i="2" s="1"/>
  <c r="K3" i="2"/>
  <c r="K35" i="2" s="1"/>
  <c r="J3" i="2"/>
  <c r="J12" i="2" s="1"/>
  <c r="I3" i="2"/>
  <c r="H3" i="2"/>
  <c r="H10" i="2" s="1"/>
  <c r="I10" i="2" s="1"/>
  <c r="G3" i="2"/>
  <c r="G12" i="2" s="1"/>
  <c r="F3" i="2"/>
  <c r="F12" i="2" s="1"/>
  <c r="E3" i="2"/>
  <c r="E12" i="2" s="1"/>
  <c r="BF1" i="2"/>
  <c r="BG1" i="2" s="1"/>
  <c r="BE1" i="2"/>
  <c r="BD1" i="2"/>
  <c r="BC1" i="2"/>
  <c r="BA1" i="2"/>
  <c r="BB1" i="2" s="1"/>
  <c r="AZ1" i="2"/>
  <c r="AY1" i="2"/>
  <c r="AX1" i="2"/>
  <c r="AV1" i="2"/>
  <c r="AW1" i="2" s="1"/>
  <c r="AU1" i="2"/>
  <c r="AT1" i="2"/>
  <c r="AS1" i="2"/>
  <c r="AQ1" i="2"/>
  <c r="AR1" i="2" s="1"/>
  <c r="AP1" i="2"/>
  <c r="AO1" i="2"/>
  <c r="AN1" i="2"/>
  <c r="AL1" i="2"/>
  <c r="AM1" i="2" s="1"/>
  <c r="AK1" i="2"/>
  <c r="AJ1" i="2"/>
  <c r="AI1" i="2"/>
  <c r="AG1" i="2"/>
  <c r="AH1" i="2" s="1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H1" i="2"/>
  <c r="I1" i="2" s="1"/>
  <c r="G1" i="2"/>
  <c r="F1" i="2"/>
  <c r="E1" i="2"/>
  <c r="F321" i="1"/>
  <c r="E321" i="1"/>
  <c r="E313" i="1"/>
  <c r="E23" i="4" s="1"/>
  <c r="E310" i="1"/>
  <c r="BG303" i="1"/>
  <c r="BB303" i="1"/>
  <c r="AW303" i="1"/>
  <c r="AR303" i="1"/>
  <c r="AM303" i="1"/>
  <c r="AH303" i="1"/>
  <c r="AC303" i="1"/>
  <c r="X303" i="1"/>
  <c r="S303" i="1"/>
  <c r="N303" i="1"/>
  <c r="I303" i="1"/>
  <c r="BG302" i="1"/>
  <c r="BB302" i="1"/>
  <c r="AW302" i="1"/>
  <c r="AR302" i="1"/>
  <c r="AM302" i="1"/>
  <c r="AH302" i="1"/>
  <c r="AC302" i="1"/>
  <c r="X302" i="1"/>
  <c r="S302" i="1"/>
  <c r="N302" i="1"/>
  <c r="I302" i="1"/>
  <c r="BG301" i="1"/>
  <c r="BB301" i="1"/>
  <c r="AW301" i="1"/>
  <c r="AR301" i="1"/>
  <c r="AM301" i="1"/>
  <c r="AH301" i="1"/>
  <c r="AC301" i="1"/>
  <c r="X301" i="1"/>
  <c r="S301" i="1"/>
  <c r="N301" i="1"/>
  <c r="I301" i="1"/>
  <c r="BG300" i="1"/>
  <c r="BB300" i="1"/>
  <c r="AW300" i="1"/>
  <c r="AR300" i="1"/>
  <c r="AM300" i="1"/>
  <c r="AH300" i="1"/>
  <c r="AC300" i="1"/>
  <c r="X300" i="1"/>
  <c r="S300" i="1"/>
  <c r="N300" i="1"/>
  <c r="I300" i="1"/>
  <c r="BG299" i="1"/>
  <c r="BB299" i="1"/>
  <c r="AW299" i="1"/>
  <c r="AR299" i="1"/>
  <c r="AM299" i="1"/>
  <c r="AH299" i="1"/>
  <c r="AC299" i="1"/>
  <c r="X299" i="1"/>
  <c r="S299" i="1"/>
  <c r="N299" i="1"/>
  <c r="I299" i="1"/>
  <c r="BG298" i="1"/>
  <c r="BB298" i="1"/>
  <c r="AW298" i="1"/>
  <c r="AR298" i="1"/>
  <c r="AM298" i="1"/>
  <c r="AH298" i="1"/>
  <c r="AC298" i="1"/>
  <c r="X298" i="1"/>
  <c r="S298" i="1"/>
  <c r="N298" i="1"/>
  <c r="I298" i="1"/>
  <c r="BG295" i="1"/>
  <c r="BB295" i="1"/>
  <c r="AW295" i="1"/>
  <c r="AR295" i="1"/>
  <c r="AM295" i="1"/>
  <c r="AH295" i="1"/>
  <c r="AC295" i="1"/>
  <c r="X295" i="1"/>
  <c r="S295" i="1"/>
  <c r="N295" i="1"/>
  <c r="I295" i="1"/>
  <c r="BG294" i="1"/>
  <c r="BB294" i="1"/>
  <c r="AW294" i="1"/>
  <c r="AR294" i="1"/>
  <c r="AM294" i="1"/>
  <c r="AH294" i="1"/>
  <c r="AC294" i="1"/>
  <c r="X294" i="1"/>
  <c r="S294" i="1"/>
  <c r="N294" i="1"/>
  <c r="I294" i="1"/>
  <c r="BG293" i="1"/>
  <c r="BB293" i="1"/>
  <c r="AW293" i="1"/>
  <c r="AR293" i="1"/>
  <c r="AM293" i="1"/>
  <c r="AH293" i="1"/>
  <c r="AC293" i="1"/>
  <c r="X293" i="1"/>
  <c r="S293" i="1"/>
  <c r="N293" i="1"/>
  <c r="I293" i="1"/>
  <c r="BG292" i="1"/>
  <c r="BB292" i="1"/>
  <c r="AW292" i="1"/>
  <c r="AR292" i="1"/>
  <c r="AM292" i="1"/>
  <c r="AH292" i="1"/>
  <c r="AC292" i="1"/>
  <c r="X292" i="1"/>
  <c r="S292" i="1"/>
  <c r="N292" i="1"/>
  <c r="I292" i="1"/>
  <c r="BG291" i="1"/>
  <c r="BB291" i="1"/>
  <c r="AW291" i="1"/>
  <c r="AR291" i="1"/>
  <c r="AM291" i="1"/>
  <c r="AH291" i="1"/>
  <c r="AC291" i="1"/>
  <c r="X291" i="1"/>
  <c r="S291" i="1"/>
  <c r="N291" i="1"/>
  <c r="I291" i="1"/>
  <c r="BG290" i="1"/>
  <c r="BB290" i="1"/>
  <c r="AW290" i="1"/>
  <c r="AR290" i="1"/>
  <c r="AM290" i="1"/>
  <c r="AH290" i="1"/>
  <c r="AC290" i="1"/>
  <c r="X290" i="1"/>
  <c r="S290" i="1"/>
  <c r="N290" i="1"/>
  <c r="I290" i="1"/>
  <c r="BG289" i="1"/>
  <c r="BB289" i="1"/>
  <c r="AW289" i="1"/>
  <c r="AR289" i="1"/>
  <c r="AM289" i="1"/>
  <c r="AH289" i="1"/>
  <c r="AC289" i="1"/>
  <c r="X289" i="1"/>
  <c r="S289" i="1"/>
  <c r="N289" i="1"/>
  <c r="I289" i="1"/>
  <c r="BG288" i="1"/>
  <c r="BB288" i="1"/>
  <c r="AW288" i="1"/>
  <c r="AR288" i="1"/>
  <c r="AM288" i="1"/>
  <c r="AH288" i="1"/>
  <c r="AC288" i="1"/>
  <c r="X288" i="1"/>
  <c r="S288" i="1"/>
  <c r="N288" i="1"/>
  <c r="I288" i="1"/>
  <c r="BG287" i="1"/>
  <c r="BB287" i="1"/>
  <c r="AW287" i="1"/>
  <c r="AR287" i="1"/>
  <c r="AM287" i="1"/>
  <c r="AH287" i="1"/>
  <c r="AC287" i="1"/>
  <c r="X287" i="1"/>
  <c r="S287" i="1"/>
  <c r="N287" i="1"/>
  <c r="I287" i="1"/>
  <c r="BG286" i="1"/>
  <c r="BB286" i="1"/>
  <c r="AW286" i="1"/>
  <c r="AR286" i="1"/>
  <c r="AM286" i="1"/>
  <c r="AH286" i="1"/>
  <c r="AC286" i="1"/>
  <c r="X286" i="1"/>
  <c r="S286" i="1"/>
  <c r="N286" i="1"/>
  <c r="I286" i="1"/>
  <c r="BG285" i="1"/>
  <c r="BB285" i="1"/>
  <c r="AW285" i="1"/>
  <c r="AR285" i="1"/>
  <c r="AM285" i="1"/>
  <c r="AH285" i="1"/>
  <c r="AC285" i="1"/>
  <c r="X285" i="1"/>
  <c r="S285" i="1"/>
  <c r="N285" i="1"/>
  <c r="I285" i="1"/>
  <c r="BG282" i="1"/>
  <c r="BB282" i="1"/>
  <c r="AW282" i="1"/>
  <c r="AR282" i="1"/>
  <c r="AM282" i="1"/>
  <c r="AH282" i="1"/>
  <c r="AC282" i="1"/>
  <c r="X282" i="1"/>
  <c r="S282" i="1"/>
  <c r="N282" i="1"/>
  <c r="I282" i="1"/>
  <c r="BG281" i="1"/>
  <c r="BB281" i="1"/>
  <c r="AW281" i="1"/>
  <c r="AR281" i="1"/>
  <c r="AM281" i="1"/>
  <c r="AH281" i="1"/>
  <c r="AC281" i="1"/>
  <c r="X281" i="1"/>
  <c r="S281" i="1"/>
  <c r="N281" i="1"/>
  <c r="I281" i="1"/>
  <c r="BG280" i="1"/>
  <c r="BB280" i="1"/>
  <c r="AW280" i="1"/>
  <c r="AR280" i="1"/>
  <c r="AM280" i="1"/>
  <c r="AH280" i="1"/>
  <c r="AC280" i="1"/>
  <c r="X280" i="1"/>
  <c r="S280" i="1"/>
  <c r="N280" i="1"/>
  <c r="I280" i="1"/>
  <c r="BG279" i="1"/>
  <c r="BB279" i="1"/>
  <c r="AW279" i="1"/>
  <c r="AR279" i="1"/>
  <c r="AM279" i="1"/>
  <c r="AH279" i="1"/>
  <c r="AC279" i="1"/>
  <c r="X279" i="1"/>
  <c r="S279" i="1"/>
  <c r="N279" i="1"/>
  <c r="I279" i="1"/>
  <c r="BG278" i="1"/>
  <c r="BB278" i="1"/>
  <c r="AW278" i="1"/>
  <c r="AR278" i="1"/>
  <c r="AM278" i="1"/>
  <c r="AH278" i="1"/>
  <c r="AC278" i="1"/>
  <c r="X278" i="1"/>
  <c r="S278" i="1"/>
  <c r="N278" i="1"/>
  <c r="I278" i="1"/>
  <c r="BG277" i="1"/>
  <c r="BB277" i="1"/>
  <c r="AW277" i="1"/>
  <c r="AR277" i="1"/>
  <c r="AM277" i="1"/>
  <c r="AH277" i="1"/>
  <c r="AC277" i="1"/>
  <c r="X277" i="1"/>
  <c r="S277" i="1"/>
  <c r="N277" i="1"/>
  <c r="I277" i="1"/>
  <c r="BG276" i="1"/>
  <c r="BB276" i="1"/>
  <c r="AW276" i="1"/>
  <c r="AR276" i="1"/>
  <c r="AM276" i="1"/>
  <c r="AH276" i="1"/>
  <c r="AC276" i="1"/>
  <c r="X276" i="1"/>
  <c r="S276" i="1"/>
  <c r="N276" i="1"/>
  <c r="I276" i="1"/>
  <c r="BG275" i="1"/>
  <c r="BB275" i="1"/>
  <c r="AW275" i="1"/>
  <c r="AR275" i="1"/>
  <c r="AM275" i="1"/>
  <c r="AH275" i="1"/>
  <c r="AC275" i="1"/>
  <c r="X275" i="1"/>
  <c r="S275" i="1"/>
  <c r="N275" i="1"/>
  <c r="I275" i="1"/>
  <c r="BG274" i="1"/>
  <c r="BB274" i="1"/>
  <c r="AW274" i="1"/>
  <c r="AR274" i="1"/>
  <c r="AM274" i="1"/>
  <c r="AH274" i="1"/>
  <c r="AC274" i="1"/>
  <c r="X274" i="1"/>
  <c r="S274" i="1"/>
  <c r="N274" i="1"/>
  <c r="I274" i="1"/>
  <c r="BG273" i="1"/>
  <c r="BB273" i="1"/>
  <c r="AW273" i="1"/>
  <c r="AR273" i="1"/>
  <c r="AM273" i="1"/>
  <c r="AH273" i="1"/>
  <c r="AC273" i="1"/>
  <c r="X273" i="1"/>
  <c r="S273" i="1"/>
  <c r="N273" i="1"/>
  <c r="I273" i="1"/>
  <c r="BG272" i="1"/>
  <c r="BB272" i="1"/>
  <c r="AW272" i="1"/>
  <c r="AR272" i="1"/>
  <c r="AM272" i="1"/>
  <c r="AH272" i="1"/>
  <c r="AC272" i="1"/>
  <c r="X272" i="1"/>
  <c r="S272" i="1"/>
  <c r="N272" i="1"/>
  <c r="I272" i="1"/>
  <c r="BG271" i="1"/>
  <c r="BB271" i="1"/>
  <c r="AW271" i="1"/>
  <c r="AR271" i="1"/>
  <c r="AM271" i="1"/>
  <c r="AH271" i="1"/>
  <c r="AC271" i="1"/>
  <c r="X271" i="1"/>
  <c r="S271" i="1"/>
  <c r="N271" i="1"/>
  <c r="I271" i="1"/>
  <c r="BG270" i="1"/>
  <c r="BB270" i="1"/>
  <c r="AW270" i="1"/>
  <c r="AR270" i="1"/>
  <c r="AM270" i="1"/>
  <c r="AH270" i="1"/>
  <c r="AC270" i="1"/>
  <c r="X270" i="1"/>
  <c r="S270" i="1"/>
  <c r="N270" i="1"/>
  <c r="I270" i="1"/>
  <c r="BG267" i="1"/>
  <c r="BB267" i="1"/>
  <c r="AW267" i="1"/>
  <c r="AR267" i="1"/>
  <c r="AM267" i="1"/>
  <c r="AH267" i="1"/>
  <c r="AC267" i="1"/>
  <c r="X267" i="1"/>
  <c r="S267" i="1"/>
  <c r="N267" i="1"/>
  <c r="I267" i="1"/>
  <c r="BG266" i="1"/>
  <c r="BB266" i="1"/>
  <c r="AW266" i="1"/>
  <c r="AR266" i="1"/>
  <c r="AM266" i="1"/>
  <c r="AH266" i="1"/>
  <c r="AC266" i="1"/>
  <c r="X266" i="1"/>
  <c r="S266" i="1"/>
  <c r="N266" i="1"/>
  <c r="I266" i="1"/>
  <c r="BG265" i="1"/>
  <c r="BB265" i="1"/>
  <c r="AW265" i="1"/>
  <c r="AR265" i="1"/>
  <c r="AM265" i="1"/>
  <c r="AH265" i="1"/>
  <c r="AC265" i="1"/>
  <c r="X265" i="1"/>
  <c r="S265" i="1"/>
  <c r="N265" i="1"/>
  <c r="I265" i="1"/>
  <c r="BG264" i="1"/>
  <c r="BB264" i="1"/>
  <c r="AW264" i="1"/>
  <c r="AR264" i="1"/>
  <c r="AM264" i="1"/>
  <c r="AH264" i="1"/>
  <c r="AC264" i="1"/>
  <c r="X264" i="1"/>
  <c r="S264" i="1"/>
  <c r="N264" i="1"/>
  <c r="I264" i="1"/>
  <c r="BG263" i="1"/>
  <c r="BB263" i="1"/>
  <c r="AW263" i="1"/>
  <c r="AR263" i="1"/>
  <c r="AM263" i="1"/>
  <c r="AH263" i="1"/>
  <c r="AC263" i="1"/>
  <c r="X263" i="1"/>
  <c r="S263" i="1"/>
  <c r="N263" i="1"/>
  <c r="I263" i="1"/>
  <c r="BG262" i="1"/>
  <c r="BB262" i="1"/>
  <c r="AW262" i="1"/>
  <c r="AR262" i="1"/>
  <c r="AM262" i="1"/>
  <c r="AH262" i="1"/>
  <c r="AC262" i="1"/>
  <c r="X262" i="1"/>
  <c r="S262" i="1"/>
  <c r="N262" i="1"/>
  <c r="I262" i="1"/>
  <c r="BG261" i="1"/>
  <c r="BB261" i="1"/>
  <c r="AW261" i="1"/>
  <c r="AR261" i="1"/>
  <c r="AM261" i="1"/>
  <c r="AH261" i="1"/>
  <c r="AC261" i="1"/>
  <c r="X261" i="1"/>
  <c r="S261" i="1"/>
  <c r="N261" i="1"/>
  <c r="I261" i="1"/>
  <c r="BG260" i="1"/>
  <c r="BB260" i="1"/>
  <c r="AW260" i="1"/>
  <c r="AR260" i="1"/>
  <c r="AM260" i="1"/>
  <c r="AH260" i="1"/>
  <c r="AC260" i="1"/>
  <c r="X260" i="1"/>
  <c r="S260" i="1"/>
  <c r="N260" i="1"/>
  <c r="I260" i="1"/>
  <c r="BB232" i="1"/>
  <c r="AX232" i="1"/>
  <c r="AK232" i="1"/>
  <c r="M232" i="1"/>
  <c r="BF217" i="1"/>
  <c r="BE217" i="1"/>
  <c r="BB217" i="1"/>
  <c r="AZ217" i="1"/>
  <c r="AY217" i="1"/>
  <c r="AT217" i="1"/>
  <c r="AS217" i="1"/>
  <c r="AP217" i="1"/>
  <c r="AN217" i="1"/>
  <c r="AH217" i="1"/>
  <c r="AG217" i="1"/>
  <c r="AD217" i="1"/>
  <c r="AB217" i="1"/>
  <c r="AA217" i="1"/>
  <c r="V217" i="1"/>
  <c r="U217" i="1"/>
  <c r="R217" i="1"/>
  <c r="P217" i="1"/>
  <c r="O217" i="1"/>
  <c r="J217" i="1"/>
  <c r="F217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BG214" i="1"/>
  <c r="BG217" i="1" s="1"/>
  <c r="BF214" i="1"/>
  <c r="BE214" i="1"/>
  <c r="BD214" i="1"/>
  <c r="BD217" i="1" s="1"/>
  <c r="BC214" i="1"/>
  <c r="BC217" i="1" s="1"/>
  <c r="BB214" i="1"/>
  <c r="BA214" i="1"/>
  <c r="BA217" i="1" s="1"/>
  <c r="AZ214" i="1"/>
  <c r="AY214" i="1"/>
  <c r="AX214" i="1"/>
  <c r="AX217" i="1" s="1"/>
  <c r="AV214" i="1"/>
  <c r="AV217" i="1" s="1"/>
  <c r="AU214" i="1"/>
  <c r="AU217" i="1" s="1"/>
  <c r="AT214" i="1"/>
  <c r="AS214" i="1"/>
  <c r="AR214" i="1"/>
  <c r="AR217" i="1" s="1"/>
  <c r="AQ214" i="1"/>
  <c r="AQ217" i="1" s="1"/>
  <c r="AP214" i="1"/>
  <c r="AO214" i="1"/>
  <c r="AO217" i="1" s="1"/>
  <c r="AN214" i="1"/>
  <c r="AL214" i="1"/>
  <c r="AL217" i="1" s="1"/>
  <c r="AK214" i="1"/>
  <c r="AK217" i="1" s="1"/>
  <c r="AJ214" i="1"/>
  <c r="AJ217" i="1" s="1"/>
  <c r="AI214" i="1"/>
  <c r="AI217" i="1" s="1"/>
  <c r="AH214" i="1"/>
  <c r="AG214" i="1"/>
  <c r="AF214" i="1"/>
  <c r="AF217" i="1" s="1"/>
  <c r="AE214" i="1"/>
  <c r="AE217" i="1" s="1"/>
  <c r="AD214" i="1"/>
  <c r="AC214" i="1"/>
  <c r="AC217" i="1" s="1"/>
  <c r="AB214" i="1"/>
  <c r="AA214" i="1"/>
  <c r="Z214" i="1"/>
  <c r="Z217" i="1" s="1"/>
  <c r="Y214" i="1"/>
  <c r="Y217" i="1" s="1"/>
  <c r="X214" i="1"/>
  <c r="X217" i="1" s="1"/>
  <c r="W214" i="1"/>
  <c r="W217" i="1" s="1"/>
  <c r="V214" i="1"/>
  <c r="U214" i="1"/>
  <c r="T214" i="1"/>
  <c r="T217" i="1" s="1"/>
  <c r="R214" i="1"/>
  <c r="S214" i="1" s="1"/>
  <c r="S217" i="1" s="1"/>
  <c r="Q214" i="1"/>
  <c r="Q217" i="1" s="1"/>
  <c r="P214" i="1"/>
  <c r="O214" i="1"/>
  <c r="M214" i="1"/>
  <c r="M217" i="1" s="1"/>
  <c r="L214" i="1"/>
  <c r="L217" i="1" s="1"/>
  <c r="K214" i="1"/>
  <c r="K217" i="1" s="1"/>
  <c r="J214" i="1"/>
  <c r="H214" i="1"/>
  <c r="H217" i="1" s="1"/>
  <c r="G214" i="1"/>
  <c r="G217" i="1" s="1"/>
  <c r="F214" i="1"/>
  <c r="E214" i="1"/>
  <c r="E217" i="1" s="1"/>
  <c r="E210" i="1"/>
  <c r="E211" i="1" s="1"/>
  <c r="E11" i="4" s="1"/>
  <c r="C206" i="1"/>
  <c r="E202" i="1"/>
  <c r="C293" i="1" s="1"/>
  <c r="I214" i="1" l="1"/>
  <c r="I217" i="1" s="1"/>
  <c r="AH5" i="2"/>
  <c r="E25" i="3"/>
  <c r="BB12" i="2"/>
  <c r="S43" i="2"/>
  <c r="AK178" i="2"/>
  <c r="AK162" i="2"/>
  <c r="AK185" i="2"/>
  <c r="AK167" i="2"/>
  <c r="AK174" i="2"/>
  <c r="AK160" i="2"/>
  <c r="AK181" i="2"/>
  <c r="AK188" i="2"/>
  <c r="AK172" i="2"/>
  <c r="AK179" i="2"/>
  <c r="AK163" i="2"/>
  <c r="AK186" i="2"/>
  <c r="AK170" i="2"/>
  <c r="AK175" i="2"/>
  <c r="AK161" i="2"/>
  <c r="AK184" i="2"/>
  <c r="AK180" i="2"/>
  <c r="AK187" i="2"/>
  <c r="AK143" i="2"/>
  <c r="AK129" i="2"/>
  <c r="AK159" i="2"/>
  <c r="AK150" i="2"/>
  <c r="AK136" i="2"/>
  <c r="AK166" i="2"/>
  <c r="AK148" i="2"/>
  <c r="AK155" i="2"/>
  <c r="AK189" i="2"/>
  <c r="AK144" i="2"/>
  <c r="AK130" i="2"/>
  <c r="AK171" i="2"/>
  <c r="AK151" i="2"/>
  <c r="AK137" i="2"/>
  <c r="AK173" i="2"/>
  <c r="AK165" i="2"/>
  <c r="AK142" i="2"/>
  <c r="AK156" i="2"/>
  <c r="AK145" i="2"/>
  <c r="AK164" i="2"/>
  <c r="AK154" i="2"/>
  <c r="AK138" i="2"/>
  <c r="AK149" i="2"/>
  <c r="AK139" i="2"/>
  <c r="AK113" i="2"/>
  <c r="AK135" i="2"/>
  <c r="AK118" i="2"/>
  <c r="AK111" i="2"/>
  <c r="AK116" i="2"/>
  <c r="AK141" i="2"/>
  <c r="AK250" i="1" s="1"/>
  <c r="AK124" i="2"/>
  <c r="AK121" i="2"/>
  <c r="AK256" i="1" s="1"/>
  <c r="AK134" i="2"/>
  <c r="AK128" i="2"/>
  <c r="AK140" i="2"/>
  <c r="AK249" i="1" s="1"/>
  <c r="AK133" i="2"/>
  <c r="AK123" i="2"/>
  <c r="AK122" i="2"/>
  <c r="AK127" i="2"/>
  <c r="AK112" i="2"/>
  <c r="AK96" i="2"/>
  <c r="AK115" i="2"/>
  <c r="AK89" i="2"/>
  <c r="AP238" i="1" s="1"/>
  <c r="AK77" i="2"/>
  <c r="AK94" i="2"/>
  <c r="AK82" i="2"/>
  <c r="AK99" i="2"/>
  <c r="AK243" i="1" s="1"/>
  <c r="AK87" i="2"/>
  <c r="AP236" i="1" s="1"/>
  <c r="AK92" i="2"/>
  <c r="AK97" i="2"/>
  <c r="AK117" i="2"/>
  <c r="AK120" i="2" s="1"/>
  <c r="AK195" i="2" s="1"/>
  <c r="AK119" i="2"/>
  <c r="AK88" i="2"/>
  <c r="AP237" i="1" s="1"/>
  <c r="AK86" i="2"/>
  <c r="AK103" i="2"/>
  <c r="AK91" i="2"/>
  <c r="AK90" i="2" s="1"/>
  <c r="AK54" i="2"/>
  <c r="AK61" i="2"/>
  <c r="AK105" i="2"/>
  <c r="AK78" i="2"/>
  <c r="AK52" i="2"/>
  <c r="AK79" i="2"/>
  <c r="AK76" i="2"/>
  <c r="AK64" i="2"/>
  <c r="AK71" i="2"/>
  <c r="AK55" i="2"/>
  <c r="AK102" i="2"/>
  <c r="AK101" i="2" s="1"/>
  <c r="AK62" i="2"/>
  <c r="AK48" i="2"/>
  <c r="AK95" i="2"/>
  <c r="AK241" i="1" s="1"/>
  <c r="AK74" i="2"/>
  <c r="AK53" i="2"/>
  <c r="AK60" i="2"/>
  <c r="AK114" i="2"/>
  <c r="AK194" i="2" s="1"/>
  <c r="AK65" i="2"/>
  <c r="AK72" i="2"/>
  <c r="AK56" i="2"/>
  <c r="AL233" i="1" s="1"/>
  <c r="AK93" i="2"/>
  <c r="AK83" i="2"/>
  <c r="AK35" i="2"/>
  <c r="AK21" i="2"/>
  <c r="AK9" i="2"/>
  <c r="AK49" i="2"/>
  <c r="AK40" i="2"/>
  <c r="AK26" i="2"/>
  <c r="AK14" i="2"/>
  <c r="AK45" i="2"/>
  <c r="AK33" i="2"/>
  <c r="AK19" i="2"/>
  <c r="AK43" i="2"/>
  <c r="AK51" i="2"/>
  <c r="AK36" i="2"/>
  <c r="AK22" i="2"/>
  <c r="AK10" i="2"/>
  <c r="AK41" i="2"/>
  <c r="AK27" i="2"/>
  <c r="AK15" i="2"/>
  <c r="AK73" i="2"/>
  <c r="AK63" i="2"/>
  <c r="AK34" i="2"/>
  <c r="AK20" i="2"/>
  <c r="AK39" i="2"/>
  <c r="AK38" i="2" s="1"/>
  <c r="AK25" i="2"/>
  <c r="AK24" i="2" s="1"/>
  <c r="AK13" i="2"/>
  <c r="AK50" i="2"/>
  <c r="AK44" i="2"/>
  <c r="AK18" i="2"/>
  <c r="AK46" i="2"/>
  <c r="AK37" i="2"/>
  <c r="AK23" i="2"/>
  <c r="AL232" i="1" s="1"/>
  <c r="AK12" i="2"/>
  <c r="AK16" i="2"/>
  <c r="AK7" i="2"/>
  <c r="AK5" i="2"/>
  <c r="AK28" i="2"/>
  <c r="AW214" i="1"/>
  <c r="AW217" i="1" s="1"/>
  <c r="S12" i="2"/>
  <c r="AK8" i="2"/>
  <c r="N214" i="1"/>
  <c r="N217" i="1" s="1"/>
  <c r="M178" i="2"/>
  <c r="M162" i="2"/>
  <c r="N162" i="2" s="1"/>
  <c r="M185" i="2"/>
  <c r="M167" i="2"/>
  <c r="N167" i="2" s="1"/>
  <c r="M174" i="2"/>
  <c r="M160" i="2"/>
  <c r="N160" i="2" s="1"/>
  <c r="M181" i="2"/>
  <c r="M188" i="2"/>
  <c r="M172" i="2"/>
  <c r="M179" i="2"/>
  <c r="M186" i="2"/>
  <c r="M170" i="2"/>
  <c r="M175" i="2"/>
  <c r="M161" i="2"/>
  <c r="N161" i="2" s="1"/>
  <c r="M184" i="2"/>
  <c r="M180" i="2"/>
  <c r="M143" i="2"/>
  <c r="N143" i="2" s="1"/>
  <c r="M129" i="2"/>
  <c r="N129" i="2" s="1"/>
  <c r="M173" i="2"/>
  <c r="M150" i="2"/>
  <c r="M136" i="2"/>
  <c r="N136" i="2" s="1"/>
  <c r="M166" i="2"/>
  <c r="N166" i="2" s="1"/>
  <c r="M163" i="2"/>
  <c r="N163" i="2" s="1"/>
  <c r="M148" i="2"/>
  <c r="N148" i="2" s="1"/>
  <c r="M187" i="2"/>
  <c r="M155" i="2"/>
  <c r="N155" i="2" s="1"/>
  <c r="M144" i="2"/>
  <c r="N144" i="2" s="1"/>
  <c r="M130" i="2"/>
  <c r="N130" i="2" s="1"/>
  <c r="M171" i="2"/>
  <c r="M151" i="2"/>
  <c r="N151" i="2" s="1"/>
  <c r="M137" i="2"/>
  <c r="N137" i="2" s="1"/>
  <c r="M165" i="2"/>
  <c r="N165" i="2" s="1"/>
  <c r="M159" i="2"/>
  <c r="N159" i="2" s="1"/>
  <c r="M142" i="2"/>
  <c r="N142" i="2" s="1"/>
  <c r="M145" i="2"/>
  <c r="N145" i="2" s="1"/>
  <c r="M164" i="2"/>
  <c r="N164" i="2" s="1"/>
  <c r="M154" i="2"/>
  <c r="N154" i="2" s="1"/>
  <c r="M138" i="2"/>
  <c r="N138" i="2" s="1"/>
  <c r="M128" i="2"/>
  <c r="M139" i="2"/>
  <c r="N139" i="2" s="1"/>
  <c r="M113" i="2"/>
  <c r="N113" i="2" s="1"/>
  <c r="M135" i="2"/>
  <c r="N135" i="2" s="1"/>
  <c r="M118" i="2"/>
  <c r="N118" i="2" s="1"/>
  <c r="M111" i="2"/>
  <c r="M116" i="2"/>
  <c r="N116" i="2" s="1"/>
  <c r="M149" i="2"/>
  <c r="M141" i="2"/>
  <c r="M127" i="2"/>
  <c r="M123" i="2"/>
  <c r="M121" i="2"/>
  <c r="M134" i="2"/>
  <c r="N134" i="2" s="1"/>
  <c r="M189" i="2"/>
  <c r="M156" i="2"/>
  <c r="N156" i="2" s="1"/>
  <c r="M140" i="2"/>
  <c r="M133" i="2"/>
  <c r="N133" i="2" s="1"/>
  <c r="M122" i="2"/>
  <c r="N122" i="2" s="1"/>
  <c r="M124" i="2"/>
  <c r="N124" i="2" s="1"/>
  <c r="M96" i="2"/>
  <c r="M89" i="2"/>
  <c r="R238" i="1" s="1"/>
  <c r="M77" i="2"/>
  <c r="M112" i="2"/>
  <c r="N112" i="2" s="1"/>
  <c r="M94" i="2"/>
  <c r="M82" i="2"/>
  <c r="M115" i="2"/>
  <c r="N115" i="2" s="1"/>
  <c r="M99" i="2"/>
  <c r="M243" i="1" s="1"/>
  <c r="M87" i="2"/>
  <c r="R236" i="1" s="1"/>
  <c r="M117" i="2"/>
  <c r="N117" i="2" s="1"/>
  <c r="M92" i="2"/>
  <c r="M97" i="2"/>
  <c r="M88" i="2"/>
  <c r="R237" i="1" s="1"/>
  <c r="M119" i="2"/>
  <c r="N119" i="2" s="1"/>
  <c r="M86" i="2"/>
  <c r="M103" i="2"/>
  <c r="M91" i="2"/>
  <c r="M114" i="2"/>
  <c r="M102" i="2"/>
  <c r="M54" i="2"/>
  <c r="N54" i="2" s="1"/>
  <c r="M95" i="2"/>
  <c r="M241" i="1" s="1"/>
  <c r="M74" i="2"/>
  <c r="M61" i="2"/>
  <c r="N61" i="2" s="1"/>
  <c r="M52" i="2"/>
  <c r="N52" i="2" s="1"/>
  <c r="M83" i="2"/>
  <c r="M64" i="2"/>
  <c r="N64" i="2" s="1"/>
  <c r="M93" i="2"/>
  <c r="M73" i="2"/>
  <c r="M71" i="2"/>
  <c r="M55" i="2"/>
  <c r="N55" i="2" s="1"/>
  <c r="M78" i="2"/>
  <c r="M62" i="2"/>
  <c r="N62" i="2" s="1"/>
  <c r="M48" i="2"/>
  <c r="M79" i="2"/>
  <c r="M53" i="2"/>
  <c r="N53" i="2" s="1"/>
  <c r="M105" i="2"/>
  <c r="M76" i="2"/>
  <c r="M75" i="2" s="1"/>
  <c r="M60" i="2"/>
  <c r="M65" i="2"/>
  <c r="N65" i="2" s="1"/>
  <c r="M72" i="2"/>
  <c r="M56" i="2"/>
  <c r="M35" i="2"/>
  <c r="N35" i="2" s="1"/>
  <c r="M21" i="2"/>
  <c r="N21" i="2" s="1"/>
  <c r="M9" i="2"/>
  <c r="N9" i="2" s="1"/>
  <c r="M49" i="2"/>
  <c r="N49" i="2" s="1"/>
  <c r="M40" i="2"/>
  <c r="N40" i="2" s="1"/>
  <c r="M26" i="2"/>
  <c r="N26" i="2" s="1"/>
  <c r="M14" i="2"/>
  <c r="N14" i="2" s="1"/>
  <c r="M45" i="2"/>
  <c r="N45" i="2" s="1"/>
  <c r="M33" i="2"/>
  <c r="M19" i="2"/>
  <c r="N19" i="2" s="1"/>
  <c r="M43" i="2"/>
  <c r="M51" i="2"/>
  <c r="N51" i="2" s="1"/>
  <c r="M36" i="2"/>
  <c r="N36" i="2" s="1"/>
  <c r="M22" i="2"/>
  <c r="N22" i="2" s="1"/>
  <c r="M10" i="2"/>
  <c r="N10" i="2" s="1"/>
  <c r="M41" i="2"/>
  <c r="N41" i="2" s="1"/>
  <c r="M27" i="2"/>
  <c r="N27" i="2" s="1"/>
  <c r="M15" i="2"/>
  <c r="N15" i="2" s="1"/>
  <c r="M34" i="2"/>
  <c r="N34" i="2" s="1"/>
  <c r="M20" i="2"/>
  <c r="N20" i="2" s="1"/>
  <c r="M39" i="2"/>
  <c r="M25" i="2"/>
  <c r="M63" i="2"/>
  <c r="M50" i="2"/>
  <c r="N50" i="2" s="1"/>
  <c r="M44" i="2"/>
  <c r="N44" i="2" s="1"/>
  <c r="M18" i="2"/>
  <c r="M37" i="2"/>
  <c r="N37" i="2" s="1"/>
  <c r="M23" i="2"/>
  <c r="M5" i="2"/>
  <c r="M13" i="2"/>
  <c r="N13" i="2" s="1"/>
  <c r="M8" i="2"/>
  <c r="N8" i="2" s="1"/>
  <c r="M16" i="2"/>
  <c r="N16" i="2" s="1"/>
  <c r="M12" i="2"/>
  <c r="M46" i="2"/>
  <c r="N46" i="2" s="1"/>
  <c r="M7" i="2"/>
  <c r="C211" i="1"/>
  <c r="AM214" i="1"/>
  <c r="AM217" i="1" s="1"/>
  <c r="H175" i="2"/>
  <c r="H161" i="2"/>
  <c r="I161" i="2" s="1"/>
  <c r="H184" i="2"/>
  <c r="H166" i="2"/>
  <c r="I166" i="2" s="1"/>
  <c r="H189" i="2"/>
  <c r="H173" i="2"/>
  <c r="H159" i="2"/>
  <c r="I159" i="2" s="1"/>
  <c r="H180" i="2"/>
  <c r="H187" i="2"/>
  <c r="H178" i="2"/>
  <c r="H185" i="2"/>
  <c r="H167" i="2"/>
  <c r="I167" i="2" s="1"/>
  <c r="H174" i="2"/>
  <c r="H181" i="2"/>
  <c r="H179" i="2"/>
  <c r="H170" i="2"/>
  <c r="H142" i="2"/>
  <c r="I142" i="2" s="1"/>
  <c r="H128" i="2"/>
  <c r="H164" i="2"/>
  <c r="I164" i="2" s="1"/>
  <c r="H149" i="2"/>
  <c r="H135" i="2"/>
  <c r="I135" i="2" s="1"/>
  <c r="H186" i="2"/>
  <c r="H162" i="2"/>
  <c r="I162" i="2" s="1"/>
  <c r="H156" i="2"/>
  <c r="I156" i="2" s="1"/>
  <c r="H145" i="2"/>
  <c r="I145" i="2" s="1"/>
  <c r="H172" i="2"/>
  <c r="H154" i="2"/>
  <c r="I154" i="2" s="1"/>
  <c r="H143" i="2"/>
  <c r="I143" i="2" s="1"/>
  <c r="H163" i="2"/>
  <c r="I163" i="2" s="1"/>
  <c r="H160" i="2"/>
  <c r="I160" i="2" s="1"/>
  <c r="H150" i="2"/>
  <c r="H136" i="2"/>
  <c r="I136" i="2" s="1"/>
  <c r="H188" i="2"/>
  <c r="H141" i="2"/>
  <c r="H151" i="2"/>
  <c r="I151" i="2" s="1"/>
  <c r="H137" i="2"/>
  <c r="I137" i="2" s="1"/>
  <c r="H119" i="2"/>
  <c r="I119" i="2" s="1"/>
  <c r="H133" i="2"/>
  <c r="I133" i="2" s="1"/>
  <c r="H112" i="2"/>
  <c r="I112" i="2" s="1"/>
  <c r="H124" i="2"/>
  <c r="I124" i="2" s="1"/>
  <c r="H117" i="2"/>
  <c r="I117" i="2" s="1"/>
  <c r="H148" i="2"/>
  <c r="I148" i="2" s="1"/>
  <c r="H139" i="2"/>
  <c r="I139" i="2" s="1"/>
  <c r="H122" i="2"/>
  <c r="I122" i="2" s="1"/>
  <c r="H165" i="2"/>
  <c r="I165" i="2" s="1"/>
  <c r="H115" i="2"/>
  <c r="I115" i="2" s="1"/>
  <c r="H155" i="2"/>
  <c r="I155" i="2" s="1"/>
  <c r="H134" i="2"/>
  <c r="I134" i="2" s="1"/>
  <c r="H171" i="2"/>
  <c r="H130" i="2"/>
  <c r="I130" i="2" s="1"/>
  <c r="H127" i="2"/>
  <c r="H144" i="2"/>
  <c r="I144" i="2" s="1"/>
  <c r="H123" i="2"/>
  <c r="H121" i="2"/>
  <c r="H140" i="2"/>
  <c r="H129" i="2"/>
  <c r="I129" i="2" s="1"/>
  <c r="H95" i="2"/>
  <c r="H241" i="1" s="1"/>
  <c r="H83" i="2"/>
  <c r="H111" i="2"/>
  <c r="H88" i="2"/>
  <c r="H76" i="2"/>
  <c r="H114" i="2"/>
  <c r="H105" i="2"/>
  <c r="H93" i="2"/>
  <c r="H118" i="2"/>
  <c r="I118" i="2" s="1"/>
  <c r="H86" i="2"/>
  <c r="H103" i="2"/>
  <c r="H91" i="2"/>
  <c r="H96" i="2"/>
  <c r="H113" i="2"/>
  <c r="I113" i="2" s="1"/>
  <c r="H99" i="2"/>
  <c r="H243" i="1" s="1"/>
  <c r="H87" i="2"/>
  <c r="H97" i="2"/>
  <c r="H102" i="2"/>
  <c r="H89" i="2"/>
  <c r="H53" i="2"/>
  <c r="I53" i="2" s="1"/>
  <c r="H60" i="2"/>
  <c r="H46" i="2"/>
  <c r="I46" i="2" s="1"/>
  <c r="H116" i="2"/>
  <c r="I116" i="2" s="1"/>
  <c r="H65" i="2"/>
  <c r="I65" i="2" s="1"/>
  <c r="H51" i="2"/>
  <c r="I51" i="2" s="1"/>
  <c r="H74" i="2"/>
  <c r="H72" i="2"/>
  <c r="H56" i="2"/>
  <c r="H94" i="2"/>
  <c r="H63" i="2"/>
  <c r="H54" i="2"/>
  <c r="I54" i="2" s="1"/>
  <c r="H61" i="2"/>
  <c r="I61" i="2" s="1"/>
  <c r="H82" i="2"/>
  <c r="H52" i="2"/>
  <c r="I52" i="2" s="1"/>
  <c r="H92" i="2"/>
  <c r="H79" i="2"/>
  <c r="H64" i="2"/>
  <c r="I64" i="2" s="1"/>
  <c r="H138" i="2"/>
  <c r="I138" i="2" s="1"/>
  <c r="H77" i="2"/>
  <c r="H73" i="2"/>
  <c r="H71" i="2"/>
  <c r="H55" i="2"/>
  <c r="I55" i="2" s="1"/>
  <c r="H34" i="2"/>
  <c r="I34" i="2" s="1"/>
  <c r="H20" i="2"/>
  <c r="I20" i="2" s="1"/>
  <c r="H8" i="2"/>
  <c r="I8" i="2" s="1"/>
  <c r="H39" i="2"/>
  <c r="H25" i="2"/>
  <c r="H13" i="2"/>
  <c r="I13" i="2" s="1"/>
  <c r="H62" i="2"/>
  <c r="I62" i="2" s="1"/>
  <c r="H44" i="2"/>
  <c r="I44" i="2" s="1"/>
  <c r="H18" i="2"/>
  <c r="H49" i="2"/>
  <c r="I49" i="2" s="1"/>
  <c r="H37" i="2"/>
  <c r="I37" i="2" s="1"/>
  <c r="H23" i="2"/>
  <c r="H28" i="2"/>
  <c r="I28" i="2" s="1"/>
  <c r="H16" i="2"/>
  <c r="I16" i="2" s="1"/>
  <c r="H78" i="2"/>
  <c r="H35" i="2"/>
  <c r="I35" i="2" s="1"/>
  <c r="H21" i="2"/>
  <c r="I21" i="2" s="1"/>
  <c r="H9" i="2"/>
  <c r="I9" i="2" s="1"/>
  <c r="H40" i="2"/>
  <c r="I40" i="2" s="1"/>
  <c r="H26" i="2"/>
  <c r="I26" i="2" s="1"/>
  <c r="H48" i="2"/>
  <c r="H45" i="2"/>
  <c r="I45" i="2" s="1"/>
  <c r="H33" i="2"/>
  <c r="H19" i="2"/>
  <c r="I19" i="2" s="1"/>
  <c r="H43" i="2"/>
  <c r="H36" i="2"/>
  <c r="I36" i="2" s="1"/>
  <c r="H22" i="2"/>
  <c r="I22" i="2" s="1"/>
  <c r="H12" i="2"/>
  <c r="H50" i="2"/>
  <c r="I50" i="2" s="1"/>
  <c r="H7" i="2"/>
  <c r="H15" i="2"/>
  <c r="I15" i="2" s="1"/>
  <c r="H27" i="2"/>
  <c r="I27" i="2" s="1"/>
  <c r="H5" i="2"/>
  <c r="H41" i="2"/>
  <c r="I41" i="2" s="1"/>
  <c r="H14" i="2"/>
  <c r="I14" i="2" s="1"/>
  <c r="T175" i="2"/>
  <c r="T161" i="2"/>
  <c r="T184" i="2"/>
  <c r="T166" i="2"/>
  <c r="T189" i="2"/>
  <c r="T173" i="2"/>
  <c r="T159" i="2"/>
  <c r="T180" i="2"/>
  <c r="X180" i="2" s="1"/>
  <c r="T187" i="2"/>
  <c r="T178" i="2"/>
  <c r="T185" i="2"/>
  <c r="T167" i="2"/>
  <c r="T174" i="2"/>
  <c r="T160" i="2"/>
  <c r="T181" i="2"/>
  <c r="T179" i="2"/>
  <c r="T186" i="2"/>
  <c r="T142" i="2"/>
  <c r="T128" i="2"/>
  <c r="T172" i="2"/>
  <c r="X172" i="2" s="1"/>
  <c r="T149" i="2"/>
  <c r="T135" i="2"/>
  <c r="T171" i="2"/>
  <c r="T156" i="2"/>
  <c r="T165" i="2"/>
  <c r="T145" i="2"/>
  <c r="T154" i="2"/>
  <c r="T188" i="2"/>
  <c r="T143" i="2"/>
  <c r="T170" i="2"/>
  <c r="T150" i="2"/>
  <c r="T136" i="2"/>
  <c r="T164" i="2"/>
  <c r="T162" i="2"/>
  <c r="T141" i="2"/>
  <c r="T250" i="1" s="1"/>
  <c r="T163" i="2"/>
  <c r="T151" i="2"/>
  <c r="T137" i="2"/>
  <c r="T127" i="2"/>
  <c r="T123" i="2"/>
  <c r="T119" i="2"/>
  <c r="T148" i="2"/>
  <c r="T138" i="2"/>
  <c r="T112" i="2"/>
  <c r="T134" i="2"/>
  <c r="T130" i="2"/>
  <c r="T129" i="2"/>
  <c r="T117" i="2"/>
  <c r="T122" i="2"/>
  <c r="T155" i="2"/>
  <c r="T144" i="2"/>
  <c r="T115" i="2"/>
  <c r="T140" i="2"/>
  <c r="T249" i="1" s="1"/>
  <c r="T124" i="2"/>
  <c r="T120" i="2"/>
  <c r="T133" i="2"/>
  <c r="T139" i="2"/>
  <c r="T121" i="2"/>
  <c r="T256" i="1" s="1"/>
  <c r="T95" i="2"/>
  <c r="T83" i="2"/>
  <c r="T113" i="2"/>
  <c r="T88" i="2"/>
  <c r="T76" i="2"/>
  <c r="T118" i="2"/>
  <c r="T116" i="2"/>
  <c r="T105" i="2"/>
  <c r="T93" i="2"/>
  <c r="T86" i="2"/>
  <c r="T103" i="2"/>
  <c r="T91" i="2"/>
  <c r="T96" i="2"/>
  <c r="T99" i="2"/>
  <c r="T87" i="2"/>
  <c r="T97" i="2"/>
  <c r="T102" i="2"/>
  <c r="T53" i="2"/>
  <c r="T94" i="2"/>
  <c r="T79" i="2"/>
  <c r="T73" i="2"/>
  <c r="T60" i="2"/>
  <c r="T46" i="2"/>
  <c r="T77" i="2"/>
  <c r="T65" i="2"/>
  <c r="T51" i="2"/>
  <c r="T78" i="2"/>
  <c r="T72" i="2"/>
  <c r="T56" i="2"/>
  <c r="U233" i="1" s="1"/>
  <c r="T63" i="2"/>
  <c r="T92" i="2"/>
  <c r="T54" i="2"/>
  <c r="T74" i="2"/>
  <c r="T61" i="2"/>
  <c r="T52" i="2"/>
  <c r="T111" i="2"/>
  <c r="T89" i="2"/>
  <c r="T64" i="2"/>
  <c r="T71" i="2"/>
  <c r="T55" i="2"/>
  <c r="T34" i="2"/>
  <c r="T20" i="2"/>
  <c r="T8" i="2"/>
  <c r="T62" i="2"/>
  <c r="T48" i="2"/>
  <c r="T47" i="2" s="1"/>
  <c r="U230" i="1" s="1"/>
  <c r="T39" i="2"/>
  <c r="T38" i="2" s="1"/>
  <c r="T25" i="2"/>
  <c r="T13" i="2"/>
  <c r="T44" i="2"/>
  <c r="T18" i="2"/>
  <c r="T37" i="2"/>
  <c r="T23" i="2"/>
  <c r="U232" i="1" s="1"/>
  <c r="T82" i="2"/>
  <c r="T28" i="2"/>
  <c r="T16" i="2"/>
  <c r="T50" i="2"/>
  <c r="T35" i="2"/>
  <c r="T21" i="2"/>
  <c r="T9" i="2"/>
  <c r="T40" i="2"/>
  <c r="T26" i="2"/>
  <c r="T114" i="2"/>
  <c r="T194" i="2" s="1"/>
  <c r="T45" i="2"/>
  <c r="T33" i="2"/>
  <c r="T19" i="2"/>
  <c r="T49" i="2"/>
  <c r="T43" i="2"/>
  <c r="T42" i="2" s="1"/>
  <c r="U229" i="1" s="1"/>
  <c r="T36" i="2"/>
  <c r="T22" i="2"/>
  <c r="T15" i="2"/>
  <c r="T10" i="2"/>
  <c r="T27" i="2"/>
  <c r="T12" i="2"/>
  <c r="T14" i="2"/>
  <c r="T7" i="2"/>
  <c r="T6" i="2" s="1"/>
  <c r="T5" i="2"/>
  <c r="T41" i="2"/>
  <c r="AF175" i="2"/>
  <c r="AF161" i="2"/>
  <c r="AF184" i="2"/>
  <c r="AF166" i="2"/>
  <c r="AF189" i="2"/>
  <c r="AF173" i="2"/>
  <c r="AF159" i="2"/>
  <c r="AF180" i="2"/>
  <c r="AF187" i="2"/>
  <c r="AF178" i="2"/>
  <c r="AF185" i="2"/>
  <c r="AF167" i="2"/>
  <c r="AF174" i="2"/>
  <c r="AF160" i="2"/>
  <c r="AF181" i="2"/>
  <c r="AF179" i="2"/>
  <c r="AF170" i="2"/>
  <c r="AF162" i="2"/>
  <c r="AF142" i="2"/>
  <c r="AF128" i="2"/>
  <c r="AF164" i="2"/>
  <c r="AF149" i="2"/>
  <c r="AF135" i="2"/>
  <c r="AF188" i="2"/>
  <c r="AF156" i="2"/>
  <c r="AF145" i="2"/>
  <c r="AF154" i="2"/>
  <c r="AF163" i="2"/>
  <c r="AF143" i="2"/>
  <c r="AF150" i="2"/>
  <c r="AF136" i="2"/>
  <c r="AF141" i="2"/>
  <c r="AF250" i="1" s="1"/>
  <c r="AF186" i="2"/>
  <c r="AF172" i="2"/>
  <c r="AF151" i="2"/>
  <c r="AF137" i="2"/>
  <c r="AF133" i="2"/>
  <c r="AF119" i="2"/>
  <c r="AF112" i="2"/>
  <c r="AF165" i="2"/>
  <c r="AF155" i="2"/>
  <c r="AF123" i="2"/>
  <c r="AF117" i="2"/>
  <c r="AF120" i="2" s="1"/>
  <c r="AF195" i="2" s="1"/>
  <c r="AF139" i="2"/>
  <c r="AF127" i="2"/>
  <c r="AF122" i="2"/>
  <c r="AF115" i="2"/>
  <c r="AF129" i="2"/>
  <c r="AF134" i="2"/>
  <c r="AF124" i="2"/>
  <c r="AF144" i="2"/>
  <c r="AF121" i="2"/>
  <c r="AF256" i="1" s="1"/>
  <c r="AF148" i="2"/>
  <c r="AF140" i="2"/>
  <c r="AF249" i="1" s="1"/>
  <c r="AF114" i="2"/>
  <c r="AF95" i="2"/>
  <c r="AF241" i="1" s="1"/>
  <c r="AF83" i="2"/>
  <c r="AF118" i="2"/>
  <c r="AF88" i="2"/>
  <c r="AK237" i="1" s="1"/>
  <c r="AF76" i="2"/>
  <c r="AF105" i="2"/>
  <c r="AF93" i="2"/>
  <c r="AF86" i="2"/>
  <c r="AF103" i="2"/>
  <c r="AF91" i="2"/>
  <c r="AF96" i="2"/>
  <c r="AF138" i="2"/>
  <c r="AF99" i="2"/>
  <c r="AF243" i="1" s="1"/>
  <c r="AF87" i="2"/>
  <c r="AK236" i="1" s="1"/>
  <c r="AF130" i="2"/>
  <c r="AF97" i="2"/>
  <c r="AF111" i="2"/>
  <c r="AF102" i="2"/>
  <c r="AF53" i="2"/>
  <c r="AF60" i="2"/>
  <c r="AF46" i="2"/>
  <c r="AF92" i="2"/>
  <c r="AF65" i="2"/>
  <c r="AF51" i="2"/>
  <c r="AF113" i="2"/>
  <c r="AF82" i="2"/>
  <c r="AF72" i="2"/>
  <c r="AF56" i="2"/>
  <c r="AG233" i="1" s="1"/>
  <c r="AF73" i="2"/>
  <c r="AF63" i="2"/>
  <c r="AF171" i="2"/>
  <c r="AF79" i="2"/>
  <c r="AF54" i="2"/>
  <c r="AF89" i="2"/>
  <c r="AK238" i="1" s="1"/>
  <c r="AF77" i="2"/>
  <c r="AF61" i="2"/>
  <c r="AF78" i="2"/>
  <c r="AF52" i="2"/>
  <c r="AF74" i="2"/>
  <c r="AF64" i="2"/>
  <c r="AF94" i="2"/>
  <c r="AF71" i="2"/>
  <c r="AF70" i="2" s="1"/>
  <c r="AF55" i="2"/>
  <c r="AF62" i="2"/>
  <c r="AF34" i="2"/>
  <c r="AF20" i="2"/>
  <c r="AF8" i="2"/>
  <c r="AF39" i="2"/>
  <c r="AF25" i="2"/>
  <c r="AF13" i="2"/>
  <c r="AF44" i="2"/>
  <c r="AF18" i="2"/>
  <c r="AF49" i="2"/>
  <c r="AF37" i="2"/>
  <c r="AF23" i="2"/>
  <c r="AG232" i="1" s="1"/>
  <c r="AF28" i="2"/>
  <c r="AF16" i="2"/>
  <c r="AF35" i="2"/>
  <c r="AF21" i="2"/>
  <c r="AF9" i="2"/>
  <c r="AF116" i="2"/>
  <c r="AF40" i="2"/>
  <c r="AF26" i="2"/>
  <c r="AF14" i="2"/>
  <c r="AF48" i="2"/>
  <c r="AF47" i="2" s="1"/>
  <c r="AG230" i="1" s="1"/>
  <c r="AF45" i="2"/>
  <c r="AF33" i="2"/>
  <c r="AF19" i="2"/>
  <c r="AF43" i="2"/>
  <c r="AF42" i="2" s="1"/>
  <c r="AG229" i="1" s="1"/>
  <c r="AF36" i="2"/>
  <c r="AF22" i="2"/>
  <c r="AF50" i="2"/>
  <c r="AF27" i="2"/>
  <c r="AF10" i="2"/>
  <c r="AF12" i="2"/>
  <c r="AF41" i="2"/>
  <c r="AF7" i="2"/>
  <c r="AF5" i="2"/>
  <c r="BD175" i="2"/>
  <c r="BD161" i="2"/>
  <c r="BD184" i="2"/>
  <c r="BD166" i="2"/>
  <c r="BD189" i="2"/>
  <c r="BD173" i="2"/>
  <c r="BD159" i="2"/>
  <c r="BD180" i="2"/>
  <c r="BD187" i="2"/>
  <c r="BD178" i="2"/>
  <c r="BD185" i="2"/>
  <c r="BD167" i="2"/>
  <c r="BD174" i="2"/>
  <c r="BD160" i="2"/>
  <c r="BD181" i="2"/>
  <c r="BD179" i="2"/>
  <c r="BD170" i="2"/>
  <c r="BD142" i="2"/>
  <c r="BD128" i="2"/>
  <c r="BD164" i="2"/>
  <c r="BD149" i="2"/>
  <c r="BD135" i="2"/>
  <c r="BD145" i="2"/>
  <c r="BD172" i="2"/>
  <c r="BD154" i="2"/>
  <c r="BD163" i="2"/>
  <c r="BD156" i="2"/>
  <c r="BD143" i="2"/>
  <c r="BD129" i="2"/>
  <c r="BD186" i="2"/>
  <c r="BD150" i="2"/>
  <c r="BD136" i="2"/>
  <c r="BD141" i="2"/>
  <c r="BD250" i="1" s="1"/>
  <c r="BD162" i="2"/>
  <c r="BD188" i="2"/>
  <c r="BD151" i="2"/>
  <c r="BD137" i="2"/>
  <c r="BD165" i="2"/>
  <c r="BD133" i="2"/>
  <c r="BD119" i="2"/>
  <c r="BD112" i="2"/>
  <c r="BD124" i="2"/>
  <c r="BD117" i="2"/>
  <c r="BD144" i="2"/>
  <c r="BD139" i="2"/>
  <c r="BD122" i="2"/>
  <c r="BD115" i="2"/>
  <c r="BD171" i="2"/>
  <c r="BD130" i="2"/>
  <c r="BD134" i="2"/>
  <c r="BD123" i="2"/>
  <c r="BD127" i="2"/>
  <c r="BD155" i="2"/>
  <c r="BD121" i="2"/>
  <c r="BD140" i="2"/>
  <c r="BD249" i="1" s="1"/>
  <c r="BD95" i="2"/>
  <c r="BD241" i="1" s="1"/>
  <c r="BD83" i="2"/>
  <c r="BD88" i="2"/>
  <c r="BD76" i="2"/>
  <c r="BD75" i="2" s="1"/>
  <c r="BD93" i="2"/>
  <c r="BD86" i="2"/>
  <c r="BD148" i="2"/>
  <c r="BD113" i="2"/>
  <c r="BD103" i="2"/>
  <c r="BD91" i="2"/>
  <c r="BD96" i="2"/>
  <c r="BD99" i="2"/>
  <c r="BD243" i="1" s="1"/>
  <c r="BD87" i="2"/>
  <c r="BD114" i="2"/>
  <c r="BD97" i="2"/>
  <c r="BD118" i="2"/>
  <c r="BD120" i="2" s="1"/>
  <c r="BD195" i="2" s="1"/>
  <c r="BD102" i="2"/>
  <c r="BD89" i="2"/>
  <c r="BD53" i="2"/>
  <c r="BD79" i="2"/>
  <c r="BD60" i="2"/>
  <c r="BD46" i="2"/>
  <c r="BD77" i="2"/>
  <c r="BD65" i="2"/>
  <c r="BD51" i="2"/>
  <c r="BD78" i="2"/>
  <c r="BD72" i="2"/>
  <c r="BD56" i="2"/>
  <c r="BE233" i="1" s="1"/>
  <c r="BD94" i="2"/>
  <c r="BD74" i="2"/>
  <c r="BD63" i="2"/>
  <c r="BD251" i="1" s="1"/>
  <c r="BD111" i="2"/>
  <c r="BD54" i="2"/>
  <c r="BD61" i="2"/>
  <c r="BD52" i="2"/>
  <c r="BD92" i="2"/>
  <c r="BD138" i="2"/>
  <c r="BD64" i="2"/>
  <c r="BD116" i="2"/>
  <c r="BD105" i="2"/>
  <c r="BD73" i="2"/>
  <c r="BD71" i="2"/>
  <c r="BD70" i="2" s="1"/>
  <c r="BD80" i="2" s="1"/>
  <c r="BD55" i="2"/>
  <c r="BD34" i="2"/>
  <c r="BD20" i="2"/>
  <c r="BD8" i="2"/>
  <c r="BD39" i="2"/>
  <c r="BD25" i="2"/>
  <c r="BD24" i="2" s="1"/>
  <c r="BD13" i="2"/>
  <c r="BD82" i="2"/>
  <c r="BD44" i="2"/>
  <c r="BD18" i="2"/>
  <c r="BD49" i="2"/>
  <c r="BD37" i="2"/>
  <c r="BD23" i="2"/>
  <c r="BE232" i="1" s="1"/>
  <c r="BD28" i="2"/>
  <c r="BD16" i="2"/>
  <c r="BD35" i="2"/>
  <c r="BD21" i="2"/>
  <c r="BD9" i="2"/>
  <c r="BD40" i="2"/>
  <c r="BD26" i="2"/>
  <c r="BD14" i="2"/>
  <c r="BD48" i="2"/>
  <c r="BD47" i="2" s="1"/>
  <c r="BE230" i="1" s="1"/>
  <c r="BD45" i="2"/>
  <c r="BD33" i="2"/>
  <c r="BD32" i="2" s="1"/>
  <c r="BD19" i="2"/>
  <c r="BD43" i="2"/>
  <c r="BD62" i="2"/>
  <c r="BD36" i="2"/>
  <c r="BD22" i="2"/>
  <c r="BD27" i="2"/>
  <c r="BD12" i="2"/>
  <c r="BD5" i="2"/>
  <c r="BD7" i="2"/>
  <c r="BD6" i="2" s="1"/>
  <c r="BD41" i="2"/>
  <c r="BD15" i="2"/>
  <c r="BG5" i="2"/>
  <c r="C11" i="4"/>
  <c r="C2" i="4"/>
  <c r="C12" i="4"/>
  <c r="C197" i="3"/>
  <c r="C160" i="3"/>
  <c r="C154" i="3"/>
  <c r="C143" i="3"/>
  <c r="C129" i="3"/>
  <c r="C90" i="3"/>
  <c r="C81" i="3"/>
  <c r="C3" i="3"/>
  <c r="C16" i="3"/>
  <c r="C303" i="1"/>
  <c r="C302" i="1"/>
  <c r="C1" i="2"/>
  <c r="C291" i="1"/>
  <c r="M28" i="2"/>
  <c r="N28" i="2" s="1"/>
  <c r="Y178" i="2"/>
  <c r="Y162" i="2"/>
  <c r="Y185" i="2"/>
  <c r="Y167" i="2"/>
  <c r="Y174" i="2"/>
  <c r="AC174" i="2" s="1"/>
  <c r="Y160" i="2"/>
  <c r="Y181" i="2"/>
  <c r="Y188" i="2"/>
  <c r="Y172" i="2"/>
  <c r="Y179" i="2"/>
  <c r="Y163" i="2"/>
  <c r="Y186" i="2"/>
  <c r="Y170" i="2"/>
  <c r="Y175" i="2"/>
  <c r="Y161" i="2"/>
  <c r="Y184" i="2"/>
  <c r="Y180" i="2"/>
  <c r="AC180" i="2" s="1"/>
  <c r="Y171" i="2"/>
  <c r="Y143" i="2"/>
  <c r="Y129" i="2"/>
  <c r="Y165" i="2"/>
  <c r="Y150" i="2"/>
  <c r="Y136" i="2"/>
  <c r="Y187" i="2"/>
  <c r="Y148" i="2"/>
  <c r="Y155" i="2"/>
  <c r="Y164" i="2"/>
  <c r="Y144" i="2"/>
  <c r="Y130" i="2"/>
  <c r="Y151" i="2"/>
  <c r="Y137" i="2"/>
  <c r="Y189" i="2"/>
  <c r="Y142" i="2"/>
  <c r="Y173" i="2"/>
  <c r="Y159" i="2"/>
  <c r="Y145" i="2"/>
  <c r="Y154" i="2"/>
  <c r="Y138" i="2"/>
  <c r="Y134" i="2"/>
  <c r="Y113" i="2"/>
  <c r="Y124" i="2"/>
  <c r="Y118" i="2"/>
  <c r="Y149" i="2"/>
  <c r="Y140" i="2"/>
  <c r="Y249" i="1" s="1"/>
  <c r="Y128" i="2"/>
  <c r="Y111" i="2"/>
  <c r="Y133" i="2"/>
  <c r="Y116" i="2"/>
  <c r="Y121" i="2"/>
  <c r="Y156" i="2"/>
  <c r="Y135" i="2"/>
  <c r="Y127" i="2"/>
  <c r="AC127" i="2" s="1"/>
  <c r="Y166" i="2"/>
  <c r="Y122" i="2"/>
  <c r="Y141" i="2"/>
  <c r="Y250" i="1" s="1"/>
  <c r="Y96" i="2"/>
  <c r="Y89" i="2"/>
  <c r="Y77" i="2"/>
  <c r="Y114" i="2"/>
  <c r="Y94" i="2"/>
  <c r="Y82" i="2"/>
  <c r="Y123" i="2"/>
  <c r="Y99" i="2"/>
  <c r="Y87" i="2"/>
  <c r="Y92" i="2"/>
  <c r="Y97" i="2"/>
  <c r="Y139" i="2"/>
  <c r="Y115" i="2"/>
  <c r="Y88" i="2"/>
  <c r="Y86" i="2"/>
  <c r="Y117" i="2"/>
  <c r="Y103" i="2"/>
  <c r="Y91" i="2"/>
  <c r="Y76" i="2"/>
  <c r="Y54" i="2"/>
  <c r="Y112" i="2"/>
  <c r="Y61" i="2"/>
  <c r="Y93" i="2"/>
  <c r="Y52" i="2"/>
  <c r="Y74" i="2"/>
  <c r="Y64" i="2"/>
  <c r="Y105" i="2"/>
  <c r="Y71" i="2"/>
  <c r="Y55" i="2"/>
  <c r="Y119" i="2"/>
  <c r="Y120" i="2" s="1"/>
  <c r="Y195" i="2" s="1"/>
  <c r="Y62" i="2"/>
  <c r="Y48" i="2"/>
  <c r="Y47" i="2" s="1"/>
  <c r="Z230" i="1" s="1"/>
  <c r="Y83" i="2"/>
  <c r="Y53" i="2"/>
  <c r="Y73" i="2"/>
  <c r="Y60" i="2"/>
  <c r="Y102" i="2"/>
  <c r="Y65" i="2"/>
  <c r="Y95" i="2"/>
  <c r="Y78" i="2"/>
  <c r="Y72" i="2"/>
  <c r="Y56" i="2"/>
  <c r="Z233" i="1" s="1"/>
  <c r="Y35" i="2"/>
  <c r="Y21" i="2"/>
  <c r="Y9" i="2"/>
  <c r="Y79" i="2"/>
  <c r="Y40" i="2"/>
  <c r="Y26" i="2"/>
  <c r="Y14" i="2"/>
  <c r="Y45" i="2"/>
  <c r="Y33" i="2"/>
  <c r="Y19" i="2"/>
  <c r="Y50" i="2"/>
  <c r="Y46" i="2"/>
  <c r="Y43" i="2"/>
  <c r="Y36" i="2"/>
  <c r="Y22" i="2"/>
  <c r="Y10" i="2"/>
  <c r="Y41" i="2"/>
  <c r="Y27" i="2"/>
  <c r="Y15" i="2"/>
  <c r="Y49" i="2"/>
  <c r="Y34" i="2"/>
  <c r="Y20" i="2"/>
  <c r="Y63" i="2"/>
  <c r="Y39" i="2"/>
  <c r="Y38" i="2" s="1"/>
  <c r="Y25" i="2"/>
  <c r="Y24" i="2" s="1"/>
  <c r="Y44" i="2"/>
  <c r="Y18" i="2"/>
  <c r="Y37" i="2"/>
  <c r="Y23" i="2"/>
  <c r="Z232" i="1" s="1"/>
  <c r="Y7" i="2"/>
  <c r="Y5" i="2"/>
  <c r="Y16" i="2"/>
  <c r="Y13" i="2"/>
  <c r="Y11" i="2" s="1"/>
  <c r="Y8" i="2"/>
  <c r="Y51" i="2"/>
  <c r="Y28" i="2"/>
  <c r="BF11" i="2"/>
  <c r="BG11" i="2" s="1"/>
  <c r="BG12" i="2"/>
  <c r="U184" i="2"/>
  <c r="U166" i="2"/>
  <c r="U189" i="2"/>
  <c r="U173" i="2"/>
  <c r="U159" i="2"/>
  <c r="U180" i="2"/>
  <c r="U164" i="2"/>
  <c r="U187" i="2"/>
  <c r="U178" i="2"/>
  <c r="U185" i="2"/>
  <c r="U167" i="2"/>
  <c r="U174" i="2"/>
  <c r="U160" i="2"/>
  <c r="U181" i="2"/>
  <c r="U165" i="2"/>
  <c r="U188" i="2"/>
  <c r="U186" i="2"/>
  <c r="U172" i="2"/>
  <c r="U149" i="2"/>
  <c r="U135" i="2"/>
  <c r="U171" i="2"/>
  <c r="U156" i="2"/>
  <c r="U140" i="2"/>
  <c r="U249" i="1" s="1"/>
  <c r="U124" i="2"/>
  <c r="U145" i="2"/>
  <c r="U161" i="2"/>
  <c r="U154" i="2"/>
  <c r="U175" i="2"/>
  <c r="U170" i="2"/>
  <c r="U150" i="2"/>
  <c r="U136" i="2"/>
  <c r="U162" i="2"/>
  <c r="U141" i="2"/>
  <c r="U250" i="1" s="1"/>
  <c r="U127" i="2"/>
  <c r="U148" i="2"/>
  <c r="U134" i="2"/>
  <c r="U163" i="2"/>
  <c r="U151" i="2"/>
  <c r="U142" i="2"/>
  <c r="U138" i="2"/>
  <c r="U112" i="2"/>
  <c r="U130" i="2"/>
  <c r="U129" i="2"/>
  <c r="U117" i="2"/>
  <c r="U122" i="2"/>
  <c r="U155" i="2"/>
  <c r="U144" i="2"/>
  <c r="U115" i="2"/>
  <c r="U137" i="2"/>
  <c r="U133" i="2"/>
  <c r="U113" i="2"/>
  <c r="U118" i="2"/>
  <c r="U179" i="2"/>
  <c r="U139" i="2"/>
  <c r="U121" i="2"/>
  <c r="U123" i="2"/>
  <c r="U119" i="2"/>
  <c r="U120" i="2" s="1"/>
  <c r="U195" i="2" s="1"/>
  <c r="U88" i="2"/>
  <c r="Z237" i="1" s="1"/>
  <c r="U76" i="2"/>
  <c r="U116" i="2"/>
  <c r="U105" i="2"/>
  <c r="U93" i="2"/>
  <c r="U86" i="2"/>
  <c r="U74" i="2"/>
  <c r="U103" i="2"/>
  <c r="U91" i="2"/>
  <c r="U90" i="2" s="1"/>
  <c r="U96" i="2"/>
  <c r="U128" i="2"/>
  <c r="U111" i="2"/>
  <c r="U89" i="2"/>
  <c r="Z238" i="1" s="1"/>
  <c r="U77" i="2"/>
  <c r="U114" i="2"/>
  <c r="U194" i="2" s="1"/>
  <c r="U92" i="2"/>
  <c r="U102" i="2"/>
  <c r="U101" i="2" s="1"/>
  <c r="U95" i="2"/>
  <c r="U241" i="1" s="1"/>
  <c r="U94" i="2"/>
  <c r="U79" i="2"/>
  <c r="U73" i="2"/>
  <c r="U60" i="2"/>
  <c r="U46" i="2"/>
  <c r="U87" i="2"/>
  <c r="Z236" i="1" s="1"/>
  <c r="U65" i="2"/>
  <c r="U51" i="2"/>
  <c r="U78" i="2"/>
  <c r="U72" i="2"/>
  <c r="U56" i="2"/>
  <c r="V233" i="1" s="1"/>
  <c r="U63" i="2"/>
  <c r="U251" i="1" s="1"/>
  <c r="U99" i="2"/>
  <c r="U243" i="1" s="1"/>
  <c r="U54" i="2"/>
  <c r="U61" i="2"/>
  <c r="U52" i="2"/>
  <c r="U143" i="2"/>
  <c r="U97" i="2"/>
  <c r="U64" i="2"/>
  <c r="U71" i="2"/>
  <c r="U55" i="2"/>
  <c r="U82" i="2"/>
  <c r="U62" i="2"/>
  <c r="U48" i="2"/>
  <c r="U39" i="2"/>
  <c r="U25" i="2"/>
  <c r="U13" i="2"/>
  <c r="U83" i="2"/>
  <c r="U44" i="2"/>
  <c r="U18" i="2"/>
  <c r="U37" i="2"/>
  <c r="U23" i="2"/>
  <c r="V232" i="1" s="1"/>
  <c r="U28" i="2"/>
  <c r="U16" i="2"/>
  <c r="U50" i="2"/>
  <c r="U35" i="2"/>
  <c r="U21" i="2"/>
  <c r="U40" i="2"/>
  <c r="U26" i="2"/>
  <c r="U14" i="2"/>
  <c r="U45" i="2"/>
  <c r="U33" i="2"/>
  <c r="U32" i="2" s="1"/>
  <c r="U19" i="2"/>
  <c r="U53" i="2"/>
  <c r="U49" i="2"/>
  <c r="U43" i="2"/>
  <c r="U36" i="2"/>
  <c r="U22" i="2"/>
  <c r="U41" i="2"/>
  <c r="U27" i="2"/>
  <c r="U15" i="2"/>
  <c r="AG184" i="2"/>
  <c r="AG166" i="2"/>
  <c r="AH166" i="2" s="1"/>
  <c r="AG189" i="2"/>
  <c r="AG173" i="2"/>
  <c r="AG159" i="2"/>
  <c r="AH159" i="2" s="1"/>
  <c r="AG180" i="2"/>
  <c r="AG164" i="2"/>
  <c r="AH164" i="2" s="1"/>
  <c r="AG187" i="2"/>
  <c r="AG178" i="2"/>
  <c r="AG185" i="2"/>
  <c r="AG167" i="2"/>
  <c r="AH167" i="2" s="1"/>
  <c r="AG174" i="2"/>
  <c r="AG160" i="2"/>
  <c r="AH160" i="2" s="1"/>
  <c r="AG181" i="2"/>
  <c r="AG165" i="2"/>
  <c r="AH165" i="2" s="1"/>
  <c r="AG188" i="2"/>
  <c r="AG186" i="2"/>
  <c r="AG149" i="2"/>
  <c r="AG135" i="2"/>
  <c r="AH135" i="2" s="1"/>
  <c r="AG140" i="2"/>
  <c r="AG124" i="2"/>
  <c r="AH124" i="2" s="1"/>
  <c r="AG175" i="2"/>
  <c r="AG156" i="2"/>
  <c r="AH156" i="2" s="1"/>
  <c r="AG145" i="2"/>
  <c r="AH145" i="2" s="1"/>
  <c r="AG154" i="2"/>
  <c r="AH154" i="2" s="1"/>
  <c r="AG163" i="2"/>
  <c r="AH163" i="2" s="1"/>
  <c r="AG150" i="2"/>
  <c r="AG136" i="2"/>
  <c r="AH136" i="2" s="1"/>
  <c r="AG141" i="2"/>
  <c r="AG127" i="2"/>
  <c r="AG179" i="2"/>
  <c r="AG171" i="2"/>
  <c r="AG148" i="2"/>
  <c r="AH148" i="2" s="1"/>
  <c r="AG134" i="2"/>
  <c r="AH134" i="2" s="1"/>
  <c r="AG151" i="2"/>
  <c r="AH151" i="2" s="1"/>
  <c r="AG170" i="2"/>
  <c r="AG162" i="2"/>
  <c r="AH162" i="2" s="1"/>
  <c r="AG142" i="2"/>
  <c r="AH142" i="2" s="1"/>
  <c r="AG112" i="2"/>
  <c r="AH112" i="2" s="1"/>
  <c r="AG155" i="2"/>
  <c r="AH155" i="2" s="1"/>
  <c r="AG143" i="2"/>
  <c r="AH143" i="2" s="1"/>
  <c r="AG123" i="2"/>
  <c r="AG117" i="2"/>
  <c r="AH117" i="2" s="1"/>
  <c r="AG139" i="2"/>
  <c r="AH139" i="2" s="1"/>
  <c r="AG122" i="2"/>
  <c r="AH122" i="2" s="1"/>
  <c r="AG115" i="2"/>
  <c r="AH115" i="2" s="1"/>
  <c r="AG172" i="2"/>
  <c r="AG129" i="2"/>
  <c r="AH129" i="2" s="1"/>
  <c r="AG113" i="2"/>
  <c r="AH113" i="2" s="1"/>
  <c r="AG138" i="2"/>
  <c r="AH138" i="2" s="1"/>
  <c r="AG130" i="2"/>
  <c r="AH130" i="2" s="1"/>
  <c r="AG118" i="2"/>
  <c r="AH118" i="2" s="1"/>
  <c r="AG161" i="2"/>
  <c r="AH161" i="2" s="1"/>
  <c r="AG144" i="2"/>
  <c r="AH144" i="2" s="1"/>
  <c r="AG121" i="2"/>
  <c r="AG137" i="2"/>
  <c r="AH137" i="2" s="1"/>
  <c r="AG128" i="2"/>
  <c r="AG133" i="2"/>
  <c r="AH133" i="2" s="1"/>
  <c r="AG119" i="2"/>
  <c r="AH119" i="2" s="1"/>
  <c r="AG88" i="2"/>
  <c r="AL237" i="1" s="1"/>
  <c r="AG76" i="2"/>
  <c r="AG75" i="2" s="1"/>
  <c r="AG105" i="2"/>
  <c r="AG93" i="2"/>
  <c r="AG86" i="2"/>
  <c r="AG74" i="2"/>
  <c r="AG103" i="2"/>
  <c r="AG91" i="2"/>
  <c r="AG90" i="2" s="1"/>
  <c r="AG96" i="2"/>
  <c r="AG89" i="2"/>
  <c r="AL238" i="1" s="1"/>
  <c r="AG77" i="2"/>
  <c r="AG116" i="2"/>
  <c r="AH116" i="2" s="1"/>
  <c r="AG92" i="2"/>
  <c r="AG111" i="2"/>
  <c r="AG102" i="2"/>
  <c r="AG101" i="2" s="1"/>
  <c r="AG114" i="2"/>
  <c r="AG95" i="2"/>
  <c r="AG241" i="1" s="1"/>
  <c r="AG60" i="2"/>
  <c r="AG46" i="2"/>
  <c r="AH46" i="2" s="1"/>
  <c r="AG99" i="2"/>
  <c r="AG243" i="1" s="1"/>
  <c r="AG65" i="2"/>
  <c r="AH65" i="2" s="1"/>
  <c r="AG51" i="2"/>
  <c r="AH51" i="2" s="1"/>
  <c r="AG82" i="2"/>
  <c r="AG72" i="2"/>
  <c r="AG56" i="2"/>
  <c r="AG83" i="2"/>
  <c r="AG73" i="2"/>
  <c r="AG63" i="2"/>
  <c r="AG79" i="2"/>
  <c r="AG54" i="2"/>
  <c r="AH54" i="2" s="1"/>
  <c r="AG97" i="2"/>
  <c r="AG61" i="2"/>
  <c r="AH61" i="2" s="1"/>
  <c r="AG78" i="2"/>
  <c r="AG52" i="2"/>
  <c r="AH52" i="2" s="1"/>
  <c r="AG64" i="2"/>
  <c r="AH64" i="2" s="1"/>
  <c r="AG94" i="2"/>
  <c r="AG71" i="2"/>
  <c r="AG55" i="2"/>
  <c r="AH55" i="2" s="1"/>
  <c r="AG87" i="2"/>
  <c r="AL236" i="1" s="1"/>
  <c r="AG62" i="2"/>
  <c r="AH62" i="2" s="1"/>
  <c r="AG39" i="2"/>
  <c r="AG25" i="2"/>
  <c r="AG13" i="2"/>
  <c r="AH13" i="2" s="1"/>
  <c r="AG53" i="2"/>
  <c r="AH53" i="2" s="1"/>
  <c r="AG44" i="2"/>
  <c r="AH44" i="2" s="1"/>
  <c r="AG18" i="2"/>
  <c r="AG49" i="2"/>
  <c r="AH49" i="2" s="1"/>
  <c r="AG37" i="2"/>
  <c r="AH37" i="2" s="1"/>
  <c r="AG23" i="2"/>
  <c r="AG28" i="2"/>
  <c r="AH28" i="2" s="1"/>
  <c r="AG16" i="2"/>
  <c r="AH16" i="2" s="1"/>
  <c r="AG35" i="2"/>
  <c r="AH35" i="2" s="1"/>
  <c r="AG21" i="2"/>
  <c r="AH21" i="2" s="1"/>
  <c r="AG40" i="2"/>
  <c r="AH40" i="2" s="1"/>
  <c r="AG26" i="2"/>
  <c r="AH26" i="2" s="1"/>
  <c r="AG14" i="2"/>
  <c r="AH14" i="2" s="1"/>
  <c r="AG48" i="2"/>
  <c r="AG45" i="2"/>
  <c r="AH45" i="2" s="1"/>
  <c r="AG33" i="2"/>
  <c r="AG19" i="2"/>
  <c r="AH19" i="2" s="1"/>
  <c r="AG43" i="2"/>
  <c r="AG36" i="2"/>
  <c r="AH36" i="2" s="1"/>
  <c r="AG22" i="2"/>
  <c r="AH22" i="2" s="1"/>
  <c r="AG50" i="2"/>
  <c r="AH50" i="2" s="1"/>
  <c r="AG41" i="2"/>
  <c r="AH41" i="2" s="1"/>
  <c r="AG27" i="2"/>
  <c r="AH27" i="2" s="1"/>
  <c r="AG15" i="2"/>
  <c r="AH15" i="2" s="1"/>
  <c r="AS184" i="2"/>
  <c r="AS166" i="2"/>
  <c r="AS189" i="2"/>
  <c r="AS173" i="2"/>
  <c r="AS159" i="2"/>
  <c r="AS180" i="2"/>
  <c r="AS164" i="2"/>
  <c r="AS187" i="2"/>
  <c r="AS178" i="2"/>
  <c r="AS185" i="2"/>
  <c r="AS167" i="2"/>
  <c r="AS174" i="2"/>
  <c r="AS160" i="2"/>
  <c r="AS181" i="2"/>
  <c r="AS165" i="2"/>
  <c r="AS188" i="2"/>
  <c r="AS186" i="2"/>
  <c r="AS175" i="2"/>
  <c r="AS149" i="2"/>
  <c r="AS135" i="2"/>
  <c r="AS171" i="2"/>
  <c r="AS161" i="2"/>
  <c r="AS140" i="2"/>
  <c r="AS249" i="1" s="1"/>
  <c r="AS124" i="2"/>
  <c r="AS145" i="2"/>
  <c r="AS156" i="2"/>
  <c r="AS154" i="2"/>
  <c r="AS162" i="2"/>
  <c r="AS179" i="2"/>
  <c r="AS170" i="2"/>
  <c r="AS150" i="2"/>
  <c r="AS136" i="2"/>
  <c r="AS172" i="2"/>
  <c r="AS141" i="2"/>
  <c r="AS250" i="1" s="1"/>
  <c r="AS127" i="2"/>
  <c r="AS148" i="2"/>
  <c r="AS134" i="2"/>
  <c r="AS163" i="2"/>
  <c r="AS151" i="2"/>
  <c r="AS142" i="2"/>
  <c r="AS138" i="2"/>
  <c r="AS112" i="2"/>
  <c r="AS128" i="2"/>
  <c r="AS117" i="2"/>
  <c r="AS120" i="2" s="1"/>
  <c r="AS195" i="2" s="1"/>
  <c r="AS122" i="2"/>
  <c r="AS115" i="2"/>
  <c r="AS137" i="2"/>
  <c r="AS123" i="2"/>
  <c r="AS144" i="2"/>
  <c r="AS133" i="2"/>
  <c r="AS113" i="2"/>
  <c r="AS118" i="2"/>
  <c r="AS139" i="2"/>
  <c r="AS129" i="2"/>
  <c r="AS121" i="2"/>
  <c r="AS256" i="1" s="1"/>
  <c r="AS155" i="2"/>
  <c r="AS130" i="2"/>
  <c r="AS119" i="2"/>
  <c r="AS88" i="2"/>
  <c r="AS76" i="2"/>
  <c r="AS116" i="2"/>
  <c r="AS93" i="2"/>
  <c r="AS86" i="2"/>
  <c r="AS74" i="2"/>
  <c r="AS111" i="2"/>
  <c r="AS105" i="2"/>
  <c r="AS103" i="2"/>
  <c r="AW103" i="2" s="1"/>
  <c r="AS91" i="2"/>
  <c r="AS114" i="2"/>
  <c r="AS194" i="2" s="1"/>
  <c r="AS96" i="2"/>
  <c r="AS89" i="2"/>
  <c r="AS77" i="2"/>
  <c r="AS143" i="2"/>
  <c r="AS92" i="2"/>
  <c r="AS102" i="2"/>
  <c r="AS95" i="2"/>
  <c r="AS60" i="2"/>
  <c r="AS46" i="2"/>
  <c r="AS65" i="2"/>
  <c r="AS51" i="2"/>
  <c r="AS97" i="2"/>
  <c r="AS72" i="2"/>
  <c r="AS56" i="2"/>
  <c r="AT233" i="1" s="1"/>
  <c r="AS63" i="2"/>
  <c r="AS54" i="2"/>
  <c r="AS61" i="2"/>
  <c r="AS94" i="2"/>
  <c r="AS82" i="2"/>
  <c r="AS73" i="2"/>
  <c r="AS52" i="2"/>
  <c r="AS87" i="2"/>
  <c r="AS83" i="2"/>
  <c r="AS79" i="2"/>
  <c r="AS64" i="2"/>
  <c r="AS71" i="2"/>
  <c r="AS55" i="2"/>
  <c r="AS99" i="2"/>
  <c r="AS78" i="2"/>
  <c r="AS62" i="2"/>
  <c r="AS48" i="2"/>
  <c r="AS39" i="2"/>
  <c r="AS25" i="2"/>
  <c r="AS13" i="2"/>
  <c r="AS44" i="2"/>
  <c r="AS18" i="2"/>
  <c r="AS37" i="2"/>
  <c r="AS23" i="2"/>
  <c r="AT232" i="1" s="1"/>
  <c r="AS28" i="2"/>
  <c r="AS16" i="2"/>
  <c r="AS50" i="2"/>
  <c r="AS35" i="2"/>
  <c r="AS21" i="2"/>
  <c r="AS40" i="2"/>
  <c r="AS26" i="2"/>
  <c r="AS14" i="2"/>
  <c r="AS45" i="2"/>
  <c r="AS33" i="2"/>
  <c r="AS19" i="2"/>
  <c r="AS53" i="2"/>
  <c r="AS49" i="2"/>
  <c r="AS43" i="2"/>
  <c r="AS36" i="2"/>
  <c r="AS22" i="2"/>
  <c r="AS41" i="2"/>
  <c r="AS27" i="2"/>
  <c r="AS15" i="2"/>
  <c r="BE184" i="2"/>
  <c r="BE166" i="2"/>
  <c r="BE189" i="2"/>
  <c r="BE173" i="2"/>
  <c r="BE159" i="2"/>
  <c r="BE180" i="2"/>
  <c r="BE164" i="2"/>
  <c r="BE187" i="2"/>
  <c r="BE178" i="2"/>
  <c r="BE185" i="2"/>
  <c r="BE167" i="2"/>
  <c r="BE174" i="2"/>
  <c r="BE160" i="2"/>
  <c r="BE181" i="2"/>
  <c r="BE165" i="2"/>
  <c r="BE188" i="2"/>
  <c r="BE186" i="2"/>
  <c r="BE149" i="2"/>
  <c r="BE135" i="2"/>
  <c r="BE140" i="2"/>
  <c r="BE249" i="1" s="1"/>
  <c r="BE124" i="2"/>
  <c r="BE145" i="2"/>
  <c r="BE179" i="2"/>
  <c r="BE172" i="2"/>
  <c r="BE154" i="2"/>
  <c r="BE163" i="2"/>
  <c r="BE156" i="2"/>
  <c r="BE150" i="2"/>
  <c r="BE136" i="2"/>
  <c r="BE161" i="2"/>
  <c r="BE141" i="2"/>
  <c r="BE250" i="1" s="1"/>
  <c r="BE127" i="2"/>
  <c r="BE171" i="2"/>
  <c r="BE148" i="2"/>
  <c r="BE134" i="2"/>
  <c r="BE175" i="2"/>
  <c r="BE151" i="2"/>
  <c r="BE170" i="2"/>
  <c r="BE142" i="2"/>
  <c r="BE112" i="2"/>
  <c r="BE143" i="2"/>
  <c r="BE129" i="2"/>
  <c r="BE117" i="2"/>
  <c r="BE162" i="2"/>
  <c r="BE144" i="2"/>
  <c r="BE139" i="2"/>
  <c r="BE122" i="2"/>
  <c r="BE115" i="2"/>
  <c r="BE130" i="2"/>
  <c r="BE128" i="2"/>
  <c r="BE113" i="2"/>
  <c r="BE138" i="2"/>
  <c r="BE118" i="2"/>
  <c r="BE120" i="2" s="1"/>
  <c r="BE195" i="2" s="1"/>
  <c r="BE155" i="2"/>
  <c r="BE121" i="2"/>
  <c r="BE137" i="2"/>
  <c r="BE133" i="2"/>
  <c r="BE119" i="2"/>
  <c r="BE88" i="2"/>
  <c r="BE76" i="2"/>
  <c r="BE75" i="2" s="1"/>
  <c r="BE123" i="2"/>
  <c r="BE93" i="2"/>
  <c r="BE86" i="2"/>
  <c r="BE74" i="2"/>
  <c r="BE103" i="2"/>
  <c r="BE91" i="2"/>
  <c r="BE96" i="2"/>
  <c r="BE89" i="2"/>
  <c r="BE77" i="2"/>
  <c r="BE116" i="2"/>
  <c r="BE111" i="2"/>
  <c r="BE92" i="2"/>
  <c r="BE102" i="2"/>
  <c r="BE101" i="2" s="1"/>
  <c r="BE95" i="2"/>
  <c r="BE241" i="1" s="1"/>
  <c r="BE83" i="2"/>
  <c r="BE79" i="2"/>
  <c r="BE60" i="2"/>
  <c r="BE46" i="2"/>
  <c r="BE65" i="2"/>
  <c r="BE51" i="2"/>
  <c r="BE78" i="2"/>
  <c r="BE72" i="2"/>
  <c r="BE56" i="2"/>
  <c r="BF233" i="1" s="1"/>
  <c r="BE94" i="2"/>
  <c r="BE63" i="2"/>
  <c r="BE87" i="2"/>
  <c r="BE54" i="2"/>
  <c r="BE61" i="2"/>
  <c r="BE52" i="2"/>
  <c r="BE99" i="2"/>
  <c r="BE243" i="1" s="1"/>
  <c r="BE114" i="2"/>
  <c r="BE64" i="2"/>
  <c r="BE105" i="2"/>
  <c r="BE73" i="2"/>
  <c r="BE71" i="2"/>
  <c r="BE70" i="2" s="1"/>
  <c r="BE55" i="2"/>
  <c r="BE82" i="2"/>
  <c r="BE62" i="2"/>
  <c r="BE39" i="2"/>
  <c r="BE25" i="2"/>
  <c r="BE13" i="2"/>
  <c r="BE11" i="2" s="1"/>
  <c r="BE53" i="2"/>
  <c r="BE44" i="2"/>
  <c r="BE18" i="2"/>
  <c r="BE49" i="2"/>
  <c r="BE37" i="2"/>
  <c r="BE23" i="2"/>
  <c r="BF232" i="1" s="1"/>
  <c r="BE28" i="2"/>
  <c r="BE16" i="2"/>
  <c r="BE35" i="2"/>
  <c r="BE21" i="2"/>
  <c r="BE40" i="2"/>
  <c r="BE26" i="2"/>
  <c r="BE14" i="2"/>
  <c r="BE48" i="2"/>
  <c r="BE45" i="2"/>
  <c r="BE33" i="2"/>
  <c r="BE19" i="2"/>
  <c r="BE97" i="2"/>
  <c r="BE43" i="2"/>
  <c r="BE42" i="2" s="1"/>
  <c r="BF229" i="1" s="1"/>
  <c r="BE36" i="2"/>
  <c r="BE22" i="2"/>
  <c r="BE50" i="2"/>
  <c r="BE41" i="2"/>
  <c r="BE27" i="2"/>
  <c r="BE15" i="2"/>
  <c r="AS5" i="2"/>
  <c r="AS7" i="2"/>
  <c r="AL8" i="2"/>
  <c r="AM8" i="2" s="1"/>
  <c r="P9" i="2"/>
  <c r="AE9" i="2"/>
  <c r="AN10" i="2"/>
  <c r="BE10" i="2"/>
  <c r="Z12" i="2"/>
  <c r="AQ12" i="2"/>
  <c r="AL13" i="2"/>
  <c r="AM13" i="2" s="1"/>
  <c r="G14" i="2"/>
  <c r="AG20" i="2"/>
  <c r="AH20" i="2" s="1"/>
  <c r="AY40" i="2"/>
  <c r="AD43" i="2"/>
  <c r="J189" i="2"/>
  <c r="J173" i="2"/>
  <c r="J159" i="2"/>
  <c r="J180" i="2"/>
  <c r="J164" i="2"/>
  <c r="J187" i="2"/>
  <c r="J171" i="2"/>
  <c r="J178" i="2"/>
  <c r="J185" i="2"/>
  <c r="J174" i="2"/>
  <c r="J181" i="2"/>
  <c r="J165" i="2"/>
  <c r="J188" i="2"/>
  <c r="J172" i="2"/>
  <c r="J179" i="2"/>
  <c r="J175" i="2"/>
  <c r="J162" i="2"/>
  <c r="J156" i="2"/>
  <c r="J140" i="2"/>
  <c r="J249" i="1" s="1"/>
  <c r="J124" i="2"/>
  <c r="J186" i="2"/>
  <c r="J145" i="2"/>
  <c r="J133" i="2"/>
  <c r="J167" i="2"/>
  <c r="J154" i="2"/>
  <c r="J163" i="2"/>
  <c r="J150" i="2"/>
  <c r="J160" i="2"/>
  <c r="J141" i="2"/>
  <c r="J250" i="1" s="1"/>
  <c r="J166" i="2"/>
  <c r="J148" i="2"/>
  <c r="J134" i="2"/>
  <c r="J155" i="2"/>
  <c r="J139" i="2"/>
  <c r="J170" i="2"/>
  <c r="J149" i="2"/>
  <c r="J135" i="2"/>
  <c r="J161" i="2"/>
  <c r="J151" i="2"/>
  <c r="J143" i="2"/>
  <c r="J117" i="2"/>
  <c r="J120" i="2" s="1"/>
  <c r="J195" i="2" s="1"/>
  <c r="J136" i="2"/>
  <c r="J122" i="2"/>
  <c r="J184" i="2"/>
  <c r="J128" i="2"/>
  <c r="J142" i="2"/>
  <c r="J113" i="2"/>
  <c r="J138" i="2"/>
  <c r="J118" i="2"/>
  <c r="J144" i="2"/>
  <c r="J127" i="2"/>
  <c r="J123" i="2"/>
  <c r="J121" i="2"/>
  <c r="J137" i="2"/>
  <c r="J129" i="2"/>
  <c r="J119" i="2"/>
  <c r="J114" i="2"/>
  <c r="J105" i="2"/>
  <c r="J93" i="2"/>
  <c r="J86" i="2"/>
  <c r="J74" i="2"/>
  <c r="J103" i="2"/>
  <c r="J91" i="2"/>
  <c r="J79" i="2"/>
  <c r="J96" i="2"/>
  <c r="J115" i="2"/>
  <c r="J89" i="2"/>
  <c r="J112" i="2"/>
  <c r="J94" i="2"/>
  <c r="J82" i="2"/>
  <c r="J97" i="2"/>
  <c r="J95" i="2"/>
  <c r="J130" i="2"/>
  <c r="J111" i="2"/>
  <c r="J88" i="2"/>
  <c r="J65" i="2"/>
  <c r="J51" i="2"/>
  <c r="J116" i="2"/>
  <c r="J72" i="2"/>
  <c r="J56" i="2"/>
  <c r="K233" i="1" s="1"/>
  <c r="J102" i="2"/>
  <c r="J63" i="2"/>
  <c r="J251" i="1" s="1"/>
  <c r="J49" i="2"/>
  <c r="J87" i="2"/>
  <c r="J61" i="2"/>
  <c r="J52" i="2"/>
  <c r="J99" i="2"/>
  <c r="J83" i="2"/>
  <c r="J92" i="2"/>
  <c r="J64" i="2"/>
  <c r="J50" i="2"/>
  <c r="J73" i="2"/>
  <c r="J71" i="2"/>
  <c r="J55" i="2"/>
  <c r="J78" i="2"/>
  <c r="J77" i="2"/>
  <c r="J62" i="2"/>
  <c r="J53" i="2"/>
  <c r="J44" i="2"/>
  <c r="J18" i="2"/>
  <c r="J37" i="2"/>
  <c r="J23" i="2"/>
  <c r="K232" i="1" s="1"/>
  <c r="J46" i="2"/>
  <c r="J28" i="2"/>
  <c r="J16" i="2"/>
  <c r="J35" i="2"/>
  <c r="J21" i="2"/>
  <c r="J40" i="2"/>
  <c r="J26" i="2"/>
  <c r="J14" i="2"/>
  <c r="J48" i="2"/>
  <c r="J47" i="2" s="1"/>
  <c r="K230" i="1" s="1"/>
  <c r="J45" i="2"/>
  <c r="J33" i="2"/>
  <c r="J19" i="2"/>
  <c r="J7" i="2"/>
  <c r="J43" i="2"/>
  <c r="J54" i="2"/>
  <c r="J36" i="2"/>
  <c r="J22" i="2"/>
  <c r="J41" i="2"/>
  <c r="J27" i="2"/>
  <c r="J15" i="2"/>
  <c r="J34" i="2"/>
  <c r="J20" i="2"/>
  <c r="V189" i="2"/>
  <c r="V173" i="2"/>
  <c r="V159" i="2"/>
  <c r="V180" i="2"/>
  <c r="V164" i="2"/>
  <c r="V187" i="2"/>
  <c r="V171" i="2"/>
  <c r="V178" i="2"/>
  <c r="V185" i="2"/>
  <c r="V174" i="2"/>
  <c r="V181" i="2"/>
  <c r="V165" i="2"/>
  <c r="V188" i="2"/>
  <c r="V172" i="2"/>
  <c r="V179" i="2"/>
  <c r="V175" i="2"/>
  <c r="V166" i="2"/>
  <c r="V156" i="2"/>
  <c r="V140" i="2"/>
  <c r="V249" i="1" s="1"/>
  <c r="V124" i="2"/>
  <c r="V145" i="2"/>
  <c r="V133" i="2"/>
  <c r="V161" i="2"/>
  <c r="V154" i="2"/>
  <c r="V170" i="2"/>
  <c r="V150" i="2"/>
  <c r="V162" i="2"/>
  <c r="V141" i="2"/>
  <c r="V250" i="1" s="1"/>
  <c r="V184" i="2"/>
  <c r="V148" i="2"/>
  <c r="V134" i="2"/>
  <c r="V155" i="2"/>
  <c r="V139" i="2"/>
  <c r="V160" i="2"/>
  <c r="V186" i="2"/>
  <c r="V149" i="2"/>
  <c r="V135" i="2"/>
  <c r="V163" i="2"/>
  <c r="V130" i="2"/>
  <c r="V129" i="2"/>
  <c r="V117" i="2"/>
  <c r="V122" i="2"/>
  <c r="V144" i="2"/>
  <c r="V137" i="2"/>
  <c r="V120" i="2"/>
  <c r="V195" i="2" s="1"/>
  <c r="V113" i="2"/>
  <c r="V167" i="2"/>
  <c r="V118" i="2"/>
  <c r="V143" i="2"/>
  <c r="V128" i="2"/>
  <c r="V121" i="2"/>
  <c r="V151" i="2"/>
  <c r="V142" i="2"/>
  <c r="V123" i="2"/>
  <c r="V119" i="2"/>
  <c r="V138" i="2"/>
  <c r="V127" i="2"/>
  <c r="V116" i="2"/>
  <c r="V105" i="2"/>
  <c r="V93" i="2"/>
  <c r="V136" i="2"/>
  <c r="V86" i="2"/>
  <c r="V74" i="2"/>
  <c r="V103" i="2"/>
  <c r="V91" i="2"/>
  <c r="V79" i="2"/>
  <c r="V96" i="2"/>
  <c r="V111" i="2"/>
  <c r="V89" i="2"/>
  <c r="AA238" i="1" s="1"/>
  <c r="V114" i="2"/>
  <c r="V194" i="2" s="1"/>
  <c r="V94" i="2"/>
  <c r="V82" i="2"/>
  <c r="V97" i="2"/>
  <c r="V112" i="2"/>
  <c r="V95" i="2"/>
  <c r="V241" i="1" s="1"/>
  <c r="V88" i="2"/>
  <c r="AA237" i="1" s="1"/>
  <c r="V87" i="2"/>
  <c r="AA236" i="1" s="1"/>
  <c r="V65" i="2"/>
  <c r="V51" i="2"/>
  <c r="V78" i="2"/>
  <c r="V77" i="2"/>
  <c r="V72" i="2"/>
  <c r="V56" i="2"/>
  <c r="W233" i="1" s="1"/>
  <c r="V63" i="2"/>
  <c r="V251" i="1" s="1"/>
  <c r="V49" i="2"/>
  <c r="V99" i="2"/>
  <c r="V243" i="1" s="1"/>
  <c r="V76" i="2"/>
  <c r="V54" i="2"/>
  <c r="V92" i="2"/>
  <c r="V61" i="2"/>
  <c r="V52" i="2"/>
  <c r="V115" i="2"/>
  <c r="V64" i="2"/>
  <c r="V50" i="2"/>
  <c r="V71" i="2"/>
  <c r="V55" i="2"/>
  <c r="V62" i="2"/>
  <c r="V83" i="2"/>
  <c r="V44" i="2"/>
  <c r="V18" i="2"/>
  <c r="V37" i="2"/>
  <c r="V23" i="2"/>
  <c r="W232" i="1" s="1"/>
  <c r="V102" i="2"/>
  <c r="V101" i="2" s="1"/>
  <c r="V28" i="2"/>
  <c r="V16" i="2"/>
  <c r="V35" i="2"/>
  <c r="V21" i="2"/>
  <c r="V40" i="2"/>
  <c r="V26" i="2"/>
  <c r="V14" i="2"/>
  <c r="V45" i="2"/>
  <c r="V33" i="2"/>
  <c r="V19" i="2"/>
  <c r="V7" i="2"/>
  <c r="V53" i="2"/>
  <c r="V46" i="2"/>
  <c r="V43" i="2"/>
  <c r="V42" i="2" s="1"/>
  <c r="W229" i="1" s="1"/>
  <c r="V73" i="2"/>
  <c r="V36" i="2"/>
  <c r="V22" i="2"/>
  <c r="V41" i="2"/>
  <c r="V27" i="2"/>
  <c r="V15" i="2"/>
  <c r="V60" i="2"/>
  <c r="V34" i="2"/>
  <c r="V20" i="2"/>
  <c r="AT189" i="2"/>
  <c r="AT173" i="2"/>
  <c r="AT159" i="2"/>
  <c r="AT180" i="2"/>
  <c r="AT164" i="2"/>
  <c r="AT187" i="2"/>
  <c r="AT171" i="2"/>
  <c r="AT178" i="2"/>
  <c r="AT185" i="2"/>
  <c r="AT174" i="2"/>
  <c r="AT181" i="2"/>
  <c r="AT165" i="2"/>
  <c r="AT188" i="2"/>
  <c r="AT172" i="2"/>
  <c r="AT179" i="2"/>
  <c r="AT175" i="2"/>
  <c r="AT166" i="2"/>
  <c r="AT161" i="2"/>
  <c r="AT140" i="2"/>
  <c r="AT249" i="1" s="1"/>
  <c r="AT124" i="2"/>
  <c r="AT145" i="2"/>
  <c r="AT133" i="2"/>
  <c r="AT184" i="2"/>
  <c r="AT156" i="2"/>
  <c r="AT154" i="2"/>
  <c r="AT162" i="2"/>
  <c r="AT170" i="2"/>
  <c r="AT150" i="2"/>
  <c r="AT141" i="2"/>
  <c r="AT250" i="1" s="1"/>
  <c r="AT148" i="2"/>
  <c r="AT134" i="2"/>
  <c r="AT186" i="2"/>
  <c r="AT155" i="2"/>
  <c r="AT139" i="2"/>
  <c r="AT149" i="2"/>
  <c r="AT135" i="2"/>
  <c r="AT128" i="2"/>
  <c r="AT117" i="2"/>
  <c r="AT160" i="2"/>
  <c r="AT122" i="2"/>
  <c r="AT167" i="2"/>
  <c r="AT137" i="2"/>
  <c r="AT123" i="2"/>
  <c r="AT120" i="2"/>
  <c r="AT195" i="2" s="1"/>
  <c r="AT144" i="2"/>
  <c r="AT113" i="2"/>
  <c r="AT127" i="2"/>
  <c r="AT118" i="2"/>
  <c r="AT151" i="2"/>
  <c r="AT143" i="2"/>
  <c r="AT121" i="2"/>
  <c r="AT256" i="1" s="1"/>
  <c r="AT163" i="2"/>
  <c r="AT142" i="2"/>
  <c r="AT130" i="2"/>
  <c r="AT119" i="2"/>
  <c r="AT138" i="2"/>
  <c r="AT136" i="2"/>
  <c r="AT129" i="2"/>
  <c r="AT116" i="2"/>
  <c r="AT93" i="2"/>
  <c r="AT86" i="2"/>
  <c r="AT74" i="2"/>
  <c r="AT111" i="2"/>
  <c r="AT105" i="2"/>
  <c r="AT103" i="2"/>
  <c r="AT91" i="2"/>
  <c r="AT79" i="2"/>
  <c r="AT114" i="2"/>
  <c r="AT194" i="2" s="1"/>
  <c r="AT96" i="2"/>
  <c r="AT89" i="2"/>
  <c r="AY238" i="1" s="1"/>
  <c r="AT94" i="2"/>
  <c r="AT82" i="2"/>
  <c r="AT112" i="2"/>
  <c r="AT97" i="2"/>
  <c r="AT95" i="2"/>
  <c r="AT241" i="1" s="1"/>
  <c r="AT88" i="2"/>
  <c r="AY237" i="1" s="1"/>
  <c r="AT65" i="2"/>
  <c r="AT51" i="2"/>
  <c r="AT72" i="2"/>
  <c r="AT56" i="2"/>
  <c r="AU233" i="1" s="1"/>
  <c r="AT63" i="2"/>
  <c r="AT251" i="1" s="1"/>
  <c r="AT49" i="2"/>
  <c r="AT115" i="2"/>
  <c r="AT54" i="2"/>
  <c r="AT61" i="2"/>
  <c r="AT102" i="2"/>
  <c r="AT101" i="2" s="1"/>
  <c r="AT73" i="2"/>
  <c r="AT52" i="2"/>
  <c r="AT87" i="2"/>
  <c r="AY236" i="1" s="1"/>
  <c r="AT83" i="2"/>
  <c r="AT64" i="2"/>
  <c r="AT50" i="2"/>
  <c r="AT71" i="2"/>
  <c r="AT55" i="2"/>
  <c r="AT99" i="2"/>
  <c r="AT243" i="1" s="1"/>
  <c r="AT78" i="2"/>
  <c r="AT77" i="2"/>
  <c r="AT62" i="2"/>
  <c r="AT92" i="2"/>
  <c r="AT44" i="2"/>
  <c r="AT18" i="2"/>
  <c r="AT37" i="2"/>
  <c r="AT23" i="2"/>
  <c r="AU232" i="1" s="1"/>
  <c r="AT28" i="2"/>
  <c r="AT16" i="2"/>
  <c r="AT35" i="2"/>
  <c r="AT21" i="2"/>
  <c r="AT40" i="2"/>
  <c r="AT26" i="2"/>
  <c r="AT24" i="2" s="1"/>
  <c r="AT14" i="2"/>
  <c r="AT45" i="2"/>
  <c r="AT33" i="2"/>
  <c r="AT32" i="2" s="1"/>
  <c r="AT19" i="2"/>
  <c r="AT7" i="2"/>
  <c r="AT53" i="2"/>
  <c r="AT46" i="2"/>
  <c r="AT43" i="2"/>
  <c r="AT60" i="2"/>
  <c r="AT36" i="2"/>
  <c r="AT22" i="2"/>
  <c r="AT76" i="2"/>
  <c r="AT41" i="2"/>
  <c r="AT27" i="2"/>
  <c r="AT15" i="2"/>
  <c r="AT34" i="2"/>
  <c r="AT20" i="2"/>
  <c r="BF189" i="2"/>
  <c r="BF173" i="2"/>
  <c r="BF159" i="2"/>
  <c r="BG159" i="2" s="1"/>
  <c r="BF180" i="2"/>
  <c r="BF164" i="2"/>
  <c r="BG164" i="2" s="1"/>
  <c r="BF187" i="2"/>
  <c r="BF171" i="2"/>
  <c r="BF178" i="2"/>
  <c r="BF185" i="2"/>
  <c r="BF174" i="2"/>
  <c r="BF181" i="2"/>
  <c r="BF165" i="2"/>
  <c r="BG165" i="2" s="1"/>
  <c r="BF188" i="2"/>
  <c r="BF172" i="2"/>
  <c r="BF179" i="2"/>
  <c r="BF175" i="2"/>
  <c r="BF184" i="2"/>
  <c r="BF140" i="2"/>
  <c r="BF124" i="2"/>
  <c r="BG124" i="2" s="1"/>
  <c r="BF160" i="2"/>
  <c r="BG160" i="2" s="1"/>
  <c r="BF145" i="2"/>
  <c r="BG145" i="2" s="1"/>
  <c r="BF133" i="2"/>
  <c r="BG133" i="2" s="1"/>
  <c r="BF167" i="2"/>
  <c r="BG167" i="2" s="1"/>
  <c r="BF154" i="2"/>
  <c r="BG154" i="2" s="1"/>
  <c r="BF163" i="2"/>
  <c r="BG163" i="2" s="1"/>
  <c r="BF156" i="2"/>
  <c r="BG156" i="2" s="1"/>
  <c r="BF150" i="2"/>
  <c r="BF186" i="2"/>
  <c r="BF161" i="2"/>
  <c r="BG161" i="2" s="1"/>
  <c r="BF141" i="2"/>
  <c r="BF166" i="2"/>
  <c r="BG166" i="2" s="1"/>
  <c r="BF148" i="2"/>
  <c r="BG148" i="2" s="1"/>
  <c r="BF134" i="2"/>
  <c r="BG134" i="2" s="1"/>
  <c r="BF155" i="2"/>
  <c r="BG155" i="2" s="1"/>
  <c r="BF139" i="2"/>
  <c r="BG139" i="2" s="1"/>
  <c r="BF170" i="2"/>
  <c r="BF149" i="2"/>
  <c r="BF135" i="2"/>
  <c r="BG135" i="2" s="1"/>
  <c r="BF143" i="2"/>
  <c r="BG143" i="2" s="1"/>
  <c r="BF129" i="2"/>
  <c r="BG129" i="2" s="1"/>
  <c r="BF117" i="2"/>
  <c r="BG117" i="2" s="1"/>
  <c r="BF162" i="2"/>
  <c r="BG162" i="2" s="1"/>
  <c r="BF144" i="2"/>
  <c r="BG144" i="2" s="1"/>
  <c r="BF136" i="2"/>
  <c r="BG136" i="2" s="1"/>
  <c r="BF122" i="2"/>
  <c r="BG122" i="2" s="1"/>
  <c r="BF130" i="2"/>
  <c r="BG130" i="2" s="1"/>
  <c r="BF128" i="2"/>
  <c r="BF151" i="2"/>
  <c r="BG151" i="2" s="1"/>
  <c r="BF142" i="2"/>
  <c r="BG142" i="2" s="1"/>
  <c r="BF113" i="2"/>
  <c r="BG113" i="2" s="1"/>
  <c r="BF138" i="2"/>
  <c r="BG138" i="2" s="1"/>
  <c r="BF118" i="2"/>
  <c r="BG118" i="2" s="1"/>
  <c r="BF123" i="2"/>
  <c r="BF127" i="2"/>
  <c r="BF121" i="2"/>
  <c r="BF137" i="2"/>
  <c r="BG137" i="2" s="1"/>
  <c r="BF119" i="2"/>
  <c r="BG119" i="2" s="1"/>
  <c r="BF115" i="2"/>
  <c r="BG115" i="2" s="1"/>
  <c r="BF93" i="2"/>
  <c r="BF112" i="2"/>
  <c r="BG112" i="2" s="1"/>
  <c r="BF86" i="2"/>
  <c r="BF74" i="2"/>
  <c r="BF103" i="2"/>
  <c r="BF91" i="2"/>
  <c r="BF79" i="2"/>
  <c r="BF96" i="2"/>
  <c r="BF89" i="2"/>
  <c r="BF105" i="2"/>
  <c r="BF94" i="2"/>
  <c r="BF82" i="2"/>
  <c r="BF114" i="2"/>
  <c r="BF97" i="2"/>
  <c r="BF95" i="2"/>
  <c r="BF241" i="1" s="1"/>
  <c r="BF83" i="2"/>
  <c r="BF88" i="2"/>
  <c r="BF65" i="2"/>
  <c r="BG65" i="2" s="1"/>
  <c r="BF51" i="2"/>
  <c r="BG51" i="2" s="1"/>
  <c r="BF78" i="2"/>
  <c r="BF77" i="2"/>
  <c r="BF72" i="2"/>
  <c r="BF56" i="2"/>
  <c r="BG56" i="2" s="1"/>
  <c r="BF102" i="2"/>
  <c r="BF101" i="2" s="1"/>
  <c r="BF63" i="2"/>
  <c r="BF49" i="2"/>
  <c r="BG49" i="2" s="1"/>
  <c r="BF87" i="2"/>
  <c r="BF76" i="2"/>
  <c r="BF54" i="2"/>
  <c r="BG54" i="2" s="1"/>
  <c r="BF111" i="2"/>
  <c r="BF61" i="2"/>
  <c r="BG61" i="2" s="1"/>
  <c r="BF52" i="2"/>
  <c r="BG52" i="2" s="1"/>
  <c r="BF99" i="2"/>
  <c r="BF243" i="1" s="1"/>
  <c r="BF92" i="2"/>
  <c r="BF64" i="2"/>
  <c r="BG64" i="2" s="1"/>
  <c r="BF50" i="2"/>
  <c r="BG50" i="2" s="1"/>
  <c r="BF73" i="2"/>
  <c r="BF71" i="2"/>
  <c r="BF55" i="2"/>
  <c r="BG55" i="2" s="1"/>
  <c r="BF116" i="2"/>
  <c r="BG116" i="2" s="1"/>
  <c r="BF62" i="2"/>
  <c r="BG62" i="2" s="1"/>
  <c r="BF53" i="2"/>
  <c r="BG53" i="2" s="1"/>
  <c r="BF44" i="2"/>
  <c r="BG44" i="2" s="1"/>
  <c r="BF18" i="2"/>
  <c r="BF46" i="2"/>
  <c r="BG46" i="2" s="1"/>
  <c r="BF37" i="2"/>
  <c r="BG37" i="2" s="1"/>
  <c r="BF23" i="2"/>
  <c r="BG23" i="2" s="1"/>
  <c r="BF28" i="2"/>
  <c r="BG28" i="2" s="1"/>
  <c r="BF16" i="2"/>
  <c r="BG16" i="2" s="1"/>
  <c r="BF35" i="2"/>
  <c r="BG35" i="2" s="1"/>
  <c r="BF21" i="2"/>
  <c r="BG21" i="2" s="1"/>
  <c r="BF40" i="2"/>
  <c r="BG40" i="2" s="1"/>
  <c r="BF26" i="2"/>
  <c r="BG26" i="2" s="1"/>
  <c r="BF14" i="2"/>
  <c r="BG14" i="2" s="1"/>
  <c r="BF48" i="2"/>
  <c r="BF45" i="2"/>
  <c r="BG45" i="2" s="1"/>
  <c r="BF33" i="2"/>
  <c r="BF19" i="2"/>
  <c r="BG19" i="2" s="1"/>
  <c r="BF7" i="2"/>
  <c r="BF60" i="2"/>
  <c r="BF43" i="2"/>
  <c r="BF36" i="2"/>
  <c r="BG36" i="2" s="1"/>
  <c r="BF22" i="2"/>
  <c r="BG22" i="2" s="1"/>
  <c r="BF41" i="2"/>
  <c r="BG41" i="2" s="1"/>
  <c r="BF27" i="2"/>
  <c r="BG27" i="2" s="1"/>
  <c r="BF15" i="2"/>
  <c r="BG15" i="2" s="1"/>
  <c r="BF34" i="2"/>
  <c r="BG34" i="2" s="1"/>
  <c r="BF20" i="2"/>
  <c r="BG20" i="2" s="1"/>
  <c r="R5" i="2"/>
  <c r="AT5" i="2"/>
  <c r="W6" i="2"/>
  <c r="X6" i="2" s="1"/>
  <c r="P7" i="2"/>
  <c r="AE7" i="2"/>
  <c r="AN8" i="2"/>
  <c r="BE8" i="2"/>
  <c r="AG9" i="2"/>
  <c r="AH9" i="2" s="1"/>
  <c r="AX9" i="2"/>
  <c r="J10" i="2"/>
  <c r="Z10" i="2"/>
  <c r="AQ10" i="2"/>
  <c r="AR10" i="2" s="1"/>
  <c r="BF10" i="2"/>
  <c r="BG10" i="2" s="1"/>
  <c r="E13" i="2"/>
  <c r="V13" i="2"/>
  <c r="AS20" i="2"/>
  <c r="BF25" i="2"/>
  <c r="P33" i="2"/>
  <c r="AP43" i="2"/>
  <c r="J76" i="2"/>
  <c r="R9" i="2"/>
  <c r="S9" i="2" s="1"/>
  <c r="AY9" i="2"/>
  <c r="AA10" i="2"/>
  <c r="AD12" i="2"/>
  <c r="AD11" i="2" s="1"/>
  <c r="AS12" i="2"/>
  <c r="F13" i="2"/>
  <c r="AP13" i="2"/>
  <c r="AP11" i="2" s="1"/>
  <c r="AQ14" i="2"/>
  <c r="AR14" i="2" s="1"/>
  <c r="X18" i="2"/>
  <c r="BE20" i="2"/>
  <c r="O26" i="2"/>
  <c r="AB33" i="2"/>
  <c r="G36" i="2"/>
  <c r="R52" i="2"/>
  <c r="S52" i="2" s="1"/>
  <c r="AG7" i="2"/>
  <c r="AW7" i="2"/>
  <c r="Z8" i="2"/>
  <c r="AZ9" i="2"/>
  <c r="AS10" i="2"/>
  <c r="AE12" i="2"/>
  <c r="AT12" i="2"/>
  <c r="G13" i="2"/>
  <c r="G11" i="2" s="1"/>
  <c r="AQ13" i="2"/>
  <c r="AR13" i="2" s="1"/>
  <c r="AN33" i="2"/>
  <c r="AP52" i="2"/>
  <c r="J13" i="2"/>
  <c r="J11" i="2" s="1"/>
  <c r="AT13" i="2"/>
  <c r="O14" i="2"/>
  <c r="AE36" i="2"/>
  <c r="J39" i="2"/>
  <c r="J38" i="2" s="1"/>
  <c r="AD94" i="2"/>
  <c r="Z185" i="2"/>
  <c r="Z167" i="2"/>
  <c r="Z174" i="2"/>
  <c r="Z160" i="2"/>
  <c r="Z181" i="2"/>
  <c r="Z165" i="2"/>
  <c r="Z188" i="2"/>
  <c r="Z172" i="2"/>
  <c r="Z179" i="2"/>
  <c r="Z186" i="2"/>
  <c r="Z170" i="2"/>
  <c r="Z175" i="2"/>
  <c r="Z161" i="2"/>
  <c r="Z184" i="2"/>
  <c r="Z166" i="2"/>
  <c r="Z189" i="2"/>
  <c r="Z187" i="2"/>
  <c r="Z150" i="2"/>
  <c r="Z136" i="2"/>
  <c r="Z141" i="2"/>
  <c r="Z250" i="1" s="1"/>
  <c r="Z127" i="2"/>
  <c r="Z148" i="2"/>
  <c r="Z155" i="2"/>
  <c r="Z164" i="2"/>
  <c r="Z162" i="2"/>
  <c r="Z151" i="2"/>
  <c r="Z137" i="2"/>
  <c r="Z178" i="2"/>
  <c r="Z142" i="2"/>
  <c r="Z128" i="2"/>
  <c r="Z149" i="2"/>
  <c r="Z135" i="2"/>
  <c r="Z154" i="2"/>
  <c r="Z180" i="2"/>
  <c r="Z171" i="2"/>
  <c r="Z143" i="2"/>
  <c r="Z113" i="2"/>
  <c r="Z144" i="2"/>
  <c r="Z124" i="2"/>
  <c r="Z118" i="2"/>
  <c r="Z173" i="2"/>
  <c r="Z140" i="2"/>
  <c r="Z249" i="1" s="1"/>
  <c r="Z133" i="2"/>
  <c r="Z116" i="2"/>
  <c r="Z121" i="2"/>
  <c r="Z156" i="2"/>
  <c r="Z114" i="2"/>
  <c r="Z139" i="2"/>
  <c r="Z123" i="2"/>
  <c r="Z119" i="2"/>
  <c r="Z122" i="2"/>
  <c r="Z159" i="2"/>
  <c r="Z145" i="2"/>
  <c r="Z138" i="2"/>
  <c r="Z129" i="2"/>
  <c r="Z163" i="2"/>
  <c r="Z134" i="2"/>
  <c r="Z130" i="2"/>
  <c r="Z89" i="2"/>
  <c r="AE238" i="1" s="1"/>
  <c r="Z77" i="2"/>
  <c r="Z94" i="2"/>
  <c r="Z82" i="2"/>
  <c r="Z99" i="2"/>
  <c r="Z243" i="1" s="1"/>
  <c r="Z87" i="2"/>
  <c r="AE236" i="1" s="1"/>
  <c r="Z111" i="2"/>
  <c r="Z92" i="2"/>
  <c r="Z97" i="2"/>
  <c r="Z102" i="2"/>
  <c r="Z78" i="2"/>
  <c r="Z105" i="2"/>
  <c r="Z93" i="2"/>
  <c r="Z117" i="2"/>
  <c r="Z120" i="2" s="1"/>
  <c r="Z195" i="2" s="1"/>
  <c r="Z103" i="2"/>
  <c r="Z91" i="2"/>
  <c r="Z96" i="2"/>
  <c r="Z112" i="2"/>
  <c r="Z61" i="2"/>
  <c r="Z52" i="2"/>
  <c r="Z86" i="2"/>
  <c r="Z74" i="2"/>
  <c r="Z64" i="2"/>
  <c r="Z71" i="2"/>
  <c r="Z55" i="2"/>
  <c r="Z115" i="2"/>
  <c r="Z62" i="2"/>
  <c r="Z48" i="2"/>
  <c r="Z83" i="2"/>
  <c r="Z53" i="2"/>
  <c r="Z73" i="2"/>
  <c r="Z60" i="2"/>
  <c r="Z46" i="2"/>
  <c r="Z65" i="2"/>
  <c r="Z95" i="2"/>
  <c r="Z241" i="1" s="1"/>
  <c r="Z72" i="2"/>
  <c r="Z56" i="2"/>
  <c r="AA233" i="1" s="1"/>
  <c r="Z88" i="2"/>
  <c r="AE237" i="1" s="1"/>
  <c r="Z79" i="2"/>
  <c r="Z63" i="2"/>
  <c r="Z251" i="1" s="1"/>
  <c r="Z40" i="2"/>
  <c r="Z26" i="2"/>
  <c r="Z14" i="2"/>
  <c r="Z45" i="2"/>
  <c r="Z33" i="2"/>
  <c r="Z19" i="2"/>
  <c r="Z7" i="2"/>
  <c r="Z50" i="2"/>
  <c r="Z43" i="2"/>
  <c r="Z54" i="2"/>
  <c r="Z36" i="2"/>
  <c r="Z22" i="2"/>
  <c r="Z41" i="2"/>
  <c r="Z27" i="2"/>
  <c r="Z15" i="2"/>
  <c r="Z49" i="2"/>
  <c r="Z34" i="2"/>
  <c r="Z20" i="2"/>
  <c r="Z39" i="2"/>
  <c r="Z38" i="2" s="1"/>
  <c r="Z25" i="2"/>
  <c r="Z44" i="2"/>
  <c r="Z18" i="2"/>
  <c r="Z37" i="2"/>
  <c r="Z23" i="2"/>
  <c r="AA232" i="1" s="1"/>
  <c r="Z76" i="2"/>
  <c r="Z51" i="2"/>
  <c r="Z28" i="2"/>
  <c r="Z16" i="2"/>
  <c r="AL185" i="2"/>
  <c r="AL167" i="2"/>
  <c r="AM167" i="2" s="1"/>
  <c r="AL174" i="2"/>
  <c r="AL160" i="2"/>
  <c r="AM160" i="2" s="1"/>
  <c r="AL181" i="2"/>
  <c r="AL165" i="2"/>
  <c r="AM165" i="2" s="1"/>
  <c r="AL188" i="2"/>
  <c r="AL172" i="2"/>
  <c r="AL179" i="2"/>
  <c r="AL186" i="2"/>
  <c r="AL170" i="2"/>
  <c r="AL175" i="2"/>
  <c r="AL161" i="2"/>
  <c r="AM161" i="2" s="1"/>
  <c r="AL184" i="2"/>
  <c r="AL166" i="2"/>
  <c r="AM166" i="2" s="1"/>
  <c r="AL189" i="2"/>
  <c r="AL173" i="2"/>
  <c r="AL187" i="2"/>
  <c r="AL159" i="2"/>
  <c r="AM159" i="2" s="1"/>
  <c r="AL150" i="2"/>
  <c r="AL136" i="2"/>
  <c r="AM136" i="2" s="1"/>
  <c r="AL141" i="2"/>
  <c r="AL127" i="2"/>
  <c r="AL163" i="2"/>
  <c r="AM163" i="2" s="1"/>
  <c r="AL148" i="2"/>
  <c r="AM148" i="2" s="1"/>
  <c r="AL155" i="2"/>
  <c r="AM155" i="2" s="1"/>
  <c r="AL178" i="2"/>
  <c r="AL144" i="2"/>
  <c r="AM144" i="2" s="1"/>
  <c r="AL171" i="2"/>
  <c r="AL151" i="2"/>
  <c r="AM151" i="2" s="1"/>
  <c r="AL137" i="2"/>
  <c r="AM137" i="2" s="1"/>
  <c r="AL142" i="2"/>
  <c r="AM142" i="2" s="1"/>
  <c r="AL128" i="2"/>
  <c r="AL149" i="2"/>
  <c r="AL135" i="2"/>
  <c r="AM135" i="2" s="1"/>
  <c r="AL164" i="2"/>
  <c r="AM164" i="2" s="1"/>
  <c r="AL154" i="2"/>
  <c r="AM154" i="2" s="1"/>
  <c r="AL143" i="2"/>
  <c r="AM143" i="2" s="1"/>
  <c r="AL139" i="2"/>
  <c r="AM139" i="2" s="1"/>
  <c r="AL113" i="2"/>
  <c r="AM113" i="2" s="1"/>
  <c r="AL129" i="2"/>
  <c r="AM129" i="2" s="1"/>
  <c r="AL118" i="2"/>
  <c r="AM118" i="2" s="1"/>
  <c r="AL116" i="2"/>
  <c r="AM116" i="2" s="1"/>
  <c r="AL162" i="2"/>
  <c r="AM162" i="2" s="1"/>
  <c r="AL156" i="2"/>
  <c r="AM156" i="2" s="1"/>
  <c r="AL138" i="2"/>
  <c r="AM138" i="2" s="1"/>
  <c r="AL130" i="2"/>
  <c r="AM130" i="2" s="1"/>
  <c r="AL124" i="2"/>
  <c r="AM124" i="2" s="1"/>
  <c r="AL121" i="2"/>
  <c r="AL134" i="2"/>
  <c r="AM134" i="2" s="1"/>
  <c r="AL114" i="2"/>
  <c r="AL180" i="2"/>
  <c r="AL119" i="2"/>
  <c r="AM119" i="2" s="1"/>
  <c r="AL145" i="2"/>
  <c r="AM145" i="2" s="1"/>
  <c r="AL140" i="2"/>
  <c r="AL117" i="2"/>
  <c r="AM117" i="2" s="1"/>
  <c r="AL133" i="2"/>
  <c r="AM133" i="2" s="1"/>
  <c r="AL123" i="2"/>
  <c r="AL122" i="2"/>
  <c r="AM122" i="2" s="1"/>
  <c r="AL120" i="2"/>
  <c r="AL115" i="2"/>
  <c r="AM115" i="2" s="1"/>
  <c r="AL89" i="2"/>
  <c r="AQ238" i="1" s="1"/>
  <c r="AL77" i="2"/>
  <c r="AL94" i="2"/>
  <c r="AL82" i="2"/>
  <c r="AL99" i="2"/>
  <c r="AL243" i="1" s="1"/>
  <c r="AL87" i="2"/>
  <c r="AQ236" i="1" s="1"/>
  <c r="AL92" i="2"/>
  <c r="AL97" i="2"/>
  <c r="AL102" i="2"/>
  <c r="AL101" i="2" s="1"/>
  <c r="AL78" i="2"/>
  <c r="AL111" i="2"/>
  <c r="AL105" i="2"/>
  <c r="AL93" i="2"/>
  <c r="AL103" i="2"/>
  <c r="AL91" i="2"/>
  <c r="AL90" i="2" s="1"/>
  <c r="AL112" i="2"/>
  <c r="AM112" i="2" s="1"/>
  <c r="AL96" i="2"/>
  <c r="AL61" i="2"/>
  <c r="AM61" i="2" s="1"/>
  <c r="AL52" i="2"/>
  <c r="AM52" i="2" s="1"/>
  <c r="AL79" i="2"/>
  <c r="AL76" i="2"/>
  <c r="AL75" i="2" s="1"/>
  <c r="AL64" i="2"/>
  <c r="AM64" i="2" s="1"/>
  <c r="AL71" i="2"/>
  <c r="AL55" i="2"/>
  <c r="AM55" i="2" s="1"/>
  <c r="AL62" i="2"/>
  <c r="AM62" i="2" s="1"/>
  <c r="AL48" i="2"/>
  <c r="AL95" i="2"/>
  <c r="AL241" i="1" s="1"/>
  <c r="AL74" i="2"/>
  <c r="AL53" i="2"/>
  <c r="AM53" i="2" s="1"/>
  <c r="AL88" i="2"/>
  <c r="AQ237" i="1" s="1"/>
  <c r="AL60" i="2"/>
  <c r="AL46" i="2"/>
  <c r="AM46" i="2" s="1"/>
  <c r="AL65" i="2"/>
  <c r="AM65" i="2" s="1"/>
  <c r="AL72" i="2"/>
  <c r="AL56" i="2"/>
  <c r="AL83" i="2"/>
  <c r="AL73" i="2"/>
  <c r="AL63" i="2"/>
  <c r="AL49" i="2"/>
  <c r="AM49" i="2" s="1"/>
  <c r="AL40" i="2"/>
  <c r="AM40" i="2" s="1"/>
  <c r="AL26" i="2"/>
  <c r="AM26" i="2" s="1"/>
  <c r="AL14" i="2"/>
  <c r="AM14" i="2" s="1"/>
  <c r="AL45" i="2"/>
  <c r="AM45" i="2" s="1"/>
  <c r="AL33" i="2"/>
  <c r="AL19" i="2"/>
  <c r="AM19" i="2" s="1"/>
  <c r="AL7" i="2"/>
  <c r="AL54" i="2"/>
  <c r="AM54" i="2" s="1"/>
  <c r="AL43" i="2"/>
  <c r="AL51" i="2"/>
  <c r="AM51" i="2" s="1"/>
  <c r="AL36" i="2"/>
  <c r="AM36" i="2" s="1"/>
  <c r="AL22" i="2"/>
  <c r="AM22" i="2" s="1"/>
  <c r="AL41" i="2"/>
  <c r="AM41" i="2" s="1"/>
  <c r="AL27" i="2"/>
  <c r="AM27" i="2" s="1"/>
  <c r="AL15" i="2"/>
  <c r="AM15" i="2" s="1"/>
  <c r="AL34" i="2"/>
  <c r="AM34" i="2" s="1"/>
  <c r="AL20" i="2"/>
  <c r="AM20" i="2" s="1"/>
  <c r="AL39" i="2"/>
  <c r="AL25" i="2"/>
  <c r="AL86" i="2"/>
  <c r="AL50" i="2"/>
  <c r="AM50" i="2" s="1"/>
  <c r="AL44" i="2"/>
  <c r="AM44" i="2" s="1"/>
  <c r="AL18" i="2"/>
  <c r="AL37" i="2"/>
  <c r="AM37" i="2" s="1"/>
  <c r="AL23" i="2"/>
  <c r="AL28" i="2"/>
  <c r="AM28" i="2" s="1"/>
  <c r="AL16" i="2"/>
  <c r="AM16" i="2" s="1"/>
  <c r="AX185" i="2"/>
  <c r="AX167" i="2"/>
  <c r="AX174" i="2"/>
  <c r="BB174" i="2" s="1"/>
  <c r="AX160" i="2"/>
  <c r="AX181" i="2"/>
  <c r="AX165" i="2"/>
  <c r="AX188" i="2"/>
  <c r="AX172" i="2"/>
  <c r="AX179" i="2"/>
  <c r="AX186" i="2"/>
  <c r="AX170" i="2"/>
  <c r="AX175" i="2"/>
  <c r="AX161" i="2"/>
  <c r="AX184" i="2"/>
  <c r="AX166" i="2"/>
  <c r="AX189" i="2"/>
  <c r="AX173" i="2"/>
  <c r="AX187" i="2"/>
  <c r="AX150" i="2"/>
  <c r="AX136" i="2"/>
  <c r="AX141" i="2"/>
  <c r="AX250" i="1" s="1"/>
  <c r="AX127" i="2"/>
  <c r="AX178" i="2"/>
  <c r="AX162" i="2"/>
  <c r="AX148" i="2"/>
  <c r="AX159" i="2"/>
  <c r="AX155" i="2"/>
  <c r="AX164" i="2"/>
  <c r="AX144" i="2"/>
  <c r="AX151" i="2"/>
  <c r="AX137" i="2"/>
  <c r="AX142" i="2"/>
  <c r="AX128" i="2"/>
  <c r="AX180" i="2"/>
  <c r="AX149" i="2"/>
  <c r="AX135" i="2"/>
  <c r="AX156" i="2"/>
  <c r="AX154" i="2"/>
  <c r="AX171" i="2"/>
  <c r="AX143" i="2"/>
  <c r="AX123" i="2"/>
  <c r="AX113" i="2"/>
  <c r="AX118" i="2"/>
  <c r="AX140" i="2"/>
  <c r="AX249" i="1" s="1"/>
  <c r="AX133" i="2"/>
  <c r="AX116" i="2"/>
  <c r="AX121" i="2"/>
  <c r="AX129" i="2"/>
  <c r="AX114" i="2"/>
  <c r="AX145" i="2"/>
  <c r="AX139" i="2"/>
  <c r="AX119" i="2"/>
  <c r="AX117" i="2"/>
  <c r="AX120" i="2" s="1"/>
  <c r="AX195" i="2" s="1"/>
  <c r="AX163" i="2"/>
  <c r="AX130" i="2"/>
  <c r="AX122" i="2"/>
  <c r="AX138" i="2"/>
  <c r="AX134" i="2"/>
  <c r="AX89" i="2"/>
  <c r="AX77" i="2"/>
  <c r="AX111" i="2"/>
  <c r="AX94" i="2"/>
  <c r="BB94" i="2" s="1"/>
  <c r="AX82" i="2"/>
  <c r="AX99" i="2"/>
  <c r="AX87" i="2"/>
  <c r="AX92" i="2"/>
  <c r="AX112" i="2"/>
  <c r="AX97" i="2"/>
  <c r="AX115" i="2"/>
  <c r="AX102" i="2"/>
  <c r="AX78" i="2"/>
  <c r="AX93" i="2"/>
  <c r="AX124" i="2"/>
  <c r="AX105" i="2"/>
  <c r="BB105" i="2" s="1"/>
  <c r="AX103" i="2"/>
  <c r="BB103" i="2" s="1"/>
  <c r="AX91" i="2"/>
  <c r="AX96" i="2"/>
  <c r="AX61" i="2"/>
  <c r="AX73" i="2"/>
  <c r="AX52" i="2"/>
  <c r="AX83" i="2"/>
  <c r="AX95" i="2"/>
  <c r="AX64" i="2"/>
  <c r="AX88" i="2"/>
  <c r="AX71" i="2"/>
  <c r="AX55" i="2"/>
  <c r="AX62" i="2"/>
  <c r="AX48" i="2"/>
  <c r="AX79" i="2"/>
  <c r="AX53" i="2"/>
  <c r="AX76" i="2"/>
  <c r="AX60" i="2"/>
  <c r="AX46" i="2"/>
  <c r="AX86" i="2"/>
  <c r="AX65" i="2"/>
  <c r="AX74" i="2"/>
  <c r="AX72" i="2"/>
  <c r="AX56" i="2"/>
  <c r="AY233" i="1" s="1"/>
  <c r="AX63" i="2"/>
  <c r="AX40" i="2"/>
  <c r="AX26" i="2"/>
  <c r="AX14" i="2"/>
  <c r="AX45" i="2"/>
  <c r="AX33" i="2"/>
  <c r="AX19" i="2"/>
  <c r="AX7" i="2"/>
  <c r="AX54" i="2"/>
  <c r="AX50" i="2"/>
  <c r="AX43" i="2"/>
  <c r="AX36" i="2"/>
  <c r="AX22" i="2"/>
  <c r="AX41" i="2"/>
  <c r="AX27" i="2"/>
  <c r="AX15" i="2"/>
  <c r="AX49" i="2"/>
  <c r="AX34" i="2"/>
  <c r="AX20" i="2"/>
  <c r="AX39" i="2"/>
  <c r="AX25" i="2"/>
  <c r="AX24" i="2" s="1"/>
  <c r="AX44" i="2"/>
  <c r="AX18" i="2"/>
  <c r="AX37" i="2"/>
  <c r="AX23" i="2"/>
  <c r="AY232" i="1" s="1"/>
  <c r="AX51" i="2"/>
  <c r="AX28" i="2"/>
  <c r="AX16" i="2"/>
  <c r="AX5" i="2"/>
  <c r="E20" i="3"/>
  <c r="AT8" i="2"/>
  <c r="F9" i="2"/>
  <c r="V9" i="2"/>
  <c r="AG12" i="2"/>
  <c r="AW12" i="2"/>
  <c r="Z13" i="2"/>
  <c r="AY14" i="2"/>
  <c r="AL21" i="2"/>
  <c r="AM21" i="2" s="1"/>
  <c r="AQ36" i="2"/>
  <c r="AR36" i="2" s="1"/>
  <c r="V39" i="2"/>
  <c r="V38" i="2" s="1"/>
  <c r="V48" i="2"/>
  <c r="V47" i="2" s="1"/>
  <c r="W230" i="1" s="1"/>
  <c r="O174" i="2"/>
  <c r="O160" i="2"/>
  <c r="O181" i="2"/>
  <c r="S181" i="2" s="1"/>
  <c r="O165" i="2"/>
  <c r="O188" i="2"/>
  <c r="O172" i="2"/>
  <c r="O179" i="2"/>
  <c r="O186" i="2"/>
  <c r="O175" i="2"/>
  <c r="O184" i="2"/>
  <c r="O166" i="2"/>
  <c r="O189" i="2"/>
  <c r="O173" i="2"/>
  <c r="O180" i="2"/>
  <c r="O178" i="2"/>
  <c r="S178" i="2" s="1"/>
  <c r="O167" i="2"/>
  <c r="O141" i="2"/>
  <c r="O250" i="1" s="1"/>
  <c r="O127" i="2"/>
  <c r="O163" i="2"/>
  <c r="O148" i="2"/>
  <c r="O134" i="2"/>
  <c r="O155" i="2"/>
  <c r="O187" i="2"/>
  <c r="O171" i="2"/>
  <c r="O151" i="2"/>
  <c r="O159" i="2"/>
  <c r="O142" i="2"/>
  <c r="O161" i="2"/>
  <c r="O149" i="2"/>
  <c r="O135" i="2"/>
  <c r="O156" i="2"/>
  <c r="O140" i="2"/>
  <c r="O249" i="1" s="1"/>
  <c r="O185" i="2"/>
  <c r="O162" i="2"/>
  <c r="O150" i="2"/>
  <c r="O136" i="2"/>
  <c r="O118" i="2"/>
  <c r="O170" i="2"/>
  <c r="O111" i="2"/>
  <c r="O154" i="2"/>
  <c r="O138" i="2"/>
  <c r="O123" i="2"/>
  <c r="O121" i="2"/>
  <c r="O114" i="2"/>
  <c r="O130" i="2"/>
  <c r="O119" i="2"/>
  <c r="O144" i="2"/>
  <c r="O129" i="2"/>
  <c r="O164" i="2"/>
  <c r="O133" i="2"/>
  <c r="O122" i="2"/>
  <c r="O124" i="2"/>
  <c r="O143" i="2"/>
  <c r="O145" i="2"/>
  <c r="O139" i="2"/>
  <c r="O128" i="2"/>
  <c r="O112" i="2"/>
  <c r="O94" i="2"/>
  <c r="O82" i="2"/>
  <c r="O115" i="2"/>
  <c r="O99" i="2"/>
  <c r="O87" i="2"/>
  <c r="O117" i="2"/>
  <c r="O120" i="2" s="1"/>
  <c r="O195" i="2" s="1"/>
  <c r="O92" i="2"/>
  <c r="O97" i="2"/>
  <c r="O102" i="2"/>
  <c r="O116" i="2"/>
  <c r="O95" i="2"/>
  <c r="O83" i="2"/>
  <c r="O86" i="2"/>
  <c r="O96" i="2"/>
  <c r="O137" i="2"/>
  <c r="O89" i="2"/>
  <c r="O88" i="2"/>
  <c r="O52" i="2"/>
  <c r="O64" i="2"/>
  <c r="O50" i="2"/>
  <c r="O73" i="2"/>
  <c r="O71" i="2"/>
  <c r="O55" i="2"/>
  <c r="O93" i="2"/>
  <c r="O62" i="2"/>
  <c r="O79" i="2"/>
  <c r="O78" i="2"/>
  <c r="O53" i="2"/>
  <c r="O113" i="2"/>
  <c r="O76" i="2"/>
  <c r="O60" i="2"/>
  <c r="O46" i="2"/>
  <c r="O105" i="2"/>
  <c r="O77" i="2"/>
  <c r="O65" i="2"/>
  <c r="O51" i="2"/>
  <c r="O91" i="2"/>
  <c r="O72" i="2"/>
  <c r="O56" i="2"/>
  <c r="P233" i="1" s="1"/>
  <c r="O63" i="2"/>
  <c r="O45" i="2"/>
  <c r="O33" i="2"/>
  <c r="O32" i="2" s="1"/>
  <c r="O19" i="2"/>
  <c r="O7" i="2"/>
  <c r="O6" i="2" s="1"/>
  <c r="O103" i="2"/>
  <c r="O12" i="2"/>
  <c r="O43" i="2"/>
  <c r="O48" i="2"/>
  <c r="O36" i="2"/>
  <c r="O22" i="2"/>
  <c r="O41" i="2"/>
  <c r="O27" i="2"/>
  <c r="O15" i="2"/>
  <c r="O74" i="2"/>
  <c r="O34" i="2"/>
  <c r="O20" i="2"/>
  <c r="O8" i="2"/>
  <c r="O61" i="2"/>
  <c r="O54" i="2"/>
  <c r="O39" i="2"/>
  <c r="O25" i="2"/>
  <c r="O24" i="2" s="1"/>
  <c r="O44" i="2"/>
  <c r="O18" i="2"/>
  <c r="O37" i="2"/>
  <c r="O23" i="2"/>
  <c r="P232" i="1" s="1"/>
  <c r="O28" i="2"/>
  <c r="O16" i="2"/>
  <c r="O35" i="2"/>
  <c r="O21" i="2"/>
  <c r="AA174" i="2"/>
  <c r="AA160" i="2"/>
  <c r="AA181" i="2"/>
  <c r="AA165" i="2"/>
  <c r="AA188" i="2"/>
  <c r="AA172" i="2"/>
  <c r="AA156" i="2"/>
  <c r="AA179" i="2"/>
  <c r="AA186" i="2"/>
  <c r="AA175" i="2"/>
  <c r="AA184" i="2"/>
  <c r="AA166" i="2"/>
  <c r="AA189" i="2"/>
  <c r="AA173" i="2"/>
  <c r="AA180" i="2"/>
  <c r="AA178" i="2"/>
  <c r="AA141" i="2"/>
  <c r="AA250" i="1" s="1"/>
  <c r="AA127" i="2"/>
  <c r="AA187" i="2"/>
  <c r="AA148" i="2"/>
  <c r="AA134" i="2"/>
  <c r="AA170" i="2"/>
  <c r="AA155" i="2"/>
  <c r="AA164" i="2"/>
  <c r="AA162" i="2"/>
  <c r="AA151" i="2"/>
  <c r="AA142" i="2"/>
  <c r="AA167" i="2"/>
  <c r="AA149" i="2"/>
  <c r="AA135" i="2"/>
  <c r="AA163" i="2"/>
  <c r="AA140" i="2"/>
  <c r="AA249" i="1" s="1"/>
  <c r="AA171" i="2"/>
  <c r="AA161" i="2"/>
  <c r="AA150" i="2"/>
  <c r="AA136" i="2"/>
  <c r="AA154" i="2"/>
  <c r="AA144" i="2"/>
  <c r="AA124" i="2"/>
  <c r="AA118" i="2"/>
  <c r="AA185" i="2"/>
  <c r="AA137" i="2"/>
  <c r="AA111" i="2"/>
  <c r="AA133" i="2"/>
  <c r="AA128" i="2"/>
  <c r="AA121" i="2"/>
  <c r="AA143" i="2"/>
  <c r="AA114" i="2"/>
  <c r="AA139" i="2"/>
  <c r="AA123" i="2"/>
  <c r="AA119" i="2"/>
  <c r="AA122" i="2"/>
  <c r="AA159" i="2"/>
  <c r="AA145" i="2"/>
  <c r="AA138" i="2"/>
  <c r="AA129" i="2"/>
  <c r="AA130" i="2"/>
  <c r="AA94" i="2"/>
  <c r="AA82" i="2"/>
  <c r="AA99" i="2"/>
  <c r="AA243" i="1" s="1"/>
  <c r="AA87" i="2"/>
  <c r="AF236" i="1" s="1"/>
  <c r="AA92" i="2"/>
  <c r="AA97" i="2"/>
  <c r="AA102" i="2"/>
  <c r="AA112" i="2"/>
  <c r="AA95" i="2"/>
  <c r="AA241" i="1" s="1"/>
  <c r="AA83" i="2"/>
  <c r="AA115" i="2"/>
  <c r="AA86" i="2"/>
  <c r="AA116" i="2"/>
  <c r="AA96" i="2"/>
  <c r="AA113" i="2"/>
  <c r="AA89" i="2"/>
  <c r="AF238" i="1" s="1"/>
  <c r="AA52" i="2"/>
  <c r="AA93" i="2"/>
  <c r="AA74" i="2"/>
  <c r="AA64" i="2"/>
  <c r="AA50" i="2"/>
  <c r="AA71" i="2"/>
  <c r="AA70" i="2" s="1"/>
  <c r="AA55" i="2"/>
  <c r="AA105" i="2"/>
  <c r="AA62" i="2"/>
  <c r="AA91" i="2"/>
  <c r="AA53" i="2"/>
  <c r="AA73" i="2"/>
  <c r="AA60" i="2"/>
  <c r="AA46" i="2"/>
  <c r="AA65" i="2"/>
  <c r="AA51" i="2"/>
  <c r="AA117" i="2"/>
  <c r="AA120" i="2" s="1"/>
  <c r="AA195" i="2" s="1"/>
  <c r="AA103" i="2"/>
  <c r="AA72" i="2"/>
  <c r="AA56" i="2"/>
  <c r="AB233" i="1" s="1"/>
  <c r="AA88" i="2"/>
  <c r="AF237" i="1" s="1"/>
  <c r="AA79" i="2"/>
  <c r="AA78" i="2"/>
  <c r="AA63" i="2"/>
  <c r="AA251" i="1" s="1"/>
  <c r="AA76" i="2"/>
  <c r="AA54" i="2"/>
  <c r="AA45" i="2"/>
  <c r="AA33" i="2"/>
  <c r="AA19" i="2"/>
  <c r="AA7" i="2"/>
  <c r="AA12" i="2"/>
  <c r="AA11" i="2" s="1"/>
  <c r="AA43" i="2"/>
  <c r="AA36" i="2"/>
  <c r="AA22" i="2"/>
  <c r="AA41" i="2"/>
  <c r="AA27" i="2"/>
  <c r="AA15" i="2"/>
  <c r="AA61" i="2"/>
  <c r="AA49" i="2"/>
  <c r="AA34" i="2"/>
  <c r="AA20" i="2"/>
  <c r="AA8" i="2"/>
  <c r="AA39" i="2"/>
  <c r="AA38" i="2" s="1"/>
  <c r="AA25" i="2"/>
  <c r="AA24" i="2" s="1"/>
  <c r="AA77" i="2"/>
  <c r="AA44" i="2"/>
  <c r="AA18" i="2"/>
  <c r="AA37" i="2"/>
  <c r="AA23" i="2"/>
  <c r="AB232" i="1" s="1"/>
  <c r="AA48" i="2"/>
  <c r="AA28" i="2"/>
  <c r="AA16" i="2"/>
  <c r="AA35" i="2"/>
  <c r="AA21" i="2"/>
  <c r="AY174" i="2"/>
  <c r="AY160" i="2"/>
  <c r="AY181" i="2"/>
  <c r="AY165" i="2"/>
  <c r="AY188" i="2"/>
  <c r="AY172" i="2"/>
  <c r="AY156" i="2"/>
  <c r="AY179" i="2"/>
  <c r="AY186" i="2"/>
  <c r="AY175" i="2"/>
  <c r="AY184" i="2"/>
  <c r="AY166" i="2"/>
  <c r="AY189" i="2"/>
  <c r="AY173" i="2"/>
  <c r="AY180" i="2"/>
  <c r="AY178" i="2"/>
  <c r="AY141" i="2"/>
  <c r="AY250" i="1" s="1"/>
  <c r="AY127" i="2"/>
  <c r="AY162" i="2"/>
  <c r="AY148" i="2"/>
  <c r="AY134" i="2"/>
  <c r="AY170" i="2"/>
  <c r="AY159" i="2"/>
  <c r="AY155" i="2"/>
  <c r="AY164" i="2"/>
  <c r="AY144" i="2"/>
  <c r="AY185" i="2"/>
  <c r="AY151" i="2"/>
  <c r="AY142" i="2"/>
  <c r="AY167" i="2"/>
  <c r="AY149" i="2"/>
  <c r="AY135" i="2"/>
  <c r="AY163" i="2"/>
  <c r="AY140" i="2"/>
  <c r="AY249" i="1" s="1"/>
  <c r="AY171" i="2"/>
  <c r="AY150" i="2"/>
  <c r="AY136" i="2"/>
  <c r="AY118" i="2"/>
  <c r="AY137" i="2"/>
  <c r="AY111" i="2"/>
  <c r="AY133" i="2"/>
  <c r="AY116" i="2"/>
  <c r="AY121" i="2"/>
  <c r="AY105" i="2"/>
  <c r="AY143" i="2"/>
  <c r="AY129" i="2"/>
  <c r="AY114" i="2"/>
  <c r="AY145" i="2"/>
  <c r="AY139" i="2"/>
  <c r="AY119" i="2"/>
  <c r="AY124" i="2"/>
  <c r="AY161" i="2"/>
  <c r="AY154" i="2"/>
  <c r="AY130" i="2"/>
  <c r="AY128" i="2"/>
  <c r="AY122" i="2"/>
  <c r="AY138" i="2"/>
  <c r="AY187" i="2"/>
  <c r="AY120" i="2"/>
  <c r="AY195" i="2" s="1"/>
  <c r="AY123" i="2"/>
  <c r="AY94" i="2"/>
  <c r="AY82" i="2"/>
  <c r="AY99" i="2"/>
  <c r="AY243" i="1" s="1"/>
  <c r="AY87" i="2"/>
  <c r="BD236" i="1" s="1"/>
  <c r="AY92" i="2"/>
  <c r="AY112" i="2"/>
  <c r="AY97" i="2"/>
  <c r="AY117" i="2"/>
  <c r="AY115" i="2"/>
  <c r="AY102" i="2"/>
  <c r="AY95" i="2"/>
  <c r="AY241" i="1" s="1"/>
  <c r="AY83" i="2"/>
  <c r="AY86" i="2"/>
  <c r="AY96" i="2"/>
  <c r="AY89" i="2"/>
  <c r="BD238" i="1" s="1"/>
  <c r="AY73" i="2"/>
  <c r="AY52" i="2"/>
  <c r="AY113" i="2"/>
  <c r="AY103" i="2"/>
  <c r="AY64" i="2"/>
  <c r="AY50" i="2"/>
  <c r="AY88" i="2"/>
  <c r="BD237" i="1" s="1"/>
  <c r="AY71" i="2"/>
  <c r="AY55" i="2"/>
  <c r="AY62" i="2"/>
  <c r="AY79" i="2"/>
  <c r="AY78" i="2"/>
  <c r="AY53" i="2"/>
  <c r="AY76" i="2"/>
  <c r="AY75" i="2" s="1"/>
  <c r="AY60" i="2"/>
  <c r="AY46" i="2"/>
  <c r="AY93" i="2"/>
  <c r="AY77" i="2"/>
  <c r="AY65" i="2"/>
  <c r="AY51" i="2"/>
  <c r="AY74" i="2"/>
  <c r="AY72" i="2"/>
  <c r="AY56" i="2"/>
  <c r="AZ233" i="1" s="1"/>
  <c r="AY63" i="2"/>
  <c r="AY54" i="2"/>
  <c r="AY45" i="2"/>
  <c r="AY33" i="2"/>
  <c r="AY19" i="2"/>
  <c r="AY7" i="2"/>
  <c r="AY12" i="2"/>
  <c r="AY91" i="2"/>
  <c r="AY43" i="2"/>
  <c r="AY61" i="2"/>
  <c r="AY36" i="2"/>
  <c r="AY22" i="2"/>
  <c r="AY41" i="2"/>
  <c r="AY27" i="2"/>
  <c r="AY15" i="2"/>
  <c r="AY49" i="2"/>
  <c r="AY34" i="2"/>
  <c r="AY20" i="2"/>
  <c r="AY8" i="2"/>
  <c r="AY39" i="2"/>
  <c r="AY25" i="2"/>
  <c r="AY24" i="2" s="1"/>
  <c r="AY44" i="2"/>
  <c r="AY18" i="2"/>
  <c r="AY37" i="2"/>
  <c r="AY23" i="2"/>
  <c r="AZ232" i="1" s="1"/>
  <c r="AY48" i="2"/>
  <c r="AY47" i="2" s="1"/>
  <c r="AZ230" i="1" s="1"/>
  <c r="AY28" i="2"/>
  <c r="AY16" i="2"/>
  <c r="AY35" i="2"/>
  <c r="AY21" i="2"/>
  <c r="AY5" i="2"/>
  <c r="F7" i="2"/>
  <c r="U7" i="2"/>
  <c r="U6" i="2" s="1"/>
  <c r="BB7" i="2"/>
  <c r="AD8" i="2"/>
  <c r="AD6" i="2" s="1"/>
  <c r="G9" i="2"/>
  <c r="BC9" i="2"/>
  <c r="P10" i="2"/>
  <c r="AG10" i="2"/>
  <c r="AH10" i="2" s="1"/>
  <c r="AX12" i="2"/>
  <c r="AA13" i="2"/>
  <c r="BC14" i="2"/>
  <c r="AX21" i="2"/>
  <c r="U34" i="2"/>
  <c r="BC36" i="2"/>
  <c r="AT48" i="2"/>
  <c r="AT47" i="2" s="1"/>
  <c r="AU230" i="1" s="1"/>
  <c r="P181" i="2"/>
  <c r="P165" i="2"/>
  <c r="P188" i="2"/>
  <c r="P172" i="2"/>
  <c r="P179" i="2"/>
  <c r="P163" i="2"/>
  <c r="P186" i="2"/>
  <c r="P175" i="2"/>
  <c r="P184" i="2"/>
  <c r="P166" i="2"/>
  <c r="P189" i="2"/>
  <c r="P173" i="2"/>
  <c r="P180" i="2"/>
  <c r="P164" i="2"/>
  <c r="P187" i="2"/>
  <c r="P185" i="2"/>
  <c r="P148" i="2"/>
  <c r="P134" i="2"/>
  <c r="P155" i="2"/>
  <c r="P139" i="2"/>
  <c r="P123" i="2"/>
  <c r="P174" i="2"/>
  <c r="P160" i="2"/>
  <c r="P171" i="2"/>
  <c r="P151" i="2"/>
  <c r="P159" i="2"/>
  <c r="P161" i="2"/>
  <c r="P149" i="2"/>
  <c r="P135" i="2"/>
  <c r="P156" i="2"/>
  <c r="P140" i="2"/>
  <c r="P249" i="1" s="1"/>
  <c r="P124" i="2"/>
  <c r="P178" i="2"/>
  <c r="P170" i="2"/>
  <c r="P145" i="2"/>
  <c r="P133" i="2"/>
  <c r="P150" i="2"/>
  <c r="P167" i="2"/>
  <c r="P141" i="2"/>
  <c r="P250" i="1" s="1"/>
  <c r="P111" i="2"/>
  <c r="P154" i="2"/>
  <c r="P142" i="2"/>
  <c r="P116" i="2"/>
  <c r="P138" i="2"/>
  <c r="P121" i="2"/>
  <c r="P114" i="2"/>
  <c r="P130" i="2"/>
  <c r="P127" i="2"/>
  <c r="P119" i="2"/>
  <c r="P144" i="2"/>
  <c r="P129" i="2"/>
  <c r="P112" i="2"/>
  <c r="P162" i="2"/>
  <c r="P137" i="2"/>
  <c r="P143" i="2"/>
  <c r="P136" i="2"/>
  <c r="P128" i="2"/>
  <c r="P118" i="2"/>
  <c r="P120" i="2" s="1"/>
  <c r="P195" i="2" s="1"/>
  <c r="P115" i="2"/>
  <c r="P99" i="2"/>
  <c r="P243" i="1" s="1"/>
  <c r="P87" i="2"/>
  <c r="U236" i="1" s="1"/>
  <c r="P117" i="2"/>
  <c r="P92" i="2"/>
  <c r="P97" i="2"/>
  <c r="P73" i="2"/>
  <c r="P102" i="2"/>
  <c r="P95" i="2"/>
  <c r="P241" i="1" s="1"/>
  <c r="P113" i="2"/>
  <c r="P88" i="2"/>
  <c r="U237" i="1" s="1"/>
  <c r="P76" i="2"/>
  <c r="P75" i="2" s="1"/>
  <c r="P122" i="2"/>
  <c r="P103" i="2"/>
  <c r="P91" i="2"/>
  <c r="P89" i="2"/>
  <c r="U238" i="1" s="1"/>
  <c r="P94" i="2"/>
  <c r="P83" i="2"/>
  <c r="P64" i="2"/>
  <c r="P50" i="2"/>
  <c r="P71" i="2"/>
  <c r="P55" i="2"/>
  <c r="P93" i="2"/>
  <c r="P82" i="2"/>
  <c r="P62" i="2"/>
  <c r="P86" i="2"/>
  <c r="P79" i="2"/>
  <c r="P78" i="2"/>
  <c r="P60" i="2"/>
  <c r="P46" i="2"/>
  <c r="P105" i="2"/>
  <c r="P77" i="2"/>
  <c r="P65" i="2"/>
  <c r="P51" i="2"/>
  <c r="P72" i="2"/>
  <c r="P56" i="2"/>
  <c r="Q233" i="1" s="1"/>
  <c r="P63" i="2"/>
  <c r="P251" i="1" s="1"/>
  <c r="P54" i="2"/>
  <c r="P74" i="2"/>
  <c r="P61" i="2"/>
  <c r="P12" i="2"/>
  <c r="P11" i="2" s="1"/>
  <c r="P52" i="2"/>
  <c r="P43" i="2"/>
  <c r="P5" i="2"/>
  <c r="P48" i="2"/>
  <c r="P47" i="2" s="1"/>
  <c r="Q230" i="1" s="1"/>
  <c r="P36" i="2"/>
  <c r="P22" i="2"/>
  <c r="P41" i="2"/>
  <c r="P27" i="2"/>
  <c r="P15" i="2"/>
  <c r="P34" i="2"/>
  <c r="P20" i="2"/>
  <c r="P39" i="2"/>
  <c r="P25" i="2"/>
  <c r="P13" i="2"/>
  <c r="P44" i="2"/>
  <c r="P18" i="2"/>
  <c r="P37" i="2"/>
  <c r="P23" i="2"/>
  <c r="Q232" i="1" s="1"/>
  <c r="P28" i="2"/>
  <c r="P16" i="2"/>
  <c r="P96" i="2"/>
  <c r="P53" i="2"/>
  <c r="P35" i="2"/>
  <c r="P21" i="2"/>
  <c r="P49" i="2"/>
  <c r="P40" i="2"/>
  <c r="P26" i="2"/>
  <c r="P14" i="2"/>
  <c r="AB181" i="2"/>
  <c r="AB165" i="2"/>
  <c r="AC165" i="2" s="1"/>
  <c r="AB188" i="2"/>
  <c r="AB172" i="2"/>
  <c r="AB179" i="2"/>
  <c r="AB163" i="2"/>
  <c r="AC163" i="2" s="1"/>
  <c r="AB186" i="2"/>
  <c r="AB175" i="2"/>
  <c r="AB184" i="2"/>
  <c r="AB166" i="2"/>
  <c r="AC166" i="2" s="1"/>
  <c r="AB189" i="2"/>
  <c r="AB173" i="2"/>
  <c r="AB180" i="2"/>
  <c r="AB164" i="2"/>
  <c r="AC164" i="2" s="1"/>
  <c r="AB187" i="2"/>
  <c r="AB185" i="2"/>
  <c r="AB174" i="2"/>
  <c r="AB148" i="2"/>
  <c r="AC148" i="2" s="1"/>
  <c r="AB134" i="2"/>
  <c r="AC134" i="2" s="1"/>
  <c r="AB170" i="2"/>
  <c r="AB155" i="2"/>
  <c r="AC155" i="2" s="1"/>
  <c r="AB139" i="2"/>
  <c r="AC139" i="2" s="1"/>
  <c r="AB123" i="2"/>
  <c r="AB162" i="2"/>
  <c r="AC162" i="2" s="1"/>
  <c r="AB151" i="2"/>
  <c r="AC151" i="2" s="1"/>
  <c r="AB178" i="2"/>
  <c r="AB167" i="2"/>
  <c r="AC167" i="2" s="1"/>
  <c r="AB149" i="2"/>
  <c r="AB135" i="2"/>
  <c r="AC135" i="2" s="1"/>
  <c r="AB140" i="2"/>
  <c r="AB124" i="2"/>
  <c r="AC124" i="2" s="1"/>
  <c r="AB160" i="2"/>
  <c r="AC160" i="2" s="1"/>
  <c r="AB159" i="2"/>
  <c r="AC159" i="2" s="1"/>
  <c r="AB156" i="2"/>
  <c r="AC156" i="2" s="1"/>
  <c r="AB145" i="2"/>
  <c r="AC145" i="2" s="1"/>
  <c r="AB133" i="2"/>
  <c r="AC133" i="2" s="1"/>
  <c r="AB161" i="2"/>
  <c r="AC161" i="2" s="1"/>
  <c r="AB150" i="2"/>
  <c r="AB141" i="2"/>
  <c r="AB137" i="2"/>
  <c r="AC137" i="2" s="1"/>
  <c r="AB111" i="2"/>
  <c r="AB128" i="2"/>
  <c r="AB116" i="2"/>
  <c r="AC116" i="2" s="1"/>
  <c r="AB121" i="2"/>
  <c r="AB143" i="2"/>
  <c r="AC143" i="2" s="1"/>
  <c r="AB114" i="2"/>
  <c r="AB136" i="2"/>
  <c r="AC136" i="2" s="1"/>
  <c r="AB119" i="2"/>
  <c r="AC119" i="2" s="1"/>
  <c r="AB112" i="2"/>
  <c r="AC112" i="2" s="1"/>
  <c r="AB171" i="2"/>
  <c r="AB138" i="2"/>
  <c r="AC138" i="2" s="1"/>
  <c r="AB129" i="2"/>
  <c r="AC129" i="2" s="1"/>
  <c r="AB130" i="2"/>
  <c r="AC130" i="2" s="1"/>
  <c r="AB154" i="2"/>
  <c r="AC154" i="2" s="1"/>
  <c r="AB144" i="2"/>
  <c r="AC144" i="2" s="1"/>
  <c r="AB118" i="2"/>
  <c r="AC118" i="2" s="1"/>
  <c r="AB99" i="2"/>
  <c r="AB243" i="1" s="1"/>
  <c r="AB87" i="2"/>
  <c r="AG236" i="1" s="1"/>
  <c r="AB92" i="2"/>
  <c r="AB97" i="2"/>
  <c r="AB73" i="2"/>
  <c r="AB102" i="2"/>
  <c r="AB101" i="2" s="1"/>
  <c r="AB95" i="2"/>
  <c r="AB241" i="1" s="1"/>
  <c r="AB115" i="2"/>
  <c r="AC115" i="2" s="1"/>
  <c r="AB88" i="2"/>
  <c r="AG237" i="1" s="1"/>
  <c r="AB76" i="2"/>
  <c r="AB127" i="2"/>
  <c r="AB117" i="2"/>
  <c r="AC117" i="2" s="1"/>
  <c r="AB103" i="2"/>
  <c r="AB91" i="2"/>
  <c r="AB113" i="2"/>
  <c r="AC113" i="2" s="1"/>
  <c r="AB89" i="2"/>
  <c r="AG238" i="1" s="1"/>
  <c r="AB142" i="2"/>
  <c r="AC142" i="2" s="1"/>
  <c r="AB94" i="2"/>
  <c r="AB93" i="2"/>
  <c r="AB86" i="2"/>
  <c r="AB74" i="2"/>
  <c r="AB64" i="2"/>
  <c r="AC64" i="2" s="1"/>
  <c r="AB50" i="2"/>
  <c r="AC50" i="2" s="1"/>
  <c r="AB71" i="2"/>
  <c r="AB55" i="2"/>
  <c r="AC55" i="2" s="1"/>
  <c r="AB122" i="2"/>
  <c r="AC122" i="2" s="1"/>
  <c r="AB105" i="2"/>
  <c r="AB62" i="2"/>
  <c r="AC62" i="2" s="1"/>
  <c r="AB83" i="2"/>
  <c r="AB60" i="2"/>
  <c r="AB46" i="2"/>
  <c r="AC46" i="2" s="1"/>
  <c r="AB65" i="2"/>
  <c r="AC65" i="2" s="1"/>
  <c r="AB51" i="2"/>
  <c r="AC51" i="2" s="1"/>
  <c r="AB82" i="2"/>
  <c r="AB72" i="2"/>
  <c r="AB56" i="2"/>
  <c r="AB96" i="2"/>
  <c r="AB79" i="2"/>
  <c r="AB78" i="2"/>
  <c r="AB63" i="2"/>
  <c r="AB54" i="2"/>
  <c r="AC54" i="2" s="1"/>
  <c r="AB77" i="2"/>
  <c r="AB61" i="2"/>
  <c r="AC61" i="2" s="1"/>
  <c r="AB12" i="2"/>
  <c r="AB43" i="2"/>
  <c r="AB5" i="2"/>
  <c r="AB36" i="2"/>
  <c r="AC36" i="2" s="1"/>
  <c r="AB22" i="2"/>
  <c r="AC22" i="2" s="1"/>
  <c r="AB53" i="2"/>
  <c r="AC53" i="2" s="1"/>
  <c r="AB41" i="2"/>
  <c r="AC41" i="2" s="1"/>
  <c r="AB27" i="2"/>
  <c r="AC27" i="2" s="1"/>
  <c r="AB15" i="2"/>
  <c r="AC15" i="2" s="1"/>
  <c r="AB49" i="2"/>
  <c r="AC49" i="2" s="1"/>
  <c r="AB34" i="2"/>
  <c r="AC34" i="2" s="1"/>
  <c r="AB20" i="2"/>
  <c r="AC20" i="2" s="1"/>
  <c r="AB39" i="2"/>
  <c r="AB25" i="2"/>
  <c r="AB13" i="2"/>
  <c r="AC13" i="2" s="1"/>
  <c r="AB44" i="2"/>
  <c r="AC44" i="2" s="1"/>
  <c r="AB18" i="2"/>
  <c r="AB52" i="2"/>
  <c r="AC52" i="2" s="1"/>
  <c r="AB37" i="2"/>
  <c r="AC37" i="2" s="1"/>
  <c r="AB23" i="2"/>
  <c r="AB48" i="2"/>
  <c r="AB28" i="2"/>
  <c r="AC28" i="2" s="1"/>
  <c r="AB16" i="2"/>
  <c r="AC16" i="2" s="1"/>
  <c r="AB35" i="2"/>
  <c r="AC35" i="2" s="1"/>
  <c r="AB21" i="2"/>
  <c r="AC21" i="2" s="1"/>
  <c r="AB40" i="2"/>
  <c r="AC40" i="2" s="1"/>
  <c r="AB26" i="2"/>
  <c r="AC26" i="2" s="1"/>
  <c r="AB14" i="2"/>
  <c r="AC14" i="2" s="1"/>
  <c r="AN181" i="2"/>
  <c r="AN165" i="2"/>
  <c r="AN188" i="2"/>
  <c r="AN172" i="2"/>
  <c r="AN179" i="2"/>
  <c r="AN163" i="2"/>
  <c r="AN186" i="2"/>
  <c r="AR186" i="2" s="1"/>
  <c r="AN175" i="2"/>
  <c r="AR175" i="2" s="1"/>
  <c r="AN184" i="2"/>
  <c r="AN166" i="2"/>
  <c r="AN189" i="2"/>
  <c r="AN173" i="2"/>
  <c r="AN180" i="2"/>
  <c r="AN164" i="2"/>
  <c r="AN187" i="2"/>
  <c r="AN185" i="2"/>
  <c r="AN160" i="2"/>
  <c r="AN148" i="2"/>
  <c r="AN134" i="2"/>
  <c r="AN155" i="2"/>
  <c r="AN139" i="2"/>
  <c r="AN123" i="2"/>
  <c r="AN144" i="2"/>
  <c r="AN178" i="2"/>
  <c r="AN171" i="2"/>
  <c r="AN161" i="2"/>
  <c r="AN151" i="2"/>
  <c r="AN149" i="2"/>
  <c r="AN135" i="2"/>
  <c r="AN140" i="2"/>
  <c r="AN249" i="1" s="1"/>
  <c r="AN124" i="2"/>
  <c r="AN170" i="2"/>
  <c r="AR170" i="2" s="1"/>
  <c r="AN162" i="2"/>
  <c r="AN145" i="2"/>
  <c r="AN133" i="2"/>
  <c r="AN174" i="2"/>
  <c r="AN159" i="2"/>
  <c r="AN150" i="2"/>
  <c r="AN167" i="2"/>
  <c r="AN141" i="2"/>
  <c r="AN250" i="1" s="1"/>
  <c r="AN111" i="2"/>
  <c r="AN142" i="2"/>
  <c r="AN116" i="2"/>
  <c r="AN138" i="2"/>
  <c r="AN130" i="2"/>
  <c r="AN121" i="2"/>
  <c r="AN156" i="2"/>
  <c r="AN114" i="2"/>
  <c r="AN128" i="2"/>
  <c r="AN119" i="2"/>
  <c r="AN112" i="2"/>
  <c r="AN137" i="2"/>
  <c r="AN117" i="2"/>
  <c r="AN154" i="2"/>
  <c r="AN143" i="2"/>
  <c r="AN120" i="2"/>
  <c r="AN195" i="2" s="1"/>
  <c r="AN136" i="2"/>
  <c r="AN127" i="2"/>
  <c r="AN129" i="2"/>
  <c r="AN118" i="2"/>
  <c r="AN99" i="2"/>
  <c r="AN87" i="2"/>
  <c r="AN92" i="2"/>
  <c r="AN97" i="2"/>
  <c r="AN73" i="2"/>
  <c r="AN113" i="2"/>
  <c r="AN102" i="2"/>
  <c r="AN95" i="2"/>
  <c r="AN88" i="2"/>
  <c r="AN76" i="2"/>
  <c r="AN122" i="2"/>
  <c r="AN103" i="2"/>
  <c r="AN91" i="2"/>
  <c r="AN115" i="2"/>
  <c r="AN89" i="2"/>
  <c r="AN94" i="2"/>
  <c r="AN105" i="2"/>
  <c r="AN79" i="2"/>
  <c r="AN78" i="2"/>
  <c r="AR78" i="2" s="1"/>
  <c r="AN64" i="2"/>
  <c r="AN50" i="2"/>
  <c r="AN77" i="2"/>
  <c r="AN71" i="2"/>
  <c r="AN55" i="2"/>
  <c r="AN62" i="2"/>
  <c r="AN74" i="2"/>
  <c r="AN96" i="2"/>
  <c r="AN60" i="2"/>
  <c r="AN46" i="2"/>
  <c r="AN65" i="2"/>
  <c r="AN51" i="2"/>
  <c r="AN72" i="2"/>
  <c r="AR72" i="2" s="1"/>
  <c r="AN56" i="2"/>
  <c r="AO233" i="1" s="1"/>
  <c r="AN63" i="2"/>
  <c r="AN251" i="1" s="1"/>
  <c r="AN93" i="2"/>
  <c r="AN83" i="2"/>
  <c r="AN54" i="2"/>
  <c r="AN86" i="2"/>
  <c r="AN61" i="2"/>
  <c r="AN12" i="2"/>
  <c r="AN52" i="2"/>
  <c r="AN43" i="2"/>
  <c r="AN5" i="2"/>
  <c r="AN48" i="2"/>
  <c r="AN47" i="2" s="1"/>
  <c r="AO230" i="1" s="1"/>
  <c r="AN36" i="2"/>
  <c r="AN22" i="2"/>
  <c r="AN82" i="2"/>
  <c r="AN41" i="2"/>
  <c r="AN27" i="2"/>
  <c r="AN15" i="2"/>
  <c r="AN34" i="2"/>
  <c r="AN20" i="2"/>
  <c r="AN39" i="2"/>
  <c r="AN25" i="2"/>
  <c r="AN13" i="2"/>
  <c r="AN44" i="2"/>
  <c r="AN18" i="2"/>
  <c r="AN37" i="2"/>
  <c r="AN23" i="2"/>
  <c r="AO232" i="1" s="1"/>
  <c r="AN28" i="2"/>
  <c r="AN16" i="2"/>
  <c r="AN53" i="2"/>
  <c r="AN35" i="2"/>
  <c r="AN21" i="2"/>
  <c r="AN49" i="2"/>
  <c r="AN40" i="2"/>
  <c r="AN26" i="2"/>
  <c r="AN14" i="2"/>
  <c r="AZ181" i="2"/>
  <c r="AZ165" i="2"/>
  <c r="AZ188" i="2"/>
  <c r="AZ172" i="2"/>
  <c r="AZ179" i="2"/>
  <c r="AZ163" i="2"/>
  <c r="AZ186" i="2"/>
  <c r="AZ175" i="2"/>
  <c r="AZ184" i="2"/>
  <c r="AZ166" i="2"/>
  <c r="AZ189" i="2"/>
  <c r="AZ173" i="2"/>
  <c r="AZ159" i="2"/>
  <c r="AZ180" i="2"/>
  <c r="AZ164" i="2"/>
  <c r="AZ187" i="2"/>
  <c r="AZ185" i="2"/>
  <c r="AZ162" i="2"/>
  <c r="AZ148" i="2"/>
  <c r="AZ134" i="2"/>
  <c r="AZ178" i="2"/>
  <c r="AZ170" i="2"/>
  <c r="AZ155" i="2"/>
  <c r="AZ139" i="2"/>
  <c r="AZ123" i="2"/>
  <c r="AZ144" i="2"/>
  <c r="AZ151" i="2"/>
  <c r="AZ167" i="2"/>
  <c r="AZ160" i="2"/>
  <c r="AZ149" i="2"/>
  <c r="AZ135" i="2"/>
  <c r="AZ140" i="2"/>
  <c r="AZ249" i="1" s="1"/>
  <c r="AZ124" i="2"/>
  <c r="AZ145" i="2"/>
  <c r="AZ133" i="2"/>
  <c r="AZ150" i="2"/>
  <c r="AZ141" i="2"/>
  <c r="AZ250" i="1" s="1"/>
  <c r="AZ137" i="2"/>
  <c r="AZ111" i="2"/>
  <c r="AZ127" i="2"/>
  <c r="AZ116" i="2"/>
  <c r="AZ156" i="2"/>
  <c r="AZ121" i="2"/>
  <c r="AZ143" i="2"/>
  <c r="AZ129" i="2"/>
  <c r="AZ114" i="2"/>
  <c r="AZ194" i="2" s="1"/>
  <c r="AZ136" i="2"/>
  <c r="AZ119" i="2"/>
  <c r="AZ112" i="2"/>
  <c r="AZ171" i="2"/>
  <c r="AZ117" i="2"/>
  <c r="AZ138" i="2"/>
  <c r="AZ174" i="2"/>
  <c r="AZ118" i="2"/>
  <c r="AZ99" i="2"/>
  <c r="AZ243" i="1" s="1"/>
  <c r="AZ87" i="2"/>
  <c r="BE236" i="1" s="1"/>
  <c r="AZ154" i="2"/>
  <c r="AZ92" i="2"/>
  <c r="AZ97" i="2"/>
  <c r="AZ73" i="2"/>
  <c r="AZ128" i="2"/>
  <c r="AZ115" i="2"/>
  <c r="AZ102" i="2"/>
  <c r="AZ95" i="2"/>
  <c r="AZ241" i="1" s="1"/>
  <c r="AZ122" i="2"/>
  <c r="AZ88" i="2"/>
  <c r="BE237" i="1" s="1"/>
  <c r="AZ76" i="2"/>
  <c r="AZ75" i="2" s="1"/>
  <c r="AZ113" i="2"/>
  <c r="AZ103" i="2"/>
  <c r="AZ91" i="2"/>
  <c r="AZ90" i="2" s="1"/>
  <c r="AZ161" i="2"/>
  <c r="AZ142" i="2"/>
  <c r="AZ89" i="2"/>
  <c r="BE238" i="1" s="1"/>
  <c r="AZ94" i="2"/>
  <c r="AZ130" i="2"/>
  <c r="AZ83" i="2"/>
  <c r="AZ64" i="2"/>
  <c r="AZ50" i="2"/>
  <c r="AZ96" i="2"/>
  <c r="AZ71" i="2"/>
  <c r="AZ55" i="2"/>
  <c r="AZ82" i="2"/>
  <c r="AZ62" i="2"/>
  <c r="AZ79" i="2"/>
  <c r="AZ78" i="2"/>
  <c r="AZ60" i="2"/>
  <c r="AZ46" i="2"/>
  <c r="AZ93" i="2"/>
  <c r="AZ77" i="2"/>
  <c r="AZ65" i="2"/>
  <c r="AZ51" i="2"/>
  <c r="AZ86" i="2"/>
  <c r="AZ74" i="2"/>
  <c r="AZ72" i="2"/>
  <c r="AZ56" i="2"/>
  <c r="BA233" i="1" s="1"/>
  <c r="AZ63" i="2"/>
  <c r="AZ251" i="1" s="1"/>
  <c r="AZ54" i="2"/>
  <c r="AZ61" i="2"/>
  <c r="AZ12" i="2"/>
  <c r="AZ43" i="2"/>
  <c r="AZ5" i="2"/>
  <c r="AZ36" i="2"/>
  <c r="AZ22" i="2"/>
  <c r="AZ53" i="2"/>
  <c r="AZ41" i="2"/>
  <c r="AZ27" i="2"/>
  <c r="AZ15" i="2"/>
  <c r="AZ49" i="2"/>
  <c r="AZ34" i="2"/>
  <c r="AZ32" i="2" s="1"/>
  <c r="AZ20" i="2"/>
  <c r="AZ39" i="2"/>
  <c r="AZ25" i="2"/>
  <c r="AZ13" i="2"/>
  <c r="AZ44" i="2"/>
  <c r="AZ18" i="2"/>
  <c r="AZ52" i="2"/>
  <c r="AZ37" i="2"/>
  <c r="AZ23" i="2"/>
  <c r="BA232" i="1" s="1"/>
  <c r="AZ48" i="2"/>
  <c r="AZ47" i="2" s="1"/>
  <c r="BA230" i="1" s="1"/>
  <c r="AZ28" i="2"/>
  <c r="AZ16" i="2"/>
  <c r="AZ35" i="2"/>
  <c r="AZ21" i="2"/>
  <c r="AZ105" i="2"/>
  <c r="AZ40" i="2"/>
  <c r="AZ26" i="2"/>
  <c r="AZ14" i="2"/>
  <c r="X5" i="2"/>
  <c r="AL5" i="2"/>
  <c r="G7" i="2"/>
  <c r="AN7" i="2"/>
  <c r="AN6" i="2" s="1"/>
  <c r="BC7" i="2"/>
  <c r="P8" i="2"/>
  <c r="AG8" i="2"/>
  <c r="AH8" i="2" s="1"/>
  <c r="Z9" i="2"/>
  <c r="BE9" i="2"/>
  <c r="AX10" i="2"/>
  <c r="AX13" i="2"/>
  <c r="AB19" i="2"/>
  <c r="AC19" i="2" s="1"/>
  <c r="G22" i="2"/>
  <c r="AG34" i="2"/>
  <c r="AH34" i="2" s="1"/>
  <c r="AT39" i="2"/>
  <c r="AT38" i="2" s="1"/>
  <c r="O49" i="2"/>
  <c r="AE55" i="2"/>
  <c r="E188" i="2"/>
  <c r="E172" i="2"/>
  <c r="E179" i="2"/>
  <c r="E163" i="2"/>
  <c r="E186" i="2"/>
  <c r="E170" i="2"/>
  <c r="E175" i="2"/>
  <c r="E184" i="2"/>
  <c r="E189" i="2"/>
  <c r="I189" i="2" s="1"/>
  <c r="E173" i="2"/>
  <c r="E180" i="2"/>
  <c r="E164" i="2"/>
  <c r="E187" i="2"/>
  <c r="E171" i="2"/>
  <c r="E178" i="2"/>
  <c r="E174" i="2"/>
  <c r="E165" i="2"/>
  <c r="E155" i="2"/>
  <c r="E139" i="2"/>
  <c r="E123" i="2"/>
  <c r="E159" i="2"/>
  <c r="E144" i="2"/>
  <c r="E130" i="2"/>
  <c r="E151" i="2"/>
  <c r="E162" i="2"/>
  <c r="E167" i="2"/>
  <c r="E149" i="2"/>
  <c r="E156" i="2"/>
  <c r="E140" i="2"/>
  <c r="E249" i="1" s="1"/>
  <c r="E181" i="2"/>
  <c r="E145" i="2"/>
  <c r="E133" i="2"/>
  <c r="E154" i="2"/>
  <c r="E138" i="2"/>
  <c r="E185" i="2"/>
  <c r="E161" i="2"/>
  <c r="E148" i="2"/>
  <c r="E134" i="2"/>
  <c r="E127" i="2"/>
  <c r="E116" i="2"/>
  <c r="E147" i="3" s="1"/>
  <c r="E129" i="2"/>
  <c r="E121" i="2"/>
  <c r="E143" i="2"/>
  <c r="E136" i="2"/>
  <c r="E119" i="2"/>
  <c r="E152" i="3" s="1"/>
  <c r="E187" i="3" s="1"/>
  <c r="E112" i="2"/>
  <c r="E124" i="2"/>
  <c r="E117" i="2"/>
  <c r="E160" i="2"/>
  <c r="E142" i="2"/>
  <c r="E128" i="2"/>
  <c r="E122" i="2"/>
  <c r="E149" i="3" s="1"/>
  <c r="E150" i="2"/>
  <c r="E141" i="2"/>
  <c r="E250" i="1" s="1"/>
  <c r="E118" i="2"/>
  <c r="E151" i="3" s="1"/>
  <c r="E186" i="3" s="1"/>
  <c r="E166" i="2"/>
  <c r="E137" i="2"/>
  <c r="E92" i="2"/>
  <c r="E97" i="2"/>
  <c r="E73" i="2"/>
  <c r="E102" i="2"/>
  <c r="E78" i="2"/>
  <c r="E114" i="2"/>
  <c r="E95" i="2"/>
  <c r="E135" i="2"/>
  <c r="E111" i="2"/>
  <c r="E88" i="2"/>
  <c r="E105" i="2"/>
  <c r="I105" i="2" s="1"/>
  <c r="E93" i="2"/>
  <c r="I93" i="2" s="1"/>
  <c r="E115" i="2"/>
  <c r="E146" i="3" s="1"/>
  <c r="E96" i="2"/>
  <c r="E94" i="2"/>
  <c r="E113" i="2"/>
  <c r="E99" i="2"/>
  <c r="E87" i="2"/>
  <c r="E64" i="2"/>
  <c r="E76" i="3" s="1"/>
  <c r="E50" i="2"/>
  <c r="E62" i="3" s="1"/>
  <c r="E103" i="2"/>
  <c r="E77" i="2"/>
  <c r="E76" i="2"/>
  <c r="E71" i="2"/>
  <c r="E55" i="2"/>
  <c r="E67" i="3" s="1"/>
  <c r="E89" i="2"/>
  <c r="E62" i="2"/>
  <c r="E74" i="3" s="1"/>
  <c r="E48" i="2"/>
  <c r="E60" i="2"/>
  <c r="E65" i="2"/>
  <c r="E77" i="3" s="1"/>
  <c r="E51" i="2"/>
  <c r="E63" i="3" s="1"/>
  <c r="E86" i="2"/>
  <c r="E74" i="2"/>
  <c r="E72" i="2"/>
  <c r="E56" i="2"/>
  <c r="E63" i="2"/>
  <c r="E75" i="3" s="1"/>
  <c r="F75" i="3" s="1"/>
  <c r="E49" i="2"/>
  <c r="E61" i="3" s="1"/>
  <c r="E83" i="2"/>
  <c r="E61" i="2"/>
  <c r="E73" i="3" s="1"/>
  <c r="E91" i="2"/>
  <c r="E82" i="2"/>
  <c r="E43" i="2"/>
  <c r="E5" i="2"/>
  <c r="E36" i="2"/>
  <c r="E48" i="3" s="1"/>
  <c r="E22" i="2"/>
  <c r="E35" i="3" s="1"/>
  <c r="E10" i="2"/>
  <c r="E23" i="3" s="1"/>
  <c r="E79" i="2"/>
  <c r="E53" i="2"/>
  <c r="E65" i="3" s="1"/>
  <c r="E41" i="2"/>
  <c r="E53" i="3" s="1"/>
  <c r="E27" i="2"/>
  <c r="E40" i="3" s="1"/>
  <c r="E15" i="2"/>
  <c r="E28" i="3" s="1"/>
  <c r="E34" i="2"/>
  <c r="E46" i="3" s="1"/>
  <c r="E20" i="2"/>
  <c r="E33" i="3" s="1"/>
  <c r="E145" i="3" s="1"/>
  <c r="E46" i="2"/>
  <c r="E58" i="3" s="1"/>
  <c r="E39" i="2"/>
  <c r="E38" i="2" s="1"/>
  <c r="E25" i="2"/>
  <c r="E44" i="2"/>
  <c r="E56" i="3" s="1"/>
  <c r="E18" i="2"/>
  <c r="E52" i="2"/>
  <c r="E64" i="3" s="1"/>
  <c r="E37" i="2"/>
  <c r="E49" i="3" s="1"/>
  <c r="F49" i="3" s="1"/>
  <c r="E23" i="2"/>
  <c r="E28" i="2"/>
  <c r="E41" i="3" s="1"/>
  <c r="E16" i="2"/>
  <c r="E29" i="3" s="1"/>
  <c r="E35" i="2"/>
  <c r="E47" i="3" s="1"/>
  <c r="E21" i="2"/>
  <c r="E34" i="3" s="1"/>
  <c r="E40" i="2"/>
  <c r="E52" i="3" s="1"/>
  <c r="E26" i="2"/>
  <c r="E39" i="3" s="1"/>
  <c r="E14" i="2"/>
  <c r="E27" i="3" s="1"/>
  <c r="E54" i="2"/>
  <c r="E66" i="3" s="1"/>
  <c r="E45" i="2"/>
  <c r="E57" i="3" s="1"/>
  <c r="E33" i="2"/>
  <c r="E19" i="2"/>
  <c r="E32" i="3" s="1"/>
  <c r="Q188" i="2"/>
  <c r="Q172" i="2"/>
  <c r="Q179" i="2"/>
  <c r="Q163" i="2"/>
  <c r="Q186" i="2"/>
  <c r="Q170" i="2"/>
  <c r="Q175" i="2"/>
  <c r="Q184" i="2"/>
  <c r="Q189" i="2"/>
  <c r="Q173" i="2"/>
  <c r="Q180" i="2"/>
  <c r="Q164" i="2"/>
  <c r="Q187" i="2"/>
  <c r="Q171" i="2"/>
  <c r="Q178" i="2"/>
  <c r="Q174" i="2"/>
  <c r="Q155" i="2"/>
  <c r="Q139" i="2"/>
  <c r="Q123" i="2"/>
  <c r="Q160" i="2"/>
  <c r="Q144" i="2"/>
  <c r="Q130" i="2"/>
  <c r="Q166" i="2"/>
  <c r="Q151" i="2"/>
  <c r="Q159" i="2"/>
  <c r="Q181" i="2"/>
  <c r="Q161" i="2"/>
  <c r="Q149" i="2"/>
  <c r="Q156" i="2"/>
  <c r="Q140" i="2"/>
  <c r="Q249" i="1" s="1"/>
  <c r="Q165" i="2"/>
  <c r="Q145" i="2"/>
  <c r="Q133" i="2"/>
  <c r="Q154" i="2"/>
  <c r="Q138" i="2"/>
  <c r="Q167" i="2"/>
  <c r="Q148" i="2"/>
  <c r="Q134" i="2"/>
  <c r="Q142" i="2"/>
  <c r="Q116" i="2"/>
  <c r="Q135" i="2"/>
  <c r="Q121" i="2"/>
  <c r="Q185" i="2"/>
  <c r="Q127" i="2"/>
  <c r="Q119" i="2"/>
  <c r="Q141" i="2"/>
  <c r="Q250" i="1" s="1"/>
  <c r="Q129" i="2"/>
  <c r="Q112" i="2"/>
  <c r="Q162" i="2"/>
  <c r="Q137" i="2"/>
  <c r="Q117" i="2"/>
  <c r="Q122" i="2"/>
  <c r="Q150" i="2"/>
  <c r="Q143" i="2"/>
  <c r="Q124" i="2"/>
  <c r="Q136" i="2"/>
  <c r="Q128" i="2"/>
  <c r="Q118" i="2"/>
  <c r="Q120" i="2" s="1"/>
  <c r="Q195" i="2" s="1"/>
  <c r="Q92" i="2"/>
  <c r="Q97" i="2"/>
  <c r="Q73" i="2"/>
  <c r="Q102" i="2"/>
  <c r="Q78" i="2"/>
  <c r="Q95" i="2"/>
  <c r="Q241" i="1" s="1"/>
  <c r="Q113" i="2"/>
  <c r="Q88" i="2"/>
  <c r="V237" i="1" s="1"/>
  <c r="Q105" i="2"/>
  <c r="Q93" i="2"/>
  <c r="Q114" i="2"/>
  <c r="Q194" i="2" s="1"/>
  <c r="Q96" i="2"/>
  <c r="Q94" i="2"/>
  <c r="Q115" i="2"/>
  <c r="Q99" i="2"/>
  <c r="Q243" i="1" s="1"/>
  <c r="Q87" i="2"/>
  <c r="V236" i="1" s="1"/>
  <c r="Q83" i="2"/>
  <c r="Q64" i="2"/>
  <c r="Q50" i="2"/>
  <c r="Q71" i="2"/>
  <c r="Q55" i="2"/>
  <c r="Q82" i="2"/>
  <c r="Q62" i="2"/>
  <c r="Q48" i="2"/>
  <c r="Q86" i="2"/>
  <c r="Q79" i="2"/>
  <c r="Q60" i="2"/>
  <c r="Q77" i="2"/>
  <c r="Q76" i="2"/>
  <c r="Q75" i="2" s="1"/>
  <c r="Q65" i="2"/>
  <c r="Q51" i="2"/>
  <c r="Q72" i="2"/>
  <c r="Q56" i="2"/>
  <c r="R233" i="1" s="1"/>
  <c r="Q91" i="2"/>
  <c r="Q63" i="2"/>
  <c r="Q49" i="2"/>
  <c r="Q74" i="2"/>
  <c r="Q61" i="2"/>
  <c r="Q103" i="2"/>
  <c r="Q52" i="2"/>
  <c r="Q43" i="2"/>
  <c r="Q5" i="2"/>
  <c r="Q36" i="2"/>
  <c r="Q22" i="2"/>
  <c r="Q10" i="2"/>
  <c r="Q41" i="2"/>
  <c r="Q27" i="2"/>
  <c r="Q15" i="2"/>
  <c r="Q34" i="2"/>
  <c r="Q20" i="2"/>
  <c r="Q39" i="2"/>
  <c r="Q25" i="2"/>
  <c r="Q89" i="2"/>
  <c r="V238" i="1" s="1"/>
  <c r="Q54" i="2"/>
  <c r="Q44" i="2"/>
  <c r="Q18" i="2"/>
  <c r="Q37" i="2"/>
  <c r="Q23" i="2"/>
  <c r="R232" i="1" s="1"/>
  <c r="Q28" i="2"/>
  <c r="Q16" i="2"/>
  <c r="Q53" i="2"/>
  <c r="Q35" i="2"/>
  <c r="Q21" i="2"/>
  <c r="Q111" i="2"/>
  <c r="Q46" i="2"/>
  <c r="Q40" i="2"/>
  <c r="Q26" i="2"/>
  <c r="Q14" i="2"/>
  <c r="Q45" i="2"/>
  <c r="Q33" i="2"/>
  <c r="Q19" i="2"/>
  <c r="AO188" i="2"/>
  <c r="AO172" i="2"/>
  <c r="AO179" i="2"/>
  <c r="AO163" i="2"/>
  <c r="AO186" i="2"/>
  <c r="AO170" i="2"/>
  <c r="AO175" i="2"/>
  <c r="AO184" i="2"/>
  <c r="AO189" i="2"/>
  <c r="AO173" i="2"/>
  <c r="AO180" i="2"/>
  <c r="AO164" i="2"/>
  <c r="AO187" i="2"/>
  <c r="AO171" i="2"/>
  <c r="AO178" i="2"/>
  <c r="AO174" i="2"/>
  <c r="AO181" i="2"/>
  <c r="AO155" i="2"/>
  <c r="AO139" i="2"/>
  <c r="AO123" i="2"/>
  <c r="AO144" i="2"/>
  <c r="AO130" i="2"/>
  <c r="AO166" i="2"/>
  <c r="AO161" i="2"/>
  <c r="AO151" i="2"/>
  <c r="AO149" i="2"/>
  <c r="AO185" i="2"/>
  <c r="AO140" i="2"/>
  <c r="AO249" i="1" s="1"/>
  <c r="AO165" i="2"/>
  <c r="AO162" i="2"/>
  <c r="AO145" i="2"/>
  <c r="AO133" i="2"/>
  <c r="AO156" i="2"/>
  <c r="AO154" i="2"/>
  <c r="AO138" i="2"/>
  <c r="AO167" i="2"/>
  <c r="AO160" i="2"/>
  <c r="AO148" i="2"/>
  <c r="AO134" i="2"/>
  <c r="AO142" i="2"/>
  <c r="AO116" i="2"/>
  <c r="AO135" i="2"/>
  <c r="AO121" i="2"/>
  <c r="AO105" i="2"/>
  <c r="AO124" i="2"/>
  <c r="AO128" i="2"/>
  <c r="AO119" i="2"/>
  <c r="AO150" i="2"/>
  <c r="AO141" i="2"/>
  <c r="AO250" i="1" s="1"/>
  <c r="AO112" i="2"/>
  <c r="AO137" i="2"/>
  <c r="AO117" i="2"/>
  <c r="AO122" i="2"/>
  <c r="AO159" i="2"/>
  <c r="AO143" i="2"/>
  <c r="AO136" i="2"/>
  <c r="AO127" i="2"/>
  <c r="AO129" i="2"/>
  <c r="AO118" i="2"/>
  <c r="AO120" i="2" s="1"/>
  <c r="AO195" i="2" s="1"/>
  <c r="AO92" i="2"/>
  <c r="AO97" i="2"/>
  <c r="AO73" i="2"/>
  <c r="AO113" i="2"/>
  <c r="AO102" i="2"/>
  <c r="AO78" i="2"/>
  <c r="AO95" i="2"/>
  <c r="AO241" i="1" s="1"/>
  <c r="AO88" i="2"/>
  <c r="AT237" i="1" s="1"/>
  <c r="AO93" i="2"/>
  <c r="AO114" i="2"/>
  <c r="AO96" i="2"/>
  <c r="AO94" i="2"/>
  <c r="AO99" i="2"/>
  <c r="AO243" i="1" s="1"/>
  <c r="AO87" i="2"/>
  <c r="AT236" i="1" s="1"/>
  <c r="AO64" i="2"/>
  <c r="AO50" i="2"/>
  <c r="AO91" i="2"/>
  <c r="AO77" i="2"/>
  <c r="AO76" i="2"/>
  <c r="AO71" i="2"/>
  <c r="AO55" i="2"/>
  <c r="AO62" i="2"/>
  <c r="AO48" i="2"/>
  <c r="AO74" i="2"/>
  <c r="AO115" i="2"/>
  <c r="AO103" i="2"/>
  <c r="AO60" i="2"/>
  <c r="AO89" i="2"/>
  <c r="AT238" i="1" s="1"/>
  <c r="AO65" i="2"/>
  <c r="AO51" i="2"/>
  <c r="AO72" i="2"/>
  <c r="AO56" i="2"/>
  <c r="AP233" i="1" s="1"/>
  <c r="AO111" i="2"/>
  <c r="AO63" i="2"/>
  <c r="AO251" i="1" s="1"/>
  <c r="AO49" i="2"/>
  <c r="AO83" i="2"/>
  <c r="AO54" i="2"/>
  <c r="AO86" i="2"/>
  <c r="AO61" i="2"/>
  <c r="AO82" i="2"/>
  <c r="AO79" i="2"/>
  <c r="AO52" i="2"/>
  <c r="AO43" i="2"/>
  <c r="AO5" i="2"/>
  <c r="AO36" i="2"/>
  <c r="AO22" i="2"/>
  <c r="AO10" i="2"/>
  <c r="AO41" i="2"/>
  <c r="AO27" i="2"/>
  <c r="AO15" i="2"/>
  <c r="AO34" i="2"/>
  <c r="AO20" i="2"/>
  <c r="AO39" i="2"/>
  <c r="AO25" i="2"/>
  <c r="AO24" i="2" s="1"/>
  <c r="AO13" i="2"/>
  <c r="AO44" i="2"/>
  <c r="AO18" i="2"/>
  <c r="AO37" i="2"/>
  <c r="AO23" i="2"/>
  <c r="AP232" i="1" s="1"/>
  <c r="AO28" i="2"/>
  <c r="AO16" i="2"/>
  <c r="AO53" i="2"/>
  <c r="AO35" i="2"/>
  <c r="AO21" i="2"/>
  <c r="AO46" i="2"/>
  <c r="AO40" i="2"/>
  <c r="AO26" i="2"/>
  <c r="AO14" i="2"/>
  <c r="AO45" i="2"/>
  <c r="AO33" i="2"/>
  <c r="AO32" i="2" s="1"/>
  <c r="AO19" i="2"/>
  <c r="BA188" i="2"/>
  <c r="BA172" i="2"/>
  <c r="BA179" i="2"/>
  <c r="BA163" i="2"/>
  <c r="BB163" i="2" s="1"/>
  <c r="BA186" i="2"/>
  <c r="BA170" i="2"/>
  <c r="BA175" i="2"/>
  <c r="BA184" i="2"/>
  <c r="BA189" i="2"/>
  <c r="BA173" i="2"/>
  <c r="BA180" i="2"/>
  <c r="BA164" i="2"/>
  <c r="BB164" i="2" s="1"/>
  <c r="BA187" i="2"/>
  <c r="BA171" i="2"/>
  <c r="BA178" i="2"/>
  <c r="BA174" i="2"/>
  <c r="BA165" i="2"/>
  <c r="BB165" i="2" s="1"/>
  <c r="BA155" i="2"/>
  <c r="BB155" i="2" s="1"/>
  <c r="BA139" i="2"/>
  <c r="BB139" i="2" s="1"/>
  <c r="BA123" i="2"/>
  <c r="BA159" i="2"/>
  <c r="BB159" i="2" s="1"/>
  <c r="BA144" i="2"/>
  <c r="BB144" i="2" s="1"/>
  <c r="BA130" i="2"/>
  <c r="BB130" i="2" s="1"/>
  <c r="BA151" i="2"/>
  <c r="BB151" i="2" s="1"/>
  <c r="BA185" i="2"/>
  <c r="BA167" i="2"/>
  <c r="BB167" i="2" s="1"/>
  <c r="BA160" i="2"/>
  <c r="BB160" i="2" s="1"/>
  <c r="BA149" i="2"/>
  <c r="BA140" i="2"/>
  <c r="BA145" i="2"/>
  <c r="BB145" i="2" s="1"/>
  <c r="BA133" i="2"/>
  <c r="BB133" i="2" s="1"/>
  <c r="BA161" i="2"/>
  <c r="BB161" i="2" s="1"/>
  <c r="BA154" i="2"/>
  <c r="BB154" i="2" s="1"/>
  <c r="BA138" i="2"/>
  <c r="BB138" i="2" s="1"/>
  <c r="BA181" i="2"/>
  <c r="BA162" i="2"/>
  <c r="BB162" i="2" s="1"/>
  <c r="BA148" i="2"/>
  <c r="BB148" i="2" s="1"/>
  <c r="BA134" i="2"/>
  <c r="BB134" i="2" s="1"/>
  <c r="BA127" i="2"/>
  <c r="BA116" i="2"/>
  <c r="BB116" i="2" s="1"/>
  <c r="BA156" i="2"/>
  <c r="BB156" i="2" s="1"/>
  <c r="BA121" i="2"/>
  <c r="BA105" i="2"/>
  <c r="BA150" i="2"/>
  <c r="BA143" i="2"/>
  <c r="BB143" i="2" s="1"/>
  <c r="BA129" i="2"/>
  <c r="BB129" i="2" s="1"/>
  <c r="BA136" i="2"/>
  <c r="BB136" i="2" s="1"/>
  <c r="BA119" i="2"/>
  <c r="BB119" i="2" s="1"/>
  <c r="BA112" i="2"/>
  <c r="BB112" i="2" s="1"/>
  <c r="BA124" i="2"/>
  <c r="BB124" i="2" s="1"/>
  <c r="BA117" i="2"/>
  <c r="BA142" i="2"/>
  <c r="BB142" i="2" s="1"/>
  <c r="BA128" i="2"/>
  <c r="BA122" i="2"/>
  <c r="BB122" i="2" s="1"/>
  <c r="BA141" i="2"/>
  <c r="BA118" i="2"/>
  <c r="BB118" i="2" s="1"/>
  <c r="BA137" i="2"/>
  <c r="BB137" i="2" s="1"/>
  <c r="BA111" i="2"/>
  <c r="BA92" i="2"/>
  <c r="BA97" i="2"/>
  <c r="BA73" i="2"/>
  <c r="BA135" i="2"/>
  <c r="BB135" i="2" s="1"/>
  <c r="BA115" i="2"/>
  <c r="BB115" i="2" s="1"/>
  <c r="BA102" i="2"/>
  <c r="BA78" i="2"/>
  <c r="BA95" i="2"/>
  <c r="BA241" i="1" s="1"/>
  <c r="BA83" i="2"/>
  <c r="BA88" i="2"/>
  <c r="BF237" i="1" s="1"/>
  <c r="BA93" i="2"/>
  <c r="BA166" i="2"/>
  <c r="BB166" i="2" s="1"/>
  <c r="BA96" i="2"/>
  <c r="BA94" i="2"/>
  <c r="BA114" i="2"/>
  <c r="BA99" i="2"/>
  <c r="BA243" i="1" s="1"/>
  <c r="BA87" i="2"/>
  <c r="BF236" i="1" s="1"/>
  <c r="BA64" i="2"/>
  <c r="BB64" i="2" s="1"/>
  <c r="BA50" i="2"/>
  <c r="BB50" i="2" s="1"/>
  <c r="BA113" i="2"/>
  <c r="BB113" i="2" s="1"/>
  <c r="BA103" i="2"/>
  <c r="BA71" i="2"/>
  <c r="BA55" i="2"/>
  <c r="BB55" i="2" s="1"/>
  <c r="BA89" i="2"/>
  <c r="BF238" i="1" s="1"/>
  <c r="BA82" i="2"/>
  <c r="BA62" i="2"/>
  <c r="BB62" i="2" s="1"/>
  <c r="BA48" i="2"/>
  <c r="BA79" i="2"/>
  <c r="BA60" i="2"/>
  <c r="BA77" i="2"/>
  <c r="BA76" i="2"/>
  <c r="BA65" i="2"/>
  <c r="BB65" i="2" s="1"/>
  <c r="BA51" i="2"/>
  <c r="BB51" i="2" s="1"/>
  <c r="BA86" i="2"/>
  <c r="BA74" i="2"/>
  <c r="BA72" i="2"/>
  <c r="BA56" i="2"/>
  <c r="BA63" i="2"/>
  <c r="BA49" i="2"/>
  <c r="BB49" i="2" s="1"/>
  <c r="BA54" i="2"/>
  <c r="BB54" i="2" s="1"/>
  <c r="BA61" i="2"/>
  <c r="BB61" i="2" s="1"/>
  <c r="BA91" i="2"/>
  <c r="BA43" i="2"/>
  <c r="BA5" i="2"/>
  <c r="BA36" i="2"/>
  <c r="BB36" i="2" s="1"/>
  <c r="BA22" i="2"/>
  <c r="BB22" i="2" s="1"/>
  <c r="BA10" i="2"/>
  <c r="BB10" i="2" s="1"/>
  <c r="BA53" i="2"/>
  <c r="BB53" i="2" s="1"/>
  <c r="BA41" i="2"/>
  <c r="BB41" i="2" s="1"/>
  <c r="BA27" i="2"/>
  <c r="BB27" i="2" s="1"/>
  <c r="BA15" i="2"/>
  <c r="BB15" i="2" s="1"/>
  <c r="BA46" i="2"/>
  <c r="BB46" i="2" s="1"/>
  <c r="BA34" i="2"/>
  <c r="BB34" i="2" s="1"/>
  <c r="BA20" i="2"/>
  <c r="BB20" i="2" s="1"/>
  <c r="BA39" i="2"/>
  <c r="BA25" i="2"/>
  <c r="BA13" i="2"/>
  <c r="BB13" i="2" s="1"/>
  <c r="BA44" i="2"/>
  <c r="BB44" i="2" s="1"/>
  <c r="BA18" i="2"/>
  <c r="BA52" i="2"/>
  <c r="BB52" i="2" s="1"/>
  <c r="BA37" i="2"/>
  <c r="BB37" i="2" s="1"/>
  <c r="BA23" i="2"/>
  <c r="BA28" i="2"/>
  <c r="BB28" i="2" s="1"/>
  <c r="BA16" i="2"/>
  <c r="BB16" i="2" s="1"/>
  <c r="BA35" i="2"/>
  <c r="BB35" i="2" s="1"/>
  <c r="BA21" i="2"/>
  <c r="BB21" i="2" s="1"/>
  <c r="BA40" i="2"/>
  <c r="BB40" i="2" s="1"/>
  <c r="BA26" i="2"/>
  <c r="BB26" i="2" s="1"/>
  <c r="BA14" i="2"/>
  <c r="BB14" i="2" s="1"/>
  <c r="BA45" i="2"/>
  <c r="BB45" i="2" s="1"/>
  <c r="BA33" i="2"/>
  <c r="BA19" i="2"/>
  <c r="BB19" i="2" s="1"/>
  <c r="BC5" i="2"/>
  <c r="AO7" i="2"/>
  <c r="AO6" i="2" s="1"/>
  <c r="Q8" i="2"/>
  <c r="Q6" i="2" s="1"/>
  <c r="J9" i="2"/>
  <c r="AA9" i="2"/>
  <c r="BF9" i="2"/>
  <c r="BG9" i="2" s="1"/>
  <c r="AY10" i="2"/>
  <c r="U12" i="2"/>
  <c r="U11" i="2" s="1"/>
  <c r="AE13" i="2"/>
  <c r="AY13" i="2"/>
  <c r="AN19" i="2"/>
  <c r="AS34" i="2"/>
  <c r="BF39" i="2"/>
  <c r="P45" i="2"/>
  <c r="J60" i="2"/>
  <c r="E9" i="4"/>
  <c r="E20" i="4"/>
  <c r="F179" i="2"/>
  <c r="F163" i="2"/>
  <c r="F186" i="2"/>
  <c r="F170" i="2"/>
  <c r="F175" i="2"/>
  <c r="F161" i="2"/>
  <c r="F184" i="2"/>
  <c r="F189" i="2"/>
  <c r="F173" i="2"/>
  <c r="F180" i="2"/>
  <c r="F164" i="2"/>
  <c r="F187" i="2"/>
  <c r="F171" i="2"/>
  <c r="F178" i="2"/>
  <c r="F162" i="2"/>
  <c r="F185" i="2"/>
  <c r="F181" i="2"/>
  <c r="F159" i="2"/>
  <c r="F144" i="2"/>
  <c r="F130" i="2"/>
  <c r="F151" i="2"/>
  <c r="F137" i="2"/>
  <c r="F174" i="2"/>
  <c r="F167" i="2"/>
  <c r="F149" i="2"/>
  <c r="F156" i="2"/>
  <c r="F145" i="2"/>
  <c r="F133" i="2"/>
  <c r="F172" i="2"/>
  <c r="F154" i="2"/>
  <c r="F138" i="2"/>
  <c r="F166" i="2"/>
  <c r="F143" i="2"/>
  <c r="F148" i="2"/>
  <c r="F165" i="2"/>
  <c r="F155" i="2"/>
  <c r="F139" i="2"/>
  <c r="F129" i="2"/>
  <c r="F123" i="2"/>
  <c r="F121" i="2"/>
  <c r="F140" i="2"/>
  <c r="F249" i="1" s="1"/>
  <c r="F114" i="2"/>
  <c r="F136" i="2"/>
  <c r="F119" i="2"/>
  <c r="F112" i="2"/>
  <c r="F124" i="2"/>
  <c r="F117" i="2"/>
  <c r="F160" i="2"/>
  <c r="F142" i="2"/>
  <c r="F128" i="2"/>
  <c r="F122" i="2"/>
  <c r="F135" i="2"/>
  <c r="F188" i="2"/>
  <c r="F150" i="2"/>
  <c r="F141" i="2"/>
  <c r="F250" i="1" s="1"/>
  <c r="F118" i="2"/>
  <c r="F134" i="2"/>
  <c r="F127" i="2"/>
  <c r="F97" i="2"/>
  <c r="F102" i="2"/>
  <c r="F78" i="2"/>
  <c r="F95" i="2"/>
  <c r="F241" i="1" s="1"/>
  <c r="F83" i="2"/>
  <c r="F111" i="2"/>
  <c r="F88" i="2"/>
  <c r="F105" i="2"/>
  <c r="F93" i="2"/>
  <c r="F115" i="2"/>
  <c r="F86" i="2"/>
  <c r="F120" i="2"/>
  <c r="F195" i="2" s="1"/>
  <c r="F89" i="2"/>
  <c r="F113" i="2"/>
  <c r="F99" i="2"/>
  <c r="F243" i="1" s="1"/>
  <c r="F87" i="2"/>
  <c r="F116" i="2"/>
  <c r="F92" i="2"/>
  <c r="F103" i="2"/>
  <c r="F77" i="2"/>
  <c r="F76" i="2"/>
  <c r="F73" i="2"/>
  <c r="F71" i="2"/>
  <c r="F70" i="2" s="1"/>
  <c r="F55" i="2"/>
  <c r="F96" i="2"/>
  <c r="F62" i="2"/>
  <c r="F48" i="2"/>
  <c r="F53" i="2"/>
  <c r="F60" i="2"/>
  <c r="F65" i="2"/>
  <c r="F94" i="2"/>
  <c r="F74" i="2"/>
  <c r="F72" i="2"/>
  <c r="F56" i="2"/>
  <c r="G233" i="1" s="1"/>
  <c r="F63" i="2"/>
  <c r="F49" i="2"/>
  <c r="F54" i="2"/>
  <c r="F61" i="2"/>
  <c r="F91" i="2"/>
  <c r="F82" i="2"/>
  <c r="F79" i="2"/>
  <c r="F36" i="2"/>
  <c r="F22" i="2"/>
  <c r="F10" i="2"/>
  <c r="F50" i="2"/>
  <c r="F41" i="2"/>
  <c r="F27" i="2"/>
  <c r="F15" i="2"/>
  <c r="F34" i="2"/>
  <c r="F20" i="2"/>
  <c r="F46" i="2"/>
  <c r="F39" i="2"/>
  <c r="F25" i="2"/>
  <c r="F44" i="2"/>
  <c r="F18" i="2"/>
  <c r="F64" i="2"/>
  <c r="F52" i="2"/>
  <c r="F37" i="2"/>
  <c r="F23" i="2"/>
  <c r="G232" i="1" s="1"/>
  <c r="F28" i="2"/>
  <c r="F16" i="2"/>
  <c r="F35" i="2"/>
  <c r="F21" i="2"/>
  <c r="F40" i="2"/>
  <c r="F26" i="2"/>
  <c r="F14" i="2"/>
  <c r="F51" i="2"/>
  <c r="F45" i="2"/>
  <c r="F33" i="2"/>
  <c r="F19" i="2"/>
  <c r="R179" i="2"/>
  <c r="R163" i="2"/>
  <c r="S163" i="2" s="1"/>
  <c r="R186" i="2"/>
  <c r="R170" i="2"/>
  <c r="R175" i="2"/>
  <c r="R161" i="2"/>
  <c r="S161" i="2" s="1"/>
  <c r="R184" i="2"/>
  <c r="R189" i="2"/>
  <c r="R173" i="2"/>
  <c r="R180" i="2"/>
  <c r="R164" i="2"/>
  <c r="S164" i="2" s="1"/>
  <c r="R187" i="2"/>
  <c r="R171" i="2"/>
  <c r="R178" i="2"/>
  <c r="R162" i="2"/>
  <c r="S162" i="2" s="1"/>
  <c r="R185" i="2"/>
  <c r="R181" i="2"/>
  <c r="R160" i="2"/>
  <c r="S160" i="2" s="1"/>
  <c r="R144" i="2"/>
  <c r="S144" i="2" s="1"/>
  <c r="R130" i="2"/>
  <c r="S130" i="2" s="1"/>
  <c r="R174" i="2"/>
  <c r="R166" i="2"/>
  <c r="S166" i="2" s="1"/>
  <c r="R151" i="2"/>
  <c r="S151" i="2" s="1"/>
  <c r="R137" i="2"/>
  <c r="S137" i="2" s="1"/>
  <c r="R172" i="2"/>
  <c r="R159" i="2"/>
  <c r="S159" i="2" s="1"/>
  <c r="R149" i="2"/>
  <c r="R156" i="2"/>
  <c r="S156" i="2" s="1"/>
  <c r="R165" i="2"/>
  <c r="S165" i="2" s="1"/>
  <c r="R145" i="2"/>
  <c r="S145" i="2" s="1"/>
  <c r="R133" i="2"/>
  <c r="S133" i="2" s="1"/>
  <c r="R188" i="2"/>
  <c r="R154" i="2"/>
  <c r="S154" i="2" s="1"/>
  <c r="R138" i="2"/>
  <c r="S138" i="2" s="1"/>
  <c r="R143" i="2"/>
  <c r="S143" i="2" s="1"/>
  <c r="R148" i="2"/>
  <c r="S148" i="2" s="1"/>
  <c r="R155" i="2"/>
  <c r="S155" i="2" s="1"/>
  <c r="R139" i="2"/>
  <c r="S139" i="2" s="1"/>
  <c r="R135" i="2"/>
  <c r="S135" i="2" s="1"/>
  <c r="R121" i="2"/>
  <c r="R114" i="2"/>
  <c r="R127" i="2"/>
  <c r="R123" i="2"/>
  <c r="R119" i="2"/>
  <c r="S119" i="2" s="1"/>
  <c r="R141" i="2"/>
  <c r="R129" i="2"/>
  <c r="S129" i="2" s="1"/>
  <c r="R112" i="2"/>
  <c r="S112" i="2" s="1"/>
  <c r="R134" i="2"/>
  <c r="S134" i="2" s="1"/>
  <c r="R117" i="2"/>
  <c r="R122" i="2"/>
  <c r="S122" i="2" s="1"/>
  <c r="R167" i="2"/>
  <c r="S167" i="2" s="1"/>
  <c r="R136" i="2"/>
  <c r="S136" i="2" s="1"/>
  <c r="R128" i="2"/>
  <c r="R118" i="2"/>
  <c r="S118" i="2" s="1"/>
  <c r="R142" i="2"/>
  <c r="S142" i="2" s="1"/>
  <c r="R124" i="2"/>
  <c r="S124" i="2" s="1"/>
  <c r="R97" i="2"/>
  <c r="R73" i="2"/>
  <c r="R102" i="2"/>
  <c r="R78" i="2"/>
  <c r="R95" i="2"/>
  <c r="R241" i="1" s="1"/>
  <c r="R83" i="2"/>
  <c r="R150" i="2"/>
  <c r="R113" i="2"/>
  <c r="S113" i="2" s="1"/>
  <c r="R88" i="2"/>
  <c r="W237" i="1" s="1"/>
  <c r="R140" i="2"/>
  <c r="R116" i="2"/>
  <c r="S116" i="2" s="1"/>
  <c r="R105" i="2"/>
  <c r="R93" i="2"/>
  <c r="R86" i="2"/>
  <c r="R111" i="2"/>
  <c r="R89" i="2"/>
  <c r="W238" i="1" s="1"/>
  <c r="R115" i="2"/>
  <c r="S115" i="2" s="1"/>
  <c r="R99" i="2"/>
  <c r="R243" i="1" s="1"/>
  <c r="R87" i="2"/>
  <c r="W236" i="1" s="1"/>
  <c r="R92" i="2"/>
  <c r="R71" i="2"/>
  <c r="R55" i="2"/>
  <c r="S55" i="2" s="1"/>
  <c r="R82" i="2"/>
  <c r="R62" i="2"/>
  <c r="S62" i="2" s="1"/>
  <c r="R48" i="2"/>
  <c r="R94" i="2"/>
  <c r="R79" i="2"/>
  <c r="R53" i="2"/>
  <c r="S53" i="2" s="1"/>
  <c r="R60" i="2"/>
  <c r="R77" i="2"/>
  <c r="R76" i="2"/>
  <c r="R65" i="2"/>
  <c r="S65" i="2" s="1"/>
  <c r="R72" i="2"/>
  <c r="R56" i="2"/>
  <c r="R91" i="2"/>
  <c r="R63" i="2"/>
  <c r="R49" i="2"/>
  <c r="S49" i="2" s="1"/>
  <c r="R54" i="2"/>
  <c r="S54" i="2" s="1"/>
  <c r="R74" i="2"/>
  <c r="R61" i="2"/>
  <c r="S61" i="2" s="1"/>
  <c r="R103" i="2"/>
  <c r="R96" i="2"/>
  <c r="R36" i="2"/>
  <c r="S36" i="2" s="1"/>
  <c r="R22" i="2"/>
  <c r="S22" i="2" s="1"/>
  <c r="R10" i="2"/>
  <c r="S10" i="2" s="1"/>
  <c r="R41" i="2"/>
  <c r="S41" i="2" s="1"/>
  <c r="R27" i="2"/>
  <c r="S27" i="2" s="1"/>
  <c r="R15" i="2"/>
  <c r="S15" i="2" s="1"/>
  <c r="R34" i="2"/>
  <c r="S34" i="2" s="1"/>
  <c r="R20" i="2"/>
  <c r="S20" i="2" s="1"/>
  <c r="R51" i="2"/>
  <c r="S51" i="2" s="1"/>
  <c r="R39" i="2"/>
  <c r="R25" i="2"/>
  <c r="R64" i="2"/>
  <c r="S64" i="2" s="1"/>
  <c r="R44" i="2"/>
  <c r="S44" i="2" s="1"/>
  <c r="R18" i="2"/>
  <c r="R37" i="2"/>
  <c r="S37" i="2" s="1"/>
  <c r="R23" i="2"/>
  <c r="R28" i="2"/>
  <c r="S28" i="2" s="1"/>
  <c r="R16" i="2"/>
  <c r="S16" i="2" s="1"/>
  <c r="R50" i="2"/>
  <c r="S50" i="2" s="1"/>
  <c r="R35" i="2"/>
  <c r="S35" i="2" s="1"/>
  <c r="R21" i="2"/>
  <c r="S21" i="2" s="1"/>
  <c r="R46" i="2"/>
  <c r="S46" i="2" s="1"/>
  <c r="R40" i="2"/>
  <c r="S40" i="2" s="1"/>
  <c r="R26" i="2"/>
  <c r="S26" i="2" s="1"/>
  <c r="R14" i="2"/>
  <c r="S14" i="2" s="1"/>
  <c r="R45" i="2"/>
  <c r="S45" i="2" s="1"/>
  <c r="R33" i="2"/>
  <c r="R19" i="2"/>
  <c r="S19" i="2" s="1"/>
  <c r="AD179" i="2"/>
  <c r="AD163" i="2"/>
  <c r="AD186" i="2"/>
  <c r="AD170" i="2"/>
  <c r="AD175" i="2"/>
  <c r="AD161" i="2"/>
  <c r="AD184" i="2"/>
  <c r="AH184" i="2" s="1"/>
  <c r="AD189" i="2"/>
  <c r="AD173" i="2"/>
  <c r="AD180" i="2"/>
  <c r="AD164" i="2"/>
  <c r="AD187" i="2"/>
  <c r="AD171" i="2"/>
  <c r="AD178" i="2"/>
  <c r="AD162" i="2"/>
  <c r="AD185" i="2"/>
  <c r="AD181" i="2"/>
  <c r="AD144" i="2"/>
  <c r="AD130" i="2"/>
  <c r="AD151" i="2"/>
  <c r="AD137" i="2"/>
  <c r="AD167" i="2"/>
  <c r="AD149" i="2"/>
  <c r="AD188" i="2"/>
  <c r="AD160" i="2"/>
  <c r="AD159" i="2"/>
  <c r="AD156" i="2"/>
  <c r="AD145" i="2"/>
  <c r="AD133" i="2"/>
  <c r="AD154" i="2"/>
  <c r="AD138" i="2"/>
  <c r="AD166" i="2"/>
  <c r="AD143" i="2"/>
  <c r="AD148" i="2"/>
  <c r="AD174" i="2"/>
  <c r="AD172" i="2"/>
  <c r="AD165" i="2"/>
  <c r="AD155" i="2"/>
  <c r="AD139" i="2"/>
  <c r="AD121" i="2"/>
  <c r="AD140" i="2"/>
  <c r="AD249" i="1" s="1"/>
  <c r="AD114" i="2"/>
  <c r="AD136" i="2"/>
  <c r="AD119" i="2"/>
  <c r="AD112" i="2"/>
  <c r="AD123" i="2"/>
  <c r="AD117" i="2"/>
  <c r="AD120" i="2" s="1"/>
  <c r="AD195" i="2" s="1"/>
  <c r="AD150" i="2"/>
  <c r="AD142" i="2"/>
  <c r="AD127" i="2"/>
  <c r="AD122" i="2"/>
  <c r="AD135" i="2"/>
  <c r="AD129" i="2"/>
  <c r="AD141" i="2"/>
  <c r="AD250" i="1" s="1"/>
  <c r="AD118" i="2"/>
  <c r="AD134" i="2"/>
  <c r="AD124" i="2"/>
  <c r="AD128" i="2"/>
  <c r="AD97" i="2"/>
  <c r="AD73" i="2"/>
  <c r="AD111" i="2"/>
  <c r="AD102" i="2"/>
  <c r="AD78" i="2"/>
  <c r="AD95" i="2"/>
  <c r="AD83" i="2"/>
  <c r="AD115" i="2"/>
  <c r="AD88" i="2"/>
  <c r="AD105" i="2"/>
  <c r="AD93" i="2"/>
  <c r="AD86" i="2"/>
  <c r="AD113" i="2"/>
  <c r="AD89" i="2"/>
  <c r="AD99" i="2"/>
  <c r="AD87" i="2"/>
  <c r="AD92" i="2"/>
  <c r="AD116" i="2"/>
  <c r="AD71" i="2"/>
  <c r="AD55" i="2"/>
  <c r="AD62" i="2"/>
  <c r="AD48" i="2"/>
  <c r="AD53" i="2"/>
  <c r="AD91" i="2"/>
  <c r="AD60" i="2"/>
  <c r="AD65" i="2"/>
  <c r="AD82" i="2"/>
  <c r="AD72" i="2"/>
  <c r="AD56" i="2"/>
  <c r="AE233" i="1" s="1"/>
  <c r="AD103" i="2"/>
  <c r="AD79" i="2"/>
  <c r="AH79" i="2" s="1"/>
  <c r="AD63" i="2"/>
  <c r="AD251" i="1" s="1"/>
  <c r="AD49" i="2"/>
  <c r="AD96" i="2"/>
  <c r="AD54" i="2"/>
  <c r="AD77" i="2"/>
  <c r="AD76" i="2"/>
  <c r="AD61" i="2"/>
  <c r="AD36" i="2"/>
  <c r="AD22" i="2"/>
  <c r="AD10" i="2"/>
  <c r="AD50" i="2"/>
  <c r="AD41" i="2"/>
  <c r="AD27" i="2"/>
  <c r="AD15" i="2"/>
  <c r="AD46" i="2"/>
  <c r="AD34" i="2"/>
  <c r="AD20" i="2"/>
  <c r="AD64" i="2"/>
  <c r="AD39" i="2"/>
  <c r="AD25" i="2"/>
  <c r="AD74" i="2"/>
  <c r="AD44" i="2"/>
  <c r="AD18" i="2"/>
  <c r="AD52" i="2"/>
  <c r="AD37" i="2"/>
  <c r="AD23" i="2"/>
  <c r="AE232" i="1" s="1"/>
  <c r="AD28" i="2"/>
  <c r="AD16" i="2"/>
  <c r="AD35" i="2"/>
  <c r="AD21" i="2"/>
  <c r="AD40" i="2"/>
  <c r="AD26" i="2"/>
  <c r="AD14" i="2"/>
  <c r="AD51" i="2"/>
  <c r="AD45" i="2"/>
  <c r="AD33" i="2"/>
  <c r="AD19" i="2"/>
  <c r="AP179" i="2"/>
  <c r="AP163" i="2"/>
  <c r="AP186" i="2"/>
  <c r="AP170" i="2"/>
  <c r="AP175" i="2"/>
  <c r="AP161" i="2"/>
  <c r="AP184" i="2"/>
  <c r="AP189" i="2"/>
  <c r="AP173" i="2"/>
  <c r="AP180" i="2"/>
  <c r="AP164" i="2"/>
  <c r="AP187" i="2"/>
  <c r="AP171" i="2"/>
  <c r="AP178" i="2"/>
  <c r="AP162" i="2"/>
  <c r="AP185" i="2"/>
  <c r="AP181" i="2"/>
  <c r="AP144" i="2"/>
  <c r="AP130" i="2"/>
  <c r="AP166" i="2"/>
  <c r="AP151" i="2"/>
  <c r="AP137" i="2"/>
  <c r="AP188" i="2"/>
  <c r="AP149" i="2"/>
  <c r="AP165" i="2"/>
  <c r="AP145" i="2"/>
  <c r="AP133" i="2"/>
  <c r="AP156" i="2"/>
  <c r="AP154" i="2"/>
  <c r="AP138" i="2"/>
  <c r="AP143" i="2"/>
  <c r="AP129" i="2"/>
  <c r="AP160" i="2"/>
  <c r="AP148" i="2"/>
  <c r="AP155" i="2"/>
  <c r="AP139" i="2"/>
  <c r="AP174" i="2"/>
  <c r="AP135" i="2"/>
  <c r="AP121" i="2"/>
  <c r="AP105" i="2"/>
  <c r="AP124" i="2"/>
  <c r="AP114" i="2"/>
  <c r="AP128" i="2"/>
  <c r="AP119" i="2"/>
  <c r="AP172" i="2"/>
  <c r="AP150" i="2"/>
  <c r="AP141" i="2"/>
  <c r="AP250" i="1" s="1"/>
  <c r="AP112" i="2"/>
  <c r="AP167" i="2"/>
  <c r="AP134" i="2"/>
  <c r="AP117" i="2"/>
  <c r="AP122" i="2"/>
  <c r="AP136" i="2"/>
  <c r="AP127" i="2"/>
  <c r="AP118" i="2"/>
  <c r="AP120" i="2" s="1"/>
  <c r="AP142" i="2"/>
  <c r="AP97" i="2"/>
  <c r="AP73" i="2"/>
  <c r="AP113" i="2"/>
  <c r="AP102" i="2"/>
  <c r="AP101" i="2" s="1"/>
  <c r="AP78" i="2"/>
  <c r="AP123" i="2"/>
  <c r="AP95" i="2"/>
  <c r="AP241" i="1" s="1"/>
  <c r="AP83" i="2"/>
  <c r="AP140" i="2"/>
  <c r="AP249" i="1" s="1"/>
  <c r="AP116" i="2"/>
  <c r="AP88" i="2"/>
  <c r="AU237" i="1" s="1"/>
  <c r="AP93" i="2"/>
  <c r="AP86" i="2"/>
  <c r="AP115" i="2"/>
  <c r="AP89" i="2"/>
  <c r="AU238" i="1" s="1"/>
  <c r="AP99" i="2"/>
  <c r="AP243" i="1" s="1"/>
  <c r="AP87" i="2"/>
  <c r="AU236" i="1" s="1"/>
  <c r="AP159" i="2"/>
  <c r="AP92" i="2"/>
  <c r="AP91" i="2"/>
  <c r="AP77" i="2"/>
  <c r="AP76" i="2"/>
  <c r="AP75" i="2" s="1"/>
  <c r="AP71" i="2"/>
  <c r="AP55" i="2"/>
  <c r="AP62" i="2"/>
  <c r="AP48" i="2"/>
  <c r="AP47" i="2" s="1"/>
  <c r="AQ230" i="1" s="1"/>
  <c r="AP74" i="2"/>
  <c r="AP53" i="2"/>
  <c r="AP103" i="2"/>
  <c r="AP60" i="2"/>
  <c r="AP96" i="2"/>
  <c r="AP65" i="2"/>
  <c r="AP72" i="2"/>
  <c r="AP56" i="2"/>
  <c r="AQ233" i="1" s="1"/>
  <c r="AP111" i="2"/>
  <c r="AP63" i="2"/>
  <c r="AP251" i="1" s="1"/>
  <c r="AP49" i="2"/>
  <c r="AP54" i="2"/>
  <c r="AP94" i="2"/>
  <c r="AP61" i="2"/>
  <c r="AP82" i="2"/>
  <c r="AP79" i="2"/>
  <c r="AP36" i="2"/>
  <c r="AP22" i="2"/>
  <c r="AP10" i="2"/>
  <c r="AP41" i="2"/>
  <c r="AP27" i="2"/>
  <c r="AP15" i="2"/>
  <c r="AP64" i="2"/>
  <c r="AP34" i="2"/>
  <c r="AP20" i="2"/>
  <c r="AP51" i="2"/>
  <c r="AP39" i="2"/>
  <c r="AP25" i="2"/>
  <c r="AP44" i="2"/>
  <c r="AP18" i="2"/>
  <c r="AP37" i="2"/>
  <c r="AP23" i="2"/>
  <c r="AQ232" i="1" s="1"/>
  <c r="AP28" i="2"/>
  <c r="AP16" i="2"/>
  <c r="AP50" i="2"/>
  <c r="AP35" i="2"/>
  <c r="AP21" i="2"/>
  <c r="AP46" i="2"/>
  <c r="AP40" i="2"/>
  <c r="AP26" i="2"/>
  <c r="AP14" i="2"/>
  <c r="AP45" i="2"/>
  <c r="AP33" i="2"/>
  <c r="AP19" i="2"/>
  <c r="Z5" i="2"/>
  <c r="AP5" i="2"/>
  <c r="AP7" i="2"/>
  <c r="AP6" i="2" s="1"/>
  <c r="BE7" i="2"/>
  <c r="BE6" i="2" s="1"/>
  <c r="R8" i="2"/>
  <c r="S8" i="2" s="1"/>
  <c r="AX8" i="2"/>
  <c r="AB9" i="2"/>
  <c r="AC9" i="2" s="1"/>
  <c r="U10" i="2"/>
  <c r="AZ10" i="2"/>
  <c r="V12" i="2"/>
  <c r="AL12" i="2"/>
  <c r="O13" i="2"/>
  <c r="AA14" i="2"/>
  <c r="AZ19" i="2"/>
  <c r="J25" i="2"/>
  <c r="BE34" i="2"/>
  <c r="O40" i="2"/>
  <c r="AB45" i="2"/>
  <c r="AC45" i="2" s="1"/>
  <c r="G186" i="2"/>
  <c r="G170" i="2"/>
  <c r="G175" i="2"/>
  <c r="G161" i="2"/>
  <c r="G184" i="2"/>
  <c r="G166" i="2"/>
  <c r="G189" i="2"/>
  <c r="G173" i="2"/>
  <c r="G180" i="2"/>
  <c r="G187" i="2"/>
  <c r="G171" i="2"/>
  <c r="G178" i="2"/>
  <c r="G162" i="2"/>
  <c r="G185" i="2"/>
  <c r="G167" i="2"/>
  <c r="G174" i="2"/>
  <c r="G188" i="2"/>
  <c r="G179" i="2"/>
  <c r="G151" i="2"/>
  <c r="G137" i="2"/>
  <c r="G142" i="2"/>
  <c r="G128" i="2"/>
  <c r="G164" i="2"/>
  <c r="G149" i="2"/>
  <c r="G156" i="2"/>
  <c r="G145" i="2"/>
  <c r="G181" i="2"/>
  <c r="G172" i="2"/>
  <c r="G154" i="2"/>
  <c r="G138" i="2"/>
  <c r="G143" i="2"/>
  <c r="G129" i="2"/>
  <c r="G163" i="2"/>
  <c r="G160" i="2"/>
  <c r="G150" i="2"/>
  <c r="G136" i="2"/>
  <c r="G165" i="2"/>
  <c r="G155" i="2"/>
  <c r="G159" i="2"/>
  <c r="G144" i="2"/>
  <c r="G140" i="2"/>
  <c r="G249" i="1" s="1"/>
  <c r="G114" i="2"/>
  <c r="G119" i="2"/>
  <c r="G133" i="2"/>
  <c r="G124" i="2"/>
  <c r="G117" i="2"/>
  <c r="G120" i="2" s="1"/>
  <c r="G195" i="2" s="1"/>
  <c r="G148" i="2"/>
  <c r="G139" i="2"/>
  <c r="G122" i="2"/>
  <c r="G135" i="2"/>
  <c r="G115" i="2"/>
  <c r="G141" i="2"/>
  <c r="G250" i="1" s="1"/>
  <c r="G118" i="2"/>
  <c r="G134" i="2"/>
  <c r="G130" i="2"/>
  <c r="G127" i="2"/>
  <c r="G123" i="2"/>
  <c r="G121" i="2"/>
  <c r="G102" i="2"/>
  <c r="G78" i="2"/>
  <c r="G95" i="2"/>
  <c r="G241" i="1" s="1"/>
  <c r="G83" i="2"/>
  <c r="G111" i="2"/>
  <c r="G88" i="2"/>
  <c r="G76" i="2"/>
  <c r="G75" i="2" s="1"/>
  <c r="G105" i="2"/>
  <c r="G93" i="2"/>
  <c r="G86" i="2"/>
  <c r="G103" i="2"/>
  <c r="G91" i="2"/>
  <c r="G79" i="2"/>
  <c r="G94" i="2"/>
  <c r="G116" i="2"/>
  <c r="G92" i="2"/>
  <c r="G97" i="2"/>
  <c r="G96" i="2"/>
  <c r="G62" i="2"/>
  <c r="G48" i="2"/>
  <c r="G89" i="2"/>
  <c r="G53" i="2"/>
  <c r="G60" i="2"/>
  <c r="G46" i="2"/>
  <c r="G112" i="2"/>
  <c r="G65" i="2"/>
  <c r="G74" i="2"/>
  <c r="G72" i="2"/>
  <c r="G56" i="2"/>
  <c r="H233" i="1" s="1"/>
  <c r="G87" i="2"/>
  <c r="G63" i="2"/>
  <c r="G49" i="2"/>
  <c r="G54" i="2"/>
  <c r="G61" i="2"/>
  <c r="G113" i="2"/>
  <c r="G99" i="2"/>
  <c r="G243" i="1" s="1"/>
  <c r="G82" i="2"/>
  <c r="G64" i="2"/>
  <c r="G50" i="2"/>
  <c r="G41" i="2"/>
  <c r="G27" i="2"/>
  <c r="G15" i="2"/>
  <c r="G55" i="2"/>
  <c r="G34" i="2"/>
  <c r="G20" i="2"/>
  <c r="G8" i="2"/>
  <c r="G39" i="2"/>
  <c r="G25" i="2"/>
  <c r="G44" i="2"/>
  <c r="G18" i="2"/>
  <c r="G52" i="2"/>
  <c r="G37" i="2"/>
  <c r="G23" i="2"/>
  <c r="H232" i="1" s="1"/>
  <c r="G28" i="2"/>
  <c r="G16" i="2"/>
  <c r="G71" i="2"/>
  <c r="G35" i="2"/>
  <c r="G21" i="2"/>
  <c r="G40" i="2"/>
  <c r="G26" i="2"/>
  <c r="G77" i="2"/>
  <c r="G51" i="2"/>
  <c r="G45" i="2"/>
  <c r="G33" i="2"/>
  <c r="G19" i="2"/>
  <c r="G73" i="2"/>
  <c r="G43" i="2"/>
  <c r="G42" i="2" s="1"/>
  <c r="H229" i="1" s="1"/>
  <c r="AE186" i="2"/>
  <c r="AE170" i="2"/>
  <c r="AE175" i="2"/>
  <c r="AE161" i="2"/>
  <c r="AE184" i="2"/>
  <c r="AE166" i="2"/>
  <c r="AE189" i="2"/>
  <c r="AE173" i="2"/>
  <c r="AE180" i="2"/>
  <c r="AE187" i="2"/>
  <c r="AE171" i="2"/>
  <c r="AE178" i="2"/>
  <c r="AE162" i="2"/>
  <c r="AE185" i="2"/>
  <c r="AE167" i="2"/>
  <c r="AE174" i="2"/>
  <c r="AE188" i="2"/>
  <c r="AE172" i="2"/>
  <c r="AE151" i="2"/>
  <c r="AE137" i="2"/>
  <c r="AE181" i="2"/>
  <c r="AE142" i="2"/>
  <c r="AE128" i="2"/>
  <c r="AE164" i="2"/>
  <c r="AE149" i="2"/>
  <c r="AE160" i="2"/>
  <c r="AE159" i="2"/>
  <c r="AE156" i="2"/>
  <c r="AE145" i="2"/>
  <c r="AE154" i="2"/>
  <c r="AE138" i="2"/>
  <c r="AE163" i="2"/>
  <c r="AE143" i="2"/>
  <c r="AE129" i="2"/>
  <c r="AE150" i="2"/>
  <c r="AE136" i="2"/>
  <c r="AE165" i="2"/>
  <c r="AE155" i="2"/>
  <c r="AE144" i="2"/>
  <c r="AE148" i="2"/>
  <c r="AE140" i="2"/>
  <c r="AE249" i="1" s="1"/>
  <c r="AE114" i="2"/>
  <c r="AE133" i="2"/>
  <c r="AE119" i="2"/>
  <c r="AE123" i="2"/>
  <c r="AE117" i="2"/>
  <c r="AE139" i="2"/>
  <c r="AE127" i="2"/>
  <c r="AE122" i="2"/>
  <c r="AE135" i="2"/>
  <c r="AE115" i="2"/>
  <c r="AE120" i="2"/>
  <c r="AE195" i="2" s="1"/>
  <c r="AE141" i="2"/>
  <c r="AE250" i="1" s="1"/>
  <c r="AE130" i="2"/>
  <c r="AE118" i="2"/>
  <c r="AE134" i="2"/>
  <c r="AE124" i="2"/>
  <c r="AE121" i="2"/>
  <c r="AE111" i="2"/>
  <c r="AE102" i="2"/>
  <c r="AE101" i="2" s="1"/>
  <c r="AE78" i="2"/>
  <c r="AE95" i="2"/>
  <c r="AE241" i="1" s="1"/>
  <c r="AE83" i="2"/>
  <c r="AE88" i="2"/>
  <c r="AJ237" i="1" s="1"/>
  <c r="AE76" i="2"/>
  <c r="AE105" i="2"/>
  <c r="AE93" i="2"/>
  <c r="AE112" i="2"/>
  <c r="AE86" i="2"/>
  <c r="AE103" i="2"/>
  <c r="AE91" i="2"/>
  <c r="AE79" i="2"/>
  <c r="AE179" i="2"/>
  <c r="AE116" i="2"/>
  <c r="AE94" i="2"/>
  <c r="AE92" i="2"/>
  <c r="AE97" i="2"/>
  <c r="AE62" i="2"/>
  <c r="AE48" i="2"/>
  <c r="AE53" i="2"/>
  <c r="AE99" i="2"/>
  <c r="AE243" i="1" s="1"/>
  <c r="AE60" i="2"/>
  <c r="AE46" i="2"/>
  <c r="AE65" i="2"/>
  <c r="AE113" i="2"/>
  <c r="AE82" i="2"/>
  <c r="AE72" i="2"/>
  <c r="AE56" i="2"/>
  <c r="AF233" i="1" s="1"/>
  <c r="AE73" i="2"/>
  <c r="AE63" i="2"/>
  <c r="AE49" i="2"/>
  <c r="AE96" i="2"/>
  <c r="AE54" i="2"/>
  <c r="AE89" i="2"/>
  <c r="AJ238" i="1" s="1"/>
  <c r="AE77" i="2"/>
  <c r="AE61" i="2"/>
  <c r="AE74" i="2"/>
  <c r="AE64" i="2"/>
  <c r="AE50" i="2"/>
  <c r="AE41" i="2"/>
  <c r="AE27" i="2"/>
  <c r="AE15" i="2"/>
  <c r="AE34" i="2"/>
  <c r="AE20" i="2"/>
  <c r="AE8" i="2"/>
  <c r="AE39" i="2"/>
  <c r="AE25" i="2"/>
  <c r="AE44" i="2"/>
  <c r="AE18" i="2"/>
  <c r="AE71" i="2"/>
  <c r="AE52" i="2"/>
  <c r="AE37" i="2"/>
  <c r="AE23" i="2"/>
  <c r="AF232" i="1" s="1"/>
  <c r="AE28" i="2"/>
  <c r="AE16" i="2"/>
  <c r="AE35" i="2"/>
  <c r="AE21" i="2"/>
  <c r="AE87" i="2"/>
  <c r="AJ236" i="1" s="1"/>
  <c r="AE40" i="2"/>
  <c r="AE26" i="2"/>
  <c r="AE51" i="2"/>
  <c r="AE45" i="2"/>
  <c r="AE33" i="2"/>
  <c r="AE32" i="2" s="1"/>
  <c r="AE19" i="2"/>
  <c r="AE43" i="2"/>
  <c r="AQ186" i="2"/>
  <c r="AQ170" i="2"/>
  <c r="AQ175" i="2"/>
  <c r="AQ161" i="2"/>
  <c r="AR161" i="2" s="1"/>
  <c r="AQ184" i="2"/>
  <c r="AQ166" i="2"/>
  <c r="AR166" i="2" s="1"/>
  <c r="AQ189" i="2"/>
  <c r="AQ173" i="2"/>
  <c r="AQ180" i="2"/>
  <c r="AQ187" i="2"/>
  <c r="AQ171" i="2"/>
  <c r="AQ178" i="2"/>
  <c r="AQ162" i="2"/>
  <c r="AR162" i="2" s="1"/>
  <c r="AQ185" i="2"/>
  <c r="AQ167" i="2"/>
  <c r="AR167" i="2" s="1"/>
  <c r="AQ174" i="2"/>
  <c r="AQ188" i="2"/>
  <c r="AQ172" i="2"/>
  <c r="AQ163" i="2"/>
  <c r="AR163" i="2" s="1"/>
  <c r="AQ151" i="2"/>
  <c r="AR151" i="2" s="1"/>
  <c r="AQ137" i="2"/>
  <c r="AR137" i="2" s="1"/>
  <c r="AQ142" i="2"/>
  <c r="AR142" i="2" s="1"/>
  <c r="AQ128" i="2"/>
  <c r="AQ149" i="2"/>
  <c r="AQ165" i="2"/>
  <c r="AR165" i="2" s="1"/>
  <c r="AQ145" i="2"/>
  <c r="AR145" i="2" s="1"/>
  <c r="AQ156" i="2"/>
  <c r="AR156" i="2" s="1"/>
  <c r="AQ154" i="2"/>
  <c r="AR154" i="2" s="1"/>
  <c r="AQ138" i="2"/>
  <c r="AR138" i="2" s="1"/>
  <c r="AQ179" i="2"/>
  <c r="AQ143" i="2"/>
  <c r="AR143" i="2" s="1"/>
  <c r="AQ129" i="2"/>
  <c r="AR129" i="2" s="1"/>
  <c r="AQ159" i="2"/>
  <c r="AR159" i="2" s="1"/>
  <c r="AQ150" i="2"/>
  <c r="AQ136" i="2"/>
  <c r="AR136" i="2" s="1"/>
  <c r="AQ155" i="2"/>
  <c r="AR155" i="2" s="1"/>
  <c r="AQ181" i="2"/>
  <c r="AQ144" i="2"/>
  <c r="AR144" i="2" s="1"/>
  <c r="AQ124" i="2"/>
  <c r="AR124" i="2" s="1"/>
  <c r="AQ114" i="2"/>
  <c r="AQ130" i="2"/>
  <c r="AR130" i="2" s="1"/>
  <c r="AQ119" i="2"/>
  <c r="AR119" i="2" s="1"/>
  <c r="AQ160" i="2"/>
  <c r="AR160" i="2" s="1"/>
  <c r="AQ141" i="2"/>
  <c r="AQ134" i="2"/>
  <c r="AR134" i="2" s="1"/>
  <c r="AQ117" i="2"/>
  <c r="AQ122" i="2"/>
  <c r="AR122" i="2" s="1"/>
  <c r="AQ164" i="2"/>
  <c r="AR164" i="2" s="1"/>
  <c r="AQ115" i="2"/>
  <c r="AR115" i="2" s="1"/>
  <c r="AQ140" i="2"/>
  <c r="AQ123" i="2"/>
  <c r="AQ118" i="2"/>
  <c r="AR118" i="2" s="1"/>
  <c r="AQ148" i="2"/>
  <c r="AR148" i="2" s="1"/>
  <c r="AQ139" i="2"/>
  <c r="AR139" i="2" s="1"/>
  <c r="AQ116" i="2"/>
  <c r="AR116" i="2" s="1"/>
  <c r="AQ135" i="2"/>
  <c r="AR135" i="2" s="1"/>
  <c r="AQ121" i="2"/>
  <c r="AQ113" i="2"/>
  <c r="AR113" i="2" s="1"/>
  <c r="AQ102" i="2"/>
  <c r="AQ78" i="2"/>
  <c r="AQ95" i="2"/>
  <c r="AQ241" i="1" s="1"/>
  <c r="AQ83" i="2"/>
  <c r="AQ88" i="2"/>
  <c r="AV237" i="1" s="1"/>
  <c r="AQ76" i="2"/>
  <c r="AQ93" i="2"/>
  <c r="AQ86" i="2"/>
  <c r="AQ111" i="2"/>
  <c r="AQ105" i="2"/>
  <c r="AQ103" i="2"/>
  <c r="AQ91" i="2"/>
  <c r="AQ90" i="2" s="1"/>
  <c r="AQ79" i="2"/>
  <c r="AQ94" i="2"/>
  <c r="AQ92" i="2"/>
  <c r="AQ97" i="2"/>
  <c r="AQ62" i="2"/>
  <c r="AR62" i="2" s="1"/>
  <c r="AQ48" i="2"/>
  <c r="AQ127" i="2"/>
  <c r="AQ74" i="2"/>
  <c r="AQ53" i="2"/>
  <c r="AR53" i="2" s="1"/>
  <c r="AQ60" i="2"/>
  <c r="AQ46" i="2"/>
  <c r="AR46" i="2" s="1"/>
  <c r="AQ96" i="2"/>
  <c r="AQ65" i="2"/>
  <c r="AR65" i="2" s="1"/>
  <c r="AQ89" i="2"/>
  <c r="AV238" i="1" s="1"/>
  <c r="AQ72" i="2"/>
  <c r="AQ56" i="2"/>
  <c r="AQ63" i="2"/>
  <c r="AQ49" i="2"/>
  <c r="AR49" i="2" s="1"/>
  <c r="AQ54" i="2"/>
  <c r="AR54" i="2" s="1"/>
  <c r="AQ61" i="2"/>
  <c r="AR61" i="2" s="1"/>
  <c r="AQ87" i="2"/>
  <c r="AV236" i="1" s="1"/>
  <c r="AQ82" i="2"/>
  <c r="AQ73" i="2"/>
  <c r="AQ64" i="2"/>
  <c r="AR64" i="2" s="1"/>
  <c r="AQ41" i="2"/>
  <c r="AR41" i="2" s="1"/>
  <c r="AQ27" i="2"/>
  <c r="AR27" i="2" s="1"/>
  <c r="AQ15" i="2"/>
  <c r="AR15" i="2" s="1"/>
  <c r="AQ34" i="2"/>
  <c r="AR34" i="2" s="1"/>
  <c r="AQ20" i="2"/>
  <c r="AR20" i="2" s="1"/>
  <c r="AQ8" i="2"/>
  <c r="AR8" i="2" s="1"/>
  <c r="AQ51" i="2"/>
  <c r="AR51" i="2" s="1"/>
  <c r="AQ39" i="2"/>
  <c r="AQ25" i="2"/>
  <c r="AQ71" i="2"/>
  <c r="AQ44" i="2"/>
  <c r="AR44" i="2" s="1"/>
  <c r="AQ18" i="2"/>
  <c r="AQ37" i="2"/>
  <c r="AR37" i="2" s="1"/>
  <c r="AQ23" i="2"/>
  <c r="AQ133" i="2"/>
  <c r="AR133" i="2" s="1"/>
  <c r="AQ99" i="2"/>
  <c r="AQ243" i="1" s="1"/>
  <c r="AQ28" i="2"/>
  <c r="AR28" i="2" s="1"/>
  <c r="AQ16" i="2"/>
  <c r="AR16" i="2" s="1"/>
  <c r="AQ77" i="2"/>
  <c r="AQ50" i="2"/>
  <c r="AR50" i="2" s="1"/>
  <c r="AQ35" i="2"/>
  <c r="AR35" i="2" s="1"/>
  <c r="AQ21" i="2"/>
  <c r="AR21" i="2" s="1"/>
  <c r="AQ40" i="2"/>
  <c r="AR40" i="2" s="1"/>
  <c r="AQ26" i="2"/>
  <c r="AR26" i="2" s="1"/>
  <c r="AQ112" i="2"/>
  <c r="AR112" i="2" s="1"/>
  <c r="AQ45" i="2"/>
  <c r="AR45" i="2" s="1"/>
  <c r="AQ33" i="2"/>
  <c r="AQ19" i="2"/>
  <c r="AR19" i="2" s="1"/>
  <c r="AQ55" i="2"/>
  <c r="AR55" i="2" s="1"/>
  <c r="AQ52" i="2"/>
  <c r="AR52" i="2" s="1"/>
  <c r="AQ43" i="2"/>
  <c r="BC186" i="2"/>
  <c r="BG186" i="2" s="1"/>
  <c r="BC170" i="2"/>
  <c r="BG170" i="2" s="1"/>
  <c r="BC175" i="2"/>
  <c r="BG175" i="2" s="1"/>
  <c r="BC161" i="2"/>
  <c r="BC184" i="2"/>
  <c r="BG184" i="2" s="1"/>
  <c r="BC166" i="2"/>
  <c r="BC189" i="2"/>
  <c r="BG189" i="2" s="1"/>
  <c r="BC173" i="2"/>
  <c r="BG173" i="2" s="1"/>
  <c r="BC180" i="2"/>
  <c r="BG180" i="2" s="1"/>
  <c r="BC187" i="2"/>
  <c r="BG187" i="2" s="1"/>
  <c r="BC171" i="2"/>
  <c r="BG171" i="2" s="1"/>
  <c r="BC178" i="2"/>
  <c r="BG178" i="2" s="1"/>
  <c r="BC162" i="2"/>
  <c r="BC185" i="2"/>
  <c r="BC167" i="2"/>
  <c r="BC174" i="2"/>
  <c r="BG174" i="2" s="1"/>
  <c r="BC188" i="2"/>
  <c r="BG188" i="2" s="1"/>
  <c r="BC172" i="2"/>
  <c r="BG172" i="2" s="1"/>
  <c r="BC151" i="2"/>
  <c r="BC137" i="2"/>
  <c r="BC142" i="2"/>
  <c r="BC128" i="2"/>
  <c r="BG128" i="2" s="1"/>
  <c r="BC164" i="2"/>
  <c r="BC160" i="2"/>
  <c r="BC149" i="2"/>
  <c r="BG149" i="2" s="1"/>
  <c r="BC179" i="2"/>
  <c r="BG179" i="2" s="1"/>
  <c r="BC145" i="2"/>
  <c r="BC154" i="2"/>
  <c r="BC138" i="2"/>
  <c r="BC163" i="2"/>
  <c r="BC156" i="2"/>
  <c r="BC143" i="2"/>
  <c r="BC129" i="2"/>
  <c r="BC150" i="2"/>
  <c r="BG150" i="2" s="1"/>
  <c r="BC136" i="2"/>
  <c r="BC165" i="2"/>
  <c r="BC155" i="2"/>
  <c r="BC159" i="2"/>
  <c r="BC144" i="2"/>
  <c r="BC140" i="2"/>
  <c r="BC249" i="1" s="1"/>
  <c r="BC114" i="2"/>
  <c r="BC194" i="2" s="1"/>
  <c r="BC133" i="2"/>
  <c r="BC119" i="2"/>
  <c r="BC124" i="2"/>
  <c r="BC117" i="2"/>
  <c r="BC181" i="2"/>
  <c r="BC139" i="2"/>
  <c r="BC122" i="2"/>
  <c r="BC135" i="2"/>
  <c r="BC115" i="2"/>
  <c r="BC130" i="2"/>
  <c r="BC120" i="2"/>
  <c r="BC195" i="2" s="1"/>
  <c r="BC148" i="2"/>
  <c r="BC199" i="3" s="1"/>
  <c r="BC141" i="2"/>
  <c r="BC250" i="1" s="1"/>
  <c r="BC118" i="2"/>
  <c r="BC134" i="2"/>
  <c r="BC123" i="2"/>
  <c r="BG123" i="2" s="1"/>
  <c r="BC127" i="2"/>
  <c r="BG127" i="2" s="1"/>
  <c r="BC116" i="2"/>
  <c r="BC121" i="2"/>
  <c r="BC102" i="2"/>
  <c r="BC78" i="2"/>
  <c r="BG78" i="2" s="1"/>
  <c r="BC95" i="2"/>
  <c r="BC83" i="2"/>
  <c r="BG83" i="2" s="1"/>
  <c r="BC112" i="2"/>
  <c r="BC88" i="2"/>
  <c r="BG88" i="2" s="1"/>
  <c r="BC76" i="2"/>
  <c r="BC93" i="2"/>
  <c r="BG93" i="2" s="1"/>
  <c r="BC86" i="2"/>
  <c r="BC113" i="2"/>
  <c r="BC103" i="2"/>
  <c r="BG103" i="2" s="1"/>
  <c r="BC91" i="2"/>
  <c r="BC79" i="2"/>
  <c r="BG79" i="2" s="1"/>
  <c r="BC105" i="2"/>
  <c r="BC94" i="2"/>
  <c r="BC111" i="2"/>
  <c r="BC92" i="2"/>
  <c r="BG92" i="2" s="1"/>
  <c r="BC97" i="2"/>
  <c r="BG97" i="2" s="1"/>
  <c r="BC96" i="2"/>
  <c r="BG96" i="2" s="1"/>
  <c r="BC82" i="2"/>
  <c r="BC62" i="2"/>
  <c r="BC48" i="2"/>
  <c r="BC89" i="2"/>
  <c r="BG89" i="2" s="1"/>
  <c r="BC53" i="2"/>
  <c r="BC60" i="2"/>
  <c r="BC46" i="2"/>
  <c r="BC77" i="2"/>
  <c r="BG77" i="2" s="1"/>
  <c r="BC65" i="2"/>
  <c r="BC72" i="2"/>
  <c r="BG72" i="2" s="1"/>
  <c r="BC56" i="2"/>
  <c r="BD233" i="1" s="1"/>
  <c r="BC87" i="2"/>
  <c r="BG87" i="2" s="1"/>
  <c r="BC74" i="2"/>
  <c r="BG74" i="2" s="1"/>
  <c r="BC63" i="2"/>
  <c r="BC251" i="1" s="1"/>
  <c r="BC49" i="2"/>
  <c r="BC54" i="2"/>
  <c r="BC61" i="2"/>
  <c r="BC99" i="2"/>
  <c r="BC64" i="2"/>
  <c r="BC50" i="2"/>
  <c r="BC41" i="2"/>
  <c r="BC27" i="2"/>
  <c r="BC15" i="2"/>
  <c r="BC34" i="2"/>
  <c r="BC20" i="2"/>
  <c r="BC8" i="2"/>
  <c r="BC71" i="2"/>
  <c r="BC39" i="2"/>
  <c r="BC25" i="2"/>
  <c r="BC44" i="2"/>
  <c r="BC18" i="2"/>
  <c r="BC52" i="2"/>
  <c r="BC37" i="2"/>
  <c r="BC23" i="2"/>
  <c r="BD232" i="1" s="1"/>
  <c r="BC28" i="2"/>
  <c r="BC16" i="2"/>
  <c r="BC73" i="2"/>
  <c r="BG73" i="2" s="1"/>
  <c r="BC35" i="2"/>
  <c r="BC21" i="2"/>
  <c r="BC40" i="2"/>
  <c r="BC26" i="2"/>
  <c r="BC51" i="2"/>
  <c r="BC45" i="2"/>
  <c r="BC33" i="2"/>
  <c r="BC19" i="2"/>
  <c r="BC55" i="2"/>
  <c r="BC43" i="2"/>
  <c r="AA5" i="2"/>
  <c r="AQ5" i="2"/>
  <c r="BE5" i="2"/>
  <c r="AB7" i="2"/>
  <c r="AQ7" i="2"/>
  <c r="U8" i="2"/>
  <c r="AZ8" i="2"/>
  <c r="AZ6" i="2" s="1"/>
  <c r="AS9" i="2"/>
  <c r="G10" i="2"/>
  <c r="V10" i="2"/>
  <c r="AL10" i="2"/>
  <c r="AM10" i="2" s="1"/>
  <c r="BC10" i="2"/>
  <c r="AO12" i="2"/>
  <c r="Q13" i="2"/>
  <c r="Q11" i="2" s="1"/>
  <c r="BC13" i="2"/>
  <c r="BC11" i="2" s="1"/>
  <c r="AE14" i="2"/>
  <c r="AQ22" i="2"/>
  <c r="AR22" i="2" s="1"/>
  <c r="V25" i="2"/>
  <c r="V24" i="2" s="1"/>
  <c r="AA40" i="2"/>
  <c r="F43" i="2"/>
  <c r="F42" i="2" s="1"/>
  <c r="G229" i="1" s="1"/>
  <c r="AN45" i="2"/>
  <c r="L18" i="2"/>
  <c r="AJ18" i="2"/>
  <c r="AV18" i="2"/>
  <c r="K25" i="2"/>
  <c r="W25" i="2"/>
  <c r="AI25" i="2"/>
  <c r="AU25" i="2"/>
  <c r="K39" i="2"/>
  <c r="W39" i="2"/>
  <c r="AI39" i="2"/>
  <c r="AI38" i="2" s="1"/>
  <c r="AU39" i="2"/>
  <c r="L44" i="2"/>
  <c r="AJ44" i="2"/>
  <c r="AV44" i="2"/>
  <c r="AW44" i="2" s="1"/>
  <c r="W48" i="2"/>
  <c r="AU48" i="2"/>
  <c r="L53" i="2"/>
  <c r="AJ53" i="2"/>
  <c r="AI65" i="2"/>
  <c r="AV72" i="2"/>
  <c r="W95" i="2"/>
  <c r="W241" i="1" s="1"/>
  <c r="K20" i="2"/>
  <c r="W20" i="2"/>
  <c r="X20" i="2" s="1"/>
  <c r="AI20" i="2"/>
  <c r="AU20" i="2"/>
  <c r="L25" i="2"/>
  <c r="L24" i="2" s="1"/>
  <c r="AJ25" i="2"/>
  <c r="AV25" i="2"/>
  <c r="K34" i="2"/>
  <c r="W34" i="2"/>
  <c r="X34" i="2" s="1"/>
  <c r="AI34" i="2"/>
  <c r="AU34" i="2"/>
  <c r="L39" i="2"/>
  <c r="AJ39" i="2"/>
  <c r="AV39" i="2"/>
  <c r="W52" i="2"/>
  <c r="X52" i="2" s="1"/>
  <c r="AU52" i="2"/>
  <c r="AU65" i="2"/>
  <c r="K15" i="2"/>
  <c r="W15" i="2"/>
  <c r="X15" i="2" s="1"/>
  <c r="AI15" i="2"/>
  <c r="AU15" i="2"/>
  <c r="L20" i="2"/>
  <c r="AJ20" i="2"/>
  <c r="AV20" i="2"/>
  <c r="AW20" i="2" s="1"/>
  <c r="K27" i="2"/>
  <c r="W27" i="2"/>
  <c r="X27" i="2" s="1"/>
  <c r="AI27" i="2"/>
  <c r="AU27" i="2"/>
  <c r="L34" i="2"/>
  <c r="AJ34" i="2"/>
  <c r="AV34" i="2"/>
  <c r="AW34" i="2" s="1"/>
  <c r="K41" i="2"/>
  <c r="W41" i="2"/>
  <c r="X41" i="2" s="1"/>
  <c r="AI41" i="2"/>
  <c r="AU41" i="2"/>
  <c r="AV52" i="2"/>
  <c r="AW52" i="2" s="1"/>
  <c r="L56" i="2"/>
  <c r="M233" i="1" s="1"/>
  <c r="K22" i="2"/>
  <c r="W22" i="2"/>
  <c r="X22" i="2" s="1"/>
  <c r="AI22" i="2"/>
  <c r="AU22" i="2"/>
  <c r="L27" i="2"/>
  <c r="AJ27" i="2"/>
  <c r="AV27" i="2"/>
  <c r="AW27" i="2" s="1"/>
  <c r="K36" i="2"/>
  <c r="W36" i="2"/>
  <c r="X36" i="2" s="1"/>
  <c r="AI36" i="2"/>
  <c r="AU36" i="2"/>
  <c r="L41" i="2"/>
  <c r="AJ41" i="2"/>
  <c r="AV41" i="2"/>
  <c r="AW41" i="2" s="1"/>
  <c r="K51" i="2"/>
  <c r="AI51" i="2"/>
  <c r="L22" i="2"/>
  <c r="AJ22" i="2"/>
  <c r="AV22" i="2"/>
  <c r="AW22" i="2" s="1"/>
  <c r="L36" i="2"/>
  <c r="AJ36" i="2"/>
  <c r="AV36" i="2"/>
  <c r="AW36" i="2" s="1"/>
  <c r="K43" i="2"/>
  <c r="W43" i="2"/>
  <c r="AI43" i="2"/>
  <c r="AU43" i="2"/>
  <c r="W46" i="2"/>
  <c r="X46" i="2" s="1"/>
  <c r="AU46" i="2"/>
  <c r="L51" i="2"/>
  <c r="AJ51" i="2"/>
  <c r="AJ56" i="2"/>
  <c r="AK233" i="1" s="1"/>
  <c r="K12" i="2"/>
  <c r="K11" i="2" s="1"/>
  <c r="W12" i="2"/>
  <c r="AI12" i="2"/>
  <c r="AI11" i="2" s="1"/>
  <c r="AU12" i="2"/>
  <c r="L43" i="2"/>
  <c r="AJ43" i="2"/>
  <c r="AV43" i="2"/>
  <c r="AV46" i="2"/>
  <c r="AW46" i="2" s="1"/>
  <c r="W53" i="2"/>
  <c r="X53" i="2" s="1"/>
  <c r="AU53" i="2"/>
  <c r="AV56" i="2"/>
  <c r="K19" i="2"/>
  <c r="K17" i="2" s="1"/>
  <c r="W19" i="2"/>
  <c r="AI19" i="2"/>
  <c r="AI17" i="2" s="1"/>
  <c r="AU19" i="2"/>
  <c r="K33" i="2"/>
  <c r="W33" i="2"/>
  <c r="AI33" i="2"/>
  <c r="AU33" i="2"/>
  <c r="K45" i="2"/>
  <c r="W45" i="2"/>
  <c r="X45" i="2" s="1"/>
  <c r="AI45" i="2"/>
  <c r="AU45" i="2"/>
  <c r="K48" i="2"/>
  <c r="AI48" i="2"/>
  <c r="AV53" i="2"/>
  <c r="AW53" i="2" s="1"/>
  <c r="L19" i="2"/>
  <c r="AJ19" i="2"/>
  <c r="AV19" i="2"/>
  <c r="AW19" i="2" s="1"/>
  <c r="K26" i="2"/>
  <c r="W26" i="2"/>
  <c r="X26" i="2" s="1"/>
  <c r="AI26" i="2"/>
  <c r="AU26" i="2"/>
  <c r="L33" i="2"/>
  <c r="AJ33" i="2"/>
  <c r="AV33" i="2"/>
  <c r="K40" i="2"/>
  <c r="W40" i="2"/>
  <c r="X40" i="2" s="1"/>
  <c r="AI40" i="2"/>
  <c r="AU40" i="2"/>
  <c r="L45" i="2"/>
  <c r="AJ45" i="2"/>
  <c r="AV45" i="2"/>
  <c r="AW45" i="2" s="1"/>
  <c r="K52" i="2"/>
  <c r="AI52" i="2"/>
  <c r="AV74" i="2"/>
  <c r="K21" i="2"/>
  <c r="W21" i="2"/>
  <c r="X21" i="2" s="1"/>
  <c r="AI21" i="2"/>
  <c r="AU21" i="2"/>
  <c r="L26" i="2"/>
  <c r="AJ26" i="2"/>
  <c r="AV26" i="2"/>
  <c r="AW26" i="2" s="1"/>
  <c r="L40" i="2"/>
  <c r="AJ40" i="2"/>
  <c r="AV40" i="2"/>
  <c r="AW40" i="2" s="1"/>
  <c r="L52" i="2"/>
  <c r="AJ52" i="2"/>
  <c r="K180" i="2"/>
  <c r="K164" i="2"/>
  <c r="K187" i="2"/>
  <c r="K171" i="2"/>
  <c r="K178" i="2"/>
  <c r="K162" i="2"/>
  <c r="K185" i="2"/>
  <c r="K174" i="2"/>
  <c r="K181" i="2"/>
  <c r="K165" i="2"/>
  <c r="K188" i="2"/>
  <c r="K172" i="2"/>
  <c r="K179" i="2"/>
  <c r="K163" i="2"/>
  <c r="K186" i="2"/>
  <c r="K184" i="2"/>
  <c r="K145" i="2"/>
  <c r="K133" i="2"/>
  <c r="K167" i="2"/>
  <c r="K154" i="2"/>
  <c r="K138" i="2"/>
  <c r="K173" i="2"/>
  <c r="K150" i="2"/>
  <c r="K160" i="2"/>
  <c r="K175" i="2"/>
  <c r="K166" i="2"/>
  <c r="K148" i="2"/>
  <c r="K134" i="2"/>
  <c r="K155" i="2"/>
  <c r="K139" i="2"/>
  <c r="K144" i="2"/>
  <c r="K130" i="2"/>
  <c r="K189" i="2"/>
  <c r="K149" i="2"/>
  <c r="K156" i="2"/>
  <c r="K140" i="2"/>
  <c r="K249" i="1" s="1"/>
  <c r="K159" i="2"/>
  <c r="K136" i="2"/>
  <c r="K122" i="2"/>
  <c r="K124" i="2"/>
  <c r="K115" i="2"/>
  <c r="K170" i="2"/>
  <c r="K128" i="2"/>
  <c r="K142" i="2"/>
  <c r="K113" i="2"/>
  <c r="K135" i="2"/>
  <c r="K118" i="2"/>
  <c r="K111" i="2"/>
  <c r="K137" i="2"/>
  <c r="K129" i="2"/>
  <c r="K119" i="2"/>
  <c r="K161" i="2"/>
  <c r="K151" i="2"/>
  <c r="K143" i="2"/>
  <c r="K86" i="2"/>
  <c r="K74" i="2"/>
  <c r="K121" i="2"/>
  <c r="K256" i="1" s="1"/>
  <c r="K103" i="2"/>
  <c r="K91" i="2"/>
  <c r="K79" i="2"/>
  <c r="K141" i="2"/>
  <c r="K250" i="1" s="1"/>
  <c r="K96" i="2"/>
  <c r="K89" i="2"/>
  <c r="P238" i="1" s="1"/>
  <c r="K123" i="2"/>
  <c r="K112" i="2"/>
  <c r="K94" i="2"/>
  <c r="K117" i="2"/>
  <c r="K120" i="2" s="1"/>
  <c r="K195" i="2" s="1"/>
  <c r="K99" i="2"/>
  <c r="K243" i="1" s="1"/>
  <c r="K87" i="2"/>
  <c r="P236" i="1" s="1"/>
  <c r="K116" i="2"/>
  <c r="K102" i="2"/>
  <c r="K88" i="2"/>
  <c r="P237" i="1" s="1"/>
  <c r="K114" i="2"/>
  <c r="K105" i="2"/>
  <c r="K93" i="2"/>
  <c r="K72" i="2"/>
  <c r="K56" i="2"/>
  <c r="L233" i="1" s="1"/>
  <c r="K63" i="2"/>
  <c r="K251" i="1" s="1"/>
  <c r="K49" i="2"/>
  <c r="K127" i="2"/>
  <c r="K95" i="2"/>
  <c r="K241" i="1" s="1"/>
  <c r="K54" i="2"/>
  <c r="K61" i="2"/>
  <c r="K83" i="2"/>
  <c r="K82" i="2"/>
  <c r="K92" i="2"/>
  <c r="K64" i="2"/>
  <c r="K50" i="2"/>
  <c r="K73" i="2"/>
  <c r="K71" i="2"/>
  <c r="K70" i="2" s="1"/>
  <c r="K55" i="2"/>
  <c r="K78" i="2"/>
  <c r="K77" i="2"/>
  <c r="K62" i="2"/>
  <c r="K97" i="2"/>
  <c r="K76" i="2"/>
  <c r="K60" i="2"/>
  <c r="W180" i="2"/>
  <c r="W164" i="2"/>
  <c r="X164" i="2" s="1"/>
  <c r="W187" i="2"/>
  <c r="W171" i="2"/>
  <c r="W178" i="2"/>
  <c r="W162" i="2"/>
  <c r="X162" i="2" s="1"/>
  <c r="W185" i="2"/>
  <c r="W174" i="2"/>
  <c r="W181" i="2"/>
  <c r="W165" i="2"/>
  <c r="X165" i="2" s="1"/>
  <c r="W188" i="2"/>
  <c r="W172" i="2"/>
  <c r="W179" i="2"/>
  <c r="W163" i="2"/>
  <c r="X163" i="2" s="1"/>
  <c r="W186" i="2"/>
  <c r="W184" i="2"/>
  <c r="W159" i="2"/>
  <c r="X159" i="2" s="1"/>
  <c r="W145" i="2"/>
  <c r="X145" i="2" s="1"/>
  <c r="W133" i="2"/>
  <c r="X133" i="2" s="1"/>
  <c r="W161" i="2"/>
  <c r="X161" i="2" s="1"/>
  <c r="W154" i="2"/>
  <c r="X154" i="2" s="1"/>
  <c r="W138" i="2"/>
  <c r="X138" i="2" s="1"/>
  <c r="W175" i="2"/>
  <c r="W170" i="2"/>
  <c r="W150" i="2"/>
  <c r="W148" i="2"/>
  <c r="X148" i="2" s="1"/>
  <c r="W134" i="2"/>
  <c r="X134" i="2" s="1"/>
  <c r="W155" i="2"/>
  <c r="X155" i="2" s="1"/>
  <c r="W139" i="2"/>
  <c r="X139" i="2" s="1"/>
  <c r="W167" i="2"/>
  <c r="X167" i="2" s="1"/>
  <c r="W144" i="2"/>
  <c r="X144" i="2" s="1"/>
  <c r="W130" i="2"/>
  <c r="X130" i="2" s="1"/>
  <c r="W149" i="2"/>
  <c r="W173" i="2"/>
  <c r="W166" i="2"/>
  <c r="X166" i="2" s="1"/>
  <c r="W156" i="2"/>
  <c r="X156" i="2" s="1"/>
  <c r="W140" i="2"/>
  <c r="W122" i="2"/>
  <c r="X122" i="2" s="1"/>
  <c r="W141" i="2"/>
  <c r="W115" i="2"/>
  <c r="X115" i="2" s="1"/>
  <c r="W137" i="2"/>
  <c r="X137" i="2" s="1"/>
  <c r="W113" i="2"/>
  <c r="X113" i="2" s="1"/>
  <c r="W160" i="2"/>
  <c r="X160" i="2" s="1"/>
  <c r="W124" i="2"/>
  <c r="X124" i="2" s="1"/>
  <c r="W118" i="2"/>
  <c r="X118" i="2" s="1"/>
  <c r="W143" i="2"/>
  <c r="X143" i="2" s="1"/>
  <c r="W128" i="2"/>
  <c r="W111" i="2"/>
  <c r="W136" i="2"/>
  <c r="X136" i="2" s="1"/>
  <c r="W151" i="2"/>
  <c r="X151" i="2" s="1"/>
  <c r="W142" i="2"/>
  <c r="X142" i="2" s="1"/>
  <c r="W123" i="2"/>
  <c r="W119" i="2"/>
  <c r="X119" i="2" s="1"/>
  <c r="W135" i="2"/>
  <c r="X135" i="2" s="1"/>
  <c r="W127" i="2"/>
  <c r="W129" i="2"/>
  <c r="X129" i="2" s="1"/>
  <c r="W121" i="2"/>
  <c r="W117" i="2"/>
  <c r="X117" i="2" s="1"/>
  <c r="W86" i="2"/>
  <c r="W74" i="2"/>
  <c r="W103" i="2"/>
  <c r="W91" i="2"/>
  <c r="W79" i="2"/>
  <c r="W96" i="2"/>
  <c r="W89" i="2"/>
  <c r="AB238" i="1" s="1"/>
  <c r="W114" i="2"/>
  <c r="W94" i="2"/>
  <c r="W189" i="2"/>
  <c r="W99" i="2"/>
  <c r="W243" i="1" s="1"/>
  <c r="W87" i="2"/>
  <c r="AB236" i="1" s="1"/>
  <c r="W102" i="2"/>
  <c r="W101" i="2" s="1"/>
  <c r="W88" i="2"/>
  <c r="AB237" i="1" s="1"/>
  <c r="W116" i="2"/>
  <c r="X116" i="2" s="1"/>
  <c r="W105" i="2"/>
  <c r="W93" i="2"/>
  <c r="W78" i="2"/>
  <c r="W77" i="2"/>
  <c r="W72" i="2"/>
  <c r="W56" i="2"/>
  <c r="W63" i="2"/>
  <c r="W49" i="2"/>
  <c r="X49" i="2" s="1"/>
  <c r="W112" i="2"/>
  <c r="X112" i="2" s="1"/>
  <c r="W76" i="2"/>
  <c r="W54" i="2"/>
  <c r="X54" i="2" s="1"/>
  <c r="W92" i="2"/>
  <c r="W61" i="2"/>
  <c r="X61" i="2" s="1"/>
  <c r="W64" i="2"/>
  <c r="X64" i="2" s="1"/>
  <c r="W50" i="2"/>
  <c r="X50" i="2" s="1"/>
  <c r="W97" i="2"/>
  <c r="W71" i="2"/>
  <c r="W70" i="2" s="1"/>
  <c r="W55" i="2"/>
  <c r="X55" i="2" s="1"/>
  <c r="W62" i="2"/>
  <c r="X62" i="2" s="1"/>
  <c r="W83" i="2"/>
  <c r="W82" i="2"/>
  <c r="W73" i="2"/>
  <c r="W60" i="2"/>
  <c r="AI180" i="2"/>
  <c r="AI164" i="2"/>
  <c r="AI187" i="2"/>
  <c r="AI171" i="2"/>
  <c r="AI178" i="2"/>
  <c r="AI162" i="2"/>
  <c r="AI185" i="2"/>
  <c r="AM185" i="2" s="1"/>
  <c r="AI174" i="2"/>
  <c r="AM174" i="2" s="1"/>
  <c r="AI181" i="2"/>
  <c r="AI165" i="2"/>
  <c r="AI188" i="2"/>
  <c r="AI172" i="2"/>
  <c r="AI179" i="2"/>
  <c r="AI163" i="2"/>
  <c r="AI186" i="2"/>
  <c r="AI184" i="2"/>
  <c r="AI156" i="2"/>
  <c r="AI145" i="2"/>
  <c r="AI133" i="2"/>
  <c r="AI175" i="2"/>
  <c r="AM175" i="2" s="1"/>
  <c r="AI167" i="2"/>
  <c r="AI154" i="2"/>
  <c r="AI138" i="2"/>
  <c r="AI160" i="2"/>
  <c r="AI159" i="2"/>
  <c r="AI150" i="2"/>
  <c r="AI166" i="2"/>
  <c r="AI148" i="2"/>
  <c r="AI134" i="2"/>
  <c r="AI189" i="2"/>
  <c r="AI161" i="2"/>
  <c r="AI155" i="2"/>
  <c r="AI139" i="2"/>
  <c r="AI123" i="2"/>
  <c r="AI144" i="2"/>
  <c r="AI130" i="2"/>
  <c r="AI149" i="2"/>
  <c r="AI140" i="2"/>
  <c r="AI249" i="1" s="1"/>
  <c r="AI170" i="2"/>
  <c r="AI136" i="2"/>
  <c r="AI122" i="2"/>
  <c r="AI173" i="2"/>
  <c r="AM173" i="2" s="1"/>
  <c r="AI127" i="2"/>
  <c r="AM127" i="2" s="1"/>
  <c r="AI115" i="2"/>
  <c r="AI129" i="2"/>
  <c r="AI142" i="2"/>
  <c r="AI113" i="2"/>
  <c r="AI135" i="2"/>
  <c r="AI118" i="2"/>
  <c r="AI111" i="2"/>
  <c r="AI137" i="2"/>
  <c r="AI128" i="2"/>
  <c r="AI119" i="2"/>
  <c r="AI143" i="2"/>
  <c r="AI86" i="2"/>
  <c r="AI74" i="2"/>
  <c r="AI141" i="2"/>
  <c r="AI250" i="1" s="1"/>
  <c r="AI103" i="2"/>
  <c r="AI91" i="2"/>
  <c r="AI79" i="2"/>
  <c r="AI151" i="2"/>
  <c r="AI112" i="2"/>
  <c r="AI96" i="2"/>
  <c r="AI89" i="2"/>
  <c r="AI116" i="2"/>
  <c r="AI94" i="2"/>
  <c r="AI99" i="2"/>
  <c r="AI87" i="2"/>
  <c r="AI102" i="2"/>
  <c r="AI88" i="2"/>
  <c r="AI124" i="2"/>
  <c r="AI121" i="2"/>
  <c r="AI105" i="2"/>
  <c r="AI93" i="2"/>
  <c r="AI92" i="2"/>
  <c r="AI72" i="2"/>
  <c r="AM72" i="2" s="1"/>
  <c r="AI56" i="2"/>
  <c r="AJ233" i="1" s="1"/>
  <c r="AI83" i="2"/>
  <c r="AI82" i="2"/>
  <c r="AI73" i="2"/>
  <c r="AI63" i="2"/>
  <c r="AI251" i="1" s="1"/>
  <c r="AI49" i="2"/>
  <c r="AI54" i="2"/>
  <c r="AI61" i="2"/>
  <c r="AI97" i="2"/>
  <c r="AI78" i="2"/>
  <c r="AI77" i="2"/>
  <c r="AI76" i="2"/>
  <c r="AI64" i="2"/>
  <c r="AI50" i="2"/>
  <c r="AI117" i="2"/>
  <c r="AI120" i="2" s="1"/>
  <c r="AI195" i="2" s="1"/>
  <c r="AI71" i="2"/>
  <c r="AI55" i="2"/>
  <c r="AI95" i="2"/>
  <c r="AI62" i="2"/>
  <c r="AI114" i="2"/>
  <c r="AI60" i="2"/>
  <c r="AU180" i="2"/>
  <c r="AU164" i="2"/>
  <c r="AU187" i="2"/>
  <c r="AU171" i="2"/>
  <c r="AU178" i="2"/>
  <c r="AU162" i="2"/>
  <c r="AU185" i="2"/>
  <c r="AU174" i="2"/>
  <c r="AU181" i="2"/>
  <c r="AU165" i="2"/>
  <c r="AU188" i="2"/>
  <c r="AU172" i="2"/>
  <c r="AU179" i="2"/>
  <c r="AU163" i="2"/>
  <c r="AU186" i="2"/>
  <c r="AU184" i="2"/>
  <c r="AU145" i="2"/>
  <c r="AU133" i="2"/>
  <c r="AU156" i="2"/>
  <c r="AU154" i="2"/>
  <c r="AU138" i="2"/>
  <c r="AU170" i="2"/>
  <c r="AU150" i="2"/>
  <c r="AU189" i="2"/>
  <c r="AU148" i="2"/>
  <c r="AU134" i="2"/>
  <c r="AU173" i="2"/>
  <c r="AU159" i="2"/>
  <c r="AU155" i="2"/>
  <c r="AU139" i="2"/>
  <c r="AU123" i="2"/>
  <c r="AU167" i="2"/>
  <c r="AU160" i="2"/>
  <c r="AU144" i="2"/>
  <c r="AU130" i="2"/>
  <c r="AU149" i="2"/>
  <c r="AU175" i="2"/>
  <c r="AU166" i="2"/>
  <c r="AU161" i="2"/>
  <c r="AU140" i="2"/>
  <c r="AU249" i="1" s="1"/>
  <c r="AU122" i="2"/>
  <c r="AU141" i="2"/>
  <c r="AU250" i="1" s="1"/>
  <c r="AU115" i="2"/>
  <c r="AU137" i="2"/>
  <c r="AU113" i="2"/>
  <c r="AU127" i="2"/>
  <c r="AU118" i="2"/>
  <c r="AU151" i="2"/>
  <c r="AU143" i="2"/>
  <c r="AU111" i="2"/>
  <c r="AU136" i="2"/>
  <c r="AU129" i="2"/>
  <c r="AU142" i="2"/>
  <c r="AU119" i="2"/>
  <c r="AU135" i="2"/>
  <c r="AU124" i="2"/>
  <c r="AU128" i="2"/>
  <c r="AU117" i="2"/>
  <c r="AU120" i="2" s="1"/>
  <c r="AU86" i="2"/>
  <c r="AU74" i="2"/>
  <c r="AU105" i="2"/>
  <c r="AU103" i="2"/>
  <c r="AU91" i="2"/>
  <c r="AU79" i="2"/>
  <c r="AU114" i="2"/>
  <c r="AU194" i="2" s="1"/>
  <c r="AU96" i="2"/>
  <c r="AU89" i="2"/>
  <c r="AZ238" i="1" s="1"/>
  <c r="AU94" i="2"/>
  <c r="AU99" i="2"/>
  <c r="AU243" i="1" s="1"/>
  <c r="AU87" i="2"/>
  <c r="AZ236" i="1" s="1"/>
  <c r="AU102" i="2"/>
  <c r="AU101" i="2" s="1"/>
  <c r="AU121" i="2"/>
  <c r="AU88" i="2"/>
  <c r="AZ237" i="1" s="1"/>
  <c r="AU116" i="2"/>
  <c r="AU93" i="2"/>
  <c r="AU72" i="2"/>
  <c r="AU56" i="2"/>
  <c r="AV233" i="1" s="1"/>
  <c r="AU97" i="2"/>
  <c r="AU63" i="2"/>
  <c r="AU251" i="1" s="1"/>
  <c r="AU49" i="2"/>
  <c r="AU54" i="2"/>
  <c r="AU61" i="2"/>
  <c r="AU73" i="2"/>
  <c r="AU95" i="2"/>
  <c r="AU241" i="1" s="1"/>
  <c r="AU83" i="2"/>
  <c r="AU82" i="2"/>
  <c r="AU64" i="2"/>
  <c r="AU50" i="2"/>
  <c r="AU71" i="2"/>
  <c r="AU70" i="2" s="1"/>
  <c r="AU55" i="2"/>
  <c r="AU78" i="2"/>
  <c r="AU77" i="2"/>
  <c r="AU62" i="2"/>
  <c r="AU92" i="2"/>
  <c r="AU112" i="2"/>
  <c r="AU76" i="2"/>
  <c r="AU60" i="2"/>
  <c r="L9" i="2"/>
  <c r="L6" i="2" s="1"/>
  <c r="AJ9" i="2"/>
  <c r="AJ6" i="2" s="1"/>
  <c r="AV9" i="2"/>
  <c r="K16" i="2"/>
  <c r="W16" i="2"/>
  <c r="X16" i="2" s="1"/>
  <c r="AI16" i="2"/>
  <c r="AU16" i="2"/>
  <c r="L21" i="2"/>
  <c r="AJ21" i="2"/>
  <c r="AV21" i="2"/>
  <c r="AW21" i="2" s="1"/>
  <c r="K28" i="2"/>
  <c r="W28" i="2"/>
  <c r="X28" i="2" s="1"/>
  <c r="AI28" i="2"/>
  <c r="AU28" i="2"/>
  <c r="L35" i="2"/>
  <c r="K46" i="2"/>
  <c r="W51" i="2"/>
  <c r="X51" i="2" s="1"/>
  <c r="AU51" i="2"/>
  <c r="L187" i="2"/>
  <c r="L171" i="2"/>
  <c r="L178" i="2"/>
  <c r="L162" i="2"/>
  <c r="L185" i="2"/>
  <c r="L167" i="2"/>
  <c r="L174" i="2"/>
  <c r="L181" i="2"/>
  <c r="L188" i="2"/>
  <c r="L172" i="2"/>
  <c r="L179" i="2"/>
  <c r="L163" i="2"/>
  <c r="L186" i="2"/>
  <c r="L170" i="2"/>
  <c r="L175" i="2"/>
  <c r="L189" i="2"/>
  <c r="L173" i="2"/>
  <c r="L164" i="2"/>
  <c r="L154" i="2"/>
  <c r="L138" i="2"/>
  <c r="L143" i="2"/>
  <c r="L129" i="2"/>
  <c r="L180" i="2"/>
  <c r="L150" i="2"/>
  <c r="L160" i="2"/>
  <c r="L166" i="2"/>
  <c r="L148" i="2"/>
  <c r="L155" i="2"/>
  <c r="L139" i="2"/>
  <c r="L144" i="2"/>
  <c r="L130" i="2"/>
  <c r="L184" i="2"/>
  <c r="L161" i="2"/>
  <c r="L151" i="2"/>
  <c r="L137" i="2"/>
  <c r="L156" i="2"/>
  <c r="L145" i="2"/>
  <c r="L124" i="2"/>
  <c r="L115" i="2"/>
  <c r="L128" i="2"/>
  <c r="L142" i="2"/>
  <c r="L165" i="2"/>
  <c r="L135" i="2"/>
  <c r="L118" i="2"/>
  <c r="L120" i="2" s="1"/>
  <c r="L195" i="2" s="1"/>
  <c r="L111" i="2"/>
  <c r="L116" i="2"/>
  <c r="L149" i="2"/>
  <c r="L141" i="2"/>
  <c r="L250" i="1" s="1"/>
  <c r="L127" i="2"/>
  <c r="L123" i="2"/>
  <c r="L121" i="2"/>
  <c r="L119" i="2"/>
  <c r="L140" i="2"/>
  <c r="L249" i="1" s="1"/>
  <c r="L117" i="2"/>
  <c r="L159" i="2"/>
  <c r="L136" i="2"/>
  <c r="L133" i="2"/>
  <c r="L122" i="2"/>
  <c r="L103" i="2"/>
  <c r="L91" i="2"/>
  <c r="L79" i="2"/>
  <c r="L96" i="2"/>
  <c r="L89" i="2"/>
  <c r="Q238" i="1" s="1"/>
  <c r="L77" i="2"/>
  <c r="L112" i="2"/>
  <c r="L94" i="2"/>
  <c r="L99" i="2"/>
  <c r="L243" i="1" s="1"/>
  <c r="L87" i="2"/>
  <c r="Q236" i="1" s="1"/>
  <c r="L92" i="2"/>
  <c r="L134" i="2"/>
  <c r="L95" i="2"/>
  <c r="L241" i="1" s="1"/>
  <c r="L114" i="2"/>
  <c r="L105" i="2"/>
  <c r="L93" i="2"/>
  <c r="L86" i="2"/>
  <c r="L63" i="2"/>
  <c r="L251" i="1" s="1"/>
  <c r="L49" i="2"/>
  <c r="L102" i="2"/>
  <c r="L54" i="2"/>
  <c r="L88" i="2"/>
  <c r="Q237" i="1" s="1"/>
  <c r="L74" i="2"/>
  <c r="L61" i="2"/>
  <c r="L83" i="2"/>
  <c r="L82" i="2"/>
  <c r="L64" i="2"/>
  <c r="L50" i="2"/>
  <c r="L73" i="2"/>
  <c r="L71" i="2"/>
  <c r="L55" i="2"/>
  <c r="L113" i="2"/>
  <c r="L78" i="2"/>
  <c r="L62" i="2"/>
  <c r="L48" i="2"/>
  <c r="L47" i="2" s="1"/>
  <c r="M230" i="1" s="1"/>
  <c r="L97" i="2"/>
  <c r="L76" i="2"/>
  <c r="L60" i="2"/>
  <c r="L65" i="2"/>
  <c r="AJ187" i="2"/>
  <c r="AJ171" i="2"/>
  <c r="AJ178" i="2"/>
  <c r="AJ162" i="2"/>
  <c r="AJ185" i="2"/>
  <c r="AJ167" i="2"/>
  <c r="AJ174" i="2"/>
  <c r="AJ181" i="2"/>
  <c r="AJ188" i="2"/>
  <c r="AJ172" i="2"/>
  <c r="AJ179" i="2"/>
  <c r="AJ163" i="2"/>
  <c r="AJ186" i="2"/>
  <c r="AJ170" i="2"/>
  <c r="AJ175" i="2"/>
  <c r="AJ189" i="2"/>
  <c r="AJ173" i="2"/>
  <c r="AJ164" i="2"/>
  <c r="AJ154" i="2"/>
  <c r="AJ138" i="2"/>
  <c r="AJ160" i="2"/>
  <c r="AJ143" i="2"/>
  <c r="AJ129" i="2"/>
  <c r="AJ159" i="2"/>
  <c r="AJ150" i="2"/>
  <c r="AJ184" i="2"/>
  <c r="AJ166" i="2"/>
  <c r="AJ148" i="2"/>
  <c r="AJ161" i="2"/>
  <c r="AJ155" i="2"/>
  <c r="AJ139" i="2"/>
  <c r="AJ144" i="2"/>
  <c r="AJ130" i="2"/>
  <c r="AJ151" i="2"/>
  <c r="AJ137" i="2"/>
  <c r="AJ180" i="2"/>
  <c r="AJ156" i="2"/>
  <c r="AJ145" i="2"/>
  <c r="AJ133" i="2"/>
  <c r="AJ127" i="2"/>
  <c r="AJ115" i="2"/>
  <c r="AJ165" i="2"/>
  <c r="AJ149" i="2"/>
  <c r="AJ142" i="2"/>
  <c r="AJ135" i="2"/>
  <c r="AJ118" i="2"/>
  <c r="AJ111" i="2"/>
  <c r="AJ116" i="2"/>
  <c r="AJ141" i="2"/>
  <c r="AJ250" i="1" s="1"/>
  <c r="AJ124" i="2"/>
  <c r="AJ121" i="2"/>
  <c r="AJ119" i="2"/>
  <c r="AJ140" i="2"/>
  <c r="AJ249" i="1" s="1"/>
  <c r="AJ117" i="2"/>
  <c r="AJ120" i="2" s="1"/>
  <c r="AJ195" i="2" s="1"/>
  <c r="AJ136" i="2"/>
  <c r="AJ123" i="2"/>
  <c r="AJ122" i="2"/>
  <c r="AJ103" i="2"/>
  <c r="AJ91" i="2"/>
  <c r="AJ79" i="2"/>
  <c r="AJ112" i="2"/>
  <c r="AJ96" i="2"/>
  <c r="AJ89" i="2"/>
  <c r="AO238" i="1" s="1"/>
  <c r="AJ77" i="2"/>
  <c r="AJ94" i="2"/>
  <c r="AJ128" i="2"/>
  <c r="AJ99" i="2"/>
  <c r="AJ243" i="1" s="1"/>
  <c r="AJ87" i="2"/>
  <c r="AO236" i="1" s="1"/>
  <c r="AJ134" i="2"/>
  <c r="AJ113" i="2"/>
  <c r="AJ92" i="2"/>
  <c r="AJ114" i="2"/>
  <c r="AJ194" i="2" s="1"/>
  <c r="AJ95" i="2"/>
  <c r="AJ241" i="1" s="1"/>
  <c r="AJ105" i="2"/>
  <c r="AJ93" i="2"/>
  <c r="AJ86" i="2"/>
  <c r="AJ83" i="2"/>
  <c r="AJ82" i="2"/>
  <c r="AJ73" i="2"/>
  <c r="AJ63" i="2"/>
  <c r="AJ251" i="1" s="1"/>
  <c r="AJ49" i="2"/>
  <c r="AJ54" i="2"/>
  <c r="AJ61" i="2"/>
  <c r="AJ97" i="2"/>
  <c r="AJ78" i="2"/>
  <c r="AJ76" i="2"/>
  <c r="AJ75" i="2" s="1"/>
  <c r="AJ64" i="2"/>
  <c r="AJ50" i="2"/>
  <c r="AJ71" i="2"/>
  <c r="AJ55" i="2"/>
  <c r="AJ102" i="2"/>
  <c r="AJ101" i="2" s="1"/>
  <c r="AJ62" i="2"/>
  <c r="AJ48" i="2"/>
  <c r="AJ47" i="2" s="1"/>
  <c r="AK230" i="1" s="1"/>
  <c r="AJ88" i="2"/>
  <c r="AO237" i="1" s="1"/>
  <c r="AJ74" i="2"/>
  <c r="AJ60" i="2"/>
  <c r="AJ65" i="2"/>
  <c r="AV187" i="2"/>
  <c r="AV171" i="2"/>
  <c r="AV178" i="2"/>
  <c r="AV162" i="2"/>
  <c r="AW162" i="2" s="1"/>
  <c r="AV185" i="2"/>
  <c r="AV167" i="2"/>
  <c r="AW167" i="2" s="1"/>
  <c r="AV174" i="2"/>
  <c r="AV181" i="2"/>
  <c r="AV188" i="2"/>
  <c r="AV172" i="2"/>
  <c r="AV179" i="2"/>
  <c r="AV163" i="2"/>
  <c r="AW163" i="2" s="1"/>
  <c r="AV186" i="2"/>
  <c r="AV170" i="2"/>
  <c r="AV175" i="2"/>
  <c r="AV189" i="2"/>
  <c r="AV173" i="2"/>
  <c r="AV156" i="2"/>
  <c r="AW156" i="2" s="1"/>
  <c r="AV154" i="2"/>
  <c r="AW154" i="2" s="1"/>
  <c r="AV138" i="2"/>
  <c r="AW138" i="2" s="1"/>
  <c r="AV184" i="2"/>
  <c r="AV143" i="2"/>
  <c r="AW143" i="2" s="1"/>
  <c r="AV129" i="2"/>
  <c r="AW129" i="2" s="1"/>
  <c r="AV165" i="2"/>
  <c r="AW165" i="2" s="1"/>
  <c r="AV150" i="2"/>
  <c r="AV148" i="2"/>
  <c r="AW148" i="2" s="1"/>
  <c r="AV159" i="2"/>
  <c r="AW159" i="2" s="1"/>
  <c r="AV155" i="2"/>
  <c r="AW155" i="2" s="1"/>
  <c r="AV139" i="2"/>
  <c r="AW139" i="2" s="1"/>
  <c r="AV164" i="2"/>
  <c r="AW164" i="2" s="1"/>
  <c r="AV160" i="2"/>
  <c r="AW160" i="2" s="1"/>
  <c r="AV144" i="2"/>
  <c r="AW144" i="2" s="1"/>
  <c r="AV130" i="2"/>
  <c r="AW130" i="2" s="1"/>
  <c r="AV151" i="2"/>
  <c r="AW151" i="2" s="1"/>
  <c r="AV137" i="2"/>
  <c r="AW137" i="2" s="1"/>
  <c r="AV166" i="2"/>
  <c r="AW166" i="2" s="1"/>
  <c r="AV161" i="2"/>
  <c r="AW161" i="2" s="1"/>
  <c r="AV145" i="2"/>
  <c r="AW145" i="2" s="1"/>
  <c r="AV133" i="2"/>
  <c r="AW133" i="2" s="1"/>
  <c r="AV149" i="2"/>
  <c r="AV141" i="2"/>
  <c r="AV115" i="2"/>
  <c r="AW115" i="2" s="1"/>
  <c r="AV134" i="2"/>
  <c r="AW134" i="2" s="1"/>
  <c r="AV123" i="2"/>
  <c r="AV127" i="2"/>
  <c r="AV118" i="2"/>
  <c r="AW118" i="2" s="1"/>
  <c r="AV140" i="2"/>
  <c r="AV111" i="2"/>
  <c r="AV180" i="2"/>
  <c r="AV136" i="2"/>
  <c r="AW136" i="2" s="1"/>
  <c r="AV116" i="2"/>
  <c r="AW116" i="2" s="1"/>
  <c r="AV121" i="2"/>
  <c r="AV142" i="2"/>
  <c r="AW142" i="2" s="1"/>
  <c r="AV119" i="2"/>
  <c r="AW119" i="2" s="1"/>
  <c r="AV135" i="2"/>
  <c r="AW135" i="2" s="1"/>
  <c r="AV124" i="2"/>
  <c r="AW124" i="2" s="1"/>
  <c r="AV128" i="2"/>
  <c r="AV117" i="2"/>
  <c r="AW117" i="2" s="1"/>
  <c r="AV122" i="2"/>
  <c r="AW122" i="2" s="1"/>
  <c r="AV105" i="2"/>
  <c r="AV103" i="2"/>
  <c r="AV91" i="2"/>
  <c r="AV79" i="2"/>
  <c r="AV114" i="2"/>
  <c r="AV96" i="2"/>
  <c r="AV89" i="2"/>
  <c r="BA238" i="1" s="1"/>
  <c r="AV77" i="2"/>
  <c r="AV94" i="2"/>
  <c r="AV99" i="2"/>
  <c r="AV243" i="1" s="1"/>
  <c r="AV87" i="2"/>
  <c r="BA236" i="1" s="1"/>
  <c r="AV92" i="2"/>
  <c r="AV95" i="2"/>
  <c r="AV241" i="1" s="1"/>
  <c r="AV113" i="2"/>
  <c r="AW113" i="2" s="1"/>
  <c r="AV93" i="2"/>
  <c r="AV86" i="2"/>
  <c r="AV97" i="2"/>
  <c r="AV63" i="2"/>
  <c r="AV49" i="2"/>
  <c r="AW49" i="2" s="1"/>
  <c r="AV54" i="2"/>
  <c r="AW54" i="2" s="1"/>
  <c r="AV61" i="2"/>
  <c r="AW61" i="2" s="1"/>
  <c r="AV73" i="2"/>
  <c r="AV102" i="2"/>
  <c r="AV83" i="2"/>
  <c r="AV82" i="2"/>
  <c r="AV88" i="2"/>
  <c r="BA237" i="1" s="1"/>
  <c r="AV64" i="2"/>
  <c r="AW64" i="2" s="1"/>
  <c r="AV50" i="2"/>
  <c r="AW50" i="2" s="1"/>
  <c r="AV71" i="2"/>
  <c r="AV55" i="2"/>
  <c r="AW55" i="2" s="1"/>
  <c r="AV78" i="2"/>
  <c r="AV62" i="2"/>
  <c r="AW62" i="2" s="1"/>
  <c r="AV48" i="2"/>
  <c r="AV112" i="2"/>
  <c r="AW112" i="2" s="1"/>
  <c r="AV76" i="2"/>
  <c r="AV60" i="2"/>
  <c r="AV65" i="2"/>
  <c r="AW65" i="2" s="1"/>
  <c r="L16" i="2"/>
  <c r="AJ16" i="2"/>
  <c r="AV16" i="2"/>
  <c r="AW16" i="2" s="1"/>
  <c r="K23" i="2"/>
  <c r="L232" i="1" s="1"/>
  <c r="W23" i="2"/>
  <c r="AI23" i="2"/>
  <c r="AJ232" i="1" s="1"/>
  <c r="AU23" i="2"/>
  <c r="AV232" i="1" s="1"/>
  <c r="L28" i="2"/>
  <c r="AJ28" i="2"/>
  <c r="AV28" i="2"/>
  <c r="AW28" i="2" s="1"/>
  <c r="K37" i="2"/>
  <c r="W37" i="2"/>
  <c r="X37" i="2" s="1"/>
  <c r="AI37" i="2"/>
  <c r="AU37" i="2"/>
  <c r="L46" i="2"/>
  <c r="AI46" i="2"/>
  <c r="AV51" i="2"/>
  <c r="AW51" i="2" s="1"/>
  <c r="K65" i="2"/>
  <c r="H14" i="3"/>
  <c r="I11" i="3"/>
  <c r="I14" i="3" s="1"/>
  <c r="V199" i="3"/>
  <c r="V124" i="3"/>
  <c r="V123" i="3"/>
  <c r="V120" i="3"/>
  <c r="V116" i="3"/>
  <c r="V112" i="3"/>
  <c r="V85" i="3"/>
  <c r="V113" i="3"/>
  <c r="V86" i="3"/>
  <c r="V114" i="3"/>
  <c r="V6" i="3"/>
  <c r="AJ199" i="3"/>
  <c r="AJ120" i="3"/>
  <c r="AJ114" i="3"/>
  <c r="AJ124" i="3"/>
  <c r="AJ123" i="3"/>
  <c r="AJ116" i="3"/>
  <c r="AJ113" i="3"/>
  <c r="AJ86" i="3"/>
  <c r="AJ85" i="3"/>
  <c r="AJ112" i="3"/>
  <c r="AJ6" i="3"/>
  <c r="AV199" i="3"/>
  <c r="AV114" i="3"/>
  <c r="AV120" i="3"/>
  <c r="AV123" i="3"/>
  <c r="AV116" i="3"/>
  <c r="AV112" i="3"/>
  <c r="AV124" i="3"/>
  <c r="AV113" i="3"/>
  <c r="AV86" i="3"/>
  <c r="AV85" i="3"/>
  <c r="AV6" i="3"/>
  <c r="U199" i="3"/>
  <c r="U123" i="3"/>
  <c r="U124" i="3"/>
  <c r="U120" i="3"/>
  <c r="U112" i="3"/>
  <c r="U113" i="3"/>
  <c r="U85" i="3"/>
  <c r="U116" i="3"/>
  <c r="U86" i="3"/>
  <c r="U114" i="3"/>
  <c r="U6" i="3"/>
  <c r="AU199" i="3"/>
  <c r="AU116" i="3"/>
  <c r="AU120" i="3"/>
  <c r="AU123" i="3"/>
  <c r="AU113" i="3"/>
  <c r="AU112" i="3"/>
  <c r="AU124" i="3"/>
  <c r="AU85" i="3"/>
  <c r="AU114" i="3"/>
  <c r="AU86" i="3"/>
  <c r="AU6" i="3"/>
  <c r="AS199" i="3"/>
  <c r="AS123" i="3"/>
  <c r="AS124" i="3"/>
  <c r="AW124" i="3" s="1"/>
  <c r="AS120" i="3"/>
  <c r="AW120" i="3" s="1"/>
  <c r="AS112" i="3"/>
  <c r="AS113" i="3"/>
  <c r="AS85" i="3"/>
  <c r="AS116" i="3"/>
  <c r="AS86" i="3"/>
  <c r="AS114" i="3"/>
  <c r="AS6" i="3"/>
  <c r="AG199" i="3"/>
  <c r="AG123" i="3"/>
  <c r="AG124" i="3"/>
  <c r="AG120" i="3"/>
  <c r="AG112" i="3"/>
  <c r="AG113" i="3"/>
  <c r="AG85" i="3"/>
  <c r="AG114" i="3"/>
  <c r="AG86" i="3"/>
  <c r="AG116" i="3"/>
  <c r="AG6" i="3"/>
  <c r="F21" i="3"/>
  <c r="T199" i="3"/>
  <c r="T123" i="3"/>
  <c r="T124" i="3"/>
  <c r="T113" i="3"/>
  <c r="T120" i="3"/>
  <c r="T114" i="3"/>
  <c r="T112" i="3"/>
  <c r="T116" i="3"/>
  <c r="T86" i="3"/>
  <c r="T85" i="3"/>
  <c r="X85" i="3" s="1"/>
  <c r="T6" i="3"/>
  <c r="AH199" i="3"/>
  <c r="J35" i="4" s="1"/>
  <c r="AH6" i="3"/>
  <c r="AT199" i="3"/>
  <c r="AT116" i="3"/>
  <c r="AT120" i="3"/>
  <c r="AT112" i="3"/>
  <c r="AT124" i="3"/>
  <c r="AT85" i="3"/>
  <c r="AT123" i="3"/>
  <c r="AT113" i="3"/>
  <c r="AT86" i="3"/>
  <c r="AT114" i="3"/>
  <c r="AT6" i="3"/>
  <c r="AI199" i="3"/>
  <c r="AI116" i="3"/>
  <c r="AI120" i="3"/>
  <c r="AM120" i="3" s="1"/>
  <c r="AI124" i="3"/>
  <c r="AM124" i="3" s="1"/>
  <c r="AI123" i="3"/>
  <c r="AM123" i="3" s="1"/>
  <c r="AI114" i="3"/>
  <c r="AI113" i="3"/>
  <c r="AI112" i="3"/>
  <c r="AI85" i="3"/>
  <c r="AI86" i="3"/>
  <c r="J199" i="3"/>
  <c r="J116" i="3"/>
  <c r="J112" i="3"/>
  <c r="J120" i="3"/>
  <c r="J85" i="3"/>
  <c r="J114" i="3"/>
  <c r="J123" i="3"/>
  <c r="N123" i="3" s="1"/>
  <c r="J86" i="3"/>
  <c r="N86" i="3" s="1"/>
  <c r="J113" i="3"/>
  <c r="J124" i="3"/>
  <c r="J6" i="3"/>
  <c r="W199" i="3"/>
  <c r="W123" i="3"/>
  <c r="W120" i="3"/>
  <c r="W116" i="3"/>
  <c r="W124" i="3"/>
  <c r="W113" i="3"/>
  <c r="W112" i="3"/>
  <c r="W85" i="3"/>
  <c r="W114" i="3"/>
  <c r="W86" i="3"/>
  <c r="BE199" i="3"/>
  <c r="BE123" i="3"/>
  <c r="BE124" i="3"/>
  <c r="BE112" i="3"/>
  <c r="BE113" i="3"/>
  <c r="BE85" i="3"/>
  <c r="BE114" i="3"/>
  <c r="BE86" i="3"/>
  <c r="BE116" i="3"/>
  <c r="BE120" i="3"/>
  <c r="BE6" i="3"/>
  <c r="L199" i="3"/>
  <c r="L114" i="3"/>
  <c r="L124" i="3"/>
  <c r="L123" i="3"/>
  <c r="L116" i="3"/>
  <c r="L120" i="3"/>
  <c r="L113" i="3"/>
  <c r="L86" i="3"/>
  <c r="L112" i="3"/>
  <c r="L85" i="3"/>
  <c r="L6" i="3"/>
  <c r="BG199" i="3"/>
  <c r="O35" i="4" s="1"/>
  <c r="AN199" i="3"/>
  <c r="AN123" i="3"/>
  <c r="AN124" i="3"/>
  <c r="AN116" i="3"/>
  <c r="AR116" i="3" s="1"/>
  <c r="AN112" i="3"/>
  <c r="AN114" i="3"/>
  <c r="AN113" i="3"/>
  <c r="AN85" i="3"/>
  <c r="AN120" i="3"/>
  <c r="AN86" i="3"/>
  <c r="AN6" i="3"/>
  <c r="AB199" i="3"/>
  <c r="AB123" i="3"/>
  <c r="AB120" i="3"/>
  <c r="AB116" i="3"/>
  <c r="AB112" i="3"/>
  <c r="AB114" i="3"/>
  <c r="AB85" i="3"/>
  <c r="AB113" i="3"/>
  <c r="AB86" i="3"/>
  <c r="AB124" i="3"/>
  <c r="AB6" i="3"/>
  <c r="AO199" i="3"/>
  <c r="AO120" i="3"/>
  <c r="AO124" i="3"/>
  <c r="AO123" i="3"/>
  <c r="AO116" i="3"/>
  <c r="AO113" i="3"/>
  <c r="AO85" i="3"/>
  <c r="AO112" i="3"/>
  <c r="AO114" i="3"/>
  <c r="AO86" i="3"/>
  <c r="AO6" i="3"/>
  <c r="P199" i="3"/>
  <c r="P123" i="3"/>
  <c r="P124" i="3"/>
  <c r="P120" i="3"/>
  <c r="P116" i="3"/>
  <c r="P112" i="3"/>
  <c r="P114" i="3"/>
  <c r="P113" i="3"/>
  <c r="P85" i="3"/>
  <c r="P86" i="3"/>
  <c r="P6" i="3"/>
  <c r="BD199" i="3"/>
  <c r="BD123" i="3"/>
  <c r="BD124" i="3"/>
  <c r="BD113" i="3"/>
  <c r="BD114" i="3"/>
  <c r="BD112" i="3"/>
  <c r="BD86" i="3"/>
  <c r="BD116" i="3"/>
  <c r="BD85" i="3"/>
  <c r="BD120" i="3"/>
  <c r="BD6" i="3"/>
  <c r="AI6" i="3"/>
  <c r="Q199" i="3"/>
  <c r="Q120" i="3"/>
  <c r="Q124" i="3"/>
  <c r="Q123" i="3"/>
  <c r="Q116" i="3"/>
  <c r="Q113" i="3"/>
  <c r="Q85" i="3"/>
  <c r="Q112" i="3"/>
  <c r="Q114" i="3"/>
  <c r="Q86" i="3"/>
  <c r="Q6" i="3"/>
  <c r="AF199" i="3"/>
  <c r="AF123" i="3"/>
  <c r="AF124" i="3"/>
  <c r="AF113" i="3"/>
  <c r="AF120" i="3"/>
  <c r="AF114" i="3"/>
  <c r="AF112" i="3"/>
  <c r="AF86" i="3"/>
  <c r="AF116" i="3"/>
  <c r="AF85" i="3"/>
  <c r="AF6" i="3"/>
  <c r="AR199" i="3"/>
  <c r="L35" i="4" s="1"/>
  <c r="AR6" i="3"/>
  <c r="K199" i="3"/>
  <c r="K116" i="3"/>
  <c r="K124" i="3"/>
  <c r="K120" i="3"/>
  <c r="K114" i="3"/>
  <c r="K123" i="3"/>
  <c r="K113" i="3"/>
  <c r="K112" i="3"/>
  <c r="K85" i="3"/>
  <c r="K86" i="3"/>
  <c r="BF199" i="3"/>
  <c r="BF123" i="3"/>
  <c r="BF116" i="3"/>
  <c r="BF124" i="3"/>
  <c r="BF112" i="3"/>
  <c r="BF120" i="3"/>
  <c r="BF85" i="3"/>
  <c r="BF114" i="3"/>
  <c r="BF86" i="3"/>
  <c r="BF113" i="3"/>
  <c r="AA6" i="3"/>
  <c r="X11" i="3"/>
  <c r="X14" i="3" s="1"/>
  <c r="M199" i="3"/>
  <c r="M124" i="3"/>
  <c r="M114" i="3"/>
  <c r="M123" i="3"/>
  <c r="M113" i="3"/>
  <c r="M120" i="3"/>
  <c r="M116" i="3"/>
  <c r="M112" i="3"/>
  <c r="M85" i="3"/>
  <c r="M86" i="3"/>
  <c r="Y199" i="3"/>
  <c r="Y124" i="3"/>
  <c r="Y114" i="3"/>
  <c r="Y113" i="3"/>
  <c r="Y123" i="3"/>
  <c r="Y120" i="3"/>
  <c r="Y116" i="3"/>
  <c r="Y112" i="3"/>
  <c r="Y86" i="3"/>
  <c r="Y85" i="3"/>
  <c r="AK199" i="3"/>
  <c r="AK124" i="3"/>
  <c r="AK120" i="3"/>
  <c r="AK114" i="3"/>
  <c r="AK123" i="3"/>
  <c r="AK113" i="3"/>
  <c r="AK116" i="3"/>
  <c r="AK85" i="3"/>
  <c r="AK112" i="3"/>
  <c r="AK86" i="3"/>
  <c r="AW11" i="3"/>
  <c r="AW14" i="3" s="1"/>
  <c r="N199" i="3"/>
  <c r="F35" i="4" s="1"/>
  <c r="Z199" i="3"/>
  <c r="Z124" i="3"/>
  <c r="Z112" i="3"/>
  <c r="Z113" i="3"/>
  <c r="Z114" i="3"/>
  <c r="Z116" i="3"/>
  <c r="Z120" i="3"/>
  <c r="Z86" i="3"/>
  <c r="Z123" i="3"/>
  <c r="Z85" i="3"/>
  <c r="AL199" i="3"/>
  <c r="AL124" i="3"/>
  <c r="AL123" i="3"/>
  <c r="AL112" i="3"/>
  <c r="AL113" i="3"/>
  <c r="AL120" i="3"/>
  <c r="AL114" i="3"/>
  <c r="AL86" i="3"/>
  <c r="AL116" i="3"/>
  <c r="AL85" i="3"/>
  <c r="AX199" i="3"/>
  <c r="AX124" i="3"/>
  <c r="AX120" i="3"/>
  <c r="AX112" i="3"/>
  <c r="AX123" i="3"/>
  <c r="BB123" i="3" s="1"/>
  <c r="AX113" i="3"/>
  <c r="BB113" i="3" s="1"/>
  <c r="AX114" i="3"/>
  <c r="BB114" i="3" s="1"/>
  <c r="AX116" i="3"/>
  <c r="AX86" i="3"/>
  <c r="AX85" i="3"/>
  <c r="O199" i="3"/>
  <c r="O123" i="3"/>
  <c r="O112" i="3"/>
  <c r="O124" i="3"/>
  <c r="O113" i="3"/>
  <c r="S113" i="3" s="1"/>
  <c r="O120" i="3"/>
  <c r="S120" i="3" s="1"/>
  <c r="O86" i="3"/>
  <c r="O114" i="3"/>
  <c r="O116" i="3"/>
  <c r="O85" i="3"/>
  <c r="AA199" i="3"/>
  <c r="AA123" i="3"/>
  <c r="AA112" i="3"/>
  <c r="AA113" i="3"/>
  <c r="AA120" i="3"/>
  <c r="AA86" i="3"/>
  <c r="AA114" i="3"/>
  <c r="AA85" i="3"/>
  <c r="AA116" i="3"/>
  <c r="AA124" i="3"/>
  <c r="AM199" i="3"/>
  <c r="K35" i="4" s="1"/>
  <c r="AY199" i="3"/>
  <c r="AY123" i="3"/>
  <c r="AY124" i="3"/>
  <c r="AY120" i="3"/>
  <c r="AY112" i="3"/>
  <c r="AY113" i="3"/>
  <c r="AY86" i="3"/>
  <c r="AY114" i="3"/>
  <c r="AY85" i="3"/>
  <c r="AY116" i="3"/>
  <c r="G21" i="3"/>
  <c r="AC11" i="3"/>
  <c r="AC14" i="3" s="1"/>
  <c r="F199" i="3"/>
  <c r="F151" i="3"/>
  <c r="F149" i="3"/>
  <c r="F152" i="3"/>
  <c r="F187" i="3" s="1"/>
  <c r="F120" i="3"/>
  <c r="F146" i="3"/>
  <c r="F147" i="3"/>
  <c r="F116" i="3"/>
  <c r="F114" i="3"/>
  <c r="F124" i="3"/>
  <c r="F123" i="3"/>
  <c r="F112" i="3"/>
  <c r="F76" i="3"/>
  <c r="G76" i="3" s="1"/>
  <c r="F67" i="3"/>
  <c r="F73" i="3"/>
  <c r="F86" i="3"/>
  <c r="F56" i="3"/>
  <c r="F61" i="3"/>
  <c r="F85" i="3"/>
  <c r="F66" i="3"/>
  <c r="G62" i="3"/>
  <c r="F39" i="3"/>
  <c r="G39" i="3" s="1"/>
  <c r="F27" i="3"/>
  <c r="G27" i="3" s="1"/>
  <c r="F32" i="3"/>
  <c r="G32" i="3" s="1"/>
  <c r="F113" i="3"/>
  <c r="F63" i="3"/>
  <c r="F52" i="3"/>
  <c r="F53" i="3"/>
  <c r="G53" i="3" s="1"/>
  <c r="F48" i="3"/>
  <c r="F40" i="3"/>
  <c r="F65" i="3"/>
  <c r="F46" i="3"/>
  <c r="G46" i="3" s="1"/>
  <c r="F58" i="3"/>
  <c r="F64" i="3"/>
  <c r="F57" i="3"/>
  <c r="F47" i="3"/>
  <c r="G47" i="3" s="1"/>
  <c r="F34" i="3"/>
  <c r="F29" i="3"/>
  <c r="F22" i="3"/>
  <c r="G22" i="3" s="1"/>
  <c r="F25" i="3"/>
  <c r="F35" i="3"/>
  <c r="F23" i="3"/>
  <c r="F28" i="3"/>
  <c r="F41" i="3"/>
  <c r="G41" i="3" s="1"/>
  <c r="R199" i="3"/>
  <c r="R120" i="3"/>
  <c r="R124" i="3"/>
  <c r="R123" i="3"/>
  <c r="R116" i="3"/>
  <c r="R114" i="3"/>
  <c r="R113" i="3"/>
  <c r="R112" i="3"/>
  <c r="R85" i="3"/>
  <c r="R86" i="3"/>
  <c r="AD199" i="3"/>
  <c r="AD120" i="3"/>
  <c r="AD116" i="3"/>
  <c r="AH116" i="3" s="1"/>
  <c r="AD124" i="3"/>
  <c r="AD123" i="3"/>
  <c r="AD114" i="3"/>
  <c r="AD112" i="3"/>
  <c r="AH112" i="3" s="1"/>
  <c r="AD86" i="3"/>
  <c r="AD113" i="3"/>
  <c r="AD85" i="3"/>
  <c r="AP199" i="3"/>
  <c r="AP120" i="3"/>
  <c r="AP116" i="3"/>
  <c r="AP114" i="3"/>
  <c r="AP124" i="3"/>
  <c r="AP123" i="3"/>
  <c r="AP113" i="3"/>
  <c r="AP112" i="3"/>
  <c r="AP85" i="3"/>
  <c r="AP86" i="3"/>
  <c r="BB199" i="3"/>
  <c r="N35" i="4" s="1"/>
  <c r="AZ199" i="3"/>
  <c r="AZ123" i="3"/>
  <c r="AZ124" i="3"/>
  <c r="AZ116" i="3"/>
  <c r="AZ120" i="3"/>
  <c r="AZ112" i="3"/>
  <c r="AZ114" i="3"/>
  <c r="AZ85" i="3"/>
  <c r="AZ113" i="3"/>
  <c r="AZ86" i="3"/>
  <c r="F20" i="3"/>
  <c r="G199" i="3"/>
  <c r="G151" i="3"/>
  <c r="G147" i="3"/>
  <c r="G152" i="3"/>
  <c r="G187" i="3" s="1"/>
  <c r="G149" i="3"/>
  <c r="G146" i="3"/>
  <c r="G113" i="3"/>
  <c r="G120" i="3"/>
  <c r="G114" i="3"/>
  <c r="G123" i="3"/>
  <c r="G116" i="3"/>
  <c r="G124" i="3"/>
  <c r="G112" i="3"/>
  <c r="G73" i="3"/>
  <c r="G86" i="3"/>
  <c r="G61" i="3"/>
  <c r="G85" i="3"/>
  <c r="G66" i="3"/>
  <c r="G75" i="3"/>
  <c r="G67" i="3"/>
  <c r="G63" i="3"/>
  <c r="G52" i="3"/>
  <c r="G48" i="3"/>
  <c r="G58" i="3"/>
  <c r="G56" i="3"/>
  <c r="G57" i="3"/>
  <c r="G29" i="3"/>
  <c r="G64" i="3"/>
  <c r="G40" i="3"/>
  <c r="G35" i="3"/>
  <c r="G23" i="3"/>
  <c r="G28" i="3"/>
  <c r="G49" i="3"/>
  <c r="G34" i="3"/>
  <c r="S11" i="3"/>
  <c r="S14" i="3" s="1"/>
  <c r="AE199" i="3"/>
  <c r="AE113" i="3"/>
  <c r="AE124" i="3"/>
  <c r="AE123" i="3"/>
  <c r="AE120" i="3"/>
  <c r="AE114" i="3"/>
  <c r="AE116" i="3"/>
  <c r="AE112" i="3"/>
  <c r="AE86" i="3"/>
  <c r="AE85" i="3"/>
  <c r="AQ199" i="3"/>
  <c r="AQ124" i="3"/>
  <c r="AQ113" i="3"/>
  <c r="AQ114" i="3"/>
  <c r="AQ123" i="3"/>
  <c r="AQ116" i="3"/>
  <c r="AQ112" i="3"/>
  <c r="AQ120" i="3"/>
  <c r="AQ85" i="3"/>
  <c r="AQ86" i="3"/>
  <c r="BC124" i="3"/>
  <c r="BC113" i="3"/>
  <c r="BC123" i="3"/>
  <c r="BC114" i="3"/>
  <c r="BG114" i="3" s="1"/>
  <c r="BC120" i="3"/>
  <c r="BC116" i="3"/>
  <c r="BG116" i="3" s="1"/>
  <c r="BC112" i="3"/>
  <c r="BG112" i="3" s="1"/>
  <c r="BC86" i="3"/>
  <c r="BG86" i="3" s="1"/>
  <c r="BC85" i="3"/>
  <c r="E199" i="3"/>
  <c r="E120" i="3"/>
  <c r="E123" i="3"/>
  <c r="E116" i="3"/>
  <c r="E124" i="3"/>
  <c r="E112" i="3"/>
  <c r="E114" i="3"/>
  <c r="E113" i="3"/>
  <c r="BA199" i="3"/>
  <c r="BA120" i="3"/>
  <c r="BA123" i="3"/>
  <c r="BA124" i="3"/>
  <c r="BA116" i="3"/>
  <c r="BA112" i="3"/>
  <c r="BA114" i="3"/>
  <c r="BA85" i="3"/>
  <c r="BA86" i="3"/>
  <c r="BA113" i="3"/>
  <c r="L40" i="4"/>
  <c r="O40" i="4"/>
  <c r="M40" i="4"/>
  <c r="N39" i="4"/>
  <c r="N40" i="4" s="1"/>
  <c r="E71" i="4"/>
  <c r="D117" i="4"/>
  <c r="D120" i="4"/>
  <c r="E39" i="4"/>
  <c r="E40" i="4" s="1"/>
  <c r="D129" i="4"/>
  <c r="D132" i="4"/>
  <c r="F39" i="4"/>
  <c r="F40" i="4" s="1"/>
  <c r="D116" i="4"/>
  <c r="D119" i="4"/>
  <c r="D122" i="4"/>
  <c r="G39" i="4"/>
  <c r="G40" i="4" s="1"/>
  <c r="H39" i="4"/>
  <c r="H40" i="4" s="1"/>
  <c r="E109" i="4"/>
  <c r="F21" i="4"/>
  <c r="I39" i="4"/>
  <c r="I40" i="4" s="1"/>
  <c r="D128" i="4"/>
  <c r="D131" i="4"/>
  <c r="J39" i="4"/>
  <c r="J40" i="4" s="1"/>
  <c r="D118" i="4"/>
  <c r="K39" i="4"/>
  <c r="K40" i="4" s="1"/>
  <c r="AR117" i="2" l="1"/>
  <c r="AQ120" i="2"/>
  <c r="AF228" i="1"/>
  <c r="AV59" i="2"/>
  <c r="AW60" i="2"/>
  <c r="AV252" i="1"/>
  <c r="G100" i="3"/>
  <c r="F100" i="3"/>
  <c r="AJ90" i="2"/>
  <c r="F24" i="3"/>
  <c r="G25" i="3"/>
  <c r="AR18" i="2"/>
  <c r="AQ17" i="2"/>
  <c r="AR17" i="2" s="1"/>
  <c r="AS221" i="1"/>
  <c r="AS224" i="1"/>
  <c r="AS222" i="1"/>
  <c r="AS223" i="1"/>
  <c r="BG124" i="3"/>
  <c r="F19" i="3"/>
  <c r="G20" i="3"/>
  <c r="G19" i="3" s="1"/>
  <c r="AJ17" i="2"/>
  <c r="AK224" i="1"/>
  <c r="AK221" i="1"/>
  <c r="AK222" i="1"/>
  <c r="AK223" i="1"/>
  <c r="G65" i="3"/>
  <c r="BB85" i="3"/>
  <c r="AC199" i="3"/>
  <c r="I35" i="4" s="1"/>
  <c r="AC6" i="3"/>
  <c r="S124" i="3"/>
  <c r="AR85" i="3"/>
  <c r="N112" i="3"/>
  <c r="X63" i="2"/>
  <c r="W251" i="1"/>
  <c r="E70" i="2"/>
  <c r="I71" i="2"/>
  <c r="AM82" i="2"/>
  <c r="AM225" i="1" s="1"/>
  <c r="AI81" i="2"/>
  <c r="AI225" i="1"/>
  <c r="AM86" i="2"/>
  <c r="AR235" i="1" s="1"/>
  <c r="AN235" i="1"/>
  <c r="V235" i="1"/>
  <c r="E45" i="3"/>
  <c r="E32" i="2"/>
  <c r="E100" i="3"/>
  <c r="I79" i="2"/>
  <c r="AM99" i="2"/>
  <c r="AM243" i="1" s="1"/>
  <c r="AI243" i="1"/>
  <c r="BG85" i="3"/>
  <c r="S199" i="3"/>
  <c r="G35" i="4" s="1"/>
  <c r="S6" i="3"/>
  <c r="BB112" i="3"/>
  <c r="X86" i="3"/>
  <c r="AM83" i="2"/>
  <c r="AM94" i="2"/>
  <c r="X56" i="2"/>
  <c r="AC233" i="1" s="1"/>
  <c r="Y233" i="1"/>
  <c r="AR113" i="3"/>
  <c r="AR124" i="3"/>
  <c r="AW85" i="3"/>
  <c r="L254" i="1"/>
  <c r="L257" i="1"/>
  <c r="L255" i="1"/>
  <c r="AW9" i="2"/>
  <c r="AV6" i="2"/>
  <c r="X120" i="3"/>
  <c r="X23" i="2"/>
  <c r="AC232" i="1" s="1"/>
  <c r="Y232" i="1"/>
  <c r="AW63" i="2"/>
  <c r="AV251" i="1"/>
  <c r="AW141" i="2"/>
  <c r="AW250" i="1" s="1"/>
  <c r="AV250" i="1"/>
  <c r="AJ81" i="2"/>
  <c r="AJ225" i="1"/>
  <c r="AQ226" i="1"/>
  <c r="AW199" i="3"/>
  <c r="M35" i="4" s="1"/>
  <c r="AW6" i="3"/>
  <c r="X113" i="3"/>
  <c r="AW121" i="2"/>
  <c r="AJ70" i="2"/>
  <c r="AJ80" i="2" s="1"/>
  <c r="M226" i="1"/>
  <c r="AH88" i="2"/>
  <c r="AM237" i="1" s="1"/>
  <c r="AI237" i="1"/>
  <c r="S25" i="2"/>
  <c r="R24" i="2"/>
  <c r="S24" i="2" s="1"/>
  <c r="S60" i="2"/>
  <c r="R59" i="2"/>
  <c r="R252" i="1"/>
  <c r="S117" i="2"/>
  <c r="R120" i="2"/>
  <c r="S116" i="3"/>
  <c r="AV70" i="2"/>
  <c r="AH114" i="3"/>
  <c r="AH120" i="3"/>
  <c r="AC120" i="3"/>
  <c r="AR86" i="3"/>
  <c r="AR123" i="3"/>
  <c r="AM85" i="3"/>
  <c r="BG123" i="3"/>
  <c r="S114" i="3"/>
  <c r="AC123" i="3"/>
  <c r="X199" i="3"/>
  <c r="H35" i="4" s="1"/>
  <c r="X6" i="3"/>
  <c r="N124" i="3"/>
  <c r="AM112" i="3"/>
  <c r="AH86" i="3"/>
  <c r="G186" i="3"/>
  <c r="S112" i="3"/>
  <c r="AC124" i="3"/>
  <c r="AV194" i="2"/>
  <c r="AW114" i="2"/>
  <c r="AW194" i="2" s="1"/>
  <c r="BG113" i="3"/>
  <c r="AH85" i="3"/>
  <c r="AH124" i="3"/>
  <c r="F186" i="3"/>
  <c r="S86" i="3"/>
  <c r="BB116" i="3"/>
  <c r="BB124" i="3"/>
  <c r="N113" i="3"/>
  <c r="N120" i="3"/>
  <c r="AW86" i="3"/>
  <c r="AM113" i="3"/>
  <c r="L17" i="2"/>
  <c r="L29" i="2" s="1"/>
  <c r="M224" i="1"/>
  <c r="M222" i="1"/>
  <c r="M221" i="1"/>
  <c r="M223" i="1"/>
  <c r="I141" i="2"/>
  <c r="I250" i="1" s="1"/>
  <c r="H250" i="1"/>
  <c r="N7" i="2"/>
  <c r="M6" i="2"/>
  <c r="N6" i="2" s="1"/>
  <c r="N63" i="2"/>
  <c r="M251" i="1"/>
  <c r="N43" i="2"/>
  <c r="M42" i="2"/>
  <c r="AW87" i="2"/>
  <c r="BB236" i="1" s="1"/>
  <c r="AX236" i="1"/>
  <c r="E68" i="3"/>
  <c r="F68" i="3" s="1"/>
  <c r="G68" i="3" s="1"/>
  <c r="F233" i="1"/>
  <c r="E97" i="3"/>
  <c r="I76" i="2"/>
  <c r="E75" i="2"/>
  <c r="H226" i="1"/>
  <c r="BB117" i="2"/>
  <c r="BA120" i="2"/>
  <c r="AT254" i="1"/>
  <c r="AT255" i="1"/>
  <c r="AT257" i="1"/>
  <c r="F251" i="1"/>
  <c r="F107" i="3"/>
  <c r="K235" i="1"/>
  <c r="O257" i="1"/>
  <c r="O255" i="1"/>
  <c r="O254" i="1"/>
  <c r="BB120" i="3"/>
  <c r="AC112" i="3"/>
  <c r="N116" i="3"/>
  <c r="X112" i="3"/>
  <c r="AW123" i="3"/>
  <c r="BA235" i="1"/>
  <c r="AH123" i="3"/>
  <c r="S85" i="3"/>
  <c r="BB86" i="3"/>
  <c r="AM86" i="3"/>
  <c r="AM114" i="3"/>
  <c r="AJ256" i="1"/>
  <c r="R226" i="1"/>
  <c r="S123" i="3"/>
  <c r="BG120" i="3"/>
  <c r="AH113" i="3"/>
  <c r="AC86" i="3"/>
  <c r="AC116" i="3"/>
  <c r="AC114" i="3"/>
  <c r="AR112" i="3"/>
  <c r="N85" i="3"/>
  <c r="AM116" i="3"/>
  <c r="X114" i="3"/>
  <c r="AW114" i="3"/>
  <c r="AW113" i="3"/>
  <c r="AV81" i="2"/>
  <c r="AV225" i="1"/>
  <c r="AW111" i="2"/>
  <c r="AV254" i="1"/>
  <c r="AV255" i="1"/>
  <c r="AU195" i="2"/>
  <c r="AT235" i="1"/>
  <c r="Q47" i="2"/>
  <c r="R230" i="1" s="1"/>
  <c r="T59" i="2"/>
  <c r="T66" i="2" s="1"/>
  <c r="T252" i="1"/>
  <c r="X86" i="2"/>
  <c r="AC235" i="1" s="1"/>
  <c r="Y235" i="1"/>
  <c r="J59" i="2"/>
  <c r="J66" i="2" s="1"/>
  <c r="J252" i="1"/>
  <c r="BB48" i="2"/>
  <c r="BA47" i="2"/>
  <c r="BA194" i="2"/>
  <c r="BB114" i="2"/>
  <c r="BB194" i="2" s="1"/>
  <c r="N172" i="2"/>
  <c r="N173" i="2"/>
  <c r="N74" i="2"/>
  <c r="AD194" i="2"/>
  <c r="S39" i="2"/>
  <c r="R38" i="2"/>
  <c r="S38" i="2" s="1"/>
  <c r="AZ120" i="2"/>
  <c r="AZ195" i="2" s="1"/>
  <c r="S88" i="2"/>
  <c r="X237" i="1" s="1"/>
  <c r="T237" i="1"/>
  <c r="S87" i="2"/>
  <c r="X236" i="1" s="1"/>
  <c r="T236" i="1"/>
  <c r="F11" i="2"/>
  <c r="E26" i="3"/>
  <c r="F26" i="3" s="1"/>
  <c r="G26" i="3" s="1"/>
  <c r="E11" i="2"/>
  <c r="AD32" i="2"/>
  <c r="AD70" i="2"/>
  <c r="AH71" i="2"/>
  <c r="AA6" i="2"/>
  <c r="Y17" i="2"/>
  <c r="Z222" i="1"/>
  <c r="Z223" i="1"/>
  <c r="Z221" i="1"/>
  <c r="Z224" i="1"/>
  <c r="AC83" i="2"/>
  <c r="AC87" i="2"/>
  <c r="AH236" i="1" s="1"/>
  <c r="AD236" i="1"/>
  <c r="AC85" i="3"/>
  <c r="AC113" i="3"/>
  <c r="AR120" i="3"/>
  <c r="AR114" i="3"/>
  <c r="X116" i="3"/>
  <c r="X124" i="3"/>
  <c r="AW112" i="3"/>
  <c r="BA228" i="1"/>
  <c r="AE226" i="1"/>
  <c r="G38" i="2"/>
  <c r="G59" i="2"/>
  <c r="G66" i="2" s="1"/>
  <c r="G252" i="1"/>
  <c r="J24" i="2"/>
  <c r="AR95" i="2"/>
  <c r="AR241" i="1" s="1"/>
  <c r="AN241" i="1"/>
  <c r="AC141" i="2"/>
  <c r="AC250" i="1" s="1"/>
  <c r="AB250" i="1"/>
  <c r="P81" i="2"/>
  <c r="P225" i="1"/>
  <c r="K226" i="1"/>
  <c r="BF226" i="1"/>
  <c r="G107" i="3"/>
  <c r="L235" i="1"/>
  <c r="AN101" i="2"/>
  <c r="AR102" i="2"/>
  <c r="AB59" i="2"/>
  <c r="AC60" i="2"/>
  <c r="AB252" i="1"/>
  <c r="BC255" i="1"/>
  <c r="BC257" i="1"/>
  <c r="BC254" i="1"/>
  <c r="AR121" i="2"/>
  <c r="AQ256" i="1"/>
  <c r="AP195" i="2"/>
  <c r="I173" i="2"/>
  <c r="G6" i="2"/>
  <c r="AZ81" i="2"/>
  <c r="AZ225" i="1"/>
  <c r="V228" i="1"/>
  <c r="U17" i="2"/>
  <c r="U29" i="2" s="1"/>
  <c r="V221" i="1"/>
  <c r="V224" i="1"/>
  <c r="V222" i="1"/>
  <c r="V223" i="1"/>
  <c r="U254" i="1"/>
  <c r="U255" i="1"/>
  <c r="U257" i="1"/>
  <c r="AM5" i="2"/>
  <c r="BB171" i="2"/>
  <c r="AL38" i="2"/>
  <c r="AM38" i="2" s="1"/>
  <c r="AM39" i="2"/>
  <c r="AM141" i="2"/>
  <c r="AM250" i="1" s="1"/>
  <c r="AL250" i="1"/>
  <c r="AW187" i="2"/>
  <c r="AI70" i="2"/>
  <c r="AM71" i="2"/>
  <c r="AM73" i="2"/>
  <c r="AM87" i="2"/>
  <c r="AR236" i="1" s="1"/>
  <c r="AN236" i="1"/>
  <c r="AM74" i="2"/>
  <c r="AM181" i="2"/>
  <c r="X121" i="2"/>
  <c r="K101" i="2"/>
  <c r="K90" i="2"/>
  <c r="K85" i="2" s="1"/>
  <c r="L32" i="2"/>
  <c r="AJ24" i="2"/>
  <c r="X48" i="2"/>
  <c r="W47" i="2"/>
  <c r="AV17" i="2"/>
  <c r="AW17" i="2" s="1"/>
  <c r="AW18" i="2"/>
  <c r="AX222" i="1"/>
  <c r="AX223" i="1"/>
  <c r="AX221" i="1"/>
  <c r="AX224" i="1"/>
  <c r="BC42" i="2"/>
  <c r="BD229" i="1" s="1"/>
  <c r="AQ101" i="2"/>
  <c r="AE42" i="2"/>
  <c r="AF229" i="1" s="1"/>
  <c r="AE75" i="2"/>
  <c r="G24" i="2"/>
  <c r="G90" i="2"/>
  <c r="G85" i="2" s="1"/>
  <c r="G256" i="1"/>
  <c r="AH189" i="2"/>
  <c r="F110" i="3"/>
  <c r="K238" i="1"/>
  <c r="BB60" i="2"/>
  <c r="BB252" i="1" s="1"/>
  <c r="BA59" i="2"/>
  <c r="BA252" i="1"/>
  <c r="AO59" i="2"/>
  <c r="AO66" i="2" s="1"/>
  <c r="AO252" i="1"/>
  <c r="E36" i="3"/>
  <c r="F36" i="3" s="1"/>
  <c r="G36" i="3" s="1"/>
  <c r="F232" i="1"/>
  <c r="I92" i="2"/>
  <c r="I185" i="2"/>
  <c r="I180" i="2"/>
  <c r="AN17" i="2"/>
  <c r="AO223" i="1"/>
  <c r="AO221" i="1"/>
  <c r="AO224" i="1"/>
  <c r="AO222" i="1"/>
  <c r="AR88" i="2"/>
  <c r="AW237" i="1" s="1"/>
  <c r="AS237" i="1"/>
  <c r="AR184" i="2"/>
  <c r="AB38" i="2"/>
  <c r="AC38" i="2" s="1"/>
  <c r="AC39" i="2"/>
  <c r="AB11" i="2"/>
  <c r="AC12" i="2"/>
  <c r="AG235" i="1"/>
  <c r="AC111" i="2"/>
  <c r="AB255" i="1"/>
  <c r="AB254" i="1"/>
  <c r="U235" i="1"/>
  <c r="AY81" i="2"/>
  <c r="AY225" i="1"/>
  <c r="AA42" i="2"/>
  <c r="AB229" i="1" s="1"/>
  <c r="AF235" i="1"/>
  <c r="AA256" i="1"/>
  <c r="O59" i="2"/>
  <c r="O66" i="2" s="1"/>
  <c r="O252" i="1"/>
  <c r="S92" i="2"/>
  <c r="S149" i="2"/>
  <c r="S188" i="2"/>
  <c r="AH12" i="2"/>
  <c r="AG11" i="2"/>
  <c r="AX47" i="2"/>
  <c r="AY230" i="1" s="1"/>
  <c r="AX90" i="2"/>
  <c r="BB91" i="2"/>
  <c r="BB99" i="2"/>
  <c r="BB243" i="1" s="1"/>
  <c r="AX243" i="1"/>
  <c r="BB123" i="2"/>
  <c r="BB173" i="2"/>
  <c r="BB181" i="2"/>
  <c r="AL85" i="2"/>
  <c r="AQ235" i="1"/>
  <c r="AM56" i="2"/>
  <c r="AR233" i="1" s="1"/>
  <c r="AN233" i="1"/>
  <c r="AL70" i="2"/>
  <c r="AL80" i="2" s="1"/>
  <c r="AM111" i="2"/>
  <c r="AL257" i="1"/>
  <c r="AL255" i="1"/>
  <c r="AL254" i="1"/>
  <c r="AL195" i="2"/>
  <c r="AM120" i="2"/>
  <c r="AM195" i="2" s="1"/>
  <c r="Z59" i="2"/>
  <c r="Z66" i="2" s="1"/>
  <c r="Z252" i="1"/>
  <c r="P6" i="2"/>
  <c r="BF59" i="2"/>
  <c r="BG60" i="2"/>
  <c r="BF252" i="1"/>
  <c r="BF81" i="2"/>
  <c r="BF225" i="1"/>
  <c r="AT17" i="2"/>
  <c r="AU224" i="1"/>
  <c r="AU222" i="1"/>
  <c r="AU223" i="1"/>
  <c r="AU221" i="1"/>
  <c r="V70" i="2"/>
  <c r="N99" i="2"/>
  <c r="N243" i="1" s="1"/>
  <c r="J243" i="1"/>
  <c r="N88" i="2"/>
  <c r="S237" i="1" s="1"/>
  <c r="O237" i="1"/>
  <c r="N91" i="2"/>
  <c r="J90" i="2"/>
  <c r="N127" i="2"/>
  <c r="N175" i="2"/>
  <c r="N180" i="2"/>
  <c r="AS32" i="2"/>
  <c r="AS17" i="2"/>
  <c r="AT221" i="1"/>
  <c r="AT224" i="1"/>
  <c r="AT222" i="1"/>
  <c r="AT223" i="1"/>
  <c r="AW79" i="2"/>
  <c r="AW97" i="2"/>
  <c r="AW185" i="2"/>
  <c r="AG38" i="2"/>
  <c r="AH38" i="2" s="1"/>
  <c r="AH39" i="2"/>
  <c r="AG85" i="2"/>
  <c r="AL235" i="1"/>
  <c r="AH141" i="2"/>
  <c r="AH250" i="1" s="1"/>
  <c r="AG250" i="1"/>
  <c r="U70" i="2"/>
  <c r="U80" i="2" s="1"/>
  <c r="U75" i="2"/>
  <c r="AC73" i="2"/>
  <c r="AC93" i="2"/>
  <c r="AC97" i="2"/>
  <c r="AC181" i="2"/>
  <c r="R6" i="2"/>
  <c r="S6" i="2" s="1"/>
  <c r="BD59" i="2"/>
  <c r="BD66" i="2" s="1"/>
  <c r="BD252" i="1"/>
  <c r="T254" i="1"/>
  <c r="T255" i="1"/>
  <c r="T257" i="1"/>
  <c r="X77" i="2"/>
  <c r="X91" i="2"/>
  <c r="T90" i="2"/>
  <c r="T85" i="2" s="1"/>
  <c r="X178" i="2"/>
  <c r="I5" i="2"/>
  <c r="H47" i="2"/>
  <c r="I48" i="2"/>
  <c r="I18" i="2"/>
  <c r="H17" i="2"/>
  <c r="I17" i="2" s="1"/>
  <c r="J221" i="1"/>
  <c r="J224" i="1"/>
  <c r="J222" i="1"/>
  <c r="J223" i="1"/>
  <c r="I111" i="2"/>
  <c r="H254" i="1"/>
  <c r="H255" i="1"/>
  <c r="M194" i="2"/>
  <c r="N114" i="2"/>
  <c r="N194" i="2" s="1"/>
  <c r="M81" i="2"/>
  <c r="M225" i="1"/>
  <c r="M120" i="2"/>
  <c r="R11" i="2"/>
  <c r="R227" i="1" s="1"/>
  <c r="AK81" i="2"/>
  <c r="AK225" i="1"/>
  <c r="E24" i="3"/>
  <c r="AY17" i="2"/>
  <c r="AZ223" i="1"/>
  <c r="AZ221" i="1"/>
  <c r="AZ224" i="1"/>
  <c r="AZ222" i="1"/>
  <c r="AY85" i="2"/>
  <c r="BD235" i="1"/>
  <c r="AB227" i="1"/>
  <c r="AB226" i="1"/>
  <c r="S74" i="2"/>
  <c r="P228" i="1"/>
  <c r="O75" i="2"/>
  <c r="S76" i="2"/>
  <c r="AX251" i="1"/>
  <c r="BB82" i="2"/>
  <c r="AX81" i="2"/>
  <c r="BB81" i="2" s="1"/>
  <c r="AX225" i="1"/>
  <c r="BB189" i="2"/>
  <c r="AL24" i="2"/>
  <c r="AM24" i="2" s="1"/>
  <c r="AM25" i="2"/>
  <c r="AM7" i="2"/>
  <c r="AL6" i="2"/>
  <c r="AM6" i="2" s="1"/>
  <c r="Z257" i="1"/>
  <c r="Z255" i="1"/>
  <c r="Z254" i="1"/>
  <c r="AG6" i="2"/>
  <c r="AH7" i="2"/>
  <c r="AS11" i="2"/>
  <c r="BF6" i="2"/>
  <c r="BG7" i="2"/>
  <c r="AU228" i="1"/>
  <c r="J254" i="1"/>
  <c r="J255" i="1"/>
  <c r="J257" i="1"/>
  <c r="N103" i="2"/>
  <c r="N150" i="2"/>
  <c r="N179" i="2"/>
  <c r="BE81" i="2"/>
  <c r="BE225" i="1"/>
  <c r="BE251" i="1"/>
  <c r="AW83" i="2"/>
  <c r="AS90" i="2"/>
  <c r="AW91" i="2"/>
  <c r="AW172" i="2"/>
  <c r="AW171" i="2"/>
  <c r="AW178" i="2"/>
  <c r="AH63" i="2"/>
  <c r="AG251" i="1"/>
  <c r="AG194" i="2"/>
  <c r="AH114" i="2"/>
  <c r="AH194" i="2" s="1"/>
  <c r="AC79" i="2"/>
  <c r="AC92" i="2"/>
  <c r="AC171" i="2"/>
  <c r="BD42" i="2"/>
  <c r="BE229" i="1" s="1"/>
  <c r="BD254" i="1"/>
  <c r="BD255" i="1"/>
  <c r="BD257" i="1"/>
  <c r="AF90" i="2"/>
  <c r="T24" i="2"/>
  <c r="X103" i="2"/>
  <c r="X149" i="2"/>
  <c r="X187" i="2"/>
  <c r="H120" i="2"/>
  <c r="N56" i="2"/>
  <c r="S233" i="1" s="1"/>
  <c r="O233" i="1"/>
  <c r="M70" i="2"/>
  <c r="M80" i="2" s="1"/>
  <c r="M90" i="2"/>
  <c r="N121" i="2"/>
  <c r="AK47" i="2"/>
  <c r="AL230" i="1" s="1"/>
  <c r="AK226" i="1"/>
  <c r="AU90" i="2"/>
  <c r="AM189" i="2"/>
  <c r="W194" i="2"/>
  <c r="X114" i="2"/>
  <c r="X194" i="2" s="1"/>
  <c r="AU32" i="2"/>
  <c r="AV42" i="2"/>
  <c r="AW43" i="2"/>
  <c r="AU42" i="2"/>
  <c r="AV229" i="1" s="1"/>
  <c r="BC32" i="2"/>
  <c r="BG94" i="2"/>
  <c r="BG95" i="2"/>
  <c r="BG241" i="1" s="1"/>
  <c r="BC241" i="1"/>
  <c r="AQ70" i="2"/>
  <c r="AQ81" i="2"/>
  <c r="AQ225" i="1"/>
  <c r="AR60" i="2"/>
  <c r="AQ59" i="2"/>
  <c r="AQ252" i="1"/>
  <c r="AE70" i="2"/>
  <c r="AE81" i="2"/>
  <c r="AE225" i="1"/>
  <c r="G110" i="3"/>
  <c r="L238" i="1"/>
  <c r="AU235" i="1"/>
  <c r="AD17" i="2"/>
  <c r="AD29" i="2" s="1"/>
  <c r="AE223" i="1"/>
  <c r="AE221" i="1"/>
  <c r="AE224" i="1"/>
  <c r="AE222" i="1"/>
  <c r="AH103" i="2"/>
  <c r="AH83" i="2"/>
  <c r="AH181" i="2"/>
  <c r="AH175" i="2"/>
  <c r="S111" i="2"/>
  <c r="R257" i="1"/>
  <c r="R255" i="1"/>
  <c r="R254" i="1"/>
  <c r="BF38" i="2"/>
  <c r="BG38" i="2" s="1"/>
  <c r="BG39" i="2"/>
  <c r="BB23" i="2"/>
  <c r="BG232" i="1" s="1"/>
  <c r="BC232" i="1"/>
  <c r="BB63" i="2"/>
  <c r="BB251" i="1" s="1"/>
  <c r="BA251" i="1"/>
  <c r="Q251" i="1"/>
  <c r="E31" i="3"/>
  <c r="E17" i="2"/>
  <c r="F223" i="1"/>
  <c r="E223" i="1"/>
  <c r="F221" i="1"/>
  <c r="F224" i="1"/>
  <c r="F222" i="1"/>
  <c r="E224" i="1"/>
  <c r="E222" i="1"/>
  <c r="E93" i="3"/>
  <c r="I72" i="2"/>
  <c r="E98" i="3"/>
  <c r="I77" i="2"/>
  <c r="E109" i="3"/>
  <c r="I88" i="2"/>
  <c r="N237" i="1" s="1"/>
  <c r="J237" i="1"/>
  <c r="I123" i="2"/>
  <c r="I184" i="2"/>
  <c r="AN24" i="2"/>
  <c r="AN42" i="2"/>
  <c r="AO229" i="1" s="1"/>
  <c r="AR79" i="2"/>
  <c r="P194" i="2"/>
  <c r="F6" i="2"/>
  <c r="AY42" i="2"/>
  <c r="AZ229" i="1" s="1"/>
  <c r="AY70" i="2"/>
  <c r="AY80" i="2" s="1"/>
  <c r="AY194" i="2"/>
  <c r="AA257" i="1"/>
  <c r="AA255" i="1"/>
  <c r="AA254" i="1"/>
  <c r="O251" i="1"/>
  <c r="S89" i="2"/>
  <c r="X238" i="1" s="1"/>
  <c r="T238" i="1"/>
  <c r="S99" i="2"/>
  <c r="S243" i="1" s="1"/>
  <c r="O243" i="1"/>
  <c r="S170" i="2"/>
  <c r="S180" i="2"/>
  <c r="AX17" i="2"/>
  <c r="AY222" i="1"/>
  <c r="AY223" i="1"/>
  <c r="AY221" i="1"/>
  <c r="AY224" i="1"/>
  <c r="AX42" i="2"/>
  <c r="AY229" i="1" s="1"/>
  <c r="BB72" i="2"/>
  <c r="BB71" i="2"/>
  <c r="AX70" i="2"/>
  <c r="AX257" i="1"/>
  <c r="AX255" i="1"/>
  <c r="AX254" i="1"/>
  <c r="BB184" i="2"/>
  <c r="AM33" i="2"/>
  <c r="AL32" i="2"/>
  <c r="Z75" i="2"/>
  <c r="AN32" i="2"/>
  <c r="S5" i="2"/>
  <c r="BF32" i="2"/>
  <c r="BG33" i="2"/>
  <c r="BG121" i="2"/>
  <c r="V254" i="1"/>
  <c r="V255" i="1"/>
  <c r="V257" i="1"/>
  <c r="N77" i="2"/>
  <c r="N87" i="2"/>
  <c r="S236" i="1" s="1"/>
  <c r="O236" i="1"/>
  <c r="N95" i="2"/>
  <c r="N241" i="1" s="1"/>
  <c r="J241" i="1"/>
  <c r="J85" i="2"/>
  <c r="N86" i="2"/>
  <c r="S235" i="1" s="1"/>
  <c r="O235" i="1"/>
  <c r="N188" i="2"/>
  <c r="N189" i="2"/>
  <c r="BE80" i="2"/>
  <c r="BE254" i="1"/>
  <c r="BE257" i="1"/>
  <c r="BE255" i="1"/>
  <c r="AS24" i="2"/>
  <c r="AW105" i="2"/>
  <c r="AW128" i="2"/>
  <c r="AW150" i="2"/>
  <c r="AW149" i="2"/>
  <c r="AH111" i="2"/>
  <c r="AG254" i="1"/>
  <c r="AG255" i="1"/>
  <c r="AC99" i="2"/>
  <c r="AC243" i="1" s="1"/>
  <c r="Y243" i="1"/>
  <c r="AC184" i="2"/>
  <c r="BE228" i="1"/>
  <c r="BD242" i="1"/>
  <c r="BD239" i="1"/>
  <c r="BD240" i="1"/>
  <c r="AF59" i="2"/>
  <c r="AF66" i="2" s="1"/>
  <c r="AF252" i="1"/>
  <c r="AF85" i="2"/>
  <c r="AK235" i="1"/>
  <c r="X74" i="2"/>
  <c r="X73" i="2"/>
  <c r="X93" i="2"/>
  <c r="T195" i="2"/>
  <c r="X150" i="2"/>
  <c r="X128" i="2"/>
  <c r="I7" i="2"/>
  <c r="H6" i="2"/>
  <c r="I6" i="2" s="1"/>
  <c r="H90" i="2"/>
  <c r="M24" i="2"/>
  <c r="N24" i="2" s="1"/>
  <c r="N25" i="2"/>
  <c r="M85" i="2"/>
  <c r="R235" i="1"/>
  <c r="N114" i="3"/>
  <c r="X123" i="3"/>
  <c r="AW116" i="3"/>
  <c r="AV90" i="2"/>
  <c r="AV85" i="2" s="1"/>
  <c r="AJ85" i="2"/>
  <c r="AO235" i="1"/>
  <c r="L101" i="2"/>
  <c r="AU81" i="2"/>
  <c r="AU225" i="1"/>
  <c r="AU254" i="1"/>
  <c r="AU257" i="1"/>
  <c r="AU255" i="1"/>
  <c r="AI75" i="2"/>
  <c r="AM76" i="2"/>
  <c r="AM89" i="2"/>
  <c r="AR238" i="1" s="1"/>
  <c r="AN238" i="1"/>
  <c r="AM128" i="2"/>
  <c r="AM178" i="2"/>
  <c r="W120" i="2"/>
  <c r="W257" i="1" s="1"/>
  <c r="P235" i="1"/>
  <c r="AI32" i="2"/>
  <c r="AJ42" i="2"/>
  <c r="AK229" i="1" s="1"/>
  <c r="AI42" i="2"/>
  <c r="AJ229" i="1" s="1"/>
  <c r="AV38" i="2"/>
  <c r="AW38" i="2" s="1"/>
  <c r="AW39" i="2"/>
  <c r="AU38" i="2"/>
  <c r="BC17" i="2"/>
  <c r="BD223" i="1"/>
  <c r="BD221" i="1"/>
  <c r="BD224" i="1"/>
  <c r="BD222" i="1"/>
  <c r="BG105" i="2"/>
  <c r="BG185" i="2"/>
  <c r="AR25" i="2"/>
  <c r="AQ24" i="2"/>
  <c r="AR24" i="2" s="1"/>
  <c r="AR111" i="2"/>
  <c r="AQ255" i="1"/>
  <c r="AQ254" i="1"/>
  <c r="AQ257" i="1"/>
  <c r="AR141" i="2"/>
  <c r="AR250" i="1" s="1"/>
  <c r="AQ250" i="1"/>
  <c r="AE17" i="2"/>
  <c r="AF223" i="1"/>
  <c r="AF221" i="1"/>
  <c r="AF224" i="1"/>
  <c r="AF222" i="1"/>
  <c r="G70" i="2"/>
  <c r="G80" i="2" s="1"/>
  <c r="G47" i="2"/>
  <c r="H230" i="1" s="1"/>
  <c r="AH92" i="2"/>
  <c r="AH95" i="2"/>
  <c r="AH241" i="1" s="1"/>
  <c r="AD241" i="1"/>
  <c r="AD256" i="1"/>
  <c r="AH185" i="2"/>
  <c r="AH170" i="2"/>
  <c r="R85" i="2"/>
  <c r="W235" i="1"/>
  <c r="R101" i="2"/>
  <c r="F32" i="2"/>
  <c r="F75" i="2"/>
  <c r="F80" i="2" s="1"/>
  <c r="BB56" i="2"/>
  <c r="BG233" i="1" s="1"/>
  <c r="BC233" i="1"/>
  <c r="BA81" i="2"/>
  <c r="BA225" i="1"/>
  <c r="AO47" i="2"/>
  <c r="AP230" i="1" s="1"/>
  <c r="Q32" i="2"/>
  <c r="Q90" i="2"/>
  <c r="Q85" i="2" s="1"/>
  <c r="Q81" i="2"/>
  <c r="Q225" i="1"/>
  <c r="E95" i="3"/>
  <c r="I74" i="2"/>
  <c r="I103" i="2"/>
  <c r="E144" i="3"/>
  <c r="F144" i="3" s="1"/>
  <c r="G144" i="3" s="1"/>
  <c r="G182" i="3" s="1"/>
  <c r="E255" i="1"/>
  <c r="E254" i="1"/>
  <c r="E257" i="1"/>
  <c r="I175" i="2"/>
  <c r="AZ85" i="2"/>
  <c r="BE235" i="1"/>
  <c r="AZ70" i="2"/>
  <c r="AZ80" i="2" s="1"/>
  <c r="AN38" i="2"/>
  <c r="AR105" i="2"/>
  <c r="AR73" i="2"/>
  <c r="AN255" i="1"/>
  <c r="AN254" i="1"/>
  <c r="AN257" i="1"/>
  <c r="AR179" i="2"/>
  <c r="AC48" i="2"/>
  <c r="AB47" i="2"/>
  <c r="AC63" i="2"/>
  <c r="AC251" i="1" s="1"/>
  <c r="AB251" i="1"/>
  <c r="P256" i="1"/>
  <c r="AY38" i="2"/>
  <c r="AY90" i="2"/>
  <c r="AY101" i="2"/>
  <c r="AA32" i="2"/>
  <c r="O17" i="2"/>
  <c r="P224" i="1"/>
  <c r="P223" i="1"/>
  <c r="P221" i="1"/>
  <c r="P222" i="1"/>
  <c r="S78" i="2"/>
  <c r="S173" i="2"/>
  <c r="S174" i="2"/>
  <c r="BA6" i="2"/>
  <c r="BB6" i="2" s="1"/>
  <c r="BB74" i="2"/>
  <c r="BB88" i="2"/>
  <c r="BG237" i="1" s="1"/>
  <c r="BC237" i="1"/>
  <c r="BB93" i="2"/>
  <c r="BB77" i="2"/>
  <c r="AX194" i="2"/>
  <c r="BB185" i="2"/>
  <c r="AL59" i="2"/>
  <c r="AM60" i="2"/>
  <c r="AL252" i="1"/>
  <c r="Z47" i="2"/>
  <c r="AA230" i="1" s="1"/>
  <c r="Z90" i="2"/>
  <c r="Z81" i="2"/>
  <c r="Z225" i="1"/>
  <c r="BF17" i="2"/>
  <c r="BG17" i="2" s="1"/>
  <c r="BG18" i="2"/>
  <c r="AT75" i="2"/>
  <c r="AY235" i="1"/>
  <c r="N78" i="2"/>
  <c r="N97" i="2"/>
  <c r="N93" i="2"/>
  <c r="N149" i="2"/>
  <c r="AD42" i="2"/>
  <c r="AE229" i="1" s="1"/>
  <c r="AS6" i="2"/>
  <c r="AS38" i="2"/>
  <c r="AW73" i="2"/>
  <c r="AS59" i="2"/>
  <c r="AS66" i="2" s="1"/>
  <c r="AS252" i="1"/>
  <c r="AS254" i="1"/>
  <c r="AS255" i="1"/>
  <c r="AS257" i="1"/>
  <c r="AW170" i="2"/>
  <c r="AW175" i="2"/>
  <c r="AW180" i="2"/>
  <c r="AG42" i="2"/>
  <c r="AH43" i="2"/>
  <c r="AH23" i="2"/>
  <c r="AM232" i="1" s="1"/>
  <c r="AI232" i="1"/>
  <c r="AG70" i="2"/>
  <c r="AG80" i="2" s="1"/>
  <c r="AH56" i="2"/>
  <c r="AM233" i="1" s="1"/>
  <c r="AI233" i="1"/>
  <c r="AG120" i="2"/>
  <c r="AG257" i="1" s="1"/>
  <c r="U59" i="2"/>
  <c r="U66" i="2" s="1"/>
  <c r="U252" i="1"/>
  <c r="U256" i="1"/>
  <c r="Y42" i="2"/>
  <c r="Z229" i="1" s="1"/>
  <c r="Y75" i="2"/>
  <c r="AC76" i="2"/>
  <c r="AC123" i="2"/>
  <c r="AC185" i="2"/>
  <c r="BD101" i="2"/>
  <c r="AF32" i="2"/>
  <c r="X79" i="2"/>
  <c r="X105" i="2"/>
  <c r="X170" i="2"/>
  <c r="X173" i="2"/>
  <c r="I25" i="2"/>
  <c r="H24" i="2"/>
  <c r="I24" i="2" s="1"/>
  <c r="I140" i="2"/>
  <c r="I249" i="1" s="1"/>
  <c r="H249" i="1"/>
  <c r="M11" i="2"/>
  <c r="M227" i="1" s="1"/>
  <c r="N12" i="2"/>
  <c r="M38" i="2"/>
  <c r="N38" i="2" s="1"/>
  <c r="N39" i="2"/>
  <c r="N33" i="2"/>
  <c r="M32" i="2"/>
  <c r="M59" i="2"/>
  <c r="N60" i="2"/>
  <c r="M252" i="1"/>
  <c r="N141" i="2"/>
  <c r="N250" i="1" s="1"/>
  <c r="M250" i="1"/>
  <c r="AK42" i="2"/>
  <c r="AL229" i="1" s="1"/>
  <c r="AK85" i="2"/>
  <c r="AP235" i="1"/>
  <c r="AU59" i="2"/>
  <c r="AU66" i="2" s="1"/>
  <c r="AU252" i="1"/>
  <c r="AM77" i="2"/>
  <c r="AM92" i="2"/>
  <c r="AM96" i="2"/>
  <c r="AM184" i="2"/>
  <c r="AM171" i="2"/>
  <c r="X33" i="2"/>
  <c r="W32" i="2"/>
  <c r="L42" i="2"/>
  <c r="M229" i="1" s="1"/>
  <c r="W42" i="2"/>
  <c r="X43" i="2"/>
  <c r="AJ38" i="2"/>
  <c r="BG99" i="2"/>
  <c r="BG243" i="1" s="1"/>
  <c r="BC243" i="1"/>
  <c r="BC59" i="2"/>
  <c r="BC66" i="2" s="1"/>
  <c r="BC252" i="1"/>
  <c r="BG102" i="2"/>
  <c r="BC101" i="2"/>
  <c r="BG101" i="2" s="1"/>
  <c r="AR39" i="2"/>
  <c r="AQ38" i="2"/>
  <c r="AR38" i="2" s="1"/>
  <c r="AQ85" i="2"/>
  <c r="AV235" i="1"/>
  <c r="G251" i="1"/>
  <c r="G194" i="2"/>
  <c r="AP257" i="1"/>
  <c r="AP255" i="1"/>
  <c r="AP254" i="1"/>
  <c r="AP70" i="2"/>
  <c r="AP80" i="2" s="1"/>
  <c r="AH74" i="2"/>
  <c r="AH72" i="2"/>
  <c r="AH87" i="2"/>
  <c r="AM236" i="1" s="1"/>
  <c r="AI236" i="1"/>
  <c r="AH78" i="2"/>
  <c r="AH186" i="2"/>
  <c r="S48" i="2"/>
  <c r="R47" i="2"/>
  <c r="F194" i="2"/>
  <c r="BB111" i="2"/>
  <c r="BA255" i="1"/>
  <c r="BA254" i="1"/>
  <c r="BA257" i="1"/>
  <c r="AP228" i="1"/>
  <c r="AO194" i="2"/>
  <c r="E38" i="3"/>
  <c r="E24" i="2"/>
  <c r="E107" i="3"/>
  <c r="E85" i="2"/>
  <c r="I86" i="2"/>
  <c r="N235" i="1" s="1"/>
  <c r="J235" i="1"/>
  <c r="I150" i="2"/>
  <c r="E148" i="3"/>
  <c r="E256" i="1"/>
  <c r="I181" i="2"/>
  <c r="I170" i="2"/>
  <c r="AZ17" i="2"/>
  <c r="BA223" i="1"/>
  <c r="BA221" i="1"/>
  <c r="BA224" i="1"/>
  <c r="BA222" i="1"/>
  <c r="AN11" i="2"/>
  <c r="AN59" i="2"/>
  <c r="AN66" i="2" s="1"/>
  <c r="AN252" i="1"/>
  <c r="AR94" i="2"/>
  <c r="AR97" i="2"/>
  <c r="AR149" i="2"/>
  <c r="AR185" i="2"/>
  <c r="AR172" i="2"/>
  <c r="AC23" i="2"/>
  <c r="AH232" i="1" s="1"/>
  <c r="AD232" i="1"/>
  <c r="P17" i="2"/>
  <c r="P29" i="2" s="1"/>
  <c r="Q223" i="1"/>
  <c r="Q221" i="1"/>
  <c r="Q224" i="1"/>
  <c r="Q222" i="1"/>
  <c r="P70" i="2"/>
  <c r="P80" i="2" s="1"/>
  <c r="AY11" i="2"/>
  <c r="AA101" i="2"/>
  <c r="S72" i="2"/>
  <c r="S79" i="2"/>
  <c r="S96" i="2"/>
  <c r="S82" i="2"/>
  <c r="O81" i="2"/>
  <c r="S81" i="2" s="1"/>
  <c r="O225" i="1"/>
  <c r="S171" i="2"/>
  <c r="S189" i="2"/>
  <c r="E6" i="2"/>
  <c r="BB78" i="2"/>
  <c r="BB89" i="2"/>
  <c r="BG238" i="1" s="1"/>
  <c r="BC238" i="1"/>
  <c r="BB175" i="2"/>
  <c r="AM140" i="2"/>
  <c r="AM249" i="1" s="1"/>
  <c r="AL249" i="1"/>
  <c r="AB32" i="2"/>
  <c r="AC33" i="2"/>
  <c r="BG48" i="2"/>
  <c r="BF47" i="2"/>
  <c r="BG47" i="2" s="1"/>
  <c r="BG141" i="2"/>
  <c r="BG250" i="1" s="1"/>
  <c r="BF250" i="1"/>
  <c r="BG140" i="2"/>
  <c r="BG249" i="1" s="1"/>
  <c r="BF249" i="1"/>
  <c r="AT81" i="2"/>
  <c r="AT225" i="1"/>
  <c r="V6" i="2"/>
  <c r="J81" i="2"/>
  <c r="N82" i="2"/>
  <c r="J225" i="1"/>
  <c r="N105" i="2"/>
  <c r="N170" i="2"/>
  <c r="N181" i="2"/>
  <c r="AS29" i="2"/>
  <c r="BE32" i="2"/>
  <c r="AS47" i="2"/>
  <c r="AT230" i="1" s="1"/>
  <c r="AS81" i="2"/>
  <c r="AW81" i="2" s="1"/>
  <c r="AW82" i="2"/>
  <c r="AW225" i="1" s="1"/>
  <c r="AS225" i="1"/>
  <c r="AW95" i="2"/>
  <c r="AW241" i="1" s="1"/>
  <c r="AS241" i="1"/>
  <c r="AW74" i="2"/>
  <c r="AW179" i="2"/>
  <c r="AW186" i="2"/>
  <c r="AC91" i="2"/>
  <c r="Y90" i="2"/>
  <c r="AC82" i="2"/>
  <c r="AC225" i="1" s="1"/>
  <c r="Y81" i="2"/>
  <c r="Y225" i="1"/>
  <c r="Y256" i="1"/>
  <c r="AC175" i="2"/>
  <c r="BD17" i="2"/>
  <c r="BE221" i="1"/>
  <c r="BE224" i="1"/>
  <c r="BE222" i="1"/>
  <c r="BE223" i="1"/>
  <c r="AF251" i="1"/>
  <c r="AF101" i="2"/>
  <c r="X92" i="2"/>
  <c r="X94" i="2"/>
  <c r="X186" i="2"/>
  <c r="X189" i="2"/>
  <c r="H11" i="2"/>
  <c r="H227" i="1" s="1"/>
  <c r="I12" i="2"/>
  <c r="I39" i="2"/>
  <c r="H38" i="2"/>
  <c r="I38" i="2" s="1"/>
  <c r="H107" i="3"/>
  <c r="H85" i="2"/>
  <c r="M235" i="1"/>
  <c r="I121" i="2"/>
  <c r="H256" i="1"/>
  <c r="AK6" i="2"/>
  <c r="AK29" i="2" s="1"/>
  <c r="AK70" i="2"/>
  <c r="L70" i="2"/>
  <c r="AU75" i="2"/>
  <c r="AU80" i="2" s="1"/>
  <c r="AU256" i="1"/>
  <c r="AM78" i="2"/>
  <c r="AM93" i="2"/>
  <c r="AI254" i="1"/>
  <c r="AI257" i="1"/>
  <c r="AI255" i="1"/>
  <c r="AM170" i="2"/>
  <c r="AM186" i="2"/>
  <c r="AM187" i="2"/>
  <c r="K32" i="2"/>
  <c r="AU11" i="2"/>
  <c r="K42" i="2"/>
  <c r="L229" i="1" s="1"/>
  <c r="L38" i="2"/>
  <c r="W38" i="2"/>
  <c r="X38" i="2" s="1"/>
  <c r="X39" i="2"/>
  <c r="BC24" i="2"/>
  <c r="BC90" i="2"/>
  <c r="BG91" i="2"/>
  <c r="BC256" i="1"/>
  <c r="AQ42" i="2"/>
  <c r="AR43" i="2"/>
  <c r="AE24" i="2"/>
  <c r="AE90" i="2"/>
  <c r="AE255" i="1"/>
  <c r="AE257" i="1"/>
  <c r="AE254" i="1"/>
  <c r="G108" i="3"/>
  <c r="L108" i="3" s="1"/>
  <c r="Q108" i="3" s="1"/>
  <c r="V108" i="3" s="1"/>
  <c r="AA108" i="3" s="1"/>
  <c r="AF108" i="3" s="1"/>
  <c r="AK108" i="3" s="1"/>
  <c r="AP108" i="3" s="1"/>
  <c r="AU108" i="3" s="1"/>
  <c r="AZ108" i="3" s="1"/>
  <c r="BE108" i="3" s="1"/>
  <c r="L236" i="1"/>
  <c r="G109" i="3"/>
  <c r="L237" i="1"/>
  <c r="AM12" i="2"/>
  <c r="AL11" i="2"/>
  <c r="AD24" i="2"/>
  <c r="AH82" i="2"/>
  <c r="AH225" i="1" s="1"/>
  <c r="AD81" i="2"/>
  <c r="AD225" i="1"/>
  <c r="AH99" i="2"/>
  <c r="AH243" i="1" s="1"/>
  <c r="AD243" i="1"/>
  <c r="AD101" i="2"/>
  <c r="AH101" i="2" s="1"/>
  <c r="AH102" i="2"/>
  <c r="AH127" i="2"/>
  <c r="AH178" i="2"/>
  <c r="S63" i="2"/>
  <c r="S251" i="1" s="1"/>
  <c r="R251" i="1"/>
  <c r="S141" i="2"/>
  <c r="S250" i="1" s="1"/>
  <c r="R250" i="1"/>
  <c r="F17" i="2"/>
  <c r="G223" i="1"/>
  <c r="G221" i="1"/>
  <c r="G224" i="1"/>
  <c r="G222" i="1"/>
  <c r="F109" i="3"/>
  <c r="K237" i="1"/>
  <c r="BA32" i="2"/>
  <c r="BB33" i="2"/>
  <c r="BA17" i="2"/>
  <c r="BB17" i="2" s="1"/>
  <c r="BB18" i="2"/>
  <c r="BC223" i="1"/>
  <c r="BC221" i="1"/>
  <c r="BC224" i="1"/>
  <c r="BC222" i="1"/>
  <c r="AO17" i="2"/>
  <c r="AP223" i="1"/>
  <c r="AP221" i="1"/>
  <c r="AP224" i="1"/>
  <c r="AP222" i="1"/>
  <c r="AO255" i="1"/>
  <c r="AO257" i="1"/>
  <c r="AO254" i="1"/>
  <c r="Q17" i="2"/>
  <c r="R223" i="1"/>
  <c r="R221" i="1"/>
  <c r="R224" i="1"/>
  <c r="R222" i="1"/>
  <c r="Q70" i="2"/>
  <c r="Q80" i="2" s="1"/>
  <c r="E18" i="3"/>
  <c r="E29" i="2"/>
  <c r="I95" i="2"/>
  <c r="I241" i="1" s="1"/>
  <c r="E241" i="1"/>
  <c r="E120" i="2"/>
  <c r="E195" i="2" s="1"/>
  <c r="I186" i="2"/>
  <c r="AZ256" i="1"/>
  <c r="AR96" i="2"/>
  <c r="AR89" i="2"/>
  <c r="AW238" i="1" s="1"/>
  <c r="AS238" i="1"/>
  <c r="AR92" i="2"/>
  <c r="AR187" i="2"/>
  <c r="AR188" i="2"/>
  <c r="AB90" i="2"/>
  <c r="AB85" i="2" s="1"/>
  <c r="P101" i="2"/>
  <c r="AY6" i="2"/>
  <c r="AY29" i="2" s="1"/>
  <c r="AA47" i="2"/>
  <c r="AB230" i="1" s="1"/>
  <c r="O90" i="2"/>
  <c r="S91" i="2"/>
  <c r="O85" i="2"/>
  <c r="S86" i="2"/>
  <c r="X235" i="1" s="1"/>
  <c r="T235" i="1"/>
  <c r="S94" i="2"/>
  <c r="S150" i="2"/>
  <c r="S187" i="2"/>
  <c r="E19" i="3"/>
  <c r="AX38" i="2"/>
  <c r="AX6" i="2"/>
  <c r="AX85" i="2"/>
  <c r="BB86" i="2"/>
  <c r="BG235" i="1" s="1"/>
  <c r="BC235" i="1"/>
  <c r="BB95" i="2"/>
  <c r="BB241" i="1" s="1"/>
  <c r="AX241" i="1"/>
  <c r="AX101" i="2"/>
  <c r="BB101" i="2" s="1"/>
  <c r="BB102" i="2"/>
  <c r="AX256" i="1"/>
  <c r="BB149" i="2"/>
  <c r="BB178" i="2"/>
  <c r="BB170" i="2"/>
  <c r="Z17" i="2"/>
  <c r="AA222" i="1"/>
  <c r="AA223" i="1"/>
  <c r="AA221" i="1"/>
  <c r="AA224" i="1"/>
  <c r="BG111" i="2"/>
  <c r="BF254" i="1"/>
  <c r="BF255" i="1"/>
  <c r="BF90" i="2"/>
  <c r="V90" i="2"/>
  <c r="V85" i="2" s="1"/>
  <c r="J70" i="2"/>
  <c r="N71" i="2"/>
  <c r="J101" i="2"/>
  <c r="N102" i="2"/>
  <c r="N94" i="2"/>
  <c r="J194" i="2"/>
  <c r="N174" i="2"/>
  <c r="BE17" i="2"/>
  <c r="BE29" i="2" s="1"/>
  <c r="BF221" i="1"/>
  <c r="BF224" i="1"/>
  <c r="BF222" i="1"/>
  <c r="BF223" i="1"/>
  <c r="AW94" i="2"/>
  <c r="AS101" i="2"/>
  <c r="AW102" i="2"/>
  <c r="AW86" i="2"/>
  <c r="BB235" i="1" s="1"/>
  <c r="AS85" i="2"/>
  <c r="AX235" i="1"/>
  <c r="AW188" i="2"/>
  <c r="AW173" i="2"/>
  <c r="AG32" i="2"/>
  <c r="AH33" i="2"/>
  <c r="AG81" i="2"/>
  <c r="AG225" i="1"/>
  <c r="U24" i="2"/>
  <c r="Y251" i="1"/>
  <c r="AC72" i="2"/>
  <c r="AC103" i="2"/>
  <c r="AC94" i="2"/>
  <c r="AC170" i="2"/>
  <c r="AC178" i="2"/>
  <c r="AF6" i="2"/>
  <c r="AF29" i="2" s="1"/>
  <c r="AF254" i="1"/>
  <c r="AF255" i="1"/>
  <c r="AF257" i="1"/>
  <c r="AF75" i="2"/>
  <c r="AF80" i="2" s="1"/>
  <c r="T251" i="1"/>
  <c r="X123" i="2"/>
  <c r="X188" i="2"/>
  <c r="X179" i="2"/>
  <c r="H81" i="2"/>
  <c r="H225" i="1"/>
  <c r="I60" i="2"/>
  <c r="H59" i="2"/>
  <c r="H252" i="1"/>
  <c r="AK32" i="2"/>
  <c r="AK257" i="1"/>
  <c r="AK255" i="1"/>
  <c r="AK254" i="1"/>
  <c r="R42" i="2"/>
  <c r="AW140" i="2"/>
  <c r="AW249" i="1" s="1"/>
  <c r="AV249" i="1"/>
  <c r="Q235" i="1"/>
  <c r="L256" i="1"/>
  <c r="AU85" i="2"/>
  <c r="AZ235" i="1"/>
  <c r="AI59" i="2"/>
  <c r="AI66" i="2" s="1"/>
  <c r="AI252" i="1"/>
  <c r="AM97" i="2"/>
  <c r="AM105" i="2"/>
  <c r="AM150" i="2"/>
  <c r="W90" i="2"/>
  <c r="X141" i="2"/>
  <c r="X250" i="1" s="1"/>
  <c r="W250" i="1"/>
  <c r="AV224" i="1"/>
  <c r="AV222" i="1"/>
  <c r="AV223" i="1"/>
  <c r="AV221" i="1"/>
  <c r="AJ227" i="1"/>
  <c r="AJ226" i="1"/>
  <c r="K38" i="2"/>
  <c r="AQ6" i="2"/>
  <c r="AR6" i="2" s="1"/>
  <c r="AR7" i="2"/>
  <c r="BC38" i="2"/>
  <c r="AQ47" i="2"/>
  <c r="AR48" i="2"/>
  <c r="AQ75" i="2"/>
  <c r="AE38" i="2"/>
  <c r="AE67" i="2" s="1"/>
  <c r="AE59" i="2"/>
  <c r="AE66" i="2" s="1"/>
  <c r="AE252" i="1"/>
  <c r="AE256" i="1"/>
  <c r="G257" i="1"/>
  <c r="G255" i="1"/>
  <c r="G254" i="1"/>
  <c r="V11" i="2"/>
  <c r="V227" i="1" s="1"/>
  <c r="AP32" i="2"/>
  <c r="AP194" i="2"/>
  <c r="AD38" i="2"/>
  <c r="AH89" i="2"/>
  <c r="AM238" i="1" s="1"/>
  <c r="AI238" i="1"/>
  <c r="AD257" i="1"/>
  <c r="AD254" i="1"/>
  <c r="AD255" i="1"/>
  <c r="AH171" i="2"/>
  <c r="AH179" i="2"/>
  <c r="R90" i="2"/>
  <c r="R81" i="2"/>
  <c r="R225" i="1"/>
  <c r="F257" i="1"/>
  <c r="F254" i="1"/>
  <c r="F255" i="1"/>
  <c r="F256" i="1"/>
  <c r="BA85" i="2"/>
  <c r="BF235" i="1"/>
  <c r="BA70" i="2"/>
  <c r="AO70" i="2"/>
  <c r="Q256" i="1"/>
  <c r="E55" i="3"/>
  <c r="E42" i="2"/>
  <c r="F229" i="1" s="1"/>
  <c r="E108" i="3"/>
  <c r="I87" i="2"/>
  <c r="N236" i="1" s="1"/>
  <c r="J236" i="1"/>
  <c r="E194" i="2"/>
  <c r="E182" i="3"/>
  <c r="E184" i="3"/>
  <c r="I174" i="2"/>
  <c r="AN85" i="2"/>
  <c r="AR86" i="2"/>
  <c r="AW235" i="1" s="1"/>
  <c r="AS235" i="1"/>
  <c r="AR74" i="2"/>
  <c r="AR87" i="2"/>
  <c r="AW236" i="1" s="1"/>
  <c r="AS236" i="1"/>
  <c r="AR150" i="2"/>
  <c r="AB194" i="2"/>
  <c r="AC114" i="2"/>
  <c r="AC194" i="2" s="1"/>
  <c r="P42" i="2"/>
  <c r="Q229" i="1" s="1"/>
  <c r="AX11" i="2"/>
  <c r="AY256" i="1"/>
  <c r="AA75" i="2"/>
  <c r="AA80" i="2" s="1"/>
  <c r="AA59" i="2"/>
  <c r="AA66" i="2" s="1"/>
  <c r="AA252" i="1"/>
  <c r="O38" i="2"/>
  <c r="O67" i="2" s="1"/>
  <c r="O47" i="2"/>
  <c r="P230" i="1" s="1"/>
  <c r="S93" i="2"/>
  <c r="S83" i="2"/>
  <c r="S184" i="2"/>
  <c r="AX29" i="2"/>
  <c r="BB83" i="2"/>
  <c r="BB180" i="2"/>
  <c r="BB127" i="2"/>
  <c r="BB186" i="2"/>
  <c r="AM23" i="2"/>
  <c r="AR232" i="1" s="1"/>
  <c r="AN232" i="1"/>
  <c r="AL81" i="2"/>
  <c r="AL225" i="1"/>
  <c r="Z42" i="2"/>
  <c r="AA229" i="1" s="1"/>
  <c r="AH94" i="2"/>
  <c r="AT11" i="2"/>
  <c r="N76" i="2"/>
  <c r="J75" i="2"/>
  <c r="AT59" i="2"/>
  <c r="AT66" i="2" s="1"/>
  <c r="AT252" i="1"/>
  <c r="V59" i="2"/>
  <c r="V66" i="2" s="1"/>
  <c r="V252" i="1"/>
  <c r="V32" i="2"/>
  <c r="V17" i="2"/>
  <c r="W224" i="1"/>
  <c r="W223" i="1"/>
  <c r="W222" i="1"/>
  <c r="W221" i="1"/>
  <c r="J42" i="2"/>
  <c r="K229" i="1" s="1"/>
  <c r="N73" i="2"/>
  <c r="N128" i="2"/>
  <c r="N186" i="2"/>
  <c r="N185" i="2"/>
  <c r="BE47" i="2"/>
  <c r="BF230" i="1" s="1"/>
  <c r="BE194" i="2"/>
  <c r="BE256" i="1"/>
  <c r="AW78" i="2"/>
  <c r="AW92" i="2"/>
  <c r="AW93" i="2"/>
  <c r="AW189" i="2"/>
  <c r="AH18" i="2"/>
  <c r="AG17" i="2"/>
  <c r="AH17" i="2" s="1"/>
  <c r="AI223" i="1"/>
  <c r="AI224" i="1"/>
  <c r="AI222" i="1"/>
  <c r="AI221" i="1"/>
  <c r="U38" i="2"/>
  <c r="U67" i="2" s="1"/>
  <c r="AC78" i="2"/>
  <c r="Y70" i="2"/>
  <c r="AC71" i="2"/>
  <c r="Y194" i="2"/>
  <c r="AC187" i="2"/>
  <c r="AC186" i="2"/>
  <c r="BD81" i="2"/>
  <c r="BD84" i="2" s="1"/>
  <c r="BD225" i="1"/>
  <c r="BD194" i="2"/>
  <c r="AF17" i="2"/>
  <c r="AG221" i="1"/>
  <c r="AG224" i="1"/>
  <c r="AG222" i="1"/>
  <c r="AG223" i="1"/>
  <c r="T81" i="2"/>
  <c r="X82" i="2"/>
  <c r="X225" i="1" s="1"/>
  <c r="T225" i="1"/>
  <c r="T101" i="2"/>
  <c r="X101" i="2" s="1"/>
  <c r="X102" i="2"/>
  <c r="X76" i="2"/>
  <c r="T75" i="2"/>
  <c r="X127" i="2"/>
  <c r="X181" i="2"/>
  <c r="X184" i="2"/>
  <c r="N111" i="2"/>
  <c r="M255" i="1"/>
  <c r="M254" i="1"/>
  <c r="AK11" i="2"/>
  <c r="AK251" i="1"/>
  <c r="AK75" i="2"/>
  <c r="AV75" i="2"/>
  <c r="AV101" i="2"/>
  <c r="AJ59" i="2"/>
  <c r="AJ66" i="2" s="1"/>
  <c r="AJ252" i="1"/>
  <c r="AI194" i="2"/>
  <c r="AI256" i="1"/>
  <c r="AM79" i="2"/>
  <c r="AM149" i="2"/>
  <c r="AM179" i="2"/>
  <c r="AM180" i="2"/>
  <c r="AJ224" i="1"/>
  <c r="AJ222" i="1"/>
  <c r="AJ223" i="1"/>
  <c r="AJ221" i="1"/>
  <c r="W11" i="2"/>
  <c r="X12" i="2"/>
  <c r="AU24" i="2"/>
  <c r="AB6" i="2"/>
  <c r="AC6" i="2" s="1"/>
  <c r="AC7" i="2"/>
  <c r="BC70" i="2"/>
  <c r="BG71" i="2"/>
  <c r="BC47" i="2"/>
  <c r="BD230" i="1" s="1"/>
  <c r="BG181" i="2"/>
  <c r="AR63" i="2"/>
  <c r="AR251" i="1" s="1"/>
  <c r="AQ251" i="1"/>
  <c r="AQ194" i="2"/>
  <c r="AR114" i="2"/>
  <c r="AR194" i="2" s="1"/>
  <c r="AE85" i="2"/>
  <c r="AJ235" i="1"/>
  <c r="G32" i="2"/>
  <c r="AP17" i="2"/>
  <c r="AP29" i="2" s="1"/>
  <c r="AQ223" i="1"/>
  <c r="AQ221" i="1"/>
  <c r="AQ224" i="1"/>
  <c r="AQ222" i="1"/>
  <c r="AP90" i="2"/>
  <c r="AP85" i="2" s="1"/>
  <c r="AH76" i="2"/>
  <c r="AD75" i="2"/>
  <c r="AH75" i="2" s="1"/>
  <c r="AD59" i="2"/>
  <c r="AD66" i="2" s="1"/>
  <c r="AD252" i="1"/>
  <c r="AH73" i="2"/>
  <c r="AH150" i="2"/>
  <c r="AH172" i="2"/>
  <c r="AH188" i="2"/>
  <c r="AH187" i="2"/>
  <c r="S23" i="2"/>
  <c r="X232" i="1" s="1"/>
  <c r="T232" i="1"/>
  <c r="S56" i="2"/>
  <c r="X233" i="1" s="1"/>
  <c r="T233" i="1"/>
  <c r="F24" i="2"/>
  <c r="F59" i="2"/>
  <c r="F66" i="2" s="1"/>
  <c r="F252" i="1"/>
  <c r="V226" i="1"/>
  <c r="BB141" i="2"/>
  <c r="BB250" i="1" s="1"/>
  <c r="BA250" i="1"/>
  <c r="AO42" i="2"/>
  <c r="AP229" i="1" s="1"/>
  <c r="AO75" i="2"/>
  <c r="AO256" i="1"/>
  <c r="Q29" i="2"/>
  <c r="E188" i="3"/>
  <c r="E185" i="3"/>
  <c r="E81" i="2"/>
  <c r="I82" i="2"/>
  <c r="E225" i="1"/>
  <c r="E72" i="3"/>
  <c r="E59" i="2"/>
  <c r="E66" i="2" s="1"/>
  <c r="I99" i="2"/>
  <c r="I243" i="1" s="1"/>
  <c r="E243" i="1"/>
  <c r="E99" i="3"/>
  <c r="I78" i="2"/>
  <c r="I128" i="2"/>
  <c r="I127" i="2"/>
  <c r="I149" i="2"/>
  <c r="I178" i="2"/>
  <c r="I179" i="2"/>
  <c r="AZ24" i="2"/>
  <c r="AZ42" i="2"/>
  <c r="BA229" i="1" s="1"/>
  <c r="AN90" i="2"/>
  <c r="AR91" i="2"/>
  <c r="AR99" i="2"/>
  <c r="AR243" i="1" s="1"/>
  <c r="AN243" i="1"/>
  <c r="AR128" i="2"/>
  <c r="AR171" i="2"/>
  <c r="AR180" i="2"/>
  <c r="AR181" i="2"/>
  <c r="AB17" i="2"/>
  <c r="AC17" i="2" s="1"/>
  <c r="AC18" i="2"/>
  <c r="AD223" i="1"/>
  <c r="AD221" i="1"/>
  <c r="AD222" i="1"/>
  <c r="AD224" i="1"/>
  <c r="AC56" i="2"/>
  <c r="AH233" i="1" s="1"/>
  <c r="AD233" i="1"/>
  <c r="AB70" i="2"/>
  <c r="P24" i="2"/>
  <c r="AY32" i="2"/>
  <c r="AY59" i="2"/>
  <c r="AY66" i="2" s="1"/>
  <c r="AY252" i="1"/>
  <c r="O42" i="2"/>
  <c r="P229" i="1" s="1"/>
  <c r="S95" i="2"/>
  <c r="S241" i="1" s="1"/>
  <c r="O241" i="1"/>
  <c r="S128" i="2"/>
  <c r="S185" i="2"/>
  <c r="S175" i="2"/>
  <c r="AJ29" i="2"/>
  <c r="AX32" i="2"/>
  <c r="AX59" i="2"/>
  <c r="AX66" i="2" s="1"/>
  <c r="AX252" i="1"/>
  <c r="BB97" i="2"/>
  <c r="BB128" i="2"/>
  <c r="BB179" i="2"/>
  <c r="Z24" i="2"/>
  <c r="Z70" i="2"/>
  <c r="Z194" i="2"/>
  <c r="AE11" i="2"/>
  <c r="AE227" i="1" s="1"/>
  <c r="AC223" i="1"/>
  <c r="AC221" i="1"/>
  <c r="AC222" i="1"/>
  <c r="AP42" i="2"/>
  <c r="AQ229" i="1" s="1"/>
  <c r="BF75" i="2"/>
  <c r="AT42" i="2"/>
  <c r="AU229" i="1" s="1"/>
  <c r="AT70" i="2"/>
  <c r="AT80" i="2" s="1"/>
  <c r="V75" i="2"/>
  <c r="V256" i="1"/>
  <c r="J6" i="2"/>
  <c r="K227" i="1" s="1"/>
  <c r="N72" i="2"/>
  <c r="N89" i="2"/>
  <c r="S238" i="1" s="1"/>
  <c r="O238" i="1"/>
  <c r="N184" i="2"/>
  <c r="N178" i="2"/>
  <c r="BE90" i="2"/>
  <c r="AS42" i="2"/>
  <c r="AT229" i="1" s="1"/>
  <c r="AW99" i="2"/>
  <c r="AW243" i="1" s="1"/>
  <c r="AS243" i="1"/>
  <c r="AW181" i="2"/>
  <c r="AG47" i="2"/>
  <c r="AH48" i="2"/>
  <c r="U47" i="2"/>
  <c r="V230" i="1" s="1"/>
  <c r="U85" i="2"/>
  <c r="Z235" i="1"/>
  <c r="Y32" i="2"/>
  <c r="AC95" i="2"/>
  <c r="AC241" i="1" s="1"/>
  <c r="Y241" i="1"/>
  <c r="AC105" i="2"/>
  <c r="AC86" i="2"/>
  <c r="AH235" i="1" s="1"/>
  <c r="AD235" i="1"/>
  <c r="AC77" i="2"/>
  <c r="Y257" i="1"/>
  <c r="Y255" i="1"/>
  <c r="Y254" i="1"/>
  <c r="BD11" i="2"/>
  <c r="BD29" i="2" s="1"/>
  <c r="AF11" i="2"/>
  <c r="T32" i="2"/>
  <c r="X72" i="2"/>
  <c r="X97" i="2"/>
  <c r="X88" i="2"/>
  <c r="AC237" i="1" s="1"/>
  <c r="Y237" i="1"/>
  <c r="H42" i="2"/>
  <c r="I43" i="2"/>
  <c r="H110" i="3"/>
  <c r="M238" i="1"/>
  <c r="M29" i="2"/>
  <c r="N5" i="2"/>
  <c r="AJ254" i="1"/>
  <c r="AJ257" i="1"/>
  <c r="AJ255" i="1"/>
  <c r="AI90" i="2"/>
  <c r="AM90" i="2" s="1"/>
  <c r="AM91" i="2"/>
  <c r="AM172" i="2"/>
  <c r="W59" i="2"/>
  <c r="X60" i="2"/>
  <c r="X252" i="1" s="1"/>
  <c r="W252" i="1"/>
  <c r="X111" i="2"/>
  <c r="W254" i="1"/>
  <c r="W255" i="1"/>
  <c r="X140" i="2"/>
  <c r="X249" i="1" s="1"/>
  <c r="W249" i="1"/>
  <c r="AI47" i="2"/>
  <c r="AJ230" i="1" s="1"/>
  <c r="X19" i="2"/>
  <c r="AC224" i="1" s="1"/>
  <c r="Y224" i="1"/>
  <c r="Y222" i="1"/>
  <c r="Y221" i="1"/>
  <c r="Y223" i="1"/>
  <c r="L227" i="1"/>
  <c r="L226" i="1"/>
  <c r="AI24" i="2"/>
  <c r="AI29" i="2" s="1"/>
  <c r="BG86" i="2"/>
  <c r="BC85" i="2"/>
  <c r="AR56" i="2"/>
  <c r="AW233" i="1" s="1"/>
  <c r="AS233" i="1"/>
  <c r="AH77" i="2"/>
  <c r="AD90" i="2"/>
  <c r="AH90" i="2" s="1"/>
  <c r="AH91" i="2"/>
  <c r="AD85" i="2"/>
  <c r="AH85" i="2" s="1"/>
  <c r="AH86" i="2"/>
  <c r="AM235" i="1" s="1"/>
  <c r="AI235" i="1"/>
  <c r="AH97" i="2"/>
  <c r="AH174" i="2"/>
  <c r="AH149" i="2"/>
  <c r="R32" i="2"/>
  <c r="S33" i="2"/>
  <c r="R70" i="2"/>
  <c r="S140" i="2"/>
  <c r="S249" i="1" s="1"/>
  <c r="R249" i="1"/>
  <c r="F38" i="2"/>
  <c r="F81" i="2"/>
  <c r="F225" i="1"/>
  <c r="F108" i="3"/>
  <c r="K108" i="3" s="1"/>
  <c r="P108" i="3" s="1"/>
  <c r="U108" i="3" s="1"/>
  <c r="Z108" i="3" s="1"/>
  <c r="AE108" i="3" s="1"/>
  <c r="AJ108" i="3" s="1"/>
  <c r="AO108" i="3" s="1"/>
  <c r="AT108" i="3" s="1"/>
  <c r="AY108" i="3" s="1"/>
  <c r="BD108" i="3" s="1"/>
  <c r="K236" i="1"/>
  <c r="BB25" i="2"/>
  <c r="BA24" i="2"/>
  <c r="BB24" i="2" s="1"/>
  <c r="BA29" i="2"/>
  <c r="BB5" i="2"/>
  <c r="Q42" i="2"/>
  <c r="R229" i="1" s="1"/>
  <c r="E90" i="2"/>
  <c r="I91" i="2"/>
  <c r="E60" i="3"/>
  <c r="E47" i="2"/>
  <c r="F230" i="1" s="1"/>
  <c r="I102" i="2"/>
  <c r="E101" i="2"/>
  <c r="I101" i="2" s="1"/>
  <c r="I171" i="2"/>
  <c r="I172" i="2"/>
  <c r="AZ38" i="2"/>
  <c r="AZ67" i="2" s="1"/>
  <c r="AZ11" i="2"/>
  <c r="AZ101" i="2"/>
  <c r="AR83" i="2"/>
  <c r="AR103" i="2"/>
  <c r="AN194" i="2"/>
  <c r="AR174" i="2"/>
  <c r="AR178" i="2"/>
  <c r="AR173" i="2"/>
  <c r="AC121" i="2"/>
  <c r="P38" i="2"/>
  <c r="Q227" i="1"/>
  <c r="Q226" i="1"/>
  <c r="P59" i="2"/>
  <c r="P66" i="2" s="1"/>
  <c r="P252" i="1"/>
  <c r="P255" i="1"/>
  <c r="P254" i="1"/>
  <c r="P257" i="1"/>
  <c r="AA17" i="2"/>
  <c r="AA29" i="2" s="1"/>
  <c r="AB224" i="1"/>
  <c r="AB223" i="1"/>
  <c r="AB221" i="1"/>
  <c r="AB222" i="1"/>
  <c r="O11" i="2"/>
  <c r="S77" i="2"/>
  <c r="O70" i="2"/>
  <c r="S71" i="2"/>
  <c r="O194" i="2"/>
  <c r="S186" i="2"/>
  <c r="AX75" i="2"/>
  <c r="BB76" i="2"/>
  <c r="BB73" i="2"/>
  <c r="BB172" i="2"/>
  <c r="AL17" i="2"/>
  <c r="AM17" i="2" s="1"/>
  <c r="AM18" i="2"/>
  <c r="AN224" i="1"/>
  <c r="AN223" i="1"/>
  <c r="AN221" i="1"/>
  <c r="AN222" i="1"/>
  <c r="AM63" i="2"/>
  <c r="AL251" i="1"/>
  <c r="AL47" i="2"/>
  <c r="AM48" i="2"/>
  <c r="AL194" i="2"/>
  <c r="AM114" i="2"/>
  <c r="AM194" i="2" s="1"/>
  <c r="Z6" i="2"/>
  <c r="Z29" i="2" s="1"/>
  <c r="W17" i="2"/>
  <c r="X17" i="2" s="1"/>
  <c r="P32" i="2"/>
  <c r="BF85" i="2"/>
  <c r="AA235" i="1"/>
  <c r="N171" i="2"/>
  <c r="AQ11" i="2"/>
  <c r="AR12" i="2"/>
  <c r="BE59" i="2"/>
  <c r="BE66" i="2" s="1"/>
  <c r="BE252" i="1"/>
  <c r="AS251" i="1"/>
  <c r="AW77" i="2"/>
  <c r="AW76" i="2"/>
  <c r="AS75" i="2"/>
  <c r="AW184" i="2"/>
  <c r="AH121" i="2"/>
  <c r="AH140" i="2"/>
  <c r="AH249" i="1" s="1"/>
  <c r="AG249" i="1"/>
  <c r="AC88" i="2"/>
  <c r="AH237" i="1" s="1"/>
  <c r="AD237" i="1"/>
  <c r="AC89" i="2"/>
  <c r="AH238" i="1" s="1"/>
  <c r="AD238" i="1"/>
  <c r="AC128" i="2"/>
  <c r="AC173" i="2"/>
  <c r="AC150" i="2"/>
  <c r="AC179" i="2"/>
  <c r="AF81" i="2"/>
  <c r="AF225" i="1"/>
  <c r="T70" i="2"/>
  <c r="X71" i="2"/>
  <c r="X78" i="2"/>
  <c r="X87" i="2"/>
  <c r="AC236" i="1" s="1"/>
  <c r="Y236" i="1"/>
  <c r="X174" i="2"/>
  <c r="X175" i="2"/>
  <c r="I23" i="2"/>
  <c r="N232" i="1" s="1"/>
  <c r="J232" i="1"/>
  <c r="I63" i="2"/>
  <c r="H251" i="1"/>
  <c r="H101" i="2"/>
  <c r="H194" i="2"/>
  <c r="I114" i="2"/>
  <c r="I194" i="2" s="1"/>
  <c r="N23" i="2"/>
  <c r="S232" i="1" s="1"/>
  <c r="O232" i="1"/>
  <c r="M47" i="2"/>
  <c r="N48" i="2"/>
  <c r="N140" i="2"/>
  <c r="N249" i="1" s="1"/>
  <c r="M249" i="1"/>
  <c r="AK59" i="2"/>
  <c r="AK66" i="2" s="1"/>
  <c r="AK252" i="1"/>
  <c r="BA11" i="2"/>
  <c r="I199" i="3"/>
  <c r="E35" i="4" s="1"/>
  <c r="I6" i="3"/>
  <c r="AV47" i="2"/>
  <c r="AW48" i="2"/>
  <c r="L59" i="2"/>
  <c r="L66" i="2" s="1"/>
  <c r="L252" i="1"/>
  <c r="L81" i="2"/>
  <c r="L225" i="1"/>
  <c r="L194" i="2"/>
  <c r="L90" i="2"/>
  <c r="L85" i="2" s="1"/>
  <c r="AM95" i="2"/>
  <c r="AM241" i="1" s="1"/>
  <c r="AI241" i="1"/>
  <c r="AM88" i="2"/>
  <c r="AR237" i="1" s="1"/>
  <c r="AN237" i="1"/>
  <c r="AM103" i="2"/>
  <c r="AM188" i="2"/>
  <c r="W75" i="2"/>
  <c r="W80" i="2" s="1"/>
  <c r="W85" i="2"/>
  <c r="AB235" i="1"/>
  <c r="K59" i="2"/>
  <c r="K66" i="2" s="1"/>
  <c r="K252" i="1"/>
  <c r="K81" i="2"/>
  <c r="K225" i="1"/>
  <c r="K194" i="2"/>
  <c r="AW33" i="2"/>
  <c r="AV32" i="2"/>
  <c r="K47" i="2"/>
  <c r="L230" i="1" s="1"/>
  <c r="L224" i="1"/>
  <c r="L222" i="1"/>
  <c r="L223" i="1"/>
  <c r="L221" i="1"/>
  <c r="W24" i="2"/>
  <c r="X24" i="2" s="1"/>
  <c r="X25" i="2"/>
  <c r="AQ29" i="2"/>
  <c r="AR5" i="2"/>
  <c r="BC81" i="2"/>
  <c r="BG82" i="2"/>
  <c r="BG225" i="1" s="1"/>
  <c r="BC225" i="1"/>
  <c r="AQ32" i="2"/>
  <c r="AR33" i="2"/>
  <c r="AR140" i="2"/>
  <c r="AR249" i="1" s="1"/>
  <c r="AQ249" i="1"/>
  <c r="AE47" i="2"/>
  <c r="AF230" i="1" s="1"/>
  <c r="G17" i="2"/>
  <c r="H223" i="1"/>
  <c r="H221" i="1"/>
  <c r="H224" i="1"/>
  <c r="H222" i="1"/>
  <c r="AP24" i="2"/>
  <c r="AP59" i="2"/>
  <c r="AP66" i="2" s="1"/>
  <c r="AP252" i="1"/>
  <c r="AP256" i="1"/>
  <c r="AH93" i="2"/>
  <c r="AH128" i="2"/>
  <c r="AH123" i="2"/>
  <c r="AH180" i="2"/>
  <c r="S18" i="2"/>
  <c r="R17" i="2"/>
  <c r="S17" i="2" s="1"/>
  <c r="T223" i="1"/>
  <c r="T221" i="1"/>
  <c r="T224" i="1"/>
  <c r="T222" i="1"/>
  <c r="R194" i="2"/>
  <c r="S114" i="2"/>
  <c r="S194" i="2" s="1"/>
  <c r="F90" i="2"/>
  <c r="F85" i="2" s="1"/>
  <c r="F47" i="2"/>
  <c r="G230" i="1" s="1"/>
  <c r="BB39" i="2"/>
  <c r="BA38" i="2"/>
  <c r="BB38" i="2" s="1"/>
  <c r="BA42" i="2"/>
  <c r="BB43" i="2"/>
  <c r="BA75" i="2"/>
  <c r="BB121" i="2"/>
  <c r="BA256" i="1"/>
  <c r="AO38" i="2"/>
  <c r="AP231" i="1" s="1"/>
  <c r="AO90" i="2"/>
  <c r="AO85" i="2" s="1"/>
  <c r="AO101" i="2"/>
  <c r="Q255" i="1"/>
  <c r="Q257" i="1"/>
  <c r="Q254" i="1"/>
  <c r="Q24" i="2"/>
  <c r="Q101" i="2"/>
  <c r="I94" i="2"/>
  <c r="E94" i="3"/>
  <c r="I73" i="2"/>
  <c r="I187" i="2"/>
  <c r="I188" i="2"/>
  <c r="AZ59" i="2"/>
  <c r="AZ66" i="2" s="1"/>
  <c r="AZ252" i="1"/>
  <c r="AZ255" i="1"/>
  <c r="AZ254" i="1"/>
  <c r="AZ257" i="1"/>
  <c r="AR82" i="2"/>
  <c r="AN81" i="2"/>
  <c r="AN225" i="1"/>
  <c r="AR93" i="2"/>
  <c r="AN70" i="2"/>
  <c r="AR71" i="2"/>
  <c r="AR189" i="2"/>
  <c r="AC5" i="2"/>
  <c r="AB81" i="2"/>
  <c r="AB225" i="1"/>
  <c r="AB75" i="2"/>
  <c r="AY257" i="1"/>
  <c r="AY255" i="1"/>
  <c r="AY254" i="1"/>
  <c r="AA90" i="2"/>
  <c r="AA85" i="2" s="1"/>
  <c r="AA81" i="2"/>
  <c r="AA225" i="1"/>
  <c r="AA194" i="2"/>
  <c r="S103" i="2"/>
  <c r="S105" i="2"/>
  <c r="S73" i="2"/>
  <c r="S102" i="2"/>
  <c r="O101" i="2"/>
  <c r="S101" i="2" s="1"/>
  <c r="O256" i="1"/>
  <c r="S179" i="2"/>
  <c r="BB92" i="2"/>
  <c r="BB150" i="2"/>
  <c r="BB188" i="2"/>
  <c r="Z101" i="2"/>
  <c r="Z256" i="1"/>
  <c r="AU17" i="2"/>
  <c r="BF24" i="2"/>
  <c r="BG24" i="2" s="1"/>
  <c r="BG25" i="2"/>
  <c r="BF70" i="2"/>
  <c r="BF80" i="2" s="1"/>
  <c r="J32" i="2"/>
  <c r="N92" i="2"/>
  <c r="N96" i="2"/>
  <c r="J256" i="1"/>
  <c r="N187" i="2"/>
  <c r="Z11" i="2"/>
  <c r="BE24" i="2"/>
  <c r="AS70" i="2"/>
  <c r="AW71" i="2"/>
  <c r="AW89" i="2"/>
  <c r="BB238" i="1" s="1"/>
  <c r="AX238" i="1"/>
  <c r="AW88" i="2"/>
  <c r="BB237" i="1" s="1"/>
  <c r="AX237" i="1"/>
  <c r="AW123" i="2"/>
  <c r="AW174" i="2"/>
  <c r="U42" i="2"/>
  <c r="V229" i="1" s="1"/>
  <c r="U81" i="2"/>
  <c r="U225" i="1"/>
  <c r="Y101" i="2"/>
  <c r="AC102" i="2"/>
  <c r="AC74" i="2"/>
  <c r="AC96" i="2"/>
  <c r="AC172" i="2"/>
  <c r="BD38" i="2"/>
  <c r="BD67" i="2" s="1"/>
  <c r="BD256" i="1"/>
  <c r="AF24" i="2"/>
  <c r="T17" i="2"/>
  <c r="U221" i="1"/>
  <c r="U224" i="1"/>
  <c r="U222" i="1"/>
  <c r="U223" i="1"/>
  <c r="X99" i="2"/>
  <c r="X243" i="1" s="1"/>
  <c r="T243" i="1"/>
  <c r="X83" i="2"/>
  <c r="H32" i="2"/>
  <c r="I33" i="2"/>
  <c r="H70" i="2"/>
  <c r="H75" i="2"/>
  <c r="H199" i="3"/>
  <c r="H149" i="3"/>
  <c r="H147" i="3"/>
  <c r="H151" i="3"/>
  <c r="H152" i="3"/>
  <c r="H146" i="3"/>
  <c r="H123" i="3"/>
  <c r="I123" i="3" s="1"/>
  <c r="H144" i="3"/>
  <c r="H124" i="3"/>
  <c r="I124" i="3" s="1"/>
  <c r="H113" i="3"/>
  <c r="I113" i="3" s="1"/>
  <c r="H120" i="3"/>
  <c r="I120" i="3" s="1"/>
  <c r="H114" i="3"/>
  <c r="I114" i="3" s="1"/>
  <c r="H112" i="3"/>
  <c r="I112" i="3" s="1"/>
  <c r="H100" i="3"/>
  <c r="H86" i="3"/>
  <c r="I86" i="3" s="1"/>
  <c r="H65" i="3"/>
  <c r="H53" i="3"/>
  <c r="H58" i="3"/>
  <c r="H85" i="3"/>
  <c r="I85" i="3" s="1"/>
  <c r="H66" i="3"/>
  <c r="H116" i="3"/>
  <c r="I116" i="3" s="1"/>
  <c r="H64" i="3"/>
  <c r="H76" i="3"/>
  <c r="H73" i="3"/>
  <c r="H75" i="3"/>
  <c r="H63" i="3"/>
  <c r="H52" i="3"/>
  <c r="H48" i="3"/>
  <c r="H62" i="3"/>
  <c r="H56" i="3"/>
  <c r="H68" i="3"/>
  <c r="H49" i="3"/>
  <c r="H36" i="3"/>
  <c r="H67" i="3"/>
  <c r="H40" i="3"/>
  <c r="H22" i="3"/>
  <c r="H61" i="3"/>
  <c r="H20" i="3"/>
  <c r="H32" i="3"/>
  <c r="H25" i="3"/>
  <c r="H39" i="3"/>
  <c r="H35" i="3"/>
  <c r="H27" i="3"/>
  <c r="H23" i="3"/>
  <c r="H47" i="3"/>
  <c r="H28" i="3"/>
  <c r="H46" i="3"/>
  <c r="H21" i="3"/>
  <c r="H41" i="3"/>
  <c r="H26" i="3"/>
  <c r="H29" i="3"/>
  <c r="H6" i="3"/>
  <c r="H34" i="3"/>
  <c r="H57" i="3"/>
  <c r="AV120" i="2"/>
  <c r="AV256" i="1" s="1"/>
  <c r="L75" i="2"/>
  <c r="AI101" i="2"/>
  <c r="AM101" i="2" s="1"/>
  <c r="AM102" i="2"/>
  <c r="AM123" i="2"/>
  <c r="W81" i="2"/>
  <c r="W225" i="1"/>
  <c r="K75" i="2"/>
  <c r="K80" i="2" s="1"/>
  <c r="K254" i="1"/>
  <c r="K257" i="1"/>
  <c r="K255" i="1"/>
  <c r="AJ32" i="2"/>
  <c r="AW56" i="2"/>
  <c r="BB233" i="1" s="1"/>
  <c r="AX233" i="1"/>
  <c r="AV24" i="2"/>
  <c r="AW24" i="2" s="1"/>
  <c r="AW25" i="2"/>
  <c r="AU47" i="2"/>
  <c r="AV230" i="1" s="1"/>
  <c r="K24" i="2"/>
  <c r="K29" i="2" s="1"/>
  <c r="AO11" i="2"/>
  <c r="AO29" i="2" s="1"/>
  <c r="BG76" i="2"/>
  <c r="BC75" i="2"/>
  <c r="BG75" i="2" s="1"/>
  <c r="AR23" i="2"/>
  <c r="AW232" i="1" s="1"/>
  <c r="AS232" i="1"/>
  <c r="AE251" i="1"/>
  <c r="AE194" i="2"/>
  <c r="G81" i="2"/>
  <c r="G225" i="1"/>
  <c r="G101" i="2"/>
  <c r="AP38" i="2"/>
  <c r="AP81" i="2"/>
  <c r="AP225" i="1"/>
  <c r="AH96" i="2"/>
  <c r="AD47" i="2"/>
  <c r="AE230" i="1" s="1"/>
  <c r="AH105" i="2"/>
  <c r="AH173" i="2"/>
  <c r="R75" i="2"/>
  <c r="S121" i="2"/>
  <c r="R256" i="1"/>
  <c r="F101" i="2"/>
  <c r="G134" i="4"/>
  <c r="G131" i="4"/>
  <c r="F121" i="4"/>
  <c r="F118" i="4"/>
  <c r="F115" i="4"/>
  <c r="F134" i="4"/>
  <c r="F131" i="4"/>
  <c r="E121" i="4"/>
  <c r="E118" i="4"/>
  <c r="E115" i="4"/>
  <c r="E134" i="4"/>
  <c r="I132" i="4"/>
  <c r="E131" i="4"/>
  <c r="E128" i="4"/>
  <c r="H122" i="4"/>
  <c r="H119" i="4"/>
  <c r="H116" i="4"/>
  <c r="H132" i="4"/>
  <c r="G122" i="4"/>
  <c r="G119" i="4"/>
  <c r="G116" i="4"/>
  <c r="G132" i="4"/>
  <c r="K127" i="4"/>
  <c r="F122" i="4"/>
  <c r="F119" i="4"/>
  <c r="F116" i="4"/>
  <c r="E63" i="4"/>
  <c r="E64" i="4" s="1"/>
  <c r="J133" i="4"/>
  <c r="F132" i="4"/>
  <c r="F129" i="4"/>
  <c r="J127" i="4"/>
  <c r="E122" i="4"/>
  <c r="E119" i="4"/>
  <c r="E116" i="4"/>
  <c r="I133" i="4"/>
  <c r="E132" i="4"/>
  <c r="E129" i="4"/>
  <c r="I127" i="4"/>
  <c r="H120" i="4"/>
  <c r="H117" i="4"/>
  <c r="H133" i="4"/>
  <c r="H127" i="4"/>
  <c r="G120" i="4"/>
  <c r="G117" i="4"/>
  <c r="K115" i="4"/>
  <c r="E74" i="4"/>
  <c r="G133" i="4"/>
  <c r="G130" i="4"/>
  <c r="G127" i="4"/>
  <c r="F120" i="4"/>
  <c r="F117" i="4"/>
  <c r="J115" i="4"/>
  <c r="E73" i="4"/>
  <c r="I134" i="4"/>
  <c r="E133" i="4"/>
  <c r="E130" i="4"/>
  <c r="E127" i="4"/>
  <c r="H121" i="4"/>
  <c r="H118" i="4"/>
  <c r="H115" i="4"/>
  <c r="F130" i="4"/>
  <c r="E117" i="4"/>
  <c r="I115" i="4"/>
  <c r="G115" i="4"/>
  <c r="F127" i="4"/>
  <c r="J134" i="4"/>
  <c r="H131" i="4"/>
  <c r="G118" i="4"/>
  <c r="E50" i="4"/>
  <c r="E51" i="4" s="1"/>
  <c r="H134" i="4"/>
  <c r="F133" i="4"/>
  <c r="G121" i="4"/>
  <c r="E120" i="4"/>
  <c r="BA90" i="2"/>
  <c r="BA101" i="2"/>
  <c r="BB140" i="2"/>
  <c r="BB249" i="1" s="1"/>
  <c r="BA249" i="1"/>
  <c r="AO81" i="2"/>
  <c r="AO225" i="1"/>
  <c r="Q38" i="2"/>
  <c r="Q59" i="2"/>
  <c r="Q66" i="2" s="1"/>
  <c r="Q252" i="1"/>
  <c r="I83" i="2"/>
  <c r="E110" i="3"/>
  <c r="I89" i="2"/>
  <c r="N238" i="1" s="1"/>
  <c r="J238" i="1"/>
  <c r="E117" i="3"/>
  <c r="I96" i="2"/>
  <c r="I97" i="2"/>
  <c r="BC6" i="2"/>
  <c r="BC29" i="2" s="1"/>
  <c r="AR77" i="2"/>
  <c r="AN75" i="2"/>
  <c r="AR75" i="2" s="1"/>
  <c r="AR76" i="2"/>
  <c r="AR127" i="2"/>
  <c r="AN256" i="1"/>
  <c r="AR123" i="2"/>
  <c r="AB24" i="2"/>
  <c r="AC24" i="2" s="1"/>
  <c r="AC25" i="2"/>
  <c r="AC43" i="2"/>
  <c r="AB42" i="2"/>
  <c r="AB120" i="2"/>
  <c r="AB256" i="1" s="1"/>
  <c r="AC140" i="2"/>
  <c r="AC249" i="1" s="1"/>
  <c r="AB249" i="1"/>
  <c r="P90" i="2"/>
  <c r="P85" i="2" s="1"/>
  <c r="AY251" i="1"/>
  <c r="S97" i="2"/>
  <c r="S123" i="2"/>
  <c r="S127" i="2"/>
  <c r="S172" i="2"/>
  <c r="BB79" i="2"/>
  <c r="BB96" i="2"/>
  <c r="BB87" i="2"/>
  <c r="BG236" i="1" s="1"/>
  <c r="BC236" i="1"/>
  <c r="BB187" i="2"/>
  <c r="AM43" i="2"/>
  <c r="AL42" i="2"/>
  <c r="AM121" i="2"/>
  <c r="AM256" i="1" s="1"/>
  <c r="AL256" i="1"/>
  <c r="Z32" i="2"/>
  <c r="Z85" i="2"/>
  <c r="AE235" i="1"/>
  <c r="AE6" i="2"/>
  <c r="BF42" i="2"/>
  <c r="BG42" i="2" s="1"/>
  <c r="BG43" i="2"/>
  <c r="BG63" i="2"/>
  <c r="BG251" i="1" s="1"/>
  <c r="BF251" i="1"/>
  <c r="BF194" i="2"/>
  <c r="BG114" i="2"/>
  <c r="BG194" i="2" s="1"/>
  <c r="BF120" i="2"/>
  <c r="AT6" i="2"/>
  <c r="AT29" i="2" s="1"/>
  <c r="AT90" i="2"/>
  <c r="AT85" i="2" s="1"/>
  <c r="V81" i="2"/>
  <c r="V225" i="1"/>
  <c r="J17" i="2"/>
  <c r="K224" i="1"/>
  <c r="K223" i="1"/>
  <c r="K222" i="1"/>
  <c r="K221" i="1"/>
  <c r="N83" i="2"/>
  <c r="N79" i="2"/>
  <c r="N123" i="2"/>
  <c r="BE38" i="2"/>
  <c r="BE85" i="2"/>
  <c r="AW72" i="2"/>
  <c r="AW96" i="2"/>
  <c r="AW127" i="2"/>
  <c r="AG24" i="2"/>
  <c r="AH24" i="2" s="1"/>
  <c r="AH25" i="2"/>
  <c r="AG59" i="2"/>
  <c r="AH60" i="2"/>
  <c r="AH252" i="1" s="1"/>
  <c r="AG252" i="1"/>
  <c r="Y6" i="2"/>
  <c r="Z226" i="1" s="1"/>
  <c r="Y59" i="2"/>
  <c r="Y66" i="2" s="1"/>
  <c r="Y252" i="1"/>
  <c r="AC149" i="2"/>
  <c r="AC189" i="2"/>
  <c r="AC188" i="2"/>
  <c r="BD90" i="2"/>
  <c r="BD85" i="2" s="1"/>
  <c r="AF38" i="2"/>
  <c r="AF194" i="2"/>
  <c r="T11" i="2"/>
  <c r="T29" i="2" s="1"/>
  <c r="X89" i="2"/>
  <c r="AC238" i="1" s="1"/>
  <c r="Y238" i="1"/>
  <c r="X96" i="2"/>
  <c r="X95" i="2"/>
  <c r="X241" i="1" s="1"/>
  <c r="T241" i="1"/>
  <c r="X171" i="2"/>
  <c r="X185" i="2"/>
  <c r="I56" i="2"/>
  <c r="N233" i="1" s="1"/>
  <c r="J233" i="1"/>
  <c r="H108" i="3"/>
  <c r="M108" i="3" s="1"/>
  <c r="R108" i="3" s="1"/>
  <c r="W108" i="3" s="1"/>
  <c r="AB108" i="3" s="1"/>
  <c r="AG108" i="3" s="1"/>
  <c r="AL108" i="3" s="1"/>
  <c r="AQ108" i="3" s="1"/>
  <c r="AV108" i="3" s="1"/>
  <c r="BA108" i="3" s="1"/>
  <c r="BF108" i="3" s="1"/>
  <c r="M236" i="1"/>
  <c r="H109" i="3"/>
  <c r="M237" i="1"/>
  <c r="M17" i="2"/>
  <c r="N17" i="2" s="1"/>
  <c r="N18" i="2"/>
  <c r="O222" i="1"/>
  <c r="O223" i="1"/>
  <c r="O221" i="1"/>
  <c r="O224" i="1"/>
  <c r="M101" i="2"/>
  <c r="AK17" i="2"/>
  <c r="AL222" i="1"/>
  <c r="AL223" i="1"/>
  <c r="AL221" i="1"/>
  <c r="AL224" i="1"/>
  <c r="BD193" i="2" l="1"/>
  <c r="BD248" i="1"/>
  <c r="AP248" i="1"/>
  <c r="AF84" i="2"/>
  <c r="AF98" i="2" s="1"/>
  <c r="AF100" i="2" s="1"/>
  <c r="AF242" i="1"/>
  <c r="AF239" i="1"/>
  <c r="AF240" i="1"/>
  <c r="X85" i="2"/>
  <c r="F84" i="2"/>
  <c r="F98" i="2" s="1"/>
  <c r="F100" i="2" s="1"/>
  <c r="F240" i="1"/>
  <c r="F239" i="1"/>
  <c r="F242" i="1"/>
  <c r="AI248" i="1"/>
  <c r="P248" i="1"/>
  <c r="BC248" i="1"/>
  <c r="Z248" i="1"/>
  <c r="AA84" i="2"/>
  <c r="AA98" i="2" s="1"/>
  <c r="AA100" i="2" s="1"/>
  <c r="AA242" i="1"/>
  <c r="AA239" i="1"/>
  <c r="AA240" i="1"/>
  <c r="AD248" i="1"/>
  <c r="T248" i="1"/>
  <c r="K84" i="2"/>
  <c r="K98" i="2" s="1"/>
  <c r="K100" i="2" s="1"/>
  <c r="K240" i="1"/>
  <c r="K239" i="1"/>
  <c r="K242" i="1"/>
  <c r="AF248" i="1"/>
  <c r="BE193" i="2"/>
  <c r="BE248" i="1"/>
  <c r="AU84" i="2"/>
  <c r="AU98" i="2" s="1"/>
  <c r="AU100" i="2" s="1"/>
  <c r="AU240" i="1"/>
  <c r="AU242" i="1"/>
  <c r="AU239" i="1"/>
  <c r="AO248" i="1"/>
  <c r="AT248" i="1"/>
  <c r="U193" i="2"/>
  <c r="U248" i="1"/>
  <c r="AA193" i="2"/>
  <c r="AA248" i="1"/>
  <c r="BD98" i="2"/>
  <c r="BD100" i="2" s="1"/>
  <c r="AK248" i="1"/>
  <c r="L248" i="1"/>
  <c r="W84" i="2"/>
  <c r="W98" i="2" s="1"/>
  <c r="W100" i="2" s="1"/>
  <c r="W240" i="1"/>
  <c r="W242" i="1"/>
  <c r="W239" i="1"/>
  <c r="K248" i="1"/>
  <c r="AY248" i="1"/>
  <c r="BF195" i="2"/>
  <c r="BG120" i="2"/>
  <c r="BG195" i="2" s="1"/>
  <c r="H183" i="3"/>
  <c r="I146" i="3"/>
  <c r="J146" i="3"/>
  <c r="BA227" i="1"/>
  <c r="BA226" i="1"/>
  <c r="BA248" i="1"/>
  <c r="BB29" i="2"/>
  <c r="S32" i="2"/>
  <c r="T231" i="1"/>
  <c r="T228" i="1"/>
  <c r="BG85" i="2"/>
  <c r="X75" i="2"/>
  <c r="AR85" i="2"/>
  <c r="AO80" i="2"/>
  <c r="F95" i="3"/>
  <c r="BB32" i="2"/>
  <c r="BC228" i="1"/>
  <c r="BC231" i="1"/>
  <c r="BE67" i="2"/>
  <c r="BF231" i="1"/>
  <c r="BF228" i="1"/>
  <c r="W29" i="2"/>
  <c r="AO67" i="2"/>
  <c r="AO193" i="2" s="1"/>
  <c r="AC75" i="2"/>
  <c r="AH42" i="2"/>
  <c r="AM229" i="1" s="1"/>
  <c r="AI229" i="1"/>
  <c r="M195" i="2"/>
  <c r="N120" i="2"/>
  <c r="N195" i="2" s="1"/>
  <c r="G173" i="3"/>
  <c r="L107" i="3"/>
  <c r="Z227" i="1"/>
  <c r="I100" i="3"/>
  <c r="E80" i="2"/>
  <c r="I70" i="2"/>
  <c r="S223" i="1"/>
  <c r="S221" i="1"/>
  <c r="S224" i="1"/>
  <c r="S222" i="1"/>
  <c r="AU226" i="1"/>
  <c r="AU227" i="1"/>
  <c r="I67" i="3"/>
  <c r="J67" i="3"/>
  <c r="K67" i="3" s="1"/>
  <c r="L67" i="3" s="1"/>
  <c r="M67" i="3" s="1"/>
  <c r="F94" i="3"/>
  <c r="G94" i="3" s="1"/>
  <c r="H94" i="3" s="1"/>
  <c r="J94" i="3" s="1"/>
  <c r="I110" i="3"/>
  <c r="J110" i="3"/>
  <c r="I34" i="3"/>
  <c r="J34" i="3"/>
  <c r="K34" i="3" s="1"/>
  <c r="L34" i="3" s="1"/>
  <c r="M34" i="3" s="1"/>
  <c r="I36" i="3"/>
  <c r="J36" i="3"/>
  <c r="K36" i="3" s="1"/>
  <c r="L36" i="3" s="1"/>
  <c r="M36" i="3" s="1"/>
  <c r="AR29" i="2"/>
  <c r="AQ248" i="1"/>
  <c r="AW75" i="2"/>
  <c r="P67" i="2"/>
  <c r="P193" i="2" s="1"/>
  <c r="Q231" i="1"/>
  <c r="Q228" i="1"/>
  <c r="P226" i="1"/>
  <c r="P227" i="1"/>
  <c r="T67" i="2"/>
  <c r="T193" i="2" s="1"/>
  <c r="U231" i="1"/>
  <c r="U228" i="1"/>
  <c r="AY67" i="2"/>
  <c r="AY193" i="2" s="1"/>
  <c r="AZ231" i="1"/>
  <c r="AZ228" i="1"/>
  <c r="AZ29" i="2"/>
  <c r="E193" i="2"/>
  <c r="E248" i="1"/>
  <c r="L109" i="3"/>
  <c r="BG90" i="2"/>
  <c r="AC90" i="2"/>
  <c r="AS248" i="1"/>
  <c r="P84" i="2"/>
  <c r="P98" i="2" s="1"/>
  <c r="P100" i="2" s="1"/>
  <c r="P242" i="1"/>
  <c r="P239" i="1"/>
  <c r="P240" i="1"/>
  <c r="E181" i="3"/>
  <c r="F148" i="3"/>
  <c r="AI67" i="2"/>
  <c r="AI193" i="2" s="1"/>
  <c r="AJ228" i="1"/>
  <c r="AJ231" i="1"/>
  <c r="AM32" i="2"/>
  <c r="AN228" i="1"/>
  <c r="AN231" i="1"/>
  <c r="H195" i="2"/>
  <c r="I120" i="2"/>
  <c r="I195" i="2" s="1"/>
  <c r="BG6" i="2"/>
  <c r="BF29" i="2"/>
  <c r="AS67" i="2"/>
  <c r="AS193" i="2" s="1"/>
  <c r="AT231" i="1"/>
  <c r="AT228" i="1"/>
  <c r="BF227" i="1"/>
  <c r="AV257" i="1"/>
  <c r="O29" i="2"/>
  <c r="AV80" i="2"/>
  <c r="E67" i="2"/>
  <c r="F228" i="1"/>
  <c r="F231" i="1"/>
  <c r="E231" i="1"/>
  <c r="G183" i="3"/>
  <c r="AP226" i="1"/>
  <c r="AP227" i="1"/>
  <c r="I85" i="2"/>
  <c r="I27" i="3"/>
  <c r="J27" i="3"/>
  <c r="K27" i="3" s="1"/>
  <c r="L27" i="3" s="1"/>
  <c r="M27" i="3" s="1"/>
  <c r="I58" i="3"/>
  <c r="J58" i="3"/>
  <c r="K58" i="3" s="1"/>
  <c r="L58" i="3" s="1"/>
  <c r="M58" i="3" s="1"/>
  <c r="I144" i="3"/>
  <c r="J144" i="3"/>
  <c r="K144" i="3" s="1"/>
  <c r="L144" i="3" s="1"/>
  <c r="M144" i="3" s="1"/>
  <c r="I35" i="3"/>
  <c r="J35" i="3"/>
  <c r="K35" i="3" s="1"/>
  <c r="L35" i="3" s="1"/>
  <c r="M35" i="3" s="1"/>
  <c r="I49" i="3"/>
  <c r="J49" i="3"/>
  <c r="K49" i="3" s="1"/>
  <c r="L49" i="3" s="1"/>
  <c r="M49" i="3" s="1"/>
  <c r="I73" i="3"/>
  <c r="J73" i="3"/>
  <c r="K73" i="3" s="1"/>
  <c r="L73" i="3" s="1"/>
  <c r="M73" i="3" s="1"/>
  <c r="I53" i="3"/>
  <c r="J53" i="3"/>
  <c r="K53" i="3" s="1"/>
  <c r="L53" i="3" s="1"/>
  <c r="M53" i="3" s="1"/>
  <c r="AR81" i="2"/>
  <c r="BB42" i="2"/>
  <c r="BG229" i="1" s="1"/>
  <c r="BC229" i="1"/>
  <c r="X224" i="1"/>
  <c r="X222" i="1"/>
  <c r="X223" i="1"/>
  <c r="X221" i="1"/>
  <c r="AR223" i="1"/>
  <c r="AR221" i="1"/>
  <c r="AR224" i="1"/>
  <c r="AR222" i="1"/>
  <c r="Q248" i="1"/>
  <c r="AY227" i="1"/>
  <c r="AY226" i="1"/>
  <c r="BA80" i="2"/>
  <c r="AK67" i="2"/>
  <c r="AK193" i="2" s="1"/>
  <c r="AL231" i="1"/>
  <c r="AL228" i="1"/>
  <c r="BF257" i="1"/>
  <c r="F18" i="3"/>
  <c r="K109" i="3"/>
  <c r="H173" i="3"/>
  <c r="M107" i="3"/>
  <c r="AP84" i="2"/>
  <c r="AP98" i="2" s="1"/>
  <c r="AP100" i="2" s="1"/>
  <c r="AP240" i="1"/>
  <c r="AP239" i="1"/>
  <c r="AP242" i="1"/>
  <c r="AZ84" i="2"/>
  <c r="AZ98" i="2" s="1"/>
  <c r="AZ100" i="2" s="1"/>
  <c r="AZ242" i="1"/>
  <c r="AZ240" i="1"/>
  <c r="AZ239" i="1"/>
  <c r="I109" i="3"/>
  <c r="J109" i="3"/>
  <c r="AQ80" i="2"/>
  <c r="AT226" i="1"/>
  <c r="AT227" i="1"/>
  <c r="N222" i="1"/>
  <c r="I224" i="1"/>
  <c r="N223" i="1"/>
  <c r="I222" i="1"/>
  <c r="N221" i="1"/>
  <c r="N224" i="1"/>
  <c r="I223" i="1"/>
  <c r="AC255" i="1"/>
  <c r="AC254" i="1"/>
  <c r="BA66" i="2"/>
  <c r="BB66" i="2" s="1"/>
  <c r="BB59" i="2"/>
  <c r="W256" i="1"/>
  <c r="BA195" i="2"/>
  <c r="BB120" i="2"/>
  <c r="BB195" i="2" s="1"/>
  <c r="E44" i="3"/>
  <c r="F45" i="3"/>
  <c r="X251" i="1"/>
  <c r="AM42" i="2"/>
  <c r="AR229" i="1" s="1"/>
  <c r="AN229" i="1"/>
  <c r="H67" i="2"/>
  <c r="I67" i="2" s="1"/>
  <c r="I32" i="2"/>
  <c r="J231" i="1"/>
  <c r="J228" i="1"/>
  <c r="I75" i="3"/>
  <c r="J75" i="3"/>
  <c r="K75" i="3" s="1"/>
  <c r="L75" i="3" s="1"/>
  <c r="M75" i="3" s="1"/>
  <c r="Z67" i="2"/>
  <c r="Z193" i="2" s="1"/>
  <c r="AA228" i="1"/>
  <c r="AA231" i="1"/>
  <c r="I29" i="3"/>
  <c r="J29" i="3"/>
  <c r="K29" i="3" s="1"/>
  <c r="L29" i="3" s="1"/>
  <c r="M29" i="3" s="1"/>
  <c r="I39" i="3"/>
  <c r="J39" i="3"/>
  <c r="K39" i="3" s="1"/>
  <c r="L39" i="3" s="1"/>
  <c r="M39" i="3" s="1"/>
  <c r="I68" i="3"/>
  <c r="J68" i="3"/>
  <c r="K68" i="3" s="1"/>
  <c r="L68" i="3" s="1"/>
  <c r="M68" i="3" s="1"/>
  <c r="I65" i="3"/>
  <c r="J65" i="3"/>
  <c r="J100" i="3"/>
  <c r="H80" i="2"/>
  <c r="AR225" i="1"/>
  <c r="AG227" i="1"/>
  <c r="AG226" i="1"/>
  <c r="Y67" i="2"/>
  <c r="Z231" i="1"/>
  <c r="Z228" i="1"/>
  <c r="AX67" i="2"/>
  <c r="AY231" i="1"/>
  <c r="AY228" i="1"/>
  <c r="AB80" i="2"/>
  <c r="N75" i="2"/>
  <c r="AH32" i="2"/>
  <c r="AI231" i="1"/>
  <c r="AI228" i="1"/>
  <c r="Q84" i="2"/>
  <c r="Q98" i="2" s="1"/>
  <c r="Q100" i="2" s="1"/>
  <c r="Q242" i="1"/>
  <c r="Q239" i="1"/>
  <c r="Q240" i="1"/>
  <c r="N252" i="1"/>
  <c r="AM252" i="1"/>
  <c r="BE84" i="2"/>
  <c r="BE98" i="2" s="1"/>
  <c r="BE100" i="2" s="1"/>
  <c r="BE242" i="1"/>
  <c r="BE240" i="1"/>
  <c r="BE239" i="1"/>
  <c r="AY84" i="2"/>
  <c r="AY98" i="2" s="1"/>
  <c r="AY100" i="2" s="1"/>
  <c r="AY242" i="1"/>
  <c r="AY239" i="1"/>
  <c r="AY240" i="1"/>
  <c r="E134" i="3"/>
  <c r="E30" i="3"/>
  <c r="E130" i="3" s="1"/>
  <c r="F31" i="3"/>
  <c r="S255" i="1"/>
  <c r="S254" i="1"/>
  <c r="S257" i="1"/>
  <c r="BB225" i="1"/>
  <c r="AH70" i="2"/>
  <c r="AD80" i="2"/>
  <c r="AW255" i="1"/>
  <c r="AW254" i="1"/>
  <c r="N42" i="2"/>
  <c r="S229" i="1" s="1"/>
  <c r="O229" i="1"/>
  <c r="I76" i="3"/>
  <c r="J76" i="3"/>
  <c r="K76" i="3" s="1"/>
  <c r="L76" i="3" s="1"/>
  <c r="M76" i="3" s="1"/>
  <c r="AC256" i="1"/>
  <c r="N29" i="2"/>
  <c r="M248" i="1"/>
  <c r="BE226" i="1"/>
  <c r="BE227" i="1"/>
  <c r="AJ248" i="1"/>
  <c r="AL227" i="1"/>
  <c r="AL226" i="1"/>
  <c r="AM222" i="1"/>
  <c r="AM223" i="1"/>
  <c r="AM221" i="1"/>
  <c r="AM224" i="1"/>
  <c r="AX193" i="2"/>
  <c r="AX248" i="1"/>
  <c r="H66" i="2"/>
  <c r="I66" i="2" s="1"/>
  <c r="I59" i="2"/>
  <c r="AO227" i="1"/>
  <c r="AO226" i="1"/>
  <c r="BB254" i="1"/>
  <c r="BB255" i="1"/>
  <c r="M66" i="2"/>
  <c r="N66" i="2" s="1"/>
  <c r="N59" i="2"/>
  <c r="AL66" i="2"/>
  <c r="AM66" i="2" s="1"/>
  <c r="AM59" i="2"/>
  <c r="Q67" i="2"/>
  <c r="Q193" i="2" s="1"/>
  <c r="R231" i="1"/>
  <c r="R228" i="1"/>
  <c r="W195" i="2"/>
  <c r="X120" i="2"/>
  <c r="X195" i="2" s="1"/>
  <c r="AH6" i="2"/>
  <c r="AG29" i="2"/>
  <c r="I47" i="2"/>
  <c r="N230" i="1" s="1"/>
  <c r="J230" i="1"/>
  <c r="V231" i="1"/>
  <c r="AD67" i="2"/>
  <c r="AD193" i="2" s="1"/>
  <c r="AE228" i="1"/>
  <c r="AE231" i="1"/>
  <c r="BD227" i="1"/>
  <c r="R195" i="2"/>
  <c r="S120" i="2"/>
  <c r="S195" i="2" s="1"/>
  <c r="I25" i="3"/>
  <c r="H24" i="3"/>
  <c r="J25" i="3"/>
  <c r="N47" i="2"/>
  <c r="S230" i="1" s="1"/>
  <c r="O230" i="1"/>
  <c r="AG195" i="2"/>
  <c r="AH120" i="2"/>
  <c r="AH195" i="2" s="1"/>
  <c r="AC47" i="2"/>
  <c r="AH230" i="1" s="1"/>
  <c r="AD230" i="1"/>
  <c r="BF256" i="1"/>
  <c r="F29" i="2"/>
  <c r="L110" i="3"/>
  <c r="AK227" i="1"/>
  <c r="AH251" i="1"/>
  <c r="H257" i="1"/>
  <c r="N90" i="2"/>
  <c r="K110" i="3"/>
  <c r="AC252" i="1"/>
  <c r="BD226" i="1"/>
  <c r="F182" i="3"/>
  <c r="AJ84" i="2"/>
  <c r="AJ98" i="2" s="1"/>
  <c r="AJ100" i="2" s="1"/>
  <c r="AJ239" i="1"/>
  <c r="AJ240" i="1"/>
  <c r="AJ242" i="1"/>
  <c r="AW252" i="1"/>
  <c r="BG256" i="1"/>
  <c r="BC67" i="2"/>
  <c r="BC193" i="2" s="1"/>
  <c r="BD228" i="1"/>
  <c r="BD231" i="1"/>
  <c r="S75" i="2"/>
  <c r="H29" i="2"/>
  <c r="AM257" i="1"/>
  <c r="AM255" i="1"/>
  <c r="AM254" i="1"/>
  <c r="BB90" i="2"/>
  <c r="AC11" i="2"/>
  <c r="AD227" i="1"/>
  <c r="AD226" i="1"/>
  <c r="BB222" i="1"/>
  <c r="BB223" i="1"/>
  <c r="BB221" i="1"/>
  <c r="BB224" i="1"/>
  <c r="AL29" i="2"/>
  <c r="AC59" i="2"/>
  <c r="AB66" i="2"/>
  <c r="AC66" i="2" s="1"/>
  <c r="E227" i="1"/>
  <c r="F227" i="1"/>
  <c r="F226" i="1"/>
  <c r="I75" i="2"/>
  <c r="N251" i="1"/>
  <c r="AI85" i="2"/>
  <c r="AM85" i="2" s="1"/>
  <c r="AV66" i="2"/>
  <c r="AW66" i="2" s="1"/>
  <c r="AW59" i="2"/>
  <c r="J67" i="2"/>
  <c r="K228" i="1"/>
  <c r="K231" i="1"/>
  <c r="I32" i="3"/>
  <c r="J32" i="3"/>
  <c r="K32" i="3" s="1"/>
  <c r="L32" i="3" s="1"/>
  <c r="M32" i="3" s="1"/>
  <c r="BF84" i="2"/>
  <c r="BF98" i="2" s="1"/>
  <c r="BF100" i="2" s="1"/>
  <c r="BF239" i="1"/>
  <c r="BF242" i="1"/>
  <c r="BF240" i="1"/>
  <c r="X254" i="1"/>
  <c r="X255" i="1"/>
  <c r="I20" i="3"/>
  <c r="H19" i="3"/>
  <c r="J20" i="3"/>
  <c r="X81" i="2"/>
  <c r="S85" i="2"/>
  <c r="I11" i="2"/>
  <c r="J226" i="1"/>
  <c r="J227" i="1"/>
  <c r="N225" i="1"/>
  <c r="AC32" i="2"/>
  <c r="AD228" i="1"/>
  <c r="AD231" i="1"/>
  <c r="S225" i="1"/>
  <c r="E173" i="3"/>
  <c r="I107" i="3"/>
  <c r="I173" i="3" s="1"/>
  <c r="J107" i="3"/>
  <c r="AH254" i="1"/>
  <c r="AH255" i="1"/>
  <c r="I21" i="3"/>
  <c r="J21" i="3"/>
  <c r="K21" i="3" s="1"/>
  <c r="L21" i="3" s="1"/>
  <c r="M21" i="3" s="1"/>
  <c r="I61" i="3"/>
  <c r="J61" i="3"/>
  <c r="K61" i="3" s="1"/>
  <c r="L61" i="3" s="1"/>
  <c r="M61" i="3" s="1"/>
  <c r="I56" i="3"/>
  <c r="J56" i="3"/>
  <c r="K56" i="3" s="1"/>
  <c r="L56" i="3" s="1"/>
  <c r="M56" i="3" s="1"/>
  <c r="H186" i="3"/>
  <c r="I151" i="3"/>
  <c r="I186" i="3" s="1"/>
  <c r="J151" i="3"/>
  <c r="AB29" i="2"/>
  <c r="AM47" i="2"/>
  <c r="AR230" i="1" s="1"/>
  <c r="AN230" i="1"/>
  <c r="BB75" i="2"/>
  <c r="E59" i="3"/>
  <c r="F60" i="3"/>
  <c r="J29" i="2"/>
  <c r="AR90" i="2"/>
  <c r="M257" i="1"/>
  <c r="AW85" i="2"/>
  <c r="AH81" i="2"/>
  <c r="AV227" i="1"/>
  <c r="AV226" i="1"/>
  <c r="AU29" i="2"/>
  <c r="L80" i="2"/>
  <c r="N81" i="2"/>
  <c r="AF67" i="2"/>
  <c r="AF193" i="2" s="1"/>
  <c r="AG231" i="1"/>
  <c r="AG228" i="1"/>
  <c r="AX80" i="2"/>
  <c r="BB70" i="2"/>
  <c r="M256" i="1"/>
  <c r="P231" i="1"/>
  <c r="AL84" i="2"/>
  <c r="AL98" i="2" s="1"/>
  <c r="AL100" i="2" s="1"/>
  <c r="AL240" i="1"/>
  <c r="AL242" i="1"/>
  <c r="AL239" i="1"/>
  <c r="BA231" i="1"/>
  <c r="F184" i="3"/>
  <c r="F173" i="3"/>
  <c r="K107" i="3"/>
  <c r="R66" i="2"/>
  <c r="S66" i="2" s="1"/>
  <c r="S59" i="2"/>
  <c r="AW251" i="1"/>
  <c r="AW224" i="1"/>
  <c r="AW222" i="1"/>
  <c r="AW221" i="1"/>
  <c r="AW223" i="1"/>
  <c r="M109" i="3"/>
  <c r="U227" i="1"/>
  <c r="U226" i="1"/>
  <c r="AG66" i="2"/>
  <c r="AH66" i="2" s="1"/>
  <c r="AH59" i="2"/>
  <c r="AB195" i="2"/>
  <c r="AC120" i="2"/>
  <c r="AC195" i="2" s="1"/>
  <c r="I46" i="3"/>
  <c r="J46" i="3"/>
  <c r="K46" i="3" s="1"/>
  <c r="L46" i="3" s="1"/>
  <c r="M46" i="3" s="1"/>
  <c r="I22" i="3"/>
  <c r="J22" i="3"/>
  <c r="K22" i="3" s="1"/>
  <c r="L22" i="3" s="1"/>
  <c r="M22" i="3" s="1"/>
  <c r="I62" i="3"/>
  <c r="J62" i="3"/>
  <c r="K62" i="3" s="1"/>
  <c r="L62" i="3" s="1"/>
  <c r="M62" i="3" s="1"/>
  <c r="I66" i="3"/>
  <c r="J66" i="3"/>
  <c r="K66" i="3" s="1"/>
  <c r="L66" i="3" s="1"/>
  <c r="M66" i="3" s="1"/>
  <c r="AQ67" i="2"/>
  <c r="AR67" i="2" s="1"/>
  <c r="AR32" i="2"/>
  <c r="AS228" i="1"/>
  <c r="AS231" i="1"/>
  <c r="AW47" i="2"/>
  <c r="BB230" i="1" s="1"/>
  <c r="AX230" i="1"/>
  <c r="AR11" i="2"/>
  <c r="AS226" i="1"/>
  <c r="AS227" i="1"/>
  <c r="W66" i="2"/>
  <c r="X66" i="2" s="1"/>
  <c r="X59" i="2"/>
  <c r="I42" i="2"/>
  <c r="N229" i="1" s="1"/>
  <c r="J229" i="1"/>
  <c r="AH47" i="2"/>
  <c r="AM230" i="1" s="1"/>
  <c r="AI230" i="1"/>
  <c r="Z80" i="2"/>
  <c r="E71" i="3"/>
  <c r="F72" i="3"/>
  <c r="G67" i="2"/>
  <c r="H231" i="1"/>
  <c r="H228" i="1"/>
  <c r="N257" i="1"/>
  <c r="N255" i="1"/>
  <c r="N254" i="1"/>
  <c r="AC70" i="2"/>
  <c r="Y80" i="2"/>
  <c r="I108" i="3"/>
  <c r="J108" i="3"/>
  <c r="AR47" i="2"/>
  <c r="AW230" i="1" s="1"/>
  <c r="AS230" i="1"/>
  <c r="S90" i="2"/>
  <c r="K67" i="2"/>
  <c r="K193" i="2" s="1"/>
  <c r="L228" i="1"/>
  <c r="L231" i="1"/>
  <c r="AK80" i="2"/>
  <c r="V29" i="2"/>
  <c r="E37" i="3"/>
  <c r="F38" i="3"/>
  <c r="X42" i="2"/>
  <c r="AC229" i="1" s="1"/>
  <c r="Y229" i="1"/>
  <c r="AG84" i="2"/>
  <c r="AG98" i="2" s="1"/>
  <c r="AG100" i="2" s="1"/>
  <c r="AG242" i="1"/>
  <c r="AG239" i="1"/>
  <c r="AG240" i="1"/>
  <c r="N85" i="2"/>
  <c r="BG32" i="2"/>
  <c r="AE80" i="2"/>
  <c r="N256" i="1"/>
  <c r="F93" i="3"/>
  <c r="I254" i="1"/>
  <c r="I257" i="1"/>
  <c r="I255" i="1"/>
  <c r="X90" i="2"/>
  <c r="BG252" i="1"/>
  <c r="AH11" i="2"/>
  <c r="AI227" i="1"/>
  <c r="AI226" i="1"/>
  <c r="E183" i="3"/>
  <c r="X47" i="2"/>
  <c r="AC230" i="1" s="1"/>
  <c r="Y230" i="1"/>
  <c r="G29" i="2"/>
  <c r="AR101" i="2"/>
  <c r="G227" i="1"/>
  <c r="G226" i="1"/>
  <c r="E96" i="3"/>
  <c r="S252" i="1"/>
  <c r="G184" i="3"/>
  <c r="F183" i="3"/>
  <c r="AF231" i="1"/>
  <c r="M110" i="3"/>
  <c r="AF227" i="1"/>
  <c r="AF226" i="1"/>
  <c r="S47" i="2"/>
  <c r="X230" i="1" s="1"/>
  <c r="T230" i="1"/>
  <c r="AC42" i="2"/>
  <c r="AH229" i="1" s="1"/>
  <c r="AD229" i="1"/>
  <c r="S256" i="1"/>
  <c r="I28" i="3"/>
  <c r="J28" i="3"/>
  <c r="K28" i="3" s="1"/>
  <c r="L28" i="3" s="1"/>
  <c r="M28" i="3" s="1"/>
  <c r="I40" i="3"/>
  <c r="J40" i="3"/>
  <c r="K40" i="3" s="1"/>
  <c r="L40" i="3" s="1"/>
  <c r="M40" i="3" s="1"/>
  <c r="I48" i="3"/>
  <c r="J48" i="3"/>
  <c r="K48" i="3" s="1"/>
  <c r="L48" i="3" s="1"/>
  <c r="M48" i="3" s="1"/>
  <c r="H184" i="3"/>
  <c r="I147" i="3"/>
  <c r="I184" i="3" s="1"/>
  <c r="J147" i="3"/>
  <c r="AC101" i="2"/>
  <c r="AW70" i="2"/>
  <c r="AS80" i="2"/>
  <c r="AV67" i="2"/>
  <c r="AW67" i="2" s="1"/>
  <c r="AW32" i="2"/>
  <c r="AX231" i="1"/>
  <c r="AX228" i="1"/>
  <c r="T80" i="2"/>
  <c r="X70" i="2"/>
  <c r="AM251" i="1"/>
  <c r="I90" i="2"/>
  <c r="AP67" i="2"/>
  <c r="AP193" i="2" s="1"/>
  <c r="AQ228" i="1"/>
  <c r="AQ231" i="1"/>
  <c r="N101" i="2"/>
  <c r="BB85" i="2"/>
  <c r="BG224" i="1"/>
  <c r="BG222" i="1"/>
  <c r="BG223" i="1"/>
  <c r="BG221" i="1"/>
  <c r="AA67" i="2"/>
  <c r="AB231" i="1"/>
  <c r="AB228" i="1"/>
  <c r="AW42" i="2"/>
  <c r="BB229" i="1" s="1"/>
  <c r="AX229" i="1"/>
  <c r="BF66" i="2"/>
  <c r="BG66" i="2" s="1"/>
  <c r="BG59" i="2"/>
  <c r="AN29" i="2"/>
  <c r="AM81" i="2"/>
  <c r="I26" i="3"/>
  <c r="J26" i="3"/>
  <c r="K26" i="3" s="1"/>
  <c r="L26" i="3" s="1"/>
  <c r="M26" i="3" s="1"/>
  <c r="BG254" i="1"/>
  <c r="BG257" i="1"/>
  <c r="BG255" i="1"/>
  <c r="I41" i="3"/>
  <c r="J41" i="3"/>
  <c r="K41" i="3" s="1"/>
  <c r="L41" i="3" s="1"/>
  <c r="M41" i="3" s="1"/>
  <c r="H187" i="3"/>
  <c r="I152" i="3"/>
  <c r="J152" i="3"/>
  <c r="BC80" i="2"/>
  <c r="BG70" i="2"/>
  <c r="AV195" i="2"/>
  <c r="AW120" i="2"/>
  <c r="AW195" i="2" s="1"/>
  <c r="I47" i="3"/>
  <c r="J47" i="3"/>
  <c r="K47" i="3" s="1"/>
  <c r="L47" i="3" s="1"/>
  <c r="M47" i="3" s="1"/>
  <c r="I52" i="3"/>
  <c r="J52" i="3"/>
  <c r="K52" i="3" s="1"/>
  <c r="L52" i="3" s="1"/>
  <c r="M52" i="3" s="1"/>
  <c r="Y29" i="2"/>
  <c r="AG256" i="1"/>
  <c r="R80" i="2"/>
  <c r="AT84" i="2"/>
  <c r="AT98" i="2" s="1"/>
  <c r="AT100" i="2" s="1"/>
  <c r="AT242" i="1"/>
  <c r="AT239" i="1"/>
  <c r="AT240" i="1"/>
  <c r="AH221" i="1"/>
  <c r="AH224" i="1"/>
  <c r="AH222" i="1"/>
  <c r="AH223" i="1"/>
  <c r="I225" i="1"/>
  <c r="V67" i="2"/>
  <c r="W231" i="1"/>
  <c r="W228" i="1"/>
  <c r="E54" i="3"/>
  <c r="F55" i="3"/>
  <c r="W226" i="1"/>
  <c r="W227" i="1"/>
  <c r="S42" i="2"/>
  <c r="X229" i="1" s="1"/>
  <c r="T229" i="1"/>
  <c r="AW101" i="2"/>
  <c r="AM11" i="2"/>
  <c r="AN227" i="1"/>
  <c r="AN226" i="1"/>
  <c r="AR42" i="2"/>
  <c r="AW229" i="1" s="1"/>
  <c r="AS229" i="1"/>
  <c r="W67" i="2"/>
  <c r="X67" i="2" s="1"/>
  <c r="X32" i="2"/>
  <c r="Y228" i="1"/>
  <c r="Y231" i="1"/>
  <c r="N11" i="2"/>
  <c r="O227" i="1"/>
  <c r="O226" i="1"/>
  <c r="AR254" i="1"/>
  <c r="AR255" i="1"/>
  <c r="AM75" i="2"/>
  <c r="BE231" i="1"/>
  <c r="R29" i="2"/>
  <c r="AQ66" i="2"/>
  <c r="AR66" i="2" s="1"/>
  <c r="AR59" i="2"/>
  <c r="AU67" i="2"/>
  <c r="AV228" i="1"/>
  <c r="AV231" i="1"/>
  <c r="M84" i="2"/>
  <c r="M98" i="2" s="1"/>
  <c r="M100" i="2" s="1"/>
  <c r="M239" i="1"/>
  <c r="M242" i="1"/>
  <c r="M240" i="1"/>
  <c r="AW90" i="2"/>
  <c r="AU231" i="1"/>
  <c r="U84" i="2"/>
  <c r="U98" i="2" s="1"/>
  <c r="U100" i="2" s="1"/>
  <c r="U242" i="1"/>
  <c r="U239" i="1"/>
  <c r="U240" i="1"/>
  <c r="AI80" i="2"/>
  <c r="AM70" i="2"/>
  <c r="G95" i="3"/>
  <c r="AQ195" i="2"/>
  <c r="AR120" i="2"/>
  <c r="AR195" i="2" s="1"/>
  <c r="I64" i="3"/>
  <c r="J64" i="3"/>
  <c r="K64" i="3" s="1"/>
  <c r="L64" i="3" s="1"/>
  <c r="M64" i="3" s="1"/>
  <c r="N32" i="2"/>
  <c r="O231" i="1"/>
  <c r="O228" i="1"/>
  <c r="F117" i="3"/>
  <c r="G117" i="3" s="1"/>
  <c r="H117" i="3" s="1"/>
  <c r="J117" i="3" s="1"/>
  <c r="AE29" i="2"/>
  <c r="AJ67" i="2"/>
  <c r="AJ193" i="2" s="1"/>
  <c r="AK231" i="1"/>
  <c r="AK228" i="1"/>
  <c r="I57" i="3"/>
  <c r="J57" i="3"/>
  <c r="K57" i="3" s="1"/>
  <c r="L57" i="3" s="1"/>
  <c r="M57" i="3" s="1"/>
  <c r="I23" i="3"/>
  <c r="J23" i="3"/>
  <c r="K23" i="3" s="1"/>
  <c r="L23" i="3" s="1"/>
  <c r="M23" i="3" s="1"/>
  <c r="I63" i="3"/>
  <c r="J63" i="3"/>
  <c r="K63" i="3" s="1"/>
  <c r="L63" i="3" s="1"/>
  <c r="M63" i="3" s="1"/>
  <c r="H182" i="3"/>
  <c r="I149" i="3"/>
  <c r="I182" i="3" s="1"/>
  <c r="J149" i="3"/>
  <c r="AA227" i="1"/>
  <c r="AA226" i="1"/>
  <c r="AN80" i="2"/>
  <c r="AR70" i="2"/>
  <c r="BG81" i="2"/>
  <c r="BB11" i="2"/>
  <c r="BC226" i="1"/>
  <c r="BC227" i="1"/>
  <c r="AH256" i="1"/>
  <c r="O80" i="2"/>
  <c r="S70" i="2"/>
  <c r="Y85" i="2"/>
  <c r="AC85" i="2" s="1"/>
  <c r="I81" i="2"/>
  <c r="X11" i="2"/>
  <c r="Y226" i="1"/>
  <c r="Y227" i="1"/>
  <c r="J80" i="2"/>
  <c r="N70" i="2"/>
  <c r="I256" i="1"/>
  <c r="AC81" i="2"/>
  <c r="AZ226" i="1"/>
  <c r="AZ227" i="1"/>
  <c r="F67" i="2"/>
  <c r="G231" i="1"/>
  <c r="G228" i="1"/>
  <c r="G84" i="2"/>
  <c r="G98" i="2" s="1"/>
  <c r="G100" i="2" s="1"/>
  <c r="G239" i="1"/>
  <c r="G240" i="1"/>
  <c r="G242" i="1"/>
  <c r="AN67" i="2"/>
  <c r="AO228" i="1"/>
  <c r="AO231" i="1"/>
  <c r="AR252" i="1"/>
  <c r="AT67" i="2"/>
  <c r="AT193" i="2" s="1"/>
  <c r="S11" i="2"/>
  <c r="T227" i="1"/>
  <c r="T226" i="1"/>
  <c r="V80" i="2"/>
  <c r="AB257" i="1"/>
  <c r="L67" i="2"/>
  <c r="L193" i="2" s="1"/>
  <c r="M228" i="1"/>
  <c r="M231" i="1"/>
  <c r="BB47" i="2"/>
  <c r="BG230" i="1" s="1"/>
  <c r="BC230" i="1"/>
  <c r="AQ227" i="1"/>
  <c r="AW6" i="2"/>
  <c r="AX227" i="1"/>
  <c r="AX226" i="1"/>
  <c r="AV29" i="2"/>
  <c r="G24" i="3"/>
  <c r="H93" i="3" s="1"/>
  <c r="E131" i="3" l="1"/>
  <c r="BB248" i="1"/>
  <c r="J182" i="3"/>
  <c r="K149" i="3"/>
  <c r="AE193" i="2"/>
  <c r="AE248" i="1"/>
  <c r="AR226" i="1"/>
  <c r="AR227" i="1"/>
  <c r="N108" i="3"/>
  <c r="O108" i="3"/>
  <c r="Z84" i="2"/>
  <c r="Z98" i="2" s="1"/>
  <c r="Z100" i="2" s="1"/>
  <c r="Z239" i="1"/>
  <c r="Z242" i="1"/>
  <c r="Z240" i="1"/>
  <c r="AC29" i="2"/>
  <c r="AB248" i="1"/>
  <c r="AH227" i="1"/>
  <c r="AH226" i="1"/>
  <c r="J24" i="3"/>
  <c r="J93" i="3" s="1"/>
  <c r="K25" i="3"/>
  <c r="AH29" i="2"/>
  <c r="AG248" i="1"/>
  <c r="N76" i="3"/>
  <c r="O76" i="3"/>
  <c r="P76" i="3" s="1"/>
  <c r="Q76" i="3" s="1"/>
  <c r="R76" i="3" s="1"/>
  <c r="N75" i="3"/>
  <c r="O75" i="3"/>
  <c r="P75" i="3" s="1"/>
  <c r="Q75" i="3" s="1"/>
  <c r="R75" i="3" s="1"/>
  <c r="AZ104" i="2"/>
  <c r="AZ244" i="1"/>
  <c r="E42" i="3"/>
  <c r="E196" i="3" s="1"/>
  <c r="N110" i="3"/>
  <c r="O110" i="3"/>
  <c r="BA67" i="2"/>
  <c r="J184" i="3"/>
  <c r="K147" i="3"/>
  <c r="E201" i="3"/>
  <c r="E136" i="3"/>
  <c r="E78" i="3"/>
  <c r="AU193" i="2"/>
  <c r="AU248" i="1"/>
  <c r="G18" i="3"/>
  <c r="X227" i="1"/>
  <c r="X226" i="1"/>
  <c r="BB226" i="1"/>
  <c r="BB227" i="1"/>
  <c r="O84" i="2"/>
  <c r="S80" i="2"/>
  <c r="O242" i="1"/>
  <c r="O239" i="1"/>
  <c r="O240" i="1"/>
  <c r="M104" i="2"/>
  <c r="M244" i="1"/>
  <c r="N47" i="3"/>
  <c r="O47" i="3"/>
  <c r="P47" i="3" s="1"/>
  <c r="Q47" i="3" s="1"/>
  <c r="R47" i="3" s="1"/>
  <c r="AL104" i="2"/>
  <c r="AL244" i="1"/>
  <c r="J186" i="3"/>
  <c r="K151" i="3"/>
  <c r="J173" i="3"/>
  <c r="N107" i="3"/>
  <c r="O107" i="3"/>
  <c r="N227" i="1"/>
  <c r="I227" i="1"/>
  <c r="N226" i="1"/>
  <c r="BF104" i="2"/>
  <c r="BF244" i="1"/>
  <c r="I24" i="3"/>
  <c r="BE104" i="2"/>
  <c r="BE244" i="1"/>
  <c r="AB84" i="2"/>
  <c r="AB98" i="2" s="1"/>
  <c r="AB100" i="2" s="1"/>
  <c r="AB242" i="1"/>
  <c r="AB239" i="1"/>
  <c r="AB240" i="1"/>
  <c r="K65" i="3"/>
  <c r="N49" i="3"/>
  <c r="O49" i="3"/>
  <c r="P49" i="3" s="1"/>
  <c r="Q49" i="3" s="1"/>
  <c r="R49" i="3" s="1"/>
  <c r="F181" i="3"/>
  <c r="G148" i="3"/>
  <c r="G93" i="3"/>
  <c r="I93" i="3" s="1"/>
  <c r="AA104" i="2"/>
  <c r="AA244" i="1"/>
  <c r="F104" i="2"/>
  <c r="F244" i="1"/>
  <c r="BG228" i="1"/>
  <c r="BG231" i="1"/>
  <c r="K117" i="3"/>
  <c r="L117" i="3" s="1"/>
  <c r="M117" i="3" s="1"/>
  <c r="O117" i="3" s="1"/>
  <c r="N48" i="3"/>
  <c r="O48" i="3"/>
  <c r="P48" i="3" s="1"/>
  <c r="Q48" i="3" s="1"/>
  <c r="R48" i="3" s="1"/>
  <c r="G193" i="2"/>
  <c r="G248" i="1"/>
  <c r="F37" i="3"/>
  <c r="G38" i="3"/>
  <c r="Y84" i="2"/>
  <c r="AC80" i="2"/>
  <c r="Y239" i="1"/>
  <c r="Y240" i="1"/>
  <c r="Y242" i="1"/>
  <c r="AW231" i="1"/>
  <c r="AW228" i="1"/>
  <c r="AW256" i="1"/>
  <c r="N32" i="3"/>
  <c r="O32" i="3"/>
  <c r="P32" i="3" s="1"/>
  <c r="Q32" i="3" s="1"/>
  <c r="R32" i="3" s="1"/>
  <c r="Q110" i="3"/>
  <c r="BB257" i="1"/>
  <c r="G134" i="3"/>
  <c r="G31" i="3"/>
  <c r="BG29" i="2"/>
  <c r="BF248" i="1"/>
  <c r="AG104" i="2"/>
  <c r="AG244" i="1"/>
  <c r="AI84" i="2"/>
  <c r="AM80" i="2"/>
  <c r="AI240" i="1"/>
  <c r="AI242" i="1"/>
  <c r="AI239" i="1"/>
  <c r="T84" i="2"/>
  <c r="X80" i="2"/>
  <c r="T239" i="1"/>
  <c r="T240" i="1"/>
  <c r="T242" i="1"/>
  <c r="E195" i="3"/>
  <c r="N68" i="3"/>
  <c r="O68" i="3"/>
  <c r="P68" i="3" s="1"/>
  <c r="Q68" i="3" s="1"/>
  <c r="R68" i="3" s="1"/>
  <c r="N35" i="3"/>
  <c r="O35" i="3"/>
  <c r="P35" i="3" s="1"/>
  <c r="Q35" i="3" s="1"/>
  <c r="R35" i="3" s="1"/>
  <c r="N94" i="3"/>
  <c r="K94" i="3"/>
  <c r="L94" i="3" s="1"/>
  <c r="M94" i="3" s="1"/>
  <c r="O94" i="3" s="1"/>
  <c r="E84" i="2"/>
  <c r="I80" i="2"/>
  <c r="E239" i="1"/>
  <c r="E240" i="1"/>
  <c r="E242" i="1"/>
  <c r="AO84" i="2"/>
  <c r="AO98" i="2" s="1"/>
  <c r="AO100" i="2" s="1"/>
  <c r="AO242" i="1"/>
  <c r="AO239" i="1"/>
  <c r="AO240" i="1"/>
  <c r="I117" i="3"/>
  <c r="N26" i="3"/>
  <c r="O26" i="3"/>
  <c r="P26" i="3" s="1"/>
  <c r="Q26" i="3" s="1"/>
  <c r="R26" i="3" s="1"/>
  <c r="R110" i="3"/>
  <c r="N40" i="3"/>
  <c r="O40" i="3"/>
  <c r="P40" i="3" s="1"/>
  <c r="Q40" i="3" s="1"/>
  <c r="R40" i="3" s="1"/>
  <c r="AE84" i="2"/>
  <c r="AE98" i="2" s="1"/>
  <c r="AE100" i="2" s="1"/>
  <c r="AE242" i="1"/>
  <c r="AE239" i="1"/>
  <c r="AE240" i="1"/>
  <c r="V193" i="2"/>
  <c r="V248" i="1"/>
  <c r="N66" i="3"/>
  <c r="O66" i="3"/>
  <c r="P66" i="3" s="1"/>
  <c r="Q66" i="3" s="1"/>
  <c r="R66" i="3" s="1"/>
  <c r="N56" i="3"/>
  <c r="O56" i="3"/>
  <c r="P56" i="3" s="1"/>
  <c r="Q56" i="3" s="1"/>
  <c r="R56" i="3" s="1"/>
  <c r="J19" i="3"/>
  <c r="K20" i="3"/>
  <c r="AJ104" i="2"/>
  <c r="AJ244" i="1"/>
  <c r="F193" i="2"/>
  <c r="F248" i="1"/>
  <c r="F134" i="3"/>
  <c r="N231" i="1"/>
  <c r="I231" i="1"/>
  <c r="N228" i="1"/>
  <c r="AC257" i="1"/>
  <c r="AQ84" i="2"/>
  <c r="AQ98" i="2" s="1"/>
  <c r="AQ100" i="2" s="1"/>
  <c r="AQ240" i="1"/>
  <c r="AQ242" i="1"/>
  <c r="AQ239" i="1"/>
  <c r="AP104" i="2"/>
  <c r="AP244" i="1"/>
  <c r="AZ193" i="2"/>
  <c r="AZ248" i="1"/>
  <c r="I94" i="3"/>
  <c r="J183" i="3"/>
  <c r="K146" i="3"/>
  <c r="W104" i="2"/>
  <c r="W244" i="1"/>
  <c r="AK84" i="2"/>
  <c r="AK98" i="2" s="1"/>
  <c r="AK100" i="2" s="1"/>
  <c r="AK239" i="1"/>
  <c r="AK240" i="1"/>
  <c r="AK242" i="1"/>
  <c r="K173" i="3"/>
  <c r="P107" i="3"/>
  <c r="AX84" i="2"/>
  <c r="BB80" i="2"/>
  <c r="AX242" i="1"/>
  <c r="AX239" i="1"/>
  <c r="AX240" i="1"/>
  <c r="I19" i="3"/>
  <c r="J95" i="3"/>
  <c r="H95" i="3"/>
  <c r="I95" i="3" s="1"/>
  <c r="AM29" i="2"/>
  <c r="AL248" i="1"/>
  <c r="H193" i="2"/>
  <c r="I29" i="2"/>
  <c r="H248" i="1"/>
  <c r="E92" i="3"/>
  <c r="E103" i="3"/>
  <c r="E150" i="3"/>
  <c r="N39" i="3"/>
  <c r="O39" i="3"/>
  <c r="P39" i="3" s="1"/>
  <c r="Q39" i="3" s="1"/>
  <c r="R39" i="3" s="1"/>
  <c r="N109" i="3"/>
  <c r="O109" i="3"/>
  <c r="M173" i="3"/>
  <c r="R107" i="3"/>
  <c r="BA84" i="2"/>
  <c r="BA98" i="2" s="1"/>
  <c r="BA100" i="2" s="1"/>
  <c r="BA240" i="1"/>
  <c r="BA239" i="1"/>
  <c r="BA242" i="1"/>
  <c r="N144" i="3"/>
  <c r="O144" i="3"/>
  <c r="P144" i="3" s="1"/>
  <c r="Q144" i="3" s="1"/>
  <c r="R144" i="3" s="1"/>
  <c r="N67" i="3"/>
  <c r="O67" i="3"/>
  <c r="P67" i="3" s="1"/>
  <c r="Q67" i="3" s="1"/>
  <c r="R67" i="3" s="1"/>
  <c r="W193" i="2"/>
  <c r="X29" i="2"/>
  <c r="W248" i="1"/>
  <c r="I183" i="3"/>
  <c r="K104" i="2"/>
  <c r="K244" i="1"/>
  <c r="N63" i="3"/>
  <c r="O63" i="3"/>
  <c r="P63" i="3" s="1"/>
  <c r="Q63" i="3" s="1"/>
  <c r="R63" i="3" s="1"/>
  <c r="S227" i="1"/>
  <c r="S226" i="1"/>
  <c r="BG226" i="1"/>
  <c r="BG227" i="1"/>
  <c r="N23" i="3"/>
  <c r="O23" i="3"/>
  <c r="P23" i="3" s="1"/>
  <c r="Q23" i="3" s="1"/>
  <c r="R23" i="3" s="1"/>
  <c r="J84" i="2"/>
  <c r="N80" i="2"/>
  <c r="J240" i="1"/>
  <c r="J242" i="1"/>
  <c r="J239" i="1"/>
  <c r="S228" i="1"/>
  <c r="S231" i="1"/>
  <c r="AC231" i="1"/>
  <c r="AC228" i="1"/>
  <c r="F54" i="3"/>
  <c r="F98" i="3" s="1"/>
  <c r="G55" i="3"/>
  <c r="BC84" i="2"/>
  <c r="BG80" i="2"/>
  <c r="BC239" i="1"/>
  <c r="BC242" i="1"/>
  <c r="BC240" i="1"/>
  <c r="BB228" i="1"/>
  <c r="BB231" i="1"/>
  <c r="N28" i="3"/>
  <c r="O28" i="3"/>
  <c r="P28" i="3" s="1"/>
  <c r="Q28" i="3" s="1"/>
  <c r="R28" i="3" s="1"/>
  <c r="BF67" i="2"/>
  <c r="BG67" i="2" s="1"/>
  <c r="N62" i="3"/>
  <c r="O62" i="3"/>
  <c r="P62" i="3" s="1"/>
  <c r="Q62" i="3" s="1"/>
  <c r="R62" i="3" s="1"/>
  <c r="R109" i="3"/>
  <c r="J193" i="2"/>
  <c r="J248" i="1"/>
  <c r="N61" i="3"/>
  <c r="O61" i="3"/>
  <c r="P61" i="3" s="1"/>
  <c r="Q61" i="3" s="1"/>
  <c r="R61" i="3" s="1"/>
  <c r="AW257" i="1"/>
  <c r="P104" i="2"/>
  <c r="P244" i="1"/>
  <c r="AR193" i="2"/>
  <c r="AR248" i="1"/>
  <c r="L173" i="3"/>
  <c r="Q107" i="3"/>
  <c r="AF104" i="2"/>
  <c r="AF244" i="1"/>
  <c r="H84" i="2"/>
  <c r="H98" i="2" s="1"/>
  <c r="H100" i="2" s="1"/>
  <c r="H239" i="1"/>
  <c r="H240" i="1"/>
  <c r="H242" i="1"/>
  <c r="BB256" i="1"/>
  <c r="N57" i="3"/>
  <c r="O57" i="3"/>
  <c r="P57" i="3" s="1"/>
  <c r="Q57" i="3" s="1"/>
  <c r="R57" i="3" s="1"/>
  <c r="M67" i="2"/>
  <c r="U104" i="2"/>
  <c r="U244" i="1"/>
  <c r="R193" i="2"/>
  <c r="S29" i="2"/>
  <c r="R248" i="1"/>
  <c r="AT104" i="2"/>
  <c r="AT244" i="1"/>
  <c r="J187" i="3"/>
  <c r="K152" i="3"/>
  <c r="AN193" i="2"/>
  <c r="AN248" i="1"/>
  <c r="G60" i="3"/>
  <c r="AH80" i="2"/>
  <c r="AD84" i="2"/>
  <c r="AD240" i="1"/>
  <c r="AD239" i="1"/>
  <c r="AD242" i="1"/>
  <c r="Q104" i="2"/>
  <c r="Q244" i="1"/>
  <c r="N29" i="3"/>
  <c r="O29" i="3"/>
  <c r="P29" i="3" s="1"/>
  <c r="Q29" i="3" s="1"/>
  <c r="R29" i="3" s="1"/>
  <c r="N58" i="3"/>
  <c r="O58" i="3"/>
  <c r="P58" i="3" s="1"/>
  <c r="Q58" i="3" s="1"/>
  <c r="R58" i="3" s="1"/>
  <c r="AV84" i="2"/>
  <c r="AV98" i="2" s="1"/>
  <c r="AV100" i="2" s="1"/>
  <c r="AV242" i="1"/>
  <c r="AV239" i="1"/>
  <c r="AV240" i="1"/>
  <c r="AQ193" i="2"/>
  <c r="N73" i="3"/>
  <c r="O73" i="3"/>
  <c r="P73" i="3" s="1"/>
  <c r="Q73" i="3" s="1"/>
  <c r="R73" i="3" s="1"/>
  <c r="Q109" i="3"/>
  <c r="N64" i="3"/>
  <c r="O64" i="3"/>
  <c r="P64" i="3" s="1"/>
  <c r="Q64" i="3" s="1"/>
  <c r="R64" i="3" s="1"/>
  <c r="R84" i="2"/>
  <c r="R98" i="2" s="1"/>
  <c r="R100" i="2" s="1"/>
  <c r="R240" i="1"/>
  <c r="R239" i="1"/>
  <c r="R242" i="1"/>
  <c r="I187" i="3"/>
  <c r="AS84" i="2"/>
  <c r="AW80" i="2"/>
  <c r="AS242" i="1"/>
  <c r="AS239" i="1"/>
  <c r="AS240" i="1"/>
  <c r="AM227" i="1"/>
  <c r="AM226" i="1"/>
  <c r="N22" i="3"/>
  <c r="O22" i="3"/>
  <c r="P22" i="3" s="1"/>
  <c r="Q22" i="3" s="1"/>
  <c r="R22" i="3" s="1"/>
  <c r="F99" i="3"/>
  <c r="N21" i="3"/>
  <c r="O21" i="3"/>
  <c r="P21" i="3" s="1"/>
  <c r="Q21" i="3" s="1"/>
  <c r="R21" i="3" s="1"/>
  <c r="AH231" i="1"/>
  <c r="AH228" i="1"/>
  <c r="X257" i="1"/>
  <c r="P110" i="3"/>
  <c r="P109" i="3"/>
  <c r="O193" i="2"/>
  <c r="O248" i="1"/>
  <c r="AR231" i="1"/>
  <c r="AR228" i="1"/>
  <c r="N36" i="3"/>
  <c r="O36" i="3"/>
  <c r="P36" i="3" s="1"/>
  <c r="Q36" i="3" s="1"/>
  <c r="R36" i="3" s="1"/>
  <c r="N52" i="3"/>
  <c r="O52" i="3"/>
  <c r="P52" i="3" s="1"/>
  <c r="Q52" i="3" s="1"/>
  <c r="R52" i="3" s="1"/>
  <c r="AM231" i="1"/>
  <c r="AM228" i="1"/>
  <c r="AB67" i="2"/>
  <c r="AC67" i="2" s="1"/>
  <c r="N248" i="1"/>
  <c r="X256" i="1"/>
  <c r="AY104" i="2"/>
  <c r="AY244" i="1"/>
  <c r="F44" i="3"/>
  <c r="G45" i="3"/>
  <c r="N53" i="3"/>
  <c r="O53" i="3"/>
  <c r="P53" i="3" s="1"/>
  <c r="Q53" i="3" s="1"/>
  <c r="R53" i="3" s="1"/>
  <c r="N27" i="3"/>
  <c r="O27" i="3"/>
  <c r="P27" i="3" s="1"/>
  <c r="Q27" i="3" s="1"/>
  <c r="R27" i="3" s="1"/>
  <c r="AL67" i="2"/>
  <c r="AM67" i="2" s="1"/>
  <c r="AR256" i="1"/>
  <c r="X228" i="1"/>
  <c r="X231" i="1"/>
  <c r="BD104" i="2"/>
  <c r="BD244" i="1"/>
  <c r="AU104" i="2"/>
  <c r="AU244" i="1"/>
  <c r="V84" i="2"/>
  <c r="V98" i="2" s="1"/>
  <c r="V100" i="2" s="1"/>
  <c r="V239" i="1"/>
  <c r="V240" i="1"/>
  <c r="V242" i="1"/>
  <c r="G104" i="2"/>
  <c r="G244" i="1"/>
  <c r="AC227" i="1"/>
  <c r="AC226" i="1"/>
  <c r="AN84" i="2"/>
  <c r="AR80" i="2"/>
  <c r="AN242" i="1"/>
  <c r="AN239" i="1"/>
  <c r="AN240" i="1"/>
  <c r="AW226" i="1"/>
  <c r="AW227" i="1"/>
  <c r="AV193" i="2"/>
  <c r="AW29" i="2"/>
  <c r="AV248" i="1"/>
  <c r="AR257" i="1"/>
  <c r="Y193" i="2"/>
  <c r="Y248" i="1"/>
  <c r="N41" i="3"/>
  <c r="O41" i="3"/>
  <c r="P41" i="3" s="1"/>
  <c r="Q41" i="3" s="1"/>
  <c r="R41" i="3" s="1"/>
  <c r="G72" i="3"/>
  <c r="N46" i="3"/>
  <c r="O46" i="3"/>
  <c r="P46" i="3" s="1"/>
  <c r="Q46" i="3" s="1"/>
  <c r="R46" i="3" s="1"/>
  <c r="L84" i="2"/>
  <c r="L98" i="2" s="1"/>
  <c r="L100" i="2" s="1"/>
  <c r="L242" i="1"/>
  <c r="L239" i="1"/>
  <c r="L240" i="1"/>
  <c r="AH257" i="1"/>
  <c r="AG67" i="2"/>
  <c r="AH67" i="2" s="1"/>
  <c r="N34" i="3"/>
  <c r="O34" i="3"/>
  <c r="P34" i="3" s="1"/>
  <c r="Q34" i="3" s="1"/>
  <c r="R34" i="3" s="1"/>
  <c r="R67" i="2"/>
  <c r="S67" i="2" s="1"/>
  <c r="AC84" i="2" l="1"/>
  <c r="Y98" i="2"/>
  <c r="F106" i="2"/>
  <c r="F247" i="1" s="1"/>
  <c r="F245" i="1"/>
  <c r="O173" i="3"/>
  <c r="S107" i="3"/>
  <c r="T107" i="3"/>
  <c r="G44" i="3"/>
  <c r="H45" i="3"/>
  <c r="S36" i="3"/>
  <c r="T36" i="3"/>
  <c r="U36" i="3" s="1"/>
  <c r="V36" i="3" s="1"/>
  <c r="W36" i="3" s="1"/>
  <c r="AW239" i="1"/>
  <c r="AW242" i="1"/>
  <c r="AW240" i="1"/>
  <c r="S73" i="3"/>
  <c r="T73" i="3"/>
  <c r="U73" i="3" s="1"/>
  <c r="V73" i="3" s="1"/>
  <c r="W73" i="3" s="1"/>
  <c r="Q106" i="2"/>
  <c r="Q247" i="1" s="1"/>
  <c r="Q245" i="1"/>
  <c r="P106" i="2"/>
  <c r="P247" i="1" s="1"/>
  <c r="P245" i="1"/>
  <c r="AM193" i="2"/>
  <c r="AM248" i="1"/>
  <c r="F103" i="3"/>
  <c r="F150" i="3"/>
  <c r="F190" i="3" s="1"/>
  <c r="F92" i="3"/>
  <c r="V110" i="3"/>
  <c r="G37" i="3"/>
  <c r="H38" i="3"/>
  <c r="F82" i="3"/>
  <c r="AZ106" i="2"/>
  <c r="AZ247" i="1" s="1"/>
  <c r="AZ245" i="1"/>
  <c r="G54" i="3"/>
  <c r="H55" i="3"/>
  <c r="M106" i="2"/>
  <c r="M247" i="1" s="1"/>
  <c r="M245" i="1"/>
  <c r="S35" i="3"/>
  <c r="T35" i="3"/>
  <c r="U35" i="3" s="1"/>
  <c r="V35" i="3" s="1"/>
  <c r="W35" i="3" s="1"/>
  <c r="S41" i="3"/>
  <c r="T41" i="3"/>
  <c r="U41" i="3" s="1"/>
  <c r="V41" i="3" s="1"/>
  <c r="W41" i="3" s="1"/>
  <c r="AU106" i="2"/>
  <c r="AU247" i="1" s="1"/>
  <c r="AU245" i="1"/>
  <c r="AW84" i="2"/>
  <c r="AS98" i="2"/>
  <c r="AT106" i="2"/>
  <c r="AT247" i="1" s="1"/>
  <c r="AT245" i="1"/>
  <c r="S28" i="3"/>
  <c r="T28" i="3"/>
  <c r="U28" i="3" s="1"/>
  <c r="V28" i="3" s="1"/>
  <c r="W28" i="3" s="1"/>
  <c r="S144" i="3"/>
  <c r="T144" i="3"/>
  <c r="U144" i="3" s="1"/>
  <c r="V144" i="3" s="1"/>
  <c r="W144" i="3" s="1"/>
  <c r="AL193" i="2"/>
  <c r="S68" i="3"/>
  <c r="T68" i="3"/>
  <c r="U68" i="3" s="1"/>
  <c r="V68" i="3" s="1"/>
  <c r="W68" i="3" s="1"/>
  <c r="AM242" i="1"/>
  <c r="AM240" i="1"/>
  <c r="AM239" i="1"/>
  <c r="AA106" i="2"/>
  <c r="AA247" i="1" s="1"/>
  <c r="AA245" i="1"/>
  <c r="AB104" i="2"/>
  <c r="AB244" i="1"/>
  <c r="N173" i="3"/>
  <c r="S75" i="3"/>
  <c r="T75" i="3"/>
  <c r="U75" i="3" s="1"/>
  <c r="V75" i="3" s="1"/>
  <c r="W75" i="3" s="1"/>
  <c r="AC242" i="1"/>
  <c r="AC239" i="1"/>
  <c r="AC240" i="1"/>
  <c r="AR242" i="1"/>
  <c r="AR239" i="1"/>
  <c r="AR240" i="1"/>
  <c r="S21" i="3"/>
  <c r="T21" i="3"/>
  <c r="U21" i="3" s="1"/>
  <c r="V21" i="3" s="1"/>
  <c r="W21" i="3" s="1"/>
  <c r="S39" i="3"/>
  <c r="T39" i="3"/>
  <c r="U39" i="3" s="1"/>
  <c r="V39" i="3" s="1"/>
  <c r="W39" i="3" s="1"/>
  <c r="AI98" i="2"/>
  <c r="AM84" i="2"/>
  <c r="S32" i="3"/>
  <c r="T32" i="3"/>
  <c r="U32" i="3" s="1"/>
  <c r="V32" i="3" s="1"/>
  <c r="W32" i="3" s="1"/>
  <c r="S242" i="1"/>
  <c r="S239" i="1"/>
  <c r="S240" i="1"/>
  <c r="AC193" i="2"/>
  <c r="AC248" i="1"/>
  <c r="K182" i="3"/>
  <c r="L149" i="3"/>
  <c r="S53" i="3"/>
  <c r="T53" i="3"/>
  <c r="U53" i="3" s="1"/>
  <c r="V53" i="3" s="1"/>
  <c r="W53" i="3" s="1"/>
  <c r="AR84" i="2"/>
  <c r="AN98" i="2"/>
  <c r="BD106" i="2"/>
  <c r="BD247" i="1" s="1"/>
  <c r="BD245" i="1"/>
  <c r="AY106" i="2"/>
  <c r="AY247" i="1" s="1"/>
  <c r="AY245" i="1"/>
  <c r="H104" i="2"/>
  <c r="H244" i="1"/>
  <c r="S61" i="3"/>
  <c r="T61" i="3"/>
  <c r="U61" i="3" s="1"/>
  <c r="V61" i="3" s="1"/>
  <c r="W61" i="3" s="1"/>
  <c r="S63" i="3"/>
  <c r="T63" i="3"/>
  <c r="U63" i="3" s="1"/>
  <c r="V63" i="3" s="1"/>
  <c r="W63" i="3" s="1"/>
  <c r="AP106" i="2"/>
  <c r="AP247" i="1" s="1"/>
  <c r="AP245" i="1"/>
  <c r="AO104" i="2"/>
  <c r="AO244" i="1"/>
  <c r="BE106" i="2"/>
  <c r="BE247" i="1" s="1"/>
  <c r="BE245" i="1"/>
  <c r="K186" i="3"/>
  <c r="L151" i="3"/>
  <c r="O98" i="2"/>
  <c r="S84" i="2"/>
  <c r="AB193" i="2"/>
  <c r="S67" i="3"/>
  <c r="T67" i="3"/>
  <c r="U67" i="3" s="1"/>
  <c r="V67" i="3" s="1"/>
  <c r="W67" i="3" s="1"/>
  <c r="AH84" i="2"/>
  <c r="AD98" i="2"/>
  <c r="S193" i="2"/>
  <c r="S248" i="1"/>
  <c r="E190" i="3"/>
  <c r="AJ106" i="2"/>
  <c r="AJ247" i="1" s="1"/>
  <c r="AJ245" i="1"/>
  <c r="AE104" i="2"/>
  <c r="AE244" i="1"/>
  <c r="AG106" i="2"/>
  <c r="AG247" i="1" s="1"/>
  <c r="AG245" i="1"/>
  <c r="S48" i="3"/>
  <c r="T48" i="3"/>
  <c r="U48" i="3" s="1"/>
  <c r="V48" i="3" s="1"/>
  <c r="W48" i="3" s="1"/>
  <c r="G181" i="3"/>
  <c r="H148" i="3"/>
  <c r="K184" i="3"/>
  <c r="L147" i="3"/>
  <c r="S76" i="3"/>
  <c r="T76" i="3"/>
  <c r="U76" i="3" s="1"/>
  <c r="V76" i="3" s="1"/>
  <c r="W76" i="3" s="1"/>
  <c r="G103" i="3"/>
  <c r="G150" i="3"/>
  <c r="G190" i="3" s="1"/>
  <c r="G92" i="3"/>
  <c r="AK104" i="2"/>
  <c r="AK244" i="1"/>
  <c r="K19" i="3"/>
  <c r="L20" i="3"/>
  <c r="S40" i="3"/>
  <c r="T40" i="3"/>
  <c r="U40" i="3" s="1"/>
  <c r="V40" i="3" s="1"/>
  <c r="W40" i="3" s="1"/>
  <c r="K187" i="3"/>
  <c r="L152" i="3"/>
  <c r="BB84" i="2"/>
  <c r="AX98" i="2"/>
  <c r="S22" i="3"/>
  <c r="T22" i="3"/>
  <c r="U22" i="3" s="1"/>
  <c r="V22" i="3" s="1"/>
  <c r="W22" i="3" s="1"/>
  <c r="U109" i="3"/>
  <c r="R104" i="2"/>
  <c r="R244" i="1"/>
  <c r="AV104" i="2"/>
  <c r="AV244" i="1"/>
  <c r="G59" i="3"/>
  <c r="G99" i="3" s="1"/>
  <c r="H60" i="3"/>
  <c r="Q173" i="3"/>
  <c r="V107" i="3"/>
  <c r="K106" i="2"/>
  <c r="K247" i="1" s="1"/>
  <c r="K245" i="1"/>
  <c r="BA104" i="2"/>
  <c r="BA244" i="1"/>
  <c r="E91" i="3"/>
  <c r="E138" i="3"/>
  <c r="K95" i="3"/>
  <c r="BG193" i="2"/>
  <c r="BG248" i="1"/>
  <c r="P117" i="3"/>
  <c r="Q117" i="3" s="1"/>
  <c r="R117" i="3" s="1"/>
  <c r="T117" i="3" s="1"/>
  <c r="S49" i="3"/>
  <c r="T49" i="3"/>
  <c r="U49" i="3" s="1"/>
  <c r="V49" i="3" s="1"/>
  <c r="W49" i="3" s="1"/>
  <c r="AL106" i="2"/>
  <c r="AL247" i="1" s="1"/>
  <c r="AL245" i="1"/>
  <c r="BB67" i="2"/>
  <c r="BB193" i="2" s="1"/>
  <c r="BA193" i="2"/>
  <c r="K93" i="3"/>
  <c r="S46" i="3"/>
  <c r="T46" i="3"/>
  <c r="U46" i="3" s="1"/>
  <c r="V46" i="3" s="1"/>
  <c r="W46" i="3" s="1"/>
  <c r="AW193" i="2"/>
  <c r="AW248" i="1"/>
  <c r="G106" i="2"/>
  <c r="G247" i="1" s="1"/>
  <c r="G245" i="1"/>
  <c r="S64" i="3"/>
  <c r="T64" i="3"/>
  <c r="U64" i="3" s="1"/>
  <c r="V64" i="3" s="1"/>
  <c r="W64" i="3" s="1"/>
  <c r="S58" i="3"/>
  <c r="T58" i="3"/>
  <c r="U58" i="3" s="1"/>
  <c r="V58" i="3" s="1"/>
  <c r="W58" i="3" s="1"/>
  <c r="U106" i="2"/>
  <c r="U247" i="1" s="1"/>
  <c r="U245" i="1"/>
  <c r="W109" i="3"/>
  <c r="N242" i="1"/>
  <c r="N239" i="1"/>
  <c r="N240" i="1"/>
  <c r="R173" i="3"/>
  <c r="W107" i="3"/>
  <c r="AQ104" i="2"/>
  <c r="AQ244" i="1"/>
  <c r="S56" i="3"/>
  <c r="T56" i="3"/>
  <c r="U56" i="3" s="1"/>
  <c r="V56" i="3" s="1"/>
  <c r="W56" i="3" s="1"/>
  <c r="W110" i="3"/>
  <c r="I242" i="1"/>
  <c r="I240" i="1"/>
  <c r="I239" i="1"/>
  <c r="BF193" i="2"/>
  <c r="N117" i="3"/>
  <c r="BF106" i="2"/>
  <c r="BF247" i="1" s="1"/>
  <c r="BF245" i="1"/>
  <c r="S47" i="3"/>
  <c r="T47" i="3"/>
  <c r="U47" i="3" s="1"/>
  <c r="V47" i="3" s="1"/>
  <c r="W47" i="3" s="1"/>
  <c r="S110" i="3"/>
  <c r="T110" i="3"/>
  <c r="AH193" i="2"/>
  <c r="AH248" i="1"/>
  <c r="Z104" i="2"/>
  <c r="Z244" i="1"/>
  <c r="S62" i="3"/>
  <c r="T62" i="3"/>
  <c r="U62" i="3" s="1"/>
  <c r="V62" i="3" s="1"/>
  <c r="W62" i="3" s="1"/>
  <c r="G98" i="3"/>
  <c r="P173" i="3"/>
  <c r="U107" i="3"/>
  <c r="AH242" i="1"/>
  <c r="AH239" i="1"/>
  <c r="AH240" i="1"/>
  <c r="E102" i="3"/>
  <c r="E104" i="3"/>
  <c r="S34" i="3"/>
  <c r="T34" i="3"/>
  <c r="U34" i="3" s="1"/>
  <c r="V34" i="3" s="1"/>
  <c r="W34" i="3" s="1"/>
  <c r="S27" i="3"/>
  <c r="T27" i="3"/>
  <c r="U27" i="3" s="1"/>
  <c r="V27" i="3" s="1"/>
  <c r="W27" i="3" s="1"/>
  <c r="N67" i="2"/>
  <c r="N193" i="2" s="1"/>
  <c r="M193" i="2"/>
  <c r="BG240" i="1"/>
  <c r="BG239" i="1"/>
  <c r="BG242" i="1"/>
  <c r="J98" i="2"/>
  <c r="N84" i="2"/>
  <c r="W106" i="2"/>
  <c r="W247" i="1" s="1"/>
  <c r="W245" i="1"/>
  <c r="I84" i="2"/>
  <c r="E98" i="2"/>
  <c r="X240" i="1"/>
  <c r="X242" i="1"/>
  <c r="X239" i="1"/>
  <c r="H31" i="3"/>
  <c r="L65" i="3"/>
  <c r="H18" i="3"/>
  <c r="AG193" i="2"/>
  <c r="S108" i="3"/>
  <c r="T108" i="3"/>
  <c r="S52" i="3"/>
  <c r="T52" i="3"/>
  <c r="U52" i="3" s="1"/>
  <c r="V52" i="3" s="1"/>
  <c r="W52" i="3" s="1"/>
  <c r="S109" i="3"/>
  <c r="T109" i="3"/>
  <c r="E194" i="3"/>
  <c r="E135" i="3"/>
  <c r="E51" i="3"/>
  <c r="E50" i="3" s="1"/>
  <c r="E155" i="3"/>
  <c r="V104" i="2"/>
  <c r="V244" i="1"/>
  <c r="AF106" i="2"/>
  <c r="AF247" i="1" s="1"/>
  <c r="AF245" i="1"/>
  <c r="L104" i="2"/>
  <c r="L244" i="1"/>
  <c r="H72" i="3"/>
  <c r="U110" i="3"/>
  <c r="V109" i="3"/>
  <c r="S29" i="3"/>
  <c r="T29" i="3"/>
  <c r="U29" i="3" s="1"/>
  <c r="V29" i="3" s="1"/>
  <c r="W29" i="3" s="1"/>
  <c r="S57" i="3"/>
  <c r="T57" i="3"/>
  <c r="U57" i="3" s="1"/>
  <c r="V57" i="3" s="1"/>
  <c r="W57" i="3" s="1"/>
  <c r="BG84" i="2"/>
  <c r="BC98" i="2"/>
  <c r="S23" i="3"/>
  <c r="T23" i="3"/>
  <c r="U23" i="3" s="1"/>
  <c r="V23" i="3" s="1"/>
  <c r="W23" i="3" s="1"/>
  <c r="X193" i="2"/>
  <c r="X248" i="1"/>
  <c r="I193" i="2"/>
  <c r="I248" i="1"/>
  <c r="BB240" i="1"/>
  <c r="BB239" i="1"/>
  <c r="BB242" i="1"/>
  <c r="K183" i="3"/>
  <c r="L146" i="3"/>
  <c r="S66" i="3"/>
  <c r="T66" i="3"/>
  <c r="U66" i="3" s="1"/>
  <c r="V66" i="3" s="1"/>
  <c r="W66" i="3" s="1"/>
  <c r="S26" i="3"/>
  <c r="T26" i="3"/>
  <c r="U26" i="3" s="1"/>
  <c r="V26" i="3" s="1"/>
  <c r="W26" i="3" s="1"/>
  <c r="S94" i="3"/>
  <c r="P94" i="3"/>
  <c r="Q94" i="3" s="1"/>
  <c r="R94" i="3" s="1"/>
  <c r="T94" i="3" s="1"/>
  <c r="X84" i="2"/>
  <c r="T98" i="2"/>
  <c r="K100" i="3"/>
  <c r="K24" i="3"/>
  <c r="L25" i="3"/>
  <c r="X144" i="3" l="1"/>
  <c r="Y144" i="3"/>
  <c r="Z144" i="3" s="1"/>
  <c r="AA144" i="3" s="1"/>
  <c r="AB144" i="3" s="1"/>
  <c r="X61" i="3"/>
  <c r="Y61" i="3"/>
  <c r="Z61" i="3" s="1"/>
  <c r="AA61" i="3" s="1"/>
  <c r="AB61" i="3" s="1"/>
  <c r="X66" i="3"/>
  <c r="Y66" i="3"/>
  <c r="Z66" i="3" s="1"/>
  <c r="AA66" i="3" s="1"/>
  <c r="AB66" i="3" s="1"/>
  <c r="I72" i="3"/>
  <c r="J72" i="3"/>
  <c r="X34" i="3"/>
  <c r="Y34" i="3"/>
  <c r="Z34" i="3" s="1"/>
  <c r="AA34" i="3" s="1"/>
  <c r="AB34" i="3" s="1"/>
  <c r="X62" i="3"/>
  <c r="Y62" i="3"/>
  <c r="Z62" i="3" s="1"/>
  <c r="AA62" i="3" s="1"/>
  <c r="AB62" i="3" s="1"/>
  <c r="E165" i="3"/>
  <c r="L184" i="3"/>
  <c r="M147" i="3"/>
  <c r="L186" i="3"/>
  <c r="M151" i="3"/>
  <c r="X21" i="3"/>
  <c r="Y21" i="3"/>
  <c r="Z21" i="3" s="1"/>
  <c r="AA21" i="3" s="1"/>
  <c r="AB21" i="3" s="1"/>
  <c r="X28" i="3"/>
  <c r="Y28" i="3"/>
  <c r="Z28" i="3" s="1"/>
  <c r="AA28" i="3" s="1"/>
  <c r="AB28" i="3" s="1"/>
  <c r="T173" i="3"/>
  <c r="X107" i="3"/>
  <c r="Y107" i="3"/>
  <c r="X26" i="3"/>
  <c r="Y26" i="3"/>
  <c r="Z26" i="3" s="1"/>
  <c r="AA26" i="3" s="1"/>
  <c r="AB26" i="3" s="1"/>
  <c r="Z110" i="3"/>
  <c r="H59" i="3"/>
  <c r="I60" i="3"/>
  <c r="J60" i="3"/>
  <c r="X23" i="3"/>
  <c r="Y23" i="3"/>
  <c r="Z23" i="3" s="1"/>
  <c r="AA23" i="3" s="1"/>
  <c r="AB23" i="3" s="1"/>
  <c r="S98" i="2"/>
  <c r="O100" i="2"/>
  <c r="BG98" i="2"/>
  <c r="BC100" i="2"/>
  <c r="I18" i="3"/>
  <c r="J18" i="3"/>
  <c r="W173" i="3"/>
  <c r="AB107" i="3"/>
  <c r="X58" i="3"/>
  <c r="Y58" i="3"/>
  <c r="Z58" i="3" s="1"/>
  <c r="AA58" i="3" s="1"/>
  <c r="AB58" i="3" s="1"/>
  <c r="AV106" i="2"/>
  <c r="AV247" i="1" s="1"/>
  <c r="AV245" i="1"/>
  <c r="X40" i="3"/>
  <c r="Y40" i="3"/>
  <c r="Z40" i="3" s="1"/>
  <c r="AA40" i="3" s="1"/>
  <c r="AB40" i="3" s="1"/>
  <c r="AB106" i="2"/>
  <c r="AB247" i="1" s="1"/>
  <c r="AB245" i="1"/>
  <c r="X35" i="3"/>
  <c r="Y35" i="3"/>
  <c r="Z35" i="3" s="1"/>
  <c r="AA35" i="3" s="1"/>
  <c r="AB35" i="3" s="1"/>
  <c r="H37" i="3"/>
  <c r="I37" i="3" s="1"/>
  <c r="I38" i="3"/>
  <c r="J38" i="3"/>
  <c r="L183" i="3"/>
  <c r="M146" i="3"/>
  <c r="X109" i="3"/>
  <c r="Y109" i="3"/>
  <c r="E101" i="3"/>
  <c r="H181" i="3"/>
  <c r="I148" i="3"/>
  <c r="I181" i="3" s="1"/>
  <c r="J148" i="3"/>
  <c r="H106" i="2"/>
  <c r="H247" i="1" s="1"/>
  <c r="H245" i="1"/>
  <c r="X73" i="3"/>
  <c r="Y73" i="3"/>
  <c r="Z73" i="3" s="1"/>
  <c r="AA73" i="3" s="1"/>
  <c r="AB73" i="3" s="1"/>
  <c r="S173" i="3"/>
  <c r="M65" i="3"/>
  <c r="M100" i="3" s="1"/>
  <c r="E189" i="3"/>
  <c r="Z106" i="2"/>
  <c r="Z247" i="1" s="1"/>
  <c r="Z245" i="1"/>
  <c r="X64" i="3"/>
  <c r="Y64" i="3"/>
  <c r="Z64" i="3" s="1"/>
  <c r="AA64" i="3" s="1"/>
  <c r="AB64" i="3" s="1"/>
  <c r="R106" i="2"/>
  <c r="R247" i="1" s="1"/>
  <c r="R245" i="1"/>
  <c r="L19" i="3"/>
  <c r="M20" i="3"/>
  <c r="AA110" i="3"/>
  <c r="L100" i="3"/>
  <c r="J100" i="2"/>
  <c r="N98" i="2"/>
  <c r="X49" i="3"/>
  <c r="Y49" i="3"/>
  <c r="Z49" i="3" s="1"/>
  <c r="AA49" i="3" s="1"/>
  <c r="AB49" i="3" s="1"/>
  <c r="BA106" i="2"/>
  <c r="BA247" i="1" s="1"/>
  <c r="BA245" i="1"/>
  <c r="Z109" i="3"/>
  <c r="X48" i="3"/>
  <c r="Y48" i="3"/>
  <c r="Z48" i="3" s="1"/>
  <c r="AA48" i="3" s="1"/>
  <c r="AB48" i="3" s="1"/>
  <c r="AH98" i="2"/>
  <c r="AD100" i="2"/>
  <c r="AS100" i="2"/>
  <c r="AW98" i="2"/>
  <c r="X27" i="3"/>
  <c r="Y27" i="3"/>
  <c r="Z27" i="3" s="1"/>
  <c r="AA27" i="3" s="1"/>
  <c r="AB27" i="3" s="1"/>
  <c r="L106" i="2"/>
  <c r="L247" i="1" s="1"/>
  <c r="L245" i="1"/>
  <c r="X29" i="3"/>
  <c r="Y29" i="3"/>
  <c r="Z29" i="3" s="1"/>
  <c r="AA29" i="3" s="1"/>
  <c r="AB29" i="3" s="1"/>
  <c r="I31" i="3"/>
  <c r="J31" i="3"/>
  <c r="AO106" i="2"/>
  <c r="AO247" i="1" s="1"/>
  <c r="AO245" i="1"/>
  <c r="H54" i="3"/>
  <c r="I55" i="3"/>
  <c r="J55" i="3"/>
  <c r="F91" i="3"/>
  <c r="X39" i="3"/>
  <c r="Y39" i="3"/>
  <c r="Z39" i="3" s="1"/>
  <c r="AA39" i="3" s="1"/>
  <c r="AB39" i="3" s="1"/>
  <c r="X41" i="3"/>
  <c r="Y41" i="3"/>
  <c r="Z41" i="3" s="1"/>
  <c r="AA41" i="3" s="1"/>
  <c r="AB41" i="3" s="1"/>
  <c r="X52" i="3"/>
  <c r="Y52" i="3"/>
  <c r="Z52" i="3" s="1"/>
  <c r="AA52" i="3" s="1"/>
  <c r="AB52" i="3" s="1"/>
  <c r="X110" i="3"/>
  <c r="Y110" i="3"/>
  <c r="AB110" i="3"/>
  <c r="X117" i="3"/>
  <c r="U117" i="3"/>
  <c r="V117" i="3" s="1"/>
  <c r="W117" i="3" s="1"/>
  <c r="Y117" i="3" s="1"/>
  <c r="AK106" i="2"/>
  <c r="AK247" i="1" s="1"/>
  <c r="AK245" i="1"/>
  <c r="X32" i="3"/>
  <c r="Y32" i="3"/>
  <c r="Z32" i="3" s="1"/>
  <c r="AA32" i="3" s="1"/>
  <c r="AB32" i="3" s="1"/>
  <c r="H98" i="3"/>
  <c r="I98" i="3" s="1"/>
  <c r="Y100" i="2"/>
  <c r="AC98" i="2"/>
  <c r="AA109" i="3"/>
  <c r="V106" i="2"/>
  <c r="V247" i="1" s="1"/>
  <c r="V245" i="1"/>
  <c r="H134" i="3"/>
  <c r="AB109" i="3"/>
  <c r="S117" i="3"/>
  <c r="V173" i="3"/>
  <c r="AA107" i="3"/>
  <c r="X22" i="3"/>
  <c r="Y22" i="3"/>
  <c r="Z22" i="3" s="1"/>
  <c r="AA22" i="3" s="1"/>
  <c r="AB22" i="3" s="1"/>
  <c r="G91" i="3"/>
  <c r="X67" i="3"/>
  <c r="Y67" i="3"/>
  <c r="Z67" i="3" s="1"/>
  <c r="AA67" i="3" s="1"/>
  <c r="AB67" i="3" s="1"/>
  <c r="AR98" i="2"/>
  <c r="AN100" i="2"/>
  <c r="X68" i="3"/>
  <c r="Y68" i="3"/>
  <c r="Z68" i="3" s="1"/>
  <c r="AA68" i="3" s="1"/>
  <c r="AB68" i="3" s="1"/>
  <c r="F102" i="3"/>
  <c r="F189" i="3" s="1"/>
  <c r="F104" i="3"/>
  <c r="F33" i="3"/>
  <c r="X36" i="3"/>
  <c r="Y36" i="3"/>
  <c r="Z36" i="3" s="1"/>
  <c r="AA36" i="3" s="1"/>
  <c r="AB36" i="3" s="1"/>
  <c r="I98" i="2"/>
  <c r="E100" i="2"/>
  <c r="AQ106" i="2"/>
  <c r="AQ247" i="1" s="1"/>
  <c r="AQ245" i="1"/>
  <c r="L187" i="3"/>
  <c r="M152" i="3"/>
  <c r="X57" i="3"/>
  <c r="Y57" i="3"/>
  <c r="Z57" i="3" s="1"/>
  <c r="AA57" i="3" s="1"/>
  <c r="AB57" i="3" s="1"/>
  <c r="U94" i="3"/>
  <c r="V94" i="3" s="1"/>
  <c r="W94" i="3" s="1"/>
  <c r="Y94" i="3" s="1"/>
  <c r="E157" i="3"/>
  <c r="E159" i="3" s="1"/>
  <c r="E193" i="3" s="1"/>
  <c r="E156" i="3"/>
  <c r="E158" i="3" s="1"/>
  <c r="E192" i="3" s="1"/>
  <c r="U173" i="3"/>
  <c r="Z107" i="3"/>
  <c r="X56" i="3"/>
  <c r="Y56" i="3"/>
  <c r="Z56" i="3" s="1"/>
  <c r="AA56" i="3" s="1"/>
  <c r="AB56" i="3" s="1"/>
  <c r="X75" i="3"/>
  <c r="Y75" i="3"/>
  <c r="Z75" i="3" s="1"/>
  <c r="AA75" i="3" s="1"/>
  <c r="AB75" i="3" s="1"/>
  <c r="X76" i="3"/>
  <c r="Y76" i="3"/>
  <c r="Z76" i="3" s="1"/>
  <c r="AA76" i="3" s="1"/>
  <c r="AB76" i="3" s="1"/>
  <c r="H99" i="3"/>
  <c r="I99" i="3" s="1"/>
  <c r="L182" i="3"/>
  <c r="M149" i="3"/>
  <c r="L24" i="3"/>
  <c r="M25" i="3"/>
  <c r="T100" i="2"/>
  <c r="X98" i="2"/>
  <c r="E69" i="3"/>
  <c r="E79" i="3" s="1"/>
  <c r="E5" i="3" s="1"/>
  <c r="E132" i="3"/>
  <c r="F97" i="3"/>
  <c r="F138" i="3" s="1"/>
  <c r="X108" i="3"/>
  <c r="Y108" i="3"/>
  <c r="X47" i="3"/>
  <c r="Y47" i="3"/>
  <c r="Z47" i="3" s="1"/>
  <c r="AA47" i="3" s="1"/>
  <c r="AB47" i="3" s="1"/>
  <c r="X46" i="3"/>
  <c r="Y46" i="3"/>
  <c r="Z46" i="3" s="1"/>
  <c r="AA46" i="3" s="1"/>
  <c r="AB46" i="3" s="1"/>
  <c r="BB98" i="2"/>
  <c r="AX100" i="2"/>
  <c r="G104" i="3"/>
  <c r="AE106" i="2"/>
  <c r="AE247" i="1" s="1"/>
  <c r="AE245" i="1"/>
  <c r="X63" i="3"/>
  <c r="Y63" i="3"/>
  <c r="Z63" i="3" s="1"/>
  <c r="AA63" i="3" s="1"/>
  <c r="AB63" i="3" s="1"/>
  <c r="X53" i="3"/>
  <c r="Y53" i="3"/>
  <c r="Z53" i="3" s="1"/>
  <c r="AA53" i="3" s="1"/>
  <c r="AB53" i="3" s="1"/>
  <c r="AM98" i="2"/>
  <c r="AI100" i="2"/>
  <c r="H44" i="3"/>
  <c r="I45" i="3"/>
  <c r="J45" i="3"/>
  <c r="N100" i="3" l="1"/>
  <c r="F165" i="3"/>
  <c r="AC110" i="3"/>
  <c r="AD110" i="3"/>
  <c r="G102" i="3"/>
  <c r="G189" i="3" s="1"/>
  <c r="AC68" i="3"/>
  <c r="AD68" i="3"/>
  <c r="AE68" i="3" s="1"/>
  <c r="AF68" i="3" s="1"/>
  <c r="AG68" i="3" s="1"/>
  <c r="AE109" i="3"/>
  <c r="AC109" i="3"/>
  <c r="AD109" i="3"/>
  <c r="AC26" i="3"/>
  <c r="AD26" i="3"/>
  <c r="AE26" i="3" s="1"/>
  <c r="AF26" i="3" s="1"/>
  <c r="AG26" i="3" s="1"/>
  <c r="AC66" i="3"/>
  <c r="AD66" i="3"/>
  <c r="AE66" i="3" s="1"/>
  <c r="AF66" i="3" s="1"/>
  <c r="AG66" i="3" s="1"/>
  <c r="AX104" i="2"/>
  <c r="BB100" i="2"/>
  <c r="BB244" i="1" s="1"/>
  <c r="AX244" i="1"/>
  <c r="X100" i="2"/>
  <c r="X244" i="1" s="1"/>
  <c r="T104" i="2"/>
  <c r="T244" i="1"/>
  <c r="Z173" i="3"/>
  <c r="AE107" i="3"/>
  <c r="Y104" i="2"/>
  <c r="AC100" i="2"/>
  <c r="AC244" i="1" s="1"/>
  <c r="Y244" i="1"/>
  <c r="I54" i="3"/>
  <c r="M19" i="3"/>
  <c r="N20" i="3"/>
  <c r="O20" i="3"/>
  <c r="AC40" i="3"/>
  <c r="AD40" i="3"/>
  <c r="AE40" i="3" s="1"/>
  <c r="AF40" i="3" s="1"/>
  <c r="AG40" i="3" s="1"/>
  <c r="BC104" i="2"/>
  <c r="BG100" i="2"/>
  <c r="BG244" i="1" s="1"/>
  <c r="BC244" i="1"/>
  <c r="M184" i="3"/>
  <c r="N147" i="3"/>
  <c r="N184" i="3" s="1"/>
  <c r="O147" i="3"/>
  <c r="AC56" i="3"/>
  <c r="AD56" i="3"/>
  <c r="AE56" i="3" s="1"/>
  <c r="AF56" i="3" s="1"/>
  <c r="AG56" i="3" s="1"/>
  <c r="J54" i="3"/>
  <c r="K55" i="3"/>
  <c r="I44" i="3"/>
  <c r="M24" i="3"/>
  <c r="N25" i="3"/>
  <c r="O25" i="3"/>
  <c r="E104" i="2"/>
  <c r="I100" i="2"/>
  <c r="I244" i="1" s="1"/>
  <c r="E244" i="1"/>
  <c r="AN104" i="2"/>
  <c r="AR100" i="2"/>
  <c r="AR244" i="1" s="1"/>
  <c r="AN244" i="1"/>
  <c r="AG109" i="3"/>
  <c r="AC52" i="3"/>
  <c r="AD52" i="3"/>
  <c r="AE52" i="3" s="1"/>
  <c r="AF52" i="3" s="1"/>
  <c r="AG52" i="3" s="1"/>
  <c r="AC27" i="3"/>
  <c r="AD27" i="3"/>
  <c r="AE27" i="3" s="1"/>
  <c r="AF27" i="3" s="1"/>
  <c r="AG27" i="3" s="1"/>
  <c r="M95" i="3"/>
  <c r="AC73" i="3"/>
  <c r="AD73" i="3"/>
  <c r="AE73" i="3" s="1"/>
  <c r="AF73" i="3" s="1"/>
  <c r="AG73" i="3" s="1"/>
  <c r="Y173" i="3"/>
  <c r="AC107" i="3"/>
  <c r="AC173" i="3" s="1"/>
  <c r="AD107" i="3"/>
  <c r="AC61" i="3"/>
  <c r="AD61" i="3"/>
  <c r="AE61" i="3" s="1"/>
  <c r="AF61" i="3" s="1"/>
  <c r="AG61" i="3" s="1"/>
  <c r="AI104" i="2"/>
  <c r="AM100" i="2"/>
  <c r="AM244" i="1" s="1"/>
  <c r="AI244" i="1"/>
  <c r="AC46" i="3"/>
  <c r="AD46" i="3"/>
  <c r="AE46" i="3" s="1"/>
  <c r="AF46" i="3" s="1"/>
  <c r="AG46" i="3" s="1"/>
  <c r="AC32" i="3"/>
  <c r="AD32" i="3"/>
  <c r="AE32" i="3" s="1"/>
  <c r="AF32" i="3" s="1"/>
  <c r="AG32" i="3" s="1"/>
  <c r="O104" i="2"/>
  <c r="S100" i="2"/>
  <c r="S244" i="1" s="1"/>
  <c r="O244" i="1"/>
  <c r="X173" i="3"/>
  <c r="K31" i="3"/>
  <c r="M183" i="3"/>
  <c r="N146" i="3"/>
  <c r="N183" i="3" s="1"/>
  <c r="O146" i="3"/>
  <c r="AC144" i="3"/>
  <c r="AD144" i="3"/>
  <c r="AE144" i="3" s="1"/>
  <c r="AF144" i="3" s="1"/>
  <c r="AG144" i="3" s="1"/>
  <c r="AC41" i="3"/>
  <c r="AD41" i="3"/>
  <c r="AE41" i="3" s="1"/>
  <c r="AF41" i="3" s="1"/>
  <c r="AG41" i="3" s="1"/>
  <c r="AS104" i="2"/>
  <c r="AW100" i="2"/>
  <c r="AW244" i="1" s="1"/>
  <c r="AS244" i="1"/>
  <c r="AC49" i="3"/>
  <c r="AD49" i="3"/>
  <c r="AE49" i="3" s="1"/>
  <c r="AF49" i="3" s="1"/>
  <c r="AG49" i="3" s="1"/>
  <c r="AC64" i="3"/>
  <c r="AD64" i="3"/>
  <c r="AE64" i="3" s="1"/>
  <c r="AF64" i="3" s="1"/>
  <c r="AG64" i="3" s="1"/>
  <c r="AC58" i="3"/>
  <c r="AD58" i="3"/>
  <c r="AE58" i="3" s="1"/>
  <c r="AF58" i="3" s="1"/>
  <c r="AG58" i="3" s="1"/>
  <c r="AC23" i="3"/>
  <c r="AD23" i="3"/>
  <c r="AE23" i="3" s="1"/>
  <c r="AF23" i="3" s="1"/>
  <c r="AG23" i="3" s="1"/>
  <c r="AC62" i="3"/>
  <c r="AD62" i="3"/>
  <c r="AE62" i="3" s="1"/>
  <c r="AF62" i="3" s="1"/>
  <c r="AG62" i="3" s="1"/>
  <c r="AF110" i="3"/>
  <c r="J44" i="3"/>
  <c r="K45" i="3"/>
  <c r="Z94" i="3"/>
  <c r="AA94" i="3" s="1"/>
  <c r="AB94" i="3" s="1"/>
  <c r="AD94" i="3" s="1"/>
  <c r="H103" i="3"/>
  <c r="H150" i="3"/>
  <c r="H92" i="3"/>
  <c r="I134" i="3"/>
  <c r="AD104" i="2"/>
  <c r="AH100" i="2"/>
  <c r="AH244" i="1" s="1"/>
  <c r="AD244" i="1"/>
  <c r="J181" i="3"/>
  <c r="K148" i="3"/>
  <c r="J37" i="3"/>
  <c r="K38" i="3"/>
  <c r="AC63" i="3"/>
  <c r="AD63" i="3"/>
  <c r="AE63" i="3" s="1"/>
  <c r="AF63" i="3" s="1"/>
  <c r="AG63" i="3" s="1"/>
  <c r="AC108" i="3"/>
  <c r="AD108" i="3"/>
  <c r="AC76" i="3"/>
  <c r="AD76" i="3"/>
  <c r="AE76" i="3" s="1"/>
  <c r="AF76" i="3" s="1"/>
  <c r="AG76" i="3" s="1"/>
  <c r="X94" i="3"/>
  <c r="AC36" i="3"/>
  <c r="AD36" i="3"/>
  <c r="AE36" i="3" s="1"/>
  <c r="AF36" i="3" s="1"/>
  <c r="AG36" i="3" s="1"/>
  <c r="Z117" i="3"/>
  <c r="AA117" i="3" s="1"/>
  <c r="AB117" i="3" s="1"/>
  <c r="AD117" i="3" s="1"/>
  <c r="AC39" i="3"/>
  <c r="AD39" i="3"/>
  <c r="AE39" i="3" s="1"/>
  <c r="AF39" i="3" s="1"/>
  <c r="AG39" i="3" s="1"/>
  <c r="J134" i="3"/>
  <c r="AB173" i="3"/>
  <c r="AG107" i="3"/>
  <c r="J59" i="3"/>
  <c r="K60" i="3"/>
  <c r="AC28" i="3"/>
  <c r="AD28" i="3"/>
  <c r="AE28" i="3" s="1"/>
  <c r="AF28" i="3" s="1"/>
  <c r="AG28" i="3" s="1"/>
  <c r="AC34" i="3"/>
  <c r="AD34" i="3"/>
  <c r="AE34" i="3" s="1"/>
  <c r="AF34" i="3" s="1"/>
  <c r="AG34" i="3" s="1"/>
  <c r="N65" i="3"/>
  <c r="O65" i="3"/>
  <c r="AC67" i="3"/>
  <c r="AD67" i="3"/>
  <c r="AE67" i="3" s="1"/>
  <c r="AF67" i="3" s="1"/>
  <c r="AG67" i="3" s="1"/>
  <c r="AC57" i="3"/>
  <c r="AD57" i="3"/>
  <c r="AE57" i="3" s="1"/>
  <c r="AF57" i="3" s="1"/>
  <c r="AG57" i="3" s="1"/>
  <c r="AC22" i="3"/>
  <c r="AD22" i="3"/>
  <c r="AE22" i="3" s="1"/>
  <c r="AF22" i="3" s="1"/>
  <c r="AG22" i="3" s="1"/>
  <c r="AC29" i="3"/>
  <c r="AD29" i="3"/>
  <c r="AE29" i="3" s="1"/>
  <c r="AF29" i="3" s="1"/>
  <c r="AG29" i="3" s="1"/>
  <c r="AC48" i="3"/>
  <c r="AD48" i="3"/>
  <c r="AE48" i="3" s="1"/>
  <c r="AF48" i="3" s="1"/>
  <c r="AG48" i="3" s="1"/>
  <c r="N100" i="2"/>
  <c r="N244" i="1" s="1"/>
  <c r="J104" i="2"/>
  <c r="J244" i="1"/>
  <c r="M182" i="3"/>
  <c r="N149" i="3"/>
  <c r="N182" i="3" s="1"/>
  <c r="O149" i="3"/>
  <c r="AC53" i="3"/>
  <c r="AD53" i="3"/>
  <c r="AE53" i="3" s="1"/>
  <c r="AF53" i="3" s="1"/>
  <c r="AG53" i="3" s="1"/>
  <c r="AC75" i="3"/>
  <c r="AD75" i="3"/>
  <c r="AE75" i="3" s="1"/>
  <c r="AF75" i="3" s="1"/>
  <c r="AG75" i="3" s="1"/>
  <c r="F145" i="3"/>
  <c r="G33" i="3"/>
  <c r="F30" i="3"/>
  <c r="AF109" i="3"/>
  <c r="AG110" i="3"/>
  <c r="AC35" i="3"/>
  <c r="AD35" i="3"/>
  <c r="AE35" i="3" s="1"/>
  <c r="AF35" i="3" s="1"/>
  <c r="AG35" i="3" s="1"/>
  <c r="I59" i="3"/>
  <c r="AC21" i="3"/>
  <c r="AD21" i="3"/>
  <c r="AE21" i="3" s="1"/>
  <c r="AF21" i="3" s="1"/>
  <c r="AG21" i="3" s="1"/>
  <c r="K72" i="3"/>
  <c r="M186" i="3"/>
  <c r="N151" i="3"/>
  <c r="N186" i="3" s="1"/>
  <c r="O151" i="3"/>
  <c r="AC47" i="3"/>
  <c r="AD47" i="3"/>
  <c r="AE47" i="3" s="1"/>
  <c r="AF47" i="3" s="1"/>
  <c r="AG47" i="3" s="1"/>
  <c r="F96" i="3"/>
  <c r="E197" i="3"/>
  <c r="E133" i="3"/>
  <c r="M187" i="3"/>
  <c r="N152" i="3"/>
  <c r="O152" i="3"/>
  <c r="AA173" i="3"/>
  <c r="AF107" i="3"/>
  <c r="L95" i="3"/>
  <c r="N95" i="3" s="1"/>
  <c r="L93" i="3"/>
  <c r="E137" i="3"/>
  <c r="E140" i="3"/>
  <c r="E105" i="3"/>
  <c r="K18" i="3"/>
  <c r="AE110" i="3"/>
  <c r="AH57" i="3" l="1"/>
  <c r="AI57" i="3"/>
  <c r="AJ57" i="3" s="1"/>
  <c r="AK57" i="3" s="1"/>
  <c r="AL57" i="3" s="1"/>
  <c r="AH62" i="3"/>
  <c r="AI62" i="3"/>
  <c r="AJ62" i="3" s="1"/>
  <c r="AK62" i="3" s="1"/>
  <c r="AL62" i="3" s="1"/>
  <c r="AS106" i="2"/>
  <c r="AW104" i="2"/>
  <c r="AW245" i="1" s="1"/>
  <c r="AS245" i="1"/>
  <c r="AH61" i="3"/>
  <c r="AI61" i="3"/>
  <c r="AJ61" i="3" s="1"/>
  <c r="AK61" i="3" s="1"/>
  <c r="AL61" i="3" s="1"/>
  <c r="AH52" i="3"/>
  <c r="AI52" i="3"/>
  <c r="AJ52" i="3" s="1"/>
  <c r="AK52" i="3" s="1"/>
  <c r="AL52" i="3" s="1"/>
  <c r="AH66" i="3"/>
  <c r="AI66" i="3"/>
  <c r="AJ66" i="3" s="1"/>
  <c r="AK66" i="3" s="1"/>
  <c r="AL66" i="3" s="1"/>
  <c r="AH68" i="3"/>
  <c r="AI68" i="3"/>
  <c r="AJ68" i="3" s="1"/>
  <c r="AK68" i="3" s="1"/>
  <c r="AL68" i="3" s="1"/>
  <c r="K59" i="3"/>
  <c r="L60" i="3"/>
  <c r="L18" i="3"/>
  <c r="O187" i="3"/>
  <c r="P152" i="3"/>
  <c r="AG173" i="3"/>
  <c r="AL107" i="3"/>
  <c r="AH76" i="3"/>
  <c r="AI76" i="3"/>
  <c r="AJ76" i="3" s="1"/>
  <c r="AK76" i="3" s="1"/>
  <c r="AL76" i="3" s="1"/>
  <c r="AH104" i="2"/>
  <c r="AH245" i="1" s="1"/>
  <c r="AD106" i="2"/>
  <c r="AD245" i="1"/>
  <c r="AH41" i="3"/>
  <c r="AI41" i="3"/>
  <c r="AJ41" i="3" s="1"/>
  <c r="AK41" i="3" s="1"/>
  <c r="AL41" i="3" s="1"/>
  <c r="N24" i="3"/>
  <c r="O93" i="3"/>
  <c r="O24" i="3"/>
  <c r="P25" i="3"/>
  <c r="N187" i="3"/>
  <c r="L72" i="3"/>
  <c r="AK109" i="3"/>
  <c r="AH67" i="3"/>
  <c r="AI67" i="3"/>
  <c r="AJ67" i="3" s="1"/>
  <c r="AK67" i="3" s="1"/>
  <c r="AL67" i="3" s="1"/>
  <c r="AH23" i="3"/>
  <c r="AI23" i="3"/>
  <c r="AJ23" i="3" s="1"/>
  <c r="AK23" i="3" s="1"/>
  <c r="AL23" i="3" s="1"/>
  <c r="AD173" i="3"/>
  <c r="AH107" i="3"/>
  <c r="AH173" i="3" s="1"/>
  <c r="AI107" i="3"/>
  <c r="AL109" i="3"/>
  <c r="AC104" i="2"/>
  <c r="AC245" i="1" s="1"/>
  <c r="Y106" i="2"/>
  <c r="Y245" i="1"/>
  <c r="AH26" i="3"/>
  <c r="AI26" i="3"/>
  <c r="AJ26" i="3" s="1"/>
  <c r="AK26" i="3" s="1"/>
  <c r="AL26" i="3" s="1"/>
  <c r="AH108" i="3"/>
  <c r="AI108" i="3"/>
  <c r="H91" i="3"/>
  <c r="I92" i="3"/>
  <c r="AH144" i="3"/>
  <c r="AI144" i="3"/>
  <c r="AJ144" i="3" s="1"/>
  <c r="AK144" i="3" s="1"/>
  <c r="AL144" i="3" s="1"/>
  <c r="O106" i="2"/>
  <c r="S104" i="2"/>
  <c r="S245" i="1" s="1"/>
  <c r="O245" i="1"/>
  <c r="BC106" i="2"/>
  <c r="BG104" i="2"/>
  <c r="BG245" i="1" s="1"/>
  <c r="BC245" i="1"/>
  <c r="AE173" i="3"/>
  <c r="AJ107" i="3"/>
  <c r="AH110" i="3"/>
  <c r="AI110" i="3"/>
  <c r="AL110" i="3"/>
  <c r="AH21" i="3"/>
  <c r="AI21" i="3"/>
  <c r="AJ21" i="3" s="1"/>
  <c r="AK21" i="3" s="1"/>
  <c r="AL21" i="3" s="1"/>
  <c r="J106" i="2"/>
  <c r="N104" i="2"/>
  <c r="N245" i="1" s="1"/>
  <c r="J245" i="1"/>
  <c r="P65" i="3"/>
  <c r="P100" i="3"/>
  <c r="J103" i="3"/>
  <c r="J150" i="3"/>
  <c r="J92" i="3"/>
  <c r="H190" i="3"/>
  <c r="I150" i="3"/>
  <c r="I190" i="3" s="1"/>
  <c r="AH58" i="3"/>
  <c r="AI58" i="3"/>
  <c r="AJ58" i="3" s="1"/>
  <c r="AK58" i="3" s="1"/>
  <c r="AL58" i="3" s="1"/>
  <c r="AH32" i="3"/>
  <c r="AI32" i="3"/>
  <c r="AJ32" i="3" s="1"/>
  <c r="AK32" i="3" s="1"/>
  <c r="AL32" i="3" s="1"/>
  <c r="AH40" i="3"/>
  <c r="AI40" i="3"/>
  <c r="AJ40" i="3" s="1"/>
  <c r="AK40" i="3" s="1"/>
  <c r="AL40" i="3" s="1"/>
  <c r="AH109" i="3"/>
  <c r="AI109" i="3"/>
  <c r="F196" i="3"/>
  <c r="F195" i="3"/>
  <c r="F177" i="3"/>
  <c r="F130" i="3"/>
  <c r="F42" i="3"/>
  <c r="O100" i="3"/>
  <c r="AH39" i="3"/>
  <c r="AI39" i="3"/>
  <c r="AJ39" i="3" s="1"/>
  <c r="AK39" i="3" s="1"/>
  <c r="AL39" i="3" s="1"/>
  <c r="AH63" i="3"/>
  <c r="AI63" i="3"/>
  <c r="AJ63" i="3" s="1"/>
  <c r="AK63" i="3" s="1"/>
  <c r="AL63" i="3" s="1"/>
  <c r="H102" i="3"/>
  <c r="H104" i="3"/>
  <c r="I104" i="3" s="1"/>
  <c r="I103" i="3"/>
  <c r="O183" i="3"/>
  <c r="P146" i="3"/>
  <c r="AJ110" i="3"/>
  <c r="AI106" i="2"/>
  <c r="AM104" i="2"/>
  <c r="AM245" i="1" s="1"/>
  <c r="AI245" i="1"/>
  <c r="E167" i="3"/>
  <c r="E168" i="3" s="1"/>
  <c r="E164" i="3"/>
  <c r="E139" i="3"/>
  <c r="J99" i="3"/>
  <c r="G145" i="3"/>
  <c r="H33" i="3"/>
  <c r="G30" i="3"/>
  <c r="AH48" i="3"/>
  <c r="AI48" i="3"/>
  <c r="AJ48" i="3" s="1"/>
  <c r="AK48" i="3" s="1"/>
  <c r="AL48" i="3" s="1"/>
  <c r="AE94" i="3"/>
  <c r="AF94" i="3" s="1"/>
  <c r="AG94" i="3" s="1"/>
  <c r="AI94" i="3" s="1"/>
  <c r="AH64" i="3"/>
  <c r="AI64" i="3"/>
  <c r="AJ64" i="3" s="1"/>
  <c r="AK64" i="3" s="1"/>
  <c r="AL64" i="3" s="1"/>
  <c r="M93" i="3"/>
  <c r="N93" i="3" s="1"/>
  <c r="AH73" i="3"/>
  <c r="AI73" i="3"/>
  <c r="AJ73" i="3" s="1"/>
  <c r="AK73" i="3" s="1"/>
  <c r="AL73" i="3" s="1"/>
  <c r="K54" i="3"/>
  <c r="L55" i="3"/>
  <c r="BB104" i="2"/>
  <c r="BB245" i="1" s="1"/>
  <c r="AX106" i="2"/>
  <c r="AX245" i="1"/>
  <c r="F188" i="3"/>
  <c r="F185" i="3"/>
  <c r="AH34" i="3"/>
  <c r="AI34" i="3"/>
  <c r="AJ34" i="3" s="1"/>
  <c r="AK34" i="3" s="1"/>
  <c r="AL34" i="3" s="1"/>
  <c r="AE117" i="3"/>
  <c r="AF117" i="3" s="1"/>
  <c r="AG117" i="3" s="1"/>
  <c r="AI117" i="3" s="1"/>
  <c r="K37" i="3"/>
  <c r="L38" i="3"/>
  <c r="AC94" i="3"/>
  <c r="AH46" i="3"/>
  <c r="AI46" i="3"/>
  <c r="AJ46" i="3" s="1"/>
  <c r="AK46" i="3" s="1"/>
  <c r="AL46" i="3" s="1"/>
  <c r="AN106" i="2"/>
  <c r="AR104" i="2"/>
  <c r="AR245" i="1" s="1"/>
  <c r="AN245" i="1"/>
  <c r="K98" i="3"/>
  <c r="O19" i="3"/>
  <c r="P20" i="3"/>
  <c r="T106" i="2"/>
  <c r="X104" i="2"/>
  <c r="X245" i="1" s="1"/>
  <c r="T245" i="1"/>
  <c r="O182" i="3"/>
  <c r="P149" i="3"/>
  <c r="AH35" i="3"/>
  <c r="AI35" i="3"/>
  <c r="AJ35" i="3" s="1"/>
  <c r="AK35" i="3" s="1"/>
  <c r="AL35" i="3" s="1"/>
  <c r="AH75" i="3"/>
  <c r="AI75" i="3"/>
  <c r="AJ75" i="3" s="1"/>
  <c r="AK75" i="3" s="1"/>
  <c r="AL75" i="3" s="1"/>
  <c r="AH29" i="3"/>
  <c r="AI29" i="3"/>
  <c r="AJ29" i="3" s="1"/>
  <c r="AK29" i="3" s="1"/>
  <c r="AL29" i="3" s="1"/>
  <c r="AC117" i="3"/>
  <c r="K44" i="3"/>
  <c r="L45" i="3"/>
  <c r="AH49" i="3"/>
  <c r="AI49" i="3"/>
  <c r="AJ49" i="3" s="1"/>
  <c r="AK49" i="3" s="1"/>
  <c r="AL49" i="3" s="1"/>
  <c r="L31" i="3"/>
  <c r="AH56" i="3"/>
  <c r="AI56" i="3"/>
  <c r="AJ56" i="3" s="1"/>
  <c r="AK56" i="3" s="1"/>
  <c r="AL56" i="3" s="1"/>
  <c r="AJ109" i="3"/>
  <c r="O186" i="3"/>
  <c r="P151" i="3"/>
  <c r="E115" i="3"/>
  <c r="E111" i="3"/>
  <c r="E118" i="3"/>
  <c r="E171" i="3"/>
  <c r="E172" i="3"/>
  <c r="F101" i="3"/>
  <c r="AH47" i="3"/>
  <c r="AI47" i="3"/>
  <c r="AJ47" i="3" s="1"/>
  <c r="AK47" i="3" s="1"/>
  <c r="AL47" i="3" s="1"/>
  <c r="AH28" i="3"/>
  <c r="AI28" i="3"/>
  <c r="AJ28" i="3" s="1"/>
  <c r="AK28" i="3" s="1"/>
  <c r="AL28" i="3" s="1"/>
  <c r="K181" i="3"/>
  <c r="L148" i="3"/>
  <c r="N19" i="3"/>
  <c r="O95" i="3"/>
  <c r="AF173" i="3"/>
  <c r="AK107" i="3"/>
  <c r="AH53" i="3"/>
  <c r="AI53" i="3"/>
  <c r="AJ53" i="3" s="1"/>
  <c r="AK53" i="3" s="1"/>
  <c r="AL53" i="3" s="1"/>
  <c r="AH22" i="3"/>
  <c r="AI22" i="3"/>
  <c r="AJ22" i="3" s="1"/>
  <c r="AK22" i="3" s="1"/>
  <c r="AL22" i="3" s="1"/>
  <c r="AH36" i="3"/>
  <c r="AI36" i="3"/>
  <c r="AJ36" i="3" s="1"/>
  <c r="AK36" i="3" s="1"/>
  <c r="AL36" i="3" s="1"/>
  <c r="AK110" i="3"/>
  <c r="K134" i="3"/>
  <c r="AH27" i="3"/>
  <c r="AI27" i="3"/>
  <c r="AJ27" i="3" s="1"/>
  <c r="AK27" i="3" s="1"/>
  <c r="AL27" i="3" s="1"/>
  <c r="E106" i="2"/>
  <c r="I104" i="2"/>
  <c r="I245" i="1" s="1"/>
  <c r="E245" i="1"/>
  <c r="O184" i="3"/>
  <c r="P147" i="3"/>
  <c r="J98" i="3"/>
  <c r="AM52" i="3" l="1"/>
  <c r="AN52" i="3"/>
  <c r="AO52" i="3" s="1"/>
  <c r="AP52" i="3" s="1"/>
  <c r="AQ52" i="3" s="1"/>
  <c r="K92" i="3"/>
  <c r="K150" i="3"/>
  <c r="K190" i="3" s="1"/>
  <c r="K103" i="3"/>
  <c r="P19" i="3"/>
  <c r="Q20" i="3"/>
  <c r="AH117" i="3"/>
  <c r="E166" i="3"/>
  <c r="AM21" i="3"/>
  <c r="AN21" i="3"/>
  <c r="AO21" i="3" s="1"/>
  <c r="AP21" i="3" s="1"/>
  <c r="AQ21" i="3" s="1"/>
  <c r="AM73" i="3"/>
  <c r="AN73" i="3"/>
  <c r="AO73" i="3" s="1"/>
  <c r="AP73" i="3" s="1"/>
  <c r="AQ73" i="3" s="1"/>
  <c r="P183" i="3"/>
  <c r="Q146" i="3"/>
  <c r="AP110" i="3"/>
  <c r="AM56" i="3"/>
  <c r="AN56" i="3"/>
  <c r="AO56" i="3" s="1"/>
  <c r="AP56" i="3" s="1"/>
  <c r="AQ56" i="3" s="1"/>
  <c r="AM75" i="3"/>
  <c r="AN75" i="3"/>
  <c r="AO75" i="3" s="1"/>
  <c r="AP75" i="3" s="1"/>
  <c r="AQ75" i="3" s="1"/>
  <c r="AM26" i="3"/>
  <c r="AN26" i="3"/>
  <c r="AO26" i="3" s="1"/>
  <c r="AP26" i="3" s="1"/>
  <c r="AQ26" i="3" s="1"/>
  <c r="AM23" i="3"/>
  <c r="AN23" i="3"/>
  <c r="AO23" i="3" s="1"/>
  <c r="AP23" i="3" s="1"/>
  <c r="AQ23" i="3" s="1"/>
  <c r="P187" i="3"/>
  <c r="Q152" i="3"/>
  <c r="AM61" i="3"/>
  <c r="AN61" i="3"/>
  <c r="AO61" i="3" s="1"/>
  <c r="AP61" i="3" s="1"/>
  <c r="AQ61" i="3" s="1"/>
  <c r="AM47" i="3"/>
  <c r="AN47" i="3"/>
  <c r="AO47" i="3" s="1"/>
  <c r="AP47" i="3" s="1"/>
  <c r="AQ47" i="3" s="1"/>
  <c r="F137" i="3"/>
  <c r="F140" i="3"/>
  <c r="F105" i="3"/>
  <c r="AM34" i="3"/>
  <c r="AN34" i="3"/>
  <c r="AO34" i="3" s="1"/>
  <c r="AP34" i="3" s="1"/>
  <c r="AQ34" i="3" s="1"/>
  <c r="AM64" i="3"/>
  <c r="AN64" i="3"/>
  <c r="AO64" i="3" s="1"/>
  <c r="AP64" i="3" s="1"/>
  <c r="AQ64" i="3" s="1"/>
  <c r="BG106" i="2"/>
  <c r="BG247" i="1" s="1"/>
  <c r="BC247" i="1"/>
  <c r="X106" i="2"/>
  <c r="X247" i="1" s="1"/>
  <c r="T247" i="1"/>
  <c r="P24" i="3"/>
  <c r="Q25" i="3"/>
  <c r="M31" i="3"/>
  <c r="AM35" i="3"/>
  <c r="AN35" i="3"/>
  <c r="AO35" i="3" s="1"/>
  <c r="AP35" i="3" s="1"/>
  <c r="AQ35" i="3" s="1"/>
  <c r="H189" i="3"/>
  <c r="I102" i="3"/>
  <c r="I189" i="3" s="1"/>
  <c r="AM109" i="3"/>
  <c r="AN109" i="3"/>
  <c r="J91" i="3"/>
  <c r="AM67" i="3"/>
  <c r="AN67" i="3"/>
  <c r="AO67" i="3" s="1"/>
  <c r="AP67" i="3" s="1"/>
  <c r="AQ67" i="3" s="1"/>
  <c r="AM41" i="3"/>
  <c r="AN41" i="3"/>
  <c r="AO41" i="3" s="1"/>
  <c r="AP41" i="3" s="1"/>
  <c r="AQ41" i="3" s="1"/>
  <c r="M18" i="3"/>
  <c r="AJ94" i="3"/>
  <c r="AK94" i="3" s="1"/>
  <c r="AL94" i="3" s="1"/>
  <c r="AN94" i="3" s="1"/>
  <c r="AM63" i="3"/>
  <c r="AN63" i="3"/>
  <c r="AO63" i="3" s="1"/>
  <c r="AP63" i="3" s="1"/>
  <c r="AQ63" i="3" s="1"/>
  <c r="J190" i="3"/>
  <c r="AQ110" i="3"/>
  <c r="AC106" i="2"/>
  <c r="AC247" i="1" s="1"/>
  <c r="Y247" i="1"/>
  <c r="AM117" i="3"/>
  <c r="AJ117" i="3"/>
  <c r="AK117" i="3" s="1"/>
  <c r="AL117" i="3" s="1"/>
  <c r="AN117" i="3" s="1"/>
  <c r="AM22" i="3"/>
  <c r="AN22" i="3"/>
  <c r="AO22" i="3" s="1"/>
  <c r="AP22" i="3" s="1"/>
  <c r="AQ22" i="3" s="1"/>
  <c r="E106" i="3"/>
  <c r="L134" i="3"/>
  <c r="AR106" i="2"/>
  <c r="AR247" i="1" s="1"/>
  <c r="AN247" i="1"/>
  <c r="AH94" i="3"/>
  <c r="J104" i="3"/>
  <c r="J102" i="3" s="1"/>
  <c r="S106" i="2"/>
  <c r="S247" i="1" s="1"/>
  <c r="O247" i="1"/>
  <c r="AP109" i="3"/>
  <c r="L59" i="3"/>
  <c r="M60" i="3"/>
  <c r="AW106" i="2"/>
  <c r="AW247" i="1" s="1"/>
  <c r="AS247" i="1"/>
  <c r="E141" i="3"/>
  <c r="AM48" i="3"/>
  <c r="AN48" i="3"/>
  <c r="AO48" i="3" s="1"/>
  <c r="AP48" i="3" s="1"/>
  <c r="AQ48" i="3" s="1"/>
  <c r="AM39" i="3"/>
  <c r="AN39" i="3"/>
  <c r="AO39" i="3" s="1"/>
  <c r="AP39" i="3" s="1"/>
  <c r="AQ39" i="3" s="1"/>
  <c r="AM110" i="3"/>
  <c r="AN110" i="3"/>
  <c r="AM144" i="3"/>
  <c r="AN144" i="3"/>
  <c r="AO144" i="3" s="1"/>
  <c r="AP144" i="3" s="1"/>
  <c r="AQ144" i="3" s="1"/>
  <c r="AQ109" i="3"/>
  <c r="AH106" i="2"/>
  <c r="AH247" i="1" s="1"/>
  <c r="AD247" i="1"/>
  <c r="AM62" i="3"/>
  <c r="AN62" i="3"/>
  <c r="AO62" i="3" s="1"/>
  <c r="AP62" i="3" s="1"/>
  <c r="AQ62" i="3" s="1"/>
  <c r="AM29" i="3"/>
  <c r="AN29" i="3"/>
  <c r="AO29" i="3" s="1"/>
  <c r="AP29" i="3" s="1"/>
  <c r="AQ29" i="3" s="1"/>
  <c r="AM53" i="3"/>
  <c r="AN53" i="3"/>
  <c r="AO53" i="3" s="1"/>
  <c r="AP53" i="3" s="1"/>
  <c r="AQ53" i="3" s="1"/>
  <c r="L181" i="3"/>
  <c r="M148" i="3"/>
  <c r="P182" i="3"/>
  <c r="Q149" i="3"/>
  <c r="BB106" i="2"/>
  <c r="BB247" i="1" s="1"/>
  <c r="AX247" i="1"/>
  <c r="AM106" i="2"/>
  <c r="AM247" i="1" s="1"/>
  <c r="AI247" i="1"/>
  <c r="AM40" i="3"/>
  <c r="AN40" i="3"/>
  <c r="AO40" i="3" s="1"/>
  <c r="AP40" i="3" s="1"/>
  <c r="AQ40" i="3" s="1"/>
  <c r="AM68" i="3"/>
  <c r="AN68" i="3"/>
  <c r="AO68" i="3" s="1"/>
  <c r="AP68" i="3" s="1"/>
  <c r="AQ68" i="3" s="1"/>
  <c r="N106" i="2"/>
  <c r="N247" i="1" s="1"/>
  <c r="J247" i="1"/>
  <c r="AM46" i="3"/>
  <c r="AN46" i="3"/>
  <c r="AO46" i="3" s="1"/>
  <c r="AP46" i="3" s="1"/>
  <c r="AQ46" i="3" s="1"/>
  <c r="P186" i="3"/>
  <c r="Q151" i="3"/>
  <c r="L44" i="3"/>
  <c r="M45" i="3"/>
  <c r="G196" i="3"/>
  <c r="G195" i="3"/>
  <c r="G177" i="3"/>
  <c r="G130" i="3"/>
  <c r="G42" i="3"/>
  <c r="AO110" i="3"/>
  <c r="Q65" i="3"/>
  <c r="M72" i="3"/>
  <c r="AM76" i="3"/>
  <c r="AN76" i="3"/>
  <c r="AO76" i="3" s="1"/>
  <c r="AP76" i="3" s="1"/>
  <c r="AQ76" i="3" s="1"/>
  <c r="K99" i="3"/>
  <c r="AM58" i="3"/>
  <c r="AN58" i="3"/>
  <c r="AO58" i="3" s="1"/>
  <c r="AP58" i="3" s="1"/>
  <c r="AQ58" i="3" s="1"/>
  <c r="AM36" i="3"/>
  <c r="AN36" i="3"/>
  <c r="AO36" i="3" s="1"/>
  <c r="AP36" i="3" s="1"/>
  <c r="AQ36" i="3" s="1"/>
  <c r="AM49" i="3"/>
  <c r="AN49" i="3"/>
  <c r="AO49" i="3" s="1"/>
  <c r="AP49" i="3" s="1"/>
  <c r="AQ49" i="3" s="1"/>
  <c r="I106" i="2"/>
  <c r="I247" i="1" s="1"/>
  <c r="E247" i="1"/>
  <c r="AM28" i="3"/>
  <c r="AN28" i="3"/>
  <c r="AO28" i="3" s="1"/>
  <c r="AP28" i="3" s="1"/>
  <c r="AQ28" i="3" s="1"/>
  <c r="L37" i="3"/>
  <c r="M38" i="3"/>
  <c r="L54" i="3"/>
  <c r="M55" i="3"/>
  <c r="H145" i="3"/>
  <c r="I33" i="3"/>
  <c r="J33" i="3"/>
  <c r="H30" i="3"/>
  <c r="G135" i="3"/>
  <c r="F155" i="3"/>
  <c r="F135" i="3"/>
  <c r="AM32" i="3"/>
  <c r="AN32" i="3"/>
  <c r="AO32" i="3" s="1"/>
  <c r="AP32" i="3" s="1"/>
  <c r="AQ32" i="3" s="1"/>
  <c r="AJ173" i="3"/>
  <c r="AO107" i="3"/>
  <c r="AI173" i="3"/>
  <c r="AM107" i="3"/>
  <c r="AM173" i="3" s="1"/>
  <c r="AN107" i="3"/>
  <c r="AM66" i="3"/>
  <c r="AN66" i="3"/>
  <c r="AO66" i="3" s="1"/>
  <c r="AP66" i="3" s="1"/>
  <c r="AQ66" i="3" s="1"/>
  <c r="AM57" i="3"/>
  <c r="AN57" i="3"/>
  <c r="AO57" i="3" s="1"/>
  <c r="AP57" i="3" s="1"/>
  <c r="AQ57" i="3" s="1"/>
  <c r="AM108" i="3"/>
  <c r="AN108" i="3"/>
  <c r="P184" i="3"/>
  <c r="Q147" i="3"/>
  <c r="AK173" i="3"/>
  <c r="AP107" i="3"/>
  <c r="AM27" i="3"/>
  <c r="AN27" i="3"/>
  <c r="AO27" i="3" s="1"/>
  <c r="AP27" i="3" s="1"/>
  <c r="AQ27" i="3" s="1"/>
  <c r="AO109" i="3"/>
  <c r="L98" i="3"/>
  <c r="G185" i="3"/>
  <c r="G188" i="3"/>
  <c r="F131" i="3"/>
  <c r="I91" i="3"/>
  <c r="AL173" i="3"/>
  <c r="AQ107" i="3"/>
  <c r="J189" i="3" l="1"/>
  <c r="M181" i="3"/>
  <c r="N148" i="3"/>
  <c r="N181" i="3" s="1"/>
  <c r="O148" i="3"/>
  <c r="AR68" i="3"/>
  <c r="AS68" i="3"/>
  <c r="AT68" i="3" s="1"/>
  <c r="AU68" i="3" s="1"/>
  <c r="AV68" i="3" s="1"/>
  <c r="N18" i="3"/>
  <c r="O18" i="3"/>
  <c r="AR75" i="3"/>
  <c r="AS75" i="3"/>
  <c r="AT75" i="3" s="1"/>
  <c r="AU75" i="3" s="1"/>
  <c r="AV75" i="3" s="1"/>
  <c r="AR53" i="3"/>
  <c r="AS53" i="3"/>
  <c r="AT53" i="3" s="1"/>
  <c r="AU53" i="3" s="1"/>
  <c r="AV53" i="3" s="1"/>
  <c r="AR144" i="3"/>
  <c r="AS144" i="3"/>
  <c r="AT144" i="3" s="1"/>
  <c r="AU144" i="3" s="1"/>
  <c r="AV144" i="3" s="1"/>
  <c r="AR61" i="3"/>
  <c r="AS61" i="3"/>
  <c r="AT61" i="3" s="1"/>
  <c r="AU61" i="3" s="1"/>
  <c r="AV61" i="3" s="1"/>
  <c r="AR28" i="3"/>
  <c r="AS28" i="3"/>
  <c r="AT28" i="3" s="1"/>
  <c r="AU28" i="3" s="1"/>
  <c r="AV28" i="3" s="1"/>
  <c r="AV110" i="3"/>
  <c r="AR41" i="3"/>
  <c r="AS41" i="3"/>
  <c r="AT41" i="3" s="1"/>
  <c r="AU41" i="3" s="1"/>
  <c r="AV41" i="3" s="1"/>
  <c r="AR64" i="3"/>
  <c r="AS64" i="3"/>
  <c r="AT64" i="3" s="1"/>
  <c r="AU64" i="3" s="1"/>
  <c r="AV64" i="3" s="1"/>
  <c r="AR56" i="3"/>
  <c r="AS56" i="3"/>
  <c r="AT56" i="3" s="1"/>
  <c r="AU56" i="3" s="1"/>
  <c r="AV56" i="3" s="1"/>
  <c r="H131" i="3"/>
  <c r="AR76" i="3"/>
  <c r="AS76" i="3"/>
  <c r="AT76" i="3" s="1"/>
  <c r="AU76" i="3" s="1"/>
  <c r="AV76" i="3" s="1"/>
  <c r="H195" i="3"/>
  <c r="H196" i="3"/>
  <c r="H177" i="3"/>
  <c r="I30" i="3"/>
  <c r="H130" i="3"/>
  <c r="H42" i="3"/>
  <c r="N72" i="3"/>
  <c r="O72" i="3"/>
  <c r="M44" i="3"/>
  <c r="N45" i="3"/>
  <c r="O45" i="3"/>
  <c r="AR40" i="3"/>
  <c r="AS40" i="3"/>
  <c r="AT40" i="3" s="1"/>
  <c r="AU40" i="3" s="1"/>
  <c r="AV40" i="3" s="1"/>
  <c r="AR29" i="3"/>
  <c r="AS29" i="3"/>
  <c r="AT29" i="3" s="1"/>
  <c r="AU29" i="3" s="1"/>
  <c r="AV29" i="3" s="1"/>
  <c r="AR110" i="3"/>
  <c r="AS110" i="3"/>
  <c r="AR35" i="3"/>
  <c r="AS35" i="3"/>
  <c r="AT35" i="3" s="1"/>
  <c r="AU35" i="3" s="1"/>
  <c r="AV35" i="3" s="1"/>
  <c r="Q187" i="3"/>
  <c r="R152" i="3"/>
  <c r="G131" i="3"/>
  <c r="M59" i="3"/>
  <c r="N60" i="3"/>
  <c r="O60" i="3"/>
  <c r="AR67" i="3"/>
  <c r="AS67" i="3"/>
  <c r="AT67" i="3" s="1"/>
  <c r="AU67" i="3" s="1"/>
  <c r="AV67" i="3" s="1"/>
  <c r="AR34" i="3"/>
  <c r="AS34" i="3"/>
  <c r="AT34" i="3" s="1"/>
  <c r="AU34" i="3" s="1"/>
  <c r="AV34" i="3" s="1"/>
  <c r="AU110" i="3"/>
  <c r="Q19" i="3"/>
  <c r="R20" i="3"/>
  <c r="R100" i="3"/>
  <c r="R65" i="3"/>
  <c r="Q186" i="3"/>
  <c r="R151" i="3"/>
  <c r="AR62" i="3"/>
  <c r="AS62" i="3"/>
  <c r="AT62" i="3" s="1"/>
  <c r="AU62" i="3" s="1"/>
  <c r="AV62" i="3" s="1"/>
  <c r="M99" i="3"/>
  <c r="L150" i="3"/>
  <c r="L92" i="3"/>
  <c r="L103" i="3"/>
  <c r="O134" i="3"/>
  <c r="N31" i="3"/>
  <c r="O31" i="3"/>
  <c r="AR47" i="3"/>
  <c r="AS47" i="3"/>
  <c r="AT47" i="3" s="1"/>
  <c r="AU47" i="3" s="1"/>
  <c r="AV47" i="3" s="1"/>
  <c r="I131" i="3"/>
  <c r="H185" i="3"/>
  <c r="H188" i="3"/>
  <c r="I145" i="3"/>
  <c r="AR49" i="3"/>
  <c r="AS49" i="3"/>
  <c r="AT49" i="3" s="1"/>
  <c r="AU49" i="3" s="1"/>
  <c r="AV49" i="3" s="1"/>
  <c r="Q100" i="3"/>
  <c r="AU109" i="3"/>
  <c r="E119" i="3"/>
  <c r="AR23" i="3"/>
  <c r="AS23" i="3"/>
  <c r="AT23" i="3" s="1"/>
  <c r="AU23" i="3" s="1"/>
  <c r="AV23" i="3" s="1"/>
  <c r="Q183" i="3"/>
  <c r="R146" i="3"/>
  <c r="K102" i="3"/>
  <c r="K189" i="3" s="1"/>
  <c r="K104" i="3"/>
  <c r="AR21" i="3"/>
  <c r="AS21" i="3"/>
  <c r="AT21" i="3" s="1"/>
  <c r="AU21" i="3" s="1"/>
  <c r="AV21" i="3" s="1"/>
  <c r="AR32" i="3"/>
  <c r="AS32" i="3"/>
  <c r="AT32" i="3" s="1"/>
  <c r="AU32" i="3" s="1"/>
  <c r="AV32" i="3" s="1"/>
  <c r="M54" i="3"/>
  <c r="N55" i="3"/>
  <c r="O55" i="3"/>
  <c r="AR46" i="3"/>
  <c r="AS46" i="3"/>
  <c r="AT46" i="3" s="1"/>
  <c r="AU46" i="3" s="1"/>
  <c r="AV46" i="3" s="1"/>
  <c r="L99" i="3"/>
  <c r="N99" i="3" s="1"/>
  <c r="AR39" i="3"/>
  <c r="AS39" i="3"/>
  <c r="AT39" i="3" s="1"/>
  <c r="AU39" i="3" s="1"/>
  <c r="AV39" i="3" s="1"/>
  <c r="AR63" i="3"/>
  <c r="AS63" i="3"/>
  <c r="AT63" i="3" s="1"/>
  <c r="AU63" i="3" s="1"/>
  <c r="AV63" i="3" s="1"/>
  <c r="M134" i="3"/>
  <c r="F157" i="3"/>
  <c r="F159" i="3" s="1"/>
  <c r="F193" i="3" s="1"/>
  <c r="F156" i="3"/>
  <c r="F158" i="3" s="1"/>
  <c r="F192" i="3" s="1"/>
  <c r="AN173" i="3"/>
  <c r="AR107" i="3"/>
  <c r="AS107" i="3"/>
  <c r="Q184" i="3"/>
  <c r="R147" i="3"/>
  <c r="AT109" i="3"/>
  <c r="AR57" i="3"/>
  <c r="AS57" i="3"/>
  <c r="AT57" i="3" s="1"/>
  <c r="AU57" i="3" s="1"/>
  <c r="AV57" i="3" s="1"/>
  <c r="M98" i="3"/>
  <c r="N98" i="3" s="1"/>
  <c r="AR36" i="3"/>
  <c r="AS36" i="3"/>
  <c r="AT36" i="3" s="1"/>
  <c r="AU36" i="3" s="1"/>
  <c r="AV36" i="3" s="1"/>
  <c r="AT110" i="3"/>
  <c r="AR22" i="3"/>
  <c r="AS22" i="3"/>
  <c r="AT22" i="3" s="1"/>
  <c r="AU22" i="3" s="1"/>
  <c r="AV22" i="3" s="1"/>
  <c r="Q24" i="3"/>
  <c r="R25" i="3"/>
  <c r="F111" i="3"/>
  <c r="F115" i="3"/>
  <c r="F118" i="3"/>
  <c r="F171" i="3"/>
  <c r="F172" i="3"/>
  <c r="AR26" i="3"/>
  <c r="AS26" i="3"/>
  <c r="AT26" i="3" s="1"/>
  <c r="AU26" i="3" s="1"/>
  <c r="AV26" i="3" s="1"/>
  <c r="AR73" i="3"/>
  <c r="AS73" i="3"/>
  <c r="AT73" i="3" s="1"/>
  <c r="AU73" i="3" s="1"/>
  <c r="AV73" i="3" s="1"/>
  <c r="K91" i="3"/>
  <c r="AO173" i="3"/>
  <c r="AT107" i="3"/>
  <c r="AR108" i="3"/>
  <c r="AS108" i="3"/>
  <c r="I135" i="3"/>
  <c r="M37" i="3"/>
  <c r="N37" i="3" s="1"/>
  <c r="N38" i="3"/>
  <c r="O38" i="3"/>
  <c r="Q182" i="3"/>
  <c r="R149" i="3"/>
  <c r="AR48" i="3"/>
  <c r="AS48" i="3"/>
  <c r="AT48" i="3" s="1"/>
  <c r="AU48" i="3" s="1"/>
  <c r="AV48" i="3" s="1"/>
  <c r="AO94" i="3"/>
  <c r="AP94" i="3" s="1"/>
  <c r="AQ94" i="3" s="1"/>
  <c r="AS94" i="3" s="1"/>
  <c r="AR109" i="3"/>
  <c r="AS109" i="3"/>
  <c r="Q93" i="3"/>
  <c r="F164" i="3"/>
  <c r="F139" i="3"/>
  <c r="AR52" i="3"/>
  <c r="AS52" i="3"/>
  <c r="AT52" i="3" s="1"/>
  <c r="AU52" i="3" s="1"/>
  <c r="AV52" i="3" s="1"/>
  <c r="AR27" i="3"/>
  <c r="AS27" i="3"/>
  <c r="AT27" i="3" s="1"/>
  <c r="AU27" i="3" s="1"/>
  <c r="AV27" i="3" s="1"/>
  <c r="E170" i="3"/>
  <c r="AP173" i="3"/>
  <c r="AU107" i="3"/>
  <c r="J145" i="3"/>
  <c r="K33" i="3"/>
  <c r="J30" i="3"/>
  <c r="AQ173" i="3"/>
  <c r="AV107" i="3"/>
  <c r="AR66" i="3"/>
  <c r="AS66" i="3"/>
  <c r="AT66" i="3" s="1"/>
  <c r="AU66" i="3" s="1"/>
  <c r="AV66" i="3" s="1"/>
  <c r="AR58" i="3"/>
  <c r="AS58" i="3"/>
  <c r="AT58" i="3" s="1"/>
  <c r="AU58" i="3" s="1"/>
  <c r="AV58" i="3" s="1"/>
  <c r="H135" i="3"/>
  <c r="G155" i="3"/>
  <c r="AV109" i="3"/>
  <c r="AO117" i="3"/>
  <c r="AP117" i="3" s="1"/>
  <c r="AQ117" i="3" s="1"/>
  <c r="AS117" i="3" s="1"/>
  <c r="AM94" i="3"/>
  <c r="P95" i="3"/>
  <c r="P93" i="3"/>
  <c r="AW58" i="3" l="1"/>
  <c r="AX58" i="3"/>
  <c r="AY58" i="3" s="1"/>
  <c r="AZ58" i="3" s="1"/>
  <c r="BA58" i="3" s="1"/>
  <c r="AY110" i="3"/>
  <c r="AS173" i="3"/>
  <c r="AW107" i="3"/>
  <c r="AX107" i="3"/>
  <c r="AW39" i="3"/>
  <c r="AX39" i="3"/>
  <c r="AY39" i="3" s="1"/>
  <c r="AZ39" i="3" s="1"/>
  <c r="BA39" i="3" s="1"/>
  <c r="AW49" i="3"/>
  <c r="AX49" i="3"/>
  <c r="AY49" i="3" s="1"/>
  <c r="AZ49" i="3" s="1"/>
  <c r="BA49" i="3" s="1"/>
  <c r="S20" i="3"/>
  <c r="R19" i="3"/>
  <c r="T20" i="3"/>
  <c r="BA110" i="3"/>
  <c r="P18" i="3"/>
  <c r="AW108" i="3"/>
  <c r="AX108" i="3"/>
  <c r="O92" i="3"/>
  <c r="O103" i="3"/>
  <c r="O150" i="3"/>
  <c r="R95" i="3"/>
  <c r="AW40" i="3"/>
  <c r="AX40" i="3"/>
  <c r="AY40" i="3" s="1"/>
  <c r="AZ40" i="3" s="1"/>
  <c r="BA40" i="3" s="1"/>
  <c r="AT117" i="3"/>
  <c r="AU117" i="3" s="1"/>
  <c r="AV117" i="3" s="1"/>
  <c r="AX117" i="3" s="1"/>
  <c r="AW66" i="3"/>
  <c r="AX66" i="3"/>
  <c r="AY66" i="3" s="1"/>
  <c r="AZ66" i="3" s="1"/>
  <c r="BA66" i="3" s="1"/>
  <c r="AW36" i="3"/>
  <c r="AX36" i="3"/>
  <c r="AY36" i="3" s="1"/>
  <c r="AZ36" i="3" s="1"/>
  <c r="BA36" i="3" s="1"/>
  <c r="AR173" i="3"/>
  <c r="R183" i="3"/>
  <c r="S146" i="3"/>
  <c r="S183" i="3" s="1"/>
  <c r="T146" i="3"/>
  <c r="I185" i="3"/>
  <c r="I188" i="3"/>
  <c r="L104" i="3"/>
  <c r="AZ110" i="3"/>
  <c r="AW28" i="3"/>
  <c r="AX28" i="3"/>
  <c r="AY28" i="3" s="1"/>
  <c r="AZ28" i="3" s="1"/>
  <c r="BA28" i="3" s="1"/>
  <c r="I195" i="3"/>
  <c r="AR117" i="3"/>
  <c r="AW27" i="3"/>
  <c r="AX27" i="3"/>
  <c r="AY27" i="3" s="1"/>
  <c r="AZ27" i="3" s="1"/>
  <c r="BA27" i="3" s="1"/>
  <c r="AT94" i="3"/>
  <c r="AU94" i="3" s="1"/>
  <c r="AV94" i="3" s="1"/>
  <c r="AX94" i="3" s="1"/>
  <c r="AT173" i="3"/>
  <c r="AY107" i="3"/>
  <c r="AW46" i="3"/>
  <c r="AX46" i="3"/>
  <c r="AY46" i="3" s="1"/>
  <c r="AZ46" i="3" s="1"/>
  <c r="BA46" i="3" s="1"/>
  <c r="L91" i="3"/>
  <c r="O44" i="3"/>
  <c r="P45" i="3"/>
  <c r="AW76" i="3"/>
  <c r="AX76" i="3"/>
  <c r="AY76" i="3" s="1"/>
  <c r="AZ76" i="3" s="1"/>
  <c r="BA76" i="3" s="1"/>
  <c r="AW68" i="3"/>
  <c r="AX68" i="3"/>
  <c r="AY68" i="3" s="1"/>
  <c r="AZ68" i="3" s="1"/>
  <c r="BA68" i="3" s="1"/>
  <c r="AR94" i="3"/>
  <c r="F141" i="3"/>
  <c r="AW23" i="3"/>
  <c r="AX23" i="3"/>
  <c r="AY23" i="3" s="1"/>
  <c r="AZ23" i="3" s="1"/>
  <c r="BA23" i="3" s="1"/>
  <c r="L190" i="3"/>
  <c r="AW34" i="3"/>
  <c r="AX34" i="3"/>
  <c r="AY34" i="3" s="1"/>
  <c r="AZ34" i="3" s="1"/>
  <c r="BA34" i="3" s="1"/>
  <c r="R187" i="3"/>
  <c r="S152" i="3"/>
  <c r="S187" i="3" s="1"/>
  <c r="T152" i="3"/>
  <c r="AW61" i="3"/>
  <c r="AX61" i="3"/>
  <c r="AY61" i="3" s="1"/>
  <c r="AZ61" i="3" s="1"/>
  <c r="BA61" i="3" s="1"/>
  <c r="O54" i="3"/>
  <c r="P55" i="3"/>
  <c r="N44" i="3"/>
  <c r="O181" i="3"/>
  <c r="P148" i="3"/>
  <c r="AW48" i="3"/>
  <c r="AX48" i="3"/>
  <c r="AY48" i="3" s="1"/>
  <c r="AZ48" i="3" s="1"/>
  <c r="BA48" i="3" s="1"/>
  <c r="E121" i="3"/>
  <c r="AW47" i="3"/>
  <c r="AX47" i="3"/>
  <c r="AY47" i="3" s="1"/>
  <c r="AZ47" i="3" s="1"/>
  <c r="BA47" i="3" s="1"/>
  <c r="AW62" i="3"/>
  <c r="AX62" i="3"/>
  <c r="AY62" i="3" s="1"/>
  <c r="AZ62" i="3" s="1"/>
  <c r="BA62" i="3" s="1"/>
  <c r="AW67" i="3"/>
  <c r="AX67" i="3"/>
  <c r="AY67" i="3" s="1"/>
  <c r="AZ67" i="3" s="1"/>
  <c r="BA67" i="3" s="1"/>
  <c r="AW35" i="3"/>
  <c r="AX35" i="3"/>
  <c r="AY35" i="3" s="1"/>
  <c r="AZ35" i="3" s="1"/>
  <c r="BA35" i="3" s="1"/>
  <c r="P72" i="3"/>
  <c r="AW56" i="3"/>
  <c r="AX56" i="3"/>
  <c r="AY56" i="3" s="1"/>
  <c r="AZ56" i="3" s="1"/>
  <c r="BA56" i="3" s="1"/>
  <c r="AW144" i="3"/>
  <c r="AX144" i="3"/>
  <c r="AY144" i="3" s="1"/>
  <c r="AZ144" i="3" s="1"/>
  <c r="BA144" i="3" s="1"/>
  <c r="S100" i="3"/>
  <c r="AW57" i="3"/>
  <c r="AX57" i="3"/>
  <c r="AY57" i="3" s="1"/>
  <c r="AZ57" i="3" s="1"/>
  <c r="BA57" i="3" s="1"/>
  <c r="G157" i="3"/>
  <c r="G159" i="3" s="1"/>
  <c r="G193" i="3" s="1"/>
  <c r="G156" i="3"/>
  <c r="G158" i="3" s="1"/>
  <c r="G192" i="3" s="1"/>
  <c r="J196" i="3"/>
  <c r="J177" i="3"/>
  <c r="J195" i="3"/>
  <c r="J178" i="3"/>
  <c r="J130" i="3"/>
  <c r="J42" i="3"/>
  <c r="S149" i="3"/>
  <c r="S182" i="3" s="1"/>
  <c r="R182" i="3"/>
  <c r="T149" i="3"/>
  <c r="R93" i="3"/>
  <c r="S93" i="3" s="1"/>
  <c r="AY109" i="3"/>
  <c r="N54" i="3"/>
  <c r="AW52" i="3"/>
  <c r="AX52" i="3"/>
  <c r="AY52" i="3" s="1"/>
  <c r="AZ52" i="3" s="1"/>
  <c r="BA52" i="3" s="1"/>
  <c r="F106" i="3"/>
  <c r="K145" i="3"/>
  <c r="L33" i="3"/>
  <c r="K30" i="3"/>
  <c r="F166" i="3"/>
  <c r="AW73" i="3"/>
  <c r="AX73" i="3"/>
  <c r="AY73" i="3" s="1"/>
  <c r="AZ73" i="3" s="1"/>
  <c r="BA73" i="3" s="1"/>
  <c r="AW32" i="3"/>
  <c r="AX32" i="3"/>
  <c r="AY32" i="3" s="1"/>
  <c r="AZ32" i="3" s="1"/>
  <c r="BA32" i="3" s="1"/>
  <c r="AZ109" i="3"/>
  <c r="Q95" i="3"/>
  <c r="S95" i="3" s="1"/>
  <c r="R186" i="3"/>
  <c r="S151" i="3"/>
  <c r="S186" i="3" s="1"/>
  <c r="T151" i="3"/>
  <c r="O59" i="3"/>
  <c r="P60" i="3"/>
  <c r="AW110" i="3"/>
  <c r="AX110" i="3"/>
  <c r="AW64" i="3"/>
  <c r="AX64" i="3"/>
  <c r="AY64" i="3" s="1"/>
  <c r="AZ64" i="3" s="1"/>
  <c r="BA64" i="3" s="1"/>
  <c r="AW53" i="3"/>
  <c r="AX53" i="3"/>
  <c r="AY53" i="3" s="1"/>
  <c r="AZ53" i="3" s="1"/>
  <c r="BA53" i="3" s="1"/>
  <c r="AW29" i="3"/>
  <c r="AX29" i="3"/>
  <c r="AY29" i="3" s="1"/>
  <c r="AZ29" i="3" s="1"/>
  <c r="BA29" i="3" s="1"/>
  <c r="AV173" i="3"/>
  <c r="BA107" i="3"/>
  <c r="J185" i="3"/>
  <c r="J188" i="3"/>
  <c r="O37" i="3"/>
  <c r="P38" i="3"/>
  <c r="M92" i="3"/>
  <c r="M150" i="3"/>
  <c r="M190" i="3" s="1"/>
  <c r="M103" i="3"/>
  <c r="N103" i="3" s="1"/>
  <c r="N134" i="3"/>
  <c r="J135" i="3"/>
  <c r="I42" i="3"/>
  <c r="I196" i="3" s="1"/>
  <c r="H155" i="3"/>
  <c r="AW109" i="3"/>
  <c r="AX109" i="3"/>
  <c r="BA109" i="3"/>
  <c r="R24" i="3"/>
  <c r="S25" i="3"/>
  <c r="T25" i="3"/>
  <c r="AU173" i="3"/>
  <c r="AZ107" i="3"/>
  <c r="AW26" i="3"/>
  <c r="AX26" i="3"/>
  <c r="AY26" i="3" s="1"/>
  <c r="AZ26" i="3" s="1"/>
  <c r="BA26" i="3" s="1"/>
  <c r="AW22" i="3"/>
  <c r="AX22" i="3"/>
  <c r="AY22" i="3" s="1"/>
  <c r="AZ22" i="3" s="1"/>
  <c r="BA22" i="3" s="1"/>
  <c r="R184" i="3"/>
  <c r="S147" i="3"/>
  <c r="S184" i="3" s="1"/>
  <c r="T147" i="3"/>
  <c r="AW63" i="3"/>
  <c r="AX63" i="3"/>
  <c r="AY63" i="3" s="1"/>
  <c r="AZ63" i="3" s="1"/>
  <c r="BA63" i="3" s="1"/>
  <c r="AW21" i="3"/>
  <c r="AX21" i="3"/>
  <c r="AY21" i="3" s="1"/>
  <c r="AZ21" i="3" s="1"/>
  <c r="BA21" i="3" s="1"/>
  <c r="P31" i="3"/>
  <c r="S65" i="3"/>
  <c r="T65" i="3"/>
  <c r="T100" i="3" s="1"/>
  <c r="N59" i="3"/>
  <c r="I130" i="3"/>
  <c r="J131" i="3"/>
  <c r="AW41" i="3"/>
  <c r="AX41" i="3"/>
  <c r="AY41" i="3" s="1"/>
  <c r="AZ41" i="3" s="1"/>
  <c r="BA41" i="3" s="1"/>
  <c r="AW75" i="3"/>
  <c r="AX75" i="3"/>
  <c r="AY75" i="3" s="1"/>
  <c r="AZ75" i="3" s="1"/>
  <c r="BA75" i="3" s="1"/>
  <c r="BD109" i="3" l="1"/>
  <c r="BB66" i="3"/>
  <c r="BC66" i="3"/>
  <c r="BD66" i="3" s="1"/>
  <c r="BE66" i="3" s="1"/>
  <c r="BF66" i="3" s="1"/>
  <c r="BG66" i="3" s="1"/>
  <c r="BB108" i="3"/>
  <c r="BC108" i="3"/>
  <c r="BG108" i="3" s="1"/>
  <c r="BB29" i="3"/>
  <c r="BC29" i="3"/>
  <c r="BD29" i="3" s="1"/>
  <c r="BE29" i="3" s="1"/>
  <c r="BF29" i="3" s="1"/>
  <c r="BG29" i="3" s="1"/>
  <c r="T186" i="3"/>
  <c r="U151" i="3"/>
  <c r="BB35" i="3"/>
  <c r="BC35" i="3"/>
  <c r="BD35" i="3" s="1"/>
  <c r="BE35" i="3" s="1"/>
  <c r="BF35" i="3" s="1"/>
  <c r="BG35" i="3" s="1"/>
  <c r="P181" i="3"/>
  <c r="Q148" i="3"/>
  <c r="BB76" i="3"/>
  <c r="BC76" i="3"/>
  <c r="BD76" i="3" s="1"/>
  <c r="BE76" i="3" s="1"/>
  <c r="BF76" i="3" s="1"/>
  <c r="BG76" i="3" s="1"/>
  <c r="AX173" i="3"/>
  <c r="BB107" i="3"/>
  <c r="BC107" i="3"/>
  <c r="BB22" i="3"/>
  <c r="BC22" i="3"/>
  <c r="BD22" i="3" s="1"/>
  <c r="BE22" i="3" s="1"/>
  <c r="BF22" i="3" s="1"/>
  <c r="BG22" i="3" s="1"/>
  <c r="BB34" i="3"/>
  <c r="BC34" i="3"/>
  <c r="BD34" i="3" s="1"/>
  <c r="BE34" i="3" s="1"/>
  <c r="BF34" i="3" s="1"/>
  <c r="BG34" i="3" s="1"/>
  <c r="AY94" i="3"/>
  <c r="AZ94" i="3" s="1"/>
  <c r="BA94" i="3" s="1"/>
  <c r="BC94" i="3" s="1"/>
  <c r="AY117" i="3"/>
  <c r="AZ117" i="3" s="1"/>
  <c r="BA117" i="3" s="1"/>
  <c r="BC117" i="3" s="1"/>
  <c r="Q18" i="3"/>
  <c r="AW173" i="3"/>
  <c r="BE110" i="3"/>
  <c r="K177" i="3"/>
  <c r="K195" i="3"/>
  <c r="K178" i="3"/>
  <c r="K130" i="3"/>
  <c r="K42" i="3"/>
  <c r="BB67" i="3"/>
  <c r="BC67" i="3"/>
  <c r="BD67" i="3" s="1"/>
  <c r="BE67" i="3" s="1"/>
  <c r="BF67" i="3" s="1"/>
  <c r="BG67" i="3" s="1"/>
  <c r="P44" i="3"/>
  <c r="Q45" i="3"/>
  <c r="AW94" i="3"/>
  <c r="L102" i="3"/>
  <c r="AW117" i="3"/>
  <c r="Q72" i="3"/>
  <c r="BB53" i="3"/>
  <c r="BC53" i="3"/>
  <c r="BD53" i="3" s="1"/>
  <c r="BE53" i="3" s="1"/>
  <c r="BF53" i="3" s="1"/>
  <c r="BG53" i="3" s="1"/>
  <c r="L145" i="3"/>
  <c r="M33" i="3"/>
  <c r="L30" i="3"/>
  <c r="BB57" i="3"/>
  <c r="BC57" i="3"/>
  <c r="BD57" i="3" s="1"/>
  <c r="BE57" i="3" s="1"/>
  <c r="BF57" i="3" s="1"/>
  <c r="BG57" i="3" s="1"/>
  <c r="N150" i="3"/>
  <c r="N190" i="3" s="1"/>
  <c r="BB27" i="3"/>
  <c r="BC27" i="3"/>
  <c r="BD27" i="3" s="1"/>
  <c r="BE27" i="3" s="1"/>
  <c r="BF27" i="3" s="1"/>
  <c r="BG27" i="3" s="1"/>
  <c r="BB40" i="3"/>
  <c r="BC40" i="3"/>
  <c r="BD40" i="3" s="1"/>
  <c r="BE40" i="3" s="1"/>
  <c r="BF40" i="3" s="1"/>
  <c r="BG40" i="3" s="1"/>
  <c r="BF110" i="3"/>
  <c r="BF109" i="3"/>
  <c r="BB68" i="3"/>
  <c r="BC68" i="3"/>
  <c r="BD68" i="3" s="1"/>
  <c r="BE68" i="3" s="1"/>
  <c r="BF68" i="3" s="1"/>
  <c r="BG68" i="3" s="1"/>
  <c r="BB26" i="3"/>
  <c r="BC26" i="3"/>
  <c r="BD26" i="3" s="1"/>
  <c r="BE26" i="3" s="1"/>
  <c r="BF26" i="3" s="1"/>
  <c r="BG26" i="3" s="1"/>
  <c r="BB21" i="3"/>
  <c r="BC21" i="3"/>
  <c r="BD21" i="3" s="1"/>
  <c r="BE21" i="3" s="1"/>
  <c r="BF21" i="3" s="1"/>
  <c r="BG21" i="3" s="1"/>
  <c r="M91" i="3"/>
  <c r="BE109" i="3"/>
  <c r="K185" i="3"/>
  <c r="K188" i="3"/>
  <c r="T182" i="3"/>
  <c r="U149" i="3"/>
  <c r="BB62" i="3"/>
  <c r="BC62" i="3"/>
  <c r="BD62" i="3" s="1"/>
  <c r="BE62" i="3" s="1"/>
  <c r="BF62" i="3" s="1"/>
  <c r="BG62" i="3" s="1"/>
  <c r="N92" i="3"/>
  <c r="BD110" i="3"/>
  <c r="BB73" i="3"/>
  <c r="BC73" i="3"/>
  <c r="BD73" i="3" s="1"/>
  <c r="BE73" i="3" s="1"/>
  <c r="BF73" i="3" s="1"/>
  <c r="BG73" i="3" s="1"/>
  <c r="T187" i="3"/>
  <c r="U152" i="3"/>
  <c r="BB75" i="3"/>
  <c r="BC75" i="3"/>
  <c r="BD75" i="3" s="1"/>
  <c r="BE75" i="3" s="1"/>
  <c r="BF75" i="3" s="1"/>
  <c r="BG75" i="3" s="1"/>
  <c r="P37" i="3"/>
  <c r="Q38" i="3"/>
  <c r="BB64" i="3"/>
  <c r="BC64" i="3"/>
  <c r="BD64" i="3" s="1"/>
  <c r="BE64" i="3" s="1"/>
  <c r="BF64" i="3" s="1"/>
  <c r="BG64" i="3" s="1"/>
  <c r="BB23" i="3"/>
  <c r="BC23" i="3"/>
  <c r="BD23" i="3" s="1"/>
  <c r="BE23" i="3" s="1"/>
  <c r="BF23" i="3" s="1"/>
  <c r="BG23" i="3" s="1"/>
  <c r="T183" i="3"/>
  <c r="U146" i="3"/>
  <c r="T19" i="3"/>
  <c r="T95" i="3" s="1"/>
  <c r="U20" i="3"/>
  <c r="BB39" i="3"/>
  <c r="BC39" i="3"/>
  <c r="BD39" i="3" s="1"/>
  <c r="BE39" i="3" s="1"/>
  <c r="BF39" i="3" s="1"/>
  <c r="BG39" i="3" s="1"/>
  <c r="M104" i="3"/>
  <c r="N104" i="3" s="1"/>
  <c r="BB41" i="3"/>
  <c r="BC41" i="3"/>
  <c r="BD41" i="3" s="1"/>
  <c r="BE41" i="3" s="1"/>
  <c r="BF41" i="3" s="1"/>
  <c r="BG41" i="3" s="1"/>
  <c r="BB63" i="3"/>
  <c r="BC63" i="3"/>
  <c r="BD63" i="3" s="1"/>
  <c r="BE63" i="3" s="1"/>
  <c r="BF63" i="3" s="1"/>
  <c r="BG63" i="3" s="1"/>
  <c r="I155" i="3"/>
  <c r="H157" i="3"/>
  <c r="H156" i="3"/>
  <c r="F119" i="3"/>
  <c r="BB144" i="3"/>
  <c r="BC144" i="3"/>
  <c r="BD144" i="3" s="1"/>
  <c r="BE144" i="3" s="1"/>
  <c r="BF144" i="3" s="1"/>
  <c r="BG144" i="3" s="1"/>
  <c r="BB47" i="3"/>
  <c r="BC47" i="3"/>
  <c r="BD47" i="3" s="1"/>
  <c r="BE47" i="3" s="1"/>
  <c r="BF47" i="3" s="1"/>
  <c r="BG47" i="3" s="1"/>
  <c r="P54" i="3"/>
  <c r="Q55" i="3"/>
  <c r="S19" i="3"/>
  <c r="BB48" i="3"/>
  <c r="BC48" i="3"/>
  <c r="BD48" i="3" s="1"/>
  <c r="BE48" i="3" s="1"/>
  <c r="BF48" i="3" s="1"/>
  <c r="BG48" i="3" s="1"/>
  <c r="AZ173" i="3"/>
  <c r="BE107" i="3"/>
  <c r="BB110" i="3"/>
  <c r="BC110" i="3"/>
  <c r="BB32" i="3"/>
  <c r="BC32" i="3"/>
  <c r="BD32" i="3" s="1"/>
  <c r="BE32" i="3" s="1"/>
  <c r="BF32" i="3" s="1"/>
  <c r="BG32" i="3" s="1"/>
  <c r="BB52" i="3"/>
  <c r="BC52" i="3"/>
  <c r="BD52" i="3" s="1"/>
  <c r="BE52" i="3" s="1"/>
  <c r="BF52" i="3" s="1"/>
  <c r="BG52" i="3" s="1"/>
  <c r="K135" i="3"/>
  <c r="J155" i="3"/>
  <c r="P98" i="3"/>
  <c r="BB46" i="3"/>
  <c r="BC46" i="3"/>
  <c r="BD46" i="3" s="1"/>
  <c r="BE46" i="3" s="1"/>
  <c r="BF46" i="3" s="1"/>
  <c r="BG46" i="3" s="1"/>
  <c r="O190" i="3"/>
  <c r="BB58" i="3"/>
  <c r="BC58" i="3"/>
  <c r="BD58" i="3" s="1"/>
  <c r="BE58" i="3" s="1"/>
  <c r="BF58" i="3" s="1"/>
  <c r="BG58" i="3" s="1"/>
  <c r="U65" i="3"/>
  <c r="U100" i="3"/>
  <c r="AY173" i="3"/>
  <c r="BD107" i="3"/>
  <c r="Q31" i="3"/>
  <c r="P134" i="3"/>
  <c r="O99" i="3"/>
  <c r="BB56" i="3"/>
  <c r="BC56" i="3"/>
  <c r="BD56" i="3" s="1"/>
  <c r="BE56" i="3" s="1"/>
  <c r="BF56" i="3" s="1"/>
  <c r="BG56" i="3" s="1"/>
  <c r="BB61" i="3"/>
  <c r="BC61" i="3"/>
  <c r="BD61" i="3" s="1"/>
  <c r="BE61" i="3" s="1"/>
  <c r="BF61" i="3" s="1"/>
  <c r="BG61" i="3" s="1"/>
  <c r="F170" i="3"/>
  <c r="BB28" i="3"/>
  <c r="BC28" i="3"/>
  <c r="BD28" i="3" s="1"/>
  <c r="BE28" i="3" s="1"/>
  <c r="BF28" i="3" s="1"/>
  <c r="BG28" i="3" s="1"/>
  <c r="O104" i="3"/>
  <c r="BB49" i="3"/>
  <c r="BC49" i="3"/>
  <c r="BD49" i="3" s="1"/>
  <c r="BE49" i="3" s="1"/>
  <c r="BF49" i="3" s="1"/>
  <c r="BG49" i="3" s="1"/>
  <c r="P59" i="3"/>
  <c r="P99" i="3" s="1"/>
  <c r="Q60" i="3"/>
  <c r="BB109" i="3"/>
  <c r="BC109" i="3"/>
  <c r="T24" i="3"/>
  <c r="U25" i="3"/>
  <c r="T184" i="3"/>
  <c r="U147" i="3"/>
  <c r="K131" i="3"/>
  <c r="S24" i="3"/>
  <c r="BA173" i="3"/>
  <c r="BF107" i="3"/>
  <c r="N91" i="3"/>
  <c r="O98" i="3"/>
  <c r="E125" i="3"/>
  <c r="E122" i="3"/>
  <c r="BB36" i="3"/>
  <c r="BC36" i="3"/>
  <c r="BD36" i="3" s="1"/>
  <c r="BE36" i="3" s="1"/>
  <c r="BF36" i="3" s="1"/>
  <c r="BG36" i="3" s="1"/>
  <c r="O91" i="3"/>
  <c r="U184" i="3" l="1"/>
  <c r="V147" i="3"/>
  <c r="I156" i="3"/>
  <c r="H158" i="3"/>
  <c r="I157" i="3"/>
  <c r="H159" i="3"/>
  <c r="U183" i="3"/>
  <c r="V146" i="3"/>
  <c r="Q44" i="3"/>
  <c r="R45" i="3"/>
  <c r="BB173" i="3"/>
  <c r="E163" i="3"/>
  <c r="E83" i="3"/>
  <c r="E126" i="3"/>
  <c r="U24" i="3"/>
  <c r="V25" i="3"/>
  <c r="O102" i="3"/>
  <c r="P150" i="3"/>
  <c r="P92" i="3"/>
  <c r="P103" i="3"/>
  <c r="L195" i="3"/>
  <c r="L177" i="3"/>
  <c r="L178" i="3"/>
  <c r="L130" i="3"/>
  <c r="L42" i="3"/>
  <c r="R18" i="3"/>
  <c r="M145" i="3"/>
  <c r="N33" i="3"/>
  <c r="O33" i="3"/>
  <c r="M30" i="3"/>
  <c r="R134" i="3"/>
  <c r="R31" i="3"/>
  <c r="BG110" i="3"/>
  <c r="Q54" i="3"/>
  <c r="R55" i="3"/>
  <c r="L188" i="3"/>
  <c r="L185" i="3"/>
  <c r="BD117" i="3"/>
  <c r="BE117" i="3" s="1"/>
  <c r="BF117" i="3" s="1"/>
  <c r="BC173" i="3"/>
  <c r="BG107" i="3"/>
  <c r="Q98" i="3"/>
  <c r="K155" i="3"/>
  <c r="BB117" i="3"/>
  <c r="U95" i="3"/>
  <c r="BD94" i="3"/>
  <c r="BE94" i="3" s="1"/>
  <c r="BF94" i="3" s="1"/>
  <c r="Q181" i="3"/>
  <c r="R148" i="3"/>
  <c r="BD173" i="3"/>
  <c r="BE173" i="3"/>
  <c r="Q37" i="3"/>
  <c r="R38" i="3"/>
  <c r="R72" i="3"/>
  <c r="BB94" i="3"/>
  <c r="J157" i="3"/>
  <c r="J159" i="3" s="1"/>
  <c r="J193" i="3" s="1"/>
  <c r="J156" i="3"/>
  <c r="J158" i="3" s="1"/>
  <c r="J192" i="3" s="1"/>
  <c r="M102" i="3"/>
  <c r="M189" i="3" s="1"/>
  <c r="U182" i="3"/>
  <c r="V149" i="3"/>
  <c r="K196" i="3"/>
  <c r="BG109" i="3"/>
  <c r="Q134" i="3"/>
  <c r="S134" i="3" s="1"/>
  <c r="T93" i="3"/>
  <c r="Q59" i="3"/>
  <c r="R60" i="3"/>
  <c r="Q99" i="3"/>
  <c r="U186" i="3"/>
  <c r="V151" i="3"/>
  <c r="BF173" i="3"/>
  <c r="V65" i="3"/>
  <c r="V100" i="3"/>
  <c r="F121" i="3"/>
  <c r="U19" i="3"/>
  <c r="V20" i="3"/>
  <c r="U187" i="3"/>
  <c r="V152" i="3"/>
  <c r="L189" i="3"/>
  <c r="BG117" i="3" l="1"/>
  <c r="V93" i="3"/>
  <c r="L155" i="3"/>
  <c r="V19" i="3"/>
  <c r="V95" i="3" s="1"/>
  <c r="W20" i="3"/>
  <c r="M195" i="3"/>
  <c r="M177" i="3"/>
  <c r="M178" i="3"/>
  <c r="N30" i="3"/>
  <c r="M130" i="3"/>
  <c r="M42" i="3"/>
  <c r="M188" i="3"/>
  <c r="M185" i="3"/>
  <c r="N145" i="3"/>
  <c r="L196" i="3"/>
  <c r="E82" i="3"/>
  <c r="V24" i="3"/>
  <c r="W25" i="3"/>
  <c r="H192" i="3"/>
  <c r="I158" i="3"/>
  <c r="I192" i="3" s="1"/>
  <c r="R103" i="3"/>
  <c r="R92" i="3"/>
  <c r="R150" i="3"/>
  <c r="R190" i="3" s="1"/>
  <c r="L135" i="3"/>
  <c r="S55" i="3"/>
  <c r="R54" i="3"/>
  <c r="T55" i="3"/>
  <c r="U93" i="3"/>
  <c r="E127" i="3"/>
  <c r="R181" i="3"/>
  <c r="S148" i="3"/>
  <c r="S181" i="3" s="1"/>
  <c r="T148" i="3"/>
  <c r="R98" i="3"/>
  <c r="S98" i="3" s="1"/>
  <c r="S18" i="3"/>
  <c r="T18" i="3"/>
  <c r="V184" i="3"/>
  <c r="W147" i="3"/>
  <c r="V182" i="3"/>
  <c r="W149" i="3"/>
  <c r="O145" i="3"/>
  <c r="P33" i="3"/>
  <c r="O30" i="3"/>
  <c r="S60" i="3"/>
  <c r="R59" i="3"/>
  <c r="R99" i="3" s="1"/>
  <c r="S99" i="3" s="1"/>
  <c r="T60" i="3"/>
  <c r="P102" i="3"/>
  <c r="P189" i="3" s="1"/>
  <c r="P104" i="3"/>
  <c r="F122" i="3"/>
  <c r="F125" i="3" s="1"/>
  <c r="S72" i="3"/>
  <c r="T72" i="3"/>
  <c r="P91" i="3"/>
  <c r="S45" i="3"/>
  <c r="R44" i="3"/>
  <c r="T45" i="3"/>
  <c r="W65" i="3"/>
  <c r="W100" i="3" s="1"/>
  <c r="X100" i="3" s="1"/>
  <c r="Q150" i="3"/>
  <c r="Q190" i="3" s="1"/>
  <c r="Q103" i="3"/>
  <c r="Q92" i="3"/>
  <c r="BG94" i="3"/>
  <c r="T134" i="3"/>
  <c r="S31" i="3"/>
  <c r="T31" i="3"/>
  <c r="P190" i="3"/>
  <c r="H193" i="3"/>
  <c r="I159" i="3"/>
  <c r="I193" i="3" s="1"/>
  <c r="K156" i="3"/>
  <c r="K158" i="3" s="1"/>
  <c r="K192" i="3" s="1"/>
  <c r="K157" i="3"/>
  <c r="K159" i="3" s="1"/>
  <c r="K193" i="3" s="1"/>
  <c r="N102" i="3"/>
  <c r="N189" i="3" s="1"/>
  <c r="V187" i="3"/>
  <c r="W152" i="3"/>
  <c r="V186" i="3"/>
  <c r="W151" i="3"/>
  <c r="S38" i="3"/>
  <c r="R37" i="3"/>
  <c r="S37" i="3" s="1"/>
  <c r="T38" i="3"/>
  <c r="L131" i="3"/>
  <c r="BG173" i="3"/>
  <c r="O189" i="3"/>
  <c r="V183" i="3"/>
  <c r="W146" i="3"/>
  <c r="F163" i="3" l="1"/>
  <c r="F83" i="3"/>
  <c r="F126" i="3"/>
  <c r="L157" i="3"/>
  <c r="L159" i="3" s="1"/>
  <c r="L193" i="3" s="1"/>
  <c r="L156" i="3"/>
  <c r="L158" i="3" s="1"/>
  <c r="L192" i="3" s="1"/>
  <c r="T181" i="3"/>
  <c r="U148" i="3"/>
  <c r="R91" i="3"/>
  <c r="N42" i="3"/>
  <c r="M155" i="3"/>
  <c r="M135" i="3"/>
  <c r="T59" i="3"/>
  <c r="U60" i="3"/>
  <c r="T37" i="3"/>
  <c r="U38" i="3"/>
  <c r="O195" i="3"/>
  <c r="O178" i="3"/>
  <c r="O177" i="3"/>
  <c r="O130" i="3"/>
  <c r="O42" i="3"/>
  <c r="R104" i="3"/>
  <c r="R102" i="3" s="1"/>
  <c r="R189" i="3" s="1"/>
  <c r="N130" i="3"/>
  <c r="O131" i="3"/>
  <c r="W186" i="3"/>
  <c r="X151" i="3"/>
  <c r="X186" i="3" s="1"/>
  <c r="Y151" i="3"/>
  <c r="P145" i="3"/>
  <c r="Q33" i="3"/>
  <c r="P30" i="3"/>
  <c r="N195" i="3"/>
  <c r="N196" i="3"/>
  <c r="N177" i="3"/>
  <c r="N178" i="3"/>
  <c r="Q91" i="3"/>
  <c r="Q104" i="3"/>
  <c r="Q102" i="3" s="1"/>
  <c r="T92" i="3"/>
  <c r="T103" i="3"/>
  <c r="T150" i="3"/>
  <c r="N185" i="3"/>
  <c r="N188" i="3"/>
  <c r="W182" i="3"/>
  <c r="X149" i="3"/>
  <c r="X182" i="3" s="1"/>
  <c r="Y149" i="3"/>
  <c r="W24" i="3"/>
  <c r="X25" i="3"/>
  <c r="Y25" i="3"/>
  <c r="U18" i="3"/>
  <c r="U31" i="3"/>
  <c r="T54" i="3"/>
  <c r="U55" i="3"/>
  <c r="M196" i="3"/>
  <c r="N135" i="3"/>
  <c r="U72" i="3"/>
  <c r="S150" i="3"/>
  <c r="S190" i="3" s="1"/>
  <c r="E200" i="3"/>
  <c r="E162" i="3"/>
  <c r="E84" i="3"/>
  <c r="W183" i="3"/>
  <c r="X146" i="3"/>
  <c r="X183" i="3" s="1"/>
  <c r="Y146" i="3"/>
  <c r="M131" i="3"/>
  <c r="N131" i="3" s="1"/>
  <c r="S103" i="3"/>
  <c r="W184" i="3"/>
  <c r="X147" i="3"/>
  <c r="X184" i="3" s="1"/>
  <c r="Y147" i="3"/>
  <c r="S54" i="3"/>
  <c r="I82" i="3"/>
  <c r="E87" i="3"/>
  <c r="E88" i="3" s="1"/>
  <c r="E7" i="3" s="1"/>
  <c r="W95" i="3"/>
  <c r="X95" i="3" s="1"/>
  <c r="S59" i="3"/>
  <c r="X65" i="3"/>
  <c r="Y65" i="3"/>
  <c r="O185" i="3"/>
  <c r="O188" i="3"/>
  <c r="W187" i="3"/>
  <c r="X152" i="3"/>
  <c r="X187" i="3" s="1"/>
  <c r="Y152" i="3"/>
  <c r="T44" i="3"/>
  <c r="U45" i="3"/>
  <c r="S44" i="3"/>
  <c r="S92" i="3"/>
  <c r="S104" i="3"/>
  <c r="W19" i="3"/>
  <c r="X20" i="3"/>
  <c r="Y20" i="3"/>
  <c r="Q189" i="3" l="1"/>
  <c r="S102" i="3"/>
  <c r="S189" i="3" s="1"/>
  <c r="U44" i="3"/>
  <c r="V45" i="3"/>
  <c r="X24" i="3"/>
  <c r="Y182" i="3"/>
  <c r="Z149" i="3"/>
  <c r="Y187" i="3"/>
  <c r="Z152" i="3"/>
  <c r="U59" i="3"/>
  <c r="V60" i="3"/>
  <c r="U181" i="3"/>
  <c r="V148" i="3"/>
  <c r="V31" i="3"/>
  <c r="N155" i="3"/>
  <c r="M157" i="3"/>
  <c r="M156" i="3"/>
  <c r="Y183" i="3"/>
  <c r="Z146" i="3"/>
  <c r="O155" i="3"/>
  <c r="W93" i="3"/>
  <c r="X93" i="3" s="1"/>
  <c r="U54" i="3"/>
  <c r="V55" i="3"/>
  <c r="T98" i="3"/>
  <c r="U134" i="3"/>
  <c r="T104" i="3"/>
  <c r="F77" i="3"/>
  <c r="X19" i="3"/>
  <c r="Y95" i="3"/>
  <c r="V18" i="3"/>
  <c r="T91" i="3"/>
  <c r="P195" i="3"/>
  <c r="P178" i="3"/>
  <c r="P177" i="3"/>
  <c r="P130" i="3"/>
  <c r="P42" i="3"/>
  <c r="Y184" i="3"/>
  <c r="Z147" i="3"/>
  <c r="Q145" i="3"/>
  <c r="R33" i="3"/>
  <c r="Q30" i="3"/>
  <c r="O135" i="3"/>
  <c r="F127" i="3"/>
  <c r="U37" i="3"/>
  <c r="V38" i="3"/>
  <c r="Y19" i="3"/>
  <c r="Z20" i="3"/>
  <c r="S91" i="3"/>
  <c r="E202" i="3"/>
  <c r="E203" i="3"/>
  <c r="V72" i="3"/>
  <c r="Y24" i="3"/>
  <c r="Z25" i="3"/>
  <c r="P185" i="3"/>
  <c r="P188" i="3"/>
  <c r="O196" i="3"/>
  <c r="E31" i="4"/>
  <c r="E45" i="4" s="1"/>
  <c r="T190" i="3"/>
  <c r="Z65" i="3"/>
  <c r="Z100" i="3" s="1"/>
  <c r="Y100" i="3"/>
  <c r="T99" i="3"/>
  <c r="Y186" i="3"/>
  <c r="Z151" i="3"/>
  <c r="P155" i="3" l="1"/>
  <c r="V54" i="3"/>
  <c r="W55" i="3"/>
  <c r="Z187" i="3"/>
  <c r="AA152" i="3"/>
  <c r="Q195" i="3"/>
  <c r="Q178" i="3"/>
  <c r="Q177" i="3"/>
  <c r="Q130" i="3"/>
  <c r="Q42" i="3"/>
  <c r="O157" i="3"/>
  <c r="O159" i="3" s="1"/>
  <c r="O193" i="3" s="1"/>
  <c r="O156" i="3"/>
  <c r="O158" i="3" s="1"/>
  <c r="O192" i="3" s="1"/>
  <c r="W72" i="3"/>
  <c r="N157" i="3"/>
  <c r="M159" i="3"/>
  <c r="R145" i="3"/>
  <c r="S33" i="3"/>
  <c r="T33" i="3"/>
  <c r="R30" i="3"/>
  <c r="P196" i="3"/>
  <c r="W31" i="3"/>
  <c r="W134" i="3" s="1"/>
  <c r="Y93" i="3"/>
  <c r="Z24" i="3"/>
  <c r="AA25" i="3"/>
  <c r="AA65" i="3"/>
  <c r="F200" i="3"/>
  <c r="F84" i="3"/>
  <c r="F74" i="3" s="1"/>
  <c r="Q188" i="3"/>
  <c r="Q185" i="3"/>
  <c r="Q131" i="3"/>
  <c r="P131" i="3"/>
  <c r="P135" i="3"/>
  <c r="V134" i="3"/>
  <c r="V44" i="3"/>
  <c r="W45" i="3"/>
  <c r="V181" i="3"/>
  <c r="W148" i="3"/>
  <c r="Z19" i="3"/>
  <c r="AA20" i="3"/>
  <c r="Z183" i="3"/>
  <c r="AA146" i="3"/>
  <c r="U99" i="3"/>
  <c r="Z186" i="3"/>
  <c r="AA151" i="3"/>
  <c r="W18" i="3"/>
  <c r="U98" i="3"/>
  <c r="V37" i="3"/>
  <c r="W38" i="3"/>
  <c r="M158" i="3"/>
  <c r="N156" i="3"/>
  <c r="Z182" i="3"/>
  <c r="AA149" i="3"/>
  <c r="Z184" i="3"/>
  <c r="AA147" i="3"/>
  <c r="T102" i="3"/>
  <c r="U103" i="3"/>
  <c r="U92" i="3"/>
  <c r="U150" i="3"/>
  <c r="V59" i="3"/>
  <c r="W60" i="3"/>
  <c r="W150" i="3" l="1"/>
  <c r="W190" i="3" s="1"/>
  <c r="W92" i="3"/>
  <c r="W103" i="3"/>
  <c r="X134" i="3"/>
  <c r="X55" i="3"/>
  <c r="W54" i="3"/>
  <c r="Y55" i="3"/>
  <c r="AA182" i="3"/>
  <c r="AB149" i="3"/>
  <c r="W181" i="3"/>
  <c r="X148" i="3"/>
  <c r="X181" i="3" s="1"/>
  <c r="Y148" i="3"/>
  <c r="X60" i="3"/>
  <c r="W59" i="3"/>
  <c r="Y60" i="3"/>
  <c r="M192" i="3"/>
  <c r="N158" i="3"/>
  <c r="N192" i="3" s="1"/>
  <c r="F203" i="3"/>
  <c r="F202" i="3"/>
  <c r="Q155" i="3"/>
  <c r="P157" i="3"/>
  <c r="P159" i="3" s="1"/>
  <c r="P193" i="3" s="1"/>
  <c r="P156" i="3"/>
  <c r="P158" i="3" s="1"/>
  <c r="P192" i="3" s="1"/>
  <c r="AA184" i="3"/>
  <c r="AB147" i="3"/>
  <c r="F71" i="3"/>
  <c r="R196" i="3"/>
  <c r="R195" i="3"/>
  <c r="R177" i="3"/>
  <c r="R178" i="3"/>
  <c r="S30" i="3"/>
  <c r="R130" i="3"/>
  <c r="R42" i="3"/>
  <c r="R131" i="3"/>
  <c r="X72" i="3"/>
  <c r="Y72" i="3"/>
  <c r="AA187" i="3"/>
  <c r="AB152" i="3"/>
  <c r="U190" i="3"/>
  <c r="X150" i="3"/>
  <c r="X190" i="3" s="1"/>
  <c r="Y134" i="3"/>
  <c r="X31" i="3"/>
  <c r="Y31" i="3"/>
  <c r="T145" i="3"/>
  <c r="U33" i="3"/>
  <c r="T30" i="3"/>
  <c r="X18" i="3"/>
  <c r="Y18" i="3"/>
  <c r="AB65" i="3"/>
  <c r="R188" i="3"/>
  <c r="R185" i="3"/>
  <c r="S145" i="3"/>
  <c r="Q196" i="3"/>
  <c r="Z93" i="3"/>
  <c r="AA186" i="3"/>
  <c r="AB151" i="3"/>
  <c r="AA183" i="3"/>
  <c r="AB146" i="3"/>
  <c r="AA19" i="3"/>
  <c r="AB20" i="3"/>
  <c r="X45" i="3"/>
  <c r="W44" i="3"/>
  <c r="Y45" i="3"/>
  <c r="V92" i="3"/>
  <c r="V103" i="3"/>
  <c r="V150" i="3"/>
  <c r="V190" i="3" s="1"/>
  <c r="U104" i="3"/>
  <c r="X103" i="3"/>
  <c r="AA100" i="3"/>
  <c r="M193" i="3"/>
  <c r="N159" i="3"/>
  <c r="N193" i="3" s="1"/>
  <c r="X38" i="3"/>
  <c r="W37" i="3"/>
  <c r="X37" i="3" s="1"/>
  <c r="Y38" i="3"/>
  <c r="Q135" i="3"/>
  <c r="U91" i="3"/>
  <c r="X92" i="3"/>
  <c r="T189" i="3"/>
  <c r="Z95" i="3"/>
  <c r="V98" i="3"/>
  <c r="S131" i="3"/>
  <c r="AA24" i="3"/>
  <c r="AB25" i="3"/>
  <c r="V99" i="3"/>
  <c r="X44" i="3" l="1"/>
  <c r="AA93" i="3"/>
  <c r="AB184" i="3"/>
  <c r="AC147" i="3"/>
  <c r="AC184" i="3" s="1"/>
  <c r="AD147" i="3"/>
  <c r="Y54" i="3"/>
  <c r="Y98" i="3" s="1"/>
  <c r="Z55" i="3"/>
  <c r="X54" i="3"/>
  <c r="Y44" i="3"/>
  <c r="Z45" i="3"/>
  <c r="AB183" i="3"/>
  <c r="AC146" i="3"/>
  <c r="AC183" i="3" s="1"/>
  <c r="AD146" i="3"/>
  <c r="F201" i="3"/>
  <c r="F78" i="3"/>
  <c r="F136" i="3"/>
  <c r="Y150" i="3"/>
  <c r="Y92" i="3"/>
  <c r="Y103" i="3"/>
  <c r="Z18" i="3"/>
  <c r="T135" i="3"/>
  <c r="S42" i="3"/>
  <c r="R155" i="3"/>
  <c r="Y59" i="3"/>
  <c r="Z60" i="3"/>
  <c r="AC65" i="3"/>
  <c r="AD65" i="3"/>
  <c r="X59" i="3"/>
  <c r="Y99" i="3"/>
  <c r="AB182" i="3"/>
  <c r="AC149" i="3"/>
  <c r="AC182" i="3" s="1"/>
  <c r="AD149" i="3"/>
  <c r="U145" i="3"/>
  <c r="V33" i="3"/>
  <c r="U30" i="3"/>
  <c r="S195" i="3"/>
  <c r="S178" i="3"/>
  <c r="S177" i="3"/>
  <c r="Y37" i="3"/>
  <c r="Z38" i="3"/>
  <c r="AC100" i="3"/>
  <c r="AA95" i="3"/>
  <c r="Y181" i="3"/>
  <c r="Z148" i="3"/>
  <c r="W104" i="3"/>
  <c r="W102" i="3" s="1"/>
  <c r="W189" i="3" s="1"/>
  <c r="AB24" i="3"/>
  <c r="AB93" i="3" s="1"/>
  <c r="AC25" i="3"/>
  <c r="AD25" i="3"/>
  <c r="Z72" i="3"/>
  <c r="AB19" i="3"/>
  <c r="AC20" i="3"/>
  <c r="AD20" i="3"/>
  <c r="Q156" i="3"/>
  <c r="Q158" i="3" s="1"/>
  <c r="Q192" i="3" s="1"/>
  <c r="Q157" i="3"/>
  <c r="Q159" i="3" s="1"/>
  <c r="Q193" i="3" s="1"/>
  <c r="T188" i="3"/>
  <c r="T185" i="3"/>
  <c r="V104" i="3"/>
  <c r="X104" i="3" s="1"/>
  <c r="W99" i="3"/>
  <c r="X99" i="3" s="1"/>
  <c r="R135" i="3"/>
  <c r="S135" i="3" s="1"/>
  <c r="W91" i="3"/>
  <c r="AB187" i="3"/>
  <c r="AC152" i="3"/>
  <c r="AD152" i="3"/>
  <c r="AB100" i="3"/>
  <c r="AB186" i="3"/>
  <c r="AC151" i="3"/>
  <c r="AD151" i="3"/>
  <c r="T195" i="3"/>
  <c r="T196" i="3"/>
  <c r="T178" i="3"/>
  <c r="T177" i="3"/>
  <c r="T130" i="3"/>
  <c r="T42" i="3"/>
  <c r="T131" i="3"/>
  <c r="S130" i="3"/>
  <c r="U102" i="3"/>
  <c r="V91" i="3"/>
  <c r="S188" i="3"/>
  <c r="S185" i="3"/>
  <c r="Z134" i="3"/>
  <c r="Z31" i="3"/>
  <c r="W98" i="3"/>
  <c r="X98" i="3" s="1"/>
  <c r="AA18" i="3" l="1"/>
  <c r="AC19" i="3"/>
  <c r="V102" i="3"/>
  <c r="V189" i="3" s="1"/>
  <c r="AE65" i="3"/>
  <c r="AE100" i="3" s="1"/>
  <c r="Z44" i="3"/>
  <c r="AA45" i="3"/>
  <c r="AC93" i="3"/>
  <c r="Y104" i="3"/>
  <c r="AA72" i="3"/>
  <c r="AD24" i="3"/>
  <c r="AE25" i="3"/>
  <c r="AC24" i="3"/>
  <c r="AD93" i="3"/>
  <c r="Y91" i="3"/>
  <c r="Z150" i="3"/>
  <c r="Z190" i="3" s="1"/>
  <c r="Z92" i="3"/>
  <c r="Z103" i="3"/>
  <c r="AD184" i="3"/>
  <c r="AE147" i="3"/>
  <c r="U195" i="3"/>
  <c r="U178" i="3"/>
  <c r="U177" i="3"/>
  <c r="U130" i="3"/>
  <c r="U42" i="3"/>
  <c r="U135" i="3" s="1"/>
  <c r="Z59" i="3"/>
  <c r="AA60" i="3"/>
  <c r="Y190" i="3"/>
  <c r="Z98" i="3"/>
  <c r="AD187" i="3"/>
  <c r="AE152" i="3"/>
  <c r="V145" i="3"/>
  <c r="W33" i="3"/>
  <c r="V30" i="3"/>
  <c r="Z99" i="3"/>
  <c r="Z37" i="3"/>
  <c r="AA38" i="3"/>
  <c r="AC186" i="3"/>
  <c r="X91" i="3"/>
  <c r="U189" i="3"/>
  <c r="T155" i="3"/>
  <c r="Z181" i="3"/>
  <c r="AA148" i="3"/>
  <c r="U185" i="3"/>
  <c r="U188" i="3"/>
  <c r="S155" i="3"/>
  <c r="R156" i="3"/>
  <c r="R157" i="3"/>
  <c r="F162" i="3"/>
  <c r="AB95" i="3"/>
  <c r="AC95" i="3" s="1"/>
  <c r="AD183" i="3"/>
  <c r="AE146" i="3"/>
  <c r="AD100" i="3"/>
  <c r="AA31" i="3"/>
  <c r="AA134" i="3" s="1"/>
  <c r="G82" i="3"/>
  <c r="F87" i="3"/>
  <c r="F51" i="3"/>
  <c r="F50" i="3" s="1"/>
  <c r="F194" i="3"/>
  <c r="AD186" i="3"/>
  <c r="AE151" i="3"/>
  <c r="S196" i="3"/>
  <c r="AC187" i="3"/>
  <c r="U131" i="3"/>
  <c r="AD19" i="3"/>
  <c r="AE20" i="3"/>
  <c r="AD182" i="3"/>
  <c r="AE149" i="3"/>
  <c r="Z54" i="3"/>
  <c r="AA55" i="3"/>
  <c r="AA92" i="3" l="1"/>
  <c r="AA103" i="3"/>
  <c r="AA150" i="3"/>
  <c r="Z104" i="3"/>
  <c r="AD95" i="3"/>
  <c r="T156" i="3"/>
  <c r="T158" i="3" s="1"/>
  <c r="T192" i="3" s="1"/>
  <c r="T157" i="3"/>
  <c r="T159" i="3" s="1"/>
  <c r="T193" i="3" s="1"/>
  <c r="W145" i="3"/>
  <c r="X33" i="3"/>
  <c r="Y33" i="3"/>
  <c r="W30" i="3"/>
  <c r="V131" i="3"/>
  <c r="AF65" i="3"/>
  <c r="AF100" i="3"/>
  <c r="AA181" i="3"/>
  <c r="AB148" i="3"/>
  <c r="AA59" i="3"/>
  <c r="AB60" i="3"/>
  <c r="AE186" i="3"/>
  <c r="AF151" i="3"/>
  <c r="AA54" i="3"/>
  <c r="AB55" i="3"/>
  <c r="V185" i="3"/>
  <c r="V188" i="3"/>
  <c r="Y102" i="3"/>
  <c r="F132" i="3"/>
  <c r="F69" i="3"/>
  <c r="F79" i="3" s="1"/>
  <c r="F5" i="3" s="1"/>
  <c r="G97" i="3"/>
  <c r="AE187" i="3"/>
  <c r="AF152" i="3"/>
  <c r="AB18" i="3"/>
  <c r="AB72" i="3"/>
  <c r="Z91" i="3"/>
  <c r="U155" i="3"/>
  <c r="R159" i="3"/>
  <c r="S157" i="3"/>
  <c r="X102" i="3"/>
  <c r="X189" i="3" s="1"/>
  <c r="AB31" i="3"/>
  <c r="AE182" i="3"/>
  <c r="AF149" i="3"/>
  <c r="F88" i="3"/>
  <c r="F7" i="3" s="1"/>
  <c r="U196" i="3"/>
  <c r="AE24" i="3"/>
  <c r="AF25" i="3"/>
  <c r="AA44" i="3"/>
  <c r="AB45" i="3"/>
  <c r="AA37" i="3"/>
  <c r="AB38" i="3"/>
  <c r="AE183" i="3"/>
  <c r="AF146" i="3"/>
  <c r="V195" i="3"/>
  <c r="V177" i="3"/>
  <c r="V178" i="3"/>
  <c r="V130" i="3"/>
  <c r="V42" i="3"/>
  <c r="V135" i="3" s="1"/>
  <c r="R158" i="3"/>
  <c r="S156" i="3"/>
  <c r="AE19" i="3"/>
  <c r="AF20" i="3"/>
  <c r="AE184" i="3"/>
  <c r="AF147" i="3"/>
  <c r="AF186" i="3" l="1"/>
  <c r="AG151" i="3"/>
  <c r="W196" i="3"/>
  <c r="W177" i="3"/>
  <c r="W195" i="3"/>
  <c r="W178" i="3"/>
  <c r="X30" i="3"/>
  <c r="W130" i="3"/>
  <c r="W42" i="3"/>
  <c r="Z102" i="3"/>
  <c r="Z189" i="3" s="1"/>
  <c r="Y145" i="3"/>
  <c r="Z33" i="3"/>
  <c r="Y30" i="3"/>
  <c r="R193" i="3"/>
  <c r="S159" i="3"/>
  <c r="S193" i="3" s="1"/>
  <c r="AF93" i="3"/>
  <c r="AC60" i="3"/>
  <c r="AB59" i="3"/>
  <c r="AD60" i="3"/>
  <c r="U156" i="3"/>
  <c r="U158" i="3" s="1"/>
  <c r="U192" i="3" s="1"/>
  <c r="U157" i="3"/>
  <c r="U159" i="3" s="1"/>
  <c r="U193" i="3" s="1"/>
  <c r="AC18" i="3"/>
  <c r="AD18" i="3"/>
  <c r="AE93" i="3"/>
  <c r="AB99" i="3"/>
  <c r="W185" i="3"/>
  <c r="W188" i="3"/>
  <c r="X145" i="3"/>
  <c r="AF184" i="3"/>
  <c r="AG147" i="3"/>
  <c r="F197" i="3"/>
  <c r="F133" i="3"/>
  <c r="AA190" i="3"/>
  <c r="R192" i="3"/>
  <c r="S158" i="3"/>
  <c r="S192" i="3" s="1"/>
  <c r="AD134" i="3"/>
  <c r="AC31" i="3"/>
  <c r="AD31" i="3"/>
  <c r="AA104" i="3"/>
  <c r="AA102" i="3" s="1"/>
  <c r="W135" i="3"/>
  <c r="X135" i="3" s="1"/>
  <c r="V155" i="3"/>
  <c r="AF187" i="3"/>
  <c r="AG152" i="3"/>
  <c r="G96" i="3"/>
  <c r="G138" i="3"/>
  <c r="AB181" i="3"/>
  <c r="AC148" i="3"/>
  <c r="AC181" i="3" s="1"/>
  <c r="AD148" i="3"/>
  <c r="AA91" i="3"/>
  <c r="AA98" i="3"/>
  <c r="AB37" i="3"/>
  <c r="AC37" i="3" s="1"/>
  <c r="AC38" i="3"/>
  <c r="AD38" i="3"/>
  <c r="Y189" i="3"/>
  <c r="AB134" i="3"/>
  <c r="AC72" i="3"/>
  <c r="AD72" i="3"/>
  <c r="AC55" i="3"/>
  <c r="AB54" i="3"/>
  <c r="AB98" i="3" s="1"/>
  <c r="AD55" i="3"/>
  <c r="AF24" i="3"/>
  <c r="AG25" i="3"/>
  <c r="V196" i="3"/>
  <c r="AF182" i="3"/>
  <c r="AG149" i="3"/>
  <c r="AF183" i="3"/>
  <c r="AG146" i="3"/>
  <c r="AA99" i="3"/>
  <c r="AC99" i="3" s="1"/>
  <c r="AF19" i="3"/>
  <c r="AG20" i="3"/>
  <c r="AG100" i="3"/>
  <c r="AH100" i="3" s="1"/>
  <c r="AG65" i="3"/>
  <c r="AB44" i="3"/>
  <c r="AC45" i="3"/>
  <c r="AD45" i="3"/>
  <c r="AE95" i="3"/>
  <c r="AA189" i="3" l="1"/>
  <c r="X195" i="3"/>
  <c r="X178" i="3"/>
  <c r="X177" i="3"/>
  <c r="X130" i="3"/>
  <c r="G101" i="3"/>
  <c r="AG187" i="3"/>
  <c r="AH152" i="3"/>
  <c r="AI152" i="3"/>
  <c r="AE72" i="3"/>
  <c r="AG182" i="3"/>
  <c r="AH149" i="3"/>
  <c r="AH182" i="3" s="1"/>
  <c r="AI149" i="3"/>
  <c r="V156" i="3"/>
  <c r="V158" i="3" s="1"/>
  <c r="V192" i="3" s="1"/>
  <c r="V157" i="3"/>
  <c r="V159" i="3" s="1"/>
  <c r="V193" i="3" s="1"/>
  <c r="AE18" i="3"/>
  <c r="Z145" i="3"/>
  <c r="AA33" i="3"/>
  <c r="Z30" i="3"/>
  <c r="AH20" i="3"/>
  <c r="AG19" i="3"/>
  <c r="AI20" i="3"/>
  <c r="AD44" i="3"/>
  <c r="AE45" i="3"/>
  <c r="Y188" i="3"/>
  <c r="Y185" i="3"/>
  <c r="AG186" i="3"/>
  <c r="AH151" i="3"/>
  <c r="AI151" i="3"/>
  <c r="AD92" i="3"/>
  <c r="AD150" i="3"/>
  <c r="AD103" i="3"/>
  <c r="AC44" i="3"/>
  <c r="AD181" i="3"/>
  <c r="AE148" i="3"/>
  <c r="F167" i="3"/>
  <c r="F168" i="3" s="1"/>
  <c r="AC98" i="3"/>
  <c r="W131" i="3"/>
  <c r="X131" i="3" s="1"/>
  <c r="AC54" i="3"/>
  <c r="AD98" i="3"/>
  <c r="AG95" i="3"/>
  <c r="AG183" i="3"/>
  <c r="AH146" i="3"/>
  <c r="AH183" i="3" s="1"/>
  <c r="AI146" i="3"/>
  <c r="Y195" i="3"/>
  <c r="Y178" i="3"/>
  <c r="Y177" i="3"/>
  <c r="Y130" i="3"/>
  <c r="Y131" i="3" s="1"/>
  <c r="Y42" i="3"/>
  <c r="AB92" i="3"/>
  <c r="AB150" i="3"/>
  <c r="AB103" i="3"/>
  <c r="AC134" i="3"/>
  <c r="AF95" i="3"/>
  <c r="AH95" i="3" s="1"/>
  <c r="AH25" i="3"/>
  <c r="AG24" i="3"/>
  <c r="AI25" i="3"/>
  <c r="AH65" i="3"/>
  <c r="AI65" i="3"/>
  <c r="AG93" i="3"/>
  <c r="AH93" i="3" s="1"/>
  <c r="AD37" i="3"/>
  <c r="AE38" i="3"/>
  <c r="AG184" i="3"/>
  <c r="AH147" i="3"/>
  <c r="AH184" i="3" s="1"/>
  <c r="AI147" i="3"/>
  <c r="AD59" i="3"/>
  <c r="AE60" i="3"/>
  <c r="X188" i="3"/>
  <c r="X185" i="3"/>
  <c r="AD54" i="3"/>
  <c r="AE55" i="3"/>
  <c r="G165" i="3"/>
  <c r="AE31" i="3"/>
  <c r="AC59" i="3"/>
  <c r="AD99" i="3"/>
  <c r="X42" i="3"/>
  <c r="X196" i="3" s="1"/>
  <c r="W155" i="3"/>
  <c r="AF18" i="3" l="1"/>
  <c r="G140" i="3"/>
  <c r="G137" i="3"/>
  <c r="G105" i="3"/>
  <c r="AI184" i="3"/>
  <c r="AJ147" i="3"/>
  <c r="AB104" i="3"/>
  <c r="AC104" i="3" s="1"/>
  <c r="AC103" i="3"/>
  <c r="AB190" i="3"/>
  <c r="AC150" i="3"/>
  <c r="AC190" i="3" s="1"/>
  <c r="Y155" i="3"/>
  <c r="AE44" i="3"/>
  <c r="AF45" i="3"/>
  <c r="AI182" i="3"/>
  <c r="AJ149" i="3"/>
  <c r="AB91" i="3"/>
  <c r="AC92" i="3"/>
  <c r="AD104" i="3"/>
  <c r="AE98" i="3"/>
  <c r="AD190" i="3"/>
  <c r="AI19" i="3"/>
  <c r="AJ20" i="3"/>
  <c r="AF31" i="3"/>
  <c r="AE54" i="3"/>
  <c r="AF55" i="3"/>
  <c r="AD91" i="3"/>
  <c r="AH19" i="3"/>
  <c r="AF72" i="3"/>
  <c r="AE134" i="3"/>
  <c r="AE37" i="3"/>
  <c r="AF38" i="3"/>
  <c r="X155" i="3"/>
  <c r="W156" i="3"/>
  <c r="W157" i="3"/>
  <c r="AE181" i="3"/>
  <c r="AF148" i="3"/>
  <c r="AI24" i="3"/>
  <c r="AJ25" i="3"/>
  <c r="AE59" i="3"/>
  <c r="AE99" i="3" s="1"/>
  <c r="AF60" i="3"/>
  <c r="AH24" i="3"/>
  <c r="AI93" i="3"/>
  <c r="AI186" i="3"/>
  <c r="AJ151" i="3"/>
  <c r="Z195" i="3"/>
  <c r="Z177" i="3"/>
  <c r="Z178" i="3"/>
  <c r="Z130" i="3"/>
  <c r="Z42" i="3"/>
  <c r="AI187" i="3"/>
  <c r="AJ152" i="3"/>
  <c r="Z185" i="3"/>
  <c r="Z188" i="3"/>
  <c r="AJ65" i="3"/>
  <c r="AI100" i="3"/>
  <c r="Y135" i="3"/>
  <c r="Y196" i="3"/>
  <c r="AI183" i="3"/>
  <c r="AJ146" i="3"/>
  <c r="AH186" i="3"/>
  <c r="AA145" i="3"/>
  <c r="AB33" i="3"/>
  <c r="AA30" i="3"/>
  <c r="AH187" i="3"/>
  <c r="W158" i="3" l="1"/>
  <c r="X156" i="3"/>
  <c r="AJ184" i="3"/>
  <c r="AK147" i="3"/>
  <c r="AK65" i="3"/>
  <c r="AK100" i="3"/>
  <c r="AJ182" i="3"/>
  <c r="AK149" i="3"/>
  <c r="AJ187" i="3"/>
  <c r="AK152" i="3"/>
  <c r="AC91" i="3"/>
  <c r="AF59" i="3"/>
  <c r="AG60" i="3"/>
  <c r="AF54" i="3"/>
  <c r="AG55" i="3"/>
  <c r="Y156" i="3"/>
  <c r="Y158" i="3" s="1"/>
  <c r="Y192" i="3" s="1"/>
  <c r="Y157" i="3"/>
  <c r="Y159" i="3" s="1"/>
  <c r="Y193" i="3" s="1"/>
  <c r="AF181" i="3"/>
  <c r="AG148" i="3"/>
  <c r="W159" i="3"/>
  <c r="X157" i="3"/>
  <c r="AF44" i="3"/>
  <c r="AG45" i="3"/>
  <c r="AJ183" i="3"/>
  <c r="AK146" i="3"/>
  <c r="AA195" i="3"/>
  <c r="AA196" i="3"/>
  <c r="AA177" i="3"/>
  <c r="AA178" i="3"/>
  <c r="AA130" i="3"/>
  <c r="AA42" i="3"/>
  <c r="AB102" i="3"/>
  <c r="AB145" i="3"/>
  <c r="AC33" i="3"/>
  <c r="AD33" i="3"/>
  <c r="AB30" i="3"/>
  <c r="AA135" i="3"/>
  <c r="Z155" i="3"/>
  <c r="G164" i="3"/>
  <c r="G139" i="3"/>
  <c r="AJ186" i="3"/>
  <c r="AK151" i="3"/>
  <c r="AE150" i="3"/>
  <c r="AE92" i="3"/>
  <c r="AE103" i="3"/>
  <c r="AG134" i="3"/>
  <c r="AG31" i="3"/>
  <c r="AD102" i="3"/>
  <c r="Z135" i="3"/>
  <c r="G111" i="3"/>
  <c r="G115" i="3"/>
  <c r="G118" i="3"/>
  <c r="G172" i="3"/>
  <c r="G171" i="3"/>
  <c r="AJ100" i="3"/>
  <c r="AG72" i="3"/>
  <c r="AG18" i="3"/>
  <c r="AJ95" i="3"/>
  <c r="AA185" i="3"/>
  <c r="AA188" i="3"/>
  <c r="AF98" i="3"/>
  <c r="AA131" i="3"/>
  <c r="AJ93" i="3"/>
  <c r="Z196" i="3"/>
  <c r="AF134" i="3"/>
  <c r="AF37" i="3"/>
  <c r="AG38" i="3"/>
  <c r="AJ24" i="3"/>
  <c r="AK25" i="3"/>
  <c r="Z131" i="3"/>
  <c r="AI95" i="3"/>
  <c r="AJ19" i="3"/>
  <c r="AK20" i="3"/>
  <c r="AK182" i="3" l="1"/>
  <c r="AL149" i="3"/>
  <c r="AK187" i="3"/>
  <c r="AL152" i="3"/>
  <c r="AK24" i="3"/>
  <c r="AL25" i="3"/>
  <c r="AG59" i="3"/>
  <c r="AH60" i="3"/>
  <c r="AI60" i="3"/>
  <c r="AB195" i="3"/>
  <c r="AB178" i="3"/>
  <c r="AB177" i="3"/>
  <c r="AC30" i="3"/>
  <c r="AB130" i="3"/>
  <c r="AB42" i="3"/>
  <c r="AL65" i="3"/>
  <c r="AL100" i="3"/>
  <c r="AM100" i="3" s="1"/>
  <c r="AK184" i="3"/>
  <c r="AL147" i="3"/>
  <c r="AG103" i="3"/>
  <c r="AG150" i="3"/>
  <c r="AG190" i="3" s="1"/>
  <c r="AG92" i="3"/>
  <c r="G106" i="3"/>
  <c r="AB188" i="3"/>
  <c r="AB185" i="3"/>
  <c r="AC145" i="3"/>
  <c r="AH55" i="3"/>
  <c r="AG54" i="3"/>
  <c r="AI55" i="3"/>
  <c r="W193" i="3"/>
  <c r="X159" i="3"/>
  <c r="X193" i="3" s="1"/>
  <c r="AH134" i="3"/>
  <c r="AK186" i="3"/>
  <c r="AL151" i="3"/>
  <c r="G141" i="3"/>
  <c r="AH18" i="3"/>
  <c r="AI18" i="3"/>
  <c r="AA155" i="3"/>
  <c r="AG181" i="3"/>
  <c r="AH148" i="3"/>
  <c r="AH181" i="3" s="1"/>
  <c r="AI148" i="3"/>
  <c r="W192" i="3"/>
  <c r="X158" i="3"/>
  <c r="X192" i="3" s="1"/>
  <c r="AE104" i="3"/>
  <c r="AE102" i="3" s="1"/>
  <c r="AE91" i="3"/>
  <c r="AH92" i="3"/>
  <c r="AE190" i="3"/>
  <c r="AH150" i="3"/>
  <c r="AH190" i="3" s="1"/>
  <c r="AD145" i="3"/>
  <c r="AE33" i="3"/>
  <c r="AD30" i="3"/>
  <c r="AG37" i="3"/>
  <c r="AH37" i="3" s="1"/>
  <c r="AH38" i="3"/>
  <c r="AI38" i="3"/>
  <c r="G166" i="3"/>
  <c r="AF99" i="3"/>
  <c r="AK19" i="3"/>
  <c r="AL20" i="3"/>
  <c r="AF103" i="3"/>
  <c r="AH103" i="3" s="1"/>
  <c r="AF150" i="3"/>
  <c r="AF190" i="3" s="1"/>
  <c r="AF92" i="3"/>
  <c r="AH31" i="3"/>
  <c r="AI31" i="3"/>
  <c r="AB131" i="3"/>
  <c r="AC131" i="3" s="1"/>
  <c r="AK183" i="3"/>
  <c r="AL146" i="3"/>
  <c r="AG44" i="3"/>
  <c r="AH45" i="3"/>
  <c r="AI45" i="3"/>
  <c r="AB189" i="3"/>
  <c r="AC102" i="3"/>
  <c r="AC189" i="3" s="1"/>
  <c r="AD189" i="3"/>
  <c r="AH72" i="3"/>
  <c r="AI72" i="3"/>
  <c r="Z156" i="3"/>
  <c r="Z158" i="3" s="1"/>
  <c r="Z192" i="3" s="1"/>
  <c r="Z157" i="3"/>
  <c r="Z159" i="3" s="1"/>
  <c r="Z193" i="3" s="1"/>
  <c r="AE189" i="3" l="1"/>
  <c r="G119" i="3"/>
  <c r="AC42" i="3"/>
  <c r="AB155" i="3"/>
  <c r="AL24" i="3"/>
  <c r="AM25" i="3"/>
  <c r="AN25" i="3"/>
  <c r="AL186" i="3"/>
  <c r="AM151" i="3"/>
  <c r="AN151" i="3"/>
  <c r="AJ72" i="3"/>
  <c r="AG91" i="3"/>
  <c r="AC130" i="3"/>
  <c r="AM20" i="3"/>
  <c r="AL19" i="3"/>
  <c r="AN20" i="3"/>
  <c r="AC195" i="3"/>
  <c r="AC177" i="3"/>
  <c r="AC178" i="3"/>
  <c r="AL187" i="3"/>
  <c r="AM152" i="3"/>
  <c r="AM187" i="3" s="1"/>
  <c r="AN152" i="3"/>
  <c r="AG104" i="3"/>
  <c r="AH104" i="3" s="1"/>
  <c r="G170" i="3"/>
  <c r="AL95" i="3"/>
  <c r="AK95" i="3"/>
  <c r="AM95" i="3" s="1"/>
  <c r="AJ31" i="3"/>
  <c r="AI37" i="3"/>
  <c r="AJ38" i="3"/>
  <c r="AB135" i="3"/>
  <c r="AC135" i="3" s="1"/>
  <c r="AK93" i="3"/>
  <c r="AL184" i="3"/>
  <c r="AM147" i="3"/>
  <c r="AM184" i="3" s="1"/>
  <c r="AN147" i="3"/>
  <c r="AL182" i="3"/>
  <c r="AM149" i="3"/>
  <c r="AM182" i="3" s="1"/>
  <c r="AN149" i="3"/>
  <c r="AI54" i="3"/>
  <c r="AJ55" i="3"/>
  <c r="AI181" i="3"/>
  <c r="AJ148" i="3"/>
  <c r="AA156" i="3"/>
  <c r="AA158" i="3" s="1"/>
  <c r="AA192" i="3" s="1"/>
  <c r="AA157" i="3"/>
  <c r="AA159" i="3" s="1"/>
  <c r="AA193" i="3" s="1"/>
  <c r="AJ18" i="3"/>
  <c r="AH54" i="3"/>
  <c r="AG98" i="3"/>
  <c r="AH98" i="3" s="1"/>
  <c r="AI44" i="3"/>
  <c r="AJ45" i="3"/>
  <c r="AM65" i="3"/>
  <c r="AN65" i="3"/>
  <c r="AN100" i="3" s="1"/>
  <c r="AH44" i="3"/>
  <c r="AL183" i="3"/>
  <c r="AM146" i="3"/>
  <c r="AM183" i="3" s="1"/>
  <c r="AN146" i="3"/>
  <c r="AB196" i="3"/>
  <c r="AD195" i="3"/>
  <c r="AD177" i="3"/>
  <c r="AD178" i="3"/>
  <c r="AD130" i="3"/>
  <c r="AD131" i="3" s="1"/>
  <c r="AD42" i="3"/>
  <c r="AD135" i="3" s="1"/>
  <c r="AC188" i="3"/>
  <c r="AC185" i="3"/>
  <c r="AF104" i="3"/>
  <c r="AF102" i="3" s="1"/>
  <c r="AH59" i="3"/>
  <c r="AI134" i="3"/>
  <c r="AF91" i="3"/>
  <c r="AE145" i="3"/>
  <c r="AF33" i="3"/>
  <c r="AE30" i="3"/>
  <c r="AD188" i="3"/>
  <c r="AD185" i="3"/>
  <c r="AG99" i="3"/>
  <c r="AH99" i="3" s="1"/>
  <c r="AI59" i="3"/>
  <c r="AJ60" i="3"/>
  <c r="AF189" i="3" l="1"/>
  <c r="AG102" i="3"/>
  <c r="AG189" i="3" s="1"/>
  <c r="AJ37" i="3"/>
  <c r="AK38" i="3"/>
  <c r="AJ54" i="3"/>
  <c r="AJ98" i="3" s="1"/>
  <c r="AK55" i="3"/>
  <c r="AJ44" i="3"/>
  <c r="AK45" i="3"/>
  <c r="AK72" i="3"/>
  <c r="AM24" i="3"/>
  <c r="AN93" i="3"/>
  <c r="AJ181" i="3"/>
  <c r="AK148" i="3"/>
  <c r="AC155" i="3"/>
  <c r="AB156" i="3"/>
  <c r="AB157" i="3"/>
  <c r="AH91" i="3"/>
  <c r="AC196" i="3"/>
  <c r="AN186" i="3"/>
  <c r="AO151" i="3"/>
  <c r="G121" i="3"/>
  <c r="AE135" i="3"/>
  <c r="AD155" i="3"/>
  <c r="AO65" i="3"/>
  <c r="AO100" i="3" s="1"/>
  <c r="AJ59" i="3"/>
  <c r="AK60" i="3"/>
  <c r="AN182" i="3"/>
  <c r="AO149" i="3"/>
  <c r="AM186" i="3"/>
  <c r="AL93" i="3"/>
  <c r="AM93" i="3" s="1"/>
  <c r="AN187" i="3"/>
  <c r="AO152" i="3"/>
  <c r="AJ99" i="3"/>
  <c r="AI99" i="3"/>
  <c r="AE195" i="3"/>
  <c r="AE178" i="3"/>
  <c r="AE177" i="3"/>
  <c r="AE130" i="3"/>
  <c r="AE42" i="3"/>
  <c r="AE196" i="3" s="1"/>
  <c r="AN184" i="3"/>
  <c r="AO147" i="3"/>
  <c r="AN19" i="3"/>
  <c r="AN95" i="3" s="1"/>
  <c r="AO20" i="3"/>
  <c r="AI150" i="3"/>
  <c r="AI92" i="3"/>
  <c r="AI103" i="3"/>
  <c r="AK31" i="3"/>
  <c r="AD196" i="3"/>
  <c r="AN183" i="3"/>
  <c r="AO146" i="3"/>
  <c r="AM19" i="3"/>
  <c r="AN24" i="3"/>
  <c r="AO25" i="3"/>
  <c r="AJ134" i="3"/>
  <c r="AI98" i="3"/>
  <c r="AF145" i="3"/>
  <c r="AG33" i="3"/>
  <c r="AF30" i="3"/>
  <c r="AE185" i="3"/>
  <c r="AE188" i="3"/>
  <c r="AK18" i="3"/>
  <c r="AO19" i="3" l="1"/>
  <c r="AP20" i="3"/>
  <c r="AO187" i="3"/>
  <c r="AP152" i="3"/>
  <c r="AK54" i="3"/>
  <c r="AL55" i="3"/>
  <c r="AD156" i="3"/>
  <c r="AD158" i="3" s="1"/>
  <c r="AD192" i="3" s="1"/>
  <c r="AD157" i="3"/>
  <c r="AD159" i="3" s="1"/>
  <c r="AD193" i="3" s="1"/>
  <c r="AK181" i="3"/>
  <c r="AL148" i="3"/>
  <c r="AO183" i="3"/>
  <c r="AP146" i="3"/>
  <c r="AJ150" i="3"/>
  <c r="AJ190" i="3" s="1"/>
  <c r="AJ92" i="3"/>
  <c r="AJ103" i="3"/>
  <c r="AC156" i="3"/>
  <c r="AB158" i="3"/>
  <c r="AK37" i="3"/>
  <c r="AL38" i="3"/>
  <c r="AO24" i="3"/>
  <c r="AP25" i="3"/>
  <c r="AL72" i="3"/>
  <c r="AO182" i="3"/>
  <c r="AP149" i="3"/>
  <c r="AK59" i="3"/>
  <c r="AL60" i="3"/>
  <c r="AO186" i="3"/>
  <c r="AP151" i="3"/>
  <c r="AO184" i="3"/>
  <c r="AP147" i="3"/>
  <c r="AL18" i="3"/>
  <c r="AK44" i="3"/>
  <c r="AL45" i="3"/>
  <c r="AI102" i="3"/>
  <c r="AI104" i="3"/>
  <c r="AI91" i="3"/>
  <c r="AG145" i="3"/>
  <c r="AH33" i="3"/>
  <c r="AI33" i="3"/>
  <c r="AG30" i="3"/>
  <c r="AF185" i="3"/>
  <c r="AF188" i="3"/>
  <c r="AO95" i="3"/>
  <c r="AE155" i="3"/>
  <c r="AL31" i="3"/>
  <c r="G122" i="3"/>
  <c r="AK134" i="3"/>
  <c r="AH102" i="3"/>
  <c r="AH189" i="3" s="1"/>
  <c r="AP65" i="3"/>
  <c r="AP100" i="3"/>
  <c r="AF195" i="3"/>
  <c r="AF178" i="3"/>
  <c r="AF177" i="3"/>
  <c r="AF130" i="3"/>
  <c r="AF42" i="3"/>
  <c r="AI190" i="3"/>
  <c r="AE131" i="3"/>
  <c r="AC157" i="3"/>
  <c r="AB159" i="3"/>
  <c r="AB192" i="3" l="1"/>
  <c r="AC158" i="3"/>
  <c r="AC192" i="3" s="1"/>
  <c r="AL54" i="3"/>
  <c r="AL98" i="3" s="1"/>
  <c r="AM55" i="3"/>
  <c r="AN55" i="3"/>
  <c r="AM31" i="3"/>
  <c r="AN31" i="3"/>
  <c r="AN134" i="3" s="1"/>
  <c r="AL59" i="3"/>
  <c r="AM60" i="3"/>
  <c r="AN60" i="3"/>
  <c r="AG135" i="3"/>
  <c r="AF155" i="3"/>
  <c r="AI145" i="3"/>
  <c r="AJ33" i="3"/>
  <c r="AI30" i="3"/>
  <c r="AL99" i="3"/>
  <c r="AJ104" i="3"/>
  <c r="AJ102" i="3" s="1"/>
  <c r="AP187" i="3"/>
  <c r="AQ152" i="3"/>
  <c r="AL44" i="3"/>
  <c r="AM45" i="3"/>
  <c r="AN45" i="3"/>
  <c r="AF131" i="3"/>
  <c r="AP93" i="3"/>
  <c r="AG185" i="3"/>
  <c r="AG188" i="3"/>
  <c r="AH145" i="3"/>
  <c r="AP184" i="3"/>
  <c r="AQ147" i="3"/>
  <c r="AP182" i="3"/>
  <c r="AQ149" i="3"/>
  <c r="AP19" i="3"/>
  <c r="AQ20" i="3"/>
  <c r="G125" i="3"/>
  <c r="AF196" i="3"/>
  <c r="AE157" i="3"/>
  <c r="AE159" i="3" s="1"/>
  <c r="AE193" i="3" s="1"/>
  <c r="AE156" i="3"/>
  <c r="AE158" i="3" s="1"/>
  <c r="AE192" i="3" s="1"/>
  <c r="AP183" i="3"/>
  <c r="AQ146" i="3"/>
  <c r="AM18" i="3"/>
  <c r="AN18" i="3"/>
  <c r="AL134" i="3"/>
  <c r="AK98" i="3"/>
  <c r="AM72" i="3"/>
  <c r="AN72" i="3"/>
  <c r="AI189" i="3"/>
  <c r="AL37" i="3"/>
  <c r="AM37" i="3" s="1"/>
  <c r="AM38" i="3"/>
  <c r="AN38" i="3"/>
  <c r="AP186" i="3"/>
  <c r="AQ151" i="3"/>
  <c r="AG195" i="3"/>
  <c r="AG196" i="3"/>
  <c r="AG178" i="3"/>
  <c r="AG177" i="3"/>
  <c r="AH30" i="3"/>
  <c r="AG130" i="3"/>
  <c r="AG42" i="3"/>
  <c r="AO93" i="3"/>
  <c r="AF135" i="3"/>
  <c r="AH135" i="3" s="1"/>
  <c r="AK103" i="3"/>
  <c r="AK150" i="3"/>
  <c r="AK92" i="3"/>
  <c r="AJ91" i="3"/>
  <c r="AB193" i="3"/>
  <c r="AC159" i="3"/>
  <c r="AC193" i="3" s="1"/>
  <c r="AQ65" i="3"/>
  <c r="AQ100" i="3"/>
  <c r="AR100" i="3" s="1"/>
  <c r="AK99" i="3"/>
  <c r="AM99" i="3" s="1"/>
  <c r="AP24" i="3"/>
  <c r="AQ25" i="3"/>
  <c r="AL181" i="3"/>
  <c r="AM148" i="3"/>
  <c r="AM181" i="3" s="1"/>
  <c r="AN148" i="3"/>
  <c r="AN150" i="3" l="1"/>
  <c r="AN103" i="3"/>
  <c r="AN92" i="3"/>
  <c r="AJ189" i="3"/>
  <c r="AL103" i="3"/>
  <c r="AL92" i="3"/>
  <c r="AL150" i="3"/>
  <c r="AL190" i="3" s="1"/>
  <c r="AJ145" i="3"/>
  <c r="AK33" i="3"/>
  <c r="AJ30" i="3"/>
  <c r="AM98" i="3"/>
  <c r="AF156" i="3"/>
  <c r="AF158" i="3" s="1"/>
  <c r="AF192" i="3" s="1"/>
  <c r="AF157" i="3"/>
  <c r="AF159" i="3" s="1"/>
  <c r="AF193" i="3" s="1"/>
  <c r="AI185" i="3"/>
  <c r="AI188" i="3"/>
  <c r="AN37" i="3"/>
  <c r="AO38" i="3"/>
  <c r="AQ182" i="3"/>
  <c r="AR149" i="3"/>
  <c r="AR182" i="3" s="1"/>
  <c r="AS149" i="3"/>
  <c r="AN44" i="3"/>
  <c r="AO45" i="3"/>
  <c r="AN54" i="3"/>
  <c r="AO55" i="3"/>
  <c r="G163" i="3"/>
  <c r="G83" i="3"/>
  <c r="G126" i="3"/>
  <c r="AP95" i="3"/>
  <c r="AK102" i="3"/>
  <c r="AK189" i="3" s="1"/>
  <c r="AK104" i="3"/>
  <c r="AH42" i="3"/>
  <c r="AG155" i="3"/>
  <c r="AQ183" i="3"/>
  <c r="AR146" i="3"/>
  <c r="AR183" i="3" s="1"/>
  <c r="AS146" i="3"/>
  <c r="AQ187" i="3"/>
  <c r="AR152" i="3"/>
  <c r="AS152" i="3"/>
  <c r="AI195" i="3"/>
  <c r="AI177" i="3"/>
  <c r="AI178" i="3"/>
  <c r="AI130" i="3"/>
  <c r="AI42" i="3"/>
  <c r="AO18" i="3"/>
  <c r="AM44" i="3"/>
  <c r="AH130" i="3"/>
  <c r="AH185" i="3"/>
  <c r="AH188" i="3"/>
  <c r="AO31" i="3"/>
  <c r="AO134" i="3" s="1"/>
  <c r="AQ186" i="3"/>
  <c r="AR151" i="3"/>
  <c r="AR186" i="3" s="1"/>
  <c r="AS151" i="3"/>
  <c r="AQ184" i="3"/>
  <c r="AR147" i="3"/>
  <c r="AR184" i="3" s="1"/>
  <c r="AS147" i="3"/>
  <c r="AN59" i="3"/>
  <c r="AO60" i="3"/>
  <c r="AG131" i="3"/>
  <c r="AH131" i="3" s="1"/>
  <c r="AR20" i="3"/>
  <c r="AQ19" i="3"/>
  <c r="AQ95" i="3" s="1"/>
  <c r="AS20" i="3"/>
  <c r="AR65" i="3"/>
  <c r="AS65" i="3"/>
  <c r="AN181" i="3"/>
  <c r="AO148" i="3"/>
  <c r="AO72" i="3"/>
  <c r="AR25" i="3"/>
  <c r="AQ24" i="3"/>
  <c r="AS25" i="3"/>
  <c r="AK91" i="3"/>
  <c r="AR93" i="3"/>
  <c r="AM54" i="3"/>
  <c r="AN98" i="3"/>
  <c r="AM134" i="3"/>
  <c r="AH195" i="3"/>
  <c r="AH177" i="3"/>
  <c r="AH178" i="3"/>
  <c r="AQ93" i="3"/>
  <c r="AK190" i="3"/>
  <c r="AM59" i="3"/>
  <c r="AN99" i="3"/>
  <c r="AO150" i="3" l="1"/>
  <c r="AO190" i="3" s="1"/>
  <c r="AO92" i="3"/>
  <c r="AO103" i="3"/>
  <c r="AK145" i="3"/>
  <c r="AL33" i="3"/>
  <c r="AK30" i="3"/>
  <c r="G77" i="3"/>
  <c r="AL91" i="3"/>
  <c r="AM91" i="3" s="1"/>
  <c r="AM92" i="3"/>
  <c r="AR95" i="3"/>
  <c r="AI155" i="3"/>
  <c r="AL104" i="3"/>
  <c r="AL102" i="3" s="1"/>
  <c r="AH155" i="3"/>
  <c r="AG156" i="3"/>
  <c r="AG157" i="3"/>
  <c r="G127" i="3"/>
  <c r="AT65" i="3"/>
  <c r="AT100" i="3"/>
  <c r="AJ188" i="3"/>
  <c r="AJ185" i="3"/>
  <c r="AO54" i="3"/>
  <c r="AP55" i="3"/>
  <c r="AN91" i="3"/>
  <c r="AO37" i="3"/>
  <c r="AP38" i="3"/>
  <c r="AO99" i="3"/>
  <c r="AI135" i="3"/>
  <c r="AO98" i="3"/>
  <c r="AN102" i="3"/>
  <c r="AN104" i="3"/>
  <c r="AS183" i="3"/>
  <c r="AT146" i="3"/>
  <c r="AP31" i="3"/>
  <c r="AS24" i="3"/>
  <c r="AT25" i="3"/>
  <c r="AR24" i="3"/>
  <c r="AS93" i="3"/>
  <c r="AP72" i="3"/>
  <c r="AS184" i="3"/>
  <c r="AT147" i="3"/>
  <c r="AI196" i="3"/>
  <c r="AO44" i="3"/>
  <c r="AP45" i="3"/>
  <c r="AN190" i="3"/>
  <c r="AS186" i="3"/>
  <c r="AT151" i="3"/>
  <c r="AS100" i="3"/>
  <c r="AM150" i="3"/>
  <c r="AM190" i="3" s="1"/>
  <c r="AR19" i="3"/>
  <c r="AO59" i="3"/>
  <c r="AP60" i="3"/>
  <c r="AH196" i="3"/>
  <c r="AS187" i="3"/>
  <c r="AT152" i="3"/>
  <c r="AM103" i="3"/>
  <c r="AP18" i="3"/>
  <c r="AS19" i="3"/>
  <c r="AT20" i="3"/>
  <c r="AI131" i="3"/>
  <c r="AO181" i="3"/>
  <c r="AP148" i="3"/>
  <c r="AR187" i="3"/>
  <c r="AS182" i="3"/>
  <c r="AT149" i="3"/>
  <c r="AJ195" i="3"/>
  <c r="AJ178" i="3"/>
  <c r="AJ177" i="3"/>
  <c r="AJ130" i="3"/>
  <c r="AJ131" i="3" s="1"/>
  <c r="AJ42" i="3"/>
  <c r="AL189" i="3" l="1"/>
  <c r="AM102" i="3"/>
  <c r="AM189" i="3" s="1"/>
  <c r="AM104" i="3"/>
  <c r="AT182" i="3"/>
  <c r="AU149" i="3"/>
  <c r="AT93" i="3"/>
  <c r="AT186" i="3"/>
  <c r="AU151" i="3"/>
  <c r="AT24" i="3"/>
  <c r="AU25" i="3"/>
  <c r="AQ31" i="3"/>
  <c r="AU65" i="3"/>
  <c r="AU100" i="3"/>
  <c r="AK195" i="3"/>
  <c r="AK196" i="3"/>
  <c r="AK178" i="3"/>
  <c r="AK177" i="3"/>
  <c r="AK130" i="3"/>
  <c r="AK42" i="3"/>
  <c r="AP44" i="3"/>
  <c r="AQ45" i="3"/>
  <c r="AI156" i="3"/>
  <c r="AI158" i="3" s="1"/>
  <c r="AI192" i="3" s="1"/>
  <c r="AI157" i="3"/>
  <c r="AI159" i="3" s="1"/>
  <c r="AI193" i="3" s="1"/>
  <c r="AL145" i="3"/>
  <c r="AM33" i="3"/>
  <c r="AN33" i="3"/>
  <c r="AL30" i="3"/>
  <c r="AK135" i="3"/>
  <c r="AJ155" i="3"/>
  <c r="AP59" i="3"/>
  <c r="AQ60" i="3"/>
  <c r="AP134" i="3"/>
  <c r="AK188" i="3"/>
  <c r="AK185" i="3"/>
  <c r="AT183" i="3"/>
  <c r="AU146" i="3"/>
  <c r="AN189" i="3"/>
  <c r="AT187" i="3"/>
  <c r="AU152" i="3"/>
  <c r="AT184" i="3"/>
  <c r="AU147" i="3"/>
  <c r="G200" i="3"/>
  <c r="G84" i="3"/>
  <c r="G74" i="3" s="1"/>
  <c r="AJ135" i="3"/>
  <c r="AO104" i="3"/>
  <c r="AP181" i="3"/>
  <c r="AQ148" i="3"/>
  <c r="AG159" i="3"/>
  <c r="AH157" i="3"/>
  <c r="AO91" i="3"/>
  <c r="AP37" i="3"/>
  <c r="AQ38" i="3"/>
  <c r="AT19" i="3"/>
  <c r="AT95" i="3" s="1"/>
  <c r="AU20" i="3"/>
  <c r="AS95" i="3"/>
  <c r="AQ18" i="3"/>
  <c r="AP54" i="3"/>
  <c r="AQ55" i="3"/>
  <c r="AJ196" i="3"/>
  <c r="AQ72" i="3"/>
  <c r="AP98" i="3"/>
  <c r="AH156" i="3"/>
  <c r="AG158" i="3"/>
  <c r="AQ37" i="3" l="1"/>
  <c r="AR37" i="3" s="1"/>
  <c r="AR38" i="3"/>
  <c r="AS38" i="3"/>
  <c r="AL196" i="3"/>
  <c r="AL195" i="3"/>
  <c r="AL178" i="3"/>
  <c r="AL177" i="3"/>
  <c r="AM30" i="3"/>
  <c r="AL130" i="3"/>
  <c r="AL42" i="3"/>
  <c r="AU182" i="3"/>
  <c r="AV149" i="3"/>
  <c r="AQ181" i="3"/>
  <c r="AR148" i="3"/>
  <c r="AR181" i="3" s="1"/>
  <c r="AS148" i="3"/>
  <c r="AU19" i="3"/>
  <c r="AV20" i="3"/>
  <c r="AP103" i="3"/>
  <c r="AP92" i="3"/>
  <c r="AP150" i="3"/>
  <c r="AN145" i="3"/>
  <c r="AO33" i="3"/>
  <c r="AN30" i="3"/>
  <c r="AG192" i="3"/>
  <c r="AH158" i="3"/>
  <c r="AH192" i="3" s="1"/>
  <c r="G71" i="3"/>
  <c r="AL185" i="3"/>
  <c r="AL188" i="3"/>
  <c r="AM145" i="3"/>
  <c r="AV100" i="3"/>
  <c r="AW100" i="3" s="1"/>
  <c r="AV65" i="3"/>
  <c r="AU184" i="3"/>
  <c r="AV147" i="3"/>
  <c r="AR31" i="3"/>
  <c r="AS31" i="3"/>
  <c r="G203" i="3"/>
  <c r="G202" i="3"/>
  <c r="AQ59" i="3"/>
  <c r="AR60" i="3"/>
  <c r="AS60" i="3"/>
  <c r="AO102" i="3"/>
  <c r="AQ54" i="3"/>
  <c r="AR55" i="3"/>
  <c r="AS55" i="3"/>
  <c r="AG193" i="3"/>
  <c r="AH159" i="3"/>
  <c r="AH193" i="3" s="1"/>
  <c r="AU183" i="3"/>
  <c r="AV146" i="3"/>
  <c r="AQ99" i="3"/>
  <c r="AQ44" i="3"/>
  <c r="AR45" i="3"/>
  <c r="AS45" i="3"/>
  <c r="AQ134" i="3"/>
  <c r="AU186" i="3"/>
  <c r="AV151" i="3"/>
  <c r="AU187" i="3"/>
  <c r="AV152" i="3"/>
  <c r="AU24" i="3"/>
  <c r="AV25" i="3"/>
  <c r="AL131" i="3"/>
  <c r="AR72" i="3"/>
  <c r="AS72" i="3"/>
  <c r="AQ98" i="3"/>
  <c r="AR98" i="3" s="1"/>
  <c r="AR18" i="3"/>
  <c r="AS18" i="3"/>
  <c r="AK131" i="3"/>
  <c r="AP99" i="3"/>
  <c r="AR99" i="3" s="1"/>
  <c r="AJ156" i="3"/>
  <c r="AJ158" i="3" s="1"/>
  <c r="AJ192" i="3" s="1"/>
  <c r="AJ157" i="3"/>
  <c r="AJ159" i="3" s="1"/>
  <c r="AJ193" i="3" s="1"/>
  <c r="AL135" i="3"/>
  <c r="AM135" i="3" s="1"/>
  <c r="AK155" i="3"/>
  <c r="AU93" i="3"/>
  <c r="AM195" i="3" l="1"/>
  <c r="AM178" i="3"/>
  <c r="AM177" i="3"/>
  <c r="AP104" i="3"/>
  <c r="AR54" i="3"/>
  <c r="AS98" i="3"/>
  <c r="G201" i="3"/>
  <c r="G78" i="3"/>
  <c r="G136" i="3"/>
  <c r="AM185" i="3"/>
  <c r="AM188" i="3"/>
  <c r="AS54" i="3"/>
  <c r="AT55" i="3"/>
  <c r="AT72" i="3"/>
  <c r="AO189" i="3"/>
  <c r="AS181" i="3"/>
  <c r="AT148" i="3"/>
  <c r="AS37" i="3"/>
  <c r="AT38" i="3"/>
  <c r="AP190" i="3"/>
  <c r="AR150" i="3"/>
  <c r="AR190" i="3" s="1"/>
  <c r="AT31" i="3"/>
  <c r="AT134" i="3" s="1"/>
  <c r="AS44" i="3"/>
  <c r="AT45" i="3"/>
  <c r="AT18" i="3"/>
  <c r="AV187" i="3"/>
  <c r="AW152" i="3"/>
  <c r="AX152" i="3"/>
  <c r="AV19" i="3"/>
  <c r="AW20" i="3"/>
  <c r="AX20" i="3"/>
  <c r="AS59" i="3"/>
  <c r="AT60" i="3"/>
  <c r="AV184" i="3"/>
  <c r="AW147" i="3"/>
  <c r="AW184" i="3" s="1"/>
  <c r="AX147" i="3"/>
  <c r="AN195" i="3"/>
  <c r="AN178" i="3"/>
  <c r="AN177" i="3"/>
  <c r="AN130" i="3"/>
  <c r="AN42" i="3"/>
  <c r="AV182" i="3"/>
  <c r="AW149" i="3"/>
  <c r="AW182" i="3" s="1"/>
  <c r="AX149" i="3"/>
  <c r="AP91" i="3"/>
  <c r="AR92" i="3"/>
  <c r="AK157" i="3"/>
  <c r="AK159" i="3" s="1"/>
  <c r="AK193" i="3" s="1"/>
  <c r="AK156" i="3"/>
  <c r="AK158" i="3" s="1"/>
  <c r="AK192" i="3" s="1"/>
  <c r="AQ92" i="3"/>
  <c r="AQ150" i="3"/>
  <c r="AQ190" i="3" s="1"/>
  <c r="AQ103" i="3"/>
  <c r="AR103" i="3" s="1"/>
  <c r="AU95" i="3"/>
  <c r="AR44" i="3"/>
  <c r="AV93" i="3"/>
  <c r="AW93" i="3" s="1"/>
  <c r="AV183" i="3"/>
  <c r="AW146" i="3"/>
  <c r="AW183" i="3" s="1"/>
  <c r="AX146" i="3"/>
  <c r="AR59" i="3"/>
  <c r="AN185" i="3"/>
  <c r="AN188" i="3"/>
  <c r="AN135" i="3"/>
  <c r="AM42" i="3"/>
  <c r="AL155" i="3"/>
  <c r="AV186" i="3"/>
  <c r="AW151" i="3"/>
  <c r="AW186" i="3" s="1"/>
  <c r="AX151" i="3"/>
  <c r="AS134" i="3"/>
  <c r="AV24" i="3"/>
  <c r="AW25" i="3"/>
  <c r="AX25" i="3"/>
  <c r="AO145" i="3"/>
  <c r="AP33" i="3"/>
  <c r="AO30" i="3"/>
  <c r="AM131" i="3"/>
  <c r="AW65" i="3"/>
  <c r="AX65" i="3"/>
  <c r="AX100" i="3" s="1"/>
  <c r="AR134" i="3"/>
  <c r="AM130" i="3"/>
  <c r="AN131" i="3"/>
  <c r="AT103" i="3" l="1"/>
  <c r="AT92" i="3"/>
  <c r="AT150" i="3"/>
  <c r="AT190" i="3" s="1"/>
  <c r="AO195" i="3"/>
  <c r="AO178" i="3"/>
  <c r="AO177" i="3"/>
  <c r="AO130" i="3"/>
  <c r="AO42" i="3"/>
  <c r="AT44" i="3"/>
  <c r="AU45" i="3"/>
  <c r="AX24" i="3"/>
  <c r="AY25" i="3"/>
  <c r="AT54" i="3"/>
  <c r="AU55" i="3"/>
  <c r="AX19" i="3"/>
  <c r="AY20" i="3"/>
  <c r="AT98" i="3"/>
  <c r="AR104" i="3"/>
  <c r="AU31" i="3"/>
  <c r="AN155" i="3"/>
  <c r="AP102" i="3"/>
  <c r="AX184" i="3"/>
  <c r="AY147" i="3"/>
  <c r="AO188" i="3"/>
  <c r="AO185" i="3"/>
  <c r="AS92" i="3"/>
  <c r="AS103" i="3"/>
  <c r="AS150" i="3"/>
  <c r="AO131" i="3"/>
  <c r="AW19" i="3"/>
  <c r="AX95" i="3"/>
  <c r="AU72" i="3"/>
  <c r="AX187" i="3"/>
  <c r="AY152" i="3"/>
  <c r="AT37" i="3"/>
  <c r="AU38" i="3"/>
  <c r="AV95" i="3"/>
  <c r="AW95" i="3" s="1"/>
  <c r="AP145" i="3"/>
  <c r="AQ33" i="3"/>
  <c r="AP30" i="3"/>
  <c r="AX182" i="3"/>
  <c r="AY149" i="3"/>
  <c r="AW187" i="3"/>
  <c r="AM155" i="3"/>
  <c r="AL157" i="3"/>
  <c r="AL156" i="3"/>
  <c r="AQ104" i="3"/>
  <c r="AQ102" i="3" s="1"/>
  <c r="AQ189" i="3" s="1"/>
  <c r="AX186" i="3"/>
  <c r="AY151" i="3"/>
  <c r="AN196" i="3"/>
  <c r="AT181" i="3"/>
  <c r="AU148" i="3"/>
  <c r="G162" i="3"/>
  <c r="AM196" i="3"/>
  <c r="AR91" i="3"/>
  <c r="AT59" i="3"/>
  <c r="AU60" i="3"/>
  <c r="AW24" i="3"/>
  <c r="AX93" i="3"/>
  <c r="AS99" i="3"/>
  <c r="AY65" i="3"/>
  <c r="AX183" i="3"/>
  <c r="AY146" i="3"/>
  <c r="AQ91" i="3"/>
  <c r="AU18" i="3"/>
  <c r="G87" i="3"/>
  <c r="H82" i="3"/>
  <c r="G51" i="3"/>
  <c r="G50" i="3" s="1"/>
  <c r="G194" i="3"/>
  <c r="AY186" i="3" l="1"/>
  <c r="AZ151" i="3"/>
  <c r="AY184" i="3"/>
  <c r="AZ147" i="3"/>
  <c r="AP189" i="3"/>
  <c r="AR102" i="3"/>
  <c r="AR189" i="3" s="1"/>
  <c r="AP135" i="3"/>
  <c r="AO155" i="3"/>
  <c r="AP195" i="3"/>
  <c r="AP177" i="3"/>
  <c r="AP178" i="3"/>
  <c r="AP130" i="3"/>
  <c r="AP42" i="3"/>
  <c r="AS104" i="3"/>
  <c r="AU98" i="3"/>
  <c r="AU59" i="3"/>
  <c r="AV60" i="3"/>
  <c r="AV18" i="3"/>
  <c r="AS91" i="3"/>
  <c r="AT99" i="3"/>
  <c r="AU54" i="3"/>
  <c r="AV55" i="3"/>
  <c r="AL158" i="3"/>
  <c r="AM156" i="3"/>
  <c r="AO135" i="3"/>
  <c r="AY24" i="3"/>
  <c r="AY93" i="3" s="1"/>
  <c r="AZ25" i="3"/>
  <c r="AO196" i="3"/>
  <c r="G88" i="3"/>
  <c r="G7" i="3" s="1"/>
  <c r="AP188" i="3"/>
  <c r="AP185" i="3"/>
  <c r="AS190" i="3"/>
  <c r="AL159" i="3"/>
  <c r="AM157" i="3"/>
  <c r="AU37" i="3"/>
  <c r="AV38" i="3"/>
  <c r="AV134" i="3"/>
  <c r="AV31" i="3"/>
  <c r="G132" i="3"/>
  <c r="H97" i="3"/>
  <c r="G69" i="3"/>
  <c r="G79" i="3" s="1"/>
  <c r="G5" i="3" s="1"/>
  <c r="AQ145" i="3"/>
  <c r="AR33" i="3"/>
  <c r="AS33" i="3"/>
  <c r="AQ30" i="3"/>
  <c r="AU181" i="3"/>
  <c r="AV148" i="3"/>
  <c r="AY19" i="3"/>
  <c r="AZ20" i="3"/>
  <c r="AN157" i="3"/>
  <c r="AN159" i="3" s="1"/>
  <c r="AN193" i="3" s="1"/>
  <c r="AN156" i="3"/>
  <c r="AN158" i="3" s="1"/>
  <c r="AN192" i="3" s="1"/>
  <c r="AY187" i="3"/>
  <c r="AZ152" i="3"/>
  <c r="AY183" i="3"/>
  <c r="AZ146" i="3"/>
  <c r="AZ65" i="3"/>
  <c r="AZ100" i="3"/>
  <c r="AV72" i="3"/>
  <c r="AY100" i="3"/>
  <c r="AY182" i="3"/>
  <c r="AZ149" i="3"/>
  <c r="AU134" i="3"/>
  <c r="AU44" i="3"/>
  <c r="AV45" i="3"/>
  <c r="AT91" i="3"/>
  <c r="AT102" i="3"/>
  <c r="AT189" i="3" s="1"/>
  <c r="AT104" i="3"/>
  <c r="AV92" i="3" l="1"/>
  <c r="AV103" i="3"/>
  <c r="AV150" i="3"/>
  <c r="AV190" i="3" s="1"/>
  <c r="AQ131" i="3"/>
  <c r="AZ184" i="3"/>
  <c r="BA147" i="3"/>
  <c r="AP155" i="3"/>
  <c r="AX18" i="3"/>
  <c r="AW18" i="3"/>
  <c r="AQ195" i="3"/>
  <c r="AQ196" i="3"/>
  <c r="AQ177" i="3"/>
  <c r="AQ178" i="3"/>
  <c r="AR30" i="3"/>
  <c r="AQ130" i="3"/>
  <c r="AQ42" i="3"/>
  <c r="AQ185" i="3"/>
  <c r="AQ188" i="3"/>
  <c r="AR145" i="3"/>
  <c r="AL193" i="3"/>
  <c r="AM159" i="3"/>
  <c r="AM193" i="3" s="1"/>
  <c r="AP196" i="3"/>
  <c r="AV181" i="3"/>
  <c r="AW148" i="3"/>
  <c r="AW181" i="3" s="1"/>
  <c r="AX148" i="3"/>
  <c r="AL192" i="3"/>
  <c r="AM158" i="3"/>
  <c r="AM192" i="3" s="1"/>
  <c r="AP131" i="3"/>
  <c r="AR131" i="3" s="1"/>
  <c r="AZ186" i="3"/>
  <c r="BA151" i="3"/>
  <c r="AZ95" i="3"/>
  <c r="AW72" i="3"/>
  <c r="AX72" i="3"/>
  <c r="AW38" i="3"/>
  <c r="AV37" i="3"/>
  <c r="AW37" i="3" s="1"/>
  <c r="AX38" i="3"/>
  <c r="AZ24" i="3"/>
  <c r="BA25" i="3"/>
  <c r="AW60" i="3"/>
  <c r="AV59" i="3"/>
  <c r="AV99" i="3" s="1"/>
  <c r="AX60" i="3"/>
  <c r="AZ183" i="3"/>
  <c r="BA146" i="3"/>
  <c r="H96" i="3"/>
  <c r="H138" i="3"/>
  <c r="I97" i="3"/>
  <c r="AV54" i="3"/>
  <c r="AW55" i="3"/>
  <c r="AX55" i="3"/>
  <c r="AU99" i="3"/>
  <c r="AS145" i="3"/>
  <c r="AT33" i="3"/>
  <c r="AS30" i="3"/>
  <c r="AZ187" i="3"/>
  <c r="BA152" i="3"/>
  <c r="AV98" i="3"/>
  <c r="AW98" i="3" s="1"/>
  <c r="AS102" i="3"/>
  <c r="AO156" i="3"/>
  <c r="AO158" i="3" s="1"/>
  <c r="AO192" i="3" s="1"/>
  <c r="AO157" i="3"/>
  <c r="AO159" i="3" s="1"/>
  <c r="AO193" i="3" s="1"/>
  <c r="BA100" i="3"/>
  <c r="BB100" i="3" s="1"/>
  <c r="BA65" i="3"/>
  <c r="AX134" i="3"/>
  <c r="AW31" i="3"/>
  <c r="AX31" i="3"/>
  <c r="AW45" i="3"/>
  <c r="AV44" i="3"/>
  <c r="AX45" i="3"/>
  <c r="AU103" i="3"/>
  <c r="AU150" i="3"/>
  <c r="AU92" i="3"/>
  <c r="AW134" i="3"/>
  <c r="G197" i="3"/>
  <c r="G133" i="3"/>
  <c r="AZ182" i="3"/>
  <c r="BA149" i="3"/>
  <c r="AZ19" i="3"/>
  <c r="BA20" i="3"/>
  <c r="AY95" i="3"/>
  <c r="AR195" i="3" l="1"/>
  <c r="AR178" i="3"/>
  <c r="AR177" i="3"/>
  <c r="BA184" i="3"/>
  <c r="BB147" i="3"/>
  <c r="BB184" i="3" s="1"/>
  <c r="BC147" i="3"/>
  <c r="AX92" i="3"/>
  <c r="AX103" i="3"/>
  <c r="AX150" i="3"/>
  <c r="AS185" i="3"/>
  <c r="AS188" i="3"/>
  <c r="BA186" i="3"/>
  <c r="BB151" i="3"/>
  <c r="BC151" i="3"/>
  <c r="AU91" i="3"/>
  <c r="AW92" i="3"/>
  <c r="BA24" i="3"/>
  <c r="BA93" i="3" s="1"/>
  <c r="BB25" i="3"/>
  <c r="BC25" i="3"/>
  <c r="G167" i="3"/>
  <c r="G168" i="3" s="1"/>
  <c r="AT145" i="3"/>
  <c r="AU33" i="3"/>
  <c r="AT30" i="3"/>
  <c r="AR185" i="3"/>
  <c r="AR188" i="3"/>
  <c r="AY18" i="3"/>
  <c r="BB65" i="3"/>
  <c r="BC65" i="3"/>
  <c r="AX37" i="3"/>
  <c r="AY38" i="3"/>
  <c r="BA19" i="3"/>
  <c r="BB20" i="3"/>
  <c r="BC20" i="3"/>
  <c r="AV104" i="3"/>
  <c r="AV102" i="3" s="1"/>
  <c r="AV189" i="3" s="1"/>
  <c r="AW99" i="3"/>
  <c r="AP156" i="3"/>
  <c r="AP158" i="3" s="1"/>
  <c r="AP192" i="3" s="1"/>
  <c r="AP157" i="3"/>
  <c r="AP159" i="3" s="1"/>
  <c r="AP193" i="3" s="1"/>
  <c r="AV91" i="3"/>
  <c r="AS195" i="3"/>
  <c r="AS178" i="3"/>
  <c r="AS177" i="3"/>
  <c r="AS130" i="3"/>
  <c r="AS42" i="3"/>
  <c r="AX59" i="3"/>
  <c r="AY60" i="3"/>
  <c r="AW59" i="3"/>
  <c r="AX99" i="3"/>
  <c r="AU190" i="3"/>
  <c r="AW150" i="3"/>
  <c r="AW190" i="3" s="1"/>
  <c r="AS189" i="3"/>
  <c r="AX54" i="3"/>
  <c r="AY55" i="3"/>
  <c r="AX44" i="3"/>
  <c r="AY45" i="3"/>
  <c r="AW54" i="3"/>
  <c r="AX98" i="3"/>
  <c r="BA95" i="3"/>
  <c r="AZ93" i="3"/>
  <c r="BA182" i="3"/>
  <c r="BB149" i="3"/>
  <c r="BB182" i="3" s="1"/>
  <c r="BC149" i="3"/>
  <c r="AY31" i="3"/>
  <c r="H165" i="3"/>
  <c r="I138" i="3"/>
  <c r="I165" i="3" s="1"/>
  <c r="AY72" i="3"/>
  <c r="AX181" i="3"/>
  <c r="AY148" i="3"/>
  <c r="AR42" i="3"/>
  <c r="AR196" i="3" s="1"/>
  <c r="AQ155" i="3"/>
  <c r="BA183" i="3"/>
  <c r="BB146" i="3"/>
  <c r="BB183" i="3" s="1"/>
  <c r="BC146" i="3"/>
  <c r="AU104" i="3"/>
  <c r="AW104" i="3" s="1"/>
  <c r="AW103" i="3"/>
  <c r="BB95" i="3"/>
  <c r="AW44" i="3"/>
  <c r="BA187" i="3"/>
  <c r="BB152" i="3"/>
  <c r="BB187" i="3" s="1"/>
  <c r="BC152" i="3"/>
  <c r="H101" i="3"/>
  <c r="I96" i="3"/>
  <c r="AR130" i="3"/>
  <c r="AS131" i="3"/>
  <c r="AQ135" i="3"/>
  <c r="AR135" i="3" s="1"/>
  <c r="AX190" i="3" l="1"/>
  <c r="BB93" i="3"/>
  <c r="AX104" i="3"/>
  <c r="AX91" i="3"/>
  <c r="AZ18" i="3"/>
  <c r="BD65" i="3"/>
  <c r="BC184" i="3"/>
  <c r="BD147" i="3"/>
  <c r="AU102" i="3"/>
  <c r="AY99" i="3"/>
  <c r="BC100" i="3"/>
  <c r="AW91" i="3"/>
  <c r="AZ72" i="3"/>
  <c r="AY59" i="3"/>
  <c r="AZ60" i="3"/>
  <c r="AR155" i="3"/>
  <c r="AQ157" i="3"/>
  <c r="AQ156" i="3"/>
  <c r="AT131" i="3"/>
  <c r="BC19" i="3"/>
  <c r="BD20" i="3"/>
  <c r="BC186" i="3"/>
  <c r="BD151" i="3"/>
  <c r="AT195" i="3"/>
  <c r="AT177" i="3"/>
  <c r="AT178" i="3"/>
  <c r="AT130" i="3"/>
  <c r="AT42" i="3"/>
  <c r="AT135" i="3" s="1"/>
  <c r="BB186" i="3"/>
  <c r="AY98" i="3"/>
  <c r="AU145" i="3"/>
  <c r="AV33" i="3"/>
  <c r="AU30" i="3"/>
  <c r="AY181" i="3"/>
  <c r="AZ148" i="3"/>
  <c r="BC24" i="3"/>
  <c r="BD25" i="3"/>
  <c r="H140" i="3"/>
  <c r="H137" i="3"/>
  <c r="H105" i="3"/>
  <c r="I101" i="3"/>
  <c r="BB24" i="3"/>
  <c r="BC93" i="3"/>
  <c r="AS155" i="3"/>
  <c r="AZ31" i="3"/>
  <c r="AZ134" i="3" s="1"/>
  <c r="AY134" i="3"/>
  <c r="BB19" i="3"/>
  <c r="BC95" i="3"/>
  <c r="BC182" i="3"/>
  <c r="BD149" i="3"/>
  <c r="AS196" i="3"/>
  <c r="AY37" i="3"/>
  <c r="AZ38" i="3"/>
  <c r="AT185" i="3"/>
  <c r="AT188" i="3"/>
  <c r="BC183" i="3"/>
  <c r="BD146" i="3"/>
  <c r="BC187" i="3"/>
  <c r="BD152" i="3"/>
  <c r="AY44" i="3"/>
  <c r="AZ45" i="3"/>
  <c r="AY54" i="3"/>
  <c r="AZ55" i="3"/>
  <c r="AS135" i="3"/>
  <c r="AZ103" i="3" l="1"/>
  <c r="AZ92" i="3"/>
  <c r="AZ150" i="3"/>
  <c r="AZ190" i="3" s="1"/>
  <c r="AQ158" i="3"/>
  <c r="AR156" i="3"/>
  <c r="AY103" i="3"/>
  <c r="AY150" i="3"/>
  <c r="AY92" i="3"/>
  <c r="H164" i="3"/>
  <c r="H139" i="3"/>
  <c r="I137" i="3"/>
  <c r="I164" i="3" s="1"/>
  <c r="AU189" i="3"/>
  <c r="AW102" i="3"/>
  <c r="AW189" i="3" s="1"/>
  <c r="AU185" i="3"/>
  <c r="AU188" i="3"/>
  <c r="BD95" i="3"/>
  <c r="AZ59" i="3"/>
  <c r="BA60" i="3"/>
  <c r="BD184" i="3"/>
  <c r="BE147" i="3"/>
  <c r="AX102" i="3"/>
  <c r="BD183" i="3"/>
  <c r="BE146" i="3"/>
  <c r="AQ159" i="3"/>
  <c r="AR157" i="3"/>
  <c r="AZ54" i="3"/>
  <c r="BA55" i="3"/>
  <c r="AZ98" i="3"/>
  <c r="H118" i="3"/>
  <c r="I118" i="3" s="1"/>
  <c r="H115" i="3"/>
  <c r="H111" i="3"/>
  <c r="H171" i="3"/>
  <c r="H172" i="3"/>
  <c r="I140" i="3"/>
  <c r="AS156" i="3"/>
  <c r="AS158" i="3" s="1"/>
  <c r="AS192" i="3" s="1"/>
  <c r="AS157" i="3"/>
  <c r="AS159" i="3" s="1"/>
  <c r="AS193" i="3" s="1"/>
  <c r="BA72" i="3"/>
  <c r="BA18" i="3"/>
  <c r="BD19" i="3"/>
  <c r="BE20" i="3"/>
  <c r="I105" i="3"/>
  <c r="AT196" i="3"/>
  <c r="BD182" i="3"/>
  <c r="BE149" i="3"/>
  <c r="BD187" i="3"/>
  <c r="BE152" i="3"/>
  <c r="AU195" i="3"/>
  <c r="AU177" i="3"/>
  <c r="AU178" i="3"/>
  <c r="AU130" i="3"/>
  <c r="AU42" i="3"/>
  <c r="BD186" i="3"/>
  <c r="BE151" i="3"/>
  <c r="BE100" i="3"/>
  <c r="BE65" i="3"/>
  <c r="AT155" i="3"/>
  <c r="BA31" i="3"/>
  <c r="BA134" i="3" s="1"/>
  <c r="AZ37" i="3"/>
  <c r="BA38" i="3"/>
  <c r="BD24" i="3"/>
  <c r="BE25" i="3"/>
  <c r="AZ44" i="3"/>
  <c r="BA45" i="3"/>
  <c r="AZ181" i="3"/>
  <c r="BA148" i="3"/>
  <c r="AV145" i="3"/>
  <c r="AW33" i="3"/>
  <c r="AX33" i="3"/>
  <c r="AV30" i="3"/>
  <c r="BD100" i="3"/>
  <c r="BA92" i="3" l="1"/>
  <c r="BA150" i="3"/>
  <c r="BA190" i="3" s="1"/>
  <c r="BA103" i="3"/>
  <c r="BB134" i="3"/>
  <c r="AY190" i="3"/>
  <c r="BB150" i="3"/>
  <c r="BB190" i="3" s="1"/>
  <c r="BB38" i="3"/>
  <c r="BA37" i="3"/>
  <c r="BB37" i="3" s="1"/>
  <c r="BC38" i="3"/>
  <c r="AY104" i="3"/>
  <c r="BB103" i="3"/>
  <c r="BE93" i="3"/>
  <c r="AX145" i="3"/>
  <c r="AY33" i="3"/>
  <c r="AX30" i="3"/>
  <c r="AU155" i="3"/>
  <c r="AX189" i="3"/>
  <c r="AQ192" i="3"/>
  <c r="AR158" i="3"/>
  <c r="AR192" i="3" s="1"/>
  <c r="BE184" i="3"/>
  <c r="BF147" i="3"/>
  <c r="AV188" i="3"/>
  <c r="AV185" i="3"/>
  <c r="AW145" i="3"/>
  <c r="BE183" i="3"/>
  <c r="BF146" i="3"/>
  <c r="BE19" i="3"/>
  <c r="BF20" i="3"/>
  <c r="BB60" i="3"/>
  <c r="BA59" i="3"/>
  <c r="BC60" i="3"/>
  <c r="BA99" i="3"/>
  <c r="H166" i="3"/>
  <c r="I139" i="3"/>
  <c r="I166" i="3" s="1"/>
  <c r="BE186" i="3"/>
  <c r="BF151" i="3"/>
  <c r="BC134" i="3"/>
  <c r="BB31" i="3"/>
  <c r="BC31" i="3"/>
  <c r="H106" i="3"/>
  <c r="I111" i="3"/>
  <c r="AU135" i="3"/>
  <c r="AT157" i="3"/>
  <c r="AT159" i="3" s="1"/>
  <c r="AT193" i="3" s="1"/>
  <c r="AT156" i="3"/>
  <c r="AT158" i="3" s="1"/>
  <c r="AT192" i="3" s="1"/>
  <c r="H141" i="3"/>
  <c r="I115" i="3"/>
  <c r="AU131" i="3"/>
  <c r="BB18" i="3"/>
  <c r="BC18" i="3"/>
  <c r="BB72" i="3"/>
  <c r="BC72" i="3"/>
  <c r="BA98" i="3"/>
  <c r="BB98" i="3" s="1"/>
  <c r="AZ91" i="3"/>
  <c r="AQ193" i="3"/>
  <c r="AR159" i="3"/>
  <c r="AR193" i="3" s="1"/>
  <c r="I172" i="3"/>
  <c r="I171" i="3"/>
  <c r="BA181" i="3"/>
  <c r="BB148" i="3"/>
  <c r="BB181" i="3" s="1"/>
  <c r="BC148" i="3"/>
  <c r="AU196" i="3"/>
  <c r="BB45" i="3"/>
  <c r="BA44" i="3"/>
  <c r="BC45" i="3"/>
  <c r="BE187" i="3"/>
  <c r="BF152" i="3"/>
  <c r="BB55" i="3"/>
  <c r="BA54" i="3"/>
  <c r="BC55" i="3"/>
  <c r="BD93" i="3"/>
  <c r="AV195" i="3"/>
  <c r="AV178" i="3"/>
  <c r="AV177" i="3"/>
  <c r="AW30" i="3"/>
  <c r="AV130" i="3"/>
  <c r="AV131" i="3" s="1"/>
  <c r="AV42" i="3"/>
  <c r="BE24" i="3"/>
  <c r="BF25" i="3"/>
  <c r="BF65" i="3"/>
  <c r="BG65" i="3" s="1"/>
  <c r="BE182" i="3"/>
  <c r="BF149" i="3"/>
  <c r="AZ99" i="3"/>
  <c r="BB99" i="3" s="1"/>
  <c r="AY91" i="3"/>
  <c r="BB92" i="3"/>
  <c r="AZ104" i="3"/>
  <c r="AZ102" i="3" s="1"/>
  <c r="AZ189" i="3" s="1"/>
  <c r="AU156" i="3" l="1"/>
  <c r="AU158" i="3" s="1"/>
  <c r="AU192" i="3" s="1"/>
  <c r="AU157" i="3"/>
  <c r="AU159" i="3" s="1"/>
  <c r="AU193" i="3" s="1"/>
  <c r="BC37" i="3"/>
  <c r="BD38" i="3"/>
  <c r="BF183" i="3"/>
  <c r="BG146" i="3"/>
  <c r="BG183" i="3" s="1"/>
  <c r="AX135" i="3"/>
  <c r="AW42" i="3"/>
  <c r="AV155" i="3"/>
  <c r="H170" i="3"/>
  <c r="I141" i="3"/>
  <c r="I170" i="3" s="1"/>
  <c r="AW131" i="3"/>
  <c r="AW188" i="3"/>
  <c r="AW185" i="3"/>
  <c r="BB44" i="3"/>
  <c r="AX196" i="3"/>
  <c r="AX195" i="3"/>
  <c r="AX178" i="3"/>
  <c r="AX177" i="3"/>
  <c r="AX130" i="3"/>
  <c r="AX42" i="3"/>
  <c r="AV135" i="3"/>
  <c r="AW135" i="3"/>
  <c r="BC59" i="3"/>
  <c r="BC99" i="3" s="1"/>
  <c r="BD60" i="3"/>
  <c r="BF184" i="3"/>
  <c r="BG147" i="3"/>
  <c r="BG184" i="3" s="1"/>
  <c r="AY145" i="3"/>
  <c r="AZ33" i="3"/>
  <c r="AY30" i="3"/>
  <c r="AW130" i="3"/>
  <c r="BB59" i="3"/>
  <c r="AX185" i="3"/>
  <c r="AX188" i="3"/>
  <c r="BF186" i="3"/>
  <c r="BG151" i="3"/>
  <c r="BG186" i="3" s="1"/>
  <c r="BC44" i="3"/>
  <c r="BD45" i="3"/>
  <c r="BG149" i="3"/>
  <c r="BG182" i="3" s="1"/>
  <c r="BF182" i="3"/>
  <c r="BD31" i="3"/>
  <c r="BA104" i="3"/>
  <c r="BA102" i="3" s="1"/>
  <c r="BA189" i="3" s="1"/>
  <c r="AW195" i="3"/>
  <c r="AW178" i="3"/>
  <c r="AW177" i="3"/>
  <c r="AV196" i="3"/>
  <c r="I106" i="3"/>
  <c r="H119" i="3"/>
  <c r="BD18" i="3"/>
  <c r="BF19" i="3"/>
  <c r="BG20" i="3"/>
  <c r="BG25" i="3"/>
  <c r="BF24" i="3"/>
  <c r="BG24" i="3" s="1"/>
  <c r="BF95" i="3"/>
  <c r="BB104" i="3"/>
  <c r="BC150" i="3"/>
  <c r="BC103" i="3"/>
  <c r="BC92" i="3"/>
  <c r="BD72" i="3"/>
  <c r="BC54" i="3"/>
  <c r="BD55" i="3"/>
  <c r="BC181" i="3"/>
  <c r="BD148" i="3"/>
  <c r="BF100" i="3"/>
  <c r="BG100" i="3" s="1"/>
  <c r="BB54" i="3"/>
  <c r="BF187" i="3"/>
  <c r="BG152" i="3"/>
  <c r="BE95" i="3"/>
  <c r="AY102" i="3"/>
  <c r="BA91" i="3"/>
  <c r="AW155" i="3" l="1"/>
  <c r="AV156" i="3"/>
  <c r="AV157" i="3"/>
  <c r="BD181" i="3"/>
  <c r="BE148" i="3"/>
  <c r="BE72" i="3"/>
  <c r="BD59" i="3"/>
  <c r="BE60" i="3"/>
  <c r="BD54" i="3"/>
  <c r="BE55" i="3"/>
  <c r="BG95" i="3"/>
  <c r="AY196" i="3"/>
  <c r="AY178" i="3"/>
  <c r="AY195" i="3"/>
  <c r="AY177" i="3"/>
  <c r="AY130" i="3"/>
  <c r="AY42" i="3"/>
  <c r="AY185" i="3"/>
  <c r="AY188" i="3"/>
  <c r="AY189" i="3"/>
  <c r="BB102" i="3"/>
  <c r="BB189" i="3" s="1"/>
  <c r="BG187" i="3"/>
  <c r="AZ145" i="3"/>
  <c r="BA33" i="3"/>
  <c r="AZ30" i="3"/>
  <c r="BD98" i="3"/>
  <c r="BE134" i="3"/>
  <c r="BE31" i="3"/>
  <c r="BD37" i="3"/>
  <c r="BE38" i="3"/>
  <c r="BC91" i="3"/>
  <c r="AY135" i="3"/>
  <c r="AX155" i="3"/>
  <c r="BG19" i="3"/>
  <c r="BE18" i="3"/>
  <c r="BC104" i="3"/>
  <c r="BD134" i="3"/>
  <c r="AY131" i="3"/>
  <c r="BD44" i="3"/>
  <c r="BE45" i="3"/>
  <c r="AW196" i="3"/>
  <c r="BB91" i="3"/>
  <c r="BF93" i="3"/>
  <c r="BG93" i="3" s="1"/>
  <c r="BC98" i="3"/>
  <c r="H121" i="3"/>
  <c r="I119" i="3"/>
  <c r="BC190" i="3"/>
  <c r="AX131" i="3"/>
  <c r="BE44" i="3" l="1"/>
  <c r="BF45" i="3"/>
  <c r="AZ195" i="3"/>
  <c r="AZ178" i="3"/>
  <c r="AZ177" i="3"/>
  <c r="AZ130" i="3"/>
  <c r="AZ42" i="3"/>
  <c r="BE181" i="3"/>
  <c r="BF148" i="3"/>
  <c r="BE54" i="3"/>
  <c r="BE98" i="3" s="1"/>
  <c r="BF55" i="3"/>
  <c r="BD103" i="3"/>
  <c r="BD92" i="3"/>
  <c r="BD150" i="3"/>
  <c r="BE103" i="3"/>
  <c r="BE150" i="3"/>
  <c r="BE190" i="3" s="1"/>
  <c r="BE92" i="3"/>
  <c r="BE59" i="3"/>
  <c r="BF60" i="3"/>
  <c r="AV159" i="3"/>
  <c r="AW157" i="3"/>
  <c r="AZ188" i="3"/>
  <c r="AZ185" i="3"/>
  <c r="H122" i="3"/>
  <c r="I122" i="3" s="1"/>
  <c r="I121" i="3"/>
  <c r="AW156" i="3"/>
  <c r="AV158" i="3"/>
  <c r="BC102" i="3"/>
  <c r="BF72" i="3"/>
  <c r="BA145" i="3"/>
  <c r="BB33" i="3"/>
  <c r="BC33" i="3"/>
  <c r="BA30" i="3"/>
  <c r="BD99" i="3"/>
  <c r="BF31" i="3"/>
  <c r="AY155" i="3"/>
  <c r="BF18" i="3"/>
  <c r="BE37" i="3"/>
  <c r="BF38" i="3"/>
  <c r="AX157" i="3"/>
  <c r="AX159" i="3" s="1"/>
  <c r="AX193" i="3" s="1"/>
  <c r="AX156" i="3"/>
  <c r="AX158" i="3" s="1"/>
  <c r="AX192" i="3" s="1"/>
  <c r="BF59" i="3" l="1"/>
  <c r="BG59" i="3" s="1"/>
  <c r="BG60" i="3"/>
  <c r="AZ155" i="3"/>
  <c r="BA188" i="3"/>
  <c r="BA185" i="3"/>
  <c r="BB145" i="3"/>
  <c r="BG72" i="3"/>
  <c r="BA178" i="3"/>
  <c r="BA195" i="3"/>
  <c r="BA177" i="3"/>
  <c r="BB30" i="3"/>
  <c r="BA130" i="3"/>
  <c r="BA42" i="3"/>
  <c r="BA135" i="3" s="1"/>
  <c r="AV192" i="3"/>
  <c r="AW158" i="3"/>
  <c r="AW192" i="3" s="1"/>
  <c r="AY156" i="3"/>
  <c r="AY158" i="3" s="1"/>
  <c r="AY192" i="3" s="1"/>
  <c r="AY157" i="3"/>
  <c r="AY159" i="3" s="1"/>
  <c r="AY193" i="3" s="1"/>
  <c r="BE104" i="3"/>
  <c r="BE102" i="3" s="1"/>
  <c r="BD190" i="3"/>
  <c r="AZ196" i="3"/>
  <c r="AV193" i="3"/>
  <c r="AW159" i="3"/>
  <c r="AW193" i="3" s="1"/>
  <c r="BC145" i="3"/>
  <c r="BD33" i="3"/>
  <c r="BC30" i="3"/>
  <c r="BE91" i="3"/>
  <c r="BF44" i="3"/>
  <c r="BG45" i="3"/>
  <c r="BE99" i="3"/>
  <c r="AZ131" i="3"/>
  <c r="BG31" i="3"/>
  <c r="BC189" i="3"/>
  <c r="BD102" i="3"/>
  <c r="BD189" i="3" s="1"/>
  <c r="BD104" i="3"/>
  <c r="BG18" i="3"/>
  <c r="BF181" i="3"/>
  <c r="BG148" i="3"/>
  <c r="BG181" i="3" s="1"/>
  <c r="AZ135" i="3"/>
  <c r="H125" i="3"/>
  <c r="BD91" i="3"/>
  <c r="BG38" i="3"/>
  <c r="BF37" i="3"/>
  <c r="BG37" i="3" s="1"/>
  <c r="BF134" i="3"/>
  <c r="BF54" i="3"/>
  <c r="BG54" i="3" s="1"/>
  <c r="BG55" i="3"/>
  <c r="BE189" i="3" l="1"/>
  <c r="H163" i="3"/>
  <c r="H83" i="3"/>
  <c r="H126" i="3"/>
  <c r="I125" i="3"/>
  <c r="I163" i="3" s="1"/>
  <c r="BC131" i="3"/>
  <c r="BB130" i="3"/>
  <c r="BC135" i="3"/>
  <c r="BB42" i="3"/>
  <c r="BA155" i="3"/>
  <c r="AZ157" i="3"/>
  <c r="AZ159" i="3" s="1"/>
  <c r="AZ193" i="3" s="1"/>
  <c r="AZ156" i="3"/>
  <c r="AZ158" i="3" s="1"/>
  <c r="AZ192" i="3" s="1"/>
  <c r="BA196" i="3"/>
  <c r="BD145" i="3"/>
  <c r="BE33" i="3"/>
  <c r="BD30" i="3"/>
  <c r="BG44" i="3"/>
  <c r="BA131" i="3"/>
  <c r="BC185" i="3"/>
  <c r="BC188" i="3"/>
  <c r="BB196" i="3"/>
  <c r="BB177" i="3"/>
  <c r="BB195" i="3"/>
  <c r="BB178" i="3"/>
  <c r="BF99" i="3"/>
  <c r="BG99" i="3" s="1"/>
  <c r="BB135" i="3"/>
  <c r="BF103" i="3"/>
  <c r="BF150" i="3"/>
  <c r="BF92" i="3"/>
  <c r="BG134" i="3"/>
  <c r="BB188" i="3"/>
  <c r="BB185" i="3"/>
  <c r="BB131" i="3"/>
  <c r="BF98" i="3"/>
  <c r="BG98" i="3" s="1"/>
  <c r="BC195" i="3"/>
  <c r="BC196" i="3"/>
  <c r="BC178" i="3"/>
  <c r="BC177" i="3"/>
  <c r="BC130" i="3"/>
  <c r="BC42" i="3"/>
  <c r="I126" i="3" l="1"/>
  <c r="H77" i="3"/>
  <c r="BD195" i="3"/>
  <c r="BD178" i="3"/>
  <c r="BD177" i="3"/>
  <c r="BD130" i="3"/>
  <c r="BD42" i="3"/>
  <c r="I83" i="3"/>
  <c r="BE145" i="3"/>
  <c r="BF33" i="3"/>
  <c r="BE30" i="3"/>
  <c r="BD188" i="3"/>
  <c r="BD185" i="3"/>
  <c r="BF190" i="3"/>
  <c r="BG150" i="3"/>
  <c r="BG190" i="3" s="1"/>
  <c r="H127" i="3"/>
  <c r="BB155" i="3"/>
  <c r="BA156" i="3"/>
  <c r="BA157" i="3"/>
  <c r="BF102" i="3"/>
  <c r="BF104" i="3"/>
  <c r="BG104" i="3" s="1"/>
  <c r="BG103" i="3"/>
  <c r="BC155" i="3"/>
  <c r="BF91" i="3"/>
  <c r="BG92" i="3"/>
  <c r="BA159" i="3" l="1"/>
  <c r="BB157" i="3"/>
  <c r="BA158" i="3"/>
  <c r="BB156" i="3"/>
  <c r="BG91" i="3"/>
  <c r="H200" i="3"/>
  <c r="H84" i="3"/>
  <c r="I127" i="3"/>
  <c r="H74" i="3"/>
  <c r="BD155" i="3"/>
  <c r="BF189" i="3"/>
  <c r="BG102" i="3"/>
  <c r="BG189" i="3" s="1"/>
  <c r="BE185" i="3"/>
  <c r="BE188" i="3"/>
  <c r="BC156" i="3"/>
  <c r="BC158" i="3" s="1"/>
  <c r="BC192" i="3" s="1"/>
  <c r="BC157" i="3"/>
  <c r="BC159" i="3" s="1"/>
  <c r="BC193" i="3" s="1"/>
  <c r="BD196" i="3"/>
  <c r="I77" i="3"/>
  <c r="BE195" i="3"/>
  <c r="BE178" i="3"/>
  <c r="BE177" i="3"/>
  <c r="BE130" i="3"/>
  <c r="BE42" i="3"/>
  <c r="BE196" i="3" s="1"/>
  <c r="BD131" i="3"/>
  <c r="BD135" i="3"/>
  <c r="BF145" i="3"/>
  <c r="BG33" i="3"/>
  <c r="BF30" i="3"/>
  <c r="E29" i="4" l="1"/>
  <c r="I200" i="3"/>
  <c r="E36" i="4" s="1"/>
  <c r="I74" i="3"/>
  <c r="H71" i="3"/>
  <c r="BF185" i="3"/>
  <c r="BF188" i="3"/>
  <c r="BG145" i="3"/>
  <c r="BF135" i="3"/>
  <c r="BG135" i="3" s="1"/>
  <c r="BE155" i="3"/>
  <c r="BE131" i="3"/>
  <c r="BF195" i="3"/>
  <c r="BF178" i="3"/>
  <c r="BF177" i="3"/>
  <c r="BF196" i="3"/>
  <c r="BG30" i="3"/>
  <c r="BF130" i="3"/>
  <c r="BG130" i="3" s="1"/>
  <c r="BF42" i="3"/>
  <c r="BE135" i="3"/>
  <c r="H203" i="3"/>
  <c r="H202" i="3"/>
  <c r="I84" i="3"/>
  <c r="BD156" i="3"/>
  <c r="BD158" i="3" s="1"/>
  <c r="BD192" i="3" s="1"/>
  <c r="BD157" i="3"/>
  <c r="BD159" i="3" s="1"/>
  <c r="BD193" i="3" s="1"/>
  <c r="BA192" i="3"/>
  <c r="BB158" i="3"/>
  <c r="BB192" i="3" s="1"/>
  <c r="BA193" i="3"/>
  <c r="BB159" i="3"/>
  <c r="BB193" i="3" s="1"/>
  <c r="BG195" i="3" l="1"/>
  <c r="BG177" i="3"/>
  <c r="BG178" i="3"/>
  <c r="BG185" i="3"/>
  <c r="BG188" i="3"/>
  <c r="H201" i="3"/>
  <c r="I71" i="3"/>
  <c r="H78" i="3"/>
  <c r="H136" i="3"/>
  <c r="BF131" i="3"/>
  <c r="BG131" i="3" s="1"/>
  <c r="BE156" i="3"/>
  <c r="BE158" i="3" s="1"/>
  <c r="BE192" i="3" s="1"/>
  <c r="BE157" i="3"/>
  <c r="BE159" i="3" s="1"/>
  <c r="BE193" i="3" s="1"/>
  <c r="E142" i="4"/>
  <c r="E139" i="4"/>
  <c r="I203" i="3"/>
  <c r="E33" i="4"/>
  <c r="I202" i="3"/>
  <c r="E38" i="4" s="1"/>
  <c r="E141" i="4" s="1"/>
  <c r="BG42" i="3"/>
  <c r="BF155" i="3"/>
  <c r="E44" i="4"/>
  <c r="E46" i="4" s="1"/>
  <c r="E47" i="4" s="1"/>
  <c r="BG155" i="3" l="1"/>
  <c r="BF156" i="3"/>
  <c r="BF157" i="3"/>
  <c r="E30" i="4"/>
  <c r="E32" i="4" s="1"/>
  <c r="I201" i="3"/>
  <c r="E37" i="4" s="1"/>
  <c r="E140" i="4" s="1"/>
  <c r="BG196" i="3"/>
  <c r="I136" i="3"/>
  <c r="I162" i="3" s="1"/>
  <c r="H162" i="3"/>
  <c r="E59" i="4"/>
  <c r="E60" i="4" s="1"/>
  <c r="E34" i="4"/>
  <c r="H87" i="3"/>
  <c r="I78" i="3"/>
  <c r="J82" i="3"/>
  <c r="H51" i="3"/>
  <c r="H194" i="3"/>
  <c r="H50" i="3" l="1"/>
  <c r="I51" i="3"/>
  <c r="N82" i="3"/>
  <c r="BF158" i="3"/>
  <c r="BG156" i="3"/>
  <c r="BF159" i="3"/>
  <c r="BG157" i="3"/>
  <c r="I194" i="3"/>
  <c r="I87" i="3"/>
  <c r="I88" i="3" s="1"/>
  <c r="I7" i="3" s="1"/>
  <c r="H88" i="3"/>
  <c r="H7" i="3" s="1"/>
  <c r="BF192" i="3" l="1"/>
  <c r="BG158" i="3"/>
  <c r="BG192" i="3" s="1"/>
  <c r="BF193" i="3"/>
  <c r="BG159" i="3"/>
  <c r="BG193" i="3" s="1"/>
  <c r="F31" i="4"/>
  <c r="F45" i="4" s="1"/>
  <c r="I50" i="3"/>
  <c r="H132" i="3"/>
  <c r="H69" i="3"/>
  <c r="J97" i="3"/>
  <c r="H79" i="3" l="1"/>
  <c r="I69" i="3"/>
  <c r="H197" i="3"/>
  <c r="I132" i="3"/>
  <c r="I197" i="3" s="1"/>
  <c r="H133" i="3"/>
  <c r="J96" i="3"/>
  <c r="J138" i="3"/>
  <c r="I79" i="3" l="1"/>
  <c r="I5" i="3" s="1"/>
  <c r="H5" i="3"/>
  <c r="J165" i="3"/>
  <c r="J101" i="3"/>
  <c r="H167" i="3"/>
  <c r="H168" i="3" s="1"/>
  <c r="I133" i="3"/>
  <c r="I167" i="3" s="1"/>
  <c r="I168" i="3" s="1"/>
  <c r="J140" i="3" l="1"/>
  <c r="J137" i="3"/>
  <c r="J105" i="3"/>
  <c r="J176" i="3" l="1"/>
  <c r="J164" i="3"/>
  <c r="J139" i="3"/>
  <c r="J175" i="3"/>
  <c r="J115" i="3"/>
  <c r="J111" i="3"/>
  <c r="J118" i="3"/>
  <c r="J172" i="3"/>
  <c r="J171" i="3"/>
  <c r="J141" i="3" l="1"/>
  <c r="J166" i="3"/>
  <c r="J106" i="3"/>
  <c r="J119" i="3" l="1"/>
  <c r="J170" i="3"/>
  <c r="J121" i="3" l="1"/>
  <c r="J122" i="3" l="1"/>
  <c r="J125" i="3" l="1"/>
  <c r="J163" i="3" l="1"/>
  <c r="J83" i="3"/>
  <c r="J126" i="3"/>
  <c r="J77" i="3" l="1"/>
  <c r="J127" i="3"/>
  <c r="J200" i="3" l="1"/>
  <c r="J179" i="3"/>
  <c r="J84" i="3"/>
  <c r="J74" i="3" s="1"/>
  <c r="J71" i="3" l="1"/>
  <c r="J203" i="3"/>
  <c r="J202" i="3"/>
  <c r="J201" i="3" l="1"/>
  <c r="J78" i="3"/>
  <c r="J136" i="3"/>
  <c r="J162" i="3" l="1"/>
  <c r="J87" i="3"/>
  <c r="K82" i="3"/>
  <c r="J194" i="3"/>
  <c r="J51" i="3"/>
  <c r="J50" i="3" s="1"/>
  <c r="K97" i="3" l="1"/>
  <c r="J132" i="3"/>
  <c r="J69" i="3"/>
  <c r="J79" i="3" s="1"/>
  <c r="J5" i="3" s="1"/>
  <c r="J88" i="3"/>
  <c r="J7" i="3" s="1"/>
  <c r="K96" i="3" l="1"/>
  <c r="K138" i="3"/>
  <c r="J197" i="3"/>
  <c r="J133" i="3"/>
  <c r="J167" i="3" l="1"/>
  <c r="J168" i="3" s="1"/>
  <c r="K165" i="3"/>
  <c r="K101" i="3"/>
  <c r="K140" i="3" l="1"/>
  <c r="K137" i="3"/>
  <c r="K105" i="3"/>
  <c r="K176" i="3" l="1"/>
  <c r="K164" i="3"/>
  <c r="K139" i="3"/>
  <c r="K175" i="3"/>
  <c r="K111" i="3"/>
  <c r="K118" i="3"/>
  <c r="K115" i="3"/>
  <c r="K171" i="3"/>
  <c r="K172" i="3"/>
  <c r="K141" i="3" l="1"/>
  <c r="K106" i="3"/>
  <c r="K166" i="3"/>
  <c r="K119" i="3" l="1"/>
  <c r="K170" i="3"/>
  <c r="K121" i="3" l="1"/>
  <c r="K122" i="3" l="1"/>
  <c r="K125" i="3" l="1"/>
  <c r="K163" i="3" l="1"/>
  <c r="K83" i="3"/>
  <c r="K126" i="3"/>
  <c r="K77" i="3" l="1"/>
  <c r="K127" i="3"/>
  <c r="K200" i="3" l="1"/>
  <c r="K179" i="3"/>
  <c r="K84" i="3"/>
  <c r="K74" i="3" s="1"/>
  <c r="K71" i="3" l="1"/>
  <c r="K202" i="3"/>
  <c r="K203" i="3"/>
  <c r="K201" i="3" l="1"/>
  <c r="K78" i="3"/>
  <c r="K136" i="3"/>
  <c r="K162" i="3" l="1"/>
  <c r="K87" i="3"/>
  <c r="L82" i="3"/>
  <c r="K194" i="3"/>
  <c r="K51" i="3"/>
  <c r="K50" i="3" s="1"/>
  <c r="K132" i="3" l="1"/>
  <c r="K69" i="3"/>
  <c r="K79" i="3" s="1"/>
  <c r="K5" i="3" s="1"/>
  <c r="L97" i="3"/>
  <c r="K88" i="3"/>
  <c r="K7" i="3" s="1"/>
  <c r="L96" i="3" l="1"/>
  <c r="L138" i="3"/>
  <c r="K197" i="3"/>
  <c r="K133" i="3"/>
  <c r="K167" i="3" l="1"/>
  <c r="K168" i="3" s="1"/>
  <c r="L165" i="3"/>
  <c r="L101" i="3"/>
  <c r="L140" i="3" l="1"/>
  <c r="L137" i="3"/>
  <c r="L105" i="3"/>
  <c r="L176" i="3" l="1"/>
  <c r="L164" i="3"/>
  <c r="L139" i="3"/>
  <c r="L175" i="3"/>
  <c r="L115" i="3"/>
  <c r="L111" i="3"/>
  <c r="L118" i="3"/>
  <c r="L171" i="3"/>
  <c r="L172" i="3"/>
  <c r="L106" i="3" l="1"/>
  <c r="L141" i="3"/>
  <c r="L166" i="3"/>
  <c r="L119" i="3" l="1"/>
  <c r="L170" i="3"/>
  <c r="L121" i="3" l="1"/>
  <c r="L122" i="3" l="1"/>
  <c r="L125" i="3" l="1"/>
  <c r="L163" i="3" l="1"/>
  <c r="L83" i="3"/>
  <c r="L126" i="3"/>
  <c r="L127" i="3" s="1"/>
  <c r="L200" i="3" l="1"/>
  <c r="L179" i="3"/>
  <c r="L84" i="3"/>
  <c r="L74" i="3"/>
  <c r="L77" i="3"/>
  <c r="L71" i="3" l="1"/>
  <c r="L202" i="3"/>
  <c r="L203" i="3"/>
  <c r="L201" i="3" l="1"/>
  <c r="L78" i="3"/>
  <c r="L136" i="3"/>
  <c r="L162" i="3" l="1"/>
  <c r="M82" i="3"/>
  <c r="L87" i="3"/>
  <c r="L51" i="3"/>
  <c r="L50" i="3" s="1"/>
  <c r="L194" i="3"/>
  <c r="L132" i="3" l="1"/>
  <c r="L69" i="3"/>
  <c r="L79" i="3" s="1"/>
  <c r="L5" i="3" s="1"/>
  <c r="M97" i="3"/>
  <c r="L88" i="3"/>
  <c r="L7" i="3" s="1"/>
  <c r="M96" i="3" l="1"/>
  <c r="M138" i="3"/>
  <c r="N97" i="3"/>
  <c r="L197" i="3"/>
  <c r="L133" i="3"/>
  <c r="L167" i="3" l="1"/>
  <c r="L168" i="3" s="1"/>
  <c r="M165" i="3"/>
  <c r="N138" i="3"/>
  <c r="N165" i="3" s="1"/>
  <c r="M101" i="3"/>
  <c r="N96" i="3"/>
  <c r="M140" i="3" l="1"/>
  <c r="M137" i="3"/>
  <c r="M105" i="3"/>
  <c r="N101" i="3"/>
  <c r="N105" i="3" l="1"/>
  <c r="M164" i="3"/>
  <c r="M176" i="3"/>
  <c r="M139" i="3"/>
  <c r="N137" i="3"/>
  <c r="M175" i="3"/>
  <c r="M111" i="3"/>
  <c r="M115" i="3"/>
  <c r="M118" i="3"/>
  <c r="N118" i="3" s="1"/>
  <c r="M171" i="3"/>
  <c r="M172" i="3"/>
  <c r="N140" i="3"/>
  <c r="M106" i="3" l="1"/>
  <c r="N111" i="3"/>
  <c r="N164" i="3"/>
  <c r="N176" i="3"/>
  <c r="M166" i="3"/>
  <c r="N139" i="3"/>
  <c r="N166" i="3" s="1"/>
  <c r="M141" i="3"/>
  <c r="N115" i="3"/>
  <c r="N175" i="3"/>
  <c r="N172" i="3"/>
  <c r="N171" i="3"/>
  <c r="M170" i="3" l="1"/>
  <c r="N141" i="3"/>
  <c r="N170" i="3" s="1"/>
  <c r="N106" i="3"/>
  <c r="M119" i="3"/>
  <c r="M121" i="3" l="1"/>
  <c r="N119" i="3"/>
  <c r="M122" i="3" l="1"/>
  <c r="N122" i="3" s="1"/>
  <c r="N121" i="3"/>
  <c r="M125" i="3" l="1"/>
  <c r="M163" i="3" l="1"/>
  <c r="M83" i="3"/>
  <c r="M126" i="3"/>
  <c r="M127" i="3" s="1"/>
  <c r="N125" i="3"/>
  <c r="N163" i="3" s="1"/>
  <c r="M200" i="3" l="1"/>
  <c r="M179" i="3"/>
  <c r="M84" i="3"/>
  <c r="N127" i="3"/>
  <c r="M74" i="3"/>
  <c r="N126" i="3"/>
  <c r="M77" i="3"/>
  <c r="N83" i="3"/>
  <c r="N74" i="3" l="1"/>
  <c r="M71" i="3"/>
  <c r="N77" i="3"/>
  <c r="N200" i="3"/>
  <c r="F36" i="4" s="1"/>
  <c r="F29" i="4"/>
  <c r="N179" i="3"/>
  <c r="M202" i="3"/>
  <c r="M203" i="3"/>
  <c r="N84" i="3"/>
  <c r="F142" i="4" l="1"/>
  <c r="F139" i="4"/>
  <c r="F44" i="4"/>
  <c r="F46" i="4" s="1"/>
  <c r="F47" i="4" s="1"/>
  <c r="M201" i="3"/>
  <c r="N71" i="3"/>
  <c r="M78" i="3"/>
  <c r="M136" i="3"/>
  <c r="F33" i="4"/>
  <c r="N202" i="3"/>
  <c r="F38" i="4" s="1"/>
  <c r="F141" i="4" s="1"/>
  <c r="N203" i="3"/>
  <c r="N136" i="3" l="1"/>
  <c r="N162" i="3" s="1"/>
  <c r="M162" i="3"/>
  <c r="F59" i="4"/>
  <c r="F60" i="4" s="1"/>
  <c r="F34" i="4"/>
  <c r="F30" i="4"/>
  <c r="F32" i="4" s="1"/>
  <c r="N201" i="3"/>
  <c r="F37" i="4" s="1"/>
  <c r="F140" i="4" s="1"/>
  <c r="M87" i="3"/>
  <c r="O82" i="3"/>
  <c r="N78" i="3"/>
  <c r="M194" i="3"/>
  <c r="M51" i="3"/>
  <c r="N194" i="3" l="1"/>
  <c r="N87" i="3"/>
  <c r="N88" i="3" s="1"/>
  <c r="N7" i="3" s="1"/>
  <c r="M88" i="3"/>
  <c r="M7" i="3" s="1"/>
  <c r="M50" i="3"/>
  <c r="N51" i="3"/>
  <c r="S82" i="3"/>
  <c r="N50" i="3" l="1"/>
  <c r="M132" i="3"/>
  <c r="M69" i="3"/>
  <c r="O97" i="3"/>
  <c r="G31" i="4"/>
  <c r="G45" i="4" s="1"/>
  <c r="O96" i="3" l="1"/>
  <c r="O138" i="3"/>
  <c r="M79" i="3"/>
  <c r="N69" i="3"/>
  <c r="M197" i="3"/>
  <c r="N132" i="3"/>
  <c r="N197" i="3" s="1"/>
  <c r="M133" i="3"/>
  <c r="N133" i="3" l="1"/>
  <c r="N167" i="3" s="1"/>
  <c r="N168" i="3" s="1"/>
  <c r="M167" i="3"/>
  <c r="M168" i="3" s="1"/>
  <c r="O165" i="3"/>
  <c r="N79" i="3"/>
  <c r="N5" i="3" s="1"/>
  <c r="M5" i="3"/>
  <c r="O101" i="3"/>
  <c r="O140" i="3" l="1"/>
  <c r="O137" i="3"/>
  <c r="O105" i="3"/>
  <c r="O176" i="3" l="1"/>
  <c r="O139" i="3"/>
  <c r="O164" i="3"/>
  <c r="O175" i="3"/>
  <c r="O111" i="3"/>
  <c r="O115" i="3"/>
  <c r="O118" i="3"/>
  <c r="O172" i="3"/>
  <c r="O171" i="3"/>
  <c r="O141" i="3" l="1"/>
  <c r="O166" i="3"/>
  <c r="O106" i="3"/>
  <c r="O119" i="3" l="1"/>
  <c r="O170" i="3"/>
  <c r="O121" i="3" l="1"/>
  <c r="O122" i="3" l="1"/>
  <c r="O125" i="3" l="1"/>
  <c r="O163" i="3" l="1"/>
  <c r="O83" i="3"/>
  <c r="O126" i="3"/>
  <c r="O77" i="3" l="1"/>
  <c r="O127" i="3"/>
  <c r="O200" i="3" l="1"/>
  <c r="O179" i="3"/>
  <c r="O84" i="3"/>
  <c r="O202" i="3" l="1"/>
  <c r="O203" i="3"/>
  <c r="O74" i="3"/>
  <c r="O71" i="3" l="1"/>
  <c r="O201" i="3" l="1"/>
  <c r="O78" i="3"/>
  <c r="O136" i="3"/>
  <c r="O162" i="3" l="1"/>
  <c r="O87" i="3"/>
  <c r="P82" i="3"/>
  <c r="O194" i="3"/>
  <c r="O51" i="3"/>
  <c r="O50" i="3" s="1"/>
  <c r="O132" i="3" l="1"/>
  <c r="O69" i="3"/>
  <c r="O79" i="3" s="1"/>
  <c r="O5" i="3" s="1"/>
  <c r="P97" i="3"/>
  <c r="O88" i="3"/>
  <c r="O7" i="3" s="1"/>
  <c r="P96" i="3" l="1"/>
  <c r="P138" i="3"/>
  <c r="O197" i="3"/>
  <c r="O133" i="3"/>
  <c r="O167" i="3" l="1"/>
  <c r="O168" i="3" s="1"/>
  <c r="P165" i="3"/>
  <c r="P101" i="3"/>
  <c r="P137" i="3" l="1"/>
  <c r="P140" i="3"/>
  <c r="P105" i="3"/>
  <c r="P175" i="3" l="1"/>
  <c r="P111" i="3"/>
  <c r="P118" i="3"/>
  <c r="P115" i="3"/>
  <c r="P172" i="3"/>
  <c r="P171" i="3"/>
  <c r="P176" i="3"/>
  <c r="P164" i="3"/>
  <c r="P139" i="3"/>
  <c r="P166" i="3" l="1"/>
  <c r="P141" i="3"/>
  <c r="P106" i="3"/>
  <c r="P119" i="3" l="1"/>
  <c r="P170" i="3"/>
  <c r="P121" i="3" l="1"/>
  <c r="P122" i="3" l="1"/>
  <c r="P125" i="3" l="1"/>
  <c r="P163" i="3" l="1"/>
  <c r="P83" i="3"/>
  <c r="P126" i="3"/>
  <c r="P127" i="3" s="1"/>
  <c r="P200" i="3" l="1"/>
  <c r="P179" i="3"/>
  <c r="P84" i="3"/>
  <c r="P74" i="3" s="1"/>
  <c r="P77" i="3"/>
  <c r="P71" i="3" l="1"/>
  <c r="P202" i="3"/>
  <c r="P203" i="3"/>
  <c r="P201" i="3" l="1"/>
  <c r="P78" i="3"/>
  <c r="P136" i="3"/>
  <c r="P162" i="3" l="1"/>
  <c r="Q82" i="3"/>
  <c r="P87" i="3"/>
  <c r="P194" i="3"/>
  <c r="P51" i="3"/>
  <c r="P50" i="3" s="1"/>
  <c r="P132" i="3" l="1"/>
  <c r="P69" i="3"/>
  <c r="P79" i="3" s="1"/>
  <c r="P5" i="3" s="1"/>
  <c r="Q97" i="3"/>
  <c r="P88" i="3"/>
  <c r="P7" i="3" s="1"/>
  <c r="Q96" i="3" l="1"/>
  <c r="Q138" i="3"/>
  <c r="P197" i="3"/>
  <c r="P133" i="3"/>
  <c r="P167" i="3" l="1"/>
  <c r="P168" i="3" s="1"/>
  <c r="Q165" i="3"/>
  <c r="Q101" i="3"/>
  <c r="Q137" i="3" l="1"/>
  <c r="Q140" i="3"/>
  <c r="Q105" i="3"/>
  <c r="Q175" i="3" l="1"/>
  <c r="Q115" i="3"/>
  <c r="Q118" i="3"/>
  <c r="Q111" i="3"/>
  <c r="Q171" i="3"/>
  <c r="Q172" i="3"/>
  <c r="Q176" i="3"/>
  <c r="Q164" i="3"/>
  <c r="Q139" i="3"/>
  <c r="Q166" i="3" l="1"/>
  <c r="Q106" i="3"/>
  <c r="Q141" i="3"/>
  <c r="Q119" i="3" l="1"/>
  <c r="Q170" i="3"/>
  <c r="Q121" i="3" l="1"/>
  <c r="Q122" i="3" l="1"/>
  <c r="Q125" i="3" l="1"/>
  <c r="Q163" i="3" l="1"/>
  <c r="Q83" i="3"/>
  <c r="Q126" i="3"/>
  <c r="Q77" i="3" l="1"/>
  <c r="Q127" i="3"/>
  <c r="Q200" i="3" l="1"/>
  <c r="Q179" i="3"/>
  <c r="Q84" i="3"/>
  <c r="Q74" i="3" s="1"/>
  <c r="Q71" i="3" l="1"/>
  <c r="Q202" i="3"/>
  <c r="Q203" i="3"/>
  <c r="Q201" i="3" l="1"/>
  <c r="Q78" i="3"/>
  <c r="Q136" i="3"/>
  <c r="Q162" i="3" l="1"/>
  <c r="R82" i="3"/>
  <c r="Q87" i="3"/>
  <c r="Q194" i="3"/>
  <c r="Q51" i="3"/>
  <c r="Q50" i="3" s="1"/>
  <c r="Q132" i="3" l="1"/>
  <c r="R97" i="3"/>
  <c r="Q69" i="3"/>
  <c r="Q79" i="3" s="1"/>
  <c r="Q5" i="3" s="1"/>
  <c r="Q88" i="3"/>
  <c r="Q7" i="3" s="1"/>
  <c r="R96" i="3" l="1"/>
  <c r="R138" i="3"/>
  <c r="S97" i="3"/>
  <c r="Q197" i="3"/>
  <c r="Q133" i="3"/>
  <c r="R165" i="3" l="1"/>
  <c r="S138" i="3"/>
  <c r="S165" i="3" s="1"/>
  <c r="Q167" i="3"/>
  <c r="Q168" i="3" s="1"/>
  <c r="R101" i="3"/>
  <c r="S96" i="3"/>
  <c r="R137" i="3" l="1"/>
  <c r="R140" i="3"/>
  <c r="R105" i="3"/>
  <c r="S101" i="3"/>
  <c r="R176" i="3" l="1"/>
  <c r="R164" i="3"/>
  <c r="R139" i="3"/>
  <c r="S137" i="3"/>
  <c r="S105" i="3"/>
  <c r="R175" i="3"/>
  <c r="R118" i="3"/>
  <c r="S118" i="3" s="1"/>
  <c r="R115" i="3"/>
  <c r="R111" i="3"/>
  <c r="R171" i="3"/>
  <c r="R172" i="3"/>
  <c r="S140" i="3"/>
  <c r="R106" i="3" l="1"/>
  <c r="S111" i="3"/>
  <c r="S176" i="3"/>
  <c r="S164" i="3"/>
  <c r="R141" i="3"/>
  <c r="S115" i="3"/>
  <c r="R166" i="3"/>
  <c r="S139" i="3"/>
  <c r="S166" i="3" s="1"/>
  <c r="S175" i="3"/>
  <c r="S172" i="3"/>
  <c r="S171" i="3"/>
  <c r="R170" i="3" l="1"/>
  <c r="S141" i="3"/>
  <c r="S170" i="3" s="1"/>
  <c r="S106" i="3"/>
  <c r="R119" i="3"/>
  <c r="R121" i="3" l="1"/>
  <c r="S119" i="3"/>
  <c r="R122" i="3" l="1"/>
  <c r="S122" i="3" s="1"/>
  <c r="S121" i="3"/>
  <c r="R125" i="3" l="1"/>
  <c r="R163" i="3" l="1"/>
  <c r="R83" i="3"/>
  <c r="R126" i="3"/>
  <c r="S125" i="3"/>
  <c r="S163" i="3" s="1"/>
  <c r="S83" i="3" l="1"/>
  <c r="S126" i="3"/>
  <c r="R77" i="3"/>
  <c r="R127" i="3"/>
  <c r="R200" i="3" l="1"/>
  <c r="R179" i="3"/>
  <c r="R84" i="3"/>
  <c r="S127" i="3"/>
  <c r="R74" i="3"/>
  <c r="S77" i="3"/>
  <c r="S200" i="3" l="1"/>
  <c r="G36" i="4" s="1"/>
  <c r="G29" i="4"/>
  <c r="S179" i="3"/>
  <c r="S74" i="3"/>
  <c r="R71" i="3"/>
  <c r="R203" i="3"/>
  <c r="R202" i="3"/>
  <c r="S84" i="3"/>
  <c r="G33" i="4" l="1"/>
  <c r="S203" i="3"/>
  <c r="S202" i="3"/>
  <c r="G38" i="4" s="1"/>
  <c r="G141" i="4" s="1"/>
  <c r="R201" i="3"/>
  <c r="S71" i="3"/>
  <c r="R78" i="3"/>
  <c r="R136" i="3"/>
  <c r="G44" i="4"/>
  <c r="G46" i="4" s="1"/>
  <c r="G47" i="4" s="1"/>
  <c r="G142" i="4"/>
  <c r="G139" i="4"/>
  <c r="T82" i="3" l="1"/>
  <c r="R87" i="3"/>
  <c r="S78" i="3"/>
  <c r="R51" i="3"/>
  <c r="R194" i="3"/>
  <c r="S136" i="3"/>
  <c r="S162" i="3" s="1"/>
  <c r="R162" i="3"/>
  <c r="S201" i="3"/>
  <c r="G37" i="4" s="1"/>
  <c r="G140" i="4" s="1"/>
  <c r="G30" i="4"/>
  <c r="G32" i="4" s="1"/>
  <c r="G59" i="4"/>
  <c r="G60" i="4" s="1"/>
  <c r="G34" i="4"/>
  <c r="S194" i="3" l="1"/>
  <c r="S87" i="3"/>
  <c r="S88" i="3" s="1"/>
  <c r="S7" i="3" s="1"/>
  <c r="R88" i="3"/>
  <c r="R7" i="3" s="1"/>
  <c r="X82" i="3"/>
  <c r="R50" i="3"/>
  <c r="S51" i="3"/>
  <c r="S50" i="3" l="1"/>
  <c r="R132" i="3"/>
  <c r="R69" i="3"/>
  <c r="T97" i="3"/>
  <c r="H31" i="4"/>
  <c r="H45" i="4" s="1"/>
  <c r="R79" i="3" l="1"/>
  <c r="S69" i="3"/>
  <c r="T96" i="3"/>
  <c r="T138" i="3"/>
  <c r="R197" i="3"/>
  <c r="S132" i="3"/>
  <c r="S197" i="3" s="1"/>
  <c r="R133" i="3"/>
  <c r="S133" i="3" l="1"/>
  <c r="S167" i="3" s="1"/>
  <c r="S168" i="3" s="1"/>
  <c r="R167" i="3"/>
  <c r="R168" i="3" s="1"/>
  <c r="T165" i="3"/>
  <c r="T101" i="3"/>
  <c r="S79" i="3"/>
  <c r="S5" i="3" s="1"/>
  <c r="R5" i="3"/>
  <c r="T140" i="3" l="1"/>
  <c r="T137" i="3"/>
  <c r="T105" i="3"/>
  <c r="T164" i="3" l="1"/>
  <c r="T176" i="3"/>
  <c r="T139" i="3"/>
  <c r="T175" i="3"/>
  <c r="T111" i="3"/>
  <c r="T115" i="3"/>
  <c r="T118" i="3"/>
  <c r="T171" i="3"/>
  <c r="T172" i="3"/>
  <c r="T141" i="3" l="1"/>
  <c r="T166" i="3"/>
  <c r="T106" i="3"/>
  <c r="T170" i="3" l="1"/>
  <c r="T119" i="3"/>
  <c r="T121" i="3" l="1"/>
  <c r="T122" i="3" l="1"/>
  <c r="T125" i="3" l="1"/>
  <c r="T163" i="3" l="1"/>
  <c r="T83" i="3"/>
  <c r="T126" i="3"/>
  <c r="T77" i="3" l="1"/>
  <c r="T127" i="3"/>
  <c r="T200" i="3" l="1"/>
  <c r="T179" i="3"/>
  <c r="T84" i="3"/>
  <c r="T74" i="3" s="1"/>
  <c r="T71" i="3" l="1"/>
  <c r="T203" i="3"/>
  <c r="T202" i="3"/>
  <c r="T201" i="3" l="1"/>
  <c r="T78" i="3"/>
  <c r="T136" i="3"/>
  <c r="T162" i="3" l="1"/>
  <c r="T87" i="3"/>
  <c r="U82" i="3"/>
  <c r="T194" i="3"/>
  <c r="T51" i="3"/>
  <c r="T50" i="3" s="1"/>
  <c r="T69" i="3" l="1"/>
  <c r="T79" i="3" s="1"/>
  <c r="T5" i="3" s="1"/>
  <c r="T132" i="3"/>
  <c r="U97" i="3"/>
  <c r="T88" i="3"/>
  <c r="T7" i="3" s="1"/>
  <c r="T197" i="3" l="1"/>
  <c r="T133" i="3"/>
  <c r="U96" i="3"/>
  <c r="U138" i="3"/>
  <c r="U101" i="3" l="1"/>
  <c r="U165" i="3"/>
  <c r="T167" i="3"/>
  <c r="T168" i="3" s="1"/>
  <c r="U137" i="3" l="1"/>
  <c r="U140" i="3"/>
  <c r="U105" i="3"/>
  <c r="U175" i="3" l="1"/>
  <c r="U115" i="3"/>
  <c r="U111" i="3"/>
  <c r="U118" i="3"/>
  <c r="U172" i="3"/>
  <c r="U171" i="3"/>
  <c r="U164" i="3"/>
  <c r="U176" i="3"/>
  <c r="U139" i="3"/>
  <c r="U166" i="3" l="1"/>
  <c r="U141" i="3"/>
  <c r="U106" i="3"/>
  <c r="U119" i="3" l="1"/>
  <c r="U170" i="3"/>
  <c r="U121" i="3" l="1"/>
  <c r="U122" i="3" l="1"/>
  <c r="U125" i="3" l="1"/>
  <c r="U163" i="3" l="1"/>
  <c r="U83" i="3"/>
  <c r="U126" i="3"/>
  <c r="U77" i="3" l="1"/>
  <c r="U127" i="3"/>
  <c r="U200" i="3" l="1"/>
  <c r="U179" i="3"/>
  <c r="U84" i="3"/>
  <c r="U74" i="3" s="1"/>
  <c r="U71" i="3" l="1"/>
  <c r="U203" i="3"/>
  <c r="U202" i="3"/>
  <c r="U201" i="3" l="1"/>
  <c r="U78" i="3"/>
  <c r="U136" i="3"/>
  <c r="U162" i="3" l="1"/>
  <c r="U87" i="3"/>
  <c r="V82" i="3"/>
  <c r="U51" i="3"/>
  <c r="U50" i="3" s="1"/>
  <c r="U194" i="3"/>
  <c r="U69" i="3" l="1"/>
  <c r="U79" i="3" s="1"/>
  <c r="U5" i="3" s="1"/>
  <c r="V97" i="3"/>
  <c r="U132" i="3"/>
  <c r="U88" i="3"/>
  <c r="U7" i="3" s="1"/>
  <c r="U197" i="3" l="1"/>
  <c r="U133" i="3"/>
  <c r="V96" i="3"/>
  <c r="V138" i="3"/>
  <c r="V165" i="3" l="1"/>
  <c r="V101" i="3"/>
  <c r="U167" i="3"/>
  <c r="U168" i="3" s="1"/>
  <c r="V137" i="3" l="1"/>
  <c r="V140" i="3"/>
  <c r="V105" i="3"/>
  <c r="V175" i="3" l="1"/>
  <c r="V111" i="3"/>
  <c r="V118" i="3"/>
  <c r="V115" i="3"/>
  <c r="V171" i="3"/>
  <c r="V172" i="3"/>
  <c r="V176" i="3"/>
  <c r="V164" i="3"/>
  <c r="V139" i="3"/>
  <c r="V166" i="3" l="1"/>
  <c r="V141" i="3"/>
  <c r="V106" i="3"/>
  <c r="V119" i="3" l="1"/>
  <c r="V170" i="3"/>
  <c r="V121" i="3" l="1"/>
  <c r="V122" i="3" l="1"/>
  <c r="V125" i="3" l="1"/>
  <c r="V163" i="3" l="1"/>
  <c r="V83" i="3"/>
  <c r="V126" i="3"/>
  <c r="V77" i="3" l="1"/>
  <c r="V127" i="3"/>
  <c r="V200" i="3" l="1"/>
  <c r="V179" i="3"/>
  <c r="V84" i="3"/>
  <c r="V74" i="3" s="1"/>
  <c r="V71" i="3" l="1"/>
  <c r="V203" i="3"/>
  <c r="V202" i="3"/>
  <c r="V201" i="3" l="1"/>
  <c r="V78" i="3"/>
  <c r="V136" i="3"/>
  <c r="V162" i="3" l="1"/>
  <c r="W82" i="3"/>
  <c r="V87" i="3"/>
  <c r="V194" i="3"/>
  <c r="V51" i="3"/>
  <c r="V50" i="3" s="1"/>
  <c r="V132" i="3" l="1"/>
  <c r="V69" i="3"/>
  <c r="V79" i="3" s="1"/>
  <c r="V5" i="3" s="1"/>
  <c r="W97" i="3"/>
  <c r="V88" i="3"/>
  <c r="V7" i="3" s="1"/>
  <c r="W96" i="3" l="1"/>
  <c r="W138" i="3"/>
  <c r="X97" i="3"/>
  <c r="V197" i="3"/>
  <c r="V133" i="3"/>
  <c r="V167" i="3" l="1"/>
  <c r="V168" i="3" s="1"/>
  <c r="W165" i="3"/>
  <c r="X138" i="3"/>
  <c r="X165" i="3" s="1"/>
  <c r="W101" i="3"/>
  <c r="X96" i="3"/>
  <c r="W137" i="3" l="1"/>
  <c r="W140" i="3"/>
  <c r="W105" i="3"/>
  <c r="X101" i="3"/>
  <c r="X105" i="3" l="1"/>
  <c r="W175" i="3"/>
  <c r="W118" i="3"/>
  <c r="X118" i="3" s="1"/>
  <c r="W115" i="3"/>
  <c r="W111" i="3"/>
  <c r="W172" i="3"/>
  <c r="W171" i="3"/>
  <c r="X140" i="3"/>
  <c r="W176" i="3"/>
  <c r="W164" i="3"/>
  <c r="W139" i="3"/>
  <c r="X137" i="3"/>
  <c r="W166" i="3" l="1"/>
  <c r="X139" i="3"/>
  <c r="X166" i="3" s="1"/>
  <c r="X175" i="3"/>
  <c r="X172" i="3"/>
  <c r="X171" i="3"/>
  <c r="W141" i="3"/>
  <c r="X115" i="3"/>
  <c r="W106" i="3"/>
  <c r="X111" i="3"/>
  <c r="X176" i="3"/>
  <c r="X164" i="3"/>
  <c r="X106" i="3" l="1"/>
  <c r="W119" i="3"/>
  <c r="W170" i="3"/>
  <c r="X141" i="3"/>
  <c r="X170" i="3" s="1"/>
  <c r="W121" i="3" l="1"/>
  <c r="X119" i="3"/>
  <c r="W122" i="3" l="1"/>
  <c r="X122" i="3" s="1"/>
  <c r="X121" i="3"/>
  <c r="W125" i="3" l="1"/>
  <c r="W163" i="3" l="1"/>
  <c r="W83" i="3"/>
  <c r="W126" i="3"/>
  <c r="X125" i="3"/>
  <c r="X163" i="3" s="1"/>
  <c r="X126" i="3" l="1"/>
  <c r="W77" i="3"/>
  <c r="X83" i="3"/>
  <c r="W127" i="3"/>
  <c r="W200" i="3" l="1"/>
  <c r="W179" i="3"/>
  <c r="W84" i="3"/>
  <c r="X127" i="3"/>
  <c r="W74" i="3"/>
  <c r="X77" i="3"/>
  <c r="X74" i="3" l="1"/>
  <c r="W71" i="3"/>
  <c r="H29" i="4"/>
  <c r="X200" i="3"/>
  <c r="H36" i="4" s="1"/>
  <c r="X179" i="3"/>
  <c r="W202" i="3"/>
  <c r="W203" i="3"/>
  <c r="X84" i="3"/>
  <c r="H33" i="4" l="1"/>
  <c r="X202" i="3"/>
  <c r="H38" i="4" s="1"/>
  <c r="H141" i="4" s="1"/>
  <c r="X203" i="3"/>
  <c r="H142" i="4"/>
  <c r="H139" i="4"/>
  <c r="H44" i="4"/>
  <c r="H46" i="4" s="1"/>
  <c r="H47" i="4" s="1"/>
  <c r="W201" i="3"/>
  <c r="W78" i="3"/>
  <c r="X71" i="3"/>
  <c r="W136" i="3"/>
  <c r="X201" i="3" l="1"/>
  <c r="H37" i="4" s="1"/>
  <c r="H140" i="4" s="1"/>
  <c r="H30" i="4"/>
  <c r="H32" i="4" s="1"/>
  <c r="Y82" i="3"/>
  <c r="X78" i="3"/>
  <c r="W87" i="3"/>
  <c r="W194" i="3"/>
  <c r="W51" i="3"/>
  <c r="X136" i="3"/>
  <c r="X162" i="3" s="1"/>
  <c r="W162" i="3"/>
  <c r="H59" i="4"/>
  <c r="H60" i="4" s="1"/>
  <c r="H34" i="4"/>
  <c r="X51" i="3" l="1"/>
  <c r="W50" i="3"/>
  <c r="X87" i="3"/>
  <c r="X88" i="3" s="1"/>
  <c r="W88" i="3"/>
  <c r="W7" i="3" s="1"/>
  <c r="X7" i="3"/>
  <c r="X194" i="3"/>
  <c r="AC82" i="3"/>
  <c r="I31" i="4" l="1"/>
  <c r="I45" i="4" s="1"/>
  <c r="X50" i="3"/>
  <c r="W132" i="3"/>
  <c r="W69" i="3"/>
  <c r="Y97" i="3"/>
  <c r="Y96" i="3" l="1"/>
  <c r="Y138" i="3"/>
  <c r="X69" i="3"/>
  <c r="W79" i="3"/>
  <c r="W197" i="3"/>
  <c r="X132" i="3"/>
  <c r="X197" i="3" s="1"/>
  <c r="W133" i="3"/>
  <c r="X133" i="3" l="1"/>
  <c r="X167" i="3" s="1"/>
  <c r="X168" i="3" s="1"/>
  <c r="W167" i="3"/>
  <c r="W168" i="3" s="1"/>
  <c r="X79" i="3"/>
  <c r="X5" i="3" s="1"/>
  <c r="W5" i="3"/>
  <c r="Y165" i="3"/>
  <c r="Y101" i="3"/>
  <c r="Y140" i="3" l="1"/>
  <c r="Y137" i="3"/>
  <c r="Y105" i="3"/>
  <c r="Y164" i="3" l="1"/>
  <c r="Y176" i="3"/>
  <c r="Y139" i="3"/>
  <c r="Y175" i="3"/>
  <c r="Y115" i="3"/>
  <c r="Y118" i="3"/>
  <c r="Y111" i="3"/>
  <c r="Y171" i="3"/>
  <c r="Y172" i="3"/>
  <c r="Y106" i="3" l="1"/>
  <c r="Y141" i="3"/>
  <c r="Y166" i="3"/>
  <c r="Y170" i="3" l="1"/>
  <c r="Y119" i="3"/>
  <c r="Y121" i="3" l="1"/>
  <c r="Y122" i="3" l="1"/>
  <c r="Y125" i="3" l="1"/>
  <c r="Y163" i="3" l="1"/>
  <c r="Y83" i="3"/>
  <c r="Y126" i="3"/>
  <c r="Y127" i="3" s="1"/>
  <c r="Y200" i="3" l="1"/>
  <c r="Y179" i="3"/>
  <c r="Y84" i="3"/>
  <c r="Y74" i="3" s="1"/>
  <c r="Y77" i="3"/>
  <c r="Y71" i="3" l="1"/>
  <c r="Y202" i="3"/>
  <c r="Y203" i="3"/>
  <c r="Y201" i="3" l="1"/>
  <c r="Y78" i="3"/>
  <c r="Y136" i="3"/>
  <c r="Y162" i="3" l="1"/>
  <c r="Y87" i="3"/>
  <c r="Z82" i="3"/>
  <c r="Y194" i="3"/>
  <c r="Y51" i="3"/>
  <c r="Y50" i="3" s="1"/>
  <c r="Y132" i="3" l="1"/>
  <c r="Y69" i="3"/>
  <c r="Y79" i="3" s="1"/>
  <c r="Y5" i="3" s="1"/>
  <c r="Z97" i="3"/>
  <c r="Y88" i="3"/>
  <c r="Y7" i="3" s="1"/>
  <c r="Z96" i="3" l="1"/>
  <c r="Z138" i="3"/>
  <c r="Y197" i="3"/>
  <c r="Y133" i="3"/>
  <c r="Y167" i="3" l="1"/>
  <c r="Y168" i="3" s="1"/>
  <c r="Z165" i="3"/>
  <c r="Z101" i="3"/>
  <c r="Z140" i="3" l="1"/>
  <c r="Z137" i="3"/>
  <c r="Z105" i="3"/>
  <c r="Z164" i="3" l="1"/>
  <c r="Z176" i="3"/>
  <c r="Z139" i="3"/>
  <c r="Z175" i="3"/>
  <c r="Z115" i="3"/>
  <c r="Z111" i="3"/>
  <c r="Z118" i="3"/>
  <c r="Z171" i="3"/>
  <c r="Z172" i="3"/>
  <c r="Z141" i="3" l="1"/>
  <c r="Z166" i="3"/>
  <c r="Z106" i="3"/>
  <c r="Z119" i="3" l="1"/>
  <c r="Z170" i="3"/>
  <c r="Z121" i="3" l="1"/>
  <c r="Z122" i="3" l="1"/>
  <c r="Z125" i="3" l="1"/>
  <c r="Z163" i="3" l="1"/>
  <c r="Z83" i="3"/>
  <c r="Z126" i="3"/>
  <c r="Z77" i="3" l="1"/>
  <c r="Z127" i="3"/>
  <c r="Z200" i="3" l="1"/>
  <c r="Z179" i="3"/>
  <c r="Z84" i="3"/>
  <c r="Z74" i="3" s="1"/>
  <c r="Z71" i="3" l="1"/>
  <c r="Z202" i="3"/>
  <c r="Z203" i="3"/>
  <c r="Z201" i="3" l="1"/>
  <c r="Z78" i="3"/>
  <c r="Z136" i="3"/>
  <c r="Z162" i="3" l="1"/>
  <c r="Z87" i="3"/>
  <c r="AA82" i="3"/>
  <c r="Z194" i="3"/>
  <c r="Z51" i="3"/>
  <c r="Z50" i="3" s="1"/>
  <c r="Z69" i="3" l="1"/>
  <c r="Z79" i="3" s="1"/>
  <c r="Z5" i="3" s="1"/>
  <c r="Z132" i="3"/>
  <c r="AA97" i="3"/>
  <c r="Z88" i="3"/>
  <c r="Z7" i="3" s="1"/>
  <c r="AA96" i="3" l="1"/>
  <c r="AA138" i="3"/>
  <c r="Z197" i="3"/>
  <c r="Z133" i="3"/>
  <c r="Z167" i="3" l="1"/>
  <c r="Z168" i="3" s="1"/>
  <c r="AA165" i="3"/>
  <c r="AA101" i="3"/>
  <c r="AA140" i="3" l="1"/>
  <c r="AA105" i="3"/>
  <c r="AA137" i="3"/>
  <c r="AA176" i="3" l="1"/>
  <c r="AA139" i="3"/>
  <c r="AA164" i="3"/>
  <c r="AA175" i="3"/>
  <c r="AA118" i="3"/>
  <c r="AA111" i="3"/>
  <c r="AA115" i="3"/>
  <c r="AA171" i="3"/>
  <c r="AA172" i="3"/>
  <c r="AA141" i="3" l="1"/>
  <c r="AA106" i="3"/>
  <c r="AA166" i="3"/>
  <c r="AA119" i="3" l="1"/>
  <c r="AA170" i="3"/>
  <c r="AA121" i="3" l="1"/>
  <c r="AA122" i="3" l="1"/>
  <c r="AA125" i="3" l="1"/>
  <c r="AA163" i="3" l="1"/>
  <c r="AA83" i="3"/>
  <c r="AA126" i="3"/>
  <c r="AA127" i="3" s="1"/>
  <c r="AA200" i="3" l="1"/>
  <c r="AA179" i="3"/>
  <c r="AA84" i="3"/>
  <c r="AA74" i="3" s="1"/>
  <c r="AA77" i="3"/>
  <c r="AA71" i="3" l="1"/>
  <c r="AA202" i="3"/>
  <c r="AA203" i="3"/>
  <c r="AA201" i="3" l="1"/>
  <c r="AA78" i="3"/>
  <c r="AA136" i="3"/>
  <c r="AA162" i="3" l="1"/>
  <c r="AA87" i="3"/>
  <c r="AB82" i="3"/>
  <c r="AA194" i="3"/>
  <c r="AA51" i="3"/>
  <c r="AA50" i="3" s="1"/>
  <c r="AA132" i="3" l="1"/>
  <c r="AA69" i="3"/>
  <c r="AA79" i="3" s="1"/>
  <c r="AA5" i="3" s="1"/>
  <c r="AB97" i="3"/>
  <c r="AA88" i="3"/>
  <c r="AA7" i="3" s="1"/>
  <c r="AB96" i="3" l="1"/>
  <c r="AB138" i="3"/>
  <c r="AC97" i="3"/>
  <c r="AA197" i="3"/>
  <c r="AA133" i="3"/>
  <c r="AA167" i="3" l="1"/>
  <c r="AA168" i="3" s="1"/>
  <c r="AB165" i="3"/>
  <c r="AC138" i="3"/>
  <c r="AC165" i="3" s="1"/>
  <c r="AB101" i="3"/>
  <c r="AC96" i="3"/>
  <c r="AB137" i="3" l="1"/>
  <c r="AB140" i="3"/>
  <c r="AB105" i="3"/>
  <c r="AC101" i="3"/>
  <c r="AC105" i="3" l="1"/>
  <c r="AB175" i="3"/>
  <c r="AB118" i="3"/>
  <c r="AC118" i="3" s="1"/>
  <c r="AB111" i="3"/>
  <c r="AB115" i="3"/>
  <c r="AB171" i="3"/>
  <c r="AB172" i="3"/>
  <c r="AC140" i="3"/>
  <c r="AB176" i="3"/>
  <c r="AB164" i="3"/>
  <c r="AB139" i="3"/>
  <c r="AC137" i="3"/>
  <c r="AB106" i="3" l="1"/>
  <c r="AC111" i="3"/>
  <c r="AB166" i="3"/>
  <c r="AC139" i="3"/>
  <c r="AC166" i="3" s="1"/>
  <c r="AC175" i="3"/>
  <c r="AC171" i="3"/>
  <c r="AC172" i="3"/>
  <c r="AB141" i="3"/>
  <c r="AC115" i="3"/>
  <c r="AC176" i="3"/>
  <c r="AC164" i="3"/>
  <c r="AB170" i="3" l="1"/>
  <c r="AC141" i="3"/>
  <c r="AC170" i="3" s="1"/>
  <c r="AC106" i="3"/>
  <c r="AB119" i="3"/>
  <c r="AB121" i="3" l="1"/>
  <c r="AC119" i="3"/>
  <c r="AB122" i="3" l="1"/>
  <c r="AC122" i="3" s="1"/>
  <c r="AC121" i="3"/>
  <c r="AB125" i="3" l="1"/>
  <c r="AB163" i="3" l="1"/>
  <c r="AB83" i="3"/>
  <c r="AB126" i="3"/>
  <c r="AC125" i="3"/>
  <c r="AC163" i="3" s="1"/>
  <c r="AC83" i="3" l="1"/>
  <c r="AC126" i="3"/>
  <c r="AB77" i="3"/>
  <c r="AB127" i="3"/>
  <c r="AB200" i="3" l="1"/>
  <c r="AB179" i="3"/>
  <c r="AB84" i="3"/>
  <c r="AC127" i="3"/>
  <c r="AB74" i="3"/>
  <c r="AC77" i="3"/>
  <c r="AC200" i="3" l="1"/>
  <c r="I36" i="4" s="1"/>
  <c r="I29" i="4"/>
  <c r="AC179" i="3"/>
  <c r="AC74" i="3"/>
  <c r="AB71" i="3"/>
  <c r="AB202" i="3"/>
  <c r="AB203" i="3"/>
  <c r="AC84" i="3"/>
  <c r="AB201" i="3" l="1"/>
  <c r="AC71" i="3"/>
  <c r="AB78" i="3"/>
  <c r="AB136" i="3"/>
  <c r="I44" i="4"/>
  <c r="I46" i="4" s="1"/>
  <c r="I47" i="4" s="1"/>
  <c r="I33" i="4"/>
  <c r="AC202" i="3"/>
  <c r="I38" i="4" s="1"/>
  <c r="I141" i="4" s="1"/>
  <c r="AC203" i="3"/>
  <c r="I142" i="4"/>
  <c r="I139" i="4"/>
  <c r="I59" i="4" l="1"/>
  <c r="I60" i="4" s="1"/>
  <c r="I34" i="4"/>
  <c r="AD82" i="3"/>
  <c r="AB87" i="3"/>
  <c r="AC78" i="3"/>
  <c r="AB194" i="3"/>
  <c r="AB51" i="3"/>
  <c r="AC201" i="3"/>
  <c r="I37" i="4" s="1"/>
  <c r="I140" i="4" s="1"/>
  <c r="I30" i="4"/>
  <c r="I32" i="4" s="1"/>
  <c r="AC136" i="3"/>
  <c r="AC162" i="3" s="1"/>
  <c r="AB162" i="3"/>
  <c r="AB50" i="3" l="1"/>
  <c r="AC51" i="3"/>
  <c r="AH82" i="3"/>
  <c r="AC194" i="3"/>
  <c r="AC87" i="3"/>
  <c r="AC88" i="3" s="1"/>
  <c r="AC7" i="3" s="1"/>
  <c r="AB88" i="3"/>
  <c r="AB7" i="3" s="1"/>
  <c r="J31" i="4" l="1"/>
  <c r="J45" i="4" s="1"/>
  <c r="AC50" i="3"/>
  <c r="AD97" i="3"/>
  <c r="AB132" i="3"/>
  <c r="AB69" i="3"/>
  <c r="AB79" i="3" l="1"/>
  <c r="AC69" i="3"/>
  <c r="AB197" i="3"/>
  <c r="AC132" i="3"/>
  <c r="AC197" i="3" s="1"/>
  <c r="AB133" i="3"/>
  <c r="AD96" i="3"/>
  <c r="AD138" i="3"/>
  <c r="AD165" i="3" l="1"/>
  <c r="AC133" i="3"/>
  <c r="AC167" i="3" s="1"/>
  <c r="AC168" i="3" s="1"/>
  <c r="AB167" i="3"/>
  <c r="AB168" i="3" s="1"/>
  <c r="AD101" i="3"/>
  <c r="AC79" i="3"/>
  <c r="AC5" i="3" s="1"/>
  <c r="AB5" i="3"/>
  <c r="AD140" i="3" l="1"/>
  <c r="AD137" i="3"/>
  <c r="AD105" i="3"/>
  <c r="AD176" i="3" l="1"/>
  <c r="AD164" i="3"/>
  <c r="AD139" i="3"/>
  <c r="AD175" i="3"/>
  <c r="AD115" i="3"/>
  <c r="AD118" i="3"/>
  <c r="AD111" i="3"/>
  <c r="AD172" i="3"/>
  <c r="AD171" i="3"/>
  <c r="AD106" i="3" l="1"/>
  <c r="AD141" i="3"/>
  <c r="AD166" i="3"/>
  <c r="AD170" i="3" l="1"/>
  <c r="AD119" i="3"/>
  <c r="AD121" i="3" l="1"/>
  <c r="AD122" i="3" l="1"/>
  <c r="AD125" i="3" l="1"/>
  <c r="AD163" i="3" l="1"/>
  <c r="AD83" i="3"/>
  <c r="AD126" i="3"/>
  <c r="AD77" i="3" l="1"/>
  <c r="AD127" i="3"/>
  <c r="AD200" i="3" l="1"/>
  <c r="AD179" i="3"/>
  <c r="AD84" i="3"/>
  <c r="AD74" i="3" s="1"/>
  <c r="AD71" i="3" l="1"/>
  <c r="AD203" i="3"/>
  <c r="AD202" i="3"/>
  <c r="AD201" i="3" l="1"/>
  <c r="AD78" i="3"/>
  <c r="AD136" i="3"/>
  <c r="AD162" i="3" l="1"/>
  <c r="AE82" i="3"/>
  <c r="AD87" i="3"/>
  <c r="AD194" i="3"/>
  <c r="AD51" i="3"/>
  <c r="AD50" i="3" s="1"/>
  <c r="AD132" i="3" l="1"/>
  <c r="AE97" i="3"/>
  <c r="AD69" i="3"/>
  <c r="AD79" i="3" s="1"/>
  <c r="AD5" i="3" s="1"/>
  <c r="AD88" i="3"/>
  <c r="AD7" i="3" s="1"/>
  <c r="AE96" i="3" l="1"/>
  <c r="AE138" i="3"/>
  <c r="AD197" i="3"/>
  <c r="AD133" i="3"/>
  <c r="AD167" i="3" l="1"/>
  <c r="AD168" i="3" s="1"/>
  <c r="AE165" i="3"/>
  <c r="AE101" i="3"/>
  <c r="AE140" i="3" l="1"/>
  <c r="AE137" i="3"/>
  <c r="AE105" i="3"/>
  <c r="AE176" i="3" l="1"/>
  <c r="AE164" i="3"/>
  <c r="AE139" i="3"/>
  <c r="AE175" i="3"/>
  <c r="AE115" i="3"/>
  <c r="AE118" i="3"/>
  <c r="AE111" i="3"/>
  <c r="AE172" i="3"/>
  <c r="AE171" i="3"/>
  <c r="AE106" i="3" l="1"/>
  <c r="AE141" i="3"/>
  <c r="AE166" i="3"/>
  <c r="AE170" i="3" l="1"/>
  <c r="AE119" i="3"/>
  <c r="AE121" i="3" l="1"/>
  <c r="AE122" i="3" l="1"/>
  <c r="AE125" i="3" l="1"/>
  <c r="AE163" i="3" l="1"/>
  <c r="AE83" i="3"/>
  <c r="AE126" i="3"/>
  <c r="AE77" i="3" l="1"/>
  <c r="AE127" i="3"/>
  <c r="AE200" i="3" l="1"/>
  <c r="AE179" i="3"/>
  <c r="AE84" i="3"/>
  <c r="AE203" i="3" l="1"/>
  <c r="AE202" i="3"/>
  <c r="AE74" i="3"/>
  <c r="AE71" i="3" l="1"/>
  <c r="AE201" i="3" l="1"/>
  <c r="AE78" i="3"/>
  <c r="AE136" i="3"/>
  <c r="AE162" i="3" l="1"/>
  <c r="AE87" i="3"/>
  <c r="AF82" i="3"/>
  <c r="AE194" i="3"/>
  <c r="AE51" i="3"/>
  <c r="AE50" i="3" s="1"/>
  <c r="AE132" i="3" l="1"/>
  <c r="AE69" i="3"/>
  <c r="AE79" i="3" s="1"/>
  <c r="AE5" i="3" s="1"/>
  <c r="AF97" i="3"/>
  <c r="AE88" i="3"/>
  <c r="AE7" i="3" s="1"/>
  <c r="AF96" i="3" l="1"/>
  <c r="AF138" i="3"/>
  <c r="AE197" i="3"/>
  <c r="AE133" i="3"/>
  <c r="AE167" i="3" l="1"/>
  <c r="AE168" i="3" s="1"/>
  <c r="AF165" i="3"/>
  <c r="AF101" i="3"/>
  <c r="AF140" i="3" l="1"/>
  <c r="AF137" i="3"/>
  <c r="AF105" i="3"/>
  <c r="AF176" i="3" l="1"/>
  <c r="AF164" i="3"/>
  <c r="AF139" i="3"/>
  <c r="AF175" i="3"/>
  <c r="AF111" i="3"/>
  <c r="AF118" i="3"/>
  <c r="AF115" i="3"/>
  <c r="AF171" i="3"/>
  <c r="AF172" i="3"/>
  <c r="AF166" i="3" l="1"/>
  <c r="AF141" i="3"/>
  <c r="AF106" i="3"/>
  <c r="AF119" i="3" l="1"/>
  <c r="AF170" i="3"/>
  <c r="AF121" i="3" l="1"/>
  <c r="AF122" i="3" l="1"/>
  <c r="AF125" i="3" l="1"/>
  <c r="AF163" i="3" l="1"/>
  <c r="AF83" i="3"/>
  <c r="AF126" i="3"/>
  <c r="AF127" i="3" s="1"/>
  <c r="AF200" i="3" l="1"/>
  <c r="AF179" i="3"/>
  <c r="AF84" i="3"/>
  <c r="AF74" i="3" s="1"/>
  <c r="AF77" i="3"/>
  <c r="AF71" i="3" l="1"/>
  <c r="AF203" i="3"/>
  <c r="AF202" i="3"/>
  <c r="AF201" i="3" l="1"/>
  <c r="AF78" i="3"/>
  <c r="AF136" i="3"/>
  <c r="AF162" i="3" l="1"/>
  <c r="AF87" i="3"/>
  <c r="AG82" i="3"/>
  <c r="AF194" i="3"/>
  <c r="AF51" i="3"/>
  <c r="AF50" i="3" s="1"/>
  <c r="AF132" i="3" l="1"/>
  <c r="AF69" i="3"/>
  <c r="AF79" i="3" s="1"/>
  <c r="AF5" i="3" s="1"/>
  <c r="AG97" i="3"/>
  <c r="AF88" i="3"/>
  <c r="AF7" i="3" s="1"/>
  <c r="AG96" i="3" l="1"/>
  <c r="AG138" i="3"/>
  <c r="AH97" i="3"/>
  <c r="AF197" i="3"/>
  <c r="AF133" i="3"/>
  <c r="AF167" i="3" l="1"/>
  <c r="AF168" i="3" s="1"/>
  <c r="AG165" i="3"/>
  <c r="AH138" i="3"/>
  <c r="AH165" i="3" s="1"/>
  <c r="AG101" i="3"/>
  <c r="AH96" i="3"/>
  <c r="AG140" i="3" l="1"/>
  <c r="AG137" i="3"/>
  <c r="AG105" i="3"/>
  <c r="AH101" i="3"/>
  <c r="AH105" i="3" l="1"/>
  <c r="AG164" i="3"/>
  <c r="AG176" i="3"/>
  <c r="AG139" i="3"/>
  <c r="AH137" i="3"/>
  <c r="AG175" i="3"/>
  <c r="AG111" i="3"/>
  <c r="AG118" i="3"/>
  <c r="AH118" i="3" s="1"/>
  <c r="AG115" i="3"/>
  <c r="AG171" i="3"/>
  <c r="AG172" i="3"/>
  <c r="AH140" i="3"/>
  <c r="AG141" i="3" l="1"/>
  <c r="AH115" i="3"/>
  <c r="AG106" i="3"/>
  <c r="AH111" i="3"/>
  <c r="AH176" i="3"/>
  <c r="AH164" i="3"/>
  <c r="AG166" i="3"/>
  <c r="AH139" i="3"/>
  <c r="AH166" i="3" s="1"/>
  <c r="AH175" i="3"/>
  <c r="AH171" i="3"/>
  <c r="AH172" i="3"/>
  <c r="AH106" i="3" l="1"/>
  <c r="AG119" i="3"/>
  <c r="AG170" i="3"/>
  <c r="AH141" i="3"/>
  <c r="AH170" i="3" s="1"/>
  <c r="AG121" i="3" l="1"/>
  <c r="AH119" i="3"/>
  <c r="AG122" i="3" l="1"/>
  <c r="AH122" i="3" s="1"/>
  <c r="AH121" i="3"/>
  <c r="AG125" i="3" l="1"/>
  <c r="AG163" i="3" l="1"/>
  <c r="AG83" i="3"/>
  <c r="AG126" i="3"/>
  <c r="AH125" i="3"/>
  <c r="AH163" i="3" s="1"/>
  <c r="AH83" i="3" l="1"/>
  <c r="AH126" i="3"/>
  <c r="AG77" i="3"/>
  <c r="AG127" i="3"/>
  <c r="AG200" i="3" l="1"/>
  <c r="AG179" i="3"/>
  <c r="AG84" i="3"/>
  <c r="AG74" i="3" s="1"/>
  <c r="AH127" i="3"/>
  <c r="AH77" i="3"/>
  <c r="AH74" i="3" l="1"/>
  <c r="AG71" i="3"/>
  <c r="J29" i="4"/>
  <c r="AH179" i="3"/>
  <c r="AH200" i="3"/>
  <c r="J36" i="4" s="1"/>
  <c r="AG203" i="3"/>
  <c r="AG202" i="3"/>
  <c r="AH84" i="3"/>
  <c r="J142" i="4" l="1"/>
  <c r="J139" i="4"/>
  <c r="AG201" i="3"/>
  <c r="AG78" i="3"/>
  <c r="AH71" i="3"/>
  <c r="AG136" i="3"/>
  <c r="AH203" i="3"/>
  <c r="AH202" i="3"/>
  <c r="J38" i="4" s="1"/>
  <c r="J141" i="4" s="1"/>
  <c r="J33" i="4"/>
  <c r="J44" i="4"/>
  <c r="J46" i="4" s="1"/>
  <c r="J47" i="4" s="1"/>
  <c r="J34" i="4" l="1"/>
  <c r="J59" i="4"/>
  <c r="J60" i="4" s="1"/>
  <c r="AH136" i="3"/>
  <c r="AH162" i="3" s="1"/>
  <c r="AG162" i="3"/>
  <c r="AH201" i="3"/>
  <c r="J37" i="4" s="1"/>
  <c r="J140" i="4" s="1"/>
  <c r="J30" i="4"/>
  <c r="J32" i="4" s="1"/>
  <c r="AH78" i="3"/>
  <c r="AG87" i="3"/>
  <c r="AI82" i="3"/>
  <c r="AG194" i="3"/>
  <c r="AG51" i="3"/>
  <c r="AM82" i="3" l="1"/>
  <c r="AH51" i="3"/>
  <c r="AG50" i="3"/>
  <c r="AH87" i="3"/>
  <c r="AH88" i="3" s="1"/>
  <c r="AG88" i="3"/>
  <c r="AG7" i="3" s="1"/>
  <c r="AH7" i="3"/>
  <c r="AH194" i="3"/>
  <c r="AH50" i="3" l="1"/>
  <c r="AG132" i="3"/>
  <c r="AG69" i="3"/>
  <c r="AI97" i="3"/>
  <c r="K31" i="4"/>
  <c r="K45" i="4" s="1"/>
  <c r="AI96" i="3" l="1"/>
  <c r="AI138" i="3"/>
  <c r="AG79" i="3"/>
  <c r="AH69" i="3"/>
  <c r="AG197" i="3"/>
  <c r="AH132" i="3"/>
  <c r="AH197" i="3" s="1"/>
  <c r="AG133" i="3"/>
  <c r="AH133" i="3" l="1"/>
  <c r="AH167" i="3" s="1"/>
  <c r="AH168" i="3" s="1"/>
  <c r="AG167" i="3"/>
  <c r="AG168" i="3" s="1"/>
  <c r="AI101" i="3"/>
  <c r="AH79" i="3"/>
  <c r="AH5" i="3" s="1"/>
  <c r="AG5" i="3"/>
  <c r="AI165" i="3"/>
  <c r="AI137" i="3" l="1"/>
  <c r="AI140" i="3"/>
  <c r="AI105" i="3"/>
  <c r="AI175" i="3" l="1"/>
  <c r="AI111" i="3"/>
  <c r="AI115" i="3"/>
  <c r="AI118" i="3"/>
  <c r="AI172" i="3"/>
  <c r="AI171" i="3"/>
  <c r="AI176" i="3"/>
  <c r="AI164" i="3"/>
  <c r="AI139" i="3"/>
  <c r="AI141" i="3" l="1"/>
  <c r="AI106" i="3"/>
  <c r="AI166" i="3"/>
  <c r="AI119" i="3" l="1"/>
  <c r="AI170" i="3"/>
  <c r="AI121" i="3" l="1"/>
  <c r="AI122" i="3" l="1"/>
  <c r="AI125" i="3" l="1"/>
  <c r="AI163" i="3" l="1"/>
  <c r="AI83" i="3"/>
  <c r="AI126" i="3"/>
  <c r="AI77" i="3" l="1"/>
  <c r="AI127" i="3"/>
  <c r="AI200" i="3" l="1"/>
  <c r="AI179" i="3"/>
  <c r="AI84" i="3"/>
  <c r="AI74" i="3" s="1"/>
  <c r="AI71" i="3" l="1"/>
  <c r="AI202" i="3"/>
  <c r="AI203" i="3"/>
  <c r="AI201" i="3" l="1"/>
  <c r="AI78" i="3"/>
  <c r="AI136" i="3"/>
  <c r="AI162" i="3" l="1"/>
  <c r="AJ82" i="3"/>
  <c r="AI87" i="3"/>
  <c r="AI194" i="3"/>
  <c r="AI51" i="3"/>
  <c r="AI50" i="3" s="1"/>
  <c r="AI88" i="3" l="1"/>
  <c r="AI7" i="3" s="1"/>
  <c r="AI132" i="3"/>
  <c r="AJ97" i="3"/>
  <c r="AI69" i="3"/>
  <c r="AI79" i="3" s="1"/>
  <c r="AI5" i="3" s="1"/>
  <c r="AJ96" i="3" l="1"/>
  <c r="AJ138" i="3"/>
  <c r="AI197" i="3"/>
  <c r="AI133" i="3"/>
  <c r="AI167" i="3" l="1"/>
  <c r="AI168" i="3" s="1"/>
  <c r="AJ165" i="3"/>
  <c r="AJ101" i="3"/>
  <c r="AJ137" i="3" l="1"/>
  <c r="AJ140" i="3"/>
  <c r="AJ105" i="3"/>
  <c r="AJ175" i="3" l="1"/>
  <c r="AJ115" i="3"/>
  <c r="AJ118" i="3"/>
  <c r="AJ111" i="3"/>
  <c r="AJ171" i="3"/>
  <c r="AJ172" i="3"/>
  <c r="AJ164" i="3"/>
  <c r="AJ176" i="3"/>
  <c r="AJ139" i="3"/>
  <c r="AJ166" i="3" l="1"/>
  <c r="AJ106" i="3"/>
  <c r="AJ141" i="3"/>
  <c r="AJ170" i="3" l="1"/>
  <c r="AJ119" i="3"/>
  <c r="AJ121" i="3" l="1"/>
  <c r="AJ122" i="3" l="1"/>
  <c r="AJ125" i="3" l="1"/>
  <c r="AJ163" i="3" l="1"/>
  <c r="AJ83" i="3"/>
  <c r="AJ126" i="3"/>
  <c r="AJ127" i="3" s="1"/>
  <c r="AJ200" i="3" l="1"/>
  <c r="AJ179" i="3"/>
  <c r="AJ84" i="3"/>
  <c r="AJ74" i="3" s="1"/>
  <c r="AJ77" i="3"/>
  <c r="AJ71" i="3" l="1"/>
  <c r="AJ202" i="3"/>
  <c r="AJ203" i="3"/>
  <c r="AJ201" i="3" l="1"/>
  <c r="AJ78" i="3"/>
  <c r="AJ136" i="3"/>
  <c r="AJ162" i="3" l="1"/>
  <c r="AK82" i="3"/>
  <c r="AJ87" i="3"/>
  <c r="AJ51" i="3"/>
  <c r="AJ50" i="3" s="1"/>
  <c r="AJ194" i="3"/>
  <c r="AJ88" i="3" l="1"/>
  <c r="AJ7" i="3" s="1"/>
  <c r="AJ69" i="3"/>
  <c r="AJ79" i="3" s="1"/>
  <c r="AJ5" i="3" s="1"/>
  <c r="AJ132" i="3"/>
  <c r="AK97" i="3"/>
  <c r="AK96" i="3" l="1"/>
  <c r="AK138" i="3"/>
  <c r="AJ197" i="3"/>
  <c r="AJ133" i="3"/>
  <c r="AJ167" i="3" l="1"/>
  <c r="AJ168" i="3" s="1"/>
  <c r="AK165" i="3"/>
  <c r="AK101" i="3"/>
  <c r="AK137" i="3" l="1"/>
  <c r="AK140" i="3"/>
  <c r="AK105" i="3"/>
  <c r="AK175" i="3" l="1"/>
  <c r="AK118" i="3"/>
  <c r="AK115" i="3"/>
  <c r="AK111" i="3"/>
  <c r="AK171" i="3"/>
  <c r="AK172" i="3"/>
  <c r="AK164" i="3"/>
  <c r="AK176" i="3"/>
  <c r="AK139" i="3"/>
  <c r="AK166" i="3" l="1"/>
  <c r="AK106" i="3"/>
  <c r="AK141" i="3"/>
  <c r="AK170" i="3" l="1"/>
  <c r="AK119" i="3"/>
  <c r="AK121" i="3" l="1"/>
  <c r="AK122" i="3" l="1"/>
  <c r="AK125" i="3" l="1"/>
  <c r="AK163" i="3" l="1"/>
  <c r="AK83" i="3"/>
  <c r="AK126" i="3"/>
  <c r="AK127" i="3" s="1"/>
  <c r="AK200" i="3" l="1"/>
  <c r="AK179" i="3"/>
  <c r="AK84" i="3"/>
  <c r="AK74" i="3" s="1"/>
  <c r="AK77" i="3"/>
  <c r="AK71" i="3" l="1"/>
  <c r="AK202" i="3"/>
  <c r="AK203" i="3"/>
  <c r="AK201" i="3" l="1"/>
  <c r="AK78" i="3"/>
  <c r="AK136" i="3"/>
  <c r="AK162" i="3" l="1"/>
  <c r="AK87" i="3"/>
  <c r="AL82" i="3"/>
  <c r="AK194" i="3"/>
  <c r="AK51" i="3"/>
  <c r="AK50" i="3" s="1"/>
  <c r="AK88" i="3" l="1"/>
  <c r="AK7" i="3" s="1"/>
  <c r="AK69" i="3"/>
  <c r="AK79" i="3" s="1"/>
  <c r="AK5" i="3" s="1"/>
  <c r="AK132" i="3"/>
  <c r="AL97" i="3"/>
  <c r="AL96" i="3" l="1"/>
  <c r="AL138" i="3"/>
  <c r="AM97" i="3"/>
  <c r="AK197" i="3"/>
  <c r="AK133" i="3"/>
  <c r="AK167" i="3" l="1"/>
  <c r="AK168" i="3" s="1"/>
  <c r="AL165" i="3"/>
  <c r="AM138" i="3"/>
  <c r="AM165" i="3" s="1"/>
  <c r="AL101" i="3"/>
  <c r="AM96" i="3"/>
  <c r="AL140" i="3" l="1"/>
  <c r="AL137" i="3"/>
  <c r="AL105" i="3"/>
  <c r="AM101" i="3"/>
  <c r="AM105" i="3" l="1"/>
  <c r="AL164" i="3"/>
  <c r="AL176" i="3"/>
  <c r="AL139" i="3"/>
  <c r="AM137" i="3"/>
  <c r="AL175" i="3"/>
  <c r="AL118" i="3"/>
  <c r="AM118" i="3" s="1"/>
  <c r="AL115" i="3"/>
  <c r="AL111" i="3"/>
  <c r="AL172" i="3"/>
  <c r="AL171" i="3"/>
  <c r="AM140" i="3"/>
  <c r="AL106" i="3" l="1"/>
  <c r="AM111" i="3"/>
  <c r="AL141" i="3"/>
  <c r="AM115" i="3"/>
  <c r="AM176" i="3"/>
  <c r="AM164" i="3"/>
  <c r="AL166" i="3"/>
  <c r="AM139" i="3"/>
  <c r="AM166" i="3" s="1"/>
  <c r="AM175" i="3"/>
  <c r="AM171" i="3"/>
  <c r="AM172" i="3"/>
  <c r="AL170" i="3" l="1"/>
  <c r="AM141" i="3"/>
  <c r="AM170" i="3" s="1"/>
  <c r="AM106" i="3"/>
  <c r="AL119" i="3"/>
  <c r="AL121" i="3" l="1"/>
  <c r="AM119" i="3"/>
  <c r="AL122" i="3" l="1"/>
  <c r="AM122" i="3" s="1"/>
  <c r="AM121" i="3"/>
  <c r="AL125" i="3" l="1"/>
  <c r="AL163" i="3" l="1"/>
  <c r="AL83" i="3"/>
  <c r="AL126" i="3"/>
  <c r="AM125" i="3"/>
  <c r="AM163" i="3" s="1"/>
  <c r="AM83" i="3" l="1"/>
  <c r="AM126" i="3"/>
  <c r="AL77" i="3"/>
  <c r="AL127" i="3"/>
  <c r="AL200" i="3" l="1"/>
  <c r="AL179" i="3"/>
  <c r="AL84" i="3"/>
  <c r="AL74" i="3" s="1"/>
  <c r="AM127" i="3"/>
  <c r="AM77" i="3"/>
  <c r="AM74" i="3" l="1"/>
  <c r="AL71" i="3"/>
  <c r="K29" i="4"/>
  <c r="AM200" i="3"/>
  <c r="K36" i="4" s="1"/>
  <c r="AM179" i="3"/>
  <c r="AL202" i="3"/>
  <c r="AL203" i="3"/>
  <c r="AM84" i="3"/>
  <c r="AM202" i="3" l="1"/>
  <c r="K38" i="4" s="1"/>
  <c r="K141" i="4" s="1"/>
  <c r="AM203" i="3"/>
  <c r="K33" i="4"/>
  <c r="K142" i="4"/>
  <c r="K139" i="4"/>
  <c r="AL201" i="3"/>
  <c r="AL78" i="3"/>
  <c r="AM71" i="3"/>
  <c r="AL136" i="3"/>
  <c r="K44" i="4"/>
  <c r="K46" i="4" s="1"/>
  <c r="K47" i="4" s="1"/>
  <c r="K30" i="4" l="1"/>
  <c r="K32" i="4" s="1"/>
  <c r="AM201" i="3"/>
  <c r="K37" i="4" s="1"/>
  <c r="K140" i="4" s="1"/>
  <c r="K59" i="4"/>
  <c r="K60" i="4" s="1"/>
  <c r="K34" i="4"/>
  <c r="AM136" i="3"/>
  <c r="AM162" i="3" s="1"/>
  <c r="AL162" i="3"/>
  <c r="AL87" i="3"/>
  <c r="AN82" i="3"/>
  <c r="AM78" i="3"/>
  <c r="AL51" i="3"/>
  <c r="AL194" i="3"/>
  <c r="AM87" i="3" l="1"/>
  <c r="AM88" i="3" s="1"/>
  <c r="AL88" i="3"/>
  <c r="AL7" i="3" s="1"/>
  <c r="AR82" i="3"/>
  <c r="AL50" i="3"/>
  <c r="AM51" i="3"/>
  <c r="AM7" i="3"/>
  <c r="AM194" i="3"/>
  <c r="L31" i="4" l="1"/>
  <c r="L45" i="4" s="1"/>
  <c r="AM50" i="3"/>
  <c r="AN97" i="3"/>
  <c r="AL132" i="3"/>
  <c r="AL69" i="3"/>
  <c r="AL79" i="3" l="1"/>
  <c r="AM69" i="3"/>
  <c r="AN96" i="3"/>
  <c r="AN138" i="3"/>
  <c r="AL197" i="3"/>
  <c r="AM132" i="3"/>
  <c r="AM197" i="3" s="1"/>
  <c r="AL133" i="3"/>
  <c r="AM133" i="3" l="1"/>
  <c r="AM167" i="3" s="1"/>
  <c r="AM168" i="3" s="1"/>
  <c r="AL167" i="3"/>
  <c r="AL168" i="3" s="1"/>
  <c r="AN165" i="3"/>
  <c r="AN101" i="3"/>
  <c r="AM79" i="3"/>
  <c r="AM5" i="3" s="1"/>
  <c r="AL5" i="3"/>
  <c r="AN137" i="3" l="1"/>
  <c r="AN140" i="3"/>
  <c r="AN105" i="3"/>
  <c r="AN175" i="3" l="1"/>
  <c r="AN115" i="3"/>
  <c r="AN118" i="3"/>
  <c r="AN111" i="3"/>
  <c r="AN172" i="3"/>
  <c r="AN171" i="3"/>
  <c r="AN176" i="3"/>
  <c r="AN164" i="3"/>
  <c r="AN139" i="3"/>
  <c r="AN106" i="3" l="1"/>
  <c r="AN141" i="3"/>
  <c r="AN166" i="3"/>
  <c r="AN119" i="3" l="1"/>
  <c r="AN170" i="3"/>
  <c r="AN121" i="3" l="1"/>
  <c r="AN122" i="3" l="1"/>
  <c r="AN125" i="3" l="1"/>
  <c r="AN163" i="3" l="1"/>
  <c r="AN83" i="3"/>
  <c r="AN126" i="3"/>
  <c r="AN77" i="3" l="1"/>
  <c r="AN127" i="3"/>
  <c r="AN200" i="3" l="1"/>
  <c r="AN179" i="3"/>
  <c r="AN84" i="3"/>
  <c r="AN74" i="3" s="1"/>
  <c r="AN71" i="3" l="1"/>
  <c r="AN202" i="3"/>
  <c r="AN203" i="3"/>
  <c r="AN201" i="3" l="1"/>
  <c r="AN78" i="3"/>
  <c r="AN136" i="3"/>
  <c r="AN162" i="3" l="1"/>
  <c r="AN87" i="3"/>
  <c r="AO82" i="3"/>
  <c r="AN194" i="3"/>
  <c r="AN51" i="3"/>
  <c r="AN50" i="3" s="1"/>
  <c r="AN88" i="3" l="1"/>
  <c r="AN7" i="3" s="1"/>
  <c r="AO97" i="3"/>
  <c r="AN132" i="3"/>
  <c r="AN69" i="3"/>
  <c r="AN79" i="3" s="1"/>
  <c r="AN5" i="3" s="1"/>
  <c r="AN197" i="3" l="1"/>
  <c r="AN133" i="3"/>
  <c r="AO96" i="3"/>
  <c r="AO138" i="3"/>
  <c r="AO165" i="3" l="1"/>
  <c r="AN167" i="3"/>
  <c r="AN168" i="3" s="1"/>
  <c r="AO101" i="3"/>
  <c r="AO137" i="3" l="1"/>
  <c r="AO140" i="3"/>
  <c r="AO105" i="3"/>
  <c r="AO175" i="3" l="1"/>
  <c r="AO111" i="3"/>
  <c r="AO118" i="3"/>
  <c r="AO115" i="3"/>
  <c r="AO171" i="3"/>
  <c r="AO172" i="3"/>
  <c r="AO176" i="3"/>
  <c r="AO164" i="3"/>
  <c r="AO139" i="3"/>
  <c r="AO166" i="3" l="1"/>
  <c r="AO141" i="3"/>
  <c r="AO106" i="3"/>
  <c r="AO119" i="3" l="1"/>
  <c r="AO170" i="3"/>
  <c r="AO121" i="3" l="1"/>
  <c r="AO122" i="3" l="1"/>
  <c r="AO125" i="3" l="1"/>
  <c r="AO163" i="3" l="1"/>
  <c r="AO83" i="3"/>
  <c r="AO126" i="3"/>
  <c r="AO77" i="3" l="1"/>
  <c r="AO127" i="3"/>
  <c r="AO200" i="3" l="1"/>
  <c r="AO179" i="3"/>
  <c r="AO84" i="3"/>
  <c r="AO74" i="3" s="1"/>
  <c r="AO71" i="3" l="1"/>
  <c r="AO202" i="3"/>
  <c r="AO203" i="3"/>
  <c r="AO201" i="3" l="1"/>
  <c r="AO78" i="3"/>
  <c r="AO136" i="3"/>
  <c r="AO162" i="3" l="1"/>
  <c r="AP82" i="3"/>
  <c r="AO87" i="3"/>
  <c r="AO51" i="3"/>
  <c r="AO50" i="3" s="1"/>
  <c r="AO194" i="3"/>
  <c r="AO88" i="3" l="1"/>
  <c r="AO7" i="3" s="1"/>
  <c r="AO132" i="3"/>
  <c r="AP97" i="3"/>
  <c r="AO69" i="3"/>
  <c r="AO79" i="3" s="1"/>
  <c r="AO5" i="3" s="1"/>
  <c r="AP96" i="3" l="1"/>
  <c r="AP138" i="3"/>
  <c r="AO197" i="3"/>
  <c r="AO133" i="3"/>
  <c r="AO167" i="3" l="1"/>
  <c r="AO168" i="3" s="1"/>
  <c r="AP165" i="3"/>
  <c r="AP101" i="3"/>
  <c r="AP140" i="3" l="1"/>
  <c r="AP105" i="3"/>
  <c r="AP137" i="3"/>
  <c r="AP176" i="3" l="1"/>
  <c r="AP139" i="3"/>
  <c r="AP164" i="3"/>
  <c r="AP175" i="3"/>
  <c r="AP118" i="3"/>
  <c r="AP111" i="3"/>
  <c r="AP115" i="3"/>
  <c r="AP171" i="3"/>
  <c r="AP172" i="3"/>
  <c r="AP106" i="3" l="1"/>
  <c r="AP141" i="3"/>
  <c r="AP166" i="3"/>
  <c r="AP170" i="3" l="1"/>
  <c r="AP119" i="3"/>
  <c r="AP121" i="3" l="1"/>
  <c r="AP122" i="3" l="1"/>
  <c r="AP125" i="3" l="1"/>
  <c r="AP163" i="3" l="1"/>
  <c r="AP83" i="3"/>
  <c r="AP126" i="3"/>
  <c r="AP77" i="3" l="1"/>
  <c r="AP127" i="3"/>
  <c r="AP200" i="3" l="1"/>
  <c r="AP179" i="3"/>
  <c r="AP84" i="3"/>
  <c r="AP74" i="3" s="1"/>
  <c r="AP71" i="3" l="1"/>
  <c r="AP203" i="3"/>
  <c r="AP202" i="3"/>
  <c r="AP201" i="3" l="1"/>
  <c r="AP78" i="3"/>
  <c r="AP136" i="3"/>
  <c r="AP162" i="3" l="1"/>
  <c r="AQ82" i="3"/>
  <c r="AP87" i="3"/>
  <c r="AP51" i="3"/>
  <c r="AP50" i="3" s="1"/>
  <c r="AP194" i="3"/>
  <c r="AP69" i="3" l="1"/>
  <c r="AP79" i="3" s="1"/>
  <c r="AP5" i="3" s="1"/>
  <c r="AP132" i="3"/>
  <c r="AQ97" i="3"/>
  <c r="AP88" i="3"/>
  <c r="AP7" i="3" s="1"/>
  <c r="AQ96" i="3" l="1"/>
  <c r="AQ138" i="3"/>
  <c r="AR97" i="3"/>
  <c r="AP197" i="3"/>
  <c r="AP133" i="3"/>
  <c r="AP167" i="3" l="1"/>
  <c r="AP168" i="3" s="1"/>
  <c r="AQ165" i="3"/>
  <c r="AR138" i="3"/>
  <c r="AR165" i="3" s="1"/>
  <c r="AQ101" i="3"/>
  <c r="AR96" i="3"/>
  <c r="AQ140" i="3" l="1"/>
  <c r="AQ105" i="3"/>
  <c r="AQ137" i="3"/>
  <c r="AR101" i="3"/>
  <c r="AQ176" i="3" l="1"/>
  <c r="AQ139" i="3"/>
  <c r="AQ164" i="3"/>
  <c r="AR137" i="3"/>
  <c r="AR105" i="3"/>
  <c r="AQ175" i="3"/>
  <c r="AQ111" i="3"/>
  <c r="AQ115" i="3"/>
  <c r="AQ118" i="3"/>
  <c r="AR118" i="3" s="1"/>
  <c r="AQ171" i="3"/>
  <c r="AQ172" i="3"/>
  <c r="AR140" i="3"/>
  <c r="AQ106" i="3" l="1"/>
  <c r="AR111" i="3"/>
  <c r="AQ166" i="3"/>
  <c r="AR139" i="3"/>
  <c r="AR166" i="3" s="1"/>
  <c r="AQ141" i="3"/>
  <c r="AR115" i="3"/>
  <c r="AR176" i="3"/>
  <c r="AR164" i="3"/>
  <c r="AR175" i="3"/>
  <c r="AR171" i="3"/>
  <c r="AR172" i="3"/>
  <c r="AQ170" i="3" l="1"/>
  <c r="AR141" i="3"/>
  <c r="AR170" i="3" s="1"/>
  <c r="AR106" i="3"/>
  <c r="AQ119" i="3"/>
  <c r="AQ121" i="3" l="1"/>
  <c r="AR119" i="3"/>
  <c r="AQ122" i="3" l="1"/>
  <c r="AR122" i="3" s="1"/>
  <c r="AR121" i="3"/>
  <c r="AQ125" i="3" l="1"/>
  <c r="AQ163" i="3" l="1"/>
  <c r="AQ83" i="3"/>
  <c r="AQ126" i="3"/>
  <c r="AR125" i="3"/>
  <c r="AR163" i="3" s="1"/>
  <c r="AR126" i="3" l="1"/>
  <c r="AQ77" i="3"/>
  <c r="AR83" i="3"/>
  <c r="AQ127" i="3"/>
  <c r="AQ200" i="3" l="1"/>
  <c r="AQ179" i="3"/>
  <c r="AQ84" i="3"/>
  <c r="AR127" i="3"/>
  <c r="AQ74" i="3"/>
  <c r="AR77" i="3"/>
  <c r="AR74" i="3" l="1"/>
  <c r="AQ71" i="3"/>
  <c r="AR200" i="3"/>
  <c r="L36" i="4" s="1"/>
  <c r="L29" i="4"/>
  <c r="AR179" i="3"/>
  <c r="AQ203" i="3"/>
  <c r="AQ202" i="3"/>
  <c r="AR84" i="3"/>
  <c r="AR203" i="3" l="1"/>
  <c r="L33" i="4"/>
  <c r="AR202" i="3"/>
  <c r="L38" i="4" s="1"/>
  <c r="L141" i="4" s="1"/>
  <c r="L44" i="4"/>
  <c r="L46" i="4" s="1"/>
  <c r="L47" i="4" s="1"/>
  <c r="L142" i="4"/>
  <c r="E94" i="4"/>
  <c r="E96" i="4" s="1"/>
  <c r="L139" i="4"/>
  <c r="AQ201" i="3"/>
  <c r="AR71" i="3"/>
  <c r="AQ78" i="3"/>
  <c r="AQ136" i="3"/>
  <c r="AR201" i="3" l="1"/>
  <c r="L37" i="4" s="1"/>
  <c r="L30" i="4"/>
  <c r="L32" i="4" s="1"/>
  <c r="AR136" i="3"/>
  <c r="AR162" i="3" s="1"/>
  <c r="AQ162" i="3"/>
  <c r="L34" i="4"/>
  <c r="L59" i="4"/>
  <c r="L60" i="4" s="1"/>
  <c r="AQ87" i="3"/>
  <c r="AS82" i="3"/>
  <c r="AR78" i="3"/>
  <c r="AQ51" i="3"/>
  <c r="AQ194" i="3"/>
  <c r="AQ50" i="3" l="1"/>
  <c r="AR51" i="3"/>
  <c r="AR194" i="3"/>
  <c r="AW82" i="3"/>
  <c r="AR87" i="3"/>
  <c r="AR88" i="3" s="1"/>
  <c r="AR7" i="3" s="1"/>
  <c r="AQ88" i="3"/>
  <c r="AQ7" i="3" s="1"/>
  <c r="E75" i="4"/>
  <c r="L140" i="4"/>
  <c r="E95" i="4" l="1"/>
  <c r="E97" i="4" s="1"/>
  <c r="E98" i="4" s="1"/>
  <c r="J119" i="4"/>
  <c r="I119" i="4"/>
  <c r="K130" i="4"/>
  <c r="J130" i="4"/>
  <c r="G129" i="4"/>
  <c r="I121" i="4"/>
  <c r="K131" i="4"/>
  <c r="K120" i="4"/>
  <c r="J116" i="4"/>
  <c r="I116" i="4"/>
  <c r="J131" i="4"/>
  <c r="J128" i="4"/>
  <c r="J132" i="4"/>
  <c r="H128" i="4"/>
  <c r="H129" i="4"/>
  <c r="K134" i="4"/>
  <c r="I118" i="4"/>
  <c r="J117" i="4"/>
  <c r="K117" i="4"/>
  <c r="J120" i="4"/>
  <c r="I120" i="4"/>
  <c r="K116" i="4"/>
  <c r="I117" i="4"/>
  <c r="I131" i="4"/>
  <c r="K129" i="4"/>
  <c r="J129" i="4"/>
  <c r="I129" i="4"/>
  <c r="K121" i="4"/>
  <c r="I128" i="4"/>
  <c r="F128" i="4"/>
  <c r="J121" i="4"/>
  <c r="K118" i="4"/>
  <c r="I130" i="4"/>
  <c r="K122" i="4"/>
  <c r="K132" i="4"/>
  <c r="G128" i="4"/>
  <c r="I122" i="4"/>
  <c r="J118" i="4"/>
  <c r="J122" i="4"/>
  <c r="K133" i="4"/>
  <c r="K119" i="4"/>
  <c r="H130" i="4"/>
  <c r="K128" i="4"/>
  <c r="E76" i="4"/>
  <c r="M31" i="4"/>
  <c r="M45" i="4" s="1"/>
  <c r="AR50" i="3"/>
  <c r="AQ132" i="3"/>
  <c r="AQ69" i="3"/>
  <c r="AS97" i="3"/>
  <c r="E106" i="4" l="1"/>
  <c r="G106" i="4" s="1"/>
  <c r="E77" i="4"/>
  <c r="AS96" i="3"/>
  <c r="AS138" i="3"/>
  <c r="AQ79" i="3"/>
  <c r="AR69" i="3"/>
  <c r="AQ197" i="3"/>
  <c r="AR132" i="3"/>
  <c r="AR197" i="3" s="1"/>
  <c r="AQ133" i="3"/>
  <c r="E107" i="4"/>
  <c r="G107" i="4" s="1"/>
  <c r="E99" i="4"/>
  <c r="AR133" i="3" l="1"/>
  <c r="AR167" i="3" s="1"/>
  <c r="AR168" i="3" s="1"/>
  <c r="AQ167" i="3"/>
  <c r="AQ168" i="3" s="1"/>
  <c r="AS165" i="3"/>
  <c r="AR79" i="3"/>
  <c r="AR5" i="3" s="1"/>
  <c r="AQ5" i="3"/>
  <c r="AS101" i="3"/>
  <c r="AS140" i="3" l="1"/>
  <c r="AS137" i="3"/>
  <c r="AS105" i="3"/>
  <c r="AS175" i="3" l="1"/>
  <c r="AS111" i="3"/>
  <c r="AS118" i="3"/>
  <c r="AS115" i="3"/>
  <c r="AS172" i="3"/>
  <c r="AS171" i="3"/>
  <c r="AS176" i="3"/>
  <c r="AS164" i="3"/>
  <c r="AS139" i="3"/>
  <c r="AS106" i="3" l="1"/>
  <c r="AS166" i="3"/>
  <c r="AS141" i="3"/>
  <c r="AS170" i="3" l="1"/>
  <c r="AS119" i="3"/>
  <c r="AS121" i="3" l="1"/>
  <c r="AS122" i="3" l="1"/>
  <c r="AS125" i="3" s="1"/>
  <c r="AS163" i="3" l="1"/>
  <c r="AS83" i="3"/>
  <c r="AS126" i="3"/>
  <c r="AS77" i="3" l="1"/>
  <c r="AS127" i="3"/>
  <c r="AS200" i="3" l="1"/>
  <c r="AS179" i="3"/>
  <c r="AS84" i="3"/>
  <c r="AS74" i="3" s="1"/>
  <c r="AS71" i="3" l="1"/>
  <c r="AS203" i="3"/>
  <c r="AS202" i="3"/>
  <c r="AS201" i="3" l="1"/>
  <c r="AS78" i="3"/>
  <c r="AS136" i="3"/>
  <c r="AS162" i="3" l="1"/>
  <c r="AS87" i="3"/>
  <c r="AT82" i="3"/>
  <c r="AS194" i="3"/>
  <c r="AS51" i="3"/>
  <c r="AS50" i="3" s="1"/>
  <c r="AS88" i="3" l="1"/>
  <c r="AS7" i="3" s="1"/>
  <c r="AS132" i="3"/>
  <c r="AS69" i="3"/>
  <c r="AS79" i="3" s="1"/>
  <c r="AS5" i="3" s="1"/>
  <c r="AT97" i="3"/>
  <c r="AT96" i="3" l="1"/>
  <c r="AT138" i="3"/>
  <c r="AS197" i="3"/>
  <c r="AS133" i="3"/>
  <c r="AS167" i="3" l="1"/>
  <c r="AS168" i="3" s="1"/>
  <c r="AT165" i="3"/>
  <c r="AT101" i="3"/>
  <c r="AT140" i="3" l="1"/>
  <c r="AT137" i="3"/>
  <c r="AT105" i="3"/>
  <c r="AT176" i="3" l="1"/>
  <c r="AT139" i="3"/>
  <c r="AT164" i="3"/>
  <c r="AT175" i="3"/>
  <c r="AT111" i="3"/>
  <c r="AT118" i="3"/>
  <c r="AT115" i="3"/>
  <c r="AT172" i="3"/>
  <c r="AT171" i="3"/>
  <c r="AT166" i="3" l="1"/>
  <c r="AT141" i="3"/>
  <c r="AT106" i="3"/>
  <c r="AT119" i="3" l="1"/>
  <c r="AT170" i="3"/>
  <c r="AT121" i="3" l="1"/>
  <c r="AT122" i="3" l="1"/>
  <c r="AT125" i="3" l="1"/>
  <c r="AT163" i="3" l="1"/>
  <c r="AT83" i="3"/>
  <c r="AT126" i="3"/>
  <c r="AT127" i="3" s="1"/>
  <c r="AT200" i="3" l="1"/>
  <c r="AT179" i="3"/>
  <c r="AT84" i="3"/>
  <c r="AT74" i="3" s="1"/>
  <c r="AT77" i="3"/>
  <c r="AT71" i="3" l="1"/>
  <c r="AT203" i="3"/>
  <c r="AT202" i="3"/>
  <c r="AT201" i="3" l="1"/>
  <c r="AT78" i="3"/>
  <c r="AT136" i="3"/>
  <c r="AT162" i="3" l="1"/>
  <c r="AT87" i="3"/>
  <c r="AU82" i="3"/>
  <c r="AT194" i="3"/>
  <c r="AT51" i="3"/>
  <c r="AT50" i="3" s="1"/>
  <c r="AT132" i="3" l="1"/>
  <c r="AT69" i="3"/>
  <c r="AT79" i="3" s="1"/>
  <c r="AT5" i="3" s="1"/>
  <c r="AU97" i="3"/>
  <c r="AT88" i="3"/>
  <c r="AT7" i="3" s="1"/>
  <c r="AU96" i="3" l="1"/>
  <c r="AU138" i="3"/>
  <c r="AT197" i="3"/>
  <c r="AT133" i="3"/>
  <c r="AT167" i="3" l="1"/>
  <c r="AT168" i="3" s="1"/>
  <c r="AU165" i="3"/>
  <c r="AU101" i="3"/>
  <c r="AU140" i="3" l="1"/>
  <c r="AU137" i="3"/>
  <c r="AU105" i="3"/>
  <c r="AU176" i="3" l="1"/>
  <c r="AU164" i="3"/>
  <c r="AU139" i="3"/>
  <c r="AU175" i="3"/>
  <c r="AU115" i="3"/>
  <c r="AU111" i="3"/>
  <c r="AU118" i="3"/>
  <c r="AU171" i="3"/>
  <c r="AU172" i="3"/>
  <c r="AU106" i="3" l="1"/>
  <c r="AU166" i="3"/>
  <c r="AU141" i="3"/>
  <c r="AU170" i="3" l="1"/>
  <c r="AU119" i="3"/>
  <c r="AU121" i="3" l="1"/>
  <c r="AU122" i="3" l="1"/>
  <c r="AU125" i="3" l="1"/>
  <c r="AU163" i="3" l="1"/>
  <c r="AU83" i="3"/>
  <c r="AU126" i="3"/>
  <c r="AU77" i="3" l="1"/>
  <c r="AU127" i="3"/>
  <c r="AU200" i="3" l="1"/>
  <c r="AU179" i="3"/>
  <c r="AU84" i="3"/>
  <c r="AU74" i="3" s="1"/>
  <c r="AU202" i="3" l="1"/>
  <c r="AU203" i="3"/>
  <c r="AU71" i="3"/>
  <c r="AU201" i="3" l="1"/>
  <c r="AU78" i="3"/>
  <c r="AU136" i="3"/>
  <c r="AU162" i="3" l="1"/>
  <c r="AU87" i="3"/>
  <c r="AV82" i="3"/>
  <c r="AU51" i="3"/>
  <c r="AU50" i="3" s="1"/>
  <c r="AU194" i="3"/>
  <c r="AU69" i="3" l="1"/>
  <c r="AU79" i="3" s="1"/>
  <c r="AU5" i="3" s="1"/>
  <c r="AU132" i="3"/>
  <c r="AV97" i="3"/>
  <c r="AU88" i="3"/>
  <c r="AU7" i="3" s="1"/>
  <c r="AV96" i="3" l="1"/>
  <c r="AV138" i="3"/>
  <c r="AW97" i="3"/>
  <c r="AU197" i="3"/>
  <c r="AU133" i="3"/>
  <c r="AU167" i="3" l="1"/>
  <c r="AU168" i="3" s="1"/>
  <c r="AV165" i="3"/>
  <c r="AW138" i="3"/>
  <c r="AW165" i="3" s="1"/>
  <c r="AV101" i="3"/>
  <c r="AW96" i="3"/>
  <c r="AV140" i="3" l="1"/>
  <c r="AV137" i="3"/>
  <c r="AV105" i="3"/>
  <c r="AW101" i="3"/>
  <c r="AW105" i="3" l="1"/>
  <c r="AV176" i="3"/>
  <c r="AV164" i="3"/>
  <c r="AV139" i="3"/>
  <c r="AW137" i="3"/>
  <c r="AV175" i="3"/>
  <c r="AV111" i="3"/>
  <c r="AV118" i="3"/>
  <c r="AW118" i="3" s="1"/>
  <c r="AV115" i="3"/>
  <c r="AV172" i="3"/>
  <c r="AV171" i="3"/>
  <c r="AW140" i="3"/>
  <c r="AV141" i="3" l="1"/>
  <c r="AW115" i="3"/>
  <c r="AV106" i="3"/>
  <c r="AW111" i="3"/>
  <c r="AW164" i="3"/>
  <c r="AW176" i="3"/>
  <c r="AV166" i="3"/>
  <c r="AW139" i="3"/>
  <c r="AW166" i="3" s="1"/>
  <c r="AW175" i="3"/>
  <c r="AW171" i="3"/>
  <c r="AW172" i="3"/>
  <c r="AW106" i="3" l="1"/>
  <c r="AV119" i="3"/>
  <c r="AV170" i="3"/>
  <c r="AW141" i="3"/>
  <c r="AW170" i="3" s="1"/>
  <c r="AV121" i="3" l="1"/>
  <c r="AW119" i="3"/>
  <c r="AV122" i="3" l="1"/>
  <c r="AW122" i="3" s="1"/>
  <c r="AW121" i="3"/>
  <c r="AV125" i="3" l="1"/>
  <c r="AV163" i="3" l="1"/>
  <c r="AV83" i="3"/>
  <c r="AV126" i="3"/>
  <c r="AV127" i="3" s="1"/>
  <c r="AW125" i="3"/>
  <c r="AW163" i="3" s="1"/>
  <c r="AV200" i="3" l="1"/>
  <c r="AV179" i="3"/>
  <c r="AV84" i="3"/>
  <c r="AW127" i="3"/>
  <c r="AV74" i="3"/>
  <c r="AW126" i="3"/>
  <c r="AV77" i="3"/>
  <c r="AW83" i="3"/>
  <c r="AV202" i="3" l="1"/>
  <c r="AV203" i="3"/>
  <c r="AW84" i="3"/>
  <c r="AW77" i="3"/>
  <c r="AW74" i="3"/>
  <c r="AV71" i="3"/>
  <c r="M29" i="4"/>
  <c r="AW200" i="3"/>
  <c r="M36" i="4" s="1"/>
  <c r="AW179" i="3"/>
  <c r="M142" i="4" l="1"/>
  <c r="M139" i="4"/>
  <c r="AW202" i="3"/>
  <c r="M38" i="4" s="1"/>
  <c r="M141" i="4" s="1"/>
  <c r="M33" i="4"/>
  <c r="AW203" i="3"/>
  <c r="M44" i="4"/>
  <c r="M46" i="4" s="1"/>
  <c r="M47" i="4" s="1"/>
  <c r="AV201" i="3"/>
  <c r="AV78" i="3"/>
  <c r="AW71" i="3"/>
  <c r="AV136" i="3"/>
  <c r="AV87" i="3" l="1"/>
  <c r="AX82" i="3"/>
  <c r="AW78" i="3"/>
  <c r="AV51" i="3"/>
  <c r="AV194" i="3"/>
  <c r="AW136" i="3"/>
  <c r="AW162" i="3" s="1"/>
  <c r="AV162" i="3"/>
  <c r="AW201" i="3"/>
  <c r="M37" i="4" s="1"/>
  <c r="M140" i="4" s="1"/>
  <c r="M30" i="4"/>
  <c r="M32" i="4" s="1"/>
  <c r="M59" i="4"/>
  <c r="M60" i="4" s="1"/>
  <c r="M34" i="4"/>
  <c r="AW51" i="3" l="1"/>
  <c r="AV50" i="3"/>
  <c r="AW194" i="3"/>
  <c r="BB82" i="3"/>
  <c r="AW87" i="3"/>
  <c r="AW88" i="3" s="1"/>
  <c r="AW7" i="3" s="1"/>
  <c r="AV88" i="3"/>
  <c r="AV7" i="3" s="1"/>
  <c r="AW50" i="3" l="1"/>
  <c r="AV132" i="3"/>
  <c r="AV69" i="3"/>
  <c r="AX97" i="3"/>
  <c r="N31" i="4"/>
  <c r="N45" i="4" s="1"/>
  <c r="AX96" i="3" l="1"/>
  <c r="AX138" i="3"/>
  <c r="AV79" i="3"/>
  <c r="AW69" i="3"/>
  <c r="AV197" i="3"/>
  <c r="AW132" i="3"/>
  <c r="AW197" i="3" s="1"/>
  <c r="AV133" i="3"/>
  <c r="AX165" i="3" l="1"/>
  <c r="AW133" i="3"/>
  <c r="AW167" i="3" s="1"/>
  <c r="AW168" i="3" s="1"/>
  <c r="AV167" i="3"/>
  <c r="AV168" i="3" s="1"/>
  <c r="AW79" i="3"/>
  <c r="AW5" i="3" s="1"/>
  <c r="AV5" i="3"/>
  <c r="AX101" i="3"/>
  <c r="AX140" i="3" l="1"/>
  <c r="AX137" i="3"/>
  <c r="AX105" i="3"/>
  <c r="AX164" i="3" l="1"/>
  <c r="AX176" i="3"/>
  <c r="AX139" i="3"/>
  <c r="AX175" i="3"/>
  <c r="AX118" i="3"/>
  <c r="AX115" i="3"/>
  <c r="AX111" i="3"/>
  <c r="AX171" i="3"/>
  <c r="AX172" i="3"/>
  <c r="AX106" i="3" l="1"/>
  <c r="AX141" i="3"/>
  <c r="AX166" i="3"/>
  <c r="AX170" i="3" l="1"/>
  <c r="AX119" i="3"/>
  <c r="AX121" i="3" l="1"/>
  <c r="AX122" i="3" l="1"/>
  <c r="AX125" i="3" l="1"/>
  <c r="AX163" i="3" l="1"/>
  <c r="AX83" i="3"/>
  <c r="AX126" i="3"/>
  <c r="AX77" i="3" l="1"/>
  <c r="AX127" i="3"/>
  <c r="AX200" i="3" l="1"/>
  <c r="AX179" i="3"/>
  <c r="AX84" i="3"/>
  <c r="AX202" i="3" l="1"/>
  <c r="AX203" i="3"/>
  <c r="AX74" i="3"/>
  <c r="AX71" i="3" l="1"/>
  <c r="AX201" i="3" l="1"/>
  <c r="AX78" i="3"/>
  <c r="AX136" i="3"/>
  <c r="AX162" i="3" l="1"/>
  <c r="AX87" i="3"/>
  <c r="AY82" i="3"/>
  <c r="AX194" i="3"/>
  <c r="AX51" i="3"/>
  <c r="AX50" i="3" s="1"/>
  <c r="AX132" i="3" l="1"/>
  <c r="AY97" i="3"/>
  <c r="AX69" i="3"/>
  <c r="AX79" i="3" s="1"/>
  <c r="AX5" i="3" s="1"/>
  <c r="AX88" i="3"/>
  <c r="AX7" i="3" s="1"/>
  <c r="AY96" i="3" l="1"/>
  <c r="AY138" i="3"/>
  <c r="AX197" i="3"/>
  <c r="AX133" i="3"/>
  <c r="AX167" i="3" l="1"/>
  <c r="AX168" i="3" s="1"/>
  <c r="AY165" i="3"/>
  <c r="AY101" i="3"/>
  <c r="AY140" i="3" l="1"/>
  <c r="AY137" i="3"/>
  <c r="AY105" i="3"/>
  <c r="AY176" i="3" l="1"/>
  <c r="AY139" i="3"/>
  <c r="AY164" i="3"/>
  <c r="AY175" i="3"/>
  <c r="AY111" i="3"/>
  <c r="AY118" i="3"/>
  <c r="AY115" i="3"/>
  <c r="AY171" i="3"/>
  <c r="AY172" i="3"/>
  <c r="AY166" i="3" l="1"/>
  <c r="AY141" i="3"/>
  <c r="AY106" i="3"/>
  <c r="AY170" i="3" l="1"/>
  <c r="AY119" i="3"/>
  <c r="AY121" i="3" l="1"/>
  <c r="AY122" i="3" l="1"/>
  <c r="AY125" i="3" l="1"/>
  <c r="AY163" i="3" l="1"/>
  <c r="AY83" i="3"/>
  <c r="AY126" i="3"/>
  <c r="AY77" i="3" l="1"/>
  <c r="AY127" i="3"/>
  <c r="AY200" i="3" l="1"/>
  <c r="AY179" i="3"/>
  <c r="AY84" i="3"/>
  <c r="AY74" i="3" s="1"/>
  <c r="AY71" i="3" l="1"/>
  <c r="AY202" i="3"/>
  <c r="AY203" i="3"/>
  <c r="AY201" i="3" l="1"/>
  <c r="AY78" i="3"/>
  <c r="AY136" i="3"/>
  <c r="AY162" i="3" l="1"/>
  <c r="AY87" i="3"/>
  <c r="AZ82" i="3"/>
  <c r="AY194" i="3"/>
  <c r="AY51" i="3"/>
  <c r="AY50" i="3" s="1"/>
  <c r="AY132" i="3" l="1"/>
  <c r="AY69" i="3"/>
  <c r="AY79" i="3" s="1"/>
  <c r="AY5" i="3" s="1"/>
  <c r="AZ97" i="3"/>
  <c r="AY88" i="3"/>
  <c r="AY7" i="3" s="1"/>
  <c r="AZ96" i="3" l="1"/>
  <c r="AZ138" i="3"/>
  <c r="AY197" i="3"/>
  <c r="AY133" i="3"/>
  <c r="AY167" i="3" l="1"/>
  <c r="AY168" i="3" s="1"/>
  <c r="AZ165" i="3"/>
  <c r="AZ101" i="3"/>
  <c r="AZ137" i="3" l="1"/>
  <c r="AZ140" i="3"/>
  <c r="AZ105" i="3"/>
  <c r="AZ175" i="3" l="1"/>
  <c r="AZ118" i="3"/>
  <c r="AZ115" i="3"/>
  <c r="AZ111" i="3"/>
  <c r="AZ172" i="3"/>
  <c r="AZ171" i="3"/>
  <c r="AZ176" i="3"/>
  <c r="AZ164" i="3"/>
  <c r="AZ139" i="3"/>
  <c r="AZ106" i="3" l="1"/>
  <c r="AZ166" i="3"/>
  <c r="AZ141" i="3"/>
  <c r="AZ170" i="3" l="1"/>
  <c r="AZ119" i="3"/>
  <c r="AZ121" i="3" l="1"/>
  <c r="AZ122" i="3" l="1"/>
  <c r="AZ125" i="3" l="1"/>
  <c r="AZ163" i="3" l="1"/>
  <c r="AZ83" i="3"/>
  <c r="AZ126" i="3"/>
  <c r="AZ77" i="3" l="1"/>
  <c r="AZ127" i="3"/>
  <c r="AZ200" i="3" l="1"/>
  <c r="AZ179" i="3"/>
  <c r="AZ84" i="3"/>
  <c r="AZ74" i="3" s="1"/>
  <c r="AZ71" i="3" l="1"/>
  <c r="AZ202" i="3"/>
  <c r="AZ203" i="3"/>
  <c r="AZ201" i="3" l="1"/>
  <c r="AZ78" i="3"/>
  <c r="AZ136" i="3"/>
  <c r="AZ162" i="3" l="1"/>
  <c r="AZ87" i="3"/>
  <c r="BA82" i="3"/>
  <c r="AZ51" i="3"/>
  <c r="AZ50" i="3" s="1"/>
  <c r="AZ194" i="3"/>
  <c r="AZ88" i="3" l="1"/>
  <c r="AZ7" i="3" s="1"/>
  <c r="AZ132" i="3"/>
  <c r="AZ69" i="3"/>
  <c r="AZ79" i="3" s="1"/>
  <c r="AZ5" i="3" s="1"/>
  <c r="BA97" i="3"/>
  <c r="BA96" i="3" l="1"/>
  <c r="BA138" i="3"/>
  <c r="BB97" i="3"/>
  <c r="AZ197" i="3"/>
  <c r="AZ133" i="3"/>
  <c r="AZ167" i="3" l="1"/>
  <c r="AZ168" i="3" s="1"/>
  <c r="BA165" i="3"/>
  <c r="BB138" i="3"/>
  <c r="BB165" i="3" s="1"/>
  <c r="BA101" i="3"/>
  <c r="BB96" i="3"/>
  <c r="BA137" i="3" l="1"/>
  <c r="BA140" i="3"/>
  <c r="BA105" i="3"/>
  <c r="BB101" i="3"/>
  <c r="BA175" i="3" l="1"/>
  <c r="BA118" i="3"/>
  <c r="BB118" i="3" s="1"/>
  <c r="BA115" i="3"/>
  <c r="BA111" i="3"/>
  <c r="BA172" i="3"/>
  <c r="BA171" i="3"/>
  <c r="BB140" i="3"/>
  <c r="BB105" i="3"/>
  <c r="BA164" i="3"/>
  <c r="BA176" i="3"/>
  <c r="BA139" i="3"/>
  <c r="BB137" i="3"/>
  <c r="BB175" i="3" l="1"/>
  <c r="BB171" i="3"/>
  <c r="BB172" i="3"/>
  <c r="BA141" i="3"/>
  <c r="BB115" i="3"/>
  <c r="BA166" i="3"/>
  <c r="BB139" i="3"/>
  <c r="BB166" i="3" s="1"/>
  <c r="BA106" i="3"/>
  <c r="BB111" i="3"/>
  <c r="BB164" i="3"/>
  <c r="BB176" i="3"/>
  <c r="BB106" i="3" l="1"/>
  <c r="BA119" i="3"/>
  <c r="BA170" i="3"/>
  <c r="BB141" i="3"/>
  <c r="BB170" i="3" s="1"/>
  <c r="BA121" i="3" l="1"/>
  <c r="BB119" i="3"/>
  <c r="BA122" i="3" l="1"/>
  <c r="BB122" i="3" s="1"/>
  <c r="BB121" i="3"/>
  <c r="BA125" i="3" l="1"/>
  <c r="BA163" i="3" l="1"/>
  <c r="BA83" i="3"/>
  <c r="BA126" i="3"/>
  <c r="BA127" i="3" s="1"/>
  <c r="BB125" i="3"/>
  <c r="BB163" i="3" s="1"/>
  <c r="BA200" i="3" l="1"/>
  <c r="BA179" i="3"/>
  <c r="BA84" i="3"/>
  <c r="BB127" i="3"/>
  <c r="BA74" i="3"/>
  <c r="BB126" i="3"/>
  <c r="BA77" i="3"/>
  <c r="BB83" i="3"/>
  <c r="BB77" i="3" l="1"/>
  <c r="BB74" i="3"/>
  <c r="BA71" i="3"/>
  <c r="N29" i="4"/>
  <c r="BB200" i="3"/>
  <c r="N36" i="4" s="1"/>
  <c r="BB179" i="3"/>
  <c r="BA202" i="3"/>
  <c r="BA203" i="3"/>
  <c r="BB84" i="3"/>
  <c r="N44" i="4" l="1"/>
  <c r="N46" i="4" s="1"/>
  <c r="N47" i="4" s="1"/>
  <c r="N142" i="4"/>
  <c r="N139" i="4"/>
  <c r="BA201" i="3"/>
  <c r="BA78" i="3"/>
  <c r="BB71" i="3"/>
  <c r="BA136" i="3"/>
  <c r="BB203" i="3"/>
  <c r="N33" i="4"/>
  <c r="BB202" i="3"/>
  <c r="N38" i="4" s="1"/>
  <c r="N141" i="4" s="1"/>
  <c r="N59" i="4" l="1"/>
  <c r="N60" i="4" s="1"/>
  <c r="N34" i="4"/>
  <c r="BC82" i="3"/>
  <c r="BA87" i="3"/>
  <c r="BB78" i="3"/>
  <c r="BA51" i="3"/>
  <c r="BA194" i="3"/>
  <c r="BB136" i="3"/>
  <c r="BB162" i="3" s="1"/>
  <c r="BA162" i="3"/>
  <c r="N30" i="4"/>
  <c r="N32" i="4" s="1"/>
  <c r="BB201" i="3"/>
  <c r="N37" i="4" s="1"/>
  <c r="N140" i="4" s="1"/>
  <c r="BA50" i="3" l="1"/>
  <c r="BB51" i="3"/>
  <c r="BB194" i="3"/>
  <c r="BB87" i="3"/>
  <c r="BB88" i="3" s="1"/>
  <c r="BB7" i="3" s="1"/>
  <c r="BA88" i="3"/>
  <c r="BA7" i="3" s="1"/>
  <c r="BG82" i="3"/>
  <c r="O31" i="4" l="1"/>
  <c r="O45" i="4" s="1"/>
  <c r="BB50" i="3"/>
  <c r="BA132" i="3"/>
  <c r="BA69" i="3"/>
  <c r="BC97" i="3"/>
  <c r="BB69" i="3" l="1"/>
  <c r="BA79" i="3"/>
  <c r="BC96" i="3"/>
  <c r="BC138" i="3"/>
  <c r="BA197" i="3"/>
  <c r="BB132" i="3"/>
  <c r="BB197" i="3" s="1"/>
  <c r="BA133" i="3"/>
  <c r="BB133" i="3" l="1"/>
  <c r="BB167" i="3" s="1"/>
  <c r="BB168" i="3" s="1"/>
  <c r="BA167" i="3"/>
  <c r="BA168" i="3" s="1"/>
  <c r="BC101" i="3"/>
  <c r="BC165" i="3"/>
  <c r="BB79" i="3"/>
  <c r="BB5" i="3" s="1"/>
  <c r="BA5" i="3"/>
  <c r="BC140" i="3" l="1"/>
  <c r="BC137" i="3"/>
  <c r="BC105" i="3"/>
  <c r="BC176" i="3" l="1"/>
  <c r="BC164" i="3"/>
  <c r="BC139" i="3"/>
  <c r="BC175" i="3"/>
  <c r="BC118" i="3"/>
  <c r="BC111" i="3"/>
  <c r="BC115" i="3"/>
  <c r="BC172" i="3"/>
  <c r="BC171" i="3"/>
  <c r="BC141" i="3" l="1"/>
  <c r="BC166" i="3"/>
  <c r="BC106" i="3"/>
  <c r="BC119" i="3" l="1"/>
  <c r="BC170" i="3"/>
  <c r="BC121" i="3" l="1"/>
  <c r="BC122" i="3" l="1"/>
  <c r="BC125" i="3" l="1"/>
  <c r="BC163" i="3" l="1"/>
  <c r="BC83" i="3"/>
  <c r="BC126" i="3"/>
  <c r="BC127" i="3" s="1"/>
  <c r="BC200" i="3" l="1"/>
  <c r="BC179" i="3"/>
  <c r="BC84" i="3"/>
  <c r="BC74" i="3" s="1"/>
  <c r="BC77" i="3"/>
  <c r="BC71" i="3" l="1"/>
  <c r="BC203" i="3"/>
  <c r="BC202" i="3"/>
  <c r="BC201" i="3" l="1"/>
  <c r="BC78" i="3"/>
  <c r="BC136" i="3"/>
  <c r="BC162" i="3" l="1"/>
  <c r="BC87" i="3"/>
  <c r="BD82" i="3"/>
  <c r="BC51" i="3"/>
  <c r="BC50" i="3" s="1"/>
  <c r="BC194" i="3"/>
  <c r="BC132" i="3" l="1"/>
  <c r="BC69" i="3"/>
  <c r="BC79" i="3" s="1"/>
  <c r="BC5" i="3" s="1"/>
  <c r="BD97" i="3"/>
  <c r="BC88" i="3"/>
  <c r="BC7" i="3" s="1"/>
  <c r="BD96" i="3" l="1"/>
  <c r="BD138" i="3"/>
  <c r="BC197" i="3"/>
  <c r="BC133" i="3"/>
  <c r="BC167" i="3" l="1"/>
  <c r="BC168" i="3" s="1"/>
  <c r="BD165" i="3"/>
  <c r="BD101" i="3"/>
  <c r="BD140" i="3" l="1"/>
  <c r="BD137" i="3"/>
  <c r="BD105" i="3"/>
  <c r="BD176" i="3" l="1"/>
  <c r="BD164" i="3"/>
  <c r="BD139" i="3"/>
  <c r="BD175" i="3"/>
  <c r="BD118" i="3"/>
  <c r="BD115" i="3"/>
  <c r="BD111" i="3"/>
  <c r="BD171" i="3"/>
  <c r="BD172" i="3"/>
  <c r="BD106" i="3" l="1"/>
  <c r="BD141" i="3"/>
  <c r="BD166" i="3"/>
  <c r="BD170" i="3" l="1"/>
  <c r="BD119" i="3"/>
  <c r="BD121" i="3" l="1"/>
  <c r="BD122" i="3" l="1"/>
  <c r="BD125" i="3" l="1"/>
  <c r="BD163" i="3" l="1"/>
  <c r="BD83" i="3"/>
  <c r="BD126" i="3"/>
  <c r="BD77" i="3" l="1"/>
  <c r="BD127" i="3"/>
  <c r="BD200" i="3" l="1"/>
  <c r="BD179" i="3"/>
  <c r="BD84" i="3"/>
  <c r="BD74" i="3" s="1"/>
  <c r="BD71" i="3" l="1"/>
  <c r="BD203" i="3"/>
  <c r="BD202" i="3"/>
  <c r="BD201" i="3" l="1"/>
  <c r="BD78" i="3"/>
  <c r="BD136" i="3"/>
  <c r="BD162" i="3" l="1"/>
  <c r="BD87" i="3"/>
  <c r="BE82" i="3"/>
  <c r="BD194" i="3"/>
  <c r="BD51" i="3"/>
  <c r="BD50" i="3" s="1"/>
  <c r="BD132" i="3" l="1"/>
  <c r="BD69" i="3"/>
  <c r="BD79" i="3" s="1"/>
  <c r="BD5" i="3" s="1"/>
  <c r="BE97" i="3"/>
  <c r="BD88" i="3"/>
  <c r="BD7" i="3" s="1"/>
  <c r="BE96" i="3" l="1"/>
  <c r="BE138" i="3"/>
  <c r="BD197" i="3"/>
  <c r="BD133" i="3"/>
  <c r="BD167" i="3" l="1"/>
  <c r="BD168" i="3" s="1"/>
  <c r="BE165" i="3"/>
  <c r="BE101" i="3"/>
  <c r="BE137" i="3" l="1"/>
  <c r="BE140" i="3"/>
  <c r="BE105" i="3"/>
  <c r="BE175" i="3" l="1"/>
  <c r="BE111" i="3"/>
  <c r="BE118" i="3"/>
  <c r="BE115" i="3"/>
  <c r="BE171" i="3"/>
  <c r="BE172" i="3"/>
  <c r="BE176" i="3"/>
  <c r="BE164" i="3"/>
  <c r="BE139" i="3"/>
  <c r="BE166" i="3" l="1"/>
  <c r="BE106" i="3"/>
  <c r="BE141" i="3"/>
  <c r="BE170" i="3" l="1"/>
  <c r="BE119" i="3"/>
  <c r="BE121" i="3" l="1"/>
  <c r="BE122" i="3" l="1"/>
  <c r="BE125" i="3" l="1"/>
  <c r="BE163" i="3" l="1"/>
  <c r="BE83" i="3"/>
  <c r="BE126" i="3"/>
  <c r="BE127" i="3" s="1"/>
  <c r="BE200" i="3" l="1"/>
  <c r="BE179" i="3"/>
  <c r="BE84" i="3"/>
  <c r="BE74" i="3" s="1"/>
  <c r="BE77" i="3"/>
  <c r="BE203" i="3" l="1"/>
  <c r="BE202" i="3"/>
  <c r="BE71" i="3"/>
  <c r="BE201" i="3" l="1"/>
  <c r="BE78" i="3"/>
  <c r="BE136" i="3"/>
  <c r="BE162" i="3" l="1"/>
  <c r="BE87" i="3"/>
  <c r="BF82" i="3"/>
  <c r="BE51" i="3"/>
  <c r="BE50" i="3" s="1"/>
  <c r="BE194" i="3"/>
  <c r="BE88" i="3" l="1"/>
  <c r="BE7" i="3" s="1"/>
  <c r="BE69" i="3"/>
  <c r="BE79" i="3" s="1"/>
  <c r="BE5" i="3" s="1"/>
  <c r="BE132" i="3"/>
  <c r="BF97" i="3"/>
  <c r="BF96" i="3" l="1"/>
  <c r="BF138" i="3"/>
  <c r="BG97" i="3"/>
  <c r="BE197" i="3"/>
  <c r="BE133" i="3"/>
  <c r="BE167" i="3" l="1"/>
  <c r="BE168" i="3" s="1"/>
  <c r="BF165" i="3"/>
  <c r="BG138" i="3"/>
  <c r="BG165" i="3" s="1"/>
  <c r="BF101" i="3"/>
  <c r="BG96" i="3"/>
  <c r="BF140" i="3" l="1"/>
  <c r="BF137" i="3"/>
  <c r="BF105" i="3"/>
  <c r="BG101" i="3"/>
  <c r="BF175" i="3" l="1"/>
  <c r="BF111" i="3"/>
  <c r="BF118" i="3"/>
  <c r="BG118" i="3" s="1"/>
  <c r="BF115" i="3"/>
  <c r="BF171" i="3"/>
  <c r="BF172" i="3"/>
  <c r="BG140" i="3"/>
  <c r="BG105" i="3"/>
  <c r="BF176" i="3"/>
  <c r="BF139" i="3"/>
  <c r="BF164" i="3"/>
  <c r="BG137" i="3"/>
  <c r="BG176" i="3" l="1"/>
  <c r="BG164" i="3"/>
  <c r="BF166" i="3"/>
  <c r="BG139" i="3"/>
  <c r="BG166" i="3" s="1"/>
  <c r="BG175" i="3"/>
  <c r="BG172" i="3"/>
  <c r="BG171" i="3"/>
  <c r="BF141" i="3"/>
  <c r="BG115" i="3"/>
  <c r="BF106" i="3"/>
  <c r="BG111" i="3"/>
  <c r="BG106" i="3" l="1"/>
  <c r="BF119" i="3"/>
  <c r="BF170" i="3"/>
  <c r="BG141" i="3"/>
  <c r="BG170" i="3" s="1"/>
  <c r="BF121" i="3" l="1"/>
  <c r="BG119" i="3"/>
  <c r="BF122" i="3" l="1"/>
  <c r="BG122" i="3" s="1"/>
  <c r="BG121" i="3"/>
  <c r="BF125" i="3" l="1"/>
  <c r="BF163" i="3" l="1"/>
  <c r="BF83" i="3"/>
  <c r="BF126" i="3"/>
  <c r="BF127" i="3" s="1"/>
  <c r="BG125" i="3"/>
  <c r="BG163" i="3" s="1"/>
  <c r="BF200" i="3" l="1"/>
  <c r="BF179" i="3"/>
  <c r="BF84" i="3"/>
  <c r="BG127" i="3"/>
  <c r="BF74" i="3"/>
  <c r="BG126" i="3"/>
  <c r="BF77" i="3"/>
  <c r="BG77" i="3" s="1"/>
  <c r="BG83" i="3"/>
  <c r="BG74" i="3" l="1"/>
  <c r="BF71" i="3"/>
  <c r="BF203" i="3"/>
  <c r="BF202" i="3"/>
  <c r="BG84" i="3"/>
  <c r="O29" i="4"/>
  <c r="BG200" i="3"/>
  <c r="O36" i="4" s="1"/>
  <c r="BG179" i="3"/>
  <c r="O142" i="4" l="1"/>
  <c r="O139" i="4"/>
  <c r="O33" i="4"/>
  <c r="BG202" i="3"/>
  <c r="O38" i="4" s="1"/>
  <c r="O141" i="4" s="1"/>
  <c r="BG203" i="3"/>
  <c r="BF201" i="3"/>
  <c r="BF78" i="3"/>
  <c r="BG71" i="3"/>
  <c r="BF136" i="3"/>
  <c r="O44" i="4"/>
  <c r="O46" i="4" s="1"/>
  <c r="O59" i="4" l="1"/>
  <c r="O34" i="4"/>
  <c r="E49" i="4"/>
  <c r="O47" i="4"/>
  <c r="E48" i="4" s="1"/>
  <c r="E53" i="4" s="1"/>
  <c r="E54" i="4" s="1"/>
  <c r="BG136" i="3"/>
  <c r="BG162" i="3" s="1"/>
  <c r="BF162" i="3"/>
  <c r="BG201" i="3"/>
  <c r="O37" i="4" s="1"/>
  <c r="O140" i="4" s="1"/>
  <c r="O30" i="4"/>
  <c r="O32" i="4" s="1"/>
  <c r="BF87" i="3"/>
  <c r="BG78" i="3"/>
  <c r="BF51" i="3"/>
  <c r="BF194" i="3"/>
  <c r="BG51" i="3" l="1"/>
  <c r="BF50" i="3"/>
  <c r="BG87" i="3"/>
  <c r="BG88" i="3" s="1"/>
  <c r="BF88" i="3"/>
  <c r="BF7" i="3" s="1"/>
  <c r="BG7" i="3"/>
  <c r="BG194" i="3"/>
  <c r="E55" i="4"/>
  <c r="E104" i="4"/>
  <c r="E62" i="4"/>
  <c r="O60" i="4"/>
  <c r="E61" i="4" s="1"/>
  <c r="E65" i="4" s="1"/>
  <c r="E66" i="4" s="1"/>
  <c r="E105" i="4" l="1"/>
  <c r="G105" i="4" s="1"/>
  <c r="E67" i="4"/>
  <c r="G104" i="4"/>
  <c r="E108" i="4"/>
  <c r="BG50" i="3"/>
  <c r="BF132" i="3"/>
  <c r="BF69" i="3"/>
  <c r="BF79" i="3" l="1"/>
  <c r="BG69" i="3"/>
  <c r="BF197" i="3"/>
  <c r="BG132" i="3"/>
  <c r="BG197" i="3" s="1"/>
  <c r="BF133" i="3"/>
  <c r="E110" i="4"/>
  <c r="E6" i="4"/>
  <c r="E7" i="4" l="1"/>
  <c r="E8" i="4" s="1"/>
  <c r="E111" i="4" s="1"/>
  <c r="E12" i="4"/>
  <c r="BG133" i="3"/>
  <c r="BG167" i="3" s="1"/>
  <c r="BG168" i="3" s="1"/>
  <c r="BF167" i="3"/>
  <c r="BF168" i="3" s="1"/>
  <c r="BG79" i="3"/>
  <c r="BG5" i="3" s="1"/>
  <c r="BF5" i="3"/>
  <c r="E8" i="3" s="1"/>
</calcChain>
</file>

<file path=xl/sharedStrings.xml><?xml version="1.0" encoding="utf-8"?>
<sst xmlns="http://schemas.openxmlformats.org/spreadsheetml/2006/main" count="1910" uniqueCount="1175">
  <si>
    <t>Fator de escala</t>
  </si>
  <si>
    <t>Fonte já na unidade final = 1 · fonte em milhares = 0,001</t>
  </si>
  <si>
    <t>MODELO-BASE VAZIO — preencha os valores nas linhas abaixo e as datas de primeiro e último trimestre no painel de premissas</t>
  </si>
  <si>
    <t>COD</t>
  </si>
  <si>
    <t>Conta (como divulgada)</t>
  </si>
  <si>
    <t>Fonte · ORIGEM · unidade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</si>
  <si>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</si>
  <si>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</si>
  <si>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</si>
  <si>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</si>
  <si>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</si>
  <si>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</si>
  <si>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</si>
  <si>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</si>
  <si>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</si>
  <si>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</si>
  <si>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</si>
  <si>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</si>
  <si>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</si>
  <si>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</si>
  <si>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</si>
  <si>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</si>
  <si>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</si>
  <si>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</si>
  <si>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</si>
  <si>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</si>
  <si>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</si>
  <si>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</si>
  <si>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</si>
  <si>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</si>
  <si>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</si>
  <si>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2T26</t>
  </si>
  <si>
    <t>3T26</t>
  </si>
  <si>
    <t>4T26</t>
  </si>
  <si>
    <t>1T27</t>
  </si>
  <si>
    <t>2T27</t>
  </si>
  <si>
    <t>3T27</t>
  </si>
  <si>
    <t>4T27</t>
  </si>
  <si>
    <t>1T28</t>
  </si>
  <si>
    <t>2T28</t>
  </si>
  <si>
    <t>3T28</t>
  </si>
  <si>
    <t>4T28</t>
  </si>
  <si>
    <t>1T29</t>
  </si>
  <si>
    <t>2T29</t>
  </si>
  <si>
    <t>3T29</t>
  </si>
  <si>
    <t>4T29</t>
  </si>
  <si>
    <t>1T30</t>
  </si>
  <si>
    <t>2T30</t>
  </si>
  <si>
    <t>3T30</t>
  </si>
  <si>
    <t>4T30</t>
  </si>
  <si>
    <t>ATIVO</t>
  </si>
  <si>
    <t>disp</t>
  </si>
  <si>
    <t>Disponibilidades</t>
  </si>
  <si>
    <t>preencher: aba e linha da fonte · fonte · moeda</t>
  </si>
  <si>
    <t>aplic_mo</t>
  </si>
  <si>
    <t>Aplicações no Mercado Aberto</t>
  </si>
  <si>
    <t>aplic_di</t>
  </si>
  <si>
    <t>Aplicações em Depósitos Interfinanceiros</t>
  </si>
  <si>
    <t>aplic_rg</t>
  </si>
  <si>
    <t>Recursos Garantidores das Provisões Técnicas</t>
  </si>
  <si>
    <t>aplic_pdd</t>
  </si>
  <si>
    <t>(Provisão para Perda de Crédito Esperada)</t>
  </si>
  <si>
    <t>tvm_prop</t>
  </si>
  <si>
    <t>Carteira própria</t>
  </si>
  <si>
    <t>tvm_vinc</t>
  </si>
  <si>
    <t>Vinculados</t>
  </si>
  <si>
    <t>tvm_rg</t>
  </si>
  <si>
    <t>tvm_pdd</t>
  </si>
  <si>
    <t>deriv_a</t>
  </si>
  <si>
    <t>Derivativos</t>
  </si>
  <si>
    <t>cred_op</t>
  </si>
  <si>
    <t>Operações de Crédito, Arrendamentos e Outros Créditos</t>
  </si>
  <si>
    <t>cred_tvm</t>
  </si>
  <si>
    <t>Títulos e Valores Mobiliários</t>
  </si>
  <si>
    <t>cred_pdd</t>
  </si>
  <si>
    <t>rel_a</t>
  </si>
  <si>
    <t>Relações Interfinanceiras e Interdependências</t>
  </si>
  <si>
    <t>fisc_a</t>
  </si>
  <si>
    <t>Ativos Fiscais Correntes e Diferidos</t>
  </si>
  <si>
    <t>out_a</t>
  </si>
  <si>
    <t>Outros Ativos</t>
  </si>
  <si>
    <t>inv_col</t>
  </si>
  <si>
    <t>Coligadas e Entidades Controladas em Conjunto</t>
  </si>
  <si>
    <t>inv_out</t>
  </si>
  <si>
    <t>Outros Investimentos</t>
  </si>
  <si>
    <t>imob</t>
  </si>
  <si>
    <t>Imobilizado</t>
  </si>
  <si>
    <t>intang</t>
  </si>
  <si>
    <t>Ágio e Intangível</t>
  </si>
  <si>
    <t>PASSIVO</t>
  </si>
  <si>
    <t>dep_vista</t>
  </si>
  <si>
    <t>Depósitos à Vista</t>
  </si>
  <si>
    <t>dep_poup</t>
  </si>
  <si>
    <t>Depósitos de Poupança</t>
  </si>
  <si>
    <t>dep_inter</t>
  </si>
  <si>
    <t>Depósitos Interfinanceiros</t>
  </si>
  <si>
    <t>dep_prazo</t>
  </si>
  <si>
    <t>Depósitos a Prazo</t>
  </si>
  <si>
    <t>dep_out</t>
  </si>
  <si>
    <t>Outros Depósitos</t>
  </si>
  <si>
    <t>mo_prop</t>
  </si>
  <si>
    <t>Carteira Própria</t>
  </si>
  <si>
    <t>mo_terc</t>
  </si>
  <si>
    <t>Carteira de Terceiros</t>
  </si>
  <si>
    <t>mo_livre</t>
  </si>
  <si>
    <t>Carteira de Livre Movimentação</t>
  </si>
  <si>
    <t>div_emis</t>
  </si>
  <si>
    <t>Recursos de Emissões (LF, LCI, LCA, LIG)</t>
  </si>
  <si>
    <t>div_ext</t>
  </si>
  <si>
    <t>Obrigações por TVM no Exterior</t>
  </si>
  <si>
    <t>div_coe</t>
  </si>
  <si>
    <t>Captação por Certificados de Operações Estruturadas</t>
  </si>
  <si>
    <t>div_sub</t>
  </si>
  <si>
    <t>Instrumentos de Dívida Subordinada</t>
  </si>
  <si>
    <t>emp_empr</t>
  </si>
  <si>
    <t>Empréstimos</t>
  </si>
  <si>
    <t>emp_rep</t>
  </si>
  <si>
    <t>Repasses</t>
  </si>
  <si>
    <t>deriv_p</t>
  </si>
  <si>
    <t>rel_p</t>
  </si>
  <si>
    <t>prov_gar</t>
  </si>
  <si>
    <t>Provisões p/ Garantias Financeiras e Compromissos de Crédito</t>
  </si>
  <si>
    <t>prov_tec</t>
  </si>
  <si>
    <t>Provisões Técnicas de Seguros, Previdência e Capitalização</t>
  </si>
  <si>
    <t>prov_dem</t>
  </si>
  <si>
    <t>Demais Provisões</t>
  </si>
  <si>
    <t>fisc_p</t>
  </si>
  <si>
    <t>Obrigações Fiscais Correntes e Diferidas</t>
  </si>
  <si>
    <t>out_p</t>
  </si>
  <si>
    <t>Outros Passivos</t>
  </si>
  <si>
    <t>PATRIMÔNIO LÍQUIDO</t>
  </si>
  <si>
    <t>cap_social</t>
  </si>
  <si>
    <t>Capital Social</t>
  </si>
  <si>
    <t>res_cap</t>
  </si>
  <si>
    <t>Reservas de Capital</t>
  </si>
  <si>
    <t>res_luc</t>
  </si>
  <si>
    <t>Reservas de Lucros</t>
  </si>
  <si>
    <t>ora</t>
  </si>
  <si>
    <t>Outros Resultados Abrangentes</t>
  </si>
  <si>
    <t>tesour</t>
  </si>
  <si>
    <t>(Ações em Tesouraria)</t>
  </si>
  <si>
    <t>minor</t>
  </si>
  <si>
    <t>Participação de Acionistas Não Controladores</t>
  </si>
  <si>
    <t>DEMONSTRAÇÃO DO RESULTADO</t>
  </si>
  <si>
    <t>rec_cred</t>
  </si>
  <si>
    <t>Resultado com Operações de Concessão de Crédito</t>
  </si>
  <si>
    <t>rec_tvm</t>
  </si>
  <si>
    <t>Resultado de TVM, Derivativos e Outros</t>
  </si>
  <si>
    <t>rec_rg</t>
  </si>
  <si>
    <t>Receitas Fin. de Recursos Garantidores de Prov. Técnicas</t>
  </si>
  <si>
    <t>rec_aplic</t>
  </si>
  <si>
    <t>Resultado das Aplicações Interfinanceiras de Liquidez</t>
  </si>
  <si>
    <t>desp_dep</t>
  </si>
  <si>
    <t>(Depósitos e Captações no Mercado Aberto)</t>
  </si>
  <si>
    <t>desp_div</t>
  </si>
  <si>
    <t>(Instrumentos de Dívida)</t>
  </si>
  <si>
    <t>desp_emp</t>
  </si>
  <si>
    <t>(Empréstimos e Repasses)</t>
  </si>
  <si>
    <t>desp_prov_tec</t>
  </si>
  <si>
    <t>(Despesas Fin. de Provisões Técnicas)</t>
  </si>
  <si>
    <t>pdd_desp</t>
  </si>
  <si>
    <t>(Despesa de Provisão para Perda Esperada)</t>
  </si>
  <si>
    <t>pdd_recup</t>
  </si>
  <si>
    <t>Recuperação de Créditos Baixados como Prejuízo</t>
  </si>
  <si>
    <t>serv</t>
  </si>
  <si>
    <t>Receitas de Prestação de Serviços e Tarifas Bancárias</t>
  </si>
  <si>
    <t>seguros</t>
  </si>
  <si>
    <t>Resultado de Seguros, Previdência e Capitalização</t>
  </si>
  <si>
    <t>pessoal</t>
  </si>
  <si>
    <t>(Despesas de Pessoal)</t>
  </si>
  <si>
    <t>admin</t>
  </si>
  <si>
    <t>(Outras Despesas Administrativas)</t>
  </si>
  <si>
    <t>prov_civ</t>
  </si>
  <si>
    <t>(Provisões Cíveis)</t>
  </si>
  <si>
    <t>prov_trab</t>
  </si>
  <si>
    <t>(Provisões Trabalhistas)</t>
  </si>
  <si>
    <t>prov_fisc</t>
  </si>
  <si>
    <t>(Provisões Fiscais, Previdenciárias e Outros Riscos)</t>
  </si>
  <si>
    <t>desp_trib</t>
  </si>
  <si>
    <t>(Despesas Tributárias)</t>
  </si>
  <si>
    <t>res_part</t>
  </si>
  <si>
    <t>Resultado de Participações em Coligadas e Controladas</t>
  </si>
  <si>
    <t>out_rec</t>
  </si>
  <si>
    <t>Outras Receitas Operacionais</t>
  </si>
  <si>
    <t>out_desp</t>
  </si>
  <si>
    <t>(Outras Despesas Operacionais)</t>
  </si>
  <si>
    <t>nao_op</t>
  </si>
  <si>
    <t>Resultado Não Operacional</t>
  </si>
  <si>
    <t>ir_corr</t>
  </si>
  <si>
    <t>(Devidos sobre Operações do Período)</t>
  </si>
  <si>
    <t>ir_dif</t>
  </si>
  <si>
    <t>Referentes a Diferenças Temporárias</t>
  </si>
  <si>
    <t>ll_minor</t>
  </si>
  <si>
    <t>(Participação de Não Controladores)</t>
  </si>
  <si>
    <t>DADOS COMPLEMENTARES</t>
  </si>
  <si>
    <t>cart_ampl</t>
  </si>
  <si>
    <t>Carteira de crédito ampliada</t>
  </si>
  <si>
    <t>cart_pf</t>
  </si>
  <si>
    <t>Pessoa física</t>
  </si>
  <si>
    <t>cart_pj</t>
  </si>
  <si>
    <t>Pessoa jurídica</t>
  </si>
  <si>
    <t>est1</t>
  </si>
  <si>
    <t>Carteira em Estágio 1</t>
  </si>
  <si>
    <t>est2</t>
  </si>
  <si>
    <t>Carteira em Estágio 2</t>
  </si>
  <si>
    <t>est3</t>
  </si>
  <si>
    <t>Carteira em Estágio 3</t>
  </si>
  <si>
    <t>prov_e1</t>
  </si>
  <si>
    <t>Saldo de provisão — Estágio 1</t>
  </si>
  <si>
    <t>prov_e2</t>
  </si>
  <si>
    <t>Saldo de provisão — Estágio 2</t>
  </si>
  <si>
    <t>prov_e3</t>
  </si>
  <si>
    <t>Saldo de provisão — Estágio 3</t>
  </si>
  <si>
    <t>prov_tot</t>
  </si>
  <si>
    <t>Saldo total de provisão</t>
  </si>
  <si>
    <t>npl90</t>
  </si>
  <si>
    <t>Operações vencidas acima de 90 dias</t>
  </si>
  <si>
    <t>npl15</t>
  </si>
  <si>
    <t>Operações vencidas de 15 a 90 dias</t>
  </si>
  <si>
    <t>wo</t>
  </si>
  <si>
    <t>Write-off do período</t>
  </si>
  <si>
    <t>reneg</t>
  </si>
  <si>
    <t>Carteira renegociada</t>
  </si>
  <si>
    <t>mf_cli</t>
  </si>
  <si>
    <t>Margem financeira com clientes (reportada)</t>
  </si>
  <si>
    <t>mf_mkt</t>
  </si>
  <si>
    <t>Margem financeira com o mercado (reportada)</t>
  </si>
  <si>
    <t>at_rent</t>
  </si>
  <si>
    <t>Ativos rentáveis (saldo fim de período)</t>
  </si>
  <si>
    <t>pas_oner</t>
  </si>
  <si>
    <t>Passivos onerosos (saldo fim de período)</t>
  </si>
  <si>
    <t>rwa</t>
  </si>
  <si>
    <t>Ativos Ponderados pelo Risco (RWA)</t>
  </si>
  <si>
    <t>rwa_cred</t>
  </si>
  <si>
    <t>RWA de crédito</t>
  </si>
  <si>
    <t>rwa_mkt</t>
  </si>
  <si>
    <t>RWA de mercado</t>
  </si>
  <si>
    <t>rwa_op</t>
  </si>
  <si>
    <t>RWA operacional</t>
  </si>
  <si>
    <t>pr</t>
  </si>
  <si>
    <t>Patrimônio de Referência (PR)</t>
  </si>
  <si>
    <t>nivel1</t>
  </si>
  <si>
    <t>Capital Nível I</t>
  </si>
  <si>
    <t>cet1</t>
  </si>
  <si>
    <t>Capital Principal (CET1)</t>
  </si>
  <si>
    <t>ib_rep</t>
  </si>
  <si>
    <t>Índice de Basileia reportado (%)</t>
  </si>
  <si>
    <t>preencher: aba e linha da fonte · fonte · pct</t>
  </si>
  <si>
    <t>in1_rep</t>
  </si>
  <si>
    <t>Índice de Nível I reportado (%)</t>
  </si>
  <si>
    <t>icp_rep</t>
  </si>
  <si>
    <t>Índice de Capital Principal reportado (%)</t>
  </si>
  <si>
    <t>alav</t>
  </si>
  <si>
    <t>Razão de Alavancagem (%)</t>
  </si>
  <si>
    <t>lcr</t>
  </si>
  <si>
    <t>LCR (%)</t>
  </si>
  <si>
    <t>nsfr</t>
  </si>
  <si>
    <t>NSFR (%)</t>
  </si>
  <si>
    <t>acoes</t>
  </si>
  <si>
    <t>Ações ex-tesouraria no fim do período (milhões)</t>
  </si>
  <si>
    <t>preencher: aba e linha da fonte · fonte · acoes</t>
  </si>
  <si>
    <t>div_decl</t>
  </si>
  <si>
    <t>Dividendos declarados no período</t>
  </si>
  <si>
    <t>jcp_decl</t>
  </si>
  <si>
    <t>Juros sobre capital próprio declarados</t>
  </si>
  <si>
    <t>preco</t>
  </si>
  <si>
    <t>Preço da ação no fechamento</t>
  </si>
  <si>
    <t>preencher: aba e linha da fonte · fonte · por acao</t>
  </si>
  <si>
    <t>funcion</t>
  </si>
  <si>
    <t>Número de colaboradores</t>
  </si>
  <si>
    <t>preencher: aba e linha da fonte · fonte · un</t>
  </si>
  <si>
    <t>agencias</t>
  </si>
  <si>
    <t>Número de agências e postos de atendimento</t>
  </si>
  <si>
    <t>clientes</t>
  </si>
  <si>
    <t>Base de clientes (mil)</t>
  </si>
  <si>
    <t>cart_cartao</t>
  </si>
  <si>
    <t>Cartão de crédito</t>
  </si>
  <si>
    <t>cart_consig</t>
  </si>
  <si>
    <t>Crédito consignado</t>
  </si>
  <si>
    <t>cart_veic</t>
  </si>
  <si>
    <t>Veículos</t>
  </si>
  <si>
    <t>cart_imob</t>
  </si>
  <si>
    <t>Imobiliário</t>
  </si>
  <si>
    <t>cart_rural</t>
  </si>
  <si>
    <t>Rural e agronegócio</t>
  </si>
  <si>
    <t>cart_pf_out</t>
  </si>
  <si>
    <t>Demais pessoa física</t>
  </si>
  <si>
    <t>cart_mpe</t>
  </si>
  <si>
    <t>Micro, pequenas e médias empresas</t>
  </si>
  <si>
    <t>cart_grandes</t>
  </si>
  <si>
    <t>Grandes empresas</t>
  </si>
  <si>
    <t>cart_pj_out</t>
  </si>
  <si>
    <t>Demais pessoa jurídica</t>
  </si>
  <si>
    <t>serv_tarifas</t>
  </si>
  <si>
    <t>Tarifas de conta e pacotes</t>
  </si>
  <si>
    <t>serv_cartoes</t>
  </si>
  <si>
    <t>Cartões</t>
  </si>
  <si>
    <t>serv_adm_rec</t>
  </si>
  <si>
    <t>Administração de recursos e fundos</t>
  </si>
  <si>
    <t>serv_seg_corr</t>
  </si>
  <si>
    <t>Corretagem de seguros e previdência</t>
  </si>
  <si>
    <t>serv_merc_cap</t>
  </si>
  <si>
    <t>Mercado de capitais e banco de investimento</t>
  </si>
  <si>
    <t>serv_out</t>
  </si>
  <si>
    <t>Demais serviços</t>
  </si>
  <si>
    <t>pes_proventos</t>
  </si>
  <si>
    <t>(Proventos e encargos)</t>
  </si>
  <si>
    <t>pes_benef</t>
  </si>
  <si>
    <t>(Benefícios)</t>
  </si>
  <si>
    <t>pes_plr</t>
  </si>
  <si>
    <t>(Participação nos lucros)</t>
  </si>
  <si>
    <t>pes_out</t>
  </si>
  <si>
    <t>(Demais despesas de pessoal)</t>
  </si>
  <si>
    <t>adm_proc</t>
  </si>
  <si>
    <t>(Processamento de dados e tecnologia)</t>
  </si>
  <si>
    <t>adm_alug</t>
  </si>
  <si>
    <t>(Aluguéis e manutenção)</t>
  </si>
  <si>
    <t>adm_mkt</t>
  </si>
  <si>
    <t>(Propaganda e marketing)</t>
  </si>
  <si>
    <t>adm_terc</t>
  </si>
  <si>
    <t>(Serviços de terceiros)</t>
  </si>
  <si>
    <t>adm_deprec</t>
  </si>
  <si>
    <t>(Depreciação e amortização)</t>
  </si>
  <si>
    <t>adm_out</t>
  </si>
  <si>
    <t>(Demais despesas administrativas)</t>
  </si>
  <si>
    <t>Linhas derivadas por fórmula dentro da própria Inputs</t>
  </si>
  <si>
    <t>Espaço livre até a linha 190 para novas linhas de origem. Qualquer linha acrescentada aqui com um código existente é somada automaticamente pela Inputs (2), sem editar fórmula.</t>
  </si>
  <si>
    <t>IDENTIFICAÇÃO E MERCADO</t>
  </si>
  <si>
    <t>COMPANY &amp; MARKET DATA</t>
  </si>
  <si>
    <t>Instituição</t>
  </si>
  <si>
    <t>Institution</t>
  </si>
  <si>
    <t>Ticker</t>
  </si>
  <si>
    <t>Segmento / norma contábil</t>
  </si>
  <si>
    <t>Segment / accounting standard</t>
  </si>
  <si>
    <t>Moeda de reporte</t>
  </si>
  <si>
    <t>Reporting currency</t>
  </si>
  <si>
    <t>R$</t>
  </si>
  <si>
    <t>Escolha a moeda aqui. Os títulos do Model, da Inputs (2) e do Valuation leem esta célula, então trocar BRL por USD renomeia a planilha inteira. O que a célula não faz é converter valor: conversão de moeda é outra coisa.</t>
  </si>
  <si>
    <t>Escala dos valores</t>
  </si>
  <si>
    <t>Scale</t>
  </si>
  <si>
    <t>milhões</t>
  </si>
  <si>
    <t>Unidade monetária (moeda + escala)</t>
  </si>
  <si>
    <t>Currency unit</t>
  </si>
  <si>
    <t>Último trimestre reportado (data de fechamento)</t>
  </si>
  <si>
    <t>Last reported quarter</t>
  </si>
  <si>
    <t>Esta data controla todo o modelo: colunas entre o primeiro e o último trimestre são lidas como realizado; as demais são projetadas.</t>
  </si>
  <si>
    <t>Primeiro trimestre com dado na fonte</t>
  </si>
  <si>
    <t>First quarter covered by the source</t>
  </si>
  <si>
    <t>Séries que começam depois da grade do modelo: as colunas anteriores ficam fora do realizado em vez de entrar como zero realizado.</t>
  </si>
  <si>
    <t>Data-base do valuation</t>
  </si>
  <si>
    <t>Valuation date</t>
  </si>
  <si>
    <t>Share price</t>
  </si>
  <si>
    <t>Preço e quantidade de ações são premissa sua, não vêm da série histórica. A quantidade de ações entra em milhões, na mesma escala do modelo, para o LPA e o VPA saírem por ação.</t>
  </si>
  <si>
    <t>Ações ordinárias (milhões)</t>
  </si>
  <si>
    <t>Common shares (mn)</t>
  </si>
  <si>
    <t>Ações preferenciais (milhões)</t>
  </si>
  <si>
    <t>Preferred shares (mn)</t>
  </si>
  <si>
    <t>(-) Ações em tesouraria (milhões)</t>
  </si>
  <si>
    <t>(-) Treasury shares (mn)</t>
  </si>
  <si>
    <t>Ações ex-tesouraria (milhões)</t>
  </si>
  <si>
    <t>Shares ex-treasury (mn)</t>
  </si>
  <si>
    <t>Market capitalisation</t>
  </si>
  <si>
    <t>GRADE DE PERÍODOS</t>
  </si>
  <si>
    <t>PERIOD GRID</t>
  </si>
  <si>
    <t>Data de fechamento</t>
  </si>
  <si>
    <t>Period end</t>
  </si>
  <si>
    <t>Ano</t>
  </si>
  <si>
    <t>Year</t>
  </si>
  <si>
    <t>Período</t>
  </si>
  <si>
    <t>Period</t>
  </si>
  <si>
    <t>Realizado (1) / Projetado (0)</t>
  </si>
  <si>
    <t>Actual (1) / Forecast (0)</t>
  </si>
  <si>
    <t>Não editar: derivado da data do último trimestre reportado.</t>
  </si>
  <si>
    <t>DRIVERS IMPLÍCITOS NO HISTÓRICO — CALCULADOS DA INPUTS (2)</t>
  </si>
  <si>
    <t>IMPLIED DRIVERS — DERIVED FROM REPORTED DATA</t>
  </si>
  <si>
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</si>
  <si>
    <t>Crédito, tesouraria e funding — realizado</t>
  </si>
  <si>
    <t>Loans, treasury and funding — actual</t>
  </si>
  <si>
    <t>Carteira de crédito bruta — crescimento % QoQ</t>
  </si>
  <si>
    <t>Gross loan growth QoQ</t>
  </si>
  <si>
    <t>Taxa média da carteira de crédito (% a.a.)</t>
  </si>
  <si>
    <t>Average loan yield</t>
  </si>
  <si>
    <t>Custo do crédito (% da carteira média, a.a.)</t>
  </si>
  <si>
    <t>Cost of risk</t>
  </si>
  <si>
    <t>Write-off (% da carteira média, a.a.)</t>
  </si>
  <si>
    <t>Write-offs</t>
  </si>
  <si>
    <t>Recuperação de créditos baixados (% da despesa de PDD)</t>
  </si>
  <si>
    <t>Recoveries</t>
  </si>
  <si>
    <t>TVM e aplicações — crescimento % QoQ</t>
  </si>
  <si>
    <t>Securities growth QoQ</t>
  </si>
  <si>
    <t>Rendimento médio de TVM e aplicações (% a.a.)</t>
  </si>
  <si>
    <t>Securities yield</t>
  </si>
  <si>
    <t>Depósitos — crescimento % QoQ</t>
  </si>
  <si>
    <t>Deposits growth QoQ</t>
  </si>
  <si>
    <t>Instrumentos de dívida — crescimento % QoQ</t>
  </si>
  <si>
    <t>Debt growth QoQ</t>
  </si>
  <si>
    <t>Empréstimos e repasses — crescimento % QoQ</t>
  </si>
  <si>
    <t>Borrowings growth QoQ</t>
  </si>
  <si>
    <t>Custo médio do funding (% a.a.)</t>
  </si>
  <si>
    <t>Cost of funding</t>
  </si>
  <si>
    <t>Demais ativos — crescimento % QoQ</t>
  </si>
  <si>
    <t>Other assets growth QoQ</t>
  </si>
  <si>
    <t>Demais passivos — crescimento % QoQ</t>
  </si>
  <si>
    <t>Other liab. growth QoQ</t>
  </si>
  <si>
    <t>Receitas e despesas — realizado</t>
  </si>
  <si>
    <t>Revenues and expenses — actual</t>
  </si>
  <si>
    <t>Receitas de serviços e tarifas — crescimento % YoY</t>
  </si>
  <si>
    <t>Fee growth YoY</t>
  </si>
  <si>
    <t>Seguros, previdência e capitalização — crescimento % YoY</t>
  </si>
  <si>
    <t>Insurance YoY</t>
  </si>
  <si>
    <t>Despesas de pessoal — crescimento % YoY</t>
  </si>
  <si>
    <t>Personnel YoY</t>
  </si>
  <si>
    <t>Outras despesas administrativas — crescimento % YoY</t>
  </si>
  <si>
    <t>Admin YoY</t>
  </si>
  <si>
    <t>Demais provisões (% da receita operacional)</t>
  </si>
  <si>
    <t>Other provisions</t>
  </si>
  <si>
    <t>Despesas tributárias (% da receita operacional)</t>
  </si>
  <si>
    <t>Tax expenses</t>
  </si>
  <si>
    <t>Resultado de participações</t>
  </si>
  <si>
    <t>Equity income</t>
  </si>
  <si>
    <t>Outras despesas operacionais líquidas (% da receita)</t>
  </si>
  <si>
    <t>Other op.</t>
  </si>
  <si>
    <t>Resultado não operacional</t>
  </si>
  <si>
    <t>Non-operating</t>
  </si>
  <si>
    <t>Alíquota efetiva de IR/CSLL (%)</t>
  </si>
  <si>
    <t>Effective tax rate</t>
  </si>
  <si>
    <t>Participação de minoritários (% do lucro líquido)</t>
  </si>
  <si>
    <t>Minority</t>
  </si>
  <si>
    <t>Capital, payout e patrimônio — realizado</t>
  </si>
  <si>
    <t>Capital, payout and equity — actual</t>
  </si>
  <si>
    <t>Payout total — dividendos + JCP (% do lucro líquido)</t>
  </si>
  <si>
    <t>Payout</t>
  </si>
  <si>
    <t>RWA / Ativo total (%)</t>
  </si>
  <si>
    <t>RWA over assets</t>
  </si>
  <si>
    <t>Reported Basel ratio</t>
  </si>
  <si>
    <t>Reported Tier 1 ratio</t>
  </si>
  <si>
    <t>Variação de outros resultados abrangentes no período</t>
  </si>
  <si>
    <t>OCI change</t>
  </si>
  <si>
    <t>Variação do capital social no período</t>
  </si>
  <si>
    <t>Capital change</t>
  </si>
  <si>
    <t>Qualidade de crédito e cobertura — realizado</t>
  </si>
  <si>
    <t>Asset quality and coverage — actual</t>
  </si>
  <si>
    <t>NPL acima de 90 dias (% da carteira ampliada)</t>
  </si>
  <si>
    <t>NPL 90+ ratio</t>
  </si>
  <si>
    <t>NPL de 15 a 90 dias (% da carteira ampliada)</t>
  </si>
  <si>
    <t>NPL 15-90 ratio</t>
  </si>
  <si>
    <t>Cobertura do NPL 90+ pela provisão (%)</t>
  </si>
  <si>
    <t>NPL 90+ coverage</t>
  </si>
  <si>
    <t>Provisão sobre carteira ampliada (%)</t>
  </si>
  <si>
    <t>Allowance over loans</t>
  </si>
  <si>
    <t>CENÁRIO MACROECONÔMICO</t>
  </si>
  <si>
    <t>MACRO SCENARIO</t>
  </si>
  <si>
    <t>O bloco macro acompanha o país e a moeda de reporte da instituição. Realizado é dado publicado e entra em verde; projetado é premissa sua e entra em amarelo. É a única seção do painel em que a coluna realizada recebe número.</t>
  </si>
  <si>
    <t>Selic — meta no fim do período (% a.a.)</t>
  </si>
  <si>
    <t>Selic target, eop</t>
  </si>
  <si>
    <t>Realizado 1T20-4T25: BCB SGS 432, meta Selic definida pelo Copom, valor do último dia útil do trimestre. Coluna anual = 4T.</t>
  </si>
  <si>
    <t>Selic efetiva — média do período (% a.a.)</t>
  </si>
  <si>
    <t>Selic, period average</t>
  </si>
  <si>
    <t>Realizado 1T20-4T25: BCB SGS 4189, Selic acumulada no mês anualizada base 252, média dos três meses. Fica abaixo da meta por construção.</t>
  </si>
  <si>
    <t>CDI acumulado no trimestre (%)</t>
  </si>
  <si>
    <t>CDI, quarterly</t>
  </si>
  <si>
    <t>Realizado 1T20-4T25: BCB SGS 4390, CDI acumulado no mês, composto nos três meses. Coluna anual compõe os quatro trimestres, não tira média.</t>
  </si>
  <si>
    <t>IPCA no trimestre (%)</t>
  </si>
  <si>
    <t>CPI, quarterly</t>
  </si>
  <si>
    <t>Realizado 1T20-4T25: BCB SGS 433, IPCA mensal composto nos três meses. Coluna anual compõe os quatro trimestres e reproduz o IPCA do ano.</t>
  </si>
  <si>
    <t>IPCA 12 meses (%)</t>
  </si>
  <si>
    <t>CPI, 12m</t>
  </si>
  <si>
    <t>Realizado 1T20-4T25: BCB SGS 13522, IPCA acumulado em 12 meses, valor do último mês do trimestre. Coluna anual = 4T.</t>
  </si>
  <si>
    <t>PIB real (% YoY)</t>
  </si>
  <si>
    <t>Real GDP growth, YoY</t>
  </si>
  <si>
    <t>Realizado 1T20-4T25: IBGE, Contas Nacionais Trimestrais, tabela 5932, variável 6561, PIB a preços de mercado, variação contra o mesmo trimestre do ano anterior. Coluna anual é a média dos quatro trimestres, aproximação do fechado do ano.</t>
  </si>
  <si>
    <t>Câmbio R$/US$ (fim de período)</t>
  </si>
  <si>
    <t>BRL/USD, eop</t>
  </si>
  <si>
    <t>Realizado 1T20-4T25: BCB SGS 3695, dólar venda fim de período, valor do último mês do trimestre. Coluna anual = 4T.</t>
  </si>
  <si>
    <t>TLP — componente de juros reais prefixados (% a.a.)</t>
  </si>
  <si>
    <t>TLP, real component</t>
  </si>
  <si>
    <t>Realizado 1T20-4T25: BCB SGS 27572, componente de juros reais prefixados da TLP. A TLP nominal soma o IPCA pro rata a esta taxa. Coluna anual = 4T.</t>
  </si>
  <si>
    <t>DRIVERS — CRÉDITO, TESOURARIA E FUNDING</t>
  </si>
  <si>
    <t>DRIVERS — LOANS, TREASURY &amp; FUNDING</t>
  </si>
  <si>
    <t>Carteira de crédito — crescimento % QoQ</t>
  </si>
  <si>
    <t>Loan growth QoQ</t>
  </si>
  <si>
    <t>Com a DRE recorrente, a linha de receita de crédito do Model carrega a margem com clientes, já líquida. Este driver projeta essa margem, não a taxa bruta da carteira.</t>
  </si>
  <si>
    <t>DRIVERS — RECEITAS E DESPESAS</t>
  </si>
  <si>
    <t>DRIVERS — REVENUES &amp; EXPENSES</t>
  </si>
  <si>
    <t>Percentuais de despesa são digitados positivos; o modelo aplica o sinal negativo. Demais provisões fica em zero: a DRE recorrente não abre essa linha.</t>
  </si>
  <si>
    <t>DRIVERS — CAPITAL, PAYOUT E PATRIMÔNIO</t>
  </si>
  <si>
    <t>DRIVERS — CAPITAL, PAYOUT &amp; EQUITY</t>
  </si>
  <si>
    <t>Índice de Basileia alvo (%)</t>
  </si>
  <si>
    <t>Target Basel</t>
  </si>
  <si>
    <t>Capital Nível I alvo (%)</t>
  </si>
  <si>
    <t>Target Tier 1</t>
  </si>
  <si>
    <t>OCI</t>
  </si>
  <si>
    <t>PREMISSAS DE VALUATION</t>
  </si>
  <si>
    <t>VALUATION ASSUMPTIONS</t>
  </si>
  <si>
    <t>Bloco desligado nesta versão: o modelo está em modo histórico, sem projeção e sem valuation. As linhas ficam prontas para receber sua premissa quando você quiser ligar.</t>
  </si>
  <si>
    <t>Taxa livre de risco — NTN-B longa (% a.a.)</t>
  </si>
  <si>
    <t>Risk-free rate</t>
  </si>
  <si>
    <t>Prêmio de risco de mercado — ERP Brasil (%)</t>
  </si>
  <si>
    <t>Equity risk premium</t>
  </si>
  <si>
    <t>Beta alavancado</t>
  </si>
  <si>
    <t>Levered beta</t>
  </si>
  <si>
    <t>Prêmio de tamanho / liquidez (%)</t>
  </si>
  <si>
    <t>Size premium</t>
  </si>
  <si>
    <t>Custo do capital próprio — Ke (% a.a.)</t>
  </si>
  <si>
    <t>Cost of equity (CAPM)</t>
  </si>
  <si>
    <t>Ke = Rf + β × ERP + prêmio de tamanho. Para banco não se usa WACC: a dívida é insumo operacional.</t>
  </si>
  <si>
    <t>Crescimento na perpetuidade — g (% a.a.)</t>
  </si>
  <si>
    <t>Terminal growth</t>
  </si>
  <si>
    <t>ROE sustentável na perpetuidade (%)</t>
  </si>
  <si>
    <t>Sustainable ROE</t>
  </si>
  <si>
    <t>Payout implícito na perpetuidade (%)</t>
  </si>
  <si>
    <t>Implied payout</t>
  </si>
  <si>
    <t>Regra de consistência: g = ROE × (1 – payout).</t>
  </si>
  <si>
    <t>Último ano projetado explicitamente</t>
  </si>
  <si>
    <t>Last forecast year</t>
  </si>
  <si>
    <t>Ponderação dos métodos</t>
  </si>
  <si>
    <t>Method weights</t>
  </si>
  <si>
    <t>Excess Return (lucro residual)</t>
  </si>
  <si>
    <t>Excess return</t>
  </si>
  <si>
    <t>Dividend Discount Model</t>
  </si>
  <si>
    <t>DDM</t>
  </si>
  <si>
    <t>P/BV justificado por Gordon</t>
  </si>
  <si>
    <t>Justified P/BV</t>
  </si>
  <si>
    <t>Múltiplos de mercado</t>
  </si>
  <si>
    <t>Market multiples</t>
  </si>
  <si>
    <t>Soma dos pesos</t>
  </si>
  <si>
    <t>Sum of weights</t>
  </si>
  <si>
    <t>CONVENÇÕES DO MODELO</t>
  </si>
  <si>
    <t>MODEL CONVENTIONS</t>
  </si>
  <si>
    <t>Linhas 2 a 190</t>
  </si>
  <si>
    <t>Hard code dos dados brutos. Coluna B é o código que a Inputs (2) procura.</t>
  </si>
  <si>
    <t>Linha 196 em diante</t>
  </si>
  <si>
    <t>Painel de premissas. Fica fora do intervalo que a fórmula varre.</t>
  </si>
  <si>
    <t>Várias linhas, mesmo código</t>
  </si>
  <si>
    <t>A Inputs (2) soma todas. Acrescente linhas sem editar fórmula.</t>
  </si>
  <si>
    <t>Células amarelas com fonte azul</t>
  </si>
  <si>
    <t>Premissa ou dado digitado.</t>
  </si>
  <si>
    <t>Fonte verde</t>
  </si>
  <si>
    <t>Link para outra aba.</t>
  </si>
  <si>
    <t>Colunas FY</t>
  </si>
  <si>
    <t>Balanço = saldo do 4T. Resultado = soma dos quatro trimestres.</t>
  </si>
  <si>
    <t>Sinal das despesas</t>
  </si>
  <si>
    <t>Despesas entram negativas, como divulgado. Todo subtotal soma.</t>
  </si>
  <si>
    <t>Reported financials</t>
  </si>
  <si>
    <t>ASSETS</t>
  </si>
  <si>
    <t>Cash and Cash Equivalents</t>
  </si>
  <si>
    <t>Aplicações Interfinanceiras de Liquidez</t>
  </si>
  <si>
    <t>Interbank Investments</t>
  </si>
  <si>
    <t>Open Market Investments</t>
  </si>
  <si>
    <t>Interbank Deposits</t>
  </si>
  <si>
    <t>Assets Guaranteeing Technical Provisions</t>
  </si>
  <si>
    <t>(Allowance for Expected Credit Losses)</t>
  </si>
  <si>
    <t>Securities</t>
  </si>
  <si>
    <t>Own Portfolio</t>
  </si>
  <si>
    <t>Pledged / Restricted</t>
  </si>
  <si>
    <t>Derivatives</t>
  </si>
  <si>
    <t>Operações com Característica de Concessão de Crédito</t>
  </si>
  <si>
    <t>Credit-Granting Transactions</t>
  </si>
  <si>
    <t>Loans, Leases and Other Credits</t>
  </si>
  <si>
    <t>Interbank and Intersegment Relations</t>
  </si>
  <si>
    <t>Current and Deferred Tax Assets</t>
  </si>
  <si>
    <t>Other Assets</t>
  </si>
  <si>
    <t>Investimentos</t>
  </si>
  <si>
    <t>Investments</t>
  </si>
  <si>
    <t>Associates and JV</t>
  </si>
  <si>
    <t>Other Investments</t>
  </si>
  <si>
    <t>Property and Equipment</t>
  </si>
  <si>
    <t>Goodwill and Intangible Assets</t>
  </si>
  <si>
    <t>TOTAL DO ATIVO</t>
  </si>
  <si>
    <t>TOTAL ASSETS</t>
  </si>
  <si>
    <t>LIABILITIES</t>
  </si>
  <si>
    <t>Depósitos</t>
  </si>
  <si>
    <t>Deposits</t>
  </si>
  <si>
    <t>Demand Deposits</t>
  </si>
  <si>
    <t>Savings Deposits</t>
  </si>
  <si>
    <t>Time Deposits</t>
  </si>
  <si>
    <t>Other Deposits</t>
  </si>
  <si>
    <t>Captações no Mercado Aberto</t>
  </si>
  <si>
    <t>Open Market Funding</t>
  </si>
  <si>
    <t>Third-Party Portfolio</t>
  </si>
  <si>
    <t>Unrestricted Portfolio</t>
  </si>
  <si>
    <t>Instrumentos de Dívida</t>
  </si>
  <si>
    <t>Debt Instruments</t>
  </si>
  <si>
    <t>Funds from Issuances</t>
  </si>
  <si>
    <t>Liabilities for Securities Abroad</t>
  </si>
  <si>
    <t>Structured Operations Certificates</t>
  </si>
  <si>
    <t>Subordinated Debt Instruments</t>
  </si>
  <si>
    <t>Obrigações por Empréstimos e Repasses</t>
  </si>
  <si>
    <t>Borrowings and On-lending</t>
  </si>
  <si>
    <t>Borrowings</t>
  </si>
  <si>
    <t>On-lending</t>
  </si>
  <si>
    <t>Provisions for Financial Guarantees</t>
  </si>
  <si>
    <t>Technical Provisions</t>
  </si>
  <si>
    <t>Other Provisions</t>
  </si>
  <si>
    <t>Current and Deferred Tax Liabilities</t>
  </si>
  <si>
    <t>Other Liabilities</t>
  </si>
  <si>
    <t>EQUITY</t>
  </si>
  <si>
    <t>Patrimônio Líquido dos Controladores</t>
  </si>
  <si>
    <t>Equity Attributable to Controlling Shareholders</t>
  </si>
  <si>
    <t>Share Capital</t>
  </si>
  <si>
    <t>Capital Reserves</t>
  </si>
  <si>
    <t>Retained Earnings Reserves</t>
  </si>
  <si>
    <t>Other Comprehensive Income</t>
  </si>
  <si>
    <t>(Treasury Shares)</t>
  </si>
  <si>
    <t>Non-Controlling Interests</t>
  </si>
  <si>
    <t>TOTAL DO PATRIMÔNIO LÍQUIDO</t>
  </si>
  <si>
    <t>TOTAL EQUITY</t>
  </si>
  <si>
    <t>TOTAL DO PASSIVO E DO PATRIMÔNIO LÍQUIDO</t>
  </si>
  <si>
    <t>TOTAL LIABILITIES AND EQUITY</t>
  </si>
  <si>
    <t>INCOME STATEMENT</t>
  </si>
  <si>
    <t>Receitas da Intermediação Financeira</t>
  </si>
  <si>
    <t>Financial Intermediation Income</t>
  </si>
  <si>
    <t>Result from Credit-Granting Transactions</t>
  </si>
  <si>
    <t>Result from Securities and Derivatives</t>
  </si>
  <si>
    <t>Income from Assets Guaranteeing Provisions</t>
  </si>
  <si>
    <t>Result from Interbank Investments</t>
  </si>
  <si>
    <t>(Despesas da Intermediação Financeira)</t>
  </si>
  <si>
    <t>(Financial Intermediation Expenses)</t>
  </si>
  <si>
    <t>Convenção: toda despesa entra com sinal NEGATIVO. Todas as linhas de subtotal somam.</t>
  </si>
  <si>
    <t>(Deposits and Open Market Funding)</t>
  </si>
  <si>
    <t>(Debt Instruments)</t>
  </si>
  <si>
    <t>(Borrowings and On-lending)</t>
  </si>
  <si>
    <t>(Financial Expenses from Technical Provisions)</t>
  </si>
  <si>
    <t>Resultado da Intermediação antes da Perda Esperada</t>
  </si>
  <si>
    <t>Intermediation Result before ECL</t>
  </si>
  <si>
    <t>Resultado de Perda de Crédito Esperada</t>
  </si>
  <si>
    <t>Result from Expected Credit Losses</t>
  </si>
  <si>
    <t>(ECL Provision Expense)</t>
  </si>
  <si>
    <t>Recovery of Written-Off Credits</t>
  </si>
  <si>
    <t>Resultado Bruto da Intermediação Financeira</t>
  </si>
  <si>
    <t>Gross Financial Intermediation Result</t>
  </si>
  <si>
    <t>Outras Receitas / (Despesas) Operacionais</t>
  </si>
  <si>
    <t>Other Operating Income / (Expenses)</t>
  </si>
  <si>
    <t>Fee and Commission Income</t>
  </si>
  <si>
    <t>Insurance and Pension Result</t>
  </si>
  <si>
    <t>(Personnel Expenses)</t>
  </si>
  <si>
    <t>(Other Administrative Expenses)</t>
  </si>
  <si>
    <t>(Despesas de Demais Provisões)</t>
  </si>
  <si>
    <t>(Other Provision Expenses)</t>
  </si>
  <si>
    <t>(Civil Provisions)</t>
  </si>
  <si>
    <t>(Labor Provisions)</t>
  </si>
  <si>
    <t>(Tax and Social Security Provisions)</t>
  </si>
  <si>
    <t>(Tax Expenses)</t>
  </si>
  <si>
    <t>Equity in Earnings of Associates</t>
  </si>
  <si>
    <t>Other Operating Income</t>
  </si>
  <si>
    <t>(Other Operating Expenses)</t>
  </si>
  <si>
    <t>Resultado Operacional</t>
  </si>
  <si>
    <t>Operating Result</t>
  </si>
  <si>
    <t>Non-Operating Result</t>
  </si>
  <si>
    <t>Resultado antes da Tributação e Participações</t>
  </si>
  <si>
    <t>Result before Taxes</t>
  </si>
  <si>
    <t>Imposto de Renda e Contribuição Social</t>
  </si>
  <si>
    <t>Income Tax and Social Contribution</t>
  </si>
  <si>
    <t>(Current Tax)</t>
  </si>
  <si>
    <t>Deferred Tax</t>
  </si>
  <si>
    <t>LUCRO LÍQUIDO</t>
  </si>
  <si>
    <t>NET INCOME</t>
  </si>
  <si>
    <t>(Non-Controlling Interests)</t>
  </si>
  <si>
    <t>LUCRO LÍQUIDO DOS CONTROLADORES</t>
  </si>
  <si>
    <t>NET INCOME — CONTROLLING</t>
  </si>
  <si>
    <t>SUPPLEMENTARY DATA</t>
  </si>
  <si>
    <t>Carteira de crédito e qualidade de ativos</t>
  </si>
  <si>
    <t>Loan book and asset quality</t>
  </si>
  <si>
    <t>Expanded loan portfolio</t>
  </si>
  <si>
    <t>Carteira ampliada inclui avais, fianças e títulos privados. Base dos indicadores de qualidade.</t>
  </si>
  <si>
    <t>Individuals</t>
  </si>
  <si>
    <t>Corporates</t>
  </si>
  <si>
    <t>Stage 1 portfolio</t>
  </si>
  <si>
    <t>Stage 2 portfolio</t>
  </si>
  <si>
    <t>Stage 3 portfolio</t>
  </si>
  <si>
    <t>Stage 1 allowance</t>
  </si>
  <si>
    <t>Stage 2 allowance</t>
  </si>
  <si>
    <t>Stage 3 allowance</t>
  </si>
  <si>
    <t>Total allowance</t>
  </si>
  <si>
    <t>Loans overdue &gt; 90 days</t>
  </si>
  <si>
    <t>Loans overdue 15-90 days</t>
  </si>
  <si>
    <t>Write-offs in the period</t>
  </si>
  <si>
    <t>Renegotiated portfolio</t>
  </si>
  <si>
    <t>Margem financeira e base de ativos</t>
  </si>
  <si>
    <t>Net interest income and asset base</t>
  </si>
  <si>
    <t>NII with clients</t>
  </si>
  <si>
    <t>NII with market</t>
  </si>
  <si>
    <t>Earning assets, eop</t>
  </si>
  <si>
    <t>Interest-bearing liabilities, eop</t>
  </si>
  <si>
    <t>Capital regulatório e liquidez</t>
  </si>
  <si>
    <t>Regulatory capital and liquidity</t>
  </si>
  <si>
    <t>Risk-Weighted Assets</t>
  </si>
  <si>
    <t>Se o RWA não for divulgado, use RWA = Ativo total × driver em Inputs!RWA/Ativo.</t>
  </si>
  <si>
    <t>Credit RWA</t>
  </si>
  <si>
    <t>Market RWA</t>
  </si>
  <si>
    <t>Operational RWA</t>
  </si>
  <si>
    <t>Regulatory capital</t>
  </si>
  <si>
    <t>Tier 1 capital</t>
  </si>
  <si>
    <t>Common Equity Tier 1</t>
  </si>
  <si>
    <t>Reported CET1 ratio</t>
  </si>
  <si>
    <t>Leverage ratio</t>
  </si>
  <si>
    <t>Liquidity Coverage Ratio</t>
  </si>
  <si>
    <t>Net Stable Funding Ratio</t>
  </si>
  <si>
    <t>Ações, proventos e dados operacionais</t>
  </si>
  <si>
    <t>Shares, dividends and operating data</t>
  </si>
  <si>
    <t>Shares outstanding, eop (mn)</t>
  </si>
  <si>
    <t>Dividends declared</t>
  </si>
  <si>
    <t>Interest on own capital</t>
  </si>
  <si>
    <t>Closing share price</t>
  </si>
  <si>
    <t>Dados operacionais</t>
  </si>
  <si>
    <t>Operating data</t>
  </si>
  <si>
    <t>Headcount</t>
  </si>
  <si>
    <t>Branches and service points</t>
  </si>
  <si>
    <t>Client base (k)</t>
  </si>
  <si>
    <t>Carteira de crédito por produto (quando a fonte abre)</t>
  </si>
  <si>
    <t>Loan book by product, when disclosed</t>
  </si>
  <si>
    <t>Credit card</t>
  </si>
  <si>
    <t>Payroll loans</t>
  </si>
  <si>
    <t>Auto loans</t>
  </si>
  <si>
    <t>Mortgages</t>
  </si>
  <si>
    <t>Agribusiness</t>
  </si>
  <si>
    <t>Other individuals</t>
  </si>
  <si>
    <t>SMEs</t>
  </si>
  <si>
    <t>Large corporates</t>
  </si>
  <si>
    <t>Other corporates</t>
  </si>
  <si>
    <t>Receitas de serviços por origem</t>
  </si>
  <si>
    <t>Fee income by source</t>
  </si>
  <si>
    <t>Account fees</t>
  </si>
  <si>
    <t>Cards</t>
  </si>
  <si>
    <t>Asset management</t>
  </si>
  <si>
    <t>Insurance brokerage</t>
  </si>
  <si>
    <t>Capital markets</t>
  </si>
  <si>
    <t>Other fees</t>
  </si>
  <si>
    <t>Despesas de pessoal por natureza</t>
  </si>
  <si>
    <t>Personnel expenses by nature</t>
  </si>
  <si>
    <t>(Salaries and charges)</t>
  </si>
  <si>
    <t>(Benefits)</t>
  </si>
  <si>
    <t>(Profit sharing)</t>
  </si>
  <si>
    <t>(Other personnel)</t>
  </si>
  <si>
    <t>Despesas administrativas por natureza</t>
  </si>
  <si>
    <t>Admin expenses by nature</t>
  </si>
  <si>
    <t>(Data processing and IT)</t>
  </si>
  <si>
    <t>(Rent and maintenance)</t>
  </si>
  <si>
    <t>(Marketing)</t>
  </si>
  <si>
    <t>(Third-party services)</t>
  </si>
  <si>
    <t>(Depreciation and amortisation)</t>
  </si>
  <si>
    <t>(Other admin)</t>
  </si>
  <si>
    <t>CHECKS DO REPORTADO</t>
  </si>
  <si>
    <t>REPORTED DATA CHECKS</t>
  </si>
  <si>
    <t>Ativo – Passivo + PL (deve ser zero)</t>
  </si>
  <si>
    <t>Assets less Liabilities and Equity</t>
  </si>
  <si>
    <t>Carteira ampliada – soma dos estágios</t>
  </si>
  <si>
    <t>Expanded book less sum of stages</t>
  </si>
  <si>
    <t>Fica em branco quando a fonte não abre a carteira por estágio da 4.966.</t>
  </si>
  <si>
    <t>Provisão do balanço – provisão por estágio</t>
  </si>
  <si>
    <t>BS allowance less staged allowance</t>
  </si>
  <si>
    <t>Comparação em valor absoluto: a provisão do balanço entra negativa e a abertura por estágio costuma ser divulgada positiva. Em branco quando a fonte não abre.</t>
  </si>
  <si>
    <t>MODELO OPERACIONAL — BALANÇO, RESULTADO E INDICADORES</t>
  </si>
  <si>
    <t>CHECKS</t>
  </si>
  <si>
    <t>INTEGRITY CHECKS</t>
  </si>
  <si>
    <t>Balanço: Ativo – (Passivo + PL)</t>
  </si>
  <si>
    <t>Balance sheet tie-out</t>
  </si>
  <si>
    <t>DRE: lucro do modelo – lucro reportado</t>
  </si>
  <si>
    <t>Income statement tie-out</t>
  </si>
  <si>
    <t>PL: saldo final – roll-forward</t>
  </si>
  <si>
    <t>Equity roll-forward tie-out</t>
  </si>
  <si>
    <t>STATUS DO MODELO</t>
  </si>
  <si>
    <t>A célula amarela é a tolerância de arredondamento aceita, na mesma unidade das demonstrações. Diferença acima dela acende o alerta.</t>
  </si>
  <si>
    <t>Actual / Forecast</t>
  </si>
  <si>
    <t>BALANCE SHEET</t>
  </si>
  <si>
    <t>Ativo</t>
  </si>
  <si>
    <t>Assets</t>
  </si>
  <si>
    <t>Assets Guaranteeing Provisions</t>
  </si>
  <si>
    <t>(ECL Allowance)</t>
  </si>
  <si>
    <t>Loans and Leases</t>
  </si>
  <si>
    <t>Projeção por roll-forward: saldo anterior + despesa de PDD do trimestre + write-off.</t>
  </si>
  <si>
    <t>Interbank Relations</t>
  </si>
  <si>
    <t>Tax Assets</t>
  </si>
  <si>
    <t>Goodwill and Intangibles</t>
  </si>
  <si>
    <t>Passivo</t>
  </si>
  <si>
    <t>Liabilities</t>
  </si>
  <si>
    <t>Carteira Própria  ← PLUG DE FUNDING</t>
  </si>
  <si>
    <t>Own Portfolio (funding plug)</t>
  </si>
  <si>
    <t>Linha de fechamento do balanço na projeção: absorve a diferença entre ativo, demais passivos e patrimônio líquido. Se ficar negativa, revise os drivers de funding.</t>
  </si>
  <si>
    <t>Securities Abroad</t>
  </si>
  <si>
    <t>COE</t>
  </si>
  <si>
    <t>Subordinated Debt</t>
  </si>
  <si>
    <t>Provisões p/ Garantias Financeiras e Compromissos</t>
  </si>
  <si>
    <t>Provisions for Guarantees</t>
  </si>
  <si>
    <t>Provisões Técnicas de Seguros e Previdência</t>
  </si>
  <si>
    <t>Tax Liabilities</t>
  </si>
  <si>
    <t>TOTAL DO PASSIVO (EXCETO PL)</t>
  </si>
  <si>
    <t>TOTAL LIABILITIES</t>
  </si>
  <si>
    <t>Patrimônio Líquido</t>
  </si>
  <si>
    <t>Equity</t>
  </si>
  <si>
    <t>Equity — Controlling</t>
  </si>
  <si>
    <t>Retained Earnings</t>
  </si>
  <si>
    <t>EQUITY ROLL-FORWARD</t>
  </si>
  <si>
    <t>Patrimônio líquido inicial</t>
  </si>
  <si>
    <t>Opening equity</t>
  </si>
  <si>
    <t>(+) Lucro líquido do período</t>
  </si>
  <si>
    <t>(+) Net income</t>
  </si>
  <si>
    <t>(–) Dividendos e juros sobre capital próprio</t>
  </si>
  <si>
    <t>(–) Dividends and IOC</t>
  </si>
  <si>
    <t>(+/–) Outros resultados abrangentes</t>
  </si>
  <si>
    <t>(+/–) OCI</t>
  </si>
  <si>
    <t>(+/–) Aumento / (redução) de capital</t>
  </si>
  <si>
    <t>(+/–) Capital changes</t>
  </si>
  <si>
    <t>(+/–) Ajuste de conciliação (períodos realizados)</t>
  </si>
  <si>
    <t>(+/–) Reconciling item</t>
  </si>
  <si>
    <t>Nos períodos realizados absorve reclassificações do PL. Na projeção fica zerado por construção.</t>
  </si>
  <si>
    <t>Patrimônio líquido final</t>
  </si>
  <si>
    <t>Closing equity</t>
  </si>
  <si>
    <t>Credit-Granting Result</t>
  </si>
  <si>
    <t>Securities and Derivatives</t>
  </si>
  <si>
    <t>Income from Guaranteeing Assets</t>
  </si>
  <si>
    <t>Interbank Investments Result</t>
  </si>
  <si>
    <t>(Intermediation Expenses)</t>
  </si>
  <si>
    <t>(Deposits and Open Market)</t>
  </si>
  <si>
    <t>(Technical Provisions Expense)</t>
  </si>
  <si>
    <t>NII before ECL</t>
  </si>
  <si>
    <t>Expected Credit Loss Result</t>
  </si>
  <si>
    <t>(ECL Expense)</t>
  </si>
  <si>
    <t>Gross Intermediation Result</t>
  </si>
  <si>
    <t>Fee Income</t>
  </si>
  <si>
    <t>Insurance Result</t>
  </si>
  <si>
    <t>(Other Admin Expenses)</t>
  </si>
  <si>
    <t>No realizado soma cível + trabalhista + fiscal. Na projeção usa o driver de % da receita operacional, sem abrir por natureza.</t>
  </si>
  <si>
    <t>(Provisões Fiscais e Previdenciárias)</t>
  </si>
  <si>
    <t>Resultado de Participações em Coligadas</t>
  </si>
  <si>
    <t>Equity in Earnings</t>
  </si>
  <si>
    <t>Income Tax</t>
  </si>
  <si>
    <t>No realizado soma corrente + diferido. Na projeção aplica a alíquota efetiva sobre o LAIR.</t>
  </si>
  <si>
    <t>CALCULATION BASES &amp; NII</t>
  </si>
  <si>
    <t>Ativos rentáveis — saldo final</t>
  </si>
  <si>
    <t>Ativos rentáveis — saldo médio</t>
  </si>
  <si>
    <t>Earning assets, average</t>
  </si>
  <si>
    <t>Passivos onerosos — saldo final</t>
  </si>
  <si>
    <t>Passivos onerosos — saldo médio</t>
  </si>
  <si>
    <t>Interest-bearing liabilities, average</t>
  </si>
  <si>
    <t>Carteira de crédito bruta — saldo médio</t>
  </si>
  <si>
    <t>Gross loan book, average</t>
  </si>
  <si>
    <t>Ativo total — saldo médio</t>
  </si>
  <si>
    <t>Total assets, average</t>
  </si>
  <si>
    <t>PL dos controladores — saldo médio</t>
  </si>
  <si>
    <t>Controlling equity, average</t>
  </si>
  <si>
    <t>Margem financeira bruta</t>
  </si>
  <si>
    <t>Gross NII</t>
  </si>
  <si>
    <t>Margem financeira com clientes</t>
  </si>
  <si>
    <t>Usa a abertura reportada quando ela existe em Inputs (2); caso contrário aproxima por receita de crédito menos despesa de captação.</t>
  </si>
  <si>
    <t>Margem financeira com o mercado</t>
  </si>
  <si>
    <t>Receita operacional total</t>
  </si>
  <si>
    <t>Total operating revenue</t>
  </si>
  <si>
    <t>Base do índice de eficiência: margem financeira bruta + serviços + seguros + outras receitas operacionais.</t>
  </si>
  <si>
    <t>Despesas operacionais</t>
  </si>
  <si>
    <t>Operating expenses</t>
  </si>
  <si>
    <t>ASSET QUALITY</t>
  </si>
  <si>
    <t>Saldo de provisão para perdas esperadas</t>
  </si>
  <si>
    <t>Total ECL allowance</t>
  </si>
  <si>
    <t>NPL &gt; 90 days</t>
  </si>
  <si>
    <t>NPL 15-90 days</t>
  </si>
  <si>
    <t>REGULATORY CAPITAL</t>
  </si>
  <si>
    <t>Patrimônio de Referência</t>
  </si>
  <si>
    <t>Índice de Basileia</t>
  </si>
  <si>
    <t>Basel ratio</t>
  </si>
  <si>
    <t>Índice de Nível I</t>
  </si>
  <si>
    <t>Tier 1 ratio</t>
  </si>
  <si>
    <t>RATIO ANALYSIS</t>
  </si>
  <si>
    <t>Rentabilidade e margem</t>
  </si>
  <si>
    <t>Profitability and margin</t>
  </si>
  <si>
    <t>ROE — retorno sobre o PL médio dos controladores (% a.a.)</t>
  </si>
  <si>
    <t>Return on average equity</t>
  </si>
  <si>
    <t>Trimestres são anualizados por 4. Colunas FY usam o resultado acumulado do ano.</t>
  </si>
  <si>
    <t>ROA — retorno sobre o ativo médio (% a.a.)</t>
  </si>
  <si>
    <t>Return on average assets</t>
  </si>
  <si>
    <t>NIM — margem financeira bruta / ativos rentáveis médios (% a.a.)</t>
  </si>
  <si>
    <t>Net interest margin</t>
  </si>
  <si>
    <t>NIM com clientes (% a.a.)</t>
  </si>
  <si>
    <t>NIM with clients</t>
  </si>
  <si>
    <t>NIM com o mercado (% a.a.)</t>
  </si>
  <si>
    <t>NIM with market</t>
  </si>
  <si>
    <t>Average cost of funding</t>
  </si>
  <si>
    <t>Spread bruto (p.p.)</t>
  </si>
  <si>
    <t>Gross spread</t>
  </si>
  <si>
    <t>Eficiência</t>
  </si>
  <si>
    <t>Efficiency</t>
  </si>
  <si>
    <t>Índice de eficiência</t>
  </si>
  <si>
    <t>Efficiency ratio</t>
  </si>
  <si>
    <t>Despesas de pessoal + administrativas + tributárias + outras despesas operacionais sobre a receita operacional total. Quanto menor, melhor.</t>
  </si>
  <si>
    <t>Despesas de pessoal / receita operacional</t>
  </si>
  <si>
    <t>Personnel over revenue</t>
  </si>
  <si>
    <t>Despesas administrativas / receita operacional</t>
  </si>
  <si>
    <t>Admin over revenue</t>
  </si>
  <si>
    <t>Cobertura das despesas de pessoal por receitas de serviços</t>
  </si>
  <si>
    <t>Fee coverage of personnel</t>
  </si>
  <si>
    <t>Crescimento</t>
  </si>
  <si>
    <t>Growth</t>
  </si>
  <si>
    <t>Receita operacional total — % YoY</t>
  </si>
  <si>
    <t>Total revenue growth YoY</t>
  </si>
  <si>
    <t>Margem financeira bruta — % YoY</t>
  </si>
  <si>
    <t>NII growth YoY</t>
  </si>
  <si>
    <t>Carteira de crédito — % QoQ</t>
  </si>
  <si>
    <t>Carteira de crédito — % YoY</t>
  </si>
  <si>
    <t>Loan growth YoY</t>
  </si>
  <si>
    <t>Lucro líquido — % YoY</t>
  </si>
  <si>
    <t>Net income growth YoY</t>
  </si>
  <si>
    <t>Qualidade de crédito</t>
  </si>
  <si>
    <t>Asset quality</t>
  </si>
  <si>
    <t>Inadimplência acima de 90 dias (%)</t>
  </si>
  <si>
    <t>Inadimplência de 15 a 90 dias (%)</t>
  </si>
  <si>
    <t>Carteira em Estágio 2 (% da carteira)</t>
  </si>
  <si>
    <t>Stage 2 share</t>
  </si>
  <si>
    <t>Carteira em Estágio 3 (% da carteira)</t>
  </si>
  <si>
    <t>Stage 3 share</t>
  </si>
  <si>
    <t>Cobertura da inadimplência acima de 90 dias</t>
  </si>
  <si>
    <t>NPL &gt; 90 coverage</t>
  </si>
  <si>
    <t>Cobertura do Estágio 2</t>
  </si>
  <si>
    <t>Stage 2 coverage</t>
  </si>
  <si>
    <t>Na projeção o saldo de provisão de cada estágio cresce junto com a carteira, mantendo a cobertura do último trimestre reportado.</t>
  </si>
  <si>
    <t>Cobertura do Estágio 3</t>
  </si>
  <si>
    <t>Stage 3 coverage</t>
  </si>
  <si>
    <t>Índice de provisionamento (provisão / carteira)</t>
  </si>
  <si>
    <t>Write-offs over loans</t>
  </si>
  <si>
    <t>Capital, liquidez e estrutura</t>
  </si>
  <si>
    <t>Capital, liquidity and structure</t>
  </si>
  <si>
    <t>Alavancagem — Ativo / PL</t>
  </si>
  <si>
    <t>Leverage (assets over equity)</t>
  </si>
  <si>
    <t>Carteira de crédito / Depósitos (LDR)</t>
  </si>
  <si>
    <t>Loan to deposit ratio</t>
  </si>
  <si>
    <t>Carteira de crédito / Ativo total</t>
  </si>
  <si>
    <t>Loans over total assets</t>
  </si>
  <si>
    <t>Total funding</t>
  </si>
  <si>
    <t>Métricas por ação</t>
  </si>
  <si>
    <t>Per-share metrics</t>
  </si>
  <si>
    <t>Shares outstanding (mn)</t>
  </si>
  <si>
    <t>Earnings per share</t>
  </si>
  <si>
    <t>Book value per share</t>
  </si>
  <si>
    <t>Dividends per share</t>
  </si>
  <si>
    <t>Payout efetivo</t>
  </si>
  <si>
    <t>Effective payout</t>
  </si>
  <si>
    <t>Ke por CAPM. Excess Return e DDM como métodos primários, P/BV justificado e múltiplos como referência de mercado.</t>
  </si>
  <si>
    <t>RESUMO</t>
  </si>
  <si>
    <t>SUMMARY</t>
  </si>
  <si>
    <t>Current price</t>
  </si>
  <si>
    <t>Weighted target price</t>
  </si>
  <si>
    <t>Upside / (downside)</t>
  </si>
  <si>
    <t>Upside</t>
  </si>
  <si>
    <t>Leitura</t>
  </si>
  <si>
    <t>Read-through</t>
  </si>
  <si>
    <t>Classificação mecânica pelo upside. A recomendação final é sua, não da fórmula.</t>
  </si>
  <si>
    <t>Custo do capital próprio (Ke)</t>
  </si>
  <si>
    <t>Cost of equity</t>
  </si>
  <si>
    <t>Crescimento na perpetuidade (g)</t>
  </si>
  <si>
    <t>Current market cap</t>
  </si>
  <si>
    <t>Fair equity value</t>
  </si>
  <si>
    <t>PREMISSAS</t>
  </si>
  <si>
    <t>ASSUMPTIONS</t>
  </si>
  <si>
    <t>Taxa livre de risco — NTN-B longa</t>
  </si>
  <si>
    <t>Prêmio de risco de mercado (ERP)</t>
  </si>
  <si>
    <t>Prêmio de tamanho / liquidez</t>
  </si>
  <si>
    <t>Custo do capital próprio — Ke</t>
  </si>
  <si>
    <t>Todas as premissas vêm da aba Inputs. Altere lá, não aqui.</t>
  </si>
  <si>
    <t>Crescimento na perpetuidade — g</t>
  </si>
  <si>
    <t>Consistência: g não pode superar o ROE sustentável nem ficar acima do Ke.</t>
  </si>
  <si>
    <t>ROE sustentável na perpetuidade</t>
  </si>
  <si>
    <t>Payout implícito na perpetuidade</t>
  </si>
  <si>
    <t>Implied terminal payout</t>
  </si>
  <si>
    <t>Ano-base do desconto (último exercício realizado)</t>
  </si>
  <si>
    <t>Discounting base year</t>
  </si>
  <si>
    <t>Ano-alvo do preço-alvo (VPA e LPA de referência)</t>
  </si>
  <si>
    <t>Target year for price</t>
  </si>
  <si>
    <t>PROJEÇÕES ANUAIS (LINK DO MODEL)</t>
  </si>
  <si>
    <t>ANNUAL FORECAST (FROM MODEL)</t>
  </si>
  <si>
    <t>Exercício</t>
  </si>
  <si>
    <t>Fiscal year</t>
  </si>
  <si>
    <t>Lucro líquido dos controladores</t>
  </si>
  <si>
    <t>Net income — controlling</t>
  </si>
  <si>
    <t>Patrimônio líquido dos controladores (final)</t>
  </si>
  <si>
    <t>ROE do exercício</t>
  </si>
  <si>
    <t>Return on equity</t>
  </si>
  <si>
    <t>Dividendos e JCP declarados</t>
  </si>
  <si>
    <t>Dividends and IOC</t>
  </si>
  <si>
    <t>EPS</t>
  </si>
  <si>
    <t>BVPS</t>
  </si>
  <si>
    <t>DPS</t>
  </si>
  <si>
    <t>Período de desconto (anos)</t>
  </si>
  <si>
    <t>Discount period</t>
  </si>
  <si>
    <t>Desconto em anos cheios a partir do fim do ano-base. Exercícios até o ano-base recebem fator zero e ficam fora do fluxo: o valor encontrado é o de 31/dez do ano-base.</t>
  </si>
  <si>
    <t>Fator de desconto</t>
  </si>
  <si>
    <t>Discount factor</t>
  </si>
  <si>
    <t>MÉTODO 1 — EXCESS RETURN (LUCRO RESIDUAL)</t>
  </si>
  <si>
    <t>METHOD 1 — RESIDUAL INCOME</t>
  </si>
  <si>
    <t>Fluxo de lucro residual</t>
  </si>
  <si>
    <t>Residual income stream</t>
  </si>
  <si>
    <t>Net income</t>
  </si>
  <si>
    <t>(–) Encargo de capital: Ke × PL inicial</t>
  </si>
  <si>
    <t>(–) Equity charge</t>
  </si>
  <si>
    <t>Lucro residual</t>
  </si>
  <si>
    <t>Residual income</t>
  </si>
  <si>
    <t>Lucro residual = lucro que excede o custo do capital investido pelo acionista. É zero quando ROE = Ke, e aí o banco vale exatamente o patrimônio.</t>
  </si>
  <si>
    <t>Valor presente do lucro residual</t>
  </si>
  <si>
    <t>PV of residual income</t>
  </si>
  <si>
    <t>Soma dos valores presentes (período explícito)</t>
  </si>
  <si>
    <t>PV of explicit horizon</t>
  </si>
  <si>
    <t>Lucro residual do último ano projetado</t>
  </si>
  <si>
    <t>Terminal-year residual income</t>
  </si>
  <si>
    <t>Valor terminal do lucro residual</t>
  </si>
  <si>
    <t>Terminal value</t>
  </si>
  <si>
    <t>Valor presente do valor terminal</t>
  </si>
  <si>
    <t>PV of terminal value</t>
  </si>
  <si>
    <t>Patrimônio líquido na data-base</t>
  </si>
  <si>
    <t>Book value at valuation date</t>
  </si>
  <si>
    <t>Patrimônio líquido no fim do ano-base, que é o ponto de partida do lucro residual.</t>
  </si>
  <si>
    <t>Valor do equity</t>
  </si>
  <si>
    <t>Equity value</t>
  </si>
  <si>
    <t>Value per share</t>
  </si>
  <si>
    <t>MÉTODO 2 — DIVIDEND DISCOUNT MODEL</t>
  </si>
  <si>
    <t>METHOD 2 — DDM</t>
  </si>
  <si>
    <t>Fluxo de proventos</t>
  </si>
  <si>
    <t>Dividend stream</t>
  </si>
  <si>
    <t>Dividendos e JCP</t>
  </si>
  <si>
    <t>Valor presente dos proventos</t>
  </si>
  <si>
    <t>PV of dividends</t>
  </si>
  <si>
    <t>Soma dos valores presentes</t>
  </si>
  <si>
    <t>Provento do último ano projetado</t>
  </si>
  <si>
    <t>Terminal-year dividend</t>
  </si>
  <si>
    <t>Valor terminal por Gordon (payout sustentável)</t>
  </si>
  <si>
    <t>Gordon terminal value</t>
  </si>
  <si>
    <t>O valor terminal usa o payout consistente com g e o ROE sustentável, não o payout projetado. Sem isso o DDM subestima bancos que retêm capital para crescer.</t>
  </si>
  <si>
    <t>MÉTODO 3 — P/BV JUSTIFICADO (GORDON)</t>
  </si>
  <si>
    <t>METHOD 3 — JUSTIFIED P/BV</t>
  </si>
  <si>
    <t>ROE sustentável</t>
  </si>
  <si>
    <t>Crescimento na perpetuidade</t>
  </si>
  <si>
    <t>Custo do capital próprio</t>
  </si>
  <si>
    <t>P/BV justificado = (ROE – g) / (Ke – g)</t>
  </si>
  <si>
    <t>Relação central de banco: o múltiplo de patrimônio é função direta do spread entre ROE e custo de capital. ROE = Ke implica P/BV = 1,0x.</t>
  </si>
  <si>
    <t>Target-year BVPS</t>
  </si>
  <si>
    <t>Value per share, base year</t>
  </si>
  <si>
    <t>MÉTODO 4 — MÚLTIPLOS DE MERCADO</t>
  </si>
  <si>
    <t>METHOD 4 — MARKET MULTIPLES</t>
  </si>
  <si>
    <t>Comparáveis (preencher manualmente)</t>
  </si>
  <si>
    <t>Peer group (manual input)</t>
  </si>
  <si>
    <t>Comparável</t>
  </si>
  <si>
    <t>P/E (x)</t>
  </si>
  <si>
    <t>P/BV (x)</t>
  </si>
  <si>
    <t>ROE (%)</t>
  </si>
  <si>
    <t>Dividend yield (%)</t>
  </si>
  <si>
    <t>ITUB4</t>
  </si>
  <si>
    <t>BBDC4</t>
  </si>
  <si>
    <t>BBAS3</t>
  </si>
  <si>
    <t>SANB11</t>
  </si>
  <si>
    <t>BPAC11</t>
  </si>
  <si>
    <t>ABCB4</t>
  </si>
  <si>
    <t>BRSR6</t>
  </si>
  <si>
    <t>Mediana dos pares</t>
  </si>
  <si>
    <t>P/E alvo (x)</t>
  </si>
  <si>
    <t>Target P/E</t>
  </si>
  <si>
    <t>P/BV alvo (x)</t>
  </si>
  <si>
    <t>Target P/BV</t>
  </si>
  <si>
    <t>Target-year EPS</t>
  </si>
  <si>
    <t>Ano-alvo definido nas premissas. Os quatro métodos usam o mesmo ano, então os valores por ação são comparáveis entre si.</t>
  </si>
  <si>
    <t>Value per share, P/E</t>
  </si>
  <si>
    <t>Value per share, P/BV</t>
  </si>
  <si>
    <t>Valor por ação no ano-base (média dos dois)</t>
  </si>
  <si>
    <t>SÍNTESE E PREÇO-ALVO</t>
  </si>
  <si>
    <t>SYNTHESIS AND TARGET PRICE</t>
  </si>
  <si>
    <t>Método</t>
  </si>
  <si>
    <t>Peso</t>
  </si>
  <si>
    <t>Excess Return</t>
  </si>
  <si>
    <t>P/BV justificado</t>
  </si>
  <si>
    <t>Média ponderada pelos pesos da aba Inputs, renormalizada entre os métodos que têm valor. Um método sem dado — múltiplos sem comparáveis preenchidos, por exemplo — sai da conta em vez de puxar o alvo para baixo.</t>
  </si>
  <si>
    <t>Todos os quatro métodos entregam valor por ação em 31/dez do ano-base, então são diretamente comparáveis entre si e com o preço atual.</t>
  </si>
  <si>
    <t>SENSIBILIDADE — PREÇO-ALVO POR P/BV JUSTIFICADO</t>
  </si>
  <si>
    <t>SENSITIVITY — JUSTIFIED P/BV</t>
  </si>
  <si>
    <t>Linhas: ROE sustentável · Colunas: custo do capital próprio (Ke)</t>
  </si>
  <si>
    <t>ROE \ Ke</t>
  </si>
  <si>
    <t>SENSITIVITY — GROWTH VS. KE</t>
  </si>
  <si>
    <t>Linhas: crescimento na perpetuidade (g) · Colunas: Ke</t>
  </si>
  <si>
    <t>g \ Ke</t>
  </si>
  <si>
    <t>MÚLTIPLOS IMPLÍCITOS NO PREÇO ATUAL</t>
  </si>
  <si>
    <t>IMPLIED MULTIPLES AT CURRENT PRICE</t>
  </si>
  <si>
    <t>Price to earnings</t>
  </si>
  <si>
    <t>Price to book</t>
  </si>
  <si>
    <t>Compare o P/BV implícito com o justificado acima: a diferença resume a tese em um número só.</t>
  </si>
  <si>
    <t>Dividend yield</t>
  </si>
  <si>
    <t>Earnings yield (%)</t>
  </si>
  <si>
    <t>Earnings yield</t>
  </si>
  <si>
    <t>GLOSSÁRIO DE INDICADORES</t>
  </si>
  <si>
    <t>Cada indicador com a fórmula usada, onde ele está no modelo e o que ele diz.</t>
  </si>
  <si>
    <t>Indicador</t>
  </si>
  <si>
    <t>Fórmula no modelo</t>
  </si>
  <si>
    <t>Onde está</t>
  </si>
  <si>
    <t>Rentabilidade</t>
  </si>
  <si>
    <t>ROE — Return on Equity</t>
  </si>
  <si>
    <t>Lucro líquido dos controladores ÷ patrimônio líquido médio dos controladores, anualizado</t>
  </si>
  <si>
    <t>Model, linha 162</t>
  </si>
  <si>
    <t>Quanto o banco gera de lucro para cada real de capital próprio. É a métrica central de um banco: o valor do papel sai quase todo da relação entre ROE e custo de capital.</t>
  </si>
  <si>
    <t>ROA — Return on Assets</t>
  </si>
  <si>
    <t>Lucro líquido ÷ ativo total médio, anualizado</t>
  </si>
  <si>
    <t>Model, linha 163</t>
  </si>
  <si>
    <t>Rentabilidade antes do efeito da alavancagem. ROE = ROA × alavancagem.</t>
  </si>
  <si>
    <t>NIM — Net Interest Margin</t>
  </si>
  <si>
    <t>Margem financeira bruta ÷ ativos rentáveis médios, anualizada</t>
  </si>
  <si>
    <t>Model, linha 164</t>
  </si>
  <si>
    <t>Rendimento líquido da intermediação sobre a base de ativos que gera juros.</t>
  </si>
  <si>
    <t>Receita de operações de crédito menos despesa de captação com depósitos e mercado aberto</t>
  </si>
  <si>
    <t>Model, linha 138</t>
  </si>
  <si>
    <t>Reflete o lucro gerado pela diferença entre o que o banco cobra ao emprestar e o que paga para captar esses recursos junto ao mercado e aos depositantes. É a parte recorrente e previsível da margem.</t>
  </si>
  <si>
    <t>Margem financeira bruta menos margem financeira com clientes</t>
  </si>
  <si>
    <t>Model, linha 139</t>
  </si>
  <si>
    <t>Reflete quanto a instituição lucrou ou perdeu operando com ativos de mercado — títulos públicos, derivativos, moedas — e na gestão do descasamento de taxas e prazos (ALM). É volátil e não deve ser extrapolada.</t>
  </si>
  <si>
    <t>Spread bruto</t>
  </si>
  <si>
    <t>NIM com clientes menos custo médio do funding</t>
  </si>
  <si>
    <t>Model, linha 168</t>
  </si>
  <si>
    <t>Diferença entre a taxa média cobrada e a taxa média paga, em pontos percentuais.</t>
  </si>
  <si>
    <t>(Despesas de pessoal + administrativas + tributárias + outras despesas operacionais) ÷ receita operacional total</t>
  </si>
  <si>
    <t>Model, linha 170</t>
  </si>
  <si>
    <t>Quanto custa produzir cada real de receita. Quanto menor, melhor. Bancos brasileiros de grande porte operam tipicamente entre 35% e 45%.</t>
  </si>
  <si>
    <t>Margem financeira bruta + receitas de serviços + resultado de seguros + outras receitas operacionais</t>
  </si>
  <si>
    <t>Model, linha 140</t>
  </si>
  <si>
    <t>Denominador padrão do índice de eficiência e das linhas expressas como percentual de receita.</t>
  </si>
  <si>
    <t>NPL 90 — inadimplência estrutural</t>
  </si>
  <si>
    <t>Operações vencidas há mais de 90 dias ÷ carteira de crédito ampliada</t>
  </si>
  <si>
    <t>Model, linha 181</t>
  </si>
  <si>
    <t>É o número que o mercado mais observa: depois de 90 dias a chance de recuperação cai drasticamente e a operação já consumiu provisão relevante.</t>
  </si>
  <si>
    <t>NPL 15-90 — inadimplência de curto prazo</t>
  </si>
  <si>
    <t>Operações vencidas entre 15 e 90 dias ÷ carteira de crédito ampliada</t>
  </si>
  <si>
    <t>Model, linha 182</t>
  </si>
  <si>
    <t>Indicador antecedente. Se sobe, o NPL 90 tende a subir no trimestre seguinte.</t>
  </si>
  <si>
    <t>Estágios 1, 2 e 3 (Resolução 4.966)</t>
  </si>
  <si>
    <t>Saldo de cada estágio ÷ carteira de crédito ampliada</t>
  </si>
  <si>
    <t>Model, linhas 183 e 184</t>
  </si>
  <si>
    <t>Estágio 1: risco de crédito sem aumento significativo. Estágio 2: aumento significativo do risco, provisão por perda esperada ao longo da vida. Estágio 3: ativo problemático.</t>
  </si>
  <si>
    <t>Cobertura</t>
  </si>
  <si>
    <t>Saldo de provisão ÷ operações vencidas acima de 90 dias (ou saldo do estágio correspondente)</t>
  </si>
  <si>
    <t>Model, linhas 185 a 187</t>
  </si>
  <si>
    <t>Mede o colchão de provisão frente à inadimplência já reconhecida. Cobertura caindo com NPL subindo é o sinal clássico de deterioração.</t>
  </si>
  <si>
    <t>Custo do crédito</t>
  </si>
  <si>
    <t>Resultado de perda de crédito esperada ÷ carteira de crédito média, anualizado</t>
  </si>
  <si>
    <t>Model, linha 189</t>
  </si>
  <si>
    <t>Custo efetivo do risco assumido no período. Junto com custo de captação, custo do capital regulatório e custos operacionais e tributários, forma o custo total de uma operação de crédito.</t>
  </si>
  <si>
    <t>Write-off</t>
  </si>
  <si>
    <t>Baixa da operação para prejuízo, normalmente após 360 dias de atraso</t>
  </si>
  <si>
    <t>Model, linha 190</t>
  </si>
  <si>
    <t>Retira a operação do balanço consumindo a provisão já constituída. Reduz o NPL sem que tenha havido recuperação, então precisa ser lido junto com o NPL.</t>
  </si>
  <si>
    <t>Índice de provisionamento</t>
  </si>
  <si>
    <t>Saldo de provisão ÷ carteira de crédito ampliada</t>
  </si>
  <si>
    <t>Model, linha 188</t>
  </si>
  <si>
    <t>Nível de provisão carregado sobre o total da carteira.</t>
  </si>
  <si>
    <t>Capital e estrutura</t>
  </si>
  <si>
    <t>Patrimônio de Referência ÷ ativos ponderados pelo risco (RWA)</t>
  </si>
  <si>
    <t>Model, linha 192</t>
  </si>
  <si>
    <t>Capital regulatório total sobre risco. Mínimo regulatório no Brasil, somados os adicionais de conservação, fica próximo de 10,5%.</t>
  </si>
  <si>
    <t>Índice de Capital Nível I</t>
  </si>
  <si>
    <t>Capital Nível I ÷ RWA</t>
  </si>
  <si>
    <t>Model, linha 193</t>
  </si>
  <si>
    <t>Parcela de melhor qualidade do capital, composta por capital principal e complementar. É o índice que efetivamente limita crescimento de carteira e payout.</t>
  </si>
  <si>
    <t>Alavancagem</t>
  </si>
  <si>
    <t>Ativo total ÷ patrimônio líquido</t>
  </si>
  <si>
    <t>Model, linha 194</t>
  </si>
  <si>
    <t>Quantas vezes o balanço multiplica o capital próprio.</t>
  </si>
  <si>
    <t>LDR — Loan to Deposit Ratio</t>
  </si>
  <si>
    <t>Carteira de crédito ÷ depósitos</t>
  </si>
  <si>
    <t>Model, linha 195</t>
  </si>
  <si>
    <t>Dependência de funding de mercado. Acima de 100% o banco empresta mais do que capta em depósitos.</t>
  </si>
  <si>
    <t>Valuation</t>
  </si>
  <si>
    <t>Ke — custo do capital próprio</t>
  </si>
  <si>
    <t>Rf + beta × prêmio de risco de mercado + prêmio de tamanho</t>
  </si>
  <si>
    <t>Inputs, premissas de valuation</t>
  </si>
  <si>
    <t>Para instituição financeira não se usa WACC: a dívida é insumo operacional, não estrutura de capital. Todo o fluxo é descontado ao custo do capital próprio.</t>
  </si>
  <si>
    <t>Lucro residual (Excess Return)</t>
  </si>
  <si>
    <t>Lucro líquido do período menos Ke × patrimônio líquido inicial</t>
  </si>
  <si>
    <t>Valuation, Método 1</t>
  </si>
  <si>
    <t>Parcela do lucro que excede a remuneração exigida pelo acionista. Valor do equity = patrimônio líquido atual + valor presente dos lucros residuais futuros.</t>
  </si>
  <si>
    <t>(ROE sustentável – g) ÷ (Ke – g)</t>
  </si>
  <si>
    <t>Valuation, Método 3</t>
  </si>
  <si>
    <t>Relação fundamental de banco. Se o ROE sustentável iguala o custo de capital, o múltiplo justo é exatamente 1,0x patrimônio.</t>
  </si>
  <si>
    <t>Payout consistente na perpetuidade</t>
  </si>
  <si>
    <t>1 – g ÷ ROE sustentável</t>
  </si>
  <si>
    <t>O payout na perpetuidade não é premissa livre: o capital retido é o que financia o crescimento.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</si>
</sst>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</numFmts>
  <fonts count="33" x14ac:knownFonts="1">
    <font>
      <sz val="11"/>
      <color theme="1"/>
      <name val="Calibri"/>
      <family val="2"/>
      <scheme val="minor"/>
    </font>
    <font>
      <b/>
      <sz val="10"/>
      <color rgb="FF1F3864"/>
      <name val="Verdana"/>
    </font>
    <font>
      <i/>
      <sz val="8"/>
      <color rgb="FF808080"/>
      <name val="Verdana"/>
    </font>
    <font>
      <b/>
      <sz val="10"/>
      <color rgb="FF0000FF"/>
      <name val="Verdana"/>
    </font>
    <font>
      <b/>
      <sz val="10"/>
      <color rgb="FFFFFFFF"/>
      <name val="Verdana"/>
    </font>
    <font>
      <b/>
      <sz val="9"/>
      <color rgb="FF0000FF"/>
      <name val="Verdana"/>
    </font>
    <font>
      <sz val="10"/>
      <color rgb="FF262626"/>
      <name val="Verdana"/>
    </font>
    <font>
      <b/>
      <sz val="9"/>
      <color rgb="FF1F3864"/>
      <name val="Verdana"/>
    </font>
    <font>
      <i/>
      <sz val="10"/>
      <color rgb="FF7F7F7F"/>
      <name val="Verdana"/>
    </font>
    <font>
      <b/>
      <sz val="10"/>
      <color rgb="FF000000"/>
      <name val="Verdana"/>
    </font>
    <font>
      <b/>
      <i/>
      <sz val="10"/>
      <color rgb="FF7F7F7F"/>
      <name val="Verdana"/>
    </font>
    <font>
      <sz val="8"/>
      <color rgb="FF7F7F7F"/>
      <name val="Verdana"/>
    </font>
    <font>
      <sz val="8"/>
      <color rgb="FF007A33"/>
      <name val="Verdana"/>
    </font>
    <font>
      <i/>
      <sz val="10"/>
      <color rgb="FF262626"/>
      <name val="Verdana"/>
    </font>
    <font>
      <i/>
      <sz val="10"/>
      <color rgb="FF1F6F4A"/>
      <name val="Verdana"/>
    </font>
    <font>
      <i/>
      <sz val="10"/>
      <color rgb="FF007A33"/>
      <name val="Verdana"/>
    </font>
    <font>
      <b/>
      <sz val="10"/>
      <color rgb="FF007A33"/>
      <name val="Verdana"/>
    </font>
    <font>
      <i/>
      <sz val="10"/>
      <color rgb="FF000000"/>
      <name val="Verdana"/>
    </font>
    <font>
      <sz val="9"/>
      <color rgb="FF404040"/>
      <name val="Verdana"/>
    </font>
    <font>
      <b/>
      <sz val="8"/>
      <color rgb="FFFFFFFF"/>
      <name val="Verdana"/>
    </font>
    <font>
      <sz val="8"/>
      <color rgb="FF808080"/>
      <name val="Verdana"/>
    </font>
    <font>
      <sz val="10"/>
      <color rgb="FF007A33"/>
      <name val="Verdana"/>
    </font>
    <font>
      <sz val="10"/>
      <color rgb="FF000000"/>
      <name val="Verdana"/>
    </font>
    <font>
      <b/>
      <sz val="14"/>
      <color rgb="FF1F3864"/>
      <name val="Verdana"/>
    </font>
    <font>
      <i/>
      <sz val="9"/>
      <color rgb="FF808080"/>
      <name val="Verdana"/>
    </font>
    <font>
      <b/>
      <sz val="11"/>
      <color rgb="FF000000"/>
      <name val="Verdana"/>
    </font>
    <font>
      <sz val="11"/>
      <color rgb="FF000000"/>
      <name val="Verdana"/>
    </font>
    <font>
      <b/>
      <sz val="11"/>
      <color rgb="FF1F3864"/>
      <name val="Verdana"/>
    </font>
    <font>
      <b/>
      <sz val="8"/>
      <color rgb="FFC00000"/>
      <name val="Verdana"/>
    </font>
    <font>
      <b/>
      <sz val="8"/>
      <color rgb="FF1F3864"/>
      <name val="Verdana"/>
    </font>
    <font>
      <sz val="10"/>
      <color rgb="FF404040"/>
      <name val="Verdana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 indent="1"/>
    </xf>
    <xf numFmtId="0" fontId="8" fillId="0" borderId="0" xfId="0" applyFont="1" applyAlignment="1">
      <alignment vertical="center" indent="1"/>
    </xf>
    <xf numFmtId="49" fontId="3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 indent="1"/>
    </xf>
    <xf numFmtId="0" fontId="10" fillId="0" borderId="0" xfId="0" applyFont="1" applyAlignment="1">
      <alignment vertical="center" indent="1"/>
    </xf>
    <xf numFmtId="49" fontId="9" fillId="0" borderId="0" xfId="0" applyNumberFormat="1" applyFont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13" fillId="0" borderId="0" xfId="0" applyFont="1" applyAlignment="1">
      <alignment vertical="center" indent="1"/>
    </xf>
    <xf numFmtId="1" fontId="12" fillId="0" borderId="0" xfId="0" applyNumberFormat="1" applyFont="1" applyAlignment="1">
      <alignment horizontal="center"/>
    </xf>
    <xf numFmtId="0" fontId="2" fillId="5" borderId="0" xfId="0" applyFont="1" applyFill="1" applyAlignment="1">
      <alignment vertical="center"/>
    </xf>
    <xf numFmtId="0" fontId="1" fillId="6" borderId="0" xfId="0" applyFont="1" applyFill="1"/>
    <xf numFmtId="0" fontId="14" fillId="0" borderId="0" xfId="0" applyFont="1" applyAlignment="1">
      <alignment vertical="center" indent="1"/>
    </xf>
    <xf numFmtId="168" fontId="0" fillId="0" borderId="0" xfId="0" applyNumberFormat="1"/>
    <xf numFmtId="168" fontId="15" fillId="0" borderId="0" xfId="0" applyNumberFormat="1" applyFont="1" applyAlignment="1">
      <alignment horizontal="center"/>
    </xf>
    <xf numFmtId="168" fontId="0" fillId="7" borderId="0" xfId="0" applyNumberFormat="1" applyFill="1"/>
    <xf numFmtId="168" fontId="15" fillId="7" borderId="0" xfId="0" applyNumberFormat="1" applyFont="1" applyFill="1" applyAlignment="1">
      <alignment horizontal="center"/>
    </xf>
    <xf numFmtId="167" fontId="15" fillId="0" borderId="0" xfId="0" applyNumberFormat="1" applyFont="1" applyAlignment="1">
      <alignment horizontal="center"/>
    </xf>
    <xf numFmtId="167" fontId="15" fillId="7" borderId="0" xfId="0" applyNumberFormat="1" applyFont="1" applyFill="1" applyAlignment="1">
      <alignment horizontal="center"/>
    </xf>
    <xf numFmtId="167" fontId="0" fillId="0" borderId="0" xfId="0" applyNumberFormat="1"/>
    <xf numFmtId="167" fontId="0" fillId="7" borderId="0" xfId="0" applyNumberFormat="1" applyFill="1"/>
    <xf numFmtId="168" fontId="17" fillId="7" borderId="0" xfId="0" applyNumberFormat="1" applyFont="1" applyFill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9" fontId="17" fillId="7" borderId="0" xfId="0" applyNumberFormat="1" applyFont="1" applyFill="1" applyAlignment="1">
      <alignment horizontal="center"/>
    </xf>
    <xf numFmtId="169" fontId="3" fillId="2" borderId="1" xfId="0" applyNumberFormat="1" applyFont="1" applyFill="1" applyBorder="1" applyAlignment="1">
      <alignment horizontal="center"/>
    </xf>
    <xf numFmtId="4" fontId="17" fillId="7" borderId="0" xfId="0" applyNumberFormat="1" applyFont="1" applyFill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167" fontId="17" fillId="7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9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167" fontId="21" fillId="0" borderId="0" xfId="0" applyNumberFormat="1" applyFont="1"/>
    <xf numFmtId="167" fontId="9" fillId="7" borderId="0" xfId="0" applyNumberFormat="1" applyFont="1" applyFill="1"/>
    <xf numFmtId="167" fontId="9" fillId="0" borderId="2" xfId="0" applyNumberFormat="1" applyFont="1" applyBorder="1"/>
    <xf numFmtId="167" fontId="9" fillId="7" borderId="2" xfId="0" applyNumberFormat="1" applyFont="1" applyFill="1" applyBorder="1"/>
    <xf numFmtId="0" fontId="6" fillId="0" borderId="0" xfId="0" applyFont="1" applyAlignment="1">
      <alignment vertical="center" indent="2"/>
    </xf>
    <xf numFmtId="0" fontId="8" fillId="0" borderId="0" xfId="0" applyFont="1" applyAlignment="1">
      <alignment vertical="center" indent="2"/>
    </xf>
    <xf numFmtId="0" fontId="9" fillId="0" borderId="0" xfId="0" applyFont="1" applyAlignment="1">
      <alignment vertical="center" indent="2"/>
    </xf>
    <xf numFmtId="0" fontId="10" fillId="0" borderId="0" xfId="0" applyFont="1" applyAlignment="1">
      <alignment vertical="center" indent="2"/>
    </xf>
    <xf numFmtId="0" fontId="6" fillId="0" borderId="0" xfId="0" applyFont="1" applyAlignment="1">
      <alignment vertical="center" indent="3"/>
    </xf>
    <xf numFmtId="0" fontId="8" fillId="0" borderId="0" xfId="0" applyFont="1" applyAlignment="1">
      <alignment vertical="center" indent="3"/>
    </xf>
    <xf numFmtId="167" fontId="9" fillId="0" borderId="0" xfId="0" applyNumberFormat="1" applyFont="1"/>
    <xf numFmtId="168" fontId="21" fillId="0" borderId="0" xfId="0" applyNumberFormat="1" applyFont="1"/>
    <xf numFmtId="168" fontId="9" fillId="7" borderId="0" xfId="0" applyNumberFormat="1" applyFont="1" applyFill="1"/>
    <xf numFmtId="166" fontId="21" fillId="0" borderId="0" xfId="0" applyNumberFormat="1" applyFont="1"/>
    <xf numFmtId="166" fontId="9" fillId="7" borderId="0" xfId="0" applyNumberFormat="1" applyFont="1" applyFill="1"/>
    <xf numFmtId="165" fontId="21" fillId="0" borderId="0" xfId="0" applyNumberFormat="1" applyFont="1"/>
    <xf numFmtId="165" fontId="9" fillId="7" borderId="0" xfId="0" applyNumberFormat="1" applyFont="1" applyFill="1"/>
    <xf numFmtId="167" fontId="22" fillId="0" borderId="0" xfId="0" applyNumberFormat="1" applyFont="1"/>
    <xf numFmtId="0" fontId="23" fillId="0" borderId="0" xfId="0" applyFont="1"/>
    <xf numFmtId="0" fontId="24" fillId="0" borderId="0" xfId="0" applyFont="1"/>
    <xf numFmtId="167" fontId="22" fillId="7" borderId="0" xfId="0" applyNumberFormat="1" applyFont="1" applyFill="1"/>
    <xf numFmtId="167" fontId="3" fillId="2" borderId="0" xfId="0" applyNumberFormat="1" applyFont="1" applyFill="1" applyAlignment="1">
      <alignment horizontal="center"/>
    </xf>
    <xf numFmtId="0" fontId="25" fillId="0" borderId="0" xfId="0" applyFont="1" applyAlignment="1">
      <alignment horizontal="left"/>
    </xf>
    <xf numFmtId="0" fontId="6" fillId="6" borderId="0" xfId="0" applyFont="1" applyFill="1" applyAlignment="1">
      <alignment vertical="center" indent="1"/>
    </xf>
    <xf numFmtId="0" fontId="8" fillId="6" borderId="0" xfId="0" applyFont="1" applyFill="1" applyAlignment="1">
      <alignment vertical="center" indent="1"/>
    </xf>
    <xf numFmtId="167" fontId="21" fillId="6" borderId="0" xfId="0" applyNumberFormat="1" applyFont="1" applyFill="1"/>
    <xf numFmtId="0" fontId="9" fillId="6" borderId="0" xfId="0" applyFont="1" applyFill="1" applyAlignment="1">
      <alignment vertical="center" indent="1"/>
    </xf>
    <xf numFmtId="0" fontId="10" fillId="6" borderId="0" xfId="0" applyFont="1" applyFill="1" applyAlignment="1">
      <alignment vertical="center" indent="1"/>
    </xf>
    <xf numFmtId="167" fontId="9" fillId="6" borderId="2" xfId="0" applyNumberFormat="1" applyFont="1" applyFill="1" applyBorder="1"/>
    <xf numFmtId="167" fontId="16" fillId="0" borderId="2" xfId="0" applyNumberFormat="1" applyFont="1" applyBorder="1"/>
    <xf numFmtId="167" fontId="16" fillId="6" borderId="2" xfId="0" applyNumberFormat="1" applyFont="1" applyFill="1" applyBorder="1"/>
    <xf numFmtId="168" fontId="22" fillId="0" borderId="0" xfId="0" applyNumberFormat="1" applyFont="1"/>
    <xf numFmtId="168" fontId="22" fillId="7" borderId="0" xfId="0" applyNumberFormat="1" applyFont="1" applyFill="1"/>
    <xf numFmtId="170" fontId="22" fillId="0" borderId="0" xfId="0" applyNumberFormat="1" applyFont="1"/>
    <xf numFmtId="170" fontId="22" fillId="7" borderId="0" xfId="0" applyNumberFormat="1" applyFont="1" applyFill="1"/>
    <xf numFmtId="167" fontId="21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65" fontId="26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/>
    </xf>
    <xf numFmtId="49" fontId="27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center"/>
    </xf>
    <xf numFmtId="167" fontId="26" fillId="0" borderId="0" xfId="0" applyNumberFormat="1" applyFont="1" applyAlignment="1">
      <alignment horizontal="center"/>
    </xf>
    <xf numFmtId="168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1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horizontal="center"/>
    </xf>
    <xf numFmtId="166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0" xfId="0" applyFont="1" applyFill="1"/>
    <xf numFmtId="170" fontId="3" fillId="2" borderId="1" xfId="0" applyNumberFormat="1" applyFont="1" applyFill="1" applyBorder="1" applyAlignment="1">
      <alignment horizontal="center"/>
    </xf>
    <xf numFmtId="0" fontId="9" fillId="0" borderId="0" xfId="0" applyFont="1"/>
    <xf numFmtId="170" fontId="22" fillId="0" borderId="0" xfId="0" applyNumberFormat="1" applyFont="1" applyAlignment="1">
      <alignment horizontal="center"/>
    </xf>
    <xf numFmtId="0" fontId="22" fillId="0" borderId="0" xfId="0" applyFont="1"/>
    <xf numFmtId="165" fontId="0" fillId="0" borderId="0" xfId="0" applyNumberFormat="1" applyAlignment="1">
      <alignment horizontal="center"/>
    </xf>
    <xf numFmtId="0" fontId="29" fillId="0" borderId="0" xfId="0" applyFont="1" applyAlignment="1">
      <alignment horizontal="center"/>
    </xf>
    <xf numFmtId="168" fontId="4" fillId="4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9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4" fillId="8" borderId="0" xfId="0" applyFont="1" applyFill="1" applyAlignment="1">
      <alignment horizontal="center"/>
    </xf>
    <xf numFmtId="168" fontId="31" fillId="0" borderId="1" xfId="0" applyNumberFormat="1" applyFont="1" applyBorder="1" applyAlignment="1">
      <alignment horizontal="center"/>
    </xf>
    <xf numFmtId="168" fontId="32" fillId="7" borderId="0" xfId="0" applyNumberFormat="1" applyFont="1" applyFill="1" applyAlignment="1">
      <alignment horizontal="center"/>
    </xf>
    <xf numFmtId="169" fontId="31" fillId="0" borderId="1" xfId="0" applyNumberFormat="1" applyFont="1" applyBorder="1" applyAlignment="1">
      <alignment horizontal="center"/>
    </xf>
    <xf numFmtId="169" fontId="32" fillId="7" borderId="0" xfId="0" applyNumberFormat="1" applyFont="1" applyFill="1" applyAlignment="1">
      <alignment horizontal="center"/>
    </xf>
    <xf numFmtId="4" fontId="31" fillId="0" borderId="1" xfId="0" applyNumberFormat="1" applyFont="1" applyBorder="1" applyAlignment="1">
      <alignment horizontal="center"/>
    </xf>
    <xf numFmtId="4" fontId="32" fillId="7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font>
        <b/>
        <sz val="10"/>
        <color rgb="FF9C0006"/>
        <name val="Verdana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sz val="10"/>
        <color rgb="FF9C0006"/>
        <name val="Verdana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BI330"/>
  <sheetViews>
    <sheetView showGridLines="0" tabSelected="1" workbookViewId="0">
      <pane xSplit="4" ySplit="2" topLeftCell="T204" activePane="bottomRight" state="frozen"/>
      <selection pane="topRight"/>
      <selection pane="bottomLeft"/>
      <selection pane="bottomRight" activeCell="N281" sqref="N281"/>
    </sheetView>
  </sheetViews>
  <sheetFormatPr defaultRowHeight="15" outlineLevelRow="1" x14ac:dyDescent="0.25"/>
  <cols>
    <col min="1" max="1" width="2.42578125" customWidth="1"/>
    <col min="2" max="2" width="12" customWidth="1"/>
    <col min="3" max="3" width="58" customWidth="1"/>
    <col min="4" max="4" width="52" customWidth="1"/>
    <col min="5" max="59" width="11.42578125" customWidth="1"/>
    <col min="60" max="60" width="2" customWidth="1"/>
    <col min="61" max="61" width="58" customWidth="1"/>
  </cols>
  <sheetData>
    <row r="1" spans="2:48" x14ac:dyDescent="0.25">
      <c r="B1" s="1" t="s">
        <v>0</v>
      </c>
      <c r="C1" s="2" t="s">
        <v>1</v>
      </c>
      <c r="D1" s="3">
        <v>1</v>
      </c>
      <c r="F1" s="4" t="s">
        <v>2</v>
      </c>
    </row>
    <row r="2" spans="2:48" x14ac:dyDescent="0.25"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</row>
    <row r="5" spans="2:48" x14ac:dyDescent="0.25">
      <c r="B5" s="7"/>
      <c r="C5" s="7" t="s">
        <v>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2:48" x14ac:dyDescent="0.25">
      <c r="B6" s="8" t="s">
        <v>51</v>
      </c>
      <c r="C6" s="9" t="s">
        <v>52</v>
      </c>
      <c r="D6" s="2" t="s">
        <v>53</v>
      </c>
    </row>
    <row r="7" spans="2:48" x14ac:dyDescent="0.25">
      <c r="B7" s="8" t="s">
        <v>54</v>
      </c>
      <c r="C7" s="9" t="s">
        <v>55</v>
      </c>
      <c r="D7" s="2" t="s">
        <v>53</v>
      </c>
    </row>
    <row r="8" spans="2:48" x14ac:dyDescent="0.25">
      <c r="B8" s="8" t="s">
        <v>56</v>
      </c>
      <c r="C8" s="9" t="s">
        <v>57</v>
      </c>
      <c r="D8" s="2" t="s">
        <v>53</v>
      </c>
    </row>
    <row r="9" spans="2:48" x14ac:dyDescent="0.25">
      <c r="B9" s="8" t="s">
        <v>58</v>
      </c>
      <c r="C9" s="9" t="s">
        <v>59</v>
      </c>
      <c r="D9" s="2" t="s">
        <v>53</v>
      </c>
    </row>
    <row r="10" spans="2:48" x14ac:dyDescent="0.25">
      <c r="B10" s="8" t="s">
        <v>60</v>
      </c>
      <c r="C10" s="9" t="s">
        <v>61</v>
      </c>
      <c r="D10" s="2" t="s">
        <v>53</v>
      </c>
    </row>
    <row r="11" spans="2:48" x14ac:dyDescent="0.25">
      <c r="B11" s="8" t="s">
        <v>62</v>
      </c>
      <c r="C11" s="9" t="s">
        <v>63</v>
      </c>
      <c r="D11" s="2" t="s">
        <v>53</v>
      </c>
    </row>
    <row r="12" spans="2:48" x14ac:dyDescent="0.25">
      <c r="B12" s="8" t="s">
        <v>64</v>
      </c>
      <c r="C12" s="9" t="s">
        <v>65</v>
      </c>
      <c r="D12" s="2" t="s">
        <v>53</v>
      </c>
    </row>
    <row r="13" spans="2:48" x14ac:dyDescent="0.25">
      <c r="B13" s="8" t="s">
        <v>66</v>
      </c>
      <c r="C13" s="9" t="s">
        <v>59</v>
      </c>
      <c r="D13" s="2" t="s">
        <v>53</v>
      </c>
    </row>
    <row r="14" spans="2:48" x14ac:dyDescent="0.25">
      <c r="B14" s="8" t="s">
        <v>67</v>
      </c>
      <c r="C14" s="9" t="s">
        <v>61</v>
      </c>
      <c r="D14" s="2" t="s">
        <v>53</v>
      </c>
    </row>
    <row r="15" spans="2:48" x14ac:dyDescent="0.25">
      <c r="B15" s="8" t="s">
        <v>68</v>
      </c>
      <c r="C15" s="9" t="s">
        <v>69</v>
      </c>
      <c r="D15" s="2" t="s">
        <v>53</v>
      </c>
    </row>
    <row r="16" spans="2:48" x14ac:dyDescent="0.25">
      <c r="B16" s="8" t="s">
        <v>70</v>
      </c>
      <c r="C16" s="9" t="s">
        <v>71</v>
      </c>
      <c r="D16" s="2" t="s">
        <v>53</v>
      </c>
    </row>
    <row r="17" spans="2:48" x14ac:dyDescent="0.25">
      <c r="B17" s="8" t="s">
        <v>72</v>
      </c>
      <c r="C17" s="9" t="s">
        <v>73</v>
      </c>
      <c r="D17" s="2" t="s">
        <v>53</v>
      </c>
    </row>
    <row r="18" spans="2:48" x14ac:dyDescent="0.25">
      <c r="B18" s="8" t="s">
        <v>74</v>
      </c>
      <c r="C18" s="9" t="s">
        <v>61</v>
      </c>
      <c r="D18" s="2" t="s">
        <v>53</v>
      </c>
    </row>
    <row r="19" spans="2:48" x14ac:dyDescent="0.25">
      <c r="B19" s="8" t="s">
        <v>75</v>
      </c>
      <c r="C19" s="9" t="s">
        <v>76</v>
      </c>
      <c r="D19" s="2" t="s">
        <v>53</v>
      </c>
    </row>
    <row r="20" spans="2:48" x14ac:dyDescent="0.25">
      <c r="B20" s="8" t="s">
        <v>77</v>
      </c>
      <c r="C20" s="9" t="s">
        <v>78</v>
      </c>
      <c r="D20" s="2" t="s">
        <v>53</v>
      </c>
    </row>
    <row r="21" spans="2:48" x14ac:dyDescent="0.25">
      <c r="B21" s="8" t="s">
        <v>79</v>
      </c>
      <c r="C21" s="9" t="s">
        <v>80</v>
      </c>
      <c r="D21" s="2" t="s">
        <v>53</v>
      </c>
    </row>
    <row r="22" spans="2:48" x14ac:dyDescent="0.25">
      <c r="B22" s="8" t="s">
        <v>81</v>
      </c>
      <c r="C22" s="9" t="s">
        <v>82</v>
      </c>
      <c r="D22" s="2" t="s">
        <v>53</v>
      </c>
    </row>
    <row r="23" spans="2:48" x14ac:dyDescent="0.25">
      <c r="B23" s="8" t="s">
        <v>83</v>
      </c>
      <c r="C23" s="9" t="s">
        <v>84</v>
      </c>
      <c r="D23" s="2" t="s">
        <v>53</v>
      </c>
    </row>
    <row r="24" spans="2:48" x14ac:dyDescent="0.25">
      <c r="B24" s="8" t="s">
        <v>85</v>
      </c>
      <c r="C24" s="9" t="s">
        <v>86</v>
      </c>
      <c r="D24" s="2" t="s">
        <v>53</v>
      </c>
    </row>
    <row r="25" spans="2:48" x14ac:dyDescent="0.25">
      <c r="B25" s="8" t="s">
        <v>87</v>
      </c>
      <c r="C25" s="9" t="s">
        <v>88</v>
      </c>
      <c r="D25" s="2" t="s">
        <v>53</v>
      </c>
    </row>
    <row r="27" spans="2:48" x14ac:dyDescent="0.25">
      <c r="B27" s="7"/>
      <c r="C27" s="7" t="s">
        <v>89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2:48" x14ac:dyDescent="0.25">
      <c r="B28" s="8" t="s">
        <v>90</v>
      </c>
      <c r="C28" s="9" t="s">
        <v>91</v>
      </c>
      <c r="D28" s="2" t="s">
        <v>53</v>
      </c>
    </row>
    <row r="29" spans="2:48" x14ac:dyDescent="0.25">
      <c r="B29" s="8" t="s">
        <v>92</v>
      </c>
      <c r="C29" s="9" t="s">
        <v>93</v>
      </c>
      <c r="D29" s="2" t="s">
        <v>53</v>
      </c>
    </row>
    <row r="30" spans="2:48" x14ac:dyDescent="0.25">
      <c r="B30" s="8" t="s">
        <v>94</v>
      </c>
      <c r="C30" s="9" t="s">
        <v>95</v>
      </c>
      <c r="D30" s="2" t="s">
        <v>53</v>
      </c>
    </row>
    <row r="31" spans="2:48" x14ac:dyDescent="0.25">
      <c r="B31" s="8" t="s">
        <v>96</v>
      </c>
      <c r="C31" s="9" t="s">
        <v>97</v>
      </c>
      <c r="D31" s="2" t="s">
        <v>53</v>
      </c>
    </row>
    <row r="32" spans="2:48" x14ac:dyDescent="0.25">
      <c r="B32" s="8" t="s">
        <v>98</v>
      </c>
      <c r="C32" s="9" t="s">
        <v>99</v>
      </c>
      <c r="D32" s="2" t="s">
        <v>53</v>
      </c>
    </row>
    <row r="33" spans="2:4" x14ac:dyDescent="0.25">
      <c r="B33" s="8" t="s">
        <v>100</v>
      </c>
      <c r="C33" s="9" t="s">
        <v>101</v>
      </c>
      <c r="D33" s="2" t="s">
        <v>53</v>
      </c>
    </row>
    <row r="34" spans="2:4" x14ac:dyDescent="0.25">
      <c r="B34" s="8" t="s">
        <v>102</v>
      </c>
      <c r="C34" s="9" t="s">
        <v>103</v>
      </c>
      <c r="D34" s="2" t="s">
        <v>53</v>
      </c>
    </row>
    <row r="35" spans="2:4" x14ac:dyDescent="0.25">
      <c r="B35" s="8" t="s">
        <v>104</v>
      </c>
      <c r="C35" s="9" t="s">
        <v>105</v>
      </c>
      <c r="D35" s="2" t="s">
        <v>53</v>
      </c>
    </row>
    <row r="36" spans="2:4" x14ac:dyDescent="0.25">
      <c r="B36" s="8" t="s">
        <v>106</v>
      </c>
      <c r="C36" s="9" t="s">
        <v>107</v>
      </c>
      <c r="D36" s="2" t="s">
        <v>53</v>
      </c>
    </row>
    <row r="37" spans="2:4" x14ac:dyDescent="0.25">
      <c r="B37" s="8" t="s">
        <v>108</v>
      </c>
      <c r="C37" s="9" t="s">
        <v>109</v>
      </c>
      <c r="D37" s="2" t="s">
        <v>53</v>
      </c>
    </row>
    <row r="38" spans="2:4" x14ac:dyDescent="0.25">
      <c r="B38" s="8" t="s">
        <v>110</v>
      </c>
      <c r="C38" s="9" t="s">
        <v>111</v>
      </c>
      <c r="D38" s="2" t="s">
        <v>53</v>
      </c>
    </row>
    <row r="39" spans="2:4" x14ac:dyDescent="0.25">
      <c r="B39" s="8" t="s">
        <v>112</v>
      </c>
      <c r="C39" s="9" t="s">
        <v>113</v>
      </c>
      <c r="D39" s="2" t="s">
        <v>53</v>
      </c>
    </row>
    <row r="40" spans="2:4" x14ac:dyDescent="0.25">
      <c r="B40" s="8" t="s">
        <v>114</v>
      </c>
      <c r="C40" s="9" t="s">
        <v>115</v>
      </c>
      <c r="D40" s="2" t="s">
        <v>53</v>
      </c>
    </row>
    <row r="41" spans="2:4" x14ac:dyDescent="0.25">
      <c r="B41" s="8" t="s">
        <v>116</v>
      </c>
      <c r="C41" s="9" t="s">
        <v>117</v>
      </c>
      <c r="D41" s="2" t="s">
        <v>53</v>
      </c>
    </row>
    <row r="42" spans="2:4" x14ac:dyDescent="0.25">
      <c r="B42" s="8" t="s">
        <v>118</v>
      </c>
      <c r="C42" s="9" t="s">
        <v>69</v>
      </c>
      <c r="D42" s="2" t="s">
        <v>53</v>
      </c>
    </row>
    <row r="43" spans="2:4" x14ac:dyDescent="0.25">
      <c r="B43" s="8" t="s">
        <v>119</v>
      </c>
      <c r="C43" s="9" t="s">
        <v>76</v>
      </c>
      <c r="D43" s="2" t="s">
        <v>53</v>
      </c>
    </row>
    <row r="44" spans="2:4" x14ac:dyDescent="0.25">
      <c r="B44" s="8" t="s">
        <v>120</v>
      </c>
      <c r="C44" s="9" t="s">
        <v>121</v>
      </c>
      <c r="D44" s="2" t="s">
        <v>53</v>
      </c>
    </row>
    <row r="45" spans="2:4" x14ac:dyDescent="0.25">
      <c r="B45" s="8" t="s">
        <v>122</v>
      </c>
      <c r="C45" s="9" t="s">
        <v>123</v>
      </c>
      <c r="D45" s="2" t="s">
        <v>53</v>
      </c>
    </row>
    <row r="46" spans="2:4" x14ac:dyDescent="0.25">
      <c r="B46" s="8" t="s">
        <v>124</v>
      </c>
      <c r="C46" s="9" t="s">
        <v>125</v>
      </c>
      <c r="D46" s="2" t="s">
        <v>53</v>
      </c>
    </row>
    <row r="47" spans="2:4" x14ac:dyDescent="0.25">
      <c r="B47" s="8" t="s">
        <v>126</v>
      </c>
      <c r="C47" s="9" t="s">
        <v>127</v>
      </c>
      <c r="D47" s="2" t="s">
        <v>53</v>
      </c>
    </row>
    <row r="48" spans="2:4" x14ac:dyDescent="0.25">
      <c r="B48" s="8" t="s">
        <v>128</v>
      </c>
      <c r="C48" s="9" t="s">
        <v>129</v>
      </c>
      <c r="D48" s="2" t="s">
        <v>53</v>
      </c>
    </row>
    <row r="50" spans="2:48" x14ac:dyDescent="0.25">
      <c r="B50" s="7"/>
      <c r="C50" s="7" t="s">
        <v>130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2:48" x14ac:dyDescent="0.25">
      <c r="B51" s="8" t="s">
        <v>131</v>
      </c>
      <c r="C51" s="9" t="s">
        <v>132</v>
      </c>
      <c r="D51" s="2" t="s">
        <v>53</v>
      </c>
    </row>
    <row r="52" spans="2:48" x14ac:dyDescent="0.25">
      <c r="B52" s="8" t="s">
        <v>133</v>
      </c>
      <c r="C52" s="9" t="s">
        <v>134</v>
      </c>
      <c r="D52" s="2" t="s">
        <v>53</v>
      </c>
    </row>
    <row r="53" spans="2:48" x14ac:dyDescent="0.25">
      <c r="B53" s="8" t="s">
        <v>135</v>
      </c>
      <c r="C53" s="9" t="s">
        <v>136</v>
      </c>
      <c r="D53" s="2" t="s">
        <v>53</v>
      </c>
    </row>
    <row r="54" spans="2:48" x14ac:dyDescent="0.25">
      <c r="B54" s="8" t="s">
        <v>137</v>
      </c>
      <c r="C54" s="9" t="s">
        <v>138</v>
      </c>
      <c r="D54" s="2" t="s">
        <v>53</v>
      </c>
    </row>
    <row r="55" spans="2:48" x14ac:dyDescent="0.25">
      <c r="B55" s="8" t="s">
        <v>139</v>
      </c>
      <c r="C55" s="9" t="s">
        <v>140</v>
      </c>
      <c r="D55" s="2" t="s">
        <v>53</v>
      </c>
    </row>
    <row r="56" spans="2:48" x14ac:dyDescent="0.25">
      <c r="B56" s="8" t="s">
        <v>141</v>
      </c>
      <c r="C56" s="9" t="s">
        <v>142</v>
      </c>
      <c r="D56" s="2" t="s">
        <v>53</v>
      </c>
    </row>
    <row r="58" spans="2:48" x14ac:dyDescent="0.25">
      <c r="B58" s="7"/>
      <c r="C58" s="7" t="s">
        <v>143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2:48" x14ac:dyDescent="0.25">
      <c r="B59" s="8" t="s">
        <v>144</v>
      </c>
      <c r="C59" s="9" t="s">
        <v>145</v>
      </c>
      <c r="D59" s="2" t="s">
        <v>53</v>
      </c>
    </row>
    <row r="60" spans="2:48" x14ac:dyDescent="0.25">
      <c r="B60" s="8" t="s">
        <v>146</v>
      </c>
      <c r="C60" s="9" t="s">
        <v>147</v>
      </c>
      <c r="D60" s="2" t="s">
        <v>53</v>
      </c>
    </row>
    <row r="61" spans="2:48" x14ac:dyDescent="0.25">
      <c r="B61" s="8" t="s">
        <v>148</v>
      </c>
      <c r="C61" s="9" t="s">
        <v>149</v>
      </c>
      <c r="D61" s="2" t="s">
        <v>53</v>
      </c>
    </row>
    <row r="62" spans="2:48" x14ac:dyDescent="0.25">
      <c r="B62" s="8" t="s">
        <v>150</v>
      </c>
      <c r="C62" s="9" t="s">
        <v>151</v>
      </c>
      <c r="D62" s="2" t="s">
        <v>53</v>
      </c>
    </row>
    <row r="63" spans="2:48" x14ac:dyDescent="0.25">
      <c r="B63" s="8" t="s">
        <v>152</v>
      </c>
      <c r="C63" s="9" t="s">
        <v>153</v>
      </c>
      <c r="D63" s="2" t="s">
        <v>53</v>
      </c>
    </row>
    <row r="64" spans="2:48" x14ac:dyDescent="0.25">
      <c r="B64" s="8" t="s">
        <v>154</v>
      </c>
      <c r="C64" s="9" t="s">
        <v>155</v>
      </c>
      <c r="D64" s="2" t="s">
        <v>53</v>
      </c>
    </row>
    <row r="65" spans="2:4" x14ac:dyDescent="0.25">
      <c r="B65" s="8" t="s">
        <v>156</v>
      </c>
      <c r="C65" s="9" t="s">
        <v>157</v>
      </c>
      <c r="D65" s="2" t="s">
        <v>53</v>
      </c>
    </row>
    <row r="66" spans="2:4" x14ac:dyDescent="0.25">
      <c r="B66" s="8" t="s">
        <v>158</v>
      </c>
      <c r="C66" s="9" t="s">
        <v>159</v>
      </c>
      <c r="D66" s="2" t="s">
        <v>53</v>
      </c>
    </row>
    <row r="67" spans="2:4" x14ac:dyDescent="0.25">
      <c r="B67" s="8" t="s">
        <v>160</v>
      </c>
      <c r="C67" s="9" t="s">
        <v>161</v>
      </c>
      <c r="D67" s="2" t="s">
        <v>53</v>
      </c>
    </row>
    <row r="68" spans="2:4" x14ac:dyDescent="0.25">
      <c r="B68" s="8" t="s">
        <v>162</v>
      </c>
      <c r="C68" s="9" t="s">
        <v>163</v>
      </c>
      <c r="D68" s="2" t="s">
        <v>53</v>
      </c>
    </row>
    <row r="69" spans="2:4" x14ac:dyDescent="0.25">
      <c r="B69" s="8" t="s">
        <v>164</v>
      </c>
      <c r="C69" s="9" t="s">
        <v>165</v>
      </c>
      <c r="D69" s="2" t="s">
        <v>53</v>
      </c>
    </row>
    <row r="70" spans="2:4" x14ac:dyDescent="0.25">
      <c r="B70" s="8" t="s">
        <v>166</v>
      </c>
      <c r="C70" s="9" t="s">
        <v>167</v>
      </c>
      <c r="D70" s="2" t="s">
        <v>53</v>
      </c>
    </row>
    <row r="71" spans="2:4" x14ac:dyDescent="0.25">
      <c r="B71" s="8" t="s">
        <v>168</v>
      </c>
      <c r="C71" s="9" t="s">
        <v>169</v>
      </c>
      <c r="D71" s="2" t="s">
        <v>53</v>
      </c>
    </row>
    <row r="72" spans="2:4" x14ac:dyDescent="0.25">
      <c r="B72" s="8" t="s">
        <v>170</v>
      </c>
      <c r="C72" s="9" t="s">
        <v>171</v>
      </c>
      <c r="D72" s="2" t="s">
        <v>53</v>
      </c>
    </row>
    <row r="73" spans="2:4" x14ac:dyDescent="0.25">
      <c r="B73" s="8" t="s">
        <v>172</v>
      </c>
      <c r="C73" s="9" t="s">
        <v>173</v>
      </c>
      <c r="D73" s="2" t="s">
        <v>53</v>
      </c>
    </row>
    <row r="74" spans="2:4" x14ac:dyDescent="0.25">
      <c r="B74" s="8" t="s">
        <v>174</v>
      </c>
      <c r="C74" s="9" t="s">
        <v>175</v>
      </c>
      <c r="D74" s="2" t="s">
        <v>53</v>
      </c>
    </row>
    <row r="75" spans="2:4" x14ac:dyDescent="0.25">
      <c r="B75" s="8" t="s">
        <v>176</v>
      </c>
      <c r="C75" s="9" t="s">
        <v>177</v>
      </c>
      <c r="D75" s="2" t="s">
        <v>53</v>
      </c>
    </row>
    <row r="76" spans="2:4" x14ac:dyDescent="0.25">
      <c r="B76" s="8" t="s">
        <v>178</v>
      </c>
      <c r="C76" s="9" t="s">
        <v>179</v>
      </c>
      <c r="D76" s="2" t="s">
        <v>53</v>
      </c>
    </row>
    <row r="77" spans="2:4" x14ac:dyDescent="0.25">
      <c r="B77" s="8" t="s">
        <v>180</v>
      </c>
      <c r="C77" s="9" t="s">
        <v>181</v>
      </c>
      <c r="D77" s="2" t="s">
        <v>53</v>
      </c>
    </row>
    <row r="78" spans="2:4" x14ac:dyDescent="0.25">
      <c r="B78" s="8" t="s">
        <v>182</v>
      </c>
      <c r="C78" s="9" t="s">
        <v>183</v>
      </c>
      <c r="D78" s="2" t="s">
        <v>53</v>
      </c>
    </row>
    <row r="79" spans="2:4" x14ac:dyDescent="0.25">
      <c r="B79" s="8" t="s">
        <v>184</v>
      </c>
      <c r="C79" s="9" t="s">
        <v>185</v>
      </c>
      <c r="D79" s="2" t="s">
        <v>53</v>
      </c>
    </row>
    <row r="80" spans="2:4" x14ac:dyDescent="0.25">
      <c r="B80" s="8" t="s">
        <v>186</v>
      </c>
      <c r="C80" s="9" t="s">
        <v>187</v>
      </c>
      <c r="D80" s="2" t="s">
        <v>53</v>
      </c>
    </row>
    <row r="81" spans="2:48" x14ac:dyDescent="0.25">
      <c r="B81" s="8" t="s">
        <v>188</v>
      </c>
      <c r="C81" s="9" t="s">
        <v>189</v>
      </c>
      <c r="D81" s="2" t="s">
        <v>53</v>
      </c>
    </row>
    <row r="82" spans="2:48" x14ac:dyDescent="0.25">
      <c r="B82" s="8" t="s">
        <v>190</v>
      </c>
      <c r="C82" s="9" t="s">
        <v>191</v>
      </c>
      <c r="D82" s="2" t="s">
        <v>53</v>
      </c>
    </row>
    <row r="83" spans="2:48" x14ac:dyDescent="0.25">
      <c r="B83" s="8" t="s">
        <v>192</v>
      </c>
      <c r="C83" s="9" t="s">
        <v>193</v>
      </c>
      <c r="D83" s="2" t="s">
        <v>53</v>
      </c>
    </row>
    <row r="85" spans="2:48" x14ac:dyDescent="0.25">
      <c r="B85" s="7"/>
      <c r="C85" s="7" t="s">
        <v>194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2:48" x14ac:dyDescent="0.25">
      <c r="B86" s="8" t="s">
        <v>195</v>
      </c>
      <c r="C86" s="9" t="s">
        <v>196</v>
      </c>
      <c r="D86" s="2" t="s">
        <v>53</v>
      </c>
    </row>
    <row r="87" spans="2:48" x14ac:dyDescent="0.25">
      <c r="B87" s="8" t="s">
        <v>197</v>
      </c>
      <c r="C87" s="9" t="s">
        <v>198</v>
      </c>
      <c r="D87" s="2" t="s">
        <v>53</v>
      </c>
    </row>
    <row r="88" spans="2:48" x14ac:dyDescent="0.25">
      <c r="B88" s="8" t="s">
        <v>199</v>
      </c>
      <c r="C88" s="9" t="s">
        <v>200</v>
      </c>
      <c r="D88" s="2" t="s">
        <v>53</v>
      </c>
    </row>
    <row r="89" spans="2:48" x14ac:dyDescent="0.25">
      <c r="B89" s="8" t="s">
        <v>201</v>
      </c>
      <c r="C89" s="9" t="s">
        <v>202</v>
      </c>
      <c r="D89" s="2" t="s">
        <v>53</v>
      </c>
    </row>
    <row r="90" spans="2:48" x14ac:dyDescent="0.25">
      <c r="B90" s="8" t="s">
        <v>203</v>
      </c>
      <c r="C90" s="9" t="s">
        <v>204</v>
      </c>
      <c r="D90" s="2" t="s">
        <v>53</v>
      </c>
    </row>
    <row r="91" spans="2:48" x14ac:dyDescent="0.25">
      <c r="B91" s="8" t="s">
        <v>205</v>
      </c>
      <c r="C91" s="9" t="s">
        <v>206</v>
      </c>
      <c r="D91" s="2" t="s">
        <v>53</v>
      </c>
    </row>
    <row r="92" spans="2:48" x14ac:dyDescent="0.25">
      <c r="B92" s="8" t="s">
        <v>207</v>
      </c>
      <c r="C92" s="9" t="s">
        <v>208</v>
      </c>
      <c r="D92" s="2" t="s">
        <v>53</v>
      </c>
    </row>
    <row r="93" spans="2:48" x14ac:dyDescent="0.25">
      <c r="B93" s="8" t="s">
        <v>209</v>
      </c>
      <c r="C93" s="9" t="s">
        <v>210</v>
      </c>
      <c r="D93" s="2" t="s">
        <v>53</v>
      </c>
    </row>
    <row r="94" spans="2:48" x14ac:dyDescent="0.25">
      <c r="B94" s="8" t="s">
        <v>211</v>
      </c>
      <c r="C94" s="9" t="s">
        <v>212</v>
      </c>
      <c r="D94" s="2" t="s">
        <v>53</v>
      </c>
    </row>
    <row r="95" spans="2:48" x14ac:dyDescent="0.25">
      <c r="B95" s="8" t="s">
        <v>213</v>
      </c>
      <c r="C95" s="9" t="s">
        <v>214</v>
      </c>
      <c r="D95" s="2" t="s">
        <v>53</v>
      </c>
    </row>
    <row r="96" spans="2:48" x14ac:dyDescent="0.25">
      <c r="B96" s="8" t="s">
        <v>215</v>
      </c>
      <c r="C96" s="9" t="s">
        <v>216</v>
      </c>
      <c r="D96" s="2" t="s">
        <v>53</v>
      </c>
    </row>
    <row r="97" spans="2:4" x14ac:dyDescent="0.25">
      <c r="B97" s="8" t="s">
        <v>217</v>
      </c>
      <c r="C97" s="9" t="s">
        <v>218</v>
      </c>
      <c r="D97" s="2" t="s">
        <v>53</v>
      </c>
    </row>
    <row r="98" spans="2:4" x14ac:dyDescent="0.25">
      <c r="B98" s="8" t="s">
        <v>219</v>
      </c>
      <c r="C98" s="9" t="s">
        <v>220</v>
      </c>
      <c r="D98" s="2" t="s">
        <v>53</v>
      </c>
    </row>
    <row r="99" spans="2:4" x14ac:dyDescent="0.25">
      <c r="B99" s="8" t="s">
        <v>221</v>
      </c>
      <c r="C99" s="9" t="s">
        <v>222</v>
      </c>
      <c r="D99" s="2" t="s">
        <v>53</v>
      </c>
    </row>
    <row r="100" spans="2:4" x14ac:dyDescent="0.25">
      <c r="B100" s="8" t="s">
        <v>223</v>
      </c>
      <c r="C100" s="9" t="s">
        <v>224</v>
      </c>
      <c r="D100" s="2" t="s">
        <v>53</v>
      </c>
    </row>
    <row r="101" spans="2:4" x14ac:dyDescent="0.25">
      <c r="B101" s="8" t="s">
        <v>225</v>
      </c>
      <c r="C101" s="9" t="s">
        <v>226</v>
      </c>
      <c r="D101" s="2" t="s">
        <v>53</v>
      </c>
    </row>
    <row r="102" spans="2:4" x14ac:dyDescent="0.25">
      <c r="B102" s="8" t="s">
        <v>227</v>
      </c>
      <c r="C102" s="9" t="s">
        <v>228</v>
      </c>
      <c r="D102" s="2" t="s">
        <v>53</v>
      </c>
    </row>
    <row r="103" spans="2:4" x14ac:dyDescent="0.25">
      <c r="B103" s="8" t="s">
        <v>229</v>
      </c>
      <c r="C103" s="9" t="s">
        <v>230</v>
      </c>
      <c r="D103" s="2" t="s">
        <v>53</v>
      </c>
    </row>
    <row r="104" spans="2:4" x14ac:dyDescent="0.25">
      <c r="B104" s="8" t="s">
        <v>231</v>
      </c>
      <c r="C104" s="9" t="s">
        <v>232</v>
      </c>
      <c r="D104" s="2" t="s">
        <v>53</v>
      </c>
    </row>
    <row r="105" spans="2:4" x14ac:dyDescent="0.25">
      <c r="B105" s="8" t="s">
        <v>233</v>
      </c>
      <c r="C105" s="9" t="s">
        <v>234</v>
      </c>
      <c r="D105" s="2" t="s">
        <v>53</v>
      </c>
    </row>
    <row r="106" spans="2:4" x14ac:dyDescent="0.25">
      <c r="B106" s="8" t="s">
        <v>235</v>
      </c>
      <c r="C106" s="9" t="s">
        <v>236</v>
      </c>
      <c r="D106" s="2" t="s">
        <v>53</v>
      </c>
    </row>
    <row r="107" spans="2:4" x14ac:dyDescent="0.25">
      <c r="B107" s="8" t="s">
        <v>237</v>
      </c>
      <c r="C107" s="9" t="s">
        <v>238</v>
      </c>
      <c r="D107" s="2" t="s">
        <v>53</v>
      </c>
    </row>
    <row r="108" spans="2:4" x14ac:dyDescent="0.25">
      <c r="B108" s="8" t="s">
        <v>239</v>
      </c>
      <c r="C108" s="9" t="s">
        <v>240</v>
      </c>
      <c r="D108" s="2" t="s">
        <v>53</v>
      </c>
    </row>
    <row r="109" spans="2:4" x14ac:dyDescent="0.25">
      <c r="B109" s="8" t="s">
        <v>241</v>
      </c>
      <c r="C109" s="9" t="s">
        <v>242</v>
      </c>
      <c r="D109" s="2" t="s">
        <v>53</v>
      </c>
    </row>
    <row r="110" spans="2:4" x14ac:dyDescent="0.25">
      <c r="B110" s="8" t="s">
        <v>243</v>
      </c>
      <c r="C110" s="9" t="s">
        <v>244</v>
      </c>
      <c r="D110" s="2" t="s">
        <v>53</v>
      </c>
    </row>
    <row r="111" spans="2:4" x14ac:dyDescent="0.25">
      <c r="B111" s="8" t="s">
        <v>245</v>
      </c>
      <c r="C111" s="9" t="s">
        <v>246</v>
      </c>
      <c r="D111" s="2" t="s">
        <v>247</v>
      </c>
    </row>
    <row r="112" spans="2:4" x14ac:dyDescent="0.25">
      <c r="B112" s="8" t="s">
        <v>248</v>
      </c>
      <c r="C112" s="9" t="s">
        <v>249</v>
      </c>
      <c r="D112" s="2" t="s">
        <v>247</v>
      </c>
    </row>
    <row r="113" spans="2:4" x14ac:dyDescent="0.25">
      <c r="B113" s="8" t="s">
        <v>250</v>
      </c>
      <c r="C113" s="9" t="s">
        <v>251</v>
      </c>
      <c r="D113" s="2" t="s">
        <v>247</v>
      </c>
    </row>
    <row r="114" spans="2:4" x14ac:dyDescent="0.25">
      <c r="B114" s="8" t="s">
        <v>252</v>
      </c>
      <c r="C114" s="9" t="s">
        <v>253</v>
      </c>
      <c r="D114" s="2" t="s">
        <v>247</v>
      </c>
    </row>
    <row r="115" spans="2:4" x14ac:dyDescent="0.25">
      <c r="B115" s="8" t="s">
        <v>254</v>
      </c>
      <c r="C115" s="9" t="s">
        <v>255</v>
      </c>
      <c r="D115" s="2" t="s">
        <v>247</v>
      </c>
    </row>
    <row r="116" spans="2:4" x14ac:dyDescent="0.25">
      <c r="B116" s="8" t="s">
        <v>256</v>
      </c>
      <c r="C116" s="9" t="s">
        <v>257</v>
      </c>
      <c r="D116" s="2" t="s">
        <v>247</v>
      </c>
    </row>
    <row r="117" spans="2:4" x14ac:dyDescent="0.25">
      <c r="B117" s="8" t="s">
        <v>258</v>
      </c>
      <c r="C117" s="9" t="s">
        <v>259</v>
      </c>
      <c r="D117" s="2" t="s">
        <v>260</v>
      </c>
    </row>
    <row r="118" spans="2:4" x14ac:dyDescent="0.25">
      <c r="B118" s="8" t="s">
        <v>261</v>
      </c>
      <c r="C118" s="9" t="s">
        <v>262</v>
      </c>
      <c r="D118" s="2" t="s">
        <v>53</v>
      </c>
    </row>
    <row r="119" spans="2:4" x14ac:dyDescent="0.25">
      <c r="B119" s="8" t="s">
        <v>263</v>
      </c>
      <c r="C119" s="9" t="s">
        <v>264</v>
      </c>
      <c r="D119" s="2" t="s">
        <v>53</v>
      </c>
    </row>
    <row r="120" spans="2:4" x14ac:dyDescent="0.25">
      <c r="B120" s="8" t="s">
        <v>265</v>
      </c>
      <c r="C120" s="9" t="s">
        <v>266</v>
      </c>
      <c r="D120" s="2" t="s">
        <v>267</v>
      </c>
    </row>
    <row r="121" spans="2:4" x14ac:dyDescent="0.25">
      <c r="B121" s="8" t="s">
        <v>268</v>
      </c>
      <c r="C121" s="9" t="s">
        <v>269</v>
      </c>
      <c r="D121" s="2" t="s">
        <v>270</v>
      </c>
    </row>
    <row r="122" spans="2:4" x14ac:dyDescent="0.25">
      <c r="B122" s="8" t="s">
        <v>271</v>
      </c>
      <c r="C122" s="9" t="s">
        <v>272</v>
      </c>
      <c r="D122" s="2" t="s">
        <v>270</v>
      </c>
    </row>
    <row r="123" spans="2:4" x14ac:dyDescent="0.25">
      <c r="B123" s="8" t="s">
        <v>273</v>
      </c>
      <c r="C123" s="9" t="s">
        <v>274</v>
      </c>
      <c r="D123" s="2" t="s">
        <v>270</v>
      </c>
    </row>
    <row r="124" spans="2:4" x14ac:dyDescent="0.25">
      <c r="B124" s="8" t="s">
        <v>275</v>
      </c>
      <c r="C124" s="9" t="s">
        <v>276</v>
      </c>
      <c r="D124" s="2" t="s">
        <v>53</v>
      </c>
    </row>
    <row r="125" spans="2:4" x14ac:dyDescent="0.25">
      <c r="B125" s="8" t="s">
        <v>277</v>
      </c>
      <c r="C125" s="9" t="s">
        <v>278</v>
      </c>
      <c r="D125" s="2" t="s">
        <v>53</v>
      </c>
    </row>
    <row r="126" spans="2:4" x14ac:dyDescent="0.25">
      <c r="B126" s="8" t="s">
        <v>279</v>
      </c>
      <c r="C126" s="9" t="s">
        <v>280</v>
      </c>
      <c r="D126" s="2" t="s">
        <v>53</v>
      </c>
    </row>
    <row r="127" spans="2:4" x14ac:dyDescent="0.25">
      <c r="B127" s="8" t="s">
        <v>281</v>
      </c>
      <c r="C127" s="9" t="s">
        <v>282</v>
      </c>
      <c r="D127" s="2" t="s">
        <v>53</v>
      </c>
    </row>
    <row r="128" spans="2:4" x14ac:dyDescent="0.25">
      <c r="B128" s="8" t="s">
        <v>283</v>
      </c>
      <c r="C128" s="9" t="s">
        <v>284</v>
      </c>
      <c r="D128" s="2" t="s">
        <v>53</v>
      </c>
    </row>
    <row r="129" spans="2:4" x14ac:dyDescent="0.25">
      <c r="B129" s="8" t="s">
        <v>285</v>
      </c>
      <c r="C129" s="9" t="s">
        <v>286</v>
      </c>
      <c r="D129" s="2" t="s">
        <v>53</v>
      </c>
    </row>
    <row r="130" spans="2:4" x14ac:dyDescent="0.25">
      <c r="B130" s="8" t="s">
        <v>287</v>
      </c>
      <c r="C130" s="9" t="s">
        <v>288</v>
      </c>
      <c r="D130" s="2" t="s">
        <v>53</v>
      </c>
    </row>
    <row r="131" spans="2:4" x14ac:dyDescent="0.25">
      <c r="B131" s="8" t="s">
        <v>289</v>
      </c>
      <c r="C131" s="9" t="s">
        <v>290</v>
      </c>
      <c r="D131" s="2" t="s">
        <v>53</v>
      </c>
    </row>
    <row r="132" spans="2:4" x14ac:dyDescent="0.25">
      <c r="B132" s="8" t="s">
        <v>291</v>
      </c>
      <c r="C132" s="9" t="s">
        <v>292</v>
      </c>
      <c r="D132" s="2" t="s">
        <v>53</v>
      </c>
    </row>
    <row r="133" spans="2:4" x14ac:dyDescent="0.25">
      <c r="B133" s="8" t="s">
        <v>293</v>
      </c>
      <c r="C133" s="9" t="s">
        <v>294</v>
      </c>
      <c r="D133" s="2" t="s">
        <v>53</v>
      </c>
    </row>
    <row r="134" spans="2:4" x14ac:dyDescent="0.25">
      <c r="B134" s="8" t="s">
        <v>295</v>
      </c>
      <c r="C134" s="9" t="s">
        <v>296</v>
      </c>
      <c r="D134" s="2" t="s">
        <v>53</v>
      </c>
    </row>
    <row r="135" spans="2:4" x14ac:dyDescent="0.25">
      <c r="B135" s="8" t="s">
        <v>297</v>
      </c>
      <c r="C135" s="9" t="s">
        <v>298</v>
      </c>
      <c r="D135" s="2" t="s">
        <v>53</v>
      </c>
    </row>
    <row r="136" spans="2:4" x14ac:dyDescent="0.25">
      <c r="B136" s="8" t="s">
        <v>299</v>
      </c>
      <c r="C136" s="9" t="s">
        <v>300</v>
      </c>
      <c r="D136" s="2" t="s">
        <v>53</v>
      </c>
    </row>
    <row r="137" spans="2:4" x14ac:dyDescent="0.25">
      <c r="B137" s="8" t="s">
        <v>301</v>
      </c>
      <c r="C137" s="9" t="s">
        <v>302</v>
      </c>
      <c r="D137" s="2" t="s">
        <v>53</v>
      </c>
    </row>
    <row r="138" spans="2:4" x14ac:dyDescent="0.25">
      <c r="B138" s="8" t="s">
        <v>303</v>
      </c>
      <c r="C138" s="9" t="s">
        <v>304</v>
      </c>
      <c r="D138" s="2" t="s">
        <v>53</v>
      </c>
    </row>
    <row r="139" spans="2:4" x14ac:dyDescent="0.25">
      <c r="B139" s="8" t="s">
        <v>305</v>
      </c>
      <c r="C139" s="9" t="s">
        <v>306</v>
      </c>
      <c r="D139" s="2" t="s">
        <v>53</v>
      </c>
    </row>
    <row r="140" spans="2:4" x14ac:dyDescent="0.25">
      <c r="B140" s="8" t="s">
        <v>307</v>
      </c>
      <c r="C140" s="9" t="s">
        <v>308</v>
      </c>
      <c r="D140" s="2" t="s">
        <v>53</v>
      </c>
    </row>
    <row r="141" spans="2:4" x14ac:dyDescent="0.25">
      <c r="B141" s="8" t="s">
        <v>309</v>
      </c>
      <c r="C141" s="9" t="s">
        <v>310</v>
      </c>
      <c r="D141" s="2" t="s">
        <v>53</v>
      </c>
    </row>
    <row r="142" spans="2:4" x14ac:dyDescent="0.25">
      <c r="B142" s="8" t="s">
        <v>311</v>
      </c>
      <c r="C142" s="9" t="s">
        <v>312</v>
      </c>
      <c r="D142" s="2" t="s">
        <v>53</v>
      </c>
    </row>
    <row r="143" spans="2:4" x14ac:dyDescent="0.25">
      <c r="B143" s="8" t="s">
        <v>313</v>
      </c>
      <c r="C143" s="9" t="s">
        <v>314</v>
      </c>
      <c r="D143" s="2" t="s">
        <v>53</v>
      </c>
    </row>
    <row r="144" spans="2:4" x14ac:dyDescent="0.25">
      <c r="B144" s="8" t="s">
        <v>315</v>
      </c>
      <c r="C144" s="9" t="s">
        <v>316</v>
      </c>
      <c r="D144" s="2" t="s">
        <v>53</v>
      </c>
    </row>
    <row r="145" spans="2:4" x14ac:dyDescent="0.25">
      <c r="B145" s="8" t="s">
        <v>317</v>
      </c>
      <c r="C145" s="9" t="s">
        <v>318</v>
      </c>
      <c r="D145" s="2" t="s">
        <v>53</v>
      </c>
    </row>
    <row r="146" spans="2:4" x14ac:dyDescent="0.25">
      <c r="B146" s="8" t="s">
        <v>319</v>
      </c>
      <c r="C146" s="9" t="s">
        <v>320</v>
      </c>
      <c r="D146" s="2" t="s">
        <v>53</v>
      </c>
    </row>
    <row r="147" spans="2:4" x14ac:dyDescent="0.25">
      <c r="B147" s="8" t="s">
        <v>321</v>
      </c>
      <c r="C147" s="9" t="s">
        <v>322</v>
      </c>
      <c r="D147" s="2" t="s">
        <v>53</v>
      </c>
    </row>
    <row r="148" spans="2:4" x14ac:dyDescent="0.25">
      <c r="B148" s="8" t="s">
        <v>323</v>
      </c>
      <c r="C148" s="9" t="s">
        <v>324</v>
      </c>
      <c r="D148" s="2" t="s">
        <v>53</v>
      </c>
    </row>
    <row r="150" spans="2:4" x14ac:dyDescent="0.25">
      <c r="C150" s="10" t="s">
        <v>325</v>
      </c>
    </row>
    <row r="153" spans="2:4" x14ac:dyDescent="0.25">
      <c r="C153" s="2" t="s">
        <v>326</v>
      </c>
    </row>
    <row r="196" spans="2:61" x14ac:dyDescent="0.25">
      <c r="B196" s="7"/>
      <c r="C196" s="7" t="s">
        <v>327</v>
      </c>
      <c r="D196" s="7" t="s">
        <v>328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2:61" x14ac:dyDescent="0.25">
      <c r="C197" s="11" t="s">
        <v>329</v>
      </c>
      <c r="D197" s="12" t="s">
        <v>330</v>
      </c>
      <c r="E197" s="13"/>
    </row>
    <row r="198" spans="2:61" x14ac:dyDescent="0.25">
      <c r="C198" s="11" t="s">
        <v>331</v>
      </c>
      <c r="D198" s="12" t="s">
        <v>331</v>
      </c>
      <c r="E198" s="13"/>
    </row>
    <row r="199" spans="2:61" x14ac:dyDescent="0.25">
      <c r="C199" s="11" t="s">
        <v>332</v>
      </c>
      <c r="D199" s="12" t="s">
        <v>333</v>
      </c>
      <c r="E199" s="13"/>
    </row>
    <row r="200" spans="2:61" x14ac:dyDescent="0.25">
      <c r="C200" s="11" t="s">
        <v>334</v>
      </c>
      <c r="D200" s="12" t="s">
        <v>335</v>
      </c>
      <c r="E200" s="13" t="s">
        <v>336</v>
      </c>
      <c r="BI200" s="14" t="s">
        <v>337</v>
      </c>
    </row>
    <row r="201" spans="2:61" x14ac:dyDescent="0.25">
      <c r="C201" s="11" t="s">
        <v>338</v>
      </c>
      <c r="D201" s="12" t="s">
        <v>339</v>
      </c>
      <c r="E201" s="13" t="s">
        <v>340</v>
      </c>
    </row>
    <row r="202" spans="2:61" x14ac:dyDescent="0.25">
      <c r="C202" s="15" t="s">
        <v>341</v>
      </c>
      <c r="D202" s="16" t="s">
        <v>342</v>
      </c>
      <c r="E202" s="17" t="str">
        <f>E200&amp;" "&amp;E201</f>
        <v>R$ milhões</v>
      </c>
    </row>
    <row r="203" spans="2:61" x14ac:dyDescent="0.25">
      <c r="C203" s="11" t="s">
        <v>343</v>
      </c>
      <c r="D203" s="12" t="s">
        <v>344</v>
      </c>
      <c r="E203" s="18"/>
      <c r="BI203" s="14" t="s">
        <v>345</v>
      </c>
    </row>
    <row r="204" spans="2:61" x14ac:dyDescent="0.25">
      <c r="C204" s="11" t="s">
        <v>346</v>
      </c>
      <c r="D204" s="12" t="s">
        <v>347</v>
      </c>
      <c r="E204" s="18"/>
      <c r="BI204" s="14" t="s">
        <v>348</v>
      </c>
    </row>
    <row r="205" spans="2:61" x14ac:dyDescent="0.25">
      <c r="C205" s="11" t="s">
        <v>349</v>
      </c>
      <c r="D205" s="12" t="s">
        <v>350</v>
      </c>
      <c r="E205" s="18"/>
    </row>
    <row r="206" spans="2:61" x14ac:dyDescent="0.25">
      <c r="C206" s="11" t="str">
        <f>"Preço da ação ("&amp;Inputs!$E$200&amp;")"</f>
        <v>Preço da ação (R$)</v>
      </c>
      <c r="D206" s="12" t="s">
        <v>351</v>
      </c>
      <c r="E206" s="19"/>
      <c r="BI206" s="14" t="s">
        <v>352</v>
      </c>
    </row>
    <row r="207" spans="2:61" x14ac:dyDescent="0.25">
      <c r="C207" s="11" t="s">
        <v>353</v>
      </c>
      <c r="D207" s="12" t="s">
        <v>354</v>
      </c>
      <c r="E207" s="20"/>
    </row>
    <row r="208" spans="2:61" x14ac:dyDescent="0.25">
      <c r="C208" s="11" t="s">
        <v>355</v>
      </c>
      <c r="D208" s="12" t="s">
        <v>356</v>
      </c>
      <c r="E208" s="20"/>
    </row>
    <row r="209" spans="2:61" x14ac:dyDescent="0.25">
      <c r="C209" s="11" t="s">
        <v>357</v>
      </c>
      <c r="D209" s="12" t="s">
        <v>358</v>
      </c>
      <c r="E209" s="20"/>
    </row>
    <row r="210" spans="2:61" x14ac:dyDescent="0.25">
      <c r="C210" s="15" t="s">
        <v>359</v>
      </c>
      <c r="D210" s="16" t="s">
        <v>360</v>
      </c>
      <c r="E210" s="21">
        <f>E207+E208+E209</f>
        <v>0</v>
      </c>
    </row>
    <row r="211" spans="2:61" x14ac:dyDescent="0.25">
      <c r="C211" s="15" t="str">
        <f>"Market cap ("&amp;Inputs!$E$202&amp;")"</f>
        <v>Market cap (R$ milhões)</v>
      </c>
      <c r="D211" s="16" t="s">
        <v>361</v>
      </c>
      <c r="E211" s="22">
        <f>E206*E210</f>
        <v>0</v>
      </c>
    </row>
    <row r="213" spans="2:61" x14ac:dyDescent="0.25">
      <c r="B213" s="7"/>
      <c r="C213" s="7" t="s">
        <v>362</v>
      </c>
      <c r="D213" s="7" t="s">
        <v>363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2:61" x14ac:dyDescent="0.25">
      <c r="C214" s="11" t="s">
        <v>364</v>
      </c>
      <c r="D214" s="12" t="s">
        <v>365</v>
      </c>
      <c r="E214" s="23">
        <f>DATE(2020,4,1)-1</f>
        <v>43921</v>
      </c>
      <c r="F214" s="23">
        <f>DATE(2020,7,1)-1</f>
        <v>44012</v>
      </c>
      <c r="G214" s="23">
        <f>DATE(2020,10,1)-1</f>
        <v>44104</v>
      </c>
      <c r="H214" s="23">
        <f>DATE(2020,13,1)-1</f>
        <v>44196</v>
      </c>
      <c r="I214" s="23">
        <f>H214</f>
        <v>44196</v>
      </c>
      <c r="J214" s="23">
        <f>DATE(2021,4,1)-1</f>
        <v>44286</v>
      </c>
      <c r="K214" s="23">
        <f>DATE(2021,7,1)-1</f>
        <v>44377</v>
      </c>
      <c r="L214" s="23">
        <f>DATE(2021,10,1)-1</f>
        <v>44469</v>
      </c>
      <c r="M214" s="23">
        <f>DATE(2021,13,1)-1</f>
        <v>44561</v>
      </c>
      <c r="N214" s="23">
        <f>M214</f>
        <v>44561</v>
      </c>
      <c r="O214" s="23">
        <f>DATE(2022,4,1)-1</f>
        <v>44651</v>
      </c>
      <c r="P214" s="23">
        <f>DATE(2022,7,1)-1</f>
        <v>44742</v>
      </c>
      <c r="Q214" s="23">
        <f>DATE(2022,10,1)-1</f>
        <v>44834</v>
      </c>
      <c r="R214" s="23">
        <f>DATE(2022,13,1)-1</f>
        <v>44926</v>
      </c>
      <c r="S214" s="23">
        <f>R214</f>
        <v>44926</v>
      </c>
      <c r="T214" s="23">
        <f>DATE(2023,4,1)-1</f>
        <v>45016</v>
      </c>
      <c r="U214" s="23">
        <f>DATE(2023,7,1)-1</f>
        <v>45107</v>
      </c>
      <c r="V214" s="23">
        <f>DATE(2023,10,1)-1</f>
        <v>45199</v>
      </c>
      <c r="W214" s="23">
        <f>DATE(2023,13,1)-1</f>
        <v>45291</v>
      </c>
      <c r="X214" s="23">
        <f>W214</f>
        <v>45291</v>
      </c>
      <c r="Y214" s="23">
        <f>DATE(2024,4,1)-1</f>
        <v>45382</v>
      </c>
      <c r="Z214" s="23">
        <f>DATE(2024,7,1)-1</f>
        <v>45473</v>
      </c>
      <c r="AA214" s="23">
        <f>DATE(2024,10,1)-1</f>
        <v>45565</v>
      </c>
      <c r="AB214" s="23">
        <f>DATE(2024,13,1)-1</f>
        <v>45657</v>
      </c>
      <c r="AC214" s="23">
        <f>AB214</f>
        <v>45657</v>
      </c>
      <c r="AD214" s="23">
        <f>DATE(2025,4,1)-1</f>
        <v>45747</v>
      </c>
      <c r="AE214" s="23">
        <f>DATE(2025,7,1)-1</f>
        <v>45838</v>
      </c>
      <c r="AF214" s="23">
        <f>DATE(2025,10,1)-1</f>
        <v>45930</v>
      </c>
      <c r="AG214" s="23">
        <f>DATE(2025,13,1)-1</f>
        <v>46022</v>
      </c>
      <c r="AH214" s="23">
        <f>AG214</f>
        <v>46022</v>
      </c>
      <c r="AI214" s="23">
        <f>DATE(2026,4,1)-1</f>
        <v>46112</v>
      </c>
      <c r="AJ214" s="23">
        <f>DATE(2026,7,1)-1</f>
        <v>46203</v>
      </c>
      <c r="AK214" s="23">
        <f>DATE(2026,10,1)-1</f>
        <v>46295</v>
      </c>
      <c r="AL214" s="23">
        <f>DATE(2026,13,1)-1</f>
        <v>46387</v>
      </c>
      <c r="AM214" s="23">
        <f>AL214</f>
        <v>46387</v>
      </c>
      <c r="AN214" s="23">
        <f>DATE(2027,4,1)-1</f>
        <v>46477</v>
      </c>
      <c r="AO214" s="23">
        <f>DATE(2027,7,1)-1</f>
        <v>46568</v>
      </c>
      <c r="AP214" s="23">
        <f>DATE(2027,10,1)-1</f>
        <v>46660</v>
      </c>
      <c r="AQ214" s="23">
        <f>DATE(2027,13,1)-1</f>
        <v>46752</v>
      </c>
      <c r="AR214" s="23">
        <f>AQ214</f>
        <v>46752</v>
      </c>
      <c r="AS214" s="23">
        <f>DATE(2028,4,1)-1</f>
        <v>46843</v>
      </c>
      <c r="AT214" s="23">
        <f>DATE(2028,7,1)-1</f>
        <v>46934</v>
      </c>
      <c r="AU214" s="23">
        <f>DATE(2028,10,1)-1</f>
        <v>47026</v>
      </c>
      <c r="AV214" s="23">
        <f>DATE(2028,13,1)-1</f>
        <v>47118</v>
      </c>
      <c r="AW214" s="23">
        <f>AV214</f>
        <v>47118</v>
      </c>
      <c r="AX214" s="23">
        <f>DATE(2029,4,1)-1</f>
        <v>47208</v>
      </c>
      <c r="AY214" s="23">
        <f>DATE(2029,7,1)-1</f>
        <v>47299</v>
      </c>
      <c r="AZ214" s="23">
        <f>DATE(2029,10,1)-1</f>
        <v>47391</v>
      </c>
      <c r="BA214" s="23">
        <f>DATE(2029,13,1)-1</f>
        <v>47483</v>
      </c>
      <c r="BB214" s="23">
        <f>BA214</f>
        <v>47483</v>
      </c>
      <c r="BC214" s="23">
        <f>DATE(2030,4,1)-1</f>
        <v>47573</v>
      </c>
      <c r="BD214" s="23">
        <f>DATE(2030,7,1)-1</f>
        <v>47664</v>
      </c>
      <c r="BE214" s="23">
        <f>DATE(2030,10,1)-1</f>
        <v>47756</v>
      </c>
      <c r="BF214" s="23">
        <f>DATE(2030,13,1)-1</f>
        <v>47848</v>
      </c>
      <c r="BG214" s="23">
        <f>BF214</f>
        <v>47848</v>
      </c>
    </row>
    <row r="215" spans="2:61" x14ac:dyDescent="0.25">
      <c r="C215" s="11" t="s">
        <v>366</v>
      </c>
      <c r="D215" s="12" t="s">
        <v>367</v>
      </c>
      <c r="E215" s="24">
        <v>2020</v>
      </c>
      <c r="F215" s="24">
        <v>2020</v>
      </c>
      <c r="G215" s="24">
        <v>2020</v>
      </c>
      <c r="H215" s="24">
        <v>2020</v>
      </c>
      <c r="I215" s="24">
        <v>2020</v>
      </c>
      <c r="J215" s="24">
        <v>2021</v>
      </c>
      <c r="K215" s="24">
        <v>2021</v>
      </c>
      <c r="L215" s="24">
        <v>2021</v>
      </c>
      <c r="M215" s="24">
        <v>2021</v>
      </c>
      <c r="N215" s="24">
        <v>2021</v>
      </c>
      <c r="O215" s="24">
        <v>2022</v>
      </c>
      <c r="P215" s="24">
        <v>2022</v>
      </c>
      <c r="Q215" s="24">
        <v>2022</v>
      </c>
      <c r="R215" s="24">
        <v>2022</v>
      </c>
      <c r="S215" s="24">
        <v>2022</v>
      </c>
      <c r="T215" s="24">
        <v>2023</v>
      </c>
      <c r="U215" s="24">
        <v>2023</v>
      </c>
      <c r="V215" s="24">
        <v>2023</v>
      </c>
      <c r="W215" s="24">
        <v>2023</v>
      </c>
      <c r="X215" s="24">
        <v>2023</v>
      </c>
      <c r="Y215" s="24">
        <v>2024</v>
      </c>
      <c r="Z215" s="24">
        <v>2024</v>
      </c>
      <c r="AA215" s="24">
        <v>2024</v>
      </c>
      <c r="AB215" s="24">
        <v>2024</v>
      </c>
      <c r="AC215" s="24">
        <v>2024</v>
      </c>
      <c r="AD215" s="24">
        <v>2025</v>
      </c>
      <c r="AE215" s="24">
        <v>2025</v>
      </c>
      <c r="AF215" s="24">
        <v>2025</v>
      </c>
      <c r="AG215" s="24">
        <v>2025</v>
      </c>
      <c r="AH215" s="24">
        <v>2025</v>
      </c>
      <c r="AI215" s="24">
        <v>2026</v>
      </c>
      <c r="AJ215" s="24">
        <v>2026</v>
      </c>
      <c r="AK215" s="24">
        <v>2026</v>
      </c>
      <c r="AL215" s="24">
        <v>2026</v>
      </c>
      <c r="AM215" s="24">
        <v>2026</v>
      </c>
      <c r="AN215" s="24">
        <v>2027</v>
      </c>
      <c r="AO215" s="24">
        <v>2027</v>
      </c>
      <c r="AP215" s="24">
        <v>2027</v>
      </c>
      <c r="AQ215" s="24">
        <v>2027</v>
      </c>
      <c r="AR215" s="24">
        <v>2027</v>
      </c>
      <c r="AS215" s="24">
        <v>2028</v>
      </c>
      <c r="AT215" s="24">
        <v>2028</v>
      </c>
      <c r="AU215" s="24">
        <v>2028</v>
      </c>
      <c r="AV215" s="24">
        <v>2028</v>
      </c>
      <c r="AW215" s="24">
        <v>2028</v>
      </c>
      <c r="AX215" s="24">
        <v>2029</v>
      </c>
      <c r="AY215" s="24">
        <v>2029</v>
      </c>
      <c r="AZ215" s="24">
        <v>2029</v>
      </c>
      <c r="BA215" s="24">
        <v>2029</v>
      </c>
      <c r="BB215" s="24">
        <v>2029</v>
      </c>
      <c r="BC215" s="24">
        <v>2030</v>
      </c>
      <c r="BD215" s="24">
        <v>2030</v>
      </c>
      <c r="BE215" s="24">
        <v>2030</v>
      </c>
      <c r="BF215" s="24">
        <v>2030</v>
      </c>
      <c r="BG215" s="24">
        <v>2030</v>
      </c>
    </row>
    <row r="216" spans="2:61" x14ac:dyDescent="0.25">
      <c r="C216" s="15" t="s">
        <v>368</v>
      </c>
      <c r="D216" s="16" t="s">
        <v>369</v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 spans="2:61" x14ac:dyDescent="0.25">
      <c r="C217" s="26" t="s">
        <v>370</v>
      </c>
      <c r="D217" s="12" t="s">
        <v>371</v>
      </c>
      <c r="E217" s="27">
        <f>IF(AND(E214&gt;=Inputs!$E$204,E214&lt;=Inputs!$E$203),1,0)</f>
        <v>0</v>
      </c>
      <c r="F217" s="27">
        <f>IF(AND(F214&gt;=Inputs!$E$204,F214&lt;=Inputs!$E$203),1,0)</f>
        <v>0</v>
      </c>
      <c r="G217" s="27">
        <f>IF(AND(G214&gt;=Inputs!$E$204,G214&lt;=Inputs!$E$203),1,0)</f>
        <v>0</v>
      </c>
      <c r="H217" s="27">
        <f>IF(AND(H214&gt;=Inputs!$E$204,H214&lt;=Inputs!$E$203),1,0)</f>
        <v>0</v>
      </c>
      <c r="I217" s="27">
        <f>IF(AND(I214&gt;=Inputs!$E$204,I214&lt;=Inputs!$E$203),1,0)</f>
        <v>0</v>
      </c>
      <c r="J217" s="27">
        <f>IF(AND(J214&gt;=Inputs!$E$204,J214&lt;=Inputs!$E$203),1,0)</f>
        <v>0</v>
      </c>
      <c r="K217" s="27">
        <f>IF(AND(K214&gt;=Inputs!$E$204,K214&lt;=Inputs!$E$203),1,0)</f>
        <v>0</v>
      </c>
      <c r="L217" s="27">
        <f>IF(AND(L214&gt;=Inputs!$E$204,L214&lt;=Inputs!$E$203),1,0)</f>
        <v>0</v>
      </c>
      <c r="M217" s="27">
        <f>IF(AND(M214&gt;=Inputs!$E$204,M214&lt;=Inputs!$E$203),1,0)</f>
        <v>0</v>
      </c>
      <c r="N217" s="27">
        <f>IF(AND(N214&gt;=Inputs!$E$204,N214&lt;=Inputs!$E$203),1,0)</f>
        <v>0</v>
      </c>
      <c r="O217" s="27">
        <f>IF(AND(O214&gt;=Inputs!$E$204,O214&lt;=Inputs!$E$203),1,0)</f>
        <v>0</v>
      </c>
      <c r="P217" s="27">
        <f>IF(AND(P214&gt;=Inputs!$E$204,P214&lt;=Inputs!$E$203),1,0)</f>
        <v>0</v>
      </c>
      <c r="Q217" s="27">
        <f>IF(AND(Q214&gt;=Inputs!$E$204,Q214&lt;=Inputs!$E$203),1,0)</f>
        <v>0</v>
      </c>
      <c r="R217" s="27">
        <f>IF(AND(R214&gt;=Inputs!$E$204,R214&lt;=Inputs!$E$203),1,0)</f>
        <v>0</v>
      </c>
      <c r="S217" s="27">
        <f>IF(AND(S214&gt;=Inputs!$E$204,S214&lt;=Inputs!$E$203),1,0)</f>
        <v>0</v>
      </c>
      <c r="T217" s="27">
        <f>IF(AND(T214&gt;=Inputs!$E$204,T214&lt;=Inputs!$E$203),1,0)</f>
        <v>0</v>
      </c>
      <c r="U217" s="27">
        <f>IF(AND(U214&gt;=Inputs!$E$204,U214&lt;=Inputs!$E$203),1,0)</f>
        <v>0</v>
      </c>
      <c r="V217" s="27">
        <f>IF(AND(V214&gt;=Inputs!$E$204,V214&lt;=Inputs!$E$203),1,0)</f>
        <v>0</v>
      </c>
      <c r="W217" s="27">
        <f>IF(AND(W214&gt;=Inputs!$E$204,W214&lt;=Inputs!$E$203),1,0)</f>
        <v>0</v>
      </c>
      <c r="X217" s="27">
        <f>IF(AND(X214&gt;=Inputs!$E$204,X214&lt;=Inputs!$E$203),1,0)</f>
        <v>0</v>
      </c>
      <c r="Y217" s="27">
        <f>IF(AND(Y214&gt;=Inputs!$E$204,Y214&lt;=Inputs!$E$203),1,0)</f>
        <v>0</v>
      </c>
      <c r="Z217" s="27">
        <f>IF(AND(Z214&gt;=Inputs!$E$204,Z214&lt;=Inputs!$E$203),1,0)</f>
        <v>0</v>
      </c>
      <c r="AA217" s="27">
        <f>IF(AND(AA214&gt;=Inputs!$E$204,AA214&lt;=Inputs!$E$203),1,0)</f>
        <v>0</v>
      </c>
      <c r="AB217" s="27">
        <f>IF(AND(AB214&gt;=Inputs!$E$204,AB214&lt;=Inputs!$E$203),1,0)</f>
        <v>0</v>
      </c>
      <c r="AC217" s="27">
        <f>IF(AND(AC214&gt;=Inputs!$E$204,AC214&lt;=Inputs!$E$203),1,0)</f>
        <v>0</v>
      </c>
      <c r="AD217" s="27">
        <f>IF(AND(AD214&gt;=Inputs!$E$204,AD214&lt;=Inputs!$E$203),1,0)</f>
        <v>0</v>
      </c>
      <c r="AE217" s="27">
        <f>IF(AND(AE214&gt;=Inputs!$E$204,AE214&lt;=Inputs!$E$203),1,0)</f>
        <v>0</v>
      </c>
      <c r="AF217" s="27">
        <f>IF(AND(AF214&gt;=Inputs!$E$204,AF214&lt;=Inputs!$E$203),1,0)</f>
        <v>0</v>
      </c>
      <c r="AG217" s="27">
        <f>IF(AND(AG214&gt;=Inputs!$E$204,AG214&lt;=Inputs!$E$203),1,0)</f>
        <v>0</v>
      </c>
      <c r="AH217" s="27">
        <f>IF(AND(AH214&gt;=Inputs!$E$204,AH214&lt;=Inputs!$E$203),1,0)</f>
        <v>0</v>
      </c>
      <c r="AI217" s="27">
        <f>IF(AND(AI214&gt;=Inputs!$E$204,AI214&lt;=Inputs!$E$203),1,0)</f>
        <v>0</v>
      </c>
      <c r="AJ217" s="27">
        <f>IF(AND(AJ214&gt;=Inputs!$E$204,AJ214&lt;=Inputs!$E$203),1,0)</f>
        <v>0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s">
        <v>372</v>
      </c>
    </row>
    <row r="219" spans="2:61" x14ac:dyDescent="0.25">
      <c r="B219" s="7"/>
      <c r="C219" s="7" t="s">
        <v>373</v>
      </c>
      <c r="D219" s="7" t="s">
        <v>374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28" t="s">
        <v>375</v>
      </c>
    </row>
    <row r="220" spans="2:61" hidden="1" outlineLevel="1" x14ac:dyDescent="0.25">
      <c r="B220" s="29"/>
      <c r="C220" s="29" t="s">
        <v>376</v>
      </c>
      <c r="D220" s="29" t="s">
        <v>377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</row>
    <row r="221" spans="2:61" hidden="1" outlineLevel="1" x14ac:dyDescent="0.25">
      <c r="C221" s="30" t="s">
        <v>378</v>
      </c>
      <c r="D221" s="12" t="s">
        <v>379</v>
      </c>
      <c r="E221" s="31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 t="str">
        <f>IFERROR(IF(('Inputs (2)'!G18+'Inputs (2)'!G19)=0,"",('Inputs (2)'!H18+'Inputs (2)'!H19)/('Inputs (2)'!G18+'Inputs (2)'!G19)-1),"")</f>
        <v/>
      </c>
      <c r="I221" s="33"/>
      <c r="J221" s="32" t="str">
        <f>IFERROR(IF(('Inputs (2)'!H18+'Inputs (2)'!H19)=0,"",('Inputs (2)'!J18+'Inputs (2)'!J19)/('Inputs (2)'!H18+'Inputs (2)'!H19)-1),"")</f>
        <v/>
      </c>
      <c r="K221" s="32" t="str">
        <f>IFERROR(IF(('Inputs (2)'!J18+'Inputs (2)'!J19)=0,"",('Inputs (2)'!K18+'Inputs (2)'!K19)/('Inputs (2)'!J18+'Inputs (2)'!J19)-1),"")</f>
        <v/>
      </c>
      <c r="L221" s="32" t="str">
        <f>IFERROR(IF(('Inputs (2)'!K18+'Inputs (2)'!K19)=0,"",('Inputs (2)'!L18+'Inputs (2)'!L19)/('Inputs (2)'!K18+'Inputs (2)'!K19)-1),"")</f>
        <v/>
      </c>
      <c r="M221" s="32" t="str">
        <f>IFERROR(IF(('Inputs (2)'!L18+'Inputs (2)'!L19)=0,"",('Inputs (2)'!M18+'Inputs (2)'!M19)/('Inputs (2)'!L18+'Inputs (2)'!L19)-1),"")</f>
        <v/>
      </c>
      <c r="N221" s="34" t="str">
        <f>IFERROR(IF(('Inputs (2)'!I18+'Inputs (2)'!I19)=0,"",('Inputs (2)'!N18+'Inputs (2)'!N19)/('Inputs (2)'!I18+'Inputs (2)'!I19)-1),"")</f>
        <v/>
      </c>
      <c r="O221" s="32" t="str">
        <f>IFERROR(IF(('Inputs (2)'!M18+'Inputs (2)'!M19)=0,"",('Inputs (2)'!O18+'Inputs (2)'!O19)/('Inputs (2)'!M18+'Inputs (2)'!M19)-1),"")</f>
        <v/>
      </c>
      <c r="P221" s="32" t="str">
        <f>IFERROR(IF(('Inputs (2)'!O18+'Inputs (2)'!O19)=0,"",('Inputs (2)'!P18+'Inputs (2)'!P19)/('Inputs (2)'!O18+'Inputs (2)'!O19)-1),"")</f>
        <v/>
      </c>
      <c r="Q221" s="32" t="str">
        <f>IFERROR(IF(('Inputs (2)'!P18+'Inputs (2)'!P19)=0,"",('Inputs (2)'!Q18+'Inputs (2)'!Q19)/('Inputs (2)'!P18+'Inputs (2)'!P19)-1),"")</f>
        <v/>
      </c>
      <c r="R221" s="32" t="str">
        <f>IFERROR(IF(('Inputs (2)'!Q18+'Inputs (2)'!Q19)=0,"",('Inputs (2)'!R18+'Inputs (2)'!R19)/('Inputs (2)'!Q18+'Inputs (2)'!Q19)-1),"")</f>
        <v/>
      </c>
      <c r="S221" s="34" t="str">
        <f>IFERROR(IF(('Inputs (2)'!N18+'Inputs (2)'!N19)=0,"",('Inputs (2)'!S18+'Inputs (2)'!S19)/('Inputs (2)'!N18+'Inputs (2)'!N19)-1),"")</f>
        <v/>
      </c>
      <c r="T221" s="32" t="str">
        <f>IFERROR(IF(('Inputs (2)'!R18+'Inputs (2)'!R19)=0,"",('Inputs (2)'!T18+'Inputs (2)'!T19)/('Inputs (2)'!R18+'Inputs (2)'!R19)-1),"")</f>
        <v/>
      </c>
      <c r="U221" s="32" t="str">
        <f>IFERROR(IF(('Inputs (2)'!T18+'Inputs (2)'!T19)=0,"",('Inputs (2)'!U18+'Inputs (2)'!U19)/('Inputs (2)'!T18+'Inputs (2)'!T19)-1),"")</f>
        <v/>
      </c>
      <c r="V221" s="32" t="str">
        <f>IFERROR(IF(('Inputs (2)'!U18+'Inputs (2)'!U19)=0,"",('Inputs (2)'!V18+'Inputs (2)'!V19)/('Inputs (2)'!U18+'Inputs (2)'!U19)-1),"")</f>
        <v/>
      </c>
      <c r="W221" s="32" t="str">
        <f>IFERROR(IF(('Inputs (2)'!V18+'Inputs (2)'!V19)=0,"",('Inputs (2)'!W18+'Inputs (2)'!W19)/('Inputs (2)'!V18+'Inputs (2)'!V19)-1),"")</f>
        <v/>
      </c>
      <c r="X221" s="34" t="str">
        <f>IFERROR(IF(('Inputs (2)'!S18+'Inputs (2)'!S19)=0,"",('Inputs (2)'!X18+'Inputs (2)'!X19)/('Inputs (2)'!S18+'Inputs (2)'!S19)-1),"")</f>
        <v/>
      </c>
      <c r="Y221" s="32" t="str">
        <f>IFERROR(IF(('Inputs (2)'!W18+'Inputs (2)'!W19)=0,"",('Inputs (2)'!Y18+'Inputs (2)'!Y19)/('Inputs (2)'!W18+'Inputs (2)'!W19)-1),"")</f>
        <v/>
      </c>
      <c r="Z221" s="32" t="str">
        <f>IFERROR(IF(('Inputs (2)'!Y18+'Inputs (2)'!Y19)=0,"",('Inputs (2)'!Z18+'Inputs (2)'!Z19)/('Inputs (2)'!Y18+'Inputs (2)'!Y19)-1),"")</f>
        <v/>
      </c>
      <c r="AA221" s="32" t="str">
        <f>IFERROR(IF(('Inputs (2)'!Z18+'Inputs (2)'!Z19)=0,"",('Inputs (2)'!AA18+'Inputs (2)'!AA19)/('Inputs (2)'!Z18+'Inputs (2)'!Z19)-1),"")</f>
        <v/>
      </c>
      <c r="AB221" s="32" t="str">
        <f>IFERROR(IF(('Inputs (2)'!AA18+'Inputs (2)'!AA19)=0,"",('Inputs (2)'!AB18+'Inputs (2)'!AB19)/('Inputs (2)'!AA18+'Inputs (2)'!AA19)-1),"")</f>
        <v/>
      </c>
      <c r="AC221" s="34" t="str">
        <f>IFERROR(IF(('Inputs (2)'!X18+'Inputs (2)'!X19)=0,"",('Inputs (2)'!AC18+'Inputs (2)'!AC19)/('Inputs (2)'!X18+'Inputs (2)'!X19)-1),"")</f>
        <v/>
      </c>
      <c r="AD221" s="32" t="str">
        <f>IFERROR(IF(('Inputs (2)'!AB18+'Inputs (2)'!AB19)=0,"",('Inputs (2)'!AD18+'Inputs (2)'!AD19)/('Inputs (2)'!AB18+'Inputs (2)'!AB19)-1),"")</f>
        <v/>
      </c>
      <c r="AE221" s="32" t="str">
        <f>IFERROR(IF(('Inputs (2)'!AD18+'Inputs (2)'!AD19)=0,"",('Inputs (2)'!AE18+'Inputs (2)'!AE19)/('Inputs (2)'!AD18+'Inputs (2)'!AD19)-1),"")</f>
        <v/>
      </c>
      <c r="AF221" s="32" t="str">
        <f>IFERROR(IF(('Inputs (2)'!AE18+'Inputs (2)'!AE19)=0,"",('Inputs (2)'!AF18+'Inputs (2)'!AF19)/('Inputs (2)'!AE18+'Inputs (2)'!AE19)-1),"")</f>
        <v/>
      </c>
      <c r="AG221" s="32" t="str">
        <f>IFERROR(IF(('Inputs (2)'!AF18+'Inputs (2)'!AF19)=0,"",('Inputs (2)'!AG18+'Inputs (2)'!AG19)/('Inputs (2)'!AF18+'Inputs (2)'!AF19)-1),"")</f>
        <v/>
      </c>
      <c r="AH221" s="34" t="str">
        <f>IFERROR(IF(('Inputs (2)'!AC18+'Inputs (2)'!AC19)=0,"",('Inputs (2)'!AH18+'Inputs (2)'!AH19)/('Inputs (2)'!AC18+'Inputs (2)'!AC19)-1),"")</f>
        <v/>
      </c>
      <c r="AI221" s="32" t="str">
        <f>IFERROR(IF(('Inputs (2)'!AG18+'Inputs (2)'!AG19)=0,"",('Inputs (2)'!AI18+'Inputs (2)'!AI19)/('Inputs (2)'!AG18+'Inputs (2)'!AG19)-1),"")</f>
        <v/>
      </c>
      <c r="AJ221" s="32" t="str">
        <f>IFERROR(IF(('Inputs (2)'!AI18+'Inputs (2)'!AI19)=0,"",('Inputs (2)'!AJ18+'Inputs (2)'!AJ19)/('Inputs (2)'!AI18+'Inputs (2)'!AI19)-1),"")</f>
        <v/>
      </c>
      <c r="AK221" s="32" t="str">
        <f>IFERROR(IF(('Inputs (2)'!AJ18+'Inputs (2)'!AJ19)=0,"",('Inputs (2)'!AK18+'Inputs (2)'!AK19)/('Inputs (2)'!AJ18+'Inputs (2)'!AJ19)-1),"")</f>
        <v/>
      </c>
      <c r="AL221" s="32" t="str">
        <f>IFERROR(IF(('Inputs (2)'!AK18+'Inputs (2)'!AK19)=0,"",('Inputs (2)'!AL18+'Inputs (2)'!AL19)/('Inputs (2)'!AK18+'Inputs (2)'!AK19)-1),"")</f>
        <v/>
      </c>
      <c r="AM221" s="34" t="str">
        <f>IFERROR(IF(('Inputs (2)'!AH18+'Inputs (2)'!AH19)=0,"",('Inputs (2)'!AM18+'Inputs (2)'!AM19)/('Inputs (2)'!AH18+'Inputs (2)'!AH19)-1),"")</f>
        <v/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spans="2:61" hidden="1" outlineLevel="1" x14ac:dyDescent="0.25">
      <c r="C222" s="30" t="s">
        <v>380</v>
      </c>
      <c r="D222" s="12" t="s">
        <v>381</v>
      </c>
      <c r="E222" s="32" t="str">
        <f>IFERROR(IF(OR(('Inputs (2)'!E18+'Inputs (2)'!E19)=0,('Inputs (2)'!E71)=0),"",('Inputs (2)'!E71)*4/('Inputs (2)'!E18+'Inputs (2)'!E19)),"")</f>
        <v/>
      </c>
      <c r="F222" s="32" t="str">
        <f>IFERROR(IF(OR(AVERAGE(('Inputs (2)'!E18+'Inputs (2)'!E19),('Inputs (2)'!F18+'Inputs (2)'!F19))=0,('Inputs (2)'!F71)=0),"",('Inputs (2)'!F71)*4/AVERAGE(('Inputs (2)'!E18+'Inputs (2)'!E19),('Inputs (2)'!F18+'Inputs (2)'!F19))),"")</f>
        <v/>
      </c>
      <c r="G222" s="32" t="str">
        <f>IFERROR(IF(OR(AVERAGE(('Inputs (2)'!F18+'Inputs (2)'!F19),('Inputs (2)'!G18+'Inputs (2)'!G19))=0,('Inputs (2)'!G71)=0),"",('Inputs (2)'!G71)*4/AVERAGE(('Inputs (2)'!F18+'Inputs (2)'!F19),('Inputs (2)'!G18+'Inputs (2)'!G19))),"")</f>
        <v/>
      </c>
      <c r="H222" s="32" t="str">
        <f>IFERROR(IF(OR(AVERAGE(('Inputs (2)'!G18+'Inputs (2)'!G19),('Inputs (2)'!H18+'Inputs (2)'!H19))=0,('Inputs (2)'!H71)=0),"",('Inputs (2)'!H71)*4/AVERAGE(('Inputs (2)'!G18+'Inputs (2)'!G19),('Inputs (2)'!H18+'Inputs (2)'!H19))),"")</f>
        <v/>
      </c>
      <c r="I222" s="34" t="str">
        <f>IFERROR(IF(OR(('Inputs (2)'!I18+'Inputs (2)'!I19)=0,('Inputs (2)'!I71)=0),"",('Inputs (2)'!I71)/('Inputs (2)'!I18+'Inputs (2)'!I19)),"")</f>
        <v/>
      </c>
      <c r="J222" s="32" t="str">
        <f>IFERROR(IF(OR(AVERAGE(('Inputs (2)'!H18+'Inputs (2)'!H19),('Inputs (2)'!J18+'Inputs (2)'!J19))=0,('Inputs (2)'!J71)=0),"",('Inputs (2)'!J71)*4/AVERAGE(('Inputs (2)'!H18+'Inputs (2)'!H19),('Inputs (2)'!J18+'Inputs (2)'!J19))),"")</f>
        <v/>
      </c>
      <c r="K222" s="32" t="str">
        <f>IFERROR(IF(OR(AVERAGE(('Inputs (2)'!J18+'Inputs (2)'!J19),('Inputs (2)'!K18+'Inputs (2)'!K19))=0,('Inputs (2)'!K71)=0),"",('Inputs (2)'!K71)*4/AVERAGE(('Inputs (2)'!J18+'Inputs (2)'!J19),('Inputs (2)'!K18+'Inputs (2)'!K19))),"")</f>
        <v/>
      </c>
      <c r="L222" s="32" t="str">
        <f>IFERROR(IF(OR(AVERAGE(('Inputs (2)'!K18+'Inputs (2)'!K19),('Inputs (2)'!L18+'Inputs (2)'!L19))=0,('Inputs (2)'!L71)=0),"",('Inputs (2)'!L71)*4/AVERAGE(('Inputs (2)'!K18+'Inputs (2)'!K19),('Inputs (2)'!L18+'Inputs (2)'!L19))),"")</f>
        <v/>
      </c>
      <c r="M222" s="32" t="str">
        <f>IFERROR(IF(OR(AVERAGE(('Inputs (2)'!L18+'Inputs (2)'!L19),('Inputs (2)'!M18+'Inputs (2)'!M19))=0,('Inputs (2)'!M71)=0),"",('Inputs (2)'!M71)*4/AVERAGE(('Inputs (2)'!L18+'Inputs (2)'!L19),('Inputs (2)'!M18+'Inputs (2)'!M19))),"")</f>
        <v/>
      </c>
      <c r="N222" s="34" t="str">
        <f>IFERROR(IF(OR(AVERAGE(('Inputs (2)'!I18+'Inputs (2)'!I19),('Inputs (2)'!N18+'Inputs (2)'!N19))=0,('Inputs (2)'!N71)=0),"",('Inputs (2)'!N71)/AVERAGE(('Inputs (2)'!I18+'Inputs (2)'!I19),('Inputs (2)'!N18+'Inputs (2)'!N19))),"")</f>
        <v/>
      </c>
      <c r="O222" s="32" t="str">
        <f>IFERROR(IF(OR(AVERAGE(('Inputs (2)'!M18+'Inputs (2)'!M19),('Inputs (2)'!O18+'Inputs (2)'!O19))=0,('Inputs (2)'!O71)=0),"",('Inputs (2)'!O71)*4/AVERAGE(('Inputs (2)'!M18+'Inputs (2)'!M19),('Inputs (2)'!O18+'Inputs (2)'!O19))),"")</f>
        <v/>
      </c>
      <c r="P222" s="32" t="str">
        <f>IFERROR(IF(OR(AVERAGE(('Inputs (2)'!O18+'Inputs (2)'!O19),('Inputs (2)'!P18+'Inputs (2)'!P19))=0,('Inputs (2)'!P71)=0),"",('Inputs (2)'!P71)*4/AVERAGE(('Inputs (2)'!O18+'Inputs (2)'!O19),('Inputs (2)'!P18+'Inputs (2)'!P19))),"")</f>
        <v/>
      </c>
      <c r="Q222" s="32" t="str">
        <f>IFERROR(IF(OR(AVERAGE(('Inputs (2)'!P18+'Inputs (2)'!P19),('Inputs (2)'!Q18+'Inputs (2)'!Q19))=0,('Inputs (2)'!Q71)=0),"",('Inputs (2)'!Q71)*4/AVERAGE(('Inputs (2)'!P18+'Inputs (2)'!P19),('Inputs (2)'!Q18+'Inputs (2)'!Q19))),"")</f>
        <v/>
      </c>
      <c r="R222" s="32" t="str">
        <f>IFERROR(IF(OR(AVERAGE(('Inputs (2)'!Q18+'Inputs (2)'!Q19),('Inputs (2)'!R18+'Inputs (2)'!R19))=0,('Inputs (2)'!R71)=0),"",('Inputs (2)'!R71)*4/AVERAGE(('Inputs (2)'!Q18+'Inputs (2)'!Q19),('Inputs (2)'!R18+'Inputs (2)'!R19))),"")</f>
        <v/>
      </c>
      <c r="S222" s="34" t="str">
        <f>IFERROR(IF(OR(AVERAGE(('Inputs (2)'!N18+'Inputs (2)'!N19),('Inputs (2)'!S18+'Inputs (2)'!S19))=0,('Inputs (2)'!S71)=0),"",('Inputs (2)'!S71)/AVERAGE(('Inputs (2)'!N18+'Inputs (2)'!N19),('Inputs (2)'!S18+'Inputs (2)'!S19))),"")</f>
        <v/>
      </c>
      <c r="T222" s="32" t="str">
        <f>IFERROR(IF(OR(AVERAGE(('Inputs (2)'!R18+'Inputs (2)'!R19),('Inputs (2)'!T18+'Inputs (2)'!T19))=0,('Inputs (2)'!T71)=0),"",('Inputs (2)'!T71)*4/AVERAGE(('Inputs (2)'!R18+'Inputs (2)'!R19),('Inputs (2)'!T18+'Inputs (2)'!T19))),"")</f>
        <v/>
      </c>
      <c r="U222" s="32" t="str">
        <f>IFERROR(IF(OR(AVERAGE(('Inputs (2)'!T18+'Inputs (2)'!T19),('Inputs (2)'!U18+'Inputs (2)'!U19))=0,('Inputs (2)'!U71)=0),"",('Inputs (2)'!U71)*4/AVERAGE(('Inputs (2)'!T18+'Inputs (2)'!T19),('Inputs (2)'!U18+'Inputs (2)'!U19))),"")</f>
        <v/>
      </c>
      <c r="V222" s="32" t="str">
        <f>IFERROR(IF(OR(AVERAGE(('Inputs (2)'!U18+'Inputs (2)'!U19),('Inputs (2)'!V18+'Inputs (2)'!V19))=0,('Inputs (2)'!V71)=0),"",('Inputs (2)'!V71)*4/AVERAGE(('Inputs (2)'!U18+'Inputs (2)'!U19),('Inputs (2)'!V18+'Inputs (2)'!V19))),"")</f>
        <v/>
      </c>
      <c r="W222" s="32" t="str">
        <f>IFERROR(IF(OR(AVERAGE(('Inputs (2)'!V18+'Inputs (2)'!V19),('Inputs (2)'!W18+'Inputs (2)'!W19))=0,('Inputs (2)'!W71)=0),"",('Inputs (2)'!W71)*4/AVERAGE(('Inputs (2)'!V18+'Inputs (2)'!V19),('Inputs (2)'!W18+'Inputs (2)'!W19))),"")</f>
        <v/>
      </c>
      <c r="X222" s="34" t="str">
        <f>IFERROR(IF(OR(AVERAGE(('Inputs (2)'!S18+'Inputs (2)'!S19),('Inputs (2)'!X18+'Inputs (2)'!X19))=0,('Inputs (2)'!X71)=0),"",('Inputs (2)'!X71)/AVERAGE(('Inputs (2)'!S18+'Inputs (2)'!S19),('Inputs (2)'!X18+'Inputs (2)'!X19))),"")</f>
        <v/>
      </c>
      <c r="Y222" s="32" t="str">
        <f>IFERROR(IF(OR(AVERAGE(('Inputs (2)'!W18+'Inputs (2)'!W19),('Inputs (2)'!Y18+'Inputs (2)'!Y19))=0,('Inputs (2)'!Y71)=0),"",('Inputs (2)'!Y71)*4/AVERAGE(('Inputs (2)'!W18+'Inputs (2)'!W19),('Inputs (2)'!Y18+'Inputs (2)'!Y19))),"")</f>
        <v/>
      </c>
      <c r="Z222" s="32" t="str">
        <f>IFERROR(IF(OR(AVERAGE(('Inputs (2)'!Y18+'Inputs (2)'!Y19),('Inputs (2)'!Z18+'Inputs (2)'!Z19))=0,('Inputs (2)'!Z71)=0),"",('Inputs (2)'!Z71)*4/AVERAGE(('Inputs (2)'!Y18+'Inputs (2)'!Y19),('Inputs (2)'!Z18+'Inputs (2)'!Z19))),"")</f>
        <v/>
      </c>
      <c r="AA222" s="32" t="str">
        <f>IFERROR(IF(OR(AVERAGE(('Inputs (2)'!Z18+'Inputs (2)'!Z19),('Inputs (2)'!AA18+'Inputs (2)'!AA19))=0,('Inputs (2)'!AA71)=0),"",('Inputs (2)'!AA71)*4/AVERAGE(('Inputs (2)'!Z18+'Inputs (2)'!Z19),('Inputs (2)'!AA18+'Inputs (2)'!AA19))),"")</f>
        <v/>
      </c>
      <c r="AB222" s="32" t="str">
        <f>IFERROR(IF(OR(AVERAGE(('Inputs (2)'!AA18+'Inputs (2)'!AA19),('Inputs (2)'!AB18+'Inputs (2)'!AB19))=0,('Inputs (2)'!AB71)=0),"",('Inputs (2)'!AB71)*4/AVERAGE(('Inputs (2)'!AA18+'Inputs (2)'!AA19),('Inputs (2)'!AB18+'Inputs (2)'!AB19))),"")</f>
        <v/>
      </c>
      <c r="AC222" s="34" t="str">
        <f>IFERROR(IF(OR(AVERAGE(('Inputs (2)'!X18+'Inputs (2)'!X19),('Inputs (2)'!AC18+'Inputs (2)'!AC19))=0,('Inputs (2)'!AC71)=0),"",('Inputs (2)'!AC71)/AVERAGE(('Inputs (2)'!X18+'Inputs (2)'!X19),('Inputs (2)'!AC18+'Inputs (2)'!AC19))),"")</f>
        <v/>
      </c>
      <c r="AD222" s="32" t="str">
        <f>IFERROR(IF(OR(AVERAGE(('Inputs (2)'!AB18+'Inputs (2)'!AB19),('Inputs (2)'!AD18+'Inputs (2)'!AD19))=0,('Inputs (2)'!AD71)=0),"",('Inputs (2)'!AD71)*4/AVERAGE(('Inputs (2)'!AB18+'Inputs (2)'!AB19),('Inputs (2)'!AD18+'Inputs (2)'!AD19))),"")</f>
        <v/>
      </c>
      <c r="AE222" s="32" t="str">
        <f>IFERROR(IF(OR(AVERAGE(('Inputs (2)'!AD18+'Inputs (2)'!AD19),('Inputs (2)'!AE18+'Inputs (2)'!AE19))=0,('Inputs (2)'!AE71)=0),"",('Inputs (2)'!AE71)*4/AVERAGE(('Inputs (2)'!AD18+'Inputs (2)'!AD19),('Inputs (2)'!AE18+'Inputs (2)'!AE19))),"")</f>
        <v/>
      </c>
      <c r="AF222" s="32" t="str">
        <f>IFERROR(IF(OR(AVERAGE(('Inputs (2)'!AE18+'Inputs (2)'!AE19),('Inputs (2)'!AF18+'Inputs (2)'!AF19))=0,('Inputs (2)'!AF71)=0),"",('Inputs (2)'!AF71)*4/AVERAGE(('Inputs (2)'!AE18+'Inputs (2)'!AE19),('Inputs (2)'!AF18+'Inputs (2)'!AF19))),"")</f>
        <v/>
      </c>
      <c r="AG222" s="32" t="str">
        <f>IFERROR(IF(OR(AVERAGE(('Inputs (2)'!AF18+'Inputs (2)'!AF19),('Inputs (2)'!AG18+'Inputs (2)'!AG19))=0,('Inputs (2)'!AG71)=0),"",('Inputs (2)'!AG71)*4/AVERAGE(('Inputs (2)'!AF18+'Inputs (2)'!AF19),('Inputs (2)'!AG18+'Inputs (2)'!AG19))),"")</f>
        <v/>
      </c>
      <c r="AH222" s="34" t="str">
        <f>IFERROR(IF(OR(AVERAGE(('Inputs (2)'!AC18+'Inputs (2)'!AC19),('Inputs (2)'!AH18+'Inputs (2)'!AH19))=0,('Inputs (2)'!AH71)=0),"",('Inputs (2)'!AH71)/AVERAGE(('Inputs (2)'!AC18+'Inputs (2)'!AC19),('Inputs (2)'!AH18+'Inputs (2)'!AH19))),"")</f>
        <v/>
      </c>
      <c r="AI222" s="32" t="str">
        <f>IFERROR(IF(OR(AVERAGE(('Inputs (2)'!AG18+'Inputs (2)'!AG19),('Inputs (2)'!AI18+'Inputs (2)'!AI19))=0,('Inputs (2)'!AI71)=0),"",('Inputs (2)'!AI71)*4/AVERAGE(('Inputs (2)'!AG18+'Inputs (2)'!AG19),('Inputs (2)'!AI18+'Inputs (2)'!AI19))),"")</f>
        <v/>
      </c>
      <c r="AJ222" s="32" t="str">
        <f>IFERROR(IF(OR(AVERAGE(('Inputs (2)'!AI18+'Inputs (2)'!AI19),('Inputs (2)'!AJ18+'Inputs (2)'!AJ19))=0,('Inputs (2)'!AJ71)=0),"",('Inputs (2)'!AJ71)*4/AVERAGE(('Inputs (2)'!AI18+'Inputs (2)'!AI19),('Inputs (2)'!AJ18+'Inputs (2)'!AJ19))),"")</f>
        <v/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 t="str">
        <f>IFERROR(IF(OR(AVERAGE(('Inputs (2)'!AH18+'Inputs (2)'!AH19),('Inputs (2)'!AM18+'Inputs (2)'!AM19))=0,('Inputs (2)'!AM71)=0),"",('Inputs (2)'!AM71)/AVERAGE(('Inputs (2)'!AH18+'Inputs (2)'!AH19),('Inputs (2)'!AM18+'Inputs (2)'!AM19))),"")</f>
        <v/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spans="2:61" hidden="1" outlineLevel="1" x14ac:dyDescent="0.25">
      <c r="C223" s="30" t="s">
        <v>382</v>
      </c>
      <c r="D223" s="12" t="s">
        <v>383</v>
      </c>
      <c r="E223" s="32" t="str">
        <f>IFERROR(IF(OR(ABS(('Inputs (2)'!E18+'Inputs (2)'!E19))=0,('Inputs (2)'!E82)=0),"",ABS('Inputs (2)'!E82)*4/ABS(('Inputs (2)'!E18+'Inputs (2)'!E19))),"")</f>
        <v/>
      </c>
      <c r="F223" s="32" t="str">
        <f>IFERROR(IF(OR(ABS(AVERAGE(('Inputs (2)'!E18+'Inputs (2)'!E19),('Inputs (2)'!F18+'Inputs (2)'!F19)))=0,('Inputs (2)'!F82)=0),"",ABS('Inputs (2)'!F82)*4/ABS(AVERAGE(('Inputs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(2)'!G82)=0),"",ABS('Inputs (2)'!G82)*4/ABS(AVERAGE(('Inputs (2)'!F18+'Inputs (2)'!F19),('Inputs (2)'!G18+'Inputs (2)'!G19)))),"")</f>
        <v/>
      </c>
      <c r="H223" s="32" t="str">
        <f>IFERROR(IF(OR(ABS(AVERAGE(('Inputs (2)'!G18+'Inputs (2)'!G19),('Inputs (2)'!H18+'Inputs (2)'!H19)))=0,('Inputs (2)'!H82)=0),"",ABS('Inputs (2)'!H82)*4/ABS(AVERAGE(('Inputs (2)'!G18+'Inputs (2)'!G19),('Inputs (2)'!H18+'Inputs (2)'!H19)))),"")</f>
        <v/>
      </c>
      <c r="I223" s="34" t="str">
        <f>IFERROR(IF(OR(ABS(('Inputs (2)'!I18+'Inputs (2)'!I19))=0,('Inputs (2)'!I82)=0),"",ABS('Inputs (2)'!I82)/ABS(('Inputs (2)'!I18+'Inputs (2)'!I19))),"")</f>
        <v/>
      </c>
      <c r="J223" s="32" t="str">
        <f>IFERROR(IF(OR(ABS(AVERAGE(('Inputs (2)'!H18+'Inputs (2)'!H19),('Inputs (2)'!J18+'Inputs (2)'!J19)))=0,('Inputs (2)'!J82)=0),"",ABS('Inputs (2)'!J82)*4/ABS(AVERAGE(('Inputs (2)'!H18+'Inputs (2)'!H19),('Inputs (2)'!J18+'Inputs (2)'!J19)))),"")</f>
        <v/>
      </c>
      <c r="K223" s="32" t="str">
        <f>IFERROR(IF(OR(ABS(AVERAGE(('Inputs (2)'!J18+'Inputs (2)'!J19),('Inputs (2)'!K18+'Inputs (2)'!K19)))=0,('Inputs (2)'!K82)=0),"",ABS('Inputs (2)'!K82)*4/ABS(AVERAGE(('Inputs (2)'!J18+'Inputs (2)'!J19),('Inputs (2)'!K18+'Inputs (2)'!K19)))),"")</f>
        <v/>
      </c>
      <c r="L223" s="32" t="str">
        <f>IFERROR(IF(OR(ABS(AVERAGE(('Inputs (2)'!K18+'Inputs (2)'!K19),('Inputs (2)'!L18+'Inputs (2)'!L19)))=0,('Inputs (2)'!L82)=0),"",ABS('Inputs (2)'!L82)*4/ABS(AVERAGE(('Inputs (2)'!K18+'Inputs (2)'!K19),('Inputs (2)'!L18+'Inputs (2)'!L19)))),"")</f>
        <v/>
      </c>
      <c r="M223" s="32" t="str">
        <f>IFERROR(IF(OR(ABS(AVERAGE(('Inputs (2)'!L18+'Inputs (2)'!L19),('Inputs (2)'!M18+'Inputs (2)'!M19)))=0,('Inputs (2)'!M82)=0),"",ABS('Inputs (2)'!M82)*4/ABS(AVERAGE(('Inputs (2)'!L18+'Inputs (2)'!L19),('Inputs (2)'!M18+'Inputs (2)'!M19)))),"")</f>
        <v/>
      </c>
      <c r="N223" s="34" t="str">
        <f>IFERROR(IF(OR(ABS(AVERAGE(('Inputs (2)'!I18+'Inputs (2)'!I19),('Inputs (2)'!N18+'Inputs (2)'!N19)))=0,('Inputs (2)'!N82)=0),"",ABS('Inputs (2)'!N82)/ABS(AVERAGE(('Inputs (2)'!I18+'Inputs (2)'!I19),('Inputs (2)'!N18+'Inputs (2)'!N19)))),"")</f>
        <v/>
      </c>
      <c r="O223" s="32" t="str">
        <f>IFERROR(IF(OR(ABS(AVERAGE(('Inputs (2)'!M18+'Inputs (2)'!M19),('Inputs (2)'!O18+'Inputs (2)'!O19)))=0,('Inputs (2)'!O82)=0),"",ABS('Inputs (2)'!O82)*4/ABS(AVERAGE(('Inputs (2)'!M18+'Inputs (2)'!M19),('Inputs (2)'!O18+'Inputs (2)'!O19)))),"")</f>
        <v/>
      </c>
      <c r="P223" s="32" t="str">
        <f>IFERROR(IF(OR(ABS(AVERAGE(('Inputs (2)'!O18+'Inputs (2)'!O19),('Inputs (2)'!P18+'Inputs (2)'!P19)))=0,('Inputs (2)'!P82)=0),"",ABS('Inputs (2)'!P82)*4/ABS(AVERAGE(('Inputs (2)'!O18+'Inputs (2)'!O19),('Inputs (2)'!P18+'Inputs (2)'!P19)))),"")</f>
        <v/>
      </c>
      <c r="Q223" s="32" t="str">
        <f>IFERROR(IF(OR(ABS(AVERAGE(('Inputs (2)'!P18+'Inputs (2)'!P19),('Inputs (2)'!Q18+'Inputs (2)'!Q19)))=0,('Inputs (2)'!Q82)=0),"",ABS('Inputs (2)'!Q82)*4/ABS(AVERAGE(('Inputs (2)'!P18+'Inputs (2)'!P19),('Inputs (2)'!Q18+'Inputs (2)'!Q19)))),"")</f>
        <v/>
      </c>
      <c r="R223" s="32" t="str">
        <f>IFERROR(IF(OR(ABS(AVERAGE(('Inputs (2)'!Q18+'Inputs (2)'!Q19),('Inputs (2)'!R18+'Inputs (2)'!R19)))=0,('Inputs (2)'!R82)=0),"",ABS('Inputs (2)'!R82)*4/ABS(AVERAGE(('Inputs (2)'!Q18+'Inputs (2)'!Q19),('Inputs (2)'!R18+'Inputs (2)'!R19)))),"")</f>
        <v/>
      </c>
      <c r="S223" s="34" t="str">
        <f>IFERROR(IF(OR(ABS(AVERAGE(('Inputs (2)'!N18+'Inputs (2)'!N19),('Inputs (2)'!S18+'Inputs (2)'!S19)))=0,('Inputs (2)'!S82)=0),"",ABS('Inputs (2)'!S82)/ABS(AVERAGE(('Inputs (2)'!N18+'Inputs (2)'!N19),('Inputs (2)'!S18+'Inputs (2)'!S19)))),"")</f>
        <v/>
      </c>
      <c r="T223" s="32" t="str">
        <f>IFERROR(IF(OR(ABS(AVERAGE(('Inputs (2)'!R18+'Inputs (2)'!R19),('Inputs (2)'!T18+'Inputs (2)'!T19)))=0,('Inputs (2)'!T82)=0),"",ABS('Inputs (2)'!T82)*4/ABS(AVERAGE(('Inputs (2)'!R18+'Inputs (2)'!R19),('Inputs (2)'!T18+'Inputs (2)'!T19)))),"")</f>
        <v/>
      </c>
      <c r="U223" s="32" t="str">
        <f>IFERROR(IF(OR(ABS(AVERAGE(('Inputs (2)'!T18+'Inputs (2)'!T19),('Inputs (2)'!U18+'Inputs (2)'!U19)))=0,('Inputs (2)'!U82)=0),"",ABS('Inputs (2)'!U82)*4/ABS(AVERAGE(('Inputs (2)'!T18+'Inputs (2)'!T19),('Inputs (2)'!U18+'Inputs (2)'!U19)))),"")</f>
        <v/>
      </c>
      <c r="V223" s="32" t="str">
        <f>IFERROR(IF(OR(ABS(AVERAGE(('Inputs (2)'!U18+'Inputs (2)'!U19),('Inputs (2)'!V18+'Inputs (2)'!V19)))=0,('Inputs (2)'!V82)=0),"",ABS('Inputs (2)'!V82)*4/ABS(AVERAGE(('Inputs (2)'!U18+'Inputs (2)'!U19),('Inputs (2)'!V18+'Inputs (2)'!V19)))),"")</f>
        <v/>
      </c>
      <c r="W223" s="32" t="str">
        <f>IFERROR(IF(OR(ABS(AVERAGE(('Inputs (2)'!V18+'Inputs (2)'!V19),('Inputs (2)'!W18+'Inputs (2)'!W19)))=0,('Inputs (2)'!W82)=0),"",ABS('Inputs (2)'!W82)*4/ABS(AVERAGE(('Inputs (2)'!V18+'Inputs (2)'!V19),('Inputs (2)'!W18+'Inputs (2)'!W19)))),"")</f>
        <v/>
      </c>
      <c r="X223" s="34" t="str">
        <f>IFERROR(IF(OR(ABS(AVERAGE(('Inputs (2)'!S18+'Inputs (2)'!S19),('Inputs (2)'!X18+'Inputs (2)'!X19)))=0,('Inputs (2)'!X82)=0),"",ABS('Inputs (2)'!X82)/ABS(AVERAGE(('Inputs (2)'!S18+'Inputs (2)'!S19),('Inputs (2)'!X18+'Inputs (2)'!X19)))),"")</f>
        <v/>
      </c>
      <c r="Y223" s="32" t="str">
        <f>IFERROR(IF(OR(ABS(AVERAGE(('Inputs (2)'!W18+'Inputs (2)'!W19),('Inputs (2)'!Y18+'Inputs (2)'!Y19)))=0,('Inputs (2)'!Y82)=0),"",ABS('Inputs (2)'!Y82)*4/ABS(AVERAGE(('Inputs (2)'!W18+'Inputs (2)'!W19),('Inputs (2)'!Y18+'Inputs (2)'!Y19)))),"")</f>
        <v/>
      </c>
      <c r="Z223" s="32" t="str">
        <f>IFERROR(IF(OR(ABS(AVERAGE(('Inputs (2)'!Y18+'Inputs (2)'!Y19),('Inputs (2)'!Z18+'Inputs (2)'!Z19)))=0,('Inputs (2)'!Z82)=0),"",ABS('Inputs (2)'!Z82)*4/ABS(AVERAGE(('Inputs (2)'!Y18+'Inputs (2)'!Y19),('Inputs (2)'!Z18+'Inputs (2)'!Z19)))),"")</f>
        <v/>
      </c>
      <c r="AA223" s="32" t="str">
        <f>IFERROR(IF(OR(ABS(AVERAGE(('Inputs (2)'!Z18+'Inputs (2)'!Z19),('Inputs (2)'!AA18+'Inputs (2)'!AA19)))=0,('Inputs (2)'!AA82)=0),"",ABS('Inputs (2)'!AA82)*4/ABS(AVERAGE(('Inputs (2)'!Z18+'Inputs (2)'!Z19),('Inputs (2)'!AA18+'Inputs (2)'!AA19)))),"")</f>
        <v/>
      </c>
      <c r="AB223" s="32" t="str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/>
      </c>
      <c r="AC223" s="34" t="str">
        <f>IFERROR(IF(OR(ABS(AVERAGE(('Inputs (2)'!X18+'Inputs (2)'!X19),('Inputs (2)'!AC18+'Inputs (2)'!AC19)))=0,('Inputs (2)'!AC82)=0),"",ABS('Inputs (2)'!AC82)/ABS(AVERAGE(('Inputs (2)'!X18+'Inputs (2)'!X19),('Inputs (2)'!AC18+'Inputs (2)'!AC19)))),"")</f>
        <v/>
      </c>
      <c r="AD223" s="32" t="str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/>
      </c>
      <c r="AE223" s="32" t="str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/>
      </c>
      <c r="AF223" s="32" t="str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/>
      </c>
      <c r="AG223" s="32" t="str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/>
      </c>
      <c r="AH223" s="34" t="str">
        <f>IFERROR(IF(OR(ABS(AVERAGE(('Inputs (2)'!AC18+'Inputs (2)'!AC19),('Inputs (2)'!AH18+'Inputs (2)'!AH19)))=0,('Inputs (2)'!AH82)=0),"",ABS('Inputs (2)'!AH82)/ABS(AVERAGE(('Inputs (2)'!AC18+'Inputs (2)'!AC19),('Inputs (2)'!AH18+'Inputs (2)'!AH19)))),"")</f>
        <v/>
      </c>
      <c r="AI223" s="32" t="str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/>
      </c>
      <c r="AJ223" s="32" t="str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/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 t="str">
        <f>IFERROR(IF(OR(ABS(AVERAGE(('Inputs (2)'!AH18+'Inputs (2)'!AH19),('Inputs (2)'!AM18+'Inputs (2)'!AM19)))=0,('Inputs (2)'!AM82)=0),"",ABS('Inputs (2)'!AM82)/ABS(AVERAGE(('Inputs (2)'!AH18+'Inputs (2)'!AH19),('Inputs (2)'!AM18+'Inputs (2)'!AM19)))),"")</f>
        <v/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spans="2:61" hidden="1" outlineLevel="1" x14ac:dyDescent="0.25">
      <c r="C224" s="30" t="s">
        <v>384</v>
      </c>
      <c r="D224" s="12" t="s">
        <v>385</v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spans="2:61" hidden="1" outlineLevel="1" x14ac:dyDescent="0.25">
      <c r="C225" s="30" t="s">
        <v>386</v>
      </c>
      <c r="D225" s="12" t="s">
        <v>387</v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spans="2:61" hidden="1" outlineLevel="1" x14ac:dyDescent="0.25">
      <c r="C226" s="30" t="s">
        <v>388</v>
      </c>
      <c r="D226" s="12" t="s">
        <v>389</v>
      </c>
      <c r="E226" s="31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 t="str">
        <f>IFERROR(IF(('Inputs (2)'!G11+'Inputs (2)'!G6)=0,"",('Inputs (2)'!H11+'Inputs (2)'!H6)/('Inputs (2)'!G11+'Inputs (2)'!G6)-1),"")</f>
        <v/>
      </c>
      <c r="I226" s="33"/>
      <c r="J226" s="32" t="str">
        <f>IFERROR(IF(('Inputs (2)'!H11+'Inputs (2)'!H6)=0,"",('Inputs (2)'!J11+'Inputs (2)'!J6)/('Inputs (2)'!H11+'Inputs (2)'!H6)-1),"")</f>
        <v/>
      </c>
      <c r="K226" s="32" t="str">
        <f>IFERROR(IF(('Inputs (2)'!J11+'Inputs (2)'!J6)=0,"",('Inputs (2)'!K11+'Inputs (2)'!K6)/('Inputs (2)'!J11+'Inputs (2)'!J6)-1),"")</f>
        <v/>
      </c>
      <c r="L226" s="32" t="str">
        <f>IFERROR(IF(('Inputs (2)'!K11+'Inputs (2)'!K6)=0,"",('Inputs (2)'!L11+'Inputs (2)'!L6)/('Inputs (2)'!K11+'Inputs (2)'!K6)-1),"")</f>
        <v/>
      </c>
      <c r="M226" s="32" t="str">
        <f>IFERROR(IF(('Inputs (2)'!L11+'Inputs (2)'!L6)=0,"",('Inputs (2)'!M11+'Inputs (2)'!M6)/('Inputs (2)'!L11+'Inputs (2)'!L6)-1),"")</f>
        <v/>
      </c>
      <c r="N226" s="34" t="str">
        <f>IFERROR(IF(('Inputs (2)'!I11+'Inputs (2)'!I6)=0,"",('Inputs (2)'!N11+'Inputs (2)'!N6)/('Inputs (2)'!I11+'Inputs (2)'!I6)-1),"")</f>
        <v/>
      </c>
      <c r="O226" s="32" t="str">
        <f>IFERROR(IF(('Inputs (2)'!M11+'Inputs (2)'!M6)=0,"",('Inputs (2)'!O11+'Inputs (2)'!O6)/('Inputs (2)'!M11+'Inputs (2)'!M6)-1),"")</f>
        <v/>
      </c>
      <c r="P226" s="32" t="str">
        <f>IFERROR(IF(('Inputs (2)'!O11+'Inputs (2)'!O6)=0,"",('Inputs (2)'!P11+'Inputs (2)'!P6)/('Inputs (2)'!O11+'Inputs (2)'!O6)-1),"")</f>
        <v/>
      </c>
      <c r="Q226" s="32" t="str">
        <f>IFERROR(IF(('Inputs (2)'!P11+'Inputs (2)'!P6)=0,"",('Inputs (2)'!Q11+'Inputs (2)'!Q6)/('Inputs (2)'!P11+'Inputs (2)'!P6)-1),"")</f>
        <v/>
      </c>
      <c r="R226" s="32" t="str">
        <f>IFERROR(IF(('Inputs (2)'!Q11+'Inputs (2)'!Q6)=0,"",('Inputs (2)'!R11+'Inputs (2)'!R6)/('Inputs (2)'!Q11+'Inputs (2)'!Q6)-1),"")</f>
        <v/>
      </c>
      <c r="S226" s="34" t="str">
        <f>IFERROR(IF(('Inputs (2)'!N11+'Inputs (2)'!N6)=0,"",('Inputs (2)'!S11+'Inputs (2)'!S6)/('Inputs (2)'!N11+'Inputs (2)'!N6)-1),"")</f>
        <v/>
      </c>
      <c r="T226" s="32" t="str">
        <f>IFERROR(IF(('Inputs (2)'!R11+'Inputs (2)'!R6)=0,"",('Inputs (2)'!T11+'Inputs (2)'!T6)/('Inputs (2)'!R11+'Inputs (2)'!R6)-1),"")</f>
        <v/>
      </c>
      <c r="U226" s="32" t="str">
        <f>IFERROR(IF(('Inputs (2)'!T11+'Inputs (2)'!T6)=0,"",('Inputs (2)'!U11+'Inputs (2)'!U6)/('Inputs (2)'!T11+'Inputs (2)'!T6)-1),"")</f>
        <v/>
      </c>
      <c r="V226" s="32" t="str">
        <f>IFERROR(IF(('Inputs (2)'!U11+'Inputs (2)'!U6)=0,"",('Inputs (2)'!V11+'Inputs (2)'!V6)/('Inputs (2)'!U11+'Inputs (2)'!U6)-1),"")</f>
        <v/>
      </c>
      <c r="W226" s="32" t="str">
        <f>IFERROR(IF(('Inputs (2)'!V11+'Inputs (2)'!V6)=0,"",('Inputs (2)'!W11+'Inputs (2)'!W6)/('Inputs (2)'!V11+'Inputs (2)'!V6)-1),"")</f>
        <v/>
      </c>
      <c r="X226" s="34" t="str">
        <f>IFERROR(IF(('Inputs (2)'!S11+'Inputs (2)'!S6)=0,"",('Inputs (2)'!X11+'Inputs (2)'!X6)/('Inputs (2)'!S11+'Inputs (2)'!S6)-1),"")</f>
        <v/>
      </c>
      <c r="Y226" s="32" t="str">
        <f>IFERROR(IF(('Inputs (2)'!W11+'Inputs (2)'!W6)=0,"",('Inputs (2)'!Y11+'Inputs (2)'!Y6)/('Inputs (2)'!W11+'Inputs (2)'!W6)-1),"")</f>
        <v/>
      </c>
      <c r="Z226" s="32" t="str">
        <f>IFERROR(IF(('Inputs (2)'!Y11+'Inputs (2)'!Y6)=0,"",('Inputs (2)'!Z11+'Inputs (2)'!Z6)/('Inputs (2)'!Y11+'Inputs (2)'!Y6)-1),"")</f>
        <v/>
      </c>
      <c r="AA226" s="32" t="str">
        <f>IFERROR(IF(('Inputs (2)'!Z11+'Inputs (2)'!Z6)=0,"",('Inputs (2)'!AA11+'Inputs (2)'!AA6)/('Inputs (2)'!Z11+'Inputs (2)'!Z6)-1),"")</f>
        <v/>
      </c>
      <c r="AB226" s="32" t="str">
        <f>IFERROR(IF(('Inputs (2)'!AA11+'Inputs (2)'!AA6)=0,"",('Inputs (2)'!AB11+'Inputs (2)'!AB6)/('Inputs (2)'!AA11+'Inputs (2)'!AA6)-1),"")</f>
        <v/>
      </c>
      <c r="AC226" s="34" t="str">
        <f>IFERROR(IF(('Inputs (2)'!X11+'Inputs (2)'!X6)=0,"",('Inputs (2)'!AC11+'Inputs (2)'!AC6)/('Inputs (2)'!X11+'Inputs (2)'!X6)-1),"")</f>
        <v/>
      </c>
      <c r="AD226" s="32" t="str">
        <f>IFERROR(IF(('Inputs (2)'!AB11+'Inputs (2)'!AB6)=0,"",('Inputs (2)'!AD11+'Inputs (2)'!AD6)/('Inputs (2)'!AB11+'Inputs (2)'!AB6)-1),"")</f>
        <v/>
      </c>
      <c r="AE226" s="32" t="str">
        <f>IFERROR(IF(('Inputs (2)'!AD11+'Inputs (2)'!AD6)=0,"",('Inputs (2)'!AE11+'Inputs (2)'!AE6)/('Inputs (2)'!AD11+'Inputs (2)'!AD6)-1),"")</f>
        <v/>
      </c>
      <c r="AF226" s="32" t="str">
        <f>IFERROR(IF(('Inputs (2)'!AE11+'Inputs (2)'!AE6)=0,"",('Inputs (2)'!AF11+'Inputs (2)'!AF6)/('Inputs (2)'!AE11+'Inputs (2)'!AE6)-1),"")</f>
        <v/>
      </c>
      <c r="AG226" s="32" t="str">
        <f>IFERROR(IF(('Inputs (2)'!AF11+'Inputs (2)'!AF6)=0,"",('Inputs (2)'!AG11+'Inputs (2)'!AG6)/('Inputs (2)'!AF11+'Inputs (2)'!AF6)-1),"")</f>
        <v/>
      </c>
      <c r="AH226" s="34" t="str">
        <f>IFERROR(IF(('Inputs (2)'!AC11+'Inputs (2)'!AC6)=0,"",('Inputs (2)'!AH11+'Inputs (2)'!AH6)/('Inputs (2)'!AC11+'Inputs (2)'!AC6)-1),"")</f>
        <v/>
      </c>
      <c r="AI226" s="32" t="str">
        <f>IFERROR(IF(('Inputs (2)'!AG11+'Inputs (2)'!AG6)=0,"",('Inputs (2)'!AI11+'Inputs (2)'!AI6)/('Inputs (2)'!AG11+'Inputs (2)'!AG6)-1),"")</f>
        <v/>
      </c>
      <c r="AJ226" s="32" t="str">
        <f>IFERROR(IF(('Inputs (2)'!AI11+'Inputs (2)'!AI6)=0,"",('Inputs (2)'!AJ11+'Inputs (2)'!AJ6)/('Inputs (2)'!AI11+'Inputs (2)'!AI6)-1),"")</f>
        <v/>
      </c>
      <c r="AK226" s="32" t="str">
        <f>IFERROR(IF(('Inputs (2)'!AJ11+'Inputs (2)'!AJ6)=0,"",('Inputs (2)'!AK11+'Inputs (2)'!AK6)/('Inputs (2)'!AJ11+'Inputs (2)'!AJ6)-1),"")</f>
        <v/>
      </c>
      <c r="AL226" s="32" t="str">
        <f>IFERROR(IF(('Inputs (2)'!AK11+'Inputs (2)'!AK6)=0,"",('Inputs (2)'!AL11+'Inputs (2)'!AL6)/('Inputs (2)'!AK11+'Inputs (2)'!AK6)-1),"")</f>
        <v/>
      </c>
      <c r="AM226" s="34" t="str">
        <f>IFERROR(IF(('Inputs (2)'!AH11+'Inputs (2)'!AH6)=0,"",('Inputs (2)'!AM11+'Inputs (2)'!AM6)/('Inputs (2)'!AH11+'Inputs (2)'!AH6)-1),"")</f>
        <v/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spans="2:61" hidden="1" outlineLevel="1" x14ac:dyDescent="0.25">
      <c r="C227" s="30" t="s">
        <v>390</v>
      </c>
      <c r="D227" s="12" t="s">
        <v>391</v>
      </c>
      <c r="E227" s="32" t="str">
        <f>IFERROR(IF(OR(('Inputs (2)'!E11+'Inputs (2)'!E6)=0,('Inputs (2)'!E72+'Inputs (2)'!E74)=0),"",('Inputs (2)'!E72+'Inputs (2)'!E74)*4/('Inputs (2)'!E11+'Inputs (2)'!E6)),"")</f>
        <v/>
      </c>
      <c r="F227" s="32" t="str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/>
      </c>
      <c r="G227" s="32" t="str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/>
      </c>
      <c r="H227" s="32" t="str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/>
      </c>
      <c r="I227" s="34" t="str">
        <f>IFERROR(IF(OR(('Inputs (2)'!I11+'Inputs (2)'!I6)=0,('Inputs (2)'!I72+'Inputs (2)'!I74)=0),"",('Inputs (2)'!I72+'Inputs (2)'!I74)/('Inputs (2)'!I11+'Inputs (2)'!I6)),"")</f>
        <v/>
      </c>
      <c r="J227" s="32" t="str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/>
      </c>
      <c r="K227" s="32" t="str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/>
      </c>
      <c r="L227" s="32" t="str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/>
      </c>
      <c r="M227" s="32" t="str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/>
      </c>
      <c r="N227" s="34" t="str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/>
      </c>
      <c r="O227" s="32" t="str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/>
      </c>
      <c r="P227" s="32" t="str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/>
      </c>
      <c r="Q227" s="32" t="str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/>
      </c>
      <c r="R227" s="32" t="str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/>
      </c>
      <c r="S227" s="34" t="str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/>
      </c>
      <c r="T227" s="32" t="str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/>
      </c>
      <c r="U227" s="32" t="str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/>
      </c>
      <c r="V227" s="32" t="str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/>
      </c>
      <c r="W227" s="32" t="str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/>
      </c>
      <c r="X227" s="34" t="str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/>
      </c>
      <c r="Y227" s="32" t="str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/>
      </c>
      <c r="Z227" s="32" t="str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/>
      </c>
      <c r="AA227" s="32" t="str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/>
      </c>
      <c r="AB227" s="32" t="str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/>
      </c>
      <c r="AC227" s="34" t="str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/>
      </c>
      <c r="AD227" s="32" t="str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/>
      </c>
      <c r="AE227" s="32" t="str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/>
      </c>
      <c r="AF227" s="32" t="str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/>
      </c>
      <c r="AG227" s="32" t="str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/>
      </c>
      <c r="AH227" s="34" t="str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/>
      </c>
      <c r="AI227" s="32" t="str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/>
      </c>
      <c r="AJ227" s="32" t="str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/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 t="str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/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spans="2:61" hidden="1" outlineLevel="1" x14ac:dyDescent="0.25">
      <c r="C228" s="30" t="s">
        <v>392</v>
      </c>
      <c r="D228" s="12" t="s">
        <v>393</v>
      </c>
      <c r="E228" s="31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 t="str">
        <f>IFERROR(IF(('Inputs (2)'!G32)=0,"",('Inputs (2)'!H32)/('Inputs (2)'!G32)-1),"")</f>
        <v/>
      </c>
      <c r="I228" s="33"/>
      <c r="J228" s="32" t="str">
        <f>IFERROR(IF(('Inputs (2)'!H32)=0,"",('Inputs (2)'!J32)/('Inputs (2)'!H32)-1),"")</f>
        <v/>
      </c>
      <c r="K228" s="32" t="str">
        <f>IFERROR(IF(('Inputs (2)'!J32)=0,"",('Inputs (2)'!K32)/('Inputs (2)'!J32)-1),"")</f>
        <v/>
      </c>
      <c r="L228" s="32" t="str">
        <f>IFERROR(IF(('Inputs (2)'!K32)=0,"",('Inputs (2)'!L32)/('Inputs (2)'!K32)-1),"")</f>
        <v/>
      </c>
      <c r="M228" s="32" t="str">
        <f>IFERROR(IF(('Inputs (2)'!L32)=0,"",('Inputs (2)'!M32)/('Inputs (2)'!L32)-1),"")</f>
        <v/>
      </c>
      <c r="N228" s="34" t="str">
        <f>IFERROR(IF(('Inputs (2)'!I32)=0,"",('Inputs (2)'!N32)/('Inputs (2)'!I32)-1),"")</f>
        <v/>
      </c>
      <c r="O228" s="32" t="str">
        <f>IFERROR(IF(('Inputs (2)'!M32)=0,"",('Inputs (2)'!O32)/('Inputs (2)'!M32)-1),"")</f>
        <v/>
      </c>
      <c r="P228" s="32" t="str">
        <f>IFERROR(IF(('Inputs (2)'!O32)=0,"",('Inputs (2)'!P32)/('Inputs (2)'!O32)-1),"")</f>
        <v/>
      </c>
      <c r="Q228" s="32" t="str">
        <f>IFERROR(IF(('Inputs (2)'!P32)=0,"",('Inputs (2)'!Q32)/('Inputs (2)'!P32)-1),"")</f>
        <v/>
      </c>
      <c r="R228" s="32" t="str">
        <f>IFERROR(IF(('Inputs (2)'!Q32)=0,"",('Inputs (2)'!R32)/('Inputs (2)'!Q32)-1),"")</f>
        <v/>
      </c>
      <c r="S228" s="34" t="str">
        <f>IFERROR(IF(('Inputs (2)'!N32)=0,"",('Inputs (2)'!S32)/('Inputs (2)'!N32)-1),"")</f>
        <v/>
      </c>
      <c r="T228" s="32" t="str">
        <f>IFERROR(IF(('Inputs (2)'!R32)=0,"",('Inputs (2)'!T32)/('Inputs (2)'!R32)-1),"")</f>
        <v/>
      </c>
      <c r="U228" s="32" t="str">
        <f>IFERROR(IF(('Inputs (2)'!T32)=0,"",('Inputs (2)'!U32)/('Inputs (2)'!T32)-1),"")</f>
        <v/>
      </c>
      <c r="V228" s="32" t="str">
        <f>IFERROR(IF(('Inputs (2)'!U32)=0,"",('Inputs (2)'!V32)/('Inputs (2)'!U32)-1),"")</f>
        <v/>
      </c>
      <c r="W228" s="32" t="str">
        <f>IFERROR(IF(('Inputs (2)'!V32)=0,"",('Inputs (2)'!W32)/('Inputs (2)'!V32)-1),"")</f>
        <v/>
      </c>
      <c r="X228" s="34" t="str">
        <f>IFERROR(IF(('Inputs (2)'!S32)=0,"",('Inputs (2)'!X32)/('Inputs (2)'!S32)-1),"")</f>
        <v/>
      </c>
      <c r="Y228" s="32" t="str">
        <f>IFERROR(IF(('Inputs (2)'!W32)=0,"",('Inputs (2)'!Y32)/('Inputs (2)'!W32)-1),"")</f>
        <v/>
      </c>
      <c r="Z228" s="32" t="str">
        <f>IFERROR(IF(('Inputs (2)'!Y32)=0,"",('Inputs (2)'!Z32)/('Inputs (2)'!Y32)-1),"")</f>
        <v/>
      </c>
      <c r="AA228" s="32" t="str">
        <f>IFERROR(IF(('Inputs (2)'!Z32)=0,"",('Inputs (2)'!AA32)/('Inputs (2)'!Z32)-1),"")</f>
        <v/>
      </c>
      <c r="AB228" s="32" t="str">
        <f>IFERROR(IF(('Inputs (2)'!AA32)=0,"",('Inputs (2)'!AB32)/('Inputs (2)'!AA32)-1),"")</f>
        <v/>
      </c>
      <c r="AC228" s="34" t="str">
        <f>IFERROR(IF(('Inputs (2)'!X32)=0,"",('Inputs (2)'!AC32)/('Inputs (2)'!X32)-1),"")</f>
        <v/>
      </c>
      <c r="AD228" s="32" t="str">
        <f>IFERROR(IF(('Inputs (2)'!AB32)=0,"",('Inputs (2)'!AD32)/('Inputs (2)'!AB32)-1),"")</f>
        <v/>
      </c>
      <c r="AE228" s="32" t="str">
        <f>IFERROR(IF(('Inputs (2)'!AD32)=0,"",('Inputs (2)'!AE32)/('Inputs (2)'!AD32)-1),"")</f>
        <v/>
      </c>
      <c r="AF228" s="32" t="str">
        <f>IFERROR(IF(('Inputs (2)'!AE32)=0,"",('Inputs (2)'!AF32)/('Inputs (2)'!AE32)-1),"")</f>
        <v/>
      </c>
      <c r="AG228" s="32" t="str">
        <f>IFERROR(IF(('Inputs (2)'!AF32)=0,"",('Inputs (2)'!AG32)/('Inputs (2)'!AF32)-1),"")</f>
        <v/>
      </c>
      <c r="AH228" s="34" t="str">
        <f>IFERROR(IF(('Inputs (2)'!AC32)=0,"",('Inputs (2)'!AH32)/('Inputs (2)'!AC32)-1),"")</f>
        <v/>
      </c>
      <c r="AI228" s="32" t="str">
        <f>IFERROR(IF(('Inputs (2)'!AG32)=0,"",('Inputs (2)'!AI32)/('Inputs (2)'!AG32)-1),"")</f>
        <v/>
      </c>
      <c r="AJ228" s="32" t="str">
        <f>IFERROR(IF(('Inputs (2)'!AI32)=0,"",('Inputs (2)'!AJ32)/('Inputs (2)'!AI32)-1),"")</f>
        <v/>
      </c>
      <c r="AK228" s="32" t="str">
        <f>IFERROR(IF(('Inputs (2)'!AJ32)=0,"",('Inputs (2)'!AK32)/('Inputs (2)'!AJ32)-1),"")</f>
        <v/>
      </c>
      <c r="AL228" s="32" t="str">
        <f>IFERROR(IF(('Inputs (2)'!AK32)=0,"",('Inputs (2)'!AL32)/('Inputs (2)'!AK32)-1),"")</f>
        <v/>
      </c>
      <c r="AM228" s="34" t="str">
        <f>IFERROR(IF(('Inputs (2)'!AH32)=0,"",('Inputs (2)'!AM32)/('Inputs (2)'!AH32)-1),"")</f>
        <v/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spans="2:61" hidden="1" outlineLevel="1" x14ac:dyDescent="0.25">
      <c r="C229" s="30" t="s">
        <v>394</v>
      </c>
      <c r="D229" s="12" t="s">
        <v>395</v>
      </c>
      <c r="E229" s="31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 t="str">
        <f>IFERROR(IF(('Inputs (2)'!G42)=0,"",('Inputs (2)'!H42)/('Inputs (2)'!G42)-1),"")</f>
        <v/>
      </c>
      <c r="I229" s="33"/>
      <c r="J229" s="32" t="str">
        <f>IFERROR(IF(('Inputs (2)'!H42)=0,"",('Inputs (2)'!J42)/('Inputs (2)'!H42)-1),"")</f>
        <v/>
      </c>
      <c r="K229" s="32" t="str">
        <f>IFERROR(IF(('Inputs (2)'!J42)=0,"",('Inputs (2)'!K42)/('Inputs (2)'!J42)-1),"")</f>
        <v/>
      </c>
      <c r="L229" s="32" t="str">
        <f>IFERROR(IF(('Inputs (2)'!K42)=0,"",('Inputs (2)'!L42)/('Inputs (2)'!K42)-1),"")</f>
        <v/>
      </c>
      <c r="M229" s="32" t="str">
        <f>IFERROR(IF(('Inputs (2)'!L42)=0,"",('Inputs (2)'!M42)/('Inputs (2)'!L42)-1),"")</f>
        <v/>
      </c>
      <c r="N229" s="34" t="str">
        <f>IFERROR(IF(('Inputs (2)'!I42)=0,"",('Inputs (2)'!N42)/('Inputs (2)'!I42)-1),"")</f>
        <v/>
      </c>
      <c r="O229" s="32" t="str">
        <f>IFERROR(IF(('Inputs (2)'!M42)=0,"",('Inputs (2)'!O42)/('Inputs (2)'!M42)-1),"")</f>
        <v/>
      </c>
      <c r="P229" s="32" t="str">
        <f>IFERROR(IF(('Inputs (2)'!O42)=0,"",('Inputs (2)'!P42)/('Inputs (2)'!O42)-1),"")</f>
        <v/>
      </c>
      <c r="Q229" s="32" t="str">
        <f>IFERROR(IF(('Inputs (2)'!P42)=0,"",('Inputs (2)'!Q42)/('Inputs (2)'!P42)-1),"")</f>
        <v/>
      </c>
      <c r="R229" s="32" t="str">
        <f>IFERROR(IF(('Inputs (2)'!Q42)=0,"",('Inputs (2)'!R42)/('Inputs (2)'!Q42)-1),"")</f>
        <v/>
      </c>
      <c r="S229" s="34" t="str">
        <f>IFERROR(IF(('Inputs (2)'!N42)=0,"",('Inputs (2)'!S42)/('Inputs (2)'!N42)-1),"")</f>
        <v/>
      </c>
      <c r="T229" s="32" t="str">
        <f>IFERROR(IF(('Inputs (2)'!R42)=0,"",('Inputs (2)'!T42)/('Inputs (2)'!R42)-1),"")</f>
        <v/>
      </c>
      <c r="U229" s="32" t="str">
        <f>IFERROR(IF(('Inputs (2)'!T42)=0,"",('Inputs (2)'!U42)/('Inputs (2)'!T42)-1),"")</f>
        <v/>
      </c>
      <c r="V229" s="32" t="str">
        <f>IFERROR(IF(('Inputs (2)'!U42)=0,"",('Inputs (2)'!V42)/('Inputs (2)'!U42)-1),"")</f>
        <v/>
      </c>
      <c r="W229" s="32" t="str">
        <f>IFERROR(IF(('Inputs (2)'!V42)=0,"",('Inputs (2)'!W42)/('Inputs (2)'!V42)-1),"")</f>
        <v/>
      </c>
      <c r="X229" s="34" t="str">
        <f>IFERROR(IF(('Inputs (2)'!S42)=0,"",('Inputs (2)'!X42)/('Inputs (2)'!S42)-1),"")</f>
        <v/>
      </c>
      <c r="Y229" s="32" t="str">
        <f>IFERROR(IF(('Inputs (2)'!W42)=0,"",('Inputs (2)'!Y42)/('Inputs (2)'!W42)-1),"")</f>
        <v/>
      </c>
      <c r="Z229" s="32" t="str">
        <f>IFERROR(IF(('Inputs (2)'!Y42)=0,"",('Inputs (2)'!Z42)/('Inputs (2)'!Y42)-1),"")</f>
        <v/>
      </c>
      <c r="AA229" s="32" t="str">
        <f>IFERROR(IF(('Inputs (2)'!Z42)=0,"",('Inputs (2)'!AA42)/('Inputs (2)'!Z42)-1),"")</f>
        <v/>
      </c>
      <c r="AB229" s="32" t="str">
        <f>IFERROR(IF(('Inputs (2)'!AA42)=0,"",('Inputs (2)'!AB42)/('Inputs (2)'!AA42)-1),"")</f>
        <v/>
      </c>
      <c r="AC229" s="34" t="str">
        <f>IFERROR(IF(('Inputs (2)'!X42)=0,"",('Inputs (2)'!AC42)/('Inputs (2)'!X42)-1),"")</f>
        <v/>
      </c>
      <c r="AD229" s="32" t="str">
        <f>IFERROR(IF(('Inputs (2)'!AB42)=0,"",('Inputs (2)'!AD42)/('Inputs (2)'!AB42)-1),"")</f>
        <v/>
      </c>
      <c r="AE229" s="32" t="str">
        <f>IFERROR(IF(('Inputs (2)'!AD42)=0,"",('Inputs (2)'!AE42)/('Inputs (2)'!AD42)-1),"")</f>
        <v/>
      </c>
      <c r="AF229" s="32" t="str">
        <f>IFERROR(IF(('Inputs (2)'!AE42)=0,"",('Inputs (2)'!AF42)/('Inputs (2)'!AE42)-1),"")</f>
        <v/>
      </c>
      <c r="AG229" s="32" t="str">
        <f>IFERROR(IF(('Inputs (2)'!AF42)=0,"",('Inputs (2)'!AG42)/('Inputs (2)'!AF42)-1),"")</f>
        <v/>
      </c>
      <c r="AH229" s="34" t="str">
        <f>IFERROR(IF(('Inputs (2)'!AC42)=0,"",('Inputs (2)'!AH42)/('Inputs (2)'!AC42)-1),"")</f>
        <v/>
      </c>
      <c r="AI229" s="32" t="str">
        <f>IFERROR(IF(('Inputs (2)'!AG42)=0,"",('Inputs (2)'!AI42)/('Inputs (2)'!AG42)-1),"")</f>
        <v/>
      </c>
      <c r="AJ229" s="32" t="str">
        <f>IFERROR(IF(('Inputs (2)'!AI42)=0,"",('Inputs (2)'!AJ42)/('Inputs (2)'!AI42)-1),"")</f>
        <v/>
      </c>
      <c r="AK229" s="32" t="str">
        <f>IFERROR(IF(('Inputs (2)'!AJ42)=0,"",('Inputs (2)'!AK42)/('Inputs (2)'!AJ42)-1),"")</f>
        <v/>
      </c>
      <c r="AL229" s="32" t="str">
        <f>IFERROR(IF(('Inputs (2)'!AK42)=0,"",('Inputs (2)'!AL42)/('Inputs (2)'!AK42)-1),"")</f>
        <v/>
      </c>
      <c r="AM229" s="34" t="str">
        <f>IFERROR(IF(('Inputs (2)'!AH42)=0,"",('Inputs (2)'!AM42)/('Inputs (2)'!AH42)-1),"")</f>
        <v/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spans="2:61" hidden="1" outlineLevel="1" x14ac:dyDescent="0.25">
      <c r="C230" s="30" t="s">
        <v>396</v>
      </c>
      <c r="D230" s="12" t="s">
        <v>397</v>
      </c>
      <c r="E230" s="31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 t="str">
        <f>IFERROR(IF(('Inputs (2)'!AB47)=0,"",('Inputs (2)'!AD47)/('Inputs (2)'!AB47)-1),"")</f>
        <v/>
      </c>
      <c r="AE230" s="32" t="str">
        <f>IFERROR(IF(('Inputs (2)'!AD47)=0,"",('Inputs (2)'!AE47)/('Inputs (2)'!AD47)-1),"")</f>
        <v/>
      </c>
      <c r="AF230" s="32" t="str">
        <f>IFERROR(IF(('Inputs (2)'!AE47)=0,"",('Inputs (2)'!AF47)/('Inputs (2)'!AE47)-1),"")</f>
        <v/>
      </c>
      <c r="AG230" s="32" t="str">
        <f>IFERROR(IF(('Inputs (2)'!AF47)=0,"",('Inputs (2)'!AG47)/('Inputs (2)'!AF47)-1),"")</f>
        <v/>
      </c>
      <c r="AH230" s="34" t="str">
        <f>IFERROR(IF(('Inputs (2)'!AC47)=0,"",('Inputs (2)'!AH47)/('Inputs (2)'!AC47)-1),"")</f>
        <v/>
      </c>
      <c r="AI230" s="32" t="str">
        <f>IFERROR(IF(('Inputs (2)'!AG47)=0,"",('Inputs (2)'!AI47)/('Inputs (2)'!AG47)-1),"")</f>
        <v/>
      </c>
      <c r="AJ230" s="32" t="str">
        <f>IFERROR(IF(('Inputs (2)'!AI47)=0,"",('Inputs (2)'!AJ47)/('Inputs (2)'!AI47)-1),"")</f>
        <v/>
      </c>
      <c r="AK230" s="32" t="str">
        <f>IFERROR(IF(('Inputs (2)'!AJ47)=0,"",('Inputs (2)'!AK47)/('Inputs (2)'!AJ47)-1),"")</f>
        <v/>
      </c>
      <c r="AL230" s="32" t="str">
        <f>IFERROR(IF(('Inputs (2)'!AK47)=0,"",('Inputs (2)'!AL47)/('Inputs (2)'!AK47)-1),"")</f>
        <v/>
      </c>
      <c r="AM230" s="34" t="str">
        <f>IFERROR(IF(('Inputs (2)'!AH47)=0,"",('Inputs (2)'!AM47)/('Inputs (2)'!AH47)-1),"")</f>
        <v/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spans="2:61" hidden="1" outlineLevel="1" x14ac:dyDescent="0.25">
      <c r="C231" s="30" t="s">
        <v>398</v>
      </c>
      <c r="D231" s="12" t="s">
        <v>399</v>
      </c>
      <c r="E231" s="32" t="str">
        <f>IFERROR(IF(OR(ABS(('Inputs (2)'!E32+'Inputs (2)'!E38+'Inputs (2)'!E42+'Inputs (2)'!E47))=0,('Inputs (2)'!E75)=0),"",ABS('Inputs (2)'!E75)*4/ABS(('Inputs (2)'!E32+'Inputs (2)'!E38+'Inputs (2)'!E42+'Inputs (2)'!E47))),"")</f>
        <v/>
      </c>
      <c r="F231" s="32" t="str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/>
      </c>
      <c r="H231" s="32" t="str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/>
      </c>
      <c r="I231" s="34" t="str">
        <f>IFERROR(IF(OR(ABS(('Inputs (2)'!I32+'Inputs (2)'!I38+'Inputs (2)'!I42+'Inputs (2)'!I47))=0,('Inputs (2)'!I75)=0),"",ABS('Inputs (2)'!I75)/ABS(('Inputs (2)'!I32+'Inputs (2)'!I38+'Inputs (2)'!I42+'Inputs (2)'!I47))),"")</f>
        <v/>
      </c>
      <c r="J231" s="32" t="str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/>
      </c>
      <c r="K231" s="32" t="str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/>
      </c>
      <c r="L231" s="32" t="str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/>
      </c>
      <c r="M231" s="32" t="str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/>
      </c>
      <c r="N231" s="34" t="str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/>
      </c>
      <c r="O231" s="32" t="str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/>
      </c>
      <c r="P231" s="32" t="str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/>
      </c>
      <c r="Q231" s="32" t="str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/>
      </c>
      <c r="R231" s="32" t="str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/>
      </c>
      <c r="S231" s="34" t="str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/>
      </c>
      <c r="T231" s="32" t="str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/>
      </c>
      <c r="U231" s="32" t="str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/>
      </c>
      <c r="V231" s="32" t="str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/>
      </c>
      <c r="W231" s="32" t="str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/>
      </c>
      <c r="X231" s="34" t="str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/>
      </c>
      <c r="Y231" s="32" t="str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/>
      </c>
      <c r="Z231" s="32" t="str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/>
      </c>
      <c r="AA231" s="32" t="str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/>
      </c>
      <c r="AB231" s="32" t="str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/>
      </c>
      <c r="AC231" s="34" t="str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/>
      </c>
      <c r="AD231" s="32" t="str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/>
      </c>
      <c r="AE231" s="32" t="str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/>
      </c>
      <c r="AF231" s="32" t="str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/>
      </c>
      <c r="AG231" s="32" t="str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/>
      </c>
      <c r="AH231" s="34" t="str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/>
      </c>
      <c r="AI231" s="32" t="str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/>
      </c>
      <c r="AJ231" s="32" t="str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/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 t="str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/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spans="2:61" hidden="1" outlineLevel="1" x14ac:dyDescent="0.25">
      <c r="C232" s="30" t="s">
        <v>400</v>
      </c>
      <c r="D232" s="12" t="s">
        <v>401</v>
      </c>
      <c r="E232" s="31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 t="str">
        <f>IFERROR(IF(('Inputs (2)'!G23)=0,"",('Inputs (2)'!H23)/('Inputs (2)'!G23)-1),"")</f>
        <v/>
      </c>
      <c r="I232" s="33"/>
      <c r="J232" s="32" t="str">
        <f>IFERROR(IF(('Inputs (2)'!H23)=0,"",('Inputs (2)'!J23)/('Inputs (2)'!H23)-1),"")</f>
        <v/>
      </c>
      <c r="K232" s="32" t="str">
        <f>IFERROR(IF(('Inputs (2)'!J23)=0,"",('Inputs (2)'!K23)/('Inputs (2)'!J23)-1),"")</f>
        <v/>
      </c>
      <c r="L232" s="32" t="str">
        <f>IFERROR(IF(('Inputs (2)'!K23)=0,"",('Inputs (2)'!L23)/('Inputs (2)'!K23)-1),"")</f>
        <v/>
      </c>
      <c r="M232" s="32" t="str">
        <f>IFERROR(IF(('Inputs (2)'!L23)=0,"",('Inputs (2)'!M23)/('Inputs (2)'!L23)-1),"")</f>
        <v/>
      </c>
      <c r="N232" s="34" t="str">
        <f>IFERROR(IF(('Inputs (2)'!I23)=0,"",('Inputs (2)'!N23)/('Inputs (2)'!I23)-1),"")</f>
        <v/>
      </c>
      <c r="O232" s="32" t="str">
        <f>IFERROR(IF(('Inputs (2)'!M23)=0,"",('Inputs (2)'!O23)/('Inputs (2)'!M23)-1),"")</f>
        <v/>
      </c>
      <c r="P232" s="32" t="str">
        <f>IFERROR(IF(('Inputs (2)'!O23)=0,"",('Inputs (2)'!P23)/('Inputs (2)'!O23)-1),"")</f>
        <v/>
      </c>
      <c r="Q232" s="32" t="str">
        <f>IFERROR(IF(('Inputs (2)'!P23)=0,"",('Inputs (2)'!Q23)/('Inputs (2)'!P23)-1),"")</f>
        <v/>
      </c>
      <c r="R232" s="32" t="str">
        <f>IFERROR(IF(('Inputs (2)'!Q23)=0,"",('Inputs (2)'!R23)/('Inputs (2)'!Q23)-1),"")</f>
        <v/>
      </c>
      <c r="S232" s="34" t="str">
        <f>IFERROR(IF(('Inputs (2)'!N23)=0,"",('Inputs (2)'!S23)/('Inputs (2)'!N23)-1),"")</f>
        <v/>
      </c>
      <c r="T232" s="32" t="str">
        <f>IFERROR(IF(('Inputs (2)'!R23)=0,"",('Inputs (2)'!T23)/('Inputs (2)'!R23)-1),"")</f>
        <v/>
      </c>
      <c r="U232" s="32" t="str">
        <f>IFERROR(IF(('Inputs (2)'!T23)=0,"",('Inputs (2)'!U23)/('Inputs (2)'!T23)-1),"")</f>
        <v/>
      </c>
      <c r="V232" s="32" t="str">
        <f>IFERROR(IF(('Inputs (2)'!U23)=0,"",('Inputs (2)'!V23)/('Inputs (2)'!U23)-1),"")</f>
        <v/>
      </c>
      <c r="W232" s="32" t="str">
        <f>IFERROR(IF(('Inputs (2)'!V23)=0,"",('Inputs (2)'!W23)/('Inputs (2)'!V23)-1),"")</f>
        <v/>
      </c>
      <c r="X232" s="34" t="str">
        <f>IFERROR(IF(('Inputs (2)'!S23)=0,"",('Inputs (2)'!X23)/('Inputs (2)'!S23)-1),"")</f>
        <v/>
      </c>
      <c r="Y232" s="32" t="str">
        <f>IFERROR(IF(('Inputs (2)'!W23)=0,"",('Inputs (2)'!Y23)/('Inputs (2)'!W23)-1),"")</f>
        <v/>
      </c>
      <c r="Z232" s="32" t="str">
        <f>IFERROR(IF(('Inputs (2)'!Y23)=0,"",('Inputs (2)'!Z23)/('Inputs (2)'!Y23)-1),"")</f>
        <v/>
      </c>
      <c r="AA232" s="32" t="str">
        <f>IFERROR(IF(('Inputs (2)'!Z23)=0,"",('Inputs (2)'!AA23)/('Inputs (2)'!Z23)-1),"")</f>
        <v/>
      </c>
      <c r="AB232" s="32" t="str">
        <f>IFERROR(IF(('Inputs (2)'!AA23)=0,"",('Inputs (2)'!AB23)/('Inputs (2)'!AA23)-1),"")</f>
        <v/>
      </c>
      <c r="AC232" s="34" t="str">
        <f>IFERROR(IF(('Inputs (2)'!X23)=0,"",('Inputs (2)'!AC23)/('Inputs (2)'!X23)-1),"")</f>
        <v/>
      </c>
      <c r="AD232" s="32" t="str">
        <f>IFERROR(IF(('Inputs (2)'!AB23)=0,"",('Inputs (2)'!AD23)/('Inputs (2)'!AB23)-1),"")</f>
        <v/>
      </c>
      <c r="AE232" s="32" t="str">
        <f>IFERROR(IF(('Inputs (2)'!AD23)=0,"",('Inputs (2)'!AE23)/('Inputs (2)'!AD23)-1),"")</f>
        <v/>
      </c>
      <c r="AF232" s="32" t="str">
        <f>IFERROR(IF(('Inputs (2)'!AE23)=0,"",('Inputs (2)'!AF23)/('Inputs (2)'!AE23)-1),"")</f>
        <v/>
      </c>
      <c r="AG232" s="32" t="str">
        <f>IFERROR(IF(('Inputs (2)'!AF23)=0,"",('Inputs (2)'!AG23)/('Inputs (2)'!AF23)-1),"")</f>
        <v/>
      </c>
      <c r="AH232" s="34" t="str">
        <f>IFERROR(IF(('Inputs (2)'!AC23)=0,"",('Inputs (2)'!AH23)/('Inputs (2)'!AC23)-1),"")</f>
        <v/>
      </c>
      <c r="AI232" s="32" t="str">
        <f>IFERROR(IF(('Inputs (2)'!AG23)=0,"",('Inputs (2)'!AI23)/('Inputs (2)'!AG23)-1),"")</f>
        <v/>
      </c>
      <c r="AJ232" s="32" t="str">
        <f>IFERROR(IF(('Inputs (2)'!AI23)=0,"",('Inputs (2)'!AJ23)/('Inputs (2)'!AI23)-1),"")</f>
        <v/>
      </c>
      <c r="AK232" s="32" t="str">
        <f>IFERROR(IF(('Inputs (2)'!AJ23)=0,"",('Inputs (2)'!AK23)/('Inputs (2)'!AJ23)-1),"")</f>
        <v/>
      </c>
      <c r="AL232" s="32" t="str">
        <f>IFERROR(IF(('Inputs (2)'!AK23)=0,"",('Inputs (2)'!AL23)/('Inputs (2)'!AK23)-1),"")</f>
        <v/>
      </c>
      <c r="AM232" s="34" t="str">
        <f>IFERROR(IF(('Inputs (2)'!AH23)=0,"",('Inputs (2)'!AM23)/('Inputs (2)'!AH23)-1),"")</f>
        <v/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spans="2:61" hidden="1" outlineLevel="1" x14ac:dyDescent="0.25">
      <c r="C233" s="30" t="s">
        <v>402</v>
      </c>
      <c r="D233" s="12" t="s">
        <v>403</v>
      </c>
      <c r="E233" s="31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 t="str">
        <f>IFERROR(IF(('Inputs (2)'!G56)=0,"",('Inputs (2)'!H56)/('Inputs (2)'!G56)-1),"")</f>
        <v/>
      </c>
      <c r="I233" s="33"/>
      <c r="J233" s="32" t="str">
        <f>IFERROR(IF(('Inputs (2)'!H56)=0,"",('Inputs (2)'!J56)/('Inputs (2)'!H56)-1),"")</f>
        <v/>
      </c>
      <c r="K233" s="32" t="str">
        <f>IFERROR(IF(('Inputs (2)'!J56)=0,"",('Inputs (2)'!K56)/('Inputs (2)'!J56)-1),"")</f>
        <v/>
      </c>
      <c r="L233" s="32" t="str">
        <f>IFERROR(IF(('Inputs (2)'!K56)=0,"",('Inputs (2)'!L56)/('Inputs (2)'!K56)-1),"")</f>
        <v/>
      </c>
      <c r="M233" s="32" t="str">
        <f>IFERROR(IF(('Inputs (2)'!L56)=0,"",('Inputs (2)'!M56)/('Inputs (2)'!L56)-1),"")</f>
        <v/>
      </c>
      <c r="N233" s="34" t="str">
        <f>IFERROR(IF(('Inputs (2)'!I56)=0,"",('Inputs (2)'!N56)/('Inputs (2)'!I56)-1),"")</f>
        <v/>
      </c>
      <c r="O233" s="32" t="str">
        <f>IFERROR(IF(('Inputs (2)'!M56)=0,"",('Inputs (2)'!O56)/('Inputs (2)'!M56)-1),"")</f>
        <v/>
      </c>
      <c r="P233" s="32" t="str">
        <f>IFERROR(IF(('Inputs (2)'!O56)=0,"",('Inputs (2)'!P56)/('Inputs (2)'!O56)-1),"")</f>
        <v/>
      </c>
      <c r="Q233" s="32" t="str">
        <f>IFERROR(IF(('Inputs (2)'!P56)=0,"",('Inputs (2)'!Q56)/('Inputs (2)'!P56)-1),"")</f>
        <v/>
      </c>
      <c r="R233" s="32" t="str">
        <f>IFERROR(IF(('Inputs (2)'!Q56)=0,"",('Inputs (2)'!R56)/('Inputs (2)'!Q56)-1),"")</f>
        <v/>
      </c>
      <c r="S233" s="34" t="str">
        <f>IFERROR(IF(('Inputs (2)'!N56)=0,"",('Inputs (2)'!S56)/('Inputs (2)'!N56)-1),"")</f>
        <v/>
      </c>
      <c r="T233" s="32" t="str">
        <f>IFERROR(IF(('Inputs (2)'!R56)=0,"",('Inputs (2)'!T56)/('Inputs (2)'!R56)-1),"")</f>
        <v/>
      </c>
      <c r="U233" s="32" t="str">
        <f>IFERROR(IF(('Inputs (2)'!T56)=0,"",('Inputs (2)'!U56)/('Inputs (2)'!T56)-1),"")</f>
        <v/>
      </c>
      <c r="V233" s="32" t="str">
        <f>IFERROR(IF(('Inputs (2)'!U56)=0,"",('Inputs (2)'!V56)/('Inputs (2)'!U56)-1),"")</f>
        <v/>
      </c>
      <c r="W233" s="32" t="str">
        <f>IFERROR(IF(('Inputs (2)'!V56)=0,"",('Inputs (2)'!W56)/('Inputs (2)'!V56)-1),"")</f>
        <v/>
      </c>
      <c r="X233" s="34" t="str">
        <f>IFERROR(IF(('Inputs (2)'!S56)=0,"",('Inputs (2)'!X56)/('Inputs (2)'!S56)-1),"")</f>
        <v/>
      </c>
      <c r="Y233" s="32" t="str">
        <f>IFERROR(IF(('Inputs (2)'!W56)=0,"",('Inputs (2)'!Y56)/('Inputs (2)'!W56)-1),"")</f>
        <v/>
      </c>
      <c r="Z233" s="32" t="str">
        <f>IFERROR(IF(('Inputs (2)'!Y56)=0,"",('Inputs (2)'!Z56)/('Inputs (2)'!Y56)-1),"")</f>
        <v/>
      </c>
      <c r="AA233" s="32" t="str">
        <f>IFERROR(IF(('Inputs (2)'!Z56)=0,"",('Inputs (2)'!AA56)/('Inputs (2)'!Z56)-1),"")</f>
        <v/>
      </c>
      <c r="AB233" s="32" t="str">
        <f>IFERROR(IF(('Inputs (2)'!AA56)=0,"",('Inputs (2)'!AB56)/('Inputs (2)'!AA56)-1),"")</f>
        <v/>
      </c>
      <c r="AC233" s="34" t="str">
        <f>IFERROR(IF(('Inputs (2)'!X56)=0,"",('Inputs (2)'!AC56)/('Inputs (2)'!X56)-1),"")</f>
        <v/>
      </c>
      <c r="AD233" s="32" t="str">
        <f>IFERROR(IF(('Inputs (2)'!AB56)=0,"",('Inputs (2)'!AD56)/('Inputs (2)'!AB56)-1),"")</f>
        <v/>
      </c>
      <c r="AE233" s="32" t="str">
        <f>IFERROR(IF(('Inputs (2)'!AD56)=0,"",('Inputs (2)'!AE56)/('Inputs (2)'!AD56)-1),"")</f>
        <v/>
      </c>
      <c r="AF233" s="32" t="str">
        <f>IFERROR(IF(('Inputs (2)'!AE56)=0,"",('Inputs (2)'!AF56)/('Inputs (2)'!AE56)-1),"")</f>
        <v/>
      </c>
      <c r="AG233" s="32" t="str">
        <f>IFERROR(IF(('Inputs (2)'!AF56)=0,"",('Inputs (2)'!AG56)/('Inputs (2)'!AF56)-1),"")</f>
        <v/>
      </c>
      <c r="AH233" s="34" t="str">
        <f>IFERROR(IF(('Inputs (2)'!AC56)=0,"",('Inputs (2)'!AH56)/('Inputs (2)'!AC56)-1),"")</f>
        <v/>
      </c>
      <c r="AI233" s="32" t="str">
        <f>IFERROR(IF(('Inputs (2)'!AG56)=0,"",('Inputs (2)'!AI56)/('Inputs (2)'!AG56)-1),"")</f>
        <v/>
      </c>
      <c r="AJ233" s="32" t="str">
        <f>IFERROR(IF(('Inputs (2)'!AI56)=0,"",('Inputs (2)'!AJ56)/('Inputs (2)'!AI56)-1),"")</f>
        <v/>
      </c>
      <c r="AK233" s="32" t="str">
        <f>IFERROR(IF(('Inputs (2)'!AJ56)=0,"",('Inputs (2)'!AK56)/('Inputs (2)'!AJ56)-1),"")</f>
        <v/>
      </c>
      <c r="AL233" s="32" t="str">
        <f>IFERROR(IF(('Inputs (2)'!AK56)=0,"",('Inputs (2)'!AL56)/('Inputs (2)'!AK56)-1),"")</f>
        <v/>
      </c>
      <c r="AM233" s="34" t="str">
        <f>IFERROR(IF(('Inputs (2)'!AH56)=0,"",('Inputs (2)'!AM56)/('Inputs (2)'!AH56)-1),"")</f>
        <v/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spans="2:61" hidden="1" outlineLevel="1" x14ac:dyDescent="0.25">
      <c r="B234" s="29"/>
      <c r="C234" s="29" t="s">
        <v>404</v>
      </c>
      <c r="D234" s="29" t="s">
        <v>405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</row>
    <row r="235" spans="2:61" hidden="1" outlineLevel="1" x14ac:dyDescent="0.25">
      <c r="C235" s="30" t="s">
        <v>406</v>
      </c>
      <c r="D235" s="12" t="s">
        <v>407</v>
      </c>
      <c r="E235" s="31"/>
      <c r="F235" s="31"/>
      <c r="G235" s="31"/>
      <c r="H235" s="31"/>
      <c r="I235" s="33"/>
      <c r="J235" s="32" t="str">
        <f>IFERROR(IF(('Inputs (2)'!E86)=0,"",('Inputs (2)'!J86)/('Inputs (2)'!E86)-1),"")</f>
        <v/>
      </c>
      <c r="K235" s="32" t="str">
        <f>IFERROR(IF(('Inputs (2)'!F86)=0,"",('Inputs (2)'!K86)/('Inputs (2)'!F86)-1),"")</f>
        <v/>
      </c>
      <c r="L235" s="32" t="str">
        <f>IFERROR(IF(('Inputs (2)'!G86)=0,"",('Inputs (2)'!L86)/('Inputs (2)'!G86)-1),"")</f>
        <v/>
      </c>
      <c r="M235" s="32" t="str">
        <f>IFERROR(IF(('Inputs (2)'!H86)=0,"",('Inputs (2)'!M86)/('Inputs (2)'!H86)-1),"")</f>
        <v/>
      </c>
      <c r="N235" s="34" t="str">
        <f>IFERROR(IF(('Inputs (2)'!I86)=0,"",('Inputs (2)'!N86)/('Inputs (2)'!I86)-1),"")</f>
        <v/>
      </c>
      <c r="O235" s="32" t="str">
        <f>IFERROR(IF(('Inputs (2)'!J86)=0,"",('Inputs (2)'!O86)/('Inputs (2)'!J86)-1),"")</f>
        <v/>
      </c>
      <c r="P235" s="32" t="str">
        <f>IFERROR(IF(('Inputs (2)'!K86)=0,"",('Inputs (2)'!P86)/('Inputs (2)'!K86)-1),"")</f>
        <v/>
      </c>
      <c r="Q235" s="32" t="str">
        <f>IFERROR(IF(('Inputs (2)'!L86)=0,"",('Inputs (2)'!Q86)/('Inputs (2)'!L86)-1),"")</f>
        <v/>
      </c>
      <c r="R235" s="32" t="str">
        <f>IFERROR(IF(('Inputs (2)'!M86)=0,"",('Inputs (2)'!R86)/('Inputs (2)'!M86)-1),"")</f>
        <v/>
      </c>
      <c r="S235" s="34" t="str">
        <f>IFERROR(IF(('Inputs (2)'!N86)=0,"",('Inputs (2)'!S86)/('Inputs (2)'!N86)-1),"")</f>
        <v/>
      </c>
      <c r="T235" s="32" t="str">
        <f>IFERROR(IF(('Inputs (2)'!O86)=0,"",('Inputs (2)'!T86)/('Inputs (2)'!O86)-1),"")</f>
        <v/>
      </c>
      <c r="U235" s="32" t="str">
        <f>IFERROR(IF(('Inputs (2)'!P86)=0,"",('Inputs (2)'!U86)/('Inputs (2)'!P86)-1),"")</f>
        <v/>
      </c>
      <c r="V235" s="32" t="str">
        <f>IFERROR(IF(('Inputs (2)'!Q86)=0,"",('Inputs (2)'!V86)/('Inputs (2)'!Q86)-1),"")</f>
        <v/>
      </c>
      <c r="W235" s="32" t="str">
        <f>IFERROR(IF(('Inputs (2)'!R86)=0,"",('Inputs (2)'!W86)/('Inputs (2)'!R86)-1),"")</f>
        <v/>
      </c>
      <c r="X235" s="34" t="str">
        <f>IFERROR(IF(('Inputs (2)'!S86)=0,"",('Inputs (2)'!X86)/('Inputs (2)'!S86)-1),"")</f>
        <v/>
      </c>
      <c r="Y235" s="32" t="str">
        <f>IFERROR(IF(('Inputs (2)'!T86)=0,"",('Inputs (2)'!Y86)/('Inputs (2)'!T86)-1),"")</f>
        <v/>
      </c>
      <c r="Z235" s="32" t="str">
        <f>IFERROR(IF(('Inputs (2)'!U86)=0,"",('Inputs (2)'!Z86)/('Inputs (2)'!U86)-1),"")</f>
        <v/>
      </c>
      <c r="AA235" s="32" t="str">
        <f>IFERROR(IF(('Inputs (2)'!V86)=0,"",('Inputs (2)'!AA86)/('Inputs (2)'!V86)-1),"")</f>
        <v/>
      </c>
      <c r="AB235" s="32" t="str">
        <f>IFERROR(IF(('Inputs (2)'!W86)=0,"",('Inputs (2)'!AB86)/('Inputs (2)'!W86)-1),"")</f>
        <v/>
      </c>
      <c r="AC235" s="34" t="str">
        <f>IFERROR(IF(('Inputs (2)'!X86)=0,"",('Inputs (2)'!AC86)/('Inputs (2)'!X86)-1),"")</f>
        <v/>
      </c>
      <c r="AD235" s="32" t="str">
        <f>IFERROR(IF(('Inputs (2)'!Y86)=0,"",('Inputs (2)'!AD86)/('Inputs (2)'!Y86)-1),"")</f>
        <v/>
      </c>
      <c r="AE235" s="32" t="str">
        <f>IFERROR(IF(('Inputs (2)'!Z86)=0,"",('Inputs (2)'!AE86)/('Inputs (2)'!Z86)-1),"")</f>
        <v/>
      </c>
      <c r="AF235" s="32" t="str">
        <f>IFERROR(IF(('Inputs (2)'!AA86)=0,"",('Inputs (2)'!AF86)/('Inputs (2)'!AA86)-1),"")</f>
        <v/>
      </c>
      <c r="AG235" s="32" t="str">
        <f>IFERROR(IF(('Inputs (2)'!AB86)=0,"",('Inputs (2)'!AG86)/('Inputs (2)'!AB86)-1),"")</f>
        <v/>
      </c>
      <c r="AH235" s="34" t="str">
        <f>IFERROR(IF(('Inputs (2)'!AC86)=0,"",('Inputs (2)'!AH86)/('Inputs (2)'!AC86)-1),"")</f>
        <v/>
      </c>
      <c r="AI235" s="32" t="str">
        <f>IFERROR(IF(('Inputs (2)'!AD86)=0,"",('Inputs (2)'!AI86)/('Inputs (2)'!AD86)-1),"")</f>
        <v/>
      </c>
      <c r="AJ235" s="32" t="str">
        <f>IFERROR(IF(('Inputs (2)'!AE86)=0,"",('Inputs (2)'!AJ86)/('Inputs (2)'!AE86)-1),"")</f>
        <v/>
      </c>
      <c r="AK235" s="32" t="str">
        <f>IFERROR(IF(('Inputs (2)'!AF86)=0,"",('Inputs (2)'!AK86)/('Inputs (2)'!AF86)-1),"")</f>
        <v/>
      </c>
      <c r="AL235" s="32" t="str">
        <f>IFERROR(IF(('Inputs (2)'!AG86)=0,"",('Inputs (2)'!AL86)/('Inputs (2)'!AG86)-1),"")</f>
        <v/>
      </c>
      <c r="AM235" s="34" t="str">
        <f>IFERROR(IF(('Inputs (2)'!AH86)=0,"",('Inputs (2)'!AM86)/('Inputs (2)'!AH86)-1),"")</f>
        <v/>
      </c>
      <c r="AN235" s="32" t="str">
        <f>IFERROR(IF(('Inputs (2)'!AI86)=0,"",('Inputs (2)'!AN86)/('Inputs (2)'!AI86)-1),"")</f>
        <v/>
      </c>
      <c r="AO235" s="32" t="str">
        <f>IFERROR(IF(('Inputs (2)'!AJ86)=0,"",('Inputs (2)'!AO86)/('Inputs (2)'!AJ86)-1),"")</f>
        <v/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 t="str">
        <f>IFERROR(IF(('Inputs (2)'!AM86)=0,"",('Inputs (2)'!AR86)/('Inputs (2)'!AM86)-1),"")</f>
        <v/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spans="2:61" hidden="1" outlineLevel="1" x14ac:dyDescent="0.25">
      <c r="C236" s="30" t="s">
        <v>408</v>
      </c>
      <c r="D236" s="12" t="s">
        <v>409</v>
      </c>
      <c r="E236" s="31"/>
      <c r="F236" s="31"/>
      <c r="G236" s="31"/>
      <c r="H236" s="31"/>
      <c r="I236" s="33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spans="2:61" hidden="1" outlineLevel="1" x14ac:dyDescent="0.25">
      <c r="C237" s="30" t="s">
        <v>410</v>
      </c>
      <c r="D237" s="12" t="s">
        <v>411</v>
      </c>
      <c r="E237" s="31"/>
      <c r="F237" s="31"/>
      <c r="G237" s="31"/>
      <c r="H237" s="31"/>
      <c r="I237" s="33"/>
      <c r="J237" s="32" t="str">
        <f>IFERROR(IF(('Inputs (2)'!E88)=0,"",('Inputs (2)'!J88)/('Inputs (2)'!E88)-1),"")</f>
        <v/>
      </c>
      <c r="K237" s="32" t="str">
        <f>IFERROR(IF(('Inputs (2)'!F88)=0,"",('Inputs (2)'!K88)/('Inputs (2)'!F88)-1),"")</f>
        <v/>
      </c>
      <c r="L237" s="32" t="str">
        <f>IFERROR(IF(('Inputs (2)'!G88)=0,"",('Inputs (2)'!L88)/('Inputs (2)'!G88)-1),"")</f>
        <v/>
      </c>
      <c r="M237" s="32" t="str">
        <f>IFERROR(IF(('Inputs (2)'!H88)=0,"",('Inputs (2)'!M88)/('Inputs (2)'!H88)-1),"")</f>
        <v/>
      </c>
      <c r="N237" s="34" t="str">
        <f>IFERROR(IF(('Inputs (2)'!I88)=0,"",('Inputs (2)'!N88)/('Inputs (2)'!I88)-1),"")</f>
        <v/>
      </c>
      <c r="O237" s="32" t="str">
        <f>IFERROR(IF(('Inputs (2)'!J88)=0,"",('Inputs (2)'!O88)/('Inputs (2)'!J88)-1),"")</f>
        <v/>
      </c>
      <c r="P237" s="32" t="str">
        <f>IFERROR(IF(('Inputs (2)'!K88)=0,"",('Inputs (2)'!P88)/('Inputs (2)'!K88)-1),"")</f>
        <v/>
      </c>
      <c r="Q237" s="32" t="str">
        <f>IFERROR(IF(('Inputs (2)'!L88)=0,"",('Inputs (2)'!Q88)/('Inputs (2)'!L88)-1),"")</f>
        <v/>
      </c>
      <c r="R237" s="32" t="str">
        <f>IFERROR(IF(('Inputs (2)'!M88)=0,"",('Inputs (2)'!R88)/('Inputs (2)'!M88)-1),"")</f>
        <v/>
      </c>
      <c r="S237" s="34" t="str">
        <f>IFERROR(IF(('Inputs (2)'!N88)=0,"",('Inputs (2)'!S88)/('Inputs (2)'!N88)-1),"")</f>
        <v/>
      </c>
      <c r="T237" s="32" t="str">
        <f>IFERROR(IF(('Inputs (2)'!O88)=0,"",('Inputs (2)'!T88)/('Inputs (2)'!O88)-1),"")</f>
        <v/>
      </c>
      <c r="U237" s="32" t="str">
        <f>IFERROR(IF(('Inputs (2)'!P88)=0,"",('Inputs (2)'!U88)/('Inputs (2)'!P88)-1),"")</f>
        <v/>
      </c>
      <c r="V237" s="32" t="str">
        <f>IFERROR(IF(('Inputs (2)'!Q88)=0,"",('Inputs (2)'!V88)/('Inputs (2)'!Q88)-1),"")</f>
        <v/>
      </c>
      <c r="W237" s="32" t="str">
        <f>IFERROR(IF(('Inputs (2)'!R88)=0,"",('Inputs (2)'!W88)/('Inputs (2)'!R88)-1),"")</f>
        <v/>
      </c>
      <c r="X237" s="34" t="str">
        <f>IFERROR(IF(('Inputs (2)'!S88)=0,"",('Inputs (2)'!X88)/('Inputs (2)'!S88)-1),"")</f>
        <v/>
      </c>
      <c r="Y237" s="32" t="str">
        <f>IFERROR(IF(('Inputs (2)'!T88)=0,"",('Inputs (2)'!Y88)/('Inputs (2)'!T88)-1),"")</f>
        <v/>
      </c>
      <c r="Z237" s="32" t="str">
        <f>IFERROR(IF(('Inputs (2)'!U88)=0,"",('Inputs (2)'!Z88)/('Inputs (2)'!U88)-1),"")</f>
        <v/>
      </c>
      <c r="AA237" s="32" t="str">
        <f>IFERROR(IF(('Inputs (2)'!V88)=0,"",('Inputs (2)'!AA88)/('Inputs (2)'!V88)-1),"")</f>
        <v/>
      </c>
      <c r="AB237" s="32" t="str">
        <f>IFERROR(IF(('Inputs (2)'!W88)=0,"",('Inputs (2)'!AB88)/('Inputs (2)'!W88)-1),"")</f>
        <v/>
      </c>
      <c r="AC237" s="34" t="str">
        <f>IFERROR(IF(('Inputs (2)'!X88)=0,"",('Inputs (2)'!AC88)/('Inputs (2)'!X88)-1),"")</f>
        <v/>
      </c>
      <c r="AD237" s="32" t="str">
        <f>IFERROR(IF(('Inputs (2)'!Y88)=0,"",('Inputs (2)'!AD88)/('Inputs (2)'!Y88)-1),"")</f>
        <v/>
      </c>
      <c r="AE237" s="32" t="str">
        <f>IFERROR(IF(('Inputs (2)'!Z88)=0,"",('Inputs (2)'!AE88)/('Inputs (2)'!Z88)-1),"")</f>
        <v/>
      </c>
      <c r="AF237" s="32" t="str">
        <f>IFERROR(IF(('Inputs (2)'!AA88)=0,"",('Inputs (2)'!AF88)/('Inputs (2)'!AA88)-1),"")</f>
        <v/>
      </c>
      <c r="AG237" s="32" t="str">
        <f>IFERROR(IF(('Inputs (2)'!AB88)=0,"",('Inputs (2)'!AG88)/('Inputs (2)'!AB88)-1),"")</f>
        <v/>
      </c>
      <c r="AH237" s="34" t="str">
        <f>IFERROR(IF(('Inputs (2)'!AC88)=0,"",('Inputs (2)'!AH88)/('Inputs (2)'!AC88)-1),"")</f>
        <v/>
      </c>
      <c r="AI237" s="32" t="str">
        <f>IFERROR(IF(('Inputs (2)'!AD88)=0,"",('Inputs (2)'!AI88)/('Inputs (2)'!AD88)-1),"")</f>
        <v/>
      </c>
      <c r="AJ237" s="32" t="str">
        <f>IFERROR(IF(('Inputs (2)'!AE88)=0,"",('Inputs (2)'!AJ88)/('Inputs (2)'!AE88)-1),"")</f>
        <v/>
      </c>
      <c r="AK237" s="32" t="str">
        <f>IFERROR(IF(('Inputs (2)'!AF88)=0,"",('Inputs (2)'!AK88)/('Inputs (2)'!AF88)-1),"")</f>
        <v/>
      </c>
      <c r="AL237" s="32" t="str">
        <f>IFERROR(IF(('Inputs (2)'!AG88)=0,"",('Inputs (2)'!AL88)/('Inputs (2)'!AG88)-1),"")</f>
        <v/>
      </c>
      <c r="AM237" s="34" t="str">
        <f>IFERROR(IF(('Inputs (2)'!AH88)=0,"",('Inputs (2)'!AM88)/('Inputs (2)'!AH88)-1),"")</f>
        <v/>
      </c>
      <c r="AN237" s="32" t="str">
        <f>IFERROR(IF(('Inputs (2)'!AI88)=0,"",('Inputs (2)'!AN88)/('Inputs (2)'!AI88)-1),"")</f>
        <v/>
      </c>
      <c r="AO237" s="32" t="str">
        <f>IFERROR(IF(('Inputs (2)'!AJ88)=0,"",('Inputs (2)'!AO88)/('Inputs (2)'!AJ88)-1),"")</f>
        <v/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 t="str">
        <f>IFERROR(IF(('Inputs (2)'!AM88)=0,"",('Inputs (2)'!AR88)/('Inputs (2)'!AM88)-1),"")</f>
        <v/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spans="2:61" hidden="1" outlineLevel="1" x14ac:dyDescent="0.25">
      <c r="C238" s="30" t="s">
        <v>412</v>
      </c>
      <c r="D238" s="12" t="s">
        <v>413</v>
      </c>
      <c r="E238" s="31"/>
      <c r="F238" s="31"/>
      <c r="G238" s="31"/>
      <c r="H238" s="31"/>
      <c r="I238" s="33"/>
      <c r="J238" s="32" t="str">
        <f>IFERROR(IF(('Inputs (2)'!E89)=0,"",('Inputs (2)'!J89)/('Inputs (2)'!E89)-1),"")</f>
        <v/>
      </c>
      <c r="K238" s="32" t="str">
        <f>IFERROR(IF(('Inputs (2)'!F89)=0,"",('Inputs (2)'!K89)/('Inputs (2)'!F89)-1),"")</f>
        <v/>
      </c>
      <c r="L238" s="32" t="str">
        <f>IFERROR(IF(('Inputs (2)'!G89)=0,"",('Inputs (2)'!L89)/('Inputs (2)'!G89)-1),"")</f>
        <v/>
      </c>
      <c r="M238" s="32" t="str">
        <f>IFERROR(IF(('Inputs (2)'!H89)=0,"",('Inputs (2)'!M89)/('Inputs (2)'!H89)-1),"")</f>
        <v/>
      </c>
      <c r="N238" s="34" t="str">
        <f>IFERROR(IF(('Inputs (2)'!I89)=0,"",('Inputs (2)'!N89)/('Inputs (2)'!I89)-1),"")</f>
        <v/>
      </c>
      <c r="O238" s="32" t="str">
        <f>IFERROR(IF(('Inputs (2)'!J89)=0,"",('Inputs (2)'!O89)/('Inputs (2)'!J89)-1),"")</f>
        <v/>
      </c>
      <c r="P238" s="32" t="str">
        <f>IFERROR(IF(('Inputs (2)'!K89)=0,"",('Inputs (2)'!P89)/('Inputs (2)'!K89)-1),"")</f>
        <v/>
      </c>
      <c r="Q238" s="32" t="str">
        <f>IFERROR(IF(('Inputs (2)'!L89)=0,"",('Inputs (2)'!Q89)/('Inputs (2)'!L89)-1),"")</f>
        <v/>
      </c>
      <c r="R238" s="32" t="str">
        <f>IFERROR(IF(('Inputs (2)'!M89)=0,"",('Inputs (2)'!R89)/('Inputs (2)'!M89)-1),"")</f>
        <v/>
      </c>
      <c r="S238" s="34" t="str">
        <f>IFERROR(IF(('Inputs (2)'!N89)=0,"",('Inputs (2)'!S89)/('Inputs (2)'!N89)-1),"")</f>
        <v/>
      </c>
      <c r="T238" s="32" t="str">
        <f>IFERROR(IF(('Inputs (2)'!O89)=0,"",('Inputs (2)'!T89)/('Inputs (2)'!O89)-1),"")</f>
        <v/>
      </c>
      <c r="U238" s="32" t="str">
        <f>IFERROR(IF(('Inputs (2)'!P89)=0,"",('Inputs (2)'!U89)/('Inputs (2)'!P89)-1),"")</f>
        <v/>
      </c>
      <c r="V238" s="32" t="str">
        <f>IFERROR(IF(('Inputs (2)'!Q89)=0,"",('Inputs (2)'!V89)/('Inputs (2)'!Q89)-1),"")</f>
        <v/>
      </c>
      <c r="W238" s="32" t="str">
        <f>IFERROR(IF(('Inputs (2)'!R89)=0,"",('Inputs (2)'!W89)/('Inputs (2)'!R89)-1),"")</f>
        <v/>
      </c>
      <c r="X238" s="34" t="str">
        <f>IFERROR(IF(('Inputs (2)'!S89)=0,"",('Inputs (2)'!X89)/('Inputs (2)'!S89)-1),"")</f>
        <v/>
      </c>
      <c r="Y238" s="32" t="str">
        <f>IFERROR(IF(('Inputs (2)'!T89)=0,"",('Inputs (2)'!Y89)/('Inputs (2)'!T89)-1),"")</f>
        <v/>
      </c>
      <c r="Z238" s="32" t="str">
        <f>IFERROR(IF(('Inputs (2)'!U89)=0,"",('Inputs (2)'!Z89)/('Inputs (2)'!U89)-1),"")</f>
        <v/>
      </c>
      <c r="AA238" s="32" t="str">
        <f>IFERROR(IF(('Inputs (2)'!V89)=0,"",('Inputs (2)'!AA89)/('Inputs (2)'!V89)-1),"")</f>
        <v/>
      </c>
      <c r="AB238" s="32" t="str">
        <f>IFERROR(IF(('Inputs (2)'!W89)=0,"",('Inputs (2)'!AB89)/('Inputs (2)'!W89)-1),"")</f>
        <v/>
      </c>
      <c r="AC238" s="34" t="str">
        <f>IFERROR(IF(('Inputs (2)'!X89)=0,"",('Inputs (2)'!AC89)/('Inputs (2)'!X89)-1),"")</f>
        <v/>
      </c>
      <c r="AD238" s="32" t="str">
        <f>IFERROR(IF(('Inputs (2)'!Y89)=0,"",('Inputs (2)'!AD89)/('Inputs (2)'!Y89)-1),"")</f>
        <v/>
      </c>
      <c r="AE238" s="32" t="str">
        <f>IFERROR(IF(('Inputs (2)'!Z89)=0,"",('Inputs (2)'!AE89)/('Inputs (2)'!Z89)-1),"")</f>
        <v/>
      </c>
      <c r="AF238" s="32" t="str">
        <f>IFERROR(IF(('Inputs (2)'!AA89)=0,"",('Inputs (2)'!AF89)/('Inputs (2)'!AA89)-1),"")</f>
        <v/>
      </c>
      <c r="AG238" s="32" t="str">
        <f>IFERROR(IF(('Inputs (2)'!AB89)=0,"",('Inputs (2)'!AG89)/('Inputs (2)'!AB89)-1),"")</f>
        <v/>
      </c>
      <c r="AH238" s="34" t="str">
        <f>IFERROR(IF(('Inputs (2)'!AC89)=0,"",('Inputs (2)'!AH89)/('Inputs (2)'!AC89)-1),"")</f>
        <v/>
      </c>
      <c r="AI238" s="32" t="str">
        <f>IFERROR(IF(('Inputs (2)'!AD89)=0,"",('Inputs (2)'!AI89)/('Inputs (2)'!AD89)-1),"")</f>
        <v/>
      </c>
      <c r="AJ238" s="32" t="str">
        <f>IFERROR(IF(('Inputs (2)'!AE89)=0,"",('Inputs (2)'!AJ89)/('Inputs (2)'!AE89)-1),"")</f>
        <v/>
      </c>
      <c r="AK238" s="32" t="str">
        <f>IFERROR(IF(('Inputs (2)'!AF89)=0,"",('Inputs (2)'!AK89)/('Inputs (2)'!AF89)-1),"")</f>
        <v/>
      </c>
      <c r="AL238" s="32" t="str">
        <f>IFERROR(IF(('Inputs (2)'!AG89)=0,"",('Inputs (2)'!AL89)/('Inputs (2)'!AG89)-1),"")</f>
        <v/>
      </c>
      <c r="AM238" s="34" t="str">
        <f>IFERROR(IF(('Inputs (2)'!AH89)=0,"",('Inputs (2)'!AM89)/('Inputs (2)'!AH89)-1),"")</f>
        <v/>
      </c>
      <c r="AN238" s="32" t="str">
        <f>IFERROR(IF(('Inputs (2)'!AI89)=0,"",('Inputs (2)'!AN89)/('Inputs (2)'!AI89)-1),"")</f>
        <v/>
      </c>
      <c r="AO238" s="32" t="str">
        <f>IFERROR(IF(('Inputs (2)'!AJ89)=0,"",('Inputs (2)'!AO89)/('Inputs (2)'!AJ89)-1),"")</f>
        <v/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 t="str">
        <f>IFERROR(IF(('Inputs (2)'!AM89)=0,"",('Inputs (2)'!AR89)/('Inputs (2)'!AM89)-1),"")</f>
        <v/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spans="2:61" hidden="1" outlineLevel="1" x14ac:dyDescent="0.25">
      <c r="C239" s="30" t="s">
        <v>414</v>
      </c>
      <c r="D239" s="12" t="s">
        <v>415</v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spans="2:61" hidden="1" outlineLevel="1" x14ac:dyDescent="0.25">
      <c r="C240" s="30" t="s">
        <v>416</v>
      </c>
      <c r="D240" s="12" t="s">
        <v>417</v>
      </c>
      <c r="E240" s="32" t="str">
        <f>IFERROR(IF(OR(('Inputs (2)'!E80+'Inputs (2)'!E86+'Inputs (2)'!E87+'Inputs (2)'!E96)=0,('Inputs (2)'!E94)=0),"",-('Inputs (2)'!E94)/('Inputs (2)'!E80+'Inputs (2)'!E86+'Inputs (2)'!E87+'Inputs (2)'!E96)),"")</f>
        <v/>
      </c>
      <c r="F240" s="32" t="str">
        <f>IFERROR(IF(OR(('Inputs (2)'!F80+'Inputs (2)'!F86+'Inputs (2)'!F87+'Inputs (2)'!F96)=0,('Inputs (2)'!F94)=0),"",-('Inputs (2)'!F94)/('Inputs (2)'!F80+'Inputs (2)'!F86+'Inputs (2)'!F87+'Inputs (2)'!F96)),"")</f>
        <v/>
      </c>
      <c r="G240" s="32" t="str">
        <f>IFERROR(IF(OR(('Inputs (2)'!G80+'Inputs (2)'!G86+'Inputs (2)'!G87+'Inputs (2)'!G96)=0,('Inputs (2)'!G94)=0),"",-('Inputs (2)'!G94)/('Inputs (2)'!G80+'Inputs (2)'!G86+'Inputs (2)'!G87+'Inputs (2)'!G96)),"")</f>
        <v/>
      </c>
      <c r="H240" s="32" t="str">
        <f>IFERROR(IF(OR(('Inputs (2)'!H80+'Inputs (2)'!H86+'Inputs (2)'!H87+'Inputs (2)'!H96)=0,('Inputs (2)'!H94)=0),"",-('Inputs (2)'!H94)/('Inputs (2)'!H80+'Inputs (2)'!H86+'Inputs (2)'!H87+'Inputs (2)'!H96)),"")</f>
        <v/>
      </c>
      <c r="I240" s="34" t="str">
        <f>IFERROR(IF(OR(('Inputs (2)'!I80+'Inputs (2)'!I86+'Inputs (2)'!I87+'Inputs (2)'!I96)=0,('Inputs (2)'!I94)=0),"",-('Inputs (2)'!I94)/('Inputs (2)'!I80+'Inputs (2)'!I86+'Inputs (2)'!I87+'Inputs (2)'!I96)),"")</f>
        <v/>
      </c>
      <c r="J240" s="32" t="str">
        <f>IFERROR(IF(OR(('Inputs (2)'!J80+'Inputs (2)'!J86+'Inputs (2)'!J87+'Inputs (2)'!J96)=0,('Inputs (2)'!J94)=0),"",-('Inputs (2)'!J94)/('Inputs (2)'!J80+'Inputs (2)'!J86+'Inputs (2)'!J87+'Inputs (2)'!J96)),"")</f>
        <v/>
      </c>
      <c r="K240" s="32" t="str">
        <f>IFERROR(IF(OR(('Inputs (2)'!K80+'Inputs (2)'!K86+'Inputs (2)'!K87+'Inputs (2)'!K96)=0,('Inputs (2)'!K94)=0),"",-('Inputs (2)'!K94)/('Inputs (2)'!K80+'Inputs (2)'!K86+'Inputs (2)'!K87+'Inputs (2)'!K96)),"")</f>
        <v/>
      </c>
      <c r="L240" s="32" t="str">
        <f>IFERROR(IF(OR(('Inputs (2)'!L80+'Inputs (2)'!L86+'Inputs (2)'!L87+'Inputs (2)'!L96)=0,('Inputs (2)'!L94)=0),"",-('Inputs (2)'!L94)/('Inputs (2)'!L80+'Inputs (2)'!L86+'Inputs (2)'!L87+'Inputs (2)'!L96)),"")</f>
        <v/>
      </c>
      <c r="M240" s="32" t="str">
        <f>IFERROR(IF(OR(('Inputs (2)'!M80+'Inputs (2)'!M86+'Inputs (2)'!M87+'Inputs (2)'!M96)=0,('Inputs (2)'!M94)=0),"",-('Inputs (2)'!M94)/('Inputs (2)'!M80+'Inputs (2)'!M86+'Inputs (2)'!M87+'Inputs (2)'!M96)),"")</f>
        <v/>
      </c>
      <c r="N240" s="34" t="str">
        <f>IFERROR(IF(OR(('Inputs (2)'!N80+'Inputs (2)'!N86+'Inputs (2)'!N87+'Inputs (2)'!N96)=0,('Inputs (2)'!N94)=0),"",-('Inputs (2)'!N94)/('Inputs (2)'!N80+'Inputs (2)'!N86+'Inputs (2)'!N87+'Inputs (2)'!N96)),"")</f>
        <v/>
      </c>
      <c r="O240" s="32" t="str">
        <f>IFERROR(IF(OR(('Inputs (2)'!O80+'Inputs (2)'!O86+'Inputs (2)'!O87+'Inputs (2)'!O96)=0,('Inputs (2)'!O94)=0),"",-('Inputs (2)'!O94)/('Inputs (2)'!O80+'Inputs (2)'!O86+'Inputs (2)'!O87+'Inputs (2)'!O96)),"")</f>
        <v/>
      </c>
      <c r="P240" s="32" t="str">
        <f>IFERROR(IF(OR(('Inputs (2)'!P80+'Inputs (2)'!P86+'Inputs (2)'!P87+'Inputs (2)'!P96)=0,('Inputs (2)'!P94)=0),"",-('Inputs (2)'!P94)/('Inputs (2)'!P80+'Inputs (2)'!P86+'Inputs (2)'!P87+'Inputs (2)'!P96)),"")</f>
        <v/>
      </c>
      <c r="Q240" s="32" t="str">
        <f>IFERROR(IF(OR(('Inputs (2)'!Q80+'Inputs (2)'!Q86+'Inputs (2)'!Q87+'Inputs (2)'!Q96)=0,('Inputs (2)'!Q94)=0),"",-('Inputs (2)'!Q94)/('Inputs (2)'!Q80+'Inputs (2)'!Q86+'Inputs (2)'!Q87+'Inputs (2)'!Q96)),"")</f>
        <v/>
      </c>
      <c r="R240" s="32" t="str">
        <f>IFERROR(IF(OR(('Inputs (2)'!R80+'Inputs (2)'!R86+'Inputs (2)'!R87+'Inputs (2)'!R96)=0,('Inputs (2)'!R94)=0),"",-('Inputs (2)'!R94)/('Inputs (2)'!R80+'Inputs (2)'!R86+'Inputs (2)'!R87+'Inputs (2)'!R96)),"")</f>
        <v/>
      </c>
      <c r="S240" s="34" t="str">
        <f>IFERROR(IF(OR(('Inputs (2)'!S80+'Inputs (2)'!S86+'Inputs (2)'!S87+'Inputs (2)'!S96)=0,('Inputs (2)'!S94)=0),"",-('Inputs (2)'!S94)/('Inputs (2)'!S80+'Inputs (2)'!S86+'Inputs (2)'!S87+'Inputs (2)'!S96)),"")</f>
        <v/>
      </c>
      <c r="T240" s="32" t="str">
        <f>IFERROR(IF(OR(('Inputs (2)'!T80+'Inputs (2)'!T86+'Inputs (2)'!T87+'Inputs (2)'!T96)=0,('Inputs (2)'!T94)=0),"",-('Inputs (2)'!T94)/('Inputs (2)'!T80+'Inputs (2)'!T86+'Inputs (2)'!T87+'Inputs (2)'!T96)),"")</f>
        <v/>
      </c>
      <c r="U240" s="32" t="str">
        <f>IFERROR(IF(OR(('Inputs (2)'!U80+'Inputs (2)'!U86+'Inputs (2)'!U87+'Inputs (2)'!U96)=0,('Inputs (2)'!U94)=0),"",-('Inputs (2)'!U94)/('Inputs (2)'!U80+'Inputs (2)'!U86+'Inputs (2)'!U87+'Inputs (2)'!U96)),"")</f>
        <v/>
      </c>
      <c r="V240" s="32" t="str">
        <f>IFERROR(IF(OR(('Inputs (2)'!V80+'Inputs (2)'!V86+'Inputs (2)'!V87+'Inputs (2)'!V96)=0,('Inputs (2)'!V94)=0),"",-('Inputs (2)'!V94)/('Inputs (2)'!V80+'Inputs (2)'!V86+'Inputs (2)'!V87+'Inputs (2)'!V96)),"")</f>
        <v/>
      </c>
      <c r="W240" s="32" t="str">
        <f>IFERROR(IF(OR(('Inputs (2)'!W80+'Inputs (2)'!W86+'Inputs (2)'!W87+'Inputs (2)'!W96)=0,('Inputs (2)'!W94)=0),"",-('Inputs (2)'!W94)/('Inputs (2)'!W80+'Inputs (2)'!W86+'Inputs (2)'!W87+'Inputs (2)'!W96)),"")</f>
        <v/>
      </c>
      <c r="X240" s="34" t="str">
        <f>IFERROR(IF(OR(('Inputs (2)'!X80+'Inputs (2)'!X86+'Inputs (2)'!X87+'Inputs (2)'!X96)=0,('Inputs (2)'!X94)=0),"",-('Inputs (2)'!X94)/('Inputs (2)'!X80+'Inputs (2)'!X86+'Inputs (2)'!X87+'Inputs (2)'!X96)),"")</f>
        <v/>
      </c>
      <c r="Y240" s="32" t="str">
        <f>IFERROR(IF(OR(('Inputs (2)'!Y80+'Inputs (2)'!Y86+'Inputs (2)'!Y87+'Inputs (2)'!Y96)=0,('Inputs (2)'!Y94)=0),"",-('Inputs (2)'!Y94)/('Inputs (2)'!Y80+'Inputs (2)'!Y86+'Inputs (2)'!Y87+'Inputs (2)'!Y96)),"")</f>
        <v/>
      </c>
      <c r="Z240" s="32" t="str">
        <f>IFERROR(IF(OR(('Inputs (2)'!Z80+'Inputs (2)'!Z86+'Inputs (2)'!Z87+'Inputs (2)'!Z96)=0,('Inputs (2)'!Z94)=0),"",-('Inputs (2)'!Z94)/('Inputs (2)'!Z80+'Inputs (2)'!Z86+'Inputs (2)'!Z87+'Inputs (2)'!Z96)),"")</f>
        <v/>
      </c>
      <c r="AA240" s="32" t="str">
        <f>IFERROR(IF(OR(('Inputs (2)'!AA80+'Inputs (2)'!AA86+'Inputs (2)'!AA87+'Inputs (2)'!AA96)=0,('Inputs (2)'!AA94)=0),"",-('Inputs (2)'!AA94)/('Inputs (2)'!AA80+'Inputs (2)'!AA86+'Inputs (2)'!AA87+'Inputs (2)'!AA96)),"")</f>
        <v/>
      </c>
      <c r="AB240" s="32" t="str">
        <f>IFERROR(IF(OR(('Inputs (2)'!AB80+'Inputs (2)'!AB86+'Inputs (2)'!AB87+'Inputs (2)'!AB96)=0,('Inputs (2)'!AB94)=0),"",-('Inputs (2)'!AB94)/('Inputs (2)'!AB80+'Inputs (2)'!AB86+'Inputs (2)'!AB87+'Inputs (2)'!AB96)),"")</f>
        <v/>
      </c>
      <c r="AC240" s="34" t="str">
        <f>IFERROR(IF(OR(('Inputs (2)'!AC80+'Inputs (2)'!AC86+'Inputs (2)'!AC87+'Inputs (2)'!AC96)=0,('Inputs (2)'!AC94)=0),"",-('Inputs (2)'!AC94)/('Inputs (2)'!AC80+'Inputs (2)'!AC86+'Inputs (2)'!AC87+'Inputs (2)'!AC96)),"")</f>
        <v/>
      </c>
      <c r="AD240" s="32" t="str">
        <f>IFERROR(IF(OR(('Inputs (2)'!AD80+'Inputs (2)'!AD86+'Inputs (2)'!AD87+'Inputs (2)'!AD96)=0,('Inputs (2)'!AD94)=0),"",-('Inputs (2)'!AD94)/('Inputs (2)'!AD80+'Inputs (2)'!AD86+'Inputs (2)'!AD87+'Inputs (2)'!AD96)),"")</f>
        <v/>
      </c>
      <c r="AE240" s="32" t="str">
        <f>IFERROR(IF(OR(('Inputs (2)'!AE80+'Inputs (2)'!AE86+'Inputs (2)'!AE87+'Inputs (2)'!AE96)=0,('Inputs (2)'!AE94)=0),"",-('Inputs (2)'!AE94)/('Inputs (2)'!AE80+'Inputs (2)'!AE86+'Inputs (2)'!AE87+'Inputs (2)'!AE96)),"")</f>
        <v/>
      </c>
      <c r="AF240" s="32" t="str">
        <f>IFERROR(IF(OR(('Inputs (2)'!AF80+'Inputs (2)'!AF86+'Inputs (2)'!AF87+'Inputs (2)'!AF96)=0,('Inputs (2)'!AF94)=0),"",-('Inputs (2)'!AF94)/('Inputs (2)'!AF80+'Inputs (2)'!AF86+'Inputs (2)'!AF87+'Inputs (2)'!AF96)),"")</f>
        <v/>
      </c>
      <c r="AG240" s="32" t="str">
        <f>IFERROR(IF(OR(('Inputs (2)'!AG80+'Inputs (2)'!AG86+'Inputs (2)'!AG87+'Inputs (2)'!AG96)=0,('Inputs (2)'!AG94)=0),"",-('Inputs (2)'!AG94)/('Inputs (2)'!AG80+'Inputs (2)'!AG86+'Inputs (2)'!AG87+'Inputs (2)'!AG96)),"")</f>
        <v/>
      </c>
      <c r="AH240" s="34" t="str">
        <f>IFERROR(IF(OR(('Inputs (2)'!AH80+'Inputs (2)'!AH86+'Inputs (2)'!AH87+'Inputs (2)'!AH96)=0,('Inputs (2)'!AH94)=0),"",-('Inputs (2)'!AH94)/('Inputs (2)'!AH80+'Inputs (2)'!AH86+'Inputs (2)'!AH87+'Inputs (2)'!AH96)),"")</f>
        <v/>
      </c>
      <c r="AI240" s="32" t="str">
        <f>IFERROR(IF(OR(('Inputs (2)'!AI80+'Inputs (2)'!AI86+'Inputs (2)'!AI87+'Inputs (2)'!AI96)=0,('Inputs (2)'!AI94)=0),"",-('Inputs (2)'!AI94)/('Inputs (2)'!AI80+'Inputs (2)'!AI86+'Inputs (2)'!AI87+'Inputs (2)'!AI96)),"")</f>
        <v/>
      </c>
      <c r="AJ240" s="32" t="str">
        <f>IFERROR(IF(OR(('Inputs (2)'!AJ80+'Inputs (2)'!AJ86+'Inputs (2)'!AJ87+'Inputs (2)'!AJ96)=0,('Inputs (2)'!AJ94)=0),"",-('Inputs (2)'!AJ94)/('Inputs (2)'!AJ80+'Inputs (2)'!AJ86+'Inputs (2)'!AJ87+'Inputs (2)'!AJ96)),"")</f>
        <v/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 t="str">
        <f>IFERROR(IF(OR(('Inputs (2)'!AM80+'Inputs (2)'!AM86+'Inputs (2)'!AM87+'Inputs (2)'!AM96)=0,('Inputs (2)'!AM94)=0),"",-('Inputs (2)'!AM94)/('Inputs (2)'!AM80+'Inputs (2)'!AM86+'Inputs (2)'!AM87+'Inputs (2)'!AM96)),"")</f>
        <v/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spans="2:61" hidden="1" outlineLevel="1" x14ac:dyDescent="0.25">
      <c r="C241" s="30" t="s">
        <v>418</v>
      </c>
      <c r="D241" s="12" t="s">
        <v>419</v>
      </c>
      <c r="E241" s="35" t="str">
        <f>IFERROR(IF(OR(COUNT('Inputs (2)'!E95)=0,('Inputs (2)'!E95)=0),"",('Inputs (2)'!E95)),"")</f>
        <v/>
      </c>
      <c r="F241" s="35" t="str">
        <f>IFERROR(IF(OR(COUNT('Inputs (2)'!F95)=0,('Inputs (2)'!F95)=0),"",('Inputs (2)'!F95)),"")</f>
        <v/>
      </c>
      <c r="G241" s="35" t="str">
        <f>IFERROR(IF(OR(COUNT('Inputs (2)'!G95)=0,('Inputs (2)'!G95)=0),"",('Inputs (2)'!G95)),"")</f>
        <v/>
      </c>
      <c r="H241" s="35" t="str">
        <f>IFERROR(IF(OR(COUNT('Inputs (2)'!H95)=0,('Inputs (2)'!H95)=0),"",('Inputs (2)'!H95)),"")</f>
        <v/>
      </c>
      <c r="I241" s="36" t="str">
        <f>IFERROR(IF(OR(COUNT('Inputs (2)'!I95)=0,('Inputs (2)'!I95)=0),"",('Inputs (2)'!I95)),"")</f>
        <v/>
      </c>
      <c r="J241" s="35" t="str">
        <f>IFERROR(IF(OR(COUNT('Inputs (2)'!J95)=0,('Inputs (2)'!J95)=0),"",('Inputs (2)'!J95)),"")</f>
        <v/>
      </c>
      <c r="K241" s="35" t="str">
        <f>IFERROR(IF(OR(COUNT('Inputs (2)'!K95)=0,('Inputs (2)'!K95)=0),"",('Inputs (2)'!K95)),"")</f>
        <v/>
      </c>
      <c r="L241" s="35" t="str">
        <f>IFERROR(IF(OR(COUNT('Inputs (2)'!L95)=0,('Inputs (2)'!L95)=0),"",('Inputs (2)'!L95)),"")</f>
        <v/>
      </c>
      <c r="M241" s="35" t="str">
        <f>IFERROR(IF(OR(COUNT('Inputs (2)'!M95)=0,('Inputs (2)'!M95)=0),"",('Inputs (2)'!M95)),"")</f>
        <v/>
      </c>
      <c r="N241" s="36" t="str">
        <f>IFERROR(IF(OR(COUNT('Inputs (2)'!N95)=0,('Inputs (2)'!N95)=0),"",('Inputs (2)'!N95)),"")</f>
        <v/>
      </c>
      <c r="O241" s="35" t="str">
        <f>IFERROR(IF(OR(COUNT('Inputs (2)'!O95)=0,('Inputs (2)'!O95)=0),"",('Inputs (2)'!O95)),"")</f>
        <v/>
      </c>
      <c r="P241" s="35" t="str">
        <f>IFERROR(IF(OR(COUNT('Inputs (2)'!P95)=0,('Inputs (2)'!P95)=0),"",('Inputs (2)'!P95)),"")</f>
        <v/>
      </c>
      <c r="Q241" s="35" t="str">
        <f>IFERROR(IF(OR(COUNT('Inputs (2)'!Q95)=0,('Inputs (2)'!Q95)=0),"",('Inputs (2)'!Q95)),"")</f>
        <v/>
      </c>
      <c r="R241" s="35" t="str">
        <f>IFERROR(IF(OR(COUNT('Inputs (2)'!R95)=0,('Inputs (2)'!R95)=0),"",('Inputs (2)'!R95)),"")</f>
        <v/>
      </c>
      <c r="S241" s="36" t="str">
        <f>IFERROR(IF(OR(COUNT('Inputs (2)'!S95)=0,('Inputs (2)'!S95)=0),"",('Inputs (2)'!S95)),"")</f>
        <v/>
      </c>
      <c r="T241" s="35" t="str">
        <f>IFERROR(IF(OR(COUNT('Inputs (2)'!T95)=0,('Inputs (2)'!T95)=0),"",('Inputs (2)'!T95)),"")</f>
        <v/>
      </c>
      <c r="U241" s="35" t="str">
        <f>IFERROR(IF(OR(COUNT('Inputs (2)'!U95)=0,('Inputs (2)'!U95)=0),"",('Inputs (2)'!U95)),"")</f>
        <v/>
      </c>
      <c r="V241" s="35" t="str">
        <f>IFERROR(IF(OR(COUNT('Inputs (2)'!V95)=0,('Inputs (2)'!V95)=0),"",('Inputs (2)'!V95)),"")</f>
        <v/>
      </c>
      <c r="W241" s="35" t="str">
        <f>IFERROR(IF(OR(COUNT('Inputs (2)'!W95)=0,('Inputs (2)'!W95)=0),"",('Inputs (2)'!W95)),"")</f>
        <v/>
      </c>
      <c r="X241" s="36" t="str">
        <f>IFERROR(IF(OR(COUNT('Inputs (2)'!X95)=0,('Inputs (2)'!X95)=0),"",('Inputs (2)'!X95)),"")</f>
        <v/>
      </c>
      <c r="Y241" s="35" t="str">
        <f>IFERROR(IF(OR(COUNT('Inputs (2)'!Y95)=0,('Inputs (2)'!Y95)=0),"",('Inputs (2)'!Y95)),"")</f>
        <v/>
      </c>
      <c r="Z241" s="35" t="str">
        <f>IFERROR(IF(OR(COUNT('Inputs (2)'!Z95)=0,('Inputs (2)'!Z95)=0),"",('Inputs (2)'!Z95)),"")</f>
        <v/>
      </c>
      <c r="AA241" s="35" t="str">
        <f>IFERROR(IF(OR(COUNT('Inputs (2)'!AA95)=0,('Inputs (2)'!AA95)=0),"",('Inputs (2)'!AA95)),"")</f>
        <v/>
      </c>
      <c r="AB241" s="35" t="str">
        <f>IFERROR(IF(OR(COUNT('Inputs (2)'!AB95)=0,('Inputs (2)'!AB95)=0),"",('Inputs (2)'!AB95)),"")</f>
        <v/>
      </c>
      <c r="AC241" s="36" t="str">
        <f>IFERROR(IF(OR(COUNT('Inputs (2)'!AC95)=0,('Inputs (2)'!AC95)=0),"",('Inputs (2)'!AC95)),"")</f>
        <v/>
      </c>
      <c r="AD241" s="35" t="str">
        <f>IFERROR(IF(OR(COUNT('Inputs (2)'!AD95)=0,('Inputs (2)'!AD95)=0),"",('Inputs (2)'!AD95)),"")</f>
        <v/>
      </c>
      <c r="AE241" s="35" t="str">
        <f>IFERROR(IF(OR(COUNT('Inputs (2)'!AE95)=0,('Inputs (2)'!AE95)=0),"",('Inputs (2)'!AE95)),"")</f>
        <v/>
      </c>
      <c r="AF241" s="35" t="str">
        <f>IFERROR(IF(OR(COUNT('Inputs (2)'!AF95)=0,('Inputs (2)'!AF95)=0),"",('Inputs (2)'!AF95)),"")</f>
        <v/>
      </c>
      <c r="AG241" s="35" t="str">
        <f>IFERROR(IF(OR(COUNT('Inputs (2)'!AG95)=0,('Inputs (2)'!AG95)=0),"",('Inputs (2)'!AG95)),"")</f>
        <v/>
      </c>
      <c r="AH241" s="36" t="str">
        <f>IFERROR(IF(OR(COUNT('Inputs (2)'!AH95)=0,('Inputs (2)'!AH95)=0),"",('Inputs (2)'!AH95)),"")</f>
        <v/>
      </c>
      <c r="AI241" s="35" t="str">
        <f>IFERROR(IF(OR(COUNT('Inputs (2)'!AI95)=0,('Inputs (2)'!AI95)=0),"",('Inputs (2)'!AI95)),"")</f>
        <v/>
      </c>
      <c r="AJ241" s="35" t="str">
        <f>IFERROR(IF(OR(COUNT('Inputs (2)'!AJ95)=0,('Inputs (2)'!AJ95)=0),"",('Inputs (2)'!AJ95)),"")</f>
        <v/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 t="str">
        <f>IFERROR(IF(OR(COUNT('Inputs (2)'!AM95)=0,('Inputs (2)'!AM95)=0),"",('Inputs (2)'!AM95)),"")</f>
        <v/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spans="2:61" hidden="1" outlineLevel="1" x14ac:dyDescent="0.25">
      <c r="C242" s="30" t="s">
        <v>420</v>
      </c>
      <c r="D242" s="12" t="s">
        <v>421</v>
      </c>
      <c r="E242" s="32" t="str">
        <f>IFERROR(IF(OR(('Inputs (2)'!E80+'Inputs (2)'!E86+'Inputs (2)'!E87+'Inputs (2)'!E96)=0,('Inputs (2)'!E97)=0),"",-('Inputs (2)'!E97)/('Inputs (2)'!E80+'Inputs (2)'!E86+'Inputs (2)'!E87+'Inputs (2)'!E96)),"")</f>
        <v/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 t="str">
        <f>IFERROR(IF(OR(('Inputs (2)'!G80+'Inputs (2)'!G86+'Inputs (2)'!G87+'Inputs (2)'!G96)=0,('Inputs (2)'!G97)=0),"",-('Inputs (2)'!G97)/('Inputs (2)'!G80+'Inputs (2)'!G86+'Inputs (2)'!G87+'Inputs (2)'!G96)),"")</f>
        <v/>
      </c>
      <c r="H242" s="32" t="str">
        <f>IFERROR(IF(OR(('Inputs (2)'!H80+'Inputs (2)'!H86+'Inputs (2)'!H87+'Inputs (2)'!H96)=0,('Inputs (2)'!H97)=0),"",-('Inputs (2)'!H97)/('Inputs (2)'!H80+'Inputs (2)'!H86+'Inputs (2)'!H87+'Inputs (2)'!H96)),"")</f>
        <v/>
      </c>
      <c r="I242" s="34" t="str">
        <f>IFERROR(IF(OR(('Inputs (2)'!I80+'Inputs (2)'!I86+'Inputs (2)'!I87+'Inputs (2)'!I96)=0,('Inputs (2)'!I97)=0),"",-('Inputs (2)'!I97)/('Inputs (2)'!I80+'Inputs (2)'!I86+'Inputs (2)'!I87+'Inputs (2)'!I96)),"")</f>
        <v/>
      </c>
      <c r="J242" s="32" t="str">
        <f>IFERROR(IF(OR(('Inputs (2)'!J80+'Inputs (2)'!J86+'Inputs (2)'!J87+'Inputs (2)'!J96)=0,('Inputs (2)'!J97)=0),"",-('Inputs (2)'!J97)/('Inputs (2)'!J80+'Inputs (2)'!J86+'Inputs (2)'!J87+'Inputs (2)'!J96)),"")</f>
        <v/>
      </c>
      <c r="K242" s="32" t="str">
        <f>IFERROR(IF(OR(('Inputs (2)'!K80+'Inputs (2)'!K86+'Inputs (2)'!K87+'Inputs (2)'!K96)=0,('Inputs (2)'!K97)=0),"",-('Inputs (2)'!K97)/('Inputs (2)'!K80+'Inputs (2)'!K86+'Inputs (2)'!K87+'Inputs (2)'!K96)),"")</f>
        <v/>
      </c>
      <c r="L242" s="32" t="str">
        <f>IFERROR(IF(OR(('Inputs (2)'!L80+'Inputs (2)'!L86+'Inputs (2)'!L87+'Inputs (2)'!L96)=0,('Inputs (2)'!L97)=0),"",-('Inputs (2)'!L97)/('Inputs (2)'!L80+'Inputs (2)'!L86+'Inputs (2)'!L87+'Inputs (2)'!L96)),"")</f>
        <v/>
      </c>
      <c r="M242" s="32" t="str">
        <f>IFERROR(IF(OR(('Inputs (2)'!M80+'Inputs (2)'!M86+'Inputs (2)'!M87+'Inputs (2)'!M96)=0,('Inputs (2)'!M97)=0),"",-('Inputs (2)'!M97)/('Inputs (2)'!M80+'Inputs (2)'!M86+'Inputs (2)'!M87+'Inputs (2)'!M96)),"")</f>
        <v/>
      </c>
      <c r="N242" s="34" t="str">
        <f>IFERROR(IF(OR(('Inputs (2)'!N80+'Inputs (2)'!N86+'Inputs (2)'!N87+'Inputs (2)'!N96)=0,('Inputs (2)'!N97)=0),"",-('Inputs (2)'!N97)/('Inputs (2)'!N80+'Inputs (2)'!N86+'Inputs (2)'!N87+'Inputs (2)'!N96)),"")</f>
        <v/>
      </c>
      <c r="O242" s="32" t="str">
        <f>IFERROR(IF(OR(('Inputs (2)'!O80+'Inputs (2)'!O86+'Inputs (2)'!O87+'Inputs (2)'!O96)=0,('Inputs (2)'!O97)=0),"",-('Inputs (2)'!O97)/('Inputs (2)'!O80+'Inputs (2)'!O86+'Inputs (2)'!O87+'Inputs (2)'!O96)),"")</f>
        <v/>
      </c>
      <c r="P242" s="32" t="str">
        <f>IFERROR(IF(OR(('Inputs (2)'!P80+'Inputs (2)'!P86+'Inputs (2)'!P87+'Inputs (2)'!P96)=0,('Inputs (2)'!P97)=0),"",-('Inputs (2)'!P97)/('Inputs (2)'!P80+'Inputs (2)'!P86+'Inputs (2)'!P87+'Inputs (2)'!P96)),"")</f>
        <v/>
      </c>
      <c r="Q242" s="32" t="str">
        <f>IFERROR(IF(OR(('Inputs (2)'!Q80+'Inputs (2)'!Q86+'Inputs (2)'!Q87+'Inputs (2)'!Q96)=0,('Inputs (2)'!Q97)=0),"",-('Inputs (2)'!Q97)/('Inputs (2)'!Q80+'Inputs (2)'!Q86+'Inputs (2)'!Q87+'Inputs (2)'!Q96)),"")</f>
        <v/>
      </c>
      <c r="R242" s="32" t="str">
        <f>IFERROR(IF(OR(('Inputs (2)'!R80+'Inputs (2)'!R86+'Inputs (2)'!R87+'Inputs (2)'!R96)=0,('Inputs (2)'!R97)=0),"",-('Inputs (2)'!R97)/('Inputs (2)'!R80+'Inputs (2)'!R86+'Inputs (2)'!R87+'Inputs (2)'!R96)),"")</f>
        <v/>
      </c>
      <c r="S242" s="34" t="str">
        <f>IFERROR(IF(OR(('Inputs (2)'!S80+'Inputs (2)'!S86+'Inputs (2)'!S87+'Inputs (2)'!S96)=0,('Inputs (2)'!S97)=0),"",-('Inputs (2)'!S97)/('Inputs (2)'!S80+'Inputs (2)'!S86+'Inputs (2)'!S87+'Inputs (2)'!S96)),"")</f>
        <v/>
      </c>
      <c r="T242" s="32" t="str">
        <f>IFERROR(IF(OR(('Inputs (2)'!T80+'Inputs (2)'!T86+'Inputs (2)'!T87+'Inputs (2)'!T96)=0,('Inputs (2)'!T97)=0),"",-('Inputs (2)'!T97)/('Inputs (2)'!T80+'Inputs (2)'!T86+'Inputs (2)'!T87+'Inputs (2)'!T96)),"")</f>
        <v/>
      </c>
      <c r="U242" s="32" t="str">
        <f>IFERROR(IF(OR(('Inputs (2)'!U80+'Inputs (2)'!U86+'Inputs (2)'!U87+'Inputs (2)'!U96)=0,('Inputs (2)'!U97)=0),"",-('Inputs (2)'!U97)/('Inputs (2)'!U80+'Inputs (2)'!U86+'Inputs (2)'!U87+'Inputs (2)'!U96)),"")</f>
        <v/>
      </c>
      <c r="V242" s="32" t="str">
        <f>IFERROR(IF(OR(('Inputs (2)'!V80+'Inputs (2)'!V86+'Inputs (2)'!V87+'Inputs (2)'!V96)=0,('Inputs (2)'!V97)=0),"",-('Inputs (2)'!V97)/('Inputs (2)'!V80+'Inputs (2)'!V86+'Inputs (2)'!V87+'Inputs (2)'!V96)),"")</f>
        <v/>
      </c>
      <c r="W242" s="32" t="str">
        <f>IFERROR(IF(OR(('Inputs (2)'!W80+'Inputs (2)'!W86+'Inputs (2)'!W87+'Inputs (2)'!W96)=0,('Inputs (2)'!W97)=0),"",-('Inputs (2)'!W97)/('Inputs (2)'!W80+'Inputs (2)'!W86+'Inputs (2)'!W87+'Inputs (2)'!W96)),"")</f>
        <v/>
      </c>
      <c r="X242" s="34" t="str">
        <f>IFERROR(IF(OR(('Inputs (2)'!X80+'Inputs (2)'!X86+'Inputs (2)'!X87+'Inputs (2)'!X96)=0,('Inputs (2)'!X97)=0),"",-('Inputs (2)'!X97)/('Inputs (2)'!X80+'Inputs (2)'!X86+'Inputs (2)'!X87+'Inputs (2)'!X96)),"")</f>
        <v/>
      </c>
      <c r="Y242" s="32" t="str">
        <f>IFERROR(IF(OR(('Inputs (2)'!Y80+'Inputs (2)'!Y86+'Inputs (2)'!Y87+'Inputs (2)'!Y96)=0,('Inputs (2)'!Y97)=0),"",-('Inputs (2)'!Y97)/('Inputs (2)'!Y80+'Inputs (2)'!Y86+'Inputs (2)'!Y87+'Inputs (2)'!Y96)),"")</f>
        <v/>
      </c>
      <c r="Z242" s="32" t="str">
        <f>IFERROR(IF(OR(('Inputs (2)'!Z80+'Inputs (2)'!Z86+'Inputs (2)'!Z87+'Inputs (2)'!Z96)=0,('Inputs (2)'!Z97)=0),"",-('Inputs (2)'!Z97)/('Inputs (2)'!Z80+'Inputs (2)'!Z86+'Inputs (2)'!Z87+'Inputs (2)'!Z96)),"")</f>
        <v/>
      </c>
      <c r="AA242" s="32" t="str">
        <f>IFERROR(IF(OR(('Inputs (2)'!AA80+'Inputs (2)'!AA86+'Inputs (2)'!AA87+'Inputs (2)'!AA96)=0,('Inputs (2)'!AA97)=0),"",-('Inputs (2)'!AA97)/('Inputs (2)'!AA80+'Inputs (2)'!AA86+'Inputs (2)'!AA87+'Inputs (2)'!AA96)),"")</f>
        <v/>
      </c>
      <c r="AB242" s="32" t="str">
        <f>IFERROR(IF(OR(('Inputs (2)'!AB80+'Inputs (2)'!AB86+'Inputs (2)'!AB87+'Inputs (2)'!AB96)=0,('Inputs (2)'!AB97)=0),"",-('Inputs (2)'!AB97)/('Inputs (2)'!AB80+'Inputs (2)'!AB86+'Inputs (2)'!AB87+'Inputs (2)'!AB96)),"")</f>
        <v/>
      </c>
      <c r="AC242" s="34" t="str">
        <f>IFERROR(IF(OR(('Inputs (2)'!AC80+'Inputs (2)'!AC86+'Inputs (2)'!AC87+'Inputs (2)'!AC96)=0,('Inputs (2)'!AC97)=0),"",-('Inputs (2)'!AC97)/('Inputs (2)'!AC80+'Inputs (2)'!AC86+'Inputs (2)'!AC87+'Inputs (2)'!AC96)),"")</f>
        <v/>
      </c>
      <c r="AD242" s="32" t="str">
        <f>IFERROR(IF(OR(('Inputs (2)'!AD80+'Inputs (2)'!AD86+'Inputs (2)'!AD87+'Inputs (2)'!AD96)=0,('Inputs (2)'!AD97)=0),"",-('Inputs (2)'!AD97)/('Inputs (2)'!AD80+'Inputs (2)'!AD86+'Inputs (2)'!AD87+'Inputs (2)'!AD96)),"")</f>
        <v/>
      </c>
      <c r="AE242" s="32" t="str">
        <f>IFERROR(IF(OR(('Inputs (2)'!AE80+'Inputs (2)'!AE86+'Inputs (2)'!AE87+'Inputs (2)'!AE96)=0,('Inputs (2)'!AE97)=0),"",-('Inputs (2)'!AE97)/('Inputs (2)'!AE80+'Inputs (2)'!AE86+'Inputs (2)'!AE87+'Inputs (2)'!AE96)),"")</f>
        <v/>
      </c>
      <c r="AF242" s="32" t="str">
        <f>IFERROR(IF(OR(('Inputs (2)'!AF80+'Inputs (2)'!AF86+'Inputs (2)'!AF87+'Inputs (2)'!AF96)=0,('Inputs (2)'!AF97)=0),"",-('Inputs (2)'!AF97)/('Inputs (2)'!AF80+'Inputs (2)'!AF86+'Inputs (2)'!AF87+'Inputs (2)'!AF96)),"")</f>
        <v/>
      </c>
      <c r="AG242" s="32" t="str">
        <f>IFERROR(IF(OR(('Inputs (2)'!AG80+'Inputs (2)'!AG86+'Inputs (2)'!AG87+'Inputs (2)'!AG96)=0,('Inputs (2)'!AG97)=0),"",-('Inputs (2)'!AG97)/('Inputs (2)'!AG80+'Inputs (2)'!AG86+'Inputs (2)'!AG87+'Inputs (2)'!AG96)),"")</f>
        <v/>
      </c>
      <c r="AH242" s="34" t="str">
        <f>IFERROR(IF(OR(('Inputs (2)'!AH80+'Inputs (2)'!AH86+'Inputs (2)'!AH87+'Inputs (2)'!AH96)=0,('Inputs (2)'!AH97)=0),"",-('Inputs (2)'!AH97)/('Inputs (2)'!AH80+'Inputs (2)'!AH86+'Inputs (2)'!AH87+'Inputs (2)'!AH96)),"")</f>
        <v/>
      </c>
      <c r="AI242" s="32" t="str">
        <f>IFERROR(IF(OR(('Inputs (2)'!AI80+'Inputs (2)'!AI86+'Inputs (2)'!AI87+'Inputs (2)'!AI96)=0,('Inputs (2)'!AI97)=0),"",-('Inputs (2)'!AI97)/('Inputs (2)'!AI80+'Inputs (2)'!AI86+'Inputs (2)'!AI87+'Inputs (2)'!AI96)),"")</f>
        <v/>
      </c>
      <c r="AJ242" s="32" t="str">
        <f>IFERROR(IF(OR(('Inputs (2)'!AJ80+'Inputs (2)'!AJ86+'Inputs (2)'!AJ87+'Inputs (2)'!AJ96)=0,('Inputs (2)'!AJ97)=0),"",-('Inputs (2)'!AJ97)/('Inputs (2)'!AJ80+'Inputs (2)'!AJ86+'Inputs (2)'!AJ87+'Inputs (2)'!AJ96)),"")</f>
        <v/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 t="str">
        <f>IFERROR(IF(OR(('Inputs (2)'!AM80+'Inputs (2)'!AM86+'Inputs (2)'!AM87+'Inputs (2)'!AM96)=0,('Inputs (2)'!AM97)=0),"",-('Inputs (2)'!AM97)/('Inputs (2)'!AM80+'Inputs (2)'!AM86+'Inputs (2)'!AM87+'Inputs (2)'!AM96)),"")</f>
        <v/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spans="2:61" hidden="1" outlineLevel="1" x14ac:dyDescent="0.25">
      <c r="C243" s="30" t="s">
        <v>422</v>
      </c>
      <c r="D243" s="12" t="s">
        <v>423</v>
      </c>
      <c r="E243" s="35" t="str">
        <f>IFERROR(IF(OR(COUNT('Inputs (2)'!E99)=0,('Inputs (2)'!E99)=0),"",('Inputs (2)'!E99)),"")</f>
        <v/>
      </c>
      <c r="F243" s="35" t="str">
        <f>IFERROR(IF(OR(COUNT('Inputs (2)'!F99)=0,('Inputs (2)'!F99)=0),"",('Inputs (2)'!F99)),"")</f>
        <v/>
      </c>
      <c r="G243" s="35" t="str">
        <f>IFERROR(IF(OR(COUNT('Inputs (2)'!G99)=0,('Inputs (2)'!G99)=0),"",('Inputs (2)'!G99)),"")</f>
        <v/>
      </c>
      <c r="H243" s="35" t="str">
        <f>IFERROR(IF(OR(COUNT('Inputs (2)'!H99)=0,('Inputs (2)'!H99)=0),"",('Inputs (2)'!H99)),"")</f>
        <v/>
      </c>
      <c r="I243" s="36" t="str">
        <f>IFERROR(IF(OR(COUNT('Inputs (2)'!I99)=0,('Inputs (2)'!I99)=0),"",('Inputs (2)'!I99)),"")</f>
        <v/>
      </c>
      <c r="J243" s="35" t="str">
        <f>IFERROR(IF(OR(COUNT('Inputs (2)'!J99)=0,('Inputs (2)'!J99)=0),"",('Inputs (2)'!J99)),"")</f>
        <v/>
      </c>
      <c r="K243" s="35" t="str">
        <f>IFERROR(IF(OR(COUNT('Inputs (2)'!K99)=0,('Inputs (2)'!K99)=0),"",('Inputs (2)'!K99)),"")</f>
        <v/>
      </c>
      <c r="L243" s="35" t="str">
        <f>IFERROR(IF(OR(COUNT('Inputs (2)'!L99)=0,('Inputs (2)'!L99)=0),"",('Inputs (2)'!L99)),"")</f>
        <v/>
      </c>
      <c r="M243" s="35" t="str">
        <f>IFERROR(IF(OR(COUNT('Inputs (2)'!M99)=0,('Inputs (2)'!M99)=0),"",('Inputs (2)'!M99)),"")</f>
        <v/>
      </c>
      <c r="N243" s="36" t="str">
        <f>IFERROR(IF(OR(COUNT('Inputs (2)'!N99)=0,('Inputs (2)'!N99)=0),"",('Inputs (2)'!N99)),"")</f>
        <v/>
      </c>
      <c r="O243" s="35" t="str">
        <f>IFERROR(IF(OR(COUNT('Inputs (2)'!O99)=0,('Inputs (2)'!O99)=0),"",('Inputs (2)'!O99)),"")</f>
        <v/>
      </c>
      <c r="P243" s="35" t="str">
        <f>IFERROR(IF(OR(COUNT('Inputs (2)'!P99)=0,('Inputs (2)'!P99)=0),"",('Inputs (2)'!P99)),"")</f>
        <v/>
      </c>
      <c r="Q243" s="35" t="str">
        <f>IFERROR(IF(OR(COUNT('Inputs (2)'!Q99)=0,('Inputs (2)'!Q99)=0),"",('Inputs (2)'!Q99)),"")</f>
        <v/>
      </c>
      <c r="R243" s="35" t="str">
        <f>IFERROR(IF(OR(COUNT('Inputs (2)'!R99)=0,('Inputs (2)'!R99)=0),"",('Inputs (2)'!R99)),"")</f>
        <v/>
      </c>
      <c r="S243" s="36" t="str">
        <f>IFERROR(IF(OR(COUNT('Inputs (2)'!S99)=0,('Inputs (2)'!S99)=0),"",('Inputs (2)'!S99)),"")</f>
        <v/>
      </c>
      <c r="T243" s="35" t="str">
        <f>IFERROR(IF(OR(COUNT('Inputs (2)'!T99)=0,('Inputs (2)'!T99)=0),"",('Inputs (2)'!T99)),"")</f>
        <v/>
      </c>
      <c r="U243" s="35" t="str">
        <f>IFERROR(IF(OR(COUNT('Inputs (2)'!U99)=0,('Inputs (2)'!U99)=0),"",('Inputs (2)'!U99)),"")</f>
        <v/>
      </c>
      <c r="V243" s="35" t="str">
        <f>IFERROR(IF(OR(COUNT('Inputs (2)'!V99)=0,('Inputs (2)'!V99)=0),"",('Inputs (2)'!V99)),"")</f>
        <v/>
      </c>
      <c r="W243" s="35" t="str">
        <f>IFERROR(IF(OR(COUNT('Inputs (2)'!W99)=0,('Inputs (2)'!W99)=0),"",('Inputs (2)'!W99)),"")</f>
        <v/>
      </c>
      <c r="X243" s="36" t="str">
        <f>IFERROR(IF(OR(COUNT('Inputs (2)'!X99)=0,('Inputs (2)'!X99)=0),"",('Inputs (2)'!X99)),"")</f>
        <v/>
      </c>
      <c r="Y243" s="35" t="str">
        <f>IFERROR(IF(OR(COUNT('Inputs (2)'!Y99)=0,('Inputs (2)'!Y99)=0),"",('Inputs (2)'!Y99)),"")</f>
        <v/>
      </c>
      <c r="Z243" s="35" t="str">
        <f>IFERROR(IF(OR(COUNT('Inputs (2)'!Z99)=0,('Inputs (2)'!Z99)=0),"",('Inputs (2)'!Z99)),"")</f>
        <v/>
      </c>
      <c r="AA243" s="35" t="str">
        <f>IFERROR(IF(OR(COUNT('Inputs (2)'!AA99)=0,('Inputs (2)'!AA99)=0),"",('Inputs (2)'!AA99)),"")</f>
        <v/>
      </c>
      <c r="AB243" s="35" t="str">
        <f>IFERROR(IF(OR(COUNT('Inputs (2)'!AB99)=0,('Inputs (2)'!AB99)=0),"",('Inputs (2)'!AB99)),"")</f>
        <v/>
      </c>
      <c r="AC243" s="36" t="str">
        <f>IFERROR(IF(OR(COUNT('Inputs (2)'!AC99)=0,('Inputs (2)'!AC99)=0),"",('Inputs (2)'!AC99)),"")</f>
        <v/>
      </c>
      <c r="AD243" s="35" t="str">
        <f>IFERROR(IF(OR(COUNT('Inputs (2)'!AD99)=0,('Inputs (2)'!AD99)=0),"",('Inputs (2)'!AD99)),"")</f>
        <v/>
      </c>
      <c r="AE243" s="35" t="str">
        <f>IFERROR(IF(OR(COUNT('Inputs (2)'!AE99)=0,('Inputs (2)'!AE99)=0),"",('Inputs (2)'!AE99)),"")</f>
        <v/>
      </c>
      <c r="AF243" s="35" t="str">
        <f>IFERROR(IF(OR(COUNT('Inputs (2)'!AF99)=0,('Inputs (2)'!AF99)=0),"",('Inputs (2)'!AF99)),"")</f>
        <v/>
      </c>
      <c r="AG243" s="35" t="str">
        <f>IFERROR(IF(OR(COUNT('Inputs (2)'!AG99)=0,('Inputs (2)'!AG99)=0),"",('Inputs (2)'!AG99)),"")</f>
        <v/>
      </c>
      <c r="AH243" s="36" t="str">
        <f>IFERROR(IF(OR(COUNT('Inputs (2)'!AH99)=0,('Inputs (2)'!AH99)=0),"",('Inputs (2)'!AH99)),"")</f>
        <v/>
      </c>
      <c r="AI243" s="35" t="str">
        <f>IFERROR(IF(OR(COUNT('Inputs (2)'!AI99)=0,('Inputs (2)'!AI99)=0),"",('Inputs (2)'!AI99)),"")</f>
        <v/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 t="str">
        <f>IFERROR(IF(OR(COUNT('Inputs (2)'!AM99)=0,('Inputs (2)'!AM99)=0),"",('Inputs (2)'!AM99)),"")</f>
        <v/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spans="2:61" hidden="1" outlineLevel="1" x14ac:dyDescent="0.25">
      <c r="C244" s="30" t="s">
        <v>424</v>
      </c>
      <c r="D244" s="12" t="s">
        <v>425</v>
      </c>
      <c r="E244" s="32" t="str">
        <f>IFERROR(IF(OR(('Inputs (2)'!E100)=0,('Inputs (2)'!E101)=0),"",-('Inputs (2)'!E101)/('Inputs (2)'!E100)),"")</f>
        <v/>
      </c>
      <c r="F244" s="32" t="str">
        <f>IFERROR(IF(OR(('Inputs (2)'!F100)=0,('Inputs (2)'!F101)=0),"",-('Inputs (2)'!F101)/('Inputs (2)'!F100)),"")</f>
        <v/>
      </c>
      <c r="G244" s="32" t="str">
        <f>IFERROR(IF(OR(('Inputs (2)'!G100)=0,('Inputs (2)'!G101)=0),"",-('Inputs (2)'!G101)/('Inputs (2)'!G100)),"")</f>
        <v/>
      </c>
      <c r="H244" s="32" t="str">
        <f>IFERROR(IF(OR(('Inputs (2)'!H100)=0,('Inputs (2)'!H101)=0),"",-('Inputs (2)'!H101)/('Inputs (2)'!H100)),"")</f>
        <v/>
      </c>
      <c r="I244" s="34" t="str">
        <f>IFERROR(IF(OR(('Inputs (2)'!I100)=0,('Inputs (2)'!I101)=0),"",-('Inputs (2)'!I101)/('Inputs (2)'!I100)),"")</f>
        <v/>
      </c>
      <c r="J244" s="32" t="str">
        <f>IFERROR(IF(OR(('Inputs (2)'!J100)=0,('Inputs (2)'!J101)=0),"",-('Inputs (2)'!J101)/('Inputs (2)'!J100)),"")</f>
        <v/>
      </c>
      <c r="K244" s="32" t="str">
        <f>IFERROR(IF(OR(('Inputs (2)'!K100)=0,('Inputs (2)'!K101)=0),"",-('Inputs (2)'!K101)/('Inputs (2)'!K100)),"")</f>
        <v/>
      </c>
      <c r="L244" s="32" t="str">
        <f>IFERROR(IF(OR(('Inputs (2)'!L100)=0,('Inputs (2)'!L101)=0),"",-('Inputs (2)'!L101)/('Inputs (2)'!L100)),"")</f>
        <v/>
      </c>
      <c r="M244" s="32" t="str">
        <f>IFERROR(IF(OR(('Inputs (2)'!M100)=0,('Inputs (2)'!M101)=0),"",-('Inputs (2)'!M101)/('Inputs (2)'!M100)),"")</f>
        <v/>
      </c>
      <c r="N244" s="34" t="str">
        <f>IFERROR(IF(OR(('Inputs (2)'!N100)=0,('Inputs (2)'!N101)=0),"",-('Inputs (2)'!N101)/('Inputs (2)'!N100)),"")</f>
        <v/>
      </c>
      <c r="O244" s="32" t="str">
        <f>IFERROR(IF(OR(('Inputs (2)'!O100)=0,('Inputs (2)'!O101)=0),"",-('Inputs (2)'!O101)/('Inputs (2)'!O100)),"")</f>
        <v/>
      </c>
      <c r="P244" s="32" t="str">
        <f>IFERROR(IF(OR(('Inputs (2)'!P100)=0,('Inputs (2)'!P101)=0),"",-('Inputs (2)'!P101)/('Inputs (2)'!P100)),"")</f>
        <v/>
      </c>
      <c r="Q244" s="32" t="str">
        <f>IFERROR(IF(OR(('Inputs (2)'!Q100)=0,('Inputs (2)'!Q101)=0),"",-('Inputs (2)'!Q101)/('Inputs (2)'!Q100)),"")</f>
        <v/>
      </c>
      <c r="R244" s="32" t="str">
        <f>IFERROR(IF(OR(('Inputs (2)'!R100)=0,('Inputs (2)'!R101)=0),"",-('Inputs (2)'!R101)/('Inputs (2)'!R100)),"")</f>
        <v/>
      </c>
      <c r="S244" s="34" t="str">
        <f>IFERROR(IF(OR(('Inputs (2)'!S100)=0,('Inputs (2)'!S101)=0),"",-('Inputs (2)'!S101)/('Inputs (2)'!S100)),"")</f>
        <v/>
      </c>
      <c r="T244" s="32" t="str">
        <f>IFERROR(IF(OR(('Inputs (2)'!T100)=0,('Inputs (2)'!T101)=0),"",-('Inputs (2)'!T101)/('Inputs (2)'!T100)),"")</f>
        <v/>
      </c>
      <c r="U244" s="32" t="str">
        <f>IFERROR(IF(OR(('Inputs (2)'!U100)=0,('Inputs (2)'!U101)=0),"",-('Inputs (2)'!U101)/('Inputs (2)'!U100)),"")</f>
        <v/>
      </c>
      <c r="V244" s="32" t="str">
        <f>IFERROR(IF(OR(('Inputs (2)'!V100)=0,('Inputs (2)'!V101)=0),"",-('Inputs (2)'!V101)/('Inputs (2)'!V100)),"")</f>
        <v/>
      </c>
      <c r="W244" s="32" t="str">
        <f>IFERROR(IF(OR(('Inputs (2)'!W100)=0,('Inputs (2)'!W101)=0),"",-('Inputs (2)'!W101)/('Inputs (2)'!W100)),"")</f>
        <v/>
      </c>
      <c r="X244" s="34" t="str">
        <f>IFERROR(IF(OR(('Inputs (2)'!X100)=0,('Inputs (2)'!X101)=0),"",-('Inputs (2)'!X101)/('Inputs (2)'!X100)),"")</f>
        <v/>
      </c>
      <c r="Y244" s="32" t="str">
        <f>IFERROR(IF(OR(('Inputs (2)'!Y100)=0,('Inputs (2)'!Y101)=0),"",-('Inputs (2)'!Y101)/('Inputs (2)'!Y100)),"")</f>
        <v/>
      </c>
      <c r="Z244" s="32" t="str">
        <f>IFERROR(IF(OR(('Inputs (2)'!Z100)=0,('Inputs (2)'!Z101)=0),"",-('Inputs (2)'!Z101)/('Inputs (2)'!Z100)),"")</f>
        <v/>
      </c>
      <c r="AA244" s="32" t="str">
        <f>IFERROR(IF(OR(('Inputs (2)'!AA100)=0,('Inputs (2)'!AA101)=0),"",-('Inputs (2)'!AA101)/('Inputs (2)'!AA100)),"")</f>
        <v/>
      </c>
      <c r="AB244" s="32" t="str">
        <f>IFERROR(IF(OR(('Inputs (2)'!AB100)=0,('Inputs (2)'!AB101)=0),"",-('Inputs (2)'!AB101)/('Inputs (2)'!AB100)),"")</f>
        <v/>
      </c>
      <c r="AC244" s="34" t="str">
        <f>IFERROR(IF(OR(('Inputs (2)'!AC100)=0,('Inputs (2)'!AC101)=0),"",-('Inputs (2)'!AC101)/('Inputs (2)'!AC100)),"")</f>
        <v/>
      </c>
      <c r="AD244" s="32" t="str">
        <f>IFERROR(IF(OR(('Inputs (2)'!AD100)=0,('Inputs (2)'!AD101)=0),"",-('Inputs (2)'!AD101)/('Inputs (2)'!AD100)),"")</f>
        <v/>
      </c>
      <c r="AE244" s="32" t="str">
        <f>IFERROR(IF(OR(('Inputs (2)'!AE100)=0,('Inputs (2)'!AE101)=0),"",-('Inputs (2)'!AE101)/('Inputs (2)'!AE100)),"")</f>
        <v/>
      </c>
      <c r="AF244" s="32" t="str">
        <f>IFERROR(IF(OR(('Inputs (2)'!AF100)=0,('Inputs (2)'!AF101)=0),"",-('Inputs (2)'!AF101)/('Inputs (2)'!AF100)),"")</f>
        <v/>
      </c>
      <c r="AG244" s="32" t="str">
        <f>IFERROR(IF(OR(('Inputs (2)'!AG100)=0,('Inputs (2)'!AG101)=0),"",-('Inputs (2)'!AG101)/('Inputs (2)'!AG100)),"")</f>
        <v/>
      </c>
      <c r="AH244" s="34" t="str">
        <f>IFERROR(IF(OR(('Inputs (2)'!AH100)=0,('Inputs (2)'!AH101)=0),"",-('Inputs (2)'!AH101)/('Inputs (2)'!AH100)),"")</f>
        <v/>
      </c>
      <c r="AI244" s="32" t="str">
        <f>IFERROR(IF(OR(('Inputs (2)'!AI100)=0,('Inputs (2)'!AI101)=0),"",-('Inputs (2)'!AI101)/('Inputs (2)'!AI100)),"")</f>
        <v/>
      </c>
      <c r="AJ244" s="32" t="str">
        <f>IFERROR(IF(OR(('Inputs (2)'!AJ100)=0,('Inputs (2)'!AJ101)=0),"",-('Inputs (2)'!AJ101)/('Inputs (2)'!AJ100)),"")</f>
        <v/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 t="str">
        <f>IFERROR(IF(OR(('Inputs (2)'!AM100)=0,('Inputs (2)'!AM101)=0),"",-('Inputs (2)'!AM101)/('Inputs (2)'!AM100)),"")</f>
        <v/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spans="2:61" hidden="1" outlineLevel="1" x14ac:dyDescent="0.25">
      <c r="C245" s="30" t="s">
        <v>426</v>
      </c>
      <c r="D245" s="12" t="s">
        <v>427</v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 t="str">
        <f>IFERROR(IF(OR(('Inputs (2)'!M104)=0,('Inputs (2)'!M105)=0),"",-('Inputs (2)'!M105)/('Inputs (2)'!M104)),"")</f>
        <v/>
      </c>
      <c r="N245" s="34" t="str">
        <f>IFERROR(IF(OR(('Inputs (2)'!N104)=0,('Inputs (2)'!N105)=0),"",-('Inputs (2)'!N105)/('Inputs (2)'!N104)),"")</f>
        <v/>
      </c>
      <c r="O245" s="32" t="str">
        <f>IFERROR(IF(OR(('Inputs (2)'!O104)=0,('Inputs (2)'!O105)=0),"",-('Inputs (2)'!O105)/('Inputs (2)'!O104)),"")</f>
        <v/>
      </c>
      <c r="P245" s="32" t="str">
        <f>IFERROR(IF(OR(('Inputs (2)'!P104)=0,('Inputs (2)'!P105)=0),"",-('Inputs (2)'!P105)/('Inputs (2)'!P104)),"")</f>
        <v/>
      </c>
      <c r="Q245" s="32" t="str">
        <f>IFERROR(IF(OR(('Inputs (2)'!Q104)=0,('Inputs (2)'!Q105)=0),"",-('Inputs (2)'!Q105)/('Inputs (2)'!Q104)),"")</f>
        <v/>
      </c>
      <c r="R245" s="32" t="str">
        <f>IFERROR(IF(OR(('Inputs (2)'!R104)=0,('Inputs (2)'!R105)=0),"",-('Inputs (2)'!R105)/('Inputs (2)'!R104)),"")</f>
        <v/>
      </c>
      <c r="S245" s="34" t="str">
        <f>IFERROR(IF(OR(('Inputs (2)'!S104)=0,('Inputs (2)'!S105)=0),"",-('Inputs (2)'!S105)/('Inputs (2)'!S104)),"")</f>
        <v/>
      </c>
      <c r="T245" s="32" t="str">
        <f>IFERROR(IF(OR(('Inputs (2)'!T104)=0,('Inputs (2)'!T105)=0),"",-('Inputs (2)'!T105)/('Inputs (2)'!T104)),"")</f>
        <v/>
      </c>
      <c r="U245" s="32" t="str">
        <f>IFERROR(IF(OR(('Inputs (2)'!U104)=0,('Inputs (2)'!U105)=0),"",-('Inputs (2)'!U105)/('Inputs (2)'!U104)),"")</f>
        <v/>
      </c>
      <c r="V245" s="32" t="str">
        <f>IFERROR(IF(OR(('Inputs (2)'!V104)=0,('Inputs (2)'!V105)=0),"",-('Inputs (2)'!V105)/('Inputs (2)'!V104)),"")</f>
        <v/>
      </c>
      <c r="W245" s="32" t="str">
        <f>IFERROR(IF(OR(('Inputs (2)'!W104)=0,('Inputs (2)'!W105)=0),"",-('Inputs (2)'!W105)/('Inputs (2)'!W104)),"")</f>
        <v/>
      </c>
      <c r="X245" s="34" t="str">
        <f>IFERROR(IF(OR(('Inputs (2)'!X104)=0,('Inputs (2)'!X105)=0),"",-('Inputs (2)'!X105)/('Inputs (2)'!X104)),"")</f>
        <v/>
      </c>
      <c r="Y245" s="32" t="str">
        <f>IFERROR(IF(OR(('Inputs (2)'!Y104)=0,('Inputs (2)'!Y105)=0),"",-('Inputs (2)'!Y105)/('Inputs (2)'!Y104)),"")</f>
        <v/>
      </c>
      <c r="Z245" s="32" t="str">
        <f>IFERROR(IF(OR(('Inputs (2)'!Z104)=0,('Inputs (2)'!Z105)=0),"",-('Inputs (2)'!Z105)/('Inputs (2)'!Z104)),"")</f>
        <v/>
      </c>
      <c r="AA245" s="32" t="str">
        <f>IFERROR(IF(OR(('Inputs (2)'!AA104)=0,('Inputs (2)'!AA105)=0),"",-('Inputs (2)'!AA105)/('Inputs (2)'!AA104)),"")</f>
        <v/>
      </c>
      <c r="AB245" s="32" t="str">
        <f>IFERROR(IF(OR(('Inputs (2)'!AB104)=0,('Inputs (2)'!AB105)=0),"",-('Inputs (2)'!AB105)/('Inputs (2)'!AB104)),"")</f>
        <v/>
      </c>
      <c r="AC245" s="34" t="str">
        <f>IFERROR(IF(OR(('Inputs (2)'!AC104)=0,('Inputs (2)'!AC105)=0),"",-('Inputs (2)'!AC105)/('Inputs (2)'!AC104)),"")</f>
        <v/>
      </c>
      <c r="AD245" s="32" t="str">
        <f>IFERROR(IF(OR(('Inputs (2)'!AD104)=0,('Inputs (2)'!AD105)=0),"",-('Inputs (2)'!AD105)/('Inputs (2)'!AD104)),"")</f>
        <v/>
      </c>
      <c r="AE245" s="32" t="str">
        <f>IFERROR(IF(OR(('Inputs (2)'!AE104)=0,('Inputs (2)'!AE105)=0),"",-('Inputs (2)'!AE105)/('Inputs (2)'!AE104)),"")</f>
        <v/>
      </c>
      <c r="AF245" s="32" t="str">
        <f>IFERROR(IF(OR(('Inputs (2)'!AF104)=0,('Inputs (2)'!AF105)=0),"",-('Inputs (2)'!AF105)/('Inputs (2)'!AF104)),"")</f>
        <v/>
      </c>
      <c r="AG245" s="32" t="str">
        <f>IFERROR(IF(OR(('Inputs (2)'!AG104)=0,('Inputs (2)'!AG105)=0),"",-('Inputs (2)'!AG105)/('Inputs (2)'!AG104)),"")</f>
        <v/>
      </c>
      <c r="AH245" s="34" t="str">
        <f>IFERROR(IF(OR(('Inputs (2)'!AH104)=0,('Inputs (2)'!AH105)=0),"",-('Inputs (2)'!AH105)/('Inputs (2)'!AH104)),"")</f>
        <v/>
      </c>
      <c r="AI245" s="32" t="str">
        <f>IFERROR(IF(OR(('Inputs (2)'!AI104)=0,('Inputs (2)'!AI105)=0),"",-('Inputs (2)'!AI105)/('Inputs (2)'!AI104)),"")</f>
        <v/>
      </c>
      <c r="AJ245" s="32" t="str">
        <f>IFERROR(IF(OR(('Inputs (2)'!AJ104)=0,('Inputs (2)'!AJ105)=0),"",-('Inputs (2)'!AJ105)/('Inputs (2)'!AJ104)),"")</f>
        <v/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 t="str">
        <f>IFERROR(IF(OR(('Inputs (2)'!AM104)=0,('Inputs (2)'!AM105)=0),"",-('Inputs (2)'!AM105)/('Inputs (2)'!AM104)),"")</f>
        <v/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spans="2:61" hidden="1" outlineLevel="1" x14ac:dyDescent="0.25">
      <c r="B246" s="29"/>
      <c r="C246" s="29" t="s">
        <v>428</v>
      </c>
      <c r="D246" s="29" t="s">
        <v>429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</row>
    <row r="247" spans="2:61" hidden="1" outlineLevel="1" x14ac:dyDescent="0.25">
      <c r="C247" s="30" t="s">
        <v>430</v>
      </c>
      <c r="D247" s="12" t="s">
        <v>431</v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 t="str">
        <f>IFERROR(IF(OR(('Inputs (2)'!L106)=0,('Inputs (2)'!L149+'Inputs (2)'!L150)=0),"",('Inputs (2)'!L149+'Inputs (2)'!L150)/('Inputs (2)'!L106)),"")</f>
        <v/>
      </c>
      <c r="M247" s="32" t="str">
        <f>IFERROR(IF(OR(('Inputs (2)'!M106)=0,('Inputs (2)'!M149+'Inputs (2)'!M150)=0),"",('Inputs (2)'!M149+'Inputs (2)'!M150)/('Inputs (2)'!M106)),"")</f>
        <v/>
      </c>
      <c r="N247" s="34" t="str">
        <f>IFERROR(IF(OR(('Inputs (2)'!N106)=0,('Inputs (2)'!N149+'Inputs (2)'!N150)=0),"",('Inputs (2)'!N149+'Inputs (2)'!N150)/('Inputs (2)'!N106)),"")</f>
        <v/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 t="str">
        <f>IFERROR(IF(OR(('Inputs (2)'!Q106)=0,('Inputs (2)'!Q149+'Inputs (2)'!Q150)=0),"",('Inputs (2)'!Q149+'Inputs (2)'!Q150)/('Inputs (2)'!Q106)),"")</f>
        <v/>
      </c>
      <c r="R247" s="32" t="str">
        <f>IFERROR(IF(OR(('Inputs (2)'!R106)=0,('Inputs (2)'!R149+'Inputs (2)'!R150)=0),"",('Inputs (2)'!R149+'Inputs (2)'!R150)/('Inputs (2)'!R106)),"")</f>
        <v/>
      </c>
      <c r="S247" s="34" t="str">
        <f>IFERROR(IF(OR(('Inputs (2)'!S106)=0,('Inputs (2)'!S149+'Inputs (2)'!S150)=0),"",('Inputs (2)'!S149+'Inputs (2)'!S150)/('Inputs (2)'!S106)),"")</f>
        <v/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 t="str">
        <f>IFERROR(IF(OR(('Inputs (2)'!V106)=0,('Inputs (2)'!V149+'Inputs (2)'!V150)=0),"",('Inputs (2)'!V149+'Inputs (2)'!V150)/('Inputs (2)'!V106)),"")</f>
        <v/>
      </c>
      <c r="W247" s="32" t="str">
        <f>IFERROR(IF(OR(('Inputs (2)'!W106)=0,('Inputs (2)'!W149+'Inputs (2)'!W150)=0),"",('Inputs (2)'!W149+'Inputs (2)'!W150)/('Inputs (2)'!W106)),"")</f>
        <v/>
      </c>
      <c r="X247" s="34" t="str">
        <f>IFERROR(IF(OR(('Inputs (2)'!X106)=0,('Inputs (2)'!X149+'Inputs (2)'!X150)=0),"",('Inputs (2)'!X149+'Inputs (2)'!X150)/('Inputs (2)'!X106)),"")</f>
        <v/>
      </c>
      <c r="Y247" s="32" t="str">
        <f>IFERROR(IF(OR(('Inputs (2)'!Y106)=0,('Inputs (2)'!Y149+'Inputs (2)'!Y150)=0),"",('Inputs (2)'!Y149+'Inputs (2)'!Y150)/('Inputs (2)'!Y106)),"")</f>
        <v/>
      </c>
      <c r="Z247" s="32" t="str">
        <f>IFERROR(IF(OR(('Inputs (2)'!Z106)=0,('Inputs (2)'!Z149+'Inputs (2)'!Z150)=0),"",('Inputs (2)'!Z149+'Inputs (2)'!Z150)/('Inputs (2)'!Z106)),"")</f>
        <v/>
      </c>
      <c r="AA247" s="32" t="str">
        <f>IFERROR(IF(OR(('Inputs (2)'!AA106)=0,('Inputs (2)'!AA149+'Inputs (2)'!AA150)=0),"",('Inputs (2)'!AA149+'Inputs (2)'!AA150)/('Inputs (2)'!AA106)),"")</f>
        <v/>
      </c>
      <c r="AB247" s="32" t="str">
        <f>IFERROR(IF(OR(('Inputs (2)'!AB106)=0,('Inputs (2)'!AB149+'Inputs (2)'!AB150)=0),"",('Inputs (2)'!AB149+'Inputs (2)'!AB150)/('Inputs (2)'!AB106)),"")</f>
        <v/>
      </c>
      <c r="AC247" s="34" t="str">
        <f>IFERROR(IF(OR(('Inputs (2)'!AC106)=0,('Inputs (2)'!AC149+'Inputs (2)'!AC150)=0),"",('Inputs (2)'!AC149+'Inputs (2)'!AC150)/('Inputs (2)'!AC106)),"")</f>
        <v/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 t="str">
        <f>IFERROR(IF(OR(('Inputs (2)'!AF106)=0,('Inputs (2)'!AF149+'Inputs (2)'!AF150)=0),"",('Inputs (2)'!AF149+'Inputs (2)'!AF150)/('Inputs (2)'!AF106)),"")</f>
        <v/>
      </c>
      <c r="AG247" s="32" t="str">
        <f>IFERROR(IF(OR(('Inputs (2)'!AG106)=0,('Inputs (2)'!AG149+'Inputs (2)'!AG150)=0),"",('Inputs (2)'!AG149+'Inputs (2)'!AG150)/('Inputs (2)'!AG106)),"")</f>
        <v/>
      </c>
      <c r="AH247" s="34" t="str">
        <f>IFERROR(IF(OR(('Inputs (2)'!AH106)=0,('Inputs (2)'!AH149+'Inputs (2)'!AH150)=0),"",('Inputs (2)'!AH149+'Inputs (2)'!AH150)/('Inputs (2)'!AH106)),"")</f>
        <v/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spans="2:61" hidden="1" outlineLevel="1" x14ac:dyDescent="0.25">
      <c r="C248" s="30" t="s">
        <v>432</v>
      </c>
      <c r="D248" s="12" t="s">
        <v>433</v>
      </c>
      <c r="E248" s="32" t="str">
        <f>IFERROR(IF(OR(('Inputs (2)'!E29)=0,('Inputs (2)'!E133)=0),"",('Inputs (2)'!E133)/('Inputs (2)'!E29)),"")</f>
        <v/>
      </c>
      <c r="F248" s="32" t="str">
        <f>IFERROR(IF(OR(('Inputs (2)'!F29)=0,('Inputs (2)'!F133)=0),"",('Inputs (2)'!F133)/('Inputs (2)'!F29)),"")</f>
        <v/>
      </c>
      <c r="G248" s="32" t="str">
        <f>IFERROR(IF(OR(('Inputs (2)'!G29)=0,('Inputs (2)'!G133)=0),"",('Inputs (2)'!G133)/('Inputs (2)'!G29)),"")</f>
        <v/>
      </c>
      <c r="H248" s="32" t="str">
        <f>IFERROR(IF(OR(('Inputs (2)'!H29)=0,('Inputs (2)'!H133)=0),"",('Inputs (2)'!H133)/('Inputs (2)'!H29)),"")</f>
        <v/>
      </c>
      <c r="I248" s="34" t="str">
        <f>IFERROR(IF(OR(('Inputs (2)'!I29)=0,('Inputs (2)'!I133)=0),"",('Inputs (2)'!I133)/('Inputs (2)'!I29)),"")</f>
        <v/>
      </c>
      <c r="J248" s="32" t="str">
        <f>IFERROR(IF(OR(('Inputs (2)'!J29)=0,('Inputs (2)'!J133)=0),"",('Inputs (2)'!J133)/('Inputs (2)'!J29)),"")</f>
        <v/>
      </c>
      <c r="K248" s="32" t="str">
        <f>IFERROR(IF(OR(('Inputs (2)'!K29)=0,('Inputs (2)'!K133)=0),"",('Inputs (2)'!K133)/('Inputs (2)'!K29)),"")</f>
        <v/>
      </c>
      <c r="L248" s="32" t="str">
        <f>IFERROR(IF(OR(('Inputs (2)'!L29)=0,('Inputs (2)'!L133)=0),"",('Inputs (2)'!L133)/('Inputs (2)'!L29)),"")</f>
        <v/>
      </c>
      <c r="M248" s="32" t="str">
        <f>IFERROR(IF(OR(('Inputs (2)'!M29)=0,('Inputs (2)'!M133)=0),"",('Inputs (2)'!M133)/('Inputs (2)'!M29)),"")</f>
        <v/>
      </c>
      <c r="N248" s="34" t="str">
        <f>IFERROR(IF(OR(('Inputs (2)'!N29)=0,('Inputs (2)'!N133)=0),"",('Inputs (2)'!N133)/('Inputs (2)'!N29)),"")</f>
        <v/>
      </c>
      <c r="O248" s="32" t="str">
        <f>IFERROR(IF(OR(('Inputs (2)'!O29)=0,('Inputs (2)'!O133)=0),"",('Inputs (2)'!O133)/('Inputs (2)'!O29)),"")</f>
        <v/>
      </c>
      <c r="P248" s="32" t="str">
        <f>IFERROR(IF(OR(('Inputs (2)'!P29)=0,('Inputs (2)'!P133)=0),"",('Inputs (2)'!P133)/('Inputs (2)'!P29)),"")</f>
        <v/>
      </c>
      <c r="Q248" s="32" t="str">
        <f>IFERROR(IF(OR(('Inputs (2)'!Q29)=0,('Inputs (2)'!Q133)=0),"",('Inputs (2)'!Q133)/('Inputs (2)'!Q29)),"")</f>
        <v/>
      </c>
      <c r="R248" s="32" t="str">
        <f>IFERROR(IF(OR(('Inputs (2)'!R29)=0,('Inputs (2)'!R133)=0),"",('Inputs (2)'!R133)/('Inputs (2)'!R29)),"")</f>
        <v/>
      </c>
      <c r="S248" s="34" t="str">
        <f>IFERROR(IF(OR(('Inputs (2)'!S29)=0,('Inputs (2)'!S133)=0),"",('Inputs (2)'!S133)/('Inputs (2)'!S29)),"")</f>
        <v/>
      </c>
      <c r="T248" s="32" t="str">
        <f>IFERROR(IF(OR(('Inputs (2)'!T29)=0,('Inputs (2)'!T133)=0),"",('Inputs (2)'!T133)/('Inputs (2)'!T29)),"")</f>
        <v/>
      </c>
      <c r="U248" s="32" t="str">
        <f>IFERROR(IF(OR(('Inputs (2)'!U29)=0,('Inputs (2)'!U133)=0),"",('Inputs (2)'!U133)/('Inputs (2)'!U29)),"")</f>
        <v/>
      </c>
      <c r="V248" s="32" t="str">
        <f>IFERROR(IF(OR(('Inputs (2)'!V29)=0,('Inputs (2)'!V133)=0),"",('Inputs (2)'!V133)/('Inputs (2)'!V29)),"")</f>
        <v/>
      </c>
      <c r="W248" s="32" t="str">
        <f>IFERROR(IF(OR(('Inputs (2)'!W29)=0,('Inputs (2)'!W133)=0),"",('Inputs (2)'!W133)/('Inputs (2)'!W29)),"")</f>
        <v/>
      </c>
      <c r="X248" s="34" t="str">
        <f>IFERROR(IF(OR(('Inputs (2)'!X29)=0,('Inputs (2)'!X133)=0),"",('Inputs (2)'!X133)/('Inputs (2)'!X29)),"")</f>
        <v/>
      </c>
      <c r="Y248" s="32" t="str">
        <f>IFERROR(IF(OR(('Inputs (2)'!Y29)=0,('Inputs (2)'!Y133)=0),"",('Inputs (2)'!Y133)/('Inputs (2)'!Y29)),"")</f>
        <v/>
      </c>
      <c r="Z248" s="32" t="str">
        <f>IFERROR(IF(OR(('Inputs (2)'!Z29)=0,('Inputs (2)'!Z133)=0),"",('Inputs (2)'!Z133)/('Inputs (2)'!Z29)),"")</f>
        <v/>
      </c>
      <c r="AA248" s="32" t="str">
        <f>IFERROR(IF(OR(('Inputs (2)'!AA29)=0,('Inputs (2)'!AA133)=0),"",('Inputs (2)'!AA133)/('Inputs (2)'!AA29)),"")</f>
        <v/>
      </c>
      <c r="AB248" s="32" t="str">
        <f>IFERROR(IF(OR(('Inputs (2)'!AB29)=0,('Inputs (2)'!AB133)=0),"",('Inputs (2)'!AB133)/('Inputs (2)'!AB29)),"")</f>
        <v/>
      </c>
      <c r="AC248" s="34" t="str">
        <f>IFERROR(IF(OR(('Inputs (2)'!AC29)=0,('Inputs (2)'!AC133)=0),"",('Inputs (2)'!AC133)/('Inputs (2)'!AC29)),"")</f>
        <v/>
      </c>
      <c r="AD248" s="32" t="str">
        <f>IFERROR(IF(OR(('Inputs (2)'!AD29)=0,('Inputs (2)'!AD133)=0),"",('Inputs (2)'!AD133)/('Inputs (2)'!AD29)),"")</f>
        <v/>
      </c>
      <c r="AE248" s="32" t="str">
        <f>IFERROR(IF(OR(('Inputs (2)'!AE29)=0,('Inputs (2)'!AE133)=0),"",('Inputs (2)'!AE133)/('Inputs (2)'!AE29)),"")</f>
        <v/>
      </c>
      <c r="AF248" s="32" t="str">
        <f>IFERROR(IF(OR(('Inputs (2)'!AF29)=0,('Inputs (2)'!AF133)=0),"",('Inputs (2)'!AF133)/('Inputs (2)'!AF29)),"")</f>
        <v/>
      </c>
      <c r="AG248" s="32" t="str">
        <f>IFERROR(IF(OR(('Inputs (2)'!AG29)=0,('Inputs (2)'!AG133)=0),"",('Inputs (2)'!AG133)/('Inputs (2)'!AG29)),"")</f>
        <v/>
      </c>
      <c r="AH248" s="34" t="str">
        <f>IFERROR(IF(OR(('Inputs (2)'!AH29)=0,('Inputs (2)'!AH133)=0),"",('Inputs (2)'!AH133)/('Inputs (2)'!AH29)),"")</f>
        <v/>
      </c>
      <c r="AI248" s="32" t="str">
        <f>IFERROR(IF(OR(('Inputs (2)'!AI29)=0,('Inputs (2)'!AI133)=0),"",('Inputs (2)'!AI133)/('Inputs (2)'!AI29)),"")</f>
        <v/>
      </c>
      <c r="AJ248" s="32" t="str">
        <f>IFERROR(IF(OR(('Inputs (2)'!AJ29)=0,('Inputs (2)'!AJ133)=0),"",('Inputs (2)'!AJ133)/('Inputs (2)'!AJ29)),"")</f>
        <v/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spans="2:61" hidden="1" outlineLevel="1" x14ac:dyDescent="0.25">
      <c r="C249" s="30" t="s">
        <v>246</v>
      </c>
      <c r="D249" s="12" t="s">
        <v>434</v>
      </c>
      <c r="E249" s="32" t="str">
        <f>IFERROR(IF(OR(COUNT('Inputs (2)'!E140)=0,('Inputs (2)'!E140)=0),"",('Inputs (2)'!E140)),"")</f>
        <v/>
      </c>
      <c r="F249" s="32" t="str">
        <f>IFERROR(IF(OR(COUNT('Inputs (2)'!F140)=0,('Inputs (2)'!F140)=0),"",('Inputs (2)'!F140)),"")</f>
        <v/>
      </c>
      <c r="G249" s="32" t="str">
        <f>IFERROR(IF(OR(COUNT('Inputs (2)'!G140)=0,('Inputs (2)'!G140)=0),"",('Inputs (2)'!G140)),"")</f>
        <v/>
      </c>
      <c r="H249" s="32" t="str">
        <f>IFERROR(IF(OR(COUNT('Inputs (2)'!H140)=0,('Inputs (2)'!H140)=0),"",('Inputs (2)'!H140)),"")</f>
        <v/>
      </c>
      <c r="I249" s="34" t="str">
        <f>IFERROR(IF(OR(COUNT('Inputs (2)'!I140)=0,('Inputs (2)'!I140)=0),"",('Inputs (2)'!I140)),"")</f>
        <v/>
      </c>
      <c r="J249" s="32" t="str">
        <f>IFERROR(IF(OR(COUNT('Inputs (2)'!J140)=0,('Inputs (2)'!J140)=0),"",('Inputs (2)'!J140)),"")</f>
        <v/>
      </c>
      <c r="K249" s="32" t="str">
        <f>IFERROR(IF(OR(COUNT('Inputs (2)'!K140)=0,('Inputs (2)'!K140)=0),"",('Inputs (2)'!K140)),"")</f>
        <v/>
      </c>
      <c r="L249" s="32" t="str">
        <f>IFERROR(IF(OR(COUNT('Inputs (2)'!L140)=0,('Inputs (2)'!L140)=0),"",('Inputs (2)'!L140)),"")</f>
        <v/>
      </c>
      <c r="M249" s="32" t="str">
        <f>IFERROR(IF(OR(COUNT('Inputs (2)'!M140)=0,('Inputs (2)'!M140)=0),"",('Inputs (2)'!M140)),"")</f>
        <v/>
      </c>
      <c r="N249" s="34" t="str">
        <f>IFERROR(IF(OR(COUNT('Inputs (2)'!N140)=0,('Inputs (2)'!N140)=0),"",('Inputs (2)'!N140)),"")</f>
        <v/>
      </c>
      <c r="O249" s="32" t="str">
        <f>IFERROR(IF(OR(COUNT('Inputs (2)'!O140)=0,('Inputs (2)'!O140)=0),"",('Inputs (2)'!O140)),"")</f>
        <v/>
      </c>
      <c r="P249" s="32" t="str">
        <f>IFERROR(IF(OR(COUNT('Inputs (2)'!P140)=0,('Inputs (2)'!P140)=0),"",('Inputs (2)'!P140)),"")</f>
        <v/>
      </c>
      <c r="Q249" s="32" t="str">
        <f>IFERROR(IF(OR(COUNT('Inputs (2)'!Q140)=0,('Inputs (2)'!Q140)=0),"",('Inputs (2)'!Q140)),"")</f>
        <v/>
      </c>
      <c r="R249" s="32" t="str">
        <f>IFERROR(IF(OR(COUNT('Inputs (2)'!R140)=0,('Inputs (2)'!R140)=0),"",('Inputs (2)'!R140)),"")</f>
        <v/>
      </c>
      <c r="S249" s="34" t="str">
        <f>IFERROR(IF(OR(COUNT('Inputs (2)'!S140)=0,('Inputs (2)'!S140)=0),"",('Inputs (2)'!S140)),"")</f>
        <v/>
      </c>
      <c r="T249" s="32" t="str">
        <f>IFERROR(IF(OR(COUNT('Inputs (2)'!T140)=0,('Inputs (2)'!T140)=0),"",('Inputs (2)'!T140)),"")</f>
        <v/>
      </c>
      <c r="U249" s="32" t="str">
        <f>IFERROR(IF(OR(COUNT('Inputs (2)'!U140)=0,('Inputs (2)'!U140)=0),"",('Inputs (2)'!U140)),"")</f>
        <v/>
      </c>
      <c r="V249" s="32" t="str">
        <f>IFERROR(IF(OR(COUNT('Inputs (2)'!V140)=0,('Inputs (2)'!V140)=0),"",('Inputs (2)'!V140)),"")</f>
        <v/>
      </c>
      <c r="W249" s="32" t="str">
        <f>IFERROR(IF(OR(COUNT('Inputs (2)'!W140)=0,('Inputs (2)'!W140)=0),"",('Inputs (2)'!W140)),"")</f>
        <v/>
      </c>
      <c r="X249" s="34" t="str">
        <f>IFERROR(IF(OR(COUNT('Inputs (2)'!X140)=0,('Inputs (2)'!X140)=0),"",('Inputs (2)'!X140)),"")</f>
        <v/>
      </c>
      <c r="Y249" s="32" t="str">
        <f>IFERROR(IF(OR(COUNT('Inputs (2)'!Y140)=0,('Inputs (2)'!Y140)=0),"",('Inputs (2)'!Y140)),"")</f>
        <v/>
      </c>
      <c r="Z249" s="32" t="str">
        <f>IFERROR(IF(OR(COUNT('Inputs (2)'!Z140)=0,('Inputs (2)'!Z140)=0),"",('Inputs (2)'!Z140)),"")</f>
        <v/>
      </c>
      <c r="AA249" s="32" t="str">
        <f>IFERROR(IF(OR(COUNT('Inputs (2)'!AA140)=0,('Inputs (2)'!AA140)=0),"",('Inputs (2)'!AA140)),"")</f>
        <v/>
      </c>
      <c r="AB249" s="32" t="str">
        <f>IFERROR(IF(OR(COUNT('Inputs (2)'!AB140)=0,('Inputs (2)'!AB140)=0),"",('Inputs (2)'!AB140)),"")</f>
        <v/>
      </c>
      <c r="AC249" s="34" t="str">
        <f>IFERROR(IF(OR(COUNT('Inputs (2)'!AC140)=0,('Inputs (2)'!AC140)=0),"",('Inputs (2)'!AC140)),"")</f>
        <v/>
      </c>
      <c r="AD249" s="32" t="str">
        <f>IFERROR(IF(OR(COUNT('Inputs (2)'!AD140)=0,('Inputs (2)'!AD140)=0),"",('Inputs (2)'!AD140)),"")</f>
        <v/>
      </c>
      <c r="AE249" s="32" t="str">
        <f>IFERROR(IF(OR(COUNT('Inputs (2)'!AE140)=0,('Inputs (2)'!AE140)=0),"",('Inputs (2)'!AE140)),"")</f>
        <v/>
      </c>
      <c r="AF249" s="32" t="str">
        <f>IFERROR(IF(OR(COUNT('Inputs (2)'!AF140)=0,('Inputs (2)'!AF140)=0),"",('Inputs (2)'!AF140)),"")</f>
        <v/>
      </c>
      <c r="AG249" s="32" t="str">
        <f>IFERROR(IF(OR(COUNT('Inputs (2)'!AG140)=0,('Inputs (2)'!AG140)=0),"",('Inputs (2)'!AG140)),"")</f>
        <v/>
      </c>
      <c r="AH249" s="34" t="str">
        <f>IFERROR(IF(OR(COUNT('Inputs (2)'!AH140)=0,('Inputs (2)'!AH140)=0),"",('Inputs (2)'!AH140)),"")</f>
        <v/>
      </c>
      <c r="AI249" s="32" t="str">
        <f>IFERROR(IF(OR(COUNT('Inputs (2)'!AI140)=0,('Inputs (2)'!AI140)=0),"",('Inputs (2)'!AI140)),"")</f>
        <v/>
      </c>
      <c r="AJ249" s="32" t="str">
        <f>IFERROR(IF(OR(COUNT('Inputs (2)'!AJ140)=0,('Inputs (2)'!AJ140)=0),"",('Inputs (2)'!AJ140)),"")</f>
        <v/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spans="2:61" hidden="1" outlineLevel="1" x14ac:dyDescent="0.25">
      <c r="C250" s="30" t="s">
        <v>249</v>
      </c>
      <c r="D250" s="12" t="s">
        <v>435</v>
      </c>
      <c r="E250" s="32" t="str">
        <f>IFERROR(IF(OR(COUNT('Inputs (2)'!E141)=0,('Inputs (2)'!E141)=0),"",('Inputs (2)'!E141)),"")</f>
        <v/>
      </c>
      <c r="F250" s="32" t="str">
        <f>IFERROR(IF(OR(COUNT('Inputs (2)'!F141)=0,('Inputs (2)'!F141)=0),"",('Inputs (2)'!F141)),"")</f>
        <v/>
      </c>
      <c r="G250" s="32" t="str">
        <f>IFERROR(IF(OR(COUNT('Inputs (2)'!G141)=0,('Inputs (2)'!G141)=0),"",('Inputs (2)'!G141)),"")</f>
        <v/>
      </c>
      <c r="H250" s="32" t="str">
        <f>IFERROR(IF(OR(COUNT('Inputs (2)'!H141)=0,('Inputs (2)'!H141)=0),"",('Inputs (2)'!H141)),"")</f>
        <v/>
      </c>
      <c r="I250" s="34" t="str">
        <f>IFERROR(IF(OR(COUNT('Inputs (2)'!I141)=0,('Inputs (2)'!I141)=0),"",('Inputs (2)'!I141)),"")</f>
        <v/>
      </c>
      <c r="J250" s="32" t="str">
        <f>IFERROR(IF(OR(COUNT('Inputs (2)'!J141)=0,('Inputs (2)'!J141)=0),"",('Inputs (2)'!J141)),"")</f>
        <v/>
      </c>
      <c r="K250" s="32" t="str">
        <f>IFERROR(IF(OR(COUNT('Inputs (2)'!K141)=0,('Inputs (2)'!K141)=0),"",('Inputs (2)'!K141)),"")</f>
        <v/>
      </c>
      <c r="L250" s="32" t="str">
        <f>IFERROR(IF(OR(COUNT('Inputs (2)'!L141)=0,('Inputs (2)'!L141)=0),"",('Inputs (2)'!L141)),"")</f>
        <v/>
      </c>
      <c r="M250" s="32" t="str">
        <f>IFERROR(IF(OR(COUNT('Inputs (2)'!M141)=0,('Inputs (2)'!M141)=0),"",('Inputs (2)'!M141)),"")</f>
        <v/>
      </c>
      <c r="N250" s="34" t="str">
        <f>IFERROR(IF(OR(COUNT('Inputs (2)'!N141)=0,('Inputs (2)'!N141)=0),"",('Inputs (2)'!N141)),"")</f>
        <v/>
      </c>
      <c r="O250" s="32" t="str">
        <f>IFERROR(IF(OR(COUNT('Inputs (2)'!O141)=0,('Inputs (2)'!O141)=0),"",('Inputs (2)'!O141)),"")</f>
        <v/>
      </c>
      <c r="P250" s="32" t="str">
        <f>IFERROR(IF(OR(COUNT('Inputs (2)'!P141)=0,('Inputs (2)'!P141)=0),"",('Inputs (2)'!P141)),"")</f>
        <v/>
      </c>
      <c r="Q250" s="32" t="str">
        <f>IFERROR(IF(OR(COUNT('Inputs (2)'!Q141)=0,('Inputs (2)'!Q141)=0),"",('Inputs (2)'!Q141)),"")</f>
        <v/>
      </c>
      <c r="R250" s="32" t="str">
        <f>IFERROR(IF(OR(COUNT('Inputs (2)'!R141)=0,('Inputs (2)'!R141)=0),"",('Inputs (2)'!R141)),"")</f>
        <v/>
      </c>
      <c r="S250" s="34" t="str">
        <f>IFERROR(IF(OR(COUNT('Inputs (2)'!S141)=0,('Inputs (2)'!S141)=0),"",('Inputs (2)'!S141)),"")</f>
        <v/>
      </c>
      <c r="T250" s="32" t="str">
        <f>IFERROR(IF(OR(COUNT('Inputs (2)'!T141)=0,('Inputs (2)'!T141)=0),"",('Inputs (2)'!T141)),"")</f>
        <v/>
      </c>
      <c r="U250" s="32" t="str">
        <f>IFERROR(IF(OR(COUNT('Inputs (2)'!U141)=0,('Inputs (2)'!U141)=0),"",('Inputs (2)'!U141)),"")</f>
        <v/>
      </c>
      <c r="V250" s="32" t="str">
        <f>IFERROR(IF(OR(COUNT('Inputs (2)'!V141)=0,('Inputs (2)'!V141)=0),"",('Inputs (2)'!V141)),"")</f>
        <v/>
      </c>
      <c r="W250" s="32" t="str">
        <f>IFERROR(IF(OR(COUNT('Inputs (2)'!W141)=0,('Inputs (2)'!W141)=0),"",('Inputs (2)'!W141)),"")</f>
        <v/>
      </c>
      <c r="X250" s="34" t="str">
        <f>IFERROR(IF(OR(COUNT('Inputs (2)'!X141)=0,('Inputs (2)'!X141)=0),"",('Inputs (2)'!X141)),"")</f>
        <v/>
      </c>
      <c r="Y250" s="32" t="str">
        <f>IFERROR(IF(OR(COUNT('Inputs (2)'!Y141)=0,('Inputs (2)'!Y141)=0),"",('Inputs (2)'!Y141)),"")</f>
        <v/>
      </c>
      <c r="Z250" s="32" t="str">
        <f>IFERROR(IF(OR(COUNT('Inputs (2)'!Z141)=0,('Inputs (2)'!Z141)=0),"",('Inputs (2)'!Z141)),"")</f>
        <v/>
      </c>
      <c r="AA250" s="32" t="str">
        <f>IFERROR(IF(OR(COUNT('Inputs (2)'!AA141)=0,('Inputs (2)'!AA141)=0),"",('Inputs (2)'!AA141)),"")</f>
        <v/>
      </c>
      <c r="AB250" s="32" t="str">
        <f>IFERROR(IF(OR(COUNT('Inputs (2)'!AB141)=0,('Inputs (2)'!AB141)=0),"",('Inputs (2)'!AB141)),"")</f>
        <v/>
      </c>
      <c r="AC250" s="34" t="str">
        <f>IFERROR(IF(OR(COUNT('Inputs (2)'!AC141)=0,('Inputs (2)'!AC141)=0),"",('Inputs (2)'!AC141)),"")</f>
        <v/>
      </c>
      <c r="AD250" s="32" t="str">
        <f>IFERROR(IF(OR(COUNT('Inputs (2)'!AD141)=0,('Inputs (2)'!AD141)=0),"",('Inputs (2)'!AD141)),"")</f>
        <v/>
      </c>
      <c r="AE250" s="32" t="str">
        <f>IFERROR(IF(OR(COUNT('Inputs (2)'!AE141)=0,('Inputs (2)'!AE141)=0),"",('Inputs (2)'!AE141)),"")</f>
        <v/>
      </c>
      <c r="AF250" s="32" t="str">
        <f>IFERROR(IF(OR(COUNT('Inputs (2)'!AF141)=0,('Inputs (2)'!AF141)=0),"",('Inputs (2)'!AF141)),"")</f>
        <v/>
      </c>
      <c r="AG250" s="32" t="str">
        <f>IFERROR(IF(OR(COUNT('Inputs (2)'!AG141)=0,('Inputs (2)'!AG141)=0),"",('Inputs (2)'!AG141)),"")</f>
        <v/>
      </c>
      <c r="AH250" s="34" t="str">
        <f>IFERROR(IF(OR(COUNT('Inputs (2)'!AH141)=0,('Inputs (2)'!AH141)=0),"",('Inputs (2)'!AH141)),"")</f>
        <v/>
      </c>
      <c r="AI250" s="32" t="str">
        <f>IFERROR(IF(OR(COUNT('Inputs (2)'!AI141)=0,('Inputs (2)'!AI141)=0),"",('Inputs (2)'!AI141)),"")</f>
        <v/>
      </c>
      <c r="AJ250" s="32" t="str">
        <f>IFERROR(IF(OR(COUNT('Inputs (2)'!AJ141)=0,('Inputs (2)'!AJ141)=0),"",('Inputs (2)'!AJ141)),"")</f>
        <v/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spans="2:61" hidden="1" outlineLevel="1" x14ac:dyDescent="0.25">
      <c r="C251" s="30" t="s">
        <v>436</v>
      </c>
      <c r="D251" s="12" t="s">
        <v>437</v>
      </c>
      <c r="E251" s="37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 t="str">
        <f>IFERROR(IF(OR(COUNT('Inputs (2)'!L63)=0,COUNT('Inputs (2)'!K63)=0,AND(('Inputs (2)'!L63)=0,('Inputs (2)'!K63)=0)),"",('Inputs (2)'!L63)-('Inputs (2)'!K63)),"")</f>
        <v/>
      </c>
      <c r="M251" s="35" t="str">
        <f>IFERROR(IF(OR(COUNT('Inputs (2)'!M63)=0,COUNT('Inputs (2)'!L63)=0,AND(('Inputs (2)'!M63)=0,('Inputs (2)'!L63)=0)),"",('Inputs (2)'!M63)-('Inputs (2)'!L63)),"")</f>
        <v/>
      </c>
      <c r="N251" s="36" t="str">
        <f>IFERROR(IF(OR(COUNT('Inputs (2)'!N63)=0,COUNT('Inputs (2)'!I63)=0,AND(('Inputs (2)'!N63)=0,('Inputs (2)'!I63)=0)),"",('Inputs (2)'!N63)-('Inputs (2)'!I63)),"")</f>
        <v/>
      </c>
      <c r="O251" s="35" t="str">
        <f>IFERROR(IF(OR(COUNT('Inputs (2)'!O63)=0,COUNT('Inputs (2)'!M63)=0,AND(('Inputs (2)'!O63)=0,('Inputs (2)'!M63)=0)),"",('Inputs (2)'!O63)-('Inputs (2)'!M63)),"")</f>
        <v/>
      </c>
      <c r="P251" s="35" t="str">
        <f>IFERROR(IF(OR(COUNT('Inputs (2)'!P63)=0,COUNT('Inputs (2)'!O63)=0,AND(('Inputs (2)'!P63)=0,('Inputs (2)'!O63)=0)),"",('Inputs (2)'!P63)-('Inputs (2)'!O63)),"")</f>
        <v/>
      </c>
      <c r="Q251" s="35" t="str">
        <f>IFERROR(IF(OR(COUNT('Inputs (2)'!Q63)=0,COUNT('Inputs (2)'!P63)=0,AND(('Inputs (2)'!Q63)=0,('Inputs (2)'!P63)=0)),"",('Inputs (2)'!Q63)-('Inputs (2)'!P63)),"")</f>
        <v/>
      </c>
      <c r="R251" s="35" t="str">
        <f>IFERROR(IF(OR(COUNT('Inputs (2)'!R63)=0,COUNT('Inputs (2)'!Q63)=0,AND(('Inputs (2)'!R63)=0,('Inputs (2)'!Q63)=0)),"",('Inputs (2)'!R63)-('Inputs (2)'!Q63)),"")</f>
        <v/>
      </c>
      <c r="S251" s="36" t="str">
        <f>IFERROR(IF(OR(COUNT('Inputs (2)'!S63)=0,COUNT('Inputs (2)'!N63)=0,AND(('Inputs (2)'!S63)=0,('Inputs (2)'!N63)=0)),"",('Inputs (2)'!S63)-('Inputs (2)'!N63)),"")</f>
        <v/>
      </c>
      <c r="T251" s="35" t="str">
        <f>IFERROR(IF(OR(COUNT('Inputs (2)'!T63)=0,COUNT('Inputs (2)'!R63)=0,AND(('Inputs (2)'!T63)=0,('Inputs (2)'!R63)=0)),"",('Inputs (2)'!T63)-('Inputs (2)'!R63)),"")</f>
        <v/>
      </c>
      <c r="U251" s="35" t="str">
        <f>IFERROR(IF(OR(COUNT('Inputs (2)'!U63)=0,COUNT('Inputs (2)'!T63)=0,AND(('Inputs (2)'!U63)=0,('Inputs (2)'!T63)=0)),"",('Inputs (2)'!U63)-('Inputs (2)'!T63)),"")</f>
        <v/>
      </c>
      <c r="V251" s="35" t="str">
        <f>IFERROR(IF(OR(COUNT('Inputs (2)'!V63)=0,COUNT('Inputs (2)'!U63)=0,AND(('Inputs (2)'!V63)=0,('Inputs (2)'!U63)=0)),"",('Inputs (2)'!V63)-('Inputs (2)'!U63)),"")</f>
        <v/>
      </c>
      <c r="W251" s="35" t="str">
        <f>IFERROR(IF(OR(COUNT('Inputs (2)'!W63)=0,COUNT('Inputs (2)'!V63)=0,AND(('Inputs (2)'!W63)=0,('Inputs (2)'!V63)=0)),"",('Inputs (2)'!W63)-('Inputs (2)'!V63)),"")</f>
        <v/>
      </c>
      <c r="X251" s="36" t="str">
        <f>IFERROR(IF(OR(COUNT('Inputs (2)'!X63)=0,COUNT('Inputs (2)'!S63)=0,AND(('Inputs (2)'!X63)=0,('Inputs (2)'!S63)=0)),"",('Inputs (2)'!X63)-('Inputs (2)'!S63)),"")</f>
        <v/>
      </c>
      <c r="Y251" s="35" t="str">
        <f>IFERROR(IF(OR(COUNT('Inputs (2)'!Y63)=0,COUNT('Inputs (2)'!W63)=0,AND(('Inputs (2)'!Y63)=0,('Inputs (2)'!W63)=0)),"",('Inputs (2)'!Y63)-('Inputs (2)'!W63)),"")</f>
        <v/>
      </c>
      <c r="Z251" s="35" t="str">
        <f>IFERROR(IF(OR(COUNT('Inputs (2)'!Z63)=0,COUNT('Inputs (2)'!Y63)=0,AND(('Inputs (2)'!Z63)=0,('Inputs (2)'!Y63)=0)),"",('Inputs (2)'!Z63)-('Inputs (2)'!Y63)),"")</f>
        <v/>
      </c>
      <c r="AA251" s="35" t="str">
        <f>IFERROR(IF(OR(COUNT('Inputs (2)'!AA63)=0,COUNT('Inputs (2)'!Z63)=0,AND(('Inputs (2)'!AA63)=0,('Inputs (2)'!Z63)=0)),"",('Inputs (2)'!AA63)-('Inputs (2)'!Z63)),"")</f>
        <v/>
      </c>
      <c r="AB251" s="35" t="str">
        <f>IFERROR(IF(OR(COUNT('Inputs (2)'!AB63)=0,COUNT('Inputs (2)'!AA63)=0,AND(('Inputs (2)'!AB63)=0,('Inputs (2)'!AA63)=0)),"",('Inputs (2)'!AB63)-('Inputs (2)'!AA63)),"")</f>
        <v/>
      </c>
      <c r="AC251" s="36" t="str">
        <f>IFERROR(IF(OR(COUNT('Inputs (2)'!AC63)=0,COUNT('Inputs (2)'!X63)=0,AND(('Inputs (2)'!AC63)=0,('Inputs (2)'!X63)=0)),"",('Inputs (2)'!AC63)-('Inputs (2)'!X63)),"")</f>
        <v/>
      </c>
      <c r="AD251" s="35" t="str">
        <f>IFERROR(IF(OR(COUNT('Inputs (2)'!AD63)=0,COUNT('Inputs (2)'!AB63)=0,AND(('Inputs (2)'!AD63)=0,('Inputs (2)'!AB63)=0)),"",('Inputs (2)'!AD63)-('Inputs (2)'!AB63)),"")</f>
        <v/>
      </c>
      <c r="AE251" s="35" t="str">
        <f>IFERROR(IF(OR(COUNT('Inputs (2)'!AE63)=0,COUNT('Inputs (2)'!AD63)=0,AND(('Inputs (2)'!AE63)=0,('Inputs (2)'!AD63)=0)),"",('Inputs (2)'!AE63)-('Inputs (2)'!AD63)),"")</f>
        <v/>
      </c>
      <c r="AF251" s="35" t="str">
        <f>IFERROR(IF(OR(COUNT('Inputs (2)'!AF63)=0,COUNT('Inputs (2)'!AE63)=0,AND(('Inputs (2)'!AF63)=0,('Inputs (2)'!AE63)=0)),"",('Inputs (2)'!AF63)-('Inputs (2)'!AE63)),"")</f>
        <v/>
      </c>
      <c r="AG251" s="35" t="str">
        <f>IFERROR(IF(OR(COUNT('Inputs (2)'!AG63)=0,COUNT('Inputs (2)'!AF63)=0,AND(('Inputs (2)'!AG63)=0,('Inputs (2)'!AF63)=0)),"",('Inputs (2)'!AG63)-('Inputs (2)'!AF63)),"")</f>
        <v/>
      </c>
      <c r="AH251" s="36" t="str">
        <f>IFERROR(IF(OR(COUNT('Inputs (2)'!AH63)=0,COUNT('Inputs (2)'!AC63)=0,AND(('Inputs (2)'!AH63)=0,('Inputs (2)'!AC63)=0)),"",('Inputs (2)'!AH63)-('Inputs (2)'!AC63)),"")</f>
        <v/>
      </c>
      <c r="AI251" s="35" t="str">
        <f>IFERROR(IF(OR(COUNT('Inputs (2)'!AI63)=0,COUNT('Inputs (2)'!AG63)=0,AND(('Inputs (2)'!AI63)=0,('Inputs (2)'!AG63)=0)),"",('Inputs (2)'!AI63)-('Inputs (2)'!AG63)),"")</f>
        <v/>
      </c>
      <c r="AJ251" s="35" t="str">
        <f>IFERROR(IF(OR(COUNT('Inputs (2)'!AJ63)=0,COUNT('Inputs (2)'!AI63)=0,AND(('Inputs (2)'!AJ63)=0,('Inputs (2)'!AI63)=0)),"",('Inputs (2)'!AJ63)-('Inputs (2)'!AI63)),"")</f>
        <v/>
      </c>
      <c r="AK251" s="35" t="str">
        <f>IFERROR(IF(OR(COUNT('Inputs (2)'!AK63)=0,COUNT('Inputs (2)'!AJ63)=0,AND(('Inputs (2)'!AK63)=0,('Inputs (2)'!AJ63)=0)),"",('Inputs (2)'!AK63)-('Inputs (2)'!AJ63)),"")</f>
        <v/>
      </c>
      <c r="AL251" s="35" t="str">
        <f>IFERROR(IF(OR(COUNT('Inputs (2)'!AL63)=0,COUNT('Inputs (2)'!AK63)=0,AND(('Inputs (2)'!AL63)=0,('Inputs (2)'!AK63)=0)),"",('Inputs (2)'!AL63)-('Inputs (2)'!AK63)),"")</f>
        <v/>
      </c>
      <c r="AM251" s="36" t="str">
        <f>IFERROR(IF(OR(COUNT('Inputs (2)'!AM63)=0,COUNT('Inputs (2)'!AH63)=0,AND(('Inputs (2)'!AM63)=0,('Inputs (2)'!AH63)=0)),"",('Inputs (2)'!AM63)-('Inputs (2)'!AH63)),"")</f>
        <v/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spans="2:61" hidden="1" outlineLevel="1" x14ac:dyDescent="0.25">
      <c r="C252" s="30" t="s">
        <v>438</v>
      </c>
      <c r="D252" s="12" t="s">
        <v>439</v>
      </c>
      <c r="E252" s="37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 t="str">
        <f>IFERROR(IF(OR(COUNT('Inputs (2)'!H60)=0,COUNT('Inputs (2)'!G60)=0,AND(('Inputs (2)'!H60)=0,('Inputs (2)'!G60)=0)),"",('Inputs (2)'!H60)-('Inputs (2)'!G60)),"")</f>
        <v/>
      </c>
      <c r="I252" s="38"/>
      <c r="J252" s="35" t="str">
        <f>IFERROR(IF(OR(COUNT('Inputs (2)'!J60)=0,COUNT('Inputs (2)'!H60)=0,AND(('Inputs (2)'!J60)=0,('Inputs (2)'!H60)=0)),"",('Inputs (2)'!J60)-('Inputs (2)'!H60)),"")</f>
        <v/>
      </c>
      <c r="K252" s="35" t="str">
        <f>IFERROR(IF(OR(COUNT('Inputs (2)'!K60)=0,COUNT('Inputs (2)'!J60)=0,AND(('Inputs (2)'!K60)=0,('Inputs (2)'!J60)=0)),"",('Inputs (2)'!K60)-('Inputs (2)'!J60)),"")</f>
        <v/>
      </c>
      <c r="L252" s="35" t="str">
        <f>IFERROR(IF(OR(COUNT('Inputs (2)'!L60)=0,COUNT('Inputs (2)'!K60)=0,AND(('Inputs (2)'!L60)=0,('Inputs (2)'!K60)=0)),"",('Inputs (2)'!L60)-('Inputs (2)'!K60)),"")</f>
        <v/>
      </c>
      <c r="M252" s="35" t="str">
        <f>IFERROR(IF(OR(COUNT('Inputs (2)'!M60)=0,COUNT('Inputs (2)'!L60)=0,AND(('Inputs (2)'!M60)=0,('Inputs (2)'!L60)=0)),"",('Inputs (2)'!M60)-('Inputs (2)'!L60)),"")</f>
        <v/>
      </c>
      <c r="N252" s="36" t="str">
        <f>IFERROR(IF(OR(COUNT('Inputs (2)'!N60)=0,COUNT('Inputs (2)'!I60)=0,AND(('Inputs (2)'!N60)=0,('Inputs (2)'!I60)=0)),"",('Inputs (2)'!N60)-('Inputs (2)'!I60)),"")</f>
        <v/>
      </c>
      <c r="O252" s="35" t="str">
        <f>IFERROR(IF(OR(COUNT('Inputs (2)'!O60)=0,COUNT('Inputs (2)'!M60)=0,AND(('Inputs (2)'!O60)=0,('Inputs (2)'!M60)=0)),"",('Inputs (2)'!O60)-('Inputs (2)'!M60)),"")</f>
        <v/>
      </c>
      <c r="P252" s="35" t="str">
        <f>IFERROR(IF(OR(COUNT('Inputs (2)'!P60)=0,COUNT('Inputs (2)'!O60)=0,AND(('Inputs (2)'!P60)=0,('Inputs (2)'!O60)=0)),"",('Inputs (2)'!P60)-('Inputs (2)'!O60)),"")</f>
        <v/>
      </c>
      <c r="Q252" s="35" t="str">
        <f>IFERROR(IF(OR(COUNT('Inputs (2)'!Q60)=0,COUNT('Inputs (2)'!P60)=0,AND(('Inputs (2)'!Q60)=0,('Inputs (2)'!P60)=0)),"",('Inputs (2)'!Q60)-('Inputs (2)'!P60)),"")</f>
        <v/>
      </c>
      <c r="R252" s="35" t="str">
        <f>IFERROR(IF(OR(COUNT('Inputs (2)'!R60)=0,COUNT('Inputs (2)'!Q60)=0,AND(('Inputs (2)'!R60)=0,('Inputs (2)'!Q60)=0)),"",('Inputs (2)'!R60)-('Inputs (2)'!Q60)),"")</f>
        <v/>
      </c>
      <c r="S252" s="36" t="str">
        <f>IFERROR(IF(OR(COUNT('Inputs (2)'!S60)=0,COUNT('Inputs (2)'!N60)=0,AND(('Inputs (2)'!S60)=0,('Inputs (2)'!N60)=0)),"",('Inputs (2)'!S60)-('Inputs (2)'!N60)),"")</f>
        <v/>
      </c>
      <c r="T252" s="35" t="str">
        <f>IFERROR(IF(OR(COUNT('Inputs (2)'!T60)=0,COUNT('Inputs (2)'!R60)=0,AND(('Inputs (2)'!T60)=0,('Inputs (2)'!R60)=0)),"",('Inputs (2)'!T60)-('Inputs (2)'!R60)),"")</f>
        <v/>
      </c>
      <c r="U252" s="35" t="str">
        <f>IFERROR(IF(OR(COUNT('Inputs (2)'!U60)=0,COUNT('Inputs (2)'!T60)=0,AND(('Inputs (2)'!U60)=0,('Inputs (2)'!T60)=0)),"",('Inputs (2)'!U60)-('Inputs (2)'!T60)),"")</f>
        <v/>
      </c>
      <c r="V252" s="35" t="str">
        <f>IFERROR(IF(OR(COUNT('Inputs (2)'!V60)=0,COUNT('Inputs (2)'!U60)=0,AND(('Inputs (2)'!V60)=0,('Inputs (2)'!U60)=0)),"",('Inputs (2)'!V60)-('Inputs (2)'!U60)),"")</f>
        <v/>
      </c>
      <c r="W252" s="35" t="str">
        <f>IFERROR(IF(OR(COUNT('Inputs (2)'!W60)=0,COUNT('Inputs (2)'!V60)=0,AND(('Inputs (2)'!W60)=0,('Inputs (2)'!V60)=0)),"",('Inputs (2)'!W60)-('Inputs (2)'!V60)),"")</f>
        <v/>
      </c>
      <c r="X252" s="36" t="str">
        <f>IFERROR(IF(OR(COUNT('Inputs (2)'!X60)=0,COUNT('Inputs (2)'!S60)=0,AND(('Inputs (2)'!X60)=0,('Inputs (2)'!S60)=0)),"",('Inputs (2)'!X60)-('Inputs (2)'!S60)),"")</f>
        <v/>
      </c>
      <c r="Y252" s="35" t="str">
        <f>IFERROR(IF(OR(COUNT('Inputs (2)'!Y60)=0,COUNT('Inputs (2)'!W60)=0,AND(('Inputs (2)'!Y60)=0,('Inputs (2)'!W60)=0)),"",('Inputs (2)'!Y60)-('Inputs (2)'!W60)),"")</f>
        <v/>
      </c>
      <c r="Z252" s="35" t="str">
        <f>IFERROR(IF(OR(COUNT('Inputs (2)'!Z60)=0,COUNT('Inputs (2)'!Y60)=0,AND(('Inputs (2)'!Z60)=0,('Inputs (2)'!Y60)=0)),"",('Inputs (2)'!Z60)-('Inputs (2)'!Y60)),"")</f>
        <v/>
      </c>
      <c r="AA252" s="35" t="str">
        <f>IFERROR(IF(OR(COUNT('Inputs (2)'!AA60)=0,COUNT('Inputs (2)'!Z60)=0,AND(('Inputs (2)'!AA60)=0,('Inputs (2)'!Z60)=0)),"",('Inputs (2)'!AA60)-('Inputs (2)'!Z60)),"")</f>
        <v/>
      </c>
      <c r="AB252" s="35" t="str">
        <f>IFERROR(IF(OR(COUNT('Inputs (2)'!AB60)=0,COUNT('Inputs (2)'!AA60)=0,AND(('Inputs (2)'!AB60)=0,('Inputs (2)'!AA60)=0)),"",('Inputs (2)'!AB60)-('Inputs (2)'!AA60)),"")</f>
        <v/>
      </c>
      <c r="AC252" s="36" t="str">
        <f>IFERROR(IF(OR(COUNT('Inputs (2)'!AC60)=0,COUNT('Inputs (2)'!X60)=0,AND(('Inputs (2)'!AC60)=0,('Inputs (2)'!X60)=0)),"",('Inputs (2)'!AC60)-('Inputs (2)'!X60)),"")</f>
        <v/>
      </c>
      <c r="AD252" s="35" t="str">
        <f>IFERROR(IF(OR(COUNT('Inputs (2)'!AD60)=0,COUNT('Inputs (2)'!AB60)=0,AND(('Inputs (2)'!AD60)=0,('Inputs (2)'!AB60)=0)),"",('Inputs (2)'!AD60)-('Inputs (2)'!AB60)),"")</f>
        <v/>
      </c>
      <c r="AE252" s="35" t="str">
        <f>IFERROR(IF(OR(COUNT('Inputs (2)'!AE60)=0,COUNT('Inputs (2)'!AD60)=0,AND(('Inputs (2)'!AE60)=0,('Inputs (2)'!AD60)=0)),"",('Inputs (2)'!AE60)-('Inputs (2)'!AD60)),"")</f>
        <v/>
      </c>
      <c r="AF252" s="35" t="str">
        <f>IFERROR(IF(OR(COUNT('Inputs (2)'!AF60)=0,COUNT('Inputs (2)'!AE60)=0,AND(('Inputs (2)'!AF60)=0,('Inputs (2)'!AE60)=0)),"",('Inputs (2)'!AF60)-('Inputs (2)'!AE60)),"")</f>
        <v/>
      </c>
      <c r="AG252" s="35" t="str">
        <f>IFERROR(IF(OR(COUNT('Inputs (2)'!AG60)=0,COUNT('Inputs (2)'!AF60)=0,AND(('Inputs (2)'!AG60)=0,('Inputs (2)'!AF60)=0)),"",('Inputs (2)'!AG60)-('Inputs (2)'!AF60)),"")</f>
        <v/>
      </c>
      <c r="AH252" s="36" t="str">
        <f>IFERROR(IF(OR(COUNT('Inputs (2)'!AH60)=0,COUNT('Inputs (2)'!AC60)=0,AND(('Inputs (2)'!AH60)=0,('Inputs (2)'!AC60)=0)),"",('Inputs (2)'!AH60)-('Inputs (2)'!AC60)),"")</f>
        <v/>
      </c>
      <c r="AI252" s="35" t="str">
        <f>IFERROR(IF(OR(COUNT('Inputs (2)'!AI60)=0,COUNT('Inputs (2)'!AG60)=0,AND(('Inputs (2)'!AI60)=0,('Inputs (2)'!AG60)=0)),"",('Inputs (2)'!AI60)-('Inputs (2)'!AG60)),"")</f>
        <v/>
      </c>
      <c r="AJ252" s="35" t="str">
        <f>IFERROR(IF(OR(COUNT('Inputs (2)'!AJ60)=0,COUNT('Inputs (2)'!AI60)=0,AND(('Inputs (2)'!AJ60)=0,('Inputs (2)'!AI60)=0)),"",('Inputs (2)'!AJ60)-('Inputs (2)'!AI60)),"")</f>
        <v/>
      </c>
      <c r="AK252" s="35" t="str">
        <f>IFERROR(IF(OR(COUNT('Inputs (2)'!AK60)=0,COUNT('Inputs (2)'!AJ60)=0,AND(('Inputs (2)'!AK60)=0,('Inputs (2)'!AJ60)=0)),"",('Inputs (2)'!AK60)-('Inputs (2)'!AJ60)),"")</f>
        <v/>
      </c>
      <c r="AL252" s="35" t="str">
        <f>IFERROR(IF(OR(COUNT('Inputs (2)'!AL60)=0,COUNT('Inputs (2)'!AK60)=0,AND(('Inputs (2)'!AL60)=0,('Inputs (2)'!AK60)=0)),"",('Inputs (2)'!AL60)-('Inputs (2)'!AK60)),"")</f>
        <v/>
      </c>
      <c r="AM252" s="36" t="str">
        <f>IFERROR(IF(OR(COUNT('Inputs (2)'!AM60)=0,COUNT('Inputs (2)'!AH60)=0,AND(('Inputs (2)'!AM60)=0,('Inputs (2)'!AH60)=0)),"",('Inputs (2)'!AM60)-('Inputs (2)'!AH60)),"")</f>
        <v/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spans="2:61" hidden="1" outlineLevel="1" x14ac:dyDescent="0.25">
      <c r="B253" s="29"/>
      <c r="C253" s="29" t="s">
        <v>440</v>
      </c>
      <c r="D253" s="29" t="s">
        <v>441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</row>
    <row r="254" spans="2:61" hidden="1" outlineLevel="1" x14ac:dyDescent="0.25">
      <c r="C254" s="30" t="s">
        <v>442</v>
      </c>
      <c r="D254" s="12" t="s">
        <v>443</v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 t="str">
        <f>IFERROR(IF(OR(ABS('Inputs (2)'!M111)=0,('Inputs (2)'!M121)=0),"",ABS('Inputs (2)'!M121)/ABS('Inputs (2)'!M111)),"")</f>
        <v/>
      </c>
      <c r="N254" s="34" t="str">
        <f>IFERROR(IF(OR(ABS('Inputs (2)'!N111)=0,('Inputs (2)'!N121)=0),"",ABS('Inputs (2)'!N121)/ABS('Inputs (2)'!N111)),"")</f>
        <v/>
      </c>
      <c r="O254" s="32" t="str">
        <f>IFERROR(IF(OR(ABS('Inputs (2)'!O111)=0,('Inputs (2)'!O121)=0),"",ABS('Inputs (2)'!O121)/ABS('Inputs (2)'!O111)),"")</f>
        <v/>
      </c>
      <c r="P254" s="32" t="str">
        <f>IFERROR(IF(OR(ABS('Inputs (2)'!P111)=0,('Inputs (2)'!P121)=0),"",ABS('Inputs (2)'!P121)/ABS('Inputs (2)'!P111)),"")</f>
        <v/>
      </c>
      <c r="Q254" s="32" t="str">
        <f>IFERROR(IF(OR(ABS('Inputs (2)'!Q111)=0,('Inputs (2)'!Q121)=0),"",ABS('Inputs (2)'!Q121)/ABS('Inputs (2)'!Q111)),"")</f>
        <v/>
      </c>
      <c r="R254" s="32" t="str">
        <f>IFERROR(IF(OR(ABS('Inputs (2)'!R111)=0,('Inputs (2)'!R121)=0),"",ABS('Inputs (2)'!R121)/ABS('Inputs (2)'!R111)),"")</f>
        <v/>
      </c>
      <c r="S254" s="34" t="str">
        <f>IFERROR(IF(OR(ABS('Inputs (2)'!S111)=0,('Inputs (2)'!S121)=0),"",ABS('Inputs (2)'!S121)/ABS('Inputs (2)'!S111)),"")</f>
        <v/>
      </c>
      <c r="T254" s="32" t="str">
        <f>IFERROR(IF(OR(ABS('Inputs (2)'!T111)=0,('Inputs (2)'!T121)=0),"",ABS('Inputs (2)'!T121)/ABS('Inputs (2)'!T111)),"")</f>
        <v/>
      </c>
      <c r="U254" s="32" t="str">
        <f>IFERROR(IF(OR(ABS('Inputs (2)'!U111)=0,('Inputs (2)'!U121)=0),"",ABS('Inputs (2)'!U121)/ABS('Inputs (2)'!U111)),"")</f>
        <v/>
      </c>
      <c r="V254" s="32" t="str">
        <f>IFERROR(IF(OR(ABS('Inputs (2)'!V111)=0,('Inputs (2)'!V121)=0),"",ABS('Inputs (2)'!V121)/ABS('Inputs (2)'!V111)),"")</f>
        <v/>
      </c>
      <c r="W254" s="32" t="str">
        <f>IFERROR(IF(OR(ABS('Inputs (2)'!W111)=0,('Inputs (2)'!W121)=0),"",ABS('Inputs (2)'!W121)/ABS('Inputs (2)'!W111)),"")</f>
        <v/>
      </c>
      <c r="X254" s="34" t="str">
        <f>IFERROR(IF(OR(ABS('Inputs (2)'!X111)=0,('Inputs (2)'!X121)=0),"",ABS('Inputs (2)'!X121)/ABS('Inputs (2)'!X111)),"")</f>
        <v/>
      </c>
      <c r="Y254" s="32" t="str">
        <f>IFERROR(IF(OR(ABS('Inputs (2)'!Y111)=0,('Inputs (2)'!Y121)=0),"",ABS('Inputs (2)'!Y121)/ABS('Inputs (2)'!Y111)),"")</f>
        <v/>
      </c>
      <c r="Z254" s="32" t="str">
        <f>IFERROR(IF(OR(ABS('Inputs (2)'!Z111)=0,('Inputs (2)'!Z121)=0),"",ABS('Inputs (2)'!Z121)/ABS('Inputs (2)'!Z111)),"")</f>
        <v/>
      </c>
      <c r="AA254" s="32" t="str">
        <f>IFERROR(IF(OR(ABS('Inputs (2)'!AA111)=0,('Inputs (2)'!AA121)=0),"",ABS('Inputs (2)'!AA121)/ABS('Inputs (2)'!AA111)),"")</f>
        <v/>
      </c>
      <c r="AB254" s="32" t="str">
        <f>IFERROR(IF(OR(ABS('Inputs (2)'!AB111)=0,('Inputs (2)'!AB121)=0),"",ABS('Inputs (2)'!AB121)/ABS('Inputs (2)'!AB111)),"")</f>
        <v/>
      </c>
      <c r="AC254" s="34" t="str">
        <f>IFERROR(IF(OR(ABS('Inputs (2)'!AC111)=0,('Inputs (2)'!AC121)=0),"",ABS('Inputs (2)'!AC121)/ABS('Inputs (2)'!AC111)),"")</f>
        <v/>
      </c>
      <c r="AD254" s="32" t="str">
        <f>IFERROR(IF(OR(ABS('Inputs (2)'!AD111)=0,('Inputs (2)'!AD121)=0),"",ABS('Inputs (2)'!AD121)/ABS('Inputs (2)'!AD111)),"")</f>
        <v/>
      </c>
      <c r="AE254" s="32" t="str">
        <f>IFERROR(IF(OR(ABS('Inputs (2)'!AE111)=0,('Inputs (2)'!AE121)=0),"",ABS('Inputs (2)'!AE121)/ABS('Inputs (2)'!AE111)),"")</f>
        <v/>
      </c>
      <c r="AF254" s="32" t="str">
        <f>IFERROR(IF(OR(ABS('Inputs (2)'!AF111)=0,('Inputs (2)'!AF121)=0),"",ABS('Inputs (2)'!AF121)/ABS('Inputs (2)'!AF111)),"")</f>
        <v/>
      </c>
      <c r="AG254" s="32" t="str">
        <f>IFERROR(IF(OR(ABS('Inputs (2)'!AG111)=0,('Inputs (2)'!AG121)=0),"",ABS('Inputs (2)'!AG121)/ABS('Inputs (2)'!AG111)),"")</f>
        <v/>
      </c>
      <c r="AH254" s="34" t="str">
        <f>IFERROR(IF(OR(ABS('Inputs (2)'!AH111)=0,('Inputs (2)'!AH121)=0),"",ABS('Inputs (2)'!AH121)/ABS('Inputs (2)'!AH111)),"")</f>
        <v/>
      </c>
      <c r="AI254" s="32" t="str">
        <f>IFERROR(IF(OR(ABS('Inputs (2)'!AI111)=0,('Inputs (2)'!AI121)=0),"",ABS('Inputs (2)'!AI121)/ABS('Inputs (2)'!AI111)),"")</f>
        <v/>
      </c>
      <c r="AJ254" s="32" t="str">
        <f>IFERROR(IF(OR(ABS('Inputs (2)'!AJ111)=0,('Inputs (2)'!AJ121)=0),"",ABS('Inputs (2)'!AJ121)/ABS('Inputs (2)'!AJ111)),"")</f>
        <v/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spans="2:61" hidden="1" outlineLevel="1" x14ac:dyDescent="0.25">
      <c r="C255" s="30" t="s">
        <v>444</v>
      </c>
      <c r="D255" s="12" t="s">
        <v>445</v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spans="2:61" hidden="1" outlineLevel="1" x14ac:dyDescent="0.25">
      <c r="C256" s="30" t="s">
        <v>446</v>
      </c>
      <c r="D256" s="12" t="s">
        <v>447</v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 t="str">
        <f>IFERROR(IF(OR(ABS('Inputs (2)'!AD121)=0,('Inputs (2)'!AD120)=0),"",ABS('Inputs (2)'!AD120)/ABS('Inputs (2)'!AD121)),"")</f>
        <v/>
      </c>
      <c r="AE256" s="32" t="str">
        <f>IFERROR(IF(OR(ABS('Inputs (2)'!AE121)=0,('Inputs (2)'!AE120)=0),"",ABS('Inputs (2)'!AE120)/ABS('Inputs (2)'!AE121)),"")</f>
        <v/>
      </c>
      <c r="AF256" s="32" t="str">
        <f>IFERROR(IF(OR(ABS('Inputs (2)'!AF121)=0,('Inputs (2)'!AF120)=0),"",ABS('Inputs (2)'!AF120)/ABS('Inputs (2)'!AF121)),"")</f>
        <v/>
      </c>
      <c r="AG256" s="32" t="str">
        <f>IFERROR(IF(OR(ABS('Inputs (2)'!AG121)=0,('Inputs (2)'!AG120)=0),"",ABS('Inputs (2)'!AG120)/ABS('Inputs (2)'!AG121)),"")</f>
        <v/>
      </c>
      <c r="AH256" s="34" t="str">
        <f>IFERROR(IF(OR(ABS('Inputs (2)'!AH121)=0,('Inputs (2)'!AH120)=0),"",ABS('Inputs (2)'!AH120)/ABS('Inputs (2)'!AH121)),"")</f>
        <v/>
      </c>
      <c r="AI256" s="32" t="str">
        <f>IFERROR(IF(OR(ABS('Inputs (2)'!AI121)=0,('Inputs (2)'!AI120)=0),"",ABS('Inputs (2)'!AI120)/ABS('Inputs (2)'!AI121)),"")</f>
        <v/>
      </c>
      <c r="AJ256" s="32" t="str">
        <f>IFERROR(IF(OR(ABS('Inputs (2)'!AJ121)=0,('Inputs (2)'!AJ120)=0),"",ABS('Inputs (2)'!AJ120)/ABS('Inputs (2)'!AJ121)),"")</f>
        <v/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spans="2:61" hidden="1" outlineLevel="1" x14ac:dyDescent="0.25">
      <c r="C257" s="30" t="s">
        <v>448</v>
      </c>
      <c r="D257" s="12" t="s">
        <v>449</v>
      </c>
      <c r="E257" s="32" t="str">
        <f>IFERROR(IF(OR(ABS('Inputs (2)'!E111)=0,('Inputs (2)'!E120)=0),"",ABS('Inputs (2)'!E120)/ABS('Inputs (2)'!E111)),"")</f>
        <v/>
      </c>
      <c r="F257" s="32" t="str">
        <f>IFERROR(IF(OR(ABS('Inputs (2)'!F111)=0,('Inputs (2)'!F120)=0),"",ABS('Inputs (2)'!F120)/ABS('Inputs (2)'!F111)),"")</f>
        <v/>
      </c>
      <c r="G257" s="32" t="str">
        <f>IFERROR(IF(OR(ABS('Inputs (2)'!G111)=0,('Inputs (2)'!G120)=0),"",ABS('Inputs (2)'!G120)/ABS('Inputs (2)'!G111)),"")</f>
        <v/>
      </c>
      <c r="H257" s="32" t="str">
        <f>IFERROR(IF(OR(ABS('Inputs (2)'!H111)=0,('Inputs (2)'!H120)=0),"",ABS('Inputs (2)'!H120)/ABS('Inputs (2)'!H111)),"")</f>
        <v/>
      </c>
      <c r="I257" s="34" t="str">
        <f>IFERROR(IF(OR(ABS('Inputs (2)'!I111)=0,('Inputs (2)'!I120)=0),"",ABS('Inputs (2)'!I120)/ABS('Inputs (2)'!I111)),"")</f>
        <v/>
      </c>
      <c r="J257" s="32" t="str">
        <f>IFERROR(IF(OR(ABS('Inputs (2)'!J111)=0,('Inputs (2)'!J120)=0),"",ABS('Inputs (2)'!J120)/ABS('Inputs (2)'!J111)),"")</f>
        <v/>
      </c>
      <c r="K257" s="32" t="str">
        <f>IFERROR(IF(OR(ABS('Inputs (2)'!K111)=0,('Inputs (2)'!K120)=0),"",ABS('Inputs (2)'!K120)/ABS('Inputs (2)'!K111)),"")</f>
        <v/>
      </c>
      <c r="L257" s="32" t="str">
        <f>IFERROR(IF(OR(ABS('Inputs (2)'!L111)=0,('Inputs (2)'!L120)=0),"",ABS('Inputs (2)'!L120)/ABS('Inputs (2)'!L111)),"")</f>
        <v/>
      </c>
      <c r="M257" s="32" t="str">
        <f>IFERROR(IF(OR(ABS('Inputs (2)'!M111)=0,('Inputs (2)'!M120)=0),"",ABS('Inputs (2)'!M120)/ABS('Inputs (2)'!M111)),"")</f>
        <v/>
      </c>
      <c r="N257" s="34" t="str">
        <f>IFERROR(IF(OR(ABS('Inputs (2)'!N111)=0,('Inputs (2)'!N120)=0),"",ABS('Inputs (2)'!N120)/ABS('Inputs (2)'!N111)),"")</f>
        <v/>
      </c>
      <c r="O257" s="32" t="str">
        <f>IFERROR(IF(OR(ABS('Inputs (2)'!O111)=0,('Inputs (2)'!O120)=0),"",ABS('Inputs (2)'!O120)/ABS('Inputs (2)'!O111)),"")</f>
        <v/>
      </c>
      <c r="P257" s="32" t="str">
        <f>IFERROR(IF(OR(ABS('Inputs (2)'!P111)=0,('Inputs (2)'!P120)=0),"",ABS('Inputs (2)'!P120)/ABS('Inputs (2)'!P111)),"")</f>
        <v/>
      </c>
      <c r="Q257" s="32" t="str">
        <f>IFERROR(IF(OR(ABS('Inputs (2)'!Q111)=0,('Inputs (2)'!Q120)=0),"",ABS('Inputs (2)'!Q120)/ABS('Inputs (2)'!Q111)),"")</f>
        <v/>
      </c>
      <c r="R257" s="32" t="str">
        <f>IFERROR(IF(OR(ABS('Inputs (2)'!R111)=0,('Inputs (2)'!R120)=0),"",ABS('Inputs (2)'!R120)/ABS('Inputs (2)'!R111)),"")</f>
        <v/>
      </c>
      <c r="S257" s="34" t="str">
        <f>IFERROR(IF(OR(ABS('Inputs (2)'!S111)=0,('Inputs (2)'!S120)=0),"",ABS('Inputs (2)'!S120)/ABS('Inputs (2)'!S111)),"")</f>
        <v/>
      </c>
      <c r="T257" s="32" t="str">
        <f>IFERROR(IF(OR(ABS('Inputs (2)'!T111)=0,('Inputs (2)'!T120)=0),"",ABS('Inputs (2)'!T120)/ABS('Inputs (2)'!T111)),"")</f>
        <v/>
      </c>
      <c r="U257" s="32" t="str">
        <f>IFERROR(IF(OR(ABS('Inputs (2)'!U111)=0,('Inputs (2)'!U120)=0),"",ABS('Inputs (2)'!U120)/ABS('Inputs (2)'!U111)),"")</f>
        <v/>
      </c>
      <c r="V257" s="32" t="str">
        <f>IFERROR(IF(OR(ABS('Inputs (2)'!V111)=0,('Inputs (2)'!V120)=0),"",ABS('Inputs (2)'!V120)/ABS('Inputs (2)'!V111)),"")</f>
        <v/>
      </c>
      <c r="W257" s="32" t="str">
        <f>IFERROR(IF(OR(ABS('Inputs (2)'!W111)=0,('Inputs (2)'!W120)=0),"",ABS('Inputs (2)'!W120)/ABS('Inputs (2)'!W111)),"")</f>
        <v/>
      </c>
      <c r="X257" s="34" t="str">
        <f>IFERROR(IF(OR(ABS('Inputs (2)'!X111)=0,('Inputs (2)'!X120)=0),"",ABS('Inputs (2)'!X120)/ABS('Inputs (2)'!X111)),"")</f>
        <v/>
      </c>
      <c r="Y257" s="32" t="str">
        <f>IFERROR(IF(OR(ABS('Inputs (2)'!Y111)=0,('Inputs (2)'!Y120)=0),"",ABS('Inputs (2)'!Y120)/ABS('Inputs (2)'!Y111)),"")</f>
        <v/>
      </c>
      <c r="Z257" s="32" t="str">
        <f>IFERROR(IF(OR(ABS('Inputs (2)'!Z111)=0,('Inputs (2)'!Z120)=0),"",ABS('Inputs (2)'!Z120)/ABS('Inputs (2)'!Z111)),"")</f>
        <v/>
      </c>
      <c r="AA257" s="32" t="str">
        <f>IFERROR(IF(OR(ABS('Inputs (2)'!AA111)=0,('Inputs (2)'!AA120)=0),"",ABS('Inputs (2)'!AA120)/ABS('Inputs (2)'!AA111)),"")</f>
        <v/>
      </c>
      <c r="AB257" s="32" t="str">
        <f>IFERROR(IF(OR(ABS('Inputs (2)'!AB111)=0,('Inputs (2)'!AB120)=0),"",ABS('Inputs (2)'!AB120)/ABS('Inputs (2)'!AB111)),"")</f>
        <v/>
      </c>
      <c r="AC257" s="34" t="str">
        <f>IFERROR(IF(OR(ABS('Inputs (2)'!AC111)=0,('Inputs (2)'!AC120)=0),"",ABS('Inputs (2)'!AC120)/ABS('Inputs (2)'!AC111)),"")</f>
        <v/>
      </c>
      <c r="AD257" s="32" t="str">
        <f>IFERROR(IF(OR(ABS('Inputs (2)'!AD111)=0,('Inputs (2)'!AD120)=0),"",ABS('Inputs (2)'!AD120)/ABS('Inputs (2)'!AD111)),"")</f>
        <v/>
      </c>
      <c r="AE257" s="32" t="str">
        <f>IFERROR(IF(OR(ABS('Inputs (2)'!AE111)=0,('Inputs (2)'!AE120)=0),"",ABS('Inputs (2)'!AE120)/ABS('Inputs (2)'!AE111)),"")</f>
        <v/>
      </c>
      <c r="AF257" s="32" t="str">
        <f>IFERROR(IF(OR(ABS('Inputs (2)'!AF111)=0,('Inputs (2)'!AF120)=0),"",ABS('Inputs (2)'!AF120)/ABS('Inputs (2)'!AF111)),"")</f>
        <v/>
      </c>
      <c r="AG257" s="32" t="str">
        <f>IFERROR(IF(OR(ABS('Inputs (2)'!AG111)=0,('Inputs (2)'!AG120)=0),"",ABS('Inputs (2)'!AG120)/ABS('Inputs (2)'!AG111)),"")</f>
        <v/>
      </c>
      <c r="AH257" s="34" t="str">
        <f>IFERROR(IF(OR(ABS('Inputs (2)'!AH111)=0,('Inputs (2)'!AH120)=0),"",ABS('Inputs (2)'!AH120)/ABS('Inputs (2)'!AH111)),"")</f>
        <v/>
      </c>
      <c r="AI257" s="32" t="str">
        <f>IFERROR(IF(OR(ABS('Inputs (2)'!AI111)=0,('Inputs (2)'!AI120)=0),"",ABS('Inputs (2)'!AI120)/ABS('Inputs (2)'!AI111)),"")</f>
        <v/>
      </c>
      <c r="AJ257" s="32" t="str">
        <f>IFERROR(IF(OR(ABS('Inputs (2)'!AJ111)=0,('Inputs (2)'!AJ120)=0),"",ABS('Inputs (2)'!AJ120)/ABS('Inputs (2)'!AJ111)),"")</f>
        <v/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spans="2:61" collapsed="1" x14ac:dyDescent="0.25"/>
    <row r="259" spans="2:61" x14ac:dyDescent="0.25">
      <c r="B259" s="7"/>
      <c r="C259" s="7" t="s">
        <v>450</v>
      </c>
      <c r="D259" s="7" t="s">
        <v>451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28" t="s">
        <v>452</v>
      </c>
    </row>
    <row r="260" spans="2:61" x14ac:dyDescent="0.25">
      <c r="C260" s="11" t="s">
        <v>453</v>
      </c>
      <c r="D260" s="12" t="s">
        <v>454</v>
      </c>
      <c r="E260" s="130">
        <v>3.7499999999999999E-2</v>
      </c>
      <c r="F260" s="130">
        <v>2.2499999999999999E-2</v>
      </c>
      <c r="G260" s="130">
        <v>0.02</v>
      </c>
      <c r="H260" s="130">
        <v>0.02</v>
      </c>
      <c r="I260" s="131">
        <f>IF(H260="","",H260)</f>
        <v>0.02</v>
      </c>
      <c r="J260" s="130">
        <v>2.75E-2</v>
      </c>
      <c r="K260" s="130">
        <v>4.2500000000000003E-2</v>
      </c>
      <c r="L260" s="130">
        <v>6.25E-2</v>
      </c>
      <c r="M260" s="130">
        <v>9.2499999999999999E-2</v>
      </c>
      <c r="N260" s="131">
        <f>IF(M260="","",M260)</f>
        <v>9.2499999999999999E-2</v>
      </c>
      <c r="O260" s="130">
        <v>0.11749999999999999</v>
      </c>
      <c r="P260" s="130">
        <v>0.13250000000000001</v>
      </c>
      <c r="Q260" s="130">
        <v>0.13750000000000001</v>
      </c>
      <c r="R260" s="130">
        <v>0.13750000000000001</v>
      </c>
      <c r="S260" s="131">
        <f>IF(R260="","",R260)</f>
        <v>0.13750000000000001</v>
      </c>
      <c r="T260" s="130">
        <v>0.13750000000000001</v>
      </c>
      <c r="U260" s="130">
        <v>0.13750000000000001</v>
      </c>
      <c r="V260" s="130">
        <v>0.1275</v>
      </c>
      <c r="W260" s="130">
        <v>0.11749999999999999</v>
      </c>
      <c r="X260" s="131">
        <f>IF(W260="","",W260)</f>
        <v>0.11749999999999999</v>
      </c>
      <c r="Y260" s="130">
        <v>0.1075</v>
      </c>
      <c r="Z260" s="130">
        <v>0.105</v>
      </c>
      <c r="AA260" s="130">
        <v>0.1075</v>
      </c>
      <c r="AB260" s="130">
        <v>0.1225</v>
      </c>
      <c r="AC260" s="131">
        <f>IF(AB260="","",AB260)</f>
        <v>0.1225</v>
      </c>
      <c r="AD260" s="130">
        <v>0.14249999999999999</v>
      </c>
      <c r="AE260" s="130">
        <v>0.15</v>
      </c>
      <c r="AF260" s="130">
        <v>0.15</v>
      </c>
      <c r="AG260" s="130">
        <v>0.15</v>
      </c>
      <c r="AH260" s="39">
        <f>IF(AG260="","",AG260)</f>
        <v>0.15</v>
      </c>
      <c r="AI260" s="40"/>
      <c r="AJ260" s="40"/>
      <c r="AK260" s="40"/>
      <c r="AL260" s="40"/>
      <c r="AM260" s="39" t="str">
        <f>IF(AL260="","",AL260)</f>
        <v/>
      </c>
      <c r="AN260" s="40"/>
      <c r="AO260" s="40"/>
      <c r="AP260" s="40"/>
      <c r="AQ260" s="40"/>
      <c r="AR260" s="39" t="str">
        <f>IF(AQ260="","",AQ260)</f>
        <v/>
      </c>
      <c r="AS260" s="40"/>
      <c r="AT260" s="40"/>
      <c r="AU260" s="40"/>
      <c r="AV260" s="40"/>
      <c r="AW260" s="39" t="str">
        <f>IF(AV260="","",AV260)</f>
        <v/>
      </c>
      <c r="AX260" s="40"/>
      <c r="AY260" s="40"/>
      <c r="AZ260" s="40"/>
      <c r="BA260" s="40"/>
      <c r="BB260" s="39" t="str">
        <f>IF(BA260="","",BA260)</f>
        <v/>
      </c>
      <c r="BC260" s="40"/>
      <c r="BD260" s="40"/>
      <c r="BE260" s="40"/>
      <c r="BF260" s="40"/>
      <c r="BG260" s="39" t="str">
        <f>IF(BF260="","",BF260)</f>
        <v/>
      </c>
      <c r="BI260" s="14" t="s">
        <v>455</v>
      </c>
    </row>
    <row r="261" spans="2:61" x14ac:dyDescent="0.25">
      <c r="C261" s="11" t="s">
        <v>456</v>
      </c>
      <c r="D261" s="12" t="s">
        <v>457</v>
      </c>
      <c r="E261" s="130">
        <v>4.1799999999999997E-2</v>
      </c>
      <c r="F261" s="130">
        <v>3.0800000000000001E-2</v>
      </c>
      <c r="G261" s="130">
        <v>1.9966999999999999E-2</v>
      </c>
      <c r="H261" s="130">
        <v>1.9E-2</v>
      </c>
      <c r="I261" s="131">
        <f>IF(COUNT(E261:H261)=0,"",AVERAGE(E261:H261))</f>
        <v>2.789175E-2</v>
      </c>
      <c r="J261" s="130">
        <v>2.01E-2</v>
      </c>
      <c r="K261" s="130">
        <v>3.2333000000000001E-2</v>
      </c>
      <c r="L261" s="130">
        <v>4.8633000000000003E-2</v>
      </c>
      <c r="M261" s="130">
        <v>7.5700000000000003E-2</v>
      </c>
      <c r="N261" s="131">
        <f>IF(COUNT(J261:M261)=0,"",AVERAGE(J261:M261))</f>
        <v>4.4191500000000002E-2</v>
      </c>
      <c r="O261" s="130">
        <v>0.102633</v>
      </c>
      <c r="P261" s="130">
        <v>0.1235</v>
      </c>
      <c r="Q261" s="130">
        <v>0.1346</v>
      </c>
      <c r="R261" s="130">
        <v>0.13650000000000001</v>
      </c>
      <c r="S261" s="131">
        <f>IF(COUNT(O261:R261)=0,"",AVERAGE(O261:R261))</f>
        <v>0.12430825</v>
      </c>
      <c r="T261" s="130">
        <v>0.13650000000000001</v>
      </c>
      <c r="U261" s="130">
        <v>0.13650000000000001</v>
      </c>
      <c r="V261" s="130">
        <v>0.13270000000000001</v>
      </c>
      <c r="W261" s="130">
        <v>0.12230000000000001</v>
      </c>
      <c r="X261" s="131">
        <f>IF(COUNT(T261:W261)=0,"",AVERAGE(T261:W261))</f>
        <v>0.13200000000000001</v>
      </c>
      <c r="Y261" s="130">
        <v>0.112667</v>
      </c>
      <c r="Z261" s="130">
        <v>0.105033</v>
      </c>
      <c r="AA261" s="130">
        <v>0.104333</v>
      </c>
      <c r="AB261" s="130">
        <v>0.11153299999999999</v>
      </c>
      <c r="AC261" s="131">
        <f>IF(COUNT(Y261:AB261)=0,"",AVERAGE(Y261:AB261))</f>
        <v>0.1083915</v>
      </c>
      <c r="AD261" s="130">
        <v>0.12986700000000001</v>
      </c>
      <c r="AE261" s="130">
        <v>0.14480000000000001</v>
      </c>
      <c r="AF261" s="130">
        <v>0.14899999999999999</v>
      </c>
      <c r="AG261" s="130">
        <v>0.14899999999999999</v>
      </c>
      <c r="AH261" s="39">
        <f>IF(COUNT(AD261:AG261)=0,"",AVERAGE(AD261:AG261))</f>
        <v>0.14316675000000001</v>
      </c>
      <c r="AI261" s="40"/>
      <c r="AJ261" s="40"/>
      <c r="AK261" s="40"/>
      <c r="AL261" s="40"/>
      <c r="AM261" s="39" t="str">
        <f>IF(COUNT(AI261:AL261)=0,"",AVERAGE(AI261:AL261))</f>
        <v/>
      </c>
      <c r="AN261" s="40"/>
      <c r="AO261" s="40"/>
      <c r="AP261" s="40"/>
      <c r="AQ261" s="40"/>
      <c r="AR261" s="39" t="str">
        <f>IF(COUNT(AN261:AQ261)=0,"",AVERAGE(AN261:AQ261))</f>
        <v/>
      </c>
      <c r="AS261" s="40"/>
      <c r="AT261" s="40"/>
      <c r="AU261" s="40"/>
      <c r="AV261" s="40"/>
      <c r="AW261" s="39" t="str">
        <f>IF(COUNT(AS261:AV261)=0,"",AVERAGE(AS261:AV261))</f>
        <v/>
      </c>
      <c r="AX261" s="40"/>
      <c r="AY261" s="40"/>
      <c r="AZ261" s="40"/>
      <c r="BA261" s="40"/>
      <c r="BB261" s="39" t="str">
        <f>IF(COUNT(AX261:BA261)=0,"",AVERAGE(AX261:BA261))</f>
        <v/>
      </c>
      <c r="BC261" s="40"/>
      <c r="BD261" s="40"/>
      <c r="BE261" s="40"/>
      <c r="BF261" s="40"/>
      <c r="BG261" s="39" t="str">
        <f>IF(COUNT(BC261:BF261)=0,"",AVERAGE(BC261:BF261))</f>
        <v/>
      </c>
      <c r="BI261" s="14" t="s">
        <v>458</v>
      </c>
    </row>
    <row r="262" spans="2:61" x14ac:dyDescent="0.25">
      <c r="C262" s="11" t="s">
        <v>459</v>
      </c>
      <c r="D262" s="12" t="s">
        <v>460</v>
      </c>
      <c r="E262" s="132">
        <v>1.0134000000000001E-2</v>
      </c>
      <c r="F262" s="132">
        <v>7.3179999999999999E-3</v>
      </c>
      <c r="G262" s="132">
        <v>5.1089999999999998E-3</v>
      </c>
      <c r="H262" s="132">
        <v>4.7070000000000002E-3</v>
      </c>
      <c r="I262" s="133">
        <f>IF(COUNT(E262:H262)&lt;4,"",(1+E262)*(1+F262)*(1+G262)*(1+H262)-1)</f>
        <v>2.7538666937782175E-2</v>
      </c>
      <c r="J262" s="132">
        <v>4.8079999999999998E-3</v>
      </c>
      <c r="K262" s="132">
        <v>7.921000000000001E-3</v>
      </c>
      <c r="L262" s="132">
        <v>1.235E-2</v>
      </c>
      <c r="M262" s="132">
        <v>1.8612E-2</v>
      </c>
      <c r="N262" s="133">
        <f>IF(COUNT(J262:M262)&lt;4,"",(1+J262)*(1+K262)*(1+L262)*(1+M262)-1)</f>
        <v>4.4357171446995913E-2</v>
      </c>
      <c r="O262" s="132">
        <v>2.4395E-2</v>
      </c>
      <c r="P262" s="132">
        <v>2.9076000000000001E-2</v>
      </c>
      <c r="Q262" s="132">
        <v>3.3057000000000003E-2</v>
      </c>
      <c r="R262" s="132">
        <v>3.1933999999999997E-2</v>
      </c>
      <c r="S262" s="133">
        <f>IF(COUNT(O262:R262)&lt;4,"",(1+O262)*(1+P262)*(1+Q262)*(1+R262)-1)</f>
        <v>0.12380537874418818</v>
      </c>
      <c r="T262" s="132">
        <v>3.2443E-2</v>
      </c>
      <c r="U262" s="132">
        <v>3.1421999999999999E-2</v>
      </c>
      <c r="V262" s="132">
        <v>3.2138E-2</v>
      </c>
      <c r="W262" s="132">
        <v>2.8364E-2</v>
      </c>
      <c r="X262" s="133">
        <f>IF(COUNT(T262:W262)&lt;4,"",(1+T262)*(1+U262)*(1+V262)*(1+W262)-1)</f>
        <v>0.13028276978589526</v>
      </c>
      <c r="Y262" s="132">
        <v>2.6224999999999998E-2</v>
      </c>
      <c r="Z262" s="132">
        <v>2.5309999999999999E-2</v>
      </c>
      <c r="AA262" s="132">
        <v>2.6429000000000001E-2</v>
      </c>
      <c r="AB262" s="132">
        <v>2.6734000000000001E-2</v>
      </c>
      <c r="AC262" s="133">
        <f>IF(COUNT(Y262:AB262)&lt;4,"",(1+Y262)*(1+Z262)*(1+AA262)*(1+AB262)-1)</f>
        <v>0.10888023121558832</v>
      </c>
      <c r="AD262" s="132">
        <v>2.9892999999999999E-2</v>
      </c>
      <c r="AE262" s="132">
        <v>3.3363999999999998E-2</v>
      </c>
      <c r="AF262" s="132">
        <v>3.7047999999999998E-2</v>
      </c>
      <c r="AG262" s="132">
        <v>3.5920000000000001E-2</v>
      </c>
      <c r="AH262" s="41">
        <f>IF(COUNT(AD262:AG262)&lt;4,"",(1+AD262)*(1+AE262)*(1+AF262)*(1+AG262)-1)</f>
        <v>0.14332713301276745</v>
      </c>
      <c r="AI262" s="42"/>
      <c r="AJ262" s="42"/>
      <c r="AK262" s="42"/>
      <c r="AL262" s="42"/>
      <c r="AM262" s="41" t="str">
        <f>IF(COUNT(AI262:AL262)&lt;4,"",(1+AI262)*(1+AJ262)*(1+AK262)*(1+AL262)-1)</f>
        <v/>
      </c>
      <c r="AN262" s="42"/>
      <c r="AO262" s="42"/>
      <c r="AP262" s="42"/>
      <c r="AQ262" s="42"/>
      <c r="AR262" s="41" t="str">
        <f>IF(COUNT(AN262:AQ262)&lt;4,"",(1+AN262)*(1+AO262)*(1+AP262)*(1+AQ262)-1)</f>
        <v/>
      </c>
      <c r="AS262" s="42"/>
      <c r="AT262" s="42"/>
      <c r="AU262" s="42"/>
      <c r="AV262" s="42"/>
      <c r="AW262" s="41" t="str">
        <f>IF(COUNT(AS262:AV262)&lt;4,"",(1+AS262)*(1+AT262)*(1+AU262)*(1+AV262)-1)</f>
        <v/>
      </c>
      <c r="AX262" s="42"/>
      <c r="AY262" s="42"/>
      <c r="AZ262" s="42"/>
      <c r="BA262" s="42"/>
      <c r="BB262" s="41" t="str">
        <f>IF(COUNT(AX262:BA262)&lt;4,"",(1+AX262)*(1+AY262)*(1+AZ262)*(1+BA262)-1)</f>
        <v/>
      </c>
      <c r="BC262" s="42"/>
      <c r="BD262" s="42"/>
      <c r="BE262" s="42"/>
      <c r="BF262" s="42"/>
      <c r="BG262" s="41" t="str">
        <f>IF(COUNT(BC262:BF262)&lt;4,"",(1+BC262)*(1+BD262)*(1+BE262)*(1+BF262)-1)</f>
        <v/>
      </c>
      <c r="BI262" s="14" t="s">
        <v>461</v>
      </c>
    </row>
    <row r="263" spans="2:61" x14ac:dyDescent="0.25">
      <c r="C263" s="11" t="s">
        <v>462</v>
      </c>
      <c r="D263" s="12" t="s">
        <v>463</v>
      </c>
      <c r="E263" s="132">
        <v>5.3080000000000002E-3</v>
      </c>
      <c r="F263" s="132">
        <v>-4.3059999999999999E-3</v>
      </c>
      <c r="G263" s="132">
        <v>1.2447E-2</v>
      </c>
      <c r="H263" s="132">
        <v>3.1314000000000002E-2</v>
      </c>
      <c r="I263" s="133">
        <f>IF(COUNT(E263:H263)&lt;4,"",(1+E263)*(1+F263)*(1+G263)*(1+H263)-1)</f>
        <v>4.5173139056046585E-2</v>
      </c>
      <c r="J263" s="132">
        <v>2.0525000000000002E-2</v>
      </c>
      <c r="K263" s="132">
        <v>1.6785999999999999E-2</v>
      </c>
      <c r="L263" s="132">
        <v>3.0197000000000002E-2</v>
      </c>
      <c r="M263" s="132">
        <v>2.9579999999999999E-2</v>
      </c>
      <c r="N263" s="133">
        <f>IF(COUNT(J263:M263)&lt;4,"",(1+J263)*(1+K263)*(1+L263)*(1+M263)-1)</f>
        <v>0.10061032963347172</v>
      </c>
      <c r="O263" s="132">
        <v>3.2007000000000001E-2</v>
      </c>
      <c r="P263" s="132">
        <v>2.2152999999999999E-2</v>
      </c>
      <c r="Q263" s="132">
        <v>-1.3245E-2</v>
      </c>
      <c r="R263" s="132">
        <v>1.6285999999999998E-2</v>
      </c>
      <c r="S263" s="133">
        <f>IF(COUNT(O263:R263)&lt;4,"",(1+O263)*(1+P263)*(1+Q263)*(1+R263)-1)</f>
        <v>5.7849364088197852E-2</v>
      </c>
      <c r="T263" s="132">
        <v>2.0941999999999999E-2</v>
      </c>
      <c r="U263" s="132">
        <v>7.607E-3</v>
      </c>
      <c r="V263" s="132">
        <v>6.1119999999999994E-3</v>
      </c>
      <c r="W263" s="132">
        <v>1.0836E-2</v>
      </c>
      <c r="X263" s="133">
        <f>IF(COUNT(T263:W263)&lt;4,"",(1+T263)*(1+U263)*(1+V263)*(1+W263)-1)</f>
        <v>4.6210985133124716E-2</v>
      </c>
      <c r="Y263" s="132">
        <v>1.4154999999999999E-2</v>
      </c>
      <c r="Z263" s="132">
        <v>1.0534999999999999E-2</v>
      </c>
      <c r="AA263" s="132">
        <v>8.0149999999999996E-3</v>
      </c>
      <c r="AB263" s="132">
        <v>1.4770999999999999E-2</v>
      </c>
      <c r="AC263" s="133">
        <f>IF(COUNT(Y263:AB263)&lt;4,"",(1+Y263)*(1+Z263)*(1+AA263)*(1+AB263)-1)</f>
        <v>4.8312437437927125E-2</v>
      </c>
      <c r="AD263" s="132">
        <v>2.0403000000000001E-2</v>
      </c>
      <c r="AE263" s="132">
        <v>9.3279999999999995E-3</v>
      </c>
      <c r="AF263" s="132">
        <v>6.3039999999999997E-3</v>
      </c>
      <c r="AG263" s="132">
        <v>6.0109999999999999E-3</v>
      </c>
      <c r="AH263" s="41">
        <f>IF(COUNT(AD263:AG263)&lt;4,"",(1+AD263)*(1+AE263)*(1+AF263)*(1+AG263)-1)</f>
        <v>4.264382739259176E-2</v>
      </c>
      <c r="AI263" s="42"/>
      <c r="AJ263" s="42"/>
      <c r="AK263" s="42"/>
      <c r="AL263" s="42"/>
      <c r="AM263" s="41" t="str">
        <f>IF(COUNT(AI263:AL263)&lt;4,"",(1+AI263)*(1+AJ263)*(1+AK263)*(1+AL263)-1)</f>
        <v/>
      </c>
      <c r="AN263" s="42"/>
      <c r="AO263" s="42"/>
      <c r="AP263" s="42"/>
      <c r="AQ263" s="42"/>
      <c r="AR263" s="41" t="str">
        <f>IF(COUNT(AN263:AQ263)&lt;4,"",(1+AN263)*(1+AO263)*(1+AP263)*(1+AQ263)-1)</f>
        <v/>
      </c>
      <c r="AS263" s="42"/>
      <c r="AT263" s="42"/>
      <c r="AU263" s="42"/>
      <c r="AV263" s="42"/>
      <c r="AW263" s="41" t="str">
        <f>IF(COUNT(AS263:AV263)&lt;4,"",(1+AS263)*(1+AT263)*(1+AU263)*(1+AV263)-1)</f>
        <v/>
      </c>
      <c r="AX263" s="42"/>
      <c r="AY263" s="42"/>
      <c r="AZ263" s="42"/>
      <c r="BA263" s="42"/>
      <c r="BB263" s="41" t="str">
        <f>IF(COUNT(AX263:BA263)&lt;4,"",(1+AX263)*(1+AY263)*(1+AZ263)*(1+BA263)-1)</f>
        <v/>
      </c>
      <c r="BC263" s="42"/>
      <c r="BD263" s="42"/>
      <c r="BE263" s="42"/>
      <c r="BF263" s="42"/>
      <c r="BG263" s="41" t="str">
        <f>IF(COUNT(BC263:BF263)&lt;4,"",(1+BC263)*(1+BD263)*(1+BE263)*(1+BF263)-1)</f>
        <v/>
      </c>
      <c r="BI263" s="14" t="s">
        <v>464</v>
      </c>
    </row>
    <row r="264" spans="2:61" x14ac:dyDescent="0.25">
      <c r="C264" s="11" t="s">
        <v>465</v>
      </c>
      <c r="D264" s="12" t="s">
        <v>466</v>
      </c>
      <c r="E264" s="130">
        <v>3.3000000000000002E-2</v>
      </c>
      <c r="F264" s="130">
        <v>2.1299999999999999E-2</v>
      </c>
      <c r="G264" s="130">
        <v>3.1399999999999997E-2</v>
      </c>
      <c r="H264" s="130">
        <v>4.5199999999999997E-2</v>
      </c>
      <c r="I264" s="131">
        <f>IF(H264="","",H264)</f>
        <v>4.5199999999999997E-2</v>
      </c>
      <c r="J264" s="130">
        <v>6.0999999999999999E-2</v>
      </c>
      <c r="K264" s="130">
        <v>8.3499999999999991E-2</v>
      </c>
      <c r="L264" s="130">
        <v>0.10249999999999999</v>
      </c>
      <c r="M264" s="130">
        <v>0.10059999999999999</v>
      </c>
      <c r="N264" s="131">
        <f>IF(M264="","",M264)</f>
        <v>0.10059999999999999</v>
      </c>
      <c r="O264" s="130">
        <v>0.113</v>
      </c>
      <c r="P264" s="130">
        <v>0.11890000000000001</v>
      </c>
      <c r="Q264" s="130">
        <v>7.17E-2</v>
      </c>
      <c r="R264" s="130">
        <v>5.79E-2</v>
      </c>
      <c r="S264" s="131">
        <f>IF(R264="","",R264)</f>
        <v>5.79E-2</v>
      </c>
      <c r="T264" s="130">
        <v>4.6500000000000007E-2</v>
      </c>
      <c r="U264" s="130">
        <v>3.1600000000000003E-2</v>
      </c>
      <c r="V264" s="130">
        <v>5.1900000000000002E-2</v>
      </c>
      <c r="W264" s="130">
        <v>4.6199999999999998E-2</v>
      </c>
      <c r="X264" s="131">
        <f>IF(W264="","",W264)</f>
        <v>4.6199999999999998E-2</v>
      </c>
      <c r="Y264" s="130">
        <v>3.9300000000000002E-2</v>
      </c>
      <c r="Z264" s="130">
        <v>4.2299999999999997E-2</v>
      </c>
      <c r="AA264" s="130">
        <v>4.4200000000000003E-2</v>
      </c>
      <c r="AB264" s="130">
        <v>4.8300000000000003E-2</v>
      </c>
      <c r="AC264" s="131">
        <f>IF(AB264="","",AB264)</f>
        <v>4.8300000000000003E-2</v>
      </c>
      <c r="AD264" s="130">
        <v>5.4800000000000001E-2</v>
      </c>
      <c r="AE264" s="130">
        <v>5.3499999999999999E-2</v>
      </c>
      <c r="AF264" s="130">
        <v>5.1700000000000003E-2</v>
      </c>
      <c r="AG264" s="130">
        <v>4.2599999999999999E-2</v>
      </c>
      <c r="AH264" s="39">
        <f>IF(AG264="","",AG264)</f>
        <v>4.2599999999999999E-2</v>
      </c>
      <c r="AI264" s="40"/>
      <c r="AJ264" s="40"/>
      <c r="AK264" s="40"/>
      <c r="AL264" s="40"/>
      <c r="AM264" s="39" t="str">
        <f>IF(AL264="","",AL264)</f>
        <v/>
      </c>
      <c r="AN264" s="40"/>
      <c r="AO264" s="40"/>
      <c r="AP264" s="40"/>
      <c r="AQ264" s="40"/>
      <c r="AR264" s="39" t="str">
        <f>IF(AQ264="","",AQ264)</f>
        <v/>
      </c>
      <c r="AS264" s="40"/>
      <c r="AT264" s="40"/>
      <c r="AU264" s="40"/>
      <c r="AV264" s="40"/>
      <c r="AW264" s="39" t="str">
        <f>IF(AV264="","",AV264)</f>
        <v/>
      </c>
      <c r="AX264" s="40"/>
      <c r="AY264" s="40"/>
      <c r="AZ264" s="40"/>
      <c r="BA264" s="40"/>
      <c r="BB264" s="39" t="str">
        <f>IF(BA264="","",BA264)</f>
        <v/>
      </c>
      <c r="BC264" s="40"/>
      <c r="BD264" s="40"/>
      <c r="BE264" s="40"/>
      <c r="BF264" s="40"/>
      <c r="BG264" s="39" t="str">
        <f>IF(BF264="","",BF264)</f>
        <v/>
      </c>
      <c r="BI264" s="14" t="s">
        <v>467</v>
      </c>
    </row>
    <row r="265" spans="2:61" x14ac:dyDescent="0.25">
      <c r="C265" s="11" t="s">
        <v>468</v>
      </c>
      <c r="D265" s="12" t="s">
        <v>469</v>
      </c>
      <c r="E265" s="130">
        <v>4.0000000000000001E-3</v>
      </c>
      <c r="F265" s="130">
        <v>-0.10100000000000001</v>
      </c>
      <c r="G265" s="130">
        <v>-0.03</v>
      </c>
      <c r="H265" s="130">
        <v>-3.0000000000000001E-3</v>
      </c>
      <c r="I265" s="131">
        <f>IF(COUNT(E265:H265)=0,"",AVERAGE(E265:H265))</f>
        <v>-3.2500000000000001E-2</v>
      </c>
      <c r="J265" s="130">
        <v>1.7000000000000001E-2</v>
      </c>
      <c r="K265" s="130">
        <v>0.124</v>
      </c>
      <c r="L265" s="130">
        <v>4.2000000000000003E-2</v>
      </c>
      <c r="M265" s="130">
        <v>1.4999999999999999E-2</v>
      </c>
      <c r="N265" s="131">
        <f>IF(COUNT(J265:M265)=0,"",AVERAGE(J265:M265))</f>
        <v>4.9500000000000002E-2</v>
      </c>
      <c r="O265" s="130">
        <v>1.4999999999999999E-2</v>
      </c>
      <c r="P265" s="130">
        <v>3.5000000000000003E-2</v>
      </c>
      <c r="Q265" s="130">
        <v>4.2999999999999997E-2</v>
      </c>
      <c r="R265" s="130">
        <v>2.7E-2</v>
      </c>
      <c r="S265" s="131">
        <f>IF(COUNT(O265:R265)=0,"",AVERAGE(O265:R265))</f>
        <v>0.03</v>
      </c>
      <c r="T265" s="130">
        <v>4.3999999999999997E-2</v>
      </c>
      <c r="U265" s="130">
        <v>3.9E-2</v>
      </c>
      <c r="V265" s="130">
        <v>2.4E-2</v>
      </c>
      <c r="W265" s="130">
        <v>2.4E-2</v>
      </c>
      <c r="X265" s="131">
        <f>IF(COUNT(T265:W265)=0,"",AVERAGE(T265:W265))</f>
        <v>3.2749999999999994E-2</v>
      </c>
      <c r="Y265" s="130">
        <v>2.5000000000000001E-2</v>
      </c>
      <c r="Z265" s="130">
        <v>3.5000000000000003E-2</v>
      </c>
      <c r="AA265" s="130">
        <v>4.0999999999999988E-2</v>
      </c>
      <c r="AB265" s="130">
        <v>3.5999999999999997E-2</v>
      </c>
      <c r="AC265" s="131">
        <f>IF(COUNT(Y265:AB265)=0,"",AVERAGE(Y265:AB265))</f>
        <v>3.4249999999999996E-2</v>
      </c>
      <c r="AD265" s="130">
        <v>3.1E-2</v>
      </c>
      <c r="AE265" s="130">
        <v>2.4E-2</v>
      </c>
      <c r="AF265" s="130">
        <v>1.7999999999999999E-2</v>
      </c>
      <c r="AG265" s="130">
        <v>1.7999999999999999E-2</v>
      </c>
      <c r="AH265" s="39">
        <f>IF(COUNT(AD265:AG265)=0,"",AVERAGE(AD265:AG265))</f>
        <v>2.2749999999999999E-2</v>
      </c>
      <c r="AI265" s="40"/>
      <c r="AJ265" s="40"/>
      <c r="AK265" s="40"/>
      <c r="AL265" s="40"/>
      <c r="AM265" s="39" t="str">
        <f>IF(COUNT(AI265:AL265)=0,"",AVERAGE(AI265:AL265))</f>
        <v/>
      </c>
      <c r="AN265" s="40"/>
      <c r="AO265" s="40"/>
      <c r="AP265" s="40"/>
      <c r="AQ265" s="40"/>
      <c r="AR265" s="39" t="str">
        <f>IF(COUNT(AN265:AQ265)=0,"",AVERAGE(AN265:AQ265))</f>
        <v/>
      </c>
      <c r="AS265" s="40"/>
      <c r="AT265" s="40"/>
      <c r="AU265" s="40"/>
      <c r="AV265" s="40"/>
      <c r="AW265" s="39" t="str">
        <f>IF(COUNT(AS265:AV265)=0,"",AVERAGE(AS265:AV265))</f>
        <v/>
      </c>
      <c r="AX265" s="40"/>
      <c r="AY265" s="40"/>
      <c r="AZ265" s="40"/>
      <c r="BA265" s="40"/>
      <c r="BB265" s="39" t="str">
        <f>IF(COUNT(AX265:BA265)=0,"",AVERAGE(AX265:BA265))</f>
        <v/>
      </c>
      <c r="BC265" s="40"/>
      <c r="BD265" s="40"/>
      <c r="BE265" s="40"/>
      <c r="BF265" s="40"/>
      <c r="BG265" s="39" t="str">
        <f>IF(COUNT(BC265:BF265)=0,"",AVERAGE(BC265:BF265))</f>
        <v/>
      </c>
      <c r="BI265" s="14" t="s">
        <v>470</v>
      </c>
    </row>
    <row r="266" spans="2:61" x14ac:dyDescent="0.25">
      <c r="C266" s="11" t="s">
        <v>471</v>
      </c>
      <c r="D266" s="12" t="s">
        <v>472</v>
      </c>
      <c r="E266" s="134">
        <v>5.1981000000000002</v>
      </c>
      <c r="F266" s="134">
        <v>5.4753999999999996</v>
      </c>
      <c r="G266" s="134">
        <v>5.6401000000000003</v>
      </c>
      <c r="H266" s="134">
        <v>5.1961000000000004</v>
      </c>
      <c r="I266" s="135">
        <f>IF(H266="","",H266)</f>
        <v>5.1961000000000004</v>
      </c>
      <c r="J266" s="134">
        <v>5.6966999999999999</v>
      </c>
      <c r="K266" s="134">
        <v>5.0015999999999998</v>
      </c>
      <c r="L266" s="134">
        <v>5.4387999999999996</v>
      </c>
      <c r="M266" s="134">
        <v>5.5799000000000003</v>
      </c>
      <c r="N266" s="135">
        <f>IF(M266="","",M266)</f>
        <v>5.5799000000000003</v>
      </c>
      <c r="O266" s="134">
        <v>4.7371999999999996</v>
      </c>
      <c r="P266" s="134">
        <v>5.2374000000000001</v>
      </c>
      <c r="Q266" s="134">
        <v>5.4059999999999997</v>
      </c>
      <c r="R266" s="134">
        <v>5.2171000000000003</v>
      </c>
      <c r="S266" s="135">
        <f>IF(R266="","",R266)</f>
        <v>5.2171000000000003</v>
      </c>
      <c r="T266" s="134">
        <v>5.0797999999999996</v>
      </c>
      <c r="U266" s="134">
        <v>4.8186</v>
      </c>
      <c r="V266" s="134">
        <v>5.0069999999999997</v>
      </c>
      <c r="W266" s="134">
        <v>4.8407</v>
      </c>
      <c r="X266" s="135">
        <f>IF(W266="","",W266)</f>
        <v>4.8407</v>
      </c>
      <c r="Y266" s="134">
        <v>4.9955999999999996</v>
      </c>
      <c r="Z266" s="134">
        <v>5.5583</v>
      </c>
      <c r="AA266" s="134">
        <v>5.4474999999999998</v>
      </c>
      <c r="AB266" s="134">
        <v>6.1917</v>
      </c>
      <c r="AC266" s="135">
        <f>IF(AB266="","",AB266)</f>
        <v>6.1917</v>
      </c>
      <c r="AD266" s="134">
        <v>5.7416</v>
      </c>
      <c r="AE266" s="134">
        <v>5.4565000000000001</v>
      </c>
      <c r="AF266" s="134">
        <v>5.3179999999999996</v>
      </c>
      <c r="AG266" s="134">
        <v>5.5018000000000002</v>
      </c>
      <c r="AH266" s="43">
        <f>IF(AG266="","",AG266)</f>
        <v>5.5018000000000002</v>
      </c>
      <c r="AI266" s="44"/>
      <c r="AJ266" s="44"/>
      <c r="AK266" s="44"/>
      <c r="AL266" s="44"/>
      <c r="AM266" s="43" t="str">
        <f>IF(AL266="","",AL266)</f>
        <v/>
      </c>
      <c r="AN266" s="44"/>
      <c r="AO266" s="44"/>
      <c r="AP266" s="44"/>
      <c r="AQ266" s="44"/>
      <c r="AR266" s="43" t="str">
        <f>IF(AQ266="","",AQ266)</f>
        <v/>
      </c>
      <c r="AS266" s="44"/>
      <c r="AT266" s="44"/>
      <c r="AU266" s="44"/>
      <c r="AV266" s="44"/>
      <c r="AW266" s="43" t="str">
        <f>IF(AV266="","",AV266)</f>
        <v/>
      </c>
      <c r="AX266" s="44"/>
      <c r="AY266" s="44"/>
      <c r="AZ266" s="44"/>
      <c r="BA266" s="44"/>
      <c r="BB266" s="43" t="str">
        <f>IF(BA266="","",BA266)</f>
        <v/>
      </c>
      <c r="BC266" s="44"/>
      <c r="BD266" s="44"/>
      <c r="BE266" s="44"/>
      <c r="BF266" s="44"/>
      <c r="BG266" s="43" t="str">
        <f>IF(BF266="","",BF266)</f>
        <v/>
      </c>
      <c r="BI266" s="14" t="s">
        <v>473</v>
      </c>
    </row>
    <row r="267" spans="2:61" x14ac:dyDescent="0.25">
      <c r="C267" s="11" t="s">
        <v>474</v>
      </c>
      <c r="D267" s="12" t="s">
        <v>475</v>
      </c>
      <c r="E267" s="130">
        <v>2.47E-2</v>
      </c>
      <c r="F267" s="130">
        <v>3.0499999999999999E-2</v>
      </c>
      <c r="G267" s="130">
        <v>2.07E-2</v>
      </c>
      <c r="H267" s="130">
        <v>2.47E-2</v>
      </c>
      <c r="I267" s="131">
        <f>IF(H267="","",H267)</f>
        <v>2.47E-2</v>
      </c>
      <c r="J267" s="130">
        <v>2.5000000000000001E-2</v>
      </c>
      <c r="K267" s="130">
        <v>3.4599999999999999E-2</v>
      </c>
      <c r="L267" s="130">
        <v>3.95E-2</v>
      </c>
      <c r="M267" s="130">
        <v>4.9400000000000013E-2</v>
      </c>
      <c r="N267" s="131">
        <f>IF(M267="","",M267)</f>
        <v>4.9400000000000013E-2</v>
      </c>
      <c r="O267" s="130">
        <v>5.2400000000000002E-2</v>
      </c>
      <c r="P267" s="130">
        <v>5.5E-2</v>
      </c>
      <c r="Q267" s="130">
        <v>5.7500000000000002E-2</v>
      </c>
      <c r="R267" s="130">
        <v>5.7500000000000002E-2</v>
      </c>
      <c r="S267" s="131">
        <f>IF(R267="","",R267)</f>
        <v>5.7500000000000002E-2</v>
      </c>
      <c r="T267" s="130">
        <v>6.1500000000000013E-2</v>
      </c>
      <c r="U267" s="130">
        <v>5.6900000000000013E-2</v>
      </c>
      <c r="V267" s="130">
        <v>5.1499999999999997E-2</v>
      </c>
      <c r="W267" s="130">
        <v>5.5599999999999997E-2</v>
      </c>
      <c r="X267" s="131">
        <f>IF(W267="","",W267)</f>
        <v>5.5599999999999997E-2</v>
      </c>
      <c r="Y267" s="130">
        <v>5.4100000000000002E-2</v>
      </c>
      <c r="Z267" s="130">
        <v>5.91E-2</v>
      </c>
      <c r="AA267" s="130">
        <v>6.2800000000000009E-2</v>
      </c>
      <c r="AB267" s="130">
        <v>6.6600000000000006E-2</v>
      </c>
      <c r="AC267" s="131">
        <f>IF(AB267="","",AB267)</f>
        <v>6.6600000000000006E-2</v>
      </c>
      <c r="AD267" s="130">
        <v>7.6799999999999993E-2</v>
      </c>
      <c r="AE267" s="130">
        <v>7.6100000000000001E-2</v>
      </c>
      <c r="AF267" s="130">
        <v>7.6100000000000001E-2</v>
      </c>
      <c r="AG267" s="130">
        <v>7.8200000000000006E-2</v>
      </c>
      <c r="AH267" s="39">
        <f>IF(AG267="","",AG267)</f>
        <v>7.8200000000000006E-2</v>
      </c>
      <c r="AI267" s="40"/>
      <c r="AJ267" s="40"/>
      <c r="AK267" s="40"/>
      <c r="AL267" s="40"/>
      <c r="AM267" s="39" t="str">
        <f>IF(AL267="","",AL267)</f>
        <v/>
      </c>
      <c r="AN267" s="40"/>
      <c r="AO267" s="40"/>
      <c r="AP267" s="40"/>
      <c r="AQ267" s="40"/>
      <c r="AR267" s="39" t="str">
        <f>IF(AQ267="","",AQ267)</f>
        <v/>
      </c>
      <c r="AS267" s="40"/>
      <c r="AT267" s="40"/>
      <c r="AU267" s="40"/>
      <c r="AV267" s="40"/>
      <c r="AW267" s="39" t="str">
        <f>IF(AV267="","",AV267)</f>
        <v/>
      </c>
      <c r="AX267" s="40"/>
      <c r="AY267" s="40"/>
      <c r="AZ267" s="40"/>
      <c r="BA267" s="40"/>
      <c r="BB267" s="39" t="str">
        <f>IF(BA267="","",BA267)</f>
        <v/>
      </c>
      <c r="BC267" s="40"/>
      <c r="BD267" s="40"/>
      <c r="BE267" s="40"/>
      <c r="BF267" s="40"/>
      <c r="BG267" s="39" t="str">
        <f>IF(BF267="","",BF267)</f>
        <v/>
      </c>
      <c r="BI267" s="14" t="s">
        <v>476</v>
      </c>
    </row>
    <row r="269" spans="2:61" x14ac:dyDescent="0.25">
      <c r="B269" s="7"/>
      <c r="C269" s="7" t="s">
        <v>477</v>
      </c>
      <c r="D269" s="7" t="s">
        <v>478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2:61" x14ac:dyDescent="0.25">
      <c r="C270" s="11" t="s">
        <v>479</v>
      </c>
      <c r="D270" s="12" t="s">
        <v>480</v>
      </c>
      <c r="E270" s="40"/>
      <c r="F270" s="40"/>
      <c r="G270" s="40"/>
      <c r="H270" s="40"/>
      <c r="I270" s="39" t="str">
        <f t="shared" ref="I270:I282" si="0">IF(COUNT(E270:H270)=0,"",AVERAGE(E270:H270))</f>
        <v/>
      </c>
      <c r="J270" s="40"/>
      <c r="K270" s="40"/>
      <c r="L270" s="40"/>
      <c r="M270" s="40"/>
      <c r="N270" s="39" t="str">
        <f t="shared" ref="N270:N282" si="1">IF(COUNT(J270:M270)=0,"",AVERAGE(J270:M270))</f>
        <v/>
      </c>
      <c r="O270" s="40"/>
      <c r="P270" s="40"/>
      <c r="Q270" s="40"/>
      <c r="R270" s="40"/>
      <c r="S270" s="39" t="str">
        <f t="shared" ref="S270:S282" si="2">IF(COUNT(O270:R270)=0,"",AVERAGE(O270:R270))</f>
        <v/>
      </c>
      <c r="T270" s="40"/>
      <c r="U270" s="40"/>
      <c r="V270" s="40"/>
      <c r="W270" s="40"/>
      <c r="X270" s="39" t="str">
        <f t="shared" ref="X270:X282" si="3">IF(COUNT(T270:W270)=0,"",AVERAGE(T270:W270))</f>
        <v/>
      </c>
      <c r="Y270" s="40"/>
      <c r="Z270" s="40"/>
      <c r="AA270" s="40"/>
      <c r="AB270" s="40"/>
      <c r="AC270" s="39" t="str">
        <f t="shared" ref="AC270:AC282" si="4">IF(COUNT(Y270:AB270)=0,"",AVERAGE(Y270:AB270))</f>
        <v/>
      </c>
      <c r="AD270" s="40"/>
      <c r="AE270" s="40"/>
      <c r="AF270" s="40"/>
      <c r="AG270" s="40"/>
      <c r="AH270" s="39" t="str">
        <f t="shared" ref="AH270:AH282" si="5">IF(COUNT(AD270:AG270)=0,"",AVERAGE(AD270:AG270))</f>
        <v/>
      </c>
      <c r="AI270" s="40"/>
      <c r="AJ270" s="40"/>
      <c r="AK270" s="40"/>
      <c r="AL270" s="40"/>
      <c r="AM270" s="39" t="str">
        <f t="shared" ref="AM270:AM282" si="6">IF(COUNT(AI270:AL270)=0,"",AVERAGE(AI270:AL270))</f>
        <v/>
      </c>
      <c r="AN270" s="40"/>
      <c r="AO270" s="40"/>
      <c r="AP270" s="40"/>
      <c r="AQ270" s="40"/>
      <c r="AR270" s="39" t="str">
        <f t="shared" ref="AR270:AR282" si="7">IF(COUNT(AN270:AQ270)=0,"",AVERAGE(AN270:AQ270))</f>
        <v/>
      </c>
      <c r="AS270" s="40"/>
      <c r="AT270" s="40"/>
      <c r="AU270" s="40"/>
      <c r="AV270" s="40"/>
      <c r="AW270" s="39" t="str">
        <f t="shared" ref="AW270:AW282" si="8">IF(COUNT(AS270:AV270)=0,"",AVERAGE(AS270:AV270))</f>
        <v/>
      </c>
      <c r="AX270" s="40"/>
      <c r="AY270" s="40"/>
      <c r="AZ270" s="40"/>
      <c r="BA270" s="40"/>
      <c r="BB270" s="39" t="str">
        <f t="shared" ref="BB270:BB282" si="9">IF(COUNT(AX270:BA270)=0,"",AVERAGE(AX270:BA270))</f>
        <v/>
      </c>
      <c r="BC270" s="40"/>
      <c r="BD270" s="40"/>
      <c r="BE270" s="40"/>
      <c r="BF270" s="40"/>
      <c r="BG270" s="39" t="str">
        <f t="shared" ref="BG270:BG282" si="10">IF(COUNT(BC270:BF270)=0,"",AVERAGE(BC270:BF270))</f>
        <v/>
      </c>
    </row>
    <row r="271" spans="2:61" x14ac:dyDescent="0.25">
      <c r="C271" s="11" t="s">
        <v>380</v>
      </c>
      <c r="D271" s="12" t="s">
        <v>381</v>
      </c>
      <c r="E271" s="40"/>
      <c r="F271" s="40"/>
      <c r="G271" s="40"/>
      <c r="H271" s="40"/>
      <c r="I271" s="39" t="str">
        <f t="shared" si="0"/>
        <v/>
      </c>
      <c r="J271" s="40"/>
      <c r="K271" s="40"/>
      <c r="L271" s="40"/>
      <c r="M271" s="40"/>
      <c r="N271" s="39" t="str">
        <f t="shared" si="1"/>
        <v/>
      </c>
      <c r="O271" s="40"/>
      <c r="P271" s="40"/>
      <c r="Q271" s="40"/>
      <c r="R271" s="40"/>
      <c r="S271" s="39" t="str">
        <f t="shared" si="2"/>
        <v/>
      </c>
      <c r="T271" s="40"/>
      <c r="U271" s="40"/>
      <c r="V271" s="40"/>
      <c r="W271" s="40"/>
      <c r="X271" s="39" t="str">
        <f t="shared" si="3"/>
        <v/>
      </c>
      <c r="Y271" s="40"/>
      <c r="Z271" s="40"/>
      <c r="AA271" s="40"/>
      <c r="AB271" s="40"/>
      <c r="AC271" s="39" t="str">
        <f t="shared" si="4"/>
        <v/>
      </c>
      <c r="AD271" s="40"/>
      <c r="AE271" s="40"/>
      <c r="AF271" s="40"/>
      <c r="AG271" s="40"/>
      <c r="AH271" s="39" t="str">
        <f t="shared" si="5"/>
        <v/>
      </c>
      <c r="AI271" s="40"/>
      <c r="AJ271" s="40"/>
      <c r="AK271" s="40"/>
      <c r="AL271" s="40"/>
      <c r="AM271" s="39" t="str">
        <f t="shared" si="6"/>
        <v/>
      </c>
      <c r="AN271" s="40"/>
      <c r="AO271" s="40"/>
      <c r="AP271" s="40"/>
      <c r="AQ271" s="40"/>
      <c r="AR271" s="39" t="str">
        <f t="shared" si="7"/>
        <v/>
      </c>
      <c r="AS271" s="40"/>
      <c r="AT271" s="40"/>
      <c r="AU271" s="40"/>
      <c r="AV271" s="40"/>
      <c r="AW271" s="39" t="str">
        <f t="shared" si="8"/>
        <v/>
      </c>
      <c r="AX271" s="40"/>
      <c r="AY271" s="40"/>
      <c r="AZ271" s="40"/>
      <c r="BA271" s="40"/>
      <c r="BB271" s="39" t="str">
        <f t="shared" si="9"/>
        <v/>
      </c>
      <c r="BC271" s="40"/>
      <c r="BD271" s="40"/>
      <c r="BE271" s="40"/>
      <c r="BF271" s="40"/>
      <c r="BG271" s="39" t="str">
        <f t="shared" si="10"/>
        <v/>
      </c>
      <c r="BI271" s="14" t="s">
        <v>481</v>
      </c>
    </row>
    <row r="272" spans="2:61" x14ac:dyDescent="0.25">
      <c r="C272" s="11" t="s">
        <v>382</v>
      </c>
      <c r="D272" s="12" t="s">
        <v>383</v>
      </c>
      <c r="E272" s="40"/>
      <c r="F272" s="40"/>
      <c r="G272" s="40"/>
      <c r="H272" s="40"/>
      <c r="I272" s="39" t="str">
        <f t="shared" si="0"/>
        <v/>
      </c>
      <c r="J272" s="40"/>
      <c r="K272" s="40"/>
      <c r="L272" s="40"/>
      <c r="M272" s="40"/>
      <c r="N272" s="39" t="str">
        <f t="shared" si="1"/>
        <v/>
      </c>
      <c r="O272" s="40"/>
      <c r="P272" s="40"/>
      <c r="Q272" s="40"/>
      <c r="R272" s="40"/>
      <c r="S272" s="39" t="str">
        <f t="shared" si="2"/>
        <v/>
      </c>
      <c r="T272" s="40"/>
      <c r="U272" s="40"/>
      <c r="V272" s="40"/>
      <c r="W272" s="40"/>
      <c r="X272" s="39" t="str">
        <f t="shared" si="3"/>
        <v/>
      </c>
      <c r="Y272" s="40"/>
      <c r="Z272" s="40"/>
      <c r="AA272" s="40"/>
      <c r="AB272" s="40"/>
      <c r="AC272" s="39" t="str">
        <f t="shared" si="4"/>
        <v/>
      </c>
      <c r="AD272" s="40"/>
      <c r="AE272" s="40"/>
      <c r="AF272" s="40"/>
      <c r="AG272" s="40"/>
      <c r="AH272" s="39" t="str">
        <f t="shared" si="5"/>
        <v/>
      </c>
      <c r="AI272" s="40"/>
      <c r="AJ272" s="40"/>
      <c r="AK272" s="40"/>
      <c r="AL272" s="40"/>
      <c r="AM272" s="39" t="str">
        <f t="shared" si="6"/>
        <v/>
      </c>
      <c r="AN272" s="40"/>
      <c r="AO272" s="40"/>
      <c r="AP272" s="40"/>
      <c r="AQ272" s="40"/>
      <c r="AR272" s="39" t="str">
        <f t="shared" si="7"/>
        <v/>
      </c>
      <c r="AS272" s="40"/>
      <c r="AT272" s="40"/>
      <c r="AU272" s="40"/>
      <c r="AV272" s="40"/>
      <c r="AW272" s="39" t="str">
        <f t="shared" si="8"/>
        <v/>
      </c>
      <c r="AX272" s="40"/>
      <c r="AY272" s="40"/>
      <c r="AZ272" s="40"/>
      <c r="BA272" s="40"/>
      <c r="BB272" s="39" t="str">
        <f t="shared" si="9"/>
        <v/>
      </c>
      <c r="BC272" s="40"/>
      <c r="BD272" s="40"/>
      <c r="BE272" s="40"/>
      <c r="BF272" s="40"/>
      <c r="BG272" s="39" t="str">
        <f t="shared" si="10"/>
        <v/>
      </c>
    </row>
    <row r="273" spans="2:61" x14ac:dyDescent="0.25">
      <c r="C273" s="11" t="s">
        <v>384</v>
      </c>
      <c r="D273" s="12" t="s">
        <v>385</v>
      </c>
      <c r="E273" s="40"/>
      <c r="F273" s="40"/>
      <c r="G273" s="40"/>
      <c r="H273" s="40"/>
      <c r="I273" s="39" t="str">
        <f t="shared" si="0"/>
        <v/>
      </c>
      <c r="J273" s="40"/>
      <c r="K273" s="40"/>
      <c r="L273" s="40"/>
      <c r="M273" s="40"/>
      <c r="N273" s="39" t="str">
        <f t="shared" si="1"/>
        <v/>
      </c>
      <c r="O273" s="40"/>
      <c r="P273" s="40"/>
      <c r="Q273" s="40"/>
      <c r="R273" s="40"/>
      <c r="S273" s="39" t="str">
        <f t="shared" si="2"/>
        <v/>
      </c>
      <c r="T273" s="40"/>
      <c r="U273" s="40"/>
      <c r="V273" s="40"/>
      <c r="W273" s="40"/>
      <c r="X273" s="39" t="str">
        <f t="shared" si="3"/>
        <v/>
      </c>
      <c r="Y273" s="40"/>
      <c r="Z273" s="40"/>
      <c r="AA273" s="40"/>
      <c r="AB273" s="40"/>
      <c r="AC273" s="39" t="str">
        <f t="shared" si="4"/>
        <v/>
      </c>
      <c r="AD273" s="40"/>
      <c r="AE273" s="40"/>
      <c r="AF273" s="40"/>
      <c r="AG273" s="40"/>
      <c r="AH273" s="39" t="str">
        <f t="shared" si="5"/>
        <v/>
      </c>
      <c r="AI273" s="40"/>
      <c r="AJ273" s="40"/>
      <c r="AK273" s="40"/>
      <c r="AL273" s="40"/>
      <c r="AM273" s="39" t="str">
        <f t="shared" si="6"/>
        <v/>
      </c>
      <c r="AN273" s="40"/>
      <c r="AO273" s="40"/>
      <c r="AP273" s="40"/>
      <c r="AQ273" s="40"/>
      <c r="AR273" s="39" t="str">
        <f t="shared" si="7"/>
        <v/>
      </c>
      <c r="AS273" s="40"/>
      <c r="AT273" s="40"/>
      <c r="AU273" s="40"/>
      <c r="AV273" s="40"/>
      <c r="AW273" s="39" t="str">
        <f t="shared" si="8"/>
        <v/>
      </c>
      <c r="AX273" s="40"/>
      <c r="AY273" s="40"/>
      <c r="AZ273" s="40"/>
      <c r="BA273" s="40"/>
      <c r="BB273" s="39" t="str">
        <f t="shared" si="9"/>
        <v/>
      </c>
      <c r="BC273" s="40"/>
      <c r="BD273" s="40"/>
      <c r="BE273" s="40"/>
      <c r="BF273" s="40"/>
      <c r="BG273" s="39" t="str">
        <f t="shared" si="10"/>
        <v/>
      </c>
    </row>
    <row r="274" spans="2:61" x14ac:dyDescent="0.25">
      <c r="C274" s="11" t="s">
        <v>386</v>
      </c>
      <c r="D274" s="12" t="s">
        <v>387</v>
      </c>
      <c r="E274" s="40"/>
      <c r="F274" s="40"/>
      <c r="G274" s="40"/>
      <c r="H274" s="40"/>
      <c r="I274" s="39" t="str">
        <f t="shared" si="0"/>
        <v/>
      </c>
      <c r="J274" s="40"/>
      <c r="K274" s="40"/>
      <c r="L274" s="40"/>
      <c r="M274" s="40"/>
      <c r="N274" s="39" t="str">
        <f t="shared" si="1"/>
        <v/>
      </c>
      <c r="O274" s="40"/>
      <c r="P274" s="40"/>
      <c r="Q274" s="40"/>
      <c r="R274" s="40"/>
      <c r="S274" s="39" t="str">
        <f t="shared" si="2"/>
        <v/>
      </c>
      <c r="T274" s="40"/>
      <c r="U274" s="40"/>
      <c r="V274" s="40"/>
      <c r="W274" s="40"/>
      <c r="X274" s="39" t="str">
        <f t="shared" si="3"/>
        <v/>
      </c>
      <c r="Y274" s="40"/>
      <c r="Z274" s="40"/>
      <c r="AA274" s="40"/>
      <c r="AB274" s="40"/>
      <c r="AC274" s="39" t="str">
        <f t="shared" si="4"/>
        <v/>
      </c>
      <c r="AD274" s="40"/>
      <c r="AE274" s="40"/>
      <c r="AF274" s="40"/>
      <c r="AG274" s="40"/>
      <c r="AH274" s="39" t="str">
        <f t="shared" si="5"/>
        <v/>
      </c>
      <c r="AI274" s="40"/>
      <c r="AJ274" s="40"/>
      <c r="AK274" s="40"/>
      <c r="AL274" s="40"/>
      <c r="AM274" s="39" t="str">
        <f t="shared" si="6"/>
        <v/>
      </c>
      <c r="AN274" s="40"/>
      <c r="AO274" s="40"/>
      <c r="AP274" s="40"/>
      <c r="AQ274" s="40"/>
      <c r="AR274" s="39" t="str">
        <f t="shared" si="7"/>
        <v/>
      </c>
      <c r="AS274" s="40"/>
      <c r="AT274" s="40"/>
      <c r="AU274" s="40"/>
      <c r="AV274" s="40"/>
      <c r="AW274" s="39" t="str">
        <f t="shared" si="8"/>
        <v/>
      </c>
      <c r="AX274" s="40"/>
      <c r="AY274" s="40"/>
      <c r="AZ274" s="40"/>
      <c r="BA274" s="40"/>
      <c r="BB274" s="39" t="str">
        <f t="shared" si="9"/>
        <v/>
      </c>
      <c r="BC274" s="40"/>
      <c r="BD274" s="40"/>
      <c r="BE274" s="40"/>
      <c r="BF274" s="40"/>
      <c r="BG274" s="39" t="str">
        <f t="shared" si="10"/>
        <v/>
      </c>
    </row>
    <row r="275" spans="2:61" x14ac:dyDescent="0.25">
      <c r="C275" s="11" t="s">
        <v>388</v>
      </c>
      <c r="D275" s="12" t="s">
        <v>389</v>
      </c>
      <c r="E275" s="40"/>
      <c r="F275" s="40"/>
      <c r="G275" s="40"/>
      <c r="H275" s="40"/>
      <c r="I275" s="39" t="str">
        <f t="shared" si="0"/>
        <v/>
      </c>
      <c r="J275" s="40"/>
      <c r="K275" s="40"/>
      <c r="L275" s="40"/>
      <c r="M275" s="40"/>
      <c r="N275" s="39" t="str">
        <f t="shared" si="1"/>
        <v/>
      </c>
      <c r="O275" s="40"/>
      <c r="P275" s="40"/>
      <c r="Q275" s="40"/>
      <c r="R275" s="40"/>
      <c r="S275" s="39" t="str">
        <f t="shared" si="2"/>
        <v/>
      </c>
      <c r="T275" s="40"/>
      <c r="U275" s="40"/>
      <c r="V275" s="40"/>
      <c r="W275" s="40"/>
      <c r="X275" s="39" t="str">
        <f t="shared" si="3"/>
        <v/>
      </c>
      <c r="Y275" s="40"/>
      <c r="Z275" s="40"/>
      <c r="AA275" s="40"/>
      <c r="AB275" s="40"/>
      <c r="AC275" s="39" t="str">
        <f t="shared" si="4"/>
        <v/>
      </c>
      <c r="AD275" s="40"/>
      <c r="AE275" s="40"/>
      <c r="AF275" s="40"/>
      <c r="AG275" s="40"/>
      <c r="AH275" s="39" t="str">
        <f t="shared" si="5"/>
        <v/>
      </c>
      <c r="AI275" s="40"/>
      <c r="AJ275" s="40"/>
      <c r="AK275" s="40"/>
      <c r="AL275" s="40"/>
      <c r="AM275" s="39" t="str">
        <f t="shared" si="6"/>
        <v/>
      </c>
      <c r="AN275" s="40"/>
      <c r="AO275" s="40"/>
      <c r="AP275" s="40"/>
      <c r="AQ275" s="40"/>
      <c r="AR275" s="39" t="str">
        <f t="shared" si="7"/>
        <v/>
      </c>
      <c r="AS275" s="40"/>
      <c r="AT275" s="40"/>
      <c r="AU275" s="40"/>
      <c r="AV275" s="40"/>
      <c r="AW275" s="39" t="str">
        <f t="shared" si="8"/>
        <v/>
      </c>
      <c r="AX275" s="40"/>
      <c r="AY275" s="40"/>
      <c r="AZ275" s="40"/>
      <c r="BA275" s="40"/>
      <c r="BB275" s="39" t="str">
        <f t="shared" si="9"/>
        <v/>
      </c>
      <c r="BC275" s="40"/>
      <c r="BD275" s="40"/>
      <c r="BE275" s="40"/>
      <c r="BF275" s="40"/>
      <c r="BG275" s="39" t="str">
        <f t="shared" si="10"/>
        <v/>
      </c>
    </row>
    <row r="276" spans="2:61" x14ac:dyDescent="0.25">
      <c r="C276" s="11" t="s">
        <v>390</v>
      </c>
      <c r="D276" s="12" t="s">
        <v>391</v>
      </c>
      <c r="E276" s="40"/>
      <c r="F276" s="40"/>
      <c r="G276" s="40"/>
      <c r="H276" s="40"/>
      <c r="I276" s="39" t="str">
        <f t="shared" si="0"/>
        <v/>
      </c>
      <c r="J276" s="40"/>
      <c r="K276" s="40"/>
      <c r="L276" s="40"/>
      <c r="M276" s="40"/>
      <c r="N276" s="39" t="str">
        <f t="shared" si="1"/>
        <v/>
      </c>
      <c r="O276" s="40"/>
      <c r="P276" s="40"/>
      <c r="Q276" s="40"/>
      <c r="R276" s="40"/>
      <c r="S276" s="39" t="str">
        <f t="shared" si="2"/>
        <v/>
      </c>
      <c r="T276" s="40"/>
      <c r="U276" s="40"/>
      <c r="V276" s="40"/>
      <c r="W276" s="40"/>
      <c r="X276" s="39" t="str">
        <f t="shared" si="3"/>
        <v/>
      </c>
      <c r="Y276" s="40"/>
      <c r="Z276" s="40"/>
      <c r="AA276" s="40"/>
      <c r="AB276" s="40"/>
      <c r="AC276" s="39" t="str">
        <f t="shared" si="4"/>
        <v/>
      </c>
      <c r="AD276" s="40"/>
      <c r="AE276" s="40"/>
      <c r="AF276" s="40"/>
      <c r="AG276" s="40"/>
      <c r="AH276" s="39" t="str">
        <f t="shared" si="5"/>
        <v/>
      </c>
      <c r="AI276" s="40"/>
      <c r="AJ276" s="40"/>
      <c r="AK276" s="40"/>
      <c r="AL276" s="40"/>
      <c r="AM276" s="39" t="str">
        <f t="shared" si="6"/>
        <v/>
      </c>
      <c r="AN276" s="40"/>
      <c r="AO276" s="40"/>
      <c r="AP276" s="40"/>
      <c r="AQ276" s="40"/>
      <c r="AR276" s="39" t="str">
        <f t="shared" si="7"/>
        <v/>
      </c>
      <c r="AS276" s="40"/>
      <c r="AT276" s="40"/>
      <c r="AU276" s="40"/>
      <c r="AV276" s="40"/>
      <c r="AW276" s="39" t="str">
        <f t="shared" si="8"/>
        <v/>
      </c>
      <c r="AX276" s="40"/>
      <c r="AY276" s="40"/>
      <c r="AZ276" s="40"/>
      <c r="BA276" s="40"/>
      <c r="BB276" s="39" t="str">
        <f t="shared" si="9"/>
        <v/>
      </c>
      <c r="BC276" s="40"/>
      <c r="BD276" s="40"/>
      <c r="BE276" s="40"/>
      <c r="BF276" s="40"/>
      <c r="BG276" s="39" t="str">
        <f t="shared" si="10"/>
        <v/>
      </c>
    </row>
    <row r="277" spans="2:61" x14ac:dyDescent="0.25">
      <c r="C277" s="11" t="s">
        <v>392</v>
      </c>
      <c r="D277" s="12" t="s">
        <v>393</v>
      </c>
      <c r="E277" s="40"/>
      <c r="F277" s="40"/>
      <c r="G277" s="40"/>
      <c r="H277" s="40"/>
      <c r="I277" s="39" t="str">
        <f t="shared" si="0"/>
        <v/>
      </c>
      <c r="J277" s="40"/>
      <c r="K277" s="40"/>
      <c r="L277" s="40"/>
      <c r="M277" s="40"/>
      <c r="N277" s="39" t="str">
        <f t="shared" si="1"/>
        <v/>
      </c>
      <c r="O277" s="40"/>
      <c r="P277" s="40"/>
      <c r="Q277" s="40"/>
      <c r="R277" s="40"/>
      <c r="S277" s="39" t="str">
        <f t="shared" si="2"/>
        <v/>
      </c>
      <c r="T277" s="40"/>
      <c r="U277" s="40"/>
      <c r="V277" s="40"/>
      <c r="W277" s="40"/>
      <c r="X277" s="39" t="str">
        <f t="shared" si="3"/>
        <v/>
      </c>
      <c r="Y277" s="40"/>
      <c r="Z277" s="40"/>
      <c r="AA277" s="40"/>
      <c r="AB277" s="40"/>
      <c r="AC277" s="39" t="str">
        <f t="shared" si="4"/>
        <v/>
      </c>
      <c r="AD277" s="40"/>
      <c r="AE277" s="40"/>
      <c r="AF277" s="40"/>
      <c r="AG277" s="40"/>
      <c r="AH277" s="39" t="str">
        <f t="shared" si="5"/>
        <v/>
      </c>
      <c r="AI277" s="40"/>
      <c r="AJ277" s="40"/>
      <c r="AK277" s="40"/>
      <c r="AL277" s="40"/>
      <c r="AM277" s="39" t="str">
        <f t="shared" si="6"/>
        <v/>
      </c>
      <c r="AN277" s="40"/>
      <c r="AO277" s="40"/>
      <c r="AP277" s="40"/>
      <c r="AQ277" s="40"/>
      <c r="AR277" s="39" t="str">
        <f t="shared" si="7"/>
        <v/>
      </c>
      <c r="AS277" s="40"/>
      <c r="AT277" s="40"/>
      <c r="AU277" s="40"/>
      <c r="AV277" s="40"/>
      <c r="AW277" s="39" t="str">
        <f t="shared" si="8"/>
        <v/>
      </c>
      <c r="AX277" s="40"/>
      <c r="AY277" s="40"/>
      <c r="AZ277" s="40"/>
      <c r="BA277" s="40"/>
      <c r="BB277" s="39" t="str">
        <f t="shared" si="9"/>
        <v/>
      </c>
      <c r="BC277" s="40"/>
      <c r="BD277" s="40"/>
      <c r="BE277" s="40"/>
      <c r="BF277" s="40"/>
      <c r="BG277" s="39" t="str">
        <f t="shared" si="10"/>
        <v/>
      </c>
    </row>
    <row r="278" spans="2:61" x14ac:dyDescent="0.25">
      <c r="C278" s="11" t="s">
        <v>394</v>
      </c>
      <c r="D278" s="12" t="s">
        <v>395</v>
      </c>
      <c r="E278" s="40"/>
      <c r="F278" s="40"/>
      <c r="G278" s="40"/>
      <c r="H278" s="40"/>
      <c r="I278" s="39" t="str">
        <f t="shared" si="0"/>
        <v/>
      </c>
      <c r="J278" s="40"/>
      <c r="K278" s="40"/>
      <c r="L278" s="40"/>
      <c r="M278" s="40"/>
      <c r="N278" s="39" t="str">
        <f t="shared" si="1"/>
        <v/>
      </c>
      <c r="O278" s="40"/>
      <c r="P278" s="40"/>
      <c r="Q278" s="40"/>
      <c r="R278" s="40"/>
      <c r="S278" s="39" t="str">
        <f t="shared" si="2"/>
        <v/>
      </c>
      <c r="T278" s="40"/>
      <c r="U278" s="40"/>
      <c r="V278" s="40"/>
      <c r="W278" s="40"/>
      <c r="X278" s="39" t="str">
        <f t="shared" si="3"/>
        <v/>
      </c>
      <c r="Y278" s="40"/>
      <c r="Z278" s="40"/>
      <c r="AA278" s="40"/>
      <c r="AB278" s="40"/>
      <c r="AC278" s="39" t="str">
        <f t="shared" si="4"/>
        <v/>
      </c>
      <c r="AD278" s="40"/>
      <c r="AE278" s="40"/>
      <c r="AF278" s="40"/>
      <c r="AG278" s="40"/>
      <c r="AH278" s="39" t="str">
        <f t="shared" si="5"/>
        <v/>
      </c>
      <c r="AI278" s="40"/>
      <c r="AJ278" s="40"/>
      <c r="AK278" s="40"/>
      <c r="AL278" s="40"/>
      <c r="AM278" s="39" t="str">
        <f t="shared" si="6"/>
        <v/>
      </c>
      <c r="AN278" s="40"/>
      <c r="AO278" s="40"/>
      <c r="AP278" s="40"/>
      <c r="AQ278" s="40"/>
      <c r="AR278" s="39" t="str">
        <f t="shared" si="7"/>
        <v/>
      </c>
      <c r="AS278" s="40"/>
      <c r="AT278" s="40"/>
      <c r="AU278" s="40"/>
      <c r="AV278" s="40"/>
      <c r="AW278" s="39" t="str">
        <f t="shared" si="8"/>
        <v/>
      </c>
      <c r="AX278" s="40"/>
      <c r="AY278" s="40"/>
      <c r="AZ278" s="40"/>
      <c r="BA278" s="40"/>
      <c r="BB278" s="39" t="str">
        <f t="shared" si="9"/>
        <v/>
      </c>
      <c r="BC278" s="40"/>
      <c r="BD278" s="40"/>
      <c r="BE278" s="40"/>
      <c r="BF278" s="40"/>
      <c r="BG278" s="39" t="str">
        <f t="shared" si="10"/>
        <v/>
      </c>
    </row>
    <row r="279" spans="2:61" x14ac:dyDescent="0.25">
      <c r="C279" s="11" t="s">
        <v>396</v>
      </c>
      <c r="D279" s="12" t="s">
        <v>397</v>
      </c>
      <c r="E279" s="40"/>
      <c r="F279" s="40"/>
      <c r="G279" s="40"/>
      <c r="H279" s="40"/>
      <c r="I279" s="39" t="str">
        <f t="shared" si="0"/>
        <v/>
      </c>
      <c r="J279" s="40"/>
      <c r="K279" s="40"/>
      <c r="L279" s="40"/>
      <c r="M279" s="40"/>
      <c r="N279" s="39" t="str">
        <f t="shared" si="1"/>
        <v/>
      </c>
      <c r="O279" s="40"/>
      <c r="P279" s="40"/>
      <c r="Q279" s="40"/>
      <c r="R279" s="40"/>
      <c r="S279" s="39" t="str">
        <f t="shared" si="2"/>
        <v/>
      </c>
      <c r="T279" s="40"/>
      <c r="U279" s="40"/>
      <c r="V279" s="40"/>
      <c r="W279" s="40"/>
      <c r="X279" s="39" t="str">
        <f t="shared" si="3"/>
        <v/>
      </c>
      <c r="Y279" s="40"/>
      <c r="Z279" s="40"/>
      <c r="AA279" s="40"/>
      <c r="AB279" s="40"/>
      <c r="AC279" s="39" t="str">
        <f t="shared" si="4"/>
        <v/>
      </c>
      <c r="AD279" s="40"/>
      <c r="AE279" s="40"/>
      <c r="AF279" s="40"/>
      <c r="AG279" s="40"/>
      <c r="AH279" s="39" t="str">
        <f t="shared" si="5"/>
        <v/>
      </c>
      <c r="AI279" s="40"/>
      <c r="AJ279" s="40"/>
      <c r="AK279" s="40"/>
      <c r="AL279" s="40"/>
      <c r="AM279" s="39" t="str">
        <f t="shared" si="6"/>
        <v/>
      </c>
      <c r="AN279" s="40"/>
      <c r="AO279" s="40"/>
      <c r="AP279" s="40"/>
      <c r="AQ279" s="40"/>
      <c r="AR279" s="39" t="str">
        <f t="shared" si="7"/>
        <v/>
      </c>
      <c r="AS279" s="40"/>
      <c r="AT279" s="40"/>
      <c r="AU279" s="40"/>
      <c r="AV279" s="40"/>
      <c r="AW279" s="39" t="str">
        <f t="shared" si="8"/>
        <v/>
      </c>
      <c r="AX279" s="40"/>
      <c r="AY279" s="40"/>
      <c r="AZ279" s="40"/>
      <c r="BA279" s="40"/>
      <c r="BB279" s="39" t="str">
        <f t="shared" si="9"/>
        <v/>
      </c>
      <c r="BC279" s="40"/>
      <c r="BD279" s="40"/>
      <c r="BE279" s="40"/>
      <c r="BF279" s="40"/>
      <c r="BG279" s="39" t="str">
        <f t="shared" si="10"/>
        <v/>
      </c>
    </row>
    <row r="280" spans="2:61" x14ac:dyDescent="0.25">
      <c r="C280" s="11" t="s">
        <v>398</v>
      </c>
      <c r="D280" s="12" t="s">
        <v>399</v>
      </c>
      <c r="E280" s="40"/>
      <c r="F280" s="40"/>
      <c r="G280" s="40"/>
      <c r="H280" s="40"/>
      <c r="I280" s="39" t="str">
        <f t="shared" si="0"/>
        <v/>
      </c>
      <c r="J280" s="40"/>
      <c r="K280" s="40"/>
      <c r="L280" s="40"/>
      <c r="M280" s="40"/>
      <c r="N280" s="39" t="str">
        <f t="shared" si="1"/>
        <v/>
      </c>
      <c r="O280" s="40"/>
      <c r="P280" s="40"/>
      <c r="Q280" s="40"/>
      <c r="R280" s="40"/>
      <c r="S280" s="39" t="str">
        <f t="shared" si="2"/>
        <v/>
      </c>
      <c r="T280" s="40"/>
      <c r="U280" s="40"/>
      <c r="V280" s="40"/>
      <c r="W280" s="40"/>
      <c r="X280" s="39" t="str">
        <f t="shared" si="3"/>
        <v/>
      </c>
      <c r="Y280" s="40"/>
      <c r="Z280" s="40"/>
      <c r="AA280" s="40"/>
      <c r="AB280" s="40"/>
      <c r="AC280" s="39" t="str">
        <f t="shared" si="4"/>
        <v/>
      </c>
      <c r="AD280" s="40"/>
      <c r="AE280" s="40"/>
      <c r="AF280" s="40"/>
      <c r="AG280" s="40"/>
      <c r="AH280" s="39" t="str">
        <f t="shared" si="5"/>
        <v/>
      </c>
      <c r="AI280" s="40"/>
      <c r="AJ280" s="40"/>
      <c r="AK280" s="40"/>
      <c r="AL280" s="40"/>
      <c r="AM280" s="39" t="str">
        <f t="shared" si="6"/>
        <v/>
      </c>
      <c r="AN280" s="40"/>
      <c r="AO280" s="40"/>
      <c r="AP280" s="40"/>
      <c r="AQ280" s="40"/>
      <c r="AR280" s="39" t="str">
        <f t="shared" si="7"/>
        <v/>
      </c>
      <c r="AS280" s="40"/>
      <c r="AT280" s="40"/>
      <c r="AU280" s="40"/>
      <c r="AV280" s="40"/>
      <c r="AW280" s="39" t="str">
        <f t="shared" si="8"/>
        <v/>
      </c>
      <c r="AX280" s="40"/>
      <c r="AY280" s="40"/>
      <c r="AZ280" s="40"/>
      <c r="BA280" s="40"/>
      <c r="BB280" s="39" t="str">
        <f t="shared" si="9"/>
        <v/>
      </c>
      <c r="BC280" s="40"/>
      <c r="BD280" s="40"/>
      <c r="BE280" s="40"/>
      <c r="BF280" s="40"/>
      <c r="BG280" s="39" t="str">
        <f t="shared" si="10"/>
        <v/>
      </c>
    </row>
    <row r="281" spans="2:61" x14ac:dyDescent="0.25">
      <c r="C281" s="11" t="s">
        <v>400</v>
      </c>
      <c r="D281" s="12" t="s">
        <v>401</v>
      </c>
      <c r="E281" s="40"/>
      <c r="F281" s="40"/>
      <c r="G281" s="40"/>
      <c r="H281" s="40"/>
      <c r="I281" s="39" t="str">
        <f t="shared" si="0"/>
        <v/>
      </c>
      <c r="J281" s="40"/>
      <c r="K281" s="40"/>
      <c r="L281" s="40"/>
      <c r="M281" s="40"/>
      <c r="N281" s="39" t="str">
        <f t="shared" si="1"/>
        <v/>
      </c>
      <c r="O281" s="40"/>
      <c r="P281" s="40"/>
      <c r="Q281" s="40"/>
      <c r="R281" s="40"/>
      <c r="S281" s="39" t="str">
        <f t="shared" si="2"/>
        <v/>
      </c>
      <c r="T281" s="40"/>
      <c r="U281" s="40"/>
      <c r="V281" s="40"/>
      <c r="W281" s="40"/>
      <c r="X281" s="39" t="str">
        <f t="shared" si="3"/>
        <v/>
      </c>
      <c r="Y281" s="40"/>
      <c r="Z281" s="40"/>
      <c r="AA281" s="40"/>
      <c r="AB281" s="40"/>
      <c r="AC281" s="39" t="str">
        <f t="shared" si="4"/>
        <v/>
      </c>
      <c r="AD281" s="40"/>
      <c r="AE281" s="40"/>
      <c r="AF281" s="40"/>
      <c r="AG281" s="40"/>
      <c r="AH281" s="39" t="str">
        <f t="shared" si="5"/>
        <v/>
      </c>
      <c r="AI281" s="40"/>
      <c r="AJ281" s="40"/>
      <c r="AK281" s="40"/>
      <c r="AL281" s="40"/>
      <c r="AM281" s="39" t="str">
        <f t="shared" si="6"/>
        <v/>
      </c>
      <c r="AN281" s="40"/>
      <c r="AO281" s="40"/>
      <c r="AP281" s="40"/>
      <c r="AQ281" s="40"/>
      <c r="AR281" s="39" t="str">
        <f t="shared" si="7"/>
        <v/>
      </c>
      <c r="AS281" s="40"/>
      <c r="AT281" s="40"/>
      <c r="AU281" s="40"/>
      <c r="AV281" s="40"/>
      <c r="AW281" s="39" t="str">
        <f t="shared" si="8"/>
        <v/>
      </c>
      <c r="AX281" s="40"/>
      <c r="AY281" s="40"/>
      <c r="AZ281" s="40"/>
      <c r="BA281" s="40"/>
      <c r="BB281" s="39" t="str">
        <f t="shared" si="9"/>
        <v/>
      </c>
      <c r="BC281" s="40"/>
      <c r="BD281" s="40"/>
      <c r="BE281" s="40"/>
      <c r="BF281" s="40"/>
      <c r="BG281" s="39" t="str">
        <f t="shared" si="10"/>
        <v/>
      </c>
    </row>
    <row r="282" spans="2:61" x14ac:dyDescent="0.25">
      <c r="C282" s="11" t="s">
        <v>402</v>
      </c>
      <c r="D282" s="12" t="s">
        <v>403</v>
      </c>
      <c r="E282" s="40"/>
      <c r="F282" s="40"/>
      <c r="G282" s="40"/>
      <c r="H282" s="40"/>
      <c r="I282" s="39" t="str">
        <f t="shared" si="0"/>
        <v/>
      </c>
      <c r="J282" s="40"/>
      <c r="K282" s="40"/>
      <c r="L282" s="40"/>
      <c r="M282" s="40"/>
      <c r="N282" s="39" t="str">
        <f t="shared" si="1"/>
        <v/>
      </c>
      <c r="O282" s="40"/>
      <c r="P282" s="40"/>
      <c r="Q282" s="40"/>
      <c r="R282" s="40"/>
      <c r="S282" s="39" t="str">
        <f t="shared" si="2"/>
        <v/>
      </c>
      <c r="T282" s="40"/>
      <c r="U282" s="40"/>
      <c r="V282" s="40"/>
      <c r="W282" s="40"/>
      <c r="X282" s="39" t="str">
        <f t="shared" si="3"/>
        <v/>
      </c>
      <c r="Y282" s="40"/>
      <c r="Z282" s="40"/>
      <c r="AA282" s="40"/>
      <c r="AB282" s="40"/>
      <c r="AC282" s="39" t="str">
        <f t="shared" si="4"/>
        <v/>
      </c>
      <c r="AD282" s="40"/>
      <c r="AE282" s="40"/>
      <c r="AF282" s="40"/>
      <c r="AG282" s="40"/>
      <c r="AH282" s="39" t="str">
        <f t="shared" si="5"/>
        <v/>
      </c>
      <c r="AI282" s="40"/>
      <c r="AJ282" s="40"/>
      <c r="AK282" s="40"/>
      <c r="AL282" s="40"/>
      <c r="AM282" s="39" t="str">
        <f t="shared" si="6"/>
        <v/>
      </c>
      <c r="AN282" s="40"/>
      <c r="AO282" s="40"/>
      <c r="AP282" s="40"/>
      <c r="AQ282" s="40"/>
      <c r="AR282" s="39" t="str">
        <f t="shared" si="7"/>
        <v/>
      </c>
      <c r="AS282" s="40"/>
      <c r="AT282" s="40"/>
      <c r="AU282" s="40"/>
      <c r="AV282" s="40"/>
      <c r="AW282" s="39" t="str">
        <f t="shared" si="8"/>
        <v/>
      </c>
      <c r="AX282" s="40"/>
      <c r="AY282" s="40"/>
      <c r="AZ282" s="40"/>
      <c r="BA282" s="40"/>
      <c r="BB282" s="39" t="str">
        <f t="shared" si="9"/>
        <v/>
      </c>
      <c r="BC282" s="40"/>
      <c r="BD282" s="40"/>
      <c r="BE282" s="40"/>
      <c r="BF282" s="40"/>
      <c r="BG282" s="39" t="str">
        <f t="shared" si="10"/>
        <v/>
      </c>
    </row>
    <row r="284" spans="2:61" x14ac:dyDescent="0.25">
      <c r="B284" s="7"/>
      <c r="C284" s="7" t="s">
        <v>482</v>
      </c>
      <c r="D284" s="7" t="s">
        <v>483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2:61" x14ac:dyDescent="0.25">
      <c r="C285" s="11" t="s">
        <v>406</v>
      </c>
      <c r="D285" s="12" t="s">
        <v>407</v>
      </c>
      <c r="E285" s="40"/>
      <c r="F285" s="40"/>
      <c r="G285" s="40"/>
      <c r="H285" s="40"/>
      <c r="I285" s="39" t="str">
        <f t="shared" ref="I285:I295" si="11">IF(COUNT(E285:H285)=0,"",AVERAGE(E285:H285))</f>
        <v/>
      </c>
      <c r="J285" s="40"/>
      <c r="K285" s="40"/>
      <c r="L285" s="40"/>
      <c r="M285" s="40"/>
      <c r="N285" s="39" t="str">
        <f t="shared" ref="N285:N295" si="12">IF(COUNT(J285:M285)=0,"",AVERAGE(J285:M285))</f>
        <v/>
      </c>
      <c r="O285" s="40"/>
      <c r="P285" s="40"/>
      <c r="Q285" s="40"/>
      <c r="R285" s="40"/>
      <c r="S285" s="39" t="str">
        <f t="shared" ref="S285:S295" si="13">IF(COUNT(O285:R285)=0,"",AVERAGE(O285:R285))</f>
        <v/>
      </c>
      <c r="T285" s="40"/>
      <c r="U285" s="40"/>
      <c r="V285" s="40"/>
      <c r="W285" s="40"/>
      <c r="X285" s="39" t="str">
        <f t="shared" ref="X285:X295" si="14">IF(COUNT(T285:W285)=0,"",AVERAGE(T285:W285))</f>
        <v/>
      </c>
      <c r="Y285" s="40"/>
      <c r="Z285" s="40"/>
      <c r="AA285" s="40"/>
      <c r="AB285" s="40"/>
      <c r="AC285" s="39" t="str">
        <f t="shared" ref="AC285:AC295" si="15">IF(COUNT(Y285:AB285)=0,"",AVERAGE(Y285:AB285))</f>
        <v/>
      </c>
      <c r="AD285" s="40"/>
      <c r="AE285" s="40"/>
      <c r="AF285" s="40"/>
      <c r="AG285" s="40"/>
      <c r="AH285" s="39" t="str">
        <f t="shared" ref="AH285:AH295" si="16">IF(COUNT(AD285:AG285)=0,"",AVERAGE(AD285:AG285))</f>
        <v/>
      </c>
      <c r="AI285" s="40"/>
      <c r="AJ285" s="40"/>
      <c r="AK285" s="40"/>
      <c r="AL285" s="40"/>
      <c r="AM285" s="39" t="str">
        <f t="shared" ref="AM285:AM295" si="17">IF(COUNT(AI285:AL285)=0,"",AVERAGE(AI285:AL285))</f>
        <v/>
      </c>
      <c r="AN285" s="40"/>
      <c r="AO285" s="40"/>
      <c r="AP285" s="40"/>
      <c r="AQ285" s="40"/>
      <c r="AR285" s="39" t="str">
        <f t="shared" ref="AR285:AR295" si="18">IF(COUNT(AN285:AQ285)=0,"",AVERAGE(AN285:AQ285))</f>
        <v/>
      </c>
      <c r="AS285" s="40"/>
      <c r="AT285" s="40"/>
      <c r="AU285" s="40"/>
      <c r="AV285" s="40"/>
      <c r="AW285" s="39" t="str">
        <f t="shared" ref="AW285:AW295" si="19">IF(COUNT(AS285:AV285)=0,"",AVERAGE(AS285:AV285))</f>
        <v/>
      </c>
      <c r="AX285" s="40"/>
      <c r="AY285" s="40"/>
      <c r="AZ285" s="40"/>
      <c r="BA285" s="40"/>
      <c r="BB285" s="39" t="str">
        <f t="shared" ref="BB285:BB295" si="20">IF(COUNT(AX285:BA285)=0,"",AVERAGE(AX285:BA285))</f>
        <v/>
      </c>
      <c r="BC285" s="40"/>
      <c r="BD285" s="40"/>
      <c r="BE285" s="40"/>
      <c r="BF285" s="40"/>
      <c r="BG285" s="39" t="str">
        <f t="shared" ref="BG285:BG295" si="21">IF(COUNT(BC285:BF285)=0,"",AVERAGE(BC285:BF285))</f>
        <v/>
      </c>
    </row>
    <row r="286" spans="2:61" x14ac:dyDescent="0.25">
      <c r="C286" s="11" t="s">
        <v>408</v>
      </c>
      <c r="D286" s="12" t="s">
        <v>409</v>
      </c>
      <c r="E286" s="40"/>
      <c r="F286" s="40"/>
      <c r="G286" s="40"/>
      <c r="H286" s="40"/>
      <c r="I286" s="39" t="str">
        <f t="shared" si="11"/>
        <v/>
      </c>
      <c r="J286" s="40"/>
      <c r="K286" s="40"/>
      <c r="L286" s="40"/>
      <c r="M286" s="40"/>
      <c r="N286" s="39" t="str">
        <f t="shared" si="12"/>
        <v/>
      </c>
      <c r="O286" s="40"/>
      <c r="P286" s="40"/>
      <c r="Q286" s="40"/>
      <c r="R286" s="40"/>
      <c r="S286" s="39" t="str">
        <f t="shared" si="13"/>
        <v/>
      </c>
      <c r="T286" s="40"/>
      <c r="U286" s="40"/>
      <c r="V286" s="40"/>
      <c r="W286" s="40"/>
      <c r="X286" s="39" t="str">
        <f t="shared" si="14"/>
        <v/>
      </c>
      <c r="Y286" s="40"/>
      <c r="Z286" s="40"/>
      <c r="AA286" s="40"/>
      <c r="AB286" s="40"/>
      <c r="AC286" s="39" t="str">
        <f t="shared" si="15"/>
        <v/>
      </c>
      <c r="AD286" s="40"/>
      <c r="AE286" s="40"/>
      <c r="AF286" s="40"/>
      <c r="AG286" s="40"/>
      <c r="AH286" s="39" t="str">
        <f t="shared" si="16"/>
        <v/>
      </c>
      <c r="AI286" s="40"/>
      <c r="AJ286" s="40"/>
      <c r="AK286" s="40"/>
      <c r="AL286" s="40"/>
      <c r="AM286" s="39" t="str">
        <f t="shared" si="17"/>
        <v/>
      </c>
      <c r="AN286" s="40"/>
      <c r="AO286" s="40"/>
      <c r="AP286" s="40"/>
      <c r="AQ286" s="40"/>
      <c r="AR286" s="39" t="str">
        <f t="shared" si="18"/>
        <v/>
      </c>
      <c r="AS286" s="40"/>
      <c r="AT286" s="40"/>
      <c r="AU286" s="40"/>
      <c r="AV286" s="40"/>
      <c r="AW286" s="39" t="str">
        <f t="shared" si="19"/>
        <v/>
      </c>
      <c r="AX286" s="40"/>
      <c r="AY286" s="40"/>
      <c r="AZ286" s="40"/>
      <c r="BA286" s="40"/>
      <c r="BB286" s="39" t="str">
        <f t="shared" si="20"/>
        <v/>
      </c>
      <c r="BC286" s="40"/>
      <c r="BD286" s="40"/>
      <c r="BE286" s="40"/>
      <c r="BF286" s="40"/>
      <c r="BG286" s="39" t="str">
        <f t="shared" si="21"/>
        <v/>
      </c>
    </row>
    <row r="287" spans="2:61" x14ac:dyDescent="0.25">
      <c r="C287" s="11" t="s">
        <v>410</v>
      </c>
      <c r="D287" s="12" t="s">
        <v>411</v>
      </c>
      <c r="E287" s="40"/>
      <c r="F287" s="40"/>
      <c r="G287" s="40"/>
      <c r="H287" s="40"/>
      <c r="I287" s="39" t="str">
        <f t="shared" si="11"/>
        <v/>
      </c>
      <c r="J287" s="40"/>
      <c r="K287" s="40"/>
      <c r="L287" s="40"/>
      <c r="M287" s="40"/>
      <c r="N287" s="39" t="str">
        <f t="shared" si="12"/>
        <v/>
      </c>
      <c r="O287" s="40"/>
      <c r="P287" s="40"/>
      <c r="Q287" s="40"/>
      <c r="R287" s="40"/>
      <c r="S287" s="39" t="str">
        <f t="shared" si="13"/>
        <v/>
      </c>
      <c r="T287" s="40"/>
      <c r="U287" s="40"/>
      <c r="V287" s="40"/>
      <c r="W287" s="40"/>
      <c r="X287" s="39" t="str">
        <f t="shared" si="14"/>
        <v/>
      </c>
      <c r="Y287" s="40"/>
      <c r="Z287" s="40"/>
      <c r="AA287" s="40"/>
      <c r="AB287" s="40"/>
      <c r="AC287" s="39" t="str">
        <f t="shared" si="15"/>
        <v/>
      </c>
      <c r="AD287" s="40"/>
      <c r="AE287" s="40"/>
      <c r="AF287" s="40"/>
      <c r="AG287" s="40"/>
      <c r="AH287" s="39" t="str">
        <f t="shared" si="16"/>
        <v/>
      </c>
      <c r="AI287" s="40"/>
      <c r="AJ287" s="40"/>
      <c r="AK287" s="40"/>
      <c r="AL287" s="40"/>
      <c r="AM287" s="39" t="str">
        <f t="shared" si="17"/>
        <v/>
      </c>
      <c r="AN287" s="40"/>
      <c r="AO287" s="40"/>
      <c r="AP287" s="40"/>
      <c r="AQ287" s="40"/>
      <c r="AR287" s="39" t="str">
        <f t="shared" si="18"/>
        <v/>
      </c>
      <c r="AS287" s="40"/>
      <c r="AT287" s="40"/>
      <c r="AU287" s="40"/>
      <c r="AV287" s="40"/>
      <c r="AW287" s="39" t="str">
        <f t="shared" si="19"/>
        <v/>
      </c>
      <c r="AX287" s="40"/>
      <c r="AY287" s="40"/>
      <c r="AZ287" s="40"/>
      <c r="BA287" s="40"/>
      <c r="BB287" s="39" t="str">
        <f t="shared" si="20"/>
        <v/>
      </c>
      <c r="BC287" s="40"/>
      <c r="BD287" s="40"/>
      <c r="BE287" s="40"/>
      <c r="BF287" s="40"/>
      <c r="BG287" s="39" t="str">
        <f t="shared" si="21"/>
        <v/>
      </c>
    </row>
    <row r="288" spans="2:61" x14ac:dyDescent="0.25">
      <c r="C288" s="11" t="s">
        <v>412</v>
      </c>
      <c r="D288" s="12" t="s">
        <v>413</v>
      </c>
      <c r="E288" s="40"/>
      <c r="F288" s="40"/>
      <c r="G288" s="40"/>
      <c r="H288" s="40"/>
      <c r="I288" s="39" t="str">
        <f t="shared" si="11"/>
        <v/>
      </c>
      <c r="J288" s="40"/>
      <c r="K288" s="40"/>
      <c r="L288" s="40"/>
      <c r="M288" s="40"/>
      <c r="N288" s="39" t="str">
        <f t="shared" si="12"/>
        <v/>
      </c>
      <c r="O288" s="40"/>
      <c r="P288" s="40"/>
      <c r="Q288" s="40"/>
      <c r="R288" s="40"/>
      <c r="S288" s="39" t="str">
        <f t="shared" si="13"/>
        <v/>
      </c>
      <c r="T288" s="40"/>
      <c r="U288" s="40"/>
      <c r="V288" s="40"/>
      <c r="W288" s="40"/>
      <c r="X288" s="39" t="str">
        <f t="shared" si="14"/>
        <v/>
      </c>
      <c r="Y288" s="40"/>
      <c r="Z288" s="40"/>
      <c r="AA288" s="40"/>
      <c r="AB288" s="40"/>
      <c r="AC288" s="39" t="str">
        <f t="shared" si="15"/>
        <v/>
      </c>
      <c r="AD288" s="40"/>
      <c r="AE288" s="40"/>
      <c r="AF288" s="40"/>
      <c r="AG288" s="40"/>
      <c r="AH288" s="39" t="str">
        <f t="shared" si="16"/>
        <v/>
      </c>
      <c r="AI288" s="40"/>
      <c r="AJ288" s="40"/>
      <c r="AK288" s="40"/>
      <c r="AL288" s="40"/>
      <c r="AM288" s="39" t="str">
        <f t="shared" si="17"/>
        <v/>
      </c>
      <c r="AN288" s="40"/>
      <c r="AO288" s="40"/>
      <c r="AP288" s="40"/>
      <c r="AQ288" s="40"/>
      <c r="AR288" s="39" t="str">
        <f t="shared" si="18"/>
        <v/>
      </c>
      <c r="AS288" s="40"/>
      <c r="AT288" s="40"/>
      <c r="AU288" s="40"/>
      <c r="AV288" s="40"/>
      <c r="AW288" s="39" t="str">
        <f t="shared" si="19"/>
        <v/>
      </c>
      <c r="AX288" s="40"/>
      <c r="AY288" s="40"/>
      <c r="AZ288" s="40"/>
      <c r="BA288" s="40"/>
      <c r="BB288" s="39" t="str">
        <f t="shared" si="20"/>
        <v/>
      </c>
      <c r="BC288" s="40"/>
      <c r="BD288" s="40"/>
      <c r="BE288" s="40"/>
      <c r="BF288" s="40"/>
      <c r="BG288" s="39" t="str">
        <f t="shared" si="21"/>
        <v/>
      </c>
    </row>
    <row r="289" spans="2:61" x14ac:dyDescent="0.25">
      <c r="C289" s="11" t="s">
        <v>414</v>
      </c>
      <c r="D289" s="12" t="s">
        <v>415</v>
      </c>
      <c r="E289" s="40"/>
      <c r="F289" s="40"/>
      <c r="G289" s="40"/>
      <c r="H289" s="40"/>
      <c r="I289" s="39" t="str">
        <f t="shared" si="11"/>
        <v/>
      </c>
      <c r="J289" s="40"/>
      <c r="K289" s="40"/>
      <c r="L289" s="40"/>
      <c r="M289" s="40"/>
      <c r="N289" s="39" t="str">
        <f t="shared" si="12"/>
        <v/>
      </c>
      <c r="O289" s="40"/>
      <c r="P289" s="40"/>
      <c r="Q289" s="40"/>
      <c r="R289" s="40"/>
      <c r="S289" s="39" t="str">
        <f t="shared" si="13"/>
        <v/>
      </c>
      <c r="T289" s="40"/>
      <c r="U289" s="40"/>
      <c r="V289" s="40"/>
      <c r="W289" s="40"/>
      <c r="X289" s="39" t="str">
        <f t="shared" si="14"/>
        <v/>
      </c>
      <c r="Y289" s="40"/>
      <c r="Z289" s="40"/>
      <c r="AA289" s="40"/>
      <c r="AB289" s="40"/>
      <c r="AC289" s="39" t="str">
        <f t="shared" si="15"/>
        <v/>
      </c>
      <c r="AD289" s="40"/>
      <c r="AE289" s="40"/>
      <c r="AF289" s="40"/>
      <c r="AG289" s="40"/>
      <c r="AH289" s="39" t="str">
        <f t="shared" si="16"/>
        <v/>
      </c>
      <c r="AI289" s="40"/>
      <c r="AJ289" s="40"/>
      <c r="AK289" s="40"/>
      <c r="AL289" s="40"/>
      <c r="AM289" s="39" t="str">
        <f t="shared" si="17"/>
        <v/>
      </c>
      <c r="AN289" s="40"/>
      <c r="AO289" s="40"/>
      <c r="AP289" s="40"/>
      <c r="AQ289" s="40"/>
      <c r="AR289" s="39" t="str">
        <f t="shared" si="18"/>
        <v/>
      </c>
      <c r="AS289" s="40"/>
      <c r="AT289" s="40"/>
      <c r="AU289" s="40"/>
      <c r="AV289" s="40"/>
      <c r="AW289" s="39" t="str">
        <f t="shared" si="19"/>
        <v/>
      </c>
      <c r="AX289" s="40"/>
      <c r="AY289" s="40"/>
      <c r="AZ289" s="40"/>
      <c r="BA289" s="40"/>
      <c r="BB289" s="39" t="str">
        <f t="shared" si="20"/>
        <v/>
      </c>
      <c r="BC289" s="40"/>
      <c r="BD289" s="40"/>
      <c r="BE289" s="40"/>
      <c r="BF289" s="40"/>
      <c r="BG289" s="39" t="str">
        <f t="shared" si="21"/>
        <v/>
      </c>
      <c r="BI289" s="14" t="s">
        <v>484</v>
      </c>
    </row>
    <row r="290" spans="2:61" x14ac:dyDescent="0.25">
      <c r="C290" s="11" t="s">
        <v>416</v>
      </c>
      <c r="D290" s="12" t="s">
        <v>417</v>
      </c>
      <c r="E290" s="40"/>
      <c r="F290" s="40"/>
      <c r="G290" s="40"/>
      <c r="H290" s="40"/>
      <c r="I290" s="39" t="str">
        <f t="shared" si="11"/>
        <v/>
      </c>
      <c r="J290" s="40"/>
      <c r="K290" s="40"/>
      <c r="L290" s="40"/>
      <c r="M290" s="40"/>
      <c r="N290" s="39" t="str">
        <f t="shared" si="12"/>
        <v/>
      </c>
      <c r="O290" s="40"/>
      <c r="P290" s="40"/>
      <c r="Q290" s="40"/>
      <c r="R290" s="40"/>
      <c r="S290" s="39" t="str">
        <f t="shared" si="13"/>
        <v/>
      </c>
      <c r="T290" s="40"/>
      <c r="U290" s="40"/>
      <c r="V290" s="40"/>
      <c r="W290" s="40"/>
      <c r="X290" s="39" t="str">
        <f t="shared" si="14"/>
        <v/>
      </c>
      <c r="Y290" s="40"/>
      <c r="Z290" s="40"/>
      <c r="AA290" s="40"/>
      <c r="AB290" s="40"/>
      <c r="AC290" s="39" t="str">
        <f t="shared" si="15"/>
        <v/>
      </c>
      <c r="AD290" s="40"/>
      <c r="AE290" s="40"/>
      <c r="AF290" s="40"/>
      <c r="AG290" s="40"/>
      <c r="AH290" s="39" t="str">
        <f t="shared" si="16"/>
        <v/>
      </c>
      <c r="AI290" s="40"/>
      <c r="AJ290" s="40"/>
      <c r="AK290" s="40"/>
      <c r="AL290" s="40"/>
      <c r="AM290" s="39" t="str">
        <f t="shared" si="17"/>
        <v/>
      </c>
      <c r="AN290" s="40"/>
      <c r="AO290" s="40"/>
      <c r="AP290" s="40"/>
      <c r="AQ290" s="40"/>
      <c r="AR290" s="39" t="str">
        <f t="shared" si="18"/>
        <v/>
      </c>
      <c r="AS290" s="40"/>
      <c r="AT290" s="40"/>
      <c r="AU290" s="40"/>
      <c r="AV290" s="40"/>
      <c r="AW290" s="39" t="str">
        <f t="shared" si="19"/>
        <v/>
      </c>
      <c r="AX290" s="40"/>
      <c r="AY290" s="40"/>
      <c r="AZ290" s="40"/>
      <c r="BA290" s="40"/>
      <c r="BB290" s="39" t="str">
        <f t="shared" si="20"/>
        <v/>
      </c>
      <c r="BC290" s="40"/>
      <c r="BD290" s="40"/>
      <c r="BE290" s="40"/>
      <c r="BF290" s="40"/>
      <c r="BG290" s="39" t="str">
        <f t="shared" si="21"/>
        <v/>
      </c>
    </row>
    <row r="291" spans="2:61" x14ac:dyDescent="0.25">
      <c r="C291" s="11" t="str">
        <f>"Resultado de participações ("&amp;Inputs!$E$202&amp;")"</f>
        <v>Resultado de participações (R$ milhões)</v>
      </c>
      <c r="D291" s="12" t="s">
        <v>419</v>
      </c>
      <c r="E291" s="45"/>
      <c r="F291" s="45"/>
      <c r="G291" s="45"/>
      <c r="H291" s="45"/>
      <c r="I291" s="46" t="str">
        <f t="shared" si="11"/>
        <v/>
      </c>
      <c r="J291" s="45"/>
      <c r="K291" s="45"/>
      <c r="L291" s="45"/>
      <c r="M291" s="45"/>
      <c r="N291" s="46" t="str">
        <f t="shared" si="12"/>
        <v/>
      </c>
      <c r="O291" s="45"/>
      <c r="P291" s="45"/>
      <c r="Q291" s="45"/>
      <c r="R291" s="45"/>
      <c r="S291" s="46" t="str">
        <f t="shared" si="13"/>
        <v/>
      </c>
      <c r="T291" s="45"/>
      <c r="U291" s="45"/>
      <c r="V291" s="45"/>
      <c r="W291" s="45"/>
      <c r="X291" s="46" t="str">
        <f t="shared" si="14"/>
        <v/>
      </c>
      <c r="Y291" s="45"/>
      <c r="Z291" s="45"/>
      <c r="AA291" s="45"/>
      <c r="AB291" s="45"/>
      <c r="AC291" s="46" t="str">
        <f t="shared" si="15"/>
        <v/>
      </c>
      <c r="AD291" s="45"/>
      <c r="AE291" s="45"/>
      <c r="AF291" s="45"/>
      <c r="AG291" s="45"/>
      <c r="AH291" s="46" t="str">
        <f t="shared" si="16"/>
        <v/>
      </c>
      <c r="AI291" s="45"/>
      <c r="AJ291" s="45"/>
      <c r="AK291" s="45"/>
      <c r="AL291" s="45"/>
      <c r="AM291" s="46" t="str">
        <f t="shared" si="17"/>
        <v/>
      </c>
      <c r="AN291" s="45"/>
      <c r="AO291" s="45"/>
      <c r="AP291" s="45"/>
      <c r="AQ291" s="45"/>
      <c r="AR291" s="46" t="str">
        <f t="shared" si="18"/>
        <v/>
      </c>
      <c r="AS291" s="45"/>
      <c r="AT291" s="45"/>
      <c r="AU291" s="45"/>
      <c r="AV291" s="45"/>
      <c r="AW291" s="46" t="str">
        <f t="shared" si="19"/>
        <v/>
      </c>
      <c r="AX291" s="45"/>
      <c r="AY291" s="45"/>
      <c r="AZ291" s="45"/>
      <c r="BA291" s="45"/>
      <c r="BB291" s="46" t="str">
        <f t="shared" si="20"/>
        <v/>
      </c>
      <c r="BC291" s="45"/>
      <c r="BD291" s="45"/>
      <c r="BE291" s="45"/>
      <c r="BF291" s="45"/>
      <c r="BG291" s="46" t="str">
        <f t="shared" si="21"/>
        <v/>
      </c>
    </row>
    <row r="292" spans="2:61" x14ac:dyDescent="0.25">
      <c r="C292" s="11" t="s">
        <v>420</v>
      </c>
      <c r="D292" s="12" t="s">
        <v>421</v>
      </c>
      <c r="E292" s="40"/>
      <c r="F292" s="40"/>
      <c r="G292" s="40"/>
      <c r="H292" s="40"/>
      <c r="I292" s="39" t="str">
        <f t="shared" si="11"/>
        <v/>
      </c>
      <c r="J292" s="40"/>
      <c r="K292" s="40"/>
      <c r="L292" s="40"/>
      <c r="M292" s="40"/>
      <c r="N292" s="39" t="str">
        <f t="shared" si="12"/>
        <v/>
      </c>
      <c r="O292" s="40"/>
      <c r="P292" s="40"/>
      <c r="Q292" s="40"/>
      <c r="R292" s="40"/>
      <c r="S292" s="39" t="str">
        <f t="shared" si="13"/>
        <v/>
      </c>
      <c r="T292" s="40"/>
      <c r="U292" s="40"/>
      <c r="V292" s="40"/>
      <c r="W292" s="40"/>
      <c r="X292" s="39" t="str">
        <f t="shared" si="14"/>
        <v/>
      </c>
      <c r="Y292" s="40"/>
      <c r="Z292" s="40"/>
      <c r="AA292" s="40"/>
      <c r="AB292" s="40"/>
      <c r="AC292" s="39" t="str">
        <f t="shared" si="15"/>
        <v/>
      </c>
      <c r="AD292" s="40"/>
      <c r="AE292" s="40"/>
      <c r="AF292" s="40"/>
      <c r="AG292" s="40"/>
      <c r="AH292" s="39" t="str">
        <f t="shared" si="16"/>
        <v/>
      </c>
      <c r="AI292" s="40"/>
      <c r="AJ292" s="40"/>
      <c r="AK292" s="40"/>
      <c r="AL292" s="40"/>
      <c r="AM292" s="39" t="str">
        <f t="shared" si="17"/>
        <v/>
      </c>
      <c r="AN292" s="40"/>
      <c r="AO292" s="40"/>
      <c r="AP292" s="40"/>
      <c r="AQ292" s="40"/>
      <c r="AR292" s="39" t="str">
        <f t="shared" si="18"/>
        <v/>
      </c>
      <c r="AS292" s="40"/>
      <c r="AT292" s="40"/>
      <c r="AU292" s="40"/>
      <c r="AV292" s="40"/>
      <c r="AW292" s="39" t="str">
        <f t="shared" si="19"/>
        <v/>
      </c>
      <c r="AX292" s="40"/>
      <c r="AY292" s="40"/>
      <c r="AZ292" s="40"/>
      <c r="BA292" s="40"/>
      <c r="BB292" s="39" t="str">
        <f t="shared" si="20"/>
        <v/>
      </c>
      <c r="BC292" s="40"/>
      <c r="BD292" s="40"/>
      <c r="BE292" s="40"/>
      <c r="BF292" s="40"/>
      <c r="BG292" s="39" t="str">
        <f t="shared" si="21"/>
        <v/>
      </c>
    </row>
    <row r="293" spans="2:61" x14ac:dyDescent="0.25">
      <c r="C293" s="11" t="str">
        <f>"Resultado não operacional ("&amp;Inputs!$E$202&amp;")"</f>
        <v>Resultado não operacional (R$ milhões)</v>
      </c>
      <c r="D293" s="12" t="s">
        <v>423</v>
      </c>
      <c r="E293" s="45"/>
      <c r="F293" s="45"/>
      <c r="G293" s="45"/>
      <c r="H293" s="45"/>
      <c r="I293" s="46" t="str">
        <f t="shared" si="11"/>
        <v/>
      </c>
      <c r="J293" s="45"/>
      <c r="K293" s="45"/>
      <c r="L293" s="45"/>
      <c r="M293" s="45"/>
      <c r="N293" s="46" t="str">
        <f t="shared" si="12"/>
        <v/>
      </c>
      <c r="O293" s="45"/>
      <c r="P293" s="45"/>
      <c r="Q293" s="45"/>
      <c r="R293" s="45"/>
      <c r="S293" s="46" t="str">
        <f t="shared" si="13"/>
        <v/>
      </c>
      <c r="T293" s="45"/>
      <c r="U293" s="45"/>
      <c r="V293" s="45"/>
      <c r="W293" s="45"/>
      <c r="X293" s="46" t="str">
        <f t="shared" si="14"/>
        <v/>
      </c>
      <c r="Y293" s="45"/>
      <c r="Z293" s="45"/>
      <c r="AA293" s="45"/>
      <c r="AB293" s="45"/>
      <c r="AC293" s="46" t="str">
        <f t="shared" si="15"/>
        <v/>
      </c>
      <c r="AD293" s="45"/>
      <c r="AE293" s="45"/>
      <c r="AF293" s="45"/>
      <c r="AG293" s="45"/>
      <c r="AH293" s="46" t="str">
        <f t="shared" si="16"/>
        <v/>
      </c>
      <c r="AI293" s="45"/>
      <c r="AJ293" s="45"/>
      <c r="AK293" s="45"/>
      <c r="AL293" s="45"/>
      <c r="AM293" s="46" t="str">
        <f t="shared" si="17"/>
        <v/>
      </c>
      <c r="AN293" s="45"/>
      <c r="AO293" s="45"/>
      <c r="AP293" s="45"/>
      <c r="AQ293" s="45"/>
      <c r="AR293" s="46" t="str">
        <f t="shared" si="18"/>
        <v/>
      </c>
      <c r="AS293" s="45"/>
      <c r="AT293" s="45"/>
      <c r="AU293" s="45"/>
      <c r="AV293" s="45"/>
      <c r="AW293" s="46" t="str">
        <f t="shared" si="19"/>
        <v/>
      </c>
      <c r="AX293" s="45"/>
      <c r="AY293" s="45"/>
      <c r="AZ293" s="45"/>
      <c r="BA293" s="45"/>
      <c r="BB293" s="46" t="str">
        <f t="shared" si="20"/>
        <v/>
      </c>
      <c r="BC293" s="45"/>
      <c r="BD293" s="45"/>
      <c r="BE293" s="45"/>
      <c r="BF293" s="45"/>
      <c r="BG293" s="46" t="str">
        <f t="shared" si="21"/>
        <v/>
      </c>
    </row>
    <row r="294" spans="2:61" x14ac:dyDescent="0.25">
      <c r="C294" s="11" t="s">
        <v>424</v>
      </c>
      <c r="D294" s="12" t="s">
        <v>425</v>
      </c>
      <c r="E294" s="40"/>
      <c r="F294" s="40"/>
      <c r="G294" s="40"/>
      <c r="H294" s="40"/>
      <c r="I294" s="39" t="str">
        <f t="shared" si="11"/>
        <v/>
      </c>
      <c r="J294" s="40"/>
      <c r="K294" s="40"/>
      <c r="L294" s="40"/>
      <c r="M294" s="40"/>
      <c r="N294" s="39" t="str">
        <f t="shared" si="12"/>
        <v/>
      </c>
      <c r="O294" s="40"/>
      <c r="P294" s="40"/>
      <c r="Q294" s="40"/>
      <c r="R294" s="40"/>
      <c r="S294" s="39" t="str">
        <f t="shared" si="13"/>
        <v/>
      </c>
      <c r="T294" s="40"/>
      <c r="U294" s="40"/>
      <c r="V294" s="40"/>
      <c r="W294" s="40"/>
      <c r="X294" s="39" t="str">
        <f t="shared" si="14"/>
        <v/>
      </c>
      <c r="Y294" s="40"/>
      <c r="Z294" s="40"/>
      <c r="AA294" s="40"/>
      <c r="AB294" s="40"/>
      <c r="AC294" s="39" t="str">
        <f t="shared" si="15"/>
        <v/>
      </c>
      <c r="AD294" s="40"/>
      <c r="AE294" s="40"/>
      <c r="AF294" s="40"/>
      <c r="AG294" s="40"/>
      <c r="AH294" s="39" t="str">
        <f t="shared" si="16"/>
        <v/>
      </c>
      <c r="AI294" s="40"/>
      <c r="AJ294" s="40"/>
      <c r="AK294" s="40"/>
      <c r="AL294" s="40"/>
      <c r="AM294" s="39" t="str">
        <f t="shared" si="17"/>
        <v/>
      </c>
      <c r="AN294" s="40"/>
      <c r="AO294" s="40"/>
      <c r="AP294" s="40"/>
      <c r="AQ294" s="40"/>
      <c r="AR294" s="39" t="str">
        <f t="shared" si="18"/>
        <v/>
      </c>
      <c r="AS294" s="40"/>
      <c r="AT294" s="40"/>
      <c r="AU294" s="40"/>
      <c r="AV294" s="40"/>
      <c r="AW294" s="39" t="str">
        <f t="shared" si="19"/>
        <v/>
      </c>
      <c r="AX294" s="40"/>
      <c r="AY294" s="40"/>
      <c r="AZ294" s="40"/>
      <c r="BA294" s="40"/>
      <c r="BB294" s="39" t="str">
        <f t="shared" si="20"/>
        <v/>
      </c>
      <c r="BC294" s="40"/>
      <c r="BD294" s="40"/>
      <c r="BE294" s="40"/>
      <c r="BF294" s="40"/>
      <c r="BG294" s="39" t="str">
        <f t="shared" si="21"/>
        <v/>
      </c>
    </row>
    <row r="295" spans="2:61" x14ac:dyDescent="0.25">
      <c r="C295" s="11" t="s">
        <v>426</v>
      </c>
      <c r="D295" s="12" t="s">
        <v>427</v>
      </c>
      <c r="E295" s="40"/>
      <c r="F295" s="40"/>
      <c r="G295" s="40"/>
      <c r="H295" s="40"/>
      <c r="I295" s="39" t="str">
        <f t="shared" si="11"/>
        <v/>
      </c>
      <c r="J295" s="40"/>
      <c r="K295" s="40"/>
      <c r="L295" s="40"/>
      <c r="M295" s="40"/>
      <c r="N295" s="39" t="str">
        <f t="shared" si="12"/>
        <v/>
      </c>
      <c r="O295" s="40"/>
      <c r="P295" s="40"/>
      <c r="Q295" s="40"/>
      <c r="R295" s="40"/>
      <c r="S295" s="39" t="str">
        <f t="shared" si="13"/>
        <v/>
      </c>
      <c r="T295" s="40"/>
      <c r="U295" s="40"/>
      <c r="V295" s="40"/>
      <c r="W295" s="40"/>
      <c r="X295" s="39" t="str">
        <f t="shared" si="14"/>
        <v/>
      </c>
      <c r="Y295" s="40"/>
      <c r="Z295" s="40"/>
      <c r="AA295" s="40"/>
      <c r="AB295" s="40"/>
      <c r="AC295" s="39" t="str">
        <f t="shared" si="15"/>
        <v/>
      </c>
      <c r="AD295" s="40"/>
      <c r="AE295" s="40"/>
      <c r="AF295" s="40"/>
      <c r="AG295" s="40"/>
      <c r="AH295" s="39" t="str">
        <f t="shared" si="16"/>
        <v/>
      </c>
      <c r="AI295" s="40"/>
      <c r="AJ295" s="40"/>
      <c r="AK295" s="40"/>
      <c r="AL295" s="40"/>
      <c r="AM295" s="39" t="str">
        <f t="shared" si="17"/>
        <v/>
      </c>
      <c r="AN295" s="40"/>
      <c r="AO295" s="40"/>
      <c r="AP295" s="40"/>
      <c r="AQ295" s="40"/>
      <c r="AR295" s="39" t="str">
        <f t="shared" si="18"/>
        <v/>
      </c>
      <c r="AS295" s="40"/>
      <c r="AT295" s="40"/>
      <c r="AU295" s="40"/>
      <c r="AV295" s="40"/>
      <c r="AW295" s="39" t="str">
        <f t="shared" si="19"/>
        <v/>
      </c>
      <c r="AX295" s="40"/>
      <c r="AY295" s="40"/>
      <c r="AZ295" s="40"/>
      <c r="BA295" s="40"/>
      <c r="BB295" s="39" t="str">
        <f t="shared" si="20"/>
        <v/>
      </c>
      <c r="BC295" s="40"/>
      <c r="BD295" s="40"/>
      <c r="BE295" s="40"/>
      <c r="BF295" s="40"/>
      <c r="BG295" s="39" t="str">
        <f t="shared" si="21"/>
        <v/>
      </c>
    </row>
    <row r="297" spans="2:61" x14ac:dyDescent="0.25">
      <c r="B297" s="7"/>
      <c r="C297" s="7" t="s">
        <v>485</v>
      </c>
      <c r="D297" s="7" t="s">
        <v>486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2:61" x14ac:dyDescent="0.25">
      <c r="C298" s="11" t="s">
        <v>430</v>
      </c>
      <c r="D298" s="12" t="s">
        <v>431</v>
      </c>
      <c r="E298" s="40"/>
      <c r="F298" s="40"/>
      <c r="G298" s="40"/>
      <c r="H298" s="40"/>
      <c r="I298" s="39" t="str">
        <f t="shared" ref="I298:I303" si="22">IF(COUNT(E298:H298)=0,"",AVERAGE(E298:H298))</f>
        <v/>
      </c>
      <c r="J298" s="40"/>
      <c r="K298" s="40"/>
      <c r="L298" s="40"/>
      <c r="M298" s="40"/>
      <c r="N298" s="39" t="str">
        <f t="shared" ref="N298:N303" si="23">IF(COUNT(J298:M298)=0,"",AVERAGE(J298:M298))</f>
        <v/>
      </c>
      <c r="O298" s="40"/>
      <c r="P298" s="40"/>
      <c r="Q298" s="40"/>
      <c r="R298" s="40"/>
      <c r="S298" s="39" t="str">
        <f t="shared" ref="S298:S303" si="24">IF(COUNT(O298:R298)=0,"",AVERAGE(O298:R298))</f>
        <v/>
      </c>
      <c r="T298" s="40"/>
      <c r="U298" s="40"/>
      <c r="V298" s="40"/>
      <c r="W298" s="40"/>
      <c r="X298" s="39" t="str">
        <f t="shared" ref="X298:X303" si="25">IF(COUNT(T298:W298)=0,"",AVERAGE(T298:W298))</f>
        <v/>
      </c>
      <c r="Y298" s="40"/>
      <c r="Z298" s="40"/>
      <c r="AA298" s="40"/>
      <c r="AB298" s="40"/>
      <c r="AC298" s="39" t="str">
        <f t="shared" ref="AC298:AC303" si="26">IF(COUNT(Y298:AB298)=0,"",AVERAGE(Y298:AB298))</f>
        <v/>
      </c>
      <c r="AD298" s="40"/>
      <c r="AE298" s="40"/>
      <c r="AF298" s="40"/>
      <c r="AG298" s="40"/>
      <c r="AH298" s="39" t="str">
        <f t="shared" ref="AH298:AH303" si="27">IF(COUNT(AD298:AG298)=0,"",AVERAGE(AD298:AG298))</f>
        <v/>
      </c>
      <c r="AI298" s="40"/>
      <c r="AJ298" s="40"/>
      <c r="AK298" s="40"/>
      <c r="AL298" s="40"/>
      <c r="AM298" s="39" t="str">
        <f t="shared" ref="AM298:AM303" si="28">IF(COUNT(AI298:AL298)=0,"",AVERAGE(AI298:AL298))</f>
        <v/>
      </c>
      <c r="AN298" s="40"/>
      <c r="AO298" s="40"/>
      <c r="AP298" s="40"/>
      <c r="AQ298" s="40"/>
      <c r="AR298" s="39" t="str">
        <f t="shared" ref="AR298:AR303" si="29">IF(COUNT(AN298:AQ298)=0,"",AVERAGE(AN298:AQ298))</f>
        <v/>
      </c>
      <c r="AS298" s="40"/>
      <c r="AT298" s="40"/>
      <c r="AU298" s="40"/>
      <c r="AV298" s="40"/>
      <c r="AW298" s="39" t="str">
        <f t="shared" ref="AW298:AW303" si="30">IF(COUNT(AS298:AV298)=0,"",AVERAGE(AS298:AV298))</f>
        <v/>
      </c>
      <c r="AX298" s="40"/>
      <c r="AY298" s="40"/>
      <c r="AZ298" s="40"/>
      <c r="BA298" s="40"/>
      <c r="BB298" s="39" t="str">
        <f t="shared" ref="BB298:BB303" si="31">IF(COUNT(AX298:BA298)=0,"",AVERAGE(AX298:BA298))</f>
        <v/>
      </c>
      <c r="BC298" s="40"/>
      <c r="BD298" s="40"/>
      <c r="BE298" s="40"/>
      <c r="BF298" s="40"/>
      <c r="BG298" s="39" t="str">
        <f t="shared" ref="BG298:BG303" si="32">IF(COUNT(BC298:BF298)=0,"",AVERAGE(BC298:BF298))</f>
        <v/>
      </c>
    </row>
    <row r="299" spans="2:61" x14ac:dyDescent="0.25">
      <c r="C299" s="11" t="s">
        <v>432</v>
      </c>
      <c r="D299" s="12" t="s">
        <v>433</v>
      </c>
      <c r="E299" s="40"/>
      <c r="F299" s="40"/>
      <c r="G299" s="40"/>
      <c r="H299" s="40"/>
      <c r="I299" s="39" t="str">
        <f t="shared" si="22"/>
        <v/>
      </c>
      <c r="J299" s="40"/>
      <c r="K299" s="40"/>
      <c r="L299" s="40"/>
      <c r="M299" s="40"/>
      <c r="N299" s="39" t="str">
        <f t="shared" si="23"/>
        <v/>
      </c>
      <c r="O299" s="40"/>
      <c r="P299" s="40"/>
      <c r="Q299" s="40"/>
      <c r="R299" s="40"/>
      <c r="S299" s="39" t="str">
        <f t="shared" si="24"/>
        <v/>
      </c>
      <c r="T299" s="40"/>
      <c r="U299" s="40"/>
      <c r="V299" s="40"/>
      <c r="W299" s="40"/>
      <c r="X299" s="39" t="str">
        <f t="shared" si="25"/>
        <v/>
      </c>
      <c r="Y299" s="40"/>
      <c r="Z299" s="40"/>
      <c r="AA299" s="40"/>
      <c r="AB299" s="40"/>
      <c r="AC299" s="39" t="str">
        <f t="shared" si="26"/>
        <v/>
      </c>
      <c r="AD299" s="40"/>
      <c r="AE299" s="40"/>
      <c r="AF299" s="40"/>
      <c r="AG299" s="40"/>
      <c r="AH299" s="39" t="str">
        <f t="shared" si="27"/>
        <v/>
      </c>
      <c r="AI299" s="40"/>
      <c r="AJ299" s="40"/>
      <c r="AK299" s="40"/>
      <c r="AL299" s="40"/>
      <c r="AM299" s="39" t="str">
        <f t="shared" si="28"/>
        <v/>
      </c>
      <c r="AN299" s="40"/>
      <c r="AO299" s="40"/>
      <c r="AP299" s="40"/>
      <c r="AQ299" s="40"/>
      <c r="AR299" s="39" t="str">
        <f t="shared" si="29"/>
        <v/>
      </c>
      <c r="AS299" s="40"/>
      <c r="AT299" s="40"/>
      <c r="AU299" s="40"/>
      <c r="AV299" s="40"/>
      <c r="AW299" s="39" t="str">
        <f t="shared" si="30"/>
        <v/>
      </c>
      <c r="AX299" s="40"/>
      <c r="AY299" s="40"/>
      <c r="AZ299" s="40"/>
      <c r="BA299" s="40"/>
      <c r="BB299" s="39" t="str">
        <f t="shared" si="31"/>
        <v/>
      </c>
      <c r="BC299" s="40"/>
      <c r="BD299" s="40"/>
      <c r="BE299" s="40"/>
      <c r="BF299" s="40"/>
      <c r="BG299" s="39" t="str">
        <f t="shared" si="32"/>
        <v/>
      </c>
    </row>
    <row r="300" spans="2:61" x14ac:dyDescent="0.25">
      <c r="C300" s="11" t="s">
        <v>487</v>
      </c>
      <c r="D300" s="12" t="s">
        <v>488</v>
      </c>
      <c r="E300" s="40"/>
      <c r="F300" s="40"/>
      <c r="G300" s="40"/>
      <c r="H300" s="40"/>
      <c r="I300" s="39" t="str">
        <f t="shared" si="22"/>
        <v/>
      </c>
      <c r="J300" s="40"/>
      <c r="K300" s="40"/>
      <c r="L300" s="40"/>
      <c r="M300" s="40"/>
      <c r="N300" s="39" t="str">
        <f t="shared" si="23"/>
        <v/>
      </c>
      <c r="O300" s="40"/>
      <c r="P300" s="40"/>
      <c r="Q300" s="40"/>
      <c r="R300" s="40"/>
      <c r="S300" s="39" t="str">
        <f t="shared" si="24"/>
        <v/>
      </c>
      <c r="T300" s="40"/>
      <c r="U300" s="40"/>
      <c r="V300" s="40"/>
      <c r="W300" s="40"/>
      <c r="X300" s="39" t="str">
        <f t="shared" si="25"/>
        <v/>
      </c>
      <c r="Y300" s="40"/>
      <c r="Z300" s="40"/>
      <c r="AA300" s="40"/>
      <c r="AB300" s="40"/>
      <c r="AC300" s="39" t="str">
        <f t="shared" si="26"/>
        <v/>
      </c>
      <c r="AD300" s="40"/>
      <c r="AE300" s="40"/>
      <c r="AF300" s="40"/>
      <c r="AG300" s="40"/>
      <c r="AH300" s="39" t="str">
        <f t="shared" si="27"/>
        <v/>
      </c>
      <c r="AI300" s="40"/>
      <c r="AJ300" s="40"/>
      <c r="AK300" s="40"/>
      <c r="AL300" s="40"/>
      <c r="AM300" s="39" t="str">
        <f t="shared" si="28"/>
        <v/>
      </c>
      <c r="AN300" s="40"/>
      <c r="AO300" s="40"/>
      <c r="AP300" s="40"/>
      <c r="AQ300" s="40"/>
      <c r="AR300" s="39" t="str">
        <f t="shared" si="29"/>
        <v/>
      </c>
      <c r="AS300" s="40"/>
      <c r="AT300" s="40"/>
      <c r="AU300" s="40"/>
      <c r="AV300" s="40"/>
      <c r="AW300" s="39" t="str">
        <f t="shared" si="30"/>
        <v/>
      </c>
      <c r="AX300" s="40"/>
      <c r="AY300" s="40"/>
      <c r="AZ300" s="40"/>
      <c r="BA300" s="40"/>
      <c r="BB300" s="39" t="str">
        <f t="shared" si="31"/>
        <v/>
      </c>
      <c r="BC300" s="40"/>
      <c r="BD300" s="40"/>
      <c r="BE300" s="40"/>
      <c r="BF300" s="40"/>
      <c r="BG300" s="39" t="str">
        <f t="shared" si="32"/>
        <v/>
      </c>
    </row>
    <row r="301" spans="2:61" x14ac:dyDescent="0.25">
      <c r="C301" s="11" t="s">
        <v>489</v>
      </c>
      <c r="D301" s="12" t="s">
        <v>490</v>
      </c>
      <c r="E301" s="40"/>
      <c r="F301" s="40"/>
      <c r="G301" s="40"/>
      <c r="H301" s="40"/>
      <c r="I301" s="39" t="str">
        <f t="shared" si="22"/>
        <v/>
      </c>
      <c r="J301" s="40"/>
      <c r="K301" s="40"/>
      <c r="L301" s="40"/>
      <c r="M301" s="40"/>
      <c r="N301" s="39" t="str">
        <f t="shared" si="23"/>
        <v/>
      </c>
      <c r="O301" s="40"/>
      <c r="P301" s="40"/>
      <c r="Q301" s="40"/>
      <c r="R301" s="40"/>
      <c r="S301" s="39" t="str">
        <f t="shared" si="24"/>
        <v/>
      </c>
      <c r="T301" s="40"/>
      <c r="U301" s="40"/>
      <c r="V301" s="40"/>
      <c r="W301" s="40"/>
      <c r="X301" s="39" t="str">
        <f t="shared" si="25"/>
        <v/>
      </c>
      <c r="Y301" s="40"/>
      <c r="Z301" s="40"/>
      <c r="AA301" s="40"/>
      <c r="AB301" s="40"/>
      <c r="AC301" s="39" t="str">
        <f t="shared" si="26"/>
        <v/>
      </c>
      <c r="AD301" s="40"/>
      <c r="AE301" s="40"/>
      <c r="AF301" s="40"/>
      <c r="AG301" s="40"/>
      <c r="AH301" s="39" t="str">
        <f t="shared" si="27"/>
        <v/>
      </c>
      <c r="AI301" s="40"/>
      <c r="AJ301" s="40"/>
      <c r="AK301" s="40"/>
      <c r="AL301" s="40"/>
      <c r="AM301" s="39" t="str">
        <f t="shared" si="28"/>
        <v/>
      </c>
      <c r="AN301" s="40"/>
      <c r="AO301" s="40"/>
      <c r="AP301" s="40"/>
      <c r="AQ301" s="40"/>
      <c r="AR301" s="39" t="str">
        <f t="shared" si="29"/>
        <v/>
      </c>
      <c r="AS301" s="40"/>
      <c r="AT301" s="40"/>
      <c r="AU301" s="40"/>
      <c r="AV301" s="40"/>
      <c r="AW301" s="39" t="str">
        <f t="shared" si="30"/>
        <v/>
      </c>
      <c r="AX301" s="40"/>
      <c r="AY301" s="40"/>
      <c r="AZ301" s="40"/>
      <c r="BA301" s="40"/>
      <c r="BB301" s="39" t="str">
        <f t="shared" si="31"/>
        <v/>
      </c>
      <c r="BC301" s="40"/>
      <c r="BD301" s="40"/>
      <c r="BE301" s="40"/>
      <c r="BF301" s="40"/>
      <c r="BG301" s="39" t="str">
        <f t="shared" si="32"/>
        <v/>
      </c>
    </row>
    <row r="302" spans="2:61" x14ac:dyDescent="0.25">
      <c r="C302" s="11" t="str">
        <f>"Outros resultados abrangentes no período ("&amp;Inputs!$E$202&amp;")"</f>
        <v>Outros resultados abrangentes no período (R$ milhões)</v>
      </c>
      <c r="D302" s="12" t="s">
        <v>491</v>
      </c>
      <c r="E302" s="45"/>
      <c r="F302" s="45"/>
      <c r="G302" s="45"/>
      <c r="H302" s="45"/>
      <c r="I302" s="46" t="str">
        <f t="shared" si="22"/>
        <v/>
      </c>
      <c r="J302" s="45"/>
      <c r="K302" s="45"/>
      <c r="L302" s="45"/>
      <c r="M302" s="45"/>
      <c r="N302" s="46" t="str">
        <f t="shared" si="23"/>
        <v/>
      </c>
      <c r="O302" s="45"/>
      <c r="P302" s="45"/>
      <c r="Q302" s="45"/>
      <c r="R302" s="45"/>
      <c r="S302" s="46" t="str">
        <f t="shared" si="24"/>
        <v/>
      </c>
      <c r="T302" s="45"/>
      <c r="U302" s="45"/>
      <c r="V302" s="45"/>
      <c r="W302" s="45"/>
      <c r="X302" s="46" t="str">
        <f t="shared" si="25"/>
        <v/>
      </c>
      <c r="Y302" s="45"/>
      <c r="Z302" s="45"/>
      <c r="AA302" s="45"/>
      <c r="AB302" s="45"/>
      <c r="AC302" s="46" t="str">
        <f t="shared" si="26"/>
        <v/>
      </c>
      <c r="AD302" s="45"/>
      <c r="AE302" s="45"/>
      <c r="AF302" s="45"/>
      <c r="AG302" s="45"/>
      <c r="AH302" s="46" t="str">
        <f t="shared" si="27"/>
        <v/>
      </c>
      <c r="AI302" s="45"/>
      <c r="AJ302" s="45"/>
      <c r="AK302" s="45"/>
      <c r="AL302" s="45"/>
      <c r="AM302" s="46" t="str">
        <f t="shared" si="28"/>
        <v/>
      </c>
      <c r="AN302" s="45"/>
      <c r="AO302" s="45"/>
      <c r="AP302" s="45"/>
      <c r="AQ302" s="45"/>
      <c r="AR302" s="46" t="str">
        <f t="shared" si="29"/>
        <v/>
      </c>
      <c r="AS302" s="45"/>
      <c r="AT302" s="45"/>
      <c r="AU302" s="45"/>
      <c r="AV302" s="45"/>
      <c r="AW302" s="46" t="str">
        <f t="shared" si="30"/>
        <v/>
      </c>
      <c r="AX302" s="45"/>
      <c r="AY302" s="45"/>
      <c r="AZ302" s="45"/>
      <c r="BA302" s="45"/>
      <c r="BB302" s="46" t="str">
        <f t="shared" si="31"/>
        <v/>
      </c>
      <c r="BC302" s="45"/>
      <c r="BD302" s="45"/>
      <c r="BE302" s="45"/>
      <c r="BF302" s="45"/>
      <c r="BG302" s="46" t="str">
        <f t="shared" si="32"/>
        <v/>
      </c>
    </row>
    <row r="303" spans="2:61" x14ac:dyDescent="0.25">
      <c r="C303" s="11" t="str">
        <f>"Aumento/(redução) de capital ("&amp;Inputs!$E$202&amp;")"</f>
        <v>Aumento/(redução) de capital (R$ milhões)</v>
      </c>
      <c r="D303" s="12" t="s">
        <v>439</v>
      </c>
      <c r="E303" s="45"/>
      <c r="F303" s="45"/>
      <c r="G303" s="45"/>
      <c r="H303" s="45"/>
      <c r="I303" s="46" t="str">
        <f t="shared" si="22"/>
        <v/>
      </c>
      <c r="J303" s="45"/>
      <c r="K303" s="45"/>
      <c r="L303" s="45"/>
      <c r="M303" s="45"/>
      <c r="N303" s="46" t="str">
        <f t="shared" si="23"/>
        <v/>
      </c>
      <c r="O303" s="45"/>
      <c r="P303" s="45"/>
      <c r="Q303" s="45"/>
      <c r="R303" s="45"/>
      <c r="S303" s="46" t="str">
        <f t="shared" si="24"/>
        <v/>
      </c>
      <c r="T303" s="45"/>
      <c r="U303" s="45"/>
      <c r="V303" s="45"/>
      <c r="W303" s="45"/>
      <c r="X303" s="46" t="str">
        <f t="shared" si="25"/>
        <v/>
      </c>
      <c r="Y303" s="45"/>
      <c r="Z303" s="45"/>
      <c r="AA303" s="45"/>
      <c r="AB303" s="45"/>
      <c r="AC303" s="46" t="str">
        <f t="shared" si="26"/>
        <v/>
      </c>
      <c r="AD303" s="45"/>
      <c r="AE303" s="45"/>
      <c r="AF303" s="45"/>
      <c r="AG303" s="45"/>
      <c r="AH303" s="46" t="str">
        <f t="shared" si="27"/>
        <v/>
      </c>
      <c r="AI303" s="45"/>
      <c r="AJ303" s="45"/>
      <c r="AK303" s="45"/>
      <c r="AL303" s="45"/>
      <c r="AM303" s="46" t="str">
        <f t="shared" si="28"/>
        <v/>
      </c>
      <c r="AN303" s="45"/>
      <c r="AO303" s="45"/>
      <c r="AP303" s="45"/>
      <c r="AQ303" s="45"/>
      <c r="AR303" s="46" t="str">
        <f t="shared" si="29"/>
        <v/>
      </c>
      <c r="AS303" s="45"/>
      <c r="AT303" s="45"/>
      <c r="AU303" s="45"/>
      <c r="AV303" s="45"/>
      <c r="AW303" s="46" t="str">
        <f t="shared" si="30"/>
        <v/>
      </c>
      <c r="AX303" s="45"/>
      <c r="AY303" s="45"/>
      <c r="AZ303" s="45"/>
      <c r="BA303" s="45"/>
      <c r="BB303" s="46" t="str">
        <f t="shared" si="31"/>
        <v/>
      </c>
      <c r="BC303" s="45"/>
      <c r="BD303" s="45"/>
      <c r="BE303" s="45"/>
      <c r="BF303" s="45"/>
      <c r="BG303" s="46" t="str">
        <f t="shared" si="32"/>
        <v/>
      </c>
    </row>
    <row r="305" spans="2:61" x14ac:dyDescent="0.25">
      <c r="B305" s="7"/>
      <c r="C305" s="7" t="s">
        <v>492</v>
      </c>
      <c r="D305" s="7" t="s">
        <v>493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28" t="s">
        <v>494</v>
      </c>
    </row>
    <row r="306" spans="2:61" x14ac:dyDescent="0.25">
      <c r="C306" s="11" t="s">
        <v>495</v>
      </c>
      <c r="D306" s="12" t="s">
        <v>496</v>
      </c>
      <c r="E306" s="40"/>
    </row>
    <row r="307" spans="2:61" x14ac:dyDescent="0.25">
      <c r="C307" s="11" t="s">
        <v>497</v>
      </c>
      <c r="D307" s="12" t="s">
        <v>498</v>
      </c>
      <c r="E307" s="40"/>
    </row>
    <row r="308" spans="2:61" x14ac:dyDescent="0.25">
      <c r="C308" s="11" t="s">
        <v>499</v>
      </c>
      <c r="D308" s="12" t="s">
        <v>500</v>
      </c>
      <c r="E308" s="47"/>
    </row>
    <row r="309" spans="2:61" x14ac:dyDescent="0.25">
      <c r="C309" s="11" t="s">
        <v>501</v>
      </c>
      <c r="D309" s="12" t="s">
        <v>502</v>
      </c>
      <c r="E309" s="40"/>
    </row>
    <row r="310" spans="2:61" x14ac:dyDescent="0.25">
      <c r="C310" s="15" t="s">
        <v>503</v>
      </c>
      <c r="D310" s="16" t="s">
        <v>504</v>
      </c>
      <c r="E310" s="48">
        <f>E306+E308*E307+E309</f>
        <v>0</v>
      </c>
      <c r="BI310" s="14" t="s">
        <v>505</v>
      </c>
    </row>
    <row r="311" spans="2:61" x14ac:dyDescent="0.25">
      <c r="C311" s="11" t="s">
        <v>506</v>
      </c>
      <c r="D311" s="12" t="s">
        <v>507</v>
      </c>
      <c r="E311" s="40"/>
    </row>
    <row r="312" spans="2:61" x14ac:dyDescent="0.25">
      <c r="C312" s="11" t="s">
        <v>508</v>
      </c>
      <c r="D312" s="12" t="s">
        <v>509</v>
      </c>
      <c r="E312" s="40"/>
    </row>
    <row r="313" spans="2:61" x14ac:dyDescent="0.25">
      <c r="C313" s="26" t="s">
        <v>510</v>
      </c>
      <c r="D313" s="12" t="s">
        <v>511</v>
      </c>
      <c r="E313" s="49">
        <f>IFERROR(1-E311/E312,0)</f>
        <v>0</v>
      </c>
      <c r="BI313" s="14" t="s">
        <v>512</v>
      </c>
    </row>
    <row r="314" spans="2:61" x14ac:dyDescent="0.25">
      <c r="C314" s="11" t="s">
        <v>513</v>
      </c>
      <c r="D314" s="12" t="s">
        <v>514</v>
      </c>
      <c r="E314" s="50"/>
    </row>
    <row r="316" spans="2:61" x14ac:dyDescent="0.25">
      <c r="B316" s="29"/>
      <c r="C316" s="29" t="s">
        <v>515</v>
      </c>
      <c r="D316" s="29" t="s">
        <v>516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</row>
    <row r="317" spans="2:61" x14ac:dyDescent="0.25">
      <c r="C317" s="11" t="s">
        <v>517</v>
      </c>
      <c r="D317" s="12" t="s">
        <v>518</v>
      </c>
      <c r="E317" s="40"/>
    </row>
    <row r="318" spans="2:61" x14ac:dyDescent="0.25">
      <c r="C318" s="11" t="s">
        <v>519</v>
      </c>
      <c r="D318" s="12" t="s">
        <v>520</v>
      </c>
      <c r="E318" s="40"/>
    </row>
    <row r="319" spans="2:61" x14ac:dyDescent="0.25">
      <c r="C319" s="11" t="s">
        <v>521</v>
      </c>
      <c r="D319" s="12" t="s">
        <v>522</v>
      </c>
      <c r="E319" s="40"/>
    </row>
    <row r="320" spans="2:61" x14ac:dyDescent="0.25">
      <c r="C320" s="11" t="s">
        <v>523</v>
      </c>
      <c r="D320" s="12" t="s">
        <v>524</v>
      </c>
      <c r="E320" s="40"/>
    </row>
    <row r="321" spans="2:61" x14ac:dyDescent="0.25">
      <c r="C321" s="15" t="s">
        <v>525</v>
      </c>
      <c r="D321" s="16" t="s">
        <v>526</v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 spans="2:61" x14ac:dyDescent="0.25">
      <c r="B323" s="7"/>
      <c r="C323" s="7" t="s">
        <v>527</v>
      </c>
      <c r="D323" s="7" t="s">
        <v>528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2:61" x14ac:dyDescent="0.25">
      <c r="C324" s="15" t="s">
        <v>529</v>
      </c>
      <c r="D324" s="52" t="s">
        <v>530</v>
      </c>
    </row>
    <row r="325" spans="2:61" x14ac:dyDescent="0.25">
      <c r="C325" s="15" t="s">
        <v>531</v>
      </c>
      <c r="D325" s="52" t="s">
        <v>532</v>
      </c>
    </row>
    <row r="326" spans="2:61" x14ac:dyDescent="0.25">
      <c r="C326" s="15" t="s">
        <v>533</v>
      </c>
      <c r="D326" s="52" t="s">
        <v>534</v>
      </c>
    </row>
    <row r="327" spans="2:61" x14ac:dyDescent="0.25">
      <c r="C327" s="15" t="s">
        <v>535</v>
      </c>
      <c r="D327" s="52" t="s">
        <v>536</v>
      </c>
    </row>
    <row r="328" spans="2:61" x14ac:dyDescent="0.25">
      <c r="C328" s="15" t="s">
        <v>537</v>
      </c>
      <c r="D328" s="52" t="s">
        <v>538</v>
      </c>
    </row>
    <row r="329" spans="2:61" x14ac:dyDescent="0.25">
      <c r="C329" s="15" t="s">
        <v>539</v>
      </c>
      <c r="D329" s="52" t="s">
        <v>540</v>
      </c>
    </row>
    <row r="330" spans="2:61" x14ac:dyDescent="0.25">
      <c r="C330" s="15" t="s">
        <v>541</v>
      </c>
      <c r="D330" s="52" t="s">
        <v>542</v>
      </c>
    </row>
  </sheetData>
  <dataValidations count="2">
    <dataValidation type="list" allowBlank="1" sqref="E200" xr:uid="{00000000-0002-0000-0000-000000000000}">
      <formula1>"R$,US$,€,£"</formula1>
    </dataValidation>
    <dataValidation type="list" allowBlank="1" sqref="E201" xr:uid="{00000000-0002-0000-0000-000001000000}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</sheetPr>
  <dimension ref="B1:BI195"/>
  <sheetViews>
    <sheetView showGridLines="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5" outlineLevelRow="2" outlineLevelCol="1" x14ac:dyDescent="0.25"/>
  <cols>
    <col min="1" max="1" width="2.42578125" customWidth="1"/>
    <col min="2" max="2" width="11" customWidth="1"/>
    <col min="3" max="3" width="58" customWidth="1"/>
    <col min="4" max="4" width="46" customWidth="1"/>
    <col min="5" max="8" width="11.42578125" customWidth="1" outlineLevel="1"/>
    <col min="9" max="9" width="11.42578125" customWidth="1"/>
    <col min="10" max="13" width="11.42578125" customWidth="1" outlineLevel="1"/>
    <col min="14" max="14" width="11.42578125" customWidth="1"/>
    <col min="15" max="18" width="11.42578125" customWidth="1" outlineLevel="1"/>
    <col min="19" max="19" width="11.42578125" customWidth="1"/>
    <col min="20" max="23" width="11.42578125" customWidth="1" outlineLevel="1"/>
    <col min="24" max="24" width="11.42578125" customWidth="1"/>
    <col min="25" max="28" width="11.42578125" customWidth="1" outlineLevel="1"/>
    <col min="29" max="29" width="11.42578125" customWidth="1"/>
    <col min="30" max="33" width="11.42578125" customWidth="1" outlineLevel="1"/>
    <col min="34" max="34" width="11.42578125" customWidth="1"/>
    <col min="35" max="38" width="11.42578125" customWidth="1" outlineLevel="1"/>
    <col min="39" max="39" width="11.42578125" customWidth="1"/>
    <col min="40" max="43" width="11.42578125" customWidth="1" outlineLevel="1"/>
    <col min="44" max="44" width="11.42578125" customWidth="1"/>
    <col min="45" max="48" width="11.42578125" customWidth="1" outlineLevel="1"/>
    <col min="49" max="49" width="11.42578125" customWidth="1"/>
    <col min="50" max="53" width="11.42578125" customWidth="1" outlineLevel="1"/>
    <col min="54" max="54" width="11.42578125" customWidth="1"/>
    <col min="55" max="58" width="11.42578125" customWidth="1" outlineLevel="1"/>
    <col min="59" max="59" width="11.42578125" customWidth="1"/>
    <col min="60" max="60" width="2" customWidth="1"/>
    <col min="61" max="61" width="58" customWidth="1"/>
  </cols>
  <sheetData>
    <row r="1" spans="2:61" x14ac:dyDescent="0.25">
      <c r="C1" s="53" t="str">
        <f>"Demonstrações reportadas — valores em "&amp;Inputs!$E$202</f>
        <v>Demonstrações reportadas — valores em R$ milhões</v>
      </c>
      <c r="D1" s="54" t="s">
        <v>543</v>
      </c>
      <c r="E1" s="23">
        <f>DATE(2020,4,1)-1</f>
        <v>43921</v>
      </c>
      <c r="F1" s="23">
        <f>DATE(2020,7,1)-1</f>
        <v>44012</v>
      </c>
      <c r="G1" s="23">
        <f>DATE(2020,10,1)-1</f>
        <v>44104</v>
      </c>
      <c r="H1" s="23">
        <f>DATE(2020,13,1)-1</f>
        <v>44196</v>
      </c>
      <c r="I1" s="23">
        <f>H1</f>
        <v>44196</v>
      </c>
      <c r="J1" s="23">
        <f>DATE(2021,4,1)-1</f>
        <v>44286</v>
      </c>
      <c r="K1" s="23">
        <f>DATE(2021,7,1)-1</f>
        <v>44377</v>
      </c>
      <c r="L1" s="23">
        <f>DATE(2021,10,1)-1</f>
        <v>44469</v>
      </c>
      <c r="M1" s="23">
        <f>DATE(2021,13,1)-1</f>
        <v>44561</v>
      </c>
      <c r="N1" s="23">
        <f>M1</f>
        <v>44561</v>
      </c>
      <c r="O1" s="23">
        <f>DATE(2022,4,1)-1</f>
        <v>44651</v>
      </c>
      <c r="P1" s="23">
        <f>DATE(2022,7,1)-1</f>
        <v>44742</v>
      </c>
      <c r="Q1" s="23">
        <f>DATE(2022,10,1)-1</f>
        <v>44834</v>
      </c>
      <c r="R1" s="23">
        <f>DATE(2022,13,1)-1</f>
        <v>44926</v>
      </c>
      <c r="S1" s="23">
        <f>R1</f>
        <v>44926</v>
      </c>
      <c r="T1" s="23">
        <f>DATE(2023,4,1)-1</f>
        <v>45016</v>
      </c>
      <c r="U1" s="23">
        <f>DATE(2023,7,1)-1</f>
        <v>45107</v>
      </c>
      <c r="V1" s="23">
        <f>DATE(2023,10,1)-1</f>
        <v>45199</v>
      </c>
      <c r="W1" s="23">
        <f>DATE(2023,13,1)-1</f>
        <v>45291</v>
      </c>
      <c r="X1" s="23">
        <f>W1</f>
        <v>45291</v>
      </c>
      <c r="Y1" s="23">
        <f>DATE(2024,4,1)-1</f>
        <v>45382</v>
      </c>
      <c r="Z1" s="23">
        <f>DATE(2024,7,1)-1</f>
        <v>45473</v>
      </c>
      <c r="AA1" s="23">
        <f>DATE(2024,10,1)-1</f>
        <v>45565</v>
      </c>
      <c r="AB1" s="23">
        <f>DATE(2024,13,1)-1</f>
        <v>45657</v>
      </c>
      <c r="AC1" s="23">
        <f>AB1</f>
        <v>45657</v>
      </c>
      <c r="AD1" s="23">
        <f>DATE(2025,4,1)-1</f>
        <v>45747</v>
      </c>
      <c r="AE1" s="23">
        <f>DATE(2025,7,1)-1</f>
        <v>45838</v>
      </c>
      <c r="AF1" s="23">
        <f>DATE(2025,10,1)-1</f>
        <v>45930</v>
      </c>
      <c r="AG1" s="23">
        <f>DATE(2025,13,1)-1</f>
        <v>46022</v>
      </c>
      <c r="AH1" s="23">
        <f>AG1</f>
        <v>46022</v>
      </c>
      <c r="AI1" s="23">
        <f>DATE(2026,4,1)-1</f>
        <v>46112</v>
      </c>
      <c r="AJ1" s="23">
        <f>DATE(2026,7,1)-1</f>
        <v>46203</v>
      </c>
      <c r="AK1" s="23">
        <f>DATE(2026,10,1)-1</f>
        <v>46295</v>
      </c>
      <c r="AL1" s="23">
        <f>DATE(2026,13,1)-1</f>
        <v>46387</v>
      </c>
      <c r="AM1" s="23">
        <f>AL1</f>
        <v>46387</v>
      </c>
      <c r="AN1" s="23">
        <f>DATE(2027,4,1)-1</f>
        <v>46477</v>
      </c>
      <c r="AO1" s="23">
        <f>DATE(2027,7,1)-1</f>
        <v>46568</v>
      </c>
      <c r="AP1" s="23">
        <f>DATE(2027,10,1)-1</f>
        <v>46660</v>
      </c>
      <c r="AQ1" s="23">
        <f>DATE(2027,13,1)-1</f>
        <v>46752</v>
      </c>
      <c r="AR1" s="23">
        <f>AQ1</f>
        <v>46752</v>
      </c>
      <c r="AS1" s="23">
        <f>DATE(2028,4,1)-1</f>
        <v>46843</v>
      </c>
      <c r="AT1" s="23">
        <f>DATE(2028,7,1)-1</f>
        <v>46934</v>
      </c>
      <c r="AU1" s="23">
        <f>DATE(2028,10,1)-1</f>
        <v>47026</v>
      </c>
      <c r="AV1" s="23">
        <f>DATE(2028,13,1)-1</f>
        <v>47118</v>
      </c>
      <c r="AW1" s="23">
        <f>AV1</f>
        <v>47118</v>
      </c>
      <c r="AX1" s="23">
        <f>DATE(2029,4,1)-1</f>
        <v>47208</v>
      </c>
      <c r="AY1" s="23">
        <f>DATE(2029,7,1)-1</f>
        <v>47299</v>
      </c>
      <c r="AZ1" s="23">
        <f>DATE(2029,10,1)-1</f>
        <v>47391</v>
      </c>
      <c r="BA1" s="23">
        <f>DATE(2029,13,1)-1</f>
        <v>47483</v>
      </c>
      <c r="BB1" s="23">
        <f>BA1</f>
        <v>47483</v>
      </c>
      <c r="BC1" s="23">
        <f>DATE(2030,4,1)-1</f>
        <v>47573</v>
      </c>
      <c r="BD1" s="23">
        <f>DATE(2030,7,1)-1</f>
        <v>47664</v>
      </c>
      <c r="BE1" s="23">
        <f>DATE(2030,10,1)-1</f>
        <v>47756</v>
      </c>
      <c r="BF1" s="23">
        <f>DATE(2030,13,1)-1</f>
        <v>47848</v>
      </c>
      <c r="BG1" s="23">
        <f>BF1</f>
        <v>47848</v>
      </c>
    </row>
    <row r="2" spans="2:61" hidden="1" x14ac:dyDescent="0.25">
      <c r="B2" s="55" t="s">
        <v>3</v>
      </c>
      <c r="E2" s="24">
        <v>2020</v>
      </c>
      <c r="F2" s="24">
        <v>2020</v>
      </c>
      <c r="G2" s="24">
        <v>2020</v>
      </c>
      <c r="H2" s="24">
        <v>2020</v>
      </c>
      <c r="I2" s="24">
        <v>2020</v>
      </c>
      <c r="J2" s="24">
        <v>2021</v>
      </c>
      <c r="K2" s="24">
        <v>2021</v>
      </c>
      <c r="L2" s="24">
        <v>2021</v>
      </c>
      <c r="M2" s="24">
        <v>2021</v>
      </c>
      <c r="N2" s="24">
        <v>2021</v>
      </c>
      <c r="O2" s="24">
        <v>2022</v>
      </c>
      <c r="P2" s="24">
        <v>2022</v>
      </c>
      <c r="Q2" s="24">
        <v>2022</v>
      </c>
      <c r="R2" s="24">
        <v>2022</v>
      </c>
      <c r="S2" s="24">
        <v>2022</v>
      </c>
      <c r="T2" s="24">
        <v>2023</v>
      </c>
      <c r="U2" s="24">
        <v>2023</v>
      </c>
      <c r="V2" s="24">
        <v>2023</v>
      </c>
      <c r="W2" s="24">
        <v>2023</v>
      </c>
      <c r="X2" s="24">
        <v>2023</v>
      </c>
      <c r="Y2" s="24">
        <v>2024</v>
      </c>
      <c r="Z2" s="24">
        <v>2024</v>
      </c>
      <c r="AA2" s="24">
        <v>2024</v>
      </c>
      <c r="AB2" s="24">
        <v>2024</v>
      </c>
      <c r="AC2" s="24">
        <v>2024</v>
      </c>
      <c r="AD2" s="24">
        <v>2025</v>
      </c>
      <c r="AE2" s="24">
        <v>2025</v>
      </c>
      <c r="AF2" s="24">
        <v>2025</v>
      </c>
      <c r="AG2" s="24">
        <v>2025</v>
      </c>
      <c r="AH2" s="24">
        <v>2025</v>
      </c>
      <c r="AI2" s="24">
        <v>2026</v>
      </c>
      <c r="AJ2" s="24">
        <v>2026</v>
      </c>
      <c r="AK2" s="24">
        <v>2026</v>
      </c>
      <c r="AL2" s="24">
        <v>2026</v>
      </c>
      <c r="AM2" s="24">
        <v>2026</v>
      </c>
      <c r="AN2" s="24">
        <v>2027</v>
      </c>
      <c r="AO2" s="24">
        <v>2027</v>
      </c>
      <c r="AP2" s="24">
        <v>2027</v>
      </c>
      <c r="AQ2" s="24">
        <v>2027</v>
      </c>
      <c r="AR2" s="24">
        <v>2027</v>
      </c>
      <c r="AS2" s="24">
        <v>2028</v>
      </c>
      <c r="AT2" s="24">
        <v>2028</v>
      </c>
      <c r="AU2" s="24">
        <v>2028</v>
      </c>
      <c r="AV2" s="24">
        <v>2028</v>
      </c>
      <c r="AW2" s="24">
        <v>2028</v>
      </c>
      <c r="AX2" s="24">
        <v>2029</v>
      </c>
      <c r="AY2" s="24">
        <v>2029</v>
      </c>
      <c r="AZ2" s="24">
        <v>2029</v>
      </c>
      <c r="BA2" s="24">
        <v>2029</v>
      </c>
      <c r="BB2" s="24">
        <v>2029</v>
      </c>
      <c r="BC2" s="24">
        <v>2030</v>
      </c>
      <c r="BD2" s="24">
        <v>2030</v>
      </c>
      <c r="BE2" s="24">
        <v>2030</v>
      </c>
      <c r="BF2" s="24">
        <v>2030</v>
      </c>
      <c r="BG2" s="24">
        <v>2030</v>
      </c>
    </row>
    <row r="3" spans="2:61" x14ac:dyDescent="0.25">
      <c r="C3" s="53" t="s">
        <v>368</v>
      </c>
      <c r="D3" s="54" t="s">
        <v>369</v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 spans="2:61" x14ac:dyDescent="0.25">
      <c r="B4" s="7"/>
      <c r="C4" s="7" t="s">
        <v>50</v>
      </c>
      <c r="D4" s="7" t="s">
        <v>544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2:61" x14ac:dyDescent="0.25">
      <c r="B5" s="56" t="s">
        <v>51</v>
      </c>
      <c r="C5" s="11" t="s">
        <v>52</v>
      </c>
      <c r="D5" s="12" t="s">
        <v>545</v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0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0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0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0</v>
      </c>
      <c r="I5" s="58">
        <f t="shared" ref="I5:I29" si="0">H5</f>
        <v>0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0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0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0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0</v>
      </c>
      <c r="N5" s="58">
        <f t="shared" ref="N5:N29" si="1">M5</f>
        <v>0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0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0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0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0</v>
      </c>
      <c r="S5" s="58">
        <f t="shared" ref="S5:S29" si="2">R5</f>
        <v>0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0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0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0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0</v>
      </c>
      <c r="X5" s="58">
        <f t="shared" ref="X5:X29" si="3">W5</f>
        <v>0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0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0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0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0</v>
      </c>
      <c r="AC5" s="58">
        <f t="shared" ref="AC5:AC29" si="4">AB5</f>
        <v>0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0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0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0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0</v>
      </c>
      <c r="AH5" s="58">
        <f t="shared" ref="AH5:AH29" si="5">AG5</f>
        <v>0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0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0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 t="shared" ref="AM5:AM29" si="6"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 t="shared" ref="AR5:AR29" si="7"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 t="shared" ref="AW5:AW29" si="8"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 t="shared" ref="BB5:BB29" si="9"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 t="shared" ref="BG5:BG29" si="10">BF5</f>
        <v>0</v>
      </c>
    </row>
    <row r="6" spans="2:61" x14ac:dyDescent="0.25">
      <c r="C6" s="15" t="s">
        <v>546</v>
      </c>
      <c r="D6" s="16" t="s">
        <v>547</v>
      </c>
      <c r="E6" s="59">
        <f>IFERROR(E7+E8+E9+E10,"")</f>
        <v>0</v>
      </c>
      <c r="F6" s="59">
        <f>IFERROR(F7+F8+F9+F10,"")</f>
        <v>0</v>
      </c>
      <c r="G6" s="59">
        <f>IFERROR(G7+G8+G9+G10,"")</f>
        <v>0</v>
      </c>
      <c r="H6" s="59">
        <f>IFERROR(H7+H8+H9+H10,"")</f>
        <v>0</v>
      </c>
      <c r="I6" s="60">
        <f t="shared" si="0"/>
        <v>0</v>
      </c>
      <c r="J6" s="59">
        <f>IFERROR(J7+J8+J9+J10,"")</f>
        <v>0</v>
      </c>
      <c r="K6" s="59">
        <f>IFERROR(K7+K8+K9+K10,"")</f>
        <v>0</v>
      </c>
      <c r="L6" s="59">
        <f>IFERROR(L7+L8+L9+L10,"")</f>
        <v>0</v>
      </c>
      <c r="M6" s="59">
        <f>IFERROR(M7+M8+M9+M10,"")</f>
        <v>0</v>
      </c>
      <c r="N6" s="60">
        <f t="shared" si="1"/>
        <v>0</v>
      </c>
      <c r="O6" s="59">
        <f>IFERROR(O7+O8+O9+O10,"")</f>
        <v>0</v>
      </c>
      <c r="P6" s="59">
        <f>IFERROR(P7+P8+P9+P10,"")</f>
        <v>0</v>
      </c>
      <c r="Q6" s="59">
        <f>IFERROR(Q7+Q8+Q9+Q10,"")</f>
        <v>0</v>
      </c>
      <c r="R6" s="59">
        <f>IFERROR(R7+R8+R9+R10,"")</f>
        <v>0</v>
      </c>
      <c r="S6" s="60">
        <f t="shared" si="2"/>
        <v>0</v>
      </c>
      <c r="T6" s="59">
        <f>IFERROR(T7+T8+T9+T10,"")</f>
        <v>0</v>
      </c>
      <c r="U6" s="59">
        <f>IFERROR(U7+U8+U9+U10,"")</f>
        <v>0</v>
      </c>
      <c r="V6" s="59">
        <f>IFERROR(V7+V8+V9+V10,"")</f>
        <v>0</v>
      </c>
      <c r="W6" s="59">
        <f>IFERROR(W7+W8+W9+W10,"")</f>
        <v>0</v>
      </c>
      <c r="X6" s="60">
        <f t="shared" si="3"/>
        <v>0</v>
      </c>
      <c r="Y6" s="59">
        <f>IFERROR(Y7+Y8+Y9+Y10,"")</f>
        <v>0</v>
      </c>
      <c r="Z6" s="59">
        <f>IFERROR(Z7+Z8+Z9+Z10,"")</f>
        <v>0</v>
      </c>
      <c r="AA6" s="59">
        <f>IFERROR(AA7+AA8+AA9+AA10,"")</f>
        <v>0</v>
      </c>
      <c r="AB6" s="59">
        <f>IFERROR(AB7+AB8+AB9+AB10,"")</f>
        <v>0</v>
      </c>
      <c r="AC6" s="60">
        <f t="shared" si="4"/>
        <v>0</v>
      </c>
      <c r="AD6" s="59">
        <f>IFERROR(AD7+AD8+AD9+AD10,"")</f>
        <v>0</v>
      </c>
      <c r="AE6" s="59">
        <f>IFERROR(AE7+AE8+AE9+AE10,"")</f>
        <v>0</v>
      </c>
      <c r="AF6" s="59">
        <f>IFERROR(AF7+AF8+AF9+AF10,"")</f>
        <v>0</v>
      </c>
      <c r="AG6" s="59">
        <f>IFERROR(AG7+AG8+AG9+AG10,"")</f>
        <v>0</v>
      </c>
      <c r="AH6" s="60">
        <f t="shared" si="5"/>
        <v>0</v>
      </c>
      <c r="AI6" s="59">
        <f>IFERROR(AI7+AI8+AI9+AI10,"")</f>
        <v>0</v>
      </c>
      <c r="AJ6" s="59">
        <f>IFERROR(AJ7+AJ8+AJ9+AJ10,"")</f>
        <v>0</v>
      </c>
      <c r="AK6" s="59">
        <f>IFERROR(AK7+AK8+AK9+AK10,"")</f>
        <v>0</v>
      </c>
      <c r="AL6" s="59">
        <f>IFERROR(AL7+AL8+AL9+AL10,"")</f>
        <v>0</v>
      </c>
      <c r="AM6" s="60">
        <f t="shared" si="6"/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 t="shared" si="7"/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 t="shared" si="8"/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 t="shared" si="9"/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 t="shared" si="10"/>
        <v>0</v>
      </c>
    </row>
    <row r="7" spans="2:61" hidden="1" outlineLevel="1" x14ac:dyDescent="0.25">
      <c r="B7" s="56" t="s">
        <v>54</v>
      </c>
      <c r="C7" s="61" t="s">
        <v>55</v>
      </c>
      <c r="D7" s="62" t="s">
        <v>548</v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0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0</v>
      </c>
      <c r="I7" s="58">
        <f t="shared" si="0"/>
        <v>0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0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0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0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0</v>
      </c>
      <c r="N7" s="58">
        <f t="shared" si="1"/>
        <v>0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0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0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0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0</v>
      </c>
      <c r="S7" s="58">
        <f t="shared" si="2"/>
        <v>0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0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0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0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0</v>
      </c>
      <c r="X7" s="58">
        <f t="shared" si="3"/>
        <v>0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0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0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0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0</v>
      </c>
      <c r="AC7" s="58">
        <f t="shared" si="4"/>
        <v>0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0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0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0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0</v>
      </c>
      <c r="AH7" s="58">
        <f t="shared" si="5"/>
        <v>0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0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0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 t="shared" si="6"/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 t="shared" si="7"/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 t="shared" si="8"/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 t="shared" si="9"/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 t="shared" si="10"/>
        <v>0</v>
      </c>
    </row>
    <row r="8" spans="2:61" hidden="1" outlineLevel="1" x14ac:dyDescent="0.25">
      <c r="B8" s="56" t="s">
        <v>56</v>
      </c>
      <c r="C8" s="61" t="s">
        <v>57</v>
      </c>
      <c r="D8" s="62" t="s">
        <v>549</v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 t="shared" si="0"/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 t="shared" si="1"/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 t="shared" si="2"/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 t="shared" si="3"/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 t="shared" si="4"/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 t="shared" si="5"/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 t="shared" si="6"/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 t="shared" si="7"/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 t="shared" si="8"/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 t="shared" si="9"/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 t="shared" si="10"/>
        <v>0</v>
      </c>
    </row>
    <row r="9" spans="2:61" hidden="1" outlineLevel="1" x14ac:dyDescent="0.25">
      <c r="B9" s="56" t="s">
        <v>58</v>
      </c>
      <c r="C9" s="61" t="s">
        <v>59</v>
      </c>
      <c r="D9" s="62" t="s">
        <v>550</v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 t="shared" si="0"/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 t="shared" si="1"/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 t="shared" si="2"/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 t="shared" si="3"/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 t="shared" si="4"/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 t="shared" si="5"/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 t="shared" si="6"/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 t="shared" si="7"/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 t="shared" si="8"/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 t="shared" si="9"/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 t="shared" si="10"/>
        <v>0</v>
      </c>
    </row>
    <row r="10" spans="2:61" hidden="1" outlineLevel="1" x14ac:dyDescent="0.25">
      <c r="B10" s="56" t="s">
        <v>60</v>
      </c>
      <c r="C10" s="61" t="s">
        <v>61</v>
      </c>
      <c r="D10" s="62" t="s">
        <v>551</v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 t="shared" si="0"/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 t="shared" si="1"/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 t="shared" si="2"/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 t="shared" si="3"/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 t="shared" si="4"/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 t="shared" si="5"/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 t="shared" si="6"/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 t="shared" si="7"/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 t="shared" si="8"/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 t="shared" si="9"/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 t="shared" si="10"/>
        <v>0</v>
      </c>
    </row>
    <row r="11" spans="2:61" x14ac:dyDescent="0.25">
      <c r="C11" s="15" t="s">
        <v>73</v>
      </c>
      <c r="D11" s="16" t="s">
        <v>552</v>
      </c>
      <c r="E11" s="59">
        <f>IFERROR(E12+E13+E14+E15,"")</f>
        <v>0</v>
      </c>
      <c r="F11" s="59">
        <f>IFERROR(F12+F13+F14+F15,"")</f>
        <v>0</v>
      </c>
      <c r="G11" s="59">
        <f>IFERROR(G12+G13+G14+G15,"")</f>
        <v>0</v>
      </c>
      <c r="H11" s="59">
        <f>IFERROR(H12+H13+H14+H15,"")</f>
        <v>0</v>
      </c>
      <c r="I11" s="60">
        <f t="shared" si="0"/>
        <v>0</v>
      </c>
      <c r="J11" s="59">
        <f>IFERROR(J12+J13+J14+J15,"")</f>
        <v>0</v>
      </c>
      <c r="K11" s="59">
        <f>IFERROR(K12+K13+K14+K15,"")</f>
        <v>0</v>
      </c>
      <c r="L11" s="59">
        <f>IFERROR(L12+L13+L14+L15,"")</f>
        <v>0</v>
      </c>
      <c r="M11" s="59">
        <f>IFERROR(M12+M13+M14+M15,"")</f>
        <v>0</v>
      </c>
      <c r="N11" s="60">
        <f t="shared" si="1"/>
        <v>0</v>
      </c>
      <c r="O11" s="59">
        <f>IFERROR(O12+O13+O14+O15,"")</f>
        <v>0</v>
      </c>
      <c r="P11" s="59">
        <f>IFERROR(P12+P13+P14+P15,"")</f>
        <v>0</v>
      </c>
      <c r="Q11" s="59">
        <f>IFERROR(Q12+Q13+Q14+Q15,"")</f>
        <v>0</v>
      </c>
      <c r="R11" s="59">
        <f>IFERROR(R12+R13+R14+R15,"")</f>
        <v>0</v>
      </c>
      <c r="S11" s="60">
        <f t="shared" si="2"/>
        <v>0</v>
      </c>
      <c r="T11" s="59">
        <f>IFERROR(T12+T13+T14+T15,"")</f>
        <v>0</v>
      </c>
      <c r="U11" s="59">
        <f>IFERROR(U12+U13+U14+U15,"")</f>
        <v>0</v>
      </c>
      <c r="V11" s="59">
        <f>IFERROR(V12+V13+V14+V15,"")</f>
        <v>0</v>
      </c>
      <c r="W11" s="59">
        <f>IFERROR(W12+W13+W14+W15,"")</f>
        <v>0</v>
      </c>
      <c r="X11" s="60">
        <f t="shared" si="3"/>
        <v>0</v>
      </c>
      <c r="Y11" s="59">
        <f>IFERROR(Y12+Y13+Y14+Y15,"")</f>
        <v>0</v>
      </c>
      <c r="Z11" s="59">
        <f>IFERROR(Z12+Z13+Z14+Z15,"")</f>
        <v>0</v>
      </c>
      <c r="AA11" s="59">
        <f>IFERROR(AA12+AA13+AA14+AA15,"")</f>
        <v>0</v>
      </c>
      <c r="AB11" s="59">
        <f>IFERROR(AB12+AB13+AB14+AB15,"")</f>
        <v>0</v>
      </c>
      <c r="AC11" s="60">
        <f t="shared" si="4"/>
        <v>0</v>
      </c>
      <c r="AD11" s="59">
        <f>IFERROR(AD12+AD13+AD14+AD15,"")</f>
        <v>0</v>
      </c>
      <c r="AE11" s="59">
        <f>IFERROR(AE12+AE13+AE14+AE15,"")</f>
        <v>0</v>
      </c>
      <c r="AF11" s="59">
        <f>IFERROR(AF12+AF13+AF14+AF15,"")</f>
        <v>0</v>
      </c>
      <c r="AG11" s="59">
        <f>IFERROR(AG12+AG13+AG14+AG15,"")</f>
        <v>0</v>
      </c>
      <c r="AH11" s="60">
        <f t="shared" si="5"/>
        <v>0</v>
      </c>
      <c r="AI11" s="59">
        <f>IFERROR(AI12+AI13+AI14+AI15,"")</f>
        <v>0</v>
      </c>
      <c r="AJ11" s="59">
        <f>IFERROR(AJ12+AJ13+AJ14+AJ15,"")</f>
        <v>0</v>
      </c>
      <c r="AK11" s="59">
        <f>IFERROR(AK12+AK13+AK14+AK15,"")</f>
        <v>0</v>
      </c>
      <c r="AL11" s="59">
        <f>IFERROR(AL12+AL13+AL14+AL15,"")</f>
        <v>0</v>
      </c>
      <c r="AM11" s="60">
        <f t="shared" si="6"/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 t="shared" si="7"/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 t="shared" si="8"/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 t="shared" si="9"/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 t="shared" si="10"/>
        <v>0</v>
      </c>
    </row>
    <row r="12" spans="2:61" hidden="1" outlineLevel="1" x14ac:dyDescent="0.25">
      <c r="B12" s="56" t="s">
        <v>62</v>
      </c>
      <c r="C12" s="61" t="s">
        <v>63</v>
      </c>
      <c r="D12" s="62" t="s">
        <v>553</v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0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0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0</v>
      </c>
      <c r="I12" s="58">
        <f t="shared" si="0"/>
        <v>0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0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0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0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0</v>
      </c>
      <c r="N12" s="58">
        <f t="shared" si="1"/>
        <v>0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0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0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0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0</v>
      </c>
      <c r="S12" s="58">
        <f t="shared" si="2"/>
        <v>0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0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0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0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0</v>
      </c>
      <c r="X12" s="58">
        <f t="shared" si="3"/>
        <v>0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0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0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0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0</v>
      </c>
      <c r="AC12" s="58">
        <f t="shared" si="4"/>
        <v>0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0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0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0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0</v>
      </c>
      <c r="AH12" s="58">
        <f t="shared" si="5"/>
        <v>0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0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0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 t="shared" si="6"/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 t="shared" si="7"/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 t="shared" si="8"/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 t="shared" si="9"/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 t="shared" si="10"/>
        <v>0</v>
      </c>
    </row>
    <row r="13" spans="2:61" hidden="1" outlineLevel="1" x14ac:dyDescent="0.25">
      <c r="B13" s="56" t="s">
        <v>64</v>
      </c>
      <c r="C13" s="61" t="s">
        <v>65</v>
      </c>
      <c r="D13" s="62" t="s">
        <v>554</v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 t="shared" si="0"/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 t="shared" si="1"/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 t="shared" si="2"/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 t="shared" si="3"/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 t="shared" si="4"/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 t="shared" si="5"/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 t="shared" si="6"/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 t="shared" si="7"/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 t="shared" si="8"/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 t="shared" si="9"/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 t="shared" si="10"/>
        <v>0</v>
      </c>
    </row>
    <row r="14" spans="2:61" hidden="1" outlineLevel="1" x14ac:dyDescent="0.25">
      <c r="B14" s="56" t="s">
        <v>66</v>
      </c>
      <c r="C14" s="61" t="s">
        <v>59</v>
      </c>
      <c r="D14" s="62" t="s">
        <v>550</v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 t="shared" si="0"/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 t="shared" si="1"/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 t="shared" si="2"/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 t="shared" si="3"/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 t="shared" si="4"/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 t="shared" si="5"/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 t="shared" si="6"/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 t="shared" si="7"/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 t="shared" si="8"/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 t="shared" si="9"/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 t="shared" si="10"/>
        <v>0</v>
      </c>
    </row>
    <row r="15" spans="2:61" hidden="1" outlineLevel="1" x14ac:dyDescent="0.25">
      <c r="B15" s="56" t="s">
        <v>67</v>
      </c>
      <c r="C15" s="61" t="s">
        <v>61</v>
      </c>
      <c r="D15" s="62" t="s">
        <v>551</v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 t="shared" si="0"/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 t="shared" si="1"/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 t="shared" si="2"/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 t="shared" si="3"/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 t="shared" si="4"/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 t="shared" si="5"/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 t="shared" si="6"/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 t="shared" si="7"/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 t="shared" si="8"/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 t="shared" si="9"/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 t="shared" si="10"/>
        <v>0</v>
      </c>
    </row>
    <row r="16" spans="2:61" x14ac:dyDescent="0.25">
      <c r="B16" s="56" t="s">
        <v>68</v>
      </c>
      <c r="C16" s="11" t="s">
        <v>69</v>
      </c>
      <c r="D16" s="12" t="s">
        <v>555</v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 t="shared" si="0"/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 t="shared" si="1"/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 t="shared" si="2"/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 t="shared" si="3"/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 t="shared" si="4"/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0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0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0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0</v>
      </c>
      <c r="AH16" s="58">
        <f t="shared" si="5"/>
        <v>0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0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0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 t="shared" si="6"/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 t="shared" si="7"/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 t="shared" si="8"/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 t="shared" si="9"/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 t="shared" si="10"/>
        <v>0</v>
      </c>
    </row>
    <row r="17" spans="2:61" x14ac:dyDescent="0.25">
      <c r="C17" s="15" t="s">
        <v>556</v>
      </c>
      <c r="D17" s="16" t="s">
        <v>557</v>
      </c>
      <c r="E17" s="59">
        <f>IFERROR(E18+E19+E20,"")</f>
        <v>0</v>
      </c>
      <c r="F17" s="59">
        <f>IFERROR(F18+F19+F20,"")</f>
        <v>0</v>
      </c>
      <c r="G17" s="59">
        <f>IFERROR(G18+G19+G20,"")</f>
        <v>0</v>
      </c>
      <c r="H17" s="59">
        <f>IFERROR(H18+H19+H20,"")</f>
        <v>0</v>
      </c>
      <c r="I17" s="60">
        <f t="shared" si="0"/>
        <v>0</v>
      </c>
      <c r="J17" s="59">
        <f>IFERROR(J18+J19+J20,"")</f>
        <v>0</v>
      </c>
      <c r="K17" s="59">
        <f>IFERROR(K18+K19+K20,"")</f>
        <v>0</v>
      </c>
      <c r="L17" s="59">
        <f>IFERROR(L18+L19+L20,"")</f>
        <v>0</v>
      </c>
      <c r="M17" s="59">
        <f>IFERROR(M18+M19+M20,"")</f>
        <v>0</v>
      </c>
      <c r="N17" s="60">
        <f t="shared" si="1"/>
        <v>0</v>
      </c>
      <c r="O17" s="59">
        <f>IFERROR(O18+O19+O20,"")</f>
        <v>0</v>
      </c>
      <c r="P17" s="59">
        <f>IFERROR(P18+P19+P20,"")</f>
        <v>0</v>
      </c>
      <c r="Q17" s="59">
        <f>IFERROR(Q18+Q19+Q20,"")</f>
        <v>0</v>
      </c>
      <c r="R17" s="59">
        <f>IFERROR(R18+R19+R20,"")</f>
        <v>0</v>
      </c>
      <c r="S17" s="60">
        <f t="shared" si="2"/>
        <v>0</v>
      </c>
      <c r="T17" s="59">
        <f>IFERROR(T18+T19+T20,"")</f>
        <v>0</v>
      </c>
      <c r="U17" s="59">
        <f>IFERROR(U18+U19+U20,"")</f>
        <v>0</v>
      </c>
      <c r="V17" s="59">
        <f>IFERROR(V18+V19+V20,"")</f>
        <v>0</v>
      </c>
      <c r="W17" s="59">
        <f>IFERROR(W18+W19+W20,"")</f>
        <v>0</v>
      </c>
      <c r="X17" s="60">
        <f t="shared" si="3"/>
        <v>0</v>
      </c>
      <c r="Y17" s="59">
        <f>IFERROR(Y18+Y19+Y20,"")</f>
        <v>0</v>
      </c>
      <c r="Z17" s="59">
        <f>IFERROR(Z18+Z19+Z20,"")</f>
        <v>0</v>
      </c>
      <c r="AA17" s="59">
        <f>IFERROR(AA18+AA19+AA20,"")</f>
        <v>0</v>
      </c>
      <c r="AB17" s="59">
        <f>IFERROR(AB18+AB19+AB20,"")</f>
        <v>0</v>
      </c>
      <c r="AC17" s="60">
        <f t="shared" si="4"/>
        <v>0</v>
      </c>
      <c r="AD17" s="59">
        <f>IFERROR(AD18+AD19+AD20,"")</f>
        <v>0</v>
      </c>
      <c r="AE17" s="59">
        <f>IFERROR(AE18+AE19+AE20,"")</f>
        <v>0</v>
      </c>
      <c r="AF17" s="59">
        <f>IFERROR(AF18+AF19+AF20,"")</f>
        <v>0</v>
      </c>
      <c r="AG17" s="59">
        <f>IFERROR(AG18+AG19+AG20,"")</f>
        <v>0</v>
      </c>
      <c r="AH17" s="60">
        <f t="shared" si="5"/>
        <v>0</v>
      </c>
      <c r="AI17" s="59">
        <f>IFERROR(AI18+AI19+AI20,"")</f>
        <v>0</v>
      </c>
      <c r="AJ17" s="59">
        <f>IFERROR(AJ18+AJ19+AJ20,"")</f>
        <v>0</v>
      </c>
      <c r="AK17" s="59">
        <f>IFERROR(AK18+AK19+AK20,"")</f>
        <v>0</v>
      </c>
      <c r="AL17" s="59">
        <f>IFERROR(AL18+AL19+AL20,"")</f>
        <v>0</v>
      </c>
      <c r="AM17" s="60">
        <f t="shared" si="6"/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 t="shared" si="7"/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 t="shared" si="8"/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 t="shared" si="9"/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 t="shared" si="10"/>
        <v>0</v>
      </c>
    </row>
    <row r="18" spans="2:61" hidden="1" outlineLevel="1" x14ac:dyDescent="0.25">
      <c r="B18" s="56" t="s">
        <v>70</v>
      </c>
      <c r="C18" s="61" t="s">
        <v>71</v>
      </c>
      <c r="D18" s="62" t="s">
        <v>558</v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0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0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0</v>
      </c>
      <c r="I18" s="58">
        <f t="shared" si="0"/>
        <v>0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0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0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0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0</v>
      </c>
      <c r="N18" s="58">
        <f t="shared" si="1"/>
        <v>0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0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0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0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0</v>
      </c>
      <c r="S18" s="58">
        <f t="shared" si="2"/>
        <v>0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0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0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0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0</v>
      </c>
      <c r="X18" s="58">
        <f t="shared" si="3"/>
        <v>0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0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0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0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0</v>
      </c>
      <c r="AC18" s="58">
        <f t="shared" si="4"/>
        <v>0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0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0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0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0</v>
      </c>
      <c r="AH18" s="58">
        <f t="shared" si="5"/>
        <v>0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0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0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 t="shared" si="6"/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 t="shared" si="7"/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 t="shared" si="8"/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 t="shared" si="9"/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 t="shared" si="10"/>
        <v>0</v>
      </c>
    </row>
    <row r="19" spans="2:61" hidden="1" outlineLevel="1" x14ac:dyDescent="0.25">
      <c r="B19" s="56" t="s">
        <v>72</v>
      </c>
      <c r="C19" s="61" t="s">
        <v>73</v>
      </c>
      <c r="D19" s="62" t="s">
        <v>552</v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 t="shared" si="0"/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 t="shared" si="1"/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 t="shared" si="2"/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 t="shared" si="3"/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 t="shared" si="4"/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 t="shared" si="5"/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 t="shared" si="6"/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 t="shared" si="7"/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 t="shared" si="8"/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 t="shared" si="9"/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 t="shared" si="10"/>
        <v>0</v>
      </c>
    </row>
    <row r="20" spans="2:61" hidden="1" outlineLevel="1" x14ac:dyDescent="0.25">
      <c r="B20" s="56" t="s">
        <v>74</v>
      </c>
      <c r="C20" s="61" t="s">
        <v>61</v>
      </c>
      <c r="D20" s="62" t="s">
        <v>551</v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 t="shared" si="0"/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 t="shared" si="1"/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 t="shared" si="2"/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 t="shared" si="3"/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0</v>
      </c>
      <c r="AC20" s="58">
        <f t="shared" si="4"/>
        <v>0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0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0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0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0</v>
      </c>
      <c r="AH20" s="58">
        <f t="shared" si="5"/>
        <v>0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0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0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 t="shared" si="6"/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 t="shared" si="7"/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 t="shared" si="8"/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 t="shared" si="9"/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 t="shared" si="10"/>
        <v>0</v>
      </c>
    </row>
    <row r="21" spans="2:61" x14ac:dyDescent="0.25">
      <c r="B21" s="56" t="s">
        <v>75</v>
      </c>
      <c r="C21" s="11" t="s">
        <v>76</v>
      </c>
      <c r="D21" s="12" t="s">
        <v>559</v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 t="shared" si="0"/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0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0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0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0</v>
      </c>
      <c r="N21" s="58">
        <f t="shared" si="1"/>
        <v>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0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0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0</v>
      </c>
      <c r="S21" s="58">
        <f t="shared" si="2"/>
        <v>0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0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0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0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0</v>
      </c>
      <c r="X21" s="58">
        <f t="shared" si="3"/>
        <v>0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0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0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0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0</v>
      </c>
      <c r="AC21" s="58">
        <f t="shared" si="4"/>
        <v>0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 t="shared" si="5"/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 t="shared" si="6"/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 t="shared" si="7"/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 t="shared" si="8"/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 t="shared" si="9"/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 t="shared" si="10"/>
        <v>0</v>
      </c>
    </row>
    <row r="22" spans="2:61" x14ac:dyDescent="0.25">
      <c r="B22" s="56" t="s">
        <v>77</v>
      </c>
      <c r="C22" s="11" t="s">
        <v>78</v>
      </c>
      <c r="D22" s="12" t="s">
        <v>560</v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 t="shared" si="0"/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 t="shared" si="1"/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 t="shared" si="2"/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 t="shared" si="3"/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 t="shared" si="4"/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 t="shared" si="5"/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 t="shared" si="6"/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 t="shared" si="7"/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 t="shared" si="8"/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 t="shared" si="9"/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 t="shared" si="10"/>
        <v>0</v>
      </c>
    </row>
    <row r="23" spans="2:61" x14ac:dyDescent="0.25">
      <c r="B23" s="56" t="s">
        <v>79</v>
      </c>
      <c r="C23" s="11" t="s">
        <v>80</v>
      </c>
      <c r="D23" s="12" t="s">
        <v>561</v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0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0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0</v>
      </c>
      <c r="I23" s="58">
        <f t="shared" si="0"/>
        <v>0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0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0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0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0</v>
      </c>
      <c r="N23" s="58">
        <f t="shared" si="1"/>
        <v>0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0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0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0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0</v>
      </c>
      <c r="S23" s="58">
        <f t="shared" si="2"/>
        <v>0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0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0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0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0</v>
      </c>
      <c r="X23" s="58">
        <f t="shared" si="3"/>
        <v>0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0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0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0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0</v>
      </c>
      <c r="AC23" s="58">
        <f t="shared" si="4"/>
        <v>0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0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0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0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0</v>
      </c>
      <c r="AH23" s="58">
        <f t="shared" si="5"/>
        <v>0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0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0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 t="shared" si="6"/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 t="shared" si="7"/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 t="shared" si="8"/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 t="shared" si="9"/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 t="shared" si="10"/>
        <v>0</v>
      </c>
    </row>
    <row r="24" spans="2:61" x14ac:dyDescent="0.25">
      <c r="C24" s="15" t="s">
        <v>562</v>
      </c>
      <c r="D24" s="16" t="s">
        <v>563</v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 t="shared" si="0"/>
        <v>0</v>
      </c>
      <c r="J24" s="59">
        <f>IFERROR(J25+J26,"")</f>
        <v>0</v>
      </c>
      <c r="K24" s="59">
        <f>IFERROR(K25+K26,"")</f>
        <v>0</v>
      </c>
      <c r="L24" s="59">
        <f>IFERROR(L25+L26,"")</f>
        <v>0</v>
      </c>
      <c r="M24" s="59">
        <f>IFERROR(M25+M26,"")</f>
        <v>0</v>
      </c>
      <c r="N24" s="60">
        <f t="shared" si="1"/>
        <v>0</v>
      </c>
      <c r="O24" s="59">
        <f>IFERROR(O25+O26,"")</f>
        <v>0</v>
      </c>
      <c r="P24" s="59">
        <f>IFERROR(P25+P26,"")</f>
        <v>0</v>
      </c>
      <c r="Q24" s="59">
        <f>IFERROR(Q25+Q26,"")</f>
        <v>0</v>
      </c>
      <c r="R24" s="59">
        <f>IFERROR(R25+R26,"")</f>
        <v>0</v>
      </c>
      <c r="S24" s="60">
        <f t="shared" si="2"/>
        <v>0</v>
      </c>
      <c r="T24" s="59">
        <f>IFERROR(T25+T26,"")</f>
        <v>0</v>
      </c>
      <c r="U24" s="59">
        <f>IFERROR(U25+U26,"")</f>
        <v>0</v>
      </c>
      <c r="V24" s="59">
        <f>IFERROR(V25+V26,"")</f>
        <v>0</v>
      </c>
      <c r="W24" s="59">
        <f>IFERROR(W25+W26,"")</f>
        <v>0</v>
      </c>
      <c r="X24" s="60">
        <f t="shared" si="3"/>
        <v>0</v>
      </c>
      <c r="Y24" s="59">
        <f>IFERROR(Y25+Y26,"")</f>
        <v>0</v>
      </c>
      <c r="Z24" s="59">
        <f>IFERROR(Z25+Z26,"")</f>
        <v>0</v>
      </c>
      <c r="AA24" s="59">
        <f>IFERROR(AA25+AA26,"")</f>
        <v>0</v>
      </c>
      <c r="AB24" s="59">
        <f>IFERROR(AB25+AB26,"")</f>
        <v>0</v>
      </c>
      <c r="AC24" s="60">
        <f t="shared" si="4"/>
        <v>0</v>
      </c>
      <c r="AD24" s="59">
        <f>IFERROR(AD25+AD26,"")</f>
        <v>0</v>
      </c>
      <c r="AE24" s="59">
        <f>IFERROR(AE25+AE26,"")</f>
        <v>0</v>
      </c>
      <c r="AF24" s="59">
        <f>IFERROR(AF25+AF26,"")</f>
        <v>0</v>
      </c>
      <c r="AG24" s="59">
        <f>IFERROR(AG25+AG26,"")</f>
        <v>0</v>
      </c>
      <c r="AH24" s="60">
        <f t="shared" si="5"/>
        <v>0</v>
      </c>
      <c r="AI24" s="59">
        <f>IFERROR(AI25+AI26,"")</f>
        <v>0</v>
      </c>
      <c r="AJ24" s="59">
        <f>IFERROR(AJ25+AJ26,"")</f>
        <v>0</v>
      </c>
      <c r="AK24" s="59">
        <f>IFERROR(AK25+AK26,"")</f>
        <v>0</v>
      </c>
      <c r="AL24" s="59">
        <f>IFERROR(AL25+AL26,"")</f>
        <v>0</v>
      </c>
      <c r="AM24" s="60">
        <f t="shared" si="6"/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 t="shared" si="7"/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 t="shared" si="8"/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 t="shared" si="9"/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 t="shared" si="10"/>
        <v>0</v>
      </c>
    </row>
    <row r="25" spans="2:61" hidden="1" outlineLevel="1" x14ac:dyDescent="0.25">
      <c r="B25" s="56" t="s">
        <v>81</v>
      </c>
      <c r="C25" s="61" t="s">
        <v>82</v>
      </c>
      <c r="D25" s="62" t="s">
        <v>564</v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 t="shared" si="0"/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 t="shared" si="1"/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 t="shared" si="2"/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 t="shared" si="3"/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0</v>
      </c>
      <c r="AC25" s="58">
        <f t="shared" si="4"/>
        <v>0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0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0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0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0</v>
      </c>
      <c r="AH25" s="58">
        <f t="shared" si="5"/>
        <v>0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0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0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 t="shared" si="6"/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 t="shared" si="7"/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 t="shared" si="8"/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 t="shared" si="9"/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 t="shared" si="10"/>
        <v>0</v>
      </c>
    </row>
    <row r="26" spans="2:61" hidden="1" outlineLevel="1" x14ac:dyDescent="0.25">
      <c r="B26" s="56" t="s">
        <v>83</v>
      </c>
      <c r="C26" s="61" t="s">
        <v>84</v>
      </c>
      <c r="D26" s="62" t="s">
        <v>565</v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 t="shared" si="0"/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 t="shared" si="1"/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 t="shared" si="2"/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 t="shared" si="3"/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 t="shared" si="4"/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 t="shared" si="5"/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 t="shared" si="6"/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 t="shared" si="7"/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 t="shared" si="8"/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 t="shared" si="9"/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 t="shared" si="10"/>
        <v>0</v>
      </c>
    </row>
    <row r="27" spans="2:61" x14ac:dyDescent="0.25">
      <c r="B27" s="56" t="s">
        <v>85</v>
      </c>
      <c r="C27" s="11" t="s">
        <v>86</v>
      </c>
      <c r="D27" s="12" t="s">
        <v>566</v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 t="shared" si="0"/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0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0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0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0</v>
      </c>
      <c r="N27" s="58">
        <f t="shared" si="1"/>
        <v>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0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0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0</v>
      </c>
      <c r="S27" s="58">
        <f t="shared" si="2"/>
        <v>0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0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0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0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0</v>
      </c>
      <c r="X27" s="58">
        <f t="shared" si="3"/>
        <v>0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0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0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0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0</v>
      </c>
      <c r="AC27" s="58">
        <f t="shared" si="4"/>
        <v>0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0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0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0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0</v>
      </c>
      <c r="AH27" s="58">
        <f t="shared" si="5"/>
        <v>0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0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0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 t="shared" si="6"/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 t="shared" si="7"/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 t="shared" si="8"/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 t="shared" si="9"/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 t="shared" si="10"/>
        <v>0</v>
      </c>
    </row>
    <row r="28" spans="2:61" x14ac:dyDescent="0.25">
      <c r="B28" s="56" t="s">
        <v>87</v>
      </c>
      <c r="C28" s="11" t="s">
        <v>88</v>
      </c>
      <c r="D28" s="12" t="s">
        <v>567</v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 t="shared" si="0"/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0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0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0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0</v>
      </c>
      <c r="N28" s="58">
        <f t="shared" si="1"/>
        <v>0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0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0</v>
      </c>
      <c r="S28" s="58">
        <f t="shared" si="2"/>
        <v>0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0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0</v>
      </c>
      <c r="X28" s="58">
        <f t="shared" si="3"/>
        <v>0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0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0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0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0</v>
      </c>
      <c r="AC28" s="58">
        <f t="shared" si="4"/>
        <v>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 t="shared" si="5"/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 t="shared" si="6"/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 t="shared" si="7"/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 t="shared" si="8"/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 t="shared" si="9"/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 t="shared" si="10"/>
        <v>0</v>
      </c>
    </row>
    <row r="29" spans="2:61" x14ac:dyDescent="0.25">
      <c r="C29" s="53" t="s">
        <v>568</v>
      </c>
      <c r="D29" s="54" t="s">
        <v>569</v>
      </c>
      <c r="E29" s="59">
        <f>IFERROR(E5+E6+E11+E16+E17+E21+E22+E23+E24+E27+E28,"")</f>
        <v>0</v>
      </c>
      <c r="F29" s="59">
        <f>IFERROR(F5+F6+F11+F16+F17+F21+F22+F23+F24+F27+F28,"")</f>
        <v>0</v>
      </c>
      <c r="G29" s="59">
        <f>IFERROR(G5+G6+G11+G16+G17+G21+G22+G23+G24+G27+G28,"")</f>
        <v>0</v>
      </c>
      <c r="H29" s="59">
        <f>IFERROR(H5+H6+H11+H16+H17+H21+H22+H23+H24+H27+H28,"")</f>
        <v>0</v>
      </c>
      <c r="I29" s="60">
        <f t="shared" si="0"/>
        <v>0</v>
      </c>
      <c r="J29" s="59">
        <f>IFERROR(J5+J6+J11+J16+J17+J21+J22+J23+J24+J27+J28,"")</f>
        <v>0</v>
      </c>
      <c r="K29" s="59">
        <f>IFERROR(K5+K6+K11+K16+K17+K21+K22+K23+K24+K27+K28,"")</f>
        <v>0</v>
      </c>
      <c r="L29" s="59">
        <f>IFERROR(L5+L6+L11+L16+L17+L21+L22+L23+L24+L27+L28,"")</f>
        <v>0</v>
      </c>
      <c r="M29" s="59">
        <f>IFERROR(M5+M6+M11+M16+M17+M21+M22+M23+M24+M27+M28,"")</f>
        <v>0</v>
      </c>
      <c r="N29" s="60">
        <f t="shared" si="1"/>
        <v>0</v>
      </c>
      <c r="O29" s="59">
        <f>IFERROR(O5+O6+O11+O16+O17+O21+O22+O23+O24+O27+O28,"")</f>
        <v>0</v>
      </c>
      <c r="P29" s="59">
        <f>IFERROR(P5+P6+P11+P16+P17+P21+P22+P23+P24+P27+P28,"")</f>
        <v>0</v>
      </c>
      <c r="Q29" s="59">
        <f>IFERROR(Q5+Q6+Q11+Q16+Q17+Q21+Q22+Q23+Q24+Q27+Q28,"")</f>
        <v>0</v>
      </c>
      <c r="R29" s="59">
        <f>IFERROR(R5+R6+R11+R16+R17+R21+R22+R23+R24+R27+R28,"")</f>
        <v>0</v>
      </c>
      <c r="S29" s="60">
        <f t="shared" si="2"/>
        <v>0</v>
      </c>
      <c r="T29" s="59">
        <f>IFERROR(T5+T6+T11+T16+T17+T21+T22+T23+T24+T27+T28,"")</f>
        <v>0</v>
      </c>
      <c r="U29" s="59">
        <f>IFERROR(U5+U6+U11+U16+U17+U21+U22+U23+U24+U27+U28,"")</f>
        <v>0</v>
      </c>
      <c r="V29" s="59">
        <f>IFERROR(V5+V6+V11+V16+V17+V21+V22+V23+V24+V27+V28,"")</f>
        <v>0</v>
      </c>
      <c r="W29" s="59">
        <f>IFERROR(W5+W6+W11+W16+W17+W21+W22+W23+W24+W27+W28,"")</f>
        <v>0</v>
      </c>
      <c r="X29" s="60">
        <f t="shared" si="3"/>
        <v>0</v>
      </c>
      <c r="Y29" s="59">
        <f>IFERROR(Y5+Y6+Y11+Y16+Y17+Y21+Y22+Y23+Y24+Y27+Y28,"")</f>
        <v>0</v>
      </c>
      <c r="Z29" s="59">
        <f>IFERROR(Z5+Z6+Z11+Z16+Z17+Z21+Z22+Z23+Z24+Z27+Z28,"")</f>
        <v>0</v>
      </c>
      <c r="AA29" s="59">
        <f>IFERROR(AA5+AA6+AA11+AA16+AA17+AA21+AA22+AA23+AA24+AA27+AA28,"")</f>
        <v>0</v>
      </c>
      <c r="AB29" s="59">
        <f>IFERROR(AB5+AB6+AB11+AB16+AB17+AB21+AB22+AB23+AB24+AB27+AB28,"")</f>
        <v>0</v>
      </c>
      <c r="AC29" s="60">
        <f t="shared" si="4"/>
        <v>0</v>
      </c>
      <c r="AD29" s="59">
        <f>IFERROR(AD5+AD6+AD11+AD16+AD17+AD21+AD22+AD23+AD24+AD27+AD28,"")</f>
        <v>0</v>
      </c>
      <c r="AE29" s="59">
        <f>IFERROR(AE5+AE6+AE11+AE16+AE17+AE21+AE22+AE23+AE24+AE27+AE28,"")</f>
        <v>0</v>
      </c>
      <c r="AF29" s="59">
        <f>IFERROR(AF5+AF6+AF11+AF16+AF17+AF21+AF22+AF23+AF24+AF27+AF28,"")</f>
        <v>0</v>
      </c>
      <c r="AG29" s="59">
        <f>IFERROR(AG5+AG6+AG11+AG16+AG17+AG21+AG22+AG23+AG24+AG27+AG28,"")</f>
        <v>0</v>
      </c>
      <c r="AH29" s="60">
        <f t="shared" si="5"/>
        <v>0</v>
      </c>
      <c r="AI29" s="59">
        <f>IFERROR(AI5+AI6+AI11+AI16+AI17+AI21+AI22+AI23+AI24+AI27+AI28,"")</f>
        <v>0</v>
      </c>
      <c r="AJ29" s="59">
        <f>IFERROR(AJ5+AJ6+AJ11+AJ16+AJ17+AJ21+AJ22+AJ23+AJ24+AJ27+AJ28,"")</f>
        <v>0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 t="shared" si="6"/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 t="shared" si="7"/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 t="shared" si="8"/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 t="shared" si="9"/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 t="shared" si="10"/>
        <v>0</v>
      </c>
    </row>
    <row r="31" spans="2:61" x14ac:dyDescent="0.25">
      <c r="B31" s="7"/>
      <c r="C31" s="7" t="s">
        <v>89</v>
      </c>
      <c r="D31" s="7" t="s">
        <v>570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2:61" x14ac:dyDescent="0.25">
      <c r="C32" s="15" t="s">
        <v>571</v>
      </c>
      <c r="D32" s="16" t="s">
        <v>572</v>
      </c>
      <c r="E32" s="59">
        <f>IFERROR(E33+E34+E35+E36+E37,"")</f>
        <v>0</v>
      </c>
      <c r="F32" s="59">
        <f>IFERROR(F33+F34+F35+F36+F37,"")</f>
        <v>0</v>
      </c>
      <c r="G32" s="59">
        <f>IFERROR(G33+G34+G35+G36+G37,"")</f>
        <v>0</v>
      </c>
      <c r="H32" s="59">
        <f>IFERROR(H33+H34+H35+H36+H37,"")</f>
        <v>0</v>
      </c>
      <c r="I32" s="60">
        <f t="shared" ref="I32:I56" si="11">H32</f>
        <v>0</v>
      </c>
      <c r="J32" s="59">
        <f>IFERROR(J33+J34+J35+J36+J37,"")</f>
        <v>0</v>
      </c>
      <c r="K32" s="59">
        <f>IFERROR(K33+K34+K35+K36+K37,"")</f>
        <v>0</v>
      </c>
      <c r="L32" s="59">
        <f>IFERROR(L33+L34+L35+L36+L37,"")</f>
        <v>0</v>
      </c>
      <c r="M32" s="59">
        <f>IFERROR(M33+M34+M35+M36+M37,"")</f>
        <v>0</v>
      </c>
      <c r="N32" s="60">
        <f t="shared" ref="N32:N56" si="12">M32</f>
        <v>0</v>
      </c>
      <c r="O32" s="59">
        <f>IFERROR(O33+O34+O35+O36+O37,"")</f>
        <v>0</v>
      </c>
      <c r="P32" s="59">
        <f>IFERROR(P33+P34+P35+P36+P37,"")</f>
        <v>0</v>
      </c>
      <c r="Q32" s="59">
        <f>IFERROR(Q33+Q34+Q35+Q36+Q37,"")</f>
        <v>0</v>
      </c>
      <c r="R32" s="59">
        <f>IFERROR(R33+R34+R35+R36+R37,"")</f>
        <v>0</v>
      </c>
      <c r="S32" s="60">
        <f t="shared" ref="S32:S56" si="13">R32</f>
        <v>0</v>
      </c>
      <c r="T32" s="59">
        <f>IFERROR(T33+T34+T35+T36+T37,"")</f>
        <v>0</v>
      </c>
      <c r="U32" s="59">
        <f>IFERROR(U33+U34+U35+U36+U37,"")</f>
        <v>0</v>
      </c>
      <c r="V32" s="59">
        <f>IFERROR(V33+V34+V35+V36+V37,"")</f>
        <v>0</v>
      </c>
      <c r="W32" s="59">
        <f>IFERROR(W33+W34+W35+W36+W37,"")</f>
        <v>0</v>
      </c>
      <c r="X32" s="60">
        <f t="shared" ref="X32:X56" si="14">W32</f>
        <v>0</v>
      </c>
      <c r="Y32" s="59">
        <f>IFERROR(Y33+Y34+Y35+Y36+Y37,"")</f>
        <v>0</v>
      </c>
      <c r="Z32" s="59">
        <f>IFERROR(Z33+Z34+Z35+Z36+Z37,"")</f>
        <v>0</v>
      </c>
      <c r="AA32" s="59">
        <f>IFERROR(AA33+AA34+AA35+AA36+AA37,"")</f>
        <v>0</v>
      </c>
      <c r="AB32" s="59">
        <f>IFERROR(AB33+AB34+AB35+AB36+AB37,"")</f>
        <v>0</v>
      </c>
      <c r="AC32" s="60">
        <f t="shared" ref="AC32:AC56" si="15">AB32</f>
        <v>0</v>
      </c>
      <c r="AD32" s="59">
        <f>IFERROR(AD33+AD34+AD35+AD36+AD37,"")</f>
        <v>0</v>
      </c>
      <c r="AE32" s="59">
        <f>IFERROR(AE33+AE34+AE35+AE36+AE37,"")</f>
        <v>0</v>
      </c>
      <c r="AF32" s="59">
        <f>IFERROR(AF33+AF34+AF35+AF36+AF37,"")</f>
        <v>0</v>
      </c>
      <c r="AG32" s="59">
        <f>IFERROR(AG33+AG34+AG35+AG36+AG37,"")</f>
        <v>0</v>
      </c>
      <c r="AH32" s="60">
        <f t="shared" ref="AH32:AH56" si="16">AG32</f>
        <v>0</v>
      </c>
      <c r="AI32" s="59">
        <f>IFERROR(AI33+AI34+AI35+AI36+AI37,"")</f>
        <v>0</v>
      </c>
      <c r="AJ32" s="59">
        <f>IFERROR(AJ33+AJ34+AJ35+AJ36+AJ37,"")</f>
        <v>0</v>
      </c>
      <c r="AK32" s="59">
        <f>IFERROR(AK33+AK34+AK35+AK36+AK37,"")</f>
        <v>0</v>
      </c>
      <c r="AL32" s="59">
        <f>IFERROR(AL33+AL34+AL35+AL36+AL37,"")</f>
        <v>0</v>
      </c>
      <c r="AM32" s="60">
        <f t="shared" ref="AM32:AM56" si="17"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 t="shared" ref="AR32:AR56" si="18"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 t="shared" ref="AW32:AW56" si="19"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 t="shared" ref="BB32:BB56" si="20"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 t="shared" ref="BG32:BG56" si="21">BF32</f>
        <v>0</v>
      </c>
    </row>
    <row r="33" spans="2:59" hidden="1" outlineLevel="1" x14ac:dyDescent="0.25">
      <c r="B33" s="56" t="s">
        <v>90</v>
      </c>
      <c r="C33" s="61" t="s">
        <v>91</v>
      </c>
      <c r="D33" s="62" t="s">
        <v>573</v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 t="shared" si="11"/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0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0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0</v>
      </c>
      <c r="N33" s="58">
        <f t="shared" si="12"/>
        <v>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0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0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0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0</v>
      </c>
      <c r="S33" s="58">
        <f t="shared" si="13"/>
        <v>0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0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0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0</v>
      </c>
      <c r="X33" s="58">
        <f t="shared" si="14"/>
        <v>0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0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0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0</v>
      </c>
      <c r="AC33" s="58">
        <f t="shared" si="15"/>
        <v>0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0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0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0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0</v>
      </c>
      <c r="AH33" s="58">
        <f t="shared" si="16"/>
        <v>0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0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0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 t="shared" si="17"/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 t="shared" si="18"/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 t="shared" si="19"/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 t="shared" si="20"/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 t="shared" si="21"/>
        <v>0</v>
      </c>
    </row>
    <row r="34" spans="2:59" hidden="1" outlineLevel="1" x14ac:dyDescent="0.25">
      <c r="B34" s="56" t="s">
        <v>92</v>
      </c>
      <c r="C34" s="61" t="s">
        <v>93</v>
      </c>
      <c r="D34" s="62" t="s">
        <v>574</v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 t="shared" si="11"/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 t="shared" si="12"/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 t="shared" si="13"/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 t="shared" si="14"/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 t="shared" si="15"/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 t="shared" si="16"/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 t="shared" si="17"/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 t="shared" si="18"/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 t="shared" si="19"/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 t="shared" si="20"/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 t="shared" si="21"/>
        <v>0</v>
      </c>
    </row>
    <row r="35" spans="2:59" hidden="1" outlineLevel="1" x14ac:dyDescent="0.25">
      <c r="B35" s="56" t="s">
        <v>94</v>
      </c>
      <c r="C35" s="61" t="s">
        <v>95</v>
      </c>
      <c r="D35" s="62" t="s">
        <v>549</v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 t="shared" si="11"/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 t="shared" si="12"/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 t="shared" si="13"/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 t="shared" si="14"/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0</v>
      </c>
      <c r="AC35" s="58">
        <f t="shared" si="15"/>
        <v>0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0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0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0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0</v>
      </c>
      <c r="AH35" s="58">
        <f t="shared" si="16"/>
        <v>0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0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0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 t="shared" si="17"/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 t="shared" si="18"/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 t="shared" si="19"/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 t="shared" si="20"/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 t="shared" si="21"/>
        <v>0</v>
      </c>
    </row>
    <row r="36" spans="2:59" hidden="1" outlineLevel="1" x14ac:dyDescent="0.25">
      <c r="B36" s="56" t="s">
        <v>96</v>
      </c>
      <c r="C36" s="61" t="s">
        <v>97</v>
      </c>
      <c r="D36" s="62" t="s">
        <v>575</v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0</v>
      </c>
      <c r="I36" s="58">
        <f t="shared" si="11"/>
        <v>0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0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0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0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0</v>
      </c>
      <c r="N36" s="58">
        <f t="shared" si="12"/>
        <v>0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0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0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0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0</v>
      </c>
      <c r="S36" s="58">
        <f t="shared" si="13"/>
        <v>0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0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0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0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0</v>
      </c>
      <c r="X36" s="58">
        <f t="shared" si="14"/>
        <v>0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0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0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0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0</v>
      </c>
      <c r="AC36" s="58">
        <f t="shared" si="15"/>
        <v>0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0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0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0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0</v>
      </c>
      <c r="AH36" s="58">
        <f t="shared" si="16"/>
        <v>0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0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0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 t="shared" si="17"/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 t="shared" si="18"/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 t="shared" si="19"/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 t="shared" si="20"/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 t="shared" si="21"/>
        <v>0</v>
      </c>
    </row>
    <row r="37" spans="2:59" hidden="1" outlineLevel="1" x14ac:dyDescent="0.25">
      <c r="B37" s="56" t="s">
        <v>98</v>
      </c>
      <c r="C37" s="61" t="s">
        <v>99</v>
      </c>
      <c r="D37" s="62" t="s">
        <v>576</v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 t="shared" si="11"/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 t="shared" si="12"/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 t="shared" si="13"/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 t="shared" si="14"/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 t="shared" si="15"/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 t="shared" si="16"/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 t="shared" si="17"/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 t="shared" si="18"/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 t="shared" si="19"/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 t="shared" si="20"/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 t="shared" si="21"/>
        <v>0</v>
      </c>
    </row>
    <row r="38" spans="2:59" x14ac:dyDescent="0.25">
      <c r="C38" s="15" t="s">
        <v>577</v>
      </c>
      <c r="D38" s="16" t="s">
        <v>578</v>
      </c>
      <c r="E38" s="59">
        <f>IFERROR(E39+E40+E41,"")</f>
        <v>0</v>
      </c>
      <c r="F38" s="59">
        <f>IFERROR(F39+F40+F41,"")</f>
        <v>0</v>
      </c>
      <c r="G38" s="59">
        <f>IFERROR(G39+G40+G41,"")</f>
        <v>0</v>
      </c>
      <c r="H38" s="59">
        <f>IFERROR(H39+H40+H41,"")</f>
        <v>0</v>
      </c>
      <c r="I38" s="60">
        <f t="shared" si="11"/>
        <v>0</v>
      </c>
      <c r="J38" s="59">
        <f>IFERROR(J39+J40+J41,"")</f>
        <v>0</v>
      </c>
      <c r="K38" s="59">
        <f>IFERROR(K39+K40+K41,"")</f>
        <v>0</v>
      </c>
      <c r="L38" s="59">
        <f>IFERROR(L39+L40+L41,"")</f>
        <v>0</v>
      </c>
      <c r="M38" s="59">
        <f>IFERROR(M39+M40+M41,"")</f>
        <v>0</v>
      </c>
      <c r="N38" s="60">
        <f t="shared" si="12"/>
        <v>0</v>
      </c>
      <c r="O38" s="59">
        <f>IFERROR(O39+O40+O41,"")</f>
        <v>0</v>
      </c>
      <c r="P38" s="59">
        <f>IFERROR(P39+P40+P41,"")</f>
        <v>0</v>
      </c>
      <c r="Q38" s="59">
        <f>IFERROR(Q39+Q40+Q41,"")</f>
        <v>0</v>
      </c>
      <c r="R38" s="59">
        <f>IFERROR(R39+R40+R41,"")</f>
        <v>0</v>
      </c>
      <c r="S38" s="60">
        <f t="shared" si="13"/>
        <v>0</v>
      </c>
      <c r="T38" s="59">
        <f>IFERROR(T39+T40+T41,"")</f>
        <v>0</v>
      </c>
      <c r="U38" s="59">
        <f>IFERROR(U39+U40+U41,"")</f>
        <v>0</v>
      </c>
      <c r="V38" s="59">
        <f>IFERROR(V39+V40+V41,"")</f>
        <v>0</v>
      </c>
      <c r="W38" s="59">
        <f>IFERROR(W39+W40+W41,"")</f>
        <v>0</v>
      </c>
      <c r="X38" s="60">
        <f t="shared" si="14"/>
        <v>0</v>
      </c>
      <c r="Y38" s="59">
        <f>IFERROR(Y39+Y40+Y41,"")</f>
        <v>0</v>
      </c>
      <c r="Z38" s="59">
        <f>IFERROR(Z39+Z40+Z41,"")</f>
        <v>0</v>
      </c>
      <c r="AA38" s="59">
        <f>IFERROR(AA39+AA40+AA41,"")</f>
        <v>0</v>
      </c>
      <c r="AB38" s="59">
        <f>IFERROR(AB39+AB40+AB41,"")</f>
        <v>0</v>
      </c>
      <c r="AC38" s="60">
        <f t="shared" si="15"/>
        <v>0</v>
      </c>
      <c r="AD38" s="59">
        <f>IFERROR(AD39+AD40+AD41,"")</f>
        <v>0</v>
      </c>
      <c r="AE38" s="59">
        <f>IFERROR(AE39+AE40+AE41,"")</f>
        <v>0</v>
      </c>
      <c r="AF38" s="59">
        <f>IFERROR(AF39+AF40+AF41,"")</f>
        <v>0</v>
      </c>
      <c r="AG38" s="59">
        <f>IFERROR(AG39+AG40+AG41,"")</f>
        <v>0</v>
      </c>
      <c r="AH38" s="60">
        <f t="shared" si="16"/>
        <v>0</v>
      </c>
      <c r="AI38" s="59">
        <f>IFERROR(AI39+AI40+AI41,"")</f>
        <v>0</v>
      </c>
      <c r="AJ38" s="59">
        <f>IFERROR(AJ39+AJ40+AJ41,"")</f>
        <v>0</v>
      </c>
      <c r="AK38" s="59">
        <f>IFERROR(AK39+AK40+AK41,"")</f>
        <v>0</v>
      </c>
      <c r="AL38" s="59">
        <f>IFERROR(AL39+AL40+AL41,"")</f>
        <v>0</v>
      </c>
      <c r="AM38" s="60">
        <f t="shared" si="17"/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 t="shared" si="18"/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 t="shared" si="19"/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 t="shared" si="20"/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 t="shared" si="21"/>
        <v>0</v>
      </c>
    </row>
    <row r="39" spans="2:59" hidden="1" outlineLevel="1" x14ac:dyDescent="0.25">
      <c r="B39" s="56" t="s">
        <v>100</v>
      </c>
      <c r="C39" s="61" t="s">
        <v>101</v>
      </c>
      <c r="D39" s="62" t="s">
        <v>553</v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0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0</v>
      </c>
      <c r="I39" s="58">
        <f t="shared" si="11"/>
        <v>0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0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0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0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0</v>
      </c>
      <c r="N39" s="58">
        <f t="shared" si="12"/>
        <v>0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0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0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0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0</v>
      </c>
      <c r="S39" s="58">
        <f t="shared" si="13"/>
        <v>0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0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0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0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0</v>
      </c>
      <c r="X39" s="58">
        <f t="shared" si="14"/>
        <v>0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0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0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0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0</v>
      </c>
      <c r="AC39" s="58">
        <f t="shared" si="15"/>
        <v>0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0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0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0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0</v>
      </c>
      <c r="AH39" s="58">
        <f t="shared" si="16"/>
        <v>0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0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0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 t="shared" si="17"/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 t="shared" si="18"/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 t="shared" si="19"/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 t="shared" si="20"/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 t="shared" si="21"/>
        <v>0</v>
      </c>
    </row>
    <row r="40" spans="2:59" hidden="1" outlineLevel="1" x14ac:dyDescent="0.25">
      <c r="B40" s="56" t="s">
        <v>102</v>
      </c>
      <c r="C40" s="61" t="s">
        <v>103</v>
      </c>
      <c r="D40" s="62" t="s">
        <v>579</v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 t="shared" si="11"/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 t="shared" si="12"/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 t="shared" si="13"/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 t="shared" si="14"/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 t="shared" si="15"/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 t="shared" si="16"/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 t="shared" si="17"/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 t="shared" si="18"/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 t="shared" si="19"/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 t="shared" si="20"/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 t="shared" si="21"/>
        <v>0</v>
      </c>
    </row>
    <row r="41" spans="2:59" hidden="1" outlineLevel="1" x14ac:dyDescent="0.25">
      <c r="B41" s="56" t="s">
        <v>104</v>
      </c>
      <c r="C41" s="61" t="s">
        <v>105</v>
      </c>
      <c r="D41" s="62" t="s">
        <v>580</v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 t="shared" si="11"/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 t="shared" si="12"/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 t="shared" si="13"/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 t="shared" si="14"/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 t="shared" si="15"/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 t="shared" si="16"/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 t="shared" si="17"/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 t="shared" si="18"/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 t="shared" si="19"/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 t="shared" si="20"/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 t="shared" si="21"/>
        <v>0</v>
      </c>
    </row>
    <row r="42" spans="2:59" x14ac:dyDescent="0.25">
      <c r="C42" s="15" t="s">
        <v>581</v>
      </c>
      <c r="D42" s="16" t="s">
        <v>582</v>
      </c>
      <c r="E42" s="59">
        <f>IFERROR(E43+E44+E45+E46,"")</f>
        <v>0</v>
      </c>
      <c r="F42" s="59">
        <f>IFERROR(F43+F44+F45+F46,"")</f>
        <v>0</v>
      </c>
      <c r="G42" s="59">
        <f>IFERROR(G43+G44+G45+G46,"")</f>
        <v>0</v>
      </c>
      <c r="H42" s="59">
        <f>IFERROR(H43+H44+H45+H46,"")</f>
        <v>0</v>
      </c>
      <c r="I42" s="60">
        <f t="shared" si="11"/>
        <v>0</v>
      </c>
      <c r="J42" s="59">
        <f>IFERROR(J43+J44+J45+J46,"")</f>
        <v>0</v>
      </c>
      <c r="K42" s="59">
        <f>IFERROR(K43+K44+K45+K46,"")</f>
        <v>0</v>
      </c>
      <c r="L42" s="59">
        <f>IFERROR(L43+L44+L45+L46,"")</f>
        <v>0</v>
      </c>
      <c r="M42" s="59">
        <f>IFERROR(M43+M44+M45+M46,"")</f>
        <v>0</v>
      </c>
      <c r="N42" s="60">
        <f t="shared" si="12"/>
        <v>0</v>
      </c>
      <c r="O42" s="59">
        <f>IFERROR(O43+O44+O45+O46,"")</f>
        <v>0</v>
      </c>
      <c r="P42" s="59">
        <f>IFERROR(P43+P44+P45+P46,"")</f>
        <v>0</v>
      </c>
      <c r="Q42" s="59">
        <f>IFERROR(Q43+Q44+Q45+Q46,"")</f>
        <v>0</v>
      </c>
      <c r="R42" s="59">
        <f>IFERROR(R43+R44+R45+R46,"")</f>
        <v>0</v>
      </c>
      <c r="S42" s="60">
        <f t="shared" si="13"/>
        <v>0</v>
      </c>
      <c r="T42" s="59">
        <f>IFERROR(T43+T44+T45+T46,"")</f>
        <v>0</v>
      </c>
      <c r="U42" s="59">
        <f>IFERROR(U43+U44+U45+U46,"")</f>
        <v>0</v>
      </c>
      <c r="V42" s="59">
        <f>IFERROR(V43+V44+V45+V46,"")</f>
        <v>0</v>
      </c>
      <c r="W42" s="59">
        <f>IFERROR(W43+W44+W45+W46,"")</f>
        <v>0</v>
      </c>
      <c r="X42" s="60">
        <f t="shared" si="14"/>
        <v>0</v>
      </c>
      <c r="Y42" s="59">
        <f>IFERROR(Y43+Y44+Y45+Y46,"")</f>
        <v>0</v>
      </c>
      <c r="Z42" s="59">
        <f>IFERROR(Z43+Z44+Z45+Z46,"")</f>
        <v>0</v>
      </c>
      <c r="AA42" s="59">
        <f>IFERROR(AA43+AA44+AA45+AA46,"")</f>
        <v>0</v>
      </c>
      <c r="AB42" s="59">
        <f>IFERROR(AB43+AB44+AB45+AB46,"")</f>
        <v>0</v>
      </c>
      <c r="AC42" s="60">
        <f t="shared" si="15"/>
        <v>0</v>
      </c>
      <c r="AD42" s="59">
        <f>IFERROR(AD43+AD44+AD45+AD46,"")</f>
        <v>0</v>
      </c>
      <c r="AE42" s="59">
        <f>IFERROR(AE43+AE44+AE45+AE46,"")</f>
        <v>0</v>
      </c>
      <c r="AF42" s="59">
        <f>IFERROR(AF43+AF44+AF45+AF46,"")</f>
        <v>0</v>
      </c>
      <c r="AG42" s="59">
        <f>IFERROR(AG43+AG44+AG45+AG46,"")</f>
        <v>0</v>
      </c>
      <c r="AH42" s="60">
        <f t="shared" si="16"/>
        <v>0</v>
      </c>
      <c r="AI42" s="59">
        <f>IFERROR(AI43+AI44+AI45+AI46,"")</f>
        <v>0</v>
      </c>
      <c r="AJ42" s="59">
        <f>IFERROR(AJ43+AJ44+AJ45+AJ46,"")</f>
        <v>0</v>
      </c>
      <c r="AK42" s="59">
        <f>IFERROR(AK43+AK44+AK45+AK46,"")</f>
        <v>0</v>
      </c>
      <c r="AL42" s="59">
        <f>IFERROR(AL43+AL44+AL45+AL46,"")</f>
        <v>0</v>
      </c>
      <c r="AM42" s="60">
        <f t="shared" si="17"/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 t="shared" si="18"/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 t="shared" si="19"/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 t="shared" si="20"/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 t="shared" si="21"/>
        <v>0</v>
      </c>
    </row>
    <row r="43" spans="2:59" hidden="1" outlineLevel="1" x14ac:dyDescent="0.25">
      <c r="B43" s="56" t="s">
        <v>106</v>
      </c>
      <c r="C43" s="61" t="s">
        <v>107</v>
      </c>
      <c r="D43" s="62" t="s">
        <v>583</v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0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0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0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0</v>
      </c>
      <c r="I43" s="58">
        <f t="shared" si="11"/>
        <v>0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0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0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0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0</v>
      </c>
      <c r="N43" s="58">
        <f t="shared" si="12"/>
        <v>0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0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0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0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0</v>
      </c>
      <c r="S43" s="58">
        <f t="shared" si="13"/>
        <v>0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0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0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0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0</v>
      </c>
      <c r="X43" s="58">
        <f t="shared" si="14"/>
        <v>0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0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0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0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0</v>
      </c>
      <c r="AC43" s="58">
        <f t="shared" si="15"/>
        <v>0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0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0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0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0</v>
      </c>
      <c r="AH43" s="58">
        <f t="shared" si="16"/>
        <v>0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0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0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 t="shared" si="17"/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 t="shared" si="18"/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 t="shared" si="19"/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 t="shared" si="20"/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 t="shared" si="21"/>
        <v>0</v>
      </c>
    </row>
    <row r="44" spans="2:59" hidden="1" outlineLevel="1" x14ac:dyDescent="0.25">
      <c r="B44" s="56" t="s">
        <v>108</v>
      </c>
      <c r="C44" s="61" t="s">
        <v>109</v>
      </c>
      <c r="D44" s="62" t="s">
        <v>584</v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 t="shared" si="11"/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 t="shared" si="12"/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 t="shared" si="13"/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 t="shared" si="14"/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 t="shared" si="15"/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 t="shared" si="16"/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 t="shared" si="17"/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 t="shared" si="18"/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 t="shared" si="19"/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 t="shared" si="20"/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 t="shared" si="21"/>
        <v>0</v>
      </c>
    </row>
    <row r="45" spans="2:59" hidden="1" outlineLevel="1" x14ac:dyDescent="0.25">
      <c r="B45" s="56" t="s">
        <v>110</v>
      </c>
      <c r="C45" s="61" t="s">
        <v>111</v>
      </c>
      <c r="D45" s="62" t="s">
        <v>585</v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 t="shared" si="11"/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 t="shared" si="12"/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 t="shared" si="13"/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 t="shared" si="14"/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 t="shared" si="15"/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 t="shared" si="16"/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 t="shared" si="17"/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 t="shared" si="18"/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 t="shared" si="19"/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 t="shared" si="20"/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 t="shared" si="21"/>
        <v>0</v>
      </c>
    </row>
    <row r="46" spans="2:59" hidden="1" outlineLevel="1" x14ac:dyDescent="0.25">
      <c r="B46" s="56" t="s">
        <v>112</v>
      </c>
      <c r="C46" s="61" t="s">
        <v>113</v>
      </c>
      <c r="D46" s="62" t="s">
        <v>586</v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 t="shared" si="11"/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 t="shared" si="12"/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 t="shared" si="13"/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 t="shared" si="14"/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 t="shared" si="15"/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0</v>
      </c>
      <c r="AH46" s="58">
        <f t="shared" si="16"/>
        <v>0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0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0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 t="shared" si="17"/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 t="shared" si="18"/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 t="shared" si="19"/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 t="shared" si="20"/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 t="shared" si="21"/>
        <v>0</v>
      </c>
    </row>
    <row r="47" spans="2:59" x14ac:dyDescent="0.25">
      <c r="C47" s="15" t="s">
        <v>587</v>
      </c>
      <c r="D47" s="16" t="s">
        <v>588</v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 t="shared" si="11"/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 t="shared" si="12"/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 t="shared" si="13"/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 t="shared" si="14"/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0</v>
      </c>
      <c r="AC47" s="60">
        <f t="shared" si="15"/>
        <v>0</v>
      </c>
      <c r="AD47" s="59">
        <f>IFERROR(AD48+AD49,"")</f>
        <v>0</v>
      </c>
      <c r="AE47" s="59">
        <f>IFERROR(AE48+AE49,"")</f>
        <v>0</v>
      </c>
      <c r="AF47" s="59">
        <f>IFERROR(AF48+AF49,"")</f>
        <v>0</v>
      </c>
      <c r="AG47" s="59">
        <f>IFERROR(AG48+AG49,"")</f>
        <v>0</v>
      </c>
      <c r="AH47" s="60">
        <f t="shared" si="16"/>
        <v>0</v>
      </c>
      <c r="AI47" s="59">
        <f>IFERROR(AI48+AI49,"")</f>
        <v>0</v>
      </c>
      <c r="AJ47" s="59">
        <f>IFERROR(AJ48+AJ49,"")</f>
        <v>0</v>
      </c>
      <c r="AK47" s="59">
        <f>IFERROR(AK48+AK49,"")</f>
        <v>0</v>
      </c>
      <c r="AL47" s="59">
        <f>IFERROR(AL48+AL49,"")</f>
        <v>0</v>
      </c>
      <c r="AM47" s="60">
        <f t="shared" si="17"/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 t="shared" si="18"/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 t="shared" si="19"/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 t="shared" si="20"/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 t="shared" si="21"/>
        <v>0</v>
      </c>
    </row>
    <row r="48" spans="2:59" hidden="1" outlineLevel="1" x14ac:dyDescent="0.25">
      <c r="B48" s="56" t="s">
        <v>114</v>
      </c>
      <c r="C48" s="61" t="s">
        <v>115</v>
      </c>
      <c r="D48" s="62" t="s">
        <v>589</v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 t="shared" si="11"/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 t="shared" si="12"/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 t="shared" si="13"/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 t="shared" si="14"/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0</v>
      </c>
      <c r="AC48" s="58">
        <f t="shared" si="15"/>
        <v>0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0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0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0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0</v>
      </c>
      <c r="AH48" s="58">
        <f t="shared" si="16"/>
        <v>0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0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0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 t="shared" si="17"/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 t="shared" si="18"/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 t="shared" si="19"/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 t="shared" si="20"/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 t="shared" si="21"/>
        <v>0</v>
      </c>
    </row>
    <row r="49" spans="2:61" hidden="1" outlineLevel="1" x14ac:dyDescent="0.25">
      <c r="B49" s="56" t="s">
        <v>116</v>
      </c>
      <c r="C49" s="61" t="s">
        <v>117</v>
      </c>
      <c r="D49" s="62" t="s">
        <v>590</v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 t="shared" si="11"/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 t="shared" si="12"/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 t="shared" si="13"/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 t="shared" si="14"/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 t="shared" si="15"/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 t="shared" si="16"/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 t="shared" si="17"/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 t="shared" si="18"/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 t="shared" si="19"/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 t="shared" si="20"/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 t="shared" si="21"/>
        <v>0</v>
      </c>
    </row>
    <row r="50" spans="2:61" x14ac:dyDescent="0.25">
      <c r="B50" s="56" t="s">
        <v>118</v>
      </c>
      <c r="C50" s="11" t="s">
        <v>69</v>
      </c>
      <c r="D50" s="12" t="s">
        <v>555</v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 t="shared" si="11"/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0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0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0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0</v>
      </c>
      <c r="N50" s="58">
        <f t="shared" si="12"/>
        <v>0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0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0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0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0</v>
      </c>
      <c r="S50" s="58">
        <f t="shared" si="13"/>
        <v>0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0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0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0</v>
      </c>
      <c r="X50" s="58">
        <f t="shared" si="14"/>
        <v>0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0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0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0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0</v>
      </c>
      <c r="AC50" s="58">
        <f t="shared" si="15"/>
        <v>0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0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0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0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0</v>
      </c>
      <c r="AH50" s="58">
        <f t="shared" si="16"/>
        <v>0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0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0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 t="shared" si="17"/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 t="shared" si="18"/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 t="shared" si="19"/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 t="shared" si="20"/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 t="shared" si="21"/>
        <v>0</v>
      </c>
    </row>
    <row r="51" spans="2:61" x14ac:dyDescent="0.25">
      <c r="B51" s="56" t="s">
        <v>119</v>
      </c>
      <c r="C51" s="11" t="s">
        <v>76</v>
      </c>
      <c r="D51" s="12" t="s">
        <v>559</v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 t="shared" si="11"/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 t="shared" si="12"/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 t="shared" si="13"/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 t="shared" si="14"/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 t="shared" si="15"/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 t="shared" si="16"/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 t="shared" si="17"/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 t="shared" si="18"/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 t="shared" si="19"/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 t="shared" si="20"/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 t="shared" si="21"/>
        <v>0</v>
      </c>
    </row>
    <row r="52" spans="2:61" x14ac:dyDescent="0.25">
      <c r="B52" s="56" t="s">
        <v>120</v>
      </c>
      <c r="C52" s="11" t="s">
        <v>121</v>
      </c>
      <c r="D52" s="12" t="s">
        <v>591</v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 t="shared" si="11"/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 t="shared" si="12"/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 t="shared" si="13"/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 t="shared" si="14"/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 t="shared" si="15"/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 t="shared" si="16"/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 t="shared" si="17"/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 t="shared" si="18"/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 t="shared" si="19"/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 t="shared" si="20"/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 t="shared" si="21"/>
        <v>0</v>
      </c>
    </row>
    <row r="53" spans="2:61" x14ac:dyDescent="0.25">
      <c r="B53" s="56" t="s">
        <v>122</v>
      </c>
      <c r="C53" s="11" t="s">
        <v>123</v>
      </c>
      <c r="D53" s="12" t="s">
        <v>592</v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 t="shared" si="11"/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 t="shared" si="12"/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 t="shared" si="13"/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 t="shared" si="14"/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 t="shared" si="15"/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 t="shared" si="16"/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 t="shared" si="17"/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 t="shared" si="18"/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 t="shared" si="19"/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 t="shared" si="20"/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 t="shared" si="21"/>
        <v>0</v>
      </c>
    </row>
    <row r="54" spans="2:61" x14ac:dyDescent="0.25">
      <c r="B54" s="56" t="s">
        <v>124</v>
      </c>
      <c r="C54" s="11" t="s">
        <v>125</v>
      </c>
      <c r="D54" s="12" t="s">
        <v>593</v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 t="shared" si="11"/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 t="shared" si="12"/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 t="shared" si="13"/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 t="shared" si="14"/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 t="shared" si="15"/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 t="shared" si="16"/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 t="shared" si="17"/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 t="shared" si="18"/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 t="shared" si="19"/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 t="shared" si="20"/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 t="shared" si="21"/>
        <v>0</v>
      </c>
    </row>
    <row r="55" spans="2:61" x14ac:dyDescent="0.25">
      <c r="B55" s="56" t="s">
        <v>126</v>
      </c>
      <c r="C55" s="11" t="s">
        <v>127</v>
      </c>
      <c r="D55" s="12" t="s">
        <v>594</v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 t="shared" si="11"/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 t="shared" si="12"/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 t="shared" si="13"/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 t="shared" si="14"/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 t="shared" si="15"/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 t="shared" si="16"/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 t="shared" si="17"/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 t="shared" si="18"/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 t="shared" si="19"/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 t="shared" si="20"/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 t="shared" si="21"/>
        <v>0</v>
      </c>
    </row>
    <row r="56" spans="2:61" x14ac:dyDescent="0.25">
      <c r="B56" s="56" t="s">
        <v>128</v>
      </c>
      <c r="C56" s="11" t="s">
        <v>129</v>
      </c>
      <c r="D56" s="12" t="s">
        <v>595</v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0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0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0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0</v>
      </c>
      <c r="I56" s="58">
        <f t="shared" si="11"/>
        <v>0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0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0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0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0</v>
      </c>
      <c r="N56" s="58">
        <f t="shared" si="12"/>
        <v>0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0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0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0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0</v>
      </c>
      <c r="S56" s="58">
        <f t="shared" si="13"/>
        <v>0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0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0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0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0</v>
      </c>
      <c r="X56" s="58">
        <f t="shared" si="14"/>
        <v>0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0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0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0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0</v>
      </c>
      <c r="AC56" s="58">
        <f t="shared" si="15"/>
        <v>0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0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0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0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0</v>
      </c>
      <c r="AH56" s="58">
        <f t="shared" si="16"/>
        <v>0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0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0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 t="shared" si="17"/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 t="shared" si="18"/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 t="shared" si="19"/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 t="shared" si="20"/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 t="shared" si="21"/>
        <v>0</v>
      </c>
    </row>
    <row r="58" spans="2:61" x14ac:dyDescent="0.25">
      <c r="B58" s="7"/>
      <c r="C58" s="7" t="s">
        <v>130</v>
      </c>
      <c r="D58" s="7" t="s">
        <v>596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2:61" x14ac:dyDescent="0.25">
      <c r="C59" s="15" t="s">
        <v>597</v>
      </c>
      <c r="D59" s="16" t="s">
        <v>598</v>
      </c>
      <c r="E59" s="59">
        <f>IFERROR(E60+E61+E62+E63+E64,"")</f>
        <v>0</v>
      </c>
      <c r="F59" s="59">
        <f>IFERROR(F60+F61+F62+F63+F64,"")</f>
        <v>0</v>
      </c>
      <c r="G59" s="59">
        <f>IFERROR(G60+G61+G62+G63+G64,"")</f>
        <v>0</v>
      </c>
      <c r="H59" s="59">
        <f>IFERROR(H60+H61+H62+H63+H64,"")</f>
        <v>0</v>
      </c>
      <c r="I59" s="60">
        <f t="shared" ref="I59:I67" si="22">H59</f>
        <v>0</v>
      </c>
      <c r="J59" s="59">
        <f>IFERROR(J60+J61+J62+J63+J64,"")</f>
        <v>0</v>
      </c>
      <c r="K59" s="59">
        <f>IFERROR(K60+K61+K62+K63+K64,"")</f>
        <v>0</v>
      </c>
      <c r="L59" s="59">
        <f>IFERROR(L60+L61+L62+L63+L64,"")</f>
        <v>0</v>
      </c>
      <c r="M59" s="59">
        <f>IFERROR(M60+M61+M62+M63+M64,"")</f>
        <v>0</v>
      </c>
      <c r="N59" s="60">
        <f t="shared" ref="N59:N67" si="23">M59</f>
        <v>0</v>
      </c>
      <c r="O59" s="59">
        <f>IFERROR(O60+O61+O62+O63+O64,"")</f>
        <v>0</v>
      </c>
      <c r="P59" s="59">
        <f>IFERROR(P60+P61+P62+P63+P64,"")</f>
        <v>0</v>
      </c>
      <c r="Q59" s="59">
        <f>IFERROR(Q60+Q61+Q62+Q63+Q64,"")</f>
        <v>0</v>
      </c>
      <c r="R59" s="59">
        <f>IFERROR(R60+R61+R62+R63+R64,"")</f>
        <v>0</v>
      </c>
      <c r="S59" s="60">
        <f t="shared" ref="S59:S67" si="24">R59</f>
        <v>0</v>
      </c>
      <c r="T59" s="59">
        <f>IFERROR(T60+T61+T62+T63+T64,"")</f>
        <v>0</v>
      </c>
      <c r="U59" s="59">
        <f>IFERROR(U60+U61+U62+U63+U64,"")</f>
        <v>0</v>
      </c>
      <c r="V59" s="59">
        <f>IFERROR(V60+V61+V62+V63+V64,"")</f>
        <v>0</v>
      </c>
      <c r="W59" s="59">
        <f>IFERROR(W60+W61+W62+W63+W64,"")</f>
        <v>0</v>
      </c>
      <c r="X59" s="60">
        <f t="shared" ref="X59:X67" si="25">W59</f>
        <v>0</v>
      </c>
      <c r="Y59" s="59">
        <f>IFERROR(Y60+Y61+Y62+Y63+Y64,"")</f>
        <v>0</v>
      </c>
      <c r="Z59" s="59">
        <f>IFERROR(Z60+Z61+Z62+Z63+Z64,"")</f>
        <v>0</v>
      </c>
      <c r="AA59" s="59">
        <f>IFERROR(AA60+AA61+AA62+AA63+AA64,"")</f>
        <v>0</v>
      </c>
      <c r="AB59" s="59">
        <f>IFERROR(AB60+AB61+AB62+AB63+AB64,"")</f>
        <v>0</v>
      </c>
      <c r="AC59" s="60">
        <f t="shared" ref="AC59:AC67" si="26">AB59</f>
        <v>0</v>
      </c>
      <c r="AD59" s="59">
        <f>IFERROR(AD60+AD61+AD62+AD63+AD64,"")</f>
        <v>0</v>
      </c>
      <c r="AE59" s="59">
        <f>IFERROR(AE60+AE61+AE62+AE63+AE64,"")</f>
        <v>0</v>
      </c>
      <c r="AF59" s="59">
        <f>IFERROR(AF60+AF61+AF62+AF63+AF64,"")</f>
        <v>0</v>
      </c>
      <c r="AG59" s="59">
        <f>IFERROR(AG60+AG61+AG62+AG63+AG64,"")</f>
        <v>0</v>
      </c>
      <c r="AH59" s="60">
        <f t="shared" ref="AH59:AH67" si="27">AG59</f>
        <v>0</v>
      </c>
      <c r="AI59" s="59">
        <f>IFERROR(AI60+AI61+AI62+AI63+AI64,"")</f>
        <v>0</v>
      </c>
      <c r="AJ59" s="59">
        <f>IFERROR(AJ60+AJ61+AJ62+AJ63+AJ64,"")</f>
        <v>0</v>
      </c>
      <c r="AK59" s="59">
        <f>IFERROR(AK60+AK61+AK62+AK63+AK64,"")</f>
        <v>0</v>
      </c>
      <c r="AL59" s="59">
        <f>IFERROR(AL60+AL61+AL62+AL63+AL64,"")</f>
        <v>0</v>
      </c>
      <c r="AM59" s="60">
        <f t="shared" ref="AM59:AM67" si="28"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 t="shared" ref="AR59:AR67" si="29"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 t="shared" ref="AW59:AW67" si="30"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 t="shared" ref="BB59:BB67" si="31"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 t="shared" ref="BG59:BG67" si="32">BF59</f>
        <v>0</v>
      </c>
    </row>
    <row r="60" spans="2:61" hidden="1" outlineLevel="1" x14ac:dyDescent="0.25">
      <c r="B60" s="56" t="s">
        <v>131</v>
      </c>
      <c r="C60" s="61" t="s">
        <v>132</v>
      </c>
      <c r="D60" s="62" t="s">
        <v>599</v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 t="shared" si="22"/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 t="shared" si="23"/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 t="shared" si="24"/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 t="shared" si="25"/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 t="shared" si="26"/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 t="shared" si="27"/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 t="shared" si="28"/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 t="shared" si="29"/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 t="shared" si="30"/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 t="shared" si="31"/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 t="shared" si="32"/>
        <v>0</v>
      </c>
    </row>
    <row r="61" spans="2:61" hidden="1" outlineLevel="1" x14ac:dyDescent="0.25">
      <c r="B61" s="56" t="s">
        <v>133</v>
      </c>
      <c r="C61" s="61" t="s">
        <v>134</v>
      </c>
      <c r="D61" s="62" t="s">
        <v>600</v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 t="shared" si="22"/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 t="shared" si="23"/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 t="shared" si="24"/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 t="shared" si="25"/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 t="shared" si="26"/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 t="shared" si="27"/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 t="shared" si="28"/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 t="shared" si="29"/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 t="shared" si="30"/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 t="shared" si="31"/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 t="shared" si="32"/>
        <v>0</v>
      </c>
    </row>
    <row r="62" spans="2:61" hidden="1" outlineLevel="1" x14ac:dyDescent="0.25">
      <c r="B62" s="56" t="s">
        <v>135</v>
      </c>
      <c r="C62" s="61" t="s">
        <v>136</v>
      </c>
      <c r="D62" s="62" t="s">
        <v>601</v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0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0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0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0</v>
      </c>
      <c r="I62" s="58">
        <f t="shared" si="22"/>
        <v>0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0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0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0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0</v>
      </c>
      <c r="N62" s="58">
        <f t="shared" si="23"/>
        <v>0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0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0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0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0</v>
      </c>
      <c r="S62" s="58">
        <f t="shared" si="24"/>
        <v>0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0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0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0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0</v>
      </c>
      <c r="X62" s="58">
        <f t="shared" si="25"/>
        <v>0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0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0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0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0</v>
      </c>
      <c r="AC62" s="58">
        <f t="shared" si="26"/>
        <v>0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0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0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0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0</v>
      </c>
      <c r="AH62" s="58">
        <f t="shared" si="27"/>
        <v>0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0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0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 t="shared" si="28"/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 t="shared" si="29"/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 t="shared" si="30"/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 t="shared" si="31"/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 t="shared" si="32"/>
        <v>0</v>
      </c>
    </row>
    <row r="63" spans="2:61" hidden="1" outlineLevel="1" x14ac:dyDescent="0.25">
      <c r="B63" s="56" t="s">
        <v>137</v>
      </c>
      <c r="C63" s="61" t="s">
        <v>138</v>
      </c>
      <c r="D63" s="62" t="s">
        <v>602</v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 t="shared" si="22"/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 t="shared" si="23"/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 t="shared" si="24"/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 t="shared" si="25"/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 t="shared" si="26"/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 t="shared" si="27"/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 t="shared" si="28"/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 t="shared" si="29"/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 t="shared" si="30"/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 t="shared" si="31"/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 t="shared" si="32"/>
        <v>0</v>
      </c>
    </row>
    <row r="64" spans="2:61" hidden="1" outlineLevel="1" x14ac:dyDescent="0.25">
      <c r="B64" s="56" t="s">
        <v>139</v>
      </c>
      <c r="C64" s="61" t="s">
        <v>140</v>
      </c>
      <c r="D64" s="62" t="s">
        <v>603</v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 t="shared" si="22"/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 t="shared" si="23"/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 t="shared" si="24"/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 t="shared" si="25"/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 t="shared" si="26"/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 t="shared" si="27"/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 t="shared" si="28"/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 t="shared" si="29"/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 t="shared" si="30"/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 t="shared" si="31"/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 t="shared" si="32"/>
        <v>0</v>
      </c>
    </row>
    <row r="65" spans="2:61" x14ac:dyDescent="0.25">
      <c r="B65" s="56" t="s">
        <v>141</v>
      </c>
      <c r="C65" s="11" t="s">
        <v>142</v>
      </c>
      <c r="D65" s="12" t="s">
        <v>604</v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 t="shared" si="22"/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0</v>
      </c>
      <c r="N65" s="58">
        <f t="shared" si="23"/>
        <v>0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0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0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0</v>
      </c>
      <c r="S65" s="58">
        <f t="shared" si="24"/>
        <v>0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0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0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0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0</v>
      </c>
      <c r="X65" s="58">
        <f t="shared" si="25"/>
        <v>0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0</v>
      </c>
      <c r="AC65" s="58">
        <f t="shared" si="26"/>
        <v>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0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0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0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0</v>
      </c>
      <c r="AH65" s="58">
        <f t="shared" si="27"/>
        <v>0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0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 t="shared" si="28"/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 t="shared" si="29"/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 t="shared" si="30"/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 t="shared" si="31"/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 t="shared" si="32"/>
        <v>0</v>
      </c>
    </row>
    <row r="66" spans="2:61" x14ac:dyDescent="0.25">
      <c r="C66" s="53" t="s">
        <v>605</v>
      </c>
      <c r="D66" s="54" t="s">
        <v>606</v>
      </c>
      <c r="E66" s="59">
        <f>IFERROR(E59+E65,"")</f>
        <v>0</v>
      </c>
      <c r="F66" s="59">
        <f>IFERROR(F59+F65,"")</f>
        <v>0</v>
      </c>
      <c r="G66" s="59">
        <f>IFERROR(G59+G65,"")</f>
        <v>0</v>
      </c>
      <c r="H66" s="59">
        <f>IFERROR(H59+H65,"")</f>
        <v>0</v>
      </c>
      <c r="I66" s="60">
        <f t="shared" si="22"/>
        <v>0</v>
      </c>
      <c r="J66" s="59">
        <f>IFERROR(J59+J65,"")</f>
        <v>0</v>
      </c>
      <c r="K66" s="59">
        <f>IFERROR(K59+K65,"")</f>
        <v>0</v>
      </c>
      <c r="L66" s="59">
        <f>IFERROR(L59+L65,"")</f>
        <v>0</v>
      </c>
      <c r="M66" s="59">
        <f>IFERROR(M59+M65,"")</f>
        <v>0</v>
      </c>
      <c r="N66" s="60">
        <f t="shared" si="23"/>
        <v>0</v>
      </c>
      <c r="O66" s="59">
        <f>IFERROR(O59+O65,"")</f>
        <v>0</v>
      </c>
      <c r="P66" s="59">
        <f>IFERROR(P59+P65,"")</f>
        <v>0</v>
      </c>
      <c r="Q66" s="59">
        <f>IFERROR(Q59+Q65,"")</f>
        <v>0</v>
      </c>
      <c r="R66" s="59">
        <f>IFERROR(R59+R65,"")</f>
        <v>0</v>
      </c>
      <c r="S66" s="60">
        <f t="shared" si="24"/>
        <v>0</v>
      </c>
      <c r="T66" s="59">
        <f>IFERROR(T59+T65,"")</f>
        <v>0</v>
      </c>
      <c r="U66" s="59">
        <f>IFERROR(U59+U65,"")</f>
        <v>0</v>
      </c>
      <c r="V66" s="59">
        <f>IFERROR(V59+V65,"")</f>
        <v>0</v>
      </c>
      <c r="W66" s="59">
        <f>IFERROR(W59+W65,"")</f>
        <v>0</v>
      </c>
      <c r="X66" s="60">
        <f t="shared" si="25"/>
        <v>0</v>
      </c>
      <c r="Y66" s="59">
        <f>IFERROR(Y59+Y65,"")</f>
        <v>0</v>
      </c>
      <c r="Z66" s="59">
        <f>IFERROR(Z59+Z65,"")</f>
        <v>0</v>
      </c>
      <c r="AA66" s="59">
        <f>IFERROR(AA59+AA65,"")</f>
        <v>0</v>
      </c>
      <c r="AB66" s="59">
        <f>IFERROR(AB59+AB65,"")</f>
        <v>0</v>
      </c>
      <c r="AC66" s="60">
        <f t="shared" si="26"/>
        <v>0</v>
      </c>
      <c r="AD66" s="59">
        <f>IFERROR(AD59+AD65,"")</f>
        <v>0</v>
      </c>
      <c r="AE66" s="59">
        <f>IFERROR(AE59+AE65,"")</f>
        <v>0</v>
      </c>
      <c r="AF66" s="59">
        <f>IFERROR(AF59+AF65,"")</f>
        <v>0</v>
      </c>
      <c r="AG66" s="59">
        <f>IFERROR(AG59+AG65,"")</f>
        <v>0</v>
      </c>
      <c r="AH66" s="60">
        <f t="shared" si="27"/>
        <v>0</v>
      </c>
      <c r="AI66" s="59">
        <f>IFERROR(AI59+AI65,"")</f>
        <v>0</v>
      </c>
      <c r="AJ66" s="59">
        <f>IFERROR(AJ59+AJ65,"")</f>
        <v>0</v>
      </c>
      <c r="AK66" s="59">
        <f>IFERROR(AK59+AK65,"")</f>
        <v>0</v>
      </c>
      <c r="AL66" s="59">
        <f>IFERROR(AL59+AL65,"")</f>
        <v>0</v>
      </c>
      <c r="AM66" s="60">
        <f t="shared" si="28"/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 t="shared" si="29"/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 t="shared" si="30"/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 t="shared" si="31"/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 t="shared" si="32"/>
        <v>0</v>
      </c>
    </row>
    <row r="67" spans="2:61" x14ac:dyDescent="0.25">
      <c r="C67" s="53" t="s">
        <v>607</v>
      </c>
      <c r="D67" s="54" t="s">
        <v>608</v>
      </c>
      <c r="E67" s="59">
        <f>IFERROR(E32+E38+E42+E47+E50+E51+E52+E53+E54+E55+E56+E66,"")</f>
        <v>0</v>
      </c>
      <c r="F67" s="59">
        <f>IFERROR(F32+F38+F42+F47+F50+F51+F52+F53+F54+F55+F56+F66,"")</f>
        <v>0</v>
      </c>
      <c r="G67" s="59">
        <f>IFERROR(G32+G38+G42+G47+G50+G51+G52+G53+G54+G55+G56+G66,"")</f>
        <v>0</v>
      </c>
      <c r="H67" s="59">
        <f>IFERROR(H32+H38+H42+H47+H50+H51+H52+H53+H54+H55+H56+H66,"")</f>
        <v>0</v>
      </c>
      <c r="I67" s="60">
        <f t="shared" si="22"/>
        <v>0</v>
      </c>
      <c r="J67" s="59">
        <f>IFERROR(J32+J38+J42+J47+J50+J51+J52+J53+J54+J55+J56+J66,"")</f>
        <v>0</v>
      </c>
      <c r="K67" s="59">
        <f>IFERROR(K32+K38+K42+K47+K50+K51+K52+K53+K54+K55+K56+K66,"")</f>
        <v>0</v>
      </c>
      <c r="L67" s="59">
        <f>IFERROR(L32+L38+L42+L47+L50+L51+L52+L53+L54+L55+L56+L66,"")</f>
        <v>0</v>
      </c>
      <c r="M67" s="59">
        <f>IFERROR(M32+M38+M42+M47+M50+M51+M52+M53+M54+M55+M56+M66,"")</f>
        <v>0</v>
      </c>
      <c r="N67" s="60">
        <f t="shared" si="23"/>
        <v>0</v>
      </c>
      <c r="O67" s="59">
        <f>IFERROR(O32+O38+O42+O47+O50+O51+O52+O53+O54+O55+O56+O66,"")</f>
        <v>0</v>
      </c>
      <c r="P67" s="59">
        <f>IFERROR(P32+P38+P42+P47+P50+P51+P52+P53+P54+P55+P56+P66,"")</f>
        <v>0</v>
      </c>
      <c r="Q67" s="59">
        <f>IFERROR(Q32+Q38+Q42+Q47+Q50+Q51+Q52+Q53+Q54+Q55+Q56+Q66,"")</f>
        <v>0</v>
      </c>
      <c r="R67" s="59">
        <f>IFERROR(R32+R38+R42+R47+R50+R51+R52+R53+R54+R55+R56+R66,"")</f>
        <v>0</v>
      </c>
      <c r="S67" s="60">
        <f t="shared" si="24"/>
        <v>0</v>
      </c>
      <c r="T67" s="59">
        <f>IFERROR(T32+T38+T42+T47+T50+T51+T52+T53+T54+T55+T56+T66,"")</f>
        <v>0</v>
      </c>
      <c r="U67" s="59">
        <f>IFERROR(U32+U38+U42+U47+U50+U51+U52+U53+U54+U55+U56+U66,"")</f>
        <v>0</v>
      </c>
      <c r="V67" s="59">
        <f>IFERROR(V32+V38+V42+V47+V50+V51+V52+V53+V54+V55+V56+V66,"")</f>
        <v>0</v>
      </c>
      <c r="W67" s="59">
        <f>IFERROR(W32+W38+W42+W47+W50+W51+W52+W53+W54+W55+W56+W66,"")</f>
        <v>0</v>
      </c>
      <c r="X67" s="60">
        <f t="shared" si="25"/>
        <v>0</v>
      </c>
      <c r="Y67" s="59">
        <f>IFERROR(Y32+Y38+Y42+Y47+Y50+Y51+Y52+Y53+Y54+Y55+Y56+Y66,"")</f>
        <v>0</v>
      </c>
      <c r="Z67" s="59">
        <f>IFERROR(Z32+Z38+Z42+Z47+Z50+Z51+Z52+Z53+Z54+Z55+Z56+Z66,"")</f>
        <v>0</v>
      </c>
      <c r="AA67" s="59">
        <f>IFERROR(AA32+AA38+AA42+AA47+AA50+AA51+AA52+AA53+AA54+AA55+AA56+AA66,"")</f>
        <v>0</v>
      </c>
      <c r="AB67" s="59">
        <f>IFERROR(AB32+AB38+AB42+AB47+AB50+AB51+AB52+AB53+AB54+AB55+AB56+AB66,"")</f>
        <v>0</v>
      </c>
      <c r="AC67" s="60">
        <f t="shared" si="26"/>
        <v>0</v>
      </c>
      <c r="AD67" s="59">
        <f>IFERROR(AD32+AD38+AD42+AD47+AD50+AD51+AD52+AD53+AD54+AD55+AD56+AD66,"")</f>
        <v>0</v>
      </c>
      <c r="AE67" s="59">
        <f>IFERROR(AE32+AE38+AE42+AE47+AE50+AE51+AE52+AE53+AE54+AE55+AE56+AE66,"")</f>
        <v>0</v>
      </c>
      <c r="AF67" s="59">
        <f>IFERROR(AF32+AF38+AF42+AF47+AF50+AF51+AF52+AF53+AF54+AF55+AF56+AF66,"")</f>
        <v>0</v>
      </c>
      <c r="AG67" s="59">
        <f>IFERROR(AG32+AG38+AG42+AG47+AG50+AG51+AG52+AG53+AG54+AG55+AG56+AG66,"")</f>
        <v>0</v>
      </c>
      <c r="AH67" s="60">
        <f t="shared" si="27"/>
        <v>0</v>
      </c>
      <c r="AI67" s="59">
        <f>IFERROR(AI32+AI38+AI42+AI47+AI50+AI51+AI52+AI53+AI54+AI55+AI56+AI66,"")</f>
        <v>0</v>
      </c>
      <c r="AJ67" s="59">
        <f>IFERROR(AJ32+AJ38+AJ42+AJ47+AJ50+AJ51+AJ52+AJ53+AJ54+AJ55+AJ56+AJ66,"")</f>
        <v>0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 t="shared" si="28"/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 t="shared" si="29"/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 t="shared" si="30"/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 t="shared" si="31"/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 t="shared" si="32"/>
        <v>0</v>
      </c>
    </row>
    <row r="69" spans="2:61" x14ac:dyDescent="0.25">
      <c r="B69" s="7"/>
      <c r="C69" s="7" t="s">
        <v>143</v>
      </c>
      <c r="D69" s="7" t="s">
        <v>609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2:61" x14ac:dyDescent="0.25">
      <c r="C70" s="15" t="s">
        <v>610</v>
      </c>
      <c r="D70" s="16" t="s">
        <v>611</v>
      </c>
      <c r="E70" s="59">
        <f>IFERROR(E71+E72+E73+E74,"")</f>
        <v>0</v>
      </c>
      <c r="F70" s="59">
        <f>IFERROR(F71+F72+F73+F74,"")</f>
        <v>0</v>
      </c>
      <c r="G70" s="59">
        <f>IFERROR(G71+G72+G73+G74,"")</f>
        <v>0</v>
      </c>
      <c r="H70" s="59">
        <f>IFERROR(H71+H72+H73+H74,"")</f>
        <v>0</v>
      </c>
      <c r="I70" s="60">
        <f t="shared" ref="I70:I106" si="33">SUM(E70:H70)</f>
        <v>0</v>
      </c>
      <c r="J70" s="59">
        <f>IFERROR(J71+J72+J73+J74,"")</f>
        <v>0</v>
      </c>
      <c r="K70" s="59">
        <f>IFERROR(K71+K72+K73+K74,"")</f>
        <v>0</v>
      </c>
      <c r="L70" s="59">
        <f>IFERROR(L71+L72+L73+L74,"")</f>
        <v>0</v>
      </c>
      <c r="M70" s="59">
        <f>IFERROR(M71+M72+M73+M74,"")</f>
        <v>0</v>
      </c>
      <c r="N70" s="60">
        <f t="shared" ref="N70:N106" si="34">SUM(J70:M70)</f>
        <v>0</v>
      </c>
      <c r="O70" s="59">
        <f>IFERROR(O71+O72+O73+O74,"")</f>
        <v>0</v>
      </c>
      <c r="P70" s="59">
        <f>IFERROR(P71+P72+P73+P74,"")</f>
        <v>0</v>
      </c>
      <c r="Q70" s="59">
        <f>IFERROR(Q71+Q72+Q73+Q74,"")</f>
        <v>0</v>
      </c>
      <c r="R70" s="59">
        <f>IFERROR(R71+R72+R73+R74,"")</f>
        <v>0</v>
      </c>
      <c r="S70" s="60">
        <f t="shared" ref="S70:S106" si="35">SUM(O70:R70)</f>
        <v>0</v>
      </c>
      <c r="T70" s="59">
        <f>IFERROR(T71+T72+T73+T74,"")</f>
        <v>0</v>
      </c>
      <c r="U70" s="59">
        <f>IFERROR(U71+U72+U73+U74,"")</f>
        <v>0</v>
      </c>
      <c r="V70" s="59">
        <f>IFERROR(V71+V72+V73+V74,"")</f>
        <v>0</v>
      </c>
      <c r="W70" s="59">
        <f>IFERROR(W71+W72+W73+W74,"")</f>
        <v>0</v>
      </c>
      <c r="X70" s="60">
        <f t="shared" ref="X70:X106" si="36">SUM(T70:W70)</f>
        <v>0</v>
      </c>
      <c r="Y70" s="59">
        <f>IFERROR(Y71+Y72+Y73+Y74,"")</f>
        <v>0</v>
      </c>
      <c r="Z70" s="59">
        <f>IFERROR(Z71+Z72+Z73+Z74,"")</f>
        <v>0</v>
      </c>
      <c r="AA70" s="59">
        <f>IFERROR(AA71+AA72+AA73+AA74,"")</f>
        <v>0</v>
      </c>
      <c r="AB70" s="59">
        <f>IFERROR(AB71+AB72+AB73+AB74,"")</f>
        <v>0</v>
      </c>
      <c r="AC70" s="60">
        <f t="shared" ref="AC70:AC106" si="37">SUM(Y70:AB70)</f>
        <v>0</v>
      </c>
      <c r="AD70" s="59">
        <f>IFERROR(AD71+AD72+AD73+AD74,"")</f>
        <v>0</v>
      </c>
      <c r="AE70" s="59">
        <f>IFERROR(AE71+AE72+AE73+AE74,"")</f>
        <v>0</v>
      </c>
      <c r="AF70" s="59">
        <f>IFERROR(AF71+AF72+AF73+AF74,"")</f>
        <v>0</v>
      </c>
      <c r="AG70" s="59">
        <f>IFERROR(AG71+AG72+AG73+AG74,"")</f>
        <v>0</v>
      </c>
      <c r="AH70" s="60">
        <f t="shared" ref="AH70:AH106" si="38">SUM(AD70:AG70)</f>
        <v>0</v>
      </c>
      <c r="AI70" s="59">
        <f>IFERROR(AI71+AI72+AI73+AI74,"")</f>
        <v>0</v>
      </c>
      <c r="AJ70" s="59">
        <f>IFERROR(AJ71+AJ72+AJ73+AJ74,"")</f>
        <v>0</v>
      </c>
      <c r="AK70" s="59">
        <f>IFERROR(AK71+AK72+AK73+AK74,"")</f>
        <v>0</v>
      </c>
      <c r="AL70" s="59">
        <f>IFERROR(AL71+AL72+AL73+AL74,"")</f>
        <v>0</v>
      </c>
      <c r="AM70" s="60">
        <f t="shared" ref="AM70:AM106" si="39">SUM(AI70:AL70)</f>
        <v>0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 t="shared" ref="AR70:AR106" si="40"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 t="shared" ref="AW70:AW106" si="41"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 t="shared" ref="BB70:BB106" si="42"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 t="shared" ref="BG70:BG106" si="43">SUM(BC70:BF70)</f>
        <v>0</v>
      </c>
    </row>
    <row r="71" spans="2:61" hidden="1" outlineLevel="1" x14ac:dyDescent="0.25">
      <c r="B71" s="56" t="s">
        <v>144</v>
      </c>
      <c r="C71" s="61" t="s">
        <v>145</v>
      </c>
      <c r="D71" s="62" t="s">
        <v>612</v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0</v>
      </c>
      <c r="F71" s="57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>0</v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0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0</v>
      </c>
      <c r="I71" s="58">
        <f t="shared" si="33"/>
        <v>0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0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0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0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0</v>
      </c>
      <c r="N71" s="58">
        <f t="shared" si="34"/>
        <v>0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0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0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0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0</v>
      </c>
      <c r="S71" s="58">
        <f t="shared" si="35"/>
        <v>0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0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0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0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0</v>
      </c>
      <c r="X71" s="58">
        <f t="shared" si="36"/>
        <v>0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0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0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0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0</v>
      </c>
      <c r="AC71" s="58">
        <f t="shared" si="37"/>
        <v>0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0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0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0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0</v>
      </c>
      <c r="AH71" s="58">
        <f t="shared" si="38"/>
        <v>0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0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0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 t="shared" si="39"/>
        <v>0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 t="shared" si="40"/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 t="shared" si="41"/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 t="shared" si="42"/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 t="shared" si="43"/>
        <v>0</v>
      </c>
    </row>
    <row r="72" spans="2:61" hidden="1" outlineLevel="1" x14ac:dyDescent="0.25">
      <c r="B72" s="56" t="s">
        <v>146</v>
      </c>
      <c r="C72" s="61" t="s">
        <v>147</v>
      </c>
      <c r="D72" s="62" t="s">
        <v>613</v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0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0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0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0</v>
      </c>
      <c r="I72" s="58">
        <f t="shared" si="33"/>
        <v>0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0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0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0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0</v>
      </c>
      <c r="N72" s="58">
        <f t="shared" si="34"/>
        <v>0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0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0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0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0</v>
      </c>
      <c r="S72" s="58">
        <f t="shared" si="35"/>
        <v>0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0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0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0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0</v>
      </c>
      <c r="X72" s="58">
        <f t="shared" si="36"/>
        <v>0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0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0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0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0</v>
      </c>
      <c r="AC72" s="58">
        <f t="shared" si="37"/>
        <v>0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0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0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0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0</v>
      </c>
      <c r="AH72" s="58">
        <f t="shared" si="38"/>
        <v>0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0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0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 t="shared" si="39"/>
        <v>0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 t="shared" si="40"/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 t="shared" si="41"/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 t="shared" si="42"/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 t="shared" si="43"/>
        <v>0</v>
      </c>
    </row>
    <row r="73" spans="2:61" hidden="1" outlineLevel="1" x14ac:dyDescent="0.25">
      <c r="B73" s="56" t="s">
        <v>148</v>
      </c>
      <c r="C73" s="61" t="s">
        <v>149</v>
      </c>
      <c r="D73" s="62" t="s">
        <v>614</v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 t="shared" si="33"/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 t="shared" si="34"/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 t="shared" si="35"/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 t="shared" si="36"/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 t="shared" si="37"/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 t="shared" si="38"/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 t="shared" si="39"/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 t="shared" si="40"/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 t="shared" si="41"/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 t="shared" si="42"/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 t="shared" si="43"/>
        <v>0</v>
      </c>
    </row>
    <row r="74" spans="2:61" hidden="1" outlineLevel="1" x14ac:dyDescent="0.25">
      <c r="B74" s="56" t="s">
        <v>150</v>
      </c>
      <c r="C74" s="61" t="s">
        <v>151</v>
      </c>
      <c r="D74" s="62" t="s">
        <v>615</v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 t="shared" si="33"/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 t="shared" si="34"/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 t="shared" si="35"/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 t="shared" si="36"/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 t="shared" si="37"/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0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0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0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0</v>
      </c>
      <c r="AH74" s="58">
        <f t="shared" si="38"/>
        <v>0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0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0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 t="shared" si="39"/>
        <v>0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 t="shared" si="40"/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 t="shared" si="41"/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 t="shared" si="42"/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 t="shared" si="43"/>
        <v>0</v>
      </c>
    </row>
    <row r="75" spans="2:61" x14ac:dyDescent="0.25">
      <c r="C75" s="15" t="s">
        <v>616</v>
      </c>
      <c r="D75" s="16" t="s">
        <v>617</v>
      </c>
      <c r="E75" s="59">
        <f>IFERROR(E76+E77+E78+E79,"")</f>
        <v>0</v>
      </c>
      <c r="F75" s="59">
        <f>IFERROR(F76+F77+F78+F79,"")</f>
        <v>0</v>
      </c>
      <c r="G75" s="59">
        <f>IFERROR(G76+G77+G78+G79,"")</f>
        <v>0</v>
      </c>
      <c r="H75" s="59">
        <f>IFERROR(H76+H77+H78+H79,"")</f>
        <v>0</v>
      </c>
      <c r="I75" s="60">
        <f t="shared" si="33"/>
        <v>0</v>
      </c>
      <c r="J75" s="59">
        <f>IFERROR(J76+J77+J78+J79,"")</f>
        <v>0</v>
      </c>
      <c r="K75" s="59">
        <f>IFERROR(K76+K77+K78+K79,"")</f>
        <v>0</v>
      </c>
      <c r="L75" s="59">
        <f>IFERROR(L76+L77+L78+L79,"")</f>
        <v>0</v>
      </c>
      <c r="M75" s="59">
        <f>IFERROR(M76+M77+M78+M79,"")</f>
        <v>0</v>
      </c>
      <c r="N75" s="60">
        <f t="shared" si="34"/>
        <v>0</v>
      </c>
      <c r="O75" s="59">
        <f>IFERROR(O76+O77+O78+O79,"")</f>
        <v>0</v>
      </c>
      <c r="P75" s="59">
        <f>IFERROR(P76+P77+P78+P79,"")</f>
        <v>0</v>
      </c>
      <c r="Q75" s="59">
        <f>IFERROR(Q76+Q77+Q78+Q79,"")</f>
        <v>0</v>
      </c>
      <c r="R75" s="59">
        <f>IFERROR(R76+R77+R78+R79,"")</f>
        <v>0</v>
      </c>
      <c r="S75" s="60">
        <f t="shared" si="35"/>
        <v>0</v>
      </c>
      <c r="T75" s="59">
        <f>IFERROR(T76+T77+T78+T79,"")</f>
        <v>0</v>
      </c>
      <c r="U75" s="59">
        <f>IFERROR(U76+U77+U78+U79,"")</f>
        <v>0</v>
      </c>
      <c r="V75" s="59">
        <f>IFERROR(V76+V77+V78+V79,"")</f>
        <v>0</v>
      </c>
      <c r="W75" s="59">
        <f>IFERROR(W76+W77+W78+W79,"")</f>
        <v>0</v>
      </c>
      <c r="X75" s="60">
        <f t="shared" si="36"/>
        <v>0</v>
      </c>
      <c r="Y75" s="59">
        <f>IFERROR(Y76+Y77+Y78+Y79,"")</f>
        <v>0</v>
      </c>
      <c r="Z75" s="59">
        <f>IFERROR(Z76+Z77+Z78+Z79,"")</f>
        <v>0</v>
      </c>
      <c r="AA75" s="59">
        <f>IFERROR(AA76+AA77+AA78+AA79,"")</f>
        <v>0</v>
      </c>
      <c r="AB75" s="59">
        <f>IFERROR(AB76+AB77+AB78+AB79,"")</f>
        <v>0</v>
      </c>
      <c r="AC75" s="60">
        <f t="shared" si="37"/>
        <v>0</v>
      </c>
      <c r="AD75" s="59">
        <f>IFERROR(AD76+AD77+AD78+AD79,"")</f>
        <v>0</v>
      </c>
      <c r="AE75" s="59">
        <f>IFERROR(AE76+AE77+AE78+AE79,"")</f>
        <v>0</v>
      </c>
      <c r="AF75" s="59">
        <f>IFERROR(AF76+AF77+AF78+AF79,"")</f>
        <v>0</v>
      </c>
      <c r="AG75" s="59">
        <f>IFERROR(AG76+AG77+AG78+AG79,"")</f>
        <v>0</v>
      </c>
      <c r="AH75" s="60">
        <f t="shared" si="38"/>
        <v>0</v>
      </c>
      <c r="AI75" s="59">
        <f>IFERROR(AI76+AI77+AI78+AI79,"")</f>
        <v>0</v>
      </c>
      <c r="AJ75" s="59">
        <f>IFERROR(AJ76+AJ77+AJ78+AJ79,"")</f>
        <v>0</v>
      </c>
      <c r="AK75" s="59">
        <f>IFERROR(AK76+AK77+AK78+AK79,"")</f>
        <v>0</v>
      </c>
      <c r="AL75" s="59">
        <f>IFERROR(AL76+AL77+AL78+AL79,"")</f>
        <v>0</v>
      </c>
      <c r="AM75" s="60">
        <f t="shared" si="39"/>
        <v>0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 t="shared" si="40"/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 t="shared" si="41"/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 t="shared" si="42"/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 t="shared" si="43"/>
        <v>0</v>
      </c>
      <c r="BI75" s="14" t="s">
        <v>618</v>
      </c>
    </row>
    <row r="76" spans="2:61" hidden="1" outlineLevel="1" x14ac:dyDescent="0.25">
      <c r="B76" s="56" t="s">
        <v>152</v>
      </c>
      <c r="C76" s="61" t="s">
        <v>153</v>
      </c>
      <c r="D76" s="62" t="s">
        <v>619</v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0</v>
      </c>
      <c r="F76" s="57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>0</v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0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0</v>
      </c>
      <c r="I76" s="58">
        <f t="shared" si="33"/>
        <v>0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0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0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0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0</v>
      </c>
      <c r="N76" s="58">
        <f t="shared" si="34"/>
        <v>0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0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0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0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0</v>
      </c>
      <c r="S76" s="58">
        <f t="shared" si="35"/>
        <v>0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0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0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0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0</v>
      </c>
      <c r="X76" s="58">
        <f t="shared" si="36"/>
        <v>0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0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0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0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0</v>
      </c>
      <c r="AC76" s="58">
        <f t="shared" si="37"/>
        <v>0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0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0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0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0</v>
      </c>
      <c r="AH76" s="58">
        <f t="shared" si="38"/>
        <v>0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0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0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 t="shared" si="39"/>
        <v>0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 t="shared" si="40"/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 t="shared" si="41"/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 t="shared" si="42"/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 t="shared" si="43"/>
        <v>0</v>
      </c>
    </row>
    <row r="77" spans="2:61" hidden="1" outlineLevel="1" x14ac:dyDescent="0.25">
      <c r="B77" s="56" t="s">
        <v>154</v>
      </c>
      <c r="C77" s="61" t="s">
        <v>155</v>
      </c>
      <c r="D77" s="62" t="s">
        <v>620</v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 t="shared" si="33"/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 t="shared" si="34"/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 t="shared" si="35"/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 t="shared" si="36"/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 t="shared" si="37"/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0</v>
      </c>
      <c r="AH77" s="58">
        <f t="shared" si="38"/>
        <v>0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0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0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 t="shared" si="39"/>
        <v>0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 t="shared" si="40"/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 t="shared" si="41"/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 t="shared" si="42"/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 t="shared" si="43"/>
        <v>0</v>
      </c>
    </row>
    <row r="78" spans="2:61" hidden="1" outlineLevel="1" x14ac:dyDescent="0.25">
      <c r="B78" s="56" t="s">
        <v>156</v>
      </c>
      <c r="C78" s="61" t="s">
        <v>157</v>
      </c>
      <c r="D78" s="62" t="s">
        <v>621</v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0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 t="shared" si="33"/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0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0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0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0</v>
      </c>
      <c r="N78" s="58">
        <f t="shared" si="34"/>
        <v>0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0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0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0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0</v>
      </c>
      <c r="S78" s="58">
        <f t="shared" si="35"/>
        <v>0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0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0</v>
      </c>
      <c r="X78" s="58">
        <f t="shared" si="36"/>
        <v>0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0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0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0</v>
      </c>
      <c r="AC78" s="58">
        <f t="shared" si="37"/>
        <v>0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 t="shared" si="38"/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 t="shared" si="39"/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 t="shared" si="40"/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 t="shared" si="41"/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 t="shared" si="42"/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 t="shared" si="43"/>
        <v>0</v>
      </c>
    </row>
    <row r="79" spans="2:61" hidden="1" outlineLevel="1" x14ac:dyDescent="0.25">
      <c r="B79" s="56" t="s">
        <v>158</v>
      </c>
      <c r="C79" s="61" t="s">
        <v>159</v>
      </c>
      <c r="D79" s="62" t="s">
        <v>622</v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 t="shared" si="33"/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 t="shared" si="34"/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 t="shared" si="35"/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 t="shared" si="36"/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 t="shared" si="37"/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 t="shared" si="38"/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 t="shared" si="39"/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 t="shared" si="40"/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 t="shared" si="41"/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 t="shared" si="42"/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 t="shared" si="43"/>
        <v>0</v>
      </c>
    </row>
    <row r="80" spans="2:61" x14ac:dyDescent="0.25">
      <c r="C80" s="53" t="s">
        <v>623</v>
      </c>
      <c r="D80" s="54" t="s">
        <v>624</v>
      </c>
      <c r="E80" s="59">
        <f>IFERROR(E70+E75,"")</f>
        <v>0</v>
      </c>
      <c r="F80" s="59">
        <f>IFERROR(F70+F75,"")</f>
        <v>0</v>
      </c>
      <c r="G80" s="59">
        <f>IFERROR(G70+G75,"")</f>
        <v>0</v>
      </c>
      <c r="H80" s="59">
        <f>IFERROR(H70+H75,"")</f>
        <v>0</v>
      </c>
      <c r="I80" s="60">
        <f t="shared" si="33"/>
        <v>0</v>
      </c>
      <c r="J80" s="59">
        <f>IFERROR(J70+J75,"")</f>
        <v>0</v>
      </c>
      <c r="K80" s="59">
        <f>IFERROR(K70+K75,"")</f>
        <v>0</v>
      </c>
      <c r="L80" s="59">
        <f>IFERROR(L70+L75,"")</f>
        <v>0</v>
      </c>
      <c r="M80" s="59">
        <f>IFERROR(M70+M75,"")</f>
        <v>0</v>
      </c>
      <c r="N80" s="60">
        <f t="shared" si="34"/>
        <v>0</v>
      </c>
      <c r="O80" s="59">
        <f>IFERROR(O70+O75,"")</f>
        <v>0</v>
      </c>
      <c r="P80" s="59">
        <f>IFERROR(P70+P75,"")</f>
        <v>0</v>
      </c>
      <c r="Q80" s="59">
        <f>IFERROR(Q70+Q75,"")</f>
        <v>0</v>
      </c>
      <c r="R80" s="59">
        <f>IFERROR(R70+R75,"")</f>
        <v>0</v>
      </c>
      <c r="S80" s="60">
        <f t="shared" si="35"/>
        <v>0</v>
      </c>
      <c r="T80" s="59">
        <f>IFERROR(T70+T75,"")</f>
        <v>0</v>
      </c>
      <c r="U80" s="59">
        <f>IFERROR(U70+U75,"")</f>
        <v>0</v>
      </c>
      <c r="V80" s="59">
        <f>IFERROR(V70+V75,"")</f>
        <v>0</v>
      </c>
      <c r="W80" s="59">
        <f>IFERROR(W70+W75,"")</f>
        <v>0</v>
      </c>
      <c r="X80" s="60">
        <f t="shared" si="36"/>
        <v>0</v>
      </c>
      <c r="Y80" s="59">
        <f>IFERROR(Y70+Y75,"")</f>
        <v>0</v>
      </c>
      <c r="Z80" s="59">
        <f>IFERROR(Z70+Z75,"")</f>
        <v>0</v>
      </c>
      <c r="AA80" s="59">
        <f>IFERROR(AA70+AA75,"")</f>
        <v>0</v>
      </c>
      <c r="AB80" s="59">
        <f>IFERROR(AB70+AB75,"")</f>
        <v>0</v>
      </c>
      <c r="AC80" s="60">
        <f t="shared" si="37"/>
        <v>0</v>
      </c>
      <c r="AD80" s="59">
        <f>IFERROR(AD70+AD75,"")</f>
        <v>0</v>
      </c>
      <c r="AE80" s="59">
        <f>IFERROR(AE70+AE75,"")</f>
        <v>0</v>
      </c>
      <c r="AF80" s="59">
        <f>IFERROR(AF70+AF75,"")</f>
        <v>0</v>
      </c>
      <c r="AG80" s="59">
        <f>IFERROR(AG70+AG75,"")</f>
        <v>0</v>
      </c>
      <c r="AH80" s="60">
        <f t="shared" si="38"/>
        <v>0</v>
      </c>
      <c r="AI80" s="59">
        <f>IFERROR(AI70+AI75,"")</f>
        <v>0</v>
      </c>
      <c r="AJ80" s="59">
        <f>IFERROR(AJ70+AJ75,"")</f>
        <v>0</v>
      </c>
      <c r="AK80" s="59">
        <f>IFERROR(AK70+AK75,"")</f>
        <v>0</v>
      </c>
      <c r="AL80" s="59">
        <f>IFERROR(AL70+AL75,"")</f>
        <v>0</v>
      </c>
      <c r="AM80" s="60">
        <f t="shared" si="39"/>
        <v>0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 t="shared" si="40"/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 t="shared" si="41"/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 t="shared" si="42"/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 t="shared" si="43"/>
        <v>0</v>
      </c>
    </row>
    <row r="81" spans="2:59" x14ac:dyDescent="0.25">
      <c r="C81" s="15" t="s">
        <v>625</v>
      </c>
      <c r="D81" s="16" t="s">
        <v>626</v>
      </c>
      <c r="E81" s="59">
        <f>IFERROR(E82+E83,"")</f>
        <v>0</v>
      </c>
      <c r="F81" s="59">
        <f>IFERROR(F82+F83,"")</f>
        <v>0</v>
      </c>
      <c r="G81" s="59">
        <f>IFERROR(G82+G83,"")</f>
        <v>0</v>
      </c>
      <c r="H81" s="59">
        <f>IFERROR(H82+H83,"")</f>
        <v>0</v>
      </c>
      <c r="I81" s="60">
        <f t="shared" si="33"/>
        <v>0</v>
      </c>
      <c r="J81" s="59">
        <f>IFERROR(J82+J83,"")</f>
        <v>0</v>
      </c>
      <c r="K81" s="59">
        <f>IFERROR(K82+K83,"")</f>
        <v>0</v>
      </c>
      <c r="L81" s="59">
        <f>IFERROR(L82+L83,"")</f>
        <v>0</v>
      </c>
      <c r="M81" s="59">
        <f>IFERROR(M82+M83,"")</f>
        <v>0</v>
      </c>
      <c r="N81" s="60">
        <f t="shared" si="34"/>
        <v>0</v>
      </c>
      <c r="O81" s="59">
        <f>IFERROR(O82+O83,"")</f>
        <v>0</v>
      </c>
      <c r="P81" s="59">
        <f>IFERROR(P82+P83,"")</f>
        <v>0</v>
      </c>
      <c r="Q81" s="59">
        <f>IFERROR(Q82+Q83,"")</f>
        <v>0</v>
      </c>
      <c r="R81" s="59">
        <f>IFERROR(R82+R83,"")</f>
        <v>0</v>
      </c>
      <c r="S81" s="60">
        <f t="shared" si="35"/>
        <v>0</v>
      </c>
      <c r="T81" s="59">
        <f>IFERROR(T82+T83,"")</f>
        <v>0</v>
      </c>
      <c r="U81" s="59">
        <f>IFERROR(U82+U83,"")</f>
        <v>0</v>
      </c>
      <c r="V81" s="59">
        <f>IFERROR(V82+V83,"")</f>
        <v>0</v>
      </c>
      <c r="W81" s="59">
        <f>IFERROR(W82+W83,"")</f>
        <v>0</v>
      </c>
      <c r="X81" s="60">
        <f t="shared" si="36"/>
        <v>0</v>
      </c>
      <c r="Y81" s="59">
        <f>IFERROR(Y82+Y83,"")</f>
        <v>0</v>
      </c>
      <c r="Z81" s="59">
        <f>IFERROR(Z82+Z83,"")</f>
        <v>0</v>
      </c>
      <c r="AA81" s="59">
        <f>IFERROR(AA82+AA83,"")</f>
        <v>0</v>
      </c>
      <c r="AB81" s="59">
        <f>IFERROR(AB82+AB83,"")</f>
        <v>0</v>
      </c>
      <c r="AC81" s="60">
        <f t="shared" si="37"/>
        <v>0</v>
      </c>
      <c r="AD81" s="59">
        <f>IFERROR(AD82+AD83,"")</f>
        <v>0</v>
      </c>
      <c r="AE81" s="59">
        <f>IFERROR(AE82+AE83,"")</f>
        <v>0</v>
      </c>
      <c r="AF81" s="59">
        <f>IFERROR(AF82+AF83,"")</f>
        <v>0</v>
      </c>
      <c r="AG81" s="59">
        <f>IFERROR(AG82+AG83,"")</f>
        <v>0</v>
      </c>
      <c r="AH81" s="60">
        <f t="shared" si="38"/>
        <v>0</v>
      </c>
      <c r="AI81" s="59">
        <f>IFERROR(AI82+AI83,"")</f>
        <v>0</v>
      </c>
      <c r="AJ81" s="59">
        <f>IFERROR(AJ82+AJ83,"")</f>
        <v>0</v>
      </c>
      <c r="AK81" s="59">
        <f>IFERROR(AK82+AK83,"")</f>
        <v>0</v>
      </c>
      <c r="AL81" s="59">
        <f>IFERROR(AL82+AL83,"")</f>
        <v>0</v>
      </c>
      <c r="AM81" s="60">
        <f t="shared" si="39"/>
        <v>0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 t="shared" si="40"/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 t="shared" si="41"/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 t="shared" si="42"/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 t="shared" si="43"/>
        <v>0</v>
      </c>
    </row>
    <row r="82" spans="2:59" hidden="1" outlineLevel="1" x14ac:dyDescent="0.25">
      <c r="B82" s="56" t="s">
        <v>160</v>
      </c>
      <c r="C82" s="61" t="s">
        <v>161</v>
      </c>
      <c r="D82" s="62" t="s">
        <v>627</v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0</v>
      </c>
      <c r="F82" s="57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>0</v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0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0</v>
      </c>
      <c r="I82" s="58">
        <f t="shared" si="33"/>
        <v>0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0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0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0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0</v>
      </c>
      <c r="N82" s="58">
        <f t="shared" si="34"/>
        <v>0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0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0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0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0</v>
      </c>
      <c r="S82" s="58">
        <f t="shared" si="35"/>
        <v>0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0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0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0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0</v>
      </c>
      <c r="X82" s="58">
        <f t="shared" si="36"/>
        <v>0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0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0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0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0</v>
      </c>
      <c r="AC82" s="58">
        <f t="shared" si="37"/>
        <v>0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0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0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0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0</v>
      </c>
      <c r="AH82" s="58">
        <f t="shared" si="38"/>
        <v>0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0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0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 t="shared" si="39"/>
        <v>0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 t="shared" si="40"/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 t="shared" si="41"/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 t="shared" si="42"/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 t="shared" si="43"/>
        <v>0</v>
      </c>
    </row>
    <row r="83" spans="2:59" hidden="1" outlineLevel="1" x14ac:dyDescent="0.25">
      <c r="B83" s="56" t="s">
        <v>162</v>
      </c>
      <c r="C83" s="61" t="s">
        <v>163</v>
      </c>
      <c r="D83" s="62" t="s">
        <v>628</v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 t="shared" si="33"/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 t="shared" si="34"/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 t="shared" si="35"/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 t="shared" si="36"/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 t="shared" si="37"/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 t="shared" si="38"/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 t="shared" si="39"/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 t="shared" si="40"/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 t="shared" si="41"/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 t="shared" si="42"/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 t="shared" si="43"/>
        <v>0</v>
      </c>
    </row>
    <row r="84" spans="2:59" x14ac:dyDescent="0.25">
      <c r="C84" s="53" t="s">
        <v>629</v>
      </c>
      <c r="D84" s="54" t="s">
        <v>630</v>
      </c>
      <c r="E84" s="59">
        <f>IFERROR(E80+E81,"")</f>
        <v>0</v>
      </c>
      <c r="F84" s="59">
        <f>IFERROR(F80+F81,"")</f>
        <v>0</v>
      </c>
      <c r="G84" s="59">
        <f>IFERROR(G80+G81,"")</f>
        <v>0</v>
      </c>
      <c r="H84" s="59">
        <f>IFERROR(H80+H81,"")</f>
        <v>0</v>
      </c>
      <c r="I84" s="60">
        <f t="shared" si="33"/>
        <v>0</v>
      </c>
      <c r="J84" s="59">
        <f>IFERROR(J80+J81,"")</f>
        <v>0</v>
      </c>
      <c r="K84" s="59">
        <f>IFERROR(K80+K81,"")</f>
        <v>0</v>
      </c>
      <c r="L84" s="59">
        <f>IFERROR(L80+L81,"")</f>
        <v>0</v>
      </c>
      <c r="M84" s="59">
        <f>IFERROR(M80+M81,"")</f>
        <v>0</v>
      </c>
      <c r="N84" s="60">
        <f t="shared" si="34"/>
        <v>0</v>
      </c>
      <c r="O84" s="59">
        <f>IFERROR(O80+O81,"")</f>
        <v>0</v>
      </c>
      <c r="P84" s="59">
        <f>IFERROR(P80+P81,"")</f>
        <v>0</v>
      </c>
      <c r="Q84" s="59">
        <f>IFERROR(Q80+Q81,"")</f>
        <v>0</v>
      </c>
      <c r="R84" s="59">
        <f>IFERROR(R80+R81,"")</f>
        <v>0</v>
      </c>
      <c r="S84" s="60">
        <f t="shared" si="35"/>
        <v>0</v>
      </c>
      <c r="T84" s="59">
        <f>IFERROR(T80+T81,"")</f>
        <v>0</v>
      </c>
      <c r="U84" s="59">
        <f>IFERROR(U80+U81,"")</f>
        <v>0</v>
      </c>
      <c r="V84" s="59">
        <f>IFERROR(V80+V81,"")</f>
        <v>0</v>
      </c>
      <c r="W84" s="59">
        <f>IFERROR(W80+W81,"")</f>
        <v>0</v>
      </c>
      <c r="X84" s="60">
        <f t="shared" si="36"/>
        <v>0</v>
      </c>
      <c r="Y84" s="59">
        <f>IFERROR(Y80+Y81,"")</f>
        <v>0</v>
      </c>
      <c r="Z84" s="59">
        <f>IFERROR(Z80+Z81,"")</f>
        <v>0</v>
      </c>
      <c r="AA84" s="59">
        <f>IFERROR(AA80+AA81,"")</f>
        <v>0</v>
      </c>
      <c r="AB84" s="59">
        <f>IFERROR(AB80+AB81,"")</f>
        <v>0</v>
      </c>
      <c r="AC84" s="60">
        <f t="shared" si="37"/>
        <v>0</v>
      </c>
      <c r="AD84" s="59">
        <f>IFERROR(AD80+AD81,"")</f>
        <v>0</v>
      </c>
      <c r="AE84" s="59">
        <f>IFERROR(AE80+AE81,"")</f>
        <v>0</v>
      </c>
      <c r="AF84" s="59">
        <f>IFERROR(AF80+AF81,"")</f>
        <v>0</v>
      </c>
      <c r="AG84" s="59">
        <f>IFERROR(AG80+AG81,"")</f>
        <v>0</v>
      </c>
      <c r="AH84" s="60">
        <f t="shared" si="38"/>
        <v>0</v>
      </c>
      <c r="AI84" s="59">
        <f>IFERROR(AI80+AI81,"")</f>
        <v>0</v>
      </c>
      <c r="AJ84" s="59">
        <f>IFERROR(AJ80+AJ81,"")</f>
        <v>0</v>
      </c>
      <c r="AK84" s="59">
        <f>IFERROR(AK80+AK81,"")</f>
        <v>0</v>
      </c>
      <c r="AL84" s="59">
        <f>IFERROR(AL80+AL81,"")</f>
        <v>0</v>
      </c>
      <c r="AM84" s="60">
        <f t="shared" si="39"/>
        <v>0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 t="shared" si="40"/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 t="shared" si="41"/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 t="shared" si="42"/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 t="shared" si="43"/>
        <v>0</v>
      </c>
    </row>
    <row r="85" spans="2:59" x14ac:dyDescent="0.25">
      <c r="C85" s="15" t="s">
        <v>631</v>
      </c>
      <c r="D85" s="16" t="s">
        <v>632</v>
      </c>
      <c r="E85" s="59">
        <f>IFERROR(E86+E87+E88+E89+E90+E94+E95+E96+E97,"")</f>
        <v>0</v>
      </c>
      <c r="F85" s="59">
        <f>IFERROR(F86+F87+F88+F89+F90+F94+F95+F96+F97,"")</f>
        <v>0</v>
      </c>
      <c r="G85" s="59">
        <f>IFERROR(G86+G87+G88+G89+G90+G94+G95+G96+G97,"")</f>
        <v>0</v>
      </c>
      <c r="H85" s="59">
        <f>IFERROR(H86+H87+H88+H89+H90+H94+H95+H96+H97,"")</f>
        <v>0</v>
      </c>
      <c r="I85" s="60">
        <f t="shared" si="33"/>
        <v>0</v>
      </c>
      <c r="J85" s="59">
        <f>IFERROR(J86+J87+J88+J89+J90+J94+J95+J96+J97,"")</f>
        <v>0</v>
      </c>
      <c r="K85" s="59">
        <f>IFERROR(K86+K87+K88+K89+K90+K94+K95+K96+K97,"")</f>
        <v>0</v>
      </c>
      <c r="L85" s="59">
        <f>IFERROR(L86+L87+L88+L89+L90+L94+L95+L96+L97,"")</f>
        <v>0</v>
      </c>
      <c r="M85" s="59">
        <f>IFERROR(M86+M87+M88+M89+M90+M94+M95+M96+M97,"")</f>
        <v>0</v>
      </c>
      <c r="N85" s="60">
        <f t="shared" si="34"/>
        <v>0</v>
      </c>
      <c r="O85" s="59">
        <f>IFERROR(O86+O87+O88+O89+O90+O94+O95+O96+O97,"")</f>
        <v>0</v>
      </c>
      <c r="P85" s="59">
        <f>IFERROR(P86+P87+P88+P89+P90+P94+P95+P96+P97,"")</f>
        <v>0</v>
      </c>
      <c r="Q85" s="59">
        <f>IFERROR(Q86+Q87+Q88+Q89+Q90+Q94+Q95+Q96+Q97,"")</f>
        <v>0</v>
      </c>
      <c r="R85" s="59">
        <f>IFERROR(R86+R87+R88+R89+R90+R94+R95+R96+R97,"")</f>
        <v>0</v>
      </c>
      <c r="S85" s="60">
        <f t="shared" si="35"/>
        <v>0</v>
      </c>
      <c r="T85" s="59">
        <f>IFERROR(T86+T87+T88+T89+T90+T94+T95+T96+T97,"")</f>
        <v>0</v>
      </c>
      <c r="U85" s="59">
        <f>IFERROR(U86+U87+U88+U89+U90+U94+U95+U96+U97,"")</f>
        <v>0</v>
      </c>
      <c r="V85" s="59">
        <f>IFERROR(V86+V87+V88+V89+V90+V94+V95+V96+V97,"")</f>
        <v>0</v>
      </c>
      <c r="W85" s="59">
        <f>IFERROR(W86+W87+W88+W89+W90+W94+W95+W96+W97,"")</f>
        <v>0</v>
      </c>
      <c r="X85" s="60">
        <f t="shared" si="36"/>
        <v>0</v>
      </c>
      <c r="Y85" s="59">
        <f>IFERROR(Y86+Y87+Y88+Y89+Y90+Y94+Y95+Y96+Y97,"")</f>
        <v>0</v>
      </c>
      <c r="Z85" s="59">
        <f>IFERROR(Z86+Z87+Z88+Z89+Z90+Z94+Z95+Z96+Z97,"")</f>
        <v>0</v>
      </c>
      <c r="AA85" s="59">
        <f>IFERROR(AA86+AA87+AA88+AA89+AA90+AA94+AA95+AA96+AA97,"")</f>
        <v>0</v>
      </c>
      <c r="AB85" s="59">
        <f>IFERROR(AB86+AB87+AB88+AB89+AB90+AB94+AB95+AB96+AB97,"")</f>
        <v>0</v>
      </c>
      <c r="AC85" s="60">
        <f t="shared" si="37"/>
        <v>0</v>
      </c>
      <c r="AD85" s="59">
        <f>IFERROR(AD86+AD87+AD88+AD89+AD90+AD94+AD95+AD96+AD97,"")</f>
        <v>0</v>
      </c>
      <c r="AE85" s="59">
        <f>IFERROR(AE86+AE87+AE88+AE89+AE90+AE94+AE95+AE96+AE97,"")</f>
        <v>0</v>
      </c>
      <c r="AF85" s="59">
        <f>IFERROR(AF86+AF87+AF88+AF89+AF90+AF94+AF95+AF96+AF97,"")</f>
        <v>0</v>
      </c>
      <c r="AG85" s="59">
        <f>IFERROR(AG86+AG87+AG88+AG89+AG90+AG94+AG95+AG96+AG97,"")</f>
        <v>0</v>
      </c>
      <c r="AH85" s="60">
        <f t="shared" si="38"/>
        <v>0</v>
      </c>
      <c r="AI85" s="59">
        <f>IFERROR(AI86+AI87+AI88+AI89+AI90+AI94+AI95+AI96+AI97,"")</f>
        <v>0</v>
      </c>
      <c r="AJ85" s="59">
        <f>IFERROR(AJ86+AJ87+AJ88+AJ89+AJ90+AJ94+AJ95+AJ96+AJ97,"")</f>
        <v>0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 t="shared" si="39"/>
        <v>0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 t="shared" si="40"/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 t="shared" si="41"/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 t="shared" si="42"/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 t="shared" si="43"/>
        <v>0</v>
      </c>
    </row>
    <row r="86" spans="2:59" hidden="1" outlineLevel="1" x14ac:dyDescent="0.25">
      <c r="B86" s="56" t="s">
        <v>164</v>
      </c>
      <c r="C86" s="61" t="s">
        <v>165</v>
      </c>
      <c r="D86" s="62" t="s">
        <v>633</v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0</v>
      </c>
      <c r="F86" s="57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>0</v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0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0</v>
      </c>
      <c r="I86" s="58">
        <f t="shared" si="33"/>
        <v>0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0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0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0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0</v>
      </c>
      <c r="N86" s="58">
        <f t="shared" si="34"/>
        <v>0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0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0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0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0</v>
      </c>
      <c r="S86" s="58">
        <f t="shared" si="35"/>
        <v>0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0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0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0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0</v>
      </c>
      <c r="X86" s="58">
        <f t="shared" si="36"/>
        <v>0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0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0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0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0</v>
      </c>
      <c r="AC86" s="58">
        <f t="shared" si="37"/>
        <v>0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0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0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0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0</v>
      </c>
      <c r="AH86" s="58">
        <f t="shared" si="38"/>
        <v>0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0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0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 t="shared" si="39"/>
        <v>0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 t="shared" si="40"/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 t="shared" si="41"/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 t="shared" si="42"/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 t="shared" si="43"/>
        <v>0</v>
      </c>
    </row>
    <row r="87" spans="2:59" hidden="1" outlineLevel="1" x14ac:dyDescent="0.25">
      <c r="B87" s="56" t="s">
        <v>166</v>
      </c>
      <c r="C87" s="61" t="s">
        <v>167</v>
      </c>
      <c r="D87" s="62" t="s">
        <v>634</v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 t="shared" si="33"/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 t="shared" si="34"/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 t="shared" si="35"/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 t="shared" si="36"/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 t="shared" si="37"/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 t="shared" si="38"/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 t="shared" si="39"/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 t="shared" si="40"/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 t="shared" si="41"/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 t="shared" si="42"/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 t="shared" si="43"/>
        <v>0</v>
      </c>
    </row>
    <row r="88" spans="2:59" hidden="1" outlineLevel="1" x14ac:dyDescent="0.25">
      <c r="B88" s="56" t="s">
        <v>168</v>
      </c>
      <c r="C88" s="61" t="s">
        <v>169</v>
      </c>
      <c r="D88" s="62" t="s">
        <v>635</v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0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0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0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0</v>
      </c>
      <c r="I88" s="58">
        <f t="shared" si="33"/>
        <v>0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0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0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0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0</v>
      </c>
      <c r="N88" s="58">
        <f t="shared" si="34"/>
        <v>0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0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0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0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0</v>
      </c>
      <c r="S88" s="58">
        <f t="shared" si="35"/>
        <v>0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0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0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0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0</v>
      </c>
      <c r="X88" s="58">
        <f t="shared" si="36"/>
        <v>0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0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0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0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0</v>
      </c>
      <c r="AC88" s="58">
        <f t="shared" si="37"/>
        <v>0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0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0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0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0</v>
      </c>
      <c r="AH88" s="58">
        <f t="shared" si="38"/>
        <v>0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0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0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 t="shared" si="39"/>
        <v>0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 t="shared" si="40"/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 t="shared" si="41"/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 t="shared" si="42"/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 t="shared" si="43"/>
        <v>0</v>
      </c>
    </row>
    <row r="89" spans="2:59" hidden="1" outlineLevel="1" x14ac:dyDescent="0.25">
      <c r="B89" s="56" t="s">
        <v>170</v>
      </c>
      <c r="C89" s="61" t="s">
        <v>171</v>
      </c>
      <c r="D89" s="62" t="s">
        <v>636</v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0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0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0</v>
      </c>
      <c r="I89" s="58">
        <f t="shared" si="33"/>
        <v>0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0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0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0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0</v>
      </c>
      <c r="N89" s="58">
        <f t="shared" si="34"/>
        <v>0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0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0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0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0</v>
      </c>
      <c r="S89" s="58">
        <f t="shared" si="35"/>
        <v>0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0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0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0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0</v>
      </c>
      <c r="X89" s="58">
        <f t="shared" si="36"/>
        <v>0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0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0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0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0</v>
      </c>
      <c r="AC89" s="58">
        <f t="shared" si="37"/>
        <v>0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0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0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0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0</v>
      </c>
      <c r="AH89" s="58">
        <f t="shared" si="38"/>
        <v>0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0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0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 t="shared" si="39"/>
        <v>0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 t="shared" si="40"/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 t="shared" si="41"/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 t="shared" si="42"/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 t="shared" si="43"/>
        <v>0</v>
      </c>
    </row>
    <row r="90" spans="2:59" hidden="1" outlineLevel="1" x14ac:dyDescent="0.25">
      <c r="C90" s="63" t="s">
        <v>637</v>
      </c>
      <c r="D90" s="64" t="s">
        <v>638</v>
      </c>
      <c r="E90" s="59">
        <f>IFERROR(E91+E92+E93,"")</f>
        <v>0</v>
      </c>
      <c r="F90" s="59">
        <f>IFERROR(F91+F92+F93,"")</f>
        <v>0</v>
      </c>
      <c r="G90" s="59">
        <f>IFERROR(G91+G92+G93,"")</f>
        <v>0</v>
      </c>
      <c r="H90" s="59">
        <f>IFERROR(H91+H92+H93,"")</f>
        <v>0</v>
      </c>
      <c r="I90" s="60">
        <f t="shared" si="33"/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 t="shared" si="34"/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 t="shared" si="35"/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 t="shared" si="36"/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 t="shared" si="37"/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 t="shared" si="38"/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 t="shared" si="39"/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 t="shared" si="40"/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 t="shared" si="41"/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 t="shared" si="42"/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 t="shared" si="43"/>
        <v>0</v>
      </c>
    </row>
    <row r="91" spans="2:59" hidden="1" outlineLevel="2" x14ac:dyDescent="0.25">
      <c r="B91" s="56" t="s">
        <v>172</v>
      </c>
      <c r="C91" s="65" t="s">
        <v>173</v>
      </c>
      <c r="D91" s="66" t="s">
        <v>639</v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>0</v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 t="shared" si="33"/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 t="shared" si="34"/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 t="shared" si="35"/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 t="shared" si="36"/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 t="shared" si="37"/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 t="shared" si="38"/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 t="shared" si="39"/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 t="shared" si="40"/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 t="shared" si="41"/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 t="shared" si="42"/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 t="shared" si="43"/>
        <v>0</v>
      </c>
    </row>
    <row r="92" spans="2:59" hidden="1" outlineLevel="2" x14ac:dyDescent="0.25">
      <c r="B92" s="56" t="s">
        <v>174</v>
      </c>
      <c r="C92" s="65" t="s">
        <v>175</v>
      </c>
      <c r="D92" s="66" t="s">
        <v>640</v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 t="shared" si="33"/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 t="shared" si="34"/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 t="shared" si="35"/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 t="shared" si="36"/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 t="shared" si="37"/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 t="shared" si="38"/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 t="shared" si="39"/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 t="shared" si="40"/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 t="shared" si="41"/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 t="shared" si="42"/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 t="shared" si="43"/>
        <v>0</v>
      </c>
    </row>
    <row r="93" spans="2:59" hidden="1" outlineLevel="2" x14ac:dyDescent="0.25">
      <c r="B93" s="56" t="s">
        <v>176</v>
      </c>
      <c r="C93" s="65" t="s">
        <v>177</v>
      </c>
      <c r="D93" s="66" t="s">
        <v>641</v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 t="shared" si="33"/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 t="shared" si="34"/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 t="shared" si="35"/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 t="shared" si="36"/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 t="shared" si="37"/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 t="shared" si="38"/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 t="shared" si="39"/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 t="shared" si="40"/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 t="shared" si="41"/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 t="shared" si="42"/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 t="shared" si="43"/>
        <v>0</v>
      </c>
    </row>
    <row r="94" spans="2:59" hidden="1" outlineLevel="1" x14ac:dyDescent="0.25">
      <c r="B94" s="56" t="s">
        <v>178</v>
      </c>
      <c r="C94" s="61" t="s">
        <v>179</v>
      </c>
      <c r="D94" s="62" t="s">
        <v>642</v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0</v>
      </c>
      <c r="I94" s="58">
        <f t="shared" si="33"/>
        <v>0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0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0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0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0</v>
      </c>
      <c r="N94" s="58">
        <f t="shared" si="34"/>
        <v>0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0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0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0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0</v>
      </c>
      <c r="S94" s="58">
        <f t="shared" si="35"/>
        <v>0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0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0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0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0</v>
      </c>
      <c r="X94" s="58">
        <f t="shared" si="36"/>
        <v>0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0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0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0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0</v>
      </c>
      <c r="AC94" s="58">
        <f t="shared" si="37"/>
        <v>0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0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0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0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0</v>
      </c>
      <c r="AH94" s="58">
        <f t="shared" si="38"/>
        <v>0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0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0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 t="shared" si="39"/>
        <v>0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 t="shared" si="40"/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 t="shared" si="41"/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 t="shared" si="42"/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 t="shared" si="43"/>
        <v>0</v>
      </c>
    </row>
    <row r="95" spans="2:59" hidden="1" outlineLevel="1" x14ac:dyDescent="0.25">
      <c r="B95" s="56" t="s">
        <v>180</v>
      </c>
      <c r="C95" s="61" t="s">
        <v>181</v>
      </c>
      <c r="D95" s="62" t="s">
        <v>643</v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 t="shared" si="33"/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 t="shared" si="34"/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 t="shared" si="35"/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 t="shared" si="36"/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 t="shared" si="37"/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0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0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0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0</v>
      </c>
      <c r="AH95" s="58">
        <f t="shared" si="38"/>
        <v>0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0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 t="shared" si="39"/>
        <v>0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 t="shared" si="40"/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 t="shared" si="41"/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 t="shared" si="42"/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 t="shared" si="43"/>
        <v>0</v>
      </c>
    </row>
    <row r="96" spans="2:59" hidden="1" outlineLevel="1" x14ac:dyDescent="0.25">
      <c r="B96" s="56" t="s">
        <v>182</v>
      </c>
      <c r="C96" s="61" t="s">
        <v>183</v>
      </c>
      <c r="D96" s="62" t="s">
        <v>644</v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0</v>
      </c>
      <c r="I96" s="58">
        <f t="shared" si="33"/>
        <v>0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0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0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0</v>
      </c>
      <c r="N96" s="58">
        <f t="shared" si="34"/>
        <v>0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0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0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0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0</v>
      </c>
      <c r="S96" s="58">
        <f t="shared" si="35"/>
        <v>0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0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0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0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0</v>
      </c>
      <c r="X96" s="58">
        <f t="shared" si="36"/>
        <v>0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0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0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0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0</v>
      </c>
      <c r="AC96" s="58">
        <f t="shared" si="37"/>
        <v>0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0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0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0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0</v>
      </c>
      <c r="AH96" s="58">
        <f t="shared" si="38"/>
        <v>0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0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0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 t="shared" si="39"/>
        <v>0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 t="shared" si="40"/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 t="shared" si="41"/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 t="shared" si="42"/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 t="shared" si="43"/>
        <v>0</v>
      </c>
    </row>
    <row r="97" spans="2:61" hidden="1" outlineLevel="1" x14ac:dyDescent="0.25">
      <c r="B97" s="56" t="s">
        <v>184</v>
      </c>
      <c r="C97" s="61" t="s">
        <v>185</v>
      </c>
      <c r="D97" s="62" t="s">
        <v>645</v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 t="shared" si="33"/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0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0</v>
      </c>
      <c r="N97" s="58">
        <f t="shared" si="34"/>
        <v>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0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0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0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0</v>
      </c>
      <c r="S97" s="58">
        <f t="shared" si="35"/>
        <v>0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0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0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0</v>
      </c>
      <c r="X97" s="58">
        <f t="shared" si="36"/>
        <v>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0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0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0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0</v>
      </c>
      <c r="AC97" s="58">
        <f t="shared" si="37"/>
        <v>0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0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0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0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0</v>
      </c>
      <c r="AH97" s="58">
        <f t="shared" si="38"/>
        <v>0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0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0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 t="shared" si="39"/>
        <v>0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 t="shared" si="40"/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 t="shared" si="41"/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 t="shared" si="42"/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 t="shared" si="43"/>
        <v>0</v>
      </c>
    </row>
    <row r="98" spans="2:61" x14ac:dyDescent="0.25">
      <c r="C98" s="53" t="s">
        <v>646</v>
      </c>
      <c r="D98" s="54" t="s">
        <v>647</v>
      </c>
      <c r="E98" s="59">
        <f>IFERROR(E84+E85,"")</f>
        <v>0</v>
      </c>
      <c r="F98" s="59">
        <f>IFERROR(F84+F85,"")</f>
        <v>0</v>
      </c>
      <c r="G98" s="59">
        <f>IFERROR(G84+G85,"")</f>
        <v>0</v>
      </c>
      <c r="H98" s="59">
        <f>IFERROR(H84+H85,"")</f>
        <v>0</v>
      </c>
      <c r="I98" s="60">
        <f t="shared" si="33"/>
        <v>0</v>
      </c>
      <c r="J98" s="59">
        <f>IFERROR(J84+J85,"")</f>
        <v>0</v>
      </c>
      <c r="K98" s="59">
        <f>IFERROR(K84+K85,"")</f>
        <v>0</v>
      </c>
      <c r="L98" s="59">
        <f>IFERROR(L84+L85,"")</f>
        <v>0</v>
      </c>
      <c r="M98" s="59">
        <f>IFERROR(M84+M85,"")</f>
        <v>0</v>
      </c>
      <c r="N98" s="60">
        <f t="shared" si="34"/>
        <v>0</v>
      </c>
      <c r="O98" s="59">
        <f>IFERROR(O84+O85,"")</f>
        <v>0</v>
      </c>
      <c r="P98" s="59">
        <f>IFERROR(P84+P85,"")</f>
        <v>0</v>
      </c>
      <c r="Q98" s="59">
        <f>IFERROR(Q84+Q85,"")</f>
        <v>0</v>
      </c>
      <c r="R98" s="59">
        <f>IFERROR(R84+R85,"")</f>
        <v>0</v>
      </c>
      <c r="S98" s="60">
        <f t="shared" si="35"/>
        <v>0</v>
      </c>
      <c r="T98" s="59">
        <f>IFERROR(T84+T85,"")</f>
        <v>0</v>
      </c>
      <c r="U98" s="59">
        <f>IFERROR(U84+U85,"")</f>
        <v>0</v>
      </c>
      <c r="V98" s="59">
        <f>IFERROR(V84+V85,"")</f>
        <v>0</v>
      </c>
      <c r="W98" s="59">
        <f>IFERROR(W84+W85,"")</f>
        <v>0</v>
      </c>
      <c r="X98" s="60">
        <f t="shared" si="36"/>
        <v>0</v>
      </c>
      <c r="Y98" s="59">
        <f>IFERROR(Y84+Y85,"")</f>
        <v>0</v>
      </c>
      <c r="Z98" s="59">
        <f>IFERROR(Z84+Z85,"")</f>
        <v>0</v>
      </c>
      <c r="AA98" s="59">
        <f>IFERROR(AA84+AA85,"")</f>
        <v>0</v>
      </c>
      <c r="AB98" s="59">
        <f>IFERROR(AB84+AB85,"")</f>
        <v>0</v>
      </c>
      <c r="AC98" s="60">
        <f t="shared" si="37"/>
        <v>0</v>
      </c>
      <c r="AD98" s="59">
        <f>IFERROR(AD84+AD85,"")</f>
        <v>0</v>
      </c>
      <c r="AE98" s="59">
        <f>IFERROR(AE84+AE85,"")</f>
        <v>0</v>
      </c>
      <c r="AF98" s="59">
        <f>IFERROR(AF84+AF85,"")</f>
        <v>0</v>
      </c>
      <c r="AG98" s="59">
        <f>IFERROR(AG84+AG85,"")</f>
        <v>0</v>
      </c>
      <c r="AH98" s="60">
        <f t="shared" si="38"/>
        <v>0</v>
      </c>
      <c r="AI98" s="59">
        <f>IFERROR(AI84+AI85,"")</f>
        <v>0</v>
      </c>
      <c r="AJ98" s="59">
        <f>IFERROR(AJ84+AJ85,"")</f>
        <v>0</v>
      </c>
      <c r="AK98" s="59">
        <f>IFERROR(AK84+AK85,"")</f>
        <v>0</v>
      </c>
      <c r="AL98" s="59">
        <f>IFERROR(AL84+AL85,"")</f>
        <v>0</v>
      </c>
      <c r="AM98" s="60">
        <f t="shared" si="39"/>
        <v>0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 t="shared" si="40"/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 t="shared" si="41"/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 t="shared" si="42"/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 t="shared" si="43"/>
        <v>0</v>
      </c>
    </row>
    <row r="99" spans="2:61" x14ac:dyDescent="0.25">
      <c r="B99" s="56" t="s">
        <v>186</v>
      </c>
      <c r="C99" s="11" t="s">
        <v>187</v>
      </c>
      <c r="D99" s="12" t="s">
        <v>648</v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0</v>
      </c>
      <c r="F99" s="57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>0</v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0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0</v>
      </c>
      <c r="I99" s="58">
        <f t="shared" si="33"/>
        <v>0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0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0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0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0</v>
      </c>
      <c r="N99" s="58">
        <f t="shared" si="34"/>
        <v>0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0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0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0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0</v>
      </c>
      <c r="S99" s="58">
        <f t="shared" si="35"/>
        <v>0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0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0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0</v>
      </c>
      <c r="X99" s="58">
        <f t="shared" si="36"/>
        <v>0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0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0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0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0</v>
      </c>
      <c r="AC99" s="58">
        <f t="shared" si="37"/>
        <v>0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0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</v>
      </c>
      <c r="AH99" s="58">
        <f t="shared" si="38"/>
        <v>0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0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 t="shared" si="39"/>
        <v>0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 t="shared" si="40"/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 t="shared" si="41"/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 t="shared" si="42"/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 t="shared" si="43"/>
        <v>0</v>
      </c>
    </row>
    <row r="100" spans="2:61" x14ac:dyDescent="0.25">
      <c r="C100" s="53" t="s">
        <v>649</v>
      </c>
      <c r="D100" s="54" t="s">
        <v>650</v>
      </c>
      <c r="E100" s="59">
        <f>IFERROR(E98+E99,"")</f>
        <v>0</v>
      </c>
      <c r="F100" s="59">
        <f>IFERROR(F98+F99,"")</f>
        <v>0</v>
      </c>
      <c r="G100" s="59">
        <f>IFERROR(G98+G99,"")</f>
        <v>0</v>
      </c>
      <c r="H100" s="59">
        <f>IFERROR(H98+H99,"")</f>
        <v>0</v>
      </c>
      <c r="I100" s="60">
        <f t="shared" si="33"/>
        <v>0</v>
      </c>
      <c r="J100" s="59">
        <f>IFERROR(J98+J99,"")</f>
        <v>0</v>
      </c>
      <c r="K100" s="59">
        <f>IFERROR(K98+K99,"")</f>
        <v>0</v>
      </c>
      <c r="L100" s="59">
        <f>IFERROR(L98+L99,"")</f>
        <v>0</v>
      </c>
      <c r="M100" s="59">
        <f>IFERROR(M98+M99,"")</f>
        <v>0</v>
      </c>
      <c r="N100" s="60">
        <f t="shared" si="34"/>
        <v>0</v>
      </c>
      <c r="O100" s="59">
        <f>IFERROR(O98+O99,"")</f>
        <v>0</v>
      </c>
      <c r="P100" s="59">
        <f>IFERROR(P98+P99,"")</f>
        <v>0</v>
      </c>
      <c r="Q100" s="59">
        <f>IFERROR(Q98+Q99,"")</f>
        <v>0</v>
      </c>
      <c r="R100" s="59">
        <f>IFERROR(R98+R99,"")</f>
        <v>0</v>
      </c>
      <c r="S100" s="60">
        <f t="shared" si="35"/>
        <v>0</v>
      </c>
      <c r="T100" s="59">
        <f>IFERROR(T98+T99,"")</f>
        <v>0</v>
      </c>
      <c r="U100" s="59">
        <f>IFERROR(U98+U99,"")</f>
        <v>0</v>
      </c>
      <c r="V100" s="59">
        <f>IFERROR(V98+V99,"")</f>
        <v>0</v>
      </c>
      <c r="W100" s="59">
        <f>IFERROR(W98+W99,"")</f>
        <v>0</v>
      </c>
      <c r="X100" s="60">
        <f t="shared" si="36"/>
        <v>0</v>
      </c>
      <c r="Y100" s="59">
        <f>IFERROR(Y98+Y99,"")</f>
        <v>0</v>
      </c>
      <c r="Z100" s="59">
        <f>IFERROR(Z98+Z99,"")</f>
        <v>0</v>
      </c>
      <c r="AA100" s="59">
        <f>IFERROR(AA98+AA99,"")</f>
        <v>0</v>
      </c>
      <c r="AB100" s="59">
        <f>IFERROR(AB98+AB99,"")</f>
        <v>0</v>
      </c>
      <c r="AC100" s="60">
        <f t="shared" si="37"/>
        <v>0</v>
      </c>
      <c r="AD100" s="59">
        <f>IFERROR(AD98+AD99,"")</f>
        <v>0</v>
      </c>
      <c r="AE100" s="59">
        <f>IFERROR(AE98+AE99,"")</f>
        <v>0</v>
      </c>
      <c r="AF100" s="59">
        <f>IFERROR(AF98+AF99,"")</f>
        <v>0</v>
      </c>
      <c r="AG100" s="59">
        <f>IFERROR(AG98+AG99,"")</f>
        <v>0</v>
      </c>
      <c r="AH100" s="60">
        <f t="shared" si="38"/>
        <v>0</v>
      </c>
      <c r="AI100" s="59">
        <f>IFERROR(AI98+AI99,"")</f>
        <v>0</v>
      </c>
      <c r="AJ100" s="59">
        <f>IFERROR(AJ98+AJ99,"")</f>
        <v>0</v>
      </c>
      <c r="AK100" s="59">
        <f>IFERROR(AK98+AK99,"")</f>
        <v>0</v>
      </c>
      <c r="AL100" s="59">
        <f>IFERROR(AL98+AL99,"")</f>
        <v>0</v>
      </c>
      <c r="AM100" s="60">
        <f t="shared" si="39"/>
        <v>0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 t="shared" si="40"/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 t="shared" si="41"/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 t="shared" si="42"/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 t="shared" si="43"/>
        <v>0</v>
      </c>
    </row>
    <row r="101" spans="2:61" x14ac:dyDescent="0.25">
      <c r="C101" s="15" t="s">
        <v>651</v>
      </c>
      <c r="D101" s="16" t="s">
        <v>652</v>
      </c>
      <c r="E101" s="59">
        <f>IFERROR(E102+E103,"")</f>
        <v>0</v>
      </c>
      <c r="F101" s="59">
        <f>IFERROR(F102+F103,"")</f>
        <v>0</v>
      </c>
      <c r="G101" s="59">
        <f>IFERROR(G102+G103,"")</f>
        <v>0</v>
      </c>
      <c r="H101" s="59">
        <f>IFERROR(H102+H103,"")</f>
        <v>0</v>
      </c>
      <c r="I101" s="60">
        <f t="shared" si="33"/>
        <v>0</v>
      </c>
      <c r="J101" s="59">
        <f>IFERROR(J102+J103,"")</f>
        <v>0</v>
      </c>
      <c r="K101" s="59">
        <f>IFERROR(K102+K103,"")</f>
        <v>0</v>
      </c>
      <c r="L101" s="59">
        <f>IFERROR(L102+L103,"")</f>
        <v>0</v>
      </c>
      <c r="M101" s="59">
        <f>IFERROR(M102+M103,"")</f>
        <v>0</v>
      </c>
      <c r="N101" s="60">
        <f t="shared" si="34"/>
        <v>0</v>
      </c>
      <c r="O101" s="59">
        <f>IFERROR(O102+O103,"")</f>
        <v>0</v>
      </c>
      <c r="P101" s="59">
        <f>IFERROR(P102+P103,"")</f>
        <v>0</v>
      </c>
      <c r="Q101" s="59">
        <f>IFERROR(Q102+Q103,"")</f>
        <v>0</v>
      </c>
      <c r="R101" s="59">
        <f>IFERROR(R102+R103,"")</f>
        <v>0</v>
      </c>
      <c r="S101" s="60">
        <f t="shared" si="35"/>
        <v>0</v>
      </c>
      <c r="T101" s="59">
        <f>IFERROR(T102+T103,"")</f>
        <v>0</v>
      </c>
      <c r="U101" s="59">
        <f>IFERROR(U102+U103,"")</f>
        <v>0</v>
      </c>
      <c r="V101" s="59">
        <f>IFERROR(V102+V103,"")</f>
        <v>0</v>
      </c>
      <c r="W101" s="59">
        <f>IFERROR(W102+W103,"")</f>
        <v>0</v>
      </c>
      <c r="X101" s="60">
        <f t="shared" si="36"/>
        <v>0</v>
      </c>
      <c r="Y101" s="59">
        <f>IFERROR(Y102+Y103,"")</f>
        <v>0</v>
      </c>
      <c r="Z101" s="59">
        <f>IFERROR(Z102+Z103,"")</f>
        <v>0</v>
      </c>
      <c r="AA101" s="59">
        <f>IFERROR(AA102+AA103,"")</f>
        <v>0</v>
      </c>
      <c r="AB101" s="59">
        <f>IFERROR(AB102+AB103,"")</f>
        <v>0</v>
      </c>
      <c r="AC101" s="60">
        <f t="shared" si="37"/>
        <v>0</v>
      </c>
      <c r="AD101" s="59">
        <f>IFERROR(AD102+AD103,"")</f>
        <v>0</v>
      </c>
      <c r="AE101" s="59">
        <f>IFERROR(AE102+AE103,"")</f>
        <v>0</v>
      </c>
      <c r="AF101" s="59">
        <f>IFERROR(AF102+AF103,"")</f>
        <v>0</v>
      </c>
      <c r="AG101" s="59">
        <f>IFERROR(AG102+AG103,"")</f>
        <v>0</v>
      </c>
      <c r="AH101" s="60">
        <f t="shared" si="38"/>
        <v>0</v>
      </c>
      <c r="AI101" s="59">
        <f>IFERROR(AI102+AI103,"")</f>
        <v>0</v>
      </c>
      <c r="AJ101" s="59">
        <f>IFERROR(AJ102+AJ103,"")</f>
        <v>0</v>
      </c>
      <c r="AK101" s="59">
        <f>IFERROR(AK102+AK103,"")</f>
        <v>0</v>
      </c>
      <c r="AL101" s="59">
        <f>IFERROR(AL102+AL103,"")</f>
        <v>0</v>
      </c>
      <c r="AM101" s="60">
        <f t="shared" si="39"/>
        <v>0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 t="shared" si="40"/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 t="shared" si="41"/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 t="shared" si="42"/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 t="shared" si="43"/>
        <v>0</v>
      </c>
    </row>
    <row r="102" spans="2:61" hidden="1" outlineLevel="1" x14ac:dyDescent="0.25">
      <c r="B102" s="56" t="s">
        <v>188</v>
      </c>
      <c r="C102" s="61" t="s">
        <v>189</v>
      </c>
      <c r="D102" s="62" t="s">
        <v>653</v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0</v>
      </c>
      <c r="F102" s="57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>0</v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0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0</v>
      </c>
      <c r="I102" s="58">
        <f t="shared" si="33"/>
        <v>0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0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0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0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0</v>
      </c>
      <c r="N102" s="58">
        <f t="shared" si="34"/>
        <v>0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0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0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0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0</v>
      </c>
      <c r="S102" s="58">
        <f t="shared" si="35"/>
        <v>0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0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0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0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0</v>
      </c>
      <c r="X102" s="58">
        <f t="shared" si="36"/>
        <v>0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0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0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0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0</v>
      </c>
      <c r="AC102" s="58">
        <f t="shared" si="37"/>
        <v>0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0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0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0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0</v>
      </c>
      <c r="AH102" s="58">
        <f t="shared" si="38"/>
        <v>0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0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0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 t="shared" si="39"/>
        <v>0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 t="shared" si="40"/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 t="shared" si="41"/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 t="shared" si="42"/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 t="shared" si="43"/>
        <v>0</v>
      </c>
    </row>
    <row r="103" spans="2:61" hidden="1" outlineLevel="1" x14ac:dyDescent="0.25">
      <c r="B103" s="56" t="s">
        <v>190</v>
      </c>
      <c r="C103" s="61" t="s">
        <v>191</v>
      </c>
      <c r="D103" s="62" t="s">
        <v>654</v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 t="shared" si="33"/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 t="shared" si="34"/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 t="shared" si="35"/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 t="shared" si="36"/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 t="shared" si="37"/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 t="shared" si="38"/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 t="shared" si="39"/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 t="shared" si="40"/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 t="shared" si="41"/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 t="shared" si="42"/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 t="shared" si="43"/>
        <v>0</v>
      </c>
    </row>
    <row r="104" spans="2:61" x14ac:dyDescent="0.25">
      <c r="C104" s="53" t="s">
        <v>655</v>
      </c>
      <c r="D104" s="54" t="s">
        <v>656</v>
      </c>
      <c r="E104" s="59">
        <f>IFERROR(E100+E101,"")</f>
        <v>0</v>
      </c>
      <c r="F104" s="59">
        <f>IFERROR(F100+F101,"")</f>
        <v>0</v>
      </c>
      <c r="G104" s="59">
        <f>IFERROR(G100+G101,"")</f>
        <v>0</v>
      </c>
      <c r="H104" s="59">
        <f>IFERROR(H100+H101,"")</f>
        <v>0</v>
      </c>
      <c r="I104" s="60">
        <f t="shared" si="33"/>
        <v>0</v>
      </c>
      <c r="J104" s="59">
        <f>IFERROR(J100+J101,"")</f>
        <v>0</v>
      </c>
      <c r="K104" s="59">
        <f>IFERROR(K100+K101,"")</f>
        <v>0</v>
      </c>
      <c r="L104" s="59">
        <f>IFERROR(L100+L101,"")</f>
        <v>0</v>
      </c>
      <c r="M104" s="59">
        <f>IFERROR(M100+M101,"")</f>
        <v>0</v>
      </c>
      <c r="N104" s="60">
        <f t="shared" si="34"/>
        <v>0</v>
      </c>
      <c r="O104" s="59">
        <f>IFERROR(O100+O101,"")</f>
        <v>0</v>
      </c>
      <c r="P104" s="59">
        <f>IFERROR(P100+P101,"")</f>
        <v>0</v>
      </c>
      <c r="Q104" s="59">
        <f>IFERROR(Q100+Q101,"")</f>
        <v>0</v>
      </c>
      <c r="R104" s="59">
        <f>IFERROR(R100+R101,"")</f>
        <v>0</v>
      </c>
      <c r="S104" s="60">
        <f t="shared" si="35"/>
        <v>0</v>
      </c>
      <c r="T104" s="59">
        <f>IFERROR(T100+T101,"")</f>
        <v>0</v>
      </c>
      <c r="U104" s="59">
        <f>IFERROR(U100+U101,"")</f>
        <v>0</v>
      </c>
      <c r="V104" s="59">
        <f>IFERROR(V100+V101,"")</f>
        <v>0</v>
      </c>
      <c r="W104" s="59">
        <f>IFERROR(W100+W101,"")</f>
        <v>0</v>
      </c>
      <c r="X104" s="60">
        <f t="shared" si="36"/>
        <v>0</v>
      </c>
      <c r="Y104" s="59">
        <f>IFERROR(Y100+Y101,"")</f>
        <v>0</v>
      </c>
      <c r="Z104" s="59">
        <f>IFERROR(Z100+Z101,"")</f>
        <v>0</v>
      </c>
      <c r="AA104" s="59">
        <f>IFERROR(AA100+AA101,"")</f>
        <v>0</v>
      </c>
      <c r="AB104" s="59">
        <f>IFERROR(AB100+AB101,"")</f>
        <v>0</v>
      </c>
      <c r="AC104" s="60">
        <f t="shared" si="37"/>
        <v>0</v>
      </c>
      <c r="AD104" s="59">
        <f>IFERROR(AD100+AD101,"")</f>
        <v>0</v>
      </c>
      <c r="AE104" s="59">
        <f>IFERROR(AE100+AE101,"")</f>
        <v>0</v>
      </c>
      <c r="AF104" s="59">
        <f>IFERROR(AF100+AF101,"")</f>
        <v>0</v>
      </c>
      <c r="AG104" s="59">
        <f>IFERROR(AG100+AG101,"")</f>
        <v>0</v>
      </c>
      <c r="AH104" s="60">
        <f t="shared" si="38"/>
        <v>0</v>
      </c>
      <c r="AI104" s="59">
        <f>IFERROR(AI100+AI101,"")</f>
        <v>0</v>
      </c>
      <c r="AJ104" s="59">
        <f>IFERROR(AJ100+AJ101,"")</f>
        <v>0</v>
      </c>
      <c r="AK104" s="59">
        <f>IFERROR(AK100+AK101,"")</f>
        <v>0</v>
      </c>
      <c r="AL104" s="59">
        <f>IFERROR(AL100+AL101,"")</f>
        <v>0</v>
      </c>
      <c r="AM104" s="60">
        <f t="shared" si="39"/>
        <v>0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 t="shared" si="40"/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 t="shared" si="41"/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 t="shared" si="42"/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 t="shared" si="43"/>
        <v>0</v>
      </c>
    </row>
    <row r="105" spans="2:61" x14ac:dyDescent="0.25">
      <c r="B105" s="56" t="s">
        <v>192</v>
      </c>
      <c r="C105" s="11" t="s">
        <v>193</v>
      </c>
      <c r="D105" s="12" t="s">
        <v>657</v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>0</v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 t="shared" si="33"/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0</v>
      </c>
      <c r="N105" s="58">
        <f t="shared" si="34"/>
        <v>0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0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0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0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0</v>
      </c>
      <c r="S105" s="58">
        <f t="shared" si="35"/>
        <v>0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0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0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0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0</v>
      </c>
      <c r="X105" s="58">
        <f t="shared" si="36"/>
        <v>0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0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0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0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0</v>
      </c>
      <c r="AC105" s="58">
        <f t="shared" si="37"/>
        <v>0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0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0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0</v>
      </c>
      <c r="AH105" s="58">
        <f t="shared" si="38"/>
        <v>0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0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0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 t="shared" si="39"/>
        <v>0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 t="shared" si="40"/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 t="shared" si="41"/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 t="shared" si="42"/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 t="shared" si="43"/>
        <v>0</v>
      </c>
    </row>
    <row r="106" spans="2:61" x14ac:dyDescent="0.25">
      <c r="C106" s="53" t="s">
        <v>658</v>
      </c>
      <c r="D106" s="54" t="s">
        <v>659</v>
      </c>
      <c r="E106" s="59">
        <f>IFERROR(E104+E105,"")</f>
        <v>0</v>
      </c>
      <c r="F106" s="59">
        <f>IFERROR(F104+F105,"")</f>
        <v>0</v>
      </c>
      <c r="G106" s="59">
        <f>IFERROR(G104+G105,"")</f>
        <v>0</v>
      </c>
      <c r="H106" s="59">
        <f>IFERROR(H104+H105,"")</f>
        <v>0</v>
      </c>
      <c r="I106" s="60">
        <f t="shared" si="33"/>
        <v>0</v>
      </c>
      <c r="J106" s="59">
        <f>IFERROR(J104+J105,"")</f>
        <v>0</v>
      </c>
      <c r="K106" s="59">
        <f>IFERROR(K104+K105,"")</f>
        <v>0</v>
      </c>
      <c r="L106" s="59">
        <f>IFERROR(L104+L105,"")</f>
        <v>0</v>
      </c>
      <c r="M106" s="59">
        <f>IFERROR(M104+M105,"")</f>
        <v>0</v>
      </c>
      <c r="N106" s="60">
        <f t="shared" si="34"/>
        <v>0</v>
      </c>
      <c r="O106" s="59">
        <f>IFERROR(O104+O105,"")</f>
        <v>0</v>
      </c>
      <c r="P106" s="59">
        <f>IFERROR(P104+P105,"")</f>
        <v>0</v>
      </c>
      <c r="Q106" s="59">
        <f>IFERROR(Q104+Q105,"")</f>
        <v>0</v>
      </c>
      <c r="R106" s="59">
        <f>IFERROR(R104+R105,"")</f>
        <v>0</v>
      </c>
      <c r="S106" s="60">
        <f t="shared" si="35"/>
        <v>0</v>
      </c>
      <c r="T106" s="59">
        <f>IFERROR(T104+T105,"")</f>
        <v>0</v>
      </c>
      <c r="U106" s="59">
        <f>IFERROR(U104+U105,"")</f>
        <v>0</v>
      </c>
      <c r="V106" s="59">
        <f>IFERROR(V104+V105,"")</f>
        <v>0</v>
      </c>
      <c r="W106" s="59">
        <f>IFERROR(W104+W105,"")</f>
        <v>0</v>
      </c>
      <c r="X106" s="60">
        <f t="shared" si="36"/>
        <v>0</v>
      </c>
      <c r="Y106" s="59">
        <f>IFERROR(Y104+Y105,"")</f>
        <v>0</v>
      </c>
      <c r="Z106" s="59">
        <f>IFERROR(Z104+Z105,"")</f>
        <v>0</v>
      </c>
      <c r="AA106" s="59">
        <f>IFERROR(AA104+AA105,"")</f>
        <v>0</v>
      </c>
      <c r="AB106" s="59">
        <f>IFERROR(AB104+AB105,"")</f>
        <v>0</v>
      </c>
      <c r="AC106" s="60">
        <f t="shared" si="37"/>
        <v>0</v>
      </c>
      <c r="AD106" s="59">
        <f>IFERROR(AD104+AD105,"")</f>
        <v>0</v>
      </c>
      <c r="AE106" s="59">
        <f>IFERROR(AE104+AE105,"")</f>
        <v>0</v>
      </c>
      <c r="AF106" s="59">
        <f>IFERROR(AF104+AF105,"")</f>
        <v>0</v>
      </c>
      <c r="AG106" s="59">
        <f>IFERROR(AG104+AG105,"")</f>
        <v>0</v>
      </c>
      <c r="AH106" s="60">
        <f t="shared" si="38"/>
        <v>0</v>
      </c>
      <c r="AI106" s="59">
        <f>IFERROR(AI104+AI105,"")</f>
        <v>0</v>
      </c>
      <c r="AJ106" s="59">
        <f>IFERROR(AJ104+AJ105,"")</f>
        <v>0</v>
      </c>
      <c r="AK106" s="59">
        <f>IFERROR(AK104+AK105,"")</f>
        <v>0</v>
      </c>
      <c r="AL106" s="59">
        <f>IFERROR(AL104+AL105,"")</f>
        <v>0</v>
      </c>
      <c r="AM106" s="60">
        <f t="shared" si="39"/>
        <v>0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 t="shared" si="40"/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 t="shared" si="41"/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 t="shared" si="42"/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 t="shared" si="43"/>
        <v>0</v>
      </c>
    </row>
    <row r="108" spans="2:61" x14ac:dyDescent="0.25">
      <c r="B108" s="7"/>
      <c r="C108" s="7" t="s">
        <v>194</v>
      </c>
      <c r="D108" s="7" t="s">
        <v>660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10" spans="2:61" x14ac:dyDescent="0.25">
      <c r="B110" s="29"/>
      <c r="C110" s="29" t="s">
        <v>661</v>
      </c>
      <c r="D110" s="29" t="s">
        <v>662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</row>
    <row r="111" spans="2:61" x14ac:dyDescent="0.25">
      <c r="B111" s="56" t="s">
        <v>195</v>
      </c>
      <c r="C111" s="11" t="s">
        <v>196</v>
      </c>
      <c r="D111" s="12" t="s">
        <v>663</v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0</v>
      </c>
      <c r="F111" s="57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>0</v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0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0</v>
      </c>
      <c r="I111" s="58">
        <f t="shared" ref="I111:I122" si="44">H111</f>
        <v>0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0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0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0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0</v>
      </c>
      <c r="N111" s="58">
        <f t="shared" ref="N111:N122" si="45">M111</f>
        <v>0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0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0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0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0</v>
      </c>
      <c r="S111" s="58">
        <f t="shared" ref="S111:S122" si="46">R111</f>
        <v>0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0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0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0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0</v>
      </c>
      <c r="X111" s="58">
        <f t="shared" ref="X111:X122" si="47">W111</f>
        <v>0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0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0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0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0</v>
      </c>
      <c r="AC111" s="58">
        <f t="shared" ref="AC111:AC122" si="48">AB111</f>
        <v>0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0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0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0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0</v>
      </c>
      <c r="AH111" s="58">
        <f t="shared" ref="AH111:AH122" si="49">AG111</f>
        <v>0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0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0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 t="shared" ref="AM111:AM122" si="50"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 t="shared" ref="AR111:AR122" si="51"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 t="shared" ref="AW111:AW122" si="52"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 t="shared" ref="BB111:BB122" si="53"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 t="shared" ref="BG111:BG122" si="54">BF111</f>
        <v>0</v>
      </c>
      <c r="BI111" s="14" t="s">
        <v>664</v>
      </c>
    </row>
    <row r="112" spans="2:61" x14ac:dyDescent="0.25">
      <c r="B112" s="56" t="s">
        <v>197</v>
      </c>
      <c r="C112" s="11" t="s">
        <v>198</v>
      </c>
      <c r="D112" s="12" t="s">
        <v>665</v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0</v>
      </c>
      <c r="F112" s="57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>0</v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0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0</v>
      </c>
      <c r="I112" s="58">
        <f t="shared" si="44"/>
        <v>0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0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0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0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0</v>
      </c>
      <c r="N112" s="58">
        <f t="shared" si="45"/>
        <v>0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0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0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0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0</v>
      </c>
      <c r="S112" s="58">
        <f t="shared" si="46"/>
        <v>0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0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0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0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0</v>
      </c>
      <c r="X112" s="58">
        <f t="shared" si="47"/>
        <v>0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0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0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0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0</v>
      </c>
      <c r="AC112" s="58">
        <f t="shared" si="48"/>
        <v>0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0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0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0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0</v>
      </c>
      <c r="AH112" s="58">
        <f t="shared" si="49"/>
        <v>0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0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0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 t="shared" si="50"/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 t="shared" si="51"/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 t="shared" si="52"/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 t="shared" si="53"/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 t="shared" si="54"/>
        <v>0</v>
      </c>
    </row>
    <row r="113" spans="2:61" x14ac:dyDescent="0.25">
      <c r="B113" s="56" t="s">
        <v>199</v>
      </c>
      <c r="C113" s="11" t="s">
        <v>200</v>
      </c>
      <c r="D113" s="12" t="s">
        <v>666</v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0</v>
      </c>
      <c r="F113" s="57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>0</v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0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0</v>
      </c>
      <c r="I113" s="58">
        <f t="shared" si="44"/>
        <v>0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0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0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0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0</v>
      </c>
      <c r="N113" s="58">
        <f t="shared" si="45"/>
        <v>0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0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0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0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0</v>
      </c>
      <c r="S113" s="58">
        <f t="shared" si="46"/>
        <v>0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0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0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0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0</v>
      </c>
      <c r="X113" s="58">
        <f t="shared" si="47"/>
        <v>0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0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0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0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0</v>
      </c>
      <c r="AC113" s="58">
        <f t="shared" si="48"/>
        <v>0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0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0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0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0</v>
      </c>
      <c r="AH113" s="58">
        <f t="shared" si="49"/>
        <v>0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0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0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 t="shared" si="50"/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 t="shared" si="51"/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 t="shared" si="52"/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 t="shared" si="53"/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 t="shared" si="54"/>
        <v>0</v>
      </c>
    </row>
    <row r="114" spans="2:61" x14ac:dyDescent="0.25">
      <c r="B114" s="56" t="s">
        <v>201</v>
      </c>
      <c r="C114" s="11" t="s">
        <v>202</v>
      </c>
      <c r="D114" s="12" t="s">
        <v>667</v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 t="shared" si="44"/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 t="shared" si="45"/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 t="shared" si="46"/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 t="shared" si="47"/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 t="shared" si="48"/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 t="shared" si="49"/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 t="shared" si="50"/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 t="shared" si="51"/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 t="shared" si="52"/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 t="shared" si="53"/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 t="shared" si="54"/>
        <v>0</v>
      </c>
    </row>
    <row r="115" spans="2:61" x14ac:dyDescent="0.25">
      <c r="B115" s="56" t="s">
        <v>203</v>
      </c>
      <c r="C115" s="11" t="s">
        <v>204</v>
      </c>
      <c r="D115" s="12" t="s">
        <v>668</v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 t="shared" si="44"/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 t="shared" si="45"/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 t="shared" si="46"/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 t="shared" si="47"/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 t="shared" si="48"/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 t="shared" si="49"/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 t="shared" si="50"/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 t="shared" si="51"/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 t="shared" si="52"/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 t="shared" si="53"/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 t="shared" si="54"/>
        <v>0</v>
      </c>
    </row>
    <row r="116" spans="2:61" x14ac:dyDescent="0.25">
      <c r="B116" s="56" t="s">
        <v>205</v>
      </c>
      <c r="C116" s="11" t="s">
        <v>206</v>
      </c>
      <c r="D116" s="12" t="s">
        <v>669</v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 t="shared" si="44"/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 t="shared" si="45"/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 t="shared" si="46"/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 t="shared" si="47"/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 t="shared" si="48"/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 t="shared" si="49"/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 t="shared" si="50"/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 t="shared" si="51"/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 t="shared" si="52"/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 t="shared" si="53"/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 t="shared" si="54"/>
        <v>0</v>
      </c>
    </row>
    <row r="117" spans="2:61" x14ac:dyDescent="0.25">
      <c r="B117" s="56" t="s">
        <v>207</v>
      </c>
      <c r="C117" s="11" t="s">
        <v>208</v>
      </c>
      <c r="D117" s="12" t="s">
        <v>670</v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 t="shared" si="44"/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 t="shared" si="45"/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 t="shared" si="46"/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 t="shared" si="47"/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 t="shared" si="48"/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 t="shared" si="49"/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 t="shared" si="50"/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 t="shared" si="51"/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 t="shared" si="52"/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 t="shared" si="53"/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 t="shared" si="54"/>
        <v>0</v>
      </c>
    </row>
    <row r="118" spans="2:61" x14ac:dyDescent="0.25">
      <c r="B118" s="56" t="s">
        <v>209</v>
      </c>
      <c r="C118" s="11" t="s">
        <v>210</v>
      </c>
      <c r="D118" s="12" t="s">
        <v>671</v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 t="shared" si="44"/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 t="shared" si="45"/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 t="shared" si="46"/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 t="shared" si="47"/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 t="shared" si="48"/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 t="shared" si="49"/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 t="shared" si="50"/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 t="shared" si="51"/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 t="shared" si="52"/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 t="shared" si="53"/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 t="shared" si="54"/>
        <v>0</v>
      </c>
    </row>
    <row r="119" spans="2:61" x14ac:dyDescent="0.25">
      <c r="B119" s="56" t="s">
        <v>211</v>
      </c>
      <c r="C119" s="11" t="s">
        <v>212</v>
      </c>
      <c r="D119" s="12" t="s">
        <v>672</v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 t="shared" si="44"/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 t="shared" si="45"/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 t="shared" si="46"/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 t="shared" si="47"/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 t="shared" si="48"/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 t="shared" si="49"/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 t="shared" si="50"/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 t="shared" si="51"/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 t="shared" si="52"/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 t="shared" si="53"/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 t="shared" si="54"/>
        <v>0</v>
      </c>
    </row>
    <row r="120" spans="2:61" x14ac:dyDescent="0.25">
      <c r="B120" s="56" t="s">
        <v>213</v>
      </c>
      <c r="C120" s="15" t="s">
        <v>214</v>
      </c>
      <c r="D120" s="16" t="s">
        <v>673</v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0</v>
      </c>
      <c r="F120" s="67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>0</v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0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0</v>
      </c>
      <c r="I120" s="58">
        <f t="shared" si="44"/>
        <v>0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0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0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0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0</v>
      </c>
      <c r="N120" s="58">
        <f t="shared" si="45"/>
        <v>0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0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0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0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0</v>
      </c>
      <c r="S120" s="58">
        <f t="shared" si="46"/>
        <v>0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0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0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0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0</v>
      </c>
      <c r="X120" s="58">
        <f t="shared" si="47"/>
        <v>0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0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0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0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0</v>
      </c>
      <c r="AC120" s="58">
        <f t="shared" si="48"/>
        <v>0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0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0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0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0</v>
      </c>
      <c r="AH120" s="58">
        <f t="shared" si="49"/>
        <v>0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0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0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 t="shared" si="50"/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 t="shared" si="51"/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 t="shared" si="52"/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 t="shared" si="53"/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 t="shared" si="54"/>
        <v>0</v>
      </c>
    </row>
    <row r="121" spans="2:61" x14ac:dyDescent="0.25">
      <c r="B121" s="56" t="s">
        <v>215</v>
      </c>
      <c r="C121" s="11" t="s">
        <v>216</v>
      </c>
      <c r="D121" s="12" t="s">
        <v>674</v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 t="shared" si="44"/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 t="shared" si="45"/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 t="shared" si="46"/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 t="shared" si="47"/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 t="shared" si="48"/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0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0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0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0</v>
      </c>
      <c r="AH121" s="58">
        <f t="shared" si="49"/>
        <v>0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0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0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 t="shared" si="50"/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 t="shared" si="51"/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 t="shared" si="52"/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 t="shared" si="53"/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 t="shared" si="54"/>
        <v>0</v>
      </c>
    </row>
    <row r="122" spans="2:61" x14ac:dyDescent="0.25">
      <c r="B122" s="56" t="s">
        <v>217</v>
      </c>
      <c r="C122" s="11" t="s">
        <v>218</v>
      </c>
      <c r="D122" s="12" t="s">
        <v>675</v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 t="shared" si="44"/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 t="shared" si="45"/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 t="shared" si="46"/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 t="shared" si="47"/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 t="shared" si="48"/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 t="shared" si="49"/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 t="shared" si="50"/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 t="shared" si="51"/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 t="shared" si="52"/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 t="shared" si="53"/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 t="shared" si="54"/>
        <v>0</v>
      </c>
    </row>
    <row r="123" spans="2:61" x14ac:dyDescent="0.25">
      <c r="B123" s="56" t="s">
        <v>219</v>
      </c>
      <c r="C123" s="11" t="s">
        <v>220</v>
      </c>
      <c r="D123" s="12" t="s">
        <v>676</v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>0</v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 spans="2:61" x14ac:dyDescent="0.25">
      <c r="B124" s="56" t="s">
        <v>221</v>
      </c>
      <c r="C124" s="11" t="s">
        <v>222</v>
      </c>
      <c r="D124" s="12" t="s">
        <v>677</v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 spans="2:61" x14ac:dyDescent="0.25">
      <c r="B126" s="29"/>
      <c r="C126" s="29" t="s">
        <v>678</v>
      </c>
      <c r="D126" s="29" t="s">
        <v>679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</row>
    <row r="127" spans="2:61" x14ac:dyDescent="0.25">
      <c r="B127" s="56" t="s">
        <v>223</v>
      </c>
      <c r="C127" s="11" t="s">
        <v>224</v>
      </c>
      <c r="D127" s="12" t="s">
        <v>680</v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 spans="2:61" x14ac:dyDescent="0.25">
      <c r="B128" s="56" t="s">
        <v>225</v>
      </c>
      <c r="C128" s="11" t="s">
        <v>226</v>
      </c>
      <c r="D128" s="12" t="s">
        <v>681</v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>0</v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 spans="2:61" x14ac:dyDescent="0.25">
      <c r="B129" s="56" t="s">
        <v>227</v>
      </c>
      <c r="C129" s="11" t="s">
        <v>228</v>
      </c>
      <c r="D129" s="12" t="s">
        <v>682</v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>0</v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0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0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0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0</v>
      </c>
      <c r="N129" s="58">
        <f>M129</f>
        <v>0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0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0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0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0</v>
      </c>
      <c r="S129" s="58">
        <f>R129</f>
        <v>0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0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0</v>
      </c>
      <c r="X129" s="58">
        <f>W129</f>
        <v>0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0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0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0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0</v>
      </c>
      <c r="AC129" s="58">
        <f>AB129</f>
        <v>0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0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0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0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0</v>
      </c>
      <c r="AH129" s="58">
        <f>AG129</f>
        <v>0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0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0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 spans="2:61" x14ac:dyDescent="0.25">
      <c r="B130" s="56" t="s">
        <v>229</v>
      </c>
      <c r="C130" s="11" t="s">
        <v>230</v>
      </c>
      <c r="D130" s="12" t="s">
        <v>683</v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 spans="2:61" x14ac:dyDescent="0.25">
      <c r="B132" s="29"/>
      <c r="C132" s="29" t="s">
        <v>684</v>
      </c>
      <c r="D132" s="29" t="s">
        <v>685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</row>
    <row r="133" spans="2:61" x14ac:dyDescent="0.25">
      <c r="B133" s="56" t="s">
        <v>231</v>
      </c>
      <c r="C133" s="11" t="s">
        <v>232</v>
      </c>
      <c r="D133" s="12" t="s">
        <v>686</v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0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0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0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0</v>
      </c>
      <c r="I133" s="58">
        <f t="shared" ref="I133:I145" si="55">H133</f>
        <v>0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0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0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0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0</v>
      </c>
      <c r="N133" s="58">
        <f t="shared" ref="N133:N145" si="56">M133</f>
        <v>0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0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0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0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0</v>
      </c>
      <c r="S133" s="58">
        <f t="shared" ref="S133:S145" si="57">R133</f>
        <v>0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0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0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0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0</v>
      </c>
      <c r="X133" s="58">
        <f t="shared" ref="X133:X145" si="58">W133</f>
        <v>0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0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0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0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0</v>
      </c>
      <c r="AC133" s="58">
        <f t="shared" ref="AC133:AC145" si="59">AB133</f>
        <v>0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0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0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0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0</v>
      </c>
      <c r="AH133" s="58">
        <f t="shared" ref="AH133:AH145" si="60">AG133</f>
        <v>0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0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0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 t="shared" ref="AM133:AM145" si="61"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 t="shared" ref="AR133:AR145" si="62"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 t="shared" ref="AW133:AW145" si="63"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 t="shared" ref="BB133:BB145" si="64"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 t="shared" ref="BG133:BG145" si="65">BF133</f>
        <v>0</v>
      </c>
      <c r="BI133" s="14" t="s">
        <v>687</v>
      </c>
    </row>
    <row r="134" spans="2:61" x14ac:dyDescent="0.25">
      <c r="B134" s="56" t="s">
        <v>233</v>
      </c>
      <c r="C134" s="11" t="s">
        <v>234</v>
      </c>
      <c r="D134" s="12" t="s">
        <v>688</v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0</v>
      </c>
      <c r="F134" s="57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>0</v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0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0</v>
      </c>
      <c r="I134" s="58">
        <f t="shared" si="55"/>
        <v>0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0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0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0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0</v>
      </c>
      <c r="N134" s="58">
        <f t="shared" si="56"/>
        <v>0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0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0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0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0</v>
      </c>
      <c r="S134" s="58">
        <f t="shared" si="57"/>
        <v>0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0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0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0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0</v>
      </c>
      <c r="X134" s="58">
        <f t="shared" si="58"/>
        <v>0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0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0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0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0</v>
      </c>
      <c r="AC134" s="58">
        <f t="shared" si="59"/>
        <v>0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0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0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0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0</v>
      </c>
      <c r="AH134" s="58">
        <f t="shared" si="60"/>
        <v>0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0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0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 t="shared" si="61"/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 t="shared" si="62"/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 t="shared" si="63"/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 t="shared" si="64"/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 t="shared" si="65"/>
        <v>0</v>
      </c>
    </row>
    <row r="135" spans="2:61" x14ac:dyDescent="0.25">
      <c r="B135" s="56" t="s">
        <v>235</v>
      </c>
      <c r="C135" s="11" t="s">
        <v>236</v>
      </c>
      <c r="D135" s="12" t="s">
        <v>689</v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0</v>
      </c>
      <c r="F135" s="57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>0</v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0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0</v>
      </c>
      <c r="I135" s="58">
        <f t="shared" si="55"/>
        <v>0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0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0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0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0</v>
      </c>
      <c r="N135" s="58">
        <f t="shared" si="56"/>
        <v>0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0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0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0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0</v>
      </c>
      <c r="S135" s="58">
        <f t="shared" si="57"/>
        <v>0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0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0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0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0</v>
      </c>
      <c r="X135" s="58">
        <f t="shared" si="58"/>
        <v>0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0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0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0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0</v>
      </c>
      <c r="AC135" s="58">
        <f t="shared" si="59"/>
        <v>0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0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0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0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0</v>
      </c>
      <c r="AH135" s="58">
        <f t="shared" si="60"/>
        <v>0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0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0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 t="shared" si="61"/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 t="shared" si="62"/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 t="shared" si="63"/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 t="shared" si="64"/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 t="shared" si="65"/>
        <v>0</v>
      </c>
    </row>
    <row r="136" spans="2:61" x14ac:dyDescent="0.25">
      <c r="B136" s="56" t="s">
        <v>237</v>
      </c>
      <c r="C136" s="11" t="s">
        <v>238</v>
      </c>
      <c r="D136" s="12" t="s">
        <v>690</v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0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0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0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0</v>
      </c>
      <c r="I136" s="58">
        <f t="shared" si="55"/>
        <v>0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0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0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0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0</v>
      </c>
      <c r="N136" s="58">
        <f t="shared" si="56"/>
        <v>0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0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0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0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0</v>
      </c>
      <c r="S136" s="58">
        <f t="shared" si="57"/>
        <v>0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0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0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0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0</v>
      </c>
      <c r="X136" s="58">
        <f t="shared" si="58"/>
        <v>0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0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0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0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0</v>
      </c>
      <c r="AC136" s="58">
        <f t="shared" si="59"/>
        <v>0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0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0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0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0</v>
      </c>
      <c r="AH136" s="58">
        <f t="shared" si="60"/>
        <v>0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0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0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 t="shared" si="61"/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 t="shared" si="62"/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 t="shared" si="63"/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 t="shared" si="64"/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 t="shared" si="65"/>
        <v>0</v>
      </c>
    </row>
    <row r="137" spans="2:61" x14ac:dyDescent="0.25">
      <c r="B137" s="56" t="s">
        <v>239</v>
      </c>
      <c r="C137" s="11" t="s">
        <v>240</v>
      </c>
      <c r="D137" s="12" t="s">
        <v>691</v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0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0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0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0</v>
      </c>
      <c r="I137" s="58">
        <f t="shared" si="55"/>
        <v>0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0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0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0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0</v>
      </c>
      <c r="N137" s="58">
        <f t="shared" si="56"/>
        <v>0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0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0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0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0</v>
      </c>
      <c r="S137" s="58">
        <f t="shared" si="57"/>
        <v>0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0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0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0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0</v>
      </c>
      <c r="X137" s="58">
        <f t="shared" si="58"/>
        <v>0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0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0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0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0</v>
      </c>
      <c r="AC137" s="58">
        <f t="shared" si="59"/>
        <v>0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0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0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0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0</v>
      </c>
      <c r="AH137" s="58">
        <f t="shared" si="60"/>
        <v>0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0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0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 t="shared" si="61"/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 t="shared" si="62"/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 t="shared" si="63"/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 t="shared" si="64"/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 t="shared" si="65"/>
        <v>0</v>
      </c>
    </row>
    <row r="138" spans="2:61" x14ac:dyDescent="0.25">
      <c r="B138" s="56" t="s">
        <v>241</v>
      </c>
      <c r="C138" s="11" t="s">
        <v>242</v>
      </c>
      <c r="D138" s="12" t="s">
        <v>692</v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 t="shared" si="55"/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0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0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0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0</v>
      </c>
      <c r="N138" s="58">
        <f t="shared" si="56"/>
        <v>0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0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0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0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0</v>
      </c>
      <c r="S138" s="58">
        <f t="shared" si="57"/>
        <v>0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0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0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0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0</v>
      </c>
      <c r="X138" s="58">
        <f t="shared" si="58"/>
        <v>0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0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0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0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0</v>
      </c>
      <c r="AC138" s="58">
        <f t="shared" si="59"/>
        <v>0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0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0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0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0</v>
      </c>
      <c r="AH138" s="58">
        <f t="shared" si="60"/>
        <v>0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0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0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 t="shared" si="61"/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 t="shared" si="62"/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 t="shared" si="63"/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 t="shared" si="64"/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 t="shared" si="65"/>
        <v>0</v>
      </c>
    </row>
    <row r="139" spans="2:61" x14ac:dyDescent="0.25">
      <c r="B139" s="56" t="s">
        <v>243</v>
      </c>
      <c r="C139" s="11" t="s">
        <v>244</v>
      </c>
      <c r="D139" s="12" t="s">
        <v>693</v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 t="shared" si="55"/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0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0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0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0</v>
      </c>
      <c r="N139" s="58">
        <f t="shared" si="56"/>
        <v>0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0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0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0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0</v>
      </c>
      <c r="S139" s="58">
        <f t="shared" si="57"/>
        <v>0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0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0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0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0</v>
      </c>
      <c r="X139" s="58">
        <f t="shared" si="58"/>
        <v>0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0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0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0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0</v>
      </c>
      <c r="AC139" s="58">
        <f t="shared" si="59"/>
        <v>0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0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0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0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0</v>
      </c>
      <c r="AH139" s="58">
        <f t="shared" si="60"/>
        <v>0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0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0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 t="shared" si="61"/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 t="shared" si="62"/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 t="shared" si="63"/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 t="shared" si="64"/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 t="shared" si="65"/>
        <v>0</v>
      </c>
    </row>
    <row r="140" spans="2:61" x14ac:dyDescent="0.25">
      <c r="B140" s="56" t="s">
        <v>245</v>
      </c>
      <c r="C140" s="11" t="s">
        <v>246</v>
      </c>
      <c r="D140" s="12" t="s">
        <v>434</v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</v>
      </c>
      <c r="F140" s="68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</v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</v>
      </c>
      <c r="I140" s="69">
        <f t="shared" si="55"/>
        <v>0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</v>
      </c>
      <c r="N140" s="69">
        <f t="shared" si="56"/>
        <v>0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</v>
      </c>
      <c r="S140" s="69">
        <f t="shared" si="57"/>
        <v>0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</v>
      </c>
      <c r="X140" s="69">
        <f t="shared" si="58"/>
        <v>0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</v>
      </c>
      <c r="AC140" s="69">
        <f t="shared" si="59"/>
        <v>0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</v>
      </c>
      <c r="AH140" s="69">
        <f t="shared" si="60"/>
        <v>0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 t="shared" si="61"/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 t="shared" si="62"/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 t="shared" si="63"/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 t="shared" si="64"/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 t="shared" si="65"/>
        <v>0</v>
      </c>
    </row>
    <row r="141" spans="2:61" x14ac:dyDescent="0.25">
      <c r="B141" s="56" t="s">
        <v>248</v>
      </c>
      <c r="C141" s="11" t="s">
        <v>249</v>
      </c>
      <c r="D141" s="12" t="s">
        <v>435</v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</v>
      </c>
      <c r="F141" s="68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</v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</v>
      </c>
      <c r="I141" s="69">
        <f t="shared" si="55"/>
        <v>0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</v>
      </c>
      <c r="N141" s="69">
        <f t="shared" si="56"/>
        <v>0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</v>
      </c>
      <c r="S141" s="69">
        <f t="shared" si="57"/>
        <v>0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</v>
      </c>
      <c r="X141" s="69">
        <f t="shared" si="58"/>
        <v>0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</v>
      </c>
      <c r="AC141" s="69">
        <f t="shared" si="59"/>
        <v>0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</v>
      </c>
      <c r="AH141" s="69">
        <f t="shared" si="60"/>
        <v>0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 t="shared" si="61"/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 t="shared" si="62"/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 t="shared" si="63"/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 t="shared" si="64"/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 t="shared" si="65"/>
        <v>0</v>
      </c>
    </row>
    <row r="142" spans="2:61" x14ac:dyDescent="0.25">
      <c r="B142" s="56" t="s">
        <v>250</v>
      </c>
      <c r="C142" s="11" t="s">
        <v>251</v>
      </c>
      <c r="D142" s="12" t="s">
        <v>694</v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</v>
      </c>
      <c r="F142" s="68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</v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</v>
      </c>
      <c r="I142" s="69">
        <f t="shared" si="55"/>
        <v>0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</v>
      </c>
      <c r="N142" s="69">
        <f t="shared" si="56"/>
        <v>0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</v>
      </c>
      <c r="S142" s="69">
        <f t="shared" si="57"/>
        <v>0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</v>
      </c>
      <c r="X142" s="69">
        <f t="shared" si="58"/>
        <v>0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</v>
      </c>
      <c r="AC142" s="69">
        <f t="shared" si="59"/>
        <v>0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</v>
      </c>
      <c r="AH142" s="69">
        <f t="shared" si="60"/>
        <v>0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 t="shared" si="61"/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 t="shared" si="62"/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 t="shared" si="63"/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 t="shared" si="64"/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 t="shared" si="65"/>
        <v>0</v>
      </c>
    </row>
    <row r="143" spans="2:61" x14ac:dyDescent="0.25">
      <c r="B143" s="56" t="s">
        <v>252</v>
      </c>
      <c r="C143" s="11" t="s">
        <v>253</v>
      </c>
      <c r="D143" s="12" t="s">
        <v>695</v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 t="shared" si="55"/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</v>
      </c>
      <c r="N143" s="69">
        <f t="shared" si="56"/>
        <v>0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</v>
      </c>
      <c r="S143" s="69">
        <f t="shared" si="57"/>
        <v>0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</v>
      </c>
      <c r="X143" s="69">
        <f t="shared" si="58"/>
        <v>0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</v>
      </c>
      <c r="AC143" s="69">
        <f t="shared" si="59"/>
        <v>0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</v>
      </c>
      <c r="AH143" s="69">
        <f t="shared" si="60"/>
        <v>0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 t="shared" si="61"/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 t="shared" si="62"/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 t="shared" si="63"/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 t="shared" si="64"/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 t="shared" si="65"/>
        <v>0</v>
      </c>
    </row>
    <row r="144" spans="2:61" x14ac:dyDescent="0.25">
      <c r="B144" s="56" t="s">
        <v>254</v>
      </c>
      <c r="C144" s="11" t="s">
        <v>255</v>
      </c>
      <c r="D144" s="12" t="s">
        <v>696</v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 t="shared" si="55"/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 t="shared" si="56"/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 t="shared" si="57"/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 t="shared" si="58"/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 t="shared" si="59"/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 t="shared" si="60"/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 t="shared" si="61"/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 t="shared" si="62"/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 t="shared" si="63"/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 t="shared" si="64"/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 t="shared" si="65"/>
        <v>0</v>
      </c>
    </row>
    <row r="145" spans="2:61" x14ac:dyDescent="0.25">
      <c r="B145" s="56" t="s">
        <v>256</v>
      </c>
      <c r="C145" s="11" t="s">
        <v>257</v>
      </c>
      <c r="D145" s="12" t="s">
        <v>697</v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 t="shared" si="55"/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 t="shared" si="56"/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 t="shared" si="57"/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 t="shared" si="58"/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 t="shared" si="59"/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 t="shared" si="60"/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 t="shared" si="61"/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 t="shared" si="62"/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 t="shared" si="63"/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 t="shared" si="64"/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 t="shared" si="65"/>
        <v>0</v>
      </c>
    </row>
    <row r="147" spans="2:61" x14ac:dyDescent="0.25">
      <c r="B147" s="29"/>
      <c r="C147" s="29" t="s">
        <v>698</v>
      </c>
      <c r="D147" s="29" t="s">
        <v>699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</row>
    <row r="148" spans="2:61" x14ac:dyDescent="0.25">
      <c r="B148" s="56" t="s">
        <v>258</v>
      </c>
      <c r="C148" s="11" t="s">
        <v>259</v>
      </c>
      <c r="D148" s="12" t="s">
        <v>700</v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71">
        <f>M148</f>
        <v>0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71">
        <f>R148</f>
        <v>0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71">
        <f>W148</f>
        <v>0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71">
        <f>AB148</f>
        <v>0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71">
        <f>AG148</f>
        <v>0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 spans="2:61" x14ac:dyDescent="0.25">
      <c r="B149" s="56" t="s">
        <v>261</v>
      </c>
      <c r="C149" s="11" t="s">
        <v>262</v>
      </c>
      <c r="D149" s="12" t="s">
        <v>701</v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 spans="2:61" x14ac:dyDescent="0.25">
      <c r="B150" s="56" t="s">
        <v>263</v>
      </c>
      <c r="C150" s="11" t="s">
        <v>264</v>
      </c>
      <c r="D150" s="12" t="s">
        <v>702</v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SUM(J150:M150)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SUM(O150:R150)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SUM(T150:W150)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SUM(Y150:AB150)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SUM(AD150:AG150)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 spans="2:61" x14ac:dyDescent="0.25">
      <c r="B151" s="56" t="s">
        <v>265</v>
      </c>
      <c r="C151" s="11" t="s">
        <v>266</v>
      </c>
      <c r="D151" s="12" t="s">
        <v>703</v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 spans="2:61" x14ac:dyDescent="0.25">
      <c r="B153" s="29"/>
      <c r="C153" s="29" t="s">
        <v>704</v>
      </c>
      <c r="D153" s="29" t="s">
        <v>705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</row>
    <row r="154" spans="2:61" x14ac:dyDescent="0.25">
      <c r="B154" s="56" t="s">
        <v>268</v>
      </c>
      <c r="C154" s="11" t="s">
        <v>269</v>
      </c>
      <c r="D154" s="12" t="s">
        <v>706</v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>0</v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0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0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0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0</v>
      </c>
      <c r="N154" s="58">
        <f>M154</f>
        <v>0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0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0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0</v>
      </c>
      <c r="S154" s="58">
        <f>R154</f>
        <v>0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0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0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0</v>
      </c>
      <c r="X154" s="58">
        <f>W154</f>
        <v>0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0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0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0</v>
      </c>
      <c r="AC154" s="58">
        <f>AB154</f>
        <v>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0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0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0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0</v>
      </c>
      <c r="AH154" s="58">
        <f>AG154</f>
        <v>0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0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0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 spans="2:61" x14ac:dyDescent="0.25">
      <c r="B155" s="56" t="s">
        <v>271</v>
      </c>
      <c r="C155" s="11" t="s">
        <v>272</v>
      </c>
      <c r="D155" s="12" t="s">
        <v>707</v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 spans="2:61" x14ac:dyDescent="0.25">
      <c r="B156" s="56" t="s">
        <v>273</v>
      </c>
      <c r="C156" s="11" t="s">
        <v>274</v>
      </c>
      <c r="D156" s="12" t="s">
        <v>708</v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 spans="2:61" x14ac:dyDescent="0.25">
      <c r="B158" s="29"/>
      <c r="C158" s="29" t="s">
        <v>709</v>
      </c>
      <c r="D158" s="29" t="s">
        <v>710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</row>
    <row r="159" spans="2:61" hidden="1" outlineLevel="1" x14ac:dyDescent="0.25">
      <c r="B159" s="56" t="s">
        <v>275</v>
      </c>
      <c r="C159" s="11" t="s">
        <v>276</v>
      </c>
      <c r="D159" s="12" t="s">
        <v>711</v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0</v>
      </c>
      <c r="F159" s="57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>0</v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0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0</v>
      </c>
      <c r="I159" s="58">
        <f t="shared" ref="I159:I167" si="66">H159</f>
        <v>0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0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0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0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0</v>
      </c>
      <c r="N159" s="58">
        <f t="shared" ref="N159:N167" si="67">M159</f>
        <v>0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0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0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0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0</v>
      </c>
      <c r="S159" s="58">
        <f t="shared" ref="S159:S167" si="68">R159</f>
        <v>0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0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0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0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0</v>
      </c>
      <c r="X159" s="58">
        <f t="shared" ref="X159:X167" si="69">W159</f>
        <v>0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0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0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0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0</v>
      </c>
      <c r="AC159" s="58">
        <f t="shared" ref="AC159:AC167" si="70">AB159</f>
        <v>0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0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0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0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0</v>
      </c>
      <c r="AH159" s="58">
        <f t="shared" ref="AH159:AH167" si="71">AG159</f>
        <v>0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0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0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 t="shared" ref="AM159:AM167" si="72"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 t="shared" ref="AR159:AR167" si="73"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 t="shared" ref="AW159:AW167" si="74"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 t="shared" ref="BB159:BB167" si="75"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 t="shared" ref="BG159:BG167" si="76">BF159</f>
        <v>0</v>
      </c>
    </row>
    <row r="160" spans="2:61" hidden="1" outlineLevel="1" x14ac:dyDescent="0.25">
      <c r="B160" s="56" t="s">
        <v>277</v>
      </c>
      <c r="C160" s="11" t="s">
        <v>278</v>
      </c>
      <c r="D160" s="12" t="s">
        <v>712</v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0</v>
      </c>
      <c r="F160" s="57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>0</v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0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0</v>
      </c>
      <c r="I160" s="58">
        <f t="shared" si="66"/>
        <v>0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0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0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0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0</v>
      </c>
      <c r="N160" s="58">
        <f t="shared" si="67"/>
        <v>0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0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0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0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0</v>
      </c>
      <c r="S160" s="58">
        <f t="shared" si="68"/>
        <v>0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0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0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0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0</v>
      </c>
      <c r="X160" s="58">
        <f t="shared" si="69"/>
        <v>0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0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0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0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0</v>
      </c>
      <c r="AC160" s="58">
        <f t="shared" si="70"/>
        <v>0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0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0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0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0</v>
      </c>
      <c r="AH160" s="58">
        <f t="shared" si="71"/>
        <v>0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0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0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 t="shared" si="72"/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 t="shared" si="73"/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 t="shared" si="74"/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 t="shared" si="75"/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 t="shared" si="76"/>
        <v>0</v>
      </c>
    </row>
    <row r="161" spans="2:61" hidden="1" outlineLevel="1" x14ac:dyDescent="0.25">
      <c r="B161" s="56" t="s">
        <v>279</v>
      </c>
      <c r="C161" s="11" t="s">
        <v>280</v>
      </c>
      <c r="D161" s="12" t="s">
        <v>713</v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 t="shared" si="66"/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 t="shared" si="67"/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 t="shared" si="68"/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 t="shared" si="69"/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 t="shared" si="70"/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 t="shared" si="71"/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 t="shared" si="72"/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 t="shared" si="73"/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 t="shared" si="74"/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 t="shared" si="75"/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 t="shared" si="76"/>
        <v>0</v>
      </c>
    </row>
    <row r="162" spans="2:61" hidden="1" outlineLevel="1" x14ac:dyDescent="0.25">
      <c r="B162" s="56" t="s">
        <v>281</v>
      </c>
      <c r="C162" s="11" t="s">
        <v>282</v>
      </c>
      <c r="D162" s="12" t="s">
        <v>714</v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 t="shared" si="66"/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 t="shared" si="67"/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 t="shared" si="68"/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 t="shared" si="69"/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 t="shared" si="70"/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 t="shared" si="71"/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 t="shared" si="72"/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 t="shared" si="73"/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 t="shared" si="74"/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 t="shared" si="75"/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 t="shared" si="76"/>
        <v>0</v>
      </c>
    </row>
    <row r="163" spans="2:61" hidden="1" outlineLevel="1" x14ac:dyDescent="0.25">
      <c r="B163" s="56" t="s">
        <v>283</v>
      </c>
      <c r="C163" s="11" t="s">
        <v>284</v>
      </c>
      <c r="D163" s="12" t="s">
        <v>715</v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 t="shared" si="66"/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 t="shared" si="67"/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 t="shared" si="68"/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 t="shared" si="69"/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 t="shared" si="70"/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 t="shared" si="71"/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 t="shared" si="72"/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 t="shared" si="73"/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 t="shared" si="74"/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 t="shared" si="75"/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 t="shared" si="76"/>
        <v>0</v>
      </c>
    </row>
    <row r="164" spans="2:61" hidden="1" outlineLevel="1" x14ac:dyDescent="0.25">
      <c r="B164" s="56" t="s">
        <v>285</v>
      </c>
      <c r="C164" s="11" t="s">
        <v>286</v>
      </c>
      <c r="D164" s="12" t="s">
        <v>716</v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0</v>
      </c>
      <c r="F164" s="57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>0</v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0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0</v>
      </c>
      <c r="I164" s="58">
        <f t="shared" si="66"/>
        <v>0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0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0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0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0</v>
      </c>
      <c r="N164" s="58">
        <f t="shared" si="67"/>
        <v>0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0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0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0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0</v>
      </c>
      <c r="S164" s="58">
        <f t="shared" si="68"/>
        <v>0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0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0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0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0</v>
      </c>
      <c r="X164" s="58">
        <f t="shared" si="69"/>
        <v>0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0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0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0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0</v>
      </c>
      <c r="AC164" s="58">
        <f t="shared" si="70"/>
        <v>0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0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0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0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0</v>
      </c>
      <c r="AH164" s="58">
        <f t="shared" si="71"/>
        <v>0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0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0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 t="shared" si="72"/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 t="shared" si="73"/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 t="shared" si="74"/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 t="shared" si="75"/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 t="shared" si="76"/>
        <v>0</v>
      </c>
    </row>
    <row r="165" spans="2:61" hidden="1" outlineLevel="1" x14ac:dyDescent="0.25">
      <c r="B165" s="56" t="s">
        <v>287</v>
      </c>
      <c r="C165" s="11" t="s">
        <v>288</v>
      </c>
      <c r="D165" s="12" t="s">
        <v>717</v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0</v>
      </c>
      <c r="F165" s="57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>0</v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0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0</v>
      </c>
      <c r="I165" s="58">
        <f t="shared" si="66"/>
        <v>0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0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0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0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0</v>
      </c>
      <c r="N165" s="58">
        <f t="shared" si="67"/>
        <v>0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0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0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0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0</v>
      </c>
      <c r="S165" s="58">
        <f t="shared" si="68"/>
        <v>0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0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0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0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0</v>
      </c>
      <c r="X165" s="58">
        <f t="shared" si="69"/>
        <v>0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0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0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0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0</v>
      </c>
      <c r="AC165" s="58">
        <f t="shared" si="70"/>
        <v>0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0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0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0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0</v>
      </c>
      <c r="AH165" s="58">
        <f t="shared" si="71"/>
        <v>0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0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0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 t="shared" si="72"/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 t="shared" si="73"/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 t="shared" si="74"/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 t="shared" si="75"/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 t="shared" si="76"/>
        <v>0</v>
      </c>
    </row>
    <row r="166" spans="2:61" hidden="1" outlineLevel="1" x14ac:dyDescent="0.25">
      <c r="B166" s="56" t="s">
        <v>289</v>
      </c>
      <c r="C166" s="11" t="s">
        <v>290</v>
      </c>
      <c r="D166" s="12" t="s">
        <v>718</v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0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 t="shared" si="66"/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0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0</v>
      </c>
      <c r="N166" s="58">
        <f t="shared" si="67"/>
        <v>0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0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0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0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0</v>
      </c>
      <c r="S166" s="58">
        <f t="shared" si="68"/>
        <v>0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0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0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0</v>
      </c>
      <c r="X166" s="58">
        <f t="shared" si="69"/>
        <v>0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0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0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0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0</v>
      </c>
      <c r="AC166" s="58">
        <f t="shared" si="70"/>
        <v>0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0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0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0</v>
      </c>
      <c r="AH166" s="58">
        <f t="shared" si="71"/>
        <v>0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0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0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 t="shared" si="72"/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 t="shared" si="73"/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 t="shared" si="74"/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 t="shared" si="75"/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 t="shared" si="76"/>
        <v>0</v>
      </c>
    </row>
    <row r="167" spans="2:61" hidden="1" outlineLevel="1" x14ac:dyDescent="0.25">
      <c r="B167" s="56" t="s">
        <v>291</v>
      </c>
      <c r="C167" s="11" t="s">
        <v>292</v>
      </c>
      <c r="D167" s="12" t="s">
        <v>719</v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0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0</v>
      </c>
      <c r="I167" s="58">
        <f t="shared" si="66"/>
        <v>0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0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0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 t="shared" si="67"/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 t="shared" si="68"/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 t="shared" si="69"/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0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0</v>
      </c>
      <c r="AC167" s="58">
        <f t="shared" si="70"/>
        <v>0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0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0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0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0</v>
      </c>
      <c r="AH167" s="58">
        <f t="shared" si="71"/>
        <v>0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0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0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 t="shared" si="72"/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 t="shared" si="73"/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 t="shared" si="74"/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 t="shared" si="75"/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 t="shared" si="76"/>
        <v>0</v>
      </c>
    </row>
    <row r="169" spans="2:61" x14ac:dyDescent="0.25">
      <c r="B169" s="29"/>
      <c r="C169" s="29" t="s">
        <v>720</v>
      </c>
      <c r="D169" s="29" t="s">
        <v>721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</row>
    <row r="170" spans="2:61" hidden="1" outlineLevel="1" x14ac:dyDescent="0.25">
      <c r="B170" s="56" t="s">
        <v>293</v>
      </c>
      <c r="C170" s="11" t="s">
        <v>294</v>
      </c>
      <c r="D170" s="12" t="s">
        <v>722</v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 t="shared" ref="I170:I175" si="77">SUM(E170:H170)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 t="shared" ref="N170:N175" si="78">SUM(J170:M170)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 t="shared" ref="S170:S175" si="79">SUM(O170:R170)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 t="shared" ref="X170:X175" si="80">SUM(T170:W170)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 t="shared" ref="AC170:AC175" si="81">SUM(Y170:AB170)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0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0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0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0</v>
      </c>
      <c r="AH170" s="58">
        <f t="shared" ref="AH170:AH175" si="82">SUM(AD170:AG170)</f>
        <v>0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0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 t="shared" ref="AM170:AM175" si="83">SUM(AI170:AL170)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 t="shared" ref="AR170:AR175" si="84"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 t="shared" ref="AW170:AW175" si="85"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 t="shared" ref="BB170:BB175" si="86"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 t="shared" ref="BG170:BG175" si="87">SUM(BC170:BF170)</f>
        <v>0</v>
      </c>
    </row>
    <row r="171" spans="2:61" hidden="1" outlineLevel="1" x14ac:dyDescent="0.25">
      <c r="B171" s="56" t="s">
        <v>295</v>
      </c>
      <c r="C171" s="11" t="s">
        <v>296</v>
      </c>
      <c r="D171" s="12" t="s">
        <v>723</v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 t="shared" si="77"/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 t="shared" si="78"/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 t="shared" si="79"/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 t="shared" si="80"/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 t="shared" si="81"/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 t="shared" si="82"/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 t="shared" si="83"/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 t="shared" si="84"/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 t="shared" si="85"/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 t="shared" si="86"/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 t="shared" si="87"/>
        <v>0</v>
      </c>
    </row>
    <row r="172" spans="2:61" hidden="1" outlineLevel="1" x14ac:dyDescent="0.25">
      <c r="B172" s="56" t="s">
        <v>297</v>
      </c>
      <c r="C172" s="11" t="s">
        <v>298</v>
      </c>
      <c r="D172" s="12" t="s">
        <v>724</v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 t="shared" si="77"/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 t="shared" si="78"/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 t="shared" si="79"/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 t="shared" si="80"/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 t="shared" si="81"/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 t="shared" si="82"/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 t="shared" si="83"/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 t="shared" si="84"/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 t="shared" si="85"/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 t="shared" si="86"/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 t="shared" si="87"/>
        <v>0</v>
      </c>
    </row>
    <row r="173" spans="2:61" hidden="1" outlineLevel="1" x14ac:dyDescent="0.25">
      <c r="B173" s="56" t="s">
        <v>299</v>
      </c>
      <c r="C173" s="11" t="s">
        <v>300</v>
      </c>
      <c r="D173" s="12" t="s">
        <v>725</v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 t="shared" si="77"/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 t="shared" si="78"/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 t="shared" si="79"/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 t="shared" si="80"/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 t="shared" si="81"/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 t="shared" si="82"/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 t="shared" si="83"/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 t="shared" si="84"/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 t="shared" si="85"/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 t="shared" si="86"/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 t="shared" si="87"/>
        <v>0</v>
      </c>
    </row>
    <row r="174" spans="2:61" hidden="1" outlineLevel="1" x14ac:dyDescent="0.25">
      <c r="B174" s="56" t="s">
        <v>301</v>
      </c>
      <c r="C174" s="11" t="s">
        <v>302</v>
      </c>
      <c r="D174" s="12" t="s">
        <v>726</v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 t="shared" si="77"/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 t="shared" si="78"/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 t="shared" si="79"/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 t="shared" si="80"/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 t="shared" si="81"/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 t="shared" si="82"/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 t="shared" si="83"/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 t="shared" si="84"/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 t="shared" si="85"/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 t="shared" si="86"/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 t="shared" si="87"/>
        <v>0</v>
      </c>
    </row>
    <row r="175" spans="2:61" hidden="1" outlineLevel="1" x14ac:dyDescent="0.25">
      <c r="B175" s="56" t="s">
        <v>303</v>
      </c>
      <c r="C175" s="11" t="s">
        <v>304</v>
      </c>
      <c r="D175" s="12" t="s">
        <v>727</v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0</v>
      </c>
      <c r="F175" s="57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>0</v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0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0</v>
      </c>
      <c r="I175" s="58">
        <f t="shared" si="77"/>
        <v>0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0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0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0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0</v>
      </c>
      <c r="N175" s="58">
        <f t="shared" si="78"/>
        <v>0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0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0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0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0</v>
      </c>
      <c r="S175" s="58">
        <f t="shared" si="79"/>
        <v>0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0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0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0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0</v>
      </c>
      <c r="X175" s="58">
        <f t="shared" si="80"/>
        <v>0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0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0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0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0</v>
      </c>
      <c r="AC175" s="58">
        <f t="shared" si="81"/>
        <v>0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0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0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0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0</v>
      </c>
      <c r="AH175" s="58">
        <f t="shared" si="82"/>
        <v>0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0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0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 t="shared" si="83"/>
        <v>0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 t="shared" si="84"/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 t="shared" si="85"/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 t="shared" si="86"/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 t="shared" si="87"/>
        <v>0</v>
      </c>
    </row>
    <row r="177" spans="2:61" x14ac:dyDescent="0.25">
      <c r="B177" s="29"/>
      <c r="C177" s="29" t="s">
        <v>728</v>
      </c>
      <c r="D177" s="29" t="s">
        <v>729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</row>
    <row r="178" spans="2:61" hidden="1" outlineLevel="1" x14ac:dyDescent="0.25">
      <c r="B178" s="56" t="s">
        <v>305</v>
      </c>
      <c r="C178" s="11" t="s">
        <v>306</v>
      </c>
      <c r="D178" s="12" t="s">
        <v>730</v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spans="2:61" hidden="1" outlineLevel="1" x14ac:dyDescent="0.25">
      <c r="B179" s="56" t="s">
        <v>307</v>
      </c>
      <c r="C179" s="11" t="s">
        <v>308</v>
      </c>
      <c r="D179" s="12" t="s">
        <v>731</v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spans="2:61" hidden="1" outlineLevel="1" x14ac:dyDescent="0.25">
      <c r="B180" s="56" t="s">
        <v>309</v>
      </c>
      <c r="C180" s="11" t="s">
        <v>310</v>
      </c>
      <c r="D180" s="12" t="s">
        <v>732</v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0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0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0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0</v>
      </c>
      <c r="I180" s="58">
        <f>SUM(E180:H180)</f>
        <v>0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0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0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0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0</v>
      </c>
      <c r="N180" s="58">
        <f>SUM(J180:M180)</f>
        <v>0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0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0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0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0</v>
      </c>
      <c r="S180" s="58">
        <f>SUM(O180:R180)</f>
        <v>0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0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0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0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0</v>
      </c>
      <c r="X180" s="58">
        <f>SUM(T180:W180)</f>
        <v>0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0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0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0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0</v>
      </c>
      <c r="AC180" s="58">
        <f>SUM(Y180:AB180)</f>
        <v>0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0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0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0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0</v>
      </c>
      <c r="AH180" s="58">
        <f>SUM(AD180:AG180)</f>
        <v>0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0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0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0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spans="2:61" hidden="1" outlineLevel="1" x14ac:dyDescent="0.25">
      <c r="B181" s="56" t="s">
        <v>311</v>
      </c>
      <c r="C181" s="11" t="s">
        <v>312</v>
      </c>
      <c r="D181" s="12" t="s">
        <v>733</v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 spans="2:61" x14ac:dyDescent="0.25">
      <c r="B183" s="29"/>
      <c r="C183" s="29" t="s">
        <v>734</v>
      </c>
      <c r="D183" s="29" t="s">
        <v>735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</row>
    <row r="184" spans="2:61" hidden="1" outlineLevel="1" x14ac:dyDescent="0.25">
      <c r="B184" s="56" t="s">
        <v>313</v>
      </c>
      <c r="C184" s="11" t="s">
        <v>314</v>
      </c>
      <c r="D184" s="12" t="s">
        <v>736</v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>0</v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 t="shared" ref="I184:I189" si="88"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 t="shared" ref="N184:N189" si="89"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 t="shared" ref="S184:S189" si="90"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 t="shared" ref="X184:X189" si="91"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 t="shared" ref="AC184:AC189" si="92"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 t="shared" ref="AH184:AH189" si="93"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 t="shared" ref="AM184:AM189" si="94"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 t="shared" ref="AR184:AR189" si="95"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 t="shared" ref="AW184:AW189" si="96"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 t="shared" ref="BB184:BB189" si="97"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 t="shared" ref="BG184:BG189" si="98">SUM(BC184:BF184)</f>
        <v>0</v>
      </c>
    </row>
    <row r="185" spans="2:61" hidden="1" outlineLevel="1" x14ac:dyDescent="0.25">
      <c r="B185" s="56" t="s">
        <v>315</v>
      </c>
      <c r="C185" s="11" t="s">
        <v>316</v>
      </c>
      <c r="D185" s="12" t="s">
        <v>737</v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 t="shared" si="88"/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 t="shared" si="89"/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 t="shared" si="90"/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 t="shared" si="91"/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 t="shared" si="92"/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 t="shared" si="93"/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 t="shared" si="94"/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 t="shared" si="95"/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 t="shared" si="96"/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 t="shared" si="97"/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 t="shared" si="98"/>
        <v>0</v>
      </c>
    </row>
    <row r="186" spans="2:61" hidden="1" outlineLevel="1" x14ac:dyDescent="0.25">
      <c r="B186" s="56" t="s">
        <v>317</v>
      </c>
      <c r="C186" s="11" t="s">
        <v>318</v>
      </c>
      <c r="D186" s="12" t="s">
        <v>738</v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 t="shared" si="88"/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 t="shared" si="89"/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 t="shared" si="90"/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 t="shared" si="91"/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 t="shared" si="92"/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 t="shared" si="93"/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 t="shared" si="94"/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 t="shared" si="95"/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 t="shared" si="96"/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 t="shared" si="97"/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 t="shared" si="98"/>
        <v>0</v>
      </c>
    </row>
    <row r="187" spans="2:61" hidden="1" outlineLevel="1" x14ac:dyDescent="0.25">
      <c r="B187" s="56" t="s">
        <v>319</v>
      </c>
      <c r="C187" s="11" t="s">
        <v>320</v>
      </c>
      <c r="D187" s="12" t="s">
        <v>739</v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 t="shared" si="88"/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 t="shared" si="89"/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 t="shared" si="90"/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 t="shared" si="91"/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 t="shared" si="92"/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 t="shared" si="93"/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 t="shared" si="94"/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 t="shared" si="95"/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 t="shared" si="96"/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 t="shared" si="97"/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 t="shared" si="98"/>
        <v>0</v>
      </c>
    </row>
    <row r="188" spans="2:61" hidden="1" outlineLevel="1" x14ac:dyDescent="0.25">
      <c r="B188" s="56" t="s">
        <v>321</v>
      </c>
      <c r="C188" s="11" t="s">
        <v>322</v>
      </c>
      <c r="D188" s="12" t="s">
        <v>740</v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 t="shared" si="88"/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 t="shared" si="89"/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 t="shared" si="90"/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 t="shared" si="91"/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 t="shared" si="92"/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 t="shared" si="93"/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 t="shared" si="94"/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 t="shared" si="95"/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 t="shared" si="96"/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 t="shared" si="97"/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 t="shared" si="98"/>
        <v>0</v>
      </c>
    </row>
    <row r="189" spans="2:61" hidden="1" outlineLevel="1" x14ac:dyDescent="0.25">
      <c r="B189" s="56" t="s">
        <v>323</v>
      </c>
      <c r="C189" s="11" t="s">
        <v>324</v>
      </c>
      <c r="D189" s="12" t="s">
        <v>741</v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>0</v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 t="shared" si="88"/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 t="shared" si="89"/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 t="shared" si="90"/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 t="shared" si="91"/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 t="shared" si="92"/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 t="shared" si="93"/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 t="shared" si="94"/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 t="shared" si="95"/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 t="shared" si="96"/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 t="shared" si="97"/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 t="shared" si="98"/>
        <v>0</v>
      </c>
    </row>
    <row r="192" spans="2:61" x14ac:dyDescent="0.25">
      <c r="B192" s="29"/>
      <c r="C192" s="29" t="s">
        <v>742</v>
      </c>
      <c r="D192" s="29" t="s">
        <v>743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</row>
    <row r="193" spans="3:61" hidden="1" outlineLevel="1" x14ac:dyDescent="0.25">
      <c r="C193" s="11" t="s">
        <v>744</v>
      </c>
      <c r="D193" s="12" t="s">
        <v>745</v>
      </c>
      <c r="E193" s="74">
        <f t="shared" ref="E193:AJ193" si="99">IFERROR(ROUND(E29-E67,0),"")</f>
        <v>0</v>
      </c>
      <c r="F193" s="74">
        <f t="shared" si="99"/>
        <v>0</v>
      </c>
      <c r="G193" s="74">
        <f t="shared" si="99"/>
        <v>0</v>
      </c>
      <c r="H193" s="74">
        <f t="shared" si="99"/>
        <v>0</v>
      </c>
      <c r="I193" s="74">
        <f t="shared" si="99"/>
        <v>0</v>
      </c>
      <c r="J193" s="74">
        <f t="shared" si="99"/>
        <v>0</v>
      </c>
      <c r="K193" s="74">
        <f t="shared" si="99"/>
        <v>0</v>
      </c>
      <c r="L193" s="74">
        <f t="shared" si="99"/>
        <v>0</v>
      </c>
      <c r="M193" s="74">
        <f t="shared" si="99"/>
        <v>0</v>
      </c>
      <c r="N193" s="74">
        <f t="shared" si="99"/>
        <v>0</v>
      </c>
      <c r="O193" s="74">
        <f t="shared" si="99"/>
        <v>0</v>
      </c>
      <c r="P193" s="74">
        <f t="shared" si="99"/>
        <v>0</v>
      </c>
      <c r="Q193" s="74">
        <f t="shared" si="99"/>
        <v>0</v>
      </c>
      <c r="R193" s="74">
        <f t="shared" si="99"/>
        <v>0</v>
      </c>
      <c r="S193" s="74">
        <f t="shared" si="99"/>
        <v>0</v>
      </c>
      <c r="T193" s="74">
        <f t="shared" si="99"/>
        <v>0</v>
      </c>
      <c r="U193" s="74">
        <f t="shared" si="99"/>
        <v>0</v>
      </c>
      <c r="V193" s="74">
        <f t="shared" si="99"/>
        <v>0</v>
      </c>
      <c r="W193" s="74">
        <f t="shared" si="99"/>
        <v>0</v>
      </c>
      <c r="X193" s="74">
        <f t="shared" si="99"/>
        <v>0</v>
      </c>
      <c r="Y193" s="74">
        <f t="shared" si="99"/>
        <v>0</v>
      </c>
      <c r="Z193" s="74">
        <f t="shared" si="99"/>
        <v>0</v>
      </c>
      <c r="AA193" s="74">
        <f t="shared" si="99"/>
        <v>0</v>
      </c>
      <c r="AB193" s="74">
        <f t="shared" si="99"/>
        <v>0</v>
      </c>
      <c r="AC193" s="74">
        <f t="shared" si="99"/>
        <v>0</v>
      </c>
      <c r="AD193" s="74">
        <f t="shared" si="99"/>
        <v>0</v>
      </c>
      <c r="AE193" s="74">
        <f t="shared" si="99"/>
        <v>0</v>
      </c>
      <c r="AF193" s="74">
        <f t="shared" si="99"/>
        <v>0</v>
      </c>
      <c r="AG193" s="74">
        <f t="shared" si="99"/>
        <v>0</v>
      </c>
      <c r="AH193" s="74">
        <f t="shared" si="99"/>
        <v>0</v>
      </c>
      <c r="AI193" s="74">
        <f t="shared" si="99"/>
        <v>0</v>
      </c>
      <c r="AJ193" s="74">
        <f t="shared" si="99"/>
        <v>0</v>
      </c>
      <c r="AK193" s="74">
        <f t="shared" ref="AK193:BG193" si="100">IFERROR(ROUND(AK29-AK67,0),"")</f>
        <v>0</v>
      </c>
      <c r="AL193" s="74">
        <f t="shared" si="100"/>
        <v>0</v>
      </c>
      <c r="AM193" s="74">
        <f t="shared" si="100"/>
        <v>0</v>
      </c>
      <c r="AN193" s="74">
        <f t="shared" si="100"/>
        <v>0</v>
      </c>
      <c r="AO193" s="74">
        <f t="shared" si="100"/>
        <v>0</v>
      </c>
      <c r="AP193" s="74">
        <f t="shared" si="100"/>
        <v>0</v>
      </c>
      <c r="AQ193" s="74">
        <f t="shared" si="100"/>
        <v>0</v>
      </c>
      <c r="AR193" s="74">
        <f t="shared" si="100"/>
        <v>0</v>
      </c>
      <c r="AS193" s="74">
        <f t="shared" si="100"/>
        <v>0</v>
      </c>
      <c r="AT193" s="74">
        <f t="shared" si="100"/>
        <v>0</v>
      </c>
      <c r="AU193" s="74">
        <f t="shared" si="100"/>
        <v>0</v>
      </c>
      <c r="AV193" s="74">
        <f t="shared" si="100"/>
        <v>0</v>
      </c>
      <c r="AW193" s="74">
        <f t="shared" si="100"/>
        <v>0</v>
      </c>
      <c r="AX193" s="74">
        <f t="shared" si="100"/>
        <v>0</v>
      </c>
      <c r="AY193" s="74">
        <f t="shared" si="100"/>
        <v>0</v>
      </c>
      <c r="AZ193" s="74">
        <f t="shared" si="100"/>
        <v>0</v>
      </c>
      <c r="BA193" s="74">
        <f t="shared" si="100"/>
        <v>0</v>
      </c>
      <c r="BB193" s="74">
        <f t="shared" si="100"/>
        <v>0</v>
      </c>
      <c r="BC193" s="74">
        <f t="shared" si="100"/>
        <v>0</v>
      </c>
      <c r="BD193" s="74">
        <f t="shared" si="100"/>
        <v>0</v>
      </c>
      <c r="BE193" s="74">
        <f t="shared" si="100"/>
        <v>0</v>
      </c>
      <c r="BF193" s="74">
        <f t="shared" si="100"/>
        <v>0</v>
      </c>
      <c r="BG193" s="74">
        <f t="shared" si="100"/>
        <v>0</v>
      </c>
    </row>
    <row r="194" spans="3:61" hidden="1" outlineLevel="1" x14ac:dyDescent="0.25">
      <c r="C194" s="11" t="s">
        <v>746</v>
      </c>
      <c r="D194" s="12" t="s">
        <v>747</v>
      </c>
      <c r="E194" s="74" t="str">
        <f t="shared" ref="E194:AJ194" si="101">IFERROR(IF(N(E114+E115+E116)=0,"",ROUND(E111-(E114+E115+E116),0)),"")</f>
        <v/>
      </c>
      <c r="F194" s="74" t="str">
        <f t="shared" si="101"/>
        <v/>
      </c>
      <c r="G194" s="74" t="str">
        <f t="shared" si="101"/>
        <v/>
      </c>
      <c r="H194" s="74" t="str">
        <f t="shared" si="101"/>
        <v/>
      </c>
      <c r="I194" s="74" t="str">
        <f t="shared" si="101"/>
        <v/>
      </c>
      <c r="J194" s="74" t="str">
        <f t="shared" si="101"/>
        <v/>
      </c>
      <c r="K194" s="74" t="str">
        <f t="shared" si="101"/>
        <v/>
      </c>
      <c r="L194" s="74" t="str">
        <f t="shared" si="101"/>
        <v/>
      </c>
      <c r="M194" s="74" t="str">
        <f t="shared" si="101"/>
        <v/>
      </c>
      <c r="N194" s="74" t="str">
        <f t="shared" si="101"/>
        <v/>
      </c>
      <c r="O194" s="74" t="str">
        <f t="shared" si="101"/>
        <v/>
      </c>
      <c r="P194" s="74" t="str">
        <f t="shared" si="101"/>
        <v/>
      </c>
      <c r="Q194" s="74" t="str">
        <f t="shared" si="101"/>
        <v/>
      </c>
      <c r="R194" s="74" t="str">
        <f t="shared" si="101"/>
        <v/>
      </c>
      <c r="S194" s="74" t="str">
        <f t="shared" si="101"/>
        <v/>
      </c>
      <c r="T194" s="74" t="str">
        <f t="shared" si="101"/>
        <v/>
      </c>
      <c r="U194" s="74" t="str">
        <f t="shared" si="101"/>
        <v/>
      </c>
      <c r="V194" s="74" t="str">
        <f t="shared" si="101"/>
        <v/>
      </c>
      <c r="W194" s="74" t="str">
        <f t="shared" si="101"/>
        <v/>
      </c>
      <c r="X194" s="74" t="str">
        <f t="shared" si="101"/>
        <v/>
      </c>
      <c r="Y194" s="74" t="str">
        <f t="shared" si="101"/>
        <v/>
      </c>
      <c r="Z194" s="74" t="str">
        <f t="shared" si="101"/>
        <v/>
      </c>
      <c r="AA194" s="74" t="str">
        <f t="shared" si="101"/>
        <v/>
      </c>
      <c r="AB194" s="74" t="str">
        <f t="shared" si="101"/>
        <v/>
      </c>
      <c r="AC194" s="74" t="str">
        <f t="shared" si="101"/>
        <v/>
      </c>
      <c r="AD194" s="74" t="str">
        <f t="shared" si="101"/>
        <v/>
      </c>
      <c r="AE194" s="74" t="str">
        <f t="shared" si="101"/>
        <v/>
      </c>
      <c r="AF194" s="74" t="str">
        <f t="shared" si="101"/>
        <v/>
      </c>
      <c r="AG194" s="74" t="str">
        <f t="shared" si="101"/>
        <v/>
      </c>
      <c r="AH194" s="74" t="str">
        <f t="shared" si="101"/>
        <v/>
      </c>
      <c r="AI194" s="74" t="str">
        <f t="shared" si="101"/>
        <v/>
      </c>
      <c r="AJ194" s="74" t="str">
        <f t="shared" si="101"/>
        <v/>
      </c>
      <c r="AK194" s="74" t="str">
        <f t="shared" ref="AK194:BG194" si="102">IFERROR(IF(N(AK114+AK115+AK116)=0,"",ROUND(AK111-(AK114+AK115+AK116),0)),"")</f>
        <v/>
      </c>
      <c r="AL194" s="74" t="str">
        <f t="shared" si="102"/>
        <v/>
      </c>
      <c r="AM194" s="74" t="str">
        <f t="shared" si="102"/>
        <v/>
      </c>
      <c r="AN194" s="74" t="str">
        <f t="shared" si="102"/>
        <v/>
      </c>
      <c r="AO194" s="74" t="str">
        <f t="shared" si="102"/>
        <v/>
      </c>
      <c r="AP194" s="74" t="str">
        <f t="shared" si="102"/>
        <v/>
      </c>
      <c r="AQ194" s="74" t="str">
        <f t="shared" si="102"/>
        <v/>
      </c>
      <c r="AR194" s="74" t="str">
        <f t="shared" si="102"/>
        <v/>
      </c>
      <c r="AS194" s="74" t="str">
        <f t="shared" si="102"/>
        <v/>
      </c>
      <c r="AT194" s="74" t="str">
        <f t="shared" si="102"/>
        <v/>
      </c>
      <c r="AU194" s="74" t="str">
        <f t="shared" si="102"/>
        <v/>
      </c>
      <c r="AV194" s="74" t="str">
        <f t="shared" si="102"/>
        <v/>
      </c>
      <c r="AW194" s="74" t="str">
        <f t="shared" si="102"/>
        <v/>
      </c>
      <c r="AX194" s="74" t="str">
        <f t="shared" si="102"/>
        <v/>
      </c>
      <c r="AY194" s="74" t="str">
        <f t="shared" si="102"/>
        <v/>
      </c>
      <c r="AZ194" s="74" t="str">
        <f t="shared" si="102"/>
        <v/>
      </c>
      <c r="BA194" s="74" t="str">
        <f t="shared" si="102"/>
        <v/>
      </c>
      <c r="BB194" s="74" t="str">
        <f t="shared" si="102"/>
        <v/>
      </c>
      <c r="BC194" s="74" t="str">
        <f t="shared" si="102"/>
        <v/>
      </c>
      <c r="BD194" s="74" t="str">
        <f t="shared" si="102"/>
        <v/>
      </c>
      <c r="BE194" s="74" t="str">
        <f t="shared" si="102"/>
        <v/>
      </c>
      <c r="BF194" s="74" t="str">
        <f t="shared" si="102"/>
        <v/>
      </c>
      <c r="BG194" s="74" t="str">
        <f t="shared" si="102"/>
        <v/>
      </c>
      <c r="BI194" s="14" t="s">
        <v>748</v>
      </c>
    </row>
    <row r="195" spans="3:61" hidden="1" outlineLevel="1" x14ac:dyDescent="0.25">
      <c r="C195" s="11" t="s">
        <v>749</v>
      </c>
      <c r="D195" s="12" t="s">
        <v>750</v>
      </c>
      <c r="E195" s="74" t="str">
        <f t="shared" ref="E195:AJ195" si="103">IFERROR(IF(OR(N(E120)=0,N(E20)=0),"",ROUND(ABS(E20)-ABS(E120),0)),"")</f>
        <v/>
      </c>
      <c r="F195" s="74" t="str">
        <f t="shared" si="103"/>
        <v/>
      </c>
      <c r="G195" s="74" t="str">
        <f t="shared" si="103"/>
        <v/>
      </c>
      <c r="H195" s="74" t="str">
        <f t="shared" si="103"/>
        <v/>
      </c>
      <c r="I195" s="74" t="str">
        <f t="shared" si="103"/>
        <v/>
      </c>
      <c r="J195" s="74" t="str">
        <f t="shared" si="103"/>
        <v/>
      </c>
      <c r="K195" s="74" t="str">
        <f t="shared" si="103"/>
        <v/>
      </c>
      <c r="L195" s="74" t="str">
        <f t="shared" si="103"/>
        <v/>
      </c>
      <c r="M195" s="74" t="str">
        <f t="shared" si="103"/>
        <v/>
      </c>
      <c r="N195" s="74" t="str">
        <f t="shared" si="103"/>
        <v/>
      </c>
      <c r="O195" s="74" t="str">
        <f t="shared" si="103"/>
        <v/>
      </c>
      <c r="P195" s="74" t="str">
        <f t="shared" si="103"/>
        <v/>
      </c>
      <c r="Q195" s="74" t="str">
        <f t="shared" si="103"/>
        <v/>
      </c>
      <c r="R195" s="74" t="str">
        <f t="shared" si="103"/>
        <v/>
      </c>
      <c r="S195" s="74" t="str">
        <f t="shared" si="103"/>
        <v/>
      </c>
      <c r="T195" s="74" t="str">
        <f t="shared" si="103"/>
        <v/>
      </c>
      <c r="U195" s="74" t="str">
        <f t="shared" si="103"/>
        <v/>
      </c>
      <c r="V195" s="74" t="str">
        <f t="shared" si="103"/>
        <v/>
      </c>
      <c r="W195" s="74" t="str">
        <f t="shared" si="103"/>
        <v/>
      </c>
      <c r="X195" s="74" t="str">
        <f t="shared" si="103"/>
        <v/>
      </c>
      <c r="Y195" s="74" t="str">
        <f t="shared" si="103"/>
        <v/>
      </c>
      <c r="Z195" s="74" t="str">
        <f t="shared" si="103"/>
        <v/>
      </c>
      <c r="AA195" s="74" t="str">
        <f t="shared" si="103"/>
        <v/>
      </c>
      <c r="AB195" s="74" t="str">
        <f t="shared" si="103"/>
        <v/>
      </c>
      <c r="AC195" s="74" t="str">
        <f t="shared" si="103"/>
        <v/>
      </c>
      <c r="AD195" s="74" t="str">
        <f t="shared" si="103"/>
        <v/>
      </c>
      <c r="AE195" s="74" t="str">
        <f t="shared" si="103"/>
        <v/>
      </c>
      <c r="AF195" s="74" t="str">
        <f t="shared" si="103"/>
        <v/>
      </c>
      <c r="AG195" s="74" t="str">
        <f t="shared" si="103"/>
        <v/>
      </c>
      <c r="AH195" s="74" t="str">
        <f t="shared" si="103"/>
        <v/>
      </c>
      <c r="AI195" s="74" t="str">
        <f t="shared" si="103"/>
        <v/>
      </c>
      <c r="AJ195" s="74" t="str">
        <f t="shared" si="103"/>
        <v/>
      </c>
      <c r="AK195" s="74" t="str">
        <f t="shared" ref="AK195:BG195" si="104">IFERROR(IF(OR(N(AK120)=0,N(AK20)=0),"",ROUND(ABS(AK20)-ABS(AK120),0)),"")</f>
        <v/>
      </c>
      <c r="AL195" s="74" t="str">
        <f t="shared" si="104"/>
        <v/>
      </c>
      <c r="AM195" s="74" t="str">
        <f t="shared" si="104"/>
        <v/>
      </c>
      <c r="AN195" s="74" t="str">
        <f t="shared" si="104"/>
        <v/>
      </c>
      <c r="AO195" s="74" t="str">
        <f t="shared" si="104"/>
        <v/>
      </c>
      <c r="AP195" s="74" t="str">
        <f t="shared" si="104"/>
        <v/>
      </c>
      <c r="AQ195" s="74" t="str">
        <f t="shared" si="104"/>
        <v/>
      </c>
      <c r="AR195" s="74" t="str">
        <f t="shared" si="104"/>
        <v/>
      </c>
      <c r="AS195" s="74" t="str">
        <f t="shared" si="104"/>
        <v/>
      </c>
      <c r="AT195" s="74" t="str">
        <f t="shared" si="104"/>
        <v/>
      </c>
      <c r="AU195" s="74" t="str">
        <f t="shared" si="104"/>
        <v/>
      </c>
      <c r="AV195" s="74" t="str">
        <f t="shared" si="104"/>
        <v/>
      </c>
      <c r="AW195" s="74" t="str">
        <f t="shared" si="104"/>
        <v/>
      </c>
      <c r="AX195" s="74" t="str">
        <f t="shared" si="104"/>
        <v/>
      </c>
      <c r="AY195" s="74" t="str">
        <f t="shared" si="104"/>
        <v/>
      </c>
      <c r="AZ195" s="74" t="str">
        <f t="shared" si="104"/>
        <v/>
      </c>
      <c r="BA195" s="74" t="str">
        <f t="shared" si="104"/>
        <v/>
      </c>
      <c r="BB195" s="74" t="str">
        <f t="shared" si="104"/>
        <v/>
      </c>
      <c r="BC195" s="74" t="str">
        <f t="shared" si="104"/>
        <v/>
      </c>
      <c r="BD195" s="74" t="str">
        <f t="shared" si="104"/>
        <v/>
      </c>
      <c r="BE195" s="74" t="str">
        <f t="shared" si="104"/>
        <v/>
      </c>
      <c r="BF195" s="74" t="str">
        <f t="shared" si="104"/>
        <v/>
      </c>
      <c r="BG195" s="74" t="str">
        <f t="shared" si="104"/>
        <v/>
      </c>
      <c r="BI195" s="14" t="s">
        <v>751</v>
      </c>
    </row>
  </sheetData>
  <conditionalFormatting sqref="E193:BG195">
    <cfRule type="cellIs" dxfId="2" priority="1" operator="notBetween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B2:BI203"/>
  <sheetViews>
    <sheetView showGridLines="0" workbookViewId="0">
      <pane xSplit="4" ySplit="14" topLeftCell="E15" activePane="bottomRight" state="frozen"/>
      <selection pane="topRight"/>
      <selection pane="bottomLeft"/>
      <selection pane="bottomRight" activeCell="H43" sqref="H43"/>
    </sheetView>
  </sheetViews>
  <sheetFormatPr defaultRowHeight="15" outlineLevelRow="2" outlineLevelCol="1" x14ac:dyDescent="0.25"/>
  <cols>
    <col min="1" max="1" width="2.42578125" customWidth="1"/>
    <col min="2" max="2" width="5" customWidth="1"/>
    <col min="3" max="3" width="58" customWidth="1"/>
    <col min="4" max="4" width="46" customWidth="1"/>
    <col min="5" max="8" width="11.42578125" customWidth="1" outlineLevel="1"/>
    <col min="9" max="9" width="11.42578125" customWidth="1"/>
    <col min="10" max="13" width="11.42578125" customWidth="1" outlineLevel="1"/>
    <col min="14" max="14" width="11.42578125" customWidth="1"/>
    <col min="15" max="18" width="11.42578125" customWidth="1" outlineLevel="1"/>
    <col min="19" max="19" width="11.42578125" customWidth="1"/>
    <col min="20" max="23" width="11.42578125" customWidth="1" outlineLevel="1"/>
    <col min="24" max="24" width="11.42578125" customWidth="1"/>
    <col min="25" max="28" width="11.42578125" customWidth="1" outlineLevel="1"/>
    <col min="29" max="29" width="11.42578125" customWidth="1"/>
    <col min="30" max="33" width="11.42578125" customWidth="1" outlineLevel="1"/>
    <col min="34" max="34" width="11.42578125" customWidth="1"/>
    <col min="35" max="38" width="11.42578125" customWidth="1" outlineLevel="1"/>
    <col min="39" max="39" width="11.42578125" customWidth="1"/>
    <col min="40" max="43" width="11.42578125" customWidth="1" outlineLevel="1"/>
    <col min="44" max="44" width="11.42578125" customWidth="1"/>
    <col min="45" max="48" width="11.42578125" customWidth="1" outlineLevel="1"/>
    <col min="49" max="49" width="11.42578125" customWidth="1"/>
    <col min="50" max="53" width="11.42578125" customWidth="1" outlineLevel="1"/>
    <col min="54" max="54" width="11.42578125" customWidth="1"/>
    <col min="55" max="58" width="11.42578125" customWidth="1" outlineLevel="1"/>
    <col min="59" max="59" width="11.42578125" customWidth="1"/>
    <col min="60" max="60" width="2" customWidth="1"/>
    <col min="61" max="61" width="58" customWidth="1"/>
  </cols>
  <sheetData>
    <row r="2" spans="2:61" ht="18" x14ac:dyDescent="0.25">
      <c r="C2" s="75" t="s">
        <v>752</v>
      </c>
    </row>
    <row r="3" spans="2:61" x14ac:dyDescent="0.25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 spans="2:61" x14ac:dyDescent="0.25">
      <c r="B4" s="7"/>
      <c r="C4" s="7" t="s">
        <v>753</v>
      </c>
      <c r="D4" s="7" t="s">
        <v>754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2:61" hidden="1" outlineLevel="1" x14ac:dyDescent="0.25">
      <c r="C5" s="11" t="s">
        <v>755</v>
      </c>
      <c r="D5" s="12" t="s">
        <v>756</v>
      </c>
      <c r="E5" s="74">
        <f t="shared" ref="E5:AJ5" si="0">ROUND(E42-E79,0)</f>
        <v>0</v>
      </c>
      <c r="F5" s="74">
        <f t="shared" si="0"/>
        <v>0</v>
      </c>
      <c r="G5" s="74">
        <f t="shared" si="0"/>
        <v>0</v>
      </c>
      <c r="H5" s="74">
        <f t="shared" si="0"/>
        <v>0</v>
      </c>
      <c r="I5" s="77">
        <f t="shared" si="0"/>
        <v>0</v>
      </c>
      <c r="J5" s="74">
        <f t="shared" si="0"/>
        <v>0</v>
      </c>
      <c r="K5" s="74">
        <f t="shared" si="0"/>
        <v>0</v>
      </c>
      <c r="L5" s="74">
        <f t="shared" si="0"/>
        <v>0</v>
      </c>
      <c r="M5" s="74">
        <f t="shared" si="0"/>
        <v>0</v>
      </c>
      <c r="N5" s="77">
        <f t="shared" si="0"/>
        <v>0</v>
      </c>
      <c r="O5" s="74">
        <f t="shared" si="0"/>
        <v>0</v>
      </c>
      <c r="P5" s="74">
        <f t="shared" si="0"/>
        <v>0</v>
      </c>
      <c r="Q5" s="74">
        <f t="shared" si="0"/>
        <v>0</v>
      </c>
      <c r="R5" s="74">
        <f t="shared" si="0"/>
        <v>0</v>
      </c>
      <c r="S5" s="77">
        <f t="shared" si="0"/>
        <v>0</v>
      </c>
      <c r="T5" s="74">
        <f t="shared" si="0"/>
        <v>0</v>
      </c>
      <c r="U5" s="74">
        <f t="shared" si="0"/>
        <v>0</v>
      </c>
      <c r="V5" s="74">
        <f t="shared" si="0"/>
        <v>0</v>
      </c>
      <c r="W5" s="74">
        <f t="shared" si="0"/>
        <v>0</v>
      </c>
      <c r="X5" s="77">
        <f t="shared" si="0"/>
        <v>0</v>
      </c>
      <c r="Y5" s="74">
        <f t="shared" si="0"/>
        <v>0</v>
      </c>
      <c r="Z5" s="74">
        <f t="shared" si="0"/>
        <v>0</v>
      </c>
      <c r="AA5" s="74">
        <f t="shared" si="0"/>
        <v>0</v>
      </c>
      <c r="AB5" s="74">
        <f t="shared" si="0"/>
        <v>0</v>
      </c>
      <c r="AC5" s="77">
        <f t="shared" si="0"/>
        <v>0</v>
      </c>
      <c r="AD5" s="74">
        <f t="shared" si="0"/>
        <v>0</v>
      </c>
      <c r="AE5" s="74">
        <f t="shared" si="0"/>
        <v>0</v>
      </c>
      <c r="AF5" s="74">
        <f t="shared" si="0"/>
        <v>0</v>
      </c>
      <c r="AG5" s="74">
        <f t="shared" si="0"/>
        <v>0</v>
      </c>
      <c r="AH5" s="77">
        <f t="shared" si="0"/>
        <v>0</v>
      </c>
      <c r="AI5" s="74">
        <f t="shared" si="0"/>
        <v>0</v>
      </c>
      <c r="AJ5" s="74">
        <f t="shared" si="0"/>
        <v>0</v>
      </c>
      <c r="AK5" s="74">
        <f t="shared" ref="AK5:BG5" si="1">ROUND(AK42-AK79,0)</f>
        <v>0</v>
      </c>
      <c r="AL5" s="74">
        <f t="shared" si="1"/>
        <v>0</v>
      </c>
      <c r="AM5" s="77">
        <f t="shared" si="1"/>
        <v>0</v>
      </c>
      <c r="AN5" s="74">
        <f t="shared" si="1"/>
        <v>0</v>
      </c>
      <c r="AO5" s="74">
        <f t="shared" si="1"/>
        <v>0</v>
      </c>
      <c r="AP5" s="74">
        <f t="shared" si="1"/>
        <v>0</v>
      </c>
      <c r="AQ5" s="74">
        <f t="shared" si="1"/>
        <v>0</v>
      </c>
      <c r="AR5" s="77">
        <f t="shared" si="1"/>
        <v>0</v>
      </c>
      <c r="AS5" s="74">
        <f t="shared" si="1"/>
        <v>0</v>
      </c>
      <c r="AT5" s="74">
        <f t="shared" si="1"/>
        <v>0</v>
      </c>
      <c r="AU5" s="74">
        <f t="shared" si="1"/>
        <v>0</v>
      </c>
      <c r="AV5" s="74">
        <f t="shared" si="1"/>
        <v>0</v>
      </c>
      <c r="AW5" s="77">
        <f t="shared" si="1"/>
        <v>0</v>
      </c>
      <c r="AX5" s="74">
        <f t="shared" si="1"/>
        <v>0</v>
      </c>
      <c r="AY5" s="74">
        <f t="shared" si="1"/>
        <v>0</v>
      </c>
      <c r="AZ5" s="74">
        <f t="shared" si="1"/>
        <v>0</v>
      </c>
      <c r="BA5" s="74">
        <f t="shared" si="1"/>
        <v>0</v>
      </c>
      <c r="BB5" s="77">
        <f t="shared" si="1"/>
        <v>0</v>
      </c>
      <c r="BC5" s="74">
        <f t="shared" si="1"/>
        <v>0</v>
      </c>
      <c r="BD5" s="74">
        <f t="shared" si="1"/>
        <v>0</v>
      </c>
      <c r="BE5" s="74">
        <f t="shared" si="1"/>
        <v>0</v>
      </c>
      <c r="BF5" s="74">
        <f t="shared" si="1"/>
        <v>0</v>
      </c>
      <c r="BG5" s="77">
        <f t="shared" si="1"/>
        <v>0</v>
      </c>
    </row>
    <row r="6" spans="2:61" hidden="1" outlineLevel="1" x14ac:dyDescent="0.25">
      <c r="C6" s="11" t="s">
        <v>757</v>
      </c>
      <c r="D6" s="12" t="s">
        <v>758</v>
      </c>
      <c r="E6" s="74">
        <f>IF(E$14=1,ROUND(E125-'Inputs (2)'!E104,0),0)</f>
        <v>0</v>
      </c>
      <c r="F6" s="74">
        <f>IF(F$14=1,ROUND(F125-'Inputs (2)'!F104,0),0)</f>
        <v>0</v>
      </c>
      <c r="G6" s="74">
        <f>IF(G$14=1,ROUND(G125-'Inputs (2)'!G104,0),0)</f>
        <v>0</v>
      </c>
      <c r="H6" s="74">
        <f>IF(H$14=1,ROUND(H125-'Inputs (2)'!H104,0),0)</f>
        <v>0</v>
      </c>
      <c r="I6" s="77">
        <f>IF(I$14=1,ROUND(I125-'Inputs (2)'!I104,0),0)</f>
        <v>0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spans="2:61" hidden="1" outlineLevel="1" x14ac:dyDescent="0.25">
      <c r="C7" s="11" t="s">
        <v>759</v>
      </c>
      <c r="D7" s="12" t="s">
        <v>760</v>
      </c>
      <c r="E7" s="74">
        <f t="shared" ref="E7:AJ7" si="2">ROUND(E78-E88,0)</f>
        <v>0</v>
      </c>
      <c r="F7" s="74">
        <f t="shared" si="2"/>
        <v>0</v>
      </c>
      <c r="G7" s="74">
        <f t="shared" si="2"/>
        <v>0</v>
      </c>
      <c r="H7" s="74">
        <f t="shared" si="2"/>
        <v>0</v>
      </c>
      <c r="I7" s="77">
        <f t="shared" si="2"/>
        <v>0</v>
      </c>
      <c r="J7" s="74">
        <f t="shared" si="2"/>
        <v>0</v>
      </c>
      <c r="K7" s="74">
        <f t="shared" si="2"/>
        <v>0</v>
      </c>
      <c r="L7" s="74">
        <f t="shared" si="2"/>
        <v>0</v>
      </c>
      <c r="M7" s="74">
        <f t="shared" si="2"/>
        <v>0</v>
      </c>
      <c r="N7" s="77">
        <f t="shared" si="2"/>
        <v>0</v>
      </c>
      <c r="O7" s="74">
        <f t="shared" si="2"/>
        <v>0</v>
      </c>
      <c r="P7" s="74">
        <f t="shared" si="2"/>
        <v>0</v>
      </c>
      <c r="Q7" s="74">
        <f t="shared" si="2"/>
        <v>0</v>
      </c>
      <c r="R7" s="74">
        <f t="shared" si="2"/>
        <v>0</v>
      </c>
      <c r="S7" s="77">
        <f t="shared" si="2"/>
        <v>0</v>
      </c>
      <c r="T7" s="74">
        <f t="shared" si="2"/>
        <v>0</v>
      </c>
      <c r="U7" s="74">
        <f t="shared" si="2"/>
        <v>0</v>
      </c>
      <c r="V7" s="74">
        <f t="shared" si="2"/>
        <v>0</v>
      </c>
      <c r="W7" s="74">
        <f t="shared" si="2"/>
        <v>0</v>
      </c>
      <c r="X7" s="77">
        <f t="shared" si="2"/>
        <v>0</v>
      </c>
      <c r="Y7" s="74">
        <f t="shared" si="2"/>
        <v>0</v>
      </c>
      <c r="Z7" s="74">
        <f t="shared" si="2"/>
        <v>0</v>
      </c>
      <c r="AA7" s="74">
        <f t="shared" si="2"/>
        <v>0</v>
      </c>
      <c r="AB7" s="74">
        <f t="shared" si="2"/>
        <v>0</v>
      </c>
      <c r="AC7" s="77">
        <f t="shared" si="2"/>
        <v>0</v>
      </c>
      <c r="AD7" s="74">
        <f t="shared" si="2"/>
        <v>0</v>
      </c>
      <c r="AE7" s="74">
        <f t="shared" si="2"/>
        <v>0</v>
      </c>
      <c r="AF7" s="74">
        <f t="shared" si="2"/>
        <v>0</v>
      </c>
      <c r="AG7" s="74">
        <f t="shared" si="2"/>
        <v>0</v>
      </c>
      <c r="AH7" s="77">
        <f t="shared" si="2"/>
        <v>0</v>
      </c>
      <c r="AI7" s="74">
        <f t="shared" si="2"/>
        <v>0</v>
      </c>
      <c r="AJ7" s="74">
        <f t="shared" si="2"/>
        <v>0</v>
      </c>
      <c r="AK7" s="74">
        <f t="shared" ref="AK7:BG7" si="3">ROUND(AK78-AK88,0)</f>
        <v>0</v>
      </c>
      <c r="AL7" s="74">
        <f t="shared" si="3"/>
        <v>0</v>
      </c>
      <c r="AM7" s="77">
        <f t="shared" si="3"/>
        <v>0</v>
      </c>
      <c r="AN7" s="74">
        <f t="shared" si="3"/>
        <v>0</v>
      </c>
      <c r="AO7" s="74">
        <f t="shared" si="3"/>
        <v>0</v>
      </c>
      <c r="AP7" s="74">
        <f t="shared" si="3"/>
        <v>0</v>
      </c>
      <c r="AQ7" s="74">
        <f t="shared" si="3"/>
        <v>0</v>
      </c>
      <c r="AR7" s="77">
        <f t="shared" si="3"/>
        <v>0</v>
      </c>
      <c r="AS7" s="74">
        <f t="shared" si="3"/>
        <v>0</v>
      </c>
      <c r="AT7" s="74">
        <f t="shared" si="3"/>
        <v>0</v>
      </c>
      <c r="AU7" s="74">
        <f t="shared" si="3"/>
        <v>0</v>
      </c>
      <c r="AV7" s="74">
        <f t="shared" si="3"/>
        <v>0</v>
      </c>
      <c r="AW7" s="77">
        <f t="shared" si="3"/>
        <v>0</v>
      </c>
      <c r="AX7" s="74">
        <f t="shared" si="3"/>
        <v>0</v>
      </c>
      <c r="AY7" s="74">
        <f t="shared" si="3"/>
        <v>0</v>
      </c>
      <c r="AZ7" s="74">
        <f t="shared" si="3"/>
        <v>0</v>
      </c>
      <c r="BA7" s="74">
        <f t="shared" si="3"/>
        <v>0</v>
      </c>
      <c r="BB7" s="77">
        <f t="shared" si="3"/>
        <v>0</v>
      </c>
      <c r="BC7" s="74">
        <f t="shared" si="3"/>
        <v>0</v>
      </c>
      <c r="BD7" s="74">
        <f t="shared" si="3"/>
        <v>0</v>
      </c>
      <c r="BE7" s="74">
        <f t="shared" si="3"/>
        <v>0</v>
      </c>
      <c r="BF7" s="74">
        <f t="shared" si="3"/>
        <v>0</v>
      </c>
      <c r="BG7" s="77">
        <f t="shared" si="3"/>
        <v>0</v>
      </c>
    </row>
    <row r="8" spans="2:61" collapsed="1" x14ac:dyDescent="0.25">
      <c r="C8" s="15" t="s">
        <v>761</v>
      </c>
      <c r="D8" s="78">
        <v>5</v>
      </c>
      <c r="E8" s="79" t="str">
        <f>IF(AND(MAX(E5:BG7)&lt;=$D$8,MIN(E5:BG7)&gt;=-$D$8),"MODELO CONSISTENTE","VERIFICAR CHECKS ACIMA")</f>
        <v>MODELO CONSISTENTE</v>
      </c>
      <c r="BI8" s="14" t="s">
        <v>762</v>
      </c>
    </row>
    <row r="10" spans="2:61" x14ac:dyDescent="0.25">
      <c r="B10" s="7"/>
      <c r="C10" s="7" t="s">
        <v>362</v>
      </c>
      <c r="D10" s="7" t="s">
        <v>363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2:61" x14ac:dyDescent="0.25">
      <c r="C11" s="11" t="s">
        <v>364</v>
      </c>
      <c r="D11" s="12" t="s">
        <v>365</v>
      </c>
      <c r="E11" s="23">
        <f>DATE(2020,4,1)-1</f>
        <v>43921</v>
      </c>
      <c r="F11" s="23">
        <f>DATE(2020,7,1)-1</f>
        <v>44012</v>
      </c>
      <c r="G11" s="23">
        <f>DATE(2020,10,1)-1</f>
        <v>44104</v>
      </c>
      <c r="H11" s="23">
        <f>DATE(2020,13,1)-1</f>
        <v>44196</v>
      </c>
      <c r="I11" s="23">
        <f>H11</f>
        <v>44196</v>
      </c>
      <c r="J11" s="23">
        <f>DATE(2021,4,1)-1</f>
        <v>44286</v>
      </c>
      <c r="K11" s="23">
        <f>DATE(2021,7,1)-1</f>
        <v>44377</v>
      </c>
      <c r="L11" s="23">
        <f>DATE(2021,10,1)-1</f>
        <v>44469</v>
      </c>
      <c r="M11" s="23">
        <f>DATE(2021,13,1)-1</f>
        <v>44561</v>
      </c>
      <c r="N11" s="23">
        <f>M11</f>
        <v>44561</v>
      </c>
      <c r="O11" s="23">
        <f>DATE(2022,4,1)-1</f>
        <v>44651</v>
      </c>
      <c r="P11" s="23">
        <f>DATE(2022,7,1)-1</f>
        <v>44742</v>
      </c>
      <c r="Q11" s="23">
        <f>DATE(2022,10,1)-1</f>
        <v>44834</v>
      </c>
      <c r="R11" s="23">
        <f>DATE(2022,13,1)-1</f>
        <v>44926</v>
      </c>
      <c r="S11" s="23">
        <f>R11</f>
        <v>44926</v>
      </c>
      <c r="T11" s="23">
        <f>DATE(2023,4,1)-1</f>
        <v>45016</v>
      </c>
      <c r="U11" s="23">
        <f>DATE(2023,7,1)-1</f>
        <v>45107</v>
      </c>
      <c r="V11" s="23">
        <f>DATE(2023,10,1)-1</f>
        <v>45199</v>
      </c>
      <c r="W11" s="23">
        <f>DATE(2023,13,1)-1</f>
        <v>45291</v>
      </c>
      <c r="X11" s="23">
        <f>W11</f>
        <v>45291</v>
      </c>
      <c r="Y11" s="23">
        <f>DATE(2024,4,1)-1</f>
        <v>45382</v>
      </c>
      <c r="Z11" s="23">
        <f>DATE(2024,7,1)-1</f>
        <v>45473</v>
      </c>
      <c r="AA11" s="23">
        <f>DATE(2024,10,1)-1</f>
        <v>45565</v>
      </c>
      <c r="AB11" s="23">
        <f>DATE(2024,13,1)-1</f>
        <v>45657</v>
      </c>
      <c r="AC11" s="23">
        <f>AB11</f>
        <v>45657</v>
      </c>
      <c r="AD11" s="23">
        <f>DATE(2025,4,1)-1</f>
        <v>45747</v>
      </c>
      <c r="AE11" s="23">
        <f>DATE(2025,7,1)-1</f>
        <v>45838</v>
      </c>
      <c r="AF11" s="23">
        <f>DATE(2025,10,1)-1</f>
        <v>45930</v>
      </c>
      <c r="AG11" s="23">
        <f>DATE(2025,13,1)-1</f>
        <v>46022</v>
      </c>
      <c r="AH11" s="23">
        <f>AG11</f>
        <v>46022</v>
      </c>
      <c r="AI11" s="23">
        <f>DATE(2026,4,1)-1</f>
        <v>46112</v>
      </c>
      <c r="AJ11" s="23">
        <f>DATE(2026,7,1)-1</f>
        <v>46203</v>
      </c>
      <c r="AK11" s="23">
        <f>DATE(2026,10,1)-1</f>
        <v>46295</v>
      </c>
      <c r="AL11" s="23">
        <f>DATE(2026,13,1)-1</f>
        <v>46387</v>
      </c>
      <c r="AM11" s="23">
        <f>AL11</f>
        <v>46387</v>
      </c>
      <c r="AN11" s="23">
        <f>DATE(2027,4,1)-1</f>
        <v>46477</v>
      </c>
      <c r="AO11" s="23">
        <f>DATE(2027,7,1)-1</f>
        <v>46568</v>
      </c>
      <c r="AP11" s="23">
        <f>DATE(2027,10,1)-1</f>
        <v>46660</v>
      </c>
      <c r="AQ11" s="23">
        <f>DATE(2027,13,1)-1</f>
        <v>46752</v>
      </c>
      <c r="AR11" s="23">
        <f>AQ11</f>
        <v>46752</v>
      </c>
      <c r="AS11" s="23">
        <f>DATE(2028,4,1)-1</f>
        <v>46843</v>
      </c>
      <c r="AT11" s="23">
        <f>DATE(2028,7,1)-1</f>
        <v>46934</v>
      </c>
      <c r="AU11" s="23">
        <f>DATE(2028,10,1)-1</f>
        <v>47026</v>
      </c>
      <c r="AV11" s="23">
        <f>DATE(2028,13,1)-1</f>
        <v>47118</v>
      </c>
      <c r="AW11" s="23">
        <f>AV11</f>
        <v>47118</v>
      </c>
      <c r="AX11" s="23">
        <f>DATE(2029,4,1)-1</f>
        <v>47208</v>
      </c>
      <c r="AY11" s="23">
        <f>DATE(2029,7,1)-1</f>
        <v>47299</v>
      </c>
      <c r="AZ11" s="23">
        <f>DATE(2029,10,1)-1</f>
        <v>47391</v>
      </c>
      <c r="BA11" s="23">
        <f>DATE(2029,13,1)-1</f>
        <v>47483</v>
      </c>
      <c r="BB11" s="23">
        <f>BA11</f>
        <v>47483</v>
      </c>
      <c r="BC11" s="23">
        <f>DATE(2030,4,1)-1</f>
        <v>47573</v>
      </c>
      <c r="BD11" s="23">
        <f>DATE(2030,7,1)-1</f>
        <v>47664</v>
      </c>
      <c r="BE11" s="23">
        <f>DATE(2030,10,1)-1</f>
        <v>47756</v>
      </c>
      <c r="BF11" s="23">
        <f>DATE(2030,13,1)-1</f>
        <v>47848</v>
      </c>
      <c r="BG11" s="23">
        <f>BF11</f>
        <v>47848</v>
      </c>
    </row>
    <row r="12" spans="2:61" hidden="1" x14ac:dyDescent="0.25">
      <c r="E12" s="24">
        <v>2020</v>
      </c>
      <c r="F12" s="24">
        <v>2020</v>
      </c>
      <c r="G12" s="24">
        <v>2020</v>
      </c>
      <c r="H12" s="24">
        <v>2020</v>
      </c>
      <c r="I12" s="24">
        <v>2020</v>
      </c>
      <c r="J12" s="24">
        <v>2021</v>
      </c>
      <c r="K12" s="24">
        <v>2021</v>
      </c>
      <c r="L12" s="24">
        <v>2021</v>
      </c>
      <c r="M12" s="24">
        <v>2021</v>
      </c>
      <c r="N12" s="24">
        <v>2021</v>
      </c>
      <c r="O12" s="24">
        <v>2022</v>
      </c>
      <c r="P12" s="24">
        <v>2022</v>
      </c>
      <c r="Q12" s="24">
        <v>2022</v>
      </c>
      <c r="R12" s="24">
        <v>2022</v>
      </c>
      <c r="S12" s="24">
        <v>2022</v>
      </c>
      <c r="T12" s="24">
        <v>2023</v>
      </c>
      <c r="U12" s="24">
        <v>2023</v>
      </c>
      <c r="V12" s="24">
        <v>2023</v>
      </c>
      <c r="W12" s="24">
        <v>2023</v>
      </c>
      <c r="X12" s="24">
        <v>2023</v>
      </c>
      <c r="Y12" s="24">
        <v>2024</v>
      </c>
      <c r="Z12" s="24">
        <v>2024</v>
      </c>
      <c r="AA12" s="24">
        <v>2024</v>
      </c>
      <c r="AB12" s="24">
        <v>2024</v>
      </c>
      <c r="AC12" s="24">
        <v>2024</v>
      </c>
      <c r="AD12" s="24">
        <v>2025</v>
      </c>
      <c r="AE12" s="24">
        <v>2025</v>
      </c>
      <c r="AF12" s="24">
        <v>2025</v>
      </c>
      <c r="AG12" s="24">
        <v>2025</v>
      </c>
      <c r="AH12" s="24">
        <v>2025</v>
      </c>
      <c r="AI12" s="24">
        <v>2026</v>
      </c>
      <c r="AJ12" s="24">
        <v>2026</v>
      </c>
      <c r="AK12" s="24">
        <v>2026</v>
      </c>
      <c r="AL12" s="24">
        <v>2026</v>
      </c>
      <c r="AM12" s="24">
        <v>2026</v>
      </c>
      <c r="AN12" s="24">
        <v>2027</v>
      </c>
      <c r="AO12" s="24">
        <v>2027</v>
      </c>
      <c r="AP12" s="24">
        <v>2027</v>
      </c>
      <c r="AQ12" s="24">
        <v>2027</v>
      </c>
      <c r="AR12" s="24">
        <v>2027</v>
      </c>
      <c r="AS12" s="24">
        <v>2028</v>
      </c>
      <c r="AT12" s="24">
        <v>2028</v>
      </c>
      <c r="AU12" s="24">
        <v>2028</v>
      </c>
      <c r="AV12" s="24">
        <v>2028</v>
      </c>
      <c r="AW12" s="24">
        <v>2028</v>
      </c>
      <c r="AX12" s="24">
        <v>2029</v>
      </c>
      <c r="AY12" s="24">
        <v>2029</v>
      </c>
      <c r="AZ12" s="24">
        <v>2029</v>
      </c>
      <c r="BA12" s="24">
        <v>2029</v>
      </c>
      <c r="BB12" s="24">
        <v>2029</v>
      </c>
      <c r="BC12" s="24">
        <v>2030</v>
      </c>
      <c r="BD12" s="24">
        <v>2030</v>
      </c>
      <c r="BE12" s="24">
        <v>2030</v>
      </c>
      <c r="BF12" s="24">
        <v>2030</v>
      </c>
      <c r="BG12" s="24">
        <v>2030</v>
      </c>
    </row>
    <row r="13" spans="2:61" x14ac:dyDescent="0.25">
      <c r="C13" s="15" t="s">
        <v>368</v>
      </c>
      <c r="D13" s="16" t="s">
        <v>369</v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 spans="2:61" x14ac:dyDescent="0.25">
      <c r="C14" s="26" t="s">
        <v>370</v>
      </c>
      <c r="D14" s="12" t="s">
        <v>763</v>
      </c>
      <c r="E14" s="27">
        <f>IF(AND(E11&gt;=Inputs!$E$204,E11&lt;=Inputs!$E$203),1,0)</f>
        <v>0</v>
      </c>
      <c r="F14" s="27">
        <f>IF(AND(F11&gt;=Inputs!$E$204,F11&lt;=Inputs!$E$203),1,0)</f>
        <v>0</v>
      </c>
      <c r="G14" s="27">
        <f>IF(AND(G11&gt;=Inputs!$E$204,G11&lt;=Inputs!$E$203),1,0)</f>
        <v>0</v>
      </c>
      <c r="H14" s="27">
        <f>IF(AND(H11&gt;=Inputs!$E$204,H11&lt;=Inputs!$E$203),1,0)</f>
        <v>0</v>
      </c>
      <c r="I14" s="27">
        <f>IF(AND(I11&gt;=Inputs!$E$204,I11&lt;=Inputs!$E$203),1,0)</f>
        <v>0</v>
      </c>
      <c r="J14" s="27">
        <f>IF(AND(J11&gt;=Inputs!$E$204,J11&lt;=Inputs!$E$203),1,0)</f>
        <v>0</v>
      </c>
      <c r="K14" s="27">
        <f>IF(AND(K11&gt;=Inputs!$E$204,K11&lt;=Inputs!$E$203),1,0)</f>
        <v>0</v>
      </c>
      <c r="L14" s="27">
        <f>IF(AND(L11&gt;=Inputs!$E$204,L11&lt;=Inputs!$E$203),1,0)</f>
        <v>0</v>
      </c>
      <c r="M14" s="27">
        <f>IF(AND(M11&gt;=Inputs!$E$204,M11&lt;=Inputs!$E$203),1,0)</f>
        <v>0</v>
      </c>
      <c r="N14" s="27">
        <f>IF(AND(N11&gt;=Inputs!$E$204,N11&lt;=Inputs!$E$203),1,0)</f>
        <v>0</v>
      </c>
      <c r="O14" s="27">
        <f>IF(AND(O11&gt;=Inputs!$E$204,O11&lt;=Inputs!$E$203),1,0)</f>
        <v>0</v>
      </c>
      <c r="P14" s="27">
        <f>IF(AND(P11&gt;=Inputs!$E$204,P11&lt;=Inputs!$E$203),1,0)</f>
        <v>0</v>
      </c>
      <c r="Q14" s="27">
        <f>IF(AND(Q11&gt;=Inputs!$E$204,Q11&lt;=Inputs!$E$203),1,0)</f>
        <v>0</v>
      </c>
      <c r="R14" s="27">
        <f>IF(AND(R11&gt;=Inputs!$E$204,R11&lt;=Inputs!$E$203),1,0)</f>
        <v>0</v>
      </c>
      <c r="S14" s="27">
        <f>IF(AND(S11&gt;=Inputs!$E$204,S11&lt;=Inputs!$E$203),1,0)</f>
        <v>0</v>
      </c>
      <c r="T14" s="27">
        <f>IF(AND(T11&gt;=Inputs!$E$204,T11&lt;=Inputs!$E$203),1,0)</f>
        <v>0</v>
      </c>
      <c r="U14" s="27">
        <f>IF(AND(U11&gt;=Inputs!$E$204,U11&lt;=Inputs!$E$203),1,0)</f>
        <v>0</v>
      </c>
      <c r="V14" s="27">
        <f>IF(AND(V11&gt;=Inputs!$E$204,V11&lt;=Inputs!$E$203),1,0)</f>
        <v>0</v>
      </c>
      <c r="W14" s="27">
        <f>IF(AND(W11&gt;=Inputs!$E$204,W11&lt;=Inputs!$E$203),1,0)</f>
        <v>0</v>
      </c>
      <c r="X14" s="27">
        <f>IF(AND(X11&gt;=Inputs!$E$204,X11&lt;=Inputs!$E$203),1,0)</f>
        <v>0</v>
      </c>
      <c r="Y14" s="27">
        <f>IF(AND(Y11&gt;=Inputs!$E$204,Y11&lt;=Inputs!$E$203),1,0)</f>
        <v>0</v>
      </c>
      <c r="Z14" s="27">
        <f>IF(AND(Z11&gt;=Inputs!$E$204,Z11&lt;=Inputs!$E$203),1,0)</f>
        <v>0</v>
      </c>
      <c r="AA14" s="27">
        <f>IF(AND(AA11&gt;=Inputs!$E$204,AA11&lt;=Inputs!$E$203),1,0)</f>
        <v>0</v>
      </c>
      <c r="AB14" s="27">
        <f>IF(AND(AB11&gt;=Inputs!$E$204,AB11&lt;=Inputs!$E$203),1,0)</f>
        <v>0</v>
      </c>
      <c r="AC14" s="27">
        <f>IF(AND(AC11&gt;=Inputs!$E$204,AC11&lt;=Inputs!$E$203),1,0)</f>
        <v>0</v>
      </c>
      <c r="AD14" s="27">
        <f>IF(AND(AD11&gt;=Inputs!$E$204,AD11&lt;=Inputs!$E$203),1,0)</f>
        <v>0</v>
      </c>
      <c r="AE14" s="27">
        <f>IF(AND(AE11&gt;=Inputs!$E$204,AE11&lt;=Inputs!$E$203),1,0)</f>
        <v>0</v>
      </c>
      <c r="AF14" s="27">
        <f>IF(AND(AF11&gt;=Inputs!$E$204,AF11&lt;=Inputs!$E$203),1,0)</f>
        <v>0</v>
      </c>
      <c r="AG14" s="27">
        <f>IF(AND(AG11&gt;=Inputs!$E$204,AG11&lt;=Inputs!$E$203),1,0)</f>
        <v>0</v>
      </c>
      <c r="AH14" s="27">
        <f>IF(AND(AH11&gt;=Inputs!$E$204,AH11&lt;=Inputs!$E$203),1,0)</f>
        <v>0</v>
      </c>
      <c r="AI14" s="27">
        <f>IF(AND(AI11&gt;=Inputs!$E$204,AI11&lt;=Inputs!$E$203),1,0)</f>
        <v>0</v>
      </c>
      <c r="AJ14" s="27">
        <f>IF(AND(AJ11&gt;=Inputs!$E$204,AJ11&lt;=Inputs!$E$203),1,0)</f>
        <v>0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 spans="2:61" x14ac:dyDescent="0.25">
      <c r="B16" s="7"/>
      <c r="C16" s="7" t="str">
        <f>"BALANÇO PATRIMONIAL ("&amp;Inputs!$E$202&amp;")"</f>
        <v>BALANÇO PATRIMONIAL (R$ milhões)</v>
      </c>
      <c r="D16" s="7" t="s">
        <v>764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2:61" x14ac:dyDescent="0.25">
      <c r="B17" s="29"/>
      <c r="C17" s="29" t="s">
        <v>765</v>
      </c>
      <c r="D17" s="29" t="s">
        <v>766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</row>
    <row r="18" spans="2:61" x14ac:dyDescent="0.25">
      <c r="C18" s="80" t="s">
        <v>52</v>
      </c>
      <c r="D18" s="81" t="s">
        <v>545</v>
      </c>
      <c r="E18" s="82">
        <f>'Inputs (2)'!E5</f>
        <v>0</v>
      </c>
      <c r="F18" s="82">
        <f>IF(F$14=1,'Inputs (2)'!F5,E18*(1+Inputs!F$281))</f>
        <v>0</v>
      </c>
      <c r="G18" s="82">
        <f>IF(G$14=1,'Inputs (2)'!G5,F18*(1+Inputs!G$281))</f>
        <v>0</v>
      </c>
      <c r="H18" s="82">
        <f>IF(H$14=1,'Inputs (2)'!H5,G18*(1+Inputs!H$281))</f>
        <v>0</v>
      </c>
      <c r="I18" s="77">
        <f t="shared" ref="I18:I42" si="4">H18</f>
        <v>0</v>
      </c>
      <c r="J18" s="82">
        <f>IF(J$14=1,'Inputs (2)'!J5,H18*(1+Inputs!J$281))</f>
        <v>0</v>
      </c>
      <c r="K18" s="82">
        <f>IF(K$14=1,'Inputs (2)'!K5,J18*(1+Inputs!K$281))</f>
        <v>0</v>
      </c>
      <c r="L18" s="82">
        <f>IF(L$14=1,'Inputs (2)'!L5,K18*(1+Inputs!L$281))</f>
        <v>0</v>
      </c>
      <c r="M18" s="82">
        <f>IF(M$14=1,'Inputs (2)'!M5,L18*(1+Inputs!M$281))</f>
        <v>0</v>
      </c>
      <c r="N18" s="77">
        <f t="shared" ref="N18:N42" si="5">M18</f>
        <v>0</v>
      </c>
      <c r="O18" s="82">
        <f>IF(O$14=1,'Inputs (2)'!O5,M18*(1+Inputs!O$281))</f>
        <v>0</v>
      </c>
      <c r="P18" s="82">
        <f>IF(P$14=1,'Inputs (2)'!P5,O18*(1+Inputs!P$281))</f>
        <v>0</v>
      </c>
      <c r="Q18" s="82">
        <f>IF(Q$14=1,'Inputs (2)'!Q5,P18*(1+Inputs!Q$281))</f>
        <v>0</v>
      </c>
      <c r="R18" s="82">
        <f>IF(R$14=1,'Inputs (2)'!R5,Q18*(1+Inputs!R$281))</f>
        <v>0</v>
      </c>
      <c r="S18" s="77">
        <f t="shared" ref="S18:S42" si="6">R18</f>
        <v>0</v>
      </c>
      <c r="T18" s="82">
        <f>IF(T$14=1,'Inputs (2)'!T5,R18*(1+Inputs!T$281))</f>
        <v>0</v>
      </c>
      <c r="U18" s="82">
        <f>IF(U$14=1,'Inputs (2)'!U5,T18*(1+Inputs!U$281))</f>
        <v>0</v>
      </c>
      <c r="V18" s="82">
        <f>IF(V$14=1,'Inputs (2)'!V5,U18*(1+Inputs!V$281))</f>
        <v>0</v>
      </c>
      <c r="W18" s="82">
        <f>IF(W$14=1,'Inputs (2)'!W5,V18*(1+Inputs!W$281))</f>
        <v>0</v>
      </c>
      <c r="X18" s="77">
        <f t="shared" ref="X18:X42" si="7">W18</f>
        <v>0</v>
      </c>
      <c r="Y18" s="82">
        <f>IF(Y$14=1,'Inputs (2)'!Y5,W18*(1+Inputs!Y$281))</f>
        <v>0</v>
      </c>
      <c r="Z18" s="82">
        <f>IF(Z$14=1,'Inputs (2)'!Z5,Y18*(1+Inputs!Z$281))</f>
        <v>0</v>
      </c>
      <c r="AA18" s="82">
        <f>IF(AA$14=1,'Inputs (2)'!AA5,Z18*(1+Inputs!AA$281))</f>
        <v>0</v>
      </c>
      <c r="AB18" s="82">
        <f>IF(AB$14=1,'Inputs (2)'!AB5,AA18*(1+Inputs!AB$281))</f>
        <v>0</v>
      </c>
      <c r="AC18" s="77">
        <f t="shared" ref="AC18:AC42" si="8">AB18</f>
        <v>0</v>
      </c>
      <c r="AD18" s="82">
        <f>IF(AD$14=1,'Inputs (2)'!AD5,AB18*(1+Inputs!AD$281))</f>
        <v>0</v>
      </c>
      <c r="AE18" s="82">
        <f>IF(AE$14=1,'Inputs (2)'!AE5,AD18*(1+Inputs!AE$281))</f>
        <v>0</v>
      </c>
      <c r="AF18" s="82">
        <f>IF(AF$14=1,'Inputs (2)'!AF5,AE18*(1+Inputs!AF$281))</f>
        <v>0</v>
      </c>
      <c r="AG18" s="82">
        <f>IF(AG$14=1,'Inputs (2)'!AG5,AF18*(1+Inputs!AG$281))</f>
        <v>0</v>
      </c>
      <c r="AH18" s="77">
        <f t="shared" ref="AH18:AH42" si="9">AG18</f>
        <v>0</v>
      </c>
      <c r="AI18" s="82">
        <f>IF(AI$14=1,'Inputs (2)'!AI5,AG18*(1+Inputs!AI$281))</f>
        <v>0</v>
      </c>
      <c r="AJ18" s="82">
        <f>IF(AJ$14=1,'Inputs (2)'!AJ5,AI18*(1+Inputs!AJ$281))</f>
        <v>0</v>
      </c>
      <c r="AK18" s="82">
        <f>IF(AK$14=1,'Inputs (2)'!AK5,AJ18*(1+Inputs!AK$281))</f>
        <v>0</v>
      </c>
      <c r="AL18" s="82">
        <f>IF(AL$14=1,'Inputs (2)'!AL5,AK18*(1+Inputs!AL$281))</f>
        <v>0</v>
      </c>
      <c r="AM18" s="77">
        <f t="shared" ref="AM18:AM42" si="10">AL18</f>
        <v>0</v>
      </c>
      <c r="AN18" s="82">
        <f>IF(AN$14=1,'Inputs (2)'!AN5,AL18*(1+Inputs!AN$281))</f>
        <v>0</v>
      </c>
      <c r="AO18" s="82">
        <f>IF(AO$14=1,'Inputs (2)'!AO5,AN18*(1+Inputs!AO$281))</f>
        <v>0</v>
      </c>
      <c r="AP18" s="82">
        <f>IF(AP$14=1,'Inputs (2)'!AP5,AO18*(1+Inputs!AP$281))</f>
        <v>0</v>
      </c>
      <c r="AQ18" s="82">
        <f>IF(AQ$14=1,'Inputs (2)'!AQ5,AP18*(1+Inputs!AQ$281))</f>
        <v>0</v>
      </c>
      <c r="AR18" s="77">
        <f t="shared" ref="AR18:AR42" si="11">AQ18</f>
        <v>0</v>
      </c>
      <c r="AS18" s="82">
        <f>IF(AS$14=1,'Inputs (2)'!AS5,AQ18*(1+Inputs!AS$281))</f>
        <v>0</v>
      </c>
      <c r="AT18" s="82">
        <f>IF(AT$14=1,'Inputs (2)'!AT5,AS18*(1+Inputs!AT$281))</f>
        <v>0</v>
      </c>
      <c r="AU18" s="82">
        <f>IF(AU$14=1,'Inputs (2)'!AU5,AT18*(1+Inputs!AU$281))</f>
        <v>0</v>
      </c>
      <c r="AV18" s="82">
        <f>IF(AV$14=1,'Inputs (2)'!AV5,AU18*(1+Inputs!AV$281))</f>
        <v>0</v>
      </c>
      <c r="AW18" s="77">
        <f t="shared" ref="AW18:AW42" si="12">AV18</f>
        <v>0</v>
      </c>
      <c r="AX18" s="82">
        <f>IF(AX$14=1,'Inputs (2)'!AX5,AV18*(1+Inputs!AX$281))</f>
        <v>0</v>
      </c>
      <c r="AY18" s="82">
        <f>IF(AY$14=1,'Inputs (2)'!AY5,AX18*(1+Inputs!AY$281))</f>
        <v>0</v>
      </c>
      <c r="AZ18" s="82">
        <f>IF(AZ$14=1,'Inputs (2)'!AZ5,AY18*(1+Inputs!AZ$281))</f>
        <v>0</v>
      </c>
      <c r="BA18" s="82">
        <f>IF(BA$14=1,'Inputs (2)'!BA5,AZ18*(1+Inputs!BA$281))</f>
        <v>0</v>
      </c>
      <c r="BB18" s="77">
        <f t="shared" ref="BB18:BB42" si="13">BA18</f>
        <v>0</v>
      </c>
      <c r="BC18" s="82">
        <f>IF(BC$14=1,'Inputs (2)'!BC5,BA18*(1+Inputs!BC$281))</f>
        <v>0</v>
      </c>
      <c r="BD18" s="82">
        <f>IF(BD$14=1,'Inputs (2)'!BD5,BC18*(1+Inputs!BD$281))</f>
        <v>0</v>
      </c>
      <c r="BE18" s="82">
        <f>IF(BE$14=1,'Inputs (2)'!BE5,BD18*(1+Inputs!BE$281))</f>
        <v>0</v>
      </c>
      <c r="BF18" s="82">
        <f>IF(BF$14=1,'Inputs (2)'!BF5,BE18*(1+Inputs!BF$281))</f>
        <v>0</v>
      </c>
      <c r="BG18" s="77">
        <f t="shared" ref="BG18:BG42" si="14">BF18</f>
        <v>0</v>
      </c>
    </row>
    <row r="19" spans="2:61" x14ac:dyDescent="0.25">
      <c r="C19" s="83" t="s">
        <v>546</v>
      </c>
      <c r="D19" s="84" t="s">
        <v>547</v>
      </c>
      <c r="E19" s="85">
        <f>E20+E21+E22+E23</f>
        <v>0</v>
      </c>
      <c r="F19" s="85">
        <f>F20+F21+F22+F23</f>
        <v>0</v>
      </c>
      <c r="G19" s="85">
        <f>G20+G21+G22+G23</f>
        <v>0</v>
      </c>
      <c r="H19" s="85">
        <f>H20+H21+H22+H23</f>
        <v>0</v>
      </c>
      <c r="I19" s="60">
        <f t="shared" si="4"/>
        <v>0</v>
      </c>
      <c r="J19" s="85">
        <f>J20+J21+J22+J23</f>
        <v>0</v>
      </c>
      <c r="K19" s="85">
        <f>K20+K21+K22+K23</f>
        <v>0</v>
      </c>
      <c r="L19" s="85">
        <f>L20+L21+L22+L23</f>
        <v>0</v>
      </c>
      <c r="M19" s="85">
        <f>M20+M21+M22+M23</f>
        <v>0</v>
      </c>
      <c r="N19" s="60">
        <f t="shared" si="5"/>
        <v>0</v>
      </c>
      <c r="O19" s="85">
        <f>O20+O21+O22+O23</f>
        <v>0</v>
      </c>
      <c r="P19" s="85">
        <f>P20+P21+P22+P23</f>
        <v>0</v>
      </c>
      <c r="Q19" s="85">
        <f>Q20+Q21+Q22+Q23</f>
        <v>0</v>
      </c>
      <c r="R19" s="85">
        <f>R20+R21+R22+R23</f>
        <v>0</v>
      </c>
      <c r="S19" s="60">
        <f t="shared" si="6"/>
        <v>0</v>
      </c>
      <c r="T19" s="85">
        <f>T20+T21+T22+T23</f>
        <v>0</v>
      </c>
      <c r="U19" s="85">
        <f>U20+U21+U22+U23</f>
        <v>0</v>
      </c>
      <c r="V19" s="85">
        <f>V20+V21+V22+V23</f>
        <v>0</v>
      </c>
      <c r="W19" s="85">
        <f>W20+W21+W22+W23</f>
        <v>0</v>
      </c>
      <c r="X19" s="60">
        <f t="shared" si="7"/>
        <v>0</v>
      </c>
      <c r="Y19" s="85">
        <f>Y20+Y21+Y22+Y23</f>
        <v>0</v>
      </c>
      <c r="Z19" s="85">
        <f>Z20+Z21+Z22+Z23</f>
        <v>0</v>
      </c>
      <c r="AA19" s="85">
        <f>AA20+AA21+AA22+AA23</f>
        <v>0</v>
      </c>
      <c r="AB19" s="85">
        <f>AB20+AB21+AB22+AB23</f>
        <v>0</v>
      </c>
      <c r="AC19" s="60">
        <f t="shared" si="8"/>
        <v>0</v>
      </c>
      <c r="AD19" s="85">
        <f>AD20+AD21+AD22+AD23</f>
        <v>0</v>
      </c>
      <c r="AE19" s="85">
        <f>AE20+AE21+AE22+AE23</f>
        <v>0</v>
      </c>
      <c r="AF19" s="85">
        <f>AF20+AF21+AF22+AF23</f>
        <v>0</v>
      </c>
      <c r="AG19" s="85">
        <f>AG20+AG21+AG22+AG23</f>
        <v>0</v>
      </c>
      <c r="AH19" s="60">
        <f t="shared" si="9"/>
        <v>0</v>
      </c>
      <c r="AI19" s="85">
        <f>AI20+AI21+AI22+AI23</f>
        <v>0</v>
      </c>
      <c r="AJ19" s="85">
        <f>AJ20+AJ21+AJ22+AJ23</f>
        <v>0</v>
      </c>
      <c r="AK19" s="85">
        <f>AK20+AK21+AK22+AK23</f>
        <v>0</v>
      </c>
      <c r="AL19" s="85">
        <f>AL20+AL21+AL22+AL23</f>
        <v>0</v>
      </c>
      <c r="AM19" s="60">
        <f t="shared" si="10"/>
        <v>0</v>
      </c>
      <c r="AN19" s="85">
        <f>AN20+AN21+AN22+AN23</f>
        <v>0</v>
      </c>
      <c r="AO19" s="85">
        <f>AO20+AO21+AO22+AO23</f>
        <v>0</v>
      </c>
      <c r="AP19" s="85">
        <f>AP20+AP21+AP22+AP23</f>
        <v>0</v>
      </c>
      <c r="AQ19" s="85">
        <f>AQ20+AQ21+AQ22+AQ23</f>
        <v>0</v>
      </c>
      <c r="AR19" s="60">
        <f t="shared" si="11"/>
        <v>0</v>
      </c>
      <c r="AS19" s="85">
        <f>AS20+AS21+AS22+AS23</f>
        <v>0</v>
      </c>
      <c r="AT19" s="85">
        <f>AT20+AT21+AT22+AT23</f>
        <v>0</v>
      </c>
      <c r="AU19" s="85">
        <f>AU20+AU21+AU22+AU23</f>
        <v>0</v>
      </c>
      <c r="AV19" s="85">
        <f>AV20+AV21+AV22+AV23</f>
        <v>0</v>
      </c>
      <c r="AW19" s="60">
        <f t="shared" si="12"/>
        <v>0</v>
      </c>
      <c r="AX19" s="85">
        <f>AX20+AX21+AX22+AX23</f>
        <v>0</v>
      </c>
      <c r="AY19" s="85">
        <f>AY20+AY21+AY22+AY23</f>
        <v>0</v>
      </c>
      <c r="AZ19" s="85">
        <f>AZ20+AZ21+AZ22+AZ23</f>
        <v>0</v>
      </c>
      <c r="BA19" s="85">
        <f>BA20+BA21+BA22+BA23</f>
        <v>0</v>
      </c>
      <c r="BB19" s="60">
        <f t="shared" si="13"/>
        <v>0</v>
      </c>
      <c r="BC19" s="85">
        <f>BC20+BC21+BC22+BC23</f>
        <v>0</v>
      </c>
      <c r="BD19" s="85">
        <f>BD20+BD21+BD22+BD23</f>
        <v>0</v>
      </c>
      <c r="BE19" s="85">
        <f>BE20+BE21+BE22+BE23</f>
        <v>0</v>
      </c>
      <c r="BF19" s="85">
        <f>BF20+BF21+BF22+BF23</f>
        <v>0</v>
      </c>
      <c r="BG19" s="60">
        <f t="shared" si="14"/>
        <v>0</v>
      </c>
    </row>
    <row r="20" spans="2:61" hidden="1" outlineLevel="1" x14ac:dyDescent="0.25">
      <c r="C20" s="61" t="s">
        <v>55</v>
      </c>
      <c r="D20" s="62" t="s">
        <v>548</v>
      </c>
      <c r="E20" s="57">
        <f>'Inputs (2)'!E7</f>
        <v>0</v>
      </c>
      <c r="F20" s="57">
        <f>IF(F$14=1,'Inputs (2)'!F7,E20*(1+Inputs!F$275))</f>
        <v>0</v>
      </c>
      <c r="G20" s="57">
        <f>IF(G$14=1,'Inputs (2)'!G7,F20*(1+Inputs!G$275))</f>
        <v>0</v>
      </c>
      <c r="H20" s="57">
        <f>IF(H$14=1,'Inputs (2)'!H7,G20*(1+Inputs!H$275))</f>
        <v>0</v>
      </c>
      <c r="I20" s="77">
        <f t="shared" si="4"/>
        <v>0</v>
      </c>
      <c r="J20" s="57">
        <f>IF(J$14=1,'Inputs (2)'!J7,H20*(1+Inputs!J$275))</f>
        <v>0</v>
      </c>
      <c r="K20" s="57">
        <f>IF(K$14=1,'Inputs (2)'!K7,J20*(1+Inputs!K$275))</f>
        <v>0</v>
      </c>
      <c r="L20" s="57">
        <f>IF(L$14=1,'Inputs (2)'!L7,K20*(1+Inputs!L$275))</f>
        <v>0</v>
      </c>
      <c r="M20" s="57">
        <f>IF(M$14=1,'Inputs (2)'!M7,L20*(1+Inputs!M$275))</f>
        <v>0</v>
      </c>
      <c r="N20" s="77">
        <f t="shared" si="5"/>
        <v>0</v>
      </c>
      <c r="O20" s="57">
        <f>IF(O$14=1,'Inputs (2)'!O7,M20*(1+Inputs!O$275))</f>
        <v>0</v>
      </c>
      <c r="P20" s="57">
        <f>IF(P$14=1,'Inputs (2)'!P7,O20*(1+Inputs!P$275))</f>
        <v>0</v>
      </c>
      <c r="Q20" s="57">
        <f>IF(Q$14=1,'Inputs (2)'!Q7,P20*(1+Inputs!Q$275))</f>
        <v>0</v>
      </c>
      <c r="R20" s="57">
        <f>IF(R$14=1,'Inputs (2)'!R7,Q20*(1+Inputs!R$275))</f>
        <v>0</v>
      </c>
      <c r="S20" s="77">
        <f t="shared" si="6"/>
        <v>0</v>
      </c>
      <c r="T20" s="57">
        <f>IF(T$14=1,'Inputs (2)'!T7,R20*(1+Inputs!T$275))</f>
        <v>0</v>
      </c>
      <c r="U20" s="57">
        <f>IF(U$14=1,'Inputs (2)'!U7,T20*(1+Inputs!U$275))</f>
        <v>0</v>
      </c>
      <c r="V20" s="57">
        <f>IF(V$14=1,'Inputs (2)'!V7,U20*(1+Inputs!V$275))</f>
        <v>0</v>
      </c>
      <c r="W20" s="57">
        <f>IF(W$14=1,'Inputs (2)'!W7,V20*(1+Inputs!W$275))</f>
        <v>0</v>
      </c>
      <c r="X20" s="77">
        <f t="shared" si="7"/>
        <v>0</v>
      </c>
      <c r="Y20" s="57">
        <f>IF(Y$14=1,'Inputs (2)'!Y7,W20*(1+Inputs!Y$275))</f>
        <v>0</v>
      </c>
      <c r="Z20" s="57">
        <f>IF(Z$14=1,'Inputs (2)'!Z7,Y20*(1+Inputs!Z$275))</f>
        <v>0</v>
      </c>
      <c r="AA20" s="57">
        <f>IF(AA$14=1,'Inputs (2)'!AA7,Z20*(1+Inputs!AA$275))</f>
        <v>0</v>
      </c>
      <c r="AB20" s="57">
        <f>IF(AB$14=1,'Inputs (2)'!AB7,AA20*(1+Inputs!AB$275))</f>
        <v>0</v>
      </c>
      <c r="AC20" s="77">
        <f t="shared" si="8"/>
        <v>0</v>
      </c>
      <c r="AD20" s="57">
        <f>IF(AD$14=1,'Inputs (2)'!AD7,AB20*(1+Inputs!AD$275))</f>
        <v>0</v>
      </c>
      <c r="AE20" s="57">
        <f>IF(AE$14=1,'Inputs (2)'!AE7,AD20*(1+Inputs!AE$275))</f>
        <v>0</v>
      </c>
      <c r="AF20" s="57">
        <f>IF(AF$14=1,'Inputs (2)'!AF7,AE20*(1+Inputs!AF$275))</f>
        <v>0</v>
      </c>
      <c r="AG20" s="57">
        <f>IF(AG$14=1,'Inputs (2)'!AG7,AF20*(1+Inputs!AG$275))</f>
        <v>0</v>
      </c>
      <c r="AH20" s="77">
        <f t="shared" si="9"/>
        <v>0</v>
      </c>
      <c r="AI20" s="57">
        <f>IF(AI$14=1,'Inputs (2)'!AI7,AG20*(1+Inputs!AI$275))</f>
        <v>0</v>
      </c>
      <c r="AJ20" s="57">
        <f>IF(AJ$14=1,'Inputs (2)'!AJ7,AI20*(1+Inputs!AJ$275))</f>
        <v>0</v>
      </c>
      <c r="AK20" s="57">
        <f>IF(AK$14=1,'Inputs (2)'!AK7,AJ20*(1+Inputs!AK$275))</f>
        <v>0</v>
      </c>
      <c r="AL20" s="57">
        <f>IF(AL$14=1,'Inputs (2)'!AL7,AK20*(1+Inputs!AL$275))</f>
        <v>0</v>
      </c>
      <c r="AM20" s="77">
        <f t="shared" si="10"/>
        <v>0</v>
      </c>
      <c r="AN20" s="57">
        <f>IF(AN$14=1,'Inputs (2)'!AN7,AL20*(1+Inputs!AN$275))</f>
        <v>0</v>
      </c>
      <c r="AO20" s="57">
        <f>IF(AO$14=1,'Inputs (2)'!AO7,AN20*(1+Inputs!AO$275))</f>
        <v>0</v>
      </c>
      <c r="AP20" s="57">
        <f>IF(AP$14=1,'Inputs (2)'!AP7,AO20*(1+Inputs!AP$275))</f>
        <v>0</v>
      </c>
      <c r="AQ20" s="57">
        <f>IF(AQ$14=1,'Inputs (2)'!AQ7,AP20*(1+Inputs!AQ$275))</f>
        <v>0</v>
      </c>
      <c r="AR20" s="77">
        <f t="shared" si="11"/>
        <v>0</v>
      </c>
      <c r="AS20" s="57">
        <f>IF(AS$14=1,'Inputs (2)'!AS7,AQ20*(1+Inputs!AS$275))</f>
        <v>0</v>
      </c>
      <c r="AT20" s="57">
        <f>IF(AT$14=1,'Inputs (2)'!AT7,AS20*(1+Inputs!AT$275))</f>
        <v>0</v>
      </c>
      <c r="AU20" s="57">
        <f>IF(AU$14=1,'Inputs (2)'!AU7,AT20*(1+Inputs!AU$275))</f>
        <v>0</v>
      </c>
      <c r="AV20" s="57">
        <f>IF(AV$14=1,'Inputs (2)'!AV7,AU20*(1+Inputs!AV$275))</f>
        <v>0</v>
      </c>
      <c r="AW20" s="77">
        <f t="shared" si="12"/>
        <v>0</v>
      </c>
      <c r="AX20" s="57">
        <f>IF(AX$14=1,'Inputs (2)'!AX7,AV20*(1+Inputs!AX$275))</f>
        <v>0</v>
      </c>
      <c r="AY20" s="57">
        <f>IF(AY$14=1,'Inputs (2)'!AY7,AX20*(1+Inputs!AY$275))</f>
        <v>0</v>
      </c>
      <c r="AZ20" s="57">
        <f>IF(AZ$14=1,'Inputs (2)'!AZ7,AY20*(1+Inputs!AZ$275))</f>
        <v>0</v>
      </c>
      <c r="BA20" s="57">
        <f>IF(BA$14=1,'Inputs (2)'!BA7,AZ20*(1+Inputs!BA$275))</f>
        <v>0</v>
      </c>
      <c r="BB20" s="77">
        <f t="shared" si="13"/>
        <v>0</v>
      </c>
      <c r="BC20" s="57">
        <f>IF(BC$14=1,'Inputs (2)'!BC7,BA20*(1+Inputs!BC$275))</f>
        <v>0</v>
      </c>
      <c r="BD20" s="57">
        <f>IF(BD$14=1,'Inputs (2)'!BD7,BC20*(1+Inputs!BD$275))</f>
        <v>0</v>
      </c>
      <c r="BE20" s="57">
        <f>IF(BE$14=1,'Inputs (2)'!BE7,BD20*(1+Inputs!BE$275))</f>
        <v>0</v>
      </c>
      <c r="BF20" s="57">
        <f>IF(BF$14=1,'Inputs (2)'!BF7,BE20*(1+Inputs!BF$275))</f>
        <v>0</v>
      </c>
      <c r="BG20" s="77">
        <f t="shared" si="14"/>
        <v>0</v>
      </c>
    </row>
    <row r="21" spans="2:61" hidden="1" outlineLevel="1" x14ac:dyDescent="0.25">
      <c r="C21" s="61" t="s">
        <v>57</v>
      </c>
      <c r="D21" s="62" t="s">
        <v>549</v>
      </c>
      <c r="E21" s="57">
        <f>'Inputs (2)'!E8</f>
        <v>0</v>
      </c>
      <c r="F21" s="57">
        <f>IF(F$14=1,'Inputs (2)'!F8,E21*(1+Inputs!F$275))</f>
        <v>0</v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 t="shared" si="4"/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 t="shared" si="5"/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 t="shared" si="6"/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 t="shared" si="7"/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 t="shared" si="8"/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 t="shared" si="9"/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 t="shared" si="10"/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 t="shared" si="11"/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 t="shared" si="12"/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 t="shared" si="13"/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 t="shared" si="14"/>
        <v>0</v>
      </c>
    </row>
    <row r="22" spans="2:61" hidden="1" outlineLevel="1" x14ac:dyDescent="0.25">
      <c r="C22" s="61" t="s">
        <v>59</v>
      </c>
      <c r="D22" s="62" t="s">
        <v>767</v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 t="shared" si="4"/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 t="shared" si="5"/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 t="shared" si="6"/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 t="shared" si="7"/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 t="shared" si="8"/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 t="shared" si="9"/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 t="shared" si="10"/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 t="shared" si="11"/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 t="shared" si="12"/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 t="shared" si="13"/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 t="shared" si="14"/>
        <v>0</v>
      </c>
    </row>
    <row r="23" spans="2:61" hidden="1" outlineLevel="1" x14ac:dyDescent="0.25">
      <c r="C23" s="61" t="s">
        <v>61</v>
      </c>
      <c r="D23" s="62" t="s">
        <v>768</v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 t="shared" si="4"/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 t="shared" si="5"/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 t="shared" si="6"/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 t="shared" si="7"/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 t="shared" si="8"/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 t="shared" si="9"/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 t="shared" si="10"/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 t="shared" si="11"/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 t="shared" si="12"/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 t="shared" si="13"/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 t="shared" si="14"/>
        <v>0</v>
      </c>
    </row>
    <row r="24" spans="2:61" collapsed="1" x14ac:dyDescent="0.25">
      <c r="C24" s="83" t="s">
        <v>73</v>
      </c>
      <c r="D24" s="84" t="s">
        <v>552</v>
      </c>
      <c r="E24" s="85">
        <f>E25+E26+E27+E28</f>
        <v>0</v>
      </c>
      <c r="F24" s="85">
        <f>F25+F26+F27+F28</f>
        <v>0</v>
      </c>
      <c r="G24" s="85">
        <f>G25+G26+G27+G28</f>
        <v>0</v>
      </c>
      <c r="H24" s="85">
        <f>H25+H26+H27+H28</f>
        <v>0</v>
      </c>
      <c r="I24" s="60">
        <f t="shared" si="4"/>
        <v>0</v>
      </c>
      <c r="J24" s="85">
        <f>J25+J26+J27+J28</f>
        <v>0</v>
      </c>
      <c r="K24" s="85">
        <f>K25+K26+K27+K28</f>
        <v>0</v>
      </c>
      <c r="L24" s="85">
        <f>L25+L26+L27+L28</f>
        <v>0</v>
      </c>
      <c r="M24" s="85">
        <f>M25+M26+M27+M28</f>
        <v>0</v>
      </c>
      <c r="N24" s="60">
        <f t="shared" si="5"/>
        <v>0</v>
      </c>
      <c r="O24" s="85">
        <f>O25+O26+O27+O28</f>
        <v>0</v>
      </c>
      <c r="P24" s="85">
        <f>P25+P26+P27+P28</f>
        <v>0</v>
      </c>
      <c r="Q24" s="85">
        <f>Q25+Q26+Q27+Q28</f>
        <v>0</v>
      </c>
      <c r="R24" s="85">
        <f>R25+R26+R27+R28</f>
        <v>0</v>
      </c>
      <c r="S24" s="60">
        <f t="shared" si="6"/>
        <v>0</v>
      </c>
      <c r="T24" s="85">
        <f>T25+T26+T27+T28</f>
        <v>0</v>
      </c>
      <c r="U24" s="85">
        <f>U25+U26+U27+U28</f>
        <v>0</v>
      </c>
      <c r="V24" s="85">
        <f>V25+V26+V27+V28</f>
        <v>0</v>
      </c>
      <c r="W24" s="85">
        <f>W25+W26+W27+W28</f>
        <v>0</v>
      </c>
      <c r="X24" s="60">
        <f t="shared" si="7"/>
        <v>0</v>
      </c>
      <c r="Y24" s="85">
        <f>Y25+Y26+Y27+Y28</f>
        <v>0</v>
      </c>
      <c r="Z24" s="85">
        <f>Z25+Z26+Z27+Z28</f>
        <v>0</v>
      </c>
      <c r="AA24" s="85">
        <f>AA25+AA26+AA27+AA28</f>
        <v>0</v>
      </c>
      <c r="AB24" s="85">
        <f>AB25+AB26+AB27+AB28</f>
        <v>0</v>
      </c>
      <c r="AC24" s="60">
        <f t="shared" si="8"/>
        <v>0</v>
      </c>
      <c r="AD24" s="85">
        <f>AD25+AD26+AD27+AD28</f>
        <v>0</v>
      </c>
      <c r="AE24" s="85">
        <f>AE25+AE26+AE27+AE28</f>
        <v>0</v>
      </c>
      <c r="AF24" s="85">
        <f>AF25+AF26+AF27+AF28</f>
        <v>0</v>
      </c>
      <c r="AG24" s="85">
        <f>AG25+AG26+AG27+AG28</f>
        <v>0</v>
      </c>
      <c r="AH24" s="60">
        <f t="shared" si="9"/>
        <v>0</v>
      </c>
      <c r="AI24" s="85">
        <f>AI25+AI26+AI27+AI28</f>
        <v>0</v>
      </c>
      <c r="AJ24" s="85">
        <f>AJ25+AJ26+AJ27+AJ28</f>
        <v>0</v>
      </c>
      <c r="AK24" s="85">
        <f>AK25+AK26+AK27+AK28</f>
        <v>0</v>
      </c>
      <c r="AL24" s="85">
        <f>AL25+AL26+AL27+AL28</f>
        <v>0</v>
      </c>
      <c r="AM24" s="60">
        <f t="shared" si="10"/>
        <v>0</v>
      </c>
      <c r="AN24" s="85">
        <f>AN25+AN26+AN27+AN28</f>
        <v>0</v>
      </c>
      <c r="AO24" s="85">
        <f>AO25+AO26+AO27+AO28</f>
        <v>0</v>
      </c>
      <c r="AP24" s="85">
        <f>AP25+AP26+AP27+AP28</f>
        <v>0</v>
      </c>
      <c r="AQ24" s="85">
        <f>AQ25+AQ26+AQ27+AQ28</f>
        <v>0</v>
      </c>
      <c r="AR24" s="60">
        <f t="shared" si="11"/>
        <v>0</v>
      </c>
      <c r="AS24" s="85">
        <f>AS25+AS26+AS27+AS28</f>
        <v>0</v>
      </c>
      <c r="AT24" s="85">
        <f>AT25+AT26+AT27+AT28</f>
        <v>0</v>
      </c>
      <c r="AU24" s="85">
        <f>AU25+AU26+AU27+AU28</f>
        <v>0</v>
      </c>
      <c r="AV24" s="85">
        <f>AV25+AV26+AV27+AV28</f>
        <v>0</v>
      </c>
      <c r="AW24" s="60">
        <f t="shared" si="12"/>
        <v>0</v>
      </c>
      <c r="AX24" s="85">
        <f>AX25+AX26+AX27+AX28</f>
        <v>0</v>
      </c>
      <c r="AY24" s="85">
        <f>AY25+AY26+AY27+AY28</f>
        <v>0</v>
      </c>
      <c r="AZ24" s="85">
        <f>AZ25+AZ26+AZ27+AZ28</f>
        <v>0</v>
      </c>
      <c r="BA24" s="85">
        <f>BA25+BA26+BA27+BA28</f>
        <v>0</v>
      </c>
      <c r="BB24" s="60">
        <f t="shared" si="13"/>
        <v>0</v>
      </c>
      <c r="BC24" s="85">
        <f>BC25+BC26+BC27+BC28</f>
        <v>0</v>
      </c>
      <c r="BD24" s="85">
        <f>BD25+BD26+BD27+BD28</f>
        <v>0</v>
      </c>
      <c r="BE24" s="85">
        <f>BE25+BE26+BE27+BE28</f>
        <v>0</v>
      </c>
      <c r="BF24" s="85">
        <f>BF25+BF26+BF27+BF28</f>
        <v>0</v>
      </c>
      <c r="BG24" s="60">
        <f t="shared" si="14"/>
        <v>0</v>
      </c>
    </row>
    <row r="25" spans="2:61" hidden="1" outlineLevel="1" x14ac:dyDescent="0.25">
      <c r="C25" s="61" t="s">
        <v>63</v>
      </c>
      <c r="D25" s="62" t="s">
        <v>553</v>
      </c>
      <c r="E25" s="57">
        <f>'Inputs (2)'!E12</f>
        <v>0</v>
      </c>
      <c r="F25" s="57">
        <f>IF(F$14=1,'Inputs (2)'!F12,E25*(1+Inputs!F$275))</f>
        <v>0</v>
      </c>
      <c r="G25" s="57">
        <f>IF(G$14=1,'Inputs (2)'!G12,F25*(1+Inputs!G$275))</f>
        <v>0</v>
      </c>
      <c r="H25" s="57">
        <f>IF(H$14=1,'Inputs (2)'!H12,G25*(1+Inputs!H$275))</f>
        <v>0</v>
      </c>
      <c r="I25" s="77">
        <f t="shared" si="4"/>
        <v>0</v>
      </c>
      <c r="J25" s="57">
        <f>IF(J$14=1,'Inputs (2)'!J12,H25*(1+Inputs!J$275))</f>
        <v>0</v>
      </c>
      <c r="K25" s="57">
        <f>IF(K$14=1,'Inputs (2)'!K12,J25*(1+Inputs!K$275))</f>
        <v>0</v>
      </c>
      <c r="L25" s="57">
        <f>IF(L$14=1,'Inputs (2)'!L12,K25*(1+Inputs!L$275))</f>
        <v>0</v>
      </c>
      <c r="M25" s="57">
        <f>IF(M$14=1,'Inputs (2)'!M12,L25*(1+Inputs!M$275))</f>
        <v>0</v>
      </c>
      <c r="N25" s="77">
        <f t="shared" si="5"/>
        <v>0</v>
      </c>
      <c r="O25" s="57">
        <f>IF(O$14=1,'Inputs (2)'!O12,M25*(1+Inputs!O$275))</f>
        <v>0</v>
      </c>
      <c r="P25" s="57">
        <f>IF(P$14=1,'Inputs (2)'!P12,O25*(1+Inputs!P$275))</f>
        <v>0</v>
      </c>
      <c r="Q25" s="57">
        <f>IF(Q$14=1,'Inputs (2)'!Q12,P25*(1+Inputs!Q$275))</f>
        <v>0</v>
      </c>
      <c r="R25" s="57">
        <f>IF(R$14=1,'Inputs (2)'!R12,Q25*(1+Inputs!R$275))</f>
        <v>0</v>
      </c>
      <c r="S25" s="77">
        <f t="shared" si="6"/>
        <v>0</v>
      </c>
      <c r="T25" s="57">
        <f>IF(T$14=1,'Inputs (2)'!T12,R25*(1+Inputs!T$275))</f>
        <v>0</v>
      </c>
      <c r="U25" s="57">
        <f>IF(U$14=1,'Inputs (2)'!U12,T25*(1+Inputs!U$275))</f>
        <v>0</v>
      </c>
      <c r="V25" s="57">
        <f>IF(V$14=1,'Inputs (2)'!V12,U25*(1+Inputs!V$275))</f>
        <v>0</v>
      </c>
      <c r="W25" s="57">
        <f>IF(W$14=1,'Inputs (2)'!W12,V25*(1+Inputs!W$275))</f>
        <v>0</v>
      </c>
      <c r="X25" s="77">
        <f t="shared" si="7"/>
        <v>0</v>
      </c>
      <c r="Y25" s="57">
        <f>IF(Y$14=1,'Inputs (2)'!Y12,W25*(1+Inputs!Y$275))</f>
        <v>0</v>
      </c>
      <c r="Z25" s="57">
        <f>IF(Z$14=1,'Inputs (2)'!Z12,Y25*(1+Inputs!Z$275))</f>
        <v>0</v>
      </c>
      <c r="AA25" s="57">
        <f>IF(AA$14=1,'Inputs (2)'!AA12,Z25*(1+Inputs!AA$275))</f>
        <v>0</v>
      </c>
      <c r="AB25" s="57">
        <f>IF(AB$14=1,'Inputs (2)'!AB12,AA25*(1+Inputs!AB$275))</f>
        <v>0</v>
      </c>
      <c r="AC25" s="77">
        <f t="shared" si="8"/>
        <v>0</v>
      </c>
      <c r="AD25" s="57">
        <f>IF(AD$14=1,'Inputs (2)'!AD12,AB25*(1+Inputs!AD$275))</f>
        <v>0</v>
      </c>
      <c r="AE25" s="57">
        <f>IF(AE$14=1,'Inputs (2)'!AE12,AD25*(1+Inputs!AE$275))</f>
        <v>0</v>
      </c>
      <c r="AF25" s="57">
        <f>IF(AF$14=1,'Inputs (2)'!AF12,AE25*(1+Inputs!AF$275))</f>
        <v>0</v>
      </c>
      <c r="AG25" s="57">
        <f>IF(AG$14=1,'Inputs (2)'!AG12,AF25*(1+Inputs!AG$275))</f>
        <v>0</v>
      </c>
      <c r="AH25" s="77">
        <f t="shared" si="9"/>
        <v>0</v>
      </c>
      <c r="AI25" s="57">
        <f>IF(AI$14=1,'Inputs (2)'!AI12,AG25*(1+Inputs!AI$275))</f>
        <v>0</v>
      </c>
      <c r="AJ25" s="57">
        <f>IF(AJ$14=1,'Inputs (2)'!AJ12,AI25*(1+Inputs!AJ$275))</f>
        <v>0</v>
      </c>
      <c r="AK25" s="57">
        <f>IF(AK$14=1,'Inputs (2)'!AK12,AJ25*(1+Inputs!AK$275))</f>
        <v>0</v>
      </c>
      <c r="AL25" s="57">
        <f>IF(AL$14=1,'Inputs (2)'!AL12,AK25*(1+Inputs!AL$275))</f>
        <v>0</v>
      </c>
      <c r="AM25" s="77">
        <f t="shared" si="10"/>
        <v>0</v>
      </c>
      <c r="AN25" s="57">
        <f>IF(AN$14=1,'Inputs (2)'!AN12,AL25*(1+Inputs!AN$275))</f>
        <v>0</v>
      </c>
      <c r="AO25" s="57">
        <f>IF(AO$14=1,'Inputs (2)'!AO12,AN25*(1+Inputs!AO$275))</f>
        <v>0</v>
      </c>
      <c r="AP25" s="57">
        <f>IF(AP$14=1,'Inputs (2)'!AP12,AO25*(1+Inputs!AP$275))</f>
        <v>0</v>
      </c>
      <c r="AQ25" s="57">
        <f>IF(AQ$14=1,'Inputs (2)'!AQ12,AP25*(1+Inputs!AQ$275))</f>
        <v>0</v>
      </c>
      <c r="AR25" s="77">
        <f t="shared" si="11"/>
        <v>0</v>
      </c>
      <c r="AS25" s="57">
        <f>IF(AS$14=1,'Inputs (2)'!AS12,AQ25*(1+Inputs!AS$275))</f>
        <v>0</v>
      </c>
      <c r="AT25" s="57">
        <f>IF(AT$14=1,'Inputs (2)'!AT12,AS25*(1+Inputs!AT$275))</f>
        <v>0</v>
      </c>
      <c r="AU25" s="57">
        <f>IF(AU$14=1,'Inputs (2)'!AU12,AT25*(1+Inputs!AU$275))</f>
        <v>0</v>
      </c>
      <c r="AV25" s="57">
        <f>IF(AV$14=1,'Inputs (2)'!AV12,AU25*(1+Inputs!AV$275))</f>
        <v>0</v>
      </c>
      <c r="AW25" s="77">
        <f t="shared" si="12"/>
        <v>0</v>
      </c>
      <c r="AX25" s="57">
        <f>IF(AX$14=1,'Inputs (2)'!AX12,AV25*(1+Inputs!AX$275))</f>
        <v>0</v>
      </c>
      <c r="AY25" s="57">
        <f>IF(AY$14=1,'Inputs (2)'!AY12,AX25*(1+Inputs!AY$275))</f>
        <v>0</v>
      </c>
      <c r="AZ25" s="57">
        <f>IF(AZ$14=1,'Inputs (2)'!AZ12,AY25*(1+Inputs!AZ$275))</f>
        <v>0</v>
      </c>
      <c r="BA25" s="57">
        <f>IF(BA$14=1,'Inputs (2)'!BA12,AZ25*(1+Inputs!BA$275))</f>
        <v>0</v>
      </c>
      <c r="BB25" s="77">
        <f t="shared" si="13"/>
        <v>0</v>
      </c>
      <c r="BC25" s="57">
        <f>IF(BC$14=1,'Inputs (2)'!BC12,BA25*(1+Inputs!BC$275))</f>
        <v>0</v>
      </c>
      <c r="BD25" s="57">
        <f>IF(BD$14=1,'Inputs (2)'!BD12,BC25*(1+Inputs!BD$275))</f>
        <v>0</v>
      </c>
      <c r="BE25" s="57">
        <f>IF(BE$14=1,'Inputs (2)'!BE12,BD25*(1+Inputs!BE$275))</f>
        <v>0</v>
      </c>
      <c r="BF25" s="57">
        <f>IF(BF$14=1,'Inputs (2)'!BF12,BE25*(1+Inputs!BF$275))</f>
        <v>0</v>
      </c>
      <c r="BG25" s="77">
        <f t="shared" si="14"/>
        <v>0</v>
      </c>
    </row>
    <row r="26" spans="2:61" hidden="1" outlineLevel="1" x14ac:dyDescent="0.25">
      <c r="C26" s="61" t="s">
        <v>65</v>
      </c>
      <c r="D26" s="62" t="s">
        <v>554</v>
      </c>
      <c r="E26" s="57">
        <f>'Inputs (2)'!E13</f>
        <v>0</v>
      </c>
      <c r="F26" s="57">
        <f>IF(F$14=1,'Inputs (2)'!F13,E26*(1+Inputs!F$275))</f>
        <v>0</v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 t="shared" si="4"/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 t="shared" si="5"/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 t="shared" si="6"/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 t="shared" si="7"/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 t="shared" si="8"/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 t="shared" si="9"/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 t="shared" si="10"/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 t="shared" si="11"/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 t="shared" si="12"/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 t="shared" si="13"/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 t="shared" si="14"/>
        <v>0</v>
      </c>
    </row>
    <row r="27" spans="2:61" hidden="1" outlineLevel="1" x14ac:dyDescent="0.25">
      <c r="C27" s="61" t="s">
        <v>59</v>
      </c>
      <c r="D27" s="62" t="s">
        <v>767</v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 t="shared" si="4"/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 t="shared" si="5"/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 t="shared" si="6"/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 t="shared" si="7"/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 t="shared" si="8"/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 t="shared" si="9"/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 t="shared" si="10"/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 t="shared" si="11"/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 t="shared" si="12"/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 t="shared" si="13"/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 t="shared" si="14"/>
        <v>0</v>
      </c>
    </row>
    <row r="28" spans="2:61" hidden="1" outlineLevel="1" x14ac:dyDescent="0.25">
      <c r="C28" s="61" t="s">
        <v>61</v>
      </c>
      <c r="D28" s="62" t="s">
        <v>768</v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 t="shared" si="4"/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 t="shared" si="5"/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 t="shared" si="6"/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 t="shared" si="7"/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 t="shared" si="8"/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 t="shared" si="9"/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 t="shared" si="10"/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 t="shared" si="11"/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 t="shared" si="12"/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 t="shared" si="13"/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 t="shared" si="14"/>
        <v>0</v>
      </c>
    </row>
    <row r="29" spans="2:61" collapsed="1" x14ac:dyDescent="0.25">
      <c r="C29" s="80" t="s">
        <v>69</v>
      </c>
      <c r="D29" s="81" t="s">
        <v>555</v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 t="shared" si="4"/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 t="shared" si="5"/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 t="shared" si="6"/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 t="shared" si="7"/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 t="shared" si="8"/>
        <v>0</v>
      </c>
      <c r="AD29" s="82">
        <f>IF(AD$14=1,'Inputs (2)'!AD16,AB29)</f>
        <v>0</v>
      </c>
      <c r="AE29" s="82">
        <f>IF(AE$14=1,'Inputs (2)'!AE16,AD29)</f>
        <v>0</v>
      </c>
      <c r="AF29" s="82">
        <f>IF(AF$14=1,'Inputs (2)'!AF16,AE29)</f>
        <v>0</v>
      </c>
      <c r="AG29" s="82">
        <f>IF(AG$14=1,'Inputs (2)'!AG16,AF29)</f>
        <v>0</v>
      </c>
      <c r="AH29" s="77">
        <f t="shared" si="9"/>
        <v>0</v>
      </c>
      <c r="AI29" s="82">
        <f>IF(AI$14=1,'Inputs (2)'!AI16,AG29)</f>
        <v>0</v>
      </c>
      <c r="AJ29" s="82">
        <f>IF(AJ$14=1,'Inputs (2)'!AJ16,AI29)</f>
        <v>0</v>
      </c>
      <c r="AK29" s="82">
        <f>IF(AK$14=1,'Inputs (2)'!AK16,AJ29)</f>
        <v>0</v>
      </c>
      <c r="AL29" s="82">
        <f>IF(AL$14=1,'Inputs (2)'!AL16,AK29)</f>
        <v>0</v>
      </c>
      <c r="AM29" s="77">
        <f t="shared" si="10"/>
        <v>0</v>
      </c>
      <c r="AN29" s="82">
        <f>IF(AN$14=1,'Inputs (2)'!AN16,AL29)</f>
        <v>0</v>
      </c>
      <c r="AO29" s="82">
        <f>IF(AO$14=1,'Inputs (2)'!AO16,AN29)</f>
        <v>0</v>
      </c>
      <c r="AP29" s="82">
        <f>IF(AP$14=1,'Inputs (2)'!AP16,AO29)</f>
        <v>0</v>
      </c>
      <c r="AQ29" s="82">
        <f>IF(AQ$14=1,'Inputs (2)'!AQ16,AP29)</f>
        <v>0</v>
      </c>
      <c r="AR29" s="77">
        <f t="shared" si="11"/>
        <v>0</v>
      </c>
      <c r="AS29" s="82">
        <f>IF(AS$14=1,'Inputs (2)'!AS16,AQ29)</f>
        <v>0</v>
      </c>
      <c r="AT29" s="82">
        <f>IF(AT$14=1,'Inputs (2)'!AT16,AS29)</f>
        <v>0</v>
      </c>
      <c r="AU29" s="82">
        <f>IF(AU$14=1,'Inputs (2)'!AU16,AT29)</f>
        <v>0</v>
      </c>
      <c r="AV29" s="82">
        <f>IF(AV$14=1,'Inputs (2)'!AV16,AU29)</f>
        <v>0</v>
      </c>
      <c r="AW29" s="77">
        <f t="shared" si="12"/>
        <v>0</v>
      </c>
      <c r="AX29" s="82">
        <f>IF(AX$14=1,'Inputs (2)'!AX16,AV29)</f>
        <v>0</v>
      </c>
      <c r="AY29" s="82">
        <f>IF(AY$14=1,'Inputs (2)'!AY16,AX29)</f>
        <v>0</v>
      </c>
      <c r="AZ29" s="82">
        <f>IF(AZ$14=1,'Inputs (2)'!AZ16,AY29)</f>
        <v>0</v>
      </c>
      <c r="BA29" s="82">
        <f>IF(BA$14=1,'Inputs (2)'!BA16,AZ29)</f>
        <v>0</v>
      </c>
      <c r="BB29" s="77">
        <f t="shared" si="13"/>
        <v>0</v>
      </c>
      <c r="BC29" s="82">
        <f>IF(BC$14=1,'Inputs (2)'!BC16,BA29)</f>
        <v>0</v>
      </c>
      <c r="BD29" s="82">
        <f>IF(BD$14=1,'Inputs (2)'!BD16,BC29)</f>
        <v>0</v>
      </c>
      <c r="BE29" s="82">
        <f>IF(BE$14=1,'Inputs (2)'!BE16,BD29)</f>
        <v>0</v>
      </c>
      <c r="BF29" s="82">
        <f>IF(BF$14=1,'Inputs (2)'!BF16,BE29)</f>
        <v>0</v>
      </c>
      <c r="BG29" s="77">
        <f t="shared" si="14"/>
        <v>0</v>
      </c>
    </row>
    <row r="30" spans="2:61" x14ac:dyDescent="0.25">
      <c r="C30" s="83" t="s">
        <v>556</v>
      </c>
      <c r="D30" s="84" t="s">
        <v>557</v>
      </c>
      <c r="E30" s="85">
        <f>E31+E32+E33</f>
        <v>0</v>
      </c>
      <c r="F30" s="85">
        <f>F31+F32+F33</f>
        <v>0</v>
      </c>
      <c r="G30" s="85">
        <f>G31+G32+G33</f>
        <v>0</v>
      </c>
      <c r="H30" s="85">
        <f>H31+H32+H33</f>
        <v>0</v>
      </c>
      <c r="I30" s="60">
        <f t="shared" si="4"/>
        <v>0</v>
      </c>
      <c r="J30" s="85">
        <f>J31+J32+J33</f>
        <v>0</v>
      </c>
      <c r="K30" s="85">
        <f>K31+K32+K33</f>
        <v>0</v>
      </c>
      <c r="L30" s="85">
        <f>L31+L32+L33</f>
        <v>0</v>
      </c>
      <c r="M30" s="85">
        <f>M31+M32+M33</f>
        <v>0</v>
      </c>
      <c r="N30" s="60">
        <f t="shared" si="5"/>
        <v>0</v>
      </c>
      <c r="O30" s="85">
        <f>O31+O32+O33</f>
        <v>0</v>
      </c>
      <c r="P30" s="85">
        <f>P31+P32+P33</f>
        <v>0</v>
      </c>
      <c r="Q30" s="85">
        <f>Q31+Q32+Q33</f>
        <v>0</v>
      </c>
      <c r="R30" s="85">
        <f>R31+R32+R33</f>
        <v>0</v>
      </c>
      <c r="S30" s="60">
        <f t="shared" si="6"/>
        <v>0</v>
      </c>
      <c r="T30" s="85">
        <f>T31+T32+T33</f>
        <v>0</v>
      </c>
      <c r="U30" s="85">
        <f>U31+U32+U33</f>
        <v>0</v>
      </c>
      <c r="V30" s="85">
        <f>V31+V32+V33</f>
        <v>0</v>
      </c>
      <c r="W30" s="85">
        <f>W31+W32+W33</f>
        <v>0</v>
      </c>
      <c r="X30" s="60">
        <f t="shared" si="7"/>
        <v>0</v>
      </c>
      <c r="Y30" s="85">
        <f>Y31+Y32+Y33</f>
        <v>0</v>
      </c>
      <c r="Z30" s="85">
        <f>Z31+Z32+Z33</f>
        <v>0</v>
      </c>
      <c r="AA30" s="85">
        <f>AA31+AA32+AA33</f>
        <v>0</v>
      </c>
      <c r="AB30" s="85">
        <f>AB31+AB32+AB33</f>
        <v>0</v>
      </c>
      <c r="AC30" s="60">
        <f t="shared" si="8"/>
        <v>0</v>
      </c>
      <c r="AD30" s="85">
        <f>AD31+AD32+AD33</f>
        <v>0</v>
      </c>
      <c r="AE30" s="85">
        <f>AE31+AE32+AE33</f>
        <v>0</v>
      </c>
      <c r="AF30" s="85">
        <f>AF31+AF32+AF33</f>
        <v>0</v>
      </c>
      <c r="AG30" s="85">
        <f>AG31+AG32+AG33</f>
        <v>0</v>
      </c>
      <c r="AH30" s="60">
        <f t="shared" si="9"/>
        <v>0</v>
      </c>
      <c r="AI30" s="85">
        <f>AI31+AI32+AI33</f>
        <v>0</v>
      </c>
      <c r="AJ30" s="85">
        <f>AJ31+AJ32+AJ33</f>
        <v>0</v>
      </c>
      <c r="AK30" s="85">
        <f>AK31+AK32+AK33</f>
        <v>0</v>
      </c>
      <c r="AL30" s="85">
        <f>AL31+AL32+AL33</f>
        <v>0</v>
      </c>
      <c r="AM30" s="60">
        <f t="shared" si="10"/>
        <v>0</v>
      </c>
      <c r="AN30" s="85">
        <f>AN31+AN32+AN33</f>
        <v>0</v>
      </c>
      <c r="AO30" s="85">
        <f>AO31+AO32+AO33</f>
        <v>0</v>
      </c>
      <c r="AP30" s="85">
        <f>AP31+AP32+AP33</f>
        <v>0</v>
      </c>
      <c r="AQ30" s="85">
        <f>AQ31+AQ32+AQ33</f>
        <v>0</v>
      </c>
      <c r="AR30" s="60">
        <f t="shared" si="11"/>
        <v>0</v>
      </c>
      <c r="AS30" s="85">
        <f>AS31+AS32+AS33</f>
        <v>0</v>
      </c>
      <c r="AT30" s="85">
        <f>AT31+AT32+AT33</f>
        <v>0</v>
      </c>
      <c r="AU30" s="85">
        <f>AU31+AU32+AU33</f>
        <v>0</v>
      </c>
      <c r="AV30" s="85">
        <f>AV31+AV32+AV33</f>
        <v>0</v>
      </c>
      <c r="AW30" s="60">
        <f t="shared" si="12"/>
        <v>0</v>
      </c>
      <c r="AX30" s="85">
        <f>AX31+AX32+AX33</f>
        <v>0</v>
      </c>
      <c r="AY30" s="85">
        <f>AY31+AY32+AY33</f>
        <v>0</v>
      </c>
      <c r="AZ30" s="85">
        <f>AZ31+AZ32+AZ33</f>
        <v>0</v>
      </c>
      <c r="BA30" s="85">
        <f>BA31+BA32+BA33</f>
        <v>0</v>
      </c>
      <c r="BB30" s="60">
        <f t="shared" si="13"/>
        <v>0</v>
      </c>
      <c r="BC30" s="85">
        <f>BC31+BC32+BC33</f>
        <v>0</v>
      </c>
      <c r="BD30" s="85">
        <f>BD31+BD32+BD33</f>
        <v>0</v>
      </c>
      <c r="BE30" s="85">
        <f>BE31+BE32+BE33</f>
        <v>0</v>
      </c>
      <c r="BF30" s="85">
        <f>BF31+BF32+BF33</f>
        <v>0</v>
      </c>
      <c r="BG30" s="60">
        <f t="shared" si="14"/>
        <v>0</v>
      </c>
    </row>
    <row r="31" spans="2:61" hidden="1" outlineLevel="1" x14ac:dyDescent="0.25">
      <c r="C31" s="61" t="s">
        <v>71</v>
      </c>
      <c r="D31" s="62" t="s">
        <v>769</v>
      </c>
      <c r="E31" s="57">
        <f>'Inputs (2)'!E18</f>
        <v>0</v>
      </c>
      <c r="F31" s="57">
        <f>IF(F$14=1,'Inputs (2)'!F18,E31*(1+Inputs!F$270))</f>
        <v>0</v>
      </c>
      <c r="G31" s="57">
        <f>IF(G$14=1,'Inputs (2)'!G18,F31*(1+Inputs!G$270))</f>
        <v>0</v>
      </c>
      <c r="H31" s="57">
        <f>IF(H$14=1,'Inputs (2)'!H18,G31*(1+Inputs!H$270))</f>
        <v>0</v>
      </c>
      <c r="I31" s="77">
        <f t="shared" si="4"/>
        <v>0</v>
      </c>
      <c r="J31" s="57">
        <f>IF(J$14=1,'Inputs (2)'!J18,H31*(1+Inputs!J$270))</f>
        <v>0</v>
      </c>
      <c r="K31" s="57">
        <f>IF(K$14=1,'Inputs (2)'!K18,J31*(1+Inputs!K$270))</f>
        <v>0</v>
      </c>
      <c r="L31" s="57">
        <f>IF(L$14=1,'Inputs (2)'!L18,K31*(1+Inputs!L$270))</f>
        <v>0</v>
      </c>
      <c r="M31" s="57">
        <f>IF(M$14=1,'Inputs (2)'!M18,L31*(1+Inputs!M$270))</f>
        <v>0</v>
      </c>
      <c r="N31" s="77">
        <f t="shared" si="5"/>
        <v>0</v>
      </c>
      <c r="O31" s="57">
        <f>IF(O$14=1,'Inputs (2)'!O18,M31*(1+Inputs!O$270))</f>
        <v>0</v>
      </c>
      <c r="P31" s="57">
        <f>IF(P$14=1,'Inputs (2)'!P18,O31*(1+Inputs!P$270))</f>
        <v>0</v>
      </c>
      <c r="Q31" s="57">
        <f>IF(Q$14=1,'Inputs (2)'!Q18,P31*(1+Inputs!Q$270))</f>
        <v>0</v>
      </c>
      <c r="R31" s="57">
        <f>IF(R$14=1,'Inputs (2)'!R18,Q31*(1+Inputs!R$270))</f>
        <v>0</v>
      </c>
      <c r="S31" s="77">
        <f t="shared" si="6"/>
        <v>0</v>
      </c>
      <c r="T31" s="57">
        <f>IF(T$14=1,'Inputs (2)'!T18,R31*(1+Inputs!T$270))</f>
        <v>0</v>
      </c>
      <c r="U31" s="57">
        <f>IF(U$14=1,'Inputs (2)'!U18,T31*(1+Inputs!U$270))</f>
        <v>0</v>
      </c>
      <c r="V31" s="57">
        <f>IF(V$14=1,'Inputs (2)'!V18,U31*(1+Inputs!V$270))</f>
        <v>0</v>
      </c>
      <c r="W31" s="57">
        <f>IF(W$14=1,'Inputs (2)'!W18,V31*(1+Inputs!W$270))</f>
        <v>0</v>
      </c>
      <c r="X31" s="77">
        <f t="shared" si="7"/>
        <v>0</v>
      </c>
      <c r="Y31" s="57">
        <f>IF(Y$14=1,'Inputs (2)'!Y18,W31*(1+Inputs!Y$270))</f>
        <v>0</v>
      </c>
      <c r="Z31" s="57">
        <f>IF(Z$14=1,'Inputs (2)'!Z18,Y31*(1+Inputs!Z$270))</f>
        <v>0</v>
      </c>
      <c r="AA31" s="57">
        <f>IF(AA$14=1,'Inputs (2)'!AA18,Z31*(1+Inputs!AA$270))</f>
        <v>0</v>
      </c>
      <c r="AB31" s="57">
        <f>IF(AB$14=1,'Inputs (2)'!AB18,AA31*(1+Inputs!AB$270))</f>
        <v>0</v>
      </c>
      <c r="AC31" s="77">
        <f t="shared" si="8"/>
        <v>0</v>
      </c>
      <c r="AD31" s="57">
        <f>IF(AD$14=1,'Inputs (2)'!AD18,AB31*(1+Inputs!AD$270))</f>
        <v>0</v>
      </c>
      <c r="AE31" s="57">
        <f>IF(AE$14=1,'Inputs (2)'!AE18,AD31*(1+Inputs!AE$270))</f>
        <v>0</v>
      </c>
      <c r="AF31" s="57">
        <f>IF(AF$14=1,'Inputs (2)'!AF18,AE31*(1+Inputs!AF$270))</f>
        <v>0</v>
      </c>
      <c r="AG31" s="57">
        <f>IF(AG$14=1,'Inputs (2)'!AG18,AF31*(1+Inputs!AG$270))</f>
        <v>0</v>
      </c>
      <c r="AH31" s="77">
        <f t="shared" si="9"/>
        <v>0</v>
      </c>
      <c r="AI31" s="57">
        <f>IF(AI$14=1,'Inputs (2)'!AI18,AG31*(1+Inputs!AI$270))</f>
        <v>0</v>
      </c>
      <c r="AJ31" s="57">
        <f>IF(AJ$14=1,'Inputs (2)'!AJ18,AI31*(1+Inputs!AJ$270))</f>
        <v>0</v>
      </c>
      <c r="AK31" s="57">
        <f>IF(AK$14=1,'Inputs (2)'!AK18,AJ31*(1+Inputs!AK$270))</f>
        <v>0</v>
      </c>
      <c r="AL31" s="57">
        <f>IF(AL$14=1,'Inputs (2)'!AL18,AK31*(1+Inputs!AL$270))</f>
        <v>0</v>
      </c>
      <c r="AM31" s="77">
        <f t="shared" si="10"/>
        <v>0</v>
      </c>
      <c r="AN31" s="57">
        <f>IF(AN$14=1,'Inputs (2)'!AN18,AL31*(1+Inputs!AN$270))</f>
        <v>0</v>
      </c>
      <c r="AO31" s="57">
        <f>IF(AO$14=1,'Inputs (2)'!AO18,AN31*(1+Inputs!AO$270))</f>
        <v>0</v>
      </c>
      <c r="AP31" s="57">
        <f>IF(AP$14=1,'Inputs (2)'!AP18,AO31*(1+Inputs!AP$270))</f>
        <v>0</v>
      </c>
      <c r="AQ31" s="57">
        <f>IF(AQ$14=1,'Inputs (2)'!AQ18,AP31*(1+Inputs!AQ$270))</f>
        <v>0</v>
      </c>
      <c r="AR31" s="77">
        <f t="shared" si="11"/>
        <v>0</v>
      </c>
      <c r="AS31" s="57">
        <f>IF(AS$14=1,'Inputs (2)'!AS18,AQ31*(1+Inputs!AS$270))</f>
        <v>0</v>
      </c>
      <c r="AT31" s="57">
        <f>IF(AT$14=1,'Inputs (2)'!AT18,AS31*(1+Inputs!AT$270))</f>
        <v>0</v>
      </c>
      <c r="AU31" s="57">
        <f>IF(AU$14=1,'Inputs (2)'!AU18,AT31*(1+Inputs!AU$270))</f>
        <v>0</v>
      </c>
      <c r="AV31" s="57">
        <f>IF(AV$14=1,'Inputs (2)'!AV18,AU31*(1+Inputs!AV$270))</f>
        <v>0</v>
      </c>
      <c r="AW31" s="77">
        <f t="shared" si="12"/>
        <v>0</v>
      </c>
      <c r="AX31" s="57">
        <f>IF(AX$14=1,'Inputs (2)'!AX18,AV31*(1+Inputs!AX$270))</f>
        <v>0</v>
      </c>
      <c r="AY31" s="57">
        <f>IF(AY$14=1,'Inputs (2)'!AY18,AX31*(1+Inputs!AY$270))</f>
        <v>0</v>
      </c>
      <c r="AZ31" s="57">
        <f>IF(AZ$14=1,'Inputs (2)'!AZ18,AY31*(1+Inputs!AZ$270))</f>
        <v>0</v>
      </c>
      <c r="BA31" s="57">
        <f>IF(BA$14=1,'Inputs (2)'!BA18,AZ31*(1+Inputs!BA$270))</f>
        <v>0</v>
      </c>
      <c r="BB31" s="77">
        <f t="shared" si="13"/>
        <v>0</v>
      </c>
      <c r="BC31" s="57">
        <f>IF(BC$14=1,'Inputs (2)'!BC18,BA31*(1+Inputs!BC$270))</f>
        <v>0</v>
      </c>
      <c r="BD31" s="57">
        <f>IF(BD$14=1,'Inputs (2)'!BD18,BC31*(1+Inputs!BD$270))</f>
        <v>0</v>
      </c>
      <c r="BE31" s="57">
        <f>IF(BE$14=1,'Inputs (2)'!BE18,BD31*(1+Inputs!BE$270))</f>
        <v>0</v>
      </c>
      <c r="BF31" s="57">
        <f>IF(BF$14=1,'Inputs (2)'!BF18,BE31*(1+Inputs!BF$270))</f>
        <v>0</v>
      </c>
      <c r="BG31" s="77">
        <f t="shared" si="14"/>
        <v>0</v>
      </c>
    </row>
    <row r="32" spans="2:61" hidden="1" outlineLevel="1" x14ac:dyDescent="0.25">
      <c r="C32" s="61" t="s">
        <v>73</v>
      </c>
      <c r="D32" s="62" t="s">
        <v>552</v>
      </c>
      <c r="E32" s="57">
        <f>'Inputs (2)'!E19</f>
        <v>0</v>
      </c>
      <c r="F32" s="57">
        <f>IF(F$14=1,'Inputs (2)'!F19,E32*(1+Inputs!F$270))</f>
        <v>0</v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 t="shared" si="4"/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 t="shared" si="5"/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 t="shared" si="6"/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 t="shared" si="7"/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 t="shared" si="8"/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 t="shared" si="9"/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 t="shared" si="10"/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 t="shared" si="11"/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 t="shared" si="12"/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 t="shared" si="13"/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 t="shared" si="14"/>
        <v>0</v>
      </c>
    </row>
    <row r="33" spans="2:61" hidden="1" outlineLevel="1" x14ac:dyDescent="0.25">
      <c r="C33" s="61" t="s">
        <v>61</v>
      </c>
      <c r="D33" s="62" t="s">
        <v>768</v>
      </c>
      <c r="E33" s="57">
        <f>'Inputs (2)'!E20</f>
        <v>0</v>
      </c>
      <c r="F33" s="57">
        <f>IF(F$14=1,'Inputs (2)'!F20,E33+F103+F150)</f>
        <v>0</v>
      </c>
      <c r="G33" s="57">
        <f>IF(G$14=1,'Inputs (2)'!G20,F33+G103+G150)</f>
        <v>0</v>
      </c>
      <c r="H33" s="57">
        <f>IF(H$14=1,'Inputs (2)'!H20,G33+H103+H150)</f>
        <v>0</v>
      </c>
      <c r="I33" s="77">
        <f t="shared" si="4"/>
        <v>0</v>
      </c>
      <c r="J33" s="57">
        <f>IF(J$14=1,'Inputs (2)'!J20,H33+J103+J150)</f>
        <v>0</v>
      </c>
      <c r="K33" s="57">
        <f>IF(K$14=1,'Inputs (2)'!K20,J33+K103+K150)</f>
        <v>0</v>
      </c>
      <c r="L33" s="57">
        <f>IF(L$14=1,'Inputs (2)'!L20,K33+L103+L150)</f>
        <v>0</v>
      </c>
      <c r="M33" s="57">
        <f>IF(M$14=1,'Inputs (2)'!M20,L33+M103+M150)</f>
        <v>0</v>
      </c>
      <c r="N33" s="77">
        <f t="shared" si="5"/>
        <v>0</v>
      </c>
      <c r="O33" s="57">
        <f>IF(O$14=1,'Inputs (2)'!O20,M33+O103+O150)</f>
        <v>0</v>
      </c>
      <c r="P33" s="57">
        <f>IF(P$14=1,'Inputs (2)'!P20,O33+P103+P150)</f>
        <v>0</v>
      </c>
      <c r="Q33" s="57">
        <f>IF(Q$14=1,'Inputs (2)'!Q20,P33+Q103+Q150)</f>
        <v>0</v>
      </c>
      <c r="R33" s="57">
        <f>IF(R$14=1,'Inputs (2)'!R20,Q33+R103+R150)</f>
        <v>0</v>
      </c>
      <c r="S33" s="77">
        <f t="shared" si="6"/>
        <v>0</v>
      </c>
      <c r="T33" s="57">
        <f>IF(T$14=1,'Inputs (2)'!T20,R33+T103+T150)</f>
        <v>0</v>
      </c>
      <c r="U33" s="57">
        <f>IF(U$14=1,'Inputs (2)'!U20,T33+U103+U150)</f>
        <v>0</v>
      </c>
      <c r="V33" s="57">
        <f>IF(V$14=1,'Inputs (2)'!V20,U33+V103+V150)</f>
        <v>0</v>
      </c>
      <c r="W33" s="57">
        <f>IF(W$14=1,'Inputs (2)'!W20,V33+W103+W150)</f>
        <v>0</v>
      </c>
      <c r="X33" s="77">
        <f t="shared" si="7"/>
        <v>0</v>
      </c>
      <c r="Y33" s="57">
        <f>IF(Y$14=1,'Inputs (2)'!Y20,W33+Y103+Y150)</f>
        <v>0</v>
      </c>
      <c r="Z33" s="57">
        <f>IF(Z$14=1,'Inputs (2)'!Z20,Y33+Z103+Z150)</f>
        <v>0</v>
      </c>
      <c r="AA33" s="57">
        <f>IF(AA$14=1,'Inputs (2)'!AA20,Z33+AA103+AA150)</f>
        <v>0</v>
      </c>
      <c r="AB33" s="57">
        <f>IF(AB$14=1,'Inputs (2)'!AB20,AA33+AB103+AB150)</f>
        <v>0</v>
      </c>
      <c r="AC33" s="77">
        <f t="shared" si="8"/>
        <v>0</v>
      </c>
      <c r="AD33" s="57">
        <f>IF(AD$14=1,'Inputs (2)'!AD20,AB33+AD103+AD150)</f>
        <v>0</v>
      </c>
      <c r="AE33" s="57">
        <f>IF(AE$14=1,'Inputs (2)'!AE20,AD33+AE103+AE150)</f>
        <v>0</v>
      </c>
      <c r="AF33" s="57">
        <f>IF(AF$14=1,'Inputs (2)'!AF20,AE33+AF103+AF150)</f>
        <v>0</v>
      </c>
      <c r="AG33" s="57">
        <f>IF(AG$14=1,'Inputs (2)'!AG20,AF33+AG103+AG150)</f>
        <v>0</v>
      </c>
      <c r="AH33" s="77">
        <f t="shared" si="9"/>
        <v>0</v>
      </c>
      <c r="AI33" s="57">
        <f>IF(AI$14=1,'Inputs (2)'!AI20,AG33+AI103+AI150)</f>
        <v>0</v>
      </c>
      <c r="AJ33" s="57">
        <f>IF(AJ$14=1,'Inputs (2)'!AJ20,AI33+AJ103+AJ150)</f>
        <v>0</v>
      </c>
      <c r="AK33" s="57">
        <f>IF(AK$14=1,'Inputs (2)'!AK20,AJ33+AK103+AK150)</f>
        <v>0</v>
      </c>
      <c r="AL33" s="57">
        <f>IF(AL$14=1,'Inputs (2)'!AL20,AK33+AL103+AL150)</f>
        <v>0</v>
      </c>
      <c r="AM33" s="77">
        <f t="shared" si="10"/>
        <v>0</v>
      </c>
      <c r="AN33" s="57">
        <f>IF(AN$14=1,'Inputs (2)'!AN20,AL33+AN103+AN150)</f>
        <v>0</v>
      </c>
      <c r="AO33" s="57">
        <f>IF(AO$14=1,'Inputs (2)'!AO20,AN33+AO103+AO150)</f>
        <v>0</v>
      </c>
      <c r="AP33" s="57">
        <f>IF(AP$14=1,'Inputs (2)'!AP20,AO33+AP103+AP150)</f>
        <v>0</v>
      </c>
      <c r="AQ33" s="57">
        <f>IF(AQ$14=1,'Inputs (2)'!AQ20,AP33+AQ103+AQ150)</f>
        <v>0</v>
      </c>
      <c r="AR33" s="77">
        <f t="shared" si="11"/>
        <v>0</v>
      </c>
      <c r="AS33" s="57">
        <f>IF(AS$14=1,'Inputs (2)'!AS20,AQ33+AS103+AS150)</f>
        <v>0</v>
      </c>
      <c r="AT33" s="57">
        <f>IF(AT$14=1,'Inputs (2)'!AT20,AS33+AT103+AT150)</f>
        <v>0</v>
      </c>
      <c r="AU33" s="57">
        <f>IF(AU$14=1,'Inputs (2)'!AU20,AT33+AU103+AU150)</f>
        <v>0</v>
      </c>
      <c r="AV33" s="57">
        <f>IF(AV$14=1,'Inputs (2)'!AV20,AU33+AV103+AV150)</f>
        <v>0</v>
      </c>
      <c r="AW33" s="77">
        <f t="shared" si="12"/>
        <v>0</v>
      </c>
      <c r="AX33" s="57">
        <f>IF(AX$14=1,'Inputs (2)'!AX20,AV33+AX103+AX150)</f>
        <v>0</v>
      </c>
      <c r="AY33" s="57">
        <f>IF(AY$14=1,'Inputs (2)'!AY20,AX33+AY103+AY150)</f>
        <v>0</v>
      </c>
      <c r="AZ33" s="57">
        <f>IF(AZ$14=1,'Inputs (2)'!AZ20,AY33+AZ103+AZ150)</f>
        <v>0</v>
      </c>
      <c r="BA33" s="57">
        <f>IF(BA$14=1,'Inputs (2)'!BA20,AZ33+BA103+BA150)</f>
        <v>0</v>
      </c>
      <c r="BB33" s="77">
        <f t="shared" si="13"/>
        <v>0</v>
      </c>
      <c r="BC33" s="57">
        <f>IF(BC$14=1,'Inputs (2)'!BC20,BA33+BC103+BC150)</f>
        <v>0</v>
      </c>
      <c r="BD33" s="57">
        <f>IF(BD$14=1,'Inputs (2)'!BD20,BC33+BD103+BD150)</f>
        <v>0</v>
      </c>
      <c r="BE33" s="57">
        <f>IF(BE$14=1,'Inputs (2)'!BE20,BD33+BE103+BE150)</f>
        <v>0</v>
      </c>
      <c r="BF33" s="57">
        <f>IF(BF$14=1,'Inputs (2)'!BF20,BE33+BF103+BF150)</f>
        <v>0</v>
      </c>
      <c r="BG33" s="77">
        <f t="shared" si="14"/>
        <v>0</v>
      </c>
      <c r="BI33" s="14" t="s">
        <v>770</v>
      </c>
    </row>
    <row r="34" spans="2:61" collapsed="1" x14ac:dyDescent="0.25">
      <c r="C34" s="80" t="s">
        <v>76</v>
      </c>
      <c r="D34" s="81" t="s">
        <v>771</v>
      </c>
      <c r="E34" s="82">
        <f>'Inputs (2)'!E21</f>
        <v>0</v>
      </c>
      <c r="F34" s="82">
        <f>IF(F$14=1,'Inputs (2)'!F21,E34*(1+Inputs!F$281))</f>
        <v>0</v>
      </c>
      <c r="G34" s="82">
        <f>IF(G$14=1,'Inputs (2)'!G21,F34*(1+Inputs!G$281))</f>
        <v>0</v>
      </c>
      <c r="H34" s="82">
        <f>IF(H$14=1,'Inputs (2)'!H21,G34*(1+Inputs!H$281))</f>
        <v>0</v>
      </c>
      <c r="I34" s="77">
        <f t="shared" si="4"/>
        <v>0</v>
      </c>
      <c r="J34" s="82">
        <f>IF(J$14=1,'Inputs (2)'!J21,H34*(1+Inputs!J$281))</f>
        <v>0</v>
      </c>
      <c r="K34" s="82">
        <f>IF(K$14=1,'Inputs (2)'!K21,J34*(1+Inputs!K$281))</f>
        <v>0</v>
      </c>
      <c r="L34" s="82">
        <f>IF(L$14=1,'Inputs (2)'!L21,K34*(1+Inputs!L$281))</f>
        <v>0</v>
      </c>
      <c r="M34" s="82">
        <f>IF(M$14=1,'Inputs (2)'!M21,L34*(1+Inputs!M$281))</f>
        <v>0</v>
      </c>
      <c r="N34" s="77">
        <f t="shared" si="5"/>
        <v>0</v>
      </c>
      <c r="O34" s="82">
        <f>IF(O$14=1,'Inputs (2)'!O21,M34*(1+Inputs!O$281))</f>
        <v>0</v>
      </c>
      <c r="P34" s="82">
        <f>IF(P$14=1,'Inputs (2)'!P21,O34*(1+Inputs!P$281))</f>
        <v>0</v>
      </c>
      <c r="Q34" s="82">
        <f>IF(Q$14=1,'Inputs (2)'!Q21,P34*(1+Inputs!Q$281))</f>
        <v>0</v>
      </c>
      <c r="R34" s="82">
        <f>IF(R$14=1,'Inputs (2)'!R21,Q34*(1+Inputs!R$281))</f>
        <v>0</v>
      </c>
      <c r="S34" s="77">
        <f t="shared" si="6"/>
        <v>0</v>
      </c>
      <c r="T34" s="82">
        <f>IF(T$14=1,'Inputs (2)'!T21,R34*(1+Inputs!T$281))</f>
        <v>0</v>
      </c>
      <c r="U34" s="82">
        <f>IF(U$14=1,'Inputs (2)'!U21,T34*(1+Inputs!U$281))</f>
        <v>0</v>
      </c>
      <c r="V34" s="82">
        <f>IF(V$14=1,'Inputs (2)'!V21,U34*(1+Inputs!V$281))</f>
        <v>0</v>
      </c>
      <c r="W34" s="82">
        <f>IF(W$14=1,'Inputs (2)'!W21,V34*(1+Inputs!W$281))</f>
        <v>0</v>
      </c>
      <c r="X34" s="77">
        <f t="shared" si="7"/>
        <v>0</v>
      </c>
      <c r="Y34" s="82">
        <f>IF(Y$14=1,'Inputs (2)'!Y21,W34*(1+Inputs!Y$281))</f>
        <v>0</v>
      </c>
      <c r="Z34" s="82">
        <f>IF(Z$14=1,'Inputs (2)'!Z21,Y34*(1+Inputs!Z$281))</f>
        <v>0</v>
      </c>
      <c r="AA34" s="82">
        <f>IF(AA$14=1,'Inputs (2)'!AA21,Z34*(1+Inputs!AA$281))</f>
        <v>0</v>
      </c>
      <c r="AB34" s="82">
        <f>IF(AB$14=1,'Inputs (2)'!AB21,AA34*(1+Inputs!AB$281))</f>
        <v>0</v>
      </c>
      <c r="AC34" s="77">
        <f t="shared" si="8"/>
        <v>0</v>
      </c>
      <c r="AD34" s="82">
        <f>IF(AD$14=1,'Inputs (2)'!AD21,AB34*(1+Inputs!AD$281))</f>
        <v>0</v>
      </c>
      <c r="AE34" s="82">
        <f>IF(AE$14=1,'Inputs (2)'!AE21,AD34*(1+Inputs!AE$281))</f>
        <v>0</v>
      </c>
      <c r="AF34" s="82">
        <f>IF(AF$14=1,'Inputs (2)'!AF21,AE34*(1+Inputs!AF$281))</f>
        <v>0</v>
      </c>
      <c r="AG34" s="82">
        <f>IF(AG$14=1,'Inputs (2)'!AG21,AF34*(1+Inputs!AG$281))</f>
        <v>0</v>
      </c>
      <c r="AH34" s="77">
        <f t="shared" si="9"/>
        <v>0</v>
      </c>
      <c r="AI34" s="82">
        <f>IF(AI$14=1,'Inputs (2)'!AI21,AG34*(1+Inputs!AI$281))</f>
        <v>0</v>
      </c>
      <c r="AJ34" s="82">
        <f>IF(AJ$14=1,'Inputs (2)'!AJ21,AI34*(1+Inputs!AJ$281))</f>
        <v>0</v>
      </c>
      <c r="AK34" s="82">
        <f>IF(AK$14=1,'Inputs (2)'!AK21,AJ34*(1+Inputs!AK$281))</f>
        <v>0</v>
      </c>
      <c r="AL34" s="82">
        <f>IF(AL$14=1,'Inputs (2)'!AL21,AK34*(1+Inputs!AL$281))</f>
        <v>0</v>
      </c>
      <c r="AM34" s="77">
        <f t="shared" si="10"/>
        <v>0</v>
      </c>
      <c r="AN34" s="82">
        <f>IF(AN$14=1,'Inputs (2)'!AN21,AL34*(1+Inputs!AN$281))</f>
        <v>0</v>
      </c>
      <c r="AO34" s="82">
        <f>IF(AO$14=1,'Inputs (2)'!AO21,AN34*(1+Inputs!AO$281))</f>
        <v>0</v>
      </c>
      <c r="AP34" s="82">
        <f>IF(AP$14=1,'Inputs (2)'!AP21,AO34*(1+Inputs!AP$281))</f>
        <v>0</v>
      </c>
      <c r="AQ34" s="82">
        <f>IF(AQ$14=1,'Inputs (2)'!AQ21,AP34*(1+Inputs!AQ$281))</f>
        <v>0</v>
      </c>
      <c r="AR34" s="77">
        <f t="shared" si="11"/>
        <v>0</v>
      </c>
      <c r="AS34" s="82">
        <f>IF(AS$14=1,'Inputs (2)'!AS21,AQ34*(1+Inputs!AS$281))</f>
        <v>0</v>
      </c>
      <c r="AT34" s="82">
        <f>IF(AT$14=1,'Inputs (2)'!AT21,AS34*(1+Inputs!AT$281))</f>
        <v>0</v>
      </c>
      <c r="AU34" s="82">
        <f>IF(AU$14=1,'Inputs (2)'!AU21,AT34*(1+Inputs!AU$281))</f>
        <v>0</v>
      </c>
      <c r="AV34" s="82">
        <f>IF(AV$14=1,'Inputs (2)'!AV21,AU34*(1+Inputs!AV$281))</f>
        <v>0</v>
      </c>
      <c r="AW34" s="77">
        <f t="shared" si="12"/>
        <v>0</v>
      </c>
      <c r="AX34" s="82">
        <f>IF(AX$14=1,'Inputs (2)'!AX21,AV34*(1+Inputs!AX$281))</f>
        <v>0</v>
      </c>
      <c r="AY34" s="82">
        <f>IF(AY$14=1,'Inputs (2)'!AY21,AX34*(1+Inputs!AY$281))</f>
        <v>0</v>
      </c>
      <c r="AZ34" s="82">
        <f>IF(AZ$14=1,'Inputs (2)'!AZ21,AY34*(1+Inputs!AZ$281))</f>
        <v>0</v>
      </c>
      <c r="BA34" s="82">
        <f>IF(BA$14=1,'Inputs (2)'!BA21,AZ34*(1+Inputs!BA$281))</f>
        <v>0</v>
      </c>
      <c r="BB34" s="77">
        <f t="shared" si="13"/>
        <v>0</v>
      </c>
      <c r="BC34" s="82">
        <f>IF(BC$14=1,'Inputs (2)'!BC21,BA34*(1+Inputs!BC$281))</f>
        <v>0</v>
      </c>
      <c r="BD34" s="82">
        <f>IF(BD$14=1,'Inputs (2)'!BD21,BC34*(1+Inputs!BD$281))</f>
        <v>0</v>
      </c>
      <c r="BE34" s="82">
        <f>IF(BE$14=1,'Inputs (2)'!BE21,BD34*(1+Inputs!BE$281))</f>
        <v>0</v>
      </c>
      <c r="BF34" s="82">
        <f>IF(BF$14=1,'Inputs (2)'!BF21,BE34*(1+Inputs!BF$281))</f>
        <v>0</v>
      </c>
      <c r="BG34" s="77">
        <f t="shared" si="14"/>
        <v>0</v>
      </c>
    </row>
    <row r="35" spans="2:61" x14ac:dyDescent="0.25">
      <c r="C35" s="80" t="s">
        <v>78</v>
      </c>
      <c r="D35" s="81" t="s">
        <v>772</v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 t="shared" si="4"/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 t="shared" si="5"/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 t="shared" si="6"/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 t="shared" si="7"/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 t="shared" si="8"/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 t="shared" si="9"/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 t="shared" si="10"/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 t="shared" si="11"/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 t="shared" si="12"/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 t="shared" si="13"/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 t="shared" si="14"/>
        <v>0</v>
      </c>
    </row>
    <row r="36" spans="2:61" x14ac:dyDescent="0.25">
      <c r="C36" s="80" t="s">
        <v>80</v>
      </c>
      <c r="D36" s="81" t="s">
        <v>561</v>
      </c>
      <c r="E36" s="82">
        <f>'Inputs (2)'!E23</f>
        <v>0</v>
      </c>
      <c r="F36" s="82">
        <f>IF(F$14=1,'Inputs (2)'!F23,E36*(1+Inputs!F$281))</f>
        <v>0</v>
      </c>
      <c r="G36" s="82">
        <f>IF(G$14=1,'Inputs (2)'!G23,F36*(1+Inputs!G$281))</f>
        <v>0</v>
      </c>
      <c r="H36" s="82">
        <f>IF(H$14=1,'Inputs (2)'!H23,G36*(1+Inputs!H$281))</f>
        <v>0</v>
      </c>
      <c r="I36" s="77">
        <f t="shared" si="4"/>
        <v>0</v>
      </c>
      <c r="J36" s="82">
        <f>IF(J$14=1,'Inputs (2)'!J23,H36*(1+Inputs!J$281))</f>
        <v>0</v>
      </c>
      <c r="K36" s="82">
        <f>IF(K$14=1,'Inputs (2)'!K23,J36*(1+Inputs!K$281))</f>
        <v>0</v>
      </c>
      <c r="L36" s="82">
        <f>IF(L$14=1,'Inputs (2)'!L23,K36*(1+Inputs!L$281))</f>
        <v>0</v>
      </c>
      <c r="M36" s="82">
        <f>IF(M$14=1,'Inputs (2)'!M23,L36*(1+Inputs!M$281))</f>
        <v>0</v>
      </c>
      <c r="N36" s="77">
        <f t="shared" si="5"/>
        <v>0</v>
      </c>
      <c r="O36" s="82">
        <f>IF(O$14=1,'Inputs (2)'!O23,M36*(1+Inputs!O$281))</f>
        <v>0</v>
      </c>
      <c r="P36" s="82">
        <f>IF(P$14=1,'Inputs (2)'!P23,O36*(1+Inputs!P$281))</f>
        <v>0</v>
      </c>
      <c r="Q36" s="82">
        <f>IF(Q$14=1,'Inputs (2)'!Q23,P36*(1+Inputs!Q$281))</f>
        <v>0</v>
      </c>
      <c r="R36" s="82">
        <f>IF(R$14=1,'Inputs (2)'!R23,Q36*(1+Inputs!R$281))</f>
        <v>0</v>
      </c>
      <c r="S36" s="77">
        <f t="shared" si="6"/>
        <v>0</v>
      </c>
      <c r="T36" s="82">
        <f>IF(T$14=1,'Inputs (2)'!T23,R36*(1+Inputs!T$281))</f>
        <v>0</v>
      </c>
      <c r="U36" s="82">
        <f>IF(U$14=1,'Inputs (2)'!U23,T36*(1+Inputs!U$281))</f>
        <v>0</v>
      </c>
      <c r="V36" s="82">
        <f>IF(V$14=1,'Inputs (2)'!V23,U36*(1+Inputs!V$281))</f>
        <v>0</v>
      </c>
      <c r="W36" s="82">
        <f>IF(W$14=1,'Inputs (2)'!W23,V36*(1+Inputs!W$281))</f>
        <v>0</v>
      </c>
      <c r="X36" s="77">
        <f t="shared" si="7"/>
        <v>0</v>
      </c>
      <c r="Y36" s="82">
        <f>IF(Y$14=1,'Inputs (2)'!Y23,W36*(1+Inputs!Y$281))</f>
        <v>0</v>
      </c>
      <c r="Z36" s="82">
        <f>IF(Z$14=1,'Inputs (2)'!Z23,Y36*(1+Inputs!Z$281))</f>
        <v>0</v>
      </c>
      <c r="AA36" s="82">
        <f>IF(AA$14=1,'Inputs (2)'!AA23,Z36*(1+Inputs!AA$281))</f>
        <v>0</v>
      </c>
      <c r="AB36" s="82">
        <f>IF(AB$14=1,'Inputs (2)'!AB23,AA36*(1+Inputs!AB$281))</f>
        <v>0</v>
      </c>
      <c r="AC36" s="77">
        <f t="shared" si="8"/>
        <v>0</v>
      </c>
      <c r="AD36" s="82">
        <f>IF(AD$14=1,'Inputs (2)'!AD23,AB36*(1+Inputs!AD$281))</f>
        <v>0</v>
      </c>
      <c r="AE36" s="82">
        <f>IF(AE$14=1,'Inputs (2)'!AE23,AD36*(1+Inputs!AE$281))</f>
        <v>0</v>
      </c>
      <c r="AF36" s="82">
        <f>IF(AF$14=1,'Inputs (2)'!AF23,AE36*(1+Inputs!AF$281))</f>
        <v>0</v>
      </c>
      <c r="AG36" s="82">
        <f>IF(AG$14=1,'Inputs (2)'!AG23,AF36*(1+Inputs!AG$281))</f>
        <v>0</v>
      </c>
      <c r="AH36" s="77">
        <f t="shared" si="9"/>
        <v>0</v>
      </c>
      <c r="AI36" s="82">
        <f>IF(AI$14=1,'Inputs (2)'!AI23,AG36*(1+Inputs!AI$281))</f>
        <v>0</v>
      </c>
      <c r="AJ36" s="82">
        <f>IF(AJ$14=1,'Inputs (2)'!AJ23,AI36*(1+Inputs!AJ$281))</f>
        <v>0</v>
      </c>
      <c r="AK36" s="82">
        <f>IF(AK$14=1,'Inputs (2)'!AK23,AJ36*(1+Inputs!AK$281))</f>
        <v>0</v>
      </c>
      <c r="AL36" s="82">
        <f>IF(AL$14=1,'Inputs (2)'!AL23,AK36*(1+Inputs!AL$281))</f>
        <v>0</v>
      </c>
      <c r="AM36" s="77">
        <f t="shared" si="10"/>
        <v>0</v>
      </c>
      <c r="AN36" s="82">
        <f>IF(AN$14=1,'Inputs (2)'!AN23,AL36*(1+Inputs!AN$281))</f>
        <v>0</v>
      </c>
      <c r="AO36" s="82">
        <f>IF(AO$14=1,'Inputs (2)'!AO23,AN36*(1+Inputs!AO$281))</f>
        <v>0</v>
      </c>
      <c r="AP36" s="82">
        <f>IF(AP$14=1,'Inputs (2)'!AP23,AO36*(1+Inputs!AP$281))</f>
        <v>0</v>
      </c>
      <c r="AQ36" s="82">
        <f>IF(AQ$14=1,'Inputs (2)'!AQ23,AP36*(1+Inputs!AQ$281))</f>
        <v>0</v>
      </c>
      <c r="AR36" s="77">
        <f t="shared" si="11"/>
        <v>0</v>
      </c>
      <c r="AS36" s="82">
        <f>IF(AS$14=1,'Inputs (2)'!AS23,AQ36*(1+Inputs!AS$281))</f>
        <v>0</v>
      </c>
      <c r="AT36" s="82">
        <f>IF(AT$14=1,'Inputs (2)'!AT23,AS36*(1+Inputs!AT$281))</f>
        <v>0</v>
      </c>
      <c r="AU36" s="82">
        <f>IF(AU$14=1,'Inputs (2)'!AU23,AT36*(1+Inputs!AU$281))</f>
        <v>0</v>
      </c>
      <c r="AV36" s="82">
        <f>IF(AV$14=1,'Inputs (2)'!AV23,AU36*(1+Inputs!AV$281))</f>
        <v>0</v>
      </c>
      <c r="AW36" s="77">
        <f t="shared" si="12"/>
        <v>0</v>
      </c>
      <c r="AX36" s="82">
        <f>IF(AX$14=1,'Inputs (2)'!AX23,AV36*(1+Inputs!AX$281))</f>
        <v>0</v>
      </c>
      <c r="AY36" s="82">
        <f>IF(AY$14=1,'Inputs (2)'!AY23,AX36*(1+Inputs!AY$281))</f>
        <v>0</v>
      </c>
      <c r="AZ36" s="82">
        <f>IF(AZ$14=1,'Inputs (2)'!AZ23,AY36*(1+Inputs!AZ$281))</f>
        <v>0</v>
      </c>
      <c r="BA36" s="82">
        <f>IF(BA$14=1,'Inputs (2)'!BA23,AZ36*(1+Inputs!BA$281))</f>
        <v>0</v>
      </c>
      <c r="BB36" s="77">
        <f t="shared" si="13"/>
        <v>0</v>
      </c>
      <c r="BC36" s="82">
        <f>IF(BC$14=1,'Inputs (2)'!BC23,BA36*(1+Inputs!BC$281))</f>
        <v>0</v>
      </c>
      <c r="BD36" s="82">
        <f>IF(BD$14=1,'Inputs (2)'!BD23,BC36*(1+Inputs!BD$281))</f>
        <v>0</v>
      </c>
      <c r="BE36" s="82">
        <f>IF(BE$14=1,'Inputs (2)'!BE23,BD36*(1+Inputs!BE$281))</f>
        <v>0</v>
      </c>
      <c r="BF36" s="82">
        <f>IF(BF$14=1,'Inputs (2)'!BF23,BE36*(1+Inputs!BF$281))</f>
        <v>0</v>
      </c>
      <c r="BG36" s="77">
        <f t="shared" si="14"/>
        <v>0</v>
      </c>
    </row>
    <row r="37" spans="2:61" x14ac:dyDescent="0.25">
      <c r="C37" s="83" t="s">
        <v>562</v>
      </c>
      <c r="D37" s="84" t="s">
        <v>563</v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 t="shared" si="4"/>
        <v>0</v>
      </c>
      <c r="J37" s="85">
        <f>J38+J39</f>
        <v>0</v>
      </c>
      <c r="K37" s="85">
        <f>K38+K39</f>
        <v>0</v>
      </c>
      <c r="L37" s="85">
        <f>L38+L39</f>
        <v>0</v>
      </c>
      <c r="M37" s="85">
        <f>M38+M39</f>
        <v>0</v>
      </c>
      <c r="N37" s="60">
        <f t="shared" si="5"/>
        <v>0</v>
      </c>
      <c r="O37" s="85">
        <f>O38+O39</f>
        <v>0</v>
      </c>
      <c r="P37" s="85">
        <f>P38+P39</f>
        <v>0</v>
      </c>
      <c r="Q37" s="85">
        <f>Q38+Q39</f>
        <v>0</v>
      </c>
      <c r="R37" s="85">
        <f>R38+R39</f>
        <v>0</v>
      </c>
      <c r="S37" s="60">
        <f t="shared" si="6"/>
        <v>0</v>
      </c>
      <c r="T37" s="85">
        <f>T38+T39</f>
        <v>0</v>
      </c>
      <c r="U37" s="85">
        <f>U38+U39</f>
        <v>0</v>
      </c>
      <c r="V37" s="85">
        <f>V38+V39</f>
        <v>0</v>
      </c>
      <c r="W37" s="85">
        <f>W38+W39</f>
        <v>0</v>
      </c>
      <c r="X37" s="60">
        <f t="shared" si="7"/>
        <v>0</v>
      </c>
      <c r="Y37" s="85">
        <f>Y38+Y39</f>
        <v>0</v>
      </c>
      <c r="Z37" s="85">
        <f>Z38+Z39</f>
        <v>0</v>
      </c>
      <c r="AA37" s="85">
        <f>AA38+AA39</f>
        <v>0</v>
      </c>
      <c r="AB37" s="85">
        <f>AB38+AB39</f>
        <v>0</v>
      </c>
      <c r="AC37" s="60">
        <f t="shared" si="8"/>
        <v>0</v>
      </c>
      <c r="AD37" s="85">
        <f>AD38+AD39</f>
        <v>0</v>
      </c>
      <c r="AE37" s="85">
        <f>AE38+AE39</f>
        <v>0</v>
      </c>
      <c r="AF37" s="85">
        <f>AF38+AF39</f>
        <v>0</v>
      </c>
      <c r="AG37" s="85">
        <f>AG38+AG39</f>
        <v>0</v>
      </c>
      <c r="AH37" s="60">
        <f t="shared" si="9"/>
        <v>0</v>
      </c>
      <c r="AI37" s="85">
        <f>AI38+AI39</f>
        <v>0</v>
      </c>
      <c r="AJ37" s="85">
        <f>AJ38+AJ39</f>
        <v>0</v>
      </c>
      <c r="AK37" s="85">
        <f>AK38+AK39</f>
        <v>0</v>
      </c>
      <c r="AL37" s="85">
        <f>AL38+AL39</f>
        <v>0</v>
      </c>
      <c r="AM37" s="60">
        <f t="shared" si="10"/>
        <v>0</v>
      </c>
      <c r="AN37" s="85">
        <f>AN38+AN39</f>
        <v>0</v>
      </c>
      <c r="AO37" s="85">
        <f>AO38+AO39</f>
        <v>0</v>
      </c>
      <c r="AP37" s="85">
        <f>AP38+AP39</f>
        <v>0</v>
      </c>
      <c r="AQ37" s="85">
        <f>AQ38+AQ39</f>
        <v>0</v>
      </c>
      <c r="AR37" s="60">
        <f t="shared" si="11"/>
        <v>0</v>
      </c>
      <c r="AS37" s="85">
        <f>AS38+AS39</f>
        <v>0</v>
      </c>
      <c r="AT37" s="85">
        <f>AT38+AT39</f>
        <v>0</v>
      </c>
      <c r="AU37" s="85">
        <f>AU38+AU39</f>
        <v>0</v>
      </c>
      <c r="AV37" s="85">
        <f>AV38+AV39</f>
        <v>0</v>
      </c>
      <c r="AW37" s="60">
        <f t="shared" si="12"/>
        <v>0</v>
      </c>
      <c r="AX37" s="85">
        <f>AX38+AX39</f>
        <v>0</v>
      </c>
      <c r="AY37" s="85">
        <f>AY38+AY39</f>
        <v>0</v>
      </c>
      <c r="AZ37" s="85">
        <f>AZ38+AZ39</f>
        <v>0</v>
      </c>
      <c r="BA37" s="85">
        <f>BA38+BA39</f>
        <v>0</v>
      </c>
      <c r="BB37" s="60">
        <f t="shared" si="13"/>
        <v>0</v>
      </c>
      <c r="BC37" s="85">
        <f>BC38+BC39</f>
        <v>0</v>
      </c>
      <c r="BD37" s="85">
        <f>BD38+BD39</f>
        <v>0</v>
      </c>
      <c r="BE37" s="85">
        <f>BE38+BE39</f>
        <v>0</v>
      </c>
      <c r="BF37" s="85">
        <f>BF38+BF39</f>
        <v>0</v>
      </c>
      <c r="BG37" s="60">
        <f t="shared" si="14"/>
        <v>0</v>
      </c>
    </row>
    <row r="38" spans="2:61" hidden="1" outlineLevel="1" x14ac:dyDescent="0.25">
      <c r="C38" s="61" t="s">
        <v>82</v>
      </c>
      <c r="D38" s="62" t="s">
        <v>564</v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 t="shared" si="4"/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 t="shared" si="5"/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 t="shared" si="6"/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 t="shared" si="7"/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 t="shared" si="8"/>
        <v>0</v>
      </c>
      <c r="AD38" s="57">
        <f>IF(AD$14=1,'Inputs (2)'!AD25,AB38)</f>
        <v>0</v>
      </c>
      <c r="AE38" s="57">
        <f>IF(AE$14=1,'Inputs (2)'!AE25,AD38)</f>
        <v>0</v>
      </c>
      <c r="AF38" s="57">
        <f>IF(AF$14=1,'Inputs (2)'!AF25,AE38)</f>
        <v>0</v>
      </c>
      <c r="AG38" s="57">
        <f>IF(AG$14=1,'Inputs (2)'!AG25,AF38)</f>
        <v>0</v>
      </c>
      <c r="AH38" s="77">
        <f t="shared" si="9"/>
        <v>0</v>
      </c>
      <c r="AI38" s="57">
        <f>IF(AI$14=1,'Inputs (2)'!AI25,AG38)</f>
        <v>0</v>
      </c>
      <c r="AJ38" s="57">
        <f>IF(AJ$14=1,'Inputs (2)'!AJ25,AI38)</f>
        <v>0</v>
      </c>
      <c r="AK38" s="57">
        <f>IF(AK$14=1,'Inputs (2)'!AK25,AJ38)</f>
        <v>0</v>
      </c>
      <c r="AL38" s="57">
        <f>IF(AL$14=1,'Inputs (2)'!AL25,AK38)</f>
        <v>0</v>
      </c>
      <c r="AM38" s="77">
        <f t="shared" si="10"/>
        <v>0</v>
      </c>
      <c r="AN38" s="57">
        <f>IF(AN$14=1,'Inputs (2)'!AN25,AL38)</f>
        <v>0</v>
      </c>
      <c r="AO38" s="57">
        <f>IF(AO$14=1,'Inputs (2)'!AO25,AN38)</f>
        <v>0</v>
      </c>
      <c r="AP38" s="57">
        <f>IF(AP$14=1,'Inputs (2)'!AP25,AO38)</f>
        <v>0</v>
      </c>
      <c r="AQ38" s="57">
        <f>IF(AQ$14=1,'Inputs (2)'!AQ25,AP38)</f>
        <v>0</v>
      </c>
      <c r="AR38" s="77">
        <f t="shared" si="11"/>
        <v>0</v>
      </c>
      <c r="AS38" s="57">
        <f>IF(AS$14=1,'Inputs (2)'!AS25,AQ38)</f>
        <v>0</v>
      </c>
      <c r="AT38" s="57">
        <f>IF(AT$14=1,'Inputs (2)'!AT25,AS38)</f>
        <v>0</v>
      </c>
      <c r="AU38" s="57">
        <f>IF(AU$14=1,'Inputs (2)'!AU25,AT38)</f>
        <v>0</v>
      </c>
      <c r="AV38" s="57">
        <f>IF(AV$14=1,'Inputs (2)'!AV25,AU38)</f>
        <v>0</v>
      </c>
      <c r="AW38" s="77">
        <f t="shared" si="12"/>
        <v>0</v>
      </c>
      <c r="AX38" s="57">
        <f>IF(AX$14=1,'Inputs (2)'!AX25,AV38)</f>
        <v>0</v>
      </c>
      <c r="AY38" s="57">
        <f>IF(AY$14=1,'Inputs (2)'!AY25,AX38)</f>
        <v>0</v>
      </c>
      <c r="AZ38" s="57">
        <f>IF(AZ$14=1,'Inputs (2)'!AZ25,AY38)</f>
        <v>0</v>
      </c>
      <c r="BA38" s="57">
        <f>IF(BA$14=1,'Inputs (2)'!BA25,AZ38)</f>
        <v>0</v>
      </c>
      <c r="BB38" s="77">
        <f t="shared" si="13"/>
        <v>0</v>
      </c>
      <c r="BC38" s="57">
        <f>IF(BC$14=1,'Inputs (2)'!BC25,BA38)</f>
        <v>0</v>
      </c>
      <c r="BD38" s="57">
        <f>IF(BD$14=1,'Inputs (2)'!BD25,BC38)</f>
        <v>0</v>
      </c>
      <c r="BE38" s="57">
        <f>IF(BE$14=1,'Inputs (2)'!BE25,BD38)</f>
        <v>0</v>
      </c>
      <c r="BF38" s="57">
        <f>IF(BF$14=1,'Inputs (2)'!BF25,BE38)</f>
        <v>0</v>
      </c>
      <c r="BG38" s="77">
        <f t="shared" si="14"/>
        <v>0</v>
      </c>
    </row>
    <row r="39" spans="2:61" hidden="1" outlineLevel="1" x14ac:dyDescent="0.25">
      <c r="C39" s="61" t="s">
        <v>84</v>
      </c>
      <c r="D39" s="62" t="s">
        <v>565</v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 t="shared" si="4"/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 t="shared" si="5"/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 t="shared" si="6"/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 t="shared" si="7"/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 t="shared" si="8"/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 t="shared" si="9"/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 t="shared" si="10"/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 t="shared" si="11"/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 t="shared" si="12"/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 t="shared" si="13"/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 t="shared" si="14"/>
        <v>0</v>
      </c>
    </row>
    <row r="40" spans="2:61" collapsed="1" x14ac:dyDescent="0.25">
      <c r="C40" s="80" t="s">
        <v>86</v>
      </c>
      <c r="D40" s="81" t="s">
        <v>566</v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0</v>
      </c>
      <c r="I40" s="77">
        <f t="shared" si="4"/>
        <v>0</v>
      </c>
      <c r="J40" s="82">
        <f>IF(J$14=1,'Inputs (2)'!J27,H40)</f>
        <v>0</v>
      </c>
      <c r="K40" s="82">
        <f>IF(K$14=1,'Inputs (2)'!K27,J40)</f>
        <v>0</v>
      </c>
      <c r="L40" s="82">
        <f>IF(L$14=1,'Inputs (2)'!L27,K40)</f>
        <v>0</v>
      </c>
      <c r="M40" s="82">
        <f>IF(M$14=1,'Inputs (2)'!M27,L40)</f>
        <v>0</v>
      </c>
      <c r="N40" s="77">
        <f t="shared" si="5"/>
        <v>0</v>
      </c>
      <c r="O40" s="82">
        <f>IF(O$14=1,'Inputs (2)'!O27,M40)</f>
        <v>0</v>
      </c>
      <c r="P40" s="82">
        <f>IF(P$14=1,'Inputs (2)'!P27,O40)</f>
        <v>0</v>
      </c>
      <c r="Q40" s="82">
        <f>IF(Q$14=1,'Inputs (2)'!Q27,P40)</f>
        <v>0</v>
      </c>
      <c r="R40" s="82">
        <f>IF(R$14=1,'Inputs (2)'!R27,Q40)</f>
        <v>0</v>
      </c>
      <c r="S40" s="77">
        <f t="shared" si="6"/>
        <v>0</v>
      </c>
      <c r="T40" s="82">
        <f>IF(T$14=1,'Inputs (2)'!T27,R40)</f>
        <v>0</v>
      </c>
      <c r="U40" s="82">
        <f>IF(U$14=1,'Inputs (2)'!U27,T40)</f>
        <v>0</v>
      </c>
      <c r="V40" s="82">
        <f>IF(V$14=1,'Inputs (2)'!V27,U40)</f>
        <v>0</v>
      </c>
      <c r="W40" s="82">
        <f>IF(W$14=1,'Inputs (2)'!W27,V40)</f>
        <v>0</v>
      </c>
      <c r="X40" s="77">
        <f t="shared" si="7"/>
        <v>0</v>
      </c>
      <c r="Y40" s="82">
        <f>IF(Y$14=1,'Inputs (2)'!Y27,W40)</f>
        <v>0</v>
      </c>
      <c r="Z40" s="82">
        <f>IF(Z$14=1,'Inputs (2)'!Z27,Y40)</f>
        <v>0</v>
      </c>
      <c r="AA40" s="82">
        <f>IF(AA$14=1,'Inputs (2)'!AA27,Z40)</f>
        <v>0</v>
      </c>
      <c r="AB40" s="82">
        <f>IF(AB$14=1,'Inputs (2)'!AB27,AA40)</f>
        <v>0</v>
      </c>
      <c r="AC40" s="77">
        <f t="shared" si="8"/>
        <v>0</v>
      </c>
      <c r="AD40" s="82">
        <f>IF(AD$14=1,'Inputs (2)'!AD27,AB40)</f>
        <v>0</v>
      </c>
      <c r="AE40" s="82">
        <f>IF(AE$14=1,'Inputs (2)'!AE27,AD40)</f>
        <v>0</v>
      </c>
      <c r="AF40" s="82">
        <f>IF(AF$14=1,'Inputs (2)'!AF27,AE40)</f>
        <v>0</v>
      </c>
      <c r="AG40" s="82">
        <f>IF(AG$14=1,'Inputs (2)'!AG27,AF40)</f>
        <v>0</v>
      </c>
      <c r="AH40" s="77">
        <f t="shared" si="9"/>
        <v>0</v>
      </c>
      <c r="AI40" s="82">
        <f>IF(AI$14=1,'Inputs (2)'!AI27,AG40)</f>
        <v>0</v>
      </c>
      <c r="AJ40" s="82">
        <f>IF(AJ$14=1,'Inputs (2)'!AJ27,AI40)</f>
        <v>0</v>
      </c>
      <c r="AK40" s="82">
        <f>IF(AK$14=1,'Inputs (2)'!AK27,AJ40)</f>
        <v>0</v>
      </c>
      <c r="AL40" s="82">
        <f>IF(AL$14=1,'Inputs (2)'!AL27,AK40)</f>
        <v>0</v>
      </c>
      <c r="AM40" s="77">
        <f t="shared" si="10"/>
        <v>0</v>
      </c>
      <c r="AN40" s="82">
        <f>IF(AN$14=1,'Inputs (2)'!AN27,AL40)</f>
        <v>0</v>
      </c>
      <c r="AO40" s="82">
        <f>IF(AO$14=1,'Inputs (2)'!AO27,AN40)</f>
        <v>0</v>
      </c>
      <c r="AP40" s="82">
        <f>IF(AP$14=1,'Inputs (2)'!AP27,AO40)</f>
        <v>0</v>
      </c>
      <c r="AQ40" s="82">
        <f>IF(AQ$14=1,'Inputs (2)'!AQ27,AP40)</f>
        <v>0</v>
      </c>
      <c r="AR40" s="77">
        <f t="shared" si="11"/>
        <v>0</v>
      </c>
      <c r="AS40" s="82">
        <f>IF(AS$14=1,'Inputs (2)'!AS27,AQ40)</f>
        <v>0</v>
      </c>
      <c r="AT40" s="82">
        <f>IF(AT$14=1,'Inputs (2)'!AT27,AS40)</f>
        <v>0</v>
      </c>
      <c r="AU40" s="82">
        <f>IF(AU$14=1,'Inputs (2)'!AU27,AT40)</f>
        <v>0</v>
      </c>
      <c r="AV40" s="82">
        <f>IF(AV$14=1,'Inputs (2)'!AV27,AU40)</f>
        <v>0</v>
      </c>
      <c r="AW40" s="77">
        <f t="shared" si="12"/>
        <v>0</v>
      </c>
      <c r="AX40" s="82">
        <f>IF(AX$14=1,'Inputs (2)'!AX27,AV40)</f>
        <v>0</v>
      </c>
      <c r="AY40" s="82">
        <f>IF(AY$14=1,'Inputs (2)'!AY27,AX40)</f>
        <v>0</v>
      </c>
      <c r="AZ40" s="82">
        <f>IF(AZ$14=1,'Inputs (2)'!AZ27,AY40)</f>
        <v>0</v>
      </c>
      <c r="BA40" s="82">
        <f>IF(BA$14=1,'Inputs (2)'!BA27,AZ40)</f>
        <v>0</v>
      </c>
      <c r="BB40" s="77">
        <f t="shared" si="13"/>
        <v>0</v>
      </c>
      <c r="BC40" s="82">
        <f>IF(BC$14=1,'Inputs (2)'!BC27,BA40)</f>
        <v>0</v>
      </c>
      <c r="BD40" s="82">
        <f>IF(BD$14=1,'Inputs (2)'!BD27,BC40)</f>
        <v>0</v>
      </c>
      <c r="BE40" s="82">
        <f>IF(BE$14=1,'Inputs (2)'!BE27,BD40)</f>
        <v>0</v>
      </c>
      <c r="BF40" s="82">
        <f>IF(BF$14=1,'Inputs (2)'!BF27,BE40)</f>
        <v>0</v>
      </c>
      <c r="BG40" s="77">
        <f t="shared" si="14"/>
        <v>0</v>
      </c>
    </row>
    <row r="41" spans="2:61" x14ac:dyDescent="0.25">
      <c r="C41" s="80" t="s">
        <v>88</v>
      </c>
      <c r="D41" s="81" t="s">
        <v>773</v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0</v>
      </c>
      <c r="I41" s="77">
        <f t="shared" si="4"/>
        <v>0</v>
      </c>
      <c r="J41" s="82">
        <f>IF(J$14=1,'Inputs (2)'!J28,H41)</f>
        <v>0</v>
      </c>
      <c r="K41" s="82">
        <f>IF(K$14=1,'Inputs (2)'!K28,J41)</f>
        <v>0</v>
      </c>
      <c r="L41" s="82">
        <f>IF(L$14=1,'Inputs (2)'!L28,K41)</f>
        <v>0</v>
      </c>
      <c r="M41" s="82">
        <f>IF(M$14=1,'Inputs (2)'!M28,L41)</f>
        <v>0</v>
      </c>
      <c r="N41" s="77">
        <f t="shared" si="5"/>
        <v>0</v>
      </c>
      <c r="O41" s="82">
        <f>IF(O$14=1,'Inputs (2)'!O28,M41)</f>
        <v>0</v>
      </c>
      <c r="P41" s="82">
        <f>IF(P$14=1,'Inputs (2)'!P28,O41)</f>
        <v>0</v>
      </c>
      <c r="Q41" s="82">
        <f>IF(Q$14=1,'Inputs (2)'!Q28,P41)</f>
        <v>0</v>
      </c>
      <c r="R41" s="82">
        <f>IF(R$14=1,'Inputs (2)'!R28,Q41)</f>
        <v>0</v>
      </c>
      <c r="S41" s="77">
        <f t="shared" si="6"/>
        <v>0</v>
      </c>
      <c r="T41" s="82">
        <f>IF(T$14=1,'Inputs (2)'!T28,R41)</f>
        <v>0</v>
      </c>
      <c r="U41" s="82">
        <f>IF(U$14=1,'Inputs (2)'!U28,T41)</f>
        <v>0</v>
      </c>
      <c r="V41" s="82">
        <f>IF(V$14=1,'Inputs (2)'!V28,U41)</f>
        <v>0</v>
      </c>
      <c r="W41" s="82">
        <f>IF(W$14=1,'Inputs (2)'!W28,V41)</f>
        <v>0</v>
      </c>
      <c r="X41" s="77">
        <f t="shared" si="7"/>
        <v>0</v>
      </c>
      <c r="Y41" s="82">
        <f>IF(Y$14=1,'Inputs (2)'!Y28,W41)</f>
        <v>0</v>
      </c>
      <c r="Z41" s="82">
        <f>IF(Z$14=1,'Inputs (2)'!Z28,Y41)</f>
        <v>0</v>
      </c>
      <c r="AA41" s="82">
        <f>IF(AA$14=1,'Inputs (2)'!AA28,Z41)</f>
        <v>0</v>
      </c>
      <c r="AB41" s="82">
        <f>IF(AB$14=1,'Inputs (2)'!AB28,AA41)</f>
        <v>0</v>
      </c>
      <c r="AC41" s="77">
        <f t="shared" si="8"/>
        <v>0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 t="shared" si="9"/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 t="shared" si="10"/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 t="shared" si="11"/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 t="shared" si="12"/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 t="shared" si="13"/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 t="shared" si="14"/>
        <v>0</v>
      </c>
    </row>
    <row r="42" spans="2:61" x14ac:dyDescent="0.25">
      <c r="C42" s="53" t="s">
        <v>568</v>
      </c>
      <c r="D42" s="54" t="s">
        <v>569</v>
      </c>
      <c r="E42" s="59">
        <f>E18+E19+E24+E29+E30+E34+E35+E36+E37+E40+E41</f>
        <v>0</v>
      </c>
      <c r="F42" s="59">
        <f>F18+F19+F24+F29+F30+F34+F35+F36+F37+F40+F41</f>
        <v>0</v>
      </c>
      <c r="G42" s="59">
        <f>G18+G19+G24+G29+G30+G34+G35+G36+G37+G40+G41</f>
        <v>0</v>
      </c>
      <c r="H42" s="59">
        <f>H18+H19+H24+H29+H30+H34+H35+H36+H37+H40+H41</f>
        <v>0</v>
      </c>
      <c r="I42" s="60">
        <f t="shared" si="4"/>
        <v>0</v>
      </c>
      <c r="J42" s="59">
        <f>J18+J19+J24+J29+J30+J34+J35+J36+J37+J40+J41</f>
        <v>0</v>
      </c>
      <c r="K42" s="59">
        <f>K18+K19+K24+K29+K30+K34+K35+K36+K37+K40+K41</f>
        <v>0</v>
      </c>
      <c r="L42" s="59">
        <f>L18+L19+L24+L29+L30+L34+L35+L36+L37+L40+L41</f>
        <v>0</v>
      </c>
      <c r="M42" s="59">
        <f>M18+M19+M24+M29+M30+M34+M35+M36+M37+M40+M41</f>
        <v>0</v>
      </c>
      <c r="N42" s="60">
        <f t="shared" si="5"/>
        <v>0</v>
      </c>
      <c r="O42" s="59">
        <f>O18+O19+O24+O29+O30+O34+O35+O36+O37+O40+O41</f>
        <v>0</v>
      </c>
      <c r="P42" s="59">
        <f>P18+P19+P24+P29+P30+P34+P35+P36+P37+P40+P41</f>
        <v>0</v>
      </c>
      <c r="Q42" s="59">
        <f>Q18+Q19+Q24+Q29+Q30+Q34+Q35+Q36+Q37+Q40+Q41</f>
        <v>0</v>
      </c>
      <c r="R42" s="59">
        <f>R18+R19+R24+R29+R30+R34+R35+R36+R37+R40+R41</f>
        <v>0</v>
      </c>
      <c r="S42" s="60">
        <f t="shared" si="6"/>
        <v>0</v>
      </c>
      <c r="T42" s="59">
        <f>T18+T19+T24+T29+T30+T34+T35+T36+T37+T40+T41</f>
        <v>0</v>
      </c>
      <c r="U42" s="59">
        <f>U18+U19+U24+U29+U30+U34+U35+U36+U37+U40+U41</f>
        <v>0</v>
      </c>
      <c r="V42" s="59">
        <f>V18+V19+V24+V29+V30+V34+V35+V36+V37+V40+V41</f>
        <v>0</v>
      </c>
      <c r="W42" s="59">
        <f>W18+W19+W24+W29+W30+W34+W35+W36+W37+W40+W41</f>
        <v>0</v>
      </c>
      <c r="X42" s="60">
        <f t="shared" si="7"/>
        <v>0</v>
      </c>
      <c r="Y42" s="59">
        <f>Y18+Y19+Y24+Y29+Y30+Y34+Y35+Y36+Y37+Y40+Y41</f>
        <v>0</v>
      </c>
      <c r="Z42" s="59">
        <f>Z18+Z19+Z24+Z29+Z30+Z34+Z35+Z36+Z37+Z40+Z41</f>
        <v>0</v>
      </c>
      <c r="AA42" s="59">
        <f>AA18+AA19+AA24+AA29+AA30+AA34+AA35+AA36+AA37+AA40+AA41</f>
        <v>0</v>
      </c>
      <c r="AB42" s="59">
        <f>AB18+AB19+AB24+AB29+AB30+AB34+AB35+AB36+AB37+AB40+AB41</f>
        <v>0</v>
      </c>
      <c r="AC42" s="60">
        <f t="shared" si="8"/>
        <v>0</v>
      </c>
      <c r="AD42" s="59">
        <f>AD18+AD19+AD24+AD29+AD30+AD34+AD35+AD36+AD37+AD40+AD41</f>
        <v>0</v>
      </c>
      <c r="AE42" s="59">
        <f>AE18+AE19+AE24+AE29+AE30+AE34+AE35+AE36+AE37+AE40+AE41</f>
        <v>0</v>
      </c>
      <c r="AF42" s="59">
        <f>AF18+AF19+AF24+AF29+AF30+AF34+AF35+AF36+AF37+AF40+AF41</f>
        <v>0</v>
      </c>
      <c r="AG42" s="59">
        <f>AG18+AG19+AG24+AG29+AG30+AG34+AG35+AG36+AG37+AG40+AG41</f>
        <v>0</v>
      </c>
      <c r="AH42" s="60">
        <f t="shared" si="9"/>
        <v>0</v>
      </c>
      <c r="AI42" s="59">
        <f>AI18+AI19+AI24+AI29+AI30+AI34+AI35+AI36+AI37+AI40+AI41</f>
        <v>0</v>
      </c>
      <c r="AJ42" s="59">
        <f>AJ18+AJ19+AJ24+AJ29+AJ30+AJ34+AJ35+AJ36+AJ37+AJ40+AJ41</f>
        <v>0</v>
      </c>
      <c r="AK42" s="59">
        <f>AK18+AK19+AK24+AK29+AK30+AK34+AK35+AK36+AK37+AK40+AK41</f>
        <v>0</v>
      </c>
      <c r="AL42" s="59">
        <f>AL18+AL19+AL24+AL29+AL30+AL34+AL35+AL36+AL37+AL40+AL41</f>
        <v>0</v>
      </c>
      <c r="AM42" s="60">
        <f t="shared" si="10"/>
        <v>0</v>
      </c>
      <c r="AN42" s="59">
        <f>AN18+AN19+AN24+AN29+AN30+AN34+AN35+AN36+AN37+AN40+AN41</f>
        <v>0</v>
      </c>
      <c r="AO42" s="59">
        <f>AO18+AO19+AO24+AO29+AO30+AO34+AO35+AO36+AO37+AO40+AO41</f>
        <v>0</v>
      </c>
      <c r="AP42" s="59">
        <f>AP18+AP19+AP24+AP29+AP30+AP34+AP35+AP36+AP37+AP40+AP41</f>
        <v>0</v>
      </c>
      <c r="AQ42" s="59">
        <f>AQ18+AQ19+AQ24+AQ29+AQ30+AQ34+AQ35+AQ36+AQ37+AQ40+AQ41</f>
        <v>0</v>
      </c>
      <c r="AR42" s="60">
        <f t="shared" si="11"/>
        <v>0</v>
      </c>
      <c r="AS42" s="59">
        <f>AS18+AS19+AS24+AS29+AS30+AS34+AS35+AS36+AS37+AS40+AS41</f>
        <v>0</v>
      </c>
      <c r="AT42" s="59">
        <f>AT18+AT19+AT24+AT29+AT30+AT34+AT35+AT36+AT37+AT40+AT41</f>
        <v>0</v>
      </c>
      <c r="AU42" s="59">
        <f>AU18+AU19+AU24+AU29+AU30+AU34+AU35+AU36+AU37+AU40+AU41</f>
        <v>0</v>
      </c>
      <c r="AV42" s="59">
        <f>AV18+AV19+AV24+AV29+AV30+AV34+AV35+AV36+AV37+AV40+AV41</f>
        <v>0</v>
      </c>
      <c r="AW42" s="60">
        <f t="shared" si="12"/>
        <v>0</v>
      </c>
      <c r="AX42" s="59">
        <f>AX18+AX19+AX24+AX29+AX30+AX34+AX35+AX36+AX37+AX40+AX41</f>
        <v>0</v>
      </c>
      <c r="AY42" s="59">
        <f>AY18+AY19+AY24+AY29+AY30+AY34+AY35+AY36+AY37+AY40+AY41</f>
        <v>0</v>
      </c>
      <c r="AZ42" s="59">
        <f>AZ18+AZ19+AZ24+AZ29+AZ30+AZ34+AZ35+AZ36+AZ37+AZ40+AZ41</f>
        <v>0</v>
      </c>
      <c r="BA42" s="59">
        <f>BA18+BA19+BA24+BA29+BA30+BA34+BA35+BA36+BA37+BA40+BA41</f>
        <v>0</v>
      </c>
      <c r="BB42" s="60">
        <f t="shared" si="13"/>
        <v>0</v>
      </c>
      <c r="BC42" s="59">
        <f>BC18+BC19+BC24+BC29+BC30+BC34+BC35+BC36+BC37+BC40+BC41</f>
        <v>0</v>
      </c>
      <c r="BD42" s="59">
        <f>BD18+BD19+BD24+BD29+BD30+BD34+BD35+BD36+BD37+BD40+BD41</f>
        <v>0</v>
      </c>
      <c r="BE42" s="59">
        <f>BE18+BE19+BE24+BE29+BE30+BE34+BE35+BE36+BE37+BE40+BE41</f>
        <v>0</v>
      </c>
      <c r="BF42" s="59">
        <f>BF18+BF19+BF24+BF29+BF30+BF34+BF35+BF36+BF37+BF40+BF41</f>
        <v>0</v>
      </c>
      <c r="BG42" s="60">
        <f t="shared" si="14"/>
        <v>0</v>
      </c>
    </row>
    <row r="43" spans="2:61" x14ac:dyDescent="0.25">
      <c r="B43" s="29"/>
      <c r="C43" s="29" t="s">
        <v>774</v>
      </c>
      <c r="D43" s="29" t="s">
        <v>775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</row>
    <row r="44" spans="2:61" x14ac:dyDescent="0.25">
      <c r="C44" s="83" t="s">
        <v>571</v>
      </c>
      <c r="D44" s="84" t="s">
        <v>572</v>
      </c>
      <c r="E44" s="85">
        <f>E45+E46+E47+E48+E49</f>
        <v>0</v>
      </c>
      <c r="F44" s="85">
        <f>F45+F46+F47+F48+F49</f>
        <v>0</v>
      </c>
      <c r="G44" s="85">
        <f>G45+G46+G47+G48+G49</f>
        <v>0</v>
      </c>
      <c r="H44" s="85">
        <f>H45+H46+H47+H48+H49</f>
        <v>0</v>
      </c>
      <c r="I44" s="60">
        <f t="shared" ref="I44:I69" si="15">H44</f>
        <v>0</v>
      </c>
      <c r="J44" s="85">
        <f>J45+J46+J47+J48+J49</f>
        <v>0</v>
      </c>
      <c r="K44" s="85">
        <f>K45+K46+K47+K48+K49</f>
        <v>0</v>
      </c>
      <c r="L44" s="85">
        <f>L45+L46+L47+L48+L49</f>
        <v>0</v>
      </c>
      <c r="M44" s="85">
        <f>M45+M46+M47+M48+M49</f>
        <v>0</v>
      </c>
      <c r="N44" s="60">
        <f t="shared" ref="N44:N69" si="16">M44</f>
        <v>0</v>
      </c>
      <c r="O44" s="85">
        <f>O45+O46+O47+O48+O49</f>
        <v>0</v>
      </c>
      <c r="P44" s="85">
        <f>P45+P46+P47+P48+P49</f>
        <v>0</v>
      </c>
      <c r="Q44" s="85">
        <f>Q45+Q46+Q47+Q48+Q49</f>
        <v>0</v>
      </c>
      <c r="R44" s="85">
        <f>R45+R46+R47+R48+R49</f>
        <v>0</v>
      </c>
      <c r="S44" s="60">
        <f t="shared" ref="S44:S69" si="17">R44</f>
        <v>0</v>
      </c>
      <c r="T44" s="85">
        <f>T45+T46+T47+T48+T49</f>
        <v>0</v>
      </c>
      <c r="U44" s="85">
        <f>U45+U46+U47+U48+U49</f>
        <v>0</v>
      </c>
      <c r="V44" s="85">
        <f>V45+V46+V47+V48+V49</f>
        <v>0</v>
      </c>
      <c r="W44" s="85">
        <f>W45+W46+W47+W48+W49</f>
        <v>0</v>
      </c>
      <c r="X44" s="60">
        <f t="shared" ref="X44:X69" si="18">W44</f>
        <v>0</v>
      </c>
      <c r="Y44" s="85">
        <f>Y45+Y46+Y47+Y48+Y49</f>
        <v>0</v>
      </c>
      <c r="Z44" s="85">
        <f>Z45+Z46+Z47+Z48+Z49</f>
        <v>0</v>
      </c>
      <c r="AA44" s="85">
        <f>AA45+AA46+AA47+AA48+AA49</f>
        <v>0</v>
      </c>
      <c r="AB44" s="85">
        <f>AB45+AB46+AB47+AB48+AB49</f>
        <v>0</v>
      </c>
      <c r="AC44" s="60">
        <f t="shared" ref="AC44:AC69" si="19">AB44</f>
        <v>0</v>
      </c>
      <c r="AD44" s="85">
        <f>AD45+AD46+AD47+AD48+AD49</f>
        <v>0</v>
      </c>
      <c r="AE44" s="85">
        <f>AE45+AE46+AE47+AE48+AE49</f>
        <v>0</v>
      </c>
      <c r="AF44" s="85">
        <f>AF45+AF46+AF47+AF48+AF49</f>
        <v>0</v>
      </c>
      <c r="AG44" s="85">
        <f>AG45+AG46+AG47+AG48+AG49</f>
        <v>0</v>
      </c>
      <c r="AH44" s="60">
        <f t="shared" ref="AH44:AH69" si="20">AG44</f>
        <v>0</v>
      </c>
      <c r="AI44" s="85">
        <f>AI45+AI46+AI47+AI48+AI49</f>
        <v>0</v>
      </c>
      <c r="AJ44" s="85">
        <f>AJ45+AJ46+AJ47+AJ48+AJ49</f>
        <v>0</v>
      </c>
      <c r="AK44" s="85">
        <f>AK45+AK46+AK47+AK48+AK49</f>
        <v>0</v>
      </c>
      <c r="AL44" s="85">
        <f>AL45+AL46+AL47+AL48+AL49</f>
        <v>0</v>
      </c>
      <c r="AM44" s="60">
        <f t="shared" ref="AM44:AM69" si="21">AL44</f>
        <v>0</v>
      </c>
      <c r="AN44" s="85">
        <f>AN45+AN46+AN47+AN48+AN49</f>
        <v>0</v>
      </c>
      <c r="AO44" s="85">
        <f>AO45+AO46+AO47+AO48+AO49</f>
        <v>0</v>
      </c>
      <c r="AP44" s="85">
        <f>AP45+AP46+AP47+AP48+AP49</f>
        <v>0</v>
      </c>
      <c r="AQ44" s="85">
        <f>AQ45+AQ46+AQ47+AQ48+AQ49</f>
        <v>0</v>
      </c>
      <c r="AR44" s="60">
        <f t="shared" ref="AR44:AR69" si="22">AQ44</f>
        <v>0</v>
      </c>
      <c r="AS44" s="85">
        <f>AS45+AS46+AS47+AS48+AS49</f>
        <v>0</v>
      </c>
      <c r="AT44" s="85">
        <f>AT45+AT46+AT47+AT48+AT49</f>
        <v>0</v>
      </c>
      <c r="AU44" s="85">
        <f>AU45+AU46+AU47+AU48+AU49</f>
        <v>0</v>
      </c>
      <c r="AV44" s="85">
        <f>AV45+AV46+AV47+AV48+AV49</f>
        <v>0</v>
      </c>
      <c r="AW44" s="60">
        <f t="shared" ref="AW44:AW69" si="23">AV44</f>
        <v>0</v>
      </c>
      <c r="AX44" s="85">
        <f>AX45+AX46+AX47+AX48+AX49</f>
        <v>0</v>
      </c>
      <c r="AY44" s="85">
        <f>AY45+AY46+AY47+AY48+AY49</f>
        <v>0</v>
      </c>
      <c r="AZ44" s="85">
        <f>AZ45+AZ46+AZ47+AZ48+AZ49</f>
        <v>0</v>
      </c>
      <c r="BA44" s="85">
        <f>BA45+BA46+BA47+BA48+BA49</f>
        <v>0</v>
      </c>
      <c r="BB44" s="60">
        <f t="shared" ref="BB44:BB69" si="24">BA44</f>
        <v>0</v>
      </c>
      <c r="BC44" s="85">
        <f>BC45+BC46+BC47+BC48+BC49</f>
        <v>0</v>
      </c>
      <c r="BD44" s="85">
        <f>BD45+BD46+BD47+BD48+BD49</f>
        <v>0</v>
      </c>
      <c r="BE44" s="85">
        <f>BE45+BE46+BE47+BE48+BE49</f>
        <v>0</v>
      </c>
      <c r="BF44" s="85">
        <f>BF45+BF46+BF47+BF48+BF49</f>
        <v>0</v>
      </c>
      <c r="BG44" s="60">
        <f t="shared" ref="BG44:BG69" si="25">BF44</f>
        <v>0</v>
      </c>
    </row>
    <row r="45" spans="2:61" hidden="1" outlineLevel="1" x14ac:dyDescent="0.25">
      <c r="C45" s="61" t="s">
        <v>91</v>
      </c>
      <c r="D45" s="62" t="s">
        <v>573</v>
      </c>
      <c r="E45" s="57">
        <f>'Inputs (2)'!E33</f>
        <v>0</v>
      </c>
      <c r="F45" s="57">
        <f>IF(F$14=1,'Inputs (2)'!F33,E45*(1+Inputs!F$277))</f>
        <v>0</v>
      </c>
      <c r="G45" s="57">
        <f>IF(G$14=1,'Inputs (2)'!G33,F45*(1+Inputs!G$277))</f>
        <v>0</v>
      </c>
      <c r="H45" s="57">
        <f>IF(H$14=1,'Inputs (2)'!H33,G45*(1+Inputs!H$277))</f>
        <v>0</v>
      </c>
      <c r="I45" s="77">
        <f t="shared" si="15"/>
        <v>0</v>
      </c>
      <c r="J45" s="57">
        <f>IF(J$14=1,'Inputs (2)'!J33,H45*(1+Inputs!J$277))</f>
        <v>0</v>
      </c>
      <c r="K45" s="57">
        <f>IF(K$14=1,'Inputs (2)'!K33,J45*(1+Inputs!K$277))</f>
        <v>0</v>
      </c>
      <c r="L45" s="57">
        <f>IF(L$14=1,'Inputs (2)'!L33,K45*(1+Inputs!L$277))</f>
        <v>0</v>
      </c>
      <c r="M45" s="57">
        <f>IF(M$14=1,'Inputs (2)'!M33,L45*(1+Inputs!M$277))</f>
        <v>0</v>
      </c>
      <c r="N45" s="77">
        <f t="shared" si="16"/>
        <v>0</v>
      </c>
      <c r="O45" s="57">
        <f>IF(O$14=1,'Inputs (2)'!O33,M45*(1+Inputs!O$277))</f>
        <v>0</v>
      </c>
      <c r="P45" s="57">
        <f>IF(P$14=1,'Inputs (2)'!P33,O45*(1+Inputs!P$277))</f>
        <v>0</v>
      </c>
      <c r="Q45" s="57">
        <f>IF(Q$14=1,'Inputs (2)'!Q33,P45*(1+Inputs!Q$277))</f>
        <v>0</v>
      </c>
      <c r="R45" s="57">
        <f>IF(R$14=1,'Inputs (2)'!R33,Q45*(1+Inputs!R$277))</f>
        <v>0</v>
      </c>
      <c r="S45" s="77">
        <f t="shared" si="17"/>
        <v>0</v>
      </c>
      <c r="T45" s="57">
        <f>IF(T$14=1,'Inputs (2)'!T33,R45*(1+Inputs!T$277))</f>
        <v>0</v>
      </c>
      <c r="U45" s="57">
        <f>IF(U$14=1,'Inputs (2)'!U33,T45*(1+Inputs!U$277))</f>
        <v>0</v>
      </c>
      <c r="V45" s="57">
        <f>IF(V$14=1,'Inputs (2)'!V33,U45*(1+Inputs!V$277))</f>
        <v>0</v>
      </c>
      <c r="W45" s="57">
        <f>IF(W$14=1,'Inputs (2)'!W33,V45*(1+Inputs!W$277))</f>
        <v>0</v>
      </c>
      <c r="X45" s="77">
        <f t="shared" si="18"/>
        <v>0</v>
      </c>
      <c r="Y45" s="57">
        <f>IF(Y$14=1,'Inputs (2)'!Y33,W45*(1+Inputs!Y$277))</f>
        <v>0</v>
      </c>
      <c r="Z45" s="57">
        <f>IF(Z$14=1,'Inputs (2)'!Z33,Y45*(1+Inputs!Z$277))</f>
        <v>0</v>
      </c>
      <c r="AA45" s="57">
        <f>IF(AA$14=1,'Inputs (2)'!AA33,Z45*(1+Inputs!AA$277))</f>
        <v>0</v>
      </c>
      <c r="AB45" s="57">
        <f>IF(AB$14=1,'Inputs (2)'!AB33,AA45*(1+Inputs!AB$277))</f>
        <v>0</v>
      </c>
      <c r="AC45" s="77">
        <f t="shared" si="19"/>
        <v>0</v>
      </c>
      <c r="AD45" s="57">
        <f>IF(AD$14=1,'Inputs (2)'!AD33,AB45*(1+Inputs!AD$277))</f>
        <v>0</v>
      </c>
      <c r="AE45" s="57">
        <f>IF(AE$14=1,'Inputs (2)'!AE33,AD45*(1+Inputs!AE$277))</f>
        <v>0</v>
      </c>
      <c r="AF45" s="57">
        <f>IF(AF$14=1,'Inputs (2)'!AF33,AE45*(1+Inputs!AF$277))</f>
        <v>0</v>
      </c>
      <c r="AG45" s="57">
        <f>IF(AG$14=1,'Inputs (2)'!AG33,AF45*(1+Inputs!AG$277))</f>
        <v>0</v>
      </c>
      <c r="AH45" s="77">
        <f t="shared" si="20"/>
        <v>0</v>
      </c>
      <c r="AI45" s="57">
        <f>IF(AI$14=1,'Inputs (2)'!AI33,AG45*(1+Inputs!AI$277))</f>
        <v>0</v>
      </c>
      <c r="AJ45" s="57">
        <f>IF(AJ$14=1,'Inputs (2)'!AJ33,AI45*(1+Inputs!AJ$277))</f>
        <v>0</v>
      </c>
      <c r="AK45" s="57">
        <f>IF(AK$14=1,'Inputs (2)'!AK33,AJ45*(1+Inputs!AK$277))</f>
        <v>0</v>
      </c>
      <c r="AL45" s="57">
        <f>IF(AL$14=1,'Inputs (2)'!AL33,AK45*(1+Inputs!AL$277))</f>
        <v>0</v>
      </c>
      <c r="AM45" s="77">
        <f t="shared" si="21"/>
        <v>0</v>
      </c>
      <c r="AN45" s="57">
        <f>IF(AN$14=1,'Inputs (2)'!AN33,AL45*(1+Inputs!AN$277))</f>
        <v>0</v>
      </c>
      <c r="AO45" s="57">
        <f>IF(AO$14=1,'Inputs (2)'!AO33,AN45*(1+Inputs!AO$277))</f>
        <v>0</v>
      </c>
      <c r="AP45" s="57">
        <f>IF(AP$14=1,'Inputs (2)'!AP33,AO45*(1+Inputs!AP$277))</f>
        <v>0</v>
      </c>
      <c r="AQ45" s="57">
        <f>IF(AQ$14=1,'Inputs (2)'!AQ33,AP45*(1+Inputs!AQ$277))</f>
        <v>0</v>
      </c>
      <c r="AR45" s="77">
        <f t="shared" si="22"/>
        <v>0</v>
      </c>
      <c r="AS45" s="57">
        <f>IF(AS$14=1,'Inputs (2)'!AS33,AQ45*(1+Inputs!AS$277))</f>
        <v>0</v>
      </c>
      <c r="AT45" s="57">
        <f>IF(AT$14=1,'Inputs (2)'!AT33,AS45*(1+Inputs!AT$277))</f>
        <v>0</v>
      </c>
      <c r="AU45" s="57">
        <f>IF(AU$14=1,'Inputs (2)'!AU33,AT45*(1+Inputs!AU$277))</f>
        <v>0</v>
      </c>
      <c r="AV45" s="57">
        <f>IF(AV$14=1,'Inputs (2)'!AV33,AU45*(1+Inputs!AV$277))</f>
        <v>0</v>
      </c>
      <c r="AW45" s="77">
        <f t="shared" si="23"/>
        <v>0</v>
      </c>
      <c r="AX45" s="57">
        <f>IF(AX$14=1,'Inputs (2)'!AX33,AV45*(1+Inputs!AX$277))</f>
        <v>0</v>
      </c>
      <c r="AY45" s="57">
        <f>IF(AY$14=1,'Inputs (2)'!AY33,AX45*(1+Inputs!AY$277))</f>
        <v>0</v>
      </c>
      <c r="AZ45" s="57">
        <f>IF(AZ$14=1,'Inputs (2)'!AZ33,AY45*(1+Inputs!AZ$277))</f>
        <v>0</v>
      </c>
      <c r="BA45" s="57">
        <f>IF(BA$14=1,'Inputs (2)'!BA33,AZ45*(1+Inputs!BA$277))</f>
        <v>0</v>
      </c>
      <c r="BB45" s="77">
        <f t="shared" si="24"/>
        <v>0</v>
      </c>
      <c r="BC45" s="57">
        <f>IF(BC$14=1,'Inputs (2)'!BC33,BA45*(1+Inputs!BC$277))</f>
        <v>0</v>
      </c>
      <c r="BD45" s="57">
        <f>IF(BD$14=1,'Inputs (2)'!BD33,BC45*(1+Inputs!BD$277))</f>
        <v>0</v>
      </c>
      <c r="BE45" s="57">
        <f>IF(BE$14=1,'Inputs (2)'!BE33,BD45*(1+Inputs!BE$277))</f>
        <v>0</v>
      </c>
      <c r="BF45" s="57">
        <f>IF(BF$14=1,'Inputs (2)'!BF33,BE45*(1+Inputs!BF$277))</f>
        <v>0</v>
      </c>
      <c r="BG45" s="77">
        <f t="shared" si="25"/>
        <v>0</v>
      </c>
    </row>
    <row r="46" spans="2:61" hidden="1" outlineLevel="1" x14ac:dyDescent="0.25">
      <c r="C46" s="61" t="s">
        <v>93</v>
      </c>
      <c r="D46" s="62" t="s">
        <v>574</v>
      </c>
      <c r="E46" s="57">
        <f>'Inputs (2)'!E34</f>
        <v>0</v>
      </c>
      <c r="F46" s="57">
        <f>IF(F$14=1,'Inputs (2)'!F34,E46*(1+Inputs!F$277))</f>
        <v>0</v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 t="shared" si="15"/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 t="shared" si="16"/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 t="shared" si="17"/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 t="shared" si="18"/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 t="shared" si="19"/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 t="shared" si="20"/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 t="shared" si="21"/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 t="shared" si="22"/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 t="shared" si="23"/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 t="shared" si="24"/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 t="shared" si="25"/>
        <v>0</v>
      </c>
    </row>
    <row r="47" spans="2:61" hidden="1" outlineLevel="1" x14ac:dyDescent="0.25">
      <c r="C47" s="61" t="s">
        <v>95</v>
      </c>
      <c r="D47" s="62" t="s">
        <v>549</v>
      </c>
      <c r="E47" s="57">
        <f>'Inputs (2)'!E35</f>
        <v>0</v>
      </c>
      <c r="F47" s="57">
        <f>IF(F$14=1,'Inputs (2)'!F35,E47*(1+Inputs!F$277))</f>
        <v>0</v>
      </c>
      <c r="G47" s="57">
        <f>IF(G$14=1,'Inputs (2)'!G35,F47*(1+Inputs!G$277))</f>
        <v>0</v>
      </c>
      <c r="H47" s="57">
        <f>IF(H$14=1,'Inputs (2)'!H35,G47*(1+Inputs!H$277))</f>
        <v>0</v>
      </c>
      <c r="I47" s="77">
        <f t="shared" si="15"/>
        <v>0</v>
      </c>
      <c r="J47" s="57">
        <f>IF(J$14=1,'Inputs (2)'!J35,H47*(1+Inputs!J$277))</f>
        <v>0</v>
      </c>
      <c r="K47" s="57">
        <f>IF(K$14=1,'Inputs (2)'!K35,J47*(1+Inputs!K$277))</f>
        <v>0</v>
      </c>
      <c r="L47" s="57">
        <f>IF(L$14=1,'Inputs (2)'!L35,K47*(1+Inputs!L$277))</f>
        <v>0</v>
      </c>
      <c r="M47" s="57">
        <f>IF(M$14=1,'Inputs (2)'!M35,L47*(1+Inputs!M$277))</f>
        <v>0</v>
      </c>
      <c r="N47" s="77">
        <f t="shared" si="16"/>
        <v>0</v>
      </c>
      <c r="O47" s="57">
        <f>IF(O$14=1,'Inputs (2)'!O35,M47*(1+Inputs!O$277))</f>
        <v>0</v>
      </c>
      <c r="P47" s="57">
        <f>IF(P$14=1,'Inputs (2)'!P35,O47*(1+Inputs!P$277))</f>
        <v>0</v>
      </c>
      <c r="Q47" s="57">
        <f>IF(Q$14=1,'Inputs (2)'!Q35,P47*(1+Inputs!Q$277))</f>
        <v>0</v>
      </c>
      <c r="R47" s="57">
        <f>IF(R$14=1,'Inputs (2)'!R35,Q47*(1+Inputs!R$277))</f>
        <v>0</v>
      </c>
      <c r="S47" s="77">
        <f t="shared" si="17"/>
        <v>0</v>
      </c>
      <c r="T47" s="57">
        <f>IF(T$14=1,'Inputs (2)'!T35,R47*(1+Inputs!T$277))</f>
        <v>0</v>
      </c>
      <c r="U47" s="57">
        <f>IF(U$14=1,'Inputs (2)'!U35,T47*(1+Inputs!U$277))</f>
        <v>0</v>
      </c>
      <c r="V47" s="57">
        <f>IF(V$14=1,'Inputs (2)'!V35,U47*(1+Inputs!V$277))</f>
        <v>0</v>
      </c>
      <c r="W47" s="57">
        <f>IF(W$14=1,'Inputs (2)'!W35,V47*(1+Inputs!W$277))</f>
        <v>0</v>
      </c>
      <c r="X47" s="77">
        <f t="shared" si="18"/>
        <v>0</v>
      </c>
      <c r="Y47" s="57">
        <f>IF(Y$14=1,'Inputs (2)'!Y35,W47*(1+Inputs!Y$277))</f>
        <v>0</v>
      </c>
      <c r="Z47" s="57">
        <f>IF(Z$14=1,'Inputs (2)'!Z35,Y47*(1+Inputs!Z$277))</f>
        <v>0</v>
      </c>
      <c r="AA47" s="57">
        <f>IF(AA$14=1,'Inputs (2)'!AA35,Z47*(1+Inputs!AA$277))</f>
        <v>0</v>
      </c>
      <c r="AB47" s="57">
        <f>IF(AB$14=1,'Inputs (2)'!AB35,AA47*(1+Inputs!AB$277))</f>
        <v>0</v>
      </c>
      <c r="AC47" s="77">
        <f t="shared" si="19"/>
        <v>0</v>
      </c>
      <c r="AD47" s="57">
        <f>IF(AD$14=1,'Inputs (2)'!AD35,AB47*(1+Inputs!AD$277))</f>
        <v>0</v>
      </c>
      <c r="AE47" s="57">
        <f>IF(AE$14=1,'Inputs (2)'!AE35,AD47*(1+Inputs!AE$277))</f>
        <v>0</v>
      </c>
      <c r="AF47" s="57">
        <f>IF(AF$14=1,'Inputs (2)'!AF35,AE47*(1+Inputs!AF$277))</f>
        <v>0</v>
      </c>
      <c r="AG47" s="57">
        <f>IF(AG$14=1,'Inputs (2)'!AG35,AF47*(1+Inputs!AG$277))</f>
        <v>0</v>
      </c>
      <c r="AH47" s="77">
        <f t="shared" si="20"/>
        <v>0</v>
      </c>
      <c r="AI47" s="57">
        <f>IF(AI$14=1,'Inputs (2)'!AI35,AG47*(1+Inputs!AI$277))</f>
        <v>0</v>
      </c>
      <c r="AJ47" s="57">
        <f>IF(AJ$14=1,'Inputs (2)'!AJ35,AI47*(1+Inputs!AJ$277))</f>
        <v>0</v>
      </c>
      <c r="AK47" s="57">
        <f>IF(AK$14=1,'Inputs (2)'!AK35,AJ47*(1+Inputs!AK$277))</f>
        <v>0</v>
      </c>
      <c r="AL47" s="57">
        <f>IF(AL$14=1,'Inputs (2)'!AL35,AK47*(1+Inputs!AL$277))</f>
        <v>0</v>
      </c>
      <c r="AM47" s="77">
        <f t="shared" si="21"/>
        <v>0</v>
      </c>
      <c r="AN47" s="57">
        <f>IF(AN$14=1,'Inputs (2)'!AN35,AL47*(1+Inputs!AN$277))</f>
        <v>0</v>
      </c>
      <c r="AO47" s="57">
        <f>IF(AO$14=1,'Inputs (2)'!AO35,AN47*(1+Inputs!AO$277))</f>
        <v>0</v>
      </c>
      <c r="AP47" s="57">
        <f>IF(AP$14=1,'Inputs (2)'!AP35,AO47*(1+Inputs!AP$277))</f>
        <v>0</v>
      </c>
      <c r="AQ47" s="57">
        <f>IF(AQ$14=1,'Inputs (2)'!AQ35,AP47*(1+Inputs!AQ$277))</f>
        <v>0</v>
      </c>
      <c r="AR47" s="77">
        <f t="shared" si="22"/>
        <v>0</v>
      </c>
      <c r="AS47" s="57">
        <f>IF(AS$14=1,'Inputs (2)'!AS35,AQ47*(1+Inputs!AS$277))</f>
        <v>0</v>
      </c>
      <c r="AT47" s="57">
        <f>IF(AT$14=1,'Inputs (2)'!AT35,AS47*(1+Inputs!AT$277))</f>
        <v>0</v>
      </c>
      <c r="AU47" s="57">
        <f>IF(AU$14=1,'Inputs (2)'!AU35,AT47*(1+Inputs!AU$277))</f>
        <v>0</v>
      </c>
      <c r="AV47" s="57">
        <f>IF(AV$14=1,'Inputs (2)'!AV35,AU47*(1+Inputs!AV$277))</f>
        <v>0</v>
      </c>
      <c r="AW47" s="77">
        <f t="shared" si="23"/>
        <v>0</v>
      </c>
      <c r="AX47" s="57">
        <f>IF(AX$14=1,'Inputs (2)'!AX35,AV47*(1+Inputs!AX$277))</f>
        <v>0</v>
      </c>
      <c r="AY47" s="57">
        <f>IF(AY$14=1,'Inputs (2)'!AY35,AX47*(1+Inputs!AY$277))</f>
        <v>0</v>
      </c>
      <c r="AZ47" s="57">
        <f>IF(AZ$14=1,'Inputs (2)'!AZ35,AY47*(1+Inputs!AZ$277))</f>
        <v>0</v>
      </c>
      <c r="BA47" s="57">
        <f>IF(BA$14=1,'Inputs (2)'!BA35,AZ47*(1+Inputs!BA$277))</f>
        <v>0</v>
      </c>
      <c r="BB47" s="77">
        <f t="shared" si="24"/>
        <v>0</v>
      </c>
      <c r="BC47" s="57">
        <f>IF(BC$14=1,'Inputs (2)'!BC35,BA47*(1+Inputs!BC$277))</f>
        <v>0</v>
      </c>
      <c r="BD47" s="57">
        <f>IF(BD$14=1,'Inputs (2)'!BD35,BC47*(1+Inputs!BD$277))</f>
        <v>0</v>
      </c>
      <c r="BE47" s="57">
        <f>IF(BE$14=1,'Inputs (2)'!BE35,BD47*(1+Inputs!BE$277))</f>
        <v>0</v>
      </c>
      <c r="BF47" s="57">
        <f>IF(BF$14=1,'Inputs (2)'!BF35,BE47*(1+Inputs!BF$277))</f>
        <v>0</v>
      </c>
      <c r="BG47" s="77">
        <f t="shared" si="25"/>
        <v>0</v>
      </c>
    </row>
    <row r="48" spans="2:61" hidden="1" outlineLevel="1" x14ac:dyDescent="0.25">
      <c r="C48" s="61" t="s">
        <v>97</v>
      </c>
      <c r="D48" s="62" t="s">
        <v>575</v>
      </c>
      <c r="E48" s="57">
        <f>'Inputs (2)'!E36</f>
        <v>0</v>
      </c>
      <c r="F48" s="57">
        <f>IF(F$14=1,'Inputs (2)'!F36,E48*(1+Inputs!F$277))</f>
        <v>0</v>
      </c>
      <c r="G48" s="57">
        <f>IF(G$14=1,'Inputs (2)'!G36,F48*(1+Inputs!G$277))</f>
        <v>0</v>
      </c>
      <c r="H48" s="57">
        <f>IF(H$14=1,'Inputs (2)'!H36,G48*(1+Inputs!H$277))</f>
        <v>0</v>
      </c>
      <c r="I48" s="77">
        <f t="shared" si="15"/>
        <v>0</v>
      </c>
      <c r="J48" s="57">
        <f>IF(J$14=1,'Inputs (2)'!J36,H48*(1+Inputs!J$277))</f>
        <v>0</v>
      </c>
      <c r="K48" s="57">
        <f>IF(K$14=1,'Inputs (2)'!K36,J48*(1+Inputs!K$277))</f>
        <v>0</v>
      </c>
      <c r="L48" s="57">
        <f>IF(L$14=1,'Inputs (2)'!L36,K48*(1+Inputs!L$277))</f>
        <v>0</v>
      </c>
      <c r="M48" s="57">
        <f>IF(M$14=1,'Inputs (2)'!M36,L48*(1+Inputs!M$277))</f>
        <v>0</v>
      </c>
      <c r="N48" s="77">
        <f t="shared" si="16"/>
        <v>0</v>
      </c>
      <c r="O48" s="57">
        <f>IF(O$14=1,'Inputs (2)'!O36,M48*(1+Inputs!O$277))</f>
        <v>0</v>
      </c>
      <c r="P48" s="57">
        <f>IF(P$14=1,'Inputs (2)'!P36,O48*(1+Inputs!P$277))</f>
        <v>0</v>
      </c>
      <c r="Q48" s="57">
        <f>IF(Q$14=1,'Inputs (2)'!Q36,P48*(1+Inputs!Q$277))</f>
        <v>0</v>
      </c>
      <c r="R48" s="57">
        <f>IF(R$14=1,'Inputs (2)'!R36,Q48*(1+Inputs!R$277))</f>
        <v>0</v>
      </c>
      <c r="S48" s="77">
        <f t="shared" si="17"/>
        <v>0</v>
      </c>
      <c r="T48" s="57">
        <f>IF(T$14=1,'Inputs (2)'!T36,R48*(1+Inputs!T$277))</f>
        <v>0</v>
      </c>
      <c r="U48" s="57">
        <f>IF(U$14=1,'Inputs (2)'!U36,T48*(1+Inputs!U$277))</f>
        <v>0</v>
      </c>
      <c r="V48" s="57">
        <f>IF(V$14=1,'Inputs (2)'!V36,U48*(1+Inputs!V$277))</f>
        <v>0</v>
      </c>
      <c r="W48" s="57">
        <f>IF(W$14=1,'Inputs (2)'!W36,V48*(1+Inputs!W$277))</f>
        <v>0</v>
      </c>
      <c r="X48" s="77">
        <f t="shared" si="18"/>
        <v>0</v>
      </c>
      <c r="Y48" s="57">
        <f>IF(Y$14=1,'Inputs (2)'!Y36,W48*(1+Inputs!Y$277))</f>
        <v>0</v>
      </c>
      <c r="Z48" s="57">
        <f>IF(Z$14=1,'Inputs (2)'!Z36,Y48*(1+Inputs!Z$277))</f>
        <v>0</v>
      </c>
      <c r="AA48" s="57">
        <f>IF(AA$14=1,'Inputs (2)'!AA36,Z48*(1+Inputs!AA$277))</f>
        <v>0</v>
      </c>
      <c r="AB48" s="57">
        <f>IF(AB$14=1,'Inputs (2)'!AB36,AA48*(1+Inputs!AB$277))</f>
        <v>0</v>
      </c>
      <c r="AC48" s="77">
        <f t="shared" si="19"/>
        <v>0</v>
      </c>
      <c r="AD48" s="57">
        <f>IF(AD$14=1,'Inputs (2)'!AD36,AB48*(1+Inputs!AD$277))</f>
        <v>0</v>
      </c>
      <c r="AE48" s="57">
        <f>IF(AE$14=1,'Inputs (2)'!AE36,AD48*(1+Inputs!AE$277))</f>
        <v>0</v>
      </c>
      <c r="AF48" s="57">
        <f>IF(AF$14=1,'Inputs (2)'!AF36,AE48*(1+Inputs!AF$277))</f>
        <v>0</v>
      </c>
      <c r="AG48" s="57">
        <f>IF(AG$14=1,'Inputs (2)'!AG36,AF48*(1+Inputs!AG$277))</f>
        <v>0</v>
      </c>
      <c r="AH48" s="77">
        <f t="shared" si="20"/>
        <v>0</v>
      </c>
      <c r="AI48" s="57">
        <f>IF(AI$14=1,'Inputs (2)'!AI36,AG48*(1+Inputs!AI$277))</f>
        <v>0</v>
      </c>
      <c r="AJ48" s="57">
        <f>IF(AJ$14=1,'Inputs (2)'!AJ36,AI48*(1+Inputs!AJ$277))</f>
        <v>0</v>
      </c>
      <c r="AK48" s="57">
        <f>IF(AK$14=1,'Inputs (2)'!AK36,AJ48*(1+Inputs!AK$277))</f>
        <v>0</v>
      </c>
      <c r="AL48" s="57">
        <f>IF(AL$14=1,'Inputs (2)'!AL36,AK48*(1+Inputs!AL$277))</f>
        <v>0</v>
      </c>
      <c r="AM48" s="77">
        <f t="shared" si="21"/>
        <v>0</v>
      </c>
      <c r="AN48" s="57">
        <f>IF(AN$14=1,'Inputs (2)'!AN36,AL48*(1+Inputs!AN$277))</f>
        <v>0</v>
      </c>
      <c r="AO48" s="57">
        <f>IF(AO$14=1,'Inputs (2)'!AO36,AN48*(1+Inputs!AO$277))</f>
        <v>0</v>
      </c>
      <c r="AP48" s="57">
        <f>IF(AP$14=1,'Inputs (2)'!AP36,AO48*(1+Inputs!AP$277))</f>
        <v>0</v>
      </c>
      <c r="AQ48" s="57">
        <f>IF(AQ$14=1,'Inputs (2)'!AQ36,AP48*(1+Inputs!AQ$277))</f>
        <v>0</v>
      </c>
      <c r="AR48" s="77">
        <f t="shared" si="22"/>
        <v>0</v>
      </c>
      <c r="AS48" s="57">
        <f>IF(AS$14=1,'Inputs (2)'!AS36,AQ48*(1+Inputs!AS$277))</f>
        <v>0</v>
      </c>
      <c r="AT48" s="57">
        <f>IF(AT$14=1,'Inputs (2)'!AT36,AS48*(1+Inputs!AT$277))</f>
        <v>0</v>
      </c>
      <c r="AU48" s="57">
        <f>IF(AU$14=1,'Inputs (2)'!AU36,AT48*(1+Inputs!AU$277))</f>
        <v>0</v>
      </c>
      <c r="AV48" s="57">
        <f>IF(AV$14=1,'Inputs (2)'!AV36,AU48*(1+Inputs!AV$277))</f>
        <v>0</v>
      </c>
      <c r="AW48" s="77">
        <f t="shared" si="23"/>
        <v>0</v>
      </c>
      <c r="AX48" s="57">
        <f>IF(AX$14=1,'Inputs (2)'!AX36,AV48*(1+Inputs!AX$277))</f>
        <v>0</v>
      </c>
      <c r="AY48" s="57">
        <f>IF(AY$14=1,'Inputs (2)'!AY36,AX48*(1+Inputs!AY$277))</f>
        <v>0</v>
      </c>
      <c r="AZ48" s="57">
        <f>IF(AZ$14=1,'Inputs (2)'!AZ36,AY48*(1+Inputs!AZ$277))</f>
        <v>0</v>
      </c>
      <c r="BA48" s="57">
        <f>IF(BA$14=1,'Inputs (2)'!BA36,AZ48*(1+Inputs!BA$277))</f>
        <v>0</v>
      </c>
      <c r="BB48" s="77">
        <f t="shared" si="24"/>
        <v>0</v>
      </c>
      <c r="BC48" s="57">
        <f>IF(BC$14=1,'Inputs (2)'!BC36,BA48*(1+Inputs!BC$277))</f>
        <v>0</v>
      </c>
      <c r="BD48" s="57">
        <f>IF(BD$14=1,'Inputs (2)'!BD36,BC48*(1+Inputs!BD$277))</f>
        <v>0</v>
      </c>
      <c r="BE48" s="57">
        <f>IF(BE$14=1,'Inputs (2)'!BE36,BD48*(1+Inputs!BE$277))</f>
        <v>0</v>
      </c>
      <c r="BF48" s="57">
        <f>IF(BF$14=1,'Inputs (2)'!BF36,BE48*(1+Inputs!BF$277))</f>
        <v>0</v>
      </c>
      <c r="BG48" s="77">
        <f t="shared" si="25"/>
        <v>0</v>
      </c>
    </row>
    <row r="49" spans="3:61" hidden="1" outlineLevel="1" x14ac:dyDescent="0.25">
      <c r="C49" s="61" t="s">
        <v>99</v>
      </c>
      <c r="D49" s="62" t="s">
        <v>576</v>
      </c>
      <c r="E49" s="57">
        <f>'Inputs (2)'!E37</f>
        <v>0</v>
      </c>
      <c r="F49" s="57">
        <f>IF(F$14=1,'Inputs (2)'!F37,E49*(1+Inputs!F$277))</f>
        <v>0</v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 t="shared" si="15"/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 t="shared" si="16"/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 t="shared" si="17"/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 t="shared" si="18"/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 t="shared" si="19"/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 t="shared" si="20"/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 t="shared" si="21"/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 t="shared" si="22"/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 t="shared" si="23"/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 t="shared" si="24"/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 t="shared" si="25"/>
        <v>0</v>
      </c>
    </row>
    <row r="50" spans="3:61" collapsed="1" x14ac:dyDescent="0.25">
      <c r="C50" s="83" t="s">
        <v>577</v>
      </c>
      <c r="D50" s="84" t="s">
        <v>578</v>
      </c>
      <c r="E50" s="85">
        <f>E51+E52+E53</f>
        <v>0</v>
      </c>
      <c r="F50" s="85">
        <f>F51+F52+F53</f>
        <v>0</v>
      </c>
      <c r="G50" s="85">
        <f>G51+G52+G53</f>
        <v>0</v>
      </c>
      <c r="H50" s="85">
        <f>H51+H52+H53</f>
        <v>0</v>
      </c>
      <c r="I50" s="60">
        <f t="shared" si="15"/>
        <v>0</v>
      </c>
      <c r="J50" s="85">
        <f>J51+J52+J53</f>
        <v>0</v>
      </c>
      <c r="K50" s="85">
        <f>K51+K52+K53</f>
        <v>0</v>
      </c>
      <c r="L50" s="85">
        <f>L51+L52+L53</f>
        <v>0</v>
      </c>
      <c r="M50" s="85">
        <f>M51+M52+M53</f>
        <v>0</v>
      </c>
      <c r="N50" s="60">
        <f t="shared" si="16"/>
        <v>0</v>
      </c>
      <c r="O50" s="85">
        <f>O51+O52+O53</f>
        <v>0</v>
      </c>
      <c r="P50" s="85">
        <f>P51+P52+P53</f>
        <v>0</v>
      </c>
      <c r="Q50" s="85">
        <f>Q51+Q52+Q53</f>
        <v>0</v>
      </c>
      <c r="R50" s="85">
        <f>R51+R52+R53</f>
        <v>0</v>
      </c>
      <c r="S50" s="60">
        <f t="shared" si="17"/>
        <v>0</v>
      </c>
      <c r="T50" s="85">
        <f>T51+T52+T53</f>
        <v>0</v>
      </c>
      <c r="U50" s="85">
        <f>U51+U52+U53</f>
        <v>0</v>
      </c>
      <c r="V50" s="85">
        <f>V51+V52+V53</f>
        <v>0</v>
      </c>
      <c r="W50" s="85">
        <f>W51+W52+W53</f>
        <v>0</v>
      </c>
      <c r="X50" s="60">
        <f t="shared" si="18"/>
        <v>0</v>
      </c>
      <c r="Y50" s="85">
        <f>Y51+Y52+Y53</f>
        <v>0</v>
      </c>
      <c r="Z50" s="85">
        <f>Z51+Z52+Z53</f>
        <v>0</v>
      </c>
      <c r="AA50" s="85">
        <f>AA51+AA52+AA53</f>
        <v>0</v>
      </c>
      <c r="AB50" s="85">
        <f>AB51+AB52+AB53</f>
        <v>0</v>
      </c>
      <c r="AC50" s="60">
        <f t="shared" si="19"/>
        <v>0</v>
      </c>
      <c r="AD50" s="85">
        <f>AD51+AD52+AD53</f>
        <v>0</v>
      </c>
      <c r="AE50" s="85">
        <f>AE51+AE52+AE53</f>
        <v>0</v>
      </c>
      <c r="AF50" s="85">
        <f>AF51+AF52+AF53</f>
        <v>0</v>
      </c>
      <c r="AG50" s="85">
        <f>AG51+AG52+AG53</f>
        <v>0</v>
      </c>
      <c r="AH50" s="60">
        <f t="shared" si="20"/>
        <v>0</v>
      </c>
      <c r="AI50" s="85">
        <f>AI51+AI52+AI53</f>
        <v>0</v>
      </c>
      <c r="AJ50" s="85">
        <f>AJ51+AJ52+AJ53</f>
        <v>0</v>
      </c>
      <c r="AK50" s="85">
        <f>AK51+AK52+AK53</f>
        <v>0</v>
      </c>
      <c r="AL50" s="85">
        <f>AL51+AL52+AL53</f>
        <v>0</v>
      </c>
      <c r="AM50" s="60">
        <f t="shared" si="21"/>
        <v>0</v>
      </c>
      <c r="AN50" s="85">
        <f>AN51+AN52+AN53</f>
        <v>0</v>
      </c>
      <c r="AO50" s="85">
        <f>AO51+AO52+AO53</f>
        <v>0</v>
      </c>
      <c r="AP50" s="85">
        <f>AP51+AP52+AP53</f>
        <v>0</v>
      </c>
      <c r="AQ50" s="85">
        <f>AQ51+AQ52+AQ53</f>
        <v>0</v>
      </c>
      <c r="AR50" s="60">
        <f t="shared" si="22"/>
        <v>0</v>
      </c>
      <c r="AS50" s="85">
        <f>AS51+AS52+AS53</f>
        <v>0</v>
      </c>
      <c r="AT50" s="85">
        <f>AT51+AT52+AT53</f>
        <v>0</v>
      </c>
      <c r="AU50" s="85">
        <f>AU51+AU52+AU53</f>
        <v>0</v>
      </c>
      <c r="AV50" s="85">
        <f>AV51+AV52+AV53</f>
        <v>0</v>
      </c>
      <c r="AW50" s="60">
        <f t="shared" si="23"/>
        <v>0</v>
      </c>
      <c r="AX50" s="85">
        <f>AX51+AX52+AX53</f>
        <v>0</v>
      </c>
      <c r="AY50" s="85">
        <f>AY51+AY52+AY53</f>
        <v>0</v>
      </c>
      <c r="AZ50" s="85">
        <f>AZ51+AZ52+AZ53</f>
        <v>0</v>
      </c>
      <c r="BA50" s="85">
        <f>BA51+BA52+BA53</f>
        <v>0</v>
      </c>
      <c r="BB50" s="60">
        <f t="shared" si="24"/>
        <v>0</v>
      </c>
      <c r="BC50" s="85">
        <f>BC51+BC52+BC53</f>
        <v>0</v>
      </c>
      <c r="BD50" s="85">
        <f>BD51+BD52+BD53</f>
        <v>0</v>
      </c>
      <c r="BE50" s="85">
        <f>BE51+BE52+BE53</f>
        <v>0</v>
      </c>
      <c r="BF50" s="85">
        <f>BF51+BF52+BF53</f>
        <v>0</v>
      </c>
      <c r="BG50" s="60">
        <f t="shared" si="25"/>
        <v>0</v>
      </c>
    </row>
    <row r="51" spans="3:61" hidden="1" outlineLevel="1" x14ac:dyDescent="0.25">
      <c r="C51" s="61" t="s">
        <v>776</v>
      </c>
      <c r="D51" s="62" t="s">
        <v>777</v>
      </c>
      <c r="E51" s="57">
        <f>IF(E$14=1,'Inputs (2)'!E39,E42-E78-(E44+E52+E53+E54+E59+E62+E63+E64+E65+E66+E67+E68))</f>
        <v>0</v>
      </c>
      <c r="F51" s="57">
        <f>IF(F$14=1,'Inputs (2)'!F39,F42-F78-(F44+F52+F53+F54+F59+F62+F63+F64+F65+F66+F67+F68))</f>
        <v>0</v>
      </c>
      <c r="G51" s="57">
        <f>IF(G$14=1,'Inputs (2)'!G39,G42-G78-(G44+G52+G53+G54+G59+G62+G63+G64+G65+G66+G67+G68))</f>
        <v>0</v>
      </c>
      <c r="H51" s="57">
        <f>IF(H$14=1,'Inputs (2)'!H39,H42-H78-(H44+H52+H53+H54+H59+H62+H63+H64+H65+H66+H67+H68))</f>
        <v>0</v>
      </c>
      <c r="I51" s="77">
        <f t="shared" si="15"/>
        <v>0</v>
      </c>
      <c r="J51" s="57">
        <f>IF(J$14=1,'Inputs (2)'!J39,J42-J78-(J44+J52+J53+J54+J59+J62+J63+J64+J65+J66+J67+J68))</f>
        <v>0</v>
      </c>
      <c r="K51" s="57">
        <f>IF(K$14=1,'Inputs (2)'!K39,K42-K78-(K44+K52+K53+K54+K59+K62+K63+K64+K65+K66+K67+K68))</f>
        <v>0</v>
      </c>
      <c r="L51" s="57">
        <f>IF(L$14=1,'Inputs (2)'!L39,L42-L78-(L44+L52+L53+L54+L59+L62+L63+L64+L65+L66+L67+L68))</f>
        <v>0</v>
      </c>
      <c r="M51" s="57">
        <f>IF(M$14=1,'Inputs (2)'!M39,M42-M78-(M44+M52+M53+M54+M59+M62+M63+M64+M65+M66+M67+M68))</f>
        <v>0</v>
      </c>
      <c r="N51" s="77">
        <f t="shared" si="16"/>
        <v>0</v>
      </c>
      <c r="O51" s="57">
        <f>IF(O$14=1,'Inputs (2)'!O39,O42-O78-(O44+O52+O53+O54+O59+O62+O63+O64+O65+O66+O67+O68))</f>
        <v>0</v>
      </c>
      <c r="P51" s="57">
        <f>IF(P$14=1,'Inputs (2)'!P39,P42-P78-(P44+P52+P53+P54+P59+P62+P63+P64+P65+P66+P67+P68))</f>
        <v>0</v>
      </c>
      <c r="Q51" s="57">
        <f>IF(Q$14=1,'Inputs (2)'!Q39,Q42-Q78-(Q44+Q52+Q53+Q54+Q59+Q62+Q63+Q64+Q65+Q66+Q67+Q68))</f>
        <v>0</v>
      </c>
      <c r="R51" s="57">
        <f>IF(R$14=1,'Inputs (2)'!R39,R42-R78-(R44+R52+R53+R54+R59+R62+R63+R64+R65+R66+R67+R68))</f>
        <v>0</v>
      </c>
      <c r="S51" s="77">
        <f t="shared" si="17"/>
        <v>0</v>
      </c>
      <c r="T51" s="57">
        <f>IF(T$14=1,'Inputs (2)'!T39,T42-T78-(T44+T52+T53+T54+T59+T62+T63+T64+T65+T66+T67+T68))</f>
        <v>0</v>
      </c>
      <c r="U51" s="57">
        <f>IF(U$14=1,'Inputs (2)'!U39,U42-U78-(U44+U52+U53+U54+U59+U62+U63+U64+U65+U66+U67+U68))</f>
        <v>0</v>
      </c>
      <c r="V51" s="57">
        <f>IF(V$14=1,'Inputs (2)'!V39,V42-V78-(V44+V52+V53+V54+V59+V62+V63+V64+V65+V66+V67+V68))</f>
        <v>0</v>
      </c>
      <c r="W51" s="57">
        <f>IF(W$14=1,'Inputs (2)'!W39,W42-W78-(W44+W52+W53+W54+W59+W62+W63+W64+W65+W66+W67+W68))</f>
        <v>0</v>
      </c>
      <c r="X51" s="77">
        <f t="shared" si="18"/>
        <v>0</v>
      </c>
      <c r="Y51" s="57">
        <f>IF(Y$14=1,'Inputs (2)'!Y39,Y42-Y78-(Y44+Y52+Y53+Y54+Y59+Y62+Y63+Y64+Y65+Y66+Y67+Y68))</f>
        <v>0</v>
      </c>
      <c r="Z51" s="57">
        <f>IF(Z$14=1,'Inputs (2)'!Z39,Z42-Z78-(Z44+Z52+Z53+Z54+Z59+Z62+Z63+Z64+Z65+Z66+Z67+Z68))</f>
        <v>0</v>
      </c>
      <c r="AA51" s="57">
        <f>IF(AA$14=1,'Inputs (2)'!AA39,AA42-AA78-(AA44+AA52+AA53+AA54+AA59+AA62+AA63+AA64+AA65+AA66+AA67+AA68))</f>
        <v>0</v>
      </c>
      <c r="AB51" s="57">
        <f>IF(AB$14=1,'Inputs (2)'!AB39,AB42-AB78-(AB44+AB52+AB53+AB54+AB59+AB62+AB63+AB64+AB65+AB66+AB67+AB68))</f>
        <v>0</v>
      </c>
      <c r="AC51" s="77">
        <f t="shared" si="19"/>
        <v>0</v>
      </c>
      <c r="AD51" s="57">
        <f>IF(AD$14=1,'Inputs (2)'!AD39,AD42-AD78-(AD44+AD52+AD53+AD54+AD59+AD62+AD63+AD64+AD65+AD66+AD67+AD68))</f>
        <v>0</v>
      </c>
      <c r="AE51" s="57">
        <f>IF(AE$14=1,'Inputs (2)'!AE39,AE42-AE78-(AE44+AE52+AE53+AE54+AE59+AE62+AE63+AE64+AE65+AE66+AE67+AE68))</f>
        <v>0</v>
      </c>
      <c r="AF51" s="57">
        <f>IF(AF$14=1,'Inputs (2)'!AF39,AF42-AF78-(AF44+AF52+AF53+AF54+AF59+AF62+AF63+AF64+AF65+AF66+AF67+AF68))</f>
        <v>0</v>
      </c>
      <c r="AG51" s="57">
        <f>IF(AG$14=1,'Inputs (2)'!AG39,AG42-AG78-(AG44+AG52+AG53+AG54+AG59+AG62+AG63+AG64+AG65+AG66+AG67+AG68))</f>
        <v>0</v>
      </c>
      <c r="AH51" s="77">
        <f t="shared" si="20"/>
        <v>0</v>
      </c>
      <c r="AI51" s="57">
        <f>IF(AI$14=1,'Inputs (2)'!AI39,AI42-AI78-(AI44+AI52+AI53+AI54+AI59+AI62+AI63+AI64+AI65+AI66+AI67+AI68))</f>
        <v>0</v>
      </c>
      <c r="AJ51" s="57">
        <f>IF(AJ$14=1,'Inputs (2)'!AJ39,AJ42-AJ78-(AJ44+AJ52+AJ53+AJ54+AJ59+AJ62+AJ63+AJ64+AJ65+AJ66+AJ67+AJ68))</f>
        <v>0</v>
      </c>
      <c r="AK51" s="57">
        <f>IF(AK$14=1,'Inputs (2)'!AK39,AK42-AK78-(AK44+AK52+AK53+AK54+AK59+AK62+AK63+AK64+AK65+AK66+AK67+AK68))</f>
        <v>0</v>
      </c>
      <c r="AL51" s="57">
        <f>IF(AL$14=1,'Inputs (2)'!AL39,AL42-AL78-(AL44+AL52+AL53+AL54+AL59+AL62+AL63+AL64+AL65+AL66+AL67+AL68))</f>
        <v>0</v>
      </c>
      <c r="AM51" s="77">
        <f t="shared" si="21"/>
        <v>0</v>
      </c>
      <c r="AN51" s="57">
        <f>IF(AN$14=1,'Inputs (2)'!AN39,AN42-AN78-(AN44+AN52+AN53+AN54+AN59+AN62+AN63+AN64+AN65+AN66+AN67+AN68))</f>
        <v>0</v>
      </c>
      <c r="AO51" s="57">
        <f>IF(AO$14=1,'Inputs (2)'!AO39,AO42-AO78-(AO44+AO52+AO53+AO54+AO59+AO62+AO63+AO64+AO65+AO66+AO67+AO68))</f>
        <v>0</v>
      </c>
      <c r="AP51" s="57">
        <f>IF(AP$14=1,'Inputs (2)'!AP39,AP42-AP78-(AP44+AP52+AP53+AP54+AP59+AP62+AP63+AP64+AP65+AP66+AP67+AP68))</f>
        <v>0</v>
      </c>
      <c r="AQ51" s="57">
        <f>IF(AQ$14=1,'Inputs (2)'!AQ39,AQ42-AQ78-(AQ44+AQ52+AQ53+AQ54+AQ59+AQ62+AQ63+AQ64+AQ65+AQ66+AQ67+AQ68))</f>
        <v>0</v>
      </c>
      <c r="AR51" s="77">
        <f t="shared" si="22"/>
        <v>0</v>
      </c>
      <c r="AS51" s="57">
        <f>IF(AS$14=1,'Inputs (2)'!AS39,AS42-AS78-(AS44+AS52+AS53+AS54+AS59+AS62+AS63+AS64+AS65+AS66+AS67+AS68))</f>
        <v>0</v>
      </c>
      <c r="AT51" s="57">
        <f>IF(AT$14=1,'Inputs (2)'!AT39,AT42-AT78-(AT44+AT52+AT53+AT54+AT59+AT62+AT63+AT64+AT65+AT66+AT67+AT68))</f>
        <v>0</v>
      </c>
      <c r="AU51" s="57">
        <f>IF(AU$14=1,'Inputs (2)'!AU39,AU42-AU78-(AU44+AU52+AU53+AU54+AU59+AU62+AU63+AU64+AU65+AU66+AU67+AU68))</f>
        <v>0</v>
      </c>
      <c r="AV51" s="57">
        <f>IF(AV$14=1,'Inputs (2)'!AV39,AV42-AV78-(AV44+AV52+AV53+AV54+AV59+AV62+AV63+AV64+AV65+AV66+AV67+AV68))</f>
        <v>0</v>
      </c>
      <c r="AW51" s="77">
        <f t="shared" si="23"/>
        <v>0</v>
      </c>
      <c r="AX51" s="57">
        <f>IF(AX$14=1,'Inputs (2)'!AX39,AX42-AX78-(AX44+AX52+AX53+AX54+AX59+AX62+AX63+AX64+AX65+AX66+AX67+AX68))</f>
        <v>0</v>
      </c>
      <c r="AY51" s="57">
        <f>IF(AY$14=1,'Inputs (2)'!AY39,AY42-AY78-(AY44+AY52+AY53+AY54+AY59+AY62+AY63+AY64+AY65+AY66+AY67+AY68))</f>
        <v>0</v>
      </c>
      <c r="AZ51" s="57">
        <f>IF(AZ$14=1,'Inputs (2)'!AZ39,AZ42-AZ78-(AZ44+AZ52+AZ53+AZ54+AZ59+AZ62+AZ63+AZ64+AZ65+AZ66+AZ67+AZ68))</f>
        <v>0</v>
      </c>
      <c r="BA51" s="57">
        <f>IF(BA$14=1,'Inputs (2)'!BA39,BA42-BA78-(BA44+BA52+BA53+BA54+BA59+BA62+BA63+BA64+BA65+BA66+BA67+BA68))</f>
        <v>0</v>
      </c>
      <c r="BB51" s="77">
        <f t="shared" si="24"/>
        <v>0</v>
      </c>
      <c r="BC51" s="57">
        <f>IF(BC$14=1,'Inputs (2)'!BC39,BC42-BC78-(BC44+BC52+BC53+BC54+BC59+BC62+BC63+BC64+BC65+BC66+BC67+BC68))</f>
        <v>0</v>
      </c>
      <c r="BD51" s="57">
        <f>IF(BD$14=1,'Inputs (2)'!BD39,BD42-BD78-(BD44+BD52+BD53+BD54+BD59+BD62+BD63+BD64+BD65+BD66+BD67+BD68))</f>
        <v>0</v>
      </c>
      <c r="BE51" s="57">
        <f>IF(BE$14=1,'Inputs (2)'!BE39,BE42-BE78-(BE44+BE52+BE53+BE54+BE59+BE62+BE63+BE64+BE65+BE66+BE67+BE68))</f>
        <v>0</v>
      </c>
      <c r="BF51" s="57">
        <f>IF(BF$14=1,'Inputs (2)'!BF39,BF42-BF78-(BF44+BF52+BF53+BF54+BF59+BF62+BF63+BF64+BF65+BF66+BF67+BF68))</f>
        <v>0</v>
      </c>
      <c r="BG51" s="77">
        <f t="shared" si="25"/>
        <v>0</v>
      </c>
      <c r="BI51" s="14" t="s">
        <v>778</v>
      </c>
    </row>
    <row r="52" spans="3:61" hidden="1" outlineLevel="1" x14ac:dyDescent="0.25">
      <c r="C52" s="61" t="s">
        <v>103</v>
      </c>
      <c r="D52" s="62" t="s">
        <v>579</v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 t="shared" si="15"/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 t="shared" si="16"/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 t="shared" si="17"/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 t="shared" si="18"/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 t="shared" si="19"/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 t="shared" si="20"/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 t="shared" si="21"/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 t="shared" si="22"/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 t="shared" si="23"/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 t="shared" si="24"/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 t="shared" si="25"/>
        <v>0</v>
      </c>
    </row>
    <row r="53" spans="3:61" hidden="1" outlineLevel="1" x14ac:dyDescent="0.25">
      <c r="C53" s="61" t="s">
        <v>105</v>
      </c>
      <c r="D53" s="62" t="s">
        <v>580</v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 t="shared" si="15"/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 t="shared" si="16"/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 t="shared" si="17"/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 t="shared" si="18"/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 t="shared" si="19"/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 t="shared" si="20"/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 t="shared" si="21"/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 t="shared" si="22"/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 t="shared" si="23"/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 t="shared" si="24"/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 t="shared" si="25"/>
        <v>0</v>
      </c>
    </row>
    <row r="54" spans="3:61" collapsed="1" x14ac:dyDescent="0.25">
      <c r="C54" s="83" t="s">
        <v>581</v>
      </c>
      <c r="D54" s="84" t="s">
        <v>582</v>
      </c>
      <c r="E54" s="85">
        <f>E55+E56+E57+E58</f>
        <v>0</v>
      </c>
      <c r="F54" s="85">
        <f>F55+F56+F57+F58</f>
        <v>0</v>
      </c>
      <c r="G54" s="85">
        <f>G55+G56+G57+G58</f>
        <v>0</v>
      </c>
      <c r="H54" s="85">
        <f>H55+H56+H57+H58</f>
        <v>0</v>
      </c>
      <c r="I54" s="60">
        <f t="shared" si="15"/>
        <v>0</v>
      </c>
      <c r="J54" s="85">
        <f>J55+J56+J57+J58</f>
        <v>0</v>
      </c>
      <c r="K54" s="85">
        <f>K55+K56+K57+K58</f>
        <v>0</v>
      </c>
      <c r="L54" s="85">
        <f>L55+L56+L57+L58</f>
        <v>0</v>
      </c>
      <c r="M54" s="85">
        <f>M55+M56+M57+M58</f>
        <v>0</v>
      </c>
      <c r="N54" s="60">
        <f t="shared" si="16"/>
        <v>0</v>
      </c>
      <c r="O54" s="85">
        <f>O55+O56+O57+O58</f>
        <v>0</v>
      </c>
      <c r="P54" s="85">
        <f>P55+P56+P57+P58</f>
        <v>0</v>
      </c>
      <c r="Q54" s="85">
        <f>Q55+Q56+Q57+Q58</f>
        <v>0</v>
      </c>
      <c r="R54" s="85">
        <f>R55+R56+R57+R58</f>
        <v>0</v>
      </c>
      <c r="S54" s="60">
        <f t="shared" si="17"/>
        <v>0</v>
      </c>
      <c r="T54" s="85">
        <f>T55+T56+T57+T58</f>
        <v>0</v>
      </c>
      <c r="U54" s="85">
        <f>U55+U56+U57+U58</f>
        <v>0</v>
      </c>
      <c r="V54" s="85">
        <f>V55+V56+V57+V58</f>
        <v>0</v>
      </c>
      <c r="W54" s="85">
        <f>W55+W56+W57+W58</f>
        <v>0</v>
      </c>
      <c r="X54" s="60">
        <f t="shared" si="18"/>
        <v>0</v>
      </c>
      <c r="Y54" s="85">
        <f>Y55+Y56+Y57+Y58</f>
        <v>0</v>
      </c>
      <c r="Z54" s="85">
        <f>Z55+Z56+Z57+Z58</f>
        <v>0</v>
      </c>
      <c r="AA54" s="85">
        <f>AA55+AA56+AA57+AA58</f>
        <v>0</v>
      </c>
      <c r="AB54" s="85">
        <f>AB55+AB56+AB57+AB58</f>
        <v>0</v>
      </c>
      <c r="AC54" s="60">
        <f t="shared" si="19"/>
        <v>0</v>
      </c>
      <c r="AD54" s="85">
        <f>AD55+AD56+AD57+AD58</f>
        <v>0</v>
      </c>
      <c r="AE54" s="85">
        <f>AE55+AE56+AE57+AE58</f>
        <v>0</v>
      </c>
      <c r="AF54" s="85">
        <f>AF55+AF56+AF57+AF58</f>
        <v>0</v>
      </c>
      <c r="AG54" s="85">
        <f>AG55+AG56+AG57+AG58</f>
        <v>0</v>
      </c>
      <c r="AH54" s="60">
        <f t="shared" si="20"/>
        <v>0</v>
      </c>
      <c r="AI54" s="85">
        <f>AI55+AI56+AI57+AI58</f>
        <v>0</v>
      </c>
      <c r="AJ54" s="85">
        <f>AJ55+AJ56+AJ57+AJ58</f>
        <v>0</v>
      </c>
      <c r="AK54" s="85">
        <f>AK55+AK56+AK57+AK58</f>
        <v>0</v>
      </c>
      <c r="AL54" s="85">
        <f>AL55+AL56+AL57+AL58</f>
        <v>0</v>
      </c>
      <c r="AM54" s="60">
        <f t="shared" si="21"/>
        <v>0</v>
      </c>
      <c r="AN54" s="85">
        <f>AN55+AN56+AN57+AN58</f>
        <v>0</v>
      </c>
      <c r="AO54" s="85">
        <f>AO55+AO56+AO57+AO58</f>
        <v>0</v>
      </c>
      <c r="AP54" s="85">
        <f>AP55+AP56+AP57+AP58</f>
        <v>0</v>
      </c>
      <c r="AQ54" s="85">
        <f>AQ55+AQ56+AQ57+AQ58</f>
        <v>0</v>
      </c>
      <c r="AR54" s="60">
        <f t="shared" si="22"/>
        <v>0</v>
      </c>
      <c r="AS54" s="85">
        <f>AS55+AS56+AS57+AS58</f>
        <v>0</v>
      </c>
      <c r="AT54" s="85">
        <f>AT55+AT56+AT57+AT58</f>
        <v>0</v>
      </c>
      <c r="AU54" s="85">
        <f>AU55+AU56+AU57+AU58</f>
        <v>0</v>
      </c>
      <c r="AV54" s="85">
        <f>AV55+AV56+AV57+AV58</f>
        <v>0</v>
      </c>
      <c r="AW54" s="60">
        <f t="shared" si="23"/>
        <v>0</v>
      </c>
      <c r="AX54" s="85">
        <f>AX55+AX56+AX57+AX58</f>
        <v>0</v>
      </c>
      <c r="AY54" s="85">
        <f>AY55+AY56+AY57+AY58</f>
        <v>0</v>
      </c>
      <c r="AZ54" s="85">
        <f>AZ55+AZ56+AZ57+AZ58</f>
        <v>0</v>
      </c>
      <c r="BA54" s="85">
        <f>BA55+BA56+BA57+BA58</f>
        <v>0</v>
      </c>
      <c r="BB54" s="60">
        <f t="shared" si="24"/>
        <v>0</v>
      </c>
      <c r="BC54" s="85">
        <f>BC55+BC56+BC57+BC58</f>
        <v>0</v>
      </c>
      <c r="BD54" s="85">
        <f>BD55+BD56+BD57+BD58</f>
        <v>0</v>
      </c>
      <c r="BE54" s="85">
        <f>BE55+BE56+BE57+BE58</f>
        <v>0</v>
      </c>
      <c r="BF54" s="85">
        <f>BF55+BF56+BF57+BF58</f>
        <v>0</v>
      </c>
      <c r="BG54" s="60">
        <f t="shared" si="25"/>
        <v>0</v>
      </c>
    </row>
    <row r="55" spans="3:61" hidden="1" outlineLevel="1" x14ac:dyDescent="0.25">
      <c r="C55" s="61" t="s">
        <v>107</v>
      </c>
      <c r="D55" s="62" t="s">
        <v>583</v>
      </c>
      <c r="E55" s="57">
        <f>'Inputs (2)'!E43</f>
        <v>0</v>
      </c>
      <c r="F55" s="57">
        <f>IF(F$14=1,'Inputs (2)'!F43,E55*(1+Inputs!F$278))</f>
        <v>0</v>
      </c>
      <c r="G55" s="57">
        <f>IF(G$14=1,'Inputs (2)'!G43,F55*(1+Inputs!G$278))</f>
        <v>0</v>
      </c>
      <c r="H55" s="57">
        <f>IF(H$14=1,'Inputs (2)'!H43,G55*(1+Inputs!H$278))</f>
        <v>0</v>
      </c>
      <c r="I55" s="77">
        <f t="shared" si="15"/>
        <v>0</v>
      </c>
      <c r="J55" s="57">
        <f>IF(J$14=1,'Inputs (2)'!J43,H55*(1+Inputs!J$278))</f>
        <v>0</v>
      </c>
      <c r="K55" s="57">
        <f>IF(K$14=1,'Inputs (2)'!K43,J55*(1+Inputs!K$278))</f>
        <v>0</v>
      </c>
      <c r="L55" s="57">
        <f>IF(L$14=1,'Inputs (2)'!L43,K55*(1+Inputs!L$278))</f>
        <v>0</v>
      </c>
      <c r="M55" s="57">
        <f>IF(M$14=1,'Inputs (2)'!M43,L55*(1+Inputs!M$278))</f>
        <v>0</v>
      </c>
      <c r="N55" s="77">
        <f t="shared" si="16"/>
        <v>0</v>
      </c>
      <c r="O55" s="57">
        <f>IF(O$14=1,'Inputs (2)'!O43,M55*(1+Inputs!O$278))</f>
        <v>0</v>
      </c>
      <c r="P55" s="57">
        <f>IF(P$14=1,'Inputs (2)'!P43,O55*(1+Inputs!P$278))</f>
        <v>0</v>
      </c>
      <c r="Q55" s="57">
        <f>IF(Q$14=1,'Inputs (2)'!Q43,P55*(1+Inputs!Q$278))</f>
        <v>0</v>
      </c>
      <c r="R55" s="57">
        <f>IF(R$14=1,'Inputs (2)'!R43,Q55*(1+Inputs!R$278))</f>
        <v>0</v>
      </c>
      <c r="S55" s="77">
        <f t="shared" si="17"/>
        <v>0</v>
      </c>
      <c r="T55" s="57">
        <f>IF(T$14=1,'Inputs (2)'!T43,R55*(1+Inputs!T$278))</f>
        <v>0</v>
      </c>
      <c r="U55" s="57">
        <f>IF(U$14=1,'Inputs (2)'!U43,T55*(1+Inputs!U$278))</f>
        <v>0</v>
      </c>
      <c r="V55" s="57">
        <f>IF(V$14=1,'Inputs (2)'!V43,U55*(1+Inputs!V$278))</f>
        <v>0</v>
      </c>
      <c r="W55" s="57">
        <f>IF(W$14=1,'Inputs (2)'!W43,V55*(1+Inputs!W$278))</f>
        <v>0</v>
      </c>
      <c r="X55" s="77">
        <f t="shared" si="18"/>
        <v>0</v>
      </c>
      <c r="Y55" s="57">
        <f>IF(Y$14=1,'Inputs (2)'!Y43,W55*(1+Inputs!Y$278))</f>
        <v>0</v>
      </c>
      <c r="Z55" s="57">
        <f>IF(Z$14=1,'Inputs (2)'!Z43,Y55*(1+Inputs!Z$278))</f>
        <v>0</v>
      </c>
      <c r="AA55" s="57">
        <f>IF(AA$14=1,'Inputs (2)'!AA43,Z55*(1+Inputs!AA$278))</f>
        <v>0</v>
      </c>
      <c r="AB55" s="57">
        <f>IF(AB$14=1,'Inputs (2)'!AB43,AA55*(1+Inputs!AB$278))</f>
        <v>0</v>
      </c>
      <c r="AC55" s="77">
        <f t="shared" si="19"/>
        <v>0</v>
      </c>
      <c r="AD55" s="57">
        <f>IF(AD$14=1,'Inputs (2)'!AD43,AB55*(1+Inputs!AD$278))</f>
        <v>0</v>
      </c>
      <c r="AE55" s="57">
        <f>IF(AE$14=1,'Inputs (2)'!AE43,AD55*(1+Inputs!AE$278))</f>
        <v>0</v>
      </c>
      <c r="AF55" s="57">
        <f>IF(AF$14=1,'Inputs (2)'!AF43,AE55*(1+Inputs!AF$278))</f>
        <v>0</v>
      </c>
      <c r="AG55" s="57">
        <f>IF(AG$14=1,'Inputs (2)'!AG43,AF55*(1+Inputs!AG$278))</f>
        <v>0</v>
      </c>
      <c r="AH55" s="77">
        <f t="shared" si="20"/>
        <v>0</v>
      </c>
      <c r="AI55" s="57">
        <f>IF(AI$14=1,'Inputs (2)'!AI43,AG55*(1+Inputs!AI$278))</f>
        <v>0</v>
      </c>
      <c r="AJ55" s="57">
        <f>IF(AJ$14=1,'Inputs (2)'!AJ43,AI55*(1+Inputs!AJ$278))</f>
        <v>0</v>
      </c>
      <c r="AK55" s="57">
        <f>IF(AK$14=1,'Inputs (2)'!AK43,AJ55*(1+Inputs!AK$278))</f>
        <v>0</v>
      </c>
      <c r="AL55" s="57">
        <f>IF(AL$14=1,'Inputs (2)'!AL43,AK55*(1+Inputs!AL$278))</f>
        <v>0</v>
      </c>
      <c r="AM55" s="77">
        <f t="shared" si="21"/>
        <v>0</v>
      </c>
      <c r="AN55" s="57">
        <f>IF(AN$14=1,'Inputs (2)'!AN43,AL55*(1+Inputs!AN$278))</f>
        <v>0</v>
      </c>
      <c r="AO55" s="57">
        <f>IF(AO$14=1,'Inputs (2)'!AO43,AN55*(1+Inputs!AO$278))</f>
        <v>0</v>
      </c>
      <c r="AP55" s="57">
        <f>IF(AP$14=1,'Inputs (2)'!AP43,AO55*(1+Inputs!AP$278))</f>
        <v>0</v>
      </c>
      <c r="AQ55" s="57">
        <f>IF(AQ$14=1,'Inputs (2)'!AQ43,AP55*(1+Inputs!AQ$278))</f>
        <v>0</v>
      </c>
      <c r="AR55" s="77">
        <f t="shared" si="22"/>
        <v>0</v>
      </c>
      <c r="AS55" s="57">
        <f>IF(AS$14=1,'Inputs (2)'!AS43,AQ55*(1+Inputs!AS$278))</f>
        <v>0</v>
      </c>
      <c r="AT55" s="57">
        <f>IF(AT$14=1,'Inputs (2)'!AT43,AS55*(1+Inputs!AT$278))</f>
        <v>0</v>
      </c>
      <c r="AU55" s="57">
        <f>IF(AU$14=1,'Inputs (2)'!AU43,AT55*(1+Inputs!AU$278))</f>
        <v>0</v>
      </c>
      <c r="AV55" s="57">
        <f>IF(AV$14=1,'Inputs (2)'!AV43,AU55*(1+Inputs!AV$278))</f>
        <v>0</v>
      </c>
      <c r="AW55" s="77">
        <f t="shared" si="23"/>
        <v>0</v>
      </c>
      <c r="AX55" s="57">
        <f>IF(AX$14=1,'Inputs (2)'!AX43,AV55*(1+Inputs!AX$278))</f>
        <v>0</v>
      </c>
      <c r="AY55" s="57">
        <f>IF(AY$14=1,'Inputs (2)'!AY43,AX55*(1+Inputs!AY$278))</f>
        <v>0</v>
      </c>
      <c r="AZ55" s="57">
        <f>IF(AZ$14=1,'Inputs (2)'!AZ43,AY55*(1+Inputs!AZ$278))</f>
        <v>0</v>
      </c>
      <c r="BA55" s="57">
        <f>IF(BA$14=1,'Inputs (2)'!BA43,AZ55*(1+Inputs!BA$278))</f>
        <v>0</v>
      </c>
      <c r="BB55" s="77">
        <f t="shared" si="24"/>
        <v>0</v>
      </c>
      <c r="BC55" s="57">
        <f>IF(BC$14=1,'Inputs (2)'!BC43,BA55*(1+Inputs!BC$278))</f>
        <v>0</v>
      </c>
      <c r="BD55" s="57">
        <f>IF(BD$14=1,'Inputs (2)'!BD43,BC55*(1+Inputs!BD$278))</f>
        <v>0</v>
      </c>
      <c r="BE55" s="57">
        <f>IF(BE$14=1,'Inputs (2)'!BE43,BD55*(1+Inputs!BE$278))</f>
        <v>0</v>
      </c>
      <c r="BF55" s="57">
        <f>IF(BF$14=1,'Inputs (2)'!BF43,BE55*(1+Inputs!BF$278))</f>
        <v>0</v>
      </c>
      <c r="BG55" s="77">
        <f t="shared" si="25"/>
        <v>0</v>
      </c>
    </row>
    <row r="56" spans="3:61" hidden="1" outlineLevel="1" x14ac:dyDescent="0.25">
      <c r="C56" s="61" t="s">
        <v>109</v>
      </c>
      <c r="D56" s="62" t="s">
        <v>779</v>
      </c>
      <c r="E56" s="57">
        <f>'Inputs (2)'!E44</f>
        <v>0</v>
      </c>
      <c r="F56" s="57">
        <f>IF(F$14=1,'Inputs (2)'!F44,E56*(1+Inputs!F$278))</f>
        <v>0</v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 t="shared" si="15"/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 t="shared" si="16"/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 t="shared" si="17"/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 t="shared" si="18"/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 t="shared" si="19"/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 t="shared" si="20"/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 t="shared" si="21"/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 t="shared" si="22"/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 t="shared" si="23"/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 t="shared" si="24"/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 t="shared" si="25"/>
        <v>0</v>
      </c>
    </row>
    <row r="57" spans="3:61" hidden="1" outlineLevel="1" x14ac:dyDescent="0.25">
      <c r="C57" s="61" t="s">
        <v>111</v>
      </c>
      <c r="D57" s="62" t="s">
        <v>780</v>
      </c>
      <c r="E57" s="57">
        <f>'Inputs (2)'!E45</f>
        <v>0</v>
      </c>
      <c r="F57" s="57">
        <f>IF(F$14=1,'Inputs (2)'!F45,E57*(1+Inputs!F$278))</f>
        <v>0</v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 t="shared" si="15"/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 t="shared" si="16"/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 t="shared" si="17"/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 t="shared" si="18"/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 t="shared" si="19"/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 t="shared" si="20"/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 t="shared" si="21"/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 t="shared" si="22"/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 t="shared" si="23"/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 t="shared" si="24"/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 t="shared" si="25"/>
        <v>0</v>
      </c>
    </row>
    <row r="58" spans="3:61" hidden="1" outlineLevel="1" x14ac:dyDescent="0.25">
      <c r="C58" s="61" t="s">
        <v>113</v>
      </c>
      <c r="D58" s="62" t="s">
        <v>781</v>
      </c>
      <c r="E58" s="57">
        <f>'Inputs (2)'!E46</f>
        <v>0</v>
      </c>
      <c r="F58" s="57">
        <f>IF(F$14=1,'Inputs (2)'!F46,E58*(1+Inputs!F$278))</f>
        <v>0</v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 t="shared" si="15"/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 t="shared" si="16"/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 t="shared" si="17"/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 t="shared" si="18"/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 t="shared" si="19"/>
        <v>0</v>
      </c>
      <c r="AD58" s="57">
        <f>IF(AD$14=1,'Inputs (2)'!AD46,AB58*(1+Inputs!AD$278))</f>
        <v>0</v>
      </c>
      <c r="AE58" s="57">
        <f>IF(AE$14=1,'Inputs (2)'!AE46,AD58*(1+Inputs!AE$278))</f>
        <v>0</v>
      </c>
      <c r="AF58" s="57">
        <f>IF(AF$14=1,'Inputs (2)'!AF46,AE58*(1+Inputs!AF$278))</f>
        <v>0</v>
      </c>
      <c r="AG58" s="57">
        <f>IF(AG$14=1,'Inputs (2)'!AG46,AF58*(1+Inputs!AG$278))</f>
        <v>0</v>
      </c>
      <c r="AH58" s="77">
        <f t="shared" si="20"/>
        <v>0</v>
      </c>
      <c r="AI58" s="57">
        <f>IF(AI$14=1,'Inputs (2)'!AI46,AG58*(1+Inputs!AI$278))</f>
        <v>0</v>
      </c>
      <c r="AJ58" s="57">
        <f>IF(AJ$14=1,'Inputs (2)'!AJ46,AI58*(1+Inputs!AJ$278))</f>
        <v>0</v>
      </c>
      <c r="AK58" s="57">
        <f>IF(AK$14=1,'Inputs (2)'!AK46,AJ58*(1+Inputs!AK$278))</f>
        <v>0</v>
      </c>
      <c r="AL58" s="57">
        <f>IF(AL$14=1,'Inputs (2)'!AL46,AK58*(1+Inputs!AL$278))</f>
        <v>0</v>
      </c>
      <c r="AM58" s="77">
        <f t="shared" si="21"/>
        <v>0</v>
      </c>
      <c r="AN58" s="57">
        <f>IF(AN$14=1,'Inputs (2)'!AN46,AL58*(1+Inputs!AN$278))</f>
        <v>0</v>
      </c>
      <c r="AO58" s="57">
        <f>IF(AO$14=1,'Inputs (2)'!AO46,AN58*(1+Inputs!AO$278))</f>
        <v>0</v>
      </c>
      <c r="AP58" s="57">
        <f>IF(AP$14=1,'Inputs (2)'!AP46,AO58*(1+Inputs!AP$278))</f>
        <v>0</v>
      </c>
      <c r="AQ58" s="57">
        <f>IF(AQ$14=1,'Inputs (2)'!AQ46,AP58*(1+Inputs!AQ$278))</f>
        <v>0</v>
      </c>
      <c r="AR58" s="77">
        <f t="shared" si="22"/>
        <v>0</v>
      </c>
      <c r="AS58" s="57">
        <f>IF(AS$14=1,'Inputs (2)'!AS46,AQ58*(1+Inputs!AS$278))</f>
        <v>0</v>
      </c>
      <c r="AT58" s="57">
        <f>IF(AT$14=1,'Inputs (2)'!AT46,AS58*(1+Inputs!AT$278))</f>
        <v>0</v>
      </c>
      <c r="AU58" s="57">
        <f>IF(AU$14=1,'Inputs (2)'!AU46,AT58*(1+Inputs!AU$278))</f>
        <v>0</v>
      </c>
      <c r="AV58" s="57">
        <f>IF(AV$14=1,'Inputs (2)'!AV46,AU58*(1+Inputs!AV$278))</f>
        <v>0</v>
      </c>
      <c r="AW58" s="77">
        <f t="shared" si="23"/>
        <v>0</v>
      </c>
      <c r="AX58" s="57">
        <f>IF(AX$14=1,'Inputs (2)'!AX46,AV58*(1+Inputs!AX$278))</f>
        <v>0</v>
      </c>
      <c r="AY58" s="57">
        <f>IF(AY$14=1,'Inputs (2)'!AY46,AX58*(1+Inputs!AY$278))</f>
        <v>0</v>
      </c>
      <c r="AZ58" s="57">
        <f>IF(AZ$14=1,'Inputs (2)'!AZ46,AY58*(1+Inputs!AZ$278))</f>
        <v>0</v>
      </c>
      <c r="BA58" s="57">
        <f>IF(BA$14=1,'Inputs (2)'!BA46,AZ58*(1+Inputs!BA$278))</f>
        <v>0</v>
      </c>
      <c r="BB58" s="77">
        <f t="shared" si="24"/>
        <v>0</v>
      </c>
      <c r="BC58" s="57">
        <f>IF(BC$14=1,'Inputs (2)'!BC46,BA58*(1+Inputs!BC$278))</f>
        <v>0</v>
      </c>
      <c r="BD58" s="57">
        <f>IF(BD$14=1,'Inputs (2)'!BD46,BC58*(1+Inputs!BD$278))</f>
        <v>0</v>
      </c>
      <c r="BE58" s="57">
        <f>IF(BE$14=1,'Inputs (2)'!BE46,BD58*(1+Inputs!BE$278))</f>
        <v>0</v>
      </c>
      <c r="BF58" s="57">
        <f>IF(BF$14=1,'Inputs (2)'!BF46,BE58*(1+Inputs!BF$278))</f>
        <v>0</v>
      </c>
      <c r="BG58" s="77">
        <f t="shared" si="25"/>
        <v>0</v>
      </c>
    </row>
    <row r="59" spans="3:61" collapsed="1" x14ac:dyDescent="0.25">
      <c r="C59" s="83" t="s">
        <v>587</v>
      </c>
      <c r="D59" s="84" t="s">
        <v>588</v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 t="shared" si="15"/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 t="shared" si="16"/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 t="shared" si="17"/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 t="shared" si="18"/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0</v>
      </c>
      <c r="AC59" s="60">
        <f t="shared" si="19"/>
        <v>0</v>
      </c>
      <c r="AD59" s="85">
        <f>AD60+AD61</f>
        <v>0</v>
      </c>
      <c r="AE59" s="85">
        <f>AE60+AE61</f>
        <v>0</v>
      </c>
      <c r="AF59" s="85">
        <f>AF60+AF61</f>
        <v>0</v>
      </c>
      <c r="AG59" s="85">
        <f>AG60+AG61</f>
        <v>0</v>
      </c>
      <c r="AH59" s="60">
        <f t="shared" si="20"/>
        <v>0</v>
      </c>
      <c r="AI59" s="85">
        <f>AI60+AI61</f>
        <v>0</v>
      </c>
      <c r="AJ59" s="85">
        <f>AJ60+AJ61</f>
        <v>0</v>
      </c>
      <c r="AK59" s="85">
        <f>AK60+AK61</f>
        <v>0</v>
      </c>
      <c r="AL59" s="85">
        <f>AL60+AL61</f>
        <v>0</v>
      </c>
      <c r="AM59" s="60">
        <f t="shared" si="21"/>
        <v>0</v>
      </c>
      <c r="AN59" s="85">
        <f>AN60+AN61</f>
        <v>0</v>
      </c>
      <c r="AO59" s="85">
        <f>AO60+AO61</f>
        <v>0</v>
      </c>
      <c r="AP59" s="85">
        <f>AP60+AP61</f>
        <v>0</v>
      </c>
      <c r="AQ59" s="85">
        <f>AQ60+AQ61</f>
        <v>0</v>
      </c>
      <c r="AR59" s="60">
        <f t="shared" si="22"/>
        <v>0</v>
      </c>
      <c r="AS59" s="85">
        <f>AS60+AS61</f>
        <v>0</v>
      </c>
      <c r="AT59" s="85">
        <f>AT60+AT61</f>
        <v>0</v>
      </c>
      <c r="AU59" s="85">
        <f>AU60+AU61</f>
        <v>0</v>
      </c>
      <c r="AV59" s="85">
        <f>AV60+AV61</f>
        <v>0</v>
      </c>
      <c r="AW59" s="60">
        <f t="shared" si="23"/>
        <v>0</v>
      </c>
      <c r="AX59" s="85">
        <f>AX60+AX61</f>
        <v>0</v>
      </c>
      <c r="AY59" s="85">
        <f>AY60+AY61</f>
        <v>0</v>
      </c>
      <c r="AZ59" s="85">
        <f>AZ60+AZ61</f>
        <v>0</v>
      </c>
      <c r="BA59" s="85">
        <f>BA60+BA61</f>
        <v>0</v>
      </c>
      <c r="BB59" s="60">
        <f t="shared" si="24"/>
        <v>0</v>
      </c>
      <c r="BC59" s="85">
        <f>BC60+BC61</f>
        <v>0</v>
      </c>
      <c r="BD59" s="85">
        <f>BD60+BD61</f>
        <v>0</v>
      </c>
      <c r="BE59" s="85">
        <f>BE60+BE61</f>
        <v>0</v>
      </c>
      <c r="BF59" s="85">
        <f>BF60+BF61</f>
        <v>0</v>
      </c>
      <c r="BG59" s="60">
        <f t="shared" si="25"/>
        <v>0</v>
      </c>
    </row>
    <row r="60" spans="3:61" hidden="1" outlineLevel="1" x14ac:dyDescent="0.25">
      <c r="C60" s="61" t="s">
        <v>115</v>
      </c>
      <c r="D60" s="62" t="s">
        <v>589</v>
      </c>
      <c r="E60" s="57">
        <f>'Inputs (2)'!E48</f>
        <v>0</v>
      </c>
      <c r="F60" s="57">
        <f>IF(F$14=1,'Inputs (2)'!F48,E60*(1+Inputs!F$279))</f>
        <v>0</v>
      </c>
      <c r="G60" s="57">
        <f>IF(G$14=1,'Inputs (2)'!G48,F60*(1+Inputs!G$279))</f>
        <v>0</v>
      </c>
      <c r="H60" s="57">
        <f>IF(H$14=1,'Inputs (2)'!H48,G60*(1+Inputs!H$279))</f>
        <v>0</v>
      </c>
      <c r="I60" s="77">
        <f t="shared" si="15"/>
        <v>0</v>
      </c>
      <c r="J60" s="57">
        <f>IF(J$14=1,'Inputs (2)'!J48,H60*(1+Inputs!J$279))</f>
        <v>0</v>
      </c>
      <c r="K60" s="57">
        <f>IF(K$14=1,'Inputs (2)'!K48,J60*(1+Inputs!K$279))</f>
        <v>0</v>
      </c>
      <c r="L60" s="57">
        <f>IF(L$14=1,'Inputs (2)'!L48,K60*(1+Inputs!L$279))</f>
        <v>0</v>
      </c>
      <c r="M60" s="57">
        <f>IF(M$14=1,'Inputs (2)'!M48,L60*(1+Inputs!M$279))</f>
        <v>0</v>
      </c>
      <c r="N60" s="77">
        <f t="shared" si="16"/>
        <v>0</v>
      </c>
      <c r="O60" s="57">
        <f>IF(O$14=1,'Inputs (2)'!O48,M60*(1+Inputs!O$279))</f>
        <v>0</v>
      </c>
      <c r="P60" s="57">
        <f>IF(P$14=1,'Inputs (2)'!P48,O60*(1+Inputs!P$279))</f>
        <v>0</v>
      </c>
      <c r="Q60" s="57">
        <f>IF(Q$14=1,'Inputs (2)'!Q48,P60*(1+Inputs!Q$279))</f>
        <v>0</v>
      </c>
      <c r="R60" s="57">
        <f>IF(R$14=1,'Inputs (2)'!R48,Q60*(1+Inputs!R$279))</f>
        <v>0</v>
      </c>
      <c r="S60" s="77">
        <f t="shared" si="17"/>
        <v>0</v>
      </c>
      <c r="T60" s="57">
        <f>IF(T$14=1,'Inputs (2)'!T48,R60*(1+Inputs!T$279))</f>
        <v>0</v>
      </c>
      <c r="U60" s="57">
        <f>IF(U$14=1,'Inputs (2)'!U48,T60*(1+Inputs!U$279))</f>
        <v>0</v>
      </c>
      <c r="V60" s="57">
        <f>IF(V$14=1,'Inputs (2)'!V48,U60*(1+Inputs!V$279))</f>
        <v>0</v>
      </c>
      <c r="W60" s="57">
        <f>IF(W$14=1,'Inputs (2)'!W48,V60*(1+Inputs!W$279))</f>
        <v>0</v>
      </c>
      <c r="X60" s="77">
        <f t="shared" si="18"/>
        <v>0</v>
      </c>
      <c r="Y60" s="57">
        <f>IF(Y$14=1,'Inputs (2)'!Y48,W60*(1+Inputs!Y$279))</f>
        <v>0</v>
      </c>
      <c r="Z60" s="57">
        <f>IF(Z$14=1,'Inputs (2)'!Z48,Y60*(1+Inputs!Z$279))</f>
        <v>0</v>
      </c>
      <c r="AA60" s="57">
        <f>IF(AA$14=1,'Inputs (2)'!AA48,Z60*(1+Inputs!AA$279))</f>
        <v>0</v>
      </c>
      <c r="AB60" s="57">
        <f>IF(AB$14=1,'Inputs (2)'!AB48,AA60*(1+Inputs!AB$279))</f>
        <v>0</v>
      </c>
      <c r="AC60" s="77">
        <f t="shared" si="19"/>
        <v>0</v>
      </c>
      <c r="AD60" s="57">
        <f>IF(AD$14=1,'Inputs (2)'!AD48,AB60*(1+Inputs!AD$279))</f>
        <v>0</v>
      </c>
      <c r="AE60" s="57">
        <f>IF(AE$14=1,'Inputs (2)'!AE48,AD60*(1+Inputs!AE$279))</f>
        <v>0</v>
      </c>
      <c r="AF60" s="57">
        <f>IF(AF$14=1,'Inputs (2)'!AF48,AE60*(1+Inputs!AF$279))</f>
        <v>0</v>
      </c>
      <c r="AG60" s="57">
        <f>IF(AG$14=1,'Inputs (2)'!AG48,AF60*(1+Inputs!AG$279))</f>
        <v>0</v>
      </c>
      <c r="AH60" s="77">
        <f t="shared" si="20"/>
        <v>0</v>
      </c>
      <c r="AI60" s="57">
        <f>IF(AI$14=1,'Inputs (2)'!AI48,AG60*(1+Inputs!AI$279))</f>
        <v>0</v>
      </c>
      <c r="AJ60" s="57">
        <f>IF(AJ$14=1,'Inputs (2)'!AJ48,AI60*(1+Inputs!AJ$279))</f>
        <v>0</v>
      </c>
      <c r="AK60" s="57">
        <f>IF(AK$14=1,'Inputs (2)'!AK48,AJ60*(1+Inputs!AK$279))</f>
        <v>0</v>
      </c>
      <c r="AL60" s="57">
        <f>IF(AL$14=1,'Inputs (2)'!AL48,AK60*(1+Inputs!AL$279))</f>
        <v>0</v>
      </c>
      <c r="AM60" s="77">
        <f t="shared" si="21"/>
        <v>0</v>
      </c>
      <c r="AN60" s="57">
        <f>IF(AN$14=1,'Inputs (2)'!AN48,AL60*(1+Inputs!AN$279))</f>
        <v>0</v>
      </c>
      <c r="AO60" s="57">
        <f>IF(AO$14=1,'Inputs (2)'!AO48,AN60*(1+Inputs!AO$279))</f>
        <v>0</v>
      </c>
      <c r="AP60" s="57">
        <f>IF(AP$14=1,'Inputs (2)'!AP48,AO60*(1+Inputs!AP$279))</f>
        <v>0</v>
      </c>
      <c r="AQ60" s="57">
        <f>IF(AQ$14=1,'Inputs (2)'!AQ48,AP60*(1+Inputs!AQ$279))</f>
        <v>0</v>
      </c>
      <c r="AR60" s="77">
        <f t="shared" si="22"/>
        <v>0</v>
      </c>
      <c r="AS60" s="57">
        <f>IF(AS$14=1,'Inputs (2)'!AS48,AQ60*(1+Inputs!AS$279))</f>
        <v>0</v>
      </c>
      <c r="AT60" s="57">
        <f>IF(AT$14=1,'Inputs (2)'!AT48,AS60*(1+Inputs!AT$279))</f>
        <v>0</v>
      </c>
      <c r="AU60" s="57">
        <f>IF(AU$14=1,'Inputs (2)'!AU48,AT60*(1+Inputs!AU$279))</f>
        <v>0</v>
      </c>
      <c r="AV60" s="57">
        <f>IF(AV$14=1,'Inputs (2)'!AV48,AU60*(1+Inputs!AV$279))</f>
        <v>0</v>
      </c>
      <c r="AW60" s="77">
        <f t="shared" si="23"/>
        <v>0</v>
      </c>
      <c r="AX60" s="57">
        <f>IF(AX$14=1,'Inputs (2)'!AX48,AV60*(1+Inputs!AX$279))</f>
        <v>0</v>
      </c>
      <c r="AY60" s="57">
        <f>IF(AY$14=1,'Inputs (2)'!AY48,AX60*(1+Inputs!AY$279))</f>
        <v>0</v>
      </c>
      <c r="AZ60" s="57">
        <f>IF(AZ$14=1,'Inputs (2)'!AZ48,AY60*(1+Inputs!AZ$279))</f>
        <v>0</v>
      </c>
      <c r="BA60" s="57">
        <f>IF(BA$14=1,'Inputs (2)'!BA48,AZ60*(1+Inputs!BA$279))</f>
        <v>0</v>
      </c>
      <c r="BB60" s="77">
        <f t="shared" si="24"/>
        <v>0</v>
      </c>
      <c r="BC60" s="57">
        <f>IF(BC$14=1,'Inputs (2)'!BC48,BA60*(1+Inputs!BC$279))</f>
        <v>0</v>
      </c>
      <c r="BD60" s="57">
        <f>IF(BD$14=1,'Inputs (2)'!BD48,BC60*(1+Inputs!BD$279))</f>
        <v>0</v>
      </c>
      <c r="BE60" s="57">
        <f>IF(BE$14=1,'Inputs (2)'!BE48,BD60*(1+Inputs!BE$279))</f>
        <v>0</v>
      </c>
      <c r="BF60" s="57">
        <f>IF(BF$14=1,'Inputs (2)'!BF48,BE60*(1+Inputs!BF$279))</f>
        <v>0</v>
      </c>
      <c r="BG60" s="77">
        <f t="shared" si="25"/>
        <v>0</v>
      </c>
    </row>
    <row r="61" spans="3:61" hidden="1" outlineLevel="1" x14ac:dyDescent="0.25">
      <c r="C61" s="61" t="s">
        <v>117</v>
      </c>
      <c r="D61" s="62" t="s">
        <v>590</v>
      </c>
      <c r="E61" s="57">
        <f>'Inputs (2)'!E49</f>
        <v>0</v>
      </c>
      <c r="F61" s="57">
        <f>IF(F$14=1,'Inputs (2)'!F49,E61*(1+Inputs!F$279))</f>
        <v>0</v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 t="shared" si="15"/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 t="shared" si="16"/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 t="shared" si="17"/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 t="shared" si="18"/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 t="shared" si="19"/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 t="shared" si="20"/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 t="shared" si="21"/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 t="shared" si="22"/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 t="shared" si="23"/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 t="shared" si="24"/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 t="shared" si="25"/>
        <v>0</v>
      </c>
    </row>
    <row r="62" spans="3:61" collapsed="1" x14ac:dyDescent="0.25">
      <c r="C62" s="80" t="s">
        <v>69</v>
      </c>
      <c r="D62" s="81" t="s">
        <v>555</v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0</v>
      </c>
      <c r="I62" s="77">
        <f t="shared" si="15"/>
        <v>0</v>
      </c>
      <c r="J62" s="82">
        <f>IF(J$14=1,'Inputs (2)'!J50,H62)</f>
        <v>0</v>
      </c>
      <c r="K62" s="82">
        <f>IF(K$14=1,'Inputs (2)'!K50,J62)</f>
        <v>0</v>
      </c>
      <c r="L62" s="82">
        <f>IF(L$14=1,'Inputs (2)'!L50,K62)</f>
        <v>0</v>
      </c>
      <c r="M62" s="82">
        <f>IF(M$14=1,'Inputs (2)'!M50,L62)</f>
        <v>0</v>
      </c>
      <c r="N62" s="77">
        <f t="shared" si="16"/>
        <v>0</v>
      </c>
      <c r="O62" s="82">
        <f>IF(O$14=1,'Inputs (2)'!O50,M62)</f>
        <v>0</v>
      </c>
      <c r="P62" s="82">
        <f>IF(P$14=1,'Inputs (2)'!P50,O62)</f>
        <v>0</v>
      </c>
      <c r="Q62" s="82">
        <f>IF(Q$14=1,'Inputs (2)'!Q50,P62)</f>
        <v>0</v>
      </c>
      <c r="R62" s="82">
        <f>IF(R$14=1,'Inputs (2)'!R50,Q62)</f>
        <v>0</v>
      </c>
      <c r="S62" s="77">
        <f t="shared" si="17"/>
        <v>0</v>
      </c>
      <c r="T62" s="82">
        <f>IF(T$14=1,'Inputs (2)'!T50,R62)</f>
        <v>0</v>
      </c>
      <c r="U62" s="82">
        <f>IF(U$14=1,'Inputs (2)'!U50,T62)</f>
        <v>0</v>
      </c>
      <c r="V62" s="82">
        <f>IF(V$14=1,'Inputs (2)'!V50,U62)</f>
        <v>0</v>
      </c>
      <c r="W62" s="82">
        <f>IF(W$14=1,'Inputs (2)'!W50,V62)</f>
        <v>0</v>
      </c>
      <c r="X62" s="77">
        <f t="shared" si="18"/>
        <v>0</v>
      </c>
      <c r="Y62" s="82">
        <f>IF(Y$14=1,'Inputs (2)'!Y50,W62)</f>
        <v>0</v>
      </c>
      <c r="Z62" s="82">
        <f>IF(Z$14=1,'Inputs (2)'!Z50,Y62)</f>
        <v>0</v>
      </c>
      <c r="AA62" s="82">
        <f>IF(AA$14=1,'Inputs (2)'!AA50,Z62)</f>
        <v>0</v>
      </c>
      <c r="AB62" s="82">
        <f>IF(AB$14=1,'Inputs (2)'!AB50,AA62)</f>
        <v>0</v>
      </c>
      <c r="AC62" s="77">
        <f t="shared" si="19"/>
        <v>0</v>
      </c>
      <c r="AD62" s="82">
        <f>IF(AD$14=1,'Inputs (2)'!AD50,AB62)</f>
        <v>0</v>
      </c>
      <c r="AE62" s="82">
        <f>IF(AE$14=1,'Inputs (2)'!AE50,AD62)</f>
        <v>0</v>
      </c>
      <c r="AF62" s="82">
        <f>IF(AF$14=1,'Inputs (2)'!AF50,AE62)</f>
        <v>0</v>
      </c>
      <c r="AG62" s="82">
        <f>IF(AG$14=1,'Inputs (2)'!AG50,AF62)</f>
        <v>0</v>
      </c>
      <c r="AH62" s="77">
        <f t="shared" si="20"/>
        <v>0</v>
      </c>
      <c r="AI62" s="82">
        <f>IF(AI$14=1,'Inputs (2)'!AI50,AG62)</f>
        <v>0</v>
      </c>
      <c r="AJ62" s="82">
        <f>IF(AJ$14=1,'Inputs (2)'!AJ50,AI62)</f>
        <v>0</v>
      </c>
      <c r="AK62" s="82">
        <f>IF(AK$14=1,'Inputs (2)'!AK50,AJ62)</f>
        <v>0</v>
      </c>
      <c r="AL62" s="82">
        <f>IF(AL$14=1,'Inputs (2)'!AL50,AK62)</f>
        <v>0</v>
      </c>
      <c r="AM62" s="77">
        <f t="shared" si="21"/>
        <v>0</v>
      </c>
      <c r="AN62" s="82">
        <f>IF(AN$14=1,'Inputs (2)'!AN50,AL62)</f>
        <v>0</v>
      </c>
      <c r="AO62" s="82">
        <f>IF(AO$14=1,'Inputs (2)'!AO50,AN62)</f>
        <v>0</v>
      </c>
      <c r="AP62" s="82">
        <f>IF(AP$14=1,'Inputs (2)'!AP50,AO62)</f>
        <v>0</v>
      </c>
      <c r="AQ62" s="82">
        <f>IF(AQ$14=1,'Inputs (2)'!AQ50,AP62)</f>
        <v>0</v>
      </c>
      <c r="AR62" s="77">
        <f t="shared" si="22"/>
        <v>0</v>
      </c>
      <c r="AS62" s="82">
        <f>IF(AS$14=1,'Inputs (2)'!AS50,AQ62)</f>
        <v>0</v>
      </c>
      <c r="AT62" s="82">
        <f>IF(AT$14=1,'Inputs (2)'!AT50,AS62)</f>
        <v>0</v>
      </c>
      <c r="AU62" s="82">
        <f>IF(AU$14=1,'Inputs (2)'!AU50,AT62)</f>
        <v>0</v>
      </c>
      <c r="AV62" s="82">
        <f>IF(AV$14=1,'Inputs (2)'!AV50,AU62)</f>
        <v>0</v>
      </c>
      <c r="AW62" s="77">
        <f t="shared" si="23"/>
        <v>0</v>
      </c>
      <c r="AX62" s="82">
        <f>IF(AX$14=1,'Inputs (2)'!AX50,AV62)</f>
        <v>0</v>
      </c>
      <c r="AY62" s="82">
        <f>IF(AY$14=1,'Inputs (2)'!AY50,AX62)</f>
        <v>0</v>
      </c>
      <c r="AZ62" s="82">
        <f>IF(AZ$14=1,'Inputs (2)'!AZ50,AY62)</f>
        <v>0</v>
      </c>
      <c r="BA62" s="82">
        <f>IF(BA$14=1,'Inputs (2)'!BA50,AZ62)</f>
        <v>0</v>
      </c>
      <c r="BB62" s="77">
        <f t="shared" si="24"/>
        <v>0</v>
      </c>
      <c r="BC62" s="82">
        <f>IF(BC$14=1,'Inputs (2)'!BC50,BA62)</f>
        <v>0</v>
      </c>
      <c r="BD62" s="82">
        <f>IF(BD$14=1,'Inputs (2)'!BD50,BC62)</f>
        <v>0</v>
      </c>
      <c r="BE62" s="82">
        <f>IF(BE$14=1,'Inputs (2)'!BE50,BD62)</f>
        <v>0</v>
      </c>
      <c r="BF62" s="82">
        <f>IF(BF$14=1,'Inputs (2)'!BF50,BE62)</f>
        <v>0</v>
      </c>
      <c r="BG62" s="77">
        <f t="shared" si="25"/>
        <v>0</v>
      </c>
    </row>
    <row r="63" spans="3:61" x14ac:dyDescent="0.25">
      <c r="C63" s="80" t="s">
        <v>76</v>
      </c>
      <c r="D63" s="81" t="s">
        <v>771</v>
      </c>
      <c r="E63" s="82">
        <f>'Inputs (2)'!E51</f>
        <v>0</v>
      </c>
      <c r="F63" s="82">
        <f>IF(F$14=1,'Inputs (2)'!F51,E63*(1+Inputs!F$282))</f>
        <v>0</v>
      </c>
      <c r="G63" s="82">
        <f>IF(G$14=1,'Inputs (2)'!G51,F63*(1+Inputs!G$282))</f>
        <v>0</v>
      </c>
      <c r="H63" s="82">
        <f>IF(H$14=1,'Inputs (2)'!H51,G63*(1+Inputs!H$282))</f>
        <v>0</v>
      </c>
      <c r="I63" s="77">
        <f t="shared" si="15"/>
        <v>0</v>
      </c>
      <c r="J63" s="82">
        <f>IF(J$14=1,'Inputs (2)'!J51,H63*(1+Inputs!J$282))</f>
        <v>0</v>
      </c>
      <c r="K63" s="82">
        <f>IF(K$14=1,'Inputs (2)'!K51,J63*(1+Inputs!K$282))</f>
        <v>0</v>
      </c>
      <c r="L63" s="82">
        <f>IF(L$14=1,'Inputs (2)'!L51,K63*(1+Inputs!L$282))</f>
        <v>0</v>
      </c>
      <c r="M63" s="82">
        <f>IF(M$14=1,'Inputs (2)'!M51,L63*(1+Inputs!M$282))</f>
        <v>0</v>
      </c>
      <c r="N63" s="77">
        <f t="shared" si="16"/>
        <v>0</v>
      </c>
      <c r="O63" s="82">
        <f>IF(O$14=1,'Inputs (2)'!O51,M63*(1+Inputs!O$282))</f>
        <v>0</v>
      </c>
      <c r="P63" s="82">
        <f>IF(P$14=1,'Inputs (2)'!P51,O63*(1+Inputs!P$282))</f>
        <v>0</v>
      </c>
      <c r="Q63" s="82">
        <f>IF(Q$14=1,'Inputs (2)'!Q51,P63*(1+Inputs!Q$282))</f>
        <v>0</v>
      </c>
      <c r="R63" s="82">
        <f>IF(R$14=1,'Inputs (2)'!R51,Q63*(1+Inputs!R$282))</f>
        <v>0</v>
      </c>
      <c r="S63" s="77">
        <f t="shared" si="17"/>
        <v>0</v>
      </c>
      <c r="T63" s="82">
        <f>IF(T$14=1,'Inputs (2)'!T51,R63*(1+Inputs!T$282))</f>
        <v>0</v>
      </c>
      <c r="U63" s="82">
        <f>IF(U$14=1,'Inputs (2)'!U51,T63*(1+Inputs!U$282))</f>
        <v>0</v>
      </c>
      <c r="V63" s="82">
        <f>IF(V$14=1,'Inputs (2)'!V51,U63*(1+Inputs!V$282))</f>
        <v>0</v>
      </c>
      <c r="W63" s="82">
        <f>IF(W$14=1,'Inputs (2)'!W51,V63*(1+Inputs!W$282))</f>
        <v>0</v>
      </c>
      <c r="X63" s="77">
        <f t="shared" si="18"/>
        <v>0</v>
      </c>
      <c r="Y63" s="82">
        <f>IF(Y$14=1,'Inputs (2)'!Y51,W63*(1+Inputs!Y$282))</f>
        <v>0</v>
      </c>
      <c r="Z63" s="82">
        <f>IF(Z$14=1,'Inputs (2)'!Z51,Y63*(1+Inputs!Z$282))</f>
        <v>0</v>
      </c>
      <c r="AA63" s="82">
        <f>IF(AA$14=1,'Inputs (2)'!AA51,Z63*(1+Inputs!AA$282))</f>
        <v>0</v>
      </c>
      <c r="AB63" s="82">
        <f>IF(AB$14=1,'Inputs (2)'!AB51,AA63*(1+Inputs!AB$282))</f>
        <v>0</v>
      </c>
      <c r="AC63" s="77">
        <f t="shared" si="19"/>
        <v>0</v>
      </c>
      <c r="AD63" s="82">
        <f>IF(AD$14=1,'Inputs (2)'!AD51,AB63*(1+Inputs!AD$282))</f>
        <v>0</v>
      </c>
      <c r="AE63" s="82">
        <f>IF(AE$14=1,'Inputs (2)'!AE51,AD63*(1+Inputs!AE$282))</f>
        <v>0</v>
      </c>
      <c r="AF63" s="82">
        <f>IF(AF$14=1,'Inputs (2)'!AF51,AE63*(1+Inputs!AF$282))</f>
        <v>0</v>
      </c>
      <c r="AG63" s="82">
        <f>IF(AG$14=1,'Inputs (2)'!AG51,AF63*(1+Inputs!AG$282))</f>
        <v>0</v>
      </c>
      <c r="AH63" s="77">
        <f t="shared" si="20"/>
        <v>0</v>
      </c>
      <c r="AI63" s="82">
        <f>IF(AI$14=1,'Inputs (2)'!AI51,AG63*(1+Inputs!AI$282))</f>
        <v>0</v>
      </c>
      <c r="AJ63" s="82">
        <f>IF(AJ$14=1,'Inputs (2)'!AJ51,AI63*(1+Inputs!AJ$282))</f>
        <v>0</v>
      </c>
      <c r="AK63" s="82">
        <f>IF(AK$14=1,'Inputs (2)'!AK51,AJ63*(1+Inputs!AK$282))</f>
        <v>0</v>
      </c>
      <c r="AL63" s="82">
        <f>IF(AL$14=1,'Inputs (2)'!AL51,AK63*(1+Inputs!AL$282))</f>
        <v>0</v>
      </c>
      <c r="AM63" s="77">
        <f t="shared" si="21"/>
        <v>0</v>
      </c>
      <c r="AN63" s="82">
        <f>IF(AN$14=1,'Inputs (2)'!AN51,AL63*(1+Inputs!AN$282))</f>
        <v>0</v>
      </c>
      <c r="AO63" s="82">
        <f>IF(AO$14=1,'Inputs (2)'!AO51,AN63*(1+Inputs!AO$282))</f>
        <v>0</v>
      </c>
      <c r="AP63" s="82">
        <f>IF(AP$14=1,'Inputs (2)'!AP51,AO63*(1+Inputs!AP$282))</f>
        <v>0</v>
      </c>
      <c r="AQ63" s="82">
        <f>IF(AQ$14=1,'Inputs (2)'!AQ51,AP63*(1+Inputs!AQ$282))</f>
        <v>0</v>
      </c>
      <c r="AR63" s="77">
        <f t="shared" si="22"/>
        <v>0</v>
      </c>
      <c r="AS63" s="82">
        <f>IF(AS$14=1,'Inputs (2)'!AS51,AQ63*(1+Inputs!AS$282))</f>
        <v>0</v>
      </c>
      <c r="AT63" s="82">
        <f>IF(AT$14=1,'Inputs (2)'!AT51,AS63*(1+Inputs!AT$282))</f>
        <v>0</v>
      </c>
      <c r="AU63" s="82">
        <f>IF(AU$14=1,'Inputs (2)'!AU51,AT63*(1+Inputs!AU$282))</f>
        <v>0</v>
      </c>
      <c r="AV63" s="82">
        <f>IF(AV$14=1,'Inputs (2)'!AV51,AU63*(1+Inputs!AV$282))</f>
        <v>0</v>
      </c>
      <c r="AW63" s="77">
        <f t="shared" si="23"/>
        <v>0</v>
      </c>
      <c r="AX63" s="82">
        <f>IF(AX$14=1,'Inputs (2)'!AX51,AV63*(1+Inputs!AX$282))</f>
        <v>0</v>
      </c>
      <c r="AY63" s="82">
        <f>IF(AY$14=1,'Inputs (2)'!AY51,AX63*(1+Inputs!AY$282))</f>
        <v>0</v>
      </c>
      <c r="AZ63" s="82">
        <f>IF(AZ$14=1,'Inputs (2)'!AZ51,AY63*(1+Inputs!AZ$282))</f>
        <v>0</v>
      </c>
      <c r="BA63" s="82">
        <f>IF(BA$14=1,'Inputs (2)'!BA51,AZ63*(1+Inputs!BA$282))</f>
        <v>0</v>
      </c>
      <c r="BB63" s="77">
        <f t="shared" si="24"/>
        <v>0</v>
      </c>
      <c r="BC63" s="82">
        <f>IF(BC$14=1,'Inputs (2)'!BC51,BA63*(1+Inputs!BC$282))</f>
        <v>0</v>
      </c>
      <c r="BD63" s="82">
        <f>IF(BD$14=1,'Inputs (2)'!BD51,BC63*(1+Inputs!BD$282))</f>
        <v>0</v>
      </c>
      <c r="BE63" s="82">
        <f>IF(BE$14=1,'Inputs (2)'!BE51,BD63*(1+Inputs!BE$282))</f>
        <v>0</v>
      </c>
      <c r="BF63" s="82">
        <f>IF(BF$14=1,'Inputs (2)'!BF51,BE63*(1+Inputs!BF$282))</f>
        <v>0</v>
      </c>
      <c r="BG63" s="77">
        <f t="shared" si="25"/>
        <v>0</v>
      </c>
    </row>
    <row r="64" spans="3:61" x14ac:dyDescent="0.25">
      <c r="C64" s="80" t="s">
        <v>782</v>
      </c>
      <c r="D64" s="81" t="s">
        <v>783</v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 t="shared" si="15"/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 t="shared" si="16"/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 t="shared" si="17"/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 t="shared" si="18"/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 t="shared" si="19"/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 t="shared" si="20"/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 t="shared" si="21"/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 t="shared" si="22"/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 t="shared" si="23"/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 t="shared" si="24"/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 t="shared" si="25"/>
        <v>0</v>
      </c>
    </row>
    <row r="65" spans="2:61" x14ac:dyDescent="0.25">
      <c r="C65" s="80" t="s">
        <v>784</v>
      </c>
      <c r="D65" s="81" t="s">
        <v>592</v>
      </c>
      <c r="E65" s="82">
        <f>'Inputs (2)'!E53</f>
        <v>0</v>
      </c>
      <c r="F65" s="82">
        <f>IF(F$14=1,'Inputs (2)'!F53,E65*(1+Inputs!F$282))</f>
        <v>0</v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 t="shared" si="15"/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 t="shared" si="16"/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 t="shared" si="17"/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 t="shared" si="18"/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 t="shared" si="19"/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 t="shared" si="20"/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 t="shared" si="21"/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 t="shared" si="22"/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 t="shared" si="23"/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 t="shared" si="24"/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 t="shared" si="25"/>
        <v>0</v>
      </c>
    </row>
    <row r="66" spans="2:61" x14ac:dyDescent="0.25">
      <c r="C66" s="80" t="s">
        <v>125</v>
      </c>
      <c r="D66" s="81" t="s">
        <v>593</v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 t="shared" si="15"/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 t="shared" si="16"/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 t="shared" si="17"/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 t="shared" si="18"/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 t="shared" si="19"/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 t="shared" si="20"/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 t="shared" si="21"/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 t="shared" si="22"/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 t="shared" si="23"/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 t="shared" si="24"/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 t="shared" si="25"/>
        <v>0</v>
      </c>
    </row>
    <row r="67" spans="2:61" x14ac:dyDescent="0.25">
      <c r="C67" s="80" t="s">
        <v>127</v>
      </c>
      <c r="D67" s="81" t="s">
        <v>785</v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 t="shared" si="15"/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 t="shared" si="16"/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 t="shared" si="17"/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 t="shared" si="18"/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 t="shared" si="19"/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 t="shared" si="20"/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 t="shared" si="21"/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 t="shared" si="22"/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 t="shared" si="23"/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 t="shared" si="24"/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 t="shared" si="25"/>
        <v>0</v>
      </c>
    </row>
    <row r="68" spans="2:61" x14ac:dyDescent="0.25">
      <c r="C68" s="80" t="s">
        <v>129</v>
      </c>
      <c r="D68" s="81" t="s">
        <v>595</v>
      </c>
      <c r="E68" s="82">
        <f>'Inputs (2)'!E56</f>
        <v>0</v>
      </c>
      <c r="F68" s="82">
        <f>IF(F$14=1,'Inputs (2)'!F56,E68*(1+Inputs!F$282))</f>
        <v>0</v>
      </c>
      <c r="G68" s="82">
        <f>IF(G$14=1,'Inputs (2)'!G56,F68*(1+Inputs!G$282))</f>
        <v>0</v>
      </c>
      <c r="H68" s="82">
        <f>IF(H$14=1,'Inputs (2)'!H56,G68*(1+Inputs!H$282))</f>
        <v>0</v>
      </c>
      <c r="I68" s="77">
        <f t="shared" si="15"/>
        <v>0</v>
      </c>
      <c r="J68" s="82">
        <f>IF(J$14=1,'Inputs (2)'!J56,H68*(1+Inputs!J$282))</f>
        <v>0</v>
      </c>
      <c r="K68" s="82">
        <f>IF(K$14=1,'Inputs (2)'!K56,J68*(1+Inputs!K$282))</f>
        <v>0</v>
      </c>
      <c r="L68" s="82">
        <f>IF(L$14=1,'Inputs (2)'!L56,K68*(1+Inputs!L$282))</f>
        <v>0</v>
      </c>
      <c r="M68" s="82">
        <f>IF(M$14=1,'Inputs (2)'!M56,L68*(1+Inputs!M$282))</f>
        <v>0</v>
      </c>
      <c r="N68" s="77">
        <f t="shared" si="16"/>
        <v>0</v>
      </c>
      <c r="O68" s="82">
        <f>IF(O$14=1,'Inputs (2)'!O56,M68*(1+Inputs!O$282))</f>
        <v>0</v>
      </c>
      <c r="P68" s="82">
        <f>IF(P$14=1,'Inputs (2)'!P56,O68*(1+Inputs!P$282))</f>
        <v>0</v>
      </c>
      <c r="Q68" s="82">
        <f>IF(Q$14=1,'Inputs (2)'!Q56,P68*(1+Inputs!Q$282))</f>
        <v>0</v>
      </c>
      <c r="R68" s="82">
        <f>IF(R$14=1,'Inputs (2)'!R56,Q68*(1+Inputs!R$282))</f>
        <v>0</v>
      </c>
      <c r="S68" s="77">
        <f t="shared" si="17"/>
        <v>0</v>
      </c>
      <c r="T68" s="82">
        <f>IF(T$14=1,'Inputs (2)'!T56,R68*(1+Inputs!T$282))</f>
        <v>0</v>
      </c>
      <c r="U68" s="82">
        <f>IF(U$14=1,'Inputs (2)'!U56,T68*(1+Inputs!U$282))</f>
        <v>0</v>
      </c>
      <c r="V68" s="82">
        <f>IF(V$14=1,'Inputs (2)'!V56,U68*(1+Inputs!V$282))</f>
        <v>0</v>
      </c>
      <c r="W68" s="82">
        <f>IF(W$14=1,'Inputs (2)'!W56,V68*(1+Inputs!W$282))</f>
        <v>0</v>
      </c>
      <c r="X68" s="77">
        <f t="shared" si="18"/>
        <v>0</v>
      </c>
      <c r="Y68" s="82">
        <f>IF(Y$14=1,'Inputs (2)'!Y56,W68*(1+Inputs!Y$282))</f>
        <v>0</v>
      </c>
      <c r="Z68" s="82">
        <f>IF(Z$14=1,'Inputs (2)'!Z56,Y68*(1+Inputs!Z$282))</f>
        <v>0</v>
      </c>
      <c r="AA68" s="82">
        <f>IF(AA$14=1,'Inputs (2)'!AA56,Z68*(1+Inputs!AA$282))</f>
        <v>0</v>
      </c>
      <c r="AB68" s="82">
        <f>IF(AB$14=1,'Inputs (2)'!AB56,AA68*(1+Inputs!AB$282))</f>
        <v>0</v>
      </c>
      <c r="AC68" s="77">
        <f t="shared" si="19"/>
        <v>0</v>
      </c>
      <c r="AD68" s="82">
        <f>IF(AD$14=1,'Inputs (2)'!AD56,AB68*(1+Inputs!AD$282))</f>
        <v>0</v>
      </c>
      <c r="AE68" s="82">
        <f>IF(AE$14=1,'Inputs (2)'!AE56,AD68*(1+Inputs!AE$282))</f>
        <v>0</v>
      </c>
      <c r="AF68" s="82">
        <f>IF(AF$14=1,'Inputs (2)'!AF56,AE68*(1+Inputs!AF$282))</f>
        <v>0</v>
      </c>
      <c r="AG68" s="82">
        <f>IF(AG$14=1,'Inputs (2)'!AG56,AF68*(1+Inputs!AG$282))</f>
        <v>0</v>
      </c>
      <c r="AH68" s="77">
        <f t="shared" si="20"/>
        <v>0</v>
      </c>
      <c r="AI68" s="82">
        <f>IF(AI$14=1,'Inputs (2)'!AI56,AG68*(1+Inputs!AI$282))</f>
        <v>0</v>
      </c>
      <c r="AJ68" s="82">
        <f>IF(AJ$14=1,'Inputs (2)'!AJ56,AI68*(1+Inputs!AJ$282))</f>
        <v>0</v>
      </c>
      <c r="AK68" s="82">
        <f>IF(AK$14=1,'Inputs (2)'!AK56,AJ68*(1+Inputs!AK$282))</f>
        <v>0</v>
      </c>
      <c r="AL68" s="82">
        <f>IF(AL$14=1,'Inputs (2)'!AL56,AK68*(1+Inputs!AL$282))</f>
        <v>0</v>
      </c>
      <c r="AM68" s="77">
        <f t="shared" si="21"/>
        <v>0</v>
      </c>
      <c r="AN68" s="82">
        <f>IF(AN$14=1,'Inputs (2)'!AN56,AL68*(1+Inputs!AN$282))</f>
        <v>0</v>
      </c>
      <c r="AO68" s="82">
        <f>IF(AO$14=1,'Inputs (2)'!AO56,AN68*(1+Inputs!AO$282))</f>
        <v>0</v>
      </c>
      <c r="AP68" s="82">
        <f>IF(AP$14=1,'Inputs (2)'!AP56,AO68*(1+Inputs!AP$282))</f>
        <v>0</v>
      </c>
      <c r="AQ68" s="82">
        <f>IF(AQ$14=1,'Inputs (2)'!AQ56,AP68*(1+Inputs!AQ$282))</f>
        <v>0</v>
      </c>
      <c r="AR68" s="77">
        <f t="shared" si="22"/>
        <v>0</v>
      </c>
      <c r="AS68" s="82">
        <f>IF(AS$14=1,'Inputs (2)'!AS56,AQ68*(1+Inputs!AS$282))</f>
        <v>0</v>
      </c>
      <c r="AT68" s="82">
        <f>IF(AT$14=1,'Inputs (2)'!AT56,AS68*(1+Inputs!AT$282))</f>
        <v>0</v>
      </c>
      <c r="AU68" s="82">
        <f>IF(AU$14=1,'Inputs (2)'!AU56,AT68*(1+Inputs!AU$282))</f>
        <v>0</v>
      </c>
      <c r="AV68" s="82">
        <f>IF(AV$14=1,'Inputs (2)'!AV56,AU68*(1+Inputs!AV$282))</f>
        <v>0</v>
      </c>
      <c r="AW68" s="77">
        <f t="shared" si="23"/>
        <v>0</v>
      </c>
      <c r="AX68" s="82">
        <f>IF(AX$14=1,'Inputs (2)'!AX56,AV68*(1+Inputs!AX$282))</f>
        <v>0</v>
      </c>
      <c r="AY68" s="82">
        <f>IF(AY$14=1,'Inputs (2)'!AY56,AX68*(1+Inputs!AY$282))</f>
        <v>0</v>
      </c>
      <c r="AZ68" s="82">
        <f>IF(AZ$14=1,'Inputs (2)'!AZ56,AY68*(1+Inputs!AZ$282))</f>
        <v>0</v>
      </c>
      <c r="BA68" s="82">
        <f>IF(BA$14=1,'Inputs (2)'!BA56,AZ68*(1+Inputs!BA$282))</f>
        <v>0</v>
      </c>
      <c r="BB68" s="77">
        <f t="shared" si="24"/>
        <v>0</v>
      </c>
      <c r="BC68" s="82">
        <f>IF(BC$14=1,'Inputs (2)'!BC56,BA68*(1+Inputs!BC$282))</f>
        <v>0</v>
      </c>
      <c r="BD68" s="82">
        <f>IF(BD$14=1,'Inputs (2)'!BD56,BC68*(1+Inputs!BD$282))</f>
        <v>0</v>
      </c>
      <c r="BE68" s="82">
        <f>IF(BE$14=1,'Inputs (2)'!BE56,BD68*(1+Inputs!BE$282))</f>
        <v>0</v>
      </c>
      <c r="BF68" s="82">
        <f>IF(BF$14=1,'Inputs (2)'!BF56,BE68*(1+Inputs!BF$282))</f>
        <v>0</v>
      </c>
      <c r="BG68" s="77">
        <f t="shared" si="25"/>
        <v>0</v>
      </c>
    </row>
    <row r="69" spans="2:61" x14ac:dyDescent="0.25">
      <c r="C69" s="53" t="s">
        <v>786</v>
      </c>
      <c r="D69" s="54" t="s">
        <v>787</v>
      </c>
      <c r="E69" s="59">
        <f>E44+E50+E54+E59+E62+E63+E64+E65+E66+E67+E68</f>
        <v>0</v>
      </c>
      <c r="F69" s="59">
        <f>F44+F50+F54+F59+F62+F63+F64+F65+F66+F67+F68</f>
        <v>0</v>
      </c>
      <c r="G69" s="59">
        <f>G44+G50+G54+G59+G62+G63+G64+G65+G66+G67+G68</f>
        <v>0</v>
      </c>
      <c r="H69" s="59">
        <f>H44+H50+H54+H59+H62+H63+H64+H65+H66+H67+H68</f>
        <v>0</v>
      </c>
      <c r="I69" s="60">
        <f t="shared" si="15"/>
        <v>0</v>
      </c>
      <c r="J69" s="59">
        <f>J44+J50+J54+J59+J62+J63+J64+J65+J66+J67+J68</f>
        <v>0</v>
      </c>
      <c r="K69" s="59">
        <f>K44+K50+K54+K59+K62+K63+K64+K65+K66+K67+K68</f>
        <v>0</v>
      </c>
      <c r="L69" s="59">
        <f>L44+L50+L54+L59+L62+L63+L64+L65+L66+L67+L68</f>
        <v>0</v>
      </c>
      <c r="M69" s="59">
        <f>M44+M50+M54+M59+M62+M63+M64+M65+M66+M67+M68</f>
        <v>0</v>
      </c>
      <c r="N69" s="60">
        <f t="shared" si="16"/>
        <v>0</v>
      </c>
      <c r="O69" s="59">
        <f>O44+O50+O54+O59+O62+O63+O64+O65+O66+O67+O68</f>
        <v>0</v>
      </c>
      <c r="P69" s="59">
        <f>P44+P50+P54+P59+P62+P63+P64+P65+P66+P67+P68</f>
        <v>0</v>
      </c>
      <c r="Q69" s="59">
        <f>Q44+Q50+Q54+Q59+Q62+Q63+Q64+Q65+Q66+Q67+Q68</f>
        <v>0</v>
      </c>
      <c r="R69" s="59">
        <f>R44+R50+R54+R59+R62+R63+R64+R65+R66+R67+R68</f>
        <v>0</v>
      </c>
      <c r="S69" s="60">
        <f t="shared" si="17"/>
        <v>0</v>
      </c>
      <c r="T69" s="59">
        <f>T44+T50+T54+T59+T62+T63+T64+T65+T66+T67+T68</f>
        <v>0</v>
      </c>
      <c r="U69" s="59">
        <f>U44+U50+U54+U59+U62+U63+U64+U65+U66+U67+U68</f>
        <v>0</v>
      </c>
      <c r="V69" s="59">
        <f>V44+V50+V54+V59+V62+V63+V64+V65+V66+V67+V68</f>
        <v>0</v>
      </c>
      <c r="W69" s="59">
        <f>W44+W50+W54+W59+W62+W63+W64+W65+W66+W67+W68</f>
        <v>0</v>
      </c>
      <c r="X69" s="60">
        <f t="shared" si="18"/>
        <v>0</v>
      </c>
      <c r="Y69" s="59">
        <f>Y44+Y50+Y54+Y59+Y62+Y63+Y64+Y65+Y66+Y67+Y68</f>
        <v>0</v>
      </c>
      <c r="Z69" s="59">
        <f>Z44+Z50+Z54+Z59+Z62+Z63+Z64+Z65+Z66+Z67+Z68</f>
        <v>0</v>
      </c>
      <c r="AA69" s="59">
        <f>AA44+AA50+AA54+AA59+AA62+AA63+AA64+AA65+AA66+AA67+AA68</f>
        <v>0</v>
      </c>
      <c r="AB69" s="59">
        <f>AB44+AB50+AB54+AB59+AB62+AB63+AB64+AB65+AB66+AB67+AB68</f>
        <v>0</v>
      </c>
      <c r="AC69" s="60">
        <f t="shared" si="19"/>
        <v>0</v>
      </c>
      <c r="AD69" s="59">
        <f>AD44+AD50+AD54+AD59+AD62+AD63+AD64+AD65+AD66+AD67+AD68</f>
        <v>0</v>
      </c>
      <c r="AE69" s="59">
        <f>AE44+AE50+AE54+AE59+AE62+AE63+AE64+AE65+AE66+AE67+AE68</f>
        <v>0</v>
      </c>
      <c r="AF69" s="59">
        <f>AF44+AF50+AF54+AF59+AF62+AF63+AF64+AF65+AF66+AF67+AF68</f>
        <v>0</v>
      </c>
      <c r="AG69" s="59">
        <f>AG44+AG50+AG54+AG59+AG62+AG63+AG64+AG65+AG66+AG67+AG68</f>
        <v>0</v>
      </c>
      <c r="AH69" s="60">
        <f t="shared" si="20"/>
        <v>0</v>
      </c>
      <c r="AI69" s="59">
        <f>AI44+AI50+AI54+AI59+AI62+AI63+AI64+AI65+AI66+AI67+AI68</f>
        <v>0</v>
      </c>
      <c r="AJ69" s="59">
        <f>AJ44+AJ50+AJ54+AJ59+AJ62+AJ63+AJ64+AJ65+AJ66+AJ67+AJ68</f>
        <v>0</v>
      </c>
      <c r="AK69" s="59">
        <f>AK44+AK50+AK54+AK59+AK62+AK63+AK64+AK65+AK66+AK67+AK68</f>
        <v>0</v>
      </c>
      <c r="AL69" s="59">
        <f>AL44+AL50+AL54+AL59+AL62+AL63+AL64+AL65+AL66+AL67+AL68</f>
        <v>0</v>
      </c>
      <c r="AM69" s="60">
        <f t="shared" si="21"/>
        <v>0</v>
      </c>
      <c r="AN69" s="59">
        <f>AN44+AN50+AN54+AN59+AN62+AN63+AN64+AN65+AN66+AN67+AN68</f>
        <v>0</v>
      </c>
      <c r="AO69" s="59">
        <f>AO44+AO50+AO54+AO59+AO62+AO63+AO64+AO65+AO66+AO67+AO68</f>
        <v>0</v>
      </c>
      <c r="AP69" s="59">
        <f>AP44+AP50+AP54+AP59+AP62+AP63+AP64+AP65+AP66+AP67+AP68</f>
        <v>0</v>
      </c>
      <c r="AQ69" s="59">
        <f>AQ44+AQ50+AQ54+AQ59+AQ62+AQ63+AQ64+AQ65+AQ66+AQ67+AQ68</f>
        <v>0</v>
      </c>
      <c r="AR69" s="60">
        <f t="shared" si="22"/>
        <v>0</v>
      </c>
      <c r="AS69" s="59">
        <f>AS44+AS50+AS54+AS59+AS62+AS63+AS64+AS65+AS66+AS67+AS68</f>
        <v>0</v>
      </c>
      <c r="AT69" s="59">
        <f>AT44+AT50+AT54+AT59+AT62+AT63+AT64+AT65+AT66+AT67+AT68</f>
        <v>0</v>
      </c>
      <c r="AU69" s="59">
        <f>AU44+AU50+AU54+AU59+AU62+AU63+AU64+AU65+AU66+AU67+AU68</f>
        <v>0</v>
      </c>
      <c r="AV69" s="59">
        <f>AV44+AV50+AV54+AV59+AV62+AV63+AV64+AV65+AV66+AV67+AV68</f>
        <v>0</v>
      </c>
      <c r="AW69" s="60">
        <f t="shared" si="23"/>
        <v>0</v>
      </c>
      <c r="AX69" s="59">
        <f>AX44+AX50+AX54+AX59+AX62+AX63+AX64+AX65+AX66+AX67+AX68</f>
        <v>0</v>
      </c>
      <c r="AY69" s="59">
        <f>AY44+AY50+AY54+AY59+AY62+AY63+AY64+AY65+AY66+AY67+AY68</f>
        <v>0</v>
      </c>
      <c r="AZ69" s="59">
        <f>AZ44+AZ50+AZ54+AZ59+AZ62+AZ63+AZ64+AZ65+AZ66+AZ67+AZ68</f>
        <v>0</v>
      </c>
      <c r="BA69" s="59">
        <f>BA44+BA50+BA54+BA59+BA62+BA63+BA64+BA65+BA66+BA67+BA68</f>
        <v>0</v>
      </c>
      <c r="BB69" s="60">
        <f t="shared" si="24"/>
        <v>0</v>
      </c>
      <c r="BC69" s="59">
        <f>BC44+BC50+BC54+BC59+BC62+BC63+BC64+BC65+BC66+BC67+BC68</f>
        <v>0</v>
      </c>
      <c r="BD69" s="59">
        <f>BD44+BD50+BD54+BD59+BD62+BD63+BD64+BD65+BD66+BD67+BD68</f>
        <v>0</v>
      </c>
      <c r="BE69" s="59">
        <f>BE44+BE50+BE54+BE59+BE62+BE63+BE64+BE65+BE66+BE67+BE68</f>
        <v>0</v>
      </c>
      <c r="BF69" s="59">
        <f>BF44+BF50+BF54+BF59+BF62+BF63+BF64+BF65+BF66+BF67+BF68</f>
        <v>0</v>
      </c>
      <c r="BG69" s="60">
        <f t="shared" si="25"/>
        <v>0</v>
      </c>
    </row>
    <row r="70" spans="2:61" x14ac:dyDescent="0.25">
      <c r="B70" s="29"/>
      <c r="C70" s="29" t="s">
        <v>788</v>
      </c>
      <c r="D70" s="29" t="s">
        <v>789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</row>
    <row r="71" spans="2:61" x14ac:dyDescent="0.25">
      <c r="C71" s="83" t="s">
        <v>597</v>
      </c>
      <c r="D71" s="84" t="s">
        <v>790</v>
      </c>
      <c r="E71" s="85">
        <f>E72+E73+E74+E75+E76</f>
        <v>0</v>
      </c>
      <c r="F71" s="85">
        <f>F72+F73+F74+F75+F76</f>
        <v>0</v>
      </c>
      <c r="G71" s="85">
        <f>G72+G73+G74+G75+G76</f>
        <v>0</v>
      </c>
      <c r="H71" s="85">
        <f>H72+H73+H74+H75+H76</f>
        <v>0</v>
      </c>
      <c r="I71" s="60">
        <f t="shared" ref="I71:I79" si="26">H71</f>
        <v>0</v>
      </c>
      <c r="J71" s="85">
        <f>J72+J73+J74+J75+J76</f>
        <v>0</v>
      </c>
      <c r="K71" s="85">
        <f>K72+K73+K74+K75+K76</f>
        <v>0</v>
      </c>
      <c r="L71" s="85">
        <f>L72+L73+L74+L75+L76</f>
        <v>0</v>
      </c>
      <c r="M71" s="85">
        <f>M72+M73+M74+M75+M76</f>
        <v>0</v>
      </c>
      <c r="N71" s="60">
        <f t="shared" ref="N71:N79" si="27">M71</f>
        <v>0</v>
      </c>
      <c r="O71" s="85">
        <f>O72+O73+O74+O75+O76</f>
        <v>0</v>
      </c>
      <c r="P71" s="85">
        <f>P72+P73+P74+P75+P76</f>
        <v>0</v>
      </c>
      <c r="Q71" s="85">
        <f>Q72+Q73+Q74+Q75+Q76</f>
        <v>0</v>
      </c>
      <c r="R71" s="85">
        <f>R72+R73+R74+R75+R76</f>
        <v>0</v>
      </c>
      <c r="S71" s="60">
        <f t="shared" ref="S71:S79" si="28">R71</f>
        <v>0</v>
      </c>
      <c r="T71" s="85">
        <f>T72+T73+T74+T75+T76</f>
        <v>0</v>
      </c>
      <c r="U71" s="85">
        <f>U72+U73+U74+U75+U76</f>
        <v>0</v>
      </c>
      <c r="V71" s="85">
        <f>V72+V73+V74+V75+V76</f>
        <v>0</v>
      </c>
      <c r="W71" s="85">
        <f>W72+W73+W74+W75+W76</f>
        <v>0</v>
      </c>
      <c r="X71" s="60">
        <f t="shared" ref="X71:X79" si="29">W71</f>
        <v>0</v>
      </c>
      <c r="Y71" s="85">
        <f>Y72+Y73+Y74+Y75+Y76</f>
        <v>0</v>
      </c>
      <c r="Z71" s="85">
        <f>Z72+Z73+Z74+Z75+Z76</f>
        <v>0</v>
      </c>
      <c r="AA71" s="85">
        <f>AA72+AA73+AA74+AA75+AA76</f>
        <v>0</v>
      </c>
      <c r="AB71" s="85">
        <f>AB72+AB73+AB74+AB75+AB76</f>
        <v>0</v>
      </c>
      <c r="AC71" s="60">
        <f t="shared" ref="AC71:AC79" si="30">AB71</f>
        <v>0</v>
      </c>
      <c r="AD71" s="85">
        <f>AD72+AD73+AD74+AD75+AD76</f>
        <v>0</v>
      </c>
      <c r="AE71" s="85">
        <f>AE72+AE73+AE74+AE75+AE76</f>
        <v>0</v>
      </c>
      <c r="AF71" s="85">
        <f>AF72+AF73+AF74+AF75+AF76</f>
        <v>0</v>
      </c>
      <c r="AG71" s="85">
        <f>AG72+AG73+AG74+AG75+AG76</f>
        <v>0</v>
      </c>
      <c r="AH71" s="60">
        <f t="shared" ref="AH71:AH79" si="31">AG71</f>
        <v>0</v>
      </c>
      <c r="AI71" s="85">
        <f>AI72+AI73+AI74+AI75+AI76</f>
        <v>0</v>
      </c>
      <c r="AJ71" s="85">
        <f>AJ72+AJ73+AJ74+AJ75+AJ76</f>
        <v>0</v>
      </c>
      <c r="AK71" s="85">
        <f>AK72+AK73+AK74+AK75+AK76</f>
        <v>0</v>
      </c>
      <c r="AL71" s="85">
        <f>AL72+AL73+AL74+AL75+AL76</f>
        <v>0</v>
      </c>
      <c r="AM71" s="60">
        <f t="shared" ref="AM71:AM79" si="32">AL71</f>
        <v>0</v>
      </c>
      <c r="AN71" s="85">
        <f>AN72+AN73+AN74+AN75+AN76</f>
        <v>0</v>
      </c>
      <c r="AO71" s="85">
        <f>AO72+AO73+AO74+AO75+AO76</f>
        <v>0</v>
      </c>
      <c r="AP71" s="85">
        <f>AP72+AP73+AP74+AP75+AP76</f>
        <v>0</v>
      </c>
      <c r="AQ71" s="85">
        <f>AQ72+AQ73+AQ74+AQ75+AQ76</f>
        <v>0</v>
      </c>
      <c r="AR71" s="60">
        <f t="shared" ref="AR71:AR79" si="33">AQ71</f>
        <v>0</v>
      </c>
      <c r="AS71" s="85">
        <f>AS72+AS73+AS74+AS75+AS76</f>
        <v>0</v>
      </c>
      <c r="AT71" s="85">
        <f>AT72+AT73+AT74+AT75+AT76</f>
        <v>0</v>
      </c>
      <c r="AU71" s="85">
        <f>AU72+AU73+AU74+AU75+AU76</f>
        <v>0</v>
      </c>
      <c r="AV71" s="85">
        <f>AV72+AV73+AV74+AV75+AV76</f>
        <v>0</v>
      </c>
      <c r="AW71" s="60">
        <f t="shared" ref="AW71:AW79" si="34">AV71</f>
        <v>0</v>
      </c>
      <c r="AX71" s="85">
        <f>AX72+AX73+AX74+AX75+AX76</f>
        <v>0</v>
      </c>
      <c r="AY71" s="85">
        <f>AY72+AY73+AY74+AY75+AY76</f>
        <v>0</v>
      </c>
      <c r="AZ71" s="85">
        <f>AZ72+AZ73+AZ74+AZ75+AZ76</f>
        <v>0</v>
      </c>
      <c r="BA71" s="85">
        <f>BA72+BA73+BA74+BA75+BA76</f>
        <v>0</v>
      </c>
      <c r="BB71" s="60">
        <f t="shared" ref="BB71:BB79" si="35">BA71</f>
        <v>0</v>
      </c>
      <c r="BC71" s="85">
        <f>BC72+BC73+BC74+BC75+BC76</f>
        <v>0</v>
      </c>
      <c r="BD71" s="85">
        <f>BD72+BD73+BD74+BD75+BD76</f>
        <v>0</v>
      </c>
      <c r="BE71" s="85">
        <f>BE72+BE73+BE74+BE75+BE76</f>
        <v>0</v>
      </c>
      <c r="BF71" s="85">
        <f>BF72+BF73+BF74+BF75+BF76</f>
        <v>0</v>
      </c>
      <c r="BG71" s="60">
        <f t="shared" ref="BG71:BG79" si="36">BF71</f>
        <v>0</v>
      </c>
    </row>
    <row r="72" spans="2:61" hidden="1" outlineLevel="1" x14ac:dyDescent="0.25">
      <c r="C72" s="61" t="s">
        <v>132</v>
      </c>
      <c r="D72" s="62" t="s">
        <v>599</v>
      </c>
      <c r="E72" s="57">
        <f>'Inputs (2)'!E60</f>
        <v>0</v>
      </c>
      <c r="F72" s="57">
        <f>IF(F$14=1,'Inputs (2)'!F60,E72+Inputs!F$303)</f>
        <v>0</v>
      </c>
      <c r="G72" s="57">
        <f>IF(G$14=1,'Inputs (2)'!G60,F72+Inputs!G$303)</f>
        <v>0</v>
      </c>
      <c r="H72" s="57">
        <f>IF(H$14=1,'Inputs (2)'!H60,G72+Inputs!H$303)</f>
        <v>0</v>
      </c>
      <c r="I72" s="77">
        <f t="shared" si="26"/>
        <v>0</v>
      </c>
      <c r="J72" s="57">
        <f>IF(J$14=1,'Inputs (2)'!J60,H72+Inputs!J$303)</f>
        <v>0</v>
      </c>
      <c r="K72" s="57">
        <f>IF(K$14=1,'Inputs (2)'!K60,J72+Inputs!K$303)</f>
        <v>0</v>
      </c>
      <c r="L72" s="57">
        <f>IF(L$14=1,'Inputs (2)'!L60,K72+Inputs!L$303)</f>
        <v>0</v>
      </c>
      <c r="M72" s="57">
        <f>IF(M$14=1,'Inputs (2)'!M60,L72+Inputs!M$303)</f>
        <v>0</v>
      </c>
      <c r="N72" s="77">
        <f t="shared" si="27"/>
        <v>0</v>
      </c>
      <c r="O72" s="57">
        <f>IF(O$14=1,'Inputs (2)'!O60,M72+Inputs!O$303)</f>
        <v>0</v>
      </c>
      <c r="P72" s="57">
        <f>IF(P$14=1,'Inputs (2)'!P60,O72+Inputs!P$303)</f>
        <v>0</v>
      </c>
      <c r="Q72" s="57">
        <f>IF(Q$14=1,'Inputs (2)'!Q60,P72+Inputs!Q$303)</f>
        <v>0</v>
      </c>
      <c r="R72" s="57">
        <f>IF(R$14=1,'Inputs (2)'!R60,Q72+Inputs!R$303)</f>
        <v>0</v>
      </c>
      <c r="S72" s="77">
        <f t="shared" si="28"/>
        <v>0</v>
      </c>
      <c r="T72" s="57">
        <f>IF(T$14=1,'Inputs (2)'!T60,R72+Inputs!T$303)</f>
        <v>0</v>
      </c>
      <c r="U72" s="57">
        <f>IF(U$14=1,'Inputs (2)'!U60,T72+Inputs!U$303)</f>
        <v>0</v>
      </c>
      <c r="V72" s="57">
        <f>IF(V$14=1,'Inputs (2)'!V60,U72+Inputs!V$303)</f>
        <v>0</v>
      </c>
      <c r="W72" s="57">
        <f>IF(W$14=1,'Inputs (2)'!W60,V72+Inputs!W$303)</f>
        <v>0</v>
      </c>
      <c r="X72" s="77">
        <f t="shared" si="29"/>
        <v>0</v>
      </c>
      <c r="Y72" s="57">
        <f>IF(Y$14=1,'Inputs (2)'!Y60,W72+Inputs!Y$303)</f>
        <v>0</v>
      </c>
      <c r="Z72" s="57">
        <f>IF(Z$14=1,'Inputs (2)'!Z60,Y72+Inputs!Z$303)</f>
        <v>0</v>
      </c>
      <c r="AA72" s="57">
        <f>IF(AA$14=1,'Inputs (2)'!AA60,Z72+Inputs!AA$303)</f>
        <v>0</v>
      </c>
      <c r="AB72" s="57">
        <f>IF(AB$14=1,'Inputs (2)'!AB60,AA72+Inputs!AB$303)</f>
        <v>0</v>
      </c>
      <c r="AC72" s="77">
        <f t="shared" si="30"/>
        <v>0</v>
      </c>
      <c r="AD72" s="57">
        <f>IF(AD$14=1,'Inputs (2)'!AD60,AB72+Inputs!AD$303)</f>
        <v>0</v>
      </c>
      <c r="AE72" s="57">
        <f>IF(AE$14=1,'Inputs (2)'!AE60,AD72+Inputs!AE$303)</f>
        <v>0</v>
      </c>
      <c r="AF72" s="57">
        <f>IF(AF$14=1,'Inputs (2)'!AF60,AE72+Inputs!AF$303)</f>
        <v>0</v>
      </c>
      <c r="AG72" s="57">
        <f>IF(AG$14=1,'Inputs (2)'!AG60,AF72+Inputs!AG$303)</f>
        <v>0</v>
      </c>
      <c r="AH72" s="77">
        <f t="shared" si="31"/>
        <v>0</v>
      </c>
      <c r="AI72" s="57">
        <f>IF(AI$14=1,'Inputs (2)'!AI60,AG72+Inputs!AI$303)</f>
        <v>0</v>
      </c>
      <c r="AJ72" s="57">
        <f>IF(AJ$14=1,'Inputs (2)'!AJ60,AI72+Inputs!AJ$303)</f>
        <v>0</v>
      </c>
      <c r="AK72" s="57">
        <f>IF(AK$14=1,'Inputs (2)'!AK60,AJ72+Inputs!AK$303)</f>
        <v>0</v>
      </c>
      <c r="AL72" s="57">
        <f>IF(AL$14=1,'Inputs (2)'!AL60,AK72+Inputs!AL$303)</f>
        <v>0</v>
      </c>
      <c r="AM72" s="77">
        <f t="shared" si="32"/>
        <v>0</v>
      </c>
      <c r="AN72" s="57">
        <f>IF(AN$14=1,'Inputs (2)'!AN60,AL72+Inputs!AN$303)</f>
        <v>0</v>
      </c>
      <c r="AO72" s="57">
        <f>IF(AO$14=1,'Inputs (2)'!AO60,AN72+Inputs!AO$303)</f>
        <v>0</v>
      </c>
      <c r="AP72" s="57">
        <f>IF(AP$14=1,'Inputs (2)'!AP60,AO72+Inputs!AP$303)</f>
        <v>0</v>
      </c>
      <c r="AQ72" s="57">
        <f>IF(AQ$14=1,'Inputs (2)'!AQ60,AP72+Inputs!AQ$303)</f>
        <v>0</v>
      </c>
      <c r="AR72" s="77">
        <f t="shared" si="33"/>
        <v>0</v>
      </c>
      <c r="AS72" s="57">
        <f>IF(AS$14=1,'Inputs (2)'!AS60,AQ72+Inputs!AS$303)</f>
        <v>0</v>
      </c>
      <c r="AT72" s="57">
        <f>IF(AT$14=1,'Inputs (2)'!AT60,AS72+Inputs!AT$303)</f>
        <v>0</v>
      </c>
      <c r="AU72" s="57">
        <f>IF(AU$14=1,'Inputs (2)'!AU60,AT72+Inputs!AU$303)</f>
        <v>0</v>
      </c>
      <c r="AV72" s="57">
        <f>IF(AV$14=1,'Inputs (2)'!AV60,AU72+Inputs!AV$303)</f>
        <v>0</v>
      </c>
      <c r="AW72" s="77">
        <f t="shared" si="34"/>
        <v>0</v>
      </c>
      <c r="AX72" s="57">
        <f>IF(AX$14=1,'Inputs (2)'!AX60,AV72+Inputs!AX$303)</f>
        <v>0</v>
      </c>
      <c r="AY72" s="57">
        <f>IF(AY$14=1,'Inputs (2)'!AY60,AX72+Inputs!AY$303)</f>
        <v>0</v>
      </c>
      <c r="AZ72" s="57">
        <f>IF(AZ$14=1,'Inputs (2)'!AZ60,AY72+Inputs!AZ$303)</f>
        <v>0</v>
      </c>
      <c r="BA72" s="57">
        <f>IF(BA$14=1,'Inputs (2)'!BA60,AZ72+Inputs!BA$303)</f>
        <v>0</v>
      </c>
      <c r="BB72" s="77">
        <f t="shared" si="35"/>
        <v>0</v>
      </c>
      <c r="BC72" s="57">
        <f>IF(BC$14=1,'Inputs (2)'!BC60,BA72+Inputs!BC$303)</f>
        <v>0</v>
      </c>
      <c r="BD72" s="57">
        <f>IF(BD$14=1,'Inputs (2)'!BD60,BC72+Inputs!BD$303)</f>
        <v>0</v>
      </c>
      <c r="BE72" s="57">
        <f>IF(BE$14=1,'Inputs (2)'!BE60,BD72+Inputs!BE$303)</f>
        <v>0</v>
      </c>
      <c r="BF72" s="57">
        <f>IF(BF$14=1,'Inputs (2)'!BF60,BE72+Inputs!BF$303)</f>
        <v>0</v>
      </c>
      <c r="BG72" s="77">
        <f t="shared" si="36"/>
        <v>0</v>
      </c>
    </row>
    <row r="73" spans="2:61" hidden="1" outlineLevel="1" x14ac:dyDescent="0.25">
      <c r="C73" s="61" t="s">
        <v>134</v>
      </c>
      <c r="D73" s="62" t="s">
        <v>600</v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0</v>
      </c>
      <c r="I73" s="77">
        <f t="shared" si="26"/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 t="shared" si="27"/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 t="shared" si="28"/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 t="shared" si="29"/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 t="shared" si="30"/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 t="shared" si="31"/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 t="shared" si="32"/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 t="shared" si="33"/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 t="shared" si="34"/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 t="shared" si="35"/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 t="shared" si="36"/>
        <v>0</v>
      </c>
    </row>
    <row r="74" spans="2:61" hidden="1" outlineLevel="1" x14ac:dyDescent="0.25">
      <c r="C74" s="61" t="s">
        <v>136</v>
      </c>
      <c r="D74" s="62" t="s">
        <v>791</v>
      </c>
      <c r="E74" s="57">
        <f>'Inputs (2)'!E62</f>
        <v>0</v>
      </c>
      <c r="F74" s="57">
        <f>IF(F$14=1,'Inputs (2)'!F62,E74+F127+F84)</f>
        <v>0</v>
      </c>
      <c r="G74" s="57">
        <f>IF(G$14=1,'Inputs (2)'!G62,F74+G127+G84)</f>
        <v>0</v>
      </c>
      <c r="H74" s="57">
        <f>IF(H$14=1,'Inputs (2)'!H62,G74+H127+H84)</f>
        <v>0</v>
      </c>
      <c r="I74" s="77">
        <f t="shared" si="26"/>
        <v>0</v>
      </c>
      <c r="J74" s="57">
        <f>IF(J$14=1,'Inputs (2)'!J62,H74+J127+J84)</f>
        <v>0</v>
      </c>
      <c r="K74" s="57">
        <f>IF(K$14=1,'Inputs (2)'!K62,J74+K127+K84)</f>
        <v>0</v>
      </c>
      <c r="L74" s="57">
        <f>IF(L$14=1,'Inputs (2)'!L62,K74+L127+L84)</f>
        <v>0</v>
      </c>
      <c r="M74" s="57">
        <f>IF(M$14=1,'Inputs (2)'!M62,L74+M127+M84)</f>
        <v>0</v>
      </c>
      <c r="N74" s="77">
        <f t="shared" si="27"/>
        <v>0</v>
      </c>
      <c r="O74" s="57">
        <f>IF(O$14=1,'Inputs (2)'!O62,M74+O127+O84)</f>
        <v>0</v>
      </c>
      <c r="P74" s="57">
        <f>IF(P$14=1,'Inputs (2)'!P62,O74+P127+P84)</f>
        <v>0</v>
      </c>
      <c r="Q74" s="57">
        <f>IF(Q$14=1,'Inputs (2)'!Q62,P74+Q127+Q84)</f>
        <v>0</v>
      </c>
      <c r="R74" s="57">
        <f>IF(R$14=1,'Inputs (2)'!R62,Q74+R127+R84)</f>
        <v>0</v>
      </c>
      <c r="S74" s="77">
        <f t="shared" si="28"/>
        <v>0</v>
      </c>
      <c r="T74" s="57">
        <f>IF(T$14=1,'Inputs (2)'!T62,R74+T127+T84)</f>
        <v>0</v>
      </c>
      <c r="U74" s="57">
        <f>IF(U$14=1,'Inputs (2)'!U62,T74+U127+U84)</f>
        <v>0</v>
      </c>
      <c r="V74" s="57">
        <f>IF(V$14=1,'Inputs (2)'!V62,U74+V127+V84)</f>
        <v>0</v>
      </c>
      <c r="W74" s="57">
        <f>IF(W$14=1,'Inputs (2)'!W62,V74+W127+W84)</f>
        <v>0</v>
      </c>
      <c r="X74" s="77">
        <f t="shared" si="29"/>
        <v>0</v>
      </c>
      <c r="Y74" s="57">
        <f>IF(Y$14=1,'Inputs (2)'!Y62,W74+Y127+Y84)</f>
        <v>0</v>
      </c>
      <c r="Z74" s="57">
        <f>IF(Z$14=1,'Inputs (2)'!Z62,Y74+Z127+Z84)</f>
        <v>0</v>
      </c>
      <c r="AA74" s="57">
        <f>IF(AA$14=1,'Inputs (2)'!AA62,Z74+AA127+AA84)</f>
        <v>0</v>
      </c>
      <c r="AB74" s="57">
        <f>IF(AB$14=1,'Inputs (2)'!AB62,AA74+AB127+AB84)</f>
        <v>0</v>
      </c>
      <c r="AC74" s="77">
        <f t="shared" si="30"/>
        <v>0</v>
      </c>
      <c r="AD74" s="57">
        <f>IF(AD$14=1,'Inputs (2)'!AD62,AB74+AD127+AD84)</f>
        <v>0</v>
      </c>
      <c r="AE74" s="57">
        <f>IF(AE$14=1,'Inputs (2)'!AE62,AD74+AE127+AE84)</f>
        <v>0</v>
      </c>
      <c r="AF74" s="57">
        <f>IF(AF$14=1,'Inputs (2)'!AF62,AE74+AF127+AF84)</f>
        <v>0</v>
      </c>
      <c r="AG74" s="57">
        <f>IF(AG$14=1,'Inputs (2)'!AG62,AF74+AG127+AG84)</f>
        <v>0</v>
      </c>
      <c r="AH74" s="77">
        <f t="shared" si="31"/>
        <v>0</v>
      </c>
      <c r="AI74" s="57">
        <f>IF(AI$14=1,'Inputs (2)'!AI62,AG74+AI127+AI84)</f>
        <v>0</v>
      </c>
      <c r="AJ74" s="57">
        <f>IF(AJ$14=1,'Inputs (2)'!AJ62,AI74+AJ127+AJ84)</f>
        <v>0</v>
      </c>
      <c r="AK74" s="57">
        <f>IF(AK$14=1,'Inputs (2)'!AK62,AJ74+AK127+AK84)</f>
        <v>0</v>
      </c>
      <c r="AL74" s="57">
        <f>IF(AL$14=1,'Inputs (2)'!AL62,AK74+AL127+AL84)</f>
        <v>0</v>
      </c>
      <c r="AM74" s="77">
        <f t="shared" si="32"/>
        <v>0</v>
      </c>
      <c r="AN74" s="57">
        <f>IF(AN$14=1,'Inputs (2)'!AN62,AL74+AN127+AN84)</f>
        <v>0</v>
      </c>
      <c r="AO74" s="57">
        <f>IF(AO$14=1,'Inputs (2)'!AO62,AN74+AO127+AO84)</f>
        <v>0</v>
      </c>
      <c r="AP74" s="57">
        <f>IF(AP$14=1,'Inputs (2)'!AP62,AO74+AP127+AP84)</f>
        <v>0</v>
      </c>
      <c r="AQ74" s="57">
        <f>IF(AQ$14=1,'Inputs (2)'!AQ62,AP74+AQ127+AQ84)</f>
        <v>0</v>
      </c>
      <c r="AR74" s="77">
        <f t="shared" si="33"/>
        <v>0</v>
      </c>
      <c r="AS74" s="57">
        <f>IF(AS$14=1,'Inputs (2)'!AS62,AQ74+AS127+AS84)</f>
        <v>0</v>
      </c>
      <c r="AT74" s="57">
        <f>IF(AT$14=1,'Inputs (2)'!AT62,AS74+AT127+AT84)</f>
        <v>0</v>
      </c>
      <c r="AU74" s="57">
        <f>IF(AU$14=1,'Inputs (2)'!AU62,AT74+AU127+AU84)</f>
        <v>0</v>
      </c>
      <c r="AV74" s="57">
        <f>IF(AV$14=1,'Inputs (2)'!AV62,AU74+AV127+AV84)</f>
        <v>0</v>
      </c>
      <c r="AW74" s="77">
        <f t="shared" si="34"/>
        <v>0</v>
      </c>
      <c r="AX74" s="57">
        <f>IF(AX$14=1,'Inputs (2)'!AX62,AV74+AX127+AX84)</f>
        <v>0</v>
      </c>
      <c r="AY74" s="57">
        <f>IF(AY$14=1,'Inputs (2)'!AY62,AX74+AY127+AY84)</f>
        <v>0</v>
      </c>
      <c r="AZ74" s="57">
        <f>IF(AZ$14=1,'Inputs (2)'!AZ62,AY74+AZ127+AZ84)</f>
        <v>0</v>
      </c>
      <c r="BA74" s="57">
        <f>IF(BA$14=1,'Inputs (2)'!BA62,AZ74+BA127+BA84)</f>
        <v>0</v>
      </c>
      <c r="BB74" s="77">
        <f t="shared" si="35"/>
        <v>0</v>
      </c>
      <c r="BC74" s="57">
        <f>IF(BC$14=1,'Inputs (2)'!BC62,BA74+BC127+BC84)</f>
        <v>0</v>
      </c>
      <c r="BD74" s="57">
        <f>IF(BD$14=1,'Inputs (2)'!BD62,BC74+BD127+BD84)</f>
        <v>0</v>
      </c>
      <c r="BE74" s="57">
        <f>IF(BE$14=1,'Inputs (2)'!BE62,BD74+BE127+BE84)</f>
        <v>0</v>
      </c>
      <c r="BF74" s="57">
        <f>IF(BF$14=1,'Inputs (2)'!BF62,BE74+BF127+BF84)</f>
        <v>0</v>
      </c>
      <c r="BG74" s="77">
        <f t="shared" si="36"/>
        <v>0</v>
      </c>
    </row>
    <row r="75" spans="2:61" hidden="1" outlineLevel="1" x14ac:dyDescent="0.25">
      <c r="C75" s="61" t="s">
        <v>138</v>
      </c>
      <c r="D75" s="62" t="s">
        <v>602</v>
      </c>
      <c r="E75" s="57">
        <f>'Inputs (2)'!E63</f>
        <v>0</v>
      </c>
      <c r="F75" s="57">
        <f>IF(F$14=1,'Inputs (2)'!F63,E75+Inputs!F$302)</f>
        <v>0</v>
      </c>
      <c r="G75" s="57">
        <f>IF(G$14=1,'Inputs (2)'!G63,F75+Inputs!G$302)</f>
        <v>0</v>
      </c>
      <c r="H75" s="57">
        <f>IF(H$14=1,'Inputs (2)'!H63,G75+Inputs!H$302)</f>
        <v>0</v>
      </c>
      <c r="I75" s="77">
        <f t="shared" si="26"/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0</v>
      </c>
      <c r="M75" s="57">
        <f>IF(M$14=1,'Inputs (2)'!M63,L75+Inputs!M$302)</f>
        <v>0</v>
      </c>
      <c r="N75" s="77">
        <f t="shared" si="27"/>
        <v>0</v>
      </c>
      <c r="O75" s="57">
        <f>IF(O$14=1,'Inputs (2)'!O63,M75+Inputs!O$302)</f>
        <v>0</v>
      </c>
      <c r="P75" s="57">
        <f>IF(P$14=1,'Inputs (2)'!P63,O75+Inputs!P$302)</f>
        <v>0</v>
      </c>
      <c r="Q75" s="57">
        <f>IF(Q$14=1,'Inputs (2)'!Q63,P75+Inputs!Q$302)</f>
        <v>0</v>
      </c>
      <c r="R75" s="57">
        <f>IF(R$14=1,'Inputs (2)'!R63,Q75+Inputs!R$302)</f>
        <v>0</v>
      </c>
      <c r="S75" s="77">
        <f t="shared" si="28"/>
        <v>0</v>
      </c>
      <c r="T75" s="57">
        <f>IF(T$14=1,'Inputs (2)'!T63,R75+Inputs!T$302)</f>
        <v>0</v>
      </c>
      <c r="U75" s="57">
        <f>IF(U$14=1,'Inputs (2)'!U63,T75+Inputs!U$302)</f>
        <v>0</v>
      </c>
      <c r="V75" s="57">
        <f>IF(V$14=1,'Inputs (2)'!V63,U75+Inputs!V$302)</f>
        <v>0</v>
      </c>
      <c r="W75" s="57">
        <f>IF(W$14=1,'Inputs (2)'!W63,V75+Inputs!W$302)</f>
        <v>0</v>
      </c>
      <c r="X75" s="77">
        <f t="shared" si="29"/>
        <v>0</v>
      </c>
      <c r="Y75" s="57">
        <f>IF(Y$14=1,'Inputs (2)'!Y63,W75+Inputs!Y$302)</f>
        <v>0</v>
      </c>
      <c r="Z75" s="57">
        <f>IF(Z$14=1,'Inputs (2)'!Z63,Y75+Inputs!Z$302)</f>
        <v>0</v>
      </c>
      <c r="AA75" s="57">
        <f>IF(AA$14=1,'Inputs (2)'!AA63,Z75+Inputs!AA$302)</f>
        <v>0</v>
      </c>
      <c r="AB75" s="57">
        <f>IF(AB$14=1,'Inputs (2)'!AB63,AA75+Inputs!AB$302)</f>
        <v>0</v>
      </c>
      <c r="AC75" s="77">
        <f t="shared" si="30"/>
        <v>0</v>
      </c>
      <c r="AD75" s="57">
        <f>IF(AD$14=1,'Inputs (2)'!AD63,AB75+Inputs!AD$302)</f>
        <v>0</v>
      </c>
      <c r="AE75" s="57">
        <f>IF(AE$14=1,'Inputs (2)'!AE63,AD75+Inputs!AE$302)</f>
        <v>0</v>
      </c>
      <c r="AF75" s="57">
        <f>IF(AF$14=1,'Inputs (2)'!AF63,AE75+Inputs!AF$302)</f>
        <v>0</v>
      </c>
      <c r="AG75" s="57">
        <f>IF(AG$14=1,'Inputs (2)'!AG63,AF75+Inputs!AG$302)</f>
        <v>0</v>
      </c>
      <c r="AH75" s="77">
        <f t="shared" si="31"/>
        <v>0</v>
      </c>
      <c r="AI75" s="57">
        <f>IF(AI$14=1,'Inputs (2)'!AI63,AG75+Inputs!AI$302)</f>
        <v>0</v>
      </c>
      <c r="AJ75" s="57">
        <f>IF(AJ$14=1,'Inputs (2)'!AJ63,AI75+Inputs!AJ$302)</f>
        <v>0</v>
      </c>
      <c r="AK75" s="57">
        <f>IF(AK$14=1,'Inputs (2)'!AK63,AJ75+Inputs!AK$302)</f>
        <v>0</v>
      </c>
      <c r="AL75" s="57">
        <f>IF(AL$14=1,'Inputs (2)'!AL63,AK75+Inputs!AL$302)</f>
        <v>0</v>
      </c>
      <c r="AM75" s="77">
        <f t="shared" si="32"/>
        <v>0</v>
      </c>
      <c r="AN75" s="57">
        <f>IF(AN$14=1,'Inputs (2)'!AN63,AL75+Inputs!AN$302)</f>
        <v>0</v>
      </c>
      <c r="AO75" s="57">
        <f>IF(AO$14=1,'Inputs (2)'!AO63,AN75+Inputs!AO$302)</f>
        <v>0</v>
      </c>
      <c r="AP75" s="57">
        <f>IF(AP$14=1,'Inputs (2)'!AP63,AO75+Inputs!AP$302)</f>
        <v>0</v>
      </c>
      <c r="AQ75" s="57">
        <f>IF(AQ$14=1,'Inputs (2)'!AQ63,AP75+Inputs!AQ$302)</f>
        <v>0</v>
      </c>
      <c r="AR75" s="77">
        <f t="shared" si="33"/>
        <v>0</v>
      </c>
      <c r="AS75" s="57">
        <f>IF(AS$14=1,'Inputs (2)'!AS63,AQ75+Inputs!AS$302)</f>
        <v>0</v>
      </c>
      <c r="AT75" s="57">
        <f>IF(AT$14=1,'Inputs (2)'!AT63,AS75+Inputs!AT$302)</f>
        <v>0</v>
      </c>
      <c r="AU75" s="57">
        <f>IF(AU$14=1,'Inputs (2)'!AU63,AT75+Inputs!AU$302)</f>
        <v>0</v>
      </c>
      <c r="AV75" s="57">
        <f>IF(AV$14=1,'Inputs (2)'!AV63,AU75+Inputs!AV$302)</f>
        <v>0</v>
      </c>
      <c r="AW75" s="77">
        <f t="shared" si="34"/>
        <v>0</v>
      </c>
      <c r="AX75" s="57">
        <f>IF(AX$14=1,'Inputs (2)'!AX63,AV75+Inputs!AX$302)</f>
        <v>0</v>
      </c>
      <c r="AY75" s="57">
        <f>IF(AY$14=1,'Inputs (2)'!AY63,AX75+Inputs!AY$302)</f>
        <v>0</v>
      </c>
      <c r="AZ75" s="57">
        <f>IF(AZ$14=1,'Inputs (2)'!AZ63,AY75+Inputs!AZ$302)</f>
        <v>0</v>
      </c>
      <c r="BA75" s="57">
        <f>IF(BA$14=1,'Inputs (2)'!BA63,AZ75+Inputs!BA$302)</f>
        <v>0</v>
      </c>
      <c r="BB75" s="77">
        <f t="shared" si="35"/>
        <v>0</v>
      </c>
      <c r="BC75" s="57">
        <f>IF(BC$14=1,'Inputs (2)'!BC63,BA75+Inputs!BC$302)</f>
        <v>0</v>
      </c>
      <c r="BD75" s="57">
        <f>IF(BD$14=1,'Inputs (2)'!BD63,BC75+Inputs!BD$302)</f>
        <v>0</v>
      </c>
      <c r="BE75" s="57">
        <f>IF(BE$14=1,'Inputs (2)'!BE63,BD75+Inputs!BE$302)</f>
        <v>0</v>
      </c>
      <c r="BF75" s="57">
        <f>IF(BF$14=1,'Inputs (2)'!BF63,BE75+Inputs!BF$302)</f>
        <v>0</v>
      </c>
      <c r="BG75" s="77">
        <f t="shared" si="36"/>
        <v>0</v>
      </c>
    </row>
    <row r="76" spans="2:61" hidden="1" outlineLevel="1" x14ac:dyDescent="0.25">
      <c r="C76" s="61" t="s">
        <v>140</v>
      </c>
      <c r="D76" s="62" t="s">
        <v>603</v>
      </c>
      <c r="E76" s="57">
        <f>'Inputs (2)'!E64</f>
        <v>0</v>
      </c>
      <c r="F76" s="57">
        <f>IF(F$14=1,'Inputs (2)'!F64,E76)</f>
        <v>0</v>
      </c>
      <c r="G76" s="57">
        <f>IF(G$14=1,'Inputs (2)'!G64,F76)</f>
        <v>0</v>
      </c>
      <c r="H76" s="57">
        <f>IF(H$14=1,'Inputs (2)'!H64,G76)</f>
        <v>0</v>
      </c>
      <c r="I76" s="77">
        <f t="shared" si="26"/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 t="shared" si="27"/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 t="shared" si="28"/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 t="shared" si="29"/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 t="shared" si="30"/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 t="shared" si="31"/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 t="shared" si="32"/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 t="shared" si="33"/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 t="shared" si="34"/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 t="shared" si="35"/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 t="shared" si="36"/>
        <v>0</v>
      </c>
    </row>
    <row r="77" spans="2:61" collapsed="1" x14ac:dyDescent="0.25">
      <c r="C77" s="80" t="s">
        <v>142</v>
      </c>
      <c r="D77" s="81" t="s">
        <v>604</v>
      </c>
      <c r="E77" s="82">
        <f>'Inputs (2)'!E65</f>
        <v>0</v>
      </c>
      <c r="F77" s="82">
        <f>IF(F$14=1,'Inputs (2)'!F65,E77-F126)</f>
        <v>0</v>
      </c>
      <c r="G77" s="82">
        <f>IF(G$14=1,'Inputs (2)'!G65,F77-G126)</f>
        <v>0</v>
      </c>
      <c r="H77" s="82">
        <f>IF(H$14=1,'Inputs (2)'!H65,G77-H126)</f>
        <v>0</v>
      </c>
      <c r="I77" s="77">
        <f t="shared" si="26"/>
        <v>0</v>
      </c>
      <c r="J77" s="82">
        <f>IF(J$14=1,'Inputs (2)'!J65,H77-J126)</f>
        <v>0</v>
      </c>
      <c r="K77" s="82">
        <f>IF(K$14=1,'Inputs (2)'!K65,J77-K126)</f>
        <v>0</v>
      </c>
      <c r="L77" s="82">
        <f>IF(L$14=1,'Inputs (2)'!L65,K77-L126)</f>
        <v>0</v>
      </c>
      <c r="M77" s="82">
        <f>IF(M$14=1,'Inputs (2)'!M65,L77-M126)</f>
        <v>0</v>
      </c>
      <c r="N77" s="77">
        <f t="shared" si="27"/>
        <v>0</v>
      </c>
      <c r="O77" s="82">
        <f>IF(O$14=1,'Inputs (2)'!O65,M77-O126)</f>
        <v>0</v>
      </c>
      <c r="P77" s="82">
        <f>IF(P$14=1,'Inputs (2)'!P65,O77-P126)</f>
        <v>0</v>
      </c>
      <c r="Q77" s="82">
        <f>IF(Q$14=1,'Inputs (2)'!Q65,P77-Q126)</f>
        <v>0</v>
      </c>
      <c r="R77" s="82">
        <f>IF(R$14=1,'Inputs (2)'!R65,Q77-R126)</f>
        <v>0</v>
      </c>
      <c r="S77" s="77">
        <f t="shared" si="28"/>
        <v>0</v>
      </c>
      <c r="T77" s="82">
        <f>IF(T$14=1,'Inputs (2)'!T65,R77-T126)</f>
        <v>0</v>
      </c>
      <c r="U77" s="82">
        <f>IF(U$14=1,'Inputs (2)'!U65,T77-U126)</f>
        <v>0</v>
      </c>
      <c r="V77" s="82">
        <f>IF(V$14=1,'Inputs (2)'!V65,U77-V126)</f>
        <v>0</v>
      </c>
      <c r="W77" s="82">
        <f>IF(W$14=1,'Inputs (2)'!W65,V77-W126)</f>
        <v>0</v>
      </c>
      <c r="X77" s="77">
        <f t="shared" si="29"/>
        <v>0</v>
      </c>
      <c r="Y77" s="82">
        <f>IF(Y$14=1,'Inputs (2)'!Y65,W77-Y126)</f>
        <v>0</v>
      </c>
      <c r="Z77" s="82">
        <f>IF(Z$14=1,'Inputs (2)'!Z65,Y77-Z126)</f>
        <v>0</v>
      </c>
      <c r="AA77" s="82">
        <f>IF(AA$14=1,'Inputs (2)'!AA65,Z77-AA126)</f>
        <v>0</v>
      </c>
      <c r="AB77" s="82">
        <f>IF(AB$14=1,'Inputs (2)'!AB65,AA77-AB126)</f>
        <v>0</v>
      </c>
      <c r="AC77" s="77">
        <f t="shared" si="30"/>
        <v>0</v>
      </c>
      <c r="AD77" s="82">
        <f>IF(AD$14=1,'Inputs (2)'!AD65,AB77-AD126)</f>
        <v>0</v>
      </c>
      <c r="AE77" s="82">
        <f>IF(AE$14=1,'Inputs (2)'!AE65,AD77-AE126)</f>
        <v>0</v>
      </c>
      <c r="AF77" s="82">
        <f>IF(AF$14=1,'Inputs (2)'!AF65,AE77-AF126)</f>
        <v>0</v>
      </c>
      <c r="AG77" s="82">
        <f>IF(AG$14=1,'Inputs (2)'!AG65,AF77-AG126)</f>
        <v>0</v>
      </c>
      <c r="AH77" s="77">
        <f t="shared" si="31"/>
        <v>0</v>
      </c>
      <c r="AI77" s="82">
        <f>IF(AI$14=1,'Inputs (2)'!AI65,AG77-AI126)</f>
        <v>0</v>
      </c>
      <c r="AJ77" s="82">
        <f>IF(AJ$14=1,'Inputs (2)'!AJ65,AI77-AJ126)</f>
        <v>0</v>
      </c>
      <c r="AK77" s="82">
        <f>IF(AK$14=1,'Inputs (2)'!AK65,AJ77-AK126)</f>
        <v>0</v>
      </c>
      <c r="AL77" s="82">
        <f>IF(AL$14=1,'Inputs (2)'!AL65,AK77-AL126)</f>
        <v>0</v>
      </c>
      <c r="AM77" s="77">
        <f t="shared" si="32"/>
        <v>0</v>
      </c>
      <c r="AN77" s="82">
        <f>IF(AN$14=1,'Inputs (2)'!AN65,AL77-AN126)</f>
        <v>0</v>
      </c>
      <c r="AO77" s="82">
        <f>IF(AO$14=1,'Inputs (2)'!AO65,AN77-AO126)</f>
        <v>0</v>
      </c>
      <c r="AP77" s="82">
        <f>IF(AP$14=1,'Inputs (2)'!AP65,AO77-AP126)</f>
        <v>0</v>
      </c>
      <c r="AQ77" s="82">
        <f>IF(AQ$14=1,'Inputs (2)'!AQ65,AP77-AQ126)</f>
        <v>0</v>
      </c>
      <c r="AR77" s="77">
        <f t="shared" si="33"/>
        <v>0</v>
      </c>
      <c r="AS77" s="82">
        <f>IF(AS$14=1,'Inputs (2)'!AS65,AQ77-AS126)</f>
        <v>0</v>
      </c>
      <c r="AT77" s="82">
        <f>IF(AT$14=1,'Inputs (2)'!AT65,AS77-AT126)</f>
        <v>0</v>
      </c>
      <c r="AU77" s="82">
        <f>IF(AU$14=1,'Inputs (2)'!AU65,AT77-AU126)</f>
        <v>0</v>
      </c>
      <c r="AV77" s="82">
        <f>IF(AV$14=1,'Inputs (2)'!AV65,AU77-AV126)</f>
        <v>0</v>
      </c>
      <c r="AW77" s="77">
        <f t="shared" si="34"/>
        <v>0</v>
      </c>
      <c r="AX77" s="82">
        <f>IF(AX$14=1,'Inputs (2)'!AX65,AV77-AX126)</f>
        <v>0</v>
      </c>
      <c r="AY77" s="82">
        <f>IF(AY$14=1,'Inputs (2)'!AY65,AX77-AY126)</f>
        <v>0</v>
      </c>
      <c r="AZ77" s="82">
        <f>IF(AZ$14=1,'Inputs (2)'!AZ65,AY77-AZ126)</f>
        <v>0</v>
      </c>
      <c r="BA77" s="82">
        <f>IF(BA$14=1,'Inputs (2)'!BA65,AZ77-BA126)</f>
        <v>0</v>
      </c>
      <c r="BB77" s="77">
        <f t="shared" si="35"/>
        <v>0</v>
      </c>
      <c r="BC77" s="82">
        <f>IF(BC$14=1,'Inputs (2)'!BC65,BA77-BC126)</f>
        <v>0</v>
      </c>
      <c r="BD77" s="82">
        <f>IF(BD$14=1,'Inputs (2)'!BD65,BC77-BD126)</f>
        <v>0</v>
      </c>
      <c r="BE77" s="82">
        <f>IF(BE$14=1,'Inputs (2)'!BE65,BD77-BE126)</f>
        <v>0</v>
      </c>
      <c r="BF77" s="82">
        <f>IF(BF$14=1,'Inputs (2)'!BF65,BE77-BF126)</f>
        <v>0</v>
      </c>
      <c r="BG77" s="77">
        <f t="shared" si="36"/>
        <v>0</v>
      </c>
    </row>
    <row r="78" spans="2:61" x14ac:dyDescent="0.25">
      <c r="C78" s="53" t="s">
        <v>605</v>
      </c>
      <c r="D78" s="54" t="s">
        <v>606</v>
      </c>
      <c r="E78" s="59">
        <f>E71+E77</f>
        <v>0</v>
      </c>
      <c r="F78" s="59">
        <f>F71+F77</f>
        <v>0</v>
      </c>
      <c r="G78" s="59">
        <f>G71+G77</f>
        <v>0</v>
      </c>
      <c r="H78" s="59">
        <f>H71+H77</f>
        <v>0</v>
      </c>
      <c r="I78" s="60">
        <f t="shared" si="26"/>
        <v>0</v>
      </c>
      <c r="J78" s="59">
        <f>J71+J77</f>
        <v>0</v>
      </c>
      <c r="K78" s="59">
        <f>K71+K77</f>
        <v>0</v>
      </c>
      <c r="L78" s="59">
        <f>L71+L77</f>
        <v>0</v>
      </c>
      <c r="M78" s="59">
        <f>M71+M77</f>
        <v>0</v>
      </c>
      <c r="N78" s="60">
        <f t="shared" si="27"/>
        <v>0</v>
      </c>
      <c r="O78" s="59">
        <f>O71+O77</f>
        <v>0</v>
      </c>
      <c r="P78" s="59">
        <f>P71+P77</f>
        <v>0</v>
      </c>
      <c r="Q78" s="59">
        <f>Q71+Q77</f>
        <v>0</v>
      </c>
      <c r="R78" s="59">
        <f>R71+R77</f>
        <v>0</v>
      </c>
      <c r="S78" s="60">
        <f t="shared" si="28"/>
        <v>0</v>
      </c>
      <c r="T78" s="59">
        <f>T71+T77</f>
        <v>0</v>
      </c>
      <c r="U78" s="59">
        <f>U71+U77</f>
        <v>0</v>
      </c>
      <c r="V78" s="59">
        <f>V71+V77</f>
        <v>0</v>
      </c>
      <c r="W78" s="59">
        <f>W71+W77</f>
        <v>0</v>
      </c>
      <c r="X78" s="60">
        <f t="shared" si="29"/>
        <v>0</v>
      </c>
      <c r="Y78" s="59">
        <f>Y71+Y77</f>
        <v>0</v>
      </c>
      <c r="Z78" s="59">
        <f>Z71+Z77</f>
        <v>0</v>
      </c>
      <c r="AA78" s="59">
        <f>AA71+AA77</f>
        <v>0</v>
      </c>
      <c r="AB78" s="59">
        <f>AB71+AB77</f>
        <v>0</v>
      </c>
      <c r="AC78" s="60">
        <f t="shared" si="30"/>
        <v>0</v>
      </c>
      <c r="AD78" s="59">
        <f>AD71+AD77</f>
        <v>0</v>
      </c>
      <c r="AE78" s="59">
        <f>AE71+AE77</f>
        <v>0</v>
      </c>
      <c r="AF78" s="59">
        <f>AF71+AF77</f>
        <v>0</v>
      </c>
      <c r="AG78" s="59">
        <f>AG71+AG77</f>
        <v>0</v>
      </c>
      <c r="AH78" s="60">
        <f t="shared" si="31"/>
        <v>0</v>
      </c>
      <c r="AI78" s="59">
        <f>AI71+AI77</f>
        <v>0</v>
      </c>
      <c r="AJ78" s="59">
        <f>AJ71+AJ77</f>
        <v>0</v>
      </c>
      <c r="AK78" s="59">
        <f>AK71+AK77</f>
        <v>0</v>
      </c>
      <c r="AL78" s="59">
        <f>AL71+AL77</f>
        <v>0</v>
      </c>
      <c r="AM78" s="60">
        <f t="shared" si="32"/>
        <v>0</v>
      </c>
      <c r="AN78" s="59">
        <f>AN71+AN77</f>
        <v>0</v>
      </c>
      <c r="AO78" s="59">
        <f>AO71+AO77</f>
        <v>0</v>
      </c>
      <c r="AP78" s="59">
        <f>AP71+AP77</f>
        <v>0</v>
      </c>
      <c r="AQ78" s="59">
        <f>AQ71+AQ77</f>
        <v>0</v>
      </c>
      <c r="AR78" s="60">
        <f t="shared" si="33"/>
        <v>0</v>
      </c>
      <c r="AS78" s="59">
        <f>AS71+AS77</f>
        <v>0</v>
      </c>
      <c r="AT78" s="59">
        <f>AT71+AT77</f>
        <v>0</v>
      </c>
      <c r="AU78" s="59">
        <f>AU71+AU77</f>
        <v>0</v>
      </c>
      <c r="AV78" s="59">
        <f>AV71+AV77</f>
        <v>0</v>
      </c>
      <c r="AW78" s="60">
        <f t="shared" si="34"/>
        <v>0</v>
      </c>
      <c r="AX78" s="59">
        <f>AX71+AX77</f>
        <v>0</v>
      </c>
      <c r="AY78" s="59">
        <f>AY71+AY77</f>
        <v>0</v>
      </c>
      <c r="AZ78" s="59">
        <f>AZ71+AZ77</f>
        <v>0</v>
      </c>
      <c r="BA78" s="59">
        <f>BA71+BA77</f>
        <v>0</v>
      </c>
      <c r="BB78" s="60">
        <f t="shared" si="35"/>
        <v>0</v>
      </c>
      <c r="BC78" s="59">
        <f>BC71+BC77</f>
        <v>0</v>
      </c>
      <c r="BD78" s="59">
        <f>BD71+BD77</f>
        <v>0</v>
      </c>
      <c r="BE78" s="59">
        <f>BE71+BE77</f>
        <v>0</v>
      </c>
      <c r="BF78" s="59">
        <f>BF71+BF77</f>
        <v>0</v>
      </c>
      <c r="BG78" s="60">
        <f t="shared" si="36"/>
        <v>0</v>
      </c>
    </row>
    <row r="79" spans="2:61" x14ac:dyDescent="0.25">
      <c r="C79" s="53" t="s">
        <v>607</v>
      </c>
      <c r="D79" s="54" t="s">
        <v>608</v>
      </c>
      <c r="E79" s="59">
        <f>E69+E78</f>
        <v>0</v>
      </c>
      <c r="F79" s="59">
        <f>F69+F78</f>
        <v>0</v>
      </c>
      <c r="G79" s="59">
        <f>G69+G78</f>
        <v>0</v>
      </c>
      <c r="H79" s="59">
        <f>H69+H78</f>
        <v>0</v>
      </c>
      <c r="I79" s="60">
        <f t="shared" si="26"/>
        <v>0</v>
      </c>
      <c r="J79" s="59">
        <f>J69+J78</f>
        <v>0</v>
      </c>
      <c r="K79" s="59">
        <f>K69+K78</f>
        <v>0</v>
      </c>
      <c r="L79" s="59">
        <f>L69+L78</f>
        <v>0</v>
      </c>
      <c r="M79" s="59">
        <f>M69+M78</f>
        <v>0</v>
      </c>
      <c r="N79" s="60">
        <f t="shared" si="27"/>
        <v>0</v>
      </c>
      <c r="O79" s="59">
        <f>O69+O78</f>
        <v>0</v>
      </c>
      <c r="P79" s="59">
        <f>P69+P78</f>
        <v>0</v>
      </c>
      <c r="Q79" s="59">
        <f>Q69+Q78</f>
        <v>0</v>
      </c>
      <c r="R79" s="59">
        <f>R69+R78</f>
        <v>0</v>
      </c>
      <c r="S79" s="60">
        <f t="shared" si="28"/>
        <v>0</v>
      </c>
      <c r="T79" s="59">
        <f>T69+T78</f>
        <v>0</v>
      </c>
      <c r="U79" s="59">
        <f>U69+U78</f>
        <v>0</v>
      </c>
      <c r="V79" s="59">
        <f>V69+V78</f>
        <v>0</v>
      </c>
      <c r="W79" s="59">
        <f>W69+W78</f>
        <v>0</v>
      </c>
      <c r="X79" s="60">
        <f t="shared" si="29"/>
        <v>0</v>
      </c>
      <c r="Y79" s="59">
        <f>Y69+Y78</f>
        <v>0</v>
      </c>
      <c r="Z79" s="59">
        <f>Z69+Z78</f>
        <v>0</v>
      </c>
      <c r="AA79" s="59">
        <f>AA69+AA78</f>
        <v>0</v>
      </c>
      <c r="AB79" s="59">
        <f>AB69+AB78</f>
        <v>0</v>
      </c>
      <c r="AC79" s="60">
        <f t="shared" si="30"/>
        <v>0</v>
      </c>
      <c r="AD79" s="59">
        <f>AD69+AD78</f>
        <v>0</v>
      </c>
      <c r="AE79" s="59">
        <f>AE69+AE78</f>
        <v>0</v>
      </c>
      <c r="AF79" s="59">
        <f>AF69+AF78</f>
        <v>0</v>
      </c>
      <c r="AG79" s="59">
        <f>AG69+AG78</f>
        <v>0</v>
      </c>
      <c r="AH79" s="60">
        <f t="shared" si="31"/>
        <v>0</v>
      </c>
      <c r="AI79" s="59">
        <f>AI69+AI78</f>
        <v>0</v>
      </c>
      <c r="AJ79" s="59">
        <f>AJ69+AJ78</f>
        <v>0</v>
      </c>
      <c r="AK79" s="59">
        <f>AK69+AK78</f>
        <v>0</v>
      </c>
      <c r="AL79" s="59">
        <f>AL69+AL78</f>
        <v>0</v>
      </c>
      <c r="AM79" s="60">
        <f t="shared" si="32"/>
        <v>0</v>
      </c>
      <c r="AN79" s="59">
        <f>AN69+AN78</f>
        <v>0</v>
      </c>
      <c r="AO79" s="59">
        <f>AO69+AO78</f>
        <v>0</v>
      </c>
      <c r="AP79" s="59">
        <f>AP69+AP78</f>
        <v>0</v>
      </c>
      <c r="AQ79" s="59">
        <f>AQ69+AQ78</f>
        <v>0</v>
      </c>
      <c r="AR79" s="60">
        <f t="shared" si="33"/>
        <v>0</v>
      </c>
      <c r="AS79" s="59">
        <f>AS69+AS78</f>
        <v>0</v>
      </c>
      <c r="AT79" s="59">
        <f>AT69+AT78</f>
        <v>0</v>
      </c>
      <c r="AU79" s="59">
        <f>AU69+AU78</f>
        <v>0</v>
      </c>
      <c r="AV79" s="59">
        <f>AV69+AV78</f>
        <v>0</v>
      </c>
      <c r="AW79" s="60">
        <f t="shared" si="34"/>
        <v>0</v>
      </c>
      <c r="AX79" s="59">
        <f>AX69+AX78</f>
        <v>0</v>
      </c>
      <c r="AY79" s="59">
        <f>AY69+AY78</f>
        <v>0</v>
      </c>
      <c r="AZ79" s="59">
        <f>AZ69+AZ78</f>
        <v>0</v>
      </c>
      <c r="BA79" s="59">
        <f>BA69+BA78</f>
        <v>0</v>
      </c>
      <c r="BB79" s="60">
        <f t="shared" si="35"/>
        <v>0</v>
      </c>
      <c r="BC79" s="59">
        <f>BC69+BC78</f>
        <v>0</v>
      </c>
      <c r="BD79" s="59">
        <f>BD69+BD78</f>
        <v>0</v>
      </c>
      <c r="BE79" s="59">
        <f>BE69+BE78</f>
        <v>0</v>
      </c>
      <c r="BF79" s="59">
        <f>BF69+BF78</f>
        <v>0</v>
      </c>
      <c r="BG79" s="60">
        <f t="shared" si="36"/>
        <v>0</v>
      </c>
    </row>
    <row r="81" spans="2:61" x14ac:dyDescent="0.25">
      <c r="B81" s="7"/>
      <c r="C81" s="7" t="str">
        <f>"RECONCILIAÇÃO DO PATRIMÔNIO LÍQUIDO ("&amp;Inputs!$E$202&amp;")"</f>
        <v>RECONCILIAÇÃO DO PATRIMÔNIO LÍQUIDO (R$ milhões)</v>
      </c>
      <c r="D81" s="7" t="s">
        <v>792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2:61" x14ac:dyDescent="0.25">
      <c r="C82" s="11" t="s">
        <v>793</v>
      </c>
      <c r="D82" s="12" t="s">
        <v>794</v>
      </c>
      <c r="E82" s="37">
        <f>E78-E83</f>
        <v>0</v>
      </c>
      <c r="F82" s="37">
        <f>E78</f>
        <v>0</v>
      </c>
      <c r="G82" s="37">
        <f>F78</f>
        <v>0</v>
      </c>
      <c r="H82" s="37">
        <f>G78</f>
        <v>0</v>
      </c>
      <c r="I82" s="38">
        <f>E82</f>
        <v>0</v>
      </c>
      <c r="J82" s="37">
        <f>H78</f>
        <v>0</v>
      </c>
      <c r="K82" s="37">
        <f>J78</f>
        <v>0</v>
      </c>
      <c r="L82" s="37">
        <f>K78</f>
        <v>0</v>
      </c>
      <c r="M82" s="37">
        <f>L78</f>
        <v>0</v>
      </c>
      <c r="N82" s="38">
        <f>J82</f>
        <v>0</v>
      </c>
      <c r="O82" s="37">
        <f>M78</f>
        <v>0</v>
      </c>
      <c r="P82" s="37">
        <f>O78</f>
        <v>0</v>
      </c>
      <c r="Q82" s="37">
        <f>P78</f>
        <v>0</v>
      </c>
      <c r="R82" s="37">
        <f>Q78</f>
        <v>0</v>
      </c>
      <c r="S82" s="38">
        <f>O82</f>
        <v>0</v>
      </c>
      <c r="T82" s="37">
        <f>R78</f>
        <v>0</v>
      </c>
      <c r="U82" s="37">
        <f>T78</f>
        <v>0</v>
      </c>
      <c r="V82" s="37">
        <f>U78</f>
        <v>0</v>
      </c>
      <c r="W82" s="37">
        <f>V78</f>
        <v>0</v>
      </c>
      <c r="X82" s="38">
        <f>T82</f>
        <v>0</v>
      </c>
      <c r="Y82" s="37">
        <f>W78</f>
        <v>0</v>
      </c>
      <c r="Z82" s="37">
        <f>Y78</f>
        <v>0</v>
      </c>
      <c r="AA82" s="37">
        <f>Z78</f>
        <v>0</v>
      </c>
      <c r="AB82" s="37">
        <f>AA78</f>
        <v>0</v>
      </c>
      <c r="AC82" s="38">
        <f>Y82</f>
        <v>0</v>
      </c>
      <c r="AD82" s="37">
        <f>AB78</f>
        <v>0</v>
      </c>
      <c r="AE82" s="37">
        <f>AD78</f>
        <v>0</v>
      </c>
      <c r="AF82" s="37">
        <f>AE78</f>
        <v>0</v>
      </c>
      <c r="AG82" s="37">
        <f>AF78</f>
        <v>0</v>
      </c>
      <c r="AH82" s="38">
        <f>AD82</f>
        <v>0</v>
      </c>
      <c r="AI82" s="37">
        <f>AG78</f>
        <v>0</v>
      </c>
      <c r="AJ82" s="37">
        <f>AI78</f>
        <v>0</v>
      </c>
      <c r="AK82" s="37">
        <f>AJ78</f>
        <v>0</v>
      </c>
      <c r="AL82" s="37">
        <f>AK78</f>
        <v>0</v>
      </c>
      <c r="AM82" s="38">
        <f>AI82</f>
        <v>0</v>
      </c>
      <c r="AN82" s="37">
        <f>AL78</f>
        <v>0</v>
      </c>
      <c r="AO82" s="37">
        <f>AN78</f>
        <v>0</v>
      </c>
      <c r="AP82" s="37">
        <f>AO78</f>
        <v>0</v>
      </c>
      <c r="AQ82" s="37">
        <f>AP78</f>
        <v>0</v>
      </c>
      <c r="AR82" s="38">
        <f>AN82</f>
        <v>0</v>
      </c>
      <c r="AS82" s="37">
        <f>AQ78</f>
        <v>0</v>
      </c>
      <c r="AT82" s="37">
        <f>AS78</f>
        <v>0</v>
      </c>
      <c r="AU82" s="37">
        <f>AT78</f>
        <v>0</v>
      </c>
      <c r="AV82" s="37">
        <f>AU78</f>
        <v>0</v>
      </c>
      <c r="AW82" s="38">
        <f>AS82</f>
        <v>0</v>
      </c>
      <c r="AX82" s="37">
        <f>AV78</f>
        <v>0</v>
      </c>
      <c r="AY82" s="37">
        <f>AX78</f>
        <v>0</v>
      </c>
      <c r="AZ82" s="37">
        <f>AY78</f>
        <v>0</v>
      </c>
      <c r="BA82" s="37">
        <f>AZ78</f>
        <v>0</v>
      </c>
      <c r="BB82" s="38">
        <f>AX82</f>
        <v>0</v>
      </c>
      <c r="BC82" s="37">
        <f>BA78</f>
        <v>0</v>
      </c>
      <c r="BD82" s="37">
        <f>BC78</f>
        <v>0</v>
      </c>
      <c r="BE82" s="37">
        <f>BD78</f>
        <v>0</v>
      </c>
      <c r="BF82" s="37">
        <f>BE78</f>
        <v>0</v>
      </c>
      <c r="BG82" s="38">
        <f>BC82</f>
        <v>0</v>
      </c>
    </row>
    <row r="83" spans="2:61" x14ac:dyDescent="0.25">
      <c r="C83" s="11" t="s">
        <v>795</v>
      </c>
      <c r="D83" s="12" t="s">
        <v>796</v>
      </c>
      <c r="E83" s="37">
        <f>E125</f>
        <v>0</v>
      </c>
      <c r="F83" s="37">
        <f>F125</f>
        <v>0</v>
      </c>
      <c r="G83" s="37">
        <f>G125</f>
        <v>0</v>
      </c>
      <c r="H83" s="37">
        <f>H125</f>
        <v>0</v>
      </c>
      <c r="I83" s="38">
        <f>SUM(E83:H83)</f>
        <v>0</v>
      </c>
      <c r="J83" s="37">
        <f>J125</f>
        <v>0</v>
      </c>
      <c r="K83" s="37">
        <f>K125</f>
        <v>0</v>
      </c>
      <c r="L83" s="37">
        <f>L125</f>
        <v>0</v>
      </c>
      <c r="M83" s="37">
        <f>M125</f>
        <v>0</v>
      </c>
      <c r="N83" s="38">
        <f>SUM(J83:M83)</f>
        <v>0</v>
      </c>
      <c r="O83" s="37">
        <f>O125</f>
        <v>0</v>
      </c>
      <c r="P83" s="37">
        <f>P125</f>
        <v>0</v>
      </c>
      <c r="Q83" s="37">
        <f>Q125</f>
        <v>0</v>
      </c>
      <c r="R83" s="37">
        <f>R125</f>
        <v>0</v>
      </c>
      <c r="S83" s="38">
        <f>SUM(O83:R83)</f>
        <v>0</v>
      </c>
      <c r="T83" s="37">
        <f>T125</f>
        <v>0</v>
      </c>
      <c r="U83" s="37">
        <f>U125</f>
        <v>0</v>
      </c>
      <c r="V83" s="37">
        <f>V125</f>
        <v>0</v>
      </c>
      <c r="W83" s="37">
        <f>W125</f>
        <v>0</v>
      </c>
      <c r="X83" s="38">
        <f>SUM(T83:W83)</f>
        <v>0</v>
      </c>
      <c r="Y83" s="37">
        <f>Y125</f>
        <v>0</v>
      </c>
      <c r="Z83" s="37">
        <f>Z125</f>
        <v>0</v>
      </c>
      <c r="AA83" s="37">
        <f>AA125</f>
        <v>0</v>
      </c>
      <c r="AB83" s="37">
        <f>AB125</f>
        <v>0</v>
      </c>
      <c r="AC83" s="38">
        <f>SUM(Y83:AB83)</f>
        <v>0</v>
      </c>
      <c r="AD83" s="37">
        <f>AD125</f>
        <v>0</v>
      </c>
      <c r="AE83" s="37">
        <f>AE125</f>
        <v>0</v>
      </c>
      <c r="AF83" s="37">
        <f>AF125</f>
        <v>0</v>
      </c>
      <c r="AG83" s="37">
        <f>AG125</f>
        <v>0</v>
      </c>
      <c r="AH83" s="38">
        <f>SUM(AD83:AG83)</f>
        <v>0</v>
      </c>
      <c r="AI83" s="37">
        <f>AI125</f>
        <v>0</v>
      </c>
      <c r="AJ83" s="37">
        <f>AJ125</f>
        <v>0</v>
      </c>
      <c r="AK83" s="37">
        <f>AK125</f>
        <v>0</v>
      </c>
      <c r="AL83" s="37">
        <f>AL125</f>
        <v>0</v>
      </c>
      <c r="AM83" s="38">
        <f>SUM(AI83:AL83)</f>
        <v>0</v>
      </c>
      <c r="AN83" s="37">
        <f>AN125</f>
        <v>0</v>
      </c>
      <c r="AO83" s="37">
        <f>AO125</f>
        <v>0</v>
      </c>
      <c r="AP83" s="37">
        <f>AP125</f>
        <v>0</v>
      </c>
      <c r="AQ83" s="37">
        <f>AQ125</f>
        <v>0</v>
      </c>
      <c r="AR83" s="38">
        <f>SUM(AN83:AQ83)</f>
        <v>0</v>
      </c>
      <c r="AS83" s="37">
        <f>AS125</f>
        <v>0</v>
      </c>
      <c r="AT83" s="37">
        <f>AT125</f>
        <v>0</v>
      </c>
      <c r="AU83" s="37">
        <f>AU125</f>
        <v>0</v>
      </c>
      <c r="AV83" s="37">
        <f>AV125</f>
        <v>0</v>
      </c>
      <c r="AW83" s="38">
        <f>SUM(AS83:AV83)</f>
        <v>0</v>
      </c>
      <c r="AX83" s="37">
        <f>AX125</f>
        <v>0</v>
      </c>
      <c r="AY83" s="37">
        <f>AY125</f>
        <v>0</v>
      </c>
      <c r="AZ83" s="37">
        <f>AZ125</f>
        <v>0</v>
      </c>
      <c r="BA83" s="37">
        <f>BA125</f>
        <v>0</v>
      </c>
      <c r="BB83" s="38">
        <f>SUM(AX83:BA83)</f>
        <v>0</v>
      </c>
      <c r="BC83" s="37">
        <f>BC125</f>
        <v>0</v>
      </c>
      <c r="BD83" s="37">
        <f>BD125</f>
        <v>0</v>
      </c>
      <c r="BE83" s="37">
        <f>BE125</f>
        <v>0</v>
      </c>
      <c r="BF83" s="37">
        <f>BF125</f>
        <v>0</v>
      </c>
      <c r="BG83" s="38">
        <f>SUM(BC83:BF83)</f>
        <v>0</v>
      </c>
    </row>
    <row r="84" spans="2:61" x14ac:dyDescent="0.25">
      <c r="C84" s="11" t="s">
        <v>797</v>
      </c>
      <c r="D84" s="12" t="s">
        <v>798</v>
      </c>
      <c r="E84" s="57">
        <f>IF(E$14=1,-('Inputs (2)'!E149+'Inputs (2)'!E150),-E127*Inputs!E$298)</f>
        <v>0</v>
      </c>
      <c r="F84" s="57">
        <f>IF(F$14=1,-('Inputs (2)'!F149+'Inputs (2)'!F150),-F127*Inputs!F$298)</f>
        <v>0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>
        <f>SUM(E84:H84)</f>
        <v>0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0</v>
      </c>
      <c r="M84" s="57">
        <f>IF(M$14=1,-('Inputs (2)'!M149+'Inputs (2)'!M150),-M127*Inputs!M$298)</f>
        <v>0</v>
      </c>
      <c r="N84" s="38">
        <f>SUM(J84:M84)</f>
        <v>0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0</v>
      </c>
      <c r="R84" s="57">
        <f>IF(R$14=1,-('Inputs (2)'!R149+'Inputs (2)'!R150),-R127*Inputs!R$298)</f>
        <v>0</v>
      </c>
      <c r="S84" s="38">
        <f>SUM(O84:R84)</f>
        <v>0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0</v>
      </c>
      <c r="W84" s="57">
        <f>IF(W$14=1,-('Inputs (2)'!W149+'Inputs (2)'!W150),-W127*Inputs!W$298)</f>
        <v>0</v>
      </c>
      <c r="X84" s="38">
        <f>SUM(T84:W84)</f>
        <v>0</v>
      </c>
      <c r="Y84" s="57">
        <f>IF(Y$14=1,-('Inputs (2)'!Y149+'Inputs (2)'!Y150),-Y127*Inputs!Y$298)</f>
        <v>0</v>
      </c>
      <c r="Z84" s="57">
        <f>IF(Z$14=1,-('Inputs (2)'!Z149+'Inputs (2)'!Z150),-Z127*Inputs!Z$298)</f>
        <v>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0</v>
      </c>
      <c r="AC84" s="38">
        <f>SUM(Y84:AB84)</f>
        <v>0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0</v>
      </c>
      <c r="AH84" s="38">
        <f>SUM(AD84:AG84)</f>
        <v>0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 spans="2:61" x14ac:dyDescent="0.25">
      <c r="C85" s="11" t="s">
        <v>799</v>
      </c>
      <c r="D85" s="12" t="s">
        <v>800</v>
      </c>
      <c r="E85" s="57">
        <f>Inputs!E$302</f>
        <v>0</v>
      </c>
      <c r="F85" s="57">
        <f>IF(F$14=1,F75-E75,Inputs!F$302)</f>
        <v>0</v>
      </c>
      <c r="G85" s="57">
        <f>IF(G$14=1,G75-F75,Inputs!G$302)</f>
        <v>0</v>
      </c>
      <c r="H85" s="57">
        <f>IF(H$14=1,H75-G75,Inputs!H$302)</f>
        <v>0</v>
      </c>
      <c r="I85" s="38">
        <f>SUM(E85:H85)</f>
        <v>0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0</v>
      </c>
      <c r="M85" s="57">
        <f>IF(M$14=1,M75-L75,Inputs!M$302)</f>
        <v>0</v>
      </c>
      <c r="N85" s="38">
        <f>SUM(J85:M85)</f>
        <v>0</v>
      </c>
      <c r="O85" s="57">
        <f>IF(O$14=1,O75-M75,Inputs!O$302)</f>
        <v>0</v>
      </c>
      <c r="P85" s="57">
        <f>IF(P$14=1,P75-O75,Inputs!P$302)</f>
        <v>0</v>
      </c>
      <c r="Q85" s="57">
        <f>IF(Q$14=1,Q75-P75,Inputs!Q$302)</f>
        <v>0</v>
      </c>
      <c r="R85" s="57">
        <f>IF(R$14=1,R75-Q75,Inputs!R$302)</f>
        <v>0</v>
      </c>
      <c r="S85" s="38">
        <f>SUM(O85:R85)</f>
        <v>0</v>
      </c>
      <c r="T85" s="57">
        <f>IF(T$14=1,T75-R75,Inputs!T$302)</f>
        <v>0</v>
      </c>
      <c r="U85" s="57">
        <f>IF(U$14=1,U75-T75,Inputs!U$302)</f>
        <v>0</v>
      </c>
      <c r="V85" s="57">
        <f>IF(V$14=1,V75-U75,Inputs!V$302)</f>
        <v>0</v>
      </c>
      <c r="W85" s="57">
        <f>IF(W$14=1,W75-V75,Inputs!W$302)</f>
        <v>0</v>
      </c>
      <c r="X85" s="38">
        <f>SUM(T85:W85)</f>
        <v>0</v>
      </c>
      <c r="Y85" s="57">
        <f>IF(Y$14=1,Y75-W75,Inputs!Y$302)</f>
        <v>0</v>
      </c>
      <c r="Z85" s="57">
        <f>IF(Z$14=1,Z75-Y75,Inputs!Z$302)</f>
        <v>0</v>
      </c>
      <c r="AA85" s="57">
        <f>IF(AA$14=1,AA75-Z75,Inputs!AA$302)</f>
        <v>0</v>
      </c>
      <c r="AB85" s="57">
        <f>IF(AB$14=1,AB75-AA75,Inputs!AB$302)</f>
        <v>0</v>
      </c>
      <c r="AC85" s="38">
        <f>SUM(Y85:AB85)</f>
        <v>0</v>
      </c>
      <c r="AD85" s="57">
        <f>IF(AD$14=1,AD75-AB75,Inputs!AD$302)</f>
        <v>0</v>
      </c>
      <c r="AE85" s="57">
        <f>IF(AE$14=1,AE75-AD75,Inputs!AE$302)</f>
        <v>0</v>
      </c>
      <c r="AF85" s="57">
        <f>IF(AF$14=1,AF75-AE75,Inputs!AF$302)</f>
        <v>0</v>
      </c>
      <c r="AG85" s="57">
        <f>IF(AG$14=1,AG75-AF75,Inputs!AG$302)</f>
        <v>0</v>
      </c>
      <c r="AH85" s="38">
        <f>SUM(AD85:AG85)</f>
        <v>0</v>
      </c>
      <c r="AI85" s="57">
        <f>IF(AI$14=1,AI75-AG75,Inputs!AI$302)</f>
        <v>0</v>
      </c>
      <c r="AJ85" s="57">
        <f>IF(AJ$14=1,AJ75-AI75,Inputs!AJ$302)</f>
        <v>0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0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 spans="2:61" x14ac:dyDescent="0.25">
      <c r="C86" s="11" t="s">
        <v>801</v>
      </c>
      <c r="D86" s="12" t="s">
        <v>802</v>
      </c>
      <c r="E86" s="57">
        <f>Inputs!E$303</f>
        <v>0</v>
      </c>
      <c r="F86" s="57">
        <f>IF(F$14=1,F72-E72,Inputs!F$303)</f>
        <v>0</v>
      </c>
      <c r="G86" s="57">
        <f>IF(G$14=1,G72-F72,Inputs!G$303)</f>
        <v>0</v>
      </c>
      <c r="H86" s="57">
        <f>IF(H$14=1,H72-G72,Inputs!H$303)</f>
        <v>0</v>
      </c>
      <c r="I86" s="38">
        <f>SUM(E86:H86)</f>
        <v>0</v>
      </c>
      <c r="J86" s="57">
        <f>IF(J$14=1,J72-H72,Inputs!J$303)</f>
        <v>0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0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 spans="2:61" x14ac:dyDescent="0.25">
      <c r="C87" s="11" t="s">
        <v>803</v>
      </c>
      <c r="D87" s="12" t="s">
        <v>804</v>
      </c>
      <c r="E87" s="37">
        <f>E78-(E82+E83+E84+E85+E86)</f>
        <v>0</v>
      </c>
      <c r="F87" s="37">
        <f>F78-(F82+F83+F84+F85+F86)</f>
        <v>0</v>
      </c>
      <c r="G87" s="37">
        <f>G78-(G82+G83+G84+G85+G86)</f>
        <v>0</v>
      </c>
      <c r="H87" s="37">
        <f>H78-(H82+H83+H84+H85+H86)</f>
        <v>0</v>
      </c>
      <c r="I87" s="38">
        <f>SUM(E87:H87)</f>
        <v>0</v>
      </c>
      <c r="J87" s="37">
        <f>J78-(J82+J83+J84+J85+J86)</f>
        <v>0</v>
      </c>
      <c r="K87" s="37">
        <f>K78-(K82+K83+K84+K85+K86)</f>
        <v>0</v>
      </c>
      <c r="L87" s="37">
        <f>L78-(L82+L83+L84+L85+L86)</f>
        <v>0</v>
      </c>
      <c r="M87" s="37">
        <f>M78-(M82+M83+M84+M85+M86)</f>
        <v>0</v>
      </c>
      <c r="N87" s="38">
        <f>SUM(J87:M87)</f>
        <v>0</v>
      </c>
      <c r="O87" s="37">
        <f>O78-(O82+O83+O84+O85+O86)</f>
        <v>0</v>
      </c>
      <c r="P87" s="37">
        <f>P78-(P82+P83+P84+P85+P86)</f>
        <v>0</v>
      </c>
      <c r="Q87" s="37">
        <f>Q78-(Q82+Q83+Q84+Q85+Q86)</f>
        <v>0</v>
      </c>
      <c r="R87" s="37">
        <f>R78-(R82+R83+R84+R85+R86)</f>
        <v>0</v>
      </c>
      <c r="S87" s="38">
        <f>SUM(O87:R87)</f>
        <v>0</v>
      </c>
      <c r="T87" s="37">
        <f>T78-(T82+T83+T84+T85+T86)</f>
        <v>0</v>
      </c>
      <c r="U87" s="37">
        <f>U78-(U82+U83+U84+U85+U86)</f>
        <v>0</v>
      </c>
      <c r="V87" s="37">
        <f>V78-(V82+V83+V84+V85+V86)</f>
        <v>0</v>
      </c>
      <c r="W87" s="37">
        <f>W78-(W82+W83+W84+W85+W86)</f>
        <v>0</v>
      </c>
      <c r="X87" s="38">
        <f>SUM(T87:W87)</f>
        <v>0</v>
      </c>
      <c r="Y87" s="37">
        <f>Y78-(Y82+Y83+Y84+Y85+Y86)</f>
        <v>0</v>
      </c>
      <c r="Z87" s="37">
        <f>Z78-(Z82+Z83+Z84+Z85+Z86)</f>
        <v>0</v>
      </c>
      <c r="AA87" s="37">
        <f>AA78-(AA82+AA83+AA84+AA85+AA86)</f>
        <v>0</v>
      </c>
      <c r="AB87" s="37">
        <f>AB78-(AB82+AB83+AB84+AB85+AB86)</f>
        <v>0</v>
      </c>
      <c r="AC87" s="38">
        <f>SUM(Y87:AB87)</f>
        <v>0</v>
      </c>
      <c r="AD87" s="37">
        <f>AD78-(AD82+AD83+AD84+AD85+AD86)</f>
        <v>0</v>
      </c>
      <c r="AE87" s="37">
        <f>AE78-(AE82+AE83+AE84+AE85+AE86)</f>
        <v>0</v>
      </c>
      <c r="AF87" s="37">
        <f>AF78-(AF82+AF83+AF84+AF85+AF86)</f>
        <v>0</v>
      </c>
      <c r="AG87" s="37">
        <f>AG78-(AG82+AG83+AG84+AG85+AG86)</f>
        <v>0</v>
      </c>
      <c r="AH87" s="38">
        <f>SUM(AD87:AG87)</f>
        <v>0</v>
      </c>
      <c r="AI87" s="37">
        <f>AI78-(AI82+AI83+AI84+AI85+AI86)</f>
        <v>0</v>
      </c>
      <c r="AJ87" s="37">
        <f>AJ78-(AJ82+AJ83+AJ84+AJ85+AJ86)</f>
        <v>0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0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s">
        <v>805</v>
      </c>
    </row>
    <row r="88" spans="2:61" x14ac:dyDescent="0.25">
      <c r="C88" s="15" t="s">
        <v>806</v>
      </c>
      <c r="D88" s="16" t="s">
        <v>807</v>
      </c>
      <c r="E88" s="59">
        <f t="shared" ref="E88:AJ88" si="37">SUM(E82:E87)</f>
        <v>0</v>
      </c>
      <c r="F88" s="59">
        <f t="shared" si="37"/>
        <v>0</v>
      </c>
      <c r="G88" s="59">
        <f t="shared" si="37"/>
        <v>0</v>
      </c>
      <c r="H88" s="59">
        <f t="shared" si="37"/>
        <v>0</v>
      </c>
      <c r="I88" s="60">
        <f t="shared" si="37"/>
        <v>0</v>
      </c>
      <c r="J88" s="59">
        <f t="shared" si="37"/>
        <v>0</v>
      </c>
      <c r="K88" s="59">
        <f t="shared" si="37"/>
        <v>0</v>
      </c>
      <c r="L88" s="59">
        <f t="shared" si="37"/>
        <v>0</v>
      </c>
      <c r="M88" s="59">
        <f t="shared" si="37"/>
        <v>0</v>
      </c>
      <c r="N88" s="60">
        <f t="shared" si="37"/>
        <v>0</v>
      </c>
      <c r="O88" s="59">
        <f t="shared" si="37"/>
        <v>0</v>
      </c>
      <c r="P88" s="59">
        <f t="shared" si="37"/>
        <v>0</v>
      </c>
      <c r="Q88" s="59">
        <f t="shared" si="37"/>
        <v>0</v>
      </c>
      <c r="R88" s="59">
        <f t="shared" si="37"/>
        <v>0</v>
      </c>
      <c r="S88" s="60">
        <f t="shared" si="37"/>
        <v>0</v>
      </c>
      <c r="T88" s="59">
        <f t="shared" si="37"/>
        <v>0</v>
      </c>
      <c r="U88" s="59">
        <f t="shared" si="37"/>
        <v>0</v>
      </c>
      <c r="V88" s="59">
        <f t="shared" si="37"/>
        <v>0</v>
      </c>
      <c r="W88" s="59">
        <f t="shared" si="37"/>
        <v>0</v>
      </c>
      <c r="X88" s="60">
        <f t="shared" si="37"/>
        <v>0</v>
      </c>
      <c r="Y88" s="59">
        <f t="shared" si="37"/>
        <v>0</v>
      </c>
      <c r="Z88" s="59">
        <f t="shared" si="37"/>
        <v>0</v>
      </c>
      <c r="AA88" s="59">
        <f t="shared" si="37"/>
        <v>0</v>
      </c>
      <c r="AB88" s="59">
        <f t="shared" si="37"/>
        <v>0</v>
      </c>
      <c r="AC88" s="60">
        <f t="shared" si="37"/>
        <v>0</v>
      </c>
      <c r="AD88" s="59">
        <f t="shared" si="37"/>
        <v>0</v>
      </c>
      <c r="AE88" s="59">
        <f t="shared" si="37"/>
        <v>0</v>
      </c>
      <c r="AF88" s="59">
        <f t="shared" si="37"/>
        <v>0</v>
      </c>
      <c r="AG88" s="59">
        <f t="shared" si="37"/>
        <v>0</v>
      </c>
      <c r="AH88" s="60">
        <f t="shared" si="37"/>
        <v>0</v>
      </c>
      <c r="AI88" s="59">
        <f t="shared" si="37"/>
        <v>0</v>
      </c>
      <c r="AJ88" s="59">
        <f t="shared" si="37"/>
        <v>0</v>
      </c>
      <c r="AK88" s="59">
        <f t="shared" ref="AK88:BG88" si="38">SUM(AK82:AK87)</f>
        <v>0</v>
      </c>
      <c r="AL88" s="59">
        <f t="shared" si="38"/>
        <v>0</v>
      </c>
      <c r="AM88" s="60">
        <f t="shared" si="38"/>
        <v>0</v>
      </c>
      <c r="AN88" s="59">
        <f t="shared" si="38"/>
        <v>0</v>
      </c>
      <c r="AO88" s="59">
        <f t="shared" si="38"/>
        <v>0</v>
      </c>
      <c r="AP88" s="59">
        <f t="shared" si="38"/>
        <v>0</v>
      </c>
      <c r="AQ88" s="59">
        <f t="shared" si="38"/>
        <v>0</v>
      </c>
      <c r="AR88" s="60">
        <f t="shared" si="38"/>
        <v>0</v>
      </c>
      <c r="AS88" s="59">
        <f t="shared" si="38"/>
        <v>0</v>
      </c>
      <c r="AT88" s="59">
        <f t="shared" si="38"/>
        <v>0</v>
      </c>
      <c r="AU88" s="59">
        <f t="shared" si="38"/>
        <v>0</v>
      </c>
      <c r="AV88" s="59">
        <f t="shared" si="38"/>
        <v>0</v>
      </c>
      <c r="AW88" s="60">
        <f t="shared" si="38"/>
        <v>0</v>
      </c>
      <c r="AX88" s="59">
        <f t="shared" si="38"/>
        <v>0</v>
      </c>
      <c r="AY88" s="59">
        <f t="shared" si="38"/>
        <v>0</v>
      </c>
      <c r="AZ88" s="59">
        <f t="shared" si="38"/>
        <v>0</v>
      </c>
      <c r="BA88" s="59">
        <f t="shared" si="38"/>
        <v>0</v>
      </c>
      <c r="BB88" s="60">
        <f t="shared" si="38"/>
        <v>0</v>
      </c>
      <c r="BC88" s="59">
        <f t="shared" si="38"/>
        <v>0</v>
      </c>
      <c r="BD88" s="59">
        <f t="shared" si="38"/>
        <v>0</v>
      </c>
      <c r="BE88" s="59">
        <f t="shared" si="38"/>
        <v>0</v>
      </c>
      <c r="BF88" s="59">
        <f t="shared" si="38"/>
        <v>0</v>
      </c>
      <c r="BG88" s="60">
        <f t="shared" si="38"/>
        <v>0</v>
      </c>
    </row>
    <row r="90" spans="2:61" x14ac:dyDescent="0.25">
      <c r="B90" s="7"/>
      <c r="C90" s="7" t="str">
        <f>"DEMONSTRAÇÃO DO RESULTADO ("&amp;Inputs!$E$202&amp;")"</f>
        <v>DEMONSTRAÇÃO DO RESULTADO (R$ milhões)</v>
      </c>
      <c r="D90" s="7" t="s">
        <v>609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2:61" x14ac:dyDescent="0.25">
      <c r="C91" s="83" t="s">
        <v>610</v>
      </c>
      <c r="D91" s="84" t="s">
        <v>611</v>
      </c>
      <c r="E91" s="85">
        <f>E92+E93+E94+E95</f>
        <v>0</v>
      </c>
      <c r="F91" s="85">
        <f>F92+F93+F94+F95</f>
        <v>0</v>
      </c>
      <c r="G91" s="85">
        <f>G92+G93+G94+G95</f>
        <v>0</v>
      </c>
      <c r="H91" s="85">
        <f>H92+H93+H94+H95</f>
        <v>0</v>
      </c>
      <c r="I91" s="60">
        <f t="shared" ref="I91:I127" si="39">SUM(E91:H91)</f>
        <v>0</v>
      </c>
      <c r="J91" s="85">
        <f>J92+J93+J94+J95</f>
        <v>0</v>
      </c>
      <c r="K91" s="85">
        <f>K92+K93+K94+K95</f>
        <v>0</v>
      </c>
      <c r="L91" s="85">
        <f>L92+L93+L94+L95</f>
        <v>0</v>
      </c>
      <c r="M91" s="85">
        <f>M92+M93+M94+M95</f>
        <v>0</v>
      </c>
      <c r="N91" s="60">
        <f t="shared" ref="N91:N127" si="40">SUM(J91:M91)</f>
        <v>0</v>
      </c>
      <c r="O91" s="85">
        <f>O92+O93+O94+O95</f>
        <v>0</v>
      </c>
      <c r="P91" s="85">
        <f>P92+P93+P94+P95</f>
        <v>0</v>
      </c>
      <c r="Q91" s="85">
        <f>Q92+Q93+Q94+Q95</f>
        <v>0</v>
      </c>
      <c r="R91" s="85">
        <f>R92+R93+R94+R95</f>
        <v>0</v>
      </c>
      <c r="S91" s="60">
        <f t="shared" ref="S91:S127" si="41">SUM(O91:R91)</f>
        <v>0</v>
      </c>
      <c r="T91" s="85">
        <f>T92+T93+T94+T95</f>
        <v>0</v>
      </c>
      <c r="U91" s="85">
        <f>U92+U93+U94+U95</f>
        <v>0</v>
      </c>
      <c r="V91" s="85">
        <f>V92+V93+V94+V95</f>
        <v>0</v>
      </c>
      <c r="W91" s="85">
        <f>W92+W93+W94+W95</f>
        <v>0</v>
      </c>
      <c r="X91" s="60">
        <f t="shared" ref="X91:X127" si="42">SUM(T91:W91)</f>
        <v>0</v>
      </c>
      <c r="Y91" s="85">
        <f>Y92+Y93+Y94+Y95</f>
        <v>0</v>
      </c>
      <c r="Z91" s="85">
        <f>Z92+Z93+Z94+Z95</f>
        <v>0</v>
      </c>
      <c r="AA91" s="85">
        <f>AA92+AA93+AA94+AA95</f>
        <v>0</v>
      </c>
      <c r="AB91" s="85">
        <f>AB92+AB93+AB94+AB95</f>
        <v>0</v>
      </c>
      <c r="AC91" s="60">
        <f t="shared" ref="AC91:AC127" si="43">SUM(Y91:AB91)</f>
        <v>0</v>
      </c>
      <c r="AD91" s="85">
        <f>AD92+AD93+AD94+AD95</f>
        <v>0</v>
      </c>
      <c r="AE91" s="85">
        <f>AE92+AE93+AE94+AE95</f>
        <v>0</v>
      </c>
      <c r="AF91" s="85">
        <f>AF92+AF93+AF94+AF95</f>
        <v>0</v>
      </c>
      <c r="AG91" s="85">
        <f>AG92+AG93+AG94+AG95</f>
        <v>0</v>
      </c>
      <c r="AH91" s="60">
        <f t="shared" ref="AH91:AH127" si="44">SUM(AD91:AG91)</f>
        <v>0</v>
      </c>
      <c r="AI91" s="85">
        <f>AI92+AI93+AI94+AI95</f>
        <v>0</v>
      </c>
      <c r="AJ91" s="85">
        <f>AJ92+AJ93+AJ94+AJ95</f>
        <v>0</v>
      </c>
      <c r="AK91" s="85">
        <f>AK92+AK93+AK94+AK95</f>
        <v>0</v>
      </c>
      <c r="AL91" s="85">
        <f>AL92+AL93+AL94+AL95</f>
        <v>0</v>
      </c>
      <c r="AM91" s="60">
        <f t="shared" ref="AM91:AM127" si="45">SUM(AI91:AL91)</f>
        <v>0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 t="shared" ref="AR91:AR127" si="46"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 t="shared" ref="AW91:AW127" si="47"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 t="shared" ref="BB91:BB127" si="48"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 t="shared" ref="BG91:BG127" si="49">SUM(BC91:BF91)</f>
        <v>0</v>
      </c>
    </row>
    <row r="92" spans="2:61" hidden="1" outlineLevel="1" x14ac:dyDescent="0.25">
      <c r="C92" s="61" t="s">
        <v>145</v>
      </c>
      <c r="D92" s="62" t="s">
        <v>808</v>
      </c>
      <c r="E92" s="57">
        <f>IF(E$14=1,'Inputs (2)'!E71,E134*Inputs!E$271/4)</f>
        <v>0</v>
      </c>
      <c r="F92" s="57">
        <f>IF(F$14=1,'Inputs (2)'!F71,F134*Inputs!F$271/4)</f>
        <v>0</v>
      </c>
      <c r="G92" s="57">
        <f>IF(G$14=1,'Inputs (2)'!G71,G134*Inputs!G$271/4)</f>
        <v>0</v>
      </c>
      <c r="H92" s="57">
        <f>IF(H$14=1,'Inputs (2)'!H71,H134*Inputs!H$271/4)</f>
        <v>0</v>
      </c>
      <c r="I92" s="77">
        <f t="shared" si="39"/>
        <v>0</v>
      </c>
      <c r="J92" s="57">
        <f>IF(J$14=1,'Inputs (2)'!J71,J134*Inputs!J$271/4)</f>
        <v>0</v>
      </c>
      <c r="K92" s="57">
        <f>IF(K$14=1,'Inputs (2)'!K71,K134*Inputs!K$271/4)</f>
        <v>0</v>
      </c>
      <c r="L92" s="57">
        <f>IF(L$14=1,'Inputs (2)'!L71,L134*Inputs!L$271/4)</f>
        <v>0</v>
      </c>
      <c r="M92" s="57">
        <f>IF(M$14=1,'Inputs (2)'!M71,M134*Inputs!M$271/4)</f>
        <v>0</v>
      </c>
      <c r="N92" s="77">
        <f t="shared" si="40"/>
        <v>0</v>
      </c>
      <c r="O92" s="57">
        <f>IF(O$14=1,'Inputs (2)'!O71,O134*Inputs!O$271/4)</f>
        <v>0</v>
      </c>
      <c r="P92" s="57">
        <f>IF(P$14=1,'Inputs (2)'!P71,P134*Inputs!P$271/4)</f>
        <v>0</v>
      </c>
      <c r="Q92" s="57">
        <f>IF(Q$14=1,'Inputs (2)'!Q71,Q134*Inputs!Q$271/4)</f>
        <v>0</v>
      </c>
      <c r="R92" s="57">
        <f>IF(R$14=1,'Inputs (2)'!R71,R134*Inputs!R$271/4)</f>
        <v>0</v>
      </c>
      <c r="S92" s="77">
        <f t="shared" si="41"/>
        <v>0</v>
      </c>
      <c r="T92" s="57">
        <f>IF(T$14=1,'Inputs (2)'!T71,T134*Inputs!T$271/4)</f>
        <v>0</v>
      </c>
      <c r="U92" s="57">
        <f>IF(U$14=1,'Inputs (2)'!U71,U134*Inputs!U$271/4)</f>
        <v>0</v>
      </c>
      <c r="V92" s="57">
        <f>IF(V$14=1,'Inputs (2)'!V71,V134*Inputs!V$271/4)</f>
        <v>0</v>
      </c>
      <c r="W92" s="57">
        <f>IF(W$14=1,'Inputs (2)'!W71,W134*Inputs!W$271/4)</f>
        <v>0</v>
      </c>
      <c r="X92" s="77">
        <f t="shared" si="42"/>
        <v>0</v>
      </c>
      <c r="Y92" s="57">
        <f>IF(Y$14=1,'Inputs (2)'!Y71,Y134*Inputs!Y$271/4)</f>
        <v>0</v>
      </c>
      <c r="Z92" s="57">
        <f>IF(Z$14=1,'Inputs (2)'!Z71,Z134*Inputs!Z$271/4)</f>
        <v>0</v>
      </c>
      <c r="AA92" s="57">
        <f>IF(AA$14=1,'Inputs (2)'!AA71,AA134*Inputs!AA$271/4)</f>
        <v>0</v>
      </c>
      <c r="AB92" s="57">
        <f>IF(AB$14=1,'Inputs (2)'!AB71,AB134*Inputs!AB$271/4)</f>
        <v>0</v>
      </c>
      <c r="AC92" s="77">
        <f t="shared" si="43"/>
        <v>0</v>
      </c>
      <c r="AD92" s="57">
        <f>IF(AD$14=1,'Inputs (2)'!AD71,AD134*Inputs!AD$271/4)</f>
        <v>0</v>
      </c>
      <c r="AE92" s="57">
        <f>IF(AE$14=1,'Inputs (2)'!AE71,AE134*Inputs!AE$271/4)</f>
        <v>0</v>
      </c>
      <c r="AF92" s="57">
        <f>IF(AF$14=1,'Inputs (2)'!AF71,AF134*Inputs!AF$271/4)</f>
        <v>0</v>
      </c>
      <c r="AG92" s="57">
        <f>IF(AG$14=1,'Inputs (2)'!AG71,AG134*Inputs!AG$271/4)</f>
        <v>0</v>
      </c>
      <c r="AH92" s="77">
        <f t="shared" si="44"/>
        <v>0</v>
      </c>
      <c r="AI92" s="57">
        <f>IF(AI$14=1,'Inputs (2)'!AI71,AI134*Inputs!AI$271/4)</f>
        <v>0</v>
      </c>
      <c r="AJ92" s="57">
        <f>IF(AJ$14=1,'Inputs (2)'!AJ71,AJ134*Inputs!AJ$271/4)</f>
        <v>0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 t="shared" si="45"/>
        <v>0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 t="shared" si="46"/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 t="shared" si="47"/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 t="shared" si="48"/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 t="shared" si="49"/>
        <v>0</v>
      </c>
    </row>
    <row r="93" spans="2:61" hidden="1" outlineLevel="1" x14ac:dyDescent="0.25">
      <c r="C93" s="61" t="s">
        <v>147</v>
      </c>
      <c r="D93" s="62" t="s">
        <v>809</v>
      </c>
      <c r="E93" s="57">
        <f>'Inputs (2)'!E72</f>
        <v>0</v>
      </c>
      <c r="F93" s="57">
        <f>IF(F$14=1,'Inputs (2)'!F72,AVERAGE(E24+E29,F24+F29)*Inputs!F$276/4)</f>
        <v>0</v>
      </c>
      <c r="G93" s="57">
        <f>IF(G$14=1,'Inputs (2)'!G72,AVERAGE(F24+F29,G24+G29)*Inputs!G$276/4)</f>
        <v>0</v>
      </c>
      <c r="H93" s="57">
        <f>IF(H$14=1,'Inputs (2)'!H72,AVERAGE(G24+G29,H24+H29)*Inputs!H$276/4)</f>
        <v>0</v>
      </c>
      <c r="I93" s="77">
        <f t="shared" si="39"/>
        <v>0</v>
      </c>
      <c r="J93" s="57">
        <f>IF(J$14=1,'Inputs (2)'!J72,AVERAGE(H24+H29,J24+J29)*Inputs!J$276/4)</f>
        <v>0</v>
      </c>
      <c r="K93" s="57">
        <f>IF(K$14=1,'Inputs (2)'!K72,AVERAGE(J24+J29,K24+K29)*Inputs!K$276/4)</f>
        <v>0</v>
      </c>
      <c r="L93" s="57">
        <f>IF(L$14=1,'Inputs (2)'!L72,AVERAGE(K24+K29,L24+L29)*Inputs!L$276/4)</f>
        <v>0</v>
      </c>
      <c r="M93" s="57">
        <f>IF(M$14=1,'Inputs (2)'!M72,AVERAGE(L24+L29,M24+M29)*Inputs!M$276/4)</f>
        <v>0</v>
      </c>
      <c r="N93" s="77">
        <f t="shared" si="40"/>
        <v>0</v>
      </c>
      <c r="O93" s="57">
        <f>IF(O$14=1,'Inputs (2)'!O72,AVERAGE(M24+M29,O24+O29)*Inputs!O$276/4)</f>
        <v>0</v>
      </c>
      <c r="P93" s="57">
        <f>IF(P$14=1,'Inputs (2)'!P72,AVERAGE(O24+O29,P24+P29)*Inputs!P$276/4)</f>
        <v>0</v>
      </c>
      <c r="Q93" s="57">
        <f>IF(Q$14=1,'Inputs (2)'!Q72,AVERAGE(P24+P29,Q24+Q29)*Inputs!Q$276/4)</f>
        <v>0</v>
      </c>
      <c r="R93" s="57">
        <f>IF(R$14=1,'Inputs (2)'!R72,AVERAGE(Q24+Q29,R24+R29)*Inputs!R$276/4)</f>
        <v>0</v>
      </c>
      <c r="S93" s="77">
        <f t="shared" si="41"/>
        <v>0</v>
      </c>
      <c r="T93" s="57">
        <f>IF(T$14=1,'Inputs (2)'!T72,AVERAGE(R24+R29,T24+T29)*Inputs!T$276/4)</f>
        <v>0</v>
      </c>
      <c r="U93" s="57">
        <f>IF(U$14=1,'Inputs (2)'!U72,AVERAGE(T24+T29,U24+U29)*Inputs!U$276/4)</f>
        <v>0</v>
      </c>
      <c r="V93" s="57">
        <f>IF(V$14=1,'Inputs (2)'!V72,AVERAGE(U24+U29,V24+V29)*Inputs!V$276/4)</f>
        <v>0</v>
      </c>
      <c r="W93" s="57">
        <f>IF(W$14=1,'Inputs (2)'!W72,AVERAGE(V24+V29,W24+W29)*Inputs!W$276/4)</f>
        <v>0</v>
      </c>
      <c r="X93" s="77">
        <f t="shared" si="42"/>
        <v>0</v>
      </c>
      <c r="Y93" s="57">
        <f>IF(Y$14=1,'Inputs (2)'!Y72,AVERAGE(W24+W29,Y24+Y29)*Inputs!Y$276/4)</f>
        <v>0</v>
      </c>
      <c r="Z93" s="57">
        <f>IF(Z$14=1,'Inputs (2)'!Z72,AVERAGE(Y24+Y29,Z24+Z29)*Inputs!Z$276/4)</f>
        <v>0</v>
      </c>
      <c r="AA93" s="57">
        <f>IF(AA$14=1,'Inputs (2)'!AA72,AVERAGE(Z24+Z29,AA24+AA29)*Inputs!AA$276/4)</f>
        <v>0</v>
      </c>
      <c r="AB93" s="57">
        <f>IF(AB$14=1,'Inputs (2)'!AB72,AVERAGE(AA24+AA29,AB24+AB29)*Inputs!AB$276/4)</f>
        <v>0</v>
      </c>
      <c r="AC93" s="77">
        <f t="shared" si="43"/>
        <v>0</v>
      </c>
      <c r="AD93" s="57">
        <f>IF(AD$14=1,'Inputs (2)'!AD72,AVERAGE(AB24+AB29,AD24+AD29)*Inputs!AD$276/4)</f>
        <v>0</v>
      </c>
      <c r="AE93" s="57">
        <f>IF(AE$14=1,'Inputs (2)'!AE72,AVERAGE(AD24+AD29,AE24+AE29)*Inputs!AE$276/4)</f>
        <v>0</v>
      </c>
      <c r="AF93" s="57">
        <f>IF(AF$14=1,'Inputs (2)'!AF72,AVERAGE(AE24+AE29,AF24+AF29)*Inputs!AF$276/4)</f>
        <v>0</v>
      </c>
      <c r="AG93" s="57">
        <f>IF(AG$14=1,'Inputs (2)'!AG72,AVERAGE(AF24+AF29,AG24+AG29)*Inputs!AG$276/4)</f>
        <v>0</v>
      </c>
      <c r="AH93" s="77">
        <f t="shared" si="44"/>
        <v>0</v>
      </c>
      <c r="AI93" s="57">
        <f>IF(AI$14=1,'Inputs (2)'!AI72,AVERAGE(AG24+AG29,AI24+AI29)*Inputs!AI$276/4)</f>
        <v>0</v>
      </c>
      <c r="AJ93" s="57">
        <f>IF(AJ$14=1,'Inputs (2)'!AJ72,AVERAGE(AI24+AI29,AJ24+AJ29)*Inputs!AJ$276/4)</f>
        <v>0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 t="shared" si="45"/>
        <v>0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 t="shared" si="46"/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 t="shared" si="47"/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 t="shared" si="48"/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 t="shared" si="49"/>
        <v>0</v>
      </c>
    </row>
    <row r="94" spans="2:61" hidden="1" outlineLevel="1" x14ac:dyDescent="0.25">
      <c r="C94" s="61" t="s">
        <v>149</v>
      </c>
      <c r="D94" s="62" t="s">
        <v>810</v>
      </c>
      <c r="E94" s="57">
        <f>'Inputs (2)'!E73</f>
        <v>0</v>
      </c>
      <c r="F94" s="57">
        <f>IF(F$14=1,'Inputs (2)'!F73,E94)</f>
        <v>0</v>
      </c>
      <c r="G94" s="57">
        <f>IF(G$14=1,'Inputs (2)'!G73,F94)</f>
        <v>0</v>
      </c>
      <c r="H94" s="57">
        <f>IF(H$14=1,'Inputs (2)'!H73,G94)</f>
        <v>0</v>
      </c>
      <c r="I94" s="77">
        <f t="shared" si="39"/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 t="shared" si="40"/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 t="shared" si="41"/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 t="shared" si="42"/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 t="shared" si="43"/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 t="shared" si="44"/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 t="shared" si="45"/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 t="shared" si="46"/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 t="shared" si="47"/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 t="shared" si="48"/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 t="shared" si="49"/>
        <v>0</v>
      </c>
    </row>
    <row r="95" spans="2:61" hidden="1" outlineLevel="1" x14ac:dyDescent="0.25">
      <c r="C95" s="61" t="s">
        <v>151</v>
      </c>
      <c r="D95" s="62" t="s">
        <v>811</v>
      </c>
      <c r="E95" s="57">
        <f>'Inputs (2)'!E74</f>
        <v>0</v>
      </c>
      <c r="F95" s="57">
        <f>IF(F$14=1,'Inputs (2)'!F74,AVERAGE(E19,F19)*Inputs!F$262)</f>
        <v>0</v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 t="shared" si="39"/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 t="shared" si="40"/>
        <v>0</v>
      </c>
      <c r="O95" s="57">
        <f>IF(O$14=1,'Inputs (2)'!O74,AVERAGE(M19,O19)*Inputs!O$262)</f>
        <v>0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 t="shared" si="41"/>
        <v>0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 t="shared" si="42"/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 t="shared" si="43"/>
        <v>0</v>
      </c>
      <c r="AD95" s="57">
        <f>IF(AD$14=1,'Inputs (2)'!AD74,AVERAGE(AB19,AD19)*Inputs!AD$262)</f>
        <v>0</v>
      </c>
      <c r="AE95" s="57">
        <f>IF(AE$14=1,'Inputs (2)'!AE74,AVERAGE(AD19,AE19)*Inputs!AE$262)</f>
        <v>0</v>
      </c>
      <c r="AF95" s="57">
        <f>IF(AF$14=1,'Inputs (2)'!AF74,AVERAGE(AE19,AF19)*Inputs!AF$262)</f>
        <v>0</v>
      </c>
      <c r="AG95" s="57">
        <f>IF(AG$14=1,'Inputs (2)'!AG74,AVERAGE(AF19,AG19)*Inputs!AG$262)</f>
        <v>0</v>
      </c>
      <c r="AH95" s="77">
        <f t="shared" si="44"/>
        <v>0</v>
      </c>
      <c r="AI95" s="57">
        <f>IF(AI$14=1,'Inputs (2)'!AI74,AVERAGE(AG19,AI19)*Inputs!AI$262)</f>
        <v>0</v>
      </c>
      <c r="AJ95" s="57">
        <f>IF(AJ$14=1,'Inputs (2)'!AJ74,AVERAGE(AI19,AJ19)*Inputs!AJ$262)</f>
        <v>0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 t="shared" si="45"/>
        <v>0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 t="shared" si="46"/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 t="shared" si="47"/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 t="shared" si="48"/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 t="shared" si="49"/>
        <v>0</v>
      </c>
    </row>
    <row r="96" spans="2:61" collapsed="1" x14ac:dyDescent="0.25">
      <c r="C96" s="83" t="s">
        <v>616</v>
      </c>
      <c r="D96" s="84" t="s">
        <v>812</v>
      </c>
      <c r="E96" s="85">
        <f>E97+E98+E99+E100</f>
        <v>0</v>
      </c>
      <c r="F96" s="85">
        <f>F97+F98+F99+F100</f>
        <v>0</v>
      </c>
      <c r="G96" s="85">
        <f>G97+G98+G99+G100</f>
        <v>0</v>
      </c>
      <c r="H96" s="85">
        <f>H97+H98+H99+H100</f>
        <v>0</v>
      </c>
      <c r="I96" s="60">
        <f t="shared" si="39"/>
        <v>0</v>
      </c>
      <c r="J96" s="85">
        <f>J97+J98+J99+J100</f>
        <v>0</v>
      </c>
      <c r="K96" s="85">
        <f>K97+K98+K99+K100</f>
        <v>0</v>
      </c>
      <c r="L96" s="85">
        <f>L97+L98+L99+L100</f>
        <v>0</v>
      </c>
      <c r="M96" s="85">
        <f>M97+M98+M99+M100</f>
        <v>0</v>
      </c>
      <c r="N96" s="60">
        <f t="shared" si="40"/>
        <v>0</v>
      </c>
      <c r="O96" s="85">
        <f>O97+O98+O99+O100</f>
        <v>0</v>
      </c>
      <c r="P96" s="85">
        <f>P97+P98+P99+P100</f>
        <v>0</v>
      </c>
      <c r="Q96" s="85">
        <f>Q97+Q98+Q99+Q100</f>
        <v>0</v>
      </c>
      <c r="R96" s="85">
        <f>R97+R98+R99+R100</f>
        <v>0</v>
      </c>
      <c r="S96" s="60">
        <f t="shared" si="41"/>
        <v>0</v>
      </c>
      <c r="T96" s="85">
        <f>T97+T98+T99+T100</f>
        <v>0</v>
      </c>
      <c r="U96" s="85">
        <f>U97+U98+U99+U100</f>
        <v>0</v>
      </c>
      <c r="V96" s="85">
        <f>V97+V98+V99+V100</f>
        <v>0</v>
      </c>
      <c r="W96" s="85">
        <f>W97+W98+W99+W100</f>
        <v>0</v>
      </c>
      <c r="X96" s="60">
        <f t="shared" si="42"/>
        <v>0</v>
      </c>
      <c r="Y96" s="85">
        <f>Y97+Y98+Y99+Y100</f>
        <v>0</v>
      </c>
      <c r="Z96" s="85">
        <f>Z97+Z98+Z99+Z100</f>
        <v>0</v>
      </c>
      <c r="AA96" s="85">
        <f>AA97+AA98+AA99+AA100</f>
        <v>0</v>
      </c>
      <c r="AB96" s="85">
        <f>AB97+AB98+AB99+AB100</f>
        <v>0</v>
      </c>
      <c r="AC96" s="60">
        <f t="shared" si="43"/>
        <v>0</v>
      </c>
      <c r="AD96" s="85">
        <f>AD97+AD98+AD99+AD100</f>
        <v>0</v>
      </c>
      <c r="AE96" s="85">
        <f>AE97+AE98+AE99+AE100</f>
        <v>0</v>
      </c>
      <c r="AF96" s="85">
        <f>AF97+AF98+AF99+AF100</f>
        <v>0</v>
      </c>
      <c r="AG96" s="85">
        <f>AG97+AG98+AG99+AG100</f>
        <v>0</v>
      </c>
      <c r="AH96" s="60">
        <f t="shared" si="44"/>
        <v>0</v>
      </c>
      <c r="AI96" s="85">
        <f>AI97+AI98+AI99+AI100</f>
        <v>0</v>
      </c>
      <c r="AJ96" s="85">
        <f>AJ97+AJ98+AJ99+AJ100</f>
        <v>0</v>
      </c>
      <c r="AK96" s="85">
        <f>AK97+AK98+AK99+AK100</f>
        <v>0</v>
      </c>
      <c r="AL96" s="85">
        <f>AL97+AL98+AL99+AL100</f>
        <v>0</v>
      </c>
      <c r="AM96" s="60">
        <f t="shared" si="45"/>
        <v>0</v>
      </c>
      <c r="AN96" s="85">
        <f>AN97+AN98+AN99+AN100</f>
        <v>0</v>
      </c>
      <c r="AO96" s="85">
        <f>AO97+AO98+AO99+AO100</f>
        <v>0</v>
      </c>
      <c r="AP96" s="85">
        <f>AP97+AP98+AP99+AP100</f>
        <v>0</v>
      </c>
      <c r="AQ96" s="85">
        <f>AQ97+AQ98+AQ99+AQ100</f>
        <v>0</v>
      </c>
      <c r="AR96" s="60">
        <f t="shared" si="46"/>
        <v>0</v>
      </c>
      <c r="AS96" s="85">
        <f>AS97+AS98+AS99+AS100</f>
        <v>0</v>
      </c>
      <c r="AT96" s="85">
        <f>AT97+AT98+AT99+AT100</f>
        <v>0</v>
      </c>
      <c r="AU96" s="85">
        <f>AU97+AU98+AU99+AU100</f>
        <v>0</v>
      </c>
      <c r="AV96" s="85">
        <f>AV97+AV98+AV99+AV100</f>
        <v>0</v>
      </c>
      <c r="AW96" s="60">
        <f t="shared" si="47"/>
        <v>0</v>
      </c>
      <c r="AX96" s="85">
        <f>AX97+AX98+AX99+AX100</f>
        <v>0</v>
      </c>
      <c r="AY96" s="85">
        <f>AY97+AY98+AY99+AY100</f>
        <v>0</v>
      </c>
      <c r="AZ96" s="85">
        <f>AZ97+AZ98+AZ99+AZ100</f>
        <v>0</v>
      </c>
      <c r="BA96" s="85">
        <f>BA97+BA98+BA99+BA100</f>
        <v>0</v>
      </c>
      <c r="BB96" s="60">
        <f t="shared" si="48"/>
        <v>0</v>
      </c>
      <c r="BC96" s="85">
        <f>BC97+BC98+BC99+BC100</f>
        <v>0</v>
      </c>
      <c r="BD96" s="85">
        <f>BD97+BD98+BD99+BD100</f>
        <v>0</v>
      </c>
      <c r="BE96" s="85">
        <f>BE97+BE98+BE99+BE100</f>
        <v>0</v>
      </c>
      <c r="BF96" s="85">
        <f>BF97+BF98+BF99+BF100</f>
        <v>0</v>
      </c>
      <c r="BG96" s="60">
        <f t="shared" si="49"/>
        <v>0</v>
      </c>
    </row>
    <row r="97" spans="3:61" hidden="1" outlineLevel="1" x14ac:dyDescent="0.25">
      <c r="C97" s="61" t="s">
        <v>153</v>
      </c>
      <c r="D97" s="62" t="s">
        <v>813</v>
      </c>
      <c r="E97" s="57">
        <f>'Inputs (2)'!E76</f>
        <v>0</v>
      </c>
      <c r="F97" s="57">
        <f>IF(F$14=1,'Inputs (2)'!F76,-(AVERAGE(E44,F44)+E50)*Inputs!F$280/4)</f>
        <v>0</v>
      </c>
      <c r="G97" s="57">
        <f>IF(G$14=1,'Inputs (2)'!G76,-(AVERAGE(F44,G44)+F50)*Inputs!G$280/4)</f>
        <v>0</v>
      </c>
      <c r="H97" s="57">
        <f>IF(H$14=1,'Inputs (2)'!H76,-(AVERAGE(G44,H44)+G50)*Inputs!H$280/4)</f>
        <v>0</v>
      </c>
      <c r="I97" s="77">
        <f t="shared" si="39"/>
        <v>0</v>
      </c>
      <c r="J97" s="57">
        <f>IF(J$14=1,'Inputs (2)'!J76,-(AVERAGE(H44,J44)+H50)*Inputs!J$280/4)</f>
        <v>0</v>
      </c>
      <c r="K97" s="57">
        <f>IF(K$14=1,'Inputs (2)'!K76,-(AVERAGE(J44,K44)+J50)*Inputs!K$280/4)</f>
        <v>0</v>
      </c>
      <c r="L97" s="57">
        <f>IF(L$14=1,'Inputs (2)'!L76,-(AVERAGE(K44,L44)+K50)*Inputs!L$280/4)</f>
        <v>0</v>
      </c>
      <c r="M97" s="57">
        <f>IF(M$14=1,'Inputs (2)'!M76,-(AVERAGE(L44,M44)+L50)*Inputs!M$280/4)</f>
        <v>0</v>
      </c>
      <c r="N97" s="77">
        <f t="shared" si="40"/>
        <v>0</v>
      </c>
      <c r="O97" s="57">
        <f>IF(O$14=1,'Inputs (2)'!O76,-(AVERAGE(M44,O44)+M50)*Inputs!O$280/4)</f>
        <v>0</v>
      </c>
      <c r="P97" s="57">
        <f>IF(P$14=1,'Inputs (2)'!P76,-(AVERAGE(O44,P44)+O50)*Inputs!P$280/4)</f>
        <v>0</v>
      </c>
      <c r="Q97" s="57">
        <f>IF(Q$14=1,'Inputs (2)'!Q76,-(AVERAGE(P44,Q44)+P50)*Inputs!Q$280/4)</f>
        <v>0</v>
      </c>
      <c r="R97" s="57">
        <f>IF(R$14=1,'Inputs (2)'!R76,-(AVERAGE(Q44,R44)+Q50)*Inputs!R$280/4)</f>
        <v>0</v>
      </c>
      <c r="S97" s="77">
        <f t="shared" si="41"/>
        <v>0</v>
      </c>
      <c r="T97" s="57">
        <f>IF(T$14=1,'Inputs (2)'!T76,-(AVERAGE(R44,T44)+R50)*Inputs!T$280/4)</f>
        <v>0</v>
      </c>
      <c r="U97" s="57">
        <f>IF(U$14=1,'Inputs (2)'!U76,-(AVERAGE(T44,U44)+T50)*Inputs!U$280/4)</f>
        <v>0</v>
      </c>
      <c r="V97" s="57">
        <f>IF(V$14=1,'Inputs (2)'!V76,-(AVERAGE(U44,V44)+U50)*Inputs!V$280/4)</f>
        <v>0</v>
      </c>
      <c r="W97" s="57">
        <f>IF(W$14=1,'Inputs (2)'!W76,-(AVERAGE(V44,W44)+V50)*Inputs!W$280/4)</f>
        <v>0</v>
      </c>
      <c r="X97" s="77">
        <f t="shared" si="42"/>
        <v>0</v>
      </c>
      <c r="Y97" s="57">
        <f>IF(Y$14=1,'Inputs (2)'!Y76,-(AVERAGE(W44,Y44)+W50)*Inputs!Y$280/4)</f>
        <v>0</v>
      </c>
      <c r="Z97" s="57">
        <f>IF(Z$14=1,'Inputs (2)'!Z76,-(AVERAGE(Y44,Z44)+Y50)*Inputs!Z$280/4)</f>
        <v>0</v>
      </c>
      <c r="AA97" s="57">
        <f>IF(AA$14=1,'Inputs (2)'!AA76,-(AVERAGE(Z44,AA44)+Z50)*Inputs!AA$280/4)</f>
        <v>0</v>
      </c>
      <c r="AB97" s="57">
        <f>IF(AB$14=1,'Inputs (2)'!AB76,-(AVERAGE(AA44,AB44)+AA50)*Inputs!AB$280/4)</f>
        <v>0</v>
      </c>
      <c r="AC97" s="77">
        <f t="shared" si="43"/>
        <v>0</v>
      </c>
      <c r="AD97" s="57">
        <f>IF(AD$14=1,'Inputs (2)'!AD76,-(AVERAGE(AB44,AD44)+AB50)*Inputs!AD$280/4)</f>
        <v>0</v>
      </c>
      <c r="AE97" s="57">
        <f>IF(AE$14=1,'Inputs (2)'!AE76,-(AVERAGE(AD44,AE44)+AD50)*Inputs!AE$280/4)</f>
        <v>0</v>
      </c>
      <c r="AF97" s="57">
        <f>IF(AF$14=1,'Inputs (2)'!AF76,-(AVERAGE(AE44,AF44)+AE50)*Inputs!AF$280/4)</f>
        <v>0</v>
      </c>
      <c r="AG97" s="57">
        <f>IF(AG$14=1,'Inputs (2)'!AG76,-(AVERAGE(AF44,AG44)+AF50)*Inputs!AG$280/4)</f>
        <v>0</v>
      </c>
      <c r="AH97" s="77">
        <f t="shared" si="44"/>
        <v>0</v>
      </c>
      <c r="AI97" s="57">
        <f>IF(AI$14=1,'Inputs (2)'!AI76,-(AVERAGE(AG44,AI44)+AG50)*Inputs!AI$280/4)</f>
        <v>0</v>
      </c>
      <c r="AJ97" s="57">
        <f>IF(AJ$14=1,'Inputs (2)'!AJ76,-(AVERAGE(AI44,AJ44)+AI50)*Inputs!AJ$280/4)</f>
        <v>0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 t="shared" si="45"/>
        <v>0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 t="shared" si="46"/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 t="shared" si="47"/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 t="shared" si="48"/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 t="shared" si="49"/>
        <v>0</v>
      </c>
    </row>
    <row r="98" spans="3:61" hidden="1" outlineLevel="1" x14ac:dyDescent="0.25">
      <c r="C98" s="61" t="s">
        <v>155</v>
      </c>
      <c r="D98" s="62" t="s">
        <v>620</v>
      </c>
      <c r="E98" s="57">
        <f>'Inputs (2)'!E77</f>
        <v>0</v>
      </c>
      <c r="F98" s="57">
        <f>IF(F$14=1,'Inputs (2)'!F77,-AVERAGE(E54,F54)*(Inputs!F$280+0.01)/4)</f>
        <v>0</v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 t="shared" si="39"/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 t="shared" si="40"/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 t="shared" si="41"/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 t="shared" si="42"/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 t="shared" si="43"/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0</v>
      </c>
      <c r="AG98" s="57">
        <f>IF(AG$14=1,'Inputs (2)'!AG77,-AVERAGE(AF54,AG54)*(Inputs!AG$280+0.01)/4)</f>
        <v>0</v>
      </c>
      <c r="AH98" s="77">
        <f t="shared" si="44"/>
        <v>0</v>
      </c>
      <c r="AI98" s="57">
        <f>IF(AI$14=1,'Inputs (2)'!AI77,-AVERAGE(AG54,AI54)*(Inputs!AI$280+0.01)/4)</f>
        <v>0</v>
      </c>
      <c r="AJ98" s="57">
        <f>IF(AJ$14=1,'Inputs (2)'!AJ77,-AVERAGE(AI54,AJ54)*(Inputs!AJ$280+0.01)/4)</f>
        <v>0</v>
      </c>
      <c r="AK98" s="57">
        <f>IF(AK$14=1,'Inputs (2)'!AK77,-AVERAGE(AJ54,AK54)*(Inputs!AK$280+0.01)/4)</f>
        <v>0</v>
      </c>
      <c r="AL98" s="57">
        <f>IF(AL$14=1,'Inputs (2)'!AL77,-AVERAGE(AK54,AL54)*(Inputs!AL$280+0.01)/4)</f>
        <v>0</v>
      </c>
      <c r="AM98" s="77">
        <f t="shared" si="45"/>
        <v>0</v>
      </c>
      <c r="AN98" s="57">
        <f>IF(AN$14=1,'Inputs (2)'!AN77,-AVERAGE(AL54,AN54)*(Inputs!AN$280+0.01)/4)</f>
        <v>0</v>
      </c>
      <c r="AO98" s="57">
        <f>IF(AO$14=1,'Inputs (2)'!AO77,-AVERAGE(AN54,AO54)*(Inputs!AO$280+0.01)/4)</f>
        <v>0</v>
      </c>
      <c r="AP98" s="57">
        <f>IF(AP$14=1,'Inputs (2)'!AP77,-AVERAGE(AO54,AP54)*(Inputs!AP$280+0.01)/4)</f>
        <v>0</v>
      </c>
      <c r="AQ98" s="57">
        <f>IF(AQ$14=1,'Inputs (2)'!AQ77,-AVERAGE(AP54,AQ54)*(Inputs!AQ$280+0.01)/4)</f>
        <v>0</v>
      </c>
      <c r="AR98" s="77">
        <f t="shared" si="46"/>
        <v>0</v>
      </c>
      <c r="AS98" s="57">
        <f>IF(AS$14=1,'Inputs (2)'!AS77,-AVERAGE(AQ54,AS54)*(Inputs!AS$280+0.01)/4)</f>
        <v>0</v>
      </c>
      <c r="AT98" s="57">
        <f>IF(AT$14=1,'Inputs (2)'!AT77,-AVERAGE(AS54,AT54)*(Inputs!AT$280+0.01)/4)</f>
        <v>0</v>
      </c>
      <c r="AU98" s="57">
        <f>IF(AU$14=1,'Inputs (2)'!AU77,-AVERAGE(AT54,AU54)*(Inputs!AU$280+0.01)/4)</f>
        <v>0</v>
      </c>
      <c r="AV98" s="57">
        <f>IF(AV$14=1,'Inputs (2)'!AV77,-AVERAGE(AU54,AV54)*(Inputs!AV$280+0.01)/4)</f>
        <v>0</v>
      </c>
      <c r="AW98" s="77">
        <f t="shared" si="47"/>
        <v>0</v>
      </c>
      <c r="AX98" s="57">
        <f>IF(AX$14=1,'Inputs (2)'!AX77,-AVERAGE(AV54,AX54)*(Inputs!AX$280+0.01)/4)</f>
        <v>0</v>
      </c>
      <c r="AY98" s="57">
        <f>IF(AY$14=1,'Inputs (2)'!AY77,-AVERAGE(AX54,AY54)*(Inputs!AY$280+0.01)/4)</f>
        <v>0</v>
      </c>
      <c r="AZ98" s="57">
        <f>IF(AZ$14=1,'Inputs (2)'!AZ77,-AVERAGE(AY54,AZ54)*(Inputs!AZ$280+0.01)/4)</f>
        <v>0</v>
      </c>
      <c r="BA98" s="57">
        <f>IF(BA$14=1,'Inputs (2)'!BA77,-AVERAGE(AZ54,BA54)*(Inputs!BA$280+0.01)/4)</f>
        <v>0</v>
      </c>
      <c r="BB98" s="77">
        <f t="shared" si="48"/>
        <v>0</v>
      </c>
      <c r="BC98" s="57">
        <f>IF(BC$14=1,'Inputs (2)'!BC77,-AVERAGE(BA54,BC54)*(Inputs!BC$280+0.01)/4)</f>
        <v>0</v>
      </c>
      <c r="BD98" s="57">
        <f>IF(BD$14=1,'Inputs (2)'!BD77,-AVERAGE(BC54,BD54)*(Inputs!BD$280+0.01)/4)</f>
        <v>0</v>
      </c>
      <c r="BE98" s="57">
        <f>IF(BE$14=1,'Inputs (2)'!BE77,-AVERAGE(BD54,BE54)*(Inputs!BE$280+0.01)/4)</f>
        <v>0</v>
      </c>
      <c r="BF98" s="57">
        <f>IF(BF$14=1,'Inputs (2)'!BF77,-AVERAGE(BE54,BF54)*(Inputs!BF$280+0.01)/4)</f>
        <v>0</v>
      </c>
      <c r="BG98" s="77">
        <f t="shared" si="49"/>
        <v>0</v>
      </c>
    </row>
    <row r="99" spans="3:61" hidden="1" outlineLevel="1" x14ac:dyDescent="0.25">
      <c r="C99" s="61" t="s">
        <v>157</v>
      </c>
      <c r="D99" s="62" t="s">
        <v>621</v>
      </c>
      <c r="E99" s="57">
        <f>'Inputs (2)'!E78</f>
        <v>0</v>
      </c>
      <c r="F99" s="57">
        <f>IF(F$14=1,'Inputs (2)'!F78,-AVERAGE(E59,F59)*Inputs!F$267/4)</f>
        <v>0</v>
      </c>
      <c r="G99" s="57">
        <f>IF(G$14=1,'Inputs (2)'!G78,-AVERAGE(F59,G59)*Inputs!G$267/4)</f>
        <v>0</v>
      </c>
      <c r="H99" s="57">
        <f>IF(H$14=1,'Inputs (2)'!H78,-AVERAGE(G59,H59)*Inputs!H$267/4)</f>
        <v>0</v>
      </c>
      <c r="I99" s="77">
        <f t="shared" si="39"/>
        <v>0</v>
      </c>
      <c r="J99" s="57">
        <f>IF(J$14=1,'Inputs (2)'!J78,-AVERAGE(H59,J59)*Inputs!J$267/4)</f>
        <v>0</v>
      </c>
      <c r="K99" s="57">
        <f>IF(K$14=1,'Inputs (2)'!K78,-AVERAGE(J59,K59)*Inputs!K$267/4)</f>
        <v>0</v>
      </c>
      <c r="L99" s="57">
        <f>IF(L$14=1,'Inputs (2)'!L78,-AVERAGE(K59,L59)*Inputs!L$267/4)</f>
        <v>0</v>
      </c>
      <c r="M99" s="57">
        <f>IF(M$14=1,'Inputs (2)'!M78,-AVERAGE(L59,M59)*Inputs!M$267/4)</f>
        <v>0</v>
      </c>
      <c r="N99" s="77">
        <f t="shared" si="40"/>
        <v>0</v>
      </c>
      <c r="O99" s="57">
        <f>IF(O$14=1,'Inputs (2)'!O78,-AVERAGE(M59,O59)*Inputs!O$267/4)</f>
        <v>0</v>
      </c>
      <c r="P99" s="57">
        <f>IF(P$14=1,'Inputs (2)'!P78,-AVERAGE(O59,P59)*Inputs!P$267/4)</f>
        <v>0</v>
      </c>
      <c r="Q99" s="57">
        <f>IF(Q$14=1,'Inputs (2)'!Q78,-AVERAGE(P59,Q59)*Inputs!Q$267/4)</f>
        <v>0</v>
      </c>
      <c r="R99" s="57">
        <f>IF(R$14=1,'Inputs (2)'!R78,-AVERAGE(Q59,R59)*Inputs!R$267/4)</f>
        <v>0</v>
      </c>
      <c r="S99" s="77">
        <f t="shared" si="41"/>
        <v>0</v>
      </c>
      <c r="T99" s="57">
        <f>IF(T$14=1,'Inputs (2)'!T78,-AVERAGE(R59,T59)*Inputs!T$267/4)</f>
        <v>0</v>
      </c>
      <c r="U99" s="57">
        <f>IF(U$14=1,'Inputs (2)'!U78,-AVERAGE(T59,U59)*Inputs!U$267/4)</f>
        <v>0</v>
      </c>
      <c r="V99" s="57">
        <f>IF(V$14=1,'Inputs (2)'!V78,-AVERAGE(U59,V59)*Inputs!V$267/4)</f>
        <v>0</v>
      </c>
      <c r="W99" s="57">
        <f>IF(W$14=1,'Inputs (2)'!W78,-AVERAGE(V59,W59)*Inputs!W$267/4)</f>
        <v>0</v>
      </c>
      <c r="X99" s="77">
        <f t="shared" si="42"/>
        <v>0</v>
      </c>
      <c r="Y99" s="57">
        <f>IF(Y$14=1,'Inputs (2)'!Y78,-AVERAGE(W59,Y59)*Inputs!Y$267/4)</f>
        <v>0</v>
      </c>
      <c r="Z99" s="57">
        <f>IF(Z$14=1,'Inputs (2)'!Z78,-AVERAGE(Y59,Z59)*Inputs!Z$267/4)</f>
        <v>0</v>
      </c>
      <c r="AA99" s="57">
        <f>IF(AA$14=1,'Inputs (2)'!AA78,-AVERAGE(Z59,AA59)*Inputs!AA$267/4)</f>
        <v>0</v>
      </c>
      <c r="AB99" s="57">
        <f>IF(AB$14=1,'Inputs (2)'!AB78,-AVERAGE(AA59,AB59)*Inputs!AB$267/4)</f>
        <v>0</v>
      </c>
      <c r="AC99" s="77">
        <f t="shared" si="43"/>
        <v>0</v>
      </c>
      <c r="AD99" s="57">
        <f>IF(AD$14=1,'Inputs (2)'!AD78,-AVERAGE(AB59,AD59)*Inputs!AD$267/4)</f>
        <v>0</v>
      </c>
      <c r="AE99" s="57">
        <f>IF(AE$14=1,'Inputs (2)'!AE78,-AVERAGE(AD59,AE59)*Inputs!AE$267/4)</f>
        <v>0</v>
      </c>
      <c r="AF99" s="57">
        <f>IF(AF$14=1,'Inputs (2)'!AF78,-AVERAGE(AE59,AF59)*Inputs!AF$267/4)</f>
        <v>0</v>
      </c>
      <c r="AG99" s="57">
        <f>IF(AG$14=1,'Inputs (2)'!AG78,-AVERAGE(AF59,AG59)*Inputs!AG$267/4)</f>
        <v>0</v>
      </c>
      <c r="AH99" s="77">
        <f t="shared" si="44"/>
        <v>0</v>
      </c>
      <c r="AI99" s="57">
        <f>IF(AI$14=1,'Inputs (2)'!AI78,-AVERAGE(AG59,AI59)*Inputs!AI$267/4)</f>
        <v>0</v>
      </c>
      <c r="AJ99" s="57">
        <f>IF(AJ$14=1,'Inputs (2)'!AJ78,-AVERAGE(AI59,AJ59)*Inputs!AJ$267/4)</f>
        <v>0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 t="shared" si="45"/>
        <v>0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 t="shared" si="46"/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 t="shared" si="47"/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 t="shared" si="48"/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 t="shared" si="49"/>
        <v>0</v>
      </c>
    </row>
    <row r="100" spans="3:61" hidden="1" outlineLevel="1" x14ac:dyDescent="0.25">
      <c r="C100" s="61" t="s">
        <v>159</v>
      </c>
      <c r="D100" s="62" t="s">
        <v>814</v>
      </c>
      <c r="E100" s="57">
        <f>'Inputs (2)'!E79</f>
        <v>0</v>
      </c>
      <c r="F100" s="57">
        <f>IF(F$14=1,'Inputs (2)'!F79,-AVERAGE(E65,F65)*Inputs!F$262)</f>
        <v>0</v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 t="shared" si="39"/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 t="shared" si="40"/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 t="shared" si="41"/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 t="shared" si="42"/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 t="shared" si="43"/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 t="shared" si="44"/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 t="shared" si="45"/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 t="shared" si="46"/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 t="shared" si="47"/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 t="shared" si="48"/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 t="shared" si="49"/>
        <v>0</v>
      </c>
    </row>
    <row r="101" spans="3:61" collapsed="1" x14ac:dyDescent="0.25">
      <c r="C101" s="53" t="s">
        <v>623</v>
      </c>
      <c r="D101" s="54" t="s">
        <v>815</v>
      </c>
      <c r="E101" s="59">
        <f>E91+E96</f>
        <v>0</v>
      </c>
      <c r="F101" s="59">
        <f>F91+F96</f>
        <v>0</v>
      </c>
      <c r="G101" s="59">
        <f>G91+G96</f>
        <v>0</v>
      </c>
      <c r="H101" s="59">
        <f>H91+H96</f>
        <v>0</v>
      </c>
      <c r="I101" s="60">
        <f t="shared" si="39"/>
        <v>0</v>
      </c>
      <c r="J101" s="59">
        <f>J91+J96</f>
        <v>0</v>
      </c>
      <c r="K101" s="59">
        <f>K91+K96</f>
        <v>0</v>
      </c>
      <c r="L101" s="59">
        <f>L91+L96</f>
        <v>0</v>
      </c>
      <c r="M101" s="59">
        <f>M91+M96</f>
        <v>0</v>
      </c>
      <c r="N101" s="60">
        <f t="shared" si="40"/>
        <v>0</v>
      </c>
      <c r="O101" s="59">
        <f>O91+O96</f>
        <v>0</v>
      </c>
      <c r="P101" s="59">
        <f>P91+P96</f>
        <v>0</v>
      </c>
      <c r="Q101" s="59">
        <f>Q91+Q96</f>
        <v>0</v>
      </c>
      <c r="R101" s="59">
        <f>R91+R96</f>
        <v>0</v>
      </c>
      <c r="S101" s="60">
        <f t="shared" si="41"/>
        <v>0</v>
      </c>
      <c r="T101" s="59">
        <f>T91+T96</f>
        <v>0</v>
      </c>
      <c r="U101" s="59">
        <f>U91+U96</f>
        <v>0</v>
      </c>
      <c r="V101" s="59">
        <f>V91+V96</f>
        <v>0</v>
      </c>
      <c r="W101" s="59">
        <f>W91+W96</f>
        <v>0</v>
      </c>
      <c r="X101" s="60">
        <f t="shared" si="42"/>
        <v>0</v>
      </c>
      <c r="Y101" s="59">
        <f>Y91+Y96</f>
        <v>0</v>
      </c>
      <c r="Z101" s="59">
        <f>Z91+Z96</f>
        <v>0</v>
      </c>
      <c r="AA101" s="59">
        <f>AA91+AA96</f>
        <v>0</v>
      </c>
      <c r="AB101" s="59">
        <f>AB91+AB96</f>
        <v>0</v>
      </c>
      <c r="AC101" s="60">
        <f t="shared" si="43"/>
        <v>0</v>
      </c>
      <c r="AD101" s="59">
        <f>AD91+AD96</f>
        <v>0</v>
      </c>
      <c r="AE101" s="59">
        <f>AE91+AE96</f>
        <v>0</v>
      </c>
      <c r="AF101" s="59">
        <f>AF91+AF96</f>
        <v>0</v>
      </c>
      <c r="AG101" s="59">
        <f>AG91+AG96</f>
        <v>0</v>
      </c>
      <c r="AH101" s="60">
        <f t="shared" si="44"/>
        <v>0</v>
      </c>
      <c r="AI101" s="59">
        <f>AI91+AI96</f>
        <v>0</v>
      </c>
      <c r="AJ101" s="59">
        <f>AJ91+AJ96</f>
        <v>0</v>
      </c>
      <c r="AK101" s="59">
        <f>AK91+AK96</f>
        <v>0</v>
      </c>
      <c r="AL101" s="59">
        <f>AL91+AL96</f>
        <v>0</v>
      </c>
      <c r="AM101" s="60">
        <f t="shared" si="45"/>
        <v>0</v>
      </c>
      <c r="AN101" s="59">
        <f>AN91+AN96</f>
        <v>0</v>
      </c>
      <c r="AO101" s="59">
        <f>AO91+AO96</f>
        <v>0</v>
      </c>
      <c r="AP101" s="59">
        <f>AP91+AP96</f>
        <v>0</v>
      </c>
      <c r="AQ101" s="59">
        <f>AQ91+AQ96</f>
        <v>0</v>
      </c>
      <c r="AR101" s="60">
        <f t="shared" si="46"/>
        <v>0</v>
      </c>
      <c r="AS101" s="59">
        <f>AS91+AS96</f>
        <v>0</v>
      </c>
      <c r="AT101" s="59">
        <f>AT91+AT96</f>
        <v>0</v>
      </c>
      <c r="AU101" s="59">
        <f>AU91+AU96</f>
        <v>0</v>
      </c>
      <c r="AV101" s="59">
        <f>AV91+AV96</f>
        <v>0</v>
      </c>
      <c r="AW101" s="60">
        <f t="shared" si="47"/>
        <v>0</v>
      </c>
      <c r="AX101" s="59">
        <f>AX91+AX96</f>
        <v>0</v>
      </c>
      <c r="AY101" s="59">
        <f>AY91+AY96</f>
        <v>0</v>
      </c>
      <c r="AZ101" s="59">
        <f>AZ91+AZ96</f>
        <v>0</v>
      </c>
      <c r="BA101" s="59">
        <f>BA91+BA96</f>
        <v>0</v>
      </c>
      <c r="BB101" s="60">
        <f t="shared" si="48"/>
        <v>0</v>
      </c>
      <c r="BC101" s="59">
        <f>BC91+BC96</f>
        <v>0</v>
      </c>
      <c r="BD101" s="59">
        <f>BD91+BD96</f>
        <v>0</v>
      </c>
      <c r="BE101" s="59">
        <f>BE91+BE96</f>
        <v>0</v>
      </c>
      <c r="BF101" s="59">
        <f>BF91+BF96</f>
        <v>0</v>
      </c>
      <c r="BG101" s="60">
        <f t="shared" si="49"/>
        <v>0</v>
      </c>
    </row>
    <row r="102" spans="3:61" x14ac:dyDescent="0.25">
      <c r="C102" s="83" t="s">
        <v>625</v>
      </c>
      <c r="D102" s="84" t="s">
        <v>816</v>
      </c>
      <c r="E102" s="85">
        <f>E103+E104</f>
        <v>0</v>
      </c>
      <c r="F102" s="85">
        <f>F103+F104</f>
        <v>0</v>
      </c>
      <c r="G102" s="85">
        <f>G103+G104</f>
        <v>0</v>
      </c>
      <c r="H102" s="85">
        <f>H103+H104</f>
        <v>0</v>
      </c>
      <c r="I102" s="60">
        <f t="shared" si="39"/>
        <v>0</v>
      </c>
      <c r="J102" s="85">
        <f>J103+J104</f>
        <v>0</v>
      </c>
      <c r="K102" s="85">
        <f>K103+K104</f>
        <v>0</v>
      </c>
      <c r="L102" s="85">
        <f>L103+L104</f>
        <v>0</v>
      </c>
      <c r="M102" s="85">
        <f>M103+M104</f>
        <v>0</v>
      </c>
      <c r="N102" s="60">
        <f t="shared" si="40"/>
        <v>0</v>
      </c>
      <c r="O102" s="85">
        <f>O103+O104</f>
        <v>0</v>
      </c>
      <c r="P102" s="85">
        <f>P103+P104</f>
        <v>0</v>
      </c>
      <c r="Q102" s="85">
        <f>Q103+Q104</f>
        <v>0</v>
      </c>
      <c r="R102" s="85">
        <f>R103+R104</f>
        <v>0</v>
      </c>
      <c r="S102" s="60">
        <f t="shared" si="41"/>
        <v>0</v>
      </c>
      <c r="T102" s="85">
        <f>T103+T104</f>
        <v>0</v>
      </c>
      <c r="U102" s="85">
        <f>U103+U104</f>
        <v>0</v>
      </c>
      <c r="V102" s="85">
        <f>V103+V104</f>
        <v>0</v>
      </c>
      <c r="W102" s="85">
        <f>W103+W104</f>
        <v>0</v>
      </c>
      <c r="X102" s="60">
        <f t="shared" si="42"/>
        <v>0</v>
      </c>
      <c r="Y102" s="85">
        <f>Y103+Y104</f>
        <v>0</v>
      </c>
      <c r="Z102" s="85">
        <f>Z103+Z104</f>
        <v>0</v>
      </c>
      <c r="AA102" s="85">
        <f>AA103+AA104</f>
        <v>0</v>
      </c>
      <c r="AB102" s="85">
        <f>AB103+AB104</f>
        <v>0</v>
      </c>
      <c r="AC102" s="60">
        <f t="shared" si="43"/>
        <v>0</v>
      </c>
      <c r="AD102" s="85">
        <f>AD103+AD104</f>
        <v>0</v>
      </c>
      <c r="AE102" s="85">
        <f>AE103+AE104</f>
        <v>0</v>
      </c>
      <c r="AF102" s="85">
        <f>AF103+AF104</f>
        <v>0</v>
      </c>
      <c r="AG102" s="85">
        <f>AG103+AG104</f>
        <v>0</v>
      </c>
      <c r="AH102" s="60">
        <f t="shared" si="44"/>
        <v>0</v>
      </c>
      <c r="AI102" s="85">
        <f>AI103+AI104</f>
        <v>0</v>
      </c>
      <c r="AJ102" s="85">
        <f>AJ103+AJ104</f>
        <v>0</v>
      </c>
      <c r="AK102" s="85">
        <f>AK103+AK104</f>
        <v>0</v>
      </c>
      <c r="AL102" s="85">
        <f>AL103+AL104</f>
        <v>0</v>
      </c>
      <c r="AM102" s="60">
        <f t="shared" si="45"/>
        <v>0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 t="shared" si="46"/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 t="shared" si="47"/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 t="shared" si="48"/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 t="shared" si="49"/>
        <v>0</v>
      </c>
    </row>
    <row r="103" spans="3:61" hidden="1" outlineLevel="1" x14ac:dyDescent="0.25">
      <c r="C103" s="61" t="s">
        <v>161</v>
      </c>
      <c r="D103" s="62" t="s">
        <v>817</v>
      </c>
      <c r="E103" s="57">
        <f>IF(E$14=1,'Inputs (2)'!E82,-E134*Inputs!E$272/4)</f>
        <v>0</v>
      </c>
      <c r="F103" s="57">
        <f>IF(F$14=1,'Inputs (2)'!F82,-F134*Inputs!F$272/4)</f>
        <v>0</v>
      </c>
      <c r="G103" s="57">
        <f>IF(G$14=1,'Inputs (2)'!G82,-G134*Inputs!G$272/4)</f>
        <v>0</v>
      </c>
      <c r="H103" s="57">
        <f>IF(H$14=1,'Inputs (2)'!H82,-H134*Inputs!H$272/4)</f>
        <v>0</v>
      </c>
      <c r="I103" s="77">
        <f t="shared" si="39"/>
        <v>0</v>
      </c>
      <c r="J103" s="57">
        <f>IF(J$14=1,'Inputs (2)'!J82,-J134*Inputs!J$272/4)</f>
        <v>0</v>
      </c>
      <c r="K103" s="57">
        <f>IF(K$14=1,'Inputs (2)'!K82,-K134*Inputs!K$272/4)</f>
        <v>0</v>
      </c>
      <c r="L103" s="57">
        <f>IF(L$14=1,'Inputs (2)'!L82,-L134*Inputs!L$272/4)</f>
        <v>0</v>
      </c>
      <c r="M103" s="57">
        <f>IF(M$14=1,'Inputs (2)'!M82,-M134*Inputs!M$272/4)</f>
        <v>0</v>
      </c>
      <c r="N103" s="77">
        <f t="shared" si="40"/>
        <v>0</v>
      </c>
      <c r="O103" s="57">
        <f>IF(O$14=1,'Inputs (2)'!O82,-O134*Inputs!O$272/4)</f>
        <v>0</v>
      </c>
      <c r="P103" s="57">
        <f>IF(P$14=1,'Inputs (2)'!P82,-P134*Inputs!P$272/4)</f>
        <v>0</v>
      </c>
      <c r="Q103" s="57">
        <f>IF(Q$14=1,'Inputs (2)'!Q82,-Q134*Inputs!Q$272/4)</f>
        <v>0</v>
      </c>
      <c r="R103" s="57">
        <f>IF(R$14=1,'Inputs (2)'!R82,-R134*Inputs!R$272/4)</f>
        <v>0</v>
      </c>
      <c r="S103" s="77">
        <f t="shared" si="41"/>
        <v>0</v>
      </c>
      <c r="T103" s="57">
        <f>IF(T$14=1,'Inputs (2)'!T82,-T134*Inputs!T$272/4)</f>
        <v>0</v>
      </c>
      <c r="U103" s="57">
        <f>IF(U$14=1,'Inputs (2)'!U82,-U134*Inputs!U$272/4)</f>
        <v>0</v>
      </c>
      <c r="V103" s="57">
        <f>IF(V$14=1,'Inputs (2)'!V82,-V134*Inputs!V$272/4)</f>
        <v>0</v>
      </c>
      <c r="W103" s="57">
        <f>IF(W$14=1,'Inputs (2)'!W82,-W134*Inputs!W$272/4)</f>
        <v>0</v>
      </c>
      <c r="X103" s="77">
        <f t="shared" si="42"/>
        <v>0</v>
      </c>
      <c r="Y103" s="57">
        <f>IF(Y$14=1,'Inputs (2)'!Y82,-Y134*Inputs!Y$272/4)</f>
        <v>0</v>
      </c>
      <c r="Z103" s="57">
        <f>IF(Z$14=1,'Inputs (2)'!Z82,-Z134*Inputs!Z$272/4)</f>
        <v>0</v>
      </c>
      <c r="AA103" s="57">
        <f>IF(AA$14=1,'Inputs (2)'!AA82,-AA134*Inputs!AA$272/4)</f>
        <v>0</v>
      </c>
      <c r="AB103" s="57">
        <f>IF(AB$14=1,'Inputs (2)'!AB82,-AB134*Inputs!AB$272/4)</f>
        <v>0</v>
      </c>
      <c r="AC103" s="77">
        <f t="shared" si="43"/>
        <v>0</v>
      </c>
      <c r="AD103" s="57">
        <f>IF(AD$14=1,'Inputs (2)'!AD82,-AD134*Inputs!AD$272/4)</f>
        <v>0</v>
      </c>
      <c r="AE103" s="57">
        <f>IF(AE$14=1,'Inputs (2)'!AE82,-AE134*Inputs!AE$272/4)</f>
        <v>0</v>
      </c>
      <c r="AF103" s="57">
        <f>IF(AF$14=1,'Inputs (2)'!AF82,-AF134*Inputs!AF$272/4)</f>
        <v>0</v>
      </c>
      <c r="AG103" s="57">
        <f>IF(AG$14=1,'Inputs (2)'!AG82,-AG134*Inputs!AG$272/4)</f>
        <v>0</v>
      </c>
      <c r="AH103" s="77">
        <f t="shared" si="44"/>
        <v>0</v>
      </c>
      <c r="AI103" s="57">
        <f>IF(AI$14=1,'Inputs (2)'!AI82,-AI134*Inputs!AI$272/4)</f>
        <v>0</v>
      </c>
      <c r="AJ103" s="57">
        <f>IF(AJ$14=1,'Inputs (2)'!AJ82,-AJ134*Inputs!AJ$272/4)</f>
        <v>0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 t="shared" si="45"/>
        <v>0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 t="shared" si="46"/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 t="shared" si="47"/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 t="shared" si="48"/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 t="shared" si="49"/>
        <v>0</v>
      </c>
    </row>
    <row r="104" spans="3:61" hidden="1" outlineLevel="1" x14ac:dyDescent="0.25">
      <c r="C104" s="61" t="s">
        <v>163</v>
      </c>
      <c r="D104" s="62" t="s">
        <v>387</v>
      </c>
      <c r="E104" s="57">
        <f>IF(E$14=1,'Inputs (2)'!E83,-E103*Inputs!E$274)</f>
        <v>0</v>
      </c>
      <c r="F104" s="57">
        <f>IF(F$14=1,'Inputs (2)'!F83,-F103*Inputs!F$274)</f>
        <v>0</v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 t="shared" si="39"/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 t="shared" si="40"/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 t="shared" si="41"/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 t="shared" si="42"/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 t="shared" si="43"/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 t="shared" si="44"/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 t="shared" si="45"/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 t="shared" si="46"/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 t="shared" si="47"/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 t="shared" si="48"/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 t="shared" si="49"/>
        <v>0</v>
      </c>
    </row>
    <row r="105" spans="3:61" collapsed="1" x14ac:dyDescent="0.25">
      <c r="C105" s="53" t="s">
        <v>629</v>
      </c>
      <c r="D105" s="54" t="s">
        <v>818</v>
      </c>
      <c r="E105" s="59">
        <f>E101+E102</f>
        <v>0</v>
      </c>
      <c r="F105" s="59">
        <f>F101+F102</f>
        <v>0</v>
      </c>
      <c r="G105" s="59">
        <f>G101+G102</f>
        <v>0</v>
      </c>
      <c r="H105" s="59">
        <f>H101+H102</f>
        <v>0</v>
      </c>
      <c r="I105" s="60">
        <f t="shared" si="39"/>
        <v>0</v>
      </c>
      <c r="J105" s="59">
        <f>J101+J102</f>
        <v>0</v>
      </c>
      <c r="K105" s="59">
        <f>K101+K102</f>
        <v>0</v>
      </c>
      <c r="L105" s="59">
        <f>L101+L102</f>
        <v>0</v>
      </c>
      <c r="M105" s="59">
        <f>M101+M102</f>
        <v>0</v>
      </c>
      <c r="N105" s="60">
        <f t="shared" si="40"/>
        <v>0</v>
      </c>
      <c r="O105" s="59">
        <f>O101+O102</f>
        <v>0</v>
      </c>
      <c r="P105" s="59">
        <f>P101+P102</f>
        <v>0</v>
      </c>
      <c r="Q105" s="59">
        <f>Q101+Q102</f>
        <v>0</v>
      </c>
      <c r="R105" s="59">
        <f>R101+R102</f>
        <v>0</v>
      </c>
      <c r="S105" s="60">
        <f t="shared" si="41"/>
        <v>0</v>
      </c>
      <c r="T105" s="59">
        <f>T101+T102</f>
        <v>0</v>
      </c>
      <c r="U105" s="59">
        <f>U101+U102</f>
        <v>0</v>
      </c>
      <c r="V105" s="59">
        <f>V101+V102</f>
        <v>0</v>
      </c>
      <c r="W105" s="59">
        <f>W101+W102</f>
        <v>0</v>
      </c>
      <c r="X105" s="60">
        <f t="shared" si="42"/>
        <v>0</v>
      </c>
      <c r="Y105" s="59">
        <f>Y101+Y102</f>
        <v>0</v>
      </c>
      <c r="Z105" s="59">
        <f>Z101+Z102</f>
        <v>0</v>
      </c>
      <c r="AA105" s="59">
        <f>AA101+AA102</f>
        <v>0</v>
      </c>
      <c r="AB105" s="59">
        <f>AB101+AB102</f>
        <v>0</v>
      </c>
      <c r="AC105" s="60">
        <f t="shared" si="43"/>
        <v>0</v>
      </c>
      <c r="AD105" s="59">
        <f>AD101+AD102</f>
        <v>0</v>
      </c>
      <c r="AE105" s="59">
        <f>AE101+AE102</f>
        <v>0</v>
      </c>
      <c r="AF105" s="59">
        <f>AF101+AF102</f>
        <v>0</v>
      </c>
      <c r="AG105" s="59">
        <f>AG101+AG102</f>
        <v>0</v>
      </c>
      <c r="AH105" s="60">
        <f t="shared" si="44"/>
        <v>0</v>
      </c>
      <c r="AI105" s="59">
        <f>AI101+AI102</f>
        <v>0</v>
      </c>
      <c r="AJ105" s="59">
        <f>AJ101+AJ102</f>
        <v>0</v>
      </c>
      <c r="AK105" s="59">
        <f>AK101+AK102</f>
        <v>0</v>
      </c>
      <c r="AL105" s="59">
        <f>AL101+AL102</f>
        <v>0</v>
      </c>
      <c r="AM105" s="60">
        <f t="shared" si="45"/>
        <v>0</v>
      </c>
      <c r="AN105" s="59">
        <f>AN101+AN102</f>
        <v>0</v>
      </c>
      <c r="AO105" s="59">
        <f>AO101+AO102</f>
        <v>0</v>
      </c>
      <c r="AP105" s="59">
        <f>AP101+AP102</f>
        <v>0</v>
      </c>
      <c r="AQ105" s="59">
        <f>AQ101+AQ102</f>
        <v>0</v>
      </c>
      <c r="AR105" s="60">
        <f t="shared" si="46"/>
        <v>0</v>
      </c>
      <c r="AS105" s="59">
        <f>AS101+AS102</f>
        <v>0</v>
      </c>
      <c r="AT105" s="59">
        <f>AT101+AT102</f>
        <v>0</v>
      </c>
      <c r="AU105" s="59">
        <f>AU101+AU102</f>
        <v>0</v>
      </c>
      <c r="AV105" s="59">
        <f>AV101+AV102</f>
        <v>0</v>
      </c>
      <c r="AW105" s="60">
        <f t="shared" si="47"/>
        <v>0</v>
      </c>
      <c r="AX105" s="59">
        <f>AX101+AX102</f>
        <v>0</v>
      </c>
      <c r="AY105" s="59">
        <f>AY101+AY102</f>
        <v>0</v>
      </c>
      <c r="AZ105" s="59">
        <f>AZ101+AZ102</f>
        <v>0</v>
      </c>
      <c r="BA105" s="59">
        <f>BA101+BA102</f>
        <v>0</v>
      </c>
      <c r="BB105" s="60">
        <f t="shared" si="48"/>
        <v>0</v>
      </c>
      <c r="BC105" s="59">
        <f>BC101+BC102</f>
        <v>0</v>
      </c>
      <c r="BD105" s="59">
        <f>BD101+BD102</f>
        <v>0</v>
      </c>
      <c r="BE105" s="59">
        <f>BE101+BE102</f>
        <v>0</v>
      </c>
      <c r="BF105" s="59">
        <f>BF101+BF102</f>
        <v>0</v>
      </c>
      <c r="BG105" s="60">
        <f t="shared" si="49"/>
        <v>0</v>
      </c>
    </row>
    <row r="106" spans="3:61" x14ac:dyDescent="0.25">
      <c r="C106" s="83" t="s">
        <v>631</v>
      </c>
      <c r="D106" s="84" t="s">
        <v>632</v>
      </c>
      <c r="E106" s="85">
        <f>E107+E108+E109+E110+E111+E115+E116+E117+E118</f>
        <v>0</v>
      </c>
      <c r="F106" s="85">
        <f>F107+F108+F109+F110+F111+F115+F116+F117+F118</f>
        <v>0</v>
      </c>
      <c r="G106" s="85">
        <f>G107+G108+G109+G110+G111+G115+G116+G117+G118</f>
        <v>0</v>
      </c>
      <c r="H106" s="85">
        <f>H107+H108+H109+H110+H111+H115+H116+H117+H118</f>
        <v>0</v>
      </c>
      <c r="I106" s="60">
        <f t="shared" si="39"/>
        <v>0</v>
      </c>
      <c r="J106" s="85">
        <f>J107+J108+J109+J110+J111+J115+J116+J117+J118</f>
        <v>0</v>
      </c>
      <c r="K106" s="85">
        <f>K107+K108+K109+K110+K111+K115+K116+K117+K118</f>
        <v>0</v>
      </c>
      <c r="L106" s="85">
        <f>L107+L108+L109+L110+L111+L115+L116+L117+L118</f>
        <v>0</v>
      </c>
      <c r="M106" s="85">
        <f>M107+M108+M109+M110+M111+M115+M116+M117+M118</f>
        <v>0</v>
      </c>
      <c r="N106" s="60">
        <f t="shared" si="40"/>
        <v>0</v>
      </c>
      <c r="O106" s="85">
        <f>O107+O108+O109+O110+O111+O115+O116+O117+O118</f>
        <v>0</v>
      </c>
      <c r="P106" s="85">
        <f>P107+P108+P109+P110+P111+P115+P116+P117+P118</f>
        <v>0</v>
      </c>
      <c r="Q106" s="85">
        <f>Q107+Q108+Q109+Q110+Q111+Q115+Q116+Q117+Q118</f>
        <v>0</v>
      </c>
      <c r="R106" s="85">
        <f>R107+R108+R109+R110+R111+R115+R116+R117+R118</f>
        <v>0</v>
      </c>
      <c r="S106" s="60">
        <f t="shared" si="41"/>
        <v>0</v>
      </c>
      <c r="T106" s="85">
        <f>T107+T108+T109+T110+T111+T115+T116+T117+T118</f>
        <v>0</v>
      </c>
      <c r="U106" s="85">
        <f>U107+U108+U109+U110+U111+U115+U116+U117+U118</f>
        <v>0</v>
      </c>
      <c r="V106" s="85">
        <f>V107+V108+V109+V110+V111+V115+V116+V117+V118</f>
        <v>0</v>
      </c>
      <c r="W106" s="85">
        <f>W107+W108+W109+W110+W111+W115+W116+W117+W118</f>
        <v>0</v>
      </c>
      <c r="X106" s="60">
        <f t="shared" si="42"/>
        <v>0</v>
      </c>
      <c r="Y106" s="85">
        <f>Y107+Y108+Y109+Y110+Y111+Y115+Y116+Y117+Y118</f>
        <v>0</v>
      </c>
      <c r="Z106" s="85">
        <f>Z107+Z108+Z109+Z110+Z111+Z115+Z116+Z117+Z118</f>
        <v>0</v>
      </c>
      <c r="AA106" s="85">
        <f>AA107+AA108+AA109+AA110+AA111+AA115+AA116+AA117+AA118</f>
        <v>0</v>
      </c>
      <c r="AB106" s="85">
        <f>AB107+AB108+AB109+AB110+AB111+AB115+AB116+AB117+AB118</f>
        <v>0</v>
      </c>
      <c r="AC106" s="60">
        <f t="shared" si="43"/>
        <v>0</v>
      </c>
      <c r="AD106" s="85">
        <f>AD107+AD108+AD109+AD110+AD111+AD115+AD116+AD117+AD118</f>
        <v>0</v>
      </c>
      <c r="AE106" s="85">
        <f>AE107+AE108+AE109+AE110+AE111+AE115+AE116+AE117+AE118</f>
        <v>0</v>
      </c>
      <c r="AF106" s="85">
        <f>AF107+AF108+AF109+AF110+AF111+AF115+AF116+AF117+AF118</f>
        <v>0</v>
      </c>
      <c r="AG106" s="85">
        <f>AG107+AG108+AG109+AG110+AG111+AG115+AG116+AG117+AG118</f>
        <v>0</v>
      </c>
      <c r="AH106" s="60">
        <f t="shared" si="44"/>
        <v>0</v>
      </c>
      <c r="AI106" s="85">
        <f>AI107+AI108+AI109+AI110+AI111+AI115+AI116+AI117+AI118</f>
        <v>0</v>
      </c>
      <c r="AJ106" s="85">
        <f>AJ107+AJ108+AJ109+AJ110+AJ111+AJ115+AJ116+AJ117+AJ118</f>
        <v>0</v>
      </c>
      <c r="AK106" s="85">
        <f>AK107+AK108+AK109+AK110+AK111+AK115+AK116+AK117+AK118</f>
        <v>0</v>
      </c>
      <c r="AL106" s="85">
        <f>AL107+AL108+AL109+AL110+AL111+AL115+AL116+AL117+AL118</f>
        <v>0</v>
      </c>
      <c r="AM106" s="60">
        <f t="shared" si="45"/>
        <v>0</v>
      </c>
      <c r="AN106" s="85">
        <f>AN107+AN108+AN109+AN110+AN111+AN115+AN116+AN117+AN118</f>
        <v>0</v>
      </c>
      <c r="AO106" s="85">
        <f>AO107+AO108+AO109+AO110+AO111+AO115+AO116+AO117+AO118</f>
        <v>0</v>
      </c>
      <c r="AP106" s="85">
        <f>AP107+AP108+AP109+AP110+AP111+AP115+AP116+AP117+AP118</f>
        <v>0</v>
      </c>
      <c r="AQ106" s="85">
        <f>AQ107+AQ108+AQ109+AQ110+AQ111+AQ115+AQ116+AQ117+AQ118</f>
        <v>0</v>
      </c>
      <c r="AR106" s="60">
        <f t="shared" si="46"/>
        <v>0</v>
      </c>
      <c r="AS106" s="85">
        <f>AS107+AS108+AS109+AS110+AS111+AS115+AS116+AS117+AS118</f>
        <v>0</v>
      </c>
      <c r="AT106" s="85">
        <f>AT107+AT108+AT109+AT110+AT111+AT115+AT116+AT117+AT118</f>
        <v>0</v>
      </c>
      <c r="AU106" s="85">
        <f>AU107+AU108+AU109+AU110+AU111+AU115+AU116+AU117+AU118</f>
        <v>0</v>
      </c>
      <c r="AV106" s="85">
        <f>AV107+AV108+AV109+AV110+AV111+AV115+AV116+AV117+AV118</f>
        <v>0</v>
      </c>
      <c r="AW106" s="60">
        <f t="shared" si="47"/>
        <v>0</v>
      </c>
      <c r="AX106" s="85">
        <f>AX107+AX108+AX109+AX110+AX111+AX115+AX116+AX117+AX118</f>
        <v>0</v>
      </c>
      <c r="AY106" s="85">
        <f>AY107+AY108+AY109+AY110+AY111+AY115+AY116+AY117+AY118</f>
        <v>0</v>
      </c>
      <c r="AZ106" s="85">
        <f>AZ107+AZ108+AZ109+AZ110+AZ111+AZ115+AZ116+AZ117+AZ118</f>
        <v>0</v>
      </c>
      <c r="BA106" s="85">
        <f>BA107+BA108+BA109+BA110+BA111+BA115+BA116+BA117+BA118</f>
        <v>0</v>
      </c>
      <c r="BB106" s="60">
        <f t="shared" si="48"/>
        <v>0</v>
      </c>
      <c r="BC106" s="85">
        <f>BC107+BC108+BC109+BC110+BC111+BC115+BC116+BC117+BC118</f>
        <v>0</v>
      </c>
      <c r="BD106" s="85">
        <f>BD107+BD108+BD109+BD110+BD111+BD115+BD116+BD117+BD118</f>
        <v>0</v>
      </c>
      <c r="BE106" s="85">
        <f>BE107+BE108+BE109+BE110+BE111+BE115+BE116+BE117+BE118</f>
        <v>0</v>
      </c>
      <c r="BF106" s="85">
        <f>BF107+BF108+BF109+BF110+BF111+BF115+BF116+BF117+BF118</f>
        <v>0</v>
      </c>
      <c r="BG106" s="60">
        <f t="shared" si="49"/>
        <v>0</v>
      </c>
    </row>
    <row r="107" spans="3:61" hidden="1" outlineLevel="1" x14ac:dyDescent="0.25">
      <c r="C107" s="61" t="s">
        <v>165</v>
      </c>
      <c r="D107" s="62" t="s">
        <v>819</v>
      </c>
      <c r="E107" s="57">
        <f>'Inputs (2)'!E86</f>
        <v>0</v>
      </c>
      <c r="F107" s="57">
        <f>'Inputs (2)'!F86</f>
        <v>0</v>
      </c>
      <c r="G107" s="57">
        <f>'Inputs (2)'!G86</f>
        <v>0</v>
      </c>
      <c r="H107" s="57">
        <f>'Inputs (2)'!H86</f>
        <v>0</v>
      </c>
      <c r="I107" s="77">
        <f t="shared" si="39"/>
        <v>0</v>
      </c>
      <c r="J107" s="57">
        <f>IF(J$14=1,'Inputs (2)'!J86,E107*(1+Inputs!J$285))</f>
        <v>0</v>
      </c>
      <c r="K107" s="57">
        <f>IF(K$14=1,'Inputs (2)'!K86,F107*(1+Inputs!K$285))</f>
        <v>0</v>
      </c>
      <c r="L107" s="57">
        <f>IF(L$14=1,'Inputs (2)'!L86,G107*(1+Inputs!L$285))</f>
        <v>0</v>
      </c>
      <c r="M107" s="57">
        <f>IF(M$14=1,'Inputs (2)'!M86,H107*(1+Inputs!M$285))</f>
        <v>0</v>
      </c>
      <c r="N107" s="77">
        <f t="shared" si="40"/>
        <v>0</v>
      </c>
      <c r="O107" s="57">
        <f>IF(O$14=1,'Inputs (2)'!O86,J107*(1+Inputs!O$285))</f>
        <v>0</v>
      </c>
      <c r="P107" s="57">
        <f>IF(P$14=1,'Inputs (2)'!P86,K107*(1+Inputs!P$285))</f>
        <v>0</v>
      </c>
      <c r="Q107" s="57">
        <f>IF(Q$14=1,'Inputs (2)'!Q86,L107*(1+Inputs!Q$285))</f>
        <v>0</v>
      </c>
      <c r="R107" s="57">
        <f>IF(R$14=1,'Inputs (2)'!R86,M107*(1+Inputs!R$285))</f>
        <v>0</v>
      </c>
      <c r="S107" s="77">
        <f t="shared" si="41"/>
        <v>0</v>
      </c>
      <c r="T107" s="57">
        <f>IF(T$14=1,'Inputs (2)'!T86,O107*(1+Inputs!T$285))</f>
        <v>0</v>
      </c>
      <c r="U107" s="57">
        <f>IF(U$14=1,'Inputs (2)'!U86,P107*(1+Inputs!U$285))</f>
        <v>0</v>
      </c>
      <c r="V107" s="57">
        <f>IF(V$14=1,'Inputs (2)'!V86,Q107*(1+Inputs!V$285))</f>
        <v>0</v>
      </c>
      <c r="W107" s="57">
        <f>IF(W$14=1,'Inputs (2)'!W86,R107*(1+Inputs!W$285))</f>
        <v>0</v>
      </c>
      <c r="X107" s="77">
        <f t="shared" si="42"/>
        <v>0</v>
      </c>
      <c r="Y107" s="57">
        <f>IF(Y$14=1,'Inputs (2)'!Y86,T107*(1+Inputs!Y$285))</f>
        <v>0</v>
      </c>
      <c r="Z107" s="57">
        <f>IF(Z$14=1,'Inputs (2)'!Z86,U107*(1+Inputs!Z$285))</f>
        <v>0</v>
      </c>
      <c r="AA107" s="57">
        <f>IF(AA$14=1,'Inputs (2)'!AA86,V107*(1+Inputs!AA$285))</f>
        <v>0</v>
      </c>
      <c r="AB107" s="57">
        <f>IF(AB$14=1,'Inputs (2)'!AB86,W107*(1+Inputs!AB$285))</f>
        <v>0</v>
      </c>
      <c r="AC107" s="77">
        <f t="shared" si="43"/>
        <v>0</v>
      </c>
      <c r="AD107" s="57">
        <f>IF(AD$14=1,'Inputs (2)'!AD86,Y107*(1+Inputs!AD$285))</f>
        <v>0</v>
      </c>
      <c r="AE107" s="57">
        <f>IF(AE$14=1,'Inputs (2)'!AE86,Z107*(1+Inputs!AE$285))</f>
        <v>0</v>
      </c>
      <c r="AF107" s="57">
        <f>IF(AF$14=1,'Inputs (2)'!AF86,AA107*(1+Inputs!AF$285))</f>
        <v>0</v>
      </c>
      <c r="AG107" s="57">
        <f>IF(AG$14=1,'Inputs (2)'!AG86,AB107*(1+Inputs!AG$285))</f>
        <v>0</v>
      </c>
      <c r="AH107" s="77">
        <f t="shared" si="44"/>
        <v>0</v>
      </c>
      <c r="AI107" s="57">
        <f>IF(AI$14=1,'Inputs (2)'!AI86,AD107*(1+Inputs!AI$285))</f>
        <v>0</v>
      </c>
      <c r="AJ107" s="57">
        <f>IF(AJ$14=1,'Inputs (2)'!AJ86,AE107*(1+Inputs!AJ$285))</f>
        <v>0</v>
      </c>
      <c r="AK107" s="57">
        <f>IF(AK$14=1,'Inputs (2)'!AK86,AF107*(1+Inputs!AK$285))</f>
        <v>0</v>
      </c>
      <c r="AL107" s="57">
        <f>IF(AL$14=1,'Inputs (2)'!AL86,AG107*(1+Inputs!AL$285))</f>
        <v>0</v>
      </c>
      <c r="AM107" s="77">
        <f t="shared" si="45"/>
        <v>0</v>
      </c>
      <c r="AN107" s="57">
        <f>IF(AN$14=1,'Inputs (2)'!AN86,AI107*(1+Inputs!AN$285))</f>
        <v>0</v>
      </c>
      <c r="AO107" s="57">
        <f>IF(AO$14=1,'Inputs (2)'!AO86,AJ107*(1+Inputs!AO$285))</f>
        <v>0</v>
      </c>
      <c r="AP107" s="57">
        <f>IF(AP$14=1,'Inputs (2)'!AP86,AK107*(1+Inputs!AP$285))</f>
        <v>0</v>
      </c>
      <c r="AQ107" s="57">
        <f>IF(AQ$14=1,'Inputs (2)'!AQ86,AL107*(1+Inputs!AQ$285))</f>
        <v>0</v>
      </c>
      <c r="AR107" s="77">
        <f t="shared" si="46"/>
        <v>0</v>
      </c>
      <c r="AS107" s="57">
        <f>IF(AS$14=1,'Inputs (2)'!AS86,AN107*(1+Inputs!AS$285))</f>
        <v>0</v>
      </c>
      <c r="AT107" s="57">
        <f>IF(AT$14=1,'Inputs (2)'!AT86,AO107*(1+Inputs!AT$285))</f>
        <v>0</v>
      </c>
      <c r="AU107" s="57">
        <f>IF(AU$14=1,'Inputs (2)'!AU86,AP107*(1+Inputs!AU$285))</f>
        <v>0</v>
      </c>
      <c r="AV107" s="57">
        <f>IF(AV$14=1,'Inputs (2)'!AV86,AQ107*(1+Inputs!AV$285))</f>
        <v>0</v>
      </c>
      <c r="AW107" s="77">
        <f t="shared" si="47"/>
        <v>0</v>
      </c>
      <c r="AX107" s="57">
        <f>IF(AX$14=1,'Inputs (2)'!AX86,AS107*(1+Inputs!AX$285))</f>
        <v>0</v>
      </c>
      <c r="AY107" s="57">
        <f>IF(AY$14=1,'Inputs (2)'!AY86,AT107*(1+Inputs!AY$285))</f>
        <v>0</v>
      </c>
      <c r="AZ107" s="57">
        <f>IF(AZ$14=1,'Inputs (2)'!AZ86,AU107*(1+Inputs!AZ$285))</f>
        <v>0</v>
      </c>
      <c r="BA107" s="57">
        <f>IF(BA$14=1,'Inputs (2)'!BA86,AV107*(1+Inputs!BA$285))</f>
        <v>0</v>
      </c>
      <c r="BB107" s="77">
        <f t="shared" si="48"/>
        <v>0</v>
      </c>
      <c r="BC107" s="57">
        <f>IF(BC$14=1,'Inputs (2)'!BC86,AX107*(1+Inputs!BC$285))</f>
        <v>0</v>
      </c>
      <c r="BD107" s="57">
        <f>IF(BD$14=1,'Inputs (2)'!BD86,AY107*(1+Inputs!BD$285))</f>
        <v>0</v>
      </c>
      <c r="BE107" s="57">
        <f>IF(BE$14=1,'Inputs (2)'!BE86,AZ107*(1+Inputs!BE$285))</f>
        <v>0</v>
      </c>
      <c r="BF107" s="57">
        <f>IF(BF$14=1,'Inputs (2)'!BF86,BA107*(1+Inputs!BF$285))</f>
        <v>0</v>
      </c>
      <c r="BG107" s="77">
        <f t="shared" si="49"/>
        <v>0</v>
      </c>
    </row>
    <row r="108" spans="3:61" hidden="1" outlineLevel="1" x14ac:dyDescent="0.25">
      <c r="C108" s="61" t="s">
        <v>167</v>
      </c>
      <c r="D108" s="62" t="s">
        <v>820</v>
      </c>
      <c r="E108" s="57">
        <f>'Inputs (2)'!E87</f>
        <v>0</v>
      </c>
      <c r="F108" s="57">
        <f>'Inputs (2)'!F87</f>
        <v>0</v>
      </c>
      <c r="G108" s="57">
        <f>'Inputs (2)'!G87</f>
        <v>0</v>
      </c>
      <c r="H108" s="57">
        <f>'Inputs (2)'!H87</f>
        <v>0</v>
      </c>
      <c r="I108" s="77">
        <f t="shared" si="39"/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 t="shared" si="40"/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 t="shared" si="41"/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 t="shared" si="42"/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 t="shared" si="43"/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 t="shared" si="44"/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 t="shared" si="45"/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 t="shared" si="46"/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 t="shared" si="47"/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 t="shared" si="48"/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 t="shared" si="49"/>
        <v>0</v>
      </c>
    </row>
    <row r="109" spans="3:61" hidden="1" outlineLevel="1" x14ac:dyDescent="0.25">
      <c r="C109" s="61" t="s">
        <v>169</v>
      </c>
      <c r="D109" s="62" t="s">
        <v>635</v>
      </c>
      <c r="E109" s="57">
        <f>'Inputs (2)'!E88</f>
        <v>0</v>
      </c>
      <c r="F109" s="57">
        <f>'Inputs (2)'!F88</f>
        <v>0</v>
      </c>
      <c r="G109" s="57">
        <f>'Inputs (2)'!G88</f>
        <v>0</v>
      </c>
      <c r="H109" s="57">
        <f>'Inputs (2)'!H88</f>
        <v>0</v>
      </c>
      <c r="I109" s="77">
        <f t="shared" si="39"/>
        <v>0</v>
      </c>
      <c r="J109" s="57">
        <f>IF(J$14=1,'Inputs (2)'!J88,E109*(1+Inputs!J$287))</f>
        <v>0</v>
      </c>
      <c r="K109" s="57">
        <f>IF(K$14=1,'Inputs (2)'!K88,F109*(1+Inputs!K$287))</f>
        <v>0</v>
      </c>
      <c r="L109" s="57">
        <f>IF(L$14=1,'Inputs (2)'!L88,G109*(1+Inputs!L$287))</f>
        <v>0</v>
      </c>
      <c r="M109" s="57">
        <f>IF(M$14=1,'Inputs (2)'!M88,H109*(1+Inputs!M$287))</f>
        <v>0</v>
      </c>
      <c r="N109" s="77">
        <f t="shared" si="40"/>
        <v>0</v>
      </c>
      <c r="O109" s="57">
        <f>IF(O$14=1,'Inputs (2)'!O88,J109*(1+Inputs!O$287))</f>
        <v>0</v>
      </c>
      <c r="P109" s="57">
        <f>IF(P$14=1,'Inputs (2)'!P88,K109*(1+Inputs!P$287))</f>
        <v>0</v>
      </c>
      <c r="Q109" s="57">
        <f>IF(Q$14=1,'Inputs (2)'!Q88,L109*(1+Inputs!Q$287))</f>
        <v>0</v>
      </c>
      <c r="R109" s="57">
        <f>IF(R$14=1,'Inputs (2)'!R88,M109*(1+Inputs!R$287))</f>
        <v>0</v>
      </c>
      <c r="S109" s="77">
        <f t="shared" si="41"/>
        <v>0</v>
      </c>
      <c r="T109" s="57">
        <f>IF(T$14=1,'Inputs (2)'!T88,O109*(1+Inputs!T$287))</f>
        <v>0</v>
      </c>
      <c r="U109" s="57">
        <f>IF(U$14=1,'Inputs (2)'!U88,P109*(1+Inputs!U$287))</f>
        <v>0</v>
      </c>
      <c r="V109" s="57">
        <f>IF(V$14=1,'Inputs (2)'!V88,Q109*(1+Inputs!V$287))</f>
        <v>0</v>
      </c>
      <c r="W109" s="57">
        <f>IF(W$14=1,'Inputs (2)'!W88,R109*(1+Inputs!W$287))</f>
        <v>0</v>
      </c>
      <c r="X109" s="77">
        <f t="shared" si="42"/>
        <v>0</v>
      </c>
      <c r="Y109" s="57">
        <f>IF(Y$14=1,'Inputs (2)'!Y88,T109*(1+Inputs!Y$287))</f>
        <v>0</v>
      </c>
      <c r="Z109" s="57">
        <f>IF(Z$14=1,'Inputs (2)'!Z88,U109*(1+Inputs!Z$287))</f>
        <v>0</v>
      </c>
      <c r="AA109" s="57">
        <f>IF(AA$14=1,'Inputs (2)'!AA88,V109*(1+Inputs!AA$287))</f>
        <v>0</v>
      </c>
      <c r="AB109" s="57">
        <f>IF(AB$14=1,'Inputs (2)'!AB88,W109*(1+Inputs!AB$287))</f>
        <v>0</v>
      </c>
      <c r="AC109" s="77">
        <f t="shared" si="43"/>
        <v>0</v>
      </c>
      <c r="AD109" s="57">
        <f>IF(AD$14=1,'Inputs (2)'!AD88,Y109*(1+Inputs!AD$287))</f>
        <v>0</v>
      </c>
      <c r="AE109" s="57">
        <f>IF(AE$14=1,'Inputs (2)'!AE88,Z109*(1+Inputs!AE$287))</f>
        <v>0</v>
      </c>
      <c r="AF109" s="57">
        <f>IF(AF$14=1,'Inputs (2)'!AF88,AA109*(1+Inputs!AF$287))</f>
        <v>0</v>
      </c>
      <c r="AG109" s="57">
        <f>IF(AG$14=1,'Inputs (2)'!AG88,AB109*(1+Inputs!AG$287))</f>
        <v>0</v>
      </c>
      <c r="AH109" s="77">
        <f t="shared" si="44"/>
        <v>0</v>
      </c>
      <c r="AI109" s="57">
        <f>IF(AI$14=1,'Inputs (2)'!AI88,AD109*(1+Inputs!AI$287))</f>
        <v>0</v>
      </c>
      <c r="AJ109" s="57">
        <f>IF(AJ$14=1,'Inputs (2)'!AJ88,AE109*(1+Inputs!AJ$287))</f>
        <v>0</v>
      </c>
      <c r="AK109" s="57">
        <f>IF(AK$14=1,'Inputs (2)'!AK88,AF109*(1+Inputs!AK$287))</f>
        <v>0</v>
      </c>
      <c r="AL109" s="57">
        <f>IF(AL$14=1,'Inputs (2)'!AL88,AG109*(1+Inputs!AL$287))</f>
        <v>0</v>
      </c>
      <c r="AM109" s="77">
        <f t="shared" si="45"/>
        <v>0</v>
      </c>
      <c r="AN109" s="57">
        <f>IF(AN$14=1,'Inputs (2)'!AN88,AI109*(1+Inputs!AN$287))</f>
        <v>0</v>
      </c>
      <c r="AO109" s="57">
        <f>IF(AO$14=1,'Inputs (2)'!AO88,AJ109*(1+Inputs!AO$287))</f>
        <v>0</v>
      </c>
      <c r="AP109" s="57">
        <f>IF(AP$14=1,'Inputs (2)'!AP88,AK109*(1+Inputs!AP$287))</f>
        <v>0</v>
      </c>
      <c r="AQ109" s="57">
        <f>IF(AQ$14=1,'Inputs (2)'!AQ88,AL109*(1+Inputs!AQ$287))</f>
        <v>0</v>
      </c>
      <c r="AR109" s="77">
        <f t="shared" si="46"/>
        <v>0</v>
      </c>
      <c r="AS109" s="57">
        <f>IF(AS$14=1,'Inputs (2)'!AS88,AN109*(1+Inputs!AS$287))</f>
        <v>0</v>
      </c>
      <c r="AT109" s="57">
        <f>IF(AT$14=1,'Inputs (2)'!AT88,AO109*(1+Inputs!AT$287))</f>
        <v>0</v>
      </c>
      <c r="AU109" s="57">
        <f>IF(AU$14=1,'Inputs (2)'!AU88,AP109*(1+Inputs!AU$287))</f>
        <v>0</v>
      </c>
      <c r="AV109" s="57">
        <f>IF(AV$14=1,'Inputs (2)'!AV88,AQ109*(1+Inputs!AV$287))</f>
        <v>0</v>
      </c>
      <c r="AW109" s="77">
        <f t="shared" si="47"/>
        <v>0</v>
      </c>
      <c r="AX109" s="57">
        <f>IF(AX$14=1,'Inputs (2)'!AX88,AS109*(1+Inputs!AX$287))</f>
        <v>0</v>
      </c>
      <c r="AY109" s="57">
        <f>IF(AY$14=1,'Inputs (2)'!AY88,AT109*(1+Inputs!AY$287))</f>
        <v>0</v>
      </c>
      <c r="AZ109" s="57">
        <f>IF(AZ$14=1,'Inputs (2)'!AZ88,AU109*(1+Inputs!AZ$287))</f>
        <v>0</v>
      </c>
      <c r="BA109" s="57">
        <f>IF(BA$14=1,'Inputs (2)'!BA88,AV109*(1+Inputs!BA$287))</f>
        <v>0</v>
      </c>
      <c r="BB109" s="77">
        <f t="shared" si="48"/>
        <v>0</v>
      </c>
      <c r="BC109" s="57">
        <f>IF(BC$14=1,'Inputs (2)'!BC88,AX109*(1+Inputs!BC$287))</f>
        <v>0</v>
      </c>
      <c r="BD109" s="57">
        <f>IF(BD$14=1,'Inputs (2)'!BD88,AY109*(1+Inputs!BD$287))</f>
        <v>0</v>
      </c>
      <c r="BE109" s="57">
        <f>IF(BE$14=1,'Inputs (2)'!BE88,AZ109*(1+Inputs!BE$287))</f>
        <v>0</v>
      </c>
      <c r="BF109" s="57">
        <f>IF(BF$14=1,'Inputs (2)'!BF88,BA109*(1+Inputs!BF$287))</f>
        <v>0</v>
      </c>
      <c r="BG109" s="77">
        <f t="shared" si="49"/>
        <v>0</v>
      </c>
    </row>
    <row r="110" spans="3:61" hidden="1" outlineLevel="1" x14ac:dyDescent="0.25">
      <c r="C110" s="61" t="s">
        <v>171</v>
      </c>
      <c r="D110" s="62" t="s">
        <v>821</v>
      </c>
      <c r="E110" s="57">
        <f>'Inputs (2)'!E89</f>
        <v>0</v>
      </c>
      <c r="F110" s="57">
        <f>'Inputs (2)'!F89</f>
        <v>0</v>
      </c>
      <c r="G110" s="57">
        <f>'Inputs (2)'!G89</f>
        <v>0</v>
      </c>
      <c r="H110" s="57">
        <f>'Inputs (2)'!H89</f>
        <v>0</v>
      </c>
      <c r="I110" s="77">
        <f t="shared" si="39"/>
        <v>0</v>
      </c>
      <c r="J110" s="57">
        <f>IF(J$14=1,'Inputs (2)'!J89,E110*(1+Inputs!J$288))</f>
        <v>0</v>
      </c>
      <c r="K110" s="57">
        <f>IF(K$14=1,'Inputs (2)'!K89,F110*(1+Inputs!K$288))</f>
        <v>0</v>
      </c>
      <c r="L110" s="57">
        <f>IF(L$14=1,'Inputs (2)'!L89,G110*(1+Inputs!L$288))</f>
        <v>0</v>
      </c>
      <c r="M110" s="57">
        <f>IF(M$14=1,'Inputs (2)'!M89,H110*(1+Inputs!M$288))</f>
        <v>0</v>
      </c>
      <c r="N110" s="77">
        <f t="shared" si="40"/>
        <v>0</v>
      </c>
      <c r="O110" s="57">
        <f>IF(O$14=1,'Inputs (2)'!O89,J110*(1+Inputs!O$288))</f>
        <v>0</v>
      </c>
      <c r="P110" s="57">
        <f>IF(P$14=1,'Inputs (2)'!P89,K110*(1+Inputs!P$288))</f>
        <v>0</v>
      </c>
      <c r="Q110" s="57">
        <f>IF(Q$14=1,'Inputs (2)'!Q89,L110*(1+Inputs!Q$288))</f>
        <v>0</v>
      </c>
      <c r="R110" s="57">
        <f>IF(R$14=1,'Inputs (2)'!R89,M110*(1+Inputs!R$288))</f>
        <v>0</v>
      </c>
      <c r="S110" s="77">
        <f t="shared" si="41"/>
        <v>0</v>
      </c>
      <c r="T110" s="57">
        <f>IF(T$14=1,'Inputs (2)'!T89,O110*(1+Inputs!T$288))</f>
        <v>0</v>
      </c>
      <c r="U110" s="57">
        <f>IF(U$14=1,'Inputs (2)'!U89,P110*(1+Inputs!U$288))</f>
        <v>0</v>
      </c>
      <c r="V110" s="57">
        <f>IF(V$14=1,'Inputs (2)'!V89,Q110*(1+Inputs!V$288))</f>
        <v>0</v>
      </c>
      <c r="W110" s="57">
        <f>IF(W$14=1,'Inputs (2)'!W89,R110*(1+Inputs!W$288))</f>
        <v>0</v>
      </c>
      <c r="X110" s="77">
        <f t="shared" si="42"/>
        <v>0</v>
      </c>
      <c r="Y110" s="57">
        <f>IF(Y$14=1,'Inputs (2)'!Y89,T110*(1+Inputs!Y$288))</f>
        <v>0</v>
      </c>
      <c r="Z110" s="57">
        <f>IF(Z$14=1,'Inputs (2)'!Z89,U110*(1+Inputs!Z$288))</f>
        <v>0</v>
      </c>
      <c r="AA110" s="57">
        <f>IF(AA$14=1,'Inputs (2)'!AA89,V110*(1+Inputs!AA$288))</f>
        <v>0</v>
      </c>
      <c r="AB110" s="57">
        <f>IF(AB$14=1,'Inputs (2)'!AB89,W110*(1+Inputs!AB$288))</f>
        <v>0</v>
      </c>
      <c r="AC110" s="77">
        <f t="shared" si="43"/>
        <v>0</v>
      </c>
      <c r="AD110" s="57">
        <f>IF(AD$14=1,'Inputs (2)'!AD89,Y110*(1+Inputs!AD$288))</f>
        <v>0</v>
      </c>
      <c r="AE110" s="57">
        <f>IF(AE$14=1,'Inputs (2)'!AE89,Z110*(1+Inputs!AE$288))</f>
        <v>0</v>
      </c>
      <c r="AF110" s="57">
        <f>IF(AF$14=1,'Inputs (2)'!AF89,AA110*(1+Inputs!AF$288))</f>
        <v>0</v>
      </c>
      <c r="AG110" s="57">
        <f>IF(AG$14=1,'Inputs (2)'!AG89,AB110*(1+Inputs!AG$288))</f>
        <v>0</v>
      </c>
      <c r="AH110" s="77">
        <f t="shared" si="44"/>
        <v>0</v>
      </c>
      <c r="AI110" s="57">
        <f>IF(AI$14=1,'Inputs (2)'!AI89,AD110*(1+Inputs!AI$288))</f>
        <v>0</v>
      </c>
      <c r="AJ110" s="57">
        <f>IF(AJ$14=1,'Inputs (2)'!AJ89,AE110*(1+Inputs!AJ$288))</f>
        <v>0</v>
      </c>
      <c r="AK110" s="57">
        <f>IF(AK$14=1,'Inputs (2)'!AK89,AF110*(1+Inputs!AK$288))</f>
        <v>0</v>
      </c>
      <c r="AL110" s="57">
        <f>IF(AL$14=1,'Inputs (2)'!AL89,AG110*(1+Inputs!AL$288))</f>
        <v>0</v>
      </c>
      <c r="AM110" s="77">
        <f t="shared" si="45"/>
        <v>0</v>
      </c>
      <c r="AN110" s="57">
        <f>IF(AN$14=1,'Inputs (2)'!AN89,AI110*(1+Inputs!AN$288))</f>
        <v>0</v>
      </c>
      <c r="AO110" s="57">
        <f>IF(AO$14=1,'Inputs (2)'!AO89,AJ110*(1+Inputs!AO$288))</f>
        <v>0</v>
      </c>
      <c r="AP110" s="57">
        <f>IF(AP$14=1,'Inputs (2)'!AP89,AK110*(1+Inputs!AP$288))</f>
        <v>0</v>
      </c>
      <c r="AQ110" s="57">
        <f>IF(AQ$14=1,'Inputs (2)'!AQ89,AL110*(1+Inputs!AQ$288))</f>
        <v>0</v>
      </c>
      <c r="AR110" s="77">
        <f t="shared" si="46"/>
        <v>0</v>
      </c>
      <c r="AS110" s="57">
        <f>IF(AS$14=1,'Inputs (2)'!AS89,AN110*(1+Inputs!AS$288))</f>
        <v>0</v>
      </c>
      <c r="AT110" s="57">
        <f>IF(AT$14=1,'Inputs (2)'!AT89,AO110*(1+Inputs!AT$288))</f>
        <v>0</v>
      </c>
      <c r="AU110" s="57">
        <f>IF(AU$14=1,'Inputs (2)'!AU89,AP110*(1+Inputs!AU$288))</f>
        <v>0</v>
      </c>
      <c r="AV110" s="57">
        <f>IF(AV$14=1,'Inputs (2)'!AV89,AQ110*(1+Inputs!AV$288))</f>
        <v>0</v>
      </c>
      <c r="AW110" s="77">
        <f t="shared" si="47"/>
        <v>0</v>
      </c>
      <c r="AX110" s="57">
        <f>IF(AX$14=1,'Inputs (2)'!AX89,AS110*(1+Inputs!AX$288))</f>
        <v>0</v>
      </c>
      <c r="AY110" s="57">
        <f>IF(AY$14=1,'Inputs (2)'!AY89,AT110*(1+Inputs!AY$288))</f>
        <v>0</v>
      </c>
      <c r="AZ110" s="57">
        <f>IF(AZ$14=1,'Inputs (2)'!AZ89,AU110*(1+Inputs!AZ$288))</f>
        <v>0</v>
      </c>
      <c r="BA110" s="57">
        <f>IF(BA$14=1,'Inputs (2)'!BA89,AV110*(1+Inputs!BA$288))</f>
        <v>0</v>
      </c>
      <c r="BB110" s="77">
        <f t="shared" si="48"/>
        <v>0</v>
      </c>
      <c r="BC110" s="57">
        <f>IF(BC$14=1,'Inputs (2)'!BC89,AX110*(1+Inputs!BC$288))</f>
        <v>0</v>
      </c>
      <c r="BD110" s="57">
        <f>IF(BD$14=1,'Inputs (2)'!BD89,AY110*(1+Inputs!BD$288))</f>
        <v>0</v>
      </c>
      <c r="BE110" s="57">
        <f>IF(BE$14=1,'Inputs (2)'!BE89,AZ110*(1+Inputs!BE$288))</f>
        <v>0</v>
      </c>
      <c r="BF110" s="57">
        <f>IF(BF$14=1,'Inputs (2)'!BF89,BA110*(1+Inputs!BF$288))</f>
        <v>0</v>
      </c>
      <c r="BG110" s="77">
        <f t="shared" si="49"/>
        <v>0</v>
      </c>
    </row>
    <row r="111" spans="3:61" hidden="1" outlineLevel="1" x14ac:dyDescent="0.25">
      <c r="C111" s="63" t="s">
        <v>637</v>
      </c>
      <c r="D111" s="64" t="s">
        <v>638</v>
      </c>
      <c r="E111" s="86">
        <f>IF(E$14=1,E112+E113+E114,-E140*Inputs!E$289)</f>
        <v>0</v>
      </c>
      <c r="F111" s="86">
        <f>IF(F$14=1,F112+F113+F114,-F140*Inputs!F$289)</f>
        <v>0</v>
      </c>
      <c r="G111" s="86">
        <f>IF(G$14=1,G112+G113+G114,-G140*Inputs!G$289)</f>
        <v>0</v>
      </c>
      <c r="H111" s="86">
        <f>IF(H$14=1,H112+H113+H114,-H140*Inputs!H$289)</f>
        <v>0</v>
      </c>
      <c r="I111" s="60">
        <f t="shared" si="39"/>
        <v>0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 t="shared" si="40"/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 t="shared" si="41"/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 t="shared" si="42"/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 t="shared" si="43"/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 t="shared" si="44"/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 t="shared" si="45"/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 t="shared" si="46"/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 t="shared" si="47"/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 t="shared" si="48"/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 t="shared" si="49"/>
        <v>0</v>
      </c>
      <c r="BI111" s="14" t="s">
        <v>822</v>
      </c>
    </row>
    <row r="112" spans="3:61" hidden="1" outlineLevel="2" x14ac:dyDescent="0.25">
      <c r="C112" s="65" t="s">
        <v>173</v>
      </c>
      <c r="D112" s="66" t="s">
        <v>639</v>
      </c>
      <c r="E112" s="57">
        <f>IF(E$14=1,'Inputs (2)'!E91,0)</f>
        <v>0</v>
      </c>
      <c r="F112" s="57">
        <f>IF(F$14=1,'Inputs (2)'!F91,0)</f>
        <v>0</v>
      </c>
      <c r="G112" s="57">
        <f>IF(G$14=1,'Inputs (2)'!G91,0)</f>
        <v>0</v>
      </c>
      <c r="H112" s="57">
        <f>IF(H$14=1,'Inputs (2)'!H91,0)</f>
        <v>0</v>
      </c>
      <c r="I112" s="77">
        <f t="shared" si="39"/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 t="shared" si="40"/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 t="shared" si="41"/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 t="shared" si="42"/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 t="shared" si="43"/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 t="shared" si="44"/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 t="shared" si="45"/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 t="shared" si="46"/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 t="shared" si="47"/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 t="shared" si="48"/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 t="shared" si="49"/>
        <v>0</v>
      </c>
    </row>
    <row r="113" spans="3:61" hidden="1" outlineLevel="2" x14ac:dyDescent="0.25">
      <c r="C113" s="65" t="s">
        <v>175</v>
      </c>
      <c r="D113" s="66" t="s">
        <v>640</v>
      </c>
      <c r="E113" s="57">
        <f>IF(E$14=1,'Inputs (2)'!E92,0)</f>
        <v>0</v>
      </c>
      <c r="F113" s="57">
        <f>IF(F$14=1,'Inputs (2)'!F92,0)</f>
        <v>0</v>
      </c>
      <c r="G113" s="57">
        <f>IF(G$14=1,'Inputs (2)'!G92,0)</f>
        <v>0</v>
      </c>
      <c r="H113" s="57">
        <f>IF(H$14=1,'Inputs (2)'!H92,0)</f>
        <v>0</v>
      </c>
      <c r="I113" s="77">
        <f t="shared" si="39"/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 t="shared" si="40"/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 t="shared" si="41"/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 t="shared" si="42"/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 t="shared" si="43"/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 t="shared" si="44"/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 t="shared" si="45"/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 t="shared" si="46"/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 t="shared" si="47"/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 t="shared" si="48"/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 t="shared" si="49"/>
        <v>0</v>
      </c>
    </row>
    <row r="114" spans="3:61" hidden="1" outlineLevel="2" x14ac:dyDescent="0.25">
      <c r="C114" s="65" t="s">
        <v>823</v>
      </c>
      <c r="D114" s="66" t="s">
        <v>641</v>
      </c>
      <c r="E114" s="57">
        <f>IF(E$14=1,'Inputs (2)'!E93,0)</f>
        <v>0</v>
      </c>
      <c r="F114" s="57">
        <f>IF(F$14=1,'Inputs (2)'!F93,0)</f>
        <v>0</v>
      </c>
      <c r="G114" s="57">
        <f>IF(G$14=1,'Inputs (2)'!G93,0)</f>
        <v>0</v>
      </c>
      <c r="H114" s="57">
        <f>IF(H$14=1,'Inputs (2)'!H93,0)</f>
        <v>0</v>
      </c>
      <c r="I114" s="77">
        <f t="shared" si="39"/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 t="shared" si="40"/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 t="shared" si="41"/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 t="shared" si="42"/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 t="shared" si="43"/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 t="shared" si="44"/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 t="shared" si="45"/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 t="shared" si="46"/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 t="shared" si="47"/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 t="shared" si="48"/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 t="shared" si="49"/>
        <v>0</v>
      </c>
    </row>
    <row r="115" spans="3:61" hidden="1" outlineLevel="1" x14ac:dyDescent="0.25">
      <c r="C115" s="61" t="s">
        <v>179</v>
      </c>
      <c r="D115" s="62" t="s">
        <v>642</v>
      </c>
      <c r="E115" s="57">
        <f>IF(E$14=1,'Inputs (2)'!E94,-E140*Inputs!E$290)</f>
        <v>0</v>
      </c>
      <c r="F115" s="57">
        <f>IF(F$14=1,'Inputs (2)'!F94,-F140*Inputs!F$290)</f>
        <v>0</v>
      </c>
      <c r="G115" s="57">
        <f>IF(G$14=1,'Inputs (2)'!G94,-G140*Inputs!G$290)</f>
        <v>0</v>
      </c>
      <c r="H115" s="57">
        <f>IF(H$14=1,'Inputs (2)'!H94,-H140*Inputs!H$290)</f>
        <v>0</v>
      </c>
      <c r="I115" s="77">
        <f t="shared" si="39"/>
        <v>0</v>
      </c>
      <c r="J115" s="57">
        <f>IF(J$14=1,'Inputs (2)'!J94,-J140*Inputs!J$290)</f>
        <v>0</v>
      </c>
      <c r="K115" s="57">
        <f>IF(K$14=1,'Inputs (2)'!K94,-K140*Inputs!K$290)</f>
        <v>0</v>
      </c>
      <c r="L115" s="57">
        <f>IF(L$14=1,'Inputs (2)'!L94,-L140*Inputs!L$290)</f>
        <v>0</v>
      </c>
      <c r="M115" s="57">
        <f>IF(M$14=1,'Inputs (2)'!M94,-M140*Inputs!M$290)</f>
        <v>0</v>
      </c>
      <c r="N115" s="77">
        <f t="shared" si="40"/>
        <v>0</v>
      </c>
      <c r="O115" s="57">
        <f>IF(O$14=1,'Inputs (2)'!O94,-O140*Inputs!O$290)</f>
        <v>0</v>
      </c>
      <c r="P115" s="57">
        <f>IF(P$14=1,'Inputs (2)'!P94,-P140*Inputs!P$290)</f>
        <v>0</v>
      </c>
      <c r="Q115" s="57">
        <f>IF(Q$14=1,'Inputs (2)'!Q94,-Q140*Inputs!Q$290)</f>
        <v>0</v>
      </c>
      <c r="R115" s="57">
        <f>IF(R$14=1,'Inputs (2)'!R94,-R140*Inputs!R$290)</f>
        <v>0</v>
      </c>
      <c r="S115" s="77">
        <f t="shared" si="41"/>
        <v>0</v>
      </c>
      <c r="T115" s="57">
        <f>IF(T$14=1,'Inputs (2)'!T94,-T140*Inputs!T$290)</f>
        <v>0</v>
      </c>
      <c r="U115" s="57">
        <f>IF(U$14=1,'Inputs (2)'!U94,-U140*Inputs!U$290)</f>
        <v>0</v>
      </c>
      <c r="V115" s="57">
        <f>IF(V$14=1,'Inputs (2)'!V94,-V140*Inputs!V$290)</f>
        <v>0</v>
      </c>
      <c r="W115" s="57">
        <f>IF(W$14=1,'Inputs (2)'!W94,-W140*Inputs!W$290)</f>
        <v>0</v>
      </c>
      <c r="X115" s="77">
        <f t="shared" si="42"/>
        <v>0</v>
      </c>
      <c r="Y115" s="57">
        <f>IF(Y$14=1,'Inputs (2)'!Y94,-Y140*Inputs!Y$290)</f>
        <v>0</v>
      </c>
      <c r="Z115" s="57">
        <f>IF(Z$14=1,'Inputs (2)'!Z94,-Z140*Inputs!Z$290)</f>
        <v>0</v>
      </c>
      <c r="AA115" s="57">
        <f>IF(AA$14=1,'Inputs (2)'!AA94,-AA140*Inputs!AA$290)</f>
        <v>0</v>
      </c>
      <c r="AB115" s="57">
        <f>IF(AB$14=1,'Inputs (2)'!AB94,-AB140*Inputs!AB$290)</f>
        <v>0</v>
      </c>
      <c r="AC115" s="77">
        <f t="shared" si="43"/>
        <v>0</v>
      </c>
      <c r="AD115" s="57">
        <f>IF(AD$14=1,'Inputs (2)'!AD94,-AD140*Inputs!AD$290)</f>
        <v>0</v>
      </c>
      <c r="AE115" s="57">
        <f>IF(AE$14=1,'Inputs (2)'!AE94,-AE140*Inputs!AE$290)</f>
        <v>0</v>
      </c>
      <c r="AF115" s="57">
        <f>IF(AF$14=1,'Inputs (2)'!AF94,-AF140*Inputs!AF$290)</f>
        <v>0</v>
      </c>
      <c r="AG115" s="57">
        <f>IF(AG$14=1,'Inputs (2)'!AG94,-AG140*Inputs!AG$290)</f>
        <v>0</v>
      </c>
      <c r="AH115" s="77">
        <f t="shared" si="44"/>
        <v>0</v>
      </c>
      <c r="AI115" s="57">
        <f>IF(AI$14=1,'Inputs (2)'!AI94,-AI140*Inputs!AI$290)</f>
        <v>0</v>
      </c>
      <c r="AJ115" s="57">
        <f>IF(AJ$14=1,'Inputs (2)'!AJ94,-AJ140*Inputs!AJ$290)</f>
        <v>0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 t="shared" si="45"/>
        <v>0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 t="shared" si="46"/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 t="shared" si="47"/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 t="shared" si="48"/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 t="shared" si="49"/>
        <v>0</v>
      </c>
    </row>
    <row r="116" spans="3:61" hidden="1" outlineLevel="1" x14ac:dyDescent="0.25">
      <c r="C116" s="61" t="s">
        <v>824</v>
      </c>
      <c r="D116" s="62" t="s">
        <v>825</v>
      </c>
      <c r="E116" s="57">
        <f>IF(E$14=1,'Inputs (2)'!E95,Inputs!E$291)</f>
        <v>0</v>
      </c>
      <c r="F116" s="57">
        <f>IF(F$14=1,'Inputs (2)'!F95,Inputs!F$291)</f>
        <v>0</v>
      </c>
      <c r="G116" s="57">
        <f>IF(G$14=1,'Inputs (2)'!G95,Inputs!G$291)</f>
        <v>0</v>
      </c>
      <c r="H116" s="57">
        <f>IF(H$14=1,'Inputs (2)'!H95,Inputs!H$291)</f>
        <v>0</v>
      </c>
      <c r="I116" s="77">
        <f t="shared" si="39"/>
        <v>0</v>
      </c>
      <c r="J116" s="57">
        <f>IF(J$14=1,'Inputs (2)'!J95,Inputs!J$291)</f>
        <v>0</v>
      </c>
      <c r="K116" s="57">
        <f>IF(K$14=1,'Inputs (2)'!K95,Inputs!K$291)</f>
        <v>0</v>
      </c>
      <c r="L116" s="57">
        <f>IF(L$14=1,'Inputs (2)'!L95,Inputs!L$291)</f>
        <v>0</v>
      </c>
      <c r="M116" s="57">
        <f>IF(M$14=1,'Inputs (2)'!M95,Inputs!M$291)</f>
        <v>0</v>
      </c>
      <c r="N116" s="77">
        <f t="shared" si="40"/>
        <v>0</v>
      </c>
      <c r="O116" s="57">
        <f>IF(O$14=1,'Inputs (2)'!O95,Inputs!O$291)</f>
        <v>0</v>
      </c>
      <c r="P116" s="57">
        <f>IF(P$14=1,'Inputs (2)'!P95,Inputs!P$291)</f>
        <v>0</v>
      </c>
      <c r="Q116" s="57">
        <f>IF(Q$14=1,'Inputs (2)'!Q95,Inputs!Q$291)</f>
        <v>0</v>
      </c>
      <c r="R116" s="57">
        <f>IF(R$14=1,'Inputs (2)'!R95,Inputs!R$291)</f>
        <v>0</v>
      </c>
      <c r="S116" s="77">
        <f t="shared" si="41"/>
        <v>0</v>
      </c>
      <c r="T116" s="57">
        <f>IF(T$14=1,'Inputs (2)'!T95,Inputs!T$291)</f>
        <v>0</v>
      </c>
      <c r="U116" s="57">
        <f>IF(U$14=1,'Inputs (2)'!U95,Inputs!U$291)</f>
        <v>0</v>
      </c>
      <c r="V116" s="57">
        <f>IF(V$14=1,'Inputs (2)'!V95,Inputs!V$291)</f>
        <v>0</v>
      </c>
      <c r="W116" s="57">
        <f>IF(W$14=1,'Inputs (2)'!W95,Inputs!W$291)</f>
        <v>0</v>
      </c>
      <c r="X116" s="77">
        <f t="shared" si="42"/>
        <v>0</v>
      </c>
      <c r="Y116" s="57">
        <f>IF(Y$14=1,'Inputs (2)'!Y95,Inputs!Y$291)</f>
        <v>0</v>
      </c>
      <c r="Z116" s="57">
        <f>IF(Z$14=1,'Inputs (2)'!Z95,Inputs!Z$291)</f>
        <v>0</v>
      </c>
      <c r="AA116" s="57">
        <f>IF(AA$14=1,'Inputs (2)'!AA95,Inputs!AA$291)</f>
        <v>0</v>
      </c>
      <c r="AB116" s="57">
        <f>IF(AB$14=1,'Inputs (2)'!AB95,Inputs!AB$291)</f>
        <v>0</v>
      </c>
      <c r="AC116" s="77">
        <f t="shared" si="43"/>
        <v>0</v>
      </c>
      <c r="AD116" s="57">
        <f>IF(AD$14=1,'Inputs (2)'!AD95,Inputs!AD$291)</f>
        <v>0</v>
      </c>
      <c r="AE116" s="57">
        <f>IF(AE$14=1,'Inputs (2)'!AE95,Inputs!AE$291)</f>
        <v>0</v>
      </c>
      <c r="AF116" s="57">
        <f>IF(AF$14=1,'Inputs (2)'!AF95,Inputs!AF$291)</f>
        <v>0</v>
      </c>
      <c r="AG116" s="57">
        <f>IF(AG$14=1,'Inputs (2)'!AG95,Inputs!AG$291)</f>
        <v>0</v>
      </c>
      <c r="AH116" s="77">
        <f t="shared" si="44"/>
        <v>0</v>
      </c>
      <c r="AI116" s="57">
        <f>IF(AI$14=1,'Inputs (2)'!AI95,Inputs!AI$291)</f>
        <v>0</v>
      </c>
      <c r="AJ116" s="57">
        <f>IF(AJ$14=1,'Inputs (2)'!AJ95,Inputs!AJ$291)</f>
        <v>0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 t="shared" si="45"/>
        <v>0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 t="shared" si="46"/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 t="shared" si="47"/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 t="shared" si="48"/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 t="shared" si="49"/>
        <v>0</v>
      </c>
    </row>
    <row r="117" spans="3:61" hidden="1" outlineLevel="1" x14ac:dyDescent="0.25">
      <c r="C117" s="61" t="s">
        <v>183</v>
      </c>
      <c r="D117" s="62" t="s">
        <v>644</v>
      </c>
      <c r="E117" s="57">
        <f>'Inputs (2)'!E96</f>
        <v>0</v>
      </c>
      <c r="F117" s="57">
        <f>IF(F$14=1,'Inputs (2)'!F96,E117)</f>
        <v>0</v>
      </c>
      <c r="G117" s="57">
        <f>IF(G$14=1,'Inputs (2)'!G96,F117)</f>
        <v>0</v>
      </c>
      <c r="H117" s="57">
        <f>IF(H$14=1,'Inputs (2)'!H96,G117)</f>
        <v>0</v>
      </c>
      <c r="I117" s="77">
        <f t="shared" si="39"/>
        <v>0</v>
      </c>
      <c r="J117" s="57">
        <f>IF(J$14=1,'Inputs (2)'!J96,H117)</f>
        <v>0</v>
      </c>
      <c r="K117" s="57">
        <f>IF(K$14=1,'Inputs (2)'!K96,J117)</f>
        <v>0</v>
      </c>
      <c r="L117" s="57">
        <f>IF(L$14=1,'Inputs (2)'!L96,K117)</f>
        <v>0</v>
      </c>
      <c r="M117" s="57">
        <f>IF(M$14=1,'Inputs (2)'!M96,L117)</f>
        <v>0</v>
      </c>
      <c r="N117" s="77">
        <f t="shared" si="40"/>
        <v>0</v>
      </c>
      <c r="O117" s="57">
        <f>IF(O$14=1,'Inputs (2)'!O96,M117)</f>
        <v>0</v>
      </c>
      <c r="P117" s="57">
        <f>IF(P$14=1,'Inputs (2)'!P96,O117)</f>
        <v>0</v>
      </c>
      <c r="Q117" s="57">
        <f>IF(Q$14=1,'Inputs (2)'!Q96,P117)</f>
        <v>0</v>
      </c>
      <c r="R117" s="57">
        <f>IF(R$14=1,'Inputs (2)'!R96,Q117)</f>
        <v>0</v>
      </c>
      <c r="S117" s="77">
        <f t="shared" si="41"/>
        <v>0</v>
      </c>
      <c r="T117" s="57">
        <f>IF(T$14=1,'Inputs (2)'!T96,R117)</f>
        <v>0</v>
      </c>
      <c r="U117" s="57">
        <f>IF(U$14=1,'Inputs (2)'!U96,T117)</f>
        <v>0</v>
      </c>
      <c r="V117" s="57">
        <f>IF(V$14=1,'Inputs (2)'!V96,U117)</f>
        <v>0</v>
      </c>
      <c r="W117" s="57">
        <f>IF(W$14=1,'Inputs (2)'!W96,V117)</f>
        <v>0</v>
      </c>
      <c r="X117" s="77">
        <f t="shared" si="42"/>
        <v>0</v>
      </c>
      <c r="Y117" s="57">
        <f>IF(Y$14=1,'Inputs (2)'!Y96,W117)</f>
        <v>0</v>
      </c>
      <c r="Z117" s="57">
        <f>IF(Z$14=1,'Inputs (2)'!Z96,Y117)</f>
        <v>0</v>
      </c>
      <c r="AA117" s="57">
        <f>IF(AA$14=1,'Inputs (2)'!AA96,Z117)</f>
        <v>0</v>
      </c>
      <c r="AB117" s="57">
        <f>IF(AB$14=1,'Inputs (2)'!AB96,AA117)</f>
        <v>0</v>
      </c>
      <c r="AC117" s="77">
        <f t="shared" si="43"/>
        <v>0</v>
      </c>
      <c r="AD117" s="57">
        <f>IF(AD$14=1,'Inputs (2)'!AD96,AB117)</f>
        <v>0</v>
      </c>
      <c r="AE117" s="57">
        <f>IF(AE$14=1,'Inputs (2)'!AE96,AD117)</f>
        <v>0</v>
      </c>
      <c r="AF117" s="57">
        <f>IF(AF$14=1,'Inputs (2)'!AF96,AE117)</f>
        <v>0</v>
      </c>
      <c r="AG117" s="57">
        <f>IF(AG$14=1,'Inputs (2)'!AG96,AF117)</f>
        <v>0</v>
      </c>
      <c r="AH117" s="77">
        <f t="shared" si="44"/>
        <v>0</v>
      </c>
      <c r="AI117" s="57">
        <f>IF(AI$14=1,'Inputs (2)'!AI96,AG117)</f>
        <v>0</v>
      </c>
      <c r="AJ117" s="57">
        <f>IF(AJ$14=1,'Inputs (2)'!AJ96,AI117)</f>
        <v>0</v>
      </c>
      <c r="AK117" s="57">
        <f>IF(AK$14=1,'Inputs (2)'!AK96,AJ117)</f>
        <v>0</v>
      </c>
      <c r="AL117" s="57">
        <f>IF(AL$14=1,'Inputs (2)'!AL96,AK117)</f>
        <v>0</v>
      </c>
      <c r="AM117" s="77">
        <f t="shared" si="45"/>
        <v>0</v>
      </c>
      <c r="AN117" s="57">
        <f>IF(AN$14=1,'Inputs (2)'!AN96,AL117)</f>
        <v>0</v>
      </c>
      <c r="AO117" s="57">
        <f>IF(AO$14=1,'Inputs (2)'!AO96,AN117)</f>
        <v>0</v>
      </c>
      <c r="AP117" s="57">
        <f>IF(AP$14=1,'Inputs (2)'!AP96,AO117)</f>
        <v>0</v>
      </c>
      <c r="AQ117" s="57">
        <f>IF(AQ$14=1,'Inputs (2)'!AQ96,AP117)</f>
        <v>0</v>
      </c>
      <c r="AR117" s="77">
        <f t="shared" si="46"/>
        <v>0</v>
      </c>
      <c r="AS117" s="57">
        <f>IF(AS$14=1,'Inputs (2)'!AS96,AQ117)</f>
        <v>0</v>
      </c>
      <c r="AT117" s="57">
        <f>IF(AT$14=1,'Inputs (2)'!AT96,AS117)</f>
        <v>0</v>
      </c>
      <c r="AU117" s="57">
        <f>IF(AU$14=1,'Inputs (2)'!AU96,AT117)</f>
        <v>0</v>
      </c>
      <c r="AV117" s="57">
        <f>IF(AV$14=1,'Inputs (2)'!AV96,AU117)</f>
        <v>0</v>
      </c>
      <c r="AW117" s="77">
        <f t="shared" si="47"/>
        <v>0</v>
      </c>
      <c r="AX117" s="57">
        <f>IF(AX$14=1,'Inputs (2)'!AX96,AV117)</f>
        <v>0</v>
      </c>
      <c r="AY117" s="57">
        <f>IF(AY$14=1,'Inputs (2)'!AY96,AX117)</f>
        <v>0</v>
      </c>
      <c r="AZ117" s="57">
        <f>IF(AZ$14=1,'Inputs (2)'!AZ96,AY117)</f>
        <v>0</v>
      </c>
      <c r="BA117" s="57">
        <f>IF(BA$14=1,'Inputs (2)'!BA96,AZ117)</f>
        <v>0</v>
      </c>
      <c r="BB117" s="77">
        <f t="shared" si="48"/>
        <v>0</v>
      </c>
      <c r="BC117" s="57">
        <f>IF(BC$14=1,'Inputs (2)'!BC96,BA117)</f>
        <v>0</v>
      </c>
      <c r="BD117" s="57">
        <f>IF(BD$14=1,'Inputs (2)'!BD96,BC117)</f>
        <v>0</v>
      </c>
      <c r="BE117" s="57">
        <f>IF(BE$14=1,'Inputs (2)'!BE96,BD117)</f>
        <v>0</v>
      </c>
      <c r="BF117" s="57">
        <f>IF(BF$14=1,'Inputs (2)'!BF96,BE117)</f>
        <v>0</v>
      </c>
      <c r="BG117" s="77">
        <f t="shared" si="49"/>
        <v>0</v>
      </c>
    </row>
    <row r="118" spans="3:61" hidden="1" outlineLevel="1" x14ac:dyDescent="0.25">
      <c r="C118" s="61" t="s">
        <v>185</v>
      </c>
      <c r="D118" s="62" t="s">
        <v>645</v>
      </c>
      <c r="E118" s="57">
        <f>IF(E$14=1,'Inputs (2)'!E97,-E140*Inputs!E$292)</f>
        <v>0</v>
      </c>
      <c r="F118" s="57">
        <f>IF(F$14=1,'Inputs (2)'!F97,-F140*Inputs!F$292)</f>
        <v>0</v>
      </c>
      <c r="G118" s="57">
        <f>IF(G$14=1,'Inputs (2)'!G97,-G140*Inputs!G$292)</f>
        <v>0</v>
      </c>
      <c r="H118" s="57">
        <f>IF(H$14=1,'Inputs (2)'!H97,-H140*Inputs!H$292)</f>
        <v>0</v>
      </c>
      <c r="I118" s="77">
        <f t="shared" si="39"/>
        <v>0</v>
      </c>
      <c r="J118" s="57">
        <f>IF(J$14=1,'Inputs (2)'!J97,-J140*Inputs!J$292)</f>
        <v>0</v>
      </c>
      <c r="K118" s="57">
        <f>IF(K$14=1,'Inputs (2)'!K97,-K140*Inputs!K$292)</f>
        <v>0</v>
      </c>
      <c r="L118" s="57">
        <f>IF(L$14=1,'Inputs (2)'!L97,-L140*Inputs!L$292)</f>
        <v>0</v>
      </c>
      <c r="M118" s="57">
        <f>IF(M$14=1,'Inputs (2)'!M97,-M140*Inputs!M$292)</f>
        <v>0</v>
      </c>
      <c r="N118" s="77">
        <f t="shared" si="40"/>
        <v>0</v>
      </c>
      <c r="O118" s="57">
        <f>IF(O$14=1,'Inputs (2)'!O97,-O140*Inputs!O$292)</f>
        <v>0</v>
      </c>
      <c r="P118" s="57">
        <f>IF(P$14=1,'Inputs (2)'!P97,-P140*Inputs!P$292)</f>
        <v>0</v>
      </c>
      <c r="Q118" s="57">
        <f>IF(Q$14=1,'Inputs (2)'!Q97,-Q140*Inputs!Q$292)</f>
        <v>0</v>
      </c>
      <c r="R118" s="57">
        <f>IF(R$14=1,'Inputs (2)'!R97,-R140*Inputs!R$292)</f>
        <v>0</v>
      </c>
      <c r="S118" s="77">
        <f t="shared" si="41"/>
        <v>0</v>
      </c>
      <c r="T118" s="57">
        <f>IF(T$14=1,'Inputs (2)'!T97,-T140*Inputs!T$292)</f>
        <v>0</v>
      </c>
      <c r="U118" s="57">
        <f>IF(U$14=1,'Inputs (2)'!U97,-U140*Inputs!U$292)</f>
        <v>0</v>
      </c>
      <c r="V118" s="57">
        <f>IF(V$14=1,'Inputs (2)'!V97,-V140*Inputs!V$292)</f>
        <v>0</v>
      </c>
      <c r="W118" s="57">
        <f>IF(W$14=1,'Inputs (2)'!W97,-W140*Inputs!W$292)</f>
        <v>0</v>
      </c>
      <c r="X118" s="77">
        <f t="shared" si="42"/>
        <v>0</v>
      </c>
      <c r="Y118" s="57">
        <f>IF(Y$14=1,'Inputs (2)'!Y97,-Y140*Inputs!Y$292)</f>
        <v>0</v>
      </c>
      <c r="Z118" s="57">
        <f>IF(Z$14=1,'Inputs (2)'!Z97,-Z140*Inputs!Z$292)</f>
        <v>0</v>
      </c>
      <c r="AA118" s="57">
        <f>IF(AA$14=1,'Inputs (2)'!AA97,-AA140*Inputs!AA$292)</f>
        <v>0</v>
      </c>
      <c r="AB118" s="57">
        <f>IF(AB$14=1,'Inputs (2)'!AB97,-AB140*Inputs!AB$292)</f>
        <v>0</v>
      </c>
      <c r="AC118" s="77">
        <f t="shared" si="43"/>
        <v>0</v>
      </c>
      <c r="AD118" s="57">
        <f>IF(AD$14=1,'Inputs (2)'!AD97,-AD140*Inputs!AD$292)</f>
        <v>0</v>
      </c>
      <c r="AE118" s="57">
        <f>IF(AE$14=1,'Inputs (2)'!AE97,-AE140*Inputs!AE$292)</f>
        <v>0</v>
      </c>
      <c r="AF118" s="57">
        <f>IF(AF$14=1,'Inputs (2)'!AF97,-AF140*Inputs!AF$292)</f>
        <v>0</v>
      </c>
      <c r="AG118" s="57">
        <f>IF(AG$14=1,'Inputs (2)'!AG97,-AG140*Inputs!AG$292)</f>
        <v>0</v>
      </c>
      <c r="AH118" s="77">
        <f t="shared" si="44"/>
        <v>0</v>
      </c>
      <c r="AI118" s="57">
        <f>IF(AI$14=1,'Inputs (2)'!AI97,-AI140*Inputs!AI$292)</f>
        <v>0</v>
      </c>
      <c r="AJ118" s="57">
        <f>IF(AJ$14=1,'Inputs (2)'!AJ97,-AJ140*Inputs!AJ$292)</f>
        <v>0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 t="shared" si="45"/>
        <v>0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 t="shared" si="46"/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 t="shared" si="47"/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 t="shared" si="48"/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 t="shared" si="49"/>
        <v>0</v>
      </c>
    </row>
    <row r="119" spans="3:61" collapsed="1" x14ac:dyDescent="0.25">
      <c r="C119" s="53" t="s">
        <v>646</v>
      </c>
      <c r="D119" s="54" t="s">
        <v>647</v>
      </c>
      <c r="E119" s="59">
        <f>E105+E106</f>
        <v>0</v>
      </c>
      <c r="F119" s="59">
        <f>F105+F106</f>
        <v>0</v>
      </c>
      <c r="G119" s="59">
        <f>G105+G106</f>
        <v>0</v>
      </c>
      <c r="H119" s="59">
        <f>H105+H106</f>
        <v>0</v>
      </c>
      <c r="I119" s="60">
        <f t="shared" si="39"/>
        <v>0</v>
      </c>
      <c r="J119" s="59">
        <f>J105+J106</f>
        <v>0</v>
      </c>
      <c r="K119" s="59">
        <f>K105+K106</f>
        <v>0</v>
      </c>
      <c r="L119" s="59">
        <f>L105+L106</f>
        <v>0</v>
      </c>
      <c r="M119" s="59">
        <f>M105+M106</f>
        <v>0</v>
      </c>
      <c r="N119" s="60">
        <f t="shared" si="40"/>
        <v>0</v>
      </c>
      <c r="O119" s="59">
        <f>O105+O106</f>
        <v>0</v>
      </c>
      <c r="P119" s="59">
        <f>P105+P106</f>
        <v>0</v>
      </c>
      <c r="Q119" s="59">
        <f>Q105+Q106</f>
        <v>0</v>
      </c>
      <c r="R119" s="59">
        <f>R105+R106</f>
        <v>0</v>
      </c>
      <c r="S119" s="60">
        <f t="shared" si="41"/>
        <v>0</v>
      </c>
      <c r="T119" s="59">
        <f>T105+T106</f>
        <v>0</v>
      </c>
      <c r="U119" s="59">
        <f>U105+U106</f>
        <v>0</v>
      </c>
      <c r="V119" s="59">
        <f>V105+V106</f>
        <v>0</v>
      </c>
      <c r="W119" s="59">
        <f>W105+W106</f>
        <v>0</v>
      </c>
      <c r="X119" s="60">
        <f t="shared" si="42"/>
        <v>0</v>
      </c>
      <c r="Y119" s="59">
        <f>Y105+Y106</f>
        <v>0</v>
      </c>
      <c r="Z119" s="59">
        <f>Z105+Z106</f>
        <v>0</v>
      </c>
      <c r="AA119" s="59">
        <f>AA105+AA106</f>
        <v>0</v>
      </c>
      <c r="AB119" s="59">
        <f>AB105+AB106</f>
        <v>0</v>
      </c>
      <c r="AC119" s="60">
        <f t="shared" si="43"/>
        <v>0</v>
      </c>
      <c r="AD119" s="59">
        <f>AD105+AD106</f>
        <v>0</v>
      </c>
      <c r="AE119" s="59">
        <f>AE105+AE106</f>
        <v>0</v>
      </c>
      <c r="AF119" s="59">
        <f>AF105+AF106</f>
        <v>0</v>
      </c>
      <c r="AG119" s="59">
        <f>AG105+AG106</f>
        <v>0</v>
      </c>
      <c r="AH119" s="60">
        <f t="shared" si="44"/>
        <v>0</v>
      </c>
      <c r="AI119" s="59">
        <f>AI105+AI106</f>
        <v>0</v>
      </c>
      <c r="AJ119" s="59">
        <f>AJ105+AJ106</f>
        <v>0</v>
      </c>
      <c r="AK119" s="59">
        <f>AK105+AK106</f>
        <v>0</v>
      </c>
      <c r="AL119" s="59">
        <f>AL105+AL106</f>
        <v>0</v>
      </c>
      <c r="AM119" s="60">
        <f t="shared" si="45"/>
        <v>0</v>
      </c>
      <c r="AN119" s="59">
        <f>AN105+AN106</f>
        <v>0</v>
      </c>
      <c r="AO119" s="59">
        <f>AO105+AO106</f>
        <v>0</v>
      </c>
      <c r="AP119" s="59">
        <f>AP105+AP106</f>
        <v>0</v>
      </c>
      <c r="AQ119" s="59">
        <f>AQ105+AQ106</f>
        <v>0</v>
      </c>
      <c r="AR119" s="60">
        <f t="shared" si="46"/>
        <v>0</v>
      </c>
      <c r="AS119" s="59">
        <f>AS105+AS106</f>
        <v>0</v>
      </c>
      <c r="AT119" s="59">
        <f>AT105+AT106</f>
        <v>0</v>
      </c>
      <c r="AU119" s="59">
        <f>AU105+AU106</f>
        <v>0</v>
      </c>
      <c r="AV119" s="59">
        <f>AV105+AV106</f>
        <v>0</v>
      </c>
      <c r="AW119" s="60">
        <f t="shared" si="47"/>
        <v>0</v>
      </c>
      <c r="AX119" s="59">
        <f>AX105+AX106</f>
        <v>0</v>
      </c>
      <c r="AY119" s="59">
        <f>AY105+AY106</f>
        <v>0</v>
      </c>
      <c r="AZ119" s="59">
        <f>AZ105+AZ106</f>
        <v>0</v>
      </c>
      <c r="BA119" s="59">
        <f>BA105+BA106</f>
        <v>0</v>
      </c>
      <c r="BB119" s="60">
        <f t="shared" si="48"/>
        <v>0</v>
      </c>
      <c r="BC119" s="59">
        <f>BC105+BC106</f>
        <v>0</v>
      </c>
      <c r="BD119" s="59">
        <f>BD105+BD106</f>
        <v>0</v>
      </c>
      <c r="BE119" s="59">
        <f>BE105+BE106</f>
        <v>0</v>
      </c>
      <c r="BF119" s="59">
        <f>BF105+BF106</f>
        <v>0</v>
      </c>
      <c r="BG119" s="60">
        <f t="shared" si="49"/>
        <v>0</v>
      </c>
    </row>
    <row r="120" spans="3:61" x14ac:dyDescent="0.25">
      <c r="C120" s="80" t="s">
        <v>187</v>
      </c>
      <c r="D120" s="81" t="s">
        <v>648</v>
      </c>
      <c r="E120" s="82">
        <f>IF(E$14=1,'Inputs (2)'!E99,Inputs!E$293)</f>
        <v>0</v>
      </c>
      <c r="F120" s="82">
        <f>IF(F$14=1,'Inputs (2)'!F99,Inputs!F$293)</f>
        <v>0</v>
      </c>
      <c r="G120" s="82">
        <f>IF(G$14=1,'Inputs (2)'!G99,Inputs!G$293)</f>
        <v>0</v>
      </c>
      <c r="H120" s="82">
        <f>IF(H$14=1,'Inputs (2)'!H99,Inputs!H$293)</f>
        <v>0</v>
      </c>
      <c r="I120" s="77">
        <f t="shared" si="39"/>
        <v>0</v>
      </c>
      <c r="J120" s="82">
        <f>IF(J$14=1,'Inputs (2)'!J99,Inputs!J$293)</f>
        <v>0</v>
      </c>
      <c r="K120" s="82">
        <f>IF(K$14=1,'Inputs (2)'!K99,Inputs!K$293)</f>
        <v>0</v>
      </c>
      <c r="L120" s="82">
        <f>IF(L$14=1,'Inputs (2)'!L99,Inputs!L$293)</f>
        <v>0</v>
      </c>
      <c r="M120" s="82">
        <f>IF(M$14=1,'Inputs (2)'!M99,Inputs!M$293)</f>
        <v>0</v>
      </c>
      <c r="N120" s="77">
        <f t="shared" si="40"/>
        <v>0</v>
      </c>
      <c r="O120" s="82">
        <f>IF(O$14=1,'Inputs (2)'!O99,Inputs!O$293)</f>
        <v>0</v>
      </c>
      <c r="P120" s="82">
        <f>IF(P$14=1,'Inputs (2)'!P99,Inputs!P$293)</f>
        <v>0</v>
      </c>
      <c r="Q120" s="82">
        <f>IF(Q$14=1,'Inputs (2)'!Q99,Inputs!Q$293)</f>
        <v>0</v>
      </c>
      <c r="R120" s="82">
        <f>IF(R$14=1,'Inputs (2)'!R99,Inputs!R$293)</f>
        <v>0</v>
      </c>
      <c r="S120" s="77">
        <f t="shared" si="41"/>
        <v>0</v>
      </c>
      <c r="T120" s="82">
        <f>IF(T$14=1,'Inputs (2)'!T99,Inputs!T$293)</f>
        <v>0</v>
      </c>
      <c r="U120" s="82">
        <f>IF(U$14=1,'Inputs (2)'!U99,Inputs!U$293)</f>
        <v>0</v>
      </c>
      <c r="V120" s="82">
        <f>IF(V$14=1,'Inputs (2)'!V99,Inputs!V$293)</f>
        <v>0</v>
      </c>
      <c r="W120" s="82">
        <f>IF(W$14=1,'Inputs (2)'!W99,Inputs!W$293)</f>
        <v>0</v>
      </c>
      <c r="X120" s="77">
        <f t="shared" si="42"/>
        <v>0</v>
      </c>
      <c r="Y120" s="82">
        <f>IF(Y$14=1,'Inputs (2)'!Y99,Inputs!Y$293)</f>
        <v>0</v>
      </c>
      <c r="Z120" s="82">
        <f>IF(Z$14=1,'Inputs (2)'!Z99,Inputs!Z$293)</f>
        <v>0</v>
      </c>
      <c r="AA120" s="82">
        <f>IF(AA$14=1,'Inputs (2)'!AA99,Inputs!AA$293)</f>
        <v>0</v>
      </c>
      <c r="AB120" s="82">
        <f>IF(AB$14=1,'Inputs (2)'!AB99,Inputs!AB$293)</f>
        <v>0</v>
      </c>
      <c r="AC120" s="77">
        <f t="shared" si="43"/>
        <v>0</v>
      </c>
      <c r="AD120" s="82">
        <f>IF(AD$14=1,'Inputs (2)'!AD99,Inputs!AD$293)</f>
        <v>0</v>
      </c>
      <c r="AE120" s="82">
        <f>IF(AE$14=1,'Inputs (2)'!AE99,Inputs!AE$293)</f>
        <v>0</v>
      </c>
      <c r="AF120" s="82">
        <f>IF(AF$14=1,'Inputs (2)'!AF99,Inputs!AF$293)</f>
        <v>0</v>
      </c>
      <c r="AG120" s="82">
        <f>IF(AG$14=1,'Inputs (2)'!AG99,Inputs!AG$293)</f>
        <v>0</v>
      </c>
      <c r="AH120" s="77">
        <f t="shared" si="44"/>
        <v>0</v>
      </c>
      <c r="AI120" s="82">
        <f>IF(AI$14=1,'Inputs (2)'!AI99,Inputs!AI$293)</f>
        <v>0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 t="shared" si="45"/>
        <v>0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 t="shared" si="46"/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 t="shared" si="47"/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 t="shared" si="48"/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 t="shared" si="49"/>
        <v>0</v>
      </c>
    </row>
    <row r="121" spans="3:61" x14ac:dyDescent="0.25">
      <c r="C121" s="53" t="s">
        <v>649</v>
      </c>
      <c r="D121" s="54" t="s">
        <v>650</v>
      </c>
      <c r="E121" s="59">
        <f>E119+E120</f>
        <v>0</v>
      </c>
      <c r="F121" s="59">
        <f>F119+F120</f>
        <v>0</v>
      </c>
      <c r="G121" s="59">
        <f>G119+G120</f>
        <v>0</v>
      </c>
      <c r="H121" s="59">
        <f>H119+H120</f>
        <v>0</v>
      </c>
      <c r="I121" s="60">
        <f t="shared" si="39"/>
        <v>0</v>
      </c>
      <c r="J121" s="59">
        <f>J119+J120</f>
        <v>0</v>
      </c>
      <c r="K121" s="59">
        <f>K119+K120</f>
        <v>0</v>
      </c>
      <c r="L121" s="59">
        <f>L119+L120</f>
        <v>0</v>
      </c>
      <c r="M121" s="59">
        <f>M119+M120</f>
        <v>0</v>
      </c>
      <c r="N121" s="60">
        <f t="shared" si="40"/>
        <v>0</v>
      </c>
      <c r="O121" s="59">
        <f>O119+O120</f>
        <v>0</v>
      </c>
      <c r="P121" s="59">
        <f>P119+P120</f>
        <v>0</v>
      </c>
      <c r="Q121" s="59">
        <f>Q119+Q120</f>
        <v>0</v>
      </c>
      <c r="R121" s="59">
        <f>R119+R120</f>
        <v>0</v>
      </c>
      <c r="S121" s="60">
        <f t="shared" si="41"/>
        <v>0</v>
      </c>
      <c r="T121" s="59">
        <f>T119+T120</f>
        <v>0</v>
      </c>
      <c r="U121" s="59">
        <f>U119+U120</f>
        <v>0</v>
      </c>
      <c r="V121" s="59">
        <f>V119+V120</f>
        <v>0</v>
      </c>
      <c r="W121" s="59">
        <f>W119+W120</f>
        <v>0</v>
      </c>
      <c r="X121" s="60">
        <f t="shared" si="42"/>
        <v>0</v>
      </c>
      <c r="Y121" s="59">
        <f>Y119+Y120</f>
        <v>0</v>
      </c>
      <c r="Z121" s="59">
        <f>Z119+Z120</f>
        <v>0</v>
      </c>
      <c r="AA121" s="59">
        <f>AA119+AA120</f>
        <v>0</v>
      </c>
      <c r="AB121" s="59">
        <f>AB119+AB120</f>
        <v>0</v>
      </c>
      <c r="AC121" s="60">
        <f t="shared" si="43"/>
        <v>0</v>
      </c>
      <c r="AD121" s="59">
        <f>AD119+AD120</f>
        <v>0</v>
      </c>
      <c r="AE121" s="59">
        <f>AE119+AE120</f>
        <v>0</v>
      </c>
      <c r="AF121" s="59">
        <f>AF119+AF120</f>
        <v>0</v>
      </c>
      <c r="AG121" s="59">
        <f>AG119+AG120</f>
        <v>0</v>
      </c>
      <c r="AH121" s="60">
        <f t="shared" si="44"/>
        <v>0</v>
      </c>
      <c r="AI121" s="59">
        <f>AI119+AI120</f>
        <v>0</v>
      </c>
      <c r="AJ121" s="59">
        <f>AJ119+AJ120</f>
        <v>0</v>
      </c>
      <c r="AK121" s="59">
        <f>AK119+AK120</f>
        <v>0</v>
      </c>
      <c r="AL121" s="59">
        <f>AL119+AL120</f>
        <v>0</v>
      </c>
      <c r="AM121" s="60">
        <f t="shared" si="45"/>
        <v>0</v>
      </c>
      <c r="AN121" s="59">
        <f>AN119+AN120</f>
        <v>0</v>
      </c>
      <c r="AO121" s="59">
        <f>AO119+AO120</f>
        <v>0</v>
      </c>
      <c r="AP121" s="59">
        <f>AP119+AP120</f>
        <v>0</v>
      </c>
      <c r="AQ121" s="59">
        <f>AQ119+AQ120</f>
        <v>0</v>
      </c>
      <c r="AR121" s="60">
        <f t="shared" si="46"/>
        <v>0</v>
      </c>
      <c r="AS121" s="59">
        <f>AS119+AS120</f>
        <v>0</v>
      </c>
      <c r="AT121" s="59">
        <f>AT119+AT120</f>
        <v>0</v>
      </c>
      <c r="AU121" s="59">
        <f>AU119+AU120</f>
        <v>0</v>
      </c>
      <c r="AV121" s="59">
        <f>AV119+AV120</f>
        <v>0</v>
      </c>
      <c r="AW121" s="60">
        <f t="shared" si="47"/>
        <v>0</v>
      </c>
      <c r="AX121" s="59">
        <f>AX119+AX120</f>
        <v>0</v>
      </c>
      <c r="AY121" s="59">
        <f>AY119+AY120</f>
        <v>0</v>
      </c>
      <c r="AZ121" s="59">
        <f>AZ119+AZ120</f>
        <v>0</v>
      </c>
      <c r="BA121" s="59">
        <f>BA119+BA120</f>
        <v>0</v>
      </c>
      <c r="BB121" s="60">
        <f t="shared" si="48"/>
        <v>0</v>
      </c>
      <c r="BC121" s="59">
        <f>BC119+BC120</f>
        <v>0</v>
      </c>
      <c r="BD121" s="59">
        <f>BD119+BD120</f>
        <v>0</v>
      </c>
      <c r="BE121" s="59">
        <f>BE119+BE120</f>
        <v>0</v>
      </c>
      <c r="BF121" s="59">
        <f>BF119+BF120</f>
        <v>0</v>
      </c>
      <c r="BG121" s="60">
        <f t="shared" si="49"/>
        <v>0</v>
      </c>
    </row>
    <row r="122" spans="3:61" x14ac:dyDescent="0.25">
      <c r="C122" s="83" t="s">
        <v>651</v>
      </c>
      <c r="D122" s="84" t="s">
        <v>826</v>
      </c>
      <c r="E122" s="87">
        <f>IF(E$14=1,E123+E124,-E121*Inputs!E$294)</f>
        <v>0</v>
      </c>
      <c r="F122" s="87">
        <f>IF(F$14=1,F123+F124,-F121*Inputs!F$294)</f>
        <v>0</v>
      </c>
      <c r="G122" s="87">
        <f>IF(G$14=1,G123+G124,-G121*Inputs!G$294)</f>
        <v>0</v>
      </c>
      <c r="H122" s="87">
        <f>IF(H$14=1,H123+H124,-H121*Inputs!H$294)</f>
        <v>0</v>
      </c>
      <c r="I122" s="60">
        <f t="shared" si="39"/>
        <v>0</v>
      </c>
      <c r="J122" s="87">
        <f>IF(J$14=1,J123+J124,-J121*Inputs!J$294)</f>
        <v>0</v>
      </c>
      <c r="K122" s="87">
        <f>IF(K$14=1,K123+K124,-K121*Inputs!K$294)</f>
        <v>0</v>
      </c>
      <c r="L122" s="87">
        <f>IF(L$14=1,L123+L124,-L121*Inputs!L$294)</f>
        <v>0</v>
      </c>
      <c r="M122" s="87">
        <f>IF(M$14=1,M123+M124,-M121*Inputs!M$294)</f>
        <v>0</v>
      </c>
      <c r="N122" s="60">
        <f t="shared" si="40"/>
        <v>0</v>
      </c>
      <c r="O122" s="87">
        <f>IF(O$14=1,O123+O124,-O121*Inputs!O$294)</f>
        <v>0</v>
      </c>
      <c r="P122" s="87">
        <f>IF(P$14=1,P123+P124,-P121*Inputs!P$294)</f>
        <v>0</v>
      </c>
      <c r="Q122" s="87">
        <f>IF(Q$14=1,Q123+Q124,-Q121*Inputs!Q$294)</f>
        <v>0</v>
      </c>
      <c r="R122" s="87">
        <f>IF(R$14=1,R123+R124,-R121*Inputs!R$294)</f>
        <v>0</v>
      </c>
      <c r="S122" s="60">
        <f t="shared" si="41"/>
        <v>0</v>
      </c>
      <c r="T122" s="87">
        <f>IF(T$14=1,T123+T124,-T121*Inputs!T$294)</f>
        <v>0</v>
      </c>
      <c r="U122" s="87">
        <f>IF(U$14=1,U123+U124,-U121*Inputs!U$294)</f>
        <v>0</v>
      </c>
      <c r="V122" s="87">
        <f>IF(V$14=1,V123+V124,-V121*Inputs!V$294)</f>
        <v>0</v>
      </c>
      <c r="W122" s="87">
        <f>IF(W$14=1,W123+W124,-W121*Inputs!W$294)</f>
        <v>0</v>
      </c>
      <c r="X122" s="60">
        <f t="shared" si="42"/>
        <v>0</v>
      </c>
      <c r="Y122" s="87">
        <f>IF(Y$14=1,Y123+Y124,-Y121*Inputs!Y$294)</f>
        <v>0</v>
      </c>
      <c r="Z122" s="87">
        <f>IF(Z$14=1,Z123+Z124,-Z121*Inputs!Z$294)</f>
        <v>0</v>
      </c>
      <c r="AA122" s="87">
        <f>IF(AA$14=1,AA123+AA124,-AA121*Inputs!AA$294)</f>
        <v>0</v>
      </c>
      <c r="AB122" s="87">
        <f>IF(AB$14=1,AB123+AB124,-AB121*Inputs!AB$294)</f>
        <v>0</v>
      </c>
      <c r="AC122" s="60">
        <f t="shared" si="43"/>
        <v>0</v>
      </c>
      <c r="AD122" s="87">
        <f>IF(AD$14=1,AD123+AD124,-AD121*Inputs!AD$294)</f>
        <v>0</v>
      </c>
      <c r="AE122" s="87">
        <f>IF(AE$14=1,AE123+AE124,-AE121*Inputs!AE$294)</f>
        <v>0</v>
      </c>
      <c r="AF122" s="87">
        <f>IF(AF$14=1,AF123+AF124,-AF121*Inputs!AF$294)</f>
        <v>0</v>
      </c>
      <c r="AG122" s="87">
        <f>IF(AG$14=1,AG123+AG124,-AG121*Inputs!AG$294)</f>
        <v>0</v>
      </c>
      <c r="AH122" s="60">
        <f t="shared" si="44"/>
        <v>0</v>
      </c>
      <c r="AI122" s="87">
        <f>IF(AI$14=1,AI123+AI124,-AI121*Inputs!AI$294)</f>
        <v>0</v>
      </c>
      <c r="AJ122" s="87">
        <f>IF(AJ$14=1,AJ123+AJ124,-AJ121*Inputs!AJ$294)</f>
        <v>0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 t="shared" si="45"/>
        <v>0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 t="shared" si="46"/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 t="shared" si="47"/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 t="shared" si="48"/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 t="shared" si="49"/>
        <v>0</v>
      </c>
      <c r="BI122" s="14" t="s">
        <v>827</v>
      </c>
    </row>
    <row r="123" spans="3:61" hidden="1" outlineLevel="1" x14ac:dyDescent="0.25">
      <c r="C123" s="61" t="s">
        <v>189</v>
      </c>
      <c r="D123" s="62" t="s">
        <v>653</v>
      </c>
      <c r="E123" s="57">
        <f>IF(E$14=1,'Inputs (2)'!E102,0)</f>
        <v>0</v>
      </c>
      <c r="F123" s="57">
        <f>IF(F$14=1,'Inputs (2)'!F102,0)</f>
        <v>0</v>
      </c>
      <c r="G123" s="57">
        <f>IF(G$14=1,'Inputs (2)'!G102,0)</f>
        <v>0</v>
      </c>
      <c r="H123" s="57">
        <f>IF(H$14=1,'Inputs (2)'!H102,0)</f>
        <v>0</v>
      </c>
      <c r="I123" s="77">
        <f t="shared" si="39"/>
        <v>0</v>
      </c>
      <c r="J123" s="57">
        <f>IF(J$14=1,'Inputs (2)'!J102,0)</f>
        <v>0</v>
      </c>
      <c r="K123" s="57">
        <f>IF(K$14=1,'Inputs (2)'!K102,0)</f>
        <v>0</v>
      </c>
      <c r="L123" s="57">
        <f>IF(L$14=1,'Inputs (2)'!L102,0)</f>
        <v>0</v>
      </c>
      <c r="M123" s="57">
        <f>IF(M$14=1,'Inputs (2)'!M102,0)</f>
        <v>0</v>
      </c>
      <c r="N123" s="77">
        <f t="shared" si="40"/>
        <v>0</v>
      </c>
      <c r="O123" s="57">
        <f>IF(O$14=1,'Inputs (2)'!O102,0)</f>
        <v>0</v>
      </c>
      <c r="P123" s="57">
        <f>IF(P$14=1,'Inputs (2)'!P102,0)</f>
        <v>0</v>
      </c>
      <c r="Q123" s="57">
        <f>IF(Q$14=1,'Inputs (2)'!Q102,0)</f>
        <v>0</v>
      </c>
      <c r="R123" s="57">
        <f>IF(R$14=1,'Inputs (2)'!R102,0)</f>
        <v>0</v>
      </c>
      <c r="S123" s="77">
        <f t="shared" si="41"/>
        <v>0</v>
      </c>
      <c r="T123" s="57">
        <f>IF(T$14=1,'Inputs (2)'!T102,0)</f>
        <v>0</v>
      </c>
      <c r="U123" s="57">
        <f>IF(U$14=1,'Inputs (2)'!U102,0)</f>
        <v>0</v>
      </c>
      <c r="V123" s="57">
        <f>IF(V$14=1,'Inputs (2)'!V102,0)</f>
        <v>0</v>
      </c>
      <c r="W123" s="57">
        <f>IF(W$14=1,'Inputs (2)'!W102,0)</f>
        <v>0</v>
      </c>
      <c r="X123" s="77">
        <f t="shared" si="42"/>
        <v>0</v>
      </c>
      <c r="Y123" s="57">
        <f>IF(Y$14=1,'Inputs (2)'!Y102,0)</f>
        <v>0</v>
      </c>
      <c r="Z123" s="57">
        <f>IF(Z$14=1,'Inputs (2)'!Z102,0)</f>
        <v>0</v>
      </c>
      <c r="AA123" s="57">
        <f>IF(AA$14=1,'Inputs (2)'!AA102,0)</f>
        <v>0</v>
      </c>
      <c r="AB123" s="57">
        <f>IF(AB$14=1,'Inputs (2)'!AB102,0)</f>
        <v>0</v>
      </c>
      <c r="AC123" s="77">
        <f t="shared" si="43"/>
        <v>0</v>
      </c>
      <c r="AD123" s="57">
        <f>IF(AD$14=1,'Inputs (2)'!AD102,0)</f>
        <v>0</v>
      </c>
      <c r="AE123" s="57">
        <f>IF(AE$14=1,'Inputs (2)'!AE102,0)</f>
        <v>0</v>
      </c>
      <c r="AF123" s="57">
        <f>IF(AF$14=1,'Inputs (2)'!AF102,0)</f>
        <v>0</v>
      </c>
      <c r="AG123" s="57">
        <f>IF(AG$14=1,'Inputs (2)'!AG102,0)</f>
        <v>0</v>
      </c>
      <c r="AH123" s="77">
        <f t="shared" si="44"/>
        <v>0</v>
      </c>
      <c r="AI123" s="57">
        <f>IF(AI$14=1,'Inputs (2)'!AI102,0)</f>
        <v>0</v>
      </c>
      <c r="AJ123" s="57">
        <f>IF(AJ$14=1,'Inputs (2)'!AJ102,0)</f>
        <v>0</v>
      </c>
      <c r="AK123" s="57">
        <f>IF(AK$14=1,'Inputs (2)'!AK102,0)</f>
        <v>0</v>
      </c>
      <c r="AL123" s="57">
        <f>IF(AL$14=1,'Inputs (2)'!AL102,0)</f>
        <v>0</v>
      </c>
      <c r="AM123" s="77">
        <f t="shared" si="45"/>
        <v>0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 t="shared" si="46"/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 t="shared" si="47"/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 t="shared" si="48"/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 t="shared" si="49"/>
        <v>0</v>
      </c>
    </row>
    <row r="124" spans="3:61" hidden="1" outlineLevel="1" x14ac:dyDescent="0.25">
      <c r="C124" s="61" t="s">
        <v>191</v>
      </c>
      <c r="D124" s="62" t="s">
        <v>654</v>
      </c>
      <c r="E124" s="57">
        <f>IF(E$14=1,'Inputs (2)'!E103,0)</f>
        <v>0</v>
      </c>
      <c r="F124" s="57">
        <f>IF(F$14=1,'Inputs (2)'!F103,0)</f>
        <v>0</v>
      </c>
      <c r="G124" s="57">
        <f>IF(G$14=1,'Inputs (2)'!G103,0)</f>
        <v>0</v>
      </c>
      <c r="H124" s="57">
        <f>IF(H$14=1,'Inputs (2)'!H103,0)</f>
        <v>0</v>
      </c>
      <c r="I124" s="77">
        <f t="shared" si="39"/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 t="shared" si="40"/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 t="shared" si="41"/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 t="shared" si="42"/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 t="shared" si="43"/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 t="shared" si="44"/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 t="shared" si="45"/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 t="shared" si="46"/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 t="shared" si="47"/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 t="shared" si="48"/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 t="shared" si="49"/>
        <v>0</v>
      </c>
    </row>
    <row r="125" spans="3:61" collapsed="1" x14ac:dyDescent="0.25">
      <c r="C125" s="53" t="s">
        <v>655</v>
      </c>
      <c r="D125" s="54" t="s">
        <v>656</v>
      </c>
      <c r="E125" s="59">
        <f>E121+E122</f>
        <v>0</v>
      </c>
      <c r="F125" s="59">
        <f>F121+F122</f>
        <v>0</v>
      </c>
      <c r="G125" s="59">
        <f>G121+G122</f>
        <v>0</v>
      </c>
      <c r="H125" s="59">
        <f>H121+H122</f>
        <v>0</v>
      </c>
      <c r="I125" s="60">
        <f t="shared" si="39"/>
        <v>0</v>
      </c>
      <c r="J125" s="59">
        <f>J121+J122</f>
        <v>0</v>
      </c>
      <c r="K125" s="59">
        <f>K121+K122</f>
        <v>0</v>
      </c>
      <c r="L125" s="59">
        <f>L121+L122</f>
        <v>0</v>
      </c>
      <c r="M125" s="59">
        <f>M121+M122</f>
        <v>0</v>
      </c>
      <c r="N125" s="60">
        <f t="shared" si="40"/>
        <v>0</v>
      </c>
      <c r="O125" s="59">
        <f>O121+O122</f>
        <v>0</v>
      </c>
      <c r="P125" s="59">
        <f>P121+P122</f>
        <v>0</v>
      </c>
      <c r="Q125" s="59">
        <f>Q121+Q122</f>
        <v>0</v>
      </c>
      <c r="R125" s="59">
        <f>R121+R122</f>
        <v>0</v>
      </c>
      <c r="S125" s="60">
        <f t="shared" si="41"/>
        <v>0</v>
      </c>
      <c r="T125" s="59">
        <f>T121+T122</f>
        <v>0</v>
      </c>
      <c r="U125" s="59">
        <f>U121+U122</f>
        <v>0</v>
      </c>
      <c r="V125" s="59">
        <f>V121+V122</f>
        <v>0</v>
      </c>
      <c r="W125" s="59">
        <f>W121+W122</f>
        <v>0</v>
      </c>
      <c r="X125" s="60">
        <f t="shared" si="42"/>
        <v>0</v>
      </c>
      <c r="Y125" s="59">
        <f>Y121+Y122</f>
        <v>0</v>
      </c>
      <c r="Z125" s="59">
        <f>Z121+Z122</f>
        <v>0</v>
      </c>
      <c r="AA125" s="59">
        <f>AA121+AA122</f>
        <v>0</v>
      </c>
      <c r="AB125" s="59">
        <f>AB121+AB122</f>
        <v>0</v>
      </c>
      <c r="AC125" s="60">
        <f t="shared" si="43"/>
        <v>0</v>
      </c>
      <c r="AD125" s="59">
        <f>AD121+AD122</f>
        <v>0</v>
      </c>
      <c r="AE125" s="59">
        <f>AE121+AE122</f>
        <v>0</v>
      </c>
      <c r="AF125" s="59">
        <f>AF121+AF122</f>
        <v>0</v>
      </c>
      <c r="AG125" s="59">
        <f>AG121+AG122</f>
        <v>0</v>
      </c>
      <c r="AH125" s="60">
        <f t="shared" si="44"/>
        <v>0</v>
      </c>
      <c r="AI125" s="59">
        <f>AI121+AI122</f>
        <v>0</v>
      </c>
      <c r="AJ125" s="59">
        <f>AJ121+AJ122</f>
        <v>0</v>
      </c>
      <c r="AK125" s="59">
        <f>AK121+AK122</f>
        <v>0</v>
      </c>
      <c r="AL125" s="59">
        <f>AL121+AL122</f>
        <v>0</v>
      </c>
      <c r="AM125" s="60">
        <f t="shared" si="45"/>
        <v>0</v>
      </c>
      <c r="AN125" s="59">
        <f>AN121+AN122</f>
        <v>0</v>
      </c>
      <c r="AO125" s="59">
        <f>AO121+AO122</f>
        <v>0</v>
      </c>
      <c r="AP125" s="59">
        <f>AP121+AP122</f>
        <v>0</v>
      </c>
      <c r="AQ125" s="59">
        <f>AQ121+AQ122</f>
        <v>0</v>
      </c>
      <c r="AR125" s="60">
        <f t="shared" si="46"/>
        <v>0</v>
      </c>
      <c r="AS125" s="59">
        <f>AS121+AS122</f>
        <v>0</v>
      </c>
      <c r="AT125" s="59">
        <f>AT121+AT122</f>
        <v>0</v>
      </c>
      <c r="AU125" s="59">
        <f>AU121+AU122</f>
        <v>0</v>
      </c>
      <c r="AV125" s="59">
        <f>AV121+AV122</f>
        <v>0</v>
      </c>
      <c r="AW125" s="60">
        <f t="shared" si="47"/>
        <v>0</v>
      </c>
      <c r="AX125" s="59">
        <f>AX121+AX122</f>
        <v>0</v>
      </c>
      <c r="AY125" s="59">
        <f>AY121+AY122</f>
        <v>0</v>
      </c>
      <c r="AZ125" s="59">
        <f>AZ121+AZ122</f>
        <v>0</v>
      </c>
      <c r="BA125" s="59">
        <f>BA121+BA122</f>
        <v>0</v>
      </c>
      <c r="BB125" s="60">
        <f t="shared" si="48"/>
        <v>0</v>
      </c>
      <c r="BC125" s="59">
        <f>BC121+BC122</f>
        <v>0</v>
      </c>
      <c r="BD125" s="59">
        <f>BD121+BD122</f>
        <v>0</v>
      </c>
      <c r="BE125" s="59">
        <f>BE121+BE122</f>
        <v>0</v>
      </c>
      <c r="BF125" s="59">
        <f>BF121+BF122</f>
        <v>0</v>
      </c>
      <c r="BG125" s="60">
        <f t="shared" si="49"/>
        <v>0</v>
      </c>
    </row>
    <row r="126" spans="3:61" x14ac:dyDescent="0.25">
      <c r="C126" s="80" t="s">
        <v>193</v>
      </c>
      <c r="D126" s="81" t="s">
        <v>657</v>
      </c>
      <c r="E126" s="82">
        <f>IF(E$14=1,'Inputs (2)'!E105,-E125*Inputs!E$295)</f>
        <v>0</v>
      </c>
      <c r="F126" s="82">
        <f>IF(F$14=1,'Inputs (2)'!F105,-F125*Inputs!F$295)</f>
        <v>0</v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 t="shared" si="39"/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0</v>
      </c>
      <c r="N126" s="77">
        <f t="shared" si="40"/>
        <v>0</v>
      </c>
      <c r="O126" s="82">
        <f>IF(O$14=1,'Inputs (2)'!O105,-O125*Inputs!O$295)</f>
        <v>0</v>
      </c>
      <c r="P126" s="82">
        <f>IF(P$14=1,'Inputs (2)'!P105,-P125*Inputs!P$295)</f>
        <v>0</v>
      </c>
      <c r="Q126" s="82">
        <f>IF(Q$14=1,'Inputs (2)'!Q105,-Q125*Inputs!Q$295)</f>
        <v>0</v>
      </c>
      <c r="R126" s="82">
        <f>IF(R$14=1,'Inputs (2)'!R105,-R125*Inputs!R$295)</f>
        <v>0</v>
      </c>
      <c r="S126" s="77">
        <f t="shared" si="41"/>
        <v>0</v>
      </c>
      <c r="T126" s="82">
        <f>IF(T$14=1,'Inputs (2)'!T105,-T125*Inputs!T$295)</f>
        <v>0</v>
      </c>
      <c r="U126" s="82">
        <f>IF(U$14=1,'Inputs (2)'!U105,-U125*Inputs!U$295)</f>
        <v>0</v>
      </c>
      <c r="V126" s="82">
        <f>IF(V$14=1,'Inputs (2)'!V105,-V125*Inputs!V$295)</f>
        <v>0</v>
      </c>
      <c r="W126" s="82">
        <f>IF(W$14=1,'Inputs (2)'!W105,-W125*Inputs!W$295)</f>
        <v>0</v>
      </c>
      <c r="X126" s="77">
        <f t="shared" si="42"/>
        <v>0</v>
      </c>
      <c r="Y126" s="82">
        <f>IF(Y$14=1,'Inputs (2)'!Y105,-Y125*Inputs!Y$295)</f>
        <v>0</v>
      </c>
      <c r="Z126" s="82">
        <f>IF(Z$14=1,'Inputs (2)'!Z105,-Z125*Inputs!Z$295)</f>
        <v>0</v>
      </c>
      <c r="AA126" s="82">
        <f>IF(AA$14=1,'Inputs (2)'!AA105,-AA125*Inputs!AA$295)</f>
        <v>0</v>
      </c>
      <c r="AB126" s="82">
        <f>IF(AB$14=1,'Inputs (2)'!AB105,-AB125*Inputs!AB$295)</f>
        <v>0</v>
      </c>
      <c r="AC126" s="77">
        <f t="shared" si="43"/>
        <v>0</v>
      </c>
      <c r="AD126" s="82">
        <f>IF(AD$14=1,'Inputs (2)'!AD105,-AD125*Inputs!AD$295)</f>
        <v>0</v>
      </c>
      <c r="AE126" s="82">
        <f>IF(AE$14=1,'Inputs (2)'!AE105,-AE125*Inputs!AE$295)</f>
        <v>0</v>
      </c>
      <c r="AF126" s="82">
        <f>IF(AF$14=1,'Inputs (2)'!AF105,-AF125*Inputs!AF$295)</f>
        <v>0</v>
      </c>
      <c r="AG126" s="82">
        <f>IF(AG$14=1,'Inputs (2)'!AG105,-AG125*Inputs!AG$295)</f>
        <v>0</v>
      </c>
      <c r="AH126" s="77">
        <f t="shared" si="44"/>
        <v>0</v>
      </c>
      <c r="AI126" s="82">
        <f>IF(AI$14=1,'Inputs (2)'!AI105,-AI125*Inputs!AI$295)</f>
        <v>0</v>
      </c>
      <c r="AJ126" s="82">
        <f>IF(AJ$14=1,'Inputs (2)'!AJ105,-AJ125*Inputs!AJ$295)</f>
        <v>0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 t="shared" si="45"/>
        <v>0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 t="shared" si="46"/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 t="shared" si="47"/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 t="shared" si="48"/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 t="shared" si="49"/>
        <v>0</v>
      </c>
    </row>
    <row r="127" spans="3:61" x14ac:dyDescent="0.25">
      <c r="C127" s="53" t="s">
        <v>658</v>
      </c>
      <c r="D127" s="54" t="s">
        <v>659</v>
      </c>
      <c r="E127" s="59">
        <f>E125+E126</f>
        <v>0</v>
      </c>
      <c r="F127" s="59">
        <f>F125+F126</f>
        <v>0</v>
      </c>
      <c r="G127" s="59">
        <f>G125+G126</f>
        <v>0</v>
      </c>
      <c r="H127" s="59">
        <f>H125+H126</f>
        <v>0</v>
      </c>
      <c r="I127" s="60">
        <f t="shared" si="39"/>
        <v>0</v>
      </c>
      <c r="J127" s="59">
        <f>J125+J126</f>
        <v>0</v>
      </c>
      <c r="K127" s="59">
        <f>K125+K126</f>
        <v>0</v>
      </c>
      <c r="L127" s="59">
        <f>L125+L126</f>
        <v>0</v>
      </c>
      <c r="M127" s="59">
        <f>M125+M126</f>
        <v>0</v>
      </c>
      <c r="N127" s="60">
        <f t="shared" si="40"/>
        <v>0</v>
      </c>
      <c r="O127" s="59">
        <f>O125+O126</f>
        <v>0</v>
      </c>
      <c r="P127" s="59">
        <f>P125+P126</f>
        <v>0</v>
      </c>
      <c r="Q127" s="59">
        <f>Q125+Q126</f>
        <v>0</v>
      </c>
      <c r="R127" s="59">
        <f>R125+R126</f>
        <v>0</v>
      </c>
      <c r="S127" s="60">
        <f t="shared" si="41"/>
        <v>0</v>
      </c>
      <c r="T127" s="59">
        <f>T125+T126</f>
        <v>0</v>
      </c>
      <c r="U127" s="59">
        <f>U125+U126</f>
        <v>0</v>
      </c>
      <c r="V127" s="59">
        <f>V125+V126</f>
        <v>0</v>
      </c>
      <c r="W127" s="59">
        <f>W125+W126</f>
        <v>0</v>
      </c>
      <c r="X127" s="60">
        <f t="shared" si="42"/>
        <v>0</v>
      </c>
      <c r="Y127" s="59">
        <f>Y125+Y126</f>
        <v>0</v>
      </c>
      <c r="Z127" s="59">
        <f>Z125+Z126</f>
        <v>0</v>
      </c>
      <c r="AA127" s="59">
        <f>AA125+AA126</f>
        <v>0</v>
      </c>
      <c r="AB127" s="59">
        <f>AB125+AB126</f>
        <v>0</v>
      </c>
      <c r="AC127" s="60">
        <f t="shared" si="43"/>
        <v>0</v>
      </c>
      <c r="AD127" s="59">
        <f>AD125+AD126</f>
        <v>0</v>
      </c>
      <c r="AE127" s="59">
        <f>AE125+AE126</f>
        <v>0</v>
      </c>
      <c r="AF127" s="59">
        <f>AF125+AF126</f>
        <v>0</v>
      </c>
      <c r="AG127" s="59">
        <f>AG125+AG126</f>
        <v>0</v>
      </c>
      <c r="AH127" s="60">
        <f t="shared" si="44"/>
        <v>0</v>
      </c>
      <c r="AI127" s="59">
        <f>AI125+AI126</f>
        <v>0</v>
      </c>
      <c r="AJ127" s="59">
        <f>AJ125+AJ126</f>
        <v>0</v>
      </c>
      <c r="AK127" s="59">
        <f>AK125+AK126</f>
        <v>0</v>
      </c>
      <c r="AL127" s="59">
        <f>AL125+AL126</f>
        <v>0</v>
      </c>
      <c r="AM127" s="60">
        <f t="shared" si="45"/>
        <v>0</v>
      </c>
      <c r="AN127" s="59">
        <f>AN125+AN126</f>
        <v>0</v>
      </c>
      <c r="AO127" s="59">
        <f>AO125+AO126</f>
        <v>0</v>
      </c>
      <c r="AP127" s="59">
        <f>AP125+AP126</f>
        <v>0</v>
      </c>
      <c r="AQ127" s="59">
        <f>AQ125+AQ126</f>
        <v>0</v>
      </c>
      <c r="AR127" s="60">
        <f t="shared" si="46"/>
        <v>0</v>
      </c>
      <c r="AS127" s="59">
        <f>AS125+AS126</f>
        <v>0</v>
      </c>
      <c r="AT127" s="59">
        <f>AT125+AT126</f>
        <v>0</v>
      </c>
      <c r="AU127" s="59">
        <f>AU125+AU126</f>
        <v>0</v>
      </c>
      <c r="AV127" s="59">
        <f>AV125+AV126</f>
        <v>0</v>
      </c>
      <c r="AW127" s="60">
        <f t="shared" si="47"/>
        <v>0</v>
      </c>
      <c r="AX127" s="59">
        <f>AX125+AX126</f>
        <v>0</v>
      </c>
      <c r="AY127" s="59">
        <f>AY125+AY126</f>
        <v>0</v>
      </c>
      <c r="AZ127" s="59">
        <f>AZ125+AZ126</f>
        <v>0</v>
      </c>
      <c r="BA127" s="59">
        <f>BA125+BA126</f>
        <v>0</v>
      </c>
      <c r="BB127" s="60">
        <f t="shared" si="48"/>
        <v>0</v>
      </c>
      <c r="BC127" s="59">
        <f>BC125+BC126</f>
        <v>0</v>
      </c>
      <c r="BD127" s="59">
        <f>BD125+BD126</f>
        <v>0</v>
      </c>
      <c r="BE127" s="59">
        <f>BE125+BE126</f>
        <v>0</v>
      </c>
      <c r="BF127" s="59">
        <f>BF125+BF126</f>
        <v>0</v>
      </c>
      <c r="BG127" s="60">
        <f t="shared" si="49"/>
        <v>0</v>
      </c>
    </row>
    <row r="129" spans="2:61" x14ac:dyDescent="0.25">
      <c r="B129" s="7"/>
      <c r="C129" s="7" t="str">
        <f>"BASES DE CÁLCULO E MARGEM FINANCEIRA ("&amp;Inputs!$E$202&amp;")"</f>
        <v>BASES DE CÁLCULO E MARGEM FINANCEIRA (R$ milhões)</v>
      </c>
      <c r="D129" s="7" t="s">
        <v>828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2:61" x14ac:dyDescent="0.25">
      <c r="C130" s="11" t="s">
        <v>829</v>
      </c>
      <c r="D130" s="12" t="s">
        <v>682</v>
      </c>
      <c r="E130" s="74">
        <f>E19+E24+E29+E30</f>
        <v>0</v>
      </c>
      <c r="F130" s="74">
        <f>F19+F24+F29+F30</f>
        <v>0</v>
      </c>
      <c r="G130" s="74">
        <f>G19+G24+G29+G30</f>
        <v>0</v>
      </c>
      <c r="H130" s="74">
        <f>H19+H24+H29+H30</f>
        <v>0</v>
      </c>
      <c r="I130" s="77">
        <f>H130</f>
        <v>0</v>
      </c>
      <c r="J130" s="74">
        <f>J19+J24+J29+J30</f>
        <v>0</v>
      </c>
      <c r="K130" s="74">
        <f>K19+K24+K29+K30</f>
        <v>0</v>
      </c>
      <c r="L130" s="74">
        <f>L19+L24+L29+L30</f>
        <v>0</v>
      </c>
      <c r="M130" s="74">
        <f>M19+M24+M29+M30</f>
        <v>0</v>
      </c>
      <c r="N130" s="77">
        <f>M130</f>
        <v>0</v>
      </c>
      <c r="O130" s="74">
        <f>O19+O24+O29+O30</f>
        <v>0</v>
      </c>
      <c r="P130" s="74">
        <f>P19+P24+P29+P30</f>
        <v>0</v>
      </c>
      <c r="Q130" s="74">
        <f>Q19+Q24+Q29+Q30</f>
        <v>0</v>
      </c>
      <c r="R130" s="74">
        <f>R19+R24+R29+R30</f>
        <v>0</v>
      </c>
      <c r="S130" s="77">
        <f>R130</f>
        <v>0</v>
      </c>
      <c r="T130" s="74">
        <f>T19+T24+T29+T30</f>
        <v>0</v>
      </c>
      <c r="U130" s="74">
        <f>U19+U24+U29+U30</f>
        <v>0</v>
      </c>
      <c r="V130" s="74">
        <f>V19+V24+V29+V30</f>
        <v>0</v>
      </c>
      <c r="W130" s="74">
        <f>W19+W24+W29+W30</f>
        <v>0</v>
      </c>
      <c r="X130" s="77">
        <f>W130</f>
        <v>0</v>
      </c>
      <c r="Y130" s="74">
        <f>Y19+Y24+Y29+Y30</f>
        <v>0</v>
      </c>
      <c r="Z130" s="74">
        <f>Z19+Z24+Z29+Z30</f>
        <v>0</v>
      </c>
      <c r="AA130" s="74">
        <f>AA19+AA24+AA29+AA30</f>
        <v>0</v>
      </c>
      <c r="AB130" s="74">
        <f>AB19+AB24+AB29+AB30</f>
        <v>0</v>
      </c>
      <c r="AC130" s="77">
        <f>AB130</f>
        <v>0</v>
      </c>
      <c r="AD130" s="74">
        <f>AD19+AD24+AD29+AD30</f>
        <v>0</v>
      </c>
      <c r="AE130" s="74">
        <f>AE19+AE24+AE29+AE30</f>
        <v>0</v>
      </c>
      <c r="AF130" s="74">
        <f>AF19+AF24+AF29+AF30</f>
        <v>0</v>
      </c>
      <c r="AG130" s="74">
        <f>AG19+AG24+AG29+AG30</f>
        <v>0</v>
      </c>
      <c r="AH130" s="77">
        <f>AG130</f>
        <v>0</v>
      </c>
      <c r="AI130" s="74">
        <f>AI19+AI24+AI29+AI30</f>
        <v>0</v>
      </c>
      <c r="AJ130" s="74">
        <f>AJ19+AJ24+AJ29+AJ30</f>
        <v>0</v>
      </c>
      <c r="AK130" s="74">
        <f>AK19+AK24+AK29+AK30</f>
        <v>0</v>
      </c>
      <c r="AL130" s="74">
        <f>AL19+AL24+AL29+AL30</f>
        <v>0</v>
      </c>
      <c r="AM130" s="77">
        <f>AL130</f>
        <v>0</v>
      </c>
      <c r="AN130" s="74">
        <f>AN19+AN24+AN29+AN30</f>
        <v>0</v>
      </c>
      <c r="AO130" s="74">
        <f>AO19+AO24+AO29+AO30</f>
        <v>0</v>
      </c>
      <c r="AP130" s="74">
        <f>AP19+AP24+AP29+AP30</f>
        <v>0</v>
      </c>
      <c r="AQ130" s="74">
        <f>AQ19+AQ24+AQ29+AQ30</f>
        <v>0</v>
      </c>
      <c r="AR130" s="77">
        <f>AQ130</f>
        <v>0</v>
      </c>
      <c r="AS130" s="74">
        <f>AS19+AS24+AS29+AS30</f>
        <v>0</v>
      </c>
      <c r="AT130" s="74">
        <f>AT19+AT24+AT29+AT30</f>
        <v>0</v>
      </c>
      <c r="AU130" s="74">
        <f>AU19+AU24+AU29+AU30</f>
        <v>0</v>
      </c>
      <c r="AV130" s="74">
        <f>AV19+AV24+AV29+AV30</f>
        <v>0</v>
      </c>
      <c r="AW130" s="77">
        <f>AV130</f>
        <v>0</v>
      </c>
      <c r="AX130" s="74">
        <f>AX19+AX24+AX29+AX30</f>
        <v>0</v>
      </c>
      <c r="AY130" s="74">
        <f>AY19+AY24+AY29+AY30</f>
        <v>0</v>
      </c>
      <c r="AZ130" s="74">
        <f>AZ19+AZ24+AZ29+AZ30</f>
        <v>0</v>
      </c>
      <c r="BA130" s="74">
        <f>BA19+BA24+BA29+BA30</f>
        <v>0</v>
      </c>
      <c r="BB130" s="77">
        <f>BA130</f>
        <v>0</v>
      </c>
      <c r="BC130" s="74">
        <f>BC19+BC24+BC29+BC30</f>
        <v>0</v>
      </c>
      <c r="BD130" s="74">
        <f>BD19+BD24+BD29+BD30</f>
        <v>0</v>
      </c>
      <c r="BE130" s="74">
        <f>BE19+BE24+BE29+BE30</f>
        <v>0</v>
      </c>
      <c r="BF130" s="74">
        <f>BF19+BF24+BF29+BF30</f>
        <v>0</v>
      </c>
      <c r="BG130" s="77">
        <f>BF130</f>
        <v>0</v>
      </c>
    </row>
    <row r="131" spans="2:61" x14ac:dyDescent="0.25">
      <c r="C131" s="11" t="s">
        <v>830</v>
      </c>
      <c r="D131" s="12" t="s">
        <v>831</v>
      </c>
      <c r="E131" s="74">
        <f>E130</f>
        <v>0</v>
      </c>
      <c r="F131" s="74">
        <f>AVERAGE(E130,F130)</f>
        <v>0</v>
      </c>
      <c r="G131" s="74">
        <f>AVERAGE(F130,G130)</f>
        <v>0</v>
      </c>
      <c r="H131" s="74">
        <f>AVERAGE(G130,H130)</f>
        <v>0</v>
      </c>
      <c r="I131" s="77">
        <f>AVERAGE(E131:H131)</f>
        <v>0</v>
      </c>
      <c r="J131" s="74">
        <f>AVERAGE(H130,J130)</f>
        <v>0</v>
      </c>
      <c r="K131" s="74">
        <f>AVERAGE(J130,K130)</f>
        <v>0</v>
      </c>
      <c r="L131" s="74">
        <f>AVERAGE(K130,L130)</f>
        <v>0</v>
      </c>
      <c r="M131" s="74">
        <f>AVERAGE(L130,M130)</f>
        <v>0</v>
      </c>
      <c r="N131" s="77">
        <f>AVERAGE(J131:M131)</f>
        <v>0</v>
      </c>
      <c r="O131" s="74">
        <f>AVERAGE(M130,O130)</f>
        <v>0</v>
      </c>
      <c r="P131" s="74">
        <f>AVERAGE(O130,P130)</f>
        <v>0</v>
      </c>
      <c r="Q131" s="74">
        <f>AVERAGE(P130,Q130)</f>
        <v>0</v>
      </c>
      <c r="R131" s="74">
        <f>AVERAGE(Q130,R130)</f>
        <v>0</v>
      </c>
      <c r="S131" s="77">
        <f>AVERAGE(O131:R131)</f>
        <v>0</v>
      </c>
      <c r="T131" s="74">
        <f>AVERAGE(R130,T130)</f>
        <v>0</v>
      </c>
      <c r="U131" s="74">
        <f>AVERAGE(T130,U130)</f>
        <v>0</v>
      </c>
      <c r="V131" s="74">
        <f>AVERAGE(U130,V130)</f>
        <v>0</v>
      </c>
      <c r="W131" s="74">
        <f>AVERAGE(V130,W130)</f>
        <v>0</v>
      </c>
      <c r="X131" s="77">
        <f>AVERAGE(T131:W131)</f>
        <v>0</v>
      </c>
      <c r="Y131" s="74">
        <f>AVERAGE(W130,Y130)</f>
        <v>0</v>
      </c>
      <c r="Z131" s="74">
        <f>AVERAGE(Y130,Z130)</f>
        <v>0</v>
      </c>
      <c r="AA131" s="74">
        <f>AVERAGE(Z130,AA130)</f>
        <v>0</v>
      </c>
      <c r="AB131" s="74">
        <f>AVERAGE(AA130,AB130)</f>
        <v>0</v>
      </c>
      <c r="AC131" s="77">
        <f>AVERAGE(Y131:AB131)</f>
        <v>0</v>
      </c>
      <c r="AD131" s="74">
        <f>AVERAGE(AB130,AD130)</f>
        <v>0</v>
      </c>
      <c r="AE131" s="74">
        <f>AVERAGE(AD130,AE130)</f>
        <v>0</v>
      </c>
      <c r="AF131" s="74">
        <f>AVERAGE(AE130,AF130)</f>
        <v>0</v>
      </c>
      <c r="AG131" s="74">
        <f>AVERAGE(AF130,AG130)</f>
        <v>0</v>
      </c>
      <c r="AH131" s="77">
        <f>AVERAGE(AD131:AG131)</f>
        <v>0</v>
      </c>
      <c r="AI131" s="74">
        <f>AVERAGE(AG130,AI130)</f>
        <v>0</v>
      </c>
      <c r="AJ131" s="74">
        <f>AVERAGE(AI130,AJ130)</f>
        <v>0</v>
      </c>
      <c r="AK131" s="74">
        <f>AVERAGE(AJ130,AK130)</f>
        <v>0</v>
      </c>
      <c r="AL131" s="74">
        <f>AVERAGE(AK130,AL130)</f>
        <v>0</v>
      </c>
      <c r="AM131" s="77">
        <f>AVERAGE(AI131:AL131)</f>
        <v>0</v>
      </c>
      <c r="AN131" s="74">
        <f>AVERAGE(AL130,AN130)</f>
        <v>0</v>
      </c>
      <c r="AO131" s="74">
        <f>AVERAGE(AN130,AO130)</f>
        <v>0</v>
      </c>
      <c r="AP131" s="74">
        <f>AVERAGE(AO130,AP130)</f>
        <v>0</v>
      </c>
      <c r="AQ131" s="74">
        <f>AVERAGE(AP130,AQ130)</f>
        <v>0</v>
      </c>
      <c r="AR131" s="77">
        <f>AVERAGE(AN131:AQ131)</f>
        <v>0</v>
      </c>
      <c r="AS131" s="74">
        <f>AVERAGE(AQ130,AS130)</f>
        <v>0</v>
      </c>
      <c r="AT131" s="74">
        <f>AVERAGE(AS130,AT130)</f>
        <v>0</v>
      </c>
      <c r="AU131" s="74">
        <f>AVERAGE(AT130,AU130)</f>
        <v>0</v>
      </c>
      <c r="AV131" s="74">
        <f>AVERAGE(AU130,AV130)</f>
        <v>0</v>
      </c>
      <c r="AW131" s="77">
        <f>AVERAGE(AS131:AV131)</f>
        <v>0</v>
      </c>
      <c r="AX131" s="74">
        <f>AVERAGE(AV130,AX130)</f>
        <v>0</v>
      </c>
      <c r="AY131" s="74">
        <f>AVERAGE(AX130,AY130)</f>
        <v>0</v>
      </c>
      <c r="AZ131" s="74">
        <f>AVERAGE(AY130,AZ130)</f>
        <v>0</v>
      </c>
      <c r="BA131" s="74">
        <f>AVERAGE(AZ130,BA130)</f>
        <v>0</v>
      </c>
      <c r="BB131" s="77">
        <f>AVERAGE(AX131:BA131)</f>
        <v>0</v>
      </c>
      <c r="BC131" s="74">
        <f>AVERAGE(BA130,BC130)</f>
        <v>0</v>
      </c>
      <c r="BD131" s="74">
        <f>AVERAGE(BC130,BD130)</f>
        <v>0</v>
      </c>
      <c r="BE131" s="74">
        <f>AVERAGE(BD130,BE130)</f>
        <v>0</v>
      </c>
      <c r="BF131" s="74">
        <f>AVERAGE(BE130,BF130)</f>
        <v>0</v>
      </c>
      <c r="BG131" s="77">
        <f>AVERAGE(BC131:BF131)</f>
        <v>0</v>
      </c>
    </row>
    <row r="132" spans="2:61" x14ac:dyDescent="0.25">
      <c r="C132" s="11" t="s">
        <v>832</v>
      </c>
      <c r="D132" s="12" t="s">
        <v>683</v>
      </c>
      <c r="E132" s="74">
        <f>E44+E50+E54+E59</f>
        <v>0</v>
      </c>
      <c r="F132" s="74">
        <f>F44+F50+F54+F59</f>
        <v>0</v>
      </c>
      <c r="G132" s="74">
        <f>G44+G50+G54+G59</f>
        <v>0</v>
      </c>
      <c r="H132" s="74">
        <f>H44+H50+H54+H59</f>
        <v>0</v>
      </c>
      <c r="I132" s="77">
        <f>H132</f>
        <v>0</v>
      </c>
      <c r="J132" s="74">
        <f>J44+J50+J54+J59</f>
        <v>0</v>
      </c>
      <c r="K132" s="74">
        <f>K44+K50+K54+K59</f>
        <v>0</v>
      </c>
      <c r="L132" s="74">
        <f>L44+L50+L54+L59</f>
        <v>0</v>
      </c>
      <c r="M132" s="74">
        <f>M44+M50+M54+M59</f>
        <v>0</v>
      </c>
      <c r="N132" s="77">
        <f>M132</f>
        <v>0</v>
      </c>
      <c r="O132" s="74">
        <f>O44+O50+O54+O59</f>
        <v>0</v>
      </c>
      <c r="P132" s="74">
        <f>P44+P50+P54+P59</f>
        <v>0</v>
      </c>
      <c r="Q132" s="74">
        <f>Q44+Q50+Q54+Q59</f>
        <v>0</v>
      </c>
      <c r="R132" s="74">
        <f>R44+R50+R54+R59</f>
        <v>0</v>
      </c>
      <c r="S132" s="77">
        <f>R132</f>
        <v>0</v>
      </c>
      <c r="T132" s="74">
        <f>T44+T50+T54+T59</f>
        <v>0</v>
      </c>
      <c r="U132" s="74">
        <f>U44+U50+U54+U59</f>
        <v>0</v>
      </c>
      <c r="V132" s="74">
        <f>V44+V50+V54+V59</f>
        <v>0</v>
      </c>
      <c r="W132" s="74">
        <f>W44+W50+W54+W59</f>
        <v>0</v>
      </c>
      <c r="X132" s="77">
        <f>W132</f>
        <v>0</v>
      </c>
      <c r="Y132" s="74">
        <f>Y44+Y50+Y54+Y59</f>
        <v>0</v>
      </c>
      <c r="Z132" s="74">
        <f>Z44+Z50+Z54+Z59</f>
        <v>0</v>
      </c>
      <c r="AA132" s="74">
        <f>AA44+AA50+AA54+AA59</f>
        <v>0</v>
      </c>
      <c r="AB132" s="74">
        <f>AB44+AB50+AB54+AB59</f>
        <v>0</v>
      </c>
      <c r="AC132" s="77">
        <f>AB132</f>
        <v>0</v>
      </c>
      <c r="AD132" s="74">
        <f>AD44+AD50+AD54+AD59</f>
        <v>0</v>
      </c>
      <c r="AE132" s="74">
        <f>AE44+AE50+AE54+AE59</f>
        <v>0</v>
      </c>
      <c r="AF132" s="74">
        <f>AF44+AF50+AF54+AF59</f>
        <v>0</v>
      </c>
      <c r="AG132" s="74">
        <f>AG44+AG50+AG54+AG59</f>
        <v>0</v>
      </c>
      <c r="AH132" s="77">
        <f>AG132</f>
        <v>0</v>
      </c>
      <c r="AI132" s="74">
        <f>AI44+AI50+AI54+AI59</f>
        <v>0</v>
      </c>
      <c r="AJ132" s="74">
        <f>AJ44+AJ50+AJ54+AJ59</f>
        <v>0</v>
      </c>
      <c r="AK132" s="74">
        <f>AK44+AK50+AK54+AK59</f>
        <v>0</v>
      </c>
      <c r="AL132" s="74">
        <f>AL44+AL50+AL54+AL59</f>
        <v>0</v>
      </c>
      <c r="AM132" s="77">
        <f>AL132</f>
        <v>0</v>
      </c>
      <c r="AN132" s="74">
        <f>AN44+AN50+AN54+AN59</f>
        <v>0</v>
      </c>
      <c r="AO132" s="74">
        <f>AO44+AO50+AO54+AO59</f>
        <v>0</v>
      </c>
      <c r="AP132" s="74">
        <f>AP44+AP50+AP54+AP59</f>
        <v>0</v>
      </c>
      <c r="AQ132" s="74">
        <f>AQ44+AQ50+AQ54+AQ59</f>
        <v>0</v>
      </c>
      <c r="AR132" s="77">
        <f>AQ132</f>
        <v>0</v>
      </c>
      <c r="AS132" s="74">
        <f>AS44+AS50+AS54+AS59</f>
        <v>0</v>
      </c>
      <c r="AT132" s="74">
        <f>AT44+AT50+AT54+AT59</f>
        <v>0</v>
      </c>
      <c r="AU132" s="74">
        <f>AU44+AU50+AU54+AU59</f>
        <v>0</v>
      </c>
      <c r="AV132" s="74">
        <f>AV44+AV50+AV54+AV59</f>
        <v>0</v>
      </c>
      <c r="AW132" s="77">
        <f>AV132</f>
        <v>0</v>
      </c>
      <c r="AX132" s="74">
        <f>AX44+AX50+AX54+AX59</f>
        <v>0</v>
      </c>
      <c r="AY132" s="74">
        <f>AY44+AY50+AY54+AY59</f>
        <v>0</v>
      </c>
      <c r="AZ132" s="74">
        <f>AZ44+AZ50+AZ54+AZ59</f>
        <v>0</v>
      </c>
      <c r="BA132" s="74">
        <f>BA44+BA50+BA54+BA59</f>
        <v>0</v>
      </c>
      <c r="BB132" s="77">
        <f>BA132</f>
        <v>0</v>
      </c>
      <c r="BC132" s="74">
        <f>BC44+BC50+BC54+BC59</f>
        <v>0</v>
      </c>
      <c r="BD132" s="74">
        <f>BD44+BD50+BD54+BD59</f>
        <v>0</v>
      </c>
      <c r="BE132" s="74">
        <f>BE44+BE50+BE54+BE59</f>
        <v>0</v>
      </c>
      <c r="BF132" s="74">
        <f>BF44+BF50+BF54+BF59</f>
        <v>0</v>
      </c>
      <c r="BG132" s="77">
        <f>BF132</f>
        <v>0</v>
      </c>
    </row>
    <row r="133" spans="2:61" x14ac:dyDescent="0.25">
      <c r="C133" s="11" t="s">
        <v>833</v>
      </c>
      <c r="D133" s="12" t="s">
        <v>834</v>
      </c>
      <c r="E133" s="74">
        <f>E132</f>
        <v>0</v>
      </c>
      <c r="F133" s="74">
        <f>AVERAGE(E132,F132)</f>
        <v>0</v>
      </c>
      <c r="G133" s="74">
        <f>AVERAGE(F132,G132)</f>
        <v>0</v>
      </c>
      <c r="H133" s="74">
        <f>AVERAGE(G132,H132)</f>
        <v>0</v>
      </c>
      <c r="I133" s="77">
        <f>AVERAGE(E133:H133)</f>
        <v>0</v>
      </c>
      <c r="J133" s="74">
        <f>AVERAGE(H132,J132)</f>
        <v>0</v>
      </c>
      <c r="K133" s="74">
        <f>AVERAGE(J132,K132)</f>
        <v>0</v>
      </c>
      <c r="L133" s="74">
        <f>AVERAGE(K132,L132)</f>
        <v>0</v>
      </c>
      <c r="M133" s="74">
        <f>AVERAGE(L132,M132)</f>
        <v>0</v>
      </c>
      <c r="N133" s="77">
        <f>AVERAGE(J133:M133)</f>
        <v>0</v>
      </c>
      <c r="O133" s="74">
        <f>AVERAGE(M132,O132)</f>
        <v>0</v>
      </c>
      <c r="P133" s="74">
        <f>AVERAGE(O132,P132)</f>
        <v>0</v>
      </c>
      <c r="Q133" s="74">
        <f>AVERAGE(P132,Q132)</f>
        <v>0</v>
      </c>
      <c r="R133" s="74">
        <f>AVERAGE(Q132,R132)</f>
        <v>0</v>
      </c>
      <c r="S133" s="77">
        <f>AVERAGE(O133:R133)</f>
        <v>0</v>
      </c>
      <c r="T133" s="74">
        <f>AVERAGE(R132,T132)</f>
        <v>0</v>
      </c>
      <c r="U133" s="74">
        <f>AVERAGE(T132,U132)</f>
        <v>0</v>
      </c>
      <c r="V133" s="74">
        <f>AVERAGE(U132,V132)</f>
        <v>0</v>
      </c>
      <c r="W133" s="74">
        <f>AVERAGE(V132,W132)</f>
        <v>0</v>
      </c>
      <c r="X133" s="77">
        <f>AVERAGE(T133:W133)</f>
        <v>0</v>
      </c>
      <c r="Y133" s="74">
        <f>AVERAGE(W132,Y132)</f>
        <v>0</v>
      </c>
      <c r="Z133" s="74">
        <f>AVERAGE(Y132,Z132)</f>
        <v>0</v>
      </c>
      <c r="AA133" s="74">
        <f>AVERAGE(Z132,AA132)</f>
        <v>0</v>
      </c>
      <c r="AB133" s="74">
        <f>AVERAGE(AA132,AB132)</f>
        <v>0</v>
      </c>
      <c r="AC133" s="77">
        <f>AVERAGE(Y133:AB133)</f>
        <v>0</v>
      </c>
      <c r="AD133" s="74">
        <f>AVERAGE(AB132,AD132)</f>
        <v>0</v>
      </c>
      <c r="AE133" s="74">
        <f>AVERAGE(AD132,AE132)</f>
        <v>0</v>
      </c>
      <c r="AF133" s="74">
        <f>AVERAGE(AE132,AF132)</f>
        <v>0</v>
      </c>
      <c r="AG133" s="74">
        <f>AVERAGE(AF132,AG132)</f>
        <v>0</v>
      </c>
      <c r="AH133" s="77">
        <f>AVERAGE(AD133:AG133)</f>
        <v>0</v>
      </c>
      <c r="AI133" s="74">
        <f>AVERAGE(AG132,AI132)</f>
        <v>0</v>
      </c>
      <c r="AJ133" s="74">
        <f>AVERAGE(AI132,AJ132)</f>
        <v>0</v>
      </c>
      <c r="AK133" s="74">
        <f>AVERAGE(AJ132,AK132)</f>
        <v>0</v>
      </c>
      <c r="AL133" s="74">
        <f>AVERAGE(AK132,AL132)</f>
        <v>0</v>
      </c>
      <c r="AM133" s="77">
        <f>AVERAGE(AI133:AL133)</f>
        <v>0</v>
      </c>
      <c r="AN133" s="74">
        <f>AVERAGE(AL132,AN132)</f>
        <v>0</v>
      </c>
      <c r="AO133" s="74">
        <f>AVERAGE(AN132,AO132)</f>
        <v>0</v>
      </c>
      <c r="AP133" s="74">
        <f>AVERAGE(AO132,AP132)</f>
        <v>0</v>
      </c>
      <c r="AQ133" s="74">
        <f>AVERAGE(AP132,AQ132)</f>
        <v>0</v>
      </c>
      <c r="AR133" s="77">
        <f>AVERAGE(AN133:AQ133)</f>
        <v>0</v>
      </c>
      <c r="AS133" s="74">
        <f>AVERAGE(AQ132,AS132)</f>
        <v>0</v>
      </c>
      <c r="AT133" s="74">
        <f>AVERAGE(AS132,AT132)</f>
        <v>0</v>
      </c>
      <c r="AU133" s="74">
        <f>AVERAGE(AT132,AU132)</f>
        <v>0</v>
      </c>
      <c r="AV133" s="74">
        <f>AVERAGE(AU132,AV132)</f>
        <v>0</v>
      </c>
      <c r="AW133" s="77">
        <f>AVERAGE(AS133:AV133)</f>
        <v>0</v>
      </c>
      <c r="AX133" s="74">
        <f>AVERAGE(AV132,AX132)</f>
        <v>0</v>
      </c>
      <c r="AY133" s="74">
        <f>AVERAGE(AX132,AY132)</f>
        <v>0</v>
      </c>
      <c r="AZ133" s="74">
        <f>AVERAGE(AY132,AZ132)</f>
        <v>0</v>
      </c>
      <c r="BA133" s="74">
        <f>AVERAGE(AZ132,BA132)</f>
        <v>0</v>
      </c>
      <c r="BB133" s="77">
        <f>AVERAGE(AX133:BA133)</f>
        <v>0</v>
      </c>
      <c r="BC133" s="74">
        <f>AVERAGE(BA132,BC132)</f>
        <v>0</v>
      </c>
      <c r="BD133" s="74">
        <f>AVERAGE(BC132,BD132)</f>
        <v>0</v>
      </c>
      <c r="BE133" s="74">
        <f>AVERAGE(BD132,BE132)</f>
        <v>0</v>
      </c>
      <c r="BF133" s="74">
        <f>AVERAGE(BE132,BF132)</f>
        <v>0</v>
      </c>
      <c r="BG133" s="77">
        <f>AVERAGE(BC133:BF133)</f>
        <v>0</v>
      </c>
    </row>
    <row r="134" spans="2:61" x14ac:dyDescent="0.25">
      <c r="C134" s="11" t="s">
        <v>835</v>
      </c>
      <c r="D134" s="12" t="s">
        <v>836</v>
      </c>
      <c r="E134" s="74">
        <f>E31+E32</f>
        <v>0</v>
      </c>
      <c r="F134" s="74">
        <f>AVERAGE(E31+E32,F31+F32)</f>
        <v>0</v>
      </c>
      <c r="G134" s="74">
        <f>AVERAGE(F31+F32,G31+G32)</f>
        <v>0</v>
      </c>
      <c r="H134" s="74">
        <f>AVERAGE(G31+G32,H31+H32)</f>
        <v>0</v>
      </c>
      <c r="I134" s="77">
        <f>AVERAGE(E134:H134)</f>
        <v>0</v>
      </c>
      <c r="J134" s="74">
        <f>AVERAGE(H31+H32,J31+J32)</f>
        <v>0</v>
      </c>
      <c r="K134" s="74">
        <f>AVERAGE(J31+J32,K31+K32)</f>
        <v>0</v>
      </c>
      <c r="L134" s="74">
        <f>AVERAGE(K31+K32,L31+L32)</f>
        <v>0</v>
      </c>
      <c r="M134" s="74">
        <f>AVERAGE(L31+L32,M31+M32)</f>
        <v>0</v>
      </c>
      <c r="N134" s="77">
        <f>AVERAGE(J134:M134)</f>
        <v>0</v>
      </c>
      <c r="O134" s="74">
        <f>AVERAGE(M31+M32,O31+O32)</f>
        <v>0</v>
      </c>
      <c r="P134" s="74">
        <f>AVERAGE(O31+O32,P31+P32)</f>
        <v>0</v>
      </c>
      <c r="Q134" s="74">
        <f>AVERAGE(P31+P32,Q31+Q32)</f>
        <v>0</v>
      </c>
      <c r="R134" s="74">
        <f>AVERAGE(Q31+Q32,R31+R32)</f>
        <v>0</v>
      </c>
      <c r="S134" s="77">
        <f>AVERAGE(O134:R134)</f>
        <v>0</v>
      </c>
      <c r="T134" s="74">
        <f>AVERAGE(R31+R32,T31+T32)</f>
        <v>0</v>
      </c>
      <c r="U134" s="74">
        <f>AVERAGE(T31+T32,U31+U32)</f>
        <v>0</v>
      </c>
      <c r="V134" s="74">
        <f>AVERAGE(U31+U32,V31+V32)</f>
        <v>0</v>
      </c>
      <c r="W134" s="74">
        <f>AVERAGE(V31+V32,W31+W32)</f>
        <v>0</v>
      </c>
      <c r="X134" s="77">
        <f>AVERAGE(T134:W134)</f>
        <v>0</v>
      </c>
      <c r="Y134" s="74">
        <f>AVERAGE(W31+W32,Y31+Y32)</f>
        <v>0</v>
      </c>
      <c r="Z134" s="74">
        <f>AVERAGE(Y31+Y32,Z31+Z32)</f>
        <v>0</v>
      </c>
      <c r="AA134" s="74">
        <f>AVERAGE(Z31+Z32,AA31+AA32)</f>
        <v>0</v>
      </c>
      <c r="AB134" s="74">
        <f>AVERAGE(AA31+AA32,AB31+AB32)</f>
        <v>0</v>
      </c>
      <c r="AC134" s="77">
        <f>AVERAGE(Y134:AB134)</f>
        <v>0</v>
      </c>
      <c r="AD134" s="74">
        <f>AVERAGE(AB31+AB32,AD31+AD32)</f>
        <v>0</v>
      </c>
      <c r="AE134" s="74">
        <f>AVERAGE(AD31+AD32,AE31+AE32)</f>
        <v>0</v>
      </c>
      <c r="AF134" s="74">
        <f>AVERAGE(AE31+AE32,AF31+AF32)</f>
        <v>0</v>
      </c>
      <c r="AG134" s="74">
        <f>AVERAGE(AF31+AF32,AG31+AG32)</f>
        <v>0</v>
      </c>
      <c r="AH134" s="77">
        <f>AVERAGE(AD134:AG134)</f>
        <v>0</v>
      </c>
      <c r="AI134" s="74">
        <f>AVERAGE(AG31+AG32,AI31+AI32)</f>
        <v>0</v>
      </c>
      <c r="AJ134" s="74">
        <f>AVERAGE(AI31+AI32,AJ31+AJ32)</f>
        <v>0</v>
      </c>
      <c r="AK134" s="74">
        <f>AVERAGE(AJ31+AJ32,AK31+AK32)</f>
        <v>0</v>
      </c>
      <c r="AL134" s="74">
        <f>AVERAGE(AK31+AK32,AL31+AL32)</f>
        <v>0</v>
      </c>
      <c r="AM134" s="77">
        <f>AVERAGE(AI134:AL134)</f>
        <v>0</v>
      </c>
      <c r="AN134" s="74">
        <f>AVERAGE(AL31+AL32,AN31+AN32)</f>
        <v>0</v>
      </c>
      <c r="AO134" s="74">
        <f>AVERAGE(AN31+AN32,AO31+AO32)</f>
        <v>0</v>
      </c>
      <c r="AP134" s="74">
        <f>AVERAGE(AO31+AO32,AP31+AP32)</f>
        <v>0</v>
      </c>
      <c r="AQ134" s="74">
        <f>AVERAGE(AP31+AP32,AQ31+AQ32)</f>
        <v>0</v>
      </c>
      <c r="AR134" s="77">
        <f>AVERAGE(AN134:AQ134)</f>
        <v>0</v>
      </c>
      <c r="AS134" s="74">
        <f>AVERAGE(AQ31+AQ32,AS31+AS32)</f>
        <v>0</v>
      </c>
      <c r="AT134" s="74">
        <f>AVERAGE(AS31+AS32,AT31+AT32)</f>
        <v>0</v>
      </c>
      <c r="AU134" s="74">
        <f>AVERAGE(AT31+AT32,AU31+AU32)</f>
        <v>0</v>
      </c>
      <c r="AV134" s="74">
        <f>AVERAGE(AU31+AU32,AV31+AV32)</f>
        <v>0</v>
      </c>
      <c r="AW134" s="77">
        <f>AVERAGE(AS134:AV134)</f>
        <v>0</v>
      </c>
      <c r="AX134" s="74">
        <f>AVERAGE(AV31+AV32,AX31+AX32)</f>
        <v>0</v>
      </c>
      <c r="AY134" s="74">
        <f>AVERAGE(AX31+AX32,AY31+AY32)</f>
        <v>0</v>
      </c>
      <c r="AZ134" s="74">
        <f>AVERAGE(AY31+AY32,AZ31+AZ32)</f>
        <v>0</v>
      </c>
      <c r="BA134" s="74">
        <f>AVERAGE(AZ31+AZ32,BA31+BA32)</f>
        <v>0</v>
      </c>
      <c r="BB134" s="77">
        <f>AVERAGE(AX134:BA134)</f>
        <v>0</v>
      </c>
      <c r="BC134" s="74">
        <f>AVERAGE(BA31+BA32,BC31+BC32)</f>
        <v>0</v>
      </c>
      <c r="BD134" s="74">
        <f>AVERAGE(BC31+BC32,BD31+BD32)</f>
        <v>0</v>
      </c>
      <c r="BE134" s="74">
        <f>AVERAGE(BD31+BD32,BE31+BE32)</f>
        <v>0</v>
      </c>
      <c r="BF134" s="74">
        <f>AVERAGE(BE31+BE32,BF31+BF32)</f>
        <v>0</v>
      </c>
      <c r="BG134" s="77">
        <f>AVERAGE(BC134:BF134)</f>
        <v>0</v>
      </c>
    </row>
    <row r="135" spans="2:61" x14ac:dyDescent="0.25">
      <c r="C135" s="11" t="s">
        <v>837</v>
      </c>
      <c r="D135" s="12" t="s">
        <v>838</v>
      </c>
      <c r="E135" s="74">
        <f>E42</f>
        <v>0</v>
      </c>
      <c r="F135" s="74">
        <f>AVERAGE(E42,F42)</f>
        <v>0</v>
      </c>
      <c r="G135" s="74">
        <f>AVERAGE(F42,G42)</f>
        <v>0</v>
      </c>
      <c r="H135" s="74">
        <f>AVERAGE(G42,H42)</f>
        <v>0</v>
      </c>
      <c r="I135" s="77">
        <f>AVERAGE(E135:H135)</f>
        <v>0</v>
      </c>
      <c r="J135" s="74">
        <f>AVERAGE(H42,J42)</f>
        <v>0</v>
      </c>
      <c r="K135" s="74">
        <f>AVERAGE(J42,K42)</f>
        <v>0</v>
      </c>
      <c r="L135" s="74">
        <f>AVERAGE(K42,L42)</f>
        <v>0</v>
      </c>
      <c r="M135" s="74">
        <f>AVERAGE(L42,M42)</f>
        <v>0</v>
      </c>
      <c r="N135" s="77">
        <f>AVERAGE(J135:M135)</f>
        <v>0</v>
      </c>
      <c r="O135" s="74">
        <f>AVERAGE(M42,O42)</f>
        <v>0</v>
      </c>
      <c r="P135" s="74">
        <f>AVERAGE(O42,P42)</f>
        <v>0</v>
      </c>
      <c r="Q135" s="74">
        <f>AVERAGE(P42,Q42)</f>
        <v>0</v>
      </c>
      <c r="R135" s="74">
        <f>AVERAGE(Q42,R42)</f>
        <v>0</v>
      </c>
      <c r="S135" s="77">
        <f>AVERAGE(O135:R135)</f>
        <v>0</v>
      </c>
      <c r="T135" s="74">
        <f>AVERAGE(R42,T42)</f>
        <v>0</v>
      </c>
      <c r="U135" s="74">
        <f>AVERAGE(T42,U42)</f>
        <v>0</v>
      </c>
      <c r="V135" s="74">
        <f>AVERAGE(U42,V42)</f>
        <v>0</v>
      </c>
      <c r="W135" s="74">
        <f>AVERAGE(V42,W42)</f>
        <v>0</v>
      </c>
      <c r="X135" s="77">
        <f>AVERAGE(T135:W135)</f>
        <v>0</v>
      </c>
      <c r="Y135" s="74">
        <f>AVERAGE(W42,Y42)</f>
        <v>0</v>
      </c>
      <c r="Z135" s="74">
        <f>AVERAGE(Y42,Z42)</f>
        <v>0</v>
      </c>
      <c r="AA135" s="74">
        <f>AVERAGE(Z42,AA42)</f>
        <v>0</v>
      </c>
      <c r="AB135" s="74">
        <f>AVERAGE(AA42,AB42)</f>
        <v>0</v>
      </c>
      <c r="AC135" s="77">
        <f>AVERAGE(Y135:AB135)</f>
        <v>0</v>
      </c>
      <c r="AD135" s="74">
        <f>AVERAGE(AB42,AD42)</f>
        <v>0</v>
      </c>
      <c r="AE135" s="74">
        <f>AVERAGE(AD42,AE42)</f>
        <v>0</v>
      </c>
      <c r="AF135" s="74">
        <f>AVERAGE(AE42,AF42)</f>
        <v>0</v>
      </c>
      <c r="AG135" s="74">
        <f>AVERAGE(AF42,AG42)</f>
        <v>0</v>
      </c>
      <c r="AH135" s="77">
        <f>AVERAGE(AD135:AG135)</f>
        <v>0</v>
      </c>
      <c r="AI135" s="74">
        <f>AVERAGE(AG42,AI42)</f>
        <v>0</v>
      </c>
      <c r="AJ135" s="74">
        <f>AVERAGE(AI42,AJ42)</f>
        <v>0</v>
      </c>
      <c r="AK135" s="74">
        <f>AVERAGE(AJ42,AK42)</f>
        <v>0</v>
      </c>
      <c r="AL135" s="74">
        <f>AVERAGE(AK42,AL42)</f>
        <v>0</v>
      </c>
      <c r="AM135" s="77">
        <f>AVERAGE(AI135:AL135)</f>
        <v>0</v>
      </c>
      <c r="AN135" s="74">
        <f>AVERAGE(AL42,AN42)</f>
        <v>0</v>
      </c>
      <c r="AO135" s="74">
        <f>AVERAGE(AN42,AO42)</f>
        <v>0</v>
      </c>
      <c r="AP135" s="74">
        <f>AVERAGE(AO42,AP42)</f>
        <v>0</v>
      </c>
      <c r="AQ135" s="74">
        <f>AVERAGE(AP42,AQ42)</f>
        <v>0</v>
      </c>
      <c r="AR135" s="77">
        <f>AVERAGE(AN135:AQ135)</f>
        <v>0</v>
      </c>
      <c r="AS135" s="74">
        <f>AVERAGE(AQ42,AS42)</f>
        <v>0</v>
      </c>
      <c r="AT135" s="74">
        <f>AVERAGE(AS42,AT42)</f>
        <v>0</v>
      </c>
      <c r="AU135" s="74">
        <f>AVERAGE(AT42,AU42)</f>
        <v>0</v>
      </c>
      <c r="AV135" s="74">
        <f>AVERAGE(AU42,AV42)</f>
        <v>0</v>
      </c>
      <c r="AW135" s="77">
        <f>AVERAGE(AS135:AV135)</f>
        <v>0</v>
      </c>
      <c r="AX135" s="74">
        <f>AVERAGE(AV42,AX42)</f>
        <v>0</v>
      </c>
      <c r="AY135" s="74">
        <f>AVERAGE(AX42,AY42)</f>
        <v>0</v>
      </c>
      <c r="AZ135" s="74">
        <f>AVERAGE(AY42,AZ42)</f>
        <v>0</v>
      </c>
      <c r="BA135" s="74">
        <f>AVERAGE(AZ42,BA42)</f>
        <v>0</v>
      </c>
      <c r="BB135" s="77">
        <f>AVERAGE(AX135:BA135)</f>
        <v>0</v>
      </c>
      <c r="BC135" s="74">
        <f>AVERAGE(BA42,BC42)</f>
        <v>0</v>
      </c>
      <c r="BD135" s="74">
        <f>AVERAGE(BC42,BD42)</f>
        <v>0</v>
      </c>
      <c r="BE135" s="74">
        <f>AVERAGE(BD42,BE42)</f>
        <v>0</v>
      </c>
      <c r="BF135" s="74">
        <f>AVERAGE(BE42,BF42)</f>
        <v>0</v>
      </c>
      <c r="BG135" s="77">
        <f>AVERAGE(BC135:BF135)</f>
        <v>0</v>
      </c>
    </row>
    <row r="136" spans="2:61" x14ac:dyDescent="0.25">
      <c r="C136" s="11" t="s">
        <v>839</v>
      </c>
      <c r="D136" s="12" t="s">
        <v>840</v>
      </c>
      <c r="E136" s="74">
        <f>E71</f>
        <v>0</v>
      </c>
      <c r="F136" s="74">
        <f>AVERAGE(E71,F71)</f>
        <v>0</v>
      </c>
      <c r="G136" s="74">
        <f>AVERAGE(F71,G71)</f>
        <v>0</v>
      </c>
      <c r="H136" s="74">
        <f>AVERAGE(G71,H71)</f>
        <v>0</v>
      </c>
      <c r="I136" s="77">
        <f>AVERAGE(E136:H136)</f>
        <v>0</v>
      </c>
      <c r="J136" s="74">
        <f>AVERAGE(H71,J71)</f>
        <v>0</v>
      </c>
      <c r="K136" s="74">
        <f>AVERAGE(J71,K71)</f>
        <v>0</v>
      </c>
      <c r="L136" s="74">
        <f>AVERAGE(K71,L71)</f>
        <v>0</v>
      </c>
      <c r="M136" s="74">
        <f>AVERAGE(L71,M71)</f>
        <v>0</v>
      </c>
      <c r="N136" s="77">
        <f>AVERAGE(J136:M136)</f>
        <v>0</v>
      </c>
      <c r="O136" s="74">
        <f>AVERAGE(M71,O71)</f>
        <v>0</v>
      </c>
      <c r="P136" s="74">
        <f>AVERAGE(O71,P71)</f>
        <v>0</v>
      </c>
      <c r="Q136" s="74">
        <f>AVERAGE(P71,Q71)</f>
        <v>0</v>
      </c>
      <c r="R136" s="74">
        <f>AVERAGE(Q71,R71)</f>
        <v>0</v>
      </c>
      <c r="S136" s="77">
        <f>AVERAGE(O136:R136)</f>
        <v>0</v>
      </c>
      <c r="T136" s="74">
        <f>AVERAGE(R71,T71)</f>
        <v>0</v>
      </c>
      <c r="U136" s="74">
        <f>AVERAGE(T71,U71)</f>
        <v>0</v>
      </c>
      <c r="V136" s="74">
        <f>AVERAGE(U71,V71)</f>
        <v>0</v>
      </c>
      <c r="W136" s="74">
        <f>AVERAGE(V71,W71)</f>
        <v>0</v>
      </c>
      <c r="X136" s="77">
        <f>AVERAGE(T136:W136)</f>
        <v>0</v>
      </c>
      <c r="Y136" s="74">
        <f>AVERAGE(W71,Y71)</f>
        <v>0</v>
      </c>
      <c r="Z136" s="74">
        <f>AVERAGE(Y71,Z71)</f>
        <v>0</v>
      </c>
      <c r="AA136" s="74">
        <f>AVERAGE(Z71,AA71)</f>
        <v>0</v>
      </c>
      <c r="AB136" s="74">
        <f>AVERAGE(AA71,AB71)</f>
        <v>0</v>
      </c>
      <c r="AC136" s="77">
        <f>AVERAGE(Y136:AB136)</f>
        <v>0</v>
      </c>
      <c r="AD136" s="74">
        <f>AVERAGE(AB71,AD71)</f>
        <v>0</v>
      </c>
      <c r="AE136" s="74">
        <f>AVERAGE(AD71,AE71)</f>
        <v>0</v>
      </c>
      <c r="AF136" s="74">
        <f>AVERAGE(AE71,AF71)</f>
        <v>0</v>
      </c>
      <c r="AG136" s="74">
        <f>AVERAGE(AF71,AG71)</f>
        <v>0</v>
      </c>
      <c r="AH136" s="77">
        <f>AVERAGE(AD136:AG136)</f>
        <v>0</v>
      </c>
      <c r="AI136" s="74">
        <f>AVERAGE(AG71,AI71)</f>
        <v>0</v>
      </c>
      <c r="AJ136" s="74">
        <f>AVERAGE(AI71,AJ71)</f>
        <v>0</v>
      </c>
      <c r="AK136" s="74">
        <f>AVERAGE(AJ71,AK71)</f>
        <v>0</v>
      </c>
      <c r="AL136" s="74">
        <f>AVERAGE(AK71,AL71)</f>
        <v>0</v>
      </c>
      <c r="AM136" s="77">
        <f>AVERAGE(AI136:AL136)</f>
        <v>0</v>
      </c>
      <c r="AN136" s="74">
        <f>AVERAGE(AL71,AN71)</f>
        <v>0</v>
      </c>
      <c r="AO136" s="74">
        <f>AVERAGE(AN71,AO71)</f>
        <v>0</v>
      </c>
      <c r="AP136" s="74">
        <f>AVERAGE(AO71,AP71)</f>
        <v>0</v>
      </c>
      <c r="AQ136" s="74">
        <f>AVERAGE(AP71,AQ71)</f>
        <v>0</v>
      </c>
      <c r="AR136" s="77">
        <f>AVERAGE(AN136:AQ136)</f>
        <v>0</v>
      </c>
      <c r="AS136" s="74">
        <f>AVERAGE(AQ71,AS71)</f>
        <v>0</v>
      </c>
      <c r="AT136" s="74">
        <f>AVERAGE(AS71,AT71)</f>
        <v>0</v>
      </c>
      <c r="AU136" s="74">
        <f>AVERAGE(AT71,AU71)</f>
        <v>0</v>
      </c>
      <c r="AV136" s="74">
        <f>AVERAGE(AU71,AV71)</f>
        <v>0</v>
      </c>
      <c r="AW136" s="77">
        <f>AVERAGE(AS136:AV136)</f>
        <v>0</v>
      </c>
      <c r="AX136" s="74">
        <f>AVERAGE(AV71,AX71)</f>
        <v>0</v>
      </c>
      <c r="AY136" s="74">
        <f>AVERAGE(AX71,AY71)</f>
        <v>0</v>
      </c>
      <c r="AZ136" s="74">
        <f>AVERAGE(AY71,AZ71)</f>
        <v>0</v>
      </c>
      <c r="BA136" s="74">
        <f>AVERAGE(AZ71,BA71)</f>
        <v>0</v>
      </c>
      <c r="BB136" s="77">
        <f>AVERAGE(AX136:BA136)</f>
        <v>0</v>
      </c>
      <c r="BC136" s="74">
        <f>AVERAGE(BA71,BC71)</f>
        <v>0</v>
      </c>
      <c r="BD136" s="74">
        <f>AVERAGE(BC71,BD71)</f>
        <v>0</v>
      </c>
      <c r="BE136" s="74">
        <f>AVERAGE(BD71,BE71)</f>
        <v>0</v>
      </c>
      <c r="BF136" s="74">
        <f>AVERAGE(BE71,BF71)</f>
        <v>0</v>
      </c>
      <c r="BG136" s="77">
        <f>AVERAGE(BC136:BF136)</f>
        <v>0</v>
      </c>
    </row>
    <row r="137" spans="2:61" x14ac:dyDescent="0.25">
      <c r="C137" s="11" t="s">
        <v>841</v>
      </c>
      <c r="D137" s="12" t="s">
        <v>842</v>
      </c>
      <c r="E137" s="74">
        <f>E101</f>
        <v>0</v>
      </c>
      <c r="F137" s="74">
        <f>F101</f>
        <v>0</v>
      </c>
      <c r="G137" s="74">
        <f>G101</f>
        <v>0</v>
      </c>
      <c r="H137" s="74">
        <f>H101</f>
        <v>0</v>
      </c>
      <c r="I137" s="77">
        <f>SUM(E137:H137)</f>
        <v>0</v>
      </c>
      <c r="J137" s="74">
        <f>J101</f>
        <v>0</v>
      </c>
      <c r="K137" s="74">
        <f>K101</f>
        <v>0</v>
      </c>
      <c r="L137" s="74">
        <f>L101</f>
        <v>0</v>
      </c>
      <c r="M137" s="74">
        <f>M101</f>
        <v>0</v>
      </c>
      <c r="N137" s="77">
        <f>SUM(J137:M137)</f>
        <v>0</v>
      </c>
      <c r="O137" s="74">
        <f>O101</f>
        <v>0</v>
      </c>
      <c r="P137" s="74">
        <f>P101</f>
        <v>0</v>
      </c>
      <c r="Q137" s="74">
        <f>Q101</f>
        <v>0</v>
      </c>
      <c r="R137" s="74">
        <f>R101</f>
        <v>0</v>
      </c>
      <c r="S137" s="77">
        <f>SUM(O137:R137)</f>
        <v>0</v>
      </c>
      <c r="T137" s="74">
        <f>T101</f>
        <v>0</v>
      </c>
      <c r="U137" s="74">
        <f>U101</f>
        <v>0</v>
      </c>
      <c r="V137" s="74">
        <f>V101</f>
        <v>0</v>
      </c>
      <c r="W137" s="74">
        <f>W101</f>
        <v>0</v>
      </c>
      <c r="X137" s="77">
        <f>SUM(T137:W137)</f>
        <v>0</v>
      </c>
      <c r="Y137" s="74">
        <f>Y101</f>
        <v>0</v>
      </c>
      <c r="Z137" s="74">
        <f>Z101</f>
        <v>0</v>
      </c>
      <c r="AA137" s="74">
        <f>AA101</f>
        <v>0</v>
      </c>
      <c r="AB137" s="74">
        <f>AB101</f>
        <v>0</v>
      </c>
      <c r="AC137" s="77">
        <f>SUM(Y137:AB137)</f>
        <v>0</v>
      </c>
      <c r="AD137" s="74">
        <f>AD101</f>
        <v>0</v>
      </c>
      <c r="AE137" s="74">
        <f>AE101</f>
        <v>0</v>
      </c>
      <c r="AF137" s="74">
        <f>AF101</f>
        <v>0</v>
      </c>
      <c r="AG137" s="74">
        <f>AG101</f>
        <v>0</v>
      </c>
      <c r="AH137" s="77">
        <f>SUM(AD137:AG137)</f>
        <v>0</v>
      </c>
      <c r="AI137" s="74">
        <f>AI101</f>
        <v>0</v>
      </c>
      <c r="AJ137" s="74">
        <f>AJ101</f>
        <v>0</v>
      </c>
      <c r="AK137" s="74">
        <f>AK101</f>
        <v>0</v>
      </c>
      <c r="AL137" s="74">
        <f>AL101</f>
        <v>0</v>
      </c>
      <c r="AM137" s="77">
        <f>SUM(AI137:AL137)</f>
        <v>0</v>
      </c>
      <c r="AN137" s="74">
        <f>AN101</f>
        <v>0</v>
      </c>
      <c r="AO137" s="74">
        <f>AO101</f>
        <v>0</v>
      </c>
      <c r="AP137" s="74">
        <f>AP101</f>
        <v>0</v>
      </c>
      <c r="AQ137" s="74">
        <f>AQ101</f>
        <v>0</v>
      </c>
      <c r="AR137" s="77">
        <f>SUM(AN137:AQ137)</f>
        <v>0</v>
      </c>
      <c r="AS137" s="74">
        <f>AS101</f>
        <v>0</v>
      </c>
      <c r="AT137" s="74">
        <f>AT101</f>
        <v>0</v>
      </c>
      <c r="AU137" s="74">
        <f>AU101</f>
        <v>0</v>
      </c>
      <c r="AV137" s="74">
        <f>AV101</f>
        <v>0</v>
      </c>
      <c r="AW137" s="77">
        <f>SUM(AS137:AV137)</f>
        <v>0</v>
      </c>
      <c r="AX137" s="74">
        <f>AX101</f>
        <v>0</v>
      </c>
      <c r="AY137" s="74">
        <f>AY101</f>
        <v>0</v>
      </c>
      <c r="AZ137" s="74">
        <f>AZ101</f>
        <v>0</v>
      </c>
      <c r="BA137" s="74">
        <f>BA101</f>
        <v>0</v>
      </c>
      <c r="BB137" s="77">
        <f>SUM(AX137:BA137)</f>
        <v>0</v>
      </c>
      <c r="BC137" s="74">
        <f>BC101</f>
        <v>0</v>
      </c>
      <c r="BD137" s="74">
        <f>BD101</f>
        <v>0</v>
      </c>
      <c r="BE137" s="74">
        <f>BE101</f>
        <v>0</v>
      </c>
      <c r="BF137" s="74">
        <f>BF101</f>
        <v>0</v>
      </c>
      <c r="BG137" s="77">
        <f>SUM(BC137:BF137)</f>
        <v>0</v>
      </c>
    </row>
    <row r="138" spans="2:61" x14ac:dyDescent="0.25">
      <c r="C138" s="11" t="s">
        <v>843</v>
      </c>
      <c r="D138" s="12" t="s">
        <v>680</v>
      </c>
      <c r="E138" s="57">
        <f>IF(AND(E$14=1,ISNUMBER('Inputs (2)'!E127),'Inputs (2)'!E127&lt;&gt;0),'Inputs (2)'!E127,E92+E97)</f>
        <v>0</v>
      </c>
      <c r="F138" s="57">
        <f>IF(AND(F$14=1,ISNUMBER('Inputs (2)'!F127),'Inputs (2)'!F127&lt;&gt;0),'Inputs (2)'!F127,F92+F97)</f>
        <v>0</v>
      </c>
      <c r="G138" s="57">
        <f>IF(AND(G$14=1,ISNUMBER('Inputs (2)'!G127),'Inputs (2)'!G127&lt;&gt;0),'Inputs (2)'!G127,G92+G97)</f>
        <v>0</v>
      </c>
      <c r="H138" s="57">
        <f>IF(AND(H$14=1,ISNUMBER('Inputs (2)'!H127),'Inputs (2)'!H127&lt;&gt;0),'Inputs (2)'!H127,H92+H97)</f>
        <v>0</v>
      </c>
      <c r="I138" s="77">
        <f>SUM(E138:H138)</f>
        <v>0</v>
      </c>
      <c r="J138" s="57">
        <f>IF(AND(J$14=1,ISNUMBER('Inputs (2)'!J127),'Inputs (2)'!J127&lt;&gt;0),'Inputs (2)'!J127,J92+J97)</f>
        <v>0</v>
      </c>
      <c r="K138" s="57">
        <f>IF(AND(K$14=1,ISNUMBER('Inputs (2)'!K127),'Inputs (2)'!K127&lt;&gt;0),'Inputs (2)'!K127,K92+K97)</f>
        <v>0</v>
      </c>
      <c r="L138" s="57">
        <f>IF(AND(L$14=1,ISNUMBER('Inputs (2)'!L127),'Inputs (2)'!L127&lt;&gt;0),'Inputs (2)'!L127,L92+L97)</f>
        <v>0</v>
      </c>
      <c r="M138" s="57">
        <f>IF(AND(M$14=1,ISNUMBER('Inputs (2)'!M127),'Inputs (2)'!M127&lt;&gt;0),'Inputs (2)'!M127,M92+M97)</f>
        <v>0</v>
      </c>
      <c r="N138" s="77">
        <f>SUM(J138:M138)</f>
        <v>0</v>
      </c>
      <c r="O138" s="57">
        <f>IF(AND(O$14=1,ISNUMBER('Inputs (2)'!O127),'Inputs (2)'!O127&lt;&gt;0),'Inputs (2)'!O127,O92+O97)</f>
        <v>0</v>
      </c>
      <c r="P138" s="57">
        <f>IF(AND(P$14=1,ISNUMBER('Inputs (2)'!P127),'Inputs (2)'!P127&lt;&gt;0),'Inputs (2)'!P127,P92+P97)</f>
        <v>0</v>
      </c>
      <c r="Q138" s="57">
        <f>IF(AND(Q$14=1,ISNUMBER('Inputs (2)'!Q127),'Inputs (2)'!Q127&lt;&gt;0),'Inputs (2)'!Q127,Q92+Q97)</f>
        <v>0</v>
      </c>
      <c r="R138" s="57">
        <f>IF(AND(R$14=1,ISNUMBER('Inputs (2)'!R127),'Inputs (2)'!R127&lt;&gt;0),'Inputs (2)'!R127,R92+R97)</f>
        <v>0</v>
      </c>
      <c r="S138" s="77">
        <f>SUM(O138:R138)</f>
        <v>0</v>
      </c>
      <c r="T138" s="57">
        <f>IF(AND(T$14=1,ISNUMBER('Inputs (2)'!T127),'Inputs (2)'!T127&lt;&gt;0),'Inputs (2)'!T127,T92+T97)</f>
        <v>0</v>
      </c>
      <c r="U138" s="57">
        <f>IF(AND(U$14=1,ISNUMBER('Inputs (2)'!U127),'Inputs (2)'!U127&lt;&gt;0),'Inputs (2)'!U127,U92+U97)</f>
        <v>0</v>
      </c>
      <c r="V138" s="57">
        <f>IF(AND(V$14=1,ISNUMBER('Inputs (2)'!V127),'Inputs (2)'!V127&lt;&gt;0),'Inputs (2)'!V127,V92+V97)</f>
        <v>0</v>
      </c>
      <c r="W138" s="57">
        <f>IF(AND(W$14=1,ISNUMBER('Inputs (2)'!W127),'Inputs (2)'!W127&lt;&gt;0),'Inputs (2)'!W127,W92+W97)</f>
        <v>0</v>
      </c>
      <c r="X138" s="77">
        <f>SUM(T138:W138)</f>
        <v>0</v>
      </c>
      <c r="Y138" s="57">
        <f>IF(AND(Y$14=1,ISNUMBER('Inputs (2)'!Y127),'Inputs (2)'!Y127&lt;&gt;0),'Inputs (2)'!Y127,Y92+Y97)</f>
        <v>0</v>
      </c>
      <c r="Z138" s="57">
        <f>IF(AND(Z$14=1,ISNUMBER('Inputs (2)'!Z127),'Inputs (2)'!Z127&lt;&gt;0),'Inputs (2)'!Z127,Z92+Z97)</f>
        <v>0</v>
      </c>
      <c r="AA138" s="57">
        <f>IF(AND(AA$14=1,ISNUMBER('Inputs (2)'!AA127),'Inputs (2)'!AA127&lt;&gt;0),'Inputs (2)'!AA127,AA92+AA97)</f>
        <v>0</v>
      </c>
      <c r="AB138" s="57">
        <f>IF(AND(AB$14=1,ISNUMBER('Inputs (2)'!AB127),'Inputs (2)'!AB127&lt;&gt;0),'Inputs (2)'!AB127,AB92+AB97)</f>
        <v>0</v>
      </c>
      <c r="AC138" s="77">
        <f>SUM(Y138:AB138)</f>
        <v>0</v>
      </c>
      <c r="AD138" s="57">
        <f>IF(AND(AD$14=1,ISNUMBER('Inputs (2)'!AD127),'Inputs (2)'!AD127&lt;&gt;0),'Inputs (2)'!AD127,AD92+AD97)</f>
        <v>0</v>
      </c>
      <c r="AE138" s="57">
        <f>IF(AND(AE$14=1,ISNUMBER('Inputs (2)'!AE127),'Inputs (2)'!AE127&lt;&gt;0),'Inputs (2)'!AE127,AE92+AE97)</f>
        <v>0</v>
      </c>
      <c r="AF138" s="57">
        <f>IF(AND(AF$14=1,ISNUMBER('Inputs (2)'!AF127),'Inputs (2)'!AF127&lt;&gt;0),'Inputs (2)'!AF127,AF92+AF97)</f>
        <v>0</v>
      </c>
      <c r="AG138" s="57">
        <f>IF(AND(AG$14=1,ISNUMBER('Inputs (2)'!AG127),'Inputs (2)'!AG127&lt;&gt;0),'Inputs (2)'!AG127,AG92+AG97)</f>
        <v>0</v>
      </c>
      <c r="AH138" s="77">
        <f>SUM(AD138:AG138)</f>
        <v>0</v>
      </c>
      <c r="AI138" s="57">
        <f>IF(AND(AI$14=1,ISNUMBER('Inputs (2)'!AI127),'Inputs (2)'!AI127&lt;&gt;0),'Inputs (2)'!AI127,AI92+AI97)</f>
        <v>0</v>
      </c>
      <c r="AJ138" s="57">
        <f>IF(AND(AJ$14=1,ISNUMBER('Inputs (2)'!AJ127),'Inputs (2)'!AJ127&lt;&gt;0),'Inputs (2)'!AJ127,AJ92+AJ97)</f>
        <v>0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0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s">
        <v>844</v>
      </c>
    </row>
    <row r="139" spans="2:61" x14ac:dyDescent="0.25">
      <c r="C139" s="11" t="s">
        <v>845</v>
      </c>
      <c r="D139" s="12" t="s">
        <v>681</v>
      </c>
      <c r="E139" s="74">
        <f>E137-E138</f>
        <v>0</v>
      </c>
      <c r="F139" s="74">
        <f>F137-F138</f>
        <v>0</v>
      </c>
      <c r="G139" s="74">
        <f>G137-G138</f>
        <v>0</v>
      </c>
      <c r="H139" s="74">
        <f>H137-H138</f>
        <v>0</v>
      </c>
      <c r="I139" s="77">
        <f>SUM(E139:H139)</f>
        <v>0</v>
      </c>
      <c r="J139" s="74">
        <f>J137-J138</f>
        <v>0</v>
      </c>
      <c r="K139" s="74">
        <f>K137-K138</f>
        <v>0</v>
      </c>
      <c r="L139" s="74">
        <f>L137-L138</f>
        <v>0</v>
      </c>
      <c r="M139" s="74">
        <f>M137-M138</f>
        <v>0</v>
      </c>
      <c r="N139" s="77">
        <f>SUM(J139:M139)</f>
        <v>0</v>
      </c>
      <c r="O139" s="74">
        <f>O137-O138</f>
        <v>0</v>
      </c>
      <c r="P139" s="74">
        <f>P137-P138</f>
        <v>0</v>
      </c>
      <c r="Q139" s="74">
        <f>Q137-Q138</f>
        <v>0</v>
      </c>
      <c r="R139" s="74">
        <f>R137-R138</f>
        <v>0</v>
      </c>
      <c r="S139" s="77">
        <f>SUM(O139:R139)</f>
        <v>0</v>
      </c>
      <c r="T139" s="74">
        <f>T137-T138</f>
        <v>0</v>
      </c>
      <c r="U139" s="74">
        <f>U137-U138</f>
        <v>0</v>
      </c>
      <c r="V139" s="74">
        <f>V137-V138</f>
        <v>0</v>
      </c>
      <c r="W139" s="74">
        <f>W137-W138</f>
        <v>0</v>
      </c>
      <c r="X139" s="77">
        <f>SUM(T139:W139)</f>
        <v>0</v>
      </c>
      <c r="Y139" s="74">
        <f>Y137-Y138</f>
        <v>0</v>
      </c>
      <c r="Z139" s="74">
        <f>Z137-Z138</f>
        <v>0</v>
      </c>
      <c r="AA139" s="74">
        <f>AA137-AA138</f>
        <v>0</v>
      </c>
      <c r="AB139" s="74">
        <f>AB137-AB138</f>
        <v>0</v>
      </c>
      <c r="AC139" s="77">
        <f>SUM(Y139:AB139)</f>
        <v>0</v>
      </c>
      <c r="AD139" s="74">
        <f>AD137-AD138</f>
        <v>0</v>
      </c>
      <c r="AE139" s="74">
        <f>AE137-AE138</f>
        <v>0</v>
      </c>
      <c r="AF139" s="74">
        <f>AF137-AF138</f>
        <v>0</v>
      </c>
      <c r="AG139" s="74">
        <f>AG137-AG138</f>
        <v>0</v>
      </c>
      <c r="AH139" s="77">
        <f>SUM(AD139:AG139)</f>
        <v>0</v>
      </c>
      <c r="AI139" s="74">
        <f>AI137-AI138</f>
        <v>0</v>
      </c>
      <c r="AJ139" s="74">
        <f>AJ137-AJ138</f>
        <v>0</v>
      </c>
      <c r="AK139" s="74">
        <f>AK137-AK138</f>
        <v>0</v>
      </c>
      <c r="AL139" s="74">
        <f>AL137-AL138</f>
        <v>0</v>
      </c>
      <c r="AM139" s="77">
        <f>SUM(AI139:AL139)</f>
        <v>0</v>
      </c>
      <c r="AN139" s="74">
        <f>AN137-AN138</f>
        <v>0</v>
      </c>
      <c r="AO139" s="74">
        <f>AO137-AO138</f>
        <v>0</v>
      </c>
      <c r="AP139" s="74">
        <f>AP137-AP138</f>
        <v>0</v>
      </c>
      <c r="AQ139" s="74">
        <f>AQ137-AQ138</f>
        <v>0</v>
      </c>
      <c r="AR139" s="77">
        <f>SUM(AN139:AQ139)</f>
        <v>0</v>
      </c>
      <c r="AS139" s="74">
        <f>AS137-AS138</f>
        <v>0</v>
      </c>
      <c r="AT139" s="74">
        <f>AT137-AT138</f>
        <v>0</v>
      </c>
      <c r="AU139" s="74">
        <f>AU137-AU138</f>
        <v>0</v>
      </c>
      <c r="AV139" s="74">
        <f>AV137-AV138</f>
        <v>0</v>
      </c>
      <c r="AW139" s="77">
        <f>SUM(AS139:AV139)</f>
        <v>0</v>
      </c>
      <c r="AX139" s="74">
        <f>AX137-AX138</f>
        <v>0</v>
      </c>
      <c r="AY139" s="74">
        <f>AY137-AY138</f>
        <v>0</v>
      </c>
      <c r="AZ139" s="74">
        <f>AZ137-AZ138</f>
        <v>0</v>
      </c>
      <c r="BA139" s="74">
        <f>BA137-BA138</f>
        <v>0</v>
      </c>
      <c r="BB139" s="77">
        <f>SUM(AX139:BA139)</f>
        <v>0</v>
      </c>
      <c r="BC139" s="74">
        <f>BC137-BC138</f>
        <v>0</v>
      </c>
      <c r="BD139" s="74">
        <f>BD137-BD138</f>
        <v>0</v>
      </c>
      <c r="BE139" s="74">
        <f>BE137-BE138</f>
        <v>0</v>
      </c>
      <c r="BF139" s="74">
        <f>BF137-BF138</f>
        <v>0</v>
      </c>
      <c r="BG139" s="77">
        <f>SUM(BC139:BF139)</f>
        <v>0</v>
      </c>
    </row>
    <row r="140" spans="2:61" x14ac:dyDescent="0.25">
      <c r="C140" s="11" t="s">
        <v>846</v>
      </c>
      <c r="D140" s="12" t="s">
        <v>847</v>
      </c>
      <c r="E140" s="74">
        <f>E101+E107+E108+E117</f>
        <v>0</v>
      </c>
      <c r="F140" s="74">
        <f>F101+F107+F108+F117</f>
        <v>0</v>
      </c>
      <c r="G140" s="74">
        <f>G101+G107+G108+G117</f>
        <v>0</v>
      </c>
      <c r="H140" s="74">
        <f>H101+H107+H108+H117</f>
        <v>0</v>
      </c>
      <c r="I140" s="77">
        <f>SUM(E140:H140)</f>
        <v>0</v>
      </c>
      <c r="J140" s="74">
        <f>J101+J107+J108+J117</f>
        <v>0</v>
      </c>
      <c r="K140" s="74">
        <f>K101+K107+K108+K117</f>
        <v>0</v>
      </c>
      <c r="L140" s="74">
        <f>L101+L107+L108+L117</f>
        <v>0</v>
      </c>
      <c r="M140" s="74">
        <f>M101+M107+M108+M117</f>
        <v>0</v>
      </c>
      <c r="N140" s="77">
        <f>SUM(J140:M140)</f>
        <v>0</v>
      </c>
      <c r="O140" s="74">
        <f>O101+O107+O108+O117</f>
        <v>0</v>
      </c>
      <c r="P140" s="74">
        <f>P101+P107+P108+P117</f>
        <v>0</v>
      </c>
      <c r="Q140" s="74">
        <f>Q101+Q107+Q108+Q117</f>
        <v>0</v>
      </c>
      <c r="R140" s="74">
        <f>R101+R107+R108+R117</f>
        <v>0</v>
      </c>
      <c r="S140" s="77">
        <f>SUM(O140:R140)</f>
        <v>0</v>
      </c>
      <c r="T140" s="74">
        <f>T101+T107+T108+T117</f>
        <v>0</v>
      </c>
      <c r="U140" s="74">
        <f>U101+U107+U108+U117</f>
        <v>0</v>
      </c>
      <c r="V140" s="74">
        <f>V101+V107+V108+V117</f>
        <v>0</v>
      </c>
      <c r="W140" s="74">
        <f>W101+W107+W108+W117</f>
        <v>0</v>
      </c>
      <c r="X140" s="77">
        <f>SUM(T140:W140)</f>
        <v>0</v>
      </c>
      <c r="Y140" s="74">
        <f>Y101+Y107+Y108+Y117</f>
        <v>0</v>
      </c>
      <c r="Z140" s="74">
        <f>Z101+Z107+Z108+Z117</f>
        <v>0</v>
      </c>
      <c r="AA140" s="74">
        <f>AA101+AA107+AA108+AA117</f>
        <v>0</v>
      </c>
      <c r="AB140" s="74">
        <f>AB101+AB107+AB108+AB117</f>
        <v>0</v>
      </c>
      <c r="AC140" s="77">
        <f>SUM(Y140:AB140)</f>
        <v>0</v>
      </c>
      <c r="AD140" s="74">
        <f>AD101+AD107+AD108+AD117</f>
        <v>0</v>
      </c>
      <c r="AE140" s="74">
        <f>AE101+AE107+AE108+AE117</f>
        <v>0</v>
      </c>
      <c r="AF140" s="74">
        <f>AF101+AF107+AF108+AF117</f>
        <v>0</v>
      </c>
      <c r="AG140" s="74">
        <f>AG101+AG107+AG108+AG117</f>
        <v>0</v>
      </c>
      <c r="AH140" s="77">
        <f>SUM(AD140:AG140)</f>
        <v>0</v>
      </c>
      <c r="AI140" s="74">
        <f>AI101+AI107+AI108+AI117</f>
        <v>0</v>
      </c>
      <c r="AJ140" s="74">
        <f>AJ101+AJ107+AJ108+AJ117</f>
        <v>0</v>
      </c>
      <c r="AK140" s="74">
        <f>AK101+AK107+AK108+AK117</f>
        <v>0</v>
      </c>
      <c r="AL140" s="74">
        <f>AL101+AL107+AL108+AL117</f>
        <v>0</v>
      </c>
      <c r="AM140" s="77">
        <f>SUM(AI140:AL140)</f>
        <v>0</v>
      </c>
      <c r="AN140" s="74">
        <f>AN101+AN107+AN108+AN117</f>
        <v>0</v>
      </c>
      <c r="AO140" s="74">
        <f>AO101+AO107+AO108+AO117</f>
        <v>0</v>
      </c>
      <c r="AP140" s="74">
        <f>AP101+AP107+AP108+AP117</f>
        <v>0</v>
      </c>
      <c r="AQ140" s="74">
        <f>AQ101+AQ107+AQ108+AQ117</f>
        <v>0</v>
      </c>
      <c r="AR140" s="77">
        <f>SUM(AN140:AQ140)</f>
        <v>0</v>
      </c>
      <c r="AS140" s="74">
        <f>AS101+AS107+AS108+AS117</f>
        <v>0</v>
      </c>
      <c r="AT140" s="74">
        <f>AT101+AT107+AT108+AT117</f>
        <v>0</v>
      </c>
      <c r="AU140" s="74">
        <f>AU101+AU107+AU108+AU117</f>
        <v>0</v>
      </c>
      <c r="AV140" s="74">
        <f>AV101+AV107+AV108+AV117</f>
        <v>0</v>
      </c>
      <c r="AW140" s="77">
        <f>SUM(AS140:AV140)</f>
        <v>0</v>
      </c>
      <c r="AX140" s="74">
        <f>AX101+AX107+AX108+AX117</f>
        <v>0</v>
      </c>
      <c r="AY140" s="74">
        <f>AY101+AY107+AY108+AY117</f>
        <v>0</v>
      </c>
      <c r="AZ140" s="74">
        <f>AZ101+AZ107+AZ108+AZ117</f>
        <v>0</v>
      </c>
      <c r="BA140" s="74">
        <f>BA101+BA107+BA108+BA117</f>
        <v>0</v>
      </c>
      <c r="BB140" s="77">
        <f>SUM(AX140:BA140)</f>
        <v>0</v>
      </c>
      <c r="BC140" s="74">
        <f>BC101+BC107+BC108+BC117</f>
        <v>0</v>
      </c>
      <c r="BD140" s="74">
        <f>BD101+BD107+BD108+BD117</f>
        <v>0</v>
      </c>
      <c r="BE140" s="74">
        <f>BE101+BE107+BE108+BE117</f>
        <v>0</v>
      </c>
      <c r="BF140" s="74">
        <f>BF101+BF107+BF108+BF117</f>
        <v>0</v>
      </c>
      <c r="BG140" s="77">
        <f>SUM(BC140:BF140)</f>
        <v>0</v>
      </c>
      <c r="BI140" s="14" t="s">
        <v>848</v>
      </c>
    </row>
    <row r="141" spans="2:61" x14ac:dyDescent="0.25">
      <c r="C141" s="11" t="s">
        <v>849</v>
      </c>
      <c r="D141" s="12" t="s">
        <v>850</v>
      </c>
      <c r="E141" s="74">
        <f>-(E109+E110+E115+E118)</f>
        <v>0</v>
      </c>
      <c r="F141" s="74">
        <f>-(F109+F110+F115+F118)</f>
        <v>0</v>
      </c>
      <c r="G141" s="74">
        <f>-(G109+G110+G115+G118)</f>
        <v>0</v>
      </c>
      <c r="H141" s="74">
        <f>-(H109+H110+H115+H118)</f>
        <v>0</v>
      </c>
      <c r="I141" s="77">
        <f>SUM(E141:H141)</f>
        <v>0</v>
      </c>
      <c r="J141" s="74">
        <f>-(J109+J110+J115+J118)</f>
        <v>0</v>
      </c>
      <c r="K141" s="74">
        <f>-(K109+K110+K115+K118)</f>
        <v>0</v>
      </c>
      <c r="L141" s="74">
        <f>-(L109+L110+L115+L118)</f>
        <v>0</v>
      </c>
      <c r="M141" s="74">
        <f>-(M109+M110+M115+M118)</f>
        <v>0</v>
      </c>
      <c r="N141" s="77">
        <f>SUM(J141:M141)</f>
        <v>0</v>
      </c>
      <c r="O141" s="74">
        <f>-(O109+O110+O115+O118)</f>
        <v>0</v>
      </c>
      <c r="P141" s="74">
        <f>-(P109+P110+P115+P118)</f>
        <v>0</v>
      </c>
      <c r="Q141" s="74">
        <f>-(Q109+Q110+Q115+Q118)</f>
        <v>0</v>
      </c>
      <c r="R141" s="74">
        <f>-(R109+R110+R115+R118)</f>
        <v>0</v>
      </c>
      <c r="S141" s="77">
        <f>SUM(O141:R141)</f>
        <v>0</v>
      </c>
      <c r="T141" s="74">
        <f>-(T109+T110+T115+T118)</f>
        <v>0</v>
      </c>
      <c r="U141" s="74">
        <f>-(U109+U110+U115+U118)</f>
        <v>0</v>
      </c>
      <c r="V141" s="74">
        <f>-(V109+V110+V115+V118)</f>
        <v>0</v>
      </c>
      <c r="W141" s="74">
        <f>-(W109+W110+W115+W118)</f>
        <v>0</v>
      </c>
      <c r="X141" s="77">
        <f>SUM(T141:W141)</f>
        <v>0</v>
      </c>
      <c r="Y141" s="74">
        <f>-(Y109+Y110+Y115+Y118)</f>
        <v>0</v>
      </c>
      <c r="Z141" s="74">
        <f>-(Z109+Z110+Z115+Z118)</f>
        <v>0</v>
      </c>
      <c r="AA141" s="74">
        <f>-(AA109+AA110+AA115+AA118)</f>
        <v>0</v>
      </c>
      <c r="AB141" s="74">
        <f>-(AB109+AB110+AB115+AB118)</f>
        <v>0</v>
      </c>
      <c r="AC141" s="77">
        <f>SUM(Y141:AB141)</f>
        <v>0</v>
      </c>
      <c r="AD141" s="74">
        <f>-(AD109+AD110+AD115+AD118)</f>
        <v>0</v>
      </c>
      <c r="AE141" s="74">
        <f>-(AE109+AE110+AE115+AE118)</f>
        <v>0</v>
      </c>
      <c r="AF141" s="74">
        <f>-(AF109+AF110+AF115+AF118)</f>
        <v>0</v>
      </c>
      <c r="AG141" s="74">
        <f>-(AG109+AG110+AG115+AG118)</f>
        <v>0</v>
      </c>
      <c r="AH141" s="77">
        <f>SUM(AD141:AG141)</f>
        <v>0</v>
      </c>
      <c r="AI141" s="74">
        <f>-(AI109+AI110+AI115+AI118)</f>
        <v>0</v>
      </c>
      <c r="AJ141" s="74">
        <f>-(AJ109+AJ110+AJ115+AJ118)</f>
        <v>0</v>
      </c>
      <c r="AK141" s="74">
        <f>-(AK109+AK110+AK115+AK118)</f>
        <v>0</v>
      </c>
      <c r="AL141" s="74">
        <f>-(AL109+AL110+AL115+AL118)</f>
        <v>0</v>
      </c>
      <c r="AM141" s="77">
        <f>SUM(AI141:AL141)</f>
        <v>0</v>
      </c>
      <c r="AN141" s="74">
        <f>-(AN109+AN110+AN115+AN118)</f>
        <v>0</v>
      </c>
      <c r="AO141" s="74">
        <f>-(AO109+AO110+AO115+AO118)</f>
        <v>0</v>
      </c>
      <c r="AP141" s="74">
        <f>-(AP109+AP110+AP115+AP118)</f>
        <v>0</v>
      </c>
      <c r="AQ141" s="74">
        <f>-(AQ109+AQ110+AQ115+AQ118)</f>
        <v>0</v>
      </c>
      <c r="AR141" s="77">
        <f>SUM(AN141:AQ141)</f>
        <v>0</v>
      </c>
      <c r="AS141" s="74">
        <f>-(AS109+AS110+AS115+AS118)</f>
        <v>0</v>
      </c>
      <c r="AT141" s="74">
        <f>-(AT109+AT110+AT115+AT118)</f>
        <v>0</v>
      </c>
      <c r="AU141" s="74">
        <f>-(AU109+AU110+AU115+AU118)</f>
        <v>0</v>
      </c>
      <c r="AV141" s="74">
        <f>-(AV109+AV110+AV115+AV118)</f>
        <v>0</v>
      </c>
      <c r="AW141" s="77">
        <f>SUM(AS141:AV141)</f>
        <v>0</v>
      </c>
      <c r="AX141" s="74">
        <f>-(AX109+AX110+AX115+AX118)</f>
        <v>0</v>
      </c>
      <c r="AY141" s="74">
        <f>-(AY109+AY110+AY115+AY118)</f>
        <v>0</v>
      </c>
      <c r="AZ141" s="74">
        <f>-(AZ109+AZ110+AZ115+AZ118)</f>
        <v>0</v>
      </c>
      <c r="BA141" s="74">
        <f>-(BA109+BA110+BA115+BA118)</f>
        <v>0</v>
      </c>
      <c r="BB141" s="77">
        <f>SUM(AX141:BA141)</f>
        <v>0</v>
      </c>
      <c r="BC141" s="74">
        <f>-(BC109+BC110+BC115+BC118)</f>
        <v>0</v>
      </c>
      <c r="BD141" s="74">
        <f>-(BD109+BD110+BD115+BD118)</f>
        <v>0</v>
      </c>
      <c r="BE141" s="74">
        <f>-(BE109+BE110+BE115+BE118)</f>
        <v>0</v>
      </c>
      <c r="BF141" s="74">
        <f>-(BF109+BF110+BF115+BF118)</f>
        <v>0</v>
      </c>
      <c r="BG141" s="77">
        <f>SUM(BC141:BF141)</f>
        <v>0</v>
      </c>
    </row>
    <row r="143" spans="2:61" x14ac:dyDescent="0.25">
      <c r="B143" s="7"/>
      <c r="C143" s="7" t="str">
        <f>"QUALIDADE DE CRÉDITO ("&amp;Inputs!$E$202&amp;")"</f>
        <v>QUALIDADE DE CRÉDITO (R$ milhões)</v>
      </c>
      <c r="D143" s="7" t="s">
        <v>851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2:61" x14ac:dyDescent="0.25">
      <c r="C144" s="80" t="s">
        <v>196</v>
      </c>
      <c r="D144" s="81" t="s">
        <v>663</v>
      </c>
      <c r="E144" s="82">
        <f>'Inputs (2)'!E111</f>
        <v>0</v>
      </c>
      <c r="F144" s="82">
        <f>IF(F$14=1,'Inputs (2)'!F111,E144*(1+Inputs!F$270))</f>
        <v>0</v>
      </c>
      <c r="G144" s="82">
        <f>IF(G$14=1,'Inputs (2)'!G111,F144*(1+Inputs!G$270))</f>
        <v>0</v>
      </c>
      <c r="H144" s="82">
        <f>IF(H$14=1,'Inputs (2)'!H111,G144*(1+Inputs!H$270))</f>
        <v>0</v>
      </c>
      <c r="I144" s="77">
        <f t="shared" ref="I144:I149" si="50">H144</f>
        <v>0</v>
      </c>
      <c r="J144" s="82">
        <f>IF(J$14=1,'Inputs (2)'!J111,H144*(1+Inputs!J$270))</f>
        <v>0</v>
      </c>
      <c r="K144" s="82">
        <f>IF(K$14=1,'Inputs (2)'!K111,J144*(1+Inputs!K$270))</f>
        <v>0</v>
      </c>
      <c r="L144" s="82">
        <f>IF(L$14=1,'Inputs (2)'!L111,K144*(1+Inputs!L$270))</f>
        <v>0</v>
      </c>
      <c r="M144" s="82">
        <f>IF(M$14=1,'Inputs (2)'!M111,L144*(1+Inputs!M$270))</f>
        <v>0</v>
      </c>
      <c r="N144" s="77">
        <f t="shared" ref="N144:N149" si="51">M144</f>
        <v>0</v>
      </c>
      <c r="O144" s="82">
        <f>IF(O$14=1,'Inputs (2)'!O111,M144*(1+Inputs!O$270))</f>
        <v>0</v>
      </c>
      <c r="P144" s="82">
        <f>IF(P$14=1,'Inputs (2)'!P111,O144*(1+Inputs!P$270))</f>
        <v>0</v>
      </c>
      <c r="Q144" s="82">
        <f>IF(Q$14=1,'Inputs (2)'!Q111,P144*(1+Inputs!Q$270))</f>
        <v>0</v>
      </c>
      <c r="R144" s="82">
        <f>IF(R$14=1,'Inputs (2)'!R111,Q144*(1+Inputs!R$270))</f>
        <v>0</v>
      </c>
      <c r="S144" s="77">
        <f t="shared" ref="S144:S149" si="52">R144</f>
        <v>0</v>
      </c>
      <c r="T144" s="82">
        <f>IF(T$14=1,'Inputs (2)'!T111,R144*(1+Inputs!T$270))</f>
        <v>0</v>
      </c>
      <c r="U144" s="82">
        <f>IF(U$14=1,'Inputs (2)'!U111,T144*(1+Inputs!U$270))</f>
        <v>0</v>
      </c>
      <c r="V144" s="82">
        <f>IF(V$14=1,'Inputs (2)'!V111,U144*(1+Inputs!V$270))</f>
        <v>0</v>
      </c>
      <c r="W144" s="82">
        <f>IF(W$14=1,'Inputs (2)'!W111,V144*(1+Inputs!W$270))</f>
        <v>0</v>
      </c>
      <c r="X144" s="77">
        <f t="shared" ref="X144:X149" si="53">W144</f>
        <v>0</v>
      </c>
      <c r="Y144" s="82">
        <f>IF(Y$14=1,'Inputs (2)'!Y111,W144*(1+Inputs!Y$270))</f>
        <v>0</v>
      </c>
      <c r="Z144" s="82">
        <f>IF(Z$14=1,'Inputs (2)'!Z111,Y144*(1+Inputs!Z$270))</f>
        <v>0</v>
      </c>
      <c r="AA144" s="82">
        <f>IF(AA$14=1,'Inputs (2)'!AA111,Z144*(1+Inputs!AA$270))</f>
        <v>0</v>
      </c>
      <c r="AB144" s="82">
        <f>IF(AB$14=1,'Inputs (2)'!AB111,AA144*(1+Inputs!AB$270))</f>
        <v>0</v>
      </c>
      <c r="AC144" s="77">
        <f t="shared" ref="AC144:AC149" si="54">AB144</f>
        <v>0</v>
      </c>
      <c r="AD144" s="82">
        <f>IF(AD$14=1,'Inputs (2)'!AD111,AB144*(1+Inputs!AD$270))</f>
        <v>0</v>
      </c>
      <c r="AE144" s="82">
        <f>IF(AE$14=1,'Inputs (2)'!AE111,AD144*(1+Inputs!AE$270))</f>
        <v>0</v>
      </c>
      <c r="AF144" s="82">
        <f>IF(AF$14=1,'Inputs (2)'!AF111,AE144*(1+Inputs!AF$270))</f>
        <v>0</v>
      </c>
      <c r="AG144" s="82">
        <f>IF(AG$14=1,'Inputs (2)'!AG111,AF144*(1+Inputs!AG$270))</f>
        <v>0</v>
      </c>
      <c r="AH144" s="77">
        <f t="shared" ref="AH144:AH149" si="55">AG144</f>
        <v>0</v>
      </c>
      <c r="AI144" s="82">
        <f>IF(AI$14=1,'Inputs (2)'!AI111,AG144*(1+Inputs!AI$270))</f>
        <v>0</v>
      </c>
      <c r="AJ144" s="82">
        <f>IF(AJ$14=1,'Inputs (2)'!AJ111,AI144*(1+Inputs!AJ$270))</f>
        <v>0</v>
      </c>
      <c r="AK144" s="82">
        <f>IF(AK$14=1,'Inputs (2)'!AK111,AJ144*(1+Inputs!AK$270))</f>
        <v>0</v>
      </c>
      <c r="AL144" s="82">
        <f>IF(AL$14=1,'Inputs (2)'!AL111,AK144*(1+Inputs!AL$270))</f>
        <v>0</v>
      </c>
      <c r="AM144" s="77">
        <f t="shared" ref="AM144:AM149" si="56">AL144</f>
        <v>0</v>
      </c>
      <c r="AN144" s="82">
        <f>IF(AN$14=1,'Inputs (2)'!AN111,AL144*(1+Inputs!AN$270))</f>
        <v>0</v>
      </c>
      <c r="AO144" s="82">
        <f>IF(AO$14=1,'Inputs (2)'!AO111,AN144*(1+Inputs!AO$270))</f>
        <v>0</v>
      </c>
      <c r="AP144" s="82">
        <f>IF(AP$14=1,'Inputs (2)'!AP111,AO144*(1+Inputs!AP$270))</f>
        <v>0</v>
      </c>
      <c r="AQ144" s="82">
        <f>IF(AQ$14=1,'Inputs (2)'!AQ111,AP144*(1+Inputs!AQ$270))</f>
        <v>0</v>
      </c>
      <c r="AR144" s="77">
        <f t="shared" ref="AR144:AR149" si="57">AQ144</f>
        <v>0</v>
      </c>
      <c r="AS144" s="82">
        <f>IF(AS$14=1,'Inputs (2)'!AS111,AQ144*(1+Inputs!AS$270))</f>
        <v>0</v>
      </c>
      <c r="AT144" s="82">
        <f>IF(AT$14=1,'Inputs (2)'!AT111,AS144*(1+Inputs!AT$270))</f>
        <v>0</v>
      </c>
      <c r="AU144" s="82">
        <f>IF(AU$14=1,'Inputs (2)'!AU111,AT144*(1+Inputs!AU$270))</f>
        <v>0</v>
      </c>
      <c r="AV144" s="82">
        <f>IF(AV$14=1,'Inputs (2)'!AV111,AU144*(1+Inputs!AV$270))</f>
        <v>0</v>
      </c>
      <c r="AW144" s="77">
        <f t="shared" ref="AW144:AW149" si="58">AV144</f>
        <v>0</v>
      </c>
      <c r="AX144" s="82">
        <f>IF(AX$14=1,'Inputs (2)'!AX111,AV144*(1+Inputs!AX$270))</f>
        <v>0</v>
      </c>
      <c r="AY144" s="82">
        <f>IF(AY$14=1,'Inputs (2)'!AY111,AX144*(1+Inputs!AY$270))</f>
        <v>0</v>
      </c>
      <c r="AZ144" s="82">
        <f>IF(AZ$14=1,'Inputs (2)'!AZ111,AY144*(1+Inputs!AZ$270))</f>
        <v>0</v>
      </c>
      <c r="BA144" s="82">
        <f>IF(BA$14=1,'Inputs (2)'!BA111,AZ144*(1+Inputs!BA$270))</f>
        <v>0</v>
      </c>
      <c r="BB144" s="77">
        <f t="shared" ref="BB144:BB149" si="59">BA144</f>
        <v>0</v>
      </c>
      <c r="BC144" s="82">
        <f>IF(BC$14=1,'Inputs (2)'!BC111,BA144*(1+Inputs!BC$270))</f>
        <v>0</v>
      </c>
      <c r="BD144" s="82">
        <f>IF(BD$14=1,'Inputs (2)'!BD111,BC144*(1+Inputs!BD$270))</f>
        <v>0</v>
      </c>
      <c r="BE144" s="82">
        <f>IF(BE$14=1,'Inputs (2)'!BE111,BD144*(1+Inputs!BE$270))</f>
        <v>0</v>
      </c>
      <c r="BF144" s="82">
        <f>IF(BF$14=1,'Inputs (2)'!BF111,BE144*(1+Inputs!BF$270))</f>
        <v>0</v>
      </c>
      <c r="BG144" s="77">
        <f t="shared" ref="BG144:BG149" si="60">BF144</f>
        <v>0</v>
      </c>
    </row>
    <row r="145" spans="2:61" x14ac:dyDescent="0.25">
      <c r="C145" s="80" t="s">
        <v>852</v>
      </c>
      <c r="D145" s="81" t="s">
        <v>853</v>
      </c>
      <c r="E145" s="82">
        <f>-E33</f>
        <v>0</v>
      </c>
      <c r="F145" s="82">
        <f>-F33</f>
        <v>0</v>
      </c>
      <c r="G145" s="82">
        <f>-G33</f>
        <v>0</v>
      </c>
      <c r="H145" s="82">
        <f>-H33</f>
        <v>0</v>
      </c>
      <c r="I145" s="77">
        <f t="shared" si="50"/>
        <v>0</v>
      </c>
      <c r="J145" s="82">
        <f>-J33</f>
        <v>0</v>
      </c>
      <c r="K145" s="82">
        <f>-K33</f>
        <v>0</v>
      </c>
      <c r="L145" s="82">
        <f>-L33</f>
        <v>0</v>
      </c>
      <c r="M145" s="82">
        <f>-M33</f>
        <v>0</v>
      </c>
      <c r="N145" s="77">
        <f t="shared" si="51"/>
        <v>0</v>
      </c>
      <c r="O145" s="82">
        <f>-O33</f>
        <v>0</v>
      </c>
      <c r="P145" s="82">
        <f>-P33</f>
        <v>0</v>
      </c>
      <c r="Q145" s="82">
        <f>-Q33</f>
        <v>0</v>
      </c>
      <c r="R145" s="82">
        <f>-R33</f>
        <v>0</v>
      </c>
      <c r="S145" s="77">
        <f t="shared" si="52"/>
        <v>0</v>
      </c>
      <c r="T145" s="82">
        <f>-T33</f>
        <v>0</v>
      </c>
      <c r="U145" s="82">
        <f>-U33</f>
        <v>0</v>
      </c>
      <c r="V145" s="82">
        <f>-V33</f>
        <v>0</v>
      </c>
      <c r="W145" s="82">
        <f>-W33</f>
        <v>0</v>
      </c>
      <c r="X145" s="77">
        <f t="shared" si="53"/>
        <v>0</v>
      </c>
      <c r="Y145" s="82">
        <f>-Y33</f>
        <v>0</v>
      </c>
      <c r="Z145" s="82">
        <f>-Z33</f>
        <v>0</v>
      </c>
      <c r="AA145" s="82">
        <f>-AA33</f>
        <v>0</v>
      </c>
      <c r="AB145" s="82">
        <f>-AB33</f>
        <v>0</v>
      </c>
      <c r="AC145" s="77">
        <f t="shared" si="54"/>
        <v>0</v>
      </c>
      <c r="AD145" s="82">
        <f>-AD33</f>
        <v>0</v>
      </c>
      <c r="AE145" s="82">
        <f>-AE33</f>
        <v>0</v>
      </c>
      <c r="AF145" s="82">
        <f>-AF33</f>
        <v>0</v>
      </c>
      <c r="AG145" s="82">
        <f>-AG33</f>
        <v>0</v>
      </c>
      <c r="AH145" s="77">
        <f t="shared" si="55"/>
        <v>0</v>
      </c>
      <c r="AI145" s="82">
        <f>-AI33</f>
        <v>0</v>
      </c>
      <c r="AJ145" s="82">
        <f>-AJ33</f>
        <v>0</v>
      </c>
      <c r="AK145" s="82">
        <f>-AK33</f>
        <v>0</v>
      </c>
      <c r="AL145" s="82">
        <f>-AL33</f>
        <v>0</v>
      </c>
      <c r="AM145" s="77">
        <f t="shared" si="56"/>
        <v>0</v>
      </c>
      <c r="AN145" s="82">
        <f>-AN33</f>
        <v>0</v>
      </c>
      <c r="AO145" s="82">
        <f>-AO33</f>
        <v>0</v>
      </c>
      <c r="AP145" s="82">
        <f>-AP33</f>
        <v>0</v>
      </c>
      <c r="AQ145" s="82">
        <f>-AQ33</f>
        <v>0</v>
      </c>
      <c r="AR145" s="77">
        <f t="shared" si="57"/>
        <v>0</v>
      </c>
      <c r="AS145" s="82">
        <f>-AS33</f>
        <v>0</v>
      </c>
      <c r="AT145" s="82">
        <f>-AT33</f>
        <v>0</v>
      </c>
      <c r="AU145" s="82">
        <f>-AU33</f>
        <v>0</v>
      </c>
      <c r="AV145" s="82">
        <f>-AV33</f>
        <v>0</v>
      </c>
      <c r="AW145" s="77">
        <f t="shared" si="58"/>
        <v>0</v>
      </c>
      <c r="AX145" s="82">
        <f>-AX33</f>
        <v>0</v>
      </c>
      <c r="AY145" s="82">
        <f>-AY33</f>
        <v>0</v>
      </c>
      <c r="AZ145" s="82">
        <f>-AZ33</f>
        <v>0</v>
      </c>
      <c r="BA145" s="82">
        <f>-BA33</f>
        <v>0</v>
      </c>
      <c r="BB145" s="77">
        <f t="shared" si="59"/>
        <v>0</v>
      </c>
      <c r="BC145" s="82">
        <f>-BC33</f>
        <v>0</v>
      </c>
      <c r="BD145" s="82">
        <f>-BD33</f>
        <v>0</v>
      </c>
      <c r="BE145" s="82">
        <f>-BE33</f>
        <v>0</v>
      </c>
      <c r="BF145" s="82">
        <f>-BF33</f>
        <v>0</v>
      </c>
      <c r="BG145" s="77">
        <f t="shared" si="60"/>
        <v>0</v>
      </c>
    </row>
    <row r="146" spans="2:61" x14ac:dyDescent="0.25">
      <c r="C146" s="80" t="s">
        <v>204</v>
      </c>
      <c r="D146" s="81" t="s">
        <v>668</v>
      </c>
      <c r="E146" s="82">
        <f>'Inputs (2)'!E115</f>
        <v>0</v>
      </c>
      <c r="F146" s="82">
        <f>IF(F$14=1,'Inputs (2)'!F115,E146*(1+Inputs!F$270))</f>
        <v>0</v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 t="shared" si="50"/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 t="shared" si="51"/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 t="shared" si="52"/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 t="shared" si="53"/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 t="shared" si="54"/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 t="shared" si="55"/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 t="shared" si="56"/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 t="shared" si="57"/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 t="shared" si="58"/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 t="shared" si="59"/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 t="shared" si="60"/>
        <v>0</v>
      </c>
    </row>
    <row r="147" spans="2:61" x14ac:dyDescent="0.25">
      <c r="C147" s="80" t="s">
        <v>206</v>
      </c>
      <c r="D147" s="81" t="s">
        <v>669</v>
      </c>
      <c r="E147" s="82">
        <f>'Inputs (2)'!E116</f>
        <v>0</v>
      </c>
      <c r="F147" s="82">
        <f>IF(F$14=1,'Inputs (2)'!F116,E147*(1+Inputs!F$270))</f>
        <v>0</v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 t="shared" si="50"/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 t="shared" si="51"/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 t="shared" si="52"/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 t="shared" si="53"/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 t="shared" si="54"/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 t="shared" si="55"/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 t="shared" si="56"/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 t="shared" si="57"/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 t="shared" si="58"/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 t="shared" si="59"/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 t="shared" si="60"/>
        <v>0</v>
      </c>
    </row>
    <row r="148" spans="2:61" x14ac:dyDescent="0.25">
      <c r="C148" s="80" t="s">
        <v>216</v>
      </c>
      <c r="D148" s="81" t="s">
        <v>854</v>
      </c>
      <c r="E148" s="82">
        <f>'Inputs (2)'!E121</f>
        <v>0</v>
      </c>
      <c r="F148" s="82">
        <f>IF(F$14=1,'Inputs (2)'!F121,E148*(1+Inputs!F$270))</f>
        <v>0</v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 t="shared" si="50"/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0</v>
      </c>
      <c r="N148" s="77">
        <f t="shared" si="51"/>
        <v>0</v>
      </c>
      <c r="O148" s="82">
        <f>IF(O$14=1,'Inputs (2)'!O121,M148*(1+Inputs!O$270))</f>
        <v>0</v>
      </c>
      <c r="P148" s="82">
        <f>IF(P$14=1,'Inputs (2)'!P121,O148*(1+Inputs!P$270))</f>
        <v>0</v>
      </c>
      <c r="Q148" s="82">
        <f>IF(Q$14=1,'Inputs (2)'!Q121,P148*(1+Inputs!Q$270))</f>
        <v>0</v>
      </c>
      <c r="R148" s="82">
        <f>IF(R$14=1,'Inputs (2)'!R121,Q148*(1+Inputs!R$270))</f>
        <v>0</v>
      </c>
      <c r="S148" s="77">
        <f t="shared" si="52"/>
        <v>0</v>
      </c>
      <c r="T148" s="82">
        <f>IF(T$14=1,'Inputs (2)'!T121,R148*(1+Inputs!T$270))</f>
        <v>0</v>
      </c>
      <c r="U148" s="82">
        <f>IF(U$14=1,'Inputs (2)'!U121,T148*(1+Inputs!U$270))</f>
        <v>0</v>
      </c>
      <c r="V148" s="82">
        <f>IF(V$14=1,'Inputs (2)'!V121,U148*(1+Inputs!V$270))</f>
        <v>0</v>
      </c>
      <c r="W148" s="82">
        <f>IF(W$14=1,'Inputs (2)'!W121,V148*(1+Inputs!W$270))</f>
        <v>0</v>
      </c>
      <c r="X148" s="77">
        <f t="shared" si="53"/>
        <v>0</v>
      </c>
      <c r="Y148" s="82">
        <f>IF(Y$14=1,'Inputs (2)'!Y121,W148*(1+Inputs!Y$270))</f>
        <v>0</v>
      </c>
      <c r="Z148" s="82">
        <f>IF(Z$14=1,'Inputs (2)'!Z121,Y148*(1+Inputs!Z$270))</f>
        <v>0</v>
      </c>
      <c r="AA148" s="82">
        <f>IF(AA$14=1,'Inputs (2)'!AA121,Z148*(1+Inputs!AA$270))</f>
        <v>0</v>
      </c>
      <c r="AB148" s="82">
        <f>IF(AB$14=1,'Inputs (2)'!AB121,AA148*(1+Inputs!AB$270))</f>
        <v>0</v>
      </c>
      <c r="AC148" s="77">
        <f t="shared" si="54"/>
        <v>0</v>
      </c>
      <c r="AD148" s="82">
        <f>IF(AD$14=1,'Inputs (2)'!AD121,AB148*(1+Inputs!AD$270))</f>
        <v>0</v>
      </c>
      <c r="AE148" s="82">
        <f>IF(AE$14=1,'Inputs (2)'!AE121,AD148*(1+Inputs!AE$270))</f>
        <v>0</v>
      </c>
      <c r="AF148" s="82">
        <f>IF(AF$14=1,'Inputs (2)'!AF121,AE148*(1+Inputs!AF$270))</f>
        <v>0</v>
      </c>
      <c r="AG148" s="82">
        <f>IF(AG$14=1,'Inputs (2)'!AG121,AF148*(1+Inputs!AG$270))</f>
        <v>0</v>
      </c>
      <c r="AH148" s="77">
        <f t="shared" si="55"/>
        <v>0</v>
      </c>
      <c r="AI148" s="82">
        <f>IF(AI$14=1,'Inputs (2)'!AI121,AG148*(1+Inputs!AI$270))</f>
        <v>0</v>
      </c>
      <c r="AJ148" s="82">
        <f>IF(AJ$14=1,'Inputs (2)'!AJ121,AI148*(1+Inputs!AJ$270))</f>
        <v>0</v>
      </c>
      <c r="AK148" s="82">
        <f>IF(AK$14=1,'Inputs (2)'!AK121,AJ148*(1+Inputs!AK$270))</f>
        <v>0</v>
      </c>
      <c r="AL148" s="82">
        <f>IF(AL$14=1,'Inputs (2)'!AL121,AK148*(1+Inputs!AL$270))</f>
        <v>0</v>
      </c>
      <c r="AM148" s="77">
        <f t="shared" si="56"/>
        <v>0</v>
      </c>
      <c r="AN148" s="82">
        <f>IF(AN$14=1,'Inputs (2)'!AN121,AL148*(1+Inputs!AN$270))</f>
        <v>0</v>
      </c>
      <c r="AO148" s="82">
        <f>IF(AO$14=1,'Inputs (2)'!AO121,AN148*(1+Inputs!AO$270))</f>
        <v>0</v>
      </c>
      <c r="AP148" s="82">
        <f>IF(AP$14=1,'Inputs (2)'!AP121,AO148*(1+Inputs!AP$270))</f>
        <v>0</v>
      </c>
      <c r="AQ148" s="82">
        <f>IF(AQ$14=1,'Inputs (2)'!AQ121,AP148*(1+Inputs!AQ$270))</f>
        <v>0</v>
      </c>
      <c r="AR148" s="77">
        <f t="shared" si="57"/>
        <v>0</v>
      </c>
      <c r="AS148" s="82">
        <f>IF(AS$14=1,'Inputs (2)'!AS121,AQ148*(1+Inputs!AS$270))</f>
        <v>0</v>
      </c>
      <c r="AT148" s="82">
        <f>IF(AT$14=1,'Inputs (2)'!AT121,AS148*(1+Inputs!AT$270))</f>
        <v>0</v>
      </c>
      <c r="AU148" s="82">
        <f>IF(AU$14=1,'Inputs (2)'!AU121,AT148*(1+Inputs!AU$270))</f>
        <v>0</v>
      </c>
      <c r="AV148" s="82">
        <f>IF(AV$14=1,'Inputs (2)'!AV121,AU148*(1+Inputs!AV$270))</f>
        <v>0</v>
      </c>
      <c r="AW148" s="77">
        <f t="shared" si="58"/>
        <v>0</v>
      </c>
      <c r="AX148" s="82">
        <f>IF(AX$14=1,'Inputs (2)'!AX121,AV148*(1+Inputs!AX$270))</f>
        <v>0</v>
      </c>
      <c r="AY148" s="82">
        <f>IF(AY$14=1,'Inputs (2)'!AY121,AX148*(1+Inputs!AY$270))</f>
        <v>0</v>
      </c>
      <c r="AZ148" s="82">
        <f>IF(AZ$14=1,'Inputs (2)'!AZ121,AY148*(1+Inputs!AZ$270))</f>
        <v>0</v>
      </c>
      <c r="BA148" s="82">
        <f>IF(BA$14=1,'Inputs (2)'!BA121,AZ148*(1+Inputs!BA$270))</f>
        <v>0</v>
      </c>
      <c r="BB148" s="77">
        <f t="shared" si="59"/>
        <v>0</v>
      </c>
      <c r="BC148" s="82">
        <f>IF(BC$14=1,'Inputs (2)'!BC121,BA148*(1+Inputs!BC$270))</f>
        <v>0</v>
      </c>
      <c r="BD148" s="82">
        <f>IF(BD$14=1,'Inputs (2)'!BD121,BC148*(1+Inputs!BD$270))</f>
        <v>0</v>
      </c>
      <c r="BE148" s="82">
        <f>IF(BE$14=1,'Inputs (2)'!BE121,BD148*(1+Inputs!BE$270))</f>
        <v>0</v>
      </c>
      <c r="BF148" s="82">
        <f>IF(BF$14=1,'Inputs (2)'!BF121,BE148*(1+Inputs!BF$270))</f>
        <v>0</v>
      </c>
      <c r="BG148" s="77">
        <f t="shared" si="60"/>
        <v>0</v>
      </c>
    </row>
    <row r="149" spans="2:61" x14ac:dyDescent="0.25">
      <c r="C149" s="80" t="s">
        <v>218</v>
      </c>
      <c r="D149" s="81" t="s">
        <v>855</v>
      </c>
      <c r="E149" s="82">
        <f>'Inputs (2)'!E122</f>
        <v>0</v>
      </c>
      <c r="F149" s="82">
        <f>IF(F$14=1,'Inputs (2)'!F122,E149*(1+Inputs!F$270))</f>
        <v>0</v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 t="shared" si="50"/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 t="shared" si="51"/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 t="shared" si="52"/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 t="shared" si="53"/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 t="shared" si="54"/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 t="shared" si="55"/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 t="shared" si="56"/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 t="shared" si="57"/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 t="shared" si="58"/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 t="shared" si="59"/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 t="shared" si="60"/>
        <v>0</v>
      </c>
    </row>
    <row r="150" spans="2:61" x14ac:dyDescent="0.25">
      <c r="C150" s="80" t="s">
        <v>220</v>
      </c>
      <c r="D150" s="81" t="s">
        <v>385</v>
      </c>
      <c r="E150" s="82">
        <f>IF(E$14=1,'Inputs (2)'!E123,E134*Inputs!E$273/4)</f>
        <v>0</v>
      </c>
      <c r="F150" s="82">
        <f>IF(F$14=1,'Inputs (2)'!F123,F134*Inputs!F$273/4)</f>
        <v>0</v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 spans="2:61" x14ac:dyDescent="0.25">
      <c r="C151" s="80" t="s">
        <v>210</v>
      </c>
      <c r="D151" s="81" t="s">
        <v>671</v>
      </c>
      <c r="E151" s="82">
        <f>'Inputs (2)'!E118</f>
        <v>0</v>
      </c>
      <c r="F151" s="82">
        <f>IF(F$14=1,'Inputs (2)'!F118,E151*(1+Inputs!F$270))</f>
        <v>0</v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 spans="2:61" x14ac:dyDescent="0.25">
      <c r="C152" s="80" t="s">
        <v>212</v>
      </c>
      <c r="D152" s="81" t="s">
        <v>672</v>
      </c>
      <c r="E152" s="82">
        <f>'Inputs (2)'!E119</f>
        <v>0</v>
      </c>
      <c r="F152" s="82">
        <f>IF(F$14=1,'Inputs (2)'!F119,E152*(1+Inputs!F$270))</f>
        <v>0</v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 spans="2:61" x14ac:dyDescent="0.25">
      <c r="B154" s="7"/>
      <c r="C154" s="7" t="str">
        <f>"CAPITAL REGULATÓRIO ("&amp;Inputs!$E$202&amp;")"</f>
        <v>CAPITAL REGULATÓRIO (R$ milhões)</v>
      </c>
      <c r="D154" s="7" t="s">
        <v>856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2:61" x14ac:dyDescent="0.25">
      <c r="C155" s="11" t="s">
        <v>232</v>
      </c>
      <c r="D155" s="12" t="s">
        <v>686</v>
      </c>
      <c r="E155" s="57">
        <f>IF(AND(E$14=1,ISNUMBER('Inputs (2)'!E133),'Inputs (2)'!E133&lt;&gt;0),'Inputs (2)'!E133,E42*Inputs!E$299)</f>
        <v>0</v>
      </c>
      <c r="F155" s="57">
        <f>IF(AND(F$14=1,ISNUMBER('Inputs (2)'!F133),'Inputs (2)'!F133&lt;&gt;0),'Inputs (2)'!F133,F42*Inputs!F$299)</f>
        <v>0</v>
      </c>
      <c r="G155" s="57">
        <f>IF(AND(G$14=1,ISNUMBER('Inputs (2)'!G133),'Inputs (2)'!G133&lt;&gt;0),'Inputs (2)'!G133,G42*Inputs!G$299)</f>
        <v>0</v>
      </c>
      <c r="H155" s="57">
        <f>IF(AND(H$14=1,ISNUMBER('Inputs (2)'!H133),'Inputs (2)'!H133&lt;&gt;0),'Inputs (2)'!H133,H42*Inputs!H$299)</f>
        <v>0</v>
      </c>
      <c r="I155" s="77">
        <f>H155</f>
        <v>0</v>
      </c>
      <c r="J155" s="57">
        <f>IF(AND(J$14=1,ISNUMBER('Inputs (2)'!J133),'Inputs (2)'!J133&lt;&gt;0),'Inputs (2)'!J133,J42*Inputs!J$299)</f>
        <v>0</v>
      </c>
      <c r="K155" s="57">
        <f>IF(AND(K$14=1,ISNUMBER('Inputs (2)'!K133),'Inputs (2)'!K133&lt;&gt;0),'Inputs (2)'!K133,K42*Inputs!K$299)</f>
        <v>0</v>
      </c>
      <c r="L155" s="57">
        <f>IF(AND(L$14=1,ISNUMBER('Inputs (2)'!L133),'Inputs (2)'!L133&lt;&gt;0),'Inputs (2)'!L133,L42*Inputs!L$299)</f>
        <v>0</v>
      </c>
      <c r="M155" s="57">
        <f>IF(AND(M$14=1,ISNUMBER('Inputs (2)'!M133),'Inputs (2)'!M133&lt;&gt;0),'Inputs (2)'!M133,M42*Inputs!M$299)</f>
        <v>0</v>
      </c>
      <c r="N155" s="77">
        <f>M155</f>
        <v>0</v>
      </c>
      <c r="O155" s="57">
        <f>IF(AND(O$14=1,ISNUMBER('Inputs (2)'!O133),'Inputs (2)'!O133&lt;&gt;0),'Inputs (2)'!O133,O42*Inputs!O$299)</f>
        <v>0</v>
      </c>
      <c r="P155" s="57">
        <f>IF(AND(P$14=1,ISNUMBER('Inputs (2)'!P133),'Inputs (2)'!P133&lt;&gt;0),'Inputs (2)'!P133,P42*Inputs!P$299)</f>
        <v>0</v>
      </c>
      <c r="Q155" s="57">
        <f>IF(AND(Q$14=1,ISNUMBER('Inputs (2)'!Q133),'Inputs (2)'!Q133&lt;&gt;0),'Inputs (2)'!Q133,Q42*Inputs!Q$299)</f>
        <v>0</v>
      </c>
      <c r="R155" s="57">
        <f>IF(AND(R$14=1,ISNUMBER('Inputs (2)'!R133),'Inputs (2)'!R133&lt;&gt;0),'Inputs (2)'!R133,R42*Inputs!R$299)</f>
        <v>0</v>
      </c>
      <c r="S155" s="77">
        <f>R155</f>
        <v>0</v>
      </c>
      <c r="T155" s="57">
        <f>IF(AND(T$14=1,ISNUMBER('Inputs (2)'!T133),'Inputs (2)'!T133&lt;&gt;0),'Inputs (2)'!T133,T42*Inputs!T$299)</f>
        <v>0</v>
      </c>
      <c r="U155" s="57">
        <f>IF(AND(U$14=1,ISNUMBER('Inputs (2)'!U133),'Inputs (2)'!U133&lt;&gt;0),'Inputs (2)'!U133,U42*Inputs!U$299)</f>
        <v>0</v>
      </c>
      <c r="V155" s="57">
        <f>IF(AND(V$14=1,ISNUMBER('Inputs (2)'!V133),'Inputs (2)'!V133&lt;&gt;0),'Inputs (2)'!V133,V42*Inputs!V$299)</f>
        <v>0</v>
      </c>
      <c r="W155" s="57">
        <f>IF(AND(W$14=1,ISNUMBER('Inputs (2)'!W133),'Inputs (2)'!W133&lt;&gt;0),'Inputs (2)'!W133,W42*Inputs!W$299)</f>
        <v>0</v>
      </c>
      <c r="X155" s="77">
        <f>W155</f>
        <v>0</v>
      </c>
      <c r="Y155" s="57">
        <f>IF(AND(Y$14=1,ISNUMBER('Inputs (2)'!Y133),'Inputs (2)'!Y133&lt;&gt;0),'Inputs (2)'!Y133,Y42*Inputs!Y$299)</f>
        <v>0</v>
      </c>
      <c r="Z155" s="57">
        <f>IF(AND(Z$14=1,ISNUMBER('Inputs (2)'!Z133),'Inputs (2)'!Z133&lt;&gt;0),'Inputs (2)'!Z133,Z42*Inputs!Z$299)</f>
        <v>0</v>
      </c>
      <c r="AA155" s="57">
        <f>IF(AND(AA$14=1,ISNUMBER('Inputs (2)'!AA133),'Inputs (2)'!AA133&lt;&gt;0),'Inputs (2)'!AA133,AA42*Inputs!AA$299)</f>
        <v>0</v>
      </c>
      <c r="AB155" s="57">
        <f>IF(AND(AB$14=1,ISNUMBER('Inputs (2)'!AB133),'Inputs (2)'!AB133&lt;&gt;0),'Inputs (2)'!AB133,AB42*Inputs!AB$299)</f>
        <v>0</v>
      </c>
      <c r="AC155" s="77">
        <f>AB155</f>
        <v>0</v>
      </c>
      <c r="AD155" s="57">
        <f>IF(AND(AD$14=1,ISNUMBER('Inputs (2)'!AD133),'Inputs (2)'!AD133&lt;&gt;0),'Inputs (2)'!AD133,AD42*Inputs!AD$299)</f>
        <v>0</v>
      </c>
      <c r="AE155" s="57">
        <f>IF(AND(AE$14=1,ISNUMBER('Inputs (2)'!AE133),'Inputs (2)'!AE133&lt;&gt;0),'Inputs (2)'!AE133,AE42*Inputs!AE$299)</f>
        <v>0</v>
      </c>
      <c r="AF155" s="57">
        <f>IF(AND(AF$14=1,ISNUMBER('Inputs (2)'!AF133),'Inputs (2)'!AF133&lt;&gt;0),'Inputs (2)'!AF133,AF42*Inputs!AF$299)</f>
        <v>0</v>
      </c>
      <c r="AG155" s="57">
        <f>IF(AND(AG$14=1,ISNUMBER('Inputs (2)'!AG133),'Inputs (2)'!AG133&lt;&gt;0),'Inputs (2)'!AG133,AG42*Inputs!AG$299)</f>
        <v>0</v>
      </c>
      <c r="AH155" s="77">
        <f>AG155</f>
        <v>0</v>
      </c>
      <c r="AI155" s="57">
        <f>IF(AND(AI$14=1,ISNUMBER('Inputs (2)'!AI133),'Inputs (2)'!AI133&lt;&gt;0),'Inputs (2)'!AI133,AI42*Inputs!AI$299)</f>
        <v>0</v>
      </c>
      <c r="AJ155" s="57">
        <f>IF(AND(AJ$14=1,ISNUMBER('Inputs (2)'!AJ133),'Inputs (2)'!AJ133&lt;&gt;0),'Inputs (2)'!AJ133,AJ42*Inputs!AJ$299)</f>
        <v>0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 spans="2:61" x14ac:dyDescent="0.25">
      <c r="C156" s="11" t="s">
        <v>857</v>
      </c>
      <c r="D156" s="12" t="s">
        <v>691</v>
      </c>
      <c r="E156" s="57">
        <f>IF(AND(E$14=1,ISNUMBER('Inputs (2)'!E137),'Inputs (2)'!E137&lt;&gt;0),'Inputs (2)'!E137,E155*Inputs!E$300)</f>
        <v>0</v>
      </c>
      <c r="F156" s="57">
        <f>IF(AND(F$14=1,ISNUMBER('Inputs (2)'!F137),'Inputs (2)'!F137&lt;&gt;0),'Inputs (2)'!F137,F155*Inputs!F$300)</f>
        <v>0</v>
      </c>
      <c r="G156" s="57">
        <f>IF(AND(G$14=1,ISNUMBER('Inputs (2)'!G137),'Inputs (2)'!G137&lt;&gt;0),'Inputs (2)'!G137,G155*Inputs!G$300)</f>
        <v>0</v>
      </c>
      <c r="H156" s="57">
        <f>IF(AND(H$14=1,ISNUMBER('Inputs (2)'!H137),'Inputs (2)'!H137&lt;&gt;0),'Inputs (2)'!H137,H155*Inputs!H$300)</f>
        <v>0</v>
      </c>
      <c r="I156" s="77">
        <f>H156</f>
        <v>0</v>
      </c>
      <c r="J156" s="57">
        <f>IF(AND(J$14=1,ISNUMBER('Inputs (2)'!J137),'Inputs (2)'!J137&lt;&gt;0),'Inputs (2)'!J137,J155*Inputs!J$300)</f>
        <v>0</v>
      </c>
      <c r="K156" s="57">
        <f>IF(AND(K$14=1,ISNUMBER('Inputs (2)'!K137),'Inputs (2)'!K137&lt;&gt;0),'Inputs (2)'!K137,K155*Inputs!K$300)</f>
        <v>0</v>
      </c>
      <c r="L156" s="57">
        <f>IF(AND(L$14=1,ISNUMBER('Inputs (2)'!L137),'Inputs (2)'!L137&lt;&gt;0),'Inputs (2)'!L137,L155*Inputs!L$300)</f>
        <v>0</v>
      </c>
      <c r="M156" s="57">
        <f>IF(AND(M$14=1,ISNUMBER('Inputs (2)'!M137),'Inputs (2)'!M137&lt;&gt;0),'Inputs (2)'!M137,M155*Inputs!M$300)</f>
        <v>0</v>
      </c>
      <c r="N156" s="77">
        <f>M156</f>
        <v>0</v>
      </c>
      <c r="O156" s="57">
        <f>IF(AND(O$14=1,ISNUMBER('Inputs (2)'!O137),'Inputs (2)'!O137&lt;&gt;0),'Inputs (2)'!O137,O155*Inputs!O$300)</f>
        <v>0</v>
      </c>
      <c r="P156" s="57">
        <f>IF(AND(P$14=1,ISNUMBER('Inputs (2)'!P137),'Inputs (2)'!P137&lt;&gt;0),'Inputs (2)'!P137,P155*Inputs!P$300)</f>
        <v>0</v>
      </c>
      <c r="Q156" s="57">
        <f>IF(AND(Q$14=1,ISNUMBER('Inputs (2)'!Q137),'Inputs (2)'!Q137&lt;&gt;0),'Inputs (2)'!Q137,Q155*Inputs!Q$300)</f>
        <v>0</v>
      </c>
      <c r="R156" s="57">
        <f>IF(AND(R$14=1,ISNUMBER('Inputs (2)'!R137),'Inputs (2)'!R137&lt;&gt;0),'Inputs (2)'!R137,R155*Inputs!R$300)</f>
        <v>0</v>
      </c>
      <c r="S156" s="77">
        <f>R156</f>
        <v>0</v>
      </c>
      <c r="T156" s="57">
        <f>IF(AND(T$14=1,ISNUMBER('Inputs (2)'!T137),'Inputs (2)'!T137&lt;&gt;0),'Inputs (2)'!T137,T155*Inputs!T$300)</f>
        <v>0</v>
      </c>
      <c r="U156" s="57">
        <f>IF(AND(U$14=1,ISNUMBER('Inputs (2)'!U137),'Inputs (2)'!U137&lt;&gt;0),'Inputs (2)'!U137,U155*Inputs!U$300)</f>
        <v>0</v>
      </c>
      <c r="V156" s="57">
        <f>IF(AND(V$14=1,ISNUMBER('Inputs (2)'!V137),'Inputs (2)'!V137&lt;&gt;0),'Inputs (2)'!V137,V155*Inputs!V$300)</f>
        <v>0</v>
      </c>
      <c r="W156" s="57">
        <f>IF(AND(W$14=1,ISNUMBER('Inputs (2)'!W137),'Inputs (2)'!W137&lt;&gt;0),'Inputs (2)'!W137,W155*Inputs!W$300)</f>
        <v>0</v>
      </c>
      <c r="X156" s="77">
        <f>W156</f>
        <v>0</v>
      </c>
      <c r="Y156" s="57">
        <f>IF(AND(Y$14=1,ISNUMBER('Inputs (2)'!Y137),'Inputs (2)'!Y137&lt;&gt;0),'Inputs (2)'!Y137,Y155*Inputs!Y$300)</f>
        <v>0</v>
      </c>
      <c r="Z156" s="57">
        <f>IF(AND(Z$14=1,ISNUMBER('Inputs (2)'!Z137),'Inputs (2)'!Z137&lt;&gt;0),'Inputs (2)'!Z137,Z155*Inputs!Z$300)</f>
        <v>0</v>
      </c>
      <c r="AA156" s="57">
        <f>IF(AND(AA$14=1,ISNUMBER('Inputs (2)'!AA137),'Inputs (2)'!AA137&lt;&gt;0),'Inputs (2)'!AA137,AA155*Inputs!AA$300)</f>
        <v>0</v>
      </c>
      <c r="AB156" s="57">
        <f>IF(AND(AB$14=1,ISNUMBER('Inputs (2)'!AB137),'Inputs (2)'!AB137&lt;&gt;0),'Inputs (2)'!AB137,AB155*Inputs!AB$300)</f>
        <v>0</v>
      </c>
      <c r="AC156" s="77">
        <f>AB156</f>
        <v>0</v>
      </c>
      <c r="AD156" s="57">
        <f>IF(AND(AD$14=1,ISNUMBER('Inputs (2)'!AD137),'Inputs (2)'!AD137&lt;&gt;0),'Inputs (2)'!AD137,AD155*Inputs!AD$300)</f>
        <v>0</v>
      </c>
      <c r="AE156" s="57">
        <f>IF(AND(AE$14=1,ISNUMBER('Inputs (2)'!AE137),'Inputs (2)'!AE137&lt;&gt;0),'Inputs (2)'!AE137,AE155*Inputs!AE$300)</f>
        <v>0</v>
      </c>
      <c r="AF156" s="57">
        <f>IF(AND(AF$14=1,ISNUMBER('Inputs (2)'!AF137),'Inputs (2)'!AF137&lt;&gt;0),'Inputs (2)'!AF137,AF155*Inputs!AF$300)</f>
        <v>0</v>
      </c>
      <c r="AG156" s="57">
        <f>IF(AND(AG$14=1,ISNUMBER('Inputs (2)'!AG137),'Inputs (2)'!AG137&lt;&gt;0),'Inputs (2)'!AG137,AG155*Inputs!AG$300)</f>
        <v>0</v>
      </c>
      <c r="AH156" s="77">
        <f>AG156</f>
        <v>0</v>
      </c>
      <c r="AI156" s="57">
        <f>IF(AND(AI$14=1,ISNUMBER('Inputs (2)'!AI137),'Inputs (2)'!AI137&lt;&gt;0),'Inputs (2)'!AI137,AI155*Inputs!AI$300)</f>
        <v>0</v>
      </c>
      <c r="AJ156" s="57">
        <f>IF(AND(AJ$14=1,ISNUMBER('Inputs (2)'!AJ137),'Inputs (2)'!AJ137&lt;&gt;0),'Inputs (2)'!AJ137,AJ155*Inputs!AJ$300)</f>
        <v>0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 spans="2:61" x14ac:dyDescent="0.25">
      <c r="C157" s="11" t="s">
        <v>242</v>
      </c>
      <c r="D157" s="12" t="s">
        <v>692</v>
      </c>
      <c r="E157" s="57">
        <f>IF(AND(E$14=1,ISNUMBER('Inputs (2)'!E138),'Inputs (2)'!E138&lt;&gt;0),'Inputs (2)'!E138,E155*Inputs!E$301)</f>
        <v>0</v>
      </c>
      <c r="F157" s="57">
        <f>IF(AND(F$14=1,ISNUMBER('Inputs (2)'!F138),'Inputs (2)'!F138&lt;&gt;0),'Inputs (2)'!F138,F155*Inputs!F$301)</f>
        <v>0</v>
      </c>
      <c r="G157" s="57">
        <f>IF(AND(G$14=1,ISNUMBER('Inputs (2)'!G138),'Inputs (2)'!G138&lt;&gt;0),'Inputs (2)'!G138,G155*Inputs!G$301)</f>
        <v>0</v>
      </c>
      <c r="H157" s="57">
        <f>IF(AND(H$14=1,ISNUMBER('Inputs (2)'!H138),'Inputs (2)'!H138&lt;&gt;0),'Inputs (2)'!H138,H155*Inputs!H$301)</f>
        <v>0</v>
      </c>
      <c r="I157" s="77">
        <f>H157</f>
        <v>0</v>
      </c>
      <c r="J157" s="57">
        <f>IF(AND(J$14=1,ISNUMBER('Inputs (2)'!J138),'Inputs (2)'!J138&lt;&gt;0),'Inputs (2)'!J138,J155*Inputs!J$301)</f>
        <v>0</v>
      </c>
      <c r="K157" s="57">
        <f>IF(AND(K$14=1,ISNUMBER('Inputs (2)'!K138),'Inputs (2)'!K138&lt;&gt;0),'Inputs (2)'!K138,K155*Inputs!K$301)</f>
        <v>0</v>
      </c>
      <c r="L157" s="57">
        <f>IF(AND(L$14=1,ISNUMBER('Inputs (2)'!L138),'Inputs (2)'!L138&lt;&gt;0),'Inputs (2)'!L138,L155*Inputs!L$301)</f>
        <v>0</v>
      </c>
      <c r="M157" s="57">
        <f>IF(AND(M$14=1,ISNUMBER('Inputs (2)'!M138),'Inputs (2)'!M138&lt;&gt;0),'Inputs (2)'!M138,M155*Inputs!M$301)</f>
        <v>0</v>
      </c>
      <c r="N157" s="77">
        <f>M157</f>
        <v>0</v>
      </c>
      <c r="O157" s="57">
        <f>IF(AND(O$14=1,ISNUMBER('Inputs (2)'!O138),'Inputs (2)'!O138&lt;&gt;0),'Inputs (2)'!O138,O155*Inputs!O$301)</f>
        <v>0</v>
      </c>
      <c r="P157" s="57">
        <f>IF(AND(P$14=1,ISNUMBER('Inputs (2)'!P138),'Inputs (2)'!P138&lt;&gt;0),'Inputs (2)'!P138,P155*Inputs!P$301)</f>
        <v>0</v>
      </c>
      <c r="Q157" s="57">
        <f>IF(AND(Q$14=1,ISNUMBER('Inputs (2)'!Q138),'Inputs (2)'!Q138&lt;&gt;0),'Inputs (2)'!Q138,Q155*Inputs!Q$301)</f>
        <v>0</v>
      </c>
      <c r="R157" s="57">
        <f>IF(AND(R$14=1,ISNUMBER('Inputs (2)'!R138),'Inputs (2)'!R138&lt;&gt;0),'Inputs (2)'!R138,R155*Inputs!R$301)</f>
        <v>0</v>
      </c>
      <c r="S157" s="77">
        <f>R157</f>
        <v>0</v>
      </c>
      <c r="T157" s="57">
        <f>IF(AND(T$14=1,ISNUMBER('Inputs (2)'!T138),'Inputs (2)'!T138&lt;&gt;0),'Inputs (2)'!T138,T155*Inputs!T$301)</f>
        <v>0</v>
      </c>
      <c r="U157" s="57">
        <f>IF(AND(U$14=1,ISNUMBER('Inputs (2)'!U138),'Inputs (2)'!U138&lt;&gt;0),'Inputs (2)'!U138,U155*Inputs!U$301)</f>
        <v>0</v>
      </c>
      <c r="V157" s="57">
        <f>IF(AND(V$14=1,ISNUMBER('Inputs (2)'!V138),'Inputs (2)'!V138&lt;&gt;0),'Inputs (2)'!V138,V155*Inputs!V$301)</f>
        <v>0</v>
      </c>
      <c r="W157" s="57">
        <f>IF(AND(W$14=1,ISNUMBER('Inputs (2)'!W138),'Inputs (2)'!W138&lt;&gt;0),'Inputs (2)'!W138,W155*Inputs!W$301)</f>
        <v>0</v>
      </c>
      <c r="X157" s="77">
        <f>W157</f>
        <v>0</v>
      </c>
      <c r="Y157" s="57">
        <f>IF(AND(Y$14=1,ISNUMBER('Inputs (2)'!Y138),'Inputs (2)'!Y138&lt;&gt;0),'Inputs (2)'!Y138,Y155*Inputs!Y$301)</f>
        <v>0</v>
      </c>
      <c r="Z157" s="57">
        <f>IF(AND(Z$14=1,ISNUMBER('Inputs (2)'!Z138),'Inputs (2)'!Z138&lt;&gt;0),'Inputs (2)'!Z138,Z155*Inputs!Z$301)</f>
        <v>0</v>
      </c>
      <c r="AA157" s="57">
        <f>IF(AND(AA$14=1,ISNUMBER('Inputs (2)'!AA138),'Inputs (2)'!AA138&lt;&gt;0),'Inputs (2)'!AA138,AA155*Inputs!AA$301)</f>
        <v>0</v>
      </c>
      <c r="AB157" s="57">
        <f>IF(AND(AB$14=1,ISNUMBER('Inputs (2)'!AB138),'Inputs (2)'!AB138&lt;&gt;0),'Inputs (2)'!AB138,AB155*Inputs!AB$301)</f>
        <v>0</v>
      </c>
      <c r="AC157" s="77">
        <f>AB157</f>
        <v>0</v>
      </c>
      <c r="AD157" s="57">
        <f>IF(AND(AD$14=1,ISNUMBER('Inputs (2)'!AD138),'Inputs (2)'!AD138&lt;&gt;0),'Inputs (2)'!AD138,AD155*Inputs!AD$301)</f>
        <v>0</v>
      </c>
      <c r="AE157" s="57">
        <f>IF(AND(AE$14=1,ISNUMBER('Inputs (2)'!AE138),'Inputs (2)'!AE138&lt;&gt;0),'Inputs (2)'!AE138,AE155*Inputs!AE$301)</f>
        <v>0</v>
      </c>
      <c r="AF157" s="57">
        <f>IF(AND(AF$14=1,ISNUMBER('Inputs (2)'!AF138),'Inputs (2)'!AF138&lt;&gt;0),'Inputs (2)'!AF138,AF155*Inputs!AF$301)</f>
        <v>0</v>
      </c>
      <c r="AG157" s="57">
        <f>IF(AND(AG$14=1,ISNUMBER('Inputs (2)'!AG138),'Inputs (2)'!AG138&lt;&gt;0),'Inputs (2)'!AG138,AG155*Inputs!AG$301)</f>
        <v>0</v>
      </c>
      <c r="AH157" s="77">
        <f>AG157</f>
        <v>0</v>
      </c>
      <c r="AI157" s="57">
        <f>IF(AND(AI$14=1,ISNUMBER('Inputs (2)'!AI138),'Inputs (2)'!AI138&lt;&gt;0),'Inputs (2)'!AI138,AI155*Inputs!AI$301)</f>
        <v>0</v>
      </c>
      <c r="AJ157" s="57">
        <f>IF(AND(AJ$14=1,ISNUMBER('Inputs (2)'!AJ138),'Inputs (2)'!AJ138&lt;&gt;0),'Inputs (2)'!AJ138,AJ155*Inputs!AJ$301)</f>
        <v>0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 spans="2:61" x14ac:dyDescent="0.25">
      <c r="C158" s="11" t="s">
        <v>858</v>
      </c>
      <c r="D158" s="12" t="s">
        <v>859</v>
      </c>
      <c r="E158" s="88">
        <f>IFERROR(E156/E155,0)</f>
        <v>0</v>
      </c>
      <c r="F158" s="88">
        <f>IFERROR(F156/F155,0)</f>
        <v>0</v>
      </c>
      <c r="G158" s="88">
        <f>IFERROR(G156/G155,0)</f>
        <v>0</v>
      </c>
      <c r="H158" s="88">
        <f>IFERROR(H156/H155,0)</f>
        <v>0</v>
      </c>
      <c r="I158" s="89">
        <f>H158</f>
        <v>0</v>
      </c>
      <c r="J158" s="88">
        <f>IFERROR(J156/J155,0)</f>
        <v>0</v>
      </c>
      <c r="K158" s="88">
        <f>IFERROR(K156/K155,0)</f>
        <v>0</v>
      </c>
      <c r="L158" s="88">
        <f>IFERROR(L156/L155,0)</f>
        <v>0</v>
      </c>
      <c r="M158" s="88">
        <f>IFERROR(M156/M155,0)</f>
        <v>0</v>
      </c>
      <c r="N158" s="89">
        <f>M158</f>
        <v>0</v>
      </c>
      <c r="O158" s="88">
        <f>IFERROR(O156/O155,0)</f>
        <v>0</v>
      </c>
      <c r="P158" s="88">
        <f>IFERROR(P156/P155,0)</f>
        <v>0</v>
      </c>
      <c r="Q158" s="88">
        <f>IFERROR(Q156/Q155,0)</f>
        <v>0</v>
      </c>
      <c r="R158" s="88">
        <f>IFERROR(R156/R155,0)</f>
        <v>0</v>
      </c>
      <c r="S158" s="89">
        <f>R158</f>
        <v>0</v>
      </c>
      <c r="T158" s="88">
        <f>IFERROR(T156/T155,0)</f>
        <v>0</v>
      </c>
      <c r="U158" s="88">
        <f>IFERROR(U156/U155,0)</f>
        <v>0</v>
      </c>
      <c r="V158" s="88">
        <f>IFERROR(V156/V155,0)</f>
        <v>0</v>
      </c>
      <c r="W158" s="88">
        <f>IFERROR(W156/W155,0)</f>
        <v>0</v>
      </c>
      <c r="X158" s="89">
        <f>W158</f>
        <v>0</v>
      </c>
      <c r="Y158" s="88">
        <f>IFERROR(Y156/Y155,0)</f>
        <v>0</v>
      </c>
      <c r="Z158" s="88">
        <f>IFERROR(Z156/Z155,0)</f>
        <v>0</v>
      </c>
      <c r="AA158" s="88">
        <f>IFERROR(AA156/AA155,0)</f>
        <v>0</v>
      </c>
      <c r="AB158" s="88">
        <f>IFERROR(AB156/AB155,0)</f>
        <v>0</v>
      </c>
      <c r="AC158" s="89">
        <f>AB158</f>
        <v>0</v>
      </c>
      <c r="AD158" s="88">
        <f>IFERROR(AD156/AD155,0)</f>
        <v>0</v>
      </c>
      <c r="AE158" s="88">
        <f>IFERROR(AE156/AE155,0)</f>
        <v>0</v>
      </c>
      <c r="AF158" s="88">
        <f>IFERROR(AF156/AF155,0)</f>
        <v>0</v>
      </c>
      <c r="AG158" s="88">
        <f>IFERROR(AG156/AG155,0)</f>
        <v>0</v>
      </c>
      <c r="AH158" s="89">
        <f>AG158</f>
        <v>0</v>
      </c>
      <c r="AI158" s="88">
        <f>IFERROR(AI156/AI155,0)</f>
        <v>0</v>
      </c>
      <c r="AJ158" s="88">
        <f>IFERROR(AJ156/AJ155,0)</f>
        <v>0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 spans="2:61" x14ac:dyDescent="0.25">
      <c r="C159" s="11" t="s">
        <v>860</v>
      </c>
      <c r="D159" s="12" t="s">
        <v>861</v>
      </c>
      <c r="E159" s="88">
        <f>IFERROR(E157/E155,0)</f>
        <v>0</v>
      </c>
      <c r="F159" s="88">
        <f>IFERROR(F157/F155,0)</f>
        <v>0</v>
      </c>
      <c r="G159" s="88">
        <f>IFERROR(G157/G155,0)</f>
        <v>0</v>
      </c>
      <c r="H159" s="88">
        <f>IFERROR(H157/H155,0)</f>
        <v>0</v>
      </c>
      <c r="I159" s="89">
        <f>H159</f>
        <v>0</v>
      </c>
      <c r="J159" s="88">
        <f>IFERROR(J157/J155,0)</f>
        <v>0</v>
      </c>
      <c r="K159" s="88">
        <f>IFERROR(K157/K155,0)</f>
        <v>0</v>
      </c>
      <c r="L159" s="88">
        <f>IFERROR(L157/L155,0)</f>
        <v>0</v>
      </c>
      <c r="M159" s="88">
        <f>IFERROR(M157/M155,0)</f>
        <v>0</v>
      </c>
      <c r="N159" s="89">
        <f>M159</f>
        <v>0</v>
      </c>
      <c r="O159" s="88">
        <f>IFERROR(O157/O155,0)</f>
        <v>0</v>
      </c>
      <c r="P159" s="88">
        <f>IFERROR(P157/P155,0)</f>
        <v>0</v>
      </c>
      <c r="Q159" s="88">
        <f>IFERROR(Q157/Q155,0)</f>
        <v>0</v>
      </c>
      <c r="R159" s="88">
        <f>IFERROR(R157/R155,0)</f>
        <v>0</v>
      </c>
      <c r="S159" s="89">
        <f>R159</f>
        <v>0</v>
      </c>
      <c r="T159" s="88">
        <f>IFERROR(T157/T155,0)</f>
        <v>0</v>
      </c>
      <c r="U159" s="88">
        <f>IFERROR(U157/U155,0)</f>
        <v>0</v>
      </c>
      <c r="V159" s="88">
        <f>IFERROR(V157/V155,0)</f>
        <v>0</v>
      </c>
      <c r="W159" s="88">
        <f>IFERROR(W157/W155,0)</f>
        <v>0</v>
      </c>
      <c r="X159" s="89">
        <f>W159</f>
        <v>0</v>
      </c>
      <c r="Y159" s="88">
        <f>IFERROR(Y157/Y155,0)</f>
        <v>0</v>
      </c>
      <c r="Z159" s="88">
        <f>IFERROR(Z157/Z155,0)</f>
        <v>0</v>
      </c>
      <c r="AA159" s="88">
        <f>IFERROR(AA157/AA155,0)</f>
        <v>0</v>
      </c>
      <c r="AB159" s="88">
        <f>IFERROR(AB157/AB155,0)</f>
        <v>0</v>
      </c>
      <c r="AC159" s="89">
        <f>AB159</f>
        <v>0</v>
      </c>
      <c r="AD159" s="88">
        <f>IFERROR(AD157/AD155,0)</f>
        <v>0</v>
      </c>
      <c r="AE159" s="88">
        <f>IFERROR(AE157/AE155,0)</f>
        <v>0</v>
      </c>
      <c r="AF159" s="88">
        <f>IFERROR(AF157/AF155,0)</f>
        <v>0</v>
      </c>
      <c r="AG159" s="88">
        <f>IFERROR(AG157/AG155,0)</f>
        <v>0</v>
      </c>
      <c r="AH159" s="89">
        <f>AG159</f>
        <v>0</v>
      </c>
      <c r="AI159" s="88">
        <f>IFERROR(AI157/AI155,0)</f>
        <v>0</v>
      </c>
      <c r="AJ159" s="88">
        <f>IFERROR(AJ157/AJ155,0)</f>
        <v>0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 spans="2:61" x14ac:dyDescent="0.25">
      <c r="B160" s="7"/>
      <c r="C160" s="7" t="str">
        <f>"INDICADORES (percentuais, múltiplos e "&amp;Inputs!$E$202&amp;")"</f>
        <v>INDICADORES (percentuais, múltiplos e R$ milhões)</v>
      </c>
      <c r="D160" s="7" t="s">
        <v>862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2:61" x14ac:dyDescent="0.25">
      <c r="B161" s="29"/>
      <c r="C161" s="29" t="s">
        <v>863</v>
      </c>
      <c r="D161" s="29" t="s">
        <v>864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</row>
    <row r="162" spans="2:61" x14ac:dyDescent="0.25">
      <c r="C162" s="11" t="s">
        <v>865</v>
      </c>
      <c r="D162" s="12" t="s">
        <v>866</v>
      </c>
      <c r="E162" s="88">
        <f>IFERROR(E127*4/E136,0)</f>
        <v>0</v>
      </c>
      <c r="F162" s="88">
        <f>IFERROR(F127*4/F136,0)</f>
        <v>0</v>
      </c>
      <c r="G162" s="88">
        <f>IFERROR(G127*4/G136,0)</f>
        <v>0</v>
      </c>
      <c r="H162" s="88">
        <f>IFERROR(H127*4/H136,0)</f>
        <v>0</v>
      </c>
      <c r="I162" s="89">
        <f>IFERROR(I127*1/I136,0)</f>
        <v>0</v>
      </c>
      <c r="J162" s="88">
        <f>IFERROR(J127*4/J136,0)</f>
        <v>0</v>
      </c>
      <c r="K162" s="88">
        <f>IFERROR(K127*4/K136,0)</f>
        <v>0</v>
      </c>
      <c r="L162" s="88">
        <f>IFERROR(L127*4/L136,0)</f>
        <v>0</v>
      </c>
      <c r="M162" s="88">
        <f>IFERROR(M127*4/M136,0)</f>
        <v>0</v>
      </c>
      <c r="N162" s="89">
        <f>IFERROR(N127*1/N136,0)</f>
        <v>0</v>
      </c>
      <c r="O162" s="88">
        <f>IFERROR(O127*4/O136,0)</f>
        <v>0</v>
      </c>
      <c r="P162" s="88">
        <f>IFERROR(P127*4/P136,0)</f>
        <v>0</v>
      </c>
      <c r="Q162" s="88">
        <f>IFERROR(Q127*4/Q136,0)</f>
        <v>0</v>
      </c>
      <c r="R162" s="88">
        <f>IFERROR(R127*4/R136,0)</f>
        <v>0</v>
      </c>
      <c r="S162" s="89">
        <f>IFERROR(S127*1/S136,0)</f>
        <v>0</v>
      </c>
      <c r="T162" s="88">
        <f>IFERROR(T127*4/T136,0)</f>
        <v>0</v>
      </c>
      <c r="U162" s="88">
        <f>IFERROR(U127*4/U136,0)</f>
        <v>0</v>
      </c>
      <c r="V162" s="88">
        <f>IFERROR(V127*4/V136,0)</f>
        <v>0</v>
      </c>
      <c r="W162" s="88">
        <f>IFERROR(W127*4/W136,0)</f>
        <v>0</v>
      </c>
      <c r="X162" s="89">
        <f>IFERROR(X127*1/X136,0)</f>
        <v>0</v>
      </c>
      <c r="Y162" s="88">
        <f>IFERROR(Y127*4/Y136,0)</f>
        <v>0</v>
      </c>
      <c r="Z162" s="88">
        <f>IFERROR(Z127*4/Z136,0)</f>
        <v>0</v>
      </c>
      <c r="AA162" s="88">
        <f>IFERROR(AA127*4/AA136,0)</f>
        <v>0</v>
      </c>
      <c r="AB162" s="88">
        <f>IFERROR(AB127*4/AB136,0)</f>
        <v>0</v>
      </c>
      <c r="AC162" s="89">
        <f>IFERROR(AC127*1/AC136,0)</f>
        <v>0</v>
      </c>
      <c r="AD162" s="88">
        <f>IFERROR(AD127*4/AD136,0)</f>
        <v>0</v>
      </c>
      <c r="AE162" s="88">
        <f>IFERROR(AE127*4/AE136,0)</f>
        <v>0</v>
      </c>
      <c r="AF162" s="88">
        <f>IFERROR(AF127*4/AF136,0)</f>
        <v>0</v>
      </c>
      <c r="AG162" s="88">
        <f>IFERROR(AG127*4/AG136,0)</f>
        <v>0</v>
      </c>
      <c r="AH162" s="89">
        <f>IFERROR(AH127*1/AH136,0)</f>
        <v>0</v>
      </c>
      <c r="AI162" s="88">
        <f>IFERROR(AI127*4/AI136,0)</f>
        <v>0</v>
      </c>
      <c r="AJ162" s="88">
        <f>IFERROR(AJ127*4/AJ136,0)</f>
        <v>0</v>
      </c>
      <c r="AK162" s="88">
        <f>IFERROR(AK127*4/AK136,0)</f>
        <v>0</v>
      </c>
      <c r="AL162" s="88">
        <f>IFERROR(AL127*4/AL136,0)</f>
        <v>0</v>
      </c>
      <c r="AM162" s="89">
        <f>IFERROR(AM127*1/AM136,0)</f>
        <v>0</v>
      </c>
      <c r="AN162" s="88">
        <f>IFERROR(AN127*4/AN136,0)</f>
        <v>0</v>
      </c>
      <c r="AO162" s="88">
        <f>IFERROR(AO127*4/AO136,0)</f>
        <v>0</v>
      </c>
      <c r="AP162" s="88">
        <f>IFERROR(AP127*4/AP136,0)</f>
        <v>0</v>
      </c>
      <c r="AQ162" s="88">
        <f>IFERROR(AQ127*4/AQ136,0)</f>
        <v>0</v>
      </c>
      <c r="AR162" s="89">
        <f>IFERROR(AR127*1/AR136,0)</f>
        <v>0</v>
      </c>
      <c r="AS162" s="88">
        <f>IFERROR(AS127*4/AS136,0)</f>
        <v>0</v>
      </c>
      <c r="AT162" s="88">
        <f>IFERROR(AT127*4/AT136,0)</f>
        <v>0</v>
      </c>
      <c r="AU162" s="88">
        <f>IFERROR(AU127*4/AU136,0)</f>
        <v>0</v>
      </c>
      <c r="AV162" s="88">
        <f>IFERROR(AV127*4/AV136,0)</f>
        <v>0</v>
      </c>
      <c r="AW162" s="89">
        <f>IFERROR(AW127*1/AW136,0)</f>
        <v>0</v>
      </c>
      <c r="AX162" s="88">
        <f>IFERROR(AX127*4/AX136,0)</f>
        <v>0</v>
      </c>
      <c r="AY162" s="88">
        <f>IFERROR(AY127*4/AY136,0)</f>
        <v>0</v>
      </c>
      <c r="AZ162" s="88">
        <f>IFERROR(AZ127*4/AZ136,0)</f>
        <v>0</v>
      </c>
      <c r="BA162" s="88">
        <f>IFERROR(BA127*4/BA136,0)</f>
        <v>0</v>
      </c>
      <c r="BB162" s="89">
        <f>IFERROR(BB127*1/BB136,0)</f>
        <v>0</v>
      </c>
      <c r="BC162" s="88">
        <f>IFERROR(BC127*4/BC136,0)</f>
        <v>0</v>
      </c>
      <c r="BD162" s="88">
        <f>IFERROR(BD127*4/BD136,0)</f>
        <v>0</v>
      </c>
      <c r="BE162" s="88">
        <f>IFERROR(BE127*4/BE136,0)</f>
        <v>0</v>
      </c>
      <c r="BF162" s="88">
        <f>IFERROR(BF127*4/BF136,0)</f>
        <v>0</v>
      </c>
      <c r="BG162" s="89">
        <f>IFERROR(BG127*1/BG136,0)</f>
        <v>0</v>
      </c>
      <c r="BI162" s="14" t="s">
        <v>867</v>
      </c>
    </row>
    <row r="163" spans="2:61" x14ac:dyDescent="0.25">
      <c r="C163" s="11" t="s">
        <v>868</v>
      </c>
      <c r="D163" s="12" t="s">
        <v>869</v>
      </c>
      <c r="E163" s="88">
        <f>IFERROR(E125*4/E135,0)</f>
        <v>0</v>
      </c>
      <c r="F163" s="88">
        <f>IFERROR(F125*4/F135,0)</f>
        <v>0</v>
      </c>
      <c r="G163" s="88">
        <f>IFERROR(G125*4/G135,0)</f>
        <v>0</v>
      </c>
      <c r="H163" s="88">
        <f>IFERROR(H125*4/H135,0)</f>
        <v>0</v>
      </c>
      <c r="I163" s="89">
        <f>IFERROR(I125*1/I135,0)</f>
        <v>0</v>
      </c>
      <c r="J163" s="88">
        <f>IFERROR(J125*4/J135,0)</f>
        <v>0</v>
      </c>
      <c r="K163" s="88">
        <f>IFERROR(K125*4/K135,0)</f>
        <v>0</v>
      </c>
      <c r="L163" s="88">
        <f>IFERROR(L125*4/L135,0)</f>
        <v>0</v>
      </c>
      <c r="M163" s="88">
        <f>IFERROR(M125*4/M135,0)</f>
        <v>0</v>
      </c>
      <c r="N163" s="89">
        <f>IFERROR(N125*1/N135,0)</f>
        <v>0</v>
      </c>
      <c r="O163" s="88">
        <f>IFERROR(O125*4/O135,0)</f>
        <v>0</v>
      </c>
      <c r="P163" s="88">
        <f>IFERROR(P125*4/P135,0)</f>
        <v>0</v>
      </c>
      <c r="Q163" s="88">
        <f>IFERROR(Q125*4/Q135,0)</f>
        <v>0</v>
      </c>
      <c r="R163" s="88">
        <f>IFERROR(R125*4/R135,0)</f>
        <v>0</v>
      </c>
      <c r="S163" s="89">
        <f>IFERROR(S125*1/S135,0)</f>
        <v>0</v>
      </c>
      <c r="T163" s="88">
        <f>IFERROR(T125*4/T135,0)</f>
        <v>0</v>
      </c>
      <c r="U163" s="88">
        <f>IFERROR(U125*4/U135,0)</f>
        <v>0</v>
      </c>
      <c r="V163" s="88">
        <f>IFERROR(V125*4/V135,0)</f>
        <v>0</v>
      </c>
      <c r="W163" s="88">
        <f>IFERROR(W125*4/W135,0)</f>
        <v>0</v>
      </c>
      <c r="X163" s="89">
        <f>IFERROR(X125*1/X135,0)</f>
        <v>0</v>
      </c>
      <c r="Y163" s="88">
        <f>IFERROR(Y125*4/Y135,0)</f>
        <v>0</v>
      </c>
      <c r="Z163" s="88">
        <f>IFERROR(Z125*4/Z135,0)</f>
        <v>0</v>
      </c>
      <c r="AA163" s="88">
        <f>IFERROR(AA125*4/AA135,0)</f>
        <v>0</v>
      </c>
      <c r="AB163" s="88">
        <f>IFERROR(AB125*4/AB135,0)</f>
        <v>0</v>
      </c>
      <c r="AC163" s="89">
        <f>IFERROR(AC125*1/AC135,0)</f>
        <v>0</v>
      </c>
      <c r="AD163" s="88">
        <f>IFERROR(AD125*4/AD135,0)</f>
        <v>0</v>
      </c>
      <c r="AE163" s="88">
        <f>IFERROR(AE125*4/AE135,0)</f>
        <v>0</v>
      </c>
      <c r="AF163" s="88">
        <f>IFERROR(AF125*4/AF135,0)</f>
        <v>0</v>
      </c>
      <c r="AG163" s="88">
        <f>IFERROR(AG125*4/AG135,0)</f>
        <v>0</v>
      </c>
      <c r="AH163" s="89">
        <f>IFERROR(AH125*1/AH135,0)</f>
        <v>0</v>
      </c>
      <c r="AI163" s="88">
        <f>IFERROR(AI125*4/AI135,0)</f>
        <v>0</v>
      </c>
      <c r="AJ163" s="88">
        <f>IFERROR(AJ125*4/AJ135,0)</f>
        <v>0</v>
      </c>
      <c r="AK163" s="88">
        <f>IFERROR(AK125*4/AK135,0)</f>
        <v>0</v>
      </c>
      <c r="AL163" s="88">
        <f>IFERROR(AL125*4/AL135,0)</f>
        <v>0</v>
      </c>
      <c r="AM163" s="89">
        <f>IFERROR(AM125*1/AM135,0)</f>
        <v>0</v>
      </c>
      <c r="AN163" s="88">
        <f>IFERROR(AN125*4/AN135,0)</f>
        <v>0</v>
      </c>
      <c r="AO163" s="88">
        <f>IFERROR(AO125*4/AO135,0)</f>
        <v>0</v>
      </c>
      <c r="AP163" s="88">
        <f>IFERROR(AP125*4/AP135,0)</f>
        <v>0</v>
      </c>
      <c r="AQ163" s="88">
        <f>IFERROR(AQ125*4/AQ135,0)</f>
        <v>0</v>
      </c>
      <c r="AR163" s="89">
        <f>IFERROR(AR125*1/AR135,0)</f>
        <v>0</v>
      </c>
      <c r="AS163" s="88">
        <f>IFERROR(AS125*4/AS135,0)</f>
        <v>0</v>
      </c>
      <c r="AT163" s="88">
        <f>IFERROR(AT125*4/AT135,0)</f>
        <v>0</v>
      </c>
      <c r="AU163" s="88">
        <f>IFERROR(AU125*4/AU135,0)</f>
        <v>0</v>
      </c>
      <c r="AV163" s="88">
        <f>IFERROR(AV125*4/AV135,0)</f>
        <v>0</v>
      </c>
      <c r="AW163" s="89">
        <f>IFERROR(AW125*1/AW135,0)</f>
        <v>0</v>
      </c>
      <c r="AX163" s="88">
        <f>IFERROR(AX125*4/AX135,0)</f>
        <v>0</v>
      </c>
      <c r="AY163" s="88">
        <f>IFERROR(AY125*4/AY135,0)</f>
        <v>0</v>
      </c>
      <c r="AZ163" s="88">
        <f>IFERROR(AZ125*4/AZ135,0)</f>
        <v>0</v>
      </c>
      <c r="BA163" s="88">
        <f>IFERROR(BA125*4/BA135,0)</f>
        <v>0</v>
      </c>
      <c r="BB163" s="89">
        <f>IFERROR(BB125*1/BB135,0)</f>
        <v>0</v>
      </c>
      <c r="BC163" s="88">
        <f>IFERROR(BC125*4/BC135,0)</f>
        <v>0</v>
      </c>
      <c r="BD163" s="88">
        <f>IFERROR(BD125*4/BD135,0)</f>
        <v>0</v>
      </c>
      <c r="BE163" s="88">
        <f>IFERROR(BE125*4/BE135,0)</f>
        <v>0</v>
      </c>
      <c r="BF163" s="88">
        <f>IFERROR(BF125*4/BF135,0)</f>
        <v>0</v>
      </c>
      <c r="BG163" s="89">
        <f>IFERROR(BG125*1/BG135,0)</f>
        <v>0</v>
      </c>
    </row>
    <row r="164" spans="2:61" x14ac:dyDescent="0.25">
      <c r="C164" s="11" t="s">
        <v>870</v>
      </c>
      <c r="D164" s="12" t="s">
        <v>871</v>
      </c>
      <c r="E164" s="88">
        <f>IFERROR(E137*4/E131,0)</f>
        <v>0</v>
      </c>
      <c r="F164" s="88">
        <f>IFERROR(F137*4/F131,0)</f>
        <v>0</v>
      </c>
      <c r="G164" s="88">
        <f>IFERROR(G137*4/G131,0)</f>
        <v>0</v>
      </c>
      <c r="H164" s="88">
        <f>IFERROR(H137*4/H131,0)</f>
        <v>0</v>
      </c>
      <c r="I164" s="89">
        <f>IFERROR(I137*1/I131,0)</f>
        <v>0</v>
      </c>
      <c r="J164" s="88">
        <f>IFERROR(J137*4/J131,0)</f>
        <v>0</v>
      </c>
      <c r="K164" s="88">
        <f>IFERROR(K137*4/K131,0)</f>
        <v>0</v>
      </c>
      <c r="L164" s="88">
        <f>IFERROR(L137*4/L131,0)</f>
        <v>0</v>
      </c>
      <c r="M164" s="88">
        <f>IFERROR(M137*4/M131,0)</f>
        <v>0</v>
      </c>
      <c r="N164" s="89">
        <f>IFERROR(N137*1/N131,0)</f>
        <v>0</v>
      </c>
      <c r="O164" s="88">
        <f>IFERROR(O137*4/O131,0)</f>
        <v>0</v>
      </c>
      <c r="P164" s="88">
        <f>IFERROR(P137*4/P131,0)</f>
        <v>0</v>
      </c>
      <c r="Q164" s="88">
        <f>IFERROR(Q137*4/Q131,0)</f>
        <v>0</v>
      </c>
      <c r="R164" s="88">
        <f>IFERROR(R137*4/R131,0)</f>
        <v>0</v>
      </c>
      <c r="S164" s="89">
        <f>IFERROR(S137*1/S131,0)</f>
        <v>0</v>
      </c>
      <c r="T164" s="88">
        <f>IFERROR(T137*4/T131,0)</f>
        <v>0</v>
      </c>
      <c r="U164" s="88">
        <f>IFERROR(U137*4/U131,0)</f>
        <v>0</v>
      </c>
      <c r="V164" s="88">
        <f>IFERROR(V137*4/V131,0)</f>
        <v>0</v>
      </c>
      <c r="W164" s="88">
        <f>IFERROR(W137*4/W131,0)</f>
        <v>0</v>
      </c>
      <c r="X164" s="89">
        <f>IFERROR(X137*1/X131,0)</f>
        <v>0</v>
      </c>
      <c r="Y164" s="88">
        <f>IFERROR(Y137*4/Y131,0)</f>
        <v>0</v>
      </c>
      <c r="Z164" s="88">
        <f>IFERROR(Z137*4/Z131,0)</f>
        <v>0</v>
      </c>
      <c r="AA164" s="88">
        <f>IFERROR(AA137*4/AA131,0)</f>
        <v>0</v>
      </c>
      <c r="AB164" s="88">
        <f>IFERROR(AB137*4/AB131,0)</f>
        <v>0</v>
      </c>
      <c r="AC164" s="89">
        <f>IFERROR(AC137*1/AC131,0)</f>
        <v>0</v>
      </c>
      <c r="AD164" s="88">
        <f>IFERROR(AD137*4/AD131,0)</f>
        <v>0</v>
      </c>
      <c r="AE164" s="88">
        <f>IFERROR(AE137*4/AE131,0)</f>
        <v>0</v>
      </c>
      <c r="AF164" s="88">
        <f>IFERROR(AF137*4/AF131,0)</f>
        <v>0</v>
      </c>
      <c r="AG164" s="88">
        <f>IFERROR(AG137*4/AG131,0)</f>
        <v>0</v>
      </c>
      <c r="AH164" s="89">
        <f>IFERROR(AH137*1/AH131,0)</f>
        <v>0</v>
      </c>
      <c r="AI164" s="88">
        <f>IFERROR(AI137*4/AI131,0)</f>
        <v>0</v>
      </c>
      <c r="AJ164" s="88">
        <f>IFERROR(AJ137*4/AJ131,0)</f>
        <v>0</v>
      </c>
      <c r="AK164" s="88">
        <f>IFERROR(AK137*4/AK131,0)</f>
        <v>0</v>
      </c>
      <c r="AL164" s="88">
        <f>IFERROR(AL137*4/AL131,0)</f>
        <v>0</v>
      </c>
      <c r="AM164" s="89">
        <f>IFERROR(AM137*1/AM131,0)</f>
        <v>0</v>
      </c>
      <c r="AN164" s="88">
        <f>IFERROR(AN137*4/AN131,0)</f>
        <v>0</v>
      </c>
      <c r="AO164" s="88">
        <f>IFERROR(AO137*4/AO131,0)</f>
        <v>0</v>
      </c>
      <c r="AP164" s="88">
        <f>IFERROR(AP137*4/AP131,0)</f>
        <v>0</v>
      </c>
      <c r="AQ164" s="88">
        <f>IFERROR(AQ137*4/AQ131,0)</f>
        <v>0</v>
      </c>
      <c r="AR164" s="89">
        <f>IFERROR(AR137*1/AR131,0)</f>
        <v>0</v>
      </c>
      <c r="AS164" s="88">
        <f>IFERROR(AS137*4/AS131,0)</f>
        <v>0</v>
      </c>
      <c r="AT164" s="88">
        <f>IFERROR(AT137*4/AT131,0)</f>
        <v>0</v>
      </c>
      <c r="AU164" s="88">
        <f>IFERROR(AU137*4/AU131,0)</f>
        <v>0</v>
      </c>
      <c r="AV164" s="88">
        <f>IFERROR(AV137*4/AV131,0)</f>
        <v>0</v>
      </c>
      <c r="AW164" s="89">
        <f>IFERROR(AW137*1/AW131,0)</f>
        <v>0</v>
      </c>
      <c r="AX164" s="88">
        <f>IFERROR(AX137*4/AX131,0)</f>
        <v>0</v>
      </c>
      <c r="AY164" s="88">
        <f>IFERROR(AY137*4/AY131,0)</f>
        <v>0</v>
      </c>
      <c r="AZ164" s="88">
        <f>IFERROR(AZ137*4/AZ131,0)</f>
        <v>0</v>
      </c>
      <c r="BA164" s="88">
        <f>IFERROR(BA137*4/BA131,0)</f>
        <v>0</v>
      </c>
      <c r="BB164" s="89">
        <f>IFERROR(BB137*1/BB131,0)</f>
        <v>0</v>
      </c>
      <c r="BC164" s="88">
        <f>IFERROR(BC137*4/BC131,0)</f>
        <v>0</v>
      </c>
      <c r="BD164" s="88">
        <f>IFERROR(BD137*4/BD131,0)</f>
        <v>0</v>
      </c>
      <c r="BE164" s="88">
        <f>IFERROR(BE137*4/BE131,0)</f>
        <v>0</v>
      </c>
      <c r="BF164" s="88">
        <f>IFERROR(BF137*4/BF131,0)</f>
        <v>0</v>
      </c>
      <c r="BG164" s="89">
        <f>IFERROR(BG137*1/BG131,0)</f>
        <v>0</v>
      </c>
    </row>
    <row r="165" spans="2:61" x14ac:dyDescent="0.25">
      <c r="C165" s="11" t="s">
        <v>872</v>
      </c>
      <c r="D165" s="12" t="s">
        <v>873</v>
      </c>
      <c r="E165" s="88">
        <f>IFERROR(E138*4/E134,0)</f>
        <v>0</v>
      </c>
      <c r="F165" s="88">
        <f>IFERROR(F138*4/F134,0)</f>
        <v>0</v>
      </c>
      <c r="G165" s="88">
        <f>IFERROR(G138*4/G134,0)</f>
        <v>0</v>
      </c>
      <c r="H165" s="88">
        <f>IFERROR(H138*4/H134,0)</f>
        <v>0</v>
      </c>
      <c r="I165" s="89">
        <f>IFERROR(I138*1/I134,0)</f>
        <v>0</v>
      </c>
      <c r="J165" s="88">
        <f>IFERROR(J138*4/J134,0)</f>
        <v>0</v>
      </c>
      <c r="K165" s="88">
        <f>IFERROR(K138*4/K134,0)</f>
        <v>0</v>
      </c>
      <c r="L165" s="88">
        <f>IFERROR(L138*4/L134,0)</f>
        <v>0</v>
      </c>
      <c r="M165" s="88">
        <f>IFERROR(M138*4/M134,0)</f>
        <v>0</v>
      </c>
      <c r="N165" s="89">
        <f>IFERROR(N138*1/N134,0)</f>
        <v>0</v>
      </c>
      <c r="O165" s="88">
        <f>IFERROR(O138*4/O134,0)</f>
        <v>0</v>
      </c>
      <c r="P165" s="88">
        <f>IFERROR(P138*4/P134,0)</f>
        <v>0</v>
      </c>
      <c r="Q165" s="88">
        <f>IFERROR(Q138*4/Q134,0)</f>
        <v>0</v>
      </c>
      <c r="R165" s="88">
        <f>IFERROR(R138*4/R134,0)</f>
        <v>0</v>
      </c>
      <c r="S165" s="89">
        <f>IFERROR(S138*1/S134,0)</f>
        <v>0</v>
      </c>
      <c r="T165" s="88">
        <f>IFERROR(T138*4/T134,0)</f>
        <v>0</v>
      </c>
      <c r="U165" s="88">
        <f>IFERROR(U138*4/U134,0)</f>
        <v>0</v>
      </c>
      <c r="V165" s="88">
        <f>IFERROR(V138*4/V134,0)</f>
        <v>0</v>
      </c>
      <c r="W165" s="88">
        <f>IFERROR(W138*4/W134,0)</f>
        <v>0</v>
      </c>
      <c r="X165" s="89">
        <f>IFERROR(X138*1/X134,0)</f>
        <v>0</v>
      </c>
      <c r="Y165" s="88">
        <f>IFERROR(Y138*4/Y134,0)</f>
        <v>0</v>
      </c>
      <c r="Z165" s="88">
        <f>IFERROR(Z138*4/Z134,0)</f>
        <v>0</v>
      </c>
      <c r="AA165" s="88">
        <f>IFERROR(AA138*4/AA134,0)</f>
        <v>0</v>
      </c>
      <c r="AB165" s="88">
        <f>IFERROR(AB138*4/AB134,0)</f>
        <v>0</v>
      </c>
      <c r="AC165" s="89">
        <f>IFERROR(AC138*1/AC134,0)</f>
        <v>0</v>
      </c>
      <c r="AD165" s="88">
        <f>IFERROR(AD138*4/AD134,0)</f>
        <v>0</v>
      </c>
      <c r="AE165" s="88">
        <f>IFERROR(AE138*4/AE134,0)</f>
        <v>0</v>
      </c>
      <c r="AF165" s="88">
        <f>IFERROR(AF138*4/AF134,0)</f>
        <v>0</v>
      </c>
      <c r="AG165" s="88">
        <f>IFERROR(AG138*4/AG134,0)</f>
        <v>0</v>
      </c>
      <c r="AH165" s="89">
        <f>IFERROR(AH138*1/AH134,0)</f>
        <v>0</v>
      </c>
      <c r="AI165" s="88">
        <f>IFERROR(AI138*4/AI134,0)</f>
        <v>0</v>
      </c>
      <c r="AJ165" s="88">
        <f>IFERROR(AJ138*4/AJ134,0)</f>
        <v>0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0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 spans="2:61" x14ac:dyDescent="0.25">
      <c r="C166" s="11" t="s">
        <v>874</v>
      </c>
      <c r="D166" s="12" t="s">
        <v>875</v>
      </c>
      <c r="E166" s="88">
        <f>IFERROR(E139*4/(E131-E134),0)</f>
        <v>0</v>
      </c>
      <c r="F166" s="88">
        <f>IFERROR(F139*4/(F131-F134),0)</f>
        <v>0</v>
      </c>
      <c r="G166" s="88">
        <f>IFERROR(G139*4/(G131-G134),0)</f>
        <v>0</v>
      </c>
      <c r="H166" s="88">
        <f>IFERROR(H139*4/(H131-H134),0)</f>
        <v>0</v>
      </c>
      <c r="I166" s="89">
        <f>IFERROR(I139*1/(I131-I134),0)</f>
        <v>0</v>
      </c>
      <c r="J166" s="88">
        <f>IFERROR(J139*4/(J131-J134),0)</f>
        <v>0</v>
      </c>
      <c r="K166" s="88">
        <f>IFERROR(K139*4/(K131-K134),0)</f>
        <v>0</v>
      </c>
      <c r="L166" s="88">
        <f>IFERROR(L139*4/(L131-L134),0)</f>
        <v>0</v>
      </c>
      <c r="M166" s="88">
        <f>IFERROR(M139*4/(M131-M134),0)</f>
        <v>0</v>
      </c>
      <c r="N166" s="89">
        <f>IFERROR(N139*1/(N131-N134),0)</f>
        <v>0</v>
      </c>
      <c r="O166" s="88">
        <f>IFERROR(O139*4/(O131-O134),0)</f>
        <v>0</v>
      </c>
      <c r="P166" s="88">
        <f>IFERROR(P139*4/(P131-P134),0)</f>
        <v>0</v>
      </c>
      <c r="Q166" s="88">
        <f>IFERROR(Q139*4/(Q131-Q134),0)</f>
        <v>0</v>
      </c>
      <c r="R166" s="88">
        <f>IFERROR(R139*4/(R131-R134),0)</f>
        <v>0</v>
      </c>
      <c r="S166" s="89">
        <f>IFERROR(S139*1/(S131-S134),0)</f>
        <v>0</v>
      </c>
      <c r="T166" s="88">
        <f>IFERROR(T139*4/(T131-T134),0)</f>
        <v>0</v>
      </c>
      <c r="U166" s="88">
        <f>IFERROR(U139*4/(U131-U134),0)</f>
        <v>0</v>
      </c>
      <c r="V166" s="88">
        <f>IFERROR(V139*4/(V131-V134),0)</f>
        <v>0</v>
      </c>
      <c r="W166" s="88">
        <f>IFERROR(W139*4/(W131-W134),0)</f>
        <v>0</v>
      </c>
      <c r="X166" s="89">
        <f>IFERROR(X139*1/(X131-X134),0)</f>
        <v>0</v>
      </c>
      <c r="Y166" s="88">
        <f>IFERROR(Y139*4/(Y131-Y134),0)</f>
        <v>0</v>
      </c>
      <c r="Z166" s="88">
        <f>IFERROR(Z139*4/(Z131-Z134),0)</f>
        <v>0</v>
      </c>
      <c r="AA166" s="88">
        <f>IFERROR(AA139*4/(AA131-AA134),0)</f>
        <v>0</v>
      </c>
      <c r="AB166" s="88">
        <f>IFERROR(AB139*4/(AB131-AB134),0)</f>
        <v>0</v>
      </c>
      <c r="AC166" s="89">
        <f>IFERROR(AC139*1/(AC131-AC134),0)</f>
        <v>0</v>
      </c>
      <c r="AD166" s="88">
        <f>IFERROR(AD139*4/(AD131-AD134),0)</f>
        <v>0</v>
      </c>
      <c r="AE166" s="88">
        <f>IFERROR(AE139*4/(AE131-AE134),0)</f>
        <v>0</v>
      </c>
      <c r="AF166" s="88">
        <f>IFERROR(AF139*4/(AF131-AF134),0)</f>
        <v>0</v>
      </c>
      <c r="AG166" s="88">
        <f>IFERROR(AG139*4/(AG131-AG134),0)</f>
        <v>0</v>
      </c>
      <c r="AH166" s="89">
        <f>IFERROR(AH139*1/(AH131-AH134),0)</f>
        <v>0</v>
      </c>
      <c r="AI166" s="88">
        <f>IFERROR(AI139*4/(AI131-AI134),0)</f>
        <v>0</v>
      </c>
      <c r="AJ166" s="88">
        <f>IFERROR(AJ139*4/(AJ131-AJ134),0)</f>
        <v>0</v>
      </c>
      <c r="AK166" s="88">
        <f>IFERROR(AK139*4/(AK131-AK134),0)</f>
        <v>0</v>
      </c>
      <c r="AL166" s="88">
        <f>IFERROR(AL139*4/(AL131-AL134),0)</f>
        <v>0</v>
      </c>
      <c r="AM166" s="89">
        <f>IFERROR(AM139*1/(AM131-AM134),0)</f>
        <v>0</v>
      </c>
      <c r="AN166" s="88">
        <f>IFERROR(AN139*4/(AN131-AN134),0)</f>
        <v>0</v>
      </c>
      <c r="AO166" s="88">
        <f>IFERROR(AO139*4/(AO131-AO134),0)</f>
        <v>0</v>
      </c>
      <c r="AP166" s="88">
        <f>IFERROR(AP139*4/(AP131-AP134),0)</f>
        <v>0</v>
      </c>
      <c r="AQ166" s="88">
        <f>IFERROR(AQ139*4/(AQ131-AQ134),0)</f>
        <v>0</v>
      </c>
      <c r="AR166" s="89">
        <f>IFERROR(AR139*1/(AR131-AR134),0)</f>
        <v>0</v>
      </c>
      <c r="AS166" s="88">
        <f>IFERROR(AS139*4/(AS131-AS134),0)</f>
        <v>0</v>
      </c>
      <c r="AT166" s="88">
        <f>IFERROR(AT139*4/(AT131-AT134),0)</f>
        <v>0</v>
      </c>
      <c r="AU166" s="88">
        <f>IFERROR(AU139*4/(AU131-AU134),0)</f>
        <v>0</v>
      </c>
      <c r="AV166" s="88">
        <f>IFERROR(AV139*4/(AV131-AV134),0)</f>
        <v>0</v>
      </c>
      <c r="AW166" s="89">
        <f>IFERROR(AW139*1/(AW131-AW134),0)</f>
        <v>0</v>
      </c>
      <c r="AX166" s="88">
        <f>IFERROR(AX139*4/(AX131-AX134),0)</f>
        <v>0</v>
      </c>
      <c r="AY166" s="88">
        <f>IFERROR(AY139*4/(AY131-AY134),0)</f>
        <v>0</v>
      </c>
      <c r="AZ166" s="88">
        <f>IFERROR(AZ139*4/(AZ131-AZ134),0)</f>
        <v>0</v>
      </c>
      <c r="BA166" s="88">
        <f>IFERROR(BA139*4/(BA131-BA134),0)</f>
        <v>0</v>
      </c>
      <c r="BB166" s="89">
        <f>IFERROR(BB139*1/(BB131-BB134),0)</f>
        <v>0</v>
      </c>
      <c r="BC166" s="88">
        <f>IFERROR(BC139*4/(BC131-BC134),0)</f>
        <v>0</v>
      </c>
      <c r="BD166" s="88">
        <f>IFERROR(BD139*4/(BD131-BD134),0)</f>
        <v>0</v>
      </c>
      <c r="BE166" s="88">
        <f>IFERROR(BE139*4/(BE131-BE134),0)</f>
        <v>0</v>
      </c>
      <c r="BF166" s="88">
        <f>IFERROR(BF139*4/(BF131-BF134),0)</f>
        <v>0</v>
      </c>
      <c r="BG166" s="89">
        <f>IFERROR(BG139*1/(BG131-BG134),0)</f>
        <v>0</v>
      </c>
    </row>
    <row r="167" spans="2:61" x14ac:dyDescent="0.25">
      <c r="C167" s="11" t="s">
        <v>398</v>
      </c>
      <c r="D167" s="12" t="s">
        <v>876</v>
      </c>
      <c r="E167" s="88">
        <f>IFERROR(-E96*4/E133,0)</f>
        <v>0</v>
      </c>
      <c r="F167" s="88">
        <f>IFERROR(-F96*4/F133,0)</f>
        <v>0</v>
      </c>
      <c r="G167" s="88">
        <f>IFERROR(-G96*4/G133,0)</f>
        <v>0</v>
      </c>
      <c r="H167" s="88">
        <f>IFERROR(-H96*4/H133,0)</f>
        <v>0</v>
      </c>
      <c r="I167" s="89">
        <f>IFERROR(-I96*1/I133,0)</f>
        <v>0</v>
      </c>
      <c r="J167" s="88">
        <f>IFERROR(-J96*4/J133,0)</f>
        <v>0</v>
      </c>
      <c r="K167" s="88">
        <f>IFERROR(-K96*4/K133,0)</f>
        <v>0</v>
      </c>
      <c r="L167" s="88">
        <f>IFERROR(-L96*4/L133,0)</f>
        <v>0</v>
      </c>
      <c r="M167" s="88">
        <f>IFERROR(-M96*4/M133,0)</f>
        <v>0</v>
      </c>
      <c r="N167" s="89">
        <f>IFERROR(-N96*1/N133,0)</f>
        <v>0</v>
      </c>
      <c r="O167" s="88">
        <f>IFERROR(-O96*4/O133,0)</f>
        <v>0</v>
      </c>
      <c r="P167" s="88">
        <f>IFERROR(-P96*4/P133,0)</f>
        <v>0</v>
      </c>
      <c r="Q167" s="88">
        <f>IFERROR(-Q96*4/Q133,0)</f>
        <v>0</v>
      </c>
      <c r="R167" s="88">
        <f>IFERROR(-R96*4/R133,0)</f>
        <v>0</v>
      </c>
      <c r="S167" s="89">
        <f>IFERROR(-S96*1/S133,0)</f>
        <v>0</v>
      </c>
      <c r="T167" s="88">
        <f>IFERROR(-T96*4/T133,0)</f>
        <v>0</v>
      </c>
      <c r="U167" s="88">
        <f>IFERROR(-U96*4/U133,0)</f>
        <v>0</v>
      </c>
      <c r="V167" s="88">
        <f>IFERROR(-V96*4/V133,0)</f>
        <v>0</v>
      </c>
      <c r="W167" s="88">
        <f>IFERROR(-W96*4/W133,0)</f>
        <v>0</v>
      </c>
      <c r="X167" s="89">
        <f>IFERROR(-X96*1/X133,0)</f>
        <v>0</v>
      </c>
      <c r="Y167" s="88">
        <f>IFERROR(-Y96*4/Y133,0)</f>
        <v>0</v>
      </c>
      <c r="Z167" s="88">
        <f>IFERROR(-Z96*4/Z133,0)</f>
        <v>0</v>
      </c>
      <c r="AA167" s="88">
        <f>IFERROR(-AA96*4/AA133,0)</f>
        <v>0</v>
      </c>
      <c r="AB167" s="88">
        <f>IFERROR(-AB96*4/AB133,0)</f>
        <v>0</v>
      </c>
      <c r="AC167" s="89">
        <f>IFERROR(-AC96*1/AC133,0)</f>
        <v>0</v>
      </c>
      <c r="AD167" s="88">
        <f>IFERROR(-AD96*4/AD133,0)</f>
        <v>0</v>
      </c>
      <c r="AE167" s="88">
        <f>IFERROR(-AE96*4/AE133,0)</f>
        <v>0</v>
      </c>
      <c r="AF167" s="88">
        <f>IFERROR(-AF96*4/AF133,0)</f>
        <v>0</v>
      </c>
      <c r="AG167" s="88">
        <f>IFERROR(-AG96*4/AG133,0)</f>
        <v>0</v>
      </c>
      <c r="AH167" s="89">
        <f>IFERROR(-AH96*1/AH133,0)</f>
        <v>0</v>
      </c>
      <c r="AI167" s="88">
        <f>IFERROR(-AI96*4/AI133,0)</f>
        <v>0</v>
      </c>
      <c r="AJ167" s="88">
        <f>IFERROR(-AJ96*4/AJ133,0)</f>
        <v>0</v>
      </c>
      <c r="AK167" s="88">
        <f>IFERROR(-AK96*4/AK133,0)</f>
        <v>0</v>
      </c>
      <c r="AL167" s="88">
        <f>IFERROR(-AL96*4/AL133,0)</f>
        <v>0</v>
      </c>
      <c r="AM167" s="89">
        <f>IFERROR(-AM96*1/AM133,0)</f>
        <v>0</v>
      </c>
      <c r="AN167" s="88">
        <f>IFERROR(-AN96*4/AN133,0)</f>
        <v>0</v>
      </c>
      <c r="AO167" s="88">
        <f>IFERROR(-AO96*4/AO133,0)</f>
        <v>0</v>
      </c>
      <c r="AP167" s="88">
        <f>IFERROR(-AP96*4/AP133,0)</f>
        <v>0</v>
      </c>
      <c r="AQ167" s="88">
        <f>IFERROR(-AQ96*4/AQ133,0)</f>
        <v>0</v>
      </c>
      <c r="AR167" s="89">
        <f>IFERROR(-AR96*1/AR133,0)</f>
        <v>0</v>
      </c>
      <c r="AS167" s="88">
        <f>IFERROR(-AS96*4/AS133,0)</f>
        <v>0</v>
      </c>
      <c r="AT167" s="88">
        <f>IFERROR(-AT96*4/AT133,0)</f>
        <v>0</v>
      </c>
      <c r="AU167" s="88">
        <f>IFERROR(-AU96*4/AU133,0)</f>
        <v>0</v>
      </c>
      <c r="AV167" s="88">
        <f>IFERROR(-AV96*4/AV133,0)</f>
        <v>0</v>
      </c>
      <c r="AW167" s="89">
        <f>IFERROR(-AW96*1/AW133,0)</f>
        <v>0</v>
      </c>
      <c r="AX167" s="88">
        <f>IFERROR(-AX96*4/AX133,0)</f>
        <v>0</v>
      </c>
      <c r="AY167" s="88">
        <f>IFERROR(-AY96*4/AY133,0)</f>
        <v>0</v>
      </c>
      <c r="AZ167" s="88">
        <f>IFERROR(-AZ96*4/AZ133,0)</f>
        <v>0</v>
      </c>
      <c r="BA167" s="88">
        <f>IFERROR(-BA96*4/BA133,0)</f>
        <v>0</v>
      </c>
      <c r="BB167" s="89">
        <f>IFERROR(-BB96*1/BB133,0)</f>
        <v>0</v>
      </c>
      <c r="BC167" s="88">
        <f>IFERROR(-BC96*4/BC133,0)</f>
        <v>0</v>
      </c>
      <c r="BD167" s="88">
        <f>IFERROR(-BD96*4/BD133,0)</f>
        <v>0</v>
      </c>
      <c r="BE167" s="88">
        <f>IFERROR(-BE96*4/BE133,0)</f>
        <v>0</v>
      </c>
      <c r="BF167" s="88">
        <f>IFERROR(-BF96*4/BF133,0)</f>
        <v>0</v>
      </c>
      <c r="BG167" s="89">
        <f>IFERROR(-BG96*1/BG133,0)</f>
        <v>0</v>
      </c>
    </row>
    <row r="168" spans="2:61" x14ac:dyDescent="0.25">
      <c r="C168" s="11" t="s">
        <v>877</v>
      </c>
      <c r="D168" s="12" t="s">
        <v>878</v>
      </c>
      <c r="E168" s="88">
        <f t="shared" ref="E168:AJ168" si="61">IFERROR(E165-E167,0)</f>
        <v>0</v>
      </c>
      <c r="F168" s="88">
        <f t="shared" si="61"/>
        <v>0</v>
      </c>
      <c r="G168" s="88">
        <f t="shared" si="61"/>
        <v>0</v>
      </c>
      <c r="H168" s="88">
        <f t="shared" si="61"/>
        <v>0</v>
      </c>
      <c r="I168" s="89">
        <f t="shared" si="61"/>
        <v>0</v>
      </c>
      <c r="J168" s="88">
        <f t="shared" si="61"/>
        <v>0</v>
      </c>
      <c r="K168" s="88">
        <f t="shared" si="61"/>
        <v>0</v>
      </c>
      <c r="L168" s="88">
        <f t="shared" si="61"/>
        <v>0</v>
      </c>
      <c r="M168" s="88">
        <f t="shared" si="61"/>
        <v>0</v>
      </c>
      <c r="N168" s="89">
        <f t="shared" si="61"/>
        <v>0</v>
      </c>
      <c r="O168" s="88">
        <f t="shared" si="61"/>
        <v>0</v>
      </c>
      <c r="P168" s="88">
        <f t="shared" si="61"/>
        <v>0</v>
      </c>
      <c r="Q168" s="88">
        <f t="shared" si="61"/>
        <v>0</v>
      </c>
      <c r="R168" s="88">
        <f t="shared" si="61"/>
        <v>0</v>
      </c>
      <c r="S168" s="89">
        <f t="shared" si="61"/>
        <v>0</v>
      </c>
      <c r="T168" s="88">
        <f t="shared" si="61"/>
        <v>0</v>
      </c>
      <c r="U168" s="88">
        <f t="shared" si="61"/>
        <v>0</v>
      </c>
      <c r="V168" s="88">
        <f t="shared" si="61"/>
        <v>0</v>
      </c>
      <c r="W168" s="88">
        <f t="shared" si="61"/>
        <v>0</v>
      </c>
      <c r="X168" s="89">
        <f t="shared" si="61"/>
        <v>0</v>
      </c>
      <c r="Y168" s="88">
        <f t="shared" si="61"/>
        <v>0</v>
      </c>
      <c r="Z168" s="88">
        <f t="shared" si="61"/>
        <v>0</v>
      </c>
      <c r="AA168" s="88">
        <f t="shared" si="61"/>
        <v>0</v>
      </c>
      <c r="AB168" s="88">
        <f t="shared" si="61"/>
        <v>0</v>
      </c>
      <c r="AC168" s="89">
        <f t="shared" si="61"/>
        <v>0</v>
      </c>
      <c r="AD168" s="88">
        <f t="shared" si="61"/>
        <v>0</v>
      </c>
      <c r="AE168" s="88">
        <f t="shared" si="61"/>
        <v>0</v>
      </c>
      <c r="AF168" s="88">
        <f t="shared" si="61"/>
        <v>0</v>
      </c>
      <c r="AG168" s="88">
        <f t="shared" si="61"/>
        <v>0</v>
      </c>
      <c r="AH168" s="89">
        <f t="shared" si="61"/>
        <v>0</v>
      </c>
      <c r="AI168" s="88">
        <f t="shared" si="61"/>
        <v>0</v>
      </c>
      <c r="AJ168" s="88">
        <f t="shared" si="61"/>
        <v>0</v>
      </c>
      <c r="AK168" s="88">
        <f t="shared" ref="AK168:BG168" si="62">IFERROR(AK165-AK167,0)</f>
        <v>0</v>
      </c>
      <c r="AL168" s="88">
        <f t="shared" si="62"/>
        <v>0</v>
      </c>
      <c r="AM168" s="89">
        <f t="shared" si="62"/>
        <v>0</v>
      </c>
      <c r="AN168" s="88">
        <f t="shared" si="62"/>
        <v>0</v>
      </c>
      <c r="AO168" s="88">
        <f t="shared" si="62"/>
        <v>0</v>
      </c>
      <c r="AP168" s="88">
        <f t="shared" si="62"/>
        <v>0</v>
      </c>
      <c r="AQ168" s="88">
        <f t="shared" si="62"/>
        <v>0</v>
      </c>
      <c r="AR168" s="89">
        <f t="shared" si="62"/>
        <v>0</v>
      </c>
      <c r="AS168" s="88">
        <f t="shared" si="62"/>
        <v>0</v>
      </c>
      <c r="AT168" s="88">
        <f t="shared" si="62"/>
        <v>0</v>
      </c>
      <c r="AU168" s="88">
        <f t="shared" si="62"/>
        <v>0</v>
      </c>
      <c r="AV168" s="88">
        <f t="shared" si="62"/>
        <v>0</v>
      </c>
      <c r="AW168" s="89">
        <f t="shared" si="62"/>
        <v>0</v>
      </c>
      <c r="AX168" s="88">
        <f t="shared" si="62"/>
        <v>0</v>
      </c>
      <c r="AY168" s="88">
        <f t="shared" si="62"/>
        <v>0</v>
      </c>
      <c r="AZ168" s="88">
        <f t="shared" si="62"/>
        <v>0</v>
      </c>
      <c r="BA168" s="88">
        <f t="shared" si="62"/>
        <v>0</v>
      </c>
      <c r="BB168" s="89">
        <f t="shared" si="62"/>
        <v>0</v>
      </c>
      <c r="BC168" s="88">
        <f t="shared" si="62"/>
        <v>0</v>
      </c>
      <c r="BD168" s="88">
        <f t="shared" si="62"/>
        <v>0</v>
      </c>
      <c r="BE168" s="88">
        <f t="shared" si="62"/>
        <v>0</v>
      </c>
      <c r="BF168" s="88">
        <f t="shared" si="62"/>
        <v>0</v>
      </c>
      <c r="BG168" s="89">
        <f t="shared" si="62"/>
        <v>0</v>
      </c>
    </row>
    <row r="169" spans="2:61" x14ac:dyDescent="0.25">
      <c r="B169" s="29"/>
      <c r="C169" s="29" t="s">
        <v>879</v>
      </c>
      <c r="D169" s="29" t="s">
        <v>880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</row>
    <row r="170" spans="2:61" x14ac:dyDescent="0.25">
      <c r="C170" s="11" t="s">
        <v>881</v>
      </c>
      <c r="D170" s="12" t="s">
        <v>882</v>
      </c>
      <c r="E170" s="88">
        <f t="shared" ref="E170:AJ170" si="63">IFERROR(E141/E140,0)</f>
        <v>0</v>
      </c>
      <c r="F170" s="88">
        <f t="shared" si="63"/>
        <v>0</v>
      </c>
      <c r="G170" s="88">
        <f t="shared" si="63"/>
        <v>0</v>
      </c>
      <c r="H170" s="88">
        <f t="shared" si="63"/>
        <v>0</v>
      </c>
      <c r="I170" s="89">
        <f t="shared" si="63"/>
        <v>0</v>
      </c>
      <c r="J170" s="88">
        <f t="shared" si="63"/>
        <v>0</v>
      </c>
      <c r="K170" s="88">
        <f t="shared" si="63"/>
        <v>0</v>
      </c>
      <c r="L170" s="88">
        <f t="shared" si="63"/>
        <v>0</v>
      </c>
      <c r="M170" s="88">
        <f t="shared" si="63"/>
        <v>0</v>
      </c>
      <c r="N170" s="89">
        <f t="shared" si="63"/>
        <v>0</v>
      </c>
      <c r="O170" s="88">
        <f t="shared" si="63"/>
        <v>0</v>
      </c>
      <c r="P170" s="88">
        <f t="shared" si="63"/>
        <v>0</v>
      </c>
      <c r="Q170" s="88">
        <f t="shared" si="63"/>
        <v>0</v>
      </c>
      <c r="R170" s="88">
        <f t="shared" si="63"/>
        <v>0</v>
      </c>
      <c r="S170" s="89">
        <f t="shared" si="63"/>
        <v>0</v>
      </c>
      <c r="T170" s="88">
        <f t="shared" si="63"/>
        <v>0</v>
      </c>
      <c r="U170" s="88">
        <f t="shared" si="63"/>
        <v>0</v>
      </c>
      <c r="V170" s="88">
        <f t="shared" si="63"/>
        <v>0</v>
      </c>
      <c r="W170" s="88">
        <f t="shared" si="63"/>
        <v>0</v>
      </c>
      <c r="X170" s="89">
        <f t="shared" si="63"/>
        <v>0</v>
      </c>
      <c r="Y170" s="88">
        <f t="shared" si="63"/>
        <v>0</v>
      </c>
      <c r="Z170" s="88">
        <f t="shared" si="63"/>
        <v>0</v>
      </c>
      <c r="AA170" s="88">
        <f t="shared" si="63"/>
        <v>0</v>
      </c>
      <c r="AB170" s="88">
        <f t="shared" si="63"/>
        <v>0</v>
      </c>
      <c r="AC170" s="89">
        <f t="shared" si="63"/>
        <v>0</v>
      </c>
      <c r="AD170" s="88">
        <f t="shared" si="63"/>
        <v>0</v>
      </c>
      <c r="AE170" s="88">
        <f t="shared" si="63"/>
        <v>0</v>
      </c>
      <c r="AF170" s="88">
        <f t="shared" si="63"/>
        <v>0</v>
      </c>
      <c r="AG170" s="88">
        <f t="shared" si="63"/>
        <v>0</v>
      </c>
      <c r="AH170" s="89">
        <f t="shared" si="63"/>
        <v>0</v>
      </c>
      <c r="AI170" s="88">
        <f t="shared" si="63"/>
        <v>0</v>
      </c>
      <c r="AJ170" s="88">
        <f t="shared" si="63"/>
        <v>0</v>
      </c>
      <c r="AK170" s="88">
        <f t="shared" ref="AK170:BG170" si="64">IFERROR(AK141/AK140,0)</f>
        <v>0</v>
      </c>
      <c r="AL170" s="88">
        <f t="shared" si="64"/>
        <v>0</v>
      </c>
      <c r="AM170" s="89">
        <f t="shared" si="64"/>
        <v>0</v>
      </c>
      <c r="AN170" s="88">
        <f t="shared" si="64"/>
        <v>0</v>
      </c>
      <c r="AO170" s="88">
        <f t="shared" si="64"/>
        <v>0</v>
      </c>
      <c r="AP170" s="88">
        <f t="shared" si="64"/>
        <v>0</v>
      </c>
      <c r="AQ170" s="88">
        <f t="shared" si="64"/>
        <v>0</v>
      </c>
      <c r="AR170" s="89">
        <f t="shared" si="64"/>
        <v>0</v>
      </c>
      <c r="AS170" s="88">
        <f t="shared" si="64"/>
        <v>0</v>
      </c>
      <c r="AT170" s="88">
        <f t="shared" si="64"/>
        <v>0</v>
      </c>
      <c r="AU170" s="88">
        <f t="shared" si="64"/>
        <v>0</v>
      </c>
      <c r="AV170" s="88">
        <f t="shared" si="64"/>
        <v>0</v>
      </c>
      <c r="AW170" s="89">
        <f t="shared" si="64"/>
        <v>0</v>
      </c>
      <c r="AX170" s="88">
        <f t="shared" si="64"/>
        <v>0</v>
      </c>
      <c r="AY170" s="88">
        <f t="shared" si="64"/>
        <v>0</v>
      </c>
      <c r="AZ170" s="88">
        <f t="shared" si="64"/>
        <v>0</v>
      </c>
      <c r="BA170" s="88">
        <f t="shared" si="64"/>
        <v>0</v>
      </c>
      <c r="BB170" s="89">
        <f t="shared" si="64"/>
        <v>0</v>
      </c>
      <c r="BC170" s="88">
        <f t="shared" si="64"/>
        <v>0</v>
      </c>
      <c r="BD170" s="88">
        <f t="shared" si="64"/>
        <v>0</v>
      </c>
      <c r="BE170" s="88">
        <f t="shared" si="64"/>
        <v>0</v>
      </c>
      <c r="BF170" s="88">
        <f t="shared" si="64"/>
        <v>0</v>
      </c>
      <c r="BG170" s="89">
        <f t="shared" si="64"/>
        <v>0</v>
      </c>
      <c r="BI170" s="14" t="s">
        <v>883</v>
      </c>
    </row>
    <row r="171" spans="2:61" x14ac:dyDescent="0.25">
      <c r="C171" s="11" t="s">
        <v>884</v>
      </c>
      <c r="D171" s="12" t="s">
        <v>885</v>
      </c>
      <c r="E171" s="88">
        <f t="shared" ref="E171:AJ171" si="65">IFERROR(-E109/E140,0)</f>
        <v>0</v>
      </c>
      <c r="F171" s="88">
        <f t="shared" si="65"/>
        <v>0</v>
      </c>
      <c r="G171" s="88">
        <f t="shared" si="65"/>
        <v>0</v>
      </c>
      <c r="H171" s="88">
        <f t="shared" si="65"/>
        <v>0</v>
      </c>
      <c r="I171" s="89">
        <f t="shared" si="65"/>
        <v>0</v>
      </c>
      <c r="J171" s="88">
        <f t="shared" si="65"/>
        <v>0</v>
      </c>
      <c r="K171" s="88">
        <f t="shared" si="65"/>
        <v>0</v>
      </c>
      <c r="L171" s="88">
        <f t="shared" si="65"/>
        <v>0</v>
      </c>
      <c r="M171" s="88">
        <f t="shared" si="65"/>
        <v>0</v>
      </c>
      <c r="N171" s="89">
        <f t="shared" si="65"/>
        <v>0</v>
      </c>
      <c r="O171" s="88">
        <f t="shared" si="65"/>
        <v>0</v>
      </c>
      <c r="P171" s="88">
        <f t="shared" si="65"/>
        <v>0</v>
      </c>
      <c r="Q171" s="88">
        <f t="shared" si="65"/>
        <v>0</v>
      </c>
      <c r="R171" s="88">
        <f t="shared" si="65"/>
        <v>0</v>
      </c>
      <c r="S171" s="89">
        <f t="shared" si="65"/>
        <v>0</v>
      </c>
      <c r="T171" s="88">
        <f t="shared" si="65"/>
        <v>0</v>
      </c>
      <c r="U171" s="88">
        <f t="shared" si="65"/>
        <v>0</v>
      </c>
      <c r="V171" s="88">
        <f t="shared" si="65"/>
        <v>0</v>
      </c>
      <c r="W171" s="88">
        <f t="shared" si="65"/>
        <v>0</v>
      </c>
      <c r="X171" s="89">
        <f t="shared" si="65"/>
        <v>0</v>
      </c>
      <c r="Y171" s="88">
        <f t="shared" si="65"/>
        <v>0</v>
      </c>
      <c r="Z171" s="88">
        <f t="shared" si="65"/>
        <v>0</v>
      </c>
      <c r="AA171" s="88">
        <f t="shared" si="65"/>
        <v>0</v>
      </c>
      <c r="AB171" s="88">
        <f t="shared" si="65"/>
        <v>0</v>
      </c>
      <c r="AC171" s="89">
        <f t="shared" si="65"/>
        <v>0</v>
      </c>
      <c r="AD171" s="88">
        <f t="shared" si="65"/>
        <v>0</v>
      </c>
      <c r="AE171" s="88">
        <f t="shared" si="65"/>
        <v>0</v>
      </c>
      <c r="AF171" s="88">
        <f t="shared" si="65"/>
        <v>0</v>
      </c>
      <c r="AG171" s="88">
        <f t="shared" si="65"/>
        <v>0</v>
      </c>
      <c r="AH171" s="89">
        <f t="shared" si="65"/>
        <v>0</v>
      </c>
      <c r="AI171" s="88">
        <f t="shared" si="65"/>
        <v>0</v>
      </c>
      <c r="AJ171" s="88">
        <f t="shared" si="65"/>
        <v>0</v>
      </c>
      <c r="AK171" s="88">
        <f t="shared" ref="AK171:BG171" si="66">IFERROR(-AK109/AK140,0)</f>
        <v>0</v>
      </c>
      <c r="AL171" s="88">
        <f t="shared" si="66"/>
        <v>0</v>
      </c>
      <c r="AM171" s="89">
        <f t="shared" si="66"/>
        <v>0</v>
      </c>
      <c r="AN171" s="88">
        <f t="shared" si="66"/>
        <v>0</v>
      </c>
      <c r="AO171" s="88">
        <f t="shared" si="66"/>
        <v>0</v>
      </c>
      <c r="AP171" s="88">
        <f t="shared" si="66"/>
        <v>0</v>
      </c>
      <c r="AQ171" s="88">
        <f t="shared" si="66"/>
        <v>0</v>
      </c>
      <c r="AR171" s="89">
        <f t="shared" si="66"/>
        <v>0</v>
      </c>
      <c r="AS171" s="88">
        <f t="shared" si="66"/>
        <v>0</v>
      </c>
      <c r="AT171" s="88">
        <f t="shared" si="66"/>
        <v>0</v>
      </c>
      <c r="AU171" s="88">
        <f t="shared" si="66"/>
        <v>0</v>
      </c>
      <c r="AV171" s="88">
        <f t="shared" si="66"/>
        <v>0</v>
      </c>
      <c r="AW171" s="89">
        <f t="shared" si="66"/>
        <v>0</v>
      </c>
      <c r="AX171" s="88">
        <f t="shared" si="66"/>
        <v>0</v>
      </c>
      <c r="AY171" s="88">
        <f t="shared" si="66"/>
        <v>0</v>
      </c>
      <c r="AZ171" s="88">
        <f t="shared" si="66"/>
        <v>0</v>
      </c>
      <c r="BA171" s="88">
        <f t="shared" si="66"/>
        <v>0</v>
      </c>
      <c r="BB171" s="89">
        <f t="shared" si="66"/>
        <v>0</v>
      </c>
      <c r="BC171" s="88">
        <f t="shared" si="66"/>
        <v>0</v>
      </c>
      <c r="BD171" s="88">
        <f t="shared" si="66"/>
        <v>0</v>
      </c>
      <c r="BE171" s="88">
        <f t="shared" si="66"/>
        <v>0</v>
      </c>
      <c r="BF171" s="88">
        <f t="shared" si="66"/>
        <v>0</v>
      </c>
      <c r="BG171" s="89">
        <f t="shared" si="66"/>
        <v>0</v>
      </c>
    </row>
    <row r="172" spans="2:61" x14ac:dyDescent="0.25">
      <c r="C172" s="11" t="s">
        <v>886</v>
      </c>
      <c r="D172" s="12" t="s">
        <v>887</v>
      </c>
      <c r="E172" s="88">
        <f t="shared" ref="E172:AJ172" si="67">IFERROR(-E110/E140,0)</f>
        <v>0</v>
      </c>
      <c r="F172" s="88">
        <f t="shared" si="67"/>
        <v>0</v>
      </c>
      <c r="G172" s="88">
        <f t="shared" si="67"/>
        <v>0</v>
      </c>
      <c r="H172" s="88">
        <f t="shared" si="67"/>
        <v>0</v>
      </c>
      <c r="I172" s="89">
        <f t="shared" si="67"/>
        <v>0</v>
      </c>
      <c r="J172" s="88">
        <f t="shared" si="67"/>
        <v>0</v>
      </c>
      <c r="K172" s="88">
        <f t="shared" si="67"/>
        <v>0</v>
      </c>
      <c r="L172" s="88">
        <f t="shared" si="67"/>
        <v>0</v>
      </c>
      <c r="M172" s="88">
        <f t="shared" si="67"/>
        <v>0</v>
      </c>
      <c r="N172" s="89">
        <f t="shared" si="67"/>
        <v>0</v>
      </c>
      <c r="O172" s="88">
        <f t="shared" si="67"/>
        <v>0</v>
      </c>
      <c r="P172" s="88">
        <f t="shared" si="67"/>
        <v>0</v>
      </c>
      <c r="Q172" s="88">
        <f t="shared" si="67"/>
        <v>0</v>
      </c>
      <c r="R172" s="88">
        <f t="shared" si="67"/>
        <v>0</v>
      </c>
      <c r="S172" s="89">
        <f t="shared" si="67"/>
        <v>0</v>
      </c>
      <c r="T172" s="88">
        <f t="shared" si="67"/>
        <v>0</v>
      </c>
      <c r="U172" s="88">
        <f t="shared" si="67"/>
        <v>0</v>
      </c>
      <c r="V172" s="88">
        <f t="shared" si="67"/>
        <v>0</v>
      </c>
      <c r="W172" s="88">
        <f t="shared" si="67"/>
        <v>0</v>
      </c>
      <c r="X172" s="89">
        <f t="shared" si="67"/>
        <v>0</v>
      </c>
      <c r="Y172" s="88">
        <f t="shared" si="67"/>
        <v>0</v>
      </c>
      <c r="Z172" s="88">
        <f t="shared" si="67"/>
        <v>0</v>
      </c>
      <c r="AA172" s="88">
        <f t="shared" si="67"/>
        <v>0</v>
      </c>
      <c r="AB172" s="88">
        <f t="shared" si="67"/>
        <v>0</v>
      </c>
      <c r="AC172" s="89">
        <f t="shared" si="67"/>
        <v>0</v>
      </c>
      <c r="AD172" s="88">
        <f t="shared" si="67"/>
        <v>0</v>
      </c>
      <c r="AE172" s="88">
        <f t="shared" si="67"/>
        <v>0</v>
      </c>
      <c r="AF172" s="88">
        <f t="shared" si="67"/>
        <v>0</v>
      </c>
      <c r="AG172" s="88">
        <f t="shared" si="67"/>
        <v>0</v>
      </c>
      <c r="AH172" s="89">
        <f t="shared" si="67"/>
        <v>0</v>
      </c>
      <c r="AI172" s="88">
        <f t="shared" si="67"/>
        <v>0</v>
      </c>
      <c r="AJ172" s="88">
        <f t="shared" si="67"/>
        <v>0</v>
      </c>
      <c r="AK172" s="88">
        <f t="shared" ref="AK172:BG172" si="68">IFERROR(-AK110/AK140,0)</f>
        <v>0</v>
      </c>
      <c r="AL172" s="88">
        <f t="shared" si="68"/>
        <v>0</v>
      </c>
      <c r="AM172" s="89">
        <f t="shared" si="68"/>
        <v>0</v>
      </c>
      <c r="AN172" s="88">
        <f t="shared" si="68"/>
        <v>0</v>
      </c>
      <c r="AO172" s="88">
        <f t="shared" si="68"/>
        <v>0</v>
      </c>
      <c r="AP172" s="88">
        <f t="shared" si="68"/>
        <v>0</v>
      </c>
      <c r="AQ172" s="88">
        <f t="shared" si="68"/>
        <v>0</v>
      </c>
      <c r="AR172" s="89">
        <f t="shared" si="68"/>
        <v>0</v>
      </c>
      <c r="AS172" s="88">
        <f t="shared" si="68"/>
        <v>0</v>
      </c>
      <c r="AT172" s="88">
        <f t="shared" si="68"/>
        <v>0</v>
      </c>
      <c r="AU172" s="88">
        <f t="shared" si="68"/>
        <v>0</v>
      </c>
      <c r="AV172" s="88">
        <f t="shared" si="68"/>
        <v>0</v>
      </c>
      <c r="AW172" s="89">
        <f t="shared" si="68"/>
        <v>0</v>
      </c>
      <c r="AX172" s="88">
        <f t="shared" si="68"/>
        <v>0</v>
      </c>
      <c r="AY172" s="88">
        <f t="shared" si="68"/>
        <v>0</v>
      </c>
      <c r="AZ172" s="88">
        <f t="shared" si="68"/>
        <v>0</v>
      </c>
      <c r="BA172" s="88">
        <f t="shared" si="68"/>
        <v>0</v>
      </c>
      <c r="BB172" s="89">
        <f t="shared" si="68"/>
        <v>0</v>
      </c>
      <c r="BC172" s="88">
        <f t="shared" si="68"/>
        <v>0</v>
      </c>
      <c r="BD172" s="88">
        <f t="shared" si="68"/>
        <v>0</v>
      </c>
      <c r="BE172" s="88">
        <f t="shared" si="68"/>
        <v>0</v>
      </c>
      <c r="BF172" s="88">
        <f t="shared" si="68"/>
        <v>0</v>
      </c>
      <c r="BG172" s="89">
        <f t="shared" si="68"/>
        <v>0</v>
      </c>
    </row>
    <row r="173" spans="2:61" x14ac:dyDescent="0.25">
      <c r="C173" s="11" t="s">
        <v>888</v>
      </c>
      <c r="D173" s="12" t="s">
        <v>889</v>
      </c>
      <c r="E173" s="88">
        <f t="shared" ref="E173:AJ173" si="69">IFERROR(E107/-E109,0)</f>
        <v>0</v>
      </c>
      <c r="F173" s="88">
        <f t="shared" si="69"/>
        <v>0</v>
      </c>
      <c r="G173" s="88">
        <f t="shared" si="69"/>
        <v>0</v>
      </c>
      <c r="H173" s="88">
        <f t="shared" si="69"/>
        <v>0</v>
      </c>
      <c r="I173" s="89">
        <f t="shared" si="69"/>
        <v>0</v>
      </c>
      <c r="J173" s="88">
        <f t="shared" si="69"/>
        <v>0</v>
      </c>
      <c r="K173" s="88">
        <f t="shared" si="69"/>
        <v>0</v>
      </c>
      <c r="L173" s="88">
        <f t="shared" si="69"/>
        <v>0</v>
      </c>
      <c r="M173" s="88">
        <f t="shared" si="69"/>
        <v>0</v>
      </c>
      <c r="N173" s="89">
        <f t="shared" si="69"/>
        <v>0</v>
      </c>
      <c r="O173" s="88">
        <f t="shared" si="69"/>
        <v>0</v>
      </c>
      <c r="P173" s="88">
        <f t="shared" si="69"/>
        <v>0</v>
      </c>
      <c r="Q173" s="88">
        <f t="shared" si="69"/>
        <v>0</v>
      </c>
      <c r="R173" s="88">
        <f t="shared" si="69"/>
        <v>0</v>
      </c>
      <c r="S173" s="89">
        <f t="shared" si="69"/>
        <v>0</v>
      </c>
      <c r="T173" s="88">
        <f t="shared" si="69"/>
        <v>0</v>
      </c>
      <c r="U173" s="88">
        <f t="shared" si="69"/>
        <v>0</v>
      </c>
      <c r="V173" s="88">
        <f t="shared" si="69"/>
        <v>0</v>
      </c>
      <c r="W173" s="88">
        <f t="shared" si="69"/>
        <v>0</v>
      </c>
      <c r="X173" s="89">
        <f t="shared" si="69"/>
        <v>0</v>
      </c>
      <c r="Y173" s="88">
        <f t="shared" si="69"/>
        <v>0</v>
      </c>
      <c r="Z173" s="88">
        <f t="shared" si="69"/>
        <v>0</v>
      </c>
      <c r="AA173" s="88">
        <f t="shared" si="69"/>
        <v>0</v>
      </c>
      <c r="AB173" s="88">
        <f t="shared" si="69"/>
        <v>0</v>
      </c>
      <c r="AC173" s="89">
        <f t="shared" si="69"/>
        <v>0</v>
      </c>
      <c r="AD173" s="88">
        <f t="shared" si="69"/>
        <v>0</v>
      </c>
      <c r="AE173" s="88">
        <f t="shared" si="69"/>
        <v>0</v>
      </c>
      <c r="AF173" s="88">
        <f t="shared" si="69"/>
        <v>0</v>
      </c>
      <c r="AG173" s="88">
        <f t="shared" si="69"/>
        <v>0</v>
      </c>
      <c r="AH173" s="89">
        <f t="shared" si="69"/>
        <v>0</v>
      </c>
      <c r="AI173" s="88">
        <f t="shared" si="69"/>
        <v>0</v>
      </c>
      <c r="AJ173" s="88">
        <f t="shared" si="69"/>
        <v>0</v>
      </c>
      <c r="AK173" s="88">
        <f t="shared" ref="AK173:BG173" si="70">IFERROR(AK107/-AK109,0)</f>
        <v>0</v>
      </c>
      <c r="AL173" s="88">
        <f t="shared" si="70"/>
        <v>0</v>
      </c>
      <c r="AM173" s="89">
        <f t="shared" si="70"/>
        <v>0</v>
      </c>
      <c r="AN173" s="88">
        <f t="shared" si="70"/>
        <v>0</v>
      </c>
      <c r="AO173" s="88">
        <f t="shared" si="70"/>
        <v>0</v>
      </c>
      <c r="AP173" s="88">
        <f t="shared" si="70"/>
        <v>0</v>
      </c>
      <c r="AQ173" s="88">
        <f t="shared" si="70"/>
        <v>0</v>
      </c>
      <c r="AR173" s="89">
        <f t="shared" si="70"/>
        <v>0</v>
      </c>
      <c r="AS173" s="88">
        <f t="shared" si="70"/>
        <v>0</v>
      </c>
      <c r="AT173" s="88">
        <f t="shared" si="70"/>
        <v>0</v>
      </c>
      <c r="AU173" s="88">
        <f t="shared" si="70"/>
        <v>0</v>
      </c>
      <c r="AV173" s="88">
        <f t="shared" si="70"/>
        <v>0</v>
      </c>
      <c r="AW173" s="89">
        <f t="shared" si="70"/>
        <v>0</v>
      </c>
      <c r="AX173" s="88">
        <f t="shared" si="70"/>
        <v>0</v>
      </c>
      <c r="AY173" s="88">
        <f t="shared" si="70"/>
        <v>0</v>
      </c>
      <c r="AZ173" s="88">
        <f t="shared" si="70"/>
        <v>0</v>
      </c>
      <c r="BA173" s="88">
        <f t="shared" si="70"/>
        <v>0</v>
      </c>
      <c r="BB173" s="89">
        <f t="shared" si="70"/>
        <v>0</v>
      </c>
      <c r="BC173" s="88">
        <f t="shared" si="70"/>
        <v>0</v>
      </c>
      <c r="BD173" s="88">
        <f t="shared" si="70"/>
        <v>0</v>
      </c>
      <c r="BE173" s="88">
        <f t="shared" si="70"/>
        <v>0</v>
      </c>
      <c r="BF173" s="88">
        <f t="shared" si="70"/>
        <v>0</v>
      </c>
      <c r="BG173" s="89">
        <f t="shared" si="70"/>
        <v>0</v>
      </c>
    </row>
    <row r="174" spans="2:61" x14ac:dyDescent="0.25">
      <c r="B174" s="29"/>
      <c r="C174" s="29" t="s">
        <v>890</v>
      </c>
      <c r="D174" s="29" t="s">
        <v>891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</row>
    <row r="175" spans="2:61" x14ac:dyDescent="0.25">
      <c r="C175" s="11" t="s">
        <v>892</v>
      </c>
      <c r="D175" s="12" t="s">
        <v>893</v>
      </c>
      <c r="E175" s="88">
        <v>0</v>
      </c>
      <c r="F175" s="88">
        <v>0</v>
      </c>
      <c r="G175" s="88">
        <v>0</v>
      </c>
      <c r="H175" s="88">
        <v>0</v>
      </c>
      <c r="I175" s="89">
        <v>0</v>
      </c>
      <c r="J175" s="88">
        <f t="shared" ref="J175:AO175" si="71">IFERROR(J140/E140-1,0)</f>
        <v>0</v>
      </c>
      <c r="K175" s="88">
        <f t="shared" si="71"/>
        <v>0</v>
      </c>
      <c r="L175" s="88">
        <f t="shared" si="71"/>
        <v>0</v>
      </c>
      <c r="M175" s="88">
        <f t="shared" si="71"/>
        <v>0</v>
      </c>
      <c r="N175" s="89">
        <f t="shared" si="71"/>
        <v>0</v>
      </c>
      <c r="O175" s="88">
        <f t="shared" si="71"/>
        <v>0</v>
      </c>
      <c r="P175" s="88">
        <f t="shared" si="71"/>
        <v>0</v>
      </c>
      <c r="Q175" s="88">
        <f t="shared" si="71"/>
        <v>0</v>
      </c>
      <c r="R175" s="88">
        <f t="shared" si="71"/>
        <v>0</v>
      </c>
      <c r="S175" s="89">
        <f t="shared" si="71"/>
        <v>0</v>
      </c>
      <c r="T175" s="88">
        <f t="shared" si="71"/>
        <v>0</v>
      </c>
      <c r="U175" s="88">
        <f t="shared" si="71"/>
        <v>0</v>
      </c>
      <c r="V175" s="88">
        <f t="shared" si="71"/>
        <v>0</v>
      </c>
      <c r="W175" s="88">
        <f t="shared" si="71"/>
        <v>0</v>
      </c>
      <c r="X175" s="89">
        <f t="shared" si="71"/>
        <v>0</v>
      </c>
      <c r="Y175" s="88">
        <f t="shared" si="71"/>
        <v>0</v>
      </c>
      <c r="Z175" s="88">
        <f t="shared" si="71"/>
        <v>0</v>
      </c>
      <c r="AA175" s="88">
        <f t="shared" si="71"/>
        <v>0</v>
      </c>
      <c r="AB175" s="88">
        <f t="shared" si="71"/>
        <v>0</v>
      </c>
      <c r="AC175" s="89">
        <f t="shared" si="71"/>
        <v>0</v>
      </c>
      <c r="AD175" s="88">
        <f t="shared" si="71"/>
        <v>0</v>
      </c>
      <c r="AE175" s="88">
        <f t="shared" si="71"/>
        <v>0</v>
      </c>
      <c r="AF175" s="88">
        <f t="shared" si="71"/>
        <v>0</v>
      </c>
      <c r="AG175" s="88">
        <f t="shared" si="71"/>
        <v>0</v>
      </c>
      <c r="AH175" s="89">
        <f t="shared" si="71"/>
        <v>0</v>
      </c>
      <c r="AI175" s="88">
        <f t="shared" si="71"/>
        <v>0</v>
      </c>
      <c r="AJ175" s="88">
        <f t="shared" si="71"/>
        <v>0</v>
      </c>
      <c r="AK175" s="88">
        <f t="shared" si="71"/>
        <v>0</v>
      </c>
      <c r="AL175" s="88">
        <f t="shared" si="71"/>
        <v>0</v>
      </c>
      <c r="AM175" s="89">
        <f t="shared" si="71"/>
        <v>0</v>
      </c>
      <c r="AN175" s="88">
        <f t="shared" si="71"/>
        <v>0</v>
      </c>
      <c r="AO175" s="88">
        <f t="shared" si="71"/>
        <v>0</v>
      </c>
      <c r="AP175" s="88">
        <f t="shared" ref="AP175:BG175" si="72">IFERROR(AP140/AK140-1,0)</f>
        <v>0</v>
      </c>
      <c r="AQ175" s="88">
        <f t="shared" si="72"/>
        <v>0</v>
      </c>
      <c r="AR175" s="89">
        <f t="shared" si="72"/>
        <v>0</v>
      </c>
      <c r="AS175" s="88">
        <f t="shared" si="72"/>
        <v>0</v>
      </c>
      <c r="AT175" s="88">
        <f t="shared" si="72"/>
        <v>0</v>
      </c>
      <c r="AU175" s="88">
        <f t="shared" si="72"/>
        <v>0</v>
      </c>
      <c r="AV175" s="88">
        <f t="shared" si="72"/>
        <v>0</v>
      </c>
      <c r="AW175" s="89">
        <f t="shared" si="72"/>
        <v>0</v>
      </c>
      <c r="AX175" s="88">
        <f t="shared" si="72"/>
        <v>0</v>
      </c>
      <c r="AY175" s="88">
        <f t="shared" si="72"/>
        <v>0</v>
      </c>
      <c r="AZ175" s="88">
        <f t="shared" si="72"/>
        <v>0</v>
      </c>
      <c r="BA175" s="88">
        <f t="shared" si="72"/>
        <v>0</v>
      </c>
      <c r="BB175" s="89">
        <f t="shared" si="72"/>
        <v>0</v>
      </c>
      <c r="BC175" s="88">
        <f t="shared" si="72"/>
        <v>0</v>
      </c>
      <c r="BD175" s="88">
        <f t="shared" si="72"/>
        <v>0</v>
      </c>
      <c r="BE175" s="88">
        <f t="shared" si="72"/>
        <v>0</v>
      </c>
      <c r="BF175" s="88">
        <f t="shared" si="72"/>
        <v>0</v>
      </c>
      <c r="BG175" s="89">
        <f t="shared" si="72"/>
        <v>0</v>
      </c>
    </row>
    <row r="176" spans="2:61" x14ac:dyDescent="0.25">
      <c r="C176" s="11" t="s">
        <v>894</v>
      </c>
      <c r="D176" s="12" t="s">
        <v>895</v>
      </c>
      <c r="E176" s="88">
        <v>0</v>
      </c>
      <c r="F176" s="88">
        <v>0</v>
      </c>
      <c r="G176" s="88">
        <v>0</v>
      </c>
      <c r="H176" s="88">
        <v>0</v>
      </c>
      <c r="I176" s="89">
        <v>0</v>
      </c>
      <c r="J176" s="88">
        <f t="shared" ref="J176:AO176" si="73">IFERROR(J137/E137-1,0)</f>
        <v>0</v>
      </c>
      <c r="K176" s="88">
        <f t="shared" si="73"/>
        <v>0</v>
      </c>
      <c r="L176" s="88">
        <f t="shared" si="73"/>
        <v>0</v>
      </c>
      <c r="M176" s="88">
        <f t="shared" si="73"/>
        <v>0</v>
      </c>
      <c r="N176" s="89">
        <f t="shared" si="73"/>
        <v>0</v>
      </c>
      <c r="O176" s="88">
        <f t="shared" si="73"/>
        <v>0</v>
      </c>
      <c r="P176" s="88">
        <f t="shared" si="73"/>
        <v>0</v>
      </c>
      <c r="Q176" s="88">
        <f t="shared" si="73"/>
        <v>0</v>
      </c>
      <c r="R176" s="88">
        <f t="shared" si="73"/>
        <v>0</v>
      </c>
      <c r="S176" s="89">
        <f t="shared" si="73"/>
        <v>0</v>
      </c>
      <c r="T176" s="88">
        <f t="shared" si="73"/>
        <v>0</v>
      </c>
      <c r="U176" s="88">
        <f t="shared" si="73"/>
        <v>0</v>
      </c>
      <c r="V176" s="88">
        <f t="shared" si="73"/>
        <v>0</v>
      </c>
      <c r="W176" s="88">
        <f t="shared" si="73"/>
        <v>0</v>
      </c>
      <c r="X176" s="89">
        <f t="shared" si="73"/>
        <v>0</v>
      </c>
      <c r="Y176" s="88">
        <f t="shared" si="73"/>
        <v>0</v>
      </c>
      <c r="Z176" s="88">
        <f t="shared" si="73"/>
        <v>0</v>
      </c>
      <c r="AA176" s="88">
        <f t="shared" si="73"/>
        <v>0</v>
      </c>
      <c r="AB176" s="88">
        <f t="shared" si="73"/>
        <v>0</v>
      </c>
      <c r="AC176" s="89">
        <f t="shared" si="73"/>
        <v>0</v>
      </c>
      <c r="AD176" s="88">
        <f t="shared" si="73"/>
        <v>0</v>
      </c>
      <c r="AE176" s="88">
        <f t="shared" si="73"/>
        <v>0</v>
      </c>
      <c r="AF176" s="88">
        <f t="shared" si="73"/>
        <v>0</v>
      </c>
      <c r="AG176" s="88">
        <f t="shared" si="73"/>
        <v>0</v>
      </c>
      <c r="AH176" s="89">
        <f t="shared" si="73"/>
        <v>0</v>
      </c>
      <c r="AI176" s="88">
        <f t="shared" si="73"/>
        <v>0</v>
      </c>
      <c r="AJ176" s="88">
        <f t="shared" si="73"/>
        <v>0</v>
      </c>
      <c r="AK176" s="88">
        <f t="shared" si="73"/>
        <v>0</v>
      </c>
      <c r="AL176" s="88">
        <f t="shared" si="73"/>
        <v>0</v>
      </c>
      <c r="AM176" s="89">
        <f t="shared" si="73"/>
        <v>0</v>
      </c>
      <c r="AN176" s="88">
        <f t="shared" si="73"/>
        <v>0</v>
      </c>
      <c r="AO176" s="88">
        <f t="shared" si="73"/>
        <v>0</v>
      </c>
      <c r="AP176" s="88">
        <f t="shared" ref="AP176:BG176" si="74">IFERROR(AP137/AK137-1,0)</f>
        <v>0</v>
      </c>
      <c r="AQ176" s="88">
        <f t="shared" si="74"/>
        <v>0</v>
      </c>
      <c r="AR176" s="89">
        <f t="shared" si="74"/>
        <v>0</v>
      </c>
      <c r="AS176" s="88">
        <f t="shared" si="74"/>
        <v>0</v>
      </c>
      <c r="AT176" s="88">
        <f t="shared" si="74"/>
        <v>0</v>
      </c>
      <c r="AU176" s="88">
        <f t="shared" si="74"/>
        <v>0</v>
      </c>
      <c r="AV176" s="88">
        <f t="shared" si="74"/>
        <v>0</v>
      </c>
      <c r="AW176" s="89">
        <f t="shared" si="74"/>
        <v>0</v>
      </c>
      <c r="AX176" s="88">
        <f t="shared" si="74"/>
        <v>0</v>
      </c>
      <c r="AY176" s="88">
        <f t="shared" si="74"/>
        <v>0</v>
      </c>
      <c r="AZ176" s="88">
        <f t="shared" si="74"/>
        <v>0</v>
      </c>
      <c r="BA176" s="88">
        <f t="shared" si="74"/>
        <v>0</v>
      </c>
      <c r="BB176" s="89">
        <f t="shared" si="74"/>
        <v>0</v>
      </c>
      <c r="BC176" s="88">
        <f t="shared" si="74"/>
        <v>0</v>
      </c>
      <c r="BD176" s="88">
        <f t="shared" si="74"/>
        <v>0</v>
      </c>
      <c r="BE176" s="88">
        <f t="shared" si="74"/>
        <v>0</v>
      </c>
      <c r="BF176" s="88">
        <f t="shared" si="74"/>
        <v>0</v>
      </c>
      <c r="BG176" s="89">
        <f t="shared" si="74"/>
        <v>0</v>
      </c>
    </row>
    <row r="177" spans="2:61" x14ac:dyDescent="0.25">
      <c r="C177" s="11" t="s">
        <v>896</v>
      </c>
      <c r="D177" s="12" t="s">
        <v>480</v>
      </c>
      <c r="E177" s="88">
        <v>0</v>
      </c>
      <c r="F177" s="88">
        <f>IFERROR(F30/E30-1,0)</f>
        <v>0</v>
      </c>
      <c r="G177" s="88">
        <f>IFERROR(G30/F30-1,0)</f>
        <v>0</v>
      </c>
      <c r="H177" s="88">
        <f>IFERROR(H30/G30-1,0)</f>
        <v>0</v>
      </c>
      <c r="I177" s="89">
        <v>0</v>
      </c>
      <c r="J177" s="88">
        <f>IFERROR(J30/H30-1,0)</f>
        <v>0</v>
      </c>
      <c r="K177" s="88">
        <f>IFERROR(K30/J30-1,0)</f>
        <v>0</v>
      </c>
      <c r="L177" s="88">
        <f>IFERROR(L30/K30-1,0)</f>
        <v>0</v>
      </c>
      <c r="M177" s="88">
        <f>IFERROR(M30/L30-1,0)</f>
        <v>0</v>
      </c>
      <c r="N177" s="89">
        <f>IFERROR(N30/I30-1,0)</f>
        <v>0</v>
      </c>
      <c r="O177" s="88">
        <f>IFERROR(O30/M30-1,0)</f>
        <v>0</v>
      </c>
      <c r="P177" s="88">
        <f>IFERROR(P30/O30-1,0)</f>
        <v>0</v>
      </c>
      <c r="Q177" s="88">
        <f>IFERROR(Q30/P30-1,0)</f>
        <v>0</v>
      </c>
      <c r="R177" s="88">
        <f>IFERROR(R30/Q30-1,0)</f>
        <v>0</v>
      </c>
      <c r="S177" s="89">
        <f>IFERROR(S30/N30-1,0)</f>
        <v>0</v>
      </c>
      <c r="T177" s="88">
        <f>IFERROR(T30/R30-1,0)</f>
        <v>0</v>
      </c>
      <c r="U177" s="88">
        <f>IFERROR(U30/T30-1,0)</f>
        <v>0</v>
      </c>
      <c r="V177" s="88">
        <f>IFERROR(V30/U30-1,0)</f>
        <v>0</v>
      </c>
      <c r="W177" s="88">
        <f>IFERROR(W30/V30-1,0)</f>
        <v>0</v>
      </c>
      <c r="X177" s="89">
        <f>IFERROR(X30/S30-1,0)</f>
        <v>0</v>
      </c>
      <c r="Y177" s="88">
        <f>IFERROR(Y30/W30-1,0)</f>
        <v>0</v>
      </c>
      <c r="Z177" s="88">
        <f>IFERROR(Z30/Y30-1,0)</f>
        <v>0</v>
      </c>
      <c r="AA177" s="88">
        <f>IFERROR(AA30/Z30-1,0)</f>
        <v>0</v>
      </c>
      <c r="AB177" s="88">
        <f>IFERROR(AB30/AA30-1,0)</f>
        <v>0</v>
      </c>
      <c r="AC177" s="89">
        <f>IFERROR(AC30/X30-1,0)</f>
        <v>0</v>
      </c>
      <c r="AD177" s="88">
        <f>IFERROR(AD30/AB30-1,0)</f>
        <v>0</v>
      </c>
      <c r="AE177" s="88">
        <f>IFERROR(AE30/AD30-1,0)</f>
        <v>0</v>
      </c>
      <c r="AF177" s="88">
        <f>IFERROR(AF30/AE30-1,0)</f>
        <v>0</v>
      </c>
      <c r="AG177" s="88">
        <f>IFERROR(AG30/AF30-1,0)</f>
        <v>0</v>
      </c>
      <c r="AH177" s="89">
        <f>IFERROR(AH30/AC30-1,0)</f>
        <v>0</v>
      </c>
      <c r="AI177" s="88">
        <f>IFERROR(AI30/AG30-1,0)</f>
        <v>0</v>
      </c>
      <c r="AJ177" s="88">
        <f>IFERROR(AJ30/AI30-1,0)</f>
        <v>0</v>
      </c>
      <c r="AK177" s="88">
        <f>IFERROR(AK30/AJ30-1,0)</f>
        <v>0</v>
      </c>
      <c r="AL177" s="88">
        <f>IFERROR(AL30/AK30-1,0)</f>
        <v>0</v>
      </c>
      <c r="AM177" s="89">
        <f>IFERROR(AM30/AH30-1,0)</f>
        <v>0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 spans="2:61" x14ac:dyDescent="0.25">
      <c r="C178" s="11" t="s">
        <v>897</v>
      </c>
      <c r="D178" s="12" t="s">
        <v>898</v>
      </c>
      <c r="E178" s="88">
        <v>0</v>
      </c>
      <c r="F178" s="88">
        <v>0</v>
      </c>
      <c r="G178" s="88">
        <v>0</v>
      </c>
      <c r="H178" s="88">
        <v>0</v>
      </c>
      <c r="I178" s="89">
        <v>0</v>
      </c>
      <c r="J178" s="88">
        <f t="shared" ref="J178:AO178" si="75">IFERROR(J30/E30-1,0)</f>
        <v>0</v>
      </c>
      <c r="K178" s="88">
        <f t="shared" si="75"/>
        <v>0</v>
      </c>
      <c r="L178" s="88">
        <f t="shared" si="75"/>
        <v>0</v>
      </c>
      <c r="M178" s="88">
        <f t="shared" si="75"/>
        <v>0</v>
      </c>
      <c r="N178" s="89">
        <f t="shared" si="75"/>
        <v>0</v>
      </c>
      <c r="O178" s="88">
        <f t="shared" si="75"/>
        <v>0</v>
      </c>
      <c r="P178" s="88">
        <f t="shared" si="75"/>
        <v>0</v>
      </c>
      <c r="Q178" s="88">
        <f t="shared" si="75"/>
        <v>0</v>
      </c>
      <c r="R178" s="88">
        <f t="shared" si="75"/>
        <v>0</v>
      </c>
      <c r="S178" s="89">
        <f t="shared" si="75"/>
        <v>0</v>
      </c>
      <c r="T178" s="88">
        <f t="shared" si="75"/>
        <v>0</v>
      </c>
      <c r="U178" s="88">
        <f t="shared" si="75"/>
        <v>0</v>
      </c>
      <c r="V178" s="88">
        <f t="shared" si="75"/>
        <v>0</v>
      </c>
      <c r="W178" s="88">
        <f t="shared" si="75"/>
        <v>0</v>
      </c>
      <c r="X178" s="89">
        <f t="shared" si="75"/>
        <v>0</v>
      </c>
      <c r="Y178" s="88">
        <f t="shared" si="75"/>
        <v>0</v>
      </c>
      <c r="Z178" s="88">
        <f t="shared" si="75"/>
        <v>0</v>
      </c>
      <c r="AA178" s="88">
        <f t="shared" si="75"/>
        <v>0</v>
      </c>
      <c r="AB178" s="88">
        <f t="shared" si="75"/>
        <v>0</v>
      </c>
      <c r="AC178" s="89">
        <f t="shared" si="75"/>
        <v>0</v>
      </c>
      <c r="AD178" s="88">
        <f t="shared" si="75"/>
        <v>0</v>
      </c>
      <c r="AE178" s="88">
        <f t="shared" si="75"/>
        <v>0</v>
      </c>
      <c r="AF178" s="88">
        <f t="shared" si="75"/>
        <v>0</v>
      </c>
      <c r="AG178" s="88">
        <f t="shared" si="75"/>
        <v>0</v>
      </c>
      <c r="AH178" s="89">
        <f t="shared" si="75"/>
        <v>0</v>
      </c>
      <c r="AI178" s="88">
        <f t="shared" si="75"/>
        <v>0</v>
      </c>
      <c r="AJ178" s="88">
        <f t="shared" si="75"/>
        <v>0</v>
      </c>
      <c r="AK178" s="88">
        <f t="shared" si="75"/>
        <v>0</v>
      </c>
      <c r="AL178" s="88">
        <f t="shared" si="75"/>
        <v>0</v>
      </c>
      <c r="AM178" s="89">
        <f t="shared" si="75"/>
        <v>0</v>
      </c>
      <c r="AN178" s="88">
        <f t="shared" si="75"/>
        <v>0</v>
      </c>
      <c r="AO178" s="88">
        <f t="shared" si="75"/>
        <v>0</v>
      </c>
      <c r="AP178" s="88">
        <f t="shared" ref="AP178:BG178" si="76">IFERROR(AP30/AK30-1,0)</f>
        <v>0</v>
      </c>
      <c r="AQ178" s="88">
        <f t="shared" si="76"/>
        <v>0</v>
      </c>
      <c r="AR178" s="89">
        <f t="shared" si="76"/>
        <v>0</v>
      </c>
      <c r="AS178" s="88">
        <f t="shared" si="76"/>
        <v>0</v>
      </c>
      <c r="AT178" s="88">
        <f t="shared" si="76"/>
        <v>0</v>
      </c>
      <c r="AU178" s="88">
        <f t="shared" si="76"/>
        <v>0</v>
      </c>
      <c r="AV178" s="88">
        <f t="shared" si="76"/>
        <v>0</v>
      </c>
      <c r="AW178" s="89">
        <f t="shared" si="76"/>
        <v>0</v>
      </c>
      <c r="AX178" s="88">
        <f t="shared" si="76"/>
        <v>0</v>
      </c>
      <c r="AY178" s="88">
        <f t="shared" si="76"/>
        <v>0</v>
      </c>
      <c r="AZ178" s="88">
        <f t="shared" si="76"/>
        <v>0</v>
      </c>
      <c r="BA178" s="88">
        <f t="shared" si="76"/>
        <v>0</v>
      </c>
      <c r="BB178" s="89">
        <f t="shared" si="76"/>
        <v>0</v>
      </c>
      <c r="BC178" s="88">
        <f t="shared" si="76"/>
        <v>0</v>
      </c>
      <c r="BD178" s="88">
        <f t="shared" si="76"/>
        <v>0</v>
      </c>
      <c r="BE178" s="88">
        <f t="shared" si="76"/>
        <v>0</v>
      </c>
      <c r="BF178" s="88">
        <f t="shared" si="76"/>
        <v>0</v>
      </c>
      <c r="BG178" s="89">
        <f t="shared" si="76"/>
        <v>0</v>
      </c>
    </row>
    <row r="179" spans="2:61" x14ac:dyDescent="0.25">
      <c r="C179" s="11" t="s">
        <v>899</v>
      </c>
      <c r="D179" s="12" t="s">
        <v>900</v>
      </c>
      <c r="E179" s="88">
        <v>0</v>
      </c>
      <c r="F179" s="88">
        <v>0</v>
      </c>
      <c r="G179" s="88">
        <v>0</v>
      </c>
      <c r="H179" s="88">
        <v>0</v>
      </c>
      <c r="I179" s="89">
        <v>0</v>
      </c>
      <c r="J179" s="88">
        <f t="shared" ref="J179:AO179" si="77">IFERROR(J127/E127-1,0)</f>
        <v>0</v>
      </c>
      <c r="K179" s="88">
        <f t="shared" si="77"/>
        <v>0</v>
      </c>
      <c r="L179" s="88">
        <f t="shared" si="77"/>
        <v>0</v>
      </c>
      <c r="M179" s="88">
        <f t="shared" si="77"/>
        <v>0</v>
      </c>
      <c r="N179" s="89">
        <f t="shared" si="77"/>
        <v>0</v>
      </c>
      <c r="O179" s="88">
        <f t="shared" si="77"/>
        <v>0</v>
      </c>
      <c r="P179" s="88">
        <f t="shared" si="77"/>
        <v>0</v>
      </c>
      <c r="Q179" s="88">
        <f t="shared" si="77"/>
        <v>0</v>
      </c>
      <c r="R179" s="88">
        <f t="shared" si="77"/>
        <v>0</v>
      </c>
      <c r="S179" s="89">
        <f t="shared" si="77"/>
        <v>0</v>
      </c>
      <c r="T179" s="88">
        <f t="shared" si="77"/>
        <v>0</v>
      </c>
      <c r="U179" s="88">
        <f t="shared" si="77"/>
        <v>0</v>
      </c>
      <c r="V179" s="88">
        <f t="shared" si="77"/>
        <v>0</v>
      </c>
      <c r="W179" s="88">
        <f t="shared" si="77"/>
        <v>0</v>
      </c>
      <c r="X179" s="89">
        <f t="shared" si="77"/>
        <v>0</v>
      </c>
      <c r="Y179" s="88">
        <f t="shared" si="77"/>
        <v>0</v>
      </c>
      <c r="Z179" s="88">
        <f t="shared" si="77"/>
        <v>0</v>
      </c>
      <c r="AA179" s="88">
        <f t="shared" si="77"/>
        <v>0</v>
      </c>
      <c r="AB179" s="88">
        <f t="shared" si="77"/>
        <v>0</v>
      </c>
      <c r="AC179" s="89">
        <f t="shared" si="77"/>
        <v>0</v>
      </c>
      <c r="AD179" s="88">
        <f t="shared" si="77"/>
        <v>0</v>
      </c>
      <c r="AE179" s="88">
        <f t="shared" si="77"/>
        <v>0</v>
      </c>
      <c r="AF179" s="88">
        <f t="shared" si="77"/>
        <v>0</v>
      </c>
      <c r="AG179" s="88">
        <f t="shared" si="77"/>
        <v>0</v>
      </c>
      <c r="AH179" s="89">
        <f t="shared" si="77"/>
        <v>0</v>
      </c>
      <c r="AI179" s="88">
        <f t="shared" si="77"/>
        <v>0</v>
      </c>
      <c r="AJ179" s="88">
        <f t="shared" si="77"/>
        <v>0</v>
      </c>
      <c r="AK179" s="88">
        <f t="shared" si="77"/>
        <v>0</v>
      </c>
      <c r="AL179" s="88">
        <f t="shared" si="77"/>
        <v>0</v>
      </c>
      <c r="AM179" s="89">
        <f t="shared" si="77"/>
        <v>0</v>
      </c>
      <c r="AN179" s="88">
        <f t="shared" si="77"/>
        <v>0</v>
      </c>
      <c r="AO179" s="88">
        <f t="shared" si="77"/>
        <v>0</v>
      </c>
      <c r="AP179" s="88">
        <f t="shared" ref="AP179:BG179" si="78">IFERROR(AP127/AK127-1,0)</f>
        <v>0</v>
      </c>
      <c r="AQ179" s="88">
        <f t="shared" si="78"/>
        <v>0</v>
      </c>
      <c r="AR179" s="89">
        <f t="shared" si="78"/>
        <v>0</v>
      </c>
      <c r="AS179" s="88">
        <f t="shared" si="78"/>
        <v>0</v>
      </c>
      <c r="AT179" s="88">
        <f t="shared" si="78"/>
        <v>0</v>
      </c>
      <c r="AU179" s="88">
        <f t="shared" si="78"/>
        <v>0</v>
      </c>
      <c r="AV179" s="88">
        <f t="shared" si="78"/>
        <v>0</v>
      </c>
      <c r="AW179" s="89">
        <f t="shared" si="78"/>
        <v>0</v>
      </c>
      <c r="AX179" s="88">
        <f t="shared" si="78"/>
        <v>0</v>
      </c>
      <c r="AY179" s="88">
        <f t="shared" si="78"/>
        <v>0</v>
      </c>
      <c r="AZ179" s="88">
        <f t="shared" si="78"/>
        <v>0</v>
      </c>
      <c r="BA179" s="88">
        <f t="shared" si="78"/>
        <v>0</v>
      </c>
      <c r="BB179" s="89">
        <f t="shared" si="78"/>
        <v>0</v>
      </c>
      <c r="BC179" s="88">
        <f t="shared" si="78"/>
        <v>0</v>
      </c>
      <c r="BD179" s="88">
        <f t="shared" si="78"/>
        <v>0</v>
      </c>
      <c r="BE179" s="88">
        <f t="shared" si="78"/>
        <v>0</v>
      </c>
      <c r="BF179" s="88">
        <f t="shared" si="78"/>
        <v>0</v>
      </c>
      <c r="BG179" s="89">
        <f t="shared" si="78"/>
        <v>0</v>
      </c>
    </row>
    <row r="180" spans="2:61" x14ac:dyDescent="0.25">
      <c r="B180" s="29"/>
      <c r="C180" s="29" t="s">
        <v>901</v>
      </c>
      <c r="D180" s="29" t="s">
        <v>902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</row>
    <row r="181" spans="2:61" x14ac:dyDescent="0.25">
      <c r="C181" s="11" t="s">
        <v>903</v>
      </c>
      <c r="D181" s="12" t="s">
        <v>854</v>
      </c>
      <c r="E181" s="88">
        <f t="shared" ref="E181:AJ181" si="79">IFERROR(E148/E144,0)</f>
        <v>0</v>
      </c>
      <c r="F181" s="88">
        <f t="shared" si="79"/>
        <v>0</v>
      </c>
      <c r="G181" s="88">
        <f t="shared" si="79"/>
        <v>0</v>
      </c>
      <c r="H181" s="88">
        <f t="shared" si="79"/>
        <v>0</v>
      </c>
      <c r="I181" s="89">
        <f t="shared" si="79"/>
        <v>0</v>
      </c>
      <c r="J181" s="88">
        <f t="shared" si="79"/>
        <v>0</v>
      </c>
      <c r="K181" s="88">
        <f t="shared" si="79"/>
        <v>0</v>
      </c>
      <c r="L181" s="88">
        <f t="shared" si="79"/>
        <v>0</v>
      </c>
      <c r="M181" s="88">
        <f t="shared" si="79"/>
        <v>0</v>
      </c>
      <c r="N181" s="89">
        <f t="shared" si="79"/>
        <v>0</v>
      </c>
      <c r="O181" s="88">
        <f t="shared" si="79"/>
        <v>0</v>
      </c>
      <c r="P181" s="88">
        <f t="shared" si="79"/>
        <v>0</v>
      </c>
      <c r="Q181" s="88">
        <f t="shared" si="79"/>
        <v>0</v>
      </c>
      <c r="R181" s="88">
        <f t="shared" si="79"/>
        <v>0</v>
      </c>
      <c r="S181" s="89">
        <f t="shared" si="79"/>
        <v>0</v>
      </c>
      <c r="T181" s="88">
        <f t="shared" si="79"/>
        <v>0</v>
      </c>
      <c r="U181" s="88">
        <f t="shared" si="79"/>
        <v>0</v>
      </c>
      <c r="V181" s="88">
        <f t="shared" si="79"/>
        <v>0</v>
      </c>
      <c r="W181" s="88">
        <f t="shared" si="79"/>
        <v>0</v>
      </c>
      <c r="X181" s="89">
        <f t="shared" si="79"/>
        <v>0</v>
      </c>
      <c r="Y181" s="88">
        <f t="shared" si="79"/>
        <v>0</v>
      </c>
      <c r="Z181" s="88">
        <f t="shared" si="79"/>
        <v>0</v>
      </c>
      <c r="AA181" s="88">
        <f t="shared" si="79"/>
        <v>0</v>
      </c>
      <c r="AB181" s="88">
        <f t="shared" si="79"/>
        <v>0</v>
      </c>
      <c r="AC181" s="89">
        <f t="shared" si="79"/>
        <v>0</v>
      </c>
      <c r="AD181" s="88">
        <f t="shared" si="79"/>
        <v>0</v>
      </c>
      <c r="AE181" s="88">
        <f t="shared" si="79"/>
        <v>0</v>
      </c>
      <c r="AF181" s="88">
        <f t="shared" si="79"/>
        <v>0</v>
      </c>
      <c r="AG181" s="88">
        <f t="shared" si="79"/>
        <v>0</v>
      </c>
      <c r="AH181" s="89">
        <f t="shared" si="79"/>
        <v>0</v>
      </c>
      <c r="AI181" s="88">
        <f t="shared" si="79"/>
        <v>0</v>
      </c>
      <c r="AJ181" s="88">
        <f t="shared" si="79"/>
        <v>0</v>
      </c>
      <c r="AK181" s="88">
        <f t="shared" ref="AK181:BG181" si="80">IFERROR(AK148/AK144,0)</f>
        <v>0</v>
      </c>
      <c r="AL181" s="88">
        <f t="shared" si="80"/>
        <v>0</v>
      </c>
      <c r="AM181" s="89">
        <f t="shared" si="80"/>
        <v>0</v>
      </c>
      <c r="AN181" s="88">
        <f t="shared" si="80"/>
        <v>0</v>
      </c>
      <c r="AO181" s="88">
        <f t="shared" si="80"/>
        <v>0</v>
      </c>
      <c r="AP181" s="88">
        <f t="shared" si="80"/>
        <v>0</v>
      </c>
      <c r="AQ181" s="88">
        <f t="shared" si="80"/>
        <v>0</v>
      </c>
      <c r="AR181" s="89">
        <f t="shared" si="80"/>
        <v>0</v>
      </c>
      <c r="AS181" s="88">
        <f t="shared" si="80"/>
        <v>0</v>
      </c>
      <c r="AT181" s="88">
        <f t="shared" si="80"/>
        <v>0</v>
      </c>
      <c r="AU181" s="88">
        <f t="shared" si="80"/>
        <v>0</v>
      </c>
      <c r="AV181" s="88">
        <f t="shared" si="80"/>
        <v>0</v>
      </c>
      <c r="AW181" s="89">
        <f t="shared" si="80"/>
        <v>0</v>
      </c>
      <c r="AX181" s="88">
        <f t="shared" si="80"/>
        <v>0</v>
      </c>
      <c r="AY181" s="88">
        <f t="shared" si="80"/>
        <v>0</v>
      </c>
      <c r="AZ181" s="88">
        <f t="shared" si="80"/>
        <v>0</v>
      </c>
      <c r="BA181" s="88">
        <f t="shared" si="80"/>
        <v>0</v>
      </c>
      <c r="BB181" s="89">
        <f t="shared" si="80"/>
        <v>0</v>
      </c>
      <c r="BC181" s="88">
        <f t="shared" si="80"/>
        <v>0</v>
      </c>
      <c r="BD181" s="88">
        <f t="shared" si="80"/>
        <v>0</v>
      </c>
      <c r="BE181" s="88">
        <f t="shared" si="80"/>
        <v>0</v>
      </c>
      <c r="BF181" s="88">
        <f t="shared" si="80"/>
        <v>0</v>
      </c>
      <c r="BG181" s="89">
        <f t="shared" si="80"/>
        <v>0</v>
      </c>
    </row>
    <row r="182" spans="2:61" x14ac:dyDescent="0.25">
      <c r="C182" s="11" t="s">
        <v>904</v>
      </c>
      <c r="D182" s="12" t="s">
        <v>855</v>
      </c>
      <c r="E182" s="88">
        <f t="shared" ref="E182:AJ182" si="81">IFERROR(E149/E144,0)</f>
        <v>0</v>
      </c>
      <c r="F182" s="88">
        <f t="shared" si="81"/>
        <v>0</v>
      </c>
      <c r="G182" s="88">
        <f t="shared" si="81"/>
        <v>0</v>
      </c>
      <c r="H182" s="88">
        <f t="shared" si="81"/>
        <v>0</v>
      </c>
      <c r="I182" s="89">
        <f t="shared" si="81"/>
        <v>0</v>
      </c>
      <c r="J182" s="88">
        <f t="shared" si="81"/>
        <v>0</v>
      </c>
      <c r="K182" s="88">
        <f t="shared" si="81"/>
        <v>0</v>
      </c>
      <c r="L182" s="88">
        <f t="shared" si="81"/>
        <v>0</v>
      </c>
      <c r="M182" s="88">
        <f t="shared" si="81"/>
        <v>0</v>
      </c>
      <c r="N182" s="89">
        <f t="shared" si="81"/>
        <v>0</v>
      </c>
      <c r="O182" s="88">
        <f t="shared" si="81"/>
        <v>0</v>
      </c>
      <c r="P182" s="88">
        <f t="shared" si="81"/>
        <v>0</v>
      </c>
      <c r="Q182" s="88">
        <f t="shared" si="81"/>
        <v>0</v>
      </c>
      <c r="R182" s="88">
        <f t="shared" si="81"/>
        <v>0</v>
      </c>
      <c r="S182" s="89">
        <f t="shared" si="81"/>
        <v>0</v>
      </c>
      <c r="T182" s="88">
        <f t="shared" si="81"/>
        <v>0</v>
      </c>
      <c r="U182" s="88">
        <f t="shared" si="81"/>
        <v>0</v>
      </c>
      <c r="V182" s="88">
        <f t="shared" si="81"/>
        <v>0</v>
      </c>
      <c r="W182" s="88">
        <f t="shared" si="81"/>
        <v>0</v>
      </c>
      <c r="X182" s="89">
        <f t="shared" si="81"/>
        <v>0</v>
      </c>
      <c r="Y182" s="88">
        <f t="shared" si="81"/>
        <v>0</v>
      </c>
      <c r="Z182" s="88">
        <f t="shared" si="81"/>
        <v>0</v>
      </c>
      <c r="AA182" s="88">
        <f t="shared" si="81"/>
        <v>0</v>
      </c>
      <c r="AB182" s="88">
        <f t="shared" si="81"/>
        <v>0</v>
      </c>
      <c r="AC182" s="89">
        <f t="shared" si="81"/>
        <v>0</v>
      </c>
      <c r="AD182" s="88">
        <f t="shared" si="81"/>
        <v>0</v>
      </c>
      <c r="AE182" s="88">
        <f t="shared" si="81"/>
        <v>0</v>
      </c>
      <c r="AF182" s="88">
        <f t="shared" si="81"/>
        <v>0</v>
      </c>
      <c r="AG182" s="88">
        <f t="shared" si="81"/>
        <v>0</v>
      </c>
      <c r="AH182" s="89">
        <f t="shared" si="81"/>
        <v>0</v>
      </c>
      <c r="AI182" s="88">
        <f t="shared" si="81"/>
        <v>0</v>
      </c>
      <c r="AJ182" s="88">
        <f t="shared" si="81"/>
        <v>0</v>
      </c>
      <c r="AK182" s="88">
        <f t="shared" ref="AK182:BG182" si="82">IFERROR(AK149/AK144,0)</f>
        <v>0</v>
      </c>
      <c r="AL182" s="88">
        <f t="shared" si="82"/>
        <v>0</v>
      </c>
      <c r="AM182" s="89">
        <f t="shared" si="82"/>
        <v>0</v>
      </c>
      <c r="AN182" s="88">
        <f t="shared" si="82"/>
        <v>0</v>
      </c>
      <c r="AO182" s="88">
        <f t="shared" si="82"/>
        <v>0</v>
      </c>
      <c r="AP182" s="88">
        <f t="shared" si="82"/>
        <v>0</v>
      </c>
      <c r="AQ182" s="88">
        <f t="shared" si="82"/>
        <v>0</v>
      </c>
      <c r="AR182" s="89">
        <f t="shared" si="82"/>
        <v>0</v>
      </c>
      <c r="AS182" s="88">
        <f t="shared" si="82"/>
        <v>0</v>
      </c>
      <c r="AT182" s="88">
        <f t="shared" si="82"/>
        <v>0</v>
      </c>
      <c r="AU182" s="88">
        <f t="shared" si="82"/>
        <v>0</v>
      </c>
      <c r="AV182" s="88">
        <f t="shared" si="82"/>
        <v>0</v>
      </c>
      <c r="AW182" s="89">
        <f t="shared" si="82"/>
        <v>0</v>
      </c>
      <c r="AX182" s="88">
        <f t="shared" si="82"/>
        <v>0</v>
      </c>
      <c r="AY182" s="88">
        <f t="shared" si="82"/>
        <v>0</v>
      </c>
      <c r="AZ182" s="88">
        <f t="shared" si="82"/>
        <v>0</v>
      </c>
      <c r="BA182" s="88">
        <f t="shared" si="82"/>
        <v>0</v>
      </c>
      <c r="BB182" s="89">
        <f t="shared" si="82"/>
        <v>0</v>
      </c>
      <c r="BC182" s="88">
        <f t="shared" si="82"/>
        <v>0</v>
      </c>
      <c r="BD182" s="88">
        <f t="shared" si="82"/>
        <v>0</v>
      </c>
      <c r="BE182" s="88">
        <f t="shared" si="82"/>
        <v>0</v>
      </c>
      <c r="BF182" s="88">
        <f t="shared" si="82"/>
        <v>0</v>
      </c>
      <c r="BG182" s="89">
        <f t="shared" si="82"/>
        <v>0</v>
      </c>
    </row>
    <row r="183" spans="2:61" x14ac:dyDescent="0.25">
      <c r="C183" s="11" t="s">
        <v>905</v>
      </c>
      <c r="D183" s="12" t="s">
        <v>906</v>
      </c>
      <c r="E183" s="88">
        <f t="shared" ref="E183:AJ183" si="83">IFERROR(E146/E144,0)</f>
        <v>0</v>
      </c>
      <c r="F183" s="88">
        <f t="shared" si="83"/>
        <v>0</v>
      </c>
      <c r="G183" s="88">
        <f t="shared" si="83"/>
        <v>0</v>
      </c>
      <c r="H183" s="88">
        <f t="shared" si="83"/>
        <v>0</v>
      </c>
      <c r="I183" s="89">
        <f t="shared" si="83"/>
        <v>0</v>
      </c>
      <c r="J183" s="88">
        <f t="shared" si="83"/>
        <v>0</v>
      </c>
      <c r="K183" s="88">
        <f t="shared" si="83"/>
        <v>0</v>
      </c>
      <c r="L183" s="88">
        <f t="shared" si="83"/>
        <v>0</v>
      </c>
      <c r="M183" s="88">
        <f t="shared" si="83"/>
        <v>0</v>
      </c>
      <c r="N183" s="89">
        <f t="shared" si="83"/>
        <v>0</v>
      </c>
      <c r="O183" s="88">
        <f t="shared" si="83"/>
        <v>0</v>
      </c>
      <c r="P183" s="88">
        <f t="shared" si="83"/>
        <v>0</v>
      </c>
      <c r="Q183" s="88">
        <f t="shared" si="83"/>
        <v>0</v>
      </c>
      <c r="R183" s="88">
        <f t="shared" si="83"/>
        <v>0</v>
      </c>
      <c r="S183" s="89">
        <f t="shared" si="83"/>
        <v>0</v>
      </c>
      <c r="T183" s="88">
        <f t="shared" si="83"/>
        <v>0</v>
      </c>
      <c r="U183" s="88">
        <f t="shared" si="83"/>
        <v>0</v>
      </c>
      <c r="V183" s="88">
        <f t="shared" si="83"/>
        <v>0</v>
      </c>
      <c r="W183" s="88">
        <f t="shared" si="83"/>
        <v>0</v>
      </c>
      <c r="X183" s="89">
        <f t="shared" si="83"/>
        <v>0</v>
      </c>
      <c r="Y183" s="88">
        <f t="shared" si="83"/>
        <v>0</v>
      </c>
      <c r="Z183" s="88">
        <f t="shared" si="83"/>
        <v>0</v>
      </c>
      <c r="AA183" s="88">
        <f t="shared" si="83"/>
        <v>0</v>
      </c>
      <c r="AB183" s="88">
        <f t="shared" si="83"/>
        <v>0</v>
      </c>
      <c r="AC183" s="89">
        <f t="shared" si="83"/>
        <v>0</v>
      </c>
      <c r="AD183" s="88">
        <f t="shared" si="83"/>
        <v>0</v>
      </c>
      <c r="AE183" s="88">
        <f t="shared" si="83"/>
        <v>0</v>
      </c>
      <c r="AF183" s="88">
        <f t="shared" si="83"/>
        <v>0</v>
      </c>
      <c r="AG183" s="88">
        <f t="shared" si="83"/>
        <v>0</v>
      </c>
      <c r="AH183" s="89">
        <f t="shared" si="83"/>
        <v>0</v>
      </c>
      <c r="AI183" s="88">
        <f t="shared" si="83"/>
        <v>0</v>
      </c>
      <c r="AJ183" s="88">
        <f t="shared" si="83"/>
        <v>0</v>
      </c>
      <c r="AK183" s="88">
        <f t="shared" ref="AK183:BG183" si="84">IFERROR(AK146/AK144,0)</f>
        <v>0</v>
      </c>
      <c r="AL183" s="88">
        <f t="shared" si="84"/>
        <v>0</v>
      </c>
      <c r="AM183" s="89">
        <f t="shared" si="84"/>
        <v>0</v>
      </c>
      <c r="AN183" s="88">
        <f t="shared" si="84"/>
        <v>0</v>
      </c>
      <c r="AO183" s="88">
        <f t="shared" si="84"/>
        <v>0</v>
      </c>
      <c r="AP183" s="88">
        <f t="shared" si="84"/>
        <v>0</v>
      </c>
      <c r="AQ183" s="88">
        <f t="shared" si="84"/>
        <v>0</v>
      </c>
      <c r="AR183" s="89">
        <f t="shared" si="84"/>
        <v>0</v>
      </c>
      <c r="AS183" s="88">
        <f t="shared" si="84"/>
        <v>0</v>
      </c>
      <c r="AT183" s="88">
        <f t="shared" si="84"/>
        <v>0</v>
      </c>
      <c r="AU183" s="88">
        <f t="shared" si="84"/>
        <v>0</v>
      </c>
      <c r="AV183" s="88">
        <f t="shared" si="84"/>
        <v>0</v>
      </c>
      <c r="AW183" s="89">
        <f t="shared" si="84"/>
        <v>0</v>
      </c>
      <c r="AX183" s="88">
        <f t="shared" si="84"/>
        <v>0</v>
      </c>
      <c r="AY183" s="88">
        <f t="shared" si="84"/>
        <v>0</v>
      </c>
      <c r="AZ183" s="88">
        <f t="shared" si="84"/>
        <v>0</v>
      </c>
      <c r="BA183" s="88">
        <f t="shared" si="84"/>
        <v>0</v>
      </c>
      <c r="BB183" s="89">
        <f t="shared" si="84"/>
        <v>0</v>
      </c>
      <c r="BC183" s="88">
        <f t="shared" si="84"/>
        <v>0</v>
      </c>
      <c r="BD183" s="88">
        <f t="shared" si="84"/>
        <v>0</v>
      </c>
      <c r="BE183" s="88">
        <f t="shared" si="84"/>
        <v>0</v>
      </c>
      <c r="BF183" s="88">
        <f t="shared" si="84"/>
        <v>0</v>
      </c>
      <c r="BG183" s="89">
        <f t="shared" si="84"/>
        <v>0</v>
      </c>
    </row>
    <row r="184" spans="2:61" x14ac:dyDescent="0.25">
      <c r="C184" s="11" t="s">
        <v>907</v>
      </c>
      <c r="D184" s="12" t="s">
        <v>908</v>
      </c>
      <c r="E184" s="88">
        <f t="shared" ref="E184:AJ184" si="85">IFERROR(E147/E144,0)</f>
        <v>0</v>
      </c>
      <c r="F184" s="88">
        <f t="shared" si="85"/>
        <v>0</v>
      </c>
      <c r="G184" s="88">
        <f t="shared" si="85"/>
        <v>0</v>
      </c>
      <c r="H184" s="88">
        <f t="shared" si="85"/>
        <v>0</v>
      </c>
      <c r="I184" s="89">
        <f t="shared" si="85"/>
        <v>0</v>
      </c>
      <c r="J184" s="88">
        <f t="shared" si="85"/>
        <v>0</v>
      </c>
      <c r="K184" s="88">
        <f t="shared" si="85"/>
        <v>0</v>
      </c>
      <c r="L184" s="88">
        <f t="shared" si="85"/>
        <v>0</v>
      </c>
      <c r="M184" s="88">
        <f t="shared" si="85"/>
        <v>0</v>
      </c>
      <c r="N184" s="89">
        <f t="shared" si="85"/>
        <v>0</v>
      </c>
      <c r="O184" s="88">
        <f t="shared" si="85"/>
        <v>0</v>
      </c>
      <c r="P184" s="88">
        <f t="shared" si="85"/>
        <v>0</v>
      </c>
      <c r="Q184" s="88">
        <f t="shared" si="85"/>
        <v>0</v>
      </c>
      <c r="R184" s="88">
        <f t="shared" si="85"/>
        <v>0</v>
      </c>
      <c r="S184" s="89">
        <f t="shared" si="85"/>
        <v>0</v>
      </c>
      <c r="T184" s="88">
        <f t="shared" si="85"/>
        <v>0</v>
      </c>
      <c r="U184" s="88">
        <f t="shared" si="85"/>
        <v>0</v>
      </c>
      <c r="V184" s="88">
        <f t="shared" si="85"/>
        <v>0</v>
      </c>
      <c r="W184" s="88">
        <f t="shared" si="85"/>
        <v>0</v>
      </c>
      <c r="X184" s="89">
        <f t="shared" si="85"/>
        <v>0</v>
      </c>
      <c r="Y184" s="88">
        <f t="shared" si="85"/>
        <v>0</v>
      </c>
      <c r="Z184" s="88">
        <f t="shared" si="85"/>
        <v>0</v>
      </c>
      <c r="AA184" s="88">
        <f t="shared" si="85"/>
        <v>0</v>
      </c>
      <c r="AB184" s="88">
        <f t="shared" si="85"/>
        <v>0</v>
      </c>
      <c r="AC184" s="89">
        <f t="shared" si="85"/>
        <v>0</v>
      </c>
      <c r="AD184" s="88">
        <f t="shared" si="85"/>
        <v>0</v>
      </c>
      <c r="AE184" s="88">
        <f t="shared" si="85"/>
        <v>0</v>
      </c>
      <c r="AF184" s="88">
        <f t="shared" si="85"/>
        <v>0</v>
      </c>
      <c r="AG184" s="88">
        <f t="shared" si="85"/>
        <v>0</v>
      </c>
      <c r="AH184" s="89">
        <f t="shared" si="85"/>
        <v>0</v>
      </c>
      <c r="AI184" s="88">
        <f t="shared" si="85"/>
        <v>0</v>
      </c>
      <c r="AJ184" s="88">
        <f t="shared" si="85"/>
        <v>0</v>
      </c>
      <c r="AK184" s="88">
        <f t="shared" ref="AK184:BG184" si="86">IFERROR(AK147/AK144,0)</f>
        <v>0</v>
      </c>
      <c r="AL184" s="88">
        <f t="shared" si="86"/>
        <v>0</v>
      </c>
      <c r="AM184" s="89">
        <f t="shared" si="86"/>
        <v>0</v>
      </c>
      <c r="AN184" s="88">
        <f t="shared" si="86"/>
        <v>0</v>
      </c>
      <c r="AO184" s="88">
        <f t="shared" si="86"/>
        <v>0</v>
      </c>
      <c r="AP184" s="88">
        <f t="shared" si="86"/>
        <v>0</v>
      </c>
      <c r="AQ184" s="88">
        <f t="shared" si="86"/>
        <v>0</v>
      </c>
      <c r="AR184" s="89">
        <f t="shared" si="86"/>
        <v>0</v>
      </c>
      <c r="AS184" s="88">
        <f t="shared" si="86"/>
        <v>0</v>
      </c>
      <c r="AT184" s="88">
        <f t="shared" si="86"/>
        <v>0</v>
      </c>
      <c r="AU184" s="88">
        <f t="shared" si="86"/>
        <v>0</v>
      </c>
      <c r="AV184" s="88">
        <f t="shared" si="86"/>
        <v>0</v>
      </c>
      <c r="AW184" s="89">
        <f t="shared" si="86"/>
        <v>0</v>
      </c>
      <c r="AX184" s="88">
        <f t="shared" si="86"/>
        <v>0</v>
      </c>
      <c r="AY184" s="88">
        <f t="shared" si="86"/>
        <v>0</v>
      </c>
      <c r="AZ184" s="88">
        <f t="shared" si="86"/>
        <v>0</v>
      </c>
      <c r="BA184" s="88">
        <f t="shared" si="86"/>
        <v>0</v>
      </c>
      <c r="BB184" s="89">
        <f t="shared" si="86"/>
        <v>0</v>
      </c>
      <c r="BC184" s="88">
        <f t="shared" si="86"/>
        <v>0</v>
      </c>
      <c r="BD184" s="88">
        <f t="shared" si="86"/>
        <v>0</v>
      </c>
      <c r="BE184" s="88">
        <f t="shared" si="86"/>
        <v>0</v>
      </c>
      <c r="BF184" s="88">
        <f t="shared" si="86"/>
        <v>0</v>
      </c>
      <c r="BG184" s="89">
        <f t="shared" si="86"/>
        <v>0</v>
      </c>
    </row>
    <row r="185" spans="2:61" x14ac:dyDescent="0.25">
      <c r="C185" s="11" t="s">
        <v>909</v>
      </c>
      <c r="D185" s="12" t="s">
        <v>910</v>
      </c>
      <c r="E185" s="88">
        <f t="shared" ref="E185:AJ185" si="87">IFERROR(E145/E148,0)</f>
        <v>0</v>
      </c>
      <c r="F185" s="88">
        <f t="shared" si="87"/>
        <v>0</v>
      </c>
      <c r="G185" s="88">
        <f t="shared" si="87"/>
        <v>0</v>
      </c>
      <c r="H185" s="88">
        <f t="shared" si="87"/>
        <v>0</v>
      </c>
      <c r="I185" s="89">
        <f t="shared" si="87"/>
        <v>0</v>
      </c>
      <c r="J185" s="88">
        <f t="shared" si="87"/>
        <v>0</v>
      </c>
      <c r="K185" s="88">
        <f t="shared" si="87"/>
        <v>0</v>
      </c>
      <c r="L185" s="88">
        <f t="shared" si="87"/>
        <v>0</v>
      </c>
      <c r="M185" s="88">
        <f t="shared" si="87"/>
        <v>0</v>
      </c>
      <c r="N185" s="89">
        <f t="shared" si="87"/>
        <v>0</v>
      </c>
      <c r="O185" s="88">
        <f t="shared" si="87"/>
        <v>0</v>
      </c>
      <c r="P185" s="88">
        <f t="shared" si="87"/>
        <v>0</v>
      </c>
      <c r="Q185" s="88">
        <f t="shared" si="87"/>
        <v>0</v>
      </c>
      <c r="R185" s="88">
        <f t="shared" si="87"/>
        <v>0</v>
      </c>
      <c r="S185" s="89">
        <f t="shared" si="87"/>
        <v>0</v>
      </c>
      <c r="T185" s="88">
        <f t="shared" si="87"/>
        <v>0</v>
      </c>
      <c r="U185" s="88">
        <f t="shared" si="87"/>
        <v>0</v>
      </c>
      <c r="V185" s="88">
        <f t="shared" si="87"/>
        <v>0</v>
      </c>
      <c r="W185" s="88">
        <f t="shared" si="87"/>
        <v>0</v>
      </c>
      <c r="X185" s="89">
        <f t="shared" si="87"/>
        <v>0</v>
      </c>
      <c r="Y185" s="88">
        <f t="shared" si="87"/>
        <v>0</v>
      </c>
      <c r="Z185" s="88">
        <f t="shared" si="87"/>
        <v>0</v>
      </c>
      <c r="AA185" s="88">
        <f t="shared" si="87"/>
        <v>0</v>
      </c>
      <c r="AB185" s="88">
        <f t="shared" si="87"/>
        <v>0</v>
      </c>
      <c r="AC185" s="89">
        <f t="shared" si="87"/>
        <v>0</v>
      </c>
      <c r="AD185" s="88">
        <f t="shared" si="87"/>
        <v>0</v>
      </c>
      <c r="AE185" s="88">
        <f t="shared" si="87"/>
        <v>0</v>
      </c>
      <c r="AF185" s="88">
        <f t="shared" si="87"/>
        <v>0</v>
      </c>
      <c r="AG185" s="88">
        <f t="shared" si="87"/>
        <v>0</v>
      </c>
      <c r="AH185" s="89">
        <f t="shared" si="87"/>
        <v>0</v>
      </c>
      <c r="AI185" s="88">
        <f t="shared" si="87"/>
        <v>0</v>
      </c>
      <c r="AJ185" s="88">
        <f t="shared" si="87"/>
        <v>0</v>
      </c>
      <c r="AK185" s="88">
        <f t="shared" ref="AK185:BG185" si="88">IFERROR(AK145/AK148,0)</f>
        <v>0</v>
      </c>
      <c r="AL185" s="88">
        <f t="shared" si="88"/>
        <v>0</v>
      </c>
      <c r="AM185" s="89">
        <f t="shared" si="88"/>
        <v>0</v>
      </c>
      <c r="AN185" s="88">
        <f t="shared" si="88"/>
        <v>0</v>
      </c>
      <c r="AO185" s="88">
        <f t="shared" si="88"/>
        <v>0</v>
      </c>
      <c r="AP185" s="88">
        <f t="shared" si="88"/>
        <v>0</v>
      </c>
      <c r="AQ185" s="88">
        <f t="shared" si="88"/>
        <v>0</v>
      </c>
      <c r="AR185" s="89">
        <f t="shared" si="88"/>
        <v>0</v>
      </c>
      <c r="AS185" s="88">
        <f t="shared" si="88"/>
        <v>0</v>
      </c>
      <c r="AT185" s="88">
        <f t="shared" si="88"/>
        <v>0</v>
      </c>
      <c r="AU185" s="88">
        <f t="shared" si="88"/>
        <v>0</v>
      </c>
      <c r="AV185" s="88">
        <f t="shared" si="88"/>
        <v>0</v>
      </c>
      <c r="AW185" s="89">
        <f t="shared" si="88"/>
        <v>0</v>
      </c>
      <c r="AX185" s="88">
        <f t="shared" si="88"/>
        <v>0</v>
      </c>
      <c r="AY185" s="88">
        <f t="shared" si="88"/>
        <v>0</v>
      </c>
      <c r="AZ185" s="88">
        <f t="shared" si="88"/>
        <v>0</v>
      </c>
      <c r="BA185" s="88">
        <f t="shared" si="88"/>
        <v>0</v>
      </c>
      <c r="BB185" s="89">
        <f t="shared" si="88"/>
        <v>0</v>
      </c>
      <c r="BC185" s="88">
        <f t="shared" si="88"/>
        <v>0</v>
      </c>
      <c r="BD185" s="88">
        <f t="shared" si="88"/>
        <v>0</v>
      </c>
      <c r="BE185" s="88">
        <f t="shared" si="88"/>
        <v>0</v>
      </c>
      <c r="BF185" s="88">
        <f t="shared" si="88"/>
        <v>0</v>
      </c>
      <c r="BG185" s="89">
        <f t="shared" si="88"/>
        <v>0</v>
      </c>
    </row>
    <row r="186" spans="2:61" x14ac:dyDescent="0.25">
      <c r="C186" s="11" t="s">
        <v>911</v>
      </c>
      <c r="D186" s="12" t="s">
        <v>912</v>
      </c>
      <c r="E186" s="88">
        <f t="shared" ref="E186:AJ186" si="89">IFERROR(E151/E146,0)</f>
        <v>0</v>
      </c>
      <c r="F186" s="88">
        <f t="shared" si="89"/>
        <v>0</v>
      </c>
      <c r="G186" s="88">
        <f t="shared" si="89"/>
        <v>0</v>
      </c>
      <c r="H186" s="88">
        <f t="shared" si="89"/>
        <v>0</v>
      </c>
      <c r="I186" s="89">
        <f t="shared" si="89"/>
        <v>0</v>
      </c>
      <c r="J186" s="88">
        <f t="shared" si="89"/>
        <v>0</v>
      </c>
      <c r="K186" s="88">
        <f t="shared" si="89"/>
        <v>0</v>
      </c>
      <c r="L186" s="88">
        <f t="shared" si="89"/>
        <v>0</v>
      </c>
      <c r="M186" s="88">
        <f t="shared" si="89"/>
        <v>0</v>
      </c>
      <c r="N186" s="89">
        <f t="shared" si="89"/>
        <v>0</v>
      </c>
      <c r="O186" s="88">
        <f t="shared" si="89"/>
        <v>0</v>
      </c>
      <c r="P186" s="88">
        <f t="shared" si="89"/>
        <v>0</v>
      </c>
      <c r="Q186" s="88">
        <f t="shared" si="89"/>
        <v>0</v>
      </c>
      <c r="R186" s="88">
        <f t="shared" si="89"/>
        <v>0</v>
      </c>
      <c r="S186" s="89">
        <f t="shared" si="89"/>
        <v>0</v>
      </c>
      <c r="T186" s="88">
        <f t="shared" si="89"/>
        <v>0</v>
      </c>
      <c r="U186" s="88">
        <f t="shared" si="89"/>
        <v>0</v>
      </c>
      <c r="V186" s="88">
        <f t="shared" si="89"/>
        <v>0</v>
      </c>
      <c r="W186" s="88">
        <f t="shared" si="89"/>
        <v>0</v>
      </c>
      <c r="X186" s="89">
        <f t="shared" si="89"/>
        <v>0</v>
      </c>
      <c r="Y186" s="88">
        <f t="shared" si="89"/>
        <v>0</v>
      </c>
      <c r="Z186" s="88">
        <f t="shared" si="89"/>
        <v>0</v>
      </c>
      <c r="AA186" s="88">
        <f t="shared" si="89"/>
        <v>0</v>
      </c>
      <c r="AB186" s="88">
        <f t="shared" si="89"/>
        <v>0</v>
      </c>
      <c r="AC186" s="89">
        <f t="shared" si="89"/>
        <v>0</v>
      </c>
      <c r="AD186" s="88">
        <f t="shared" si="89"/>
        <v>0</v>
      </c>
      <c r="AE186" s="88">
        <f t="shared" si="89"/>
        <v>0</v>
      </c>
      <c r="AF186" s="88">
        <f t="shared" si="89"/>
        <v>0</v>
      </c>
      <c r="AG186" s="88">
        <f t="shared" si="89"/>
        <v>0</v>
      </c>
      <c r="AH186" s="89">
        <f t="shared" si="89"/>
        <v>0</v>
      </c>
      <c r="AI186" s="88">
        <f t="shared" si="89"/>
        <v>0</v>
      </c>
      <c r="AJ186" s="88">
        <f t="shared" si="89"/>
        <v>0</v>
      </c>
      <c r="AK186" s="88">
        <f t="shared" ref="AK186:BG186" si="90">IFERROR(AK151/AK146,0)</f>
        <v>0</v>
      </c>
      <c r="AL186" s="88">
        <f t="shared" si="90"/>
        <v>0</v>
      </c>
      <c r="AM186" s="89">
        <f t="shared" si="90"/>
        <v>0</v>
      </c>
      <c r="AN186" s="88">
        <f t="shared" si="90"/>
        <v>0</v>
      </c>
      <c r="AO186" s="88">
        <f t="shared" si="90"/>
        <v>0</v>
      </c>
      <c r="AP186" s="88">
        <f t="shared" si="90"/>
        <v>0</v>
      </c>
      <c r="AQ186" s="88">
        <f t="shared" si="90"/>
        <v>0</v>
      </c>
      <c r="AR186" s="89">
        <f t="shared" si="90"/>
        <v>0</v>
      </c>
      <c r="AS186" s="88">
        <f t="shared" si="90"/>
        <v>0</v>
      </c>
      <c r="AT186" s="88">
        <f t="shared" si="90"/>
        <v>0</v>
      </c>
      <c r="AU186" s="88">
        <f t="shared" si="90"/>
        <v>0</v>
      </c>
      <c r="AV186" s="88">
        <f t="shared" si="90"/>
        <v>0</v>
      </c>
      <c r="AW186" s="89">
        <f t="shared" si="90"/>
        <v>0</v>
      </c>
      <c r="AX186" s="88">
        <f t="shared" si="90"/>
        <v>0</v>
      </c>
      <c r="AY186" s="88">
        <f t="shared" si="90"/>
        <v>0</v>
      </c>
      <c r="AZ186" s="88">
        <f t="shared" si="90"/>
        <v>0</v>
      </c>
      <c r="BA186" s="88">
        <f t="shared" si="90"/>
        <v>0</v>
      </c>
      <c r="BB186" s="89">
        <f t="shared" si="90"/>
        <v>0</v>
      </c>
      <c r="BC186" s="88">
        <f t="shared" si="90"/>
        <v>0</v>
      </c>
      <c r="BD186" s="88">
        <f t="shared" si="90"/>
        <v>0</v>
      </c>
      <c r="BE186" s="88">
        <f t="shared" si="90"/>
        <v>0</v>
      </c>
      <c r="BF186" s="88">
        <f t="shared" si="90"/>
        <v>0</v>
      </c>
      <c r="BG186" s="89">
        <f t="shared" si="90"/>
        <v>0</v>
      </c>
      <c r="BI186" s="14" t="s">
        <v>913</v>
      </c>
    </row>
    <row r="187" spans="2:61" x14ac:dyDescent="0.25">
      <c r="C187" s="11" t="s">
        <v>914</v>
      </c>
      <c r="D187" s="12" t="s">
        <v>915</v>
      </c>
      <c r="E187" s="88">
        <f t="shared" ref="E187:AJ187" si="91">IFERROR(E152/E147,0)</f>
        <v>0</v>
      </c>
      <c r="F187" s="88">
        <f t="shared" si="91"/>
        <v>0</v>
      </c>
      <c r="G187" s="88">
        <f t="shared" si="91"/>
        <v>0</v>
      </c>
      <c r="H187" s="88">
        <f t="shared" si="91"/>
        <v>0</v>
      </c>
      <c r="I187" s="89">
        <f t="shared" si="91"/>
        <v>0</v>
      </c>
      <c r="J187" s="88">
        <f t="shared" si="91"/>
        <v>0</v>
      </c>
      <c r="K187" s="88">
        <f t="shared" si="91"/>
        <v>0</v>
      </c>
      <c r="L187" s="88">
        <f t="shared" si="91"/>
        <v>0</v>
      </c>
      <c r="M187" s="88">
        <f t="shared" si="91"/>
        <v>0</v>
      </c>
      <c r="N187" s="89">
        <f t="shared" si="91"/>
        <v>0</v>
      </c>
      <c r="O187" s="88">
        <f t="shared" si="91"/>
        <v>0</v>
      </c>
      <c r="P187" s="88">
        <f t="shared" si="91"/>
        <v>0</v>
      </c>
      <c r="Q187" s="88">
        <f t="shared" si="91"/>
        <v>0</v>
      </c>
      <c r="R187" s="88">
        <f t="shared" si="91"/>
        <v>0</v>
      </c>
      <c r="S187" s="89">
        <f t="shared" si="91"/>
        <v>0</v>
      </c>
      <c r="T187" s="88">
        <f t="shared" si="91"/>
        <v>0</v>
      </c>
      <c r="U187" s="88">
        <f t="shared" si="91"/>
        <v>0</v>
      </c>
      <c r="V187" s="88">
        <f t="shared" si="91"/>
        <v>0</v>
      </c>
      <c r="W187" s="88">
        <f t="shared" si="91"/>
        <v>0</v>
      </c>
      <c r="X187" s="89">
        <f t="shared" si="91"/>
        <v>0</v>
      </c>
      <c r="Y187" s="88">
        <f t="shared" si="91"/>
        <v>0</v>
      </c>
      <c r="Z187" s="88">
        <f t="shared" si="91"/>
        <v>0</v>
      </c>
      <c r="AA187" s="88">
        <f t="shared" si="91"/>
        <v>0</v>
      </c>
      <c r="AB187" s="88">
        <f t="shared" si="91"/>
        <v>0</v>
      </c>
      <c r="AC187" s="89">
        <f t="shared" si="91"/>
        <v>0</v>
      </c>
      <c r="AD187" s="88">
        <f t="shared" si="91"/>
        <v>0</v>
      </c>
      <c r="AE187" s="88">
        <f t="shared" si="91"/>
        <v>0</v>
      </c>
      <c r="AF187" s="88">
        <f t="shared" si="91"/>
        <v>0</v>
      </c>
      <c r="AG187" s="88">
        <f t="shared" si="91"/>
        <v>0</v>
      </c>
      <c r="AH187" s="89">
        <f t="shared" si="91"/>
        <v>0</v>
      </c>
      <c r="AI187" s="88">
        <f t="shared" si="91"/>
        <v>0</v>
      </c>
      <c r="AJ187" s="88">
        <f t="shared" si="91"/>
        <v>0</v>
      </c>
      <c r="AK187" s="88">
        <f t="shared" ref="AK187:BG187" si="92">IFERROR(AK152/AK147,0)</f>
        <v>0</v>
      </c>
      <c r="AL187" s="88">
        <f t="shared" si="92"/>
        <v>0</v>
      </c>
      <c r="AM187" s="89">
        <f t="shared" si="92"/>
        <v>0</v>
      </c>
      <c r="AN187" s="88">
        <f t="shared" si="92"/>
        <v>0</v>
      </c>
      <c r="AO187" s="88">
        <f t="shared" si="92"/>
        <v>0</v>
      </c>
      <c r="AP187" s="88">
        <f t="shared" si="92"/>
        <v>0</v>
      </c>
      <c r="AQ187" s="88">
        <f t="shared" si="92"/>
        <v>0</v>
      </c>
      <c r="AR187" s="89">
        <f t="shared" si="92"/>
        <v>0</v>
      </c>
      <c r="AS187" s="88">
        <f t="shared" si="92"/>
        <v>0</v>
      </c>
      <c r="AT187" s="88">
        <f t="shared" si="92"/>
        <v>0</v>
      </c>
      <c r="AU187" s="88">
        <f t="shared" si="92"/>
        <v>0</v>
      </c>
      <c r="AV187" s="88">
        <f t="shared" si="92"/>
        <v>0</v>
      </c>
      <c r="AW187" s="89">
        <f t="shared" si="92"/>
        <v>0</v>
      </c>
      <c r="AX187" s="88">
        <f t="shared" si="92"/>
        <v>0</v>
      </c>
      <c r="AY187" s="88">
        <f t="shared" si="92"/>
        <v>0</v>
      </c>
      <c r="AZ187" s="88">
        <f t="shared" si="92"/>
        <v>0</v>
      </c>
      <c r="BA187" s="88">
        <f t="shared" si="92"/>
        <v>0</v>
      </c>
      <c r="BB187" s="89">
        <f t="shared" si="92"/>
        <v>0</v>
      </c>
      <c r="BC187" s="88">
        <f t="shared" si="92"/>
        <v>0</v>
      </c>
      <c r="BD187" s="88">
        <f t="shared" si="92"/>
        <v>0</v>
      </c>
      <c r="BE187" s="88">
        <f t="shared" si="92"/>
        <v>0</v>
      </c>
      <c r="BF187" s="88">
        <f t="shared" si="92"/>
        <v>0</v>
      </c>
      <c r="BG187" s="89">
        <f t="shared" si="92"/>
        <v>0</v>
      </c>
    </row>
    <row r="188" spans="2:61" x14ac:dyDescent="0.25">
      <c r="C188" s="11" t="s">
        <v>916</v>
      </c>
      <c r="D188" s="12" t="s">
        <v>449</v>
      </c>
      <c r="E188" s="88">
        <f t="shared" ref="E188:AJ188" si="93">IFERROR(E145/E144,0)</f>
        <v>0</v>
      </c>
      <c r="F188" s="88">
        <f t="shared" si="93"/>
        <v>0</v>
      </c>
      <c r="G188" s="88">
        <f t="shared" si="93"/>
        <v>0</v>
      </c>
      <c r="H188" s="88">
        <f t="shared" si="93"/>
        <v>0</v>
      </c>
      <c r="I188" s="89">
        <f t="shared" si="93"/>
        <v>0</v>
      </c>
      <c r="J188" s="88">
        <f t="shared" si="93"/>
        <v>0</v>
      </c>
      <c r="K188" s="88">
        <f t="shared" si="93"/>
        <v>0</v>
      </c>
      <c r="L188" s="88">
        <f t="shared" si="93"/>
        <v>0</v>
      </c>
      <c r="M188" s="88">
        <f t="shared" si="93"/>
        <v>0</v>
      </c>
      <c r="N188" s="89">
        <f t="shared" si="93"/>
        <v>0</v>
      </c>
      <c r="O188" s="88">
        <f t="shared" si="93"/>
        <v>0</v>
      </c>
      <c r="P188" s="88">
        <f t="shared" si="93"/>
        <v>0</v>
      </c>
      <c r="Q188" s="88">
        <f t="shared" si="93"/>
        <v>0</v>
      </c>
      <c r="R188" s="88">
        <f t="shared" si="93"/>
        <v>0</v>
      </c>
      <c r="S188" s="89">
        <f t="shared" si="93"/>
        <v>0</v>
      </c>
      <c r="T188" s="88">
        <f t="shared" si="93"/>
        <v>0</v>
      </c>
      <c r="U188" s="88">
        <f t="shared" si="93"/>
        <v>0</v>
      </c>
      <c r="V188" s="88">
        <f t="shared" si="93"/>
        <v>0</v>
      </c>
      <c r="W188" s="88">
        <f t="shared" si="93"/>
        <v>0</v>
      </c>
      <c r="X188" s="89">
        <f t="shared" si="93"/>
        <v>0</v>
      </c>
      <c r="Y188" s="88">
        <f t="shared" si="93"/>
        <v>0</v>
      </c>
      <c r="Z188" s="88">
        <f t="shared" si="93"/>
        <v>0</v>
      </c>
      <c r="AA188" s="88">
        <f t="shared" si="93"/>
        <v>0</v>
      </c>
      <c r="AB188" s="88">
        <f t="shared" si="93"/>
        <v>0</v>
      </c>
      <c r="AC188" s="89">
        <f t="shared" si="93"/>
        <v>0</v>
      </c>
      <c r="AD188" s="88">
        <f t="shared" si="93"/>
        <v>0</v>
      </c>
      <c r="AE188" s="88">
        <f t="shared" si="93"/>
        <v>0</v>
      </c>
      <c r="AF188" s="88">
        <f t="shared" si="93"/>
        <v>0</v>
      </c>
      <c r="AG188" s="88">
        <f t="shared" si="93"/>
        <v>0</v>
      </c>
      <c r="AH188" s="89">
        <f t="shared" si="93"/>
        <v>0</v>
      </c>
      <c r="AI188" s="88">
        <f t="shared" si="93"/>
        <v>0</v>
      </c>
      <c r="AJ188" s="88">
        <f t="shared" si="93"/>
        <v>0</v>
      </c>
      <c r="AK188" s="88">
        <f t="shared" ref="AK188:BG188" si="94">IFERROR(AK145/AK144,0)</f>
        <v>0</v>
      </c>
      <c r="AL188" s="88">
        <f t="shared" si="94"/>
        <v>0</v>
      </c>
      <c r="AM188" s="89">
        <f t="shared" si="94"/>
        <v>0</v>
      </c>
      <c r="AN188" s="88">
        <f t="shared" si="94"/>
        <v>0</v>
      </c>
      <c r="AO188" s="88">
        <f t="shared" si="94"/>
        <v>0</v>
      </c>
      <c r="AP188" s="88">
        <f t="shared" si="94"/>
        <v>0</v>
      </c>
      <c r="AQ188" s="88">
        <f t="shared" si="94"/>
        <v>0</v>
      </c>
      <c r="AR188" s="89">
        <f t="shared" si="94"/>
        <v>0</v>
      </c>
      <c r="AS188" s="88">
        <f t="shared" si="94"/>
        <v>0</v>
      </c>
      <c r="AT188" s="88">
        <f t="shared" si="94"/>
        <v>0</v>
      </c>
      <c r="AU188" s="88">
        <f t="shared" si="94"/>
        <v>0</v>
      </c>
      <c r="AV188" s="88">
        <f t="shared" si="94"/>
        <v>0</v>
      </c>
      <c r="AW188" s="89">
        <f t="shared" si="94"/>
        <v>0</v>
      </c>
      <c r="AX188" s="88">
        <f t="shared" si="94"/>
        <v>0</v>
      </c>
      <c r="AY188" s="88">
        <f t="shared" si="94"/>
        <v>0</v>
      </c>
      <c r="AZ188" s="88">
        <f t="shared" si="94"/>
        <v>0</v>
      </c>
      <c r="BA188" s="88">
        <f t="shared" si="94"/>
        <v>0</v>
      </c>
      <c r="BB188" s="89">
        <f t="shared" si="94"/>
        <v>0</v>
      </c>
      <c r="BC188" s="88">
        <f t="shared" si="94"/>
        <v>0</v>
      </c>
      <c r="BD188" s="88">
        <f t="shared" si="94"/>
        <v>0</v>
      </c>
      <c r="BE188" s="88">
        <f t="shared" si="94"/>
        <v>0</v>
      </c>
      <c r="BF188" s="88">
        <f t="shared" si="94"/>
        <v>0</v>
      </c>
      <c r="BG188" s="89">
        <f t="shared" si="94"/>
        <v>0</v>
      </c>
    </row>
    <row r="189" spans="2:61" x14ac:dyDescent="0.25">
      <c r="C189" s="11" t="s">
        <v>382</v>
      </c>
      <c r="D189" s="12" t="s">
        <v>383</v>
      </c>
      <c r="E189" s="88">
        <f>IFERROR(-E102*4/E134,0)</f>
        <v>0</v>
      </c>
      <c r="F189" s="88">
        <f>IFERROR(-F102*4/F134,0)</f>
        <v>0</v>
      </c>
      <c r="G189" s="88">
        <f>IFERROR(-G102*4/G134,0)</f>
        <v>0</v>
      </c>
      <c r="H189" s="88">
        <f>IFERROR(-H102*4/H134,0)</f>
        <v>0</v>
      </c>
      <c r="I189" s="89">
        <f>IFERROR(-I102*1/I134,0)</f>
        <v>0</v>
      </c>
      <c r="J189" s="88">
        <f>IFERROR(-J102*4/J134,0)</f>
        <v>0</v>
      </c>
      <c r="K189" s="88">
        <f>IFERROR(-K102*4/K134,0)</f>
        <v>0</v>
      </c>
      <c r="L189" s="88">
        <f>IFERROR(-L102*4/L134,0)</f>
        <v>0</v>
      </c>
      <c r="M189" s="88">
        <f>IFERROR(-M102*4/M134,0)</f>
        <v>0</v>
      </c>
      <c r="N189" s="89">
        <f>IFERROR(-N102*1/N134,0)</f>
        <v>0</v>
      </c>
      <c r="O189" s="88">
        <f>IFERROR(-O102*4/O134,0)</f>
        <v>0</v>
      </c>
      <c r="P189" s="88">
        <f>IFERROR(-P102*4/P134,0)</f>
        <v>0</v>
      </c>
      <c r="Q189" s="88">
        <f>IFERROR(-Q102*4/Q134,0)</f>
        <v>0</v>
      </c>
      <c r="R189" s="88">
        <f>IFERROR(-R102*4/R134,0)</f>
        <v>0</v>
      </c>
      <c r="S189" s="89">
        <f>IFERROR(-S102*1/S134,0)</f>
        <v>0</v>
      </c>
      <c r="T189" s="88">
        <f>IFERROR(-T102*4/T134,0)</f>
        <v>0</v>
      </c>
      <c r="U189" s="88">
        <f>IFERROR(-U102*4/U134,0)</f>
        <v>0</v>
      </c>
      <c r="V189" s="88">
        <f>IFERROR(-V102*4/V134,0)</f>
        <v>0</v>
      </c>
      <c r="W189" s="88">
        <f>IFERROR(-W102*4/W134,0)</f>
        <v>0</v>
      </c>
      <c r="X189" s="89">
        <f>IFERROR(-X102*1/X134,0)</f>
        <v>0</v>
      </c>
      <c r="Y189" s="88">
        <f>IFERROR(-Y102*4/Y134,0)</f>
        <v>0</v>
      </c>
      <c r="Z189" s="88">
        <f>IFERROR(-Z102*4/Z134,0)</f>
        <v>0</v>
      </c>
      <c r="AA189" s="88">
        <f>IFERROR(-AA102*4/AA134,0)</f>
        <v>0</v>
      </c>
      <c r="AB189" s="88">
        <f>IFERROR(-AB102*4/AB134,0)</f>
        <v>0</v>
      </c>
      <c r="AC189" s="89">
        <f>IFERROR(-AC102*1/AC134,0)</f>
        <v>0</v>
      </c>
      <c r="AD189" s="88">
        <f>IFERROR(-AD102*4/AD134,0)</f>
        <v>0</v>
      </c>
      <c r="AE189" s="88">
        <f>IFERROR(-AE102*4/AE134,0)</f>
        <v>0</v>
      </c>
      <c r="AF189" s="88">
        <f>IFERROR(-AF102*4/AF134,0)</f>
        <v>0</v>
      </c>
      <c r="AG189" s="88">
        <f>IFERROR(-AG102*4/AG134,0)</f>
        <v>0</v>
      </c>
      <c r="AH189" s="89">
        <f>IFERROR(-AH102*1/AH134,0)</f>
        <v>0</v>
      </c>
      <c r="AI189" s="88">
        <f>IFERROR(-AI102*4/AI134,0)</f>
        <v>0</v>
      </c>
      <c r="AJ189" s="88">
        <f>IFERROR(-AJ102*4/AJ134,0)</f>
        <v>0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 spans="2:61" x14ac:dyDescent="0.25">
      <c r="C190" s="11" t="s">
        <v>384</v>
      </c>
      <c r="D190" s="12" t="s">
        <v>917</v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 spans="2:61" x14ac:dyDescent="0.25">
      <c r="B191" s="29"/>
      <c r="C191" s="29" t="s">
        <v>918</v>
      </c>
      <c r="D191" s="29" t="s">
        <v>919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</row>
    <row r="192" spans="2:61" x14ac:dyDescent="0.25">
      <c r="C192" s="11" t="s">
        <v>858</v>
      </c>
      <c r="D192" s="12" t="s">
        <v>859</v>
      </c>
      <c r="E192" s="88">
        <f t="shared" ref="E192:AJ192" si="95">E158</f>
        <v>0</v>
      </c>
      <c r="F192" s="88">
        <f t="shared" si="95"/>
        <v>0</v>
      </c>
      <c r="G192" s="88">
        <f t="shared" si="95"/>
        <v>0</v>
      </c>
      <c r="H192" s="88">
        <f t="shared" si="95"/>
        <v>0</v>
      </c>
      <c r="I192" s="89">
        <f t="shared" si="95"/>
        <v>0</v>
      </c>
      <c r="J192" s="88">
        <f t="shared" si="95"/>
        <v>0</v>
      </c>
      <c r="K192" s="88">
        <f t="shared" si="95"/>
        <v>0</v>
      </c>
      <c r="L192" s="88">
        <f t="shared" si="95"/>
        <v>0</v>
      </c>
      <c r="M192" s="88">
        <f t="shared" si="95"/>
        <v>0</v>
      </c>
      <c r="N192" s="89">
        <f t="shared" si="95"/>
        <v>0</v>
      </c>
      <c r="O192" s="88">
        <f t="shared" si="95"/>
        <v>0</v>
      </c>
      <c r="P192" s="88">
        <f t="shared" si="95"/>
        <v>0</v>
      </c>
      <c r="Q192" s="88">
        <f t="shared" si="95"/>
        <v>0</v>
      </c>
      <c r="R192" s="88">
        <f t="shared" si="95"/>
        <v>0</v>
      </c>
      <c r="S192" s="89">
        <f t="shared" si="95"/>
        <v>0</v>
      </c>
      <c r="T192" s="88">
        <f t="shared" si="95"/>
        <v>0</v>
      </c>
      <c r="U192" s="88">
        <f t="shared" si="95"/>
        <v>0</v>
      </c>
      <c r="V192" s="88">
        <f t="shared" si="95"/>
        <v>0</v>
      </c>
      <c r="W192" s="88">
        <f t="shared" si="95"/>
        <v>0</v>
      </c>
      <c r="X192" s="89">
        <f t="shared" si="95"/>
        <v>0</v>
      </c>
      <c r="Y192" s="88">
        <f t="shared" si="95"/>
        <v>0</v>
      </c>
      <c r="Z192" s="88">
        <f t="shared" si="95"/>
        <v>0</v>
      </c>
      <c r="AA192" s="88">
        <f t="shared" si="95"/>
        <v>0</v>
      </c>
      <c r="AB192" s="88">
        <f t="shared" si="95"/>
        <v>0</v>
      </c>
      <c r="AC192" s="89">
        <f t="shared" si="95"/>
        <v>0</v>
      </c>
      <c r="AD192" s="88">
        <f t="shared" si="95"/>
        <v>0</v>
      </c>
      <c r="AE192" s="88">
        <f t="shared" si="95"/>
        <v>0</v>
      </c>
      <c r="AF192" s="88">
        <f t="shared" si="95"/>
        <v>0</v>
      </c>
      <c r="AG192" s="88">
        <f t="shared" si="95"/>
        <v>0</v>
      </c>
      <c r="AH192" s="89">
        <f t="shared" si="95"/>
        <v>0</v>
      </c>
      <c r="AI192" s="88">
        <f t="shared" si="95"/>
        <v>0</v>
      </c>
      <c r="AJ192" s="88">
        <f t="shared" si="95"/>
        <v>0</v>
      </c>
      <c r="AK192" s="88">
        <f t="shared" ref="AK192:BG192" si="96">AK158</f>
        <v>0</v>
      </c>
      <c r="AL192" s="88">
        <f t="shared" si="96"/>
        <v>0</v>
      </c>
      <c r="AM192" s="89">
        <f t="shared" si="96"/>
        <v>0</v>
      </c>
      <c r="AN192" s="88">
        <f t="shared" si="96"/>
        <v>0</v>
      </c>
      <c r="AO192" s="88">
        <f t="shared" si="96"/>
        <v>0</v>
      </c>
      <c r="AP192" s="88">
        <f t="shared" si="96"/>
        <v>0</v>
      </c>
      <c r="AQ192" s="88">
        <f t="shared" si="96"/>
        <v>0</v>
      </c>
      <c r="AR192" s="89">
        <f t="shared" si="96"/>
        <v>0</v>
      </c>
      <c r="AS192" s="88">
        <f t="shared" si="96"/>
        <v>0</v>
      </c>
      <c r="AT192" s="88">
        <f t="shared" si="96"/>
        <v>0</v>
      </c>
      <c r="AU192" s="88">
        <f t="shared" si="96"/>
        <v>0</v>
      </c>
      <c r="AV192" s="88">
        <f t="shared" si="96"/>
        <v>0</v>
      </c>
      <c r="AW192" s="89">
        <f t="shared" si="96"/>
        <v>0</v>
      </c>
      <c r="AX192" s="88">
        <f t="shared" si="96"/>
        <v>0</v>
      </c>
      <c r="AY192" s="88">
        <f t="shared" si="96"/>
        <v>0</v>
      </c>
      <c r="AZ192" s="88">
        <f t="shared" si="96"/>
        <v>0</v>
      </c>
      <c r="BA192" s="88">
        <f t="shared" si="96"/>
        <v>0</v>
      </c>
      <c r="BB192" s="89">
        <f t="shared" si="96"/>
        <v>0</v>
      </c>
      <c r="BC192" s="88">
        <f t="shared" si="96"/>
        <v>0</v>
      </c>
      <c r="BD192" s="88">
        <f t="shared" si="96"/>
        <v>0</v>
      </c>
      <c r="BE192" s="88">
        <f t="shared" si="96"/>
        <v>0</v>
      </c>
      <c r="BF192" s="88">
        <f t="shared" si="96"/>
        <v>0</v>
      </c>
      <c r="BG192" s="89">
        <f t="shared" si="96"/>
        <v>0</v>
      </c>
    </row>
    <row r="193" spans="2:61" x14ac:dyDescent="0.25">
      <c r="C193" s="11" t="s">
        <v>860</v>
      </c>
      <c r="D193" s="12" t="s">
        <v>861</v>
      </c>
      <c r="E193" s="88">
        <f t="shared" ref="E193:AJ193" si="97">E159</f>
        <v>0</v>
      </c>
      <c r="F193" s="88">
        <f t="shared" si="97"/>
        <v>0</v>
      </c>
      <c r="G193" s="88">
        <f t="shared" si="97"/>
        <v>0</v>
      </c>
      <c r="H193" s="88">
        <f t="shared" si="97"/>
        <v>0</v>
      </c>
      <c r="I193" s="89">
        <f t="shared" si="97"/>
        <v>0</v>
      </c>
      <c r="J193" s="88">
        <f t="shared" si="97"/>
        <v>0</v>
      </c>
      <c r="K193" s="88">
        <f t="shared" si="97"/>
        <v>0</v>
      </c>
      <c r="L193" s="88">
        <f t="shared" si="97"/>
        <v>0</v>
      </c>
      <c r="M193" s="88">
        <f t="shared" si="97"/>
        <v>0</v>
      </c>
      <c r="N193" s="89">
        <f t="shared" si="97"/>
        <v>0</v>
      </c>
      <c r="O193" s="88">
        <f t="shared" si="97"/>
        <v>0</v>
      </c>
      <c r="P193" s="88">
        <f t="shared" si="97"/>
        <v>0</v>
      </c>
      <c r="Q193" s="88">
        <f t="shared" si="97"/>
        <v>0</v>
      </c>
      <c r="R193" s="88">
        <f t="shared" si="97"/>
        <v>0</v>
      </c>
      <c r="S193" s="89">
        <f t="shared" si="97"/>
        <v>0</v>
      </c>
      <c r="T193" s="88">
        <f t="shared" si="97"/>
        <v>0</v>
      </c>
      <c r="U193" s="88">
        <f t="shared" si="97"/>
        <v>0</v>
      </c>
      <c r="V193" s="88">
        <f t="shared" si="97"/>
        <v>0</v>
      </c>
      <c r="W193" s="88">
        <f t="shared" si="97"/>
        <v>0</v>
      </c>
      <c r="X193" s="89">
        <f t="shared" si="97"/>
        <v>0</v>
      </c>
      <c r="Y193" s="88">
        <f t="shared" si="97"/>
        <v>0</v>
      </c>
      <c r="Z193" s="88">
        <f t="shared" si="97"/>
        <v>0</v>
      </c>
      <c r="AA193" s="88">
        <f t="shared" si="97"/>
        <v>0</v>
      </c>
      <c r="AB193" s="88">
        <f t="shared" si="97"/>
        <v>0</v>
      </c>
      <c r="AC193" s="89">
        <f t="shared" si="97"/>
        <v>0</v>
      </c>
      <c r="AD193" s="88">
        <f t="shared" si="97"/>
        <v>0</v>
      </c>
      <c r="AE193" s="88">
        <f t="shared" si="97"/>
        <v>0</v>
      </c>
      <c r="AF193" s="88">
        <f t="shared" si="97"/>
        <v>0</v>
      </c>
      <c r="AG193" s="88">
        <f t="shared" si="97"/>
        <v>0</v>
      </c>
      <c r="AH193" s="89">
        <f t="shared" si="97"/>
        <v>0</v>
      </c>
      <c r="AI193" s="88">
        <f t="shared" si="97"/>
        <v>0</v>
      </c>
      <c r="AJ193" s="88">
        <f t="shared" si="97"/>
        <v>0</v>
      </c>
      <c r="AK193" s="88">
        <f t="shared" ref="AK193:BG193" si="98">AK159</f>
        <v>0</v>
      </c>
      <c r="AL193" s="88">
        <f t="shared" si="98"/>
        <v>0</v>
      </c>
      <c r="AM193" s="89">
        <f t="shared" si="98"/>
        <v>0</v>
      </c>
      <c r="AN193" s="88">
        <f t="shared" si="98"/>
        <v>0</v>
      </c>
      <c r="AO193" s="88">
        <f t="shared" si="98"/>
        <v>0</v>
      </c>
      <c r="AP193" s="88">
        <f t="shared" si="98"/>
        <v>0</v>
      </c>
      <c r="AQ193" s="88">
        <f t="shared" si="98"/>
        <v>0</v>
      </c>
      <c r="AR193" s="89">
        <f t="shared" si="98"/>
        <v>0</v>
      </c>
      <c r="AS193" s="88">
        <f t="shared" si="98"/>
        <v>0</v>
      </c>
      <c r="AT193" s="88">
        <f t="shared" si="98"/>
        <v>0</v>
      </c>
      <c r="AU193" s="88">
        <f t="shared" si="98"/>
        <v>0</v>
      </c>
      <c r="AV193" s="88">
        <f t="shared" si="98"/>
        <v>0</v>
      </c>
      <c r="AW193" s="89">
        <f t="shared" si="98"/>
        <v>0</v>
      </c>
      <c r="AX193" s="88">
        <f t="shared" si="98"/>
        <v>0</v>
      </c>
      <c r="AY193" s="88">
        <f t="shared" si="98"/>
        <v>0</v>
      </c>
      <c r="AZ193" s="88">
        <f t="shared" si="98"/>
        <v>0</v>
      </c>
      <c r="BA193" s="88">
        <f t="shared" si="98"/>
        <v>0</v>
      </c>
      <c r="BB193" s="89">
        <f t="shared" si="98"/>
        <v>0</v>
      </c>
      <c r="BC193" s="88">
        <f t="shared" si="98"/>
        <v>0</v>
      </c>
      <c r="BD193" s="88">
        <f t="shared" si="98"/>
        <v>0</v>
      </c>
      <c r="BE193" s="88">
        <f t="shared" si="98"/>
        <v>0</v>
      </c>
      <c r="BF193" s="88">
        <f t="shared" si="98"/>
        <v>0</v>
      </c>
      <c r="BG193" s="89">
        <f t="shared" si="98"/>
        <v>0</v>
      </c>
    </row>
    <row r="194" spans="2:61" x14ac:dyDescent="0.25">
      <c r="C194" s="11" t="s">
        <v>920</v>
      </c>
      <c r="D194" s="12" t="s">
        <v>921</v>
      </c>
      <c r="E194" s="90">
        <f t="shared" ref="E194:AJ194" si="99">IFERROR(E42/E78,0)</f>
        <v>0</v>
      </c>
      <c r="F194" s="90">
        <f t="shared" si="99"/>
        <v>0</v>
      </c>
      <c r="G194" s="90">
        <f t="shared" si="99"/>
        <v>0</v>
      </c>
      <c r="H194" s="90">
        <f t="shared" si="99"/>
        <v>0</v>
      </c>
      <c r="I194" s="91">
        <f t="shared" si="99"/>
        <v>0</v>
      </c>
      <c r="J194" s="90">
        <f t="shared" si="99"/>
        <v>0</v>
      </c>
      <c r="K194" s="90">
        <f t="shared" si="99"/>
        <v>0</v>
      </c>
      <c r="L194" s="90">
        <f t="shared" si="99"/>
        <v>0</v>
      </c>
      <c r="M194" s="90">
        <f t="shared" si="99"/>
        <v>0</v>
      </c>
      <c r="N194" s="91">
        <f t="shared" si="99"/>
        <v>0</v>
      </c>
      <c r="O194" s="90">
        <f t="shared" si="99"/>
        <v>0</v>
      </c>
      <c r="P194" s="90">
        <f t="shared" si="99"/>
        <v>0</v>
      </c>
      <c r="Q194" s="90">
        <f t="shared" si="99"/>
        <v>0</v>
      </c>
      <c r="R194" s="90">
        <f t="shared" si="99"/>
        <v>0</v>
      </c>
      <c r="S194" s="91">
        <f t="shared" si="99"/>
        <v>0</v>
      </c>
      <c r="T194" s="90">
        <f t="shared" si="99"/>
        <v>0</v>
      </c>
      <c r="U194" s="90">
        <f t="shared" si="99"/>
        <v>0</v>
      </c>
      <c r="V194" s="90">
        <f t="shared" si="99"/>
        <v>0</v>
      </c>
      <c r="W194" s="90">
        <f t="shared" si="99"/>
        <v>0</v>
      </c>
      <c r="X194" s="91">
        <f t="shared" si="99"/>
        <v>0</v>
      </c>
      <c r="Y194" s="90">
        <f t="shared" si="99"/>
        <v>0</v>
      </c>
      <c r="Z194" s="90">
        <f t="shared" si="99"/>
        <v>0</v>
      </c>
      <c r="AA194" s="90">
        <f t="shared" si="99"/>
        <v>0</v>
      </c>
      <c r="AB194" s="90">
        <f t="shared" si="99"/>
        <v>0</v>
      </c>
      <c r="AC194" s="91">
        <f t="shared" si="99"/>
        <v>0</v>
      </c>
      <c r="AD194" s="90">
        <f t="shared" si="99"/>
        <v>0</v>
      </c>
      <c r="AE194" s="90">
        <f t="shared" si="99"/>
        <v>0</v>
      </c>
      <c r="AF194" s="90">
        <f t="shared" si="99"/>
        <v>0</v>
      </c>
      <c r="AG194" s="90">
        <f t="shared" si="99"/>
        <v>0</v>
      </c>
      <c r="AH194" s="91">
        <f t="shared" si="99"/>
        <v>0</v>
      </c>
      <c r="AI194" s="90">
        <f t="shared" si="99"/>
        <v>0</v>
      </c>
      <c r="AJ194" s="90">
        <f t="shared" si="99"/>
        <v>0</v>
      </c>
      <c r="AK194" s="90">
        <f t="shared" ref="AK194:BG194" si="100">IFERROR(AK42/AK78,0)</f>
        <v>0</v>
      </c>
      <c r="AL194" s="90">
        <f t="shared" si="100"/>
        <v>0</v>
      </c>
      <c r="AM194" s="91">
        <f t="shared" si="100"/>
        <v>0</v>
      </c>
      <c r="AN194" s="90">
        <f t="shared" si="100"/>
        <v>0</v>
      </c>
      <c r="AO194" s="90">
        <f t="shared" si="100"/>
        <v>0</v>
      </c>
      <c r="AP194" s="90">
        <f t="shared" si="100"/>
        <v>0</v>
      </c>
      <c r="AQ194" s="90">
        <f t="shared" si="100"/>
        <v>0</v>
      </c>
      <c r="AR194" s="91">
        <f t="shared" si="100"/>
        <v>0</v>
      </c>
      <c r="AS194" s="90">
        <f t="shared" si="100"/>
        <v>0</v>
      </c>
      <c r="AT194" s="90">
        <f t="shared" si="100"/>
        <v>0</v>
      </c>
      <c r="AU194" s="90">
        <f t="shared" si="100"/>
        <v>0</v>
      </c>
      <c r="AV194" s="90">
        <f t="shared" si="100"/>
        <v>0</v>
      </c>
      <c r="AW194" s="91">
        <f t="shared" si="100"/>
        <v>0</v>
      </c>
      <c r="AX194" s="90">
        <f t="shared" si="100"/>
        <v>0</v>
      </c>
      <c r="AY194" s="90">
        <f t="shared" si="100"/>
        <v>0</v>
      </c>
      <c r="AZ194" s="90">
        <f t="shared" si="100"/>
        <v>0</v>
      </c>
      <c r="BA194" s="90">
        <f t="shared" si="100"/>
        <v>0</v>
      </c>
      <c r="BB194" s="91">
        <f t="shared" si="100"/>
        <v>0</v>
      </c>
      <c r="BC194" s="90">
        <f t="shared" si="100"/>
        <v>0</v>
      </c>
      <c r="BD194" s="90">
        <f t="shared" si="100"/>
        <v>0</v>
      </c>
      <c r="BE194" s="90">
        <f t="shared" si="100"/>
        <v>0</v>
      </c>
      <c r="BF194" s="90">
        <f t="shared" si="100"/>
        <v>0</v>
      </c>
      <c r="BG194" s="91">
        <f t="shared" si="100"/>
        <v>0</v>
      </c>
    </row>
    <row r="195" spans="2:61" x14ac:dyDescent="0.25">
      <c r="C195" s="11" t="s">
        <v>922</v>
      </c>
      <c r="D195" s="12" t="s">
        <v>923</v>
      </c>
      <c r="E195" s="88">
        <f t="shared" ref="E195:AJ195" si="101">IFERROR(E30/E44,0)</f>
        <v>0</v>
      </c>
      <c r="F195" s="88">
        <f t="shared" si="101"/>
        <v>0</v>
      </c>
      <c r="G195" s="88">
        <f t="shared" si="101"/>
        <v>0</v>
      </c>
      <c r="H195" s="88">
        <f t="shared" si="101"/>
        <v>0</v>
      </c>
      <c r="I195" s="89">
        <f t="shared" si="101"/>
        <v>0</v>
      </c>
      <c r="J195" s="88">
        <f t="shared" si="101"/>
        <v>0</v>
      </c>
      <c r="K195" s="88">
        <f t="shared" si="101"/>
        <v>0</v>
      </c>
      <c r="L195" s="88">
        <f t="shared" si="101"/>
        <v>0</v>
      </c>
      <c r="M195" s="88">
        <f t="shared" si="101"/>
        <v>0</v>
      </c>
      <c r="N195" s="89">
        <f t="shared" si="101"/>
        <v>0</v>
      </c>
      <c r="O195" s="88">
        <f t="shared" si="101"/>
        <v>0</v>
      </c>
      <c r="P195" s="88">
        <f t="shared" si="101"/>
        <v>0</v>
      </c>
      <c r="Q195" s="88">
        <f t="shared" si="101"/>
        <v>0</v>
      </c>
      <c r="R195" s="88">
        <f t="shared" si="101"/>
        <v>0</v>
      </c>
      <c r="S195" s="89">
        <f t="shared" si="101"/>
        <v>0</v>
      </c>
      <c r="T195" s="88">
        <f t="shared" si="101"/>
        <v>0</v>
      </c>
      <c r="U195" s="88">
        <f t="shared" si="101"/>
        <v>0</v>
      </c>
      <c r="V195" s="88">
        <f t="shared" si="101"/>
        <v>0</v>
      </c>
      <c r="W195" s="88">
        <f t="shared" si="101"/>
        <v>0</v>
      </c>
      <c r="X195" s="89">
        <f t="shared" si="101"/>
        <v>0</v>
      </c>
      <c r="Y195" s="88">
        <f t="shared" si="101"/>
        <v>0</v>
      </c>
      <c r="Z195" s="88">
        <f t="shared" si="101"/>
        <v>0</v>
      </c>
      <c r="AA195" s="88">
        <f t="shared" si="101"/>
        <v>0</v>
      </c>
      <c r="AB195" s="88">
        <f t="shared" si="101"/>
        <v>0</v>
      </c>
      <c r="AC195" s="89">
        <f t="shared" si="101"/>
        <v>0</v>
      </c>
      <c r="AD195" s="88">
        <f t="shared" si="101"/>
        <v>0</v>
      </c>
      <c r="AE195" s="88">
        <f t="shared" si="101"/>
        <v>0</v>
      </c>
      <c r="AF195" s="88">
        <f t="shared" si="101"/>
        <v>0</v>
      </c>
      <c r="AG195" s="88">
        <f t="shared" si="101"/>
        <v>0</v>
      </c>
      <c r="AH195" s="89">
        <f t="shared" si="101"/>
        <v>0</v>
      </c>
      <c r="AI195" s="88">
        <f t="shared" si="101"/>
        <v>0</v>
      </c>
      <c r="AJ195" s="88">
        <f t="shared" si="101"/>
        <v>0</v>
      </c>
      <c r="AK195" s="88">
        <f t="shared" ref="AK195:BG195" si="102">IFERROR(AK30/AK44,0)</f>
        <v>0</v>
      </c>
      <c r="AL195" s="88">
        <f t="shared" si="102"/>
        <v>0</v>
      </c>
      <c r="AM195" s="89">
        <f t="shared" si="102"/>
        <v>0</v>
      </c>
      <c r="AN195" s="88">
        <f t="shared" si="102"/>
        <v>0</v>
      </c>
      <c r="AO195" s="88">
        <f t="shared" si="102"/>
        <v>0</v>
      </c>
      <c r="AP195" s="88">
        <f t="shared" si="102"/>
        <v>0</v>
      </c>
      <c r="AQ195" s="88">
        <f t="shared" si="102"/>
        <v>0</v>
      </c>
      <c r="AR195" s="89">
        <f t="shared" si="102"/>
        <v>0</v>
      </c>
      <c r="AS195" s="88">
        <f t="shared" si="102"/>
        <v>0</v>
      </c>
      <c r="AT195" s="88">
        <f t="shared" si="102"/>
        <v>0</v>
      </c>
      <c r="AU195" s="88">
        <f t="shared" si="102"/>
        <v>0</v>
      </c>
      <c r="AV195" s="88">
        <f t="shared" si="102"/>
        <v>0</v>
      </c>
      <c r="AW195" s="89">
        <f t="shared" si="102"/>
        <v>0</v>
      </c>
      <c r="AX195" s="88">
        <f t="shared" si="102"/>
        <v>0</v>
      </c>
      <c r="AY195" s="88">
        <f t="shared" si="102"/>
        <v>0</v>
      </c>
      <c r="AZ195" s="88">
        <f t="shared" si="102"/>
        <v>0</v>
      </c>
      <c r="BA195" s="88">
        <f t="shared" si="102"/>
        <v>0</v>
      </c>
      <c r="BB195" s="89">
        <f t="shared" si="102"/>
        <v>0</v>
      </c>
      <c r="BC195" s="88">
        <f t="shared" si="102"/>
        <v>0</v>
      </c>
      <c r="BD195" s="88">
        <f t="shared" si="102"/>
        <v>0</v>
      </c>
      <c r="BE195" s="88">
        <f t="shared" si="102"/>
        <v>0</v>
      </c>
      <c r="BF195" s="88">
        <f t="shared" si="102"/>
        <v>0</v>
      </c>
      <c r="BG195" s="89">
        <f t="shared" si="102"/>
        <v>0</v>
      </c>
    </row>
    <row r="196" spans="2:61" x14ac:dyDescent="0.25">
      <c r="C196" s="11" t="s">
        <v>924</v>
      </c>
      <c r="D196" s="12" t="s">
        <v>925</v>
      </c>
      <c r="E196" s="88">
        <f t="shared" ref="E196:AJ196" si="103">IFERROR(E30/E42,0)</f>
        <v>0</v>
      </c>
      <c r="F196" s="88">
        <f t="shared" si="103"/>
        <v>0</v>
      </c>
      <c r="G196" s="88">
        <f t="shared" si="103"/>
        <v>0</v>
      </c>
      <c r="H196" s="88">
        <f t="shared" si="103"/>
        <v>0</v>
      </c>
      <c r="I196" s="89">
        <f t="shared" si="103"/>
        <v>0</v>
      </c>
      <c r="J196" s="88">
        <f t="shared" si="103"/>
        <v>0</v>
      </c>
      <c r="K196" s="88">
        <f t="shared" si="103"/>
        <v>0</v>
      </c>
      <c r="L196" s="88">
        <f t="shared" si="103"/>
        <v>0</v>
      </c>
      <c r="M196" s="88">
        <f t="shared" si="103"/>
        <v>0</v>
      </c>
      <c r="N196" s="89">
        <f t="shared" si="103"/>
        <v>0</v>
      </c>
      <c r="O196" s="88">
        <f t="shared" si="103"/>
        <v>0</v>
      </c>
      <c r="P196" s="88">
        <f t="shared" si="103"/>
        <v>0</v>
      </c>
      <c r="Q196" s="88">
        <f t="shared" si="103"/>
        <v>0</v>
      </c>
      <c r="R196" s="88">
        <f t="shared" si="103"/>
        <v>0</v>
      </c>
      <c r="S196" s="89">
        <f t="shared" si="103"/>
        <v>0</v>
      </c>
      <c r="T196" s="88">
        <f t="shared" si="103"/>
        <v>0</v>
      </c>
      <c r="U196" s="88">
        <f t="shared" si="103"/>
        <v>0</v>
      </c>
      <c r="V196" s="88">
        <f t="shared" si="103"/>
        <v>0</v>
      </c>
      <c r="W196" s="88">
        <f t="shared" si="103"/>
        <v>0</v>
      </c>
      <c r="X196" s="89">
        <f t="shared" si="103"/>
        <v>0</v>
      </c>
      <c r="Y196" s="88">
        <f t="shared" si="103"/>
        <v>0</v>
      </c>
      <c r="Z196" s="88">
        <f t="shared" si="103"/>
        <v>0</v>
      </c>
      <c r="AA196" s="88">
        <f t="shared" si="103"/>
        <v>0</v>
      </c>
      <c r="AB196" s="88">
        <f t="shared" si="103"/>
        <v>0</v>
      </c>
      <c r="AC196" s="89">
        <f t="shared" si="103"/>
        <v>0</v>
      </c>
      <c r="AD196" s="88">
        <f t="shared" si="103"/>
        <v>0</v>
      </c>
      <c r="AE196" s="88">
        <f t="shared" si="103"/>
        <v>0</v>
      </c>
      <c r="AF196" s="88">
        <f t="shared" si="103"/>
        <v>0</v>
      </c>
      <c r="AG196" s="88">
        <f t="shared" si="103"/>
        <v>0</v>
      </c>
      <c r="AH196" s="89">
        <f t="shared" si="103"/>
        <v>0</v>
      </c>
      <c r="AI196" s="88">
        <f t="shared" si="103"/>
        <v>0</v>
      </c>
      <c r="AJ196" s="88">
        <f t="shared" si="103"/>
        <v>0</v>
      </c>
      <c r="AK196" s="88">
        <f t="shared" ref="AK196:BG196" si="104">IFERROR(AK30/AK42,0)</f>
        <v>0</v>
      </c>
      <c r="AL196" s="88">
        <f t="shared" si="104"/>
        <v>0</v>
      </c>
      <c r="AM196" s="89">
        <f t="shared" si="104"/>
        <v>0</v>
      </c>
      <c r="AN196" s="88">
        <f t="shared" si="104"/>
        <v>0</v>
      </c>
      <c r="AO196" s="88">
        <f t="shared" si="104"/>
        <v>0</v>
      </c>
      <c r="AP196" s="88">
        <f t="shared" si="104"/>
        <v>0</v>
      </c>
      <c r="AQ196" s="88">
        <f t="shared" si="104"/>
        <v>0</v>
      </c>
      <c r="AR196" s="89">
        <f t="shared" si="104"/>
        <v>0</v>
      </c>
      <c r="AS196" s="88">
        <f t="shared" si="104"/>
        <v>0</v>
      </c>
      <c r="AT196" s="88">
        <f t="shared" si="104"/>
        <v>0</v>
      </c>
      <c r="AU196" s="88">
        <f t="shared" si="104"/>
        <v>0</v>
      </c>
      <c r="AV196" s="88">
        <f t="shared" si="104"/>
        <v>0</v>
      </c>
      <c r="AW196" s="89">
        <f t="shared" si="104"/>
        <v>0</v>
      </c>
      <c r="AX196" s="88">
        <f t="shared" si="104"/>
        <v>0</v>
      </c>
      <c r="AY196" s="88">
        <f t="shared" si="104"/>
        <v>0</v>
      </c>
      <c r="AZ196" s="88">
        <f t="shared" si="104"/>
        <v>0</v>
      </c>
      <c r="BA196" s="88">
        <f t="shared" si="104"/>
        <v>0</v>
      </c>
      <c r="BB196" s="89">
        <f t="shared" si="104"/>
        <v>0</v>
      </c>
      <c r="BC196" s="88">
        <f t="shared" si="104"/>
        <v>0</v>
      </c>
      <c r="BD196" s="88">
        <f t="shared" si="104"/>
        <v>0</v>
      </c>
      <c r="BE196" s="88">
        <f t="shared" si="104"/>
        <v>0</v>
      </c>
      <c r="BF196" s="88">
        <f t="shared" si="104"/>
        <v>0</v>
      </c>
      <c r="BG196" s="89">
        <f t="shared" si="104"/>
        <v>0</v>
      </c>
    </row>
    <row r="197" spans="2:61" x14ac:dyDescent="0.25">
      <c r="C197" s="11" t="str">
        <f>"Funding total ("&amp;Inputs!$E$202&amp;")"</f>
        <v>Funding total (R$ milhões)</v>
      </c>
      <c r="D197" s="12" t="s">
        <v>926</v>
      </c>
      <c r="E197" s="74">
        <f t="shared" ref="E197:AJ197" si="105">E132</f>
        <v>0</v>
      </c>
      <c r="F197" s="74">
        <f t="shared" si="105"/>
        <v>0</v>
      </c>
      <c r="G197" s="74">
        <f t="shared" si="105"/>
        <v>0</v>
      </c>
      <c r="H197" s="74">
        <f t="shared" si="105"/>
        <v>0</v>
      </c>
      <c r="I197" s="77">
        <f t="shared" si="105"/>
        <v>0</v>
      </c>
      <c r="J197" s="74">
        <f t="shared" si="105"/>
        <v>0</v>
      </c>
      <c r="K197" s="74">
        <f t="shared" si="105"/>
        <v>0</v>
      </c>
      <c r="L197" s="74">
        <f t="shared" si="105"/>
        <v>0</v>
      </c>
      <c r="M197" s="74">
        <f t="shared" si="105"/>
        <v>0</v>
      </c>
      <c r="N197" s="77">
        <f t="shared" si="105"/>
        <v>0</v>
      </c>
      <c r="O197" s="74">
        <f t="shared" si="105"/>
        <v>0</v>
      </c>
      <c r="P197" s="74">
        <f t="shared" si="105"/>
        <v>0</v>
      </c>
      <c r="Q197" s="74">
        <f t="shared" si="105"/>
        <v>0</v>
      </c>
      <c r="R197" s="74">
        <f t="shared" si="105"/>
        <v>0</v>
      </c>
      <c r="S197" s="77">
        <f t="shared" si="105"/>
        <v>0</v>
      </c>
      <c r="T197" s="74">
        <f t="shared" si="105"/>
        <v>0</v>
      </c>
      <c r="U197" s="74">
        <f t="shared" si="105"/>
        <v>0</v>
      </c>
      <c r="V197" s="74">
        <f t="shared" si="105"/>
        <v>0</v>
      </c>
      <c r="W197" s="74">
        <f t="shared" si="105"/>
        <v>0</v>
      </c>
      <c r="X197" s="77">
        <f t="shared" si="105"/>
        <v>0</v>
      </c>
      <c r="Y197" s="74">
        <f t="shared" si="105"/>
        <v>0</v>
      </c>
      <c r="Z197" s="74">
        <f t="shared" si="105"/>
        <v>0</v>
      </c>
      <c r="AA197" s="74">
        <f t="shared" si="105"/>
        <v>0</v>
      </c>
      <c r="AB197" s="74">
        <f t="shared" si="105"/>
        <v>0</v>
      </c>
      <c r="AC197" s="77">
        <f t="shared" si="105"/>
        <v>0</v>
      </c>
      <c r="AD197" s="74">
        <f t="shared" si="105"/>
        <v>0</v>
      </c>
      <c r="AE197" s="74">
        <f t="shared" si="105"/>
        <v>0</v>
      </c>
      <c r="AF197" s="74">
        <f t="shared" si="105"/>
        <v>0</v>
      </c>
      <c r="AG197" s="74">
        <f t="shared" si="105"/>
        <v>0</v>
      </c>
      <c r="AH197" s="77">
        <f t="shared" si="105"/>
        <v>0</v>
      </c>
      <c r="AI197" s="74">
        <f t="shared" si="105"/>
        <v>0</v>
      </c>
      <c r="AJ197" s="74">
        <f t="shared" si="105"/>
        <v>0</v>
      </c>
      <c r="AK197" s="74">
        <f t="shared" ref="AK197:BG197" si="106">AK132</f>
        <v>0</v>
      </c>
      <c r="AL197" s="74">
        <f t="shared" si="106"/>
        <v>0</v>
      </c>
      <c r="AM197" s="77">
        <f t="shared" si="106"/>
        <v>0</v>
      </c>
      <c r="AN197" s="74">
        <f t="shared" si="106"/>
        <v>0</v>
      </c>
      <c r="AO197" s="74">
        <f t="shared" si="106"/>
        <v>0</v>
      </c>
      <c r="AP197" s="74">
        <f t="shared" si="106"/>
        <v>0</v>
      </c>
      <c r="AQ197" s="74">
        <f t="shared" si="106"/>
        <v>0</v>
      </c>
      <c r="AR197" s="77">
        <f t="shared" si="106"/>
        <v>0</v>
      </c>
      <c r="AS197" s="74">
        <f t="shared" si="106"/>
        <v>0</v>
      </c>
      <c r="AT197" s="74">
        <f t="shared" si="106"/>
        <v>0</v>
      </c>
      <c r="AU197" s="74">
        <f t="shared" si="106"/>
        <v>0</v>
      </c>
      <c r="AV197" s="74">
        <f t="shared" si="106"/>
        <v>0</v>
      </c>
      <c r="AW197" s="77">
        <f t="shared" si="106"/>
        <v>0</v>
      </c>
      <c r="AX197" s="74">
        <f t="shared" si="106"/>
        <v>0</v>
      </c>
      <c r="AY197" s="74">
        <f t="shared" si="106"/>
        <v>0</v>
      </c>
      <c r="AZ197" s="74">
        <f t="shared" si="106"/>
        <v>0</v>
      </c>
      <c r="BA197" s="74">
        <f t="shared" si="106"/>
        <v>0</v>
      </c>
      <c r="BB197" s="77">
        <f t="shared" si="106"/>
        <v>0</v>
      </c>
      <c r="BC197" s="74">
        <f t="shared" si="106"/>
        <v>0</v>
      </c>
      <c r="BD197" s="74">
        <f t="shared" si="106"/>
        <v>0</v>
      </c>
      <c r="BE197" s="74">
        <f t="shared" si="106"/>
        <v>0</v>
      </c>
      <c r="BF197" s="74">
        <f t="shared" si="106"/>
        <v>0</v>
      </c>
      <c r="BG197" s="77">
        <f t="shared" si="106"/>
        <v>0</v>
      </c>
    </row>
    <row r="198" spans="2:61" x14ac:dyDescent="0.25">
      <c r="B198" s="29"/>
      <c r="C198" s="29" t="s">
        <v>927</v>
      </c>
      <c r="D198" s="29" t="s">
        <v>928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</row>
    <row r="199" spans="2:61" x14ac:dyDescent="0.25">
      <c r="C199" s="11" t="s">
        <v>359</v>
      </c>
      <c r="D199" s="12" t="s">
        <v>929</v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0</v>
      </c>
      <c r="K199" s="57">
        <f>IF(AND(K$14=1,ISNUMBER('Inputs (2)'!K148),'Inputs (2)'!K148&lt;&gt;0),'Inputs (2)'!K148,Inputs!$E$210)</f>
        <v>0</v>
      </c>
      <c r="L199" s="57">
        <f>IF(AND(L$14=1,ISNUMBER('Inputs (2)'!L148),'Inputs (2)'!L148&lt;&gt;0),'Inputs (2)'!L148,Inputs!$E$210)</f>
        <v>0</v>
      </c>
      <c r="M199" s="57">
        <f>IF(AND(M$14=1,ISNUMBER('Inputs (2)'!M148),'Inputs (2)'!M148&lt;&gt;0),'Inputs (2)'!M148,Inputs!$E$210)</f>
        <v>0</v>
      </c>
      <c r="N199" s="92">
        <f>IF(AND(N$14=1,ISNUMBER('Inputs (2)'!N148),'Inputs (2)'!N148&lt;&gt;0),'Inputs (2)'!N148,Inputs!$E$210)</f>
        <v>0</v>
      </c>
      <c r="O199" s="57">
        <f>IF(AND(O$14=1,ISNUMBER('Inputs (2)'!O148),'Inputs (2)'!O148&lt;&gt;0),'Inputs (2)'!O148,Inputs!$E$210)</f>
        <v>0</v>
      </c>
      <c r="P199" s="57">
        <f>IF(AND(P$14=1,ISNUMBER('Inputs (2)'!P148),'Inputs (2)'!P148&lt;&gt;0),'Inputs (2)'!P148,Inputs!$E$210)</f>
        <v>0</v>
      </c>
      <c r="Q199" s="57">
        <f>IF(AND(Q$14=1,ISNUMBER('Inputs (2)'!Q148),'Inputs (2)'!Q148&lt;&gt;0),'Inputs (2)'!Q148,Inputs!$E$210)</f>
        <v>0</v>
      </c>
      <c r="R199" s="57">
        <f>IF(AND(R$14=1,ISNUMBER('Inputs (2)'!R148),'Inputs (2)'!R148&lt;&gt;0),'Inputs (2)'!R148,Inputs!$E$210)</f>
        <v>0</v>
      </c>
      <c r="S199" s="92">
        <f>IF(AND(S$14=1,ISNUMBER('Inputs (2)'!S148),'Inputs (2)'!S148&lt;&gt;0),'Inputs (2)'!S148,Inputs!$E$210)</f>
        <v>0</v>
      </c>
      <c r="T199" s="57">
        <f>IF(AND(T$14=1,ISNUMBER('Inputs (2)'!T148),'Inputs (2)'!T148&lt;&gt;0),'Inputs (2)'!T148,Inputs!$E$210)</f>
        <v>0</v>
      </c>
      <c r="U199" s="57">
        <f>IF(AND(U$14=1,ISNUMBER('Inputs (2)'!U148),'Inputs (2)'!U148&lt;&gt;0),'Inputs (2)'!U148,Inputs!$E$210)</f>
        <v>0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0</v>
      </c>
      <c r="X199" s="92">
        <f>IF(AND(X$14=1,ISNUMBER('Inputs (2)'!X148),'Inputs (2)'!X148&lt;&gt;0),'Inputs (2)'!X148,Inputs!$E$210)</f>
        <v>0</v>
      </c>
      <c r="Y199" s="57">
        <f>IF(AND(Y$14=1,ISNUMBER('Inputs (2)'!Y148),'Inputs (2)'!Y148&lt;&gt;0),'Inputs (2)'!Y148,Inputs!$E$210)</f>
        <v>0</v>
      </c>
      <c r="Z199" s="57">
        <f>IF(AND(Z$14=1,ISNUMBER('Inputs (2)'!Z148),'Inputs (2)'!Z148&lt;&gt;0),'Inputs (2)'!Z148,Inputs!$E$210)</f>
        <v>0</v>
      </c>
      <c r="AA199" s="57">
        <f>IF(AND(AA$14=1,ISNUMBER('Inputs (2)'!AA148),'Inputs (2)'!AA148&lt;&gt;0),'Inputs (2)'!AA148,Inputs!$E$210)</f>
        <v>0</v>
      </c>
      <c r="AB199" s="57">
        <f>IF(AND(AB$14=1,ISNUMBER('Inputs (2)'!AB148),'Inputs (2)'!AB148&lt;&gt;0),'Inputs (2)'!AB148,Inputs!$E$210)</f>
        <v>0</v>
      </c>
      <c r="AC199" s="92">
        <f>IF(AND(AC$14=1,ISNUMBER('Inputs (2)'!AC148),'Inputs (2)'!AC148&lt;&gt;0),'Inputs (2)'!AC148,Inputs!$E$210)</f>
        <v>0</v>
      </c>
      <c r="AD199" s="57">
        <f>IF(AND(AD$14=1,ISNUMBER('Inputs (2)'!AD148),'Inputs (2)'!AD148&lt;&gt;0),'Inputs (2)'!AD148,Inputs!$E$210)</f>
        <v>0</v>
      </c>
      <c r="AE199" s="57">
        <f>IF(AND(AE$14=1,ISNUMBER('Inputs (2)'!AE148),'Inputs (2)'!AE148&lt;&gt;0),'Inputs (2)'!AE148,Inputs!$E$210)</f>
        <v>0</v>
      </c>
      <c r="AF199" s="57">
        <f>IF(AND(AF$14=1,ISNUMBER('Inputs (2)'!AF148),'Inputs (2)'!AF148&lt;&gt;0),'Inputs (2)'!AF148,Inputs!$E$210)</f>
        <v>0</v>
      </c>
      <c r="AG199" s="57">
        <f>IF(AND(AG$14=1,ISNUMBER('Inputs (2)'!AG148),'Inputs (2)'!AG148&lt;&gt;0),'Inputs (2)'!AG148,Inputs!$E$210)</f>
        <v>0</v>
      </c>
      <c r="AH199" s="92">
        <f>IF(AND(AH$14=1,ISNUMBER('Inputs (2)'!AH148),'Inputs (2)'!AH148&lt;&gt;0),'Inputs (2)'!AH148,Inputs!$E$210)</f>
        <v>0</v>
      </c>
      <c r="AI199" s="57">
        <f>IF(AND(AI$14=1,ISNUMBER('Inputs (2)'!AI148),'Inputs (2)'!AI148&lt;&gt;0),'Inputs (2)'!AI148,Inputs!$E$210)</f>
        <v>0</v>
      </c>
      <c r="AJ199" s="57">
        <f>IF(AND(AJ$14=1,ISNUMBER('Inputs (2)'!AJ148),'Inputs (2)'!AJ148&lt;&gt;0),'Inputs (2)'!AJ148,Inputs!$E$210)</f>
        <v>0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 spans="2:61" x14ac:dyDescent="0.25">
      <c r="C200" s="11" t="str">
        <f>"Lucro por ação — LPA ("&amp;Inputs!$E$200&amp;")"</f>
        <v>Lucro por ação — LPA (R$)</v>
      </c>
      <c r="D200" s="12" t="s">
        <v>930</v>
      </c>
      <c r="E200" s="93">
        <f t="shared" ref="E200:AJ200" si="107">IFERROR(E127/E199,0)</f>
        <v>0</v>
      </c>
      <c r="F200" s="93">
        <f t="shared" si="107"/>
        <v>0</v>
      </c>
      <c r="G200" s="93">
        <f t="shared" si="107"/>
        <v>0</v>
      </c>
      <c r="H200" s="93">
        <f t="shared" si="107"/>
        <v>0</v>
      </c>
      <c r="I200" s="94">
        <f t="shared" si="107"/>
        <v>0</v>
      </c>
      <c r="J200" s="93">
        <f t="shared" si="107"/>
        <v>0</v>
      </c>
      <c r="K200" s="93">
        <f t="shared" si="107"/>
        <v>0</v>
      </c>
      <c r="L200" s="93">
        <f t="shared" si="107"/>
        <v>0</v>
      </c>
      <c r="M200" s="93">
        <f t="shared" si="107"/>
        <v>0</v>
      </c>
      <c r="N200" s="94">
        <f t="shared" si="107"/>
        <v>0</v>
      </c>
      <c r="O200" s="93">
        <f t="shared" si="107"/>
        <v>0</v>
      </c>
      <c r="P200" s="93">
        <f t="shared" si="107"/>
        <v>0</v>
      </c>
      <c r="Q200" s="93">
        <f t="shared" si="107"/>
        <v>0</v>
      </c>
      <c r="R200" s="93">
        <f t="shared" si="107"/>
        <v>0</v>
      </c>
      <c r="S200" s="94">
        <f t="shared" si="107"/>
        <v>0</v>
      </c>
      <c r="T200" s="93">
        <f t="shared" si="107"/>
        <v>0</v>
      </c>
      <c r="U200" s="93">
        <f t="shared" si="107"/>
        <v>0</v>
      </c>
      <c r="V200" s="93">
        <f t="shared" si="107"/>
        <v>0</v>
      </c>
      <c r="W200" s="93">
        <f t="shared" si="107"/>
        <v>0</v>
      </c>
      <c r="X200" s="94">
        <f t="shared" si="107"/>
        <v>0</v>
      </c>
      <c r="Y200" s="93">
        <f t="shared" si="107"/>
        <v>0</v>
      </c>
      <c r="Z200" s="93">
        <f t="shared" si="107"/>
        <v>0</v>
      </c>
      <c r="AA200" s="93">
        <f t="shared" si="107"/>
        <v>0</v>
      </c>
      <c r="AB200" s="93">
        <f t="shared" si="107"/>
        <v>0</v>
      </c>
      <c r="AC200" s="94">
        <f t="shared" si="107"/>
        <v>0</v>
      </c>
      <c r="AD200" s="93">
        <f t="shared" si="107"/>
        <v>0</v>
      </c>
      <c r="AE200" s="93">
        <f t="shared" si="107"/>
        <v>0</v>
      </c>
      <c r="AF200" s="93">
        <f t="shared" si="107"/>
        <v>0</v>
      </c>
      <c r="AG200" s="93">
        <f t="shared" si="107"/>
        <v>0</v>
      </c>
      <c r="AH200" s="94">
        <f t="shared" si="107"/>
        <v>0</v>
      </c>
      <c r="AI200" s="93">
        <f t="shared" si="107"/>
        <v>0</v>
      </c>
      <c r="AJ200" s="93">
        <f t="shared" si="107"/>
        <v>0</v>
      </c>
      <c r="AK200" s="93">
        <f t="shared" ref="AK200:BG200" si="108">IFERROR(AK127/AK199,0)</f>
        <v>0</v>
      </c>
      <c r="AL200" s="93">
        <f t="shared" si="108"/>
        <v>0</v>
      </c>
      <c r="AM200" s="94">
        <f t="shared" si="108"/>
        <v>0</v>
      </c>
      <c r="AN200" s="93">
        <f t="shared" si="108"/>
        <v>0</v>
      </c>
      <c r="AO200" s="93">
        <f t="shared" si="108"/>
        <v>0</v>
      </c>
      <c r="AP200" s="93">
        <f t="shared" si="108"/>
        <v>0</v>
      </c>
      <c r="AQ200" s="93">
        <f t="shared" si="108"/>
        <v>0</v>
      </c>
      <c r="AR200" s="94">
        <f t="shared" si="108"/>
        <v>0</v>
      </c>
      <c r="AS200" s="93">
        <f t="shared" si="108"/>
        <v>0</v>
      </c>
      <c r="AT200" s="93">
        <f t="shared" si="108"/>
        <v>0</v>
      </c>
      <c r="AU200" s="93">
        <f t="shared" si="108"/>
        <v>0</v>
      </c>
      <c r="AV200" s="93">
        <f t="shared" si="108"/>
        <v>0</v>
      </c>
      <c r="AW200" s="94">
        <f t="shared" si="108"/>
        <v>0</v>
      </c>
      <c r="AX200" s="93">
        <f t="shared" si="108"/>
        <v>0</v>
      </c>
      <c r="AY200" s="93">
        <f t="shared" si="108"/>
        <v>0</v>
      </c>
      <c r="AZ200" s="93">
        <f t="shared" si="108"/>
        <v>0</v>
      </c>
      <c r="BA200" s="93">
        <f t="shared" si="108"/>
        <v>0</v>
      </c>
      <c r="BB200" s="94">
        <f t="shared" si="108"/>
        <v>0</v>
      </c>
      <c r="BC200" s="93">
        <f t="shared" si="108"/>
        <v>0</v>
      </c>
      <c r="BD200" s="93">
        <f t="shared" si="108"/>
        <v>0</v>
      </c>
      <c r="BE200" s="93">
        <f t="shared" si="108"/>
        <v>0</v>
      </c>
      <c r="BF200" s="93">
        <f t="shared" si="108"/>
        <v>0</v>
      </c>
      <c r="BG200" s="94">
        <f t="shared" si="108"/>
        <v>0</v>
      </c>
    </row>
    <row r="201" spans="2:61" x14ac:dyDescent="0.25">
      <c r="C201" s="11" t="str">
        <f>"Valor patrimonial por ação — VPA ("&amp;Inputs!$E$200&amp;")"</f>
        <v>Valor patrimonial por ação — VPA (R$)</v>
      </c>
      <c r="D201" s="12" t="s">
        <v>931</v>
      </c>
      <c r="E201" s="93">
        <f t="shared" ref="E201:AJ201" si="109">IFERROR(E71/E199,0)</f>
        <v>0</v>
      </c>
      <c r="F201" s="93">
        <f t="shared" si="109"/>
        <v>0</v>
      </c>
      <c r="G201" s="93">
        <f t="shared" si="109"/>
        <v>0</v>
      </c>
      <c r="H201" s="93">
        <f t="shared" si="109"/>
        <v>0</v>
      </c>
      <c r="I201" s="94">
        <f t="shared" si="109"/>
        <v>0</v>
      </c>
      <c r="J201" s="93">
        <f t="shared" si="109"/>
        <v>0</v>
      </c>
      <c r="K201" s="93">
        <f t="shared" si="109"/>
        <v>0</v>
      </c>
      <c r="L201" s="93">
        <f t="shared" si="109"/>
        <v>0</v>
      </c>
      <c r="M201" s="93">
        <f t="shared" si="109"/>
        <v>0</v>
      </c>
      <c r="N201" s="94">
        <f t="shared" si="109"/>
        <v>0</v>
      </c>
      <c r="O201" s="93">
        <f t="shared" si="109"/>
        <v>0</v>
      </c>
      <c r="P201" s="93">
        <f t="shared" si="109"/>
        <v>0</v>
      </c>
      <c r="Q201" s="93">
        <f t="shared" si="109"/>
        <v>0</v>
      </c>
      <c r="R201" s="93">
        <f t="shared" si="109"/>
        <v>0</v>
      </c>
      <c r="S201" s="94">
        <f t="shared" si="109"/>
        <v>0</v>
      </c>
      <c r="T201" s="93">
        <f t="shared" si="109"/>
        <v>0</v>
      </c>
      <c r="U201" s="93">
        <f t="shared" si="109"/>
        <v>0</v>
      </c>
      <c r="V201" s="93">
        <f t="shared" si="109"/>
        <v>0</v>
      </c>
      <c r="W201" s="93">
        <f t="shared" si="109"/>
        <v>0</v>
      </c>
      <c r="X201" s="94">
        <f t="shared" si="109"/>
        <v>0</v>
      </c>
      <c r="Y201" s="93">
        <f t="shared" si="109"/>
        <v>0</v>
      </c>
      <c r="Z201" s="93">
        <f t="shared" si="109"/>
        <v>0</v>
      </c>
      <c r="AA201" s="93">
        <f t="shared" si="109"/>
        <v>0</v>
      </c>
      <c r="AB201" s="93">
        <f t="shared" si="109"/>
        <v>0</v>
      </c>
      <c r="AC201" s="94">
        <f t="shared" si="109"/>
        <v>0</v>
      </c>
      <c r="AD201" s="93">
        <f t="shared" si="109"/>
        <v>0</v>
      </c>
      <c r="AE201" s="93">
        <f t="shared" si="109"/>
        <v>0</v>
      </c>
      <c r="AF201" s="93">
        <f t="shared" si="109"/>
        <v>0</v>
      </c>
      <c r="AG201" s="93">
        <f t="shared" si="109"/>
        <v>0</v>
      </c>
      <c r="AH201" s="94">
        <f t="shared" si="109"/>
        <v>0</v>
      </c>
      <c r="AI201" s="93">
        <f t="shared" si="109"/>
        <v>0</v>
      </c>
      <c r="AJ201" s="93">
        <f t="shared" si="109"/>
        <v>0</v>
      </c>
      <c r="AK201" s="93">
        <f t="shared" ref="AK201:BG201" si="110">IFERROR(AK71/AK199,0)</f>
        <v>0</v>
      </c>
      <c r="AL201" s="93">
        <f t="shared" si="110"/>
        <v>0</v>
      </c>
      <c r="AM201" s="94">
        <f t="shared" si="110"/>
        <v>0</v>
      </c>
      <c r="AN201" s="93">
        <f t="shared" si="110"/>
        <v>0</v>
      </c>
      <c r="AO201" s="93">
        <f t="shared" si="110"/>
        <v>0</v>
      </c>
      <c r="AP201" s="93">
        <f t="shared" si="110"/>
        <v>0</v>
      </c>
      <c r="AQ201" s="93">
        <f t="shared" si="110"/>
        <v>0</v>
      </c>
      <c r="AR201" s="94">
        <f t="shared" si="110"/>
        <v>0</v>
      </c>
      <c r="AS201" s="93">
        <f t="shared" si="110"/>
        <v>0</v>
      </c>
      <c r="AT201" s="93">
        <f t="shared" si="110"/>
        <v>0</v>
      </c>
      <c r="AU201" s="93">
        <f t="shared" si="110"/>
        <v>0</v>
      </c>
      <c r="AV201" s="93">
        <f t="shared" si="110"/>
        <v>0</v>
      </c>
      <c r="AW201" s="94">
        <f t="shared" si="110"/>
        <v>0</v>
      </c>
      <c r="AX201" s="93">
        <f t="shared" si="110"/>
        <v>0</v>
      </c>
      <c r="AY201" s="93">
        <f t="shared" si="110"/>
        <v>0</v>
      </c>
      <c r="AZ201" s="93">
        <f t="shared" si="110"/>
        <v>0</v>
      </c>
      <c r="BA201" s="93">
        <f t="shared" si="110"/>
        <v>0</v>
      </c>
      <c r="BB201" s="94">
        <f t="shared" si="110"/>
        <v>0</v>
      </c>
      <c r="BC201" s="93">
        <f t="shared" si="110"/>
        <v>0</v>
      </c>
      <c r="BD201" s="93">
        <f t="shared" si="110"/>
        <v>0</v>
      </c>
      <c r="BE201" s="93">
        <f t="shared" si="110"/>
        <v>0</v>
      </c>
      <c r="BF201" s="93">
        <f t="shared" si="110"/>
        <v>0</v>
      </c>
      <c r="BG201" s="94">
        <f t="shared" si="110"/>
        <v>0</v>
      </c>
    </row>
    <row r="202" spans="2:61" x14ac:dyDescent="0.25">
      <c r="C202" s="11" t="str">
        <f>"Proventos por ação ("&amp;Inputs!$E$200&amp;")"</f>
        <v>Proventos por ação (R$)</v>
      </c>
      <c r="D202" s="12" t="s">
        <v>932</v>
      </c>
      <c r="E202" s="93">
        <f t="shared" ref="E202:AJ202" si="111">IFERROR(-E84/E199,0)</f>
        <v>0</v>
      </c>
      <c r="F202" s="93">
        <f t="shared" si="111"/>
        <v>0</v>
      </c>
      <c r="G202" s="93">
        <f t="shared" si="111"/>
        <v>0</v>
      </c>
      <c r="H202" s="93">
        <f t="shared" si="111"/>
        <v>0</v>
      </c>
      <c r="I202" s="94">
        <f t="shared" si="111"/>
        <v>0</v>
      </c>
      <c r="J202" s="93">
        <f t="shared" si="111"/>
        <v>0</v>
      </c>
      <c r="K202" s="93">
        <f t="shared" si="111"/>
        <v>0</v>
      </c>
      <c r="L202" s="93">
        <f t="shared" si="111"/>
        <v>0</v>
      </c>
      <c r="M202" s="93">
        <f t="shared" si="111"/>
        <v>0</v>
      </c>
      <c r="N202" s="94">
        <f t="shared" si="111"/>
        <v>0</v>
      </c>
      <c r="O202" s="93">
        <f t="shared" si="111"/>
        <v>0</v>
      </c>
      <c r="P202" s="93">
        <f t="shared" si="111"/>
        <v>0</v>
      </c>
      <c r="Q202" s="93">
        <f t="shared" si="111"/>
        <v>0</v>
      </c>
      <c r="R202" s="93">
        <f t="shared" si="111"/>
        <v>0</v>
      </c>
      <c r="S202" s="94">
        <f t="shared" si="111"/>
        <v>0</v>
      </c>
      <c r="T202" s="93">
        <f t="shared" si="111"/>
        <v>0</v>
      </c>
      <c r="U202" s="93">
        <f t="shared" si="111"/>
        <v>0</v>
      </c>
      <c r="V202" s="93">
        <f t="shared" si="111"/>
        <v>0</v>
      </c>
      <c r="W202" s="93">
        <f t="shared" si="111"/>
        <v>0</v>
      </c>
      <c r="X202" s="94">
        <f t="shared" si="111"/>
        <v>0</v>
      </c>
      <c r="Y202" s="93">
        <f t="shared" si="111"/>
        <v>0</v>
      </c>
      <c r="Z202" s="93">
        <f t="shared" si="111"/>
        <v>0</v>
      </c>
      <c r="AA202" s="93">
        <f t="shared" si="111"/>
        <v>0</v>
      </c>
      <c r="AB202" s="93">
        <f t="shared" si="111"/>
        <v>0</v>
      </c>
      <c r="AC202" s="94">
        <f t="shared" si="111"/>
        <v>0</v>
      </c>
      <c r="AD202" s="93">
        <f t="shared" si="111"/>
        <v>0</v>
      </c>
      <c r="AE202" s="93">
        <f t="shared" si="111"/>
        <v>0</v>
      </c>
      <c r="AF202" s="93">
        <f t="shared" si="111"/>
        <v>0</v>
      </c>
      <c r="AG202" s="93">
        <f t="shared" si="111"/>
        <v>0</v>
      </c>
      <c r="AH202" s="94">
        <f t="shared" si="111"/>
        <v>0</v>
      </c>
      <c r="AI202" s="93">
        <f t="shared" si="111"/>
        <v>0</v>
      </c>
      <c r="AJ202" s="93">
        <f t="shared" si="111"/>
        <v>0</v>
      </c>
      <c r="AK202" s="93">
        <f t="shared" ref="AK202:BG202" si="112">IFERROR(-AK84/AK199,0)</f>
        <v>0</v>
      </c>
      <c r="AL202" s="93">
        <f t="shared" si="112"/>
        <v>0</v>
      </c>
      <c r="AM202" s="94">
        <f t="shared" si="112"/>
        <v>0</v>
      </c>
      <c r="AN202" s="93">
        <f t="shared" si="112"/>
        <v>0</v>
      </c>
      <c r="AO202" s="93">
        <f t="shared" si="112"/>
        <v>0</v>
      </c>
      <c r="AP202" s="93">
        <f t="shared" si="112"/>
        <v>0</v>
      </c>
      <c r="AQ202" s="93">
        <f t="shared" si="112"/>
        <v>0</v>
      </c>
      <c r="AR202" s="94">
        <f t="shared" si="112"/>
        <v>0</v>
      </c>
      <c r="AS202" s="93">
        <f t="shared" si="112"/>
        <v>0</v>
      </c>
      <c r="AT202" s="93">
        <f t="shared" si="112"/>
        <v>0</v>
      </c>
      <c r="AU202" s="93">
        <f t="shared" si="112"/>
        <v>0</v>
      </c>
      <c r="AV202" s="93">
        <f t="shared" si="112"/>
        <v>0</v>
      </c>
      <c r="AW202" s="94">
        <f t="shared" si="112"/>
        <v>0</v>
      </c>
      <c r="AX202" s="93">
        <f t="shared" si="112"/>
        <v>0</v>
      </c>
      <c r="AY202" s="93">
        <f t="shared" si="112"/>
        <v>0</v>
      </c>
      <c r="AZ202" s="93">
        <f t="shared" si="112"/>
        <v>0</v>
      </c>
      <c r="BA202" s="93">
        <f t="shared" si="112"/>
        <v>0</v>
      </c>
      <c r="BB202" s="94">
        <f t="shared" si="112"/>
        <v>0</v>
      </c>
      <c r="BC202" s="93">
        <f t="shared" si="112"/>
        <v>0</v>
      </c>
      <c r="BD202" s="93">
        <f t="shared" si="112"/>
        <v>0</v>
      </c>
      <c r="BE202" s="93">
        <f t="shared" si="112"/>
        <v>0</v>
      </c>
      <c r="BF202" s="93">
        <f t="shared" si="112"/>
        <v>0</v>
      </c>
      <c r="BG202" s="94">
        <f t="shared" si="112"/>
        <v>0</v>
      </c>
    </row>
    <row r="203" spans="2:61" x14ac:dyDescent="0.25">
      <c r="C203" s="11" t="s">
        <v>933</v>
      </c>
      <c r="D203" s="12" t="s">
        <v>934</v>
      </c>
      <c r="E203" s="88">
        <f t="shared" ref="E203:AJ203" si="113">IFERROR(-E84/E127,0)</f>
        <v>0</v>
      </c>
      <c r="F203" s="88">
        <f t="shared" si="113"/>
        <v>0</v>
      </c>
      <c r="G203" s="88">
        <f t="shared" si="113"/>
        <v>0</v>
      </c>
      <c r="H203" s="88">
        <f t="shared" si="113"/>
        <v>0</v>
      </c>
      <c r="I203" s="89">
        <f t="shared" si="113"/>
        <v>0</v>
      </c>
      <c r="J203" s="88">
        <f t="shared" si="113"/>
        <v>0</v>
      </c>
      <c r="K203" s="88">
        <f t="shared" si="113"/>
        <v>0</v>
      </c>
      <c r="L203" s="88">
        <f t="shared" si="113"/>
        <v>0</v>
      </c>
      <c r="M203" s="88">
        <f t="shared" si="113"/>
        <v>0</v>
      </c>
      <c r="N203" s="89">
        <f t="shared" si="113"/>
        <v>0</v>
      </c>
      <c r="O203" s="88">
        <f t="shared" si="113"/>
        <v>0</v>
      </c>
      <c r="P203" s="88">
        <f t="shared" si="113"/>
        <v>0</v>
      </c>
      <c r="Q203" s="88">
        <f t="shared" si="113"/>
        <v>0</v>
      </c>
      <c r="R203" s="88">
        <f t="shared" si="113"/>
        <v>0</v>
      </c>
      <c r="S203" s="89">
        <f t="shared" si="113"/>
        <v>0</v>
      </c>
      <c r="T203" s="88">
        <f t="shared" si="113"/>
        <v>0</v>
      </c>
      <c r="U203" s="88">
        <f t="shared" si="113"/>
        <v>0</v>
      </c>
      <c r="V203" s="88">
        <f t="shared" si="113"/>
        <v>0</v>
      </c>
      <c r="W203" s="88">
        <f t="shared" si="113"/>
        <v>0</v>
      </c>
      <c r="X203" s="89">
        <f t="shared" si="113"/>
        <v>0</v>
      </c>
      <c r="Y203" s="88">
        <f t="shared" si="113"/>
        <v>0</v>
      </c>
      <c r="Z203" s="88">
        <f t="shared" si="113"/>
        <v>0</v>
      </c>
      <c r="AA203" s="88">
        <f t="shared" si="113"/>
        <v>0</v>
      </c>
      <c r="AB203" s="88">
        <f t="shared" si="113"/>
        <v>0</v>
      </c>
      <c r="AC203" s="89">
        <f t="shared" si="113"/>
        <v>0</v>
      </c>
      <c r="AD203" s="88">
        <f t="shared" si="113"/>
        <v>0</v>
      </c>
      <c r="AE203" s="88">
        <f t="shared" si="113"/>
        <v>0</v>
      </c>
      <c r="AF203" s="88">
        <f t="shared" si="113"/>
        <v>0</v>
      </c>
      <c r="AG203" s="88">
        <f t="shared" si="113"/>
        <v>0</v>
      </c>
      <c r="AH203" s="89">
        <f t="shared" si="113"/>
        <v>0</v>
      </c>
      <c r="AI203" s="88">
        <f t="shared" si="113"/>
        <v>0</v>
      </c>
      <c r="AJ203" s="88">
        <f t="shared" si="113"/>
        <v>0</v>
      </c>
      <c r="AK203" s="88">
        <f t="shared" ref="AK203:BG203" si="114">IFERROR(-AK84/AK127,0)</f>
        <v>0</v>
      </c>
      <c r="AL203" s="88">
        <f t="shared" si="114"/>
        <v>0</v>
      </c>
      <c r="AM203" s="89">
        <f t="shared" si="114"/>
        <v>0</v>
      </c>
      <c r="AN203" s="88">
        <f t="shared" si="114"/>
        <v>0</v>
      </c>
      <c r="AO203" s="88">
        <f t="shared" si="114"/>
        <v>0</v>
      </c>
      <c r="AP203" s="88">
        <f t="shared" si="114"/>
        <v>0</v>
      </c>
      <c r="AQ203" s="88">
        <f t="shared" si="114"/>
        <v>0</v>
      </c>
      <c r="AR203" s="89">
        <f t="shared" si="114"/>
        <v>0</v>
      </c>
      <c r="AS203" s="88">
        <f t="shared" si="114"/>
        <v>0</v>
      </c>
      <c r="AT203" s="88">
        <f t="shared" si="114"/>
        <v>0</v>
      </c>
      <c r="AU203" s="88">
        <f t="shared" si="114"/>
        <v>0</v>
      </c>
      <c r="AV203" s="88">
        <f t="shared" si="114"/>
        <v>0</v>
      </c>
      <c r="AW203" s="89">
        <f t="shared" si="114"/>
        <v>0</v>
      </c>
      <c r="AX203" s="88">
        <f t="shared" si="114"/>
        <v>0</v>
      </c>
      <c r="AY203" s="88">
        <f t="shared" si="114"/>
        <v>0</v>
      </c>
      <c r="AZ203" s="88">
        <f t="shared" si="114"/>
        <v>0</v>
      </c>
      <c r="BA203" s="88">
        <f t="shared" si="114"/>
        <v>0</v>
      </c>
      <c r="BB203" s="89">
        <f t="shared" si="114"/>
        <v>0</v>
      </c>
      <c r="BC203" s="88">
        <f t="shared" si="114"/>
        <v>0</v>
      </c>
      <c r="BD203" s="88">
        <f t="shared" si="114"/>
        <v>0</v>
      </c>
      <c r="BE203" s="88">
        <f t="shared" si="114"/>
        <v>0</v>
      </c>
      <c r="BF203" s="88">
        <f t="shared" si="114"/>
        <v>0</v>
      </c>
      <c r="BG203" s="89">
        <f t="shared" si="114"/>
        <v>0</v>
      </c>
    </row>
  </sheetData>
  <conditionalFormatting sqref="E5:BG7">
    <cfRule type="cellIs" dxfId="1" priority="1" operator="between">
      <formula>-5</formula>
      <formula>5</formula>
    </cfRule>
    <cfRule type="cellIs" dxfId="0" priority="2" operator="notBetween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B2:Q142"/>
  <sheetViews>
    <sheetView showGridLines="0" workbookViewId="0">
      <pane xSplit="4" ySplit="28" topLeftCell="E2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.42578125" customWidth="1"/>
    <col min="2" max="2" width="5" customWidth="1"/>
    <col min="3" max="3" width="54" customWidth="1"/>
    <col min="4" max="4" width="40" customWidth="1"/>
    <col min="5" max="15" width="13" customWidth="1"/>
    <col min="16" max="16" width="2" customWidth="1"/>
    <col min="17" max="17" width="56" customWidth="1"/>
  </cols>
  <sheetData>
    <row r="2" spans="2:17" ht="18" x14ac:dyDescent="0.25">
      <c r="C2" s="75" t="str">
        <f>"VALUATION — INSTITUIÇÃO FINANCEIRA · valores em "&amp;Inputs!$E$202</f>
        <v>VALUATION — INSTITUIÇÃO FINANCEIRA · valores em R$ milhões</v>
      </c>
    </row>
    <row r="3" spans="2:17" x14ac:dyDescent="0.25">
      <c r="C3" s="2" t="s">
        <v>935</v>
      </c>
    </row>
    <row r="4" spans="2:17" x14ac:dyDescent="0.25">
      <c r="B4" s="7"/>
      <c r="C4" s="7" t="s">
        <v>936</v>
      </c>
      <c r="D4" s="7" t="s">
        <v>937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5">
      <c r="C5" s="11" t="str">
        <f>"Preço atual ("&amp;Inputs!$E$200&amp;")"</f>
        <v>Preço atual (R$)</v>
      </c>
      <c r="D5" s="12" t="s">
        <v>938</v>
      </c>
      <c r="E5" s="95">
        <f>Inputs!$E$206</f>
        <v>0</v>
      </c>
    </row>
    <row r="6" spans="2:17" x14ac:dyDescent="0.25">
      <c r="C6" s="15" t="str">
        <f>"Preço-alvo ponderado ("&amp;Inputs!$E$200&amp;")"</f>
        <v>Preço-alvo ponderado (R$)</v>
      </c>
      <c r="D6" s="16" t="s">
        <v>939</v>
      </c>
      <c r="E6" s="96">
        <f>E108</f>
        <v>0</v>
      </c>
    </row>
    <row r="7" spans="2:17" x14ac:dyDescent="0.25">
      <c r="C7" s="15" t="s">
        <v>940</v>
      </c>
      <c r="D7" s="16" t="s">
        <v>941</v>
      </c>
      <c r="E7" s="97">
        <f>IFERROR(E6/E5-1,0)</f>
        <v>0</v>
      </c>
    </row>
    <row r="8" spans="2:17" x14ac:dyDescent="0.25">
      <c r="C8" s="15" t="s">
        <v>942</v>
      </c>
      <c r="D8" s="16" t="s">
        <v>943</v>
      </c>
      <c r="E8" s="98" t="str">
        <f>IF(E7&gt;=0.2,"COMPRA",IF(E7&gt;=0.05,"ACIMA DA MÉDIA",IF(E7&gt;=-0.05,"NEUTRO","ABAIXO DA MÉDIA")))</f>
        <v>NEUTRO</v>
      </c>
      <c r="Q8" s="2" t="s">
        <v>944</v>
      </c>
    </row>
    <row r="9" spans="2:17" x14ac:dyDescent="0.25">
      <c r="C9" s="11" t="s">
        <v>945</v>
      </c>
      <c r="D9" s="12" t="s">
        <v>946</v>
      </c>
      <c r="E9" s="99">
        <f>Inputs!$E$310</f>
        <v>0</v>
      </c>
    </row>
    <row r="10" spans="2:17" x14ac:dyDescent="0.25">
      <c r="C10" s="11" t="s">
        <v>947</v>
      </c>
      <c r="D10" s="12" t="s">
        <v>507</v>
      </c>
      <c r="E10" s="99">
        <f>Inputs!$E$311</f>
        <v>0</v>
      </c>
    </row>
    <row r="11" spans="2:17" x14ac:dyDescent="0.25">
      <c r="C11" s="11" t="str">
        <f>"Market cap atual ("&amp;Inputs!$E$202&amp;")"</f>
        <v>Market cap atual (R$ milhões)</v>
      </c>
      <c r="D11" s="12" t="s">
        <v>948</v>
      </c>
      <c r="E11" s="100">
        <f>Inputs!$E$211</f>
        <v>0</v>
      </c>
    </row>
    <row r="12" spans="2:17" x14ac:dyDescent="0.25">
      <c r="C12" s="11" t="str">
        <f>"Valor justo do equity ("&amp;Inputs!$E$202&amp;")"</f>
        <v>Valor justo do equity (R$ milhões)</v>
      </c>
      <c r="D12" s="12" t="s">
        <v>949</v>
      </c>
      <c r="E12" s="100">
        <f>E6*Inputs!$E$210</f>
        <v>0</v>
      </c>
    </row>
    <row r="14" spans="2:17" x14ac:dyDescent="0.25">
      <c r="B14" s="7"/>
      <c r="C14" s="7" t="s">
        <v>950</v>
      </c>
      <c r="D14" s="7" t="s">
        <v>951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6" spans="2:17" x14ac:dyDescent="0.25">
      <c r="C16" s="11" t="s">
        <v>952</v>
      </c>
      <c r="D16" s="12" t="s">
        <v>496</v>
      </c>
      <c r="E16" s="101">
        <f>Inputs!$E$306</f>
        <v>0</v>
      </c>
    </row>
    <row r="17" spans="2:17" x14ac:dyDescent="0.25">
      <c r="C17" s="11" t="s">
        <v>953</v>
      </c>
      <c r="D17" s="12" t="s">
        <v>498</v>
      </c>
      <c r="E17" s="101">
        <f>Inputs!$E$307</f>
        <v>0</v>
      </c>
    </row>
    <row r="18" spans="2:17" x14ac:dyDescent="0.25">
      <c r="C18" s="11" t="s">
        <v>499</v>
      </c>
      <c r="D18" s="12" t="s">
        <v>500</v>
      </c>
      <c r="E18" s="102">
        <f>Inputs!$E$308</f>
        <v>0</v>
      </c>
    </row>
    <row r="19" spans="2:17" x14ac:dyDescent="0.25">
      <c r="C19" s="11" t="s">
        <v>954</v>
      </c>
      <c r="D19" s="12" t="s">
        <v>502</v>
      </c>
      <c r="E19" s="101">
        <f>Inputs!$E$309</f>
        <v>0</v>
      </c>
    </row>
    <row r="20" spans="2:17" x14ac:dyDescent="0.25">
      <c r="C20" s="15" t="s">
        <v>955</v>
      </c>
      <c r="D20" s="16" t="s">
        <v>946</v>
      </c>
      <c r="E20" s="103">
        <f>Inputs!$E$310</f>
        <v>0</v>
      </c>
      <c r="Q20" s="2" t="s">
        <v>956</v>
      </c>
    </row>
    <row r="21" spans="2:17" x14ac:dyDescent="0.25">
      <c r="C21" s="11" t="s">
        <v>957</v>
      </c>
      <c r="D21" s="12" t="s">
        <v>507</v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s">
        <v>958</v>
      </c>
    </row>
    <row r="22" spans="2:17" x14ac:dyDescent="0.25">
      <c r="C22" s="11" t="s">
        <v>959</v>
      </c>
      <c r="D22" s="12" t="s">
        <v>509</v>
      </c>
      <c r="E22" s="101">
        <f>Inputs!$E$312</f>
        <v>0</v>
      </c>
    </row>
    <row r="23" spans="2:17" x14ac:dyDescent="0.25">
      <c r="C23" s="11" t="s">
        <v>960</v>
      </c>
      <c r="D23" s="12" t="s">
        <v>961</v>
      </c>
      <c r="E23" s="101">
        <f>Inputs!$E$313</f>
        <v>0</v>
      </c>
    </row>
    <row r="24" spans="2:17" x14ac:dyDescent="0.25">
      <c r="C24" s="11" t="s">
        <v>962</v>
      </c>
      <c r="D24" s="12" t="s">
        <v>963</v>
      </c>
      <c r="E24" s="105">
        <f>YEAR(Inputs!$E$203)</f>
        <v>1900</v>
      </c>
    </row>
    <row r="25" spans="2:17" x14ac:dyDescent="0.25">
      <c r="C25" s="11" t="s">
        <v>964</v>
      </c>
      <c r="D25" s="12" t="s">
        <v>965</v>
      </c>
      <c r="E25" s="50">
        <v>2027</v>
      </c>
    </row>
    <row r="26" spans="2:17" x14ac:dyDescent="0.25">
      <c r="B26" s="7"/>
      <c r="C26" s="7" t="s">
        <v>966</v>
      </c>
      <c r="D26" s="7" t="s">
        <v>967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hidden="1" x14ac:dyDescent="0.25">
      <c r="C27" s="11" t="s">
        <v>366</v>
      </c>
      <c r="D27" s="12" t="s">
        <v>367</v>
      </c>
      <c r="E27" s="24">
        <v>2020</v>
      </c>
      <c r="F27" s="24">
        <v>2021</v>
      </c>
      <c r="G27" s="24">
        <v>2022</v>
      </c>
      <c r="H27" s="24">
        <v>2023</v>
      </c>
      <c r="I27" s="24">
        <v>2024</v>
      </c>
      <c r="J27" s="24">
        <v>2025</v>
      </c>
      <c r="K27" s="24">
        <v>2026</v>
      </c>
      <c r="L27" s="24">
        <v>2027</v>
      </c>
      <c r="M27" s="24">
        <v>2028</v>
      </c>
      <c r="N27" s="24">
        <v>2029</v>
      </c>
      <c r="O27" s="24">
        <v>2030</v>
      </c>
    </row>
    <row r="28" spans="2:17" x14ac:dyDescent="0.25">
      <c r="C28" s="15" t="s">
        <v>968</v>
      </c>
      <c r="D28" s="16" t="s">
        <v>969</v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 spans="2:17" x14ac:dyDescent="0.25">
      <c r="C29" s="11" t="s">
        <v>970</v>
      </c>
      <c r="D29" s="12" t="s">
        <v>971</v>
      </c>
      <c r="E29" s="106">
        <f>Model!I127</f>
        <v>0</v>
      </c>
      <c r="F29" s="106">
        <f>Model!N127</f>
        <v>0</v>
      </c>
      <c r="G29" s="106">
        <f>Model!S127</f>
        <v>0</v>
      </c>
      <c r="H29" s="106">
        <f>Model!X127</f>
        <v>0</v>
      </c>
      <c r="I29" s="106">
        <f>Model!AC127</f>
        <v>0</v>
      </c>
      <c r="J29" s="106">
        <f>Model!AH127</f>
        <v>0</v>
      </c>
      <c r="K29" s="106">
        <f>Model!AM127</f>
        <v>0</v>
      </c>
      <c r="L29" s="106">
        <f>Model!AR127</f>
        <v>0</v>
      </c>
      <c r="M29" s="106">
        <f>Model!AW127</f>
        <v>0</v>
      </c>
      <c r="N29" s="106">
        <f>Model!BB127</f>
        <v>0</v>
      </c>
      <c r="O29" s="106">
        <f>Model!BG127</f>
        <v>0</v>
      </c>
    </row>
    <row r="30" spans="2:17" x14ac:dyDescent="0.25">
      <c r="C30" s="11" t="s">
        <v>972</v>
      </c>
      <c r="D30" s="12" t="s">
        <v>807</v>
      </c>
      <c r="E30" s="106">
        <f>Model!I71</f>
        <v>0</v>
      </c>
      <c r="F30" s="106">
        <f>Model!N71</f>
        <v>0</v>
      </c>
      <c r="G30" s="106">
        <f>Model!S71</f>
        <v>0</v>
      </c>
      <c r="H30" s="106">
        <f>Model!X71</f>
        <v>0</v>
      </c>
      <c r="I30" s="106">
        <f>Model!AC71</f>
        <v>0</v>
      </c>
      <c r="J30" s="106">
        <f>Model!AH71</f>
        <v>0</v>
      </c>
      <c r="K30" s="106">
        <f>Model!AM71</f>
        <v>0</v>
      </c>
      <c r="L30" s="106">
        <f>Model!AR71</f>
        <v>0</v>
      </c>
      <c r="M30" s="106">
        <f>Model!AW71</f>
        <v>0</v>
      </c>
      <c r="N30" s="106">
        <f>Model!BB71</f>
        <v>0</v>
      </c>
      <c r="O30" s="106">
        <f>Model!BG71</f>
        <v>0</v>
      </c>
    </row>
    <row r="31" spans="2:17" x14ac:dyDescent="0.25">
      <c r="C31" s="11" t="s">
        <v>793</v>
      </c>
      <c r="D31" s="12" t="s">
        <v>794</v>
      </c>
      <c r="E31" s="106">
        <f>Model!I82</f>
        <v>0</v>
      </c>
      <c r="F31" s="106">
        <f>Model!N82</f>
        <v>0</v>
      </c>
      <c r="G31" s="106">
        <f>Model!S82</f>
        <v>0</v>
      </c>
      <c r="H31" s="106">
        <f>Model!X82</f>
        <v>0</v>
      </c>
      <c r="I31" s="106">
        <f>Model!AC82</f>
        <v>0</v>
      </c>
      <c r="J31" s="106">
        <f>Model!AH82</f>
        <v>0</v>
      </c>
      <c r="K31" s="106">
        <f>Model!AM82</f>
        <v>0</v>
      </c>
      <c r="L31" s="106">
        <f>Model!AR82</f>
        <v>0</v>
      </c>
      <c r="M31" s="106">
        <f>Model!AW82</f>
        <v>0</v>
      </c>
      <c r="N31" s="106">
        <f>Model!BB82</f>
        <v>0</v>
      </c>
      <c r="O31" s="106">
        <f>Model!BG82</f>
        <v>0</v>
      </c>
    </row>
    <row r="32" spans="2:17" x14ac:dyDescent="0.25">
      <c r="C32" s="11" t="s">
        <v>973</v>
      </c>
      <c r="D32" s="12" t="s">
        <v>974</v>
      </c>
      <c r="E32" s="107">
        <f t="shared" ref="E32:O32" si="0">IFERROR(E29/AVERAGE(E31,E30),0)</f>
        <v>0</v>
      </c>
      <c r="F32" s="107">
        <f t="shared" si="0"/>
        <v>0</v>
      </c>
      <c r="G32" s="107">
        <f t="shared" si="0"/>
        <v>0</v>
      </c>
      <c r="H32" s="107">
        <f t="shared" si="0"/>
        <v>0</v>
      </c>
      <c r="I32" s="107">
        <f t="shared" si="0"/>
        <v>0</v>
      </c>
      <c r="J32" s="107">
        <f t="shared" si="0"/>
        <v>0</v>
      </c>
      <c r="K32" s="107">
        <f t="shared" si="0"/>
        <v>0</v>
      </c>
      <c r="L32" s="107">
        <f t="shared" si="0"/>
        <v>0</v>
      </c>
      <c r="M32" s="107">
        <f t="shared" si="0"/>
        <v>0</v>
      </c>
      <c r="N32" s="107">
        <f t="shared" si="0"/>
        <v>0</v>
      </c>
      <c r="O32" s="107">
        <f t="shared" si="0"/>
        <v>0</v>
      </c>
    </row>
    <row r="33" spans="2:17" x14ac:dyDescent="0.25">
      <c r="C33" s="11" t="s">
        <v>975</v>
      </c>
      <c r="D33" s="12" t="s">
        <v>976</v>
      </c>
      <c r="E33" s="106">
        <f>-Model!I84</f>
        <v>0</v>
      </c>
      <c r="F33" s="106">
        <f>-Model!N84</f>
        <v>0</v>
      </c>
      <c r="G33" s="106">
        <f>-Model!S84</f>
        <v>0</v>
      </c>
      <c r="H33" s="106">
        <f>-Model!X84</f>
        <v>0</v>
      </c>
      <c r="I33" s="106">
        <f>-Model!AC84</f>
        <v>0</v>
      </c>
      <c r="J33" s="106">
        <f>-Model!AH84</f>
        <v>0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 spans="2:17" x14ac:dyDescent="0.25">
      <c r="C34" s="11" t="s">
        <v>933</v>
      </c>
      <c r="D34" s="12" t="s">
        <v>934</v>
      </c>
      <c r="E34" s="107">
        <f t="shared" ref="E34:O34" si="1">IFERROR(E33/E29,0)</f>
        <v>0</v>
      </c>
      <c r="F34" s="107">
        <f t="shared" si="1"/>
        <v>0</v>
      </c>
      <c r="G34" s="107">
        <f t="shared" si="1"/>
        <v>0</v>
      </c>
      <c r="H34" s="107">
        <f t="shared" si="1"/>
        <v>0</v>
      </c>
      <c r="I34" s="107">
        <f t="shared" si="1"/>
        <v>0</v>
      </c>
      <c r="J34" s="107">
        <f t="shared" si="1"/>
        <v>0</v>
      </c>
      <c r="K34" s="107">
        <f t="shared" si="1"/>
        <v>0</v>
      </c>
      <c r="L34" s="107">
        <f t="shared" si="1"/>
        <v>0</v>
      </c>
      <c r="M34" s="107">
        <f t="shared" si="1"/>
        <v>0</v>
      </c>
      <c r="N34" s="107">
        <f t="shared" si="1"/>
        <v>0</v>
      </c>
      <c r="O34" s="107">
        <f t="shared" si="1"/>
        <v>0</v>
      </c>
    </row>
    <row r="35" spans="2:17" x14ac:dyDescent="0.25">
      <c r="C35" s="11" t="s">
        <v>359</v>
      </c>
      <c r="D35" s="12" t="s">
        <v>929</v>
      </c>
      <c r="E35" s="108">
        <f>Model!I199</f>
        <v>0</v>
      </c>
      <c r="F35" s="108">
        <f>Model!N199</f>
        <v>0</v>
      </c>
      <c r="G35" s="108">
        <f>Model!S199</f>
        <v>0</v>
      </c>
      <c r="H35" s="108">
        <f>Model!X199</f>
        <v>0</v>
      </c>
      <c r="I35" s="108">
        <f>Model!AC199</f>
        <v>0</v>
      </c>
      <c r="J35" s="108">
        <f>Model!AH199</f>
        <v>0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 spans="2:17" x14ac:dyDescent="0.25">
      <c r="C36" s="11" t="str">
        <f>"Lucro por ação — LPA ("&amp;Inputs!$E$200&amp;")"</f>
        <v>Lucro por ação — LPA (R$)</v>
      </c>
      <c r="D36" s="12" t="s">
        <v>977</v>
      </c>
      <c r="E36" s="109">
        <f>Model!I200</f>
        <v>0</v>
      </c>
      <c r="F36" s="109">
        <f>Model!N200</f>
        <v>0</v>
      </c>
      <c r="G36" s="109">
        <f>Model!S200</f>
        <v>0</v>
      </c>
      <c r="H36" s="109">
        <f>Model!X200</f>
        <v>0</v>
      </c>
      <c r="I36" s="109">
        <f>Model!AC200</f>
        <v>0</v>
      </c>
      <c r="J36" s="109">
        <f>Model!AH200</f>
        <v>0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 spans="2:17" x14ac:dyDescent="0.25">
      <c r="C37" s="11" t="str">
        <f>"Valor patrimonial por ação — VPA ("&amp;Inputs!$E$200&amp;")"</f>
        <v>Valor patrimonial por ação — VPA (R$)</v>
      </c>
      <c r="D37" s="12" t="s">
        <v>978</v>
      </c>
      <c r="E37" s="109">
        <f>Model!I201</f>
        <v>0</v>
      </c>
      <c r="F37" s="109">
        <f>Model!N201</f>
        <v>0</v>
      </c>
      <c r="G37" s="109">
        <f>Model!S201</f>
        <v>0</v>
      </c>
      <c r="H37" s="109">
        <f>Model!X201</f>
        <v>0</v>
      </c>
      <c r="I37" s="109">
        <f>Model!AC201</f>
        <v>0</v>
      </c>
      <c r="J37" s="109">
        <f>Model!AH201</f>
        <v>0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 spans="2:17" x14ac:dyDescent="0.25">
      <c r="C38" s="11" t="str">
        <f>"Proventos por ação ("&amp;Inputs!$E$200&amp;")"</f>
        <v>Proventos por ação (R$)</v>
      </c>
      <c r="D38" s="12" t="s">
        <v>979</v>
      </c>
      <c r="E38" s="109">
        <f>Model!I202</f>
        <v>0</v>
      </c>
      <c r="F38" s="109">
        <f>Model!N202</f>
        <v>0</v>
      </c>
      <c r="G38" s="109">
        <f>Model!S202</f>
        <v>0</v>
      </c>
      <c r="H38" s="109">
        <f>Model!X202</f>
        <v>0</v>
      </c>
      <c r="I38" s="109">
        <f>Model!AC202</f>
        <v>0</v>
      </c>
      <c r="J38" s="109">
        <f>Model!AH202</f>
        <v>0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 spans="2:17" x14ac:dyDescent="0.25">
      <c r="C39" s="11" t="s">
        <v>980</v>
      </c>
      <c r="D39" s="12" t="s">
        <v>981</v>
      </c>
      <c r="E39" s="110">
        <f>MAX(0,2020-$E$24)</f>
        <v>120</v>
      </c>
      <c r="F39" s="110">
        <f>MAX(0,2021-$E$24)</f>
        <v>121</v>
      </c>
      <c r="G39" s="110">
        <f>MAX(0,2022-$E$24)</f>
        <v>122</v>
      </c>
      <c r="H39" s="110">
        <f>MAX(0,2023-$E$24)</f>
        <v>123</v>
      </c>
      <c r="I39" s="110">
        <f>MAX(0,2024-$E$24)</f>
        <v>124</v>
      </c>
      <c r="J39" s="110">
        <f>MAX(0,2025-$E$24)</f>
        <v>125</v>
      </c>
      <c r="K39" s="110">
        <f>MAX(0,2026-$E$24)</f>
        <v>126</v>
      </c>
      <c r="L39" s="110">
        <f>MAX(0,2027-$E$24)</f>
        <v>127</v>
      </c>
      <c r="M39" s="110">
        <f>MAX(0,2028-$E$24)</f>
        <v>128</v>
      </c>
      <c r="N39" s="110">
        <f>MAX(0,2029-$E$24)</f>
        <v>129</v>
      </c>
      <c r="O39" s="110">
        <f>MAX(0,2030-$E$24)</f>
        <v>130</v>
      </c>
      <c r="Q39" s="2" t="s">
        <v>982</v>
      </c>
    </row>
    <row r="40" spans="2:17" x14ac:dyDescent="0.25">
      <c r="C40" s="11" t="s">
        <v>983</v>
      </c>
      <c r="D40" s="12" t="s">
        <v>984</v>
      </c>
      <c r="E40" s="111">
        <f t="shared" ref="E40:O40" si="2">IF(E39&lt;=0,0,1/(1+$E$20)^E39)</f>
        <v>1</v>
      </c>
      <c r="F40" s="111">
        <f t="shared" si="2"/>
        <v>1</v>
      </c>
      <c r="G40" s="111">
        <f t="shared" si="2"/>
        <v>1</v>
      </c>
      <c r="H40" s="111">
        <f t="shared" si="2"/>
        <v>1</v>
      </c>
      <c r="I40" s="111">
        <f t="shared" si="2"/>
        <v>1</v>
      </c>
      <c r="J40" s="111">
        <f t="shared" si="2"/>
        <v>1</v>
      </c>
      <c r="K40" s="111">
        <f t="shared" si="2"/>
        <v>1</v>
      </c>
      <c r="L40" s="111">
        <f t="shared" si="2"/>
        <v>1</v>
      </c>
      <c r="M40" s="111">
        <f t="shared" si="2"/>
        <v>1</v>
      </c>
      <c r="N40" s="111">
        <f t="shared" si="2"/>
        <v>1</v>
      </c>
      <c r="O40" s="111">
        <f t="shared" si="2"/>
        <v>1</v>
      </c>
    </row>
    <row r="42" spans="2:17" x14ac:dyDescent="0.25">
      <c r="B42" s="7"/>
      <c r="C42" s="7" t="s">
        <v>985</v>
      </c>
      <c r="D42" s="7" t="s">
        <v>986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2:17" x14ac:dyDescent="0.25">
      <c r="B43" s="29"/>
      <c r="C43" s="29" t="s">
        <v>987</v>
      </c>
      <c r="D43" s="29" t="s">
        <v>988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spans="2:17" x14ac:dyDescent="0.25">
      <c r="C44" s="11" t="s">
        <v>970</v>
      </c>
      <c r="D44" s="12" t="s">
        <v>989</v>
      </c>
      <c r="E44" s="112">
        <f t="shared" ref="E44:O44" si="3">E29</f>
        <v>0</v>
      </c>
      <c r="F44" s="112">
        <f t="shared" si="3"/>
        <v>0</v>
      </c>
      <c r="G44" s="112">
        <f t="shared" si="3"/>
        <v>0</v>
      </c>
      <c r="H44" s="112">
        <f t="shared" si="3"/>
        <v>0</v>
      </c>
      <c r="I44" s="112">
        <f t="shared" si="3"/>
        <v>0</v>
      </c>
      <c r="J44" s="112">
        <f t="shared" si="3"/>
        <v>0</v>
      </c>
      <c r="K44" s="112">
        <f t="shared" si="3"/>
        <v>0</v>
      </c>
      <c r="L44" s="112">
        <f t="shared" si="3"/>
        <v>0</v>
      </c>
      <c r="M44" s="112">
        <f t="shared" si="3"/>
        <v>0</v>
      </c>
      <c r="N44" s="112">
        <f t="shared" si="3"/>
        <v>0</v>
      </c>
      <c r="O44" s="112">
        <f t="shared" si="3"/>
        <v>0</v>
      </c>
    </row>
    <row r="45" spans="2:17" x14ac:dyDescent="0.25">
      <c r="C45" s="11" t="s">
        <v>990</v>
      </c>
      <c r="D45" s="12" t="s">
        <v>991</v>
      </c>
      <c r="E45" s="112">
        <f t="shared" ref="E45:O45" si="4">-$E$20*E31</f>
        <v>0</v>
      </c>
      <c r="F45" s="112">
        <f t="shared" si="4"/>
        <v>0</v>
      </c>
      <c r="G45" s="112">
        <f t="shared" si="4"/>
        <v>0</v>
      </c>
      <c r="H45" s="112">
        <f t="shared" si="4"/>
        <v>0</v>
      </c>
      <c r="I45" s="112">
        <f t="shared" si="4"/>
        <v>0</v>
      </c>
      <c r="J45" s="112">
        <f t="shared" si="4"/>
        <v>0</v>
      </c>
      <c r="K45" s="112">
        <f t="shared" si="4"/>
        <v>0</v>
      </c>
      <c r="L45" s="112">
        <f t="shared" si="4"/>
        <v>0</v>
      </c>
      <c r="M45" s="112">
        <f t="shared" si="4"/>
        <v>0</v>
      </c>
      <c r="N45" s="112">
        <f t="shared" si="4"/>
        <v>0</v>
      </c>
      <c r="O45" s="112">
        <f t="shared" si="4"/>
        <v>0</v>
      </c>
    </row>
    <row r="46" spans="2:17" x14ac:dyDescent="0.25">
      <c r="C46" s="15" t="s">
        <v>992</v>
      </c>
      <c r="D46" s="16" t="s">
        <v>993</v>
      </c>
      <c r="E46" s="22">
        <f t="shared" ref="E46:O46" si="5">E44+E45</f>
        <v>0</v>
      </c>
      <c r="F46" s="22">
        <f t="shared" si="5"/>
        <v>0</v>
      </c>
      <c r="G46" s="22">
        <f t="shared" si="5"/>
        <v>0</v>
      </c>
      <c r="H46" s="22">
        <f t="shared" si="5"/>
        <v>0</v>
      </c>
      <c r="I46" s="22">
        <f t="shared" si="5"/>
        <v>0</v>
      </c>
      <c r="J46" s="22">
        <f t="shared" si="5"/>
        <v>0</v>
      </c>
      <c r="K46" s="22">
        <f t="shared" si="5"/>
        <v>0</v>
      </c>
      <c r="L46" s="22">
        <f t="shared" si="5"/>
        <v>0</v>
      </c>
      <c r="M46" s="22">
        <f t="shared" si="5"/>
        <v>0</v>
      </c>
      <c r="N46" s="22">
        <f t="shared" si="5"/>
        <v>0</v>
      </c>
      <c r="O46" s="22">
        <f t="shared" si="5"/>
        <v>0</v>
      </c>
      <c r="Q46" s="2" t="s">
        <v>994</v>
      </c>
    </row>
    <row r="47" spans="2:17" x14ac:dyDescent="0.25">
      <c r="C47" s="11" t="s">
        <v>995</v>
      </c>
      <c r="D47" s="12" t="s">
        <v>996</v>
      </c>
      <c r="E47" s="112">
        <f t="shared" ref="E47:O47" si="6">E46*E40</f>
        <v>0</v>
      </c>
      <c r="F47" s="112">
        <f t="shared" si="6"/>
        <v>0</v>
      </c>
      <c r="G47" s="112">
        <f t="shared" si="6"/>
        <v>0</v>
      </c>
      <c r="H47" s="112">
        <f t="shared" si="6"/>
        <v>0</v>
      </c>
      <c r="I47" s="112">
        <f t="shared" si="6"/>
        <v>0</v>
      </c>
      <c r="J47" s="112">
        <f t="shared" si="6"/>
        <v>0</v>
      </c>
      <c r="K47" s="112">
        <f t="shared" si="6"/>
        <v>0</v>
      </c>
      <c r="L47" s="112">
        <f t="shared" si="6"/>
        <v>0</v>
      </c>
      <c r="M47" s="112">
        <f t="shared" si="6"/>
        <v>0</v>
      </c>
      <c r="N47" s="112">
        <f t="shared" si="6"/>
        <v>0</v>
      </c>
      <c r="O47" s="112">
        <f t="shared" si="6"/>
        <v>0</v>
      </c>
    </row>
    <row r="48" spans="2:17" x14ac:dyDescent="0.25">
      <c r="C48" s="11" t="s">
        <v>997</v>
      </c>
      <c r="D48" s="12" t="s">
        <v>998</v>
      </c>
      <c r="E48" s="112">
        <f>SUM(E47:O47)</f>
        <v>0</v>
      </c>
    </row>
    <row r="49" spans="2:17" x14ac:dyDescent="0.25">
      <c r="C49" s="11" t="s">
        <v>999</v>
      </c>
      <c r="D49" s="12" t="s">
        <v>1000</v>
      </c>
      <c r="E49" s="112">
        <f>O46</f>
        <v>0</v>
      </c>
    </row>
    <row r="50" spans="2:17" x14ac:dyDescent="0.25">
      <c r="C50" s="11" t="s">
        <v>1001</v>
      </c>
      <c r="D50" s="12" t="s">
        <v>1002</v>
      </c>
      <c r="E50" s="112">
        <f>IF($E$20&lt;=$E$21,0,O46*(1+$E$21)/($E$20-$E$21))</f>
        <v>0</v>
      </c>
    </row>
    <row r="51" spans="2:17" x14ac:dyDescent="0.25">
      <c r="C51" s="11" t="s">
        <v>1003</v>
      </c>
      <c r="D51" s="12" t="s">
        <v>1004</v>
      </c>
      <c r="E51" s="112">
        <f>E50*O40</f>
        <v>0</v>
      </c>
    </row>
    <row r="52" spans="2:17" x14ac:dyDescent="0.25">
      <c r="C52" s="11" t="s">
        <v>1005</v>
      </c>
      <c r="D52" s="12" t="s">
        <v>1006</v>
      </c>
      <c r="E52" s="112">
        <f>IFERROR(INDEX($E$30:$O$30,MATCH($E$24,$E$27:$O$27,0)),0)</f>
        <v>0</v>
      </c>
      <c r="Q52" s="2" t="s">
        <v>1007</v>
      </c>
    </row>
    <row r="53" spans="2:17" x14ac:dyDescent="0.25">
      <c r="C53" s="15" t="s">
        <v>1008</v>
      </c>
      <c r="D53" s="16" t="s">
        <v>1009</v>
      </c>
      <c r="E53" s="22">
        <f>E52+E48+E51</f>
        <v>0</v>
      </c>
    </row>
    <row r="54" spans="2:17" x14ac:dyDescent="0.25">
      <c r="C54" s="15" t="str">
        <f>"Valor por ação ("&amp;Inputs!$E$200&amp;")"</f>
        <v>Valor por ação (R$)</v>
      </c>
      <c r="D54" s="16" t="s">
        <v>1010</v>
      </c>
      <c r="E54" s="113">
        <f>IFERROR(E53/Inputs!$E$210,0)</f>
        <v>0</v>
      </c>
    </row>
    <row r="55" spans="2:17" x14ac:dyDescent="0.25">
      <c r="C55" s="11" t="s">
        <v>941</v>
      </c>
      <c r="D55" s="12" t="s">
        <v>941</v>
      </c>
      <c r="E55" s="107">
        <f>IFERROR(E54/E5-1,0)</f>
        <v>0</v>
      </c>
    </row>
    <row r="57" spans="2:17" x14ac:dyDescent="0.25">
      <c r="B57" s="7"/>
      <c r="C57" s="7" t="s">
        <v>1011</v>
      </c>
      <c r="D57" s="7" t="s">
        <v>1012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2:17" x14ac:dyDescent="0.25">
      <c r="B58" s="29"/>
      <c r="C58" s="29" t="s">
        <v>1013</v>
      </c>
      <c r="D58" s="29" t="s">
        <v>1014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spans="2:17" x14ac:dyDescent="0.25">
      <c r="C59" s="11" t="s">
        <v>1015</v>
      </c>
      <c r="D59" s="12" t="s">
        <v>976</v>
      </c>
      <c r="E59" s="112">
        <f t="shared" ref="E59:O59" si="7">E33</f>
        <v>0</v>
      </c>
      <c r="F59" s="112">
        <f t="shared" si="7"/>
        <v>0</v>
      </c>
      <c r="G59" s="112">
        <f t="shared" si="7"/>
        <v>0</v>
      </c>
      <c r="H59" s="112">
        <f t="shared" si="7"/>
        <v>0</v>
      </c>
      <c r="I59" s="112">
        <f t="shared" si="7"/>
        <v>0</v>
      </c>
      <c r="J59" s="112">
        <f t="shared" si="7"/>
        <v>0</v>
      </c>
      <c r="K59" s="112">
        <f t="shared" si="7"/>
        <v>0</v>
      </c>
      <c r="L59" s="112">
        <f t="shared" si="7"/>
        <v>0</v>
      </c>
      <c r="M59" s="112">
        <f t="shared" si="7"/>
        <v>0</v>
      </c>
      <c r="N59" s="112">
        <f t="shared" si="7"/>
        <v>0</v>
      </c>
      <c r="O59" s="112">
        <f t="shared" si="7"/>
        <v>0</v>
      </c>
    </row>
    <row r="60" spans="2:17" x14ac:dyDescent="0.25">
      <c r="C60" s="11" t="s">
        <v>1016</v>
      </c>
      <c r="D60" s="12" t="s">
        <v>1017</v>
      </c>
      <c r="E60" s="112">
        <f t="shared" ref="E60:O60" si="8">E59*E40</f>
        <v>0</v>
      </c>
      <c r="F60" s="112">
        <f t="shared" si="8"/>
        <v>0</v>
      </c>
      <c r="G60" s="112">
        <f t="shared" si="8"/>
        <v>0</v>
      </c>
      <c r="H60" s="112">
        <f t="shared" si="8"/>
        <v>0</v>
      </c>
      <c r="I60" s="112">
        <f t="shared" si="8"/>
        <v>0</v>
      </c>
      <c r="J60" s="112">
        <f t="shared" si="8"/>
        <v>0</v>
      </c>
      <c r="K60" s="112">
        <f t="shared" si="8"/>
        <v>0</v>
      </c>
      <c r="L60" s="112">
        <f t="shared" si="8"/>
        <v>0</v>
      </c>
      <c r="M60" s="112">
        <f t="shared" si="8"/>
        <v>0</v>
      </c>
      <c r="N60" s="112">
        <f t="shared" si="8"/>
        <v>0</v>
      </c>
      <c r="O60" s="112">
        <f t="shared" si="8"/>
        <v>0</v>
      </c>
    </row>
    <row r="61" spans="2:17" x14ac:dyDescent="0.25">
      <c r="C61" s="11" t="s">
        <v>1018</v>
      </c>
      <c r="D61" s="12" t="s">
        <v>998</v>
      </c>
      <c r="E61" s="112">
        <f>SUM(E60:O60)</f>
        <v>0</v>
      </c>
    </row>
    <row r="62" spans="2:17" x14ac:dyDescent="0.25">
      <c r="C62" s="11" t="s">
        <v>1019</v>
      </c>
      <c r="D62" s="12" t="s">
        <v>1020</v>
      </c>
      <c r="E62" s="112">
        <f>O59</f>
        <v>0</v>
      </c>
    </row>
    <row r="63" spans="2:17" x14ac:dyDescent="0.25">
      <c r="C63" s="11" t="s">
        <v>1021</v>
      </c>
      <c r="D63" s="12" t="s">
        <v>1022</v>
      </c>
      <c r="E63" s="112">
        <f>IF($E$20&lt;=$E$21,0,O29*(1+$E$21)*$E$23/($E$20-$E$21))</f>
        <v>0</v>
      </c>
      <c r="Q63" s="2" t="s">
        <v>1023</v>
      </c>
    </row>
    <row r="64" spans="2:17" x14ac:dyDescent="0.25">
      <c r="C64" s="11" t="s">
        <v>1003</v>
      </c>
      <c r="D64" s="12" t="s">
        <v>1004</v>
      </c>
      <c r="E64" s="112">
        <f>E63*O40</f>
        <v>0</v>
      </c>
    </row>
    <row r="65" spans="2:17" x14ac:dyDescent="0.25">
      <c r="C65" s="15" t="s">
        <v>1008</v>
      </c>
      <c r="D65" s="16" t="s">
        <v>1009</v>
      </c>
      <c r="E65" s="22">
        <f>E61+E64</f>
        <v>0</v>
      </c>
    </row>
    <row r="66" spans="2:17" x14ac:dyDescent="0.25">
      <c r="C66" s="15" t="str">
        <f>"Valor por ação ("&amp;Inputs!$E$200&amp;")"</f>
        <v>Valor por ação (R$)</v>
      </c>
      <c r="D66" s="16" t="s">
        <v>1010</v>
      </c>
      <c r="E66" s="113">
        <f>IFERROR(E65/Inputs!$E$210,0)</f>
        <v>0</v>
      </c>
    </row>
    <row r="67" spans="2:17" x14ac:dyDescent="0.25">
      <c r="C67" s="11" t="s">
        <v>941</v>
      </c>
      <c r="D67" s="12" t="s">
        <v>941</v>
      </c>
      <c r="E67" s="107">
        <f>IFERROR(E66/E5-1,0)</f>
        <v>0</v>
      </c>
    </row>
    <row r="69" spans="2:17" x14ac:dyDescent="0.25">
      <c r="B69" s="7"/>
      <c r="C69" s="7" t="s">
        <v>1024</v>
      </c>
      <c r="D69" s="7" t="s">
        <v>1025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1" spans="2:17" x14ac:dyDescent="0.25">
      <c r="C71" s="11" t="s">
        <v>1026</v>
      </c>
      <c r="D71" s="12" t="s">
        <v>509</v>
      </c>
      <c r="E71" s="107">
        <f>$E$22</f>
        <v>0</v>
      </c>
    </row>
    <row r="72" spans="2:17" x14ac:dyDescent="0.25">
      <c r="C72" s="11" t="s">
        <v>1027</v>
      </c>
      <c r="D72" s="12" t="s">
        <v>507</v>
      </c>
      <c r="E72" s="107">
        <f>$E$21</f>
        <v>0</v>
      </c>
    </row>
    <row r="73" spans="2:17" x14ac:dyDescent="0.25">
      <c r="C73" s="11" t="s">
        <v>1028</v>
      </c>
      <c r="D73" s="12" t="s">
        <v>946</v>
      </c>
      <c r="E73" s="107">
        <f>$E$20</f>
        <v>0</v>
      </c>
    </row>
    <row r="74" spans="2:17" x14ac:dyDescent="0.25">
      <c r="C74" s="15" t="s">
        <v>1029</v>
      </c>
      <c r="D74" s="16" t="s">
        <v>522</v>
      </c>
      <c r="E74" s="114">
        <f>IF($E$20&lt;=$E$21,0,(E71-E72)/(E73-E72))</f>
        <v>0</v>
      </c>
      <c r="Q74" s="2" t="s">
        <v>1030</v>
      </c>
    </row>
    <row r="75" spans="2:17" x14ac:dyDescent="0.25">
      <c r="C75" s="11" t="str">
        <f>"VPA do ano-alvo ("&amp;Inputs!$E$200&amp;")"</f>
        <v>VPA do ano-alvo (R$)</v>
      </c>
      <c r="D75" s="12" t="s">
        <v>1031</v>
      </c>
      <c r="E75" s="115">
        <f>IFERROR(INDEX($E$37:$O$37,MATCH($E$25,$E$27:$O$27,0)),0)</f>
        <v>0</v>
      </c>
    </row>
    <row r="76" spans="2:17" x14ac:dyDescent="0.25">
      <c r="C76" s="15" t="str">
        <f>"Valor por ação no ano-base ("&amp;Inputs!$E$200&amp;")"</f>
        <v>Valor por ação no ano-base (R$)</v>
      </c>
      <c r="D76" s="16" t="s">
        <v>1032</v>
      </c>
      <c r="E76" s="113">
        <f>E74*E75*IFERROR(INDEX($E$40:$O$40,MATCH($E$25,$E$27:$O$27,0)),1)</f>
        <v>0</v>
      </c>
    </row>
    <row r="77" spans="2:17" x14ac:dyDescent="0.25">
      <c r="C77" s="11" t="s">
        <v>941</v>
      </c>
      <c r="D77" s="12" t="s">
        <v>941</v>
      </c>
      <c r="E77" s="107">
        <f>IFERROR(E76/E5-1,0)</f>
        <v>0</v>
      </c>
    </row>
    <row r="79" spans="2:17" x14ac:dyDescent="0.25">
      <c r="B79" s="7"/>
      <c r="C79" s="7" t="s">
        <v>1033</v>
      </c>
      <c r="D79" s="7" t="s">
        <v>1034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2:17" x14ac:dyDescent="0.25">
      <c r="B80" s="29"/>
      <c r="C80" s="29" t="s">
        <v>1035</v>
      </c>
      <c r="D80" s="29" t="s">
        <v>1036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</row>
    <row r="81" spans="3:17" x14ac:dyDescent="0.25">
      <c r="C81" s="116" t="s">
        <v>1037</v>
      </c>
      <c r="E81" s="116" t="s">
        <v>1038</v>
      </c>
      <c r="F81" s="116" t="s">
        <v>1039</v>
      </c>
      <c r="G81" s="116" t="s">
        <v>1040</v>
      </c>
      <c r="H81" s="116" t="s">
        <v>1041</v>
      </c>
    </row>
    <row r="82" spans="3:17" x14ac:dyDescent="0.25">
      <c r="C82" s="117" t="s">
        <v>1042</v>
      </c>
      <c r="E82" s="118"/>
      <c r="F82" s="118"/>
      <c r="G82" s="40"/>
      <c r="H82" s="40"/>
    </row>
    <row r="83" spans="3:17" x14ac:dyDescent="0.25">
      <c r="C83" s="117" t="s">
        <v>1043</v>
      </c>
      <c r="E83" s="118"/>
      <c r="F83" s="118"/>
      <c r="G83" s="40"/>
      <c r="H83" s="40"/>
    </row>
    <row r="84" spans="3:17" x14ac:dyDescent="0.25">
      <c r="C84" s="117" t="s">
        <v>1044</v>
      </c>
      <c r="E84" s="118"/>
      <c r="F84" s="118"/>
      <c r="G84" s="40"/>
      <c r="H84" s="40"/>
    </row>
    <row r="85" spans="3:17" x14ac:dyDescent="0.25">
      <c r="C85" s="117" t="s">
        <v>1045</v>
      </c>
      <c r="E85" s="118"/>
      <c r="F85" s="118"/>
      <c r="G85" s="40"/>
      <c r="H85" s="40"/>
    </row>
    <row r="86" spans="3:17" x14ac:dyDescent="0.25">
      <c r="C86" s="117" t="s">
        <v>1046</v>
      </c>
      <c r="E86" s="118"/>
      <c r="F86" s="118"/>
      <c r="G86" s="40"/>
      <c r="H86" s="40"/>
    </row>
    <row r="87" spans="3:17" x14ac:dyDescent="0.25">
      <c r="C87" s="117" t="s">
        <v>1047</v>
      </c>
      <c r="E87" s="118"/>
      <c r="F87" s="118"/>
      <c r="G87" s="40"/>
      <c r="H87" s="40"/>
    </row>
    <row r="88" spans="3:17" x14ac:dyDescent="0.25">
      <c r="C88" s="117" t="s">
        <v>1048</v>
      </c>
      <c r="E88" s="118"/>
      <c r="F88" s="118"/>
      <c r="G88" s="40"/>
      <c r="H88" s="40"/>
    </row>
    <row r="90" spans="3:17" x14ac:dyDescent="0.25">
      <c r="C90" s="119" t="s">
        <v>1049</v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 spans="3:17" x14ac:dyDescent="0.25">
      <c r="C92" s="11" t="s">
        <v>1050</v>
      </c>
      <c r="D92" s="12" t="s">
        <v>1051</v>
      </c>
      <c r="E92" s="120">
        <f>E90</f>
        <v>0</v>
      </c>
    </row>
    <row r="93" spans="3:17" x14ac:dyDescent="0.25">
      <c r="C93" s="11" t="s">
        <v>1052</v>
      </c>
      <c r="D93" s="12" t="s">
        <v>1053</v>
      </c>
      <c r="E93" s="120">
        <f>F90</f>
        <v>0</v>
      </c>
    </row>
    <row r="94" spans="3:17" x14ac:dyDescent="0.25">
      <c r="C94" s="11" t="str">
        <f>"LPA do ano-alvo ("&amp;Inputs!$E$200&amp;")"</f>
        <v>LPA do ano-alvo (R$)</v>
      </c>
      <c r="D94" s="12" t="s">
        <v>1054</v>
      </c>
      <c r="E94" s="115">
        <f>IFERROR(INDEX($E$36:$O$36,MATCH($E$25,$E$27:$O$27,0)),0)</f>
        <v>0</v>
      </c>
      <c r="Q94" s="2" t="s">
        <v>1055</v>
      </c>
    </row>
    <row r="95" spans="3:17" x14ac:dyDescent="0.25">
      <c r="C95" s="11" t="str">
        <f>"VPA do ano-alvo ("&amp;Inputs!$E$200&amp;")"</f>
        <v>VPA do ano-alvo (R$)</v>
      </c>
      <c r="D95" s="12" t="s">
        <v>1031</v>
      </c>
      <c r="E95" s="115">
        <f>E75</f>
        <v>0</v>
      </c>
    </row>
    <row r="96" spans="3:17" x14ac:dyDescent="0.25">
      <c r="C96" s="11" t="str">
        <f>"Valor por ação via P/E ("&amp;Inputs!$E$200&amp;")"</f>
        <v>Valor por ação via P/E (R$)</v>
      </c>
      <c r="D96" s="12" t="s">
        <v>1056</v>
      </c>
      <c r="E96" s="115">
        <f>E92*E94</f>
        <v>0</v>
      </c>
    </row>
    <row r="97" spans="2:17" x14ac:dyDescent="0.25">
      <c r="C97" s="11" t="str">
        <f>"Valor por ação via P/BV ("&amp;Inputs!$E$200&amp;")"</f>
        <v>Valor por ação via P/BV (R$)</v>
      </c>
      <c r="D97" s="12" t="s">
        <v>1057</v>
      </c>
      <c r="E97" s="115">
        <f>E93*E95</f>
        <v>0</v>
      </c>
    </row>
    <row r="98" spans="2:17" x14ac:dyDescent="0.25">
      <c r="C98" s="15" t="s">
        <v>1058</v>
      </c>
      <c r="D98" s="16" t="s">
        <v>1032</v>
      </c>
      <c r="E98" s="113">
        <f>IFERROR(AVERAGE(E96,E97)*INDEX($E$40:$O$40,MATCH($E$25,$E$27:$O$27,0)),0)</f>
        <v>0</v>
      </c>
    </row>
    <row r="99" spans="2:17" x14ac:dyDescent="0.25">
      <c r="C99" s="11" t="s">
        <v>941</v>
      </c>
      <c r="D99" s="12" t="s">
        <v>941</v>
      </c>
      <c r="E99" s="107">
        <f>IFERROR(E98/E5-1,0)</f>
        <v>0</v>
      </c>
    </row>
    <row r="101" spans="2:17" x14ac:dyDescent="0.25">
      <c r="B101" s="7"/>
      <c r="C101" s="7" t="s">
        <v>1059</v>
      </c>
      <c r="D101" s="7" t="s">
        <v>1060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3" spans="2:17" x14ac:dyDescent="0.25">
      <c r="C103" s="116" t="s">
        <v>1061</v>
      </c>
      <c r="E103" s="116" t="str">
        <f>"Valor por ação ("&amp;Inputs!$E$200&amp;")"</f>
        <v>Valor por ação (R$)</v>
      </c>
      <c r="F103" s="116" t="s">
        <v>1062</v>
      </c>
      <c r="G103" s="116" t="str">
        <f>"Contribuição ("&amp;Inputs!$E$200&amp;")"</f>
        <v>Contribuição (R$)</v>
      </c>
    </row>
    <row r="104" spans="2:17" x14ac:dyDescent="0.25">
      <c r="C104" s="121" t="s">
        <v>1063</v>
      </c>
      <c r="E104" s="122">
        <f>E54</f>
        <v>0</v>
      </c>
      <c r="F104" s="101">
        <f>Inputs!$E$317</f>
        <v>0</v>
      </c>
      <c r="G104" s="122">
        <f>E104*F104</f>
        <v>0</v>
      </c>
    </row>
    <row r="105" spans="2:17" x14ac:dyDescent="0.25">
      <c r="C105" s="121" t="s">
        <v>519</v>
      </c>
      <c r="E105" s="122">
        <f>E66</f>
        <v>0</v>
      </c>
      <c r="F105" s="101">
        <f>Inputs!$E$318</f>
        <v>0</v>
      </c>
      <c r="G105" s="122">
        <f>E105*F105</f>
        <v>0</v>
      </c>
    </row>
    <row r="106" spans="2:17" x14ac:dyDescent="0.25">
      <c r="C106" s="121" t="s">
        <v>1064</v>
      </c>
      <c r="E106" s="122">
        <f>E76</f>
        <v>0</v>
      </c>
      <c r="F106" s="101">
        <f>Inputs!$E$319</f>
        <v>0</v>
      </c>
      <c r="G106" s="122">
        <f>E106*F106</f>
        <v>0</v>
      </c>
    </row>
    <row r="107" spans="2:17" x14ac:dyDescent="0.25">
      <c r="C107" s="121" t="s">
        <v>523</v>
      </c>
      <c r="E107" s="122">
        <f>E98</f>
        <v>0</v>
      </c>
      <c r="F107" s="101">
        <f>Inputs!$E$320</f>
        <v>0</v>
      </c>
      <c r="G107" s="122">
        <f>E107*F107</f>
        <v>0</v>
      </c>
    </row>
    <row r="108" spans="2:17" x14ac:dyDescent="0.25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s">
        <v>1065</v>
      </c>
    </row>
    <row r="109" spans="2:17" x14ac:dyDescent="0.25">
      <c r="C109" s="121" t="str">
        <f>"Preço atual ("&amp;Inputs!$E$200&amp;")"</f>
        <v>Preço atual (R$)</v>
      </c>
      <c r="E109" s="95">
        <f>E5</f>
        <v>0</v>
      </c>
    </row>
    <row r="110" spans="2:17" x14ac:dyDescent="0.25">
      <c r="C110" s="119" t="s">
        <v>940</v>
      </c>
      <c r="E110" s="97">
        <f>IFERROR(E108/E109-1,0)</f>
        <v>0</v>
      </c>
      <c r="Q110" s="2" t="s">
        <v>1066</v>
      </c>
    </row>
    <row r="111" spans="2:17" x14ac:dyDescent="0.25">
      <c r="C111" s="119" t="s">
        <v>942</v>
      </c>
      <c r="E111" s="98" t="str">
        <f>E8</f>
        <v>NEUTRO</v>
      </c>
    </row>
    <row r="113" spans="2:17" x14ac:dyDescent="0.25">
      <c r="B113" s="7"/>
      <c r="C113" s="7" t="s">
        <v>1067</v>
      </c>
      <c r="D113" s="7" t="s">
        <v>1068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2:17" x14ac:dyDescent="0.25">
      <c r="C114" s="2" t="s">
        <v>1069</v>
      </c>
    </row>
    <row r="115" spans="2:17" x14ac:dyDescent="0.25">
      <c r="D115" s="123" t="s">
        <v>1070</v>
      </c>
      <c r="E115" s="124">
        <f>$E$20+-0.02</f>
        <v>-0.02</v>
      </c>
      <c r="F115" s="124">
        <f>$E$20+-0.01</f>
        <v>-0.01</v>
      </c>
      <c r="G115" s="124">
        <f>$E$20+-0.005</f>
        <v>-5.0000000000000001E-3</v>
      </c>
      <c r="H115" s="124">
        <f>$E$20+0</f>
        <v>0</v>
      </c>
      <c r="I115" s="124">
        <f>$E$20+0.005</f>
        <v>5.0000000000000001E-3</v>
      </c>
      <c r="J115" s="124">
        <f>$E$20+0.01</f>
        <v>0.01</v>
      </c>
      <c r="K115" s="124">
        <f>$E$20+0.02</f>
        <v>0.02</v>
      </c>
    </row>
    <row r="116" spans="2:17" x14ac:dyDescent="0.25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 spans="2:17" x14ac:dyDescent="0.25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 spans="2:17" x14ac:dyDescent="0.25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 spans="2:17" x14ac:dyDescent="0.25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 spans="2:17" x14ac:dyDescent="0.25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 spans="2:17" x14ac:dyDescent="0.25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 spans="2:17" x14ac:dyDescent="0.25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 spans="2:17" x14ac:dyDescent="0.25">
      <c r="B125" s="7"/>
      <c r="C125" s="7" t="s">
        <v>1067</v>
      </c>
      <c r="D125" s="7" t="s">
        <v>1071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2:17" x14ac:dyDescent="0.25">
      <c r="C126" s="2" t="s">
        <v>1072</v>
      </c>
    </row>
    <row r="127" spans="2:17" x14ac:dyDescent="0.25">
      <c r="D127" s="123" t="s">
        <v>1073</v>
      </c>
      <c r="E127" s="124">
        <f>$E$20+-0.02</f>
        <v>-0.02</v>
      </c>
      <c r="F127" s="124">
        <f>$E$20+-0.01</f>
        <v>-0.01</v>
      </c>
      <c r="G127" s="124">
        <f>$E$20+-0.005</f>
        <v>-5.0000000000000001E-3</v>
      </c>
      <c r="H127" s="124">
        <f>$E$20+0</f>
        <v>0</v>
      </c>
      <c r="I127" s="124">
        <f>$E$20+0.005</f>
        <v>5.0000000000000001E-3</v>
      </c>
      <c r="J127" s="124">
        <f>$E$20+0.01</f>
        <v>0.01</v>
      </c>
      <c r="K127" s="124">
        <f>$E$20+0.02</f>
        <v>0.02</v>
      </c>
    </row>
    <row r="128" spans="2:17" x14ac:dyDescent="0.25">
      <c r="D128" s="124">
        <f>$E$21+-0.015</f>
        <v>-1.4999999999999999E-2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 spans="2:17" x14ac:dyDescent="0.25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 spans="2:17" x14ac:dyDescent="0.25">
      <c r="D130" s="124">
        <f>$E$21+-0.005</f>
        <v>-5.0000000000000001E-3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 spans="2:17" x14ac:dyDescent="0.25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 spans="2:17" x14ac:dyDescent="0.25">
      <c r="D132" s="124">
        <f>$E$21+0.005</f>
        <v>5.0000000000000001E-3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 spans="2:17" x14ac:dyDescent="0.25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 spans="2:17" x14ac:dyDescent="0.25">
      <c r="D134" s="124">
        <f>$E$21+0.015</f>
        <v>1.4999999999999999E-2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 spans="2:17" x14ac:dyDescent="0.25">
      <c r="B137" s="7"/>
      <c r="C137" s="7" t="s">
        <v>1074</v>
      </c>
      <c r="D137" s="7" t="s">
        <v>1075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9" spans="2:17" x14ac:dyDescent="0.25">
      <c r="C139" s="11" t="s">
        <v>1038</v>
      </c>
      <c r="D139" s="12" t="s">
        <v>1076</v>
      </c>
      <c r="E139" s="120">
        <f t="shared" ref="E139:O139" si="9">IFERROR($E$5/E36,0)</f>
        <v>0</v>
      </c>
      <c r="F139" s="120">
        <f t="shared" si="9"/>
        <v>0</v>
      </c>
      <c r="G139" s="120">
        <f t="shared" si="9"/>
        <v>0</v>
      </c>
      <c r="H139" s="120">
        <f t="shared" si="9"/>
        <v>0</v>
      </c>
      <c r="I139" s="120">
        <f t="shared" si="9"/>
        <v>0</v>
      </c>
      <c r="J139" s="120">
        <f t="shared" si="9"/>
        <v>0</v>
      </c>
      <c r="K139" s="120">
        <f t="shared" si="9"/>
        <v>0</v>
      </c>
      <c r="L139" s="120">
        <f t="shared" si="9"/>
        <v>0</v>
      </c>
      <c r="M139" s="120">
        <f t="shared" si="9"/>
        <v>0</v>
      </c>
      <c r="N139" s="120">
        <f t="shared" si="9"/>
        <v>0</v>
      </c>
      <c r="O139" s="120">
        <f t="shared" si="9"/>
        <v>0</v>
      </c>
    </row>
    <row r="140" spans="2:17" x14ac:dyDescent="0.25">
      <c r="C140" s="11" t="s">
        <v>1039</v>
      </c>
      <c r="D140" s="12" t="s">
        <v>1077</v>
      </c>
      <c r="E140" s="120">
        <f t="shared" ref="E140:O140" si="10">IFERROR($E$5/E37,0)</f>
        <v>0</v>
      </c>
      <c r="F140" s="120">
        <f t="shared" si="10"/>
        <v>0</v>
      </c>
      <c r="G140" s="120">
        <f t="shared" si="10"/>
        <v>0</v>
      </c>
      <c r="H140" s="120">
        <f t="shared" si="10"/>
        <v>0</v>
      </c>
      <c r="I140" s="120">
        <f t="shared" si="10"/>
        <v>0</v>
      </c>
      <c r="J140" s="120">
        <f t="shared" si="10"/>
        <v>0</v>
      </c>
      <c r="K140" s="120">
        <f t="shared" si="10"/>
        <v>0</v>
      </c>
      <c r="L140" s="120">
        <f t="shared" si="10"/>
        <v>0</v>
      </c>
      <c r="M140" s="120">
        <f t="shared" si="10"/>
        <v>0</v>
      </c>
      <c r="N140" s="120">
        <f t="shared" si="10"/>
        <v>0</v>
      </c>
      <c r="O140" s="120">
        <f t="shared" si="10"/>
        <v>0</v>
      </c>
      <c r="Q140" s="2" t="s">
        <v>1078</v>
      </c>
    </row>
    <row r="141" spans="2:17" x14ac:dyDescent="0.25">
      <c r="C141" s="11" t="s">
        <v>1041</v>
      </c>
      <c r="D141" s="12" t="s">
        <v>1079</v>
      </c>
      <c r="E141" s="107">
        <f t="shared" ref="E141:O141" si="11">IFERROR(E38/$E$5,0)</f>
        <v>0</v>
      </c>
      <c r="F141" s="107">
        <f t="shared" si="11"/>
        <v>0</v>
      </c>
      <c r="G141" s="107">
        <f t="shared" si="11"/>
        <v>0</v>
      </c>
      <c r="H141" s="107">
        <f t="shared" si="11"/>
        <v>0</v>
      </c>
      <c r="I141" s="107">
        <f t="shared" si="11"/>
        <v>0</v>
      </c>
      <c r="J141" s="107">
        <f t="shared" si="11"/>
        <v>0</v>
      </c>
      <c r="K141" s="107">
        <f t="shared" si="11"/>
        <v>0</v>
      </c>
      <c r="L141" s="107">
        <f t="shared" si="11"/>
        <v>0</v>
      </c>
      <c r="M141" s="107">
        <f t="shared" si="11"/>
        <v>0</v>
      </c>
      <c r="N141" s="107">
        <f t="shared" si="11"/>
        <v>0</v>
      </c>
      <c r="O141" s="107">
        <f t="shared" si="11"/>
        <v>0</v>
      </c>
    </row>
    <row r="142" spans="2:17" x14ac:dyDescent="0.25">
      <c r="C142" s="11" t="s">
        <v>1080</v>
      </c>
      <c r="D142" s="12" t="s">
        <v>1081</v>
      </c>
      <c r="E142" s="107">
        <f t="shared" ref="E142:O142" si="12">IFERROR(E36/$E$5,0)</f>
        <v>0</v>
      </c>
      <c r="F142" s="107">
        <f t="shared" si="12"/>
        <v>0</v>
      </c>
      <c r="G142" s="107">
        <f t="shared" si="12"/>
        <v>0</v>
      </c>
      <c r="H142" s="107">
        <f t="shared" si="12"/>
        <v>0</v>
      </c>
      <c r="I142" s="107">
        <f t="shared" si="12"/>
        <v>0</v>
      </c>
      <c r="J142" s="107">
        <f t="shared" si="12"/>
        <v>0</v>
      </c>
      <c r="K142" s="107">
        <f t="shared" si="12"/>
        <v>0</v>
      </c>
      <c r="L142" s="107">
        <f t="shared" si="12"/>
        <v>0</v>
      </c>
      <c r="M142" s="107">
        <f t="shared" si="12"/>
        <v>0</v>
      </c>
      <c r="N142" s="107">
        <f t="shared" si="12"/>
        <v>0</v>
      </c>
      <c r="O142" s="107">
        <f t="shared" si="12"/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C2:F33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.42578125" customWidth="1"/>
    <col min="2" max="2" width="5" customWidth="1"/>
    <col min="3" max="3" width="38" customWidth="1"/>
    <col min="4" max="4" width="62" customWidth="1"/>
    <col min="5" max="5" width="24" customWidth="1"/>
    <col min="6" max="6" width="96" customWidth="1"/>
  </cols>
  <sheetData>
    <row r="2" spans="3:6" ht="18" x14ac:dyDescent="0.25">
      <c r="C2" s="75" t="s">
        <v>1082</v>
      </c>
    </row>
    <row r="3" spans="3:6" x14ac:dyDescent="0.25">
      <c r="C3" s="76" t="s">
        <v>1083</v>
      </c>
    </row>
    <row r="5" spans="3:6" x14ac:dyDescent="0.25">
      <c r="C5" s="125" t="s">
        <v>1084</v>
      </c>
      <c r="D5" s="125" t="s">
        <v>1085</v>
      </c>
      <c r="E5" s="125" t="s">
        <v>1086</v>
      </c>
      <c r="F5" s="125" t="s">
        <v>942</v>
      </c>
    </row>
    <row r="6" spans="3:6" x14ac:dyDescent="0.25">
      <c r="C6" s="29" t="s">
        <v>1087</v>
      </c>
      <c r="D6" s="29"/>
      <c r="E6" s="29"/>
      <c r="F6" s="29"/>
    </row>
    <row r="7" spans="3:6" ht="33.950000000000003" customHeight="1" x14ac:dyDescent="0.25">
      <c r="C7" s="126" t="s">
        <v>1088</v>
      </c>
      <c r="D7" s="127" t="s">
        <v>1089</v>
      </c>
      <c r="E7" s="128" t="s">
        <v>1090</v>
      </c>
      <c r="F7" s="127" t="s">
        <v>1091</v>
      </c>
    </row>
    <row r="8" spans="3:6" ht="33.950000000000003" customHeight="1" x14ac:dyDescent="0.25">
      <c r="C8" s="126" t="s">
        <v>1092</v>
      </c>
      <c r="D8" s="127" t="s">
        <v>1093</v>
      </c>
      <c r="E8" s="128" t="s">
        <v>1094</v>
      </c>
      <c r="F8" s="127" t="s">
        <v>1095</v>
      </c>
    </row>
    <row r="9" spans="3:6" ht="33.950000000000003" customHeight="1" x14ac:dyDescent="0.25">
      <c r="C9" s="126" t="s">
        <v>1096</v>
      </c>
      <c r="D9" s="127" t="s">
        <v>1097</v>
      </c>
      <c r="E9" s="128" t="s">
        <v>1098</v>
      </c>
      <c r="F9" s="127" t="s">
        <v>1099</v>
      </c>
    </row>
    <row r="10" spans="3:6" ht="33.950000000000003" customHeight="1" x14ac:dyDescent="0.25">
      <c r="C10" s="126" t="s">
        <v>843</v>
      </c>
      <c r="D10" s="127" t="s">
        <v>1100</v>
      </c>
      <c r="E10" s="128" t="s">
        <v>1101</v>
      </c>
      <c r="F10" s="127" t="s">
        <v>1102</v>
      </c>
    </row>
    <row r="11" spans="3:6" ht="33.950000000000003" customHeight="1" x14ac:dyDescent="0.25">
      <c r="C11" s="126" t="s">
        <v>845</v>
      </c>
      <c r="D11" s="127" t="s">
        <v>1103</v>
      </c>
      <c r="E11" s="128" t="s">
        <v>1104</v>
      </c>
      <c r="F11" s="127" t="s">
        <v>1105</v>
      </c>
    </row>
    <row r="12" spans="3:6" ht="33.950000000000003" customHeight="1" x14ac:dyDescent="0.25">
      <c r="C12" s="126" t="s">
        <v>1106</v>
      </c>
      <c r="D12" s="127" t="s">
        <v>1107</v>
      </c>
      <c r="E12" s="128" t="s">
        <v>1108</v>
      </c>
      <c r="F12" s="127" t="s">
        <v>1109</v>
      </c>
    </row>
    <row r="13" spans="3:6" x14ac:dyDescent="0.25">
      <c r="C13" s="29" t="s">
        <v>879</v>
      </c>
      <c r="D13" s="29"/>
      <c r="E13" s="29"/>
      <c r="F13" s="29"/>
    </row>
    <row r="14" spans="3:6" ht="33.950000000000003" customHeight="1" x14ac:dyDescent="0.25">
      <c r="C14" s="126" t="s">
        <v>881</v>
      </c>
      <c r="D14" s="127" t="s">
        <v>1110</v>
      </c>
      <c r="E14" s="128" t="s">
        <v>1111</v>
      </c>
      <c r="F14" s="127" t="s">
        <v>1112</v>
      </c>
    </row>
    <row r="15" spans="3:6" ht="33.950000000000003" customHeight="1" x14ac:dyDescent="0.25">
      <c r="C15" s="126" t="s">
        <v>846</v>
      </c>
      <c r="D15" s="127" t="s">
        <v>1113</v>
      </c>
      <c r="E15" s="128" t="s">
        <v>1114</v>
      </c>
      <c r="F15" s="127" t="s">
        <v>1115</v>
      </c>
    </row>
    <row r="16" spans="3:6" x14ac:dyDescent="0.25">
      <c r="C16" s="29" t="s">
        <v>901</v>
      </c>
      <c r="D16" s="29"/>
      <c r="E16" s="29"/>
      <c r="F16" s="29"/>
    </row>
    <row r="17" spans="3:6" ht="33.950000000000003" customHeight="1" x14ac:dyDescent="0.25">
      <c r="C17" s="126" t="s">
        <v>1116</v>
      </c>
      <c r="D17" s="127" t="s">
        <v>1117</v>
      </c>
      <c r="E17" s="128" t="s">
        <v>1118</v>
      </c>
      <c r="F17" s="127" t="s">
        <v>1119</v>
      </c>
    </row>
    <row r="18" spans="3:6" ht="33.950000000000003" customHeight="1" x14ac:dyDescent="0.25">
      <c r="C18" s="126" t="s">
        <v>1120</v>
      </c>
      <c r="D18" s="127" t="s">
        <v>1121</v>
      </c>
      <c r="E18" s="128" t="s">
        <v>1122</v>
      </c>
      <c r="F18" s="127" t="s">
        <v>1123</v>
      </c>
    </row>
    <row r="19" spans="3:6" ht="33.950000000000003" customHeight="1" x14ac:dyDescent="0.25">
      <c r="C19" s="126" t="s">
        <v>1124</v>
      </c>
      <c r="D19" s="127" t="s">
        <v>1125</v>
      </c>
      <c r="E19" s="128" t="s">
        <v>1126</v>
      </c>
      <c r="F19" s="127" t="s">
        <v>1127</v>
      </c>
    </row>
    <row r="20" spans="3:6" ht="33.950000000000003" customHeight="1" x14ac:dyDescent="0.25">
      <c r="C20" s="126" t="s">
        <v>1128</v>
      </c>
      <c r="D20" s="127" t="s">
        <v>1129</v>
      </c>
      <c r="E20" s="128" t="s">
        <v>1130</v>
      </c>
      <c r="F20" s="127" t="s">
        <v>1131</v>
      </c>
    </row>
    <row r="21" spans="3:6" ht="33.950000000000003" customHeight="1" x14ac:dyDescent="0.25">
      <c r="C21" s="126" t="s">
        <v>1132</v>
      </c>
      <c r="D21" s="127" t="s">
        <v>1133</v>
      </c>
      <c r="E21" s="128" t="s">
        <v>1134</v>
      </c>
      <c r="F21" s="127" t="s">
        <v>1135</v>
      </c>
    </row>
    <row r="22" spans="3:6" ht="33.950000000000003" customHeight="1" x14ac:dyDescent="0.25">
      <c r="C22" s="126" t="s">
        <v>1136</v>
      </c>
      <c r="D22" s="127" t="s">
        <v>1137</v>
      </c>
      <c r="E22" s="128" t="s">
        <v>1138</v>
      </c>
      <c r="F22" s="127" t="s">
        <v>1139</v>
      </c>
    </row>
    <row r="23" spans="3:6" ht="33.950000000000003" customHeight="1" x14ac:dyDescent="0.25">
      <c r="C23" s="126" t="s">
        <v>1140</v>
      </c>
      <c r="D23" s="127" t="s">
        <v>1141</v>
      </c>
      <c r="E23" s="128" t="s">
        <v>1142</v>
      </c>
      <c r="F23" s="127" t="s">
        <v>1143</v>
      </c>
    </row>
    <row r="24" spans="3:6" x14ac:dyDescent="0.25">
      <c r="C24" s="29" t="s">
        <v>1144</v>
      </c>
      <c r="D24" s="29"/>
      <c r="E24" s="29"/>
      <c r="F24" s="29"/>
    </row>
    <row r="25" spans="3:6" ht="33.950000000000003" customHeight="1" x14ac:dyDescent="0.25">
      <c r="C25" s="126" t="s">
        <v>858</v>
      </c>
      <c r="D25" s="127" t="s">
        <v>1145</v>
      </c>
      <c r="E25" s="128" t="s">
        <v>1146</v>
      </c>
      <c r="F25" s="127" t="s">
        <v>1147</v>
      </c>
    </row>
    <row r="26" spans="3:6" ht="33.950000000000003" customHeight="1" x14ac:dyDescent="0.25">
      <c r="C26" s="126" t="s">
        <v>1148</v>
      </c>
      <c r="D26" s="127" t="s">
        <v>1149</v>
      </c>
      <c r="E26" s="128" t="s">
        <v>1150</v>
      </c>
      <c r="F26" s="127" t="s">
        <v>1151</v>
      </c>
    </row>
    <row r="27" spans="3:6" ht="33.950000000000003" customHeight="1" x14ac:dyDescent="0.25">
      <c r="C27" s="126" t="s">
        <v>1152</v>
      </c>
      <c r="D27" s="127" t="s">
        <v>1153</v>
      </c>
      <c r="E27" s="128" t="s">
        <v>1154</v>
      </c>
      <c r="F27" s="127" t="s">
        <v>1155</v>
      </c>
    </row>
    <row r="28" spans="3:6" ht="33.950000000000003" customHeight="1" x14ac:dyDescent="0.25">
      <c r="C28" s="126" t="s">
        <v>1156</v>
      </c>
      <c r="D28" s="127" t="s">
        <v>1157</v>
      </c>
      <c r="E28" s="128" t="s">
        <v>1158</v>
      </c>
      <c r="F28" s="127" t="s">
        <v>1159</v>
      </c>
    </row>
    <row r="29" spans="3:6" x14ac:dyDescent="0.25">
      <c r="C29" s="29" t="s">
        <v>1160</v>
      </c>
      <c r="D29" s="29"/>
      <c r="E29" s="29"/>
      <c r="F29" s="29"/>
    </row>
    <row r="30" spans="3:6" ht="33.950000000000003" customHeight="1" x14ac:dyDescent="0.25">
      <c r="C30" s="126" t="s">
        <v>1161</v>
      </c>
      <c r="D30" s="127" t="s">
        <v>1162</v>
      </c>
      <c r="E30" s="128" t="s">
        <v>1163</v>
      </c>
      <c r="F30" s="127" t="s">
        <v>1164</v>
      </c>
    </row>
    <row r="31" spans="3:6" ht="33.950000000000003" customHeight="1" x14ac:dyDescent="0.25">
      <c r="C31" s="126" t="s">
        <v>1165</v>
      </c>
      <c r="D31" s="127" t="s">
        <v>1166</v>
      </c>
      <c r="E31" s="128" t="s">
        <v>1167</v>
      </c>
      <c r="F31" s="127" t="s">
        <v>1168</v>
      </c>
    </row>
    <row r="32" spans="3:6" ht="33.950000000000003" customHeight="1" x14ac:dyDescent="0.25">
      <c r="C32" s="126" t="s">
        <v>1064</v>
      </c>
      <c r="D32" s="127" t="s">
        <v>1169</v>
      </c>
      <c r="E32" s="128" t="s">
        <v>1170</v>
      </c>
      <c r="F32" s="127" t="s">
        <v>1171</v>
      </c>
    </row>
    <row r="33" spans="3:6" ht="33.950000000000003" customHeight="1" x14ac:dyDescent="0.25">
      <c r="C33" s="126" t="s">
        <v>1172</v>
      </c>
      <c r="D33" s="127" t="s">
        <v>1173</v>
      </c>
      <c r="E33" s="128" t="s">
        <v>1163</v>
      </c>
      <c r="F33" s="127" t="s">
        <v>1174</v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Inputs</vt:lpstr>
      <vt:lpstr>Inputs (2)</vt:lpstr>
      <vt:lpstr>Model</vt:lpstr>
      <vt:lpstr>Valuation</vt:lpstr>
      <vt:lpstr>Glossário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Nascimento</cp:lastModifiedBy>
  <dcterms:created xsi:type="dcterms:W3CDTF">2026-09-24T10:03:02Z</dcterms:created>
  <dcterms:modified xsi:type="dcterms:W3CDTF">2026-09-26T13:26:04Z</dcterms:modified>
</cp:coreProperties>
</file>